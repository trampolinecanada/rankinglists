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5BB5D5C7-1E91-E547-B4AF-989682A5B666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'DMT-M'!$A$1:$AE$56</definedName>
    <definedName name="_xlnm._FilterDatabase" localSheetId="8" hidden="1">'DMT-W'!$A$1:$AE$66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'TUM-M'!$A$1:$AE$25</definedName>
    <definedName name="_xlnm._FilterDatabase" localSheetId="10" hidden="1">'TUM-W'!$A$1:$AE$53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" i="16" l="1"/>
  <c r="S4" i="16" s="1"/>
  <c r="R5" i="16"/>
  <c r="S5" i="16" s="1"/>
  <c r="R7" i="16"/>
  <c r="S7" i="16" s="1"/>
  <c r="R6" i="16"/>
  <c r="S6" i="16" s="1"/>
  <c r="R8" i="16"/>
  <c r="S8" i="16" s="1"/>
  <c r="R9" i="16"/>
  <c r="S9" i="16" s="1"/>
  <c r="R10" i="16"/>
  <c r="S10" i="16" s="1"/>
  <c r="R11" i="16"/>
  <c r="S11" i="16" s="1"/>
  <c r="R14" i="16"/>
  <c r="S14" i="16" s="1"/>
  <c r="R16" i="16"/>
  <c r="S16" i="16" s="1"/>
  <c r="R12" i="16"/>
  <c r="S12" i="16" s="1"/>
  <c r="R13" i="16"/>
  <c r="S13" i="16" s="1"/>
  <c r="R17" i="16"/>
  <c r="S17" i="16" s="1"/>
  <c r="R15" i="16"/>
  <c r="S15" i="16" s="1"/>
  <c r="R18" i="16"/>
  <c r="S18" i="16" s="1"/>
  <c r="R19" i="16"/>
  <c r="S19" i="16" s="1"/>
  <c r="R20" i="16"/>
  <c r="S20" i="16" s="1"/>
  <c r="R21" i="16"/>
  <c r="S21" i="16" s="1"/>
  <c r="R22" i="16"/>
  <c r="S22" i="16" s="1"/>
  <c r="R25" i="16"/>
  <c r="S25" i="16" s="1"/>
  <c r="R23" i="16"/>
  <c r="S23" i="16" s="1"/>
  <c r="R24" i="16"/>
  <c r="S24" i="16" s="1"/>
  <c r="R26" i="16"/>
  <c r="S26" i="16" s="1"/>
  <c r="R27" i="16"/>
  <c r="S27" i="16" s="1"/>
  <c r="R28" i="16"/>
  <c r="S28" i="16" s="1"/>
  <c r="R29" i="16"/>
  <c r="S29" i="16" s="1"/>
  <c r="R30" i="16"/>
  <c r="S30" i="16" s="1"/>
  <c r="R31" i="16"/>
  <c r="J31" i="16" s="1"/>
  <c r="R32" i="16"/>
  <c r="S32" i="16" s="1"/>
  <c r="R33" i="16"/>
  <c r="S33" i="16" s="1"/>
  <c r="R34" i="16"/>
  <c r="S34" i="16" s="1"/>
  <c r="R35" i="16"/>
  <c r="S35" i="16" s="1"/>
  <c r="R36" i="16"/>
  <c r="S36" i="16" s="1"/>
  <c r="R37" i="16"/>
  <c r="S37" i="16" s="1"/>
  <c r="R38" i="16"/>
  <c r="S38" i="16" s="1"/>
  <c r="R39" i="16"/>
  <c r="S39" i="16" s="1"/>
  <c r="R40" i="16"/>
  <c r="S40" i="16" s="1"/>
  <c r="R41" i="16"/>
  <c r="S41" i="16" s="1"/>
  <c r="R42" i="16"/>
  <c r="S42" i="16" s="1"/>
  <c r="R46" i="16"/>
  <c r="J46" i="16" s="1"/>
  <c r="R43" i="16"/>
  <c r="S43" i="16" s="1"/>
  <c r="R44" i="16"/>
  <c r="S44" i="16" s="1"/>
  <c r="R45" i="16"/>
  <c r="S45" i="16" s="1"/>
  <c r="R48" i="16"/>
  <c r="S48" i="16" s="1"/>
  <c r="R47" i="16"/>
  <c r="S47" i="16" s="1"/>
  <c r="R49" i="16"/>
  <c r="S49" i="16" s="1"/>
  <c r="R50" i="16"/>
  <c r="S50" i="16" s="1"/>
  <c r="R53" i="16"/>
  <c r="S53" i="16" s="1"/>
  <c r="R51" i="16"/>
  <c r="S51" i="16" s="1"/>
  <c r="R52" i="16"/>
  <c r="S52" i="16" s="1"/>
  <c r="R3" i="16"/>
  <c r="S3" i="16" s="1"/>
  <c r="R4" i="15"/>
  <c r="S4" i="15" s="1"/>
  <c r="R5" i="15"/>
  <c r="S5" i="15" s="1"/>
  <c r="R6" i="15"/>
  <c r="S6" i="15" s="1"/>
  <c r="R8" i="15"/>
  <c r="S8" i="15" s="1"/>
  <c r="R7" i="15"/>
  <c r="S7" i="15" s="1"/>
  <c r="R9" i="15"/>
  <c r="S9" i="15" s="1"/>
  <c r="R10" i="15"/>
  <c r="S10" i="15" s="1"/>
  <c r="R11" i="15"/>
  <c r="S11" i="15" s="1"/>
  <c r="R12" i="15"/>
  <c r="S12" i="15" s="1"/>
  <c r="R13" i="15"/>
  <c r="J13" i="15" s="1"/>
  <c r="R14" i="15"/>
  <c r="S14" i="15" s="1"/>
  <c r="R15" i="15"/>
  <c r="J15" i="15" s="1"/>
  <c r="R16" i="15"/>
  <c r="S16" i="15" s="1"/>
  <c r="R17" i="15"/>
  <c r="J17" i="15" s="1"/>
  <c r="R18" i="15"/>
  <c r="S18" i="15" s="1"/>
  <c r="R19" i="15"/>
  <c r="J19" i="15" s="1"/>
  <c r="R20" i="15"/>
  <c r="S20" i="15" s="1"/>
  <c r="R21" i="15"/>
  <c r="J21" i="15" s="1"/>
  <c r="R22" i="15"/>
  <c r="S22" i="15" s="1"/>
  <c r="R23" i="15"/>
  <c r="J23" i="15" s="1"/>
  <c r="R24" i="15"/>
  <c r="J24" i="15" s="1"/>
  <c r="R25" i="15"/>
  <c r="S25" i="15" s="1"/>
  <c r="R3" i="15"/>
  <c r="S3" i="15" s="1"/>
  <c r="R4" i="14"/>
  <c r="S4" i="14" s="1"/>
  <c r="R5" i="14"/>
  <c r="S5" i="14" s="1"/>
  <c r="R6" i="14"/>
  <c r="S6" i="14" s="1"/>
  <c r="R7" i="14"/>
  <c r="S7" i="14" s="1"/>
  <c r="R8" i="14"/>
  <c r="S8" i="14" s="1"/>
  <c r="R9" i="14"/>
  <c r="S9" i="14" s="1"/>
  <c r="R10" i="14"/>
  <c r="S10" i="14" s="1"/>
  <c r="R12" i="14"/>
  <c r="J12" i="14" s="1"/>
  <c r="R11" i="14"/>
  <c r="S11" i="14" s="1"/>
  <c r="R13" i="14"/>
  <c r="S13" i="14" s="1"/>
  <c r="R14" i="14"/>
  <c r="S14" i="14" s="1"/>
  <c r="R15" i="14"/>
  <c r="J15" i="14" s="1"/>
  <c r="R16" i="14"/>
  <c r="S16" i="14" s="1"/>
  <c r="R17" i="14"/>
  <c r="S17" i="14" s="1"/>
  <c r="R18" i="14"/>
  <c r="S18" i="14" s="1"/>
  <c r="R19" i="14"/>
  <c r="S19" i="14" s="1"/>
  <c r="R20" i="14"/>
  <c r="S20" i="14" s="1"/>
  <c r="R21" i="14"/>
  <c r="S21" i="14" s="1"/>
  <c r="R22" i="14"/>
  <c r="S22" i="14" s="1"/>
  <c r="R23" i="14"/>
  <c r="S23" i="14" s="1"/>
  <c r="R24" i="14"/>
  <c r="S24" i="14" s="1"/>
  <c r="R25" i="14"/>
  <c r="S25" i="14" s="1"/>
  <c r="R26" i="14"/>
  <c r="S26" i="14" s="1"/>
  <c r="R27" i="14"/>
  <c r="J27" i="14" s="1"/>
  <c r="R28" i="14"/>
  <c r="S28" i="14" s="1"/>
  <c r="R29" i="14"/>
  <c r="S29" i="14" s="1"/>
  <c r="R30" i="14"/>
  <c r="S30" i="14" s="1"/>
  <c r="R31" i="14"/>
  <c r="S31" i="14" s="1"/>
  <c r="R32" i="14"/>
  <c r="S32" i="14" s="1"/>
  <c r="R33" i="14"/>
  <c r="S33" i="14" s="1"/>
  <c r="R34" i="14"/>
  <c r="J34" i="14" s="1"/>
  <c r="R35" i="14"/>
  <c r="S35" i="14" s="1"/>
  <c r="R36" i="14"/>
  <c r="S36" i="14" s="1"/>
  <c r="R37" i="14"/>
  <c r="S37" i="14" s="1"/>
  <c r="R38" i="14"/>
  <c r="J38" i="14" s="1"/>
  <c r="R39" i="14"/>
  <c r="J39" i="14" s="1"/>
  <c r="R40" i="14"/>
  <c r="S40" i="14" s="1"/>
  <c r="R41" i="14"/>
  <c r="S41" i="14" s="1"/>
  <c r="R42" i="14"/>
  <c r="J42" i="14" s="1"/>
  <c r="R43" i="14"/>
  <c r="J43" i="14" s="1"/>
  <c r="R44" i="14"/>
  <c r="S44" i="14" s="1"/>
  <c r="R45" i="14"/>
  <c r="S45" i="14" s="1"/>
  <c r="R46" i="14"/>
  <c r="S46" i="14" s="1"/>
  <c r="R47" i="14"/>
  <c r="J47" i="14" s="1"/>
  <c r="R48" i="14"/>
  <c r="S48" i="14" s="1"/>
  <c r="R49" i="14"/>
  <c r="S49" i="14" s="1"/>
  <c r="R50" i="14"/>
  <c r="S50" i="14" s="1"/>
  <c r="R51" i="14"/>
  <c r="J51" i="14" s="1"/>
  <c r="R52" i="14"/>
  <c r="S52" i="14" s="1"/>
  <c r="R53" i="14"/>
  <c r="J53" i="14" s="1"/>
  <c r="R54" i="14"/>
  <c r="J54" i="14" s="1"/>
  <c r="R55" i="14"/>
  <c r="S55" i="14" s="1"/>
  <c r="R56" i="14"/>
  <c r="S56" i="14" s="1"/>
  <c r="R57" i="14"/>
  <c r="S57" i="14" s="1"/>
  <c r="R58" i="14"/>
  <c r="S58" i="14" s="1"/>
  <c r="R59" i="14"/>
  <c r="S59" i="14" s="1"/>
  <c r="R60" i="14"/>
  <c r="S60" i="14" s="1"/>
  <c r="R61" i="14"/>
  <c r="S61" i="14" s="1"/>
  <c r="R62" i="14"/>
  <c r="J62" i="14" s="1"/>
  <c r="R63" i="14"/>
  <c r="S63" i="14" s="1"/>
  <c r="R64" i="14"/>
  <c r="S64" i="14" s="1"/>
  <c r="R65" i="14"/>
  <c r="S65" i="14" s="1"/>
  <c r="R66" i="14"/>
  <c r="S66" i="14" s="1"/>
  <c r="R3" i="14"/>
  <c r="S3" i="14" s="1"/>
  <c r="R4" i="6"/>
  <c r="S4" i="6" s="1"/>
  <c r="R5" i="6"/>
  <c r="S5" i="6" s="1"/>
  <c r="R6" i="6"/>
  <c r="S6" i="6" s="1"/>
  <c r="R7" i="6"/>
  <c r="S7" i="6" s="1"/>
  <c r="R8" i="6"/>
  <c r="S8" i="6" s="1"/>
  <c r="R9" i="6"/>
  <c r="J9" i="6" s="1"/>
  <c r="R10" i="6"/>
  <c r="S10" i="6" s="1"/>
  <c r="R11" i="6"/>
  <c r="S11" i="6" s="1"/>
  <c r="R12" i="6"/>
  <c r="J12" i="6" s="1"/>
  <c r="R13" i="6"/>
  <c r="S13" i="6" s="1"/>
  <c r="R14" i="6"/>
  <c r="S14" i="6" s="1"/>
  <c r="R15" i="6"/>
  <c r="J15" i="6" s="1"/>
  <c r="R16" i="6"/>
  <c r="S16" i="6" s="1"/>
  <c r="R18" i="6"/>
  <c r="S18" i="6" s="1"/>
  <c r="R17" i="6"/>
  <c r="S17" i="6" s="1"/>
  <c r="R19" i="6"/>
  <c r="S19" i="6" s="1"/>
  <c r="R20" i="6"/>
  <c r="S20" i="6" s="1"/>
  <c r="R21" i="6"/>
  <c r="S21" i="6" s="1"/>
  <c r="R22" i="6"/>
  <c r="S22" i="6" s="1"/>
  <c r="R23" i="6"/>
  <c r="S23" i="6" s="1"/>
  <c r="R24" i="6"/>
  <c r="S24" i="6" s="1"/>
  <c r="R25" i="6"/>
  <c r="S25" i="6" s="1"/>
  <c r="R26" i="6"/>
  <c r="S26" i="6" s="1"/>
  <c r="R27" i="6"/>
  <c r="J27" i="6" s="1"/>
  <c r="R28" i="6"/>
  <c r="S28" i="6" s="1"/>
  <c r="R29" i="6"/>
  <c r="S29" i="6" s="1"/>
  <c r="R30" i="6"/>
  <c r="S30" i="6" s="1"/>
  <c r="R31" i="6"/>
  <c r="S31" i="6" s="1"/>
  <c r="R32" i="6"/>
  <c r="S32" i="6" s="1"/>
  <c r="R33" i="6"/>
  <c r="J33" i="6" s="1"/>
  <c r="R34" i="6"/>
  <c r="S34" i="6" s="1"/>
  <c r="R35" i="6"/>
  <c r="J35" i="6" s="1"/>
  <c r="R36" i="6"/>
  <c r="S36" i="6" s="1"/>
  <c r="R37" i="6"/>
  <c r="J37" i="6" s="1"/>
  <c r="R38" i="6"/>
  <c r="S38" i="6" s="1"/>
  <c r="R39" i="6"/>
  <c r="J39" i="6" s="1"/>
  <c r="R40" i="6"/>
  <c r="S40" i="6" s="1"/>
  <c r="R41" i="6"/>
  <c r="J41" i="6" s="1"/>
  <c r="R42" i="6"/>
  <c r="S42" i="6" s="1"/>
  <c r="R43" i="6"/>
  <c r="J43" i="6" s="1"/>
  <c r="R44" i="6"/>
  <c r="S44" i="6" s="1"/>
  <c r="R45" i="6"/>
  <c r="J45" i="6" s="1"/>
  <c r="R46" i="6"/>
  <c r="S46" i="6" s="1"/>
  <c r="R47" i="6"/>
  <c r="S47" i="6" s="1"/>
  <c r="R48" i="6"/>
  <c r="S48" i="6" s="1"/>
  <c r="R49" i="6"/>
  <c r="S49" i="6" s="1"/>
  <c r="R50" i="6"/>
  <c r="S50" i="6" s="1"/>
  <c r="R51" i="6"/>
  <c r="S51" i="6" s="1"/>
  <c r="R52" i="6"/>
  <c r="S52" i="6" s="1"/>
  <c r="R53" i="6"/>
  <c r="S53" i="6" s="1"/>
  <c r="R54" i="6"/>
  <c r="S54" i="6" s="1"/>
  <c r="R55" i="6"/>
  <c r="S55" i="6" s="1"/>
  <c r="R56" i="6"/>
  <c r="S56" i="6" s="1"/>
  <c r="R3" i="6"/>
  <c r="S3" i="6" s="1"/>
  <c r="J5" i="16"/>
  <c r="J28" i="16"/>
  <c r="G15" i="17"/>
  <c r="H15" i="17" s="1"/>
  <c r="C55" i="17"/>
  <c r="D55" i="17" s="1"/>
  <c r="E55" i="17"/>
  <c r="F55" i="17" s="1"/>
  <c r="J4" i="14" l="1"/>
  <c r="J9" i="14"/>
  <c r="J8" i="14"/>
  <c r="S37" i="6"/>
  <c r="J10" i="6"/>
  <c r="J24" i="16"/>
  <c r="J10" i="15"/>
  <c r="S15" i="15"/>
  <c r="J4" i="15"/>
  <c r="J36" i="6"/>
  <c r="J32" i="6"/>
  <c r="J16" i="6"/>
  <c r="S45" i="6"/>
  <c r="S27" i="14"/>
  <c r="J50" i="14"/>
  <c r="S54" i="14"/>
  <c r="J20" i="14"/>
  <c r="J60" i="14"/>
  <c r="J32" i="14"/>
  <c r="S51" i="14"/>
  <c r="J18" i="14"/>
  <c r="J24" i="14"/>
  <c r="J4" i="16"/>
  <c r="J41" i="16"/>
  <c r="S46" i="16"/>
  <c r="S24" i="15"/>
  <c r="S13" i="15"/>
  <c r="S23" i="15"/>
  <c r="S17" i="15"/>
  <c r="S19" i="15"/>
  <c r="S21" i="15"/>
  <c r="J14" i="15"/>
  <c r="J6" i="15"/>
  <c r="J18" i="15"/>
  <c r="J12" i="16"/>
  <c r="J49" i="16"/>
  <c r="J8" i="16"/>
  <c r="S31" i="16"/>
  <c r="S38" i="14"/>
  <c r="S62" i="14"/>
  <c r="S43" i="14"/>
  <c r="S12" i="14"/>
  <c r="J13" i="14"/>
  <c r="J11" i="14"/>
  <c r="J65" i="14"/>
  <c r="S47" i="14"/>
  <c r="S42" i="14"/>
  <c r="S15" i="14"/>
  <c r="J64" i="14"/>
  <c r="J48" i="14"/>
  <c r="J52" i="14"/>
  <c r="J33" i="14"/>
  <c r="S39" i="14"/>
  <c r="S34" i="14"/>
  <c r="J49" i="14"/>
  <c r="J28" i="6"/>
  <c r="J52" i="6"/>
  <c r="J38" i="6"/>
  <c r="S41" i="6"/>
  <c r="S9" i="6"/>
  <c r="S33" i="6"/>
  <c r="J55" i="6"/>
  <c r="S12" i="6"/>
  <c r="J46" i="6"/>
  <c r="S43" i="6"/>
  <c r="S39" i="6"/>
  <c r="S35" i="6"/>
  <c r="S27" i="6"/>
  <c r="S15" i="6"/>
  <c r="J42" i="6"/>
  <c r="J22" i="6"/>
  <c r="J26" i="6"/>
  <c r="S53" i="14"/>
  <c r="J56" i="14"/>
  <c r="J16" i="14"/>
  <c r="J48" i="6"/>
  <c r="J44" i="6"/>
  <c r="J30" i="6"/>
  <c r="J34" i="6"/>
  <c r="J3" i="6"/>
  <c r="J50" i="6"/>
  <c r="J8" i="6"/>
  <c r="J17" i="6"/>
  <c r="J40" i="6"/>
  <c r="J4" i="6"/>
  <c r="J49" i="6"/>
  <c r="J31" i="6"/>
  <c r="J6" i="6"/>
  <c r="J13" i="6"/>
  <c r="J20" i="6"/>
  <c r="J19" i="6"/>
  <c r="J24" i="6"/>
  <c r="J5" i="14"/>
  <c r="J44" i="14"/>
  <c r="J58" i="14"/>
  <c r="J41" i="14"/>
  <c r="J29" i="14"/>
  <c r="J66" i="14"/>
  <c r="J57" i="14"/>
  <c r="J37" i="14"/>
  <c r="J26" i="14"/>
  <c r="J55" i="14"/>
  <c r="J46" i="14"/>
  <c r="J23" i="14"/>
  <c r="J31" i="14"/>
  <c r="J28" i="14"/>
  <c r="J25" i="14"/>
  <c r="J59" i="14"/>
  <c r="J40" i="14"/>
  <c r="J10" i="14"/>
  <c r="J36" i="14"/>
  <c r="J22" i="14"/>
  <c r="J35" i="14"/>
  <c r="J19" i="14"/>
  <c r="J61" i="14"/>
  <c r="J45" i="14"/>
  <c r="J6" i="14"/>
  <c r="J14" i="14"/>
  <c r="J17" i="14"/>
  <c r="J3" i="14"/>
  <c r="J30" i="14"/>
  <c r="J7" i="14"/>
  <c r="J21" i="14"/>
  <c r="J63" i="14"/>
  <c r="J51" i="6"/>
  <c r="J14" i="6"/>
  <c r="J5" i="6"/>
  <c r="J53" i="6"/>
  <c r="J47" i="6"/>
  <c r="J21" i="6"/>
  <c r="J54" i="6"/>
  <c r="J25" i="6"/>
  <c r="J7" i="6"/>
  <c r="J56" i="6"/>
  <c r="J11" i="6"/>
  <c r="J29" i="6"/>
  <c r="J23" i="6"/>
  <c r="J18" i="6"/>
  <c r="J9" i="16"/>
  <c r="J7" i="16"/>
  <c r="J32" i="16"/>
  <c r="J23" i="16"/>
  <c r="J30" i="16"/>
  <c r="J11" i="16"/>
  <c r="J22" i="16"/>
  <c r="J44" i="16"/>
  <c r="J33" i="16"/>
  <c r="J34" i="16"/>
  <c r="J19" i="16"/>
  <c r="J48" i="16"/>
  <c r="J29" i="16"/>
  <c r="J27" i="16"/>
  <c r="J47" i="16"/>
  <c r="J40" i="16"/>
  <c r="J51" i="16"/>
  <c r="J26" i="16"/>
  <c r="J20" i="16"/>
  <c r="J16" i="16"/>
  <c r="J50" i="16"/>
  <c r="J14" i="16"/>
  <c r="J38" i="16"/>
  <c r="J21" i="16"/>
  <c r="J52" i="16"/>
  <c r="J18" i="16"/>
  <c r="J43" i="16"/>
  <c r="J13" i="16"/>
  <c r="J10" i="16"/>
  <c r="J15" i="16"/>
  <c r="J39" i="16"/>
  <c r="J3" i="16"/>
  <c r="J42" i="16"/>
  <c r="J36" i="16"/>
  <c r="J53" i="16"/>
  <c r="J45" i="16"/>
  <c r="J37" i="16"/>
  <c r="J25" i="16"/>
  <c r="J17" i="16"/>
  <c r="J35" i="16"/>
  <c r="J6" i="16"/>
  <c r="J22" i="15"/>
  <c r="J16" i="15"/>
  <c r="J12" i="15"/>
  <c r="J25" i="15"/>
  <c r="J7" i="15"/>
  <c r="J8" i="15"/>
  <c r="J9" i="15"/>
  <c r="J3" i="15"/>
  <c r="J11" i="15"/>
  <c r="J5" i="15"/>
  <c r="J20" i="15"/>
  <c r="D9" i="3"/>
  <c r="D28" i="14"/>
  <c r="G28" i="14"/>
  <c r="L28" i="14" s="1"/>
  <c r="A30" i="14" a="1"/>
  <c r="A30" i="14" s="1"/>
  <c r="Q30" i="14" s="1"/>
  <c r="D30" i="14"/>
  <c r="G30" i="14"/>
  <c r="L30" i="14" s="1"/>
  <c r="A39" i="14" a="1"/>
  <c r="A39" i="14" s="1"/>
  <c r="Q39" i="14" s="1"/>
  <c r="D39" i="14"/>
  <c r="G39" i="14"/>
  <c r="K39" i="14" s="1"/>
  <c r="D27" i="14"/>
  <c r="A27" i="14" a="1"/>
  <c r="A27" i="14" s="1"/>
  <c r="Q27" i="14" s="1"/>
  <c r="G27" i="14"/>
  <c r="L27" i="14" s="1"/>
  <c r="K28" i="14" l="1"/>
  <c r="K30" i="14"/>
  <c r="M30" i="14"/>
  <c r="M39" i="14"/>
  <c r="L39" i="14"/>
  <c r="M28" i="14"/>
  <c r="A28" i="14" s="1" a="1"/>
  <c r="A28" i="14" s="1"/>
  <c r="Q28" i="14" s="1"/>
  <c r="K27" i="14"/>
  <c r="M27" i="14"/>
  <c r="C21" i="17" l="1"/>
  <c r="D21" i="17" s="1"/>
  <c r="D14" i="13"/>
  <c r="A14" i="13" a="1"/>
  <c r="A14" i="13" s="1"/>
  <c r="R14" i="13" s="1"/>
  <c r="H14" i="13"/>
  <c r="M14" i="13" s="1"/>
  <c r="S14" i="13"/>
  <c r="K14" i="13" s="1"/>
  <c r="T14" i="13"/>
  <c r="Y14" i="13"/>
  <c r="AF14" i="13"/>
  <c r="AF6" i="12"/>
  <c r="AF14" i="12"/>
  <c r="AF7" i="12"/>
  <c r="AF13" i="12"/>
  <c r="AF5" i="12"/>
  <c r="AF8" i="12"/>
  <c r="AF11" i="12"/>
  <c r="AF12" i="12"/>
  <c r="AF9" i="12"/>
  <c r="AF3" i="12"/>
  <c r="AF10" i="12"/>
  <c r="AF4" i="12"/>
  <c r="AF15" i="12"/>
  <c r="L14" i="13" l="1"/>
  <c r="N14" i="13"/>
  <c r="A18" i="15" a="1"/>
  <c r="A18" i="15" s="1"/>
  <c r="A8" i="15" a="1"/>
  <c r="A8" i="15" s="1"/>
  <c r="A10" i="15" a="1"/>
  <c r="A10" i="15" s="1"/>
  <c r="Q10" i="15" s="1"/>
  <c r="A14" i="15" a="1"/>
  <c r="A14" i="15" s="1"/>
  <c r="A12" i="15" a="1"/>
  <c r="A12" i="15" s="1"/>
  <c r="A13" i="15" a="1"/>
  <c r="A13" i="15" s="1"/>
  <c r="A25" i="15" a="1"/>
  <c r="A25" i="15" s="1"/>
  <c r="A24" i="15" a="1"/>
  <c r="A24" i="15" s="1"/>
  <c r="A21" i="15" a="1"/>
  <c r="A21" i="15" s="1"/>
  <c r="A15" i="15" a="1"/>
  <c r="A15" i="15" s="1"/>
  <c r="A16" i="15" a="1"/>
  <c r="A16" i="15" s="1"/>
  <c r="C39" i="17"/>
  <c r="D39" i="17" s="1"/>
  <c r="E39" i="17"/>
  <c r="F39" i="17" s="1"/>
  <c r="D5" i="16"/>
  <c r="D8" i="16"/>
  <c r="D4" i="16"/>
  <c r="D41" i="16"/>
  <c r="D9" i="16"/>
  <c r="D7" i="16"/>
  <c r="D10" i="16"/>
  <c r="D17" i="16"/>
  <c r="D19" i="16"/>
  <c r="D21" i="16"/>
  <c r="D25" i="16"/>
  <c r="D32" i="16"/>
  <c r="D40" i="16"/>
  <c r="D38" i="16"/>
  <c r="D51" i="16"/>
  <c r="D53" i="16"/>
  <c r="D52" i="16"/>
  <c r="D42" i="16"/>
  <c r="D46" i="16"/>
  <c r="D43" i="16"/>
  <c r="D45" i="16"/>
  <c r="D47" i="16"/>
  <c r="D49" i="16"/>
  <c r="D50" i="16"/>
  <c r="D11" i="16"/>
  <c r="D23" i="16"/>
  <c r="D27" i="16"/>
  <c r="D29" i="16"/>
  <c r="D30" i="16"/>
  <c r="D31" i="16"/>
  <c r="D33" i="16"/>
  <c r="D35" i="16"/>
  <c r="D36" i="16"/>
  <c r="D39" i="16"/>
  <c r="D14" i="16"/>
  <c r="D22" i="16"/>
  <c r="D48" i="16"/>
  <c r="D16" i="16"/>
  <c r="D12" i="16"/>
  <c r="D13" i="16"/>
  <c r="D15" i="16"/>
  <c r="D18" i="16"/>
  <c r="D20" i="16"/>
  <c r="D24" i="16"/>
  <c r="D26" i="16"/>
  <c r="D28" i="16"/>
  <c r="D34" i="16"/>
  <c r="D37" i="16"/>
  <c r="D6" i="16"/>
  <c r="D44" i="16"/>
  <c r="A34" i="16" a="1"/>
  <c r="A34" i="16" s="1"/>
  <c r="Q34" i="16" s="1"/>
  <c r="G34" i="16"/>
  <c r="L34" i="16" s="1"/>
  <c r="A37" i="16" a="1"/>
  <c r="A37" i="16" s="1"/>
  <c r="Q37" i="16" s="1"/>
  <c r="G37" i="16"/>
  <c r="M37" i="16" s="1"/>
  <c r="G6" i="16"/>
  <c r="L6" i="16" s="1"/>
  <c r="G44" i="16"/>
  <c r="M44" i="16" s="1"/>
  <c r="B44" i="16" s="1" a="1"/>
  <c r="B44" i="16" s="1"/>
  <c r="A22" i="16" a="1"/>
  <c r="A22" i="16" s="1"/>
  <c r="Q22" i="16" s="1"/>
  <c r="G22" i="16"/>
  <c r="M22" i="16" s="1"/>
  <c r="B22" i="16" s="1" a="1"/>
  <c r="B22" i="16" s="1"/>
  <c r="A48" i="16" a="1"/>
  <c r="A48" i="16" s="1"/>
  <c r="Q48" i="16" s="1"/>
  <c r="G48" i="16"/>
  <c r="L48" i="16" s="1"/>
  <c r="A16" i="16" a="1"/>
  <c r="A16" i="16" s="1"/>
  <c r="Q16" i="16" s="1"/>
  <c r="G16" i="16"/>
  <c r="M16" i="16" s="1"/>
  <c r="B16" i="16" s="1" a="1"/>
  <c r="B16" i="16" s="1"/>
  <c r="A12" i="16" a="1"/>
  <c r="A12" i="16" s="1"/>
  <c r="Q12" i="16" s="1"/>
  <c r="G12" i="16"/>
  <c r="K12" i="16" s="1"/>
  <c r="A13" i="16" a="1"/>
  <c r="A13" i="16" s="1"/>
  <c r="Q13" i="16" s="1"/>
  <c r="G55" i="17" s="1"/>
  <c r="H55" i="17" s="1"/>
  <c r="G13" i="16"/>
  <c r="M13" i="16" s="1"/>
  <c r="B13" i="16" s="1" a="1"/>
  <c r="B13" i="16" s="1"/>
  <c r="A15" i="16" a="1"/>
  <c r="A15" i="16" s="1"/>
  <c r="Q15" i="16" s="1"/>
  <c r="G15" i="16"/>
  <c r="L15" i="16" s="1"/>
  <c r="G18" i="16"/>
  <c r="M18" i="16" s="1"/>
  <c r="B18" i="16" s="1" a="1"/>
  <c r="B18" i="16" s="1"/>
  <c r="A20" i="16" a="1"/>
  <c r="A20" i="16" s="1"/>
  <c r="Q20" i="16" s="1"/>
  <c r="G20" i="16"/>
  <c r="M20" i="16" s="1"/>
  <c r="B20" i="16" s="1" a="1"/>
  <c r="B20" i="16" s="1"/>
  <c r="A24" i="16" a="1"/>
  <c r="A24" i="16" s="1"/>
  <c r="Q24" i="16" s="1"/>
  <c r="G24" i="16"/>
  <c r="L24" i="16" s="1"/>
  <c r="A26" i="16" a="1"/>
  <c r="A26" i="16" s="1"/>
  <c r="Q26" i="16" s="1"/>
  <c r="G26" i="16"/>
  <c r="M26" i="16" s="1"/>
  <c r="A28" i="16" a="1"/>
  <c r="A28" i="16" s="1"/>
  <c r="Q28" i="16" s="1"/>
  <c r="G28" i="16"/>
  <c r="K28" i="16" s="1"/>
  <c r="G14" i="16"/>
  <c r="M14" i="16" s="1"/>
  <c r="B14" i="16" s="1" a="1"/>
  <c r="B14" i="16" s="1"/>
  <c r="D8" i="15"/>
  <c r="D5" i="15"/>
  <c r="D6" i="15"/>
  <c r="D7" i="15"/>
  <c r="D17" i="15"/>
  <c r="D9" i="15"/>
  <c r="D10" i="15"/>
  <c r="D11" i="15"/>
  <c r="D14" i="15"/>
  <c r="D12" i="15"/>
  <c r="D13" i="15"/>
  <c r="D22" i="15"/>
  <c r="D19" i="15"/>
  <c r="D25" i="15"/>
  <c r="D23" i="15"/>
  <c r="D24" i="15"/>
  <c r="D20" i="15"/>
  <c r="D21" i="15"/>
  <c r="D15" i="15"/>
  <c r="D4" i="15"/>
  <c r="D18" i="15"/>
  <c r="D3" i="15"/>
  <c r="G5" i="15"/>
  <c r="L5" i="15" s="1"/>
  <c r="G10" i="15"/>
  <c r="M10" i="15" s="1"/>
  <c r="G11" i="15"/>
  <c r="L11" i="15" s="1"/>
  <c r="G4" i="15"/>
  <c r="M4" i="15" s="1"/>
  <c r="A18" i="16" l="1" a="1"/>
  <c r="A18" i="16" s="1"/>
  <c r="Q18" i="16" s="1"/>
  <c r="A14" i="16" a="1"/>
  <c r="A14" i="16" s="1"/>
  <c r="Q14" i="16" s="1"/>
  <c r="A44" i="16" a="1"/>
  <c r="A44" i="16" s="1"/>
  <c r="Q44" i="16" s="1"/>
  <c r="K13" i="16"/>
  <c r="K20" i="16"/>
  <c r="L22" i="16"/>
  <c r="L18" i="16"/>
  <c r="K24" i="16"/>
  <c r="L26" i="16"/>
  <c r="K16" i="16"/>
  <c r="K34" i="16"/>
  <c r="K15" i="16"/>
  <c r="M24" i="16"/>
  <c r="B24" i="16" s="1" a="1"/>
  <c r="B24" i="16" s="1"/>
  <c r="K18" i="16"/>
  <c r="K4" i="15"/>
  <c r="G39" i="17"/>
  <c r="H39" i="17" s="1"/>
  <c r="M28" i="16"/>
  <c r="K26" i="16"/>
  <c r="K22" i="16"/>
  <c r="L28" i="16"/>
  <c r="M6" i="16"/>
  <c r="L20" i="16"/>
  <c r="K48" i="16"/>
  <c r="K6" i="16"/>
  <c r="M34" i="16"/>
  <c r="L37" i="16"/>
  <c r="K37" i="16"/>
  <c r="M12" i="16"/>
  <c r="B12" i="16" s="1" a="1"/>
  <c r="B12" i="16" s="1"/>
  <c r="L14" i="16"/>
  <c r="M15" i="16"/>
  <c r="B15" i="16" s="1" a="1"/>
  <c r="B15" i="16" s="1"/>
  <c r="L12" i="16"/>
  <c r="M48" i="16"/>
  <c r="B48" i="16" s="1" a="1"/>
  <c r="B48" i="16" s="1"/>
  <c r="L44" i="16"/>
  <c r="K14" i="16"/>
  <c r="L13" i="16"/>
  <c r="L16" i="16"/>
  <c r="K44" i="16"/>
  <c r="M5" i="15"/>
  <c r="K5" i="15"/>
  <c r="M11" i="15"/>
  <c r="L10" i="15"/>
  <c r="L4" i="15"/>
  <c r="K11" i="15"/>
  <c r="K10" i="15"/>
  <c r="A41" i="16" l="1" a="1"/>
  <c r="A41" i="16" s="1"/>
  <c r="A10" i="16" a="1"/>
  <c r="A10" i="16" s="1"/>
  <c r="A17" i="16" a="1"/>
  <c r="A17" i="16" s="1"/>
  <c r="A21" i="16" a="1"/>
  <c r="A21" i="16" s="1"/>
  <c r="A25" i="16" a="1"/>
  <c r="A25" i="16" s="1"/>
  <c r="A32" i="16" a="1"/>
  <c r="A32" i="16" s="1"/>
  <c r="A53" i="16" a="1"/>
  <c r="A53" i="16" s="1"/>
  <c r="A52" i="16" a="1"/>
  <c r="A52" i="16" s="1"/>
  <c r="A42" i="16" a="1"/>
  <c r="A42" i="16" s="1"/>
  <c r="A46" i="16" a="1"/>
  <c r="A46" i="16" s="1"/>
  <c r="A43" i="16" a="1"/>
  <c r="A43" i="16" s="1"/>
  <c r="A49" i="16" a="1"/>
  <c r="A49" i="16" s="1"/>
  <c r="A50" i="16" a="1"/>
  <c r="A50" i="16" s="1"/>
  <c r="A11" i="16" a="1"/>
  <c r="A11" i="16" s="1"/>
  <c r="A23" i="16" a="1"/>
  <c r="A23" i="16" s="1"/>
  <c r="A27" i="16" a="1"/>
  <c r="A27" i="16" s="1"/>
  <c r="A29" i="16" a="1"/>
  <c r="A29" i="16" s="1"/>
  <c r="A31" i="16" a="1"/>
  <c r="A31" i="16" s="1"/>
  <c r="A33" i="16" a="1"/>
  <c r="A33" i="16" s="1"/>
  <c r="A35" i="16" a="1"/>
  <c r="A35" i="16" s="1"/>
  <c r="A39" i="16" a="1"/>
  <c r="A39" i="16" s="1"/>
  <c r="Q15" i="15"/>
  <c r="G3" i="17" s="1"/>
  <c r="H3" i="17" s="1"/>
  <c r="A44" i="14" a="1"/>
  <c r="A44" i="14" s="1"/>
  <c r="A47" i="14" a="1"/>
  <c r="A47" i="14" s="1"/>
  <c r="A7" i="14" a="1"/>
  <c r="A7" i="14" s="1"/>
  <c r="A10" i="14" a="1"/>
  <c r="A10" i="14" s="1"/>
  <c r="A8" i="14" a="1"/>
  <c r="A8" i="14" s="1"/>
  <c r="A9" i="14" a="1"/>
  <c r="A9" i="14" s="1"/>
  <c r="Q9" i="14" s="1"/>
  <c r="A20" i="14" a="1"/>
  <c r="A20" i="14" s="1"/>
  <c r="A13" i="14" a="1"/>
  <c r="A13" i="14" s="1"/>
  <c r="A32" i="14" a="1"/>
  <c r="A32" i="14" s="1"/>
  <c r="Q32" i="14" s="1"/>
  <c r="A64" i="14" a="1"/>
  <c r="A64" i="14" s="1"/>
  <c r="Q64" i="14" s="1"/>
  <c r="A36" i="14" a="1"/>
  <c r="A36" i="14" s="1"/>
  <c r="A12" i="14" a="1"/>
  <c r="A12" i="14" s="1"/>
  <c r="A31" i="14" a="1"/>
  <c r="A31" i="14" s="1"/>
  <c r="A40" i="14" a="1"/>
  <c r="A40" i="14" s="1"/>
  <c r="A60" i="14" a="1"/>
  <c r="A60" i="14" s="1"/>
  <c r="A63" i="14" a="1"/>
  <c r="A63" i="14" s="1"/>
  <c r="A62" i="14" a="1"/>
  <c r="A62" i="14" s="1"/>
  <c r="A48" i="14" a="1"/>
  <c r="A48" i="14" s="1"/>
  <c r="A49" i="14" a="1"/>
  <c r="A49" i="14" s="1"/>
  <c r="A46" i="14" a="1"/>
  <c r="A46" i="14" s="1"/>
  <c r="Q46" i="14" s="1"/>
  <c r="A52" i="14" a="1"/>
  <c r="A52" i="14" s="1"/>
  <c r="A53" i="14" a="1"/>
  <c r="A53" i="14" s="1"/>
  <c r="Q53" i="14" s="1"/>
  <c r="A59" i="14" a="1"/>
  <c r="A59" i="14" s="1"/>
  <c r="Q59" i="14" s="1"/>
  <c r="A61" i="14" a="1"/>
  <c r="A61" i="14" s="1"/>
  <c r="Q61" i="14" s="1"/>
  <c r="A66" i="14" a="1"/>
  <c r="A66" i="14" s="1"/>
  <c r="Q66" i="14" s="1"/>
  <c r="A50" i="14" a="1"/>
  <c r="A50" i="14" s="1"/>
  <c r="Q50" i="14" s="1"/>
  <c r="A54" i="14" a="1"/>
  <c r="A54" i="14" s="1"/>
  <c r="Q54" i="14" s="1"/>
  <c r="E45" i="17" s="1"/>
  <c r="F45" i="17" s="1"/>
  <c r="A56" i="14" a="1"/>
  <c r="A56" i="14" s="1"/>
  <c r="A51" i="14" a="1"/>
  <c r="A51" i="14" s="1"/>
  <c r="Q51" i="14" s="1"/>
  <c r="A58" i="14" a="1"/>
  <c r="A58" i="14" s="1"/>
  <c r="A57" i="14" a="1"/>
  <c r="A57" i="14" s="1"/>
  <c r="Q57" i="14" s="1"/>
  <c r="A55" i="14" a="1"/>
  <c r="A55" i="14" s="1"/>
  <c r="Q55" i="14" s="1"/>
  <c r="A15" i="14" a="1"/>
  <c r="A15" i="14" s="1"/>
  <c r="Q15" i="14" s="1"/>
  <c r="A19" i="14" a="1"/>
  <c r="A19" i="14" s="1"/>
  <c r="Q19" i="14" s="1"/>
  <c r="A16" i="14" a="1"/>
  <c r="A16" i="14" s="1"/>
  <c r="A22" i="14" a="1"/>
  <c r="A22" i="14" s="1"/>
  <c r="A33" i="14" a="1"/>
  <c r="A33" i="14" s="1"/>
  <c r="A34" i="14" a="1"/>
  <c r="A34" i="14" s="1"/>
  <c r="A38" i="14" a="1"/>
  <c r="A38" i="14" s="1"/>
  <c r="A41" i="14" a="1"/>
  <c r="A41" i="14" s="1"/>
  <c r="A21" i="14" a="1"/>
  <c r="A21" i="14" s="1"/>
  <c r="A37" i="14" a="1"/>
  <c r="A37" i="14" s="1"/>
  <c r="A35" i="14" a="1"/>
  <c r="A35" i="14" s="1"/>
  <c r="A6" i="14" a="1"/>
  <c r="A6" i="14" s="1"/>
  <c r="A12" i="6" a="1"/>
  <c r="A12" i="6" s="1"/>
  <c r="A24" i="6" a="1"/>
  <c r="A24" i="6" s="1"/>
  <c r="A18" i="6" a="1"/>
  <c r="A18" i="6" s="1"/>
  <c r="Q18" i="6" s="1"/>
  <c r="A29" i="6" a="1"/>
  <c r="A29" i="6" s="1"/>
  <c r="A33" i="6" a="1"/>
  <c r="A33" i="6" s="1"/>
  <c r="A32" i="6" a="1"/>
  <c r="A32" i="6" s="1"/>
  <c r="Q32" i="6" s="1"/>
  <c r="A9" i="6" a="1"/>
  <c r="A9" i="6" s="1"/>
  <c r="A15" i="6" a="1"/>
  <c r="A15" i="6" s="1"/>
  <c r="Q15" i="6" s="1"/>
  <c r="A17" i="6" a="1"/>
  <c r="A17" i="6" s="1"/>
  <c r="A21" i="6" a="1"/>
  <c r="A21" i="6" s="1"/>
  <c r="Q21" i="6" s="1"/>
  <c r="A25" i="6" a="1"/>
  <c r="A25" i="6" s="1"/>
  <c r="E38" i="17"/>
  <c r="F38" i="17" s="1"/>
  <c r="A22" i="6" a="1"/>
  <c r="A22" i="6" s="1"/>
  <c r="Q22" i="6" s="1"/>
  <c r="A56" i="6" a="1"/>
  <c r="A56" i="6" s="1"/>
  <c r="A46" i="6" a="1"/>
  <c r="A46" i="6" s="1"/>
  <c r="A35" i="6" a="1"/>
  <c r="A35" i="6" s="1"/>
  <c r="A34" i="6" a="1"/>
  <c r="A34" i="6" s="1"/>
  <c r="A45" i="6" a="1"/>
  <c r="A45" i="6" s="1"/>
  <c r="A51" i="6" a="1"/>
  <c r="A51" i="6" s="1"/>
  <c r="A52" i="6" a="1"/>
  <c r="A52" i="6" s="1"/>
  <c r="A30" i="6" a="1"/>
  <c r="A30" i="6" s="1"/>
  <c r="A49" i="6" a="1"/>
  <c r="A49" i="6" s="1"/>
  <c r="Q49" i="6" s="1"/>
  <c r="A53" i="6" a="1"/>
  <c r="A53" i="6" s="1"/>
  <c r="Q53" i="6" s="1"/>
  <c r="A48" i="6" a="1"/>
  <c r="A48" i="6" s="1"/>
  <c r="Q48" i="6" s="1"/>
  <c r="A54" i="6" a="1"/>
  <c r="A54" i="6" s="1"/>
  <c r="Q54" i="6" s="1"/>
  <c r="A55" i="6" a="1"/>
  <c r="A55" i="6" s="1"/>
  <c r="Q55" i="6" s="1"/>
  <c r="A36" i="6" a="1"/>
  <c r="A36" i="6" s="1"/>
  <c r="A38" i="6" a="1"/>
  <c r="A38" i="6" s="1"/>
  <c r="Q38" i="6" s="1"/>
  <c r="A37" i="6" a="1"/>
  <c r="A37" i="6" s="1"/>
  <c r="Q37" i="6" s="1"/>
  <c r="A40" i="6" a="1"/>
  <c r="A40" i="6" s="1"/>
  <c r="Q40" i="6" s="1"/>
  <c r="A41" i="6" a="1"/>
  <c r="A41" i="6" s="1"/>
  <c r="A43" i="6" a="1"/>
  <c r="A43" i="6" s="1"/>
  <c r="Q43" i="6" s="1"/>
  <c r="A42" i="6" a="1"/>
  <c r="A42" i="6" s="1"/>
  <c r="A20" i="6" a="1"/>
  <c r="A20" i="6" s="1"/>
  <c r="A10" i="13" a="1"/>
  <c r="A10" i="13" s="1"/>
  <c r="A7" i="13" a="1"/>
  <c r="A7" i="13" s="1"/>
  <c r="R7" i="13" s="1"/>
  <c r="A15" i="13" a="1"/>
  <c r="A15" i="13" s="1"/>
  <c r="R15" i="13" s="1"/>
  <c r="A6" i="13" a="1"/>
  <c r="A6" i="13" s="1"/>
  <c r="A16" i="13" a="1"/>
  <c r="A16" i="13" s="1"/>
  <c r="A4" i="13" a="1"/>
  <c r="A4" i="13" s="1"/>
  <c r="R4" i="13" s="1"/>
  <c r="A19" i="13" a="1"/>
  <c r="A19" i="13" s="1"/>
  <c r="R19" i="13" s="1"/>
  <c r="A5" i="13" a="1"/>
  <c r="A5" i="13" s="1"/>
  <c r="R5" i="13" s="1"/>
  <c r="A12" i="13" a="1"/>
  <c r="A12" i="13" s="1"/>
  <c r="R12" i="13" s="1"/>
  <c r="A18" i="13" a="1"/>
  <c r="A18" i="13" s="1"/>
  <c r="A8" i="13" a="1"/>
  <c r="A8" i="13" s="1"/>
  <c r="A11" i="13" a="1"/>
  <c r="A11" i="13" s="1"/>
  <c r="A20" i="13" a="1"/>
  <c r="A20" i="13" s="1"/>
  <c r="A13" i="13" a="1"/>
  <c r="A13" i="13" s="1"/>
  <c r="R13" i="13" s="1"/>
  <c r="A9" i="13" a="1"/>
  <c r="A9" i="13" s="1"/>
  <c r="A3" i="13" a="1"/>
  <c r="A3" i="13" s="1"/>
  <c r="R3" i="13" s="1"/>
  <c r="A7" i="12" a="1"/>
  <c r="A7" i="12" s="1"/>
  <c r="R7" i="12" s="1"/>
  <c r="A13" i="12" a="1"/>
  <c r="A13" i="12" s="1"/>
  <c r="A5" i="12" a="1"/>
  <c r="A5" i="12" s="1"/>
  <c r="A8" i="12" a="1"/>
  <c r="A8" i="12" s="1"/>
  <c r="A11" i="12" a="1"/>
  <c r="A11" i="12" s="1"/>
  <c r="R11" i="12" s="1"/>
  <c r="A12" i="12" a="1"/>
  <c r="A12" i="12" s="1"/>
  <c r="R12" i="12" s="1"/>
  <c r="A10" i="12" a="1"/>
  <c r="A10" i="12" s="1"/>
  <c r="A4" i="12" a="1"/>
  <c r="A4" i="12" s="1"/>
  <c r="R4" i="12" s="1"/>
  <c r="A15" i="12" a="1"/>
  <c r="A15" i="12" s="1"/>
  <c r="R15" i="12" s="1"/>
  <c r="A3" i="11" a="1"/>
  <c r="A3" i="11" s="1"/>
  <c r="Q3" i="11" s="1"/>
  <c r="A55" i="11" a="1"/>
  <c r="A55" i="11" s="1"/>
  <c r="A56" i="11" a="1"/>
  <c r="A56" i="11" s="1"/>
  <c r="A54" i="11" a="1"/>
  <c r="A54" i="11" s="1"/>
  <c r="A72" i="11" a="1"/>
  <c r="A72" i="11" s="1"/>
  <c r="A7" i="11" a="1"/>
  <c r="A7" i="11" s="1"/>
  <c r="A11" i="11" a="1"/>
  <c r="A11" i="11" s="1"/>
  <c r="Q11" i="11" s="1"/>
  <c r="C22" i="17" s="1"/>
  <c r="D22" i="17" s="1"/>
  <c r="A12" i="11" a="1"/>
  <c r="A12" i="11" s="1"/>
  <c r="A14" i="11" a="1"/>
  <c r="A14" i="11" s="1"/>
  <c r="A20" i="11" a="1"/>
  <c r="A20" i="11" s="1"/>
  <c r="Q20" i="11" s="1"/>
  <c r="A22" i="11" a="1"/>
  <c r="A22" i="11" s="1"/>
  <c r="A27" i="11" a="1"/>
  <c r="A27" i="11" s="1"/>
  <c r="A9" i="11" a="1"/>
  <c r="A9" i="11" s="1"/>
  <c r="A39" i="11" a="1"/>
  <c r="A39" i="11" s="1"/>
  <c r="A34" i="11" a="1"/>
  <c r="A34" i="11" s="1"/>
  <c r="A48" i="11" a="1"/>
  <c r="A48" i="11" s="1"/>
  <c r="A52" i="11" a="1"/>
  <c r="A52" i="11" s="1"/>
  <c r="A60" i="11" a="1"/>
  <c r="A60" i="11" s="1"/>
  <c r="A66" i="11" a="1"/>
  <c r="A66" i="11" s="1"/>
  <c r="Q66" i="11" s="1"/>
  <c r="A62" i="11" a="1"/>
  <c r="A62" i="11" s="1"/>
  <c r="Q62" i="11" s="1"/>
  <c r="A59" i="11" a="1"/>
  <c r="A59" i="11" s="1"/>
  <c r="A73" i="11" a="1"/>
  <c r="A73" i="11" s="1"/>
  <c r="A76" i="11" a="1"/>
  <c r="A76" i="11" s="1"/>
  <c r="Q76" i="11" s="1"/>
  <c r="C58" i="17" s="1"/>
  <c r="D58" i="17" s="1"/>
  <c r="A75" i="11" a="1"/>
  <c r="A75" i="11" s="1"/>
  <c r="Q75" i="11" s="1"/>
  <c r="A81" i="11" a="1"/>
  <c r="A81" i="11" s="1"/>
  <c r="Q81" i="11" s="1"/>
  <c r="A79" i="11" a="1"/>
  <c r="A79" i="11" s="1"/>
  <c r="A51" i="11" a="1"/>
  <c r="A51" i="11" s="1"/>
  <c r="A80" i="11" a="1"/>
  <c r="A80" i="11" s="1"/>
  <c r="Q80" i="11" s="1"/>
  <c r="A78" i="11" a="1"/>
  <c r="A78" i="11" s="1"/>
  <c r="A10" i="11" a="1"/>
  <c r="A10" i="11" s="1"/>
  <c r="A69" i="11" a="1"/>
  <c r="A69" i="11" s="1"/>
  <c r="Q69" i="11" s="1"/>
  <c r="A57" i="11" a="1"/>
  <c r="A57" i="11" s="1"/>
  <c r="Q57" i="11" s="1"/>
  <c r="A63" i="11" a="1"/>
  <c r="A63" i="11" s="1"/>
  <c r="A65" i="11" a="1"/>
  <c r="A65" i="11" s="1"/>
  <c r="A64" i="11" a="1"/>
  <c r="A64" i="11" s="1"/>
  <c r="A61" i="11" a="1"/>
  <c r="A61" i="11" s="1"/>
  <c r="Q61" i="11" s="1"/>
  <c r="A67" i="11" a="1"/>
  <c r="A67" i="11" s="1"/>
  <c r="Q67" i="11" s="1"/>
  <c r="C35" i="17" s="1"/>
  <c r="D35" i="17" s="1"/>
  <c r="A70" i="11" a="1"/>
  <c r="A70" i="11" s="1"/>
  <c r="A71" i="11" a="1"/>
  <c r="A71" i="11" s="1"/>
  <c r="A17" i="11" a="1"/>
  <c r="A17" i="11" s="1"/>
  <c r="A15" i="11" a="1"/>
  <c r="A15" i="11" s="1"/>
  <c r="Q15" i="11" s="1"/>
  <c r="A21" i="11" a="1"/>
  <c r="A21" i="11" s="1"/>
  <c r="A47" i="11" a="1"/>
  <c r="A47" i="11" s="1"/>
  <c r="A32" i="11" a="1"/>
  <c r="A32" i="11" s="1"/>
  <c r="Q32" i="11" s="1"/>
  <c r="A33" i="11" a="1"/>
  <c r="A33" i="11" s="1"/>
  <c r="A23" i="11" a="1"/>
  <c r="A23" i="11" s="1"/>
  <c r="A25" i="11" a="1"/>
  <c r="A25" i="11" s="1"/>
  <c r="Q25" i="11" s="1"/>
  <c r="A28" i="11" a="1"/>
  <c r="A28" i="11" s="1"/>
  <c r="Q28" i="11" s="1"/>
  <c r="A26" i="11" a="1"/>
  <c r="A26" i="11" s="1"/>
  <c r="Q26" i="11" s="1"/>
  <c r="A30" i="11" a="1"/>
  <c r="A30" i="11" s="1"/>
  <c r="A36" i="11" a="1"/>
  <c r="A36" i="11" s="1"/>
  <c r="Q36" i="11" s="1"/>
  <c r="A24" i="11" a="1"/>
  <c r="A24" i="11" s="1"/>
  <c r="A35" i="11" a="1"/>
  <c r="A35" i="11" s="1"/>
  <c r="A44" i="11" a="1"/>
  <c r="A44" i="11" s="1"/>
  <c r="A46" i="11" a="1"/>
  <c r="A46" i="11" s="1"/>
  <c r="Q46" i="11" s="1"/>
  <c r="A4" i="11" a="1"/>
  <c r="A4" i="11" s="1"/>
  <c r="Q4" i="11" s="1"/>
  <c r="A68" i="11" a="1"/>
  <c r="A68" i="11" s="1"/>
  <c r="Q68" i="11" s="1"/>
  <c r="A74" i="11" a="1"/>
  <c r="A74" i="11" s="1"/>
  <c r="Q74" i="11" s="1"/>
  <c r="A31" i="11" a="1"/>
  <c r="A31" i="11" s="1"/>
  <c r="Q31" i="11" s="1"/>
  <c r="A8" i="3" a="1"/>
  <c r="A8" i="3" s="1"/>
  <c r="Q8" i="3" s="1"/>
  <c r="A14" i="3" a="1"/>
  <c r="A14" i="3" s="1"/>
  <c r="Q14" i="3" s="1"/>
  <c r="A40" i="3" a="1"/>
  <c r="A40" i="3" s="1"/>
  <c r="Q40" i="3" s="1"/>
  <c r="A9" i="3" a="1"/>
  <c r="A9" i="3" s="1"/>
  <c r="Q9" i="3" s="1"/>
  <c r="A13" i="3" a="1"/>
  <c r="A13" i="3" s="1"/>
  <c r="Q13" i="3" s="1"/>
  <c r="A15" i="3" a="1"/>
  <c r="A15" i="3" s="1"/>
  <c r="Q15" i="3" s="1"/>
  <c r="A17" i="3" a="1"/>
  <c r="A17" i="3" s="1"/>
  <c r="Q17" i="3" s="1"/>
  <c r="A16" i="3" a="1"/>
  <c r="A16" i="3" s="1"/>
  <c r="Q16" i="3" s="1"/>
  <c r="A21" i="3" a="1"/>
  <c r="A21" i="3" s="1"/>
  <c r="Q21" i="3" s="1"/>
  <c r="A23" i="3" a="1"/>
  <c r="A23" i="3" s="1"/>
  <c r="Q23" i="3" s="1"/>
  <c r="A24" i="3" a="1"/>
  <c r="A24" i="3" s="1"/>
  <c r="Q24" i="3" s="1"/>
  <c r="A27" i="3" a="1"/>
  <c r="A27" i="3" s="1"/>
  <c r="Q27" i="3" s="1"/>
  <c r="A30" i="3" a="1"/>
  <c r="A30" i="3" s="1"/>
  <c r="Q30" i="3" s="1"/>
  <c r="A34" i="3" a="1"/>
  <c r="A34" i="3" s="1"/>
  <c r="Q34" i="3" s="1"/>
  <c r="A35" i="3" a="1"/>
  <c r="A35" i="3" s="1"/>
  <c r="Q35" i="3" s="1"/>
  <c r="A37" i="3" a="1"/>
  <c r="A37" i="3" s="1"/>
  <c r="Q37" i="3" s="1"/>
  <c r="A38" i="3" a="1"/>
  <c r="A38" i="3" s="1"/>
  <c r="Q38" i="3" s="1"/>
  <c r="A39" i="3" a="1"/>
  <c r="A39" i="3" s="1"/>
  <c r="A41" i="3" a="1"/>
  <c r="A41" i="3" s="1"/>
  <c r="Q41" i="3" s="1"/>
  <c r="A49" i="3" a="1"/>
  <c r="A49" i="3" s="1"/>
  <c r="Q49" i="3" s="1"/>
  <c r="A56" i="3" a="1"/>
  <c r="A56" i="3" s="1"/>
  <c r="Q56" i="3" s="1"/>
  <c r="A59" i="3" a="1"/>
  <c r="A59" i="3" s="1"/>
  <c r="Q59" i="3" s="1"/>
  <c r="A62" i="3" a="1"/>
  <c r="A62" i="3" s="1"/>
  <c r="Q62" i="3" s="1"/>
  <c r="A61" i="3" a="1"/>
  <c r="A61" i="3" s="1"/>
  <c r="Q61" i="3" s="1"/>
  <c r="A63" i="3" a="1"/>
  <c r="A63" i="3" s="1"/>
  <c r="Q63" i="3" s="1"/>
  <c r="A66" i="3" a="1"/>
  <c r="A66" i="3" s="1"/>
  <c r="Q66" i="3" s="1"/>
  <c r="A64" i="3" a="1"/>
  <c r="A64" i="3" s="1"/>
  <c r="Q64" i="3" s="1"/>
  <c r="A58" i="3" a="1"/>
  <c r="A58" i="3" s="1"/>
  <c r="Q58" i="3" s="1"/>
  <c r="A65" i="3" a="1"/>
  <c r="A65" i="3" s="1"/>
  <c r="Q65" i="3" s="1"/>
  <c r="A42" i="3" a="1"/>
  <c r="A42" i="3" s="1"/>
  <c r="Q42" i="3" s="1"/>
  <c r="A52" i="3" a="1"/>
  <c r="A52" i="3" s="1"/>
  <c r="Q52" i="3" s="1"/>
  <c r="A48" i="3" a="1"/>
  <c r="A48" i="3" s="1"/>
  <c r="Q48" i="3" s="1"/>
  <c r="A25" i="3" a="1"/>
  <c r="A25" i="3" s="1"/>
  <c r="Q25" i="3" s="1"/>
  <c r="A28" i="3" a="1"/>
  <c r="A28" i="3" s="1"/>
  <c r="Q28" i="3" s="1"/>
  <c r="A44" i="3" a="1"/>
  <c r="A44" i="3" s="1"/>
  <c r="Q44" i="3" s="1"/>
  <c r="A20" i="3" a="1"/>
  <c r="A20" i="3" s="1"/>
  <c r="Q20" i="3" s="1"/>
  <c r="A29" i="3" a="1"/>
  <c r="A29" i="3" s="1"/>
  <c r="Q29" i="3" s="1"/>
  <c r="A32" i="3" a="1"/>
  <c r="A32" i="3" s="1"/>
  <c r="Q32" i="3" s="1"/>
  <c r="A19" i="3" a="1"/>
  <c r="A19" i="3" s="1"/>
  <c r="Q19" i="3" s="1"/>
  <c r="A7" i="3" a="1"/>
  <c r="A7" i="3" s="1"/>
  <c r="Q7" i="3" s="1"/>
  <c r="D4" i="11"/>
  <c r="G4" i="11"/>
  <c r="X4" i="11"/>
  <c r="AE4" i="11"/>
  <c r="D5" i="11"/>
  <c r="G5" i="11"/>
  <c r="X5" i="11"/>
  <c r="AE5" i="11"/>
  <c r="D68" i="11"/>
  <c r="G68" i="11"/>
  <c r="X68" i="11"/>
  <c r="AE68" i="11"/>
  <c r="D19" i="11"/>
  <c r="G19" i="11"/>
  <c r="K19" i="11" s="1"/>
  <c r="X19" i="11"/>
  <c r="AE19" i="11"/>
  <c r="D74" i="11"/>
  <c r="G74" i="11"/>
  <c r="L74" i="11" s="1"/>
  <c r="X74" i="11"/>
  <c r="AE74" i="11"/>
  <c r="D31" i="11"/>
  <c r="G31" i="11"/>
  <c r="K31" i="11" s="1"/>
  <c r="X31" i="11"/>
  <c r="AE31" i="11"/>
  <c r="D20" i="3"/>
  <c r="G20" i="3"/>
  <c r="X20" i="3"/>
  <c r="AE20" i="3"/>
  <c r="D29" i="3"/>
  <c r="G29" i="3"/>
  <c r="L29" i="3" s="1"/>
  <c r="X29" i="3"/>
  <c r="AE29" i="3"/>
  <c r="D32" i="3"/>
  <c r="G32" i="3"/>
  <c r="X32" i="3"/>
  <c r="AE32" i="3"/>
  <c r="D19" i="3"/>
  <c r="G19" i="3"/>
  <c r="X19" i="3"/>
  <c r="AE19" i="3"/>
  <c r="D43" i="6"/>
  <c r="G43" i="6"/>
  <c r="L43" i="6" s="1"/>
  <c r="D32" i="14"/>
  <c r="G32" i="14"/>
  <c r="L32" i="14" s="1"/>
  <c r="D46" i="14"/>
  <c r="G46" i="14"/>
  <c r="K46" i="14" s="1"/>
  <c r="G20" i="15"/>
  <c r="K20" i="15" s="1"/>
  <c r="G15" i="15"/>
  <c r="K15" i="15" s="1"/>
  <c r="G5" i="14"/>
  <c r="G6" i="14"/>
  <c r="G4" i="14"/>
  <c r="G45" i="14"/>
  <c r="G43" i="14"/>
  <c r="G7" i="14"/>
  <c r="G13" i="14"/>
  <c r="G47" i="14"/>
  <c r="G42" i="14"/>
  <c r="G8" i="14"/>
  <c r="G14" i="14"/>
  <c r="G40" i="14"/>
  <c r="G10" i="14"/>
  <c r="G60" i="14"/>
  <c r="G63" i="14"/>
  <c r="G62" i="14"/>
  <c r="G44" i="14"/>
  <c r="G56" i="14"/>
  <c r="G48" i="14"/>
  <c r="G36" i="14"/>
  <c r="G20" i="14"/>
  <c r="G58" i="14"/>
  <c r="G31" i="14"/>
  <c r="G12" i="14"/>
  <c r="G16" i="14"/>
  <c r="G49" i="14"/>
  <c r="G22" i="14"/>
  <c r="G18" i="14"/>
  <c r="G52" i="14"/>
  <c r="G17" i="14"/>
  <c r="G11" i="14"/>
  <c r="G23" i="14"/>
  <c r="G29" i="14"/>
  <c r="G33" i="14"/>
  <c r="G34" i="14"/>
  <c r="G25" i="14"/>
  <c r="G24" i="14"/>
  <c r="G41" i="14"/>
  <c r="G21" i="14"/>
  <c r="G38" i="14"/>
  <c r="G26" i="14"/>
  <c r="G37" i="14"/>
  <c r="G35" i="14"/>
  <c r="G9" i="14"/>
  <c r="L9" i="14" s="1"/>
  <c r="G64" i="14"/>
  <c r="K64" i="14" s="1"/>
  <c r="G53" i="14"/>
  <c r="M53" i="14" s="1"/>
  <c r="G59" i="14"/>
  <c r="K59" i="14" s="1"/>
  <c r="G61" i="14"/>
  <c r="G66" i="14"/>
  <c r="K66" i="14" s="1"/>
  <c r="G65" i="14"/>
  <c r="K65" i="14" s="1"/>
  <c r="G50" i="14"/>
  <c r="L50" i="14" s="1"/>
  <c r="G54" i="14"/>
  <c r="M54" i="14" s="1"/>
  <c r="G51" i="14"/>
  <c r="G57" i="14"/>
  <c r="M57" i="14" s="1"/>
  <c r="G55" i="14"/>
  <c r="K55" i="14" s="1"/>
  <c r="G15" i="14"/>
  <c r="G19" i="14"/>
  <c r="K19" i="14" s="1"/>
  <c r="G3" i="14"/>
  <c r="D13" i="6"/>
  <c r="G13" i="6"/>
  <c r="L13" i="6" s="1"/>
  <c r="D18" i="6"/>
  <c r="G18" i="6"/>
  <c r="K18" i="6" s="1"/>
  <c r="D49" i="6"/>
  <c r="G49" i="6"/>
  <c r="M49" i="6" s="1"/>
  <c r="B49" i="6" s="1" a="1"/>
  <c r="B49" i="6" s="1"/>
  <c r="D32" i="6"/>
  <c r="G32" i="6"/>
  <c r="K32" i="6" s="1"/>
  <c r="D21" i="6"/>
  <c r="G21" i="6"/>
  <c r="L21" i="6" s="1"/>
  <c r="D22" i="6"/>
  <c r="G22" i="6"/>
  <c r="K22" i="6" s="1"/>
  <c r="D48" i="6"/>
  <c r="G48" i="6"/>
  <c r="M48" i="6" s="1"/>
  <c r="B48" i="6" s="1" a="1"/>
  <c r="B48" i="6" s="1"/>
  <c r="D54" i="6"/>
  <c r="G54" i="6"/>
  <c r="K54" i="6" s="1"/>
  <c r="D55" i="6"/>
  <c r="G55" i="6"/>
  <c r="K55" i="6" s="1"/>
  <c r="D38" i="6"/>
  <c r="G38" i="6"/>
  <c r="L38" i="6" s="1"/>
  <c r="D15" i="6"/>
  <c r="G15" i="6"/>
  <c r="L15" i="6" s="1"/>
  <c r="D53" i="6"/>
  <c r="G53" i="6"/>
  <c r="L53" i="6" s="1"/>
  <c r="D37" i="6"/>
  <c r="G37" i="6"/>
  <c r="K37" i="6" s="1"/>
  <c r="D40" i="6"/>
  <c r="G40" i="6"/>
  <c r="M40" i="6" s="1"/>
  <c r="B40" i="6" s="1" a="1"/>
  <c r="B40" i="6" s="1"/>
  <c r="C8" i="17"/>
  <c r="D8" i="17" s="1"/>
  <c r="G8" i="17"/>
  <c r="H8" i="17" s="1"/>
  <c r="D9" i="14"/>
  <c r="D64" i="14"/>
  <c r="D53" i="14"/>
  <c r="D59" i="14"/>
  <c r="D61" i="14"/>
  <c r="D66" i="14"/>
  <c r="D65" i="14"/>
  <c r="D50" i="14"/>
  <c r="D54" i="14"/>
  <c r="D51" i="14"/>
  <c r="D57" i="14"/>
  <c r="D55" i="14"/>
  <c r="D15" i="14"/>
  <c r="D19" i="14"/>
  <c r="D5" i="14"/>
  <c r="E58" i="17"/>
  <c r="F58" i="17" s="1"/>
  <c r="G58" i="17"/>
  <c r="H58" i="17" s="1"/>
  <c r="E35" i="17"/>
  <c r="F35" i="17" s="1"/>
  <c r="G35" i="17"/>
  <c r="H35" i="17" s="1"/>
  <c r="E22" i="17"/>
  <c r="F22" i="17" s="1"/>
  <c r="G22" i="17"/>
  <c r="H22" i="17" s="1"/>
  <c r="D6" i="11"/>
  <c r="D11" i="11"/>
  <c r="D20" i="11"/>
  <c r="D66" i="11"/>
  <c r="D62" i="11"/>
  <c r="D76" i="11"/>
  <c r="D75" i="11"/>
  <c r="D81" i="11"/>
  <c r="D80" i="11"/>
  <c r="D77" i="11"/>
  <c r="D69" i="11"/>
  <c r="D57" i="11"/>
  <c r="D61" i="11"/>
  <c r="D67" i="11"/>
  <c r="D15" i="11"/>
  <c r="D32" i="11"/>
  <c r="D25" i="11"/>
  <c r="D18" i="11"/>
  <c r="D26" i="11"/>
  <c r="D36" i="11"/>
  <c r="D29" i="11"/>
  <c r="D46" i="11"/>
  <c r="G11" i="11"/>
  <c r="M11" i="11" s="1"/>
  <c r="X11" i="11"/>
  <c r="AE11" i="11"/>
  <c r="G20" i="11"/>
  <c r="X20" i="11"/>
  <c r="AE20" i="11"/>
  <c r="G66" i="11"/>
  <c r="X66" i="11"/>
  <c r="AE66" i="11"/>
  <c r="G62" i="11"/>
  <c r="X62" i="11"/>
  <c r="AE62" i="11"/>
  <c r="G76" i="11"/>
  <c r="X76" i="11"/>
  <c r="AE76" i="11"/>
  <c r="G75" i="11"/>
  <c r="X75" i="11"/>
  <c r="AE75" i="11"/>
  <c r="G81" i="11"/>
  <c r="L81" i="11" s="1"/>
  <c r="X81" i="11"/>
  <c r="AE81" i="11"/>
  <c r="G80" i="11"/>
  <c r="X80" i="11"/>
  <c r="AE80" i="11"/>
  <c r="G77" i="11"/>
  <c r="X77" i="11"/>
  <c r="AE77" i="11"/>
  <c r="G69" i="11"/>
  <c r="X69" i="11"/>
  <c r="AE69" i="11"/>
  <c r="G57" i="11"/>
  <c r="L57" i="11" s="1"/>
  <c r="X57" i="11"/>
  <c r="AE57" i="11"/>
  <c r="G61" i="11"/>
  <c r="X61" i="11"/>
  <c r="AE61" i="11"/>
  <c r="G67" i="11"/>
  <c r="X67" i="11"/>
  <c r="AE67" i="11"/>
  <c r="G15" i="11"/>
  <c r="K15" i="11" s="1"/>
  <c r="X15" i="11"/>
  <c r="AE15" i="11"/>
  <c r="G32" i="11"/>
  <c r="L32" i="11" s="1"/>
  <c r="X32" i="11"/>
  <c r="AE32" i="11"/>
  <c r="G25" i="11"/>
  <c r="X25" i="11"/>
  <c r="AE25" i="11"/>
  <c r="G18" i="11"/>
  <c r="X18" i="11"/>
  <c r="AE18" i="11"/>
  <c r="G26" i="11"/>
  <c r="X26" i="11"/>
  <c r="AE26" i="11"/>
  <c r="G36" i="11"/>
  <c r="X36" i="11"/>
  <c r="AE36" i="11"/>
  <c r="G29" i="11"/>
  <c r="X29" i="11"/>
  <c r="AE29" i="11"/>
  <c r="G46" i="11"/>
  <c r="X46" i="11"/>
  <c r="AE46" i="11"/>
  <c r="G6" i="11"/>
  <c r="L6" i="11" s="1"/>
  <c r="X6" i="11"/>
  <c r="AE6" i="11"/>
  <c r="G38" i="17"/>
  <c r="H38" i="17" s="1"/>
  <c r="D65" i="3"/>
  <c r="G65" i="3"/>
  <c r="L65" i="3" s="1"/>
  <c r="X65" i="3"/>
  <c r="AE65" i="3"/>
  <c r="D42" i="3"/>
  <c r="G42" i="3"/>
  <c r="X42" i="3"/>
  <c r="AE42" i="3"/>
  <c r="D52" i="3"/>
  <c r="G52" i="3"/>
  <c r="X52" i="3"/>
  <c r="AE52" i="3"/>
  <c r="D48" i="3"/>
  <c r="G48" i="3"/>
  <c r="X48" i="3"/>
  <c r="AE48" i="3"/>
  <c r="D8" i="3"/>
  <c r="G8" i="3"/>
  <c r="K8" i="3" s="1"/>
  <c r="X8" i="3"/>
  <c r="AE8" i="3"/>
  <c r="G9" i="3"/>
  <c r="L9" i="3" s="1"/>
  <c r="X9" i="3"/>
  <c r="AE9" i="3"/>
  <c r="D58" i="3"/>
  <c r="G58" i="3"/>
  <c r="X58" i="3"/>
  <c r="AE58" i="3"/>
  <c r="G45" i="17"/>
  <c r="H45" i="17" s="1"/>
  <c r="D5" i="3"/>
  <c r="G5" i="3"/>
  <c r="L5" i="3" s="1"/>
  <c r="X5" i="3"/>
  <c r="AE5" i="3"/>
  <c r="D23" i="3"/>
  <c r="G23" i="3"/>
  <c r="X23" i="3"/>
  <c r="AE23" i="3"/>
  <c r="D24" i="3"/>
  <c r="G24" i="3"/>
  <c r="X24" i="3"/>
  <c r="AE24" i="3"/>
  <c r="D39" i="3"/>
  <c r="G39" i="3"/>
  <c r="K39" i="3" s="1"/>
  <c r="X39" i="3"/>
  <c r="AE39" i="3"/>
  <c r="D41" i="3"/>
  <c r="G41" i="3"/>
  <c r="X41" i="3"/>
  <c r="AE41" i="3"/>
  <c r="D49" i="3"/>
  <c r="G49" i="3"/>
  <c r="X49" i="3"/>
  <c r="AE49" i="3"/>
  <c r="D61" i="3"/>
  <c r="G61" i="3"/>
  <c r="L61" i="3" s="1"/>
  <c r="X61" i="3"/>
  <c r="AE61" i="3"/>
  <c r="D63" i="3"/>
  <c r="G63" i="3"/>
  <c r="X63" i="3"/>
  <c r="AE63" i="3"/>
  <c r="D66" i="3"/>
  <c r="G66" i="3"/>
  <c r="X66" i="3"/>
  <c r="AE66" i="3"/>
  <c r="E4" i="17"/>
  <c r="F4" i="17" s="1"/>
  <c r="G4" i="17"/>
  <c r="H4" i="17" s="1"/>
  <c r="C5" i="17"/>
  <c r="D5" i="17" s="1"/>
  <c r="E13" i="17"/>
  <c r="F13" i="17" s="1"/>
  <c r="G13" i="17"/>
  <c r="H13" i="17" s="1"/>
  <c r="D7" i="13"/>
  <c r="H7" i="13"/>
  <c r="M7" i="13" s="1"/>
  <c r="S7" i="13"/>
  <c r="K7" i="13" s="1"/>
  <c r="T7" i="13"/>
  <c r="Y7" i="13"/>
  <c r="AF7" i="13"/>
  <c r="D15" i="13"/>
  <c r="H15" i="13"/>
  <c r="L15" i="13" s="1"/>
  <c r="S15" i="13"/>
  <c r="K15" i="13" s="1"/>
  <c r="T15" i="13"/>
  <c r="Y15" i="13"/>
  <c r="AF15" i="13"/>
  <c r="D13" i="13"/>
  <c r="H13" i="13"/>
  <c r="L13" i="13" s="1"/>
  <c r="S13" i="13"/>
  <c r="K13" i="13" s="1"/>
  <c r="T13" i="13"/>
  <c r="Y13" i="13"/>
  <c r="AF13" i="13"/>
  <c r="D3" i="13"/>
  <c r="H3" i="13"/>
  <c r="M3" i="13" s="1"/>
  <c r="S3" i="13"/>
  <c r="K3" i="13" s="1"/>
  <c r="T3" i="13"/>
  <c r="Y3" i="13"/>
  <c r="AF3" i="13"/>
  <c r="D4" i="13"/>
  <c r="H4" i="13"/>
  <c r="M4" i="13" s="1"/>
  <c r="S4" i="13"/>
  <c r="K4" i="13" s="1"/>
  <c r="T4" i="13"/>
  <c r="Y4" i="13"/>
  <c r="AF4" i="13"/>
  <c r="D19" i="13"/>
  <c r="H19" i="13"/>
  <c r="N19" i="13" s="1"/>
  <c r="S19" i="13"/>
  <c r="K19" i="13" s="1"/>
  <c r="T19" i="13"/>
  <c r="Y19" i="13"/>
  <c r="AF19" i="13"/>
  <c r="D5" i="13"/>
  <c r="H5" i="13"/>
  <c r="L5" i="13" s="1"/>
  <c r="S5" i="13"/>
  <c r="K5" i="13" s="1"/>
  <c r="T5" i="13"/>
  <c r="Y5" i="13"/>
  <c r="AF5" i="13"/>
  <c r="D12" i="13"/>
  <c r="H12" i="13"/>
  <c r="N12" i="13" s="1"/>
  <c r="S12" i="13"/>
  <c r="K12" i="13" s="1"/>
  <c r="T12" i="13"/>
  <c r="Y12" i="13"/>
  <c r="AF12" i="13"/>
  <c r="D21" i="13"/>
  <c r="H21" i="13"/>
  <c r="M21" i="13" s="1"/>
  <c r="S21" i="13"/>
  <c r="K21" i="13" s="1"/>
  <c r="T21" i="13"/>
  <c r="Y21" i="13"/>
  <c r="AF21" i="13"/>
  <c r="D3" i="12"/>
  <c r="H3" i="12"/>
  <c r="M3" i="12" s="1"/>
  <c r="S3" i="12"/>
  <c r="K3" i="12" s="1"/>
  <c r="T3" i="12"/>
  <c r="Y3" i="12"/>
  <c r="D14" i="12"/>
  <c r="H14" i="12"/>
  <c r="M14" i="12" s="1"/>
  <c r="S14" i="12"/>
  <c r="K14" i="12" s="1"/>
  <c r="T14" i="12"/>
  <c r="Y14" i="12"/>
  <c r="D4" i="12"/>
  <c r="D11" i="12"/>
  <c r="D12" i="12"/>
  <c r="D9" i="12"/>
  <c r="D15" i="12"/>
  <c r="D7" i="12"/>
  <c r="D6" i="12"/>
  <c r="D13" i="12"/>
  <c r="D8" i="12"/>
  <c r="H4" i="12"/>
  <c r="M4" i="12" s="1"/>
  <c r="S4" i="12"/>
  <c r="K4" i="12" s="1"/>
  <c r="T4" i="12"/>
  <c r="Y4" i="12"/>
  <c r="H11" i="12"/>
  <c r="M11" i="12" s="1"/>
  <c r="S11" i="12"/>
  <c r="K11" i="12" s="1"/>
  <c r="T11" i="12"/>
  <c r="Y11" i="12"/>
  <c r="H12" i="12"/>
  <c r="L12" i="12" s="1"/>
  <c r="S12" i="12"/>
  <c r="K12" i="12" s="1"/>
  <c r="T12" i="12"/>
  <c r="Y12" i="12"/>
  <c r="H9" i="12"/>
  <c r="L9" i="12" s="1"/>
  <c r="S9" i="12"/>
  <c r="K9" i="12" s="1"/>
  <c r="T9" i="12"/>
  <c r="Y9" i="12"/>
  <c r="H15" i="12"/>
  <c r="L15" i="12" s="1"/>
  <c r="S15" i="12"/>
  <c r="K15" i="12" s="1"/>
  <c r="T15" i="12"/>
  <c r="Y15" i="12"/>
  <c r="H7" i="12"/>
  <c r="L7" i="12" s="1"/>
  <c r="S7" i="12"/>
  <c r="K7" i="12" s="1"/>
  <c r="T7" i="12"/>
  <c r="Y7" i="12"/>
  <c r="S10" i="13"/>
  <c r="K10" i="13" s="1"/>
  <c r="T10" i="13"/>
  <c r="S8" i="13"/>
  <c r="K8" i="13" s="1"/>
  <c r="T8" i="13"/>
  <c r="S11" i="13"/>
  <c r="K11" i="13" s="1"/>
  <c r="T11" i="13"/>
  <c r="S18" i="13"/>
  <c r="K18" i="13" s="1"/>
  <c r="T18" i="13"/>
  <c r="S20" i="13"/>
  <c r="K20" i="13" s="1"/>
  <c r="T20" i="13"/>
  <c r="S16" i="13"/>
  <c r="K16" i="13" s="1"/>
  <c r="T16" i="13"/>
  <c r="S6" i="13"/>
  <c r="K6" i="13" s="1"/>
  <c r="T6" i="13"/>
  <c r="S9" i="13"/>
  <c r="K9" i="13" s="1"/>
  <c r="T9" i="13"/>
  <c r="S17" i="13"/>
  <c r="K17" i="13" s="1"/>
  <c r="T17" i="13"/>
  <c r="S5" i="12"/>
  <c r="K5" i="12" s="1"/>
  <c r="T5" i="12"/>
  <c r="S8" i="12"/>
  <c r="K8" i="12" s="1"/>
  <c r="T8" i="12"/>
  <c r="S10" i="12"/>
  <c r="K10" i="12" s="1"/>
  <c r="T10" i="12"/>
  <c r="S6" i="12"/>
  <c r="K6" i="12" s="1"/>
  <c r="T6" i="12"/>
  <c r="T13" i="12"/>
  <c r="S13" i="12"/>
  <c r="K13" i="12" s="1"/>
  <c r="D37" i="11"/>
  <c r="G37" i="11"/>
  <c r="L37" i="11" s="1"/>
  <c r="X37" i="11"/>
  <c r="AE37" i="11"/>
  <c r="D3" i="11"/>
  <c r="G3" i="11"/>
  <c r="M3" i="11" s="1"/>
  <c r="X3" i="11"/>
  <c r="AE3" i="11"/>
  <c r="D28" i="11"/>
  <c r="G28" i="11"/>
  <c r="K28" i="11" s="1"/>
  <c r="X28" i="11"/>
  <c r="AE28" i="11"/>
  <c r="X35" i="3"/>
  <c r="C3" i="17" l="1"/>
  <c r="D3" i="17" s="1"/>
  <c r="Q39" i="3"/>
  <c r="M63" i="3"/>
  <c r="M42" i="3"/>
  <c r="K49" i="3"/>
  <c r="R48" i="3"/>
  <c r="J48" i="3" s="1"/>
  <c r="K24" i="3"/>
  <c r="K75" i="11"/>
  <c r="K68" i="11"/>
  <c r="K41" i="3"/>
  <c r="K23" i="3"/>
  <c r="R52" i="3"/>
  <c r="J52" i="3" s="1"/>
  <c r="R66" i="3"/>
  <c r="M25" i="11"/>
  <c r="B25" i="11" s="1" a="1"/>
  <c r="B25" i="11" s="1"/>
  <c r="M80" i="11"/>
  <c r="B80" i="11" s="1" a="1"/>
  <c r="B80" i="11" s="1"/>
  <c r="M4" i="11"/>
  <c r="K62" i="11"/>
  <c r="K61" i="11"/>
  <c r="K58" i="3"/>
  <c r="R36" i="11"/>
  <c r="J36" i="11" s="1"/>
  <c r="R20" i="11"/>
  <c r="J20" i="11" s="1"/>
  <c r="R26" i="11"/>
  <c r="J26" i="11" s="1"/>
  <c r="R69" i="11"/>
  <c r="R18" i="11"/>
  <c r="J18" i="11" s="1"/>
  <c r="R77" i="11"/>
  <c r="K49" i="6"/>
  <c r="N13" i="13"/>
  <c r="L19" i="11"/>
  <c r="M68" i="11"/>
  <c r="B68" i="11" s="1" a="1"/>
  <c r="B68" i="11" s="1"/>
  <c r="M32" i="3"/>
  <c r="B32" i="3" s="1" a="1"/>
  <c r="B32" i="3" s="1"/>
  <c r="M74" i="11"/>
  <c r="B74" i="11" s="1" a="1"/>
  <c r="B74" i="11" s="1"/>
  <c r="R74" i="11"/>
  <c r="R68" i="11"/>
  <c r="R5" i="11"/>
  <c r="K74" i="11"/>
  <c r="L68" i="11"/>
  <c r="R19" i="11"/>
  <c r="M5" i="11"/>
  <c r="L5" i="11"/>
  <c r="L4" i="11"/>
  <c r="M19" i="11"/>
  <c r="K5" i="11"/>
  <c r="K4" i="11"/>
  <c r="R31" i="11"/>
  <c r="J31" i="11" s="1"/>
  <c r="M31" i="11"/>
  <c r="L31" i="11"/>
  <c r="R4" i="11"/>
  <c r="K29" i="3"/>
  <c r="K20" i="3"/>
  <c r="R19" i="3"/>
  <c r="R29" i="3"/>
  <c r="M19" i="3"/>
  <c r="B19" i="3" s="1" a="1"/>
  <c r="B19" i="3" s="1"/>
  <c r="L32" i="3"/>
  <c r="L19" i="3"/>
  <c r="K32" i="3"/>
  <c r="K19" i="3"/>
  <c r="R20" i="3"/>
  <c r="J20" i="3" s="1"/>
  <c r="R32" i="3"/>
  <c r="J32" i="3" s="1"/>
  <c r="M20" i="3"/>
  <c r="B20" i="3" s="1" a="1"/>
  <c r="B20" i="3" s="1"/>
  <c r="M29" i="3"/>
  <c r="B29" i="3" s="1" a="1"/>
  <c r="B29" i="3" s="1"/>
  <c r="L20" i="3"/>
  <c r="M55" i="6"/>
  <c r="M46" i="14"/>
  <c r="L46" i="14"/>
  <c r="L57" i="14"/>
  <c r="K32" i="14"/>
  <c r="K38" i="6"/>
  <c r="M21" i="6"/>
  <c r="B21" i="6" s="1" a="1"/>
  <c r="B21" i="6" s="1"/>
  <c r="K21" i="6"/>
  <c r="M15" i="6"/>
  <c r="K15" i="6"/>
  <c r="M54" i="6"/>
  <c r="K43" i="6"/>
  <c r="K53" i="6"/>
  <c r="L49" i="6"/>
  <c r="K40" i="6"/>
  <c r="L48" i="6"/>
  <c r="M20" i="15"/>
  <c r="M12" i="13"/>
  <c r="L12" i="13"/>
  <c r="M13" i="13"/>
  <c r="N15" i="13"/>
  <c r="L7" i="13"/>
  <c r="N5" i="13"/>
  <c r="N4" i="13"/>
  <c r="M5" i="13"/>
  <c r="L4" i="13"/>
  <c r="L11" i="12"/>
  <c r="L3" i="12"/>
  <c r="M26" i="11"/>
  <c r="M77" i="11"/>
  <c r="R66" i="11"/>
  <c r="L25" i="11"/>
  <c r="L66" i="11"/>
  <c r="K66" i="11"/>
  <c r="M18" i="11"/>
  <c r="R62" i="11"/>
  <c r="L77" i="11"/>
  <c r="L62" i="11"/>
  <c r="L11" i="11"/>
  <c r="M69" i="11"/>
  <c r="B69" i="11" s="1" a="1"/>
  <c r="B69" i="11" s="1"/>
  <c r="L18" i="11"/>
  <c r="K69" i="11"/>
  <c r="M29" i="11"/>
  <c r="K26" i="11"/>
  <c r="K32" i="11"/>
  <c r="R75" i="11"/>
  <c r="J75" i="11" s="1"/>
  <c r="M20" i="11"/>
  <c r="L80" i="11"/>
  <c r="K20" i="11"/>
  <c r="M36" i="11"/>
  <c r="L26" i="11"/>
  <c r="L69" i="11"/>
  <c r="K77" i="11"/>
  <c r="M62" i="11"/>
  <c r="B62" i="11" s="1" a="1"/>
  <c r="B62" i="11" s="1"/>
  <c r="M66" i="11"/>
  <c r="B66" i="11" s="1" a="1"/>
  <c r="B66" i="11" s="1"/>
  <c r="L20" i="11"/>
  <c r="L36" i="11"/>
  <c r="M6" i="11"/>
  <c r="L29" i="11"/>
  <c r="K36" i="11"/>
  <c r="K57" i="11"/>
  <c r="K29" i="11"/>
  <c r="M66" i="3"/>
  <c r="L42" i="3"/>
  <c r="M23" i="3"/>
  <c r="B23" i="3" s="1" a="1"/>
  <c r="B23" i="3" s="1"/>
  <c r="K42" i="3"/>
  <c r="M24" i="3"/>
  <c r="B24" i="3" s="1" a="1"/>
  <c r="B24" i="3" s="1"/>
  <c r="L63" i="3"/>
  <c r="L24" i="3"/>
  <c r="L23" i="3"/>
  <c r="K65" i="3"/>
  <c r="R8" i="3"/>
  <c r="J8" i="3" s="1"/>
  <c r="M48" i="3"/>
  <c r="M52" i="3"/>
  <c r="R9" i="3"/>
  <c r="M8" i="3"/>
  <c r="L48" i="3"/>
  <c r="K9" i="3"/>
  <c r="L8" i="3"/>
  <c r="K48" i="3"/>
  <c r="L66" i="3"/>
  <c r="L52" i="3"/>
  <c r="M43" i="6"/>
  <c r="B43" i="6" s="1" a="1"/>
  <c r="B43" i="6" s="1"/>
  <c r="M32" i="14"/>
  <c r="L20" i="15"/>
  <c r="M15" i="15"/>
  <c r="B15" i="15" s="1" a="1"/>
  <c r="B15" i="15" s="1"/>
  <c r="L15" i="15"/>
  <c r="L54" i="6"/>
  <c r="K48" i="6"/>
  <c r="L37" i="6"/>
  <c r="L40" i="6"/>
  <c r="M38" i="6"/>
  <c r="B38" i="6" s="1" a="1"/>
  <c r="B38" i="6" s="1"/>
  <c r="M32" i="6"/>
  <c r="K13" i="6"/>
  <c r="E8" i="17"/>
  <c r="F8" i="17" s="1"/>
  <c r="K57" i="14"/>
  <c r="L54" i="14"/>
  <c r="M55" i="14"/>
  <c r="L55" i="14"/>
  <c r="M66" i="14"/>
  <c r="M65" i="14"/>
  <c r="A65" i="14" s="1" a="1"/>
  <c r="A65" i="14" s="1"/>
  <c r="Q65" i="14" s="1"/>
  <c r="L66" i="14"/>
  <c r="L65" i="14"/>
  <c r="K54" i="14"/>
  <c r="K50" i="14"/>
  <c r="M37" i="6"/>
  <c r="B37" i="6" s="1" a="1"/>
  <c r="B37" i="6" s="1"/>
  <c r="M22" i="6"/>
  <c r="B22" i="6" s="1" a="1"/>
  <c r="B22" i="6" s="1"/>
  <c r="L32" i="6"/>
  <c r="M18" i="6"/>
  <c r="L22" i="6"/>
  <c r="L18" i="6"/>
  <c r="M53" i="6"/>
  <c r="B53" i="6" s="1" a="1"/>
  <c r="B53" i="6" s="1"/>
  <c r="L55" i="6"/>
  <c r="M13" i="6"/>
  <c r="M64" i="14"/>
  <c r="M59" i="14"/>
  <c r="L64" i="14"/>
  <c r="M19" i="14"/>
  <c r="L59" i="14"/>
  <c r="L53" i="14"/>
  <c r="L19" i="14"/>
  <c r="K53" i="14"/>
  <c r="K15" i="14"/>
  <c r="L15" i="14"/>
  <c r="M15" i="14"/>
  <c r="K51" i="14"/>
  <c r="L51" i="14"/>
  <c r="M51" i="14"/>
  <c r="K61" i="14"/>
  <c r="L61" i="14"/>
  <c r="M61" i="14"/>
  <c r="K5" i="14"/>
  <c r="L5" i="14"/>
  <c r="M5" i="14"/>
  <c r="M50" i="14"/>
  <c r="K9" i="14"/>
  <c r="M9" i="14"/>
  <c r="B9" i="14" s="1" a="1"/>
  <c r="B9" i="14" s="1"/>
  <c r="C4" i="17"/>
  <c r="D4" i="17" s="1"/>
  <c r="K46" i="11"/>
  <c r="K18" i="11"/>
  <c r="R15" i="11"/>
  <c r="J15" i="11" s="1"/>
  <c r="M61" i="11"/>
  <c r="B61" i="11" s="1" a="1"/>
  <c r="B61" i="11" s="1"/>
  <c r="R57" i="11"/>
  <c r="C45" i="17"/>
  <c r="D45" i="17" s="1"/>
  <c r="R29" i="11"/>
  <c r="L61" i="11"/>
  <c r="M57" i="11"/>
  <c r="B57" i="11" s="1" a="1"/>
  <c r="B57" i="11" s="1"/>
  <c r="R61" i="11"/>
  <c r="R46" i="11"/>
  <c r="K81" i="11"/>
  <c r="K76" i="11"/>
  <c r="L76" i="11"/>
  <c r="M76" i="11"/>
  <c r="B76" i="11" s="1" a="1"/>
  <c r="B76" i="11" s="1"/>
  <c r="R76" i="11"/>
  <c r="J76" i="11" s="1"/>
  <c r="K67" i="11"/>
  <c r="L67" i="11"/>
  <c r="M67" i="11"/>
  <c r="B67" i="11" s="1" a="1"/>
  <c r="B67" i="11" s="1"/>
  <c r="R67" i="11"/>
  <c r="S36" i="11"/>
  <c r="K25" i="11"/>
  <c r="K80" i="11"/>
  <c r="K11" i="11"/>
  <c r="S15" i="11"/>
  <c r="R32" i="11"/>
  <c r="J32" i="11" s="1"/>
  <c r="R81" i="11"/>
  <c r="J81" i="11" s="1"/>
  <c r="M46" i="11"/>
  <c r="S18" i="11"/>
  <c r="R25" i="11"/>
  <c r="M15" i="11"/>
  <c r="R80" i="11"/>
  <c r="M75" i="11"/>
  <c r="B75" i="11" s="1" a="1"/>
  <c r="B75" i="11" s="1"/>
  <c r="R11" i="11"/>
  <c r="J11" i="11" s="1"/>
  <c r="L46" i="11"/>
  <c r="S26" i="11"/>
  <c r="M32" i="11"/>
  <c r="B32" i="11" s="1" a="1"/>
  <c r="B32" i="11" s="1"/>
  <c r="L15" i="11"/>
  <c r="M81" i="11"/>
  <c r="B81" i="11" s="1" a="1"/>
  <c r="B81" i="11" s="1"/>
  <c r="L75" i="11"/>
  <c r="S20" i="11"/>
  <c r="K6" i="11"/>
  <c r="R6" i="11"/>
  <c r="J6" i="11" s="1"/>
  <c r="M9" i="3"/>
  <c r="B9" i="3" s="1" a="1"/>
  <c r="B9" i="3" s="1"/>
  <c r="C38" i="17"/>
  <c r="D38" i="17" s="1"/>
  <c r="S8" i="3"/>
  <c r="K52" i="3"/>
  <c r="K61" i="3"/>
  <c r="R58" i="3"/>
  <c r="M58" i="3"/>
  <c r="R65" i="3"/>
  <c r="L58" i="3"/>
  <c r="R42" i="3"/>
  <c r="M65" i="3"/>
  <c r="R39" i="3"/>
  <c r="M39" i="3"/>
  <c r="L39" i="3"/>
  <c r="K5" i="3"/>
  <c r="R24" i="3"/>
  <c r="J24" i="3" s="1"/>
  <c r="R23" i="3"/>
  <c r="K66" i="3"/>
  <c r="K63" i="3"/>
  <c r="R41" i="3"/>
  <c r="R49" i="3"/>
  <c r="R61" i="3"/>
  <c r="J61" i="3" s="1"/>
  <c r="M41" i="3"/>
  <c r="R5" i="3"/>
  <c r="R63" i="3"/>
  <c r="J63" i="3" s="1"/>
  <c r="M49" i="3"/>
  <c r="L41" i="3"/>
  <c r="M61" i="3"/>
  <c r="L49" i="3"/>
  <c r="M5" i="3"/>
  <c r="N3" i="13"/>
  <c r="M19" i="13"/>
  <c r="L3" i="13"/>
  <c r="L19" i="13"/>
  <c r="M15" i="13"/>
  <c r="N7" i="13"/>
  <c r="L21" i="13"/>
  <c r="N21" i="13"/>
  <c r="N3" i="12"/>
  <c r="A3" i="12" s="1" a="1"/>
  <c r="A3" i="12" s="1"/>
  <c r="R3" i="12" s="1"/>
  <c r="L14" i="12"/>
  <c r="N14" i="12"/>
  <c r="A14" i="12" s="1" a="1"/>
  <c r="A14" i="12" s="1"/>
  <c r="R14" i="12" s="1"/>
  <c r="N15" i="12"/>
  <c r="M15" i="12"/>
  <c r="N11" i="12"/>
  <c r="L4" i="12"/>
  <c r="N12" i="12"/>
  <c r="N7" i="12"/>
  <c r="N9" i="12"/>
  <c r="A9" i="12" s="1" a="1"/>
  <c r="A9" i="12" s="1"/>
  <c r="R9" i="12" s="1"/>
  <c r="M12" i="12"/>
  <c r="M7" i="12"/>
  <c r="M9" i="12"/>
  <c r="N4" i="12"/>
  <c r="L3" i="11"/>
  <c r="R3" i="11"/>
  <c r="R28" i="11"/>
  <c r="R37" i="11"/>
  <c r="J37" i="11" s="1"/>
  <c r="K3" i="11"/>
  <c r="K37" i="11"/>
  <c r="M28" i="11"/>
  <c r="L28" i="11"/>
  <c r="M37" i="11"/>
  <c r="S48" i="3" l="1"/>
  <c r="S75" i="11"/>
  <c r="S52" i="3"/>
  <c r="S77" i="11"/>
  <c r="J77" i="11"/>
  <c r="S4" i="11"/>
  <c r="J4" i="11"/>
  <c r="S69" i="11"/>
  <c r="J69" i="11"/>
  <c r="S62" i="11"/>
  <c r="J62" i="11"/>
  <c r="S68" i="11"/>
  <c r="J68" i="11"/>
  <c r="S67" i="11"/>
  <c r="J67" i="11"/>
  <c r="S61" i="11"/>
  <c r="J61" i="11"/>
  <c r="S5" i="11"/>
  <c r="J5" i="11"/>
  <c r="S3" i="11"/>
  <c r="J3" i="11"/>
  <c r="S80" i="11"/>
  <c r="J80" i="11"/>
  <c r="S19" i="11"/>
  <c r="J19" i="11"/>
  <c r="S57" i="11"/>
  <c r="J57" i="11"/>
  <c r="S66" i="11"/>
  <c r="J66" i="11"/>
  <c r="S28" i="11"/>
  <c r="J28" i="11"/>
  <c r="S74" i="11"/>
  <c r="J74" i="11"/>
  <c r="S46" i="11"/>
  <c r="J46" i="11"/>
  <c r="S25" i="11"/>
  <c r="J25" i="11"/>
  <c r="S29" i="11"/>
  <c r="J29" i="11"/>
  <c r="S19" i="3"/>
  <c r="J19" i="3"/>
  <c r="S49" i="3"/>
  <c r="J49" i="3"/>
  <c r="S5" i="3"/>
  <c r="J5" i="3"/>
  <c r="S41" i="3"/>
  <c r="J41" i="3"/>
  <c r="S65" i="3"/>
  <c r="J65" i="3"/>
  <c r="S9" i="3"/>
  <c r="J9" i="3"/>
  <c r="S58" i="3"/>
  <c r="J58" i="3"/>
  <c r="S39" i="3"/>
  <c r="J39" i="3"/>
  <c r="S23" i="3"/>
  <c r="J23" i="3"/>
  <c r="S66" i="3"/>
  <c r="J66" i="3"/>
  <c r="S42" i="3"/>
  <c r="J42" i="3"/>
  <c r="S29" i="3"/>
  <c r="J29" i="3"/>
  <c r="A3" i="14" a="1"/>
  <c r="A3" i="14" s="1"/>
  <c r="A11" i="14" a="1"/>
  <c r="A11" i="14" s="1"/>
  <c r="A17" i="14" a="1"/>
  <c r="A17" i="14" s="1"/>
  <c r="B20" i="15" a="1"/>
  <c r="B20" i="15" s="1"/>
  <c r="A20" i="15" a="1"/>
  <c r="A20" i="15" s="1"/>
  <c r="Q20" i="15" s="1"/>
  <c r="A6" i="11" a="1"/>
  <c r="A6" i="11" s="1"/>
  <c r="Q6" i="11" s="1"/>
  <c r="B37" i="11" a="1"/>
  <c r="B37" i="11" s="1"/>
  <c r="A37" i="11" a="1"/>
  <c r="A37" i="11" s="1"/>
  <c r="Q37" i="11" s="1"/>
  <c r="A18" i="11" a="1"/>
  <c r="A18" i="11" s="1"/>
  <c r="Q18" i="11" s="1"/>
  <c r="A5" i="11" a="1"/>
  <c r="A5" i="11" s="1"/>
  <c r="Q5" i="11" s="1"/>
  <c r="A19" i="11" a="1"/>
  <c r="A19" i="11" s="1"/>
  <c r="Q19" i="11" s="1"/>
  <c r="B29" i="11" a="1"/>
  <c r="B29" i="11" s="1"/>
  <c r="A29" i="11" a="1"/>
  <c r="A29" i="11" s="1"/>
  <c r="Q29" i="11" s="1"/>
  <c r="B77" i="11" a="1"/>
  <c r="B77" i="11" s="1"/>
  <c r="A77" i="11" a="1"/>
  <c r="A77" i="11" s="1"/>
  <c r="Q77" i="11" s="1"/>
  <c r="S31" i="11"/>
  <c r="S32" i="3"/>
  <c r="S20" i="3"/>
  <c r="S81" i="11"/>
  <c r="S32" i="11"/>
  <c r="S11" i="11"/>
  <c r="S76" i="11"/>
  <c r="S6" i="11"/>
  <c r="S24" i="3"/>
  <c r="S63" i="3"/>
  <c r="S61" i="3"/>
  <c r="S37" i="11"/>
  <c r="AE17" i="11" l="1"/>
  <c r="D16" i="15" l="1"/>
  <c r="D25" i="14"/>
  <c r="D24" i="14"/>
  <c r="D43" i="14"/>
  <c r="D4" i="14"/>
  <c r="D45" i="14"/>
  <c r="D47" i="14"/>
  <c r="D42" i="14"/>
  <c r="D62" i="14"/>
  <c r="D48" i="14"/>
  <c r="D56" i="14"/>
  <c r="D18" i="14"/>
  <c r="D17" i="14"/>
  <c r="D11" i="14"/>
  <c r="D6" i="14"/>
  <c r="D36" i="14"/>
  <c r="D20" i="14"/>
  <c r="D31" i="14"/>
  <c r="D29" i="14"/>
  <c r="D33" i="14"/>
  <c r="D34" i="14"/>
  <c r="D41" i="14"/>
  <c r="D21" i="14"/>
  <c r="D10" i="14"/>
  <c r="D60" i="14"/>
  <c r="D63" i="14"/>
  <c r="D52" i="14"/>
  <c r="D49" i="14"/>
  <c r="D22" i="14"/>
  <c r="D16" i="14"/>
  <c r="D12" i="14"/>
  <c r="D58" i="14"/>
  <c r="D7" i="14"/>
  <c r="D13" i="14"/>
  <c r="D8" i="14"/>
  <c r="D14" i="14"/>
  <c r="D40" i="14"/>
  <c r="D29" i="6"/>
  <c r="D11" i="6"/>
  <c r="D14" i="6"/>
  <c r="D33" i="6"/>
  <c r="D45" i="6"/>
  <c r="D41" i="6"/>
  <c r="D42" i="6"/>
  <c r="D30" i="6"/>
  <c r="D44" i="6"/>
  <c r="D27" i="6"/>
  <c r="D39" i="6"/>
  <c r="D20" i="6"/>
  <c r="D4" i="6"/>
  <c r="D3" i="6"/>
  <c r="D10" i="6"/>
  <c r="D28" i="6"/>
  <c r="D12" i="6"/>
  <c r="D47" i="6"/>
  <c r="D6" i="6"/>
  <c r="D26" i="6"/>
  <c r="D23" i="6"/>
  <c r="D8" i="6"/>
  <c r="D7" i="6"/>
  <c r="D24" i="6"/>
  <c r="D34" i="6"/>
  <c r="D9" i="6"/>
  <c r="D17" i="6"/>
  <c r="D56" i="6"/>
  <c r="D5" i="6"/>
  <c r="D31" i="6"/>
  <c r="D19" i="6"/>
  <c r="D16" i="6"/>
  <c r="D35" i="6"/>
  <c r="D25" i="6"/>
  <c r="D51" i="6"/>
  <c r="D50" i="6"/>
  <c r="D36" i="6"/>
  <c r="D46" i="6"/>
  <c r="D52" i="6"/>
  <c r="D16" i="13"/>
  <c r="D6" i="13"/>
  <c r="D9" i="13"/>
  <c r="D17" i="13"/>
  <c r="D10" i="13"/>
  <c r="D8" i="13"/>
  <c r="D11" i="13"/>
  <c r="D18" i="13"/>
  <c r="D20" i="13"/>
  <c r="D10" i="12"/>
  <c r="D5" i="12"/>
  <c r="D52" i="11"/>
  <c r="D49" i="11"/>
  <c r="D59" i="11"/>
  <c r="D14" i="11"/>
  <c r="D10" i="11"/>
  <c r="D72" i="11"/>
  <c r="D79" i="11"/>
  <c r="D64" i="11"/>
  <c r="D42" i="11"/>
  <c r="D40" i="11"/>
  <c r="D43" i="11"/>
  <c r="D45" i="11"/>
  <c r="D44" i="11"/>
  <c r="D38" i="11"/>
  <c r="D35" i="11"/>
  <c r="D16" i="11"/>
  <c r="D53" i="11"/>
  <c r="D7" i="11"/>
  <c r="D9" i="11"/>
  <c r="D34" i="11"/>
  <c r="D21" i="11"/>
  <c r="D8" i="11"/>
  <c r="D24" i="11"/>
  <c r="D33" i="11"/>
  <c r="D13" i="11"/>
  <c r="D47" i="11"/>
  <c r="D41" i="11"/>
  <c r="D27" i="11"/>
  <c r="D60" i="11"/>
  <c r="D78" i="11"/>
  <c r="D22" i="11"/>
  <c r="D12" i="11"/>
  <c r="D48" i="11"/>
  <c r="D23" i="11"/>
  <c r="D17" i="11"/>
  <c r="D65" i="11"/>
  <c r="D63" i="11"/>
  <c r="D58" i="11"/>
  <c r="D73" i="11"/>
  <c r="D71" i="11"/>
  <c r="D39" i="11"/>
  <c r="D70" i="11"/>
  <c r="D50" i="11"/>
  <c r="D51" i="11"/>
  <c r="D54" i="11"/>
  <c r="D30" i="11"/>
  <c r="D55" i="11"/>
  <c r="D56" i="11"/>
  <c r="D38" i="3"/>
  <c r="D34" i="3"/>
  <c r="D56" i="3"/>
  <c r="D64" i="3"/>
  <c r="D47" i="3"/>
  <c r="D57" i="3"/>
  <c r="D46" i="3"/>
  <c r="D36" i="3"/>
  <c r="D51" i="3"/>
  <c r="D44" i="3"/>
  <c r="D14" i="3"/>
  <c r="D18" i="3"/>
  <c r="D55" i="3"/>
  <c r="D60" i="3"/>
  <c r="D22" i="3"/>
  <c r="D13" i="3"/>
  <c r="D53" i="3"/>
  <c r="D21" i="3"/>
  <c r="D50" i="3"/>
  <c r="D7" i="3"/>
  <c r="D3" i="3"/>
  <c r="D6" i="3"/>
  <c r="D4" i="3"/>
  <c r="D62" i="3"/>
  <c r="D30" i="3"/>
  <c r="D16" i="3"/>
  <c r="D59" i="3"/>
  <c r="D28" i="3"/>
  <c r="D10" i="3"/>
  <c r="D40" i="3"/>
  <c r="D17" i="3"/>
  <c r="D27" i="3"/>
  <c r="D15" i="3"/>
  <c r="D33" i="3"/>
  <c r="D35" i="3"/>
  <c r="D12" i="3"/>
  <c r="D37" i="3"/>
  <c r="D11" i="3"/>
  <c r="D54" i="3"/>
  <c r="D45" i="3"/>
  <c r="D43" i="3"/>
  <c r="D31" i="3"/>
  <c r="D25" i="3"/>
  <c r="D26" i="3"/>
  <c r="G65" i="17" l="1"/>
  <c r="H65" i="17" s="1"/>
  <c r="G66" i="17"/>
  <c r="H66" i="17" s="1"/>
  <c r="G7" i="17"/>
  <c r="H7" i="17" s="1"/>
  <c r="E11" i="17"/>
  <c r="F11" i="17" s="1"/>
  <c r="G11" i="17"/>
  <c r="H11" i="17" s="1"/>
  <c r="C41" i="17"/>
  <c r="D41" i="17" s="1"/>
  <c r="E41" i="17"/>
  <c r="F41" i="17" s="1"/>
  <c r="E47" i="17"/>
  <c r="F47" i="17" s="1"/>
  <c r="G47" i="17"/>
  <c r="H47" i="17" s="1"/>
  <c r="G53" i="17"/>
  <c r="H53" i="17" s="1"/>
  <c r="G14" i="15" l="1"/>
  <c r="G23" i="15"/>
  <c r="G13" i="15"/>
  <c r="G6" i="15"/>
  <c r="G3" i="15"/>
  <c r="Q8" i="15"/>
  <c r="G8" i="15"/>
  <c r="G9" i="15"/>
  <c r="Q24" i="15"/>
  <c r="G24" i="15"/>
  <c r="G22" i="15"/>
  <c r="G19" i="16"/>
  <c r="Q53" i="16"/>
  <c r="G26" i="17" s="1"/>
  <c r="H26" i="17" s="1"/>
  <c r="G53" i="16"/>
  <c r="G4" i="16"/>
  <c r="Q39" i="16"/>
  <c r="G39" i="16"/>
  <c r="Q52" i="16"/>
  <c r="G52" i="16"/>
  <c r="G45" i="16"/>
  <c r="G51" i="16"/>
  <c r="G38" i="16"/>
  <c r="Q41" i="16"/>
  <c r="G41" i="16"/>
  <c r="Q33" i="16"/>
  <c r="G33" i="16"/>
  <c r="Q11" i="16"/>
  <c r="G11" i="16"/>
  <c r="G36" i="16"/>
  <c r="G9" i="16"/>
  <c r="G47" i="16"/>
  <c r="E49" i="17"/>
  <c r="F49" i="17" s="1"/>
  <c r="Q33" i="14"/>
  <c r="Q31" i="14"/>
  <c r="Q22" i="14"/>
  <c r="E31" i="17"/>
  <c r="F31" i="17" s="1"/>
  <c r="Q38" i="14"/>
  <c r="Q37" i="14"/>
  <c r="Q62" i="14"/>
  <c r="Q45" i="6"/>
  <c r="G45" i="6"/>
  <c r="Q30" i="6"/>
  <c r="G30" i="6"/>
  <c r="Q34" i="6"/>
  <c r="G34" i="6"/>
  <c r="G14" i="6"/>
  <c r="Q41" i="6"/>
  <c r="G41" i="6"/>
  <c r="G10" i="6"/>
  <c r="Q20" i="6"/>
  <c r="G20" i="6"/>
  <c r="G11" i="6"/>
  <c r="Q42" i="6"/>
  <c r="E5" i="17" s="1"/>
  <c r="F5" i="17" s="1"/>
  <c r="G42" i="6"/>
  <c r="G28" i="6"/>
  <c r="G6" i="6"/>
  <c r="Q33" i="6"/>
  <c r="G33" i="6"/>
  <c r="Q12" i="6"/>
  <c r="G12" i="6"/>
  <c r="G27" i="6"/>
  <c r="G39" i="6"/>
  <c r="G3" i="6"/>
  <c r="M3" i="6" s="1"/>
  <c r="G4" i="6"/>
  <c r="R6" i="13"/>
  <c r="H6" i="13"/>
  <c r="Y6" i="13"/>
  <c r="AF6" i="13"/>
  <c r="H17" i="13"/>
  <c r="Y17" i="13"/>
  <c r="AF17" i="13"/>
  <c r="R16" i="13"/>
  <c r="H16" i="13"/>
  <c r="Y16" i="13"/>
  <c r="AF16" i="13"/>
  <c r="H18" i="13"/>
  <c r="Y18" i="13"/>
  <c r="AF18" i="13"/>
  <c r="R9" i="13"/>
  <c r="H9" i="13"/>
  <c r="Y9" i="13"/>
  <c r="AF9" i="13"/>
  <c r="R20" i="13"/>
  <c r="H20" i="13"/>
  <c r="Y20" i="13"/>
  <c r="AF20" i="13"/>
  <c r="R11" i="13"/>
  <c r="H11" i="13"/>
  <c r="Y11" i="13"/>
  <c r="AF11" i="13"/>
  <c r="R8" i="13"/>
  <c r="H8" i="13"/>
  <c r="Y8" i="13"/>
  <c r="AF8" i="13"/>
  <c r="R10" i="13"/>
  <c r="H10" i="13"/>
  <c r="Y10" i="13"/>
  <c r="AF10" i="13"/>
  <c r="R10" i="12"/>
  <c r="H10" i="12"/>
  <c r="Y10" i="12"/>
  <c r="H6" i="12"/>
  <c r="Y6" i="12"/>
  <c r="R8" i="12"/>
  <c r="H8" i="12"/>
  <c r="L8" i="12" s="1"/>
  <c r="Y8" i="12"/>
  <c r="R5" i="12"/>
  <c r="H5" i="12"/>
  <c r="Y5" i="12"/>
  <c r="H13" i="12"/>
  <c r="Y13" i="12"/>
  <c r="Q30" i="11"/>
  <c r="G30" i="11"/>
  <c r="X30" i="11"/>
  <c r="AE30" i="11"/>
  <c r="G56" i="11"/>
  <c r="X56" i="11"/>
  <c r="AE56" i="11"/>
  <c r="G27" i="11"/>
  <c r="X27" i="11"/>
  <c r="AE27" i="11"/>
  <c r="G50" i="11"/>
  <c r="X50" i="11"/>
  <c r="AE50" i="11"/>
  <c r="Q51" i="11"/>
  <c r="G51" i="11"/>
  <c r="X51" i="11"/>
  <c r="AE51" i="11"/>
  <c r="Q47" i="11"/>
  <c r="G47" i="11"/>
  <c r="X47" i="11"/>
  <c r="AE47" i="11"/>
  <c r="G40" i="11"/>
  <c r="X40" i="11"/>
  <c r="AE40" i="11"/>
  <c r="Q52" i="11"/>
  <c r="G52" i="11"/>
  <c r="X52" i="11"/>
  <c r="AE52" i="11"/>
  <c r="Q9" i="11"/>
  <c r="G9" i="11"/>
  <c r="X9" i="11"/>
  <c r="AE9" i="11"/>
  <c r="Q33" i="11"/>
  <c r="G33" i="11"/>
  <c r="X33" i="11"/>
  <c r="AE33" i="11"/>
  <c r="Q59" i="11"/>
  <c r="G59" i="11"/>
  <c r="X59" i="11"/>
  <c r="AE59" i="11"/>
  <c r="Q35" i="11"/>
  <c r="G35" i="11"/>
  <c r="X35" i="11"/>
  <c r="AE35" i="11"/>
  <c r="G53" i="11"/>
  <c r="X53" i="11"/>
  <c r="AE53" i="11"/>
  <c r="Q64" i="11"/>
  <c r="G64" i="11"/>
  <c r="X64" i="11"/>
  <c r="AE64" i="11"/>
  <c r="G38" i="11"/>
  <c r="X38" i="11"/>
  <c r="AE38" i="11"/>
  <c r="G13" i="11"/>
  <c r="X13" i="11"/>
  <c r="AE13" i="11"/>
  <c r="G16" i="11"/>
  <c r="X16" i="11"/>
  <c r="AE16" i="11"/>
  <c r="G45" i="11"/>
  <c r="X45" i="11"/>
  <c r="AE45" i="11"/>
  <c r="G45" i="3"/>
  <c r="X45" i="3"/>
  <c r="AE45" i="3"/>
  <c r="G18" i="3"/>
  <c r="X18" i="3"/>
  <c r="AE18" i="3"/>
  <c r="G13" i="3"/>
  <c r="X13" i="3"/>
  <c r="AE13" i="3"/>
  <c r="G40" i="3"/>
  <c r="X40" i="3"/>
  <c r="AE40" i="3"/>
  <c r="G10" i="3"/>
  <c r="X10" i="3"/>
  <c r="AE10" i="3"/>
  <c r="G26" i="3"/>
  <c r="X26" i="3"/>
  <c r="AE26" i="3"/>
  <c r="G46" i="3"/>
  <c r="X46" i="3"/>
  <c r="AE46" i="3"/>
  <c r="G4" i="3"/>
  <c r="X4" i="3"/>
  <c r="AE4" i="3"/>
  <c r="G6" i="3"/>
  <c r="X6" i="3"/>
  <c r="AE6" i="3"/>
  <c r="C2" i="17"/>
  <c r="D2" i="17" s="1"/>
  <c r="G53" i="3"/>
  <c r="X53" i="3"/>
  <c r="AE53" i="3"/>
  <c r="G36" i="3"/>
  <c r="X36" i="3"/>
  <c r="AE36" i="3"/>
  <c r="G57" i="3"/>
  <c r="X57" i="3"/>
  <c r="AE57" i="3"/>
  <c r="G14" i="3"/>
  <c r="X14" i="3"/>
  <c r="AE14" i="3"/>
  <c r="G55" i="3"/>
  <c r="X55" i="3"/>
  <c r="AE55" i="3"/>
  <c r="G34" i="3"/>
  <c r="X34" i="3"/>
  <c r="AE34" i="3"/>
  <c r="R53" i="11" l="1"/>
  <c r="R50" i="11"/>
  <c r="R45" i="11"/>
  <c r="R9" i="11"/>
  <c r="R51" i="11"/>
  <c r="R56" i="11"/>
  <c r="R64" i="11"/>
  <c r="R40" i="11"/>
  <c r="R30" i="11"/>
  <c r="J30" i="11" s="1"/>
  <c r="S30" i="11"/>
  <c r="R13" i="11"/>
  <c r="R59" i="11"/>
  <c r="R27" i="11"/>
  <c r="R16" i="11"/>
  <c r="R38" i="11"/>
  <c r="R35" i="11"/>
  <c r="R33" i="11"/>
  <c r="J33" i="11" s="1"/>
  <c r="S33" i="11"/>
  <c r="R52" i="11"/>
  <c r="R47" i="11"/>
  <c r="R45" i="3"/>
  <c r="R34" i="3"/>
  <c r="R18" i="3"/>
  <c r="R6" i="3"/>
  <c r="R14" i="3"/>
  <c r="R46" i="3"/>
  <c r="R55" i="3"/>
  <c r="R4" i="3"/>
  <c r="R53" i="3"/>
  <c r="R10" i="3"/>
  <c r="R26" i="3"/>
  <c r="J26" i="3" s="1"/>
  <c r="R57" i="3"/>
  <c r="J57" i="3" s="1"/>
  <c r="R36" i="3"/>
  <c r="R40" i="3"/>
  <c r="R13" i="3"/>
  <c r="G54" i="17"/>
  <c r="H54" i="17" s="1"/>
  <c r="E17" i="17"/>
  <c r="F17" i="17" s="1"/>
  <c r="M22" i="14"/>
  <c r="K26" i="14"/>
  <c r="K45" i="14"/>
  <c r="K11" i="14"/>
  <c r="M35" i="14"/>
  <c r="K38" i="14"/>
  <c r="K31" i="14"/>
  <c r="K33" i="14"/>
  <c r="M62" i="14"/>
  <c r="M37" i="14"/>
  <c r="M25" i="14"/>
  <c r="K17" i="14"/>
  <c r="M20" i="6"/>
  <c r="M14" i="6"/>
  <c r="M27" i="6"/>
  <c r="K42" i="6"/>
  <c r="K34" i="6"/>
  <c r="K45" i="6"/>
  <c r="K12" i="6"/>
  <c r="K28" i="6"/>
  <c r="K10" i="6"/>
  <c r="K4" i="6"/>
  <c r="M33" i="6"/>
  <c r="K11" i="6"/>
  <c r="K39" i="6"/>
  <c r="K6" i="6"/>
  <c r="M41" i="6"/>
  <c r="B41" i="6" s="1" a="1"/>
  <c r="B41" i="6" s="1"/>
  <c r="M30" i="6"/>
  <c r="M39" i="16"/>
  <c r="M53" i="16"/>
  <c r="B53" i="16" s="1" a="1"/>
  <c r="B53" i="16" s="1"/>
  <c r="K9" i="16"/>
  <c r="K11" i="16"/>
  <c r="M38" i="16"/>
  <c r="M19" i="16"/>
  <c r="M36" i="16"/>
  <c r="M33" i="16"/>
  <c r="M41" i="16"/>
  <c r="M51" i="16"/>
  <c r="M52" i="16"/>
  <c r="B52" i="16" s="1" a="1"/>
  <c r="B52" i="16" s="1"/>
  <c r="L45" i="16"/>
  <c r="K4" i="16"/>
  <c r="K9" i="15"/>
  <c r="K13" i="15"/>
  <c r="L22" i="15"/>
  <c r="M8" i="15"/>
  <c r="K23" i="15"/>
  <c r="K24" i="15"/>
  <c r="K3" i="15"/>
  <c r="K6" i="15"/>
  <c r="K14" i="15"/>
  <c r="L9" i="13"/>
  <c r="L16" i="13"/>
  <c r="N11" i="13"/>
  <c r="M20" i="13"/>
  <c r="M17" i="13"/>
  <c r="M8" i="13"/>
  <c r="M10" i="13"/>
  <c r="M18" i="13"/>
  <c r="N6" i="13"/>
  <c r="L10" i="12"/>
  <c r="L6" i="12"/>
  <c r="M5" i="12"/>
  <c r="N13" i="12"/>
  <c r="G46" i="17"/>
  <c r="H46" i="17" s="1"/>
  <c r="K47" i="16"/>
  <c r="C49" i="17"/>
  <c r="D49" i="17" s="1"/>
  <c r="M35" i="11"/>
  <c r="M59" i="11"/>
  <c r="B59" i="11" s="1" a="1"/>
  <c r="B59" i="11" s="1"/>
  <c r="M33" i="11"/>
  <c r="M9" i="11"/>
  <c r="M40" i="11"/>
  <c r="K30" i="11"/>
  <c r="K45" i="11"/>
  <c r="M13" i="11"/>
  <c r="L53" i="11"/>
  <c r="K52" i="11"/>
  <c r="M47" i="11"/>
  <c r="B47" i="11" s="1" a="1"/>
  <c r="B47" i="11" s="1"/>
  <c r="K50" i="11"/>
  <c r="L56" i="11"/>
  <c r="K53" i="3"/>
  <c r="L26" i="3"/>
  <c r="M40" i="3"/>
  <c r="B40" i="3" s="1" a="1"/>
  <c r="B40" i="3" s="1"/>
  <c r="M45" i="3"/>
  <c r="L14" i="3"/>
  <c r="L57" i="3"/>
  <c r="M10" i="3"/>
  <c r="K13" i="3"/>
  <c r="M18" i="3"/>
  <c r="M45" i="14"/>
  <c r="A45" i="14" s="1" a="1"/>
  <c r="A45" i="14" s="1"/>
  <c r="Q45" i="14" s="1"/>
  <c r="G23" i="17"/>
  <c r="H23" i="17" s="1"/>
  <c r="L25" i="14"/>
  <c r="L22" i="14"/>
  <c r="K22" i="14"/>
  <c r="K27" i="6"/>
  <c r="K20" i="6"/>
  <c r="L30" i="6"/>
  <c r="L3" i="6"/>
  <c r="L27" i="6"/>
  <c r="M13" i="15"/>
  <c r="B13" i="15" s="1" a="1"/>
  <c r="B13" i="15" s="1"/>
  <c r="L13" i="15"/>
  <c r="N8" i="13"/>
  <c r="M38" i="11"/>
  <c r="L47" i="11"/>
  <c r="L35" i="11"/>
  <c r="K56" i="11"/>
  <c r="L40" i="3"/>
  <c r="M53" i="3"/>
  <c r="M14" i="15"/>
  <c r="B14" i="15" s="1" a="1"/>
  <c r="B14" i="15" s="1"/>
  <c r="L14" i="15"/>
  <c r="L3" i="15"/>
  <c r="M24" i="15"/>
  <c r="B24" i="15" s="1" a="1"/>
  <c r="B24" i="15" s="1"/>
  <c r="L24" i="15"/>
  <c r="M9" i="15"/>
  <c r="L9" i="15"/>
  <c r="L8" i="15"/>
  <c r="K8" i="15"/>
  <c r="M3" i="15"/>
  <c r="M23" i="15"/>
  <c r="L23" i="15"/>
  <c r="M6" i="15"/>
  <c r="L6" i="15"/>
  <c r="K22" i="15"/>
  <c r="M22" i="15"/>
  <c r="L52" i="16"/>
  <c r="K52" i="16"/>
  <c r="L19" i="16"/>
  <c r="K19" i="16"/>
  <c r="L38" i="16"/>
  <c r="K38" i="16"/>
  <c r="L51" i="16"/>
  <c r="K51" i="16"/>
  <c r="M45" i="16"/>
  <c r="M9" i="16"/>
  <c r="K45" i="16"/>
  <c r="L53" i="16"/>
  <c r="K53" i="16"/>
  <c r="L39" i="16"/>
  <c r="K39" i="16"/>
  <c r="M4" i="16"/>
  <c r="M47" i="16"/>
  <c r="L4" i="16"/>
  <c r="M11" i="16"/>
  <c r="B11" i="16" s="1" a="1"/>
  <c r="B11" i="16" s="1"/>
  <c r="L18" i="3"/>
  <c r="M26" i="3"/>
  <c r="K18" i="3"/>
  <c r="L8" i="13"/>
  <c r="N16" i="13"/>
  <c r="L11" i="13"/>
  <c r="N9" i="13"/>
  <c r="L18" i="13"/>
  <c r="M9" i="13"/>
  <c r="L36" i="16"/>
  <c r="L33" i="16"/>
  <c r="L41" i="16"/>
  <c r="K36" i="16"/>
  <c r="K33" i="16"/>
  <c r="K41" i="16"/>
  <c r="L47" i="16"/>
  <c r="L9" i="16"/>
  <c r="L11" i="16"/>
  <c r="M33" i="14"/>
  <c r="L33" i="14"/>
  <c r="L35" i="14"/>
  <c r="M26" i="14"/>
  <c r="L26" i="14"/>
  <c r="L37" i="14"/>
  <c r="K37" i="14"/>
  <c r="K25" i="14"/>
  <c r="K35" i="14"/>
  <c r="M38" i="14"/>
  <c r="M11" i="14"/>
  <c r="M31" i="14"/>
  <c r="M17" i="14"/>
  <c r="L31" i="14"/>
  <c r="L17" i="14"/>
  <c r="L45" i="14"/>
  <c r="L38" i="14"/>
  <c r="L62" i="14"/>
  <c r="K62" i="14"/>
  <c r="L11" i="14"/>
  <c r="M39" i="6"/>
  <c r="L33" i="6"/>
  <c r="L45" i="6"/>
  <c r="M11" i="6"/>
  <c r="L11" i="6"/>
  <c r="L20" i="6"/>
  <c r="M34" i="6"/>
  <c r="L34" i="6"/>
  <c r="L14" i="6"/>
  <c r="K14" i="6"/>
  <c r="L41" i="6"/>
  <c r="K41" i="6"/>
  <c r="M10" i="6"/>
  <c r="M45" i="6"/>
  <c r="M4" i="6"/>
  <c r="K3" i="6"/>
  <c r="M12" i="6"/>
  <c r="K33" i="6"/>
  <c r="M6" i="6"/>
  <c r="M28" i="6"/>
  <c r="K30" i="6"/>
  <c r="L10" i="6"/>
  <c r="M42" i="6"/>
  <c r="B42" i="6" s="1" a="1"/>
  <c r="B42" i="6" s="1"/>
  <c r="L42" i="6"/>
  <c r="L4" i="6"/>
  <c r="L39" i="6"/>
  <c r="L12" i="6"/>
  <c r="L6" i="6"/>
  <c r="L28" i="6"/>
  <c r="M11" i="13"/>
  <c r="L17" i="13"/>
  <c r="L10" i="13"/>
  <c r="L20" i="13"/>
  <c r="N18" i="13"/>
  <c r="M6" i="13"/>
  <c r="L6" i="13"/>
  <c r="M16" i="13"/>
  <c r="N10" i="13"/>
  <c r="N20" i="13"/>
  <c r="N17" i="13"/>
  <c r="L5" i="12"/>
  <c r="L13" i="12"/>
  <c r="N5" i="12"/>
  <c r="N8" i="12"/>
  <c r="N10" i="12"/>
  <c r="M10" i="12"/>
  <c r="M13" i="12"/>
  <c r="M8" i="12"/>
  <c r="N6" i="12"/>
  <c r="M6" i="12"/>
  <c r="K64" i="11"/>
  <c r="M27" i="11"/>
  <c r="L38" i="11"/>
  <c r="M56" i="11"/>
  <c r="B56" i="11" s="1" a="1"/>
  <c r="B56" i="11" s="1"/>
  <c r="M30" i="11"/>
  <c r="L30" i="11"/>
  <c r="M50" i="11"/>
  <c r="L50" i="11"/>
  <c r="L27" i="11"/>
  <c r="K27" i="11"/>
  <c r="M51" i="11"/>
  <c r="L51" i="11"/>
  <c r="K51" i="11"/>
  <c r="K35" i="11"/>
  <c r="L33" i="11"/>
  <c r="K33" i="11"/>
  <c r="K47" i="11"/>
  <c r="K16" i="11"/>
  <c r="L13" i="11"/>
  <c r="L59" i="11"/>
  <c r="L9" i="11"/>
  <c r="L40" i="11"/>
  <c r="K59" i="11"/>
  <c r="K9" i="11"/>
  <c r="M52" i="11"/>
  <c r="B52" i="11" s="1" a="1"/>
  <c r="B52" i="11" s="1"/>
  <c r="K40" i="11"/>
  <c r="L52" i="11"/>
  <c r="M64" i="11"/>
  <c r="B64" i="11" s="1" a="1"/>
  <c r="B64" i="11" s="1"/>
  <c r="M53" i="11"/>
  <c r="K53" i="11"/>
  <c r="M45" i="11"/>
  <c r="M16" i="11"/>
  <c r="K13" i="11"/>
  <c r="K38" i="11"/>
  <c r="L16" i="11"/>
  <c r="L45" i="11"/>
  <c r="L64" i="11"/>
  <c r="K14" i="3"/>
  <c r="K26" i="3"/>
  <c r="L53" i="3"/>
  <c r="K40" i="3"/>
  <c r="M14" i="3"/>
  <c r="M46" i="3"/>
  <c r="L45" i="3"/>
  <c r="K45" i="3"/>
  <c r="L10" i="3"/>
  <c r="K10" i="3"/>
  <c r="M13" i="3"/>
  <c r="L13" i="3"/>
  <c r="L46" i="3"/>
  <c r="M34" i="3"/>
  <c r="M55" i="3"/>
  <c r="L55" i="3"/>
  <c r="K55" i="3"/>
  <c r="K57" i="3"/>
  <c r="M57" i="3"/>
  <c r="M36" i="3"/>
  <c r="M6" i="3"/>
  <c r="M4" i="3"/>
  <c r="K46" i="3"/>
  <c r="L36" i="3"/>
  <c r="L6" i="3"/>
  <c r="L4" i="3"/>
  <c r="K36" i="3"/>
  <c r="K6" i="3"/>
  <c r="K4" i="3"/>
  <c r="L34" i="3"/>
  <c r="K34" i="3"/>
  <c r="G2" i="17"/>
  <c r="H2" i="17" s="1"/>
  <c r="D3" i="16"/>
  <c r="D3" i="14"/>
  <c r="D23" i="14"/>
  <c r="D44" i="14"/>
  <c r="G3" i="16"/>
  <c r="G42" i="16"/>
  <c r="G8" i="16"/>
  <c r="G17" i="16"/>
  <c r="G32" i="16"/>
  <c r="G43" i="16"/>
  <c r="G23" i="16"/>
  <c r="G7" i="16"/>
  <c r="G27" i="16"/>
  <c r="G40" i="16"/>
  <c r="G10" i="16"/>
  <c r="G50" i="16"/>
  <c r="G49" i="16"/>
  <c r="G25" i="16"/>
  <c r="AE42" i="11"/>
  <c r="AE78" i="11"/>
  <c r="AE21" i="11"/>
  <c r="AE10" i="11"/>
  <c r="AE43" i="11"/>
  <c r="AE44" i="11"/>
  <c r="AE41" i="11"/>
  <c r="AE79" i="11"/>
  <c r="AE72" i="11"/>
  <c r="AE34" i="11"/>
  <c r="AE8" i="11"/>
  <c r="AE14" i="11"/>
  <c r="AE24" i="11"/>
  <c r="AE49" i="11"/>
  <c r="AE58" i="11"/>
  <c r="AE7" i="11"/>
  <c r="AE60" i="11"/>
  <c r="AE12" i="11"/>
  <c r="AE70" i="11"/>
  <c r="AE39" i="11"/>
  <c r="AE63" i="11"/>
  <c r="AE65" i="11"/>
  <c r="AE71" i="11"/>
  <c r="AE22" i="11"/>
  <c r="AE48" i="11"/>
  <c r="AE73" i="11"/>
  <c r="AE23" i="11"/>
  <c r="AE54" i="11"/>
  <c r="AE55" i="11"/>
  <c r="AE56" i="3"/>
  <c r="AE3" i="3"/>
  <c r="AE21" i="3"/>
  <c r="AE47" i="3"/>
  <c r="AE50" i="3"/>
  <c r="AE22" i="3"/>
  <c r="AE38" i="3"/>
  <c r="AE44" i="3"/>
  <c r="AE64" i="3"/>
  <c r="AE7" i="3"/>
  <c r="AE51" i="3"/>
  <c r="AE60" i="3"/>
  <c r="AE30" i="3"/>
  <c r="AE16" i="3"/>
  <c r="AE62" i="3"/>
  <c r="AE43" i="3"/>
  <c r="AE15" i="3"/>
  <c r="AE33" i="3"/>
  <c r="AE37" i="3"/>
  <c r="AE59" i="3"/>
  <c r="AE35" i="3"/>
  <c r="AE12" i="3"/>
  <c r="AE11" i="3"/>
  <c r="AE28" i="3"/>
  <c r="AE27" i="3"/>
  <c r="AE17" i="3"/>
  <c r="AE31" i="3"/>
  <c r="AE54" i="3"/>
  <c r="AE25" i="3"/>
  <c r="X56" i="3"/>
  <c r="X3" i="3"/>
  <c r="X21" i="3"/>
  <c r="X47" i="3"/>
  <c r="X50" i="3"/>
  <c r="X22" i="3"/>
  <c r="X38" i="3"/>
  <c r="X44" i="3"/>
  <c r="X64" i="3"/>
  <c r="X7" i="3"/>
  <c r="X51" i="3"/>
  <c r="X60" i="3"/>
  <c r="X30" i="3"/>
  <c r="X16" i="3"/>
  <c r="X62" i="3"/>
  <c r="X43" i="3"/>
  <c r="X15" i="3"/>
  <c r="X33" i="3"/>
  <c r="X37" i="3"/>
  <c r="X59" i="3"/>
  <c r="X12" i="3"/>
  <c r="X11" i="3"/>
  <c r="X28" i="3"/>
  <c r="X27" i="3"/>
  <c r="X17" i="3"/>
  <c r="X31" i="3"/>
  <c r="X54" i="3"/>
  <c r="X25" i="3"/>
  <c r="X42" i="11"/>
  <c r="X78" i="11"/>
  <c r="X21" i="11"/>
  <c r="X10" i="11"/>
  <c r="X43" i="11"/>
  <c r="X44" i="11"/>
  <c r="X41" i="11"/>
  <c r="X79" i="11"/>
  <c r="X72" i="11"/>
  <c r="X34" i="11"/>
  <c r="X8" i="11"/>
  <c r="X14" i="11"/>
  <c r="X24" i="11"/>
  <c r="X49" i="11"/>
  <c r="X58" i="11"/>
  <c r="X7" i="11"/>
  <c r="X60" i="11"/>
  <c r="X12" i="11"/>
  <c r="X70" i="11"/>
  <c r="X39" i="11"/>
  <c r="X17" i="11"/>
  <c r="X63" i="11"/>
  <c r="X65" i="11"/>
  <c r="X71" i="11"/>
  <c r="X22" i="11"/>
  <c r="X48" i="11"/>
  <c r="X73" i="11"/>
  <c r="X23" i="11"/>
  <c r="X54" i="11"/>
  <c r="X55" i="11"/>
  <c r="G41" i="11"/>
  <c r="G79" i="11"/>
  <c r="G72" i="11"/>
  <c r="G34" i="11"/>
  <c r="G8" i="11"/>
  <c r="G14" i="11"/>
  <c r="G24" i="11"/>
  <c r="G49" i="11"/>
  <c r="G58" i="11"/>
  <c r="G7" i="11"/>
  <c r="G60" i="11"/>
  <c r="G12" i="3"/>
  <c r="G11" i="3"/>
  <c r="G28" i="3"/>
  <c r="G27" i="3"/>
  <c r="G17" i="3"/>
  <c r="G31" i="3"/>
  <c r="G54" i="3"/>
  <c r="G25" i="3"/>
  <c r="G3" i="3"/>
  <c r="G21" i="3"/>
  <c r="G47" i="3"/>
  <c r="G50" i="3"/>
  <c r="G22" i="3"/>
  <c r="G38" i="3"/>
  <c r="G44" i="3"/>
  <c r="G64" i="3"/>
  <c r="G7" i="3"/>
  <c r="G51" i="3"/>
  <c r="G60" i="3"/>
  <c r="G30" i="3"/>
  <c r="G16" i="3"/>
  <c r="G62" i="3"/>
  <c r="G43" i="3"/>
  <c r="G15" i="3"/>
  <c r="G33" i="3"/>
  <c r="G37" i="3"/>
  <c r="G59" i="3"/>
  <c r="G35" i="3"/>
  <c r="G73" i="11"/>
  <c r="G23" i="11"/>
  <c r="G54" i="11"/>
  <c r="G55" i="11"/>
  <c r="G42" i="11"/>
  <c r="G78" i="11"/>
  <c r="G21" i="11"/>
  <c r="G10" i="11"/>
  <c r="G43" i="11"/>
  <c r="G44" i="11"/>
  <c r="G12" i="11"/>
  <c r="G70" i="11"/>
  <c r="G39" i="11"/>
  <c r="G17" i="11"/>
  <c r="G63" i="11"/>
  <c r="G65" i="11"/>
  <c r="G71" i="11"/>
  <c r="G22" i="11"/>
  <c r="G48" i="11"/>
  <c r="G35" i="16"/>
  <c r="G31" i="16"/>
  <c r="G30" i="16"/>
  <c r="G5" i="16"/>
  <c r="G46" i="16"/>
  <c r="G29" i="16"/>
  <c r="G21" i="16"/>
  <c r="G17" i="15"/>
  <c r="G18" i="15"/>
  <c r="G16" i="15"/>
  <c r="G7" i="15"/>
  <c r="G12" i="15"/>
  <c r="G21" i="15"/>
  <c r="G19" i="15"/>
  <c r="G25" i="15"/>
  <c r="G47" i="6"/>
  <c r="G8" i="6"/>
  <c r="G29" i="6"/>
  <c r="G7" i="6"/>
  <c r="G17" i="6"/>
  <c r="G44" i="6"/>
  <c r="G26" i="6"/>
  <c r="G23" i="6"/>
  <c r="G24" i="6"/>
  <c r="G25" i="6"/>
  <c r="G50" i="6"/>
  <c r="G56" i="6"/>
  <c r="G9" i="6"/>
  <c r="G51" i="6"/>
  <c r="G19" i="6"/>
  <c r="G16" i="6"/>
  <c r="G52" i="6"/>
  <c r="G5" i="6"/>
  <c r="G46" i="6"/>
  <c r="G36" i="6"/>
  <c r="G35" i="6"/>
  <c r="G31" i="6"/>
  <c r="G56" i="3"/>
  <c r="S40" i="11" l="1"/>
  <c r="J40" i="11"/>
  <c r="S64" i="11"/>
  <c r="J64" i="11"/>
  <c r="S47" i="11"/>
  <c r="J47" i="11"/>
  <c r="S27" i="11"/>
  <c r="J27" i="11"/>
  <c r="S51" i="11"/>
  <c r="J51" i="11"/>
  <c r="S52" i="11"/>
  <c r="J52" i="11"/>
  <c r="S59" i="11"/>
  <c r="J59" i="11"/>
  <c r="S9" i="11"/>
  <c r="J9" i="11"/>
  <c r="S56" i="11"/>
  <c r="J56" i="11"/>
  <c r="S13" i="11"/>
  <c r="J13" i="11"/>
  <c r="S45" i="11"/>
  <c r="J45" i="11"/>
  <c r="S38" i="11"/>
  <c r="J38" i="11"/>
  <c r="S50" i="11"/>
  <c r="J50" i="11"/>
  <c r="S16" i="11"/>
  <c r="J16" i="11"/>
  <c r="S35" i="11"/>
  <c r="J35" i="11"/>
  <c r="S53" i="11"/>
  <c r="J53" i="11"/>
  <c r="S10" i="3"/>
  <c r="J10" i="3"/>
  <c r="S34" i="3"/>
  <c r="J34" i="3"/>
  <c r="S53" i="3"/>
  <c r="J53" i="3"/>
  <c r="S45" i="3"/>
  <c r="J45" i="3"/>
  <c r="S18" i="3"/>
  <c r="J18" i="3"/>
  <c r="S4" i="3"/>
  <c r="J4" i="3"/>
  <c r="S13" i="3"/>
  <c r="J13" i="3"/>
  <c r="S55" i="3"/>
  <c r="J55" i="3"/>
  <c r="S40" i="3"/>
  <c r="J40" i="3"/>
  <c r="S46" i="3"/>
  <c r="J46" i="3"/>
  <c r="S36" i="3"/>
  <c r="J36" i="3"/>
  <c r="S14" i="3"/>
  <c r="J14" i="3"/>
  <c r="S6" i="3"/>
  <c r="J6" i="3"/>
  <c r="B10" i="13" a="1"/>
  <c r="B10" i="13" s="1"/>
  <c r="A22" i="15" a="1"/>
  <c r="A22" i="15" s="1"/>
  <c r="A17" i="13" a="1"/>
  <c r="A17" i="13" s="1"/>
  <c r="A26" i="14" a="1"/>
  <c r="A26" i="14" s="1"/>
  <c r="Q26" i="14" s="1"/>
  <c r="A3" i="6" a="1"/>
  <c r="A3" i="6" s="1"/>
  <c r="A39" i="6" a="1"/>
  <c r="A39" i="6" s="1"/>
  <c r="A26" i="6" a="1"/>
  <c r="A26" i="6" s="1"/>
  <c r="A44" i="6" a="1"/>
  <c r="A44" i="6" s="1"/>
  <c r="A4" i="6" a="1"/>
  <c r="A4" i="6" s="1"/>
  <c r="A27" i="6" a="1"/>
  <c r="A27" i="6" s="1"/>
  <c r="A6" i="6" a="1"/>
  <c r="A6" i="6" s="1"/>
  <c r="A8" i="16" a="1"/>
  <c r="A8" i="16" s="1"/>
  <c r="A9" i="16" a="1"/>
  <c r="A9" i="16" s="1"/>
  <c r="Q9" i="16" s="1"/>
  <c r="B19" i="16" a="1"/>
  <c r="B19" i="16" s="1"/>
  <c r="A19" i="16" a="1"/>
  <c r="A19" i="16" s="1"/>
  <c r="Q19" i="16" s="1"/>
  <c r="A3" i="16" a="1"/>
  <c r="A3" i="16" s="1"/>
  <c r="B45" i="16" a="1"/>
  <c r="B45" i="16" s="1"/>
  <c r="A45" i="16" a="1"/>
  <c r="A45" i="16" s="1"/>
  <c r="Q45" i="16" s="1"/>
  <c r="A38" i="16" a="1"/>
  <c r="A38" i="16" s="1"/>
  <c r="Q38" i="16" s="1"/>
  <c r="B47" i="16" a="1"/>
  <c r="B47" i="16" s="1"/>
  <c r="A47" i="16" a="1"/>
  <c r="A47" i="16" s="1"/>
  <c r="Q47" i="16" s="1"/>
  <c r="A36" i="16" a="1"/>
  <c r="A36" i="16" s="1"/>
  <c r="Q36" i="16" s="1"/>
  <c r="A30" i="16" a="1"/>
  <c r="A30" i="16" s="1"/>
  <c r="B51" i="16" a="1"/>
  <c r="B51" i="16" s="1"/>
  <c r="A51" i="16" a="1"/>
  <c r="A51" i="16" s="1"/>
  <c r="A5" i="16" a="1"/>
  <c r="A5" i="16" s="1"/>
  <c r="B23" i="15" a="1"/>
  <c r="B23" i="15" s="1"/>
  <c r="A23" i="15" a="1"/>
  <c r="A23" i="15" s="1"/>
  <c r="Q23" i="15" s="1"/>
  <c r="A4" i="15" a="1"/>
  <c r="A4" i="15" s="1"/>
  <c r="A9" i="15" a="1"/>
  <c r="A9" i="15" s="1"/>
  <c r="Q9" i="15" s="1"/>
  <c r="A3" i="15" a="1"/>
  <c r="A3" i="15" s="1"/>
  <c r="A21" i="13" a="1"/>
  <c r="A21" i="13" s="1"/>
  <c r="B3" i="12" a="1"/>
  <c r="B3" i="12" s="1"/>
  <c r="A6" i="12" a="1"/>
  <c r="A6" i="12" s="1"/>
  <c r="B13" i="11" a="1"/>
  <c r="B13" i="11" s="1"/>
  <c r="A13" i="11" a="1"/>
  <c r="A13" i="11" s="1"/>
  <c r="Q13" i="11" s="1"/>
  <c r="B40" i="11" a="1"/>
  <c r="B40" i="11" s="1"/>
  <c r="A40" i="11" a="1"/>
  <c r="A40" i="11" s="1"/>
  <c r="Q40" i="11" s="1"/>
  <c r="A38" i="11" a="1"/>
  <c r="A38" i="11" s="1"/>
  <c r="Q38" i="11" s="1"/>
  <c r="B16" i="11" a="1"/>
  <c r="B16" i="11" s="1"/>
  <c r="A16" i="11" a="1"/>
  <c r="A16" i="11" s="1"/>
  <c r="Q16" i="11" s="1"/>
  <c r="A45" i="11" a="1"/>
  <c r="A45" i="11" s="1"/>
  <c r="Q45" i="11" s="1"/>
  <c r="C64" i="17" s="1"/>
  <c r="D64" i="17" s="1"/>
  <c r="A53" i="11" a="1"/>
  <c r="A53" i="11" s="1"/>
  <c r="Q53" i="11" s="1"/>
  <c r="B50" i="11" a="1"/>
  <c r="B50" i="11" s="1"/>
  <c r="A50" i="11" a="1"/>
  <c r="A50" i="11" s="1"/>
  <c r="Q50" i="11" s="1"/>
  <c r="B26" i="3" a="1"/>
  <c r="B26" i="3" s="1"/>
  <c r="A26" i="3" a="1"/>
  <c r="A26" i="3" s="1"/>
  <c r="Q26" i="3" s="1"/>
  <c r="B57" i="3" a="1"/>
  <c r="B57" i="3" s="1"/>
  <c r="A57" i="3" a="1"/>
  <c r="A57" i="3" s="1"/>
  <c r="Q57" i="3" s="1"/>
  <c r="B53" i="3" a="1"/>
  <c r="B53" i="3" s="1"/>
  <c r="A53" i="3" a="1"/>
  <c r="A53" i="3" s="1"/>
  <c r="Q53" i="3" s="1"/>
  <c r="B45" i="3" a="1"/>
  <c r="B45" i="3" s="1"/>
  <c r="A45" i="3" a="1"/>
  <c r="A45" i="3" s="1"/>
  <c r="Q45" i="3" s="1"/>
  <c r="A36" i="3" a="1"/>
  <c r="A36" i="3" s="1"/>
  <c r="Q36" i="3" s="1"/>
  <c r="B46" i="3" a="1"/>
  <c r="B46" i="3" s="1"/>
  <c r="A46" i="3" a="1"/>
  <c r="A46" i="3" s="1"/>
  <c r="Q46" i="3" s="1"/>
  <c r="A18" i="3" a="1"/>
  <c r="A18" i="3" s="1"/>
  <c r="Q18" i="3" s="1"/>
  <c r="B14" i="13" a="1"/>
  <c r="B14" i="13" s="1"/>
  <c r="B5" i="12" a="1"/>
  <c r="B5" i="12" s="1"/>
  <c r="B8" i="12" a="1"/>
  <c r="B8" i="12" s="1"/>
  <c r="B13" i="12" a="1"/>
  <c r="B13" i="12" s="1"/>
  <c r="B10" i="12" a="1"/>
  <c r="B10" i="12" s="1"/>
  <c r="B15" i="12" a="1"/>
  <c r="B15" i="12" s="1"/>
  <c r="B14" i="12" a="1"/>
  <c r="B14" i="12" s="1"/>
  <c r="B4" i="12" a="1"/>
  <c r="B4" i="12" s="1"/>
  <c r="B7" i="12" a="1"/>
  <c r="B7" i="12" s="1"/>
  <c r="B12" i="12" a="1"/>
  <c r="B12" i="12" s="1"/>
  <c r="B9" i="12" a="1"/>
  <c r="B9" i="12" s="1"/>
  <c r="B11" i="12" a="1"/>
  <c r="B11" i="12" s="1"/>
  <c r="B8" i="13" a="1"/>
  <c r="B8" i="13" s="1"/>
  <c r="B12" i="13" a="1"/>
  <c r="B12" i="13" s="1"/>
  <c r="B15" i="13" a="1"/>
  <c r="B15" i="13" s="1"/>
  <c r="B5" i="13" a="1"/>
  <c r="B5" i="13" s="1"/>
  <c r="B3" i="13" a="1"/>
  <c r="B3" i="13" s="1"/>
  <c r="B13" i="13" a="1"/>
  <c r="B13" i="13" s="1"/>
  <c r="B19" i="13" a="1"/>
  <c r="B19" i="13" s="1"/>
  <c r="B4" i="13" a="1"/>
  <c r="B4" i="13" s="1"/>
  <c r="B7" i="13" a="1"/>
  <c r="B7" i="13" s="1"/>
  <c r="B9" i="13" a="1"/>
  <c r="B9" i="13" s="1"/>
  <c r="B18" i="13" a="1"/>
  <c r="B18" i="13" s="1"/>
  <c r="B20" i="13" a="1"/>
  <c r="B20" i="13" s="1"/>
  <c r="B16" i="13" a="1"/>
  <c r="B16" i="13" s="1"/>
  <c r="B6" i="13" a="1"/>
  <c r="B6" i="13" s="1"/>
  <c r="B11" i="13" a="1"/>
  <c r="B11" i="13" s="1"/>
  <c r="B17" i="13" a="1"/>
  <c r="B17" i="13" s="1"/>
  <c r="B27" i="6" a="1"/>
  <c r="B27" i="6" s="1"/>
  <c r="B39" i="6" a="1"/>
  <c r="B39" i="6" s="1"/>
  <c r="B21" i="13" a="1"/>
  <c r="B21" i="13" s="1"/>
  <c r="B6" i="12" a="1"/>
  <c r="B6" i="12" s="1"/>
  <c r="R21" i="11"/>
  <c r="R39" i="11"/>
  <c r="R14" i="11"/>
  <c r="J14" i="11" s="1"/>
  <c r="S14" i="11"/>
  <c r="R55" i="11"/>
  <c r="R58" i="11"/>
  <c r="R12" i="11"/>
  <c r="R22" i="11"/>
  <c r="R24" i="11"/>
  <c r="R79" i="11"/>
  <c r="R65" i="11"/>
  <c r="R10" i="11"/>
  <c r="R48" i="11"/>
  <c r="R54" i="11"/>
  <c r="R72" i="11"/>
  <c r="R78" i="11"/>
  <c r="R44" i="11"/>
  <c r="R60" i="11"/>
  <c r="R43" i="11"/>
  <c r="R70" i="11"/>
  <c r="R49" i="11"/>
  <c r="R23" i="11"/>
  <c r="R71" i="11"/>
  <c r="R73" i="11"/>
  <c r="R41" i="11"/>
  <c r="R63" i="11"/>
  <c r="R42" i="11"/>
  <c r="R8" i="11"/>
  <c r="J8" i="11" s="1"/>
  <c r="S8" i="11"/>
  <c r="R17" i="11"/>
  <c r="R7" i="11"/>
  <c r="R34" i="11"/>
  <c r="R30" i="3"/>
  <c r="R17" i="3"/>
  <c r="S26" i="3"/>
  <c r="R64" i="3"/>
  <c r="R60" i="3"/>
  <c r="R27" i="3"/>
  <c r="R33" i="3"/>
  <c r="R21" i="3"/>
  <c r="R56" i="3"/>
  <c r="R38" i="3"/>
  <c r="R51" i="3"/>
  <c r="R15" i="3"/>
  <c r="R50" i="3"/>
  <c r="R3" i="3"/>
  <c r="S57" i="3"/>
  <c r="R44" i="3"/>
  <c r="R22" i="3"/>
  <c r="R43" i="3"/>
  <c r="J43" i="3" s="1"/>
  <c r="R11" i="3"/>
  <c r="J11" i="3" s="1"/>
  <c r="S11" i="3"/>
  <c r="R37" i="3"/>
  <c r="R28" i="3"/>
  <c r="R7" i="3"/>
  <c r="J7" i="3" s="1"/>
  <c r="S7" i="3"/>
  <c r="R25" i="3"/>
  <c r="R35" i="3"/>
  <c r="J35" i="3" s="1"/>
  <c r="S35" i="3"/>
  <c r="R62" i="3"/>
  <c r="R47" i="3"/>
  <c r="R54" i="3"/>
  <c r="R12" i="3"/>
  <c r="J12" i="3" s="1"/>
  <c r="S12" i="3"/>
  <c r="R59" i="3"/>
  <c r="R16" i="3"/>
  <c r="R31" i="3"/>
  <c r="M23" i="11"/>
  <c r="Q14" i="15"/>
  <c r="Q27" i="11"/>
  <c r="Q35" i="14"/>
  <c r="K36" i="14"/>
  <c r="K63" i="14"/>
  <c r="K41" i="14"/>
  <c r="M8" i="14"/>
  <c r="B8" i="14" s="1" a="1"/>
  <c r="B8" i="14" s="1"/>
  <c r="M60" i="14"/>
  <c r="M24" i="14"/>
  <c r="K16" i="14"/>
  <c r="M44" i="14"/>
  <c r="K20" i="14"/>
  <c r="K23" i="14"/>
  <c r="K21" i="14"/>
  <c r="K4" i="14"/>
  <c r="M14" i="14"/>
  <c r="L13" i="14"/>
  <c r="M52" i="14"/>
  <c r="K12" i="14"/>
  <c r="K49" i="14"/>
  <c r="K48" i="14"/>
  <c r="K43" i="14"/>
  <c r="K7" i="14"/>
  <c r="K34" i="14"/>
  <c r="K10" i="14"/>
  <c r="M29" i="14"/>
  <c r="A29" i="14" s="1" a="1"/>
  <c r="A29" i="14" s="1"/>
  <c r="K56" i="14"/>
  <c r="K6" i="14"/>
  <c r="M47" i="14"/>
  <c r="M58" i="14"/>
  <c r="L42" i="14"/>
  <c r="L18" i="14"/>
  <c r="K40" i="14"/>
  <c r="M36" i="6"/>
  <c r="B36" i="6" s="1" a="1"/>
  <c r="B36" i="6" s="1"/>
  <c r="M56" i="6"/>
  <c r="M17" i="6"/>
  <c r="L35" i="6"/>
  <c r="L50" i="6"/>
  <c r="M46" i="6"/>
  <c r="M25" i="6"/>
  <c r="B25" i="6" s="1" a="1"/>
  <c r="B25" i="6" s="1"/>
  <c r="L16" i="6"/>
  <c r="L7" i="6"/>
  <c r="M52" i="6"/>
  <c r="B52" i="6" s="1" a="1"/>
  <c r="B52" i="6" s="1"/>
  <c r="M19" i="6"/>
  <c r="M24" i="6"/>
  <c r="M8" i="6"/>
  <c r="L47" i="6"/>
  <c r="L9" i="6"/>
  <c r="L26" i="6"/>
  <c r="M31" i="6"/>
  <c r="M23" i="6"/>
  <c r="M44" i="6"/>
  <c r="B44" i="6" s="1" a="1"/>
  <c r="B44" i="6" s="1"/>
  <c r="M40" i="16"/>
  <c r="M35" i="16"/>
  <c r="L7" i="16"/>
  <c r="L8" i="16"/>
  <c r="K10" i="16"/>
  <c r="M21" i="16"/>
  <c r="B21" i="16" s="1" a="1"/>
  <c r="B21" i="16" s="1"/>
  <c r="M29" i="16"/>
  <c r="K30" i="16"/>
  <c r="K23" i="16"/>
  <c r="K5" i="16"/>
  <c r="K49" i="16"/>
  <c r="K43" i="16"/>
  <c r="K3" i="16"/>
  <c r="K27" i="16"/>
  <c r="K31" i="16"/>
  <c r="K32" i="16"/>
  <c r="K17" i="16"/>
  <c r="K46" i="16"/>
  <c r="K50" i="16"/>
  <c r="K42" i="16"/>
  <c r="K18" i="15"/>
  <c r="L16" i="15"/>
  <c r="K19" i="15"/>
  <c r="K21" i="15"/>
  <c r="K17" i="15"/>
  <c r="L12" i="15"/>
  <c r="M7" i="15"/>
  <c r="K3" i="14"/>
  <c r="M29" i="6"/>
  <c r="L12" i="11"/>
  <c r="K58" i="11"/>
  <c r="L71" i="11"/>
  <c r="M55" i="11"/>
  <c r="K49" i="11"/>
  <c r="M34" i="11"/>
  <c r="M22" i="11"/>
  <c r="K8" i="11"/>
  <c r="K54" i="11"/>
  <c r="L14" i="11"/>
  <c r="L72" i="11"/>
  <c r="K17" i="11"/>
  <c r="L23" i="11"/>
  <c r="L39" i="11"/>
  <c r="L21" i="11"/>
  <c r="K73" i="11"/>
  <c r="K7" i="11"/>
  <c r="L79" i="11"/>
  <c r="M63" i="11"/>
  <c r="B63" i="11" s="1" a="1"/>
  <c r="B63" i="11" s="1"/>
  <c r="L48" i="11"/>
  <c r="K70" i="11"/>
  <c r="K41" i="11"/>
  <c r="L50" i="3"/>
  <c r="L37" i="3"/>
  <c r="L17" i="3"/>
  <c r="L21" i="3"/>
  <c r="K27" i="3"/>
  <c r="L28" i="3"/>
  <c r="L30" i="3"/>
  <c r="L60" i="3"/>
  <c r="M25" i="3"/>
  <c r="B25" i="3" s="1" a="1"/>
  <c r="B25" i="3" s="1"/>
  <c r="K35" i="3"/>
  <c r="M11" i="3"/>
  <c r="K59" i="3"/>
  <c r="K31" i="3"/>
  <c r="M51" i="6"/>
  <c r="B51" i="6" s="1" a="1"/>
  <c r="B51" i="6" s="1"/>
  <c r="L25" i="16"/>
  <c r="K25" i="15"/>
  <c r="Q47" i="14"/>
  <c r="Q17" i="6"/>
  <c r="Q24" i="6"/>
  <c r="Q29" i="6"/>
  <c r="Q29" i="16"/>
  <c r="Q21" i="16"/>
  <c r="Q35" i="16"/>
  <c r="Q34" i="11"/>
  <c r="Q63" i="11"/>
  <c r="K78" i="11"/>
  <c r="M60" i="11"/>
  <c r="B60" i="11" s="1" a="1"/>
  <c r="B60" i="11" s="1"/>
  <c r="M43" i="11"/>
  <c r="K42" i="11"/>
  <c r="K44" i="11"/>
  <c r="K10" i="11"/>
  <c r="K62" i="3"/>
  <c r="K51" i="3"/>
  <c r="M44" i="3"/>
  <c r="K56" i="3"/>
  <c r="M33" i="3"/>
  <c r="M48" i="14"/>
  <c r="L31" i="6"/>
  <c r="L17" i="6"/>
  <c r="K7" i="15"/>
  <c r="K72" i="11"/>
  <c r="K21" i="11"/>
  <c r="L49" i="11"/>
  <c r="K79" i="11"/>
  <c r="M43" i="3"/>
  <c r="M64" i="3"/>
  <c r="M49" i="11"/>
  <c r="K71" i="11"/>
  <c r="K22" i="11"/>
  <c r="L34" i="11"/>
  <c r="K34" i="11"/>
  <c r="K28" i="3"/>
  <c r="M8" i="16"/>
  <c r="B8" i="16" s="1" a="1"/>
  <c r="B8" i="16" s="1"/>
  <c r="M25" i="16"/>
  <c r="B25" i="16" s="1" a="1"/>
  <c r="B25" i="16" s="1"/>
  <c r="M17" i="16"/>
  <c r="B17" i="16" s="1" a="1"/>
  <c r="B17" i="16" s="1"/>
  <c r="M3" i="16"/>
  <c r="L17" i="16"/>
  <c r="K8" i="16"/>
  <c r="K35" i="16"/>
  <c r="M49" i="16"/>
  <c r="B49" i="16" s="1" a="1"/>
  <c r="B49" i="16" s="1"/>
  <c r="M27" i="16"/>
  <c r="L7" i="15"/>
  <c r="K16" i="15"/>
  <c r="M21" i="15"/>
  <c r="L21" i="15"/>
  <c r="L16" i="14"/>
  <c r="L47" i="14"/>
  <c r="M20" i="14"/>
  <c r="B20" i="14" s="1" a="1"/>
  <c r="B20" i="14" s="1"/>
  <c r="L14" i="14"/>
  <c r="M49" i="14"/>
  <c r="M43" i="14"/>
  <c r="K13" i="14"/>
  <c r="L6" i="14"/>
  <c r="L24" i="14"/>
  <c r="L8" i="14"/>
  <c r="M23" i="14"/>
  <c r="M3" i="14"/>
  <c r="K42" i="14"/>
  <c r="K14" i="14"/>
  <c r="K8" i="14"/>
  <c r="K60" i="14"/>
  <c r="L58" i="14"/>
  <c r="M34" i="14"/>
  <c r="K29" i="14"/>
  <c r="L49" i="14"/>
  <c r="M6" i="14"/>
  <c r="L48" i="14"/>
  <c r="M16" i="14"/>
  <c r="K47" i="14"/>
  <c r="L43" i="14"/>
  <c r="K24" i="14"/>
  <c r="L60" i="14"/>
  <c r="L29" i="14"/>
  <c r="K18" i="14"/>
  <c r="M7" i="14"/>
  <c r="L34" i="14"/>
  <c r="L7" i="14"/>
  <c r="M40" i="14"/>
  <c r="L52" i="14"/>
  <c r="L20" i="14"/>
  <c r="M56" i="14"/>
  <c r="L23" i="14"/>
  <c r="L3" i="14"/>
  <c r="K58" i="14"/>
  <c r="K44" i="14"/>
  <c r="L40" i="14"/>
  <c r="M10" i="14"/>
  <c r="K52" i="14"/>
  <c r="M36" i="14"/>
  <c r="L56" i="14"/>
  <c r="M63" i="14"/>
  <c r="M41" i="14"/>
  <c r="L44" i="14"/>
  <c r="L10" i="14"/>
  <c r="M12" i="14"/>
  <c r="B12" i="14" s="1" a="1"/>
  <c r="B12" i="14" s="1"/>
  <c r="L36" i="14"/>
  <c r="M21" i="14"/>
  <c r="L63" i="14"/>
  <c r="M4" i="14"/>
  <c r="A4" i="14" s="1" a="1"/>
  <c r="A4" i="14" s="1"/>
  <c r="L41" i="14"/>
  <c r="M13" i="14"/>
  <c r="L12" i="14"/>
  <c r="L21" i="14"/>
  <c r="M42" i="14"/>
  <c r="A42" i="14" s="1" a="1"/>
  <c r="A42" i="14" s="1"/>
  <c r="L4" i="14"/>
  <c r="M18" i="14"/>
  <c r="L36" i="6"/>
  <c r="L52" i="6"/>
  <c r="L19" i="6"/>
  <c r="L29" i="6"/>
  <c r="L56" i="6"/>
  <c r="L25" i="6"/>
  <c r="K31" i="6"/>
  <c r="K52" i="6"/>
  <c r="K56" i="6"/>
  <c r="K17" i="6"/>
  <c r="L51" i="6"/>
  <c r="K16" i="6"/>
  <c r="K9" i="6"/>
  <c r="K47" i="6"/>
  <c r="L46" i="6"/>
  <c r="L24" i="6"/>
  <c r="L8" i="6"/>
  <c r="M16" i="6"/>
  <c r="M9" i="6"/>
  <c r="M47" i="6"/>
  <c r="K35" i="6"/>
  <c r="K50" i="6"/>
  <c r="K26" i="6"/>
  <c r="K7" i="6"/>
  <c r="L5" i="6"/>
  <c r="L23" i="6"/>
  <c r="L44" i="6"/>
  <c r="M35" i="6"/>
  <c r="B35" i="6" s="1" a="1"/>
  <c r="B35" i="6" s="1"/>
  <c r="M50" i="6"/>
  <c r="M26" i="6"/>
  <c r="M7" i="6"/>
  <c r="K36" i="6"/>
  <c r="K19" i="6"/>
  <c r="K25" i="6"/>
  <c r="K29" i="6"/>
  <c r="K46" i="6"/>
  <c r="K24" i="6"/>
  <c r="K8" i="6"/>
  <c r="K51" i="6"/>
  <c r="K5" i="6"/>
  <c r="K23" i="6"/>
  <c r="K44" i="6"/>
  <c r="M5" i="6"/>
  <c r="M71" i="11"/>
  <c r="B71" i="11" s="1" a="1"/>
  <c r="B71" i="11" s="1"/>
  <c r="M70" i="11"/>
  <c r="B70" i="11" s="1" a="1"/>
  <c r="B70" i="11" s="1"/>
  <c r="K12" i="11"/>
  <c r="M78" i="11"/>
  <c r="B78" i="11" s="1" a="1"/>
  <c r="B78" i="11" s="1"/>
  <c r="L78" i="11"/>
  <c r="K39" i="11"/>
  <c r="M3" i="3"/>
  <c r="K7" i="3"/>
  <c r="M22" i="3"/>
  <c r="L25" i="3"/>
  <c r="L51" i="3"/>
  <c r="K16" i="3"/>
  <c r="M30" i="3"/>
  <c r="B30" i="3" s="1" a="1"/>
  <c r="B30" i="3" s="1"/>
  <c r="K38" i="3"/>
  <c r="K17" i="3"/>
  <c r="K30" i="3"/>
  <c r="L33" i="3"/>
  <c r="K33" i="3"/>
  <c r="M7" i="3"/>
  <c r="L7" i="3"/>
  <c r="M28" i="3"/>
  <c r="B28" i="3" s="1" a="1"/>
  <c r="B28" i="3" s="1"/>
  <c r="M19" i="15"/>
  <c r="L19" i="15"/>
  <c r="K25" i="16"/>
  <c r="L27" i="16"/>
  <c r="L40" i="16"/>
  <c r="M10" i="16"/>
  <c r="K40" i="16"/>
  <c r="L3" i="16"/>
  <c r="M30" i="16"/>
  <c r="L10" i="16"/>
  <c r="M7" i="16"/>
  <c r="M43" i="16"/>
  <c r="B43" i="16" s="1" a="1"/>
  <c r="B43" i="16" s="1"/>
  <c r="L30" i="16"/>
  <c r="K7" i="16"/>
  <c r="M23" i="16"/>
  <c r="B23" i="16" s="1" a="1"/>
  <c r="B23" i="16" s="1"/>
  <c r="L23" i="16"/>
  <c r="L49" i="16"/>
  <c r="L43" i="16"/>
  <c r="M32" i="16"/>
  <c r="B32" i="16" s="1" a="1"/>
  <c r="B32" i="16" s="1"/>
  <c r="M50" i="16"/>
  <c r="B50" i="16" s="1" a="1"/>
  <c r="B50" i="16" s="1"/>
  <c r="L32" i="16"/>
  <c r="M42" i="16"/>
  <c r="B42" i="16" s="1" a="1"/>
  <c r="B42" i="16" s="1"/>
  <c r="L50" i="16"/>
  <c r="L42" i="16"/>
  <c r="L21" i="16"/>
  <c r="M7" i="11"/>
  <c r="L7" i="11"/>
  <c r="K14" i="11"/>
  <c r="M39" i="11"/>
  <c r="M72" i="11"/>
  <c r="B72" i="11" s="1" a="1"/>
  <c r="B72" i="11" s="1"/>
  <c r="K48" i="11"/>
  <c r="L43" i="11"/>
  <c r="K24" i="11"/>
  <c r="M79" i="11"/>
  <c r="B79" i="11" s="1" a="1"/>
  <c r="B79" i="11" s="1"/>
  <c r="L60" i="11"/>
  <c r="K60" i="11"/>
  <c r="M24" i="11"/>
  <c r="L24" i="11"/>
  <c r="M58" i="11"/>
  <c r="M8" i="11"/>
  <c r="M41" i="11"/>
  <c r="L58" i="11"/>
  <c r="M14" i="11"/>
  <c r="L8" i="11"/>
  <c r="L41" i="11"/>
  <c r="L44" i="11"/>
  <c r="K43" i="11"/>
  <c r="M54" i="11"/>
  <c r="M73" i="11"/>
  <c r="M48" i="11"/>
  <c r="B48" i="11" s="1" a="1"/>
  <c r="B48" i="11" s="1"/>
  <c r="L63" i="11"/>
  <c r="M42" i="11"/>
  <c r="L54" i="11"/>
  <c r="L73" i="11"/>
  <c r="K63" i="11"/>
  <c r="L42" i="11"/>
  <c r="L55" i="11"/>
  <c r="K23" i="11"/>
  <c r="M44" i="11"/>
  <c r="B44" i="11" s="1" a="1"/>
  <c r="B44" i="11" s="1"/>
  <c r="M50" i="3"/>
  <c r="L12" i="3"/>
  <c r="M35" i="3"/>
  <c r="K12" i="3"/>
  <c r="L35" i="3"/>
  <c r="K22" i="3"/>
  <c r="M27" i="3"/>
  <c r="L27" i="3"/>
  <c r="K37" i="3"/>
  <c r="L11" i="3"/>
  <c r="K11" i="3"/>
  <c r="M12" i="3"/>
  <c r="A12" i="3" s="1" a="1"/>
  <c r="A12" i="3" s="1"/>
  <c r="Q12" i="3" s="1"/>
  <c r="M17" i="3"/>
  <c r="B17" i="3" s="1" a="1"/>
  <c r="B17" i="3" s="1"/>
  <c r="K43" i="3"/>
  <c r="K60" i="3"/>
  <c r="M51" i="3"/>
  <c r="L22" i="3"/>
  <c r="L64" i="3"/>
  <c r="L44" i="3"/>
  <c r="K64" i="3"/>
  <c r="K44" i="3"/>
  <c r="M62" i="3"/>
  <c r="M60" i="3"/>
  <c r="L3" i="3"/>
  <c r="M31" i="3"/>
  <c r="L43" i="3"/>
  <c r="L62" i="3"/>
  <c r="K21" i="3"/>
  <c r="K3" i="3"/>
  <c r="L31" i="3"/>
  <c r="K25" i="3"/>
  <c r="M54" i="3"/>
  <c r="L54" i="3"/>
  <c r="K54" i="3"/>
  <c r="M15" i="3"/>
  <c r="B15" i="3" s="1" a="1"/>
  <c r="B15" i="3" s="1"/>
  <c r="M47" i="3"/>
  <c r="M59" i="3"/>
  <c r="L15" i="3"/>
  <c r="M16" i="3"/>
  <c r="M38" i="3"/>
  <c r="K50" i="3"/>
  <c r="L47" i="3"/>
  <c r="L59" i="3"/>
  <c r="M37" i="3"/>
  <c r="K15" i="3"/>
  <c r="L16" i="3"/>
  <c r="L38" i="3"/>
  <c r="K47" i="3"/>
  <c r="M21" i="3"/>
  <c r="M56" i="3"/>
  <c r="L56" i="3"/>
  <c r="K55" i="11"/>
  <c r="L22" i="11"/>
  <c r="M65" i="11"/>
  <c r="B65" i="11" s="1" a="1"/>
  <c r="B65" i="11" s="1"/>
  <c r="L70" i="11"/>
  <c r="L65" i="11"/>
  <c r="M17" i="11"/>
  <c r="M10" i="11"/>
  <c r="K65" i="11"/>
  <c r="L17" i="11"/>
  <c r="M12" i="11"/>
  <c r="L10" i="11"/>
  <c r="M21" i="11"/>
  <c r="K21" i="16"/>
  <c r="L29" i="16"/>
  <c r="K29" i="16"/>
  <c r="L35" i="16"/>
  <c r="M46" i="16"/>
  <c r="B46" i="16" s="1" a="1"/>
  <c r="B46" i="16" s="1"/>
  <c r="M31" i="16"/>
  <c r="L46" i="16"/>
  <c r="M5" i="16"/>
  <c r="B5" i="16" s="1" a="1"/>
  <c r="B5" i="16" s="1"/>
  <c r="L31" i="16"/>
  <c r="L5" i="16"/>
  <c r="M25" i="15"/>
  <c r="L25" i="15"/>
  <c r="M18" i="15"/>
  <c r="B10" i="15" a="1"/>
  <c r="B10" i="15" s="1"/>
  <c r="K12" i="15"/>
  <c r="M16" i="15"/>
  <c r="L18" i="15"/>
  <c r="M17" i="15"/>
  <c r="M12" i="15"/>
  <c r="B12" i="15" s="1" a="1"/>
  <c r="B12" i="15" s="1"/>
  <c r="L17" i="15"/>
  <c r="S49" i="11" l="1"/>
  <c r="J49" i="11"/>
  <c r="S54" i="11"/>
  <c r="J54" i="11"/>
  <c r="S12" i="11"/>
  <c r="J12" i="11"/>
  <c r="B7" i="11" s="1" a="1"/>
  <c r="B7" i="11" s="1"/>
  <c r="S70" i="11"/>
  <c r="J70" i="11"/>
  <c r="S48" i="11"/>
  <c r="J48" i="11"/>
  <c r="S58" i="11"/>
  <c r="J58" i="11"/>
  <c r="S42" i="11"/>
  <c r="J42" i="11"/>
  <c r="S43" i="11"/>
  <c r="J43" i="11"/>
  <c r="S10" i="11"/>
  <c r="J10" i="11"/>
  <c r="S55" i="11"/>
  <c r="J55" i="11"/>
  <c r="S17" i="11"/>
  <c r="J17" i="11"/>
  <c r="S22" i="11"/>
  <c r="J22" i="11"/>
  <c r="S63" i="11"/>
  <c r="J63" i="11"/>
  <c r="S60" i="11"/>
  <c r="J60" i="11"/>
  <c r="S65" i="11"/>
  <c r="J65" i="11"/>
  <c r="S24" i="11"/>
  <c r="J24" i="11"/>
  <c r="S41" i="11"/>
  <c r="J41" i="11"/>
  <c r="S44" i="11"/>
  <c r="J44" i="11"/>
  <c r="S79" i="11"/>
  <c r="J79" i="11"/>
  <c r="S7" i="11"/>
  <c r="J7" i="11"/>
  <c r="S71" i="11"/>
  <c r="J71" i="11"/>
  <c r="S72" i="11"/>
  <c r="J72" i="11"/>
  <c r="S21" i="11"/>
  <c r="J21" i="11"/>
  <c r="S23" i="11"/>
  <c r="J23" i="11"/>
  <c r="S34" i="11"/>
  <c r="J34" i="11"/>
  <c r="S73" i="11"/>
  <c r="J73" i="11"/>
  <c r="S78" i="11"/>
  <c r="J78" i="11"/>
  <c r="S39" i="11"/>
  <c r="J39" i="11"/>
  <c r="S44" i="3"/>
  <c r="J44" i="3"/>
  <c r="S28" i="3"/>
  <c r="J28" i="3"/>
  <c r="S31" i="3"/>
  <c r="J31" i="3"/>
  <c r="S62" i="3"/>
  <c r="J62" i="3"/>
  <c r="S50" i="3"/>
  <c r="J50" i="3"/>
  <c r="S27" i="3"/>
  <c r="J27" i="3"/>
  <c r="S47" i="3"/>
  <c r="J47" i="3"/>
  <c r="S21" i="3"/>
  <c r="J21" i="3"/>
  <c r="S16" i="3"/>
  <c r="J16" i="3"/>
  <c r="S60" i="3"/>
  <c r="J60" i="3"/>
  <c r="S3" i="3"/>
  <c r="J3" i="3"/>
  <c r="S59" i="3"/>
  <c r="J59" i="3"/>
  <c r="S15" i="3"/>
  <c r="J15" i="3"/>
  <c r="S64" i="3"/>
  <c r="J64" i="3"/>
  <c r="S56" i="3"/>
  <c r="J56" i="3"/>
  <c r="S25" i="3"/>
  <c r="J25" i="3"/>
  <c r="S51" i="3"/>
  <c r="J51" i="3"/>
  <c r="S54" i="3"/>
  <c r="J54" i="3"/>
  <c r="S30" i="3"/>
  <c r="J30" i="3"/>
  <c r="S37" i="3"/>
  <c r="J37" i="3"/>
  <c r="S33" i="3"/>
  <c r="J33" i="3"/>
  <c r="S22" i="3"/>
  <c r="J22" i="3"/>
  <c r="S38" i="3"/>
  <c r="J38" i="3"/>
  <c r="S17" i="3"/>
  <c r="J17" i="3"/>
  <c r="B26" i="14" a="1"/>
  <c r="B26" i="14" s="1"/>
  <c r="B18" i="15" a="1"/>
  <c r="B18" i="15" s="1"/>
  <c r="B46" i="6" a="1"/>
  <c r="B46" i="6" s="1"/>
  <c r="B9" i="6" a="1"/>
  <c r="B9" i="6" s="1"/>
  <c r="B47" i="14" a="1"/>
  <c r="B47" i="14" s="1"/>
  <c r="B6" i="14" a="1"/>
  <c r="B6" i="14" s="1"/>
  <c r="B29" i="6" a="1"/>
  <c r="B29" i="6" s="1"/>
  <c r="B38" i="16" a="1"/>
  <c r="B38" i="16" s="1"/>
  <c r="B29" i="16" a="1"/>
  <c r="B29" i="16" s="1"/>
  <c r="B31" i="16" a="1"/>
  <c r="B31" i="16" s="1"/>
  <c r="B16" i="15" a="1"/>
  <c r="B16" i="15" s="1"/>
  <c r="B3" i="15" a="1"/>
  <c r="B3" i="15" s="1"/>
  <c r="B21" i="14" a="1"/>
  <c r="B21" i="14" s="1"/>
  <c r="B27" i="14" a="1"/>
  <c r="B27" i="14" s="1"/>
  <c r="B39" i="14" a="1"/>
  <c r="B39" i="14" s="1"/>
  <c r="B32" i="14" a="1"/>
  <c r="B32" i="14" s="1"/>
  <c r="B64" i="14" a="1"/>
  <c r="B64" i="14" s="1"/>
  <c r="B46" i="14" a="1"/>
  <c r="B46" i="14" s="1"/>
  <c r="B37" i="14" a="1"/>
  <c r="B37" i="14" s="1"/>
  <c r="B38" i="14" a="1"/>
  <c r="B38" i="14" s="1"/>
  <c r="B35" i="14" a="1"/>
  <c r="B35" i="14" s="1"/>
  <c r="B11" i="14" a="1"/>
  <c r="B11" i="14" s="1"/>
  <c r="B17" i="14" a="1"/>
  <c r="B17" i="14" s="1"/>
  <c r="B30" i="6" a="1"/>
  <c r="B30" i="6" s="1"/>
  <c r="B33" i="6" a="1"/>
  <c r="B33" i="6" s="1"/>
  <c r="B3" i="6" a="1"/>
  <c r="B3" i="6" s="1"/>
  <c r="B54" i="6" a="1"/>
  <c r="B54" i="6" s="1"/>
  <c r="B32" i="6" a="1"/>
  <c r="B32" i="6" s="1"/>
  <c r="B17" i="6" a="1"/>
  <c r="B17" i="6" s="1"/>
  <c r="B55" i="6" a="1"/>
  <c r="B55" i="6" s="1"/>
  <c r="B4" i="6" a="1"/>
  <c r="B4" i="6" s="1"/>
  <c r="B15" i="6" a="1"/>
  <c r="B15" i="6" s="1"/>
  <c r="B56" i="6" a="1"/>
  <c r="B56" i="6" s="1"/>
  <c r="B34" i="6" a="1"/>
  <c r="B34" i="6" s="1"/>
  <c r="B20" i="6" a="1"/>
  <c r="B20" i="6" s="1"/>
  <c r="B45" i="6" a="1"/>
  <c r="B45" i="6" s="1"/>
  <c r="B27" i="16" a="1"/>
  <c r="B27" i="16" s="1"/>
  <c r="B3" i="16" a="1"/>
  <c r="B3" i="16" s="1"/>
  <c r="B26" i="16" a="1"/>
  <c r="B26" i="16" s="1"/>
  <c r="B37" i="16" a="1"/>
  <c r="B37" i="16" s="1"/>
  <c r="B28" i="16" a="1"/>
  <c r="B28" i="16" s="1"/>
  <c r="B34" i="16" a="1"/>
  <c r="B34" i="16" s="1"/>
  <c r="B30" i="16" a="1"/>
  <c r="B30" i="16" s="1"/>
  <c r="B10" i="16" a="1"/>
  <c r="B10" i="16" s="1"/>
  <c r="B36" i="16" a="1"/>
  <c r="B36" i="16" s="1"/>
  <c r="B35" i="16" a="1"/>
  <c r="B35" i="16" s="1"/>
  <c r="B39" i="16" a="1"/>
  <c r="B39" i="16" s="1"/>
  <c r="B41" i="16" a="1"/>
  <c r="B41" i="16" s="1"/>
  <c r="B9" i="16" a="1"/>
  <c r="B9" i="16" s="1"/>
  <c r="B33" i="16" a="1"/>
  <c r="B33" i="16" s="1"/>
  <c r="B25" i="15" a="1"/>
  <c r="B25" i="15" s="1"/>
  <c r="B9" i="15" a="1"/>
  <c r="B9" i="15" s="1"/>
  <c r="B21" i="15" a="1"/>
  <c r="B21" i="15" s="1"/>
  <c r="B22" i="15" a="1"/>
  <c r="B22" i="15" s="1"/>
  <c r="B8" i="15" a="1"/>
  <c r="B8" i="15" s="1"/>
  <c r="B4" i="15" a="1"/>
  <c r="B4" i="15" s="1"/>
  <c r="B3" i="14" a="1"/>
  <c r="B3" i="14" s="1"/>
  <c r="A11" i="15" a="1"/>
  <c r="A11" i="15" s="1"/>
  <c r="Q11" i="15" s="1"/>
  <c r="G21" i="17" s="1"/>
  <c r="H21" i="17" s="1"/>
  <c r="B11" i="15" a="1"/>
  <c r="B11" i="15" s="1"/>
  <c r="R21" i="13"/>
  <c r="D85" i="2" a="1"/>
  <c r="D85" i="2" s="1"/>
  <c r="D91" i="2" a="1"/>
  <c r="D91" i="2" s="1"/>
  <c r="D95" i="2" a="1"/>
  <c r="D95" i="2" s="1"/>
  <c r="D92" i="2" a="1"/>
  <c r="D92" i="2" s="1"/>
  <c r="D82" i="2" a="1"/>
  <c r="D82" i="2" s="1"/>
  <c r="D96" i="2" a="1"/>
  <c r="D96" i="2" s="1"/>
  <c r="D86" i="2" a="1"/>
  <c r="D86" i="2" s="1"/>
  <c r="D93" i="2" a="1"/>
  <c r="D93" i="2" s="1"/>
  <c r="D84" i="2" a="1"/>
  <c r="D84" i="2" s="1"/>
  <c r="D87" i="2" a="1"/>
  <c r="D87" i="2" s="1"/>
  <c r="D88" i="2" a="1"/>
  <c r="D88" i="2" s="1"/>
  <c r="D94" i="2" a="1"/>
  <c r="D94" i="2" s="1"/>
  <c r="D90" i="2" a="1"/>
  <c r="D90" i="2" s="1"/>
  <c r="D89" i="2" a="1"/>
  <c r="D89" i="2" s="1"/>
  <c r="D83" i="2" a="1"/>
  <c r="D83" i="2" s="1"/>
  <c r="D97" i="2" a="1"/>
  <c r="D97" i="2" s="1"/>
  <c r="R6" i="12"/>
  <c r="C13" i="17" s="1"/>
  <c r="D13" i="17" s="1"/>
  <c r="D73" i="2" a="1"/>
  <c r="D73" i="2" s="1"/>
  <c r="D81" i="2" a="1"/>
  <c r="D81" i="2" s="1"/>
  <c r="D75" i="2" a="1"/>
  <c r="D75" i="2" s="1"/>
  <c r="D76" i="2" a="1"/>
  <c r="D76" i="2" s="1"/>
  <c r="D69" i="2" a="1"/>
  <c r="D69" i="2" s="1"/>
  <c r="D74" i="2" a="1"/>
  <c r="D74" i="2" s="1"/>
  <c r="D66" i="2" a="1"/>
  <c r="D66" i="2" s="1"/>
  <c r="D70" i="2" a="1"/>
  <c r="D70" i="2" s="1"/>
  <c r="D71" i="2" a="1"/>
  <c r="D71" i="2" s="1"/>
  <c r="D80" i="2" a="1"/>
  <c r="D80" i="2" s="1"/>
  <c r="D67" i="2" a="1"/>
  <c r="D67" i="2" s="1"/>
  <c r="D68" i="2" a="1"/>
  <c r="D68" i="2" s="1"/>
  <c r="D77" i="2" a="1"/>
  <c r="D77" i="2" s="1"/>
  <c r="D78" i="2" a="1"/>
  <c r="D78" i="2" s="1"/>
  <c r="D79" i="2" a="1"/>
  <c r="D79" i="2" s="1"/>
  <c r="D72" i="2" a="1"/>
  <c r="D72" i="2" s="1"/>
  <c r="A25" i="14" a="1"/>
  <c r="A25" i="14" s="1"/>
  <c r="A13" i="6" a="1"/>
  <c r="A13" i="6" s="1"/>
  <c r="A17" i="15" a="1"/>
  <c r="A17" i="15" s="1"/>
  <c r="Q17" i="15" s="1"/>
  <c r="B18" i="14" a="1"/>
  <c r="B18" i="14" s="1"/>
  <c r="A18" i="14" a="1"/>
  <c r="A18" i="14" s="1"/>
  <c r="Q18" i="14" s="1"/>
  <c r="A5" i="14" a="1"/>
  <c r="A5" i="14" s="1"/>
  <c r="Q5" i="14" s="1"/>
  <c r="B24" i="14" a="1"/>
  <c r="B24" i="14" s="1"/>
  <c r="A24" i="14" a="1"/>
  <c r="A24" i="14" s="1"/>
  <c r="Q24" i="14" s="1"/>
  <c r="B43" i="14" a="1"/>
  <c r="B43" i="14" s="1"/>
  <c r="A43" i="14" a="1"/>
  <c r="A43" i="14" s="1"/>
  <c r="Q43" i="14" s="1"/>
  <c r="B14" i="14" a="1"/>
  <c r="B14" i="14" s="1"/>
  <c r="A14" i="14" a="1"/>
  <c r="A14" i="14" s="1"/>
  <c r="Q14" i="14" s="1"/>
  <c r="E3" i="17" s="1"/>
  <c r="F3" i="17" s="1"/>
  <c r="B23" i="14" a="1"/>
  <c r="B23" i="14" s="1"/>
  <c r="A23" i="14" a="1"/>
  <c r="A23" i="14" s="1"/>
  <c r="A5" i="6" a="1"/>
  <c r="A5" i="6" s="1"/>
  <c r="Q5" i="6" s="1"/>
  <c r="A19" i="6" a="1"/>
  <c r="A19" i="6" s="1"/>
  <c r="A11" i="6" a="1"/>
  <c r="A11" i="6" s="1"/>
  <c r="Q11" i="6" s="1"/>
  <c r="B47" i="6" a="1"/>
  <c r="B47" i="6" s="1"/>
  <c r="A47" i="6" a="1"/>
  <c r="A47" i="6" s="1"/>
  <c r="Q47" i="6" s="1"/>
  <c r="B31" i="6" a="1"/>
  <c r="B31" i="6" s="1"/>
  <c r="A31" i="6" a="1"/>
  <c r="A31" i="6" s="1"/>
  <c r="Q31" i="6" s="1"/>
  <c r="A8" i="6" a="1"/>
  <c r="A8" i="6" s="1"/>
  <c r="Q8" i="6" s="1"/>
  <c r="A14" i="6" a="1"/>
  <c r="A14" i="6" s="1"/>
  <c r="Q14" i="6" s="1"/>
  <c r="A28" i="6" a="1"/>
  <c r="A28" i="6" s="1"/>
  <c r="Q28" i="6" s="1"/>
  <c r="B50" i="6" a="1"/>
  <c r="B50" i="6" s="1"/>
  <c r="A50" i="6" a="1"/>
  <c r="A50" i="6" s="1"/>
  <c r="B16" i="6" a="1"/>
  <c r="B16" i="6" s="1"/>
  <c r="A16" i="6" a="1"/>
  <c r="A16" i="6" s="1"/>
  <c r="A23" i="6" a="1"/>
  <c r="A23" i="6" s="1"/>
  <c r="A7" i="6" a="1"/>
  <c r="A7" i="6" s="1"/>
  <c r="Q7" i="6" s="1"/>
  <c r="A10" i="6" a="1"/>
  <c r="A10" i="6" s="1"/>
  <c r="Q10" i="6" s="1"/>
  <c r="A4" i="16" a="1"/>
  <c r="A4" i="16" s="1"/>
  <c r="Q4" i="16" s="1"/>
  <c r="A6" i="16" a="1"/>
  <c r="A6" i="16" s="1"/>
  <c r="Q6" i="16" s="1"/>
  <c r="B7" i="16" a="1"/>
  <c r="B7" i="16" s="1"/>
  <c r="A7" i="16" a="1"/>
  <c r="A7" i="16" s="1"/>
  <c r="Q7" i="16" s="1"/>
  <c r="B40" i="16" a="1"/>
  <c r="B40" i="16" s="1"/>
  <c r="A40" i="16" a="1"/>
  <c r="A40" i="16" s="1"/>
  <c r="Q40" i="16" s="1"/>
  <c r="A7" i="15" a="1"/>
  <c r="A7" i="15" s="1"/>
  <c r="Q7" i="15" s="1"/>
  <c r="A6" i="15" a="1"/>
  <c r="A6" i="15" s="1"/>
  <c r="A5" i="15" a="1"/>
  <c r="A5" i="15" s="1"/>
  <c r="B19" i="15" a="1"/>
  <c r="B19" i="15" s="1"/>
  <c r="A19" i="15" a="1"/>
  <c r="A19" i="15" s="1"/>
  <c r="Q19" i="15" s="1"/>
  <c r="G32" i="17"/>
  <c r="H32" i="17" s="1"/>
  <c r="R17" i="13"/>
  <c r="A43" i="11" a="1"/>
  <c r="A43" i="11" s="1"/>
  <c r="Q43" i="11" s="1"/>
  <c r="B58" i="11" a="1"/>
  <c r="B58" i="11" s="1"/>
  <c r="A58" i="11" a="1"/>
  <c r="A58" i="11" s="1"/>
  <c r="Q58" i="11" s="1"/>
  <c r="A42" i="11" a="1"/>
  <c r="A42" i="11" s="1"/>
  <c r="Q42" i="11" s="1"/>
  <c r="B8" i="11" a="1"/>
  <c r="B8" i="11" s="1"/>
  <c r="A8" i="11" a="1"/>
  <c r="A8" i="11" s="1"/>
  <c r="Q8" i="11" s="1"/>
  <c r="A49" i="11" a="1"/>
  <c r="A49" i="11" s="1"/>
  <c r="Q49" i="11" s="1"/>
  <c r="B11" i="3" a="1"/>
  <c r="B11" i="3" s="1"/>
  <c r="A11" i="3" a="1"/>
  <c r="A11" i="3" s="1"/>
  <c r="Q11" i="3" s="1"/>
  <c r="B47" i="3" a="1"/>
  <c r="B47" i="3" s="1"/>
  <c r="A47" i="3" a="1"/>
  <c r="A47" i="3" s="1"/>
  <c r="Q47" i="3" s="1"/>
  <c r="B31" i="3" a="1"/>
  <c r="B31" i="3" s="1"/>
  <c r="A31" i="3" a="1"/>
  <c r="A31" i="3" s="1"/>
  <c r="Q31" i="3" s="1"/>
  <c r="B43" i="3" a="1"/>
  <c r="B43" i="3" s="1"/>
  <c r="A43" i="3" a="1"/>
  <c r="A43" i="3" s="1"/>
  <c r="Q43" i="3" s="1"/>
  <c r="B51" i="3" a="1"/>
  <c r="B51" i="3" s="1"/>
  <c r="A51" i="3" a="1"/>
  <c r="A51" i="3" s="1"/>
  <c r="Q51" i="3" s="1"/>
  <c r="B54" i="3" a="1"/>
  <c r="B54" i="3" s="1"/>
  <c r="A54" i="3" a="1"/>
  <c r="A54" i="3" s="1"/>
  <c r="Q54" i="3" s="1"/>
  <c r="B44" i="3" a="1"/>
  <c r="B44" i="3" s="1"/>
  <c r="B48" i="14" a="1"/>
  <c r="B48" i="14" s="1"/>
  <c r="B30" i="14" a="1"/>
  <c r="B30" i="14" s="1"/>
  <c r="B28" i="14" a="1"/>
  <c r="B28" i="14" s="1"/>
  <c r="B7" i="14" a="1"/>
  <c r="B7" i="14" s="1"/>
  <c r="B41" i="14" a="1"/>
  <c r="B41" i="14" s="1"/>
  <c r="B45" i="14" a="1"/>
  <c r="B45" i="14" s="1"/>
  <c r="B34" i="14" a="1"/>
  <c r="B34" i="14" s="1"/>
  <c r="B33" i="14" a="1"/>
  <c r="B33" i="14" s="1"/>
  <c r="B52" i="14" a="1"/>
  <c r="B52" i="14" s="1"/>
  <c r="B10" i="14" a="1"/>
  <c r="B10" i="14" s="1"/>
  <c r="B56" i="14" a="1"/>
  <c r="B56" i="14" s="1"/>
  <c r="B53" i="14" a="1"/>
  <c r="B53" i="14" s="1"/>
  <c r="B57" i="14" a="1"/>
  <c r="B57" i="14" s="1"/>
  <c r="B54" i="14" a="1"/>
  <c r="B54" i="14" s="1"/>
  <c r="B19" i="14" a="1"/>
  <c r="B19" i="14" s="1"/>
  <c r="B55" i="14" a="1"/>
  <c r="B55" i="14" s="1"/>
  <c r="B61" i="14" a="1"/>
  <c r="B61" i="14" s="1"/>
  <c r="B66" i="14" a="1"/>
  <c r="B66" i="14" s="1"/>
  <c r="B51" i="14" a="1"/>
  <c r="B51" i="14" s="1"/>
  <c r="B59" i="14" a="1"/>
  <c r="B59" i="14" s="1"/>
  <c r="B65" i="14" a="1"/>
  <c r="B65" i="14" s="1"/>
  <c r="B50" i="14" a="1"/>
  <c r="B50" i="14" s="1"/>
  <c r="B15" i="14" a="1"/>
  <c r="B15" i="14" s="1"/>
  <c r="B42" i="14" a="1"/>
  <c r="B42" i="14" s="1"/>
  <c r="B44" i="14" a="1"/>
  <c r="B44" i="14" s="1"/>
  <c r="B62" i="14" a="1"/>
  <c r="B62" i="14" s="1"/>
  <c r="B4" i="14" a="1"/>
  <c r="B4" i="14" s="1"/>
  <c r="B49" i="14" a="1"/>
  <c r="B49" i="14" s="1"/>
  <c r="B58" i="14" a="1"/>
  <c r="B58" i="14" s="1"/>
  <c r="B22" i="14" a="1"/>
  <c r="B22" i="14" s="1"/>
  <c r="B40" i="14" a="1"/>
  <c r="B40" i="14" s="1"/>
  <c r="B60" i="14" a="1"/>
  <c r="B60" i="14" s="1"/>
  <c r="B29" i="14" a="1"/>
  <c r="B29" i="14" s="1"/>
  <c r="B63" i="14" a="1"/>
  <c r="B63" i="14" s="1"/>
  <c r="B13" i="14" a="1"/>
  <c r="B13" i="14" s="1"/>
  <c r="B36" i="14" a="1"/>
  <c r="B36" i="14" s="1"/>
  <c r="B16" i="14" a="1"/>
  <c r="B16" i="14" s="1"/>
  <c r="B31" i="14" a="1"/>
  <c r="B31" i="14" s="1"/>
  <c r="B6" i="15" a="1"/>
  <c r="B6" i="15" s="1"/>
  <c r="B17" i="15" a="1"/>
  <c r="B17" i="15" s="1"/>
  <c r="B4" i="16" a="1"/>
  <c r="B4" i="16" s="1"/>
  <c r="B7" i="15" a="1"/>
  <c r="B7" i="15" s="1"/>
  <c r="B6" i="16" a="1"/>
  <c r="B6" i="16" s="1"/>
  <c r="B5" i="15" a="1"/>
  <c r="B5" i="15" s="1"/>
  <c r="B12" i="6" a="1"/>
  <c r="B12" i="6" s="1"/>
  <c r="B5" i="14" a="1"/>
  <c r="B5" i="14" s="1"/>
  <c r="B25" i="14" a="1"/>
  <c r="B25" i="14" s="1"/>
  <c r="B19" i="6" a="1"/>
  <c r="B19" i="6" s="1"/>
  <c r="B6" i="6" a="1"/>
  <c r="B6" i="6" s="1"/>
  <c r="B26" i="6" a="1"/>
  <c r="B26" i="6" s="1"/>
  <c r="B7" i="6" a="1"/>
  <c r="B7" i="6" s="1"/>
  <c r="B28" i="6" a="1"/>
  <c r="B28" i="6" s="1"/>
  <c r="B5" i="6" a="1"/>
  <c r="B5" i="6" s="1"/>
  <c r="B13" i="6" a="1"/>
  <c r="B13" i="6" s="1"/>
  <c r="B8" i="6" a="1"/>
  <c r="B8" i="6" s="1"/>
  <c r="B11" i="6" a="1"/>
  <c r="B11" i="6" s="1"/>
  <c r="B23" i="6" a="1"/>
  <c r="B23" i="6" s="1"/>
  <c r="B24" i="6" a="1"/>
  <c r="B24" i="6" s="1"/>
  <c r="B14" i="6" a="1"/>
  <c r="B14" i="6" s="1"/>
  <c r="B10" i="6" a="1"/>
  <c r="B10" i="6" s="1"/>
  <c r="B18" i="6" a="1"/>
  <c r="B18" i="6" s="1"/>
  <c r="B12" i="11" a="1"/>
  <c r="B12" i="11" s="1"/>
  <c r="B21" i="11" a="1"/>
  <c r="B21" i="11" s="1"/>
  <c r="B17" i="11" a="1"/>
  <c r="B17" i="11" s="1"/>
  <c r="B11" i="11" a="1"/>
  <c r="B11" i="11" s="1"/>
  <c r="B39" i="11" a="1"/>
  <c r="B39" i="11" s="1"/>
  <c r="B18" i="3" a="1"/>
  <c r="B18" i="3" s="1"/>
  <c r="S43" i="3"/>
  <c r="A33" i="3" a="1"/>
  <c r="A33" i="3" s="1"/>
  <c r="Q33" i="3" s="1"/>
  <c r="Q27" i="16"/>
  <c r="Q39" i="11"/>
  <c r="Q21" i="15"/>
  <c r="G5" i="17" s="1"/>
  <c r="H5" i="17" s="1"/>
  <c r="Q65" i="11"/>
  <c r="Q22" i="15"/>
  <c r="Q31" i="16"/>
  <c r="Q22" i="11"/>
  <c r="Q52" i="14"/>
  <c r="Q60" i="14"/>
  <c r="Q35" i="6"/>
  <c r="Q34" i="14"/>
  <c r="Q48" i="14"/>
  <c r="Q12" i="14"/>
  <c r="Q56" i="14"/>
  <c r="E15" i="17"/>
  <c r="F15" i="17" s="1"/>
  <c r="Q42" i="14"/>
  <c r="Q63" i="14"/>
  <c r="Q16" i="14"/>
  <c r="Q49" i="14"/>
  <c r="Q36" i="14"/>
  <c r="Q10" i="14"/>
  <c r="Q4" i="14"/>
  <c r="Q6" i="14"/>
  <c r="Q9" i="6"/>
  <c r="Q46" i="6"/>
  <c r="Q56" i="6"/>
  <c r="E48" i="17"/>
  <c r="F48" i="17" s="1"/>
  <c r="Q46" i="16"/>
  <c r="Q10" i="16"/>
  <c r="G17" i="17" s="1"/>
  <c r="H17" i="17" s="1"/>
  <c r="G20" i="17"/>
  <c r="H20" i="17" s="1"/>
  <c r="Q50" i="16"/>
  <c r="Q43" i="16"/>
  <c r="Q30" i="16"/>
  <c r="G64" i="17" s="1"/>
  <c r="H64" i="17" s="1"/>
  <c r="Q42" i="16"/>
  <c r="Q23" i="16"/>
  <c r="Q49" i="16"/>
  <c r="Q16" i="15"/>
  <c r="Q18" i="15"/>
  <c r="G30" i="17" s="1"/>
  <c r="H30" i="17" s="1"/>
  <c r="Q71" i="11"/>
  <c r="Q12" i="11"/>
  <c r="Q10" i="11"/>
  <c r="Q17" i="11"/>
  <c r="Q21" i="11"/>
  <c r="Q23" i="11"/>
  <c r="Q14" i="11"/>
  <c r="Q60" i="11"/>
  <c r="Q44" i="11"/>
  <c r="Q78" i="11"/>
  <c r="Q73" i="11"/>
  <c r="Q72" i="11"/>
  <c r="Q7" i="11"/>
  <c r="Q48" i="11"/>
  <c r="Q24" i="11"/>
  <c r="Q79" i="11"/>
  <c r="Q70" i="11"/>
  <c r="C23" i="17"/>
  <c r="D23" i="17" s="1"/>
  <c r="B4" i="11" l="1" a="1"/>
  <c r="B4" i="11" s="1"/>
  <c r="B54" i="11" a="1"/>
  <c r="B54" i="11" s="1"/>
  <c r="B55" i="11" a="1"/>
  <c r="B55" i="11" s="1"/>
  <c r="B22" i="11" a="1"/>
  <c r="B22" i="11" s="1"/>
  <c r="B45" i="11" a="1"/>
  <c r="B45" i="11" s="1"/>
  <c r="C15" i="17"/>
  <c r="D15" i="17" s="1"/>
  <c r="B49" i="11" a="1"/>
  <c r="B49" i="11" s="1"/>
  <c r="D186" i="2" a="1"/>
  <c r="D186" i="2" s="1"/>
  <c r="B19" i="11" a="1"/>
  <c r="B19" i="11" s="1"/>
  <c r="B34" i="11" a="1"/>
  <c r="B34" i="11" s="1"/>
  <c r="B43" i="11" a="1"/>
  <c r="B43" i="11" s="1"/>
  <c r="B10" i="11" a="1"/>
  <c r="B10" i="11" s="1"/>
  <c r="B14" i="11" a="1"/>
  <c r="B14" i="11" s="1"/>
  <c r="B73" i="11" a="1"/>
  <c r="B73" i="11" s="1"/>
  <c r="B23" i="11" a="1"/>
  <c r="B23" i="11" s="1"/>
  <c r="B9" i="11" a="1"/>
  <c r="B9" i="11" s="1"/>
  <c r="B5" i="11" a="1"/>
  <c r="B5" i="11" s="1"/>
  <c r="B18" i="11" a="1"/>
  <c r="B18" i="11" s="1"/>
  <c r="B15" i="11" a="1"/>
  <c r="B15" i="11" s="1"/>
  <c r="B36" i="11" a="1"/>
  <c r="B36" i="11" s="1"/>
  <c r="B26" i="11" a="1"/>
  <c r="B26" i="11" s="1"/>
  <c r="B51" i="11" a="1"/>
  <c r="B51" i="11" s="1"/>
  <c r="B6" i="11" a="1"/>
  <c r="B6" i="11" s="1"/>
  <c r="B24" i="11" a="1"/>
  <c r="B24" i="11" s="1"/>
  <c r="B46" i="11" a="1"/>
  <c r="B46" i="11" s="1"/>
  <c r="B42" i="11" a="1"/>
  <c r="B42" i="11" s="1"/>
  <c r="B27" i="11" a="1"/>
  <c r="B27" i="11" s="1"/>
  <c r="B31" i="11" a="1"/>
  <c r="B31" i="11" s="1"/>
  <c r="B53" i="11" a="1"/>
  <c r="B53" i="11" s="1"/>
  <c r="B35" i="11" a="1"/>
  <c r="B35" i="11" s="1"/>
  <c r="B20" i="11" a="1"/>
  <c r="B20" i="11" s="1"/>
  <c r="B28" i="11" a="1"/>
  <c r="B28" i="11" s="1"/>
  <c r="B38" i="11" a="1"/>
  <c r="B38" i="11" s="1"/>
  <c r="B30" i="11" a="1"/>
  <c r="B30" i="11" s="1"/>
  <c r="B33" i="11" a="1"/>
  <c r="B33" i="11" s="1"/>
  <c r="B8" i="3" a="1"/>
  <c r="B8" i="3" s="1"/>
  <c r="B36" i="3" a="1"/>
  <c r="B36" i="3" s="1"/>
  <c r="D219" i="2" a="1"/>
  <c r="D219" i="2" s="1"/>
  <c r="D218" i="2" a="1"/>
  <c r="D218" i="2" s="1"/>
  <c r="D220" i="2" a="1"/>
  <c r="D220" i="2" s="1"/>
  <c r="D154" i="2" a="1"/>
  <c r="D154" i="2" s="1"/>
  <c r="D146" i="2" a="1"/>
  <c r="D146" i="2" s="1"/>
  <c r="D147" i="2" a="1"/>
  <c r="D147" i="2" s="1"/>
  <c r="D138" i="2" a="1"/>
  <c r="D138" i="2" s="1"/>
  <c r="D156" i="2" a="1"/>
  <c r="D156" i="2" s="1"/>
  <c r="D131" i="2" a="1"/>
  <c r="D131" i="2" s="1"/>
  <c r="D158" i="2" a="1"/>
  <c r="D158" i="2" s="1"/>
  <c r="D150" i="2" a="1"/>
  <c r="D150" i="2" s="1"/>
  <c r="D137" i="2" a="1"/>
  <c r="D137" i="2" s="1"/>
  <c r="D135" i="2" a="1"/>
  <c r="D135" i="2" s="1"/>
  <c r="D152" i="2" a="1"/>
  <c r="D152" i="2" s="1"/>
  <c r="D159" i="2" a="1"/>
  <c r="D159" i="2" s="1"/>
  <c r="D161" i="2" a="1"/>
  <c r="D161" i="2" s="1"/>
  <c r="D143" i="2" a="1"/>
  <c r="D143" i="2" s="1"/>
  <c r="D134" i="2" a="1"/>
  <c r="D134" i="2" s="1"/>
  <c r="D140" i="2" a="1"/>
  <c r="D140" i="2" s="1"/>
  <c r="D142" i="2" a="1"/>
  <c r="D142" i="2" s="1"/>
  <c r="D160" i="2" a="1"/>
  <c r="D160" i="2" s="1"/>
  <c r="D149" i="2" a="1"/>
  <c r="D149" i="2" s="1"/>
  <c r="D136" i="2" a="1"/>
  <c r="D136" i="2" s="1"/>
  <c r="D144" i="2" a="1"/>
  <c r="D144" i="2" s="1"/>
  <c r="D133" i="2" a="1"/>
  <c r="D133" i="2" s="1"/>
  <c r="D153" i="2" a="1"/>
  <c r="D153" i="2" s="1"/>
  <c r="D148" i="2" a="1"/>
  <c r="D148" i="2" s="1"/>
  <c r="D130" i="2" a="1"/>
  <c r="D130" i="2" s="1"/>
  <c r="D141" i="2" a="1"/>
  <c r="D141" i="2" s="1"/>
  <c r="D157" i="2" a="1"/>
  <c r="D157" i="2" s="1"/>
  <c r="D139" i="2" a="1"/>
  <c r="D139" i="2" s="1"/>
  <c r="D155" i="2" a="1"/>
  <c r="D155" i="2" s="1"/>
  <c r="D132" i="2" a="1"/>
  <c r="D132" i="2" s="1"/>
  <c r="D145" i="2" a="1"/>
  <c r="D145" i="2" s="1"/>
  <c r="D151" i="2" a="1"/>
  <c r="D151" i="2" s="1"/>
  <c r="Q13" i="6"/>
  <c r="E21" i="17" s="1"/>
  <c r="F21" i="17" s="1"/>
  <c r="D101" i="2" a="1"/>
  <c r="D101" i="2" s="1"/>
  <c r="D108" i="2" a="1"/>
  <c r="D108" i="2" s="1"/>
  <c r="D117" i="2" a="1"/>
  <c r="D117" i="2" s="1"/>
  <c r="D126" i="2" a="1"/>
  <c r="D126" i="2" s="1"/>
  <c r="D104" i="2" a="1"/>
  <c r="D104" i="2" s="1"/>
  <c r="D115" i="2" a="1"/>
  <c r="D115" i="2" s="1"/>
  <c r="D98" i="2" a="1"/>
  <c r="D98" i="2" s="1"/>
  <c r="D120" i="2" a="1"/>
  <c r="D120" i="2" s="1"/>
  <c r="D100" i="2" a="1"/>
  <c r="D100" i="2" s="1"/>
  <c r="D105" i="2" a="1"/>
  <c r="D105" i="2" s="1"/>
  <c r="D121" i="2" a="1"/>
  <c r="D121" i="2" s="1"/>
  <c r="D123" i="2" a="1"/>
  <c r="D123" i="2" s="1"/>
  <c r="D114" i="2" a="1"/>
  <c r="D114" i="2" s="1"/>
  <c r="D103" i="2" a="1"/>
  <c r="D103" i="2" s="1"/>
  <c r="D102" i="2" a="1"/>
  <c r="D102" i="2" s="1"/>
  <c r="D119" i="2" a="1"/>
  <c r="D119" i="2" s="1"/>
  <c r="D111" i="2" a="1"/>
  <c r="D111" i="2" s="1"/>
  <c r="D116" i="2" a="1"/>
  <c r="D116" i="2" s="1"/>
  <c r="D129" i="2" a="1"/>
  <c r="D129" i="2" s="1"/>
  <c r="D127" i="2" a="1"/>
  <c r="D127" i="2" s="1"/>
  <c r="D113" i="2" a="1"/>
  <c r="D113" i="2" s="1"/>
  <c r="D99" i="2" a="1"/>
  <c r="D99" i="2" s="1"/>
  <c r="D112" i="2" a="1"/>
  <c r="D112" i="2" s="1"/>
  <c r="D107" i="2" a="1"/>
  <c r="D107" i="2" s="1"/>
  <c r="D109" i="2" a="1"/>
  <c r="D109" i="2" s="1"/>
  <c r="D124" i="2" a="1"/>
  <c r="D124" i="2" s="1"/>
  <c r="D125" i="2" a="1"/>
  <c r="D125" i="2" s="1"/>
  <c r="D128" i="2" a="1"/>
  <c r="D128" i="2" s="1"/>
  <c r="D106" i="2" a="1"/>
  <c r="D106" i="2" s="1"/>
  <c r="D110" i="2" a="1"/>
  <c r="D110" i="2" s="1"/>
  <c r="D122" i="2" a="1"/>
  <c r="D122" i="2" s="1"/>
  <c r="D118" i="2" a="1"/>
  <c r="D118" i="2" s="1"/>
  <c r="D199" i="2" a="1"/>
  <c r="D199" i="2" s="1"/>
  <c r="D224" i="2" a="1"/>
  <c r="D224" i="2" s="1"/>
  <c r="D203" i="2" a="1"/>
  <c r="D203" i="2" s="1"/>
  <c r="D207" i="2" a="1"/>
  <c r="D207" i="2" s="1"/>
  <c r="D213" i="2" a="1"/>
  <c r="D213" i="2" s="1"/>
  <c r="D217" i="2" a="1"/>
  <c r="D217" i="2" s="1"/>
  <c r="D197" i="2" a="1"/>
  <c r="D197" i="2" s="1"/>
  <c r="D212" i="2" a="1"/>
  <c r="D212" i="2" s="1"/>
  <c r="D225" i="2" a="1"/>
  <c r="D225" i="2" s="1"/>
  <c r="D204" i="2" a="1"/>
  <c r="D204" i="2" s="1"/>
  <c r="D201" i="2" a="1"/>
  <c r="D201" i="2" s="1"/>
  <c r="D222" i="2" a="1"/>
  <c r="D222" i="2" s="1"/>
  <c r="D198" i="2" a="1"/>
  <c r="D198" i="2" s="1"/>
  <c r="D206" i="2" a="1"/>
  <c r="D206" i="2" s="1"/>
  <c r="D221" i="2" a="1"/>
  <c r="D221" i="2" s="1"/>
  <c r="D211" i="2" a="1"/>
  <c r="D211" i="2" s="1"/>
  <c r="D214" i="2" a="1"/>
  <c r="D214" i="2" s="1"/>
  <c r="D216" i="2" a="1"/>
  <c r="D216" i="2" s="1"/>
  <c r="D208" i="2" a="1"/>
  <c r="D208" i="2" s="1"/>
  <c r="D194" i="2" a="1"/>
  <c r="D194" i="2" s="1"/>
  <c r="D215" i="2" a="1"/>
  <c r="D215" i="2" s="1"/>
  <c r="D202" i="2" a="1"/>
  <c r="D202" i="2" s="1"/>
  <c r="D200" i="2" a="1"/>
  <c r="D200" i="2" s="1"/>
  <c r="D210" i="2" a="1"/>
  <c r="D210" i="2" s="1"/>
  <c r="D196" i="2" a="1"/>
  <c r="D196" i="2" s="1"/>
  <c r="D205" i="2" a="1"/>
  <c r="D205" i="2" s="1"/>
  <c r="D223" i="2" a="1"/>
  <c r="D223" i="2" s="1"/>
  <c r="D209" i="2" a="1"/>
  <c r="D209" i="2" s="1"/>
  <c r="D195" i="2" a="1"/>
  <c r="D195" i="2" s="1"/>
  <c r="D165" i="2" a="1"/>
  <c r="D165" i="2" s="1"/>
  <c r="D189" i="2" a="1"/>
  <c r="D189" i="2" s="1"/>
  <c r="D167" i="2" a="1"/>
  <c r="D167" i="2" s="1"/>
  <c r="D172" i="2" a="1"/>
  <c r="D172" i="2" s="1"/>
  <c r="D178" i="2" a="1"/>
  <c r="D178" i="2" s="1"/>
  <c r="D181" i="2" a="1"/>
  <c r="D181" i="2" s="1"/>
  <c r="D171" i="2" a="1"/>
  <c r="D171" i="2" s="1"/>
  <c r="D168" i="2" a="1"/>
  <c r="D168" i="2" s="1"/>
  <c r="D193" i="2" a="1"/>
  <c r="D193" i="2" s="1"/>
  <c r="D187" i="2" a="1"/>
  <c r="D187" i="2" s="1"/>
  <c r="D180" i="2" a="1"/>
  <c r="D180" i="2" s="1"/>
  <c r="D191" i="2" a="1"/>
  <c r="D191" i="2" s="1"/>
  <c r="D188" i="2" a="1"/>
  <c r="D188" i="2" s="1"/>
  <c r="D163" i="2" a="1"/>
  <c r="D163" i="2" s="1"/>
  <c r="D173" i="2" a="1"/>
  <c r="D173" i="2" s="1"/>
  <c r="D177" i="2" a="1"/>
  <c r="D177" i="2" s="1"/>
  <c r="D174" i="2" a="1"/>
  <c r="D174" i="2" s="1"/>
  <c r="D162" i="2" a="1"/>
  <c r="D162" i="2" s="1"/>
  <c r="D190" i="2" a="1"/>
  <c r="D190" i="2" s="1"/>
  <c r="D175" i="2" a="1"/>
  <c r="D175" i="2" s="1"/>
  <c r="D184" i="2" a="1"/>
  <c r="D184" i="2" s="1"/>
  <c r="D166" i="2" a="1"/>
  <c r="D166" i="2" s="1"/>
  <c r="D176" i="2" a="1"/>
  <c r="D176" i="2" s="1"/>
  <c r="D169" i="2" a="1"/>
  <c r="D169" i="2" s="1"/>
  <c r="D182" i="2" a="1"/>
  <c r="D182" i="2" s="1"/>
  <c r="D164" i="2" a="1"/>
  <c r="D164" i="2" s="1"/>
  <c r="D170" i="2" a="1"/>
  <c r="D170" i="2" s="1"/>
  <c r="D192" i="2" a="1"/>
  <c r="D192" i="2" s="1"/>
  <c r="D185" i="2" a="1"/>
  <c r="D185" i="2" s="1"/>
  <c r="D183" i="2" a="1"/>
  <c r="D183" i="2" s="1"/>
  <c r="D179" i="2" a="1"/>
  <c r="D179" i="2" s="1"/>
  <c r="Q11" i="14"/>
  <c r="G9" i="17"/>
  <c r="Q5" i="15"/>
  <c r="G16" i="17" s="1"/>
  <c r="Q3" i="14"/>
  <c r="Q25" i="14"/>
  <c r="Q17" i="14"/>
  <c r="Q23" i="14"/>
  <c r="E46" i="17"/>
  <c r="F46" i="17" s="1"/>
  <c r="E66" i="17"/>
  <c r="Q27" i="6"/>
  <c r="E23" i="17" s="1"/>
  <c r="F23" i="17" s="1"/>
  <c r="Q3" i="6"/>
  <c r="Q39" i="6"/>
  <c r="Q4" i="6"/>
  <c r="Q44" i="6"/>
  <c r="Q6" i="6"/>
  <c r="Q8" i="16"/>
  <c r="Q3" i="16"/>
  <c r="G62" i="17" s="1"/>
  <c r="Q5" i="16"/>
  <c r="Q3" i="15"/>
  <c r="G49" i="17"/>
  <c r="Q4" i="15"/>
  <c r="Q6" i="15"/>
  <c r="A41" i="11" a="1"/>
  <c r="A41" i="11" s="1"/>
  <c r="B59" i="3" a="1"/>
  <c r="B59" i="3" s="1"/>
  <c r="B60" i="3" a="1"/>
  <c r="B60" i="3" s="1"/>
  <c r="B62" i="3" a="1"/>
  <c r="B62" i="3" s="1"/>
  <c r="B5" i="3" a="1"/>
  <c r="B5" i="3" s="1"/>
  <c r="B35" i="3" a="1"/>
  <c r="B35" i="3" s="1"/>
  <c r="B64" i="3" a="1"/>
  <c r="B64" i="3" s="1"/>
  <c r="B21" i="3" a="1"/>
  <c r="B21" i="3" s="1"/>
  <c r="B37" i="3" a="1"/>
  <c r="B37" i="3" s="1"/>
  <c r="B12" i="3" a="1"/>
  <c r="B12" i="3" s="1"/>
  <c r="B33" i="3" a="1"/>
  <c r="B33" i="3" s="1"/>
  <c r="B22" i="3" a="1"/>
  <c r="B22" i="3" s="1"/>
  <c r="B38" i="3" a="1"/>
  <c r="B38" i="3" s="1"/>
  <c r="B27" i="3" a="1"/>
  <c r="B27" i="3" s="1"/>
  <c r="B16" i="3" a="1"/>
  <c r="B16" i="3" s="1"/>
  <c r="A6" i="3" a="1"/>
  <c r="A6" i="3" s="1"/>
  <c r="Q6" i="3" s="1"/>
  <c r="A3" i="3" a="1"/>
  <c r="A3" i="3" s="1"/>
  <c r="Q3" i="3" s="1"/>
  <c r="B56" i="3" a="1"/>
  <c r="B56" i="3" s="1"/>
  <c r="B49" i="3" a="1"/>
  <c r="B49" i="3" s="1"/>
  <c r="B52" i="3" a="1"/>
  <c r="B52" i="3" s="1"/>
  <c r="A10" i="3" a="1"/>
  <c r="A10" i="3" s="1"/>
  <c r="B13" i="3" a="1"/>
  <c r="B13" i="3" s="1"/>
  <c r="B10" i="3" a="1"/>
  <c r="B10" i="3" s="1"/>
  <c r="B14" i="3" a="1"/>
  <c r="B14" i="3" s="1"/>
  <c r="B34" i="3" a="1"/>
  <c r="B34" i="3" s="1"/>
  <c r="B61" i="3" a="1"/>
  <c r="B61" i="3" s="1"/>
  <c r="A50" i="3" a="1"/>
  <c r="A50" i="3" s="1"/>
  <c r="C30" i="17"/>
  <c r="D30" i="17" s="1"/>
  <c r="C12" i="17"/>
  <c r="A55" i="3" a="1"/>
  <c r="A55" i="3" s="1"/>
  <c r="B42" i="3" a="1"/>
  <c r="B42" i="3" s="1"/>
  <c r="A5" i="3" a="1"/>
  <c r="A5" i="3" s="1"/>
  <c r="Q5" i="3" s="1"/>
  <c r="A60" i="3" a="1"/>
  <c r="A60" i="3" s="1"/>
  <c r="Q60" i="3" s="1"/>
  <c r="B63" i="3" a="1"/>
  <c r="B63" i="3" s="1"/>
  <c r="B39" i="3" a="1"/>
  <c r="B39" i="3" s="1"/>
  <c r="B41" i="3" a="1"/>
  <c r="B41" i="3" s="1"/>
  <c r="B48" i="3" a="1"/>
  <c r="B48" i="3" s="1"/>
  <c r="A22" i="3" a="1"/>
  <c r="A22" i="3" s="1"/>
  <c r="B65" i="3" a="1"/>
  <c r="B65" i="3" s="1"/>
  <c r="B58" i="3" a="1"/>
  <c r="B58" i="3" s="1"/>
  <c r="B66" i="3" a="1"/>
  <c r="B66" i="3" s="1"/>
  <c r="B55" i="3" a="1"/>
  <c r="B55" i="3" s="1"/>
  <c r="A4" i="3" a="1"/>
  <c r="A4" i="3" s="1"/>
  <c r="Q4" i="3" s="1"/>
  <c r="B41" i="11" a="1"/>
  <c r="B41" i="11" s="1"/>
  <c r="B3" i="11" a="1"/>
  <c r="B3" i="11" s="1"/>
  <c r="B50" i="3" a="1"/>
  <c r="B50" i="3" s="1"/>
  <c r="B7" i="3" a="1"/>
  <c r="B7" i="3" s="1"/>
  <c r="B4" i="3" a="1"/>
  <c r="B4" i="3" s="1"/>
  <c r="B3" i="3" a="1"/>
  <c r="B3" i="3" s="1"/>
  <c r="B6" i="3" a="1"/>
  <c r="B6" i="3" s="1"/>
  <c r="G63" i="17"/>
  <c r="H63" i="17" s="1"/>
  <c r="G50" i="17"/>
  <c r="H50" i="17" s="1"/>
  <c r="G61" i="17"/>
  <c r="H61" i="17" s="1"/>
  <c r="G27" i="17"/>
  <c r="H27" i="17" s="1"/>
  <c r="G40" i="17"/>
  <c r="H40" i="17" s="1"/>
  <c r="G56" i="17"/>
  <c r="E24" i="17"/>
  <c r="F24" i="17" s="1"/>
  <c r="E56" i="17"/>
  <c r="F56" i="17" s="1"/>
  <c r="E54" i="17"/>
  <c r="F54" i="17" s="1"/>
  <c r="E40" i="17"/>
  <c r="F40" i="17" s="1"/>
  <c r="E2" i="17"/>
  <c r="F2" i="17" s="1"/>
  <c r="C48" i="17"/>
  <c r="D48" i="17" s="1"/>
  <c r="C60" i="17"/>
  <c r="D60" i="17" s="1"/>
  <c r="C24" i="17"/>
  <c r="D24" i="17" s="1"/>
  <c r="C43" i="17"/>
  <c r="D43" i="17" s="1"/>
  <c r="Q58" i="14"/>
  <c r="Q25" i="6"/>
  <c r="E61" i="17" s="1"/>
  <c r="Q40" i="14"/>
  <c r="E25" i="17"/>
  <c r="Q52" i="6"/>
  <c r="R13" i="12"/>
  <c r="Q20" i="14"/>
  <c r="C46" i="17"/>
  <c r="D46" i="17" s="1"/>
  <c r="Q55" i="11"/>
  <c r="E65" i="17"/>
  <c r="F65" i="17" s="1"/>
  <c r="R18" i="13"/>
  <c r="Q36" i="6"/>
  <c r="E27" i="17" s="1"/>
  <c r="F27" i="17" s="1"/>
  <c r="Q23" i="6"/>
  <c r="Q32" i="16"/>
  <c r="G12" i="17" s="1"/>
  <c r="H12" i="17" s="1"/>
  <c r="Q51" i="16"/>
  <c r="Q13" i="15"/>
  <c r="G51" i="17" s="1"/>
  <c r="Q56" i="11"/>
  <c r="G28" i="17"/>
  <c r="H28" i="17" s="1"/>
  <c r="G18" i="17"/>
  <c r="H18" i="17" s="1"/>
  <c r="Q13" i="14"/>
  <c r="E18" i="17"/>
  <c r="F18" i="17" s="1"/>
  <c r="C25" i="17"/>
  <c r="D25" i="17" s="1"/>
  <c r="G57" i="17"/>
  <c r="H57" i="17" s="1"/>
  <c r="C62" i="17"/>
  <c r="D62" i="17" s="1"/>
  <c r="C42" i="17"/>
  <c r="D42" i="17" s="1"/>
  <c r="E60" i="17"/>
  <c r="C18" i="17"/>
  <c r="D18" i="17" s="1"/>
  <c r="C44" i="17"/>
  <c r="D44" i="17" s="1"/>
  <c r="Q41" i="14"/>
  <c r="Q7" i="14"/>
  <c r="E63" i="17" s="1"/>
  <c r="F63" i="17" s="1"/>
  <c r="Q44" i="14"/>
  <c r="Q8" i="14"/>
  <c r="E57" i="17" s="1"/>
  <c r="F57" i="17" s="1"/>
  <c r="E43" i="17"/>
  <c r="Q29" i="14"/>
  <c r="Q21" i="14"/>
  <c r="E64" i="17" s="1"/>
  <c r="F64" i="17" s="1"/>
  <c r="Q51" i="6"/>
  <c r="E30" i="17" s="1"/>
  <c r="F30" i="17" s="1"/>
  <c r="Q16" i="6"/>
  <c r="Q26" i="6"/>
  <c r="Q19" i="6"/>
  <c r="Q50" i="6"/>
  <c r="Q17" i="16"/>
  <c r="G59" i="17"/>
  <c r="Q25" i="16"/>
  <c r="G24" i="17" s="1"/>
  <c r="H24" i="17" s="1"/>
  <c r="Q25" i="15"/>
  <c r="G34" i="17" s="1"/>
  <c r="H34" i="17" s="1"/>
  <c r="Q12" i="15"/>
  <c r="C66" i="17"/>
  <c r="D66" i="17" s="1"/>
  <c r="Q54" i="11"/>
  <c r="C52" i="17" l="1"/>
  <c r="D52" i="17" s="1"/>
  <c r="Q10" i="3"/>
  <c r="Q50" i="3"/>
  <c r="C28" i="17" s="1"/>
  <c r="C7" i="17"/>
  <c r="D7" i="17" s="1"/>
  <c r="Q22" i="3"/>
  <c r="Q55" i="3"/>
  <c r="C36" i="17" s="1"/>
  <c r="D36" i="17" s="1"/>
  <c r="E42" i="17"/>
  <c r="F42" i="17" s="1"/>
  <c r="E34" i="17"/>
  <c r="F34" i="17" s="1"/>
  <c r="E52" i="17"/>
  <c r="F52" i="17" s="1"/>
  <c r="E62" i="17"/>
  <c r="G14" i="17"/>
  <c r="H14" i="17" s="1"/>
  <c r="C61" i="17"/>
  <c r="C10" i="17"/>
  <c r="D10" i="17" s="1"/>
  <c r="Q41" i="11"/>
  <c r="D37" i="2" a="1"/>
  <c r="D37" i="2" s="1"/>
  <c r="D43" i="2" a="1"/>
  <c r="D43" i="2" s="1"/>
  <c r="D50" i="2" a="1"/>
  <c r="D50" i="2" s="1"/>
  <c r="D56" i="2" a="1"/>
  <c r="D56" i="2" s="1"/>
  <c r="D61" i="2" a="1"/>
  <c r="D61" i="2" s="1"/>
  <c r="D38" i="2" a="1"/>
  <c r="D38" i="2" s="1"/>
  <c r="D44" i="2" a="1"/>
  <c r="D44" i="2" s="1"/>
  <c r="D57" i="2" a="1"/>
  <c r="D57" i="2" s="1"/>
  <c r="D59" i="2" a="1"/>
  <c r="D59" i="2" s="1"/>
  <c r="D42" i="2" a="1"/>
  <c r="D42" i="2" s="1"/>
  <c r="D34" i="2" a="1"/>
  <c r="D34" i="2" s="1"/>
  <c r="D62" i="2" a="1"/>
  <c r="D62" i="2" s="1"/>
  <c r="D45" i="2" a="1"/>
  <c r="D45" i="2" s="1"/>
  <c r="D51" i="2" a="1"/>
  <c r="D51" i="2" s="1"/>
  <c r="D58" i="2" a="1"/>
  <c r="D58" i="2" s="1"/>
  <c r="D35" i="2" a="1"/>
  <c r="D35" i="2" s="1"/>
  <c r="D55" i="2" a="1"/>
  <c r="D55" i="2" s="1"/>
  <c r="D63" i="2" a="1"/>
  <c r="D63" i="2" s="1"/>
  <c r="D39" i="2" a="1"/>
  <c r="D39" i="2" s="1"/>
  <c r="D46" i="2" a="1"/>
  <c r="D46" i="2" s="1"/>
  <c r="D52" i="2" a="1"/>
  <c r="D52" i="2" s="1"/>
  <c r="D48" i="2" a="1"/>
  <c r="D48" i="2" s="1"/>
  <c r="D64" i="2" a="1"/>
  <c r="D64" i="2" s="1"/>
  <c r="D40" i="2" a="1"/>
  <c r="D40" i="2" s="1"/>
  <c r="D53" i="2" a="1"/>
  <c r="D53" i="2" s="1"/>
  <c r="D47" i="2" a="1"/>
  <c r="D47" i="2" s="1"/>
  <c r="D60" i="2" a="1"/>
  <c r="D60" i="2" s="1"/>
  <c r="D49" i="2" a="1"/>
  <c r="D49" i="2" s="1"/>
  <c r="D65" i="2" a="1"/>
  <c r="D65" i="2" s="1"/>
  <c r="D41" i="2" a="1"/>
  <c r="D41" i="2" s="1"/>
  <c r="D54" i="2" a="1"/>
  <c r="D54" i="2" s="1"/>
  <c r="D36" i="2" a="1"/>
  <c r="D36" i="2" s="1"/>
  <c r="D19" i="2" a="1"/>
  <c r="D19" i="2" s="1"/>
  <c r="D26" i="2" a="1"/>
  <c r="D26" i="2" s="1"/>
  <c r="D9" i="2" a="1"/>
  <c r="D9" i="2" s="1"/>
  <c r="D21" i="2" a="1"/>
  <c r="D21" i="2" s="1"/>
  <c r="D28" i="2" a="1"/>
  <c r="D28" i="2" s="1"/>
  <c r="D3" i="2" a="1"/>
  <c r="D3" i="2" s="1"/>
  <c r="D22" i="2" a="1"/>
  <c r="D22" i="2" s="1"/>
  <c r="D6" i="2" a="1"/>
  <c r="D6" i="2" s="1"/>
  <c r="D5" i="2" a="1"/>
  <c r="D5" i="2" s="1"/>
  <c r="D12" i="2" a="1"/>
  <c r="D12" i="2" s="1"/>
  <c r="D7" i="2" a="1"/>
  <c r="D7" i="2" s="1"/>
  <c r="D16" i="2" a="1"/>
  <c r="D16" i="2" s="1"/>
  <c r="D25" i="2" a="1"/>
  <c r="D25" i="2" s="1"/>
  <c r="D11" i="2" a="1"/>
  <c r="D11" i="2" s="1"/>
  <c r="D33" i="2" a="1"/>
  <c r="D33" i="2" s="1"/>
  <c r="D32" i="2" a="1"/>
  <c r="D32" i="2" s="1"/>
  <c r="D2" i="2" a="1"/>
  <c r="D2" i="2" s="1"/>
  <c r="D23" i="2" a="1"/>
  <c r="D23" i="2" s="1"/>
  <c r="D8" i="2" a="1"/>
  <c r="D8" i="2" s="1"/>
  <c r="D18" i="2" a="1"/>
  <c r="D18" i="2" s="1"/>
  <c r="D20" i="2" a="1"/>
  <c r="D20" i="2" s="1"/>
  <c r="D10" i="2" a="1"/>
  <c r="D10" i="2" s="1"/>
  <c r="D27" i="2" a="1"/>
  <c r="D27" i="2" s="1"/>
  <c r="D17" i="2" a="1"/>
  <c r="D17" i="2" s="1"/>
  <c r="D30" i="2" a="1"/>
  <c r="D30" i="2" s="1"/>
  <c r="D29" i="2" a="1"/>
  <c r="D29" i="2" s="1"/>
  <c r="D13" i="2" a="1"/>
  <c r="D13" i="2" s="1"/>
  <c r="D4" i="2" a="1"/>
  <c r="D4" i="2" s="1"/>
  <c r="D31" i="2" a="1"/>
  <c r="D31" i="2" s="1"/>
  <c r="D15" i="2" a="1"/>
  <c r="D15" i="2" s="1"/>
  <c r="D14" i="2" a="1"/>
  <c r="D14" i="2" s="1"/>
  <c r="D24" i="2" a="1"/>
  <c r="D24" i="2" s="1"/>
  <c r="E53" i="17"/>
  <c r="E51" i="17"/>
  <c r="E10" i="17"/>
  <c r="E20" i="17"/>
  <c r="C40" i="17"/>
  <c r="C57" i="17"/>
  <c r="D57" i="17" s="1"/>
  <c r="C11" i="17"/>
  <c r="G31" i="17"/>
  <c r="H31" i="17" s="1"/>
  <c r="G25" i="17"/>
  <c r="H25" i="17" s="1"/>
  <c r="E6" i="17"/>
  <c r="G33" i="17"/>
  <c r="H33" i="17" s="1"/>
  <c r="G43" i="17"/>
  <c r="G36" i="17"/>
  <c r="G37" i="17"/>
  <c r="G29" i="17"/>
  <c r="H29" i="17" s="1"/>
  <c r="G42" i="17"/>
  <c r="H42" i="17" s="1"/>
  <c r="G60" i="17"/>
  <c r="G52" i="17"/>
  <c r="H52" i="17" s="1"/>
  <c r="G10" i="17"/>
  <c r="G6" i="17"/>
  <c r="H6" i="17" s="1"/>
  <c r="E28" i="17"/>
  <c r="F28" i="17" s="1"/>
  <c r="E29" i="17"/>
  <c r="E36" i="17"/>
  <c r="E50" i="17"/>
  <c r="E32" i="17"/>
  <c r="F32" i="17" s="1"/>
  <c r="E12" i="17"/>
  <c r="E9" i="17"/>
  <c r="F9" i="17" s="1"/>
  <c r="E7" i="17"/>
  <c r="E37" i="17"/>
  <c r="C14" i="17"/>
  <c r="C32" i="17"/>
  <c r="D32" i="17" s="1"/>
  <c r="C51" i="17"/>
  <c r="D51" i="17" s="1"/>
  <c r="C65" i="17"/>
  <c r="C56" i="17"/>
  <c r="D56" i="17" s="1"/>
  <c r="C33" i="17"/>
  <c r="E59" i="17"/>
  <c r="C31" i="17"/>
  <c r="G19" i="17"/>
  <c r="E33" i="17"/>
  <c r="E26" i="17"/>
  <c r="E16" i="17"/>
  <c r="G44" i="17"/>
  <c r="G41" i="17"/>
  <c r="E14" i="17"/>
  <c r="G48" i="17"/>
  <c r="E44" i="17"/>
  <c r="E19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C47" i="17" l="1"/>
  <c r="H49" i="17"/>
  <c r="H9" i="17"/>
  <c r="F20" i="17"/>
  <c r="F66" i="17"/>
  <c r="H16" i="17"/>
  <c r="H36" i="17"/>
  <c r="F12" i="17"/>
  <c r="F29" i="17"/>
  <c r="F7" i="17"/>
  <c r="H37" i="17"/>
  <c r="F37" i="17"/>
  <c r="F51" i="17"/>
  <c r="F62" i="17"/>
  <c r="H62" i="17"/>
  <c r="F53" i="17"/>
  <c r="F10" i="17"/>
  <c r="F60" i="17"/>
  <c r="F61" i="17"/>
  <c r="F25" i="17"/>
  <c r="F26" i="17"/>
  <c r="F50" i="17"/>
  <c r="H10" i="17"/>
  <c r="F36" i="17"/>
  <c r="F16" i="17"/>
  <c r="F19" i="17"/>
  <c r="F6" i="17"/>
  <c r="F44" i="17"/>
  <c r="F33" i="17"/>
  <c r="F14" i="17"/>
  <c r="F59" i="17"/>
  <c r="F43" i="17"/>
  <c r="H41" i="17"/>
  <c r="H48" i="17"/>
  <c r="H19" i="17"/>
  <c r="H56" i="17"/>
  <c r="H59" i="17"/>
  <c r="H43" i="17"/>
  <c r="H51" i="17"/>
  <c r="H44" i="17"/>
  <c r="H60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C34" i="17" l="1"/>
  <c r="D34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C27" i="17" l="1"/>
  <c r="D27" i="17" s="1"/>
  <c r="C59" i="17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C63" i="17"/>
  <c r="C50" i="17"/>
  <c r="D50" i="17" s="1"/>
  <c r="C54" i="17" l="1"/>
  <c r="C37" i="17"/>
  <c r="C16" i="17"/>
  <c r="C19" i="17"/>
  <c r="D19" i="17" s="1"/>
  <c r="C26" i="17"/>
  <c r="C17" i="17"/>
  <c r="C9" i="17"/>
  <c r="D9" i="17" s="1"/>
  <c r="D6" i="17"/>
  <c r="C20" i="17"/>
  <c r="C53" i="17"/>
  <c r="C29" i="17"/>
  <c r="D29" i="17" s="1"/>
  <c r="D65" i="17" l="1"/>
  <c r="D14" i="17"/>
  <c r="D11" i="17"/>
  <c r="D12" i="17"/>
  <c r="D37" i="17"/>
  <c r="D63" i="17"/>
  <c r="D16" i="17"/>
  <c r="D28" i="17"/>
  <c r="D40" i="17"/>
  <c r="D26" i="17"/>
  <c r="D33" i="17"/>
  <c r="D20" i="17"/>
  <c r="D31" i="17"/>
  <c r="D17" i="17"/>
  <c r="D59" i="17"/>
  <c r="D47" i="17"/>
  <c r="D61" i="17"/>
  <c r="D54" i="17"/>
  <c r="D53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<sst xmlns="http://schemas.openxmlformats.org/spreadsheetml/2006/main" count="1815" uniqueCount="392">
  <si>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</si>
  <si>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</si>
  <si>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</si>
  <si>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</si>
  <si>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</si>
  <si>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</si>
  <si>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</si>
  <si>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</si>
  <si>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</si>
  <si>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</si>
  <si>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</si>
  <si>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</si>
  <si>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</si>
  <si>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</si>
  <si>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</si>
  <si>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</si>
  <si>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</si>
  <si>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</si>
  <si>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</si>
  <si>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</si>
  <si>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</si>
  <si>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</si>
  <si>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</si>
  <si>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</si>
  <si>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</si>
  <si>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</si>
  <si>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</si>
  <si>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</si>
  <si>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</si>
  <si>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</si>
  <si>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</si>
  <si>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</si>
  <si>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</si>
  <si>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</si>
  <si>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</si>
  <si>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</si>
  <si>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</si>
  <si>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</si>
  <si>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</si>
  <si>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</si>
  <si>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</si>
  <si>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</si>
  <si>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</si>
  <si>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</si>
  <si>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</si>
  <si>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</si>
  <si>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</si>
  <si>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</si>
  <si>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</si>
  <si>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</si>
  <si>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</si>
  <si>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</si>
  <si>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</si>
  <si>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</si>
  <si>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</si>
  <si>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</si>
  <si>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</si>
  <si>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</si>
  <si>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</si>
  <si>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</si>
  <si>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</si>
  <si>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</si>
  <si>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</si>
  <si>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Junior</t>
  </si>
  <si>
    <t>L5</t>
  </si>
  <si>
    <t>L6</t>
  </si>
  <si>
    <t>L7</t>
  </si>
  <si>
    <t>Tamarack</t>
  </si>
  <si>
    <t>Exelta</t>
  </si>
  <si>
    <t>AIM</t>
  </si>
  <si>
    <t>VIP</t>
  </si>
  <si>
    <t>OAA</t>
  </si>
  <si>
    <t>Senior</t>
  </si>
  <si>
    <t>HIGHSTEAD, Declan</t>
  </si>
  <si>
    <t>BEAULIEU, Alex</t>
  </si>
  <si>
    <t>Gymnitours</t>
  </si>
  <si>
    <t>REIMCHE, Wilson</t>
  </si>
  <si>
    <t>BLOOM, Tristan</t>
  </si>
  <si>
    <t>Virtuose</t>
  </si>
  <si>
    <t>BURELLE-DUBOIS, Josué</t>
  </si>
  <si>
    <t>HARBO, Owen</t>
  </si>
  <si>
    <t>BOISSEAU, Nolann</t>
  </si>
  <si>
    <t>LEUNG, Theo</t>
  </si>
  <si>
    <t>ANDERSEN, Travis</t>
  </si>
  <si>
    <t>WYGIERA, Liam</t>
  </si>
  <si>
    <t>Viagym</t>
  </si>
  <si>
    <t>PINSK, Benjamin</t>
  </si>
  <si>
    <t>Kingston</t>
  </si>
  <si>
    <t>ADJEMIAN, Alexan</t>
  </si>
  <si>
    <t>SCOTT, Ethan</t>
  </si>
  <si>
    <t>EVSTIGNEEV, Gleb</t>
  </si>
  <si>
    <t>Campia</t>
  </si>
  <si>
    <t>MEYER, Jeremy</t>
  </si>
  <si>
    <t>MIMEAULT, Thomas</t>
  </si>
  <si>
    <t>THOMPSON, Derek</t>
  </si>
  <si>
    <t>MALLAIS, Rylan</t>
  </si>
  <si>
    <t>COLLINSON, Brody</t>
  </si>
  <si>
    <t>Just Bounce</t>
  </si>
  <si>
    <t>CLOUTIER, Étienne</t>
  </si>
  <si>
    <t>JAMES, Roshni</t>
  </si>
  <si>
    <t>ROY, Anne-Jolie</t>
  </si>
  <si>
    <t>SCHMIDT, Makena</t>
  </si>
  <si>
    <t>GOOD, Hayden</t>
  </si>
  <si>
    <t>SCHMIDT, Jordyn</t>
  </si>
  <si>
    <t>BRASSART, Lola-Rose</t>
  </si>
  <si>
    <t>JANEVSKI, Léa</t>
  </si>
  <si>
    <t>PIPKO, Halle</t>
  </si>
  <si>
    <t>SHAW, Avery</t>
  </si>
  <si>
    <t>BILTON, Tayte</t>
  </si>
  <si>
    <t>BURGESS, Sydni</t>
  </si>
  <si>
    <t>BROWN, Gabriella</t>
  </si>
  <si>
    <t>DUCHESNE, Livia</t>
  </si>
  <si>
    <t>Titans</t>
  </si>
  <si>
    <t>BOISSEAU, Mathilde</t>
  </si>
  <si>
    <t>GROVES, Chelsea</t>
  </si>
  <si>
    <t>GARRETT, Amy</t>
  </si>
  <si>
    <t>CROTEAU, Mathilde</t>
  </si>
  <si>
    <t>LOEHR, Hermione</t>
  </si>
  <si>
    <t>BECKETT, Aleisha</t>
  </si>
  <si>
    <t>PEPPER, Nix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</si>
  <si>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</si>
  <si>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</si>
  <si>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</si>
  <si>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</si>
  <si>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</si>
  <si>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</si>
  <si>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</si>
  <si>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KOTKAS, Katarina</t>
  </si>
  <si>
    <t>BECKETT, Lindsey</t>
  </si>
  <si>
    <t>HOWELL, Kayla</t>
  </si>
  <si>
    <t>MATTHEWS, Jared</t>
  </si>
  <si>
    <t>Quinte Bay</t>
  </si>
  <si>
    <t>GIBBS, Gavin</t>
  </si>
  <si>
    <t>Rideau</t>
  </si>
  <si>
    <t>LADEROUTE, Sam</t>
  </si>
  <si>
    <t>NEUFELD, Simon</t>
  </si>
  <si>
    <t>ZUREK, Nolan</t>
  </si>
  <si>
    <t>THOMPSON, Justin</t>
  </si>
  <si>
    <t>Oakville</t>
  </si>
  <si>
    <t>BURKHART, Sofia</t>
  </si>
  <si>
    <t>PELLETIER, Brooke</t>
  </si>
  <si>
    <t>WIEBE, Meghan</t>
  </si>
  <si>
    <t>PEPPER, Emily</t>
  </si>
  <si>
    <t>PARHAR, Jasmine</t>
  </si>
  <si>
    <t>BASTIEN, Rose</t>
  </si>
  <si>
    <t>BERG, Katie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</si>
  <si>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</si>
  <si>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</si>
  <si>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</si>
  <si>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</si>
  <si>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</si>
  <si>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</si>
  <si>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</si>
  <si>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</si>
  <si>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</si>
  <si>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</si>
  <si>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</si>
  <si>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</si>
  <si>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</si>
  <si>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</si>
  <si>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</si>
  <si>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</si>
  <si>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</si>
  <si>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</si>
  <si>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</si>
  <si>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</si>
  <si>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</si>
  <si>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</si>
  <si>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BERKENBOSCH, Bence</t>
  </si>
  <si>
    <t>CROTEAU, Mathias</t>
  </si>
  <si>
    <t>DAVIS, Eric</t>
  </si>
  <si>
    <t>WONG, Symeon</t>
  </si>
  <si>
    <t>VIAU, Nathan</t>
  </si>
  <si>
    <t>MERCIER, Loïc</t>
  </si>
  <si>
    <t>PROTEAU, Émile</t>
  </si>
  <si>
    <t>DODD, Gavin</t>
  </si>
  <si>
    <t>PROULX, Sarah-Kim</t>
  </si>
  <si>
    <t>LEPORÉ, Amylia</t>
  </si>
  <si>
    <t>GAWLEY, Kayley</t>
  </si>
  <si>
    <t>TURPIN, Cora</t>
  </si>
  <si>
    <t>BOURDAGES, Noémie</t>
  </si>
  <si>
    <t>HANNAH, Ashley</t>
  </si>
  <si>
    <t>CHEW, Keara</t>
  </si>
  <si>
    <t>MOUNTAIN, Dani</t>
  </si>
  <si>
    <t>KOCAK, Jonas</t>
  </si>
  <si>
    <t>MORRISON, Xavier</t>
  </si>
  <si>
    <t>PETERS, Lane</t>
  </si>
  <si>
    <t>BRIDEAUX, Ella</t>
  </si>
  <si>
    <t>FUNK, Heidi</t>
  </si>
  <si>
    <t>CHEW, Makena</t>
  </si>
  <si>
    <t>NEWMAN, Olivia</t>
  </si>
  <si>
    <t>STOBBE, Brooklyn</t>
  </si>
  <si>
    <t>GOYETTE, Lianne</t>
  </si>
  <si>
    <t>IBACH, Sam</t>
  </si>
  <si>
    <t>LOISELLE, Hector</t>
  </si>
  <si>
    <t>ROBERTSON, Griffyn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</si>
  <si>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</si>
  <si>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</si>
  <si>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</si>
  <si>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</si>
  <si>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</si>
  <si>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</si>
  <si>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</si>
  <si>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</si>
  <si>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</si>
  <si>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Dynamo</t>
  </si>
  <si>
    <t>Sudbury</t>
  </si>
  <si>
    <t>NEWMAN, Ava</t>
  </si>
  <si>
    <t>WILLIMOTT, Amy</t>
  </si>
  <si>
    <t>NELSON, Mackenzie</t>
  </si>
  <si>
    <t>KWASNIAK, Alicja</t>
  </si>
  <si>
    <t>GOODMAN, Fleur</t>
  </si>
  <si>
    <t>NOVOTNY, Ella</t>
  </si>
  <si>
    <t>MOBORG, Reese</t>
  </si>
  <si>
    <t>ALDOUS, Addison</t>
  </si>
  <si>
    <t>Airdrie Edge</t>
  </si>
  <si>
    <t>Helios</t>
  </si>
  <si>
    <t>Grand River</t>
  </si>
  <si>
    <t>Les Hirondelles</t>
  </si>
  <si>
    <t>Tumblers</t>
  </si>
  <si>
    <t>GLOWACKI, Oskar</t>
  </si>
  <si>
    <t>JENKINSON, Bentley</t>
  </si>
  <si>
    <t>BANNER, Max</t>
  </si>
  <si>
    <t>AZARKIEWICZ, Gage</t>
  </si>
  <si>
    <t>JANEVSKI &amp; WILLIMOTT</t>
  </si>
  <si>
    <t>ALDOUS &amp; MOBORG</t>
  </si>
  <si>
    <t>KUZNAK &amp; SCHMIDT</t>
  </si>
  <si>
    <t>DYKMAN, Matvey</t>
  </si>
  <si>
    <t>SAWATZKY, Kait</t>
  </si>
  <si>
    <t>KIRAT, Ma'ayan</t>
  </si>
  <si>
    <t>WEATHERHEAD, Freya</t>
  </si>
  <si>
    <t>OLSEN, Brooklyn</t>
  </si>
  <si>
    <t>RYGA, Ruby</t>
  </si>
  <si>
    <t>PHANEUF, Zoe</t>
  </si>
  <si>
    <t>NATH, Zander</t>
  </si>
  <si>
    <t>TRIDER-SCHMIDT, Mackenzie</t>
  </si>
  <si>
    <t>DUNKLEY, Olivia</t>
  </si>
  <si>
    <t>SARTISON, Torrance</t>
  </si>
  <si>
    <t>SPURVEY, Brooke</t>
  </si>
  <si>
    <t>PECK, Rachel</t>
  </si>
  <si>
    <t>Best Other Optional</t>
  </si>
  <si>
    <t>Best Prelim
(17-21 Optional)</t>
  </si>
  <si>
    <t>Best Optional</t>
  </si>
  <si>
    <t>Bst Other Optional</t>
  </si>
  <si>
    <t>ANDERSEN &amp; BERKENBOSCH</t>
  </si>
  <si>
    <t>BLOOM &amp; ROBERTSON</t>
  </si>
  <si>
    <t>GARRETT &amp; HANNAH</t>
  </si>
  <si>
    <t>GOOD &amp; LEE-MCMEEKEN</t>
  </si>
  <si>
    <t>Cygnus</t>
  </si>
  <si>
    <t>Airborne KW</t>
  </si>
  <si>
    <t>Airborne T&amp;T</t>
  </si>
  <si>
    <t>WestWind</t>
  </si>
  <si>
    <t>Rose City</t>
  </si>
  <si>
    <t>NOVOSOL, Draven</t>
  </si>
  <si>
    <t>Prince George</t>
  </si>
  <si>
    <t>D'HONDT, Luke</t>
  </si>
  <si>
    <t>Kelowna Gymnastix</t>
  </si>
  <si>
    <t>NOSSACK, Sophie</t>
  </si>
  <si>
    <t>VAN BALKOM, Marlee</t>
  </si>
  <si>
    <t>MALO, Chantel</t>
  </si>
  <si>
    <t>CHENG, Mia</t>
  </si>
  <si>
    <t>SKJODT, Sophie</t>
  </si>
  <si>
    <t>BROOKER, Aubree</t>
  </si>
  <si>
    <t>MCALESSE, Taegan</t>
  </si>
  <si>
    <t>HEAD-MORENO, Bianca</t>
  </si>
  <si>
    <t>CABAK, Anezka</t>
  </si>
  <si>
    <t>PACE, Julia</t>
  </si>
  <si>
    <t>ALBERT, Audrey</t>
  </si>
  <si>
    <t>LECLAIR, Marinèle</t>
  </si>
  <si>
    <t>GROSZ, Mya</t>
  </si>
  <si>
    <t>GRANT, Sienna</t>
  </si>
  <si>
    <t>GRAHAM, Rebecca</t>
  </si>
  <si>
    <t>MCCALLUM, Megan</t>
  </si>
  <si>
    <t>NIKODYM, Emily</t>
  </si>
  <si>
    <t>SLUGA, Arianna</t>
  </si>
  <si>
    <t>ROGERS, Mya</t>
  </si>
  <si>
    <t>SANDERSON, Aurora</t>
  </si>
  <si>
    <t>Futures</t>
  </si>
  <si>
    <t>Twisters</t>
  </si>
  <si>
    <t>Ottawa</t>
  </si>
  <si>
    <t>VAN ESSEN, Oliver</t>
  </si>
  <si>
    <t>LABELLE, Olivier</t>
  </si>
  <si>
    <t>STANG, Nathan</t>
  </si>
  <si>
    <t>MICHALSKI, Rylan</t>
  </si>
  <si>
    <t>ROBINSON, Wyatt</t>
  </si>
  <si>
    <t>MACDOUGALL, Kira</t>
  </si>
  <si>
    <t>WEHAGE, Miley</t>
  </si>
  <si>
    <t>CANN, Jackson</t>
  </si>
  <si>
    <t>WILSON, Carter</t>
  </si>
  <si>
    <t>Athletics GA</t>
  </si>
  <si>
    <t>RESCHKE, Lina</t>
  </si>
  <si>
    <t>MALONE, Katie</t>
  </si>
  <si>
    <t>SKJODT, Sage</t>
  </si>
  <si>
    <t>FRIESEN, Declyn</t>
  </si>
  <si>
    <t>NELSON, Cooper</t>
  </si>
  <si>
    <t>OUGHTRED, Max</t>
  </si>
  <si>
    <t>BITTNER, Kennedy</t>
  </si>
  <si>
    <t>MCLEOD, Aaron</t>
  </si>
  <si>
    <t>COLLINS, Jefery</t>
  </si>
  <si>
    <t>RENOU, Brayden</t>
  </si>
  <si>
    <t>YAMINE, Lorenzo</t>
  </si>
  <si>
    <t>FUDGE, Benjamin</t>
  </si>
  <si>
    <t>ULMER, Lily-ann</t>
  </si>
  <si>
    <t>STANNARD, Adam</t>
  </si>
  <si>
    <t>SCIBERRAS, Annelle</t>
  </si>
  <si>
    <t>MOSIER, Bella</t>
  </si>
  <si>
    <t>CAMMAART, Gabby</t>
  </si>
  <si>
    <t>KAUFMANN, Vivian</t>
  </si>
  <si>
    <t>SCALES, Reese</t>
  </si>
  <si>
    <t>KURSOVA, Anastasia</t>
  </si>
  <si>
    <t>Pulsars</t>
  </si>
  <si>
    <t>Flippers</t>
  </si>
  <si>
    <t>LEARY, Addison</t>
  </si>
  <si>
    <t>STEFURA, Kenadie</t>
  </si>
  <si>
    <t>Aerials</t>
  </si>
  <si>
    <t>BOURGAULT-FOURNIER, Alexis</t>
  </si>
  <si>
    <t>BROWNELL, Aiden</t>
  </si>
  <si>
    <t>BING-L'HEUREUX, Noah</t>
  </si>
  <si>
    <t>FORTINO, Louis</t>
  </si>
  <si>
    <t>CAHILL, Benjamin</t>
  </si>
  <si>
    <t>TROYAN (UKRAINE), Maksym</t>
  </si>
  <si>
    <t>CAMPBELL, Alexander</t>
  </si>
  <si>
    <t>MORNEAU, Benjamin</t>
  </si>
  <si>
    <t>CREALLY, Joe</t>
  </si>
  <si>
    <t>SWIFT, Max</t>
  </si>
  <si>
    <t>LANQUETIN, Yannick</t>
  </si>
  <si>
    <t>BONDY, Philippe</t>
  </si>
  <si>
    <t>GUNSON, Keith</t>
  </si>
  <si>
    <t>RAYNER, Kiran</t>
  </si>
  <si>
    <t>Saskatchewan</t>
  </si>
  <si>
    <t>THACKERAY, Nyla</t>
  </si>
  <si>
    <t>CANCELLIERE, Malia</t>
  </si>
  <si>
    <t>WELDON, Maya</t>
  </si>
  <si>
    <t>ROCKARTS, Laine</t>
  </si>
  <si>
    <t>ROCKARTS, Jensen</t>
  </si>
  <si>
    <t>BENOIT, Alyssa</t>
  </si>
  <si>
    <t>SCHAERLI, Jasmine</t>
  </si>
  <si>
    <t>FAINSTAT, Lara</t>
  </si>
  <si>
    <t>MACKAY, Gwen</t>
  </si>
  <si>
    <t>LABRIE, Arianne</t>
  </si>
  <si>
    <t>TRITES, Emily</t>
  </si>
  <si>
    <t>CONWAY, Lauryn</t>
  </si>
  <si>
    <t>Zénith</t>
  </si>
  <si>
    <t>Defy(n)ing Gravity</t>
  </si>
  <si>
    <t>FUDGE &amp; SWIFT</t>
  </si>
  <si>
    <t>CAHILL &amp; MORNEAU</t>
  </si>
  <si>
    <t>CAMPBELL &amp; JENKINSON</t>
  </si>
  <si>
    <t>BONDY &amp; FORTINO</t>
  </si>
  <si>
    <t>AZARKIEWICZ &amp; BROWNELL</t>
  </si>
  <si>
    <t>BEAULIEU &amp; BOURGAULT-FOURNIER</t>
  </si>
  <si>
    <t>KOCAK &amp; MALLAIS</t>
  </si>
  <si>
    <t>LANQUETIN &amp; MICHALSKI</t>
  </si>
  <si>
    <t>CLOUTIER &amp; VIAU</t>
  </si>
  <si>
    <t>GIBBS &amp; ZUREK</t>
  </si>
  <si>
    <t>D'HONDT &amp; MEYER</t>
  </si>
  <si>
    <t>ROCKARTS &amp; ROCKARTS</t>
  </si>
  <si>
    <t>MACKAY &amp; TRITES</t>
  </si>
  <si>
    <t>LOEHR &amp; SANDERSON</t>
  </si>
  <si>
    <t>GROSZ &amp; SLUGA</t>
  </si>
  <si>
    <t>GROVES &amp; MCALESSE</t>
  </si>
  <si>
    <t>CABAK &amp; NIKODYM</t>
  </si>
  <si>
    <t>KWASNIAK &amp; PELLETIER</t>
  </si>
  <si>
    <t>BOISSEAU &amp; BOURDAGES</t>
  </si>
  <si>
    <t>SCHAERLI &amp; ST-PIERRE-LEPITRE</t>
  </si>
  <si>
    <t>MALO &amp; SCHMIDT</t>
  </si>
  <si>
    <t>NOVOTNY &amp; WEATHERHEAD</t>
  </si>
  <si>
    <t>PIPKO &amp; THACKERAY</t>
  </si>
  <si>
    <t>ALBERT &amp; LEPORÉ</t>
  </si>
  <si>
    <t>BONNE &amp; ROY</t>
  </si>
  <si>
    <t>MCFARLANE, Michael</t>
  </si>
  <si>
    <t>BERGER, Ophélie</t>
  </si>
  <si>
    <t>BISHOP, Seija</t>
  </si>
  <si>
    <t>KOUTROULIDES, Kensey</t>
  </si>
  <si>
    <t>TRAPSA, Livia</t>
  </si>
  <si>
    <t>BEIRAM, Évita</t>
  </si>
  <si>
    <t>GAZDAR, Natasha</t>
  </si>
  <si>
    <t>MATHIEU, Angéline</t>
  </si>
  <si>
    <t>BILODEAU, Lee-Ann</t>
  </si>
  <si>
    <t>BELBECK, Holly</t>
  </si>
  <si>
    <t>ASHLEY, Hayden</t>
  </si>
  <si>
    <t>COURTEMANCHE, Sophie</t>
  </si>
  <si>
    <t>BEAUDIN, Victoria</t>
  </si>
  <si>
    <t>PELOQUIN, Léa</t>
  </si>
  <si>
    <t>Toronto Premier</t>
  </si>
  <si>
    <t>DUBUC, Gabriel</t>
  </si>
  <si>
    <t>LITTLEJOHN, Ben</t>
  </si>
  <si>
    <t>KISKO, Roman</t>
  </si>
  <si>
    <t>2024 Elite Canada</t>
  </si>
  <si>
    <t>Q1 Bonus</t>
  </si>
  <si>
    <t>Finals Bonus</t>
  </si>
  <si>
    <t>Best Round (Bonus Removed)</t>
  </si>
  <si>
    <t>Best Other Round (Bonus Removed)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</si>
</sst>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3" xfId="0" applyFont="1" applyBorder="1"/>
    <xf numFmtId="0" fontId="0" fillId="0" borderId="5" xfId="0" applyBorder="1"/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8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9" t="s">
        <v>29</v>
      </c>
      <c r="B1" s="9" t="s">
        <v>5</v>
      </c>
      <c r="C1" s="9" t="s">
        <v>14</v>
      </c>
      <c r="D1" s="31" t="s">
        <v>30</v>
      </c>
    </row>
    <row r="2" spans="1:4" hidden="1" x14ac:dyDescent="0.2">
      <c r="A2" s="53" t="str">
        <f>IF(D2="","","TRA-M")</f>
        <v/>
      </c>
      <c r="B2" s="56" t="s">
        <v>17</v>
      </c>
      <c r="C2" s="53">
        <v>1</v>
      </c>
      <c r="D2" s="38" t="str" cm="1">
        <f t="array" ref="D2">_xlfn.IFNA(INDEX('TRA-M'!C$3:C$67,MATCH(1,(C2='TRA-M'!A$3:A$67)*(B2='TRA-M'!G$3:G$67),0)),"")</f>
        <v/>
      </c>
    </row>
    <row r="3" spans="1:4" hidden="1" x14ac:dyDescent="0.2">
      <c r="A3" s="53" t="str">
        <f t="shared" ref="A3:A33" si="0">IF(D3="","","TRA-M")</f>
        <v/>
      </c>
      <c r="B3" s="56" t="s">
        <v>17</v>
      </c>
      <c r="C3" s="53">
        <v>2</v>
      </c>
      <c r="D3" s="38" t="str" cm="1">
        <f t="array" ref="D3">_xlfn.IFNA(INDEX('TRA-M'!C$3:C$67,MATCH(1,(C3='TRA-M'!A$3:A$67)*(B3='TRA-M'!G$3:G$67),0)),"")</f>
        <v/>
      </c>
    </row>
    <row r="4" spans="1:4" hidden="1" x14ac:dyDescent="0.2">
      <c r="A4" s="53" t="str">
        <f t="shared" si="0"/>
        <v/>
      </c>
      <c r="B4" s="56" t="s">
        <v>17</v>
      </c>
      <c r="C4" s="53">
        <v>3</v>
      </c>
      <c r="D4" s="38" t="str" cm="1">
        <f t="array" ref="D4">_xlfn.IFNA(INDEX('TRA-M'!C$3:C$67,MATCH(1,(C4='TRA-M'!A$3:A$67)*(B4='TRA-M'!G$3:G$67),0)),"")</f>
        <v/>
      </c>
    </row>
    <row r="5" spans="1:4" hidden="1" x14ac:dyDescent="0.2">
      <c r="A5" s="53" t="str">
        <f t="shared" si="0"/>
        <v/>
      </c>
      <c r="B5" s="56" t="s">
        <v>17</v>
      </c>
      <c r="C5" s="53">
        <v>4</v>
      </c>
      <c r="D5" s="38" t="str" cm="1">
        <f t="array" ref="D5">_xlfn.IFNA(INDEX('TRA-M'!C$3:C$67,MATCH(1,(C5='TRA-M'!A$3:A$67)*(B5='TRA-M'!G$3:G$67),0)),"")</f>
        <v/>
      </c>
    </row>
    <row r="6" spans="1:4" hidden="1" x14ac:dyDescent="0.2">
      <c r="A6" s="53" t="str">
        <f t="shared" si="0"/>
        <v/>
      </c>
      <c r="B6" s="56" t="s">
        <v>17</v>
      </c>
      <c r="C6" s="53">
        <v>5</v>
      </c>
      <c r="D6" s="38" t="str" cm="1">
        <f t="array" ref="D6">_xlfn.IFNA(INDEX('TRA-M'!C$3:C$67,MATCH(1,(C6='TRA-M'!A$3:A$67)*(B6='TRA-M'!G$3:G$67),0)),"")</f>
        <v/>
      </c>
    </row>
    <row r="7" spans="1:4" hidden="1" x14ac:dyDescent="0.2">
      <c r="A7" s="53" t="str">
        <f t="shared" si="0"/>
        <v/>
      </c>
      <c r="B7" s="56" t="s">
        <v>17</v>
      </c>
      <c r="C7" s="53">
        <v>6</v>
      </c>
      <c r="D7" s="38" t="str" cm="1">
        <f t="array" ref="D7">_xlfn.IFNA(INDEX('TRA-M'!C$3:C$67,MATCH(1,(C7='TRA-M'!A$3:A$67)*(B7='TRA-M'!G$3:G$67),0)),"")</f>
        <v/>
      </c>
    </row>
    <row r="8" spans="1:4" hidden="1" x14ac:dyDescent="0.2">
      <c r="A8" s="53" t="str">
        <f t="shared" si="0"/>
        <v/>
      </c>
      <c r="B8" s="56" t="s">
        <v>17</v>
      </c>
      <c r="C8" s="53">
        <v>7</v>
      </c>
      <c r="D8" s="38" t="str" cm="1">
        <f t="array" ref="D8">_xlfn.IFNA(INDEX('TRA-M'!C$3:C$67,MATCH(1,(C8='TRA-M'!A$3:A$67)*(B8='TRA-M'!G$3:G$67),0)),"")</f>
        <v/>
      </c>
    </row>
    <row r="9" spans="1:4" hidden="1" x14ac:dyDescent="0.2">
      <c r="A9" s="53" t="str">
        <f t="shared" si="0"/>
        <v/>
      </c>
      <c r="B9" s="56" t="s">
        <v>17</v>
      </c>
      <c r="C9" s="53">
        <v>8</v>
      </c>
      <c r="D9" s="38" t="str" cm="1">
        <f t="array" ref="D9">_xlfn.IFNA(INDEX('TRA-M'!C$3:C$67,MATCH(1,(C9='TRA-M'!A$3:A$67)*(B9='TRA-M'!G$3:G$67),0)),"")</f>
        <v/>
      </c>
    </row>
    <row r="10" spans="1:4" hidden="1" x14ac:dyDescent="0.2">
      <c r="A10" s="53" t="str">
        <f t="shared" si="0"/>
        <v/>
      </c>
      <c r="B10" s="53" t="s">
        <v>16</v>
      </c>
      <c r="C10" s="53">
        <v>1</v>
      </c>
      <c r="D10" s="38" t="str" cm="1">
        <f t="array" ref="D10">_xlfn.IFNA(INDEX('TRA-M'!C$3:C$67,MATCH(1,(C10='TRA-M'!A$3:A$67)*(B10='TRA-M'!G$3:G$67),0)),"")</f>
        <v/>
      </c>
    </row>
    <row r="11" spans="1:4" hidden="1" x14ac:dyDescent="0.2">
      <c r="A11" s="53" t="str">
        <f t="shared" si="0"/>
        <v/>
      </c>
      <c r="B11" s="53" t="s">
        <v>16</v>
      </c>
      <c r="C11" s="53">
        <v>2</v>
      </c>
      <c r="D11" s="38" t="str" cm="1">
        <f t="array" ref="D11">_xlfn.IFNA(INDEX('TRA-M'!C$3:C$67,MATCH(1,(C11='TRA-M'!A$3:A$67)*(B11='TRA-M'!G$3:G$67),0)),"")</f>
        <v/>
      </c>
    </row>
    <row r="12" spans="1:4" hidden="1" x14ac:dyDescent="0.2">
      <c r="A12" s="53" t="str">
        <f t="shared" si="0"/>
        <v/>
      </c>
      <c r="B12" s="53" t="s">
        <v>16</v>
      </c>
      <c r="C12" s="53">
        <v>3</v>
      </c>
      <c r="D12" s="38" t="str" cm="1">
        <f t="array" ref="D12">_xlfn.IFNA(INDEX('TRA-M'!C$3:C$67,MATCH(1,(C12='TRA-M'!A$3:A$67)*(B12='TRA-M'!G$3:G$67),0)),"")</f>
        <v/>
      </c>
    </row>
    <row r="13" spans="1:4" hidden="1" x14ac:dyDescent="0.2">
      <c r="A13" s="53" t="str">
        <f t="shared" si="0"/>
        <v/>
      </c>
      <c r="B13" s="53" t="s">
        <v>16</v>
      </c>
      <c r="C13" s="53">
        <v>4</v>
      </c>
      <c r="D13" s="38" t="str" cm="1">
        <f t="array" ref="D13">_xlfn.IFNA(INDEX('TRA-M'!C$3:C$67,MATCH(1,(C13='TRA-M'!A$3:A$67)*(B13='TRA-M'!G$3:G$67),0)),"")</f>
        <v/>
      </c>
    </row>
    <row r="14" spans="1:4" hidden="1" x14ac:dyDescent="0.2">
      <c r="A14" s="53" t="str">
        <f t="shared" si="0"/>
        <v/>
      </c>
      <c r="B14" s="53" t="s">
        <v>16</v>
      </c>
      <c r="C14" s="53">
        <v>5</v>
      </c>
      <c r="D14" s="38" t="str" cm="1">
        <f t="array" ref="D14">_xlfn.IFNA(INDEX('TRA-M'!C$3:C$67,MATCH(1,(C14='TRA-M'!A$3:A$67)*(B14='TRA-M'!G$3:G$67),0)),"")</f>
        <v/>
      </c>
    </row>
    <row r="15" spans="1:4" hidden="1" x14ac:dyDescent="0.2">
      <c r="A15" s="53" t="str">
        <f t="shared" si="0"/>
        <v/>
      </c>
      <c r="B15" s="53" t="s">
        <v>16</v>
      </c>
      <c r="C15" s="53">
        <v>6</v>
      </c>
      <c r="D15" s="38" t="str" cm="1">
        <f t="array" ref="D15">_xlfn.IFNA(INDEX('TRA-M'!C$3:C$67,MATCH(1,(C15='TRA-M'!A$3:A$67)*(B15='TRA-M'!G$3:G$67),0)),"")</f>
        <v/>
      </c>
    </row>
    <row r="16" spans="1:4" hidden="1" x14ac:dyDescent="0.2">
      <c r="A16" s="53" t="str">
        <f t="shared" si="0"/>
        <v/>
      </c>
      <c r="B16" s="53" t="s">
        <v>16</v>
      </c>
      <c r="C16" s="53">
        <v>7</v>
      </c>
      <c r="D16" s="38" t="str" cm="1">
        <f t="array" ref="D16">_xlfn.IFNA(INDEX('TRA-M'!C$3:C$67,MATCH(1,(C16='TRA-M'!A$3:A$67)*(B16='TRA-M'!G$3:G$67),0)),"")</f>
        <v/>
      </c>
    </row>
    <row r="17" spans="1:4" hidden="1" x14ac:dyDescent="0.2">
      <c r="A17" s="53" t="str">
        <f t="shared" si="0"/>
        <v/>
      </c>
      <c r="B17" s="53" t="s">
        <v>16</v>
      </c>
      <c r="C17" s="53">
        <v>8</v>
      </c>
      <c r="D17" s="38" t="str" cm="1">
        <f t="array" ref="D17">_xlfn.IFNA(INDEX('TRA-M'!C$3:C$67,MATCH(1,(C17='TRA-M'!A$3:A$67)*(B17='TRA-M'!G$3:G$67),0)),"")</f>
        <v/>
      </c>
    </row>
    <row r="18" spans="1:4" hidden="1" x14ac:dyDescent="0.2">
      <c r="A18" s="53" t="str">
        <f t="shared" si="0"/>
        <v/>
      </c>
      <c r="B18" s="53" t="s">
        <v>18</v>
      </c>
      <c r="C18" s="53">
        <v>1</v>
      </c>
      <c r="D18" s="38" t="str" cm="1">
        <f t="array" ref="D18">_xlfn.IFNA(INDEX('TRA-M'!C$3:C$67,MATCH(1,(C18='TRA-M'!A$3:A$67)*(B18='TRA-M'!G$3:G$67),0)),"")</f>
        <v/>
      </c>
    </row>
    <row r="19" spans="1:4" hidden="1" x14ac:dyDescent="0.2">
      <c r="A19" s="53" t="str">
        <f t="shared" si="0"/>
        <v/>
      </c>
      <c r="B19" s="53" t="s">
        <v>18</v>
      </c>
      <c r="C19" s="53">
        <v>2</v>
      </c>
      <c r="D19" s="38" t="str" cm="1">
        <f t="array" ref="D19">_xlfn.IFNA(INDEX('TRA-M'!C$3:C$67,MATCH(1,(C19='TRA-M'!A$3:A$67)*(B19='TRA-M'!G$3:G$67),0)),"")</f>
        <v/>
      </c>
    </row>
    <row r="20" spans="1:4" hidden="1" x14ac:dyDescent="0.2">
      <c r="A20" s="53" t="str">
        <f t="shared" si="0"/>
        <v/>
      </c>
      <c r="B20" s="53" t="s">
        <v>18</v>
      </c>
      <c r="C20" s="53">
        <v>3</v>
      </c>
      <c r="D20" s="38" t="str" cm="1">
        <f t="array" ref="D20">_xlfn.IFNA(INDEX('TRA-M'!C$3:C$67,MATCH(1,(C20='TRA-M'!A$3:A$67)*(B20='TRA-M'!G$3:G$67),0)),"")</f>
        <v/>
      </c>
    </row>
    <row r="21" spans="1:4" hidden="1" x14ac:dyDescent="0.2">
      <c r="A21" s="53" t="str">
        <f t="shared" si="0"/>
        <v/>
      </c>
      <c r="B21" s="53" t="s">
        <v>18</v>
      </c>
      <c r="C21" s="53">
        <v>4</v>
      </c>
      <c r="D21" s="38" t="str" cm="1">
        <f t="array" ref="D21">_xlfn.IFNA(INDEX('TRA-M'!C$3:C$67,MATCH(1,(C21='TRA-M'!A$3:A$67)*(B21='TRA-M'!G$3:G$67),0)),"")</f>
        <v/>
      </c>
    </row>
    <row r="22" spans="1:4" hidden="1" x14ac:dyDescent="0.2">
      <c r="A22" s="53" t="str">
        <f t="shared" si="0"/>
        <v/>
      </c>
      <c r="B22" s="53" t="s">
        <v>18</v>
      </c>
      <c r="C22" s="53">
        <v>5</v>
      </c>
      <c r="D22" s="38" t="str" cm="1">
        <f t="array" ref="D22">_xlfn.IFNA(INDEX('TRA-M'!C$3:C$67,MATCH(1,(C22='TRA-M'!A$3:A$67)*(B22='TRA-M'!G$3:G$67),0)),"")</f>
        <v/>
      </c>
    </row>
    <row r="23" spans="1:4" hidden="1" x14ac:dyDescent="0.2">
      <c r="A23" s="53" t="str">
        <f t="shared" si="0"/>
        <v/>
      </c>
      <c r="B23" s="53" t="s">
        <v>18</v>
      </c>
      <c r="C23" s="53">
        <v>6</v>
      </c>
      <c r="D23" s="38" t="str" cm="1">
        <f t="array" ref="D23">_xlfn.IFNA(INDEX('TRA-M'!C$3:C$67,MATCH(1,(C23='TRA-M'!A$3:A$67)*(B23='TRA-M'!G$3:G$67),0)),"")</f>
        <v/>
      </c>
    </row>
    <row r="24" spans="1:4" hidden="1" x14ac:dyDescent="0.2">
      <c r="A24" s="53" t="str">
        <f t="shared" si="0"/>
        <v/>
      </c>
      <c r="B24" s="53" t="s">
        <v>18</v>
      </c>
      <c r="C24" s="53">
        <v>7</v>
      </c>
      <c r="D24" s="38" t="str" cm="1">
        <f t="array" ref="D24">_xlfn.IFNA(INDEX('TRA-M'!C$3:C$67,MATCH(1,(C24='TRA-M'!A$3:A$67)*(B24='TRA-M'!G$3:G$67),0)),"")</f>
        <v/>
      </c>
    </row>
    <row r="25" spans="1:4" hidden="1" x14ac:dyDescent="0.2">
      <c r="A25" s="53" t="str">
        <f t="shared" si="0"/>
        <v/>
      </c>
      <c r="B25" s="53" t="s">
        <v>18</v>
      </c>
      <c r="C25" s="53">
        <v>8</v>
      </c>
      <c r="D25" s="38" t="str" cm="1">
        <f t="array" ref="D25">_xlfn.IFNA(INDEX('TRA-M'!C$3:C$67,MATCH(1,(C25='TRA-M'!A$3:A$67)*(B25='TRA-M'!G$3:G$67),0)),"")</f>
        <v/>
      </c>
    </row>
    <row r="26" spans="1:4" hidden="1" x14ac:dyDescent="0.2">
      <c r="A26" s="53" t="str">
        <f t="shared" si="0"/>
        <v/>
      </c>
      <c r="B26" s="53" t="s">
        <v>19</v>
      </c>
      <c r="C26" s="53">
        <v>1</v>
      </c>
      <c r="D26" s="38" t="str" cm="1">
        <f t="array" ref="D26">_xlfn.IFNA(INDEX('TRA-M'!C$3:C$67,MATCH(1,(C26='TRA-M'!A$3:A$67)*(B26='TRA-M'!G$3:G$67),0)),"")</f>
        <v/>
      </c>
    </row>
    <row r="27" spans="1:4" hidden="1" x14ac:dyDescent="0.2">
      <c r="A27" s="53" t="str">
        <f t="shared" si="0"/>
        <v/>
      </c>
      <c r="B27" s="53" t="s">
        <v>19</v>
      </c>
      <c r="C27" s="53">
        <v>2</v>
      </c>
      <c r="D27" s="38" t="str" cm="1">
        <f t="array" ref="D27">_xlfn.IFNA(INDEX('TRA-M'!C$3:C$67,MATCH(1,(C27='TRA-M'!A$3:A$67)*(B27='TRA-M'!G$3:G$67),0)),"")</f>
        <v/>
      </c>
    </row>
    <row r="28" spans="1:4" hidden="1" x14ac:dyDescent="0.2">
      <c r="A28" s="53" t="str">
        <f t="shared" si="0"/>
        <v/>
      </c>
      <c r="B28" s="53" t="s">
        <v>19</v>
      </c>
      <c r="C28" s="53">
        <v>3</v>
      </c>
      <c r="D28" s="38" t="str" cm="1">
        <f t="array" ref="D28">_xlfn.IFNA(INDEX('TRA-M'!C$3:C$67,MATCH(1,(C28='TRA-M'!A$3:A$67)*(B28='TRA-M'!G$3:G$67),0)),"")</f>
        <v/>
      </c>
    </row>
    <row r="29" spans="1:4" hidden="1" x14ac:dyDescent="0.2">
      <c r="A29" s="53" t="str">
        <f t="shared" si="0"/>
        <v/>
      </c>
      <c r="B29" s="53" t="s">
        <v>19</v>
      </c>
      <c r="C29" s="53">
        <v>4</v>
      </c>
      <c r="D29" s="38" t="str" cm="1">
        <f t="array" ref="D29">_xlfn.IFNA(INDEX('TRA-M'!C$3:C$67,MATCH(1,(C29='TRA-M'!A$3:A$67)*(B29='TRA-M'!G$3:G$67),0)),"")</f>
        <v/>
      </c>
    </row>
    <row r="30" spans="1:4" hidden="1" x14ac:dyDescent="0.2">
      <c r="A30" s="53" t="str">
        <f t="shared" si="0"/>
        <v/>
      </c>
      <c r="B30" s="53" t="s">
        <v>19</v>
      </c>
      <c r="C30" s="53">
        <v>5</v>
      </c>
      <c r="D30" s="38" t="str" cm="1">
        <f t="array" ref="D30">_xlfn.IFNA(INDEX('TRA-M'!C$3:C$67,MATCH(1,(C30='TRA-M'!A$3:A$67)*(B30='TRA-M'!G$3:G$67),0)),"")</f>
        <v/>
      </c>
    </row>
    <row r="31" spans="1:4" hidden="1" x14ac:dyDescent="0.2">
      <c r="A31" s="53" t="str">
        <f t="shared" si="0"/>
        <v/>
      </c>
      <c r="B31" s="53" t="s">
        <v>19</v>
      </c>
      <c r="C31" s="53">
        <v>6</v>
      </c>
      <c r="D31" s="38" t="str" cm="1">
        <f t="array" ref="D31">_xlfn.IFNA(INDEX('TRA-M'!C$3:C$67,MATCH(1,(C31='TRA-M'!A$3:A$67)*(B31='TRA-M'!G$3:G$67),0)),"")</f>
        <v/>
      </c>
    </row>
    <row r="32" spans="1:4" hidden="1" x14ac:dyDescent="0.2">
      <c r="A32" s="53" t="str">
        <f t="shared" si="0"/>
        <v/>
      </c>
      <c r="B32" s="53" t="s">
        <v>19</v>
      </c>
      <c r="C32" s="53">
        <v>7</v>
      </c>
      <c r="D32" s="38" t="str" cm="1">
        <f t="array" ref="D32">_xlfn.IFNA(INDEX('TRA-M'!C$3:C$67,MATCH(1,(C32='TRA-M'!A$3:A$67)*(B32='TRA-M'!G$3:G$67),0)),"")</f>
        <v/>
      </c>
    </row>
    <row r="33" spans="1:4" hidden="1" x14ac:dyDescent="0.2">
      <c r="A33" s="53" t="str">
        <f t="shared" si="0"/>
        <v/>
      </c>
      <c r="B33" s="53" t="s">
        <v>19</v>
      </c>
      <c r="C33" s="53">
        <v>8</v>
      </c>
      <c r="D33" s="38" t="str" cm="1">
        <f t="array" ref="D33">_xlfn.IFNA(INDEX('TRA-M'!C$3:C$67,MATCH(1,(C33='TRA-M'!A$3:A$67)*(B33='TRA-M'!G$3:G$67),0)),"")</f>
        <v/>
      </c>
    </row>
    <row r="34" spans="1:4" hidden="1" x14ac:dyDescent="0.2">
      <c r="A34" s="54" t="str">
        <f>IF(D34="","","TRA-W")</f>
        <v/>
      </c>
      <c r="B34" s="57" t="s">
        <v>17</v>
      </c>
      <c r="C34" s="54">
        <v>1</v>
      </c>
      <c r="D34" s="39" t="str" cm="1">
        <f t="array" ref="D34">_xlfn.IFNA(INDEX('TRA-W'!C$3:C$82,MATCH(1,(C34='TRA-W'!A$3:A$82)*(B34='TRA-W'!G$3:G$82),0)),"")</f>
        <v/>
      </c>
    </row>
    <row r="35" spans="1:4" hidden="1" x14ac:dyDescent="0.2">
      <c r="A35" s="54" t="str">
        <f t="shared" ref="A35:A65" si="1">IF(D35="","","TRA-W")</f>
        <v/>
      </c>
      <c r="B35" s="57" t="s">
        <v>17</v>
      </c>
      <c r="C35" s="54">
        <v>2</v>
      </c>
      <c r="D35" s="39" t="str" cm="1">
        <f t="array" ref="D35">_xlfn.IFNA(INDEX('TRA-W'!C$3:C$82,MATCH(1,(C35='TRA-W'!A$3:A$82)*(B35='TRA-W'!G$3:G$82),0)),"")</f>
        <v/>
      </c>
    </row>
    <row r="36" spans="1:4" hidden="1" x14ac:dyDescent="0.2">
      <c r="A36" s="54" t="str">
        <f t="shared" si="1"/>
        <v/>
      </c>
      <c r="B36" s="57" t="s">
        <v>17</v>
      </c>
      <c r="C36" s="54">
        <v>3</v>
      </c>
      <c r="D36" s="39" t="str" cm="1">
        <f t="array" ref="D36">_xlfn.IFNA(INDEX('TRA-W'!C$3:C$82,MATCH(1,(C36='TRA-W'!A$3:A$82)*(B36='TRA-W'!G$3:G$82),0)),"")</f>
        <v/>
      </c>
    </row>
    <row r="37" spans="1:4" hidden="1" x14ac:dyDescent="0.2">
      <c r="A37" s="54" t="str">
        <f t="shared" si="1"/>
        <v/>
      </c>
      <c r="B37" s="57" t="s">
        <v>17</v>
      </c>
      <c r="C37" s="54">
        <v>4</v>
      </c>
      <c r="D37" s="39" t="str" cm="1">
        <f t="array" ref="D37">_xlfn.IFNA(INDEX('TRA-W'!C$3:C$82,MATCH(1,(C37='TRA-W'!A$3:A$82)*(B37='TRA-W'!G$3:G$82),0)),"")</f>
        <v/>
      </c>
    </row>
    <row r="38" spans="1:4" hidden="1" x14ac:dyDescent="0.2">
      <c r="A38" s="54" t="str">
        <f t="shared" si="1"/>
        <v/>
      </c>
      <c r="B38" s="57" t="s">
        <v>17</v>
      </c>
      <c r="C38" s="54">
        <v>5</v>
      </c>
      <c r="D38" s="39" t="str" cm="1">
        <f t="array" ref="D38">_xlfn.IFNA(INDEX('TRA-W'!C$3:C$82,MATCH(1,(C38='TRA-W'!A$3:A$82)*(B38='TRA-W'!G$3:G$82),0)),"")</f>
        <v/>
      </c>
    </row>
    <row r="39" spans="1:4" hidden="1" x14ac:dyDescent="0.2">
      <c r="A39" s="54" t="str">
        <f t="shared" si="1"/>
        <v/>
      </c>
      <c r="B39" s="57" t="s">
        <v>17</v>
      </c>
      <c r="C39" s="54">
        <v>6</v>
      </c>
      <c r="D39" s="39" t="str" cm="1">
        <f t="array" ref="D39">_xlfn.IFNA(INDEX('TRA-W'!C$3:C$82,MATCH(1,(C39='TRA-W'!A$3:A$82)*(B39='TRA-W'!G$3:G$82),0)),"")</f>
        <v/>
      </c>
    </row>
    <row r="40" spans="1:4" hidden="1" x14ac:dyDescent="0.2">
      <c r="A40" s="54" t="str">
        <f t="shared" si="1"/>
        <v/>
      </c>
      <c r="B40" s="57" t="s">
        <v>17</v>
      </c>
      <c r="C40" s="54">
        <v>7</v>
      </c>
      <c r="D40" s="39" t="str" cm="1">
        <f t="array" ref="D40">_xlfn.IFNA(INDEX('TRA-W'!C$3:C$82,MATCH(1,(C40='TRA-W'!A$3:A$82)*(B40='TRA-W'!G$3:G$82),0)),"")</f>
        <v/>
      </c>
    </row>
    <row r="41" spans="1:4" hidden="1" x14ac:dyDescent="0.2">
      <c r="A41" s="54" t="str">
        <f t="shared" si="1"/>
        <v/>
      </c>
      <c r="B41" s="57" t="s">
        <v>17</v>
      </c>
      <c r="C41" s="54">
        <v>8</v>
      </c>
      <c r="D41" s="39" t="str" cm="1">
        <f t="array" ref="D41">_xlfn.IFNA(INDEX('TRA-W'!C$3:C$82,MATCH(1,(C41='TRA-W'!A$3:A$82)*(B41='TRA-W'!G$3:G$82),0)),"")</f>
        <v/>
      </c>
    </row>
    <row r="42" spans="1:4" hidden="1" x14ac:dyDescent="0.2">
      <c r="A42" s="54" t="str">
        <f t="shared" si="1"/>
        <v/>
      </c>
      <c r="B42" s="54" t="s">
        <v>16</v>
      </c>
      <c r="C42" s="54">
        <v>1</v>
      </c>
      <c r="D42" s="39" t="str" cm="1">
        <f t="array" ref="D42">_xlfn.IFNA(INDEX('TRA-W'!C$3:C$82,MATCH(1,(C42='TRA-W'!A$3:A$82)*(B42='TRA-W'!G$3:G$82),0)),"")</f>
        <v/>
      </c>
    </row>
    <row r="43" spans="1:4" hidden="1" x14ac:dyDescent="0.2">
      <c r="A43" s="54" t="str">
        <f t="shared" si="1"/>
        <v/>
      </c>
      <c r="B43" s="54" t="s">
        <v>16</v>
      </c>
      <c r="C43" s="54">
        <v>2</v>
      </c>
      <c r="D43" s="39" t="str" cm="1">
        <f t="array" ref="D43">_xlfn.IFNA(INDEX('TRA-W'!C$3:C$82,MATCH(1,(C43='TRA-W'!A$3:A$82)*(B43='TRA-W'!G$3:G$82),0)),"")</f>
        <v/>
      </c>
    </row>
    <row r="44" spans="1:4" hidden="1" x14ac:dyDescent="0.2">
      <c r="A44" s="54" t="str">
        <f t="shared" si="1"/>
        <v/>
      </c>
      <c r="B44" s="54" t="s">
        <v>16</v>
      </c>
      <c r="C44" s="54">
        <v>3</v>
      </c>
      <c r="D44" s="39" t="str" cm="1">
        <f t="array" ref="D44">_xlfn.IFNA(INDEX('TRA-W'!C$3:C$82,MATCH(1,(C44='TRA-W'!A$3:A$82)*(B44='TRA-W'!G$3:G$82),0)),"")</f>
        <v/>
      </c>
    </row>
    <row r="45" spans="1:4" hidden="1" x14ac:dyDescent="0.2">
      <c r="A45" s="54" t="str">
        <f t="shared" si="1"/>
        <v/>
      </c>
      <c r="B45" s="54" t="s">
        <v>16</v>
      </c>
      <c r="C45" s="54">
        <v>4</v>
      </c>
      <c r="D45" s="39" t="str" cm="1">
        <f t="array" ref="D45">_xlfn.IFNA(INDEX('TRA-W'!C$3:C$82,MATCH(1,(C45='TRA-W'!A$3:A$82)*(B45='TRA-W'!G$3:G$82),0)),"")</f>
        <v/>
      </c>
    </row>
    <row r="46" spans="1:4" hidden="1" x14ac:dyDescent="0.2">
      <c r="A46" s="54" t="str">
        <f t="shared" si="1"/>
        <v/>
      </c>
      <c r="B46" s="54" t="s">
        <v>16</v>
      </c>
      <c r="C46" s="54">
        <v>5</v>
      </c>
      <c r="D46" s="39" t="str" cm="1">
        <f t="array" ref="D46">_xlfn.IFNA(INDEX('TRA-W'!C$3:C$82,MATCH(1,(C46='TRA-W'!A$3:A$82)*(B46='TRA-W'!G$3:G$82),0)),"")</f>
        <v/>
      </c>
    </row>
    <row r="47" spans="1:4" hidden="1" x14ac:dyDescent="0.2">
      <c r="A47" s="54" t="str">
        <f t="shared" si="1"/>
        <v/>
      </c>
      <c r="B47" s="54" t="s">
        <v>16</v>
      </c>
      <c r="C47" s="54">
        <v>6</v>
      </c>
      <c r="D47" s="39" t="str" cm="1">
        <f t="array" ref="D47">_xlfn.IFNA(INDEX('TRA-W'!C$3:C$82,MATCH(1,(C47='TRA-W'!A$3:A$82)*(B47='TRA-W'!G$3:G$82),0)),"")</f>
        <v/>
      </c>
    </row>
    <row r="48" spans="1:4" hidden="1" x14ac:dyDescent="0.2">
      <c r="A48" s="54" t="str">
        <f t="shared" si="1"/>
        <v/>
      </c>
      <c r="B48" s="54" t="s">
        <v>16</v>
      </c>
      <c r="C48" s="54">
        <v>7</v>
      </c>
      <c r="D48" s="39" t="str" cm="1">
        <f t="array" ref="D48">_xlfn.IFNA(INDEX('TRA-W'!C$3:C$82,MATCH(1,(C48='TRA-W'!A$3:A$82)*(B48='TRA-W'!G$3:G$82),0)),"")</f>
        <v/>
      </c>
    </row>
    <row r="49" spans="1:4" hidden="1" x14ac:dyDescent="0.2">
      <c r="A49" s="54" t="str">
        <f t="shared" si="1"/>
        <v/>
      </c>
      <c r="B49" s="54" t="s">
        <v>16</v>
      </c>
      <c r="C49" s="54">
        <v>8</v>
      </c>
      <c r="D49" s="39" t="str" cm="1">
        <f t="array" ref="D49">_xlfn.IFNA(INDEX('TRA-W'!C$3:C$82,MATCH(1,(C49='TRA-W'!A$3:A$82)*(B49='TRA-W'!G$3:G$82),0)),"")</f>
        <v/>
      </c>
    </row>
    <row r="50" spans="1:4" hidden="1" x14ac:dyDescent="0.2">
      <c r="A50" s="54" t="str">
        <f t="shared" si="1"/>
        <v/>
      </c>
      <c r="B50" s="54" t="s">
        <v>18</v>
      </c>
      <c r="C50" s="54">
        <v>1</v>
      </c>
      <c r="D50" s="39" t="str" cm="1">
        <f t="array" ref="D50">_xlfn.IFNA(INDEX('TRA-W'!C$3:C$82,MATCH(1,(C50='TRA-W'!A$3:A$82)*(B50='TRA-W'!G$3:G$82),0)),"")</f>
        <v/>
      </c>
    </row>
    <row r="51" spans="1:4" hidden="1" x14ac:dyDescent="0.2">
      <c r="A51" s="54" t="str">
        <f t="shared" si="1"/>
        <v/>
      </c>
      <c r="B51" s="54" t="s">
        <v>18</v>
      </c>
      <c r="C51" s="54">
        <v>2</v>
      </c>
      <c r="D51" s="39" t="str" cm="1">
        <f t="array" ref="D51">_xlfn.IFNA(INDEX('TRA-W'!C$3:C$82,MATCH(1,(C51='TRA-W'!A$3:A$82)*(B51='TRA-W'!G$3:G$82),0)),"")</f>
        <v/>
      </c>
    </row>
    <row r="52" spans="1:4" hidden="1" x14ac:dyDescent="0.2">
      <c r="A52" s="54" t="str">
        <f t="shared" si="1"/>
        <v/>
      </c>
      <c r="B52" s="54" t="s">
        <v>18</v>
      </c>
      <c r="C52" s="54">
        <v>3</v>
      </c>
      <c r="D52" s="39" t="str" cm="1">
        <f t="array" ref="D52">_xlfn.IFNA(INDEX('TRA-W'!C$3:C$82,MATCH(1,(C52='TRA-W'!A$3:A$82)*(B52='TRA-W'!G$3:G$82),0)),"")</f>
        <v/>
      </c>
    </row>
    <row r="53" spans="1:4" hidden="1" x14ac:dyDescent="0.2">
      <c r="A53" s="54" t="str">
        <f t="shared" si="1"/>
        <v/>
      </c>
      <c r="B53" s="54" t="s">
        <v>18</v>
      </c>
      <c r="C53" s="54">
        <v>4</v>
      </c>
      <c r="D53" s="39" t="str" cm="1">
        <f t="array" ref="D53">_xlfn.IFNA(INDEX('TRA-W'!C$3:C$82,MATCH(1,(C53='TRA-W'!A$3:A$82)*(B53='TRA-W'!G$3:G$82),0)),"")</f>
        <v/>
      </c>
    </row>
    <row r="54" spans="1:4" hidden="1" x14ac:dyDescent="0.2">
      <c r="A54" s="54" t="str">
        <f t="shared" si="1"/>
        <v/>
      </c>
      <c r="B54" s="54" t="s">
        <v>18</v>
      </c>
      <c r="C54" s="54">
        <v>5</v>
      </c>
      <c r="D54" s="39" t="str" cm="1">
        <f t="array" ref="D54">_xlfn.IFNA(INDEX('TRA-W'!C$3:C$82,MATCH(1,(C54='TRA-W'!A$3:A$82)*(B54='TRA-W'!G$3:G$82),0)),"")</f>
        <v/>
      </c>
    </row>
    <row r="55" spans="1:4" hidden="1" x14ac:dyDescent="0.2">
      <c r="A55" s="54" t="str">
        <f t="shared" si="1"/>
        <v/>
      </c>
      <c r="B55" s="54" t="s">
        <v>18</v>
      </c>
      <c r="C55" s="54">
        <v>6</v>
      </c>
      <c r="D55" s="39" t="str" cm="1">
        <f t="array" ref="D55">_xlfn.IFNA(INDEX('TRA-W'!C$3:C$82,MATCH(1,(C55='TRA-W'!A$3:A$82)*(B55='TRA-W'!G$3:G$82),0)),"")</f>
        <v/>
      </c>
    </row>
    <row r="56" spans="1:4" hidden="1" x14ac:dyDescent="0.2">
      <c r="A56" s="54" t="str">
        <f t="shared" si="1"/>
        <v/>
      </c>
      <c r="B56" s="54" t="s">
        <v>18</v>
      </c>
      <c r="C56" s="54">
        <v>7</v>
      </c>
      <c r="D56" s="39" t="str" cm="1">
        <f t="array" ref="D56">_xlfn.IFNA(INDEX('TRA-W'!C$3:C$82,MATCH(1,(C56='TRA-W'!A$3:A$82)*(B56='TRA-W'!G$3:G$82),0)),"")</f>
        <v/>
      </c>
    </row>
    <row r="57" spans="1:4" hidden="1" x14ac:dyDescent="0.2">
      <c r="A57" s="54" t="str">
        <f t="shared" si="1"/>
        <v/>
      </c>
      <c r="B57" s="54" t="s">
        <v>18</v>
      </c>
      <c r="C57" s="54">
        <v>8</v>
      </c>
      <c r="D57" s="39" t="str" cm="1">
        <f t="array" ref="D57">_xlfn.IFNA(INDEX('TRA-W'!C$3:C$82,MATCH(1,(C57='TRA-W'!A$3:A$82)*(B57='TRA-W'!G$3:G$82),0)),"")</f>
        <v/>
      </c>
    </row>
    <row r="58" spans="1:4" hidden="1" x14ac:dyDescent="0.2">
      <c r="A58" s="54" t="str">
        <f t="shared" si="1"/>
        <v/>
      </c>
      <c r="B58" s="54" t="s">
        <v>19</v>
      </c>
      <c r="C58" s="54">
        <v>1</v>
      </c>
      <c r="D58" s="39" t="str" cm="1">
        <f t="array" ref="D58">_xlfn.IFNA(INDEX('TRA-W'!C$3:C$82,MATCH(1,(C58='TRA-W'!A$3:A$82)*(B58='TRA-W'!G$3:G$82),0)),"")</f>
        <v/>
      </c>
    </row>
    <row r="59" spans="1:4" hidden="1" x14ac:dyDescent="0.2">
      <c r="A59" s="54" t="str">
        <f t="shared" si="1"/>
        <v/>
      </c>
      <c r="B59" s="54" t="s">
        <v>19</v>
      </c>
      <c r="C59" s="54">
        <v>2</v>
      </c>
      <c r="D59" s="39" t="str" cm="1">
        <f t="array" ref="D59">_xlfn.IFNA(INDEX('TRA-W'!C$3:C$82,MATCH(1,(C59='TRA-W'!A$3:A$82)*(B59='TRA-W'!G$3:G$82),0)),"")</f>
        <v/>
      </c>
    </row>
    <row r="60" spans="1:4" hidden="1" x14ac:dyDescent="0.2">
      <c r="A60" s="54" t="str">
        <f t="shared" si="1"/>
        <v/>
      </c>
      <c r="B60" s="54" t="s">
        <v>19</v>
      </c>
      <c r="C60" s="54">
        <v>3</v>
      </c>
      <c r="D60" s="39" t="str" cm="1">
        <f t="array" ref="D60">_xlfn.IFNA(INDEX('TRA-W'!C$3:C$82,MATCH(1,(C60='TRA-W'!A$3:A$82)*(B60='TRA-W'!G$3:G$82),0)),"")</f>
        <v/>
      </c>
    </row>
    <row r="61" spans="1:4" hidden="1" x14ac:dyDescent="0.2">
      <c r="A61" s="54" t="str">
        <f t="shared" si="1"/>
        <v/>
      </c>
      <c r="B61" s="54" t="s">
        <v>19</v>
      </c>
      <c r="C61" s="54">
        <v>4</v>
      </c>
      <c r="D61" s="39" t="str" cm="1">
        <f t="array" ref="D61">_xlfn.IFNA(INDEX('TRA-W'!C$3:C$82,MATCH(1,(C61='TRA-W'!A$3:A$82)*(B61='TRA-W'!G$3:G$82),0)),"")</f>
        <v/>
      </c>
    </row>
    <row r="62" spans="1:4" hidden="1" x14ac:dyDescent="0.2">
      <c r="A62" s="54" t="str">
        <f t="shared" si="1"/>
        <v/>
      </c>
      <c r="B62" s="54" t="s">
        <v>19</v>
      </c>
      <c r="C62" s="54">
        <v>5</v>
      </c>
      <c r="D62" s="39" t="str" cm="1">
        <f t="array" ref="D62">_xlfn.IFNA(INDEX('TRA-W'!C$3:C$82,MATCH(1,(C62='TRA-W'!A$3:A$82)*(B62='TRA-W'!G$3:G$82),0)),"")</f>
        <v/>
      </c>
    </row>
    <row r="63" spans="1:4" hidden="1" x14ac:dyDescent="0.2">
      <c r="A63" s="54" t="str">
        <f t="shared" si="1"/>
        <v/>
      </c>
      <c r="B63" s="54" t="s">
        <v>19</v>
      </c>
      <c r="C63" s="54">
        <v>6</v>
      </c>
      <c r="D63" s="39" t="str" cm="1">
        <f t="array" ref="D63">_xlfn.IFNA(INDEX('TRA-W'!C$3:C$82,MATCH(1,(C63='TRA-W'!A$3:A$82)*(B63='TRA-W'!G$3:G$82),0)),"")</f>
        <v/>
      </c>
    </row>
    <row r="64" spans="1:4" hidden="1" x14ac:dyDescent="0.2">
      <c r="A64" s="54" t="str">
        <f t="shared" si="1"/>
        <v/>
      </c>
      <c r="B64" s="54" t="s">
        <v>19</v>
      </c>
      <c r="C64" s="54">
        <v>7</v>
      </c>
      <c r="D64" s="39" t="str" cm="1">
        <f t="array" ref="D64">_xlfn.IFNA(INDEX('TRA-W'!C$3:C$82,MATCH(1,(C64='TRA-W'!A$3:A$82)*(B64='TRA-W'!G$3:G$82),0)),"")</f>
        <v/>
      </c>
    </row>
    <row r="65" spans="1:4" hidden="1" x14ac:dyDescent="0.2">
      <c r="A65" s="54" t="str">
        <f t="shared" si="1"/>
        <v/>
      </c>
      <c r="B65" s="54" t="s">
        <v>19</v>
      </c>
      <c r="C65" s="54">
        <v>8</v>
      </c>
      <c r="D65" s="39" t="str" cm="1">
        <f t="array" ref="D65">_xlfn.IFNA(INDEX('TRA-W'!C$3:C$82,MATCH(1,(C65='TRA-W'!A$3:A$82)*(B65='TRA-W'!G$3:G$82),0)),"")</f>
        <v/>
      </c>
    </row>
    <row r="66" spans="1:4" hidden="1" x14ac:dyDescent="0.2">
      <c r="A66" s="53" t="str">
        <f>IF(D66="","","SYN-M")</f>
        <v/>
      </c>
      <c r="B66" s="56" t="s">
        <v>17</v>
      </c>
      <c r="C66" s="53">
        <v>1</v>
      </c>
      <c r="D66" s="38" t="str" cm="1">
        <f t="array" ref="D66">_xlfn.IFNA(INDEX('SYN-M'!C$3:C$16,MATCH(1,(C66='SYN-M'!A$3:A$16)*(B66='SYN-M'!H$3:H$16),0)),"")</f>
        <v/>
      </c>
    </row>
    <row r="67" spans="1:4" hidden="1" x14ac:dyDescent="0.2">
      <c r="A67" s="53" t="str">
        <f t="shared" ref="A67:A81" si="2">IF(D67="","","SYN-M")</f>
        <v/>
      </c>
      <c r="B67" s="56" t="s">
        <v>17</v>
      </c>
      <c r="C67" s="53">
        <v>2</v>
      </c>
      <c r="D67" s="38" t="str" cm="1">
        <f t="array" ref="D67">_xlfn.IFNA(INDEX('SYN-M'!C$3:C$16,MATCH(1,(C67='SYN-M'!A$3:A$16)*(B67='SYN-M'!H$3:H$16),0)),"")</f>
        <v/>
      </c>
    </row>
    <row r="68" spans="1:4" hidden="1" x14ac:dyDescent="0.2">
      <c r="A68" s="53" t="str">
        <f t="shared" si="2"/>
        <v/>
      </c>
      <c r="B68" s="56" t="s">
        <v>17</v>
      </c>
      <c r="C68" s="53">
        <v>3</v>
      </c>
      <c r="D68" s="38" t="str" cm="1">
        <f t="array" ref="D68">_xlfn.IFNA(INDEX('SYN-M'!C$3:C$16,MATCH(1,(C68='SYN-M'!A$3:A$16)*(B68='SYN-M'!H$3:H$16),0)),"")</f>
        <v/>
      </c>
    </row>
    <row r="69" spans="1:4" hidden="1" x14ac:dyDescent="0.2">
      <c r="A69" s="53" t="str">
        <f t="shared" si="2"/>
        <v/>
      </c>
      <c r="B69" s="56" t="s">
        <v>17</v>
      </c>
      <c r="C69" s="53">
        <v>4</v>
      </c>
      <c r="D69" s="38" t="str" cm="1">
        <f t="array" ref="D69">_xlfn.IFNA(INDEX('SYN-M'!C$3:C$16,MATCH(1,(C69='SYN-M'!A$3:A$16)*(B69='SYN-M'!H$3:H$16),0)),"")</f>
        <v/>
      </c>
    </row>
    <row r="70" spans="1:4" hidden="1" x14ac:dyDescent="0.2">
      <c r="A70" s="53" t="str">
        <f t="shared" si="2"/>
        <v/>
      </c>
      <c r="B70" s="53" t="s">
        <v>16</v>
      </c>
      <c r="C70" s="53">
        <v>1</v>
      </c>
      <c r="D70" s="38" t="str" cm="1">
        <f t="array" ref="D70">_xlfn.IFNA(INDEX('SYN-M'!C$3:C$16,MATCH(1,(C70='SYN-M'!A$3:A$16)*(B70='SYN-M'!H$3:H$16),0)),"")</f>
        <v/>
      </c>
    </row>
    <row r="71" spans="1:4" hidden="1" x14ac:dyDescent="0.2">
      <c r="A71" s="53" t="str">
        <f t="shared" si="2"/>
        <v/>
      </c>
      <c r="B71" s="53" t="s">
        <v>16</v>
      </c>
      <c r="C71" s="53">
        <v>2</v>
      </c>
      <c r="D71" s="38" t="str" cm="1">
        <f t="array" ref="D71">_xlfn.IFNA(INDEX('SYN-M'!C$3:C$16,MATCH(1,(C71='SYN-M'!A$3:A$16)*(B71='SYN-M'!H$3:H$16),0)),"")</f>
        <v/>
      </c>
    </row>
    <row r="72" spans="1:4" hidden="1" x14ac:dyDescent="0.2">
      <c r="A72" s="53" t="str">
        <f t="shared" si="2"/>
        <v/>
      </c>
      <c r="B72" s="53" t="s">
        <v>16</v>
      </c>
      <c r="C72" s="53">
        <v>3</v>
      </c>
      <c r="D72" s="38" t="str" cm="1">
        <f t="array" ref="D72">_xlfn.IFNA(INDEX('SYN-M'!C$3:C$16,MATCH(1,(C72='SYN-M'!A$3:A$16)*(B72='SYN-M'!H$3:H$16),0)),"")</f>
        <v/>
      </c>
    </row>
    <row r="73" spans="1:4" hidden="1" x14ac:dyDescent="0.2">
      <c r="A73" s="53" t="str">
        <f t="shared" si="2"/>
        <v/>
      </c>
      <c r="B73" s="53" t="s">
        <v>16</v>
      </c>
      <c r="C73" s="53">
        <v>4</v>
      </c>
      <c r="D73" s="38" t="str" cm="1">
        <f t="array" ref="D73">_xlfn.IFNA(INDEX('SYN-M'!C$3:C$16,MATCH(1,(C73='SYN-M'!A$3:A$16)*(B73='SYN-M'!H$3:H$16),0)),"")</f>
        <v/>
      </c>
    </row>
    <row r="74" spans="1:4" hidden="1" x14ac:dyDescent="0.2">
      <c r="A74" s="53" t="str">
        <f t="shared" si="2"/>
        <v/>
      </c>
      <c r="B74" s="53" t="s">
        <v>18</v>
      </c>
      <c r="C74" s="53">
        <v>1</v>
      </c>
      <c r="D74" s="38" t="str" cm="1">
        <f t="array" ref="D74">_xlfn.IFNA(INDEX('SYN-M'!C$3:C$16,MATCH(1,(C74='SYN-M'!A$3:A$16)*(B74='SYN-M'!H$3:H$16),0)),"")</f>
        <v/>
      </c>
    </row>
    <row r="75" spans="1:4" hidden="1" x14ac:dyDescent="0.2">
      <c r="A75" s="53" t="str">
        <f t="shared" si="2"/>
        <v/>
      </c>
      <c r="B75" s="53" t="s">
        <v>18</v>
      </c>
      <c r="C75" s="53">
        <v>2</v>
      </c>
      <c r="D75" s="38" t="str" cm="1">
        <f t="array" ref="D75">_xlfn.IFNA(INDEX('SYN-M'!C$3:C$16,MATCH(1,(C75='SYN-M'!A$3:A$16)*(B75='SYN-M'!H$3:H$16),0)),"")</f>
        <v/>
      </c>
    </row>
    <row r="76" spans="1:4" hidden="1" x14ac:dyDescent="0.2">
      <c r="A76" s="53" t="str">
        <f t="shared" si="2"/>
        <v/>
      </c>
      <c r="B76" s="53" t="s">
        <v>18</v>
      </c>
      <c r="C76" s="53">
        <v>3</v>
      </c>
      <c r="D76" s="38" t="str" cm="1">
        <f t="array" ref="D76">_xlfn.IFNA(INDEX('SYN-M'!C$3:C$16,MATCH(1,(C76='SYN-M'!A$3:A$16)*(B76='SYN-M'!H$3:H$16),0)),"")</f>
        <v/>
      </c>
    </row>
    <row r="77" spans="1:4" hidden="1" x14ac:dyDescent="0.2">
      <c r="A77" s="53" t="str">
        <f t="shared" si="2"/>
        <v/>
      </c>
      <c r="B77" s="53" t="s">
        <v>18</v>
      </c>
      <c r="C77" s="53">
        <v>4</v>
      </c>
      <c r="D77" s="38" t="str" cm="1">
        <f t="array" ref="D77">_xlfn.IFNA(INDEX('SYN-M'!C$3:C$16,MATCH(1,(C77='SYN-M'!A$3:A$16)*(B77='SYN-M'!H$3:H$16),0)),"")</f>
        <v/>
      </c>
    </row>
    <row r="78" spans="1:4" hidden="1" x14ac:dyDescent="0.2">
      <c r="A78" s="53" t="str">
        <f t="shared" si="2"/>
        <v/>
      </c>
      <c r="B78" s="53" t="s">
        <v>19</v>
      </c>
      <c r="C78" s="53">
        <v>1</v>
      </c>
      <c r="D78" s="38" t="str" cm="1">
        <f t="array" ref="D78">_xlfn.IFNA(INDEX('SYN-M'!C$3:C$16,MATCH(1,(C78='SYN-M'!A$3:A$16)*(B78='SYN-M'!H$3:H$16),0)),"")</f>
        <v/>
      </c>
    </row>
    <row r="79" spans="1:4" hidden="1" x14ac:dyDescent="0.2">
      <c r="A79" s="53" t="str">
        <f t="shared" si="2"/>
        <v/>
      </c>
      <c r="B79" s="53" t="s">
        <v>19</v>
      </c>
      <c r="C79" s="53">
        <v>2</v>
      </c>
      <c r="D79" s="38" t="str" cm="1">
        <f t="array" ref="D79">_xlfn.IFNA(INDEX('SYN-M'!C$3:C$16,MATCH(1,(C79='SYN-M'!A$3:A$16)*(B79='SYN-M'!H$3:H$16),0)),"")</f>
        <v/>
      </c>
    </row>
    <row r="80" spans="1:4" hidden="1" x14ac:dyDescent="0.2">
      <c r="A80" s="53" t="str">
        <f t="shared" si="2"/>
        <v/>
      </c>
      <c r="B80" s="53" t="s">
        <v>19</v>
      </c>
      <c r="C80" s="53">
        <v>3</v>
      </c>
      <c r="D80" s="38" t="str" cm="1">
        <f t="array" ref="D80">_xlfn.IFNA(INDEX('SYN-M'!C$3:C$16,MATCH(1,(C80='SYN-M'!A$3:A$16)*(B80='SYN-M'!H$3:H$16),0)),"")</f>
        <v/>
      </c>
    </row>
    <row r="81" spans="1:4" hidden="1" x14ac:dyDescent="0.2">
      <c r="A81" s="53" t="str">
        <f t="shared" si="2"/>
        <v/>
      </c>
      <c r="B81" s="53" t="s">
        <v>19</v>
      </c>
      <c r="C81" s="53">
        <v>4</v>
      </c>
      <c r="D81" s="38" t="str" cm="1">
        <f t="array" ref="D81">_xlfn.IFNA(INDEX('SYN-M'!C$3:C$16,MATCH(1,(C81='SYN-M'!A$3:A$16)*(B81='SYN-M'!H$3:H$16),0)),"")</f>
        <v/>
      </c>
    </row>
    <row r="82" spans="1:4" hidden="1" x14ac:dyDescent="0.2">
      <c r="A82" s="54" t="str">
        <f>IF(D82="","","SYN-W")</f>
        <v/>
      </c>
      <c r="B82" s="57" t="s">
        <v>17</v>
      </c>
      <c r="C82" s="54">
        <v>1</v>
      </c>
      <c r="D82" s="39" t="str" cm="1">
        <f t="array" ref="D82">_xlfn.IFNA(INDEX('SYN-W'!C$3:C$22,MATCH(1,(C82='SYN-W'!A$3:A$22)*(B82='SYN-W'!H$3:H$22),0)),"")</f>
        <v/>
      </c>
    </row>
    <row r="83" spans="1:4" hidden="1" x14ac:dyDescent="0.2">
      <c r="A83" s="54" t="str">
        <f t="shared" ref="A83:A97" si="3">IF(D83="","","SYN-W")</f>
        <v/>
      </c>
      <c r="B83" s="57" t="s">
        <v>17</v>
      </c>
      <c r="C83" s="54">
        <v>2</v>
      </c>
      <c r="D83" s="39" t="str" cm="1">
        <f t="array" ref="D83">_xlfn.IFNA(INDEX('SYN-W'!C$3:C$22,MATCH(1,(C83='SYN-W'!A$3:A$22)*(B83='SYN-W'!H$3:H$22),0)),"")</f>
        <v/>
      </c>
    </row>
    <row r="84" spans="1:4" hidden="1" x14ac:dyDescent="0.2">
      <c r="A84" s="54" t="str">
        <f t="shared" si="3"/>
        <v/>
      </c>
      <c r="B84" s="57" t="s">
        <v>17</v>
      </c>
      <c r="C84" s="54">
        <v>3</v>
      </c>
      <c r="D84" s="39" t="str" cm="1">
        <f t="array" ref="D84">_xlfn.IFNA(INDEX('SYN-W'!C$3:C$22,MATCH(1,(C84='SYN-W'!A$3:A$22)*(B84='SYN-W'!H$3:H$22),0)),"")</f>
        <v/>
      </c>
    </row>
    <row r="85" spans="1:4" hidden="1" x14ac:dyDescent="0.2">
      <c r="A85" s="54" t="str">
        <f t="shared" si="3"/>
        <v/>
      </c>
      <c r="B85" s="57" t="s">
        <v>17</v>
      </c>
      <c r="C85" s="54">
        <v>4</v>
      </c>
      <c r="D85" s="39" t="str" cm="1">
        <f t="array" ref="D85">_xlfn.IFNA(INDEX('SYN-W'!C$3:C$22,MATCH(1,(C85='SYN-W'!A$3:A$22)*(B85='SYN-W'!H$3:H$22),0)),"")</f>
        <v/>
      </c>
    </row>
    <row r="86" spans="1:4" hidden="1" x14ac:dyDescent="0.2">
      <c r="A86" s="54" t="str">
        <f t="shared" si="3"/>
        <v/>
      </c>
      <c r="B86" s="54" t="s">
        <v>16</v>
      </c>
      <c r="C86" s="54">
        <v>1</v>
      </c>
      <c r="D86" s="39" t="str" cm="1">
        <f t="array" ref="D86">_xlfn.IFNA(INDEX('SYN-W'!C$3:C$22,MATCH(1,(C86='SYN-W'!A$3:A$22)*(B86='SYN-W'!H$3:H$22),0)),"")</f>
        <v/>
      </c>
    </row>
    <row r="87" spans="1:4" hidden="1" x14ac:dyDescent="0.2">
      <c r="A87" s="54" t="str">
        <f t="shared" si="3"/>
        <v/>
      </c>
      <c r="B87" s="54" t="s">
        <v>16</v>
      </c>
      <c r="C87" s="54">
        <v>2</v>
      </c>
      <c r="D87" s="39" t="str" cm="1">
        <f t="array" ref="D87">_xlfn.IFNA(INDEX('SYN-W'!C$3:C$22,MATCH(1,(C87='SYN-W'!A$3:A$22)*(B87='SYN-W'!H$3:H$22),0)),"")</f>
        <v/>
      </c>
    </row>
    <row r="88" spans="1:4" hidden="1" x14ac:dyDescent="0.2">
      <c r="A88" s="54" t="str">
        <f t="shared" si="3"/>
        <v/>
      </c>
      <c r="B88" s="54" t="s">
        <v>16</v>
      </c>
      <c r="C88" s="54">
        <v>3</v>
      </c>
      <c r="D88" s="39" t="str" cm="1">
        <f t="array" ref="D88">_xlfn.IFNA(INDEX('SYN-W'!C$3:C$22,MATCH(1,(C88='SYN-W'!A$3:A$22)*(B88='SYN-W'!H$3:H$22),0)),"")</f>
        <v/>
      </c>
    </row>
    <row r="89" spans="1:4" hidden="1" x14ac:dyDescent="0.2">
      <c r="A89" s="54" t="str">
        <f t="shared" si="3"/>
        <v/>
      </c>
      <c r="B89" s="54" t="s">
        <v>16</v>
      </c>
      <c r="C89" s="54">
        <v>4</v>
      </c>
      <c r="D89" s="39" t="str" cm="1">
        <f t="array" ref="D89">_xlfn.IFNA(INDEX('SYN-W'!C$3:C$22,MATCH(1,(C89='SYN-W'!A$3:A$22)*(B89='SYN-W'!H$3:H$22),0)),"")</f>
        <v/>
      </c>
    </row>
    <row r="90" spans="1:4" hidden="1" x14ac:dyDescent="0.2">
      <c r="A90" s="54" t="str">
        <f t="shared" si="3"/>
        <v/>
      </c>
      <c r="B90" s="54" t="s">
        <v>18</v>
      </c>
      <c r="C90" s="54">
        <v>1</v>
      </c>
      <c r="D90" s="39" t="str" cm="1">
        <f t="array" ref="D90">_xlfn.IFNA(INDEX('SYN-W'!C$3:C$22,MATCH(1,(C90='SYN-W'!A$3:A$22)*(B90='SYN-W'!H$3:H$22),0)),"")</f>
        <v/>
      </c>
    </row>
    <row r="91" spans="1:4" hidden="1" x14ac:dyDescent="0.2">
      <c r="A91" s="54" t="str">
        <f t="shared" si="3"/>
        <v/>
      </c>
      <c r="B91" s="54" t="s">
        <v>18</v>
      </c>
      <c r="C91" s="54">
        <v>2</v>
      </c>
      <c r="D91" s="39" t="str" cm="1">
        <f t="array" ref="D91">_xlfn.IFNA(INDEX('SYN-W'!C$3:C$22,MATCH(1,(C91='SYN-W'!A$3:A$22)*(B91='SYN-W'!H$3:H$22),0)),"")</f>
        <v/>
      </c>
    </row>
    <row r="92" spans="1:4" hidden="1" x14ac:dyDescent="0.2">
      <c r="A92" s="54" t="str">
        <f t="shared" si="3"/>
        <v/>
      </c>
      <c r="B92" s="54" t="s">
        <v>18</v>
      </c>
      <c r="C92" s="54">
        <v>3</v>
      </c>
      <c r="D92" s="39" t="str" cm="1">
        <f t="array" ref="D92">_xlfn.IFNA(INDEX('SYN-W'!C$3:C$22,MATCH(1,(C92='SYN-W'!A$3:A$22)*(B92='SYN-W'!H$3:H$22),0)),"")</f>
        <v/>
      </c>
    </row>
    <row r="93" spans="1:4" hidden="1" x14ac:dyDescent="0.2">
      <c r="A93" s="54" t="str">
        <f t="shared" si="3"/>
        <v/>
      </c>
      <c r="B93" s="54" t="s">
        <v>18</v>
      </c>
      <c r="C93" s="54">
        <v>4</v>
      </c>
      <c r="D93" s="39" t="str" cm="1">
        <f t="array" ref="D93">_xlfn.IFNA(INDEX('SYN-W'!C$3:C$22,MATCH(1,(C93='SYN-W'!A$3:A$22)*(B93='SYN-W'!H$3:H$22),0)),"")</f>
        <v/>
      </c>
    </row>
    <row r="94" spans="1:4" hidden="1" x14ac:dyDescent="0.2">
      <c r="A94" s="54" t="str">
        <f t="shared" si="3"/>
        <v/>
      </c>
      <c r="B94" s="54" t="s">
        <v>19</v>
      </c>
      <c r="C94" s="54">
        <v>1</v>
      </c>
      <c r="D94" s="39" t="str" cm="1">
        <f t="array" ref="D94">_xlfn.IFNA(INDEX('SYN-W'!C$3:C$22,MATCH(1,(C94='SYN-W'!A$3:A$22)*(B94='SYN-W'!H$3:H$22),0)),"")</f>
        <v/>
      </c>
    </row>
    <row r="95" spans="1:4" hidden="1" x14ac:dyDescent="0.2">
      <c r="A95" s="54" t="str">
        <f t="shared" si="3"/>
        <v/>
      </c>
      <c r="B95" s="54" t="s">
        <v>19</v>
      </c>
      <c r="C95" s="54">
        <v>2</v>
      </c>
      <c r="D95" s="39" t="str" cm="1">
        <f t="array" ref="D95">_xlfn.IFNA(INDEX('SYN-W'!C$3:C$22,MATCH(1,(C95='SYN-W'!A$3:A$22)*(B95='SYN-W'!H$3:H$22),0)),"")</f>
        <v/>
      </c>
    </row>
    <row r="96" spans="1:4" hidden="1" x14ac:dyDescent="0.2">
      <c r="A96" s="54" t="str">
        <f t="shared" si="3"/>
        <v/>
      </c>
      <c r="B96" s="54" t="s">
        <v>19</v>
      </c>
      <c r="C96" s="54">
        <v>3</v>
      </c>
      <c r="D96" s="39" t="str" cm="1">
        <f t="array" ref="D96">_xlfn.IFNA(INDEX('SYN-W'!C$3:C$22,MATCH(1,(C96='SYN-W'!A$3:A$22)*(B96='SYN-W'!H$3:H$22),0)),"")</f>
        <v/>
      </c>
    </row>
    <row r="97" spans="1:4" hidden="1" x14ac:dyDescent="0.2">
      <c r="A97" s="54" t="str">
        <f t="shared" si="3"/>
        <v/>
      </c>
      <c r="B97" s="54" t="s">
        <v>19</v>
      </c>
      <c r="C97" s="54">
        <v>4</v>
      </c>
      <c r="D97" s="39" t="str" cm="1">
        <f t="array" ref="D97">_xlfn.IFNA(INDEX('SYN-W'!C$3:C$22,MATCH(1,(C97='SYN-W'!A$3:A$22)*(B97='SYN-W'!H$3:H$22),0)),"")</f>
        <v/>
      </c>
    </row>
    <row r="98" spans="1:4" hidden="1" x14ac:dyDescent="0.2">
      <c r="A98" s="53" t="str">
        <f>IF(D98="","","DMT-M")</f>
        <v/>
      </c>
      <c r="B98" s="56" t="s">
        <v>17</v>
      </c>
      <c r="C98" s="53">
        <v>1</v>
      </c>
      <c r="D98" s="38" t="str" cm="1">
        <f t="array" ref="D98">_xlfn.IFNA(INDEX('DMT-M'!C$3:C$57,MATCH(1,(C98='DMT-M'!A$3:A$57)*(B98='DMT-M'!G$3:G$57),0)),"")</f>
        <v/>
      </c>
    </row>
    <row r="99" spans="1:4" hidden="1" x14ac:dyDescent="0.2">
      <c r="A99" s="53" t="str">
        <f t="shared" ref="A99:A129" si="4">IF(D99="","","DMT-M")</f>
        <v/>
      </c>
      <c r="B99" s="56" t="s">
        <v>17</v>
      </c>
      <c r="C99" s="53">
        <v>2</v>
      </c>
      <c r="D99" s="38" t="str" cm="1">
        <f t="array" ref="D99">_xlfn.IFNA(INDEX('DMT-M'!C$3:C$57,MATCH(1,(C99='DMT-M'!A$3:A$57)*(B99='DMT-M'!G$3:G$57),0)),"")</f>
        <v/>
      </c>
    </row>
    <row r="100" spans="1:4" hidden="1" x14ac:dyDescent="0.2">
      <c r="A100" s="53" t="str">
        <f t="shared" si="4"/>
        <v/>
      </c>
      <c r="B100" s="56" t="s">
        <v>17</v>
      </c>
      <c r="C100" s="53">
        <v>3</v>
      </c>
      <c r="D100" s="38" t="str" cm="1">
        <f t="array" ref="D100">_xlfn.IFNA(INDEX('DMT-M'!C$3:C$57,MATCH(1,(C100='DMT-M'!A$3:A$57)*(B100='DMT-M'!G$3:G$57),0)),"")</f>
        <v/>
      </c>
    </row>
    <row r="101" spans="1:4" hidden="1" x14ac:dyDescent="0.2">
      <c r="A101" s="53" t="str">
        <f t="shared" si="4"/>
        <v/>
      </c>
      <c r="B101" s="56" t="s">
        <v>17</v>
      </c>
      <c r="C101" s="53">
        <v>4</v>
      </c>
      <c r="D101" s="38" t="str" cm="1">
        <f t="array" ref="D101">_xlfn.IFNA(INDEX('DMT-M'!C$3:C$57,MATCH(1,(C101='DMT-M'!A$3:A$57)*(B101='DMT-M'!G$3:G$57),0)),"")</f>
        <v/>
      </c>
    </row>
    <row r="102" spans="1:4" hidden="1" x14ac:dyDescent="0.2">
      <c r="A102" s="53" t="str">
        <f t="shared" si="4"/>
        <v/>
      </c>
      <c r="B102" s="56" t="s">
        <v>17</v>
      </c>
      <c r="C102" s="53">
        <v>5</v>
      </c>
      <c r="D102" s="38" t="str" cm="1">
        <f t="array" ref="D102">_xlfn.IFNA(INDEX('DMT-M'!C$3:C$57,MATCH(1,(C102='DMT-M'!A$3:A$57)*(B102='DMT-M'!G$3:G$57),0)),"")</f>
        <v/>
      </c>
    </row>
    <row r="103" spans="1:4" hidden="1" x14ac:dyDescent="0.2">
      <c r="A103" s="53" t="str">
        <f t="shared" si="4"/>
        <v/>
      </c>
      <c r="B103" s="56" t="s">
        <v>17</v>
      </c>
      <c r="C103" s="53">
        <v>6</v>
      </c>
      <c r="D103" s="38" t="str" cm="1">
        <f t="array" ref="D103">_xlfn.IFNA(INDEX('DMT-M'!C$3:C$57,MATCH(1,(C103='DMT-M'!A$3:A$57)*(B103='DMT-M'!G$3:G$57),0)),"")</f>
        <v/>
      </c>
    </row>
    <row r="104" spans="1:4" hidden="1" x14ac:dyDescent="0.2">
      <c r="A104" s="53" t="str">
        <f t="shared" si="4"/>
        <v/>
      </c>
      <c r="B104" s="56" t="s">
        <v>17</v>
      </c>
      <c r="C104" s="53">
        <v>7</v>
      </c>
      <c r="D104" s="38" t="str" cm="1">
        <f t="array" ref="D104">_xlfn.IFNA(INDEX('DMT-M'!C$3:C$57,MATCH(1,(C104='DMT-M'!A$3:A$57)*(B104='DMT-M'!G$3:G$57),0)),"")</f>
        <v/>
      </c>
    </row>
    <row r="105" spans="1:4" hidden="1" x14ac:dyDescent="0.2">
      <c r="A105" s="53" t="str">
        <f t="shared" si="4"/>
        <v/>
      </c>
      <c r="B105" s="56" t="s">
        <v>17</v>
      </c>
      <c r="C105" s="53">
        <v>8</v>
      </c>
      <c r="D105" s="38" t="str" cm="1">
        <f t="array" ref="D105">_xlfn.IFNA(INDEX('DMT-M'!C$3:C$57,MATCH(1,(C105='DMT-M'!A$3:A$57)*(B105='DMT-M'!G$3:G$57),0)),"")</f>
        <v/>
      </c>
    </row>
    <row r="106" spans="1:4" hidden="1" x14ac:dyDescent="0.2">
      <c r="A106" s="53" t="str">
        <f t="shared" si="4"/>
        <v/>
      </c>
      <c r="B106" s="53" t="s">
        <v>16</v>
      </c>
      <c r="C106" s="53">
        <v>1</v>
      </c>
      <c r="D106" s="38" t="str" cm="1">
        <f t="array" ref="D106">_xlfn.IFNA(INDEX('DMT-M'!C$3:C$57,MATCH(1,(C106='DMT-M'!A$3:A$57)*(B106='DMT-M'!G$3:G$57),0)),"")</f>
        <v/>
      </c>
    </row>
    <row r="107" spans="1:4" hidden="1" x14ac:dyDescent="0.2">
      <c r="A107" s="53" t="str">
        <f t="shared" si="4"/>
        <v/>
      </c>
      <c r="B107" s="53" t="s">
        <v>16</v>
      </c>
      <c r="C107" s="53">
        <v>2</v>
      </c>
      <c r="D107" s="38" t="str" cm="1">
        <f t="array" ref="D107">_xlfn.IFNA(INDEX('DMT-M'!C$3:C$57,MATCH(1,(C107='DMT-M'!A$3:A$57)*(B107='DMT-M'!G$3:G$57),0)),"")</f>
        <v/>
      </c>
    </row>
    <row r="108" spans="1:4" hidden="1" x14ac:dyDescent="0.2">
      <c r="A108" s="53" t="str">
        <f t="shared" si="4"/>
        <v/>
      </c>
      <c r="B108" s="53" t="s">
        <v>16</v>
      </c>
      <c r="C108" s="53">
        <v>3</v>
      </c>
      <c r="D108" s="38" t="str" cm="1">
        <f t="array" ref="D108">_xlfn.IFNA(INDEX('DMT-M'!C$3:C$57,MATCH(1,(C108='DMT-M'!A$3:A$57)*(B108='DMT-M'!G$3:G$57),0)),"")</f>
        <v/>
      </c>
    </row>
    <row r="109" spans="1:4" hidden="1" x14ac:dyDescent="0.2">
      <c r="A109" s="53" t="str">
        <f t="shared" si="4"/>
        <v/>
      </c>
      <c r="B109" s="53" t="s">
        <v>16</v>
      </c>
      <c r="C109" s="53">
        <v>4</v>
      </c>
      <c r="D109" s="38" t="str" cm="1">
        <f t="array" ref="D109">_xlfn.IFNA(INDEX('DMT-M'!C$3:C$57,MATCH(1,(C109='DMT-M'!A$3:A$57)*(B109='DMT-M'!G$3:G$57),0)),"")</f>
        <v/>
      </c>
    </row>
    <row r="110" spans="1:4" hidden="1" x14ac:dyDescent="0.2">
      <c r="A110" s="53" t="str">
        <f t="shared" si="4"/>
        <v/>
      </c>
      <c r="B110" s="53" t="s">
        <v>16</v>
      </c>
      <c r="C110" s="53">
        <v>5</v>
      </c>
      <c r="D110" s="38" t="str" cm="1">
        <f t="array" ref="D110">_xlfn.IFNA(INDEX('DMT-M'!C$3:C$57,MATCH(1,(C110='DMT-M'!A$3:A$57)*(B110='DMT-M'!G$3:G$57),0)),"")</f>
        <v/>
      </c>
    </row>
    <row r="111" spans="1:4" hidden="1" x14ac:dyDescent="0.2">
      <c r="A111" s="53" t="str">
        <f t="shared" si="4"/>
        <v/>
      </c>
      <c r="B111" s="53" t="s">
        <v>16</v>
      </c>
      <c r="C111" s="53">
        <v>6</v>
      </c>
      <c r="D111" s="38" t="str" cm="1">
        <f t="array" ref="D111">_xlfn.IFNA(INDEX('DMT-M'!C$3:C$57,MATCH(1,(C111='DMT-M'!A$3:A$57)*(B111='DMT-M'!G$3:G$57),0)),"")</f>
        <v/>
      </c>
    </row>
    <row r="112" spans="1:4" hidden="1" x14ac:dyDescent="0.2">
      <c r="A112" s="53" t="str">
        <f t="shared" si="4"/>
        <v/>
      </c>
      <c r="B112" s="53" t="s">
        <v>16</v>
      </c>
      <c r="C112" s="53">
        <v>7</v>
      </c>
      <c r="D112" s="38" t="str" cm="1">
        <f t="array" ref="D112">_xlfn.IFNA(INDEX('DMT-M'!C$3:C$57,MATCH(1,(C112='DMT-M'!A$3:A$57)*(B112='DMT-M'!G$3:G$57),0)),"")</f>
        <v/>
      </c>
    </row>
    <row r="113" spans="1:4" hidden="1" x14ac:dyDescent="0.2">
      <c r="A113" s="53" t="str">
        <f t="shared" si="4"/>
        <v/>
      </c>
      <c r="B113" s="53" t="s">
        <v>16</v>
      </c>
      <c r="C113" s="53">
        <v>8</v>
      </c>
      <c r="D113" s="38" t="str" cm="1">
        <f t="array" ref="D113">_xlfn.IFNA(INDEX('DMT-M'!C$3:C$57,MATCH(1,(C113='DMT-M'!A$3:A$57)*(B113='DMT-M'!G$3:G$57),0)),"")</f>
        <v/>
      </c>
    </row>
    <row r="114" spans="1:4" hidden="1" x14ac:dyDescent="0.2">
      <c r="A114" s="53" t="str">
        <f t="shared" si="4"/>
        <v/>
      </c>
      <c r="B114" s="53" t="s">
        <v>18</v>
      </c>
      <c r="C114" s="53">
        <v>1</v>
      </c>
      <c r="D114" s="38" t="str" cm="1">
        <f t="array" ref="D114">_xlfn.IFNA(INDEX('DMT-M'!C$3:C$57,MATCH(1,(C114='DMT-M'!A$3:A$57)*(B114='DMT-M'!G$3:G$57),0)),"")</f>
        <v/>
      </c>
    </row>
    <row r="115" spans="1:4" hidden="1" x14ac:dyDescent="0.2">
      <c r="A115" s="53" t="str">
        <f t="shared" si="4"/>
        <v/>
      </c>
      <c r="B115" s="53" t="s">
        <v>18</v>
      </c>
      <c r="C115" s="53">
        <v>2</v>
      </c>
      <c r="D115" s="38" t="str" cm="1">
        <f t="array" ref="D115">_xlfn.IFNA(INDEX('DMT-M'!C$3:C$57,MATCH(1,(C115='DMT-M'!A$3:A$57)*(B115='DMT-M'!G$3:G$57),0)),"")</f>
        <v/>
      </c>
    </row>
    <row r="116" spans="1:4" hidden="1" x14ac:dyDescent="0.2">
      <c r="A116" s="53" t="str">
        <f t="shared" si="4"/>
        <v/>
      </c>
      <c r="B116" s="53" t="s">
        <v>18</v>
      </c>
      <c r="C116" s="53">
        <v>3</v>
      </c>
      <c r="D116" s="38" t="str" cm="1">
        <f t="array" ref="D116">_xlfn.IFNA(INDEX('DMT-M'!C$3:C$57,MATCH(1,(C116='DMT-M'!A$3:A$57)*(B116='DMT-M'!G$3:G$57),0)),"")</f>
        <v/>
      </c>
    </row>
    <row r="117" spans="1:4" hidden="1" x14ac:dyDescent="0.2">
      <c r="A117" s="53" t="str">
        <f t="shared" si="4"/>
        <v/>
      </c>
      <c r="B117" s="53" t="s">
        <v>18</v>
      </c>
      <c r="C117" s="53">
        <v>4</v>
      </c>
      <c r="D117" s="38" t="str" cm="1">
        <f t="array" ref="D117">_xlfn.IFNA(INDEX('DMT-M'!C$3:C$57,MATCH(1,(C117='DMT-M'!A$3:A$57)*(B117='DMT-M'!G$3:G$57),0)),"")</f>
        <v/>
      </c>
    </row>
    <row r="118" spans="1:4" hidden="1" x14ac:dyDescent="0.2">
      <c r="A118" s="53" t="str">
        <f t="shared" si="4"/>
        <v/>
      </c>
      <c r="B118" s="53" t="s">
        <v>18</v>
      </c>
      <c r="C118" s="53">
        <v>5</v>
      </c>
      <c r="D118" s="38" t="str" cm="1">
        <f t="array" ref="D118">_xlfn.IFNA(INDEX('DMT-M'!C$3:C$57,MATCH(1,(C118='DMT-M'!A$3:A$57)*(B118='DMT-M'!G$3:G$57),0)),"")</f>
        <v/>
      </c>
    </row>
    <row r="119" spans="1:4" hidden="1" x14ac:dyDescent="0.2">
      <c r="A119" s="53" t="str">
        <f t="shared" si="4"/>
        <v/>
      </c>
      <c r="B119" s="53" t="s">
        <v>18</v>
      </c>
      <c r="C119" s="53">
        <v>6</v>
      </c>
      <c r="D119" s="38" t="str" cm="1">
        <f t="array" ref="D119">_xlfn.IFNA(INDEX('DMT-M'!C$3:C$57,MATCH(1,(C119='DMT-M'!A$3:A$57)*(B119='DMT-M'!G$3:G$57),0)),"")</f>
        <v/>
      </c>
    </row>
    <row r="120" spans="1:4" hidden="1" x14ac:dyDescent="0.2">
      <c r="A120" s="53" t="str">
        <f t="shared" si="4"/>
        <v/>
      </c>
      <c r="B120" s="53" t="s">
        <v>18</v>
      </c>
      <c r="C120" s="53">
        <v>7</v>
      </c>
      <c r="D120" s="38" t="str" cm="1">
        <f t="array" ref="D120">_xlfn.IFNA(INDEX('DMT-M'!C$3:C$57,MATCH(1,(C120='DMT-M'!A$3:A$57)*(B120='DMT-M'!G$3:G$57),0)),"")</f>
        <v/>
      </c>
    </row>
    <row r="121" spans="1:4" hidden="1" x14ac:dyDescent="0.2">
      <c r="A121" s="53" t="str">
        <f t="shared" si="4"/>
        <v/>
      </c>
      <c r="B121" s="53" t="s">
        <v>18</v>
      </c>
      <c r="C121" s="53">
        <v>8</v>
      </c>
      <c r="D121" s="38" t="str" cm="1">
        <f t="array" ref="D121">_xlfn.IFNA(INDEX('DMT-M'!C$3:C$57,MATCH(1,(C121='DMT-M'!A$3:A$57)*(B121='DMT-M'!G$3:G$57),0)),"")</f>
        <v/>
      </c>
    </row>
    <row r="122" spans="1:4" hidden="1" x14ac:dyDescent="0.2">
      <c r="A122" s="53" t="str">
        <f t="shared" si="4"/>
        <v/>
      </c>
      <c r="B122" s="53" t="s">
        <v>19</v>
      </c>
      <c r="C122" s="53">
        <v>1</v>
      </c>
      <c r="D122" s="38" t="str" cm="1">
        <f t="array" ref="D122">_xlfn.IFNA(INDEX('DMT-M'!C$3:C$57,MATCH(1,(C122='DMT-M'!A$3:A$57)*(B122='DMT-M'!G$3:G$57),0)),"")</f>
        <v/>
      </c>
    </row>
    <row r="123" spans="1:4" hidden="1" x14ac:dyDescent="0.2">
      <c r="A123" s="53" t="str">
        <f t="shared" si="4"/>
        <v/>
      </c>
      <c r="B123" s="53" t="s">
        <v>19</v>
      </c>
      <c r="C123" s="53">
        <v>2</v>
      </c>
      <c r="D123" s="38" t="str" cm="1">
        <f t="array" ref="D123">_xlfn.IFNA(INDEX('DMT-M'!C$3:C$57,MATCH(1,(C123='DMT-M'!A$3:A$57)*(B123='DMT-M'!G$3:G$57),0)),"")</f>
        <v/>
      </c>
    </row>
    <row r="124" spans="1:4" hidden="1" x14ac:dyDescent="0.2">
      <c r="A124" s="53" t="str">
        <f t="shared" si="4"/>
        <v/>
      </c>
      <c r="B124" s="53" t="s">
        <v>19</v>
      </c>
      <c r="C124" s="53">
        <v>3</v>
      </c>
      <c r="D124" s="38" t="str" cm="1">
        <f t="array" ref="D124">_xlfn.IFNA(INDEX('DMT-M'!C$3:C$57,MATCH(1,(C124='DMT-M'!A$3:A$57)*(B124='DMT-M'!G$3:G$57),0)),"")</f>
        <v/>
      </c>
    </row>
    <row r="125" spans="1:4" hidden="1" x14ac:dyDescent="0.2">
      <c r="A125" s="53" t="str">
        <f t="shared" si="4"/>
        <v/>
      </c>
      <c r="B125" s="53" t="s">
        <v>19</v>
      </c>
      <c r="C125" s="53">
        <v>4</v>
      </c>
      <c r="D125" s="38" t="str" cm="1">
        <f t="array" ref="D125">_xlfn.IFNA(INDEX('DMT-M'!C$3:C$57,MATCH(1,(C125='DMT-M'!A$3:A$57)*(B125='DMT-M'!G$3:G$57),0)),"")</f>
        <v/>
      </c>
    </row>
    <row r="126" spans="1:4" hidden="1" x14ac:dyDescent="0.2">
      <c r="A126" s="53" t="str">
        <f t="shared" si="4"/>
        <v/>
      </c>
      <c r="B126" s="53" t="s">
        <v>19</v>
      </c>
      <c r="C126" s="53">
        <v>5</v>
      </c>
      <c r="D126" s="38" t="str" cm="1">
        <f t="array" ref="D126">_xlfn.IFNA(INDEX('DMT-M'!C$3:C$57,MATCH(1,(C126='DMT-M'!A$3:A$57)*(B126='DMT-M'!G$3:G$57),0)),"")</f>
        <v/>
      </c>
    </row>
    <row r="127" spans="1:4" hidden="1" x14ac:dyDescent="0.2">
      <c r="A127" s="53" t="str">
        <f t="shared" si="4"/>
        <v/>
      </c>
      <c r="B127" s="53" t="s">
        <v>19</v>
      </c>
      <c r="C127" s="53">
        <v>6</v>
      </c>
      <c r="D127" s="38" t="str" cm="1">
        <f t="array" ref="D127">_xlfn.IFNA(INDEX('DMT-M'!C$3:C$57,MATCH(1,(C127='DMT-M'!A$3:A$57)*(B127='DMT-M'!G$3:G$57),0)),"")</f>
        <v/>
      </c>
    </row>
    <row r="128" spans="1:4" hidden="1" x14ac:dyDescent="0.2">
      <c r="A128" s="53" t="str">
        <f t="shared" si="4"/>
        <v/>
      </c>
      <c r="B128" s="53" t="s">
        <v>19</v>
      </c>
      <c r="C128" s="53">
        <v>7</v>
      </c>
      <c r="D128" s="38" t="str" cm="1">
        <f t="array" ref="D128">_xlfn.IFNA(INDEX('DMT-M'!C$3:C$57,MATCH(1,(C128='DMT-M'!A$3:A$57)*(B128='DMT-M'!G$3:G$57),0)),"")</f>
        <v/>
      </c>
    </row>
    <row r="129" spans="1:4" hidden="1" x14ac:dyDescent="0.2">
      <c r="A129" s="53" t="str">
        <f t="shared" si="4"/>
        <v/>
      </c>
      <c r="B129" s="53" t="s">
        <v>19</v>
      </c>
      <c r="C129" s="53">
        <v>8</v>
      </c>
      <c r="D129" s="38" t="str" cm="1">
        <f t="array" ref="D129">_xlfn.IFNA(INDEX('DMT-M'!C$3:C$57,MATCH(1,(C129='DMT-M'!A$3:A$57)*(B129='DMT-M'!G$3:G$57),0)),"")</f>
        <v/>
      </c>
    </row>
    <row r="130" spans="1:4" hidden="1" x14ac:dyDescent="0.2">
      <c r="A130" s="54" t="str">
        <f>IF(D130="","","DMT-W")</f>
        <v/>
      </c>
      <c r="B130" s="57" t="s">
        <v>17</v>
      </c>
      <c r="C130" s="54">
        <v>1</v>
      </c>
      <c r="D130" s="39" t="str" cm="1">
        <f t="array" ref="D130">_xlfn.IFNA(INDEX('DMT-W'!C$3:C$67,MATCH(1,(C130='DMT-W'!A$3:A$67)*(B130='DMT-W'!G$3:G$67),0)),"")</f>
        <v/>
      </c>
    </row>
    <row r="131" spans="1:4" hidden="1" x14ac:dyDescent="0.2">
      <c r="A131" s="54" t="str">
        <f t="shared" ref="A131:A161" si="5">IF(D131="","","DMT-W")</f>
        <v/>
      </c>
      <c r="B131" s="57" t="s">
        <v>17</v>
      </c>
      <c r="C131" s="54">
        <v>2</v>
      </c>
      <c r="D131" s="39" t="str" cm="1">
        <f t="array" ref="D131">_xlfn.IFNA(INDEX('DMT-W'!C$3:C$67,MATCH(1,(C131='DMT-W'!A$3:A$67)*(B131='DMT-W'!G$3:G$67),0)),"")</f>
        <v/>
      </c>
    </row>
    <row r="132" spans="1:4" hidden="1" x14ac:dyDescent="0.2">
      <c r="A132" s="54" t="str">
        <f t="shared" si="5"/>
        <v/>
      </c>
      <c r="B132" s="57" t="s">
        <v>17</v>
      </c>
      <c r="C132" s="54">
        <v>3</v>
      </c>
      <c r="D132" s="39" t="str" cm="1">
        <f t="array" ref="D132">_xlfn.IFNA(INDEX('DMT-W'!C$3:C$67,MATCH(1,(C132='DMT-W'!A$3:A$67)*(B132='DMT-W'!G$3:G$67),0)),"")</f>
        <v/>
      </c>
    </row>
    <row r="133" spans="1:4" hidden="1" x14ac:dyDescent="0.2">
      <c r="A133" s="54" t="str">
        <f t="shared" si="5"/>
        <v/>
      </c>
      <c r="B133" s="57" t="s">
        <v>17</v>
      </c>
      <c r="C133" s="54">
        <v>4</v>
      </c>
      <c r="D133" s="39" t="str" cm="1">
        <f t="array" ref="D133">_xlfn.IFNA(INDEX('DMT-W'!C$3:C$67,MATCH(1,(C133='DMT-W'!A$3:A$67)*(B133='DMT-W'!G$3:G$67),0)),"")</f>
        <v/>
      </c>
    </row>
    <row r="134" spans="1:4" hidden="1" x14ac:dyDescent="0.2">
      <c r="A134" s="54" t="str">
        <f t="shared" si="5"/>
        <v/>
      </c>
      <c r="B134" s="57" t="s">
        <v>17</v>
      </c>
      <c r="C134" s="54">
        <v>5</v>
      </c>
      <c r="D134" s="39" t="str" cm="1">
        <f t="array" ref="D134">_xlfn.IFNA(INDEX('DMT-W'!C$3:C$67,MATCH(1,(C134='DMT-W'!A$3:A$67)*(B134='DMT-W'!G$3:G$67),0)),"")</f>
        <v/>
      </c>
    </row>
    <row r="135" spans="1:4" hidden="1" x14ac:dyDescent="0.2">
      <c r="A135" s="54" t="str">
        <f t="shared" si="5"/>
        <v/>
      </c>
      <c r="B135" s="57" t="s">
        <v>17</v>
      </c>
      <c r="C135" s="54">
        <v>6</v>
      </c>
      <c r="D135" s="39" t="str" cm="1">
        <f t="array" ref="D135">_xlfn.IFNA(INDEX('DMT-W'!C$3:C$67,MATCH(1,(C135='DMT-W'!A$3:A$67)*(B135='DMT-W'!G$3:G$67),0)),"")</f>
        <v/>
      </c>
    </row>
    <row r="136" spans="1:4" hidden="1" x14ac:dyDescent="0.2">
      <c r="A136" s="54" t="str">
        <f t="shared" si="5"/>
        <v/>
      </c>
      <c r="B136" s="57" t="s">
        <v>17</v>
      </c>
      <c r="C136" s="54">
        <v>7</v>
      </c>
      <c r="D136" s="39" t="str" cm="1">
        <f t="array" ref="D136">_xlfn.IFNA(INDEX('DMT-W'!C$3:C$67,MATCH(1,(C136='DMT-W'!A$3:A$67)*(B136='DMT-W'!G$3:G$67),0)),"")</f>
        <v/>
      </c>
    </row>
    <row r="137" spans="1:4" hidden="1" x14ac:dyDescent="0.2">
      <c r="A137" s="54" t="str">
        <f t="shared" si="5"/>
        <v/>
      </c>
      <c r="B137" s="57" t="s">
        <v>17</v>
      </c>
      <c r="C137" s="54">
        <v>8</v>
      </c>
      <c r="D137" s="39" t="str" cm="1">
        <f t="array" ref="D137">_xlfn.IFNA(INDEX('DMT-W'!C$3:C$67,MATCH(1,(C137='DMT-W'!A$3:A$67)*(B137='DMT-W'!G$3:G$67),0)),"")</f>
        <v/>
      </c>
    </row>
    <row r="138" spans="1:4" hidden="1" x14ac:dyDescent="0.2">
      <c r="A138" s="54" t="str">
        <f t="shared" si="5"/>
        <v/>
      </c>
      <c r="B138" s="54" t="s">
        <v>16</v>
      </c>
      <c r="C138" s="54">
        <v>1</v>
      </c>
      <c r="D138" s="39" t="str" cm="1">
        <f t="array" ref="D138">_xlfn.IFNA(INDEX('DMT-W'!C$3:C$67,MATCH(1,(C138='DMT-W'!A$3:A$67)*(B138='DMT-W'!G$3:G$67),0)),"")</f>
        <v/>
      </c>
    </row>
    <row r="139" spans="1:4" hidden="1" x14ac:dyDescent="0.2">
      <c r="A139" s="54" t="str">
        <f t="shared" si="5"/>
        <v/>
      </c>
      <c r="B139" s="54" t="s">
        <v>16</v>
      </c>
      <c r="C139" s="54">
        <v>2</v>
      </c>
      <c r="D139" s="39" t="str" cm="1">
        <f t="array" ref="D139">_xlfn.IFNA(INDEX('DMT-W'!C$3:C$67,MATCH(1,(C139='DMT-W'!A$3:A$67)*(B139='DMT-W'!G$3:G$67),0)),"")</f>
        <v/>
      </c>
    </row>
    <row r="140" spans="1:4" hidden="1" x14ac:dyDescent="0.2">
      <c r="A140" s="54" t="str">
        <f t="shared" si="5"/>
        <v/>
      </c>
      <c r="B140" s="54" t="s">
        <v>16</v>
      </c>
      <c r="C140" s="54">
        <v>3</v>
      </c>
      <c r="D140" s="39" t="str" cm="1">
        <f t="array" ref="D140">_xlfn.IFNA(INDEX('DMT-W'!C$3:C$67,MATCH(1,(C140='DMT-W'!A$3:A$67)*(B140='DMT-W'!G$3:G$67),0)),"")</f>
        <v/>
      </c>
    </row>
    <row r="141" spans="1:4" hidden="1" x14ac:dyDescent="0.2">
      <c r="A141" s="54" t="str">
        <f t="shared" si="5"/>
        <v/>
      </c>
      <c r="B141" s="54" t="s">
        <v>16</v>
      </c>
      <c r="C141" s="54">
        <v>4</v>
      </c>
      <c r="D141" s="39" t="str" cm="1">
        <f t="array" ref="D141">_xlfn.IFNA(INDEX('DMT-W'!C$3:C$67,MATCH(1,(C141='DMT-W'!A$3:A$67)*(B141='DMT-W'!G$3:G$67),0)),"")</f>
        <v/>
      </c>
    </row>
    <row r="142" spans="1:4" hidden="1" x14ac:dyDescent="0.2">
      <c r="A142" s="54" t="str">
        <f t="shared" si="5"/>
        <v/>
      </c>
      <c r="B142" s="54" t="s">
        <v>16</v>
      </c>
      <c r="C142" s="54">
        <v>5</v>
      </c>
      <c r="D142" s="39" t="str" cm="1">
        <f t="array" ref="D142">_xlfn.IFNA(INDEX('DMT-W'!C$3:C$67,MATCH(1,(C142='DMT-W'!A$3:A$67)*(B142='DMT-W'!G$3:G$67),0)),"")</f>
        <v/>
      </c>
    </row>
    <row r="143" spans="1:4" hidden="1" x14ac:dyDescent="0.2">
      <c r="A143" s="54" t="str">
        <f t="shared" si="5"/>
        <v/>
      </c>
      <c r="B143" s="54" t="s">
        <v>16</v>
      </c>
      <c r="C143" s="54">
        <v>6</v>
      </c>
      <c r="D143" s="39" t="str" cm="1">
        <f t="array" ref="D143">_xlfn.IFNA(INDEX('DMT-W'!C$3:C$67,MATCH(1,(C143='DMT-W'!A$3:A$67)*(B143='DMT-W'!G$3:G$67),0)),"")</f>
        <v/>
      </c>
    </row>
    <row r="144" spans="1:4" hidden="1" x14ac:dyDescent="0.2">
      <c r="A144" s="54" t="str">
        <f t="shared" si="5"/>
        <v/>
      </c>
      <c r="B144" s="54" t="s">
        <v>16</v>
      </c>
      <c r="C144" s="54">
        <v>7</v>
      </c>
      <c r="D144" s="39" t="str" cm="1">
        <f t="array" ref="D144">_xlfn.IFNA(INDEX('DMT-W'!C$3:C$67,MATCH(1,(C144='DMT-W'!A$3:A$67)*(B144='DMT-W'!G$3:G$67),0)),"")</f>
        <v/>
      </c>
    </row>
    <row r="145" spans="1:4" hidden="1" x14ac:dyDescent="0.2">
      <c r="A145" s="54" t="str">
        <f t="shared" si="5"/>
        <v/>
      </c>
      <c r="B145" s="54" t="s">
        <v>16</v>
      </c>
      <c r="C145" s="54">
        <v>8</v>
      </c>
      <c r="D145" s="39" t="str" cm="1">
        <f t="array" ref="D145">_xlfn.IFNA(INDEX('DMT-W'!C$3:C$67,MATCH(1,(C145='DMT-W'!A$3:A$67)*(B145='DMT-W'!G$3:G$67),0)),"")</f>
        <v/>
      </c>
    </row>
    <row r="146" spans="1:4" hidden="1" x14ac:dyDescent="0.2">
      <c r="A146" s="54" t="str">
        <f t="shared" si="5"/>
        <v/>
      </c>
      <c r="B146" s="54" t="s">
        <v>18</v>
      </c>
      <c r="C146" s="54">
        <v>1</v>
      </c>
      <c r="D146" s="39" t="str" cm="1">
        <f t="array" ref="D146">_xlfn.IFNA(INDEX('DMT-W'!C$3:C$67,MATCH(1,(C146='DMT-W'!A$3:A$67)*(B146='DMT-W'!G$3:G$67),0)),"")</f>
        <v/>
      </c>
    </row>
    <row r="147" spans="1:4" hidden="1" x14ac:dyDescent="0.2">
      <c r="A147" s="54" t="str">
        <f t="shared" si="5"/>
        <v/>
      </c>
      <c r="B147" s="54" t="s">
        <v>18</v>
      </c>
      <c r="C147" s="54">
        <v>2</v>
      </c>
      <c r="D147" s="39" t="str" cm="1">
        <f t="array" ref="D147">_xlfn.IFNA(INDEX('DMT-W'!C$3:C$67,MATCH(1,(C147='DMT-W'!A$3:A$67)*(B147='DMT-W'!G$3:G$67),0)),"")</f>
        <v/>
      </c>
    </row>
    <row r="148" spans="1:4" hidden="1" x14ac:dyDescent="0.2">
      <c r="A148" s="54" t="str">
        <f t="shared" si="5"/>
        <v/>
      </c>
      <c r="B148" s="54" t="s">
        <v>18</v>
      </c>
      <c r="C148" s="54">
        <v>3</v>
      </c>
      <c r="D148" s="39" t="str" cm="1">
        <f t="array" ref="D148">_xlfn.IFNA(INDEX('DMT-W'!C$3:C$67,MATCH(1,(C148='DMT-W'!A$3:A$67)*(B148='DMT-W'!G$3:G$67),0)),"")</f>
        <v/>
      </c>
    </row>
    <row r="149" spans="1:4" hidden="1" x14ac:dyDescent="0.2">
      <c r="A149" s="54" t="str">
        <f t="shared" si="5"/>
        <v/>
      </c>
      <c r="B149" s="54" t="s">
        <v>18</v>
      </c>
      <c r="C149" s="54">
        <v>4</v>
      </c>
      <c r="D149" s="39" t="str" cm="1">
        <f t="array" ref="D149">_xlfn.IFNA(INDEX('DMT-W'!C$3:C$67,MATCH(1,(C149='DMT-W'!A$3:A$67)*(B149='DMT-W'!G$3:G$67),0)),"")</f>
        <v/>
      </c>
    </row>
    <row r="150" spans="1:4" hidden="1" x14ac:dyDescent="0.2">
      <c r="A150" s="54" t="str">
        <f t="shared" si="5"/>
        <v/>
      </c>
      <c r="B150" s="54" t="s">
        <v>18</v>
      </c>
      <c r="C150" s="54">
        <v>5</v>
      </c>
      <c r="D150" s="39" t="str" cm="1">
        <f t="array" ref="D150">_xlfn.IFNA(INDEX('DMT-W'!C$3:C$67,MATCH(1,(C150='DMT-W'!A$3:A$67)*(B150='DMT-W'!G$3:G$67),0)),"")</f>
        <v/>
      </c>
    </row>
    <row r="151" spans="1:4" hidden="1" x14ac:dyDescent="0.2">
      <c r="A151" s="54" t="str">
        <f t="shared" si="5"/>
        <v/>
      </c>
      <c r="B151" s="54" t="s">
        <v>18</v>
      </c>
      <c r="C151" s="54">
        <v>6</v>
      </c>
      <c r="D151" s="39" t="str" cm="1">
        <f t="array" ref="D151">_xlfn.IFNA(INDEX('DMT-W'!C$3:C$67,MATCH(1,(C151='DMT-W'!A$3:A$67)*(B151='DMT-W'!G$3:G$67),0)),"")</f>
        <v/>
      </c>
    </row>
    <row r="152" spans="1:4" hidden="1" x14ac:dyDescent="0.2">
      <c r="A152" s="54" t="str">
        <f t="shared" si="5"/>
        <v/>
      </c>
      <c r="B152" s="54" t="s">
        <v>18</v>
      </c>
      <c r="C152" s="54">
        <v>7</v>
      </c>
      <c r="D152" s="39" t="str" cm="1">
        <f t="array" ref="D152">_xlfn.IFNA(INDEX('DMT-W'!C$3:C$67,MATCH(1,(C152='DMT-W'!A$3:A$67)*(B152='DMT-W'!G$3:G$67),0)),"")</f>
        <v/>
      </c>
    </row>
    <row r="153" spans="1:4" hidden="1" x14ac:dyDescent="0.2">
      <c r="A153" s="54" t="str">
        <f t="shared" si="5"/>
        <v/>
      </c>
      <c r="B153" s="54" t="s">
        <v>18</v>
      </c>
      <c r="C153" s="54">
        <v>8</v>
      </c>
      <c r="D153" s="39" t="str" cm="1">
        <f t="array" ref="D153">_xlfn.IFNA(INDEX('DMT-W'!C$3:C$67,MATCH(1,(C153='DMT-W'!A$3:A$67)*(B153='DMT-W'!G$3:G$67),0)),"")</f>
        <v/>
      </c>
    </row>
    <row r="154" spans="1:4" hidden="1" x14ac:dyDescent="0.2">
      <c r="A154" s="54" t="str">
        <f t="shared" si="5"/>
        <v/>
      </c>
      <c r="B154" s="54" t="s">
        <v>19</v>
      </c>
      <c r="C154" s="54">
        <v>1</v>
      </c>
      <c r="D154" s="39" t="str" cm="1">
        <f t="array" ref="D154">_xlfn.IFNA(INDEX('DMT-W'!C$3:C$67,MATCH(1,(C154='DMT-W'!A$3:A$67)*(B154='DMT-W'!G$3:G$67),0)),"")</f>
        <v/>
      </c>
    </row>
    <row r="155" spans="1:4" hidden="1" x14ac:dyDescent="0.2">
      <c r="A155" s="54" t="str">
        <f t="shared" si="5"/>
        <v/>
      </c>
      <c r="B155" s="54" t="s">
        <v>19</v>
      </c>
      <c r="C155" s="54">
        <v>2</v>
      </c>
      <c r="D155" s="39" t="str" cm="1">
        <f t="array" ref="D155">_xlfn.IFNA(INDEX('DMT-W'!C$3:C$67,MATCH(1,(C155='DMT-W'!A$3:A$67)*(B155='DMT-W'!G$3:G$67),0)),"")</f>
        <v/>
      </c>
    </row>
    <row r="156" spans="1:4" hidden="1" x14ac:dyDescent="0.2">
      <c r="A156" s="54" t="str">
        <f t="shared" si="5"/>
        <v/>
      </c>
      <c r="B156" s="54" t="s">
        <v>19</v>
      </c>
      <c r="C156" s="54">
        <v>3</v>
      </c>
      <c r="D156" s="39" t="str" cm="1">
        <f t="array" ref="D156">_xlfn.IFNA(INDEX('DMT-W'!C$3:C$67,MATCH(1,(C156='DMT-W'!A$3:A$67)*(B156='DMT-W'!G$3:G$67),0)),"")</f>
        <v/>
      </c>
    </row>
    <row r="157" spans="1:4" hidden="1" x14ac:dyDescent="0.2">
      <c r="A157" s="54" t="str">
        <f t="shared" si="5"/>
        <v/>
      </c>
      <c r="B157" s="54" t="s">
        <v>19</v>
      </c>
      <c r="C157" s="54">
        <v>4</v>
      </c>
      <c r="D157" s="39" t="str" cm="1">
        <f t="array" ref="D157">_xlfn.IFNA(INDEX('DMT-W'!C$3:C$67,MATCH(1,(C157='DMT-W'!A$3:A$67)*(B157='DMT-W'!G$3:G$67),0)),"")</f>
        <v/>
      </c>
    </row>
    <row r="158" spans="1:4" hidden="1" x14ac:dyDescent="0.2">
      <c r="A158" s="54" t="str">
        <f t="shared" si="5"/>
        <v/>
      </c>
      <c r="B158" s="54" t="s">
        <v>19</v>
      </c>
      <c r="C158" s="54">
        <v>5</v>
      </c>
      <c r="D158" s="39" t="str" cm="1">
        <f t="array" ref="D158">_xlfn.IFNA(INDEX('DMT-W'!C$3:C$67,MATCH(1,(C158='DMT-W'!A$3:A$67)*(B158='DMT-W'!G$3:G$67),0)),"")</f>
        <v/>
      </c>
    </row>
    <row r="159" spans="1:4" hidden="1" x14ac:dyDescent="0.2">
      <c r="A159" s="54" t="str">
        <f t="shared" si="5"/>
        <v/>
      </c>
      <c r="B159" s="54" t="s">
        <v>19</v>
      </c>
      <c r="C159" s="54">
        <v>6</v>
      </c>
      <c r="D159" s="39" t="str" cm="1">
        <f t="array" ref="D159">_xlfn.IFNA(INDEX('DMT-W'!C$3:C$67,MATCH(1,(C159='DMT-W'!A$3:A$67)*(B159='DMT-W'!G$3:G$67),0)),"")</f>
        <v/>
      </c>
    </row>
    <row r="160" spans="1:4" hidden="1" x14ac:dyDescent="0.2">
      <c r="A160" s="54" t="str">
        <f t="shared" si="5"/>
        <v/>
      </c>
      <c r="B160" s="54" t="s">
        <v>19</v>
      </c>
      <c r="C160" s="54">
        <v>7</v>
      </c>
      <c r="D160" s="39" t="str" cm="1">
        <f t="array" ref="D160">_xlfn.IFNA(INDEX('DMT-W'!C$3:C$67,MATCH(1,(C160='DMT-W'!A$3:A$67)*(B160='DMT-W'!G$3:G$67),0)),"")</f>
        <v/>
      </c>
    </row>
    <row r="161" spans="1:4" hidden="1" x14ac:dyDescent="0.2">
      <c r="A161" s="54" t="str">
        <f t="shared" si="5"/>
        <v/>
      </c>
      <c r="B161" s="54" t="s">
        <v>19</v>
      </c>
      <c r="C161" s="54">
        <v>8</v>
      </c>
      <c r="D161" s="39" t="str" cm="1">
        <f t="array" ref="D161">_xlfn.IFNA(INDEX('DMT-W'!C$3:C$67,MATCH(1,(C161='DMT-W'!A$3:A$67)*(B161='DMT-W'!G$3:G$67),0)),"")</f>
        <v/>
      </c>
    </row>
    <row r="162" spans="1:4" hidden="1" x14ac:dyDescent="0.2">
      <c r="A162" s="53" t="str">
        <f>IF(D162="","","TUM-M")</f>
        <v/>
      </c>
      <c r="B162" s="56" t="s">
        <v>17</v>
      </c>
      <c r="C162" s="53">
        <v>1</v>
      </c>
      <c r="D162" s="38" t="str" cm="1">
        <f t="array" ref="D162">_xlfn.IFNA(INDEX('TUM-M'!C$3:C$26,MATCH(1,(C162='TUM-M'!A$3:A$26)*(B162='TUM-M'!G$3:G$26),0)),"")</f>
        <v/>
      </c>
    </row>
    <row r="163" spans="1:4" hidden="1" x14ac:dyDescent="0.2">
      <c r="A163" s="53" t="str">
        <f t="shared" ref="A163:A193" si="6">IF(D163="","","TUM-M")</f>
        <v/>
      </c>
      <c r="B163" s="56" t="s">
        <v>17</v>
      </c>
      <c r="C163" s="53">
        <v>2</v>
      </c>
      <c r="D163" s="38" t="str" cm="1">
        <f t="array" ref="D163">_xlfn.IFNA(INDEX('TUM-M'!C$3:C$26,MATCH(1,(C163='TUM-M'!A$3:A$26)*(B163='TUM-M'!G$3:G$26),0)),"")</f>
        <v/>
      </c>
    </row>
    <row r="164" spans="1:4" hidden="1" x14ac:dyDescent="0.2">
      <c r="A164" s="53" t="str">
        <f t="shared" si="6"/>
        <v/>
      </c>
      <c r="B164" s="56" t="s">
        <v>17</v>
      </c>
      <c r="C164" s="53">
        <v>3</v>
      </c>
      <c r="D164" s="38" t="str" cm="1">
        <f t="array" ref="D164">_xlfn.IFNA(INDEX('TUM-M'!C$3:C$26,MATCH(1,(C164='TUM-M'!A$3:A$26)*(B164='TUM-M'!G$3:G$26),0)),"")</f>
        <v/>
      </c>
    </row>
    <row r="165" spans="1:4" hidden="1" x14ac:dyDescent="0.2">
      <c r="A165" s="53" t="str">
        <f t="shared" si="6"/>
        <v/>
      </c>
      <c r="B165" s="56" t="s">
        <v>17</v>
      </c>
      <c r="C165" s="53">
        <v>4</v>
      </c>
      <c r="D165" s="38" t="str" cm="1">
        <f t="array" ref="D165">_xlfn.IFNA(INDEX('TUM-M'!C$3:C$26,MATCH(1,(C165='TUM-M'!A$3:A$26)*(B165='TUM-M'!G$3:G$26),0)),"")</f>
        <v/>
      </c>
    </row>
    <row r="166" spans="1:4" hidden="1" x14ac:dyDescent="0.2">
      <c r="A166" s="53" t="str">
        <f t="shared" si="6"/>
        <v/>
      </c>
      <c r="B166" s="56" t="s">
        <v>17</v>
      </c>
      <c r="C166" s="53">
        <v>5</v>
      </c>
      <c r="D166" s="38" t="str" cm="1">
        <f t="array" ref="D166">_xlfn.IFNA(INDEX('TUM-M'!C$3:C$26,MATCH(1,(C166='TUM-M'!A$3:A$26)*(B166='TUM-M'!G$3:G$26),0)),"")</f>
        <v/>
      </c>
    </row>
    <row r="167" spans="1:4" hidden="1" x14ac:dyDescent="0.2">
      <c r="A167" s="53" t="str">
        <f t="shared" si="6"/>
        <v/>
      </c>
      <c r="B167" s="56" t="s">
        <v>17</v>
      </c>
      <c r="C167" s="53">
        <v>6</v>
      </c>
      <c r="D167" s="38" t="str" cm="1">
        <f t="array" ref="D167">_xlfn.IFNA(INDEX('TUM-M'!C$3:C$26,MATCH(1,(C167='TUM-M'!A$3:A$26)*(B167='TUM-M'!G$3:G$26),0)),"")</f>
        <v/>
      </c>
    </row>
    <row r="168" spans="1:4" hidden="1" x14ac:dyDescent="0.2">
      <c r="A168" s="53" t="str">
        <f t="shared" si="6"/>
        <v/>
      </c>
      <c r="B168" s="56" t="s">
        <v>17</v>
      </c>
      <c r="C168" s="53">
        <v>7</v>
      </c>
      <c r="D168" s="38" t="str" cm="1">
        <f t="array" ref="D168">_xlfn.IFNA(INDEX('TUM-M'!C$3:C$26,MATCH(1,(C168='TUM-M'!A$3:A$26)*(B168='TUM-M'!G$3:G$26),0)),"")</f>
        <v/>
      </c>
    </row>
    <row r="169" spans="1:4" hidden="1" x14ac:dyDescent="0.2">
      <c r="A169" s="53" t="str">
        <f t="shared" si="6"/>
        <v/>
      </c>
      <c r="B169" s="56" t="s">
        <v>17</v>
      </c>
      <c r="C169" s="53">
        <v>8</v>
      </c>
      <c r="D169" s="38" t="str" cm="1">
        <f t="array" ref="D169">_xlfn.IFNA(INDEX('TUM-M'!C$3:C$26,MATCH(1,(C169='TUM-M'!A$3:A$26)*(B169='TUM-M'!G$3:G$26),0)),"")</f>
        <v/>
      </c>
    </row>
    <row r="170" spans="1:4" hidden="1" x14ac:dyDescent="0.2">
      <c r="A170" s="53" t="str">
        <f t="shared" si="6"/>
        <v/>
      </c>
      <c r="B170" s="53" t="s">
        <v>16</v>
      </c>
      <c r="C170" s="53">
        <v>1</v>
      </c>
      <c r="D170" s="38" t="str" cm="1">
        <f t="array" ref="D170">_xlfn.IFNA(INDEX('TUM-M'!C$3:C$26,MATCH(1,(C170='TUM-M'!A$3:A$26)*(B170='TUM-M'!G$3:G$26),0)),"")</f>
        <v/>
      </c>
    </row>
    <row r="171" spans="1:4" hidden="1" x14ac:dyDescent="0.2">
      <c r="A171" s="53" t="str">
        <f t="shared" si="6"/>
        <v/>
      </c>
      <c r="B171" s="53" t="s">
        <v>16</v>
      </c>
      <c r="C171" s="53">
        <v>2</v>
      </c>
      <c r="D171" s="38" t="str" cm="1">
        <f t="array" ref="D171">_xlfn.IFNA(INDEX('TUM-M'!C$3:C$26,MATCH(1,(C171='TUM-M'!A$3:A$26)*(B171='TUM-M'!G$3:G$26),0)),"")</f>
        <v/>
      </c>
    </row>
    <row r="172" spans="1:4" hidden="1" x14ac:dyDescent="0.2">
      <c r="A172" s="53" t="str">
        <f t="shared" si="6"/>
        <v/>
      </c>
      <c r="B172" s="53" t="s">
        <v>16</v>
      </c>
      <c r="C172" s="53">
        <v>3</v>
      </c>
      <c r="D172" s="38" t="str" cm="1">
        <f t="array" ref="D172">_xlfn.IFNA(INDEX('TUM-M'!C$3:C$26,MATCH(1,(C172='TUM-M'!A$3:A$26)*(B172='TUM-M'!G$3:G$26),0)),"")</f>
        <v/>
      </c>
    </row>
    <row r="173" spans="1:4" hidden="1" x14ac:dyDescent="0.2">
      <c r="A173" s="53" t="str">
        <f t="shared" si="6"/>
        <v/>
      </c>
      <c r="B173" s="53" t="s">
        <v>16</v>
      </c>
      <c r="C173" s="53">
        <v>4</v>
      </c>
      <c r="D173" s="38" t="str" cm="1">
        <f t="array" ref="D173">_xlfn.IFNA(INDEX('TUM-M'!C$3:C$26,MATCH(1,(C173='TUM-M'!A$3:A$26)*(B173='TUM-M'!G$3:G$26),0)),"")</f>
        <v/>
      </c>
    </row>
    <row r="174" spans="1:4" hidden="1" x14ac:dyDescent="0.2">
      <c r="A174" s="53" t="str">
        <f t="shared" si="6"/>
        <v/>
      </c>
      <c r="B174" s="53" t="s">
        <v>16</v>
      </c>
      <c r="C174" s="53">
        <v>5</v>
      </c>
      <c r="D174" s="38" t="str" cm="1">
        <f t="array" ref="D174">_xlfn.IFNA(INDEX('TUM-M'!C$3:C$26,MATCH(1,(C174='TUM-M'!A$3:A$26)*(B174='TUM-M'!G$3:G$26),0)),"")</f>
        <v/>
      </c>
    </row>
    <row r="175" spans="1:4" hidden="1" x14ac:dyDescent="0.2">
      <c r="A175" s="53" t="str">
        <f t="shared" si="6"/>
        <v/>
      </c>
      <c r="B175" s="53" t="s">
        <v>16</v>
      </c>
      <c r="C175" s="53">
        <v>6</v>
      </c>
      <c r="D175" s="38" t="str" cm="1">
        <f t="array" ref="D175">_xlfn.IFNA(INDEX('TUM-M'!C$3:C$26,MATCH(1,(C175='TUM-M'!A$3:A$26)*(B175='TUM-M'!G$3:G$26),0)),"")</f>
        <v/>
      </c>
    </row>
    <row r="176" spans="1:4" hidden="1" x14ac:dyDescent="0.2">
      <c r="A176" s="53" t="str">
        <f t="shared" si="6"/>
        <v/>
      </c>
      <c r="B176" s="53" t="s">
        <v>16</v>
      </c>
      <c r="C176" s="53">
        <v>7</v>
      </c>
      <c r="D176" s="38" t="str" cm="1">
        <f t="array" ref="D176">_xlfn.IFNA(INDEX('TUM-M'!C$3:C$26,MATCH(1,(C176='TUM-M'!A$3:A$26)*(B176='TUM-M'!G$3:G$26),0)),"")</f>
        <v/>
      </c>
    </row>
    <row r="177" spans="1:4" hidden="1" x14ac:dyDescent="0.2">
      <c r="A177" s="53" t="str">
        <f t="shared" si="6"/>
        <v/>
      </c>
      <c r="B177" s="53" t="s">
        <v>16</v>
      </c>
      <c r="C177" s="53">
        <v>8</v>
      </c>
      <c r="D177" s="38" t="str" cm="1">
        <f t="array" ref="D177">_xlfn.IFNA(INDEX('TUM-M'!C$3:C$26,MATCH(1,(C177='TUM-M'!A$3:A$26)*(B177='TUM-M'!G$3:G$26),0)),"")</f>
        <v/>
      </c>
    </row>
    <row r="178" spans="1:4" hidden="1" x14ac:dyDescent="0.2">
      <c r="A178" s="53" t="str">
        <f t="shared" si="6"/>
        <v/>
      </c>
      <c r="B178" s="53" t="s">
        <v>18</v>
      </c>
      <c r="C178" s="53">
        <v>1</v>
      </c>
      <c r="D178" s="38" t="str" cm="1">
        <f t="array" ref="D178">_xlfn.IFNA(INDEX('TUM-M'!C$3:C$26,MATCH(1,(C178='TUM-M'!A$3:A$26)*(B178='TUM-M'!G$3:G$26),0)),"")</f>
        <v/>
      </c>
    </row>
    <row r="179" spans="1:4" hidden="1" x14ac:dyDescent="0.2">
      <c r="A179" s="53" t="str">
        <f t="shared" si="6"/>
        <v/>
      </c>
      <c r="B179" s="53" t="s">
        <v>18</v>
      </c>
      <c r="C179" s="53">
        <v>2</v>
      </c>
      <c r="D179" s="38" t="str" cm="1">
        <f t="array" ref="D179">_xlfn.IFNA(INDEX('TUM-M'!C$3:C$26,MATCH(1,(C179='TUM-M'!A$3:A$26)*(B179='TUM-M'!G$3:G$26),0)),"")</f>
        <v/>
      </c>
    </row>
    <row r="180" spans="1:4" hidden="1" x14ac:dyDescent="0.2">
      <c r="A180" s="53" t="str">
        <f t="shared" si="6"/>
        <v/>
      </c>
      <c r="B180" s="53" t="s">
        <v>18</v>
      </c>
      <c r="C180" s="53">
        <v>3</v>
      </c>
      <c r="D180" s="38" t="str" cm="1">
        <f t="array" ref="D180">_xlfn.IFNA(INDEX('TUM-M'!C$3:C$26,MATCH(1,(C180='TUM-M'!A$3:A$26)*(B180='TUM-M'!G$3:G$26),0)),"")</f>
        <v/>
      </c>
    </row>
    <row r="181" spans="1:4" hidden="1" x14ac:dyDescent="0.2">
      <c r="A181" s="53" t="str">
        <f t="shared" si="6"/>
        <v/>
      </c>
      <c r="B181" s="53" t="s">
        <v>18</v>
      </c>
      <c r="C181" s="53">
        <v>4</v>
      </c>
      <c r="D181" s="38" t="str" cm="1">
        <f t="array" ref="D181">_xlfn.IFNA(INDEX('TUM-M'!C$3:C$26,MATCH(1,(C181='TUM-M'!A$3:A$26)*(B181='TUM-M'!G$3:G$26),0)),"")</f>
        <v/>
      </c>
    </row>
    <row r="182" spans="1:4" hidden="1" x14ac:dyDescent="0.2">
      <c r="A182" s="53" t="str">
        <f t="shared" si="6"/>
        <v/>
      </c>
      <c r="B182" s="53" t="s">
        <v>18</v>
      </c>
      <c r="C182" s="53">
        <v>5</v>
      </c>
      <c r="D182" s="38" t="str" cm="1">
        <f t="array" ref="D182">_xlfn.IFNA(INDEX('TUM-M'!C$3:C$26,MATCH(1,(C182='TUM-M'!A$3:A$26)*(B182='TUM-M'!G$3:G$26),0)),"")</f>
        <v/>
      </c>
    </row>
    <row r="183" spans="1:4" hidden="1" x14ac:dyDescent="0.2">
      <c r="A183" s="53" t="str">
        <f t="shared" si="6"/>
        <v/>
      </c>
      <c r="B183" s="53" t="s">
        <v>18</v>
      </c>
      <c r="C183" s="53">
        <v>6</v>
      </c>
      <c r="D183" s="38" t="str" cm="1">
        <f t="array" ref="D183">_xlfn.IFNA(INDEX('TUM-M'!C$3:C$26,MATCH(1,(C183='TUM-M'!A$3:A$26)*(B183='TUM-M'!G$3:G$26),0)),"")</f>
        <v/>
      </c>
    </row>
    <row r="184" spans="1:4" hidden="1" x14ac:dyDescent="0.2">
      <c r="A184" s="53" t="str">
        <f t="shared" si="6"/>
        <v/>
      </c>
      <c r="B184" s="53" t="s">
        <v>18</v>
      </c>
      <c r="C184" s="53">
        <v>7</v>
      </c>
      <c r="D184" s="38" t="str" cm="1">
        <f t="array" ref="D184">_xlfn.IFNA(INDEX('TUM-M'!C$3:C$26,MATCH(1,(C184='TUM-M'!A$3:A$26)*(B184='TUM-M'!G$3:G$26),0)),"")</f>
        <v/>
      </c>
    </row>
    <row r="185" spans="1:4" hidden="1" x14ac:dyDescent="0.2">
      <c r="A185" s="53" t="str">
        <f t="shared" si="6"/>
        <v/>
      </c>
      <c r="B185" s="53" t="s">
        <v>18</v>
      </c>
      <c r="C185" s="53">
        <v>8</v>
      </c>
      <c r="D185" s="38" t="str" cm="1">
        <f t="array" ref="D185">_xlfn.IFNA(INDEX('TUM-M'!C$3:C$26,MATCH(1,(C185='TUM-M'!A$3:A$26)*(B185='TUM-M'!G$3:G$26),0)),"")</f>
        <v/>
      </c>
    </row>
    <row r="186" spans="1:4" hidden="1" x14ac:dyDescent="0.2">
      <c r="A186" s="53" t="str">
        <f t="shared" si="6"/>
        <v/>
      </c>
      <c r="B186" s="53" t="s">
        <v>19</v>
      </c>
      <c r="C186" s="53">
        <v>1</v>
      </c>
      <c r="D186" s="38" t="str" cm="1">
        <f t="array" ref="D186">_xlfn.IFNA(INDEX('TUM-M'!C$3:C$26,MATCH(1,(C186='TUM-M'!A$3:A$26)*(B186='TUM-M'!G$3:G$26),0)),"")</f>
        <v/>
      </c>
    </row>
    <row r="187" spans="1:4" hidden="1" x14ac:dyDescent="0.2">
      <c r="A187" s="53" t="str">
        <f t="shared" si="6"/>
        <v/>
      </c>
      <c r="B187" s="53" t="s">
        <v>19</v>
      </c>
      <c r="C187" s="53">
        <v>2</v>
      </c>
      <c r="D187" s="38" t="str" cm="1">
        <f t="array" ref="D187">_xlfn.IFNA(INDEX('TUM-M'!C$3:C$26,MATCH(1,(C187='TUM-M'!A$3:A$26)*(B187='TUM-M'!G$3:G$26),0)),"")</f>
        <v/>
      </c>
    </row>
    <row r="188" spans="1:4" hidden="1" x14ac:dyDescent="0.2">
      <c r="A188" s="53" t="str">
        <f t="shared" si="6"/>
        <v/>
      </c>
      <c r="B188" s="53" t="s">
        <v>19</v>
      </c>
      <c r="C188" s="53">
        <v>3</v>
      </c>
      <c r="D188" s="38" t="str" cm="1">
        <f t="array" ref="D188">_xlfn.IFNA(INDEX('TUM-M'!C$3:C$26,MATCH(1,(C188='TUM-M'!A$3:A$26)*(B188='TUM-M'!G$3:G$26),0)),"")</f>
        <v/>
      </c>
    </row>
    <row r="189" spans="1:4" hidden="1" x14ac:dyDescent="0.2">
      <c r="A189" s="53" t="str">
        <f t="shared" si="6"/>
        <v/>
      </c>
      <c r="B189" s="53" t="s">
        <v>19</v>
      </c>
      <c r="C189" s="53">
        <v>4</v>
      </c>
      <c r="D189" s="38" t="str" cm="1">
        <f t="array" ref="D189">_xlfn.IFNA(INDEX('TUM-M'!C$3:C$26,MATCH(1,(C189='TUM-M'!A$3:A$26)*(B189='TUM-M'!G$3:G$26),0)),"")</f>
        <v/>
      </c>
    </row>
    <row r="190" spans="1:4" hidden="1" x14ac:dyDescent="0.2">
      <c r="A190" s="53" t="str">
        <f t="shared" si="6"/>
        <v/>
      </c>
      <c r="B190" s="53" t="s">
        <v>19</v>
      </c>
      <c r="C190" s="53">
        <v>5</v>
      </c>
      <c r="D190" s="38" t="str" cm="1">
        <f t="array" ref="D190">_xlfn.IFNA(INDEX('TUM-M'!C$3:C$26,MATCH(1,(C190='TUM-M'!A$3:A$26)*(B190='TUM-M'!G$3:G$26),0)),"")</f>
        <v/>
      </c>
    </row>
    <row r="191" spans="1:4" hidden="1" x14ac:dyDescent="0.2">
      <c r="A191" s="53" t="str">
        <f t="shared" si="6"/>
        <v/>
      </c>
      <c r="B191" s="53" t="s">
        <v>19</v>
      </c>
      <c r="C191" s="53">
        <v>6</v>
      </c>
      <c r="D191" s="38" t="str" cm="1">
        <f t="array" ref="D191">_xlfn.IFNA(INDEX('TUM-M'!C$3:C$26,MATCH(1,(C191='TUM-M'!A$3:A$26)*(B191='TUM-M'!G$3:G$26),0)),"")</f>
        <v/>
      </c>
    </row>
    <row r="192" spans="1:4" hidden="1" x14ac:dyDescent="0.2">
      <c r="A192" s="53" t="str">
        <f t="shared" si="6"/>
        <v/>
      </c>
      <c r="B192" s="53" t="s">
        <v>19</v>
      </c>
      <c r="C192" s="53">
        <v>7</v>
      </c>
      <c r="D192" s="38" t="str" cm="1">
        <f t="array" ref="D192">_xlfn.IFNA(INDEX('TUM-M'!C$3:C$26,MATCH(1,(C192='TUM-M'!A$3:A$26)*(B192='TUM-M'!G$3:G$26),0)),"")</f>
        <v/>
      </c>
    </row>
    <row r="193" spans="1:4" hidden="1" x14ac:dyDescent="0.2">
      <c r="A193" s="53" t="str">
        <f t="shared" si="6"/>
        <v/>
      </c>
      <c r="B193" s="53" t="s">
        <v>19</v>
      </c>
      <c r="C193" s="53">
        <v>8</v>
      </c>
      <c r="D193" s="38" t="str" cm="1">
        <f t="array" ref="D193">_xlfn.IFNA(INDEX('TUM-M'!C$3:C$26,MATCH(1,(C193='TUM-M'!A$3:A$26)*(B193='TUM-M'!G$3:G$26),0)),"")</f>
        <v/>
      </c>
    </row>
    <row r="194" spans="1:4" hidden="1" x14ac:dyDescent="0.2">
      <c r="A194" s="54" t="str">
        <f>IF(D194="","","TUM-W")</f>
        <v/>
      </c>
      <c r="B194" s="57" t="s">
        <v>17</v>
      </c>
      <c r="C194" s="54">
        <v>1</v>
      </c>
      <c r="D194" s="39" t="str" cm="1">
        <f t="array" ref="D194">_xlfn.IFNA(INDEX('TUM-W'!C$3:C$54,MATCH(1,(C194='TUM-W'!A$3:A$54)*(B194='TUM-W'!G$3:G$54),0)),"")</f>
        <v/>
      </c>
    </row>
    <row r="195" spans="1:4" hidden="1" x14ac:dyDescent="0.2">
      <c r="A195" s="54" t="str">
        <f t="shared" ref="A195:A225" si="7">IF(D195="","","TUM-W")</f>
        <v/>
      </c>
      <c r="B195" s="57" t="s">
        <v>17</v>
      </c>
      <c r="C195" s="54">
        <v>2</v>
      </c>
      <c r="D195" s="39" t="str" cm="1">
        <f t="array" ref="D195">_xlfn.IFNA(INDEX('TUM-W'!C$3:C$54,MATCH(1,(C195='TUM-W'!A$3:A$54)*(B195='TUM-W'!G$3:G$54),0)),"")</f>
        <v/>
      </c>
    </row>
    <row r="196" spans="1:4" hidden="1" x14ac:dyDescent="0.2">
      <c r="A196" s="54" t="str">
        <f t="shared" si="7"/>
        <v/>
      </c>
      <c r="B196" s="57" t="s">
        <v>17</v>
      </c>
      <c r="C196" s="54">
        <v>3</v>
      </c>
      <c r="D196" s="39" t="str" cm="1">
        <f t="array" ref="D196">_xlfn.IFNA(INDEX('TUM-W'!C$3:C$54,MATCH(1,(C196='TUM-W'!A$3:A$54)*(B196='TUM-W'!G$3:G$54),0)),"")</f>
        <v/>
      </c>
    </row>
    <row r="197" spans="1:4" hidden="1" x14ac:dyDescent="0.2">
      <c r="A197" s="54" t="str">
        <f t="shared" si="7"/>
        <v/>
      </c>
      <c r="B197" s="57" t="s">
        <v>17</v>
      </c>
      <c r="C197" s="54">
        <v>4</v>
      </c>
      <c r="D197" s="39" t="str" cm="1">
        <f t="array" ref="D197">_xlfn.IFNA(INDEX('TUM-W'!C$3:C$54,MATCH(1,(C197='TUM-W'!A$3:A$54)*(B197='TUM-W'!G$3:G$54),0)),"")</f>
        <v/>
      </c>
    </row>
    <row r="198" spans="1:4" hidden="1" x14ac:dyDescent="0.2">
      <c r="A198" s="54" t="str">
        <f t="shared" si="7"/>
        <v/>
      </c>
      <c r="B198" s="57" t="s">
        <v>17</v>
      </c>
      <c r="C198" s="54">
        <v>5</v>
      </c>
      <c r="D198" s="39" t="str" cm="1">
        <f t="array" ref="D198">_xlfn.IFNA(INDEX('TUM-W'!C$3:C$54,MATCH(1,(C198='TUM-W'!A$3:A$54)*(B198='TUM-W'!G$3:G$54),0)),"")</f>
        <v/>
      </c>
    </row>
    <row r="199" spans="1:4" hidden="1" x14ac:dyDescent="0.2">
      <c r="A199" s="54" t="str">
        <f t="shared" si="7"/>
        <v/>
      </c>
      <c r="B199" s="57" t="s">
        <v>17</v>
      </c>
      <c r="C199" s="54">
        <v>6</v>
      </c>
      <c r="D199" s="39" t="str" cm="1">
        <f t="array" ref="D199">_xlfn.IFNA(INDEX('TUM-W'!C$3:C$54,MATCH(1,(C199='TUM-W'!A$3:A$54)*(B199='TUM-W'!G$3:G$54),0)),"")</f>
        <v/>
      </c>
    </row>
    <row r="200" spans="1:4" hidden="1" x14ac:dyDescent="0.2">
      <c r="A200" s="54" t="str">
        <f t="shared" si="7"/>
        <v/>
      </c>
      <c r="B200" s="57" t="s">
        <v>17</v>
      </c>
      <c r="C200" s="54">
        <v>7</v>
      </c>
      <c r="D200" s="39" t="str" cm="1">
        <f t="array" ref="D200">_xlfn.IFNA(INDEX('TUM-W'!C$3:C$54,MATCH(1,(C200='TUM-W'!A$3:A$54)*(B200='TUM-W'!G$3:G$54),0)),"")</f>
        <v/>
      </c>
    </row>
    <row r="201" spans="1:4" hidden="1" x14ac:dyDescent="0.2">
      <c r="A201" s="54" t="str">
        <f t="shared" si="7"/>
        <v/>
      </c>
      <c r="B201" s="57" t="s">
        <v>17</v>
      </c>
      <c r="C201" s="54">
        <v>8</v>
      </c>
      <c r="D201" s="39" t="str" cm="1">
        <f t="array" ref="D201">_xlfn.IFNA(INDEX('TUM-W'!C$3:C$54,MATCH(1,(C201='TUM-W'!A$3:A$54)*(B201='TUM-W'!G$3:G$54),0)),"")</f>
        <v/>
      </c>
    </row>
    <row r="202" spans="1:4" hidden="1" x14ac:dyDescent="0.2">
      <c r="A202" s="54" t="str">
        <f t="shared" si="7"/>
        <v/>
      </c>
      <c r="B202" s="54" t="s">
        <v>16</v>
      </c>
      <c r="C202" s="54">
        <v>1</v>
      </c>
      <c r="D202" s="39" t="str" cm="1">
        <f t="array" ref="D202">_xlfn.IFNA(INDEX('TUM-W'!C$3:C$54,MATCH(1,(C202='TUM-W'!A$3:A$54)*(B202='TUM-W'!G$3:G$54),0)),"")</f>
        <v/>
      </c>
    </row>
    <row r="203" spans="1:4" hidden="1" x14ac:dyDescent="0.2">
      <c r="A203" s="54" t="str">
        <f t="shared" si="7"/>
        <v/>
      </c>
      <c r="B203" s="54" t="s">
        <v>16</v>
      </c>
      <c r="C203" s="54">
        <v>2</v>
      </c>
      <c r="D203" s="39" t="str" cm="1">
        <f t="array" ref="D203">_xlfn.IFNA(INDEX('TUM-W'!C$3:C$54,MATCH(1,(C203='TUM-W'!A$3:A$54)*(B203='TUM-W'!G$3:G$54),0)),"")</f>
        <v/>
      </c>
    </row>
    <row r="204" spans="1:4" hidden="1" x14ac:dyDescent="0.2">
      <c r="A204" s="54" t="str">
        <f t="shared" si="7"/>
        <v/>
      </c>
      <c r="B204" s="54" t="s">
        <v>16</v>
      </c>
      <c r="C204" s="54">
        <v>3</v>
      </c>
      <c r="D204" s="39" t="str" cm="1">
        <f t="array" ref="D204">_xlfn.IFNA(INDEX('TUM-W'!C$3:C$54,MATCH(1,(C204='TUM-W'!A$3:A$54)*(B204='TUM-W'!G$3:G$54),0)),"")</f>
        <v/>
      </c>
    </row>
    <row r="205" spans="1:4" hidden="1" x14ac:dyDescent="0.2">
      <c r="A205" s="54" t="str">
        <f t="shared" si="7"/>
        <v/>
      </c>
      <c r="B205" s="54" t="s">
        <v>16</v>
      </c>
      <c r="C205" s="54">
        <v>4</v>
      </c>
      <c r="D205" s="39" t="str" cm="1">
        <f t="array" ref="D205">_xlfn.IFNA(INDEX('TUM-W'!C$3:C$54,MATCH(1,(C205='TUM-W'!A$3:A$54)*(B205='TUM-W'!G$3:G$54),0)),"")</f>
        <v/>
      </c>
    </row>
    <row r="206" spans="1:4" hidden="1" x14ac:dyDescent="0.2">
      <c r="A206" s="54" t="str">
        <f t="shared" si="7"/>
        <v/>
      </c>
      <c r="B206" s="54" t="s">
        <v>16</v>
      </c>
      <c r="C206" s="54">
        <v>5</v>
      </c>
      <c r="D206" s="39" t="str" cm="1">
        <f t="array" ref="D206">_xlfn.IFNA(INDEX('TUM-W'!C$3:C$54,MATCH(1,(C206='TUM-W'!A$3:A$54)*(B206='TUM-W'!G$3:G$54),0)),"")</f>
        <v/>
      </c>
    </row>
    <row r="207" spans="1:4" hidden="1" x14ac:dyDescent="0.2">
      <c r="A207" s="54" t="str">
        <f t="shared" si="7"/>
        <v/>
      </c>
      <c r="B207" s="54" t="s">
        <v>16</v>
      </c>
      <c r="C207" s="54">
        <v>6</v>
      </c>
      <c r="D207" s="39" t="str" cm="1">
        <f t="array" ref="D207">_xlfn.IFNA(INDEX('TUM-W'!C$3:C$54,MATCH(1,(C207='TUM-W'!A$3:A$54)*(B207='TUM-W'!G$3:G$54),0)),"")</f>
        <v/>
      </c>
    </row>
    <row r="208" spans="1:4" hidden="1" x14ac:dyDescent="0.2">
      <c r="A208" s="54" t="str">
        <f t="shared" si="7"/>
        <v/>
      </c>
      <c r="B208" s="54" t="s">
        <v>16</v>
      </c>
      <c r="C208" s="54">
        <v>7</v>
      </c>
      <c r="D208" s="39" t="str" cm="1">
        <f t="array" ref="D208">_xlfn.IFNA(INDEX('TUM-W'!C$3:C$54,MATCH(1,(C208='TUM-W'!A$3:A$54)*(B208='TUM-W'!G$3:G$54),0)),"")</f>
        <v/>
      </c>
    </row>
    <row r="209" spans="1:4" hidden="1" x14ac:dyDescent="0.2">
      <c r="A209" s="54" t="str">
        <f t="shared" si="7"/>
        <v/>
      </c>
      <c r="B209" s="54" t="s">
        <v>16</v>
      </c>
      <c r="C209" s="54">
        <v>8</v>
      </c>
      <c r="D209" s="39" t="str" cm="1">
        <f t="array" ref="D209">_xlfn.IFNA(INDEX('TUM-W'!C$3:C$54,MATCH(1,(C209='TUM-W'!A$3:A$54)*(B209='TUM-W'!G$3:G$54),0)),"")</f>
        <v/>
      </c>
    </row>
    <row r="210" spans="1:4" hidden="1" x14ac:dyDescent="0.2">
      <c r="A210" s="54" t="str">
        <f t="shared" si="7"/>
        <v/>
      </c>
      <c r="B210" s="54" t="s">
        <v>18</v>
      </c>
      <c r="C210" s="54">
        <v>1</v>
      </c>
      <c r="D210" s="39" t="str" cm="1">
        <f t="array" ref="D210">_xlfn.IFNA(INDEX('TUM-W'!C$3:C$54,MATCH(1,(C210='TUM-W'!A$3:A$54)*(B210='TUM-W'!G$3:G$54),0)),"")</f>
        <v/>
      </c>
    </row>
    <row r="211" spans="1:4" hidden="1" x14ac:dyDescent="0.2">
      <c r="A211" s="54" t="str">
        <f t="shared" si="7"/>
        <v/>
      </c>
      <c r="B211" s="54" t="s">
        <v>18</v>
      </c>
      <c r="C211" s="54">
        <v>2</v>
      </c>
      <c r="D211" s="39" t="str" cm="1">
        <f t="array" ref="D211">_xlfn.IFNA(INDEX('TUM-W'!C$3:C$54,MATCH(1,(C211='TUM-W'!A$3:A$54)*(B211='TUM-W'!G$3:G$54),0)),"")</f>
        <v/>
      </c>
    </row>
    <row r="212" spans="1:4" hidden="1" x14ac:dyDescent="0.2">
      <c r="A212" s="54" t="str">
        <f t="shared" si="7"/>
        <v/>
      </c>
      <c r="B212" s="54" t="s">
        <v>18</v>
      </c>
      <c r="C212" s="54">
        <v>3</v>
      </c>
      <c r="D212" s="39" t="str" cm="1">
        <f t="array" ref="D212">_xlfn.IFNA(INDEX('TUM-W'!C$3:C$54,MATCH(1,(C212='TUM-W'!A$3:A$54)*(B212='TUM-W'!G$3:G$54),0)),"")</f>
        <v/>
      </c>
    </row>
    <row r="213" spans="1:4" hidden="1" x14ac:dyDescent="0.2">
      <c r="A213" s="54" t="str">
        <f t="shared" si="7"/>
        <v/>
      </c>
      <c r="B213" s="54" t="s">
        <v>18</v>
      </c>
      <c r="C213" s="54">
        <v>4</v>
      </c>
      <c r="D213" s="39" t="str" cm="1">
        <f t="array" ref="D213">_xlfn.IFNA(INDEX('TUM-W'!C$3:C$54,MATCH(1,(C213='TUM-W'!A$3:A$54)*(B213='TUM-W'!G$3:G$54),0)),"")</f>
        <v/>
      </c>
    </row>
    <row r="214" spans="1:4" hidden="1" x14ac:dyDescent="0.2">
      <c r="A214" s="54" t="str">
        <f t="shared" si="7"/>
        <v/>
      </c>
      <c r="B214" s="54" t="s">
        <v>18</v>
      </c>
      <c r="C214" s="54">
        <v>5</v>
      </c>
      <c r="D214" s="39" t="str" cm="1">
        <f t="array" ref="D214">_xlfn.IFNA(INDEX('TUM-W'!C$3:C$54,MATCH(1,(C214='TUM-W'!A$3:A$54)*(B214='TUM-W'!G$3:G$54),0)),"")</f>
        <v/>
      </c>
    </row>
    <row r="215" spans="1:4" hidden="1" x14ac:dyDescent="0.2">
      <c r="A215" s="54" t="str">
        <f t="shared" si="7"/>
        <v/>
      </c>
      <c r="B215" s="54" t="s">
        <v>18</v>
      </c>
      <c r="C215" s="54">
        <v>6</v>
      </c>
      <c r="D215" s="39" t="str" cm="1">
        <f t="array" ref="D215">_xlfn.IFNA(INDEX('TUM-W'!C$3:C$54,MATCH(1,(C215='TUM-W'!A$3:A$54)*(B215='TUM-W'!G$3:G$54),0)),"")</f>
        <v/>
      </c>
    </row>
    <row r="216" spans="1:4" hidden="1" x14ac:dyDescent="0.2">
      <c r="A216" s="54" t="str">
        <f t="shared" si="7"/>
        <v/>
      </c>
      <c r="B216" s="54" t="s">
        <v>18</v>
      </c>
      <c r="C216" s="54">
        <v>7</v>
      </c>
      <c r="D216" s="39" t="str" cm="1">
        <f t="array" ref="D216">_xlfn.IFNA(INDEX('TUM-W'!C$3:C$54,MATCH(1,(C216='TUM-W'!A$3:A$54)*(B216='TUM-W'!G$3:G$54),0)),"")</f>
        <v/>
      </c>
    </row>
    <row r="217" spans="1:4" hidden="1" x14ac:dyDescent="0.2">
      <c r="A217" s="54" t="str">
        <f t="shared" si="7"/>
        <v/>
      </c>
      <c r="B217" s="54" t="s">
        <v>18</v>
      </c>
      <c r="C217" s="54">
        <v>8</v>
      </c>
      <c r="D217" s="39" t="str" cm="1">
        <f t="array" ref="D217">_xlfn.IFNA(INDEX('TUM-W'!C$3:C$54,MATCH(1,(C217='TUM-W'!A$3:A$54)*(B217='TUM-W'!G$3:G$54),0)),"")</f>
        <v/>
      </c>
    </row>
    <row r="218" spans="1:4" hidden="1" x14ac:dyDescent="0.2">
      <c r="A218" s="54" t="str">
        <f t="shared" si="7"/>
        <v/>
      </c>
      <c r="B218" s="54" t="s">
        <v>19</v>
      </c>
      <c r="C218" s="54">
        <v>1</v>
      </c>
      <c r="D218" s="39" t="str" cm="1">
        <f t="array" ref="D218">_xlfn.IFNA(INDEX('TUM-W'!C$3:C$54,MATCH(1,(C218='TUM-W'!A$3:A$54)*(B218='TUM-W'!G$3:G$54),0)),"")</f>
        <v/>
      </c>
    </row>
    <row r="219" spans="1:4" hidden="1" x14ac:dyDescent="0.2">
      <c r="A219" s="54" t="str">
        <f t="shared" si="7"/>
        <v/>
      </c>
      <c r="B219" s="54" t="s">
        <v>19</v>
      </c>
      <c r="C219" s="54">
        <v>2</v>
      </c>
      <c r="D219" s="39" t="str" cm="1">
        <f t="array" ref="D219">_xlfn.IFNA(INDEX('TUM-W'!C$3:C$54,MATCH(1,(C219='TUM-W'!A$3:A$54)*(B219='TUM-W'!G$3:G$54),0)),"")</f>
        <v/>
      </c>
    </row>
    <row r="220" spans="1:4" hidden="1" x14ac:dyDescent="0.2">
      <c r="A220" s="54" t="str">
        <f t="shared" si="7"/>
        <v/>
      </c>
      <c r="B220" s="54" t="s">
        <v>19</v>
      </c>
      <c r="C220" s="54">
        <v>3</v>
      </c>
      <c r="D220" s="39" t="str" cm="1">
        <f t="array" ref="D220">_xlfn.IFNA(INDEX('TUM-W'!C$3:C$54,MATCH(1,(C220='TUM-W'!A$3:A$54)*(B220='TUM-W'!G$3:G$54),0)),"")</f>
        <v/>
      </c>
    </row>
    <row r="221" spans="1:4" hidden="1" x14ac:dyDescent="0.2">
      <c r="A221" s="54" t="str">
        <f t="shared" si="7"/>
        <v/>
      </c>
      <c r="B221" s="54" t="s">
        <v>19</v>
      </c>
      <c r="C221" s="54">
        <v>4</v>
      </c>
      <c r="D221" s="39" t="str" cm="1">
        <f t="array" ref="D221">_xlfn.IFNA(INDEX('TUM-W'!C$3:C$54,MATCH(1,(C221='TUM-W'!A$3:A$54)*(B221='TUM-W'!G$3:G$54),0)),"")</f>
        <v/>
      </c>
    </row>
    <row r="222" spans="1:4" hidden="1" x14ac:dyDescent="0.2">
      <c r="A222" s="54" t="str">
        <f t="shared" si="7"/>
        <v/>
      </c>
      <c r="B222" s="54" t="s">
        <v>19</v>
      </c>
      <c r="C222" s="54">
        <v>5</v>
      </c>
      <c r="D222" s="39" t="str" cm="1">
        <f t="array" ref="D222">_xlfn.IFNA(INDEX('TUM-W'!C$3:C$54,MATCH(1,(C222='TUM-W'!A$3:A$54)*(B222='TUM-W'!G$3:G$54),0)),"")</f>
        <v/>
      </c>
    </row>
    <row r="223" spans="1:4" hidden="1" x14ac:dyDescent="0.2">
      <c r="A223" s="54" t="str">
        <f t="shared" si="7"/>
        <v/>
      </c>
      <c r="B223" s="54" t="s">
        <v>19</v>
      </c>
      <c r="C223" s="54">
        <v>6</v>
      </c>
      <c r="D223" s="39" t="str" cm="1">
        <f t="array" ref="D223">_xlfn.IFNA(INDEX('TUM-W'!C$3:C$54,MATCH(1,(C223='TUM-W'!A$3:A$54)*(B223='TUM-W'!G$3:G$54),0)),"")</f>
        <v/>
      </c>
    </row>
    <row r="224" spans="1:4" hidden="1" x14ac:dyDescent="0.2">
      <c r="A224" s="54" t="str">
        <f t="shared" si="7"/>
        <v/>
      </c>
      <c r="B224" s="54" t="s">
        <v>19</v>
      </c>
      <c r="C224" s="54">
        <v>7</v>
      </c>
      <c r="D224" s="39" t="str" cm="1">
        <f t="array" ref="D224">_xlfn.IFNA(INDEX('TUM-W'!C$3:C$54,MATCH(1,(C224='TUM-W'!A$3:A$54)*(B224='TUM-W'!G$3:G$54),0)),"")</f>
        <v/>
      </c>
    </row>
    <row r="225" spans="1:6" hidden="1" x14ac:dyDescent="0.2">
      <c r="A225" s="54" t="str">
        <f t="shared" si="7"/>
        <v/>
      </c>
      <c r="B225" s="54" t="s">
        <v>19</v>
      </c>
      <c r="C225" s="54">
        <v>8</v>
      </c>
      <c r="D225" s="39" t="str" cm="1">
        <f t="array" ref="D225">_xlfn.IFNA(INDEX('TUM-W'!C$3:C$54,MATCH(1,(C225='TUM-W'!A$3:A$54)*(B225='TUM-W'!G$3:G$54),0)),"")</f>
        <v/>
      </c>
    </row>
    <row r="227" spans="1:6" x14ac:dyDescent="0.2">
      <c r="B227" s="65" t="s">
        <v>31</v>
      </c>
      <c r="C227" s="65"/>
      <c r="D227" s="65"/>
    </row>
    <row r="228" spans="1:6" x14ac:dyDescent="0.2">
      <c r="B228" s="65" t="s">
        <v>166</v>
      </c>
      <c r="C228" s="65"/>
      <c r="D228" s="65"/>
    </row>
    <row r="229" spans="1:6" x14ac:dyDescent="0.2">
      <c r="B229" s="63" t="s">
        <v>34</v>
      </c>
      <c r="C229" s="63"/>
      <c r="D229" s="63"/>
      <c r="E229" s="1" t="s">
        <v>33</v>
      </c>
    </row>
    <row r="230" spans="1:6" x14ac:dyDescent="0.2">
      <c r="B230" s="63" t="s">
        <v>35</v>
      </c>
      <c r="C230" s="63"/>
      <c r="D230" s="63"/>
      <c r="E230" s="1" t="s">
        <v>33</v>
      </c>
      <c r="F230" t="s">
        <v>33</v>
      </c>
    </row>
    <row r="231" spans="1:6" x14ac:dyDescent="0.2">
      <c r="A231" s="55" t="s">
        <v>38</v>
      </c>
      <c r="B231" s="62">
        <v>45393</v>
      </c>
      <c r="C231" s="62"/>
      <c r="D231" s="62"/>
    </row>
    <row r="232" spans="1:6" x14ac:dyDescent="0.2">
      <c r="A232" s="55"/>
      <c r="B232" s="64" t="s">
        <v>387</v>
      </c>
      <c r="C232" s="64"/>
      <c r="D232" s="64"/>
    </row>
    <row r="233" spans="1:6" x14ac:dyDescent="0.2">
      <c r="B233" s="52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57" priority="5">
      <formula>IF($B2="17-21",1,0)</formula>
    </cfRule>
    <cfRule type="expression" dxfId="56" priority="6">
      <formula>IF($B2="15-16",1,0)</formula>
    </cfRule>
    <cfRule type="expression" dxfId="55" priority="7">
      <formula>IF($B2="13-14",1,0)</formula>
    </cfRule>
    <cfRule type="expression" dxfId="54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0" t="s">
        <v>7</v>
      </c>
      <c r="B1" s="10">
        <v>2024</v>
      </c>
      <c r="C1" s="10"/>
      <c r="D1" s="10"/>
      <c r="E1" s="10"/>
      <c r="F1" s="10"/>
      <c r="G1" s="10"/>
      <c r="H1" s="10"/>
      <c r="I1" s="10"/>
    </row>
    <row r="2" spans="1:9" x14ac:dyDescent="0.2">
      <c r="A2" s="11" t="s">
        <v>9</v>
      </c>
      <c r="B2" s="9"/>
      <c r="C2" s="9"/>
      <c r="D2" s="9"/>
      <c r="E2" s="9"/>
      <c r="F2" s="9"/>
      <c r="G2" s="9"/>
      <c r="H2" s="9"/>
      <c r="I2" s="9"/>
    </row>
    <row r="3" spans="1:9" x14ac:dyDescent="0.2">
      <c r="A3" s="12" t="s">
        <v>5</v>
      </c>
      <c r="B3" s="12" t="s">
        <v>21</v>
      </c>
      <c r="C3" s="12" t="s">
        <v>20</v>
      </c>
      <c r="D3" s="12" t="s">
        <v>26</v>
      </c>
      <c r="E3" s="12" t="s">
        <v>27</v>
      </c>
      <c r="F3" s="12" t="s">
        <v>22</v>
      </c>
      <c r="G3" s="12" t="s">
        <v>23</v>
      </c>
      <c r="H3" s="12" t="s">
        <v>24</v>
      </c>
      <c r="I3" s="12" t="s">
        <v>25</v>
      </c>
    </row>
    <row r="4" spans="1:9" x14ac:dyDescent="0.2">
      <c r="A4" s="19" t="s">
        <v>17</v>
      </c>
      <c r="B4" s="20">
        <v>87</v>
      </c>
      <c r="C4" s="20">
        <v>86</v>
      </c>
      <c r="D4" s="20">
        <v>40.200000000000003</v>
      </c>
      <c r="E4" s="20">
        <v>41</v>
      </c>
      <c r="F4" s="20">
        <v>43</v>
      </c>
      <c r="G4" s="20">
        <v>43</v>
      </c>
      <c r="H4" s="20">
        <v>38.700000000000003</v>
      </c>
      <c r="I4" s="20">
        <v>38.700000000000003</v>
      </c>
    </row>
    <row r="5" spans="1:9" x14ac:dyDescent="0.2">
      <c r="A5" s="23" t="s">
        <v>16</v>
      </c>
      <c r="B5" s="24">
        <v>89</v>
      </c>
      <c r="C5" s="24">
        <v>87</v>
      </c>
      <c r="D5" s="24">
        <v>42</v>
      </c>
      <c r="E5" s="24">
        <v>42.4</v>
      </c>
      <c r="F5" s="24">
        <v>45.3</v>
      </c>
      <c r="G5" s="24">
        <v>43.5</v>
      </c>
      <c r="H5" s="24">
        <v>41.8</v>
      </c>
      <c r="I5" s="24">
        <v>41.3</v>
      </c>
    </row>
    <row r="6" spans="1:9" x14ac:dyDescent="0.2">
      <c r="A6" s="27" t="s">
        <v>18</v>
      </c>
      <c r="B6" s="28">
        <v>93</v>
      </c>
      <c r="C6" s="28">
        <v>88.5</v>
      </c>
      <c r="D6" s="28">
        <v>43</v>
      </c>
      <c r="E6" s="28">
        <v>43</v>
      </c>
      <c r="F6" s="28">
        <v>47.2</v>
      </c>
      <c r="G6" s="28">
        <v>45.5</v>
      </c>
      <c r="H6" s="28">
        <v>43.1</v>
      </c>
      <c r="I6" s="28">
        <v>41.7</v>
      </c>
    </row>
    <row r="7" spans="1:9" x14ac:dyDescent="0.2">
      <c r="A7" s="17" t="s">
        <v>19</v>
      </c>
      <c r="B7" s="15">
        <v>52</v>
      </c>
      <c r="C7" s="15">
        <v>47.5</v>
      </c>
      <c r="D7" s="15">
        <v>45</v>
      </c>
      <c r="E7" s="15">
        <v>42.6</v>
      </c>
      <c r="F7" s="15">
        <v>48</v>
      </c>
      <c r="G7" s="15">
        <v>46.5</v>
      </c>
      <c r="H7" s="15">
        <v>43.9</v>
      </c>
      <c r="I7" s="15">
        <v>42.1</v>
      </c>
    </row>
    <row r="8" spans="1:9" x14ac:dyDescent="0.2">
      <c r="A8" s="13" t="s">
        <v>10</v>
      </c>
      <c r="B8" s="10"/>
      <c r="C8" s="10"/>
      <c r="D8" s="10"/>
      <c r="E8" s="10"/>
      <c r="F8" s="10"/>
      <c r="G8" s="10"/>
      <c r="H8" s="10"/>
      <c r="I8" s="10"/>
    </row>
    <row r="9" spans="1:9" x14ac:dyDescent="0.2">
      <c r="A9" s="14" t="s">
        <v>5</v>
      </c>
      <c r="B9" s="14" t="s">
        <v>21</v>
      </c>
      <c r="C9" s="14" t="s">
        <v>20</v>
      </c>
      <c r="D9" s="14" t="s">
        <v>26</v>
      </c>
      <c r="E9" s="14" t="s">
        <v>27</v>
      </c>
      <c r="F9" s="14" t="s">
        <v>22</v>
      </c>
      <c r="G9" s="14" t="s">
        <v>23</v>
      </c>
      <c r="H9" s="14" t="s">
        <v>24</v>
      </c>
      <c r="I9" s="14" t="s">
        <v>25</v>
      </c>
    </row>
    <row r="10" spans="1:9" x14ac:dyDescent="0.2">
      <c r="A10" s="21" t="s">
        <v>17</v>
      </c>
      <c r="B10" s="22">
        <v>9.1</v>
      </c>
      <c r="C10" s="22">
        <v>7.6</v>
      </c>
      <c r="D10" s="22">
        <v>8.1</v>
      </c>
      <c r="E10" s="22">
        <v>7.6</v>
      </c>
      <c r="F10" s="22">
        <v>6</v>
      </c>
      <c r="G10" s="22">
        <v>6</v>
      </c>
      <c r="H10" s="22">
        <v>5.5</v>
      </c>
      <c r="I10" s="22">
        <v>5.5</v>
      </c>
    </row>
    <row r="11" spans="1:9" x14ac:dyDescent="0.2">
      <c r="A11" s="25" t="s">
        <v>16</v>
      </c>
      <c r="B11" s="26">
        <v>9.6999999999999993</v>
      </c>
      <c r="C11" s="26">
        <v>8.1</v>
      </c>
      <c r="D11" s="26">
        <v>8.8000000000000007</v>
      </c>
      <c r="E11" s="26">
        <v>8.1</v>
      </c>
      <c r="F11" s="26">
        <v>7.9</v>
      </c>
      <c r="G11" s="26">
        <v>6.3</v>
      </c>
      <c r="H11" s="26">
        <v>8</v>
      </c>
      <c r="I11" s="26">
        <v>6.6</v>
      </c>
    </row>
    <row r="12" spans="1:9" x14ac:dyDescent="0.2">
      <c r="A12" s="29" t="s">
        <v>18</v>
      </c>
      <c r="B12" s="30">
        <v>12.2</v>
      </c>
      <c r="C12" s="30">
        <v>8.8000000000000007</v>
      </c>
      <c r="D12" s="30">
        <v>9.6</v>
      </c>
      <c r="E12" s="30">
        <v>8.1</v>
      </c>
      <c r="F12" s="30">
        <v>10.4</v>
      </c>
      <c r="G12" s="30">
        <v>7.9</v>
      </c>
      <c r="H12" s="30">
        <v>8.6999999999999993</v>
      </c>
      <c r="I12" s="30">
        <v>7.3</v>
      </c>
    </row>
    <row r="13" spans="1:9" x14ac:dyDescent="0.2">
      <c r="A13" s="18" t="s">
        <v>19</v>
      </c>
      <c r="B13" s="16">
        <v>13.5</v>
      </c>
      <c r="C13" s="16">
        <v>9.6999999999999993</v>
      </c>
      <c r="D13" s="16">
        <v>10.199999999999999</v>
      </c>
      <c r="E13" s="16">
        <v>8.8000000000000007</v>
      </c>
      <c r="F13" s="16">
        <v>11.2</v>
      </c>
      <c r="G13" s="16">
        <v>9.6</v>
      </c>
      <c r="H13" s="16">
        <v>9.5</v>
      </c>
      <c r="I13" s="16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6"/>
  <sheetViews>
    <sheetView workbookViewId="0"/>
  </sheetViews>
  <sheetFormatPr baseColWidth="10" defaultRowHeight="16" x14ac:dyDescent="0.2"/>
  <cols>
    <col min="1" max="1" width="18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2" t="s">
        <v>2</v>
      </c>
      <c r="B1" s="42" t="s">
        <v>1</v>
      </c>
      <c r="C1" s="51" t="s">
        <v>157</v>
      </c>
      <c r="D1" s="42" t="s">
        <v>163</v>
      </c>
      <c r="E1" s="51" t="s">
        <v>158</v>
      </c>
      <c r="F1" s="42" t="s">
        <v>164</v>
      </c>
      <c r="G1" s="51" t="s">
        <v>159</v>
      </c>
      <c r="H1" s="42" t="s">
        <v>165</v>
      </c>
    </row>
    <row r="2" spans="1:8" ht="17" thickTop="1" x14ac:dyDescent="0.2">
      <c r="A2" s="58" t="s">
        <v>314</v>
      </c>
      <c r="B2" s="44" t="s">
        <v>148</v>
      </c>
      <c r="C2" s="43">
        <f>SUMIF('TRA-M'!E:E,A2,'TRA-M'!Q:Q)+SUMIF('TRA-W'!E:E,A2,'TRA-W'!Q:Q)+SUMIF('SYN-M'!E:E,A2,'SYN-M'!R:R)/2+SUMIF('SYN-W'!E:E,A2,'SYN-W'!R:R)/2+SUMIF('SYN-M'!F:F,A2,'SYN-M'!R:R)/2+SUMIF('SYN-W'!F:F,A2,'SYN-W'!R:R)/2</f>
        <v>0</v>
      </c>
      <c r="D2" s="45" t="str">
        <f t="shared" ref="D2:D34" si="0">IF(C2&gt;0,RANK(C2,C$2:C$66),"")</f>
        <v/>
      </c>
      <c r="E2" s="43">
        <f>SUMIF('DMT-M'!E:E,A2,'DMT-M'!Q:Q)+SUMIF('DMT-W'!E:E,A2,'DMT-W'!Q:Q)</f>
        <v>0</v>
      </c>
      <c r="F2" s="45" t="str">
        <f t="shared" ref="F2:F34" si="1">IF(E2&gt;0,RANK(E2,E$2:E$66),"")</f>
        <v/>
      </c>
      <c r="G2" s="43">
        <f>SUMIF('TUM-M'!E:E,A2,'TUM-M'!Q:Q)+SUMIF('TUM-W'!E:E,A2,'TUM-W'!Q:Q)</f>
        <v>0</v>
      </c>
      <c r="H2" s="45" t="str">
        <f t="shared" ref="H2:H34" si="2">IF(G2&gt;0,RANK(G2,G$2:G$66),"")</f>
        <v/>
      </c>
    </row>
    <row r="3" spans="1:8" x14ac:dyDescent="0.2">
      <c r="A3" s="59" t="s">
        <v>215</v>
      </c>
      <c r="B3" s="1" t="s">
        <v>149</v>
      </c>
      <c r="C3" s="46">
        <f>SUMIF('TRA-M'!E:E,A3,'TRA-M'!Q:Q)+SUMIF('TRA-W'!E:E,A3,'TRA-W'!Q:Q)+SUMIF('SYN-M'!E:E,A3,'SYN-M'!R:R)/2+SUMIF('SYN-W'!E:E,A3,'SYN-W'!R:R)/2+SUMIF('SYN-M'!F:F,A3,'SYN-M'!R:R)/2+SUMIF('SYN-W'!F:F,A3,'SYN-W'!R:R)/2</f>
        <v>0</v>
      </c>
      <c r="D3" s="47" t="str">
        <f t="shared" si="0"/>
        <v/>
      </c>
      <c r="E3" s="46">
        <f>SUMIF('DMT-M'!E:E,A3,'DMT-M'!Q:Q)+SUMIF('DMT-W'!E:E,A3,'DMT-W'!Q:Q)</f>
        <v>0</v>
      </c>
      <c r="F3" s="47" t="str">
        <f t="shared" si="1"/>
        <v/>
      </c>
      <c r="G3" s="46">
        <f>SUMIF('TUM-M'!E:E,A3,'TUM-M'!Q:Q)+SUMIF('TUM-W'!E:E,A3,'TUM-W'!Q:Q)</f>
        <v>0</v>
      </c>
      <c r="H3" s="47" t="str">
        <f t="shared" si="2"/>
        <v/>
      </c>
    </row>
    <row r="4" spans="1:8" x14ac:dyDescent="0.2">
      <c r="A4" s="59" t="s">
        <v>249</v>
      </c>
      <c r="B4" s="1" t="s">
        <v>147</v>
      </c>
      <c r="C4" s="46">
        <f>SUMIF('TRA-M'!E:E,A4,'TRA-M'!Q:Q)+SUMIF('TRA-W'!E:E,A4,'TRA-W'!Q:Q)+SUMIF('SYN-M'!E:E,A4,'SYN-M'!R:R)/2+SUMIF('SYN-W'!E:E,A4,'SYN-W'!R:R)/2+SUMIF('SYN-M'!F:F,A4,'SYN-M'!R:R)/2+SUMIF('SYN-W'!F:F,A4,'SYN-W'!R:R)/2</f>
        <v>0</v>
      </c>
      <c r="D4" s="47" t="str">
        <f t="shared" si="0"/>
        <v/>
      </c>
      <c r="E4" s="46">
        <f>SUMIF('DMT-M'!E:E,A4,'DMT-M'!Q:Q)+SUMIF('DMT-W'!E:E,A4,'DMT-W'!Q:Q)</f>
        <v>0</v>
      </c>
      <c r="F4" s="47" t="str">
        <f t="shared" si="1"/>
        <v/>
      </c>
      <c r="G4" s="46">
        <f>SUMIF('TUM-M'!E:E,A4,'TUM-M'!Q:Q)+SUMIF('TUM-W'!E:E,A4,'TUM-W'!Q:Q)</f>
        <v>0</v>
      </c>
      <c r="H4" s="47" t="str">
        <f t="shared" si="2"/>
        <v/>
      </c>
    </row>
    <row r="5" spans="1:8" x14ac:dyDescent="0.2">
      <c r="A5" s="59" t="s">
        <v>250</v>
      </c>
      <c r="B5" s="1" t="s">
        <v>149</v>
      </c>
      <c r="C5" s="46">
        <f>SUMIF('TRA-M'!E:E,A5,'TRA-M'!Q:Q)+SUMIF('TRA-W'!E:E,A5,'TRA-W'!Q:Q)+SUMIF('SYN-M'!E:E,A5,'SYN-M'!R:R)/2+SUMIF('SYN-W'!E:E,A5,'SYN-W'!R:R)/2+SUMIF('SYN-M'!F:F,A5,'SYN-M'!R:R)/2+SUMIF('SYN-W'!F:F,A5,'SYN-W'!R:R)/2</f>
        <v>0</v>
      </c>
      <c r="D5" s="47" t="str">
        <f t="shared" si="0"/>
        <v/>
      </c>
      <c r="E5" s="46">
        <f>SUMIF('DMT-M'!E:E,A5,'DMT-M'!Q:Q)+SUMIF('DMT-W'!E:E,A5,'DMT-W'!Q:Q)</f>
        <v>0</v>
      </c>
      <c r="F5" s="47" t="str">
        <f t="shared" si="1"/>
        <v/>
      </c>
      <c r="G5" s="46">
        <f>SUMIF('TUM-M'!E:E,A5,'TUM-M'!Q:Q)+SUMIF('TUM-W'!E:E,A5,'TUM-W'!Q:Q)</f>
        <v>0</v>
      </c>
      <c r="H5" s="47" t="str">
        <f t="shared" si="2"/>
        <v/>
      </c>
    </row>
    <row r="6" spans="1:8" x14ac:dyDescent="0.2">
      <c r="A6" s="59" t="s">
        <v>61</v>
      </c>
      <c r="B6" s="1" t="s">
        <v>149</v>
      </c>
      <c r="C6" s="46">
        <f>SUMIF('TRA-M'!E:E,A6,'TRA-M'!Q:Q)+SUMIF('TRA-W'!E:E,A6,'TRA-W'!Q:Q)+SUMIF('SYN-M'!E:E,A6,'SYN-M'!R:R)/2+SUMIF('SYN-W'!E:E,A6,'SYN-W'!R:R)/2+SUMIF('SYN-M'!F:F,A6,'SYN-M'!R:R)/2+SUMIF('SYN-W'!F:F,A6,'SYN-W'!R:R)/2</f>
        <v>0</v>
      </c>
      <c r="D6" s="47" t="str">
        <f t="shared" si="0"/>
        <v/>
      </c>
      <c r="E6" s="46">
        <f>SUMIF('DMT-M'!E:E,A6,'DMT-M'!Q:Q)+SUMIF('DMT-W'!E:E,A6,'DMT-W'!Q:Q)</f>
        <v>0</v>
      </c>
      <c r="F6" s="47" t="str">
        <f t="shared" si="1"/>
        <v/>
      </c>
      <c r="G6" s="46">
        <f>SUMIF('TUM-M'!E:E,A6,'TUM-M'!Q:Q)+SUMIF('TUM-W'!E:E,A6,'TUM-W'!Q:Q)</f>
        <v>0</v>
      </c>
      <c r="H6" s="47" t="str">
        <f t="shared" si="2"/>
        <v/>
      </c>
    </row>
    <row r="7" spans="1:8" x14ac:dyDescent="0.2">
      <c r="A7" s="59" t="s">
        <v>69</v>
      </c>
      <c r="B7" s="1" t="s">
        <v>147</v>
      </c>
      <c r="C7" s="46">
        <f>SUMIF('TRA-M'!E:E,A7,'TRA-M'!Q:Q)+SUMIF('TRA-W'!E:E,A7,'TRA-W'!Q:Q)+SUMIF('SYN-M'!E:E,A7,'SYN-M'!R:R)/2+SUMIF('SYN-W'!E:E,A7,'SYN-W'!R:R)/2+SUMIF('SYN-M'!F:F,A7,'SYN-M'!R:R)/2+SUMIF('SYN-W'!F:F,A7,'SYN-W'!R:R)/2</f>
        <v>0</v>
      </c>
      <c r="D7" s="47" t="str">
        <f t="shared" si="0"/>
        <v/>
      </c>
      <c r="E7" s="46">
        <f>SUMIF('DMT-M'!E:E,A7,'DMT-M'!Q:Q)+SUMIF('DMT-W'!E:E,A7,'DMT-W'!Q:Q)</f>
        <v>0</v>
      </c>
      <c r="F7" s="47" t="str">
        <f t="shared" si="1"/>
        <v/>
      </c>
      <c r="G7" s="46">
        <f>SUMIF('TUM-M'!E:E,A7,'TUM-M'!Q:Q)+SUMIF('TUM-W'!E:E,A7,'TUM-W'!Q:Q)</f>
        <v>0</v>
      </c>
      <c r="H7" s="47" t="str">
        <f t="shared" si="2"/>
        <v/>
      </c>
    </row>
    <row r="8" spans="1:8" x14ac:dyDescent="0.2">
      <c r="A8" s="59" t="s">
        <v>289</v>
      </c>
      <c r="B8" s="1" t="s">
        <v>152</v>
      </c>
      <c r="C8" s="46">
        <f>SUMIF('TRA-M'!E:E,A8,'TRA-M'!Q:Q)+SUMIF('TRA-W'!E:E,A8,'TRA-W'!Q:Q)+SUMIF('SYN-M'!E:E,A8,'SYN-M'!R:R)/2+SUMIF('SYN-W'!E:E,A8,'SYN-W'!R:R)/2+SUMIF('SYN-M'!F:F,A8,'SYN-M'!R:R)/2+SUMIF('SYN-W'!F:F,A8,'SYN-W'!R:R)/2</f>
        <v>0</v>
      </c>
      <c r="D8" s="47" t="str">
        <f t="shared" si="0"/>
        <v/>
      </c>
      <c r="E8" s="46">
        <f>SUMIF('DMT-M'!E:E,A8,'DMT-M'!Q:Q)+SUMIF('DMT-W'!E:E,A8,'DMT-W'!Q:Q)</f>
        <v>0</v>
      </c>
      <c r="F8" s="47" t="str">
        <f t="shared" si="1"/>
        <v/>
      </c>
      <c r="G8" s="46">
        <f>SUMIF('TUM-M'!E:E,A8,'TUM-M'!Q:Q)+SUMIF('TUM-W'!E:E,A8,'TUM-W'!Q:Q)</f>
        <v>0</v>
      </c>
      <c r="H8" s="47" t="str">
        <f t="shared" si="2"/>
        <v/>
      </c>
    </row>
    <row r="9" spans="1:8" x14ac:dyDescent="0.2">
      <c r="A9" s="59" t="s">
        <v>45</v>
      </c>
      <c r="B9" s="1" t="s">
        <v>147</v>
      </c>
      <c r="C9" s="46">
        <f>SUMIF('TRA-M'!E:E,A9,'TRA-M'!Q:Q)+SUMIF('TRA-W'!E:E,A9,'TRA-W'!Q:Q)+SUMIF('SYN-M'!E:E,A9,'SYN-M'!R:R)/2+SUMIF('SYN-W'!E:E,A9,'SYN-W'!R:R)/2+SUMIF('SYN-M'!F:F,A9,'SYN-M'!R:R)/2+SUMIF('SYN-W'!F:F,A9,'SYN-W'!R:R)/2</f>
        <v>0</v>
      </c>
      <c r="D9" s="47" t="str">
        <f t="shared" si="0"/>
        <v/>
      </c>
      <c r="E9" s="46">
        <f>SUMIF('DMT-M'!E:E,A9,'DMT-M'!Q:Q)+SUMIF('DMT-W'!E:E,A9,'DMT-W'!Q:Q)</f>
        <v>0</v>
      </c>
      <c r="F9" s="47" t="str">
        <f t="shared" si="1"/>
        <v/>
      </c>
      <c r="G9" s="46">
        <f>SUMIF('TUM-M'!E:E,A9,'TUM-M'!Q:Q)+SUMIF('TUM-W'!E:E,A9,'TUM-W'!Q:Q)</f>
        <v>0</v>
      </c>
      <c r="H9" s="47" t="str">
        <f t="shared" si="2"/>
        <v/>
      </c>
    </row>
    <row r="10" spans="1:8" x14ac:dyDescent="0.2">
      <c r="A10" s="59" t="s">
        <v>28</v>
      </c>
      <c r="B10" s="1" t="s">
        <v>149</v>
      </c>
      <c r="C10" s="46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47" t="str">
        <f t="shared" si="0"/>
        <v/>
      </c>
      <c r="E10" s="46">
        <f>SUMIF('DMT-M'!E:E,A10,'DMT-M'!Q:Q)+SUMIF('DMT-W'!E:E,A10,'DMT-W'!Q:Q)</f>
        <v>0</v>
      </c>
      <c r="F10" s="47" t="str">
        <f t="shared" si="1"/>
        <v/>
      </c>
      <c r="G10" s="46">
        <f>SUMIF('TUM-M'!E:E,A10,'TUM-M'!Q:Q)+SUMIF('TUM-W'!E:E,A10,'TUM-W'!Q:Q)</f>
        <v>0</v>
      </c>
      <c r="H10" s="47" t="str">
        <f t="shared" si="2"/>
        <v/>
      </c>
    </row>
    <row r="11" spans="1:8" x14ac:dyDescent="0.2">
      <c r="A11" s="59" t="s">
        <v>91</v>
      </c>
      <c r="B11" s="1" t="s">
        <v>155</v>
      </c>
      <c r="C11" s="46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47" t="str">
        <f t="shared" si="0"/>
        <v/>
      </c>
      <c r="E11" s="46">
        <f>SUMIF('DMT-M'!E:E,A11,'DMT-M'!Q:Q)+SUMIF('DMT-W'!E:E,A11,'DMT-W'!Q:Q)</f>
        <v>0</v>
      </c>
      <c r="F11" s="47" t="str">
        <f t="shared" si="1"/>
        <v/>
      </c>
      <c r="G11" s="46">
        <f>SUMIF('TUM-M'!E:E,A11,'TUM-M'!Q:Q)+SUMIF('TUM-W'!E:E,A11,'TUM-W'!Q:Q)</f>
        <v>0</v>
      </c>
      <c r="H11" s="47" t="str">
        <f t="shared" si="2"/>
        <v/>
      </c>
    </row>
    <row r="12" spans="1:8" x14ac:dyDescent="0.2">
      <c r="A12" s="59" t="s">
        <v>58</v>
      </c>
      <c r="B12" s="1" t="s">
        <v>148</v>
      </c>
      <c r="C12" s="46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47" t="str">
        <f t="shared" si="0"/>
        <v/>
      </c>
      <c r="E12" s="46">
        <f>SUMIF('DMT-M'!E:E,A12,'DMT-M'!Q:Q)+SUMIF('DMT-W'!E:E,A12,'DMT-W'!Q:Q)</f>
        <v>0</v>
      </c>
      <c r="F12" s="47" t="str">
        <f t="shared" si="1"/>
        <v/>
      </c>
      <c r="G12" s="46">
        <f>SUMIF('TUM-M'!E:E,A12,'TUM-M'!Q:Q)+SUMIF('TUM-W'!E:E,A12,'TUM-W'!Q:Q)</f>
        <v>0</v>
      </c>
      <c r="H12" s="47" t="str">
        <f t="shared" si="2"/>
        <v/>
      </c>
    </row>
    <row r="13" spans="1:8" x14ac:dyDescent="0.2">
      <c r="A13" s="59" t="s">
        <v>248</v>
      </c>
      <c r="B13" s="1" t="s">
        <v>155</v>
      </c>
      <c r="C13" s="46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47" t="str">
        <f t="shared" si="0"/>
        <v/>
      </c>
      <c r="E13" s="46">
        <f>SUMIF('DMT-M'!E:E,A13,'DMT-M'!Q:Q)+SUMIF('DMT-W'!E:E,A13,'DMT-W'!Q:Q)</f>
        <v>0</v>
      </c>
      <c r="F13" s="47" t="str">
        <f t="shared" si="1"/>
        <v/>
      </c>
      <c r="G13" s="46">
        <f>SUMIF('TUM-M'!E:E,A13,'TUM-M'!Q:Q)+SUMIF('TUM-W'!E:E,A13,'TUM-W'!Q:Q)</f>
        <v>0</v>
      </c>
      <c r="H13" s="47" t="str">
        <f t="shared" si="2"/>
        <v/>
      </c>
    </row>
    <row r="14" spans="1:8" x14ac:dyDescent="0.2">
      <c r="A14" s="59" t="s">
        <v>40</v>
      </c>
      <c r="B14" s="1" t="s">
        <v>151</v>
      </c>
      <c r="C14" s="46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47" t="str">
        <f t="shared" si="0"/>
        <v/>
      </c>
      <c r="E14" s="46">
        <f>SUMIF('DMT-M'!E:E,A14,'DMT-M'!Q:Q)+SUMIF('DMT-W'!E:E,A14,'DMT-W'!Q:Q)</f>
        <v>0</v>
      </c>
      <c r="F14" s="47" t="str">
        <f t="shared" si="1"/>
        <v/>
      </c>
      <c r="G14" s="46">
        <f>SUMIF('TUM-M'!E:E,A14,'TUM-M'!Q:Q)+SUMIF('TUM-W'!E:E,A14,'TUM-W'!Q:Q)</f>
        <v>0</v>
      </c>
      <c r="H14" s="47" t="str">
        <f t="shared" si="2"/>
        <v/>
      </c>
    </row>
    <row r="15" spans="1:8" x14ac:dyDescent="0.2">
      <c r="A15" s="59" t="s">
        <v>343</v>
      </c>
      <c r="B15" s="1" t="s">
        <v>147</v>
      </c>
      <c r="C15" s="46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47" t="str">
        <f t="shared" ref="D15" si="3">IF(C15&gt;0,RANK(C15,C$2:C$66),"")</f>
        <v/>
      </c>
      <c r="E15" s="46">
        <f>SUMIF('DMT-M'!E:E,A15,'DMT-M'!Q:Q)+SUMIF('DMT-W'!E:E,A15,'DMT-W'!Q:Q)</f>
        <v>0</v>
      </c>
      <c r="F15" s="47" t="str">
        <f t="shared" ref="F15" si="4">IF(E15&gt;0,RANK(E15,E$2:E$66),"")</f>
        <v/>
      </c>
      <c r="G15" s="46">
        <f>SUMIF('TUM-M'!E:E,A15,'TUM-M'!Q:Q)+SUMIF('TUM-W'!E:E,A15,'TUM-W'!Q:Q)</f>
        <v>0</v>
      </c>
      <c r="H15" s="47" t="str">
        <f t="shared" ref="H15" si="5">IF(G15&gt;0,RANK(G15,G$2:G$66),"")</f>
        <v/>
      </c>
    </row>
    <row r="16" spans="1:8" x14ac:dyDescent="0.2">
      <c r="A16" s="59" t="s">
        <v>3</v>
      </c>
      <c r="B16" s="1" t="s">
        <v>150</v>
      </c>
      <c r="C16" s="46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47" t="str">
        <f t="shared" si="0"/>
        <v/>
      </c>
      <c r="E16" s="46">
        <f>SUMIF('DMT-M'!E:E,A16,'DMT-M'!Q:Q)+SUMIF('DMT-W'!E:E,A16,'DMT-W'!Q:Q)</f>
        <v>0</v>
      </c>
      <c r="F16" s="47" t="str">
        <f t="shared" si="1"/>
        <v/>
      </c>
      <c r="G16" s="46">
        <f>SUMIF('TUM-M'!E:E,A16,'TUM-M'!Q:Q)+SUMIF('TUM-W'!E:E,A16,'TUM-W'!Q:Q)</f>
        <v>0</v>
      </c>
      <c r="H16" s="47" t="str">
        <f t="shared" si="2"/>
        <v/>
      </c>
    </row>
    <row r="17" spans="1:19" x14ac:dyDescent="0.2">
      <c r="A17" s="59" t="s">
        <v>205</v>
      </c>
      <c r="B17" s="1" t="s">
        <v>147</v>
      </c>
      <c r="C17" s="46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47" t="str">
        <f t="shared" si="0"/>
        <v/>
      </c>
      <c r="E17" s="46">
        <f>SUMIF('DMT-M'!E:E,A17,'DMT-M'!Q:Q)+SUMIF('DMT-W'!E:E,A17,'DMT-W'!Q:Q)</f>
        <v>0</v>
      </c>
      <c r="F17" s="47" t="str">
        <f t="shared" si="1"/>
        <v/>
      </c>
      <c r="G17" s="46">
        <f>SUMIF('TUM-M'!E:E,A17,'TUM-M'!Q:Q)+SUMIF('TUM-W'!E:E,A17,'TUM-W'!Q:Q)</f>
        <v>0</v>
      </c>
      <c r="H17" s="47" t="str">
        <f t="shared" si="2"/>
        <v/>
      </c>
    </row>
    <row r="18" spans="1:19" x14ac:dyDescent="0.2">
      <c r="A18" s="59" t="s">
        <v>216</v>
      </c>
      <c r="B18" s="1" t="s">
        <v>150</v>
      </c>
      <c r="C18" s="46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47" t="str">
        <f t="shared" si="0"/>
        <v/>
      </c>
      <c r="E18" s="46">
        <f>SUMIF('DMT-M'!E:E,A18,'DMT-M'!Q:Q)+SUMIF('DMT-W'!E:E,A18,'DMT-W'!Q:Q)</f>
        <v>0</v>
      </c>
      <c r="F18" s="47" t="str">
        <f t="shared" si="1"/>
        <v/>
      </c>
      <c r="G18" s="46">
        <f>SUMIF('TUM-M'!E:E,A18,'TUM-M'!Q:Q)+SUMIF('TUM-W'!E:E,A18,'TUM-W'!Q:Q)</f>
        <v>0</v>
      </c>
      <c r="H18" s="47" t="str">
        <f t="shared" si="2"/>
        <v/>
      </c>
    </row>
    <row r="19" spans="1:19" x14ac:dyDescent="0.2">
      <c r="A19" s="59" t="s">
        <v>68</v>
      </c>
      <c r="B19" s="1" t="s">
        <v>149</v>
      </c>
      <c r="C19" s="46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47" t="str">
        <f t="shared" si="0"/>
        <v/>
      </c>
      <c r="E19" s="46">
        <f>SUMIF('DMT-M'!E:E,A19,'DMT-M'!Q:Q)+SUMIF('DMT-W'!E:E,A19,'DMT-W'!Q:Q)</f>
        <v>0</v>
      </c>
      <c r="F19" s="47" t="str">
        <f t="shared" si="1"/>
        <v/>
      </c>
      <c r="G19" s="46">
        <f>SUMIF('TUM-M'!E:E,A19,'TUM-M'!Q:Q)+SUMIF('TUM-W'!E:E,A19,'TUM-W'!Q:Q)</f>
        <v>0</v>
      </c>
      <c r="H19" s="47" t="str">
        <f t="shared" si="2"/>
        <v/>
      </c>
      <c r="N19" s="1"/>
      <c r="O19" s="1"/>
      <c r="P19" s="1"/>
      <c r="Q19" s="1"/>
      <c r="R19" s="1"/>
      <c r="S19" s="1"/>
    </row>
    <row r="20" spans="1:19" x14ac:dyDescent="0.2">
      <c r="A20" s="59" t="s">
        <v>44</v>
      </c>
      <c r="B20" s="1" t="s">
        <v>151</v>
      </c>
      <c r="C20" s="46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47" t="str">
        <f t="shared" si="0"/>
        <v/>
      </c>
      <c r="E20" s="46">
        <f>SUMIF('DMT-M'!E:E,A20,'DMT-M'!Q:Q)+SUMIF('DMT-W'!E:E,A20,'DMT-W'!Q:Q)</f>
        <v>0</v>
      </c>
      <c r="F20" s="47" t="str">
        <f t="shared" si="1"/>
        <v/>
      </c>
      <c r="G20" s="46">
        <f>SUMIF('TUM-M'!E:E,A20,'TUM-M'!Q:Q)+SUMIF('TUM-W'!E:E,A20,'TUM-W'!Q:Q)</f>
        <v>0</v>
      </c>
      <c r="H20" s="47" t="str">
        <f t="shared" si="2"/>
        <v/>
      </c>
    </row>
    <row r="21" spans="1:19" x14ac:dyDescent="0.2">
      <c r="A21" s="59" t="s">
        <v>311</v>
      </c>
      <c r="B21" s="1" t="s">
        <v>154</v>
      </c>
      <c r="C21" s="46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47" t="str">
        <f t="shared" si="0"/>
        <v/>
      </c>
      <c r="E21" s="46">
        <f>SUMIF('DMT-M'!E:E,A21,'DMT-M'!Q:Q)+SUMIF('DMT-W'!E:E,A21,'DMT-W'!Q:Q)</f>
        <v>0</v>
      </c>
      <c r="F21" s="47" t="str">
        <f t="shared" si="1"/>
        <v/>
      </c>
      <c r="G21" s="46">
        <f>SUMIF('TUM-M'!E:E,A21,'TUM-M'!Q:Q)+SUMIF('TUM-W'!E:E,A21,'TUM-W'!Q:Q)</f>
        <v>0</v>
      </c>
      <c r="H21" s="47" t="str">
        <f t="shared" si="2"/>
        <v/>
      </c>
    </row>
    <row r="22" spans="1:19" x14ac:dyDescent="0.2">
      <c r="A22" s="59" t="s">
        <v>277</v>
      </c>
      <c r="B22" s="1" t="s">
        <v>147</v>
      </c>
      <c r="C22" s="46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47" t="str">
        <f t="shared" si="0"/>
        <v/>
      </c>
      <c r="E22" s="46">
        <f>SUMIF('DMT-M'!E:E,A22,'DMT-M'!Q:Q)+SUMIF('DMT-W'!E:E,A22,'DMT-W'!Q:Q)</f>
        <v>0</v>
      </c>
      <c r="F22" s="47" t="str">
        <f t="shared" si="1"/>
        <v/>
      </c>
      <c r="G22" s="46">
        <f>SUMIF('TUM-M'!E:E,A22,'TUM-M'!Q:Q)+SUMIF('TUM-W'!E:E,A22,'TUM-W'!Q:Q)</f>
        <v>0</v>
      </c>
      <c r="H22" s="47" t="str">
        <f t="shared" si="2"/>
        <v/>
      </c>
    </row>
    <row r="23" spans="1:19" x14ac:dyDescent="0.2">
      <c r="A23" s="59" t="s">
        <v>217</v>
      </c>
      <c r="B23" s="1" t="s">
        <v>147</v>
      </c>
      <c r="C23" s="46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47" t="str">
        <f t="shared" si="0"/>
        <v/>
      </c>
      <c r="E23" s="46">
        <f>SUMIF('DMT-M'!E:E,A23,'DMT-M'!Q:Q)+SUMIF('DMT-W'!E:E,A23,'DMT-W'!Q:Q)</f>
        <v>0</v>
      </c>
      <c r="F23" s="47" t="str">
        <f t="shared" si="1"/>
        <v/>
      </c>
      <c r="G23" s="46">
        <f>SUMIF('TUM-M'!E:E,A23,'TUM-M'!Q:Q)+SUMIF('TUM-W'!E:E,A23,'TUM-W'!Q:Q)</f>
        <v>0</v>
      </c>
      <c r="H23" s="47" t="str">
        <f t="shared" si="2"/>
        <v/>
      </c>
    </row>
    <row r="24" spans="1:19" x14ac:dyDescent="0.2">
      <c r="A24" s="59" t="s">
        <v>156</v>
      </c>
      <c r="B24" s="1" t="s">
        <v>150</v>
      </c>
      <c r="C24" s="46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47" t="str">
        <f t="shared" si="0"/>
        <v/>
      </c>
      <c r="E24" s="46">
        <f>SUMIF('DMT-M'!E:E,A24,'DMT-M'!Q:Q)+SUMIF('DMT-W'!E:E,A24,'DMT-W'!Q:Q)</f>
        <v>0</v>
      </c>
      <c r="F24" s="47" t="str">
        <f t="shared" si="1"/>
        <v/>
      </c>
      <c r="G24" s="46">
        <f>SUMIF('TUM-M'!E:E,A24,'TUM-M'!Q:Q)+SUMIF('TUM-W'!E:E,A24,'TUM-W'!Q:Q)</f>
        <v>0</v>
      </c>
      <c r="H24" s="47" t="str">
        <f t="shared" si="2"/>
        <v/>
      </c>
    </row>
    <row r="25" spans="1:19" x14ac:dyDescent="0.2">
      <c r="A25" s="59" t="s">
        <v>75</v>
      </c>
      <c r="B25" s="1" t="s">
        <v>150</v>
      </c>
      <c r="C25" s="46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47" t="str">
        <f t="shared" si="0"/>
        <v/>
      </c>
      <c r="E25" s="46">
        <f>SUMIF('DMT-M'!E:E,A25,'DMT-M'!Q:Q)+SUMIF('DMT-W'!E:E,A25,'DMT-W'!Q:Q)</f>
        <v>0</v>
      </c>
      <c r="F25" s="47" t="str">
        <f t="shared" si="1"/>
        <v/>
      </c>
      <c r="G25" s="46">
        <f>SUMIF('TUM-M'!E:E,A25,'TUM-M'!Q:Q)+SUMIF('TUM-W'!E:E,A25,'TUM-W'!Q:Q)</f>
        <v>0</v>
      </c>
      <c r="H25" s="47" t="str">
        <f t="shared" si="2"/>
        <v/>
      </c>
    </row>
    <row r="26" spans="1:19" x14ac:dyDescent="0.2">
      <c r="A26" s="59" t="s">
        <v>97</v>
      </c>
      <c r="B26" s="1" t="s">
        <v>147</v>
      </c>
      <c r="C26" s="46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47" t="str">
        <f t="shared" si="0"/>
        <v/>
      </c>
      <c r="E26" s="46">
        <f>SUMIF('DMT-M'!E:E,A26,'DMT-M'!Q:Q)+SUMIF('DMT-W'!E:E,A26,'DMT-W'!Q:Q)</f>
        <v>0</v>
      </c>
      <c r="F26" s="47" t="str">
        <f t="shared" si="1"/>
        <v/>
      </c>
      <c r="G26" s="46">
        <f>SUMIF('TUM-M'!E:E,A26,'TUM-M'!Q:Q)+SUMIF('TUM-W'!E:E,A26,'TUM-W'!Q:Q)</f>
        <v>0</v>
      </c>
      <c r="H26" s="47" t="str">
        <f t="shared" si="2"/>
        <v/>
      </c>
    </row>
    <row r="27" spans="1:19" x14ac:dyDescent="0.2">
      <c r="A27" s="59" t="s">
        <v>256</v>
      </c>
      <c r="B27" s="1" t="s">
        <v>151</v>
      </c>
      <c r="C27" s="46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47" t="str">
        <f t="shared" si="0"/>
        <v/>
      </c>
      <c r="E27" s="46">
        <f>SUMIF('DMT-M'!E:E,A27,'DMT-M'!Q:Q)+SUMIF('DMT-W'!E:E,A27,'DMT-W'!Q:Q)</f>
        <v>0</v>
      </c>
      <c r="F27" s="47" t="str">
        <f t="shared" si="1"/>
        <v/>
      </c>
      <c r="G27" s="46">
        <f>SUMIF('TUM-M'!E:E,A27,'TUM-M'!Q:Q)+SUMIF('TUM-W'!E:E,A27,'TUM-W'!Q:Q)</f>
        <v>0</v>
      </c>
      <c r="H27" s="47" t="str">
        <f t="shared" si="2"/>
        <v/>
      </c>
    </row>
    <row r="28" spans="1:19" x14ac:dyDescent="0.2">
      <c r="A28" s="59" t="s">
        <v>59</v>
      </c>
      <c r="B28" s="1" t="s">
        <v>151</v>
      </c>
      <c r="C28" s="46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47" t="str">
        <f t="shared" si="0"/>
        <v/>
      </c>
      <c r="E28" s="46">
        <f>SUMIF('DMT-M'!E:E,A28,'DMT-M'!Q:Q)+SUMIF('DMT-W'!E:E,A28,'DMT-W'!Q:Q)</f>
        <v>0</v>
      </c>
      <c r="F28" s="47" t="str">
        <f t="shared" si="1"/>
        <v/>
      </c>
      <c r="G28" s="46">
        <f>SUMIF('TUM-M'!E:E,A28,'TUM-M'!Q:Q)+SUMIF('TUM-W'!E:E,A28,'TUM-W'!Q:Q)</f>
        <v>0</v>
      </c>
      <c r="H28" s="47" t="str">
        <f t="shared" si="2"/>
        <v/>
      </c>
    </row>
    <row r="29" spans="1:19" x14ac:dyDescent="0.2">
      <c r="A29" s="59" t="s">
        <v>87</v>
      </c>
      <c r="B29" s="1" t="s">
        <v>147</v>
      </c>
      <c r="C29" s="46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47" t="str">
        <f t="shared" si="0"/>
        <v/>
      </c>
      <c r="E29" s="46">
        <f>SUMIF('DMT-M'!E:E,A29,'DMT-M'!Q:Q)+SUMIF('DMT-W'!E:E,A29,'DMT-W'!Q:Q)</f>
        <v>0</v>
      </c>
      <c r="F29" s="47" t="str">
        <f t="shared" si="1"/>
        <v/>
      </c>
      <c r="G29" s="46">
        <f>SUMIF('TUM-M'!E:E,A29,'TUM-M'!Q:Q)+SUMIF('TUM-W'!E:E,A29,'TUM-W'!Q:Q)</f>
        <v>0</v>
      </c>
      <c r="H29" s="47" t="str">
        <f t="shared" si="2"/>
        <v/>
      </c>
    </row>
    <row r="30" spans="1:19" x14ac:dyDescent="0.2">
      <c r="A30" s="59" t="s">
        <v>46</v>
      </c>
      <c r="B30" s="1" t="s">
        <v>153</v>
      </c>
      <c r="C30" s="46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47" t="str">
        <f t="shared" si="0"/>
        <v/>
      </c>
      <c r="E30" s="46">
        <f>SUMIF('DMT-M'!E:E,A30,'DMT-M'!Q:Q)+SUMIF('DMT-W'!E:E,A30,'DMT-W'!Q:Q)</f>
        <v>0</v>
      </c>
      <c r="F30" s="47" t="str">
        <f t="shared" si="1"/>
        <v/>
      </c>
      <c r="G30" s="46">
        <f>SUMIF('TUM-M'!E:E,A30,'TUM-M'!Q:Q)+SUMIF('TUM-W'!E:E,A30,'TUM-W'!Q:Q)</f>
        <v>0</v>
      </c>
      <c r="H30" s="47" t="str">
        <f t="shared" si="2"/>
        <v/>
      </c>
    </row>
    <row r="31" spans="1:19" x14ac:dyDescent="0.2">
      <c r="A31" s="59" t="s">
        <v>218</v>
      </c>
      <c r="B31" s="1" t="s">
        <v>150</v>
      </c>
      <c r="C31" s="46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47" t="str">
        <f t="shared" si="0"/>
        <v/>
      </c>
      <c r="E31" s="46">
        <f>SUMIF('DMT-M'!E:E,A31,'DMT-M'!Q:Q)+SUMIF('DMT-W'!E:E,A31,'DMT-W'!Q:Q)</f>
        <v>0</v>
      </c>
      <c r="F31" s="47" t="str">
        <f t="shared" si="1"/>
        <v/>
      </c>
      <c r="G31" s="46">
        <f>SUMIF('TUM-M'!E:E,A31,'TUM-M'!Q:Q)+SUMIF('TUM-W'!E:E,A31,'TUM-W'!Q:Q)</f>
        <v>0</v>
      </c>
      <c r="H31" s="47" t="str">
        <f t="shared" si="2"/>
        <v/>
      </c>
    </row>
    <row r="32" spans="1:19" x14ac:dyDescent="0.2">
      <c r="A32" s="59" t="s">
        <v>71</v>
      </c>
      <c r="B32" s="1" t="s">
        <v>147</v>
      </c>
      <c r="C32" s="46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47" t="str">
        <f t="shared" si="0"/>
        <v/>
      </c>
      <c r="E32" s="46">
        <f>SUMIF('DMT-M'!E:E,A32,'DMT-M'!Q:Q)+SUMIF('DMT-W'!E:E,A32,'DMT-W'!Q:Q)</f>
        <v>0</v>
      </c>
      <c r="F32" s="47" t="str">
        <f t="shared" si="1"/>
        <v/>
      </c>
      <c r="G32" s="46">
        <f>SUMIF('TUM-M'!E:E,A32,'TUM-M'!Q:Q)+SUMIF('TUM-W'!E:E,A32,'TUM-W'!Q:Q)</f>
        <v>0</v>
      </c>
      <c r="H32" s="47" t="str">
        <f t="shared" si="2"/>
        <v/>
      </c>
    </row>
    <row r="33" spans="1:8" x14ac:dyDescent="0.2">
      <c r="A33" s="59" t="s">
        <v>138</v>
      </c>
      <c r="B33" s="1" t="s">
        <v>147</v>
      </c>
      <c r="C33" s="46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47" t="str">
        <f t="shared" si="0"/>
        <v/>
      </c>
      <c r="E33" s="46">
        <f>SUMIF('DMT-M'!E:E,A33,'DMT-M'!Q:Q)+SUMIF('DMT-W'!E:E,A33,'DMT-W'!Q:Q)</f>
        <v>0</v>
      </c>
      <c r="F33" s="47" t="str">
        <f t="shared" si="1"/>
        <v/>
      </c>
      <c r="G33" s="46">
        <f>SUMIF('TUM-M'!E:E,A33,'TUM-M'!Q:Q)+SUMIF('TUM-W'!E:E,A33,'TUM-W'!Q:Q)</f>
        <v>0</v>
      </c>
      <c r="H33" s="47" t="str">
        <f t="shared" si="2"/>
        <v/>
      </c>
    </row>
    <row r="34" spans="1:8" x14ac:dyDescent="0.2">
      <c r="A34" s="59" t="s">
        <v>60</v>
      </c>
      <c r="B34" s="1" t="s">
        <v>151</v>
      </c>
      <c r="C34" s="46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47" t="str">
        <f t="shared" si="0"/>
        <v/>
      </c>
      <c r="E34" s="46">
        <f>SUMIF('DMT-M'!E:E,A34,'DMT-M'!Q:Q)+SUMIF('DMT-W'!E:E,A34,'DMT-W'!Q:Q)</f>
        <v>0</v>
      </c>
      <c r="F34" s="47" t="str">
        <f t="shared" si="1"/>
        <v/>
      </c>
      <c r="G34" s="46">
        <f>SUMIF('TUM-M'!E:E,A34,'TUM-M'!Q:Q)+SUMIF('TUM-W'!E:E,A34,'TUM-W'!Q:Q)</f>
        <v>0</v>
      </c>
      <c r="H34" s="47" t="str">
        <f t="shared" si="2"/>
        <v/>
      </c>
    </row>
    <row r="35" spans="1:8" x14ac:dyDescent="0.2">
      <c r="A35" s="59" t="s">
        <v>279</v>
      </c>
      <c r="B35" s="1" t="s">
        <v>151</v>
      </c>
      <c r="C35" s="46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47" t="str">
        <f t="shared" ref="D35:D66" si="6">IF(C35&gt;0,RANK(C35,C$2:C$66),"")</f>
        <v/>
      </c>
      <c r="E35" s="46">
        <f>SUMIF('DMT-M'!E:E,A35,'DMT-M'!Q:Q)+SUMIF('DMT-W'!E:E,A35,'DMT-W'!Q:Q)</f>
        <v>0</v>
      </c>
      <c r="F35" s="47" t="str">
        <f t="shared" ref="F35:F66" si="7">IF(E35&gt;0,RANK(E35,E$2:E$66),"")</f>
        <v/>
      </c>
      <c r="G35" s="46">
        <f>SUMIF('TUM-M'!E:E,A35,'TUM-M'!Q:Q)+SUMIF('TUM-W'!E:E,A35,'TUM-W'!Q:Q)</f>
        <v>0</v>
      </c>
      <c r="H35" s="47" t="str">
        <f t="shared" ref="H35:H66" si="8">IF(G35&gt;0,RANK(G35,G$2:G$66),"")</f>
        <v/>
      </c>
    </row>
    <row r="36" spans="1:8" x14ac:dyDescent="0.2">
      <c r="A36" s="59" t="s">
        <v>56</v>
      </c>
      <c r="B36" s="1" t="s">
        <v>149</v>
      </c>
      <c r="C36" s="46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47" t="str">
        <f t="shared" si="6"/>
        <v/>
      </c>
      <c r="E36" s="46">
        <f>SUMIF('DMT-M'!E:E,A36,'DMT-M'!Q:Q)+SUMIF('DMT-W'!E:E,A36,'DMT-W'!Q:Q)</f>
        <v>0</v>
      </c>
      <c r="F36" s="47" t="str">
        <f t="shared" si="7"/>
        <v/>
      </c>
      <c r="G36" s="46">
        <f>SUMIF('TUM-M'!E:E,A36,'TUM-M'!Q:Q)+SUMIF('TUM-W'!E:E,A36,'TUM-W'!Q:Q)</f>
        <v>0</v>
      </c>
      <c r="H36" s="47" t="str">
        <f t="shared" si="8"/>
        <v/>
      </c>
    </row>
    <row r="37" spans="1:8" x14ac:dyDescent="0.2">
      <c r="A37" s="59" t="s">
        <v>62</v>
      </c>
      <c r="B37" s="1" t="s">
        <v>149</v>
      </c>
      <c r="C37" s="46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47" t="str">
        <f t="shared" si="6"/>
        <v/>
      </c>
      <c r="E37" s="46">
        <f>SUMIF('DMT-M'!E:E,A37,'DMT-M'!Q:Q)+SUMIF('DMT-W'!E:E,A37,'DMT-W'!Q:Q)</f>
        <v>0</v>
      </c>
      <c r="F37" s="47" t="str">
        <f t="shared" si="7"/>
        <v/>
      </c>
      <c r="G37" s="46">
        <f>SUMIF('TUM-M'!E:E,A37,'TUM-M'!Q:Q)+SUMIF('TUM-W'!E:E,A37,'TUM-W'!Q:Q)</f>
        <v>0</v>
      </c>
      <c r="H37" s="47" t="str">
        <f t="shared" si="8"/>
        <v/>
      </c>
    </row>
    <row r="38" spans="1:8" x14ac:dyDescent="0.2">
      <c r="A38" s="59" t="s">
        <v>254</v>
      </c>
      <c r="B38" s="1" t="s">
        <v>151</v>
      </c>
      <c r="C38" s="46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47" t="str">
        <f t="shared" si="6"/>
        <v/>
      </c>
      <c r="E38" s="46">
        <f>SUMIF('DMT-M'!E:E,A38,'DMT-M'!Q:Q)+SUMIF('DMT-W'!E:E,A38,'DMT-W'!Q:Q)</f>
        <v>0</v>
      </c>
      <c r="F38" s="47" t="str">
        <f t="shared" si="7"/>
        <v/>
      </c>
      <c r="G38" s="46">
        <f>SUMIF('TUM-M'!E:E,A38,'TUM-M'!Q:Q)+SUMIF('TUM-W'!E:E,A38,'TUM-W'!Q:Q)</f>
        <v>0</v>
      </c>
      <c r="H38" s="47" t="str">
        <f t="shared" si="8"/>
        <v/>
      </c>
    </row>
    <row r="39" spans="1:8" x14ac:dyDescent="0.2">
      <c r="A39" s="59" t="s">
        <v>310</v>
      </c>
      <c r="B39" s="1" t="s">
        <v>147</v>
      </c>
      <c r="C39" s="46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47" t="str">
        <f t="shared" si="6"/>
        <v/>
      </c>
      <c r="E39" s="46">
        <f>SUMIF('DMT-M'!E:E,A39,'DMT-M'!Q:Q)+SUMIF('DMT-W'!E:E,A39,'DMT-W'!Q:Q)</f>
        <v>0</v>
      </c>
      <c r="F39" s="47" t="str">
        <f t="shared" si="7"/>
        <v/>
      </c>
      <c r="G39" s="46">
        <f>SUMIF('TUM-M'!E:E,A39,'TUM-M'!Q:Q)+SUMIF('TUM-W'!E:E,A39,'TUM-W'!Q:Q)</f>
        <v>0</v>
      </c>
      <c r="H39" s="47" t="str">
        <f t="shared" si="8"/>
        <v/>
      </c>
    </row>
    <row r="40" spans="1:8" x14ac:dyDescent="0.2">
      <c r="A40" s="59" t="s">
        <v>201</v>
      </c>
      <c r="B40" s="1" t="s">
        <v>150</v>
      </c>
      <c r="C40" s="46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47" t="str">
        <f t="shared" si="6"/>
        <v/>
      </c>
      <c r="E40" s="46">
        <f>SUMIF('DMT-M'!E:E,A40,'DMT-M'!Q:Q)+SUMIF('DMT-W'!E:E,A40,'DMT-W'!Q:Q)</f>
        <v>0</v>
      </c>
      <c r="F40" s="47" t="str">
        <f t="shared" si="7"/>
        <v/>
      </c>
      <c r="G40" s="46">
        <f>SUMIF('TUM-M'!E:E,A40,'TUM-M'!Q:Q)+SUMIF('TUM-W'!E:E,A40,'TUM-W'!Q:Q)</f>
        <v>0</v>
      </c>
      <c r="H40" s="47" t="str">
        <f t="shared" si="8"/>
        <v/>
      </c>
    </row>
    <row r="41" spans="1:8" x14ac:dyDescent="0.2">
      <c r="A41" s="59" t="s">
        <v>131</v>
      </c>
      <c r="B41" s="1" t="s">
        <v>147</v>
      </c>
      <c r="C41" s="46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47" t="str">
        <f t="shared" si="6"/>
        <v/>
      </c>
      <c r="E41" s="46">
        <f>SUMIF('DMT-M'!E:E,A41,'DMT-M'!Q:Q)+SUMIF('DMT-W'!E:E,A41,'DMT-W'!Q:Q)</f>
        <v>0</v>
      </c>
      <c r="F41" s="47" t="str">
        <f t="shared" si="7"/>
        <v/>
      </c>
      <c r="G41" s="46">
        <f>SUMIF('TUM-M'!E:E,A41,'TUM-M'!Q:Q)+SUMIF('TUM-W'!E:E,A41,'TUM-W'!Q:Q)</f>
        <v>0</v>
      </c>
      <c r="H41" s="47" t="str">
        <f t="shared" si="8"/>
        <v/>
      </c>
    </row>
    <row r="42" spans="1:8" x14ac:dyDescent="0.2">
      <c r="A42" s="59" t="s">
        <v>198</v>
      </c>
      <c r="B42" s="1" t="s">
        <v>151</v>
      </c>
      <c r="C42" s="46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47" t="str">
        <f t="shared" si="6"/>
        <v/>
      </c>
      <c r="E42" s="46">
        <f>SUMIF('DMT-M'!E:E,A42,'DMT-M'!Q:Q)+SUMIF('DMT-W'!E:E,A42,'DMT-W'!Q:Q)</f>
        <v>0</v>
      </c>
      <c r="F42" s="47" t="str">
        <f t="shared" si="7"/>
        <v/>
      </c>
      <c r="G42" s="46">
        <f>SUMIF('TUM-M'!E:E,A42,'TUM-M'!Q:Q)+SUMIF('TUM-W'!E:E,A42,'TUM-W'!Q:Q)</f>
        <v>0</v>
      </c>
      <c r="H42" s="47" t="str">
        <f t="shared" si="8"/>
        <v/>
      </c>
    </row>
    <row r="43" spans="1:8" x14ac:dyDescent="0.2">
      <c r="A43" s="59" t="s">
        <v>133</v>
      </c>
      <c r="B43" s="1" t="s">
        <v>147</v>
      </c>
      <c r="C43" s="46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47" t="str">
        <f t="shared" si="6"/>
        <v/>
      </c>
      <c r="E43" s="46">
        <f>SUMIF('DMT-M'!E:E,A43,'DMT-M'!Q:Q)+SUMIF('DMT-W'!E:E,A43,'DMT-W'!Q:Q)</f>
        <v>0</v>
      </c>
      <c r="F43" s="47" t="str">
        <f t="shared" si="7"/>
        <v/>
      </c>
      <c r="G43" s="46">
        <f>SUMIF('TUM-M'!E:E,A43,'TUM-M'!Q:Q)+SUMIF('TUM-W'!E:E,A43,'TUM-W'!Q:Q)</f>
        <v>0</v>
      </c>
      <c r="H43" s="47" t="str">
        <f t="shared" si="8"/>
        <v/>
      </c>
    </row>
    <row r="44" spans="1:8" x14ac:dyDescent="0.2">
      <c r="A44" s="59" t="s">
        <v>203</v>
      </c>
      <c r="B44" s="1" t="s">
        <v>152</v>
      </c>
      <c r="C44" s="46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47" t="str">
        <f t="shared" si="6"/>
        <v/>
      </c>
      <c r="E44" s="46">
        <f>SUMIF('DMT-M'!E:E,A44,'DMT-M'!Q:Q)+SUMIF('DMT-W'!E:E,A44,'DMT-W'!Q:Q)</f>
        <v>0</v>
      </c>
      <c r="F44" s="47" t="str">
        <f t="shared" si="7"/>
        <v/>
      </c>
      <c r="G44" s="46">
        <f>SUMIF('TUM-M'!E:E,A44,'TUM-M'!Q:Q)+SUMIF('TUM-W'!E:E,A44,'TUM-W'!Q:Q)</f>
        <v>0</v>
      </c>
      <c r="H44" s="47" t="str">
        <f t="shared" si="8"/>
        <v/>
      </c>
    </row>
    <row r="45" spans="1:8" x14ac:dyDescent="0.2">
      <c r="A45" s="59" t="s">
        <v>252</v>
      </c>
      <c r="B45" s="1" t="s">
        <v>147</v>
      </c>
      <c r="C45" s="46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47" t="str">
        <f t="shared" si="6"/>
        <v/>
      </c>
      <c r="E45" s="46">
        <f>SUMIF('DMT-M'!E:E,A45,'DMT-M'!Q:Q)+SUMIF('DMT-W'!E:E,A45,'DMT-W'!Q:Q)</f>
        <v>0</v>
      </c>
      <c r="F45" s="47" t="str">
        <f t="shared" si="7"/>
        <v/>
      </c>
      <c r="G45" s="46">
        <f>SUMIF('TUM-M'!E:E,A45,'TUM-M'!Q:Q)+SUMIF('TUM-W'!E:E,A45,'TUM-W'!Q:Q)</f>
        <v>0</v>
      </c>
      <c r="H45" s="47" t="str">
        <f t="shared" si="8"/>
        <v/>
      </c>
    </row>
    <row r="46" spans="1:8" x14ac:dyDescent="0.2">
      <c r="A46" s="59" t="s">
        <v>36</v>
      </c>
      <c r="B46" s="1" t="s">
        <v>151</v>
      </c>
      <c r="C46" s="46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47" t="str">
        <f t="shared" si="6"/>
        <v/>
      </c>
      <c r="E46" s="46">
        <f>SUMIF('DMT-M'!E:E,A46,'DMT-M'!Q:Q)+SUMIF('DMT-W'!E:E,A46,'DMT-W'!Q:Q)</f>
        <v>0</v>
      </c>
      <c r="F46" s="47" t="str">
        <f t="shared" si="7"/>
        <v/>
      </c>
      <c r="G46" s="46">
        <f>SUMIF('TUM-M'!E:E,A46,'TUM-M'!Q:Q)+SUMIF('TUM-W'!E:E,A46,'TUM-W'!Q:Q)</f>
        <v>0</v>
      </c>
      <c r="H46" s="47" t="str">
        <f t="shared" si="8"/>
        <v/>
      </c>
    </row>
    <row r="47" spans="1:8" x14ac:dyDescent="0.2">
      <c r="A47" s="59" t="s">
        <v>37</v>
      </c>
      <c r="B47" s="1" t="s">
        <v>147</v>
      </c>
      <c r="C47" s="46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47" t="str">
        <f t="shared" si="6"/>
        <v/>
      </c>
      <c r="E47" s="46">
        <f>SUMIF('DMT-M'!E:E,A47,'DMT-M'!Q:Q)+SUMIF('DMT-W'!E:E,A47,'DMT-W'!Q:Q)</f>
        <v>0</v>
      </c>
      <c r="F47" s="47" t="str">
        <f t="shared" si="7"/>
        <v/>
      </c>
      <c r="G47" s="46">
        <f>SUMIF('TUM-M'!E:E,A47,'TUM-M'!Q:Q)+SUMIF('TUM-W'!E:E,A47,'TUM-W'!Q:Q)</f>
        <v>0</v>
      </c>
      <c r="H47" s="47" t="str">
        <f t="shared" si="8"/>
        <v/>
      </c>
    </row>
    <row r="48" spans="1:8" x14ac:dyDescent="0.2">
      <c r="A48" s="59" t="s">
        <v>199</v>
      </c>
      <c r="B48" s="1" t="s">
        <v>147</v>
      </c>
      <c r="C48" s="46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47" t="str">
        <f t="shared" si="6"/>
        <v/>
      </c>
      <c r="E48" s="46">
        <f>SUMIF('DMT-M'!E:E,A48,'DMT-M'!Q:Q)+SUMIF('DMT-W'!E:E,A48,'DMT-W'!Q:Q)</f>
        <v>0</v>
      </c>
      <c r="F48" s="47" t="str">
        <f t="shared" si="7"/>
        <v/>
      </c>
      <c r="G48" s="46">
        <f>SUMIF('TUM-M'!E:E,A48,'TUM-M'!Q:Q)+SUMIF('TUM-W'!E:E,A48,'TUM-W'!Q:Q)</f>
        <v>0</v>
      </c>
      <c r="H48" s="47" t="str">
        <f t="shared" si="8"/>
        <v/>
      </c>
    </row>
    <row r="49" spans="1:8" x14ac:dyDescent="0.2">
      <c r="A49" s="59" t="s">
        <v>206</v>
      </c>
      <c r="B49" s="1" t="s">
        <v>147</v>
      </c>
      <c r="C49" s="46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47" t="str">
        <f t="shared" si="6"/>
        <v/>
      </c>
      <c r="E49" s="46">
        <f>SUMIF('DMT-M'!E:E,A49,'DMT-M'!Q:Q)+SUMIF('DMT-W'!E:E,A49,'DMT-W'!Q:Q)</f>
        <v>0</v>
      </c>
      <c r="F49" s="47" t="str">
        <f t="shared" si="7"/>
        <v/>
      </c>
      <c r="G49" s="46">
        <f>SUMIF('TUM-M'!E:E,A49,'TUM-M'!Q:Q)+SUMIF('TUM-W'!E:E,A49,'TUM-W'!Q:Q)</f>
        <v>0</v>
      </c>
      <c r="H49" s="47" t="str">
        <f t="shared" si="8"/>
        <v/>
      </c>
    </row>
    <row r="50" spans="1:8" x14ac:dyDescent="0.2">
      <c r="A50" s="59" t="s">
        <v>329</v>
      </c>
      <c r="B50" s="1" t="s">
        <v>148</v>
      </c>
      <c r="C50" s="46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47" t="str">
        <f t="shared" si="6"/>
        <v/>
      </c>
      <c r="E50" s="46">
        <f>SUMIF('DMT-M'!E:E,A50,'DMT-M'!Q:Q)+SUMIF('DMT-W'!E:E,A50,'DMT-W'!Q:Q)</f>
        <v>0</v>
      </c>
      <c r="F50" s="47" t="str">
        <f t="shared" si="7"/>
        <v/>
      </c>
      <c r="G50" s="46">
        <f>SUMIF('TUM-M'!E:E,A50,'TUM-M'!Q:Q)+SUMIF('TUM-W'!E:E,A50,'TUM-W'!Q:Q)</f>
        <v>0</v>
      </c>
      <c r="H50" s="47" t="str">
        <f t="shared" si="8"/>
        <v/>
      </c>
    </row>
    <row r="51" spans="1:8" x14ac:dyDescent="0.2">
      <c r="A51" s="59" t="s">
        <v>55</v>
      </c>
      <c r="B51" s="1" t="s">
        <v>151</v>
      </c>
      <c r="C51" s="46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47" t="str">
        <f t="shared" si="6"/>
        <v/>
      </c>
      <c r="E51" s="46">
        <f>SUMIF('DMT-M'!E:E,A51,'DMT-M'!Q:Q)+SUMIF('DMT-W'!E:E,A51,'DMT-W'!Q:Q)</f>
        <v>0</v>
      </c>
      <c r="F51" s="47" t="str">
        <f t="shared" si="7"/>
        <v/>
      </c>
      <c r="G51" s="46">
        <f>SUMIF('TUM-M'!E:E,A51,'TUM-M'!Q:Q)+SUMIF('TUM-W'!E:E,A51,'TUM-W'!Q:Q)</f>
        <v>0</v>
      </c>
      <c r="H51" s="47" t="str">
        <f t="shared" si="8"/>
        <v/>
      </c>
    </row>
    <row r="52" spans="1:8" x14ac:dyDescent="0.2">
      <c r="A52" s="59" t="s">
        <v>67</v>
      </c>
      <c r="B52" s="1" t="s">
        <v>154</v>
      </c>
      <c r="C52" s="46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47" t="str">
        <f t="shared" si="6"/>
        <v/>
      </c>
      <c r="E52" s="46">
        <f>SUMIF('DMT-M'!E:E,A52,'DMT-M'!Q:Q)+SUMIF('DMT-W'!E:E,A52,'DMT-W'!Q:Q)</f>
        <v>0</v>
      </c>
      <c r="F52" s="47" t="str">
        <f t="shared" si="7"/>
        <v/>
      </c>
      <c r="G52" s="46">
        <f>SUMIF('TUM-M'!E:E,A52,'TUM-M'!Q:Q)+SUMIF('TUM-W'!E:E,A52,'TUM-W'!Q:Q)</f>
        <v>0</v>
      </c>
      <c r="H52" s="47" t="str">
        <f t="shared" si="8"/>
        <v/>
      </c>
    </row>
    <row r="53" spans="1:8" x14ac:dyDescent="0.2">
      <c r="A53" s="59" t="s">
        <v>39</v>
      </c>
      <c r="B53" s="1" t="s">
        <v>149</v>
      </c>
      <c r="C53" s="46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47" t="str">
        <f t="shared" si="6"/>
        <v/>
      </c>
      <c r="E53" s="46">
        <f>SUMIF('DMT-M'!E:E,A53,'DMT-M'!Q:Q)+SUMIF('DMT-W'!E:E,A53,'DMT-W'!Q:Q)</f>
        <v>0</v>
      </c>
      <c r="F53" s="47" t="str">
        <f t="shared" si="7"/>
        <v/>
      </c>
      <c r="G53" s="46">
        <f>SUMIF('TUM-M'!E:E,A53,'TUM-M'!Q:Q)+SUMIF('TUM-W'!E:E,A53,'TUM-W'!Q:Q)</f>
        <v>0</v>
      </c>
      <c r="H53" s="47" t="str">
        <f t="shared" si="8"/>
        <v/>
      </c>
    </row>
    <row r="54" spans="1:8" x14ac:dyDescent="0.2">
      <c r="A54" s="59" t="s">
        <v>112</v>
      </c>
      <c r="B54" s="1" t="s">
        <v>152</v>
      </c>
      <c r="C54" s="46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47" t="str">
        <f t="shared" si="6"/>
        <v/>
      </c>
      <c r="E54" s="46">
        <f>SUMIF('DMT-M'!E:E,A54,'DMT-M'!Q:Q)+SUMIF('DMT-W'!E:E,A54,'DMT-W'!Q:Q)</f>
        <v>0</v>
      </c>
      <c r="F54" s="47" t="str">
        <f t="shared" si="7"/>
        <v/>
      </c>
      <c r="G54" s="46">
        <f>SUMIF('TUM-M'!E:E,A54,'TUM-M'!Q:Q)+SUMIF('TUM-W'!E:E,A54,'TUM-W'!Q:Q)</f>
        <v>0</v>
      </c>
      <c r="H54" s="47" t="str">
        <f t="shared" si="8"/>
        <v/>
      </c>
    </row>
    <row r="55" spans="1:8" x14ac:dyDescent="0.2">
      <c r="A55" s="47" t="s">
        <v>383</v>
      </c>
      <c r="B55" s="1" t="s">
        <v>147</v>
      </c>
      <c r="C55" s="46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47" t="str">
        <f t="shared" ref="D55" si="9">IF(C55&gt;0,RANK(C55,C$2:C$66),"")</f>
        <v/>
      </c>
      <c r="E55" s="46">
        <f>SUMIF('DMT-M'!E:E,A55,'DMT-M'!Q:Q)+SUMIF('DMT-W'!E:E,A55,'DMT-W'!Q:Q)</f>
        <v>0</v>
      </c>
      <c r="F55" s="47" t="str">
        <f t="shared" ref="F55" si="10">IF(E55&gt;0,RANK(E55,E$2:E$66),"")</f>
        <v/>
      </c>
      <c r="G55" s="46">
        <f>SUMIF('TUM-M'!E:E,A55,'TUM-M'!Q:Q)+SUMIF('TUM-W'!E:E,A55,'TUM-W'!Q:Q)</f>
        <v>0</v>
      </c>
      <c r="H55" s="47" t="str">
        <f t="shared" ref="H55" si="11">IF(G55&gt;0,RANK(G55,G$2:G$66),"")</f>
        <v/>
      </c>
    </row>
    <row r="56" spans="1:8" x14ac:dyDescent="0.2">
      <c r="A56" s="47" t="s">
        <v>57</v>
      </c>
      <c r="B56" s="1" t="s">
        <v>150</v>
      </c>
      <c r="C56" s="46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47" t="str">
        <f t="shared" si="6"/>
        <v/>
      </c>
      <c r="E56" s="46">
        <f>SUMIF('DMT-M'!E:E,A56,'DMT-M'!Q:Q)+SUMIF('DMT-W'!E:E,A56,'DMT-W'!Q:Q)</f>
        <v>0</v>
      </c>
      <c r="F56" s="47" t="str">
        <f t="shared" si="7"/>
        <v/>
      </c>
      <c r="G56" s="46">
        <f>SUMIF('TUM-M'!E:E,A56,'TUM-M'!Q:Q)+SUMIF('TUM-W'!E:E,A56,'TUM-W'!Q:Q)</f>
        <v>0</v>
      </c>
      <c r="H56" s="47" t="str">
        <f t="shared" si="8"/>
        <v/>
      </c>
    </row>
    <row r="57" spans="1:8" x14ac:dyDescent="0.2">
      <c r="A57" s="47" t="s">
        <v>219</v>
      </c>
      <c r="B57" s="1" t="s">
        <v>147</v>
      </c>
      <c r="C57" s="46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47" t="str">
        <f t="shared" si="6"/>
        <v/>
      </c>
      <c r="E57" s="46">
        <f>SUMIF('DMT-M'!E:E,A57,'DMT-M'!Q:Q)+SUMIF('DMT-W'!E:E,A57,'DMT-W'!Q:Q)</f>
        <v>0</v>
      </c>
      <c r="F57" s="47" t="str">
        <f t="shared" si="7"/>
        <v/>
      </c>
      <c r="G57" s="46">
        <f>SUMIF('TUM-M'!E:E,A57,'TUM-M'!Q:Q)+SUMIF('TUM-W'!E:E,A57,'TUM-W'!Q:Q)</f>
        <v>0</v>
      </c>
      <c r="H57" s="47" t="str">
        <f t="shared" si="8"/>
        <v/>
      </c>
    </row>
    <row r="58" spans="1:8" x14ac:dyDescent="0.2">
      <c r="A58" s="47" t="s">
        <v>278</v>
      </c>
      <c r="B58" s="1" t="s">
        <v>147</v>
      </c>
      <c r="C58" s="46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47" t="str">
        <f t="shared" si="6"/>
        <v/>
      </c>
      <c r="E58" s="46">
        <f>SUMIF('DMT-M'!E:E,A58,'DMT-M'!Q:Q)+SUMIF('DMT-W'!E:E,A58,'DMT-W'!Q:Q)</f>
        <v>0</v>
      </c>
      <c r="F58" s="47" t="str">
        <f t="shared" si="7"/>
        <v/>
      </c>
      <c r="G58" s="46">
        <f>SUMIF('TUM-M'!E:E,A58,'TUM-M'!Q:Q)+SUMIF('TUM-W'!E:E,A58,'TUM-W'!Q:Q)</f>
        <v>0</v>
      </c>
      <c r="H58" s="47" t="str">
        <f t="shared" si="8"/>
        <v/>
      </c>
    </row>
    <row r="59" spans="1:8" x14ac:dyDescent="0.2">
      <c r="A59" s="47" t="s">
        <v>200</v>
      </c>
      <c r="B59" s="1" t="s">
        <v>150</v>
      </c>
      <c r="C59" s="46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47" t="str">
        <f t="shared" si="6"/>
        <v/>
      </c>
      <c r="E59" s="46">
        <f>SUMIF('DMT-M'!E:E,A59,'DMT-M'!Q:Q)+SUMIF('DMT-W'!E:E,A59,'DMT-W'!Q:Q)</f>
        <v>0</v>
      </c>
      <c r="F59" s="47" t="str">
        <f t="shared" si="7"/>
        <v/>
      </c>
      <c r="G59" s="46">
        <f>SUMIF('TUM-M'!E:E,A59,'TUM-M'!Q:Q)+SUMIF('TUM-W'!E:E,A59,'TUM-W'!Q:Q)</f>
        <v>0</v>
      </c>
      <c r="H59" s="47" t="str">
        <f t="shared" si="8"/>
        <v/>
      </c>
    </row>
    <row r="60" spans="1:8" x14ac:dyDescent="0.2">
      <c r="A60" s="47" t="s">
        <v>202</v>
      </c>
      <c r="B60" s="1" t="s">
        <v>147</v>
      </c>
      <c r="C60" s="4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47" t="str">
        <f t="shared" si="6"/>
        <v/>
      </c>
      <c r="E60" s="46">
        <f>SUMIF('DMT-M'!E:E,A60,'DMT-M'!Q:Q)+SUMIF('DMT-W'!E:E,A60,'DMT-W'!Q:Q)</f>
        <v>0</v>
      </c>
      <c r="F60" s="47" t="str">
        <f t="shared" si="7"/>
        <v/>
      </c>
      <c r="G60" s="46">
        <f>SUMIF('TUM-M'!E:E,A60,'TUM-M'!Q:Q)+SUMIF('TUM-W'!E:E,A60,'TUM-W'!Q:Q)</f>
        <v>0</v>
      </c>
      <c r="H60" s="47" t="str">
        <f t="shared" si="8"/>
        <v/>
      </c>
    </row>
    <row r="61" spans="1:8" x14ac:dyDescent="0.2">
      <c r="A61" s="47" t="s">
        <v>85</v>
      </c>
      <c r="B61" s="1" t="s">
        <v>150</v>
      </c>
      <c r="C61" s="46">
        <f>SUMIF('TRA-M'!E:E,A61,'TRA-M'!Q:Q)+SUMIF('TRA-W'!E:E,A61,'TRA-W'!Q:Q)+SUMIF('SYN-M'!E:E,A61,'SYN-M'!R:R)/2+SUMIF('SYN-W'!E:E,A61,'SYN-W'!R:R)/2+SUMIF('SYN-M'!F:F,A61,'SYN-M'!R:R)/2+SUMIF('SYN-W'!F:F,A61,'SYN-W'!R:R)/2</f>
        <v>0</v>
      </c>
      <c r="D61" s="47" t="str">
        <f t="shared" si="6"/>
        <v/>
      </c>
      <c r="E61" s="46">
        <f>SUMIF('DMT-M'!E:E,A61,'DMT-M'!Q:Q)+SUMIF('DMT-W'!E:E,A61,'DMT-W'!Q:Q)</f>
        <v>0</v>
      </c>
      <c r="F61" s="47" t="str">
        <f t="shared" si="7"/>
        <v/>
      </c>
      <c r="G61" s="46">
        <f>SUMIF('TUM-M'!E:E,A61,'TUM-M'!Q:Q)+SUMIF('TUM-W'!E:E,A61,'TUM-W'!Q:Q)</f>
        <v>0</v>
      </c>
      <c r="H61" s="47" t="str">
        <f t="shared" si="8"/>
        <v/>
      </c>
    </row>
    <row r="62" spans="1:8" x14ac:dyDescent="0.2">
      <c r="A62" s="47" t="s">
        <v>70</v>
      </c>
      <c r="B62" s="1" t="s">
        <v>151</v>
      </c>
      <c r="C62" s="46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47" t="str">
        <f t="shared" si="6"/>
        <v/>
      </c>
      <c r="E62" s="46">
        <f>SUMIF('DMT-M'!E:E,A62,'DMT-M'!Q:Q)+SUMIF('DMT-W'!E:E,A62,'DMT-W'!Q:Q)</f>
        <v>0</v>
      </c>
      <c r="F62" s="47" t="str">
        <f t="shared" si="7"/>
        <v/>
      </c>
      <c r="G62" s="46">
        <f>SUMIF('TUM-M'!E:E,A62,'TUM-M'!Q:Q)+SUMIF('TUM-W'!E:E,A62,'TUM-W'!Q:Q)</f>
        <v>0</v>
      </c>
      <c r="H62" s="47" t="str">
        <f t="shared" si="8"/>
        <v/>
      </c>
    </row>
    <row r="63" spans="1:8" x14ac:dyDescent="0.2">
      <c r="A63" s="47" t="s">
        <v>78</v>
      </c>
      <c r="B63" s="1" t="s">
        <v>150</v>
      </c>
      <c r="C63" s="46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47" t="str">
        <f t="shared" si="6"/>
        <v/>
      </c>
      <c r="E63" s="46">
        <f>SUMIF('DMT-M'!E:E,A63,'DMT-M'!Q:Q)+SUMIF('DMT-W'!E:E,A63,'DMT-W'!Q:Q)</f>
        <v>0</v>
      </c>
      <c r="F63" s="47" t="str">
        <f t="shared" si="7"/>
        <v/>
      </c>
      <c r="G63" s="46">
        <f>SUMIF('TUM-M'!E:E,A63,'TUM-M'!Q:Q)+SUMIF('TUM-W'!E:E,A63,'TUM-W'!Q:Q)</f>
        <v>0</v>
      </c>
      <c r="H63" s="47" t="str">
        <f t="shared" si="8"/>
        <v/>
      </c>
    </row>
    <row r="64" spans="1:8" x14ac:dyDescent="0.2">
      <c r="A64" s="47" t="s">
        <v>251</v>
      </c>
      <c r="B64" s="1" t="s">
        <v>149</v>
      </c>
      <c r="C64" s="46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47" t="str">
        <f t="shared" si="6"/>
        <v/>
      </c>
      <c r="E64" s="46">
        <f>SUMIF('DMT-M'!E:E,A64,'DMT-M'!Q:Q)+SUMIF('DMT-W'!E:E,A64,'DMT-W'!Q:Q)</f>
        <v>0</v>
      </c>
      <c r="F64" s="47" t="str">
        <f t="shared" si="7"/>
        <v/>
      </c>
      <c r="G64" s="46">
        <f>SUMIF('TUM-M'!E:E,A64,'TUM-M'!Q:Q)+SUMIF('TUM-W'!E:E,A64,'TUM-W'!Q:Q)</f>
        <v>0</v>
      </c>
      <c r="H64" s="47" t="str">
        <f t="shared" si="8"/>
        <v/>
      </c>
    </row>
    <row r="65" spans="1:8" x14ac:dyDescent="0.2">
      <c r="A65" s="47" t="s">
        <v>204</v>
      </c>
      <c r="B65" s="1" t="s">
        <v>151</v>
      </c>
      <c r="C65" s="46">
        <f>SUMIF('TRA-M'!E:E,A65,'TRA-M'!Q:Q)+SUMIF('TRA-W'!E:E,A65,'TRA-W'!Q:Q)+SUMIF('SYN-M'!E:E,A65,'SYN-M'!R:R)/2+SUMIF('SYN-W'!E:E,A65,'SYN-W'!R:R)/2+SUMIF('SYN-M'!F:F,A65,'SYN-M'!R:R)/2+SUMIF('SYN-W'!F:F,A65,'SYN-W'!R:R)/2</f>
        <v>0</v>
      </c>
      <c r="D65" s="47" t="str">
        <f t="shared" si="6"/>
        <v/>
      </c>
      <c r="E65" s="46">
        <f>SUMIF('DMT-M'!E:E,A65,'DMT-M'!Q:Q)+SUMIF('DMT-W'!E:E,A65,'DMT-W'!Q:Q)</f>
        <v>0</v>
      </c>
      <c r="F65" s="47" t="str">
        <f t="shared" si="7"/>
        <v/>
      </c>
      <c r="G65" s="46">
        <f>SUMIF('TUM-M'!E:E,A65,'TUM-M'!Q:Q)+SUMIF('TUM-W'!E:E,A65,'TUM-W'!Q:Q)</f>
        <v>0</v>
      </c>
      <c r="H65" s="47" t="str">
        <f t="shared" si="8"/>
        <v/>
      </c>
    </row>
    <row r="66" spans="1:8" x14ac:dyDescent="0.2">
      <c r="A66" s="50" t="s">
        <v>342</v>
      </c>
      <c r="B66" s="49" t="s">
        <v>150</v>
      </c>
      <c r="C66" s="48">
        <f>SUMIF('TRA-M'!E:E,A66,'TRA-M'!Q:Q)+SUMIF('TRA-W'!E:E,A66,'TRA-W'!Q:Q)+SUMIF('SYN-M'!E:E,A66,'SYN-M'!R:R)/2+SUMIF('SYN-W'!E:E,A66,'SYN-W'!R:R)/2+SUMIF('SYN-M'!F:F,A66,'SYN-M'!R:R)/2+SUMIF('SYN-W'!F:F,A66,'SYN-W'!R:R)/2</f>
        <v>0</v>
      </c>
      <c r="D66" s="50" t="str">
        <f t="shared" si="6"/>
        <v/>
      </c>
      <c r="E66" s="48">
        <f>SUMIF('DMT-M'!E:E,A66,'DMT-M'!Q:Q)+SUMIF('DMT-W'!E:E,A66,'DMT-W'!Q:Q)</f>
        <v>0</v>
      </c>
      <c r="F66" s="50" t="str">
        <f t="shared" si="7"/>
        <v/>
      </c>
      <c r="G66" s="48">
        <f>SUMIF('TUM-M'!E:E,A66,'TUM-M'!Q:Q)+SUMIF('TUM-W'!E:E,A66,'TUM-W'!Q:Q)</f>
        <v>0</v>
      </c>
      <c r="H66" s="50" t="str">
        <f t="shared" si="8"/>
        <v/>
      </c>
    </row>
  </sheetData>
  <conditionalFormatting sqref="D1:D1048576">
    <cfRule type="expression" dxfId="53" priority="1">
      <formula>IF(AND(D1&lt;&gt;"",D1&lt;=2),1,0)</formula>
    </cfRule>
  </conditionalFormatting>
  <conditionalFormatting sqref="F1:F1048576 H1:H1048576">
    <cfRule type="expression" dxfId="52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H6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hidden="1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8.33203125" bestFit="1" customWidth="1"/>
    <col min="25" max="25" width="6.6640625" style="35" bestFit="1" customWidth="1"/>
    <col min="26" max="26" width="11" style="35" bestFit="1" customWidth="1"/>
    <col min="27" max="27" width="10.83203125" style="34" hidden="1" customWidth="1"/>
    <col min="28" max="28" width="13.6640625" style="35" hidden="1" customWidth="1"/>
    <col min="29" max="29" width="11" style="35" hidden="1" customWidth="1"/>
    <col min="30" max="30" width="14.1640625" style="35" hidden="1" customWidth="1"/>
    <col min="31" max="31" width="7.6640625" hidden="1" customWidth="1"/>
    <col min="32" max="32" width="6.6640625" style="35" hidden="1" customWidth="1"/>
    <col min="33" max="33" width="9" style="35" hidden="1" customWidth="1"/>
    <col min="34" max="34" width="11" style="61"/>
  </cols>
  <sheetData>
    <row r="1" spans="1:34" s="6" customFormat="1" x14ac:dyDescent="0.2">
      <c r="A1" s="66" t="s">
        <v>162</v>
      </c>
      <c r="B1" s="66" t="s">
        <v>161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160</v>
      </c>
      <c r="R1" s="66" t="s">
        <v>241</v>
      </c>
      <c r="S1" s="68" t="s">
        <v>240</v>
      </c>
      <c r="T1" s="70" t="s">
        <v>43</v>
      </c>
      <c r="U1" s="70"/>
      <c r="V1" s="70"/>
      <c r="W1" s="70"/>
      <c r="X1" s="70"/>
      <c r="Y1" s="70"/>
      <c r="Z1" s="70"/>
      <c r="AA1" s="70" t="s">
        <v>42</v>
      </c>
      <c r="AB1" s="70"/>
      <c r="AC1" s="70"/>
      <c r="AD1" s="70"/>
      <c r="AE1" s="70"/>
      <c r="AF1" s="70"/>
      <c r="AG1" s="70"/>
      <c r="AH1" s="60"/>
    </row>
    <row r="2" spans="1:34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9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$67&lt;&gt;"")*(G$3:G$67=G3)*(J$3:J$67&gt;J3)*(I$3:I$67="P"))+1,IF(O3&lt;&gt;"",SUMPRODUCT((O$3:O$67&lt;&gt;"")*(P$3:P$67="")*(G$3:G$67=G3)*(J$3:J$67&gt;J3)*(I$3:I$67="P"))+SUMPRODUCT((P$3:P$67&lt;&gt;"")*(G$3:G$67=G3)*(I$3:I$67="P"))+1,IF(N3&lt;&gt;"",SUMPRODUCT((N$3:N$67&lt;&gt;"")*(G$3:G$67=G3)*(J$3:J$67&gt;J3)*(I$3:I$67="P"))+1,IF(M3="P",SUMPRODUCT((O$3:O$67&lt;&gt;"")*(P$3:P$67="")*(G$3:G$67=G3)*(I$3:I$67="P"))+SUMPRODUCT((P$3:P$67&lt;&gt;"")*(G$3:G$67=G3)*(I$3:I$67="P"))+SUMPRODUCT((N$3:N$67&lt;&gt;"")*(G$3:G$67=G3)*(I$3:I$67="P"))+SUMPRODUCT((P$3:P$67="")*(O$3:O$67="")*(N$3:N$67="")*(M$3:M$67="P")*(G$3:G$67=G3)*(J$3:J$67&gt;J3)*(I$3:I$67="P"))+IF(H3="L5",SUMPRODUCT((P$3:P$67="")*(O$3:O$67="")*(N$3:N$67="")*(M$3:M$67="P")*(G$3:G$67=G3)*(J$3:J$67&lt;J3)*(H$3:H$67&lt;&gt;H3)*(I$3:I$67="P")),-1*SUMPRODUCT((P$3:P$67="")*(O$3:O$67="")*(N$3:N$67="")*(M$3:M$67="P")*(G$3:G$67=G3)*(J$3:J$67&gt;J3)*(H$3:H$67="L5")*(I$3:I$67="P")))+1,"")))))</f>
        <v/>
      </c>
      <c r="B3" s="1" cm="1">
        <f t="array" ref="B3">IF(P3&lt;&gt;"",SUMPRODUCT((P$3:P$67&lt;&gt;"")*(G$3:G$67=G3)*(J$3:J$67&gt;J3))+1,IF(O3&lt;&gt;"",SUMPRODUCT((O$3:O$67&lt;&gt;"")*(P$3:P$67="")*(G$3:G$67=G3)*(J$3:J$67&gt;J3))+SUMPRODUCT((P$3:P$67&lt;&gt;"")*(G$3:G$67=G3))+1,IF(N3&lt;&gt;"",SUMPRODUCT((N$3:N$67&lt;&gt;"")*(G$3:G$67=G3)*(J$3:J$67&gt;J3))+1,IF(M3="P",SUMPRODUCT((O$3:O$67&lt;&gt;"")*(P$3:P$67="")*(G$3:G$67=G3))+SUMPRODUCT((P$3:P$67&lt;&gt;"")*(G$3:G$67=G3))+SUMPRODUCT((N$3:N$67&lt;&gt;"")*(G$3:G$67=G3))+SUMPRODUCT((P$3:P$67="")*(O$3:O$67="")*(N$3:N$67="")*(M$3:M$67="P")*(G$3:G$67=G3)*(J$3:J$67&gt;J3))+IF(H3="L5",SUMPRODUCT((P$3:P$67="")*(O$3:O$67="")*(N$3:N$67="")*(M$3:M$67="P")*(G$3:G$67=G3)*(J$3:J$67&lt;J3)*(H$3:H$67&lt;&gt;H3)),-1*SUMPRODUCT((P$3:P$67="")*(O$3:O$67="")*(N$3:N$67="")*(M$3:M$67="P")*(G$3:G$67=G3)*(J$3:J$67&gt;J3)*(H$3:H$67="L5")))+1,""))))</f>
        <v>1</v>
      </c>
      <c r="C3" s="35" t="s">
        <v>175</v>
      </c>
      <c r="D3" s="35" t="str">
        <f>IF(E3="","",VLOOKUP(E3,'Coaching Points'!A:B,2,0))</f>
        <v>BC</v>
      </c>
      <c r="E3" s="35" t="s">
        <v>59</v>
      </c>
      <c r="F3" s="34">
        <v>2003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72</v>
      </c>
      <c r="I3" s="40"/>
      <c r="J3" s="4">
        <f t="shared" ref="J3:J34" si="0">R3+IF(OR(H3="Junior",H3="Senior"),0.0002,IF(OR(H3="L7",H3="L6"),0.0001,0))+IF(G3="17-21",MAX(AA3,AC3,AF3),AE3)*0.0000001</f>
        <v>55.880200000000002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P3" s="36">
        <v>6</v>
      </c>
      <c r="Q3" s="1" t="str">
        <f t="shared" ref="Q3:Q34" si="1">IF(A3&lt;5,IF(_xlfn.MAXIFS(A:A,G:G,G3)&gt;3,5-A3,_xlfn.MAXIFS(A:A,G:G,G3)+1-A3),"")</f>
        <v/>
      </c>
      <c r="R3" s="4">
        <f t="shared" ref="R3:R34" si="2">IF(G3="17-21",MAX(T3,V3,Y3,AA3,AC3,AF3),MAX(X3,AE3))</f>
        <v>55.88</v>
      </c>
      <c r="S3" s="4">
        <f>IF(G3="17-21",LARGE(CHOOSE({1,2,3,4,5,6},T3,V3,Y3,AA3,AC3,AF3),2),IF(R3=X3,MAX(Y3,AA3,AC3,AF3),IF(R3=AE3,MAX(AF3,T3,V3,Y3),0)))</f>
        <v>44.55</v>
      </c>
      <c r="T3" s="32">
        <v>55.88</v>
      </c>
      <c r="U3" s="37">
        <v>15.8</v>
      </c>
      <c r="V3" s="33">
        <v>20.74</v>
      </c>
      <c r="W3" s="37">
        <v>7.1</v>
      </c>
      <c r="X3" s="4">
        <f t="shared" ref="X3:X34" si="3">IF(H3="Senior",MAX(T3,V3),T3+V3)</f>
        <v>55.88</v>
      </c>
      <c r="Y3" s="33">
        <v>44.55</v>
      </c>
      <c r="Z3" s="37">
        <v>12.4</v>
      </c>
      <c r="AA3" s="32"/>
      <c r="AB3" s="37"/>
      <c r="AC3" s="33"/>
      <c r="AD3" s="37"/>
      <c r="AE3" s="4">
        <f t="shared" ref="AE3:AE34" si="4">IF(H3="Senior",MAX(AA3,AC3),AA3+AC3)</f>
        <v>0</v>
      </c>
      <c r="AF3" s="33"/>
      <c r="AG3" s="37"/>
    </row>
    <row r="4" spans="1:34" x14ac:dyDescent="0.2">
      <c r="A4" s="1" t="str" cm="1">
        <f t="array" ref="A4">IF(I4="","",IF(P4&lt;&gt;"",SUMPRODUCT((P$3:P$67&lt;&gt;"")*(G$3:G$67=G4)*(J$3:J$67&gt;J4)*(I$3:I$67="P"))+1,IF(O4&lt;&gt;"",SUMPRODUCT((O$3:O$67&lt;&gt;"")*(P$3:P$67="")*(G$3:G$67=G4)*(J$3:J$67&gt;J4)*(I$3:I$67="P"))+SUMPRODUCT((P$3:P$67&lt;&gt;"")*(G$3:G$67=G4)*(I$3:I$67="P"))+1,IF(N4&lt;&gt;"",SUMPRODUCT((N$3:N$67&lt;&gt;"")*(G$3:G$67=G4)*(J$3:J$67&gt;J4)*(I$3:I$67="P"))+1,IF(M4="P",SUMPRODUCT((O$3:O$67&lt;&gt;"")*(P$3:P$67="")*(G$3:G$67=G4)*(I$3:I$67="P"))+SUMPRODUCT((P$3:P$67&lt;&gt;"")*(G$3:G$67=G4)*(I$3:I$67="P"))+SUMPRODUCT((N$3:N$67&lt;&gt;"")*(G$3:G$67=G4)*(I$3:I$67="P"))+SUMPRODUCT((P$3:P$67="")*(O$3:O$67="")*(N$3:N$67="")*(M$3:M$67="P")*(G$3:G$67=G4)*(J$3:J$67&gt;J4)*(I$3:I$67="P"))+IF(H4="L5",SUMPRODUCT((P$3:P$67="")*(O$3:O$67="")*(N$3:N$67="")*(M$3:M$67="P")*(G$3:G$67=G4)*(J$3:J$67&lt;J4)*(H$3:H$67&lt;&gt;H4)*(I$3:I$67="P")),-1*SUMPRODUCT((P$3:P$67="")*(O$3:O$67="")*(N$3:N$67="")*(M$3:M$67="P")*(G$3:G$67=G4)*(J$3:J$67&gt;J4)*(H$3:H$67="L5")*(I$3:I$67="P")))+1,"")))))</f>
        <v/>
      </c>
      <c r="B4" s="1" cm="1">
        <f t="array" ref="B4">IF(P4&lt;&gt;"",SUMPRODUCT((P$3:P$67&lt;&gt;"")*(G$3:G$67=G4)*(J$3:J$67&gt;J4))+1,IF(O4&lt;&gt;"",SUMPRODUCT((O$3:O$67&lt;&gt;"")*(P$3:P$67="")*(G$3:G$67=G4)*(J$3:J$67&gt;J4))+SUMPRODUCT((P$3:P$67&lt;&gt;"")*(G$3:G$67=G4))+1,IF(N4&lt;&gt;"",SUMPRODUCT((N$3:N$67&lt;&gt;"")*(G$3:G$67=G4)*(J$3:J$67&gt;J4))+1,IF(M4="P",SUMPRODUCT((O$3:O$67&lt;&gt;"")*(P$3:P$67="")*(G$3:G$67=G4))+SUMPRODUCT((P$3:P$67&lt;&gt;"")*(G$3:G$67=G4))+SUMPRODUCT((N$3:N$67&lt;&gt;"")*(G$3:G$67=G4))+SUMPRODUCT((P$3:P$67="")*(O$3:O$67="")*(N$3:N$67="")*(M$3:M$67="P")*(G$3:G$67=G4)*(J$3:J$67&gt;J4))+IF(H4="L5",SUMPRODUCT((P$3:P$67="")*(O$3:O$67="")*(N$3:N$67="")*(M$3:M$67="P")*(G$3:G$67=G4)*(J$3:J$67&lt;J4)*(H$3:H$67&lt;&gt;H4)),-1*SUMPRODUCT((P$3:P$67="")*(O$3:O$67="")*(N$3:N$67="")*(M$3:M$67="P")*(G$3:G$67=G4)*(J$3:J$67&gt;J4)*(H$3:H$67="L5")))+1,""))))</f>
        <v>2</v>
      </c>
      <c r="C4" s="35" t="s">
        <v>98</v>
      </c>
      <c r="D4" s="35" t="str">
        <f>IF(E4="","",VLOOKUP(E4,'Coaching Points'!A:B,2,0))</f>
        <v>QC</v>
      </c>
      <c r="E4" s="35" t="s">
        <v>3</v>
      </c>
      <c r="F4" s="34">
        <v>2005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72</v>
      </c>
      <c r="I4" s="40"/>
      <c r="J4" s="4">
        <f t="shared" si="0"/>
        <v>55.860199999999999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P4" s="36">
        <v>3</v>
      </c>
      <c r="Q4" s="1" t="str">
        <f t="shared" si="1"/>
        <v/>
      </c>
      <c r="R4" s="4">
        <f t="shared" si="2"/>
        <v>55.86</v>
      </c>
      <c r="S4" s="4">
        <f>IF(G4="17-21",LARGE(CHOOSE({1,2,3,4,5,6},T4,V4,Y4,AA4,AC4,AF4),2),IF(R4=X4,MAX(Y4,AA4,AC4,AF4),IF(R4=AE4,MAX(AF4,T4,V4,Y4),0)))</f>
        <v>55.17</v>
      </c>
      <c r="T4" s="32">
        <v>55.86</v>
      </c>
      <c r="U4" s="37">
        <v>15.4</v>
      </c>
      <c r="V4" s="33">
        <v>53.49</v>
      </c>
      <c r="W4" s="37">
        <v>13.8</v>
      </c>
      <c r="X4" s="4">
        <f t="shared" si="3"/>
        <v>55.86</v>
      </c>
      <c r="Y4" s="33">
        <v>55.17</v>
      </c>
      <c r="Z4" s="37">
        <v>15.4</v>
      </c>
      <c r="AA4" s="32"/>
      <c r="AB4" s="37"/>
      <c r="AC4" s="33"/>
      <c r="AD4" s="37"/>
      <c r="AE4" s="4">
        <f t="shared" si="4"/>
        <v>0</v>
      </c>
      <c r="AF4" s="33"/>
      <c r="AG4" s="37"/>
    </row>
    <row r="5" spans="1:34" x14ac:dyDescent="0.2">
      <c r="A5" s="1" t="str" cm="1">
        <f t="array" ref="A5">IF(I5="","",IF(P5&lt;&gt;"",SUMPRODUCT((P$3:P$67&lt;&gt;"")*(G$3:G$67=G5)*(J$3:J$67&gt;J5)*(I$3:I$67="P"))+1,IF(O5&lt;&gt;"",SUMPRODUCT((O$3:O$67&lt;&gt;"")*(P$3:P$67="")*(G$3:G$67=G5)*(J$3:J$67&gt;J5)*(I$3:I$67="P"))+SUMPRODUCT((P$3:P$67&lt;&gt;"")*(G$3:G$67=G5)*(I$3:I$67="P"))+1,IF(N5&lt;&gt;"",SUMPRODUCT((N$3:N$67&lt;&gt;"")*(G$3:G$67=G5)*(J$3:J$67&gt;J5)*(I$3:I$67="P"))+1,IF(M5="P",SUMPRODUCT((O$3:O$67&lt;&gt;"")*(P$3:P$67="")*(G$3:G$67=G5)*(I$3:I$67="P"))+SUMPRODUCT((P$3:P$67&lt;&gt;"")*(G$3:G$67=G5)*(I$3:I$67="P"))+SUMPRODUCT((N$3:N$67&lt;&gt;"")*(G$3:G$67=G5)*(I$3:I$67="P"))+SUMPRODUCT((P$3:P$67="")*(O$3:O$67="")*(N$3:N$67="")*(M$3:M$67="P")*(G$3:G$67=G5)*(J$3:J$67&gt;J5)*(I$3:I$67="P"))+IF(H5="L5",SUMPRODUCT((P$3:P$67="")*(O$3:O$67="")*(N$3:N$67="")*(M$3:M$67="P")*(G$3:G$67=G5)*(J$3:J$67&lt;J5)*(H$3:H$67&lt;&gt;H5)*(I$3:I$67="P")),-1*SUMPRODUCT((P$3:P$67="")*(O$3:O$67="")*(N$3:N$67="")*(M$3:M$67="P")*(G$3:G$67=G5)*(J$3:J$67&gt;J5)*(H$3:H$67="L5")*(I$3:I$67="P")))+1,"")))))</f>
        <v/>
      </c>
      <c r="B5" s="1" cm="1">
        <f t="array" ref="B5">IF(P5&lt;&gt;"",SUMPRODUCT((P$3:P$67&lt;&gt;"")*(G$3:G$67=G5)*(J$3:J$67&gt;J5))+1,IF(O5&lt;&gt;"",SUMPRODUCT((O$3:O$67&lt;&gt;"")*(P$3:P$67="")*(G$3:G$67=G5)*(J$3:J$67&gt;J5))+SUMPRODUCT((P$3:P$67&lt;&gt;"")*(G$3:G$67=G5))+1,IF(N5&lt;&gt;"",SUMPRODUCT((N$3:N$67&lt;&gt;"")*(G$3:G$67=G5)*(J$3:J$67&gt;J5))+1,IF(M5="P",SUMPRODUCT((O$3:O$67&lt;&gt;"")*(P$3:P$67="")*(G$3:G$67=G5))+SUMPRODUCT((P$3:P$67&lt;&gt;"")*(G$3:G$67=G5))+SUMPRODUCT((N$3:N$67&lt;&gt;"")*(G$3:G$67=G5))+SUMPRODUCT((P$3:P$67="")*(O$3:O$67="")*(N$3:N$67="")*(M$3:M$67="P")*(G$3:G$67=G5)*(J$3:J$67&gt;J5))+IF(H5="L5",SUMPRODUCT((P$3:P$67="")*(O$3:O$67="")*(N$3:N$67="")*(M$3:M$67="P")*(G$3:G$67=G5)*(J$3:J$67&lt;J5)*(H$3:H$67&lt;&gt;H5)),-1*SUMPRODUCT((P$3:P$67="")*(O$3:O$67="")*(N$3:N$67="")*(M$3:M$67="P")*(G$3:G$67=G5)*(J$3:J$67&gt;J5)*(H$3:H$67="L5")))+1,""))))</f>
        <v>3</v>
      </c>
      <c r="C5" s="35" t="s">
        <v>88</v>
      </c>
      <c r="D5" s="35" t="str">
        <f>IF(E5="","",VLOOKUP(E5,'Coaching Points'!A:B,2,0))</f>
        <v>QC</v>
      </c>
      <c r="E5" s="35" t="s">
        <v>78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72</v>
      </c>
      <c r="I5" s="40"/>
      <c r="J5" s="4">
        <f t="shared" si="0"/>
        <v>55.720199999999998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P5" s="36">
        <v>5</v>
      </c>
      <c r="Q5" s="1" t="str">
        <f t="shared" si="1"/>
        <v/>
      </c>
      <c r="R5" s="4">
        <f t="shared" si="2"/>
        <v>55.72</v>
      </c>
      <c r="S5" s="4">
        <f>IF(G5="17-21",LARGE(CHOOSE({1,2,3,4,5,6},T5,V5,Y5,AA5,AC5,AF5),2),IF(R5=X5,MAX(Y5,AA5,AC5,AF5),IF(R5=AE5,MAX(AF5,T5,V5,Y5),0)))</f>
        <v>54.99</v>
      </c>
      <c r="T5" s="32">
        <v>54.99</v>
      </c>
      <c r="U5" s="37">
        <v>15.4</v>
      </c>
      <c r="V5" s="33">
        <v>55.72</v>
      </c>
      <c r="W5" s="37">
        <v>15.4</v>
      </c>
      <c r="X5" s="4">
        <f t="shared" si="3"/>
        <v>55.72</v>
      </c>
      <c r="Y5" s="33">
        <v>51.61</v>
      </c>
      <c r="Z5" s="37">
        <v>13.5</v>
      </c>
      <c r="AA5" s="32"/>
      <c r="AB5" s="37"/>
      <c r="AC5" s="33"/>
      <c r="AD5" s="37"/>
      <c r="AE5" s="4">
        <f t="shared" si="4"/>
        <v>0</v>
      </c>
      <c r="AF5" s="33"/>
      <c r="AG5" s="37"/>
    </row>
    <row r="6" spans="1:34" x14ac:dyDescent="0.2">
      <c r="A6" s="1" t="str" cm="1">
        <f t="array" ref="A6">IF(I6="","",IF(P6&lt;&gt;"",SUMPRODUCT((P$3:P$67&lt;&gt;"")*(G$3:G$67=G6)*(J$3:J$67&gt;J6)*(I$3:I$67="P"))+1,IF(O6&lt;&gt;"",SUMPRODUCT((O$3:O$67&lt;&gt;"")*(P$3:P$67="")*(G$3:G$67=G6)*(J$3:J$67&gt;J6)*(I$3:I$67="P"))+SUMPRODUCT((P$3:P$67&lt;&gt;"")*(G$3:G$67=G6)*(I$3:I$67="P"))+1,IF(N6&lt;&gt;"",SUMPRODUCT((N$3:N$67&lt;&gt;"")*(G$3:G$67=G6)*(J$3:J$67&gt;J6)*(I$3:I$67="P"))+1,IF(M6="P",SUMPRODUCT((O$3:O$67&lt;&gt;"")*(P$3:P$67="")*(G$3:G$67=G6)*(I$3:I$67="P"))+SUMPRODUCT((P$3:P$67&lt;&gt;"")*(G$3:G$67=G6)*(I$3:I$67="P"))+SUMPRODUCT((N$3:N$67&lt;&gt;"")*(G$3:G$67=G6)*(I$3:I$67="P"))+SUMPRODUCT((P$3:P$67="")*(O$3:O$67="")*(N$3:N$67="")*(M$3:M$67="P")*(G$3:G$67=G6)*(J$3:J$67&gt;J6)*(I$3:I$67="P"))+IF(H6="L5",SUMPRODUCT((P$3:P$67="")*(O$3:O$67="")*(N$3:N$67="")*(M$3:M$67="P")*(G$3:G$67=G6)*(J$3:J$67&lt;J6)*(H$3:H$67&lt;&gt;H6)*(I$3:I$67="P")),-1*SUMPRODUCT((P$3:P$67="")*(O$3:O$67="")*(N$3:N$67="")*(M$3:M$67="P")*(G$3:G$67=G6)*(J$3:J$67&gt;J6)*(H$3:H$67="L5")*(I$3:I$67="P")))+1,"")))))</f>
        <v/>
      </c>
      <c r="B6" s="1" cm="1">
        <f t="array" ref="B6">IF(P6&lt;&gt;"",SUMPRODUCT((P$3:P$67&lt;&gt;"")*(G$3:G$67=G6)*(J$3:J$67&gt;J6))+1,IF(O6&lt;&gt;"",SUMPRODUCT((O$3:O$67&lt;&gt;"")*(P$3:P$67="")*(G$3:G$67=G6)*(J$3:J$67&gt;J6))+SUMPRODUCT((P$3:P$67&lt;&gt;"")*(G$3:G$67=G6))+1,IF(N6&lt;&gt;"",SUMPRODUCT((N$3:N$67&lt;&gt;"")*(G$3:G$67=G6)*(J$3:J$67&gt;J6))+1,IF(M6="P",SUMPRODUCT((O$3:O$67&lt;&gt;"")*(P$3:P$67="")*(G$3:G$67=G6))+SUMPRODUCT((P$3:P$67&lt;&gt;"")*(G$3:G$67=G6))+SUMPRODUCT((N$3:N$67&lt;&gt;"")*(G$3:G$67=G6))+SUMPRODUCT((P$3:P$67="")*(O$3:O$67="")*(N$3:N$67="")*(M$3:M$67="P")*(G$3:G$67=G6)*(J$3:J$67&gt;J6))+IF(H6="L5",SUMPRODUCT((P$3:P$67="")*(O$3:O$67="")*(N$3:N$67="")*(M$3:M$67="P")*(G$3:G$67=G6)*(J$3:J$67&lt;J6)*(H$3:H$67&lt;&gt;H6)),-1*SUMPRODUCT((P$3:P$67="")*(O$3:O$67="")*(N$3:N$67="")*(M$3:M$67="P")*(G$3:G$67=G6)*(J$3:J$67&gt;J6)*(H$3:H$67="L5")))+1,""))))</f>
        <v>4</v>
      </c>
      <c r="C6" s="35" t="s">
        <v>167</v>
      </c>
      <c r="D6" s="35" t="str">
        <f>IF(E6="","",VLOOKUP(E6,'Coaching Points'!A:B,2,0))</f>
        <v>AB</v>
      </c>
      <c r="E6" s="35" t="s">
        <v>39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72</v>
      </c>
      <c r="I6" s="40"/>
      <c r="J6" s="4">
        <f t="shared" si="0"/>
        <v>53.5002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O6" s="36">
        <v>2</v>
      </c>
      <c r="Q6" s="1" t="str">
        <f t="shared" si="1"/>
        <v/>
      </c>
      <c r="R6" s="4">
        <f t="shared" si="2"/>
        <v>53.5</v>
      </c>
      <c r="S6" s="4">
        <f>IF(G6="17-21",LARGE(CHOOSE({1,2,3,4,5,6},T6,V6,Y6,AA6,AC6,AF6),2),IF(R6=X6,MAX(Y6,AA6,AC6,AF6),IF(R6=AE6,MAX(AF6,T6,V6,Y6),0)))</f>
        <v>52.74</v>
      </c>
      <c r="T6" s="32">
        <v>52.74</v>
      </c>
      <c r="U6" s="37">
        <v>13.4</v>
      </c>
      <c r="V6" s="33">
        <v>53.5</v>
      </c>
      <c r="W6" s="37">
        <v>14</v>
      </c>
      <c r="X6" s="4">
        <f t="shared" si="3"/>
        <v>53.5</v>
      </c>
      <c r="Y6" s="33">
        <v>38.619999999999997</v>
      </c>
      <c r="Z6" s="37">
        <v>10.3</v>
      </c>
      <c r="AA6" s="32"/>
      <c r="AB6" s="37"/>
      <c r="AC6" s="33"/>
      <c r="AD6" s="37"/>
      <c r="AE6" s="4">
        <f t="shared" si="4"/>
        <v>0</v>
      </c>
      <c r="AF6" s="33"/>
      <c r="AG6" s="37"/>
    </row>
    <row r="7" spans="1:34" x14ac:dyDescent="0.2">
      <c r="A7" s="1" t="str" cm="1">
        <f t="array" ref="A7">IF(I7="","",IF(P7&lt;&gt;"",SUMPRODUCT((P$3:P$67&lt;&gt;"")*(G$3:G$67=G7)*(J$3:J$67&gt;J7)*(I$3:I$67="P"))+1,IF(O7&lt;&gt;"",SUMPRODUCT((O$3:O$67&lt;&gt;"")*(P$3:P$67="")*(G$3:G$67=G7)*(J$3:J$67&gt;J7)*(I$3:I$67="P"))+SUMPRODUCT((P$3:P$67&lt;&gt;"")*(G$3:G$67=G7)*(I$3:I$67="P"))+1,IF(N7&lt;&gt;"",SUMPRODUCT((N$3:N$67&lt;&gt;"")*(G$3:G$67=G7)*(J$3:J$67&gt;J7)*(I$3:I$67="P"))+1,IF(M7="P",SUMPRODUCT((O$3:O$67&lt;&gt;"")*(P$3:P$67="")*(G$3:G$67=G7)*(I$3:I$67="P"))+SUMPRODUCT((P$3:P$67&lt;&gt;"")*(G$3:G$67=G7)*(I$3:I$67="P"))+SUMPRODUCT((N$3:N$67&lt;&gt;"")*(G$3:G$67=G7)*(I$3:I$67="P"))+SUMPRODUCT((P$3:P$67="")*(O$3:O$67="")*(N$3:N$67="")*(M$3:M$67="P")*(G$3:G$67=G7)*(J$3:J$67&gt;J7)*(I$3:I$67="P"))+IF(H7="L5",SUMPRODUCT((P$3:P$67="")*(O$3:O$67="")*(N$3:N$67="")*(M$3:M$67="P")*(G$3:G$67=G7)*(J$3:J$67&lt;J7)*(H$3:H$67&lt;&gt;H7)*(I$3:I$67="P")),-1*SUMPRODUCT((P$3:P$67="")*(O$3:O$67="")*(N$3:N$67="")*(M$3:M$67="P")*(G$3:G$67=G7)*(J$3:J$67&gt;J7)*(H$3:H$67="L5")*(I$3:I$67="P")))+1,"")))))</f>
        <v/>
      </c>
      <c r="B7" s="1" cm="1">
        <f t="array" ref="B7">IF(P7&lt;&gt;"",SUMPRODUCT((P$3:P$67&lt;&gt;"")*(G$3:G$67=G7)*(J$3:J$67&gt;J7))+1,IF(O7&lt;&gt;"",SUMPRODUCT((O$3:O$67&lt;&gt;"")*(P$3:P$67="")*(G$3:G$67=G7)*(J$3:J$67&gt;J7))+SUMPRODUCT((P$3:P$67&lt;&gt;"")*(G$3:G$67=G7))+1,IF(N7&lt;&gt;"",SUMPRODUCT((N$3:N$67&lt;&gt;"")*(G$3:G$67=G7)*(J$3:J$67&gt;J7))+1,IF(M7="P",SUMPRODUCT((O$3:O$67&lt;&gt;"")*(P$3:P$67="")*(G$3:G$67=G7))+SUMPRODUCT((P$3:P$67&lt;&gt;"")*(G$3:G$67=G7))+SUMPRODUCT((N$3:N$67&lt;&gt;"")*(G$3:G$67=G7))+SUMPRODUCT((P$3:P$67="")*(O$3:O$67="")*(N$3:N$67="")*(M$3:M$67="P")*(G$3:G$67=G7)*(J$3:J$67&gt;J7))+IF(H7="L5",SUMPRODUCT((P$3:P$67="")*(O$3:O$67="")*(N$3:N$67="")*(M$3:M$67="P")*(G$3:G$67=G7)*(J$3:J$67&lt;J7)*(H$3:H$67&lt;&gt;H7)),-1*SUMPRODUCT((P$3:P$67="")*(O$3:O$67="")*(N$3:N$67="")*(M$3:M$67="P")*(G$3:G$67=G7)*(J$3:J$67&gt;J7)*(H$3:H$67="L5")))+1,""))))</f>
        <v>5</v>
      </c>
      <c r="C7" s="35" t="s">
        <v>90</v>
      </c>
      <c r="D7" s="35" t="str">
        <f>IF(E7="","",VLOOKUP(E7,'Coaching Points'!A:B,2,0))</f>
        <v>NL</v>
      </c>
      <c r="E7" s="35" t="s">
        <v>91</v>
      </c>
      <c r="F7" s="34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72</v>
      </c>
      <c r="I7" s="40"/>
      <c r="J7" s="4">
        <f t="shared" si="0"/>
        <v>53.040199999999999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O7" s="36">
        <v>1</v>
      </c>
      <c r="Q7" s="1" t="str">
        <f t="shared" si="1"/>
        <v/>
      </c>
      <c r="R7" s="4">
        <f t="shared" si="2"/>
        <v>53.04</v>
      </c>
      <c r="S7" s="4">
        <f>IF(G7="17-21",LARGE(CHOOSE({1,2,3,4,5,6},T7,V7,Y7,AA7,AC7,AF7),2),IF(R7=X7,MAX(Y7,AA7,AC7,AF7),IF(R7=AE7,MAX(AF7,T7,V7,Y7),0)))</f>
        <v>28.32</v>
      </c>
      <c r="T7" s="32">
        <v>5.94</v>
      </c>
      <c r="U7" s="37">
        <v>2</v>
      </c>
      <c r="V7" s="33">
        <v>53.04</v>
      </c>
      <c r="W7" s="37">
        <v>14.4</v>
      </c>
      <c r="X7" s="4">
        <f t="shared" si="3"/>
        <v>53.04</v>
      </c>
      <c r="Y7" s="33">
        <v>28.32</v>
      </c>
      <c r="Z7" s="37">
        <v>5.4</v>
      </c>
      <c r="AA7" s="32"/>
      <c r="AB7" s="37"/>
      <c r="AC7" s="33"/>
      <c r="AD7" s="37"/>
      <c r="AE7" s="4">
        <f t="shared" si="4"/>
        <v>0</v>
      </c>
      <c r="AF7" s="33"/>
      <c r="AG7" s="37"/>
    </row>
    <row r="8" spans="1:34" x14ac:dyDescent="0.2">
      <c r="A8" s="1" t="str" cm="1">
        <f t="array" ref="A8">IF(I8="","",IF(P8&lt;&gt;"",SUMPRODUCT((P$3:P$67&lt;&gt;"")*(G$3:G$67=G8)*(J$3:J$67&gt;J8)*(I$3:I$67="P"))+1,IF(O8&lt;&gt;"",SUMPRODUCT((O$3:O$67&lt;&gt;"")*(P$3:P$67="")*(G$3:G$67=G8)*(J$3:J$67&gt;J8)*(I$3:I$67="P"))+SUMPRODUCT((P$3:P$67&lt;&gt;"")*(G$3:G$67=G8)*(I$3:I$67="P"))+1,IF(N8&lt;&gt;"",SUMPRODUCT((N$3:N$67&lt;&gt;"")*(G$3:G$67=G8)*(J$3:J$67&gt;J8)*(I$3:I$67="P"))+1,IF(M8="P",SUMPRODUCT((O$3:O$67&lt;&gt;"")*(P$3:P$67="")*(G$3:G$67=G8)*(I$3:I$67="P"))+SUMPRODUCT((P$3:P$67&lt;&gt;"")*(G$3:G$67=G8)*(I$3:I$67="P"))+SUMPRODUCT((N$3:N$67&lt;&gt;"")*(G$3:G$67=G8)*(I$3:I$67="P"))+SUMPRODUCT((P$3:P$67="")*(O$3:O$67="")*(N$3:N$67="")*(M$3:M$67="P")*(G$3:G$67=G8)*(J$3:J$67&gt;J8)*(I$3:I$67="P"))+IF(H8="L5",SUMPRODUCT((P$3:P$67="")*(O$3:O$67="")*(N$3:N$67="")*(M$3:M$67="P")*(G$3:G$67=G8)*(J$3:J$67&lt;J8)*(H$3:H$67&lt;&gt;H8)*(I$3:I$67="P")),-1*SUMPRODUCT((P$3:P$67="")*(O$3:O$67="")*(N$3:N$67="")*(M$3:M$67="P")*(G$3:G$67=G8)*(J$3:J$67&gt;J8)*(H$3:H$67="L5")*(I$3:I$67="P")))+1,"")))))</f>
        <v/>
      </c>
      <c r="B8" s="1" cm="1">
        <f t="array" ref="B8">IF(P8&lt;&gt;"",SUMPRODUCT((P$3:P$67&lt;&gt;"")*(G$3:G$67=G8)*(J$3:J$67&gt;J8))+1,IF(O8&lt;&gt;"",SUMPRODUCT((O$3:O$67&lt;&gt;"")*(P$3:P$67="")*(G$3:G$67=G8)*(J$3:J$67&gt;J8))+SUMPRODUCT((P$3:P$67&lt;&gt;"")*(G$3:G$67=G8))+1,IF(N8&lt;&gt;"",SUMPRODUCT((N$3:N$67&lt;&gt;"")*(G$3:G$67=G8)*(J$3:J$67&gt;J8))+1,IF(M8="P",SUMPRODUCT((O$3:O$67&lt;&gt;"")*(P$3:P$67="")*(G$3:G$67=G8))+SUMPRODUCT((P$3:P$67&lt;&gt;"")*(G$3:G$67=G8))+SUMPRODUCT((N$3:N$67&lt;&gt;"")*(G$3:G$67=G8))+SUMPRODUCT((P$3:P$67="")*(O$3:O$67="")*(N$3:N$67="")*(M$3:M$67="P")*(G$3:G$67=G8)*(J$3:J$67&gt;J8))+IF(H8="L5",SUMPRODUCT((P$3:P$67="")*(O$3:O$67="")*(N$3:N$67="")*(M$3:M$67="P")*(G$3:G$67=G8)*(J$3:J$67&lt;J8)*(H$3:H$67&lt;&gt;H8)),-1*SUMPRODUCT((P$3:P$67="")*(O$3:O$67="")*(N$3:N$67="")*(M$3:M$67="P")*(G$3:G$67=G8)*(J$3:J$67&gt;J8)*(H$3:H$67="L5")))+1,""))))</f>
        <v>6</v>
      </c>
      <c r="C8" s="35" t="s">
        <v>96</v>
      </c>
      <c r="D8" s="35" t="str">
        <f>IF(E8="","",VLOOKUP(E8,'Coaching Points'!A:B,2,0))</f>
        <v>ON</v>
      </c>
      <c r="E8" s="35" t="s">
        <v>97</v>
      </c>
      <c r="F8" s="34">
        <v>2005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72</v>
      </c>
      <c r="I8" s="40"/>
      <c r="J8" s="4">
        <f t="shared" si="0"/>
        <v>52.470199999999998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O8" s="36">
        <v>3</v>
      </c>
      <c r="Q8" s="1" t="str">
        <f t="shared" si="1"/>
        <v/>
      </c>
      <c r="R8" s="4">
        <f t="shared" si="2"/>
        <v>52.47</v>
      </c>
      <c r="S8" s="4">
        <f>IF(G8="17-21",LARGE(CHOOSE({1,2,3,4,5,6},T8,V8,Y8,AA8,AC8,AF8),2),IF(R8=X8,MAX(Y8,AA8,AC8,AF8),IF(R8=AE8,MAX(AF8,T8,V8,Y8),0)))</f>
        <v>48.51</v>
      </c>
      <c r="T8" s="32">
        <v>52.47</v>
      </c>
      <c r="U8" s="37">
        <v>14</v>
      </c>
      <c r="V8" s="33">
        <v>48.51</v>
      </c>
      <c r="W8" s="37">
        <v>12.4</v>
      </c>
      <c r="X8" s="4">
        <f t="shared" si="3"/>
        <v>52.47</v>
      </c>
      <c r="Y8" s="33">
        <v>18.38</v>
      </c>
      <c r="Z8" s="37">
        <v>5.0999999999999996</v>
      </c>
      <c r="AA8" s="32"/>
      <c r="AB8" s="37"/>
      <c r="AC8" s="33"/>
      <c r="AD8" s="37"/>
      <c r="AE8" s="4">
        <f t="shared" si="4"/>
        <v>0</v>
      </c>
      <c r="AF8" s="33"/>
      <c r="AG8" s="37"/>
    </row>
    <row r="9" spans="1:34" x14ac:dyDescent="0.2">
      <c r="A9" s="1" t="str" cm="1">
        <f t="array" ref="A9">IF(I9="","",IF(P9&lt;&gt;"",SUMPRODUCT((P$3:P$67&lt;&gt;"")*(G$3:G$67=G9)*(J$3:J$67&gt;J9)*(I$3:I$67="P"))+1,IF(O9&lt;&gt;"",SUMPRODUCT((O$3:O$67&lt;&gt;"")*(P$3:P$67="")*(G$3:G$67=G9)*(J$3:J$67&gt;J9)*(I$3:I$67="P"))+SUMPRODUCT((P$3:P$67&lt;&gt;"")*(G$3:G$67=G9)*(I$3:I$67="P"))+1,IF(N9&lt;&gt;"",SUMPRODUCT((N$3:N$67&lt;&gt;"")*(G$3:G$67=G9)*(J$3:J$67&gt;J9)*(I$3:I$67="P"))+1,IF(M9="P",SUMPRODUCT((O$3:O$67&lt;&gt;"")*(P$3:P$67="")*(G$3:G$67=G9)*(I$3:I$67="P"))+SUMPRODUCT((P$3:P$67&lt;&gt;"")*(G$3:G$67=G9)*(I$3:I$67="P"))+SUMPRODUCT((N$3:N$67&lt;&gt;"")*(G$3:G$67=G9)*(I$3:I$67="P"))+SUMPRODUCT((P$3:P$67="")*(O$3:O$67="")*(N$3:N$67="")*(M$3:M$67="P")*(G$3:G$67=G9)*(J$3:J$67&gt;J9)*(I$3:I$67="P"))+IF(H9="L5",SUMPRODUCT((P$3:P$67="")*(O$3:O$67="")*(N$3:N$67="")*(M$3:M$67="P")*(G$3:G$67=G9)*(J$3:J$67&lt;J9)*(H$3:H$67&lt;&gt;H9)*(I$3:I$67="P")),-1*SUMPRODUCT((P$3:P$67="")*(O$3:O$67="")*(N$3:N$67="")*(M$3:M$67="P")*(G$3:G$67=G9)*(J$3:J$67&gt;J9)*(H$3:H$67="L5")*(I$3:I$67="P")))+1,"")))))</f>
        <v/>
      </c>
      <c r="B9" s="1" t="str" cm="1">
        <f t="array" ref="B9">IF(P9&lt;&gt;"",SUMPRODUCT((P$3:P$67&lt;&gt;"")*(G$3:G$67=G9)*(J$3:J$67&gt;J9))+1,IF(O9&lt;&gt;"",SUMPRODUCT((O$3:O$67&lt;&gt;"")*(P$3:P$67="")*(G$3:G$67=G9)*(J$3:J$67&gt;J9))+SUMPRODUCT((P$3:P$67&lt;&gt;"")*(G$3:G$67=G9))+1,IF(N9&lt;&gt;"",SUMPRODUCT((N$3:N$67&lt;&gt;"")*(G$3:G$67=G9)*(J$3:J$67&gt;J9))+1,IF(M9="P",SUMPRODUCT((O$3:O$67&lt;&gt;"")*(P$3:P$67="")*(G$3:G$67=G9))+SUMPRODUCT((P$3:P$67&lt;&gt;"")*(G$3:G$67=G9))+SUMPRODUCT((N$3:N$67&lt;&gt;"")*(G$3:G$67=G9))+SUMPRODUCT((P$3:P$67="")*(O$3:O$67="")*(N$3:N$67="")*(M$3:M$67="P")*(G$3:G$67=G9)*(J$3:J$67&gt;J9))+IF(H9="L5",SUMPRODUCT((P$3:P$67="")*(O$3:O$67="")*(N$3:N$67="")*(M$3:M$67="P")*(G$3:G$67=G9)*(J$3:J$67&lt;J9)*(H$3:H$67&lt;&gt;H9)),-1*SUMPRODUCT((P$3:P$67="")*(O$3:O$67="")*(N$3:N$67="")*(M$3:M$67="P")*(G$3:G$67=G9)*(J$3:J$67&gt;J9)*(H$3:H$67="L5")))+1,""))))</f>
        <v/>
      </c>
      <c r="C9" s="35" t="s">
        <v>172</v>
      </c>
      <c r="D9" s="35" t="str">
        <f>IF(E9="","",VLOOKUP(E9,'Coaching Points'!A:B,2,0))</f>
        <v>QC</v>
      </c>
      <c r="E9" s="35" t="s">
        <v>3</v>
      </c>
      <c r="F9" s="34">
        <v>2006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66</v>
      </c>
      <c r="I9" s="40"/>
      <c r="J9" s="4">
        <f t="shared" si="0"/>
        <v>52.000100000000003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/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/>
      </c>
      <c r="Q9" s="1" t="str">
        <f t="shared" si="1"/>
        <v/>
      </c>
      <c r="R9" s="4">
        <f t="shared" si="2"/>
        <v>52</v>
      </c>
      <c r="S9" s="4">
        <f>IF(G9="17-21",LARGE(CHOOSE({1,2,3,4,5,6},T9,V9,Y9,AA9,AC9,AF9),2),IF(R9=X9,MAX(Y9,AA9,AC9,AF9),IF(R9=AE9,MAX(AF9,T9,V9,Y9),0)))</f>
        <v>51.16</v>
      </c>
      <c r="T9" s="32">
        <v>51.16</v>
      </c>
      <c r="U9" s="37">
        <v>12.2</v>
      </c>
      <c r="V9" s="33">
        <v>6.09</v>
      </c>
      <c r="W9" s="37">
        <v>2</v>
      </c>
      <c r="X9" s="4">
        <f t="shared" si="3"/>
        <v>57.25</v>
      </c>
      <c r="Y9" s="33">
        <v>52</v>
      </c>
      <c r="Z9" s="37">
        <v>12.2</v>
      </c>
      <c r="AA9" s="32"/>
      <c r="AB9" s="37"/>
      <c r="AC9" s="33"/>
      <c r="AD9" s="37"/>
      <c r="AE9" s="4">
        <f t="shared" si="4"/>
        <v>0</v>
      </c>
      <c r="AF9" s="33"/>
      <c r="AG9" s="37"/>
    </row>
    <row r="10" spans="1:34" x14ac:dyDescent="0.2">
      <c r="A10" s="1" t="str" cm="1">
        <f t="array" ref="A10">IF(I10="","",IF(P10&lt;&gt;"",SUMPRODUCT((P$3:P$67&lt;&gt;"")*(G$3:G$67=G10)*(J$3:J$67&gt;J10)*(I$3:I$67="P"))+1,IF(O10&lt;&gt;"",SUMPRODUCT((O$3:O$67&lt;&gt;"")*(P$3:P$67="")*(G$3:G$67=G10)*(J$3:J$67&gt;J10)*(I$3:I$67="P"))+SUMPRODUCT((P$3:P$67&lt;&gt;"")*(G$3:G$67=G10)*(I$3:I$67="P"))+1,IF(N10&lt;&gt;"",SUMPRODUCT((N$3:N$67&lt;&gt;"")*(G$3:G$67=G10)*(J$3:J$67&gt;J10)*(I$3:I$67="P"))+1,IF(M10="P",SUMPRODUCT((O$3:O$67&lt;&gt;"")*(P$3:P$67="")*(G$3:G$67=G10)*(I$3:I$67="P"))+SUMPRODUCT((P$3:P$67&lt;&gt;"")*(G$3:G$67=G10)*(I$3:I$67="P"))+SUMPRODUCT((N$3:N$67&lt;&gt;"")*(G$3:G$67=G10)*(I$3:I$67="P"))+SUMPRODUCT((P$3:P$67="")*(O$3:O$67="")*(N$3:N$67="")*(M$3:M$67="P")*(G$3:G$67=G10)*(J$3:J$67&gt;J10)*(I$3:I$67="P"))+IF(H10="L5",SUMPRODUCT((P$3:P$67="")*(O$3:O$67="")*(N$3:N$67="")*(M$3:M$67="P")*(G$3:G$67=G10)*(J$3:J$67&lt;J10)*(H$3:H$67&lt;&gt;H10)*(I$3:I$67="P")),-1*SUMPRODUCT((P$3:P$67="")*(O$3:O$67="")*(N$3:N$67="")*(M$3:M$67="P")*(G$3:G$67=G10)*(J$3:J$67&gt;J10)*(H$3:H$67="L5")*(I$3:I$67="P")))+1,"")))))</f>
        <v/>
      </c>
      <c r="B10" s="1" t="str" cm="1">
        <f t="array" ref="B10">IF(P10&lt;&gt;"",SUMPRODUCT((P$3:P$67&lt;&gt;"")*(G$3:G$67=G10)*(J$3:J$67&gt;J10))+1,IF(O10&lt;&gt;"",SUMPRODUCT((O$3:O$67&lt;&gt;"")*(P$3:P$67="")*(G$3:G$67=G10)*(J$3:J$67&gt;J10))+SUMPRODUCT((P$3:P$67&lt;&gt;"")*(G$3:G$67=G10))+1,IF(N10&lt;&gt;"",SUMPRODUCT((N$3:N$67&lt;&gt;"")*(G$3:G$67=G10)*(J$3:J$67&gt;J10))+1,IF(M10="P",SUMPRODUCT((O$3:O$67&lt;&gt;"")*(P$3:P$67="")*(G$3:G$67=G10))+SUMPRODUCT((P$3:P$67&lt;&gt;"")*(G$3:G$67=G10))+SUMPRODUCT((N$3:N$67&lt;&gt;"")*(G$3:G$67=G10))+SUMPRODUCT((P$3:P$67="")*(O$3:O$67="")*(N$3:N$67="")*(M$3:M$67="P")*(G$3:G$67=G10)*(J$3:J$67&gt;J10))+IF(H10="L5",SUMPRODUCT((P$3:P$67="")*(O$3:O$67="")*(N$3:N$67="")*(M$3:M$67="P")*(G$3:G$67=G10)*(J$3:J$67&lt;J10)*(H$3:H$67&lt;&gt;H10)),-1*SUMPRODUCT((P$3:P$67="")*(O$3:O$67="")*(N$3:N$67="")*(M$3:M$67="P")*(G$3:G$67=G10)*(J$3:J$67&gt;J10)*(H$3:H$67="L5")))+1,""))))</f>
        <v/>
      </c>
      <c r="C10" s="35" t="s">
        <v>93</v>
      </c>
      <c r="D10" s="35" t="str">
        <f>IF(E10="","",VLOOKUP(E10,'Coaching Points'!A:B,2,0))</f>
        <v>QC</v>
      </c>
      <c r="E10" s="35" t="s">
        <v>201</v>
      </c>
      <c r="F10" s="34">
        <v>2003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66</v>
      </c>
      <c r="I10" s="40"/>
      <c r="J10" s="4">
        <f t="shared" si="0"/>
        <v>51.970100000000002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/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/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/>
      </c>
      <c r="Q10" s="1" t="str">
        <f t="shared" si="1"/>
        <v/>
      </c>
      <c r="R10" s="4">
        <f t="shared" si="2"/>
        <v>51.97</v>
      </c>
      <c r="S10" s="4">
        <f>IF(G10="17-21",LARGE(CHOOSE({1,2,3,4,5,6},T10,V10,Y10,AA10,AC10,AF10),2),IF(R10=X10,MAX(Y10,AA10,AC10,AF10),IF(R10=AE10,MAX(AF10,T10,V10,Y10),0)))</f>
        <v>50.3</v>
      </c>
      <c r="T10" s="32">
        <v>46.88</v>
      </c>
      <c r="U10" s="37">
        <v>11.2</v>
      </c>
      <c r="V10" s="33">
        <v>50.3</v>
      </c>
      <c r="W10" s="37">
        <v>11.8</v>
      </c>
      <c r="X10" s="4">
        <f t="shared" si="3"/>
        <v>97.18</v>
      </c>
      <c r="Y10" s="33">
        <v>51.97</v>
      </c>
      <c r="Z10" s="37">
        <v>11.8</v>
      </c>
      <c r="AA10" s="32"/>
      <c r="AB10" s="37"/>
      <c r="AC10" s="33"/>
      <c r="AD10" s="37"/>
      <c r="AE10" s="4">
        <f t="shared" si="4"/>
        <v>0</v>
      </c>
      <c r="AF10" s="33"/>
      <c r="AG10" s="37"/>
    </row>
    <row r="11" spans="1:34" x14ac:dyDescent="0.2">
      <c r="A11" s="1" t="str" cm="1">
        <f t="array" ref="A11">IF(I11="","",IF(P11&lt;&gt;"",SUMPRODUCT((P$3:P$67&lt;&gt;"")*(G$3:G$67=G11)*(J$3:J$67&gt;J11)*(I$3:I$67="P"))+1,IF(O11&lt;&gt;"",SUMPRODUCT((O$3:O$67&lt;&gt;"")*(P$3:P$67="")*(G$3:G$67=G11)*(J$3:J$67&gt;J11)*(I$3:I$67="P"))+SUMPRODUCT((P$3:P$67&lt;&gt;"")*(G$3:G$67=G11)*(I$3:I$67="P"))+1,IF(N11&lt;&gt;"",SUMPRODUCT((N$3:N$67&lt;&gt;"")*(G$3:G$67=G11)*(J$3:J$67&gt;J11)*(I$3:I$67="P"))+1,IF(M11="P",SUMPRODUCT((O$3:O$67&lt;&gt;"")*(P$3:P$67="")*(G$3:G$67=G11)*(I$3:I$67="P"))+SUMPRODUCT((P$3:P$67&lt;&gt;"")*(G$3:G$67=G11)*(I$3:I$67="P"))+SUMPRODUCT((N$3:N$67&lt;&gt;"")*(G$3:G$67=G11)*(I$3:I$67="P"))+SUMPRODUCT((P$3:P$67="")*(O$3:O$67="")*(N$3:N$67="")*(M$3:M$67="P")*(G$3:G$67=G11)*(J$3:J$67&gt;J11)*(I$3:I$67="P"))+IF(H11="L5",SUMPRODUCT((P$3:P$67="")*(O$3:O$67="")*(N$3:N$67="")*(M$3:M$67="P")*(G$3:G$67=G11)*(J$3:J$67&lt;J11)*(H$3:H$67&lt;&gt;H11)*(I$3:I$67="P")),-1*SUMPRODUCT((P$3:P$67="")*(O$3:O$67="")*(N$3:N$67="")*(M$3:M$67="P")*(G$3:G$67=G11)*(J$3:J$67&gt;J11)*(H$3:H$67="L5")*(I$3:I$67="P")))+1,"")))))</f>
        <v/>
      </c>
      <c r="B11" s="1" t="str" cm="1">
        <f t="array" ref="B11">IF(P11&lt;&gt;"",SUMPRODUCT((P$3:P$67&lt;&gt;"")*(G$3:G$67=G11)*(J$3:J$67&gt;J11))+1,IF(O11&lt;&gt;"",SUMPRODUCT((O$3:O$67&lt;&gt;"")*(P$3:P$67="")*(G$3:G$67=G11)*(J$3:J$67&gt;J11))+SUMPRODUCT((P$3:P$67&lt;&gt;"")*(G$3:G$67=G11))+1,IF(N11&lt;&gt;"",SUMPRODUCT((N$3:N$67&lt;&gt;"")*(G$3:G$67=G11)*(J$3:J$67&gt;J11))+1,IF(M11="P",SUMPRODUCT((O$3:O$67&lt;&gt;"")*(P$3:P$67="")*(G$3:G$67=G11))+SUMPRODUCT((P$3:P$67&lt;&gt;"")*(G$3:G$67=G11))+SUMPRODUCT((N$3:N$67&lt;&gt;"")*(G$3:G$67=G11))+SUMPRODUCT((P$3:P$67="")*(O$3:O$67="")*(N$3:N$67="")*(M$3:M$67="P")*(G$3:G$67=G11)*(J$3:J$67&gt;J11))+IF(H11="L5",SUMPRODUCT((P$3:P$67="")*(O$3:O$67="")*(N$3:N$67="")*(M$3:M$67="P")*(G$3:G$67=G11)*(J$3:J$67&lt;J11)*(H$3:H$67&lt;&gt;H11)),-1*SUMPRODUCT((P$3:P$67="")*(O$3:O$67="")*(N$3:N$67="")*(M$3:M$67="P")*(G$3:G$67=G11)*(J$3:J$67&gt;J11)*(H$3:H$67="L5")))+1,""))))</f>
        <v/>
      </c>
      <c r="C11" s="35" t="s">
        <v>315</v>
      </c>
      <c r="D11" s="35" t="str">
        <f>IF(E11="","",VLOOKUP(E11,'Coaching Points'!A:B,2,0))</f>
        <v>QC</v>
      </c>
      <c r="E11" s="35" t="s">
        <v>75</v>
      </c>
      <c r="F11" s="34">
        <v>2005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66</v>
      </c>
      <c r="I11" s="40"/>
      <c r="J11" s="4">
        <f t="shared" si="0"/>
        <v>51.810100000000006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1" t="str">
        <f t="shared" si="1"/>
        <v/>
      </c>
      <c r="R11" s="4">
        <f t="shared" si="2"/>
        <v>51.81</v>
      </c>
      <c r="S11" s="4">
        <f>IF(G11="17-21",LARGE(CHOOSE({1,2,3,4,5,6},T11,V11,Y11,AA11,AC11,AF11),2),IF(R11=X11,MAX(Y11,AA11,AC11,AF11),IF(R11=AE11,MAX(AF11,T11,V11,Y11),0)))</f>
        <v>45.43</v>
      </c>
      <c r="T11" s="32">
        <v>43.04</v>
      </c>
      <c r="U11" s="37">
        <v>11.2</v>
      </c>
      <c r="V11" s="33">
        <v>51.81</v>
      </c>
      <c r="W11" s="37">
        <v>11.2</v>
      </c>
      <c r="X11" s="4">
        <f t="shared" si="3"/>
        <v>94.85</v>
      </c>
      <c r="Y11" s="33">
        <v>45.43</v>
      </c>
      <c r="Z11" s="37">
        <v>9.8000000000000007</v>
      </c>
      <c r="AA11" s="32"/>
      <c r="AB11" s="37"/>
      <c r="AC11" s="33"/>
      <c r="AD11" s="37"/>
      <c r="AE11" s="4">
        <f t="shared" si="4"/>
        <v>0</v>
      </c>
      <c r="AF11" s="33"/>
      <c r="AG11" s="37"/>
    </row>
    <row r="12" spans="1:34" x14ac:dyDescent="0.2">
      <c r="A12" s="1" t="str" cm="1">
        <f t="array" ref="A12">IF(I12="","",IF(P12&lt;&gt;"",SUMPRODUCT((P$3:P$67&lt;&gt;"")*(G$3:G$67=G12)*(J$3:J$67&gt;J12)*(I$3:I$67="P"))+1,IF(O12&lt;&gt;"",SUMPRODUCT((O$3:O$67&lt;&gt;"")*(P$3:P$67="")*(G$3:G$67=G12)*(J$3:J$67&gt;J12)*(I$3:I$67="P"))+SUMPRODUCT((P$3:P$67&lt;&gt;"")*(G$3:G$67=G12)*(I$3:I$67="P"))+1,IF(N12&lt;&gt;"",SUMPRODUCT((N$3:N$67&lt;&gt;"")*(G$3:G$67=G12)*(J$3:J$67&gt;J12)*(I$3:I$67="P"))+1,IF(M12="P",SUMPRODUCT((O$3:O$67&lt;&gt;"")*(P$3:P$67="")*(G$3:G$67=G12)*(I$3:I$67="P"))+SUMPRODUCT((P$3:P$67&lt;&gt;"")*(G$3:G$67=G12)*(I$3:I$67="P"))+SUMPRODUCT((N$3:N$67&lt;&gt;"")*(G$3:G$67=G12)*(I$3:I$67="P"))+SUMPRODUCT((P$3:P$67="")*(O$3:O$67="")*(N$3:N$67="")*(M$3:M$67="P")*(G$3:G$67=G12)*(J$3:J$67&gt;J12)*(I$3:I$67="P"))+IF(H12="L5",SUMPRODUCT((P$3:P$67="")*(O$3:O$67="")*(N$3:N$67="")*(M$3:M$67="P")*(G$3:G$67=G12)*(J$3:J$67&lt;J12)*(H$3:H$67&lt;&gt;H12)*(I$3:I$67="P")),-1*SUMPRODUCT((P$3:P$67="")*(O$3:O$67="")*(N$3:N$67="")*(M$3:M$67="P")*(G$3:G$67=G12)*(J$3:J$67&gt;J12)*(H$3:H$67="L5")*(I$3:I$67="P")))+1,"")))))</f>
        <v/>
      </c>
      <c r="B12" s="1" t="str" cm="1">
        <f t="array" ref="B12">IF(P12&lt;&gt;"",SUMPRODUCT((P$3:P$67&lt;&gt;"")*(G$3:G$67=G12)*(J$3:J$67&gt;J12))+1,IF(O12&lt;&gt;"",SUMPRODUCT((O$3:O$67&lt;&gt;"")*(P$3:P$67="")*(G$3:G$67=G12)*(J$3:J$67&gt;J12))+SUMPRODUCT((P$3:P$67&lt;&gt;"")*(G$3:G$67=G12))+1,IF(N12&lt;&gt;"",SUMPRODUCT((N$3:N$67&lt;&gt;"")*(G$3:G$67=G12)*(J$3:J$67&gt;J12))+1,IF(M12="P",SUMPRODUCT((O$3:O$67&lt;&gt;"")*(P$3:P$67="")*(G$3:G$67=G12))+SUMPRODUCT((P$3:P$67&lt;&gt;"")*(G$3:G$67=G12))+SUMPRODUCT((N$3:N$67&lt;&gt;"")*(G$3:G$67=G12))+SUMPRODUCT((P$3:P$67="")*(O$3:O$67="")*(N$3:N$67="")*(M$3:M$67="P")*(G$3:G$67=G12)*(J$3:J$67&gt;J12))+IF(H12="L5",SUMPRODUCT((P$3:P$67="")*(O$3:O$67="")*(N$3:N$67="")*(M$3:M$67="P")*(G$3:G$67=G12)*(J$3:J$67&lt;J12)*(H$3:H$67&lt;&gt;H12)),-1*SUMPRODUCT((P$3:P$67="")*(O$3:O$67="")*(N$3:N$67="")*(M$3:M$67="P")*(G$3:G$67=G12)*(J$3:J$67&gt;J12)*(H$3:H$67="L5")))+1,""))))</f>
        <v/>
      </c>
      <c r="C12" s="35" t="s">
        <v>94</v>
      </c>
      <c r="D12" s="35" t="str">
        <f>IF(E12="","",VLOOKUP(E12,'Coaching Points'!A:B,2,0))</f>
        <v>ON</v>
      </c>
      <c r="E12" s="35" t="s">
        <v>71</v>
      </c>
      <c r="F12" s="34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66</v>
      </c>
      <c r="I12" s="40"/>
      <c r="J12" s="4">
        <f t="shared" si="0"/>
        <v>51.790100000000002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 t="shared" si="1"/>
        <v/>
      </c>
      <c r="R12" s="4">
        <f t="shared" si="2"/>
        <v>51.79</v>
      </c>
      <c r="S12" s="4">
        <f>IF(G12="17-21",LARGE(CHOOSE({1,2,3,4,5,6},T12,V12,Y12,AA12,AC12,AF12),2),IF(R12=X12,MAX(Y12,AA12,AC12,AF12),IF(R12=AE12,MAX(AF12,T12,V12,Y12),0)))</f>
        <v>50.05</v>
      </c>
      <c r="T12" s="32">
        <v>5.38</v>
      </c>
      <c r="U12" s="37">
        <v>1.5</v>
      </c>
      <c r="V12" s="33">
        <v>50.05</v>
      </c>
      <c r="W12" s="37">
        <v>13</v>
      </c>
      <c r="X12" s="4">
        <f t="shared" si="3"/>
        <v>55.43</v>
      </c>
      <c r="Y12" s="33">
        <v>51.79</v>
      </c>
      <c r="Z12" s="37">
        <v>13</v>
      </c>
      <c r="AA12" s="32"/>
      <c r="AB12" s="37"/>
      <c r="AC12" s="33"/>
      <c r="AD12" s="37"/>
      <c r="AE12" s="4">
        <f t="shared" si="4"/>
        <v>0</v>
      </c>
      <c r="AF12" s="33"/>
      <c r="AG12" s="37"/>
    </row>
    <row r="13" spans="1:34" x14ac:dyDescent="0.2">
      <c r="A13" s="1" t="str" cm="1">
        <f t="array" ref="A13">IF(I13="","",IF(P13&lt;&gt;"",SUMPRODUCT((P$3:P$67&lt;&gt;"")*(G$3:G$67=G13)*(J$3:J$67&gt;J13)*(I$3:I$67="P"))+1,IF(O13&lt;&gt;"",SUMPRODUCT((O$3:O$67&lt;&gt;"")*(P$3:P$67="")*(G$3:G$67=G13)*(J$3:J$67&gt;J13)*(I$3:I$67="P"))+SUMPRODUCT((P$3:P$67&lt;&gt;"")*(G$3:G$67=G13)*(I$3:I$67="P"))+1,IF(N13&lt;&gt;"",SUMPRODUCT((N$3:N$67&lt;&gt;"")*(G$3:G$67=G13)*(J$3:J$67&gt;J13)*(I$3:I$67="P"))+1,IF(M13="P",SUMPRODUCT((O$3:O$67&lt;&gt;"")*(P$3:P$67="")*(G$3:G$67=G13)*(I$3:I$67="P"))+SUMPRODUCT((P$3:P$67&lt;&gt;"")*(G$3:G$67=G13)*(I$3:I$67="P"))+SUMPRODUCT((N$3:N$67&lt;&gt;"")*(G$3:G$67=G13)*(I$3:I$67="P"))+SUMPRODUCT((P$3:P$67="")*(O$3:O$67="")*(N$3:N$67="")*(M$3:M$67="P")*(G$3:G$67=G13)*(J$3:J$67&gt;J13)*(I$3:I$67="P"))+IF(H13="L5",SUMPRODUCT((P$3:P$67="")*(O$3:O$67="")*(N$3:N$67="")*(M$3:M$67="P")*(G$3:G$67=G13)*(J$3:J$67&lt;J13)*(H$3:H$67&lt;&gt;H13)*(I$3:I$67="P")),-1*SUMPRODUCT((P$3:P$67="")*(O$3:O$67="")*(N$3:N$67="")*(M$3:M$67="P")*(G$3:G$67=G13)*(J$3:J$67&gt;J13)*(H$3:H$67="L5")*(I$3:I$67="P")))+1,"")))))</f>
        <v/>
      </c>
      <c r="B13" s="1" t="str" cm="1">
        <f t="array" ref="B13">IF(P13&lt;&gt;"",SUMPRODUCT((P$3:P$67&lt;&gt;"")*(G$3:G$67=G13)*(J$3:J$67&gt;J13))+1,IF(O13&lt;&gt;"",SUMPRODUCT((O$3:O$67&lt;&gt;"")*(P$3:P$67="")*(G$3:G$67=G13)*(J$3:J$67&gt;J13))+SUMPRODUCT((P$3:P$67&lt;&gt;"")*(G$3:G$67=G13))+1,IF(N13&lt;&gt;"",SUMPRODUCT((N$3:N$67&lt;&gt;"")*(G$3:G$67=G13)*(J$3:J$67&gt;J13))+1,IF(M13="P",SUMPRODUCT((O$3:O$67&lt;&gt;"")*(P$3:P$67="")*(G$3:G$67=G13))+SUMPRODUCT((P$3:P$67&lt;&gt;"")*(G$3:G$67=G13))+SUMPRODUCT((N$3:N$67&lt;&gt;"")*(G$3:G$67=G13))+SUMPRODUCT((P$3:P$67="")*(O$3:O$67="")*(N$3:N$67="")*(M$3:M$67="P")*(G$3:G$67=G13)*(J$3:J$67&gt;J13))+IF(H13="L5",SUMPRODUCT((P$3:P$67="")*(O$3:O$67="")*(N$3:N$67="")*(M$3:M$67="P")*(G$3:G$67=G13)*(J$3:J$67&lt;J13)*(H$3:H$67&lt;&gt;H13)),-1*SUMPRODUCT((P$3:P$67="")*(O$3:O$67="")*(N$3:N$67="")*(M$3:M$67="P")*(G$3:G$67=G13)*(J$3:J$67&gt;J13)*(H$3:H$67="L5")))+1,""))))</f>
        <v/>
      </c>
      <c r="C13" s="35" t="s">
        <v>73</v>
      </c>
      <c r="D13" s="35" t="str">
        <f>IF(E13="","",VLOOKUP(E13,'Coaching Points'!A:B,2,0))</f>
        <v>ON</v>
      </c>
      <c r="E13" s="35" t="s">
        <v>97</v>
      </c>
      <c r="F13" s="34">
        <v>2006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66</v>
      </c>
      <c r="I13" s="40"/>
      <c r="J13" s="4">
        <f t="shared" si="0"/>
        <v>51.670100000000005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 t="shared" si="1"/>
        <v/>
      </c>
      <c r="R13" s="4">
        <f t="shared" si="2"/>
        <v>51.67</v>
      </c>
      <c r="S13" s="4">
        <f>IF(G13="17-21",LARGE(CHOOSE({1,2,3,4,5,6},T13,V13,Y13,AA13,AC13,AF13),2),IF(R13=X13,MAX(Y13,AA13,AC13,AF13),IF(R13=AE13,MAX(AF13,T13,V13,Y13),0)))</f>
        <v>49.4</v>
      </c>
      <c r="T13" s="32">
        <v>48.75</v>
      </c>
      <c r="U13" s="37">
        <v>12</v>
      </c>
      <c r="V13" s="33">
        <v>49.4</v>
      </c>
      <c r="W13" s="37">
        <v>12</v>
      </c>
      <c r="X13" s="4">
        <f t="shared" si="3"/>
        <v>98.15</v>
      </c>
      <c r="Y13" s="33">
        <v>51.67</v>
      </c>
      <c r="Z13" s="37">
        <v>12</v>
      </c>
      <c r="AA13" s="32"/>
      <c r="AB13" s="37"/>
      <c r="AC13" s="33"/>
      <c r="AD13" s="37"/>
      <c r="AE13" s="4">
        <f t="shared" si="4"/>
        <v>0</v>
      </c>
      <c r="AF13" s="33"/>
      <c r="AG13" s="37"/>
    </row>
    <row r="14" spans="1:34" x14ac:dyDescent="0.2">
      <c r="A14" s="1" t="str" cm="1">
        <f t="array" ref="A14">IF(I14="","",IF(P14&lt;&gt;"",SUMPRODUCT((P$3:P$67&lt;&gt;"")*(G$3:G$67=G14)*(J$3:J$67&gt;J14)*(I$3:I$67="P"))+1,IF(O14&lt;&gt;"",SUMPRODUCT((O$3:O$67&lt;&gt;"")*(P$3:P$67="")*(G$3:G$67=G14)*(J$3:J$67&gt;J14)*(I$3:I$67="P"))+SUMPRODUCT((P$3:P$67&lt;&gt;"")*(G$3:G$67=G14)*(I$3:I$67="P"))+1,IF(N14&lt;&gt;"",SUMPRODUCT((N$3:N$67&lt;&gt;"")*(G$3:G$67=G14)*(J$3:J$67&gt;J14)*(I$3:I$67="P"))+1,IF(M14="P",SUMPRODUCT((O$3:O$67&lt;&gt;"")*(P$3:P$67="")*(G$3:G$67=G14)*(I$3:I$67="P"))+SUMPRODUCT((P$3:P$67&lt;&gt;"")*(G$3:G$67=G14)*(I$3:I$67="P"))+SUMPRODUCT((N$3:N$67&lt;&gt;"")*(G$3:G$67=G14)*(I$3:I$67="P"))+SUMPRODUCT((P$3:P$67="")*(O$3:O$67="")*(N$3:N$67="")*(M$3:M$67="P")*(G$3:G$67=G14)*(J$3:J$67&gt;J14)*(I$3:I$67="P"))+IF(H14="L5",SUMPRODUCT((P$3:P$67="")*(O$3:O$67="")*(N$3:N$67="")*(M$3:M$67="P")*(G$3:G$67=G14)*(J$3:J$67&lt;J14)*(H$3:H$67&lt;&gt;H14)*(I$3:I$67="P")),-1*SUMPRODUCT((P$3:P$67="")*(O$3:O$67="")*(N$3:N$67="")*(M$3:M$67="P")*(G$3:G$67=G14)*(J$3:J$67&gt;J14)*(H$3:H$67="L5")*(I$3:I$67="P")))+1,"")))))</f>
        <v/>
      </c>
      <c r="B14" s="1" t="str" cm="1">
        <f t="array" ref="B14">IF(P14&lt;&gt;"",SUMPRODUCT((P$3:P$67&lt;&gt;"")*(G$3:G$67=G14)*(J$3:J$67&gt;J14))+1,IF(O14&lt;&gt;"",SUMPRODUCT((O$3:O$67&lt;&gt;"")*(P$3:P$67="")*(G$3:G$67=G14)*(J$3:J$67&gt;J14))+SUMPRODUCT((P$3:P$67&lt;&gt;"")*(G$3:G$67=G14))+1,IF(N14&lt;&gt;"",SUMPRODUCT((N$3:N$67&lt;&gt;"")*(G$3:G$67=G14)*(J$3:J$67&gt;J14))+1,IF(M14="P",SUMPRODUCT((O$3:O$67&lt;&gt;"")*(P$3:P$67="")*(G$3:G$67=G14))+SUMPRODUCT((P$3:P$67&lt;&gt;"")*(G$3:G$67=G14))+SUMPRODUCT((N$3:N$67&lt;&gt;"")*(G$3:G$67=G14))+SUMPRODUCT((P$3:P$67="")*(O$3:O$67="")*(N$3:N$67="")*(M$3:M$67="P")*(G$3:G$67=G14)*(J$3:J$67&gt;J14))+IF(H14="L5",SUMPRODUCT((P$3:P$67="")*(O$3:O$67="")*(N$3:N$67="")*(M$3:M$67="P")*(G$3:G$67=G14)*(J$3:J$67&lt;J14)*(H$3:H$67&lt;&gt;H14)),-1*SUMPRODUCT((P$3:P$67="")*(O$3:O$67="")*(N$3:N$67="")*(M$3:M$67="P")*(G$3:G$67=G14)*(J$3:J$67&gt;J14)*(H$3:H$67="L5")))+1,""))))</f>
        <v/>
      </c>
      <c r="C14" s="35" t="s">
        <v>92</v>
      </c>
      <c r="D14" s="35" t="str">
        <f>IF(E14="","",VLOOKUP(E14,'Coaching Points'!A:B,2,0))</f>
        <v>AB</v>
      </c>
      <c r="E14" s="35" t="s">
        <v>28</v>
      </c>
      <c r="F14" s="34">
        <v>2004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72</v>
      </c>
      <c r="I14" s="40"/>
      <c r="J14" s="4">
        <f t="shared" si="0"/>
        <v>51.530200000000001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>P</v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 t="shared" si="1"/>
        <v/>
      </c>
      <c r="R14" s="4">
        <f t="shared" si="2"/>
        <v>51.53</v>
      </c>
      <c r="S14" s="4">
        <f>IF(G14="17-21",LARGE(CHOOSE({1,2,3,4,5,6},T14,V14,Y14,AA14,AC14,AF14),2),IF(R14=X14,MAX(Y14,AA14,AC14,AF14),IF(R14=AE14,MAX(AF14,T14,V14,Y14),0)))</f>
        <v>47.3</v>
      </c>
      <c r="T14" s="32">
        <v>51.53</v>
      </c>
      <c r="U14" s="37">
        <v>14.4</v>
      </c>
      <c r="V14" s="33">
        <v>47.3</v>
      </c>
      <c r="W14" s="37">
        <v>12.8</v>
      </c>
      <c r="X14" s="4">
        <f t="shared" si="3"/>
        <v>51.53</v>
      </c>
      <c r="Y14" s="33">
        <v>6.16</v>
      </c>
      <c r="Z14" s="37">
        <v>2</v>
      </c>
      <c r="AA14" s="32"/>
      <c r="AB14" s="37"/>
      <c r="AC14" s="33"/>
      <c r="AD14" s="37"/>
      <c r="AE14" s="4">
        <f t="shared" si="4"/>
        <v>0</v>
      </c>
      <c r="AF14" s="33"/>
      <c r="AG14" s="37"/>
    </row>
    <row r="15" spans="1:34" x14ac:dyDescent="0.2">
      <c r="A15" s="1" t="str" cm="1">
        <f t="array" ref="A15">IF(I15="","",IF(P15&lt;&gt;"",SUMPRODUCT((P$3:P$67&lt;&gt;"")*(G$3:G$67=G15)*(J$3:J$67&gt;J15)*(I$3:I$67="P"))+1,IF(O15&lt;&gt;"",SUMPRODUCT((O$3:O$67&lt;&gt;"")*(P$3:P$67="")*(G$3:G$67=G15)*(J$3:J$67&gt;J15)*(I$3:I$67="P"))+SUMPRODUCT((P$3:P$67&lt;&gt;"")*(G$3:G$67=G15)*(I$3:I$67="P"))+1,IF(N15&lt;&gt;"",SUMPRODUCT((N$3:N$67&lt;&gt;"")*(G$3:G$67=G15)*(J$3:J$67&gt;J15)*(I$3:I$67="P"))+1,IF(M15="P",SUMPRODUCT((O$3:O$67&lt;&gt;"")*(P$3:P$67="")*(G$3:G$67=G15)*(I$3:I$67="P"))+SUMPRODUCT((P$3:P$67&lt;&gt;"")*(G$3:G$67=G15)*(I$3:I$67="P"))+SUMPRODUCT((N$3:N$67&lt;&gt;"")*(G$3:G$67=G15)*(I$3:I$67="P"))+SUMPRODUCT((P$3:P$67="")*(O$3:O$67="")*(N$3:N$67="")*(M$3:M$67="P")*(G$3:G$67=G15)*(J$3:J$67&gt;J15)*(I$3:I$67="P"))+IF(H15="L5",SUMPRODUCT((P$3:P$67="")*(O$3:O$67="")*(N$3:N$67="")*(M$3:M$67="P")*(G$3:G$67=G15)*(J$3:J$67&lt;J15)*(H$3:H$67&lt;&gt;H15)*(I$3:I$67="P")),-1*SUMPRODUCT((P$3:P$67="")*(O$3:O$67="")*(N$3:N$67="")*(M$3:M$67="P")*(G$3:G$67=G15)*(J$3:J$67&gt;J15)*(H$3:H$67="L5")*(I$3:I$67="P")))+1,"")))))</f>
        <v/>
      </c>
      <c r="B15" s="1" t="str" cm="1">
        <f t="array" ref="B15">IF(P15&lt;&gt;"",SUMPRODUCT((P$3:P$67&lt;&gt;"")*(G$3:G$67=G15)*(J$3:J$67&gt;J15))+1,IF(O15&lt;&gt;"",SUMPRODUCT((O$3:O$67&lt;&gt;"")*(P$3:P$67="")*(G$3:G$67=G15)*(J$3:J$67&gt;J15))+SUMPRODUCT((P$3:P$67&lt;&gt;"")*(G$3:G$67=G15))+1,IF(N15&lt;&gt;"",SUMPRODUCT((N$3:N$67&lt;&gt;"")*(G$3:G$67=G15)*(J$3:J$67&gt;J15))+1,IF(M15="P",SUMPRODUCT((O$3:O$67&lt;&gt;"")*(P$3:P$67="")*(G$3:G$67=G15))+SUMPRODUCT((P$3:P$67&lt;&gt;"")*(G$3:G$67=G15))+SUMPRODUCT((N$3:N$67&lt;&gt;"")*(G$3:G$67=G15))+SUMPRODUCT((P$3:P$67="")*(O$3:O$67="")*(N$3:N$67="")*(M$3:M$67="P")*(G$3:G$67=G15)*(J$3:J$67&gt;J15))+IF(H15="L5",SUMPRODUCT((P$3:P$67="")*(O$3:O$67="")*(N$3:N$67="")*(M$3:M$67="P")*(G$3:G$67=G15)*(J$3:J$67&lt;J15)*(H$3:H$67&lt;&gt;H15)),-1*SUMPRODUCT((P$3:P$67="")*(O$3:O$67="")*(N$3:N$67="")*(M$3:M$67="P")*(G$3:G$67=G15)*(J$3:J$67&gt;J15)*(H$3:H$67="L5")))+1,""))))</f>
        <v/>
      </c>
      <c r="C15" s="35" t="s">
        <v>81</v>
      </c>
      <c r="D15" s="35" t="str">
        <f>IF(E15="","",VLOOKUP(E15,'Coaching Points'!A:B,2,0))</f>
        <v>QC</v>
      </c>
      <c r="E15" s="35" t="s">
        <v>201</v>
      </c>
      <c r="F15" s="34">
        <v>2007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66</v>
      </c>
      <c r="I15" s="40"/>
      <c r="J15" s="4">
        <f t="shared" si="0"/>
        <v>50.400100000000002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 t="shared" si="1"/>
        <v/>
      </c>
      <c r="R15" s="4">
        <f t="shared" si="2"/>
        <v>50.4</v>
      </c>
      <c r="S15" s="4">
        <f>IF(G15="17-21",LARGE(CHOOSE({1,2,3,4,5,6},T15,V15,Y15,AA15,AC15,AF15),2),IF(R15=X15,MAX(Y15,AA15,AC15,AF15),IF(R15=AE15,MAX(AF15,T15,V15,Y15),0)))</f>
        <v>49.4</v>
      </c>
      <c r="T15" s="32">
        <v>48.87</v>
      </c>
      <c r="U15" s="37">
        <v>9.4</v>
      </c>
      <c r="V15" s="33">
        <v>49.4</v>
      </c>
      <c r="W15" s="37">
        <v>9.4</v>
      </c>
      <c r="X15" s="4">
        <f t="shared" si="3"/>
        <v>98.27</v>
      </c>
      <c r="Y15" s="33">
        <v>50.4</v>
      </c>
      <c r="Z15" s="37">
        <v>9.4</v>
      </c>
      <c r="AA15" s="32"/>
      <c r="AB15" s="37"/>
      <c r="AC15" s="33"/>
      <c r="AD15" s="37"/>
      <c r="AE15" s="4">
        <f t="shared" si="4"/>
        <v>0</v>
      </c>
      <c r="AF15" s="33"/>
      <c r="AG15" s="37"/>
    </row>
    <row r="16" spans="1:34" x14ac:dyDescent="0.2">
      <c r="A16" s="1" t="str" cm="1">
        <f t="array" ref="A16">IF(I16="","",IF(P16&lt;&gt;"",SUMPRODUCT((P$3:P$67&lt;&gt;"")*(G$3:G$67=G16)*(J$3:J$67&gt;J16)*(I$3:I$67="P"))+1,IF(O16&lt;&gt;"",SUMPRODUCT((O$3:O$67&lt;&gt;"")*(P$3:P$67="")*(G$3:G$67=G16)*(J$3:J$67&gt;J16)*(I$3:I$67="P"))+SUMPRODUCT((P$3:P$67&lt;&gt;"")*(G$3:G$67=G16)*(I$3:I$67="P"))+1,IF(N16&lt;&gt;"",SUMPRODUCT((N$3:N$67&lt;&gt;"")*(G$3:G$67=G16)*(J$3:J$67&gt;J16)*(I$3:I$67="P"))+1,IF(M16="P",SUMPRODUCT((O$3:O$67&lt;&gt;"")*(P$3:P$67="")*(G$3:G$67=G16)*(I$3:I$67="P"))+SUMPRODUCT((P$3:P$67&lt;&gt;"")*(G$3:G$67=G16)*(I$3:I$67="P"))+SUMPRODUCT((N$3:N$67&lt;&gt;"")*(G$3:G$67=G16)*(I$3:I$67="P"))+SUMPRODUCT((P$3:P$67="")*(O$3:O$67="")*(N$3:N$67="")*(M$3:M$67="P")*(G$3:G$67=G16)*(J$3:J$67&gt;J16)*(I$3:I$67="P"))+IF(H16="L5",SUMPRODUCT((P$3:P$67="")*(O$3:O$67="")*(N$3:N$67="")*(M$3:M$67="P")*(G$3:G$67=G16)*(J$3:J$67&lt;J16)*(H$3:H$67&lt;&gt;H16)*(I$3:I$67="P")),-1*SUMPRODUCT((P$3:P$67="")*(O$3:O$67="")*(N$3:N$67="")*(M$3:M$67="P")*(G$3:G$67=G16)*(J$3:J$67&gt;J16)*(H$3:H$67="L5")*(I$3:I$67="P")))+1,"")))))</f>
        <v/>
      </c>
      <c r="B16" s="1" t="str" cm="1">
        <f t="array" ref="B16">IF(P16&lt;&gt;"",SUMPRODUCT((P$3:P$67&lt;&gt;"")*(G$3:G$67=G16)*(J$3:J$67&gt;J16))+1,IF(O16&lt;&gt;"",SUMPRODUCT((O$3:O$67&lt;&gt;"")*(P$3:P$67="")*(G$3:G$67=G16)*(J$3:J$67&gt;J16))+SUMPRODUCT((P$3:P$67&lt;&gt;"")*(G$3:G$67=G16))+1,IF(N16&lt;&gt;"",SUMPRODUCT((N$3:N$67&lt;&gt;"")*(G$3:G$67=G16)*(J$3:J$67&gt;J16))+1,IF(M16="P",SUMPRODUCT((O$3:O$67&lt;&gt;"")*(P$3:P$67="")*(G$3:G$67=G16))+SUMPRODUCT((P$3:P$67&lt;&gt;"")*(G$3:G$67=G16))+SUMPRODUCT((N$3:N$67&lt;&gt;"")*(G$3:G$67=G16))+SUMPRODUCT((P$3:P$67="")*(O$3:O$67="")*(N$3:N$67="")*(M$3:M$67="P")*(G$3:G$67=G16)*(J$3:J$67&gt;J16))+IF(H16="L5",SUMPRODUCT((P$3:P$67="")*(O$3:O$67="")*(N$3:N$67="")*(M$3:M$67="P")*(G$3:G$67=G16)*(J$3:J$67&lt;J16)*(H$3:H$67&lt;&gt;H16)),-1*SUMPRODUCT((P$3:P$67="")*(O$3:O$67="")*(N$3:N$67="")*(M$3:M$67="P")*(G$3:G$67=G16)*(J$3:J$67&gt;J16)*(H$3:H$67="L5")))+1,""))))</f>
        <v/>
      </c>
      <c r="C16" s="35" t="s">
        <v>89</v>
      </c>
      <c r="D16" s="35" t="str">
        <f>IF(E16="","",VLOOKUP(E16,'Coaching Points'!A:B,2,0))</f>
        <v>BC</v>
      </c>
      <c r="E16" s="35" t="s">
        <v>60</v>
      </c>
      <c r="F16" s="34">
        <v>2007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66</v>
      </c>
      <c r="I16" s="40"/>
      <c r="J16" s="4">
        <f t="shared" si="0"/>
        <v>49.1601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 t="shared" si="1"/>
        <v/>
      </c>
      <c r="R16" s="4">
        <f t="shared" si="2"/>
        <v>49.16</v>
      </c>
      <c r="S16" s="4">
        <f>IF(G16="17-21",LARGE(CHOOSE({1,2,3,4,5,6},T16,V16,Y16,AA16,AC16,AF16),2),IF(R16=X16,MAX(Y16,AA16,AC16,AF16),IF(R16=AE16,MAX(AF16,T16,V16,Y16),0)))</f>
        <v>48.5</v>
      </c>
      <c r="T16" s="32">
        <v>48.5</v>
      </c>
      <c r="U16" s="37">
        <v>10.5</v>
      </c>
      <c r="V16" s="33">
        <v>49.16</v>
      </c>
      <c r="W16" s="37">
        <v>11.3</v>
      </c>
      <c r="X16" s="4">
        <f t="shared" si="3"/>
        <v>97.66</v>
      </c>
      <c r="Y16" s="33">
        <v>44.03</v>
      </c>
      <c r="Z16" s="37">
        <v>9.1</v>
      </c>
      <c r="AA16" s="32"/>
      <c r="AB16" s="37"/>
      <c r="AC16" s="33"/>
      <c r="AD16" s="37"/>
      <c r="AE16" s="4">
        <f t="shared" si="4"/>
        <v>0</v>
      </c>
      <c r="AF16" s="33"/>
      <c r="AG16" s="37"/>
    </row>
    <row r="17" spans="1:33" x14ac:dyDescent="0.2">
      <c r="A17" s="1" t="str" cm="1">
        <f t="array" ref="A17">IF(I17="","",IF(P17&lt;&gt;"",SUMPRODUCT((P$3:P$67&lt;&gt;"")*(G$3:G$67=G17)*(J$3:J$67&gt;J17)*(I$3:I$67="P"))+1,IF(O17&lt;&gt;"",SUMPRODUCT((O$3:O$67&lt;&gt;"")*(P$3:P$67="")*(G$3:G$67=G17)*(J$3:J$67&gt;J17)*(I$3:I$67="P"))+SUMPRODUCT((P$3:P$67&lt;&gt;"")*(G$3:G$67=G17)*(I$3:I$67="P"))+1,IF(N17&lt;&gt;"",SUMPRODUCT((N$3:N$67&lt;&gt;"")*(G$3:G$67=G17)*(J$3:J$67&gt;J17)*(I$3:I$67="P"))+1,IF(M17="P",SUMPRODUCT((O$3:O$67&lt;&gt;"")*(P$3:P$67="")*(G$3:G$67=G17)*(I$3:I$67="P"))+SUMPRODUCT((P$3:P$67&lt;&gt;"")*(G$3:G$67=G17)*(I$3:I$67="P"))+SUMPRODUCT((N$3:N$67&lt;&gt;"")*(G$3:G$67=G17)*(I$3:I$67="P"))+SUMPRODUCT((P$3:P$67="")*(O$3:O$67="")*(N$3:N$67="")*(M$3:M$67="P")*(G$3:G$67=G17)*(J$3:J$67&gt;J17)*(I$3:I$67="P"))+IF(H17="L5",SUMPRODUCT((P$3:P$67="")*(O$3:O$67="")*(N$3:N$67="")*(M$3:M$67="P")*(G$3:G$67=G17)*(J$3:J$67&lt;J17)*(H$3:H$67&lt;&gt;H17)*(I$3:I$67="P")),-1*SUMPRODUCT((P$3:P$67="")*(O$3:O$67="")*(N$3:N$67="")*(M$3:M$67="P")*(G$3:G$67=G17)*(J$3:J$67&gt;J17)*(H$3:H$67="L5")*(I$3:I$67="P")))+1,"")))))</f>
        <v/>
      </c>
      <c r="B17" s="1" t="str" cm="1">
        <f t="array" ref="B17">IF(P17&lt;&gt;"",SUMPRODUCT((P$3:P$67&lt;&gt;"")*(G$3:G$67=G17)*(J$3:J$67&gt;J17))+1,IF(O17&lt;&gt;"",SUMPRODUCT((O$3:O$67&lt;&gt;"")*(P$3:P$67="")*(G$3:G$67=G17)*(J$3:J$67&gt;J17))+SUMPRODUCT((P$3:P$67&lt;&gt;"")*(G$3:G$67=G17))+1,IF(N17&lt;&gt;"",SUMPRODUCT((N$3:N$67&lt;&gt;"")*(G$3:G$67=G17)*(J$3:J$67&gt;J17))+1,IF(M17="P",SUMPRODUCT((O$3:O$67&lt;&gt;"")*(P$3:P$67="")*(G$3:G$67=G17))+SUMPRODUCT((P$3:P$67&lt;&gt;"")*(G$3:G$67=G17))+SUMPRODUCT((N$3:N$67&lt;&gt;"")*(G$3:G$67=G17))+SUMPRODUCT((P$3:P$67="")*(O$3:O$67="")*(N$3:N$67="")*(M$3:M$67="P")*(G$3:G$67=G17)*(J$3:J$67&gt;J17))+IF(H17="L5",SUMPRODUCT((P$3:P$67="")*(O$3:O$67="")*(N$3:N$67="")*(M$3:M$67="P")*(G$3:G$67=G17)*(J$3:J$67&lt;J17)*(H$3:H$67&lt;&gt;H17)),-1*SUMPRODUCT((P$3:P$67="")*(O$3:O$67="")*(N$3:N$67="")*(M$3:M$67="P")*(G$3:G$67=G17)*(J$3:J$67&gt;J17)*(H$3:H$67="L5")))+1,""))))</f>
        <v/>
      </c>
      <c r="C17" s="35" t="s">
        <v>168</v>
      </c>
      <c r="D17" s="35" t="str">
        <f>IF(E17="","",VLOOKUP(E17,'Coaching Points'!A:B,2,0))</f>
        <v>BC</v>
      </c>
      <c r="E17" s="35" t="s">
        <v>198</v>
      </c>
      <c r="F17" s="34">
        <v>2006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66</v>
      </c>
      <c r="I17" s="40"/>
      <c r="J17" s="4">
        <f t="shared" si="0"/>
        <v>49.080100000000002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 t="shared" si="1"/>
        <v/>
      </c>
      <c r="R17" s="4">
        <f t="shared" si="2"/>
        <v>49.08</v>
      </c>
      <c r="S17" s="4">
        <f>IF(G17="17-21",LARGE(CHOOSE({1,2,3,4,5,6},T17,V17,Y17,AA17,AC17,AF17),2),IF(R17=X17,MAX(Y17,AA17,AC17,AF17),IF(R17=AE17,MAX(AF17,T17,V17,Y17),0)))</f>
        <v>45.93</v>
      </c>
      <c r="T17" s="32">
        <v>45.93</v>
      </c>
      <c r="U17" s="37">
        <v>10.6</v>
      </c>
      <c r="V17" s="33">
        <v>49.08</v>
      </c>
      <c r="W17" s="37">
        <v>12.4</v>
      </c>
      <c r="X17" s="4">
        <f t="shared" si="3"/>
        <v>95.009999999999991</v>
      </c>
      <c r="Y17" s="33">
        <v>45.75</v>
      </c>
      <c r="Z17" s="37">
        <v>11.5</v>
      </c>
      <c r="AA17" s="32"/>
      <c r="AB17" s="37"/>
      <c r="AC17" s="33"/>
      <c r="AD17" s="37"/>
      <c r="AE17" s="4">
        <f t="shared" si="4"/>
        <v>0</v>
      </c>
      <c r="AF17" s="33"/>
      <c r="AG17" s="37"/>
    </row>
    <row r="18" spans="1:33" x14ac:dyDescent="0.2">
      <c r="A18" s="1" t="str" cm="1">
        <f t="array" ref="A18">IF(I18="","",IF(P18&lt;&gt;"",SUMPRODUCT((P$3:P$67&lt;&gt;"")*(G$3:G$67=G18)*(J$3:J$67&gt;J18)*(I$3:I$67="P"))+1,IF(O18&lt;&gt;"",SUMPRODUCT((O$3:O$67&lt;&gt;"")*(P$3:P$67="")*(G$3:G$67=G18)*(J$3:J$67&gt;J18)*(I$3:I$67="P"))+SUMPRODUCT((P$3:P$67&lt;&gt;"")*(G$3:G$67=G18)*(I$3:I$67="P"))+1,IF(N18&lt;&gt;"",SUMPRODUCT((N$3:N$67&lt;&gt;"")*(G$3:G$67=G18)*(J$3:J$67&gt;J18)*(I$3:I$67="P"))+1,IF(M18="P",SUMPRODUCT((O$3:O$67&lt;&gt;"")*(P$3:P$67="")*(G$3:G$67=G18)*(I$3:I$67="P"))+SUMPRODUCT((P$3:P$67&lt;&gt;"")*(G$3:G$67=G18)*(I$3:I$67="P"))+SUMPRODUCT((N$3:N$67&lt;&gt;"")*(G$3:G$67=G18)*(I$3:I$67="P"))+SUMPRODUCT((P$3:P$67="")*(O$3:O$67="")*(N$3:N$67="")*(M$3:M$67="P")*(G$3:G$67=G18)*(J$3:J$67&gt;J18)*(I$3:I$67="P"))+IF(H18="L5",SUMPRODUCT((P$3:P$67="")*(O$3:O$67="")*(N$3:N$67="")*(M$3:M$67="P")*(G$3:G$67=G18)*(J$3:J$67&lt;J18)*(H$3:H$67&lt;&gt;H18)*(I$3:I$67="P")),-1*SUMPRODUCT((P$3:P$67="")*(O$3:O$67="")*(N$3:N$67="")*(M$3:M$67="P")*(G$3:G$67=G18)*(J$3:J$67&gt;J18)*(H$3:H$67="L5")*(I$3:I$67="P")))+1,"")))))</f>
        <v/>
      </c>
      <c r="B18" s="1" t="str" cm="1">
        <f t="array" ref="B18">IF(P18&lt;&gt;"",SUMPRODUCT((P$3:P$67&lt;&gt;"")*(G$3:G$67=G18)*(J$3:J$67&gt;J18))+1,IF(O18&lt;&gt;"",SUMPRODUCT((O$3:O$67&lt;&gt;"")*(P$3:P$67="")*(G$3:G$67=G18)*(J$3:J$67&gt;J18))+SUMPRODUCT((P$3:P$67&lt;&gt;"")*(G$3:G$67=G18))+1,IF(N18&lt;&gt;"",SUMPRODUCT((N$3:N$67&lt;&gt;"")*(G$3:G$67=G18)*(J$3:J$67&gt;J18))+1,IF(M18="P",SUMPRODUCT((O$3:O$67&lt;&gt;"")*(P$3:P$67="")*(G$3:G$67=G18))+SUMPRODUCT((P$3:P$67&lt;&gt;"")*(G$3:G$67=G18))+SUMPRODUCT((N$3:N$67&lt;&gt;"")*(G$3:G$67=G18))+SUMPRODUCT((P$3:P$67="")*(O$3:O$67="")*(N$3:N$67="")*(M$3:M$67="P")*(G$3:G$67=G18)*(J$3:J$67&gt;J18))+IF(H18="L5",SUMPRODUCT((P$3:P$67="")*(O$3:O$67="")*(N$3:N$67="")*(M$3:M$67="P")*(G$3:G$67=G18)*(J$3:J$67&lt;J18)*(H$3:H$67&lt;&gt;H18)),-1*SUMPRODUCT((P$3:P$67="")*(O$3:O$67="")*(N$3:N$67="")*(M$3:M$67="P")*(G$3:G$67=G18)*(J$3:J$67&gt;J18)*(H$3:H$67="L5")))+1,""))))</f>
        <v/>
      </c>
      <c r="C18" s="35" t="s">
        <v>136</v>
      </c>
      <c r="D18" s="35" t="str">
        <f>IF(E18="","",VLOOKUP(E18,'Coaching Points'!A:B,2,0))</f>
        <v>AB</v>
      </c>
      <c r="E18" s="35" t="s">
        <v>62</v>
      </c>
      <c r="F18" s="34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72</v>
      </c>
      <c r="I18" s="40"/>
      <c r="J18" s="4">
        <f t="shared" si="0"/>
        <v>48.920200000000001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 t="shared" si="1"/>
        <v/>
      </c>
      <c r="R18" s="4">
        <f t="shared" si="2"/>
        <v>48.92</v>
      </c>
      <c r="S18" s="4">
        <f>IF(G18="17-21",LARGE(CHOOSE({1,2,3,4,5,6},T18,V18,Y18,AA18,AC18,AF18),2),IF(R18=X18,MAX(Y18,AA18,AC18,AF18),IF(R18=AE18,MAX(AF18,T18,V18,Y18),0)))</f>
        <v>47.45</v>
      </c>
      <c r="T18" s="32">
        <v>47.45</v>
      </c>
      <c r="U18" s="37">
        <v>12.1</v>
      </c>
      <c r="V18" s="33">
        <v>48.92</v>
      </c>
      <c r="W18" s="37">
        <v>12.7</v>
      </c>
      <c r="X18" s="4">
        <f t="shared" si="3"/>
        <v>48.92</v>
      </c>
      <c r="Y18" s="33"/>
      <c r="Z18" s="37"/>
      <c r="AA18" s="32"/>
      <c r="AB18" s="37"/>
      <c r="AC18" s="33"/>
      <c r="AD18" s="37"/>
      <c r="AE18" s="4">
        <f t="shared" si="4"/>
        <v>0</v>
      </c>
      <c r="AF18" s="33"/>
      <c r="AG18" s="37"/>
    </row>
    <row r="19" spans="1:33" x14ac:dyDescent="0.2">
      <c r="A19" s="1" t="str" cm="1">
        <f t="array" ref="A19">IF(I19="","",IF(P19&lt;&gt;"",SUMPRODUCT((P$3:P$67&lt;&gt;"")*(G$3:G$67=G19)*(J$3:J$67&gt;J19)*(I$3:I$67="P"))+1,IF(O19&lt;&gt;"",SUMPRODUCT((O$3:O$67&lt;&gt;"")*(P$3:P$67="")*(G$3:G$67=G19)*(J$3:J$67&gt;J19)*(I$3:I$67="P"))+SUMPRODUCT((P$3:P$67&lt;&gt;"")*(G$3:G$67=G19)*(I$3:I$67="P"))+1,IF(N19&lt;&gt;"",SUMPRODUCT((N$3:N$67&lt;&gt;"")*(G$3:G$67=G19)*(J$3:J$67&gt;J19)*(I$3:I$67="P"))+1,IF(M19="P",SUMPRODUCT((O$3:O$67&lt;&gt;"")*(P$3:P$67="")*(G$3:G$67=G19)*(I$3:I$67="P"))+SUMPRODUCT((P$3:P$67&lt;&gt;"")*(G$3:G$67=G19)*(I$3:I$67="P"))+SUMPRODUCT((N$3:N$67&lt;&gt;"")*(G$3:G$67=G19)*(I$3:I$67="P"))+SUMPRODUCT((P$3:P$67="")*(O$3:O$67="")*(N$3:N$67="")*(M$3:M$67="P")*(G$3:G$67=G19)*(J$3:J$67&gt;J19)*(I$3:I$67="P"))+IF(H19="L5",SUMPRODUCT((P$3:P$67="")*(O$3:O$67="")*(N$3:N$67="")*(M$3:M$67="P")*(G$3:G$67=G19)*(J$3:J$67&lt;J19)*(H$3:H$67&lt;&gt;H19)*(I$3:I$67="P")),-1*SUMPRODUCT((P$3:P$67="")*(O$3:O$67="")*(N$3:N$67="")*(M$3:M$67="P")*(G$3:G$67=G19)*(J$3:J$67&gt;J19)*(H$3:H$67="L5")*(I$3:I$67="P")))+1,"")))))</f>
        <v/>
      </c>
      <c r="B19" s="1" t="str" cm="1">
        <f t="array" ref="B19">IF(P19&lt;&gt;"",SUMPRODUCT((P$3:P$67&lt;&gt;"")*(G$3:G$67=G19)*(J$3:J$67&gt;J19))+1,IF(O19&lt;&gt;"",SUMPRODUCT((O$3:O$67&lt;&gt;"")*(P$3:P$67="")*(G$3:G$67=G19)*(J$3:J$67&gt;J19))+SUMPRODUCT((P$3:P$67&lt;&gt;"")*(G$3:G$67=G19))+1,IF(N19&lt;&gt;"",SUMPRODUCT((N$3:N$67&lt;&gt;"")*(G$3:G$67=G19)*(J$3:J$67&gt;J19))+1,IF(M19="P",SUMPRODUCT((O$3:O$67&lt;&gt;"")*(P$3:P$67="")*(G$3:G$67=G19))+SUMPRODUCT((P$3:P$67&lt;&gt;"")*(G$3:G$67=G19))+SUMPRODUCT((N$3:N$67&lt;&gt;"")*(G$3:G$67=G19))+SUMPRODUCT((P$3:P$67="")*(O$3:O$67="")*(N$3:N$67="")*(M$3:M$67="P")*(G$3:G$67=G19)*(J$3:J$67&gt;J19))+IF(H19="L5",SUMPRODUCT((P$3:P$67="")*(O$3:O$67="")*(N$3:N$67="")*(M$3:M$67="P")*(G$3:G$67=G19)*(J$3:J$67&lt;J19)*(H$3:H$67&lt;&gt;H19)),-1*SUMPRODUCT((P$3:P$67="")*(O$3:O$67="")*(N$3:N$67="")*(M$3:M$67="P")*(G$3:G$67=G19)*(J$3:J$67&gt;J19)*(H$3:H$67="L5")))+1,""))))</f>
        <v/>
      </c>
      <c r="C19" s="35" t="s">
        <v>301</v>
      </c>
      <c r="D19" s="35" t="str">
        <f>IF(E19="","",VLOOKUP(E19,'Coaching Points'!A:B,2,0))</f>
        <v>NL</v>
      </c>
      <c r="E19" s="35" t="s">
        <v>91</v>
      </c>
      <c r="F19" s="34">
        <v>2007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64</v>
      </c>
      <c r="I19" s="40"/>
      <c r="J19" s="4">
        <f t="shared" si="0"/>
        <v>48.63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 t="shared" si="1"/>
        <v/>
      </c>
      <c r="R19" s="4">
        <f t="shared" si="2"/>
        <v>48.63</v>
      </c>
      <c r="S19" s="4">
        <f>IF(G19="17-21",LARGE(CHOOSE({1,2,3,4,5,6},T19,V19,Y19,AA19,AC19,AF19),2),IF(R19=X19,MAX(Y19,AA19,AC19,AF19),IF(R19=AE19,MAX(AF19,T19,V19,Y19),0)))</f>
        <v>43.66</v>
      </c>
      <c r="T19" s="32">
        <v>39.81</v>
      </c>
      <c r="U19" s="37">
        <v>0</v>
      </c>
      <c r="V19" s="33">
        <v>43.66</v>
      </c>
      <c r="W19" s="37">
        <v>7.8</v>
      </c>
      <c r="X19" s="4">
        <f t="shared" si="3"/>
        <v>83.47</v>
      </c>
      <c r="Y19" s="33">
        <v>48.63</v>
      </c>
      <c r="Z19" s="37">
        <v>9.1</v>
      </c>
      <c r="AA19" s="32"/>
      <c r="AB19" s="37"/>
      <c r="AC19" s="33"/>
      <c r="AD19" s="37"/>
      <c r="AE19" s="4">
        <f t="shared" si="4"/>
        <v>0</v>
      </c>
      <c r="AF19" s="33"/>
      <c r="AG19" s="37"/>
    </row>
    <row r="20" spans="1:33" x14ac:dyDescent="0.2">
      <c r="A20" s="1" t="str" cm="1">
        <f t="array" ref="A20">IF(I20="","",IF(P20&lt;&gt;"",SUMPRODUCT((P$3:P$67&lt;&gt;"")*(G$3:G$67=G20)*(J$3:J$67&gt;J20)*(I$3:I$67="P"))+1,IF(O20&lt;&gt;"",SUMPRODUCT((O$3:O$67&lt;&gt;"")*(P$3:P$67="")*(G$3:G$67=G20)*(J$3:J$67&gt;J20)*(I$3:I$67="P"))+SUMPRODUCT((P$3:P$67&lt;&gt;"")*(G$3:G$67=G20)*(I$3:I$67="P"))+1,IF(N20&lt;&gt;"",SUMPRODUCT((N$3:N$67&lt;&gt;"")*(G$3:G$67=G20)*(J$3:J$67&gt;J20)*(I$3:I$67="P"))+1,IF(M20="P",SUMPRODUCT((O$3:O$67&lt;&gt;"")*(P$3:P$67="")*(G$3:G$67=G20)*(I$3:I$67="P"))+SUMPRODUCT((P$3:P$67&lt;&gt;"")*(G$3:G$67=G20)*(I$3:I$67="P"))+SUMPRODUCT((N$3:N$67&lt;&gt;"")*(G$3:G$67=G20)*(I$3:I$67="P"))+SUMPRODUCT((P$3:P$67="")*(O$3:O$67="")*(N$3:N$67="")*(M$3:M$67="P")*(G$3:G$67=G20)*(J$3:J$67&gt;J20)*(I$3:I$67="P"))+IF(H20="L5",SUMPRODUCT((P$3:P$67="")*(O$3:O$67="")*(N$3:N$67="")*(M$3:M$67="P")*(G$3:G$67=G20)*(J$3:J$67&lt;J20)*(H$3:H$67&lt;&gt;H20)*(I$3:I$67="P")),-1*SUMPRODUCT((P$3:P$67="")*(O$3:O$67="")*(N$3:N$67="")*(M$3:M$67="P")*(G$3:G$67=G20)*(J$3:J$67&gt;J20)*(H$3:H$67="L5")*(I$3:I$67="P")))+1,"")))))</f>
        <v/>
      </c>
      <c r="B20" s="1" t="str" cm="1">
        <f t="array" ref="B20">IF(P20&lt;&gt;"",SUMPRODUCT((P$3:P$67&lt;&gt;"")*(G$3:G$67=G20)*(J$3:J$67&gt;J20))+1,IF(O20&lt;&gt;"",SUMPRODUCT((O$3:O$67&lt;&gt;"")*(P$3:P$67="")*(G$3:G$67=G20)*(J$3:J$67&gt;J20))+SUMPRODUCT((P$3:P$67&lt;&gt;"")*(G$3:G$67=G20))+1,IF(N20&lt;&gt;"",SUMPRODUCT((N$3:N$67&lt;&gt;"")*(G$3:G$67=G20)*(J$3:J$67&gt;J20))+1,IF(M20="P",SUMPRODUCT((O$3:O$67&lt;&gt;"")*(P$3:P$67="")*(G$3:G$67=G20))+SUMPRODUCT((P$3:P$67&lt;&gt;"")*(G$3:G$67=G20))+SUMPRODUCT((N$3:N$67&lt;&gt;"")*(G$3:G$67=G20))+SUMPRODUCT((P$3:P$67="")*(O$3:O$67="")*(N$3:N$67="")*(M$3:M$67="P")*(G$3:G$67=G20)*(J$3:J$67&gt;J20))+IF(H20="L5",SUMPRODUCT((P$3:P$67="")*(O$3:O$67="")*(N$3:N$67="")*(M$3:M$67="P")*(G$3:G$67=G20)*(J$3:J$67&lt;J20)*(H$3:H$67&lt;&gt;H20)),-1*SUMPRODUCT((P$3:P$67="")*(O$3:O$67="")*(N$3:N$67="")*(M$3:M$67="P")*(G$3:G$67=G20)*(J$3:J$67&gt;J20)*(H$3:H$67="L5")))+1,""))))</f>
        <v/>
      </c>
      <c r="C20" s="35" t="s">
        <v>174</v>
      </c>
      <c r="D20" s="35" t="str">
        <f>IF(E20="","",VLOOKUP(E20,'Coaching Points'!A:B,2,0))</f>
        <v>QC</v>
      </c>
      <c r="E20" s="35" t="s">
        <v>85</v>
      </c>
      <c r="F20" s="34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64</v>
      </c>
      <c r="I20" s="40"/>
      <c r="J20" s="4">
        <f t="shared" si="0"/>
        <v>47.81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 t="shared" si="1"/>
        <v/>
      </c>
      <c r="R20" s="4">
        <f t="shared" si="2"/>
        <v>47.81</v>
      </c>
      <c r="S20" s="4">
        <f>IF(G20="17-21",LARGE(CHOOSE({1,2,3,4,5,6},T20,V20,Y20,AA20,AC20,AF20),2),IF(R20=X20,MAX(Y20,AA20,AC20,AF20),IF(R20=AE20,MAX(AF20,T20,V20,Y20),0)))</f>
        <v>40.03</v>
      </c>
      <c r="T20" s="32">
        <v>40.03</v>
      </c>
      <c r="U20" s="37">
        <v>0</v>
      </c>
      <c r="V20" s="33">
        <v>15.08</v>
      </c>
      <c r="W20" s="37">
        <v>3.4</v>
      </c>
      <c r="X20" s="4">
        <f t="shared" si="3"/>
        <v>55.11</v>
      </c>
      <c r="Y20" s="33">
        <v>47.81</v>
      </c>
      <c r="Z20" s="37">
        <v>9.5</v>
      </c>
      <c r="AA20" s="32"/>
      <c r="AB20" s="37"/>
      <c r="AC20" s="33"/>
      <c r="AD20" s="37"/>
      <c r="AE20" s="4">
        <f t="shared" si="4"/>
        <v>0</v>
      </c>
      <c r="AF20" s="33"/>
      <c r="AG20" s="37"/>
    </row>
    <row r="21" spans="1:33" x14ac:dyDescent="0.2">
      <c r="A21" s="1" t="str" cm="1">
        <f t="array" ref="A21">IF(I21="","",IF(P21&lt;&gt;"",SUMPRODUCT((P$3:P$67&lt;&gt;"")*(G$3:G$67=G21)*(J$3:J$67&gt;J21)*(I$3:I$67="P"))+1,IF(O21&lt;&gt;"",SUMPRODUCT((O$3:O$67&lt;&gt;"")*(P$3:P$67="")*(G$3:G$67=G21)*(J$3:J$67&gt;J21)*(I$3:I$67="P"))+SUMPRODUCT((P$3:P$67&lt;&gt;"")*(G$3:G$67=G21)*(I$3:I$67="P"))+1,IF(N21&lt;&gt;"",SUMPRODUCT((N$3:N$67&lt;&gt;"")*(G$3:G$67=G21)*(J$3:J$67&gt;J21)*(I$3:I$67="P"))+1,IF(M21="P",SUMPRODUCT((O$3:O$67&lt;&gt;"")*(P$3:P$67="")*(G$3:G$67=G21)*(I$3:I$67="P"))+SUMPRODUCT((P$3:P$67&lt;&gt;"")*(G$3:G$67=G21)*(I$3:I$67="P"))+SUMPRODUCT((N$3:N$67&lt;&gt;"")*(G$3:G$67=G21)*(I$3:I$67="P"))+SUMPRODUCT((P$3:P$67="")*(O$3:O$67="")*(N$3:N$67="")*(M$3:M$67="P")*(G$3:G$67=G21)*(J$3:J$67&gt;J21)*(I$3:I$67="P"))+IF(H21="L5",SUMPRODUCT((P$3:P$67="")*(O$3:O$67="")*(N$3:N$67="")*(M$3:M$67="P")*(G$3:G$67=G21)*(J$3:J$67&lt;J21)*(H$3:H$67&lt;&gt;H21)*(I$3:I$67="P")),-1*SUMPRODUCT((P$3:P$67="")*(O$3:O$67="")*(N$3:N$67="")*(M$3:M$67="P")*(G$3:G$67=G21)*(J$3:J$67&gt;J21)*(H$3:H$67="L5")*(I$3:I$67="P")))+1,"")))))</f>
        <v/>
      </c>
      <c r="B21" s="1" t="str" cm="1">
        <f t="array" ref="B21">IF(P21&lt;&gt;"",SUMPRODUCT((P$3:P$67&lt;&gt;"")*(G$3:G$67=G21)*(J$3:J$67&gt;J21))+1,IF(O21&lt;&gt;"",SUMPRODUCT((O$3:O$67&lt;&gt;"")*(P$3:P$67="")*(G$3:G$67=G21)*(J$3:J$67&gt;J21))+SUMPRODUCT((P$3:P$67&lt;&gt;"")*(G$3:G$67=G21))+1,IF(N21&lt;&gt;"",SUMPRODUCT((N$3:N$67&lt;&gt;"")*(G$3:G$67=G21)*(J$3:J$67&gt;J21))+1,IF(M21="P",SUMPRODUCT((O$3:O$67&lt;&gt;"")*(P$3:P$67="")*(G$3:G$67=G21))+SUMPRODUCT((P$3:P$67&lt;&gt;"")*(G$3:G$67=G21))+SUMPRODUCT((N$3:N$67&lt;&gt;"")*(G$3:G$67=G21))+SUMPRODUCT((P$3:P$67="")*(O$3:O$67="")*(N$3:N$67="")*(M$3:M$67="P")*(G$3:G$67=G21)*(J$3:J$67&gt;J21))+IF(H21="L5",SUMPRODUCT((P$3:P$67="")*(O$3:O$67="")*(N$3:N$67="")*(M$3:M$67="P")*(G$3:G$67=G21)*(J$3:J$67&lt;J21)*(H$3:H$67&lt;&gt;H21)),-1*SUMPRODUCT((P$3:P$67="")*(O$3:O$67="")*(N$3:N$67="")*(M$3:M$67="P")*(G$3:G$67=G21)*(J$3:J$67&gt;J21)*(H$3:H$67="L5")))+1,""))))</f>
        <v/>
      </c>
      <c r="C21" s="35" t="s">
        <v>287</v>
      </c>
      <c r="D21" s="35" t="str">
        <f>IF(E21="","",VLOOKUP(E21,'Coaching Points'!A:B,2,0))</f>
        <v>BC</v>
      </c>
      <c r="E21" s="35" t="s">
        <v>60</v>
      </c>
      <c r="F21" s="34">
        <v>2007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66</v>
      </c>
      <c r="I21" s="40"/>
      <c r="J21" s="4">
        <f t="shared" si="0"/>
        <v>47.500100000000003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 t="shared" si="1"/>
        <v/>
      </c>
      <c r="R21" s="4">
        <f t="shared" si="2"/>
        <v>47.5</v>
      </c>
      <c r="S21" s="4">
        <f>IF(G21="17-21",LARGE(CHOOSE({1,2,3,4,5,6},T21,V21,Y21,AA21,AC21,AF21),2),IF(R21=X21,MAX(Y21,AA21,AC21,AF21),IF(R21=AE21,MAX(AF21,T21,V21,Y21),0)))</f>
        <v>44.32</v>
      </c>
      <c r="T21" s="32">
        <v>47.5</v>
      </c>
      <c r="U21" s="37">
        <v>10.6</v>
      </c>
      <c r="V21" s="33">
        <v>44.32</v>
      </c>
      <c r="W21" s="37">
        <v>9</v>
      </c>
      <c r="X21" s="4">
        <f t="shared" si="3"/>
        <v>91.82</v>
      </c>
      <c r="Y21" s="33"/>
      <c r="Z21" s="37"/>
      <c r="AA21" s="32"/>
      <c r="AB21" s="37"/>
      <c r="AC21" s="33"/>
      <c r="AD21" s="37"/>
      <c r="AE21" s="4">
        <f t="shared" si="4"/>
        <v>0</v>
      </c>
      <c r="AF21" s="33"/>
      <c r="AG21" s="37"/>
    </row>
    <row r="22" spans="1:33" x14ac:dyDescent="0.2">
      <c r="A22" s="1" t="str" cm="1">
        <f t="array" ref="A22">IF(I22="","",IF(P22&lt;&gt;"",SUMPRODUCT((P$3:P$67&lt;&gt;"")*(G$3:G$67=G22)*(J$3:J$67&gt;J22)*(I$3:I$67="P"))+1,IF(O22&lt;&gt;"",SUMPRODUCT((O$3:O$67&lt;&gt;"")*(P$3:P$67="")*(G$3:G$67=G22)*(J$3:J$67&gt;J22)*(I$3:I$67="P"))+SUMPRODUCT((P$3:P$67&lt;&gt;"")*(G$3:G$67=G22)*(I$3:I$67="P"))+1,IF(N22&lt;&gt;"",SUMPRODUCT((N$3:N$67&lt;&gt;"")*(G$3:G$67=G22)*(J$3:J$67&gt;J22)*(I$3:I$67="P"))+1,IF(M22="P",SUMPRODUCT((O$3:O$67&lt;&gt;"")*(P$3:P$67="")*(G$3:G$67=G22)*(I$3:I$67="P"))+SUMPRODUCT((P$3:P$67&lt;&gt;"")*(G$3:G$67=G22)*(I$3:I$67="P"))+SUMPRODUCT((N$3:N$67&lt;&gt;"")*(G$3:G$67=G22)*(I$3:I$67="P"))+SUMPRODUCT((P$3:P$67="")*(O$3:O$67="")*(N$3:N$67="")*(M$3:M$67="P")*(G$3:G$67=G22)*(J$3:J$67&gt;J22)*(I$3:I$67="P"))+IF(H22="L5",SUMPRODUCT((P$3:P$67="")*(O$3:O$67="")*(N$3:N$67="")*(M$3:M$67="P")*(G$3:G$67=G22)*(J$3:J$67&lt;J22)*(H$3:H$67&lt;&gt;H22)*(I$3:I$67="P")),-1*SUMPRODUCT((P$3:P$67="")*(O$3:O$67="")*(N$3:N$67="")*(M$3:M$67="P")*(G$3:G$67=G22)*(J$3:J$67&gt;J22)*(H$3:H$67="L5")*(I$3:I$67="P")))+1,"")))))</f>
        <v/>
      </c>
      <c r="B22" s="1" t="str" cm="1">
        <f t="array" ref="B22">IF(P22&lt;&gt;"",SUMPRODUCT((P$3:P$67&lt;&gt;"")*(G$3:G$67=G22)*(J$3:J$67&gt;J22))+1,IF(O22&lt;&gt;"",SUMPRODUCT((O$3:O$67&lt;&gt;"")*(P$3:P$67="")*(G$3:G$67=G22)*(J$3:J$67&gt;J22))+SUMPRODUCT((P$3:P$67&lt;&gt;"")*(G$3:G$67=G22))+1,IF(N22&lt;&gt;"",SUMPRODUCT((N$3:N$67&lt;&gt;"")*(G$3:G$67=G22)*(J$3:J$67&gt;J22))+1,IF(M22="P",SUMPRODUCT((O$3:O$67&lt;&gt;"")*(P$3:P$67="")*(G$3:G$67=G22))+SUMPRODUCT((P$3:P$67&lt;&gt;"")*(G$3:G$67=G22))+SUMPRODUCT((N$3:N$67&lt;&gt;"")*(G$3:G$67=G22))+SUMPRODUCT((P$3:P$67="")*(O$3:O$67="")*(N$3:N$67="")*(M$3:M$67="P")*(G$3:G$67=G22)*(J$3:J$67&gt;J22))+IF(H22="L5",SUMPRODUCT((P$3:P$67="")*(O$3:O$67="")*(N$3:N$67="")*(M$3:M$67="P")*(G$3:G$67=G22)*(J$3:J$67&lt;J22)*(H$3:H$67&lt;&gt;H22)),-1*SUMPRODUCT((P$3:P$67="")*(O$3:O$67="")*(N$3:N$67="")*(M$3:M$67="P")*(G$3:G$67=G22)*(J$3:J$67&gt;J22)*(H$3:H$67="L5")))+1,""))))</f>
        <v/>
      </c>
      <c r="C22" s="35" t="s">
        <v>195</v>
      </c>
      <c r="D22" s="35" t="str">
        <f>IF(E22="","",VLOOKUP(E22,'Coaching Points'!A:B,2,0))</f>
        <v>AB</v>
      </c>
      <c r="E22" s="35" t="s">
        <v>62</v>
      </c>
      <c r="F22" s="34">
        <v>2007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66</v>
      </c>
      <c r="I22" s="40"/>
      <c r="J22" s="4">
        <f t="shared" si="0"/>
        <v>46.670100000000005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 t="shared" si="1"/>
        <v/>
      </c>
      <c r="R22" s="4">
        <f t="shared" si="2"/>
        <v>46.67</v>
      </c>
      <c r="S22" s="4">
        <f>IF(G22="17-21",LARGE(CHOOSE({1,2,3,4,5,6},T22,V22,Y22,AA22,AC22,AF22),2),IF(R22=X22,MAX(Y22,AA22,AC22,AF22),IF(R22=AE22,MAX(AF22,T22,V22,Y22),0)))</f>
        <v>10.5</v>
      </c>
      <c r="T22" s="32">
        <v>46.67</v>
      </c>
      <c r="U22" s="37">
        <v>11.6</v>
      </c>
      <c r="V22" s="33">
        <v>10.5</v>
      </c>
      <c r="W22" s="37">
        <v>2.7</v>
      </c>
      <c r="X22" s="4">
        <f t="shared" si="3"/>
        <v>57.17</v>
      </c>
      <c r="Y22" s="33"/>
      <c r="Z22" s="37"/>
      <c r="AA22" s="32"/>
      <c r="AB22" s="37"/>
      <c r="AC22" s="33"/>
      <c r="AD22" s="37"/>
      <c r="AE22" s="4">
        <f t="shared" si="4"/>
        <v>0</v>
      </c>
      <c r="AF22" s="33"/>
      <c r="AG22" s="37"/>
    </row>
    <row r="23" spans="1:33" x14ac:dyDescent="0.2">
      <c r="A23" s="1" t="str" cm="1">
        <f t="array" ref="A23">IF(I23="","",IF(P23&lt;&gt;"",SUMPRODUCT((P$3:P$67&lt;&gt;"")*(G$3:G$67=G23)*(J$3:J$67&gt;J23)*(I$3:I$67="P"))+1,IF(O23&lt;&gt;"",SUMPRODUCT((O$3:O$67&lt;&gt;"")*(P$3:P$67="")*(G$3:G$67=G23)*(J$3:J$67&gt;J23)*(I$3:I$67="P"))+SUMPRODUCT((P$3:P$67&lt;&gt;"")*(G$3:G$67=G23)*(I$3:I$67="P"))+1,IF(N23&lt;&gt;"",SUMPRODUCT((N$3:N$67&lt;&gt;"")*(G$3:G$67=G23)*(J$3:J$67&gt;J23)*(I$3:I$67="P"))+1,IF(M23="P",SUMPRODUCT((O$3:O$67&lt;&gt;"")*(P$3:P$67="")*(G$3:G$67=G23)*(I$3:I$67="P"))+SUMPRODUCT((P$3:P$67&lt;&gt;"")*(G$3:G$67=G23)*(I$3:I$67="P"))+SUMPRODUCT((N$3:N$67&lt;&gt;"")*(G$3:G$67=G23)*(I$3:I$67="P"))+SUMPRODUCT((P$3:P$67="")*(O$3:O$67="")*(N$3:N$67="")*(M$3:M$67="P")*(G$3:G$67=G23)*(J$3:J$67&gt;J23)*(I$3:I$67="P"))+IF(H23="L5",SUMPRODUCT((P$3:P$67="")*(O$3:O$67="")*(N$3:N$67="")*(M$3:M$67="P")*(G$3:G$67=G23)*(J$3:J$67&lt;J23)*(H$3:H$67&lt;&gt;H23)*(I$3:I$67="P")),-1*SUMPRODUCT((P$3:P$67="")*(O$3:O$67="")*(N$3:N$67="")*(M$3:M$67="P")*(G$3:G$67=G23)*(J$3:J$67&gt;J23)*(H$3:H$67="L5")*(I$3:I$67="P")))+1,"")))))</f>
        <v/>
      </c>
      <c r="B23" s="1" t="str" cm="1">
        <f t="array" ref="B23">IF(P23&lt;&gt;"",SUMPRODUCT((P$3:P$67&lt;&gt;"")*(G$3:G$67=G23)*(J$3:J$67&gt;J23))+1,IF(O23&lt;&gt;"",SUMPRODUCT((O$3:O$67&lt;&gt;"")*(P$3:P$67="")*(G$3:G$67=G23)*(J$3:J$67&gt;J23))+SUMPRODUCT((P$3:P$67&lt;&gt;"")*(G$3:G$67=G23))+1,IF(N23&lt;&gt;"",SUMPRODUCT((N$3:N$67&lt;&gt;"")*(G$3:G$67=G23)*(J$3:J$67&gt;J23))+1,IF(M23="P",SUMPRODUCT((O$3:O$67&lt;&gt;"")*(P$3:P$67="")*(G$3:G$67=G23))+SUMPRODUCT((P$3:P$67&lt;&gt;"")*(G$3:G$67=G23))+SUMPRODUCT((N$3:N$67&lt;&gt;"")*(G$3:G$67=G23))+SUMPRODUCT((P$3:P$67="")*(O$3:O$67="")*(N$3:N$67="")*(M$3:M$67="P")*(G$3:G$67=G23)*(J$3:J$67&gt;J23))+IF(H23="L5",SUMPRODUCT((P$3:P$67="")*(O$3:O$67="")*(N$3:N$67="")*(M$3:M$67="P")*(G$3:G$67=G23)*(J$3:J$67&lt;J23)*(H$3:H$67&lt;&gt;H23)),-1*SUMPRODUCT((P$3:P$67="")*(O$3:O$67="")*(N$3:N$67="")*(M$3:M$67="P")*(G$3:G$67=G23)*(J$3:J$67&gt;J23)*(H$3:H$67="L5")))+1,""))))</f>
        <v/>
      </c>
      <c r="C23" s="35" t="s">
        <v>79</v>
      </c>
      <c r="D23" s="35" t="str">
        <f>IF(E23="","",VLOOKUP(E23,'Coaching Points'!A:B,2,0))</f>
        <v>QC</v>
      </c>
      <c r="E23" s="35" t="s">
        <v>78</v>
      </c>
      <c r="F23" s="34">
        <v>2007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66</v>
      </c>
      <c r="I23" s="40"/>
      <c r="J23" s="4">
        <f t="shared" si="0"/>
        <v>46.5501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 t="shared" si="1"/>
        <v/>
      </c>
      <c r="R23" s="4">
        <f t="shared" si="2"/>
        <v>46.55</v>
      </c>
      <c r="S23" s="4">
        <f>IF(G23="17-21",LARGE(CHOOSE({1,2,3,4,5,6},T23,V23,Y23,AA23,AC23,AF23),2),IF(R23=X23,MAX(Y23,AA23,AC23,AF23),IF(R23=AE23,MAX(AF23,T23,V23,Y23),0)))</f>
        <v>21.2</v>
      </c>
      <c r="T23" s="32">
        <v>21.2</v>
      </c>
      <c r="U23" s="37">
        <v>4.4000000000000004</v>
      </c>
      <c r="V23" s="33">
        <v>46.55</v>
      </c>
      <c r="W23" s="37">
        <v>9.1999999999999993</v>
      </c>
      <c r="X23" s="4">
        <f t="shared" si="3"/>
        <v>67.75</v>
      </c>
      <c r="Y23" s="33"/>
      <c r="Z23" s="37"/>
      <c r="AA23" s="32"/>
      <c r="AB23" s="37"/>
      <c r="AC23" s="33"/>
      <c r="AD23" s="37"/>
      <c r="AE23" s="4">
        <f t="shared" si="4"/>
        <v>0</v>
      </c>
      <c r="AF23" s="33"/>
      <c r="AG23" s="37"/>
    </row>
    <row r="24" spans="1:33" x14ac:dyDescent="0.2">
      <c r="A24" s="1" t="str" cm="1">
        <f t="array" ref="A24">IF(I24="","",IF(P24&lt;&gt;"",SUMPRODUCT((P$3:P$67&lt;&gt;"")*(G$3:G$67=G24)*(J$3:J$67&gt;J24)*(I$3:I$67="P"))+1,IF(O24&lt;&gt;"",SUMPRODUCT((O$3:O$67&lt;&gt;"")*(P$3:P$67="")*(G$3:G$67=G24)*(J$3:J$67&gt;J24)*(I$3:I$67="P"))+SUMPRODUCT((P$3:P$67&lt;&gt;"")*(G$3:G$67=G24)*(I$3:I$67="P"))+1,IF(N24&lt;&gt;"",SUMPRODUCT((N$3:N$67&lt;&gt;"")*(G$3:G$67=G24)*(J$3:J$67&gt;J24)*(I$3:I$67="P"))+1,IF(M24="P",SUMPRODUCT((O$3:O$67&lt;&gt;"")*(P$3:P$67="")*(G$3:G$67=G24)*(I$3:I$67="P"))+SUMPRODUCT((P$3:P$67&lt;&gt;"")*(G$3:G$67=G24)*(I$3:I$67="P"))+SUMPRODUCT((N$3:N$67&lt;&gt;"")*(G$3:G$67=G24)*(I$3:I$67="P"))+SUMPRODUCT((P$3:P$67="")*(O$3:O$67="")*(N$3:N$67="")*(M$3:M$67="P")*(G$3:G$67=G24)*(J$3:J$67&gt;J24)*(I$3:I$67="P"))+IF(H24="L5",SUMPRODUCT((P$3:P$67="")*(O$3:O$67="")*(N$3:N$67="")*(M$3:M$67="P")*(G$3:G$67=G24)*(J$3:J$67&lt;J24)*(H$3:H$67&lt;&gt;H24)*(I$3:I$67="P")),-1*SUMPRODUCT((P$3:P$67="")*(O$3:O$67="")*(N$3:N$67="")*(M$3:M$67="P")*(G$3:G$67=G24)*(J$3:J$67&gt;J24)*(H$3:H$67="L5")*(I$3:I$67="P")))+1,"")))))</f>
        <v/>
      </c>
      <c r="B24" s="1" t="str" cm="1">
        <f t="array" ref="B24">IF(P24&lt;&gt;"",SUMPRODUCT((P$3:P$67&lt;&gt;"")*(G$3:G$67=G24)*(J$3:J$67&gt;J24))+1,IF(O24&lt;&gt;"",SUMPRODUCT((O$3:O$67&lt;&gt;"")*(P$3:P$67="")*(G$3:G$67=G24)*(J$3:J$67&gt;J24))+SUMPRODUCT((P$3:P$67&lt;&gt;"")*(G$3:G$67=G24))+1,IF(N24&lt;&gt;"",SUMPRODUCT((N$3:N$67&lt;&gt;"")*(G$3:G$67=G24)*(J$3:J$67&gt;J24))+1,IF(M24="P",SUMPRODUCT((O$3:O$67&lt;&gt;"")*(P$3:P$67="")*(G$3:G$67=G24))+SUMPRODUCT((P$3:P$67&lt;&gt;"")*(G$3:G$67=G24))+SUMPRODUCT((N$3:N$67&lt;&gt;"")*(G$3:G$67=G24))+SUMPRODUCT((P$3:P$67="")*(O$3:O$67="")*(N$3:N$67="")*(M$3:M$67="P")*(G$3:G$67=G24)*(J$3:J$67&gt;J24))+IF(H24="L5",SUMPRODUCT((P$3:P$67="")*(O$3:O$67="")*(N$3:N$67="")*(M$3:M$67="P")*(G$3:G$67=G24)*(J$3:J$67&lt;J24)*(H$3:H$67&lt;&gt;H24)),-1*SUMPRODUCT((P$3:P$67="")*(O$3:O$67="")*(N$3:N$67="")*(M$3:M$67="P")*(G$3:G$67=G24)*(J$3:J$67&gt;J24)*(H$3:H$67="L5")))+1,""))))</f>
        <v/>
      </c>
      <c r="C24" s="35" t="s">
        <v>80</v>
      </c>
      <c r="D24" s="35" t="str">
        <f>IF(E24="","",VLOOKUP(E24,'Coaching Points'!A:B,2,0))</f>
        <v>BC</v>
      </c>
      <c r="E24" s="35" t="s">
        <v>70</v>
      </c>
      <c r="F24" s="34">
        <v>2007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66</v>
      </c>
      <c r="I24" s="40"/>
      <c r="J24" s="4">
        <f t="shared" si="0"/>
        <v>45.970100000000002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 t="shared" si="1"/>
        <v/>
      </c>
      <c r="R24" s="4">
        <f t="shared" si="2"/>
        <v>45.97</v>
      </c>
      <c r="S24" s="4">
        <f>IF(G24="17-21",LARGE(CHOOSE({1,2,3,4,5,6},T24,V24,Y24,AA24,AC24,AF24),2),IF(R24=X24,MAX(Y24,AA24,AC24,AF24),IF(R24=AE24,MAX(AF24,T24,V24,Y24),0)))</f>
        <v>45.74</v>
      </c>
      <c r="T24" s="32">
        <v>45.97</v>
      </c>
      <c r="U24" s="37">
        <v>10</v>
      </c>
      <c r="V24" s="33">
        <v>45.74</v>
      </c>
      <c r="W24" s="37">
        <v>10.6</v>
      </c>
      <c r="X24" s="4">
        <f t="shared" si="3"/>
        <v>91.710000000000008</v>
      </c>
      <c r="Y24" s="33"/>
      <c r="Z24" s="37"/>
      <c r="AA24" s="32"/>
      <c r="AB24" s="37"/>
      <c r="AC24" s="33"/>
      <c r="AD24" s="37"/>
      <c r="AE24" s="4">
        <f t="shared" si="4"/>
        <v>0</v>
      </c>
      <c r="AF24" s="33"/>
      <c r="AG24" s="37"/>
    </row>
    <row r="25" spans="1:33" x14ac:dyDescent="0.2">
      <c r="A25" s="1" t="str" cm="1">
        <f t="array" ref="A25">IF(I25="","",IF(P25&lt;&gt;"",SUMPRODUCT((P$3:P$67&lt;&gt;"")*(G$3:G$67=G25)*(J$3:J$67&gt;J25)*(I$3:I$67="P"))+1,IF(O25&lt;&gt;"",SUMPRODUCT((O$3:O$67&lt;&gt;"")*(P$3:P$67="")*(G$3:G$67=G25)*(J$3:J$67&gt;J25)*(I$3:I$67="P"))+SUMPRODUCT((P$3:P$67&lt;&gt;"")*(G$3:G$67=G25)*(I$3:I$67="P"))+1,IF(N25&lt;&gt;"",SUMPRODUCT((N$3:N$67&lt;&gt;"")*(G$3:G$67=G25)*(J$3:J$67&gt;J25)*(I$3:I$67="P"))+1,IF(M25="P",SUMPRODUCT((O$3:O$67&lt;&gt;"")*(P$3:P$67="")*(G$3:G$67=G25)*(I$3:I$67="P"))+SUMPRODUCT((P$3:P$67&lt;&gt;"")*(G$3:G$67=G25)*(I$3:I$67="P"))+SUMPRODUCT((N$3:N$67&lt;&gt;"")*(G$3:G$67=G25)*(I$3:I$67="P"))+SUMPRODUCT((P$3:P$67="")*(O$3:O$67="")*(N$3:N$67="")*(M$3:M$67="P")*(G$3:G$67=G25)*(J$3:J$67&gt;J25)*(I$3:I$67="P"))+IF(H25="L5",SUMPRODUCT((P$3:P$67="")*(O$3:O$67="")*(N$3:N$67="")*(M$3:M$67="P")*(G$3:G$67=G25)*(J$3:J$67&lt;J25)*(H$3:H$67&lt;&gt;H25)*(I$3:I$67="P")),-1*SUMPRODUCT((P$3:P$67="")*(O$3:O$67="")*(N$3:N$67="")*(M$3:M$67="P")*(G$3:G$67=G25)*(J$3:J$67&gt;J25)*(H$3:H$67="L5")*(I$3:I$67="P")))+1,"")))))</f>
        <v/>
      </c>
      <c r="B25" s="1" t="str" cm="1">
        <f t="array" ref="B25">IF(P25&lt;&gt;"",SUMPRODUCT((P$3:P$67&lt;&gt;"")*(G$3:G$67=G25)*(J$3:J$67&gt;J25))+1,IF(O25&lt;&gt;"",SUMPRODUCT((O$3:O$67&lt;&gt;"")*(P$3:P$67="")*(G$3:G$67=G25)*(J$3:J$67&gt;J25))+SUMPRODUCT((P$3:P$67&lt;&gt;"")*(G$3:G$67=G25))+1,IF(N25&lt;&gt;"",SUMPRODUCT((N$3:N$67&lt;&gt;"")*(G$3:G$67=G25)*(J$3:J$67&gt;J25))+1,IF(M25="P",SUMPRODUCT((O$3:O$67&lt;&gt;"")*(P$3:P$67="")*(G$3:G$67=G25))+SUMPRODUCT((P$3:P$67&lt;&gt;"")*(G$3:G$67=G25))+SUMPRODUCT((N$3:N$67&lt;&gt;"")*(G$3:G$67=G25))+SUMPRODUCT((P$3:P$67="")*(O$3:O$67="")*(N$3:N$67="")*(M$3:M$67="P")*(G$3:G$67=G25)*(J$3:J$67&gt;J25))+IF(H25="L5",SUMPRODUCT((P$3:P$67="")*(O$3:O$67="")*(N$3:N$67="")*(M$3:M$67="P")*(G$3:G$67=G25)*(J$3:J$67&lt;J25)*(H$3:H$67&lt;&gt;H25)),-1*SUMPRODUCT((P$3:P$67="")*(O$3:O$67="")*(N$3:N$67="")*(M$3:M$67="P")*(G$3:G$67=G25)*(J$3:J$67&gt;J25)*(H$3:H$67="L5")))+1,""))))</f>
        <v/>
      </c>
      <c r="C25" s="35" t="s">
        <v>84</v>
      </c>
      <c r="D25" s="35" t="str">
        <f>IF(E25="","",VLOOKUP(E25,'Coaching Points'!A:B,2,0))</f>
        <v>AB</v>
      </c>
      <c r="E25" s="35" t="s">
        <v>68</v>
      </c>
      <c r="F25" s="34">
        <v>2005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64</v>
      </c>
      <c r="I25" s="40"/>
      <c r="J25" s="4">
        <f t="shared" si="0"/>
        <v>45.72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 t="shared" si="1"/>
        <v/>
      </c>
      <c r="R25" s="4">
        <f t="shared" si="2"/>
        <v>45.72</v>
      </c>
      <c r="S25" s="4">
        <f>IF(G25="17-21",LARGE(CHOOSE({1,2,3,4,5,6},T25,V25,Y25,AA25,AC25,AF25),2),IF(R25=X25,MAX(Y25,AA25,AC25,AF25),IF(R25=AE25,MAX(AF25,T25,V25,Y25),0)))</f>
        <v>38.22</v>
      </c>
      <c r="T25" s="32">
        <v>38.22</v>
      </c>
      <c r="U25" s="37">
        <v>0</v>
      </c>
      <c r="V25" s="33">
        <v>14</v>
      </c>
      <c r="W25" s="37">
        <v>2.9</v>
      </c>
      <c r="X25" s="4">
        <f t="shared" si="3"/>
        <v>52.22</v>
      </c>
      <c r="Y25" s="33">
        <v>45.72</v>
      </c>
      <c r="Z25" s="37">
        <v>9.1</v>
      </c>
      <c r="AA25" s="32"/>
      <c r="AB25" s="37"/>
      <c r="AC25" s="33"/>
      <c r="AD25" s="37"/>
      <c r="AE25" s="4">
        <f t="shared" si="4"/>
        <v>0</v>
      </c>
      <c r="AF25" s="33"/>
      <c r="AG25" s="37"/>
    </row>
    <row r="26" spans="1:33" x14ac:dyDescent="0.2">
      <c r="A26" s="1" t="str" cm="1">
        <f t="array" ref="A26">IF(I26="","",IF(P26&lt;&gt;"",SUMPRODUCT((P$3:P$67&lt;&gt;"")*(G$3:G$67=G26)*(J$3:J$67&gt;J26)*(I$3:I$67="P"))+1,IF(O26&lt;&gt;"",SUMPRODUCT((O$3:O$67&lt;&gt;"")*(P$3:P$67="")*(G$3:G$67=G26)*(J$3:J$67&gt;J26)*(I$3:I$67="P"))+SUMPRODUCT((P$3:P$67&lt;&gt;"")*(G$3:G$67=G26)*(I$3:I$67="P"))+1,IF(N26&lt;&gt;"",SUMPRODUCT((N$3:N$67&lt;&gt;"")*(G$3:G$67=G26)*(J$3:J$67&gt;J26)*(I$3:I$67="P"))+1,IF(M26="P",SUMPRODUCT((O$3:O$67&lt;&gt;"")*(P$3:P$67="")*(G$3:G$67=G26)*(I$3:I$67="P"))+SUMPRODUCT((P$3:P$67&lt;&gt;"")*(G$3:G$67=G26)*(I$3:I$67="P"))+SUMPRODUCT((N$3:N$67&lt;&gt;"")*(G$3:G$67=G26)*(I$3:I$67="P"))+SUMPRODUCT((P$3:P$67="")*(O$3:O$67="")*(N$3:N$67="")*(M$3:M$67="P")*(G$3:G$67=G26)*(J$3:J$67&gt;J26)*(I$3:I$67="P"))+IF(H26="L5",SUMPRODUCT((P$3:P$67="")*(O$3:O$67="")*(N$3:N$67="")*(M$3:M$67="P")*(G$3:G$67=G26)*(J$3:J$67&lt;J26)*(H$3:H$67&lt;&gt;H26)*(I$3:I$67="P")),-1*SUMPRODUCT((P$3:P$67="")*(O$3:O$67="")*(N$3:N$67="")*(M$3:M$67="P")*(G$3:G$67=G26)*(J$3:J$67&gt;J26)*(H$3:H$67="L5")*(I$3:I$67="P")))+1,"")))))</f>
        <v/>
      </c>
      <c r="B26" s="1" t="str" cm="1">
        <f t="array" ref="B26">IF(P26&lt;&gt;"",SUMPRODUCT((P$3:P$67&lt;&gt;"")*(G$3:G$67=G26)*(J$3:J$67&gt;J26))+1,IF(O26&lt;&gt;"",SUMPRODUCT((O$3:O$67&lt;&gt;"")*(P$3:P$67="")*(G$3:G$67=G26)*(J$3:J$67&gt;J26))+SUMPRODUCT((P$3:P$67&lt;&gt;"")*(G$3:G$67=G26))+1,IF(N26&lt;&gt;"",SUMPRODUCT((N$3:N$67&lt;&gt;"")*(G$3:G$67=G26)*(J$3:J$67&gt;J26))+1,IF(M26="P",SUMPRODUCT((O$3:O$67&lt;&gt;"")*(P$3:P$67="")*(G$3:G$67=G26))+SUMPRODUCT((P$3:P$67&lt;&gt;"")*(G$3:G$67=G26))+SUMPRODUCT((N$3:N$67&lt;&gt;"")*(G$3:G$67=G26))+SUMPRODUCT((P$3:P$67="")*(O$3:O$67="")*(N$3:N$67="")*(M$3:M$67="P")*(G$3:G$67=G26)*(J$3:J$67&gt;J26))+IF(H26="L5",SUMPRODUCT((P$3:P$67="")*(O$3:O$67="")*(N$3:N$67="")*(M$3:M$67="P")*(G$3:G$67=G26)*(J$3:J$67&lt;J26)*(H$3:H$67&lt;&gt;H26)),-1*SUMPRODUCT((P$3:P$67="")*(O$3:O$67="")*(N$3:N$67="")*(M$3:M$67="P")*(G$3:G$67=G26)*(J$3:J$67&gt;J26)*(H$3:H$67="L5")))+1,""))))</f>
        <v/>
      </c>
      <c r="C26" s="35" t="s">
        <v>186</v>
      </c>
      <c r="D26" s="35" t="str">
        <f>IF(E26="","",VLOOKUP(E26,'Coaching Points'!A:B,2,0))</f>
        <v>MB</v>
      </c>
      <c r="E26" s="35" t="s">
        <v>67</v>
      </c>
      <c r="F26" s="34">
        <v>2007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64</v>
      </c>
      <c r="I26" s="40"/>
      <c r="J26" s="4">
        <f t="shared" si="0"/>
        <v>45.52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 t="shared" si="1"/>
        <v/>
      </c>
      <c r="R26" s="4">
        <f t="shared" si="2"/>
        <v>45.52</v>
      </c>
      <c r="S26" s="4">
        <f>IF(G26="17-21",LARGE(CHOOSE({1,2,3,4,5,6},T26,V26,Y26,AA26,AC26,AF26),2),IF(R26=X26,MAX(Y26,AA26,AC26,AF26),IF(R26=AE26,MAX(AF26,T26,V26,Y26),0)))</f>
        <v>43.2</v>
      </c>
      <c r="T26" s="32">
        <v>36.85</v>
      </c>
      <c r="U26" s="37">
        <v>0</v>
      </c>
      <c r="V26" s="33">
        <v>43.2</v>
      </c>
      <c r="W26" s="37">
        <v>9.1</v>
      </c>
      <c r="X26" s="4">
        <f t="shared" si="3"/>
        <v>80.050000000000011</v>
      </c>
      <c r="Y26" s="33">
        <v>45.52</v>
      </c>
      <c r="Z26" s="37">
        <v>9.1</v>
      </c>
      <c r="AA26" s="32"/>
      <c r="AB26" s="37"/>
      <c r="AC26" s="33"/>
      <c r="AD26" s="37"/>
      <c r="AE26" s="4">
        <f t="shared" si="4"/>
        <v>0</v>
      </c>
      <c r="AF26" s="33"/>
      <c r="AG26" s="37"/>
    </row>
    <row r="27" spans="1:33" x14ac:dyDescent="0.2">
      <c r="A27" s="1" t="str" cm="1">
        <f t="array" ref="A27">IF(I27="","",IF(P27&lt;&gt;"",SUMPRODUCT((P$3:P$67&lt;&gt;"")*(G$3:G$67=G27)*(J$3:J$67&gt;J27)*(I$3:I$67="P"))+1,IF(O27&lt;&gt;"",SUMPRODUCT((O$3:O$67&lt;&gt;"")*(P$3:P$67="")*(G$3:G$67=G27)*(J$3:J$67&gt;J27)*(I$3:I$67="P"))+SUMPRODUCT((P$3:P$67&lt;&gt;"")*(G$3:G$67=G27)*(I$3:I$67="P"))+1,IF(N27&lt;&gt;"",SUMPRODUCT((N$3:N$67&lt;&gt;"")*(G$3:G$67=G27)*(J$3:J$67&gt;J27)*(I$3:I$67="P"))+1,IF(M27="P",SUMPRODUCT((O$3:O$67&lt;&gt;"")*(P$3:P$67="")*(G$3:G$67=G27)*(I$3:I$67="P"))+SUMPRODUCT((P$3:P$67&lt;&gt;"")*(G$3:G$67=G27)*(I$3:I$67="P"))+SUMPRODUCT((N$3:N$67&lt;&gt;"")*(G$3:G$67=G27)*(I$3:I$67="P"))+SUMPRODUCT((P$3:P$67="")*(O$3:O$67="")*(N$3:N$67="")*(M$3:M$67="P")*(G$3:G$67=G27)*(J$3:J$67&gt;J27)*(I$3:I$67="P"))+IF(H27="L5",SUMPRODUCT((P$3:P$67="")*(O$3:O$67="")*(N$3:N$67="")*(M$3:M$67="P")*(G$3:G$67=G27)*(J$3:J$67&lt;J27)*(H$3:H$67&lt;&gt;H27)*(I$3:I$67="P")),-1*SUMPRODUCT((P$3:P$67="")*(O$3:O$67="")*(N$3:N$67="")*(M$3:M$67="P")*(G$3:G$67=G27)*(J$3:J$67&gt;J27)*(H$3:H$67="L5")*(I$3:I$67="P")))+1,"")))))</f>
        <v/>
      </c>
      <c r="B27" s="1" t="str" cm="1">
        <f t="array" ref="B27">IF(P27&lt;&gt;"",SUMPRODUCT((P$3:P$67&lt;&gt;"")*(G$3:G$67=G27)*(J$3:J$67&gt;J27))+1,IF(O27&lt;&gt;"",SUMPRODUCT((O$3:O$67&lt;&gt;"")*(P$3:P$67="")*(G$3:G$67=G27)*(J$3:J$67&gt;J27))+SUMPRODUCT((P$3:P$67&lt;&gt;"")*(G$3:G$67=G27))+1,IF(N27&lt;&gt;"",SUMPRODUCT((N$3:N$67&lt;&gt;"")*(G$3:G$67=G27)*(J$3:J$67&gt;J27))+1,IF(M27="P",SUMPRODUCT((O$3:O$67&lt;&gt;"")*(P$3:P$67="")*(G$3:G$67=G27))+SUMPRODUCT((P$3:P$67&lt;&gt;"")*(G$3:G$67=G27))+SUMPRODUCT((N$3:N$67&lt;&gt;"")*(G$3:G$67=G27))+SUMPRODUCT((P$3:P$67="")*(O$3:O$67="")*(N$3:N$67="")*(M$3:M$67="P")*(G$3:G$67=G27)*(J$3:J$67&gt;J27))+IF(H27="L5",SUMPRODUCT((P$3:P$67="")*(O$3:O$67="")*(N$3:N$67="")*(M$3:M$67="P")*(G$3:G$67=G27)*(J$3:J$67&lt;J27)*(H$3:H$67&lt;&gt;H27)),-1*SUMPRODUCT((P$3:P$67="")*(O$3:O$67="")*(N$3:N$67="")*(M$3:M$67="P")*(G$3:G$67=G27)*(J$3:J$67&gt;J27)*(H$3:H$67="L5")))+1,""))))</f>
        <v/>
      </c>
      <c r="C27" s="35" t="s">
        <v>316</v>
      </c>
      <c r="D27" s="35" t="str">
        <f>IF(E27="","",VLOOKUP(E27,'Coaching Points'!A:B,2,0))</f>
        <v>NS</v>
      </c>
      <c r="E27" s="35" t="s">
        <v>112</v>
      </c>
      <c r="F27" s="34">
        <v>2003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66</v>
      </c>
      <c r="I27" s="40"/>
      <c r="J27" s="4">
        <f t="shared" si="0"/>
        <v>45.420100000000005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 t="shared" si="1"/>
        <v/>
      </c>
      <c r="R27" s="4">
        <f t="shared" si="2"/>
        <v>45.42</v>
      </c>
      <c r="S27" s="4">
        <f>IF(G27="17-21",LARGE(CHOOSE({1,2,3,4,5,6},T27,V27,Y27,AA27,AC27,AF27),2),IF(R27=X27,MAX(Y27,AA27,AC27,AF27),IF(R27=AE27,MAX(AF27,T27,V27,Y27),0)))</f>
        <v>44.37</v>
      </c>
      <c r="T27" s="32">
        <v>45.42</v>
      </c>
      <c r="U27" s="37">
        <v>8.6</v>
      </c>
      <c r="V27" s="33">
        <v>44.37</v>
      </c>
      <c r="W27" s="37">
        <v>8.8000000000000007</v>
      </c>
      <c r="X27" s="4">
        <f t="shared" si="3"/>
        <v>89.789999999999992</v>
      </c>
      <c r="Y27" s="33"/>
      <c r="Z27" s="37"/>
      <c r="AA27" s="32"/>
      <c r="AB27" s="37"/>
      <c r="AC27" s="33"/>
      <c r="AD27" s="37"/>
      <c r="AE27" s="4">
        <f t="shared" si="4"/>
        <v>0</v>
      </c>
      <c r="AF27" s="33"/>
      <c r="AG27" s="37"/>
    </row>
    <row r="28" spans="1:33" x14ac:dyDescent="0.2">
      <c r="A28" s="1" t="str" cm="1">
        <f t="array" ref="A28">IF(I28="","",IF(P28&lt;&gt;"",SUMPRODUCT((P$3:P$67&lt;&gt;"")*(G$3:G$67=G28)*(J$3:J$67&gt;J28)*(I$3:I$67="P"))+1,IF(O28&lt;&gt;"",SUMPRODUCT((O$3:O$67&lt;&gt;"")*(P$3:P$67="")*(G$3:G$67=G28)*(J$3:J$67&gt;J28)*(I$3:I$67="P"))+SUMPRODUCT((P$3:P$67&lt;&gt;"")*(G$3:G$67=G28)*(I$3:I$67="P"))+1,IF(N28&lt;&gt;"",SUMPRODUCT((N$3:N$67&lt;&gt;"")*(G$3:G$67=G28)*(J$3:J$67&gt;J28)*(I$3:I$67="P"))+1,IF(M28="P",SUMPRODUCT((O$3:O$67&lt;&gt;"")*(P$3:P$67="")*(G$3:G$67=G28)*(I$3:I$67="P"))+SUMPRODUCT((P$3:P$67&lt;&gt;"")*(G$3:G$67=G28)*(I$3:I$67="P"))+SUMPRODUCT((N$3:N$67&lt;&gt;"")*(G$3:G$67=G28)*(I$3:I$67="P"))+SUMPRODUCT((P$3:P$67="")*(O$3:O$67="")*(N$3:N$67="")*(M$3:M$67="P")*(G$3:G$67=G28)*(J$3:J$67&gt;J28)*(I$3:I$67="P"))+IF(H28="L5",SUMPRODUCT((P$3:P$67="")*(O$3:O$67="")*(N$3:N$67="")*(M$3:M$67="P")*(G$3:G$67=G28)*(J$3:J$67&lt;J28)*(H$3:H$67&lt;&gt;H28)*(I$3:I$67="P")),-1*SUMPRODUCT((P$3:P$67="")*(O$3:O$67="")*(N$3:N$67="")*(M$3:M$67="P")*(G$3:G$67=G28)*(J$3:J$67&gt;J28)*(H$3:H$67="L5")*(I$3:I$67="P")))+1,"")))))</f>
        <v/>
      </c>
      <c r="B28" s="1" t="str" cm="1">
        <f t="array" ref="B28">IF(P28&lt;&gt;"",SUMPRODUCT((P$3:P$67&lt;&gt;"")*(G$3:G$67=G28)*(J$3:J$67&gt;J28))+1,IF(O28&lt;&gt;"",SUMPRODUCT((O$3:O$67&lt;&gt;"")*(P$3:P$67="")*(G$3:G$67=G28)*(J$3:J$67&gt;J28))+SUMPRODUCT((P$3:P$67&lt;&gt;"")*(G$3:G$67=G28))+1,IF(N28&lt;&gt;"",SUMPRODUCT((N$3:N$67&lt;&gt;"")*(G$3:G$67=G28)*(J$3:J$67&gt;J28))+1,IF(M28="P",SUMPRODUCT((O$3:O$67&lt;&gt;"")*(P$3:P$67="")*(G$3:G$67=G28))+SUMPRODUCT((P$3:P$67&lt;&gt;"")*(G$3:G$67=G28))+SUMPRODUCT((N$3:N$67&lt;&gt;"")*(G$3:G$67=G28))+SUMPRODUCT((P$3:P$67="")*(O$3:O$67="")*(N$3:N$67="")*(M$3:M$67="P")*(G$3:G$67=G28)*(J$3:J$67&gt;J28))+IF(H28="L5",SUMPRODUCT((P$3:P$67="")*(O$3:O$67="")*(N$3:N$67="")*(M$3:M$67="P")*(G$3:G$67=G28)*(J$3:J$67&lt;J28)*(H$3:H$67&lt;&gt;H28)),-1*SUMPRODUCT((P$3:P$67="")*(O$3:O$67="")*(N$3:N$67="")*(M$3:M$67="P")*(G$3:G$67=G28)*(J$3:J$67&gt;J28)*(H$3:H$67="L5")))+1,""))))</f>
        <v/>
      </c>
      <c r="C28" s="35" t="s">
        <v>171</v>
      </c>
      <c r="D28" s="35" t="str">
        <f>IF(E28="","",VLOOKUP(E28,'Coaching Points'!A:B,2,0))</f>
        <v>AB</v>
      </c>
      <c r="E28" s="35" t="s">
        <v>28</v>
      </c>
      <c r="F28" s="34">
        <v>2006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64</v>
      </c>
      <c r="I28" s="40"/>
      <c r="J28" s="4">
        <f t="shared" si="0"/>
        <v>45.41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 t="shared" si="1"/>
        <v/>
      </c>
      <c r="R28" s="4">
        <f t="shared" si="2"/>
        <v>45.41</v>
      </c>
      <c r="S28" s="4">
        <f>IF(G28="17-21",LARGE(CHOOSE({1,2,3,4,5,6},T28,V28,Y28,AA28,AC28,AF28),2),IF(R28=X28,MAX(Y28,AA28,AC28,AF28),IF(R28=AE28,MAX(AF28,T28,V28,Y28),0)))</f>
        <v>43.53</v>
      </c>
      <c r="T28" s="32">
        <v>36.67</v>
      </c>
      <c r="U28" s="37">
        <v>0</v>
      </c>
      <c r="V28" s="33">
        <v>43.53</v>
      </c>
      <c r="W28" s="37">
        <v>8.5</v>
      </c>
      <c r="X28" s="4">
        <f t="shared" si="3"/>
        <v>80.2</v>
      </c>
      <c r="Y28" s="33">
        <v>45.41</v>
      </c>
      <c r="Z28" s="37">
        <v>8.5</v>
      </c>
      <c r="AA28" s="32"/>
      <c r="AB28" s="37"/>
      <c r="AC28" s="33"/>
      <c r="AD28" s="37"/>
      <c r="AE28" s="4">
        <f t="shared" si="4"/>
        <v>0</v>
      </c>
      <c r="AF28" s="33"/>
      <c r="AG28" s="37"/>
    </row>
    <row r="29" spans="1:33" x14ac:dyDescent="0.2">
      <c r="A29" s="1" t="str" cm="1">
        <f t="array" ref="A29">IF(I29="","",IF(P29&lt;&gt;"",SUMPRODUCT((P$3:P$67&lt;&gt;"")*(G$3:G$67=G29)*(J$3:J$67&gt;J29)*(I$3:I$67="P"))+1,IF(O29&lt;&gt;"",SUMPRODUCT((O$3:O$67&lt;&gt;"")*(P$3:P$67="")*(G$3:G$67=G29)*(J$3:J$67&gt;J29)*(I$3:I$67="P"))+SUMPRODUCT((P$3:P$67&lt;&gt;"")*(G$3:G$67=G29)*(I$3:I$67="P"))+1,IF(N29&lt;&gt;"",SUMPRODUCT((N$3:N$67&lt;&gt;"")*(G$3:G$67=G29)*(J$3:J$67&gt;J29)*(I$3:I$67="P"))+1,IF(M29="P",SUMPRODUCT((O$3:O$67&lt;&gt;"")*(P$3:P$67="")*(G$3:G$67=G29)*(I$3:I$67="P"))+SUMPRODUCT((P$3:P$67&lt;&gt;"")*(G$3:G$67=G29)*(I$3:I$67="P"))+SUMPRODUCT((N$3:N$67&lt;&gt;"")*(G$3:G$67=G29)*(I$3:I$67="P"))+SUMPRODUCT((P$3:P$67="")*(O$3:O$67="")*(N$3:N$67="")*(M$3:M$67="P")*(G$3:G$67=G29)*(J$3:J$67&gt;J29)*(I$3:I$67="P"))+IF(H29="L5",SUMPRODUCT((P$3:P$67="")*(O$3:O$67="")*(N$3:N$67="")*(M$3:M$67="P")*(G$3:G$67=G29)*(J$3:J$67&lt;J29)*(H$3:H$67&lt;&gt;H29)*(I$3:I$67="P")),-1*SUMPRODUCT((P$3:P$67="")*(O$3:O$67="")*(N$3:N$67="")*(M$3:M$67="P")*(G$3:G$67=G29)*(J$3:J$67&gt;J29)*(H$3:H$67="L5")*(I$3:I$67="P")))+1,"")))))</f>
        <v/>
      </c>
      <c r="B29" s="1" t="str" cm="1">
        <f t="array" ref="B29">IF(P29&lt;&gt;"",SUMPRODUCT((P$3:P$67&lt;&gt;"")*(G$3:G$67=G29)*(J$3:J$67&gt;J29))+1,IF(O29&lt;&gt;"",SUMPRODUCT((O$3:O$67&lt;&gt;"")*(P$3:P$67="")*(G$3:G$67=G29)*(J$3:J$67&gt;J29))+SUMPRODUCT((P$3:P$67&lt;&gt;"")*(G$3:G$67=G29))+1,IF(N29&lt;&gt;"",SUMPRODUCT((N$3:N$67&lt;&gt;"")*(G$3:G$67=G29)*(J$3:J$67&gt;J29))+1,IF(M29="P",SUMPRODUCT((O$3:O$67&lt;&gt;"")*(P$3:P$67="")*(G$3:G$67=G29))+SUMPRODUCT((P$3:P$67&lt;&gt;"")*(G$3:G$67=G29))+SUMPRODUCT((N$3:N$67&lt;&gt;"")*(G$3:G$67=G29))+SUMPRODUCT((P$3:P$67="")*(O$3:O$67="")*(N$3:N$67="")*(M$3:M$67="P")*(G$3:G$67=G29)*(J$3:J$67&gt;J29))+IF(H29="L5",SUMPRODUCT((P$3:P$67="")*(O$3:O$67="")*(N$3:N$67="")*(M$3:M$67="P")*(G$3:G$67=G29)*(J$3:J$67&lt;J29)*(H$3:H$67&lt;&gt;H29)),-1*SUMPRODUCT((P$3:P$67="")*(O$3:O$67="")*(N$3:N$67="")*(M$3:M$67="P")*(G$3:G$67=G29)*(J$3:J$67&gt;J29)*(H$3:H$67="L5")))+1,""))))</f>
        <v/>
      </c>
      <c r="C29" s="35" t="s">
        <v>328</v>
      </c>
      <c r="D29" s="35" t="str">
        <f>IF(E29="","",VLOOKUP(E29,'Coaching Points'!A:B,2,0))</f>
        <v>ON</v>
      </c>
      <c r="E29" s="35" t="s">
        <v>97</v>
      </c>
      <c r="F29" s="34">
        <v>2007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64</v>
      </c>
      <c r="I29" s="40"/>
      <c r="J29" s="4">
        <f t="shared" si="0"/>
        <v>44.69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 t="shared" si="1"/>
        <v/>
      </c>
      <c r="R29" s="4">
        <f t="shared" si="2"/>
        <v>44.69</v>
      </c>
      <c r="S29" s="4">
        <f>IF(G29="17-21",LARGE(CHOOSE({1,2,3,4,5,6},T29,V29,Y29,AA29,AC29,AF29),2),IF(R29=X29,MAX(Y29,AA29,AC29,AF29),IF(R29=AE29,MAX(AF29,T29,V29,Y29),0)))</f>
        <v>40.25</v>
      </c>
      <c r="T29" s="32">
        <v>15.87</v>
      </c>
      <c r="U29" s="37">
        <v>0</v>
      </c>
      <c r="V29" s="33">
        <v>40.25</v>
      </c>
      <c r="W29" s="37">
        <v>7.2</v>
      </c>
      <c r="X29" s="4">
        <f t="shared" si="3"/>
        <v>56.12</v>
      </c>
      <c r="Y29" s="33">
        <v>44.69</v>
      </c>
      <c r="Z29" s="37">
        <v>8</v>
      </c>
      <c r="AA29" s="32"/>
      <c r="AB29" s="37"/>
      <c r="AC29" s="33"/>
      <c r="AD29" s="37"/>
      <c r="AE29" s="4">
        <f t="shared" si="4"/>
        <v>0</v>
      </c>
      <c r="AF29" s="33"/>
      <c r="AG29" s="37"/>
    </row>
    <row r="30" spans="1:33" x14ac:dyDescent="0.2">
      <c r="A30" s="1" t="str" cm="1">
        <f t="array" ref="A30">IF(I30="","",IF(P30&lt;&gt;"",SUMPRODUCT((P$3:P$67&lt;&gt;"")*(G$3:G$67=G30)*(J$3:J$67&gt;J30)*(I$3:I$67="P"))+1,IF(O30&lt;&gt;"",SUMPRODUCT((O$3:O$67&lt;&gt;"")*(P$3:P$67="")*(G$3:G$67=G30)*(J$3:J$67&gt;J30)*(I$3:I$67="P"))+SUMPRODUCT((P$3:P$67&lt;&gt;"")*(G$3:G$67=G30)*(I$3:I$67="P"))+1,IF(N30&lt;&gt;"",SUMPRODUCT((N$3:N$67&lt;&gt;"")*(G$3:G$67=G30)*(J$3:J$67&gt;J30)*(I$3:I$67="P"))+1,IF(M30="P",SUMPRODUCT((O$3:O$67&lt;&gt;"")*(P$3:P$67="")*(G$3:G$67=G30)*(I$3:I$67="P"))+SUMPRODUCT((P$3:P$67&lt;&gt;"")*(G$3:G$67=G30)*(I$3:I$67="P"))+SUMPRODUCT((N$3:N$67&lt;&gt;"")*(G$3:G$67=G30)*(I$3:I$67="P"))+SUMPRODUCT((P$3:P$67="")*(O$3:O$67="")*(N$3:N$67="")*(M$3:M$67="P")*(G$3:G$67=G30)*(J$3:J$67&gt;J30)*(I$3:I$67="P"))+IF(H30="L5",SUMPRODUCT((P$3:P$67="")*(O$3:O$67="")*(N$3:N$67="")*(M$3:M$67="P")*(G$3:G$67=G30)*(J$3:J$67&lt;J30)*(H$3:H$67&lt;&gt;H30)*(I$3:I$67="P")),-1*SUMPRODUCT((P$3:P$67="")*(O$3:O$67="")*(N$3:N$67="")*(M$3:M$67="P")*(G$3:G$67=G30)*(J$3:J$67&gt;J30)*(H$3:H$67="L5")*(I$3:I$67="P")))+1,"")))))</f>
        <v/>
      </c>
      <c r="B30" s="1" t="str" cm="1">
        <f t="array" ref="B30">IF(P30&lt;&gt;"",SUMPRODUCT((P$3:P$67&lt;&gt;"")*(G$3:G$67=G30)*(J$3:J$67&gt;J30))+1,IF(O30&lt;&gt;"",SUMPRODUCT((O$3:O$67&lt;&gt;"")*(P$3:P$67="")*(G$3:G$67=G30)*(J$3:J$67&gt;J30))+SUMPRODUCT((P$3:P$67&lt;&gt;"")*(G$3:G$67=G30))+1,IF(N30&lt;&gt;"",SUMPRODUCT((N$3:N$67&lt;&gt;"")*(G$3:G$67=G30)*(J$3:J$67&gt;J30))+1,IF(M30="P",SUMPRODUCT((O$3:O$67&lt;&gt;"")*(P$3:P$67="")*(G$3:G$67=G30))+SUMPRODUCT((P$3:P$67&lt;&gt;"")*(G$3:G$67=G30))+SUMPRODUCT((N$3:N$67&lt;&gt;"")*(G$3:G$67=G30))+SUMPRODUCT((P$3:P$67="")*(O$3:O$67="")*(N$3:N$67="")*(M$3:M$67="P")*(G$3:G$67=G30)*(J$3:J$67&gt;J30))+IF(H30="L5",SUMPRODUCT((P$3:P$67="")*(O$3:O$67="")*(N$3:N$67="")*(M$3:M$67="P")*(G$3:G$67=G30)*(J$3:J$67&lt;J30)*(H$3:H$67&lt;&gt;H30)),-1*SUMPRODUCT((P$3:P$67="")*(O$3:O$67="")*(N$3:N$67="")*(M$3:M$67="P")*(G$3:G$67=G30)*(J$3:J$67&gt;J30)*(H$3:H$67="L5")))+1,""))))</f>
        <v/>
      </c>
      <c r="C30" s="35" t="s">
        <v>83</v>
      </c>
      <c r="D30" s="35" t="str">
        <f>IF(E30="","",VLOOKUP(E30,'Coaching Points'!A:B,2,0))</f>
        <v>BC</v>
      </c>
      <c r="E30" s="35" t="s">
        <v>60</v>
      </c>
      <c r="F30" s="34">
        <v>2007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66</v>
      </c>
      <c r="I30" s="40"/>
      <c r="J30" s="4">
        <f t="shared" si="0"/>
        <v>44.330100000000002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 t="shared" si="1"/>
        <v/>
      </c>
      <c r="R30" s="4">
        <f t="shared" si="2"/>
        <v>44.33</v>
      </c>
      <c r="S30" s="4">
        <f>IF(G30="17-21",LARGE(CHOOSE({1,2,3,4,5,6},T30,V30,Y30,AA30,AC30,AF30),2),IF(R30=X30,MAX(Y30,AA30,AC30,AF30),IF(R30=AE30,MAX(AF30,T30,V30,Y30),0)))</f>
        <v>18.29</v>
      </c>
      <c r="T30" s="32">
        <v>44.33</v>
      </c>
      <c r="U30" s="37">
        <v>11.3</v>
      </c>
      <c r="V30" s="33">
        <v>18.29</v>
      </c>
      <c r="W30" s="37">
        <v>3.8</v>
      </c>
      <c r="X30" s="4">
        <f t="shared" si="3"/>
        <v>62.62</v>
      </c>
      <c r="Y30" s="33"/>
      <c r="Z30" s="37"/>
      <c r="AA30" s="32"/>
      <c r="AB30" s="37"/>
      <c r="AC30" s="33"/>
      <c r="AD30" s="37"/>
      <c r="AE30" s="4">
        <f t="shared" si="4"/>
        <v>0</v>
      </c>
      <c r="AF30" s="33"/>
      <c r="AG30" s="37"/>
    </row>
    <row r="31" spans="1:33" x14ac:dyDescent="0.2">
      <c r="A31" s="1" t="str" cm="1">
        <f t="array" ref="A31">IF(I31="","",IF(P31&lt;&gt;"",SUMPRODUCT((P$3:P$67&lt;&gt;"")*(G$3:G$67=G31)*(J$3:J$67&gt;J31)*(I$3:I$67="P"))+1,IF(O31&lt;&gt;"",SUMPRODUCT((O$3:O$67&lt;&gt;"")*(P$3:P$67="")*(G$3:G$67=G31)*(J$3:J$67&gt;J31)*(I$3:I$67="P"))+SUMPRODUCT((P$3:P$67&lt;&gt;"")*(G$3:G$67=G31)*(I$3:I$67="P"))+1,IF(N31&lt;&gt;"",SUMPRODUCT((N$3:N$67&lt;&gt;"")*(G$3:G$67=G31)*(J$3:J$67&gt;J31)*(I$3:I$67="P"))+1,IF(M31="P",SUMPRODUCT((O$3:O$67&lt;&gt;"")*(P$3:P$67="")*(G$3:G$67=G31)*(I$3:I$67="P"))+SUMPRODUCT((P$3:P$67&lt;&gt;"")*(G$3:G$67=G31)*(I$3:I$67="P"))+SUMPRODUCT((N$3:N$67&lt;&gt;"")*(G$3:G$67=G31)*(I$3:I$67="P"))+SUMPRODUCT((P$3:P$67="")*(O$3:O$67="")*(N$3:N$67="")*(M$3:M$67="P")*(G$3:G$67=G31)*(J$3:J$67&gt;J31)*(I$3:I$67="P"))+IF(H31="L5",SUMPRODUCT((P$3:P$67="")*(O$3:O$67="")*(N$3:N$67="")*(M$3:M$67="P")*(G$3:G$67=G31)*(J$3:J$67&lt;J31)*(H$3:H$67&lt;&gt;H31)*(I$3:I$67="P")),-1*SUMPRODUCT((P$3:P$67="")*(O$3:O$67="")*(N$3:N$67="")*(M$3:M$67="P")*(G$3:G$67=G31)*(J$3:J$67&gt;J31)*(H$3:H$67="L5")*(I$3:I$67="P")))+1,"")))))</f>
        <v/>
      </c>
      <c r="B31" s="1" t="str" cm="1">
        <f t="array" ref="B31">IF(P31&lt;&gt;"",SUMPRODUCT((P$3:P$67&lt;&gt;"")*(G$3:G$67=G31)*(J$3:J$67&gt;J31))+1,IF(O31&lt;&gt;"",SUMPRODUCT((O$3:O$67&lt;&gt;"")*(P$3:P$67="")*(G$3:G$67=G31)*(J$3:J$67&gt;J31))+SUMPRODUCT((P$3:P$67&lt;&gt;"")*(G$3:G$67=G31))+1,IF(N31&lt;&gt;"",SUMPRODUCT((N$3:N$67&lt;&gt;"")*(G$3:G$67=G31)*(J$3:J$67&gt;J31))+1,IF(M31="P",SUMPRODUCT((O$3:O$67&lt;&gt;"")*(P$3:P$67="")*(G$3:G$67=G31))+SUMPRODUCT((P$3:P$67&lt;&gt;"")*(G$3:G$67=G31))+SUMPRODUCT((N$3:N$67&lt;&gt;"")*(G$3:G$67=G31))+SUMPRODUCT((P$3:P$67="")*(O$3:O$67="")*(N$3:N$67="")*(M$3:M$67="P")*(G$3:G$67=G31)*(J$3:J$67&gt;J31))+IF(H31="L5",SUMPRODUCT((P$3:P$67="")*(O$3:O$67="")*(N$3:N$67="")*(M$3:M$67="P")*(G$3:G$67=G31)*(J$3:J$67&lt;J31)*(H$3:H$67&lt;&gt;H31)),-1*SUMPRODUCT((P$3:P$67="")*(O$3:O$67="")*(N$3:N$67="")*(M$3:M$67="P")*(G$3:G$67=G31)*(J$3:J$67&gt;J31)*(H$3:H$67="L5")))+1,""))))</f>
        <v/>
      </c>
      <c r="C31" s="35" t="s">
        <v>169</v>
      </c>
      <c r="D31" s="35" t="str">
        <f>IF(E31="","",VLOOKUP(E31,'Coaching Points'!A:B,2,0))</f>
        <v>QC</v>
      </c>
      <c r="E31" s="35" t="s">
        <v>3</v>
      </c>
      <c r="F31" s="34">
        <v>2007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64</v>
      </c>
      <c r="I31" s="40"/>
      <c r="J31" s="4">
        <f t="shared" si="0"/>
        <v>44.27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 t="shared" si="1"/>
        <v/>
      </c>
      <c r="R31" s="4">
        <f t="shared" si="2"/>
        <v>44.27</v>
      </c>
      <c r="S31" s="4">
        <f>IF(G31="17-21",LARGE(CHOOSE({1,2,3,4,5,6},T31,V31,Y31,AA31,AC31,AF31),2),IF(R31=X31,MAX(Y31,AA31,AC31,AF31),IF(R31=AE31,MAX(AF31,T31,V31,Y31),0)))</f>
        <v>36.409999999999997</v>
      </c>
      <c r="T31" s="32">
        <v>36.409999999999997</v>
      </c>
      <c r="U31" s="37">
        <v>0</v>
      </c>
      <c r="V31" s="33">
        <v>24.59</v>
      </c>
      <c r="W31" s="37">
        <v>4.5999999999999996</v>
      </c>
      <c r="X31" s="4">
        <f t="shared" si="3"/>
        <v>61</v>
      </c>
      <c r="Y31" s="33">
        <v>44.27</v>
      </c>
      <c r="Z31" s="37">
        <v>8.1</v>
      </c>
      <c r="AA31" s="32"/>
      <c r="AB31" s="37"/>
      <c r="AC31" s="33"/>
      <c r="AD31" s="37"/>
      <c r="AE31" s="4">
        <f t="shared" si="4"/>
        <v>0</v>
      </c>
      <c r="AF31" s="33"/>
      <c r="AG31" s="37"/>
    </row>
    <row r="32" spans="1:33" x14ac:dyDescent="0.2">
      <c r="A32" s="1" t="str" cm="1">
        <f t="array" ref="A32">IF(I32="","",IF(P32&lt;&gt;"",SUMPRODUCT((P$3:P$67&lt;&gt;"")*(G$3:G$67=G32)*(J$3:J$67&gt;J32)*(I$3:I$67="P"))+1,IF(O32&lt;&gt;"",SUMPRODUCT((O$3:O$67&lt;&gt;"")*(P$3:P$67="")*(G$3:G$67=G32)*(J$3:J$67&gt;J32)*(I$3:I$67="P"))+SUMPRODUCT((P$3:P$67&lt;&gt;"")*(G$3:G$67=G32)*(I$3:I$67="P"))+1,IF(N32&lt;&gt;"",SUMPRODUCT((N$3:N$67&lt;&gt;"")*(G$3:G$67=G32)*(J$3:J$67&gt;J32)*(I$3:I$67="P"))+1,IF(M32="P",SUMPRODUCT((O$3:O$67&lt;&gt;"")*(P$3:P$67="")*(G$3:G$67=G32)*(I$3:I$67="P"))+SUMPRODUCT((P$3:P$67&lt;&gt;"")*(G$3:G$67=G32)*(I$3:I$67="P"))+SUMPRODUCT((N$3:N$67&lt;&gt;"")*(G$3:G$67=G32)*(I$3:I$67="P"))+SUMPRODUCT((P$3:P$67="")*(O$3:O$67="")*(N$3:N$67="")*(M$3:M$67="P")*(G$3:G$67=G32)*(J$3:J$67&gt;J32)*(I$3:I$67="P"))+IF(H32="L5",SUMPRODUCT((P$3:P$67="")*(O$3:O$67="")*(N$3:N$67="")*(M$3:M$67="P")*(G$3:G$67=G32)*(J$3:J$67&lt;J32)*(H$3:H$67&lt;&gt;H32)*(I$3:I$67="P")),-1*SUMPRODUCT((P$3:P$67="")*(O$3:O$67="")*(N$3:N$67="")*(M$3:M$67="P")*(G$3:G$67=G32)*(J$3:J$67&gt;J32)*(H$3:H$67="L5")*(I$3:I$67="P")))+1,"")))))</f>
        <v/>
      </c>
      <c r="B32" s="1" t="str" cm="1">
        <f t="array" ref="B32">IF(P32&lt;&gt;"",SUMPRODUCT((P$3:P$67&lt;&gt;"")*(G$3:G$67=G32)*(J$3:J$67&gt;J32))+1,IF(O32&lt;&gt;"",SUMPRODUCT((O$3:O$67&lt;&gt;"")*(P$3:P$67="")*(G$3:G$67=G32)*(J$3:J$67&gt;J32))+SUMPRODUCT((P$3:P$67&lt;&gt;"")*(G$3:G$67=G32))+1,IF(N32&lt;&gt;"",SUMPRODUCT((N$3:N$67&lt;&gt;"")*(G$3:G$67=G32)*(J$3:J$67&gt;J32))+1,IF(M32="P",SUMPRODUCT((O$3:O$67&lt;&gt;"")*(P$3:P$67="")*(G$3:G$67=G32))+SUMPRODUCT((P$3:P$67&lt;&gt;"")*(G$3:G$67=G32))+SUMPRODUCT((N$3:N$67&lt;&gt;"")*(G$3:G$67=G32))+SUMPRODUCT((P$3:P$67="")*(O$3:O$67="")*(N$3:N$67="")*(M$3:M$67="P")*(G$3:G$67=G32)*(J$3:J$67&gt;J32))+IF(H32="L5",SUMPRODUCT((P$3:P$67="")*(O$3:O$67="")*(N$3:N$67="")*(M$3:M$67="P")*(G$3:G$67=G32)*(J$3:J$67&lt;J32)*(H$3:H$67&lt;&gt;H32)),-1*SUMPRODUCT((P$3:P$67="")*(O$3:O$67="")*(N$3:N$67="")*(M$3:M$67="P")*(G$3:G$67=G32)*(J$3:J$67&gt;J32)*(H$3:H$67="L5")))+1,""))))</f>
        <v/>
      </c>
      <c r="C32" s="35" t="s">
        <v>282</v>
      </c>
      <c r="D32" s="35" t="str">
        <f>IF(E32="","",VLOOKUP(E32,'Coaching Points'!A:B,2,0))</f>
        <v>AB</v>
      </c>
      <c r="E32" s="35" t="s">
        <v>62</v>
      </c>
      <c r="F32" s="34">
        <v>2007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64</v>
      </c>
      <c r="I32" s="40"/>
      <c r="J32" s="4">
        <f t="shared" si="0"/>
        <v>43.87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 t="shared" si="1"/>
        <v/>
      </c>
      <c r="R32" s="4">
        <f t="shared" si="2"/>
        <v>43.87</v>
      </c>
      <c r="S32" s="4">
        <f>IF(G32="17-21",LARGE(CHOOSE({1,2,3,4,5,6},T32,V32,Y32,AA32,AC32,AF32),2),IF(R32=X32,MAX(Y32,AA32,AC32,AF32),IF(R32=AE32,MAX(AF32,T32,V32,Y32),0)))</f>
        <v>42.65</v>
      </c>
      <c r="T32" s="32">
        <v>35.659999999999997</v>
      </c>
      <c r="U32" s="37">
        <v>0</v>
      </c>
      <c r="V32" s="33">
        <v>42.65</v>
      </c>
      <c r="W32" s="37">
        <v>8.4</v>
      </c>
      <c r="X32" s="4">
        <f t="shared" si="3"/>
        <v>78.31</v>
      </c>
      <c r="Y32" s="33">
        <v>43.87</v>
      </c>
      <c r="Z32" s="37">
        <v>8.4</v>
      </c>
      <c r="AA32" s="32"/>
      <c r="AB32" s="37"/>
      <c r="AC32" s="33"/>
      <c r="AD32" s="37"/>
      <c r="AE32" s="4">
        <f t="shared" si="4"/>
        <v>0</v>
      </c>
      <c r="AF32" s="33"/>
      <c r="AG32" s="37"/>
    </row>
    <row r="33" spans="1:33" x14ac:dyDescent="0.2">
      <c r="A33" s="1" t="str" cm="1">
        <f t="array" ref="A33">IF(I33="","",IF(P33&lt;&gt;"",SUMPRODUCT((P$3:P$67&lt;&gt;"")*(G$3:G$67=G33)*(J$3:J$67&gt;J33)*(I$3:I$67="P"))+1,IF(O33&lt;&gt;"",SUMPRODUCT((O$3:O$67&lt;&gt;"")*(P$3:P$67="")*(G$3:G$67=G33)*(J$3:J$67&gt;J33)*(I$3:I$67="P"))+SUMPRODUCT((P$3:P$67&lt;&gt;"")*(G$3:G$67=G33)*(I$3:I$67="P"))+1,IF(N33&lt;&gt;"",SUMPRODUCT((N$3:N$67&lt;&gt;"")*(G$3:G$67=G33)*(J$3:J$67&gt;J33)*(I$3:I$67="P"))+1,IF(M33="P",SUMPRODUCT((O$3:O$67&lt;&gt;"")*(P$3:P$67="")*(G$3:G$67=G33)*(I$3:I$67="P"))+SUMPRODUCT((P$3:P$67&lt;&gt;"")*(G$3:G$67=G33)*(I$3:I$67="P"))+SUMPRODUCT((N$3:N$67&lt;&gt;"")*(G$3:G$67=G33)*(I$3:I$67="P"))+SUMPRODUCT((P$3:P$67="")*(O$3:O$67="")*(N$3:N$67="")*(M$3:M$67="P")*(G$3:G$67=G33)*(J$3:J$67&gt;J33)*(I$3:I$67="P"))+IF(H33="L5",SUMPRODUCT((P$3:P$67="")*(O$3:O$67="")*(N$3:N$67="")*(M$3:M$67="P")*(G$3:G$67=G33)*(J$3:J$67&lt;J33)*(H$3:H$67&lt;&gt;H33)*(I$3:I$67="P")),-1*SUMPRODUCT((P$3:P$67="")*(O$3:O$67="")*(N$3:N$67="")*(M$3:M$67="P")*(G$3:G$67=G33)*(J$3:J$67&gt;J33)*(H$3:H$67="L5")*(I$3:I$67="P")))+1,"")))))</f>
        <v/>
      </c>
      <c r="B33" s="1" t="str" cm="1">
        <f t="array" ref="B33">IF(P33&lt;&gt;"",SUMPRODUCT((P$3:P$67&lt;&gt;"")*(G$3:G$67=G33)*(J$3:J$67&gt;J33))+1,IF(O33&lt;&gt;"",SUMPRODUCT((O$3:O$67&lt;&gt;"")*(P$3:P$67="")*(G$3:G$67=G33)*(J$3:J$67&gt;J33))+SUMPRODUCT((P$3:P$67&lt;&gt;"")*(G$3:G$67=G33))+1,IF(N33&lt;&gt;"",SUMPRODUCT((N$3:N$67&lt;&gt;"")*(G$3:G$67=G33)*(J$3:J$67&gt;J33))+1,IF(M33="P",SUMPRODUCT((O$3:O$67&lt;&gt;"")*(P$3:P$67="")*(G$3:G$67=G33))+SUMPRODUCT((P$3:P$67&lt;&gt;"")*(G$3:G$67=G33))+SUMPRODUCT((N$3:N$67&lt;&gt;"")*(G$3:G$67=G33))+SUMPRODUCT((P$3:P$67="")*(O$3:O$67="")*(N$3:N$67="")*(M$3:M$67="P")*(G$3:G$67=G33)*(J$3:J$67&gt;J33))+IF(H33="L5",SUMPRODUCT((P$3:P$67="")*(O$3:O$67="")*(N$3:N$67="")*(M$3:M$67="P")*(G$3:G$67=G33)*(J$3:J$67&lt;J33)*(H$3:H$67&lt;&gt;H33)),-1*SUMPRODUCT((P$3:P$67="")*(O$3:O$67="")*(N$3:N$67="")*(M$3:M$67="P")*(G$3:G$67=G33)*(J$3:J$67&gt;J33)*(H$3:H$67="L5")))+1,""))))</f>
        <v/>
      </c>
      <c r="C33" s="35" t="s">
        <v>220</v>
      </c>
      <c r="D33" s="35" t="str">
        <f>IF(E33="","",VLOOKUP(E33,'Coaching Points'!A:B,2,0))</f>
        <v>BC</v>
      </c>
      <c r="E33" s="35" t="s">
        <v>198</v>
      </c>
      <c r="F33" s="34">
        <v>2007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66</v>
      </c>
      <c r="I33" s="40"/>
      <c r="J33" s="4">
        <f t="shared" si="0"/>
        <v>41.9101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 t="shared" si="1"/>
        <v/>
      </c>
      <c r="R33" s="4">
        <f t="shared" si="2"/>
        <v>41.91</v>
      </c>
      <c r="S33" s="4">
        <f>IF(G33="17-21",LARGE(CHOOSE({1,2,3,4,5,6},T33,V33,Y33,AA33,AC33,AF33),2),IF(R33=X33,MAX(Y33,AA33,AC33,AF33),IF(R33=AE33,MAX(AF33,T33,V33,Y33),0)))</f>
        <v>25.16</v>
      </c>
      <c r="T33" s="32">
        <v>25.16</v>
      </c>
      <c r="U33" s="37">
        <v>3.1</v>
      </c>
      <c r="V33" s="33">
        <v>41.91</v>
      </c>
      <c r="W33" s="37">
        <v>6.7</v>
      </c>
      <c r="X33" s="4">
        <f t="shared" si="3"/>
        <v>67.069999999999993</v>
      </c>
      <c r="Y33" s="33"/>
      <c r="Z33" s="37"/>
      <c r="AA33" s="32"/>
      <c r="AB33" s="37"/>
      <c r="AC33" s="33"/>
      <c r="AD33" s="37"/>
      <c r="AE33" s="4">
        <f t="shared" si="4"/>
        <v>0</v>
      </c>
      <c r="AF33" s="33"/>
      <c r="AG33" s="37"/>
    </row>
    <row r="34" spans="1:33" x14ac:dyDescent="0.2">
      <c r="A34" s="1" t="str" cm="1">
        <f t="array" ref="A34">IF(I34="","",IF(P34&lt;&gt;"",SUMPRODUCT((P$3:P$67&lt;&gt;"")*(G$3:G$67=G34)*(J$3:J$67&gt;J34)*(I$3:I$67="P"))+1,IF(O34&lt;&gt;"",SUMPRODUCT((O$3:O$67&lt;&gt;"")*(P$3:P$67="")*(G$3:G$67=G34)*(J$3:J$67&gt;J34)*(I$3:I$67="P"))+SUMPRODUCT((P$3:P$67&lt;&gt;"")*(G$3:G$67=G34)*(I$3:I$67="P"))+1,IF(N34&lt;&gt;"",SUMPRODUCT((N$3:N$67&lt;&gt;"")*(G$3:G$67=G34)*(J$3:J$67&gt;J34)*(I$3:I$67="P"))+1,IF(M34="P",SUMPRODUCT((O$3:O$67&lt;&gt;"")*(P$3:P$67="")*(G$3:G$67=G34)*(I$3:I$67="P"))+SUMPRODUCT((P$3:P$67&lt;&gt;"")*(G$3:G$67=G34)*(I$3:I$67="P"))+SUMPRODUCT((N$3:N$67&lt;&gt;"")*(G$3:G$67=G34)*(I$3:I$67="P"))+SUMPRODUCT((P$3:P$67="")*(O$3:O$67="")*(N$3:N$67="")*(M$3:M$67="P")*(G$3:G$67=G34)*(J$3:J$67&gt;J34)*(I$3:I$67="P"))+IF(H34="L5",SUMPRODUCT((P$3:P$67="")*(O$3:O$67="")*(N$3:N$67="")*(M$3:M$67="P")*(G$3:G$67=G34)*(J$3:J$67&lt;J34)*(H$3:H$67&lt;&gt;H34)*(I$3:I$67="P")),-1*SUMPRODUCT((P$3:P$67="")*(O$3:O$67="")*(N$3:N$67="")*(M$3:M$67="P")*(G$3:G$67=G34)*(J$3:J$67&gt;J34)*(H$3:H$67="L5")*(I$3:I$67="P")))+1,"")))))</f>
        <v/>
      </c>
      <c r="B34" s="1" t="str" cm="1">
        <f t="array" ref="B34">IF(P34&lt;&gt;"",SUMPRODUCT((P$3:P$67&lt;&gt;"")*(G$3:G$67=G34)*(J$3:J$67&gt;J34))+1,IF(O34&lt;&gt;"",SUMPRODUCT((O$3:O$67&lt;&gt;"")*(P$3:P$67="")*(G$3:G$67=G34)*(J$3:J$67&gt;J34))+SUMPRODUCT((P$3:P$67&lt;&gt;"")*(G$3:G$67=G34))+1,IF(N34&lt;&gt;"",SUMPRODUCT((N$3:N$67&lt;&gt;"")*(G$3:G$67=G34)*(J$3:J$67&gt;J34))+1,IF(M34="P",SUMPRODUCT((O$3:O$67&lt;&gt;"")*(P$3:P$67="")*(G$3:G$67=G34))+SUMPRODUCT((P$3:P$67&lt;&gt;"")*(G$3:G$67=G34))+SUMPRODUCT((N$3:N$67&lt;&gt;"")*(G$3:G$67=G34))+SUMPRODUCT((P$3:P$67="")*(O$3:O$67="")*(N$3:N$67="")*(M$3:M$67="P")*(G$3:G$67=G34)*(J$3:J$67&gt;J34))+IF(H34="L5",SUMPRODUCT((P$3:P$67="")*(O$3:O$67="")*(N$3:N$67="")*(M$3:M$67="P")*(G$3:G$67=G34)*(J$3:J$67&lt;J34)*(H$3:H$67&lt;&gt;H34)),-1*SUMPRODUCT((P$3:P$67="")*(O$3:O$67="")*(N$3:N$67="")*(M$3:M$67="P")*(G$3:G$67=G34)*(J$3:J$67&gt;J34)*(H$3:H$67="L5")))+1,""))))</f>
        <v/>
      </c>
      <c r="C34" s="35" t="s">
        <v>82</v>
      </c>
      <c r="D34" s="35" t="str">
        <f>IF(E34="","",VLOOKUP(E34,'Coaching Points'!A:B,2,0))</f>
        <v>ON</v>
      </c>
      <c r="E34" s="35" t="s">
        <v>37</v>
      </c>
      <c r="F34" s="34">
        <v>2007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66</v>
      </c>
      <c r="I34" s="40"/>
      <c r="J34" s="4">
        <f t="shared" si="0"/>
        <v>39.340100000000007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 t="shared" si="1"/>
        <v/>
      </c>
      <c r="R34" s="4">
        <f t="shared" si="2"/>
        <v>39.340000000000003</v>
      </c>
      <c r="S34" s="4">
        <f>IF(G34="17-21",LARGE(CHOOSE({1,2,3,4,5,6},T34,V34,Y34,AA34,AC34,AF34),2),IF(R34=X34,MAX(Y34,AA34,AC34,AF34),IF(R34=AE34,MAX(AF34,T34,V34,Y34),0)))</f>
        <v>20.239999999999998</v>
      </c>
      <c r="T34" s="32">
        <v>39.340000000000003</v>
      </c>
      <c r="U34" s="37">
        <v>9.6</v>
      </c>
      <c r="V34" s="33">
        <v>20.239999999999998</v>
      </c>
      <c r="W34" s="37">
        <v>5</v>
      </c>
      <c r="X34" s="4">
        <f t="shared" si="3"/>
        <v>59.58</v>
      </c>
      <c r="Y34" s="33"/>
      <c r="Z34" s="37"/>
      <c r="AA34" s="32"/>
      <c r="AB34" s="37"/>
      <c r="AC34" s="33"/>
      <c r="AD34" s="37"/>
      <c r="AE34" s="4">
        <f t="shared" si="4"/>
        <v>0</v>
      </c>
      <c r="AF34" s="33"/>
      <c r="AG34" s="37"/>
    </row>
    <row r="35" spans="1:33" x14ac:dyDescent="0.2">
      <c r="A35" s="1" t="str" cm="1">
        <f t="array" ref="A35">IF(I35="","",IF(P35&lt;&gt;"",SUMPRODUCT((P$3:P$67&lt;&gt;"")*(G$3:G$67=G35)*(J$3:J$67&gt;J35)*(I$3:I$67="P"))+1,IF(O35&lt;&gt;"",SUMPRODUCT((O$3:O$67&lt;&gt;"")*(P$3:P$67="")*(G$3:G$67=G35)*(J$3:J$67&gt;J35)*(I$3:I$67="P"))+SUMPRODUCT((P$3:P$67&lt;&gt;"")*(G$3:G$67=G35)*(I$3:I$67="P"))+1,IF(N35&lt;&gt;"",SUMPRODUCT((N$3:N$67&lt;&gt;"")*(G$3:G$67=G35)*(J$3:J$67&gt;J35)*(I$3:I$67="P"))+1,IF(M35="P",SUMPRODUCT((O$3:O$67&lt;&gt;"")*(P$3:P$67="")*(G$3:G$67=G35)*(I$3:I$67="P"))+SUMPRODUCT((P$3:P$67&lt;&gt;"")*(G$3:G$67=G35)*(I$3:I$67="P"))+SUMPRODUCT((N$3:N$67&lt;&gt;"")*(G$3:G$67=G35)*(I$3:I$67="P"))+SUMPRODUCT((P$3:P$67="")*(O$3:O$67="")*(N$3:N$67="")*(M$3:M$67="P")*(G$3:G$67=G35)*(J$3:J$67&gt;J35)*(I$3:I$67="P"))+IF(H35="L5",SUMPRODUCT((P$3:P$67="")*(O$3:O$67="")*(N$3:N$67="")*(M$3:M$67="P")*(G$3:G$67=G35)*(J$3:J$67&lt;J35)*(H$3:H$67&lt;&gt;H35)*(I$3:I$67="P")),-1*SUMPRODUCT((P$3:P$67="")*(O$3:O$67="")*(N$3:N$67="")*(M$3:M$67="P")*(G$3:G$67=G35)*(J$3:J$67&gt;J35)*(H$3:H$67="L5")*(I$3:I$67="P")))+1,"")))))</f>
        <v/>
      </c>
      <c r="B35" s="1" t="str" cm="1">
        <f t="array" ref="B35">IF(P35&lt;&gt;"",SUMPRODUCT((P$3:P$67&lt;&gt;"")*(G$3:G$67=G35)*(J$3:J$67&gt;J35))+1,IF(O35&lt;&gt;"",SUMPRODUCT((O$3:O$67&lt;&gt;"")*(P$3:P$67="")*(G$3:G$67=G35)*(J$3:J$67&gt;J35))+SUMPRODUCT((P$3:P$67&lt;&gt;"")*(G$3:G$67=G35))+1,IF(N35&lt;&gt;"",SUMPRODUCT((N$3:N$67&lt;&gt;"")*(G$3:G$67=G35)*(J$3:J$67&gt;J35))+1,IF(M35="P",SUMPRODUCT((O$3:O$67&lt;&gt;"")*(P$3:P$67="")*(G$3:G$67=G35))+SUMPRODUCT((P$3:P$67&lt;&gt;"")*(G$3:G$67=G35))+SUMPRODUCT((N$3:N$67&lt;&gt;"")*(G$3:G$67=G35))+SUMPRODUCT((P$3:P$67="")*(O$3:O$67="")*(N$3:N$67="")*(M$3:M$67="P")*(G$3:G$67=G35)*(J$3:J$67&gt;J35))+IF(H35="L5",SUMPRODUCT((P$3:P$67="")*(O$3:O$67="")*(N$3:N$67="")*(M$3:M$67="P")*(G$3:G$67=G35)*(J$3:J$67&lt;J35)*(H$3:H$67&lt;&gt;H35)),-1*SUMPRODUCT((P$3:P$67="")*(O$3:O$67="")*(N$3:N$67="")*(M$3:M$67="P")*(G$3:G$67=G35)*(J$3:J$67&gt;J35)*(H$3:H$67="L5")))+1,""))))</f>
        <v/>
      </c>
      <c r="C35" s="35" t="s">
        <v>173</v>
      </c>
      <c r="D35" s="35" t="str">
        <f>IF(E35="","",VLOOKUP(E35,'Coaching Points'!A:B,2,0))</f>
        <v>QC</v>
      </c>
      <c r="E35" s="35" t="s">
        <v>200</v>
      </c>
      <c r="F35" s="34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66</v>
      </c>
      <c r="I35" s="40"/>
      <c r="J35" s="4">
        <f t="shared" ref="J35:J66" si="5">R35+IF(OR(H35="Junior",H35="Senior"),0.0002,IF(OR(H35="L7",H35="L6"),0.0001,0))+IF(G35="17-21",MAX(AA35,AC35,AF35),AE35)*0.0000001</f>
        <v>39.060100000000006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 t="shared" ref="Q35:Q66" si="6">IF(A35&lt;5,IF(_xlfn.MAXIFS(A:A,G:G,G35)&gt;3,5-A35,_xlfn.MAXIFS(A:A,G:G,G35)+1-A35),"")</f>
        <v/>
      </c>
      <c r="R35" s="4">
        <f t="shared" ref="R35:R66" si="7">IF(G35="17-21",MAX(T35,V35,Y35,AA35,AC35,AF35),MAX(X35,AE35))</f>
        <v>39.06</v>
      </c>
      <c r="S35" s="4">
        <f>IF(G35="17-21",LARGE(CHOOSE({1,2,3,4,5,6},T35,V35,Y35,AA35,AC35,AF35),2),IF(R35=X35,MAX(Y35,AA35,AC35,AF35),IF(R35=AE35,MAX(AF35,T35,V35,Y35),0)))</f>
        <v>15.9</v>
      </c>
      <c r="T35" s="32">
        <v>15.9</v>
      </c>
      <c r="U35" s="37">
        <v>4</v>
      </c>
      <c r="V35" s="33">
        <v>39.06</v>
      </c>
      <c r="W35" s="37">
        <v>9.4</v>
      </c>
      <c r="X35" s="4">
        <f t="shared" ref="X35:X66" si="8">IF(H35="Senior",MAX(T35,V35),T35+V35)</f>
        <v>54.96</v>
      </c>
      <c r="Y35" s="33"/>
      <c r="Z35" s="37"/>
      <c r="AA35" s="32"/>
      <c r="AB35" s="37"/>
      <c r="AC35" s="33"/>
      <c r="AD35" s="37"/>
      <c r="AE35" s="4">
        <f t="shared" ref="AE35:AE66" si="9">IF(H35="Senior",MAX(AA35,AC35),AA35+AC35)</f>
        <v>0</v>
      </c>
      <c r="AF35" s="33"/>
      <c r="AG35" s="37"/>
    </row>
    <row r="36" spans="1:33" x14ac:dyDescent="0.2">
      <c r="A36" s="1" t="str" cm="1">
        <f t="array" ref="A36">IF(I36="","",IF(P36&lt;&gt;"",SUMPRODUCT((P$3:P$67&lt;&gt;"")*(G$3:G$67=G36)*(J$3:J$67&gt;J36)*(I$3:I$67="P"))+1,IF(O36&lt;&gt;"",SUMPRODUCT((O$3:O$67&lt;&gt;"")*(P$3:P$67="")*(G$3:G$67=G36)*(J$3:J$67&gt;J36)*(I$3:I$67="P"))+SUMPRODUCT((P$3:P$67&lt;&gt;"")*(G$3:G$67=G36)*(I$3:I$67="P"))+1,IF(N36&lt;&gt;"",SUMPRODUCT((N$3:N$67&lt;&gt;"")*(G$3:G$67=G36)*(J$3:J$67&gt;J36)*(I$3:I$67="P"))+1,IF(M36="P",SUMPRODUCT((O$3:O$67&lt;&gt;"")*(P$3:P$67="")*(G$3:G$67=G36)*(I$3:I$67="P"))+SUMPRODUCT((P$3:P$67&lt;&gt;"")*(G$3:G$67=G36)*(I$3:I$67="P"))+SUMPRODUCT((N$3:N$67&lt;&gt;"")*(G$3:G$67=G36)*(I$3:I$67="P"))+SUMPRODUCT((P$3:P$67="")*(O$3:O$67="")*(N$3:N$67="")*(M$3:M$67="P")*(G$3:G$67=G36)*(J$3:J$67&gt;J36)*(I$3:I$67="P"))+IF(H36="L5",SUMPRODUCT((P$3:P$67="")*(O$3:O$67="")*(N$3:N$67="")*(M$3:M$67="P")*(G$3:G$67=G36)*(J$3:J$67&lt;J36)*(H$3:H$67&lt;&gt;H36)*(I$3:I$67="P")),-1*SUMPRODUCT((P$3:P$67="")*(O$3:O$67="")*(N$3:N$67="")*(M$3:M$67="P")*(G$3:G$67=G36)*(J$3:J$67&gt;J36)*(H$3:H$67="L5")*(I$3:I$67="P")))+1,"")))))</f>
        <v/>
      </c>
      <c r="B36" s="1" t="str" cm="1">
        <f t="array" ref="B36">IF(P36&lt;&gt;"",SUMPRODUCT((P$3:P$67&lt;&gt;"")*(G$3:G$67=G36)*(J$3:J$67&gt;J36))+1,IF(O36&lt;&gt;"",SUMPRODUCT((O$3:O$67&lt;&gt;"")*(P$3:P$67="")*(G$3:G$67=G36)*(J$3:J$67&gt;J36))+SUMPRODUCT((P$3:P$67&lt;&gt;"")*(G$3:G$67=G36))+1,IF(N36&lt;&gt;"",SUMPRODUCT((N$3:N$67&lt;&gt;"")*(G$3:G$67=G36)*(J$3:J$67&gt;J36))+1,IF(M36="P",SUMPRODUCT((O$3:O$67&lt;&gt;"")*(P$3:P$67="")*(G$3:G$67=G36))+SUMPRODUCT((P$3:P$67&lt;&gt;"")*(G$3:G$67=G36))+SUMPRODUCT((N$3:N$67&lt;&gt;"")*(G$3:G$67=G36))+SUMPRODUCT((P$3:P$67="")*(O$3:O$67="")*(N$3:N$67="")*(M$3:M$67="P")*(G$3:G$67=G36)*(J$3:J$67&gt;J36))+IF(H36="L5",SUMPRODUCT((P$3:P$67="")*(O$3:O$67="")*(N$3:N$67="")*(M$3:M$67="P")*(G$3:G$67=G36)*(J$3:J$67&lt;J36)*(H$3:H$67&lt;&gt;H36)),-1*SUMPRODUCT((P$3:P$67="")*(O$3:O$67="")*(N$3:N$67="")*(M$3:M$67="P")*(G$3:G$67=G36)*(J$3:J$67&gt;J36)*(H$3:H$67="L5")))+1,""))))</f>
        <v/>
      </c>
      <c r="C36" s="35" t="s">
        <v>253</v>
      </c>
      <c r="D36" s="35" t="str">
        <f>IF(E36="","",VLOOKUP(E36,'Coaching Points'!A:B,2,0))</f>
        <v>AB</v>
      </c>
      <c r="E36" s="35" t="s">
        <v>62</v>
      </c>
      <c r="F36" s="34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64</v>
      </c>
      <c r="I36" s="40"/>
      <c r="J36" s="4">
        <f t="shared" si="5"/>
        <v>35.86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 t="shared" si="6"/>
        <v/>
      </c>
      <c r="R36" s="4">
        <f t="shared" si="7"/>
        <v>35.86</v>
      </c>
      <c r="S36" s="4">
        <f>IF(G36="17-21",LARGE(CHOOSE({1,2,3,4,5,6},T36,V36,Y36,AA36,AC36,AF36),2),IF(R36=X36,MAX(Y36,AA36,AC36,AF36),IF(R36=AE36,MAX(AF36,T36,V36,Y36),0)))</f>
        <v>14.03</v>
      </c>
      <c r="T36" s="32">
        <v>35.86</v>
      </c>
      <c r="U36" s="37">
        <v>0</v>
      </c>
      <c r="V36" s="33">
        <v>14.03</v>
      </c>
      <c r="W36" s="37">
        <v>3</v>
      </c>
      <c r="X36" s="4">
        <f t="shared" si="8"/>
        <v>49.89</v>
      </c>
      <c r="Y36" s="33"/>
      <c r="Z36" s="37"/>
      <c r="AA36" s="32"/>
      <c r="AB36" s="37"/>
      <c r="AC36" s="33"/>
      <c r="AD36" s="37"/>
      <c r="AE36" s="4">
        <f t="shared" si="9"/>
        <v>0</v>
      </c>
      <c r="AF36" s="33"/>
      <c r="AG36" s="37"/>
    </row>
    <row r="37" spans="1:33" x14ac:dyDescent="0.2">
      <c r="A37" s="1" t="str" cm="1">
        <f t="array" ref="A37">IF(I37="","",IF(P37&lt;&gt;"",SUMPRODUCT((P$3:P$67&lt;&gt;"")*(G$3:G$67=G37)*(J$3:J$67&gt;J37)*(I$3:I$67="P"))+1,IF(O37&lt;&gt;"",SUMPRODUCT((O$3:O$67&lt;&gt;"")*(P$3:P$67="")*(G$3:G$67=G37)*(J$3:J$67&gt;J37)*(I$3:I$67="P"))+SUMPRODUCT((P$3:P$67&lt;&gt;"")*(G$3:G$67=G37)*(I$3:I$67="P"))+1,IF(N37&lt;&gt;"",SUMPRODUCT((N$3:N$67&lt;&gt;"")*(G$3:G$67=G37)*(J$3:J$67&gt;J37)*(I$3:I$67="P"))+1,IF(M37="P",SUMPRODUCT((O$3:O$67&lt;&gt;"")*(P$3:P$67="")*(G$3:G$67=G37)*(I$3:I$67="P"))+SUMPRODUCT((P$3:P$67&lt;&gt;"")*(G$3:G$67=G37)*(I$3:I$67="P"))+SUMPRODUCT((N$3:N$67&lt;&gt;"")*(G$3:G$67=G37)*(I$3:I$67="P"))+SUMPRODUCT((P$3:P$67="")*(O$3:O$67="")*(N$3:N$67="")*(M$3:M$67="P")*(G$3:G$67=G37)*(J$3:J$67&gt;J37)*(I$3:I$67="P"))+IF(H37="L5",SUMPRODUCT((P$3:P$67="")*(O$3:O$67="")*(N$3:N$67="")*(M$3:M$67="P")*(G$3:G$67=G37)*(J$3:J$67&lt;J37)*(H$3:H$67&lt;&gt;H37)*(I$3:I$67="P")),-1*SUMPRODUCT((P$3:P$67="")*(O$3:O$67="")*(N$3:N$67="")*(M$3:M$67="P")*(G$3:G$67=G37)*(J$3:J$67&gt;J37)*(H$3:H$67="L5")*(I$3:I$67="P")))+1,"")))))</f>
        <v/>
      </c>
      <c r="B37" s="1" t="str" cm="1">
        <f t="array" ref="B37">IF(P37&lt;&gt;"",SUMPRODUCT((P$3:P$67&lt;&gt;"")*(G$3:G$67=G37)*(J$3:J$67&gt;J37))+1,IF(O37&lt;&gt;"",SUMPRODUCT((O$3:O$67&lt;&gt;"")*(P$3:P$67="")*(G$3:G$67=G37)*(J$3:J$67&gt;J37))+SUMPRODUCT((P$3:P$67&lt;&gt;"")*(G$3:G$67=G37))+1,IF(N37&lt;&gt;"",SUMPRODUCT((N$3:N$67&lt;&gt;"")*(G$3:G$67=G37)*(J$3:J$67&gt;J37))+1,IF(M37="P",SUMPRODUCT((O$3:O$67&lt;&gt;"")*(P$3:P$67="")*(G$3:G$67=G37))+SUMPRODUCT((P$3:P$67&lt;&gt;"")*(G$3:G$67=G37))+SUMPRODUCT((N$3:N$67&lt;&gt;"")*(G$3:G$67=G37))+SUMPRODUCT((P$3:P$67="")*(O$3:O$67="")*(N$3:N$67="")*(M$3:M$67="P")*(G$3:G$67=G37)*(J$3:J$67&gt;J37))+IF(H37="L5",SUMPRODUCT((P$3:P$67="")*(O$3:O$67="")*(N$3:N$67="")*(M$3:M$67="P")*(G$3:G$67=G37)*(J$3:J$67&lt;J37)*(H$3:H$67&lt;&gt;H37)),-1*SUMPRODUCT((P$3:P$67="")*(O$3:O$67="")*(N$3:N$67="")*(M$3:M$67="P")*(G$3:G$67=G37)*(J$3:J$67&gt;J37)*(H$3:H$67="L5")))+1,""))))</f>
        <v/>
      </c>
      <c r="C37" s="35" t="s">
        <v>255</v>
      </c>
      <c r="D37" s="35" t="str">
        <f>IF(E37="","",VLOOKUP(E37,'Coaching Points'!A:B,2,0))</f>
        <v>AB</v>
      </c>
      <c r="E37" s="35" t="s">
        <v>28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66</v>
      </c>
      <c r="I37" s="40"/>
      <c r="J37" s="4">
        <f t="shared" si="5"/>
        <v>34.100100000000005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 t="shared" si="6"/>
        <v/>
      </c>
      <c r="R37" s="4">
        <f t="shared" si="7"/>
        <v>34.1</v>
      </c>
      <c r="S37" s="4">
        <f>IF(G37="17-21",LARGE(CHOOSE({1,2,3,4,5,6},T37,V37,Y37,AA37,AC37,AF37),2),IF(R37=X37,MAX(Y37,AA37,AC37,AF37),IF(R37=AE37,MAX(AF37,T37,V37,Y37),0)))</f>
        <v>10.54</v>
      </c>
      <c r="T37" s="32">
        <v>10.54</v>
      </c>
      <c r="U37" s="37">
        <v>3.2</v>
      </c>
      <c r="V37" s="33">
        <v>34.1</v>
      </c>
      <c r="W37" s="37">
        <v>9.4</v>
      </c>
      <c r="X37" s="4">
        <f t="shared" si="8"/>
        <v>44.64</v>
      </c>
      <c r="Y37" s="33"/>
      <c r="Z37" s="37"/>
      <c r="AA37" s="32"/>
      <c r="AB37" s="37"/>
      <c r="AC37" s="33"/>
      <c r="AD37" s="37"/>
      <c r="AE37" s="4">
        <f t="shared" si="9"/>
        <v>0</v>
      </c>
      <c r="AF37" s="33"/>
      <c r="AG37" s="37"/>
    </row>
    <row r="38" spans="1:33" x14ac:dyDescent="0.2">
      <c r="A38" s="1" t="str" cm="1">
        <f t="array" ref="A38">IF(I38="","",IF(P38&lt;&gt;"",SUMPRODUCT((P$3:P$67&lt;&gt;"")*(G$3:G$67=G38)*(J$3:J$67&gt;J38)*(I$3:I$67="P"))+1,IF(O38&lt;&gt;"",SUMPRODUCT((O$3:O$67&lt;&gt;"")*(P$3:P$67="")*(G$3:G$67=G38)*(J$3:J$67&gt;J38)*(I$3:I$67="P"))+SUMPRODUCT((P$3:P$67&lt;&gt;"")*(G$3:G$67=G38)*(I$3:I$67="P"))+1,IF(N38&lt;&gt;"",SUMPRODUCT((N$3:N$67&lt;&gt;"")*(G$3:G$67=G38)*(J$3:J$67&gt;J38)*(I$3:I$67="P"))+1,IF(M38="P",SUMPRODUCT((O$3:O$67&lt;&gt;"")*(P$3:P$67="")*(G$3:G$67=G38)*(I$3:I$67="P"))+SUMPRODUCT((P$3:P$67&lt;&gt;"")*(G$3:G$67=G38)*(I$3:I$67="P"))+SUMPRODUCT((N$3:N$67&lt;&gt;"")*(G$3:G$67=G38)*(I$3:I$67="P"))+SUMPRODUCT((P$3:P$67="")*(O$3:O$67="")*(N$3:N$67="")*(M$3:M$67="P")*(G$3:G$67=G38)*(J$3:J$67&gt;J38)*(I$3:I$67="P"))+IF(H38="L5",SUMPRODUCT((P$3:P$67="")*(O$3:O$67="")*(N$3:N$67="")*(M$3:M$67="P")*(G$3:G$67=G38)*(J$3:J$67&lt;J38)*(H$3:H$67&lt;&gt;H38)*(I$3:I$67="P")),-1*SUMPRODUCT((P$3:P$67="")*(O$3:O$67="")*(N$3:N$67="")*(M$3:M$67="P")*(G$3:G$67=G38)*(J$3:J$67&gt;J38)*(H$3:H$67="L5")*(I$3:I$67="P")))+1,"")))))</f>
        <v/>
      </c>
      <c r="B38" s="1" t="str" cm="1">
        <f t="array" ref="B38">IF(P38&lt;&gt;"",SUMPRODUCT((P$3:P$67&lt;&gt;"")*(G$3:G$67=G38)*(J$3:J$67&gt;J38))+1,IF(O38&lt;&gt;"",SUMPRODUCT((O$3:O$67&lt;&gt;"")*(P$3:P$67="")*(G$3:G$67=G38)*(J$3:J$67&gt;J38))+SUMPRODUCT((P$3:P$67&lt;&gt;"")*(G$3:G$67=G38))+1,IF(N38&lt;&gt;"",SUMPRODUCT((N$3:N$67&lt;&gt;"")*(G$3:G$67=G38)*(J$3:J$67&gt;J38))+1,IF(M38="P",SUMPRODUCT((O$3:O$67&lt;&gt;"")*(P$3:P$67="")*(G$3:G$67=G38))+SUMPRODUCT((P$3:P$67&lt;&gt;"")*(G$3:G$67=G38))+SUMPRODUCT((N$3:N$67&lt;&gt;"")*(G$3:G$67=G38))+SUMPRODUCT((P$3:P$67="")*(O$3:O$67="")*(N$3:N$67="")*(M$3:M$67="P")*(G$3:G$67=G38)*(J$3:J$67&gt;J38))+IF(H38="L5",SUMPRODUCT((P$3:P$67="")*(O$3:O$67="")*(N$3:N$67="")*(M$3:M$67="P")*(G$3:G$67=G38)*(J$3:J$67&lt;J38)*(H$3:H$67&lt;&gt;H38)),-1*SUMPRODUCT((P$3:P$67="")*(O$3:O$67="")*(N$3:N$67="")*(M$3:M$67="P")*(G$3:G$67=G38)*(J$3:J$67&gt;J38)*(H$3:H$67="L5")))+1,""))))</f>
        <v/>
      </c>
      <c r="C38" s="35" t="s">
        <v>95</v>
      </c>
      <c r="D38" s="35" t="str">
        <f>IF(E38="","",VLOOKUP(E38,'Coaching Points'!A:B,2,0))</f>
        <v>BC</v>
      </c>
      <c r="E38" s="35" t="s">
        <v>40</v>
      </c>
      <c r="F38" s="34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66</v>
      </c>
      <c r="I38" s="40"/>
      <c r="J38" s="4">
        <f t="shared" si="5"/>
        <v>24.290099999999999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 t="shared" si="6"/>
        <v/>
      </c>
      <c r="R38" s="4">
        <f t="shared" si="7"/>
        <v>24.29</v>
      </c>
      <c r="S38" s="4">
        <f>IF(G38="17-21",LARGE(CHOOSE({1,2,3,4,5,6},T38,V38,Y38,AA38,AC38,AF38),2),IF(R38=X38,MAX(Y38,AA38,AC38,AF38),IF(R38=AE38,MAX(AF38,T38,V38,Y38),0)))</f>
        <v>15.39</v>
      </c>
      <c r="T38" s="32">
        <v>24.29</v>
      </c>
      <c r="U38" s="37">
        <v>5.8</v>
      </c>
      <c r="V38" s="33">
        <v>15.39</v>
      </c>
      <c r="W38" s="37">
        <v>4.2</v>
      </c>
      <c r="X38" s="4">
        <f t="shared" si="8"/>
        <v>39.68</v>
      </c>
      <c r="Y38" s="33"/>
      <c r="Z38" s="37"/>
      <c r="AA38" s="32"/>
      <c r="AB38" s="37"/>
      <c r="AC38" s="33"/>
      <c r="AD38" s="37"/>
      <c r="AE38" s="4">
        <f t="shared" si="9"/>
        <v>0</v>
      </c>
      <c r="AF38" s="33"/>
      <c r="AG38" s="37"/>
    </row>
    <row r="39" spans="1:33" x14ac:dyDescent="0.2">
      <c r="A39" s="1" t="str" cm="1">
        <f t="array" ref="A39">IF(I39="","",IF(P39&lt;&gt;"",SUMPRODUCT((P$3:P$67&lt;&gt;"")*(G$3:G$67=G39)*(J$3:J$67&gt;J39)*(I$3:I$67="P"))+1,IF(O39&lt;&gt;"",SUMPRODUCT((O$3:O$67&lt;&gt;"")*(P$3:P$67="")*(G$3:G$67=G39)*(J$3:J$67&gt;J39)*(I$3:I$67="P"))+SUMPRODUCT((P$3:P$67&lt;&gt;"")*(G$3:G$67=G39)*(I$3:I$67="P"))+1,IF(N39&lt;&gt;"",SUMPRODUCT((N$3:N$67&lt;&gt;"")*(G$3:G$67=G39)*(J$3:J$67&gt;J39)*(I$3:I$67="P"))+1,IF(M39="P",SUMPRODUCT((O$3:O$67&lt;&gt;"")*(P$3:P$67="")*(G$3:G$67=G39)*(I$3:I$67="P"))+SUMPRODUCT((P$3:P$67&lt;&gt;"")*(G$3:G$67=G39)*(I$3:I$67="P"))+SUMPRODUCT((N$3:N$67&lt;&gt;"")*(G$3:G$67=G39)*(I$3:I$67="P"))+SUMPRODUCT((P$3:P$67="")*(O$3:O$67="")*(N$3:N$67="")*(M$3:M$67="P")*(G$3:G$67=G39)*(J$3:J$67&gt;J39)*(I$3:I$67="P"))+IF(H39="L5",SUMPRODUCT((P$3:P$67="")*(O$3:O$67="")*(N$3:N$67="")*(M$3:M$67="P")*(G$3:G$67=G39)*(J$3:J$67&lt;J39)*(H$3:H$67&lt;&gt;H39)*(I$3:I$67="P")),-1*SUMPRODUCT((P$3:P$67="")*(O$3:O$67="")*(N$3:N$67="")*(M$3:M$67="P")*(G$3:G$67=G39)*(J$3:J$67&gt;J39)*(H$3:H$67="L5")*(I$3:I$67="P")))+1,"")))))</f>
        <v/>
      </c>
      <c r="B39" s="1" t="str" cm="1">
        <f t="array" ref="B39">IF(P39&lt;&gt;"",SUMPRODUCT((P$3:P$67&lt;&gt;"")*(G$3:G$67=G39)*(J$3:J$67&gt;J39))+1,IF(O39&lt;&gt;"",SUMPRODUCT((O$3:O$67&lt;&gt;"")*(P$3:P$67="")*(G$3:G$67=G39)*(J$3:J$67&gt;J39))+SUMPRODUCT((P$3:P$67&lt;&gt;"")*(G$3:G$67=G39))+1,IF(N39&lt;&gt;"",SUMPRODUCT((N$3:N$67&lt;&gt;"")*(G$3:G$67=G39)*(J$3:J$67&gt;J39))+1,IF(M39="P",SUMPRODUCT((O$3:O$67&lt;&gt;"")*(P$3:P$67="")*(G$3:G$67=G39))+SUMPRODUCT((P$3:P$67&lt;&gt;"")*(G$3:G$67=G39))+SUMPRODUCT((N$3:N$67&lt;&gt;"")*(G$3:G$67=G39))+SUMPRODUCT((P$3:P$67="")*(O$3:O$67="")*(N$3:N$67="")*(M$3:M$67="P")*(G$3:G$67=G39)*(J$3:J$67&gt;J39))+IF(H39="L5",SUMPRODUCT((P$3:P$67="")*(O$3:O$67="")*(N$3:N$67="")*(M$3:M$67="P")*(G$3:G$67=G39)*(J$3:J$67&lt;J39)*(H$3:H$67&lt;&gt;H39)),-1*SUMPRODUCT((P$3:P$67="")*(O$3:O$67="")*(N$3:N$67="")*(M$3:M$67="P")*(G$3:G$67=G39)*(J$3:J$67&gt;J39)*(H$3:H$67="L5")))+1,""))))</f>
        <v/>
      </c>
      <c r="C39" s="35" t="s">
        <v>170</v>
      </c>
      <c r="D39" s="35" t="str">
        <f>IF(E39="","",VLOOKUP(E39,'Coaching Points'!A:B,2,0))</f>
        <v>NB</v>
      </c>
      <c r="E39" s="35" t="s">
        <v>46</v>
      </c>
      <c r="F39" s="34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66</v>
      </c>
      <c r="I39" s="40"/>
      <c r="J39" s="4">
        <f t="shared" si="5"/>
        <v>18.860099999999999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 t="shared" si="6"/>
        <v/>
      </c>
      <c r="R39" s="4">
        <f t="shared" si="7"/>
        <v>18.86</v>
      </c>
      <c r="S39" s="4">
        <f>IF(G39="17-21",LARGE(CHOOSE({1,2,3,4,5,6},T39,V39,Y39,AA39,AC39,AF39),2),IF(R39=X39,MAX(Y39,AA39,AC39,AF39),IF(R39=AE39,MAX(AF39,T39,V39,Y39),0)))</f>
        <v>18.63</v>
      </c>
      <c r="T39" s="32">
        <v>18.86</v>
      </c>
      <c r="U39" s="37">
        <v>5.6</v>
      </c>
      <c r="V39" s="33">
        <v>18.63</v>
      </c>
      <c r="W39" s="37">
        <v>5.6</v>
      </c>
      <c r="X39" s="4">
        <f t="shared" si="8"/>
        <v>37.489999999999995</v>
      </c>
      <c r="Y39" s="33"/>
      <c r="Z39" s="37"/>
      <c r="AA39" s="32"/>
      <c r="AB39" s="37"/>
      <c r="AC39" s="33"/>
      <c r="AD39" s="37"/>
      <c r="AE39" s="4">
        <f t="shared" si="9"/>
        <v>0</v>
      </c>
      <c r="AF39" s="33"/>
      <c r="AG39" s="37"/>
    </row>
    <row r="40" spans="1:33" x14ac:dyDescent="0.2">
      <c r="A40" s="1" t="str" cm="1">
        <f t="array" ref="A40">IF(I40="","",IF(P40&lt;&gt;"",SUMPRODUCT((P$3:P$67&lt;&gt;"")*(G$3:G$67=G40)*(J$3:J$67&gt;J40)*(I$3:I$67="P"))+1,IF(O40&lt;&gt;"",SUMPRODUCT((O$3:O$67&lt;&gt;"")*(P$3:P$67="")*(G$3:G$67=G40)*(J$3:J$67&gt;J40)*(I$3:I$67="P"))+SUMPRODUCT((P$3:P$67&lt;&gt;"")*(G$3:G$67=G40)*(I$3:I$67="P"))+1,IF(N40&lt;&gt;"",SUMPRODUCT((N$3:N$67&lt;&gt;"")*(G$3:G$67=G40)*(J$3:J$67&gt;J40)*(I$3:I$67="P"))+1,IF(M40="P",SUMPRODUCT((O$3:O$67&lt;&gt;"")*(P$3:P$67="")*(G$3:G$67=G40)*(I$3:I$67="P"))+SUMPRODUCT((P$3:P$67&lt;&gt;"")*(G$3:G$67=G40)*(I$3:I$67="P"))+SUMPRODUCT((N$3:N$67&lt;&gt;"")*(G$3:G$67=G40)*(I$3:I$67="P"))+SUMPRODUCT((P$3:P$67="")*(O$3:O$67="")*(N$3:N$67="")*(M$3:M$67="P")*(G$3:G$67=G40)*(J$3:J$67&gt;J40)*(I$3:I$67="P"))+IF(H40="L5",SUMPRODUCT((P$3:P$67="")*(O$3:O$67="")*(N$3:N$67="")*(M$3:M$67="P")*(G$3:G$67=G40)*(J$3:J$67&lt;J40)*(H$3:H$67&lt;&gt;H40)*(I$3:I$67="P")),-1*SUMPRODUCT((P$3:P$67="")*(O$3:O$67="")*(N$3:N$67="")*(M$3:M$67="P")*(G$3:G$67=G40)*(J$3:J$67&gt;J40)*(H$3:H$67="L5")*(I$3:I$67="P")))+1,"")))))</f>
        <v/>
      </c>
      <c r="B40" s="1" t="str" cm="1">
        <f t="array" ref="B40">IF(P40&lt;&gt;"",SUMPRODUCT((P$3:P$67&lt;&gt;"")*(G$3:G$67=G40)*(J$3:J$67&gt;J40))+1,IF(O40&lt;&gt;"",SUMPRODUCT((O$3:O$67&lt;&gt;"")*(P$3:P$67="")*(G$3:G$67=G40)*(J$3:J$67&gt;J40))+SUMPRODUCT((P$3:P$67&lt;&gt;"")*(G$3:G$67=G40))+1,IF(N40&lt;&gt;"",SUMPRODUCT((N$3:N$67&lt;&gt;"")*(G$3:G$67=G40)*(J$3:J$67&gt;J40))+1,IF(M40="P",SUMPRODUCT((O$3:O$67&lt;&gt;"")*(P$3:P$67="")*(G$3:G$67=G40))+SUMPRODUCT((P$3:P$67&lt;&gt;"")*(G$3:G$67=G40))+SUMPRODUCT((N$3:N$67&lt;&gt;"")*(G$3:G$67=G40))+SUMPRODUCT((P$3:P$67="")*(O$3:O$67="")*(N$3:N$67="")*(M$3:M$67="P")*(G$3:G$67=G40)*(J$3:J$67&gt;J40))+IF(H40="L5",SUMPRODUCT((P$3:P$67="")*(O$3:O$67="")*(N$3:N$67="")*(M$3:M$67="P")*(G$3:G$67=G40)*(J$3:J$67&lt;J40)*(H$3:H$67&lt;&gt;H40)),-1*SUMPRODUCT((P$3:P$67="")*(O$3:O$67="")*(N$3:N$67="")*(M$3:M$67="P")*(G$3:G$67=G40)*(J$3:J$67&gt;J40)*(H$3:H$67="L5")))+1,""))))</f>
        <v/>
      </c>
      <c r="C40" s="35" t="s">
        <v>77</v>
      </c>
      <c r="D40" s="35" t="str">
        <f>IF(E40="","",VLOOKUP(E40,'Coaching Points'!A:B,2,0))</f>
        <v>AB</v>
      </c>
      <c r="E40" s="35" t="s">
        <v>62</v>
      </c>
      <c r="F40" s="34">
        <v>2008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6" t="s">
        <v>63</v>
      </c>
      <c r="I40" s="40"/>
      <c r="J40" s="4">
        <f t="shared" si="5"/>
        <v>89.34020000000001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>P</v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 t="shared" si="6"/>
        <v/>
      </c>
      <c r="R40" s="4">
        <f t="shared" si="7"/>
        <v>89.34</v>
      </c>
      <c r="S40" s="4">
        <f>IF(G40="17-21",LARGE(CHOOSE({1,2,3,4,5,6},T40,V40,Y40,AA40,AC40,AF40),2),IF(R40=X40,MAX(Y40,AA40,AC40,AF40),IF(R40=AE40,MAX(AF40,T40,V40,Y40),0)))</f>
        <v>50.6</v>
      </c>
      <c r="T40" s="32">
        <v>39.380000000000003</v>
      </c>
      <c r="U40" s="37">
        <v>0</v>
      </c>
      <c r="V40" s="33">
        <v>49.96</v>
      </c>
      <c r="W40" s="37">
        <v>13.6</v>
      </c>
      <c r="X40" s="4">
        <f t="shared" si="8"/>
        <v>89.34</v>
      </c>
      <c r="Y40" s="33">
        <v>50.6</v>
      </c>
      <c r="Z40" s="37">
        <v>13.6</v>
      </c>
      <c r="AA40" s="32"/>
      <c r="AB40" s="37"/>
      <c r="AC40" s="33"/>
      <c r="AD40" s="37"/>
      <c r="AE40" s="4">
        <f t="shared" si="9"/>
        <v>0</v>
      </c>
      <c r="AF40" s="33"/>
      <c r="AG40" s="37"/>
    </row>
    <row r="41" spans="1:33" x14ac:dyDescent="0.2">
      <c r="A41" s="1" t="str" cm="1">
        <f t="array" ref="A41">IF(I41="","",IF(P41&lt;&gt;"",SUMPRODUCT((P$3:P$67&lt;&gt;"")*(G$3:G$67=G41)*(J$3:J$67&gt;J41)*(I$3:I$67="P"))+1,IF(O41&lt;&gt;"",SUMPRODUCT((O$3:O$67&lt;&gt;"")*(P$3:P$67="")*(G$3:G$67=G41)*(J$3:J$67&gt;J41)*(I$3:I$67="P"))+SUMPRODUCT((P$3:P$67&lt;&gt;"")*(G$3:G$67=G41)*(I$3:I$67="P"))+1,IF(N41&lt;&gt;"",SUMPRODUCT((N$3:N$67&lt;&gt;"")*(G$3:G$67=G41)*(J$3:J$67&gt;J41)*(I$3:I$67="P"))+1,IF(M41="P",SUMPRODUCT((O$3:O$67&lt;&gt;"")*(P$3:P$67="")*(G$3:G$67=G41)*(I$3:I$67="P"))+SUMPRODUCT((P$3:P$67&lt;&gt;"")*(G$3:G$67=G41)*(I$3:I$67="P"))+SUMPRODUCT((N$3:N$67&lt;&gt;"")*(G$3:G$67=G41)*(I$3:I$67="P"))+SUMPRODUCT((P$3:P$67="")*(O$3:O$67="")*(N$3:N$67="")*(M$3:M$67="P")*(G$3:G$67=G41)*(J$3:J$67&gt;J41)*(I$3:I$67="P"))+IF(H41="L5",SUMPRODUCT((P$3:P$67="")*(O$3:O$67="")*(N$3:N$67="")*(M$3:M$67="P")*(G$3:G$67=G41)*(J$3:J$67&lt;J41)*(H$3:H$67&lt;&gt;H41)*(I$3:I$67="P")),-1*SUMPRODUCT((P$3:P$67="")*(O$3:O$67="")*(N$3:N$67="")*(M$3:M$67="P")*(G$3:G$67=G41)*(J$3:J$67&gt;J41)*(H$3:H$67="L5")*(I$3:I$67="P")))+1,"")))))</f>
        <v/>
      </c>
      <c r="B41" s="1" t="str" cm="1">
        <f t="array" ref="B41">IF(P41&lt;&gt;"",SUMPRODUCT((P$3:P$67&lt;&gt;"")*(G$3:G$67=G41)*(J$3:J$67&gt;J41))+1,IF(O41&lt;&gt;"",SUMPRODUCT((O$3:O$67&lt;&gt;"")*(P$3:P$67="")*(G$3:G$67=G41)*(J$3:J$67&gt;J41))+SUMPRODUCT((P$3:P$67&lt;&gt;"")*(G$3:G$67=G41))+1,IF(N41&lt;&gt;"",SUMPRODUCT((N$3:N$67&lt;&gt;"")*(G$3:G$67=G41)*(J$3:J$67&gt;J41))+1,IF(M41="P",SUMPRODUCT((O$3:O$67&lt;&gt;"")*(P$3:P$67="")*(G$3:G$67=G41))+SUMPRODUCT((P$3:P$67&lt;&gt;"")*(G$3:G$67=G41))+SUMPRODUCT((N$3:N$67&lt;&gt;"")*(G$3:G$67=G41))+SUMPRODUCT((P$3:P$67="")*(O$3:O$67="")*(N$3:N$67="")*(M$3:M$67="P")*(G$3:G$67=G41)*(J$3:J$67&gt;J41))+IF(H41="L5",SUMPRODUCT((P$3:P$67="")*(O$3:O$67="")*(N$3:N$67="")*(M$3:M$67="P")*(G$3:G$67=G41)*(J$3:J$67&lt;J41)*(H$3:H$67&lt;&gt;H41)),-1*SUMPRODUCT((P$3:P$67="")*(O$3:O$67="")*(N$3:N$67="")*(M$3:M$67="P")*(G$3:G$67=G41)*(J$3:J$67&gt;J41)*(H$3:H$67="L5")))+1,""))))</f>
        <v/>
      </c>
      <c r="C41" s="35" t="s">
        <v>76</v>
      </c>
      <c r="D41" s="35" t="str">
        <f>IF(E41="","",VLOOKUP(E41,'Coaching Points'!A:B,2,0))</f>
        <v>SK</v>
      </c>
      <c r="E41" s="35" t="s">
        <v>329</v>
      </c>
      <c r="F41" s="34">
        <v>2009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6" t="s">
        <v>65</v>
      </c>
      <c r="I41" s="40"/>
      <c r="J41" s="4">
        <f t="shared" si="5"/>
        <v>87.640100000000004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 t="shared" si="6"/>
        <v/>
      </c>
      <c r="R41" s="4">
        <f t="shared" si="7"/>
        <v>87.64</v>
      </c>
      <c r="S41" s="4">
        <f>IF(G41="17-21",LARGE(CHOOSE({1,2,3,4,5,6},T41,V41,Y41,AA41,AC41,AF41),2),IF(R41=X41,MAX(Y41,AA41,AC41,AF41),IF(R41=AE41,MAX(AF41,T41,V41,Y41),0)))</f>
        <v>50.44</v>
      </c>
      <c r="T41" s="32">
        <v>39.21</v>
      </c>
      <c r="U41" s="37">
        <v>0</v>
      </c>
      <c r="V41" s="33">
        <v>48.43</v>
      </c>
      <c r="W41" s="37">
        <v>11.4</v>
      </c>
      <c r="X41" s="4">
        <f t="shared" si="8"/>
        <v>87.64</v>
      </c>
      <c r="Y41" s="33">
        <v>50.44</v>
      </c>
      <c r="Z41" s="37">
        <v>11.4</v>
      </c>
      <c r="AA41" s="32"/>
      <c r="AB41" s="37"/>
      <c r="AC41" s="33"/>
      <c r="AD41" s="37"/>
      <c r="AE41" s="4">
        <f t="shared" si="9"/>
        <v>0</v>
      </c>
      <c r="AF41" s="33"/>
      <c r="AG41" s="37"/>
    </row>
    <row r="42" spans="1:33" x14ac:dyDescent="0.2">
      <c r="A42" s="1" t="str" cm="1">
        <f t="array" ref="A42">IF(I42="","",IF(P42&lt;&gt;"",SUMPRODUCT((P$3:P$67&lt;&gt;"")*(G$3:G$67=G42)*(J$3:J$67&gt;J42)*(I$3:I$67="P"))+1,IF(O42&lt;&gt;"",SUMPRODUCT((O$3:O$67&lt;&gt;"")*(P$3:P$67="")*(G$3:G$67=G42)*(J$3:J$67&gt;J42)*(I$3:I$67="P"))+SUMPRODUCT((P$3:P$67&lt;&gt;"")*(G$3:G$67=G42)*(I$3:I$67="P"))+1,IF(N42&lt;&gt;"",SUMPRODUCT((N$3:N$67&lt;&gt;"")*(G$3:G$67=G42)*(J$3:J$67&gt;J42)*(I$3:I$67="P"))+1,IF(M42="P",SUMPRODUCT((O$3:O$67&lt;&gt;"")*(P$3:P$67="")*(G$3:G$67=G42)*(I$3:I$67="P"))+SUMPRODUCT((P$3:P$67&lt;&gt;"")*(G$3:G$67=G42)*(I$3:I$67="P"))+SUMPRODUCT((N$3:N$67&lt;&gt;"")*(G$3:G$67=G42)*(I$3:I$67="P"))+SUMPRODUCT((P$3:P$67="")*(O$3:O$67="")*(N$3:N$67="")*(M$3:M$67="P")*(G$3:G$67=G42)*(J$3:J$67&gt;J42)*(I$3:I$67="P"))+IF(H42="L5",SUMPRODUCT((P$3:P$67="")*(O$3:O$67="")*(N$3:N$67="")*(M$3:M$67="P")*(G$3:G$67=G42)*(J$3:J$67&lt;J42)*(H$3:H$67&lt;&gt;H42)*(I$3:I$67="P")),-1*SUMPRODUCT((P$3:P$67="")*(O$3:O$67="")*(N$3:N$67="")*(M$3:M$67="P")*(G$3:G$67=G42)*(J$3:J$67&gt;J42)*(H$3:H$67="L5")*(I$3:I$67="P")))+1,"")))))</f>
        <v/>
      </c>
      <c r="B42" s="1" t="str" cm="1">
        <f t="array" ref="B42">IF(P42&lt;&gt;"",SUMPRODUCT((P$3:P$67&lt;&gt;"")*(G$3:G$67=G42)*(J$3:J$67&gt;J42))+1,IF(O42&lt;&gt;"",SUMPRODUCT((O$3:O$67&lt;&gt;"")*(P$3:P$67="")*(G$3:G$67=G42)*(J$3:J$67&gt;J42))+SUMPRODUCT((P$3:P$67&lt;&gt;"")*(G$3:G$67=G42))+1,IF(N42&lt;&gt;"",SUMPRODUCT((N$3:N$67&lt;&gt;"")*(G$3:G$67=G42)*(J$3:J$67&gt;J42))+1,IF(M42="P",SUMPRODUCT((O$3:O$67&lt;&gt;"")*(P$3:P$67="")*(G$3:G$67=G42))+SUMPRODUCT((P$3:P$67&lt;&gt;"")*(G$3:G$67=G42))+SUMPRODUCT((N$3:N$67&lt;&gt;"")*(G$3:G$67=G42))+SUMPRODUCT((P$3:P$67="")*(O$3:O$67="")*(N$3:N$67="")*(M$3:M$67="P")*(G$3:G$67=G42)*(J$3:J$67&gt;J42))+IF(H42="L5",SUMPRODUCT((P$3:P$67="")*(O$3:O$67="")*(N$3:N$67="")*(M$3:M$67="P")*(G$3:G$67=G42)*(J$3:J$67&lt;J42)*(H$3:H$67&lt;&gt;H42)),-1*SUMPRODUCT((P$3:P$67="")*(O$3:O$67="")*(N$3:N$67="")*(M$3:M$67="P")*(G$3:G$67=G42)*(J$3:J$67&gt;J42)*(H$3:H$67="L5")))+1,""))))</f>
        <v/>
      </c>
      <c r="C42" s="35" t="s">
        <v>281</v>
      </c>
      <c r="D42" s="35" t="str">
        <f>IF(E42="","",VLOOKUP(E42,'Coaching Points'!A:B,2,0))</f>
        <v>QC</v>
      </c>
      <c r="E42" s="35" t="s">
        <v>85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6" t="s">
        <v>64</v>
      </c>
      <c r="I42" s="40"/>
      <c r="J42" s="4">
        <f t="shared" si="5"/>
        <v>85.360000000000014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 t="shared" si="6"/>
        <v/>
      </c>
      <c r="R42" s="4">
        <f t="shared" si="7"/>
        <v>85.360000000000014</v>
      </c>
      <c r="S42" s="4">
        <f>IF(G42="17-21",LARGE(CHOOSE({1,2,3,4,5,6},T42,V42,Y42,AA42,AC42,AF42),2),IF(R42=X42,MAX(Y42,AA42,AC42,AF42),IF(R42=AE42,MAX(AF42,T42,V42,Y42),0)))</f>
        <v>47.91</v>
      </c>
      <c r="T42" s="32">
        <v>39.090000000000003</v>
      </c>
      <c r="U42" s="37">
        <v>0</v>
      </c>
      <c r="V42" s="33">
        <v>46.27</v>
      </c>
      <c r="W42" s="37">
        <v>8.4</v>
      </c>
      <c r="X42" s="4">
        <f t="shared" si="8"/>
        <v>85.360000000000014</v>
      </c>
      <c r="Y42" s="33">
        <v>47.91</v>
      </c>
      <c r="Z42" s="37">
        <v>8.4</v>
      </c>
      <c r="AA42" s="32"/>
      <c r="AB42" s="37"/>
      <c r="AC42" s="33"/>
      <c r="AD42" s="37"/>
      <c r="AE42" s="4">
        <f t="shared" si="9"/>
        <v>0</v>
      </c>
      <c r="AF42" s="33"/>
      <c r="AG42" s="37"/>
    </row>
    <row r="43" spans="1:33" x14ac:dyDescent="0.2">
      <c r="A43" s="1" t="str" cm="1">
        <f t="array" ref="A43">IF(I43="","",IF(P43&lt;&gt;"",SUMPRODUCT((P$3:P$67&lt;&gt;"")*(G$3:G$67=G43)*(J$3:J$67&gt;J43)*(I$3:I$67="P"))+1,IF(O43&lt;&gt;"",SUMPRODUCT((O$3:O$67&lt;&gt;"")*(P$3:P$67="")*(G$3:G$67=G43)*(J$3:J$67&gt;J43)*(I$3:I$67="P"))+SUMPRODUCT((P$3:P$67&lt;&gt;"")*(G$3:G$67=G43)*(I$3:I$67="P"))+1,IF(N43&lt;&gt;"",SUMPRODUCT((N$3:N$67&lt;&gt;"")*(G$3:G$67=G43)*(J$3:J$67&gt;J43)*(I$3:I$67="P"))+1,IF(M43="P",SUMPRODUCT((O$3:O$67&lt;&gt;"")*(P$3:P$67="")*(G$3:G$67=G43)*(I$3:I$67="P"))+SUMPRODUCT((P$3:P$67&lt;&gt;"")*(G$3:G$67=G43)*(I$3:I$67="P"))+SUMPRODUCT((N$3:N$67&lt;&gt;"")*(G$3:G$67=G43)*(I$3:I$67="P"))+SUMPRODUCT((P$3:P$67="")*(O$3:O$67="")*(N$3:N$67="")*(M$3:M$67="P")*(G$3:G$67=G43)*(J$3:J$67&gt;J43)*(I$3:I$67="P"))+IF(H43="L5",SUMPRODUCT((P$3:P$67="")*(O$3:O$67="")*(N$3:N$67="")*(M$3:M$67="P")*(G$3:G$67=G43)*(J$3:J$67&lt;J43)*(H$3:H$67&lt;&gt;H43)*(I$3:I$67="P")),-1*SUMPRODUCT((P$3:P$67="")*(O$3:O$67="")*(N$3:N$67="")*(M$3:M$67="P")*(G$3:G$67=G43)*(J$3:J$67&gt;J43)*(H$3:H$67="L5")*(I$3:I$67="P")))+1,"")))))</f>
        <v/>
      </c>
      <c r="B43" s="1" t="str" cm="1">
        <f t="array" ref="B43">IF(P43&lt;&gt;"",SUMPRODUCT((P$3:P$67&lt;&gt;"")*(G$3:G$67=G43)*(J$3:J$67&gt;J43))+1,IF(O43&lt;&gt;"",SUMPRODUCT((O$3:O$67&lt;&gt;"")*(P$3:P$67="")*(G$3:G$67=G43)*(J$3:J$67&gt;J43))+SUMPRODUCT((P$3:P$67&lt;&gt;"")*(G$3:G$67=G43))+1,IF(N43&lt;&gt;"",SUMPRODUCT((N$3:N$67&lt;&gt;"")*(G$3:G$67=G43)*(J$3:J$67&gt;J43))+1,IF(M43="P",SUMPRODUCT((O$3:O$67&lt;&gt;"")*(P$3:P$67="")*(G$3:G$67=G43))+SUMPRODUCT((P$3:P$67&lt;&gt;"")*(G$3:G$67=G43))+SUMPRODUCT((N$3:N$67&lt;&gt;"")*(G$3:G$67=G43))+SUMPRODUCT((P$3:P$67="")*(O$3:O$67="")*(N$3:N$67="")*(M$3:M$67="P")*(G$3:G$67=G43)*(J$3:J$67&gt;J43))+IF(H43="L5",SUMPRODUCT((P$3:P$67="")*(O$3:O$67="")*(N$3:N$67="")*(M$3:M$67="P")*(G$3:G$67=G43)*(J$3:J$67&lt;J43)*(H$3:H$67&lt;&gt;H43)),-1*SUMPRODUCT((P$3:P$67="")*(O$3:O$67="")*(N$3:N$67="")*(M$3:M$67="P")*(G$3:G$67=G43)*(J$3:J$67&gt;J43)*(H$3:H$67="L5")))+1,""))))</f>
        <v/>
      </c>
      <c r="C43" s="35" t="s">
        <v>280</v>
      </c>
      <c r="D43" s="35" t="str">
        <f>IF(E43="","",VLOOKUP(E43,'Coaching Points'!A:B,2,0))</f>
        <v>ON</v>
      </c>
      <c r="E43" s="35" t="s">
        <v>45</v>
      </c>
      <c r="F43" s="34">
        <v>2008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64</v>
      </c>
      <c r="I43" s="40"/>
      <c r="J43" s="4">
        <f t="shared" si="5"/>
        <v>85.03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 t="shared" si="6"/>
        <v/>
      </c>
      <c r="R43" s="4">
        <f t="shared" si="7"/>
        <v>85.03</v>
      </c>
      <c r="S43" s="4">
        <f>IF(G43="17-21",LARGE(CHOOSE({1,2,3,4,5,6},T43,V43,Y43,AA43,AC43,AF43),2),IF(R43=X43,MAX(Y43,AA43,AC43,AF43),IF(R43=AE43,MAX(AF43,T43,V43,Y43),0)))</f>
        <v>15.39</v>
      </c>
      <c r="T43" s="32">
        <v>38.71</v>
      </c>
      <c r="U43" s="37">
        <v>0</v>
      </c>
      <c r="V43" s="33">
        <v>46.32</v>
      </c>
      <c r="W43" s="37">
        <v>7.9</v>
      </c>
      <c r="X43" s="4">
        <f t="shared" si="8"/>
        <v>85.03</v>
      </c>
      <c r="Y43" s="33">
        <v>15.39</v>
      </c>
      <c r="Z43" s="37">
        <v>3.4</v>
      </c>
      <c r="AA43" s="32"/>
      <c r="AB43" s="37"/>
      <c r="AC43" s="33"/>
      <c r="AD43" s="37"/>
      <c r="AE43" s="4">
        <f t="shared" si="9"/>
        <v>0</v>
      </c>
      <c r="AF43" s="33"/>
      <c r="AG43" s="37"/>
    </row>
    <row r="44" spans="1:33" x14ac:dyDescent="0.2">
      <c r="A44" s="1" t="str" cm="1">
        <f t="array" ref="A44">IF(I44="","",IF(P44&lt;&gt;"",SUMPRODUCT((P$3:P$67&lt;&gt;"")*(G$3:G$67=G44)*(J$3:J$67&gt;J44)*(I$3:I$67="P"))+1,IF(O44&lt;&gt;"",SUMPRODUCT((O$3:O$67&lt;&gt;"")*(P$3:P$67="")*(G$3:G$67=G44)*(J$3:J$67&gt;J44)*(I$3:I$67="P"))+SUMPRODUCT((P$3:P$67&lt;&gt;"")*(G$3:G$67=G44)*(I$3:I$67="P"))+1,IF(N44&lt;&gt;"",SUMPRODUCT((N$3:N$67&lt;&gt;"")*(G$3:G$67=G44)*(J$3:J$67&gt;J44)*(I$3:I$67="P"))+1,IF(M44="P",SUMPRODUCT((O$3:O$67&lt;&gt;"")*(P$3:P$67="")*(G$3:G$67=G44)*(I$3:I$67="P"))+SUMPRODUCT((P$3:P$67&lt;&gt;"")*(G$3:G$67=G44)*(I$3:I$67="P"))+SUMPRODUCT((N$3:N$67&lt;&gt;"")*(G$3:G$67=G44)*(I$3:I$67="P"))+SUMPRODUCT((P$3:P$67="")*(O$3:O$67="")*(N$3:N$67="")*(M$3:M$67="P")*(G$3:G$67=G44)*(J$3:J$67&gt;J44)*(I$3:I$67="P"))+IF(H44="L5",SUMPRODUCT((P$3:P$67="")*(O$3:O$67="")*(N$3:N$67="")*(M$3:M$67="P")*(G$3:G$67=G44)*(J$3:J$67&lt;J44)*(H$3:H$67&lt;&gt;H44)*(I$3:I$67="P")),-1*SUMPRODUCT((P$3:P$67="")*(O$3:O$67="")*(N$3:N$67="")*(M$3:M$67="P")*(G$3:G$67=G44)*(J$3:J$67&gt;J44)*(H$3:H$67="L5")*(I$3:I$67="P")))+1,"")))))</f>
        <v/>
      </c>
      <c r="B44" s="1" t="str" cm="1">
        <f t="array" ref="B44">IF(P44&lt;&gt;"",SUMPRODUCT((P$3:P$67&lt;&gt;"")*(G$3:G$67=G44)*(J$3:J$67&gt;J44))+1,IF(O44&lt;&gt;"",SUMPRODUCT((O$3:O$67&lt;&gt;"")*(P$3:P$67="")*(G$3:G$67=G44)*(J$3:J$67&gt;J44))+SUMPRODUCT((P$3:P$67&lt;&gt;"")*(G$3:G$67=G44))+1,IF(N44&lt;&gt;"",SUMPRODUCT((N$3:N$67&lt;&gt;"")*(G$3:G$67=G44)*(J$3:J$67&gt;J44))+1,IF(M44="P",SUMPRODUCT((O$3:O$67&lt;&gt;"")*(P$3:P$67="")*(G$3:G$67=G44))+SUMPRODUCT((P$3:P$67&lt;&gt;"")*(G$3:G$67=G44))+SUMPRODUCT((N$3:N$67&lt;&gt;"")*(G$3:G$67=G44))+SUMPRODUCT((P$3:P$67="")*(O$3:O$67="")*(N$3:N$67="")*(M$3:M$67="P")*(G$3:G$67=G44)*(J$3:J$67&gt;J44))+IF(H44="L5",SUMPRODUCT((P$3:P$67="")*(O$3:O$67="")*(N$3:N$67="")*(M$3:M$67="P")*(G$3:G$67=G44)*(J$3:J$67&lt;J44)*(H$3:H$67&lt;&gt;H44)),-1*SUMPRODUCT((P$3:P$67="")*(O$3:O$67="")*(N$3:N$67="")*(M$3:M$67="P")*(G$3:G$67=G44)*(J$3:J$67&gt;J44)*(H$3:H$67="L5")))+1,""))))</f>
        <v/>
      </c>
      <c r="C44" s="35" t="s">
        <v>223</v>
      </c>
      <c r="D44" s="35" t="str">
        <f>IF(E44="","",VLOOKUP(E44,'Coaching Points'!A:B,2,0))</f>
        <v>NS</v>
      </c>
      <c r="E44" s="35" t="s">
        <v>203</v>
      </c>
      <c r="F44" s="34">
        <v>2009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64</v>
      </c>
      <c r="I44" s="40"/>
      <c r="J44" s="4">
        <f t="shared" si="5"/>
        <v>83.99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 t="shared" si="6"/>
        <v/>
      </c>
      <c r="R44" s="4">
        <f t="shared" si="7"/>
        <v>83.99</v>
      </c>
      <c r="S44" s="4">
        <f>IF(G44="17-21",LARGE(CHOOSE({1,2,3,4,5,6},T44,V44,Y44,AA44,AC44,AF44),2),IF(R44=X44,MAX(Y44,AA44,AC44,AF44),IF(R44=AE44,MAX(AF44,T44,V44,Y44),0)))</f>
        <v>44.51</v>
      </c>
      <c r="T44" s="32">
        <v>38.69</v>
      </c>
      <c r="U44" s="37">
        <v>0</v>
      </c>
      <c r="V44" s="33">
        <v>45.3</v>
      </c>
      <c r="W44" s="37">
        <v>9.9</v>
      </c>
      <c r="X44" s="4">
        <f t="shared" si="8"/>
        <v>83.99</v>
      </c>
      <c r="Y44" s="33">
        <v>44.51</v>
      </c>
      <c r="Z44" s="37">
        <v>9</v>
      </c>
      <c r="AA44" s="32"/>
      <c r="AB44" s="37"/>
      <c r="AC44" s="33"/>
      <c r="AD44" s="37"/>
      <c r="AE44" s="4">
        <f t="shared" si="9"/>
        <v>0</v>
      </c>
      <c r="AF44" s="33"/>
      <c r="AG44" s="37"/>
    </row>
    <row r="45" spans="1:33" x14ac:dyDescent="0.2">
      <c r="A45" s="1" t="str" cm="1">
        <f t="array" ref="A45">IF(I45="","",IF(P45&lt;&gt;"",SUMPRODUCT((P$3:P$67&lt;&gt;"")*(G$3:G$67=G45)*(J$3:J$67&gt;J45)*(I$3:I$67="P"))+1,IF(O45&lt;&gt;"",SUMPRODUCT((O$3:O$67&lt;&gt;"")*(P$3:P$67="")*(G$3:G$67=G45)*(J$3:J$67&gt;J45)*(I$3:I$67="P"))+SUMPRODUCT((P$3:P$67&lt;&gt;"")*(G$3:G$67=G45)*(I$3:I$67="P"))+1,IF(N45&lt;&gt;"",SUMPRODUCT((N$3:N$67&lt;&gt;"")*(G$3:G$67=G45)*(J$3:J$67&gt;J45)*(I$3:I$67="P"))+1,IF(M45="P",SUMPRODUCT((O$3:O$67&lt;&gt;"")*(P$3:P$67="")*(G$3:G$67=G45)*(I$3:I$67="P"))+SUMPRODUCT((P$3:P$67&lt;&gt;"")*(G$3:G$67=G45)*(I$3:I$67="P"))+SUMPRODUCT((N$3:N$67&lt;&gt;"")*(G$3:G$67=G45)*(I$3:I$67="P"))+SUMPRODUCT((P$3:P$67="")*(O$3:O$67="")*(N$3:N$67="")*(M$3:M$67="P")*(G$3:G$67=G45)*(J$3:J$67&gt;J45)*(I$3:I$67="P"))+IF(H45="L5",SUMPRODUCT((P$3:P$67="")*(O$3:O$67="")*(N$3:N$67="")*(M$3:M$67="P")*(G$3:G$67=G45)*(J$3:J$67&lt;J45)*(H$3:H$67&lt;&gt;H45)*(I$3:I$67="P")),-1*SUMPRODUCT((P$3:P$67="")*(O$3:O$67="")*(N$3:N$67="")*(M$3:M$67="P")*(G$3:G$67=G45)*(J$3:J$67&gt;J45)*(H$3:H$67="L5")*(I$3:I$67="P")))+1,"")))))</f>
        <v/>
      </c>
      <c r="B45" s="1" t="str" cm="1">
        <f t="array" ref="B45">IF(P45&lt;&gt;"",SUMPRODUCT((P$3:P$67&lt;&gt;"")*(G$3:G$67=G45)*(J$3:J$67&gt;J45))+1,IF(O45&lt;&gt;"",SUMPRODUCT((O$3:O$67&lt;&gt;"")*(P$3:P$67="")*(G$3:G$67=G45)*(J$3:J$67&gt;J45))+SUMPRODUCT((P$3:P$67&lt;&gt;"")*(G$3:G$67=G45))+1,IF(N45&lt;&gt;"",SUMPRODUCT((N$3:N$67&lt;&gt;"")*(G$3:G$67=G45)*(J$3:J$67&gt;J45))+1,IF(M45="P",SUMPRODUCT((O$3:O$67&lt;&gt;"")*(P$3:P$67="")*(G$3:G$67=G45))+SUMPRODUCT((P$3:P$67&lt;&gt;"")*(G$3:G$67=G45))+SUMPRODUCT((N$3:N$67&lt;&gt;"")*(G$3:G$67=G45))+SUMPRODUCT((P$3:P$67="")*(O$3:O$67="")*(N$3:N$67="")*(M$3:M$67="P")*(G$3:G$67=G45)*(J$3:J$67&gt;J45))+IF(H45="L5",SUMPRODUCT((P$3:P$67="")*(O$3:O$67="")*(N$3:N$67="")*(M$3:M$67="P")*(G$3:G$67=G45)*(J$3:J$67&lt;J45)*(H$3:H$67&lt;&gt;H45)),-1*SUMPRODUCT((P$3:P$67="")*(O$3:O$67="")*(N$3:N$67="")*(M$3:M$67="P")*(G$3:G$67=G45)*(J$3:J$67&gt;J45)*(H$3:H$67="L5")))+1,""))))</f>
        <v/>
      </c>
      <c r="C45" s="35" t="s">
        <v>326</v>
      </c>
      <c r="D45" s="35" t="str">
        <f>IF(E45="","",VLOOKUP(E45,'Coaching Points'!A:B,2,0))</f>
        <v>ON</v>
      </c>
      <c r="E45" s="35" t="s">
        <v>97</v>
      </c>
      <c r="F45" s="34">
        <v>2009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64</v>
      </c>
      <c r="I45" s="40"/>
      <c r="J45" s="4">
        <f t="shared" si="5"/>
        <v>83.039999999999992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 t="shared" si="6"/>
        <v/>
      </c>
      <c r="R45" s="4">
        <f t="shared" si="7"/>
        <v>83.039999999999992</v>
      </c>
      <c r="S45" s="4">
        <f>IF(G45="17-21",LARGE(CHOOSE({1,2,3,4,5,6},T45,V45,Y45,AA45,AC45,AF45),2),IF(R45=X45,MAX(Y45,AA45,AC45,AF45),IF(R45=AE45,MAX(AF45,T45,V45,Y45),0)))</f>
        <v>5.45</v>
      </c>
      <c r="T45" s="32">
        <v>37.15</v>
      </c>
      <c r="U45" s="37">
        <v>0</v>
      </c>
      <c r="V45" s="33">
        <v>45.89</v>
      </c>
      <c r="W45" s="37">
        <v>9.1999999999999993</v>
      </c>
      <c r="X45" s="4">
        <f t="shared" si="8"/>
        <v>83.039999999999992</v>
      </c>
      <c r="Y45" s="33">
        <v>5.45</v>
      </c>
      <c r="Z45" s="37">
        <v>1.5</v>
      </c>
      <c r="AA45" s="32"/>
      <c r="AB45" s="37"/>
      <c r="AC45" s="33"/>
      <c r="AD45" s="37"/>
      <c r="AE45" s="4">
        <f t="shared" si="9"/>
        <v>0</v>
      </c>
      <c r="AF45" s="33"/>
      <c r="AG45" s="37"/>
    </row>
    <row r="46" spans="1:33" x14ac:dyDescent="0.2">
      <c r="A46" s="1" t="str" cm="1">
        <f t="array" ref="A46">IF(I46="","",IF(P46&lt;&gt;"",SUMPRODUCT((P$3:P$67&lt;&gt;"")*(G$3:G$67=G46)*(J$3:J$67&gt;J46)*(I$3:I$67="P"))+1,IF(O46&lt;&gt;"",SUMPRODUCT((O$3:O$67&lt;&gt;"")*(P$3:P$67="")*(G$3:G$67=G46)*(J$3:J$67&gt;J46)*(I$3:I$67="P"))+SUMPRODUCT((P$3:P$67&lt;&gt;"")*(G$3:G$67=G46)*(I$3:I$67="P"))+1,IF(N46&lt;&gt;"",SUMPRODUCT((N$3:N$67&lt;&gt;"")*(G$3:G$67=G46)*(J$3:J$67&gt;J46)*(I$3:I$67="P"))+1,IF(M46="P",SUMPRODUCT((O$3:O$67&lt;&gt;"")*(P$3:P$67="")*(G$3:G$67=G46)*(I$3:I$67="P"))+SUMPRODUCT((P$3:P$67&lt;&gt;"")*(G$3:G$67=G46)*(I$3:I$67="P"))+SUMPRODUCT((N$3:N$67&lt;&gt;"")*(G$3:G$67=G46)*(I$3:I$67="P"))+SUMPRODUCT((P$3:P$67="")*(O$3:O$67="")*(N$3:N$67="")*(M$3:M$67="P")*(G$3:G$67=G46)*(J$3:J$67&gt;J46)*(I$3:I$67="P"))+IF(H46="L5",SUMPRODUCT((P$3:P$67="")*(O$3:O$67="")*(N$3:N$67="")*(M$3:M$67="P")*(G$3:G$67=G46)*(J$3:J$67&lt;J46)*(H$3:H$67&lt;&gt;H46)*(I$3:I$67="P")),-1*SUMPRODUCT((P$3:P$67="")*(O$3:O$67="")*(N$3:N$67="")*(M$3:M$67="P")*(G$3:G$67=G46)*(J$3:J$67&gt;J46)*(H$3:H$67="L5")*(I$3:I$67="P")))+1,"")))))</f>
        <v/>
      </c>
      <c r="B46" s="1" t="str" cm="1">
        <f t="array" ref="B46">IF(P46&lt;&gt;"",SUMPRODUCT((P$3:P$67&lt;&gt;"")*(G$3:G$67=G46)*(J$3:J$67&gt;J46))+1,IF(O46&lt;&gt;"",SUMPRODUCT((O$3:O$67&lt;&gt;"")*(P$3:P$67="")*(G$3:G$67=G46)*(J$3:J$67&gt;J46))+SUMPRODUCT((P$3:P$67&lt;&gt;"")*(G$3:G$67=G46))+1,IF(N46&lt;&gt;"",SUMPRODUCT((N$3:N$67&lt;&gt;"")*(G$3:G$67=G46)*(J$3:J$67&gt;J46))+1,IF(M46="P",SUMPRODUCT((O$3:O$67&lt;&gt;"")*(P$3:P$67="")*(G$3:G$67=G46))+SUMPRODUCT((P$3:P$67&lt;&gt;"")*(G$3:G$67=G46))+SUMPRODUCT((N$3:N$67&lt;&gt;"")*(G$3:G$67=G46))+SUMPRODUCT((P$3:P$67="")*(O$3:O$67="")*(N$3:N$67="")*(M$3:M$67="P")*(G$3:G$67=G46)*(J$3:J$67&gt;J46))+IF(H46="L5",SUMPRODUCT((P$3:P$67="")*(O$3:O$67="")*(N$3:N$67="")*(M$3:M$67="P")*(G$3:G$67=G46)*(J$3:J$67&lt;J46)*(H$3:H$67&lt;&gt;H46)),-1*SUMPRODUCT((P$3:P$67="")*(O$3:O$67="")*(N$3:N$67="")*(M$3:M$67="P")*(G$3:G$67=G46)*(J$3:J$67&gt;J46)*(H$3:H$67="L5")))+1,""))))</f>
        <v/>
      </c>
      <c r="C46" s="35" t="s">
        <v>294</v>
      </c>
      <c r="D46" s="35" t="str">
        <f>IF(E46="","",VLOOKUP(E46,'Coaching Points'!A:B,2,0))</f>
        <v>AB</v>
      </c>
      <c r="E46" s="35" t="s">
        <v>28</v>
      </c>
      <c r="F46" s="34">
        <v>2009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64</v>
      </c>
      <c r="I46" s="40"/>
      <c r="J46" s="4">
        <f t="shared" si="5"/>
        <v>82.509999999999991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 t="shared" si="6"/>
        <v/>
      </c>
      <c r="R46" s="4">
        <f t="shared" si="7"/>
        <v>82.509999999999991</v>
      </c>
      <c r="S46" s="4">
        <f>IF(G46="17-21",LARGE(CHOOSE({1,2,3,4,5,6},T46,V46,Y46,AA46,AC46,AF46),2),IF(R46=X46,MAX(Y46,AA46,AC46,AF46),IF(R46=AE46,MAX(AF46,T46,V46,Y46),0)))</f>
        <v>36.119999999999997</v>
      </c>
      <c r="T46" s="32">
        <v>39.51</v>
      </c>
      <c r="U46" s="37">
        <v>0</v>
      </c>
      <c r="V46" s="33">
        <v>43</v>
      </c>
      <c r="W46" s="37">
        <v>8</v>
      </c>
      <c r="X46" s="4">
        <f t="shared" si="8"/>
        <v>82.509999999999991</v>
      </c>
      <c r="Y46" s="33">
        <v>36.119999999999997</v>
      </c>
      <c r="Z46" s="37">
        <v>7.4</v>
      </c>
      <c r="AA46" s="32"/>
      <c r="AB46" s="37"/>
      <c r="AC46" s="33"/>
      <c r="AD46" s="37"/>
      <c r="AE46" s="4">
        <f t="shared" si="9"/>
        <v>0</v>
      </c>
      <c r="AF46" s="33"/>
      <c r="AG46" s="37"/>
    </row>
    <row r="47" spans="1:33" x14ac:dyDescent="0.2">
      <c r="A47" s="1" t="str" cm="1">
        <f t="array" ref="A47">IF(I47="","",IF(P47&lt;&gt;"",SUMPRODUCT((P$3:P$67&lt;&gt;"")*(G$3:G$67=G47)*(J$3:J$67&gt;J47)*(I$3:I$67="P"))+1,IF(O47&lt;&gt;"",SUMPRODUCT((O$3:O$67&lt;&gt;"")*(P$3:P$67="")*(G$3:G$67=G47)*(J$3:J$67&gt;J47)*(I$3:I$67="P"))+SUMPRODUCT((P$3:P$67&lt;&gt;"")*(G$3:G$67=G47)*(I$3:I$67="P"))+1,IF(N47&lt;&gt;"",SUMPRODUCT((N$3:N$67&lt;&gt;"")*(G$3:G$67=G47)*(J$3:J$67&gt;J47)*(I$3:I$67="P"))+1,IF(M47="P",SUMPRODUCT((O$3:O$67&lt;&gt;"")*(P$3:P$67="")*(G$3:G$67=G47)*(I$3:I$67="P"))+SUMPRODUCT((P$3:P$67&lt;&gt;"")*(G$3:G$67=G47)*(I$3:I$67="P"))+SUMPRODUCT((N$3:N$67&lt;&gt;"")*(G$3:G$67=G47)*(I$3:I$67="P"))+SUMPRODUCT((P$3:P$67="")*(O$3:O$67="")*(N$3:N$67="")*(M$3:M$67="P")*(G$3:G$67=G47)*(J$3:J$67&gt;J47)*(I$3:I$67="P"))+IF(H47="L5",SUMPRODUCT((P$3:P$67="")*(O$3:O$67="")*(N$3:N$67="")*(M$3:M$67="P")*(G$3:G$67=G47)*(J$3:J$67&lt;J47)*(H$3:H$67&lt;&gt;H47)*(I$3:I$67="P")),-1*SUMPRODUCT((P$3:P$67="")*(O$3:O$67="")*(N$3:N$67="")*(M$3:M$67="P")*(G$3:G$67=G47)*(J$3:J$67&gt;J47)*(H$3:H$67="L5")*(I$3:I$67="P")))+1,"")))))</f>
        <v/>
      </c>
      <c r="B47" s="1" t="str" cm="1">
        <f t="array" ref="B47">IF(P47&lt;&gt;"",SUMPRODUCT((P$3:P$67&lt;&gt;"")*(G$3:G$67=G47)*(J$3:J$67&gt;J47))+1,IF(O47&lt;&gt;"",SUMPRODUCT((O$3:O$67&lt;&gt;"")*(P$3:P$67="")*(G$3:G$67=G47)*(J$3:J$67&gt;J47))+SUMPRODUCT((P$3:P$67&lt;&gt;"")*(G$3:G$67=G47))+1,IF(N47&lt;&gt;"",SUMPRODUCT((N$3:N$67&lt;&gt;"")*(G$3:G$67=G47)*(J$3:J$67&gt;J47))+1,IF(M47="P",SUMPRODUCT((O$3:O$67&lt;&gt;"")*(P$3:P$67="")*(G$3:G$67=G47))+SUMPRODUCT((P$3:P$67&lt;&gt;"")*(G$3:G$67=G47))+SUMPRODUCT((N$3:N$67&lt;&gt;"")*(G$3:G$67=G47))+SUMPRODUCT((P$3:P$67="")*(O$3:O$67="")*(N$3:N$67="")*(M$3:M$67="P")*(G$3:G$67=G47)*(J$3:J$67&gt;J47))+IF(H47="L5",SUMPRODUCT((P$3:P$67="")*(O$3:O$67="")*(N$3:N$67="")*(M$3:M$67="P")*(G$3:G$67=G47)*(J$3:J$67&lt;J47)*(H$3:H$67&lt;&gt;H47)),-1*SUMPRODUCT((P$3:P$67="")*(O$3:O$67="")*(N$3:N$67="")*(M$3:M$67="P")*(G$3:G$67=G47)*(J$3:J$67&gt;J47)*(H$3:H$67="L5")))+1,""))))</f>
        <v/>
      </c>
      <c r="C47" s="35" t="s">
        <v>325</v>
      </c>
      <c r="D47" s="35" t="str">
        <f>IF(E47="","",VLOOKUP(E47,'Coaching Points'!A:B,2,0))</f>
        <v>AB</v>
      </c>
      <c r="E47" s="35" t="s">
        <v>28</v>
      </c>
      <c r="F47" s="34">
        <v>2009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64</v>
      </c>
      <c r="I47" s="40"/>
      <c r="J47" s="4">
        <f t="shared" si="5"/>
        <v>82.45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 t="shared" si="6"/>
        <v/>
      </c>
      <c r="R47" s="4">
        <f t="shared" si="7"/>
        <v>82.45</v>
      </c>
      <c r="S47" s="4">
        <f>IF(G47="17-21",LARGE(CHOOSE({1,2,3,4,5,6},T47,V47,Y47,AA47,AC47,AF47),2),IF(R47=X47,MAX(Y47,AA47,AC47,AF47),IF(R47=AE47,MAX(AF47,T47,V47,Y47),0)))</f>
        <v>44.8</v>
      </c>
      <c r="T47" s="32">
        <v>37.81</v>
      </c>
      <c r="U47" s="37">
        <v>0</v>
      </c>
      <c r="V47" s="33">
        <v>44.64</v>
      </c>
      <c r="W47" s="37">
        <v>9.6999999999999993</v>
      </c>
      <c r="X47" s="4">
        <f t="shared" si="8"/>
        <v>82.45</v>
      </c>
      <c r="Y47" s="33">
        <v>44.8</v>
      </c>
      <c r="Z47" s="37">
        <v>9.1</v>
      </c>
      <c r="AA47" s="32"/>
      <c r="AB47" s="37"/>
      <c r="AC47" s="33"/>
      <c r="AD47" s="37"/>
      <c r="AE47" s="4">
        <f t="shared" si="9"/>
        <v>0</v>
      </c>
      <c r="AF47" s="33"/>
      <c r="AG47" s="37"/>
    </row>
    <row r="48" spans="1:33" x14ac:dyDescent="0.2">
      <c r="A48" s="1" t="str" cm="1">
        <f t="array" ref="A48">IF(I48="","",IF(P48&lt;&gt;"",SUMPRODUCT((P$3:P$67&lt;&gt;"")*(G$3:G$67=G48)*(J$3:J$67&gt;J48)*(I$3:I$67="P"))+1,IF(O48&lt;&gt;"",SUMPRODUCT((O$3:O$67&lt;&gt;"")*(P$3:P$67="")*(G$3:G$67=G48)*(J$3:J$67&gt;J48)*(I$3:I$67="P"))+SUMPRODUCT((P$3:P$67&lt;&gt;"")*(G$3:G$67=G48)*(I$3:I$67="P"))+1,IF(N48&lt;&gt;"",SUMPRODUCT((N$3:N$67&lt;&gt;"")*(G$3:G$67=G48)*(J$3:J$67&gt;J48)*(I$3:I$67="P"))+1,IF(M48="P",SUMPRODUCT((O$3:O$67&lt;&gt;"")*(P$3:P$67="")*(G$3:G$67=G48)*(I$3:I$67="P"))+SUMPRODUCT((P$3:P$67&lt;&gt;"")*(G$3:G$67=G48)*(I$3:I$67="P"))+SUMPRODUCT((N$3:N$67&lt;&gt;"")*(G$3:G$67=G48)*(I$3:I$67="P"))+SUMPRODUCT((P$3:P$67="")*(O$3:O$67="")*(N$3:N$67="")*(M$3:M$67="P")*(G$3:G$67=G48)*(J$3:J$67&gt;J48)*(I$3:I$67="P"))+IF(H48="L5",SUMPRODUCT((P$3:P$67="")*(O$3:O$67="")*(N$3:N$67="")*(M$3:M$67="P")*(G$3:G$67=G48)*(J$3:J$67&lt;J48)*(H$3:H$67&lt;&gt;H48)*(I$3:I$67="P")),-1*SUMPRODUCT((P$3:P$67="")*(O$3:O$67="")*(N$3:N$67="")*(M$3:M$67="P")*(G$3:G$67=G48)*(J$3:J$67&gt;J48)*(H$3:H$67="L5")*(I$3:I$67="P")))+1,"")))))</f>
        <v/>
      </c>
      <c r="B48" s="1" t="str" cm="1">
        <f t="array" ref="B48">IF(P48&lt;&gt;"",SUMPRODUCT((P$3:P$67&lt;&gt;"")*(G$3:G$67=G48)*(J$3:J$67&gt;J48))+1,IF(O48&lt;&gt;"",SUMPRODUCT((O$3:O$67&lt;&gt;"")*(P$3:P$67="")*(G$3:G$67=G48)*(J$3:J$67&gt;J48))+SUMPRODUCT((P$3:P$67&lt;&gt;"")*(G$3:G$67=G48))+1,IF(N48&lt;&gt;"",SUMPRODUCT((N$3:N$67&lt;&gt;"")*(G$3:G$67=G48)*(J$3:J$67&gt;J48))+1,IF(M48="P",SUMPRODUCT((O$3:O$67&lt;&gt;"")*(P$3:P$67="")*(G$3:G$67=G48))+SUMPRODUCT((P$3:P$67&lt;&gt;"")*(G$3:G$67=G48))+SUMPRODUCT((N$3:N$67&lt;&gt;"")*(G$3:G$67=G48))+SUMPRODUCT((P$3:P$67="")*(O$3:O$67="")*(N$3:N$67="")*(M$3:M$67="P")*(G$3:G$67=G48)*(J$3:J$67&gt;J48))+IF(H48="L5",SUMPRODUCT((P$3:P$67="")*(O$3:O$67="")*(N$3:N$67="")*(M$3:M$67="P")*(G$3:G$67=G48)*(J$3:J$67&lt;J48)*(H$3:H$67&lt;&gt;H48)),-1*SUMPRODUCT((P$3:P$67="")*(O$3:O$67="")*(N$3:N$67="")*(M$3:M$67="P")*(G$3:G$67=G48)*(J$3:J$67&gt;J48)*(H$3:H$67="L5")))+1,""))))</f>
        <v/>
      </c>
      <c r="C48" s="35" t="s">
        <v>185</v>
      </c>
      <c r="D48" s="35" t="str">
        <f>IF(E48="","",VLOOKUP(E48,'Coaching Points'!A:B,2,0))</f>
        <v>BC</v>
      </c>
      <c r="E48" s="35" t="s">
        <v>40</v>
      </c>
      <c r="F48" s="34">
        <v>2009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64</v>
      </c>
      <c r="I48" s="40"/>
      <c r="J48" s="4">
        <f t="shared" si="5"/>
        <v>81.180000000000007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 t="shared" si="6"/>
        <v/>
      </c>
      <c r="R48" s="4">
        <f t="shared" si="7"/>
        <v>81.180000000000007</v>
      </c>
      <c r="S48" s="4">
        <f>IF(G48="17-21",LARGE(CHOOSE({1,2,3,4,5,6},T48,V48,Y48,AA48,AC48,AF48),2),IF(R48=X48,MAX(Y48,AA48,AC48,AF48),IF(R48=AE48,MAX(AF48,T48,V48,Y48),0)))</f>
        <v>45.39</v>
      </c>
      <c r="T48" s="32">
        <v>38.06</v>
      </c>
      <c r="U48" s="37">
        <v>0</v>
      </c>
      <c r="V48" s="33">
        <v>43.12</v>
      </c>
      <c r="W48" s="37">
        <v>9.1</v>
      </c>
      <c r="X48" s="4">
        <f t="shared" si="8"/>
        <v>81.180000000000007</v>
      </c>
      <c r="Y48" s="33">
        <v>45.39</v>
      </c>
      <c r="Z48" s="37">
        <v>9.3000000000000007</v>
      </c>
      <c r="AA48" s="32"/>
      <c r="AB48" s="37"/>
      <c r="AC48" s="33"/>
      <c r="AD48" s="37"/>
      <c r="AE48" s="4">
        <f t="shared" si="9"/>
        <v>0</v>
      </c>
      <c r="AF48" s="33"/>
      <c r="AG48" s="37"/>
    </row>
    <row r="49" spans="1:33" x14ac:dyDescent="0.2">
      <c r="A49" s="1" t="str" cm="1">
        <f t="array" ref="A49">IF(I49="","",IF(P49&lt;&gt;"",SUMPRODUCT((P$3:P$67&lt;&gt;"")*(G$3:G$67=G49)*(J$3:J$67&gt;J49)*(I$3:I$67="P"))+1,IF(O49&lt;&gt;"",SUMPRODUCT((O$3:O$67&lt;&gt;"")*(P$3:P$67="")*(G$3:G$67=G49)*(J$3:J$67&gt;J49)*(I$3:I$67="P"))+SUMPRODUCT((P$3:P$67&lt;&gt;"")*(G$3:G$67=G49)*(I$3:I$67="P"))+1,IF(N49&lt;&gt;"",SUMPRODUCT((N$3:N$67&lt;&gt;"")*(G$3:G$67=G49)*(J$3:J$67&gt;J49)*(I$3:I$67="P"))+1,IF(M49="P",SUMPRODUCT((O$3:O$67&lt;&gt;"")*(P$3:P$67="")*(G$3:G$67=G49)*(I$3:I$67="P"))+SUMPRODUCT((P$3:P$67&lt;&gt;"")*(G$3:G$67=G49)*(I$3:I$67="P"))+SUMPRODUCT((N$3:N$67&lt;&gt;"")*(G$3:G$67=G49)*(I$3:I$67="P"))+SUMPRODUCT((P$3:P$67="")*(O$3:O$67="")*(N$3:N$67="")*(M$3:M$67="P")*(G$3:G$67=G49)*(J$3:J$67&gt;J49)*(I$3:I$67="P"))+IF(H49="L5",SUMPRODUCT((P$3:P$67="")*(O$3:O$67="")*(N$3:N$67="")*(M$3:M$67="P")*(G$3:G$67=G49)*(J$3:J$67&lt;J49)*(H$3:H$67&lt;&gt;H49)*(I$3:I$67="P")),-1*SUMPRODUCT((P$3:P$67="")*(O$3:O$67="")*(N$3:N$67="")*(M$3:M$67="P")*(G$3:G$67=G49)*(J$3:J$67&gt;J49)*(H$3:H$67="L5")*(I$3:I$67="P")))+1,"")))))</f>
        <v/>
      </c>
      <c r="B49" s="1" t="str" cm="1">
        <f t="array" ref="B49">IF(P49&lt;&gt;"",SUMPRODUCT((P$3:P$67&lt;&gt;"")*(G$3:G$67=G49)*(J$3:J$67&gt;J49))+1,IF(O49&lt;&gt;"",SUMPRODUCT((O$3:O$67&lt;&gt;"")*(P$3:P$67="")*(G$3:G$67=G49)*(J$3:J$67&gt;J49))+SUMPRODUCT((P$3:P$67&lt;&gt;"")*(G$3:G$67=G49))+1,IF(N49&lt;&gt;"",SUMPRODUCT((N$3:N$67&lt;&gt;"")*(G$3:G$67=G49)*(J$3:J$67&gt;J49))+1,IF(M49="P",SUMPRODUCT((O$3:O$67&lt;&gt;"")*(P$3:P$67="")*(G$3:G$67=G49))+SUMPRODUCT((P$3:P$67&lt;&gt;"")*(G$3:G$67=G49))+SUMPRODUCT((N$3:N$67&lt;&gt;"")*(G$3:G$67=G49))+SUMPRODUCT((P$3:P$67="")*(O$3:O$67="")*(N$3:N$67="")*(M$3:M$67="P")*(G$3:G$67=G49)*(J$3:J$67&gt;J49))+IF(H49="L5",SUMPRODUCT((P$3:P$67="")*(O$3:O$67="")*(N$3:N$67="")*(M$3:M$67="P")*(G$3:G$67=G49)*(J$3:J$67&lt;J49)*(H$3:H$67&lt;&gt;H49)),-1*SUMPRODUCT((P$3:P$67="")*(O$3:O$67="")*(N$3:N$67="")*(M$3:M$67="P")*(G$3:G$67=G49)*(J$3:J$67&gt;J49)*(H$3:H$67="L5")))+1,""))))</f>
        <v/>
      </c>
      <c r="C49" s="35" t="s">
        <v>295</v>
      </c>
      <c r="D49" s="35" t="str">
        <f>IF(E49="","",VLOOKUP(E49,'Coaching Points'!A:B,2,0))</f>
        <v>BC</v>
      </c>
      <c r="E49" s="35" t="s">
        <v>204</v>
      </c>
      <c r="F49" s="34">
        <v>2009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65</v>
      </c>
      <c r="I49" s="40"/>
      <c r="J49" s="4">
        <f t="shared" si="5"/>
        <v>81.090100000000007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 t="shared" si="6"/>
        <v/>
      </c>
      <c r="R49" s="4">
        <f t="shared" si="7"/>
        <v>81.09</v>
      </c>
      <c r="S49" s="4">
        <f>IF(G49="17-21",LARGE(CHOOSE({1,2,3,4,5,6},T49,V49,Y49,AA49,AC49,AF49),2),IF(R49=X49,MAX(Y49,AA49,AC49,AF49),IF(R49=AE49,MAX(AF49,T49,V49,Y49),0)))</f>
        <v>47.93</v>
      </c>
      <c r="T49" s="32">
        <v>40.21</v>
      </c>
      <c r="U49" s="37">
        <v>0</v>
      </c>
      <c r="V49" s="33">
        <v>40.880000000000003</v>
      </c>
      <c r="W49" s="37">
        <v>8.4</v>
      </c>
      <c r="X49" s="4">
        <f t="shared" si="8"/>
        <v>81.09</v>
      </c>
      <c r="Y49" s="33">
        <v>47.93</v>
      </c>
      <c r="Z49" s="37">
        <v>10.3</v>
      </c>
      <c r="AA49" s="32"/>
      <c r="AB49" s="37"/>
      <c r="AC49" s="33"/>
      <c r="AD49" s="37"/>
      <c r="AE49" s="4">
        <f t="shared" si="9"/>
        <v>0</v>
      </c>
      <c r="AF49" s="33"/>
      <c r="AG49" s="37"/>
    </row>
    <row r="50" spans="1:33" x14ac:dyDescent="0.2">
      <c r="A50" s="1" t="str" cm="1">
        <f t="array" ref="A50">IF(I50="","",IF(P50&lt;&gt;"",SUMPRODUCT((P$3:P$67&lt;&gt;"")*(G$3:G$67=G50)*(J$3:J$67&gt;J50)*(I$3:I$67="P"))+1,IF(O50&lt;&gt;"",SUMPRODUCT((O$3:O$67&lt;&gt;"")*(P$3:P$67="")*(G$3:G$67=G50)*(J$3:J$67&gt;J50)*(I$3:I$67="P"))+SUMPRODUCT((P$3:P$67&lt;&gt;"")*(G$3:G$67=G50)*(I$3:I$67="P"))+1,IF(N50&lt;&gt;"",SUMPRODUCT((N$3:N$67&lt;&gt;"")*(G$3:G$67=G50)*(J$3:J$67&gt;J50)*(I$3:I$67="P"))+1,IF(M50="P",SUMPRODUCT((O$3:O$67&lt;&gt;"")*(P$3:P$67="")*(G$3:G$67=G50)*(I$3:I$67="P"))+SUMPRODUCT((P$3:P$67&lt;&gt;"")*(G$3:G$67=G50)*(I$3:I$67="P"))+SUMPRODUCT((N$3:N$67&lt;&gt;"")*(G$3:G$67=G50)*(I$3:I$67="P"))+SUMPRODUCT((P$3:P$67="")*(O$3:O$67="")*(N$3:N$67="")*(M$3:M$67="P")*(G$3:G$67=G50)*(J$3:J$67&gt;J50)*(I$3:I$67="P"))+IF(H50="L5",SUMPRODUCT((P$3:P$67="")*(O$3:O$67="")*(N$3:N$67="")*(M$3:M$67="P")*(G$3:G$67=G50)*(J$3:J$67&lt;J50)*(H$3:H$67&lt;&gt;H50)*(I$3:I$67="P")),-1*SUMPRODUCT((P$3:P$67="")*(O$3:O$67="")*(N$3:N$67="")*(M$3:M$67="P")*(G$3:G$67=G50)*(J$3:J$67&gt;J50)*(H$3:H$67="L5")*(I$3:I$67="P")))+1,"")))))</f>
        <v/>
      </c>
      <c r="B50" s="1" t="str" cm="1">
        <f t="array" ref="B50">IF(P50&lt;&gt;"",SUMPRODUCT((P$3:P$67&lt;&gt;"")*(G$3:G$67=G50)*(J$3:J$67&gt;J50))+1,IF(O50&lt;&gt;"",SUMPRODUCT((O$3:O$67&lt;&gt;"")*(P$3:P$67="")*(G$3:G$67=G50)*(J$3:J$67&gt;J50))+SUMPRODUCT((P$3:P$67&lt;&gt;"")*(G$3:G$67=G50))+1,IF(N50&lt;&gt;"",SUMPRODUCT((N$3:N$67&lt;&gt;"")*(G$3:G$67=G50)*(J$3:J$67&gt;J50))+1,IF(M50="P",SUMPRODUCT((O$3:O$67&lt;&gt;"")*(P$3:P$67="")*(G$3:G$67=G50))+SUMPRODUCT((P$3:P$67&lt;&gt;"")*(G$3:G$67=G50))+SUMPRODUCT((N$3:N$67&lt;&gt;"")*(G$3:G$67=G50))+SUMPRODUCT((P$3:P$67="")*(O$3:O$67="")*(N$3:N$67="")*(M$3:M$67="P")*(G$3:G$67=G50)*(J$3:J$67&gt;J50))+IF(H50="L5",SUMPRODUCT((P$3:P$67="")*(O$3:O$67="")*(N$3:N$67="")*(M$3:M$67="P")*(G$3:G$67=G50)*(J$3:J$67&lt;J50)*(H$3:H$67&lt;&gt;H50)),-1*SUMPRODUCT((P$3:P$67="")*(O$3:O$67="")*(N$3:N$67="")*(M$3:M$67="P")*(G$3:G$67=G50)*(J$3:J$67&gt;J50)*(H$3:H$67="L5")))+1,""))))</f>
        <v/>
      </c>
      <c r="C50" s="35" t="s">
        <v>297</v>
      </c>
      <c r="D50" s="35" t="str">
        <f>IF(E50="","",VLOOKUP(E50,'Coaching Points'!A:B,2,0))</f>
        <v>BC</v>
      </c>
      <c r="E50" s="35" t="s">
        <v>59</v>
      </c>
      <c r="F50" s="34">
        <v>2008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64</v>
      </c>
      <c r="I50" s="40"/>
      <c r="J50" s="4">
        <f t="shared" si="5"/>
        <v>80.84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 t="shared" si="6"/>
        <v/>
      </c>
      <c r="R50" s="4">
        <f t="shared" si="7"/>
        <v>80.84</v>
      </c>
      <c r="S50" s="4">
        <f>IF(G50="17-21",LARGE(CHOOSE({1,2,3,4,5,6},T50,V50,Y50,AA50,AC50,AF50),2),IF(R50=X50,MAX(Y50,AA50,AC50,AF50),IF(R50=AE50,MAX(AF50,T50,V50,Y50),0)))</f>
        <v>44.92</v>
      </c>
      <c r="T50" s="32">
        <v>37.31</v>
      </c>
      <c r="U50" s="37">
        <v>0</v>
      </c>
      <c r="V50" s="33">
        <v>43.53</v>
      </c>
      <c r="W50" s="37">
        <v>8.4</v>
      </c>
      <c r="X50" s="4">
        <f t="shared" si="8"/>
        <v>80.84</v>
      </c>
      <c r="Y50" s="33">
        <v>44.92</v>
      </c>
      <c r="Z50" s="37">
        <v>8.4</v>
      </c>
      <c r="AA50" s="32"/>
      <c r="AB50" s="37"/>
      <c r="AC50" s="33"/>
      <c r="AD50" s="37"/>
      <c r="AE50" s="4">
        <f t="shared" si="9"/>
        <v>0</v>
      </c>
      <c r="AF50" s="33"/>
      <c r="AG50" s="37"/>
    </row>
    <row r="51" spans="1:33" x14ac:dyDescent="0.2">
      <c r="A51" s="1" t="str" cm="1">
        <f t="array" ref="A51">IF(I51="","",IF(P51&lt;&gt;"",SUMPRODUCT((P$3:P$67&lt;&gt;"")*(G$3:G$67=G51)*(J$3:J$67&gt;J51)*(I$3:I$67="P"))+1,IF(O51&lt;&gt;"",SUMPRODUCT((O$3:O$67&lt;&gt;"")*(P$3:P$67="")*(G$3:G$67=G51)*(J$3:J$67&gt;J51)*(I$3:I$67="P"))+SUMPRODUCT((P$3:P$67&lt;&gt;"")*(G$3:G$67=G51)*(I$3:I$67="P"))+1,IF(N51&lt;&gt;"",SUMPRODUCT((N$3:N$67&lt;&gt;"")*(G$3:G$67=G51)*(J$3:J$67&gt;J51)*(I$3:I$67="P"))+1,IF(M51="P",SUMPRODUCT((O$3:O$67&lt;&gt;"")*(P$3:P$67="")*(G$3:G$67=G51)*(I$3:I$67="P"))+SUMPRODUCT((P$3:P$67&lt;&gt;"")*(G$3:G$67=G51)*(I$3:I$67="P"))+SUMPRODUCT((N$3:N$67&lt;&gt;"")*(G$3:G$67=G51)*(I$3:I$67="P"))+SUMPRODUCT((P$3:P$67="")*(O$3:O$67="")*(N$3:N$67="")*(M$3:M$67="P")*(G$3:G$67=G51)*(J$3:J$67&gt;J51)*(I$3:I$67="P"))+IF(H51="L5",SUMPRODUCT((P$3:P$67="")*(O$3:O$67="")*(N$3:N$67="")*(M$3:M$67="P")*(G$3:G$67=G51)*(J$3:J$67&lt;J51)*(H$3:H$67&lt;&gt;H51)*(I$3:I$67="P")),-1*SUMPRODUCT((P$3:P$67="")*(O$3:O$67="")*(N$3:N$67="")*(M$3:M$67="P")*(G$3:G$67=G51)*(J$3:J$67&gt;J51)*(H$3:H$67="L5")*(I$3:I$67="P")))+1,"")))))</f>
        <v/>
      </c>
      <c r="B51" s="1" t="str" cm="1">
        <f t="array" ref="B51">IF(P51&lt;&gt;"",SUMPRODUCT((P$3:P$67&lt;&gt;"")*(G$3:G$67=G51)*(J$3:J$67&gt;J51))+1,IF(O51&lt;&gt;"",SUMPRODUCT((O$3:O$67&lt;&gt;"")*(P$3:P$67="")*(G$3:G$67=G51)*(J$3:J$67&gt;J51))+SUMPRODUCT((P$3:P$67&lt;&gt;"")*(G$3:G$67=G51))+1,IF(N51&lt;&gt;"",SUMPRODUCT((N$3:N$67&lt;&gt;"")*(G$3:G$67=G51)*(J$3:J$67&gt;J51))+1,IF(M51="P",SUMPRODUCT((O$3:O$67&lt;&gt;"")*(P$3:P$67="")*(G$3:G$67=G51))+SUMPRODUCT((P$3:P$67&lt;&gt;"")*(G$3:G$67=G51))+SUMPRODUCT((N$3:N$67&lt;&gt;"")*(G$3:G$67=G51))+SUMPRODUCT((P$3:P$67="")*(O$3:O$67="")*(N$3:N$67="")*(M$3:M$67="P")*(G$3:G$67=G51)*(J$3:J$67&gt;J51))+IF(H51="L5",SUMPRODUCT((P$3:P$67="")*(O$3:O$67="")*(N$3:N$67="")*(M$3:M$67="P")*(G$3:G$67=G51)*(J$3:J$67&lt;J51)*(H$3:H$67&lt;&gt;H51)),-1*SUMPRODUCT((P$3:P$67="")*(O$3:O$67="")*(N$3:N$67="")*(M$3:M$67="P")*(G$3:G$67=G51)*(J$3:J$67&gt;J51)*(H$3:H$67="L5")))+1,""))))</f>
        <v/>
      </c>
      <c r="C51" s="35" t="s">
        <v>184</v>
      </c>
      <c r="D51" s="35" t="str">
        <f>IF(E51="","",VLOOKUP(E51,'Coaching Points'!A:B,2,0))</f>
        <v>BC</v>
      </c>
      <c r="E51" s="35" t="s">
        <v>40</v>
      </c>
      <c r="F51" s="34">
        <v>2008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64</v>
      </c>
      <c r="I51" s="40"/>
      <c r="J51" s="4">
        <f t="shared" si="5"/>
        <v>72.67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 t="shared" si="6"/>
        <v/>
      </c>
      <c r="R51" s="4">
        <f t="shared" si="7"/>
        <v>72.67</v>
      </c>
      <c r="S51" s="4">
        <f>IF(G51="17-21",LARGE(CHOOSE({1,2,3,4,5,6},T51,V51,Y51,AA51,AC51,AF51),2),IF(R51=X51,MAX(Y51,AA51,AC51,AF51),IF(R51=AE51,MAX(AF51,T51,V51,Y51),0)))</f>
        <v>5.52</v>
      </c>
      <c r="T51" s="32">
        <v>26.13</v>
      </c>
      <c r="U51" s="37">
        <v>0</v>
      </c>
      <c r="V51" s="33">
        <v>46.54</v>
      </c>
      <c r="W51" s="37">
        <v>9.8000000000000007</v>
      </c>
      <c r="X51" s="4">
        <f t="shared" si="8"/>
        <v>72.67</v>
      </c>
      <c r="Y51" s="33">
        <v>5.52</v>
      </c>
      <c r="Z51" s="37">
        <v>1.5</v>
      </c>
      <c r="AA51" s="32"/>
      <c r="AB51" s="37"/>
      <c r="AC51" s="33"/>
      <c r="AD51" s="37"/>
      <c r="AE51" s="4">
        <f t="shared" si="9"/>
        <v>0</v>
      </c>
      <c r="AF51" s="33"/>
      <c r="AG51" s="37"/>
    </row>
    <row r="52" spans="1:33" x14ac:dyDescent="0.2">
      <c r="A52" s="1" t="str" cm="1">
        <f t="array" ref="A52">IF(I52="","",IF(P52&lt;&gt;"",SUMPRODUCT((P$3:P$67&lt;&gt;"")*(G$3:G$67=G52)*(J$3:J$67&gt;J52)*(I$3:I$67="P"))+1,IF(O52&lt;&gt;"",SUMPRODUCT((O$3:O$67&lt;&gt;"")*(P$3:P$67="")*(G$3:G$67=G52)*(J$3:J$67&gt;J52)*(I$3:I$67="P"))+SUMPRODUCT((P$3:P$67&lt;&gt;"")*(G$3:G$67=G52)*(I$3:I$67="P"))+1,IF(N52&lt;&gt;"",SUMPRODUCT((N$3:N$67&lt;&gt;"")*(G$3:G$67=G52)*(J$3:J$67&gt;J52)*(I$3:I$67="P"))+1,IF(M52="P",SUMPRODUCT((O$3:O$67&lt;&gt;"")*(P$3:P$67="")*(G$3:G$67=G52)*(I$3:I$67="P"))+SUMPRODUCT((P$3:P$67&lt;&gt;"")*(G$3:G$67=G52)*(I$3:I$67="P"))+SUMPRODUCT((N$3:N$67&lt;&gt;"")*(G$3:G$67=G52)*(I$3:I$67="P"))+SUMPRODUCT((P$3:P$67="")*(O$3:O$67="")*(N$3:N$67="")*(M$3:M$67="P")*(G$3:G$67=G52)*(J$3:J$67&gt;J52)*(I$3:I$67="P"))+IF(H52="L5",SUMPRODUCT((P$3:P$67="")*(O$3:O$67="")*(N$3:N$67="")*(M$3:M$67="P")*(G$3:G$67=G52)*(J$3:J$67&lt;J52)*(H$3:H$67&lt;&gt;H52)*(I$3:I$67="P")),-1*SUMPRODUCT((P$3:P$67="")*(O$3:O$67="")*(N$3:N$67="")*(M$3:M$67="P")*(G$3:G$67=G52)*(J$3:J$67&gt;J52)*(H$3:H$67="L5")*(I$3:I$67="P")))+1,"")))))</f>
        <v/>
      </c>
      <c r="B52" s="1" t="str" cm="1">
        <f t="array" ref="B52">IF(P52&lt;&gt;"",SUMPRODUCT((P$3:P$67&lt;&gt;"")*(G$3:G$67=G52)*(J$3:J$67&gt;J52))+1,IF(O52&lt;&gt;"",SUMPRODUCT((O$3:O$67&lt;&gt;"")*(P$3:P$67="")*(G$3:G$67=G52)*(J$3:J$67&gt;J52))+SUMPRODUCT((P$3:P$67&lt;&gt;"")*(G$3:G$67=G52))+1,IF(N52&lt;&gt;"",SUMPRODUCT((N$3:N$67&lt;&gt;"")*(G$3:G$67=G52)*(J$3:J$67&gt;J52))+1,IF(M52="P",SUMPRODUCT((O$3:O$67&lt;&gt;"")*(P$3:P$67="")*(G$3:G$67=G52))+SUMPRODUCT((P$3:P$67&lt;&gt;"")*(G$3:G$67=G52))+SUMPRODUCT((N$3:N$67&lt;&gt;"")*(G$3:G$67=G52))+SUMPRODUCT((P$3:P$67="")*(O$3:O$67="")*(N$3:N$67="")*(M$3:M$67="P")*(G$3:G$67=G52)*(J$3:J$67&gt;J52))+IF(H52="L5",SUMPRODUCT((P$3:P$67="")*(O$3:O$67="")*(N$3:N$67="")*(M$3:M$67="P")*(G$3:G$67=G52)*(J$3:J$67&lt;J52)*(H$3:H$67&lt;&gt;H52)),-1*SUMPRODUCT((P$3:P$67="")*(O$3:O$67="")*(N$3:N$67="")*(M$3:M$67="P")*(G$3:G$67=G52)*(J$3:J$67&gt;J52)*(H$3:H$67="L5")))+1,""))))</f>
        <v/>
      </c>
      <c r="C52" s="35" t="s">
        <v>324</v>
      </c>
      <c r="D52" s="35" t="str">
        <f>IF(E52="","",VLOOKUP(E52,'Coaching Points'!A:B,2,0))</f>
        <v>NL</v>
      </c>
      <c r="E52" s="35" t="s">
        <v>248</v>
      </c>
      <c r="F52" s="34">
        <v>2008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64</v>
      </c>
      <c r="I52" s="40"/>
      <c r="J52" s="4">
        <f t="shared" si="5"/>
        <v>71.41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 t="shared" si="6"/>
        <v/>
      </c>
      <c r="R52" s="4">
        <f t="shared" si="7"/>
        <v>71.41</v>
      </c>
      <c r="S52" s="4">
        <f>IF(G52="17-21",LARGE(CHOOSE({1,2,3,4,5,6},T52,V52,Y52,AA52,AC52,AF52),2),IF(R52=X52,MAX(Y52,AA52,AC52,AF52),IF(R52=AE52,MAX(AF52,T52,V52,Y52),0)))</f>
        <v>46.6</v>
      </c>
      <c r="T52" s="32">
        <v>37.78</v>
      </c>
      <c r="U52" s="37">
        <v>0</v>
      </c>
      <c r="V52" s="33">
        <v>33.630000000000003</v>
      </c>
      <c r="W52" s="37">
        <v>6.2</v>
      </c>
      <c r="X52" s="4">
        <f t="shared" si="8"/>
        <v>71.41</v>
      </c>
      <c r="Y52" s="33">
        <v>46.6</v>
      </c>
      <c r="Z52" s="37">
        <v>9.3000000000000007</v>
      </c>
      <c r="AA52" s="32"/>
      <c r="AB52" s="37"/>
      <c r="AC52" s="33"/>
      <c r="AD52" s="37"/>
      <c r="AE52" s="4">
        <f t="shared" si="9"/>
        <v>0</v>
      </c>
      <c r="AF52" s="33"/>
      <c r="AG52" s="37"/>
    </row>
    <row r="53" spans="1:33" x14ac:dyDescent="0.2">
      <c r="A53" s="1" t="str" cm="1">
        <f t="array" ref="A53">IF(I53="","",IF(P53&lt;&gt;"",SUMPRODUCT((P$3:P$67&lt;&gt;"")*(G$3:G$67=G53)*(J$3:J$67&gt;J53)*(I$3:I$67="P"))+1,IF(O53&lt;&gt;"",SUMPRODUCT((O$3:O$67&lt;&gt;"")*(P$3:P$67="")*(G$3:G$67=G53)*(J$3:J$67&gt;J53)*(I$3:I$67="P"))+SUMPRODUCT((P$3:P$67&lt;&gt;"")*(G$3:G$67=G53)*(I$3:I$67="P"))+1,IF(N53&lt;&gt;"",SUMPRODUCT((N$3:N$67&lt;&gt;"")*(G$3:G$67=G53)*(J$3:J$67&gt;J53)*(I$3:I$67="P"))+1,IF(M53="P",SUMPRODUCT((O$3:O$67&lt;&gt;"")*(P$3:P$67="")*(G$3:G$67=G53)*(I$3:I$67="P"))+SUMPRODUCT((P$3:P$67&lt;&gt;"")*(G$3:G$67=G53)*(I$3:I$67="P"))+SUMPRODUCT((N$3:N$67&lt;&gt;"")*(G$3:G$67=G53)*(I$3:I$67="P"))+SUMPRODUCT((P$3:P$67="")*(O$3:O$67="")*(N$3:N$67="")*(M$3:M$67="P")*(G$3:G$67=G53)*(J$3:J$67&gt;J53)*(I$3:I$67="P"))+IF(H53="L5",SUMPRODUCT((P$3:P$67="")*(O$3:O$67="")*(N$3:N$67="")*(M$3:M$67="P")*(G$3:G$67=G53)*(J$3:J$67&lt;J53)*(H$3:H$67&lt;&gt;H53)*(I$3:I$67="P")),-1*SUMPRODUCT((P$3:P$67="")*(O$3:O$67="")*(N$3:N$67="")*(M$3:M$67="P")*(G$3:G$67=G53)*(J$3:J$67&gt;J53)*(H$3:H$67="L5")*(I$3:I$67="P")))+1,"")))))</f>
        <v/>
      </c>
      <c r="B53" s="1" t="str" cm="1">
        <f t="array" ref="B53">IF(P53&lt;&gt;"",SUMPRODUCT((P$3:P$67&lt;&gt;"")*(G$3:G$67=G53)*(J$3:J$67&gt;J53))+1,IF(O53&lt;&gt;"",SUMPRODUCT((O$3:O$67&lt;&gt;"")*(P$3:P$67="")*(G$3:G$67=G53)*(J$3:J$67&gt;J53))+SUMPRODUCT((P$3:P$67&lt;&gt;"")*(G$3:G$67=G53))+1,IF(N53&lt;&gt;"",SUMPRODUCT((N$3:N$67&lt;&gt;"")*(G$3:G$67=G53)*(J$3:J$67&gt;J53))+1,IF(M53="P",SUMPRODUCT((O$3:O$67&lt;&gt;"")*(P$3:P$67="")*(G$3:G$67=G53))+SUMPRODUCT((P$3:P$67&lt;&gt;"")*(G$3:G$67=G53))+SUMPRODUCT((N$3:N$67&lt;&gt;"")*(G$3:G$67=G53))+SUMPRODUCT((P$3:P$67="")*(O$3:O$67="")*(N$3:N$67="")*(M$3:M$67="P")*(G$3:G$67=G53)*(J$3:J$67&gt;J53))+IF(H53="L5",SUMPRODUCT((P$3:P$67="")*(O$3:O$67="")*(N$3:N$67="")*(M$3:M$67="P")*(G$3:G$67=G53)*(J$3:J$67&lt;J53)*(H$3:H$67&lt;&gt;H53)),-1*SUMPRODUCT((P$3:P$67="")*(O$3:O$67="")*(N$3:N$67="")*(M$3:M$67="P")*(G$3:G$67=G53)*(J$3:J$67&gt;J53)*(H$3:H$67="L5")))+1,""))))</f>
        <v/>
      </c>
      <c r="C53" s="35" t="s">
        <v>74</v>
      </c>
      <c r="D53" s="35" t="str">
        <f>IF(E53="","",VLOOKUP(E53,'Coaching Points'!A:B,2,0))</f>
        <v>QC</v>
      </c>
      <c r="E53" s="35" t="s">
        <v>75</v>
      </c>
      <c r="F53" s="34">
        <v>2008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63</v>
      </c>
      <c r="I53" s="40"/>
      <c r="J53" s="4">
        <f t="shared" si="5"/>
        <v>55.530200000000001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>P</v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 t="shared" si="6"/>
        <v/>
      </c>
      <c r="R53" s="4">
        <f t="shared" si="7"/>
        <v>55.53</v>
      </c>
      <c r="S53" s="4">
        <f>IF(G53="17-21",LARGE(CHOOSE({1,2,3,4,5,6},T53,V53,Y53,AA53,AC53,AF53),2),IF(R53=X53,MAX(Y53,AA53,AC53,AF53),IF(R53=AE53,MAX(AF53,T53,V53,Y53),0)))</f>
        <v>0</v>
      </c>
      <c r="T53" s="32">
        <v>4.68</v>
      </c>
      <c r="U53" s="37">
        <v>0</v>
      </c>
      <c r="V53" s="33">
        <v>50.85</v>
      </c>
      <c r="W53" s="37">
        <v>13.3</v>
      </c>
      <c r="X53" s="4">
        <f t="shared" si="8"/>
        <v>55.53</v>
      </c>
      <c r="Y53" s="33"/>
      <c r="Z53" s="37"/>
      <c r="AA53" s="32"/>
      <c r="AB53" s="37"/>
      <c r="AC53" s="33"/>
      <c r="AD53" s="37"/>
      <c r="AE53" s="4">
        <f t="shared" si="9"/>
        <v>0</v>
      </c>
      <c r="AF53" s="33"/>
      <c r="AG53" s="37"/>
    </row>
    <row r="54" spans="1:33" x14ac:dyDescent="0.2">
      <c r="A54" s="1" t="str" cm="1">
        <f t="array" ref="A54">IF(I54="","",IF(P54&lt;&gt;"",SUMPRODUCT((P$3:P$67&lt;&gt;"")*(G$3:G$67=G54)*(J$3:J$67&gt;J54)*(I$3:I$67="P"))+1,IF(O54&lt;&gt;"",SUMPRODUCT((O$3:O$67&lt;&gt;"")*(P$3:P$67="")*(G$3:G$67=G54)*(J$3:J$67&gt;J54)*(I$3:I$67="P"))+SUMPRODUCT((P$3:P$67&lt;&gt;"")*(G$3:G$67=G54)*(I$3:I$67="P"))+1,IF(N54&lt;&gt;"",SUMPRODUCT((N$3:N$67&lt;&gt;"")*(G$3:G$67=G54)*(J$3:J$67&gt;J54)*(I$3:I$67="P"))+1,IF(M54="P",SUMPRODUCT((O$3:O$67&lt;&gt;"")*(P$3:P$67="")*(G$3:G$67=G54)*(I$3:I$67="P"))+SUMPRODUCT((P$3:P$67&lt;&gt;"")*(G$3:G$67=G54)*(I$3:I$67="P"))+SUMPRODUCT((N$3:N$67&lt;&gt;"")*(G$3:G$67=G54)*(I$3:I$67="P"))+SUMPRODUCT((P$3:P$67="")*(O$3:O$67="")*(N$3:N$67="")*(M$3:M$67="P")*(G$3:G$67=G54)*(J$3:J$67&gt;J54)*(I$3:I$67="P"))+IF(H54="L5",SUMPRODUCT((P$3:P$67="")*(O$3:O$67="")*(N$3:N$67="")*(M$3:M$67="P")*(G$3:G$67=G54)*(J$3:J$67&lt;J54)*(H$3:H$67&lt;&gt;H54)*(I$3:I$67="P")),-1*SUMPRODUCT((P$3:P$67="")*(O$3:O$67="")*(N$3:N$67="")*(M$3:M$67="P")*(G$3:G$67=G54)*(J$3:J$67&gt;J54)*(H$3:H$67="L5")*(I$3:I$67="P")))+1,"")))))</f>
        <v/>
      </c>
      <c r="B54" s="1" t="str" cm="1">
        <f t="array" ref="B54">IF(P54&lt;&gt;"",SUMPRODUCT((P$3:P$67&lt;&gt;"")*(G$3:G$67=G54)*(J$3:J$67&gt;J54))+1,IF(O54&lt;&gt;"",SUMPRODUCT((O$3:O$67&lt;&gt;"")*(P$3:P$67="")*(G$3:G$67=G54)*(J$3:J$67&gt;J54))+SUMPRODUCT((P$3:P$67&lt;&gt;"")*(G$3:G$67=G54))+1,IF(N54&lt;&gt;"",SUMPRODUCT((N$3:N$67&lt;&gt;"")*(G$3:G$67=G54)*(J$3:J$67&gt;J54))+1,IF(M54="P",SUMPRODUCT((O$3:O$67&lt;&gt;"")*(P$3:P$67="")*(G$3:G$67=G54))+SUMPRODUCT((P$3:P$67&lt;&gt;"")*(G$3:G$67=G54))+SUMPRODUCT((N$3:N$67&lt;&gt;"")*(G$3:G$67=G54))+SUMPRODUCT((P$3:P$67="")*(O$3:O$67="")*(N$3:N$67="")*(M$3:M$67="P")*(G$3:G$67=G54)*(J$3:J$67&gt;J54))+IF(H54="L5",SUMPRODUCT((P$3:P$67="")*(O$3:O$67="")*(N$3:N$67="")*(M$3:M$67="P")*(G$3:G$67=G54)*(J$3:J$67&lt;J54)*(H$3:H$67&lt;&gt;H54)),-1*SUMPRODUCT((P$3:P$67="")*(O$3:O$67="")*(N$3:N$67="")*(M$3:M$67="P")*(G$3:G$67=G54)*(J$3:J$67&gt;J54)*(H$3:H$67="L5")))+1,""))))</f>
        <v/>
      </c>
      <c r="C54" s="35" t="s">
        <v>327</v>
      </c>
      <c r="D54" s="35" t="str">
        <f>IF(E54="","",VLOOKUP(E54,'Coaching Points'!A:B,2,0))</f>
        <v>AB</v>
      </c>
      <c r="E54" s="35" t="s">
        <v>62</v>
      </c>
      <c r="F54" s="34">
        <v>2009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64</v>
      </c>
      <c r="I54" s="40"/>
      <c r="J54" s="4">
        <f t="shared" si="5"/>
        <v>54.73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 t="shared" si="6"/>
        <v/>
      </c>
      <c r="R54" s="4">
        <f t="shared" si="7"/>
        <v>54.73</v>
      </c>
      <c r="S54" s="4">
        <f>IF(G54="17-21",LARGE(CHOOSE({1,2,3,4,5,6},T54,V54,Y54,AA54,AC54,AF54),2),IF(R54=X54,MAX(Y54,AA54,AC54,AF54),IF(R54=AE54,MAX(AF54,T54,V54,Y54),0)))</f>
        <v>0</v>
      </c>
      <c r="T54" s="32">
        <v>37.08</v>
      </c>
      <c r="U54" s="37">
        <v>0</v>
      </c>
      <c r="V54" s="33">
        <v>17.649999999999999</v>
      </c>
      <c r="W54" s="37">
        <v>3.5</v>
      </c>
      <c r="X54" s="4">
        <f t="shared" si="8"/>
        <v>54.73</v>
      </c>
      <c r="Y54" s="33"/>
      <c r="Z54" s="37"/>
      <c r="AA54" s="32"/>
      <c r="AB54" s="37"/>
      <c r="AC54" s="33"/>
      <c r="AD54" s="37"/>
      <c r="AE54" s="4">
        <f t="shared" si="9"/>
        <v>0</v>
      </c>
      <c r="AF54" s="33"/>
      <c r="AG54" s="37"/>
    </row>
    <row r="55" spans="1:33" x14ac:dyDescent="0.2">
      <c r="A55" s="1" t="str" cm="1">
        <f t="array" ref="A55">IF(I55="","",IF(P55&lt;&gt;"",SUMPRODUCT((P$3:P$67&lt;&gt;"")*(G$3:G$67=G55)*(J$3:J$67&gt;J55)*(I$3:I$67="P"))+1,IF(O55&lt;&gt;"",SUMPRODUCT((O$3:O$67&lt;&gt;"")*(P$3:P$67="")*(G$3:G$67=G55)*(J$3:J$67&gt;J55)*(I$3:I$67="P"))+SUMPRODUCT((P$3:P$67&lt;&gt;"")*(G$3:G$67=G55)*(I$3:I$67="P"))+1,IF(N55&lt;&gt;"",SUMPRODUCT((N$3:N$67&lt;&gt;"")*(G$3:G$67=G55)*(J$3:J$67&gt;J55)*(I$3:I$67="P"))+1,IF(M55="P",SUMPRODUCT((O$3:O$67&lt;&gt;"")*(P$3:P$67="")*(G$3:G$67=G55)*(I$3:I$67="P"))+SUMPRODUCT((P$3:P$67&lt;&gt;"")*(G$3:G$67=G55)*(I$3:I$67="P"))+SUMPRODUCT((N$3:N$67&lt;&gt;"")*(G$3:G$67=G55)*(I$3:I$67="P"))+SUMPRODUCT((P$3:P$67="")*(O$3:O$67="")*(N$3:N$67="")*(M$3:M$67="P")*(G$3:G$67=G55)*(J$3:J$67&gt;J55)*(I$3:I$67="P"))+IF(H55="L5",SUMPRODUCT((P$3:P$67="")*(O$3:O$67="")*(N$3:N$67="")*(M$3:M$67="P")*(G$3:G$67=G55)*(J$3:J$67&lt;J55)*(H$3:H$67&lt;&gt;H55)*(I$3:I$67="P")),-1*SUMPRODUCT((P$3:P$67="")*(O$3:O$67="")*(N$3:N$67="")*(M$3:M$67="P")*(G$3:G$67=G55)*(J$3:J$67&gt;J55)*(H$3:H$67="L5")*(I$3:I$67="P")))+1,"")))))</f>
        <v/>
      </c>
      <c r="B55" s="1" t="str" cm="1">
        <f t="array" ref="B55">IF(P55&lt;&gt;"",SUMPRODUCT((P$3:P$67&lt;&gt;"")*(G$3:G$67=G55)*(J$3:J$67&gt;J55))+1,IF(O55&lt;&gt;"",SUMPRODUCT((O$3:O$67&lt;&gt;"")*(P$3:P$67="")*(G$3:G$67=G55)*(J$3:J$67&gt;J55))+SUMPRODUCT((P$3:P$67&lt;&gt;"")*(G$3:G$67=G55))+1,IF(N55&lt;&gt;"",SUMPRODUCT((N$3:N$67&lt;&gt;"")*(G$3:G$67=G55)*(J$3:J$67&gt;J55))+1,IF(M55="P",SUMPRODUCT((O$3:O$67&lt;&gt;"")*(P$3:P$67="")*(G$3:G$67=G55))+SUMPRODUCT((P$3:P$67&lt;&gt;"")*(G$3:G$67=G55))+SUMPRODUCT((N$3:N$67&lt;&gt;"")*(G$3:G$67=G55))+SUMPRODUCT((P$3:P$67="")*(O$3:O$67="")*(N$3:N$67="")*(M$3:M$67="P")*(G$3:G$67=G55)*(J$3:J$67&gt;J55))+IF(H55="L5",SUMPRODUCT((P$3:P$67="")*(O$3:O$67="")*(N$3:N$67="")*(M$3:M$67="P")*(G$3:G$67=G55)*(J$3:J$67&lt;J55)*(H$3:H$67&lt;&gt;H55)),-1*SUMPRODUCT((P$3:P$67="")*(O$3:O$67="")*(N$3:N$67="")*(M$3:M$67="P")*(G$3:G$67=G55)*(J$3:J$67&gt;J55)*(H$3:H$67="L5")))+1,""))))</f>
        <v/>
      </c>
      <c r="C55" s="35" t="s">
        <v>317</v>
      </c>
      <c r="D55" s="35" t="str">
        <f>IF(E55="","",VLOOKUP(E55,'Coaching Points'!A:B,2,0))</f>
        <v>AB</v>
      </c>
      <c r="E55" s="35" t="s">
        <v>56</v>
      </c>
      <c r="F55" s="34">
        <v>2008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65</v>
      </c>
      <c r="I55" s="40"/>
      <c r="J55" s="4">
        <f t="shared" si="5"/>
        <v>45.43010000000001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 t="shared" si="6"/>
        <v/>
      </c>
      <c r="R55" s="4">
        <f t="shared" si="7"/>
        <v>45.430000000000007</v>
      </c>
      <c r="S55" s="4">
        <f>IF(G55="17-21",LARGE(CHOOSE({1,2,3,4,5,6},T55,V55,Y55,AA55,AC55,AF55),2),IF(R55=X55,MAX(Y55,AA55,AC55,AF55),IF(R55=AE55,MAX(AF55,T55,V55,Y55),0)))</f>
        <v>0</v>
      </c>
      <c r="T55" s="32">
        <v>40.020000000000003</v>
      </c>
      <c r="U55" s="37">
        <v>0</v>
      </c>
      <c r="V55" s="33">
        <v>5.41</v>
      </c>
      <c r="W55" s="37">
        <v>1.5</v>
      </c>
      <c r="X55" s="4">
        <f t="shared" si="8"/>
        <v>45.430000000000007</v>
      </c>
      <c r="Y55" s="33"/>
      <c r="Z55" s="37"/>
      <c r="AA55" s="32"/>
      <c r="AB55" s="37"/>
      <c r="AC55" s="33"/>
      <c r="AD55" s="37"/>
      <c r="AE55" s="4">
        <f t="shared" si="9"/>
        <v>0</v>
      </c>
      <c r="AF55" s="33"/>
      <c r="AG55" s="37"/>
    </row>
    <row r="56" spans="1:33" x14ac:dyDescent="0.2">
      <c r="A56" s="1" t="str" cm="1">
        <f t="array" ref="A56">IF(I56="","",IF(P56&lt;&gt;"",SUMPRODUCT((P$3:P$67&lt;&gt;"")*(G$3:G$67=G56)*(J$3:J$67&gt;J56)*(I$3:I$67="P"))+1,IF(O56&lt;&gt;"",SUMPRODUCT((O$3:O$67&lt;&gt;"")*(P$3:P$67="")*(G$3:G$67=G56)*(J$3:J$67&gt;J56)*(I$3:I$67="P"))+SUMPRODUCT((P$3:P$67&lt;&gt;"")*(G$3:G$67=G56)*(I$3:I$67="P"))+1,IF(N56&lt;&gt;"",SUMPRODUCT((N$3:N$67&lt;&gt;"")*(G$3:G$67=G56)*(J$3:J$67&gt;J56)*(I$3:I$67="P"))+1,IF(M56="P",SUMPRODUCT((O$3:O$67&lt;&gt;"")*(P$3:P$67="")*(G$3:G$67=G56)*(I$3:I$67="P"))+SUMPRODUCT((P$3:P$67&lt;&gt;"")*(G$3:G$67=G56)*(I$3:I$67="P"))+SUMPRODUCT((N$3:N$67&lt;&gt;"")*(G$3:G$67=G56)*(I$3:I$67="P"))+SUMPRODUCT((P$3:P$67="")*(O$3:O$67="")*(N$3:N$67="")*(M$3:M$67="P")*(G$3:G$67=G56)*(J$3:J$67&gt;J56)*(I$3:I$67="P"))+IF(H56="L5",SUMPRODUCT((P$3:P$67="")*(O$3:O$67="")*(N$3:N$67="")*(M$3:M$67="P")*(G$3:G$67=G56)*(J$3:J$67&lt;J56)*(H$3:H$67&lt;&gt;H56)*(I$3:I$67="P")),-1*SUMPRODUCT((P$3:P$67="")*(O$3:O$67="")*(N$3:N$67="")*(M$3:M$67="P")*(G$3:G$67=G56)*(J$3:J$67&gt;J56)*(H$3:H$67="L5")*(I$3:I$67="P")))+1,"")))))</f>
        <v/>
      </c>
      <c r="B56" s="1" t="str" cm="1">
        <f t="array" ref="B56">IF(P56&lt;&gt;"",SUMPRODUCT((P$3:P$67&lt;&gt;"")*(G$3:G$67=G56)*(J$3:J$67&gt;J56))+1,IF(O56&lt;&gt;"",SUMPRODUCT((O$3:O$67&lt;&gt;"")*(P$3:P$67="")*(G$3:G$67=G56)*(J$3:J$67&gt;J56))+SUMPRODUCT((P$3:P$67&lt;&gt;"")*(G$3:G$67=G56))+1,IF(N56&lt;&gt;"",SUMPRODUCT((N$3:N$67&lt;&gt;"")*(G$3:G$67=G56)*(J$3:J$67&gt;J56))+1,IF(M56="P",SUMPRODUCT((O$3:O$67&lt;&gt;"")*(P$3:P$67="")*(G$3:G$67=G56))+SUMPRODUCT((P$3:P$67&lt;&gt;"")*(G$3:G$67=G56))+SUMPRODUCT((N$3:N$67&lt;&gt;"")*(G$3:G$67=G56))+SUMPRODUCT((P$3:P$67="")*(O$3:O$67="")*(N$3:N$67="")*(M$3:M$67="P")*(G$3:G$67=G56)*(J$3:J$67&gt;J56))+IF(H56="L5",SUMPRODUCT((P$3:P$67="")*(O$3:O$67="")*(N$3:N$67="")*(M$3:M$67="P")*(G$3:G$67=G56)*(J$3:J$67&lt;J56)*(H$3:H$67&lt;&gt;H56)),-1*SUMPRODUCT((P$3:P$67="")*(O$3:O$67="")*(N$3:N$67="")*(M$3:M$67="P")*(G$3:G$67=G56)*(J$3:J$67&gt;J56)*(H$3:H$67="L5")))+1,""))))</f>
        <v/>
      </c>
      <c r="C56" s="35" t="s">
        <v>283</v>
      </c>
      <c r="D56" s="35" t="str">
        <f>IF(E56="","",VLOOKUP(E56,'Coaching Points'!A:B,2,0))</f>
        <v>AB</v>
      </c>
      <c r="E56" s="35" t="s">
        <v>28</v>
      </c>
      <c r="F56" s="34">
        <v>2008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65</v>
      </c>
      <c r="I56" s="40"/>
      <c r="J56" s="4">
        <f t="shared" si="5"/>
        <v>43.960100000000004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 t="shared" si="6"/>
        <v/>
      </c>
      <c r="R56" s="4">
        <f t="shared" si="7"/>
        <v>43.96</v>
      </c>
      <c r="S56" s="4">
        <f>IF(G56="17-21",LARGE(CHOOSE({1,2,3,4,5,6},T56,V56,Y56,AA56,AC56,AF56),2),IF(R56=X56,MAX(Y56,AA56,AC56,AF56),IF(R56=AE56,MAX(AF56,T56,V56,Y56),0)))</f>
        <v>0</v>
      </c>
      <c r="T56" s="32">
        <v>38.450000000000003</v>
      </c>
      <c r="U56" s="37">
        <v>0</v>
      </c>
      <c r="V56" s="33">
        <v>5.51</v>
      </c>
      <c r="W56" s="37">
        <v>1.7</v>
      </c>
      <c r="X56" s="4">
        <f t="shared" si="8"/>
        <v>43.96</v>
      </c>
      <c r="Y56" s="33"/>
      <c r="Z56" s="37"/>
      <c r="AA56" s="32"/>
      <c r="AB56" s="37"/>
      <c r="AC56" s="33"/>
      <c r="AD56" s="37"/>
      <c r="AE56" s="4">
        <f t="shared" si="9"/>
        <v>0</v>
      </c>
      <c r="AF56" s="33"/>
      <c r="AG56" s="37"/>
    </row>
    <row r="57" spans="1:33" x14ac:dyDescent="0.2">
      <c r="A57" s="1" t="str" cm="1">
        <f t="array" ref="A57">IF(I57="","",IF(P57&lt;&gt;"",SUMPRODUCT((P$3:P$67&lt;&gt;"")*(G$3:G$67=G57)*(J$3:J$67&gt;J57)*(I$3:I$67="P"))+1,IF(O57&lt;&gt;"",SUMPRODUCT((O$3:O$67&lt;&gt;"")*(P$3:P$67="")*(G$3:G$67=G57)*(J$3:J$67&gt;J57)*(I$3:I$67="P"))+SUMPRODUCT((P$3:P$67&lt;&gt;"")*(G$3:G$67=G57)*(I$3:I$67="P"))+1,IF(N57&lt;&gt;"",SUMPRODUCT((N$3:N$67&lt;&gt;"")*(G$3:G$67=G57)*(J$3:J$67&gt;J57)*(I$3:I$67="P"))+1,IF(M57="P",SUMPRODUCT((O$3:O$67&lt;&gt;"")*(P$3:P$67="")*(G$3:G$67=G57)*(I$3:I$67="P"))+SUMPRODUCT((P$3:P$67&lt;&gt;"")*(G$3:G$67=G57)*(I$3:I$67="P"))+SUMPRODUCT((N$3:N$67&lt;&gt;"")*(G$3:G$67=G57)*(I$3:I$67="P"))+SUMPRODUCT((P$3:P$67="")*(O$3:O$67="")*(N$3:N$67="")*(M$3:M$67="P")*(G$3:G$67=G57)*(J$3:J$67&gt;J57)*(I$3:I$67="P"))+IF(H57="L5",SUMPRODUCT((P$3:P$67="")*(O$3:O$67="")*(N$3:N$67="")*(M$3:M$67="P")*(G$3:G$67=G57)*(J$3:J$67&lt;J57)*(H$3:H$67&lt;&gt;H57)*(I$3:I$67="P")),-1*SUMPRODUCT((P$3:P$67="")*(O$3:O$67="")*(N$3:N$67="")*(M$3:M$67="P")*(G$3:G$67=G57)*(J$3:J$67&gt;J57)*(H$3:H$67="L5")*(I$3:I$67="P")))+1,"")))))</f>
        <v/>
      </c>
      <c r="B57" s="1" t="str" cm="1">
        <f t="array" ref="B57">IF(P57&lt;&gt;"",SUMPRODUCT((P$3:P$67&lt;&gt;"")*(G$3:G$67=G57)*(J$3:J$67&gt;J57))+1,IF(O57&lt;&gt;"",SUMPRODUCT((O$3:O$67&lt;&gt;"")*(P$3:P$67="")*(G$3:G$67=G57)*(J$3:J$67&gt;J57))+SUMPRODUCT((P$3:P$67&lt;&gt;"")*(G$3:G$67=G57))+1,IF(N57&lt;&gt;"",SUMPRODUCT((N$3:N$67&lt;&gt;"")*(G$3:G$67=G57)*(J$3:J$67&gt;J57))+1,IF(M57="P",SUMPRODUCT((O$3:O$67&lt;&gt;"")*(P$3:P$67="")*(G$3:G$67=G57))+SUMPRODUCT((P$3:P$67&lt;&gt;"")*(G$3:G$67=G57))+SUMPRODUCT((N$3:N$67&lt;&gt;"")*(G$3:G$67=G57))+SUMPRODUCT((P$3:P$67="")*(O$3:O$67="")*(N$3:N$67="")*(M$3:M$67="P")*(G$3:G$67=G57)*(J$3:J$67&gt;J57))+IF(H57="L5",SUMPRODUCT((P$3:P$67="")*(O$3:O$67="")*(N$3:N$67="")*(M$3:M$67="P")*(G$3:G$67=G57)*(J$3:J$67&lt;J57)*(H$3:H$67&lt;&gt;H57)),-1*SUMPRODUCT((P$3:P$67="")*(O$3:O$67="")*(N$3:N$67="")*(M$3:M$67="P")*(G$3:G$67=G57)*(J$3:J$67&gt;J57)*(H$3:H$67="L5")))+1,""))))</f>
        <v/>
      </c>
      <c r="C57" s="35" t="s">
        <v>132</v>
      </c>
      <c r="D57" s="35" t="str">
        <f>IF(E57="","",VLOOKUP(E57,'Coaching Points'!A:B,2,0))</f>
        <v>AB</v>
      </c>
      <c r="E57" s="35" t="s">
        <v>62</v>
      </c>
      <c r="F57" s="34">
        <v>2008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64</v>
      </c>
      <c r="I57" s="40"/>
      <c r="J57" s="4">
        <f t="shared" si="5"/>
        <v>43.9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 t="shared" si="6"/>
        <v/>
      </c>
      <c r="R57" s="4">
        <f t="shared" si="7"/>
        <v>43.9</v>
      </c>
      <c r="S57" s="4">
        <f>IF(G57="17-21",LARGE(CHOOSE({1,2,3,4,5,6},T57,V57,Y57,AA57,AC57,AF57),2),IF(R57=X57,MAX(Y57,AA57,AC57,AF57),IF(R57=AE57,MAX(AF57,T57,V57,Y57),0)))</f>
        <v>0</v>
      </c>
      <c r="T57" s="32">
        <v>38.729999999999997</v>
      </c>
      <c r="U57" s="37">
        <v>0</v>
      </c>
      <c r="V57" s="33">
        <v>5.17</v>
      </c>
      <c r="W57" s="37">
        <v>1.3</v>
      </c>
      <c r="X57" s="4">
        <f t="shared" si="8"/>
        <v>43.9</v>
      </c>
      <c r="Y57" s="33"/>
      <c r="Z57" s="37"/>
      <c r="AA57" s="32"/>
      <c r="AB57" s="37"/>
      <c r="AC57" s="33"/>
      <c r="AD57" s="37"/>
      <c r="AE57" s="4">
        <f t="shared" si="9"/>
        <v>0</v>
      </c>
      <c r="AF57" s="33"/>
      <c r="AG57" s="37"/>
    </row>
    <row r="58" spans="1:33" x14ac:dyDescent="0.2">
      <c r="A58" s="1" t="str" cm="1">
        <f t="array" ref="A58">IF(I58="","",IF(P58&lt;&gt;"",SUMPRODUCT((P$3:P$67&lt;&gt;"")*(G$3:G$67=G58)*(J$3:J$67&gt;J58)*(I$3:I$67="P"))+1,IF(O58&lt;&gt;"",SUMPRODUCT((O$3:O$67&lt;&gt;"")*(P$3:P$67="")*(G$3:G$67=G58)*(J$3:J$67&gt;J58)*(I$3:I$67="P"))+SUMPRODUCT((P$3:P$67&lt;&gt;"")*(G$3:G$67=G58)*(I$3:I$67="P"))+1,IF(N58&lt;&gt;"",SUMPRODUCT((N$3:N$67&lt;&gt;"")*(G$3:G$67=G58)*(J$3:J$67&gt;J58)*(I$3:I$67="P"))+1,IF(M58="P",SUMPRODUCT((O$3:O$67&lt;&gt;"")*(P$3:P$67="")*(G$3:G$67=G58)*(I$3:I$67="P"))+SUMPRODUCT((P$3:P$67&lt;&gt;"")*(G$3:G$67=G58)*(I$3:I$67="P"))+SUMPRODUCT((N$3:N$67&lt;&gt;"")*(G$3:G$67=G58)*(I$3:I$67="P"))+SUMPRODUCT((P$3:P$67="")*(O$3:O$67="")*(N$3:N$67="")*(M$3:M$67="P")*(G$3:G$67=G58)*(J$3:J$67&gt;J58)*(I$3:I$67="P"))+IF(H58="L5",SUMPRODUCT((P$3:P$67="")*(O$3:O$67="")*(N$3:N$67="")*(M$3:M$67="P")*(G$3:G$67=G58)*(J$3:J$67&lt;J58)*(H$3:H$67&lt;&gt;H58)*(I$3:I$67="P")),-1*SUMPRODUCT((P$3:P$67="")*(O$3:O$67="")*(N$3:N$67="")*(M$3:M$67="P")*(G$3:G$67=G58)*(J$3:J$67&gt;J58)*(H$3:H$67="L5")*(I$3:I$67="P")))+1,"")))))</f>
        <v/>
      </c>
      <c r="B58" s="1" t="str" cm="1">
        <f t="array" ref="B58">IF(P58&lt;&gt;"",SUMPRODUCT((P$3:P$67&lt;&gt;"")*(G$3:G$67=G58)*(J$3:J$67&gt;J58))+1,IF(O58&lt;&gt;"",SUMPRODUCT((O$3:O$67&lt;&gt;"")*(P$3:P$67="")*(G$3:G$67=G58)*(J$3:J$67&gt;J58))+SUMPRODUCT((P$3:P$67&lt;&gt;"")*(G$3:G$67=G58))+1,IF(N58&lt;&gt;"",SUMPRODUCT((N$3:N$67&lt;&gt;"")*(G$3:G$67=G58)*(J$3:J$67&gt;J58))+1,IF(M58="P",SUMPRODUCT((O$3:O$67&lt;&gt;"")*(P$3:P$67="")*(G$3:G$67=G58))+SUMPRODUCT((P$3:P$67&lt;&gt;"")*(G$3:G$67=G58))+SUMPRODUCT((N$3:N$67&lt;&gt;"")*(G$3:G$67=G58))+SUMPRODUCT((P$3:P$67="")*(O$3:O$67="")*(N$3:N$67="")*(M$3:M$67="P")*(G$3:G$67=G58)*(J$3:J$67&gt;J58))+IF(H58="L5",SUMPRODUCT((P$3:P$67="")*(O$3:O$67="")*(N$3:N$67="")*(M$3:M$67="P")*(G$3:G$67=G58)*(J$3:J$67&lt;J58)*(H$3:H$67&lt;&gt;H58)),-1*SUMPRODUCT((P$3:P$67="")*(O$3:O$67="")*(N$3:N$67="")*(M$3:M$67="P")*(G$3:G$67=G58)*(J$3:J$67&gt;J58)*(H$3:H$67="L5")))+1,""))))</f>
        <v/>
      </c>
      <c r="C58" s="35" t="s">
        <v>322</v>
      </c>
      <c r="D58" s="35" t="str">
        <f>IF(E58="","",VLOOKUP(E58,'Coaching Points'!A:B,2,0))</f>
        <v>QC</v>
      </c>
      <c r="E58" s="35" t="s">
        <v>201</v>
      </c>
      <c r="F58" s="34">
        <v>2010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13-14</v>
      </c>
      <c r="H58" s="36" t="s">
        <v>64</v>
      </c>
      <c r="I58" s="40"/>
      <c r="J58" s="4">
        <f t="shared" si="5"/>
        <v>85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 t="shared" si="6"/>
        <v/>
      </c>
      <c r="R58" s="4">
        <f t="shared" si="7"/>
        <v>85</v>
      </c>
      <c r="S58" s="4">
        <f>IF(G58="17-21",LARGE(CHOOSE({1,2,3,4,5,6},T58,V58,Y58,AA58,AC58,AF58),2),IF(R58=X58,MAX(Y58,AA58,AC58,AF58),IF(R58=AE58,MAX(AF58,T58,V58,Y58),0)))</f>
        <v>18.899999999999999</v>
      </c>
      <c r="T58" s="32">
        <v>39.799999999999997</v>
      </c>
      <c r="U58" s="37">
        <v>0</v>
      </c>
      <c r="V58" s="33">
        <v>45.2</v>
      </c>
      <c r="W58" s="37">
        <v>8.5</v>
      </c>
      <c r="X58" s="4">
        <f t="shared" si="8"/>
        <v>85</v>
      </c>
      <c r="Y58" s="33">
        <v>18.899999999999999</v>
      </c>
      <c r="Z58" s="37">
        <v>4</v>
      </c>
      <c r="AA58" s="32"/>
      <c r="AB58" s="37"/>
      <c r="AC58" s="33"/>
      <c r="AD58" s="37"/>
      <c r="AE58" s="4">
        <f t="shared" si="9"/>
        <v>0</v>
      </c>
      <c r="AF58" s="33"/>
      <c r="AG58" s="37"/>
    </row>
    <row r="59" spans="1:33" x14ac:dyDescent="0.2">
      <c r="A59" s="1" t="str" cm="1">
        <f t="array" ref="A59">IF(I59="","",IF(P59&lt;&gt;"",SUMPRODUCT((P$3:P$67&lt;&gt;"")*(G$3:G$67=G59)*(J$3:J$67&gt;J59)*(I$3:I$67="P"))+1,IF(O59&lt;&gt;"",SUMPRODUCT((O$3:O$67&lt;&gt;"")*(P$3:P$67="")*(G$3:G$67=G59)*(J$3:J$67&gt;J59)*(I$3:I$67="P"))+SUMPRODUCT((P$3:P$67&lt;&gt;"")*(G$3:G$67=G59)*(I$3:I$67="P"))+1,IF(N59&lt;&gt;"",SUMPRODUCT((N$3:N$67&lt;&gt;"")*(G$3:G$67=G59)*(J$3:J$67&gt;J59)*(I$3:I$67="P"))+1,IF(M59="P",SUMPRODUCT((O$3:O$67&lt;&gt;"")*(P$3:P$67="")*(G$3:G$67=G59)*(I$3:I$67="P"))+SUMPRODUCT((P$3:P$67&lt;&gt;"")*(G$3:G$67=G59)*(I$3:I$67="P"))+SUMPRODUCT((N$3:N$67&lt;&gt;"")*(G$3:G$67=G59)*(I$3:I$67="P"))+SUMPRODUCT((P$3:P$67="")*(O$3:O$67="")*(N$3:N$67="")*(M$3:M$67="P")*(G$3:G$67=G59)*(J$3:J$67&gt;J59)*(I$3:I$67="P"))+IF(H59="L5",SUMPRODUCT((P$3:P$67="")*(O$3:O$67="")*(N$3:N$67="")*(M$3:M$67="P")*(G$3:G$67=G59)*(J$3:J$67&lt;J59)*(H$3:H$67&lt;&gt;H59)*(I$3:I$67="P")),-1*SUMPRODUCT((P$3:P$67="")*(O$3:O$67="")*(N$3:N$67="")*(M$3:M$67="P")*(G$3:G$67=G59)*(J$3:J$67&gt;J59)*(H$3:H$67="L5")*(I$3:I$67="P")))+1,"")))))</f>
        <v/>
      </c>
      <c r="B59" s="1" t="str" cm="1">
        <f t="array" ref="B59">IF(P59&lt;&gt;"",SUMPRODUCT((P$3:P$67&lt;&gt;"")*(G$3:G$67=G59)*(J$3:J$67&gt;J59))+1,IF(O59&lt;&gt;"",SUMPRODUCT((O$3:O$67&lt;&gt;"")*(P$3:P$67="")*(G$3:G$67=G59)*(J$3:J$67&gt;J59))+SUMPRODUCT((P$3:P$67&lt;&gt;"")*(G$3:G$67=G59))+1,IF(N59&lt;&gt;"",SUMPRODUCT((N$3:N$67&lt;&gt;"")*(G$3:G$67=G59)*(J$3:J$67&gt;J59))+1,IF(M59="P",SUMPRODUCT((O$3:O$67&lt;&gt;"")*(P$3:P$67="")*(G$3:G$67=G59))+SUMPRODUCT((P$3:P$67&lt;&gt;"")*(G$3:G$67=G59))+SUMPRODUCT((N$3:N$67&lt;&gt;"")*(G$3:G$67=G59))+SUMPRODUCT((P$3:P$67="")*(O$3:O$67="")*(N$3:N$67="")*(M$3:M$67="P")*(G$3:G$67=G59)*(J$3:J$67&gt;J59))+IF(H59="L5",SUMPRODUCT((P$3:P$67="")*(O$3:O$67="")*(N$3:N$67="")*(M$3:M$67="P")*(G$3:G$67=G59)*(J$3:J$67&lt;J59)*(H$3:H$67&lt;&gt;H59)),-1*SUMPRODUCT((P$3:P$67="")*(O$3:O$67="")*(N$3:N$67="")*(M$3:M$67="P")*(G$3:G$67=G59)*(J$3:J$67&gt;J59)*(H$3:H$67="L5")))+1,""))))</f>
        <v/>
      </c>
      <c r="C59" s="35" t="s">
        <v>318</v>
      </c>
      <c r="D59" s="35" t="str">
        <f>IF(E59="","",VLOOKUP(E59,'Coaching Points'!A:B,2,0))</f>
        <v>ON</v>
      </c>
      <c r="E59" s="35" t="s">
        <v>97</v>
      </c>
      <c r="F59" s="34">
        <v>2010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13-14</v>
      </c>
      <c r="H59" s="36" t="s">
        <v>64</v>
      </c>
      <c r="I59" s="40"/>
      <c r="J59" s="4">
        <f t="shared" si="5"/>
        <v>84.69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 t="shared" si="6"/>
        <v/>
      </c>
      <c r="R59" s="4">
        <f t="shared" si="7"/>
        <v>84.69</v>
      </c>
      <c r="S59" s="4">
        <f>IF(G59="17-21",LARGE(CHOOSE({1,2,3,4,5,6},T59,V59,Y59,AA59,AC59,AF59),2),IF(R59=X59,MAX(Y59,AA59,AC59,AF59),IF(R59=AE59,MAX(AF59,T59,V59,Y59),0)))</f>
        <v>46.2</v>
      </c>
      <c r="T59" s="32">
        <v>39.29</v>
      </c>
      <c r="U59" s="37">
        <v>0</v>
      </c>
      <c r="V59" s="33">
        <v>45.4</v>
      </c>
      <c r="W59" s="37">
        <v>9.4</v>
      </c>
      <c r="X59" s="4">
        <f t="shared" si="8"/>
        <v>84.69</v>
      </c>
      <c r="Y59" s="33">
        <v>46.2</v>
      </c>
      <c r="Z59" s="37">
        <v>9.4</v>
      </c>
      <c r="AA59" s="32"/>
      <c r="AB59" s="37"/>
      <c r="AC59" s="33"/>
      <c r="AD59" s="37"/>
      <c r="AE59" s="4">
        <f t="shared" si="9"/>
        <v>0</v>
      </c>
      <c r="AF59" s="33"/>
      <c r="AG59" s="37"/>
    </row>
    <row r="60" spans="1:33" x14ac:dyDescent="0.2">
      <c r="A60" s="1" t="str" cm="1">
        <f t="array" ref="A60">IF(I60="","",IF(P60&lt;&gt;"",SUMPRODUCT((P$3:P$67&lt;&gt;"")*(G$3:G$67=G60)*(J$3:J$67&gt;J60)*(I$3:I$67="P"))+1,IF(O60&lt;&gt;"",SUMPRODUCT((O$3:O$67&lt;&gt;"")*(P$3:P$67="")*(G$3:G$67=G60)*(J$3:J$67&gt;J60)*(I$3:I$67="P"))+SUMPRODUCT((P$3:P$67&lt;&gt;"")*(G$3:G$67=G60)*(I$3:I$67="P"))+1,IF(N60&lt;&gt;"",SUMPRODUCT((N$3:N$67&lt;&gt;"")*(G$3:G$67=G60)*(J$3:J$67&gt;J60)*(I$3:I$67="P"))+1,IF(M60="P",SUMPRODUCT((O$3:O$67&lt;&gt;"")*(P$3:P$67="")*(G$3:G$67=G60)*(I$3:I$67="P"))+SUMPRODUCT((P$3:P$67&lt;&gt;"")*(G$3:G$67=G60)*(I$3:I$67="P"))+SUMPRODUCT((N$3:N$67&lt;&gt;"")*(G$3:G$67=G60)*(I$3:I$67="P"))+SUMPRODUCT((P$3:P$67="")*(O$3:O$67="")*(N$3:N$67="")*(M$3:M$67="P")*(G$3:G$67=G60)*(J$3:J$67&gt;J60)*(I$3:I$67="P"))+IF(H60="L5",SUMPRODUCT((P$3:P$67="")*(O$3:O$67="")*(N$3:N$67="")*(M$3:M$67="P")*(G$3:G$67=G60)*(J$3:J$67&lt;J60)*(H$3:H$67&lt;&gt;H60)*(I$3:I$67="P")),-1*SUMPRODUCT((P$3:P$67="")*(O$3:O$67="")*(N$3:N$67="")*(M$3:M$67="P")*(G$3:G$67=G60)*(J$3:J$67&gt;J60)*(H$3:H$67="L5")*(I$3:I$67="P")))+1,"")))))</f>
        <v/>
      </c>
      <c r="B60" s="1" t="str" cm="1">
        <f t="array" ref="B60">IF(P60&lt;&gt;"",SUMPRODUCT((P$3:P$67&lt;&gt;"")*(G$3:G$67=G60)*(J$3:J$67&gt;J60))+1,IF(O60&lt;&gt;"",SUMPRODUCT((O$3:O$67&lt;&gt;"")*(P$3:P$67="")*(G$3:G$67=G60)*(J$3:J$67&gt;J60))+SUMPRODUCT((P$3:P$67&lt;&gt;"")*(G$3:G$67=G60))+1,IF(N60&lt;&gt;"",SUMPRODUCT((N$3:N$67&lt;&gt;"")*(G$3:G$67=G60)*(J$3:J$67&gt;J60))+1,IF(M60="P",SUMPRODUCT((O$3:O$67&lt;&gt;"")*(P$3:P$67="")*(G$3:G$67=G60))+SUMPRODUCT((P$3:P$67&lt;&gt;"")*(G$3:G$67=G60))+SUMPRODUCT((N$3:N$67&lt;&gt;"")*(G$3:G$67=G60))+SUMPRODUCT((P$3:P$67="")*(O$3:O$67="")*(N$3:N$67="")*(M$3:M$67="P")*(G$3:G$67=G60)*(J$3:J$67&gt;J60))+IF(H60="L5",SUMPRODUCT((P$3:P$67="")*(O$3:O$67="")*(N$3:N$67="")*(M$3:M$67="P")*(G$3:G$67=G60)*(J$3:J$67&lt;J60)*(H$3:H$67&lt;&gt;H60)),-1*SUMPRODUCT((P$3:P$67="")*(O$3:O$67="")*(N$3:N$67="")*(M$3:M$67="P")*(G$3:G$67=G60)*(J$3:J$67&gt;J60)*(H$3:H$67="L5")))+1,""))))</f>
        <v/>
      </c>
      <c r="C60" s="35" t="s">
        <v>320</v>
      </c>
      <c r="D60" s="35" t="str">
        <f>IF(E60="","",VLOOKUP(E60,'Coaching Points'!A:B,2,0))</f>
        <v>AB</v>
      </c>
      <c r="E60" s="35" t="s">
        <v>68</v>
      </c>
      <c r="F60" s="34">
        <v>2011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6" t="s">
        <v>64</v>
      </c>
      <c r="I60" s="40"/>
      <c r="J60" s="4">
        <f t="shared" si="5"/>
        <v>83.949999999999989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 t="shared" si="6"/>
        <v/>
      </c>
      <c r="R60" s="4">
        <f t="shared" si="7"/>
        <v>83.949999999999989</v>
      </c>
      <c r="S60" s="4">
        <f>IF(G60="17-21",LARGE(CHOOSE({1,2,3,4,5,6},T60,V60,Y60,AA60,AC60,AF60),2),IF(R60=X60,MAX(Y60,AA60,AC60,AF60),IF(R60=AE60,MAX(AF60,T60,V60,Y60),0)))</f>
        <v>45.12</v>
      </c>
      <c r="T60" s="32">
        <v>38.479999999999997</v>
      </c>
      <c r="U60" s="37">
        <v>0</v>
      </c>
      <c r="V60" s="33">
        <v>45.47</v>
      </c>
      <c r="W60" s="37">
        <v>9.5</v>
      </c>
      <c r="X60" s="4">
        <f t="shared" si="8"/>
        <v>83.949999999999989</v>
      </c>
      <c r="Y60" s="33">
        <v>45.12</v>
      </c>
      <c r="Z60" s="37">
        <v>8.8000000000000007</v>
      </c>
      <c r="AA60" s="32"/>
      <c r="AB60" s="37"/>
      <c r="AC60" s="33"/>
      <c r="AD60" s="37"/>
      <c r="AE60" s="4">
        <f t="shared" si="9"/>
        <v>0</v>
      </c>
      <c r="AF60" s="33"/>
      <c r="AG60" s="37"/>
    </row>
    <row r="61" spans="1:33" x14ac:dyDescent="0.2">
      <c r="A61" s="1" t="str" cm="1">
        <f t="array" ref="A61">IF(I61="","",IF(P61&lt;&gt;"",SUMPRODUCT((P$3:P$67&lt;&gt;"")*(G$3:G$67=G61)*(J$3:J$67&gt;J61)*(I$3:I$67="P"))+1,IF(O61&lt;&gt;"",SUMPRODUCT((O$3:O$67&lt;&gt;"")*(P$3:P$67="")*(G$3:G$67=G61)*(J$3:J$67&gt;J61)*(I$3:I$67="P"))+SUMPRODUCT((P$3:P$67&lt;&gt;"")*(G$3:G$67=G61)*(I$3:I$67="P"))+1,IF(N61&lt;&gt;"",SUMPRODUCT((N$3:N$67&lt;&gt;"")*(G$3:G$67=G61)*(J$3:J$67&gt;J61)*(I$3:I$67="P"))+1,IF(M61="P",SUMPRODUCT((O$3:O$67&lt;&gt;"")*(P$3:P$67="")*(G$3:G$67=G61)*(I$3:I$67="P"))+SUMPRODUCT((P$3:P$67&lt;&gt;"")*(G$3:G$67=G61)*(I$3:I$67="P"))+SUMPRODUCT((N$3:N$67&lt;&gt;"")*(G$3:G$67=G61)*(I$3:I$67="P"))+SUMPRODUCT((P$3:P$67="")*(O$3:O$67="")*(N$3:N$67="")*(M$3:M$67="P")*(G$3:G$67=G61)*(J$3:J$67&gt;J61)*(I$3:I$67="P"))+IF(H61="L5",SUMPRODUCT((P$3:P$67="")*(O$3:O$67="")*(N$3:N$67="")*(M$3:M$67="P")*(G$3:G$67=G61)*(J$3:J$67&lt;J61)*(H$3:H$67&lt;&gt;H61)*(I$3:I$67="P")),-1*SUMPRODUCT((P$3:P$67="")*(O$3:O$67="")*(N$3:N$67="")*(M$3:M$67="P")*(G$3:G$67=G61)*(J$3:J$67&gt;J61)*(H$3:H$67="L5")*(I$3:I$67="P")))+1,"")))))</f>
        <v/>
      </c>
      <c r="B61" s="1" t="str" cm="1">
        <f t="array" ref="B61">IF(P61&lt;&gt;"",SUMPRODUCT((P$3:P$67&lt;&gt;"")*(G$3:G$67=G61)*(J$3:J$67&gt;J61))+1,IF(O61&lt;&gt;"",SUMPRODUCT((O$3:O$67&lt;&gt;"")*(P$3:P$67="")*(G$3:G$67=G61)*(J$3:J$67&gt;J61))+SUMPRODUCT((P$3:P$67&lt;&gt;"")*(G$3:G$67=G61))+1,IF(N61&lt;&gt;"",SUMPRODUCT((N$3:N$67&lt;&gt;"")*(G$3:G$67=G61)*(J$3:J$67&gt;J61))+1,IF(M61="P",SUMPRODUCT((O$3:O$67&lt;&gt;"")*(P$3:P$67="")*(G$3:G$67=G61))+SUMPRODUCT((P$3:P$67&lt;&gt;"")*(G$3:G$67=G61))+SUMPRODUCT((N$3:N$67&lt;&gt;"")*(G$3:G$67=G61))+SUMPRODUCT((P$3:P$67="")*(O$3:O$67="")*(N$3:N$67="")*(M$3:M$67="P")*(G$3:G$67=G61)*(J$3:J$67&gt;J61))+IF(H61="L5",SUMPRODUCT((P$3:P$67="")*(O$3:O$67="")*(N$3:N$67="")*(M$3:M$67="P")*(G$3:G$67=G61)*(J$3:J$67&lt;J61)*(H$3:H$67&lt;&gt;H61)),-1*SUMPRODUCT((P$3:P$67="")*(O$3:O$67="")*(N$3:N$67="")*(M$3:M$67="P")*(G$3:G$67=G61)*(J$3:J$67&gt;J61)*(H$3:H$67="L5")))+1,""))))</f>
        <v/>
      </c>
      <c r="C61" s="35" t="s">
        <v>319</v>
      </c>
      <c r="D61" s="35" t="str">
        <f>IF(E61="","",VLOOKUP(E61,'Coaching Points'!A:B,2,0))</f>
        <v>QC</v>
      </c>
      <c r="E61" s="35" t="s">
        <v>201</v>
      </c>
      <c r="F61" s="34">
        <v>2010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6" t="s">
        <v>64</v>
      </c>
      <c r="I61" s="40"/>
      <c r="J61" s="4">
        <f t="shared" si="5"/>
        <v>81.88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 t="shared" si="6"/>
        <v/>
      </c>
      <c r="R61" s="4">
        <f t="shared" si="7"/>
        <v>81.88</v>
      </c>
      <c r="S61" s="4">
        <f>IF(G61="17-21",LARGE(CHOOSE({1,2,3,4,5,6},T61,V61,Y61,AA61,AC61,AF61),2),IF(R61=X61,MAX(Y61,AA61,AC61,AF61),IF(R61=AE61,MAX(AF61,T61,V61,Y61),0)))</f>
        <v>45.68</v>
      </c>
      <c r="T61" s="32">
        <v>37.64</v>
      </c>
      <c r="U61" s="37">
        <v>0</v>
      </c>
      <c r="V61" s="33">
        <v>44.24</v>
      </c>
      <c r="W61" s="37">
        <v>8.5</v>
      </c>
      <c r="X61" s="4">
        <f t="shared" si="8"/>
        <v>81.88</v>
      </c>
      <c r="Y61" s="33">
        <v>45.68</v>
      </c>
      <c r="Z61" s="37">
        <v>8.5</v>
      </c>
      <c r="AA61" s="32"/>
      <c r="AB61" s="37"/>
      <c r="AC61" s="33"/>
      <c r="AD61" s="37"/>
      <c r="AE61" s="4">
        <f t="shared" si="9"/>
        <v>0</v>
      </c>
      <c r="AF61" s="33"/>
      <c r="AG61" s="37"/>
    </row>
    <row r="62" spans="1:33" x14ac:dyDescent="0.2">
      <c r="A62" s="1" t="str" cm="1">
        <f t="array" ref="A62">IF(I62="","",IF(P62&lt;&gt;"",SUMPRODUCT((P$3:P$67&lt;&gt;"")*(G$3:G$67=G62)*(J$3:J$67&gt;J62)*(I$3:I$67="P"))+1,IF(O62&lt;&gt;"",SUMPRODUCT((O$3:O$67&lt;&gt;"")*(P$3:P$67="")*(G$3:G$67=G62)*(J$3:J$67&gt;J62)*(I$3:I$67="P"))+SUMPRODUCT((P$3:P$67&lt;&gt;"")*(G$3:G$67=G62)*(I$3:I$67="P"))+1,IF(N62&lt;&gt;"",SUMPRODUCT((N$3:N$67&lt;&gt;"")*(G$3:G$67=G62)*(J$3:J$67&gt;J62)*(I$3:I$67="P"))+1,IF(M62="P",SUMPRODUCT((O$3:O$67&lt;&gt;"")*(P$3:P$67="")*(G$3:G$67=G62)*(I$3:I$67="P"))+SUMPRODUCT((P$3:P$67&lt;&gt;"")*(G$3:G$67=G62)*(I$3:I$67="P"))+SUMPRODUCT((N$3:N$67&lt;&gt;"")*(G$3:G$67=G62)*(I$3:I$67="P"))+SUMPRODUCT((P$3:P$67="")*(O$3:O$67="")*(N$3:N$67="")*(M$3:M$67="P")*(G$3:G$67=G62)*(J$3:J$67&gt;J62)*(I$3:I$67="P"))+IF(H62="L5",SUMPRODUCT((P$3:P$67="")*(O$3:O$67="")*(N$3:N$67="")*(M$3:M$67="P")*(G$3:G$67=G62)*(J$3:J$67&lt;J62)*(H$3:H$67&lt;&gt;H62)*(I$3:I$67="P")),-1*SUMPRODUCT((P$3:P$67="")*(O$3:O$67="")*(N$3:N$67="")*(M$3:M$67="P")*(G$3:G$67=G62)*(J$3:J$67&gt;J62)*(H$3:H$67="L5")*(I$3:I$67="P")))+1,"")))))</f>
        <v/>
      </c>
      <c r="B62" s="1" t="str" cm="1">
        <f t="array" ref="B62">IF(P62&lt;&gt;"",SUMPRODUCT((P$3:P$67&lt;&gt;"")*(G$3:G$67=G62)*(J$3:J$67&gt;J62))+1,IF(O62&lt;&gt;"",SUMPRODUCT((O$3:O$67&lt;&gt;"")*(P$3:P$67="")*(G$3:G$67=G62)*(J$3:J$67&gt;J62))+SUMPRODUCT((P$3:P$67&lt;&gt;"")*(G$3:G$67=G62))+1,IF(N62&lt;&gt;"",SUMPRODUCT((N$3:N$67&lt;&gt;"")*(G$3:G$67=G62)*(J$3:J$67&gt;J62))+1,IF(M62="P",SUMPRODUCT((O$3:O$67&lt;&gt;"")*(P$3:P$67="")*(G$3:G$67=G62))+SUMPRODUCT((P$3:P$67&lt;&gt;"")*(G$3:G$67=G62))+SUMPRODUCT((N$3:N$67&lt;&gt;"")*(G$3:G$67=G62))+SUMPRODUCT((P$3:P$67="")*(O$3:O$67="")*(N$3:N$67="")*(M$3:M$67="P")*(G$3:G$67=G62)*(J$3:J$67&gt;J62))+IF(H62="L5",SUMPRODUCT((P$3:P$67="")*(O$3:O$67="")*(N$3:N$67="")*(M$3:M$67="P")*(G$3:G$67=G62)*(J$3:J$67&lt;J62)*(H$3:H$67&lt;&gt;H62)),-1*SUMPRODUCT((P$3:P$67="")*(O$3:O$67="")*(N$3:N$67="")*(M$3:M$67="P")*(G$3:G$67=G62)*(J$3:J$67&gt;J62)*(H$3:H$67="L5")))+1,""))))</f>
        <v/>
      </c>
      <c r="C62" s="35" t="s">
        <v>221</v>
      </c>
      <c r="D62" s="35" t="str">
        <f>IF(E62="","",VLOOKUP(E62,'Coaching Points'!A:B,2,0))</f>
        <v>NS</v>
      </c>
      <c r="E62" s="35" t="s">
        <v>112</v>
      </c>
      <c r="F62" s="34">
        <v>2010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6" t="s">
        <v>64</v>
      </c>
      <c r="I62" s="40"/>
      <c r="J62" s="4">
        <f t="shared" si="5"/>
        <v>81.78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>P</v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 t="shared" si="6"/>
        <v/>
      </c>
      <c r="R62" s="4">
        <f t="shared" si="7"/>
        <v>81.78</v>
      </c>
      <c r="S62" s="4">
        <f>IF(G62="17-21",LARGE(CHOOSE({1,2,3,4,5,6},T62,V62,Y62,AA62,AC62,AF62),2),IF(R62=X62,MAX(Y62,AA62,AC62,AF62),IF(R62=AE62,MAX(AF62,T62,V62,Y62),0)))</f>
        <v>45.91</v>
      </c>
      <c r="T62" s="32">
        <v>37.89</v>
      </c>
      <c r="U62" s="37">
        <v>0</v>
      </c>
      <c r="V62" s="33">
        <v>43.89</v>
      </c>
      <c r="W62" s="37">
        <v>9.6999999999999993</v>
      </c>
      <c r="X62" s="4">
        <f t="shared" si="8"/>
        <v>81.78</v>
      </c>
      <c r="Y62" s="33">
        <v>45.91</v>
      </c>
      <c r="Z62" s="37">
        <v>9.9</v>
      </c>
      <c r="AA62" s="32"/>
      <c r="AB62" s="37"/>
      <c r="AC62" s="33"/>
      <c r="AD62" s="37"/>
      <c r="AE62" s="4">
        <f t="shared" si="9"/>
        <v>0</v>
      </c>
      <c r="AF62" s="33"/>
      <c r="AG62" s="37"/>
    </row>
    <row r="63" spans="1:33" x14ac:dyDescent="0.2">
      <c r="A63" s="1" t="str" cm="1">
        <f t="array" ref="A63">IF(I63="","",IF(P63&lt;&gt;"",SUMPRODUCT((P$3:P$67&lt;&gt;"")*(G$3:G$67=G63)*(J$3:J$67&gt;J63)*(I$3:I$67="P"))+1,IF(O63&lt;&gt;"",SUMPRODUCT((O$3:O$67&lt;&gt;"")*(P$3:P$67="")*(G$3:G$67=G63)*(J$3:J$67&gt;J63)*(I$3:I$67="P"))+SUMPRODUCT((P$3:P$67&lt;&gt;"")*(G$3:G$67=G63)*(I$3:I$67="P"))+1,IF(N63&lt;&gt;"",SUMPRODUCT((N$3:N$67&lt;&gt;"")*(G$3:G$67=G63)*(J$3:J$67&gt;J63)*(I$3:I$67="P"))+1,IF(M63="P",SUMPRODUCT((O$3:O$67&lt;&gt;"")*(P$3:P$67="")*(G$3:G$67=G63)*(I$3:I$67="P"))+SUMPRODUCT((P$3:P$67&lt;&gt;"")*(G$3:G$67=G63)*(I$3:I$67="P"))+SUMPRODUCT((N$3:N$67&lt;&gt;"")*(G$3:G$67=G63)*(I$3:I$67="P"))+SUMPRODUCT((P$3:P$67="")*(O$3:O$67="")*(N$3:N$67="")*(M$3:M$67="P")*(G$3:G$67=G63)*(J$3:J$67&gt;J63)*(I$3:I$67="P"))+IF(H63="L5",SUMPRODUCT((P$3:P$67="")*(O$3:O$67="")*(N$3:N$67="")*(M$3:M$67="P")*(G$3:G$67=G63)*(J$3:J$67&lt;J63)*(H$3:H$67&lt;&gt;H63)*(I$3:I$67="P")),-1*SUMPRODUCT((P$3:P$67="")*(O$3:O$67="")*(N$3:N$67="")*(M$3:M$67="P")*(G$3:G$67=G63)*(J$3:J$67&gt;J63)*(H$3:H$67="L5")*(I$3:I$67="P")))+1,"")))))</f>
        <v/>
      </c>
      <c r="B63" s="1" t="str" cm="1">
        <f t="array" ref="B63">IF(P63&lt;&gt;"",SUMPRODUCT((P$3:P$67&lt;&gt;"")*(G$3:G$67=G63)*(J$3:J$67&gt;J63))+1,IF(O63&lt;&gt;"",SUMPRODUCT((O$3:O$67&lt;&gt;"")*(P$3:P$67="")*(G$3:G$67=G63)*(J$3:J$67&gt;J63))+SUMPRODUCT((P$3:P$67&lt;&gt;"")*(G$3:G$67=G63))+1,IF(N63&lt;&gt;"",SUMPRODUCT((N$3:N$67&lt;&gt;"")*(G$3:G$67=G63)*(J$3:J$67&gt;J63))+1,IF(M63="P",SUMPRODUCT((O$3:O$67&lt;&gt;"")*(P$3:P$67="")*(G$3:G$67=G63))+SUMPRODUCT((P$3:P$67&lt;&gt;"")*(G$3:G$67=G63))+SUMPRODUCT((N$3:N$67&lt;&gt;"")*(G$3:G$67=G63))+SUMPRODUCT((P$3:P$67="")*(O$3:O$67="")*(N$3:N$67="")*(M$3:M$67="P")*(G$3:G$67=G63)*(J$3:J$67&gt;J63))+IF(H63="L5",SUMPRODUCT((P$3:P$67="")*(O$3:O$67="")*(N$3:N$67="")*(M$3:M$67="P")*(G$3:G$67=G63)*(J$3:J$67&lt;J63)*(H$3:H$67&lt;&gt;H63)),-1*SUMPRODUCT((P$3:P$67="")*(O$3:O$67="")*(N$3:N$67="")*(M$3:M$67="P")*(G$3:G$67=G63)*(J$3:J$67&gt;J63)*(H$3:H$67="L5")))+1,""))))</f>
        <v/>
      </c>
      <c r="C63" s="35" t="s">
        <v>321</v>
      </c>
      <c r="D63" s="35" t="str">
        <f>IF(E63="","",VLOOKUP(E63,'Coaching Points'!A:B,2,0))</f>
        <v>NS</v>
      </c>
      <c r="E63" s="35" t="s">
        <v>112</v>
      </c>
      <c r="F63" s="34">
        <v>2010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6" t="s">
        <v>64</v>
      </c>
      <c r="I63" s="40"/>
      <c r="J63" s="4">
        <f t="shared" si="5"/>
        <v>78.14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 t="shared" si="6"/>
        <v/>
      </c>
      <c r="R63" s="4">
        <f t="shared" si="7"/>
        <v>78.14</v>
      </c>
      <c r="S63" s="4">
        <f>IF(G63="17-21",LARGE(CHOOSE({1,2,3,4,5,6},T63,V63,Y63,AA63,AC63,AF63),2),IF(R63=X63,MAX(Y63,AA63,AC63,AF63),IF(R63=AE63,MAX(AF63,T63,V63,Y63),0)))</f>
        <v>41.91</v>
      </c>
      <c r="T63" s="32">
        <v>35.82</v>
      </c>
      <c r="U63" s="37">
        <v>0</v>
      </c>
      <c r="V63" s="33">
        <v>42.32</v>
      </c>
      <c r="W63" s="37">
        <v>8.1999999999999993</v>
      </c>
      <c r="X63" s="4">
        <f t="shared" si="8"/>
        <v>78.14</v>
      </c>
      <c r="Y63" s="33">
        <v>41.91</v>
      </c>
      <c r="Z63" s="37">
        <v>7.6</v>
      </c>
      <c r="AA63" s="32"/>
      <c r="AB63" s="37"/>
      <c r="AC63" s="33"/>
      <c r="AD63" s="37"/>
      <c r="AE63" s="4">
        <f t="shared" si="9"/>
        <v>0</v>
      </c>
      <c r="AF63" s="33"/>
      <c r="AG63" s="37"/>
    </row>
    <row r="64" spans="1:33" x14ac:dyDescent="0.2">
      <c r="A64" s="1" t="str" cm="1">
        <f t="array" ref="A64">IF(I64="","",IF(P64&lt;&gt;"",SUMPRODUCT((P$3:P$67&lt;&gt;"")*(G$3:G$67=G64)*(J$3:J$67&gt;J64)*(I$3:I$67="P"))+1,IF(O64&lt;&gt;"",SUMPRODUCT((O$3:O$67&lt;&gt;"")*(P$3:P$67="")*(G$3:G$67=G64)*(J$3:J$67&gt;J64)*(I$3:I$67="P"))+SUMPRODUCT((P$3:P$67&lt;&gt;"")*(G$3:G$67=G64)*(I$3:I$67="P"))+1,IF(N64&lt;&gt;"",SUMPRODUCT((N$3:N$67&lt;&gt;"")*(G$3:G$67=G64)*(J$3:J$67&gt;J64)*(I$3:I$67="P"))+1,IF(M64="P",SUMPRODUCT((O$3:O$67&lt;&gt;"")*(P$3:P$67="")*(G$3:G$67=G64)*(I$3:I$67="P"))+SUMPRODUCT((P$3:P$67&lt;&gt;"")*(G$3:G$67=G64)*(I$3:I$67="P"))+SUMPRODUCT((N$3:N$67&lt;&gt;"")*(G$3:G$67=G64)*(I$3:I$67="P"))+SUMPRODUCT((P$3:P$67="")*(O$3:O$67="")*(N$3:N$67="")*(M$3:M$67="P")*(G$3:G$67=G64)*(J$3:J$67&gt;J64)*(I$3:I$67="P"))+IF(H64="L5",SUMPRODUCT((P$3:P$67="")*(O$3:O$67="")*(N$3:N$67="")*(M$3:M$67="P")*(G$3:G$67=G64)*(J$3:J$67&lt;J64)*(H$3:H$67&lt;&gt;H64)*(I$3:I$67="P")),-1*SUMPRODUCT((P$3:P$67="")*(O$3:O$67="")*(N$3:N$67="")*(M$3:M$67="P")*(G$3:G$67=G64)*(J$3:J$67&gt;J64)*(H$3:H$67="L5")*(I$3:I$67="P")))+1,"")))))</f>
        <v/>
      </c>
      <c r="B64" s="1" t="str" cm="1">
        <f t="array" ref="B64">IF(P64&lt;&gt;"",SUMPRODUCT((P$3:P$67&lt;&gt;"")*(G$3:G$67=G64)*(J$3:J$67&gt;J64))+1,IF(O64&lt;&gt;"",SUMPRODUCT((O$3:O$67&lt;&gt;"")*(P$3:P$67="")*(G$3:G$67=G64)*(J$3:J$67&gt;J64))+SUMPRODUCT((P$3:P$67&lt;&gt;"")*(G$3:G$67=G64))+1,IF(N64&lt;&gt;"",SUMPRODUCT((N$3:N$67&lt;&gt;"")*(G$3:G$67=G64)*(J$3:J$67&gt;J64))+1,IF(M64="P",SUMPRODUCT((O$3:O$67&lt;&gt;"")*(P$3:P$67="")*(G$3:G$67=G64))+SUMPRODUCT((P$3:P$67&lt;&gt;"")*(G$3:G$67=G64))+SUMPRODUCT((N$3:N$67&lt;&gt;"")*(G$3:G$67=G64))+SUMPRODUCT((P$3:P$67="")*(O$3:O$67="")*(N$3:N$67="")*(M$3:M$67="P")*(G$3:G$67=G64)*(J$3:J$67&gt;J64))+IF(H64="L5",SUMPRODUCT((P$3:P$67="")*(O$3:O$67="")*(N$3:N$67="")*(M$3:M$67="P")*(G$3:G$67=G64)*(J$3:J$67&lt;J64)*(H$3:H$67&lt;&gt;H64)),-1*SUMPRODUCT((P$3:P$67="")*(O$3:O$67="")*(N$3:N$67="")*(M$3:M$67="P")*(G$3:G$67=G64)*(J$3:J$67&gt;J64)*(H$3:H$67="L5")))+1,""))))</f>
        <v/>
      </c>
      <c r="C64" s="35" t="s">
        <v>222</v>
      </c>
      <c r="D64" s="35" t="str">
        <f>IF(E64="","",VLOOKUP(E64,'Coaching Points'!A:B,2,0))</f>
        <v>BC</v>
      </c>
      <c r="E64" s="35" t="s">
        <v>60</v>
      </c>
      <c r="F64" s="34">
        <v>2011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64</v>
      </c>
      <c r="I64" s="40"/>
      <c r="J64" s="4">
        <f t="shared" si="5"/>
        <v>77.66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1" t="str">
        <f t="shared" si="6"/>
        <v/>
      </c>
      <c r="R64" s="4">
        <f t="shared" si="7"/>
        <v>77.66</v>
      </c>
      <c r="S64" s="4">
        <f>IF(G64="17-21",LARGE(CHOOSE({1,2,3,4,5,6},T64,V64,Y64,AA64,AC64,AF64),2),IF(R64=X64,MAX(Y64,AA64,AC64,AF64),IF(R64=AE64,MAX(AF64,T64,V64,Y64),0)))</f>
        <v>21.95</v>
      </c>
      <c r="T64" s="32">
        <v>36.770000000000003</v>
      </c>
      <c r="U64" s="37">
        <v>0</v>
      </c>
      <c r="V64" s="33">
        <v>40.89</v>
      </c>
      <c r="W64" s="37">
        <v>9.1</v>
      </c>
      <c r="X64" s="4">
        <f t="shared" si="8"/>
        <v>77.66</v>
      </c>
      <c r="Y64" s="33">
        <v>21.95</v>
      </c>
      <c r="Z64" s="37">
        <v>5.2</v>
      </c>
      <c r="AA64" s="32"/>
      <c r="AB64" s="37"/>
      <c r="AC64" s="33"/>
      <c r="AD64" s="37"/>
      <c r="AE64" s="4">
        <f t="shared" si="9"/>
        <v>0</v>
      </c>
      <c r="AF64" s="33"/>
      <c r="AG64" s="37"/>
    </row>
    <row r="65" spans="1:33" x14ac:dyDescent="0.2">
      <c r="A65" s="1" t="str" cm="1">
        <f t="array" ref="A65">IF(I65="","",IF(P65&lt;&gt;"",SUMPRODUCT((P$3:P$67&lt;&gt;"")*(G$3:G$67=G65)*(J$3:J$67&gt;J65)*(I$3:I$67="P"))+1,IF(O65&lt;&gt;"",SUMPRODUCT((O$3:O$67&lt;&gt;"")*(P$3:P$67="")*(G$3:G$67=G65)*(J$3:J$67&gt;J65)*(I$3:I$67="P"))+SUMPRODUCT((P$3:P$67&lt;&gt;"")*(G$3:G$67=G65)*(I$3:I$67="P"))+1,IF(N65&lt;&gt;"",SUMPRODUCT((N$3:N$67&lt;&gt;"")*(G$3:G$67=G65)*(J$3:J$67&gt;J65)*(I$3:I$67="P"))+1,IF(M65="P",SUMPRODUCT((O$3:O$67&lt;&gt;"")*(P$3:P$67="")*(G$3:G$67=G65)*(I$3:I$67="P"))+SUMPRODUCT((P$3:P$67&lt;&gt;"")*(G$3:G$67=G65)*(I$3:I$67="P"))+SUMPRODUCT((N$3:N$67&lt;&gt;"")*(G$3:G$67=G65)*(I$3:I$67="P"))+SUMPRODUCT((P$3:P$67="")*(O$3:O$67="")*(N$3:N$67="")*(M$3:M$67="P")*(G$3:G$67=G65)*(J$3:J$67&gt;J65)*(I$3:I$67="P"))+IF(H65="L5",SUMPRODUCT((P$3:P$67="")*(O$3:O$67="")*(N$3:N$67="")*(M$3:M$67="P")*(G$3:G$67=G65)*(J$3:J$67&lt;J65)*(H$3:H$67&lt;&gt;H65)*(I$3:I$67="P")),-1*SUMPRODUCT((P$3:P$67="")*(O$3:O$67="")*(N$3:N$67="")*(M$3:M$67="P")*(G$3:G$67=G65)*(J$3:J$67&gt;J65)*(H$3:H$67="L5")*(I$3:I$67="P")))+1,"")))))</f>
        <v/>
      </c>
      <c r="B65" s="1" t="str" cm="1">
        <f t="array" ref="B65">IF(P65&lt;&gt;"",SUMPRODUCT((P$3:P$67&lt;&gt;"")*(G$3:G$67=G65)*(J$3:J$67&gt;J65))+1,IF(O65&lt;&gt;"",SUMPRODUCT((O$3:O$67&lt;&gt;"")*(P$3:P$67="")*(G$3:G$67=G65)*(J$3:J$67&gt;J65))+SUMPRODUCT((P$3:P$67&lt;&gt;"")*(G$3:G$67=G65))+1,IF(N65&lt;&gt;"",SUMPRODUCT((N$3:N$67&lt;&gt;"")*(G$3:G$67=G65)*(J$3:J$67&gt;J65))+1,IF(M65="P",SUMPRODUCT((O$3:O$67&lt;&gt;"")*(P$3:P$67="")*(G$3:G$67=G65))+SUMPRODUCT((P$3:P$67&lt;&gt;"")*(G$3:G$67=G65))+SUMPRODUCT((N$3:N$67&lt;&gt;"")*(G$3:G$67=G65))+SUMPRODUCT((P$3:P$67="")*(O$3:O$67="")*(N$3:N$67="")*(M$3:M$67="P")*(G$3:G$67=G65)*(J$3:J$67&gt;J65))+IF(H65="L5",SUMPRODUCT((P$3:P$67="")*(O$3:O$67="")*(N$3:N$67="")*(M$3:M$67="P")*(G$3:G$67=G65)*(J$3:J$67&lt;J65)*(H$3:H$67&lt;&gt;H65)),-1*SUMPRODUCT((P$3:P$67="")*(O$3:O$67="")*(N$3:N$67="")*(M$3:M$67="P")*(G$3:G$67=G65)*(J$3:J$67&gt;J65)*(H$3:H$67="L5")))+1,""))))</f>
        <v/>
      </c>
      <c r="C65" s="35" t="s">
        <v>323</v>
      </c>
      <c r="D65" s="35" t="str">
        <f>IF(E65="","",VLOOKUP(E65,'Coaching Points'!A:B,2,0))</f>
        <v>BC</v>
      </c>
      <c r="E65" s="35" t="s">
        <v>44</v>
      </c>
      <c r="F65" s="34">
        <v>2010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64</v>
      </c>
      <c r="I65" s="40"/>
      <c r="J65" s="4">
        <f t="shared" si="5"/>
        <v>47.629999999999995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 t="shared" si="6"/>
        <v/>
      </c>
      <c r="R65" s="4">
        <f t="shared" si="7"/>
        <v>47.629999999999995</v>
      </c>
      <c r="S65" s="4">
        <f>IF(G65="17-21",LARGE(CHOOSE({1,2,3,4,5,6},T65,V65,Y65,AA65,AC65,AF65),2),IF(R65=X65,MAX(Y65,AA65,AC65,AF65),IF(R65=AE65,MAX(AF65,T65,V65,Y65),0)))</f>
        <v>0</v>
      </c>
      <c r="T65" s="32">
        <v>34.93</v>
      </c>
      <c r="U65" s="37">
        <v>0</v>
      </c>
      <c r="V65" s="33">
        <v>12.7</v>
      </c>
      <c r="W65" s="37">
        <v>2.9</v>
      </c>
      <c r="X65" s="4">
        <f t="shared" si="8"/>
        <v>47.629999999999995</v>
      </c>
      <c r="Y65" s="33"/>
      <c r="Z65" s="37"/>
      <c r="AA65" s="32"/>
      <c r="AB65" s="37"/>
      <c r="AC65" s="33"/>
      <c r="AD65" s="37"/>
      <c r="AE65" s="4">
        <f t="shared" si="9"/>
        <v>0</v>
      </c>
      <c r="AF65" s="33"/>
      <c r="AG65" s="37"/>
    </row>
    <row r="66" spans="1:33" x14ac:dyDescent="0.2">
      <c r="A66" s="1" t="str" cm="1">
        <f t="array" ref="A66">IF(I66="","",IF(P66&lt;&gt;"",SUMPRODUCT((P$3:P$67&lt;&gt;"")*(G$3:G$67=G66)*(J$3:J$67&gt;J66)*(I$3:I$67="P"))+1,IF(O66&lt;&gt;"",SUMPRODUCT((O$3:O$67&lt;&gt;"")*(P$3:P$67="")*(G$3:G$67=G66)*(J$3:J$67&gt;J66)*(I$3:I$67="P"))+SUMPRODUCT((P$3:P$67&lt;&gt;"")*(G$3:G$67=G66)*(I$3:I$67="P"))+1,IF(N66&lt;&gt;"",SUMPRODUCT((N$3:N$67&lt;&gt;"")*(G$3:G$67=G66)*(J$3:J$67&gt;J66)*(I$3:I$67="P"))+1,IF(M66="P",SUMPRODUCT((O$3:O$67&lt;&gt;"")*(P$3:P$67="")*(G$3:G$67=G66)*(I$3:I$67="P"))+SUMPRODUCT((P$3:P$67&lt;&gt;"")*(G$3:G$67=G66)*(I$3:I$67="P"))+SUMPRODUCT((N$3:N$67&lt;&gt;"")*(G$3:G$67=G66)*(I$3:I$67="P"))+SUMPRODUCT((P$3:P$67="")*(O$3:O$67="")*(N$3:N$67="")*(M$3:M$67="P")*(G$3:G$67=G66)*(J$3:J$67&gt;J66)*(I$3:I$67="P"))+IF(H66="L5",SUMPRODUCT((P$3:P$67="")*(O$3:O$67="")*(N$3:N$67="")*(M$3:M$67="P")*(G$3:G$67=G66)*(J$3:J$67&lt;J66)*(H$3:H$67&lt;&gt;H66)*(I$3:I$67="P")),-1*SUMPRODUCT((P$3:P$67="")*(O$3:O$67="")*(N$3:N$67="")*(M$3:M$67="P")*(G$3:G$67=G66)*(J$3:J$67&gt;J66)*(H$3:H$67="L5")*(I$3:I$67="P")))+1,"")))))</f>
        <v/>
      </c>
      <c r="B66" s="1" t="str" cm="1">
        <f t="array" ref="B66">IF(P66&lt;&gt;"",SUMPRODUCT((P$3:P$67&lt;&gt;"")*(G$3:G$67=G66)*(J$3:J$67&gt;J66))+1,IF(O66&lt;&gt;"",SUMPRODUCT((O$3:O$67&lt;&gt;"")*(P$3:P$67="")*(G$3:G$67=G66)*(J$3:J$67&gt;J66))+SUMPRODUCT((P$3:P$67&lt;&gt;"")*(G$3:G$67=G66))+1,IF(N66&lt;&gt;"",SUMPRODUCT((N$3:N$67&lt;&gt;"")*(G$3:G$67=G66)*(J$3:J$67&gt;J66))+1,IF(M66="P",SUMPRODUCT((O$3:O$67&lt;&gt;"")*(P$3:P$67="")*(G$3:G$67=G66))+SUMPRODUCT((P$3:P$67&lt;&gt;"")*(G$3:G$67=G66))+SUMPRODUCT((N$3:N$67&lt;&gt;"")*(G$3:G$67=G66))+SUMPRODUCT((P$3:P$67="")*(O$3:O$67="")*(N$3:N$67="")*(M$3:M$67="P")*(G$3:G$67=G66)*(J$3:J$67&gt;J66))+IF(H66="L5",SUMPRODUCT((P$3:P$67="")*(O$3:O$67="")*(N$3:N$67="")*(M$3:M$67="P")*(G$3:G$67=G66)*(J$3:J$67&lt;J66)*(H$3:H$67&lt;&gt;H66)),-1*SUMPRODUCT((P$3:P$67="")*(O$3:O$67="")*(N$3:N$67="")*(M$3:M$67="P")*(G$3:G$67=G66)*(J$3:J$67&gt;J66)*(H$3:H$67="L5")))+1,""))))</f>
        <v/>
      </c>
      <c r="C66" s="35" t="s">
        <v>299</v>
      </c>
      <c r="D66" s="35" t="str">
        <f>IF(E66="","",VLOOKUP(E66,'Coaching Points'!A:B,2,0))</f>
        <v>BC</v>
      </c>
      <c r="E66" s="35" t="s">
        <v>60</v>
      </c>
      <c r="F66" s="34">
        <v>2012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11-12</v>
      </c>
      <c r="H66" s="36" t="s">
        <v>64</v>
      </c>
      <c r="I66" s="40"/>
      <c r="J66" s="4">
        <f t="shared" si="5"/>
        <v>86.63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 t="shared" si="6"/>
        <v/>
      </c>
      <c r="R66" s="4">
        <f t="shared" si="7"/>
        <v>86.63</v>
      </c>
      <c r="S66" s="4">
        <f>IF(G66="17-21",LARGE(CHOOSE({1,2,3,4,5,6},T66,V66,Y66,AA66,AC66,AF66),2),IF(R66=X66,MAX(Y66,AA66,AC66,AF66),IF(R66=AE66,MAX(AF66,T66,V66,Y66),0)))</f>
        <v>24.15</v>
      </c>
      <c r="T66" s="32">
        <v>40.01</v>
      </c>
      <c r="U66" s="37">
        <v>0</v>
      </c>
      <c r="V66" s="33">
        <v>46.62</v>
      </c>
      <c r="W66" s="37">
        <v>9</v>
      </c>
      <c r="X66" s="4">
        <f t="shared" si="8"/>
        <v>86.63</v>
      </c>
      <c r="Y66" s="33">
        <v>24.15</v>
      </c>
      <c r="Z66" s="37">
        <v>5.5</v>
      </c>
      <c r="AA66" s="32"/>
      <c r="AB66" s="37"/>
      <c r="AC66" s="33"/>
      <c r="AD66" s="37"/>
      <c r="AE66" s="4">
        <f t="shared" si="9"/>
        <v>0</v>
      </c>
      <c r="AF66" s="33"/>
      <c r="AG66" s="37"/>
    </row>
    <row r="67" spans="1:33" x14ac:dyDescent="0.2">
      <c r="A67" s="1"/>
      <c r="B67" s="1"/>
      <c r="G67" s="1"/>
      <c r="H67" s="36"/>
      <c r="I67" s="40"/>
      <c r="J67" s="4"/>
      <c r="K67" s="3"/>
      <c r="L67" s="3"/>
      <c r="R67" s="4"/>
      <c r="S67" s="4"/>
      <c r="T67" s="32"/>
      <c r="U67" s="37"/>
      <c r="V67" s="33"/>
      <c r="W67" s="37"/>
      <c r="X67" s="4"/>
      <c r="Y67" s="33"/>
      <c r="Z67" s="37"/>
      <c r="AA67" s="32"/>
      <c r="AB67" s="37"/>
      <c r="AC67" s="33"/>
      <c r="AD67" s="37"/>
      <c r="AE67" s="4"/>
      <c r="AF67" s="33"/>
      <c r="AG67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66">
      <sortCondition descending="1" ref="G1:G67"/>
    </sortState>
  </autoFilter>
  <mergeCells count="21">
    <mergeCell ref="C1:C2"/>
    <mergeCell ref="D1:D2"/>
    <mergeCell ref="E1:E2"/>
    <mergeCell ref="F1:F2"/>
    <mergeCell ref="H1:H2"/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</mergeCells>
  <phoneticPr fontId="13" type="noConversion"/>
  <conditionalFormatting sqref="A1:XFD1 A2:Q2 S2:XFD2 A3:XFD1048576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H136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hidden="1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7.5" bestFit="1" customWidth="1"/>
    <col min="25" max="25" width="6.6640625" style="35" bestFit="1" customWidth="1"/>
    <col min="26" max="26" width="11" style="35" bestFit="1" customWidth="1"/>
    <col min="27" max="27" width="10.83203125" style="34" hidden="1" customWidth="1"/>
    <col min="28" max="28" width="13.6640625" style="35" hidden="1" customWidth="1"/>
    <col min="29" max="29" width="11" style="35" hidden="1" customWidth="1"/>
    <col min="30" max="30" width="14.1640625" style="35" hidden="1" customWidth="1"/>
    <col min="31" max="31" width="7.6640625" hidden="1" customWidth="1"/>
    <col min="32" max="32" width="6.6640625" style="35" hidden="1" customWidth="1"/>
    <col min="33" max="33" width="9" style="35" hidden="1" customWidth="1"/>
    <col min="34" max="34" width="11" style="61"/>
  </cols>
  <sheetData>
    <row r="1" spans="1:34" s="6" customFormat="1" ht="16" customHeight="1" x14ac:dyDescent="0.2">
      <c r="A1" s="66" t="s">
        <v>162</v>
      </c>
      <c r="B1" s="66" t="s">
        <v>161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160</v>
      </c>
      <c r="R1" s="66" t="s">
        <v>241</v>
      </c>
      <c r="S1" s="68" t="s">
        <v>240</v>
      </c>
      <c r="T1" s="70" t="s">
        <v>43</v>
      </c>
      <c r="U1" s="70"/>
      <c r="V1" s="70"/>
      <c r="W1" s="70"/>
      <c r="X1" s="70"/>
      <c r="Y1" s="70"/>
      <c r="Z1" s="70"/>
      <c r="AA1" s="70" t="s">
        <v>42</v>
      </c>
      <c r="AB1" s="70"/>
      <c r="AC1" s="70"/>
      <c r="AD1" s="70"/>
      <c r="AE1" s="70"/>
      <c r="AF1" s="70"/>
      <c r="AG1" s="70"/>
      <c r="AH1" s="60"/>
    </row>
    <row r="2" spans="1:34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9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$82&lt;&gt;"")*(G$3:G$82=G3)*(J$3:J$82&gt;J3)*(I$3:I$82="P"))+1,IF(O3&lt;&gt;"",SUMPRODUCT((O$3:O$82&lt;&gt;"")*(P$3:P$82="")*(G$3:G$82=G3)*(J$3:J$82&gt;J3)*(I$3:I$82="P"))+SUMPRODUCT((P$3:P$82&lt;&gt;"")*(G$3:G$82=G3)*(I$3:I$82="P"))+1,IF(N3&lt;&gt;"",SUMPRODUCT((N$3:N$82&lt;&gt;"")*(G$3:G$82=G3)*(J$3:J$82&gt;J3)*(I$3:I$82="P"))+1,IF(M3="P",SUMPRODUCT((O$3:O$82&lt;&gt;"")*(P$3:P$82="")*(G$3:G$82=G3)*(I$3:I$82="P"))+SUMPRODUCT((P$3:P$82&lt;&gt;"")*(G$3:G$82=G3)*(I$3:I$82="P"))+SUMPRODUCT((N$3:N$82&lt;&gt;"")*(G$3:G$82=G3)*(I$3:I$82="P"))+SUMPRODUCT((P$3:P$82="")*(O$3:O$82="")*(N$3:N$82="")*(M$3:M$82="P")*(G$3:G$82=G3)*(J$3:J$82&gt;J3)*(I$3:I$82="P"))+IF(H3="L5",SUMPRODUCT((P$3:P$82="")*(O$3:O$82="")*(N$3:N$82="")*(M$3:M$82="P")*(G$3:G$82=G3)*(J$3:J$82&lt;J3)*(H$3:H$82&lt;&gt;H3)*(I$3:I$82="P")),-1*SUMPRODUCT((P$3:P$82="")*(O$3:O$82="")*(N$3:N$82="")*(M$3:M$82="P")*(G$3:G$82=G3)*(J$3:J$82&gt;J3)*(H$3:H$82="L5")*(I$3:I$82="P")))+1,"")))))</f>
        <v/>
      </c>
      <c r="B3" s="1" cm="1">
        <f t="array" ref="B3">IF(P3&lt;&gt;"",SUMPRODUCT((P$3:P$82&lt;&gt;"")*(G$3:G$82=G3)*(J$3:J$82&gt;J3))+1,IF(O3&lt;&gt;"",SUMPRODUCT((O$3:O$82&lt;&gt;"")*(P$3:P$82="")*(G$3:G$82=G3)*(J$3:J$82&gt;J3))+SUMPRODUCT((P$3:P$82&lt;&gt;"")*(G$3:G$82=G3))+1,IF(N3&lt;&gt;"",SUMPRODUCT((N$3:N$82&lt;&gt;"")*(G$3:G$82=G3)*(J$3:J$82&gt;J3))+1,IF(M3="P",SUMPRODUCT((O$3:O$82&lt;&gt;"")*(P$3:P$82="")*(G$3:G$82=G3))+SUMPRODUCT((P$3:P$82&lt;&gt;"")*(G$3:G$82=G3))+SUMPRODUCT((N$3:N$82&lt;&gt;"")*(G$3:G$82=G3))+SUMPRODUCT((P$3:P$82="")*(O$3:O$82="")*(N$3:N$82="")*(M$3:M$82="P")*(G$3:G$82=G3)*(J$3:J$82&gt;J3))+IF(H3="L5",SUMPRODUCT((P$3:P$82="")*(O$3:O$82="")*(N$3:N$82="")*(M$3:M$82="P")*(G$3:G$82=G3)*(J$3:J$82&lt;J3)*(H$3:H$82&lt;&gt;H3)),-1*SUMPRODUCT((P$3:P$82="")*(O$3:O$82="")*(N$3:N$82="")*(M$3:M$82="P")*(G$3:G$82=G3)*(J$3:J$82&gt;J3)*(H$3:H$82="L5")))+1,""))))</f>
        <v>1</v>
      </c>
      <c r="C3" s="35" t="s">
        <v>126</v>
      </c>
      <c r="D3" s="35" t="str">
        <f>IF(E3="","",VLOOKUP(E3,'Coaching Points'!A:B,2,0))</f>
        <v>ON</v>
      </c>
      <c r="E3" s="35" t="s">
        <v>97</v>
      </c>
      <c r="F3" s="34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72</v>
      </c>
      <c r="I3" s="40"/>
      <c r="J3" s="4">
        <f t="shared" ref="J3:J34" si="0">R3+IF(OR(H3="Junior",H3="Senior"),0.0002,IF(OR(H3="L7",H3="L6"),0.0001,0))+IF(G3="17-21",MAX(AA3,AC3,AF3),AE3)*0.0000001</f>
        <v>51.830199999999998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P3" s="36">
        <v>5</v>
      </c>
      <c r="Q3" s="1" t="str">
        <f t="shared" ref="Q3:Q34" si="1">IF(A3&lt;5,IF(_xlfn.MAXIFS(A:A,G:G,G3)&gt;3,5-A3,_xlfn.MAXIFS(A:A,G:G,G3)+1-A3),"")</f>
        <v/>
      </c>
      <c r="R3" s="4">
        <f t="shared" ref="R3:R34" si="2">IF(G3="17-21",MAX(T3,V3,Y3,AA3,AC3,AF3),MAX(X3,AE3))</f>
        <v>51.83</v>
      </c>
      <c r="S3" s="4">
        <f>IF(G3="17-21",LARGE(CHOOSE({1,2,3,4,5,6},T3,V3,Y3,AA3,AC3,AF3),2),IF(R3=X3,MAX(Y3,AA3,AC3,AF3),IF(R3=AE3,MAX(AF3,T3,V3,Y3),0)))</f>
        <v>46.27</v>
      </c>
      <c r="T3" s="32">
        <v>15.84</v>
      </c>
      <c r="U3" s="37">
        <v>4.7</v>
      </c>
      <c r="V3" s="33">
        <v>46.27</v>
      </c>
      <c r="W3" s="37">
        <v>12.8</v>
      </c>
      <c r="X3" s="4">
        <f t="shared" ref="X3:X34" si="3">IF(H3="Senior",MAX(T3,V3),T3+V3)</f>
        <v>46.27</v>
      </c>
      <c r="Y3" s="33">
        <v>51.83</v>
      </c>
      <c r="Z3" s="37">
        <v>14</v>
      </c>
      <c r="AA3" s="32"/>
      <c r="AB3" s="37"/>
      <c r="AC3" s="33"/>
      <c r="AD3" s="37"/>
      <c r="AE3" s="4">
        <f t="shared" ref="AE3:AE34" si="4">IF(H3="Senior",MAX(AA3,AC3),AA3+AC3)</f>
        <v>0</v>
      </c>
      <c r="AF3" s="33"/>
      <c r="AG3" s="37"/>
    </row>
    <row r="4" spans="1:34" x14ac:dyDescent="0.2">
      <c r="A4" s="1" t="str" cm="1">
        <f t="array" ref="A4">IF(I4="","",IF(P4&lt;&gt;"",SUMPRODUCT((P$3:P$82&lt;&gt;"")*(G$3:G$82=G4)*(J$3:J$82&gt;J4)*(I$3:I$82="P"))+1,IF(O4&lt;&gt;"",SUMPRODUCT((O$3:O$82&lt;&gt;"")*(P$3:P$82="")*(G$3:G$82=G4)*(J$3:J$82&gt;J4)*(I$3:I$82="P"))+SUMPRODUCT((P$3:P$82&lt;&gt;"")*(G$3:G$82=G4)*(I$3:I$82="P"))+1,IF(N4&lt;&gt;"",SUMPRODUCT((N$3:N$82&lt;&gt;"")*(G$3:G$82=G4)*(J$3:J$82&gt;J4)*(I$3:I$82="P"))+1,IF(M4="P",SUMPRODUCT((O$3:O$82&lt;&gt;"")*(P$3:P$82="")*(G$3:G$82=G4)*(I$3:I$82="P"))+SUMPRODUCT((P$3:P$82&lt;&gt;"")*(G$3:G$82=G4)*(I$3:I$82="P"))+SUMPRODUCT((N$3:N$82&lt;&gt;"")*(G$3:G$82=G4)*(I$3:I$82="P"))+SUMPRODUCT((P$3:P$82="")*(O$3:O$82="")*(N$3:N$82="")*(M$3:M$82="P")*(G$3:G$82=G4)*(J$3:J$82&gt;J4)*(I$3:I$82="P"))+IF(H4="L5",SUMPRODUCT((P$3:P$82="")*(O$3:O$82="")*(N$3:N$82="")*(M$3:M$82="P")*(G$3:G$82=G4)*(J$3:J$82&lt;J4)*(H$3:H$82&lt;&gt;H4)*(I$3:I$82="P")),-1*SUMPRODUCT((P$3:P$82="")*(O$3:O$82="")*(N$3:N$82="")*(M$3:M$82="P")*(G$3:G$82=G4)*(J$3:J$82&gt;J4)*(H$3:H$82="L5")*(I$3:I$82="P")))+1,"")))))</f>
        <v/>
      </c>
      <c r="B4" s="1" cm="1">
        <f t="array" ref="B4">IF(P4&lt;&gt;"",SUMPRODUCT((P$3:P$82&lt;&gt;"")*(G$3:G$82=G4)*(J$3:J$82&gt;J4))+1,IF(O4&lt;&gt;"",SUMPRODUCT((O$3:O$82&lt;&gt;"")*(P$3:P$82="")*(G$3:G$82=G4)*(J$3:J$82&gt;J4))+SUMPRODUCT((P$3:P$82&lt;&gt;"")*(G$3:G$82=G4))+1,IF(N4&lt;&gt;"",SUMPRODUCT((N$3:N$82&lt;&gt;"")*(G$3:G$82=G4)*(J$3:J$82&gt;J4))+1,IF(M4="P",SUMPRODUCT((O$3:O$82&lt;&gt;"")*(P$3:P$82="")*(G$3:G$82=G4))+SUMPRODUCT((P$3:P$82&lt;&gt;"")*(G$3:G$82=G4))+SUMPRODUCT((N$3:N$82&lt;&gt;"")*(G$3:G$82=G4))+SUMPRODUCT((P$3:P$82="")*(O$3:O$82="")*(N$3:N$82="")*(M$3:M$82="P")*(G$3:G$82=G4)*(J$3:J$82&gt;J4))+IF(H4="L5",SUMPRODUCT((P$3:P$82="")*(O$3:O$82="")*(N$3:N$82="")*(M$3:M$82="P")*(G$3:G$82=G4)*(J$3:J$82&lt;J4)*(H$3:H$82&lt;&gt;H4)),-1*SUMPRODUCT((P$3:P$82="")*(O$3:O$82="")*(N$3:N$82="")*(M$3:M$82="P")*(G$3:G$82=G4)*(J$3:J$82&gt;J4)*(H$3:H$82="L5")))+1,""))))</f>
        <v>2</v>
      </c>
      <c r="C4" s="35" t="s">
        <v>122</v>
      </c>
      <c r="D4" s="35" t="str">
        <f>IF(E4="","",VLOOKUP(E4,'Coaching Points'!A:B,2,0))</f>
        <v>QC</v>
      </c>
      <c r="E4" s="35" t="s">
        <v>78</v>
      </c>
      <c r="F4" s="34">
        <v>2007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72</v>
      </c>
      <c r="I4" s="40"/>
      <c r="J4" s="4">
        <f t="shared" si="0"/>
        <v>51.5702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P4" s="36">
        <v>7</v>
      </c>
      <c r="Q4" s="1" t="str">
        <f t="shared" si="1"/>
        <v/>
      </c>
      <c r="R4" s="4">
        <f t="shared" si="2"/>
        <v>51.57</v>
      </c>
      <c r="S4" s="4">
        <f>IF(G4="17-21",LARGE(CHOOSE({1,2,3,4,5,6},T4,V4,Y4,AA4,AC4,AF4),2),IF(R4=X4,MAX(Y4,AA4,AC4,AF4),IF(R4=AE4,MAX(AF4,T4,V4,Y4),0)))</f>
        <v>50.52</v>
      </c>
      <c r="T4" s="32">
        <v>50.52</v>
      </c>
      <c r="U4" s="37">
        <v>13.5</v>
      </c>
      <c r="V4" s="33">
        <v>51.57</v>
      </c>
      <c r="W4" s="37">
        <v>13.5</v>
      </c>
      <c r="X4" s="4">
        <f t="shared" si="3"/>
        <v>51.57</v>
      </c>
      <c r="Y4" s="33">
        <v>49.8</v>
      </c>
      <c r="Z4" s="37">
        <v>12.9</v>
      </c>
      <c r="AA4" s="32"/>
      <c r="AB4" s="37"/>
      <c r="AC4" s="33"/>
      <c r="AD4" s="37"/>
      <c r="AE4" s="4">
        <f t="shared" si="4"/>
        <v>0</v>
      </c>
      <c r="AF4" s="33"/>
      <c r="AG4" s="37"/>
    </row>
    <row r="5" spans="1:34" x14ac:dyDescent="0.2">
      <c r="A5" s="1" t="str" cm="1">
        <f t="array" ref="A5">IF(I5="","",IF(P5&lt;&gt;"",SUMPRODUCT((P$3:P$82&lt;&gt;"")*(G$3:G$82=G5)*(J$3:J$82&gt;J5)*(I$3:I$82="P"))+1,IF(O5&lt;&gt;"",SUMPRODUCT((O$3:O$82&lt;&gt;"")*(P$3:P$82="")*(G$3:G$82=G5)*(J$3:J$82&gt;J5)*(I$3:I$82="P"))+SUMPRODUCT((P$3:P$82&lt;&gt;"")*(G$3:G$82=G5)*(I$3:I$82="P"))+1,IF(N5&lt;&gt;"",SUMPRODUCT((N$3:N$82&lt;&gt;"")*(G$3:G$82=G5)*(J$3:J$82&gt;J5)*(I$3:I$82="P"))+1,IF(M5="P",SUMPRODUCT((O$3:O$82&lt;&gt;"")*(P$3:P$82="")*(G$3:G$82=G5)*(I$3:I$82="P"))+SUMPRODUCT((P$3:P$82&lt;&gt;"")*(G$3:G$82=G5)*(I$3:I$82="P"))+SUMPRODUCT((N$3:N$82&lt;&gt;"")*(G$3:G$82=G5)*(I$3:I$82="P"))+SUMPRODUCT((P$3:P$82="")*(O$3:O$82="")*(N$3:N$82="")*(M$3:M$82="P")*(G$3:G$82=G5)*(J$3:J$82&gt;J5)*(I$3:I$82="P"))+IF(H5="L5",SUMPRODUCT((P$3:P$82="")*(O$3:O$82="")*(N$3:N$82="")*(M$3:M$82="P")*(G$3:G$82=G5)*(J$3:J$82&lt;J5)*(H$3:H$82&lt;&gt;H5)*(I$3:I$82="P")),-1*SUMPRODUCT((P$3:P$82="")*(O$3:O$82="")*(N$3:N$82="")*(M$3:M$82="P")*(G$3:G$82=G5)*(J$3:J$82&gt;J5)*(H$3:H$82="L5")*(I$3:I$82="P")))+1,"")))))</f>
        <v/>
      </c>
      <c r="B5" s="1" cm="1">
        <f t="array" ref="B5">IF(P5&lt;&gt;"",SUMPRODUCT((P$3:P$82&lt;&gt;"")*(G$3:G$82=G5)*(J$3:J$82&gt;J5))+1,IF(O5&lt;&gt;"",SUMPRODUCT((O$3:O$82&lt;&gt;"")*(P$3:P$82="")*(G$3:G$82=G5)*(J$3:J$82&gt;J5))+SUMPRODUCT((P$3:P$82&lt;&gt;"")*(G$3:G$82=G5))+1,IF(N5&lt;&gt;"",SUMPRODUCT((N$3:N$82&lt;&gt;"")*(G$3:G$82=G5)*(J$3:J$82&gt;J5))+1,IF(M5="P",SUMPRODUCT((O$3:O$82&lt;&gt;"")*(P$3:P$82="")*(G$3:G$82=G5))+SUMPRODUCT((P$3:P$82&lt;&gt;"")*(G$3:G$82=G5))+SUMPRODUCT((N$3:N$82&lt;&gt;"")*(G$3:G$82=G5))+SUMPRODUCT((P$3:P$82="")*(O$3:O$82="")*(N$3:N$82="")*(M$3:M$82="P")*(G$3:G$82=G5)*(J$3:J$82&gt;J5))+IF(H5="L5",SUMPRODUCT((P$3:P$82="")*(O$3:O$82="")*(N$3:N$82="")*(M$3:M$82="P")*(G$3:G$82=G5)*(J$3:J$82&lt;J5)*(H$3:H$82&lt;&gt;H5)),-1*SUMPRODUCT((P$3:P$82="")*(O$3:O$82="")*(N$3:N$82="")*(M$3:M$82="P")*(G$3:G$82=G5)*(J$3:J$82&gt;J5)*(H$3:H$82="L5")))+1,""))))</f>
        <v>3</v>
      </c>
      <c r="C5" s="35" t="s">
        <v>99</v>
      </c>
      <c r="D5" s="35" t="str">
        <f>IF(E5="","",VLOOKUP(E5,'Coaching Points'!A:B,2,0))</f>
        <v>ON</v>
      </c>
      <c r="E5" s="35" t="s">
        <v>37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72</v>
      </c>
      <c r="I5" s="40"/>
      <c r="J5" s="4">
        <f t="shared" si="0"/>
        <v>47.630200000000002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6">
        <v>2</v>
      </c>
      <c r="Q5" s="1" t="str">
        <f t="shared" si="1"/>
        <v/>
      </c>
      <c r="R5" s="4">
        <f t="shared" si="2"/>
        <v>47.63</v>
      </c>
      <c r="S5" s="4">
        <f>IF(G5="17-21",LARGE(CHOOSE({1,2,3,4,5,6},T5,V5,Y5,AA5,AC5,AF5),2),IF(R5=X5,MAX(Y5,AA5,AC5,AF5),IF(R5=AE5,MAX(AF5,T5,V5,Y5),0)))</f>
        <v>46.11</v>
      </c>
      <c r="T5" s="32">
        <v>47.63</v>
      </c>
      <c r="U5" s="37">
        <v>12.1</v>
      </c>
      <c r="V5" s="33">
        <v>10.64</v>
      </c>
      <c r="W5" s="37">
        <v>2.9</v>
      </c>
      <c r="X5" s="4">
        <f t="shared" si="3"/>
        <v>47.63</v>
      </c>
      <c r="Y5" s="33">
        <v>46.11</v>
      </c>
      <c r="Z5" s="37">
        <v>11</v>
      </c>
      <c r="AA5" s="32"/>
      <c r="AB5" s="37"/>
      <c r="AC5" s="33"/>
      <c r="AD5" s="37"/>
      <c r="AE5" s="4">
        <f t="shared" si="4"/>
        <v>0</v>
      </c>
      <c r="AF5" s="33"/>
      <c r="AG5" s="37"/>
    </row>
    <row r="6" spans="1:34" x14ac:dyDescent="0.2">
      <c r="A6" s="1" t="str" cm="1">
        <f t="array" ref="A6">IF(I6="","",IF(P6&lt;&gt;"",SUMPRODUCT((P$3:P$82&lt;&gt;"")*(G$3:G$82=G6)*(J$3:J$82&gt;J6)*(I$3:I$82="P"))+1,IF(O6&lt;&gt;"",SUMPRODUCT((O$3:O$82&lt;&gt;"")*(P$3:P$82="")*(G$3:G$82=G6)*(J$3:J$82&gt;J6)*(I$3:I$82="P"))+SUMPRODUCT((P$3:P$82&lt;&gt;"")*(G$3:G$82=G6)*(I$3:I$82="P"))+1,IF(N6&lt;&gt;"",SUMPRODUCT((N$3:N$82&lt;&gt;"")*(G$3:G$82=G6)*(J$3:J$82&gt;J6)*(I$3:I$82="P"))+1,IF(M6="P",SUMPRODUCT((O$3:O$82&lt;&gt;"")*(P$3:P$82="")*(G$3:G$82=G6)*(I$3:I$82="P"))+SUMPRODUCT((P$3:P$82&lt;&gt;"")*(G$3:G$82=G6)*(I$3:I$82="P"))+SUMPRODUCT((N$3:N$82&lt;&gt;"")*(G$3:G$82=G6)*(I$3:I$82="P"))+SUMPRODUCT((P$3:P$82="")*(O$3:O$82="")*(N$3:N$82="")*(M$3:M$82="P")*(G$3:G$82=G6)*(J$3:J$82&gt;J6)*(I$3:I$82="P"))+IF(H6="L5",SUMPRODUCT((P$3:P$82="")*(O$3:O$82="")*(N$3:N$82="")*(M$3:M$82="P")*(G$3:G$82=G6)*(J$3:J$82&lt;J6)*(H$3:H$82&lt;&gt;H6)*(I$3:I$82="P")),-1*SUMPRODUCT((P$3:P$82="")*(O$3:O$82="")*(N$3:N$82="")*(M$3:M$82="P")*(G$3:G$82=G6)*(J$3:J$82&gt;J6)*(H$3:H$82="L5")*(I$3:I$82="P")))+1,"")))))</f>
        <v/>
      </c>
      <c r="B6" s="1" cm="1">
        <f t="array" ref="B6">IF(P6&lt;&gt;"",SUMPRODUCT((P$3:P$82&lt;&gt;"")*(G$3:G$82=G6)*(J$3:J$82&gt;J6))+1,IF(O6&lt;&gt;"",SUMPRODUCT((O$3:O$82&lt;&gt;"")*(P$3:P$82="")*(G$3:G$82=G6)*(J$3:J$82&gt;J6))+SUMPRODUCT((P$3:P$82&lt;&gt;"")*(G$3:G$82=G6))+1,IF(N6&lt;&gt;"",SUMPRODUCT((N$3:N$82&lt;&gt;"")*(G$3:G$82=G6)*(J$3:J$82&gt;J6))+1,IF(M6="P",SUMPRODUCT((O$3:O$82&lt;&gt;"")*(P$3:P$82="")*(G$3:G$82=G6))+SUMPRODUCT((P$3:P$82&lt;&gt;"")*(G$3:G$82=G6))+SUMPRODUCT((N$3:N$82&lt;&gt;"")*(G$3:G$82=G6))+SUMPRODUCT((P$3:P$82="")*(O$3:O$82="")*(N$3:N$82="")*(M$3:M$82="P")*(G$3:G$82=G6)*(J$3:J$82&gt;J6))+IF(H6="L5",SUMPRODUCT((P$3:P$82="")*(O$3:O$82="")*(N$3:N$82="")*(M$3:M$82="P")*(G$3:G$82=G6)*(J$3:J$82&lt;J6)*(H$3:H$82&lt;&gt;H6)),-1*SUMPRODUCT((P$3:P$82="")*(O$3:O$82="")*(N$3:N$82="")*(M$3:M$82="P")*(G$3:G$82=G6)*(J$3:J$82&gt;J6)*(H$3:H$82="L5")))+1,""))))</f>
        <v>4</v>
      </c>
      <c r="C6" s="35" t="s">
        <v>100</v>
      </c>
      <c r="D6" s="35" t="str">
        <f>IF(E6="","",VLOOKUP(E6,'Coaching Points'!A:B,2,0))</f>
        <v>QC</v>
      </c>
      <c r="E6" s="35" t="s">
        <v>201</v>
      </c>
      <c r="F6" s="34">
        <v>2006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72</v>
      </c>
      <c r="I6" s="40"/>
      <c r="J6" s="4">
        <f t="shared" si="0"/>
        <v>24.770199999999999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/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/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/>
      </c>
      <c r="O6" s="36">
        <v>1</v>
      </c>
      <c r="Q6" s="1" t="str">
        <f t="shared" si="1"/>
        <v/>
      </c>
      <c r="R6" s="4">
        <f t="shared" si="2"/>
        <v>24.77</v>
      </c>
      <c r="S6" s="4">
        <f>IF(G6="17-21",LARGE(CHOOSE({1,2,3,4,5,6},T6,V6,Y6,AA6,AC6,AF6),2),IF(R6=X6,MAX(Y6,AA6,AC6,AF6),IF(R6=AE6,MAX(AF6,T6,V6,Y6),0)))</f>
        <v>23.81</v>
      </c>
      <c r="T6" s="32">
        <v>24.77</v>
      </c>
      <c r="U6" s="37">
        <v>5.4</v>
      </c>
      <c r="V6" s="33">
        <v>23.81</v>
      </c>
      <c r="W6" s="37">
        <v>5.0999999999999996</v>
      </c>
      <c r="X6" s="4">
        <f t="shared" si="3"/>
        <v>24.77</v>
      </c>
      <c r="Y6" s="33"/>
      <c r="Z6" s="37"/>
      <c r="AA6" s="32"/>
      <c r="AB6" s="37"/>
      <c r="AC6" s="33"/>
      <c r="AD6" s="37"/>
      <c r="AE6" s="4">
        <f t="shared" si="4"/>
        <v>0</v>
      </c>
      <c r="AF6" s="33"/>
      <c r="AG6" s="37"/>
    </row>
    <row r="7" spans="1:34" x14ac:dyDescent="0.2">
      <c r="A7" s="1" t="str" cm="1">
        <f t="array" ref="A7">IF(I7="","",IF(P7&lt;&gt;"",SUMPRODUCT((P$3:P$82&lt;&gt;"")*(G$3:G$82=G7)*(J$3:J$82&gt;J7)*(I$3:I$82="P"))+1,IF(O7&lt;&gt;"",SUMPRODUCT((O$3:O$82&lt;&gt;"")*(P$3:P$82="")*(G$3:G$82=G7)*(J$3:J$82&gt;J7)*(I$3:I$82="P"))+SUMPRODUCT((P$3:P$82&lt;&gt;"")*(G$3:G$82=G7)*(I$3:I$82="P"))+1,IF(N7&lt;&gt;"",SUMPRODUCT((N$3:N$82&lt;&gt;"")*(G$3:G$82=G7)*(J$3:J$82&gt;J7)*(I$3:I$82="P"))+1,IF(M7="P",SUMPRODUCT((O$3:O$82&lt;&gt;"")*(P$3:P$82="")*(G$3:G$82=G7)*(I$3:I$82="P"))+SUMPRODUCT((P$3:P$82&lt;&gt;"")*(G$3:G$82=G7)*(I$3:I$82="P"))+SUMPRODUCT((N$3:N$82&lt;&gt;"")*(G$3:G$82=G7)*(I$3:I$82="P"))+SUMPRODUCT((P$3:P$82="")*(O$3:O$82="")*(N$3:N$82="")*(M$3:M$82="P")*(G$3:G$82=G7)*(J$3:J$82&gt;J7)*(I$3:I$82="P"))+IF(H7="L5",SUMPRODUCT((P$3:P$82="")*(O$3:O$82="")*(N$3:N$82="")*(M$3:M$82="P")*(G$3:G$82=G7)*(J$3:J$82&lt;J7)*(H$3:H$82&lt;&gt;H7)*(I$3:I$82="P")),-1*SUMPRODUCT((P$3:P$82="")*(O$3:O$82="")*(N$3:N$82="")*(M$3:M$82="P")*(G$3:G$82=G7)*(J$3:J$82&gt;J7)*(H$3:H$82="L5")*(I$3:I$82="P")))+1,"")))))</f>
        <v/>
      </c>
      <c r="B7" s="1" cm="1">
        <f t="array" ref="B7">IF(P7&lt;&gt;"",SUMPRODUCT((P$3:P$82&lt;&gt;"")*(G$3:G$82=G7)*(J$3:J$82&gt;J7))+1,IF(O7&lt;&gt;"",SUMPRODUCT((O$3:O$82&lt;&gt;"")*(P$3:P$82="")*(G$3:G$82=G7)*(J$3:J$82&gt;J7))+SUMPRODUCT((P$3:P$82&lt;&gt;"")*(G$3:G$82=G7))+1,IF(N7&lt;&gt;"",SUMPRODUCT((N$3:N$82&lt;&gt;"")*(G$3:G$82=G7)*(J$3:J$82&gt;J7))+1,IF(M7="P",SUMPRODUCT((O$3:O$82&lt;&gt;"")*(P$3:P$82="")*(G$3:G$82=G7))+SUMPRODUCT((P$3:P$82&lt;&gt;"")*(G$3:G$82=G7))+SUMPRODUCT((N$3:N$82&lt;&gt;"")*(G$3:G$82=G7))+SUMPRODUCT((P$3:P$82="")*(O$3:O$82="")*(N$3:N$82="")*(M$3:M$82="P")*(G$3:G$82=G7)*(J$3:J$82&gt;J7))+IF(H7="L5",SUMPRODUCT((P$3:P$82="")*(O$3:O$82="")*(N$3:N$82="")*(M$3:M$82="P")*(G$3:G$82=G7)*(J$3:J$82&lt;J7)*(H$3:H$82&lt;&gt;H7)),-1*SUMPRODUCT((P$3:P$82="")*(O$3:O$82="")*(N$3:N$82="")*(M$3:M$82="P")*(G$3:G$82=G7)*(J$3:J$82&gt;J7)*(H$3:H$82="L5")))+1,""))))</f>
        <v>5</v>
      </c>
      <c r="C7" s="35" t="s">
        <v>267</v>
      </c>
      <c r="D7" s="35" t="str">
        <f>IF(E7="","",VLOOKUP(E7,'Coaching Points'!A:B,2,0))</f>
        <v>QC</v>
      </c>
      <c r="E7" s="35" t="s">
        <v>85</v>
      </c>
      <c r="F7" s="34">
        <v>2007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66</v>
      </c>
      <c r="I7" s="40"/>
      <c r="J7" s="4">
        <f t="shared" si="0"/>
        <v>47.750100000000003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Q7" s="1" t="str">
        <f t="shared" si="1"/>
        <v/>
      </c>
      <c r="R7" s="4">
        <f t="shared" si="2"/>
        <v>47.75</v>
      </c>
      <c r="S7" s="4">
        <f>IF(G7="17-21",LARGE(CHOOSE({1,2,3,4,5,6},T7,V7,Y7,AA7,AC7,AF7),2),IF(R7=X7,MAX(Y7,AA7,AC7,AF7),IF(R7=AE7,MAX(AF7,T7,V7,Y7),0)))</f>
        <v>47.35</v>
      </c>
      <c r="T7" s="32">
        <v>47.35</v>
      </c>
      <c r="U7" s="37">
        <v>9.6999999999999993</v>
      </c>
      <c r="V7" s="33">
        <v>46.6</v>
      </c>
      <c r="W7" s="37">
        <v>9.1</v>
      </c>
      <c r="X7" s="4">
        <f t="shared" si="3"/>
        <v>93.95</v>
      </c>
      <c r="Y7" s="33">
        <v>47.75</v>
      </c>
      <c r="Z7" s="37">
        <v>9.6999999999999993</v>
      </c>
      <c r="AA7" s="32"/>
      <c r="AB7" s="37"/>
      <c r="AC7" s="33"/>
      <c r="AD7" s="37"/>
      <c r="AE7" s="4">
        <f t="shared" si="4"/>
        <v>0</v>
      </c>
      <c r="AF7" s="33"/>
      <c r="AG7" s="37"/>
    </row>
    <row r="8" spans="1:34" x14ac:dyDescent="0.2">
      <c r="A8" s="1" t="str" cm="1">
        <f t="array" ref="A8">IF(I8="","",IF(P8&lt;&gt;"",SUMPRODUCT((P$3:P$82&lt;&gt;"")*(G$3:G$82=G8)*(J$3:J$82&gt;J8)*(I$3:I$82="P"))+1,IF(O8&lt;&gt;"",SUMPRODUCT((O$3:O$82&lt;&gt;"")*(P$3:P$82="")*(G$3:G$82=G8)*(J$3:J$82&gt;J8)*(I$3:I$82="P"))+SUMPRODUCT((P$3:P$82&lt;&gt;"")*(G$3:G$82=G8)*(I$3:I$82="P"))+1,IF(N8&lt;&gt;"",SUMPRODUCT((N$3:N$82&lt;&gt;"")*(G$3:G$82=G8)*(J$3:J$82&gt;J8)*(I$3:I$82="P"))+1,IF(M8="P",SUMPRODUCT((O$3:O$82&lt;&gt;"")*(P$3:P$82="")*(G$3:G$82=G8)*(I$3:I$82="P"))+SUMPRODUCT((P$3:P$82&lt;&gt;"")*(G$3:G$82=G8)*(I$3:I$82="P"))+SUMPRODUCT((N$3:N$82&lt;&gt;"")*(G$3:G$82=G8)*(I$3:I$82="P"))+SUMPRODUCT((P$3:P$82="")*(O$3:O$82="")*(N$3:N$82="")*(M$3:M$82="P")*(G$3:G$82=G8)*(J$3:J$82&gt;J8)*(I$3:I$82="P"))+IF(H8="L5",SUMPRODUCT((P$3:P$82="")*(O$3:O$82="")*(N$3:N$82="")*(M$3:M$82="P")*(G$3:G$82=G8)*(J$3:J$82&lt;J8)*(H$3:H$82&lt;&gt;H8)*(I$3:I$82="P")),-1*SUMPRODUCT((P$3:P$82="")*(O$3:O$82="")*(N$3:N$82="")*(M$3:M$82="P")*(G$3:G$82=G8)*(J$3:J$82&gt;J8)*(H$3:H$82="L5")*(I$3:I$82="P")))+1,"")))))</f>
        <v/>
      </c>
      <c r="B8" s="1" t="str" cm="1">
        <f t="array" ref="B8">IF(P8&lt;&gt;"",SUMPRODUCT((P$3:P$82&lt;&gt;"")*(G$3:G$82=G8)*(J$3:J$82&gt;J8))+1,IF(O8&lt;&gt;"",SUMPRODUCT((O$3:O$82&lt;&gt;"")*(P$3:P$82="")*(G$3:G$82=G8)*(J$3:J$82&gt;J8))+SUMPRODUCT((P$3:P$82&lt;&gt;"")*(G$3:G$82=G8))+1,IF(N8&lt;&gt;"",SUMPRODUCT((N$3:N$82&lt;&gt;"")*(G$3:G$82=G8)*(J$3:J$82&gt;J8))+1,IF(M8="P",SUMPRODUCT((O$3:O$82&lt;&gt;"")*(P$3:P$82="")*(G$3:G$82=G8))+SUMPRODUCT((P$3:P$82&lt;&gt;"")*(G$3:G$82=G8))+SUMPRODUCT((N$3:N$82&lt;&gt;"")*(G$3:G$82=G8))+SUMPRODUCT((P$3:P$82="")*(O$3:O$82="")*(N$3:N$82="")*(M$3:M$82="P")*(G$3:G$82=G8)*(J$3:J$82&gt;J8))+IF(H8="L5",SUMPRODUCT((P$3:P$82="")*(O$3:O$82="")*(N$3:N$82="")*(M$3:M$82="P")*(G$3:G$82=G8)*(J$3:J$82&lt;J8)*(H$3:H$82&lt;&gt;H8)),-1*SUMPRODUCT((P$3:P$82="")*(O$3:O$82="")*(N$3:N$82="")*(M$3:M$82="P")*(G$3:G$82=G8)*(J$3:J$82&gt;J8)*(H$3:H$82="L5")))+1,""))))</f>
        <v/>
      </c>
      <c r="C8" s="35" t="s">
        <v>208</v>
      </c>
      <c r="D8" s="35" t="str">
        <f>IF(E8="","",VLOOKUP(E8,'Coaching Points'!A:B,2,0))</f>
        <v>QC</v>
      </c>
      <c r="E8" s="35" t="s">
        <v>78</v>
      </c>
      <c r="F8" s="34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66</v>
      </c>
      <c r="I8" s="40"/>
      <c r="J8" s="4">
        <f t="shared" si="0"/>
        <v>48.8001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 t="shared" si="1"/>
        <v/>
      </c>
      <c r="R8" s="4">
        <f t="shared" si="2"/>
        <v>48.8</v>
      </c>
      <c r="S8" s="4">
        <f>IF(G8="17-21",LARGE(CHOOSE({1,2,3,4,5,6},T8,V8,Y8,AA8,AC8,AF8),2),IF(R8=X8,MAX(Y8,AA8,AC8,AF8),IF(R8=AE8,MAX(AF8,T8,V8,Y8),0)))</f>
        <v>46.75</v>
      </c>
      <c r="T8" s="32">
        <v>18.96</v>
      </c>
      <c r="U8" s="37">
        <v>3.9</v>
      </c>
      <c r="V8" s="33">
        <v>48.8</v>
      </c>
      <c r="W8" s="37">
        <v>9.1</v>
      </c>
      <c r="X8" s="4">
        <f t="shared" si="3"/>
        <v>67.759999999999991</v>
      </c>
      <c r="Y8" s="33">
        <v>46.75</v>
      </c>
      <c r="Z8" s="37">
        <v>9.1</v>
      </c>
      <c r="AA8" s="32"/>
      <c r="AB8" s="37"/>
      <c r="AC8" s="33"/>
      <c r="AD8" s="37"/>
      <c r="AE8" s="4">
        <f t="shared" si="4"/>
        <v>0</v>
      </c>
      <c r="AF8" s="33"/>
      <c r="AG8" s="37"/>
    </row>
    <row r="9" spans="1:34" x14ac:dyDescent="0.2">
      <c r="A9" s="1" t="str" cm="1">
        <f t="array" ref="A9">IF(I9="","",IF(P9&lt;&gt;"",SUMPRODUCT((P$3:P$82&lt;&gt;"")*(G$3:G$82=G9)*(J$3:J$82&gt;J9)*(I$3:I$82="P"))+1,IF(O9&lt;&gt;"",SUMPRODUCT((O$3:O$82&lt;&gt;"")*(P$3:P$82="")*(G$3:G$82=G9)*(J$3:J$82&gt;J9)*(I$3:I$82="P"))+SUMPRODUCT((P$3:P$82&lt;&gt;"")*(G$3:G$82=G9)*(I$3:I$82="P"))+1,IF(N9&lt;&gt;"",SUMPRODUCT((N$3:N$82&lt;&gt;"")*(G$3:G$82=G9)*(J$3:J$82&gt;J9)*(I$3:I$82="P"))+1,IF(M9="P",SUMPRODUCT((O$3:O$82&lt;&gt;"")*(P$3:P$82="")*(G$3:G$82=G9)*(I$3:I$82="P"))+SUMPRODUCT((P$3:P$82&lt;&gt;"")*(G$3:G$82=G9)*(I$3:I$82="P"))+SUMPRODUCT((N$3:N$82&lt;&gt;"")*(G$3:G$82=G9)*(I$3:I$82="P"))+SUMPRODUCT((P$3:P$82="")*(O$3:O$82="")*(N$3:N$82="")*(M$3:M$82="P")*(G$3:G$82=G9)*(J$3:J$82&gt;J9)*(I$3:I$82="P"))+IF(H9="L5",SUMPRODUCT((P$3:P$82="")*(O$3:O$82="")*(N$3:N$82="")*(M$3:M$82="P")*(G$3:G$82=G9)*(J$3:J$82&lt;J9)*(H$3:H$82&lt;&gt;H9)*(I$3:I$82="P")),-1*SUMPRODUCT((P$3:P$82="")*(O$3:O$82="")*(N$3:N$82="")*(M$3:M$82="P")*(G$3:G$82=G9)*(J$3:J$82&gt;J9)*(H$3:H$82="L5")*(I$3:I$82="P")))+1,"")))))</f>
        <v/>
      </c>
      <c r="B9" s="1" t="str" cm="1">
        <f t="array" ref="B9">IF(P9&lt;&gt;"",SUMPRODUCT((P$3:P$82&lt;&gt;"")*(G$3:G$82=G9)*(J$3:J$82&gt;J9))+1,IF(O9&lt;&gt;"",SUMPRODUCT((O$3:O$82&lt;&gt;"")*(P$3:P$82="")*(G$3:G$82=G9)*(J$3:J$82&gt;J9))+SUMPRODUCT((P$3:P$82&lt;&gt;"")*(G$3:G$82=G9))+1,IF(N9&lt;&gt;"",SUMPRODUCT((N$3:N$82&lt;&gt;"")*(G$3:G$82=G9)*(J$3:J$82&gt;J9))+1,IF(M9="P",SUMPRODUCT((O$3:O$82&lt;&gt;"")*(P$3:P$82="")*(G$3:G$82=G9))+SUMPRODUCT((P$3:P$82&lt;&gt;"")*(G$3:G$82=G9))+SUMPRODUCT((N$3:N$82&lt;&gt;"")*(G$3:G$82=G9))+SUMPRODUCT((P$3:P$82="")*(O$3:O$82="")*(N$3:N$82="")*(M$3:M$82="P")*(G$3:G$82=G9)*(J$3:J$82&gt;J9))+IF(H9="L5",SUMPRODUCT((P$3:P$82="")*(O$3:O$82="")*(N$3:N$82="")*(M$3:M$82="P")*(G$3:G$82=G9)*(J$3:J$82&lt;J9)*(H$3:H$82&lt;&gt;H9)),-1*SUMPRODUCT((P$3:P$82="")*(O$3:O$82="")*(N$3:N$82="")*(M$3:M$82="P")*(G$3:G$82=G9)*(J$3:J$82&gt;J9)*(H$3:H$82="L5")))+1,""))))</f>
        <v/>
      </c>
      <c r="C9" s="35" t="s">
        <v>113</v>
      </c>
      <c r="D9" s="35" t="str">
        <f>IF(E9="","",VLOOKUP(E9,'Coaching Points'!A:B,2,0))</f>
        <v>QC</v>
      </c>
      <c r="E9" s="35" t="s">
        <v>201</v>
      </c>
      <c r="F9" s="34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66</v>
      </c>
      <c r="I9" s="40"/>
      <c r="J9" s="4">
        <f t="shared" si="0"/>
        <v>47.610100000000003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 t="shared" si="1"/>
        <v/>
      </c>
      <c r="R9" s="4">
        <f t="shared" si="2"/>
        <v>47.61</v>
      </c>
      <c r="S9" s="4">
        <f>IF(G9="17-21",LARGE(CHOOSE({1,2,3,4,5,6},T9,V9,Y9,AA9,AC9,AF9),2),IF(R9=X9,MAX(Y9,AA9,AC9,AF9),IF(R9=AE9,MAX(AF9,T9,V9,Y9),0)))</f>
        <v>47.37</v>
      </c>
      <c r="T9" s="32">
        <v>47.61</v>
      </c>
      <c r="U9" s="37">
        <v>8.8000000000000007</v>
      </c>
      <c r="V9" s="33">
        <v>46.9</v>
      </c>
      <c r="W9" s="37">
        <v>8.8000000000000007</v>
      </c>
      <c r="X9" s="4">
        <f t="shared" si="3"/>
        <v>94.509999999999991</v>
      </c>
      <c r="Y9" s="33">
        <v>47.37</v>
      </c>
      <c r="Z9" s="37">
        <v>8.8000000000000007</v>
      </c>
      <c r="AA9" s="32"/>
      <c r="AB9" s="37"/>
      <c r="AC9" s="33"/>
      <c r="AD9" s="37"/>
      <c r="AE9" s="4">
        <f t="shared" si="4"/>
        <v>0</v>
      </c>
      <c r="AF9" s="33"/>
      <c r="AG9" s="37"/>
    </row>
    <row r="10" spans="1:34" x14ac:dyDescent="0.2">
      <c r="A10" s="1" t="str" cm="1">
        <f t="array" ref="A10">IF(I10="","",IF(P10&lt;&gt;"",SUMPRODUCT((P$3:P$82&lt;&gt;"")*(G$3:G$82=G10)*(J$3:J$82&gt;J10)*(I$3:I$82="P"))+1,IF(O10&lt;&gt;"",SUMPRODUCT((O$3:O$82&lt;&gt;"")*(P$3:P$82="")*(G$3:G$82=G10)*(J$3:J$82&gt;J10)*(I$3:I$82="P"))+SUMPRODUCT((P$3:P$82&lt;&gt;"")*(G$3:G$82=G10)*(I$3:I$82="P"))+1,IF(N10&lt;&gt;"",SUMPRODUCT((N$3:N$82&lt;&gt;"")*(G$3:G$82=G10)*(J$3:J$82&gt;J10)*(I$3:I$82="P"))+1,IF(M10="P",SUMPRODUCT((O$3:O$82&lt;&gt;"")*(P$3:P$82="")*(G$3:G$82=G10)*(I$3:I$82="P"))+SUMPRODUCT((P$3:P$82&lt;&gt;"")*(G$3:G$82=G10)*(I$3:I$82="P"))+SUMPRODUCT((N$3:N$82&lt;&gt;"")*(G$3:G$82=G10)*(I$3:I$82="P"))+SUMPRODUCT((P$3:P$82="")*(O$3:O$82="")*(N$3:N$82="")*(M$3:M$82="P")*(G$3:G$82=G10)*(J$3:J$82&gt;J10)*(I$3:I$82="P"))+IF(H10="L5",SUMPRODUCT((P$3:P$82="")*(O$3:O$82="")*(N$3:N$82="")*(M$3:M$82="P")*(G$3:G$82=G10)*(J$3:J$82&lt;J10)*(H$3:H$82&lt;&gt;H10)*(I$3:I$82="P")),-1*SUMPRODUCT((P$3:P$82="")*(O$3:O$82="")*(N$3:N$82="")*(M$3:M$82="P")*(G$3:G$82=G10)*(J$3:J$82&gt;J10)*(H$3:H$82="L5")*(I$3:I$82="P")))+1,"")))))</f>
        <v/>
      </c>
      <c r="B10" s="1" t="str" cm="1">
        <f t="array" ref="B10">IF(P10&lt;&gt;"",SUMPRODUCT((P$3:P$82&lt;&gt;"")*(G$3:G$82=G10)*(J$3:J$82&gt;J10))+1,IF(O10&lt;&gt;"",SUMPRODUCT((O$3:O$82&lt;&gt;"")*(P$3:P$82="")*(G$3:G$82=G10)*(J$3:J$82&gt;J10))+SUMPRODUCT((P$3:P$82&lt;&gt;"")*(G$3:G$82=G10))+1,IF(N10&lt;&gt;"",SUMPRODUCT((N$3:N$82&lt;&gt;"")*(G$3:G$82=G10)*(J$3:J$82&gt;J10))+1,IF(M10="P",SUMPRODUCT((O$3:O$82&lt;&gt;"")*(P$3:P$82="")*(G$3:G$82=G10))+SUMPRODUCT((P$3:P$82&lt;&gt;"")*(G$3:G$82=G10))+SUMPRODUCT((N$3:N$82&lt;&gt;"")*(G$3:G$82=G10))+SUMPRODUCT((P$3:P$82="")*(O$3:O$82="")*(N$3:N$82="")*(M$3:M$82="P")*(G$3:G$82=G10)*(J$3:J$82&gt;J10))+IF(H10="L5",SUMPRODUCT((P$3:P$82="")*(O$3:O$82="")*(N$3:N$82="")*(M$3:M$82="P")*(G$3:G$82=G10)*(J$3:J$82&lt;J10)*(H$3:H$82&lt;&gt;H10)),-1*SUMPRODUCT((P$3:P$82="")*(O$3:O$82="")*(N$3:N$82="")*(M$3:M$82="P")*(G$3:G$82=G10)*(J$3:J$82&gt;J10)*(H$3:H$82="L5")))+1,""))))</f>
        <v/>
      </c>
      <c r="C10" s="35" t="s">
        <v>111</v>
      </c>
      <c r="D10" s="35" t="str">
        <f>IF(E10="","",VLOOKUP(E10,'Coaching Points'!A:B,2,0))</f>
        <v>QC</v>
      </c>
      <c r="E10" s="35" t="s">
        <v>78</v>
      </c>
      <c r="F10" s="34">
        <v>2005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66</v>
      </c>
      <c r="I10" s="40"/>
      <c r="J10" s="4">
        <f t="shared" si="0"/>
        <v>47.370100000000001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/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 t="shared" si="1"/>
        <v/>
      </c>
      <c r="R10" s="4">
        <f t="shared" si="2"/>
        <v>47.37</v>
      </c>
      <c r="S10" s="4">
        <f>IF(G10="17-21",LARGE(CHOOSE({1,2,3,4,5,6},T10,V10,Y10,AA10,AC10,AF10),2),IF(R10=X10,MAX(Y10,AA10,AC10,AF10),IF(R10=AE10,MAX(AF10,T10,V10,Y10),0)))</f>
        <v>46.79</v>
      </c>
      <c r="T10" s="32">
        <v>42.31</v>
      </c>
      <c r="U10" s="37">
        <v>7.8</v>
      </c>
      <c r="V10" s="33">
        <v>46.79</v>
      </c>
      <c r="W10" s="37">
        <v>8.6</v>
      </c>
      <c r="X10" s="4">
        <f t="shared" si="3"/>
        <v>89.1</v>
      </c>
      <c r="Y10" s="33">
        <v>47.37</v>
      </c>
      <c r="Z10" s="37">
        <v>9.1</v>
      </c>
      <c r="AA10" s="32"/>
      <c r="AB10" s="37"/>
      <c r="AC10" s="33"/>
      <c r="AD10" s="37"/>
      <c r="AE10" s="4">
        <f t="shared" si="4"/>
        <v>0</v>
      </c>
      <c r="AF10" s="33"/>
      <c r="AG10" s="37"/>
    </row>
    <row r="11" spans="1:34" x14ac:dyDescent="0.2">
      <c r="A11" s="1" t="str" cm="1">
        <f t="array" ref="A11">IF(I11="","",IF(P11&lt;&gt;"",SUMPRODUCT((P$3:P$82&lt;&gt;"")*(G$3:G$82=G11)*(J$3:J$82&gt;J11)*(I$3:I$82="P"))+1,IF(O11&lt;&gt;"",SUMPRODUCT((O$3:O$82&lt;&gt;"")*(P$3:P$82="")*(G$3:G$82=G11)*(J$3:J$82&gt;J11)*(I$3:I$82="P"))+SUMPRODUCT((P$3:P$82&lt;&gt;"")*(G$3:G$82=G11)*(I$3:I$82="P"))+1,IF(N11&lt;&gt;"",SUMPRODUCT((N$3:N$82&lt;&gt;"")*(G$3:G$82=G11)*(J$3:J$82&gt;J11)*(I$3:I$82="P"))+1,IF(M11="P",SUMPRODUCT((O$3:O$82&lt;&gt;"")*(P$3:P$82="")*(G$3:G$82=G11)*(I$3:I$82="P"))+SUMPRODUCT((P$3:P$82&lt;&gt;"")*(G$3:G$82=G11)*(I$3:I$82="P"))+SUMPRODUCT((N$3:N$82&lt;&gt;"")*(G$3:G$82=G11)*(I$3:I$82="P"))+SUMPRODUCT((P$3:P$82="")*(O$3:O$82="")*(N$3:N$82="")*(M$3:M$82="P")*(G$3:G$82=G11)*(J$3:J$82&gt;J11)*(I$3:I$82="P"))+IF(H11="L5",SUMPRODUCT((P$3:P$82="")*(O$3:O$82="")*(N$3:N$82="")*(M$3:M$82="P")*(G$3:G$82=G11)*(J$3:J$82&lt;J11)*(H$3:H$82&lt;&gt;H11)*(I$3:I$82="P")),-1*SUMPRODUCT((P$3:P$82="")*(O$3:O$82="")*(N$3:N$82="")*(M$3:M$82="P")*(G$3:G$82=G11)*(J$3:J$82&gt;J11)*(H$3:H$82="L5")*(I$3:I$82="P")))+1,"")))))</f>
        <v/>
      </c>
      <c r="B11" s="1" t="str" cm="1">
        <f t="array" ref="B11">IF(P11&lt;&gt;"",SUMPRODUCT((P$3:P$82&lt;&gt;"")*(G$3:G$82=G11)*(J$3:J$82&gt;J11))+1,IF(O11&lt;&gt;"",SUMPRODUCT((O$3:O$82&lt;&gt;"")*(P$3:P$82="")*(G$3:G$82=G11)*(J$3:J$82&gt;J11))+SUMPRODUCT((P$3:P$82&lt;&gt;"")*(G$3:G$82=G11))+1,IF(N11&lt;&gt;"",SUMPRODUCT((N$3:N$82&lt;&gt;"")*(G$3:G$82=G11)*(J$3:J$82&gt;J11))+1,IF(M11="P",SUMPRODUCT((O$3:O$82&lt;&gt;"")*(P$3:P$82="")*(G$3:G$82=G11))+SUMPRODUCT((P$3:P$82&lt;&gt;"")*(G$3:G$82=G11))+SUMPRODUCT((N$3:N$82&lt;&gt;"")*(G$3:G$82=G11))+SUMPRODUCT((P$3:P$82="")*(O$3:O$82="")*(N$3:N$82="")*(M$3:M$82="P")*(G$3:G$82=G11)*(J$3:J$82&gt;J11))+IF(H11="L5",SUMPRODUCT((P$3:P$82="")*(O$3:O$82="")*(N$3:N$82="")*(M$3:M$82="P")*(G$3:G$82=G11)*(J$3:J$82&lt;J11)*(H$3:H$82&lt;&gt;H11)),-1*SUMPRODUCT((P$3:P$82="")*(O$3:O$82="")*(N$3:N$82="")*(M$3:M$82="P")*(G$3:G$82=G11)*(J$3:J$82&gt;J11)*(H$3:H$82="L5")))+1,""))))</f>
        <v/>
      </c>
      <c r="C11" s="35" t="s">
        <v>105</v>
      </c>
      <c r="D11" s="35" t="str">
        <f>IF(E11="","",VLOOKUP(E11,'Coaching Points'!A:B,2,0))</f>
        <v>QC</v>
      </c>
      <c r="E11" s="35" t="s">
        <v>78</v>
      </c>
      <c r="F11" s="34">
        <v>2006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66</v>
      </c>
      <c r="I11" s="40"/>
      <c r="J11" s="4">
        <f t="shared" si="0"/>
        <v>46.750100000000003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 t="shared" si="1"/>
        <v/>
      </c>
      <c r="R11" s="4">
        <f t="shared" si="2"/>
        <v>46.75</v>
      </c>
      <c r="S11" s="4">
        <f>IF(G11="17-21",LARGE(CHOOSE({1,2,3,4,5,6},T11,V11,Y11,AA11,AC11,AF11),2),IF(R11=X11,MAX(Y11,AA11,AC11,AF11),IF(R11=AE11,MAX(AF11,T11,V11,Y11),0)))</f>
        <v>46.69</v>
      </c>
      <c r="T11" s="32">
        <v>46.75</v>
      </c>
      <c r="U11" s="37">
        <v>9.1</v>
      </c>
      <c r="V11" s="33">
        <v>46.69</v>
      </c>
      <c r="W11" s="37">
        <v>9.1</v>
      </c>
      <c r="X11" s="4">
        <f t="shared" si="3"/>
        <v>93.44</v>
      </c>
      <c r="Y11" s="33">
        <v>38.11</v>
      </c>
      <c r="Z11" s="37">
        <v>6.6</v>
      </c>
      <c r="AA11" s="32"/>
      <c r="AB11" s="37"/>
      <c r="AC11" s="33"/>
      <c r="AD11" s="37"/>
      <c r="AE11" s="4">
        <f t="shared" si="4"/>
        <v>0</v>
      </c>
      <c r="AF11" s="33"/>
      <c r="AG11" s="37"/>
    </row>
    <row r="12" spans="1:34" x14ac:dyDescent="0.2">
      <c r="A12" s="1" t="str" cm="1">
        <f t="array" ref="A12">IF(I12="","",IF(P12&lt;&gt;"",SUMPRODUCT((P$3:P$82&lt;&gt;"")*(G$3:G$82=G12)*(J$3:J$82&gt;J12)*(I$3:I$82="P"))+1,IF(O12&lt;&gt;"",SUMPRODUCT((O$3:O$82&lt;&gt;"")*(P$3:P$82="")*(G$3:G$82=G12)*(J$3:J$82&gt;J12)*(I$3:I$82="P"))+SUMPRODUCT((P$3:P$82&lt;&gt;"")*(G$3:G$82=G12)*(I$3:I$82="P"))+1,IF(N12&lt;&gt;"",SUMPRODUCT((N$3:N$82&lt;&gt;"")*(G$3:G$82=G12)*(J$3:J$82&gt;J12)*(I$3:I$82="P"))+1,IF(M12="P",SUMPRODUCT((O$3:O$82&lt;&gt;"")*(P$3:P$82="")*(G$3:G$82=G12)*(I$3:I$82="P"))+SUMPRODUCT((P$3:P$82&lt;&gt;"")*(G$3:G$82=G12)*(I$3:I$82="P"))+SUMPRODUCT((N$3:N$82&lt;&gt;"")*(G$3:G$82=G12)*(I$3:I$82="P"))+SUMPRODUCT((P$3:P$82="")*(O$3:O$82="")*(N$3:N$82="")*(M$3:M$82="P")*(G$3:G$82=G12)*(J$3:J$82&gt;J12)*(I$3:I$82="P"))+IF(H12="L5",SUMPRODUCT((P$3:P$82="")*(O$3:O$82="")*(N$3:N$82="")*(M$3:M$82="P")*(G$3:G$82=G12)*(J$3:J$82&lt;J12)*(H$3:H$82&lt;&gt;H12)*(I$3:I$82="P")),-1*SUMPRODUCT((P$3:P$82="")*(O$3:O$82="")*(N$3:N$82="")*(M$3:M$82="P")*(G$3:G$82=G12)*(J$3:J$82&gt;J12)*(H$3:H$82="L5")*(I$3:I$82="P")))+1,"")))))</f>
        <v/>
      </c>
      <c r="B12" s="1" t="str" cm="1">
        <f t="array" ref="B12">IF(P12&lt;&gt;"",SUMPRODUCT((P$3:P$82&lt;&gt;"")*(G$3:G$82=G12)*(J$3:J$82&gt;J12))+1,IF(O12&lt;&gt;"",SUMPRODUCT((O$3:O$82&lt;&gt;"")*(P$3:P$82="")*(G$3:G$82=G12)*(J$3:J$82&gt;J12))+SUMPRODUCT((P$3:P$82&lt;&gt;"")*(G$3:G$82=G12))+1,IF(N12&lt;&gt;"",SUMPRODUCT((N$3:N$82&lt;&gt;"")*(G$3:G$82=G12)*(J$3:J$82&gt;J12))+1,IF(M12="P",SUMPRODUCT((O$3:O$82&lt;&gt;"")*(P$3:P$82="")*(G$3:G$82=G12))+SUMPRODUCT((P$3:P$82&lt;&gt;"")*(G$3:G$82=G12))+SUMPRODUCT((N$3:N$82&lt;&gt;"")*(G$3:G$82=G12))+SUMPRODUCT((P$3:P$82="")*(O$3:O$82="")*(N$3:N$82="")*(M$3:M$82="P")*(G$3:G$82=G12)*(J$3:J$82&gt;J12))+IF(H12="L5",SUMPRODUCT((P$3:P$82="")*(O$3:O$82="")*(N$3:N$82="")*(M$3:M$82="P")*(G$3:G$82=G12)*(J$3:J$82&lt;J12)*(H$3:H$82&lt;&gt;H12)),-1*SUMPRODUCT((P$3:P$82="")*(O$3:O$82="")*(N$3:N$82="")*(M$3:M$82="P")*(G$3:G$82=G12)*(J$3:J$82&gt;J12)*(H$3:H$82="L5")))+1,""))))</f>
        <v/>
      </c>
      <c r="C12" s="35" t="s">
        <v>118</v>
      </c>
      <c r="D12" s="35" t="str">
        <f>IF(E12="","",VLOOKUP(E12,'Coaching Points'!A:B,2,0))</f>
        <v>AB</v>
      </c>
      <c r="E12" s="35" t="s">
        <v>28</v>
      </c>
      <c r="F12" s="34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66</v>
      </c>
      <c r="I12" s="40"/>
      <c r="J12" s="4">
        <f t="shared" si="0"/>
        <v>46.390100000000004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/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>P</v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 t="shared" si="1"/>
        <v/>
      </c>
      <c r="R12" s="4">
        <f t="shared" si="2"/>
        <v>46.39</v>
      </c>
      <c r="S12" s="4">
        <f>IF(G12="17-21",LARGE(CHOOSE({1,2,3,4,5,6},T12,V12,Y12,AA12,AC12,AF12),2),IF(R12=X12,MAX(Y12,AA12,AC12,AF12),IF(R12=AE12,MAX(AF12,T12,V12,Y12),0)))</f>
        <v>44.55</v>
      </c>
      <c r="T12" s="32">
        <v>46.39</v>
      </c>
      <c r="U12" s="37">
        <v>9.8000000000000007</v>
      </c>
      <c r="V12" s="33">
        <v>44.55</v>
      </c>
      <c r="W12" s="37">
        <v>9.1</v>
      </c>
      <c r="X12" s="4">
        <f t="shared" si="3"/>
        <v>90.94</v>
      </c>
      <c r="Y12" s="33">
        <v>9.7200000000000006</v>
      </c>
      <c r="Z12" s="37">
        <v>2.1</v>
      </c>
      <c r="AA12" s="32"/>
      <c r="AB12" s="37"/>
      <c r="AC12" s="33"/>
      <c r="AD12" s="37"/>
      <c r="AE12" s="4">
        <f t="shared" si="4"/>
        <v>0</v>
      </c>
      <c r="AF12" s="33"/>
      <c r="AG12" s="37"/>
    </row>
    <row r="13" spans="1:34" x14ac:dyDescent="0.2">
      <c r="A13" s="1" t="str" cm="1">
        <f t="array" ref="A13">IF(I13="","",IF(P13&lt;&gt;"",SUMPRODUCT((P$3:P$82&lt;&gt;"")*(G$3:G$82=G13)*(J$3:J$82&gt;J13)*(I$3:I$82="P"))+1,IF(O13&lt;&gt;"",SUMPRODUCT((O$3:O$82&lt;&gt;"")*(P$3:P$82="")*(G$3:G$82=G13)*(J$3:J$82&gt;J13)*(I$3:I$82="P"))+SUMPRODUCT((P$3:P$82&lt;&gt;"")*(G$3:G$82=G13)*(I$3:I$82="P"))+1,IF(N13&lt;&gt;"",SUMPRODUCT((N$3:N$82&lt;&gt;"")*(G$3:G$82=G13)*(J$3:J$82&gt;J13)*(I$3:I$82="P"))+1,IF(M13="P",SUMPRODUCT((O$3:O$82&lt;&gt;"")*(P$3:P$82="")*(G$3:G$82=G13)*(I$3:I$82="P"))+SUMPRODUCT((P$3:P$82&lt;&gt;"")*(G$3:G$82=G13)*(I$3:I$82="P"))+SUMPRODUCT((N$3:N$82&lt;&gt;"")*(G$3:G$82=G13)*(I$3:I$82="P"))+SUMPRODUCT((P$3:P$82="")*(O$3:O$82="")*(N$3:N$82="")*(M$3:M$82="P")*(G$3:G$82=G13)*(J$3:J$82&gt;J13)*(I$3:I$82="P"))+IF(H13="L5",SUMPRODUCT((P$3:P$82="")*(O$3:O$82="")*(N$3:N$82="")*(M$3:M$82="P")*(G$3:G$82=G13)*(J$3:J$82&lt;J13)*(H$3:H$82&lt;&gt;H13)*(I$3:I$82="P")),-1*SUMPRODUCT((P$3:P$82="")*(O$3:O$82="")*(N$3:N$82="")*(M$3:M$82="P")*(G$3:G$82=G13)*(J$3:J$82&gt;J13)*(H$3:H$82="L5")*(I$3:I$82="P")))+1,"")))))</f>
        <v/>
      </c>
      <c r="B13" s="1" t="str" cm="1">
        <f t="array" ref="B13">IF(P13&lt;&gt;"",SUMPRODUCT((P$3:P$82&lt;&gt;"")*(G$3:G$82=G13)*(J$3:J$82&gt;J13))+1,IF(O13&lt;&gt;"",SUMPRODUCT((O$3:O$82&lt;&gt;"")*(P$3:P$82="")*(G$3:G$82=G13)*(J$3:J$82&gt;J13))+SUMPRODUCT((P$3:P$82&lt;&gt;"")*(G$3:G$82=G13))+1,IF(N13&lt;&gt;"",SUMPRODUCT((N$3:N$82&lt;&gt;"")*(G$3:G$82=G13)*(J$3:J$82&gt;J13))+1,IF(M13="P",SUMPRODUCT((O$3:O$82&lt;&gt;"")*(P$3:P$82="")*(G$3:G$82=G13))+SUMPRODUCT((P$3:P$82&lt;&gt;"")*(G$3:G$82=G13))+SUMPRODUCT((N$3:N$82&lt;&gt;"")*(G$3:G$82=G13))+SUMPRODUCT((P$3:P$82="")*(O$3:O$82="")*(N$3:N$82="")*(M$3:M$82="P")*(G$3:G$82=G13)*(J$3:J$82&gt;J13))+IF(H13="L5",SUMPRODUCT((P$3:P$82="")*(O$3:O$82="")*(N$3:N$82="")*(M$3:M$82="P")*(G$3:G$82=G13)*(J$3:J$82&lt;J13)*(H$3:H$82&lt;&gt;H13)),-1*SUMPRODUCT((P$3:P$82="")*(O$3:O$82="")*(N$3:N$82="")*(M$3:M$82="P")*(G$3:G$82=G13)*(J$3:J$82&gt;J13)*(H$3:H$82="L5")))+1,""))))</f>
        <v/>
      </c>
      <c r="C13" s="35" t="s">
        <v>266</v>
      </c>
      <c r="D13" s="35" t="str">
        <f>IF(E13="","",VLOOKUP(E13,'Coaching Points'!A:B,2,0))</f>
        <v>NL</v>
      </c>
      <c r="E13" s="35" t="s">
        <v>248</v>
      </c>
      <c r="F13" s="34">
        <v>2007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64</v>
      </c>
      <c r="I13" s="40"/>
      <c r="J13" s="4">
        <f t="shared" si="0"/>
        <v>46.17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 t="shared" si="1"/>
        <v/>
      </c>
      <c r="R13" s="4">
        <f t="shared" si="2"/>
        <v>46.17</v>
      </c>
      <c r="S13" s="4">
        <f>IF(G13="17-21",LARGE(CHOOSE({1,2,3,4,5,6},T13,V13,Y13,AA13,AC13,AF13),2),IF(R13=X13,MAX(Y13,AA13,AC13,AF13),IF(R13=AE13,MAX(AF13,T13,V13,Y13),0)))</f>
        <v>43.99</v>
      </c>
      <c r="T13" s="32">
        <v>39.07</v>
      </c>
      <c r="U13" s="37">
        <v>0</v>
      </c>
      <c r="V13" s="33">
        <v>43.99</v>
      </c>
      <c r="W13" s="37">
        <v>7.6</v>
      </c>
      <c r="X13" s="4">
        <f t="shared" si="3"/>
        <v>83.06</v>
      </c>
      <c r="Y13" s="33">
        <v>46.17</v>
      </c>
      <c r="Z13" s="37">
        <v>8.1999999999999993</v>
      </c>
      <c r="AA13" s="32"/>
      <c r="AB13" s="37"/>
      <c r="AC13" s="33"/>
      <c r="AD13" s="37"/>
      <c r="AE13" s="4">
        <f t="shared" si="4"/>
        <v>0</v>
      </c>
      <c r="AF13" s="33"/>
      <c r="AG13" s="37"/>
    </row>
    <row r="14" spans="1:34" x14ac:dyDescent="0.2">
      <c r="A14" s="1" t="str" cm="1">
        <f t="array" ref="A14">IF(I14="","",IF(P14&lt;&gt;"",SUMPRODUCT((P$3:P$82&lt;&gt;"")*(G$3:G$82=G14)*(J$3:J$82&gt;J14)*(I$3:I$82="P"))+1,IF(O14&lt;&gt;"",SUMPRODUCT((O$3:O$82&lt;&gt;"")*(P$3:P$82="")*(G$3:G$82=G14)*(J$3:J$82&gt;J14)*(I$3:I$82="P"))+SUMPRODUCT((P$3:P$82&lt;&gt;"")*(G$3:G$82=G14)*(I$3:I$82="P"))+1,IF(N14&lt;&gt;"",SUMPRODUCT((N$3:N$82&lt;&gt;"")*(G$3:G$82=G14)*(J$3:J$82&gt;J14)*(I$3:I$82="P"))+1,IF(M14="P",SUMPRODUCT((O$3:O$82&lt;&gt;"")*(P$3:P$82="")*(G$3:G$82=G14)*(I$3:I$82="P"))+SUMPRODUCT((P$3:P$82&lt;&gt;"")*(G$3:G$82=G14)*(I$3:I$82="P"))+SUMPRODUCT((N$3:N$82&lt;&gt;"")*(G$3:G$82=G14)*(I$3:I$82="P"))+SUMPRODUCT((P$3:P$82="")*(O$3:O$82="")*(N$3:N$82="")*(M$3:M$82="P")*(G$3:G$82=G14)*(J$3:J$82&gt;J14)*(I$3:I$82="P"))+IF(H14="L5",SUMPRODUCT((P$3:P$82="")*(O$3:O$82="")*(N$3:N$82="")*(M$3:M$82="P")*(G$3:G$82=G14)*(J$3:J$82&lt;J14)*(H$3:H$82&lt;&gt;H14)*(I$3:I$82="P")),-1*SUMPRODUCT((P$3:P$82="")*(O$3:O$82="")*(N$3:N$82="")*(M$3:M$82="P")*(G$3:G$82=G14)*(J$3:J$82&gt;J14)*(H$3:H$82="L5")*(I$3:I$82="P")))+1,"")))))</f>
        <v/>
      </c>
      <c r="B14" s="1" t="str" cm="1">
        <f t="array" ref="B14">IF(P14&lt;&gt;"",SUMPRODUCT((P$3:P$82&lt;&gt;"")*(G$3:G$82=G14)*(J$3:J$82&gt;J14))+1,IF(O14&lt;&gt;"",SUMPRODUCT((O$3:O$82&lt;&gt;"")*(P$3:P$82="")*(G$3:G$82=G14)*(J$3:J$82&gt;J14))+SUMPRODUCT((P$3:P$82&lt;&gt;"")*(G$3:G$82=G14))+1,IF(N14&lt;&gt;"",SUMPRODUCT((N$3:N$82&lt;&gt;"")*(G$3:G$82=G14)*(J$3:J$82&gt;J14))+1,IF(M14="P",SUMPRODUCT((O$3:O$82&lt;&gt;"")*(P$3:P$82="")*(G$3:G$82=G14))+SUMPRODUCT((P$3:P$82&lt;&gt;"")*(G$3:G$82=G14))+SUMPRODUCT((N$3:N$82&lt;&gt;"")*(G$3:G$82=G14))+SUMPRODUCT((P$3:P$82="")*(O$3:O$82="")*(N$3:N$82="")*(M$3:M$82="P")*(G$3:G$82=G14)*(J$3:J$82&gt;J14))+IF(H14="L5",SUMPRODUCT((P$3:P$82="")*(O$3:O$82="")*(N$3:N$82="")*(M$3:M$82="P")*(G$3:G$82=G14)*(J$3:J$82&lt;J14)*(H$3:H$82&lt;&gt;H14)),-1*SUMPRODUCT((P$3:P$82="")*(O$3:O$82="")*(N$3:N$82="")*(M$3:M$82="P")*(G$3:G$82=G14)*(J$3:J$82&gt;J14)*(H$3:H$82="L5")))+1,""))))</f>
        <v/>
      </c>
      <c r="C14" s="35" t="s">
        <v>180</v>
      </c>
      <c r="D14" s="35" t="str">
        <f>IF(E14="","",VLOOKUP(E14,'Coaching Points'!A:B,2,0))</f>
        <v>QC</v>
      </c>
      <c r="E14" s="35" t="s">
        <v>3</v>
      </c>
      <c r="F14" s="34">
        <v>2006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66</v>
      </c>
      <c r="I14" s="40"/>
      <c r="J14" s="4">
        <f t="shared" si="0"/>
        <v>46.000100000000003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 t="shared" si="1"/>
        <v/>
      </c>
      <c r="R14" s="4">
        <f t="shared" si="2"/>
        <v>46</v>
      </c>
      <c r="S14" s="4">
        <f>IF(G14="17-21",LARGE(CHOOSE({1,2,3,4,5,6},T14,V14,Y14,AA14,AC14,AF14),2),IF(R14=X14,MAX(Y14,AA14,AC14,AF14),IF(R14=AE14,MAX(AF14,T14,V14,Y14),0)))</f>
        <v>5.18</v>
      </c>
      <c r="T14" s="32">
        <v>5.18</v>
      </c>
      <c r="U14" s="37">
        <v>1.3</v>
      </c>
      <c r="V14" s="33">
        <v>46</v>
      </c>
      <c r="W14" s="37">
        <v>8.8000000000000007</v>
      </c>
      <c r="X14" s="4">
        <f t="shared" si="3"/>
        <v>51.18</v>
      </c>
      <c r="Y14" s="33"/>
      <c r="Z14" s="37"/>
      <c r="AA14" s="32"/>
      <c r="AB14" s="37"/>
      <c r="AC14" s="33"/>
      <c r="AD14" s="37"/>
      <c r="AE14" s="4">
        <f t="shared" si="4"/>
        <v>0</v>
      </c>
      <c r="AF14" s="33"/>
      <c r="AG14" s="37"/>
    </row>
    <row r="15" spans="1:34" x14ac:dyDescent="0.2">
      <c r="A15" s="1" t="str" cm="1">
        <f t="array" ref="A15">IF(I15="","",IF(P15&lt;&gt;"",SUMPRODUCT((P$3:P$82&lt;&gt;"")*(G$3:G$82=G15)*(J$3:J$82&gt;J15)*(I$3:I$82="P"))+1,IF(O15&lt;&gt;"",SUMPRODUCT((O$3:O$82&lt;&gt;"")*(P$3:P$82="")*(G$3:G$82=G15)*(J$3:J$82&gt;J15)*(I$3:I$82="P"))+SUMPRODUCT((P$3:P$82&lt;&gt;"")*(G$3:G$82=G15)*(I$3:I$82="P"))+1,IF(N15&lt;&gt;"",SUMPRODUCT((N$3:N$82&lt;&gt;"")*(G$3:G$82=G15)*(J$3:J$82&gt;J15)*(I$3:I$82="P"))+1,IF(M15="P",SUMPRODUCT((O$3:O$82&lt;&gt;"")*(P$3:P$82="")*(G$3:G$82=G15)*(I$3:I$82="P"))+SUMPRODUCT((P$3:P$82&lt;&gt;"")*(G$3:G$82=G15)*(I$3:I$82="P"))+SUMPRODUCT((N$3:N$82&lt;&gt;"")*(G$3:G$82=G15)*(I$3:I$82="P"))+SUMPRODUCT((P$3:P$82="")*(O$3:O$82="")*(N$3:N$82="")*(M$3:M$82="P")*(G$3:G$82=G15)*(J$3:J$82&gt;J15)*(I$3:I$82="P"))+IF(H15="L5",SUMPRODUCT((P$3:P$82="")*(O$3:O$82="")*(N$3:N$82="")*(M$3:M$82="P")*(G$3:G$82=G15)*(J$3:J$82&lt;J15)*(H$3:H$82&lt;&gt;H15)*(I$3:I$82="P")),-1*SUMPRODUCT((P$3:P$82="")*(O$3:O$82="")*(N$3:N$82="")*(M$3:M$82="P")*(G$3:G$82=G15)*(J$3:J$82&gt;J15)*(H$3:H$82="L5")*(I$3:I$82="P")))+1,"")))))</f>
        <v/>
      </c>
      <c r="B15" s="1" t="str" cm="1">
        <f t="array" ref="B15">IF(P15&lt;&gt;"",SUMPRODUCT((P$3:P$82&lt;&gt;"")*(G$3:G$82=G15)*(J$3:J$82&gt;J15))+1,IF(O15&lt;&gt;"",SUMPRODUCT((O$3:O$82&lt;&gt;"")*(P$3:P$82="")*(G$3:G$82=G15)*(J$3:J$82&gt;J15))+SUMPRODUCT((P$3:P$82&lt;&gt;"")*(G$3:G$82=G15))+1,IF(N15&lt;&gt;"",SUMPRODUCT((N$3:N$82&lt;&gt;"")*(G$3:G$82=G15)*(J$3:J$82&gt;J15))+1,IF(M15="P",SUMPRODUCT((O$3:O$82&lt;&gt;"")*(P$3:P$82="")*(G$3:G$82=G15))+SUMPRODUCT((P$3:P$82&lt;&gt;"")*(G$3:G$82=G15))+SUMPRODUCT((N$3:N$82&lt;&gt;"")*(G$3:G$82=G15))+SUMPRODUCT((P$3:P$82="")*(O$3:O$82="")*(N$3:N$82="")*(M$3:M$82="P")*(G$3:G$82=G15)*(J$3:J$82&gt;J15))+IF(H15="L5",SUMPRODUCT((P$3:P$82="")*(O$3:O$82="")*(N$3:N$82="")*(M$3:M$82="P")*(G$3:G$82=G15)*(J$3:J$82&lt;J15)*(H$3:H$82&lt;&gt;H15)),-1*SUMPRODUCT((P$3:P$82="")*(O$3:O$82="")*(N$3:N$82="")*(M$3:M$82="P")*(G$3:G$82=G15)*(J$3:J$82&gt;J15)*(H$3:H$82="L5")))+1,""))))</f>
        <v/>
      </c>
      <c r="C15" s="35" t="s">
        <v>109</v>
      </c>
      <c r="D15" s="35" t="str">
        <f>IF(E15="","",VLOOKUP(E15,'Coaching Points'!A:B,2,0))</f>
        <v>ON</v>
      </c>
      <c r="E15" s="35" t="s">
        <v>45</v>
      </c>
      <c r="F15" s="34">
        <v>2006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64</v>
      </c>
      <c r="I15" s="40"/>
      <c r="J15" s="4">
        <f t="shared" si="0"/>
        <v>45.97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 t="shared" si="1"/>
        <v/>
      </c>
      <c r="R15" s="4">
        <f t="shared" si="2"/>
        <v>45.97</v>
      </c>
      <c r="S15" s="4">
        <f>IF(G15="17-21",LARGE(CHOOSE({1,2,3,4,5,6},T15,V15,Y15,AA15,AC15,AF15),2),IF(R15=X15,MAX(Y15,AA15,AC15,AF15),IF(R15=AE15,MAX(AF15,T15,V15,Y15),0)))</f>
        <v>44.7</v>
      </c>
      <c r="T15" s="32">
        <v>38.549999999999997</v>
      </c>
      <c r="U15" s="37">
        <v>0</v>
      </c>
      <c r="V15" s="33">
        <v>45.97</v>
      </c>
      <c r="W15" s="37">
        <v>8.8000000000000007</v>
      </c>
      <c r="X15" s="4">
        <f t="shared" si="3"/>
        <v>84.52</v>
      </c>
      <c r="Y15" s="33">
        <v>44.7</v>
      </c>
      <c r="Z15" s="37">
        <v>8.1999999999999993</v>
      </c>
      <c r="AA15" s="32"/>
      <c r="AB15" s="37"/>
      <c r="AC15" s="33"/>
      <c r="AD15" s="37"/>
      <c r="AE15" s="4">
        <f t="shared" si="4"/>
        <v>0</v>
      </c>
      <c r="AF15" s="33"/>
      <c r="AG15" s="37"/>
    </row>
    <row r="16" spans="1:34" x14ac:dyDescent="0.2">
      <c r="A16" s="1" t="str" cm="1">
        <f t="array" ref="A16">IF(I16="","",IF(P16&lt;&gt;"",SUMPRODUCT((P$3:P$82&lt;&gt;"")*(G$3:G$82=G16)*(J$3:J$82&gt;J16)*(I$3:I$82="P"))+1,IF(O16&lt;&gt;"",SUMPRODUCT((O$3:O$82&lt;&gt;"")*(P$3:P$82="")*(G$3:G$82=G16)*(J$3:J$82&gt;J16)*(I$3:I$82="P"))+SUMPRODUCT((P$3:P$82&lt;&gt;"")*(G$3:G$82=G16)*(I$3:I$82="P"))+1,IF(N16&lt;&gt;"",SUMPRODUCT((N$3:N$82&lt;&gt;"")*(G$3:G$82=G16)*(J$3:J$82&gt;J16)*(I$3:I$82="P"))+1,IF(M16="P",SUMPRODUCT((O$3:O$82&lt;&gt;"")*(P$3:P$82="")*(G$3:G$82=G16)*(I$3:I$82="P"))+SUMPRODUCT((P$3:P$82&lt;&gt;"")*(G$3:G$82=G16)*(I$3:I$82="P"))+SUMPRODUCT((N$3:N$82&lt;&gt;"")*(G$3:G$82=G16)*(I$3:I$82="P"))+SUMPRODUCT((P$3:P$82="")*(O$3:O$82="")*(N$3:N$82="")*(M$3:M$82="P")*(G$3:G$82=G16)*(J$3:J$82&gt;J16)*(I$3:I$82="P"))+IF(H16="L5",SUMPRODUCT((P$3:P$82="")*(O$3:O$82="")*(N$3:N$82="")*(M$3:M$82="P")*(G$3:G$82=G16)*(J$3:J$82&lt;J16)*(H$3:H$82&lt;&gt;H16)*(I$3:I$82="P")),-1*SUMPRODUCT((P$3:P$82="")*(O$3:O$82="")*(N$3:N$82="")*(M$3:M$82="P")*(G$3:G$82=G16)*(J$3:J$82&gt;J16)*(H$3:H$82="L5")*(I$3:I$82="P")))+1,"")))))</f>
        <v/>
      </c>
      <c r="B16" s="1" t="str" cm="1">
        <f t="array" ref="B16">IF(P16&lt;&gt;"",SUMPRODUCT((P$3:P$82&lt;&gt;"")*(G$3:G$82=G16)*(J$3:J$82&gt;J16))+1,IF(O16&lt;&gt;"",SUMPRODUCT((O$3:O$82&lt;&gt;"")*(P$3:P$82="")*(G$3:G$82=G16)*(J$3:J$82&gt;J16))+SUMPRODUCT((P$3:P$82&lt;&gt;"")*(G$3:G$82=G16))+1,IF(N16&lt;&gt;"",SUMPRODUCT((N$3:N$82&lt;&gt;"")*(G$3:G$82=G16)*(J$3:J$82&gt;J16))+1,IF(M16="P",SUMPRODUCT((O$3:O$82&lt;&gt;"")*(P$3:P$82="")*(G$3:G$82=G16))+SUMPRODUCT((P$3:P$82&lt;&gt;"")*(G$3:G$82=G16))+SUMPRODUCT((N$3:N$82&lt;&gt;"")*(G$3:G$82=G16))+SUMPRODUCT((P$3:P$82="")*(O$3:O$82="")*(N$3:N$82="")*(M$3:M$82="P")*(G$3:G$82=G16)*(J$3:J$82&gt;J16))+IF(H16="L5",SUMPRODUCT((P$3:P$82="")*(O$3:O$82="")*(N$3:N$82="")*(M$3:M$82="P")*(G$3:G$82=G16)*(J$3:J$82&lt;J16)*(H$3:H$82&lt;&gt;H16)),-1*SUMPRODUCT((P$3:P$82="")*(O$3:O$82="")*(N$3:N$82="")*(M$3:M$82="P")*(G$3:G$82=G16)*(J$3:J$82&gt;J16)*(H$3:H$82="L5")))+1,""))))</f>
        <v/>
      </c>
      <c r="C16" s="35" t="s">
        <v>107</v>
      </c>
      <c r="D16" s="35" t="str">
        <f>IF(E16="","",VLOOKUP(E16,'Coaching Points'!A:B,2,0))</f>
        <v>ON</v>
      </c>
      <c r="E16" s="35" t="s">
        <v>37</v>
      </c>
      <c r="F16" s="34">
        <v>2007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64</v>
      </c>
      <c r="I16" s="40"/>
      <c r="J16" s="4">
        <f t="shared" si="0"/>
        <v>45.87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 t="shared" si="1"/>
        <v/>
      </c>
      <c r="R16" s="4">
        <f t="shared" si="2"/>
        <v>45.87</v>
      </c>
      <c r="S16" s="4">
        <f>IF(G16="17-21",LARGE(CHOOSE({1,2,3,4,5,6},T16,V16,Y16,AA16,AC16,AF16),2),IF(R16=X16,MAX(Y16,AA16,AC16,AF16),IF(R16=AE16,MAX(AF16,T16,V16,Y16),0)))</f>
        <v>20.82</v>
      </c>
      <c r="T16" s="32">
        <v>20.82</v>
      </c>
      <c r="U16" s="37">
        <v>0</v>
      </c>
      <c r="V16" s="33">
        <v>45.87</v>
      </c>
      <c r="W16" s="37">
        <v>8.1999999999999993</v>
      </c>
      <c r="X16" s="4">
        <f t="shared" si="3"/>
        <v>66.69</v>
      </c>
      <c r="Y16" s="33"/>
      <c r="Z16" s="37"/>
      <c r="AA16" s="32"/>
      <c r="AB16" s="37"/>
      <c r="AC16" s="33"/>
      <c r="AD16" s="37"/>
      <c r="AE16" s="4">
        <f t="shared" si="4"/>
        <v>0</v>
      </c>
      <c r="AF16" s="33"/>
      <c r="AG16" s="37"/>
    </row>
    <row r="17" spans="1:33" x14ac:dyDescent="0.2">
      <c r="A17" s="1" t="str" cm="1">
        <f t="array" ref="A17">IF(I17="","",IF(P17&lt;&gt;"",SUMPRODUCT((P$3:P$82&lt;&gt;"")*(G$3:G$82=G17)*(J$3:J$82&gt;J17)*(I$3:I$82="P"))+1,IF(O17&lt;&gt;"",SUMPRODUCT((O$3:O$82&lt;&gt;"")*(P$3:P$82="")*(G$3:G$82=G17)*(J$3:J$82&gt;J17)*(I$3:I$82="P"))+SUMPRODUCT((P$3:P$82&lt;&gt;"")*(G$3:G$82=G17)*(I$3:I$82="P"))+1,IF(N17&lt;&gt;"",SUMPRODUCT((N$3:N$82&lt;&gt;"")*(G$3:G$82=G17)*(J$3:J$82&gt;J17)*(I$3:I$82="P"))+1,IF(M17="P",SUMPRODUCT((O$3:O$82&lt;&gt;"")*(P$3:P$82="")*(G$3:G$82=G17)*(I$3:I$82="P"))+SUMPRODUCT((P$3:P$82&lt;&gt;"")*(G$3:G$82=G17)*(I$3:I$82="P"))+SUMPRODUCT((N$3:N$82&lt;&gt;"")*(G$3:G$82=G17)*(I$3:I$82="P"))+SUMPRODUCT((P$3:P$82="")*(O$3:O$82="")*(N$3:N$82="")*(M$3:M$82="P")*(G$3:G$82=G17)*(J$3:J$82&gt;J17)*(I$3:I$82="P"))+IF(H17="L5",SUMPRODUCT((P$3:P$82="")*(O$3:O$82="")*(N$3:N$82="")*(M$3:M$82="P")*(G$3:G$82=G17)*(J$3:J$82&lt;J17)*(H$3:H$82&lt;&gt;H17)*(I$3:I$82="P")),-1*SUMPRODUCT((P$3:P$82="")*(O$3:O$82="")*(N$3:N$82="")*(M$3:M$82="P")*(G$3:G$82=G17)*(J$3:J$82&gt;J17)*(H$3:H$82="L5")*(I$3:I$82="P")))+1,"")))))</f>
        <v/>
      </c>
      <c r="B17" s="1" t="str" cm="1">
        <f t="array" ref="B17">IF(P17&lt;&gt;"",SUMPRODUCT((P$3:P$82&lt;&gt;"")*(G$3:G$82=G17)*(J$3:J$82&gt;J17))+1,IF(O17&lt;&gt;"",SUMPRODUCT((O$3:O$82&lt;&gt;"")*(P$3:P$82="")*(G$3:G$82=G17)*(J$3:J$82&gt;J17))+SUMPRODUCT((P$3:P$82&lt;&gt;"")*(G$3:G$82=G17))+1,IF(N17&lt;&gt;"",SUMPRODUCT((N$3:N$82&lt;&gt;"")*(G$3:G$82=G17)*(J$3:J$82&gt;J17))+1,IF(M17="P",SUMPRODUCT((O$3:O$82&lt;&gt;"")*(P$3:P$82="")*(G$3:G$82=G17))+SUMPRODUCT((P$3:P$82&lt;&gt;"")*(G$3:G$82=G17))+SUMPRODUCT((N$3:N$82&lt;&gt;"")*(G$3:G$82=G17))+SUMPRODUCT((P$3:P$82="")*(O$3:O$82="")*(N$3:N$82="")*(M$3:M$82="P")*(G$3:G$82=G17)*(J$3:J$82&gt;J17))+IF(H17="L5",SUMPRODUCT((P$3:P$82="")*(O$3:O$82="")*(N$3:N$82="")*(M$3:M$82="P")*(G$3:G$82=G17)*(J$3:J$82&lt;J17)*(H$3:H$82&lt;&gt;H17)),-1*SUMPRODUCT((P$3:P$82="")*(O$3:O$82="")*(N$3:N$82="")*(M$3:M$82="P")*(G$3:G$82=G17)*(J$3:J$82&gt;J17)*(H$3:H$82="L5")))+1,""))))</f>
        <v/>
      </c>
      <c r="C17" s="35" t="s">
        <v>115</v>
      </c>
      <c r="D17" s="35" t="str">
        <f>IF(E17="","",VLOOKUP(E17,'Coaching Points'!A:B,2,0))</f>
        <v>NS</v>
      </c>
      <c r="E17" s="35" t="s">
        <v>112</v>
      </c>
      <c r="F17" s="34">
        <v>2005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64</v>
      </c>
      <c r="I17" s="40"/>
      <c r="J17" s="4">
        <f t="shared" si="0"/>
        <v>45.48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 t="shared" si="1"/>
        <v/>
      </c>
      <c r="R17" s="4">
        <f t="shared" si="2"/>
        <v>45.48</v>
      </c>
      <c r="S17" s="4">
        <f>IF(G17="17-21",LARGE(CHOOSE({1,2,3,4,5,6},T17,V17,Y17,AA17,AC17,AF17),2),IF(R17=X17,MAX(Y17,AA17,AC17,AF17),IF(R17=AE17,MAX(AF17,T17,V17,Y17),0)))</f>
        <v>45.1</v>
      </c>
      <c r="T17" s="32">
        <v>39.090000000000003</v>
      </c>
      <c r="U17" s="37">
        <v>0</v>
      </c>
      <c r="V17" s="33">
        <v>45.48</v>
      </c>
      <c r="W17" s="37">
        <v>7.8</v>
      </c>
      <c r="X17" s="4">
        <f t="shared" si="3"/>
        <v>84.57</v>
      </c>
      <c r="Y17" s="33">
        <v>45.1</v>
      </c>
      <c r="Z17" s="37">
        <v>7.8</v>
      </c>
      <c r="AA17" s="32"/>
      <c r="AB17" s="37"/>
      <c r="AC17" s="33"/>
      <c r="AD17" s="37"/>
      <c r="AE17" s="4">
        <f t="shared" si="4"/>
        <v>0</v>
      </c>
      <c r="AF17" s="33"/>
      <c r="AG17" s="37"/>
    </row>
    <row r="18" spans="1:33" x14ac:dyDescent="0.2">
      <c r="A18" s="1" t="str" cm="1">
        <f t="array" ref="A18">IF(I18="","",IF(P18&lt;&gt;"",SUMPRODUCT((P$3:P$82&lt;&gt;"")*(G$3:G$82=G18)*(J$3:J$82&gt;J18)*(I$3:I$82="P"))+1,IF(O18&lt;&gt;"",SUMPRODUCT((O$3:O$82&lt;&gt;"")*(P$3:P$82="")*(G$3:G$82=G18)*(J$3:J$82&gt;J18)*(I$3:I$82="P"))+SUMPRODUCT((P$3:P$82&lt;&gt;"")*(G$3:G$82=G18)*(I$3:I$82="P"))+1,IF(N18&lt;&gt;"",SUMPRODUCT((N$3:N$82&lt;&gt;"")*(G$3:G$82=G18)*(J$3:J$82&gt;J18)*(I$3:I$82="P"))+1,IF(M18="P",SUMPRODUCT((O$3:O$82&lt;&gt;"")*(P$3:P$82="")*(G$3:G$82=G18)*(I$3:I$82="P"))+SUMPRODUCT((P$3:P$82&lt;&gt;"")*(G$3:G$82=G18)*(I$3:I$82="P"))+SUMPRODUCT((N$3:N$82&lt;&gt;"")*(G$3:G$82=G18)*(I$3:I$82="P"))+SUMPRODUCT((P$3:P$82="")*(O$3:O$82="")*(N$3:N$82="")*(M$3:M$82="P")*(G$3:G$82=G18)*(J$3:J$82&gt;J18)*(I$3:I$82="P"))+IF(H18="L5",SUMPRODUCT((P$3:P$82="")*(O$3:O$82="")*(N$3:N$82="")*(M$3:M$82="P")*(G$3:G$82=G18)*(J$3:J$82&lt;J18)*(H$3:H$82&lt;&gt;H18)*(I$3:I$82="P")),-1*SUMPRODUCT((P$3:P$82="")*(O$3:O$82="")*(N$3:N$82="")*(M$3:M$82="P")*(G$3:G$82=G18)*(J$3:J$82&gt;J18)*(H$3:H$82="L5")*(I$3:I$82="P")))+1,"")))))</f>
        <v/>
      </c>
      <c r="B18" s="1" t="str" cm="1">
        <f t="array" ref="B18">IF(P18&lt;&gt;"",SUMPRODUCT((P$3:P$82&lt;&gt;"")*(G$3:G$82=G18)*(J$3:J$82&gt;J18))+1,IF(O18&lt;&gt;"",SUMPRODUCT((O$3:O$82&lt;&gt;"")*(P$3:P$82="")*(G$3:G$82=G18)*(J$3:J$82&gt;J18))+SUMPRODUCT((P$3:P$82&lt;&gt;"")*(G$3:G$82=G18))+1,IF(N18&lt;&gt;"",SUMPRODUCT((N$3:N$82&lt;&gt;"")*(G$3:G$82=G18)*(J$3:J$82&gt;J18))+1,IF(M18="P",SUMPRODUCT((O$3:O$82&lt;&gt;"")*(P$3:P$82="")*(G$3:G$82=G18))+SUMPRODUCT((P$3:P$82&lt;&gt;"")*(G$3:G$82=G18))+SUMPRODUCT((N$3:N$82&lt;&gt;"")*(G$3:G$82=G18))+SUMPRODUCT((P$3:P$82="")*(O$3:O$82="")*(N$3:N$82="")*(M$3:M$82="P")*(G$3:G$82=G18)*(J$3:J$82&gt;J18))+IF(H18="L5",SUMPRODUCT((P$3:P$82="")*(O$3:O$82="")*(N$3:N$82="")*(M$3:M$82="P")*(G$3:G$82=G18)*(J$3:J$82&lt;J18)*(H$3:H$82&lt;&gt;H18)),-1*SUMPRODUCT((P$3:P$82="")*(O$3:O$82="")*(N$3:N$82="")*(M$3:M$82="P")*(G$3:G$82=G18)*(J$3:J$82&gt;J18)*(H$3:H$82="L5")))+1,""))))</f>
        <v/>
      </c>
      <c r="C18" s="35" t="s">
        <v>142</v>
      </c>
      <c r="D18" s="35" t="str">
        <f>IF(E18="","",VLOOKUP(E18,'Coaching Points'!A:B,2,0))</f>
        <v>SK</v>
      </c>
      <c r="E18" s="35" t="s">
        <v>329</v>
      </c>
      <c r="F18" s="34">
        <v>2005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64</v>
      </c>
      <c r="I18" s="40"/>
      <c r="J18" s="4">
        <f t="shared" si="0"/>
        <v>45.31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 t="shared" si="1"/>
        <v/>
      </c>
      <c r="R18" s="4">
        <f t="shared" si="2"/>
        <v>45.31</v>
      </c>
      <c r="S18" s="4">
        <f>IF(G18="17-21",LARGE(CHOOSE({1,2,3,4,5,6},T18,V18,Y18,AA18,AC18,AF18),2),IF(R18=X18,MAX(Y18,AA18,AC18,AF18),IF(R18=AE18,MAX(AF18,T18,V18,Y18),0)))</f>
        <v>40.33</v>
      </c>
      <c r="T18" s="32">
        <v>37.619999999999997</v>
      </c>
      <c r="U18" s="37">
        <v>0</v>
      </c>
      <c r="V18" s="33">
        <v>45.31</v>
      </c>
      <c r="W18" s="37">
        <v>8.9</v>
      </c>
      <c r="X18" s="4">
        <f t="shared" si="3"/>
        <v>82.93</v>
      </c>
      <c r="Y18" s="33">
        <v>40.33</v>
      </c>
      <c r="Z18" s="37">
        <v>7.7</v>
      </c>
      <c r="AA18" s="32"/>
      <c r="AB18" s="37"/>
      <c r="AC18" s="33"/>
      <c r="AD18" s="37"/>
      <c r="AE18" s="4">
        <f t="shared" si="4"/>
        <v>0</v>
      </c>
      <c r="AF18" s="33"/>
      <c r="AG18" s="37"/>
    </row>
    <row r="19" spans="1:33" x14ac:dyDescent="0.2">
      <c r="A19" s="1" t="str" cm="1">
        <f t="array" ref="A19">IF(I19="","",IF(P19&lt;&gt;"",SUMPRODUCT((P$3:P$82&lt;&gt;"")*(G$3:G$82=G19)*(J$3:J$82&gt;J19)*(I$3:I$82="P"))+1,IF(O19&lt;&gt;"",SUMPRODUCT((O$3:O$82&lt;&gt;"")*(P$3:P$82="")*(G$3:G$82=G19)*(J$3:J$82&gt;J19)*(I$3:I$82="P"))+SUMPRODUCT((P$3:P$82&lt;&gt;"")*(G$3:G$82=G19)*(I$3:I$82="P"))+1,IF(N19&lt;&gt;"",SUMPRODUCT((N$3:N$82&lt;&gt;"")*(G$3:G$82=G19)*(J$3:J$82&gt;J19)*(I$3:I$82="P"))+1,IF(M19="P",SUMPRODUCT((O$3:O$82&lt;&gt;"")*(P$3:P$82="")*(G$3:G$82=G19)*(I$3:I$82="P"))+SUMPRODUCT((P$3:P$82&lt;&gt;"")*(G$3:G$82=G19)*(I$3:I$82="P"))+SUMPRODUCT((N$3:N$82&lt;&gt;"")*(G$3:G$82=G19)*(I$3:I$82="P"))+SUMPRODUCT((P$3:P$82="")*(O$3:O$82="")*(N$3:N$82="")*(M$3:M$82="P")*(G$3:G$82=G19)*(J$3:J$82&gt;J19)*(I$3:I$82="P"))+IF(H19="L5",SUMPRODUCT((P$3:P$82="")*(O$3:O$82="")*(N$3:N$82="")*(M$3:M$82="P")*(G$3:G$82=G19)*(J$3:J$82&lt;J19)*(H$3:H$82&lt;&gt;H19)*(I$3:I$82="P")),-1*SUMPRODUCT((P$3:P$82="")*(O$3:O$82="")*(N$3:N$82="")*(M$3:M$82="P")*(G$3:G$82=G19)*(J$3:J$82&gt;J19)*(H$3:H$82="L5")*(I$3:I$82="P")))+1,"")))))</f>
        <v/>
      </c>
      <c r="B19" s="1" t="str" cm="1">
        <f t="array" ref="B19">IF(P19&lt;&gt;"",SUMPRODUCT((P$3:P$82&lt;&gt;"")*(G$3:G$82=G19)*(J$3:J$82&gt;J19))+1,IF(O19&lt;&gt;"",SUMPRODUCT((O$3:O$82&lt;&gt;"")*(P$3:P$82="")*(G$3:G$82=G19)*(J$3:J$82&gt;J19))+SUMPRODUCT((P$3:P$82&lt;&gt;"")*(G$3:G$82=G19))+1,IF(N19&lt;&gt;"",SUMPRODUCT((N$3:N$82&lt;&gt;"")*(G$3:G$82=G19)*(J$3:J$82&gt;J19))+1,IF(M19="P",SUMPRODUCT((O$3:O$82&lt;&gt;"")*(P$3:P$82="")*(G$3:G$82=G19))+SUMPRODUCT((P$3:P$82&lt;&gt;"")*(G$3:G$82=G19))+SUMPRODUCT((N$3:N$82&lt;&gt;"")*(G$3:G$82=G19))+SUMPRODUCT((P$3:P$82="")*(O$3:O$82="")*(N$3:N$82="")*(M$3:M$82="P")*(G$3:G$82=G19)*(J$3:J$82&gt;J19))+IF(H19="L5",SUMPRODUCT((P$3:P$82="")*(O$3:O$82="")*(N$3:N$82="")*(M$3:M$82="P")*(G$3:G$82=G19)*(J$3:J$82&lt;J19)*(H$3:H$82&lt;&gt;H19)),-1*SUMPRODUCT((P$3:P$82="")*(O$3:O$82="")*(N$3:N$82="")*(M$3:M$82="P")*(G$3:G$82=G19)*(J$3:J$82&gt;J19)*(H$3:H$82="L5")))+1,""))))</f>
        <v/>
      </c>
      <c r="C19" s="35" t="s">
        <v>259</v>
      </c>
      <c r="D19" s="35" t="str">
        <f>IF(E19="","",VLOOKUP(E19,'Coaching Points'!A:B,2,0))</f>
        <v>AB</v>
      </c>
      <c r="E19" s="35" t="s">
        <v>62</v>
      </c>
      <c r="F19" s="34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64</v>
      </c>
      <c r="I19" s="40"/>
      <c r="J19" s="4">
        <f t="shared" si="0"/>
        <v>45.15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 t="shared" si="1"/>
        <v/>
      </c>
      <c r="R19" s="4">
        <f t="shared" si="2"/>
        <v>45.15</v>
      </c>
      <c r="S19" s="4">
        <f>IF(G19="17-21",LARGE(CHOOSE({1,2,3,4,5,6},T19,V19,Y19,AA19,AC19,AF19),2),IF(R19=X19,MAX(Y19,AA19,AC19,AF19),IF(R19=AE19,MAX(AF19,T19,V19,Y19),0)))</f>
        <v>42.7</v>
      </c>
      <c r="T19" s="32">
        <v>37.29</v>
      </c>
      <c r="U19" s="37">
        <v>0</v>
      </c>
      <c r="V19" s="33">
        <v>45.15</v>
      </c>
      <c r="W19" s="37">
        <v>7.6</v>
      </c>
      <c r="X19" s="4">
        <f t="shared" si="3"/>
        <v>82.44</v>
      </c>
      <c r="Y19" s="33">
        <v>42.7</v>
      </c>
      <c r="Z19" s="37">
        <v>7</v>
      </c>
      <c r="AA19" s="32"/>
      <c r="AB19" s="37"/>
      <c r="AC19" s="33"/>
      <c r="AD19" s="37"/>
      <c r="AE19" s="4">
        <f t="shared" si="4"/>
        <v>0</v>
      </c>
      <c r="AF19" s="33"/>
      <c r="AG19" s="37"/>
    </row>
    <row r="20" spans="1:33" x14ac:dyDescent="0.2">
      <c r="A20" s="1" t="str" cm="1">
        <f t="array" ref="A20">IF(I20="","",IF(P20&lt;&gt;"",SUMPRODUCT((P$3:P$82&lt;&gt;"")*(G$3:G$82=G20)*(J$3:J$82&gt;J20)*(I$3:I$82="P"))+1,IF(O20&lt;&gt;"",SUMPRODUCT((O$3:O$82&lt;&gt;"")*(P$3:P$82="")*(G$3:G$82=G20)*(J$3:J$82&gt;J20)*(I$3:I$82="P"))+SUMPRODUCT((P$3:P$82&lt;&gt;"")*(G$3:G$82=G20)*(I$3:I$82="P"))+1,IF(N20&lt;&gt;"",SUMPRODUCT((N$3:N$82&lt;&gt;"")*(G$3:G$82=G20)*(J$3:J$82&gt;J20)*(I$3:I$82="P"))+1,IF(M20="P",SUMPRODUCT((O$3:O$82&lt;&gt;"")*(P$3:P$82="")*(G$3:G$82=G20)*(I$3:I$82="P"))+SUMPRODUCT((P$3:P$82&lt;&gt;"")*(G$3:G$82=G20)*(I$3:I$82="P"))+SUMPRODUCT((N$3:N$82&lt;&gt;"")*(G$3:G$82=G20)*(I$3:I$82="P"))+SUMPRODUCT((P$3:P$82="")*(O$3:O$82="")*(N$3:N$82="")*(M$3:M$82="P")*(G$3:G$82=G20)*(J$3:J$82&gt;J20)*(I$3:I$82="P"))+IF(H20="L5",SUMPRODUCT((P$3:P$82="")*(O$3:O$82="")*(N$3:N$82="")*(M$3:M$82="P")*(G$3:G$82=G20)*(J$3:J$82&lt;J20)*(H$3:H$82&lt;&gt;H20)*(I$3:I$82="P")),-1*SUMPRODUCT((P$3:P$82="")*(O$3:O$82="")*(N$3:N$82="")*(M$3:M$82="P")*(G$3:G$82=G20)*(J$3:J$82&gt;J20)*(H$3:H$82="L5")*(I$3:I$82="P")))+1,"")))))</f>
        <v/>
      </c>
      <c r="B20" s="1" t="str" cm="1">
        <f t="array" ref="B20">IF(P20&lt;&gt;"",SUMPRODUCT((P$3:P$82&lt;&gt;"")*(G$3:G$82=G20)*(J$3:J$82&gt;J20))+1,IF(O20&lt;&gt;"",SUMPRODUCT((O$3:O$82&lt;&gt;"")*(P$3:P$82="")*(G$3:G$82=G20)*(J$3:J$82&gt;J20))+SUMPRODUCT((P$3:P$82&lt;&gt;"")*(G$3:G$82=G20))+1,IF(N20&lt;&gt;"",SUMPRODUCT((N$3:N$82&lt;&gt;"")*(G$3:G$82=G20)*(J$3:J$82&gt;J20))+1,IF(M20="P",SUMPRODUCT((O$3:O$82&lt;&gt;"")*(P$3:P$82="")*(G$3:G$82=G20))+SUMPRODUCT((P$3:P$82&lt;&gt;"")*(G$3:G$82=G20))+SUMPRODUCT((N$3:N$82&lt;&gt;"")*(G$3:G$82=G20))+SUMPRODUCT((P$3:P$82="")*(O$3:O$82="")*(N$3:N$82="")*(M$3:M$82="P")*(G$3:G$82=G20)*(J$3:J$82&gt;J20))+IF(H20="L5",SUMPRODUCT((P$3:P$82="")*(O$3:O$82="")*(N$3:N$82="")*(M$3:M$82="P")*(G$3:G$82=G20)*(J$3:J$82&lt;J20)*(H$3:H$82&lt;&gt;H20)),-1*SUMPRODUCT((P$3:P$82="")*(O$3:O$82="")*(N$3:N$82="")*(M$3:M$82="P")*(G$3:G$82=G20)*(J$3:J$82&gt;J20)*(H$3:H$82="L5")))+1,""))))</f>
        <v/>
      </c>
      <c r="C20" s="35" t="s">
        <v>207</v>
      </c>
      <c r="D20" s="35" t="str">
        <f>IF(E20="","",VLOOKUP(E20,'Coaching Points'!A:B,2,0))</f>
        <v>AB</v>
      </c>
      <c r="E20" s="35" t="s">
        <v>56</v>
      </c>
      <c r="F20" s="34">
        <v>2006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66</v>
      </c>
      <c r="I20" s="40"/>
      <c r="J20" s="4">
        <f t="shared" si="0"/>
        <v>45.010100000000001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 t="shared" si="1"/>
        <v/>
      </c>
      <c r="R20" s="4">
        <f t="shared" si="2"/>
        <v>45.01</v>
      </c>
      <c r="S20" s="4">
        <f>IF(G20="17-21",LARGE(CHOOSE({1,2,3,4,5,6},T20,V20,Y20,AA20,AC20,AF20),2),IF(R20=X20,MAX(Y20,AA20,AC20,AF20),IF(R20=AE20,MAX(AF20,T20,V20,Y20),0)))</f>
        <v>19.18</v>
      </c>
      <c r="T20" s="32">
        <v>19.18</v>
      </c>
      <c r="U20" s="37">
        <v>4.5999999999999996</v>
      </c>
      <c r="V20" s="33">
        <v>45.01</v>
      </c>
      <c r="W20" s="37">
        <v>8.6999999999999993</v>
      </c>
      <c r="X20" s="4">
        <f t="shared" si="3"/>
        <v>64.19</v>
      </c>
      <c r="Y20" s="33"/>
      <c r="Z20" s="37"/>
      <c r="AA20" s="32"/>
      <c r="AB20" s="37"/>
      <c r="AC20" s="33"/>
      <c r="AD20" s="37"/>
      <c r="AE20" s="4">
        <f t="shared" si="4"/>
        <v>0</v>
      </c>
      <c r="AF20" s="33"/>
      <c r="AG20" s="37"/>
    </row>
    <row r="21" spans="1:33" x14ac:dyDescent="0.2">
      <c r="A21" s="1" t="str" cm="1">
        <f t="array" ref="A21">IF(I21="","",IF(P21&lt;&gt;"",SUMPRODUCT((P$3:P$82&lt;&gt;"")*(G$3:G$82=G21)*(J$3:J$82&gt;J21)*(I$3:I$82="P"))+1,IF(O21&lt;&gt;"",SUMPRODUCT((O$3:O$82&lt;&gt;"")*(P$3:P$82="")*(G$3:G$82=G21)*(J$3:J$82&gt;J21)*(I$3:I$82="P"))+SUMPRODUCT((P$3:P$82&lt;&gt;"")*(G$3:G$82=G21)*(I$3:I$82="P"))+1,IF(N21&lt;&gt;"",SUMPRODUCT((N$3:N$82&lt;&gt;"")*(G$3:G$82=G21)*(J$3:J$82&gt;J21)*(I$3:I$82="P"))+1,IF(M21="P",SUMPRODUCT((O$3:O$82&lt;&gt;"")*(P$3:P$82="")*(G$3:G$82=G21)*(I$3:I$82="P"))+SUMPRODUCT((P$3:P$82&lt;&gt;"")*(G$3:G$82=G21)*(I$3:I$82="P"))+SUMPRODUCT((N$3:N$82&lt;&gt;"")*(G$3:G$82=G21)*(I$3:I$82="P"))+SUMPRODUCT((P$3:P$82="")*(O$3:O$82="")*(N$3:N$82="")*(M$3:M$82="P")*(G$3:G$82=G21)*(J$3:J$82&gt;J21)*(I$3:I$82="P"))+IF(H21="L5",SUMPRODUCT((P$3:P$82="")*(O$3:O$82="")*(N$3:N$82="")*(M$3:M$82="P")*(G$3:G$82=G21)*(J$3:J$82&lt;J21)*(H$3:H$82&lt;&gt;H21)*(I$3:I$82="P")),-1*SUMPRODUCT((P$3:P$82="")*(O$3:O$82="")*(N$3:N$82="")*(M$3:M$82="P")*(G$3:G$82=G21)*(J$3:J$82&gt;J21)*(H$3:H$82="L5")*(I$3:I$82="P")))+1,"")))))</f>
        <v/>
      </c>
      <c r="B21" s="1" t="str" cm="1">
        <f t="array" ref="B21">IF(P21&lt;&gt;"",SUMPRODUCT((P$3:P$82&lt;&gt;"")*(G$3:G$82=G21)*(J$3:J$82&gt;J21))+1,IF(O21&lt;&gt;"",SUMPRODUCT((O$3:O$82&lt;&gt;"")*(P$3:P$82="")*(G$3:G$82=G21)*(J$3:J$82&gt;J21))+SUMPRODUCT((P$3:P$82&lt;&gt;"")*(G$3:G$82=G21))+1,IF(N21&lt;&gt;"",SUMPRODUCT((N$3:N$82&lt;&gt;"")*(G$3:G$82=G21)*(J$3:J$82&gt;J21))+1,IF(M21="P",SUMPRODUCT((O$3:O$82&lt;&gt;"")*(P$3:P$82="")*(G$3:G$82=G21))+SUMPRODUCT((P$3:P$82&lt;&gt;"")*(G$3:G$82=G21))+SUMPRODUCT((N$3:N$82&lt;&gt;"")*(G$3:G$82=G21))+SUMPRODUCT((P$3:P$82="")*(O$3:O$82="")*(N$3:N$82="")*(M$3:M$82="P")*(G$3:G$82=G21)*(J$3:J$82&gt;J21))+IF(H21="L5",SUMPRODUCT((P$3:P$82="")*(O$3:O$82="")*(N$3:N$82="")*(M$3:M$82="P")*(G$3:G$82=G21)*(J$3:J$82&lt;J21)*(H$3:H$82&lt;&gt;H21)),-1*SUMPRODUCT((P$3:P$82="")*(O$3:O$82="")*(N$3:N$82="")*(M$3:M$82="P")*(G$3:G$82=G21)*(J$3:J$82&gt;J21)*(H$3:H$82="L5")))+1,""))))</f>
        <v/>
      </c>
      <c r="C21" s="35" t="s">
        <v>258</v>
      </c>
      <c r="D21" s="35" t="str">
        <f>IF(E21="","",VLOOKUP(E21,'Coaching Points'!A:B,2,0))</f>
        <v>BC</v>
      </c>
      <c r="E21" s="35" t="s">
        <v>44</v>
      </c>
      <c r="F21" s="34">
        <v>2006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64</v>
      </c>
      <c r="I21" s="40"/>
      <c r="J21" s="4">
        <f t="shared" si="0"/>
        <v>44.87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 t="shared" si="1"/>
        <v/>
      </c>
      <c r="R21" s="4">
        <f t="shared" si="2"/>
        <v>44.87</v>
      </c>
      <c r="S21" s="4">
        <f>IF(G21="17-21",LARGE(CHOOSE({1,2,3,4,5,6},T21,V21,Y21,AA21,AC21,AF21),2),IF(R21=X21,MAX(Y21,AA21,AC21,AF21),IF(R21=AE21,MAX(AF21,T21,V21,Y21),0)))</f>
        <v>44.67</v>
      </c>
      <c r="T21" s="32">
        <v>38.68</v>
      </c>
      <c r="U21" s="37">
        <v>0</v>
      </c>
      <c r="V21" s="33">
        <v>44.87</v>
      </c>
      <c r="W21" s="37">
        <v>9</v>
      </c>
      <c r="X21" s="4">
        <f t="shared" si="3"/>
        <v>83.55</v>
      </c>
      <c r="Y21" s="33">
        <v>44.67</v>
      </c>
      <c r="Z21" s="37">
        <v>9</v>
      </c>
      <c r="AA21" s="32"/>
      <c r="AB21" s="37"/>
      <c r="AC21" s="33"/>
      <c r="AD21" s="37"/>
      <c r="AE21" s="4">
        <f t="shared" si="4"/>
        <v>0</v>
      </c>
      <c r="AF21" s="33"/>
      <c r="AG21" s="37"/>
    </row>
    <row r="22" spans="1:33" x14ac:dyDescent="0.2">
      <c r="A22" s="1" t="str" cm="1">
        <f t="array" ref="A22">IF(I22="","",IF(P22&lt;&gt;"",SUMPRODUCT((P$3:P$82&lt;&gt;"")*(G$3:G$82=G22)*(J$3:J$82&gt;J22)*(I$3:I$82="P"))+1,IF(O22&lt;&gt;"",SUMPRODUCT((O$3:O$82&lt;&gt;"")*(P$3:P$82="")*(G$3:G$82=G22)*(J$3:J$82&gt;J22)*(I$3:I$82="P"))+SUMPRODUCT((P$3:P$82&lt;&gt;"")*(G$3:G$82=G22)*(I$3:I$82="P"))+1,IF(N22&lt;&gt;"",SUMPRODUCT((N$3:N$82&lt;&gt;"")*(G$3:G$82=G22)*(J$3:J$82&gt;J22)*(I$3:I$82="P"))+1,IF(M22="P",SUMPRODUCT((O$3:O$82&lt;&gt;"")*(P$3:P$82="")*(G$3:G$82=G22)*(I$3:I$82="P"))+SUMPRODUCT((P$3:P$82&lt;&gt;"")*(G$3:G$82=G22)*(I$3:I$82="P"))+SUMPRODUCT((N$3:N$82&lt;&gt;"")*(G$3:G$82=G22)*(I$3:I$82="P"))+SUMPRODUCT((P$3:P$82="")*(O$3:O$82="")*(N$3:N$82="")*(M$3:M$82="P")*(G$3:G$82=G22)*(J$3:J$82&gt;J22)*(I$3:I$82="P"))+IF(H22="L5",SUMPRODUCT((P$3:P$82="")*(O$3:O$82="")*(N$3:N$82="")*(M$3:M$82="P")*(G$3:G$82=G22)*(J$3:J$82&lt;J22)*(H$3:H$82&lt;&gt;H22)*(I$3:I$82="P")),-1*SUMPRODUCT((P$3:P$82="")*(O$3:O$82="")*(N$3:N$82="")*(M$3:M$82="P")*(G$3:G$82=G22)*(J$3:J$82&gt;J22)*(H$3:H$82="L5")*(I$3:I$82="P")))+1,"")))))</f>
        <v/>
      </c>
      <c r="B22" s="1" t="str" cm="1">
        <f t="array" ref="B22">IF(P22&lt;&gt;"",SUMPRODUCT((P$3:P$82&lt;&gt;"")*(G$3:G$82=G22)*(J$3:J$82&gt;J22))+1,IF(O22&lt;&gt;"",SUMPRODUCT((O$3:O$82&lt;&gt;"")*(P$3:P$82="")*(G$3:G$82=G22)*(J$3:J$82&gt;J22))+SUMPRODUCT((P$3:P$82&lt;&gt;"")*(G$3:G$82=G22))+1,IF(N22&lt;&gt;"",SUMPRODUCT((N$3:N$82&lt;&gt;"")*(G$3:G$82=G22)*(J$3:J$82&gt;J22))+1,IF(M22="P",SUMPRODUCT((O$3:O$82&lt;&gt;"")*(P$3:P$82="")*(G$3:G$82=G22))+SUMPRODUCT((P$3:P$82&lt;&gt;"")*(G$3:G$82=G22))+SUMPRODUCT((N$3:N$82&lt;&gt;"")*(G$3:G$82=G22))+SUMPRODUCT((P$3:P$82="")*(O$3:O$82="")*(N$3:N$82="")*(M$3:M$82="P")*(G$3:G$82=G22)*(J$3:J$82&gt;J22))+IF(H22="L5",SUMPRODUCT((P$3:P$82="")*(O$3:O$82="")*(N$3:N$82="")*(M$3:M$82="P")*(G$3:G$82=G22)*(J$3:J$82&lt;J22)*(H$3:H$82&lt;&gt;H22)),-1*SUMPRODUCT((P$3:P$82="")*(O$3:O$82="")*(N$3:N$82="")*(M$3:M$82="P")*(G$3:G$82=G22)*(J$3:J$82&gt;J22)*(H$3:H$82="L5")))+1,""))))</f>
        <v/>
      </c>
      <c r="C22" s="35" t="s">
        <v>127</v>
      </c>
      <c r="D22" s="35" t="str">
        <f>IF(E22="","",VLOOKUP(E22,'Coaching Points'!A:B,2,0))</f>
        <v>AB</v>
      </c>
      <c r="E22" s="35" t="s">
        <v>28</v>
      </c>
      <c r="F22" s="34">
        <v>2004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66</v>
      </c>
      <c r="I22" s="40"/>
      <c r="J22" s="4">
        <f t="shared" si="0"/>
        <v>44.5501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 t="shared" si="1"/>
        <v/>
      </c>
      <c r="R22" s="4">
        <f t="shared" si="2"/>
        <v>44.55</v>
      </c>
      <c r="S22" s="4">
        <f>IF(G22="17-21",LARGE(CHOOSE({1,2,3,4,5,6},T22,V22,Y22,AA22,AC22,AF22),2),IF(R22=X22,MAX(Y22,AA22,AC22,AF22),IF(R22=AE22,MAX(AF22,T22,V22,Y22),0)))</f>
        <v>9.2100000000000009</v>
      </c>
      <c r="T22" s="32">
        <v>44.55</v>
      </c>
      <c r="U22" s="37">
        <v>7.7</v>
      </c>
      <c r="V22" s="33">
        <v>9.2100000000000009</v>
      </c>
      <c r="W22" s="37">
        <v>2.2999999999999998</v>
      </c>
      <c r="X22" s="4">
        <f t="shared" si="3"/>
        <v>53.76</v>
      </c>
      <c r="Y22" s="33"/>
      <c r="Z22" s="37"/>
      <c r="AA22" s="32"/>
      <c r="AB22" s="37"/>
      <c r="AC22" s="33"/>
      <c r="AD22" s="37"/>
      <c r="AE22" s="4">
        <f t="shared" si="4"/>
        <v>0</v>
      </c>
      <c r="AF22" s="33"/>
      <c r="AG22" s="37"/>
    </row>
    <row r="23" spans="1:33" x14ac:dyDescent="0.2">
      <c r="A23" s="1" t="str" cm="1">
        <f t="array" ref="A23">IF(I23="","",IF(P23&lt;&gt;"",SUMPRODUCT((P$3:P$82&lt;&gt;"")*(G$3:G$82=G23)*(J$3:J$82&gt;J23)*(I$3:I$82="P"))+1,IF(O23&lt;&gt;"",SUMPRODUCT((O$3:O$82&lt;&gt;"")*(P$3:P$82="")*(G$3:G$82=G23)*(J$3:J$82&gt;J23)*(I$3:I$82="P"))+SUMPRODUCT((P$3:P$82&lt;&gt;"")*(G$3:G$82=G23)*(I$3:I$82="P"))+1,IF(N23&lt;&gt;"",SUMPRODUCT((N$3:N$82&lt;&gt;"")*(G$3:G$82=G23)*(J$3:J$82&gt;J23)*(I$3:I$82="P"))+1,IF(M23="P",SUMPRODUCT((O$3:O$82&lt;&gt;"")*(P$3:P$82="")*(G$3:G$82=G23)*(I$3:I$82="P"))+SUMPRODUCT((P$3:P$82&lt;&gt;"")*(G$3:G$82=G23)*(I$3:I$82="P"))+SUMPRODUCT((N$3:N$82&lt;&gt;"")*(G$3:G$82=G23)*(I$3:I$82="P"))+SUMPRODUCT((P$3:P$82="")*(O$3:O$82="")*(N$3:N$82="")*(M$3:M$82="P")*(G$3:G$82=G23)*(J$3:J$82&gt;J23)*(I$3:I$82="P"))+IF(H23="L5",SUMPRODUCT((P$3:P$82="")*(O$3:O$82="")*(N$3:N$82="")*(M$3:M$82="P")*(G$3:G$82=G23)*(J$3:J$82&lt;J23)*(H$3:H$82&lt;&gt;H23)*(I$3:I$82="P")),-1*SUMPRODUCT((P$3:P$82="")*(O$3:O$82="")*(N$3:N$82="")*(M$3:M$82="P")*(G$3:G$82=G23)*(J$3:J$82&gt;J23)*(H$3:H$82="L5")*(I$3:I$82="P")))+1,"")))))</f>
        <v/>
      </c>
      <c r="B23" s="1" t="str" cm="1">
        <f t="array" ref="B23">IF(P23&lt;&gt;"",SUMPRODUCT((P$3:P$82&lt;&gt;"")*(G$3:G$82=G23)*(J$3:J$82&gt;J23))+1,IF(O23&lt;&gt;"",SUMPRODUCT((O$3:O$82&lt;&gt;"")*(P$3:P$82="")*(G$3:G$82=G23)*(J$3:J$82&gt;J23))+SUMPRODUCT((P$3:P$82&lt;&gt;"")*(G$3:G$82=G23))+1,IF(N23&lt;&gt;"",SUMPRODUCT((N$3:N$82&lt;&gt;"")*(G$3:G$82=G23)*(J$3:J$82&gt;J23))+1,IF(M23="P",SUMPRODUCT((O$3:O$82&lt;&gt;"")*(P$3:P$82="")*(G$3:G$82=G23))+SUMPRODUCT((P$3:P$82&lt;&gt;"")*(G$3:G$82=G23))+SUMPRODUCT((N$3:N$82&lt;&gt;"")*(G$3:G$82=G23))+SUMPRODUCT((P$3:P$82="")*(O$3:O$82="")*(N$3:N$82="")*(M$3:M$82="P")*(G$3:G$82=G23)*(J$3:J$82&gt;J23))+IF(H23="L5",SUMPRODUCT((P$3:P$82="")*(O$3:O$82="")*(N$3:N$82="")*(M$3:M$82="P")*(G$3:G$82=G23)*(J$3:J$82&lt;J23)*(H$3:H$82&lt;&gt;H23)),-1*SUMPRODUCT((P$3:P$82="")*(O$3:O$82="")*(N$3:N$82="")*(M$3:M$82="P")*(G$3:G$82=G23)*(J$3:J$82&gt;J23)*(H$3:H$82="L5")))+1,""))))</f>
        <v/>
      </c>
      <c r="C23" s="35" t="s">
        <v>339</v>
      </c>
      <c r="D23" s="35" t="str">
        <f>IF(E23="","",VLOOKUP(E23,'Coaching Points'!A:B,2,0))</f>
        <v>QC</v>
      </c>
      <c r="E23" s="35" t="s">
        <v>342</v>
      </c>
      <c r="F23" s="34">
        <v>2005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64</v>
      </c>
      <c r="I23" s="40"/>
      <c r="J23" s="4">
        <f t="shared" si="0"/>
        <v>44.46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 t="shared" si="1"/>
        <v/>
      </c>
      <c r="R23" s="4">
        <f t="shared" si="2"/>
        <v>44.46</v>
      </c>
      <c r="S23" s="4">
        <f>IF(G23="17-21",LARGE(CHOOSE({1,2,3,4,5,6},T23,V23,Y23,AA23,AC23,AF23),2),IF(R23=X23,MAX(Y23,AA23,AC23,AF23),IF(R23=AE23,MAX(AF23,T23,V23,Y23),0)))</f>
        <v>41.15</v>
      </c>
      <c r="T23" s="32">
        <v>37.68</v>
      </c>
      <c r="U23" s="37">
        <v>0</v>
      </c>
      <c r="V23" s="33">
        <v>44.46</v>
      </c>
      <c r="W23" s="37">
        <v>7.4</v>
      </c>
      <c r="X23" s="4">
        <f t="shared" si="3"/>
        <v>82.14</v>
      </c>
      <c r="Y23" s="33">
        <v>41.15</v>
      </c>
      <c r="Z23" s="37">
        <v>6.6</v>
      </c>
      <c r="AA23" s="32"/>
      <c r="AB23" s="37"/>
      <c r="AC23" s="33"/>
      <c r="AD23" s="37"/>
      <c r="AE23" s="4">
        <f t="shared" si="4"/>
        <v>0</v>
      </c>
      <c r="AF23" s="33"/>
      <c r="AG23" s="37"/>
    </row>
    <row r="24" spans="1:33" x14ac:dyDescent="0.2">
      <c r="A24" s="1" t="str" cm="1">
        <f t="array" ref="A24">IF(I24="","",IF(P24&lt;&gt;"",SUMPRODUCT((P$3:P$82&lt;&gt;"")*(G$3:G$82=G24)*(J$3:J$82&gt;J24)*(I$3:I$82="P"))+1,IF(O24&lt;&gt;"",SUMPRODUCT((O$3:O$82&lt;&gt;"")*(P$3:P$82="")*(G$3:G$82=G24)*(J$3:J$82&gt;J24)*(I$3:I$82="P"))+SUMPRODUCT((P$3:P$82&lt;&gt;"")*(G$3:G$82=G24)*(I$3:I$82="P"))+1,IF(N24&lt;&gt;"",SUMPRODUCT((N$3:N$82&lt;&gt;"")*(G$3:G$82=G24)*(J$3:J$82&gt;J24)*(I$3:I$82="P"))+1,IF(M24="P",SUMPRODUCT((O$3:O$82&lt;&gt;"")*(P$3:P$82="")*(G$3:G$82=G24)*(I$3:I$82="P"))+SUMPRODUCT((P$3:P$82&lt;&gt;"")*(G$3:G$82=G24)*(I$3:I$82="P"))+SUMPRODUCT((N$3:N$82&lt;&gt;"")*(G$3:G$82=G24)*(I$3:I$82="P"))+SUMPRODUCT((P$3:P$82="")*(O$3:O$82="")*(N$3:N$82="")*(M$3:M$82="P")*(G$3:G$82=G24)*(J$3:J$82&gt;J24)*(I$3:I$82="P"))+IF(H24="L5",SUMPRODUCT((P$3:P$82="")*(O$3:O$82="")*(N$3:N$82="")*(M$3:M$82="P")*(G$3:G$82=G24)*(J$3:J$82&lt;J24)*(H$3:H$82&lt;&gt;H24)*(I$3:I$82="P")),-1*SUMPRODUCT((P$3:P$82="")*(O$3:O$82="")*(N$3:N$82="")*(M$3:M$82="P")*(G$3:G$82=G24)*(J$3:J$82&gt;J24)*(H$3:H$82="L5")*(I$3:I$82="P")))+1,"")))))</f>
        <v/>
      </c>
      <c r="B24" s="1" t="str" cm="1">
        <f t="array" ref="B24">IF(P24&lt;&gt;"",SUMPRODUCT((P$3:P$82&lt;&gt;"")*(G$3:G$82=G24)*(J$3:J$82&gt;J24))+1,IF(O24&lt;&gt;"",SUMPRODUCT((O$3:O$82&lt;&gt;"")*(P$3:P$82="")*(G$3:G$82=G24)*(J$3:J$82&gt;J24))+SUMPRODUCT((P$3:P$82&lt;&gt;"")*(G$3:G$82=G24))+1,IF(N24&lt;&gt;"",SUMPRODUCT((N$3:N$82&lt;&gt;"")*(G$3:G$82=G24)*(J$3:J$82&gt;J24))+1,IF(M24="P",SUMPRODUCT((O$3:O$82&lt;&gt;"")*(P$3:P$82="")*(G$3:G$82=G24))+SUMPRODUCT((P$3:P$82&lt;&gt;"")*(G$3:G$82=G24))+SUMPRODUCT((N$3:N$82&lt;&gt;"")*(G$3:G$82=G24))+SUMPRODUCT((P$3:P$82="")*(O$3:O$82="")*(N$3:N$82="")*(M$3:M$82="P")*(G$3:G$82=G24)*(J$3:J$82&gt;J24))+IF(H24="L5",SUMPRODUCT((P$3:P$82="")*(O$3:O$82="")*(N$3:N$82="")*(M$3:M$82="P")*(G$3:G$82=G24)*(J$3:J$82&lt;J24)*(H$3:H$82&lt;&gt;H24)),-1*SUMPRODUCT((P$3:P$82="")*(O$3:O$82="")*(N$3:N$82="")*(M$3:M$82="P")*(G$3:G$82=G24)*(J$3:J$82&gt;J24)*(H$3:H$82="L5")))+1,""))))</f>
        <v/>
      </c>
      <c r="C24" s="35" t="s">
        <v>257</v>
      </c>
      <c r="D24" s="35" t="str">
        <f>IF(E24="","",VLOOKUP(E24,'Coaching Points'!A:B,2,0))</f>
        <v>AB</v>
      </c>
      <c r="E24" s="35" t="s">
        <v>39</v>
      </c>
      <c r="F24" s="34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72</v>
      </c>
      <c r="I24" s="40"/>
      <c r="J24" s="4">
        <f t="shared" si="0"/>
        <v>44.410199999999996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>P</v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 t="shared" si="1"/>
        <v/>
      </c>
      <c r="R24" s="4">
        <f t="shared" si="2"/>
        <v>44.41</v>
      </c>
      <c r="S24" s="4">
        <f>IF(G24="17-21",LARGE(CHOOSE({1,2,3,4,5,6},T24,V24,Y24,AA24,AC24,AF24),2),IF(R24=X24,MAX(Y24,AA24,AC24,AF24),IF(R24=AE24,MAX(AF24,T24,V24,Y24),0)))</f>
        <v>43.01</v>
      </c>
      <c r="T24" s="32">
        <v>43.01</v>
      </c>
      <c r="U24" s="37">
        <v>9.8000000000000007</v>
      </c>
      <c r="V24" s="33">
        <v>44.41</v>
      </c>
      <c r="W24" s="37">
        <v>10.1</v>
      </c>
      <c r="X24" s="4">
        <f t="shared" si="3"/>
        <v>44.41</v>
      </c>
      <c r="Y24" s="33"/>
      <c r="Z24" s="37"/>
      <c r="AA24" s="32"/>
      <c r="AB24" s="37"/>
      <c r="AC24" s="33"/>
      <c r="AD24" s="37"/>
      <c r="AE24" s="4">
        <f t="shared" si="4"/>
        <v>0</v>
      </c>
      <c r="AF24" s="33"/>
      <c r="AG24" s="37"/>
    </row>
    <row r="25" spans="1:33" x14ac:dyDescent="0.2">
      <c r="A25" s="1" t="str" cm="1">
        <f t="array" ref="A25">IF(I25="","",IF(P25&lt;&gt;"",SUMPRODUCT((P$3:P$82&lt;&gt;"")*(G$3:G$82=G25)*(J$3:J$82&gt;J25)*(I$3:I$82="P"))+1,IF(O25&lt;&gt;"",SUMPRODUCT((O$3:O$82&lt;&gt;"")*(P$3:P$82="")*(G$3:G$82=G25)*(J$3:J$82&gt;J25)*(I$3:I$82="P"))+SUMPRODUCT((P$3:P$82&lt;&gt;"")*(G$3:G$82=G25)*(I$3:I$82="P"))+1,IF(N25&lt;&gt;"",SUMPRODUCT((N$3:N$82&lt;&gt;"")*(G$3:G$82=G25)*(J$3:J$82&gt;J25)*(I$3:I$82="P"))+1,IF(M25="P",SUMPRODUCT((O$3:O$82&lt;&gt;"")*(P$3:P$82="")*(G$3:G$82=G25)*(I$3:I$82="P"))+SUMPRODUCT((P$3:P$82&lt;&gt;"")*(G$3:G$82=G25)*(I$3:I$82="P"))+SUMPRODUCT((N$3:N$82&lt;&gt;"")*(G$3:G$82=G25)*(I$3:I$82="P"))+SUMPRODUCT((P$3:P$82="")*(O$3:O$82="")*(N$3:N$82="")*(M$3:M$82="P")*(G$3:G$82=G25)*(J$3:J$82&gt;J25)*(I$3:I$82="P"))+IF(H25="L5",SUMPRODUCT((P$3:P$82="")*(O$3:O$82="")*(N$3:N$82="")*(M$3:M$82="P")*(G$3:G$82=G25)*(J$3:J$82&lt;J25)*(H$3:H$82&lt;&gt;H25)*(I$3:I$82="P")),-1*SUMPRODUCT((P$3:P$82="")*(O$3:O$82="")*(N$3:N$82="")*(M$3:M$82="P")*(G$3:G$82=G25)*(J$3:J$82&gt;J25)*(H$3:H$82="L5")*(I$3:I$82="P")))+1,"")))))</f>
        <v/>
      </c>
      <c r="B25" s="1" t="str" cm="1">
        <f t="array" ref="B25">IF(P25&lt;&gt;"",SUMPRODUCT((P$3:P$82&lt;&gt;"")*(G$3:G$82=G25)*(J$3:J$82&gt;J25))+1,IF(O25&lt;&gt;"",SUMPRODUCT((O$3:O$82&lt;&gt;"")*(P$3:P$82="")*(G$3:G$82=G25)*(J$3:J$82&gt;J25))+SUMPRODUCT((P$3:P$82&lt;&gt;"")*(G$3:G$82=G25))+1,IF(N25&lt;&gt;"",SUMPRODUCT((N$3:N$82&lt;&gt;"")*(G$3:G$82=G25)*(J$3:J$82&gt;J25))+1,IF(M25="P",SUMPRODUCT((O$3:O$82&lt;&gt;"")*(P$3:P$82="")*(G$3:G$82=G25))+SUMPRODUCT((P$3:P$82&lt;&gt;"")*(G$3:G$82=G25))+SUMPRODUCT((N$3:N$82&lt;&gt;"")*(G$3:G$82=G25))+SUMPRODUCT((P$3:P$82="")*(O$3:O$82="")*(N$3:N$82="")*(M$3:M$82="P")*(G$3:G$82=G25)*(J$3:J$82&gt;J25))+IF(H25="L5",SUMPRODUCT((P$3:P$82="")*(O$3:O$82="")*(N$3:N$82="")*(M$3:M$82="P")*(G$3:G$82=G25)*(J$3:J$82&lt;J25)*(H$3:H$82&lt;&gt;H25)),-1*SUMPRODUCT((P$3:P$82="")*(O$3:O$82="")*(N$3:N$82="")*(M$3:M$82="P")*(G$3:G$82=G25)*(J$3:J$82&gt;J25)*(H$3:H$82="L5")))+1,""))))</f>
        <v/>
      </c>
      <c r="C25" s="35" t="s">
        <v>265</v>
      </c>
      <c r="D25" s="35" t="str">
        <f>IF(E25="","",VLOOKUP(E25,'Coaching Points'!A:B,2,0))</f>
        <v>ON</v>
      </c>
      <c r="E25" s="35" t="s">
        <v>97</v>
      </c>
      <c r="F25" s="34">
        <v>2007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64</v>
      </c>
      <c r="I25" s="40"/>
      <c r="J25" s="4">
        <f t="shared" si="0"/>
        <v>44.01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 t="shared" si="1"/>
        <v/>
      </c>
      <c r="R25" s="4">
        <f t="shared" si="2"/>
        <v>44.01</v>
      </c>
      <c r="S25" s="4">
        <f>IF(G25="17-21",LARGE(CHOOSE({1,2,3,4,5,6},T25,V25,Y25,AA25,AC25,AF25),2),IF(R25=X25,MAX(Y25,AA25,AC25,AF25),IF(R25=AE25,MAX(AF25,T25,V25,Y25),0)))</f>
        <v>39.11</v>
      </c>
      <c r="T25" s="32">
        <v>39.11</v>
      </c>
      <c r="U25" s="37">
        <v>0</v>
      </c>
      <c r="V25" s="33">
        <v>44.01</v>
      </c>
      <c r="W25" s="37">
        <v>7.8</v>
      </c>
      <c r="X25" s="4">
        <f t="shared" si="3"/>
        <v>83.12</v>
      </c>
      <c r="Y25" s="33">
        <v>13.3</v>
      </c>
      <c r="Z25" s="37">
        <v>2.9</v>
      </c>
      <c r="AA25" s="32"/>
      <c r="AB25" s="37"/>
      <c r="AC25" s="33"/>
      <c r="AD25" s="37"/>
      <c r="AE25" s="4">
        <f t="shared" si="4"/>
        <v>0</v>
      </c>
      <c r="AF25" s="33"/>
      <c r="AG25" s="37"/>
    </row>
    <row r="26" spans="1:33" x14ac:dyDescent="0.2">
      <c r="A26" s="1" t="str" cm="1">
        <f t="array" ref="A26">IF(I26="","",IF(P26&lt;&gt;"",SUMPRODUCT((P$3:P$82&lt;&gt;"")*(G$3:G$82=G26)*(J$3:J$82&gt;J26)*(I$3:I$82="P"))+1,IF(O26&lt;&gt;"",SUMPRODUCT((O$3:O$82&lt;&gt;"")*(P$3:P$82="")*(G$3:G$82=G26)*(J$3:J$82&gt;J26)*(I$3:I$82="P"))+SUMPRODUCT((P$3:P$82&lt;&gt;"")*(G$3:G$82=G26)*(I$3:I$82="P"))+1,IF(N26&lt;&gt;"",SUMPRODUCT((N$3:N$82&lt;&gt;"")*(G$3:G$82=G26)*(J$3:J$82&gt;J26)*(I$3:I$82="P"))+1,IF(M26="P",SUMPRODUCT((O$3:O$82&lt;&gt;"")*(P$3:P$82="")*(G$3:G$82=G26)*(I$3:I$82="P"))+SUMPRODUCT((P$3:P$82&lt;&gt;"")*(G$3:G$82=G26)*(I$3:I$82="P"))+SUMPRODUCT((N$3:N$82&lt;&gt;"")*(G$3:G$82=G26)*(I$3:I$82="P"))+SUMPRODUCT((P$3:P$82="")*(O$3:O$82="")*(N$3:N$82="")*(M$3:M$82="P")*(G$3:G$82=G26)*(J$3:J$82&gt;J26)*(I$3:I$82="P"))+IF(H26="L5",SUMPRODUCT((P$3:P$82="")*(O$3:O$82="")*(N$3:N$82="")*(M$3:M$82="P")*(G$3:G$82=G26)*(J$3:J$82&lt;J26)*(H$3:H$82&lt;&gt;H26)*(I$3:I$82="P")),-1*SUMPRODUCT((P$3:P$82="")*(O$3:O$82="")*(N$3:N$82="")*(M$3:M$82="P")*(G$3:G$82=G26)*(J$3:J$82&gt;J26)*(H$3:H$82="L5")*(I$3:I$82="P")))+1,"")))))</f>
        <v/>
      </c>
      <c r="B26" s="1" t="str" cm="1">
        <f t="array" ref="B26">IF(P26&lt;&gt;"",SUMPRODUCT((P$3:P$82&lt;&gt;"")*(G$3:G$82=G26)*(J$3:J$82&gt;J26))+1,IF(O26&lt;&gt;"",SUMPRODUCT((O$3:O$82&lt;&gt;"")*(P$3:P$82="")*(G$3:G$82=G26)*(J$3:J$82&gt;J26))+SUMPRODUCT((P$3:P$82&lt;&gt;"")*(G$3:G$82=G26))+1,IF(N26&lt;&gt;"",SUMPRODUCT((N$3:N$82&lt;&gt;"")*(G$3:G$82=G26)*(J$3:J$82&gt;J26))+1,IF(M26="P",SUMPRODUCT((O$3:O$82&lt;&gt;"")*(P$3:P$82="")*(G$3:G$82=G26))+SUMPRODUCT((P$3:P$82&lt;&gt;"")*(G$3:G$82=G26))+SUMPRODUCT((N$3:N$82&lt;&gt;"")*(G$3:G$82=G26))+SUMPRODUCT((P$3:P$82="")*(O$3:O$82="")*(N$3:N$82="")*(M$3:M$82="P")*(G$3:G$82=G26)*(J$3:J$82&gt;J26))+IF(H26="L5",SUMPRODUCT((P$3:P$82="")*(O$3:O$82="")*(N$3:N$82="")*(M$3:M$82="P")*(G$3:G$82=G26)*(J$3:J$82&lt;J26)*(H$3:H$82&lt;&gt;H26)),-1*SUMPRODUCT((P$3:P$82="")*(O$3:O$82="")*(N$3:N$82="")*(M$3:M$82="P")*(G$3:G$82=G26)*(J$3:J$82&gt;J26)*(H$3:H$82="L5")))+1,""))))</f>
        <v/>
      </c>
      <c r="C26" s="35" t="s">
        <v>108</v>
      </c>
      <c r="D26" s="35" t="str">
        <f>IF(E26="","",VLOOKUP(E26,'Coaching Points'!A:B,2,0))</f>
        <v>AB</v>
      </c>
      <c r="E26" s="35" t="s">
        <v>28</v>
      </c>
      <c r="F26" s="34">
        <v>2006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64</v>
      </c>
      <c r="I26" s="40"/>
      <c r="J26" s="4">
        <f t="shared" si="0"/>
        <v>43.97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 t="shared" si="1"/>
        <v/>
      </c>
      <c r="R26" s="4">
        <f t="shared" si="2"/>
        <v>43.97</v>
      </c>
      <c r="S26" s="4">
        <f>IF(G26="17-21",LARGE(CHOOSE({1,2,3,4,5,6},T26,V26,Y26,AA26,AC26,AF26),2),IF(R26=X26,MAX(Y26,AA26,AC26,AF26),IF(R26=AE26,MAX(AF26,T26,V26,Y26),0)))</f>
        <v>37.39</v>
      </c>
      <c r="T26" s="32">
        <v>37.39</v>
      </c>
      <c r="U26" s="37">
        <v>0</v>
      </c>
      <c r="V26" s="33">
        <v>43.97</v>
      </c>
      <c r="W26" s="37">
        <v>8.3000000000000007</v>
      </c>
      <c r="X26" s="4">
        <f t="shared" si="3"/>
        <v>81.36</v>
      </c>
      <c r="Y26" s="33"/>
      <c r="Z26" s="37"/>
      <c r="AA26" s="32"/>
      <c r="AB26" s="37"/>
      <c r="AC26" s="33"/>
      <c r="AD26" s="37"/>
      <c r="AE26" s="4">
        <f t="shared" si="4"/>
        <v>0</v>
      </c>
      <c r="AF26" s="33"/>
      <c r="AG26" s="37"/>
    </row>
    <row r="27" spans="1:33" x14ac:dyDescent="0.2">
      <c r="A27" s="1" t="str" cm="1">
        <f t="array" ref="A27">IF(I27="","",IF(P27&lt;&gt;"",SUMPRODUCT((P$3:P$82&lt;&gt;"")*(G$3:G$82=G27)*(J$3:J$82&gt;J27)*(I$3:I$82="P"))+1,IF(O27&lt;&gt;"",SUMPRODUCT((O$3:O$82&lt;&gt;"")*(P$3:P$82="")*(G$3:G$82=G27)*(J$3:J$82&gt;J27)*(I$3:I$82="P"))+SUMPRODUCT((P$3:P$82&lt;&gt;"")*(G$3:G$82=G27)*(I$3:I$82="P"))+1,IF(N27&lt;&gt;"",SUMPRODUCT((N$3:N$82&lt;&gt;"")*(G$3:G$82=G27)*(J$3:J$82&gt;J27)*(I$3:I$82="P"))+1,IF(M27="P",SUMPRODUCT((O$3:O$82&lt;&gt;"")*(P$3:P$82="")*(G$3:G$82=G27)*(I$3:I$82="P"))+SUMPRODUCT((P$3:P$82&lt;&gt;"")*(G$3:G$82=G27)*(I$3:I$82="P"))+SUMPRODUCT((N$3:N$82&lt;&gt;"")*(G$3:G$82=G27)*(I$3:I$82="P"))+SUMPRODUCT((P$3:P$82="")*(O$3:O$82="")*(N$3:N$82="")*(M$3:M$82="P")*(G$3:G$82=G27)*(J$3:J$82&gt;J27)*(I$3:I$82="P"))+IF(H27="L5",SUMPRODUCT((P$3:P$82="")*(O$3:O$82="")*(N$3:N$82="")*(M$3:M$82="P")*(G$3:G$82=G27)*(J$3:J$82&lt;J27)*(H$3:H$82&lt;&gt;H27)*(I$3:I$82="P")),-1*SUMPRODUCT((P$3:P$82="")*(O$3:O$82="")*(N$3:N$82="")*(M$3:M$82="P")*(G$3:G$82=G27)*(J$3:J$82&gt;J27)*(H$3:H$82="L5")*(I$3:I$82="P")))+1,"")))))</f>
        <v/>
      </c>
      <c r="B27" s="1" t="str" cm="1">
        <f t="array" ref="B27">IF(P27&lt;&gt;"",SUMPRODUCT((P$3:P$82&lt;&gt;"")*(G$3:G$82=G27)*(J$3:J$82&gt;J27))+1,IF(O27&lt;&gt;"",SUMPRODUCT((O$3:O$82&lt;&gt;"")*(P$3:P$82="")*(G$3:G$82=G27)*(J$3:J$82&gt;J27))+SUMPRODUCT((P$3:P$82&lt;&gt;"")*(G$3:G$82=G27))+1,IF(N27&lt;&gt;"",SUMPRODUCT((N$3:N$82&lt;&gt;"")*(G$3:G$82=G27)*(J$3:J$82&gt;J27))+1,IF(M27="P",SUMPRODUCT((O$3:O$82&lt;&gt;"")*(P$3:P$82="")*(G$3:G$82=G27))+SUMPRODUCT((P$3:P$82&lt;&gt;"")*(G$3:G$82=G27))+SUMPRODUCT((N$3:N$82&lt;&gt;"")*(G$3:G$82=G27))+SUMPRODUCT((P$3:P$82="")*(O$3:O$82="")*(N$3:N$82="")*(M$3:M$82="P")*(G$3:G$82=G27)*(J$3:J$82&gt;J27))+IF(H27="L5",SUMPRODUCT((P$3:P$82="")*(O$3:O$82="")*(N$3:N$82="")*(M$3:M$82="P")*(G$3:G$82=G27)*(J$3:J$82&lt;J27)*(H$3:H$82&lt;&gt;H27)),-1*SUMPRODUCT((P$3:P$82="")*(O$3:O$82="")*(N$3:N$82="")*(M$3:M$82="P")*(G$3:G$82=G27)*(J$3:J$82&gt;J27)*(H$3:H$82="L5")))+1,""))))</f>
        <v/>
      </c>
      <c r="C27" s="35" t="s">
        <v>302</v>
      </c>
      <c r="D27" s="35" t="str">
        <f>IF(E27="","",VLOOKUP(E27,'Coaching Points'!A:B,2,0))</f>
        <v>AB</v>
      </c>
      <c r="E27" s="35" t="s">
        <v>28</v>
      </c>
      <c r="F27" s="34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66</v>
      </c>
      <c r="I27" s="40"/>
      <c r="J27" s="4">
        <f t="shared" si="0"/>
        <v>43.950100000000006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>P</v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 t="shared" si="1"/>
        <v/>
      </c>
      <c r="R27" s="4">
        <f t="shared" si="2"/>
        <v>43.95</v>
      </c>
      <c r="S27" s="4">
        <f>IF(G27="17-21",LARGE(CHOOSE({1,2,3,4,5,6},T27,V27,Y27,AA27,AC27,AF27),2),IF(R27=X27,MAX(Y27,AA27,AC27,AF27),IF(R27=AE27,MAX(AF27,T27,V27,Y27),0)))</f>
        <v>41.99</v>
      </c>
      <c r="T27" s="32">
        <v>43.95</v>
      </c>
      <c r="U27" s="37">
        <v>9.9</v>
      </c>
      <c r="V27" s="33">
        <v>41.99</v>
      </c>
      <c r="W27" s="37">
        <v>9.9</v>
      </c>
      <c r="X27" s="4">
        <f t="shared" si="3"/>
        <v>85.94</v>
      </c>
      <c r="Y27" s="33"/>
      <c r="Z27" s="37"/>
      <c r="AA27" s="32"/>
      <c r="AB27" s="37"/>
      <c r="AC27" s="33"/>
      <c r="AD27" s="37"/>
      <c r="AE27" s="4">
        <f t="shared" si="4"/>
        <v>0</v>
      </c>
      <c r="AF27" s="33"/>
      <c r="AG27" s="37"/>
    </row>
    <row r="28" spans="1:33" x14ac:dyDescent="0.2">
      <c r="A28" s="1" t="str" cm="1">
        <f t="array" ref="A28">IF(I28="","",IF(P28&lt;&gt;"",SUMPRODUCT((P$3:P$82&lt;&gt;"")*(G$3:G$82=G28)*(J$3:J$82&gt;J28)*(I$3:I$82="P"))+1,IF(O28&lt;&gt;"",SUMPRODUCT((O$3:O$82&lt;&gt;"")*(P$3:P$82="")*(G$3:G$82=G28)*(J$3:J$82&gt;J28)*(I$3:I$82="P"))+SUMPRODUCT((P$3:P$82&lt;&gt;"")*(G$3:G$82=G28)*(I$3:I$82="P"))+1,IF(N28&lt;&gt;"",SUMPRODUCT((N$3:N$82&lt;&gt;"")*(G$3:G$82=G28)*(J$3:J$82&gt;J28)*(I$3:I$82="P"))+1,IF(M28="P",SUMPRODUCT((O$3:O$82&lt;&gt;"")*(P$3:P$82="")*(G$3:G$82=G28)*(I$3:I$82="P"))+SUMPRODUCT((P$3:P$82&lt;&gt;"")*(G$3:G$82=G28)*(I$3:I$82="P"))+SUMPRODUCT((N$3:N$82&lt;&gt;"")*(G$3:G$82=G28)*(I$3:I$82="P"))+SUMPRODUCT((P$3:P$82="")*(O$3:O$82="")*(N$3:N$82="")*(M$3:M$82="P")*(G$3:G$82=G28)*(J$3:J$82&gt;J28)*(I$3:I$82="P"))+IF(H28="L5",SUMPRODUCT((P$3:P$82="")*(O$3:O$82="")*(N$3:N$82="")*(M$3:M$82="P")*(G$3:G$82=G28)*(J$3:J$82&lt;J28)*(H$3:H$82&lt;&gt;H28)*(I$3:I$82="P")),-1*SUMPRODUCT((P$3:P$82="")*(O$3:O$82="")*(N$3:N$82="")*(M$3:M$82="P")*(G$3:G$82=G28)*(J$3:J$82&gt;J28)*(H$3:H$82="L5")*(I$3:I$82="P")))+1,"")))))</f>
        <v/>
      </c>
      <c r="B28" s="1" t="str" cm="1">
        <f t="array" ref="B28">IF(P28&lt;&gt;"",SUMPRODUCT((P$3:P$82&lt;&gt;"")*(G$3:G$82=G28)*(J$3:J$82&gt;J28))+1,IF(O28&lt;&gt;"",SUMPRODUCT((O$3:O$82&lt;&gt;"")*(P$3:P$82="")*(G$3:G$82=G28)*(J$3:J$82&gt;J28))+SUMPRODUCT((P$3:P$82&lt;&gt;"")*(G$3:G$82=G28))+1,IF(N28&lt;&gt;"",SUMPRODUCT((N$3:N$82&lt;&gt;"")*(G$3:G$82=G28)*(J$3:J$82&gt;J28))+1,IF(M28="P",SUMPRODUCT((O$3:O$82&lt;&gt;"")*(P$3:P$82="")*(G$3:G$82=G28))+SUMPRODUCT((P$3:P$82&lt;&gt;"")*(G$3:G$82=G28))+SUMPRODUCT((N$3:N$82&lt;&gt;"")*(G$3:G$82=G28))+SUMPRODUCT((P$3:P$82="")*(O$3:O$82="")*(N$3:N$82="")*(M$3:M$82="P")*(G$3:G$82=G28)*(J$3:J$82&gt;J28))+IF(H28="L5",SUMPRODUCT((P$3:P$82="")*(O$3:O$82="")*(N$3:N$82="")*(M$3:M$82="P")*(G$3:G$82=G28)*(J$3:J$82&lt;J28)*(H$3:H$82&lt;&gt;H28)),-1*SUMPRODUCT((P$3:P$82="")*(O$3:O$82="")*(N$3:N$82="")*(M$3:M$82="P")*(G$3:G$82=G28)*(J$3:J$82&gt;J28)*(H$3:H$82="L5")))+1,""))))</f>
        <v/>
      </c>
      <c r="C28" s="35" t="s">
        <v>263</v>
      </c>
      <c r="D28" s="35" t="str">
        <f>IF(E28="","",VLOOKUP(E28,'Coaching Points'!A:B,2,0))</f>
        <v>BC</v>
      </c>
      <c r="E28" s="35" t="s">
        <v>44</v>
      </c>
      <c r="F28" s="34">
        <v>2005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64</v>
      </c>
      <c r="I28" s="40"/>
      <c r="J28" s="4">
        <f t="shared" si="0"/>
        <v>43.89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 t="shared" si="1"/>
        <v/>
      </c>
      <c r="R28" s="4">
        <f t="shared" si="2"/>
        <v>43.89</v>
      </c>
      <c r="S28" s="4">
        <f>IF(G28="17-21",LARGE(CHOOSE({1,2,3,4,5,6},T28,V28,Y28,AA28,AC28,AF28),2),IF(R28=X28,MAX(Y28,AA28,AC28,AF28),IF(R28=AE28,MAX(AF28,T28,V28,Y28),0)))</f>
        <v>37.99</v>
      </c>
      <c r="T28" s="32">
        <v>37.99</v>
      </c>
      <c r="U28" s="37">
        <v>0</v>
      </c>
      <c r="V28" s="33">
        <v>43.89</v>
      </c>
      <c r="W28" s="37">
        <v>7</v>
      </c>
      <c r="X28" s="4">
        <f t="shared" si="3"/>
        <v>81.88</v>
      </c>
      <c r="Y28" s="33"/>
      <c r="Z28" s="37"/>
      <c r="AA28" s="32"/>
      <c r="AB28" s="37"/>
      <c r="AC28" s="33"/>
      <c r="AD28" s="37"/>
      <c r="AE28" s="4">
        <f t="shared" si="4"/>
        <v>0</v>
      </c>
      <c r="AF28" s="33"/>
      <c r="AG28" s="37"/>
    </row>
    <row r="29" spans="1:33" x14ac:dyDescent="0.2">
      <c r="A29" s="1" t="str" cm="1">
        <f t="array" ref="A29">IF(I29="","",IF(P29&lt;&gt;"",SUMPRODUCT((P$3:P$82&lt;&gt;"")*(G$3:G$82=G29)*(J$3:J$82&gt;J29)*(I$3:I$82="P"))+1,IF(O29&lt;&gt;"",SUMPRODUCT((O$3:O$82&lt;&gt;"")*(P$3:P$82="")*(G$3:G$82=G29)*(J$3:J$82&gt;J29)*(I$3:I$82="P"))+SUMPRODUCT((P$3:P$82&lt;&gt;"")*(G$3:G$82=G29)*(I$3:I$82="P"))+1,IF(N29&lt;&gt;"",SUMPRODUCT((N$3:N$82&lt;&gt;"")*(G$3:G$82=G29)*(J$3:J$82&gt;J29)*(I$3:I$82="P"))+1,IF(M29="P",SUMPRODUCT((O$3:O$82&lt;&gt;"")*(P$3:P$82="")*(G$3:G$82=G29)*(I$3:I$82="P"))+SUMPRODUCT((P$3:P$82&lt;&gt;"")*(G$3:G$82=G29)*(I$3:I$82="P"))+SUMPRODUCT((N$3:N$82&lt;&gt;"")*(G$3:G$82=G29)*(I$3:I$82="P"))+SUMPRODUCT((P$3:P$82="")*(O$3:O$82="")*(N$3:N$82="")*(M$3:M$82="P")*(G$3:G$82=G29)*(J$3:J$82&gt;J29)*(I$3:I$82="P"))+IF(H29="L5",SUMPRODUCT((P$3:P$82="")*(O$3:O$82="")*(N$3:N$82="")*(M$3:M$82="P")*(G$3:G$82=G29)*(J$3:J$82&lt;J29)*(H$3:H$82&lt;&gt;H29)*(I$3:I$82="P")),-1*SUMPRODUCT((P$3:P$82="")*(O$3:O$82="")*(N$3:N$82="")*(M$3:M$82="P")*(G$3:G$82=G29)*(J$3:J$82&gt;J29)*(H$3:H$82="L5")*(I$3:I$82="P")))+1,"")))))</f>
        <v/>
      </c>
      <c r="B29" s="1" t="str" cm="1">
        <f t="array" ref="B29">IF(P29&lt;&gt;"",SUMPRODUCT((P$3:P$82&lt;&gt;"")*(G$3:G$82=G29)*(J$3:J$82&gt;J29))+1,IF(O29&lt;&gt;"",SUMPRODUCT((O$3:O$82&lt;&gt;"")*(P$3:P$82="")*(G$3:G$82=G29)*(J$3:J$82&gt;J29))+SUMPRODUCT((P$3:P$82&lt;&gt;"")*(G$3:G$82=G29))+1,IF(N29&lt;&gt;"",SUMPRODUCT((N$3:N$82&lt;&gt;"")*(G$3:G$82=G29)*(J$3:J$82&gt;J29))+1,IF(M29="P",SUMPRODUCT((O$3:O$82&lt;&gt;"")*(P$3:P$82="")*(G$3:G$82=G29))+SUMPRODUCT((P$3:P$82&lt;&gt;"")*(G$3:G$82=G29))+SUMPRODUCT((N$3:N$82&lt;&gt;"")*(G$3:G$82=G29))+SUMPRODUCT((P$3:P$82="")*(O$3:O$82="")*(N$3:N$82="")*(M$3:M$82="P")*(G$3:G$82=G29)*(J$3:J$82&gt;J29))+IF(H29="L5",SUMPRODUCT((P$3:P$82="")*(O$3:O$82="")*(N$3:N$82="")*(M$3:M$82="P")*(G$3:G$82=G29)*(J$3:J$82&lt;J29)*(H$3:H$82&lt;&gt;H29)),-1*SUMPRODUCT((P$3:P$82="")*(O$3:O$82="")*(N$3:N$82="")*(M$3:M$82="P")*(G$3:G$82=G29)*(J$3:J$82&gt;J29)*(H$3:H$82="L5")))+1,""))))</f>
        <v/>
      </c>
      <c r="C29" s="35" t="s">
        <v>178</v>
      </c>
      <c r="D29" s="35" t="str">
        <f>IF(E29="","",VLOOKUP(E29,'Coaching Points'!A:B,2,0))</f>
        <v>BC</v>
      </c>
      <c r="E29" s="35" t="s">
        <v>60</v>
      </c>
      <c r="F29" s="34">
        <v>2007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64</v>
      </c>
      <c r="I29" s="40"/>
      <c r="J29" s="4">
        <f t="shared" si="0"/>
        <v>43.61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 t="shared" si="1"/>
        <v/>
      </c>
      <c r="R29" s="4">
        <f t="shared" si="2"/>
        <v>43.61</v>
      </c>
      <c r="S29" s="4">
        <f>IF(G29="17-21",LARGE(CHOOSE({1,2,3,4,5,6},T29,V29,Y29,AA29,AC29,AF29),2),IF(R29=X29,MAX(Y29,AA29,AC29,AF29),IF(R29=AE29,MAX(AF29,T29,V29,Y29),0)))</f>
        <v>34.799999999999997</v>
      </c>
      <c r="T29" s="32">
        <v>34.799999999999997</v>
      </c>
      <c r="U29" s="37">
        <v>0</v>
      </c>
      <c r="V29" s="33">
        <v>43.61</v>
      </c>
      <c r="W29" s="37">
        <v>8.5</v>
      </c>
      <c r="X29" s="4">
        <f t="shared" si="3"/>
        <v>78.41</v>
      </c>
      <c r="Y29" s="33"/>
      <c r="Z29" s="37"/>
      <c r="AA29" s="32"/>
      <c r="AB29" s="37"/>
      <c r="AC29" s="33"/>
      <c r="AD29" s="37"/>
      <c r="AE29" s="4">
        <f t="shared" si="4"/>
        <v>0</v>
      </c>
      <c r="AF29" s="33"/>
      <c r="AG29" s="37"/>
    </row>
    <row r="30" spans="1:33" x14ac:dyDescent="0.2">
      <c r="A30" s="1" t="str" cm="1">
        <f t="array" ref="A30">IF(I30="","",IF(P30&lt;&gt;"",SUMPRODUCT((P$3:P$82&lt;&gt;"")*(G$3:G$82=G30)*(J$3:J$82&gt;J30)*(I$3:I$82="P"))+1,IF(O30&lt;&gt;"",SUMPRODUCT((O$3:O$82&lt;&gt;"")*(P$3:P$82="")*(G$3:G$82=G30)*(J$3:J$82&gt;J30)*(I$3:I$82="P"))+SUMPRODUCT((P$3:P$82&lt;&gt;"")*(G$3:G$82=G30)*(I$3:I$82="P"))+1,IF(N30&lt;&gt;"",SUMPRODUCT((N$3:N$82&lt;&gt;"")*(G$3:G$82=G30)*(J$3:J$82&gt;J30)*(I$3:I$82="P"))+1,IF(M30="P",SUMPRODUCT((O$3:O$82&lt;&gt;"")*(P$3:P$82="")*(G$3:G$82=G30)*(I$3:I$82="P"))+SUMPRODUCT((P$3:P$82&lt;&gt;"")*(G$3:G$82=G30)*(I$3:I$82="P"))+SUMPRODUCT((N$3:N$82&lt;&gt;"")*(G$3:G$82=G30)*(I$3:I$82="P"))+SUMPRODUCT((P$3:P$82="")*(O$3:O$82="")*(N$3:N$82="")*(M$3:M$82="P")*(G$3:G$82=G30)*(J$3:J$82&gt;J30)*(I$3:I$82="P"))+IF(H30="L5",SUMPRODUCT((P$3:P$82="")*(O$3:O$82="")*(N$3:N$82="")*(M$3:M$82="P")*(G$3:G$82=G30)*(J$3:J$82&lt;J30)*(H$3:H$82&lt;&gt;H30)*(I$3:I$82="P")),-1*SUMPRODUCT((P$3:P$82="")*(O$3:O$82="")*(N$3:N$82="")*(M$3:M$82="P")*(G$3:G$82=G30)*(J$3:J$82&gt;J30)*(H$3:H$82="L5")*(I$3:I$82="P")))+1,"")))))</f>
        <v/>
      </c>
      <c r="B30" s="1" t="str" cm="1">
        <f t="array" ref="B30">IF(P30&lt;&gt;"",SUMPRODUCT((P$3:P$82&lt;&gt;"")*(G$3:G$82=G30)*(J$3:J$82&gt;J30))+1,IF(O30&lt;&gt;"",SUMPRODUCT((O$3:O$82&lt;&gt;"")*(P$3:P$82="")*(G$3:G$82=G30)*(J$3:J$82&gt;J30))+SUMPRODUCT((P$3:P$82&lt;&gt;"")*(G$3:G$82=G30))+1,IF(N30&lt;&gt;"",SUMPRODUCT((N$3:N$82&lt;&gt;"")*(G$3:G$82=G30)*(J$3:J$82&gt;J30))+1,IF(M30="P",SUMPRODUCT((O$3:O$82&lt;&gt;"")*(P$3:P$82="")*(G$3:G$82=G30))+SUMPRODUCT((P$3:P$82&lt;&gt;"")*(G$3:G$82=G30))+SUMPRODUCT((N$3:N$82&lt;&gt;"")*(G$3:G$82=G30))+SUMPRODUCT((P$3:P$82="")*(O$3:O$82="")*(N$3:N$82="")*(M$3:M$82="P")*(G$3:G$82=G30)*(J$3:J$82&gt;J30))+IF(H30="L5",SUMPRODUCT((P$3:P$82="")*(O$3:O$82="")*(N$3:N$82="")*(M$3:M$82="P")*(G$3:G$82=G30)*(J$3:J$82&lt;J30)*(H$3:H$82&lt;&gt;H30)),-1*SUMPRODUCT((P$3:P$82="")*(O$3:O$82="")*(N$3:N$82="")*(M$3:M$82="P")*(G$3:G$82=G30)*(J$3:J$82&gt;J30)*(H$3:H$82="L5")))+1,""))))</f>
        <v/>
      </c>
      <c r="C30" s="35" t="s">
        <v>262</v>
      </c>
      <c r="D30" s="35" t="str">
        <f>IF(E30="","",VLOOKUP(E30,'Coaching Points'!A:B,2,0))</f>
        <v>ON</v>
      </c>
      <c r="E30" s="35" t="s">
        <v>45</v>
      </c>
      <c r="F30" s="34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64</v>
      </c>
      <c r="I30" s="40"/>
      <c r="J30" s="4">
        <f t="shared" si="0"/>
        <v>43.49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 t="shared" si="1"/>
        <v/>
      </c>
      <c r="R30" s="4">
        <f t="shared" si="2"/>
        <v>43.49</v>
      </c>
      <c r="S30" s="4">
        <f>IF(G30="17-21",LARGE(CHOOSE({1,2,3,4,5,6},T30,V30,Y30,AA30,AC30,AF30),2),IF(R30=X30,MAX(Y30,AA30,AC30,AF30),IF(R30=AE30,MAX(AF30,T30,V30,Y30),0)))</f>
        <v>37.86</v>
      </c>
      <c r="T30" s="32">
        <v>37.86</v>
      </c>
      <c r="U30" s="37">
        <v>0</v>
      </c>
      <c r="V30" s="33">
        <v>43.49</v>
      </c>
      <c r="W30" s="37">
        <v>8</v>
      </c>
      <c r="X30" s="4">
        <f t="shared" si="3"/>
        <v>81.349999999999994</v>
      </c>
      <c r="Y30" s="33"/>
      <c r="Z30" s="37"/>
      <c r="AA30" s="32"/>
      <c r="AB30" s="37"/>
      <c r="AC30" s="33"/>
      <c r="AD30" s="37"/>
      <c r="AE30" s="4">
        <f t="shared" si="4"/>
        <v>0</v>
      </c>
      <c r="AF30" s="33"/>
      <c r="AG30" s="37"/>
    </row>
    <row r="31" spans="1:33" x14ac:dyDescent="0.2">
      <c r="A31" s="1" t="str" cm="1">
        <f t="array" ref="A31">IF(I31="","",IF(P31&lt;&gt;"",SUMPRODUCT((P$3:P$82&lt;&gt;"")*(G$3:G$82=G31)*(J$3:J$82&gt;J31)*(I$3:I$82="P"))+1,IF(O31&lt;&gt;"",SUMPRODUCT((O$3:O$82&lt;&gt;"")*(P$3:P$82="")*(G$3:G$82=G31)*(J$3:J$82&gt;J31)*(I$3:I$82="P"))+SUMPRODUCT((P$3:P$82&lt;&gt;"")*(G$3:G$82=G31)*(I$3:I$82="P"))+1,IF(N31&lt;&gt;"",SUMPRODUCT((N$3:N$82&lt;&gt;"")*(G$3:G$82=G31)*(J$3:J$82&gt;J31)*(I$3:I$82="P"))+1,IF(M31="P",SUMPRODUCT((O$3:O$82&lt;&gt;"")*(P$3:P$82="")*(G$3:G$82=G31)*(I$3:I$82="P"))+SUMPRODUCT((P$3:P$82&lt;&gt;"")*(G$3:G$82=G31)*(I$3:I$82="P"))+SUMPRODUCT((N$3:N$82&lt;&gt;"")*(G$3:G$82=G31)*(I$3:I$82="P"))+SUMPRODUCT((P$3:P$82="")*(O$3:O$82="")*(N$3:N$82="")*(M$3:M$82="P")*(G$3:G$82=G31)*(J$3:J$82&gt;J31)*(I$3:I$82="P"))+IF(H31="L5",SUMPRODUCT((P$3:P$82="")*(O$3:O$82="")*(N$3:N$82="")*(M$3:M$82="P")*(G$3:G$82=G31)*(J$3:J$82&lt;J31)*(H$3:H$82&lt;&gt;H31)*(I$3:I$82="P")),-1*SUMPRODUCT((P$3:P$82="")*(O$3:O$82="")*(N$3:N$82="")*(M$3:M$82="P")*(G$3:G$82=G31)*(J$3:J$82&gt;J31)*(H$3:H$82="L5")*(I$3:I$82="P")))+1,"")))))</f>
        <v/>
      </c>
      <c r="B31" s="1" t="str" cm="1">
        <f t="array" ref="B31">IF(P31&lt;&gt;"",SUMPRODUCT((P$3:P$82&lt;&gt;"")*(G$3:G$82=G31)*(J$3:J$82&gt;J31))+1,IF(O31&lt;&gt;"",SUMPRODUCT((O$3:O$82&lt;&gt;"")*(P$3:P$82="")*(G$3:G$82=G31)*(J$3:J$82&gt;J31))+SUMPRODUCT((P$3:P$82&lt;&gt;"")*(G$3:G$82=G31))+1,IF(N31&lt;&gt;"",SUMPRODUCT((N$3:N$82&lt;&gt;"")*(G$3:G$82=G31)*(J$3:J$82&gt;J31))+1,IF(M31="P",SUMPRODUCT((O$3:O$82&lt;&gt;"")*(P$3:P$82="")*(G$3:G$82=G31))+SUMPRODUCT((P$3:P$82&lt;&gt;"")*(G$3:G$82=G31))+SUMPRODUCT((N$3:N$82&lt;&gt;"")*(G$3:G$82=G31))+SUMPRODUCT((P$3:P$82="")*(O$3:O$82="")*(N$3:N$82="")*(M$3:M$82="P")*(G$3:G$82=G31)*(J$3:J$82&gt;J31))+IF(H31="L5",SUMPRODUCT((P$3:P$82="")*(O$3:O$82="")*(N$3:N$82="")*(M$3:M$82="P")*(G$3:G$82=G31)*(J$3:J$82&lt;J31)*(H$3:H$82&lt;&gt;H31)),-1*SUMPRODUCT((P$3:P$82="")*(O$3:O$82="")*(N$3:N$82="")*(M$3:M$82="P")*(G$3:G$82=G31)*(J$3:J$82&gt;J31)*(H$3:H$82="L5")))+1,""))))</f>
        <v/>
      </c>
      <c r="C31" s="35" t="s">
        <v>340</v>
      </c>
      <c r="D31" s="35" t="str">
        <f>IF(E31="","",VLOOKUP(E31,'Coaching Points'!A:B,2,0))</f>
        <v>NL</v>
      </c>
      <c r="E31" s="35" t="s">
        <v>91</v>
      </c>
      <c r="F31" s="34">
        <v>2006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64</v>
      </c>
      <c r="I31" s="40"/>
      <c r="J31" s="4">
        <f t="shared" si="0"/>
        <v>43.46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 t="shared" si="1"/>
        <v/>
      </c>
      <c r="R31" s="4">
        <f t="shared" si="2"/>
        <v>43.46</v>
      </c>
      <c r="S31" s="4">
        <f>IF(G31="17-21",LARGE(CHOOSE({1,2,3,4,5,6},T31,V31,Y31,AA31,AC31,AF31),2),IF(R31=X31,MAX(Y31,AA31,AC31,AF31),IF(R31=AE31,MAX(AF31,T31,V31,Y31),0)))</f>
        <v>37.369999999999997</v>
      </c>
      <c r="T31" s="32">
        <v>37.369999999999997</v>
      </c>
      <c r="U31" s="37">
        <v>0</v>
      </c>
      <c r="V31" s="33">
        <v>43.46</v>
      </c>
      <c r="W31" s="37">
        <v>7.1</v>
      </c>
      <c r="X31" s="4">
        <f t="shared" si="3"/>
        <v>80.83</v>
      </c>
      <c r="Y31" s="33"/>
      <c r="Z31" s="37"/>
      <c r="AA31" s="32"/>
      <c r="AB31" s="37"/>
      <c r="AC31" s="33"/>
      <c r="AD31" s="37"/>
      <c r="AE31" s="4">
        <f t="shared" si="4"/>
        <v>0</v>
      </c>
      <c r="AF31" s="33"/>
      <c r="AG31" s="37"/>
    </row>
    <row r="32" spans="1:33" x14ac:dyDescent="0.2">
      <c r="A32" s="1" t="str" cm="1">
        <f t="array" ref="A32">IF(I32="","",IF(P32&lt;&gt;"",SUMPRODUCT((P$3:P$82&lt;&gt;"")*(G$3:G$82=G32)*(J$3:J$82&gt;J32)*(I$3:I$82="P"))+1,IF(O32&lt;&gt;"",SUMPRODUCT((O$3:O$82&lt;&gt;"")*(P$3:P$82="")*(G$3:G$82=G32)*(J$3:J$82&gt;J32)*(I$3:I$82="P"))+SUMPRODUCT((P$3:P$82&lt;&gt;"")*(G$3:G$82=G32)*(I$3:I$82="P"))+1,IF(N32&lt;&gt;"",SUMPRODUCT((N$3:N$82&lt;&gt;"")*(G$3:G$82=G32)*(J$3:J$82&gt;J32)*(I$3:I$82="P"))+1,IF(M32="P",SUMPRODUCT((O$3:O$82&lt;&gt;"")*(P$3:P$82="")*(G$3:G$82=G32)*(I$3:I$82="P"))+SUMPRODUCT((P$3:P$82&lt;&gt;"")*(G$3:G$82=G32)*(I$3:I$82="P"))+SUMPRODUCT((N$3:N$82&lt;&gt;"")*(G$3:G$82=G32)*(I$3:I$82="P"))+SUMPRODUCT((P$3:P$82="")*(O$3:O$82="")*(N$3:N$82="")*(M$3:M$82="P")*(G$3:G$82=G32)*(J$3:J$82&gt;J32)*(I$3:I$82="P"))+IF(H32="L5",SUMPRODUCT((P$3:P$82="")*(O$3:O$82="")*(N$3:N$82="")*(M$3:M$82="P")*(G$3:G$82=G32)*(J$3:J$82&lt;J32)*(H$3:H$82&lt;&gt;H32)*(I$3:I$82="P")),-1*SUMPRODUCT((P$3:P$82="")*(O$3:O$82="")*(N$3:N$82="")*(M$3:M$82="P")*(G$3:G$82=G32)*(J$3:J$82&gt;J32)*(H$3:H$82="L5")*(I$3:I$82="P")))+1,"")))))</f>
        <v/>
      </c>
      <c r="B32" s="1" t="str" cm="1">
        <f t="array" ref="B32">IF(P32&lt;&gt;"",SUMPRODUCT((P$3:P$82&lt;&gt;"")*(G$3:G$82=G32)*(J$3:J$82&gt;J32))+1,IF(O32&lt;&gt;"",SUMPRODUCT((O$3:O$82&lt;&gt;"")*(P$3:P$82="")*(G$3:G$82=G32)*(J$3:J$82&gt;J32))+SUMPRODUCT((P$3:P$82&lt;&gt;"")*(G$3:G$82=G32))+1,IF(N32&lt;&gt;"",SUMPRODUCT((N$3:N$82&lt;&gt;"")*(G$3:G$82=G32)*(J$3:J$82&gt;J32))+1,IF(M32="P",SUMPRODUCT((O$3:O$82&lt;&gt;"")*(P$3:P$82="")*(G$3:G$82=G32))+SUMPRODUCT((P$3:P$82&lt;&gt;"")*(G$3:G$82=G32))+SUMPRODUCT((N$3:N$82&lt;&gt;"")*(G$3:G$82=G32))+SUMPRODUCT((P$3:P$82="")*(O$3:O$82="")*(N$3:N$82="")*(M$3:M$82="P")*(G$3:G$82=G32)*(J$3:J$82&gt;J32))+IF(H32="L5",SUMPRODUCT((P$3:P$82="")*(O$3:O$82="")*(N$3:N$82="")*(M$3:M$82="P")*(G$3:G$82=G32)*(J$3:J$82&lt;J32)*(H$3:H$82&lt;&gt;H32)),-1*SUMPRODUCT((P$3:P$82="")*(O$3:O$82="")*(N$3:N$82="")*(M$3:M$82="P")*(G$3:G$82=G32)*(J$3:J$82&gt;J32)*(H$3:H$82="L5")))+1,""))))</f>
        <v/>
      </c>
      <c r="C32" s="35" t="s">
        <v>269</v>
      </c>
      <c r="D32" s="35" t="str">
        <f>IF(E32="","",VLOOKUP(E32,'Coaching Points'!A:B,2,0))</f>
        <v>ON</v>
      </c>
      <c r="E32" s="35" t="s">
        <v>97</v>
      </c>
      <c r="F32" s="34">
        <v>2007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64</v>
      </c>
      <c r="I32" s="40"/>
      <c r="J32" s="4">
        <f t="shared" si="0"/>
        <v>43.34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 t="shared" si="1"/>
        <v/>
      </c>
      <c r="R32" s="4">
        <f t="shared" si="2"/>
        <v>43.34</v>
      </c>
      <c r="S32" s="4">
        <f>IF(G32="17-21",LARGE(CHOOSE({1,2,3,4,5,6},T32,V32,Y32,AA32,AC32,AF32),2),IF(R32=X32,MAX(Y32,AA32,AC32,AF32),IF(R32=AE32,MAX(AF32,T32,V32,Y32),0)))</f>
        <v>43.09</v>
      </c>
      <c r="T32" s="32">
        <v>39.11</v>
      </c>
      <c r="U32" s="37">
        <v>0</v>
      </c>
      <c r="V32" s="33">
        <v>43.34</v>
      </c>
      <c r="W32" s="37">
        <v>8.5</v>
      </c>
      <c r="X32" s="4">
        <f t="shared" si="3"/>
        <v>82.45</v>
      </c>
      <c r="Y32" s="33">
        <v>43.09</v>
      </c>
      <c r="Z32" s="37">
        <v>8.5</v>
      </c>
      <c r="AA32" s="32"/>
      <c r="AB32" s="37"/>
      <c r="AC32" s="33"/>
      <c r="AD32" s="37"/>
      <c r="AE32" s="4">
        <f t="shared" si="4"/>
        <v>0</v>
      </c>
      <c r="AF32" s="33"/>
      <c r="AG32" s="37"/>
    </row>
    <row r="33" spans="1:33" x14ac:dyDescent="0.2">
      <c r="A33" s="1" t="str" cm="1">
        <f t="array" ref="A33">IF(I33="","",IF(P33&lt;&gt;"",SUMPRODUCT((P$3:P$82&lt;&gt;"")*(G$3:G$82=G33)*(J$3:J$82&gt;J33)*(I$3:I$82="P"))+1,IF(O33&lt;&gt;"",SUMPRODUCT((O$3:O$82&lt;&gt;"")*(P$3:P$82="")*(G$3:G$82=G33)*(J$3:J$82&gt;J33)*(I$3:I$82="P"))+SUMPRODUCT((P$3:P$82&lt;&gt;"")*(G$3:G$82=G33)*(I$3:I$82="P"))+1,IF(N33&lt;&gt;"",SUMPRODUCT((N$3:N$82&lt;&gt;"")*(G$3:G$82=G33)*(J$3:J$82&gt;J33)*(I$3:I$82="P"))+1,IF(M33="P",SUMPRODUCT((O$3:O$82&lt;&gt;"")*(P$3:P$82="")*(G$3:G$82=G33)*(I$3:I$82="P"))+SUMPRODUCT((P$3:P$82&lt;&gt;"")*(G$3:G$82=G33)*(I$3:I$82="P"))+SUMPRODUCT((N$3:N$82&lt;&gt;"")*(G$3:G$82=G33)*(I$3:I$82="P"))+SUMPRODUCT((P$3:P$82="")*(O$3:O$82="")*(N$3:N$82="")*(M$3:M$82="P")*(G$3:G$82=G33)*(J$3:J$82&gt;J33)*(I$3:I$82="P"))+IF(H33="L5",SUMPRODUCT((P$3:P$82="")*(O$3:O$82="")*(N$3:N$82="")*(M$3:M$82="P")*(G$3:G$82=G33)*(J$3:J$82&lt;J33)*(H$3:H$82&lt;&gt;H33)*(I$3:I$82="P")),-1*SUMPRODUCT((P$3:P$82="")*(O$3:O$82="")*(N$3:N$82="")*(M$3:M$82="P")*(G$3:G$82=G33)*(J$3:J$82&gt;J33)*(H$3:H$82="L5")*(I$3:I$82="P")))+1,"")))))</f>
        <v/>
      </c>
      <c r="B33" s="1" t="str" cm="1">
        <f t="array" ref="B33">IF(P33&lt;&gt;"",SUMPRODUCT((P$3:P$82&lt;&gt;"")*(G$3:G$82=G33)*(J$3:J$82&gt;J33))+1,IF(O33&lt;&gt;"",SUMPRODUCT((O$3:O$82&lt;&gt;"")*(P$3:P$82="")*(G$3:G$82=G33)*(J$3:J$82&gt;J33))+SUMPRODUCT((P$3:P$82&lt;&gt;"")*(G$3:G$82=G33))+1,IF(N33&lt;&gt;"",SUMPRODUCT((N$3:N$82&lt;&gt;"")*(G$3:G$82=G33)*(J$3:J$82&gt;J33))+1,IF(M33="P",SUMPRODUCT((O$3:O$82&lt;&gt;"")*(P$3:P$82="")*(G$3:G$82=G33))+SUMPRODUCT((P$3:P$82&lt;&gt;"")*(G$3:G$82=G33))+SUMPRODUCT((N$3:N$82&lt;&gt;"")*(G$3:G$82=G33))+SUMPRODUCT((P$3:P$82="")*(O$3:O$82="")*(N$3:N$82="")*(M$3:M$82="P")*(G$3:G$82=G33)*(J$3:J$82&gt;J33))+IF(H33="L5",SUMPRODUCT((P$3:P$82="")*(O$3:O$82="")*(N$3:N$82="")*(M$3:M$82="P")*(G$3:G$82=G33)*(J$3:J$82&lt;J33)*(H$3:H$82&lt;&gt;H33)),-1*SUMPRODUCT((P$3:P$82="")*(O$3:O$82="")*(N$3:N$82="")*(M$3:M$82="P")*(G$3:G$82=G33)*(J$3:J$82&gt;J33)*(H$3:H$82="L5")))+1,""))))</f>
        <v/>
      </c>
      <c r="C33" s="35" t="s">
        <v>330</v>
      </c>
      <c r="D33" s="35" t="str">
        <f>IF(E33="","",VLOOKUP(E33,'Coaching Points'!A:B,2,0))</f>
        <v>SK</v>
      </c>
      <c r="E33" s="35" t="s">
        <v>329</v>
      </c>
      <c r="F33" s="34">
        <v>2003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66</v>
      </c>
      <c r="I33" s="40"/>
      <c r="J33" s="4">
        <f t="shared" si="0"/>
        <v>43.3001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 t="shared" si="1"/>
        <v/>
      </c>
      <c r="R33" s="4">
        <f t="shared" si="2"/>
        <v>43.3</v>
      </c>
      <c r="S33" s="4">
        <f>IF(G33="17-21",LARGE(CHOOSE({1,2,3,4,5,6},T33,V33,Y33,AA33,AC33,AF33),2),IF(R33=X33,MAX(Y33,AA33,AC33,AF33),IF(R33=AE33,MAX(AF33,T33,V33,Y33),0)))</f>
        <v>23.4</v>
      </c>
      <c r="T33" s="32">
        <v>23.4</v>
      </c>
      <c r="U33" s="37">
        <v>4.5999999999999996</v>
      </c>
      <c r="V33" s="33">
        <v>43.3</v>
      </c>
      <c r="W33" s="37">
        <v>8.1</v>
      </c>
      <c r="X33" s="4">
        <f t="shared" si="3"/>
        <v>66.699999999999989</v>
      </c>
      <c r="Y33" s="33"/>
      <c r="Z33" s="37"/>
      <c r="AA33" s="32"/>
      <c r="AB33" s="37"/>
      <c r="AC33" s="33"/>
      <c r="AD33" s="37"/>
      <c r="AE33" s="4">
        <f t="shared" si="4"/>
        <v>0</v>
      </c>
      <c r="AF33" s="33"/>
      <c r="AG33" s="37"/>
    </row>
    <row r="34" spans="1:33" x14ac:dyDescent="0.2">
      <c r="A34" s="1" t="str" cm="1">
        <f t="array" ref="A34">IF(I34="","",IF(P34&lt;&gt;"",SUMPRODUCT((P$3:P$82&lt;&gt;"")*(G$3:G$82=G34)*(J$3:J$82&gt;J34)*(I$3:I$82="P"))+1,IF(O34&lt;&gt;"",SUMPRODUCT((O$3:O$82&lt;&gt;"")*(P$3:P$82="")*(G$3:G$82=G34)*(J$3:J$82&gt;J34)*(I$3:I$82="P"))+SUMPRODUCT((P$3:P$82&lt;&gt;"")*(G$3:G$82=G34)*(I$3:I$82="P"))+1,IF(N34&lt;&gt;"",SUMPRODUCT((N$3:N$82&lt;&gt;"")*(G$3:G$82=G34)*(J$3:J$82&gt;J34)*(I$3:I$82="P"))+1,IF(M34="P",SUMPRODUCT((O$3:O$82&lt;&gt;"")*(P$3:P$82="")*(G$3:G$82=G34)*(I$3:I$82="P"))+SUMPRODUCT((P$3:P$82&lt;&gt;"")*(G$3:G$82=G34)*(I$3:I$82="P"))+SUMPRODUCT((N$3:N$82&lt;&gt;"")*(G$3:G$82=G34)*(I$3:I$82="P"))+SUMPRODUCT((P$3:P$82="")*(O$3:O$82="")*(N$3:N$82="")*(M$3:M$82="P")*(G$3:G$82=G34)*(J$3:J$82&gt;J34)*(I$3:I$82="P"))+IF(H34="L5",SUMPRODUCT((P$3:P$82="")*(O$3:O$82="")*(N$3:N$82="")*(M$3:M$82="P")*(G$3:G$82=G34)*(J$3:J$82&lt;J34)*(H$3:H$82&lt;&gt;H34)*(I$3:I$82="P")),-1*SUMPRODUCT((P$3:P$82="")*(O$3:O$82="")*(N$3:N$82="")*(M$3:M$82="P")*(G$3:G$82=G34)*(J$3:J$82&gt;J34)*(H$3:H$82="L5")*(I$3:I$82="P")))+1,"")))))</f>
        <v/>
      </c>
      <c r="B34" s="1" t="str" cm="1">
        <f t="array" ref="B34">IF(P34&lt;&gt;"",SUMPRODUCT((P$3:P$82&lt;&gt;"")*(G$3:G$82=G34)*(J$3:J$82&gt;J34))+1,IF(O34&lt;&gt;"",SUMPRODUCT((O$3:O$82&lt;&gt;"")*(P$3:P$82="")*(G$3:G$82=G34)*(J$3:J$82&gt;J34))+SUMPRODUCT((P$3:P$82&lt;&gt;"")*(G$3:G$82=G34))+1,IF(N34&lt;&gt;"",SUMPRODUCT((N$3:N$82&lt;&gt;"")*(G$3:G$82=G34)*(J$3:J$82&gt;J34))+1,IF(M34="P",SUMPRODUCT((O$3:O$82&lt;&gt;"")*(P$3:P$82="")*(G$3:G$82=G34))+SUMPRODUCT((P$3:P$82&lt;&gt;"")*(G$3:G$82=G34))+SUMPRODUCT((N$3:N$82&lt;&gt;"")*(G$3:G$82=G34))+SUMPRODUCT((P$3:P$82="")*(O$3:O$82="")*(N$3:N$82="")*(M$3:M$82="P")*(G$3:G$82=G34)*(J$3:J$82&gt;J34))+IF(H34="L5",SUMPRODUCT((P$3:P$82="")*(O$3:O$82="")*(N$3:N$82="")*(M$3:M$82="P")*(G$3:G$82=G34)*(J$3:J$82&lt;J34)*(H$3:H$82&lt;&gt;H34)),-1*SUMPRODUCT((P$3:P$82="")*(O$3:O$82="")*(N$3:N$82="")*(M$3:M$82="P")*(G$3:G$82=G34)*(J$3:J$82&gt;J34)*(H$3:H$82="L5")))+1,""))))</f>
        <v/>
      </c>
      <c r="C34" s="35" t="s">
        <v>119</v>
      </c>
      <c r="D34" s="35" t="str">
        <f>IF(E34="","",VLOOKUP(E34,'Coaching Points'!A:B,2,0))</f>
        <v>SK</v>
      </c>
      <c r="E34" s="35" t="s">
        <v>329</v>
      </c>
      <c r="F34" s="34">
        <v>2003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66</v>
      </c>
      <c r="I34" s="40"/>
      <c r="J34" s="4">
        <f t="shared" si="0"/>
        <v>43.270100000000006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 t="shared" si="1"/>
        <v/>
      </c>
      <c r="R34" s="4">
        <f t="shared" si="2"/>
        <v>43.27</v>
      </c>
      <c r="S34" s="4">
        <f>IF(G34="17-21",LARGE(CHOOSE({1,2,3,4,5,6},T34,V34,Y34,AA34,AC34,AF34),2),IF(R34=X34,MAX(Y34,AA34,AC34,AF34),IF(R34=AE34,MAX(AF34,T34,V34,Y34),0)))</f>
        <v>8.92</v>
      </c>
      <c r="T34" s="32">
        <v>43.27</v>
      </c>
      <c r="U34" s="37">
        <v>8.5</v>
      </c>
      <c r="V34" s="33">
        <v>8.92</v>
      </c>
      <c r="W34" s="37">
        <v>2.1</v>
      </c>
      <c r="X34" s="4">
        <f t="shared" si="3"/>
        <v>52.190000000000005</v>
      </c>
      <c r="Y34" s="33"/>
      <c r="Z34" s="37"/>
      <c r="AA34" s="32"/>
      <c r="AB34" s="37"/>
      <c r="AC34" s="33"/>
      <c r="AD34" s="37"/>
      <c r="AE34" s="4">
        <f t="shared" si="4"/>
        <v>0</v>
      </c>
      <c r="AF34" s="33"/>
      <c r="AG34" s="37"/>
    </row>
    <row r="35" spans="1:33" x14ac:dyDescent="0.2">
      <c r="A35" s="1" t="str" cm="1">
        <f t="array" ref="A35">IF(I35="","",IF(P35&lt;&gt;"",SUMPRODUCT((P$3:P$82&lt;&gt;"")*(G$3:G$82=G35)*(J$3:J$82&gt;J35)*(I$3:I$82="P"))+1,IF(O35&lt;&gt;"",SUMPRODUCT((O$3:O$82&lt;&gt;"")*(P$3:P$82="")*(G$3:G$82=G35)*(J$3:J$82&gt;J35)*(I$3:I$82="P"))+SUMPRODUCT((P$3:P$82&lt;&gt;"")*(G$3:G$82=G35)*(I$3:I$82="P"))+1,IF(N35&lt;&gt;"",SUMPRODUCT((N$3:N$82&lt;&gt;"")*(G$3:G$82=G35)*(J$3:J$82&gt;J35)*(I$3:I$82="P"))+1,IF(M35="P",SUMPRODUCT((O$3:O$82&lt;&gt;"")*(P$3:P$82="")*(G$3:G$82=G35)*(I$3:I$82="P"))+SUMPRODUCT((P$3:P$82&lt;&gt;"")*(G$3:G$82=G35)*(I$3:I$82="P"))+SUMPRODUCT((N$3:N$82&lt;&gt;"")*(G$3:G$82=G35)*(I$3:I$82="P"))+SUMPRODUCT((P$3:P$82="")*(O$3:O$82="")*(N$3:N$82="")*(M$3:M$82="P")*(G$3:G$82=G35)*(J$3:J$82&gt;J35)*(I$3:I$82="P"))+IF(H35="L5",SUMPRODUCT((P$3:P$82="")*(O$3:O$82="")*(N$3:N$82="")*(M$3:M$82="P")*(G$3:G$82=G35)*(J$3:J$82&lt;J35)*(H$3:H$82&lt;&gt;H35)*(I$3:I$82="P")),-1*SUMPRODUCT((P$3:P$82="")*(O$3:O$82="")*(N$3:N$82="")*(M$3:M$82="P")*(G$3:G$82=G35)*(J$3:J$82&gt;J35)*(H$3:H$82="L5")*(I$3:I$82="P")))+1,"")))))</f>
        <v/>
      </c>
      <c r="B35" s="1" t="str" cm="1">
        <f t="array" ref="B35">IF(P35&lt;&gt;"",SUMPRODUCT((P$3:P$82&lt;&gt;"")*(G$3:G$82=G35)*(J$3:J$82&gt;J35))+1,IF(O35&lt;&gt;"",SUMPRODUCT((O$3:O$82&lt;&gt;"")*(P$3:P$82="")*(G$3:G$82=G35)*(J$3:J$82&gt;J35))+SUMPRODUCT((P$3:P$82&lt;&gt;"")*(G$3:G$82=G35))+1,IF(N35&lt;&gt;"",SUMPRODUCT((N$3:N$82&lt;&gt;"")*(G$3:G$82=G35)*(J$3:J$82&gt;J35))+1,IF(M35="P",SUMPRODUCT((O$3:O$82&lt;&gt;"")*(P$3:P$82="")*(G$3:G$82=G35))+SUMPRODUCT((P$3:P$82&lt;&gt;"")*(G$3:G$82=G35))+SUMPRODUCT((N$3:N$82&lt;&gt;"")*(G$3:G$82=G35))+SUMPRODUCT((P$3:P$82="")*(O$3:O$82="")*(N$3:N$82="")*(M$3:M$82="P")*(G$3:G$82=G35)*(J$3:J$82&gt;J35))+IF(H35="L5",SUMPRODUCT((P$3:P$82="")*(O$3:O$82="")*(N$3:N$82="")*(M$3:M$82="P")*(G$3:G$82=G35)*(J$3:J$82&lt;J35)*(H$3:H$82&lt;&gt;H35)),-1*SUMPRODUCT((P$3:P$82="")*(O$3:O$82="")*(N$3:N$82="")*(M$3:M$82="P")*(G$3:G$82=G35)*(J$3:J$82&gt;J35)*(H$3:H$82="L5")))+1,""))))</f>
        <v/>
      </c>
      <c r="C35" s="35" t="s">
        <v>117</v>
      </c>
      <c r="D35" s="35" t="str">
        <f>IF(E35="","",VLOOKUP(E35,'Coaching Points'!A:B,2,0))</f>
        <v>BC</v>
      </c>
      <c r="E35" s="35" t="s">
        <v>59</v>
      </c>
      <c r="F35" s="34">
        <v>2003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64</v>
      </c>
      <c r="I35" s="40"/>
      <c r="J35" s="4">
        <f t="shared" ref="J35:J66" si="5">R35+IF(OR(H35="Junior",H35="Senior"),0.0002,IF(OR(H35="L7",H35="L6"),0.0001,0))+IF(G35="17-21",MAX(AA35,AC35,AF35),AE35)*0.0000001</f>
        <v>43.09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 t="shared" ref="Q35:Q66" si="6">IF(A35&lt;5,IF(_xlfn.MAXIFS(A:A,G:G,G35)&gt;3,5-A35,_xlfn.MAXIFS(A:A,G:G,G35)+1-A35),"")</f>
        <v/>
      </c>
      <c r="R35" s="4">
        <f t="shared" ref="R35:R66" si="7">IF(G35="17-21",MAX(T35,V35,Y35,AA35,AC35,AF35),MAX(X35,AE35))</f>
        <v>43.09</v>
      </c>
      <c r="S35" s="4">
        <f>IF(G35="17-21",LARGE(CHOOSE({1,2,3,4,5,6},T35,V35,Y35,AA35,AC35,AF35),2),IF(R35=X35,MAX(Y35,AA35,AC35,AF35),IF(R35=AE35,MAX(AF35,T35,V35,Y35),0)))</f>
        <v>34.799999999999997</v>
      </c>
      <c r="T35" s="32">
        <v>34.799999999999997</v>
      </c>
      <c r="U35" s="37">
        <v>0</v>
      </c>
      <c r="V35" s="33">
        <v>43.09</v>
      </c>
      <c r="W35" s="37">
        <v>8.4</v>
      </c>
      <c r="X35" s="4">
        <f t="shared" ref="X35:X66" si="8">IF(H35="Senior",MAX(T35,V35),T35+V35)</f>
        <v>77.89</v>
      </c>
      <c r="Y35" s="33"/>
      <c r="Z35" s="37"/>
      <c r="AA35" s="32"/>
      <c r="AB35" s="37"/>
      <c r="AC35" s="33"/>
      <c r="AD35" s="37"/>
      <c r="AE35" s="4">
        <f t="shared" ref="AE35:AE66" si="9">IF(H35="Senior",MAX(AA35,AC35),AA35+AC35)</f>
        <v>0</v>
      </c>
      <c r="AF35" s="33"/>
      <c r="AG35" s="37"/>
    </row>
    <row r="36" spans="1:33" x14ac:dyDescent="0.2">
      <c r="A36" s="1" t="str" cm="1">
        <f t="array" ref="A36">IF(I36="","",IF(P36&lt;&gt;"",SUMPRODUCT((P$3:P$82&lt;&gt;"")*(G$3:G$82=G36)*(J$3:J$82&gt;J36)*(I$3:I$82="P"))+1,IF(O36&lt;&gt;"",SUMPRODUCT((O$3:O$82&lt;&gt;"")*(P$3:P$82="")*(G$3:G$82=G36)*(J$3:J$82&gt;J36)*(I$3:I$82="P"))+SUMPRODUCT((P$3:P$82&lt;&gt;"")*(G$3:G$82=G36)*(I$3:I$82="P"))+1,IF(N36&lt;&gt;"",SUMPRODUCT((N$3:N$82&lt;&gt;"")*(G$3:G$82=G36)*(J$3:J$82&gt;J36)*(I$3:I$82="P"))+1,IF(M36="P",SUMPRODUCT((O$3:O$82&lt;&gt;"")*(P$3:P$82="")*(G$3:G$82=G36)*(I$3:I$82="P"))+SUMPRODUCT((P$3:P$82&lt;&gt;"")*(G$3:G$82=G36)*(I$3:I$82="P"))+SUMPRODUCT((N$3:N$82&lt;&gt;"")*(G$3:G$82=G36)*(I$3:I$82="P"))+SUMPRODUCT((P$3:P$82="")*(O$3:O$82="")*(N$3:N$82="")*(M$3:M$82="P")*(G$3:G$82=G36)*(J$3:J$82&gt;J36)*(I$3:I$82="P"))+IF(H36="L5",SUMPRODUCT((P$3:P$82="")*(O$3:O$82="")*(N$3:N$82="")*(M$3:M$82="P")*(G$3:G$82=G36)*(J$3:J$82&lt;J36)*(H$3:H$82&lt;&gt;H36)*(I$3:I$82="P")),-1*SUMPRODUCT((P$3:P$82="")*(O$3:O$82="")*(N$3:N$82="")*(M$3:M$82="P")*(G$3:G$82=G36)*(J$3:J$82&gt;J36)*(H$3:H$82="L5")*(I$3:I$82="P")))+1,"")))))</f>
        <v/>
      </c>
      <c r="B36" s="1" t="str" cm="1">
        <f t="array" ref="B36">IF(P36&lt;&gt;"",SUMPRODUCT((P$3:P$82&lt;&gt;"")*(G$3:G$82=G36)*(J$3:J$82&gt;J36))+1,IF(O36&lt;&gt;"",SUMPRODUCT((O$3:O$82&lt;&gt;"")*(P$3:P$82="")*(G$3:G$82=G36)*(J$3:J$82&gt;J36))+SUMPRODUCT((P$3:P$82&lt;&gt;"")*(G$3:G$82=G36))+1,IF(N36&lt;&gt;"",SUMPRODUCT((N$3:N$82&lt;&gt;"")*(G$3:G$82=G36)*(J$3:J$82&gt;J36))+1,IF(M36="P",SUMPRODUCT((O$3:O$82&lt;&gt;"")*(P$3:P$82="")*(G$3:G$82=G36))+SUMPRODUCT((P$3:P$82&lt;&gt;"")*(G$3:G$82=G36))+SUMPRODUCT((N$3:N$82&lt;&gt;"")*(G$3:G$82=G36))+SUMPRODUCT((P$3:P$82="")*(O$3:O$82="")*(N$3:N$82="")*(M$3:M$82="P")*(G$3:G$82=G36)*(J$3:J$82&gt;J36))+IF(H36="L5",SUMPRODUCT((P$3:P$82="")*(O$3:O$82="")*(N$3:N$82="")*(M$3:M$82="P")*(G$3:G$82=G36)*(J$3:J$82&lt;J36)*(H$3:H$82&lt;&gt;H36)),-1*SUMPRODUCT((P$3:P$82="")*(O$3:O$82="")*(N$3:N$82="")*(M$3:M$82="P")*(G$3:G$82=G36)*(J$3:J$82&gt;J36)*(H$3:H$82="L5")))+1,""))))</f>
        <v/>
      </c>
      <c r="C36" s="35" t="s">
        <v>116</v>
      </c>
      <c r="D36" s="35" t="str">
        <f>IF(E36="","",VLOOKUP(E36,'Coaching Points'!A:B,2,0))</f>
        <v>QC</v>
      </c>
      <c r="E36" s="35" t="s">
        <v>342</v>
      </c>
      <c r="F36" s="34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64</v>
      </c>
      <c r="I36" s="40"/>
      <c r="J36" s="4">
        <f t="shared" si="5"/>
        <v>42.46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 t="shared" si="6"/>
        <v/>
      </c>
      <c r="R36" s="4">
        <f t="shared" si="7"/>
        <v>42.46</v>
      </c>
      <c r="S36" s="4">
        <f>IF(G36="17-21",LARGE(CHOOSE({1,2,3,4,5,6},T36,V36,Y36,AA36,AC36,AF36),2),IF(R36=X36,MAX(Y36,AA36,AC36,AF36),IF(R36=AE36,MAX(AF36,T36,V36,Y36),0)))</f>
        <v>37.799999999999997</v>
      </c>
      <c r="T36" s="32">
        <v>37.799999999999997</v>
      </c>
      <c r="U36" s="37">
        <v>0</v>
      </c>
      <c r="V36" s="33">
        <v>42.46</v>
      </c>
      <c r="W36" s="37">
        <v>8.4</v>
      </c>
      <c r="X36" s="4">
        <f t="shared" si="8"/>
        <v>80.259999999999991</v>
      </c>
      <c r="Y36" s="33"/>
      <c r="Z36" s="37"/>
      <c r="AA36" s="32"/>
      <c r="AB36" s="37"/>
      <c r="AC36" s="33"/>
      <c r="AD36" s="37"/>
      <c r="AE36" s="4">
        <f t="shared" si="9"/>
        <v>0</v>
      </c>
      <c r="AF36" s="33"/>
      <c r="AG36" s="37"/>
    </row>
    <row r="37" spans="1:33" x14ac:dyDescent="0.2">
      <c r="A37" s="1" t="str" cm="1">
        <f t="array" ref="A37">IF(I37="","",IF(P37&lt;&gt;"",SUMPRODUCT((P$3:P$82&lt;&gt;"")*(G$3:G$82=G37)*(J$3:J$82&gt;J37)*(I$3:I$82="P"))+1,IF(O37&lt;&gt;"",SUMPRODUCT((O$3:O$82&lt;&gt;"")*(P$3:P$82="")*(G$3:G$82=G37)*(J$3:J$82&gt;J37)*(I$3:I$82="P"))+SUMPRODUCT((P$3:P$82&lt;&gt;"")*(G$3:G$82=G37)*(I$3:I$82="P"))+1,IF(N37&lt;&gt;"",SUMPRODUCT((N$3:N$82&lt;&gt;"")*(G$3:G$82=G37)*(J$3:J$82&gt;J37)*(I$3:I$82="P"))+1,IF(M37="P",SUMPRODUCT((O$3:O$82&lt;&gt;"")*(P$3:P$82="")*(G$3:G$82=G37)*(I$3:I$82="P"))+SUMPRODUCT((P$3:P$82&lt;&gt;"")*(G$3:G$82=G37)*(I$3:I$82="P"))+SUMPRODUCT((N$3:N$82&lt;&gt;"")*(G$3:G$82=G37)*(I$3:I$82="P"))+SUMPRODUCT((P$3:P$82="")*(O$3:O$82="")*(N$3:N$82="")*(M$3:M$82="P")*(G$3:G$82=G37)*(J$3:J$82&gt;J37)*(I$3:I$82="P"))+IF(H37="L5",SUMPRODUCT((P$3:P$82="")*(O$3:O$82="")*(N$3:N$82="")*(M$3:M$82="P")*(G$3:G$82=G37)*(J$3:J$82&lt;J37)*(H$3:H$82&lt;&gt;H37)*(I$3:I$82="P")),-1*SUMPRODUCT((P$3:P$82="")*(O$3:O$82="")*(N$3:N$82="")*(M$3:M$82="P")*(G$3:G$82=G37)*(J$3:J$82&gt;J37)*(H$3:H$82="L5")*(I$3:I$82="P")))+1,"")))))</f>
        <v/>
      </c>
      <c r="B37" s="1" t="str" cm="1">
        <f t="array" ref="B37">IF(P37&lt;&gt;"",SUMPRODUCT((P$3:P$82&lt;&gt;"")*(G$3:G$82=G37)*(J$3:J$82&gt;J37))+1,IF(O37&lt;&gt;"",SUMPRODUCT((O$3:O$82&lt;&gt;"")*(P$3:P$82="")*(G$3:G$82=G37)*(J$3:J$82&gt;J37))+SUMPRODUCT((P$3:P$82&lt;&gt;"")*(G$3:G$82=G37))+1,IF(N37&lt;&gt;"",SUMPRODUCT((N$3:N$82&lt;&gt;"")*(G$3:G$82=G37)*(J$3:J$82&gt;J37))+1,IF(M37="P",SUMPRODUCT((O$3:O$82&lt;&gt;"")*(P$3:P$82="")*(G$3:G$82=G37))+SUMPRODUCT((P$3:P$82&lt;&gt;"")*(G$3:G$82=G37))+SUMPRODUCT((N$3:N$82&lt;&gt;"")*(G$3:G$82=G37))+SUMPRODUCT((P$3:P$82="")*(O$3:O$82="")*(N$3:N$82="")*(M$3:M$82="P")*(G$3:G$82=G37)*(J$3:J$82&gt;J37))+IF(H37="L5",SUMPRODUCT((P$3:P$82="")*(O$3:O$82="")*(N$3:N$82="")*(M$3:M$82="P")*(G$3:G$82=G37)*(J$3:J$82&lt;J37)*(H$3:H$82&lt;&gt;H37)),-1*SUMPRODUCT((P$3:P$82="")*(O$3:O$82="")*(N$3:N$82="")*(M$3:M$82="P")*(G$3:G$82=G37)*(J$3:J$82&gt;J37)*(H$3:H$82="L5")))+1,""))))</f>
        <v/>
      </c>
      <c r="C37" s="35" t="s">
        <v>272</v>
      </c>
      <c r="D37" s="35" t="str">
        <f>IF(E37="","",VLOOKUP(E37,'Coaching Points'!A:B,2,0))</f>
        <v>NL</v>
      </c>
      <c r="E37" s="35" t="s">
        <v>248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64</v>
      </c>
      <c r="I37" s="40"/>
      <c r="J37" s="4">
        <f t="shared" si="5"/>
        <v>42.18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 t="shared" si="6"/>
        <v/>
      </c>
      <c r="R37" s="4">
        <f t="shared" si="7"/>
        <v>42.18</v>
      </c>
      <c r="S37" s="4">
        <f>IF(G37="17-21",LARGE(CHOOSE({1,2,3,4,5,6},T37,V37,Y37,AA37,AC37,AF37),2),IF(R37=X37,MAX(Y37,AA37,AC37,AF37),IF(R37=AE37,MAX(AF37,T37,V37,Y37),0)))</f>
        <v>36.909999999999997</v>
      </c>
      <c r="T37" s="32">
        <v>36.909999999999997</v>
      </c>
      <c r="U37" s="37">
        <v>0</v>
      </c>
      <c r="V37" s="33">
        <v>42.18</v>
      </c>
      <c r="W37" s="37">
        <v>7.3</v>
      </c>
      <c r="X37" s="4">
        <f t="shared" si="8"/>
        <v>79.09</v>
      </c>
      <c r="Y37" s="33"/>
      <c r="Z37" s="37"/>
      <c r="AA37" s="32"/>
      <c r="AB37" s="37"/>
      <c r="AC37" s="33"/>
      <c r="AD37" s="37"/>
      <c r="AE37" s="4">
        <f t="shared" si="9"/>
        <v>0</v>
      </c>
      <c r="AF37" s="33"/>
      <c r="AG37" s="37"/>
    </row>
    <row r="38" spans="1:33" x14ac:dyDescent="0.2">
      <c r="A38" s="1" t="str" cm="1">
        <f t="array" ref="A38">IF(I38="","",IF(P38&lt;&gt;"",SUMPRODUCT((P$3:P$82&lt;&gt;"")*(G$3:G$82=G38)*(J$3:J$82&gt;J38)*(I$3:I$82="P"))+1,IF(O38&lt;&gt;"",SUMPRODUCT((O$3:O$82&lt;&gt;"")*(P$3:P$82="")*(G$3:G$82=G38)*(J$3:J$82&gt;J38)*(I$3:I$82="P"))+SUMPRODUCT((P$3:P$82&lt;&gt;"")*(G$3:G$82=G38)*(I$3:I$82="P"))+1,IF(N38&lt;&gt;"",SUMPRODUCT((N$3:N$82&lt;&gt;"")*(G$3:G$82=G38)*(J$3:J$82&gt;J38)*(I$3:I$82="P"))+1,IF(M38="P",SUMPRODUCT((O$3:O$82&lt;&gt;"")*(P$3:P$82="")*(G$3:G$82=G38)*(I$3:I$82="P"))+SUMPRODUCT((P$3:P$82&lt;&gt;"")*(G$3:G$82=G38)*(I$3:I$82="P"))+SUMPRODUCT((N$3:N$82&lt;&gt;"")*(G$3:G$82=G38)*(I$3:I$82="P"))+SUMPRODUCT((P$3:P$82="")*(O$3:O$82="")*(N$3:N$82="")*(M$3:M$82="P")*(G$3:G$82=G38)*(J$3:J$82&gt;J38)*(I$3:I$82="P"))+IF(H38="L5",SUMPRODUCT((P$3:P$82="")*(O$3:O$82="")*(N$3:N$82="")*(M$3:M$82="P")*(G$3:G$82=G38)*(J$3:J$82&lt;J38)*(H$3:H$82&lt;&gt;H38)*(I$3:I$82="P")),-1*SUMPRODUCT((P$3:P$82="")*(O$3:O$82="")*(N$3:N$82="")*(M$3:M$82="P")*(G$3:G$82=G38)*(J$3:J$82&gt;J38)*(H$3:H$82="L5")*(I$3:I$82="P")))+1,"")))))</f>
        <v/>
      </c>
      <c r="B38" s="1" t="str" cm="1">
        <f t="array" ref="B38">IF(P38&lt;&gt;"",SUMPRODUCT((P$3:P$82&lt;&gt;"")*(G$3:G$82=G38)*(J$3:J$82&gt;J38))+1,IF(O38&lt;&gt;"",SUMPRODUCT((O$3:O$82&lt;&gt;"")*(P$3:P$82="")*(G$3:G$82=G38)*(J$3:J$82&gt;J38))+SUMPRODUCT((P$3:P$82&lt;&gt;"")*(G$3:G$82=G38))+1,IF(N38&lt;&gt;"",SUMPRODUCT((N$3:N$82&lt;&gt;"")*(G$3:G$82=G38)*(J$3:J$82&gt;J38))+1,IF(M38="P",SUMPRODUCT((O$3:O$82&lt;&gt;"")*(P$3:P$82="")*(G$3:G$82=G38))+SUMPRODUCT((P$3:P$82&lt;&gt;"")*(G$3:G$82=G38))+SUMPRODUCT((N$3:N$82&lt;&gt;"")*(G$3:G$82=G38))+SUMPRODUCT((P$3:P$82="")*(O$3:O$82="")*(N$3:N$82="")*(M$3:M$82="P")*(G$3:G$82=G38)*(J$3:J$82&gt;J38))+IF(H38="L5",SUMPRODUCT((P$3:P$82="")*(O$3:O$82="")*(N$3:N$82="")*(M$3:M$82="P")*(G$3:G$82=G38)*(J$3:J$82&lt;J38)*(H$3:H$82&lt;&gt;H38)),-1*SUMPRODUCT((P$3:P$82="")*(O$3:O$82="")*(N$3:N$82="")*(M$3:M$82="P")*(G$3:G$82=G38)*(J$3:J$82&gt;J38)*(H$3:H$82="L5")))+1,""))))</f>
        <v/>
      </c>
      <c r="C38" s="35" t="s">
        <v>260</v>
      </c>
      <c r="D38" s="35" t="str">
        <f>IF(E38="","",VLOOKUP(E38,'Coaching Points'!A:B,2,0))</f>
        <v>AB</v>
      </c>
      <c r="E38" s="35" t="s">
        <v>28</v>
      </c>
      <c r="F38" s="34">
        <v>2006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64</v>
      </c>
      <c r="I38" s="40"/>
      <c r="J38" s="4">
        <f t="shared" si="5"/>
        <v>41.96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 t="shared" si="6"/>
        <v/>
      </c>
      <c r="R38" s="4">
        <f t="shared" si="7"/>
        <v>41.96</v>
      </c>
      <c r="S38" s="4">
        <f>IF(G38="17-21",LARGE(CHOOSE({1,2,3,4,5,6},T38,V38,Y38,AA38,AC38,AF38),2),IF(R38=X38,MAX(Y38,AA38,AC38,AF38),IF(R38=AE38,MAX(AF38,T38,V38,Y38),0)))</f>
        <v>36.85</v>
      </c>
      <c r="T38" s="32">
        <v>36.85</v>
      </c>
      <c r="U38" s="37">
        <v>0</v>
      </c>
      <c r="V38" s="33">
        <v>41.96</v>
      </c>
      <c r="W38" s="37">
        <v>7.8</v>
      </c>
      <c r="X38" s="4">
        <f t="shared" si="8"/>
        <v>78.81</v>
      </c>
      <c r="Y38" s="33"/>
      <c r="Z38" s="37"/>
      <c r="AA38" s="32"/>
      <c r="AB38" s="37"/>
      <c r="AC38" s="33"/>
      <c r="AD38" s="37"/>
      <c r="AE38" s="4">
        <f t="shared" si="9"/>
        <v>0</v>
      </c>
      <c r="AF38" s="33"/>
      <c r="AG38" s="37"/>
    </row>
    <row r="39" spans="1:33" x14ac:dyDescent="0.2">
      <c r="A39" s="1" t="str" cm="1">
        <f t="array" ref="A39">IF(I39="","",IF(P39&lt;&gt;"",SUMPRODUCT((P$3:P$82&lt;&gt;"")*(G$3:G$82=G39)*(J$3:J$82&gt;J39)*(I$3:I$82="P"))+1,IF(O39&lt;&gt;"",SUMPRODUCT((O$3:O$82&lt;&gt;"")*(P$3:P$82="")*(G$3:G$82=G39)*(J$3:J$82&gt;J39)*(I$3:I$82="P"))+SUMPRODUCT((P$3:P$82&lt;&gt;"")*(G$3:G$82=G39)*(I$3:I$82="P"))+1,IF(N39&lt;&gt;"",SUMPRODUCT((N$3:N$82&lt;&gt;"")*(G$3:G$82=G39)*(J$3:J$82&gt;J39)*(I$3:I$82="P"))+1,IF(M39="P",SUMPRODUCT((O$3:O$82&lt;&gt;"")*(P$3:P$82="")*(G$3:G$82=G39)*(I$3:I$82="P"))+SUMPRODUCT((P$3:P$82&lt;&gt;"")*(G$3:G$82=G39)*(I$3:I$82="P"))+SUMPRODUCT((N$3:N$82&lt;&gt;"")*(G$3:G$82=G39)*(I$3:I$82="P"))+SUMPRODUCT((P$3:P$82="")*(O$3:O$82="")*(N$3:N$82="")*(M$3:M$82="P")*(G$3:G$82=G39)*(J$3:J$82&gt;J39)*(I$3:I$82="P"))+IF(H39="L5",SUMPRODUCT((P$3:P$82="")*(O$3:O$82="")*(N$3:N$82="")*(M$3:M$82="P")*(G$3:G$82=G39)*(J$3:J$82&lt;J39)*(H$3:H$82&lt;&gt;H39)*(I$3:I$82="P")),-1*SUMPRODUCT((P$3:P$82="")*(O$3:O$82="")*(N$3:N$82="")*(M$3:M$82="P")*(G$3:G$82=G39)*(J$3:J$82&gt;J39)*(H$3:H$82="L5")*(I$3:I$82="P")))+1,"")))))</f>
        <v/>
      </c>
      <c r="B39" s="1" t="str" cm="1">
        <f t="array" ref="B39">IF(P39&lt;&gt;"",SUMPRODUCT((P$3:P$82&lt;&gt;"")*(G$3:G$82=G39)*(J$3:J$82&gt;J39))+1,IF(O39&lt;&gt;"",SUMPRODUCT((O$3:O$82&lt;&gt;"")*(P$3:P$82="")*(G$3:G$82=G39)*(J$3:J$82&gt;J39))+SUMPRODUCT((P$3:P$82&lt;&gt;"")*(G$3:G$82=G39))+1,IF(N39&lt;&gt;"",SUMPRODUCT((N$3:N$82&lt;&gt;"")*(G$3:G$82=G39)*(J$3:J$82&gt;J39))+1,IF(M39="P",SUMPRODUCT((O$3:O$82&lt;&gt;"")*(P$3:P$82="")*(G$3:G$82=G39))+SUMPRODUCT((P$3:P$82&lt;&gt;"")*(G$3:G$82=G39))+SUMPRODUCT((N$3:N$82&lt;&gt;"")*(G$3:G$82=G39))+SUMPRODUCT((P$3:P$82="")*(O$3:O$82="")*(N$3:N$82="")*(M$3:M$82="P")*(G$3:G$82=G39)*(J$3:J$82&gt;J39))+IF(H39="L5",SUMPRODUCT((P$3:P$82="")*(O$3:O$82="")*(N$3:N$82="")*(M$3:M$82="P")*(G$3:G$82=G39)*(J$3:J$82&lt;J39)*(H$3:H$82&lt;&gt;H39)),-1*SUMPRODUCT((P$3:P$82="")*(O$3:O$82="")*(N$3:N$82="")*(M$3:M$82="P")*(G$3:G$82=G39)*(J$3:J$82&gt;J39)*(H$3:H$82="L5")))+1,""))))</f>
        <v/>
      </c>
      <c r="C39" s="35" t="s">
        <v>123</v>
      </c>
      <c r="D39" s="35" t="str">
        <f>IF(E39="","",VLOOKUP(E39,'Coaching Points'!A:B,2,0))</f>
        <v>ON</v>
      </c>
      <c r="E39" s="35" t="s">
        <v>97</v>
      </c>
      <c r="F39" s="34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66</v>
      </c>
      <c r="I39" s="40"/>
      <c r="J39" s="4">
        <f t="shared" si="5"/>
        <v>41.770100000000006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 t="shared" si="6"/>
        <v/>
      </c>
      <c r="R39" s="4">
        <f t="shared" si="7"/>
        <v>41.77</v>
      </c>
      <c r="S39" s="4">
        <f>IF(G39="17-21",LARGE(CHOOSE({1,2,3,4,5,6},T39,V39,Y39,AA39,AC39,AF39),2),IF(R39=X39,MAX(Y39,AA39,AC39,AF39),IF(R39=AE39,MAX(AF39,T39,V39,Y39),0)))</f>
        <v>40.28</v>
      </c>
      <c r="T39" s="32">
        <v>41.77</v>
      </c>
      <c r="U39" s="37">
        <v>7.8</v>
      </c>
      <c r="V39" s="33">
        <v>40.28</v>
      </c>
      <c r="W39" s="37">
        <v>8</v>
      </c>
      <c r="X39" s="4">
        <f t="shared" si="8"/>
        <v>82.050000000000011</v>
      </c>
      <c r="Y39" s="33"/>
      <c r="Z39" s="37"/>
      <c r="AA39" s="32"/>
      <c r="AB39" s="37"/>
      <c r="AC39" s="33"/>
      <c r="AD39" s="37"/>
      <c r="AE39" s="4">
        <f t="shared" si="9"/>
        <v>0</v>
      </c>
      <c r="AF39" s="33"/>
      <c r="AG39" s="37"/>
    </row>
    <row r="40" spans="1:33" x14ac:dyDescent="0.2">
      <c r="A40" s="1" t="str" cm="1">
        <f t="array" ref="A40">IF(I40="","",IF(P40&lt;&gt;"",SUMPRODUCT((P$3:P$82&lt;&gt;"")*(G$3:G$82=G40)*(J$3:J$82&gt;J40)*(I$3:I$82="P"))+1,IF(O40&lt;&gt;"",SUMPRODUCT((O$3:O$82&lt;&gt;"")*(P$3:P$82="")*(G$3:G$82=G40)*(J$3:J$82&gt;J40)*(I$3:I$82="P"))+SUMPRODUCT((P$3:P$82&lt;&gt;"")*(G$3:G$82=G40)*(I$3:I$82="P"))+1,IF(N40&lt;&gt;"",SUMPRODUCT((N$3:N$82&lt;&gt;"")*(G$3:G$82=G40)*(J$3:J$82&gt;J40)*(I$3:I$82="P"))+1,IF(M40="P",SUMPRODUCT((O$3:O$82&lt;&gt;"")*(P$3:P$82="")*(G$3:G$82=G40)*(I$3:I$82="P"))+SUMPRODUCT((P$3:P$82&lt;&gt;"")*(G$3:G$82=G40)*(I$3:I$82="P"))+SUMPRODUCT((N$3:N$82&lt;&gt;"")*(G$3:G$82=G40)*(I$3:I$82="P"))+SUMPRODUCT((P$3:P$82="")*(O$3:O$82="")*(N$3:N$82="")*(M$3:M$82="P")*(G$3:G$82=G40)*(J$3:J$82&gt;J40)*(I$3:I$82="P"))+IF(H40="L5",SUMPRODUCT((P$3:P$82="")*(O$3:O$82="")*(N$3:N$82="")*(M$3:M$82="P")*(G$3:G$82=G40)*(J$3:J$82&lt;J40)*(H$3:H$82&lt;&gt;H40)*(I$3:I$82="P")),-1*SUMPRODUCT((P$3:P$82="")*(O$3:O$82="")*(N$3:N$82="")*(M$3:M$82="P")*(G$3:G$82=G40)*(J$3:J$82&gt;J40)*(H$3:H$82="L5")*(I$3:I$82="P")))+1,"")))))</f>
        <v/>
      </c>
      <c r="B40" s="1" t="str" cm="1">
        <f t="array" ref="B40">IF(P40&lt;&gt;"",SUMPRODUCT((P$3:P$82&lt;&gt;"")*(G$3:G$82=G40)*(J$3:J$82&gt;J40))+1,IF(O40&lt;&gt;"",SUMPRODUCT((O$3:O$82&lt;&gt;"")*(P$3:P$82="")*(G$3:G$82=G40)*(J$3:J$82&gt;J40))+SUMPRODUCT((P$3:P$82&lt;&gt;"")*(G$3:G$82=G40))+1,IF(N40&lt;&gt;"",SUMPRODUCT((N$3:N$82&lt;&gt;"")*(G$3:G$82=G40)*(J$3:J$82&gt;J40))+1,IF(M40="P",SUMPRODUCT((O$3:O$82&lt;&gt;"")*(P$3:P$82="")*(G$3:G$82=G40))+SUMPRODUCT((P$3:P$82&lt;&gt;"")*(G$3:G$82=G40))+SUMPRODUCT((N$3:N$82&lt;&gt;"")*(G$3:G$82=G40))+SUMPRODUCT((P$3:P$82="")*(O$3:O$82="")*(N$3:N$82="")*(M$3:M$82="P")*(G$3:G$82=G40)*(J$3:J$82&gt;J40))+IF(H40="L5",SUMPRODUCT((P$3:P$82="")*(O$3:O$82="")*(N$3:N$82="")*(M$3:M$82="P")*(G$3:G$82=G40)*(J$3:J$82&lt;J40)*(H$3:H$82&lt;&gt;H40)),-1*SUMPRODUCT((P$3:P$82="")*(O$3:O$82="")*(N$3:N$82="")*(M$3:M$82="P")*(G$3:G$82=G40)*(J$3:J$82&gt;J40)*(H$3:H$82="L5")))+1,""))))</f>
        <v/>
      </c>
      <c r="C40" s="35" t="s">
        <v>273</v>
      </c>
      <c r="D40" s="35" t="str">
        <f>IF(E40="","",VLOOKUP(E40,'Coaching Points'!A:B,2,0))</f>
        <v>ON</v>
      </c>
      <c r="E40" s="35" t="s">
        <v>97</v>
      </c>
      <c r="F40" s="34">
        <v>2007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64</v>
      </c>
      <c r="I40" s="40"/>
      <c r="J40" s="4">
        <f t="shared" si="5"/>
        <v>41.61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 t="shared" si="6"/>
        <v/>
      </c>
      <c r="R40" s="4">
        <f t="shared" si="7"/>
        <v>41.61</v>
      </c>
      <c r="S40" s="4">
        <f>IF(G40="17-21",LARGE(CHOOSE({1,2,3,4,5,6},T40,V40,Y40,AA40,AC40,AF40),2),IF(R40=X40,MAX(Y40,AA40,AC40,AF40),IF(R40=AE40,MAX(AF40,T40,V40,Y40),0)))</f>
        <v>35.96</v>
      </c>
      <c r="T40" s="32">
        <v>35.96</v>
      </c>
      <c r="U40" s="37">
        <v>0</v>
      </c>
      <c r="V40" s="33">
        <v>41.61</v>
      </c>
      <c r="W40" s="37">
        <v>7.7</v>
      </c>
      <c r="X40" s="4">
        <f t="shared" si="8"/>
        <v>77.569999999999993</v>
      </c>
      <c r="Y40" s="33"/>
      <c r="Z40" s="37"/>
      <c r="AA40" s="32"/>
      <c r="AB40" s="37"/>
      <c r="AC40" s="33"/>
      <c r="AD40" s="37"/>
      <c r="AE40" s="4">
        <f t="shared" si="9"/>
        <v>0</v>
      </c>
      <c r="AF40" s="33"/>
      <c r="AG40" s="37"/>
    </row>
    <row r="41" spans="1:33" x14ac:dyDescent="0.2">
      <c r="A41" s="1" t="str" cm="1">
        <f t="array" ref="A41">IF(I41="","",IF(P41&lt;&gt;"",SUMPRODUCT((P$3:P$82&lt;&gt;"")*(G$3:G$82=G41)*(J$3:J$82&gt;J41)*(I$3:I$82="P"))+1,IF(O41&lt;&gt;"",SUMPRODUCT((O$3:O$82&lt;&gt;"")*(P$3:P$82="")*(G$3:G$82=G41)*(J$3:J$82&gt;J41)*(I$3:I$82="P"))+SUMPRODUCT((P$3:P$82&lt;&gt;"")*(G$3:G$82=G41)*(I$3:I$82="P"))+1,IF(N41&lt;&gt;"",SUMPRODUCT((N$3:N$82&lt;&gt;"")*(G$3:G$82=G41)*(J$3:J$82&gt;J41)*(I$3:I$82="P"))+1,IF(M41="P",SUMPRODUCT((O$3:O$82&lt;&gt;"")*(P$3:P$82="")*(G$3:G$82=G41)*(I$3:I$82="P"))+SUMPRODUCT((P$3:P$82&lt;&gt;"")*(G$3:G$82=G41)*(I$3:I$82="P"))+SUMPRODUCT((N$3:N$82&lt;&gt;"")*(G$3:G$82=G41)*(I$3:I$82="P"))+SUMPRODUCT((P$3:P$82="")*(O$3:O$82="")*(N$3:N$82="")*(M$3:M$82="P")*(G$3:G$82=G41)*(J$3:J$82&gt;J41)*(I$3:I$82="P"))+IF(H41="L5",SUMPRODUCT((P$3:P$82="")*(O$3:O$82="")*(N$3:N$82="")*(M$3:M$82="P")*(G$3:G$82=G41)*(J$3:J$82&lt;J41)*(H$3:H$82&lt;&gt;H41)*(I$3:I$82="P")),-1*SUMPRODUCT((P$3:P$82="")*(O$3:O$82="")*(N$3:N$82="")*(M$3:M$82="P")*(G$3:G$82=G41)*(J$3:J$82&gt;J41)*(H$3:H$82="L5")*(I$3:I$82="P")))+1,"")))))</f>
        <v/>
      </c>
      <c r="B41" s="1" t="str" cm="1">
        <f t="array" ref="B41">IF(P41&lt;&gt;"",SUMPRODUCT((P$3:P$82&lt;&gt;"")*(G$3:G$82=G41)*(J$3:J$82&gt;J41))+1,IF(O41&lt;&gt;"",SUMPRODUCT((O$3:O$82&lt;&gt;"")*(P$3:P$82="")*(G$3:G$82=G41)*(J$3:J$82&gt;J41))+SUMPRODUCT((P$3:P$82&lt;&gt;"")*(G$3:G$82=G41))+1,IF(N41&lt;&gt;"",SUMPRODUCT((N$3:N$82&lt;&gt;"")*(G$3:G$82=G41)*(J$3:J$82&gt;J41))+1,IF(M41="P",SUMPRODUCT((O$3:O$82&lt;&gt;"")*(P$3:P$82="")*(G$3:G$82=G41))+SUMPRODUCT((P$3:P$82&lt;&gt;"")*(G$3:G$82=G41))+SUMPRODUCT((N$3:N$82&lt;&gt;"")*(G$3:G$82=G41))+SUMPRODUCT((P$3:P$82="")*(O$3:O$82="")*(N$3:N$82="")*(M$3:M$82="P")*(G$3:G$82=G41)*(J$3:J$82&gt;J41))+IF(H41="L5",SUMPRODUCT((P$3:P$82="")*(O$3:O$82="")*(N$3:N$82="")*(M$3:M$82="P")*(G$3:G$82=G41)*(J$3:J$82&lt;J41)*(H$3:H$82&lt;&gt;H41)),-1*SUMPRODUCT((P$3:P$82="")*(O$3:O$82="")*(N$3:N$82="")*(M$3:M$82="P")*(G$3:G$82=G41)*(J$3:J$82&gt;J41)*(H$3:H$82="L5")))+1,""))))</f>
        <v/>
      </c>
      <c r="C41" s="35" t="s">
        <v>341</v>
      </c>
      <c r="D41" s="35" t="str">
        <f>IF(E41="","",VLOOKUP(E41,'Coaching Points'!A:B,2,0))</f>
        <v>ON</v>
      </c>
      <c r="E41" s="35" t="s">
        <v>97</v>
      </c>
      <c r="F41" s="34">
        <v>2005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64</v>
      </c>
      <c r="I41" s="40"/>
      <c r="J41" s="4">
        <f t="shared" si="5"/>
        <v>41.55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 t="shared" si="6"/>
        <v/>
      </c>
      <c r="R41" s="4">
        <f t="shared" si="7"/>
        <v>41.55</v>
      </c>
      <c r="S41" s="4">
        <f>IF(G41="17-21",LARGE(CHOOSE({1,2,3,4,5,6},T41,V41,Y41,AA41,AC41,AF41),2),IF(R41=X41,MAX(Y41,AA41,AC41,AF41),IF(R41=AE41,MAX(AF41,T41,V41,Y41),0)))</f>
        <v>37.840000000000003</v>
      </c>
      <c r="T41" s="32">
        <v>37.840000000000003</v>
      </c>
      <c r="U41" s="37">
        <v>0</v>
      </c>
      <c r="V41" s="33">
        <v>41.55</v>
      </c>
      <c r="W41" s="37">
        <v>7.8</v>
      </c>
      <c r="X41" s="4">
        <f t="shared" si="8"/>
        <v>79.39</v>
      </c>
      <c r="Y41" s="33"/>
      <c r="Z41" s="37"/>
      <c r="AA41" s="32"/>
      <c r="AB41" s="37"/>
      <c r="AC41" s="33"/>
      <c r="AD41" s="37"/>
      <c r="AE41" s="4">
        <f t="shared" si="9"/>
        <v>0</v>
      </c>
      <c r="AF41" s="33"/>
      <c r="AG41" s="37"/>
    </row>
    <row r="42" spans="1:33" x14ac:dyDescent="0.2">
      <c r="A42" s="1" t="str" cm="1">
        <f t="array" ref="A42">IF(I42="","",IF(P42&lt;&gt;"",SUMPRODUCT((P$3:P$82&lt;&gt;"")*(G$3:G$82=G42)*(J$3:J$82&gt;J42)*(I$3:I$82="P"))+1,IF(O42&lt;&gt;"",SUMPRODUCT((O$3:O$82&lt;&gt;"")*(P$3:P$82="")*(G$3:G$82=G42)*(J$3:J$82&gt;J42)*(I$3:I$82="P"))+SUMPRODUCT((P$3:P$82&lt;&gt;"")*(G$3:G$82=G42)*(I$3:I$82="P"))+1,IF(N42&lt;&gt;"",SUMPRODUCT((N$3:N$82&lt;&gt;"")*(G$3:G$82=G42)*(J$3:J$82&gt;J42)*(I$3:I$82="P"))+1,IF(M42="P",SUMPRODUCT((O$3:O$82&lt;&gt;"")*(P$3:P$82="")*(G$3:G$82=G42)*(I$3:I$82="P"))+SUMPRODUCT((P$3:P$82&lt;&gt;"")*(G$3:G$82=G42)*(I$3:I$82="P"))+SUMPRODUCT((N$3:N$82&lt;&gt;"")*(G$3:G$82=G42)*(I$3:I$82="P"))+SUMPRODUCT((P$3:P$82="")*(O$3:O$82="")*(N$3:N$82="")*(M$3:M$82="P")*(G$3:G$82=G42)*(J$3:J$82&gt;J42)*(I$3:I$82="P"))+IF(H42="L5",SUMPRODUCT((P$3:P$82="")*(O$3:O$82="")*(N$3:N$82="")*(M$3:M$82="P")*(G$3:G$82=G42)*(J$3:J$82&lt;J42)*(H$3:H$82&lt;&gt;H42)*(I$3:I$82="P")),-1*SUMPRODUCT((P$3:P$82="")*(O$3:O$82="")*(N$3:N$82="")*(M$3:M$82="P")*(G$3:G$82=G42)*(J$3:J$82&gt;J42)*(H$3:H$82="L5")*(I$3:I$82="P")))+1,"")))))</f>
        <v/>
      </c>
      <c r="B42" s="1" t="str" cm="1">
        <f t="array" ref="B42">IF(P42&lt;&gt;"",SUMPRODUCT((P$3:P$82&lt;&gt;"")*(G$3:G$82=G42)*(J$3:J$82&gt;J42))+1,IF(O42&lt;&gt;"",SUMPRODUCT((O$3:O$82&lt;&gt;"")*(P$3:P$82="")*(G$3:G$82=G42)*(J$3:J$82&gt;J42))+SUMPRODUCT((P$3:P$82&lt;&gt;"")*(G$3:G$82=G42))+1,IF(N42&lt;&gt;"",SUMPRODUCT((N$3:N$82&lt;&gt;"")*(G$3:G$82=G42)*(J$3:J$82&gt;J42))+1,IF(M42="P",SUMPRODUCT((O$3:O$82&lt;&gt;"")*(P$3:P$82="")*(G$3:G$82=G42))+SUMPRODUCT((P$3:P$82&lt;&gt;"")*(G$3:G$82=G42))+SUMPRODUCT((N$3:N$82&lt;&gt;"")*(G$3:G$82=G42))+SUMPRODUCT((P$3:P$82="")*(O$3:O$82="")*(N$3:N$82="")*(M$3:M$82="P")*(G$3:G$82=G42)*(J$3:J$82&gt;J42))+IF(H42="L5",SUMPRODUCT((P$3:P$82="")*(O$3:O$82="")*(N$3:N$82="")*(M$3:M$82="P")*(G$3:G$82=G42)*(J$3:J$82&lt;J42)*(H$3:H$82&lt;&gt;H42)),-1*SUMPRODUCT((P$3:P$82="")*(O$3:O$82="")*(N$3:N$82="")*(M$3:M$82="P")*(G$3:G$82=G42)*(J$3:J$82&gt;J42)*(H$3:H$82="L5")))+1,""))))</f>
        <v/>
      </c>
      <c r="C42" s="35" t="s">
        <v>110</v>
      </c>
      <c r="D42" s="35" t="str">
        <f>IF(E42="","",VLOOKUP(E42,'Coaching Points'!A:B,2,0))</f>
        <v>BC</v>
      </c>
      <c r="E42" s="35" t="s">
        <v>55</v>
      </c>
      <c r="F42" s="34">
        <v>2006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64</v>
      </c>
      <c r="I42" s="40"/>
      <c r="J42" s="4">
        <f t="shared" si="5"/>
        <v>40.880000000000003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 t="shared" si="6"/>
        <v/>
      </c>
      <c r="R42" s="4">
        <f t="shared" si="7"/>
        <v>40.880000000000003</v>
      </c>
      <c r="S42" s="4">
        <f>IF(G42="17-21",LARGE(CHOOSE({1,2,3,4,5,6},T42,V42,Y42,AA42,AC42,AF42),2),IF(R42=X42,MAX(Y42,AA42,AC42,AF42),IF(R42=AE42,MAX(AF42,T42,V42,Y42),0)))</f>
        <v>37.47</v>
      </c>
      <c r="T42" s="32">
        <v>37.47</v>
      </c>
      <c r="U42" s="37">
        <v>0</v>
      </c>
      <c r="V42" s="33">
        <v>40.880000000000003</v>
      </c>
      <c r="W42" s="37">
        <v>6.9</v>
      </c>
      <c r="X42" s="4">
        <f t="shared" si="8"/>
        <v>78.349999999999994</v>
      </c>
      <c r="Y42" s="33"/>
      <c r="Z42" s="37"/>
      <c r="AA42" s="32"/>
      <c r="AB42" s="37"/>
      <c r="AC42" s="33"/>
      <c r="AD42" s="37"/>
      <c r="AE42" s="4">
        <f t="shared" si="9"/>
        <v>0</v>
      </c>
      <c r="AF42" s="33"/>
      <c r="AG42" s="37"/>
    </row>
    <row r="43" spans="1:33" x14ac:dyDescent="0.2">
      <c r="A43" s="1" t="str" cm="1">
        <f t="array" ref="A43">IF(I43="","",IF(P43&lt;&gt;"",SUMPRODUCT((P$3:P$82&lt;&gt;"")*(G$3:G$82=G43)*(J$3:J$82&gt;J43)*(I$3:I$82="P"))+1,IF(O43&lt;&gt;"",SUMPRODUCT((O$3:O$82&lt;&gt;"")*(P$3:P$82="")*(G$3:G$82=G43)*(J$3:J$82&gt;J43)*(I$3:I$82="P"))+SUMPRODUCT((P$3:P$82&lt;&gt;"")*(G$3:G$82=G43)*(I$3:I$82="P"))+1,IF(N43&lt;&gt;"",SUMPRODUCT((N$3:N$82&lt;&gt;"")*(G$3:G$82=G43)*(J$3:J$82&gt;J43)*(I$3:I$82="P"))+1,IF(M43="P",SUMPRODUCT((O$3:O$82&lt;&gt;"")*(P$3:P$82="")*(G$3:G$82=G43)*(I$3:I$82="P"))+SUMPRODUCT((P$3:P$82&lt;&gt;"")*(G$3:G$82=G43)*(I$3:I$82="P"))+SUMPRODUCT((N$3:N$82&lt;&gt;"")*(G$3:G$82=G43)*(I$3:I$82="P"))+SUMPRODUCT((P$3:P$82="")*(O$3:O$82="")*(N$3:N$82="")*(M$3:M$82="P")*(G$3:G$82=G43)*(J$3:J$82&gt;J43)*(I$3:I$82="P"))+IF(H43="L5",SUMPRODUCT((P$3:P$82="")*(O$3:O$82="")*(N$3:N$82="")*(M$3:M$82="P")*(G$3:G$82=G43)*(J$3:J$82&lt;J43)*(H$3:H$82&lt;&gt;H43)*(I$3:I$82="P")),-1*SUMPRODUCT((P$3:P$82="")*(O$3:O$82="")*(N$3:N$82="")*(M$3:M$82="P")*(G$3:G$82=G43)*(J$3:J$82&gt;J43)*(H$3:H$82="L5")*(I$3:I$82="P")))+1,"")))))</f>
        <v/>
      </c>
      <c r="B43" s="1" t="str" cm="1">
        <f t="array" ref="B43">IF(P43&lt;&gt;"",SUMPRODUCT((P$3:P$82&lt;&gt;"")*(G$3:G$82=G43)*(J$3:J$82&gt;J43))+1,IF(O43&lt;&gt;"",SUMPRODUCT((O$3:O$82&lt;&gt;"")*(P$3:P$82="")*(G$3:G$82=G43)*(J$3:J$82&gt;J43))+SUMPRODUCT((P$3:P$82&lt;&gt;"")*(G$3:G$82=G43))+1,IF(N43&lt;&gt;"",SUMPRODUCT((N$3:N$82&lt;&gt;"")*(G$3:G$82=G43)*(J$3:J$82&gt;J43))+1,IF(M43="P",SUMPRODUCT((O$3:O$82&lt;&gt;"")*(P$3:P$82="")*(G$3:G$82=G43))+SUMPRODUCT((P$3:P$82&lt;&gt;"")*(G$3:G$82=G43))+SUMPRODUCT((N$3:N$82&lt;&gt;"")*(G$3:G$82=G43))+SUMPRODUCT((P$3:P$82="")*(O$3:O$82="")*(N$3:N$82="")*(M$3:M$82="P")*(G$3:G$82=G43)*(J$3:J$82&gt;J43))+IF(H43="L5",SUMPRODUCT((P$3:P$82="")*(O$3:O$82="")*(N$3:N$82="")*(M$3:M$82="P")*(G$3:G$82=G43)*(J$3:J$82&lt;J43)*(H$3:H$82&lt;&gt;H43)),-1*SUMPRODUCT((P$3:P$82="")*(O$3:O$82="")*(N$3:N$82="")*(M$3:M$82="P")*(G$3:G$82=G43)*(J$3:J$82&gt;J43)*(H$3:H$82="L5")))+1,""))))</f>
        <v/>
      </c>
      <c r="C43" s="35" t="s">
        <v>179</v>
      </c>
      <c r="D43" s="35" t="str">
        <f>IF(E43="","",VLOOKUP(E43,'Coaching Points'!A:B,2,0))</f>
        <v>ON</v>
      </c>
      <c r="E43" s="35" t="s">
        <v>343</v>
      </c>
      <c r="F43" s="34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64</v>
      </c>
      <c r="I43" s="40"/>
      <c r="J43" s="4">
        <f t="shared" si="5"/>
        <v>39.770000000000003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 t="shared" si="6"/>
        <v/>
      </c>
      <c r="R43" s="4">
        <f t="shared" si="7"/>
        <v>39.770000000000003</v>
      </c>
      <c r="S43" s="4">
        <f>IF(G43="17-21",LARGE(CHOOSE({1,2,3,4,5,6},T43,V43,Y43,AA43,AC43,AF43),2),IF(R43=X43,MAX(Y43,AA43,AC43,AF43),IF(R43=AE43,MAX(AF43,T43,V43,Y43),0)))</f>
        <v>37.159999999999997</v>
      </c>
      <c r="T43" s="32">
        <v>37.159999999999997</v>
      </c>
      <c r="U43" s="37">
        <v>0</v>
      </c>
      <c r="V43" s="33">
        <v>39.770000000000003</v>
      </c>
      <c r="W43" s="37">
        <v>6.3</v>
      </c>
      <c r="X43" s="4">
        <f t="shared" si="8"/>
        <v>76.930000000000007</v>
      </c>
      <c r="Y43" s="33"/>
      <c r="Z43" s="37"/>
      <c r="AA43" s="32"/>
      <c r="AB43" s="37"/>
      <c r="AC43" s="33"/>
      <c r="AD43" s="37"/>
      <c r="AE43" s="4">
        <f t="shared" si="9"/>
        <v>0</v>
      </c>
      <c r="AF43" s="33"/>
      <c r="AG43" s="37"/>
    </row>
    <row r="44" spans="1:33" x14ac:dyDescent="0.2">
      <c r="A44" s="1" t="str" cm="1">
        <f t="array" ref="A44">IF(I44="","",IF(P44&lt;&gt;"",SUMPRODUCT((P$3:P$82&lt;&gt;"")*(G$3:G$82=G44)*(J$3:J$82&gt;J44)*(I$3:I$82="P"))+1,IF(O44&lt;&gt;"",SUMPRODUCT((O$3:O$82&lt;&gt;"")*(P$3:P$82="")*(G$3:G$82=G44)*(J$3:J$82&gt;J44)*(I$3:I$82="P"))+SUMPRODUCT((P$3:P$82&lt;&gt;"")*(G$3:G$82=G44)*(I$3:I$82="P"))+1,IF(N44&lt;&gt;"",SUMPRODUCT((N$3:N$82&lt;&gt;"")*(G$3:G$82=G44)*(J$3:J$82&gt;J44)*(I$3:I$82="P"))+1,IF(M44="P",SUMPRODUCT((O$3:O$82&lt;&gt;"")*(P$3:P$82="")*(G$3:G$82=G44)*(I$3:I$82="P"))+SUMPRODUCT((P$3:P$82&lt;&gt;"")*(G$3:G$82=G44)*(I$3:I$82="P"))+SUMPRODUCT((N$3:N$82&lt;&gt;"")*(G$3:G$82=G44)*(I$3:I$82="P"))+SUMPRODUCT((P$3:P$82="")*(O$3:O$82="")*(N$3:N$82="")*(M$3:M$82="P")*(G$3:G$82=G44)*(J$3:J$82&gt;J44)*(I$3:I$82="P"))+IF(H44="L5",SUMPRODUCT((P$3:P$82="")*(O$3:O$82="")*(N$3:N$82="")*(M$3:M$82="P")*(G$3:G$82=G44)*(J$3:J$82&lt;J44)*(H$3:H$82&lt;&gt;H44)*(I$3:I$82="P")),-1*SUMPRODUCT((P$3:P$82="")*(O$3:O$82="")*(N$3:N$82="")*(M$3:M$82="P")*(G$3:G$82=G44)*(J$3:J$82&gt;J44)*(H$3:H$82="L5")*(I$3:I$82="P")))+1,"")))))</f>
        <v/>
      </c>
      <c r="B44" s="1" t="str" cm="1">
        <f t="array" ref="B44">IF(P44&lt;&gt;"",SUMPRODUCT((P$3:P$82&lt;&gt;"")*(G$3:G$82=G44)*(J$3:J$82&gt;J44))+1,IF(O44&lt;&gt;"",SUMPRODUCT((O$3:O$82&lt;&gt;"")*(P$3:P$82="")*(G$3:G$82=G44)*(J$3:J$82&gt;J44))+SUMPRODUCT((P$3:P$82&lt;&gt;"")*(G$3:G$82=G44))+1,IF(N44&lt;&gt;"",SUMPRODUCT((N$3:N$82&lt;&gt;"")*(G$3:G$82=G44)*(J$3:J$82&gt;J44))+1,IF(M44="P",SUMPRODUCT((O$3:O$82&lt;&gt;"")*(P$3:P$82="")*(G$3:G$82=G44))+SUMPRODUCT((P$3:P$82&lt;&gt;"")*(G$3:G$82=G44))+SUMPRODUCT((N$3:N$82&lt;&gt;"")*(G$3:G$82=G44))+SUMPRODUCT((P$3:P$82="")*(O$3:O$82="")*(N$3:N$82="")*(M$3:M$82="P")*(G$3:G$82=G44)*(J$3:J$82&gt;J44))+IF(H44="L5",SUMPRODUCT((P$3:P$82="")*(O$3:O$82="")*(N$3:N$82="")*(M$3:M$82="P")*(G$3:G$82=G44)*(J$3:J$82&lt;J44)*(H$3:H$82&lt;&gt;H44)),-1*SUMPRODUCT((P$3:P$82="")*(O$3:O$82="")*(N$3:N$82="")*(M$3:M$82="P")*(G$3:G$82=G44)*(J$3:J$82&gt;J44)*(H$3:H$82="L5")))+1,""))))</f>
        <v/>
      </c>
      <c r="C44" s="35" t="s">
        <v>140</v>
      </c>
      <c r="D44" s="35" t="str">
        <f>IF(E44="","",VLOOKUP(E44,'Coaching Points'!A:B,2,0))</f>
        <v>BC</v>
      </c>
      <c r="E44" s="35" t="s">
        <v>55</v>
      </c>
      <c r="F44" s="34">
        <v>2007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64</v>
      </c>
      <c r="I44" s="40"/>
      <c r="J44" s="4">
        <f t="shared" si="5"/>
        <v>38.880000000000003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 t="shared" si="6"/>
        <v/>
      </c>
      <c r="R44" s="4">
        <f t="shared" si="7"/>
        <v>38.880000000000003</v>
      </c>
      <c r="S44" s="4">
        <f>IF(G44="17-21",LARGE(CHOOSE({1,2,3,4,5,6},T44,V44,Y44,AA44,AC44,AF44),2),IF(R44=X44,MAX(Y44,AA44,AC44,AF44),IF(R44=AE44,MAX(AF44,T44,V44,Y44),0)))</f>
        <v>38.840000000000003</v>
      </c>
      <c r="T44" s="32">
        <v>38.880000000000003</v>
      </c>
      <c r="U44" s="37">
        <v>0</v>
      </c>
      <c r="V44" s="33">
        <v>38.840000000000003</v>
      </c>
      <c r="W44" s="37">
        <v>6.5</v>
      </c>
      <c r="X44" s="4">
        <f t="shared" si="8"/>
        <v>77.72</v>
      </c>
      <c r="Y44" s="33"/>
      <c r="Z44" s="37"/>
      <c r="AA44" s="32"/>
      <c r="AB44" s="37"/>
      <c r="AC44" s="33"/>
      <c r="AD44" s="37"/>
      <c r="AE44" s="4">
        <f t="shared" si="9"/>
        <v>0</v>
      </c>
      <c r="AF44" s="33"/>
      <c r="AG44" s="37"/>
    </row>
    <row r="45" spans="1:33" x14ac:dyDescent="0.2">
      <c r="A45" s="1" t="str" cm="1">
        <f t="array" ref="A45">IF(I45="","",IF(P45&lt;&gt;"",SUMPRODUCT((P$3:P$82&lt;&gt;"")*(G$3:G$82=G45)*(J$3:J$82&gt;J45)*(I$3:I$82="P"))+1,IF(O45&lt;&gt;"",SUMPRODUCT((O$3:O$82&lt;&gt;"")*(P$3:P$82="")*(G$3:G$82=G45)*(J$3:J$82&gt;J45)*(I$3:I$82="P"))+SUMPRODUCT((P$3:P$82&lt;&gt;"")*(G$3:G$82=G45)*(I$3:I$82="P"))+1,IF(N45&lt;&gt;"",SUMPRODUCT((N$3:N$82&lt;&gt;"")*(G$3:G$82=G45)*(J$3:J$82&gt;J45)*(I$3:I$82="P"))+1,IF(M45="P",SUMPRODUCT((O$3:O$82&lt;&gt;"")*(P$3:P$82="")*(G$3:G$82=G45)*(I$3:I$82="P"))+SUMPRODUCT((P$3:P$82&lt;&gt;"")*(G$3:G$82=G45)*(I$3:I$82="P"))+SUMPRODUCT((N$3:N$82&lt;&gt;"")*(G$3:G$82=G45)*(I$3:I$82="P"))+SUMPRODUCT((P$3:P$82="")*(O$3:O$82="")*(N$3:N$82="")*(M$3:M$82="P")*(G$3:G$82=G45)*(J$3:J$82&gt;J45)*(I$3:I$82="P"))+IF(H45="L5",SUMPRODUCT((P$3:P$82="")*(O$3:O$82="")*(N$3:N$82="")*(M$3:M$82="P")*(G$3:G$82=G45)*(J$3:J$82&lt;J45)*(H$3:H$82&lt;&gt;H45)*(I$3:I$82="P")),-1*SUMPRODUCT((P$3:P$82="")*(O$3:O$82="")*(N$3:N$82="")*(M$3:M$82="P")*(G$3:G$82=G45)*(J$3:J$82&gt;J45)*(H$3:H$82="L5")*(I$3:I$82="P")))+1,"")))))</f>
        <v/>
      </c>
      <c r="B45" s="1" t="str" cm="1">
        <f t="array" ref="B45">IF(P45&lt;&gt;"",SUMPRODUCT((P$3:P$82&lt;&gt;"")*(G$3:G$82=G45)*(J$3:J$82&gt;J45))+1,IF(O45&lt;&gt;"",SUMPRODUCT((O$3:O$82&lt;&gt;"")*(P$3:P$82="")*(G$3:G$82=G45)*(J$3:J$82&gt;J45))+SUMPRODUCT((P$3:P$82&lt;&gt;"")*(G$3:G$82=G45))+1,IF(N45&lt;&gt;"",SUMPRODUCT((N$3:N$82&lt;&gt;"")*(G$3:G$82=G45)*(J$3:J$82&gt;J45))+1,IF(M45="P",SUMPRODUCT((O$3:O$82&lt;&gt;"")*(P$3:P$82="")*(G$3:G$82=G45))+SUMPRODUCT((P$3:P$82&lt;&gt;"")*(G$3:G$82=G45))+SUMPRODUCT((N$3:N$82&lt;&gt;"")*(G$3:G$82=G45))+SUMPRODUCT((P$3:P$82="")*(O$3:O$82="")*(N$3:N$82="")*(M$3:M$82="P")*(G$3:G$82=G45)*(J$3:J$82&gt;J45))+IF(H45="L5",SUMPRODUCT((P$3:P$82="")*(O$3:O$82="")*(N$3:N$82="")*(M$3:M$82="P")*(G$3:G$82=G45)*(J$3:J$82&lt;J45)*(H$3:H$82&lt;&gt;H45)),-1*SUMPRODUCT((P$3:P$82="")*(O$3:O$82="")*(N$3:N$82="")*(M$3:M$82="P")*(G$3:G$82=G45)*(J$3:J$82&gt;J45)*(H$3:H$82="L5")))+1,""))))</f>
        <v/>
      </c>
      <c r="C45" s="35" t="s">
        <v>261</v>
      </c>
      <c r="D45" s="35" t="str">
        <f>IF(E45="","",VLOOKUP(E45,'Coaching Points'!A:B,2,0))</f>
        <v>AB</v>
      </c>
      <c r="E45" s="35" t="s">
        <v>251</v>
      </c>
      <c r="F45" s="34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64</v>
      </c>
      <c r="I45" s="40"/>
      <c r="J45" s="4">
        <f t="shared" si="5"/>
        <v>38.11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 t="shared" si="6"/>
        <v/>
      </c>
      <c r="R45" s="4">
        <f t="shared" si="7"/>
        <v>38.11</v>
      </c>
      <c r="S45" s="4">
        <f>IF(G45="17-21",LARGE(CHOOSE({1,2,3,4,5,6},T45,V45,Y45,AA45,AC45,AF45),2),IF(R45=X45,MAX(Y45,AA45,AC45,AF45),IF(R45=AE45,MAX(AF45,T45,V45,Y45),0)))</f>
        <v>27.64</v>
      </c>
      <c r="T45" s="32">
        <v>38.11</v>
      </c>
      <c r="U45" s="37">
        <v>0</v>
      </c>
      <c r="V45" s="33">
        <v>27.64</v>
      </c>
      <c r="W45" s="37">
        <v>6.5</v>
      </c>
      <c r="X45" s="4">
        <f t="shared" si="8"/>
        <v>65.75</v>
      </c>
      <c r="Y45" s="33"/>
      <c r="Z45" s="37"/>
      <c r="AA45" s="32"/>
      <c r="AB45" s="37"/>
      <c r="AC45" s="33"/>
      <c r="AD45" s="37"/>
      <c r="AE45" s="4">
        <f t="shared" si="9"/>
        <v>0</v>
      </c>
      <c r="AF45" s="33"/>
      <c r="AG45" s="37"/>
    </row>
    <row r="46" spans="1:33" x14ac:dyDescent="0.2">
      <c r="A46" s="1" t="str" cm="1">
        <f t="array" ref="A46">IF(I46="","",IF(P46&lt;&gt;"",SUMPRODUCT((P$3:P$82&lt;&gt;"")*(G$3:G$82=G46)*(J$3:J$82&gt;J46)*(I$3:I$82="P"))+1,IF(O46&lt;&gt;"",SUMPRODUCT((O$3:O$82&lt;&gt;"")*(P$3:P$82="")*(G$3:G$82=G46)*(J$3:J$82&gt;J46)*(I$3:I$82="P"))+SUMPRODUCT((P$3:P$82&lt;&gt;"")*(G$3:G$82=G46)*(I$3:I$82="P"))+1,IF(N46&lt;&gt;"",SUMPRODUCT((N$3:N$82&lt;&gt;"")*(G$3:G$82=G46)*(J$3:J$82&gt;J46)*(I$3:I$82="P"))+1,IF(M46="P",SUMPRODUCT((O$3:O$82&lt;&gt;"")*(P$3:P$82="")*(G$3:G$82=G46)*(I$3:I$82="P"))+SUMPRODUCT((P$3:P$82&lt;&gt;"")*(G$3:G$82=G46)*(I$3:I$82="P"))+SUMPRODUCT((N$3:N$82&lt;&gt;"")*(G$3:G$82=G46)*(I$3:I$82="P"))+SUMPRODUCT((P$3:P$82="")*(O$3:O$82="")*(N$3:N$82="")*(M$3:M$82="P")*(G$3:G$82=G46)*(J$3:J$82&gt;J46)*(I$3:I$82="P"))+IF(H46="L5",SUMPRODUCT((P$3:P$82="")*(O$3:O$82="")*(N$3:N$82="")*(M$3:M$82="P")*(G$3:G$82=G46)*(J$3:J$82&lt;J46)*(H$3:H$82&lt;&gt;H46)*(I$3:I$82="P")),-1*SUMPRODUCT((P$3:P$82="")*(O$3:O$82="")*(N$3:N$82="")*(M$3:M$82="P")*(G$3:G$82=G46)*(J$3:J$82&gt;J46)*(H$3:H$82="L5")*(I$3:I$82="P")))+1,"")))))</f>
        <v/>
      </c>
      <c r="B46" s="1" t="str" cm="1">
        <f t="array" ref="B46">IF(P46&lt;&gt;"",SUMPRODUCT((P$3:P$82&lt;&gt;"")*(G$3:G$82=G46)*(J$3:J$82&gt;J46))+1,IF(O46&lt;&gt;"",SUMPRODUCT((O$3:O$82&lt;&gt;"")*(P$3:P$82="")*(G$3:G$82=G46)*(J$3:J$82&gt;J46))+SUMPRODUCT((P$3:P$82&lt;&gt;"")*(G$3:G$82=G46))+1,IF(N46&lt;&gt;"",SUMPRODUCT((N$3:N$82&lt;&gt;"")*(G$3:G$82=G46)*(J$3:J$82&gt;J46))+1,IF(M46="P",SUMPRODUCT((O$3:O$82&lt;&gt;"")*(P$3:P$82="")*(G$3:G$82=G46))+SUMPRODUCT((P$3:P$82&lt;&gt;"")*(G$3:G$82=G46))+SUMPRODUCT((N$3:N$82&lt;&gt;"")*(G$3:G$82=G46))+SUMPRODUCT((P$3:P$82="")*(O$3:O$82="")*(N$3:N$82="")*(M$3:M$82="P")*(G$3:G$82=G46)*(J$3:J$82&gt;J46))+IF(H46="L5",SUMPRODUCT((P$3:P$82="")*(O$3:O$82="")*(N$3:N$82="")*(M$3:M$82="P")*(G$3:G$82=G46)*(J$3:J$82&lt;J46)*(H$3:H$82&lt;&gt;H46)),-1*SUMPRODUCT((P$3:P$82="")*(O$3:O$82="")*(N$3:N$82="")*(M$3:M$82="P")*(G$3:G$82=G46)*(J$3:J$82&gt;J46)*(H$3:H$82="L5")))+1,""))))</f>
        <v/>
      </c>
      <c r="C46" s="35" t="s">
        <v>183</v>
      </c>
      <c r="D46" s="35" t="str">
        <f>IF(E46="","",VLOOKUP(E46,'Coaching Points'!A:B,2,0))</f>
        <v>AB</v>
      </c>
      <c r="E46" s="35" t="s">
        <v>61</v>
      </c>
      <c r="F46" s="34">
        <v>2005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64</v>
      </c>
      <c r="I46" s="40"/>
      <c r="J46" s="4">
        <f t="shared" si="5"/>
        <v>36.69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 t="shared" si="6"/>
        <v/>
      </c>
      <c r="R46" s="4">
        <f t="shared" si="7"/>
        <v>36.69</v>
      </c>
      <c r="S46" s="4">
        <f>IF(G46="17-21",LARGE(CHOOSE({1,2,3,4,5,6},T46,V46,Y46,AA46,AC46,AF46),2),IF(R46=X46,MAX(Y46,AA46,AC46,AF46),IF(R46=AE46,MAX(AF46,T46,V46,Y46),0)))</f>
        <v>5.17</v>
      </c>
      <c r="T46" s="32">
        <v>36.69</v>
      </c>
      <c r="U46" s="37">
        <v>0</v>
      </c>
      <c r="V46" s="33">
        <v>5.17</v>
      </c>
      <c r="W46" s="37">
        <v>1.5</v>
      </c>
      <c r="X46" s="4">
        <f t="shared" si="8"/>
        <v>41.86</v>
      </c>
      <c r="Y46" s="33"/>
      <c r="Z46" s="37"/>
      <c r="AA46" s="32"/>
      <c r="AB46" s="37"/>
      <c r="AC46" s="33"/>
      <c r="AD46" s="37"/>
      <c r="AE46" s="4">
        <f t="shared" si="9"/>
        <v>0</v>
      </c>
      <c r="AF46" s="33"/>
      <c r="AG46" s="37"/>
    </row>
    <row r="47" spans="1:33" x14ac:dyDescent="0.2">
      <c r="A47" s="1" t="str" cm="1">
        <f t="array" ref="A47">IF(I47="","",IF(P47&lt;&gt;"",SUMPRODUCT((P$3:P$82&lt;&gt;"")*(G$3:G$82=G47)*(J$3:J$82&gt;J47)*(I$3:I$82="P"))+1,IF(O47&lt;&gt;"",SUMPRODUCT((O$3:O$82&lt;&gt;"")*(P$3:P$82="")*(G$3:G$82=G47)*(J$3:J$82&gt;J47)*(I$3:I$82="P"))+SUMPRODUCT((P$3:P$82&lt;&gt;"")*(G$3:G$82=G47)*(I$3:I$82="P"))+1,IF(N47&lt;&gt;"",SUMPRODUCT((N$3:N$82&lt;&gt;"")*(G$3:G$82=G47)*(J$3:J$82&gt;J47)*(I$3:I$82="P"))+1,IF(M47="P",SUMPRODUCT((O$3:O$82&lt;&gt;"")*(P$3:P$82="")*(G$3:G$82=G47)*(I$3:I$82="P"))+SUMPRODUCT((P$3:P$82&lt;&gt;"")*(G$3:G$82=G47)*(I$3:I$82="P"))+SUMPRODUCT((N$3:N$82&lt;&gt;"")*(G$3:G$82=G47)*(I$3:I$82="P"))+SUMPRODUCT((P$3:P$82="")*(O$3:O$82="")*(N$3:N$82="")*(M$3:M$82="P")*(G$3:G$82=G47)*(J$3:J$82&gt;J47)*(I$3:I$82="P"))+IF(H47="L5",SUMPRODUCT((P$3:P$82="")*(O$3:O$82="")*(N$3:N$82="")*(M$3:M$82="P")*(G$3:G$82=G47)*(J$3:J$82&lt;J47)*(H$3:H$82&lt;&gt;H47)*(I$3:I$82="P")),-1*SUMPRODUCT((P$3:P$82="")*(O$3:O$82="")*(N$3:N$82="")*(M$3:M$82="P")*(G$3:G$82=G47)*(J$3:J$82&gt;J47)*(H$3:H$82="L5")*(I$3:I$82="P")))+1,"")))))</f>
        <v/>
      </c>
      <c r="B47" s="1" t="str" cm="1">
        <f t="array" ref="B47">IF(P47&lt;&gt;"",SUMPRODUCT((P$3:P$82&lt;&gt;"")*(G$3:G$82=G47)*(J$3:J$82&gt;J47))+1,IF(O47&lt;&gt;"",SUMPRODUCT((O$3:O$82&lt;&gt;"")*(P$3:P$82="")*(G$3:G$82=G47)*(J$3:J$82&gt;J47))+SUMPRODUCT((P$3:P$82&lt;&gt;"")*(G$3:G$82=G47))+1,IF(N47&lt;&gt;"",SUMPRODUCT((N$3:N$82&lt;&gt;"")*(G$3:G$82=G47)*(J$3:J$82&gt;J47))+1,IF(M47="P",SUMPRODUCT((O$3:O$82&lt;&gt;"")*(P$3:P$82="")*(G$3:G$82=G47))+SUMPRODUCT((P$3:P$82&lt;&gt;"")*(G$3:G$82=G47))+SUMPRODUCT((N$3:N$82&lt;&gt;"")*(G$3:G$82=G47))+SUMPRODUCT((P$3:P$82="")*(O$3:O$82="")*(N$3:N$82="")*(M$3:M$82="P")*(G$3:G$82=G47)*(J$3:J$82&gt;J47))+IF(H47="L5",SUMPRODUCT((P$3:P$82="")*(O$3:O$82="")*(N$3:N$82="")*(M$3:M$82="P")*(G$3:G$82=G47)*(J$3:J$82&lt;J47)*(H$3:H$82&lt;&gt;H47)),-1*SUMPRODUCT((P$3:P$82="")*(O$3:O$82="")*(N$3:N$82="")*(M$3:M$82="P")*(G$3:G$82=G47)*(J$3:J$82&gt;J47)*(H$3:H$82="L5")))+1,""))))</f>
        <v/>
      </c>
      <c r="C47" s="35" t="s">
        <v>125</v>
      </c>
      <c r="D47" s="35" t="str">
        <f>IF(E47="","",VLOOKUP(E47,'Coaching Points'!A:B,2,0))</f>
        <v>BC</v>
      </c>
      <c r="E47" s="35" t="s">
        <v>44</v>
      </c>
      <c r="F47" s="34">
        <v>2007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72</v>
      </c>
      <c r="I47" s="40"/>
      <c r="J47" s="4">
        <f t="shared" si="5"/>
        <v>32.8202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 t="shared" si="6"/>
        <v/>
      </c>
      <c r="R47" s="4">
        <f t="shared" si="7"/>
        <v>32.82</v>
      </c>
      <c r="S47" s="4">
        <f>IF(G47="17-21",LARGE(CHOOSE({1,2,3,4,5,6},T47,V47,Y47,AA47,AC47,AF47),2),IF(R47=X47,MAX(Y47,AA47,AC47,AF47),IF(R47=AE47,MAX(AF47,T47,V47,Y47),0)))</f>
        <v>19.98</v>
      </c>
      <c r="T47" s="32">
        <v>19.98</v>
      </c>
      <c r="U47" s="37">
        <v>4.5999999999999996</v>
      </c>
      <c r="V47" s="33">
        <v>32.82</v>
      </c>
      <c r="W47" s="37">
        <v>7</v>
      </c>
      <c r="X47" s="4">
        <f t="shared" si="8"/>
        <v>32.82</v>
      </c>
      <c r="Y47" s="33"/>
      <c r="Z47" s="37"/>
      <c r="AA47" s="32"/>
      <c r="AB47" s="37"/>
      <c r="AC47" s="33"/>
      <c r="AD47" s="37"/>
      <c r="AE47" s="4">
        <f t="shared" si="9"/>
        <v>0</v>
      </c>
      <c r="AF47" s="33"/>
      <c r="AG47" s="37"/>
    </row>
    <row r="48" spans="1:33" x14ac:dyDescent="0.2">
      <c r="A48" s="1" t="str" cm="1">
        <f t="array" ref="A48">IF(I48="","",IF(P48&lt;&gt;"",SUMPRODUCT((P$3:P$82&lt;&gt;"")*(G$3:G$82=G48)*(J$3:J$82&gt;J48)*(I$3:I$82="P"))+1,IF(O48&lt;&gt;"",SUMPRODUCT((O$3:O$82&lt;&gt;"")*(P$3:P$82="")*(G$3:G$82=G48)*(J$3:J$82&gt;J48)*(I$3:I$82="P"))+SUMPRODUCT((P$3:P$82&lt;&gt;"")*(G$3:G$82=G48)*(I$3:I$82="P"))+1,IF(N48&lt;&gt;"",SUMPRODUCT((N$3:N$82&lt;&gt;"")*(G$3:G$82=G48)*(J$3:J$82&gt;J48)*(I$3:I$82="P"))+1,IF(M48="P",SUMPRODUCT((O$3:O$82&lt;&gt;"")*(P$3:P$82="")*(G$3:G$82=G48)*(I$3:I$82="P"))+SUMPRODUCT((P$3:P$82&lt;&gt;"")*(G$3:G$82=G48)*(I$3:I$82="P"))+SUMPRODUCT((N$3:N$82&lt;&gt;"")*(G$3:G$82=G48)*(I$3:I$82="P"))+SUMPRODUCT((P$3:P$82="")*(O$3:O$82="")*(N$3:N$82="")*(M$3:M$82="P")*(G$3:G$82=G48)*(J$3:J$82&gt;J48)*(I$3:I$82="P"))+IF(H48="L5",SUMPRODUCT((P$3:P$82="")*(O$3:O$82="")*(N$3:N$82="")*(M$3:M$82="P")*(G$3:G$82=G48)*(J$3:J$82&lt;J48)*(H$3:H$82&lt;&gt;H48)*(I$3:I$82="P")),-1*SUMPRODUCT((P$3:P$82="")*(O$3:O$82="")*(N$3:N$82="")*(M$3:M$82="P")*(G$3:G$82=G48)*(J$3:J$82&gt;J48)*(H$3:H$82="L5")*(I$3:I$82="P")))+1,"")))))</f>
        <v/>
      </c>
      <c r="B48" s="1" t="str" cm="1">
        <f t="array" ref="B48">IF(P48&lt;&gt;"",SUMPRODUCT((P$3:P$82&lt;&gt;"")*(G$3:G$82=G48)*(J$3:J$82&gt;J48))+1,IF(O48&lt;&gt;"",SUMPRODUCT((O$3:O$82&lt;&gt;"")*(P$3:P$82="")*(G$3:G$82=G48)*(J$3:J$82&gt;J48))+SUMPRODUCT((P$3:P$82&lt;&gt;"")*(G$3:G$82=G48))+1,IF(N48&lt;&gt;"",SUMPRODUCT((N$3:N$82&lt;&gt;"")*(G$3:G$82=G48)*(J$3:J$82&gt;J48))+1,IF(M48="P",SUMPRODUCT((O$3:O$82&lt;&gt;"")*(P$3:P$82="")*(G$3:G$82=G48))+SUMPRODUCT((P$3:P$82&lt;&gt;"")*(G$3:G$82=G48))+SUMPRODUCT((N$3:N$82&lt;&gt;"")*(G$3:G$82=G48))+SUMPRODUCT((P$3:P$82="")*(O$3:O$82="")*(N$3:N$82="")*(M$3:M$82="P")*(G$3:G$82=G48)*(J$3:J$82&gt;J48))+IF(H48="L5",SUMPRODUCT((P$3:P$82="")*(O$3:O$82="")*(N$3:N$82="")*(M$3:M$82="P")*(G$3:G$82=G48)*(J$3:J$82&lt;J48)*(H$3:H$82&lt;&gt;H48)),-1*SUMPRODUCT((P$3:P$82="")*(O$3:O$82="")*(N$3:N$82="")*(M$3:M$82="P")*(G$3:G$82=G48)*(J$3:J$82&gt;J48)*(H$3:H$82="L5")))+1,""))))</f>
        <v/>
      </c>
      <c r="C48" s="35" t="s">
        <v>124</v>
      </c>
      <c r="D48" s="35" t="str">
        <f>IF(E48="","",VLOOKUP(E48,'Coaching Points'!A:B,2,0))</f>
        <v>SK</v>
      </c>
      <c r="E48" s="35" t="s">
        <v>329</v>
      </c>
      <c r="F48" s="34">
        <v>2007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66</v>
      </c>
      <c r="I48" s="40"/>
      <c r="J48" s="4">
        <f t="shared" si="5"/>
        <v>27.120100000000001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 t="shared" si="6"/>
        <v/>
      </c>
      <c r="R48" s="4">
        <f t="shared" si="7"/>
        <v>27.12</v>
      </c>
      <c r="S48" s="4">
        <f>IF(G48="17-21",LARGE(CHOOSE({1,2,3,4,5,6},T48,V48,Y48,AA48,AC48,AF48),2),IF(R48=X48,MAX(Y48,AA48,AC48,AF48),IF(R48=AE48,MAX(AF48,T48,V48,Y48),0)))</f>
        <v>0</v>
      </c>
      <c r="T48" s="32">
        <v>27.12</v>
      </c>
      <c r="U48" s="37">
        <v>5.0999999999999996</v>
      </c>
      <c r="V48" s="33">
        <v>0</v>
      </c>
      <c r="W48" s="37">
        <v>0</v>
      </c>
      <c r="X48" s="4">
        <f t="shared" si="8"/>
        <v>27.12</v>
      </c>
      <c r="Y48" s="33"/>
      <c r="Z48" s="37"/>
      <c r="AA48" s="32"/>
      <c r="AB48" s="37"/>
      <c r="AC48" s="33"/>
      <c r="AD48" s="37"/>
      <c r="AE48" s="4">
        <f t="shared" si="9"/>
        <v>0</v>
      </c>
      <c r="AF48" s="33"/>
      <c r="AG48" s="37"/>
    </row>
    <row r="49" spans="1:33" x14ac:dyDescent="0.2">
      <c r="A49" s="1" t="str" cm="1">
        <f t="array" ref="A49">IF(I49="","",IF(P49&lt;&gt;"",SUMPRODUCT((P$3:P$82&lt;&gt;"")*(G$3:G$82=G49)*(J$3:J$82&gt;J49)*(I$3:I$82="P"))+1,IF(O49&lt;&gt;"",SUMPRODUCT((O$3:O$82&lt;&gt;"")*(P$3:P$82="")*(G$3:G$82=G49)*(J$3:J$82&gt;J49)*(I$3:I$82="P"))+SUMPRODUCT((P$3:P$82&lt;&gt;"")*(G$3:G$82=G49)*(I$3:I$82="P"))+1,IF(N49&lt;&gt;"",SUMPRODUCT((N$3:N$82&lt;&gt;"")*(G$3:G$82=G49)*(J$3:J$82&gt;J49)*(I$3:I$82="P"))+1,IF(M49="P",SUMPRODUCT((O$3:O$82&lt;&gt;"")*(P$3:P$82="")*(G$3:G$82=G49)*(I$3:I$82="P"))+SUMPRODUCT((P$3:P$82&lt;&gt;"")*(G$3:G$82=G49)*(I$3:I$82="P"))+SUMPRODUCT((N$3:N$82&lt;&gt;"")*(G$3:G$82=G49)*(I$3:I$82="P"))+SUMPRODUCT((P$3:P$82="")*(O$3:O$82="")*(N$3:N$82="")*(M$3:M$82="P")*(G$3:G$82=G49)*(J$3:J$82&gt;J49)*(I$3:I$82="P"))+IF(H49="L5",SUMPRODUCT((P$3:P$82="")*(O$3:O$82="")*(N$3:N$82="")*(M$3:M$82="P")*(G$3:G$82=G49)*(J$3:J$82&lt;J49)*(H$3:H$82&lt;&gt;H49)*(I$3:I$82="P")),-1*SUMPRODUCT((P$3:P$82="")*(O$3:O$82="")*(N$3:N$82="")*(M$3:M$82="P")*(G$3:G$82=G49)*(J$3:J$82&gt;J49)*(H$3:H$82="L5")*(I$3:I$82="P")))+1,"")))))</f>
        <v/>
      </c>
      <c r="B49" s="1" t="str" cm="1">
        <f t="array" ref="B49">IF(P49&lt;&gt;"",SUMPRODUCT((P$3:P$82&lt;&gt;"")*(G$3:G$82=G49)*(J$3:J$82&gt;J49))+1,IF(O49&lt;&gt;"",SUMPRODUCT((O$3:O$82&lt;&gt;"")*(P$3:P$82="")*(G$3:G$82=G49)*(J$3:J$82&gt;J49))+SUMPRODUCT((P$3:P$82&lt;&gt;"")*(G$3:G$82=G49))+1,IF(N49&lt;&gt;"",SUMPRODUCT((N$3:N$82&lt;&gt;"")*(G$3:G$82=G49)*(J$3:J$82&gt;J49))+1,IF(M49="P",SUMPRODUCT((O$3:O$82&lt;&gt;"")*(P$3:P$82="")*(G$3:G$82=G49))+SUMPRODUCT((P$3:P$82&lt;&gt;"")*(G$3:G$82=G49))+SUMPRODUCT((N$3:N$82&lt;&gt;"")*(G$3:G$82=G49))+SUMPRODUCT((P$3:P$82="")*(O$3:O$82="")*(N$3:N$82="")*(M$3:M$82="P")*(G$3:G$82=G49)*(J$3:J$82&gt;J49))+IF(H49="L5",SUMPRODUCT((P$3:P$82="")*(O$3:O$82="")*(N$3:N$82="")*(M$3:M$82="P")*(G$3:G$82=G49)*(J$3:J$82&lt;J49)*(H$3:H$82&lt;&gt;H49)),-1*SUMPRODUCT((P$3:P$82="")*(O$3:O$82="")*(N$3:N$82="")*(M$3:M$82="P")*(G$3:G$82=G49)*(J$3:J$82&gt;J49)*(H$3:H$82="L5")))+1,""))))</f>
        <v/>
      </c>
      <c r="C49" s="35" t="s">
        <v>106</v>
      </c>
      <c r="D49" s="35" t="str">
        <f>IF(E49="","",VLOOKUP(E49,'Coaching Points'!A:B,2,0))</f>
        <v>SK</v>
      </c>
      <c r="E49" s="35" t="s">
        <v>329</v>
      </c>
      <c r="F49" s="34">
        <v>2006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66</v>
      </c>
      <c r="I49" s="40"/>
      <c r="J49" s="4">
        <f t="shared" si="5"/>
        <v>23.4101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 t="shared" si="6"/>
        <v/>
      </c>
      <c r="R49" s="4">
        <f t="shared" si="7"/>
        <v>23.41</v>
      </c>
      <c r="S49" s="4">
        <f>IF(G49="17-21",LARGE(CHOOSE({1,2,3,4,5,6},T49,V49,Y49,AA49,AC49,AF49),2),IF(R49=X49,MAX(Y49,AA49,AC49,AF49),IF(R49=AE49,MAX(AF49,T49,V49,Y49),0)))</f>
        <v>4.9400000000000004</v>
      </c>
      <c r="T49" s="32">
        <v>4.9400000000000004</v>
      </c>
      <c r="U49" s="37">
        <v>1.5</v>
      </c>
      <c r="V49" s="33">
        <v>23.41</v>
      </c>
      <c r="W49" s="37">
        <v>5.6</v>
      </c>
      <c r="X49" s="4">
        <f t="shared" si="8"/>
        <v>28.35</v>
      </c>
      <c r="Y49" s="33"/>
      <c r="Z49" s="37"/>
      <c r="AA49" s="32"/>
      <c r="AB49" s="37"/>
      <c r="AC49" s="33"/>
      <c r="AD49" s="37"/>
      <c r="AE49" s="4">
        <f t="shared" si="9"/>
        <v>0</v>
      </c>
      <c r="AF49" s="33"/>
      <c r="AG49" s="37"/>
    </row>
    <row r="50" spans="1:33" x14ac:dyDescent="0.2">
      <c r="A50" s="1" t="str" cm="1">
        <f t="array" ref="A50">IF(I50="","",IF(P50&lt;&gt;"",SUMPRODUCT((P$3:P$82&lt;&gt;"")*(G$3:G$82=G50)*(J$3:J$82&gt;J50)*(I$3:I$82="P"))+1,IF(O50&lt;&gt;"",SUMPRODUCT((O$3:O$82&lt;&gt;"")*(P$3:P$82="")*(G$3:G$82=G50)*(J$3:J$82&gt;J50)*(I$3:I$82="P"))+SUMPRODUCT((P$3:P$82&lt;&gt;"")*(G$3:G$82=G50)*(I$3:I$82="P"))+1,IF(N50&lt;&gt;"",SUMPRODUCT((N$3:N$82&lt;&gt;"")*(G$3:G$82=G50)*(J$3:J$82&gt;J50)*(I$3:I$82="P"))+1,IF(M50="P",SUMPRODUCT((O$3:O$82&lt;&gt;"")*(P$3:P$82="")*(G$3:G$82=G50)*(I$3:I$82="P"))+SUMPRODUCT((P$3:P$82&lt;&gt;"")*(G$3:G$82=G50)*(I$3:I$82="P"))+SUMPRODUCT((N$3:N$82&lt;&gt;"")*(G$3:G$82=G50)*(I$3:I$82="P"))+SUMPRODUCT((P$3:P$82="")*(O$3:O$82="")*(N$3:N$82="")*(M$3:M$82="P")*(G$3:G$82=G50)*(J$3:J$82&gt;J50)*(I$3:I$82="P"))+IF(H50="L5",SUMPRODUCT((P$3:P$82="")*(O$3:O$82="")*(N$3:N$82="")*(M$3:M$82="P")*(G$3:G$82=G50)*(J$3:J$82&lt;J50)*(H$3:H$82&lt;&gt;H50)*(I$3:I$82="P")),-1*SUMPRODUCT((P$3:P$82="")*(O$3:O$82="")*(N$3:N$82="")*(M$3:M$82="P")*(G$3:G$82=G50)*(J$3:J$82&gt;J50)*(H$3:H$82="L5")*(I$3:I$82="P")))+1,"")))))</f>
        <v/>
      </c>
      <c r="B50" s="1" t="str" cm="1">
        <f t="array" ref="B50">IF(P50&lt;&gt;"",SUMPRODUCT((P$3:P$82&lt;&gt;"")*(G$3:G$82=G50)*(J$3:J$82&gt;J50))+1,IF(O50&lt;&gt;"",SUMPRODUCT((O$3:O$82&lt;&gt;"")*(P$3:P$82="")*(G$3:G$82=G50)*(J$3:J$82&gt;J50))+SUMPRODUCT((P$3:P$82&lt;&gt;"")*(G$3:G$82=G50))+1,IF(N50&lt;&gt;"",SUMPRODUCT((N$3:N$82&lt;&gt;"")*(G$3:G$82=G50)*(J$3:J$82&gt;J50))+1,IF(M50="P",SUMPRODUCT((O$3:O$82&lt;&gt;"")*(P$3:P$82="")*(G$3:G$82=G50))+SUMPRODUCT((P$3:P$82&lt;&gt;"")*(G$3:G$82=G50))+SUMPRODUCT((N$3:N$82&lt;&gt;"")*(G$3:G$82=G50))+SUMPRODUCT((P$3:P$82="")*(O$3:O$82="")*(N$3:N$82="")*(M$3:M$82="P")*(G$3:G$82=G50)*(J$3:J$82&gt;J50))+IF(H50="L5",SUMPRODUCT((P$3:P$82="")*(O$3:O$82="")*(N$3:N$82="")*(M$3:M$82="P")*(G$3:G$82=G50)*(J$3:J$82&lt;J50)*(H$3:H$82&lt;&gt;H50)),-1*SUMPRODUCT((P$3:P$82="")*(O$3:O$82="")*(N$3:N$82="")*(M$3:M$82="P")*(G$3:G$82=G50)*(J$3:J$82&gt;J50)*(H$3:H$82="L5")))+1,""))))</f>
        <v/>
      </c>
      <c r="C50" s="35" t="s">
        <v>181</v>
      </c>
      <c r="D50" s="35" t="str">
        <f>IF(E50="","",VLOOKUP(E50,'Coaching Points'!A:B,2,0))</f>
        <v>NS</v>
      </c>
      <c r="E50" s="35" t="s">
        <v>112</v>
      </c>
      <c r="F50" s="34">
        <v>2007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66</v>
      </c>
      <c r="I50" s="40"/>
      <c r="J50" s="4">
        <f t="shared" si="5"/>
        <v>19.580099999999998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 t="shared" si="6"/>
        <v/>
      </c>
      <c r="R50" s="4">
        <f t="shared" si="7"/>
        <v>19.579999999999998</v>
      </c>
      <c r="S50" s="4">
        <f>IF(G50="17-21",LARGE(CHOOSE({1,2,3,4,5,6},T50,V50,Y50,AA50,AC50,AF50),2),IF(R50=X50,MAX(Y50,AA50,AC50,AF50),IF(R50=AE50,MAX(AF50,T50,V50,Y50),0)))</f>
        <v>18.93</v>
      </c>
      <c r="T50" s="32">
        <v>18.93</v>
      </c>
      <c r="U50" s="37">
        <v>4.5999999999999996</v>
      </c>
      <c r="V50" s="33">
        <v>19.579999999999998</v>
      </c>
      <c r="W50" s="37">
        <v>4.5999999999999996</v>
      </c>
      <c r="X50" s="4">
        <f t="shared" si="8"/>
        <v>38.51</v>
      </c>
      <c r="Y50" s="33"/>
      <c r="Z50" s="37"/>
      <c r="AA50" s="32"/>
      <c r="AB50" s="37"/>
      <c r="AC50" s="33"/>
      <c r="AD50" s="37"/>
      <c r="AE50" s="4">
        <f t="shared" si="9"/>
        <v>0</v>
      </c>
      <c r="AF50" s="33"/>
      <c r="AG50" s="37"/>
    </row>
    <row r="51" spans="1:33" x14ac:dyDescent="0.2">
      <c r="A51" s="1" t="str" cm="1">
        <f t="array" ref="A51">IF(I51="","",IF(P51&lt;&gt;"",SUMPRODUCT((P$3:P$82&lt;&gt;"")*(G$3:G$82=G51)*(J$3:J$82&gt;J51)*(I$3:I$82="P"))+1,IF(O51&lt;&gt;"",SUMPRODUCT((O$3:O$82&lt;&gt;"")*(P$3:P$82="")*(G$3:G$82=G51)*(J$3:J$82&gt;J51)*(I$3:I$82="P"))+SUMPRODUCT((P$3:P$82&lt;&gt;"")*(G$3:G$82=G51)*(I$3:I$82="P"))+1,IF(N51&lt;&gt;"",SUMPRODUCT((N$3:N$82&lt;&gt;"")*(G$3:G$82=G51)*(J$3:J$82&gt;J51)*(I$3:I$82="P"))+1,IF(M51="P",SUMPRODUCT((O$3:O$82&lt;&gt;"")*(P$3:P$82="")*(G$3:G$82=G51)*(I$3:I$82="P"))+SUMPRODUCT((P$3:P$82&lt;&gt;"")*(G$3:G$82=G51)*(I$3:I$82="P"))+SUMPRODUCT((N$3:N$82&lt;&gt;"")*(G$3:G$82=G51)*(I$3:I$82="P"))+SUMPRODUCT((P$3:P$82="")*(O$3:O$82="")*(N$3:N$82="")*(M$3:M$82="P")*(G$3:G$82=G51)*(J$3:J$82&gt;J51)*(I$3:I$82="P"))+IF(H51="L5",SUMPRODUCT((P$3:P$82="")*(O$3:O$82="")*(N$3:N$82="")*(M$3:M$82="P")*(G$3:G$82=G51)*(J$3:J$82&lt;J51)*(H$3:H$82&lt;&gt;H51)*(I$3:I$82="P")),-1*SUMPRODUCT((P$3:P$82="")*(O$3:O$82="")*(N$3:N$82="")*(M$3:M$82="P")*(G$3:G$82=G51)*(J$3:J$82&gt;J51)*(H$3:H$82="L5")*(I$3:I$82="P")))+1,"")))))</f>
        <v/>
      </c>
      <c r="B51" s="1" t="str" cm="1">
        <f t="array" ref="B51">IF(P51&lt;&gt;"",SUMPRODUCT((P$3:P$82&lt;&gt;"")*(G$3:G$82=G51)*(J$3:J$82&gt;J51))+1,IF(O51&lt;&gt;"",SUMPRODUCT((O$3:O$82&lt;&gt;"")*(P$3:P$82="")*(G$3:G$82=G51)*(J$3:J$82&gt;J51))+SUMPRODUCT((P$3:P$82&lt;&gt;"")*(G$3:G$82=G51))+1,IF(N51&lt;&gt;"",SUMPRODUCT((N$3:N$82&lt;&gt;"")*(G$3:G$82=G51)*(J$3:J$82&gt;J51))+1,IF(M51="P",SUMPRODUCT((O$3:O$82&lt;&gt;"")*(P$3:P$82="")*(G$3:G$82=G51))+SUMPRODUCT((P$3:P$82&lt;&gt;"")*(G$3:G$82=G51))+SUMPRODUCT((N$3:N$82&lt;&gt;"")*(G$3:G$82=G51))+SUMPRODUCT((P$3:P$82="")*(O$3:O$82="")*(N$3:N$82="")*(M$3:M$82="P")*(G$3:G$82=G51)*(J$3:J$82&gt;J51))+IF(H51="L5",SUMPRODUCT((P$3:P$82="")*(O$3:O$82="")*(N$3:N$82="")*(M$3:M$82="P")*(G$3:G$82=G51)*(J$3:J$82&lt;J51)*(H$3:H$82&lt;&gt;H51)),-1*SUMPRODUCT((P$3:P$82="")*(O$3:O$82="")*(N$3:N$82="")*(M$3:M$82="P")*(G$3:G$82=G51)*(J$3:J$82&gt;J51)*(H$3:H$82="L5")))+1,""))))</f>
        <v/>
      </c>
      <c r="C51" s="35" t="s">
        <v>128</v>
      </c>
      <c r="D51" s="35" t="str">
        <f>IF(E51="","",VLOOKUP(E51,'Coaching Points'!A:B,2,0))</f>
        <v>AB</v>
      </c>
      <c r="E51" s="35" t="s">
        <v>28</v>
      </c>
      <c r="F51" s="34">
        <v>2004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66</v>
      </c>
      <c r="I51" s="40"/>
      <c r="J51" s="4">
        <f t="shared" si="5"/>
        <v>14.540099999999999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 t="shared" si="6"/>
        <v/>
      </c>
      <c r="R51" s="4">
        <f t="shared" si="7"/>
        <v>14.54</v>
      </c>
      <c r="S51" s="4">
        <f>IF(G51="17-21",LARGE(CHOOSE({1,2,3,4,5,6},T51,V51,Y51,AA51,AC51,AF51),2),IF(R51=X51,MAX(Y51,AA51,AC51,AF51),IF(R51=AE51,MAX(AF51,T51,V51,Y51),0)))</f>
        <v>5.28</v>
      </c>
      <c r="T51" s="32">
        <v>14.54</v>
      </c>
      <c r="U51" s="37">
        <v>3.4</v>
      </c>
      <c r="V51" s="33">
        <v>5.28</v>
      </c>
      <c r="W51" s="37">
        <v>1.5</v>
      </c>
      <c r="X51" s="4">
        <f t="shared" si="8"/>
        <v>19.82</v>
      </c>
      <c r="Y51" s="33"/>
      <c r="Z51" s="37"/>
      <c r="AA51" s="32"/>
      <c r="AB51" s="37"/>
      <c r="AC51" s="33"/>
      <c r="AD51" s="37"/>
      <c r="AE51" s="4">
        <f t="shared" si="9"/>
        <v>0</v>
      </c>
      <c r="AF51" s="33"/>
      <c r="AG51" s="37"/>
    </row>
    <row r="52" spans="1:33" x14ac:dyDescent="0.2">
      <c r="A52" s="1" t="str" cm="1">
        <f t="array" ref="A52">IF(I52="","",IF(P52&lt;&gt;"",SUMPRODUCT((P$3:P$82&lt;&gt;"")*(G$3:G$82=G52)*(J$3:J$82&gt;J52)*(I$3:I$82="P"))+1,IF(O52&lt;&gt;"",SUMPRODUCT((O$3:O$82&lt;&gt;"")*(P$3:P$82="")*(G$3:G$82=G52)*(J$3:J$82&gt;J52)*(I$3:I$82="P"))+SUMPRODUCT((P$3:P$82&lt;&gt;"")*(G$3:G$82=G52)*(I$3:I$82="P"))+1,IF(N52&lt;&gt;"",SUMPRODUCT((N$3:N$82&lt;&gt;"")*(G$3:G$82=G52)*(J$3:J$82&gt;J52)*(I$3:I$82="P"))+1,IF(M52="P",SUMPRODUCT((O$3:O$82&lt;&gt;"")*(P$3:P$82="")*(G$3:G$82=G52)*(I$3:I$82="P"))+SUMPRODUCT((P$3:P$82&lt;&gt;"")*(G$3:G$82=G52)*(I$3:I$82="P"))+SUMPRODUCT((N$3:N$82&lt;&gt;"")*(G$3:G$82=G52)*(I$3:I$82="P"))+SUMPRODUCT((P$3:P$82="")*(O$3:O$82="")*(N$3:N$82="")*(M$3:M$82="P")*(G$3:G$82=G52)*(J$3:J$82&gt;J52)*(I$3:I$82="P"))+IF(H52="L5",SUMPRODUCT((P$3:P$82="")*(O$3:O$82="")*(N$3:N$82="")*(M$3:M$82="P")*(G$3:G$82=G52)*(J$3:J$82&lt;J52)*(H$3:H$82&lt;&gt;H52)*(I$3:I$82="P")),-1*SUMPRODUCT((P$3:P$82="")*(O$3:O$82="")*(N$3:N$82="")*(M$3:M$82="P")*(G$3:G$82=G52)*(J$3:J$82&gt;J52)*(H$3:H$82="L5")*(I$3:I$82="P")))+1,"")))))</f>
        <v/>
      </c>
      <c r="B52" s="1" t="str" cm="1">
        <f t="array" ref="B52">IF(P52&lt;&gt;"",SUMPRODUCT((P$3:P$82&lt;&gt;"")*(G$3:G$82=G52)*(J$3:J$82&gt;J52))+1,IF(O52&lt;&gt;"",SUMPRODUCT((O$3:O$82&lt;&gt;"")*(P$3:P$82="")*(G$3:G$82=G52)*(J$3:J$82&gt;J52))+SUMPRODUCT((P$3:P$82&lt;&gt;"")*(G$3:G$82=G52))+1,IF(N52&lt;&gt;"",SUMPRODUCT((N$3:N$82&lt;&gt;"")*(G$3:G$82=G52)*(J$3:J$82&gt;J52))+1,IF(M52="P",SUMPRODUCT((O$3:O$82&lt;&gt;"")*(P$3:P$82="")*(G$3:G$82=G52))+SUMPRODUCT((P$3:P$82&lt;&gt;"")*(G$3:G$82=G52))+SUMPRODUCT((N$3:N$82&lt;&gt;"")*(G$3:G$82=G52))+SUMPRODUCT((P$3:P$82="")*(O$3:O$82="")*(N$3:N$82="")*(M$3:M$82="P")*(G$3:G$82=G52)*(J$3:J$82&gt;J52))+IF(H52="L5",SUMPRODUCT((P$3:P$82="")*(O$3:O$82="")*(N$3:N$82="")*(M$3:M$82="P")*(G$3:G$82=G52)*(J$3:J$82&lt;J52)*(H$3:H$82&lt;&gt;H52)),-1*SUMPRODUCT((P$3:P$82="")*(O$3:O$82="")*(N$3:N$82="")*(M$3:M$82="P")*(G$3:G$82=G52)*(J$3:J$82&gt;J52)*(H$3:H$82="L5")))+1,""))))</f>
        <v/>
      </c>
      <c r="C52" s="35" t="s">
        <v>209</v>
      </c>
      <c r="D52" s="35" t="str">
        <f>IF(E52="","",VLOOKUP(E52,'Coaching Points'!A:B,2,0))</f>
        <v>AB</v>
      </c>
      <c r="E52" s="35" t="s">
        <v>28</v>
      </c>
      <c r="F52" s="34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66</v>
      </c>
      <c r="I52" s="40"/>
      <c r="J52" s="4">
        <f t="shared" si="5"/>
        <v>14.430099999999999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 t="shared" si="6"/>
        <v/>
      </c>
      <c r="R52" s="4">
        <f t="shared" si="7"/>
        <v>14.43</v>
      </c>
      <c r="S52" s="4">
        <f>IF(G52="17-21",LARGE(CHOOSE({1,2,3,4,5,6},T52,V52,Y52,AA52,AC52,AF52),2),IF(R52=X52,MAX(Y52,AA52,AC52,AF52),IF(R52=AE52,MAX(AF52,T52,V52,Y52),0)))</f>
        <v>14.19</v>
      </c>
      <c r="T52" s="32">
        <v>14.43</v>
      </c>
      <c r="U52" s="37">
        <v>2.9</v>
      </c>
      <c r="V52" s="33">
        <v>14.19</v>
      </c>
      <c r="W52" s="37">
        <v>3.3</v>
      </c>
      <c r="X52" s="4">
        <f t="shared" si="8"/>
        <v>28.619999999999997</v>
      </c>
      <c r="Y52" s="33"/>
      <c r="Z52" s="37"/>
      <c r="AA52" s="32"/>
      <c r="AB52" s="37"/>
      <c r="AC52" s="33"/>
      <c r="AD52" s="37"/>
      <c r="AE52" s="4">
        <f t="shared" si="9"/>
        <v>0</v>
      </c>
      <c r="AF52" s="33"/>
      <c r="AG52" s="37"/>
    </row>
    <row r="53" spans="1:33" x14ac:dyDescent="0.2">
      <c r="A53" s="1" t="str" cm="1">
        <f t="array" ref="A53">IF(I53="","",IF(P53&lt;&gt;"",SUMPRODUCT((P$3:P$82&lt;&gt;"")*(G$3:G$82=G53)*(J$3:J$82&gt;J53)*(I$3:I$82="P"))+1,IF(O53&lt;&gt;"",SUMPRODUCT((O$3:O$82&lt;&gt;"")*(P$3:P$82="")*(G$3:G$82=G53)*(J$3:J$82&gt;J53)*(I$3:I$82="P"))+SUMPRODUCT((P$3:P$82&lt;&gt;"")*(G$3:G$82=G53)*(I$3:I$82="P"))+1,IF(N53&lt;&gt;"",SUMPRODUCT((N$3:N$82&lt;&gt;"")*(G$3:G$82=G53)*(J$3:J$82&gt;J53)*(I$3:I$82="P"))+1,IF(M53="P",SUMPRODUCT((O$3:O$82&lt;&gt;"")*(P$3:P$82="")*(G$3:G$82=G53)*(I$3:I$82="P"))+SUMPRODUCT((P$3:P$82&lt;&gt;"")*(G$3:G$82=G53)*(I$3:I$82="P"))+SUMPRODUCT((N$3:N$82&lt;&gt;"")*(G$3:G$82=G53)*(I$3:I$82="P"))+SUMPRODUCT((P$3:P$82="")*(O$3:O$82="")*(N$3:N$82="")*(M$3:M$82="P")*(G$3:G$82=G53)*(J$3:J$82&gt;J53)*(I$3:I$82="P"))+IF(H53="L5",SUMPRODUCT((P$3:P$82="")*(O$3:O$82="")*(N$3:N$82="")*(M$3:M$82="P")*(G$3:G$82=G53)*(J$3:J$82&lt;J53)*(H$3:H$82&lt;&gt;H53)*(I$3:I$82="P")),-1*SUMPRODUCT((P$3:P$82="")*(O$3:O$82="")*(N$3:N$82="")*(M$3:M$82="P")*(G$3:G$82=G53)*(J$3:J$82&gt;J53)*(H$3:H$82="L5")*(I$3:I$82="P")))+1,"")))))</f>
        <v/>
      </c>
      <c r="B53" s="1" cm="1">
        <f t="array" ref="B53">IF(P53&lt;&gt;"",SUMPRODUCT((P$3:P$82&lt;&gt;"")*(G$3:G$82=G53)*(J$3:J$82&gt;J53))+1,IF(O53&lt;&gt;"",SUMPRODUCT((O$3:O$82&lt;&gt;"")*(P$3:P$82="")*(G$3:G$82=G53)*(J$3:J$82&gt;J53))+SUMPRODUCT((P$3:P$82&lt;&gt;"")*(G$3:G$82=G53))+1,IF(N53&lt;&gt;"",SUMPRODUCT((N$3:N$82&lt;&gt;"")*(G$3:G$82=G53)*(J$3:J$82&gt;J53))+1,IF(M53="P",SUMPRODUCT((O$3:O$82&lt;&gt;"")*(P$3:P$82="")*(G$3:G$82=G53))+SUMPRODUCT((P$3:P$82&lt;&gt;"")*(G$3:G$82=G53))+SUMPRODUCT((N$3:N$82&lt;&gt;"")*(G$3:G$82=G53))+SUMPRODUCT((P$3:P$82="")*(O$3:O$82="")*(N$3:N$82="")*(M$3:M$82="P")*(G$3:G$82=G53)*(J$3:J$82&gt;J53))+IF(H53="L5",SUMPRODUCT((P$3:P$82="")*(O$3:O$82="")*(N$3:N$82="")*(M$3:M$82="P")*(G$3:G$82=G53)*(J$3:J$82&lt;J53)*(H$3:H$82&lt;&gt;H53)),-1*SUMPRODUCT((P$3:P$82="")*(O$3:O$82="")*(N$3:N$82="")*(M$3:M$82="P")*(G$3:G$82=G53)*(J$3:J$82&gt;J53)*(H$3:H$82="L5")))+1,""))))</f>
        <v>1</v>
      </c>
      <c r="C53" s="35" t="s">
        <v>120</v>
      </c>
      <c r="D53" s="35" t="str">
        <f>IF(E53="","",VLOOKUP(E53,'Coaching Points'!A:B,2,0))</f>
        <v>BC</v>
      </c>
      <c r="E53" s="35" t="s">
        <v>40</v>
      </c>
      <c r="F53" s="34">
        <v>2009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63</v>
      </c>
      <c r="I53" s="40"/>
      <c r="J53" s="4">
        <f t="shared" si="5"/>
        <v>90.530200000000008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>P</v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>P</v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>P</v>
      </c>
      <c r="N53" s="36">
        <v>1</v>
      </c>
      <c r="Q53" s="1" t="str">
        <f t="shared" si="6"/>
        <v/>
      </c>
      <c r="R53" s="4">
        <f t="shared" si="7"/>
        <v>90.53</v>
      </c>
      <c r="S53" s="4">
        <f>IF(G53="17-21",LARGE(CHOOSE({1,2,3,4,5,6},T53,V53,Y53,AA53,AC53,AF53),2),IF(R53=X53,MAX(Y53,AA53,AC53,AF53),IF(R53=AE53,MAX(AF53,T53,V53,Y53),0)))</f>
        <v>50.48</v>
      </c>
      <c r="T53" s="32">
        <v>40.880000000000003</v>
      </c>
      <c r="U53" s="37">
        <v>0</v>
      </c>
      <c r="V53" s="33">
        <v>49.65</v>
      </c>
      <c r="W53" s="37">
        <v>12.3</v>
      </c>
      <c r="X53" s="4">
        <f t="shared" si="8"/>
        <v>90.53</v>
      </c>
      <c r="Y53" s="33">
        <v>50.48</v>
      </c>
      <c r="Z53" s="37">
        <v>12.3</v>
      </c>
      <c r="AA53" s="32"/>
      <c r="AB53" s="37"/>
      <c r="AC53" s="33"/>
      <c r="AD53" s="37"/>
      <c r="AE53" s="4">
        <f t="shared" si="9"/>
        <v>0</v>
      </c>
      <c r="AF53" s="33"/>
      <c r="AG53" s="37"/>
    </row>
    <row r="54" spans="1:33" x14ac:dyDescent="0.2">
      <c r="A54" s="1" t="str" cm="1">
        <f t="array" ref="A54">IF(I54="","",IF(P54&lt;&gt;"",SUMPRODUCT((P$3:P$82&lt;&gt;"")*(G$3:G$82=G54)*(J$3:J$82&gt;J54)*(I$3:I$82="P"))+1,IF(O54&lt;&gt;"",SUMPRODUCT((O$3:O$82&lt;&gt;"")*(P$3:P$82="")*(G$3:G$82=G54)*(J$3:J$82&gt;J54)*(I$3:I$82="P"))+SUMPRODUCT((P$3:P$82&lt;&gt;"")*(G$3:G$82=G54)*(I$3:I$82="P"))+1,IF(N54&lt;&gt;"",SUMPRODUCT((N$3:N$82&lt;&gt;"")*(G$3:G$82=G54)*(J$3:J$82&gt;J54)*(I$3:I$82="P"))+1,IF(M54="P",SUMPRODUCT((O$3:O$82&lt;&gt;"")*(P$3:P$82="")*(G$3:G$82=G54)*(I$3:I$82="P"))+SUMPRODUCT((P$3:P$82&lt;&gt;"")*(G$3:G$82=G54)*(I$3:I$82="P"))+SUMPRODUCT((N$3:N$82&lt;&gt;"")*(G$3:G$82=G54)*(I$3:I$82="P"))+SUMPRODUCT((P$3:P$82="")*(O$3:O$82="")*(N$3:N$82="")*(M$3:M$82="P")*(G$3:G$82=G54)*(J$3:J$82&gt;J54)*(I$3:I$82="P"))+IF(H54="L5",SUMPRODUCT((P$3:P$82="")*(O$3:O$82="")*(N$3:N$82="")*(M$3:M$82="P")*(G$3:G$82=G54)*(J$3:J$82&lt;J54)*(H$3:H$82&lt;&gt;H54)*(I$3:I$82="P")),-1*SUMPRODUCT((P$3:P$82="")*(O$3:O$82="")*(N$3:N$82="")*(M$3:M$82="P")*(G$3:G$82=G54)*(J$3:J$82&gt;J54)*(H$3:H$82="L5")*(I$3:I$82="P")))+1,"")))))</f>
        <v/>
      </c>
      <c r="B54" s="1" cm="1">
        <f t="array" ref="B54">IF(P54&lt;&gt;"",SUMPRODUCT((P$3:P$82&lt;&gt;"")*(G$3:G$82=G54)*(J$3:J$82&gt;J54))+1,IF(O54&lt;&gt;"",SUMPRODUCT((O$3:O$82&lt;&gt;"")*(P$3:P$82="")*(G$3:G$82=G54)*(J$3:J$82&gt;J54))+SUMPRODUCT((P$3:P$82&lt;&gt;"")*(G$3:G$82=G54))+1,IF(N54&lt;&gt;"",SUMPRODUCT((N$3:N$82&lt;&gt;"")*(G$3:G$82=G54)*(J$3:J$82&gt;J54))+1,IF(M54="P",SUMPRODUCT((O$3:O$82&lt;&gt;"")*(P$3:P$82="")*(G$3:G$82=G54))+SUMPRODUCT((P$3:P$82&lt;&gt;"")*(G$3:G$82=G54))+SUMPRODUCT((N$3:N$82&lt;&gt;"")*(G$3:G$82=G54))+SUMPRODUCT((P$3:P$82="")*(O$3:O$82="")*(N$3:N$82="")*(M$3:M$82="P")*(G$3:G$82=G54)*(J$3:J$82&gt;J54))+IF(H54="L5",SUMPRODUCT((P$3:P$82="")*(O$3:O$82="")*(N$3:N$82="")*(M$3:M$82="P")*(G$3:G$82=G54)*(J$3:J$82&lt;J54)*(H$3:H$82&lt;&gt;H54)),-1*SUMPRODUCT((P$3:P$82="")*(O$3:O$82="")*(N$3:N$82="")*(M$3:M$82="P")*(G$3:G$82=G54)*(J$3:J$82&gt;J54)*(H$3:H$82="L5")))+1,""))))</f>
        <v>2</v>
      </c>
      <c r="C54" s="35" t="s">
        <v>177</v>
      </c>
      <c r="D54" s="35" t="str">
        <f>IF(E54="","",VLOOKUP(E54,'Coaching Points'!A:B,2,0))</f>
        <v>QC</v>
      </c>
      <c r="E54" s="35" t="s">
        <v>85</v>
      </c>
      <c r="F54" s="34">
        <v>2009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63</v>
      </c>
      <c r="I54" s="40"/>
      <c r="J54" s="4">
        <f t="shared" si="5"/>
        <v>88.990200000000016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>P</v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>P</v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>P</v>
      </c>
      <c r="Q54" s="1" t="str">
        <f t="shared" si="6"/>
        <v/>
      </c>
      <c r="R54" s="4">
        <f t="shared" si="7"/>
        <v>88.990000000000009</v>
      </c>
      <c r="S54" s="4">
        <f>IF(G54="17-21",LARGE(CHOOSE({1,2,3,4,5,6},T54,V54,Y54,AA54,AC54,AF54),2),IF(R54=X54,MAX(Y54,AA54,AC54,AF54),IF(R54=AE54,MAX(AF54,T54,V54,Y54),0)))</f>
        <v>48.47</v>
      </c>
      <c r="T54" s="32">
        <v>40.32</v>
      </c>
      <c r="U54" s="37">
        <v>0</v>
      </c>
      <c r="V54" s="33">
        <v>48.67</v>
      </c>
      <c r="W54" s="37">
        <v>11.2</v>
      </c>
      <c r="X54" s="4">
        <f t="shared" si="8"/>
        <v>88.990000000000009</v>
      </c>
      <c r="Y54" s="33">
        <v>48.47</v>
      </c>
      <c r="Z54" s="37">
        <v>10.5</v>
      </c>
      <c r="AA54" s="32"/>
      <c r="AB54" s="37"/>
      <c r="AC54" s="33"/>
      <c r="AD54" s="37"/>
      <c r="AE54" s="4">
        <f t="shared" si="9"/>
        <v>0</v>
      </c>
      <c r="AF54" s="33"/>
      <c r="AG54" s="37"/>
    </row>
    <row r="55" spans="1:33" x14ac:dyDescent="0.2">
      <c r="A55" s="1" t="str" cm="1">
        <f t="array" ref="A55">IF(I55="","",IF(P55&lt;&gt;"",SUMPRODUCT((P$3:P$82&lt;&gt;"")*(G$3:G$82=G55)*(J$3:J$82&gt;J55)*(I$3:I$82="P"))+1,IF(O55&lt;&gt;"",SUMPRODUCT((O$3:O$82&lt;&gt;"")*(P$3:P$82="")*(G$3:G$82=G55)*(J$3:J$82&gt;J55)*(I$3:I$82="P"))+SUMPRODUCT((P$3:P$82&lt;&gt;"")*(G$3:G$82=G55)*(I$3:I$82="P"))+1,IF(N55&lt;&gt;"",SUMPRODUCT((N$3:N$82&lt;&gt;"")*(G$3:G$82=G55)*(J$3:J$82&gt;J55)*(I$3:I$82="P"))+1,IF(M55="P",SUMPRODUCT((O$3:O$82&lt;&gt;"")*(P$3:P$82="")*(G$3:G$82=G55)*(I$3:I$82="P"))+SUMPRODUCT((P$3:P$82&lt;&gt;"")*(G$3:G$82=G55)*(I$3:I$82="P"))+SUMPRODUCT((N$3:N$82&lt;&gt;"")*(G$3:G$82=G55)*(I$3:I$82="P"))+SUMPRODUCT((P$3:P$82="")*(O$3:O$82="")*(N$3:N$82="")*(M$3:M$82="P")*(G$3:G$82=G55)*(J$3:J$82&gt;J55)*(I$3:I$82="P"))+IF(H55="L5",SUMPRODUCT((P$3:P$82="")*(O$3:O$82="")*(N$3:N$82="")*(M$3:M$82="P")*(G$3:G$82=G55)*(J$3:J$82&lt;J55)*(H$3:H$82&lt;&gt;H55)*(I$3:I$82="P")),-1*SUMPRODUCT((P$3:P$82="")*(O$3:O$82="")*(N$3:N$82="")*(M$3:M$82="P")*(G$3:G$82=G55)*(J$3:J$82&gt;J55)*(H$3:H$82="L5")*(I$3:I$82="P")))+1,"")))))</f>
        <v/>
      </c>
      <c r="B55" s="1" t="str" cm="1">
        <f t="array" ref="B55">IF(P55&lt;&gt;"",SUMPRODUCT((P$3:P$82&lt;&gt;"")*(G$3:G$82=G55)*(J$3:J$82&gt;J55))+1,IF(O55&lt;&gt;"",SUMPRODUCT((O$3:O$82&lt;&gt;"")*(P$3:P$82="")*(G$3:G$82=G55)*(J$3:J$82&gt;J55))+SUMPRODUCT((P$3:P$82&lt;&gt;"")*(G$3:G$82=G55))+1,IF(N55&lt;&gt;"",SUMPRODUCT((N$3:N$82&lt;&gt;"")*(G$3:G$82=G55)*(J$3:J$82&gt;J55))+1,IF(M55="P",SUMPRODUCT((O$3:O$82&lt;&gt;"")*(P$3:P$82="")*(G$3:G$82=G55))+SUMPRODUCT((P$3:P$82&lt;&gt;"")*(G$3:G$82=G55))+SUMPRODUCT((N$3:N$82&lt;&gt;"")*(G$3:G$82=G55))+SUMPRODUCT((P$3:P$82="")*(O$3:O$82="")*(N$3:N$82="")*(M$3:M$82="P")*(G$3:G$82=G55)*(J$3:J$82&gt;J55))+IF(H55="L5",SUMPRODUCT((P$3:P$82="")*(O$3:O$82="")*(N$3:N$82="")*(M$3:M$82="P")*(G$3:G$82=G55)*(J$3:J$82&lt;J55)*(H$3:H$82&lt;&gt;H55)),-1*SUMPRODUCT((P$3:P$82="")*(O$3:O$82="")*(N$3:N$82="")*(M$3:M$82="P")*(G$3:G$82=G55)*(J$3:J$82&gt;J55)*(H$3:H$82="L5")))+1,""))))</f>
        <v/>
      </c>
      <c r="C55" s="35" t="s">
        <v>102</v>
      </c>
      <c r="D55" s="35" t="str">
        <f>IF(E55="","",VLOOKUP(E55,'Coaching Points'!A:B,2,0))</f>
        <v>BC</v>
      </c>
      <c r="E55" s="35" t="s">
        <v>40</v>
      </c>
      <c r="F55" s="34">
        <v>2009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63</v>
      </c>
      <c r="I55" s="40"/>
      <c r="J55" s="4">
        <f t="shared" si="5"/>
        <v>87.740200000000016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>P</v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 t="shared" si="6"/>
        <v/>
      </c>
      <c r="R55" s="4">
        <f t="shared" si="7"/>
        <v>87.740000000000009</v>
      </c>
      <c r="S55" s="4">
        <f>IF(G55="17-21",LARGE(CHOOSE({1,2,3,4,5,6},T55,V55,Y55,AA55,AC55,AF55),2),IF(R55=X55,MAX(Y55,AA55,AC55,AF55),IF(R55=AE55,MAX(AF55,T55,V55,Y55),0)))</f>
        <v>48.41</v>
      </c>
      <c r="T55" s="32">
        <v>39.520000000000003</v>
      </c>
      <c r="U55" s="37">
        <v>0</v>
      </c>
      <c r="V55" s="33">
        <v>48.22</v>
      </c>
      <c r="W55" s="37">
        <v>10.3</v>
      </c>
      <c r="X55" s="4">
        <f t="shared" si="8"/>
        <v>87.740000000000009</v>
      </c>
      <c r="Y55" s="33">
        <v>48.41</v>
      </c>
      <c r="Z55" s="37">
        <v>10.3</v>
      </c>
      <c r="AA55" s="32"/>
      <c r="AB55" s="37"/>
      <c r="AC55" s="33"/>
      <c r="AD55" s="37"/>
      <c r="AE55" s="4">
        <f t="shared" si="9"/>
        <v>0</v>
      </c>
      <c r="AF55" s="33"/>
      <c r="AG55" s="37"/>
    </row>
    <row r="56" spans="1:33" x14ac:dyDescent="0.2">
      <c r="A56" s="1" t="str" cm="1">
        <f t="array" ref="A56">IF(I56="","",IF(P56&lt;&gt;"",SUMPRODUCT((P$3:P$82&lt;&gt;"")*(G$3:G$82=G56)*(J$3:J$82&gt;J56)*(I$3:I$82="P"))+1,IF(O56&lt;&gt;"",SUMPRODUCT((O$3:O$82&lt;&gt;"")*(P$3:P$82="")*(G$3:G$82=G56)*(J$3:J$82&gt;J56)*(I$3:I$82="P"))+SUMPRODUCT((P$3:P$82&lt;&gt;"")*(G$3:G$82=G56)*(I$3:I$82="P"))+1,IF(N56&lt;&gt;"",SUMPRODUCT((N$3:N$82&lt;&gt;"")*(G$3:G$82=G56)*(J$3:J$82&gt;J56)*(I$3:I$82="P"))+1,IF(M56="P",SUMPRODUCT((O$3:O$82&lt;&gt;"")*(P$3:P$82="")*(G$3:G$82=G56)*(I$3:I$82="P"))+SUMPRODUCT((P$3:P$82&lt;&gt;"")*(G$3:G$82=G56)*(I$3:I$82="P"))+SUMPRODUCT((N$3:N$82&lt;&gt;"")*(G$3:G$82=G56)*(I$3:I$82="P"))+SUMPRODUCT((P$3:P$82="")*(O$3:O$82="")*(N$3:N$82="")*(M$3:M$82="P")*(G$3:G$82=G56)*(J$3:J$82&gt;J56)*(I$3:I$82="P"))+IF(H56="L5",SUMPRODUCT((P$3:P$82="")*(O$3:O$82="")*(N$3:N$82="")*(M$3:M$82="P")*(G$3:G$82=G56)*(J$3:J$82&lt;J56)*(H$3:H$82&lt;&gt;H56)*(I$3:I$82="P")),-1*SUMPRODUCT((P$3:P$82="")*(O$3:O$82="")*(N$3:N$82="")*(M$3:M$82="P")*(G$3:G$82=G56)*(J$3:J$82&gt;J56)*(H$3:H$82="L5")*(I$3:I$82="P")))+1,"")))))</f>
        <v/>
      </c>
      <c r="B56" s="1" t="str" cm="1">
        <f t="array" ref="B56">IF(P56&lt;&gt;"",SUMPRODUCT((P$3:P$82&lt;&gt;"")*(G$3:G$82=G56)*(J$3:J$82&gt;J56))+1,IF(O56&lt;&gt;"",SUMPRODUCT((O$3:O$82&lt;&gt;"")*(P$3:P$82="")*(G$3:G$82=G56)*(J$3:J$82&gt;J56))+SUMPRODUCT((P$3:P$82&lt;&gt;"")*(G$3:G$82=G56))+1,IF(N56&lt;&gt;"",SUMPRODUCT((N$3:N$82&lt;&gt;"")*(G$3:G$82=G56)*(J$3:J$82&gt;J56))+1,IF(M56="P",SUMPRODUCT((O$3:O$82&lt;&gt;"")*(P$3:P$82="")*(G$3:G$82=G56))+SUMPRODUCT((P$3:P$82&lt;&gt;"")*(G$3:G$82=G56))+SUMPRODUCT((N$3:N$82&lt;&gt;"")*(G$3:G$82=G56))+SUMPRODUCT((P$3:P$82="")*(O$3:O$82="")*(N$3:N$82="")*(M$3:M$82="P")*(G$3:G$82=G56)*(J$3:J$82&gt;J56))+IF(H56="L5",SUMPRODUCT((P$3:P$82="")*(O$3:O$82="")*(N$3:N$82="")*(M$3:M$82="P")*(G$3:G$82=G56)*(J$3:J$82&lt;J56)*(H$3:H$82&lt;&gt;H56)),-1*SUMPRODUCT((P$3:P$82="")*(O$3:O$82="")*(N$3:N$82="")*(M$3:M$82="P")*(G$3:G$82=G56)*(J$3:J$82&gt;J56)*(H$3:H$82="L5")))+1,""))))</f>
        <v/>
      </c>
      <c r="C56" s="35" t="s">
        <v>103</v>
      </c>
      <c r="D56" s="35" t="str">
        <f>IF(E56="","",VLOOKUP(E56,'Coaching Points'!A:B,2,0))</f>
        <v>BC</v>
      </c>
      <c r="E56" s="35" t="s">
        <v>44</v>
      </c>
      <c r="F56" s="34">
        <v>2008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63</v>
      </c>
      <c r="I56" s="40"/>
      <c r="J56" s="4">
        <f t="shared" si="5"/>
        <v>87.200200000000009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>P</v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 t="shared" si="6"/>
        <v/>
      </c>
      <c r="R56" s="4">
        <f t="shared" si="7"/>
        <v>87.2</v>
      </c>
      <c r="S56" s="4">
        <f>IF(G56="17-21",LARGE(CHOOSE({1,2,3,4,5,6},T56,V56,Y56,AA56,AC56,AF56),2),IF(R56=X56,MAX(Y56,AA56,AC56,AF56),IF(R56=AE56,MAX(AF56,T56,V56,Y56),0)))</f>
        <v>47.92</v>
      </c>
      <c r="T56" s="32">
        <v>39.6</v>
      </c>
      <c r="U56" s="37">
        <v>0</v>
      </c>
      <c r="V56" s="33">
        <v>47.6</v>
      </c>
      <c r="W56" s="37">
        <v>10.199999999999999</v>
      </c>
      <c r="X56" s="4">
        <f t="shared" si="8"/>
        <v>87.2</v>
      </c>
      <c r="Y56" s="33">
        <v>47.92</v>
      </c>
      <c r="Z56" s="37">
        <v>10.199999999999999</v>
      </c>
      <c r="AA56" s="32"/>
      <c r="AB56" s="37"/>
      <c r="AC56" s="33"/>
      <c r="AD56" s="37"/>
      <c r="AE56" s="4">
        <f t="shared" si="9"/>
        <v>0</v>
      </c>
      <c r="AF56" s="33"/>
      <c r="AG56" s="37"/>
    </row>
    <row r="57" spans="1:33" x14ac:dyDescent="0.2">
      <c r="A57" s="1" t="str" cm="1">
        <f t="array" ref="A57">IF(I57="","",IF(P57&lt;&gt;"",SUMPRODUCT((P$3:P$82&lt;&gt;"")*(G$3:G$82=G57)*(J$3:J$82&gt;J57)*(I$3:I$82="P"))+1,IF(O57&lt;&gt;"",SUMPRODUCT((O$3:O$82&lt;&gt;"")*(P$3:P$82="")*(G$3:G$82=G57)*(J$3:J$82&gt;J57)*(I$3:I$82="P"))+SUMPRODUCT((P$3:P$82&lt;&gt;"")*(G$3:G$82=G57)*(I$3:I$82="P"))+1,IF(N57&lt;&gt;"",SUMPRODUCT((N$3:N$82&lt;&gt;"")*(G$3:G$82=G57)*(J$3:J$82&gt;J57)*(I$3:I$82="P"))+1,IF(M57="P",SUMPRODUCT((O$3:O$82&lt;&gt;"")*(P$3:P$82="")*(G$3:G$82=G57)*(I$3:I$82="P"))+SUMPRODUCT((P$3:P$82&lt;&gt;"")*(G$3:G$82=G57)*(I$3:I$82="P"))+SUMPRODUCT((N$3:N$82&lt;&gt;"")*(G$3:G$82=G57)*(I$3:I$82="P"))+SUMPRODUCT((P$3:P$82="")*(O$3:O$82="")*(N$3:N$82="")*(M$3:M$82="P")*(G$3:G$82=G57)*(J$3:J$82&gt;J57)*(I$3:I$82="P"))+IF(H57="L5",SUMPRODUCT((P$3:P$82="")*(O$3:O$82="")*(N$3:N$82="")*(M$3:M$82="P")*(G$3:G$82=G57)*(J$3:J$82&lt;J57)*(H$3:H$82&lt;&gt;H57)*(I$3:I$82="P")),-1*SUMPRODUCT((P$3:P$82="")*(O$3:O$82="")*(N$3:N$82="")*(M$3:M$82="P")*(G$3:G$82=G57)*(J$3:J$82&gt;J57)*(H$3:H$82="L5")*(I$3:I$82="P")))+1,"")))))</f>
        <v/>
      </c>
      <c r="B57" s="1" t="str" cm="1">
        <f t="array" ref="B57">IF(P57&lt;&gt;"",SUMPRODUCT((P$3:P$82&lt;&gt;"")*(G$3:G$82=G57)*(J$3:J$82&gt;J57))+1,IF(O57&lt;&gt;"",SUMPRODUCT((O$3:O$82&lt;&gt;"")*(P$3:P$82="")*(G$3:G$82=G57)*(J$3:J$82&gt;J57))+SUMPRODUCT((P$3:P$82&lt;&gt;"")*(G$3:G$82=G57))+1,IF(N57&lt;&gt;"",SUMPRODUCT((N$3:N$82&lt;&gt;"")*(G$3:G$82=G57)*(J$3:J$82&gt;J57))+1,IF(M57="P",SUMPRODUCT((O$3:O$82&lt;&gt;"")*(P$3:P$82="")*(G$3:G$82=G57))+SUMPRODUCT((P$3:P$82&lt;&gt;"")*(G$3:G$82=G57))+SUMPRODUCT((N$3:N$82&lt;&gt;"")*(G$3:G$82=G57))+SUMPRODUCT((P$3:P$82="")*(O$3:O$82="")*(N$3:N$82="")*(M$3:M$82="P")*(G$3:G$82=G57)*(J$3:J$82&gt;J57))+IF(H57="L5",SUMPRODUCT((P$3:P$82="")*(O$3:O$82="")*(N$3:N$82="")*(M$3:M$82="P")*(G$3:G$82=G57)*(J$3:J$82&lt;J57)*(H$3:H$82&lt;&gt;H57)),-1*SUMPRODUCT((P$3:P$82="")*(O$3:O$82="")*(N$3:N$82="")*(M$3:M$82="P")*(G$3:G$82=G57)*(J$3:J$82&gt;J57)*(H$3:H$82="L5")))+1,""))))</f>
        <v/>
      </c>
      <c r="C57" s="35" t="s">
        <v>212</v>
      </c>
      <c r="D57" s="35" t="str">
        <f>IF(E57="","",VLOOKUP(E57,'Coaching Points'!A:B,2,0))</f>
        <v>AB</v>
      </c>
      <c r="E57" s="35" t="s">
        <v>28</v>
      </c>
      <c r="F57" s="34">
        <v>2009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64</v>
      </c>
      <c r="I57" s="40"/>
      <c r="J57" s="4">
        <f t="shared" si="5"/>
        <v>84.78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 t="shared" si="6"/>
        <v/>
      </c>
      <c r="R57" s="4">
        <f t="shared" si="7"/>
        <v>84.78</v>
      </c>
      <c r="S57" s="4">
        <f>IF(G57="17-21",LARGE(CHOOSE({1,2,3,4,5,6},T57,V57,Y57,AA57,AC57,AF57),2),IF(R57=X57,MAX(Y57,AA57,AC57,AF57),IF(R57=AE57,MAX(AF57,T57,V57,Y57),0)))</f>
        <v>46.72</v>
      </c>
      <c r="T57" s="32">
        <v>39.130000000000003</v>
      </c>
      <c r="U57" s="37">
        <v>0</v>
      </c>
      <c r="V57" s="33">
        <v>45.65</v>
      </c>
      <c r="W57" s="37">
        <v>7.6</v>
      </c>
      <c r="X57" s="4">
        <f t="shared" si="8"/>
        <v>84.78</v>
      </c>
      <c r="Y57" s="33">
        <v>46.72</v>
      </c>
      <c r="Z57" s="37">
        <v>7.6</v>
      </c>
      <c r="AA57" s="32"/>
      <c r="AB57" s="37"/>
      <c r="AC57" s="33"/>
      <c r="AD57" s="37"/>
      <c r="AE57" s="4">
        <f t="shared" si="9"/>
        <v>0</v>
      </c>
      <c r="AF57" s="33"/>
      <c r="AG57" s="37"/>
    </row>
    <row r="58" spans="1:33" x14ac:dyDescent="0.2">
      <c r="A58" s="1" t="str" cm="1">
        <f t="array" ref="A58">IF(I58="","",IF(P58&lt;&gt;"",SUMPRODUCT((P$3:P$82&lt;&gt;"")*(G$3:G$82=G58)*(J$3:J$82&gt;J58)*(I$3:I$82="P"))+1,IF(O58&lt;&gt;"",SUMPRODUCT((O$3:O$82&lt;&gt;"")*(P$3:P$82="")*(G$3:G$82=G58)*(J$3:J$82&gt;J58)*(I$3:I$82="P"))+SUMPRODUCT((P$3:P$82&lt;&gt;"")*(G$3:G$82=G58)*(I$3:I$82="P"))+1,IF(N58&lt;&gt;"",SUMPRODUCT((N$3:N$82&lt;&gt;"")*(G$3:G$82=G58)*(J$3:J$82&gt;J58)*(I$3:I$82="P"))+1,IF(M58="P",SUMPRODUCT((O$3:O$82&lt;&gt;"")*(P$3:P$82="")*(G$3:G$82=G58)*(I$3:I$82="P"))+SUMPRODUCT((P$3:P$82&lt;&gt;"")*(G$3:G$82=G58)*(I$3:I$82="P"))+SUMPRODUCT((N$3:N$82&lt;&gt;"")*(G$3:G$82=G58)*(I$3:I$82="P"))+SUMPRODUCT((P$3:P$82="")*(O$3:O$82="")*(N$3:N$82="")*(M$3:M$82="P")*(G$3:G$82=G58)*(J$3:J$82&gt;J58)*(I$3:I$82="P"))+IF(H58="L5",SUMPRODUCT((P$3:P$82="")*(O$3:O$82="")*(N$3:N$82="")*(M$3:M$82="P")*(G$3:G$82=G58)*(J$3:J$82&lt;J58)*(H$3:H$82&lt;&gt;H58)*(I$3:I$82="P")),-1*SUMPRODUCT((P$3:P$82="")*(O$3:O$82="")*(N$3:N$82="")*(M$3:M$82="P")*(G$3:G$82=G58)*(J$3:J$82&gt;J58)*(H$3:H$82="L5")*(I$3:I$82="P")))+1,"")))))</f>
        <v/>
      </c>
      <c r="B58" s="1" t="str" cm="1">
        <f t="array" ref="B58">IF(P58&lt;&gt;"",SUMPRODUCT((P$3:P$82&lt;&gt;"")*(G$3:G$82=G58)*(J$3:J$82&gt;J58))+1,IF(O58&lt;&gt;"",SUMPRODUCT((O$3:O$82&lt;&gt;"")*(P$3:P$82="")*(G$3:G$82=G58)*(J$3:J$82&gt;J58))+SUMPRODUCT((P$3:P$82&lt;&gt;"")*(G$3:G$82=G58))+1,IF(N58&lt;&gt;"",SUMPRODUCT((N$3:N$82&lt;&gt;"")*(G$3:G$82=G58)*(J$3:J$82&gt;J58))+1,IF(M58="P",SUMPRODUCT((O$3:O$82&lt;&gt;"")*(P$3:P$82="")*(G$3:G$82=G58))+SUMPRODUCT((P$3:P$82&lt;&gt;"")*(G$3:G$82=G58))+SUMPRODUCT((N$3:N$82&lt;&gt;"")*(G$3:G$82=G58))+SUMPRODUCT((P$3:P$82="")*(O$3:O$82="")*(N$3:N$82="")*(M$3:M$82="P")*(G$3:G$82=G58)*(J$3:J$82&gt;J58))+IF(H58="L5",SUMPRODUCT((P$3:P$82="")*(O$3:O$82="")*(N$3:N$82="")*(M$3:M$82="P")*(G$3:G$82=G58)*(J$3:J$82&lt;J58)*(H$3:H$82&lt;&gt;H58)),-1*SUMPRODUCT((P$3:P$82="")*(O$3:O$82="")*(N$3:N$82="")*(M$3:M$82="P")*(G$3:G$82=G58)*(J$3:J$82&gt;J58)*(H$3:H$82="L5")))+1,""))))</f>
        <v/>
      </c>
      <c r="C58" s="35" t="s">
        <v>336</v>
      </c>
      <c r="D58" s="35" t="str">
        <f>IF(E58="","",VLOOKUP(E58,'Coaching Points'!A:B,2,0))</f>
        <v>QC</v>
      </c>
      <c r="E58" s="35" t="s">
        <v>57</v>
      </c>
      <c r="F58" s="34">
        <v>2008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64</v>
      </c>
      <c r="I58" s="40"/>
      <c r="J58" s="4">
        <f t="shared" si="5"/>
        <v>84.61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 t="shared" si="6"/>
        <v/>
      </c>
      <c r="R58" s="4">
        <f t="shared" si="7"/>
        <v>84.61</v>
      </c>
      <c r="S58" s="4">
        <f>IF(G58="17-21",LARGE(CHOOSE({1,2,3,4,5,6},T58,V58,Y58,AA58,AC58,AF58),2),IF(R58=X58,MAX(Y58,AA58,AC58,AF58),IF(R58=AE58,MAX(AF58,T58,V58,Y58),0)))</f>
        <v>47.12</v>
      </c>
      <c r="T58" s="32">
        <v>38.799999999999997</v>
      </c>
      <c r="U58" s="37">
        <v>0</v>
      </c>
      <c r="V58" s="33">
        <v>45.81</v>
      </c>
      <c r="W58" s="37">
        <v>7.7</v>
      </c>
      <c r="X58" s="4">
        <f t="shared" si="8"/>
        <v>84.61</v>
      </c>
      <c r="Y58" s="33">
        <v>47.12</v>
      </c>
      <c r="Z58" s="37">
        <v>7.7</v>
      </c>
      <c r="AA58" s="32"/>
      <c r="AB58" s="37"/>
      <c r="AC58" s="33"/>
      <c r="AD58" s="37"/>
      <c r="AE58" s="4">
        <f t="shared" si="9"/>
        <v>0</v>
      </c>
      <c r="AF58" s="33"/>
      <c r="AG58" s="37"/>
    </row>
    <row r="59" spans="1:33" x14ac:dyDescent="0.2">
      <c r="A59" s="1" t="str" cm="1">
        <f t="array" ref="A59">IF(I59="","",IF(P59&lt;&gt;"",SUMPRODUCT((P$3:P$82&lt;&gt;"")*(G$3:G$82=G59)*(J$3:J$82&gt;J59)*(I$3:I$82="P"))+1,IF(O59&lt;&gt;"",SUMPRODUCT((O$3:O$82&lt;&gt;"")*(P$3:P$82="")*(G$3:G$82=G59)*(J$3:J$82&gt;J59)*(I$3:I$82="P"))+SUMPRODUCT((P$3:P$82&lt;&gt;"")*(G$3:G$82=G59)*(I$3:I$82="P"))+1,IF(N59&lt;&gt;"",SUMPRODUCT((N$3:N$82&lt;&gt;"")*(G$3:G$82=G59)*(J$3:J$82&gt;J59)*(I$3:I$82="P"))+1,IF(M59="P",SUMPRODUCT((O$3:O$82&lt;&gt;"")*(P$3:P$82="")*(G$3:G$82=G59)*(I$3:I$82="P"))+SUMPRODUCT((P$3:P$82&lt;&gt;"")*(G$3:G$82=G59)*(I$3:I$82="P"))+SUMPRODUCT((N$3:N$82&lt;&gt;"")*(G$3:G$82=G59)*(I$3:I$82="P"))+SUMPRODUCT((P$3:P$82="")*(O$3:O$82="")*(N$3:N$82="")*(M$3:M$82="P")*(G$3:G$82=G59)*(J$3:J$82&gt;J59)*(I$3:I$82="P"))+IF(H59="L5",SUMPRODUCT((P$3:P$82="")*(O$3:O$82="")*(N$3:N$82="")*(M$3:M$82="P")*(G$3:G$82=G59)*(J$3:J$82&lt;J59)*(H$3:H$82&lt;&gt;H59)*(I$3:I$82="P")),-1*SUMPRODUCT((P$3:P$82="")*(O$3:O$82="")*(N$3:N$82="")*(M$3:M$82="P")*(G$3:G$82=G59)*(J$3:J$82&gt;J59)*(H$3:H$82="L5")*(I$3:I$82="P")))+1,"")))))</f>
        <v/>
      </c>
      <c r="B59" s="1" t="str" cm="1">
        <f t="array" ref="B59">IF(P59&lt;&gt;"",SUMPRODUCT((P$3:P$82&lt;&gt;"")*(G$3:G$82=G59)*(J$3:J$82&gt;J59))+1,IF(O59&lt;&gt;"",SUMPRODUCT((O$3:O$82&lt;&gt;"")*(P$3:P$82="")*(G$3:G$82=G59)*(J$3:J$82&gt;J59))+SUMPRODUCT((P$3:P$82&lt;&gt;"")*(G$3:G$82=G59))+1,IF(N59&lt;&gt;"",SUMPRODUCT((N$3:N$82&lt;&gt;"")*(G$3:G$82=G59)*(J$3:J$82&gt;J59))+1,IF(M59="P",SUMPRODUCT((O$3:O$82&lt;&gt;"")*(P$3:P$82="")*(G$3:G$82=G59))+SUMPRODUCT((P$3:P$82&lt;&gt;"")*(G$3:G$82=G59))+SUMPRODUCT((N$3:N$82&lt;&gt;"")*(G$3:G$82=G59))+SUMPRODUCT((P$3:P$82="")*(O$3:O$82="")*(N$3:N$82="")*(M$3:M$82="P")*(G$3:G$82=G59)*(J$3:J$82&gt;J59))+IF(H59="L5",SUMPRODUCT((P$3:P$82="")*(O$3:O$82="")*(N$3:N$82="")*(M$3:M$82="P")*(G$3:G$82=G59)*(J$3:J$82&lt;J59)*(H$3:H$82&lt;&gt;H59)),-1*SUMPRODUCT((P$3:P$82="")*(O$3:O$82="")*(N$3:N$82="")*(M$3:M$82="P")*(G$3:G$82=G59)*(J$3:J$82&gt;J59)*(H$3:H$82="L5")))+1,""))))</f>
        <v/>
      </c>
      <c r="C59" s="35" t="s">
        <v>211</v>
      </c>
      <c r="D59" s="35" t="str">
        <f>IF(E59="","",VLOOKUP(E59,'Coaching Points'!A:B,2,0))</f>
        <v>AB</v>
      </c>
      <c r="E59" s="35" t="s">
        <v>56</v>
      </c>
      <c r="F59" s="34">
        <v>2008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65</v>
      </c>
      <c r="I59" s="40"/>
      <c r="J59" s="4">
        <f t="shared" si="5"/>
        <v>84.600099999999998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 t="shared" si="6"/>
        <v/>
      </c>
      <c r="R59" s="4">
        <f t="shared" si="7"/>
        <v>84.6</v>
      </c>
      <c r="S59" s="4">
        <f>IF(G59="17-21",LARGE(CHOOSE({1,2,3,4,5,6},T59,V59,Y59,AA59,AC59,AF59),2),IF(R59=X59,MAX(Y59,AA59,AC59,AF59),IF(R59=AE59,MAX(AF59,T59,V59,Y59),0)))</f>
        <v>13.67</v>
      </c>
      <c r="T59" s="32">
        <v>40.24</v>
      </c>
      <c r="U59" s="37">
        <v>0</v>
      </c>
      <c r="V59" s="33">
        <v>44.36</v>
      </c>
      <c r="W59" s="37">
        <v>8.3000000000000007</v>
      </c>
      <c r="X59" s="4">
        <f t="shared" si="8"/>
        <v>84.6</v>
      </c>
      <c r="Y59" s="33">
        <v>13.67</v>
      </c>
      <c r="Z59" s="37">
        <v>3.6</v>
      </c>
      <c r="AA59" s="32"/>
      <c r="AB59" s="37"/>
      <c r="AC59" s="33"/>
      <c r="AD59" s="37"/>
      <c r="AE59" s="4">
        <f t="shared" si="9"/>
        <v>0</v>
      </c>
      <c r="AF59" s="33"/>
      <c r="AG59" s="37"/>
    </row>
    <row r="60" spans="1:33" x14ac:dyDescent="0.2">
      <c r="A60" s="1" t="str" cm="1">
        <f t="array" ref="A60">IF(I60="","",IF(P60&lt;&gt;"",SUMPRODUCT((P$3:P$82&lt;&gt;"")*(G$3:G$82=G60)*(J$3:J$82&gt;J60)*(I$3:I$82="P"))+1,IF(O60&lt;&gt;"",SUMPRODUCT((O$3:O$82&lt;&gt;"")*(P$3:P$82="")*(G$3:G$82=G60)*(J$3:J$82&gt;J60)*(I$3:I$82="P"))+SUMPRODUCT((P$3:P$82&lt;&gt;"")*(G$3:G$82=G60)*(I$3:I$82="P"))+1,IF(N60&lt;&gt;"",SUMPRODUCT((N$3:N$82&lt;&gt;"")*(G$3:G$82=G60)*(J$3:J$82&gt;J60)*(I$3:I$82="P"))+1,IF(M60="P",SUMPRODUCT((O$3:O$82&lt;&gt;"")*(P$3:P$82="")*(G$3:G$82=G60)*(I$3:I$82="P"))+SUMPRODUCT((P$3:P$82&lt;&gt;"")*(G$3:G$82=G60)*(I$3:I$82="P"))+SUMPRODUCT((N$3:N$82&lt;&gt;"")*(G$3:G$82=G60)*(I$3:I$82="P"))+SUMPRODUCT((P$3:P$82="")*(O$3:O$82="")*(N$3:N$82="")*(M$3:M$82="P")*(G$3:G$82=G60)*(J$3:J$82&gt;J60)*(I$3:I$82="P"))+IF(H60="L5",SUMPRODUCT((P$3:P$82="")*(O$3:O$82="")*(N$3:N$82="")*(M$3:M$82="P")*(G$3:G$82=G60)*(J$3:J$82&lt;J60)*(H$3:H$82&lt;&gt;H60)*(I$3:I$82="P")),-1*SUMPRODUCT((P$3:P$82="")*(O$3:O$82="")*(N$3:N$82="")*(M$3:M$82="P")*(G$3:G$82=G60)*(J$3:J$82&gt;J60)*(H$3:H$82="L5")*(I$3:I$82="P")))+1,"")))))</f>
        <v/>
      </c>
      <c r="B60" s="1" t="str" cm="1">
        <f t="array" ref="B60">IF(P60&lt;&gt;"",SUMPRODUCT((P$3:P$82&lt;&gt;"")*(G$3:G$82=G60)*(J$3:J$82&gt;J60))+1,IF(O60&lt;&gt;"",SUMPRODUCT((O$3:O$82&lt;&gt;"")*(P$3:P$82="")*(G$3:G$82=G60)*(J$3:J$82&gt;J60))+SUMPRODUCT((P$3:P$82&lt;&gt;"")*(G$3:G$82=G60))+1,IF(N60&lt;&gt;"",SUMPRODUCT((N$3:N$82&lt;&gt;"")*(G$3:G$82=G60)*(J$3:J$82&gt;J60))+1,IF(M60="P",SUMPRODUCT((O$3:O$82&lt;&gt;"")*(P$3:P$82="")*(G$3:G$82=G60))+SUMPRODUCT((P$3:P$82&lt;&gt;"")*(G$3:G$82=G60))+SUMPRODUCT((N$3:N$82&lt;&gt;"")*(G$3:G$82=G60))+SUMPRODUCT((P$3:P$82="")*(O$3:O$82="")*(N$3:N$82="")*(M$3:M$82="P")*(G$3:G$82=G60)*(J$3:J$82&gt;J60))+IF(H60="L5",SUMPRODUCT((P$3:P$82="")*(O$3:O$82="")*(N$3:N$82="")*(M$3:M$82="P")*(G$3:G$82=G60)*(J$3:J$82&lt;J60)*(H$3:H$82&lt;&gt;H60)),-1*SUMPRODUCT((P$3:P$82="")*(O$3:O$82="")*(N$3:N$82="")*(M$3:M$82="P")*(G$3:G$82=G60)*(J$3:J$82&gt;J60)*(H$3:H$82="L5")))+1,""))))</f>
        <v/>
      </c>
      <c r="C60" s="35" t="s">
        <v>121</v>
      </c>
      <c r="D60" s="35" t="str">
        <f>IF(E60="","",VLOOKUP(E60,'Coaching Points'!A:B,2,0))</f>
        <v>QC</v>
      </c>
      <c r="E60" s="35" t="s">
        <v>57</v>
      </c>
      <c r="F60" s="34">
        <v>2008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65</v>
      </c>
      <c r="I60" s="40"/>
      <c r="J60" s="4">
        <f t="shared" si="5"/>
        <v>84.43010000000001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>P</v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 t="shared" si="6"/>
        <v/>
      </c>
      <c r="R60" s="4">
        <f t="shared" si="7"/>
        <v>84.43</v>
      </c>
      <c r="S60" s="4">
        <f>IF(G60="17-21",LARGE(CHOOSE({1,2,3,4,5,6},T60,V60,Y60,AA60,AC60,AF60),2),IF(R60=X60,MAX(Y60,AA60,AC60,AF60),IF(R60=AE60,MAX(AF60,T60,V60,Y60),0)))</f>
        <v>43.78</v>
      </c>
      <c r="T60" s="32">
        <v>39.31</v>
      </c>
      <c r="U60" s="37">
        <v>0</v>
      </c>
      <c r="V60" s="33">
        <v>45.12</v>
      </c>
      <c r="W60" s="37">
        <v>8.9</v>
      </c>
      <c r="X60" s="4">
        <f t="shared" si="8"/>
        <v>84.43</v>
      </c>
      <c r="Y60" s="33">
        <v>43.78</v>
      </c>
      <c r="Z60" s="37">
        <v>8.9</v>
      </c>
      <c r="AA60" s="32"/>
      <c r="AB60" s="37"/>
      <c r="AC60" s="33"/>
      <c r="AD60" s="37"/>
      <c r="AE60" s="4">
        <f t="shared" si="9"/>
        <v>0</v>
      </c>
      <c r="AF60" s="33"/>
      <c r="AG60" s="37"/>
    </row>
    <row r="61" spans="1:33" x14ac:dyDescent="0.2">
      <c r="A61" s="1" t="str" cm="1">
        <f t="array" ref="A61">IF(I61="","",IF(P61&lt;&gt;"",SUMPRODUCT((P$3:P$82&lt;&gt;"")*(G$3:G$82=G61)*(J$3:J$82&gt;J61)*(I$3:I$82="P"))+1,IF(O61&lt;&gt;"",SUMPRODUCT((O$3:O$82&lt;&gt;"")*(P$3:P$82="")*(G$3:G$82=G61)*(J$3:J$82&gt;J61)*(I$3:I$82="P"))+SUMPRODUCT((P$3:P$82&lt;&gt;"")*(G$3:G$82=G61)*(I$3:I$82="P"))+1,IF(N61&lt;&gt;"",SUMPRODUCT((N$3:N$82&lt;&gt;"")*(G$3:G$82=G61)*(J$3:J$82&gt;J61)*(I$3:I$82="P"))+1,IF(M61="P",SUMPRODUCT((O$3:O$82&lt;&gt;"")*(P$3:P$82="")*(G$3:G$82=G61)*(I$3:I$82="P"))+SUMPRODUCT((P$3:P$82&lt;&gt;"")*(G$3:G$82=G61)*(I$3:I$82="P"))+SUMPRODUCT((N$3:N$82&lt;&gt;"")*(G$3:G$82=G61)*(I$3:I$82="P"))+SUMPRODUCT((P$3:P$82="")*(O$3:O$82="")*(N$3:N$82="")*(M$3:M$82="P")*(G$3:G$82=G61)*(J$3:J$82&gt;J61)*(I$3:I$82="P"))+IF(H61="L5",SUMPRODUCT((P$3:P$82="")*(O$3:O$82="")*(N$3:N$82="")*(M$3:M$82="P")*(G$3:G$82=G61)*(J$3:J$82&lt;J61)*(H$3:H$82&lt;&gt;H61)*(I$3:I$82="P")),-1*SUMPRODUCT((P$3:P$82="")*(O$3:O$82="")*(N$3:N$82="")*(M$3:M$82="P")*(G$3:G$82=G61)*(J$3:J$82&gt;J61)*(H$3:H$82="L5")*(I$3:I$82="P")))+1,"")))))</f>
        <v/>
      </c>
      <c r="B61" s="1" t="str" cm="1">
        <f t="array" ref="B61">IF(P61&lt;&gt;"",SUMPRODUCT((P$3:P$82&lt;&gt;"")*(G$3:G$82=G61)*(J$3:J$82&gt;J61))+1,IF(O61&lt;&gt;"",SUMPRODUCT((O$3:O$82&lt;&gt;"")*(P$3:P$82="")*(G$3:G$82=G61)*(J$3:J$82&gt;J61))+SUMPRODUCT((P$3:P$82&lt;&gt;"")*(G$3:G$82=G61))+1,IF(N61&lt;&gt;"",SUMPRODUCT((N$3:N$82&lt;&gt;"")*(G$3:G$82=G61)*(J$3:J$82&gt;J61))+1,IF(M61="P",SUMPRODUCT((O$3:O$82&lt;&gt;"")*(P$3:P$82="")*(G$3:G$82=G61))+SUMPRODUCT((P$3:P$82&lt;&gt;"")*(G$3:G$82=G61))+SUMPRODUCT((N$3:N$82&lt;&gt;"")*(G$3:G$82=G61))+SUMPRODUCT((P$3:P$82="")*(O$3:O$82="")*(N$3:N$82="")*(M$3:M$82="P")*(G$3:G$82=G61)*(J$3:J$82&gt;J61))+IF(H61="L5",SUMPRODUCT((P$3:P$82="")*(O$3:O$82="")*(N$3:N$82="")*(M$3:M$82="P")*(G$3:G$82=G61)*(J$3:J$82&lt;J61)*(H$3:H$82&lt;&gt;H61)),-1*SUMPRODUCT((P$3:P$82="")*(O$3:O$82="")*(N$3:N$82="")*(M$3:M$82="P")*(G$3:G$82=G61)*(J$3:J$82&gt;J61)*(H$3:H$82="L5")))+1,""))))</f>
        <v/>
      </c>
      <c r="C61" s="35" t="s">
        <v>338</v>
      </c>
      <c r="D61" s="35" t="str">
        <f>IF(E61="","",VLOOKUP(E61,'Coaching Points'!A:B,2,0))</f>
        <v>NL</v>
      </c>
      <c r="E61" s="35" t="s">
        <v>91</v>
      </c>
      <c r="F61" s="34">
        <v>2008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64</v>
      </c>
      <c r="I61" s="40"/>
      <c r="J61" s="4">
        <f t="shared" si="5"/>
        <v>83.210000000000008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 t="shared" si="6"/>
        <v/>
      </c>
      <c r="R61" s="4">
        <f t="shared" si="7"/>
        <v>83.210000000000008</v>
      </c>
      <c r="S61" s="4">
        <f>IF(G61="17-21",LARGE(CHOOSE({1,2,3,4,5,6},T61,V61,Y61,AA61,AC61,AF61),2),IF(R61=X61,MAX(Y61,AA61,AC61,AF61),IF(R61=AE61,MAX(AF61,T61,V61,Y61),0)))</f>
        <v>43.67</v>
      </c>
      <c r="T61" s="32">
        <v>38.270000000000003</v>
      </c>
      <c r="U61" s="37">
        <v>0</v>
      </c>
      <c r="V61" s="33">
        <v>44.94</v>
      </c>
      <c r="W61" s="37">
        <v>7.2</v>
      </c>
      <c r="X61" s="4">
        <f t="shared" si="8"/>
        <v>83.210000000000008</v>
      </c>
      <c r="Y61" s="33">
        <v>43.67</v>
      </c>
      <c r="Z61" s="37">
        <v>7</v>
      </c>
      <c r="AA61" s="32"/>
      <c r="AB61" s="37"/>
      <c r="AC61" s="33"/>
      <c r="AD61" s="37"/>
      <c r="AE61" s="4">
        <f t="shared" si="9"/>
        <v>0</v>
      </c>
      <c r="AF61" s="33"/>
      <c r="AG61" s="37"/>
    </row>
    <row r="62" spans="1:33" x14ac:dyDescent="0.2">
      <c r="A62" s="1" t="str" cm="1">
        <f t="array" ref="A62">IF(I62="","",IF(P62&lt;&gt;"",SUMPRODUCT((P$3:P$82&lt;&gt;"")*(G$3:G$82=G62)*(J$3:J$82&gt;J62)*(I$3:I$82="P"))+1,IF(O62&lt;&gt;"",SUMPRODUCT((O$3:O$82&lt;&gt;"")*(P$3:P$82="")*(G$3:G$82=G62)*(J$3:J$82&gt;J62)*(I$3:I$82="P"))+SUMPRODUCT((P$3:P$82&lt;&gt;"")*(G$3:G$82=G62)*(I$3:I$82="P"))+1,IF(N62&lt;&gt;"",SUMPRODUCT((N$3:N$82&lt;&gt;"")*(G$3:G$82=G62)*(J$3:J$82&gt;J62)*(I$3:I$82="P"))+1,IF(M62="P",SUMPRODUCT((O$3:O$82&lt;&gt;"")*(P$3:P$82="")*(G$3:G$82=G62)*(I$3:I$82="P"))+SUMPRODUCT((P$3:P$82&lt;&gt;"")*(G$3:G$82=G62)*(I$3:I$82="P"))+SUMPRODUCT((N$3:N$82&lt;&gt;"")*(G$3:G$82=G62)*(I$3:I$82="P"))+SUMPRODUCT((P$3:P$82="")*(O$3:O$82="")*(N$3:N$82="")*(M$3:M$82="P")*(G$3:G$82=G62)*(J$3:J$82&gt;J62)*(I$3:I$82="P"))+IF(H62="L5",SUMPRODUCT((P$3:P$82="")*(O$3:O$82="")*(N$3:N$82="")*(M$3:M$82="P")*(G$3:G$82=G62)*(J$3:J$82&lt;J62)*(H$3:H$82&lt;&gt;H62)*(I$3:I$82="P")),-1*SUMPRODUCT((P$3:P$82="")*(O$3:O$82="")*(N$3:N$82="")*(M$3:M$82="P")*(G$3:G$82=G62)*(J$3:J$82&gt;J62)*(H$3:H$82="L5")*(I$3:I$82="P")))+1,"")))))</f>
        <v/>
      </c>
      <c r="B62" s="1" t="str" cm="1">
        <f t="array" ref="B62">IF(P62&lt;&gt;"",SUMPRODUCT((P$3:P$82&lt;&gt;"")*(G$3:G$82=G62)*(J$3:J$82&gt;J62))+1,IF(O62&lt;&gt;"",SUMPRODUCT((O$3:O$82&lt;&gt;"")*(P$3:P$82="")*(G$3:G$82=G62)*(J$3:J$82&gt;J62))+SUMPRODUCT((P$3:P$82&lt;&gt;"")*(G$3:G$82=G62))+1,IF(N62&lt;&gt;"",SUMPRODUCT((N$3:N$82&lt;&gt;"")*(G$3:G$82=G62)*(J$3:J$82&gt;J62))+1,IF(M62="P",SUMPRODUCT((O$3:O$82&lt;&gt;"")*(P$3:P$82="")*(G$3:G$82=G62))+SUMPRODUCT((P$3:P$82&lt;&gt;"")*(G$3:G$82=G62))+SUMPRODUCT((N$3:N$82&lt;&gt;"")*(G$3:G$82=G62))+SUMPRODUCT((P$3:P$82="")*(O$3:O$82="")*(N$3:N$82="")*(M$3:M$82="P")*(G$3:G$82=G62)*(J$3:J$82&gt;J62))+IF(H62="L5",SUMPRODUCT((P$3:P$82="")*(O$3:O$82="")*(N$3:N$82="")*(M$3:M$82="P")*(G$3:G$82=G62)*(J$3:J$82&lt;J62)*(H$3:H$82&lt;&gt;H62)),-1*SUMPRODUCT((P$3:P$82="")*(O$3:O$82="")*(N$3:N$82="")*(M$3:M$82="P")*(G$3:G$82=G62)*(J$3:J$82&gt;J62)*(H$3:H$82="L5")))+1,""))))</f>
        <v/>
      </c>
      <c r="C62" s="35" t="s">
        <v>210</v>
      </c>
      <c r="D62" s="35" t="str">
        <f>IF(E62="","",VLOOKUP(E62,'Coaching Points'!A:B,2,0))</f>
        <v>BC</v>
      </c>
      <c r="E62" s="35" t="s">
        <v>55</v>
      </c>
      <c r="F62" s="34">
        <v>2008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65</v>
      </c>
      <c r="I62" s="40"/>
      <c r="J62" s="4">
        <f t="shared" si="5"/>
        <v>82.890100000000004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 t="shared" si="6"/>
        <v/>
      </c>
      <c r="R62" s="4">
        <f t="shared" si="7"/>
        <v>82.89</v>
      </c>
      <c r="S62" s="4">
        <f>IF(G62="17-21",LARGE(CHOOSE({1,2,3,4,5,6},T62,V62,Y62,AA62,AC62,AF62),2),IF(R62=X62,MAX(Y62,AA62,AC62,AF62),IF(R62=AE62,MAX(AF62,T62,V62,Y62),0)))</f>
        <v>33</v>
      </c>
      <c r="T62" s="32">
        <v>39.299999999999997</v>
      </c>
      <c r="U62" s="37">
        <v>0</v>
      </c>
      <c r="V62" s="33">
        <v>43.59</v>
      </c>
      <c r="W62" s="37">
        <v>7.5</v>
      </c>
      <c r="X62" s="4">
        <f t="shared" si="8"/>
        <v>82.89</v>
      </c>
      <c r="Y62" s="33">
        <v>33</v>
      </c>
      <c r="Z62" s="37">
        <v>6.4</v>
      </c>
      <c r="AA62" s="32"/>
      <c r="AB62" s="37"/>
      <c r="AC62" s="33"/>
      <c r="AD62" s="37"/>
      <c r="AE62" s="4">
        <f t="shared" si="9"/>
        <v>0</v>
      </c>
      <c r="AF62" s="33"/>
      <c r="AG62" s="37"/>
    </row>
    <row r="63" spans="1:33" x14ac:dyDescent="0.2">
      <c r="A63" s="1" t="str" cm="1">
        <f t="array" ref="A63">IF(I63="","",IF(P63&lt;&gt;"",SUMPRODUCT((P$3:P$82&lt;&gt;"")*(G$3:G$82=G63)*(J$3:J$82&gt;J63)*(I$3:I$82="P"))+1,IF(O63&lt;&gt;"",SUMPRODUCT((O$3:O$82&lt;&gt;"")*(P$3:P$82="")*(G$3:G$82=G63)*(J$3:J$82&gt;J63)*(I$3:I$82="P"))+SUMPRODUCT((P$3:P$82&lt;&gt;"")*(G$3:G$82=G63)*(I$3:I$82="P"))+1,IF(N63&lt;&gt;"",SUMPRODUCT((N$3:N$82&lt;&gt;"")*(G$3:G$82=G63)*(J$3:J$82&gt;J63)*(I$3:I$82="P"))+1,IF(M63="P",SUMPRODUCT((O$3:O$82&lt;&gt;"")*(P$3:P$82="")*(G$3:G$82=G63)*(I$3:I$82="P"))+SUMPRODUCT((P$3:P$82&lt;&gt;"")*(G$3:G$82=G63)*(I$3:I$82="P"))+SUMPRODUCT((N$3:N$82&lt;&gt;"")*(G$3:G$82=G63)*(I$3:I$82="P"))+SUMPRODUCT((P$3:P$82="")*(O$3:O$82="")*(N$3:N$82="")*(M$3:M$82="P")*(G$3:G$82=G63)*(J$3:J$82&gt;J63)*(I$3:I$82="P"))+IF(H63="L5",SUMPRODUCT((P$3:P$82="")*(O$3:O$82="")*(N$3:N$82="")*(M$3:M$82="P")*(G$3:G$82=G63)*(J$3:J$82&lt;J63)*(H$3:H$82&lt;&gt;H63)*(I$3:I$82="P")),-1*SUMPRODUCT((P$3:P$82="")*(O$3:O$82="")*(N$3:N$82="")*(M$3:M$82="P")*(G$3:G$82=G63)*(J$3:J$82&gt;J63)*(H$3:H$82="L5")*(I$3:I$82="P")))+1,"")))))</f>
        <v/>
      </c>
      <c r="B63" s="1" t="str" cm="1">
        <f t="array" ref="B63">IF(P63&lt;&gt;"",SUMPRODUCT((P$3:P$82&lt;&gt;"")*(G$3:G$82=G63)*(J$3:J$82&gt;J63))+1,IF(O63&lt;&gt;"",SUMPRODUCT((O$3:O$82&lt;&gt;"")*(P$3:P$82="")*(G$3:G$82=G63)*(J$3:J$82&gt;J63))+SUMPRODUCT((P$3:P$82&lt;&gt;"")*(G$3:G$82=G63))+1,IF(N63&lt;&gt;"",SUMPRODUCT((N$3:N$82&lt;&gt;"")*(G$3:G$82=G63)*(J$3:J$82&gt;J63))+1,IF(M63="P",SUMPRODUCT((O$3:O$82&lt;&gt;"")*(P$3:P$82="")*(G$3:G$82=G63))+SUMPRODUCT((P$3:P$82&lt;&gt;"")*(G$3:G$82=G63))+SUMPRODUCT((N$3:N$82&lt;&gt;"")*(G$3:G$82=G63))+SUMPRODUCT((P$3:P$82="")*(O$3:O$82="")*(N$3:N$82="")*(M$3:M$82="P")*(G$3:G$82=G63)*(J$3:J$82&gt;J63))+IF(H63="L5",SUMPRODUCT((P$3:P$82="")*(O$3:O$82="")*(N$3:N$82="")*(M$3:M$82="P")*(G$3:G$82=G63)*(J$3:J$82&lt;J63)*(H$3:H$82&lt;&gt;H63)),-1*SUMPRODUCT((P$3:P$82="")*(O$3:O$82="")*(N$3:N$82="")*(M$3:M$82="P")*(G$3:G$82=G63)*(J$3:J$82&gt;J63)*(H$3:H$82="L5")))+1,""))))</f>
        <v/>
      </c>
      <c r="C63" s="35" t="s">
        <v>214</v>
      </c>
      <c r="D63" s="35" t="str">
        <f>IF(E63="","",VLOOKUP(E63,'Coaching Points'!A:B,2,0))</f>
        <v>AB</v>
      </c>
      <c r="E63" s="35" t="s">
        <v>39</v>
      </c>
      <c r="F63" s="34">
        <v>2009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64</v>
      </c>
      <c r="I63" s="40"/>
      <c r="J63" s="4">
        <f t="shared" si="5"/>
        <v>82.56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>P</v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 t="shared" si="6"/>
        <v/>
      </c>
      <c r="R63" s="4">
        <f t="shared" si="7"/>
        <v>82.56</v>
      </c>
      <c r="S63" s="4">
        <f>IF(G63="17-21",LARGE(CHOOSE({1,2,3,4,5,6},T63,V63,Y63,AA63,AC63,AF63),2),IF(R63=X63,MAX(Y63,AA63,AC63,AF63),IF(R63=AE63,MAX(AF63,T63,V63,Y63),0)))</f>
        <v>45.76</v>
      </c>
      <c r="T63" s="32">
        <v>37.83</v>
      </c>
      <c r="U63" s="37">
        <v>0</v>
      </c>
      <c r="V63" s="33">
        <v>44.73</v>
      </c>
      <c r="W63" s="37">
        <v>9.4</v>
      </c>
      <c r="X63" s="4">
        <f t="shared" si="8"/>
        <v>82.56</v>
      </c>
      <c r="Y63" s="33">
        <v>45.76</v>
      </c>
      <c r="Z63" s="37">
        <v>9.4</v>
      </c>
      <c r="AA63" s="32"/>
      <c r="AB63" s="37"/>
      <c r="AC63" s="33"/>
      <c r="AD63" s="37"/>
      <c r="AE63" s="4">
        <f t="shared" si="9"/>
        <v>0</v>
      </c>
      <c r="AF63" s="33"/>
      <c r="AG63" s="37"/>
    </row>
    <row r="64" spans="1:33" x14ac:dyDescent="0.2">
      <c r="A64" s="1" t="str" cm="1">
        <f t="array" ref="A64">IF(I64="","",IF(P64&lt;&gt;"",SUMPRODUCT((P$3:P$82&lt;&gt;"")*(G$3:G$82=G64)*(J$3:J$82&gt;J64)*(I$3:I$82="P"))+1,IF(O64&lt;&gt;"",SUMPRODUCT((O$3:O$82&lt;&gt;"")*(P$3:P$82="")*(G$3:G$82=G64)*(J$3:J$82&gt;J64)*(I$3:I$82="P"))+SUMPRODUCT((P$3:P$82&lt;&gt;"")*(G$3:G$82=G64)*(I$3:I$82="P"))+1,IF(N64&lt;&gt;"",SUMPRODUCT((N$3:N$82&lt;&gt;"")*(G$3:G$82=G64)*(J$3:J$82&gt;J64)*(I$3:I$82="P"))+1,IF(M64="P",SUMPRODUCT((O$3:O$82&lt;&gt;"")*(P$3:P$82="")*(G$3:G$82=G64)*(I$3:I$82="P"))+SUMPRODUCT((P$3:P$82&lt;&gt;"")*(G$3:G$82=G64)*(I$3:I$82="P"))+SUMPRODUCT((N$3:N$82&lt;&gt;"")*(G$3:G$82=G64)*(I$3:I$82="P"))+SUMPRODUCT((P$3:P$82="")*(O$3:O$82="")*(N$3:N$82="")*(M$3:M$82="P")*(G$3:G$82=G64)*(J$3:J$82&gt;J64)*(I$3:I$82="P"))+IF(H64="L5",SUMPRODUCT((P$3:P$82="")*(O$3:O$82="")*(N$3:N$82="")*(M$3:M$82="P")*(G$3:G$82=G64)*(J$3:J$82&lt;J64)*(H$3:H$82&lt;&gt;H64)*(I$3:I$82="P")),-1*SUMPRODUCT((P$3:P$82="")*(O$3:O$82="")*(N$3:N$82="")*(M$3:M$82="P")*(G$3:G$82=G64)*(J$3:J$82&gt;J64)*(H$3:H$82="L5")*(I$3:I$82="P")))+1,"")))))</f>
        <v/>
      </c>
      <c r="B64" s="1" t="str" cm="1">
        <f t="array" ref="B64">IF(P64&lt;&gt;"",SUMPRODUCT((P$3:P$82&lt;&gt;"")*(G$3:G$82=G64)*(J$3:J$82&gt;J64))+1,IF(O64&lt;&gt;"",SUMPRODUCT((O$3:O$82&lt;&gt;"")*(P$3:P$82="")*(G$3:G$82=G64)*(J$3:J$82&gt;J64))+SUMPRODUCT((P$3:P$82&lt;&gt;"")*(G$3:G$82=G64))+1,IF(N64&lt;&gt;"",SUMPRODUCT((N$3:N$82&lt;&gt;"")*(G$3:G$82=G64)*(J$3:J$82&gt;J64))+1,IF(M64="P",SUMPRODUCT((O$3:O$82&lt;&gt;"")*(P$3:P$82="")*(G$3:G$82=G64))+SUMPRODUCT((P$3:P$82&lt;&gt;"")*(G$3:G$82=G64))+SUMPRODUCT((N$3:N$82&lt;&gt;"")*(G$3:G$82=G64))+SUMPRODUCT((P$3:P$82="")*(O$3:O$82="")*(N$3:N$82="")*(M$3:M$82="P")*(G$3:G$82=G64)*(J$3:J$82&gt;J64))+IF(H64="L5",SUMPRODUCT((P$3:P$82="")*(O$3:O$82="")*(N$3:N$82="")*(M$3:M$82="P")*(G$3:G$82=G64)*(J$3:J$82&lt;J64)*(H$3:H$82&lt;&gt;H64)),-1*SUMPRODUCT((P$3:P$82="")*(O$3:O$82="")*(N$3:N$82="")*(M$3:M$82="P")*(G$3:G$82=G64)*(J$3:J$82&gt;J64)*(H$3:H$82="L5")))+1,""))))</f>
        <v/>
      </c>
      <c r="C64" s="35" t="s">
        <v>271</v>
      </c>
      <c r="D64" s="35" t="str">
        <f>IF(E64="","",VLOOKUP(E64,'Coaching Points'!A:B,2,0))</f>
        <v>SK</v>
      </c>
      <c r="E64" s="35" t="s">
        <v>329</v>
      </c>
      <c r="F64" s="34">
        <v>2008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64</v>
      </c>
      <c r="I64" s="40"/>
      <c r="J64" s="4">
        <f t="shared" si="5"/>
        <v>81.47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 t="shared" si="6"/>
        <v/>
      </c>
      <c r="R64" s="4">
        <f t="shared" si="7"/>
        <v>81.47</v>
      </c>
      <c r="S64" s="4">
        <f>IF(G64="17-21",LARGE(CHOOSE({1,2,3,4,5,6},T64,V64,Y64,AA64,AC64,AF64),2),IF(R64=X64,MAX(Y64,AA64,AC64,AF64),IF(R64=AE64,MAX(AF64,T64,V64,Y64),0)))</f>
        <v>44.1</v>
      </c>
      <c r="T64" s="32">
        <v>37.54</v>
      </c>
      <c r="U64" s="37">
        <v>0</v>
      </c>
      <c r="V64" s="33">
        <v>43.93</v>
      </c>
      <c r="W64" s="37">
        <v>8.5</v>
      </c>
      <c r="X64" s="4">
        <f t="shared" si="8"/>
        <v>81.47</v>
      </c>
      <c r="Y64" s="33">
        <v>44.1</v>
      </c>
      <c r="Z64" s="37">
        <v>8.5</v>
      </c>
      <c r="AA64" s="32"/>
      <c r="AB64" s="37"/>
      <c r="AC64" s="33"/>
      <c r="AD64" s="37"/>
      <c r="AE64" s="4">
        <f t="shared" si="9"/>
        <v>0</v>
      </c>
      <c r="AF64" s="33"/>
      <c r="AG64" s="37"/>
    </row>
    <row r="65" spans="1:33" x14ac:dyDescent="0.2">
      <c r="A65" s="1" t="str" cm="1">
        <f t="array" ref="A65">IF(I65="","",IF(P65&lt;&gt;"",SUMPRODUCT((P$3:P$82&lt;&gt;"")*(G$3:G$82=G65)*(J$3:J$82&gt;J65)*(I$3:I$82="P"))+1,IF(O65&lt;&gt;"",SUMPRODUCT((O$3:O$82&lt;&gt;"")*(P$3:P$82="")*(G$3:G$82=G65)*(J$3:J$82&gt;J65)*(I$3:I$82="P"))+SUMPRODUCT((P$3:P$82&lt;&gt;"")*(G$3:G$82=G65)*(I$3:I$82="P"))+1,IF(N65&lt;&gt;"",SUMPRODUCT((N$3:N$82&lt;&gt;"")*(G$3:G$82=G65)*(J$3:J$82&gt;J65)*(I$3:I$82="P"))+1,IF(M65="P",SUMPRODUCT((O$3:O$82&lt;&gt;"")*(P$3:P$82="")*(G$3:G$82=G65)*(I$3:I$82="P"))+SUMPRODUCT((P$3:P$82&lt;&gt;"")*(G$3:G$82=G65)*(I$3:I$82="P"))+SUMPRODUCT((N$3:N$82&lt;&gt;"")*(G$3:G$82=G65)*(I$3:I$82="P"))+SUMPRODUCT((P$3:P$82="")*(O$3:O$82="")*(N$3:N$82="")*(M$3:M$82="P")*(G$3:G$82=G65)*(J$3:J$82&gt;J65)*(I$3:I$82="P"))+IF(H65="L5",SUMPRODUCT((P$3:P$82="")*(O$3:O$82="")*(N$3:N$82="")*(M$3:M$82="P")*(G$3:G$82=G65)*(J$3:J$82&lt;J65)*(H$3:H$82&lt;&gt;H65)*(I$3:I$82="P")),-1*SUMPRODUCT((P$3:P$82="")*(O$3:O$82="")*(N$3:N$82="")*(M$3:M$82="P")*(G$3:G$82=G65)*(J$3:J$82&gt;J65)*(H$3:H$82="L5")*(I$3:I$82="P")))+1,"")))))</f>
        <v/>
      </c>
      <c r="B65" s="1" t="str" cm="1">
        <f t="array" ref="B65">IF(P65&lt;&gt;"",SUMPRODUCT((P$3:P$82&lt;&gt;"")*(G$3:G$82=G65)*(J$3:J$82&gt;J65))+1,IF(O65&lt;&gt;"",SUMPRODUCT((O$3:O$82&lt;&gt;"")*(P$3:P$82="")*(G$3:G$82=G65)*(J$3:J$82&gt;J65))+SUMPRODUCT((P$3:P$82&lt;&gt;"")*(G$3:G$82=G65))+1,IF(N65&lt;&gt;"",SUMPRODUCT((N$3:N$82&lt;&gt;"")*(G$3:G$82=G65)*(J$3:J$82&gt;J65))+1,IF(M65="P",SUMPRODUCT((O$3:O$82&lt;&gt;"")*(P$3:P$82="")*(G$3:G$82=G65))+SUMPRODUCT((P$3:P$82&lt;&gt;"")*(G$3:G$82=G65))+SUMPRODUCT((N$3:N$82&lt;&gt;"")*(G$3:G$82=G65))+SUMPRODUCT((P$3:P$82="")*(O$3:O$82="")*(N$3:N$82="")*(M$3:M$82="P")*(G$3:G$82=G65)*(J$3:J$82&gt;J65))+IF(H65="L5",SUMPRODUCT((P$3:P$82="")*(O$3:O$82="")*(N$3:N$82="")*(M$3:M$82="P")*(G$3:G$82=G65)*(J$3:J$82&lt;J65)*(H$3:H$82&lt;&gt;H65)),-1*SUMPRODUCT((P$3:P$82="")*(O$3:O$82="")*(N$3:N$82="")*(M$3:M$82="P")*(G$3:G$82=G65)*(J$3:J$82&gt;J65)*(H$3:H$82="L5")))+1,""))))</f>
        <v/>
      </c>
      <c r="C65" s="35" t="s">
        <v>337</v>
      </c>
      <c r="D65" s="35" t="str">
        <f>IF(E65="","",VLOOKUP(E65,'Coaching Points'!A:B,2,0))</f>
        <v>ON</v>
      </c>
      <c r="E65" s="35" t="s">
        <v>219</v>
      </c>
      <c r="F65" s="34">
        <v>2009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64</v>
      </c>
      <c r="I65" s="40"/>
      <c r="J65" s="4">
        <f t="shared" si="5"/>
        <v>77.830000000000013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 t="shared" si="6"/>
        <v/>
      </c>
      <c r="R65" s="4">
        <f t="shared" si="7"/>
        <v>77.830000000000013</v>
      </c>
      <c r="S65" s="4">
        <f>IF(G65="17-21",LARGE(CHOOSE({1,2,3,4,5,6},T65,V65,Y65,AA65,AC65,AF65),2),IF(R65=X65,MAX(Y65,AA65,AC65,AF65),IF(R65=AE65,MAX(AF65,T65,V65,Y65),0)))</f>
        <v>45.51</v>
      </c>
      <c r="T65" s="32">
        <v>33.840000000000003</v>
      </c>
      <c r="U65" s="37">
        <v>0</v>
      </c>
      <c r="V65" s="33">
        <v>43.99</v>
      </c>
      <c r="W65" s="37">
        <v>7.6</v>
      </c>
      <c r="X65" s="4">
        <f t="shared" si="8"/>
        <v>77.830000000000013</v>
      </c>
      <c r="Y65" s="33">
        <v>45.51</v>
      </c>
      <c r="Z65" s="37">
        <v>7.6</v>
      </c>
      <c r="AA65" s="32"/>
      <c r="AB65" s="37"/>
      <c r="AC65" s="33"/>
      <c r="AD65" s="37"/>
      <c r="AE65" s="4">
        <f t="shared" si="9"/>
        <v>0</v>
      </c>
      <c r="AF65" s="33"/>
      <c r="AG65" s="37"/>
    </row>
    <row r="66" spans="1:33" x14ac:dyDescent="0.2">
      <c r="A66" s="1" t="str" cm="1">
        <f t="array" ref="A66">IF(I66="","",IF(P66&lt;&gt;"",SUMPRODUCT((P$3:P$82&lt;&gt;"")*(G$3:G$82=G66)*(J$3:J$82&gt;J66)*(I$3:I$82="P"))+1,IF(O66&lt;&gt;"",SUMPRODUCT((O$3:O$82&lt;&gt;"")*(P$3:P$82="")*(G$3:G$82=G66)*(J$3:J$82&gt;J66)*(I$3:I$82="P"))+SUMPRODUCT((P$3:P$82&lt;&gt;"")*(G$3:G$82=G66)*(I$3:I$82="P"))+1,IF(N66&lt;&gt;"",SUMPRODUCT((N$3:N$82&lt;&gt;"")*(G$3:G$82=G66)*(J$3:J$82&gt;J66)*(I$3:I$82="P"))+1,IF(M66="P",SUMPRODUCT((O$3:O$82&lt;&gt;"")*(P$3:P$82="")*(G$3:G$82=G66)*(I$3:I$82="P"))+SUMPRODUCT((P$3:P$82&lt;&gt;"")*(G$3:G$82=G66)*(I$3:I$82="P"))+SUMPRODUCT((N$3:N$82&lt;&gt;"")*(G$3:G$82=G66)*(I$3:I$82="P"))+SUMPRODUCT((P$3:P$82="")*(O$3:O$82="")*(N$3:N$82="")*(M$3:M$82="P")*(G$3:G$82=G66)*(J$3:J$82&gt;J66)*(I$3:I$82="P"))+IF(H66="L5",SUMPRODUCT((P$3:P$82="")*(O$3:O$82="")*(N$3:N$82="")*(M$3:M$82="P")*(G$3:G$82=G66)*(J$3:J$82&lt;J66)*(H$3:H$82&lt;&gt;H66)*(I$3:I$82="P")),-1*SUMPRODUCT((P$3:P$82="")*(O$3:O$82="")*(N$3:N$82="")*(M$3:M$82="P")*(G$3:G$82=G66)*(J$3:J$82&gt;J66)*(H$3:H$82="L5")*(I$3:I$82="P")))+1,"")))))</f>
        <v/>
      </c>
      <c r="B66" s="1" t="str" cm="1">
        <f t="array" ref="B66">IF(P66&lt;&gt;"",SUMPRODUCT((P$3:P$82&lt;&gt;"")*(G$3:G$82=G66)*(J$3:J$82&gt;J66))+1,IF(O66&lt;&gt;"",SUMPRODUCT((O$3:O$82&lt;&gt;"")*(P$3:P$82="")*(G$3:G$82=G66)*(J$3:J$82&gt;J66))+SUMPRODUCT((P$3:P$82&lt;&gt;"")*(G$3:G$82=G66))+1,IF(N66&lt;&gt;"",SUMPRODUCT((N$3:N$82&lt;&gt;"")*(G$3:G$82=G66)*(J$3:J$82&gt;J66))+1,IF(M66="P",SUMPRODUCT((O$3:O$82&lt;&gt;"")*(P$3:P$82="")*(G$3:G$82=G66))+SUMPRODUCT((P$3:P$82&lt;&gt;"")*(G$3:G$82=G66))+SUMPRODUCT((N$3:N$82&lt;&gt;"")*(G$3:G$82=G66))+SUMPRODUCT((P$3:P$82="")*(O$3:O$82="")*(N$3:N$82="")*(M$3:M$82="P")*(G$3:G$82=G66)*(J$3:J$82&gt;J66))+IF(H66="L5",SUMPRODUCT((P$3:P$82="")*(O$3:O$82="")*(N$3:N$82="")*(M$3:M$82="P")*(G$3:G$82=G66)*(J$3:J$82&lt;J66)*(H$3:H$82&lt;&gt;H66)),-1*SUMPRODUCT((P$3:P$82="")*(O$3:O$82="")*(N$3:N$82="")*(M$3:M$82="P")*(G$3:G$82=G66)*(J$3:J$82&gt;J66)*(H$3:H$82="L5")))+1,""))))</f>
        <v/>
      </c>
      <c r="C66" s="35" t="s">
        <v>230</v>
      </c>
      <c r="D66" s="35" t="str">
        <f>IF(E66="","",VLOOKUP(E66,'Coaching Points'!A:B,2,0))</f>
        <v>AB</v>
      </c>
      <c r="E66" s="35" t="s">
        <v>28</v>
      </c>
      <c r="F66" s="34">
        <v>2009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65</v>
      </c>
      <c r="I66" s="40"/>
      <c r="J66" s="4">
        <f t="shared" si="5"/>
        <v>71.120100000000008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>P</v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 t="shared" si="6"/>
        <v/>
      </c>
      <c r="R66" s="4">
        <f t="shared" si="7"/>
        <v>71.12</v>
      </c>
      <c r="S66" s="4">
        <f>IF(G66="17-21",LARGE(CHOOSE({1,2,3,4,5,6},T66,V66,Y66,AA66,AC66,AF66),2),IF(R66=X66,MAX(Y66,AA66,AC66,AF66),IF(R66=AE66,MAX(AF66,T66,V66,Y66),0)))</f>
        <v>43.17</v>
      </c>
      <c r="T66" s="32">
        <v>25.63</v>
      </c>
      <c r="U66" s="37">
        <v>0</v>
      </c>
      <c r="V66" s="33">
        <v>45.49</v>
      </c>
      <c r="W66" s="37">
        <v>9</v>
      </c>
      <c r="X66" s="4">
        <f t="shared" si="8"/>
        <v>71.12</v>
      </c>
      <c r="Y66" s="33">
        <v>43.17</v>
      </c>
      <c r="Z66" s="37">
        <v>7.8</v>
      </c>
      <c r="AA66" s="32"/>
      <c r="AB66" s="37"/>
      <c r="AC66" s="33"/>
      <c r="AD66" s="37"/>
      <c r="AE66" s="4">
        <f t="shared" si="9"/>
        <v>0</v>
      </c>
      <c r="AF66" s="33"/>
      <c r="AG66" s="37"/>
    </row>
    <row r="67" spans="1:33" x14ac:dyDescent="0.2">
      <c r="A67" s="1" t="str" cm="1">
        <f t="array" ref="A67">IF(I67="","",IF(P67&lt;&gt;"",SUMPRODUCT((P$3:P$82&lt;&gt;"")*(G$3:G$82=G67)*(J$3:J$82&gt;J67)*(I$3:I$82="P"))+1,IF(O67&lt;&gt;"",SUMPRODUCT((O$3:O$82&lt;&gt;"")*(P$3:P$82="")*(G$3:G$82=G67)*(J$3:J$82&gt;J67)*(I$3:I$82="P"))+SUMPRODUCT((P$3:P$82&lt;&gt;"")*(G$3:G$82=G67)*(I$3:I$82="P"))+1,IF(N67&lt;&gt;"",SUMPRODUCT((N$3:N$82&lt;&gt;"")*(G$3:G$82=G67)*(J$3:J$82&gt;J67)*(I$3:I$82="P"))+1,IF(M67="P",SUMPRODUCT((O$3:O$82&lt;&gt;"")*(P$3:P$82="")*(G$3:G$82=G67)*(I$3:I$82="P"))+SUMPRODUCT((P$3:P$82&lt;&gt;"")*(G$3:G$82=G67)*(I$3:I$82="P"))+SUMPRODUCT((N$3:N$82&lt;&gt;"")*(G$3:G$82=G67)*(I$3:I$82="P"))+SUMPRODUCT((P$3:P$82="")*(O$3:O$82="")*(N$3:N$82="")*(M$3:M$82="P")*(G$3:G$82=G67)*(J$3:J$82&gt;J67)*(I$3:I$82="P"))+IF(H67="L5",SUMPRODUCT((P$3:P$82="")*(O$3:O$82="")*(N$3:N$82="")*(M$3:M$82="P")*(G$3:G$82=G67)*(J$3:J$82&lt;J67)*(H$3:H$82&lt;&gt;H67)*(I$3:I$82="P")),-1*SUMPRODUCT((P$3:P$82="")*(O$3:O$82="")*(N$3:N$82="")*(M$3:M$82="P")*(G$3:G$82=G67)*(J$3:J$82&gt;J67)*(H$3:H$82="L5")*(I$3:I$82="P")))+1,"")))))</f>
        <v/>
      </c>
      <c r="B67" s="1" t="str" cm="1">
        <f t="array" ref="B67">IF(P67&lt;&gt;"",SUMPRODUCT((P$3:P$82&lt;&gt;"")*(G$3:G$82=G67)*(J$3:J$82&gt;J67))+1,IF(O67&lt;&gt;"",SUMPRODUCT((O$3:O$82&lt;&gt;"")*(P$3:P$82="")*(G$3:G$82=G67)*(J$3:J$82&gt;J67))+SUMPRODUCT((P$3:P$82&lt;&gt;"")*(G$3:G$82=G67))+1,IF(N67&lt;&gt;"",SUMPRODUCT((N$3:N$82&lt;&gt;"")*(G$3:G$82=G67)*(J$3:J$82&gt;J67))+1,IF(M67="P",SUMPRODUCT((O$3:O$82&lt;&gt;"")*(P$3:P$82="")*(G$3:G$82=G67))+SUMPRODUCT((P$3:P$82&lt;&gt;"")*(G$3:G$82=G67))+SUMPRODUCT((N$3:N$82&lt;&gt;"")*(G$3:G$82=G67))+SUMPRODUCT((P$3:P$82="")*(O$3:O$82="")*(N$3:N$82="")*(M$3:M$82="P")*(G$3:G$82=G67)*(J$3:J$82&gt;J67))+IF(H67="L5",SUMPRODUCT((P$3:P$82="")*(O$3:O$82="")*(N$3:N$82="")*(M$3:M$82="P")*(G$3:G$82=G67)*(J$3:J$82&lt;J67)*(H$3:H$82&lt;&gt;H67)),-1*SUMPRODUCT((P$3:P$82="")*(O$3:O$82="")*(N$3:N$82="")*(M$3:M$82="P")*(G$3:G$82=G67)*(J$3:J$82&gt;J67)*(H$3:H$82="L5")))+1,""))))</f>
        <v/>
      </c>
      <c r="C67" s="35" t="s">
        <v>275</v>
      </c>
      <c r="D67" s="35" t="str">
        <f>IF(E67="","",VLOOKUP(E67,'Coaching Points'!A:B,2,0))</f>
        <v>NL</v>
      </c>
      <c r="E67" s="35" t="s">
        <v>248</v>
      </c>
      <c r="F67" s="34">
        <v>2009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64</v>
      </c>
      <c r="I67" s="40"/>
      <c r="J67" s="4">
        <f t="shared" ref="J67:J81" si="10">R67+IF(OR(H67="Junior",H67="Senior"),0.0002,IF(OR(H67="L7",H67="L6"),0.0001,0))+IF(G67="17-21",MAX(AA67,AC67,AF67),AE67)*0.0000001</f>
        <v>68.509999999999991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 t="shared" ref="Q67:Q81" si="11">IF(A67&lt;5,IF(_xlfn.MAXIFS(A:A,G:G,G67)&gt;3,5-A67,_xlfn.MAXIFS(A:A,G:G,G67)+1-A67),"")</f>
        <v/>
      </c>
      <c r="R67" s="4">
        <f t="shared" ref="R67:R81" si="12">IF(G67="17-21",MAX(T67,V67,Y67,AA67,AC67,AF67),MAX(X67,AE67))</f>
        <v>68.509999999999991</v>
      </c>
      <c r="S67" s="4">
        <f>IF(G67="17-21",LARGE(CHOOSE({1,2,3,4,5,6},T67,V67,Y67,AA67,AC67,AF67),2),IF(R67=X67,MAX(Y67,AA67,AC67,AF67),IF(R67=AE67,MAX(AF67,T67,V67,Y67),0)))</f>
        <v>40.07</v>
      </c>
      <c r="T67" s="32">
        <v>29.79</v>
      </c>
      <c r="U67" s="37">
        <v>0</v>
      </c>
      <c r="V67" s="33">
        <v>38.72</v>
      </c>
      <c r="W67" s="37">
        <v>4.3</v>
      </c>
      <c r="X67" s="4">
        <f t="shared" ref="X67:X81" si="13">IF(H67="Senior",MAX(T67,V67),T67+V67)</f>
        <v>68.509999999999991</v>
      </c>
      <c r="Y67" s="33">
        <v>40.07</v>
      </c>
      <c r="Z67" s="37">
        <v>4.3</v>
      </c>
      <c r="AA67" s="32"/>
      <c r="AB67" s="37"/>
      <c r="AC67" s="33"/>
      <c r="AD67" s="37"/>
      <c r="AE67" s="4">
        <f t="shared" ref="AE67:AE81" si="14">IF(H67="Senior",MAX(AA67,AC67),AA67+AC67)</f>
        <v>0</v>
      </c>
      <c r="AF67" s="33"/>
      <c r="AG67" s="37"/>
    </row>
    <row r="68" spans="1:33" x14ac:dyDescent="0.2">
      <c r="A68" s="1" t="str" cm="1">
        <f t="array" ref="A68">IF(I68="","",IF(P68&lt;&gt;"",SUMPRODUCT((P$3:P$82&lt;&gt;"")*(G$3:G$82=G68)*(J$3:J$82&gt;J68)*(I$3:I$82="P"))+1,IF(O68&lt;&gt;"",SUMPRODUCT((O$3:O$82&lt;&gt;"")*(P$3:P$82="")*(G$3:G$82=G68)*(J$3:J$82&gt;J68)*(I$3:I$82="P"))+SUMPRODUCT((P$3:P$82&lt;&gt;"")*(G$3:G$82=G68)*(I$3:I$82="P"))+1,IF(N68&lt;&gt;"",SUMPRODUCT((N$3:N$82&lt;&gt;"")*(G$3:G$82=G68)*(J$3:J$82&gt;J68)*(I$3:I$82="P"))+1,IF(M68="P",SUMPRODUCT((O$3:O$82&lt;&gt;"")*(P$3:P$82="")*(G$3:G$82=G68)*(I$3:I$82="P"))+SUMPRODUCT((P$3:P$82&lt;&gt;"")*(G$3:G$82=G68)*(I$3:I$82="P"))+SUMPRODUCT((N$3:N$82&lt;&gt;"")*(G$3:G$82=G68)*(I$3:I$82="P"))+SUMPRODUCT((P$3:P$82="")*(O$3:O$82="")*(N$3:N$82="")*(M$3:M$82="P")*(G$3:G$82=G68)*(J$3:J$82&gt;J68)*(I$3:I$82="P"))+IF(H68="L5",SUMPRODUCT((P$3:P$82="")*(O$3:O$82="")*(N$3:N$82="")*(M$3:M$82="P")*(G$3:G$82=G68)*(J$3:J$82&lt;J68)*(H$3:H$82&lt;&gt;H68)*(I$3:I$82="P")),-1*SUMPRODUCT((P$3:P$82="")*(O$3:O$82="")*(N$3:N$82="")*(M$3:M$82="P")*(G$3:G$82=G68)*(J$3:J$82&gt;J68)*(H$3:H$82="L5")*(I$3:I$82="P")))+1,"")))))</f>
        <v/>
      </c>
      <c r="B68" s="1" t="str" cm="1">
        <f t="array" ref="B68">IF(P68&lt;&gt;"",SUMPRODUCT((P$3:P$82&lt;&gt;"")*(G$3:G$82=G68)*(J$3:J$82&gt;J68))+1,IF(O68&lt;&gt;"",SUMPRODUCT((O$3:O$82&lt;&gt;"")*(P$3:P$82="")*(G$3:G$82=G68)*(J$3:J$82&gt;J68))+SUMPRODUCT((P$3:P$82&lt;&gt;"")*(G$3:G$82=G68))+1,IF(N68&lt;&gt;"",SUMPRODUCT((N$3:N$82&lt;&gt;"")*(G$3:G$82=G68)*(J$3:J$82&gt;J68))+1,IF(M68="P",SUMPRODUCT((O$3:O$82&lt;&gt;"")*(P$3:P$82="")*(G$3:G$82=G68))+SUMPRODUCT((P$3:P$82&lt;&gt;"")*(G$3:G$82=G68))+SUMPRODUCT((N$3:N$82&lt;&gt;"")*(G$3:G$82=G68))+SUMPRODUCT((P$3:P$82="")*(O$3:O$82="")*(N$3:N$82="")*(M$3:M$82="P")*(G$3:G$82=G68)*(J$3:J$82&gt;J68))+IF(H68="L5",SUMPRODUCT((P$3:P$82="")*(O$3:O$82="")*(N$3:N$82="")*(M$3:M$82="P")*(G$3:G$82=G68)*(J$3:J$82&lt;J68)*(H$3:H$82&lt;&gt;H68)),-1*SUMPRODUCT((P$3:P$82="")*(O$3:O$82="")*(N$3:N$82="")*(M$3:M$82="P")*(G$3:G$82=G68)*(J$3:J$82&gt;J68)*(H$3:H$82="L5")))+1,""))))</f>
        <v/>
      </c>
      <c r="C68" s="35" t="s">
        <v>101</v>
      </c>
      <c r="D68" s="35" t="str">
        <f>IF(E68="","",VLOOKUP(E68,'Coaching Points'!A:B,2,0))</f>
        <v>AB</v>
      </c>
      <c r="E68" s="35" t="s">
        <v>62</v>
      </c>
      <c r="F68" s="34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63</v>
      </c>
      <c r="I68" s="40"/>
      <c r="J68" s="4">
        <f t="shared" si="10"/>
        <v>62.240199999999994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 t="shared" si="11"/>
        <v/>
      </c>
      <c r="R68" s="4">
        <f t="shared" si="12"/>
        <v>62.239999999999995</v>
      </c>
      <c r="S68" s="4">
        <f>IF(G68="17-21",LARGE(CHOOSE({1,2,3,4,5,6},T68,V68,Y68,AA68,AC68,AF68),2),IF(R68=X68,MAX(Y68,AA68,AC68,AF68),IF(R68=AE68,MAX(AF68,T68,V68,Y68),0)))</f>
        <v>46.11</v>
      </c>
      <c r="T68" s="32">
        <v>39.549999999999997</v>
      </c>
      <c r="U68" s="37">
        <v>0</v>
      </c>
      <c r="V68" s="33">
        <v>22.69</v>
      </c>
      <c r="W68" s="37">
        <v>5.2</v>
      </c>
      <c r="X68" s="4">
        <f t="shared" si="13"/>
        <v>62.239999999999995</v>
      </c>
      <c r="Y68" s="33">
        <v>46.11</v>
      </c>
      <c r="Z68" s="37">
        <v>10.5</v>
      </c>
      <c r="AA68" s="32"/>
      <c r="AB68" s="37"/>
      <c r="AC68" s="33"/>
      <c r="AD68" s="37"/>
      <c r="AE68" s="4">
        <f t="shared" si="14"/>
        <v>0</v>
      </c>
      <c r="AF68" s="33"/>
      <c r="AG68" s="37"/>
    </row>
    <row r="69" spans="1:33" x14ac:dyDescent="0.2">
      <c r="A69" s="1" t="str" cm="1">
        <f t="array" ref="A69">IF(I69="","",IF(P69&lt;&gt;"",SUMPRODUCT((P$3:P$82&lt;&gt;"")*(G$3:G$82=G69)*(J$3:J$82&gt;J69)*(I$3:I$82="P"))+1,IF(O69&lt;&gt;"",SUMPRODUCT((O$3:O$82&lt;&gt;"")*(P$3:P$82="")*(G$3:G$82=G69)*(J$3:J$82&gt;J69)*(I$3:I$82="P"))+SUMPRODUCT((P$3:P$82&lt;&gt;"")*(G$3:G$82=G69)*(I$3:I$82="P"))+1,IF(N69&lt;&gt;"",SUMPRODUCT((N$3:N$82&lt;&gt;"")*(G$3:G$82=G69)*(J$3:J$82&gt;J69)*(I$3:I$82="P"))+1,IF(M69="P",SUMPRODUCT((O$3:O$82&lt;&gt;"")*(P$3:P$82="")*(G$3:G$82=G69)*(I$3:I$82="P"))+SUMPRODUCT((P$3:P$82&lt;&gt;"")*(G$3:G$82=G69)*(I$3:I$82="P"))+SUMPRODUCT((N$3:N$82&lt;&gt;"")*(G$3:G$82=G69)*(I$3:I$82="P"))+SUMPRODUCT((P$3:P$82="")*(O$3:O$82="")*(N$3:N$82="")*(M$3:M$82="P")*(G$3:G$82=G69)*(J$3:J$82&gt;J69)*(I$3:I$82="P"))+IF(H69="L5",SUMPRODUCT((P$3:P$82="")*(O$3:O$82="")*(N$3:N$82="")*(M$3:M$82="P")*(G$3:G$82=G69)*(J$3:J$82&lt;J69)*(H$3:H$82&lt;&gt;H69)*(I$3:I$82="P")),-1*SUMPRODUCT((P$3:P$82="")*(O$3:O$82="")*(N$3:N$82="")*(M$3:M$82="P")*(G$3:G$82=G69)*(J$3:J$82&gt;J69)*(H$3:H$82="L5")*(I$3:I$82="P")))+1,"")))))</f>
        <v/>
      </c>
      <c r="B69" s="1" t="str" cm="1">
        <f t="array" ref="B69">IF(P69&lt;&gt;"",SUMPRODUCT((P$3:P$82&lt;&gt;"")*(G$3:G$82=G69)*(J$3:J$82&gt;J69))+1,IF(O69&lt;&gt;"",SUMPRODUCT((O$3:O$82&lt;&gt;"")*(P$3:P$82="")*(G$3:G$82=G69)*(J$3:J$82&gt;J69))+SUMPRODUCT((P$3:P$82&lt;&gt;"")*(G$3:G$82=G69))+1,IF(N69&lt;&gt;"",SUMPRODUCT((N$3:N$82&lt;&gt;"")*(G$3:G$82=G69)*(J$3:J$82&gt;J69))+1,IF(M69="P",SUMPRODUCT((O$3:O$82&lt;&gt;"")*(P$3:P$82="")*(G$3:G$82=G69))+SUMPRODUCT((P$3:P$82&lt;&gt;"")*(G$3:G$82=G69))+SUMPRODUCT((N$3:N$82&lt;&gt;"")*(G$3:G$82=G69))+SUMPRODUCT((P$3:P$82="")*(O$3:O$82="")*(N$3:N$82="")*(M$3:M$82="P")*(G$3:G$82=G69)*(J$3:J$82&gt;J69))+IF(H69="L5",SUMPRODUCT((P$3:P$82="")*(O$3:O$82="")*(N$3:N$82="")*(M$3:M$82="P")*(G$3:G$82=G69)*(J$3:J$82&lt;J69)*(H$3:H$82&lt;&gt;H69)),-1*SUMPRODUCT((P$3:P$82="")*(O$3:O$82="")*(N$3:N$82="")*(M$3:M$82="P")*(G$3:G$82=G69)*(J$3:J$82&gt;J69)*(H$3:H$82="L5")))+1,""))))</f>
        <v/>
      </c>
      <c r="C69" s="35" t="s">
        <v>264</v>
      </c>
      <c r="D69" s="35" t="str">
        <f>IF(E69="","",VLOOKUP(E69,'Coaching Points'!A:B,2,0))</f>
        <v>QC</v>
      </c>
      <c r="E69" s="35" t="s">
        <v>85</v>
      </c>
      <c r="F69" s="34">
        <v>2008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64</v>
      </c>
      <c r="I69" s="40"/>
      <c r="J69" s="4">
        <f t="shared" si="10"/>
        <v>54.209999999999994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 t="shared" si="11"/>
        <v/>
      </c>
      <c r="R69" s="4">
        <f t="shared" si="12"/>
        <v>54.209999999999994</v>
      </c>
      <c r="S69" s="4">
        <f>IF(G69="17-21",LARGE(CHOOSE({1,2,3,4,5,6},T69,V69,Y69,AA69,AC69,AF69),2),IF(R69=X69,MAX(Y69,AA69,AC69,AF69),IF(R69=AE69,MAX(AF69,T69,V69,Y69),0)))</f>
        <v>48.46</v>
      </c>
      <c r="T69" s="32">
        <v>38.979999999999997</v>
      </c>
      <c r="U69" s="37">
        <v>0</v>
      </c>
      <c r="V69" s="33">
        <v>15.23</v>
      </c>
      <c r="W69" s="37">
        <v>3.4</v>
      </c>
      <c r="X69" s="4">
        <f t="shared" si="13"/>
        <v>54.209999999999994</v>
      </c>
      <c r="Y69" s="33">
        <v>48.46</v>
      </c>
      <c r="Z69" s="37">
        <v>8.8000000000000007</v>
      </c>
      <c r="AA69" s="32"/>
      <c r="AB69" s="37"/>
      <c r="AC69" s="33"/>
      <c r="AD69" s="37"/>
      <c r="AE69" s="4">
        <f t="shared" si="14"/>
        <v>0</v>
      </c>
      <c r="AF69" s="33"/>
      <c r="AG69" s="37"/>
    </row>
    <row r="70" spans="1:33" x14ac:dyDescent="0.2">
      <c r="A70" s="1" t="str" cm="1">
        <f t="array" ref="A70">IF(I70="","",IF(P70&lt;&gt;"",SUMPRODUCT((P$3:P$82&lt;&gt;"")*(G$3:G$82=G70)*(J$3:J$82&gt;J70)*(I$3:I$82="P"))+1,IF(O70&lt;&gt;"",SUMPRODUCT((O$3:O$82&lt;&gt;"")*(P$3:P$82="")*(G$3:G$82=G70)*(J$3:J$82&gt;J70)*(I$3:I$82="P"))+SUMPRODUCT((P$3:P$82&lt;&gt;"")*(G$3:G$82=G70)*(I$3:I$82="P"))+1,IF(N70&lt;&gt;"",SUMPRODUCT((N$3:N$82&lt;&gt;"")*(G$3:G$82=G70)*(J$3:J$82&gt;J70)*(I$3:I$82="P"))+1,IF(M70="P",SUMPRODUCT((O$3:O$82&lt;&gt;"")*(P$3:P$82="")*(G$3:G$82=G70)*(I$3:I$82="P"))+SUMPRODUCT((P$3:P$82&lt;&gt;"")*(G$3:G$82=G70)*(I$3:I$82="P"))+SUMPRODUCT((N$3:N$82&lt;&gt;"")*(G$3:G$82=G70)*(I$3:I$82="P"))+SUMPRODUCT((P$3:P$82="")*(O$3:O$82="")*(N$3:N$82="")*(M$3:M$82="P")*(G$3:G$82=G70)*(J$3:J$82&gt;J70)*(I$3:I$82="P"))+IF(H70="L5",SUMPRODUCT((P$3:P$82="")*(O$3:O$82="")*(N$3:N$82="")*(M$3:M$82="P")*(G$3:G$82=G70)*(J$3:J$82&lt;J70)*(H$3:H$82&lt;&gt;H70)*(I$3:I$82="P")),-1*SUMPRODUCT((P$3:P$82="")*(O$3:O$82="")*(N$3:N$82="")*(M$3:M$82="P")*(G$3:G$82=G70)*(J$3:J$82&gt;J70)*(H$3:H$82="L5")*(I$3:I$82="P")))+1,"")))))</f>
        <v/>
      </c>
      <c r="B70" s="1" t="str" cm="1">
        <f t="array" ref="B70">IF(P70&lt;&gt;"",SUMPRODUCT((P$3:P$82&lt;&gt;"")*(G$3:G$82=G70)*(J$3:J$82&gt;J70))+1,IF(O70&lt;&gt;"",SUMPRODUCT((O$3:O$82&lt;&gt;"")*(P$3:P$82="")*(G$3:G$82=G70)*(J$3:J$82&gt;J70))+SUMPRODUCT((P$3:P$82&lt;&gt;"")*(G$3:G$82=G70))+1,IF(N70&lt;&gt;"",SUMPRODUCT((N$3:N$82&lt;&gt;"")*(G$3:G$82=G70)*(J$3:J$82&gt;J70))+1,IF(M70="P",SUMPRODUCT((O$3:O$82&lt;&gt;"")*(P$3:P$82="")*(G$3:G$82=G70))+SUMPRODUCT((P$3:P$82&lt;&gt;"")*(G$3:G$82=G70))+SUMPRODUCT((N$3:N$82&lt;&gt;"")*(G$3:G$82=G70))+SUMPRODUCT((P$3:P$82="")*(O$3:O$82="")*(N$3:N$82="")*(M$3:M$82="P")*(G$3:G$82=G70)*(J$3:J$82&gt;J70))+IF(H70="L5",SUMPRODUCT((P$3:P$82="")*(O$3:O$82="")*(N$3:N$82="")*(M$3:M$82="P")*(G$3:G$82=G70)*(J$3:J$82&lt;J70)*(H$3:H$82&lt;&gt;H70)),-1*SUMPRODUCT((P$3:P$82="")*(O$3:O$82="")*(N$3:N$82="")*(M$3:M$82="P")*(G$3:G$82=G70)*(J$3:J$82&gt;J70)*(H$3:H$82="L5")))+1,""))))</f>
        <v/>
      </c>
      <c r="C70" s="35" t="s">
        <v>268</v>
      </c>
      <c r="D70" s="35" t="str">
        <f>IF(E70="","",VLOOKUP(E70,'Coaching Points'!A:B,2,0))</f>
        <v>QC</v>
      </c>
      <c r="E70" s="35" t="s">
        <v>78</v>
      </c>
      <c r="F70" s="34">
        <v>2008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64</v>
      </c>
      <c r="I70" s="40"/>
      <c r="J70" s="4">
        <f t="shared" si="10"/>
        <v>48.32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 t="shared" si="11"/>
        <v/>
      </c>
      <c r="R70" s="4">
        <f t="shared" si="12"/>
        <v>48.32</v>
      </c>
      <c r="S70" s="4">
        <f>IF(G70="17-21",LARGE(CHOOSE({1,2,3,4,5,6},T70,V70,Y70,AA70,AC70,AF70),2),IF(R70=X70,MAX(Y70,AA70,AC70,AF70),IF(R70=AE70,MAX(AF70,T70,V70,Y70),0)))</f>
        <v>0</v>
      </c>
      <c r="T70" s="32">
        <v>38.83</v>
      </c>
      <c r="U70" s="37">
        <v>0</v>
      </c>
      <c r="V70" s="33">
        <v>9.49</v>
      </c>
      <c r="W70" s="37">
        <v>2.2999999999999998</v>
      </c>
      <c r="X70" s="4">
        <f t="shared" si="13"/>
        <v>48.32</v>
      </c>
      <c r="Y70" s="33"/>
      <c r="Z70" s="37"/>
      <c r="AA70" s="32"/>
      <c r="AB70" s="37"/>
      <c r="AC70" s="33"/>
      <c r="AD70" s="37"/>
      <c r="AE70" s="4">
        <f t="shared" si="14"/>
        <v>0</v>
      </c>
      <c r="AF70" s="33"/>
      <c r="AG70" s="37"/>
    </row>
    <row r="71" spans="1:33" x14ac:dyDescent="0.2">
      <c r="A71" s="1" t="str" cm="1">
        <f t="array" ref="A71">IF(I71="","",IF(P71&lt;&gt;"",SUMPRODUCT((P$3:P$82&lt;&gt;"")*(G$3:G$82=G71)*(J$3:J$82&gt;J71)*(I$3:I$82="P"))+1,IF(O71&lt;&gt;"",SUMPRODUCT((O$3:O$82&lt;&gt;"")*(P$3:P$82="")*(G$3:G$82=G71)*(J$3:J$82&gt;J71)*(I$3:I$82="P"))+SUMPRODUCT((P$3:P$82&lt;&gt;"")*(G$3:G$82=G71)*(I$3:I$82="P"))+1,IF(N71&lt;&gt;"",SUMPRODUCT((N$3:N$82&lt;&gt;"")*(G$3:G$82=G71)*(J$3:J$82&gt;J71)*(I$3:I$82="P"))+1,IF(M71="P",SUMPRODUCT((O$3:O$82&lt;&gt;"")*(P$3:P$82="")*(G$3:G$82=G71)*(I$3:I$82="P"))+SUMPRODUCT((P$3:P$82&lt;&gt;"")*(G$3:G$82=G71)*(I$3:I$82="P"))+SUMPRODUCT((N$3:N$82&lt;&gt;"")*(G$3:G$82=G71)*(I$3:I$82="P"))+SUMPRODUCT((P$3:P$82="")*(O$3:O$82="")*(N$3:N$82="")*(M$3:M$82="P")*(G$3:G$82=G71)*(J$3:J$82&gt;J71)*(I$3:I$82="P"))+IF(H71="L5",SUMPRODUCT((P$3:P$82="")*(O$3:O$82="")*(N$3:N$82="")*(M$3:M$82="P")*(G$3:G$82=G71)*(J$3:J$82&lt;J71)*(H$3:H$82&lt;&gt;H71)*(I$3:I$82="P")),-1*SUMPRODUCT((P$3:P$82="")*(O$3:O$82="")*(N$3:N$82="")*(M$3:M$82="P")*(G$3:G$82=G71)*(J$3:J$82&gt;J71)*(H$3:H$82="L5")*(I$3:I$82="P")))+1,"")))))</f>
        <v/>
      </c>
      <c r="B71" s="1" t="str" cm="1">
        <f t="array" ref="B71">IF(P71&lt;&gt;"",SUMPRODUCT((P$3:P$82&lt;&gt;"")*(G$3:G$82=G71)*(J$3:J$82&gt;J71))+1,IF(O71&lt;&gt;"",SUMPRODUCT((O$3:O$82&lt;&gt;"")*(P$3:P$82="")*(G$3:G$82=G71)*(J$3:J$82&gt;J71))+SUMPRODUCT((P$3:P$82&lt;&gt;"")*(G$3:G$82=G71))+1,IF(N71&lt;&gt;"",SUMPRODUCT((N$3:N$82&lt;&gt;"")*(G$3:G$82=G71)*(J$3:J$82&gt;J71))+1,IF(M71="P",SUMPRODUCT((O$3:O$82&lt;&gt;"")*(P$3:P$82="")*(G$3:G$82=G71))+SUMPRODUCT((P$3:P$82&lt;&gt;"")*(G$3:G$82=G71))+SUMPRODUCT((N$3:N$82&lt;&gt;"")*(G$3:G$82=G71))+SUMPRODUCT((P$3:P$82="")*(O$3:O$82="")*(N$3:N$82="")*(M$3:M$82="P")*(G$3:G$82=G71)*(J$3:J$82&gt;J71))+IF(H71="L5",SUMPRODUCT((P$3:P$82="")*(O$3:O$82="")*(N$3:N$82="")*(M$3:M$82="P")*(G$3:G$82=G71)*(J$3:J$82&lt;J71)*(H$3:H$82&lt;&gt;H71)),-1*SUMPRODUCT((P$3:P$82="")*(O$3:O$82="")*(N$3:N$82="")*(M$3:M$82="P")*(G$3:G$82=G71)*(J$3:J$82&gt;J71)*(H$3:H$82="L5")))+1,""))))</f>
        <v/>
      </c>
      <c r="C71" s="35" t="s">
        <v>270</v>
      </c>
      <c r="D71" s="35" t="str">
        <f>IF(E71="","",VLOOKUP(E71,'Coaching Points'!A:B,2,0))</f>
        <v>ON</v>
      </c>
      <c r="E71" s="35" t="s">
        <v>45</v>
      </c>
      <c r="F71" s="34">
        <v>2008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64</v>
      </c>
      <c r="I71" s="40"/>
      <c r="J71" s="4">
        <f t="shared" si="10"/>
        <v>46.59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 t="shared" si="11"/>
        <v/>
      </c>
      <c r="R71" s="4">
        <f t="shared" si="12"/>
        <v>46.59</v>
      </c>
      <c r="S71" s="4">
        <f>IF(G71="17-21",LARGE(CHOOSE({1,2,3,4,5,6},T71,V71,Y71,AA71,AC71,AF71),2),IF(R71=X71,MAX(Y71,AA71,AC71,AF71),IF(R71=AE71,MAX(AF71,T71,V71,Y71),0)))</f>
        <v>0</v>
      </c>
      <c r="T71" s="32">
        <v>37.270000000000003</v>
      </c>
      <c r="U71" s="37">
        <v>0</v>
      </c>
      <c r="V71" s="33">
        <v>9.32</v>
      </c>
      <c r="W71" s="37">
        <v>1.9</v>
      </c>
      <c r="X71" s="4">
        <f t="shared" si="13"/>
        <v>46.59</v>
      </c>
      <c r="Y71" s="33"/>
      <c r="Z71" s="37"/>
      <c r="AA71" s="32"/>
      <c r="AB71" s="37"/>
      <c r="AC71" s="33"/>
      <c r="AD71" s="37"/>
      <c r="AE71" s="4">
        <f t="shared" si="14"/>
        <v>0</v>
      </c>
      <c r="AF71" s="33"/>
      <c r="AG71" s="37"/>
    </row>
    <row r="72" spans="1:33" x14ac:dyDescent="0.2">
      <c r="A72" s="1" t="str" cm="1">
        <f t="array" ref="A72">IF(I72="","",IF(P72&lt;&gt;"",SUMPRODUCT((P$3:P$82&lt;&gt;"")*(G$3:G$82=G72)*(J$3:J$82&gt;J72)*(I$3:I$82="P"))+1,IF(O72&lt;&gt;"",SUMPRODUCT((O$3:O$82&lt;&gt;"")*(P$3:P$82="")*(G$3:G$82=G72)*(J$3:J$82&gt;J72)*(I$3:I$82="P"))+SUMPRODUCT((P$3:P$82&lt;&gt;"")*(G$3:G$82=G72)*(I$3:I$82="P"))+1,IF(N72&lt;&gt;"",SUMPRODUCT((N$3:N$82&lt;&gt;"")*(G$3:G$82=G72)*(J$3:J$82&gt;J72)*(I$3:I$82="P"))+1,IF(M72="P",SUMPRODUCT((O$3:O$82&lt;&gt;"")*(P$3:P$82="")*(G$3:G$82=G72)*(I$3:I$82="P"))+SUMPRODUCT((P$3:P$82&lt;&gt;"")*(G$3:G$82=G72)*(I$3:I$82="P"))+SUMPRODUCT((N$3:N$82&lt;&gt;"")*(G$3:G$82=G72)*(I$3:I$82="P"))+SUMPRODUCT((P$3:P$82="")*(O$3:O$82="")*(N$3:N$82="")*(M$3:M$82="P")*(G$3:G$82=G72)*(J$3:J$82&gt;J72)*(I$3:I$82="P"))+IF(H72="L5",SUMPRODUCT((P$3:P$82="")*(O$3:O$82="")*(N$3:N$82="")*(M$3:M$82="P")*(G$3:G$82=G72)*(J$3:J$82&lt;J72)*(H$3:H$82&lt;&gt;H72)*(I$3:I$82="P")),-1*SUMPRODUCT((P$3:P$82="")*(O$3:O$82="")*(N$3:N$82="")*(M$3:M$82="P")*(G$3:G$82=G72)*(J$3:J$82&gt;J72)*(H$3:H$82="L5")*(I$3:I$82="P")))+1,"")))))</f>
        <v/>
      </c>
      <c r="B72" s="1" t="str" cm="1">
        <f t="array" ref="B72">IF(P72&lt;&gt;"",SUMPRODUCT((P$3:P$82&lt;&gt;"")*(G$3:G$82=G72)*(J$3:J$82&gt;J72))+1,IF(O72&lt;&gt;"",SUMPRODUCT((O$3:O$82&lt;&gt;"")*(P$3:P$82="")*(G$3:G$82=G72)*(J$3:J$82&gt;J72))+SUMPRODUCT((P$3:P$82&lt;&gt;"")*(G$3:G$82=G72))+1,IF(N72&lt;&gt;"",SUMPRODUCT((N$3:N$82&lt;&gt;"")*(G$3:G$82=G72)*(J$3:J$82&gt;J72))+1,IF(M72="P",SUMPRODUCT((O$3:O$82&lt;&gt;"")*(P$3:P$82="")*(G$3:G$82=G72))+SUMPRODUCT((P$3:P$82&lt;&gt;"")*(G$3:G$82=G72))+SUMPRODUCT((N$3:N$82&lt;&gt;"")*(G$3:G$82=G72))+SUMPRODUCT((P$3:P$82="")*(O$3:O$82="")*(N$3:N$82="")*(M$3:M$82="P")*(G$3:G$82=G72)*(J$3:J$82&gt;J72))+IF(H72="L5",SUMPRODUCT((P$3:P$82="")*(O$3:O$82="")*(N$3:N$82="")*(M$3:M$82="P")*(G$3:G$82=G72)*(J$3:J$82&lt;J72)*(H$3:H$82&lt;&gt;H72)),-1*SUMPRODUCT((P$3:P$82="")*(O$3:O$82="")*(N$3:N$82="")*(M$3:M$82="P")*(G$3:G$82=G72)*(J$3:J$82&gt;J72)*(H$3:H$82="L5")))+1,""))))</f>
        <v/>
      </c>
      <c r="C72" s="35" t="s">
        <v>176</v>
      </c>
      <c r="D72" s="35" t="str">
        <f>IF(E72="","",VLOOKUP(E72,'Coaching Points'!A:B,2,0))</f>
        <v>AB</v>
      </c>
      <c r="E72" s="35" t="s">
        <v>56</v>
      </c>
      <c r="F72" s="34">
        <v>2008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63</v>
      </c>
      <c r="I72" s="40"/>
      <c r="J72" s="4">
        <f t="shared" si="10"/>
        <v>45.050199999999997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 t="shared" si="11"/>
        <v/>
      </c>
      <c r="R72" s="4">
        <f t="shared" si="12"/>
        <v>45.05</v>
      </c>
      <c r="S72" s="4">
        <f>IF(G72="17-21",LARGE(CHOOSE({1,2,3,4,5,6},T72,V72,Y72,AA72,AC72,AF72),2),IF(R72=X72,MAX(Y72,AA72,AC72,AF72),IF(R72=AE72,MAX(AF72,T72,V72,Y72),0)))</f>
        <v>0</v>
      </c>
      <c r="T72" s="32">
        <v>39.71</v>
      </c>
      <c r="U72" s="37">
        <v>0</v>
      </c>
      <c r="V72" s="33">
        <v>5.34</v>
      </c>
      <c r="W72" s="37">
        <v>1.5</v>
      </c>
      <c r="X72" s="4">
        <f t="shared" si="13"/>
        <v>45.05</v>
      </c>
      <c r="Y72" s="33"/>
      <c r="Z72" s="37"/>
      <c r="AA72" s="32"/>
      <c r="AB72" s="37"/>
      <c r="AC72" s="33"/>
      <c r="AD72" s="37"/>
      <c r="AE72" s="4">
        <f t="shared" si="14"/>
        <v>0</v>
      </c>
      <c r="AF72" s="33"/>
      <c r="AG72" s="37"/>
    </row>
    <row r="73" spans="1:33" x14ac:dyDescent="0.2">
      <c r="A73" s="1" t="str" cm="1">
        <f t="array" ref="A73">IF(I73="","",IF(P73&lt;&gt;"",SUMPRODUCT((P$3:P$82&lt;&gt;"")*(G$3:G$82=G73)*(J$3:J$82&gt;J73)*(I$3:I$82="P"))+1,IF(O73&lt;&gt;"",SUMPRODUCT((O$3:O$82&lt;&gt;"")*(P$3:P$82="")*(G$3:G$82=G73)*(J$3:J$82&gt;J73)*(I$3:I$82="P"))+SUMPRODUCT((P$3:P$82&lt;&gt;"")*(G$3:G$82=G73)*(I$3:I$82="P"))+1,IF(N73&lt;&gt;"",SUMPRODUCT((N$3:N$82&lt;&gt;"")*(G$3:G$82=G73)*(J$3:J$82&gt;J73)*(I$3:I$82="P"))+1,IF(M73="P",SUMPRODUCT((O$3:O$82&lt;&gt;"")*(P$3:P$82="")*(G$3:G$82=G73)*(I$3:I$82="P"))+SUMPRODUCT((P$3:P$82&lt;&gt;"")*(G$3:G$82=G73)*(I$3:I$82="P"))+SUMPRODUCT((N$3:N$82&lt;&gt;"")*(G$3:G$82=G73)*(I$3:I$82="P"))+SUMPRODUCT((P$3:P$82="")*(O$3:O$82="")*(N$3:N$82="")*(M$3:M$82="P")*(G$3:G$82=G73)*(J$3:J$82&gt;J73)*(I$3:I$82="P"))+IF(H73="L5",SUMPRODUCT((P$3:P$82="")*(O$3:O$82="")*(N$3:N$82="")*(M$3:M$82="P")*(G$3:G$82=G73)*(J$3:J$82&lt;J73)*(H$3:H$82&lt;&gt;H73)*(I$3:I$82="P")),-1*SUMPRODUCT((P$3:P$82="")*(O$3:O$82="")*(N$3:N$82="")*(M$3:M$82="P")*(G$3:G$82=G73)*(J$3:J$82&gt;J73)*(H$3:H$82="L5")*(I$3:I$82="P")))+1,"")))))</f>
        <v/>
      </c>
      <c r="B73" s="1" cm="1">
        <f t="array" ref="B73">IF(P73&lt;&gt;"",SUMPRODUCT((P$3:P$82&lt;&gt;"")*(G$3:G$82=G73)*(J$3:J$82&gt;J73))+1,IF(O73&lt;&gt;"",SUMPRODUCT((O$3:O$82&lt;&gt;"")*(P$3:P$82="")*(G$3:G$82=G73)*(J$3:J$82&gt;J73))+SUMPRODUCT((P$3:P$82&lt;&gt;"")*(G$3:G$82=G73))+1,IF(N73&lt;&gt;"",SUMPRODUCT((N$3:N$82&lt;&gt;"")*(G$3:G$82=G73)*(J$3:J$82&gt;J73))+1,IF(M73="P",SUMPRODUCT((O$3:O$82&lt;&gt;"")*(P$3:P$82="")*(G$3:G$82=G73))+SUMPRODUCT((P$3:P$82&lt;&gt;"")*(G$3:G$82=G73))+SUMPRODUCT((N$3:N$82&lt;&gt;"")*(G$3:G$82=G73))+SUMPRODUCT((P$3:P$82="")*(O$3:O$82="")*(N$3:N$82="")*(M$3:M$82="P")*(G$3:G$82=G73)*(J$3:J$82&gt;J73))+IF(H73="L5",SUMPRODUCT((P$3:P$82="")*(O$3:O$82="")*(N$3:N$82="")*(M$3:M$82="P")*(G$3:G$82=G73)*(J$3:J$82&lt;J73)*(H$3:H$82&lt;&gt;H73)),-1*SUMPRODUCT((P$3:P$82="")*(O$3:O$82="")*(N$3:N$82="")*(M$3:M$82="P")*(G$3:G$82=G73)*(J$3:J$82&gt;J73)*(H$3:H$82="L5")))+1,""))))</f>
        <v>1</v>
      </c>
      <c r="C73" s="35" t="s">
        <v>274</v>
      </c>
      <c r="D73" s="35" t="str">
        <f>IF(E73="","",VLOOKUP(E73,'Coaching Points'!A:B,2,0))</f>
        <v>ON</v>
      </c>
      <c r="E73" s="35" t="s">
        <v>97</v>
      </c>
      <c r="F73" s="34">
        <v>2010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6" t="s">
        <v>64</v>
      </c>
      <c r="I73" s="40"/>
      <c r="J73" s="4">
        <f t="shared" si="10"/>
        <v>87.210000000000008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>P</v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>P</v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>P</v>
      </c>
      <c r="Q73" s="1" t="str">
        <f t="shared" si="11"/>
        <v/>
      </c>
      <c r="R73" s="4">
        <f t="shared" si="12"/>
        <v>87.210000000000008</v>
      </c>
      <c r="S73" s="4">
        <f>IF(G73="17-21",LARGE(CHOOSE({1,2,3,4,5,6},T73,V73,Y73,AA73,AC73,AF73),2),IF(R73=X73,MAX(Y73,AA73,AC73,AF73),IF(R73=AE73,MAX(AF73,T73,V73,Y73),0)))</f>
        <v>48.09</v>
      </c>
      <c r="T73" s="32">
        <v>39.86</v>
      </c>
      <c r="U73" s="37">
        <v>0</v>
      </c>
      <c r="V73" s="33">
        <v>47.35</v>
      </c>
      <c r="W73" s="37">
        <v>9.1</v>
      </c>
      <c r="X73" s="4">
        <f t="shared" si="13"/>
        <v>87.210000000000008</v>
      </c>
      <c r="Y73" s="33">
        <v>48.09</v>
      </c>
      <c r="Z73" s="37">
        <v>9.1</v>
      </c>
      <c r="AA73" s="32"/>
      <c r="AB73" s="37"/>
      <c r="AC73" s="33"/>
      <c r="AD73" s="37"/>
      <c r="AE73" s="4">
        <f t="shared" si="14"/>
        <v>0</v>
      </c>
      <c r="AF73" s="33"/>
      <c r="AG73" s="37"/>
    </row>
    <row r="74" spans="1:33" x14ac:dyDescent="0.2">
      <c r="A74" s="1" t="str" cm="1">
        <f t="array" ref="A74">IF(I74="","",IF(P74&lt;&gt;"",SUMPRODUCT((P$3:P$82&lt;&gt;"")*(G$3:G$82=G74)*(J$3:J$82&gt;J74)*(I$3:I$82="P"))+1,IF(O74&lt;&gt;"",SUMPRODUCT((O$3:O$82&lt;&gt;"")*(P$3:P$82="")*(G$3:G$82=G74)*(J$3:J$82&gt;J74)*(I$3:I$82="P"))+SUMPRODUCT((P$3:P$82&lt;&gt;"")*(G$3:G$82=G74)*(I$3:I$82="P"))+1,IF(N74&lt;&gt;"",SUMPRODUCT((N$3:N$82&lt;&gt;"")*(G$3:G$82=G74)*(J$3:J$82&gt;J74)*(I$3:I$82="P"))+1,IF(M74="P",SUMPRODUCT((O$3:O$82&lt;&gt;"")*(P$3:P$82="")*(G$3:G$82=G74)*(I$3:I$82="P"))+SUMPRODUCT((P$3:P$82&lt;&gt;"")*(G$3:G$82=G74)*(I$3:I$82="P"))+SUMPRODUCT((N$3:N$82&lt;&gt;"")*(G$3:G$82=G74)*(I$3:I$82="P"))+SUMPRODUCT((P$3:P$82="")*(O$3:O$82="")*(N$3:N$82="")*(M$3:M$82="P")*(G$3:G$82=G74)*(J$3:J$82&gt;J74)*(I$3:I$82="P"))+IF(H74="L5",SUMPRODUCT((P$3:P$82="")*(O$3:O$82="")*(N$3:N$82="")*(M$3:M$82="P")*(G$3:G$82=G74)*(J$3:J$82&lt;J74)*(H$3:H$82&lt;&gt;H74)*(I$3:I$82="P")),-1*SUMPRODUCT((P$3:P$82="")*(O$3:O$82="")*(N$3:N$82="")*(M$3:M$82="P")*(G$3:G$82=G74)*(J$3:J$82&gt;J74)*(H$3:H$82="L5")*(I$3:I$82="P")))+1,"")))))</f>
        <v/>
      </c>
      <c r="B74" s="1" t="str" cm="1">
        <f t="array" ref="B74">IF(P74&lt;&gt;"",SUMPRODUCT((P$3:P$82&lt;&gt;"")*(G$3:G$82=G74)*(J$3:J$82&gt;J74))+1,IF(O74&lt;&gt;"",SUMPRODUCT((O$3:O$82&lt;&gt;"")*(P$3:P$82="")*(G$3:G$82=G74)*(J$3:J$82&gt;J74))+SUMPRODUCT((P$3:P$82&lt;&gt;"")*(G$3:G$82=G74))+1,IF(N74&lt;&gt;"",SUMPRODUCT((N$3:N$82&lt;&gt;"")*(G$3:G$82=G74)*(J$3:J$82&gt;J74))+1,IF(M74="P",SUMPRODUCT((O$3:O$82&lt;&gt;"")*(P$3:P$82="")*(G$3:G$82=G74))+SUMPRODUCT((P$3:P$82&lt;&gt;"")*(G$3:G$82=G74))+SUMPRODUCT((N$3:N$82&lt;&gt;"")*(G$3:G$82=G74))+SUMPRODUCT((P$3:P$82="")*(O$3:O$82="")*(N$3:N$82="")*(M$3:M$82="P")*(G$3:G$82=G74)*(J$3:J$82&gt;J74))+IF(H74="L5",SUMPRODUCT((P$3:P$82="")*(O$3:O$82="")*(N$3:N$82="")*(M$3:M$82="P")*(G$3:G$82=G74)*(J$3:J$82&lt;J74)*(H$3:H$82&lt;&gt;H74)),-1*SUMPRODUCT((P$3:P$82="")*(O$3:O$82="")*(N$3:N$82="")*(M$3:M$82="P")*(G$3:G$82=G74)*(J$3:J$82&gt;J74)*(H$3:H$82="L5")))+1,""))))</f>
        <v/>
      </c>
      <c r="C74" s="35" t="s">
        <v>276</v>
      </c>
      <c r="D74" s="35" t="str">
        <f>IF(E74="","",VLOOKUP(E74,'Coaching Points'!A:B,2,0))</f>
        <v>BC</v>
      </c>
      <c r="E74" s="35" t="s">
        <v>36</v>
      </c>
      <c r="F74" s="34">
        <v>2010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6" t="s">
        <v>64</v>
      </c>
      <c r="I74" s="40"/>
      <c r="J74" s="4">
        <f t="shared" si="10"/>
        <v>84.52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>P</v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 t="shared" si="11"/>
        <v/>
      </c>
      <c r="R74" s="4">
        <f t="shared" si="12"/>
        <v>84.52</v>
      </c>
      <c r="S74" s="4">
        <f>IF(G74="17-21",LARGE(CHOOSE({1,2,3,4,5,6},T74,V74,Y74,AA74,AC74,AF74),2),IF(R74=X74,MAX(Y74,AA74,AC74,AF74),IF(R74=AE74,MAX(AF74,T74,V74,Y74),0)))</f>
        <v>43.11</v>
      </c>
      <c r="T74" s="32">
        <v>38.36</v>
      </c>
      <c r="U74" s="37">
        <v>0</v>
      </c>
      <c r="V74" s="33">
        <v>46.16</v>
      </c>
      <c r="W74" s="37">
        <v>8.4</v>
      </c>
      <c r="X74" s="4">
        <f t="shared" si="13"/>
        <v>84.52</v>
      </c>
      <c r="Y74" s="33">
        <v>43.11</v>
      </c>
      <c r="Z74" s="37">
        <v>7.6</v>
      </c>
      <c r="AA74" s="32"/>
      <c r="AB74" s="37"/>
      <c r="AC74" s="33"/>
      <c r="AD74" s="37"/>
      <c r="AE74" s="4">
        <f t="shared" si="14"/>
        <v>0</v>
      </c>
      <c r="AF74" s="33"/>
      <c r="AG74" s="37"/>
    </row>
    <row r="75" spans="1:33" x14ac:dyDescent="0.2">
      <c r="A75" s="1" t="str" cm="1">
        <f t="array" ref="A75">IF(I75="","",IF(P75&lt;&gt;"",SUMPRODUCT((P$3:P$82&lt;&gt;"")*(G$3:G$82=G75)*(J$3:J$82&gt;J75)*(I$3:I$82="P"))+1,IF(O75&lt;&gt;"",SUMPRODUCT((O$3:O$82&lt;&gt;"")*(P$3:P$82="")*(G$3:G$82=G75)*(J$3:J$82&gt;J75)*(I$3:I$82="P"))+SUMPRODUCT((P$3:P$82&lt;&gt;"")*(G$3:G$82=G75)*(I$3:I$82="P"))+1,IF(N75&lt;&gt;"",SUMPRODUCT((N$3:N$82&lt;&gt;"")*(G$3:G$82=G75)*(J$3:J$82&gt;J75)*(I$3:I$82="P"))+1,IF(M75="P",SUMPRODUCT((O$3:O$82&lt;&gt;"")*(P$3:P$82="")*(G$3:G$82=G75)*(I$3:I$82="P"))+SUMPRODUCT((P$3:P$82&lt;&gt;"")*(G$3:G$82=G75)*(I$3:I$82="P"))+SUMPRODUCT((N$3:N$82&lt;&gt;"")*(G$3:G$82=G75)*(I$3:I$82="P"))+SUMPRODUCT((P$3:P$82="")*(O$3:O$82="")*(N$3:N$82="")*(M$3:M$82="P")*(G$3:G$82=G75)*(J$3:J$82&gt;J75)*(I$3:I$82="P"))+IF(H75="L5",SUMPRODUCT((P$3:P$82="")*(O$3:O$82="")*(N$3:N$82="")*(M$3:M$82="P")*(G$3:G$82=G75)*(J$3:J$82&lt;J75)*(H$3:H$82&lt;&gt;H75)*(I$3:I$82="P")),-1*SUMPRODUCT((P$3:P$82="")*(O$3:O$82="")*(N$3:N$82="")*(M$3:M$82="P")*(G$3:G$82=G75)*(J$3:J$82&gt;J75)*(H$3:H$82="L5")*(I$3:I$82="P")))+1,"")))))</f>
        <v/>
      </c>
      <c r="B75" s="1" t="str" cm="1">
        <f t="array" ref="B75">IF(P75&lt;&gt;"",SUMPRODUCT((P$3:P$82&lt;&gt;"")*(G$3:G$82=G75)*(J$3:J$82&gt;J75))+1,IF(O75&lt;&gt;"",SUMPRODUCT((O$3:O$82&lt;&gt;"")*(P$3:P$82="")*(G$3:G$82=G75)*(J$3:J$82&gt;J75))+SUMPRODUCT((P$3:P$82&lt;&gt;"")*(G$3:G$82=G75))+1,IF(N75&lt;&gt;"",SUMPRODUCT((N$3:N$82&lt;&gt;"")*(G$3:G$82=G75)*(J$3:J$82&gt;J75))+1,IF(M75="P",SUMPRODUCT((O$3:O$82&lt;&gt;"")*(P$3:P$82="")*(G$3:G$82=G75))+SUMPRODUCT((P$3:P$82&lt;&gt;"")*(G$3:G$82=G75))+SUMPRODUCT((N$3:N$82&lt;&gt;"")*(G$3:G$82=G75))+SUMPRODUCT((P$3:P$82="")*(O$3:O$82="")*(N$3:N$82="")*(M$3:M$82="P")*(G$3:G$82=G75)*(J$3:J$82&gt;J75))+IF(H75="L5",SUMPRODUCT((P$3:P$82="")*(O$3:O$82="")*(N$3:N$82="")*(M$3:M$82="P")*(G$3:G$82=G75)*(J$3:J$82&lt;J75)*(H$3:H$82&lt;&gt;H75)),-1*SUMPRODUCT((P$3:P$82="")*(O$3:O$82="")*(N$3:N$82="")*(M$3:M$82="P")*(G$3:G$82=G75)*(J$3:J$82&gt;J75)*(H$3:H$82="L5")))+1,""))))</f>
        <v/>
      </c>
      <c r="C75" s="35" t="s">
        <v>331</v>
      </c>
      <c r="D75" s="35" t="str">
        <f>IF(E75="","",VLOOKUP(E75,'Coaching Points'!A:B,2,0))</f>
        <v>ON</v>
      </c>
      <c r="E75" s="35" t="s">
        <v>97</v>
      </c>
      <c r="F75" s="34">
        <v>2010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6" t="s">
        <v>64</v>
      </c>
      <c r="I75" s="40"/>
      <c r="J75" s="4">
        <f t="shared" si="10"/>
        <v>83.89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/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 t="shared" si="11"/>
        <v/>
      </c>
      <c r="R75" s="4">
        <f t="shared" si="12"/>
        <v>83.89</v>
      </c>
      <c r="S75" s="4">
        <f>IF(G75="17-21",LARGE(CHOOSE({1,2,3,4,5,6},T75,V75,Y75,AA75,AC75,AF75),2),IF(R75=X75,MAX(Y75,AA75,AC75,AF75),IF(R75=AE75,MAX(AF75,T75,V75,Y75),0)))</f>
        <v>45.61</v>
      </c>
      <c r="T75" s="32">
        <v>38.89</v>
      </c>
      <c r="U75" s="37">
        <v>0</v>
      </c>
      <c r="V75" s="33">
        <v>45</v>
      </c>
      <c r="W75" s="37">
        <v>8</v>
      </c>
      <c r="X75" s="4">
        <f t="shared" si="13"/>
        <v>83.89</v>
      </c>
      <c r="Y75" s="33">
        <v>45.61</v>
      </c>
      <c r="Z75" s="37">
        <v>8</v>
      </c>
      <c r="AA75" s="32"/>
      <c r="AB75" s="37"/>
      <c r="AC75" s="33"/>
      <c r="AD75" s="37"/>
      <c r="AE75" s="4">
        <f t="shared" si="14"/>
        <v>0</v>
      </c>
      <c r="AF75" s="33"/>
      <c r="AG75" s="37"/>
    </row>
    <row r="76" spans="1:33" x14ac:dyDescent="0.2">
      <c r="A76" s="1" t="str" cm="1">
        <f t="array" ref="A76">IF(I76="","",IF(P76&lt;&gt;"",SUMPRODUCT((P$3:P$82&lt;&gt;"")*(G$3:G$82=G76)*(J$3:J$82&gt;J76)*(I$3:I$82="P"))+1,IF(O76&lt;&gt;"",SUMPRODUCT((O$3:O$82&lt;&gt;"")*(P$3:P$82="")*(G$3:G$82=G76)*(J$3:J$82&gt;J76)*(I$3:I$82="P"))+SUMPRODUCT((P$3:P$82&lt;&gt;"")*(G$3:G$82=G76)*(I$3:I$82="P"))+1,IF(N76&lt;&gt;"",SUMPRODUCT((N$3:N$82&lt;&gt;"")*(G$3:G$82=G76)*(J$3:J$82&gt;J76)*(I$3:I$82="P"))+1,IF(M76="P",SUMPRODUCT((O$3:O$82&lt;&gt;"")*(P$3:P$82="")*(G$3:G$82=G76)*(I$3:I$82="P"))+SUMPRODUCT((P$3:P$82&lt;&gt;"")*(G$3:G$82=G76)*(I$3:I$82="P"))+SUMPRODUCT((N$3:N$82&lt;&gt;"")*(G$3:G$82=G76)*(I$3:I$82="P"))+SUMPRODUCT((P$3:P$82="")*(O$3:O$82="")*(N$3:N$82="")*(M$3:M$82="P")*(G$3:G$82=G76)*(J$3:J$82&gt;J76)*(I$3:I$82="P"))+IF(H76="L5",SUMPRODUCT((P$3:P$82="")*(O$3:O$82="")*(N$3:N$82="")*(M$3:M$82="P")*(G$3:G$82=G76)*(J$3:J$82&lt;J76)*(H$3:H$82&lt;&gt;H76)*(I$3:I$82="P")),-1*SUMPRODUCT((P$3:P$82="")*(O$3:O$82="")*(N$3:N$82="")*(M$3:M$82="P")*(G$3:G$82=G76)*(J$3:J$82&gt;J76)*(H$3:H$82="L5")*(I$3:I$82="P")))+1,"")))))</f>
        <v/>
      </c>
      <c r="B76" s="1" t="str" cm="1">
        <f t="array" ref="B76">IF(P76&lt;&gt;"",SUMPRODUCT((P$3:P$82&lt;&gt;"")*(G$3:G$82=G76)*(J$3:J$82&gt;J76))+1,IF(O76&lt;&gt;"",SUMPRODUCT((O$3:O$82&lt;&gt;"")*(P$3:P$82="")*(G$3:G$82=G76)*(J$3:J$82&gt;J76))+SUMPRODUCT((P$3:P$82&lt;&gt;"")*(G$3:G$82=G76))+1,IF(N76&lt;&gt;"",SUMPRODUCT((N$3:N$82&lt;&gt;"")*(G$3:G$82=G76)*(J$3:J$82&gt;J76))+1,IF(M76="P",SUMPRODUCT((O$3:O$82&lt;&gt;"")*(P$3:P$82="")*(G$3:G$82=G76))+SUMPRODUCT((P$3:P$82&lt;&gt;"")*(G$3:G$82=G76))+SUMPRODUCT((N$3:N$82&lt;&gt;"")*(G$3:G$82=G76))+SUMPRODUCT((P$3:P$82="")*(O$3:O$82="")*(N$3:N$82="")*(M$3:M$82="P")*(G$3:G$82=G76)*(J$3:J$82&gt;J76))+IF(H76="L5",SUMPRODUCT((P$3:P$82="")*(O$3:O$82="")*(N$3:N$82="")*(M$3:M$82="P")*(G$3:G$82=G76)*(J$3:J$82&lt;J76)*(H$3:H$82&lt;&gt;H76)),-1*SUMPRODUCT((P$3:P$82="")*(O$3:O$82="")*(N$3:N$82="")*(M$3:M$82="P")*(G$3:G$82=G76)*(J$3:J$82&gt;J76)*(H$3:H$82="L5")))+1,""))))</f>
        <v/>
      </c>
      <c r="C76" s="35" t="s">
        <v>213</v>
      </c>
      <c r="D76" s="35" t="str">
        <f>IF(E76="","",VLOOKUP(E76,'Coaching Points'!A:B,2,0))</f>
        <v>AB</v>
      </c>
      <c r="E76" s="35" t="s">
        <v>39</v>
      </c>
      <c r="F76" s="34">
        <v>2010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13-14</v>
      </c>
      <c r="H76" s="36" t="s">
        <v>64</v>
      </c>
      <c r="I76" s="40"/>
      <c r="J76" s="4">
        <f t="shared" si="10"/>
        <v>83.490000000000009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>P</v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 t="shared" si="11"/>
        <v/>
      </c>
      <c r="R76" s="4">
        <f t="shared" si="12"/>
        <v>83.490000000000009</v>
      </c>
      <c r="S76" s="4">
        <f>IF(G76="17-21",LARGE(CHOOSE({1,2,3,4,5,6},T76,V76,Y76,AA76,AC76,AF76),2),IF(R76=X76,MAX(Y76,AA76,AC76,AF76),IF(R76=AE76,MAX(AF76,T76,V76,Y76),0)))</f>
        <v>46.51</v>
      </c>
      <c r="T76" s="32">
        <v>37.64</v>
      </c>
      <c r="U76" s="37">
        <v>0</v>
      </c>
      <c r="V76" s="33">
        <v>45.85</v>
      </c>
      <c r="W76" s="37">
        <v>8.8000000000000007</v>
      </c>
      <c r="X76" s="4">
        <f t="shared" si="13"/>
        <v>83.490000000000009</v>
      </c>
      <c r="Y76" s="33">
        <v>46.51</v>
      </c>
      <c r="Z76" s="37">
        <v>8.8000000000000007</v>
      </c>
      <c r="AA76" s="32"/>
      <c r="AB76" s="37"/>
      <c r="AC76" s="33"/>
      <c r="AD76" s="37"/>
      <c r="AE76" s="4">
        <f t="shared" si="14"/>
        <v>0</v>
      </c>
      <c r="AF76" s="33"/>
      <c r="AG76" s="37"/>
    </row>
    <row r="77" spans="1:33" x14ac:dyDescent="0.2">
      <c r="A77" s="1" t="str" cm="1">
        <f t="array" ref="A77">IF(I77="","",IF(P77&lt;&gt;"",SUMPRODUCT((P$3:P$82&lt;&gt;"")*(G$3:G$82=G77)*(J$3:J$82&gt;J77)*(I$3:I$82="P"))+1,IF(O77&lt;&gt;"",SUMPRODUCT((O$3:O$82&lt;&gt;"")*(P$3:P$82="")*(G$3:G$82=G77)*(J$3:J$82&gt;J77)*(I$3:I$82="P"))+SUMPRODUCT((P$3:P$82&lt;&gt;"")*(G$3:G$82=G77)*(I$3:I$82="P"))+1,IF(N77&lt;&gt;"",SUMPRODUCT((N$3:N$82&lt;&gt;"")*(G$3:G$82=G77)*(J$3:J$82&gt;J77)*(I$3:I$82="P"))+1,IF(M77="P",SUMPRODUCT((O$3:O$82&lt;&gt;"")*(P$3:P$82="")*(G$3:G$82=G77)*(I$3:I$82="P"))+SUMPRODUCT((P$3:P$82&lt;&gt;"")*(G$3:G$82=G77)*(I$3:I$82="P"))+SUMPRODUCT((N$3:N$82&lt;&gt;"")*(G$3:G$82=G77)*(I$3:I$82="P"))+SUMPRODUCT((P$3:P$82="")*(O$3:O$82="")*(N$3:N$82="")*(M$3:M$82="P")*(G$3:G$82=G77)*(J$3:J$82&gt;J77)*(I$3:I$82="P"))+IF(H77="L5",SUMPRODUCT((P$3:P$82="")*(O$3:O$82="")*(N$3:N$82="")*(M$3:M$82="P")*(G$3:G$82=G77)*(J$3:J$82&lt;J77)*(H$3:H$82&lt;&gt;H77)*(I$3:I$82="P")),-1*SUMPRODUCT((P$3:P$82="")*(O$3:O$82="")*(N$3:N$82="")*(M$3:M$82="P")*(G$3:G$82=G77)*(J$3:J$82&gt;J77)*(H$3:H$82="L5")*(I$3:I$82="P")))+1,"")))))</f>
        <v/>
      </c>
      <c r="B77" s="1" t="str" cm="1">
        <f t="array" ref="B77">IF(P77&lt;&gt;"",SUMPRODUCT((P$3:P$82&lt;&gt;"")*(G$3:G$82=G77)*(J$3:J$82&gt;J77))+1,IF(O77&lt;&gt;"",SUMPRODUCT((O$3:O$82&lt;&gt;"")*(P$3:P$82="")*(G$3:G$82=G77)*(J$3:J$82&gt;J77))+SUMPRODUCT((P$3:P$82&lt;&gt;"")*(G$3:G$82=G77))+1,IF(N77&lt;&gt;"",SUMPRODUCT((N$3:N$82&lt;&gt;"")*(G$3:G$82=G77)*(J$3:J$82&gt;J77))+1,IF(M77="P",SUMPRODUCT((O$3:O$82&lt;&gt;"")*(P$3:P$82="")*(G$3:G$82=G77))+SUMPRODUCT((P$3:P$82&lt;&gt;"")*(G$3:G$82=G77))+SUMPRODUCT((N$3:N$82&lt;&gt;"")*(G$3:G$82=G77))+SUMPRODUCT((P$3:P$82="")*(O$3:O$82="")*(N$3:N$82="")*(M$3:M$82="P")*(G$3:G$82=G77)*(J$3:J$82&gt;J77))+IF(H77="L5",SUMPRODUCT((P$3:P$82="")*(O$3:O$82="")*(N$3:N$82="")*(M$3:M$82="P")*(G$3:G$82=G77)*(J$3:J$82&lt;J77)*(H$3:H$82&lt;&gt;H77)),-1*SUMPRODUCT((P$3:P$82="")*(O$3:O$82="")*(N$3:N$82="")*(M$3:M$82="P")*(G$3:G$82=G77)*(J$3:J$82&gt;J77)*(H$3:H$82="L5")))+1,""))))</f>
        <v/>
      </c>
      <c r="C77" s="35" t="s">
        <v>335</v>
      </c>
      <c r="D77" s="35" t="str">
        <f>IF(E77="","",VLOOKUP(E77,'Coaching Points'!A:B,2,0))</f>
        <v>QC</v>
      </c>
      <c r="E77" s="35" t="s">
        <v>85</v>
      </c>
      <c r="F77" s="34">
        <v>2010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13-14</v>
      </c>
      <c r="H77" s="36" t="s">
        <v>64</v>
      </c>
      <c r="I77" s="40"/>
      <c r="J77" s="4">
        <f t="shared" si="10"/>
        <v>81.45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/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 t="shared" si="11"/>
        <v/>
      </c>
      <c r="R77" s="4">
        <f t="shared" si="12"/>
        <v>81.45</v>
      </c>
      <c r="S77" s="4">
        <f>IF(G77="17-21",LARGE(CHOOSE({1,2,3,4,5,6},T77,V77,Y77,AA77,AC77,AF77),2),IF(R77=X77,MAX(Y77,AA77,AC77,AF77),IF(R77=AE77,MAX(AF77,T77,V77,Y77),0)))</f>
        <v>9.2200000000000006</v>
      </c>
      <c r="T77" s="32">
        <v>36.85</v>
      </c>
      <c r="U77" s="37">
        <v>0</v>
      </c>
      <c r="V77" s="33">
        <v>44.6</v>
      </c>
      <c r="W77" s="37">
        <v>7.1</v>
      </c>
      <c r="X77" s="4">
        <f t="shared" si="13"/>
        <v>81.45</v>
      </c>
      <c r="Y77" s="33">
        <v>9.2200000000000006</v>
      </c>
      <c r="Z77" s="37">
        <v>1.7</v>
      </c>
      <c r="AA77" s="32"/>
      <c r="AB77" s="37"/>
      <c r="AC77" s="33"/>
      <c r="AD77" s="37"/>
      <c r="AE77" s="4">
        <f t="shared" si="14"/>
        <v>0</v>
      </c>
      <c r="AF77" s="33"/>
      <c r="AG77" s="37"/>
    </row>
    <row r="78" spans="1:33" x14ac:dyDescent="0.2">
      <c r="A78" s="1" t="str" cm="1">
        <f t="array" ref="A78">IF(I78="","",IF(P78&lt;&gt;"",SUMPRODUCT((P$3:P$82&lt;&gt;"")*(G$3:G$82=G78)*(J$3:J$82&gt;J78)*(I$3:I$82="P"))+1,IF(O78&lt;&gt;"",SUMPRODUCT((O$3:O$82&lt;&gt;"")*(P$3:P$82="")*(G$3:G$82=G78)*(J$3:J$82&gt;J78)*(I$3:I$82="P"))+SUMPRODUCT((P$3:P$82&lt;&gt;"")*(G$3:G$82=G78)*(I$3:I$82="P"))+1,IF(N78&lt;&gt;"",SUMPRODUCT((N$3:N$82&lt;&gt;"")*(G$3:G$82=G78)*(J$3:J$82&gt;J78)*(I$3:I$82="P"))+1,IF(M78="P",SUMPRODUCT((O$3:O$82&lt;&gt;"")*(P$3:P$82="")*(G$3:G$82=G78)*(I$3:I$82="P"))+SUMPRODUCT((P$3:P$82&lt;&gt;"")*(G$3:G$82=G78)*(I$3:I$82="P"))+SUMPRODUCT((N$3:N$82&lt;&gt;"")*(G$3:G$82=G78)*(I$3:I$82="P"))+SUMPRODUCT((P$3:P$82="")*(O$3:O$82="")*(N$3:N$82="")*(M$3:M$82="P")*(G$3:G$82=G78)*(J$3:J$82&gt;J78)*(I$3:I$82="P"))+IF(H78="L5",SUMPRODUCT((P$3:P$82="")*(O$3:O$82="")*(N$3:N$82="")*(M$3:M$82="P")*(G$3:G$82=G78)*(J$3:J$82&lt;J78)*(H$3:H$82&lt;&gt;H78)*(I$3:I$82="P")),-1*SUMPRODUCT((P$3:P$82="")*(O$3:O$82="")*(N$3:N$82="")*(M$3:M$82="P")*(G$3:G$82=G78)*(J$3:J$82&gt;J78)*(H$3:H$82="L5")*(I$3:I$82="P")))+1,"")))))</f>
        <v/>
      </c>
      <c r="B78" s="1" t="str" cm="1">
        <f t="array" ref="B78">IF(P78&lt;&gt;"",SUMPRODUCT((P$3:P$82&lt;&gt;"")*(G$3:G$82=G78)*(J$3:J$82&gt;J78))+1,IF(O78&lt;&gt;"",SUMPRODUCT((O$3:O$82&lt;&gt;"")*(P$3:P$82="")*(G$3:G$82=G78)*(J$3:J$82&gt;J78))+SUMPRODUCT((P$3:P$82&lt;&gt;"")*(G$3:G$82=G78))+1,IF(N78&lt;&gt;"",SUMPRODUCT((N$3:N$82&lt;&gt;"")*(G$3:G$82=G78)*(J$3:J$82&gt;J78))+1,IF(M78="P",SUMPRODUCT((O$3:O$82&lt;&gt;"")*(P$3:P$82="")*(G$3:G$82=G78))+SUMPRODUCT((P$3:P$82&lt;&gt;"")*(G$3:G$82=G78))+SUMPRODUCT((N$3:N$82&lt;&gt;"")*(G$3:G$82=G78))+SUMPRODUCT((P$3:P$82="")*(O$3:O$82="")*(N$3:N$82="")*(M$3:M$82="P")*(G$3:G$82=G78)*(J$3:J$82&gt;J78))+IF(H78="L5",SUMPRODUCT((P$3:P$82="")*(O$3:O$82="")*(N$3:N$82="")*(M$3:M$82="P")*(G$3:G$82=G78)*(J$3:J$82&lt;J78)*(H$3:H$82&lt;&gt;H78)),-1*SUMPRODUCT((P$3:P$82="")*(O$3:O$82="")*(N$3:N$82="")*(M$3:M$82="P")*(G$3:G$82=G78)*(J$3:J$82&gt;J78)*(H$3:H$82="L5")))+1,""))))</f>
        <v/>
      </c>
      <c r="C78" s="35" t="s">
        <v>285</v>
      </c>
      <c r="D78" s="35" t="str">
        <f>IF(E78="","",VLOOKUP(E78,'Coaching Points'!A:B,2,0))</f>
        <v>BC</v>
      </c>
      <c r="E78" s="35" t="s">
        <v>40</v>
      </c>
      <c r="F78" s="34">
        <v>2010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13-14</v>
      </c>
      <c r="H78" s="36" t="s">
        <v>64</v>
      </c>
      <c r="I78" s="40"/>
      <c r="J78" s="4">
        <f t="shared" si="10"/>
        <v>80.13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 t="shared" si="11"/>
        <v/>
      </c>
      <c r="R78" s="4">
        <f t="shared" si="12"/>
        <v>80.13</v>
      </c>
      <c r="S78" s="4">
        <f>IF(G78="17-21",LARGE(CHOOSE({1,2,3,4,5,6},T78,V78,Y78,AA78,AC78,AF78),2),IF(R78=X78,MAX(Y78,AA78,AC78,AF78),IF(R78=AE78,MAX(AF78,T78,V78,Y78),0)))</f>
        <v>43.55</v>
      </c>
      <c r="T78" s="32">
        <v>35.479999999999997</v>
      </c>
      <c r="U78" s="37">
        <v>0</v>
      </c>
      <c r="V78" s="33">
        <v>44.65</v>
      </c>
      <c r="W78" s="37">
        <v>8.1</v>
      </c>
      <c r="X78" s="4">
        <f t="shared" si="13"/>
        <v>80.13</v>
      </c>
      <c r="Y78" s="33">
        <v>43.55</v>
      </c>
      <c r="Z78" s="37">
        <v>8.1</v>
      </c>
      <c r="AA78" s="32"/>
      <c r="AB78" s="37"/>
      <c r="AC78" s="33"/>
      <c r="AD78" s="37"/>
      <c r="AE78" s="4">
        <f t="shared" si="14"/>
        <v>0</v>
      </c>
      <c r="AF78" s="33"/>
      <c r="AG78" s="37"/>
    </row>
    <row r="79" spans="1:33" x14ac:dyDescent="0.2">
      <c r="A79" s="1" t="str" cm="1">
        <f t="array" ref="A79">IF(I79="","",IF(P79&lt;&gt;"",SUMPRODUCT((P$3:P$82&lt;&gt;"")*(G$3:G$82=G79)*(J$3:J$82&gt;J79)*(I$3:I$82="P"))+1,IF(O79&lt;&gt;"",SUMPRODUCT((O$3:O$82&lt;&gt;"")*(P$3:P$82="")*(G$3:G$82=G79)*(J$3:J$82&gt;J79)*(I$3:I$82="P"))+SUMPRODUCT((P$3:P$82&lt;&gt;"")*(G$3:G$82=G79)*(I$3:I$82="P"))+1,IF(N79&lt;&gt;"",SUMPRODUCT((N$3:N$82&lt;&gt;"")*(G$3:G$82=G79)*(J$3:J$82&gt;J79)*(I$3:I$82="P"))+1,IF(M79="P",SUMPRODUCT((O$3:O$82&lt;&gt;"")*(P$3:P$82="")*(G$3:G$82=G79)*(I$3:I$82="P"))+SUMPRODUCT((P$3:P$82&lt;&gt;"")*(G$3:G$82=G79)*(I$3:I$82="P"))+SUMPRODUCT((N$3:N$82&lt;&gt;"")*(G$3:G$82=G79)*(I$3:I$82="P"))+SUMPRODUCT((P$3:P$82="")*(O$3:O$82="")*(N$3:N$82="")*(M$3:M$82="P")*(G$3:G$82=G79)*(J$3:J$82&gt;J79)*(I$3:I$82="P"))+IF(H79="L5",SUMPRODUCT((P$3:P$82="")*(O$3:O$82="")*(N$3:N$82="")*(M$3:M$82="P")*(G$3:G$82=G79)*(J$3:J$82&lt;J79)*(H$3:H$82&lt;&gt;H79)*(I$3:I$82="P")),-1*SUMPRODUCT((P$3:P$82="")*(O$3:O$82="")*(N$3:N$82="")*(M$3:M$82="P")*(G$3:G$82=G79)*(J$3:J$82&gt;J79)*(H$3:H$82="L5")*(I$3:I$82="P")))+1,"")))))</f>
        <v/>
      </c>
      <c r="B79" s="1" t="str" cm="1">
        <f t="array" ref="B79">IF(P79&lt;&gt;"",SUMPRODUCT((P$3:P$82&lt;&gt;"")*(G$3:G$82=G79)*(J$3:J$82&gt;J79))+1,IF(O79&lt;&gt;"",SUMPRODUCT((O$3:O$82&lt;&gt;"")*(P$3:P$82="")*(G$3:G$82=G79)*(J$3:J$82&gt;J79))+SUMPRODUCT((P$3:P$82&lt;&gt;"")*(G$3:G$82=G79))+1,IF(N79&lt;&gt;"",SUMPRODUCT((N$3:N$82&lt;&gt;"")*(G$3:G$82=G79)*(J$3:J$82&gt;J79))+1,IF(M79="P",SUMPRODUCT((O$3:O$82&lt;&gt;"")*(P$3:P$82="")*(G$3:G$82=G79))+SUMPRODUCT((P$3:P$82&lt;&gt;"")*(G$3:G$82=G79))+SUMPRODUCT((N$3:N$82&lt;&gt;"")*(G$3:G$82=G79))+SUMPRODUCT((P$3:P$82="")*(O$3:O$82="")*(N$3:N$82="")*(M$3:M$82="P")*(G$3:G$82=G79)*(J$3:J$82&gt;J79))+IF(H79="L5",SUMPRODUCT((P$3:P$82="")*(O$3:O$82="")*(N$3:N$82="")*(M$3:M$82="P")*(G$3:G$82=G79)*(J$3:J$82&lt;J79)*(H$3:H$82&lt;&gt;H79)),-1*SUMPRODUCT((P$3:P$82="")*(O$3:O$82="")*(N$3:N$82="")*(M$3:M$82="P")*(G$3:G$82=G79)*(J$3:J$82&gt;J79)*(H$3:H$82="L5")))+1,""))))</f>
        <v/>
      </c>
      <c r="C79" s="35" t="s">
        <v>333</v>
      </c>
      <c r="D79" s="35" t="str">
        <f>IF(E79="","",VLOOKUP(E79,'Coaching Points'!A:B,2,0))</f>
        <v>AB</v>
      </c>
      <c r="E79" s="35" t="s">
        <v>39</v>
      </c>
      <c r="F79" s="34">
        <v>2010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13-14</v>
      </c>
      <c r="H79" s="36" t="s">
        <v>64</v>
      </c>
      <c r="I79" s="40"/>
      <c r="J79" s="4">
        <f t="shared" si="10"/>
        <v>78.97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>P</v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 t="shared" si="11"/>
        <v/>
      </c>
      <c r="R79" s="4">
        <f t="shared" si="12"/>
        <v>78.97</v>
      </c>
      <c r="S79" s="4">
        <f>IF(G79="17-21",LARGE(CHOOSE({1,2,3,4,5,6},T79,V79,Y79,AA79,AC79,AF79),2),IF(R79=X79,MAX(Y79,AA79,AC79,AF79),IF(R79=AE79,MAX(AF79,T79,V79,Y79),0)))</f>
        <v>44.04</v>
      </c>
      <c r="T79" s="32">
        <v>36.049999999999997</v>
      </c>
      <c r="U79" s="37">
        <v>0</v>
      </c>
      <c r="V79" s="33">
        <v>42.92</v>
      </c>
      <c r="W79" s="37">
        <v>8.4</v>
      </c>
      <c r="X79" s="4">
        <f t="shared" si="13"/>
        <v>78.97</v>
      </c>
      <c r="Y79" s="33">
        <v>44.04</v>
      </c>
      <c r="Z79" s="37">
        <v>8.4</v>
      </c>
      <c r="AA79" s="32"/>
      <c r="AB79" s="37"/>
      <c r="AC79" s="33"/>
      <c r="AD79" s="37"/>
      <c r="AE79" s="4">
        <f t="shared" si="14"/>
        <v>0</v>
      </c>
      <c r="AF79" s="33"/>
      <c r="AG79" s="37"/>
    </row>
    <row r="80" spans="1:33" x14ac:dyDescent="0.2">
      <c r="A80" s="1" t="str" cm="1">
        <f t="array" ref="A80">IF(I80="","",IF(P80&lt;&gt;"",SUMPRODUCT((P$3:P$82&lt;&gt;"")*(G$3:G$82=G80)*(J$3:J$82&gt;J80)*(I$3:I$82="P"))+1,IF(O80&lt;&gt;"",SUMPRODUCT((O$3:O$82&lt;&gt;"")*(P$3:P$82="")*(G$3:G$82=G80)*(J$3:J$82&gt;J80)*(I$3:I$82="P"))+SUMPRODUCT((P$3:P$82&lt;&gt;"")*(G$3:G$82=G80)*(I$3:I$82="P"))+1,IF(N80&lt;&gt;"",SUMPRODUCT((N$3:N$82&lt;&gt;"")*(G$3:G$82=G80)*(J$3:J$82&gt;J80)*(I$3:I$82="P"))+1,IF(M80="P",SUMPRODUCT((O$3:O$82&lt;&gt;"")*(P$3:P$82="")*(G$3:G$82=G80)*(I$3:I$82="P"))+SUMPRODUCT((P$3:P$82&lt;&gt;"")*(G$3:G$82=G80)*(I$3:I$82="P"))+SUMPRODUCT((N$3:N$82&lt;&gt;"")*(G$3:G$82=G80)*(I$3:I$82="P"))+SUMPRODUCT((P$3:P$82="")*(O$3:O$82="")*(N$3:N$82="")*(M$3:M$82="P")*(G$3:G$82=G80)*(J$3:J$82&gt;J80)*(I$3:I$82="P"))+IF(H80="L5",SUMPRODUCT((P$3:P$82="")*(O$3:O$82="")*(N$3:N$82="")*(M$3:M$82="P")*(G$3:G$82=G80)*(J$3:J$82&lt;J80)*(H$3:H$82&lt;&gt;H80)*(I$3:I$82="P")),-1*SUMPRODUCT((P$3:P$82="")*(O$3:O$82="")*(N$3:N$82="")*(M$3:M$82="P")*(G$3:G$82=G80)*(J$3:J$82&gt;J80)*(H$3:H$82="L5")*(I$3:I$82="P")))+1,"")))))</f>
        <v/>
      </c>
      <c r="B80" s="1" t="str" cm="1">
        <f t="array" ref="B80">IF(P80&lt;&gt;"",SUMPRODUCT((P$3:P$82&lt;&gt;"")*(G$3:G$82=G80)*(J$3:J$82&gt;J80))+1,IF(O80&lt;&gt;"",SUMPRODUCT((O$3:O$82&lt;&gt;"")*(P$3:P$82="")*(G$3:G$82=G80)*(J$3:J$82&gt;J80))+SUMPRODUCT((P$3:P$82&lt;&gt;"")*(G$3:G$82=G80))+1,IF(N80&lt;&gt;"",SUMPRODUCT((N$3:N$82&lt;&gt;"")*(G$3:G$82=G80)*(J$3:J$82&gt;J80))+1,IF(M80="P",SUMPRODUCT((O$3:O$82&lt;&gt;"")*(P$3:P$82="")*(G$3:G$82=G80))+SUMPRODUCT((P$3:P$82&lt;&gt;"")*(G$3:G$82=G80))+SUMPRODUCT((N$3:N$82&lt;&gt;"")*(G$3:G$82=G80))+SUMPRODUCT((P$3:P$82="")*(O$3:O$82="")*(N$3:N$82="")*(M$3:M$82="P")*(G$3:G$82=G80)*(J$3:J$82&gt;J80))+IF(H80="L5",SUMPRODUCT((P$3:P$82="")*(O$3:O$82="")*(N$3:N$82="")*(M$3:M$82="P")*(G$3:G$82=G80)*(J$3:J$82&lt;J80)*(H$3:H$82&lt;&gt;H80)),-1*SUMPRODUCT((P$3:P$82="")*(O$3:O$82="")*(N$3:N$82="")*(M$3:M$82="P")*(G$3:G$82=G80)*(J$3:J$82&gt;J80)*(H$3:H$82="L5")))+1,""))))</f>
        <v/>
      </c>
      <c r="C80" s="35" t="s">
        <v>334</v>
      </c>
      <c r="D80" s="35" t="str">
        <f>IF(E80="","",VLOOKUP(E80,'Coaching Points'!A:B,2,0))</f>
        <v>AB</v>
      </c>
      <c r="E80" s="35" t="s">
        <v>39</v>
      </c>
      <c r="F80" s="34">
        <v>2010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6" t="s">
        <v>64</v>
      </c>
      <c r="I80" s="40"/>
      <c r="J80" s="4">
        <f t="shared" si="10"/>
        <v>78.900000000000006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>P</v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 t="shared" si="11"/>
        <v/>
      </c>
      <c r="R80" s="4">
        <f t="shared" si="12"/>
        <v>78.900000000000006</v>
      </c>
      <c r="S80" s="4">
        <f>IF(G80="17-21",LARGE(CHOOSE({1,2,3,4,5,6},T80,V80,Y80,AA80,AC80,AF80),2),IF(R80=X80,MAX(Y80,AA80,AC80,AF80),IF(R80=AE80,MAX(AF80,T80,V80,Y80),0)))</f>
        <v>43.81</v>
      </c>
      <c r="T80" s="32">
        <v>36.56</v>
      </c>
      <c r="U80" s="37">
        <v>0</v>
      </c>
      <c r="V80" s="33">
        <v>42.34</v>
      </c>
      <c r="W80" s="37">
        <v>8.4</v>
      </c>
      <c r="X80" s="4">
        <f t="shared" si="13"/>
        <v>78.900000000000006</v>
      </c>
      <c r="Y80" s="33">
        <v>43.81</v>
      </c>
      <c r="Z80" s="37">
        <v>8.6999999999999993</v>
      </c>
      <c r="AA80" s="32"/>
      <c r="AB80" s="37"/>
      <c r="AC80" s="33"/>
      <c r="AD80" s="37"/>
      <c r="AE80" s="4">
        <f t="shared" si="14"/>
        <v>0</v>
      </c>
      <c r="AF80" s="33"/>
      <c r="AG80" s="37"/>
    </row>
    <row r="81" spans="1:33" x14ac:dyDescent="0.2">
      <c r="A81" s="1" t="str" cm="1">
        <f t="array" ref="A81">IF(I81="","",IF(P81&lt;&gt;"",SUMPRODUCT((P$3:P$82&lt;&gt;"")*(G$3:G$82=G81)*(J$3:J$82&gt;J81)*(I$3:I$82="P"))+1,IF(O81&lt;&gt;"",SUMPRODUCT((O$3:O$82&lt;&gt;"")*(P$3:P$82="")*(G$3:G$82=G81)*(J$3:J$82&gt;J81)*(I$3:I$82="P"))+SUMPRODUCT((P$3:P$82&lt;&gt;"")*(G$3:G$82=G81)*(I$3:I$82="P"))+1,IF(N81&lt;&gt;"",SUMPRODUCT((N$3:N$82&lt;&gt;"")*(G$3:G$82=G81)*(J$3:J$82&gt;J81)*(I$3:I$82="P"))+1,IF(M81="P",SUMPRODUCT((O$3:O$82&lt;&gt;"")*(P$3:P$82="")*(G$3:G$82=G81)*(I$3:I$82="P"))+SUMPRODUCT((P$3:P$82&lt;&gt;"")*(G$3:G$82=G81)*(I$3:I$82="P"))+SUMPRODUCT((N$3:N$82&lt;&gt;"")*(G$3:G$82=G81)*(I$3:I$82="P"))+SUMPRODUCT((P$3:P$82="")*(O$3:O$82="")*(N$3:N$82="")*(M$3:M$82="P")*(G$3:G$82=G81)*(J$3:J$82&gt;J81)*(I$3:I$82="P"))+IF(H81="L5",SUMPRODUCT((P$3:P$82="")*(O$3:O$82="")*(N$3:N$82="")*(M$3:M$82="P")*(G$3:G$82=G81)*(J$3:J$82&lt;J81)*(H$3:H$82&lt;&gt;H81)*(I$3:I$82="P")),-1*SUMPRODUCT((P$3:P$82="")*(O$3:O$82="")*(N$3:N$82="")*(M$3:M$82="P")*(G$3:G$82=G81)*(J$3:J$82&gt;J81)*(H$3:H$82="L5")*(I$3:I$82="P")))+1,"")))))</f>
        <v/>
      </c>
      <c r="B81" s="1" t="str" cm="1">
        <f t="array" ref="B81">IF(P81&lt;&gt;"",SUMPRODUCT((P$3:P$82&lt;&gt;"")*(G$3:G$82=G81)*(J$3:J$82&gt;J81))+1,IF(O81&lt;&gt;"",SUMPRODUCT((O$3:O$82&lt;&gt;"")*(P$3:P$82="")*(G$3:G$82=G81)*(J$3:J$82&gt;J81))+SUMPRODUCT((P$3:P$82&lt;&gt;"")*(G$3:G$82=G81))+1,IF(N81&lt;&gt;"",SUMPRODUCT((N$3:N$82&lt;&gt;"")*(G$3:G$82=G81)*(J$3:J$82&gt;J81))+1,IF(M81="P",SUMPRODUCT((O$3:O$82&lt;&gt;"")*(P$3:P$82="")*(G$3:G$82=G81))+SUMPRODUCT((P$3:P$82&lt;&gt;"")*(G$3:G$82=G81))+SUMPRODUCT((N$3:N$82&lt;&gt;"")*(G$3:G$82=G81))+SUMPRODUCT((P$3:P$82="")*(O$3:O$82="")*(N$3:N$82="")*(M$3:M$82="P")*(G$3:G$82=G81)*(J$3:J$82&gt;J81))+IF(H81="L5",SUMPRODUCT((P$3:P$82="")*(O$3:O$82="")*(N$3:N$82="")*(M$3:M$82="P")*(G$3:G$82=G81)*(J$3:J$82&lt;J81)*(H$3:H$82&lt;&gt;H81)),-1*SUMPRODUCT((P$3:P$82="")*(O$3:O$82="")*(N$3:N$82="")*(M$3:M$82="P")*(G$3:G$82=G81)*(J$3:J$82&gt;J81)*(H$3:H$82="L5")))+1,""))))</f>
        <v/>
      </c>
      <c r="C81" s="35" t="s">
        <v>332</v>
      </c>
      <c r="D81" s="35" t="str">
        <f>IF(E81="","",VLOOKUP(E81,'Coaching Points'!A:B,2,0))</f>
        <v>AB</v>
      </c>
      <c r="E81" s="35" t="s">
        <v>39</v>
      </c>
      <c r="F81" s="34">
        <v>2010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6" t="s">
        <v>64</v>
      </c>
      <c r="I81" s="40"/>
      <c r="J81" s="4">
        <f t="shared" si="10"/>
        <v>78.099999999999994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/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 t="shared" si="11"/>
        <v/>
      </c>
      <c r="R81" s="4">
        <f t="shared" si="12"/>
        <v>78.099999999999994</v>
      </c>
      <c r="S81" s="4">
        <f>IF(G81="17-21",LARGE(CHOOSE({1,2,3,4,5,6},T81,V81,Y81,AA81,AC81,AF81),2),IF(R81=X81,MAX(Y81,AA81,AC81,AF81),IF(R81=AE81,MAX(AF81,T81,V81,Y81),0)))</f>
        <v>45.18</v>
      </c>
      <c r="T81" s="32">
        <v>38.26</v>
      </c>
      <c r="U81" s="37">
        <v>0</v>
      </c>
      <c r="V81" s="33">
        <v>39.840000000000003</v>
      </c>
      <c r="W81" s="37">
        <v>7.1</v>
      </c>
      <c r="X81" s="4">
        <f t="shared" si="13"/>
        <v>78.099999999999994</v>
      </c>
      <c r="Y81" s="33">
        <v>45.18</v>
      </c>
      <c r="Z81" s="37">
        <v>8.1</v>
      </c>
      <c r="AA81" s="32"/>
      <c r="AB81" s="37"/>
      <c r="AC81" s="33"/>
      <c r="AD81" s="37"/>
      <c r="AE81" s="4">
        <f t="shared" si="14"/>
        <v>0</v>
      </c>
      <c r="AF81" s="33"/>
      <c r="AG81" s="37"/>
    </row>
    <row r="82" spans="1:33" x14ac:dyDescent="0.2">
      <c r="B82" s="1"/>
      <c r="G82" s="1"/>
      <c r="H82" s="36"/>
      <c r="I82" s="40"/>
      <c r="J82" s="4"/>
      <c r="K82" s="3"/>
      <c r="L82" s="3"/>
      <c r="R82" s="4"/>
      <c r="S82" s="4"/>
      <c r="T82" s="32"/>
      <c r="U82" s="37"/>
      <c r="V82" s="33"/>
      <c r="W82" s="37"/>
      <c r="X82" s="4"/>
      <c r="Y82" s="33"/>
      <c r="Z82" s="37"/>
      <c r="AA82" s="32"/>
      <c r="AB82" s="37"/>
      <c r="AC82" s="33"/>
      <c r="AD82" s="37"/>
      <c r="AE82" s="4"/>
      <c r="AF82" s="33"/>
      <c r="AG82" s="37"/>
    </row>
    <row r="83" spans="1:33" x14ac:dyDescent="0.2">
      <c r="B83" s="1"/>
      <c r="G83" s="1"/>
      <c r="H83" s="36"/>
      <c r="I83" s="40"/>
      <c r="J83" s="4"/>
      <c r="K83" s="3"/>
      <c r="L83" s="3"/>
      <c r="R83" s="4"/>
      <c r="S83" s="4"/>
      <c r="T83" s="32"/>
      <c r="U83" s="37"/>
      <c r="V83" s="33"/>
      <c r="W83" s="37"/>
      <c r="X83" s="4"/>
      <c r="Y83" s="33"/>
      <c r="Z83" s="37"/>
      <c r="AA83" s="32"/>
      <c r="AB83" s="37"/>
      <c r="AC83" s="33"/>
      <c r="AD83" s="37"/>
      <c r="AE83" s="4"/>
      <c r="AF83" s="33"/>
      <c r="AG83" s="37"/>
    </row>
    <row r="84" spans="1:33" x14ac:dyDescent="0.2">
      <c r="B84" s="1"/>
      <c r="G84" s="1"/>
      <c r="H84" s="36"/>
      <c r="I84" s="40"/>
      <c r="J84" s="4"/>
      <c r="K84" s="3"/>
      <c r="L84" s="3"/>
      <c r="R84" s="4"/>
      <c r="S84" s="4"/>
      <c r="T84" s="32"/>
      <c r="U84" s="37"/>
      <c r="V84" s="33"/>
      <c r="W84" s="37"/>
      <c r="X84" s="4"/>
      <c r="Y84" s="33"/>
      <c r="Z84" s="37"/>
      <c r="AA84" s="32"/>
      <c r="AB84" s="37"/>
      <c r="AC84" s="33"/>
      <c r="AD84" s="37"/>
      <c r="AE84" s="4"/>
      <c r="AF84" s="33"/>
      <c r="AG84" s="37"/>
    </row>
    <row r="85" spans="1:33" x14ac:dyDescent="0.2">
      <c r="B85" s="1"/>
      <c r="G85" s="1"/>
      <c r="H85" s="36"/>
      <c r="I85" s="40"/>
      <c r="J85" s="4"/>
      <c r="K85" s="3"/>
      <c r="L85" s="3"/>
      <c r="R85" s="4"/>
      <c r="S85" s="4"/>
      <c r="T85" s="32"/>
      <c r="U85" s="37"/>
      <c r="V85" s="33"/>
      <c r="W85" s="37"/>
      <c r="X85" s="4"/>
      <c r="Y85" s="33"/>
      <c r="Z85" s="37"/>
      <c r="AA85" s="32"/>
      <c r="AB85" s="37"/>
      <c r="AC85" s="33"/>
      <c r="AD85" s="37"/>
      <c r="AE85" s="4"/>
      <c r="AF85" s="33"/>
      <c r="AG85" s="37"/>
    </row>
    <row r="86" spans="1:33" x14ac:dyDescent="0.2">
      <c r="B86" s="1"/>
      <c r="G86" s="1"/>
      <c r="H86" s="36"/>
      <c r="I86" s="40"/>
      <c r="J86" s="4"/>
      <c r="K86" s="3"/>
      <c r="L86" s="3"/>
      <c r="R86" s="4"/>
      <c r="S86" s="4"/>
      <c r="T86" s="32"/>
      <c r="U86" s="37"/>
      <c r="V86" s="33"/>
      <c r="W86" s="37"/>
      <c r="X86" s="4"/>
      <c r="Y86" s="33"/>
      <c r="Z86" s="37"/>
      <c r="AA86" s="32"/>
      <c r="AB86" s="37"/>
      <c r="AC86" s="33"/>
      <c r="AD86" s="37"/>
      <c r="AE86" s="4"/>
      <c r="AF86" s="33"/>
      <c r="AG86" s="37"/>
    </row>
    <row r="87" spans="1:33" x14ac:dyDescent="0.2">
      <c r="B87" s="1"/>
      <c r="G87" s="1"/>
      <c r="H87" s="36"/>
      <c r="I87" s="40"/>
      <c r="J87" s="4"/>
      <c r="K87" s="3"/>
      <c r="L87" s="3"/>
      <c r="R87" s="4"/>
      <c r="S87" s="4"/>
      <c r="T87" s="32"/>
      <c r="U87" s="37"/>
      <c r="V87" s="33"/>
      <c r="W87" s="37"/>
      <c r="X87" s="4"/>
      <c r="Y87" s="33"/>
      <c r="Z87" s="37"/>
      <c r="AA87" s="32"/>
      <c r="AB87" s="37"/>
      <c r="AC87" s="33"/>
      <c r="AD87" s="37"/>
      <c r="AE87" s="4"/>
      <c r="AF87" s="33"/>
      <c r="AG87" s="37"/>
    </row>
    <row r="88" spans="1:33" x14ac:dyDescent="0.2">
      <c r="B88" s="1"/>
      <c r="G88" s="1"/>
      <c r="H88" s="36"/>
      <c r="I88" s="40"/>
      <c r="J88" s="4"/>
      <c r="K88" s="3"/>
      <c r="L88" s="3"/>
      <c r="R88" s="4"/>
      <c r="S88" s="4"/>
      <c r="T88" s="32"/>
      <c r="U88" s="37"/>
      <c r="V88" s="33"/>
      <c r="W88" s="37"/>
      <c r="X88" s="4"/>
      <c r="Y88" s="33"/>
      <c r="Z88" s="37"/>
      <c r="AA88" s="32"/>
      <c r="AB88" s="37"/>
      <c r="AC88" s="33"/>
      <c r="AD88" s="37"/>
      <c r="AE88" s="4"/>
      <c r="AF88" s="33"/>
      <c r="AG88" s="37"/>
    </row>
    <row r="89" spans="1:33" x14ac:dyDescent="0.2">
      <c r="B89" s="1"/>
      <c r="G89" s="1"/>
      <c r="H89" s="36"/>
      <c r="I89" s="40"/>
      <c r="J89" s="4"/>
      <c r="K89" s="3"/>
      <c r="L89" s="3"/>
      <c r="R89" s="4"/>
      <c r="S89" s="4"/>
      <c r="T89" s="32"/>
      <c r="U89" s="37"/>
      <c r="V89" s="33"/>
      <c r="W89" s="37"/>
      <c r="X89" s="4"/>
      <c r="Y89" s="33"/>
      <c r="Z89" s="37"/>
      <c r="AA89" s="32"/>
      <c r="AB89" s="37"/>
      <c r="AC89" s="33"/>
      <c r="AD89" s="37"/>
      <c r="AE89" s="4"/>
      <c r="AF89" s="33"/>
      <c r="AG89" s="37"/>
    </row>
    <row r="90" spans="1:33" x14ac:dyDescent="0.2">
      <c r="B90" s="1"/>
      <c r="G90" s="1"/>
      <c r="H90" s="36"/>
      <c r="I90" s="40"/>
      <c r="J90" s="4"/>
      <c r="K90" s="3"/>
      <c r="L90" s="3"/>
      <c r="R90" s="4"/>
      <c r="S90" s="4"/>
      <c r="T90" s="32"/>
      <c r="U90" s="37"/>
      <c r="V90" s="33"/>
      <c r="W90" s="37"/>
      <c r="X90" s="4"/>
      <c r="Y90" s="33"/>
      <c r="Z90" s="37"/>
      <c r="AA90" s="32"/>
      <c r="AB90" s="37"/>
      <c r="AC90" s="33"/>
      <c r="AD90" s="37"/>
      <c r="AE90" s="4"/>
      <c r="AF90" s="33"/>
      <c r="AG90" s="37"/>
    </row>
    <row r="91" spans="1:33" x14ac:dyDescent="0.2">
      <c r="B91" s="1"/>
      <c r="G91" s="1"/>
      <c r="H91" s="36"/>
      <c r="I91" s="40"/>
      <c r="J91" s="4"/>
      <c r="K91" s="3"/>
      <c r="L91" s="3"/>
      <c r="R91" s="4"/>
      <c r="S91" s="4"/>
      <c r="T91" s="32"/>
      <c r="U91" s="37"/>
      <c r="V91" s="33"/>
      <c r="W91" s="37"/>
      <c r="X91" s="4"/>
      <c r="Y91" s="33"/>
      <c r="Z91" s="37"/>
      <c r="AA91" s="32"/>
      <c r="AB91" s="37"/>
      <c r="AC91" s="33"/>
      <c r="AD91" s="37"/>
      <c r="AE91" s="4"/>
      <c r="AF91" s="33"/>
      <c r="AG91" s="37"/>
    </row>
    <row r="92" spans="1:33" x14ac:dyDescent="0.2">
      <c r="B92" s="1"/>
      <c r="G92" s="1"/>
      <c r="H92" s="36"/>
      <c r="I92" s="40"/>
      <c r="J92" s="4"/>
      <c r="K92" s="3"/>
      <c r="L92" s="3"/>
      <c r="R92" s="4"/>
      <c r="S92" s="4"/>
      <c r="T92" s="32"/>
      <c r="U92" s="37"/>
      <c r="V92" s="33"/>
      <c r="W92" s="37"/>
      <c r="X92" s="4"/>
      <c r="Y92" s="33"/>
      <c r="Z92" s="37"/>
      <c r="AA92" s="32"/>
      <c r="AB92" s="37"/>
      <c r="AC92" s="33"/>
      <c r="AD92" s="37"/>
      <c r="AE92" s="4"/>
      <c r="AF92" s="33"/>
      <c r="AG92" s="37"/>
    </row>
    <row r="93" spans="1:33" x14ac:dyDescent="0.2">
      <c r="B93" s="1"/>
      <c r="G93" s="1"/>
      <c r="H93" s="36"/>
      <c r="I93" s="40"/>
      <c r="J93" s="4"/>
      <c r="K93" s="3"/>
      <c r="L93" s="3"/>
      <c r="R93" s="4"/>
      <c r="S93" s="4"/>
      <c r="T93" s="32"/>
      <c r="U93" s="37"/>
      <c r="V93" s="33"/>
      <c r="W93" s="37"/>
      <c r="X93" s="4"/>
      <c r="Y93" s="33"/>
      <c r="Z93" s="37"/>
      <c r="AA93" s="32"/>
      <c r="AB93" s="37"/>
      <c r="AC93" s="33"/>
      <c r="AD93" s="37"/>
      <c r="AE93" s="4"/>
      <c r="AF93" s="33"/>
      <c r="AG93" s="37"/>
    </row>
    <row r="94" spans="1:33" x14ac:dyDescent="0.2">
      <c r="B94" s="1"/>
      <c r="G94" s="1"/>
      <c r="H94" s="36"/>
      <c r="I94" s="40"/>
      <c r="J94" s="4"/>
      <c r="K94" s="3"/>
      <c r="L94" s="3"/>
      <c r="R94" s="4"/>
      <c r="S94" s="4"/>
      <c r="T94" s="32"/>
      <c r="U94" s="37"/>
      <c r="V94" s="33"/>
      <c r="W94" s="37"/>
      <c r="X94" s="4"/>
      <c r="Y94" s="33"/>
      <c r="Z94" s="37"/>
      <c r="AA94" s="32"/>
      <c r="AB94" s="37"/>
      <c r="AC94" s="33"/>
      <c r="AD94" s="37"/>
      <c r="AE94" s="4"/>
      <c r="AF94" s="33"/>
      <c r="AG94" s="37"/>
    </row>
    <row r="95" spans="1:33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3"/>
      <c r="W95" s="37"/>
      <c r="X95" s="4"/>
      <c r="Y95" s="33"/>
      <c r="Z95" s="37"/>
      <c r="AA95" s="32"/>
      <c r="AB95" s="37"/>
      <c r="AC95" s="33"/>
      <c r="AD95" s="37"/>
      <c r="AE95" s="4"/>
      <c r="AF95" s="33"/>
      <c r="AG95" s="37"/>
    </row>
    <row r="96" spans="1:33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3"/>
      <c r="W96" s="37"/>
      <c r="X96" s="4"/>
      <c r="Y96" s="33"/>
      <c r="Z96" s="37"/>
      <c r="AA96" s="32"/>
      <c r="AB96" s="37"/>
      <c r="AC96" s="33"/>
      <c r="AD96" s="37"/>
      <c r="AE96" s="4"/>
      <c r="AF96" s="33"/>
      <c r="AG96" s="37"/>
    </row>
    <row r="97" spans="2:33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3"/>
      <c r="W97" s="37"/>
      <c r="X97" s="4"/>
      <c r="Y97" s="33"/>
      <c r="Z97" s="37"/>
      <c r="AA97" s="32"/>
      <c r="AB97" s="37"/>
      <c r="AC97" s="33"/>
      <c r="AD97" s="37"/>
      <c r="AE97" s="4"/>
      <c r="AF97" s="33"/>
      <c r="AG97" s="37"/>
    </row>
    <row r="98" spans="2:33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3"/>
      <c r="W98" s="37"/>
      <c r="X98" s="4"/>
      <c r="Y98" s="33"/>
      <c r="Z98" s="37"/>
      <c r="AA98" s="32"/>
      <c r="AB98" s="37"/>
      <c r="AC98" s="33"/>
      <c r="AD98" s="37"/>
      <c r="AE98" s="4"/>
      <c r="AF98" s="33"/>
      <c r="AG98" s="37"/>
    </row>
    <row r="99" spans="2:33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3"/>
      <c r="W99" s="37"/>
      <c r="X99" s="4"/>
      <c r="Y99" s="33"/>
      <c r="Z99" s="37"/>
      <c r="AA99" s="32"/>
      <c r="AB99" s="37"/>
      <c r="AC99" s="33"/>
      <c r="AD99" s="37"/>
      <c r="AE99" s="4"/>
      <c r="AF99" s="33"/>
      <c r="AG99" s="37"/>
    </row>
    <row r="100" spans="2:33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3"/>
      <c r="W100" s="37"/>
      <c r="X100" s="4"/>
      <c r="Y100" s="33"/>
      <c r="Z100" s="37"/>
      <c r="AA100" s="32"/>
      <c r="AB100" s="37"/>
      <c r="AC100" s="33"/>
      <c r="AD100" s="37"/>
      <c r="AE100" s="4"/>
      <c r="AF100" s="33"/>
      <c r="AG100" s="37"/>
    </row>
    <row r="101" spans="2:33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3"/>
      <c r="W101" s="37"/>
      <c r="X101" s="4"/>
      <c r="Y101" s="33"/>
      <c r="Z101" s="37"/>
      <c r="AA101" s="32"/>
      <c r="AB101" s="37"/>
      <c r="AC101" s="33"/>
      <c r="AD101" s="37"/>
      <c r="AE101" s="4"/>
      <c r="AF101" s="33"/>
      <c r="AG101" s="37"/>
    </row>
    <row r="102" spans="2:33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3"/>
      <c r="W102" s="37"/>
      <c r="X102" s="4"/>
      <c r="Y102" s="33"/>
      <c r="Z102" s="37"/>
      <c r="AA102" s="32"/>
      <c r="AB102" s="37"/>
      <c r="AC102" s="33"/>
      <c r="AD102" s="37"/>
      <c r="AE102" s="4"/>
      <c r="AF102" s="33"/>
      <c r="AG102" s="37"/>
    </row>
    <row r="103" spans="2:33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3"/>
      <c r="W103" s="37"/>
      <c r="X103" s="4"/>
      <c r="Y103" s="33"/>
      <c r="Z103" s="37"/>
      <c r="AA103" s="32"/>
      <c r="AB103" s="37"/>
      <c r="AC103" s="33"/>
      <c r="AD103" s="37"/>
      <c r="AE103" s="4"/>
      <c r="AF103" s="33"/>
      <c r="AG103" s="37"/>
    </row>
    <row r="104" spans="2:33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3"/>
      <c r="W104" s="37"/>
      <c r="X104" s="4"/>
      <c r="Y104" s="33"/>
      <c r="Z104" s="37"/>
      <c r="AA104" s="32"/>
      <c r="AB104" s="37"/>
      <c r="AC104" s="33"/>
      <c r="AD104" s="37"/>
      <c r="AE104" s="4"/>
      <c r="AF104" s="33"/>
      <c r="AG104" s="37"/>
    </row>
    <row r="105" spans="2:33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3"/>
      <c r="W105" s="37"/>
      <c r="X105" s="4"/>
      <c r="Y105" s="33"/>
      <c r="Z105" s="37"/>
      <c r="AA105" s="32"/>
      <c r="AB105" s="37"/>
      <c r="AC105" s="33"/>
      <c r="AD105" s="37"/>
      <c r="AE105" s="4"/>
      <c r="AF105" s="33"/>
      <c r="AG105" s="37"/>
    </row>
    <row r="106" spans="2:33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3"/>
      <c r="W106" s="37"/>
      <c r="X106" s="4"/>
      <c r="Y106" s="33"/>
      <c r="Z106" s="37"/>
      <c r="AA106" s="32"/>
      <c r="AB106" s="37"/>
      <c r="AC106" s="33"/>
      <c r="AD106" s="37"/>
      <c r="AE106" s="4"/>
      <c r="AF106" s="33"/>
      <c r="AG106" s="37"/>
    </row>
    <row r="107" spans="2:33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3"/>
      <c r="W107" s="37"/>
      <c r="X107" s="4"/>
      <c r="Y107" s="33"/>
      <c r="Z107" s="37"/>
      <c r="AA107" s="32"/>
      <c r="AB107" s="37"/>
      <c r="AC107" s="33"/>
      <c r="AD107" s="37"/>
      <c r="AE107" s="4"/>
      <c r="AF107" s="33"/>
      <c r="AG107" s="37"/>
    </row>
    <row r="108" spans="2:33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3"/>
      <c r="W108" s="37"/>
      <c r="X108" s="4"/>
      <c r="Y108" s="33"/>
      <c r="Z108" s="37"/>
      <c r="AA108" s="32"/>
      <c r="AB108" s="37"/>
      <c r="AC108" s="33"/>
      <c r="AD108" s="37"/>
      <c r="AE108" s="4"/>
      <c r="AF108" s="33"/>
      <c r="AG108" s="37"/>
    </row>
    <row r="109" spans="2:33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3"/>
      <c r="W109" s="37"/>
      <c r="X109" s="4"/>
      <c r="Y109" s="33"/>
      <c r="Z109" s="37"/>
      <c r="AA109" s="32"/>
      <c r="AB109" s="37"/>
      <c r="AC109" s="33"/>
      <c r="AD109" s="37"/>
      <c r="AE109" s="4"/>
      <c r="AF109" s="33"/>
      <c r="AG109" s="37"/>
    </row>
    <row r="110" spans="2:33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3"/>
      <c r="W110" s="37"/>
      <c r="X110" s="4"/>
      <c r="Y110" s="33"/>
      <c r="Z110" s="37"/>
      <c r="AA110" s="32"/>
      <c r="AB110" s="37"/>
      <c r="AC110" s="33"/>
      <c r="AD110" s="37"/>
      <c r="AE110" s="4"/>
      <c r="AF110" s="33"/>
      <c r="AG110" s="37"/>
    </row>
    <row r="111" spans="2:33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3"/>
      <c r="W111" s="37"/>
      <c r="X111" s="4"/>
      <c r="Y111" s="33"/>
      <c r="Z111" s="37"/>
      <c r="AA111" s="32"/>
      <c r="AB111" s="37"/>
      <c r="AC111" s="33"/>
      <c r="AD111" s="37"/>
      <c r="AE111" s="4"/>
      <c r="AF111" s="33"/>
      <c r="AG111" s="37"/>
    </row>
    <row r="112" spans="2:33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3"/>
      <c r="W112" s="37"/>
      <c r="X112" s="4"/>
      <c r="Y112" s="33"/>
      <c r="Z112" s="37"/>
      <c r="AA112" s="32"/>
      <c r="AB112" s="37"/>
      <c r="AC112" s="33"/>
      <c r="AD112" s="37"/>
      <c r="AE112" s="4"/>
      <c r="AF112" s="33"/>
      <c r="AG112" s="37"/>
    </row>
    <row r="113" spans="2:33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3"/>
      <c r="W113" s="37"/>
      <c r="X113" s="4"/>
      <c r="Y113" s="33"/>
      <c r="Z113" s="37"/>
      <c r="AA113" s="32"/>
      <c r="AB113" s="37"/>
      <c r="AC113" s="33"/>
      <c r="AD113" s="37"/>
      <c r="AE113" s="4"/>
      <c r="AF113" s="33"/>
      <c r="AG113" s="37"/>
    </row>
    <row r="114" spans="2:33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3"/>
      <c r="W114" s="37"/>
      <c r="X114" s="4"/>
      <c r="Y114" s="33"/>
      <c r="Z114" s="37"/>
      <c r="AA114" s="32"/>
      <c r="AB114" s="37"/>
      <c r="AC114" s="33"/>
      <c r="AD114" s="37"/>
      <c r="AE114" s="4"/>
      <c r="AF114" s="33"/>
      <c r="AG114" s="37"/>
    </row>
    <row r="115" spans="2:33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3"/>
      <c r="W115" s="37"/>
      <c r="X115" s="4"/>
      <c r="Y115" s="33"/>
      <c r="Z115" s="37"/>
      <c r="AA115" s="32"/>
      <c r="AB115" s="37"/>
      <c r="AC115" s="33"/>
      <c r="AD115" s="37"/>
      <c r="AE115" s="4"/>
      <c r="AF115" s="33"/>
      <c r="AG115" s="37"/>
    </row>
    <row r="116" spans="2:33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3"/>
      <c r="W116" s="37"/>
      <c r="X116" s="4"/>
      <c r="Y116" s="33"/>
      <c r="Z116" s="37"/>
      <c r="AA116" s="32"/>
      <c r="AB116" s="37"/>
      <c r="AC116" s="33"/>
      <c r="AD116" s="37"/>
      <c r="AE116" s="4"/>
      <c r="AF116" s="33"/>
      <c r="AG116" s="37"/>
    </row>
    <row r="117" spans="2:33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3"/>
      <c r="W117" s="37"/>
      <c r="X117" s="4"/>
      <c r="Y117" s="33"/>
      <c r="Z117" s="37"/>
      <c r="AA117" s="32"/>
      <c r="AB117" s="37"/>
      <c r="AC117" s="33"/>
      <c r="AD117" s="37"/>
      <c r="AE117" s="4"/>
      <c r="AF117" s="33"/>
      <c r="AG117" s="37"/>
    </row>
    <row r="118" spans="2:33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3"/>
      <c r="W118" s="37"/>
      <c r="X118" s="4"/>
      <c r="Y118" s="33"/>
      <c r="Z118" s="37"/>
      <c r="AA118" s="32"/>
      <c r="AB118" s="37"/>
      <c r="AC118" s="33"/>
      <c r="AD118" s="37"/>
      <c r="AE118" s="4"/>
      <c r="AF118" s="33"/>
      <c r="AG118" s="37"/>
    </row>
    <row r="119" spans="2:33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3"/>
      <c r="W119" s="37"/>
      <c r="X119" s="4"/>
      <c r="Y119" s="33"/>
      <c r="Z119" s="37"/>
      <c r="AA119" s="32"/>
      <c r="AB119" s="37"/>
      <c r="AC119" s="33"/>
      <c r="AD119" s="37"/>
      <c r="AE119" s="4"/>
      <c r="AF119" s="33"/>
      <c r="AG119" s="37"/>
    </row>
    <row r="120" spans="2:33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3"/>
      <c r="W120" s="37"/>
      <c r="X120" s="4"/>
      <c r="Y120" s="33"/>
      <c r="Z120" s="37"/>
      <c r="AA120" s="32"/>
      <c r="AB120" s="37"/>
      <c r="AC120" s="33"/>
      <c r="AD120" s="37"/>
      <c r="AE120" s="4"/>
      <c r="AF120" s="33"/>
      <c r="AG120" s="37"/>
    </row>
    <row r="121" spans="2:33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3"/>
      <c r="W121" s="37"/>
      <c r="X121" s="4"/>
      <c r="Y121" s="33"/>
      <c r="Z121" s="37"/>
      <c r="AA121" s="32"/>
      <c r="AB121" s="37"/>
      <c r="AC121" s="33"/>
      <c r="AD121" s="37"/>
      <c r="AE121" s="4"/>
      <c r="AF121" s="33"/>
      <c r="AG121" s="37"/>
    </row>
    <row r="122" spans="2:33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3"/>
      <c r="W122" s="37"/>
      <c r="X122" s="4"/>
      <c r="Y122" s="33"/>
      <c r="Z122" s="37"/>
      <c r="AA122" s="32"/>
      <c r="AB122" s="37"/>
      <c r="AC122" s="33"/>
      <c r="AD122" s="37"/>
      <c r="AE122" s="4"/>
      <c r="AF122" s="33"/>
      <c r="AG122" s="37"/>
    </row>
    <row r="123" spans="2:33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3"/>
      <c r="W123" s="37"/>
      <c r="X123" s="4"/>
      <c r="Y123" s="33"/>
      <c r="Z123" s="37"/>
      <c r="AA123" s="32"/>
      <c r="AB123" s="37"/>
      <c r="AC123" s="33"/>
      <c r="AD123" s="37"/>
      <c r="AE123" s="4"/>
      <c r="AF123" s="33"/>
      <c r="AG123" s="37"/>
    </row>
    <row r="124" spans="2:33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3"/>
      <c r="W124" s="37"/>
      <c r="X124" s="4"/>
      <c r="Y124" s="33"/>
      <c r="Z124" s="37"/>
      <c r="AA124" s="32"/>
      <c r="AB124" s="37"/>
      <c r="AC124" s="33"/>
      <c r="AD124" s="37"/>
      <c r="AE124" s="4"/>
      <c r="AF124" s="33"/>
      <c r="AG124" s="37"/>
    </row>
    <row r="125" spans="2:33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3"/>
      <c r="W125" s="37"/>
      <c r="X125" s="4"/>
      <c r="Y125" s="33"/>
      <c r="Z125" s="37"/>
      <c r="AA125" s="32"/>
      <c r="AB125" s="37"/>
      <c r="AC125" s="33"/>
      <c r="AD125" s="37"/>
      <c r="AE125" s="4"/>
      <c r="AF125" s="33"/>
      <c r="AG125" s="37"/>
    </row>
    <row r="126" spans="2:33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3"/>
      <c r="W126" s="37"/>
      <c r="X126" s="4"/>
      <c r="Y126" s="33"/>
      <c r="Z126" s="37"/>
      <c r="AA126" s="32"/>
      <c r="AB126" s="37"/>
      <c r="AC126" s="33"/>
      <c r="AD126" s="37"/>
      <c r="AE126" s="4"/>
      <c r="AF126" s="33"/>
      <c r="AG126" s="37"/>
    </row>
    <row r="127" spans="2:33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3"/>
      <c r="W127" s="37"/>
      <c r="X127" s="4"/>
      <c r="Y127" s="33"/>
      <c r="Z127" s="37"/>
      <c r="AA127" s="32"/>
      <c r="AB127" s="37"/>
      <c r="AC127" s="33"/>
      <c r="AD127" s="37"/>
      <c r="AE127" s="4"/>
      <c r="AF127" s="33"/>
      <c r="AG127" s="37"/>
    </row>
    <row r="128" spans="2:33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3"/>
      <c r="W128" s="37"/>
      <c r="X128" s="4"/>
      <c r="Y128" s="33"/>
      <c r="Z128" s="37"/>
      <c r="AA128" s="32"/>
      <c r="AB128" s="37"/>
      <c r="AC128" s="33"/>
      <c r="AD128" s="37"/>
      <c r="AE128" s="4"/>
      <c r="AF128" s="33"/>
      <c r="AG128" s="37"/>
    </row>
    <row r="129" spans="2:33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3"/>
      <c r="W129" s="37"/>
      <c r="X129" s="4"/>
      <c r="Y129" s="33"/>
      <c r="Z129" s="37"/>
      <c r="AA129" s="32"/>
      <c r="AB129" s="37"/>
      <c r="AC129" s="33"/>
      <c r="AD129" s="37"/>
      <c r="AE129" s="4"/>
      <c r="AF129" s="33"/>
      <c r="AG129" s="37"/>
    </row>
    <row r="130" spans="2:33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3"/>
      <c r="W130" s="37"/>
      <c r="X130" s="4"/>
      <c r="Y130" s="33"/>
      <c r="Z130" s="37"/>
      <c r="AA130" s="32"/>
      <c r="AB130" s="37"/>
      <c r="AC130" s="33"/>
      <c r="AD130" s="37"/>
      <c r="AE130" s="4"/>
      <c r="AF130" s="33"/>
      <c r="AG130" s="37"/>
    </row>
    <row r="131" spans="2:33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3"/>
      <c r="W131" s="37"/>
      <c r="X131" s="4"/>
      <c r="Y131" s="33"/>
      <c r="Z131" s="37"/>
      <c r="AA131" s="32"/>
      <c r="AB131" s="37"/>
      <c r="AC131" s="33"/>
      <c r="AD131" s="37"/>
      <c r="AE131" s="4"/>
      <c r="AF131" s="33"/>
      <c r="AG131" s="37"/>
    </row>
    <row r="132" spans="2:33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3"/>
      <c r="W132" s="37"/>
      <c r="X132" s="4"/>
      <c r="Y132" s="33"/>
      <c r="Z132" s="37"/>
      <c r="AA132" s="32"/>
      <c r="AB132" s="37"/>
      <c r="AC132" s="33"/>
      <c r="AD132" s="37"/>
      <c r="AE132" s="4"/>
      <c r="AF132" s="33"/>
      <c r="AG132" s="37"/>
    </row>
    <row r="133" spans="2:33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3"/>
      <c r="W133" s="37"/>
      <c r="X133" s="4"/>
      <c r="Y133" s="33"/>
      <c r="Z133" s="37"/>
      <c r="AA133" s="32"/>
      <c r="AB133" s="37"/>
      <c r="AC133" s="33"/>
      <c r="AD133" s="37"/>
      <c r="AE133" s="4"/>
      <c r="AF133" s="33"/>
      <c r="AG133" s="37"/>
    </row>
    <row r="134" spans="2:33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3"/>
      <c r="W134" s="37"/>
      <c r="X134" s="4"/>
      <c r="Y134" s="33"/>
      <c r="Z134" s="37"/>
      <c r="AA134" s="32"/>
      <c r="AB134" s="37"/>
      <c r="AC134" s="33"/>
      <c r="AD134" s="37"/>
      <c r="AE134" s="4"/>
      <c r="AF134" s="33"/>
      <c r="AG134" s="37"/>
    </row>
    <row r="135" spans="2:33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3"/>
      <c r="W135" s="37"/>
      <c r="X135" s="4"/>
      <c r="Y135" s="33"/>
      <c r="Z135" s="37"/>
      <c r="AA135" s="32"/>
      <c r="AB135" s="37"/>
      <c r="AC135" s="33"/>
      <c r="AD135" s="37"/>
      <c r="AE135" s="4"/>
      <c r="AF135" s="33"/>
      <c r="AG135" s="37"/>
    </row>
    <row r="136" spans="2:33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3"/>
      <c r="W136" s="37"/>
      <c r="X136" s="4"/>
      <c r="Y136" s="33"/>
      <c r="Z136" s="37"/>
      <c r="AA136" s="32"/>
      <c r="AB136" s="37"/>
      <c r="AC136" s="33"/>
      <c r="AD136" s="37"/>
      <c r="AE136" s="4"/>
      <c r="AF136" s="33"/>
      <c r="AG136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81">
      <sortCondition descending="1" ref="G1:G82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3:XFD1048576">
    <cfRule type="expression" dxfId="47" priority="17">
      <formula>IF($G1="17-21",1,0)</formula>
    </cfRule>
    <cfRule type="expression" dxfId="46" priority="18">
      <formula>IF($G1="15-16",1,0)</formula>
    </cfRule>
    <cfRule type="expression" dxfId="45" priority="19">
      <formula>IF($G1="13-14",1,0)</formula>
    </cfRule>
    <cfRule type="expression" dxfId="44" priority="20">
      <formula>IF($G1="11-12",1,0)</formula>
    </cfRule>
  </conditionalFormatting>
  <conditionalFormatting sqref="R1:S1 S2">
    <cfRule type="expression" dxfId="43" priority="5">
      <formula>IF($G1="17-21",1,0)</formula>
    </cfRule>
    <cfRule type="expression" dxfId="42" priority="6">
      <formula>IF($G1="15-16",1,0)</formula>
    </cfRule>
    <cfRule type="expression" dxfId="41" priority="7">
      <formula>IF($G1="13-14",1,0)</formula>
    </cfRule>
    <cfRule type="expression" dxfId="4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I25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5" bestFit="1" customWidth="1"/>
    <col min="4" max="4" width="8.6640625" style="35" bestFit="1" customWidth="1"/>
    <col min="5" max="5" width="17.83203125" style="35" bestFit="1" customWidth="1"/>
    <col min="6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bestFit="1" customWidth="1"/>
    <col min="16" max="16" width="24.83203125" style="36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hidden="1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hidden="1" customWidth="1"/>
    <col min="29" max="29" width="13.6640625" style="35" hidden="1" customWidth="1"/>
    <col min="30" max="30" width="11" style="35" hidden="1" customWidth="1"/>
    <col min="31" max="31" width="14.1640625" style="35" hidden="1" customWidth="1"/>
    <col min="32" max="32" width="7.6640625" hidden="1" customWidth="1"/>
    <col min="33" max="33" width="6.6640625" style="35" hidden="1" customWidth="1"/>
    <col min="34" max="34" width="9" style="35" hidden="1" customWidth="1"/>
    <col min="35" max="35" width="11" style="61"/>
  </cols>
  <sheetData>
    <row r="1" spans="1:35" s="6" customFormat="1" x14ac:dyDescent="0.2">
      <c r="A1" s="66" t="s">
        <v>162</v>
      </c>
      <c r="B1" s="66" t="s">
        <v>161</v>
      </c>
      <c r="C1" s="68" t="s">
        <v>0</v>
      </c>
      <c r="D1" s="68" t="s">
        <v>1</v>
      </c>
      <c r="E1" s="68" t="s">
        <v>196</v>
      </c>
      <c r="F1" s="73" t="s">
        <v>197</v>
      </c>
      <c r="G1" s="75" t="s">
        <v>4</v>
      </c>
      <c r="H1" s="68" t="s">
        <v>5</v>
      </c>
      <c r="I1" s="68" t="s">
        <v>54</v>
      </c>
      <c r="J1" s="68" t="s">
        <v>41</v>
      </c>
      <c r="K1" s="71" t="s">
        <v>13</v>
      </c>
      <c r="L1" s="68" t="s">
        <v>9</v>
      </c>
      <c r="M1" s="68" t="s">
        <v>10</v>
      </c>
      <c r="N1" s="68" t="s">
        <v>32</v>
      </c>
      <c r="O1" s="68" t="s">
        <v>12</v>
      </c>
      <c r="P1" s="68" t="s">
        <v>47</v>
      </c>
      <c r="Q1" s="68" t="s">
        <v>11</v>
      </c>
      <c r="R1" s="68" t="s">
        <v>160</v>
      </c>
      <c r="S1" s="66" t="s">
        <v>242</v>
      </c>
      <c r="T1" s="68" t="s">
        <v>243</v>
      </c>
      <c r="U1" s="70" t="s">
        <v>43</v>
      </c>
      <c r="V1" s="70"/>
      <c r="W1" s="70"/>
      <c r="X1" s="70"/>
      <c r="Y1" s="70"/>
      <c r="Z1" s="70"/>
      <c r="AA1" s="70"/>
      <c r="AB1" s="70" t="s">
        <v>42</v>
      </c>
      <c r="AC1" s="70"/>
      <c r="AD1" s="70"/>
      <c r="AE1" s="70"/>
      <c r="AF1" s="70"/>
      <c r="AG1" s="70"/>
      <c r="AH1" s="70"/>
      <c r="AI1" s="60"/>
    </row>
    <row r="2" spans="1:35" s="7" customFormat="1" ht="17" thickBot="1" x14ac:dyDescent="0.25">
      <c r="A2" s="67"/>
      <c r="B2" s="67"/>
      <c r="C2" s="69"/>
      <c r="D2" s="69"/>
      <c r="E2" s="69"/>
      <c r="F2" s="74"/>
      <c r="G2" s="76"/>
      <c r="H2" s="69"/>
      <c r="I2" s="69"/>
      <c r="J2" s="69"/>
      <c r="K2" s="72"/>
      <c r="L2" s="69"/>
      <c r="M2" s="69"/>
      <c r="N2" s="69"/>
      <c r="O2" s="69"/>
      <c r="P2" s="69"/>
      <c r="Q2" s="69"/>
      <c r="R2" s="69"/>
      <c r="S2" s="67"/>
      <c r="T2" s="69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$16&lt;&gt;"")*(H$3:H$16=H3)*(K$3:K$16&gt;K3)*(J$3:J$16="P"))+1,IF(P3&lt;&gt;"",SUMPRODUCT((P$3:P$16&lt;&gt;"")*(Q$3:Q$16="")*(H$3:H$16=H3)*(K$3:K$16&gt;K3)*(J$3:J$16="P"))+SUMPRODUCT((Q$3:Q$16&lt;&gt;"")*(H$3:H$16=H3)*(J$3:J$16="P"))+1,IF(O3&lt;&gt;"",SUMPRODUCT((O$3:O$16&lt;&gt;"")*(H$3:H$16=H3)*(K$3:K$16&gt;K3)*(J$3:J$16="P"))+1,IF(N3="P",SUMPRODUCT((P$3:P$16&lt;&gt;"")*(Q$3:Q$16="")*(H$3:H$16=H3)*(J$3:J$16="P"))+SUMPRODUCT((Q$3:Q$16&lt;&gt;"")*(H$3:H$16=H3)*(J$3:J$16="P"))+SUMPRODUCT((O$3:O$16&lt;&gt;"")*(H$3:H$16=H3)*(J$3:J$16="P"))+SUMPRODUCT((Q$3:Q$16="")*(P$3:P$16="")*(O$3:O$16="")*(N$3:N$16="P")*(H$3:H$16=H3)*(K$3:K$16&gt;K3)*(J$3:J$16="P"))+IF(I3="L5",SUMPRODUCT((Q$3:Q$16="")*(P$3:P$16="")*(O$3:O$16="")*(N$3:N$16="P")*(H$3:H$16=H3)*(K$3:K$16&lt;K3)*(I$3:I$16&lt;&gt;I3)*(J$3:J$16="P")),-1*SUMPRODUCT((Q$3:Q$16="")*(P$3:P$16="")*(O$3:O$16="")*(N$3:N$16="P")*(H$3:H$16=H3)*(K$3:K$16&gt;K3)*(I$3:I$16="L5")*(J$3:J$16="P")))+1,"")))))</f>
        <v/>
      </c>
      <c r="B3" s="1" cm="1">
        <f t="array" ref="B3">IF(Q3&lt;&gt;"",SUMPRODUCT((Q$3:Q$16&lt;&gt;"")*(H$3:H$16=H3)*(K$3:K$16&gt;K3))+1,IF(P3&lt;&gt;"",SUMPRODUCT((P$3:P$16&lt;&gt;"")*(Q$3:Q$16="")*(H$3:H$16=H3)*(K$3:K$16&gt;K3))+SUMPRODUCT((Q$3:Q$16&lt;&gt;"")*(H$3:H$16=H3))+1,IF(O3&lt;&gt;"",SUMPRODUCT((O$3:O$16&lt;&gt;"")*(H$3:H$16=H3)*(K$3:K$16&gt;K3))+1,IF(N3="P",SUMPRODUCT((P$3:P$16&lt;&gt;"")*(Q$3:Q$16="")*(H$3:H$16=H3))+SUMPRODUCT((Q$3:Q$16&lt;&gt;"")*(H$3:H$16=H3))+SUMPRODUCT((O$3:O$16&lt;&gt;"")*(H$3:H$16=H3))+SUMPRODUCT((Q$3:Q$16="")*(P$3:P$16="")*(O$3:O$16="")*(N$3:N$16="P")*(H$3:H$16=H3)*(K$3:K$16&gt;K3))+IF(I3="L5",SUMPRODUCT((Q$3:Q$16="")*(P$3:P$16="")*(O$3:O$16="")*(N$3:N$16="P")*(H$3:H$16=H3)*(K$3:K$16&lt;K3)*(I$3:I$16&lt;&gt;I3)),-1*SUMPRODUCT((Q$3:Q$16="")*(P$3:P$16="")*(O$3:O$16="")*(N$3:N$16="P")*(H$3:H$16=H3)*(K$3:K$16&gt;K3)*(I$3:I$16="L5")))+1,""))))</f>
        <v>1</v>
      </c>
      <c r="C3" s="35" t="s">
        <v>352</v>
      </c>
      <c r="D3" s="35" t="str">
        <f>IF(E3="","",VLOOKUP(E3,'Coaching Points'!A:B,2,0)&amp;"/"&amp;VLOOKUP(F3,'Coaching Points'!A:B,2,0))</f>
        <v>QC/QC</v>
      </c>
      <c r="E3" s="35" t="s">
        <v>3</v>
      </c>
      <c r="F3" s="35" t="s">
        <v>3</v>
      </c>
      <c r="G3" s="34">
        <v>2005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72</v>
      </c>
      <c r="J3" s="40"/>
      <c r="K3" s="4">
        <f t="shared" ref="K3:K15" si="0">S3+IF(OR(I3="Junior",I3="Senior"),0.0002,IF(OR(I3="L7",I3="L6"),0.0001,0))+MAX(AB3,AD3,AG3)*0.0000001</f>
        <v>47.410199999999996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 t="str">
        <f t="shared" ref="R3:R15" si="1">IF(A3&lt;5,IF(_xlfn.MAXIFS(A:A,H:H,H3)&gt;3,5-A3,_xlfn.MAXIFS(A:A,H:H,H3)+1-A3),"")</f>
        <v/>
      </c>
      <c r="S3" s="4">
        <f t="shared" ref="S3:S15" si="2">MAX(U3,W3,Z3,AB3,AD3,AG3)</f>
        <v>47.41</v>
      </c>
      <c r="T3" s="4">
        <f>LARGE(CHOOSE({1,2,3,4,5,6},U3,W3,Z3,AB3,AD3,AG3),2)</f>
        <v>36.31</v>
      </c>
      <c r="U3" s="32">
        <v>27.53</v>
      </c>
      <c r="V3" s="37">
        <v>6.2</v>
      </c>
      <c r="W3" s="33">
        <v>47.41</v>
      </c>
      <c r="X3" s="37">
        <v>11.2</v>
      </c>
      <c r="Y3" s="4">
        <f t="shared" ref="Y3:Y15" si="3">IF(I3="Senior",MAX(U3,W3),U3+W3)</f>
        <v>47.41</v>
      </c>
      <c r="Z3" s="33">
        <v>36.31</v>
      </c>
      <c r="AA3" s="37">
        <v>8.6999999999999993</v>
      </c>
      <c r="AB3" s="32"/>
      <c r="AC3" s="37"/>
      <c r="AD3" s="33"/>
      <c r="AE3" s="37"/>
      <c r="AF3" s="4">
        <f t="shared" ref="AF3:AF15" si="4">IF(I3="Senior",MAX(AB3,AD3),AB3+AD3)</f>
        <v>0</v>
      </c>
      <c r="AG3" s="33"/>
      <c r="AH3" s="37"/>
    </row>
    <row r="4" spans="1:35" x14ac:dyDescent="0.2">
      <c r="A4" s="1" t="str" cm="1">
        <f t="array" ref="A4">IF(J4="","",IF(Q4&lt;&gt;"",SUMPRODUCT((Q$3:Q$16&lt;&gt;"")*(H$3:H$16=H4)*(K$3:K$16&gt;K4)*(J$3:J$16="P"))+1,IF(P4&lt;&gt;"",SUMPRODUCT((P$3:P$16&lt;&gt;"")*(Q$3:Q$16="")*(H$3:H$16=H4)*(K$3:K$16&gt;K4)*(J$3:J$16="P"))+SUMPRODUCT((Q$3:Q$16&lt;&gt;"")*(H$3:H$16=H4)*(J$3:J$16="P"))+1,IF(O4&lt;&gt;"",SUMPRODUCT((O$3:O$16&lt;&gt;"")*(H$3:H$16=H4)*(K$3:K$16&gt;K4)*(J$3:J$16="P"))+1,IF(N4="P",SUMPRODUCT((P$3:P$16&lt;&gt;"")*(Q$3:Q$16="")*(H$3:H$16=H4)*(J$3:J$16="P"))+SUMPRODUCT((Q$3:Q$16&lt;&gt;"")*(H$3:H$16=H4)*(J$3:J$16="P"))+SUMPRODUCT((O$3:O$16&lt;&gt;"")*(H$3:H$16=H4)*(J$3:J$16="P"))+SUMPRODUCT((Q$3:Q$16="")*(P$3:P$16="")*(O$3:O$16="")*(N$3:N$16="P")*(H$3:H$16=H4)*(K$3:K$16&gt;K4)*(J$3:J$16="P"))+IF(I4="L5",SUMPRODUCT((Q$3:Q$16="")*(P$3:P$16="")*(O$3:O$16="")*(N$3:N$16="P")*(H$3:H$16=H4)*(K$3:K$16&lt;K4)*(I$3:I$16&lt;&gt;I4)*(J$3:J$16="P")),-1*SUMPRODUCT((Q$3:Q$16="")*(P$3:P$16="")*(O$3:O$16="")*(N$3:N$16="P")*(H$3:H$16=H4)*(K$3:K$16&gt;K4)*(I$3:I$16="L5")*(J$3:J$16="P")))+1,"")))))</f>
        <v/>
      </c>
      <c r="B4" s="1" t="str" cm="1">
        <f t="array" ref="B4">IF(Q4&lt;&gt;"",SUMPRODUCT((Q$3:Q$16&lt;&gt;"")*(H$3:H$16=H4)*(K$3:K$16&gt;K4))+1,IF(P4&lt;&gt;"",SUMPRODUCT((P$3:P$16&lt;&gt;"")*(Q$3:Q$16="")*(H$3:H$16=H4)*(K$3:K$16&gt;K4))+SUMPRODUCT((Q$3:Q$16&lt;&gt;"")*(H$3:H$16=H4))+1,IF(O4&lt;&gt;"",SUMPRODUCT((O$3:O$16&lt;&gt;"")*(H$3:H$16=H4)*(K$3:K$16&gt;K4))+1,IF(N4="P",SUMPRODUCT((P$3:P$16&lt;&gt;"")*(Q$3:Q$16="")*(H$3:H$16=H4))+SUMPRODUCT((Q$3:Q$16&lt;&gt;"")*(H$3:H$16=H4))+SUMPRODUCT((O$3:O$16&lt;&gt;"")*(H$3:H$16=H4))+SUMPRODUCT((Q$3:Q$16="")*(P$3:P$16="")*(O$3:O$16="")*(N$3:N$16="P")*(H$3:H$16=H4)*(K$3:K$16&gt;K4))+IF(I4="L5",SUMPRODUCT((Q$3:Q$16="")*(P$3:P$16="")*(O$3:O$16="")*(N$3:N$16="P")*(H$3:H$16=H4)*(K$3:K$16&lt;K4)*(I$3:I$16&lt;&gt;I4)),-1*SUMPRODUCT((Q$3:Q$16="")*(P$3:P$16="")*(O$3:O$16="")*(N$3:N$16="P")*(H$3:H$16=H4)*(K$3:K$16&gt;K4)*(I$3:I$16="L5")))+1,""))))</f>
        <v/>
      </c>
      <c r="C4" s="35" t="s">
        <v>349</v>
      </c>
      <c r="D4" s="35" t="str">
        <f>IF(E4="","",VLOOKUP(E4,'Coaching Points'!A:B,2,0)&amp;"/"&amp;VLOOKUP(F4,'Coaching Points'!A:B,2,0))</f>
        <v>QC/QC</v>
      </c>
      <c r="E4" s="35" t="s">
        <v>75</v>
      </c>
      <c r="F4" s="35" t="s">
        <v>75</v>
      </c>
      <c r="G4" s="34">
        <v>2005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65</v>
      </c>
      <c r="J4" s="40"/>
      <c r="K4" s="4">
        <f t="shared" si="0"/>
        <v>43.690100000000001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 t="shared" si="1"/>
        <v/>
      </c>
      <c r="S4" s="4">
        <f t="shared" si="2"/>
        <v>43.69</v>
      </c>
      <c r="T4" s="4">
        <f>LARGE(CHOOSE({1,2,3,4,5,6},U4,W4,Z4,AB4,AD4,AG4),2)</f>
        <v>36.99</v>
      </c>
      <c r="U4" s="32">
        <v>43.69</v>
      </c>
      <c r="V4" s="37">
        <v>10.3</v>
      </c>
      <c r="W4" s="33"/>
      <c r="X4" s="37"/>
      <c r="Y4" s="4">
        <f t="shared" si="3"/>
        <v>43.69</v>
      </c>
      <c r="Z4" s="33">
        <v>36.99</v>
      </c>
      <c r="AA4" s="37">
        <v>9</v>
      </c>
      <c r="AB4" s="32"/>
      <c r="AC4" s="37"/>
      <c r="AD4" s="33"/>
      <c r="AE4" s="37"/>
      <c r="AF4" s="4">
        <f t="shared" si="4"/>
        <v>0</v>
      </c>
      <c r="AG4" s="33"/>
      <c r="AH4" s="37"/>
    </row>
    <row r="5" spans="1:35" x14ac:dyDescent="0.2">
      <c r="A5" s="1" t="str" cm="1">
        <f t="array" ref="A5">IF(J5="","",IF(Q5&lt;&gt;"",SUMPRODUCT((Q$3:Q$16&lt;&gt;"")*(H$3:H$16=H5)*(K$3:K$16&gt;K5)*(J$3:J$16="P"))+1,IF(P5&lt;&gt;"",SUMPRODUCT((P$3:P$16&lt;&gt;"")*(Q$3:Q$16="")*(H$3:H$16=H5)*(K$3:K$16&gt;K5)*(J$3:J$16="P"))+SUMPRODUCT((Q$3:Q$16&lt;&gt;"")*(H$3:H$16=H5)*(J$3:J$16="P"))+1,IF(O5&lt;&gt;"",SUMPRODUCT((O$3:O$16&lt;&gt;"")*(H$3:H$16=H5)*(K$3:K$16&gt;K5)*(J$3:J$16="P"))+1,IF(N5="P",SUMPRODUCT((P$3:P$16&lt;&gt;"")*(Q$3:Q$16="")*(H$3:H$16=H5)*(J$3:J$16="P"))+SUMPRODUCT((Q$3:Q$16&lt;&gt;"")*(H$3:H$16=H5)*(J$3:J$16="P"))+SUMPRODUCT((O$3:O$16&lt;&gt;"")*(H$3:H$16=H5)*(J$3:J$16="P"))+SUMPRODUCT((Q$3:Q$16="")*(P$3:P$16="")*(O$3:O$16="")*(N$3:N$16="P")*(H$3:H$16=H5)*(K$3:K$16&gt;K5)*(J$3:J$16="P"))+IF(I5="L5",SUMPRODUCT((Q$3:Q$16="")*(P$3:P$16="")*(O$3:O$16="")*(N$3:N$16="P")*(H$3:H$16=H5)*(K$3:K$16&lt;K5)*(I$3:I$16&lt;&gt;I5)*(J$3:J$16="P")),-1*SUMPRODUCT((Q$3:Q$16="")*(P$3:P$16="")*(O$3:O$16="")*(N$3:N$16="P")*(H$3:H$16=H5)*(K$3:K$16&gt;K5)*(I$3:I$16="L5")*(J$3:J$16="P")))+1,"")))))</f>
        <v/>
      </c>
      <c r="B5" s="1" t="str" cm="1">
        <f t="array" ref="B5">IF(Q5&lt;&gt;"",SUMPRODUCT((Q$3:Q$16&lt;&gt;"")*(H$3:H$16=H5)*(K$3:K$16&gt;K5))+1,IF(P5&lt;&gt;"",SUMPRODUCT((P$3:P$16&lt;&gt;"")*(Q$3:Q$16="")*(H$3:H$16=H5)*(K$3:K$16&gt;K5))+SUMPRODUCT((Q$3:Q$16&lt;&gt;"")*(H$3:H$16=H5))+1,IF(O5&lt;&gt;"",SUMPRODUCT((O$3:O$16&lt;&gt;"")*(H$3:H$16=H5)*(K$3:K$16&gt;K5))+1,IF(N5="P",SUMPRODUCT((P$3:P$16&lt;&gt;"")*(Q$3:Q$16="")*(H$3:H$16=H5))+SUMPRODUCT((Q$3:Q$16&lt;&gt;"")*(H$3:H$16=H5))+SUMPRODUCT((O$3:O$16&lt;&gt;"")*(H$3:H$16=H5))+SUMPRODUCT((Q$3:Q$16="")*(P$3:P$16="")*(O$3:O$16="")*(N$3:N$16="P")*(H$3:H$16=H5)*(K$3:K$16&gt;K5))+IF(I5="L5",SUMPRODUCT((Q$3:Q$16="")*(P$3:P$16="")*(O$3:O$16="")*(N$3:N$16="P")*(H$3:H$16=H5)*(K$3:K$16&lt;K5)*(I$3:I$16&lt;&gt;I5)),-1*SUMPRODUCT((Q$3:Q$16="")*(P$3:P$16="")*(O$3:O$16="")*(N$3:N$16="P")*(H$3:H$16=H5)*(K$3:K$16&gt;K5)*(I$3:I$16="L5")))+1,""))))</f>
        <v/>
      </c>
      <c r="C5" s="35" t="s">
        <v>350</v>
      </c>
      <c r="D5" s="35" t="str">
        <f>IF(E5="","",VLOOKUP(E5,'Coaching Points'!A:B,2,0)&amp;"/"&amp;VLOOKUP(F5,'Coaching Points'!A:B,2,0))</f>
        <v>BC/BC</v>
      </c>
      <c r="E5" s="35" t="s">
        <v>40</v>
      </c>
      <c r="F5" s="35" t="s">
        <v>40</v>
      </c>
      <c r="G5" s="34">
        <v>2005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65</v>
      </c>
      <c r="J5" s="40"/>
      <c r="K5" s="4">
        <f t="shared" si="0"/>
        <v>42.110100000000003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 t="shared" si="1"/>
        <v/>
      </c>
      <c r="S5" s="4">
        <f t="shared" si="2"/>
        <v>42.11</v>
      </c>
      <c r="T5" s="4">
        <f>LARGE(CHOOSE({1,2,3,4,5,6},U5,W5,Z5,AB5,AD5,AG5),2)</f>
        <v>34.78</v>
      </c>
      <c r="U5" s="32">
        <v>42.11</v>
      </c>
      <c r="V5" s="37">
        <v>9.1</v>
      </c>
      <c r="W5" s="33"/>
      <c r="X5" s="37"/>
      <c r="Y5" s="4">
        <f t="shared" si="3"/>
        <v>42.11</v>
      </c>
      <c r="Z5" s="33">
        <v>34.78</v>
      </c>
      <c r="AA5" s="37">
        <v>9.1</v>
      </c>
      <c r="AB5" s="32"/>
      <c r="AC5" s="37"/>
      <c r="AD5" s="33"/>
      <c r="AE5" s="37"/>
      <c r="AF5" s="4">
        <f t="shared" si="4"/>
        <v>0</v>
      </c>
      <c r="AG5" s="33"/>
      <c r="AH5" s="37"/>
    </row>
    <row r="6" spans="1:35" x14ac:dyDescent="0.2">
      <c r="A6" s="1" t="str" cm="1">
        <f t="array" ref="A6">IF(J6="","",IF(Q6&lt;&gt;"",SUMPRODUCT((Q$3:Q$16&lt;&gt;"")*(H$3:H$16=H6)*(K$3:K$16&gt;K6)*(J$3:J$16="P"))+1,IF(P6&lt;&gt;"",SUMPRODUCT((P$3:P$16&lt;&gt;"")*(Q$3:Q$16="")*(H$3:H$16=H6)*(K$3:K$16&gt;K6)*(J$3:J$16="P"))+SUMPRODUCT((Q$3:Q$16&lt;&gt;"")*(H$3:H$16=H6)*(J$3:J$16="P"))+1,IF(O6&lt;&gt;"",SUMPRODUCT((O$3:O$16&lt;&gt;"")*(H$3:H$16=H6)*(K$3:K$16&gt;K6)*(J$3:J$16="P"))+1,IF(N6="P",SUMPRODUCT((P$3:P$16&lt;&gt;"")*(Q$3:Q$16="")*(H$3:H$16=H6)*(J$3:J$16="P"))+SUMPRODUCT((Q$3:Q$16&lt;&gt;"")*(H$3:H$16=H6)*(J$3:J$16="P"))+SUMPRODUCT((O$3:O$16&lt;&gt;"")*(H$3:H$16=H6)*(J$3:J$16="P"))+SUMPRODUCT((Q$3:Q$16="")*(P$3:P$16="")*(O$3:O$16="")*(N$3:N$16="P")*(H$3:H$16=H6)*(K$3:K$16&gt;K6)*(J$3:J$16="P"))+IF(I6="L5",SUMPRODUCT((Q$3:Q$16="")*(P$3:P$16="")*(O$3:O$16="")*(N$3:N$16="P")*(H$3:H$16=H6)*(K$3:K$16&lt;K6)*(I$3:I$16&lt;&gt;I6)*(J$3:J$16="P")),-1*SUMPRODUCT((Q$3:Q$16="")*(P$3:P$16="")*(O$3:O$16="")*(N$3:N$16="P")*(H$3:H$16=H6)*(K$3:K$16&gt;K6)*(I$3:I$16="L5")*(J$3:J$16="P")))+1,"")))))</f>
        <v/>
      </c>
      <c r="B6" s="1" t="str" cm="1">
        <f t="array" ref="B6">IF(Q6&lt;&gt;"",SUMPRODUCT((Q$3:Q$16&lt;&gt;"")*(H$3:H$16=H6)*(K$3:K$16&gt;K6))+1,IF(P6&lt;&gt;"",SUMPRODUCT((P$3:P$16&lt;&gt;"")*(Q$3:Q$16="")*(H$3:H$16=H6)*(K$3:K$16&gt;K6))+SUMPRODUCT((Q$3:Q$16&lt;&gt;"")*(H$3:H$16=H6))+1,IF(O6&lt;&gt;"",SUMPRODUCT((O$3:O$16&lt;&gt;"")*(H$3:H$16=H6)*(K$3:K$16&gt;K6))+1,IF(N6="P",SUMPRODUCT((P$3:P$16&lt;&gt;"")*(Q$3:Q$16="")*(H$3:H$16=H6))+SUMPRODUCT((Q$3:Q$16&lt;&gt;"")*(H$3:H$16=H6))+SUMPRODUCT((O$3:O$16&lt;&gt;"")*(H$3:H$16=H6))+SUMPRODUCT((Q$3:Q$16="")*(P$3:P$16="")*(O$3:O$16="")*(N$3:N$16="P")*(H$3:H$16=H6)*(K$3:K$16&gt;K6))+IF(I6="L5",SUMPRODUCT((Q$3:Q$16="")*(P$3:P$16="")*(O$3:O$16="")*(N$3:N$16="P")*(H$3:H$16=H6)*(K$3:K$16&lt;K6)*(I$3:I$16&lt;&gt;I6)),-1*SUMPRODUCT((Q$3:Q$16="")*(P$3:P$16="")*(O$3:O$16="")*(N$3:N$16="P")*(H$3:H$16=H6)*(K$3:K$16&gt;K6)*(I$3:I$16="L5")))+1,""))))</f>
        <v/>
      </c>
      <c r="C6" s="35" t="s">
        <v>344</v>
      </c>
      <c r="D6" s="35" t="str">
        <f>IF(E6="","",VLOOKUP(E6,'Coaching Points'!A:B,2,0)&amp;"/"&amp;VLOOKUP(F6,'Coaching Points'!A:B,2,0))</f>
        <v>NL/NL</v>
      </c>
      <c r="E6" s="35" t="s">
        <v>91</v>
      </c>
      <c r="F6" s="35" t="s">
        <v>248</v>
      </c>
      <c r="G6" s="34">
        <v>2007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64</v>
      </c>
      <c r="J6" s="40"/>
      <c r="K6" s="4">
        <f t="shared" si="0"/>
        <v>41.96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 t="shared" si="1"/>
        <v/>
      </c>
      <c r="S6" s="4">
        <f t="shared" si="2"/>
        <v>41.96</v>
      </c>
      <c r="T6" s="4">
        <f>LARGE(CHOOSE({1,2,3,4,5,6},U6,W6,Z6,AB6,AD6,AG6),2)</f>
        <v>41.09</v>
      </c>
      <c r="U6" s="32">
        <v>41.96</v>
      </c>
      <c r="V6" s="37">
        <v>8.1999999999999993</v>
      </c>
      <c r="W6" s="33"/>
      <c r="X6" s="37"/>
      <c r="Y6" s="4">
        <f t="shared" si="3"/>
        <v>41.96</v>
      </c>
      <c r="Z6" s="33">
        <v>41.09</v>
      </c>
      <c r="AA6" s="37">
        <v>8.1999999999999993</v>
      </c>
      <c r="AB6" s="32"/>
      <c r="AC6" s="37"/>
      <c r="AD6" s="33"/>
      <c r="AE6" s="37"/>
      <c r="AF6" s="4">
        <f t="shared" si="4"/>
        <v>0</v>
      </c>
      <c r="AG6" s="33"/>
      <c r="AH6" s="37"/>
    </row>
    <row r="7" spans="1:35" x14ac:dyDescent="0.2">
      <c r="A7" s="1" t="str" cm="1">
        <f t="array" ref="A7">IF(J7="","",IF(Q7&lt;&gt;"",SUMPRODUCT((Q$3:Q$16&lt;&gt;"")*(H$3:H$16=H7)*(K$3:K$16&gt;K7)*(J$3:J$16="P"))+1,IF(P7&lt;&gt;"",SUMPRODUCT((P$3:P$16&lt;&gt;"")*(Q$3:Q$16="")*(H$3:H$16=H7)*(K$3:K$16&gt;K7)*(J$3:J$16="P"))+SUMPRODUCT((Q$3:Q$16&lt;&gt;"")*(H$3:H$16=H7)*(J$3:J$16="P"))+1,IF(O7&lt;&gt;"",SUMPRODUCT((O$3:O$16&lt;&gt;"")*(H$3:H$16=H7)*(K$3:K$16&gt;K7)*(J$3:J$16="P"))+1,IF(N7="P",SUMPRODUCT((P$3:P$16&lt;&gt;"")*(Q$3:Q$16="")*(H$3:H$16=H7)*(J$3:J$16="P"))+SUMPRODUCT((Q$3:Q$16&lt;&gt;"")*(H$3:H$16=H7)*(J$3:J$16="P"))+SUMPRODUCT((O$3:O$16&lt;&gt;"")*(H$3:H$16=H7)*(J$3:J$16="P"))+SUMPRODUCT((Q$3:Q$16="")*(P$3:P$16="")*(O$3:O$16="")*(N$3:N$16="P")*(H$3:H$16=H7)*(K$3:K$16&gt;K7)*(J$3:J$16="P"))+IF(I7="L5",SUMPRODUCT((Q$3:Q$16="")*(P$3:P$16="")*(O$3:O$16="")*(N$3:N$16="P")*(H$3:H$16=H7)*(K$3:K$16&lt;K7)*(I$3:I$16&lt;&gt;I7)*(J$3:J$16="P")),-1*SUMPRODUCT((Q$3:Q$16="")*(P$3:P$16="")*(O$3:O$16="")*(N$3:N$16="P")*(H$3:H$16=H7)*(K$3:K$16&gt;K7)*(I$3:I$16="L5")*(J$3:J$16="P")))+1,"")))))</f>
        <v/>
      </c>
      <c r="B7" s="1" t="str" cm="1">
        <f t="array" ref="B7">IF(Q7&lt;&gt;"",SUMPRODUCT((Q$3:Q$16&lt;&gt;"")*(H$3:H$16=H7)*(K$3:K$16&gt;K7))+1,IF(P7&lt;&gt;"",SUMPRODUCT((P$3:P$16&lt;&gt;"")*(Q$3:Q$16="")*(H$3:H$16=H7)*(K$3:K$16&gt;K7))+SUMPRODUCT((Q$3:Q$16&lt;&gt;"")*(H$3:H$16=H7))+1,IF(O7&lt;&gt;"",SUMPRODUCT((O$3:O$16&lt;&gt;"")*(H$3:H$16=H7)*(K$3:K$16&gt;K7))+1,IF(N7="P",SUMPRODUCT((P$3:P$16&lt;&gt;"")*(Q$3:Q$16="")*(H$3:H$16=H7))+SUMPRODUCT((Q$3:Q$16&lt;&gt;"")*(H$3:H$16=H7))+SUMPRODUCT((O$3:O$16&lt;&gt;"")*(H$3:H$16=H7))+SUMPRODUCT((Q$3:Q$16="")*(P$3:P$16="")*(O$3:O$16="")*(N$3:N$16="P")*(H$3:H$16=H7)*(K$3:K$16&gt;K7))+IF(I7="L5",SUMPRODUCT((Q$3:Q$16="")*(P$3:P$16="")*(O$3:O$16="")*(N$3:N$16="P")*(H$3:H$16=H7)*(K$3:K$16&lt;K7)*(I$3:I$16&lt;&gt;I7)),-1*SUMPRODUCT((Q$3:Q$16="")*(P$3:P$16="")*(O$3:O$16="")*(N$3:N$16="P")*(H$3:H$16=H7)*(K$3:K$16&gt;K7)*(I$3:I$16="L5")))+1,""))))</f>
        <v/>
      </c>
      <c r="C7" s="35" t="s">
        <v>348</v>
      </c>
      <c r="D7" s="35" t="str">
        <f>IF(E7="","",VLOOKUP(E7,'Coaching Points'!A:B,2,0)&amp;"/"&amp;VLOOKUP(F7,'Coaching Points'!A:B,2,0))</f>
        <v>NS/NS</v>
      </c>
      <c r="E7" s="35" t="s">
        <v>203</v>
      </c>
      <c r="F7" s="35" t="s">
        <v>112</v>
      </c>
      <c r="G7" s="34">
        <v>2003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65</v>
      </c>
      <c r="J7" s="40"/>
      <c r="K7" s="4">
        <f t="shared" si="0"/>
        <v>41.500100000000003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 t="shared" si="1"/>
        <v/>
      </c>
      <c r="S7" s="4">
        <f t="shared" si="2"/>
        <v>41.5</v>
      </c>
      <c r="T7" s="4">
        <f>LARGE(CHOOSE({1,2,3,4,5,6},U7,W7,Z7,AB7,AD7,AG7),2)</f>
        <v>38.53</v>
      </c>
      <c r="U7" s="32">
        <v>38.53</v>
      </c>
      <c r="V7" s="37">
        <v>7.8</v>
      </c>
      <c r="W7" s="33"/>
      <c r="X7" s="37"/>
      <c r="Y7" s="4">
        <f t="shared" si="3"/>
        <v>38.53</v>
      </c>
      <c r="Z7" s="33">
        <v>41.5</v>
      </c>
      <c r="AA7" s="37">
        <v>7.8</v>
      </c>
      <c r="AB7" s="32"/>
      <c r="AC7" s="37"/>
      <c r="AD7" s="33"/>
      <c r="AE7" s="37"/>
      <c r="AF7" s="4">
        <f t="shared" si="4"/>
        <v>0</v>
      </c>
      <c r="AG7" s="33"/>
      <c r="AH7" s="37"/>
    </row>
    <row r="8" spans="1:35" x14ac:dyDescent="0.2">
      <c r="A8" s="1" t="str" cm="1">
        <f t="array" ref="A8">IF(J8="","",IF(Q8&lt;&gt;"",SUMPRODUCT((Q$3:Q$16&lt;&gt;"")*(H$3:H$16=H8)*(K$3:K$16&gt;K8)*(J$3:J$16="P"))+1,IF(P8&lt;&gt;"",SUMPRODUCT((P$3:P$16&lt;&gt;"")*(Q$3:Q$16="")*(H$3:H$16=H8)*(K$3:K$16&gt;K8)*(J$3:J$16="P"))+SUMPRODUCT((Q$3:Q$16&lt;&gt;"")*(H$3:H$16=H8)*(J$3:J$16="P"))+1,IF(O8&lt;&gt;"",SUMPRODUCT((O$3:O$16&lt;&gt;"")*(H$3:H$16=H8)*(K$3:K$16&gt;K8)*(J$3:J$16="P"))+1,IF(N8="P",SUMPRODUCT((P$3:P$16&lt;&gt;"")*(Q$3:Q$16="")*(H$3:H$16=H8)*(J$3:J$16="P"))+SUMPRODUCT((Q$3:Q$16&lt;&gt;"")*(H$3:H$16=H8)*(J$3:J$16="P"))+SUMPRODUCT((O$3:O$16&lt;&gt;"")*(H$3:H$16=H8)*(J$3:J$16="P"))+SUMPRODUCT((Q$3:Q$16="")*(P$3:P$16="")*(O$3:O$16="")*(N$3:N$16="P")*(H$3:H$16=H8)*(K$3:K$16&gt;K8)*(J$3:J$16="P"))+IF(I8="L5",SUMPRODUCT((Q$3:Q$16="")*(P$3:P$16="")*(O$3:O$16="")*(N$3:N$16="P")*(H$3:H$16=H8)*(K$3:K$16&lt;K8)*(I$3:I$16&lt;&gt;I8)*(J$3:J$16="P")),-1*SUMPRODUCT((Q$3:Q$16="")*(P$3:P$16="")*(O$3:O$16="")*(N$3:N$16="P")*(H$3:H$16=H8)*(K$3:K$16&gt;K8)*(I$3:I$16="L5")*(J$3:J$16="P")))+1,"")))))</f>
        <v/>
      </c>
      <c r="B8" s="1" t="str" cm="1">
        <f t="array" ref="B8">IF(Q8&lt;&gt;"",SUMPRODUCT((Q$3:Q$16&lt;&gt;"")*(H$3:H$16=H8)*(K$3:K$16&gt;K8))+1,IF(P8&lt;&gt;"",SUMPRODUCT((P$3:P$16&lt;&gt;"")*(Q$3:Q$16="")*(H$3:H$16=H8)*(K$3:K$16&gt;K8))+SUMPRODUCT((Q$3:Q$16&lt;&gt;"")*(H$3:H$16=H8))+1,IF(O8&lt;&gt;"",SUMPRODUCT((O$3:O$16&lt;&gt;"")*(H$3:H$16=H8)*(K$3:K$16&gt;K8))+1,IF(N8="P",SUMPRODUCT((P$3:P$16&lt;&gt;"")*(Q$3:Q$16="")*(H$3:H$16=H8))+SUMPRODUCT((Q$3:Q$16&lt;&gt;"")*(H$3:H$16=H8))+SUMPRODUCT((O$3:O$16&lt;&gt;"")*(H$3:H$16=H8))+SUMPRODUCT((Q$3:Q$16="")*(P$3:P$16="")*(O$3:O$16="")*(N$3:N$16="P")*(H$3:H$16=H8)*(K$3:K$16&gt;K8))+IF(I8="L5",SUMPRODUCT((Q$3:Q$16="")*(P$3:P$16="")*(O$3:O$16="")*(N$3:N$16="P")*(H$3:H$16=H8)*(K$3:K$16&lt;K8)*(I$3:I$16&lt;&gt;I8)),-1*SUMPRODUCT((Q$3:Q$16="")*(P$3:P$16="")*(O$3:O$16="")*(N$3:N$16="P")*(H$3:H$16=H8)*(K$3:K$16&gt;K8)*(I$3:I$16="L5")))+1,""))))</f>
        <v/>
      </c>
      <c r="C8" s="35" t="s">
        <v>244</v>
      </c>
      <c r="D8" s="35" t="str">
        <f>IF(E8="","",VLOOKUP(E8,'Coaching Points'!A:B,2,0)&amp;"/"&amp;VLOOKUP(F8,'Coaching Points'!A:B,2,0))</f>
        <v>BC/BC</v>
      </c>
      <c r="E8" s="35" t="s">
        <v>60</v>
      </c>
      <c r="F8" s="35" t="s">
        <v>198</v>
      </c>
      <c r="G8" s="34">
        <v>2006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65</v>
      </c>
      <c r="J8" s="40"/>
      <c r="K8" s="4">
        <f t="shared" si="0"/>
        <v>39.840100000000007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 t="shared" si="1"/>
        <v/>
      </c>
      <c r="S8" s="4">
        <f t="shared" si="2"/>
        <v>39.840000000000003</v>
      </c>
      <c r="T8" s="4">
        <f>LARGE(CHOOSE({1,2,3,4,5,6},U8,W8,Z8,AB8,AD8,AG8),2)</f>
        <v>36.94</v>
      </c>
      <c r="U8" s="32">
        <v>36.94</v>
      </c>
      <c r="V8" s="37">
        <v>9</v>
      </c>
      <c r="W8" s="33"/>
      <c r="X8" s="37"/>
      <c r="Y8" s="4">
        <f t="shared" si="3"/>
        <v>36.94</v>
      </c>
      <c r="Z8" s="33">
        <v>39.840000000000003</v>
      </c>
      <c r="AA8" s="37">
        <v>9.6</v>
      </c>
      <c r="AB8" s="32"/>
      <c r="AC8" s="37"/>
      <c r="AD8" s="33"/>
      <c r="AE8" s="37"/>
      <c r="AF8" s="4">
        <f t="shared" si="4"/>
        <v>0</v>
      </c>
      <c r="AG8" s="33"/>
      <c r="AH8" s="37"/>
    </row>
    <row r="9" spans="1:35" x14ac:dyDescent="0.2">
      <c r="A9" s="1" t="str" cm="1">
        <f t="array" ref="A9">IF(J9="","",IF(Q9&lt;&gt;"",SUMPRODUCT((Q$3:Q$16&lt;&gt;"")*(H$3:H$16=H9)*(K$3:K$16&gt;K9)*(J$3:J$16="P"))+1,IF(P9&lt;&gt;"",SUMPRODUCT((P$3:P$16&lt;&gt;"")*(Q$3:Q$16="")*(H$3:H$16=H9)*(K$3:K$16&gt;K9)*(J$3:J$16="P"))+SUMPRODUCT((Q$3:Q$16&lt;&gt;"")*(H$3:H$16=H9)*(J$3:J$16="P"))+1,IF(O9&lt;&gt;"",SUMPRODUCT((O$3:O$16&lt;&gt;"")*(H$3:H$16=H9)*(K$3:K$16&gt;K9)*(J$3:J$16="P"))+1,IF(N9="P",SUMPRODUCT((P$3:P$16&lt;&gt;"")*(Q$3:Q$16="")*(H$3:H$16=H9)*(J$3:J$16="P"))+SUMPRODUCT((Q$3:Q$16&lt;&gt;"")*(H$3:H$16=H9)*(J$3:J$16="P"))+SUMPRODUCT((O$3:O$16&lt;&gt;"")*(H$3:H$16=H9)*(J$3:J$16="P"))+SUMPRODUCT((Q$3:Q$16="")*(P$3:P$16="")*(O$3:O$16="")*(N$3:N$16="P")*(H$3:H$16=H9)*(K$3:K$16&gt;K9)*(J$3:J$16="P"))+IF(I9="L5",SUMPRODUCT((Q$3:Q$16="")*(P$3:P$16="")*(O$3:O$16="")*(N$3:N$16="P")*(H$3:H$16=H9)*(K$3:K$16&lt;K9)*(I$3:I$16&lt;&gt;I9)*(J$3:J$16="P")),-1*SUMPRODUCT((Q$3:Q$16="")*(P$3:P$16="")*(O$3:O$16="")*(N$3:N$16="P")*(H$3:H$16=H9)*(K$3:K$16&gt;K9)*(I$3:I$16="L5")*(J$3:J$16="P")))+1,"")))))</f>
        <v/>
      </c>
      <c r="B9" s="1" t="str" cm="1">
        <f t="array" ref="B9">IF(Q9&lt;&gt;"",SUMPRODUCT((Q$3:Q$16&lt;&gt;"")*(H$3:H$16=H9)*(K$3:K$16&gt;K9))+1,IF(P9&lt;&gt;"",SUMPRODUCT((P$3:P$16&lt;&gt;"")*(Q$3:Q$16="")*(H$3:H$16=H9)*(K$3:K$16&gt;K9))+SUMPRODUCT((Q$3:Q$16&lt;&gt;"")*(H$3:H$16=H9))+1,IF(O9&lt;&gt;"",SUMPRODUCT((O$3:O$16&lt;&gt;"")*(H$3:H$16=H9)*(K$3:K$16&gt;K9))+1,IF(N9="P",SUMPRODUCT((P$3:P$16&lt;&gt;"")*(Q$3:Q$16="")*(H$3:H$16=H9))+SUMPRODUCT((Q$3:Q$16&lt;&gt;"")*(H$3:H$16=H9))+SUMPRODUCT((O$3:O$16&lt;&gt;"")*(H$3:H$16=H9))+SUMPRODUCT((Q$3:Q$16="")*(P$3:P$16="")*(O$3:O$16="")*(N$3:N$16="P")*(H$3:H$16=H9)*(K$3:K$16&gt;K9))+IF(I9="L5",SUMPRODUCT((Q$3:Q$16="")*(P$3:P$16="")*(O$3:O$16="")*(N$3:N$16="P")*(H$3:H$16=H9)*(K$3:K$16&lt;K9)*(I$3:I$16&lt;&gt;I9)),-1*SUMPRODUCT((Q$3:Q$16="")*(P$3:P$16="")*(O$3:O$16="")*(N$3:N$16="P")*(H$3:H$16=H9)*(K$3:K$16&gt;K9)*(I$3:I$16="L5")))+1,""))))</f>
        <v/>
      </c>
      <c r="C9" s="35" t="s">
        <v>353</v>
      </c>
      <c r="D9" s="35" t="str">
        <f>IF(E9="","",VLOOKUP(E9,'Coaching Points'!A:B,2,0)&amp;"/"&amp;VLOOKUP(F9,'Coaching Points'!A:B,2,0))</f>
        <v>AB/AB</v>
      </c>
      <c r="E9" s="35" t="s">
        <v>62</v>
      </c>
      <c r="F9" s="35" t="s">
        <v>62</v>
      </c>
      <c r="G9" s="34">
        <v>2003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72</v>
      </c>
      <c r="J9" s="40"/>
      <c r="K9" s="4">
        <f t="shared" si="0"/>
        <v>36.290199999999999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 t="shared" si="1"/>
        <v/>
      </c>
      <c r="S9" s="4">
        <f t="shared" si="2"/>
        <v>36.29</v>
      </c>
      <c r="T9" s="4">
        <f>LARGE(CHOOSE({1,2,3,4,5,6},U9,W9,Z9,AB9,AD9,AG9),2)</f>
        <v>31.73</v>
      </c>
      <c r="U9" s="32">
        <v>36.29</v>
      </c>
      <c r="V9" s="37">
        <v>8.1999999999999993</v>
      </c>
      <c r="W9" s="33">
        <v>13.11</v>
      </c>
      <c r="X9" s="37">
        <v>3.1</v>
      </c>
      <c r="Y9" s="4">
        <f t="shared" si="3"/>
        <v>36.29</v>
      </c>
      <c r="Z9" s="33">
        <v>31.73</v>
      </c>
      <c r="AA9" s="37">
        <v>7</v>
      </c>
      <c r="AB9" s="32"/>
      <c r="AC9" s="37"/>
      <c r="AD9" s="33"/>
      <c r="AE9" s="37"/>
      <c r="AF9" s="4">
        <f t="shared" si="4"/>
        <v>0</v>
      </c>
      <c r="AG9" s="33"/>
      <c r="AH9" s="37"/>
    </row>
    <row r="10" spans="1:35" x14ac:dyDescent="0.2">
      <c r="A10" s="1" t="str" cm="1">
        <f t="array" ref="A10">IF(J10="","",IF(Q10&lt;&gt;"",SUMPRODUCT((Q$3:Q$16&lt;&gt;"")*(H$3:H$16=H10)*(K$3:K$16&gt;K10)*(J$3:J$16="P"))+1,IF(P10&lt;&gt;"",SUMPRODUCT((P$3:P$16&lt;&gt;"")*(Q$3:Q$16="")*(H$3:H$16=H10)*(K$3:K$16&gt;K10)*(J$3:J$16="P"))+SUMPRODUCT((Q$3:Q$16&lt;&gt;"")*(H$3:H$16=H10)*(J$3:J$16="P"))+1,IF(O10&lt;&gt;"",SUMPRODUCT((O$3:O$16&lt;&gt;"")*(H$3:H$16=H10)*(K$3:K$16&gt;K10)*(J$3:J$16="P"))+1,IF(N10="P",SUMPRODUCT((P$3:P$16&lt;&gt;"")*(Q$3:Q$16="")*(H$3:H$16=H10)*(J$3:J$16="P"))+SUMPRODUCT((Q$3:Q$16&lt;&gt;"")*(H$3:H$16=H10)*(J$3:J$16="P"))+SUMPRODUCT((O$3:O$16&lt;&gt;"")*(H$3:H$16=H10)*(J$3:J$16="P"))+SUMPRODUCT((Q$3:Q$16="")*(P$3:P$16="")*(O$3:O$16="")*(N$3:N$16="P")*(H$3:H$16=H10)*(K$3:K$16&gt;K10)*(J$3:J$16="P"))+IF(I10="L5",SUMPRODUCT((Q$3:Q$16="")*(P$3:P$16="")*(O$3:O$16="")*(N$3:N$16="P")*(H$3:H$16=H10)*(K$3:K$16&lt;K10)*(I$3:I$16&lt;&gt;I10)*(J$3:J$16="P")),-1*SUMPRODUCT((Q$3:Q$16="")*(P$3:P$16="")*(O$3:O$16="")*(N$3:N$16="P")*(H$3:H$16=H10)*(K$3:K$16&gt;K10)*(I$3:I$16="L5")*(J$3:J$16="P")))+1,"")))))</f>
        <v/>
      </c>
      <c r="B10" s="1" t="str" cm="1">
        <f t="array" ref="B10">IF(Q10&lt;&gt;"",SUMPRODUCT((Q$3:Q$16&lt;&gt;"")*(H$3:H$16=H10)*(K$3:K$16&gt;K10))+1,IF(P10&lt;&gt;"",SUMPRODUCT((P$3:P$16&lt;&gt;"")*(Q$3:Q$16="")*(H$3:H$16=H10)*(K$3:K$16&gt;K10))+SUMPRODUCT((Q$3:Q$16&lt;&gt;"")*(H$3:H$16=H10))+1,IF(O10&lt;&gt;"",SUMPRODUCT((O$3:O$16&lt;&gt;"")*(H$3:H$16=H10)*(K$3:K$16&gt;K10))+1,IF(N10="P",SUMPRODUCT((P$3:P$16&lt;&gt;"")*(Q$3:Q$16="")*(H$3:H$16=H10))+SUMPRODUCT((Q$3:Q$16&lt;&gt;"")*(H$3:H$16=H10))+SUMPRODUCT((O$3:O$16&lt;&gt;"")*(H$3:H$16=H10))+SUMPRODUCT((Q$3:Q$16="")*(P$3:P$16="")*(O$3:O$16="")*(N$3:N$16="P")*(H$3:H$16=H10)*(K$3:K$16&gt;K10))+IF(I10="L5",SUMPRODUCT((Q$3:Q$16="")*(P$3:P$16="")*(O$3:O$16="")*(N$3:N$16="P")*(H$3:H$16=H10)*(K$3:K$16&lt;K10)*(I$3:I$16&lt;&gt;I10)),-1*SUMPRODUCT((Q$3:Q$16="")*(P$3:P$16="")*(O$3:O$16="")*(N$3:N$16="P")*(H$3:H$16=H10)*(K$3:K$16&gt;K10)*(I$3:I$16="L5")))+1,""))))</f>
        <v/>
      </c>
      <c r="C10" s="35" t="s">
        <v>354</v>
      </c>
      <c r="D10" s="35" t="str">
        <f>IF(E10="","",VLOOKUP(E10,'Coaching Points'!A:B,2,0)&amp;"/"&amp;VLOOKUP(F10,'Coaching Points'!A:B,2,0))</f>
        <v>AB/AB</v>
      </c>
      <c r="E10" s="35" t="s">
        <v>28</v>
      </c>
      <c r="F10" s="35" t="s">
        <v>28</v>
      </c>
      <c r="G10" s="34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72</v>
      </c>
      <c r="J10" s="40"/>
      <c r="K10" s="4">
        <f t="shared" si="0"/>
        <v>35.630200000000002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>P</v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 t="shared" si="1"/>
        <v/>
      </c>
      <c r="S10" s="4">
        <f t="shared" si="2"/>
        <v>35.630000000000003</v>
      </c>
      <c r="T10" s="4">
        <f>LARGE(CHOOSE({1,2,3,4,5,6},U10,W10,Z10,AB10,AD10,AG10),2)</f>
        <v>8.14</v>
      </c>
      <c r="U10" s="32">
        <v>35.630000000000003</v>
      </c>
      <c r="V10" s="37">
        <v>11.5</v>
      </c>
      <c r="W10" s="33">
        <v>8.14</v>
      </c>
      <c r="X10" s="37">
        <v>3.2</v>
      </c>
      <c r="Y10" s="4">
        <f t="shared" si="3"/>
        <v>35.630000000000003</v>
      </c>
      <c r="Z10" s="33">
        <v>4.3600000000000003</v>
      </c>
      <c r="AA10" s="37">
        <v>2</v>
      </c>
      <c r="AB10" s="32"/>
      <c r="AC10" s="37"/>
      <c r="AD10" s="33"/>
      <c r="AE10" s="37"/>
      <c r="AF10" s="4">
        <f t="shared" si="4"/>
        <v>0</v>
      </c>
      <c r="AG10" s="33"/>
      <c r="AH10" s="37"/>
    </row>
    <row r="11" spans="1:35" x14ac:dyDescent="0.2">
      <c r="A11" s="1" t="str" cm="1">
        <f t="array" ref="A11">IF(J11="","",IF(Q11&lt;&gt;"",SUMPRODUCT((Q$3:Q$16&lt;&gt;"")*(H$3:H$16=H11)*(K$3:K$16&gt;K11)*(J$3:J$16="P"))+1,IF(P11&lt;&gt;"",SUMPRODUCT((P$3:P$16&lt;&gt;"")*(Q$3:Q$16="")*(H$3:H$16=H11)*(K$3:K$16&gt;K11)*(J$3:J$16="P"))+SUMPRODUCT((Q$3:Q$16&lt;&gt;"")*(H$3:H$16=H11)*(J$3:J$16="P"))+1,IF(O11&lt;&gt;"",SUMPRODUCT((O$3:O$16&lt;&gt;"")*(H$3:H$16=H11)*(K$3:K$16&gt;K11)*(J$3:J$16="P"))+1,IF(N11="P",SUMPRODUCT((P$3:P$16&lt;&gt;"")*(Q$3:Q$16="")*(H$3:H$16=H11)*(J$3:J$16="P"))+SUMPRODUCT((Q$3:Q$16&lt;&gt;"")*(H$3:H$16=H11)*(J$3:J$16="P"))+SUMPRODUCT((O$3:O$16&lt;&gt;"")*(H$3:H$16=H11)*(J$3:J$16="P"))+SUMPRODUCT((Q$3:Q$16="")*(P$3:P$16="")*(O$3:O$16="")*(N$3:N$16="P")*(H$3:H$16=H11)*(K$3:K$16&gt;K11)*(J$3:J$16="P"))+IF(I11="L5",SUMPRODUCT((Q$3:Q$16="")*(P$3:P$16="")*(O$3:O$16="")*(N$3:N$16="P")*(H$3:H$16=H11)*(K$3:K$16&lt;K11)*(I$3:I$16&lt;&gt;I11)*(J$3:J$16="P")),-1*SUMPRODUCT((Q$3:Q$16="")*(P$3:P$16="")*(O$3:O$16="")*(N$3:N$16="P")*(H$3:H$16=H11)*(K$3:K$16&gt;K11)*(I$3:I$16="L5")*(J$3:J$16="P")))+1,"")))))</f>
        <v/>
      </c>
      <c r="B11" s="1" t="str" cm="1">
        <f t="array" ref="B11">IF(Q11&lt;&gt;"",SUMPRODUCT((Q$3:Q$16&lt;&gt;"")*(H$3:H$16=H11)*(K$3:K$16&gt;K11))+1,IF(P11&lt;&gt;"",SUMPRODUCT((P$3:P$16&lt;&gt;"")*(Q$3:Q$16="")*(H$3:H$16=H11)*(K$3:K$16&gt;K11))+SUMPRODUCT((Q$3:Q$16&lt;&gt;"")*(H$3:H$16=H11))+1,IF(O11&lt;&gt;"",SUMPRODUCT((O$3:O$16&lt;&gt;"")*(H$3:H$16=H11)*(K$3:K$16&gt;K11))+1,IF(N11="P",SUMPRODUCT((P$3:P$16&lt;&gt;"")*(Q$3:Q$16="")*(H$3:H$16=H11))+SUMPRODUCT((Q$3:Q$16&lt;&gt;"")*(H$3:H$16=H11))+SUMPRODUCT((O$3:O$16&lt;&gt;"")*(H$3:H$16=H11))+SUMPRODUCT((Q$3:Q$16="")*(P$3:P$16="")*(O$3:O$16="")*(N$3:N$16="P")*(H$3:H$16=H11)*(K$3:K$16&gt;K11))+IF(I11="L5",SUMPRODUCT((Q$3:Q$16="")*(P$3:P$16="")*(O$3:O$16="")*(N$3:N$16="P")*(H$3:H$16=H11)*(K$3:K$16&lt;K11)*(I$3:I$16&lt;&gt;I11)),-1*SUMPRODUCT((Q$3:Q$16="")*(P$3:P$16="")*(O$3:O$16="")*(N$3:N$16="P")*(H$3:H$16=H11)*(K$3:K$16&gt;K11)*(I$3:I$16="L5")))+1,""))))</f>
        <v/>
      </c>
      <c r="C11" s="35" t="s">
        <v>245</v>
      </c>
      <c r="D11" s="35" t="str">
        <f>IF(E11="","",VLOOKUP(E11,'Coaching Points'!A:B,2,0)&amp;"/"&amp;VLOOKUP(F11,'Coaching Points'!A:B,2,0))</f>
        <v>AB/AB</v>
      </c>
      <c r="E11" s="35" t="s">
        <v>62</v>
      </c>
      <c r="F11" s="35" t="s">
        <v>62</v>
      </c>
      <c r="G11" s="34">
        <v>2007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6" t="s">
        <v>65</v>
      </c>
      <c r="J11" s="40"/>
      <c r="K11" s="4">
        <f t="shared" si="0"/>
        <v>17.9101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 t="shared" si="1"/>
        <v/>
      </c>
      <c r="S11" s="4">
        <f t="shared" si="2"/>
        <v>17.91</v>
      </c>
      <c r="T11" s="4">
        <f>LARGE(CHOOSE({1,2,3,4,5,6},U11,W11,Z11,AB11,AD11,AG11),2)</f>
        <v>0</v>
      </c>
      <c r="U11" s="32">
        <v>17.91</v>
      </c>
      <c r="V11" s="37">
        <v>6.3</v>
      </c>
      <c r="W11" s="33"/>
      <c r="X11" s="37"/>
      <c r="Y11" s="4">
        <f t="shared" si="3"/>
        <v>17.91</v>
      </c>
      <c r="Z11" s="33"/>
      <c r="AA11" s="37"/>
      <c r="AB11" s="32"/>
      <c r="AC11" s="37"/>
      <c r="AD11" s="33"/>
      <c r="AE11" s="37"/>
      <c r="AF11" s="4">
        <f t="shared" si="4"/>
        <v>0</v>
      </c>
      <c r="AG11" s="33"/>
      <c r="AH11" s="37"/>
    </row>
    <row r="12" spans="1:35" x14ac:dyDescent="0.2">
      <c r="A12" s="1" t="str" cm="1">
        <f t="array" ref="A12">IF(J12="","",IF(Q12&lt;&gt;"",SUMPRODUCT((Q$3:Q$16&lt;&gt;"")*(H$3:H$16=H12)*(K$3:K$16&gt;K12)*(J$3:J$16="P"))+1,IF(P12&lt;&gt;"",SUMPRODUCT((P$3:P$16&lt;&gt;"")*(Q$3:Q$16="")*(H$3:H$16=H12)*(K$3:K$16&gt;K12)*(J$3:J$16="P"))+SUMPRODUCT((Q$3:Q$16&lt;&gt;"")*(H$3:H$16=H12)*(J$3:J$16="P"))+1,IF(O12&lt;&gt;"",SUMPRODUCT((O$3:O$16&lt;&gt;"")*(H$3:H$16=H12)*(K$3:K$16&gt;K12)*(J$3:J$16="P"))+1,IF(N12="P",SUMPRODUCT((P$3:P$16&lt;&gt;"")*(Q$3:Q$16="")*(H$3:H$16=H12)*(J$3:J$16="P"))+SUMPRODUCT((Q$3:Q$16&lt;&gt;"")*(H$3:H$16=H12)*(J$3:J$16="P"))+SUMPRODUCT((O$3:O$16&lt;&gt;"")*(H$3:H$16=H12)*(J$3:J$16="P"))+SUMPRODUCT((Q$3:Q$16="")*(P$3:P$16="")*(O$3:O$16="")*(N$3:N$16="P")*(H$3:H$16=H12)*(K$3:K$16&gt;K12)*(J$3:J$16="P"))+IF(I12="L5",SUMPRODUCT((Q$3:Q$16="")*(P$3:P$16="")*(O$3:O$16="")*(N$3:N$16="P")*(H$3:H$16=H12)*(K$3:K$16&lt;K12)*(I$3:I$16&lt;&gt;I12)*(J$3:J$16="P")),-1*SUMPRODUCT((Q$3:Q$16="")*(P$3:P$16="")*(O$3:O$16="")*(N$3:N$16="P")*(H$3:H$16=H12)*(K$3:K$16&gt;K12)*(I$3:I$16="L5")*(J$3:J$16="P")))+1,"")))))</f>
        <v/>
      </c>
      <c r="B12" s="1" t="str" cm="1">
        <f t="array" ref="B12">IF(Q12&lt;&gt;"",SUMPRODUCT((Q$3:Q$16&lt;&gt;"")*(H$3:H$16=H12)*(K$3:K$16&gt;K12))+1,IF(P12&lt;&gt;"",SUMPRODUCT((P$3:P$16&lt;&gt;"")*(Q$3:Q$16="")*(H$3:H$16=H12)*(K$3:K$16&gt;K12))+SUMPRODUCT((Q$3:Q$16&lt;&gt;"")*(H$3:H$16=H12))+1,IF(O12&lt;&gt;"",SUMPRODUCT((O$3:O$16&lt;&gt;"")*(H$3:H$16=H12)*(K$3:K$16&gt;K12))+1,IF(N12="P",SUMPRODUCT((P$3:P$16&lt;&gt;"")*(Q$3:Q$16="")*(H$3:H$16=H12))+SUMPRODUCT((Q$3:Q$16&lt;&gt;"")*(H$3:H$16=H12))+SUMPRODUCT((O$3:O$16&lt;&gt;"")*(H$3:H$16=H12))+SUMPRODUCT((Q$3:Q$16="")*(P$3:P$16="")*(O$3:O$16="")*(N$3:N$16="P")*(H$3:H$16=H12)*(K$3:K$16&gt;K12))+IF(I12="L5",SUMPRODUCT((Q$3:Q$16="")*(P$3:P$16="")*(O$3:O$16="")*(N$3:N$16="P")*(H$3:H$16=H12)*(K$3:K$16&lt;K12)*(I$3:I$16&lt;&gt;I12)),-1*SUMPRODUCT((Q$3:Q$16="")*(P$3:P$16="")*(O$3:O$16="")*(N$3:N$16="P")*(H$3:H$16=H12)*(K$3:K$16&gt;K12)*(I$3:I$16="L5")))+1,""))))</f>
        <v/>
      </c>
      <c r="C12" s="35" t="s">
        <v>351</v>
      </c>
      <c r="D12" s="35" t="str">
        <f>IF(E12="","",VLOOKUP(E12,'Coaching Points'!A:B,2,0)&amp;"/"&amp;VLOOKUP(F12,'Coaching Points'!A:B,2,0))</f>
        <v>AB/AB</v>
      </c>
      <c r="E12" s="35" t="s">
        <v>28</v>
      </c>
      <c r="F12" s="35" t="s">
        <v>28</v>
      </c>
      <c r="G12" s="34">
        <v>2008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15-16</v>
      </c>
      <c r="I12" s="36" t="s">
        <v>65</v>
      </c>
      <c r="J12" s="40"/>
      <c r="K12" s="4">
        <f t="shared" si="0"/>
        <v>9.3201000000000001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 t="shared" si="1"/>
        <v/>
      </c>
      <c r="S12" s="4">
        <f t="shared" si="2"/>
        <v>9.32</v>
      </c>
      <c r="T12" s="4">
        <f>LARGE(CHOOSE({1,2,3,4,5,6},U12,W12,Z12,AB12,AD12,AG12),2)</f>
        <v>0</v>
      </c>
      <c r="U12" s="32">
        <v>9.32</v>
      </c>
      <c r="V12" s="37">
        <v>2.2999999999999998</v>
      </c>
      <c r="W12" s="33"/>
      <c r="X12" s="37"/>
      <c r="Y12" s="4">
        <f t="shared" si="3"/>
        <v>9.32</v>
      </c>
      <c r="Z12" s="33"/>
      <c r="AA12" s="37"/>
      <c r="AB12" s="32"/>
      <c r="AC12" s="37"/>
      <c r="AD12" s="33"/>
      <c r="AE12" s="37"/>
      <c r="AF12" s="4">
        <f t="shared" si="4"/>
        <v>0</v>
      </c>
      <c r="AG12" s="33"/>
      <c r="AH12" s="37"/>
    </row>
    <row r="13" spans="1:35" x14ac:dyDescent="0.2">
      <c r="A13" s="1" t="str" cm="1">
        <f t="array" ref="A13">IF(J13="","",IF(Q13&lt;&gt;"",SUMPRODUCT((Q$3:Q$16&lt;&gt;"")*(H$3:H$16=H13)*(K$3:K$16&gt;K13)*(J$3:J$16="P"))+1,IF(P13&lt;&gt;"",SUMPRODUCT((P$3:P$16&lt;&gt;"")*(Q$3:Q$16="")*(H$3:H$16=H13)*(K$3:K$16&gt;K13)*(J$3:J$16="P"))+SUMPRODUCT((Q$3:Q$16&lt;&gt;"")*(H$3:H$16=H13)*(J$3:J$16="P"))+1,IF(O13&lt;&gt;"",SUMPRODUCT((O$3:O$16&lt;&gt;"")*(H$3:H$16=H13)*(K$3:K$16&gt;K13)*(J$3:J$16="P"))+1,IF(N13="P",SUMPRODUCT((P$3:P$16&lt;&gt;"")*(Q$3:Q$16="")*(H$3:H$16=H13)*(J$3:J$16="P"))+SUMPRODUCT((Q$3:Q$16&lt;&gt;"")*(H$3:H$16=H13)*(J$3:J$16="P"))+SUMPRODUCT((O$3:O$16&lt;&gt;"")*(H$3:H$16=H13)*(J$3:J$16="P"))+SUMPRODUCT((Q$3:Q$16="")*(P$3:P$16="")*(O$3:O$16="")*(N$3:N$16="P")*(H$3:H$16=H13)*(K$3:K$16&gt;K13)*(J$3:J$16="P"))+IF(I13="L5",SUMPRODUCT((Q$3:Q$16="")*(P$3:P$16="")*(O$3:O$16="")*(N$3:N$16="P")*(H$3:H$16=H13)*(K$3:K$16&lt;K13)*(I$3:I$16&lt;&gt;I13)*(J$3:J$16="P")),-1*SUMPRODUCT((Q$3:Q$16="")*(P$3:P$16="")*(O$3:O$16="")*(N$3:N$16="P")*(H$3:H$16=H13)*(K$3:K$16&gt;K13)*(I$3:I$16="L5")*(J$3:J$16="P")))+1,"")))))</f>
        <v/>
      </c>
      <c r="B13" s="1" t="str" cm="1">
        <f t="array" ref="B13">IF(Q13&lt;&gt;"",SUMPRODUCT((Q$3:Q$16&lt;&gt;"")*(H$3:H$16=H13)*(K$3:K$16&gt;K13))+1,IF(P13&lt;&gt;"",SUMPRODUCT((P$3:P$16&lt;&gt;"")*(Q$3:Q$16="")*(H$3:H$16=H13)*(K$3:K$16&gt;K13))+SUMPRODUCT((Q$3:Q$16&lt;&gt;"")*(H$3:H$16=H13))+1,IF(O13&lt;&gt;"",SUMPRODUCT((O$3:O$16&lt;&gt;"")*(H$3:H$16=H13)*(K$3:K$16&gt;K13))+1,IF(N13="P",SUMPRODUCT((P$3:P$16&lt;&gt;"")*(Q$3:Q$16="")*(H$3:H$16=H13))+SUMPRODUCT((Q$3:Q$16&lt;&gt;"")*(H$3:H$16=H13))+SUMPRODUCT((O$3:O$16&lt;&gt;"")*(H$3:H$16=H13))+SUMPRODUCT((Q$3:Q$16="")*(P$3:P$16="")*(O$3:O$16="")*(N$3:N$16="P")*(H$3:H$16=H13)*(K$3:K$16&gt;K13))+IF(I13="L5",SUMPRODUCT((Q$3:Q$16="")*(P$3:P$16="")*(O$3:O$16="")*(N$3:N$16="P")*(H$3:H$16=H13)*(K$3:K$16&lt;K13)*(I$3:I$16&lt;&gt;I13)),-1*SUMPRODUCT((Q$3:Q$16="")*(P$3:P$16="")*(O$3:O$16="")*(N$3:N$16="P")*(H$3:H$16=H13)*(K$3:K$16&gt;K13)*(I$3:I$16="L5")))+1,""))))</f>
        <v/>
      </c>
      <c r="C13" s="35" t="s">
        <v>347</v>
      </c>
      <c r="D13" s="35" t="str">
        <f>IF(E13="","",VLOOKUP(E13,'Coaching Points'!A:B,2,0)&amp;"/"&amp;VLOOKUP(F13,'Coaching Points'!A:B,2,0))</f>
        <v>ON/ON</v>
      </c>
      <c r="E13" s="35" t="s">
        <v>97</v>
      </c>
      <c r="F13" s="35" t="s">
        <v>97</v>
      </c>
      <c r="G13" s="34">
        <v>2009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15-16</v>
      </c>
      <c r="I13" s="36" t="s">
        <v>64</v>
      </c>
      <c r="J13" s="40"/>
      <c r="K13" s="4">
        <f t="shared" si="0"/>
        <v>5.04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 t="shared" si="1"/>
        <v/>
      </c>
      <c r="S13" s="4">
        <f t="shared" si="2"/>
        <v>5.04</v>
      </c>
      <c r="T13" s="4">
        <f>LARGE(CHOOSE({1,2,3,4,5,6},U13,W13,Z13,AB13,AD13,AG13),2)</f>
        <v>0</v>
      </c>
      <c r="U13" s="32">
        <v>5.04</v>
      </c>
      <c r="V13" s="37">
        <v>1.5</v>
      </c>
      <c r="W13" s="33"/>
      <c r="X13" s="37"/>
      <c r="Y13" s="4">
        <f t="shared" si="3"/>
        <v>5.04</v>
      </c>
      <c r="Z13" s="33"/>
      <c r="AA13" s="37"/>
      <c r="AB13" s="32"/>
      <c r="AC13" s="37"/>
      <c r="AD13" s="33"/>
      <c r="AE13" s="37"/>
      <c r="AF13" s="4">
        <f t="shared" si="4"/>
        <v>0</v>
      </c>
      <c r="AG13" s="33"/>
      <c r="AH13" s="37"/>
    </row>
    <row r="14" spans="1:35" x14ac:dyDescent="0.2">
      <c r="A14" s="1" t="str" cm="1">
        <f t="array" ref="A14">IF(J14="","",IF(Q14&lt;&gt;"",SUMPRODUCT((Q$3:Q$16&lt;&gt;"")*(H$3:H$16=H14)*(K$3:K$16&gt;K14)*(J$3:J$16="P"))+1,IF(P14&lt;&gt;"",SUMPRODUCT((P$3:P$16&lt;&gt;"")*(Q$3:Q$16="")*(H$3:H$16=H14)*(K$3:K$16&gt;K14)*(J$3:J$16="P"))+SUMPRODUCT((Q$3:Q$16&lt;&gt;"")*(H$3:H$16=H14)*(J$3:J$16="P"))+1,IF(O14&lt;&gt;"",SUMPRODUCT((O$3:O$16&lt;&gt;"")*(H$3:H$16=H14)*(K$3:K$16&gt;K14)*(J$3:J$16="P"))+1,IF(N14="P",SUMPRODUCT((P$3:P$16&lt;&gt;"")*(Q$3:Q$16="")*(H$3:H$16=H14)*(J$3:J$16="P"))+SUMPRODUCT((Q$3:Q$16&lt;&gt;"")*(H$3:H$16=H14)*(J$3:J$16="P"))+SUMPRODUCT((O$3:O$16&lt;&gt;"")*(H$3:H$16=H14)*(J$3:J$16="P"))+SUMPRODUCT((Q$3:Q$16="")*(P$3:P$16="")*(O$3:O$16="")*(N$3:N$16="P")*(H$3:H$16=H14)*(K$3:K$16&gt;K14)*(J$3:J$16="P"))+IF(I14="L5",SUMPRODUCT((Q$3:Q$16="")*(P$3:P$16="")*(O$3:O$16="")*(N$3:N$16="P")*(H$3:H$16=H14)*(K$3:K$16&lt;K14)*(I$3:I$16&lt;&gt;I14)*(J$3:J$16="P")),-1*SUMPRODUCT((Q$3:Q$16="")*(P$3:P$16="")*(O$3:O$16="")*(N$3:N$16="P")*(H$3:H$16=H14)*(K$3:K$16&gt;K14)*(I$3:I$16="L5")*(J$3:J$16="P")))+1,"")))))</f>
        <v/>
      </c>
      <c r="B14" s="1" t="str" cm="1">
        <f t="array" ref="B14">IF(Q14&lt;&gt;"",SUMPRODUCT((Q$3:Q$16&lt;&gt;"")*(H$3:H$16=H14)*(K$3:K$16&gt;K14))+1,IF(P14&lt;&gt;"",SUMPRODUCT((P$3:P$16&lt;&gt;"")*(Q$3:Q$16="")*(H$3:H$16=H14)*(K$3:K$16&gt;K14))+SUMPRODUCT((Q$3:Q$16&lt;&gt;"")*(H$3:H$16=H14))+1,IF(O14&lt;&gt;"",SUMPRODUCT((O$3:O$16&lt;&gt;"")*(H$3:H$16=H14)*(K$3:K$16&gt;K14))+1,IF(N14="P",SUMPRODUCT((P$3:P$16&lt;&gt;"")*(Q$3:Q$16="")*(H$3:H$16=H14))+SUMPRODUCT((Q$3:Q$16&lt;&gt;"")*(H$3:H$16=H14))+SUMPRODUCT((O$3:O$16&lt;&gt;"")*(H$3:H$16=H14))+SUMPRODUCT((Q$3:Q$16="")*(P$3:P$16="")*(O$3:O$16="")*(N$3:N$16="P")*(H$3:H$16=H14)*(K$3:K$16&gt;K14))+IF(I14="L5",SUMPRODUCT((Q$3:Q$16="")*(P$3:P$16="")*(O$3:O$16="")*(N$3:N$16="P")*(H$3:H$16=H14)*(K$3:K$16&lt;K14)*(I$3:I$16&lt;&gt;I14)),-1*SUMPRODUCT((Q$3:Q$16="")*(P$3:P$16="")*(O$3:O$16="")*(N$3:N$16="P")*(H$3:H$16=H14)*(K$3:K$16&gt;K14)*(I$3:I$16="L5")))+1,""))))</f>
        <v/>
      </c>
      <c r="C14" s="35" t="s">
        <v>345</v>
      </c>
      <c r="D14" s="35" t="str">
        <f>IF(E14="","",VLOOKUP(E14,'Coaching Points'!A:B,2,0)&amp;"/"&amp;VLOOKUP(F14,'Coaching Points'!A:B,2,0))</f>
        <v>QC/QC</v>
      </c>
      <c r="E14" s="35" t="s">
        <v>201</v>
      </c>
      <c r="F14" s="35" t="s">
        <v>201</v>
      </c>
      <c r="G14" s="34">
        <v>2010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13-14</v>
      </c>
      <c r="I14" s="36" t="s">
        <v>64</v>
      </c>
      <c r="J14" s="40"/>
      <c r="K14" s="4">
        <f t="shared" si="0"/>
        <v>44.28</v>
      </c>
      <c r="L14" s="3" t="str">
        <f>IF(H14="Not Age Eligible","",IF(MAX(U14,W14,Z14,AB14,AD14,AG14)&gt;=LOOKUP(H14,'Qualifying Scores'!$A$4:$A$7,'Qualifying Scores'!$D$4:$D$7),"P",""))</f>
        <v>P</v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 t="shared" si="1"/>
        <v/>
      </c>
      <c r="S14" s="4">
        <f t="shared" si="2"/>
        <v>44.28</v>
      </c>
      <c r="T14" s="4">
        <f>LARGE(CHOOSE({1,2,3,4,5,6},U14,W14,Z14,AB14,AD14,AG14),2)</f>
        <v>40.19</v>
      </c>
      <c r="U14" s="32">
        <v>44.28</v>
      </c>
      <c r="V14" s="37">
        <v>7</v>
      </c>
      <c r="W14" s="33"/>
      <c r="X14" s="37"/>
      <c r="Y14" s="4">
        <f t="shared" si="3"/>
        <v>44.28</v>
      </c>
      <c r="Z14" s="33">
        <v>40.19</v>
      </c>
      <c r="AA14" s="37">
        <v>7</v>
      </c>
      <c r="AB14" s="32"/>
      <c r="AC14" s="37"/>
      <c r="AD14" s="33"/>
      <c r="AE14" s="37"/>
      <c r="AF14" s="4">
        <f t="shared" si="4"/>
        <v>0</v>
      </c>
      <c r="AG14" s="33"/>
      <c r="AH14" s="37"/>
    </row>
    <row r="15" spans="1:35" x14ac:dyDescent="0.2">
      <c r="A15" s="1" t="str" cm="1">
        <f t="array" ref="A15">IF(J15="","",IF(Q15&lt;&gt;"",SUMPRODUCT((Q$3:Q$16&lt;&gt;"")*(H$3:H$16=H15)*(K$3:K$16&gt;K15)*(J$3:J$16="P"))+1,IF(P15&lt;&gt;"",SUMPRODUCT((P$3:P$16&lt;&gt;"")*(Q$3:Q$16="")*(H$3:H$16=H15)*(K$3:K$16&gt;K15)*(J$3:J$16="P"))+SUMPRODUCT((Q$3:Q$16&lt;&gt;"")*(H$3:H$16=H15)*(J$3:J$16="P"))+1,IF(O15&lt;&gt;"",SUMPRODUCT((O$3:O$16&lt;&gt;"")*(H$3:H$16=H15)*(K$3:K$16&gt;K15)*(J$3:J$16="P"))+1,IF(N15="P",SUMPRODUCT((P$3:P$16&lt;&gt;"")*(Q$3:Q$16="")*(H$3:H$16=H15)*(J$3:J$16="P"))+SUMPRODUCT((Q$3:Q$16&lt;&gt;"")*(H$3:H$16=H15)*(J$3:J$16="P"))+SUMPRODUCT((O$3:O$16&lt;&gt;"")*(H$3:H$16=H15)*(J$3:J$16="P"))+SUMPRODUCT((Q$3:Q$16="")*(P$3:P$16="")*(O$3:O$16="")*(N$3:N$16="P")*(H$3:H$16=H15)*(K$3:K$16&gt;K15)*(J$3:J$16="P"))+IF(I15="L5",SUMPRODUCT((Q$3:Q$16="")*(P$3:P$16="")*(O$3:O$16="")*(N$3:N$16="P")*(H$3:H$16=H15)*(K$3:K$16&lt;K15)*(I$3:I$16&lt;&gt;I15)*(J$3:J$16="P")),-1*SUMPRODUCT((Q$3:Q$16="")*(P$3:P$16="")*(O$3:O$16="")*(N$3:N$16="P")*(H$3:H$16=H15)*(K$3:K$16&gt;K15)*(I$3:I$16="L5")*(J$3:J$16="P")))+1,"")))))</f>
        <v/>
      </c>
      <c r="B15" s="1" t="str" cm="1">
        <f t="array" ref="B15">IF(Q15&lt;&gt;"",SUMPRODUCT((Q$3:Q$16&lt;&gt;"")*(H$3:H$16=H15)*(K$3:K$16&gt;K15))+1,IF(P15&lt;&gt;"",SUMPRODUCT((P$3:P$16&lt;&gt;"")*(Q$3:Q$16="")*(H$3:H$16=H15)*(K$3:K$16&gt;K15))+SUMPRODUCT((Q$3:Q$16&lt;&gt;"")*(H$3:H$16=H15))+1,IF(O15&lt;&gt;"",SUMPRODUCT((O$3:O$16&lt;&gt;"")*(H$3:H$16=H15)*(K$3:K$16&gt;K15))+1,IF(N15="P",SUMPRODUCT((P$3:P$16&lt;&gt;"")*(Q$3:Q$16="")*(H$3:H$16=H15))+SUMPRODUCT((Q$3:Q$16&lt;&gt;"")*(H$3:H$16=H15))+SUMPRODUCT((O$3:O$16&lt;&gt;"")*(H$3:H$16=H15))+SUMPRODUCT((Q$3:Q$16="")*(P$3:P$16="")*(O$3:O$16="")*(N$3:N$16="P")*(H$3:H$16=H15)*(K$3:K$16&gt;K15))+IF(I15="L5",SUMPRODUCT((Q$3:Q$16="")*(P$3:P$16="")*(O$3:O$16="")*(N$3:N$16="P")*(H$3:H$16=H15)*(K$3:K$16&lt;K15)*(I$3:I$16&lt;&gt;I15)),-1*SUMPRODUCT((Q$3:Q$16="")*(P$3:P$16="")*(O$3:O$16="")*(N$3:N$16="P")*(H$3:H$16=H15)*(K$3:K$16&gt;K15)*(I$3:I$16="L5")))+1,""))))</f>
        <v/>
      </c>
      <c r="C15" s="35" t="s">
        <v>346</v>
      </c>
      <c r="D15" s="35" t="str">
        <f>IF(E15="","",VLOOKUP(E15,'Coaching Points'!A:B,2,0)&amp;"/"&amp;VLOOKUP(F15,'Coaching Points'!A:B,2,0))</f>
        <v>NS/NS</v>
      </c>
      <c r="E15" s="35" t="s">
        <v>112</v>
      </c>
      <c r="F15" s="35" t="s">
        <v>112</v>
      </c>
      <c r="G15" s="34">
        <v>2010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13-14</v>
      </c>
      <c r="I15" s="36" t="s">
        <v>64</v>
      </c>
      <c r="J15" s="40"/>
      <c r="K15" s="4">
        <f t="shared" si="0"/>
        <v>39.4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1" t="str">
        <f t="shared" si="1"/>
        <v/>
      </c>
      <c r="S15" s="4">
        <f t="shared" si="2"/>
        <v>39.4</v>
      </c>
      <c r="T15" s="4">
        <f>LARGE(CHOOSE({1,2,3,4,5,6},U15,W15,Z15,AB15,AD15,AG15),2)</f>
        <v>37.450000000000003</v>
      </c>
      <c r="U15" s="32">
        <v>39.4</v>
      </c>
      <c r="V15" s="37">
        <v>7.6</v>
      </c>
      <c r="W15" s="33"/>
      <c r="X15" s="37"/>
      <c r="Y15" s="4">
        <f t="shared" si="3"/>
        <v>39.4</v>
      </c>
      <c r="Z15" s="33">
        <v>37.450000000000003</v>
      </c>
      <c r="AA15" s="37">
        <v>7.6</v>
      </c>
      <c r="AB15" s="32"/>
      <c r="AC15" s="37"/>
      <c r="AD15" s="33"/>
      <c r="AE15" s="37"/>
      <c r="AF15" s="4">
        <f t="shared" si="4"/>
        <v>0</v>
      </c>
      <c r="AG15" s="33"/>
      <c r="AH15" s="37"/>
    </row>
    <row r="16" spans="1:35" x14ac:dyDescent="0.2">
      <c r="B16" s="1"/>
      <c r="H16" s="1"/>
      <c r="I16" s="36"/>
      <c r="J16" s="40"/>
      <c r="K16" s="4"/>
      <c r="L16" s="3"/>
      <c r="M16" s="3"/>
      <c r="S16" s="4"/>
      <c r="T16" s="4"/>
      <c r="U16" s="32"/>
      <c r="V16" s="37"/>
      <c r="W16" s="33"/>
      <c r="X16" s="37"/>
      <c r="Y16" s="4"/>
      <c r="Z16" s="33"/>
      <c r="AA16" s="37"/>
      <c r="AB16" s="32"/>
      <c r="AC16" s="37"/>
      <c r="AD16" s="33"/>
      <c r="AE16" s="37"/>
      <c r="AF16" s="4"/>
      <c r="AG16" s="33"/>
      <c r="AH16" s="37"/>
    </row>
    <row r="17" spans="2:34" x14ac:dyDescent="0.2">
      <c r="B17" s="1"/>
      <c r="H17" s="1"/>
      <c r="I17" s="36"/>
      <c r="J17" s="40"/>
      <c r="K17" s="4"/>
      <c r="L17" s="3"/>
      <c r="M17" s="3"/>
      <c r="S17" s="4"/>
      <c r="T17" s="4"/>
      <c r="U17" s="32"/>
      <c r="V17" s="37"/>
      <c r="W17" s="33"/>
      <c r="X17" s="37"/>
      <c r="Y17" s="4"/>
      <c r="Z17" s="33"/>
      <c r="AA17" s="37"/>
      <c r="AB17" s="32"/>
      <c r="AC17" s="37"/>
      <c r="AD17" s="33"/>
      <c r="AE17" s="37"/>
      <c r="AF17" s="4"/>
      <c r="AG17" s="33"/>
      <c r="AH17" s="37"/>
    </row>
    <row r="18" spans="2:34" x14ac:dyDescent="0.2">
      <c r="B18" s="1"/>
      <c r="H18" s="1"/>
      <c r="I18" s="36"/>
      <c r="J18" s="40"/>
      <c r="K18" s="4"/>
      <c r="L18" s="3"/>
      <c r="M18" s="3"/>
      <c r="S18" s="4"/>
      <c r="T18" s="4"/>
      <c r="U18" s="32"/>
      <c r="V18" s="37"/>
      <c r="W18" s="33"/>
      <c r="X18" s="37"/>
      <c r="Y18" s="4"/>
      <c r="Z18" s="33"/>
      <c r="AA18" s="37"/>
      <c r="AB18" s="32"/>
      <c r="AC18" s="37"/>
      <c r="AD18" s="33"/>
      <c r="AE18" s="37"/>
      <c r="AF18" s="4"/>
      <c r="AG18" s="33"/>
      <c r="AH18" s="37"/>
    </row>
    <row r="19" spans="2:34" x14ac:dyDescent="0.2">
      <c r="B19" s="1"/>
      <c r="H19" s="1"/>
      <c r="I19" s="36"/>
      <c r="J19" s="40"/>
      <c r="K19" s="4"/>
      <c r="L19" s="3"/>
      <c r="M19" s="3"/>
      <c r="S19" s="4"/>
      <c r="T19" s="4"/>
      <c r="U19" s="32"/>
      <c r="V19" s="37"/>
      <c r="W19" s="33"/>
      <c r="X19" s="37"/>
      <c r="Y19" s="4"/>
      <c r="Z19" s="33"/>
      <c r="AA19" s="37"/>
      <c r="AB19" s="32"/>
      <c r="AC19" s="37"/>
      <c r="AD19" s="33"/>
      <c r="AE19" s="37"/>
      <c r="AF19" s="4"/>
      <c r="AG19" s="33"/>
      <c r="AH19" s="37"/>
    </row>
    <row r="20" spans="2:34" x14ac:dyDescent="0.2">
      <c r="B20" s="1"/>
      <c r="H20" s="1"/>
      <c r="I20" s="36"/>
      <c r="J20" s="40"/>
      <c r="K20" s="4"/>
      <c r="L20" s="3"/>
      <c r="M20" s="3"/>
      <c r="S20" s="4"/>
      <c r="T20" s="4"/>
      <c r="U20" s="32"/>
      <c r="V20" s="37"/>
      <c r="W20" s="33"/>
      <c r="X20" s="37"/>
      <c r="Y20" s="4"/>
      <c r="Z20" s="33"/>
      <c r="AA20" s="37"/>
      <c r="AB20" s="32"/>
      <c r="AC20" s="37"/>
      <c r="AD20" s="33"/>
      <c r="AE20" s="37"/>
      <c r="AF20" s="4"/>
      <c r="AG20" s="33"/>
      <c r="AH20" s="37"/>
    </row>
    <row r="21" spans="2:34" x14ac:dyDescent="0.2">
      <c r="B21" s="1"/>
      <c r="H21" s="1"/>
      <c r="I21" s="36"/>
      <c r="J21" s="40"/>
      <c r="K21" s="4"/>
      <c r="L21" s="3"/>
      <c r="M21" s="3"/>
      <c r="S21" s="4"/>
      <c r="T21" s="4"/>
      <c r="U21" s="32"/>
      <c r="V21" s="37"/>
      <c r="W21" s="33"/>
      <c r="X21" s="37"/>
      <c r="Y21" s="4"/>
      <c r="Z21" s="33"/>
      <c r="AA21" s="37"/>
      <c r="AB21" s="32"/>
      <c r="AC21" s="37"/>
      <c r="AD21" s="33"/>
      <c r="AE21" s="37"/>
      <c r="AF21" s="4"/>
      <c r="AG21" s="33"/>
      <c r="AH21" s="37"/>
    </row>
    <row r="22" spans="2:34" x14ac:dyDescent="0.2">
      <c r="B22" s="1"/>
      <c r="H22" s="1"/>
      <c r="I22" s="36"/>
      <c r="J22" s="40"/>
      <c r="K22" s="4"/>
      <c r="L22" s="3"/>
      <c r="M22" s="3"/>
      <c r="S22" s="4"/>
      <c r="T22" s="4"/>
      <c r="U22" s="32"/>
      <c r="V22" s="37"/>
      <c r="W22" s="33"/>
      <c r="X22" s="37"/>
      <c r="Y22" s="4"/>
      <c r="Z22" s="33"/>
      <c r="AA22" s="37"/>
      <c r="AB22" s="32"/>
      <c r="AC22" s="37"/>
      <c r="AD22" s="33"/>
      <c r="AE22" s="37"/>
      <c r="AF22" s="4"/>
      <c r="AG22" s="33"/>
      <c r="AH22" s="37"/>
    </row>
    <row r="23" spans="2:34" x14ac:dyDescent="0.2">
      <c r="B23" s="1"/>
      <c r="H23" s="1"/>
      <c r="I23" s="36"/>
      <c r="J23" s="40"/>
      <c r="K23" s="4"/>
      <c r="L23" s="3"/>
      <c r="M23" s="3"/>
      <c r="S23" s="4"/>
      <c r="T23" s="4"/>
      <c r="U23" s="32"/>
      <c r="V23" s="37"/>
      <c r="W23" s="33"/>
      <c r="X23" s="37"/>
      <c r="Y23" s="4"/>
      <c r="Z23" s="33"/>
      <c r="AA23" s="37"/>
      <c r="AB23" s="32"/>
      <c r="AC23" s="37"/>
      <c r="AD23" s="33"/>
      <c r="AE23" s="37"/>
      <c r="AF23" s="4"/>
      <c r="AG23" s="33"/>
      <c r="AH23" s="37"/>
    </row>
    <row r="24" spans="2:34" x14ac:dyDescent="0.2">
      <c r="B24" s="1"/>
      <c r="H24" s="1"/>
      <c r="I24" s="36"/>
      <c r="J24" s="40"/>
      <c r="K24" s="4"/>
      <c r="L24" s="3"/>
      <c r="M24" s="3"/>
      <c r="S24" s="4"/>
      <c r="T24" s="4"/>
      <c r="U24" s="32"/>
      <c r="V24" s="37"/>
      <c r="W24" s="33"/>
      <c r="X24" s="37"/>
      <c r="Y24" s="4"/>
      <c r="Z24" s="33"/>
      <c r="AA24" s="37"/>
      <c r="AB24" s="32"/>
      <c r="AC24" s="37"/>
      <c r="AD24" s="33"/>
      <c r="AE24" s="37"/>
      <c r="AF24" s="4"/>
      <c r="AG24" s="33"/>
      <c r="AH24" s="37"/>
    </row>
    <row r="25" spans="2:34" x14ac:dyDescent="0.2">
      <c r="B25" s="1"/>
      <c r="H25" s="1"/>
      <c r="I25" s="36"/>
      <c r="J25" s="40"/>
      <c r="K25" s="4"/>
      <c r="L25" s="3"/>
      <c r="M25" s="3"/>
      <c r="S25" s="4"/>
      <c r="T25" s="4"/>
      <c r="U25" s="32"/>
      <c r="V25" s="37"/>
      <c r="W25" s="33"/>
      <c r="X25" s="37"/>
      <c r="Y25" s="4"/>
      <c r="Z25" s="33"/>
      <c r="AA25" s="37"/>
      <c r="AB25" s="32"/>
      <c r="AC25" s="37"/>
      <c r="AD25" s="33"/>
      <c r="AE25" s="37"/>
      <c r="AF25" s="4"/>
      <c r="AG25" s="33"/>
      <c r="AH25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15">
      <sortCondition descending="1" ref="H1:H16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XFD1048576">
    <cfRule type="expression" dxfId="39" priority="9">
      <formula>IF($H1="17-21",1,0)</formula>
    </cfRule>
    <cfRule type="expression" dxfId="38" priority="10">
      <formula>IF($H1="15-16",1,0)</formula>
    </cfRule>
    <cfRule type="expression" dxfId="37" priority="11">
      <formula>IF($H1="13-14",1,0)</formula>
    </cfRule>
    <cfRule type="expression" dxfId="36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I24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5" bestFit="1" customWidth="1"/>
    <col min="4" max="4" width="8.6640625" style="35" bestFit="1" customWidth="1"/>
    <col min="5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bestFit="1" customWidth="1"/>
    <col min="16" max="16" width="24.83203125" style="36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hidden="1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hidden="1" customWidth="1"/>
    <col min="29" max="29" width="13.6640625" style="35" hidden="1" customWidth="1"/>
    <col min="30" max="30" width="11" style="35" hidden="1" customWidth="1"/>
    <col min="31" max="31" width="14.1640625" style="35" hidden="1" customWidth="1"/>
    <col min="32" max="32" width="7.6640625" hidden="1" customWidth="1"/>
    <col min="33" max="33" width="6.6640625" style="35" hidden="1" customWidth="1"/>
    <col min="34" max="34" width="9" style="35" hidden="1" customWidth="1"/>
    <col min="35" max="35" width="11" style="61"/>
  </cols>
  <sheetData>
    <row r="1" spans="1:35" s="6" customFormat="1" ht="16" customHeight="1" x14ac:dyDescent="0.2">
      <c r="A1" s="66" t="s">
        <v>162</v>
      </c>
      <c r="B1" s="66" t="s">
        <v>161</v>
      </c>
      <c r="C1" s="68" t="s">
        <v>0</v>
      </c>
      <c r="D1" s="68" t="s">
        <v>1</v>
      </c>
      <c r="E1" s="68" t="s">
        <v>196</v>
      </c>
      <c r="F1" s="73" t="s">
        <v>197</v>
      </c>
      <c r="G1" s="75" t="s">
        <v>4</v>
      </c>
      <c r="H1" s="68" t="s">
        <v>5</v>
      </c>
      <c r="I1" s="68" t="s">
        <v>54</v>
      </c>
      <c r="J1" s="68" t="s">
        <v>41</v>
      </c>
      <c r="K1" s="71" t="s">
        <v>13</v>
      </c>
      <c r="L1" s="68" t="s">
        <v>9</v>
      </c>
      <c r="M1" s="68" t="s">
        <v>10</v>
      </c>
      <c r="N1" s="68" t="s">
        <v>32</v>
      </c>
      <c r="O1" s="68" t="s">
        <v>12</v>
      </c>
      <c r="P1" s="68" t="s">
        <v>47</v>
      </c>
      <c r="Q1" s="68" t="s">
        <v>11</v>
      </c>
      <c r="R1" s="68" t="s">
        <v>160</v>
      </c>
      <c r="S1" s="66" t="s">
        <v>242</v>
      </c>
      <c r="T1" s="68" t="s">
        <v>243</v>
      </c>
      <c r="U1" s="70" t="s">
        <v>43</v>
      </c>
      <c r="V1" s="70"/>
      <c r="W1" s="70"/>
      <c r="X1" s="70"/>
      <c r="Y1" s="70"/>
      <c r="Z1" s="70"/>
      <c r="AA1" s="70"/>
      <c r="AB1" s="70" t="s">
        <v>42</v>
      </c>
      <c r="AC1" s="70"/>
      <c r="AD1" s="70"/>
      <c r="AE1" s="70"/>
      <c r="AF1" s="70"/>
      <c r="AG1" s="70"/>
      <c r="AH1" s="70"/>
      <c r="AI1" s="60"/>
    </row>
    <row r="2" spans="1:35" s="7" customFormat="1" ht="17" thickBot="1" x14ac:dyDescent="0.25">
      <c r="A2" s="67"/>
      <c r="B2" s="67"/>
      <c r="C2" s="69"/>
      <c r="D2" s="69"/>
      <c r="E2" s="69"/>
      <c r="F2" s="74"/>
      <c r="G2" s="76"/>
      <c r="H2" s="69"/>
      <c r="I2" s="69"/>
      <c r="J2" s="69"/>
      <c r="K2" s="72"/>
      <c r="L2" s="69"/>
      <c r="M2" s="69"/>
      <c r="N2" s="69"/>
      <c r="O2" s="69"/>
      <c r="P2" s="69"/>
      <c r="Q2" s="69"/>
      <c r="R2" s="69"/>
      <c r="S2" s="67"/>
      <c r="T2" s="69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$22&lt;&gt;"")*(H$3:H$22=H3)*(K$3:K$22&gt;K3)*(J$3:J$22="P"))+1,IF(P3&lt;&gt;"",SUMPRODUCT((P$3:P$22&lt;&gt;"")*(Q$3:Q$22="")*(H$3:H$22=H3)*(K$3:K$22&gt;K3)*(J$3:J$22="P"))+SUMPRODUCT((Q$3:Q$22&lt;&gt;"")*(H$3:H$22=H3)*(J$3:J$22="P"))+1,IF(O3&lt;&gt;"",SUMPRODUCT((O$3:O$22&lt;&gt;"")*(H$3:H$22=H3)*(K$3:K$22&gt;K3)*(J$3:J$22="P"))+1,IF(N3="P",SUMPRODUCT((P$3:P$22&lt;&gt;"")*(Q$3:Q$22="")*(H$3:H$22=H3)*(J$3:J$22="P"))+SUMPRODUCT((Q$3:Q$22&lt;&gt;"")*(H$3:H$22=H3)*(J$3:J$22="P"))+SUMPRODUCT((O$3:O$22&lt;&gt;"")*(H$3:H$22=H3)*(J$3:J$22="P"))+SUMPRODUCT((Q$3:Q$22="")*(P$3:P$22="")*(O$3:O$22="")*(N$3:N$22="P")*(H$3:H$22=H3)*(K$3:K$22&gt;K3)*(J$3:J$22="P"))+IF(I3="L5",SUMPRODUCT((Q$3:Q$22="")*(P$3:P$22="")*(O$3:O$22="")*(N$3:N$22="P")*(H$3:H$22=H3)*(K$3:K$22&lt;K3)*(I$3:I$22&lt;&gt;I3)*(J$3:J$22="P")),-1*SUMPRODUCT((Q$3:Q$22="")*(P$3:P$22="")*(O$3:O$22="")*(N$3:N$22="P")*(H$3:H$22=H3)*(K$3:K$22&gt;K3)*(I$3:I$22="L5")*(J$3:J$22="P")))+1,"")))))</f>
        <v/>
      </c>
      <c r="B3" s="1" cm="1">
        <f t="array" ref="B3">IF(Q3&lt;&gt;"",SUMPRODUCT((Q$3:Q$22&lt;&gt;"")*(H$3:H$22=H3)*(K$3:K$22&gt;K3))+1,IF(P3&lt;&gt;"",SUMPRODUCT((P$3:P$22&lt;&gt;"")*(Q$3:Q$22="")*(H$3:H$22=H3)*(K$3:K$22&gt;K3))+SUMPRODUCT((Q$3:Q$22&lt;&gt;"")*(H$3:H$22=H3))+1,IF(O3&lt;&gt;"",SUMPRODUCT((O$3:O$22&lt;&gt;"")*(H$3:H$22=H3)*(K$3:K$22&gt;K3))+1,IF(N3="P",SUMPRODUCT((P$3:P$22&lt;&gt;"")*(Q$3:Q$22="")*(H$3:H$22=H3))+SUMPRODUCT((Q$3:Q$22&lt;&gt;"")*(H$3:H$22=H3))+SUMPRODUCT((O$3:O$22&lt;&gt;"")*(H$3:H$22=H3))+SUMPRODUCT((Q$3:Q$22="")*(P$3:P$22="")*(O$3:O$22="")*(N$3:N$22="P")*(H$3:H$22=H3)*(K$3:K$22&gt;K3))+IF(I3="L5",SUMPRODUCT((Q$3:Q$22="")*(P$3:P$22="")*(O$3:O$22="")*(N$3:N$22="P")*(H$3:H$22=H3)*(K$3:K$22&lt;K3)*(I$3:I$22&lt;&gt;I3)),-1*SUMPRODUCT((Q$3:Q$22="")*(P$3:P$22="")*(O$3:O$22="")*(N$3:N$22="P")*(H$3:H$22=H3)*(K$3:K$22&gt;K3)*(I$3:I$22="L5")))+1,""))))</f>
        <v>1</v>
      </c>
      <c r="C3" s="35" t="s">
        <v>226</v>
      </c>
      <c r="D3" s="35" t="str">
        <f>IF(E3="","",VLOOKUP(E3,'Coaching Points'!A:B,2,0)&amp;"/"&amp;VLOOKUP(F3,'Coaching Points'!A:B,2,0))</f>
        <v>BC/BC</v>
      </c>
      <c r="E3" s="35" t="s">
        <v>44</v>
      </c>
      <c r="F3" s="35" t="s">
        <v>44</v>
      </c>
      <c r="G3" s="34">
        <v>2007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72</v>
      </c>
      <c r="J3" s="40"/>
      <c r="K3" s="4">
        <f t="shared" ref="K3:K21" si="0">S3+IF(OR(I3="Junior",I3="Senior"),0.0002,IF(OR(I3="L7",I3="L6"),0.0001,0))+MAX(AB3,AD3,AG3)*0.0000001</f>
        <v>43.7502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1" t="str">
        <f t="shared" ref="R3:R21" si="1">IF(A3&lt;5,IF(_xlfn.MAXIFS(A:A,H:H,H3)&gt;3,5-A3,_xlfn.MAXIFS(A:A,H:H,H3)+1-A3),"")</f>
        <v/>
      </c>
      <c r="S3" s="4">
        <f t="shared" ref="S3:S21" si="2">MAX(U3,W3,Z3,AB3,AD3,AG3)</f>
        <v>43.75</v>
      </c>
      <c r="T3" s="4">
        <f>LARGE(CHOOSE({1,2,3,4,5,6},U3,W3,Z3,AB3,AD3,AG3),2)</f>
        <v>30.44</v>
      </c>
      <c r="U3" s="32">
        <v>13.33</v>
      </c>
      <c r="V3" s="37">
        <v>3.4</v>
      </c>
      <c r="W3" s="33">
        <v>43.75</v>
      </c>
      <c r="X3" s="37">
        <v>9.1</v>
      </c>
      <c r="Y3" s="4">
        <f t="shared" ref="Y3:Y21" si="3">IF(I3="Senior",MAX(U3,W3),U3+W3)</f>
        <v>43.75</v>
      </c>
      <c r="Z3" s="33">
        <v>30.44</v>
      </c>
      <c r="AA3" s="37">
        <v>6.7</v>
      </c>
      <c r="AB3" s="32"/>
      <c r="AC3" s="37"/>
      <c r="AD3" s="33"/>
      <c r="AE3" s="37"/>
      <c r="AF3" s="4">
        <f t="shared" ref="AF3:AF21" si="4">IF(I3="Senior",MAX(AB3,AD3),AB3+AD3)</f>
        <v>0</v>
      </c>
      <c r="AG3" s="33"/>
      <c r="AH3" s="37"/>
    </row>
    <row r="4" spans="1:35" x14ac:dyDescent="0.2">
      <c r="A4" s="1" t="str" cm="1">
        <f t="array" ref="A4">IF(J4="","",IF(Q4&lt;&gt;"",SUMPRODUCT((Q$3:Q$22&lt;&gt;"")*(H$3:H$22=H4)*(K$3:K$22&gt;K4)*(J$3:J$22="P"))+1,IF(P4&lt;&gt;"",SUMPRODUCT((P$3:P$22&lt;&gt;"")*(Q$3:Q$22="")*(H$3:H$22=H4)*(K$3:K$22&gt;K4)*(J$3:J$22="P"))+SUMPRODUCT((Q$3:Q$22&lt;&gt;"")*(H$3:H$22=H4)*(J$3:J$22="P"))+1,IF(O4&lt;&gt;"",SUMPRODUCT((O$3:O$22&lt;&gt;"")*(H$3:H$22=H4)*(K$3:K$22&gt;K4)*(J$3:J$22="P"))+1,IF(N4="P",SUMPRODUCT((P$3:P$22&lt;&gt;"")*(Q$3:Q$22="")*(H$3:H$22=H4)*(J$3:J$22="P"))+SUMPRODUCT((Q$3:Q$22&lt;&gt;"")*(H$3:H$22=H4)*(J$3:J$22="P"))+SUMPRODUCT((O$3:O$22&lt;&gt;"")*(H$3:H$22=H4)*(J$3:J$22="P"))+SUMPRODUCT((Q$3:Q$22="")*(P$3:P$22="")*(O$3:O$22="")*(N$3:N$22="P")*(H$3:H$22=H4)*(K$3:K$22&gt;K4)*(J$3:J$22="P"))+IF(I4="L5",SUMPRODUCT((Q$3:Q$22="")*(P$3:P$22="")*(O$3:O$22="")*(N$3:N$22="P")*(H$3:H$22=H4)*(K$3:K$22&lt;K4)*(I$3:I$22&lt;&gt;I4)*(J$3:J$22="P")),-1*SUMPRODUCT((Q$3:Q$22="")*(P$3:P$22="")*(O$3:O$22="")*(N$3:N$22="P")*(H$3:H$22=H4)*(K$3:K$22&gt;K4)*(I$3:I$22="L5")*(J$3:J$22="P")))+1,"")))))</f>
        <v/>
      </c>
      <c r="B4" s="1" t="str" cm="1">
        <f t="array" ref="B4">IF(Q4&lt;&gt;"",SUMPRODUCT((Q$3:Q$22&lt;&gt;"")*(H$3:H$22=H4)*(K$3:K$22&gt;K4))+1,IF(P4&lt;&gt;"",SUMPRODUCT((P$3:P$22&lt;&gt;"")*(Q$3:Q$22="")*(H$3:H$22=H4)*(K$3:K$22&gt;K4))+SUMPRODUCT((Q$3:Q$22&lt;&gt;"")*(H$3:H$22=H4))+1,IF(O4&lt;&gt;"",SUMPRODUCT((O$3:O$22&lt;&gt;"")*(H$3:H$22=H4)*(K$3:K$22&gt;K4))+1,IF(N4="P",SUMPRODUCT((P$3:P$22&lt;&gt;"")*(Q$3:Q$22="")*(H$3:H$22=H4))+SUMPRODUCT((Q$3:Q$22&lt;&gt;"")*(H$3:H$22=H4))+SUMPRODUCT((O$3:O$22&lt;&gt;"")*(H$3:H$22=H4))+SUMPRODUCT((Q$3:Q$22="")*(P$3:P$22="")*(O$3:O$22="")*(N$3:N$22="P")*(H$3:H$22=H4)*(K$3:K$22&gt;K4))+IF(I4="L5",SUMPRODUCT((Q$3:Q$22="")*(P$3:P$22="")*(O$3:O$22="")*(N$3:N$22="P")*(H$3:H$22=H4)*(K$3:K$22&lt;K4)*(I$3:I$22&lt;&gt;I4)),-1*SUMPRODUCT((Q$3:Q$22="")*(P$3:P$22="")*(O$3:O$22="")*(N$3:N$22="P")*(H$3:H$22=H4)*(K$3:K$22&gt;K4)*(I$3:I$22="L5")))+1,""))))</f>
        <v/>
      </c>
      <c r="C4" s="35" t="s">
        <v>362</v>
      </c>
      <c r="D4" s="35" t="str">
        <f>IF(E4="","",VLOOKUP(E4,'Coaching Points'!A:B,2,0)&amp;"/"&amp;VLOOKUP(F4,'Coaching Points'!A:B,2,0))</f>
        <v>QC/QC</v>
      </c>
      <c r="E4" s="35" t="s">
        <v>3</v>
      </c>
      <c r="F4" s="35" t="s">
        <v>201</v>
      </c>
      <c r="G4" s="34">
        <v>2004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65</v>
      </c>
      <c r="J4" s="40"/>
      <c r="K4" s="4">
        <f t="shared" si="0"/>
        <v>43.010100000000001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/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/>
      </c>
      <c r="R4" s="1" t="str">
        <f t="shared" si="1"/>
        <v/>
      </c>
      <c r="S4" s="4">
        <f t="shared" si="2"/>
        <v>43.01</v>
      </c>
      <c r="T4" s="4">
        <f>LARGE(CHOOSE({1,2,3,4,5,6},U4,W4,Z4,AB4,AD4,AG4),2)</f>
        <v>42.83</v>
      </c>
      <c r="U4" s="32">
        <v>43.01</v>
      </c>
      <c r="V4" s="37">
        <v>7.8</v>
      </c>
      <c r="W4" s="33"/>
      <c r="X4" s="37"/>
      <c r="Y4" s="4">
        <f t="shared" si="3"/>
        <v>43.01</v>
      </c>
      <c r="Z4" s="33">
        <v>42.83</v>
      </c>
      <c r="AA4" s="37">
        <v>7.8</v>
      </c>
      <c r="AB4" s="32"/>
      <c r="AC4" s="37"/>
      <c r="AD4" s="33"/>
      <c r="AE4" s="37"/>
      <c r="AF4" s="4">
        <f t="shared" si="4"/>
        <v>0</v>
      </c>
      <c r="AG4" s="33"/>
      <c r="AH4" s="37"/>
    </row>
    <row r="5" spans="1:35" x14ac:dyDescent="0.2">
      <c r="A5" s="1" t="str" cm="1">
        <f t="array" ref="A5">IF(J5="","",IF(Q5&lt;&gt;"",SUMPRODUCT((Q$3:Q$22&lt;&gt;"")*(H$3:H$22=H5)*(K$3:K$22&gt;K5)*(J$3:J$22="P"))+1,IF(P5&lt;&gt;"",SUMPRODUCT((P$3:P$22&lt;&gt;"")*(Q$3:Q$22="")*(H$3:H$22=H5)*(K$3:K$22&gt;K5)*(J$3:J$22="P"))+SUMPRODUCT((Q$3:Q$22&lt;&gt;"")*(H$3:H$22=H5)*(J$3:J$22="P"))+1,IF(O5&lt;&gt;"",SUMPRODUCT((O$3:O$22&lt;&gt;"")*(H$3:H$22=H5)*(K$3:K$22&gt;K5)*(J$3:J$22="P"))+1,IF(N5="P",SUMPRODUCT((P$3:P$22&lt;&gt;"")*(Q$3:Q$22="")*(H$3:H$22=H5)*(J$3:J$22="P"))+SUMPRODUCT((Q$3:Q$22&lt;&gt;"")*(H$3:H$22=H5)*(J$3:J$22="P"))+SUMPRODUCT((O$3:O$22&lt;&gt;"")*(H$3:H$22=H5)*(J$3:J$22="P"))+SUMPRODUCT((Q$3:Q$22="")*(P$3:P$22="")*(O$3:O$22="")*(N$3:N$22="P")*(H$3:H$22=H5)*(K$3:K$22&gt;K5)*(J$3:J$22="P"))+IF(I5="L5",SUMPRODUCT((Q$3:Q$22="")*(P$3:P$22="")*(O$3:O$22="")*(N$3:N$22="P")*(H$3:H$22=H5)*(K$3:K$22&lt;K5)*(I$3:I$22&lt;&gt;I5)*(J$3:J$22="P")),-1*SUMPRODUCT((Q$3:Q$22="")*(P$3:P$22="")*(O$3:O$22="")*(N$3:N$22="P")*(H$3:H$22=H5)*(K$3:K$22&gt;K5)*(I$3:I$22="L5")*(J$3:J$22="P")))+1,"")))))</f>
        <v/>
      </c>
      <c r="B5" s="1" t="str" cm="1">
        <f t="array" ref="B5">IF(Q5&lt;&gt;"",SUMPRODUCT((Q$3:Q$22&lt;&gt;"")*(H$3:H$22=H5)*(K$3:K$22&gt;K5))+1,IF(P5&lt;&gt;"",SUMPRODUCT((P$3:P$22&lt;&gt;"")*(Q$3:Q$22="")*(H$3:H$22=H5)*(K$3:K$22&gt;K5))+SUMPRODUCT((Q$3:Q$22&lt;&gt;"")*(H$3:H$22=H5))+1,IF(O5&lt;&gt;"",SUMPRODUCT((O$3:O$22&lt;&gt;"")*(H$3:H$22=H5)*(K$3:K$22&gt;K5))+1,IF(N5="P",SUMPRODUCT((P$3:P$22&lt;&gt;"")*(Q$3:Q$22="")*(H$3:H$22=H5))+SUMPRODUCT((Q$3:Q$22&lt;&gt;"")*(H$3:H$22=H5))+SUMPRODUCT((O$3:O$22&lt;&gt;"")*(H$3:H$22=H5))+SUMPRODUCT((Q$3:Q$22="")*(P$3:P$22="")*(O$3:O$22="")*(N$3:N$22="P")*(H$3:H$22=H5)*(K$3:K$22&gt;K5))+IF(I5="L5",SUMPRODUCT((Q$3:Q$22="")*(P$3:P$22="")*(O$3:O$22="")*(N$3:N$22="P")*(H$3:H$22=H5)*(K$3:K$22&lt;K5)*(I$3:I$22&lt;&gt;I5)),-1*SUMPRODUCT((Q$3:Q$22="")*(P$3:P$22="")*(O$3:O$22="")*(N$3:N$22="P")*(H$3:H$22=H5)*(K$3:K$22&gt;K5)*(I$3:I$22="L5")))+1,""))))</f>
        <v/>
      </c>
      <c r="C5" s="35" t="s">
        <v>246</v>
      </c>
      <c r="D5" s="35" t="str">
        <f>IF(E5="","",VLOOKUP(E5,'Coaching Points'!A:B,2,0)&amp;"/"&amp;VLOOKUP(F5,'Coaching Points'!A:B,2,0))</f>
        <v>NS/NS</v>
      </c>
      <c r="E5" s="35" t="s">
        <v>112</v>
      </c>
      <c r="F5" s="35" t="s">
        <v>112</v>
      </c>
      <c r="G5" s="34">
        <v>2005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65</v>
      </c>
      <c r="J5" s="40"/>
      <c r="K5" s="4">
        <f t="shared" si="0"/>
        <v>42.9801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 t="shared" si="1"/>
        <v/>
      </c>
      <c r="S5" s="4">
        <f t="shared" si="2"/>
        <v>42.98</v>
      </c>
      <c r="T5" s="4">
        <f>LARGE(CHOOSE({1,2,3,4,5,6},U5,W5,Z5,AB5,AD5,AG5),2)</f>
        <v>41.07</v>
      </c>
      <c r="U5" s="32">
        <v>42.98</v>
      </c>
      <c r="V5" s="37">
        <v>7.8</v>
      </c>
      <c r="W5" s="33"/>
      <c r="X5" s="37"/>
      <c r="Y5" s="4">
        <f t="shared" si="3"/>
        <v>42.98</v>
      </c>
      <c r="Z5" s="33">
        <v>41.07</v>
      </c>
      <c r="AA5" s="37">
        <v>7.8</v>
      </c>
      <c r="AB5" s="32"/>
      <c r="AC5" s="37"/>
      <c r="AD5" s="33"/>
      <c r="AE5" s="37"/>
      <c r="AF5" s="4">
        <f t="shared" si="4"/>
        <v>0</v>
      </c>
      <c r="AG5" s="33"/>
      <c r="AH5" s="37"/>
    </row>
    <row r="6" spans="1:35" x14ac:dyDescent="0.2">
      <c r="A6" s="1" t="str" cm="1">
        <f t="array" ref="A6">IF(J6="","",IF(Q6&lt;&gt;"",SUMPRODUCT((Q$3:Q$22&lt;&gt;"")*(H$3:H$22=H6)*(K$3:K$22&gt;K6)*(J$3:J$22="P"))+1,IF(P6&lt;&gt;"",SUMPRODUCT((P$3:P$22&lt;&gt;"")*(Q$3:Q$22="")*(H$3:H$22=H6)*(K$3:K$22&gt;K6)*(J$3:J$22="P"))+SUMPRODUCT((Q$3:Q$22&lt;&gt;"")*(H$3:H$22=H6)*(J$3:J$22="P"))+1,IF(O6&lt;&gt;"",SUMPRODUCT((O$3:O$22&lt;&gt;"")*(H$3:H$22=H6)*(K$3:K$22&gt;K6)*(J$3:J$22="P"))+1,IF(N6="P",SUMPRODUCT((P$3:P$22&lt;&gt;"")*(Q$3:Q$22="")*(H$3:H$22=H6)*(J$3:J$22="P"))+SUMPRODUCT((Q$3:Q$22&lt;&gt;"")*(H$3:H$22=H6)*(J$3:J$22="P"))+SUMPRODUCT((O$3:O$22&lt;&gt;"")*(H$3:H$22=H6)*(J$3:J$22="P"))+SUMPRODUCT((Q$3:Q$22="")*(P$3:P$22="")*(O$3:O$22="")*(N$3:N$22="P")*(H$3:H$22=H6)*(K$3:K$22&gt;K6)*(J$3:J$22="P"))+IF(I6="L5",SUMPRODUCT((Q$3:Q$22="")*(P$3:P$22="")*(O$3:O$22="")*(N$3:N$22="P")*(H$3:H$22=H6)*(K$3:K$22&lt;K6)*(I$3:I$22&lt;&gt;I6)*(J$3:J$22="P")),-1*SUMPRODUCT((Q$3:Q$22="")*(P$3:P$22="")*(O$3:O$22="")*(N$3:N$22="P")*(H$3:H$22=H6)*(K$3:K$22&gt;K6)*(I$3:I$22="L5")*(J$3:J$22="P")))+1,"")))))</f>
        <v/>
      </c>
      <c r="B6" s="1" t="str" cm="1">
        <f t="array" ref="B6">IF(Q6&lt;&gt;"",SUMPRODUCT((Q$3:Q$22&lt;&gt;"")*(H$3:H$22=H6)*(K$3:K$22&gt;K6))+1,IF(P6&lt;&gt;"",SUMPRODUCT((P$3:P$22&lt;&gt;"")*(Q$3:Q$22="")*(H$3:H$22=H6)*(K$3:K$22&gt;K6))+SUMPRODUCT((Q$3:Q$22&lt;&gt;"")*(H$3:H$22=H6))+1,IF(O6&lt;&gt;"",SUMPRODUCT((O$3:O$22&lt;&gt;"")*(H$3:H$22=H6)*(K$3:K$22&gt;K6))+1,IF(N6="P",SUMPRODUCT((P$3:P$22&lt;&gt;"")*(Q$3:Q$22="")*(H$3:H$22=H6))+SUMPRODUCT((Q$3:Q$22&lt;&gt;"")*(H$3:H$22=H6))+SUMPRODUCT((O$3:O$22&lt;&gt;"")*(H$3:H$22=H6))+SUMPRODUCT((Q$3:Q$22="")*(P$3:P$22="")*(O$3:O$22="")*(N$3:N$22="P")*(H$3:H$22=H6)*(K$3:K$22&gt;K6))+IF(I6="L5",SUMPRODUCT((Q$3:Q$22="")*(P$3:P$22="")*(O$3:O$22="")*(N$3:N$22="P")*(H$3:H$22=H6)*(K$3:K$22&lt;K6)*(I$3:I$22&lt;&gt;I6)),-1*SUMPRODUCT((Q$3:Q$22="")*(P$3:P$22="")*(O$3:O$22="")*(N$3:N$22="P")*(H$3:H$22=H6)*(K$3:K$22&gt;K6)*(I$3:I$22="L5")))+1,""))))</f>
        <v/>
      </c>
      <c r="C6" s="35" t="s">
        <v>361</v>
      </c>
      <c r="D6" s="35" t="str">
        <f>IF(E6="","",VLOOKUP(E6,'Coaching Points'!A:B,2,0)&amp;"/"&amp;VLOOKUP(F6,'Coaching Points'!A:B,2,0))</f>
        <v>BC/BC</v>
      </c>
      <c r="E6" s="35" t="s">
        <v>55</v>
      </c>
      <c r="F6" s="35" t="s">
        <v>55</v>
      </c>
      <c r="G6" s="34">
        <v>2007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65</v>
      </c>
      <c r="J6" s="40"/>
      <c r="K6" s="4">
        <f t="shared" si="0"/>
        <v>42.9801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>P</v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 t="shared" si="1"/>
        <v/>
      </c>
      <c r="S6" s="4">
        <f t="shared" si="2"/>
        <v>42.98</v>
      </c>
      <c r="T6" s="4">
        <f>LARGE(CHOOSE({1,2,3,4,5,6},U6,W6,Z6,AB6,AD6,AG6),2)</f>
        <v>42.23</v>
      </c>
      <c r="U6" s="32">
        <v>42.23</v>
      </c>
      <c r="V6" s="37">
        <v>8.9</v>
      </c>
      <c r="W6" s="33"/>
      <c r="X6" s="37"/>
      <c r="Y6" s="4">
        <f t="shared" si="3"/>
        <v>42.23</v>
      </c>
      <c r="Z6" s="33">
        <v>42.98</v>
      </c>
      <c r="AA6" s="37">
        <v>7.8</v>
      </c>
      <c r="AB6" s="32"/>
      <c r="AC6" s="37"/>
      <c r="AD6" s="33"/>
      <c r="AE6" s="37"/>
      <c r="AF6" s="4">
        <f t="shared" si="4"/>
        <v>0</v>
      </c>
      <c r="AG6" s="33"/>
      <c r="AH6" s="37"/>
    </row>
    <row r="7" spans="1:35" x14ac:dyDescent="0.2">
      <c r="A7" s="1" t="str" cm="1">
        <f t="array" ref="A7">IF(J7="","",IF(Q7&lt;&gt;"",SUMPRODUCT((Q$3:Q$22&lt;&gt;"")*(H$3:H$22=H7)*(K$3:K$22&gt;K7)*(J$3:J$22="P"))+1,IF(P7&lt;&gt;"",SUMPRODUCT((P$3:P$22&lt;&gt;"")*(Q$3:Q$22="")*(H$3:H$22=H7)*(K$3:K$22&gt;K7)*(J$3:J$22="P"))+SUMPRODUCT((Q$3:Q$22&lt;&gt;"")*(H$3:H$22=H7)*(J$3:J$22="P"))+1,IF(O7&lt;&gt;"",SUMPRODUCT((O$3:O$22&lt;&gt;"")*(H$3:H$22=H7)*(K$3:K$22&gt;K7)*(J$3:J$22="P"))+1,IF(N7="P",SUMPRODUCT((P$3:P$22&lt;&gt;"")*(Q$3:Q$22="")*(H$3:H$22=H7)*(J$3:J$22="P"))+SUMPRODUCT((Q$3:Q$22&lt;&gt;"")*(H$3:H$22=H7)*(J$3:J$22="P"))+SUMPRODUCT((O$3:O$22&lt;&gt;"")*(H$3:H$22=H7)*(J$3:J$22="P"))+SUMPRODUCT((Q$3:Q$22="")*(P$3:P$22="")*(O$3:O$22="")*(N$3:N$22="P")*(H$3:H$22=H7)*(K$3:K$22&gt;K7)*(J$3:J$22="P"))+IF(I7="L5",SUMPRODUCT((Q$3:Q$22="")*(P$3:P$22="")*(O$3:O$22="")*(N$3:N$22="P")*(H$3:H$22=H7)*(K$3:K$22&lt;K7)*(I$3:I$22&lt;&gt;I7)*(J$3:J$22="P")),-1*SUMPRODUCT((Q$3:Q$22="")*(P$3:P$22="")*(O$3:O$22="")*(N$3:N$22="P")*(H$3:H$22=H7)*(K$3:K$22&gt;K7)*(I$3:I$22="L5")*(J$3:J$22="P")))+1,"")))))</f>
        <v/>
      </c>
      <c r="B7" s="1" t="str" cm="1">
        <f t="array" ref="B7">IF(Q7&lt;&gt;"",SUMPRODUCT((Q$3:Q$22&lt;&gt;"")*(H$3:H$22=H7)*(K$3:K$22&gt;K7))+1,IF(P7&lt;&gt;"",SUMPRODUCT((P$3:P$22&lt;&gt;"")*(Q$3:Q$22="")*(H$3:H$22=H7)*(K$3:K$22&gt;K7))+SUMPRODUCT((Q$3:Q$22&lt;&gt;"")*(H$3:H$22=H7))+1,IF(O7&lt;&gt;"",SUMPRODUCT((O$3:O$22&lt;&gt;"")*(H$3:H$22=H7)*(K$3:K$22&gt;K7))+1,IF(N7="P",SUMPRODUCT((P$3:P$22&lt;&gt;"")*(Q$3:Q$22="")*(H$3:H$22=H7))+SUMPRODUCT((Q$3:Q$22&lt;&gt;"")*(H$3:H$22=H7))+SUMPRODUCT((O$3:O$22&lt;&gt;"")*(H$3:H$22=H7))+SUMPRODUCT((Q$3:Q$22="")*(P$3:P$22="")*(O$3:O$22="")*(N$3:N$22="P")*(H$3:H$22=H7)*(K$3:K$22&gt;K7))+IF(I7="L5",SUMPRODUCT((Q$3:Q$22="")*(P$3:P$22="")*(O$3:O$22="")*(N$3:N$22="P")*(H$3:H$22=H7)*(K$3:K$22&lt;K7)*(I$3:I$22&lt;&gt;I7)),-1*SUMPRODUCT((Q$3:Q$22="")*(P$3:P$22="")*(O$3:O$22="")*(N$3:N$22="P")*(H$3:H$22=H7)*(K$3:K$22&gt;K7)*(I$3:I$22="L5")))+1,""))))</f>
        <v/>
      </c>
      <c r="C7" s="35" t="s">
        <v>358</v>
      </c>
      <c r="D7" s="35" t="str">
        <f>IF(E7="","",VLOOKUP(E7,'Coaching Points'!A:B,2,0)&amp;"/"&amp;VLOOKUP(F7,'Coaching Points'!A:B,2,0))</f>
        <v>ON/ON</v>
      </c>
      <c r="E7" s="35" t="s">
        <v>97</v>
      </c>
      <c r="F7" s="35" t="s">
        <v>97</v>
      </c>
      <c r="G7" s="34">
        <v>2007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64</v>
      </c>
      <c r="J7" s="40"/>
      <c r="K7" s="4">
        <f t="shared" si="0"/>
        <v>42.51</v>
      </c>
      <c r="L7" s="3" t="str">
        <f>IF(H7="Not Age Eligible","",IF(MAX(U7,W7,Z7,AB7,AD7,AG7)&gt;=LOOKUP(H7,'Qualifying Scores'!$A$4:$A$7,'Qualifying Scores'!$E$4:$E$7),"P",""))</f>
        <v/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 t="shared" si="1"/>
        <v/>
      </c>
      <c r="S7" s="4">
        <f t="shared" si="2"/>
        <v>42.51</v>
      </c>
      <c r="T7" s="4">
        <f>LARGE(CHOOSE({1,2,3,4,5,6},U7,W7,Z7,AB7,AD7,AG7),2)</f>
        <v>4.88</v>
      </c>
      <c r="U7" s="32">
        <v>42.51</v>
      </c>
      <c r="V7" s="37">
        <v>8</v>
      </c>
      <c r="W7" s="33"/>
      <c r="X7" s="37"/>
      <c r="Y7" s="4">
        <f t="shared" si="3"/>
        <v>42.51</v>
      </c>
      <c r="Z7" s="33">
        <v>4.88</v>
      </c>
      <c r="AA7" s="37">
        <v>1.3</v>
      </c>
      <c r="AB7" s="32"/>
      <c r="AC7" s="37"/>
      <c r="AD7" s="33"/>
      <c r="AE7" s="37"/>
      <c r="AF7" s="4">
        <f t="shared" si="4"/>
        <v>0</v>
      </c>
      <c r="AG7" s="33"/>
      <c r="AH7" s="37"/>
    </row>
    <row r="8" spans="1:35" x14ac:dyDescent="0.2">
      <c r="A8" s="1" t="str" cm="1">
        <f t="array" ref="A8">IF(J8="","",IF(Q8&lt;&gt;"",SUMPRODUCT((Q$3:Q$22&lt;&gt;"")*(H$3:H$22=H8)*(K$3:K$22&gt;K8)*(J$3:J$22="P"))+1,IF(P8&lt;&gt;"",SUMPRODUCT((P$3:P$22&lt;&gt;"")*(Q$3:Q$22="")*(H$3:H$22=H8)*(K$3:K$22&gt;K8)*(J$3:J$22="P"))+SUMPRODUCT((Q$3:Q$22&lt;&gt;"")*(H$3:H$22=H8)*(J$3:J$22="P"))+1,IF(O8&lt;&gt;"",SUMPRODUCT((O$3:O$22&lt;&gt;"")*(H$3:H$22=H8)*(K$3:K$22&gt;K8)*(J$3:J$22="P"))+1,IF(N8="P",SUMPRODUCT((P$3:P$22&lt;&gt;"")*(Q$3:Q$22="")*(H$3:H$22=H8)*(J$3:J$22="P"))+SUMPRODUCT((Q$3:Q$22&lt;&gt;"")*(H$3:H$22=H8)*(J$3:J$22="P"))+SUMPRODUCT((O$3:O$22&lt;&gt;"")*(H$3:H$22=H8)*(J$3:J$22="P"))+SUMPRODUCT((Q$3:Q$22="")*(P$3:P$22="")*(O$3:O$22="")*(N$3:N$22="P")*(H$3:H$22=H8)*(K$3:K$22&gt;K8)*(J$3:J$22="P"))+IF(I8="L5",SUMPRODUCT((Q$3:Q$22="")*(P$3:P$22="")*(O$3:O$22="")*(N$3:N$22="P")*(H$3:H$22=H8)*(K$3:K$22&lt;K8)*(I$3:I$22&lt;&gt;I8)*(J$3:J$22="P")),-1*SUMPRODUCT((Q$3:Q$22="")*(P$3:P$22="")*(O$3:O$22="")*(N$3:N$22="P")*(H$3:H$22=H8)*(K$3:K$22&gt;K8)*(I$3:I$22="L5")*(J$3:J$22="P")))+1,"")))))</f>
        <v/>
      </c>
      <c r="B8" s="1" t="str" cm="1">
        <f t="array" ref="B8">IF(Q8&lt;&gt;"",SUMPRODUCT((Q$3:Q$22&lt;&gt;"")*(H$3:H$22=H8)*(K$3:K$22&gt;K8))+1,IF(P8&lt;&gt;"",SUMPRODUCT((P$3:P$22&lt;&gt;"")*(Q$3:Q$22="")*(H$3:H$22=H8)*(K$3:K$22&gt;K8))+SUMPRODUCT((Q$3:Q$22&lt;&gt;"")*(H$3:H$22=H8))+1,IF(O8&lt;&gt;"",SUMPRODUCT((O$3:O$22&lt;&gt;"")*(H$3:H$22=H8)*(K$3:K$22&gt;K8))+1,IF(N8="P",SUMPRODUCT((P$3:P$22&lt;&gt;"")*(Q$3:Q$22="")*(H$3:H$22=H8))+SUMPRODUCT((Q$3:Q$22&lt;&gt;"")*(H$3:H$22=H8))+SUMPRODUCT((O$3:O$22&lt;&gt;"")*(H$3:H$22=H8))+SUMPRODUCT((Q$3:Q$22="")*(P$3:P$22="")*(O$3:O$22="")*(N$3:N$22="P")*(H$3:H$22=H8)*(K$3:K$22&gt;K8))+IF(I8="L5",SUMPRODUCT((Q$3:Q$22="")*(P$3:P$22="")*(O$3:O$22="")*(N$3:N$22="P")*(H$3:H$22=H8)*(K$3:K$22&lt;K8)*(I$3:I$22&lt;&gt;I8)),-1*SUMPRODUCT((Q$3:Q$22="")*(P$3:P$22="")*(O$3:O$22="")*(N$3:N$22="P")*(H$3:H$22=H8)*(K$3:K$22&gt;K8)*(I$3:I$22="L5")))+1,""))))</f>
        <v/>
      </c>
      <c r="C8" s="35" t="s">
        <v>224</v>
      </c>
      <c r="D8" s="35" t="str">
        <f>IF(E8="","",VLOOKUP(E8,'Coaching Points'!A:B,2,0)&amp;"/"&amp;VLOOKUP(F8,'Coaching Points'!A:B,2,0))</f>
        <v>QC/QC</v>
      </c>
      <c r="E8" s="35" t="s">
        <v>78</v>
      </c>
      <c r="F8" s="35" t="s">
        <v>78</v>
      </c>
      <c r="G8" s="34">
        <v>2006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65</v>
      </c>
      <c r="J8" s="40"/>
      <c r="K8" s="4">
        <f t="shared" si="0"/>
        <v>42.100100000000005</v>
      </c>
      <c r="L8" s="3" t="str">
        <f>IF(H8="Not Age Eligible","",IF(MAX(U8,W8,Z8,AB8,AD8,AG8)&gt;=LOOKUP(H8,'Qualifying Scores'!$A$4:$A$7,'Qualifying Scores'!$E$4:$E$7),"P",""))</f>
        <v/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 t="shared" si="1"/>
        <v/>
      </c>
      <c r="S8" s="4">
        <f t="shared" si="2"/>
        <v>42.1</v>
      </c>
      <c r="T8" s="4">
        <f>LARGE(CHOOSE({1,2,3,4,5,6},U8,W8,Z8,AB8,AD8,AG8),2)</f>
        <v>33.67</v>
      </c>
      <c r="U8" s="32">
        <v>42.1</v>
      </c>
      <c r="V8" s="37">
        <v>7.8</v>
      </c>
      <c r="W8" s="33"/>
      <c r="X8" s="37"/>
      <c r="Y8" s="4">
        <f t="shared" si="3"/>
        <v>42.1</v>
      </c>
      <c r="Z8" s="33">
        <v>33.67</v>
      </c>
      <c r="AA8" s="37">
        <v>6.8</v>
      </c>
      <c r="AB8" s="32"/>
      <c r="AC8" s="37"/>
      <c r="AD8" s="33"/>
      <c r="AE8" s="37"/>
      <c r="AF8" s="4">
        <f t="shared" si="4"/>
        <v>0</v>
      </c>
      <c r="AG8" s="33"/>
      <c r="AH8" s="37"/>
    </row>
    <row r="9" spans="1:35" x14ac:dyDescent="0.2">
      <c r="A9" s="1" t="str" cm="1">
        <f t="array" ref="A9">IF(J9="","",IF(Q9&lt;&gt;"",SUMPRODUCT((Q$3:Q$22&lt;&gt;"")*(H$3:H$22=H9)*(K$3:K$22&gt;K9)*(J$3:J$22="P"))+1,IF(P9&lt;&gt;"",SUMPRODUCT((P$3:P$22&lt;&gt;"")*(Q$3:Q$22="")*(H$3:H$22=H9)*(K$3:K$22&gt;K9)*(J$3:J$22="P"))+SUMPRODUCT((Q$3:Q$22&lt;&gt;"")*(H$3:H$22=H9)*(J$3:J$22="P"))+1,IF(O9&lt;&gt;"",SUMPRODUCT((O$3:O$22&lt;&gt;"")*(H$3:H$22=H9)*(K$3:K$22&gt;K9)*(J$3:J$22="P"))+1,IF(N9="P",SUMPRODUCT((P$3:P$22&lt;&gt;"")*(Q$3:Q$22="")*(H$3:H$22=H9)*(J$3:J$22="P"))+SUMPRODUCT((Q$3:Q$22&lt;&gt;"")*(H$3:H$22=H9)*(J$3:J$22="P"))+SUMPRODUCT((O$3:O$22&lt;&gt;"")*(H$3:H$22=H9)*(J$3:J$22="P"))+SUMPRODUCT((Q$3:Q$22="")*(P$3:P$22="")*(O$3:O$22="")*(N$3:N$22="P")*(H$3:H$22=H9)*(K$3:K$22&gt;K9)*(J$3:J$22="P"))+IF(I9="L5",SUMPRODUCT((Q$3:Q$22="")*(P$3:P$22="")*(O$3:O$22="")*(N$3:N$22="P")*(H$3:H$22=H9)*(K$3:K$22&lt;K9)*(I$3:I$22&lt;&gt;I9)*(J$3:J$22="P")),-1*SUMPRODUCT((Q$3:Q$22="")*(P$3:P$22="")*(O$3:O$22="")*(N$3:N$22="P")*(H$3:H$22=H9)*(K$3:K$22&gt;K9)*(I$3:I$22="L5")*(J$3:J$22="P")))+1,"")))))</f>
        <v/>
      </c>
      <c r="B9" s="1" t="str" cm="1">
        <f t="array" ref="B9">IF(Q9&lt;&gt;"",SUMPRODUCT((Q$3:Q$22&lt;&gt;"")*(H$3:H$22=H9)*(K$3:K$22&gt;K9))+1,IF(P9&lt;&gt;"",SUMPRODUCT((P$3:P$22&lt;&gt;"")*(Q$3:Q$22="")*(H$3:H$22=H9)*(K$3:K$22&gt;K9))+SUMPRODUCT((Q$3:Q$22&lt;&gt;"")*(H$3:H$22=H9))+1,IF(O9&lt;&gt;"",SUMPRODUCT((O$3:O$22&lt;&gt;"")*(H$3:H$22=H9)*(K$3:K$22&gt;K9))+1,IF(N9="P",SUMPRODUCT((P$3:P$22&lt;&gt;"")*(Q$3:Q$22="")*(H$3:H$22=H9))+SUMPRODUCT((Q$3:Q$22&lt;&gt;"")*(H$3:H$22=H9))+SUMPRODUCT((O$3:O$22&lt;&gt;"")*(H$3:H$22=H9))+SUMPRODUCT((Q$3:Q$22="")*(P$3:P$22="")*(O$3:O$22="")*(N$3:N$22="P")*(H$3:H$22=H9)*(K$3:K$22&gt;K9))+IF(I9="L5",SUMPRODUCT((Q$3:Q$22="")*(P$3:P$22="")*(O$3:O$22="")*(N$3:N$22="P")*(H$3:H$22=H9)*(K$3:K$22&lt;K9)*(I$3:I$22&lt;&gt;I9)),-1*SUMPRODUCT((Q$3:Q$22="")*(P$3:P$22="")*(O$3:O$22="")*(N$3:N$22="P")*(H$3:H$22=H9)*(K$3:K$22&gt;K9)*(I$3:I$22="L5")))+1,""))))</f>
        <v/>
      </c>
      <c r="C9" s="35" t="s">
        <v>356</v>
      </c>
      <c r="D9" s="35" t="str">
        <f>IF(E9="","",VLOOKUP(E9,'Coaching Points'!A:B,2,0)&amp;"/"&amp;VLOOKUP(F9,'Coaching Points'!A:B,2,0))</f>
        <v>NL/NL</v>
      </c>
      <c r="E9" s="35" t="s">
        <v>91</v>
      </c>
      <c r="F9" s="35" t="s">
        <v>91</v>
      </c>
      <c r="G9" s="34">
        <v>2006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64</v>
      </c>
      <c r="J9" s="40"/>
      <c r="K9" s="4">
        <f t="shared" si="0"/>
        <v>42.05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 t="shared" si="1"/>
        <v/>
      </c>
      <c r="S9" s="4">
        <f t="shared" si="2"/>
        <v>42.05</v>
      </c>
      <c r="T9" s="4">
        <f>LARGE(CHOOSE({1,2,3,4,5,6},U9,W9,Z9,AB9,AD9,AG9),2)</f>
        <v>33.85</v>
      </c>
      <c r="U9" s="32">
        <v>33.85</v>
      </c>
      <c r="V9" s="37">
        <v>5.0999999999999996</v>
      </c>
      <c r="W9" s="33"/>
      <c r="X9" s="37"/>
      <c r="Y9" s="4">
        <f t="shared" si="3"/>
        <v>33.85</v>
      </c>
      <c r="Z9" s="33">
        <v>42.05</v>
      </c>
      <c r="AA9" s="37">
        <v>6.7</v>
      </c>
      <c r="AB9" s="32"/>
      <c r="AC9" s="37"/>
      <c r="AD9" s="33"/>
      <c r="AE9" s="37"/>
      <c r="AF9" s="4">
        <f t="shared" si="4"/>
        <v>0</v>
      </c>
      <c r="AG9" s="33"/>
      <c r="AH9" s="37"/>
    </row>
    <row r="10" spans="1:35" x14ac:dyDescent="0.2">
      <c r="A10" s="1" t="str" cm="1">
        <f t="array" ref="A10">IF(J10="","",IF(Q10&lt;&gt;"",SUMPRODUCT((Q$3:Q$22&lt;&gt;"")*(H$3:H$22=H10)*(K$3:K$22&gt;K10)*(J$3:J$22="P"))+1,IF(P10&lt;&gt;"",SUMPRODUCT((P$3:P$22&lt;&gt;"")*(Q$3:Q$22="")*(H$3:H$22=H10)*(K$3:K$22&gt;K10)*(J$3:J$22="P"))+SUMPRODUCT((Q$3:Q$22&lt;&gt;"")*(H$3:H$22=H10)*(J$3:J$22="P"))+1,IF(O10&lt;&gt;"",SUMPRODUCT((O$3:O$22&lt;&gt;"")*(H$3:H$22=H10)*(K$3:K$22&gt;K10)*(J$3:J$22="P"))+1,IF(N10="P",SUMPRODUCT((P$3:P$22&lt;&gt;"")*(Q$3:Q$22="")*(H$3:H$22=H10)*(J$3:J$22="P"))+SUMPRODUCT((Q$3:Q$22&lt;&gt;"")*(H$3:H$22=H10)*(J$3:J$22="P"))+SUMPRODUCT((O$3:O$22&lt;&gt;"")*(H$3:H$22=H10)*(J$3:J$22="P"))+SUMPRODUCT((Q$3:Q$22="")*(P$3:P$22="")*(O$3:O$22="")*(N$3:N$22="P")*(H$3:H$22=H10)*(K$3:K$22&gt;K10)*(J$3:J$22="P"))+IF(I10="L5",SUMPRODUCT((Q$3:Q$22="")*(P$3:P$22="")*(O$3:O$22="")*(N$3:N$22="P")*(H$3:H$22=H10)*(K$3:K$22&lt;K10)*(I$3:I$22&lt;&gt;I10)*(J$3:J$22="P")),-1*SUMPRODUCT((Q$3:Q$22="")*(P$3:P$22="")*(O$3:O$22="")*(N$3:N$22="P")*(H$3:H$22=H10)*(K$3:K$22&gt;K10)*(I$3:I$22="L5")*(J$3:J$22="P")))+1,"")))))</f>
        <v/>
      </c>
      <c r="B10" s="1" t="str" cm="1">
        <f t="array" ref="B10">IF(Q10&lt;&gt;"",SUMPRODUCT((Q$3:Q$22&lt;&gt;"")*(H$3:H$22=H10)*(K$3:K$22&gt;K10))+1,IF(P10&lt;&gt;"",SUMPRODUCT((P$3:P$22&lt;&gt;"")*(Q$3:Q$22="")*(H$3:H$22=H10)*(K$3:K$22&gt;K10))+SUMPRODUCT((Q$3:Q$22&lt;&gt;"")*(H$3:H$22=H10))+1,IF(O10&lt;&gt;"",SUMPRODUCT((O$3:O$22&lt;&gt;"")*(H$3:H$22=H10)*(K$3:K$22&gt;K10))+1,IF(N10="P",SUMPRODUCT((P$3:P$22&lt;&gt;"")*(Q$3:Q$22="")*(H$3:H$22=H10))+SUMPRODUCT((Q$3:Q$22&lt;&gt;"")*(H$3:H$22=H10))+SUMPRODUCT((O$3:O$22&lt;&gt;"")*(H$3:H$22=H10))+SUMPRODUCT((Q$3:Q$22="")*(P$3:P$22="")*(O$3:O$22="")*(N$3:N$22="P")*(H$3:H$22=H10)*(K$3:K$22&gt;K10))+IF(I10="L5",SUMPRODUCT((Q$3:Q$22="")*(P$3:P$22="")*(O$3:O$22="")*(N$3:N$22="P")*(H$3:H$22=H10)*(K$3:K$22&lt;K10)*(I$3:I$22&lt;&gt;I10)),-1*SUMPRODUCT((Q$3:Q$22="")*(P$3:P$22="")*(O$3:O$22="")*(N$3:N$22="P")*(H$3:H$22=H10)*(K$3:K$22&gt;K10)*(I$3:I$22="L5")))+1,""))))</f>
        <v/>
      </c>
      <c r="C10" s="35" t="s">
        <v>357</v>
      </c>
      <c r="D10" s="35" t="str">
        <f>IF(E10="","",VLOOKUP(E10,'Coaching Points'!A:B,2,0)&amp;"/"&amp;VLOOKUP(F10,'Coaching Points'!A:B,2,0))</f>
        <v>BC/BC</v>
      </c>
      <c r="E10" s="35" t="s">
        <v>36</v>
      </c>
      <c r="F10" s="35" t="s">
        <v>59</v>
      </c>
      <c r="G10" s="34">
        <v>2003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64</v>
      </c>
      <c r="J10" s="40"/>
      <c r="K10" s="4">
        <f t="shared" si="0"/>
        <v>41.47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 t="shared" si="1"/>
        <v/>
      </c>
      <c r="S10" s="4">
        <f t="shared" si="2"/>
        <v>41.47</v>
      </c>
      <c r="T10" s="4">
        <f>LARGE(CHOOSE({1,2,3,4,5,6},U10,W10,Z10,AB10,AD10,AG10),2)</f>
        <v>38.72</v>
      </c>
      <c r="U10" s="32">
        <v>38.72</v>
      </c>
      <c r="V10" s="37">
        <v>7.1</v>
      </c>
      <c r="W10" s="33"/>
      <c r="X10" s="37"/>
      <c r="Y10" s="4">
        <f t="shared" si="3"/>
        <v>38.72</v>
      </c>
      <c r="Z10" s="33">
        <v>41.47</v>
      </c>
      <c r="AA10" s="37">
        <v>7.1</v>
      </c>
      <c r="AB10" s="32"/>
      <c r="AC10" s="37"/>
      <c r="AD10" s="33"/>
      <c r="AE10" s="37"/>
      <c r="AF10" s="4">
        <f t="shared" si="4"/>
        <v>0</v>
      </c>
      <c r="AG10" s="33"/>
      <c r="AH10" s="37"/>
    </row>
    <row r="11" spans="1:35" x14ac:dyDescent="0.2">
      <c r="A11" s="1" t="str" cm="1">
        <f t="array" ref="A11">IF(J11="","",IF(Q11&lt;&gt;"",SUMPRODUCT((Q$3:Q$22&lt;&gt;"")*(H$3:H$22=H11)*(K$3:K$22&gt;K11)*(J$3:J$22="P"))+1,IF(P11&lt;&gt;"",SUMPRODUCT((P$3:P$22&lt;&gt;"")*(Q$3:Q$22="")*(H$3:H$22=H11)*(K$3:K$22&gt;K11)*(J$3:J$22="P"))+SUMPRODUCT((Q$3:Q$22&lt;&gt;"")*(H$3:H$22=H11)*(J$3:J$22="P"))+1,IF(O11&lt;&gt;"",SUMPRODUCT((O$3:O$22&lt;&gt;"")*(H$3:H$22=H11)*(K$3:K$22&gt;K11)*(J$3:J$22="P"))+1,IF(N11="P",SUMPRODUCT((P$3:P$22&lt;&gt;"")*(Q$3:Q$22="")*(H$3:H$22=H11)*(J$3:J$22="P"))+SUMPRODUCT((Q$3:Q$22&lt;&gt;"")*(H$3:H$22=H11)*(J$3:J$22="P"))+SUMPRODUCT((O$3:O$22&lt;&gt;"")*(H$3:H$22=H11)*(J$3:J$22="P"))+SUMPRODUCT((Q$3:Q$22="")*(P$3:P$22="")*(O$3:O$22="")*(N$3:N$22="P")*(H$3:H$22=H11)*(K$3:K$22&gt;K11)*(J$3:J$22="P"))+IF(I11="L5",SUMPRODUCT((Q$3:Q$22="")*(P$3:P$22="")*(O$3:O$22="")*(N$3:N$22="P")*(H$3:H$22=H11)*(K$3:K$22&lt;K11)*(I$3:I$22&lt;&gt;I11)*(J$3:J$22="P")),-1*SUMPRODUCT((Q$3:Q$22="")*(P$3:P$22="")*(O$3:O$22="")*(N$3:N$22="P")*(H$3:H$22=H11)*(K$3:K$22&gt;K11)*(I$3:I$22="L5")*(J$3:J$22="P")))+1,"")))))</f>
        <v/>
      </c>
      <c r="B11" s="1" t="str" cm="1">
        <f t="array" ref="B11">IF(Q11&lt;&gt;"",SUMPRODUCT((Q$3:Q$22&lt;&gt;"")*(H$3:H$22=H11)*(K$3:K$22&gt;K11))+1,IF(P11&lt;&gt;"",SUMPRODUCT((P$3:P$22&lt;&gt;"")*(Q$3:Q$22="")*(H$3:H$22=H11)*(K$3:K$22&gt;K11))+SUMPRODUCT((Q$3:Q$22&lt;&gt;"")*(H$3:H$22=H11))+1,IF(O11&lt;&gt;"",SUMPRODUCT((O$3:O$22&lt;&gt;"")*(H$3:H$22=H11)*(K$3:K$22&gt;K11))+1,IF(N11="P",SUMPRODUCT((P$3:P$22&lt;&gt;"")*(Q$3:Q$22="")*(H$3:H$22=H11))+SUMPRODUCT((Q$3:Q$22&lt;&gt;"")*(H$3:H$22=H11))+SUMPRODUCT((O$3:O$22&lt;&gt;"")*(H$3:H$22=H11))+SUMPRODUCT((Q$3:Q$22="")*(P$3:P$22="")*(O$3:O$22="")*(N$3:N$22="P")*(H$3:H$22=H11)*(K$3:K$22&gt;K11))+IF(I11="L5",SUMPRODUCT((Q$3:Q$22="")*(P$3:P$22="")*(O$3:O$22="")*(N$3:N$22="P")*(H$3:H$22=H11)*(K$3:K$22&lt;K11)*(I$3:I$22&lt;&gt;I11)),-1*SUMPRODUCT((Q$3:Q$22="")*(P$3:P$22="")*(O$3:O$22="")*(N$3:N$22="P")*(H$3:H$22=H11)*(K$3:K$22&gt;K11)*(I$3:I$22="L5")))+1,""))))</f>
        <v/>
      </c>
      <c r="C11" s="35" t="s">
        <v>364</v>
      </c>
      <c r="D11" s="35" t="str">
        <f>IF(E11="","",VLOOKUP(E11,'Coaching Points'!A:B,2,0)&amp;"/"&amp;VLOOKUP(F11,'Coaching Points'!A:B,2,0))</f>
        <v>AB/AB</v>
      </c>
      <c r="E11" s="35" t="s">
        <v>62</v>
      </c>
      <c r="F11" s="35" t="s">
        <v>62</v>
      </c>
      <c r="G11" s="34">
        <v>2004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6" t="s">
        <v>65</v>
      </c>
      <c r="J11" s="40"/>
      <c r="K11" s="4">
        <f t="shared" si="0"/>
        <v>35.650100000000002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 t="shared" si="1"/>
        <v/>
      </c>
      <c r="S11" s="4">
        <f t="shared" si="2"/>
        <v>35.65</v>
      </c>
      <c r="T11" s="4">
        <f>LARGE(CHOOSE({1,2,3,4,5,6},U11,W11,Z11,AB11,AD11,AG11),2)</f>
        <v>17.21</v>
      </c>
      <c r="U11" s="32">
        <v>35.65</v>
      </c>
      <c r="V11" s="37">
        <v>7.6</v>
      </c>
      <c r="W11" s="33"/>
      <c r="X11" s="37"/>
      <c r="Y11" s="4">
        <f t="shared" si="3"/>
        <v>35.65</v>
      </c>
      <c r="Z11" s="33">
        <v>17.21</v>
      </c>
      <c r="AA11" s="37">
        <v>3.3</v>
      </c>
      <c r="AB11" s="32"/>
      <c r="AC11" s="37"/>
      <c r="AD11" s="33"/>
      <c r="AE11" s="37"/>
      <c r="AF11" s="4">
        <f t="shared" si="4"/>
        <v>0</v>
      </c>
      <c r="AG11" s="33"/>
      <c r="AH11" s="37"/>
    </row>
    <row r="12" spans="1:35" x14ac:dyDescent="0.2">
      <c r="A12" s="1" t="str" cm="1">
        <f t="array" ref="A12">IF(J12="","",IF(Q12&lt;&gt;"",SUMPRODUCT((Q$3:Q$22&lt;&gt;"")*(H$3:H$22=H12)*(K$3:K$22&gt;K12)*(J$3:J$22="P"))+1,IF(P12&lt;&gt;"",SUMPRODUCT((P$3:P$22&lt;&gt;"")*(Q$3:Q$22="")*(H$3:H$22=H12)*(K$3:K$22&gt;K12)*(J$3:J$22="P"))+SUMPRODUCT((Q$3:Q$22&lt;&gt;"")*(H$3:H$22=H12)*(J$3:J$22="P"))+1,IF(O12&lt;&gt;"",SUMPRODUCT((O$3:O$22&lt;&gt;"")*(H$3:H$22=H12)*(K$3:K$22&gt;K12)*(J$3:J$22="P"))+1,IF(N12="P",SUMPRODUCT((P$3:P$22&lt;&gt;"")*(Q$3:Q$22="")*(H$3:H$22=H12)*(J$3:J$22="P"))+SUMPRODUCT((Q$3:Q$22&lt;&gt;"")*(H$3:H$22=H12)*(J$3:J$22="P"))+SUMPRODUCT((O$3:O$22&lt;&gt;"")*(H$3:H$22=H12)*(J$3:J$22="P"))+SUMPRODUCT((Q$3:Q$22="")*(P$3:P$22="")*(O$3:O$22="")*(N$3:N$22="P")*(H$3:H$22=H12)*(K$3:K$22&gt;K12)*(J$3:J$22="P"))+IF(I12="L5",SUMPRODUCT((Q$3:Q$22="")*(P$3:P$22="")*(O$3:O$22="")*(N$3:N$22="P")*(H$3:H$22=H12)*(K$3:K$22&lt;K12)*(I$3:I$22&lt;&gt;I12)*(J$3:J$22="P")),-1*SUMPRODUCT((Q$3:Q$22="")*(P$3:P$22="")*(O$3:O$22="")*(N$3:N$22="P")*(H$3:H$22=H12)*(K$3:K$22&gt;K12)*(I$3:I$22="L5")*(J$3:J$22="P")))+1,"")))))</f>
        <v/>
      </c>
      <c r="B12" s="1" t="str" cm="1">
        <f t="array" ref="B12">IF(Q12&lt;&gt;"",SUMPRODUCT((Q$3:Q$22&lt;&gt;"")*(H$3:H$22=H12)*(K$3:K$22&gt;K12))+1,IF(P12&lt;&gt;"",SUMPRODUCT((P$3:P$22&lt;&gt;"")*(Q$3:Q$22="")*(H$3:H$22=H12)*(K$3:K$22&gt;K12))+SUMPRODUCT((Q$3:Q$22&lt;&gt;"")*(H$3:H$22=H12))+1,IF(O12&lt;&gt;"",SUMPRODUCT((O$3:O$22&lt;&gt;"")*(H$3:H$22=H12)*(K$3:K$22&gt;K12))+1,IF(N12="P",SUMPRODUCT((P$3:P$22&lt;&gt;"")*(Q$3:Q$22="")*(H$3:H$22=H12))+SUMPRODUCT((Q$3:Q$22&lt;&gt;"")*(H$3:H$22=H12))+SUMPRODUCT((O$3:O$22&lt;&gt;"")*(H$3:H$22=H12))+SUMPRODUCT((Q$3:Q$22="")*(P$3:P$22="")*(O$3:O$22="")*(N$3:N$22="P")*(H$3:H$22=H12)*(K$3:K$22&gt;K12))+IF(I12="L5",SUMPRODUCT((Q$3:Q$22="")*(P$3:P$22="")*(O$3:O$22="")*(N$3:N$22="P")*(H$3:H$22=H12)*(K$3:K$22&lt;K12)*(I$3:I$22&lt;&gt;I12)),-1*SUMPRODUCT((Q$3:Q$22="")*(P$3:P$22="")*(O$3:O$22="")*(N$3:N$22="P")*(H$3:H$22=H12)*(K$3:K$22&gt;K12)*(I$3:I$22="L5")))+1,""))))</f>
        <v/>
      </c>
      <c r="C12" s="35" t="s">
        <v>366</v>
      </c>
      <c r="D12" s="35" t="str">
        <f>IF(E12="","",VLOOKUP(E12,'Coaching Points'!A:B,2,0)&amp;"/"&amp;VLOOKUP(F12,'Coaching Points'!A:B,2,0))</f>
        <v>SK/SK</v>
      </c>
      <c r="E12" s="35" t="s">
        <v>329</v>
      </c>
      <c r="F12" s="35" t="s">
        <v>329</v>
      </c>
      <c r="G12" s="34">
        <v>2003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6" t="s">
        <v>65</v>
      </c>
      <c r="J12" s="40"/>
      <c r="K12" s="4">
        <f t="shared" si="0"/>
        <v>20.380099999999999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 t="shared" si="1"/>
        <v/>
      </c>
      <c r="S12" s="4">
        <f t="shared" si="2"/>
        <v>20.38</v>
      </c>
      <c r="T12" s="4">
        <f>LARGE(CHOOSE({1,2,3,4,5,6},U12,W12,Z12,AB12,AD12,AG12),2)</f>
        <v>0</v>
      </c>
      <c r="U12" s="32">
        <v>20.38</v>
      </c>
      <c r="V12" s="37">
        <v>4.5999999999999996</v>
      </c>
      <c r="W12" s="33"/>
      <c r="X12" s="37"/>
      <c r="Y12" s="4">
        <f t="shared" si="3"/>
        <v>20.38</v>
      </c>
      <c r="Z12" s="33"/>
      <c r="AA12" s="37"/>
      <c r="AB12" s="32"/>
      <c r="AC12" s="37"/>
      <c r="AD12" s="33"/>
      <c r="AE12" s="37"/>
      <c r="AF12" s="4">
        <f t="shared" si="4"/>
        <v>0</v>
      </c>
      <c r="AG12" s="33"/>
      <c r="AH12" s="37"/>
    </row>
    <row r="13" spans="1:35" x14ac:dyDescent="0.2">
      <c r="A13" s="1" t="str" cm="1">
        <f t="array" ref="A13">IF(J13="","",IF(Q13&lt;&gt;"",SUMPRODUCT((Q$3:Q$22&lt;&gt;"")*(H$3:H$22=H13)*(K$3:K$22&gt;K13)*(J$3:J$22="P"))+1,IF(P13&lt;&gt;"",SUMPRODUCT((P$3:P$22&lt;&gt;"")*(Q$3:Q$22="")*(H$3:H$22=H13)*(K$3:K$22&gt;K13)*(J$3:J$22="P"))+SUMPRODUCT((Q$3:Q$22&lt;&gt;"")*(H$3:H$22=H13)*(J$3:J$22="P"))+1,IF(O13&lt;&gt;"",SUMPRODUCT((O$3:O$22&lt;&gt;"")*(H$3:H$22=H13)*(K$3:K$22&gt;K13)*(J$3:J$22="P"))+1,IF(N13="P",SUMPRODUCT((P$3:P$22&lt;&gt;"")*(Q$3:Q$22="")*(H$3:H$22=H13)*(J$3:J$22="P"))+SUMPRODUCT((Q$3:Q$22&lt;&gt;"")*(H$3:H$22=H13)*(J$3:J$22="P"))+SUMPRODUCT((O$3:O$22&lt;&gt;"")*(H$3:H$22=H13)*(J$3:J$22="P"))+SUMPRODUCT((Q$3:Q$22="")*(P$3:P$22="")*(O$3:O$22="")*(N$3:N$22="P")*(H$3:H$22=H13)*(K$3:K$22&gt;K13)*(J$3:J$22="P"))+IF(I13="L5",SUMPRODUCT((Q$3:Q$22="")*(P$3:P$22="")*(O$3:O$22="")*(N$3:N$22="P")*(H$3:H$22=H13)*(K$3:K$22&lt;K13)*(I$3:I$22&lt;&gt;I13)*(J$3:J$22="P")),-1*SUMPRODUCT((Q$3:Q$22="")*(P$3:P$22="")*(O$3:O$22="")*(N$3:N$22="P")*(H$3:H$22=H13)*(K$3:K$22&gt;K13)*(I$3:I$22="L5")*(J$3:J$22="P")))+1,"")))))</f>
        <v/>
      </c>
      <c r="B13" s="1" t="str" cm="1">
        <f t="array" ref="B13">IF(Q13&lt;&gt;"",SUMPRODUCT((Q$3:Q$22&lt;&gt;"")*(H$3:H$22=H13)*(K$3:K$22&gt;K13))+1,IF(P13&lt;&gt;"",SUMPRODUCT((P$3:P$22&lt;&gt;"")*(Q$3:Q$22="")*(H$3:H$22=H13)*(K$3:K$22&gt;K13))+SUMPRODUCT((Q$3:Q$22&lt;&gt;"")*(H$3:H$22=H13))+1,IF(O13&lt;&gt;"",SUMPRODUCT((O$3:O$22&lt;&gt;"")*(H$3:H$22=H13)*(K$3:K$22&gt;K13))+1,IF(N13="P",SUMPRODUCT((P$3:P$22&lt;&gt;"")*(Q$3:Q$22="")*(H$3:H$22=H13))+SUMPRODUCT((Q$3:Q$22&lt;&gt;"")*(H$3:H$22=H13))+SUMPRODUCT((O$3:O$22&lt;&gt;"")*(H$3:H$22=H13))+SUMPRODUCT((Q$3:Q$22="")*(P$3:P$22="")*(O$3:O$22="")*(N$3:N$22="P")*(H$3:H$22=H13)*(K$3:K$22&gt;K13))+IF(I13="L5",SUMPRODUCT((Q$3:Q$22="")*(P$3:P$22="")*(O$3:O$22="")*(N$3:N$22="P")*(H$3:H$22=H13)*(K$3:K$22&lt;K13)*(I$3:I$22&lt;&gt;I13)),-1*SUMPRODUCT((Q$3:Q$22="")*(P$3:P$22="")*(O$3:O$22="")*(N$3:N$22="P")*(H$3:H$22=H13)*(K$3:K$22&gt;K13)*(I$3:I$22="L5")))+1,""))))</f>
        <v/>
      </c>
      <c r="C13" s="35" t="s">
        <v>367</v>
      </c>
      <c r="D13" s="35" t="str">
        <f>IF(E13="","",VLOOKUP(E13,'Coaching Points'!A:B,2,0)&amp;"/"&amp;VLOOKUP(F13,'Coaching Points'!A:B,2,0))</f>
        <v>QC/QC</v>
      </c>
      <c r="E13" s="35" t="s">
        <v>85</v>
      </c>
      <c r="F13" s="35" t="s">
        <v>85</v>
      </c>
      <c r="G13" s="34">
        <v>2007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6" t="s">
        <v>65</v>
      </c>
      <c r="J13" s="40"/>
      <c r="K13" s="4">
        <f t="shared" si="0"/>
        <v>18.190100000000001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 t="shared" si="1"/>
        <v/>
      </c>
      <c r="S13" s="4">
        <f t="shared" si="2"/>
        <v>18.190000000000001</v>
      </c>
      <c r="T13" s="4">
        <f>LARGE(CHOOSE({1,2,3,4,5,6},U13,W13,Z13,AB13,AD13,AG13),2)</f>
        <v>0</v>
      </c>
      <c r="U13" s="32">
        <v>18.190000000000001</v>
      </c>
      <c r="V13" s="37">
        <v>4.2</v>
      </c>
      <c r="W13" s="33"/>
      <c r="X13" s="37"/>
      <c r="Y13" s="4">
        <f t="shared" si="3"/>
        <v>18.190000000000001</v>
      </c>
      <c r="Z13" s="33"/>
      <c r="AA13" s="37"/>
      <c r="AB13" s="32"/>
      <c r="AC13" s="37"/>
      <c r="AD13" s="33"/>
      <c r="AE13" s="37"/>
      <c r="AF13" s="4">
        <f t="shared" si="4"/>
        <v>0</v>
      </c>
      <c r="AG13" s="33"/>
      <c r="AH13" s="37"/>
    </row>
    <row r="14" spans="1:35" x14ac:dyDescent="0.2">
      <c r="A14" s="1" t="str" cm="1">
        <f t="array" ref="A14">IF(J14="","",IF(Q14&lt;&gt;"",SUMPRODUCT((Q$3:Q$22&lt;&gt;"")*(H$3:H$22=H14)*(K$3:K$22&gt;K14)*(J$3:J$22="P"))+1,IF(P14&lt;&gt;"",SUMPRODUCT((P$3:P$22&lt;&gt;"")*(Q$3:Q$22="")*(H$3:H$22=H14)*(K$3:K$22&gt;K14)*(J$3:J$22="P"))+SUMPRODUCT((Q$3:Q$22&lt;&gt;"")*(H$3:H$22=H14)*(J$3:J$22="P"))+1,IF(O14&lt;&gt;"",SUMPRODUCT((O$3:O$22&lt;&gt;"")*(H$3:H$22=H14)*(K$3:K$22&gt;K14)*(J$3:J$22="P"))+1,IF(N14="P",SUMPRODUCT((P$3:P$22&lt;&gt;"")*(Q$3:Q$22="")*(H$3:H$22=H14)*(J$3:J$22="P"))+SUMPRODUCT((Q$3:Q$22&lt;&gt;"")*(H$3:H$22=H14)*(J$3:J$22="P"))+SUMPRODUCT((O$3:O$22&lt;&gt;"")*(H$3:H$22=H14)*(J$3:J$22="P"))+SUMPRODUCT((Q$3:Q$22="")*(P$3:P$22="")*(O$3:O$22="")*(N$3:N$22="P")*(H$3:H$22=H14)*(K$3:K$22&gt;K14)*(J$3:J$22="P"))+IF(I14="L5",SUMPRODUCT((Q$3:Q$22="")*(P$3:P$22="")*(O$3:O$22="")*(N$3:N$22="P")*(H$3:H$22=H14)*(K$3:K$22&lt;K14)*(I$3:I$22&lt;&gt;I14)*(J$3:J$22="P")),-1*SUMPRODUCT((Q$3:Q$22="")*(P$3:P$22="")*(O$3:O$22="")*(N$3:N$22="P")*(H$3:H$22=H14)*(K$3:K$22&gt;K14)*(I$3:I$22="L5")*(J$3:J$22="P")))+1,"")))))</f>
        <v/>
      </c>
      <c r="B14" s="1" t="str" cm="1">
        <f t="array" ref="B14">IF(Q14&lt;&gt;"",SUMPRODUCT((Q$3:Q$22&lt;&gt;"")*(H$3:H$22=H14)*(K$3:K$22&gt;K14))+1,IF(P14&lt;&gt;"",SUMPRODUCT((P$3:P$22&lt;&gt;"")*(Q$3:Q$22="")*(H$3:H$22=H14)*(K$3:K$22&gt;K14))+SUMPRODUCT((Q$3:Q$22&lt;&gt;"")*(H$3:H$22=H14))+1,IF(O14&lt;&gt;"",SUMPRODUCT((O$3:O$22&lt;&gt;"")*(H$3:H$22=H14)*(K$3:K$22&gt;K14))+1,IF(N14="P",SUMPRODUCT((P$3:P$22&lt;&gt;"")*(Q$3:Q$22="")*(H$3:H$22=H14))+SUMPRODUCT((Q$3:Q$22&lt;&gt;"")*(H$3:H$22=H14))+SUMPRODUCT((O$3:O$22&lt;&gt;"")*(H$3:H$22=H14))+SUMPRODUCT((Q$3:Q$22="")*(P$3:P$22="")*(O$3:O$22="")*(N$3:N$22="P")*(H$3:H$22=H14)*(K$3:K$22&gt;K14))+IF(I14="L5",SUMPRODUCT((Q$3:Q$22="")*(P$3:P$22="")*(O$3:O$22="")*(N$3:N$22="P")*(H$3:H$22=H14)*(K$3:K$22&lt;K14)*(I$3:I$22&lt;&gt;I14)),-1*SUMPRODUCT((Q$3:Q$22="")*(P$3:P$22="")*(O$3:O$22="")*(N$3:N$22="P")*(H$3:H$22=H14)*(K$3:K$22&gt;K14)*(I$3:I$22="L5")))+1,""))))</f>
        <v/>
      </c>
      <c r="C14" s="35" t="s">
        <v>368</v>
      </c>
      <c r="D14" s="35" t="str">
        <f>IF(E14="","",VLOOKUP(E14,'Coaching Points'!A:B,2,0)&amp;"/"&amp;VLOOKUP(F14,'Coaching Points'!A:B,2,0))</f>
        <v>QC/ON</v>
      </c>
      <c r="E14" s="35" t="s">
        <v>201</v>
      </c>
      <c r="F14" s="35" t="s">
        <v>97</v>
      </c>
      <c r="G14" s="34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6" t="s">
        <v>72</v>
      </c>
      <c r="J14" s="40"/>
      <c r="K14" s="4">
        <f t="shared" si="0"/>
        <v>9.3002000000000002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 t="shared" si="1"/>
        <v/>
      </c>
      <c r="S14" s="4">
        <f t="shared" si="2"/>
        <v>9.3000000000000007</v>
      </c>
      <c r="T14" s="4">
        <f>LARGE(CHOOSE({1,2,3,4,5,6},U14,W14,Z14,AB14,AD14,AG14),2)</f>
        <v>4.9400000000000004</v>
      </c>
      <c r="U14" s="32">
        <v>4.9400000000000004</v>
      </c>
      <c r="V14" s="37">
        <v>1.5</v>
      </c>
      <c r="W14" s="33">
        <v>9.3000000000000007</v>
      </c>
      <c r="X14" s="37">
        <v>2.5</v>
      </c>
      <c r="Y14" s="4">
        <f t="shared" si="3"/>
        <v>9.3000000000000007</v>
      </c>
      <c r="Z14" s="33"/>
      <c r="AA14" s="37"/>
      <c r="AB14" s="32"/>
      <c r="AC14" s="37"/>
      <c r="AD14" s="33"/>
      <c r="AE14" s="37"/>
      <c r="AF14" s="4">
        <f t="shared" si="4"/>
        <v>0</v>
      </c>
      <c r="AG14" s="33"/>
      <c r="AH14" s="37"/>
    </row>
    <row r="15" spans="1:35" x14ac:dyDescent="0.2">
      <c r="A15" s="1" t="str" cm="1">
        <f t="array" ref="A15">IF(J15="","",IF(Q15&lt;&gt;"",SUMPRODUCT((Q$3:Q$22&lt;&gt;"")*(H$3:H$22=H15)*(K$3:K$22&gt;K15)*(J$3:J$22="P"))+1,IF(P15&lt;&gt;"",SUMPRODUCT((P$3:P$22&lt;&gt;"")*(Q$3:Q$22="")*(H$3:H$22=H15)*(K$3:K$22&gt;K15)*(J$3:J$22="P"))+SUMPRODUCT((Q$3:Q$22&lt;&gt;"")*(H$3:H$22=H15)*(J$3:J$22="P"))+1,IF(O15&lt;&gt;"",SUMPRODUCT((O$3:O$22&lt;&gt;"")*(H$3:H$22=H15)*(K$3:K$22&gt;K15)*(J$3:J$22="P"))+1,IF(N15="P",SUMPRODUCT((P$3:P$22&lt;&gt;"")*(Q$3:Q$22="")*(H$3:H$22=H15)*(J$3:J$22="P"))+SUMPRODUCT((Q$3:Q$22&lt;&gt;"")*(H$3:H$22=H15)*(J$3:J$22="P"))+SUMPRODUCT((O$3:O$22&lt;&gt;"")*(H$3:H$22=H15)*(J$3:J$22="P"))+SUMPRODUCT((Q$3:Q$22="")*(P$3:P$22="")*(O$3:O$22="")*(N$3:N$22="P")*(H$3:H$22=H15)*(K$3:K$22&gt;K15)*(J$3:J$22="P"))+IF(I15="L5",SUMPRODUCT((Q$3:Q$22="")*(P$3:P$22="")*(O$3:O$22="")*(N$3:N$22="P")*(H$3:H$22=H15)*(K$3:K$22&lt;K15)*(I$3:I$22&lt;&gt;I15)*(J$3:J$22="P")),-1*SUMPRODUCT((Q$3:Q$22="")*(P$3:P$22="")*(O$3:O$22="")*(N$3:N$22="P")*(H$3:H$22=H15)*(K$3:K$22&gt;K15)*(I$3:I$22="L5")*(J$3:J$22="P")))+1,"")))))</f>
        <v/>
      </c>
      <c r="B15" s="1" t="str" cm="1">
        <f t="array" ref="B15">IF(Q15&lt;&gt;"",SUMPRODUCT((Q$3:Q$22&lt;&gt;"")*(H$3:H$22=H15)*(K$3:K$22&gt;K15))+1,IF(P15&lt;&gt;"",SUMPRODUCT((P$3:P$22&lt;&gt;"")*(Q$3:Q$22="")*(H$3:H$22=H15)*(K$3:K$22&gt;K15))+SUMPRODUCT((Q$3:Q$22&lt;&gt;"")*(H$3:H$22=H15))+1,IF(O15&lt;&gt;"",SUMPRODUCT((O$3:O$22&lt;&gt;"")*(H$3:H$22=H15)*(K$3:K$22&gt;K15))+1,IF(N15="P",SUMPRODUCT((P$3:P$22&lt;&gt;"")*(Q$3:Q$22="")*(H$3:H$22=H15))+SUMPRODUCT((Q$3:Q$22&lt;&gt;"")*(H$3:H$22=H15))+SUMPRODUCT((O$3:O$22&lt;&gt;"")*(H$3:H$22=H15))+SUMPRODUCT((Q$3:Q$22="")*(P$3:P$22="")*(O$3:O$22="")*(N$3:N$22="P")*(H$3:H$22=H15)*(K$3:K$22&gt;K15))+IF(I15="L5",SUMPRODUCT((Q$3:Q$22="")*(P$3:P$22="")*(O$3:O$22="")*(N$3:N$22="P")*(H$3:H$22=H15)*(K$3:K$22&lt;K15)*(I$3:I$22&lt;&gt;I15)),-1*SUMPRODUCT((Q$3:Q$22="")*(P$3:P$22="")*(O$3:O$22="")*(N$3:N$22="P")*(H$3:H$22=H15)*(K$3:K$22&gt;K15)*(I$3:I$22="L5")))+1,""))))</f>
        <v/>
      </c>
      <c r="C15" s="35" t="s">
        <v>359</v>
      </c>
      <c r="D15" s="35" t="str">
        <f>IF(E15="","",VLOOKUP(E15,'Coaching Points'!A:B,2,0)&amp;"/"&amp;VLOOKUP(F15,'Coaching Points'!A:B,2,0))</f>
        <v>BC/BC</v>
      </c>
      <c r="E15" s="35" t="s">
        <v>44</v>
      </c>
      <c r="F15" s="35" t="s">
        <v>44</v>
      </c>
      <c r="G15" s="34">
        <v>2004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6" t="s">
        <v>64</v>
      </c>
      <c r="J15" s="40"/>
      <c r="K15" s="4">
        <f t="shared" si="0"/>
        <v>9.26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 t="shared" si="1"/>
        <v/>
      </c>
      <c r="S15" s="4">
        <f t="shared" si="2"/>
        <v>9.26</v>
      </c>
      <c r="T15" s="4">
        <f>LARGE(CHOOSE({1,2,3,4,5,6},U15,W15,Z15,AB15,AD15,AG15),2)</f>
        <v>0</v>
      </c>
      <c r="U15" s="32">
        <v>9.26</v>
      </c>
      <c r="V15" s="37">
        <v>2.2000000000000002</v>
      </c>
      <c r="W15" s="33"/>
      <c r="X15" s="37"/>
      <c r="Y15" s="4">
        <f t="shared" si="3"/>
        <v>9.26</v>
      </c>
      <c r="Z15" s="33"/>
      <c r="AA15" s="37"/>
      <c r="AB15" s="32"/>
      <c r="AC15" s="37"/>
      <c r="AD15" s="33"/>
      <c r="AE15" s="37"/>
      <c r="AF15" s="4">
        <f t="shared" si="4"/>
        <v>0</v>
      </c>
      <c r="AG15" s="33"/>
      <c r="AH15" s="37"/>
    </row>
    <row r="16" spans="1:35" x14ac:dyDescent="0.2">
      <c r="A16" s="1" t="str" cm="1">
        <f t="array" ref="A16">IF(J16="","",IF(Q16&lt;&gt;"",SUMPRODUCT((Q$3:Q$22&lt;&gt;"")*(H$3:H$22=H16)*(K$3:K$22&gt;K16)*(J$3:J$22="P"))+1,IF(P16&lt;&gt;"",SUMPRODUCT((P$3:P$22&lt;&gt;"")*(Q$3:Q$22="")*(H$3:H$22=H16)*(K$3:K$22&gt;K16)*(J$3:J$22="P"))+SUMPRODUCT((Q$3:Q$22&lt;&gt;"")*(H$3:H$22=H16)*(J$3:J$22="P"))+1,IF(O16&lt;&gt;"",SUMPRODUCT((O$3:O$22&lt;&gt;"")*(H$3:H$22=H16)*(K$3:K$22&gt;K16)*(J$3:J$22="P"))+1,IF(N16="P",SUMPRODUCT((P$3:P$22&lt;&gt;"")*(Q$3:Q$22="")*(H$3:H$22=H16)*(J$3:J$22="P"))+SUMPRODUCT((Q$3:Q$22&lt;&gt;"")*(H$3:H$22=H16)*(J$3:J$22="P"))+SUMPRODUCT((O$3:O$22&lt;&gt;"")*(H$3:H$22=H16)*(J$3:J$22="P"))+SUMPRODUCT((Q$3:Q$22="")*(P$3:P$22="")*(O$3:O$22="")*(N$3:N$22="P")*(H$3:H$22=H16)*(K$3:K$22&gt;K16)*(J$3:J$22="P"))+IF(I16="L5",SUMPRODUCT((Q$3:Q$22="")*(P$3:P$22="")*(O$3:O$22="")*(N$3:N$22="P")*(H$3:H$22=H16)*(K$3:K$22&lt;K16)*(I$3:I$22&lt;&gt;I16)*(J$3:J$22="P")),-1*SUMPRODUCT((Q$3:Q$22="")*(P$3:P$22="")*(O$3:O$22="")*(N$3:N$22="P")*(H$3:H$22=H16)*(K$3:K$22&gt;K16)*(I$3:I$22="L5")*(J$3:J$22="P")))+1,"")))))</f>
        <v/>
      </c>
      <c r="B16" s="1" t="str" cm="1">
        <f t="array" ref="B16">IF(Q16&lt;&gt;"",SUMPRODUCT((Q$3:Q$22&lt;&gt;"")*(H$3:H$22=H16)*(K$3:K$22&gt;K16))+1,IF(P16&lt;&gt;"",SUMPRODUCT((P$3:P$22&lt;&gt;"")*(Q$3:Q$22="")*(H$3:H$22=H16)*(K$3:K$22&gt;K16))+SUMPRODUCT((Q$3:Q$22&lt;&gt;"")*(H$3:H$22=H16))+1,IF(O16&lt;&gt;"",SUMPRODUCT((O$3:O$22&lt;&gt;"")*(H$3:H$22=H16)*(K$3:K$22&gt;K16))+1,IF(N16="P",SUMPRODUCT((P$3:P$22&lt;&gt;"")*(Q$3:Q$22="")*(H$3:H$22=H16))+SUMPRODUCT((Q$3:Q$22&lt;&gt;"")*(H$3:H$22=H16))+SUMPRODUCT((O$3:O$22&lt;&gt;"")*(H$3:H$22=H16))+SUMPRODUCT((Q$3:Q$22="")*(P$3:P$22="")*(O$3:O$22="")*(N$3:N$22="P")*(H$3:H$22=H16)*(K$3:K$22&gt;K16))+IF(I16="L5",SUMPRODUCT((Q$3:Q$22="")*(P$3:P$22="")*(O$3:O$22="")*(N$3:N$22="P")*(H$3:H$22=H16)*(K$3:K$22&lt;K16)*(I$3:I$22&lt;&gt;I16)),-1*SUMPRODUCT((Q$3:Q$22="")*(P$3:P$22="")*(O$3:O$22="")*(N$3:N$22="P")*(H$3:H$22=H16)*(K$3:K$22&gt;K16)*(I$3:I$22="L5")))+1,""))))</f>
        <v/>
      </c>
      <c r="C16" s="35" t="s">
        <v>360</v>
      </c>
      <c r="D16" s="35" t="str">
        <f>IF(E16="","",VLOOKUP(E16,'Coaching Points'!A:B,2,0)&amp;"/"&amp;VLOOKUP(F16,'Coaching Points'!A:B,2,0))</f>
        <v>ON/ON</v>
      </c>
      <c r="E16" s="35" t="s">
        <v>97</v>
      </c>
      <c r="F16" s="35" t="s">
        <v>97</v>
      </c>
      <c r="G16" s="34">
        <v>2007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6" t="s">
        <v>64</v>
      </c>
      <c r="J16" s="40"/>
      <c r="K16" s="4">
        <f t="shared" si="0"/>
        <v>4.38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 t="shared" si="1"/>
        <v/>
      </c>
      <c r="S16" s="4">
        <f t="shared" si="2"/>
        <v>4.38</v>
      </c>
      <c r="T16" s="4">
        <f>LARGE(CHOOSE({1,2,3,4,5,6},U16,W16,Z16,AB16,AD16,AG16),2)</f>
        <v>0</v>
      </c>
      <c r="U16" s="32">
        <v>4.38</v>
      </c>
      <c r="V16" s="37">
        <v>1.3</v>
      </c>
      <c r="W16" s="33"/>
      <c r="X16" s="37"/>
      <c r="Y16" s="4">
        <f t="shared" si="3"/>
        <v>4.38</v>
      </c>
      <c r="Z16" s="33"/>
      <c r="AA16" s="37"/>
      <c r="AB16" s="32"/>
      <c r="AC16" s="37"/>
      <c r="AD16" s="33"/>
      <c r="AE16" s="37"/>
      <c r="AF16" s="4">
        <f t="shared" si="4"/>
        <v>0</v>
      </c>
      <c r="AG16" s="33"/>
      <c r="AH16" s="37"/>
    </row>
    <row r="17" spans="1:34" x14ac:dyDescent="0.2">
      <c r="A17" s="1" t="str" cm="1">
        <f t="array" ref="A17">IF(J17="","",IF(Q17&lt;&gt;"",SUMPRODUCT((Q$3:Q$22&lt;&gt;"")*(H$3:H$22=H17)*(K$3:K$22&gt;K17)*(J$3:J$22="P"))+1,IF(P17&lt;&gt;"",SUMPRODUCT((P$3:P$22&lt;&gt;"")*(Q$3:Q$22="")*(H$3:H$22=H17)*(K$3:K$22&gt;K17)*(J$3:J$22="P"))+SUMPRODUCT((Q$3:Q$22&lt;&gt;"")*(H$3:H$22=H17)*(J$3:J$22="P"))+1,IF(O17&lt;&gt;"",SUMPRODUCT((O$3:O$22&lt;&gt;"")*(H$3:H$22=H17)*(K$3:K$22&gt;K17)*(J$3:J$22="P"))+1,IF(N17="P",SUMPRODUCT((P$3:P$22&lt;&gt;"")*(Q$3:Q$22="")*(H$3:H$22=H17)*(J$3:J$22="P"))+SUMPRODUCT((Q$3:Q$22&lt;&gt;"")*(H$3:H$22=H17)*(J$3:J$22="P"))+SUMPRODUCT((O$3:O$22&lt;&gt;"")*(H$3:H$22=H17)*(J$3:J$22="P"))+SUMPRODUCT((Q$3:Q$22="")*(P$3:P$22="")*(O$3:O$22="")*(N$3:N$22="P")*(H$3:H$22=H17)*(K$3:K$22&gt;K17)*(J$3:J$22="P"))+IF(I17="L5",SUMPRODUCT((Q$3:Q$22="")*(P$3:P$22="")*(O$3:O$22="")*(N$3:N$22="P")*(H$3:H$22=H17)*(K$3:K$22&lt;K17)*(I$3:I$22&lt;&gt;I17)*(J$3:J$22="P")),-1*SUMPRODUCT((Q$3:Q$22="")*(P$3:P$22="")*(O$3:O$22="")*(N$3:N$22="P")*(H$3:H$22=H17)*(K$3:K$22&gt;K17)*(I$3:I$22="L5")*(J$3:J$22="P")))+1,"")))))</f>
        <v/>
      </c>
      <c r="B17" s="1" cm="1">
        <f t="array" ref="B17">IF(Q17&lt;&gt;"",SUMPRODUCT((Q$3:Q$22&lt;&gt;"")*(H$3:H$22=H17)*(K$3:K$22&gt;K17))+1,IF(P17&lt;&gt;"",SUMPRODUCT((P$3:P$22&lt;&gt;"")*(Q$3:Q$22="")*(H$3:H$22=H17)*(K$3:K$22&gt;K17))+SUMPRODUCT((Q$3:Q$22&lt;&gt;"")*(H$3:H$22=H17))+1,IF(O17&lt;&gt;"",SUMPRODUCT((O$3:O$22&lt;&gt;"")*(H$3:H$22=H17)*(K$3:K$22&gt;K17))+1,IF(N17="P",SUMPRODUCT((P$3:P$22&lt;&gt;"")*(Q$3:Q$22="")*(H$3:H$22=H17))+SUMPRODUCT((Q$3:Q$22&lt;&gt;"")*(H$3:H$22=H17))+SUMPRODUCT((O$3:O$22&lt;&gt;"")*(H$3:H$22=H17))+SUMPRODUCT((Q$3:Q$22="")*(P$3:P$22="")*(O$3:O$22="")*(N$3:N$22="P")*(H$3:H$22=H17)*(K$3:K$22&gt;K17))+IF(I17="L5",SUMPRODUCT((Q$3:Q$22="")*(P$3:P$22="")*(O$3:O$22="")*(N$3:N$22="P")*(H$3:H$22=H17)*(K$3:K$22&lt;K17)*(I$3:I$22&lt;&gt;I17)),-1*SUMPRODUCT((Q$3:Q$22="")*(P$3:P$22="")*(O$3:O$22="")*(N$3:N$22="P")*(H$3:H$22=H17)*(K$3:K$22&gt;K17)*(I$3:I$22="L5")))+1,""))))</f>
        <v>1</v>
      </c>
      <c r="C17" s="35" t="s">
        <v>225</v>
      </c>
      <c r="D17" s="35" t="str">
        <f>IF(E17="","",VLOOKUP(E17,'Coaching Points'!A:B,2,0)&amp;"/"&amp;VLOOKUP(F17,'Coaching Points'!A:B,2,0))</f>
        <v>AB/AB</v>
      </c>
      <c r="E17" s="35" t="s">
        <v>39</v>
      </c>
      <c r="F17" s="35" t="s">
        <v>39</v>
      </c>
      <c r="G17" s="34">
        <v>2009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6" t="s">
        <v>64</v>
      </c>
      <c r="J17" s="40"/>
      <c r="K17" s="4">
        <f t="shared" si="0"/>
        <v>43.8</v>
      </c>
      <c r="L17" s="3" t="str">
        <f>IF(H17="Not Age Eligible","",IF(MAX(U17,W17,Z17,AB17,AD17,AG17)&gt;=LOOKUP(H17,'Qualifying Scores'!$A$4:$A$7,'Qualifying Scores'!$E$4:$E$7),"P",""))</f>
        <v>P</v>
      </c>
      <c r="M17" s="3" t="str">
        <f>IF(H17="Not Age Eligible","",IF(MAX(V17,X17,AA17,AC17,AE17,AH17)&gt;=LOOKUP(H17,'Qualifying Scores'!$A$10:$A$13,'Qualifying Scores'!$E$10:$E$13),"P",""))</f>
        <v>P</v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>P</v>
      </c>
      <c r="R17" s="1" t="str">
        <f t="shared" si="1"/>
        <v/>
      </c>
      <c r="S17" s="4">
        <f t="shared" si="2"/>
        <v>43.8</v>
      </c>
      <c r="T17" s="4">
        <f>LARGE(CHOOSE({1,2,3,4,5,6},U17,W17,Z17,AB17,AD17,AG17),2)</f>
        <v>41.74</v>
      </c>
      <c r="U17" s="32">
        <v>41.74</v>
      </c>
      <c r="V17" s="37">
        <v>8.4</v>
      </c>
      <c r="W17" s="33"/>
      <c r="X17" s="37"/>
      <c r="Y17" s="4">
        <f t="shared" si="3"/>
        <v>41.74</v>
      </c>
      <c r="Z17" s="33">
        <v>43.8</v>
      </c>
      <c r="AA17" s="37">
        <v>8.4</v>
      </c>
      <c r="AB17" s="32"/>
      <c r="AC17" s="37"/>
      <c r="AD17" s="33"/>
      <c r="AE17" s="37"/>
      <c r="AF17" s="4">
        <f t="shared" si="4"/>
        <v>0</v>
      </c>
      <c r="AG17" s="33"/>
      <c r="AH17" s="37"/>
    </row>
    <row r="18" spans="1:34" x14ac:dyDescent="0.2">
      <c r="A18" s="1" t="str" cm="1">
        <f t="array" ref="A18">IF(J18="","",IF(Q18&lt;&gt;"",SUMPRODUCT((Q$3:Q$22&lt;&gt;"")*(H$3:H$22=H18)*(K$3:K$22&gt;K18)*(J$3:J$22="P"))+1,IF(P18&lt;&gt;"",SUMPRODUCT((P$3:P$22&lt;&gt;"")*(Q$3:Q$22="")*(H$3:H$22=H18)*(K$3:K$22&gt;K18)*(J$3:J$22="P"))+SUMPRODUCT((Q$3:Q$22&lt;&gt;"")*(H$3:H$22=H18)*(J$3:J$22="P"))+1,IF(O18&lt;&gt;"",SUMPRODUCT((O$3:O$22&lt;&gt;"")*(H$3:H$22=H18)*(K$3:K$22&gt;K18)*(J$3:J$22="P"))+1,IF(N18="P",SUMPRODUCT((P$3:P$22&lt;&gt;"")*(Q$3:Q$22="")*(H$3:H$22=H18)*(J$3:J$22="P"))+SUMPRODUCT((Q$3:Q$22&lt;&gt;"")*(H$3:H$22=H18)*(J$3:J$22="P"))+SUMPRODUCT((O$3:O$22&lt;&gt;"")*(H$3:H$22=H18)*(J$3:J$22="P"))+SUMPRODUCT((Q$3:Q$22="")*(P$3:P$22="")*(O$3:O$22="")*(N$3:N$22="P")*(H$3:H$22=H18)*(K$3:K$22&gt;K18)*(J$3:J$22="P"))+IF(I18="L5",SUMPRODUCT((Q$3:Q$22="")*(P$3:P$22="")*(O$3:O$22="")*(N$3:N$22="P")*(H$3:H$22=H18)*(K$3:K$22&lt;K18)*(I$3:I$22&lt;&gt;I18)*(J$3:J$22="P")),-1*SUMPRODUCT((Q$3:Q$22="")*(P$3:P$22="")*(O$3:O$22="")*(N$3:N$22="P")*(H$3:H$22=H18)*(K$3:K$22&gt;K18)*(I$3:I$22="L5")*(J$3:J$22="P")))+1,"")))))</f>
        <v/>
      </c>
      <c r="B18" s="1" t="str" cm="1">
        <f t="array" ref="B18">IF(Q18&lt;&gt;"",SUMPRODUCT((Q$3:Q$22&lt;&gt;"")*(H$3:H$22=H18)*(K$3:K$22&gt;K18))+1,IF(P18&lt;&gt;"",SUMPRODUCT((P$3:P$22&lt;&gt;"")*(Q$3:Q$22="")*(H$3:H$22=H18)*(K$3:K$22&gt;K18))+SUMPRODUCT((Q$3:Q$22&lt;&gt;"")*(H$3:H$22=H18))+1,IF(O18&lt;&gt;"",SUMPRODUCT((O$3:O$22&lt;&gt;"")*(H$3:H$22=H18)*(K$3:K$22&gt;K18))+1,IF(N18="P",SUMPRODUCT((P$3:P$22&lt;&gt;"")*(Q$3:Q$22="")*(H$3:H$22=H18))+SUMPRODUCT((Q$3:Q$22&lt;&gt;"")*(H$3:H$22=H18))+SUMPRODUCT((O$3:O$22&lt;&gt;"")*(H$3:H$22=H18))+SUMPRODUCT((Q$3:Q$22="")*(P$3:P$22="")*(O$3:O$22="")*(N$3:N$22="P")*(H$3:H$22=H18)*(K$3:K$22&gt;K18))+IF(I18="L5",SUMPRODUCT((Q$3:Q$22="")*(P$3:P$22="")*(O$3:O$22="")*(N$3:N$22="P")*(H$3:H$22=H18)*(K$3:K$22&lt;K18)*(I$3:I$22&lt;&gt;I18)),-1*SUMPRODUCT((Q$3:Q$22="")*(P$3:P$22="")*(O$3:O$22="")*(N$3:N$22="P")*(H$3:H$22=H18)*(K$3:K$22&gt;K18)*(I$3:I$22="L5")))+1,""))))</f>
        <v/>
      </c>
      <c r="C18" s="35" t="s">
        <v>247</v>
      </c>
      <c r="D18" s="35" t="str">
        <f>IF(E18="","",VLOOKUP(E18,'Coaching Points'!A:B,2,0)&amp;"/"&amp;VLOOKUP(F18,'Coaching Points'!A:B,2,0))</f>
        <v>BC/BC</v>
      </c>
      <c r="E18" s="35" t="s">
        <v>40</v>
      </c>
      <c r="F18" s="35" t="s">
        <v>40</v>
      </c>
      <c r="G18" s="34">
        <v>2009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6" t="s">
        <v>65</v>
      </c>
      <c r="J18" s="40"/>
      <c r="K18" s="4">
        <f t="shared" si="0"/>
        <v>41.820100000000004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>P</v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 t="shared" si="1"/>
        <v/>
      </c>
      <c r="S18" s="4">
        <f t="shared" si="2"/>
        <v>41.82</v>
      </c>
      <c r="T18" s="4">
        <f>LARGE(CHOOSE({1,2,3,4,5,6},U18,W18,Z18,AB18,AD18,AG18),2)</f>
        <v>35.08</v>
      </c>
      <c r="U18" s="32">
        <v>41.82</v>
      </c>
      <c r="V18" s="37">
        <v>8.4</v>
      </c>
      <c r="W18" s="33"/>
      <c r="X18" s="37"/>
      <c r="Y18" s="4">
        <f t="shared" si="3"/>
        <v>41.82</v>
      </c>
      <c r="Z18" s="33">
        <v>35.08</v>
      </c>
      <c r="AA18" s="37">
        <v>6.6</v>
      </c>
      <c r="AB18" s="32"/>
      <c r="AC18" s="37"/>
      <c r="AD18" s="33"/>
      <c r="AE18" s="37"/>
      <c r="AF18" s="4">
        <f t="shared" si="4"/>
        <v>0</v>
      </c>
      <c r="AG18" s="33"/>
      <c r="AH18" s="37"/>
    </row>
    <row r="19" spans="1:34" x14ac:dyDescent="0.2">
      <c r="A19" s="1" t="str" cm="1">
        <f t="array" ref="A19">IF(J19="","",IF(Q19&lt;&gt;"",SUMPRODUCT((Q$3:Q$22&lt;&gt;"")*(H$3:H$22=H19)*(K$3:K$22&gt;K19)*(J$3:J$22="P"))+1,IF(P19&lt;&gt;"",SUMPRODUCT((P$3:P$22&lt;&gt;"")*(Q$3:Q$22="")*(H$3:H$22=H19)*(K$3:K$22&gt;K19)*(J$3:J$22="P"))+SUMPRODUCT((Q$3:Q$22&lt;&gt;"")*(H$3:H$22=H19)*(J$3:J$22="P"))+1,IF(O19&lt;&gt;"",SUMPRODUCT((O$3:O$22&lt;&gt;"")*(H$3:H$22=H19)*(K$3:K$22&gt;K19)*(J$3:J$22="P"))+1,IF(N19="P",SUMPRODUCT((P$3:P$22&lt;&gt;"")*(Q$3:Q$22="")*(H$3:H$22=H19)*(J$3:J$22="P"))+SUMPRODUCT((Q$3:Q$22&lt;&gt;"")*(H$3:H$22=H19)*(J$3:J$22="P"))+SUMPRODUCT((O$3:O$22&lt;&gt;"")*(H$3:H$22=H19)*(J$3:J$22="P"))+SUMPRODUCT((Q$3:Q$22="")*(P$3:P$22="")*(O$3:O$22="")*(N$3:N$22="P")*(H$3:H$22=H19)*(K$3:K$22&gt;K19)*(J$3:J$22="P"))+IF(I19="L5",SUMPRODUCT((Q$3:Q$22="")*(P$3:P$22="")*(O$3:O$22="")*(N$3:N$22="P")*(H$3:H$22=H19)*(K$3:K$22&lt;K19)*(I$3:I$22&lt;&gt;I19)*(J$3:J$22="P")),-1*SUMPRODUCT((Q$3:Q$22="")*(P$3:P$22="")*(O$3:O$22="")*(N$3:N$22="P")*(H$3:H$22=H19)*(K$3:K$22&gt;K19)*(I$3:I$22="L5")*(J$3:J$22="P")))+1,"")))))</f>
        <v/>
      </c>
      <c r="B19" s="1" t="str" cm="1">
        <f t="array" ref="B19">IF(Q19&lt;&gt;"",SUMPRODUCT((Q$3:Q$22&lt;&gt;"")*(H$3:H$22=H19)*(K$3:K$22&gt;K19))+1,IF(P19&lt;&gt;"",SUMPRODUCT((P$3:P$22&lt;&gt;"")*(Q$3:Q$22="")*(H$3:H$22=H19)*(K$3:K$22&gt;K19))+SUMPRODUCT((Q$3:Q$22&lt;&gt;"")*(H$3:H$22=H19))+1,IF(O19&lt;&gt;"",SUMPRODUCT((O$3:O$22&lt;&gt;"")*(H$3:H$22=H19)*(K$3:K$22&gt;K19))+1,IF(N19="P",SUMPRODUCT((P$3:P$22&lt;&gt;"")*(Q$3:Q$22="")*(H$3:H$22=H19))+SUMPRODUCT((Q$3:Q$22&lt;&gt;"")*(H$3:H$22=H19))+SUMPRODUCT((O$3:O$22&lt;&gt;"")*(H$3:H$22=H19))+SUMPRODUCT((Q$3:Q$22="")*(P$3:P$22="")*(O$3:O$22="")*(N$3:N$22="P")*(H$3:H$22=H19)*(K$3:K$22&gt;K19))+IF(I19="L5",SUMPRODUCT((Q$3:Q$22="")*(P$3:P$22="")*(O$3:O$22="")*(N$3:N$22="P")*(H$3:H$22=H19)*(K$3:K$22&lt;K19)*(I$3:I$22&lt;&gt;I19)),-1*SUMPRODUCT((Q$3:Q$22="")*(P$3:P$22="")*(O$3:O$22="")*(N$3:N$22="P")*(H$3:H$22=H19)*(K$3:K$22&gt;K19)*(I$3:I$22="L5")))+1,""))))</f>
        <v/>
      </c>
      <c r="C19" s="35" t="s">
        <v>363</v>
      </c>
      <c r="D19" s="35" t="str">
        <f>IF(E19="","",VLOOKUP(E19,'Coaching Points'!A:B,2,0)&amp;"/"&amp;VLOOKUP(F19,'Coaching Points'!A:B,2,0))</f>
        <v>QC/QC</v>
      </c>
      <c r="E19" s="35" t="s">
        <v>57</v>
      </c>
      <c r="F19" s="35" t="s">
        <v>57</v>
      </c>
      <c r="G19" s="34">
        <v>2008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15-16</v>
      </c>
      <c r="I19" s="36" t="s">
        <v>65</v>
      </c>
      <c r="J19" s="40"/>
      <c r="K19" s="4">
        <f t="shared" si="0"/>
        <v>41.700100000000006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 t="shared" si="1"/>
        <v/>
      </c>
      <c r="S19" s="4">
        <f t="shared" si="2"/>
        <v>41.7</v>
      </c>
      <c r="T19" s="4">
        <f>LARGE(CHOOSE({1,2,3,4,5,6},U19,W19,Z19,AB19,AD19,AG19),2)</f>
        <v>37.74</v>
      </c>
      <c r="U19" s="32">
        <v>37.74</v>
      </c>
      <c r="V19" s="37">
        <v>7.8</v>
      </c>
      <c r="W19" s="33"/>
      <c r="X19" s="37"/>
      <c r="Y19" s="4">
        <f t="shared" si="3"/>
        <v>37.74</v>
      </c>
      <c r="Z19" s="33">
        <v>41.7</v>
      </c>
      <c r="AA19" s="37">
        <v>7.8</v>
      </c>
      <c r="AB19" s="32"/>
      <c r="AC19" s="37"/>
      <c r="AD19" s="33"/>
      <c r="AE19" s="37"/>
      <c r="AF19" s="4">
        <f t="shared" si="4"/>
        <v>0</v>
      </c>
      <c r="AG19" s="33"/>
      <c r="AH19" s="37"/>
    </row>
    <row r="20" spans="1:34" x14ac:dyDescent="0.2">
      <c r="A20" s="1" t="str" cm="1">
        <f t="array" ref="A20">IF(J20="","",IF(Q20&lt;&gt;"",SUMPRODUCT((Q$3:Q$22&lt;&gt;"")*(H$3:H$22=H20)*(K$3:K$22&gt;K20)*(J$3:J$22="P"))+1,IF(P20&lt;&gt;"",SUMPRODUCT((P$3:P$22&lt;&gt;"")*(Q$3:Q$22="")*(H$3:H$22=H20)*(K$3:K$22&gt;K20)*(J$3:J$22="P"))+SUMPRODUCT((Q$3:Q$22&lt;&gt;"")*(H$3:H$22=H20)*(J$3:J$22="P"))+1,IF(O20&lt;&gt;"",SUMPRODUCT((O$3:O$22&lt;&gt;"")*(H$3:H$22=H20)*(K$3:K$22&gt;K20)*(J$3:J$22="P"))+1,IF(N20="P",SUMPRODUCT((P$3:P$22&lt;&gt;"")*(Q$3:Q$22="")*(H$3:H$22=H20)*(J$3:J$22="P"))+SUMPRODUCT((Q$3:Q$22&lt;&gt;"")*(H$3:H$22=H20)*(J$3:J$22="P"))+SUMPRODUCT((O$3:O$22&lt;&gt;"")*(H$3:H$22=H20)*(J$3:J$22="P"))+SUMPRODUCT((Q$3:Q$22="")*(P$3:P$22="")*(O$3:O$22="")*(N$3:N$22="P")*(H$3:H$22=H20)*(K$3:K$22&gt;K20)*(J$3:J$22="P"))+IF(I20="L5",SUMPRODUCT((Q$3:Q$22="")*(P$3:P$22="")*(O$3:O$22="")*(N$3:N$22="P")*(H$3:H$22=H20)*(K$3:K$22&lt;K20)*(I$3:I$22&lt;&gt;I20)*(J$3:J$22="P")),-1*SUMPRODUCT((Q$3:Q$22="")*(P$3:P$22="")*(O$3:O$22="")*(N$3:N$22="P")*(H$3:H$22=H20)*(K$3:K$22&gt;K20)*(I$3:I$22="L5")*(J$3:J$22="P")))+1,"")))))</f>
        <v/>
      </c>
      <c r="B20" s="1" t="str" cm="1">
        <f t="array" ref="B20">IF(Q20&lt;&gt;"",SUMPRODUCT((Q$3:Q$22&lt;&gt;"")*(H$3:H$22=H20)*(K$3:K$22&gt;K20))+1,IF(P20&lt;&gt;"",SUMPRODUCT((P$3:P$22&lt;&gt;"")*(Q$3:Q$22="")*(H$3:H$22=H20)*(K$3:K$22&gt;K20))+SUMPRODUCT((Q$3:Q$22&lt;&gt;"")*(H$3:H$22=H20))+1,IF(O20&lt;&gt;"",SUMPRODUCT((O$3:O$22&lt;&gt;"")*(H$3:H$22=H20)*(K$3:K$22&gt;K20))+1,IF(N20="P",SUMPRODUCT((P$3:P$22&lt;&gt;"")*(Q$3:Q$22="")*(H$3:H$22=H20))+SUMPRODUCT((Q$3:Q$22&lt;&gt;"")*(H$3:H$22=H20))+SUMPRODUCT((O$3:O$22&lt;&gt;"")*(H$3:H$22=H20))+SUMPRODUCT((Q$3:Q$22="")*(P$3:P$22="")*(O$3:O$22="")*(N$3:N$22="P")*(H$3:H$22=H20)*(K$3:K$22&gt;K20))+IF(I20="L5",SUMPRODUCT((Q$3:Q$22="")*(P$3:P$22="")*(O$3:O$22="")*(N$3:N$22="P")*(H$3:H$22=H20)*(K$3:K$22&lt;K20)*(I$3:I$22&lt;&gt;I20)),-1*SUMPRODUCT((Q$3:Q$22="")*(P$3:P$22="")*(O$3:O$22="")*(N$3:N$22="P")*(H$3:H$22=H20)*(K$3:K$22&gt;K20)*(I$3:I$22="L5")))+1,""))))</f>
        <v/>
      </c>
      <c r="C20" s="35" t="s">
        <v>365</v>
      </c>
      <c r="D20" s="35" t="str">
        <f>IF(E20="","",VLOOKUP(E20,'Coaching Points'!A:B,2,0)&amp;"/"&amp;VLOOKUP(F20,'Coaching Points'!A:B,2,0))</f>
        <v>AB/AB</v>
      </c>
      <c r="E20" s="35" t="s">
        <v>28</v>
      </c>
      <c r="F20" s="35" t="s">
        <v>28</v>
      </c>
      <c r="G20" s="34">
        <v>2009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15-16</v>
      </c>
      <c r="I20" s="36" t="s">
        <v>65</v>
      </c>
      <c r="J20" s="40"/>
      <c r="K20" s="4">
        <f t="shared" si="0"/>
        <v>38.970100000000002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 t="shared" si="1"/>
        <v/>
      </c>
      <c r="S20" s="4">
        <f t="shared" si="2"/>
        <v>38.97</v>
      </c>
      <c r="T20" s="4">
        <f>LARGE(CHOOSE({1,2,3,4,5,6},U20,W20,Z20,AB20,AD20,AG20),2)</f>
        <v>0</v>
      </c>
      <c r="U20" s="32">
        <v>38.97</v>
      </c>
      <c r="V20" s="37">
        <v>7.2</v>
      </c>
      <c r="W20" s="33"/>
      <c r="X20" s="37"/>
      <c r="Y20" s="4">
        <f t="shared" si="3"/>
        <v>38.97</v>
      </c>
      <c r="Z20" s="33"/>
      <c r="AA20" s="37"/>
      <c r="AB20" s="32"/>
      <c r="AC20" s="37"/>
      <c r="AD20" s="33"/>
      <c r="AE20" s="37"/>
      <c r="AF20" s="4">
        <f t="shared" si="4"/>
        <v>0</v>
      </c>
      <c r="AG20" s="33"/>
      <c r="AH20" s="37"/>
    </row>
    <row r="21" spans="1:34" x14ac:dyDescent="0.2">
      <c r="A21" s="1" t="str" cm="1">
        <f t="array" ref="A21">IF(J21="","",IF(Q21&lt;&gt;"",SUMPRODUCT((Q$3:Q$22&lt;&gt;"")*(H$3:H$22=H21)*(K$3:K$22&gt;K21)*(J$3:J$22="P"))+1,IF(P21&lt;&gt;"",SUMPRODUCT((P$3:P$22&lt;&gt;"")*(Q$3:Q$22="")*(H$3:H$22=H21)*(K$3:K$22&gt;K21)*(J$3:J$22="P"))+SUMPRODUCT((Q$3:Q$22&lt;&gt;"")*(H$3:H$22=H21)*(J$3:J$22="P"))+1,IF(O21&lt;&gt;"",SUMPRODUCT((O$3:O$22&lt;&gt;"")*(H$3:H$22=H21)*(K$3:K$22&gt;K21)*(J$3:J$22="P"))+1,IF(N21="P",SUMPRODUCT((P$3:P$22&lt;&gt;"")*(Q$3:Q$22="")*(H$3:H$22=H21)*(J$3:J$22="P"))+SUMPRODUCT((Q$3:Q$22&lt;&gt;"")*(H$3:H$22=H21)*(J$3:J$22="P"))+SUMPRODUCT((O$3:O$22&lt;&gt;"")*(H$3:H$22=H21)*(J$3:J$22="P"))+SUMPRODUCT((Q$3:Q$22="")*(P$3:P$22="")*(O$3:O$22="")*(N$3:N$22="P")*(H$3:H$22=H21)*(K$3:K$22&gt;K21)*(J$3:J$22="P"))+IF(I21="L5",SUMPRODUCT((Q$3:Q$22="")*(P$3:P$22="")*(O$3:O$22="")*(N$3:N$22="P")*(H$3:H$22=H21)*(K$3:K$22&lt;K21)*(I$3:I$22&lt;&gt;I21)*(J$3:J$22="P")),-1*SUMPRODUCT((Q$3:Q$22="")*(P$3:P$22="")*(O$3:O$22="")*(N$3:N$22="P")*(H$3:H$22=H21)*(K$3:K$22&gt;K21)*(I$3:I$22="L5")*(J$3:J$22="P")))+1,"")))))</f>
        <v/>
      </c>
      <c r="B21" s="1" t="str" cm="1">
        <f t="array" ref="B21">IF(Q21&lt;&gt;"",SUMPRODUCT((Q$3:Q$22&lt;&gt;"")*(H$3:H$22=H21)*(K$3:K$22&gt;K21))+1,IF(P21&lt;&gt;"",SUMPRODUCT((P$3:P$22&lt;&gt;"")*(Q$3:Q$22="")*(H$3:H$22=H21)*(K$3:K$22&gt;K21))+SUMPRODUCT((Q$3:Q$22&lt;&gt;"")*(H$3:H$22=H21))+1,IF(O21&lt;&gt;"",SUMPRODUCT((O$3:O$22&lt;&gt;"")*(H$3:H$22=H21)*(K$3:K$22&gt;K21))+1,IF(N21="P",SUMPRODUCT((P$3:P$22&lt;&gt;"")*(Q$3:Q$22="")*(H$3:H$22=H21))+SUMPRODUCT((Q$3:Q$22&lt;&gt;"")*(H$3:H$22=H21))+SUMPRODUCT((O$3:O$22&lt;&gt;"")*(H$3:H$22=H21))+SUMPRODUCT((Q$3:Q$22="")*(P$3:P$22="")*(O$3:O$22="")*(N$3:N$22="P")*(H$3:H$22=H21)*(K$3:K$22&gt;K21))+IF(I21="L5",SUMPRODUCT((Q$3:Q$22="")*(P$3:P$22="")*(O$3:O$22="")*(N$3:N$22="P")*(H$3:H$22=H21)*(K$3:K$22&lt;K21)*(I$3:I$22&lt;&gt;I21)),-1*SUMPRODUCT((Q$3:Q$22="")*(P$3:P$22="")*(O$3:O$22="")*(N$3:N$22="P")*(H$3:H$22=H21)*(K$3:K$22&gt;K21)*(I$3:I$22="L5")))+1,""))))</f>
        <v/>
      </c>
      <c r="C21" s="35" t="s">
        <v>355</v>
      </c>
      <c r="D21" s="35" t="str">
        <f>IF(E21="","",VLOOKUP(E21,'Coaching Points'!A:B,2,0)&amp;"/"&amp;VLOOKUP(F21,'Coaching Points'!A:B,2,0))</f>
        <v>AB/AB</v>
      </c>
      <c r="E21" s="35" t="s">
        <v>39</v>
      </c>
      <c r="F21" s="35" t="s">
        <v>39</v>
      </c>
      <c r="G21" s="34">
        <v>2010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13-14</v>
      </c>
      <c r="I21" s="36" t="s">
        <v>64</v>
      </c>
      <c r="J21" s="40"/>
      <c r="K21" s="4">
        <f t="shared" si="0"/>
        <v>42.63</v>
      </c>
      <c r="L21" s="3" t="str">
        <f>IF(H21="Not Age Eligible","",IF(MAX(U21,W21,Z21,AB21,AD21,AG21)&gt;=LOOKUP(H21,'Qualifying Scores'!$A$4:$A$7,'Qualifying Scores'!$E$4:$E$7),"P",""))</f>
        <v>P</v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 t="shared" si="1"/>
        <v/>
      </c>
      <c r="S21" s="4">
        <f t="shared" si="2"/>
        <v>42.63</v>
      </c>
      <c r="T21" s="4">
        <f>LARGE(CHOOSE({1,2,3,4,5,6},U21,W21,Z21,AB21,AD21,AG21),2)</f>
        <v>41.8</v>
      </c>
      <c r="U21" s="32">
        <v>41.8</v>
      </c>
      <c r="V21" s="37">
        <v>7</v>
      </c>
      <c r="W21" s="33"/>
      <c r="X21" s="37"/>
      <c r="Y21" s="4">
        <f t="shared" si="3"/>
        <v>41.8</v>
      </c>
      <c r="Z21" s="33">
        <v>42.63</v>
      </c>
      <c r="AA21" s="37">
        <v>7</v>
      </c>
      <c r="AB21" s="32"/>
      <c r="AC21" s="37"/>
      <c r="AD21" s="33"/>
      <c r="AE21" s="37"/>
      <c r="AF21" s="4">
        <f t="shared" si="4"/>
        <v>0</v>
      </c>
      <c r="AG21" s="33"/>
      <c r="AH21" s="37"/>
    </row>
    <row r="22" spans="1:34" x14ac:dyDescent="0.2">
      <c r="B22" s="1"/>
      <c r="H22" s="1"/>
      <c r="I22" s="36"/>
      <c r="J22" s="40"/>
      <c r="K22" s="4"/>
      <c r="L22" s="3"/>
      <c r="M22" s="3"/>
      <c r="S22" s="4"/>
      <c r="T22" s="4"/>
      <c r="U22" s="32"/>
      <c r="V22" s="37"/>
      <c r="W22" s="33"/>
      <c r="X22" s="37"/>
      <c r="Y22" s="4"/>
      <c r="Z22" s="33"/>
      <c r="AA22" s="37"/>
      <c r="AB22" s="32"/>
      <c r="AC22" s="37"/>
      <c r="AD22" s="33"/>
      <c r="AE22" s="37"/>
      <c r="AF22" s="4"/>
      <c r="AG22" s="33"/>
      <c r="AH22" s="37"/>
    </row>
    <row r="23" spans="1:34" x14ac:dyDescent="0.2">
      <c r="B23" s="1"/>
      <c r="H23" s="1"/>
      <c r="I23" s="36"/>
      <c r="J23" s="40"/>
      <c r="K23" s="4"/>
      <c r="L23" s="3"/>
      <c r="M23" s="3"/>
      <c r="S23" s="4"/>
      <c r="T23" s="4"/>
      <c r="U23" s="32"/>
      <c r="V23" s="37"/>
      <c r="W23" s="33"/>
      <c r="X23" s="37"/>
      <c r="Y23" s="4"/>
      <c r="Z23" s="33"/>
      <c r="AA23" s="37"/>
      <c r="AB23" s="32"/>
      <c r="AC23" s="37"/>
      <c r="AD23" s="33"/>
      <c r="AE23" s="37"/>
      <c r="AF23" s="4"/>
      <c r="AG23" s="33"/>
      <c r="AH23" s="37"/>
    </row>
    <row r="24" spans="1:34" x14ac:dyDescent="0.2">
      <c r="B24" s="1"/>
      <c r="H24" s="1"/>
      <c r="I24" s="36"/>
      <c r="J24" s="40"/>
      <c r="K24" s="4"/>
      <c r="L24" s="3"/>
      <c r="M24" s="3"/>
      <c r="S24" s="4"/>
      <c r="T24" s="4"/>
      <c r="U24" s="32"/>
      <c r="V24" s="37"/>
      <c r="W24" s="33"/>
      <c r="X24" s="37"/>
      <c r="Y24" s="4"/>
      <c r="Z24" s="33"/>
      <c r="AA24" s="37"/>
      <c r="AB24" s="32"/>
      <c r="AC24" s="37"/>
      <c r="AD24" s="33"/>
      <c r="AE24" s="37"/>
      <c r="AF24" s="4"/>
      <c r="AG24" s="33"/>
      <c r="AH24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21">
      <sortCondition descending="1" ref="H1:H22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R2 U1:XFD2 A3:XFD1048576">
    <cfRule type="expression" dxfId="35" priority="13">
      <formula>IF($H1="17-21",1,0)</formula>
    </cfRule>
    <cfRule type="expression" dxfId="34" priority="14">
      <formula>IF($H1="15-16",1,0)</formula>
    </cfRule>
    <cfRule type="expression" dxfId="33" priority="15">
      <formula>IF($H1="13-14",1,0)</formula>
    </cfRule>
    <cfRule type="expression" dxfId="32" priority="16">
      <formula>IF($H1="11-12",1,0)</formula>
    </cfRule>
  </conditionalFormatting>
  <conditionalFormatting sqref="S1:T2">
    <cfRule type="expression" dxfId="31" priority="5">
      <formula>IF($H1="17-21",1,0)</formula>
    </cfRule>
    <cfRule type="expression" dxfId="30" priority="6">
      <formula>IF($H1="15-16",1,0)</formula>
    </cfRule>
    <cfRule type="expression" dxfId="29" priority="7">
      <formula>IF($H1="13-14",1,0)</formula>
    </cfRule>
    <cfRule type="expression" dxfId="28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F79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5" bestFit="1" customWidth="1"/>
    <col min="4" max="4" width="8.6640625" style="35" bestFit="1" customWidth="1"/>
    <col min="5" max="5" width="18.83203125" style="35" bestFit="1" customWidth="1"/>
    <col min="6" max="6" width="5.33203125" style="34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x14ac:dyDescent="0.2">
      <c r="A1" s="66" t="s">
        <v>162</v>
      </c>
      <c r="B1" s="66" t="s">
        <v>161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160</v>
      </c>
      <c r="R1" s="66" t="s">
        <v>390</v>
      </c>
      <c r="S1" s="66" t="s">
        <v>391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388</v>
      </c>
      <c r="W2" s="7" t="s">
        <v>6</v>
      </c>
      <c r="X2" s="7" t="s">
        <v>8</v>
      </c>
      <c r="Y2" s="7" t="s">
        <v>389</v>
      </c>
      <c r="Z2" s="8" t="s">
        <v>52</v>
      </c>
      <c r="AA2" s="7" t="s">
        <v>53</v>
      </c>
      <c r="AB2" s="7" t="s">
        <v>388</v>
      </c>
      <c r="AC2" s="7" t="s">
        <v>6</v>
      </c>
      <c r="AD2" s="7" t="s">
        <v>8</v>
      </c>
      <c r="AE2" s="7" t="s">
        <v>389</v>
      </c>
      <c r="AF2" s="8"/>
    </row>
    <row r="3" spans="1:32" ht="17" thickTop="1" x14ac:dyDescent="0.2">
      <c r="A3" s="1" t="str" cm="1">
        <f t="array" ref="A3">IF(I3="","",IF(P3&lt;&gt;"",SUMPRODUCT((P$3:P$57&lt;&gt;"")*(G$3:G$57=G3)*(J$3:J$57&gt;J3)*(I$3:I$57="P"))+1,IF(O3&lt;&gt;"",SUMPRODUCT((O$3:O$57&lt;&gt;"")*(P$3:P$57="")*(G$3:G$57=G3)*(J$3:J$57&gt;J3)*(I$3:I$57="P"))+SUMPRODUCT((P$3:P$57&lt;&gt;"")*(G$3:G$57=G3)*(I$3:I$57="P"))+1,IF(N3&lt;&gt;"",SUMPRODUCT((N$3:N$57&lt;&gt;"")*(G$3:G$57=G3)*(J$3:J$57&gt;J3)*(I$3:I$57="P"))+1,IF(M3="P",SUMPRODUCT((O$3:O$57&lt;&gt;"")*(P$3:P$57="")*(G$3:G$57=G3)*(I$3:I$57="P"))+SUMPRODUCT((P$3:P$57&lt;&gt;"")*(G$3:G$57=G3)*(I$3:I$57="P"))+SUMPRODUCT((N$3:N$57&lt;&gt;"")*(G$3:G$57=G3)*(I$3:I$57="P"))+SUMPRODUCT((P$3:P$57="")*(O$3:O$57="")*(N$3:N$57="")*(M$3:M$57="P")*(G$3:G$57=G3)*(J$3:J$57&gt;J3)*(I$3:I$57="P"))+IF(H3="L5",SUMPRODUCT((P$3:P$57="")*(O$3:O$57="")*(N$3:N$57="")*(M$3:M$57="P")*(G$3:G$57=G3)*(J$3:J$57&lt;J3)*(H$3:H$57&lt;&gt;H3)*(I$3:I$57="P")),-1*SUMPRODUCT((P$3:P$57="")*(O$3:O$57="")*(N$3:N$57="")*(M$3:M$57="P")*(G$3:G$57=G3)*(J$3:J$57&gt;J3)*(H$3:H$57="L5")*(I$3:I$57="P")))+1,"")))))</f>
        <v/>
      </c>
      <c r="B3" s="1" cm="1">
        <f t="array" ref="B3">IF(P3&lt;&gt;"",SUMPRODUCT((P$3:P$57&lt;&gt;"")*(G$3:G$57=G3)*(J$3:J$57&gt;J3))+1,IF(O3&lt;&gt;"",SUMPRODUCT((O$3:O$57&lt;&gt;"")*(P$3:P$57="")*(G$3:G$57=G3)*(J$3:J$57&gt;J3))+SUMPRODUCT((P$3:P$57&lt;&gt;"")*(G$3:G$57=G3))+1,IF(N3&lt;&gt;"",SUMPRODUCT((N$3:N$57&lt;&gt;"")*(G$3:G$57=G3)*(J$3:J$57&gt;J3))+1,IF(M3="P",SUMPRODUCT((O$3:O$57&lt;&gt;"")*(P$3:P$57="")*(G$3:G$57=G3))+SUMPRODUCT((P$3:P$57&lt;&gt;"")*(G$3:G$57=G3))+SUMPRODUCT((N$3:N$57&lt;&gt;"")*(G$3:G$57=G3))+SUMPRODUCT((P$3:P$57="")*(O$3:O$57="")*(N$3:N$57="")*(M$3:M$57="P")*(G$3:G$57=G3)*(J$3:J$57&gt;J3))+IF(H3="L5",SUMPRODUCT((P$3:P$57="")*(O$3:O$57="")*(N$3:N$57="")*(M$3:M$57="P")*(G$3:G$57=G3)*(J$3:J$57&lt;J3)*(H$3:H$57&lt;&gt;H3)),-1*SUMPRODUCT((P$3:P$57="")*(O$3:O$57="")*(N$3:N$57="")*(M$3:M$57="P")*(G$3:G$57=G3)*(J$3:J$57&gt;J3)*(H$3:H$57="L5")))+1,""))))</f>
        <v>1</v>
      </c>
      <c r="C3" s="35" t="s">
        <v>175</v>
      </c>
      <c r="D3" s="35" t="str">
        <f>IF(E3="","",VLOOKUP(E3,'Coaching Points'!A:B,2,0))</f>
        <v>BC</v>
      </c>
      <c r="E3" s="35" t="s">
        <v>59</v>
      </c>
      <c r="F3" s="34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72</v>
      </c>
      <c r="I3" s="40"/>
      <c r="J3" s="4">
        <f t="shared" ref="J3:J34" si="0">R3+IF(OR(H3="Junior",H3="Senior"),0.0002,IF(OR(H3="L7",H3="L6"),0.0001,0))+MAX(Z3,AC3)*0.0000001</f>
        <v>57.900199999999998</v>
      </c>
      <c r="K3" s="3" t="str">
        <f>IF(G3="Not Age Eligible","",IF(MAX(T3,W3,Z3,AC3)&gt;=LOOKUP(G3,'Qualifying Scores'!$A$4:$A$7,'Qualifying Scores'!$F$4:$F$7),"P",""))</f>
        <v>P</v>
      </c>
      <c r="L3" s="3" t="str">
        <f>IF(G3="Not Age Eligible","",IF(MAX(U3,X3,AA3,AD3)&gt;=LOOKUP(G3,'Qualifying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Scores'!$F$10:$F$13)),AND(Z3&gt;=LOOKUP(G3,'Qualifying Scores'!$A$4:$A$7,'Qualifying Scores'!$F$4:$F$7),AA3&gt;=LOOKUP(G3,'Qualifying Scores'!$A$10:$A$13,'Qualifying Scores'!$F$10:$F$13)),AND(W3&gt;=LOOKUP(G3,'Qualifying Scores'!$A$4:$A$7,'Qualifying Scores'!$F$4:$F$7),X3&gt;=LOOKUP(G3,'Qualifying Scores'!$A$10:$A$13,'Qualifying Scores'!$F$10:$F$13)),AND(AC3&gt;=LOOKUP(G3,'Qualifying Scores'!$A$4:$A$7,'Qualifying Scores'!$F$4:$F$7),AD3&gt;=LOOKUP(G3,'Qualifying Scores'!$A$10:$A$13,'Qualifying Scores'!$F$10:$F$13))),"P",""))</f>
        <v>P</v>
      </c>
      <c r="P3" s="36">
        <v>1</v>
      </c>
      <c r="Q3" s="1" t="str">
        <f t="shared" ref="Q3:Q34" si="1">IF(A3&lt;5,IF(_xlfn.MAXIFS(A:A,G:G,G3)&gt;3,5-A3,_xlfn.MAXIFS(A:A,G:G,G3)+1-A3),"")</f>
        <v/>
      </c>
      <c r="R3" s="4">
        <f t="shared" ref="R3:R34" si="2">MAX(T3-V3,W3-Y3,Z3-AB3,AC3-AE3)</f>
        <v>57.9</v>
      </c>
      <c r="S3" s="4">
        <f t="shared" ref="S3:S34" si="3">IF(R3=T3-V3,MAX(W3-Y3,Z3-AB3,AC3-AE3),IF(R3=W3-Y3,MAX(T3-V3,Z3-AB3,AC3-AE3),IF(R3=Z3-AB3,MAX(T3-V3,W3-Y3,AC3-AE3),IF(R3=AC3-AE3,MAX(T3-V3,W3-Y3,Z3-AB3),0))))</f>
        <v>56.699999999999996</v>
      </c>
      <c r="T3" s="32">
        <v>57.9</v>
      </c>
      <c r="U3" s="37">
        <v>20.8</v>
      </c>
      <c r="V3" s="37">
        <v>1.2</v>
      </c>
      <c r="W3" s="33">
        <v>59.1</v>
      </c>
      <c r="X3" s="37">
        <v>20.8</v>
      </c>
      <c r="Y3" s="37">
        <v>1.2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$57&lt;&gt;"")*(G$3:G$57=G4)*(J$3:J$57&gt;J4)*(I$3:I$57="P"))+1,IF(O4&lt;&gt;"",SUMPRODUCT((O$3:O$57&lt;&gt;"")*(P$3:P$57="")*(G$3:G$57=G4)*(J$3:J$57&gt;J4)*(I$3:I$57="P"))+SUMPRODUCT((P$3:P$57&lt;&gt;"")*(G$3:G$57=G4)*(I$3:I$57="P"))+1,IF(N4&lt;&gt;"",SUMPRODUCT((N$3:N$57&lt;&gt;"")*(G$3:G$57=G4)*(J$3:J$57&gt;J4)*(I$3:I$57="P"))+1,IF(M4="P",SUMPRODUCT((O$3:O$57&lt;&gt;"")*(P$3:P$57="")*(G$3:G$57=G4)*(I$3:I$57="P"))+SUMPRODUCT((P$3:P$57&lt;&gt;"")*(G$3:G$57=G4)*(I$3:I$57="P"))+SUMPRODUCT((N$3:N$57&lt;&gt;"")*(G$3:G$57=G4)*(I$3:I$57="P"))+SUMPRODUCT((P$3:P$57="")*(O$3:O$57="")*(N$3:N$57="")*(M$3:M$57="P")*(G$3:G$57=G4)*(J$3:J$57&gt;J4)*(I$3:I$57="P"))+IF(H4="L5",SUMPRODUCT((P$3:P$57="")*(O$3:O$57="")*(N$3:N$57="")*(M$3:M$57="P")*(G$3:G$57=G4)*(J$3:J$57&lt;J4)*(H$3:H$57&lt;&gt;H4)*(I$3:I$57="P")),-1*SUMPRODUCT((P$3:P$57="")*(O$3:O$57="")*(N$3:N$57="")*(M$3:M$57="P")*(G$3:G$57=G4)*(J$3:J$57&gt;J4)*(H$3:H$57="L5")*(I$3:I$57="P")))+1,"")))))</f>
        <v/>
      </c>
      <c r="B4" s="1" cm="1">
        <f t="array" ref="B4">IF(P4&lt;&gt;"",SUMPRODUCT((P$3:P$57&lt;&gt;"")*(G$3:G$57=G4)*(J$3:J$57&gt;J4))+1,IF(O4&lt;&gt;"",SUMPRODUCT((O$3:O$57&lt;&gt;"")*(P$3:P$57="")*(G$3:G$57=G4)*(J$3:J$57&gt;J4))+SUMPRODUCT((P$3:P$57&lt;&gt;"")*(G$3:G$57=G4))+1,IF(N4&lt;&gt;"",SUMPRODUCT((N$3:N$57&lt;&gt;"")*(G$3:G$57=G4)*(J$3:J$57&gt;J4))+1,IF(M4="P",SUMPRODUCT((O$3:O$57&lt;&gt;"")*(P$3:P$57="")*(G$3:G$57=G4))+SUMPRODUCT((P$3:P$57&lt;&gt;"")*(G$3:G$57=G4))+SUMPRODUCT((N$3:N$57&lt;&gt;"")*(G$3:G$57=G4))+SUMPRODUCT((P$3:P$57="")*(O$3:O$57="")*(N$3:N$57="")*(M$3:M$57="P")*(G$3:G$57=G4)*(J$3:J$57&gt;J4))+IF(H4="L5",SUMPRODUCT((P$3:P$57="")*(O$3:O$57="")*(N$3:N$57="")*(M$3:M$57="P")*(G$3:G$57=G4)*(J$3:J$57&lt;J4)*(H$3:H$57&lt;&gt;H4)),-1*SUMPRODUCT((P$3:P$57="")*(O$3:O$57="")*(N$3:N$57="")*(M$3:M$57="P")*(G$3:G$57=G4)*(J$3:J$57&gt;J4)*(H$3:H$57="L5")))+1,""))))</f>
        <v>2</v>
      </c>
      <c r="C4" s="35" t="s">
        <v>80</v>
      </c>
      <c r="D4" s="35" t="str">
        <f>IF(E4="","",VLOOKUP(E4,'Coaching Points'!A:B,2,0))</f>
        <v>BC</v>
      </c>
      <c r="E4" s="35" t="s">
        <v>70</v>
      </c>
      <c r="F4" s="34">
        <v>2007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72</v>
      </c>
      <c r="I4" s="40"/>
      <c r="J4" s="4">
        <f t="shared" si="0"/>
        <v>52.400199999999998</v>
      </c>
      <c r="K4" s="3" t="str">
        <f>IF(G4="Not Age Eligible","",IF(MAX(T4,W4,Z4,AC4)&gt;=LOOKUP(G4,'Qualifying Scores'!$A$4:$A$7,'Qualifying Scores'!$F$4:$F$7),"P",""))</f>
        <v>P</v>
      </c>
      <c r="L4" s="3" t="str">
        <f>IF(G4="Not Age Eligible","",IF(MAX(U4,X4,AA4,AD4)&gt;=LOOKUP(G4,'Qualifying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Scores'!$F$10:$F$13)),AND(Z4&gt;=LOOKUP(G4,'Qualifying Scores'!$A$4:$A$7,'Qualifying Scores'!$F$4:$F$7),AA4&gt;=LOOKUP(G4,'Qualifying Scores'!$A$10:$A$13,'Qualifying Scores'!$F$10:$F$13)),AND(W4&gt;=LOOKUP(G4,'Qualifying Scores'!$A$4:$A$7,'Qualifying Scores'!$F$4:$F$7),X4&gt;=LOOKUP(G4,'Qualifying Scores'!$A$10:$A$13,'Qualifying Scores'!$F$10:$F$13)),AND(AC4&gt;=LOOKUP(G4,'Qualifying Scores'!$A$4:$A$7,'Qualifying Scores'!$F$4:$F$7),AD4&gt;=LOOKUP(G4,'Qualifying Scores'!$A$10:$A$13,'Qualifying Scores'!$F$10:$F$13))),"P",""))</f>
        <v>P</v>
      </c>
      <c r="P4" s="36">
        <v>7</v>
      </c>
      <c r="Q4" s="1" t="str">
        <f t="shared" si="1"/>
        <v/>
      </c>
      <c r="R4" s="4">
        <f t="shared" si="2"/>
        <v>52.4</v>
      </c>
      <c r="S4" s="4">
        <f t="shared" si="3"/>
        <v>50.1</v>
      </c>
      <c r="T4" s="32">
        <v>50.1</v>
      </c>
      <c r="U4" s="37">
        <v>14.4</v>
      </c>
      <c r="V4" s="37">
        <v>0</v>
      </c>
      <c r="W4" s="33">
        <v>52.4</v>
      </c>
      <c r="X4" s="37">
        <v>15.600000000000001</v>
      </c>
      <c r="Y4" s="37">
        <v>0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$57&lt;&gt;"")*(G$3:G$57=G5)*(J$3:J$57&gt;J5)*(I$3:I$57="P"))+1,IF(O5&lt;&gt;"",SUMPRODUCT((O$3:O$57&lt;&gt;"")*(P$3:P$57="")*(G$3:G$57=G5)*(J$3:J$57&gt;J5)*(I$3:I$57="P"))+SUMPRODUCT((P$3:P$57&lt;&gt;"")*(G$3:G$57=G5)*(I$3:I$57="P"))+1,IF(N5&lt;&gt;"",SUMPRODUCT((N$3:N$57&lt;&gt;"")*(G$3:G$57=G5)*(J$3:J$57&gt;J5)*(I$3:I$57="P"))+1,IF(M5="P",SUMPRODUCT((O$3:O$57&lt;&gt;"")*(P$3:P$57="")*(G$3:G$57=G5)*(I$3:I$57="P"))+SUMPRODUCT((P$3:P$57&lt;&gt;"")*(G$3:G$57=G5)*(I$3:I$57="P"))+SUMPRODUCT((N$3:N$57&lt;&gt;"")*(G$3:G$57=G5)*(I$3:I$57="P"))+SUMPRODUCT((P$3:P$57="")*(O$3:O$57="")*(N$3:N$57="")*(M$3:M$57="P")*(G$3:G$57=G5)*(J$3:J$57&gt;J5)*(I$3:I$57="P"))+IF(H5="L5",SUMPRODUCT((P$3:P$57="")*(O$3:O$57="")*(N$3:N$57="")*(M$3:M$57="P")*(G$3:G$57=G5)*(J$3:J$57&lt;J5)*(H$3:H$57&lt;&gt;H5)*(I$3:I$57="P")),-1*SUMPRODUCT((P$3:P$57="")*(O$3:O$57="")*(N$3:N$57="")*(M$3:M$57="P")*(G$3:G$57=G5)*(J$3:J$57&gt;J5)*(H$3:H$57="L5")*(I$3:I$57="P")))+1,"")))))</f>
        <v/>
      </c>
      <c r="B5" s="1" cm="1">
        <f t="array" ref="B5">IF(P5&lt;&gt;"",SUMPRODUCT((P$3:P$57&lt;&gt;"")*(G$3:G$57=G5)*(J$3:J$57&gt;J5))+1,IF(O5&lt;&gt;"",SUMPRODUCT((O$3:O$57&lt;&gt;"")*(P$3:P$57="")*(G$3:G$57=G5)*(J$3:J$57&gt;J5))+SUMPRODUCT((P$3:P$57&lt;&gt;"")*(G$3:G$57=G5))+1,IF(N5&lt;&gt;"",SUMPRODUCT((N$3:N$57&lt;&gt;"")*(G$3:G$57=G5)*(J$3:J$57&gt;J5))+1,IF(M5="P",SUMPRODUCT((O$3:O$57&lt;&gt;"")*(P$3:P$57="")*(G$3:G$57=G5))+SUMPRODUCT((P$3:P$57&lt;&gt;"")*(G$3:G$57=G5))+SUMPRODUCT((N$3:N$57&lt;&gt;"")*(G$3:G$57=G5))+SUMPRODUCT((P$3:P$57="")*(O$3:O$57="")*(N$3:N$57="")*(M$3:M$57="P")*(G$3:G$57=G5)*(J$3:J$57&gt;J5))+IF(H5="L5",SUMPRODUCT((P$3:P$57="")*(O$3:O$57="")*(N$3:N$57="")*(M$3:M$57="P")*(G$3:G$57=G5)*(J$3:J$57&lt;J5)*(H$3:H$57&lt;&gt;H5)),-1*SUMPRODUCT((P$3:P$57="")*(O$3:O$57="")*(N$3:N$57="")*(M$3:M$57="P")*(G$3:G$57=G5)*(J$3:J$57&gt;J5)*(H$3:H$57="L5")))+1,""))))</f>
        <v>3</v>
      </c>
      <c r="C5" s="35" t="s">
        <v>136</v>
      </c>
      <c r="D5" s="35" t="str">
        <f>IF(E5="","",VLOOKUP(E5,'Coaching Points'!A:B,2,0))</f>
        <v>AB</v>
      </c>
      <c r="E5" s="35" t="s">
        <v>62</v>
      </c>
      <c r="F5" s="34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72</v>
      </c>
      <c r="I5" s="40"/>
      <c r="J5" s="4">
        <f t="shared" si="0"/>
        <v>52.200200000000002</v>
      </c>
      <c r="K5" s="3" t="str">
        <f>IF(G5="Not Age Eligible","",IF(MAX(T5,W5,Z5,AC5)&gt;=LOOKUP(G5,'Qualifying Scores'!$A$4:$A$7,'Qualifying Scores'!$F$4:$F$7),"P",""))</f>
        <v>P</v>
      </c>
      <c r="L5" s="3" t="str">
        <f>IF(G5="Not Age Eligible","",IF(MAX(U5,X5,AA5,AD5)&gt;=LOOKUP(G5,'Qualifying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Scores'!$F$10:$F$13)),AND(Z5&gt;=LOOKUP(G5,'Qualifying Scores'!$A$4:$A$7,'Qualifying Scores'!$F$4:$F$7),AA5&gt;=LOOKUP(G5,'Qualifying Scores'!$A$10:$A$13,'Qualifying Scores'!$F$10:$F$13)),AND(W5&gt;=LOOKUP(G5,'Qualifying Scores'!$A$4:$A$7,'Qualifying Scores'!$F$4:$F$7),X5&gt;=LOOKUP(G5,'Qualifying Scores'!$A$10:$A$13,'Qualifying Scores'!$F$10:$F$13)),AND(AC5&gt;=LOOKUP(G5,'Qualifying Scores'!$A$4:$A$7,'Qualifying Scores'!$F$4:$F$7),AD5&gt;=LOOKUP(G5,'Qualifying Scores'!$A$10:$A$13,'Qualifying Scores'!$F$10:$F$13))),"P",""))</f>
        <v>P</v>
      </c>
      <c r="P5" s="36">
        <v>2</v>
      </c>
      <c r="Q5" s="1" t="str">
        <f t="shared" si="1"/>
        <v/>
      </c>
      <c r="R5" s="4">
        <f t="shared" si="2"/>
        <v>52.2</v>
      </c>
      <c r="S5" s="4">
        <f t="shared" si="3"/>
        <v>0</v>
      </c>
      <c r="T5" s="32">
        <v>52.2</v>
      </c>
      <c r="U5" s="37">
        <v>15.2</v>
      </c>
      <c r="V5" s="37">
        <v>0</v>
      </c>
      <c r="W5" s="33"/>
      <c r="X5" s="37"/>
      <c r="Y5" s="37"/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$57&lt;&gt;"")*(G$3:G$57=G6)*(J$3:J$57&gt;J6)*(I$3:I$57="P"))+1,IF(O6&lt;&gt;"",SUMPRODUCT((O$3:O$57&lt;&gt;"")*(P$3:P$57="")*(G$3:G$57=G6)*(J$3:J$57&gt;J6)*(I$3:I$57="P"))+SUMPRODUCT((P$3:P$57&lt;&gt;"")*(G$3:G$57=G6)*(I$3:I$57="P"))+1,IF(N6&lt;&gt;"",SUMPRODUCT((N$3:N$57&lt;&gt;"")*(G$3:G$57=G6)*(J$3:J$57&gt;J6)*(I$3:I$57="P"))+1,IF(M6="P",SUMPRODUCT((O$3:O$57&lt;&gt;"")*(P$3:P$57="")*(G$3:G$57=G6)*(I$3:I$57="P"))+SUMPRODUCT((P$3:P$57&lt;&gt;"")*(G$3:G$57=G6)*(I$3:I$57="P"))+SUMPRODUCT((N$3:N$57&lt;&gt;"")*(G$3:G$57=G6)*(I$3:I$57="P"))+SUMPRODUCT((P$3:P$57="")*(O$3:O$57="")*(N$3:N$57="")*(M$3:M$57="P")*(G$3:G$57=G6)*(J$3:J$57&gt;J6)*(I$3:I$57="P"))+IF(H6="L5",SUMPRODUCT((P$3:P$57="")*(O$3:O$57="")*(N$3:N$57="")*(M$3:M$57="P")*(G$3:G$57=G6)*(J$3:J$57&lt;J6)*(H$3:H$57&lt;&gt;H6)*(I$3:I$57="P")),-1*SUMPRODUCT((P$3:P$57="")*(O$3:O$57="")*(N$3:N$57="")*(M$3:M$57="P")*(G$3:G$57=G6)*(J$3:J$57&gt;J6)*(H$3:H$57="L5")*(I$3:I$57="P")))+1,"")))))</f>
        <v/>
      </c>
      <c r="B6" s="1" cm="1">
        <f t="array" ref="B6">IF(P6&lt;&gt;"",SUMPRODUCT((P$3:P$57&lt;&gt;"")*(G$3:G$57=G6)*(J$3:J$57&gt;J6))+1,IF(O6&lt;&gt;"",SUMPRODUCT((O$3:O$57&lt;&gt;"")*(P$3:P$57="")*(G$3:G$57=G6)*(J$3:J$57&gt;J6))+SUMPRODUCT((P$3:P$57&lt;&gt;"")*(G$3:G$57=G6))+1,IF(N6&lt;&gt;"",SUMPRODUCT((N$3:N$57&lt;&gt;"")*(G$3:G$57=G6)*(J$3:J$57&gt;J6))+1,IF(M6="P",SUMPRODUCT((O$3:O$57&lt;&gt;"")*(P$3:P$57="")*(G$3:G$57=G6))+SUMPRODUCT((P$3:P$57&lt;&gt;"")*(G$3:G$57=G6))+SUMPRODUCT((N$3:N$57&lt;&gt;"")*(G$3:G$57=G6))+SUMPRODUCT((P$3:P$57="")*(O$3:O$57="")*(N$3:N$57="")*(M$3:M$57="P")*(G$3:G$57=G6)*(J$3:J$57&gt;J6))+IF(H6="L5",SUMPRODUCT((P$3:P$57="")*(O$3:O$57="")*(N$3:N$57="")*(M$3:M$57="P")*(G$3:G$57=G6)*(J$3:J$57&lt;J6)*(H$3:H$57&lt;&gt;H6)),-1*SUMPRODUCT((P$3:P$57="")*(O$3:O$57="")*(N$3:N$57="")*(M$3:M$57="P")*(G$3:G$57=G6)*(J$3:J$57&gt;J6)*(H$3:H$57="L5")))+1,""))))</f>
        <v>4</v>
      </c>
      <c r="C6" s="35" t="s">
        <v>227</v>
      </c>
      <c r="D6" s="35" t="str">
        <f>IF(E6="","",VLOOKUP(E6,'Coaching Points'!A:B,2,0))</f>
        <v>BC</v>
      </c>
      <c r="E6" s="35" t="s">
        <v>40</v>
      </c>
      <c r="F6" s="34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72</v>
      </c>
      <c r="I6" s="40"/>
      <c r="J6" s="4">
        <f t="shared" si="0"/>
        <v>51.0002</v>
      </c>
      <c r="K6" s="3" t="str">
        <f>IF(G6="Not Age Eligible","",IF(MAX(T6,W6,Z6,AC6)&gt;=LOOKUP(G6,'Qualifying Scores'!$A$4:$A$7,'Qualifying Scores'!$F$4:$F$7),"P",""))</f>
        <v>P</v>
      </c>
      <c r="L6" s="3" t="str">
        <f>IF(G6="Not Age Eligible","",IF(MAX(U6,X6,AA6,AD6)&gt;=LOOKUP(G6,'Qualifying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Scores'!$F$10:$F$13)),AND(Z6&gt;=LOOKUP(G6,'Qualifying Scores'!$A$4:$A$7,'Qualifying Scores'!$F$4:$F$7),AA6&gt;=LOOKUP(G6,'Qualifying Scores'!$A$10:$A$13,'Qualifying Scores'!$F$10:$F$13)),AND(W6&gt;=LOOKUP(G6,'Qualifying Scores'!$A$4:$A$7,'Qualifying Scores'!$F$4:$F$7),X6&gt;=LOOKUP(G6,'Qualifying Scores'!$A$10:$A$13,'Qualifying Scores'!$F$10:$F$13)),AND(AC6&gt;=LOOKUP(G6,'Qualifying Scores'!$A$4:$A$7,'Qualifying Scores'!$F$4:$F$7),AD6&gt;=LOOKUP(G6,'Qualifying Scores'!$A$10:$A$13,'Qualifying Scores'!$F$10:$F$13))),"P",""))</f>
        <v>P</v>
      </c>
      <c r="P6" s="36">
        <v>8</v>
      </c>
      <c r="Q6" s="1" t="str">
        <f t="shared" si="1"/>
        <v/>
      </c>
      <c r="R6" s="4">
        <f t="shared" si="2"/>
        <v>51</v>
      </c>
      <c r="S6" s="4">
        <f t="shared" si="3"/>
        <v>50.800000000000004</v>
      </c>
      <c r="T6" s="32">
        <v>51.1</v>
      </c>
      <c r="U6" s="37">
        <v>15</v>
      </c>
      <c r="V6" s="37">
        <v>0.3</v>
      </c>
      <c r="W6" s="33">
        <v>51.6</v>
      </c>
      <c r="X6" s="37">
        <v>17.7</v>
      </c>
      <c r="Y6" s="37">
        <v>0.6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$57&lt;&gt;"")*(G$3:G$57=G7)*(J$3:J$57&gt;J7)*(I$3:I$57="P"))+1,IF(O7&lt;&gt;"",SUMPRODUCT((O$3:O$57&lt;&gt;"")*(P$3:P$57="")*(G$3:G$57=G7)*(J$3:J$57&gt;J7)*(I$3:I$57="P"))+SUMPRODUCT((P$3:P$57&lt;&gt;"")*(G$3:G$57=G7)*(I$3:I$57="P"))+1,IF(N7&lt;&gt;"",SUMPRODUCT((N$3:N$57&lt;&gt;"")*(G$3:G$57=G7)*(J$3:J$57&gt;J7)*(I$3:I$57="P"))+1,IF(M7="P",SUMPRODUCT((O$3:O$57&lt;&gt;"")*(P$3:P$57="")*(G$3:G$57=G7)*(I$3:I$57="P"))+SUMPRODUCT((P$3:P$57&lt;&gt;"")*(G$3:G$57=G7)*(I$3:I$57="P"))+SUMPRODUCT((N$3:N$57&lt;&gt;"")*(G$3:G$57=G7)*(I$3:I$57="P"))+SUMPRODUCT((P$3:P$57="")*(O$3:O$57="")*(N$3:N$57="")*(M$3:M$57="P")*(G$3:G$57=G7)*(J$3:J$57&gt;J7)*(I$3:I$57="P"))+IF(H7="L5",SUMPRODUCT((P$3:P$57="")*(O$3:O$57="")*(N$3:N$57="")*(M$3:M$57="P")*(G$3:G$57=G7)*(J$3:J$57&lt;J7)*(H$3:H$57&lt;&gt;H7)*(I$3:I$57="P")),-1*SUMPRODUCT((P$3:P$57="")*(O$3:O$57="")*(N$3:N$57="")*(M$3:M$57="P")*(G$3:G$57=G7)*(J$3:J$57&gt;J7)*(H$3:H$57="L5")*(I$3:I$57="P")))+1,"")))))</f>
        <v/>
      </c>
      <c r="B7" s="1" cm="1">
        <f t="array" ref="B7">IF(P7&lt;&gt;"",SUMPRODUCT((P$3:P$57&lt;&gt;"")*(G$3:G$57=G7)*(J$3:J$57&gt;J7))+1,IF(O7&lt;&gt;"",SUMPRODUCT((O$3:O$57&lt;&gt;"")*(P$3:P$57="")*(G$3:G$57=G7)*(J$3:J$57&gt;J7))+SUMPRODUCT((P$3:P$57&lt;&gt;"")*(G$3:G$57=G7))+1,IF(N7&lt;&gt;"",SUMPRODUCT((N$3:N$57&lt;&gt;"")*(G$3:G$57=G7)*(J$3:J$57&gt;J7))+1,IF(M7="P",SUMPRODUCT((O$3:O$57&lt;&gt;"")*(P$3:P$57="")*(G$3:G$57=G7))+SUMPRODUCT((P$3:P$57&lt;&gt;"")*(G$3:G$57=G7))+SUMPRODUCT((N$3:N$57&lt;&gt;"")*(G$3:G$57=G7))+SUMPRODUCT((P$3:P$57="")*(O$3:O$57="")*(N$3:N$57="")*(M$3:M$57="P")*(G$3:G$57=G7)*(J$3:J$57&gt;J7))+IF(H7="L5",SUMPRODUCT((P$3:P$57="")*(O$3:O$57="")*(N$3:N$57="")*(M$3:M$57="P")*(G$3:G$57=G7)*(J$3:J$57&lt;J7)*(H$3:H$57&lt;&gt;H7)),-1*SUMPRODUCT((P$3:P$57="")*(O$3:O$57="")*(N$3:N$57="")*(M$3:M$57="P")*(G$3:G$57=G7)*(J$3:J$57&gt;J7)*(H$3:H$57="L5")))+1,""))))</f>
        <v>5</v>
      </c>
      <c r="C7" s="35" t="s">
        <v>135</v>
      </c>
      <c r="D7" s="35" t="str">
        <f>IF(E7="","",VLOOKUP(E7,'Coaching Points'!A:B,2,0))</f>
        <v>AB</v>
      </c>
      <c r="E7" s="35" t="s">
        <v>62</v>
      </c>
      <c r="F7" s="34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72</v>
      </c>
      <c r="I7" s="40"/>
      <c r="J7" s="4">
        <f t="shared" si="0"/>
        <v>49.5002</v>
      </c>
      <c r="K7" s="3" t="str">
        <f>IF(G7="Not Age Eligible","",IF(MAX(T7,W7,Z7,AC7)&gt;=LOOKUP(G7,'Qualifying Scores'!$A$4:$A$7,'Qualifying Scores'!$F$4:$F$7),"P",""))</f>
        <v>P</v>
      </c>
      <c r="L7" s="3" t="str">
        <f>IF(G7="Not Age Eligible","",IF(MAX(U7,X7,AA7,AD7)&gt;=LOOKUP(G7,'Qualifying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Scores'!$F$10:$F$13)),AND(Z7&gt;=LOOKUP(G7,'Qualifying Scores'!$A$4:$A$7,'Qualifying Scores'!$F$4:$F$7),AA7&gt;=LOOKUP(G7,'Qualifying Scores'!$A$10:$A$13,'Qualifying Scores'!$F$10:$F$13)),AND(W7&gt;=LOOKUP(G7,'Qualifying Scores'!$A$4:$A$7,'Qualifying Scores'!$F$4:$F$7),X7&gt;=LOOKUP(G7,'Qualifying Scores'!$A$10:$A$13,'Qualifying Scores'!$F$10:$F$13)),AND(AC7&gt;=LOOKUP(G7,'Qualifying Scores'!$A$4:$A$7,'Qualifying Scores'!$F$4:$F$7),AD7&gt;=LOOKUP(G7,'Qualifying Scores'!$A$10:$A$13,'Qualifying Scores'!$F$10:$F$13))),"P",""))</f>
        <v>P</v>
      </c>
      <c r="P7" s="36">
        <v>4</v>
      </c>
      <c r="Q7" s="1" t="str">
        <f t="shared" si="1"/>
        <v/>
      </c>
      <c r="R7" s="4">
        <f t="shared" si="2"/>
        <v>49.5</v>
      </c>
      <c r="S7" s="4">
        <f t="shared" si="3"/>
        <v>45.7</v>
      </c>
      <c r="T7" s="32">
        <v>46</v>
      </c>
      <c r="U7" s="37">
        <v>11.7</v>
      </c>
      <c r="V7" s="37">
        <v>0.3</v>
      </c>
      <c r="W7" s="33">
        <v>49.8</v>
      </c>
      <c r="X7" s="37">
        <v>15.2</v>
      </c>
      <c r="Y7" s="37">
        <v>0.3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$57&lt;&gt;"")*(G$3:G$57=G8)*(J$3:J$57&gt;J8)*(I$3:I$57="P"))+1,IF(O8&lt;&gt;"",SUMPRODUCT((O$3:O$57&lt;&gt;"")*(P$3:P$57="")*(G$3:G$57=G8)*(J$3:J$57&gt;J8)*(I$3:I$57="P"))+SUMPRODUCT((P$3:P$57&lt;&gt;"")*(G$3:G$57=G8)*(I$3:I$57="P"))+1,IF(N8&lt;&gt;"",SUMPRODUCT((N$3:N$57&lt;&gt;"")*(G$3:G$57=G8)*(J$3:J$57&gt;J8)*(I$3:I$57="P"))+1,IF(M8="P",SUMPRODUCT((O$3:O$57&lt;&gt;"")*(P$3:P$57="")*(G$3:G$57=G8)*(I$3:I$57="P"))+SUMPRODUCT((P$3:P$57&lt;&gt;"")*(G$3:G$57=G8)*(I$3:I$57="P"))+SUMPRODUCT((N$3:N$57&lt;&gt;"")*(G$3:G$57=G8)*(I$3:I$57="P"))+SUMPRODUCT((P$3:P$57="")*(O$3:O$57="")*(N$3:N$57="")*(M$3:M$57="P")*(G$3:G$57=G8)*(J$3:J$57&gt;J8)*(I$3:I$57="P"))+IF(H8="L5",SUMPRODUCT((P$3:P$57="")*(O$3:O$57="")*(N$3:N$57="")*(M$3:M$57="P")*(G$3:G$57=G8)*(J$3:J$57&lt;J8)*(H$3:H$57&lt;&gt;H8)*(I$3:I$57="P")),-1*SUMPRODUCT((P$3:P$57="")*(O$3:O$57="")*(N$3:N$57="")*(M$3:M$57="P")*(G$3:G$57=G8)*(J$3:J$57&gt;J8)*(H$3:H$57="L5")*(I$3:I$57="P")))+1,"")))))</f>
        <v/>
      </c>
      <c r="B8" s="1" cm="1">
        <f t="array" ref="B8">IF(P8&lt;&gt;"",SUMPRODUCT((P$3:P$57&lt;&gt;"")*(G$3:G$57=G8)*(J$3:J$57&gt;J8))+1,IF(O8&lt;&gt;"",SUMPRODUCT((O$3:O$57&lt;&gt;"")*(P$3:P$57="")*(G$3:G$57=G8)*(J$3:J$57&gt;J8))+SUMPRODUCT((P$3:P$57&lt;&gt;"")*(G$3:G$57=G8))+1,IF(N8&lt;&gt;"",SUMPRODUCT((N$3:N$57&lt;&gt;"")*(G$3:G$57=G8)*(J$3:J$57&gt;J8))+1,IF(M8="P",SUMPRODUCT((O$3:O$57&lt;&gt;"")*(P$3:P$57="")*(G$3:G$57=G8))+SUMPRODUCT((P$3:P$57&lt;&gt;"")*(G$3:G$57=G8))+SUMPRODUCT((N$3:N$57&lt;&gt;"")*(G$3:G$57=G8))+SUMPRODUCT((P$3:P$57="")*(O$3:O$57="")*(N$3:N$57="")*(M$3:M$57="P")*(G$3:G$57=G8)*(J$3:J$57&gt;J8))+IF(H8="L5",SUMPRODUCT((P$3:P$57="")*(O$3:O$57="")*(N$3:N$57="")*(M$3:M$57="P")*(G$3:G$57=G8)*(J$3:J$57&lt;J8)*(H$3:H$57&lt;&gt;H8)),-1*SUMPRODUCT((P$3:P$57="")*(O$3:O$57="")*(N$3:N$57="")*(M$3:M$57="P")*(G$3:G$57=G8)*(J$3:J$57&gt;J8)*(H$3:H$57="L5")))+1,""))))</f>
        <v>6</v>
      </c>
      <c r="C8" s="35" t="s">
        <v>92</v>
      </c>
      <c r="D8" s="35" t="str">
        <f>IF(E8="","",VLOOKUP(E8,'Coaching Points'!A:B,2,0))</f>
        <v>AB</v>
      </c>
      <c r="E8" s="35" t="s">
        <v>28</v>
      </c>
      <c r="F8" s="34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72</v>
      </c>
      <c r="I8" s="40"/>
      <c r="J8" s="4">
        <f t="shared" si="0"/>
        <v>52.100200000000001</v>
      </c>
      <c r="K8" s="3" t="str">
        <f>IF(G8="Not Age Eligible","",IF(MAX(T8,W8,Z8,AC8)&gt;=LOOKUP(G8,'Qualifying Scores'!$A$4:$A$7,'Qualifying Scores'!$F$4:$F$7),"P",""))</f>
        <v>P</v>
      </c>
      <c r="L8" s="3" t="str">
        <f>IF(G8="Not Age Eligible","",IF(MAX(U8,X8,AA8,AD8)&gt;=LOOKUP(G8,'Qualifying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Scores'!$F$10:$F$13)),AND(Z8&gt;=LOOKUP(G8,'Qualifying Scores'!$A$4:$A$7,'Qualifying Scores'!$F$4:$F$7),AA8&gt;=LOOKUP(G8,'Qualifying Scores'!$A$10:$A$13,'Qualifying Scores'!$F$10:$F$13)),AND(W8&gt;=LOOKUP(G8,'Qualifying Scores'!$A$4:$A$7,'Qualifying Scores'!$F$4:$F$7),X8&gt;=LOOKUP(G8,'Qualifying Scores'!$A$10:$A$13,'Qualifying Scores'!$F$10:$F$13)),AND(AC8&gt;=LOOKUP(G8,'Qualifying Scores'!$A$4:$A$7,'Qualifying Scores'!$F$4:$F$7),AD8&gt;=LOOKUP(G8,'Qualifying Scores'!$A$10:$A$13,'Qualifying Scores'!$F$10:$F$13))),"P",""))</f>
        <v>P</v>
      </c>
      <c r="O8" s="36">
        <v>2</v>
      </c>
      <c r="Q8" s="1" t="str">
        <f t="shared" si="1"/>
        <v/>
      </c>
      <c r="R8" s="4">
        <f t="shared" si="2"/>
        <v>52.1</v>
      </c>
      <c r="S8" s="4">
        <f t="shared" si="3"/>
        <v>46.2</v>
      </c>
      <c r="T8" s="32">
        <v>52.1</v>
      </c>
      <c r="U8" s="37">
        <v>15.600000000000001</v>
      </c>
      <c r="V8" s="37">
        <v>0</v>
      </c>
      <c r="W8" s="33">
        <v>46.5</v>
      </c>
      <c r="X8" s="37">
        <v>13.5</v>
      </c>
      <c r="Y8" s="37">
        <v>0.3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$57&lt;&gt;"")*(G$3:G$57=G9)*(J$3:J$57&gt;J9)*(I$3:I$57="P"))+1,IF(O9&lt;&gt;"",SUMPRODUCT((O$3:O$57&lt;&gt;"")*(P$3:P$57="")*(G$3:G$57=G9)*(J$3:J$57&gt;J9)*(I$3:I$57="P"))+SUMPRODUCT((P$3:P$57&lt;&gt;"")*(G$3:G$57=G9)*(I$3:I$57="P"))+1,IF(N9&lt;&gt;"",SUMPRODUCT((N$3:N$57&lt;&gt;"")*(G$3:G$57=G9)*(J$3:J$57&gt;J9)*(I$3:I$57="P"))+1,IF(M9="P",SUMPRODUCT((O$3:O$57&lt;&gt;"")*(P$3:P$57="")*(G$3:G$57=G9)*(I$3:I$57="P"))+SUMPRODUCT((P$3:P$57&lt;&gt;"")*(G$3:G$57=G9)*(I$3:I$57="P"))+SUMPRODUCT((N$3:N$57&lt;&gt;"")*(G$3:G$57=G9)*(I$3:I$57="P"))+SUMPRODUCT((P$3:P$57="")*(O$3:O$57="")*(N$3:N$57="")*(M$3:M$57="P")*(G$3:G$57=G9)*(J$3:J$57&gt;J9)*(I$3:I$57="P"))+IF(H9="L5",SUMPRODUCT((P$3:P$57="")*(O$3:O$57="")*(N$3:N$57="")*(M$3:M$57="P")*(G$3:G$57=G9)*(J$3:J$57&lt;J9)*(H$3:H$57&lt;&gt;H9)*(I$3:I$57="P")),-1*SUMPRODUCT((P$3:P$57="")*(O$3:O$57="")*(N$3:N$57="")*(M$3:M$57="P")*(G$3:G$57=G9)*(J$3:J$57&gt;J9)*(H$3:H$57="L5")*(I$3:I$57="P")))+1,"")))))</f>
        <v/>
      </c>
      <c r="B9" s="1" cm="1">
        <f t="array" ref="B9">IF(P9&lt;&gt;"",SUMPRODUCT((P$3:P$57&lt;&gt;"")*(G$3:G$57=G9)*(J$3:J$57&gt;J9))+1,IF(O9&lt;&gt;"",SUMPRODUCT((O$3:O$57&lt;&gt;"")*(P$3:P$57="")*(G$3:G$57=G9)*(J$3:J$57&gt;J9))+SUMPRODUCT((P$3:P$57&lt;&gt;"")*(G$3:G$57=G9))+1,IF(N9&lt;&gt;"",SUMPRODUCT((N$3:N$57&lt;&gt;"")*(G$3:G$57=G9)*(J$3:J$57&gt;J9))+1,IF(M9="P",SUMPRODUCT((O$3:O$57&lt;&gt;"")*(P$3:P$57="")*(G$3:G$57=G9))+SUMPRODUCT((P$3:P$57&lt;&gt;"")*(G$3:G$57=G9))+SUMPRODUCT((N$3:N$57&lt;&gt;"")*(G$3:G$57=G9))+SUMPRODUCT((P$3:P$57="")*(O$3:O$57="")*(N$3:N$57="")*(M$3:M$57="P")*(G$3:G$57=G9)*(J$3:J$57&gt;J9))+IF(H9="L5",SUMPRODUCT((P$3:P$57="")*(O$3:O$57="")*(N$3:N$57="")*(M$3:M$57="P")*(G$3:G$57=G9)*(J$3:J$57&lt;J9)*(H$3:H$57&lt;&gt;H9)),-1*SUMPRODUCT((P$3:P$57="")*(O$3:O$57="")*(N$3:N$57="")*(M$3:M$57="P")*(G$3:G$57=G9)*(J$3:J$57&gt;J9)*(H$3:H$57="L5")))+1,""))))</f>
        <v>7</v>
      </c>
      <c r="C9" s="35" t="s">
        <v>195</v>
      </c>
      <c r="D9" s="35" t="str">
        <f>IF(E9="","",VLOOKUP(E9,'Coaching Points'!A:B,2,0))</f>
        <v>AB</v>
      </c>
      <c r="E9" s="35" t="s">
        <v>62</v>
      </c>
      <c r="F9" s="34">
        <v>2007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66</v>
      </c>
      <c r="I9" s="40"/>
      <c r="J9" s="4">
        <f t="shared" si="0"/>
        <v>51.700100000000006</v>
      </c>
      <c r="K9" s="3" t="str">
        <f>IF(G9="Not Age Eligible","",IF(MAX(T9,W9,Z9,AC9)&gt;=LOOKUP(G9,'Qualifying Scores'!$A$4:$A$7,'Qualifying Scores'!$F$4:$F$7),"P",""))</f>
        <v>P</v>
      </c>
      <c r="L9" s="3" t="str">
        <f>IF(G9="Not Age Eligible","",IF(MAX(U9,X9,AA9,AD9)&gt;=LOOKUP(G9,'Qualifying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Scores'!$F$10:$F$13)),AND(Z9&gt;=LOOKUP(G9,'Qualifying Scores'!$A$4:$A$7,'Qualifying Scores'!$F$4:$F$7),AA9&gt;=LOOKUP(G9,'Qualifying Scores'!$A$10:$A$13,'Qualifying Scores'!$F$10:$F$13)),AND(W9&gt;=LOOKUP(G9,'Qualifying Scores'!$A$4:$A$7,'Qualifying Scores'!$F$4:$F$7),X9&gt;=LOOKUP(G9,'Qualifying Scores'!$A$10:$A$13,'Qualifying Scores'!$F$10:$F$13)),AND(AC9&gt;=LOOKUP(G9,'Qualifying Scores'!$A$4:$A$7,'Qualifying Scores'!$F$4:$F$7),AD9&gt;=LOOKUP(G9,'Qualifying Scores'!$A$10:$A$13,'Qualifying Scores'!$F$10:$F$13))),"P",""))</f>
        <v>P</v>
      </c>
      <c r="O9" s="36">
        <v>1</v>
      </c>
      <c r="Q9" s="1" t="str">
        <f t="shared" si="1"/>
        <v/>
      </c>
      <c r="R9" s="4">
        <f t="shared" si="2"/>
        <v>51.7</v>
      </c>
      <c r="S9" s="4">
        <f t="shared" si="3"/>
        <v>50.8</v>
      </c>
      <c r="T9" s="32">
        <v>51.7</v>
      </c>
      <c r="U9" s="37">
        <v>15.600000000000001</v>
      </c>
      <c r="V9" s="37">
        <v>0</v>
      </c>
      <c r="W9" s="33">
        <v>50.8</v>
      </c>
      <c r="X9" s="37">
        <v>15.2</v>
      </c>
      <c r="Y9" s="37">
        <v>0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$57&lt;&gt;"")*(G$3:G$57=G10)*(J$3:J$57&gt;J10)*(I$3:I$57="P"))+1,IF(O10&lt;&gt;"",SUMPRODUCT((O$3:O$57&lt;&gt;"")*(P$3:P$57="")*(G$3:G$57=G10)*(J$3:J$57&gt;J10)*(I$3:I$57="P"))+SUMPRODUCT((P$3:P$57&lt;&gt;"")*(G$3:G$57=G10)*(I$3:I$57="P"))+1,IF(N10&lt;&gt;"",SUMPRODUCT((N$3:N$57&lt;&gt;"")*(G$3:G$57=G10)*(J$3:J$57&gt;J10)*(I$3:I$57="P"))+1,IF(M10="P",SUMPRODUCT((O$3:O$57&lt;&gt;"")*(P$3:P$57="")*(G$3:G$57=G10)*(I$3:I$57="P"))+SUMPRODUCT((P$3:P$57&lt;&gt;"")*(G$3:G$57=G10)*(I$3:I$57="P"))+SUMPRODUCT((N$3:N$57&lt;&gt;"")*(G$3:G$57=G10)*(I$3:I$57="P"))+SUMPRODUCT((P$3:P$57="")*(O$3:O$57="")*(N$3:N$57="")*(M$3:M$57="P")*(G$3:G$57=G10)*(J$3:J$57&gt;J10)*(I$3:I$57="P"))+IF(H10="L5",SUMPRODUCT((P$3:P$57="")*(O$3:O$57="")*(N$3:N$57="")*(M$3:M$57="P")*(G$3:G$57=G10)*(J$3:J$57&lt;J10)*(H$3:H$57&lt;&gt;H10)*(I$3:I$57="P")),-1*SUMPRODUCT((P$3:P$57="")*(O$3:O$57="")*(N$3:N$57="")*(M$3:M$57="P")*(G$3:G$57=G10)*(J$3:J$57&gt;J10)*(H$3:H$57="L5")*(I$3:I$57="P")))+1,"")))))</f>
        <v/>
      </c>
      <c r="B10" s="1" cm="1">
        <f t="array" ref="B10">IF(P10&lt;&gt;"",SUMPRODUCT((P$3:P$57&lt;&gt;"")*(G$3:G$57=G10)*(J$3:J$57&gt;J10))+1,IF(O10&lt;&gt;"",SUMPRODUCT((O$3:O$57&lt;&gt;"")*(P$3:P$57="")*(G$3:G$57=G10)*(J$3:J$57&gt;J10))+SUMPRODUCT((P$3:P$57&lt;&gt;"")*(G$3:G$57=G10))+1,IF(N10&lt;&gt;"",SUMPRODUCT((N$3:N$57&lt;&gt;"")*(G$3:G$57=G10)*(J$3:J$57&gt;J10))+1,IF(M10="P",SUMPRODUCT((O$3:O$57&lt;&gt;"")*(P$3:P$57="")*(G$3:G$57=G10))+SUMPRODUCT((P$3:P$57&lt;&gt;"")*(G$3:G$57=G10))+SUMPRODUCT((N$3:N$57&lt;&gt;"")*(G$3:G$57=G10))+SUMPRODUCT((P$3:P$57="")*(O$3:O$57="")*(N$3:N$57="")*(M$3:M$57="P")*(G$3:G$57=G10)*(J$3:J$57&gt;J10))+IF(H10="L5",SUMPRODUCT((P$3:P$57="")*(O$3:O$57="")*(N$3:N$57="")*(M$3:M$57="P")*(G$3:G$57=G10)*(J$3:J$57&lt;J10)*(H$3:H$57&lt;&gt;H10)),-1*SUMPRODUCT((P$3:P$57="")*(O$3:O$57="")*(N$3:N$57="")*(M$3:M$57="P")*(G$3:G$57=G10)*(J$3:J$57&gt;J10)*(H$3:H$57="L5")))+1,""))))</f>
        <v>8</v>
      </c>
      <c r="C10" s="35" t="s">
        <v>86</v>
      </c>
      <c r="D10" s="35" t="str">
        <f>IF(E10="","",VLOOKUP(E10,'Coaching Points'!A:B,2,0))</f>
        <v>AB</v>
      </c>
      <c r="E10" s="35" t="s">
        <v>28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72</v>
      </c>
      <c r="I10" s="40"/>
      <c r="J10" s="4">
        <f t="shared" si="0"/>
        <v>51.0002</v>
      </c>
      <c r="K10" s="3" t="str">
        <f>IF(G10="Not Age Eligible","",IF(MAX(T10,W10,Z10,AC10)&gt;=LOOKUP(G10,'Qualifying Scores'!$A$4:$A$7,'Qualifying Scores'!$F$4:$F$7),"P",""))</f>
        <v>P</v>
      </c>
      <c r="L10" s="3" t="str">
        <f>IF(G10="Not Age Eligible","",IF(MAX(U10,X10,AA10,AD10)&gt;=LOOKUP(G10,'Qualifying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Scores'!$F$10:$F$13)),AND(Z10&gt;=LOOKUP(G10,'Qualifying Scores'!$A$4:$A$7,'Qualifying Scores'!$F$4:$F$7),AA10&gt;=LOOKUP(G10,'Qualifying Scores'!$A$10:$A$13,'Qualifying Scores'!$F$10:$F$13)),AND(W10&gt;=LOOKUP(G10,'Qualifying Scores'!$A$4:$A$7,'Qualifying Scores'!$F$4:$F$7),X10&gt;=LOOKUP(G10,'Qualifying Scores'!$A$10:$A$13,'Qualifying Scores'!$F$10:$F$13)),AND(AC10&gt;=LOOKUP(G10,'Qualifying Scores'!$A$4:$A$7,'Qualifying Scores'!$F$4:$F$7),AD10&gt;=LOOKUP(G10,'Qualifying Scores'!$A$10:$A$13,'Qualifying Scores'!$F$10:$F$13))),"P",""))</f>
        <v>P</v>
      </c>
      <c r="O10" s="36">
        <v>3</v>
      </c>
      <c r="Q10" s="1" t="str">
        <f t="shared" si="1"/>
        <v/>
      </c>
      <c r="R10" s="4">
        <f t="shared" si="2"/>
        <v>51</v>
      </c>
      <c r="S10" s="4">
        <f t="shared" si="3"/>
        <v>50.1</v>
      </c>
      <c r="T10" s="32">
        <v>51</v>
      </c>
      <c r="U10" s="37">
        <v>14.8</v>
      </c>
      <c r="V10" s="37">
        <v>0</v>
      </c>
      <c r="W10" s="33">
        <v>50.4</v>
      </c>
      <c r="X10" s="37">
        <v>15.6</v>
      </c>
      <c r="Y10" s="37">
        <v>0.3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$57&lt;&gt;"")*(G$3:G$57=G11)*(J$3:J$57&gt;J11)*(I$3:I$57="P"))+1,IF(O11&lt;&gt;"",SUMPRODUCT((O$3:O$57&lt;&gt;"")*(P$3:P$57="")*(G$3:G$57=G11)*(J$3:J$57&gt;J11)*(I$3:I$57="P"))+SUMPRODUCT((P$3:P$57&lt;&gt;"")*(G$3:G$57=G11)*(I$3:I$57="P"))+1,IF(N11&lt;&gt;"",SUMPRODUCT((N$3:N$57&lt;&gt;"")*(G$3:G$57=G11)*(J$3:J$57&gt;J11)*(I$3:I$57="P"))+1,IF(M11="P",SUMPRODUCT((O$3:O$57&lt;&gt;"")*(P$3:P$57="")*(G$3:G$57=G11)*(I$3:I$57="P"))+SUMPRODUCT((P$3:P$57&lt;&gt;"")*(G$3:G$57=G11)*(I$3:I$57="P"))+SUMPRODUCT((N$3:N$57&lt;&gt;"")*(G$3:G$57=G11)*(I$3:I$57="P"))+SUMPRODUCT((P$3:P$57="")*(O$3:O$57="")*(N$3:N$57="")*(M$3:M$57="P")*(G$3:G$57=G11)*(J$3:J$57&gt;J11)*(I$3:I$57="P"))+IF(H11="L5",SUMPRODUCT((P$3:P$57="")*(O$3:O$57="")*(N$3:N$57="")*(M$3:M$57="P")*(G$3:G$57=G11)*(J$3:J$57&lt;J11)*(H$3:H$57&lt;&gt;H11)*(I$3:I$57="P")),-1*SUMPRODUCT((P$3:P$57="")*(O$3:O$57="")*(N$3:N$57="")*(M$3:M$57="P")*(G$3:G$57=G11)*(J$3:J$57&gt;J11)*(H$3:H$57="L5")*(I$3:I$57="P")))+1,"")))))</f>
        <v/>
      </c>
      <c r="B11" s="1" cm="1">
        <f t="array" ref="B11">IF(P11&lt;&gt;"",SUMPRODUCT((P$3:P$57&lt;&gt;"")*(G$3:G$57=G11)*(J$3:J$57&gt;J11))+1,IF(O11&lt;&gt;"",SUMPRODUCT((O$3:O$57&lt;&gt;"")*(P$3:P$57="")*(G$3:G$57=G11)*(J$3:J$57&gt;J11))+SUMPRODUCT((P$3:P$57&lt;&gt;"")*(G$3:G$57=G11))+1,IF(N11&lt;&gt;"",SUMPRODUCT((N$3:N$57&lt;&gt;"")*(G$3:G$57=G11)*(J$3:J$57&gt;J11))+1,IF(M11="P",SUMPRODUCT((O$3:O$57&lt;&gt;"")*(P$3:P$57="")*(G$3:G$57=G11))+SUMPRODUCT((P$3:P$57&lt;&gt;"")*(G$3:G$57=G11))+SUMPRODUCT((N$3:N$57&lt;&gt;"")*(G$3:G$57=G11))+SUMPRODUCT((P$3:P$57="")*(O$3:O$57="")*(N$3:N$57="")*(M$3:M$57="P")*(G$3:G$57=G11)*(J$3:J$57&gt;J11))+IF(H11="L5",SUMPRODUCT((P$3:P$57="")*(O$3:O$57="")*(N$3:N$57="")*(M$3:M$57="P")*(G$3:G$57=G11)*(J$3:J$57&lt;J11)*(H$3:H$57&lt;&gt;H11)),-1*SUMPRODUCT((P$3:P$57="")*(O$3:O$57="")*(N$3:N$57="")*(M$3:M$57="P")*(G$3:G$57=G11)*(J$3:J$57&gt;J11)*(H$3:H$57="L5")))+1,""))))</f>
        <v>9</v>
      </c>
      <c r="C11" s="35" t="s">
        <v>94</v>
      </c>
      <c r="D11" s="35" t="str">
        <f>IF(E11="","",VLOOKUP(E11,'Coaching Points'!A:B,2,0))</f>
        <v>ON</v>
      </c>
      <c r="E11" s="35" t="s">
        <v>71</v>
      </c>
      <c r="F11" s="34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72</v>
      </c>
      <c r="I11" s="40"/>
      <c r="J11" s="4">
        <f t="shared" si="0"/>
        <v>25.0002</v>
      </c>
      <c r="K11" s="3" t="str">
        <f>IF(G11="Not Age Eligible","",IF(MAX(T11,W11,Z11,AC11)&gt;=LOOKUP(G11,'Qualifying Scores'!$A$4:$A$7,'Qualifying Scores'!$F$4:$F$7),"P",""))</f>
        <v/>
      </c>
      <c r="L11" s="3" t="str">
        <f>IF(G11="Not Age Eligible","",IF(MAX(U11,X11,AA11,AD11)&gt;=LOOKUP(G11,'Qualifying Scores'!$A$10:$A$13,'Qualifying Scores'!$F$10:$F$13),"P",""))</f>
        <v/>
      </c>
      <c r="M11" s="3" t="str">
        <f>IF(G11="Not Age Eligible","",IF(OR(AND(T11&gt;=LOOKUP(G11,'Qualifying Scores'!$A$4:$A$7,'Qualifying Scores'!$F$4:$F$7),U11&gt;=LOOKUP(G11,'Qualifying Scores'!$A$10:$A$13,'Qualifying Scores'!$F$10:$F$13)),AND(Z11&gt;=LOOKUP(G11,'Qualifying Scores'!$A$4:$A$7,'Qualifying Scores'!$F$4:$F$7),AA11&gt;=LOOKUP(G11,'Qualifying Scores'!$A$10:$A$13,'Qualifying Scores'!$F$10:$F$13)),AND(W11&gt;=LOOKUP(G11,'Qualifying Scores'!$A$4:$A$7,'Qualifying Scores'!$F$4:$F$7),X11&gt;=LOOKUP(G11,'Qualifying Scores'!$A$10:$A$13,'Qualifying Scores'!$F$10:$F$13)),AND(AC11&gt;=LOOKUP(G11,'Qualifying Scores'!$A$4:$A$7,'Qualifying Scores'!$F$4:$F$7),AD11&gt;=LOOKUP(G11,'Qualifying Scores'!$A$10:$A$13,'Qualifying Scores'!$F$10:$F$13))),"P",""))</f>
        <v/>
      </c>
      <c r="O11" s="36">
        <v>4</v>
      </c>
      <c r="Q11" s="1" t="str">
        <f t="shared" si="1"/>
        <v/>
      </c>
      <c r="R11" s="4">
        <f t="shared" si="2"/>
        <v>25</v>
      </c>
      <c r="S11" s="4">
        <f t="shared" si="3"/>
        <v>0</v>
      </c>
      <c r="T11" s="32">
        <v>25</v>
      </c>
      <c r="U11" s="37">
        <v>7.2</v>
      </c>
      <c r="V11" s="37">
        <v>0</v>
      </c>
      <c r="W11" s="33"/>
      <c r="X11" s="37"/>
      <c r="Y11" s="37"/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$57&lt;&gt;"")*(G$3:G$57=G12)*(J$3:J$57&gt;J12)*(I$3:I$57="P"))+1,IF(O12&lt;&gt;"",SUMPRODUCT((O$3:O$57&lt;&gt;"")*(P$3:P$57="")*(G$3:G$57=G12)*(J$3:J$57&gt;J12)*(I$3:I$57="P"))+SUMPRODUCT((P$3:P$57&lt;&gt;"")*(G$3:G$57=G12)*(I$3:I$57="P"))+1,IF(N12&lt;&gt;"",SUMPRODUCT((N$3:N$57&lt;&gt;"")*(G$3:G$57=G12)*(J$3:J$57&gt;J12)*(I$3:I$57="P"))+1,IF(M12="P",SUMPRODUCT((O$3:O$57&lt;&gt;"")*(P$3:P$57="")*(G$3:G$57=G12)*(I$3:I$57="P"))+SUMPRODUCT((P$3:P$57&lt;&gt;"")*(G$3:G$57=G12)*(I$3:I$57="P"))+SUMPRODUCT((N$3:N$57&lt;&gt;"")*(G$3:G$57=G12)*(I$3:I$57="P"))+SUMPRODUCT((P$3:P$57="")*(O$3:O$57="")*(N$3:N$57="")*(M$3:M$57="P")*(G$3:G$57=G12)*(J$3:J$57&gt;J12)*(I$3:I$57="P"))+IF(H12="L5",SUMPRODUCT((P$3:P$57="")*(O$3:O$57="")*(N$3:N$57="")*(M$3:M$57="P")*(G$3:G$57=G12)*(J$3:J$57&lt;J12)*(H$3:H$57&lt;&gt;H12)*(I$3:I$57="P")),-1*SUMPRODUCT((P$3:P$57="")*(O$3:O$57="")*(N$3:N$57="")*(M$3:M$57="P")*(G$3:G$57=G12)*(J$3:J$57&gt;J12)*(H$3:H$57="L5")*(I$3:I$57="P")))+1,"")))))</f>
        <v/>
      </c>
      <c r="B12" s="1" cm="1">
        <f t="array" ref="B12">IF(P12&lt;&gt;"",SUMPRODUCT((P$3:P$57&lt;&gt;"")*(G$3:G$57=G12)*(J$3:J$57&gt;J12))+1,IF(O12&lt;&gt;"",SUMPRODUCT((O$3:O$57&lt;&gt;"")*(P$3:P$57="")*(G$3:G$57=G12)*(J$3:J$57&gt;J12))+SUMPRODUCT((P$3:P$57&lt;&gt;"")*(G$3:G$57=G12))+1,IF(N12&lt;&gt;"",SUMPRODUCT((N$3:N$57&lt;&gt;"")*(G$3:G$57=G12)*(J$3:J$57&gt;J12))+1,IF(M12="P",SUMPRODUCT((O$3:O$57&lt;&gt;"")*(P$3:P$57="")*(G$3:G$57=G12))+SUMPRODUCT((P$3:P$57&lt;&gt;"")*(G$3:G$57=G12))+SUMPRODUCT((N$3:N$57&lt;&gt;"")*(G$3:G$57=G12))+SUMPRODUCT((P$3:P$57="")*(O$3:O$57="")*(N$3:N$57="")*(M$3:M$57="P")*(G$3:G$57=G12)*(J$3:J$57&gt;J12))+IF(H12="L5",SUMPRODUCT((P$3:P$57="")*(O$3:O$57="")*(N$3:N$57="")*(M$3:M$57="P")*(G$3:G$57=G12)*(J$3:J$57&lt;J12)*(H$3:H$57&lt;&gt;H12)),-1*SUMPRODUCT((P$3:P$57="")*(O$3:O$57="")*(N$3:N$57="")*(M$3:M$57="P")*(G$3:G$57=G12)*(J$3:J$57&gt;J12)*(H$3:H$57="L5")))+1,""))))</f>
        <v>10</v>
      </c>
      <c r="C12" s="35" t="s">
        <v>172</v>
      </c>
      <c r="D12" s="35" t="str">
        <f>IF(E12="","",VLOOKUP(E12,'Coaching Points'!A:B,2,0))</f>
        <v>QC</v>
      </c>
      <c r="E12" s="35" t="s">
        <v>3</v>
      </c>
      <c r="F12" s="34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72</v>
      </c>
      <c r="I12" s="40"/>
      <c r="J12" s="4">
        <f t="shared" si="0"/>
        <v>51.0002</v>
      </c>
      <c r="K12" s="3" t="str">
        <f>IF(G12="Not Age Eligible","",IF(MAX(T12,W12,Z12,AC12)&gt;=LOOKUP(G12,'Qualifying Scores'!$A$4:$A$7,'Qualifying Scores'!$F$4:$F$7),"P",""))</f>
        <v>P</v>
      </c>
      <c r="L12" s="3" t="str">
        <f>IF(G12="Not Age Eligible","",IF(MAX(U12,X12,AA12,AD12)&gt;=LOOKUP(G12,'Qualifying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Scores'!$F$10:$F$13)),AND(Z12&gt;=LOOKUP(G12,'Qualifying Scores'!$A$4:$A$7,'Qualifying Scores'!$F$4:$F$7),AA12&gt;=LOOKUP(G12,'Qualifying Scores'!$A$10:$A$13,'Qualifying Scores'!$F$10:$F$13)),AND(W12&gt;=LOOKUP(G12,'Qualifying Scores'!$A$4:$A$7,'Qualifying Scores'!$F$4:$F$7),X12&gt;=LOOKUP(G12,'Qualifying Scores'!$A$10:$A$13,'Qualifying Scores'!$F$10:$F$13)),AND(AC12&gt;=LOOKUP(G12,'Qualifying Scores'!$A$4:$A$7,'Qualifying Scores'!$F$4:$F$7),AD12&gt;=LOOKUP(G12,'Qualifying Scores'!$A$10:$A$13,'Qualifying Scores'!$F$10:$F$13))),"P",""))</f>
        <v>P</v>
      </c>
      <c r="Q12" s="1" t="str">
        <f t="shared" si="1"/>
        <v/>
      </c>
      <c r="R12" s="4">
        <f t="shared" si="2"/>
        <v>51</v>
      </c>
      <c r="S12" s="4">
        <f t="shared" si="3"/>
        <v>0</v>
      </c>
      <c r="T12" s="32">
        <v>51</v>
      </c>
      <c r="U12" s="37">
        <v>15.2</v>
      </c>
      <c r="V12" s="37">
        <v>0</v>
      </c>
      <c r="W12" s="33"/>
      <c r="X12" s="37"/>
      <c r="Y12" s="37"/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$57&lt;&gt;"")*(G$3:G$57=G13)*(J$3:J$57&gt;J13)*(I$3:I$57="P"))+1,IF(O13&lt;&gt;"",SUMPRODUCT((O$3:O$57&lt;&gt;"")*(P$3:P$57="")*(G$3:G$57=G13)*(J$3:J$57&gt;J13)*(I$3:I$57="P"))+SUMPRODUCT((P$3:P$57&lt;&gt;"")*(G$3:G$57=G13)*(I$3:I$57="P"))+1,IF(N13&lt;&gt;"",SUMPRODUCT((N$3:N$57&lt;&gt;"")*(G$3:G$57=G13)*(J$3:J$57&gt;J13)*(I$3:I$57="P"))+1,IF(M13="P",SUMPRODUCT((O$3:O$57&lt;&gt;"")*(P$3:P$57="")*(G$3:G$57=G13)*(I$3:I$57="P"))+SUMPRODUCT((P$3:P$57&lt;&gt;"")*(G$3:G$57=G13)*(I$3:I$57="P"))+SUMPRODUCT((N$3:N$57&lt;&gt;"")*(G$3:G$57=G13)*(I$3:I$57="P"))+SUMPRODUCT((P$3:P$57="")*(O$3:O$57="")*(N$3:N$57="")*(M$3:M$57="P")*(G$3:G$57=G13)*(J$3:J$57&gt;J13)*(I$3:I$57="P"))+IF(H13="L5",SUMPRODUCT((P$3:P$57="")*(O$3:O$57="")*(N$3:N$57="")*(M$3:M$57="P")*(G$3:G$57=G13)*(J$3:J$57&lt;J13)*(H$3:H$57&lt;&gt;H13)*(I$3:I$57="P")),-1*SUMPRODUCT((P$3:P$57="")*(O$3:O$57="")*(N$3:N$57="")*(M$3:M$57="P")*(G$3:G$57=G13)*(J$3:J$57&gt;J13)*(H$3:H$57="L5")*(I$3:I$57="P")))+1,"")))))</f>
        <v/>
      </c>
      <c r="B13" s="1" cm="1">
        <f t="array" ref="B13">IF(P13&lt;&gt;"",SUMPRODUCT((P$3:P$57&lt;&gt;"")*(G$3:G$57=G13)*(J$3:J$57&gt;J13))+1,IF(O13&lt;&gt;"",SUMPRODUCT((O$3:O$57&lt;&gt;"")*(P$3:P$57="")*(G$3:G$57=G13)*(J$3:J$57&gt;J13))+SUMPRODUCT((P$3:P$57&lt;&gt;"")*(G$3:G$57=G13))+1,IF(N13&lt;&gt;"",SUMPRODUCT((N$3:N$57&lt;&gt;"")*(G$3:G$57=G13)*(J$3:J$57&gt;J13))+1,IF(M13="P",SUMPRODUCT((O$3:O$57&lt;&gt;"")*(P$3:P$57="")*(G$3:G$57=G13))+SUMPRODUCT((P$3:P$57&lt;&gt;"")*(G$3:G$57=G13))+SUMPRODUCT((N$3:N$57&lt;&gt;"")*(G$3:G$57=G13))+SUMPRODUCT((P$3:P$57="")*(O$3:O$57="")*(N$3:N$57="")*(M$3:M$57="P")*(G$3:G$57=G13)*(J$3:J$57&gt;J13))+IF(H13="L5",SUMPRODUCT((P$3:P$57="")*(O$3:O$57="")*(N$3:N$57="")*(M$3:M$57="P")*(G$3:G$57=G13)*(J$3:J$57&lt;J13)*(H$3:H$57&lt;&gt;H13)),-1*SUMPRODUCT((P$3:P$57="")*(O$3:O$57="")*(N$3:N$57="")*(M$3:M$57="P")*(G$3:G$57=G13)*(J$3:J$57&gt;J13)*(H$3:H$57="L5")))+1,""))))</f>
        <v>11</v>
      </c>
      <c r="C13" s="35" t="s">
        <v>83</v>
      </c>
      <c r="D13" s="35" t="str">
        <f>IF(E13="","",VLOOKUP(E13,'Coaching Points'!A:B,2,0))</f>
        <v>BC</v>
      </c>
      <c r="E13" s="35" t="s">
        <v>60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72</v>
      </c>
      <c r="I13" s="40"/>
      <c r="J13" s="4">
        <f t="shared" si="0"/>
        <v>50.600200000000001</v>
      </c>
      <c r="K13" s="3" t="str">
        <f>IF(G13="Not Age Eligible","",IF(MAX(T13,W13,Z13,AC13)&gt;=LOOKUP(G13,'Qualifying Scores'!$A$4:$A$7,'Qualifying Scores'!$F$4:$F$7),"P",""))</f>
        <v>P</v>
      </c>
      <c r="L13" s="3" t="str">
        <f>IF(G13="Not Age Eligible","",IF(MAX(U13,X13,AA13,AD13)&gt;=LOOKUP(G13,'Qualifying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Scores'!$F$10:$F$13)),AND(Z13&gt;=LOOKUP(G13,'Qualifying Scores'!$A$4:$A$7,'Qualifying Scores'!$F$4:$F$7),AA13&gt;=LOOKUP(G13,'Qualifying Scores'!$A$10:$A$13,'Qualifying Scores'!$F$10:$F$13)),AND(W13&gt;=LOOKUP(G13,'Qualifying Scores'!$A$4:$A$7,'Qualifying Scores'!$F$4:$F$7),X13&gt;=LOOKUP(G13,'Qualifying Scores'!$A$10:$A$13,'Qualifying Scores'!$F$10:$F$13)),AND(AC13&gt;=LOOKUP(G13,'Qualifying Scores'!$A$4:$A$7,'Qualifying Scores'!$F$4:$F$7),AD13&gt;=LOOKUP(G13,'Qualifying Scores'!$A$10:$A$13,'Qualifying Scores'!$F$10:$F$13))),"P",""))</f>
        <v>P</v>
      </c>
      <c r="Q13" s="1" t="str">
        <f t="shared" si="1"/>
        <v/>
      </c>
      <c r="R13" s="4">
        <f t="shared" si="2"/>
        <v>50.6</v>
      </c>
      <c r="S13" s="4">
        <f t="shared" si="3"/>
        <v>49.6</v>
      </c>
      <c r="T13" s="32">
        <v>49.6</v>
      </c>
      <c r="U13" s="37">
        <v>14</v>
      </c>
      <c r="V13" s="37">
        <v>0</v>
      </c>
      <c r="W13" s="33">
        <v>50.6</v>
      </c>
      <c r="X13" s="37">
        <v>14.8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$57&lt;&gt;"")*(G$3:G$57=G14)*(J$3:J$57&gt;J14)*(I$3:I$57="P"))+1,IF(O14&lt;&gt;"",SUMPRODUCT((O$3:O$57&lt;&gt;"")*(P$3:P$57="")*(G$3:G$57=G14)*(J$3:J$57&gt;J14)*(I$3:I$57="P"))+SUMPRODUCT((P$3:P$57&lt;&gt;"")*(G$3:G$57=G14)*(I$3:I$57="P"))+1,IF(N14&lt;&gt;"",SUMPRODUCT((N$3:N$57&lt;&gt;"")*(G$3:G$57=G14)*(J$3:J$57&gt;J14)*(I$3:I$57="P"))+1,IF(M14="P",SUMPRODUCT((O$3:O$57&lt;&gt;"")*(P$3:P$57="")*(G$3:G$57=G14)*(I$3:I$57="P"))+SUMPRODUCT((P$3:P$57&lt;&gt;"")*(G$3:G$57=G14)*(I$3:I$57="P"))+SUMPRODUCT((N$3:N$57&lt;&gt;"")*(G$3:G$57=G14)*(I$3:I$57="P"))+SUMPRODUCT((P$3:P$57="")*(O$3:O$57="")*(N$3:N$57="")*(M$3:M$57="P")*(G$3:G$57=G14)*(J$3:J$57&gt;J14)*(I$3:I$57="P"))+IF(H14="L5",SUMPRODUCT((P$3:P$57="")*(O$3:O$57="")*(N$3:N$57="")*(M$3:M$57="P")*(G$3:G$57=G14)*(J$3:J$57&lt;J14)*(H$3:H$57&lt;&gt;H14)*(I$3:I$57="P")),-1*SUMPRODUCT((P$3:P$57="")*(O$3:O$57="")*(N$3:N$57="")*(M$3:M$57="P")*(G$3:G$57=G14)*(J$3:J$57&gt;J14)*(H$3:H$57="L5")*(I$3:I$57="P")))+1,"")))))</f>
        <v/>
      </c>
      <c r="B14" s="1" cm="1">
        <f t="array" ref="B14">IF(P14&lt;&gt;"",SUMPRODUCT((P$3:P$57&lt;&gt;"")*(G$3:G$57=G14)*(J$3:J$57&gt;J14))+1,IF(O14&lt;&gt;"",SUMPRODUCT((O$3:O$57&lt;&gt;"")*(P$3:P$57="")*(G$3:G$57=G14)*(J$3:J$57&gt;J14))+SUMPRODUCT((P$3:P$57&lt;&gt;"")*(G$3:G$57=G14))+1,IF(N14&lt;&gt;"",SUMPRODUCT((N$3:N$57&lt;&gt;"")*(G$3:G$57=G14)*(J$3:J$57&gt;J14))+1,IF(M14="P",SUMPRODUCT((O$3:O$57&lt;&gt;"")*(P$3:P$57="")*(G$3:G$57=G14))+SUMPRODUCT((P$3:P$57&lt;&gt;"")*(G$3:G$57=G14))+SUMPRODUCT((N$3:N$57&lt;&gt;"")*(G$3:G$57=G14))+SUMPRODUCT((P$3:P$57="")*(O$3:O$57="")*(N$3:N$57="")*(M$3:M$57="P")*(G$3:G$57=G14)*(J$3:J$57&gt;J14))+IF(H14="L5",SUMPRODUCT((P$3:P$57="")*(O$3:O$57="")*(N$3:N$57="")*(M$3:M$57="P")*(G$3:G$57=G14)*(J$3:J$57&lt;J14)*(H$3:H$57&lt;&gt;H14)),-1*SUMPRODUCT((P$3:P$57="")*(O$3:O$57="")*(N$3:N$57="")*(M$3:M$57="P")*(G$3:G$57=G14)*(J$3:J$57&gt;J14)*(H$3:H$57="L5")))+1,""))))</f>
        <v>12</v>
      </c>
      <c r="C14" s="35" t="s">
        <v>173</v>
      </c>
      <c r="D14" s="35" t="str">
        <f>IF(E14="","",VLOOKUP(E14,'Coaching Points'!A:B,2,0))</f>
        <v>QC</v>
      </c>
      <c r="E14" s="35" t="s">
        <v>200</v>
      </c>
      <c r="F14" s="34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72</v>
      </c>
      <c r="I14" s="40"/>
      <c r="J14" s="4">
        <f t="shared" si="0"/>
        <v>49.900199999999998</v>
      </c>
      <c r="K14" s="3" t="str">
        <f>IF(G14="Not Age Eligible","",IF(MAX(T14,W14,Z14,AC14)&gt;=LOOKUP(G14,'Qualifying Scores'!$A$4:$A$7,'Qualifying Scores'!$F$4:$F$7),"P",""))</f>
        <v>P</v>
      </c>
      <c r="L14" s="3" t="str">
        <f>IF(G14="Not Age Eligible","",IF(MAX(U14,X14,AA14,AD14)&gt;=LOOKUP(G14,'Qualifying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Scores'!$F$10:$F$13)),AND(Z14&gt;=LOOKUP(G14,'Qualifying Scores'!$A$4:$A$7,'Qualifying Scores'!$F$4:$F$7),AA14&gt;=LOOKUP(G14,'Qualifying Scores'!$A$10:$A$13,'Qualifying Scores'!$F$10:$F$13)),AND(W14&gt;=LOOKUP(G14,'Qualifying Scores'!$A$4:$A$7,'Qualifying Scores'!$F$4:$F$7),X14&gt;=LOOKUP(G14,'Qualifying Scores'!$A$10:$A$13,'Qualifying Scores'!$F$10:$F$13)),AND(AC14&gt;=LOOKUP(G14,'Qualifying Scores'!$A$4:$A$7,'Qualifying Scores'!$F$4:$F$7),AD14&gt;=LOOKUP(G14,'Qualifying Scores'!$A$10:$A$13,'Qualifying Scores'!$F$10:$F$13))),"P",""))</f>
        <v>P</v>
      </c>
      <c r="Q14" s="1" t="str">
        <f t="shared" si="1"/>
        <v/>
      </c>
      <c r="R14" s="4">
        <f t="shared" si="2"/>
        <v>49.9</v>
      </c>
      <c r="S14" s="4">
        <f t="shared" si="3"/>
        <v>0</v>
      </c>
      <c r="T14" s="32">
        <v>49.9</v>
      </c>
      <c r="U14" s="37">
        <v>13.2</v>
      </c>
      <c r="V14" s="37">
        <v>0</v>
      </c>
      <c r="W14" s="33">
        <v>0</v>
      </c>
      <c r="X14" s="37">
        <v>0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$57&lt;&gt;"")*(G$3:G$57=G15)*(J$3:J$57&gt;J15)*(I$3:I$57="P"))+1,IF(O15&lt;&gt;"",SUMPRODUCT((O$3:O$57&lt;&gt;"")*(P$3:P$57="")*(G$3:G$57=G15)*(J$3:J$57&gt;J15)*(I$3:I$57="P"))+SUMPRODUCT((P$3:P$57&lt;&gt;"")*(G$3:G$57=G15)*(I$3:I$57="P"))+1,IF(N15&lt;&gt;"",SUMPRODUCT((N$3:N$57&lt;&gt;"")*(G$3:G$57=G15)*(J$3:J$57&gt;J15)*(I$3:I$57="P"))+1,IF(M15="P",SUMPRODUCT((O$3:O$57&lt;&gt;"")*(P$3:P$57="")*(G$3:G$57=G15)*(I$3:I$57="P"))+SUMPRODUCT((P$3:P$57&lt;&gt;"")*(G$3:G$57=G15)*(I$3:I$57="P"))+SUMPRODUCT((N$3:N$57&lt;&gt;"")*(G$3:G$57=G15)*(I$3:I$57="P"))+SUMPRODUCT((P$3:P$57="")*(O$3:O$57="")*(N$3:N$57="")*(M$3:M$57="P")*(G$3:G$57=G15)*(J$3:J$57&gt;J15)*(I$3:I$57="P"))+IF(H15="L5",SUMPRODUCT((P$3:P$57="")*(O$3:O$57="")*(N$3:N$57="")*(M$3:M$57="P")*(G$3:G$57=G15)*(J$3:J$57&lt;J15)*(H$3:H$57&lt;&gt;H15)*(I$3:I$57="P")),-1*SUMPRODUCT((P$3:P$57="")*(O$3:O$57="")*(N$3:N$57="")*(M$3:M$57="P")*(G$3:G$57=G15)*(J$3:J$57&gt;J15)*(H$3:H$57="L5")*(I$3:I$57="P")))+1,"")))))</f>
        <v/>
      </c>
      <c r="B15" s="1" cm="1">
        <f t="array" ref="B15">IF(P15&lt;&gt;"",SUMPRODUCT((P$3:P$57&lt;&gt;"")*(G$3:G$57=G15)*(J$3:J$57&gt;J15))+1,IF(O15&lt;&gt;"",SUMPRODUCT((O$3:O$57&lt;&gt;"")*(P$3:P$57="")*(G$3:G$57=G15)*(J$3:J$57&gt;J15))+SUMPRODUCT((P$3:P$57&lt;&gt;"")*(G$3:G$57=G15))+1,IF(N15&lt;&gt;"",SUMPRODUCT((N$3:N$57&lt;&gt;"")*(G$3:G$57=G15)*(J$3:J$57&gt;J15))+1,IF(M15="P",SUMPRODUCT((O$3:O$57&lt;&gt;"")*(P$3:P$57="")*(G$3:G$57=G15))+SUMPRODUCT((P$3:P$57&lt;&gt;"")*(G$3:G$57=G15))+SUMPRODUCT((N$3:N$57&lt;&gt;"")*(G$3:G$57=G15))+SUMPRODUCT((P$3:P$57="")*(O$3:O$57="")*(N$3:N$57="")*(M$3:M$57="P")*(G$3:G$57=G15)*(J$3:J$57&gt;J15))+IF(H15="L5",SUMPRODUCT((P$3:P$57="")*(O$3:O$57="")*(N$3:N$57="")*(M$3:M$57="P")*(G$3:G$57=G15)*(J$3:J$57&lt;J15)*(H$3:H$57&lt;&gt;H15)),-1*SUMPRODUCT((P$3:P$57="")*(O$3:O$57="")*(N$3:N$57="")*(M$3:M$57="P")*(G$3:G$57=G15)*(J$3:J$57&gt;J15)*(H$3:H$57="L5")))+1,""))))</f>
        <v>13</v>
      </c>
      <c r="C15" s="35" t="s">
        <v>255</v>
      </c>
      <c r="D15" s="35" t="str">
        <f>IF(E15="","",VLOOKUP(E15,'Coaching Points'!A:B,2,0))</f>
        <v>AB</v>
      </c>
      <c r="E15" s="35" t="s">
        <v>28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66</v>
      </c>
      <c r="I15" s="40"/>
      <c r="J15" s="4">
        <f t="shared" si="0"/>
        <v>49.600100000000005</v>
      </c>
      <c r="K15" s="3" t="str">
        <f>IF(G15="Not Age Eligible","",IF(MAX(T15,W15,Z15,AC15)&gt;=LOOKUP(G15,'Qualifying Scores'!$A$4:$A$7,'Qualifying Scores'!$F$4:$F$7),"P",""))</f>
        <v>P</v>
      </c>
      <c r="L15" s="3" t="str">
        <f>IF(G15="Not Age Eligible","",IF(MAX(U15,X15,AA15,AD15)&gt;=LOOKUP(G15,'Qualifying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Scores'!$F$10:$F$13)),AND(Z15&gt;=LOOKUP(G15,'Qualifying Scores'!$A$4:$A$7,'Qualifying Scores'!$F$4:$F$7),AA15&gt;=LOOKUP(G15,'Qualifying Scores'!$A$10:$A$13,'Qualifying Scores'!$F$10:$F$13)),AND(W15&gt;=LOOKUP(G15,'Qualifying Scores'!$A$4:$A$7,'Qualifying Scores'!$F$4:$F$7),X15&gt;=LOOKUP(G15,'Qualifying Scores'!$A$10:$A$13,'Qualifying Scores'!$F$10:$F$13)),AND(AC15&gt;=LOOKUP(G15,'Qualifying Scores'!$A$4:$A$7,'Qualifying Scores'!$F$4:$F$7),AD15&gt;=LOOKUP(G15,'Qualifying Scores'!$A$10:$A$13,'Qualifying Scores'!$F$10:$F$13))),"P",""))</f>
        <v>P</v>
      </c>
      <c r="Q15" s="1" t="str">
        <f t="shared" si="1"/>
        <v/>
      </c>
      <c r="R15" s="4">
        <f t="shared" si="2"/>
        <v>49.6</v>
      </c>
      <c r="S15" s="4">
        <f t="shared" si="3"/>
        <v>46.8</v>
      </c>
      <c r="T15" s="32">
        <v>46.8</v>
      </c>
      <c r="U15" s="37">
        <v>13.2</v>
      </c>
      <c r="V15" s="37">
        <v>0</v>
      </c>
      <c r="W15" s="33">
        <v>49.6</v>
      </c>
      <c r="X15" s="37">
        <v>14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$57&lt;&gt;"")*(G$3:G$57=G16)*(J$3:J$57&gt;J16)*(I$3:I$57="P"))+1,IF(O16&lt;&gt;"",SUMPRODUCT((O$3:O$57&lt;&gt;"")*(P$3:P$57="")*(G$3:G$57=G16)*(J$3:J$57&gt;J16)*(I$3:I$57="P"))+SUMPRODUCT((P$3:P$57&lt;&gt;"")*(G$3:G$57=G16)*(I$3:I$57="P"))+1,IF(N16&lt;&gt;"",SUMPRODUCT((N$3:N$57&lt;&gt;"")*(G$3:G$57=G16)*(J$3:J$57&gt;J16)*(I$3:I$57="P"))+1,IF(M16="P",SUMPRODUCT((O$3:O$57&lt;&gt;"")*(P$3:P$57="")*(G$3:G$57=G16)*(I$3:I$57="P"))+SUMPRODUCT((P$3:P$57&lt;&gt;"")*(G$3:G$57=G16)*(I$3:I$57="P"))+SUMPRODUCT((N$3:N$57&lt;&gt;"")*(G$3:G$57=G16)*(I$3:I$57="P"))+SUMPRODUCT((P$3:P$57="")*(O$3:O$57="")*(N$3:N$57="")*(M$3:M$57="P")*(G$3:G$57=G16)*(J$3:J$57&gt;J16)*(I$3:I$57="P"))+IF(H16="L5",SUMPRODUCT((P$3:P$57="")*(O$3:O$57="")*(N$3:N$57="")*(M$3:M$57="P")*(G$3:G$57=G16)*(J$3:J$57&lt;J16)*(H$3:H$57&lt;&gt;H16)*(I$3:I$57="P")),-1*SUMPRODUCT((P$3:P$57="")*(O$3:O$57="")*(N$3:N$57="")*(M$3:M$57="P")*(G$3:G$57=G16)*(J$3:J$57&gt;J16)*(H$3:H$57="L5")*(I$3:I$57="P")))+1,"")))))</f>
        <v/>
      </c>
      <c r="B16" s="1" cm="1">
        <f t="array" ref="B16">IF(P16&lt;&gt;"",SUMPRODUCT((P$3:P$57&lt;&gt;"")*(G$3:G$57=G16)*(J$3:J$57&gt;J16))+1,IF(O16&lt;&gt;"",SUMPRODUCT((O$3:O$57&lt;&gt;"")*(P$3:P$57="")*(G$3:G$57=G16)*(J$3:J$57&gt;J16))+SUMPRODUCT((P$3:P$57&lt;&gt;"")*(G$3:G$57=G16))+1,IF(N16&lt;&gt;"",SUMPRODUCT((N$3:N$57&lt;&gt;"")*(G$3:G$57=G16)*(J$3:J$57&gt;J16))+1,IF(M16="P",SUMPRODUCT((O$3:O$57&lt;&gt;"")*(P$3:P$57="")*(G$3:G$57=G16))+SUMPRODUCT((P$3:P$57&lt;&gt;"")*(G$3:G$57=G16))+SUMPRODUCT((N$3:N$57&lt;&gt;"")*(G$3:G$57=G16))+SUMPRODUCT((P$3:P$57="")*(O$3:O$57="")*(N$3:N$57="")*(M$3:M$57="P")*(G$3:G$57=G16)*(J$3:J$57&gt;J16))+IF(H16="L5",SUMPRODUCT((P$3:P$57="")*(O$3:O$57="")*(N$3:N$57="")*(M$3:M$57="P")*(G$3:G$57=G16)*(J$3:J$57&lt;J16)*(H$3:H$57&lt;&gt;H16)),-1*SUMPRODUCT((P$3:P$57="")*(O$3:O$57="")*(N$3:N$57="")*(M$3:M$57="P")*(G$3:G$57=G16)*(J$3:J$57&gt;J16)*(H$3:H$57="L5")))+1,""))))</f>
        <v>14</v>
      </c>
      <c r="C16" s="35" t="s">
        <v>186</v>
      </c>
      <c r="D16" s="35" t="str">
        <f>IF(E16="","",VLOOKUP(E16,'Coaching Points'!A:B,2,0))</f>
        <v>MB</v>
      </c>
      <c r="E16" s="35" t="s">
        <v>67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66</v>
      </c>
      <c r="I16" s="40"/>
      <c r="J16" s="4">
        <f t="shared" si="0"/>
        <v>49.100100000000005</v>
      </c>
      <c r="K16" s="3" t="str">
        <f>IF(G16="Not Age Eligible","",IF(MAX(T16,W16,Z16,AC16)&gt;=LOOKUP(G16,'Qualifying Scores'!$A$4:$A$7,'Qualifying Scores'!$F$4:$F$7),"P",""))</f>
        <v>P</v>
      </c>
      <c r="L16" s="3" t="str">
        <f>IF(G16="Not Age Eligible","",IF(MAX(U16,X16,AA16,AD16)&gt;=LOOKUP(G16,'Qualifying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Scores'!$F$10:$F$13)),AND(Z16&gt;=LOOKUP(G16,'Qualifying Scores'!$A$4:$A$7,'Qualifying Scores'!$F$4:$F$7),AA16&gt;=LOOKUP(G16,'Qualifying Scores'!$A$10:$A$13,'Qualifying Scores'!$F$10:$F$13)),AND(W16&gt;=LOOKUP(G16,'Qualifying Scores'!$A$4:$A$7,'Qualifying Scores'!$F$4:$F$7),X16&gt;=LOOKUP(G16,'Qualifying Scores'!$A$10:$A$13,'Qualifying Scores'!$F$10:$F$13)),AND(AC16&gt;=LOOKUP(G16,'Qualifying Scores'!$A$4:$A$7,'Qualifying Scores'!$F$4:$F$7),AD16&gt;=LOOKUP(G16,'Qualifying Scores'!$A$10:$A$13,'Qualifying Scores'!$F$10:$F$13))),"P",""))</f>
        <v>P</v>
      </c>
      <c r="Q16" s="1" t="str">
        <f t="shared" si="1"/>
        <v/>
      </c>
      <c r="R16" s="4">
        <f t="shared" si="2"/>
        <v>49.1</v>
      </c>
      <c r="S16" s="4">
        <f t="shared" si="3"/>
        <v>47.5</v>
      </c>
      <c r="T16" s="32">
        <v>49.1</v>
      </c>
      <c r="U16" s="37">
        <v>12</v>
      </c>
      <c r="V16" s="37">
        <v>0</v>
      </c>
      <c r="W16" s="33">
        <v>47.5</v>
      </c>
      <c r="X16" s="37">
        <v>11.2</v>
      </c>
      <c r="Y16" s="37">
        <v>0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$57&lt;&gt;"")*(G$3:G$57=G17)*(J$3:J$57&gt;J17)*(I$3:I$57="P"))+1,IF(O17&lt;&gt;"",SUMPRODUCT((O$3:O$57&lt;&gt;"")*(P$3:P$57="")*(G$3:G$57=G17)*(J$3:J$57&gt;J17)*(I$3:I$57="P"))+SUMPRODUCT((P$3:P$57&lt;&gt;"")*(G$3:G$57=G17)*(I$3:I$57="P"))+1,IF(N17&lt;&gt;"",SUMPRODUCT((N$3:N$57&lt;&gt;"")*(G$3:G$57=G17)*(J$3:J$57&gt;J17)*(I$3:I$57="P"))+1,IF(M17="P",SUMPRODUCT((O$3:O$57&lt;&gt;"")*(P$3:P$57="")*(G$3:G$57=G17)*(I$3:I$57="P"))+SUMPRODUCT((P$3:P$57&lt;&gt;"")*(G$3:G$57=G17)*(I$3:I$57="P"))+SUMPRODUCT((N$3:N$57&lt;&gt;"")*(G$3:G$57=G17)*(I$3:I$57="P"))+SUMPRODUCT((P$3:P$57="")*(O$3:O$57="")*(N$3:N$57="")*(M$3:M$57="P")*(G$3:G$57=G17)*(J$3:J$57&gt;J17)*(I$3:I$57="P"))+IF(H17="L5",SUMPRODUCT((P$3:P$57="")*(O$3:O$57="")*(N$3:N$57="")*(M$3:M$57="P")*(G$3:G$57=G17)*(J$3:J$57&lt;J17)*(H$3:H$57&lt;&gt;H17)*(I$3:I$57="P")),-1*SUMPRODUCT((P$3:P$57="")*(O$3:O$57="")*(N$3:N$57="")*(M$3:M$57="P")*(G$3:G$57=G17)*(J$3:J$57&gt;J17)*(H$3:H$57="L5")*(I$3:I$57="P")))+1,"")))))</f>
        <v/>
      </c>
      <c r="B17" s="1" cm="1">
        <f t="array" ref="B17">IF(P17&lt;&gt;"",SUMPRODUCT((P$3:P$57&lt;&gt;"")*(G$3:G$57=G17)*(J$3:J$57&gt;J17))+1,IF(O17&lt;&gt;"",SUMPRODUCT((O$3:O$57&lt;&gt;"")*(P$3:P$57="")*(G$3:G$57=G17)*(J$3:J$57&gt;J17))+SUMPRODUCT((P$3:P$57&lt;&gt;"")*(G$3:G$57=G17))+1,IF(N17&lt;&gt;"",SUMPRODUCT((N$3:N$57&lt;&gt;"")*(G$3:G$57=G17)*(J$3:J$57&gt;J17))+1,IF(M17="P",SUMPRODUCT((O$3:O$57&lt;&gt;"")*(P$3:P$57="")*(G$3:G$57=G17))+SUMPRODUCT((P$3:P$57&lt;&gt;"")*(G$3:G$57=G17))+SUMPRODUCT((N$3:N$57&lt;&gt;"")*(G$3:G$57=G17))+SUMPRODUCT((P$3:P$57="")*(O$3:O$57="")*(N$3:N$57="")*(M$3:M$57="P")*(G$3:G$57=G17)*(J$3:J$57&gt;J17))+IF(H17="L5",SUMPRODUCT((P$3:P$57="")*(O$3:O$57="")*(N$3:N$57="")*(M$3:M$57="P")*(G$3:G$57=G17)*(J$3:J$57&lt;J17)*(H$3:H$57&lt;&gt;H17)),-1*SUMPRODUCT((P$3:P$57="")*(O$3:O$57="")*(N$3:N$57="")*(M$3:M$57="P")*(G$3:G$57=G17)*(J$3:J$57&gt;J17)*(H$3:H$57="L5")))+1,""))))</f>
        <v>15</v>
      </c>
      <c r="C17" s="35" t="s">
        <v>73</v>
      </c>
      <c r="D17" s="35" t="str">
        <f>IF(E17="","",VLOOKUP(E17,'Coaching Points'!A:B,2,0))</f>
        <v>ON</v>
      </c>
      <c r="E17" s="35" t="s">
        <v>97</v>
      </c>
      <c r="F17" s="34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66</v>
      </c>
      <c r="I17" s="40"/>
      <c r="J17" s="4">
        <f t="shared" si="0"/>
        <v>48.700100000000006</v>
      </c>
      <c r="K17" s="3" t="str">
        <f>IF(G17="Not Age Eligible","",IF(MAX(T17,W17,Z17,AC17)&gt;=LOOKUP(G17,'Qualifying Scores'!$A$4:$A$7,'Qualifying Scores'!$F$4:$F$7),"P",""))</f>
        <v>P</v>
      </c>
      <c r="L17" s="3" t="str">
        <f>IF(G17="Not Age Eligible","",IF(MAX(U17,X17,AA17,AD17)&gt;=LOOKUP(G17,'Qualifying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Scores'!$F$10:$F$13)),AND(Z17&gt;=LOOKUP(G17,'Qualifying Scores'!$A$4:$A$7,'Qualifying Scores'!$F$4:$F$7),AA17&gt;=LOOKUP(G17,'Qualifying Scores'!$A$10:$A$13,'Qualifying Scores'!$F$10:$F$13)),AND(W17&gt;=LOOKUP(G17,'Qualifying Scores'!$A$4:$A$7,'Qualifying Scores'!$F$4:$F$7),X17&gt;=LOOKUP(G17,'Qualifying Scores'!$A$10:$A$13,'Qualifying Scores'!$F$10:$F$13)),AND(AC17&gt;=LOOKUP(G17,'Qualifying Scores'!$A$4:$A$7,'Qualifying Scores'!$F$4:$F$7),AD17&gt;=LOOKUP(G17,'Qualifying Scores'!$A$10:$A$13,'Qualifying Scores'!$F$10:$F$13))),"P",""))</f>
        <v>P</v>
      </c>
      <c r="Q17" s="1" t="str">
        <f t="shared" si="1"/>
        <v/>
      </c>
      <c r="R17" s="4">
        <f t="shared" si="2"/>
        <v>48.7</v>
      </c>
      <c r="S17" s="4">
        <f t="shared" si="3"/>
        <v>48.6</v>
      </c>
      <c r="T17" s="32">
        <v>48.6</v>
      </c>
      <c r="U17" s="37">
        <v>11.600000000000001</v>
      </c>
      <c r="V17" s="37">
        <v>0</v>
      </c>
      <c r="W17" s="33">
        <v>48.7</v>
      </c>
      <c r="X17" s="37">
        <v>13.2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$57&lt;&gt;"")*(G$3:G$57=G18)*(J$3:J$57&gt;J18)*(I$3:I$57="P"))+1,IF(O18&lt;&gt;"",SUMPRODUCT((O$3:O$57&lt;&gt;"")*(P$3:P$57="")*(G$3:G$57=G18)*(J$3:J$57&gt;J18)*(I$3:I$57="P"))+SUMPRODUCT((P$3:P$57&lt;&gt;"")*(G$3:G$57=G18)*(I$3:I$57="P"))+1,IF(N18&lt;&gt;"",SUMPRODUCT((N$3:N$57&lt;&gt;"")*(G$3:G$57=G18)*(J$3:J$57&gt;J18)*(I$3:I$57="P"))+1,IF(M18="P",SUMPRODUCT((O$3:O$57&lt;&gt;"")*(P$3:P$57="")*(G$3:G$57=G18)*(I$3:I$57="P"))+SUMPRODUCT((P$3:P$57&lt;&gt;"")*(G$3:G$57=G18)*(I$3:I$57="P"))+SUMPRODUCT((N$3:N$57&lt;&gt;"")*(G$3:G$57=G18)*(I$3:I$57="P"))+SUMPRODUCT((P$3:P$57="")*(O$3:O$57="")*(N$3:N$57="")*(M$3:M$57="P")*(G$3:G$57=G18)*(J$3:J$57&gt;J18)*(I$3:I$57="P"))+IF(H18="L5",SUMPRODUCT((P$3:P$57="")*(O$3:O$57="")*(N$3:N$57="")*(M$3:M$57="P")*(G$3:G$57=G18)*(J$3:J$57&lt;J18)*(H$3:H$57&lt;&gt;H18)*(I$3:I$57="P")),-1*SUMPRODUCT((P$3:P$57="")*(O$3:O$57="")*(N$3:N$57="")*(M$3:M$57="P")*(G$3:G$57=G18)*(J$3:J$57&gt;J18)*(H$3:H$57="L5")*(I$3:I$57="P")))+1,"")))))</f>
        <v/>
      </c>
      <c r="B18" s="1" cm="1">
        <f t="array" ref="B18">IF(P18&lt;&gt;"",SUMPRODUCT((P$3:P$57&lt;&gt;"")*(G$3:G$57=G18)*(J$3:J$57&gt;J18))+1,IF(O18&lt;&gt;"",SUMPRODUCT((O$3:O$57&lt;&gt;"")*(P$3:P$57="")*(G$3:G$57=G18)*(J$3:J$57&gt;J18))+SUMPRODUCT((P$3:P$57&lt;&gt;"")*(G$3:G$57=G18))+1,IF(N18&lt;&gt;"",SUMPRODUCT((N$3:N$57&lt;&gt;"")*(G$3:G$57=G18)*(J$3:J$57&gt;J18))+1,IF(M18="P",SUMPRODUCT((O$3:O$57&lt;&gt;"")*(P$3:P$57="")*(G$3:G$57=G18))+SUMPRODUCT((P$3:P$57&lt;&gt;"")*(G$3:G$57=G18))+SUMPRODUCT((N$3:N$57&lt;&gt;"")*(G$3:G$57=G18))+SUMPRODUCT((P$3:P$57="")*(O$3:O$57="")*(N$3:N$57="")*(M$3:M$57="P")*(G$3:G$57=G18)*(J$3:J$57&gt;J18))+IF(H18="L5",SUMPRODUCT((P$3:P$57="")*(O$3:O$57="")*(N$3:N$57="")*(M$3:M$57="P")*(G$3:G$57=G18)*(J$3:J$57&lt;J18)*(H$3:H$57&lt;&gt;H18)),-1*SUMPRODUCT((P$3:P$57="")*(O$3:O$57="")*(N$3:N$57="")*(M$3:M$57="P")*(G$3:G$57=G18)*(J$3:J$57&gt;J18)*(H$3:H$57="L5")))+1,""))))</f>
        <v>16</v>
      </c>
      <c r="C18" s="35" t="s">
        <v>95</v>
      </c>
      <c r="D18" s="35" t="str">
        <f>IF(E18="","",VLOOKUP(E18,'Coaching Points'!A:B,2,0))</f>
        <v>BC</v>
      </c>
      <c r="E18" s="35" t="s">
        <v>40</v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72</v>
      </c>
      <c r="I18" s="40"/>
      <c r="J18" s="4">
        <f t="shared" si="0"/>
        <v>48.600200000000001</v>
      </c>
      <c r="K18" s="3" t="str">
        <f>IF(G18="Not Age Eligible","",IF(MAX(T18,W18,Z18,AC18)&gt;=LOOKUP(G18,'Qualifying Scores'!$A$4:$A$7,'Qualifying Scores'!$F$4:$F$7),"P",""))</f>
        <v>P</v>
      </c>
      <c r="L18" s="3" t="str">
        <f>IF(G18="Not Age Eligible","",IF(MAX(U18,X18,AA18,AD18)&gt;=LOOKUP(G18,'Qualifying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Scores'!$F$10:$F$13)),AND(Z18&gt;=LOOKUP(G18,'Qualifying Scores'!$A$4:$A$7,'Qualifying Scores'!$F$4:$F$7),AA18&gt;=LOOKUP(G18,'Qualifying Scores'!$A$10:$A$13,'Qualifying Scores'!$F$10:$F$13)),AND(W18&gt;=LOOKUP(G18,'Qualifying Scores'!$A$4:$A$7,'Qualifying Scores'!$F$4:$F$7),X18&gt;=LOOKUP(G18,'Qualifying Scores'!$A$10:$A$13,'Qualifying Scores'!$F$10:$F$13)),AND(AC18&gt;=LOOKUP(G18,'Qualifying Scores'!$A$4:$A$7,'Qualifying Scores'!$F$4:$F$7),AD18&gt;=LOOKUP(G18,'Qualifying Scores'!$A$10:$A$13,'Qualifying Scores'!$F$10:$F$13))),"P",""))</f>
        <v>P</v>
      </c>
      <c r="Q18" s="1" t="str">
        <f t="shared" si="1"/>
        <v/>
      </c>
      <c r="R18" s="4">
        <f t="shared" si="2"/>
        <v>48.6</v>
      </c>
      <c r="S18" s="4">
        <f t="shared" si="3"/>
        <v>0</v>
      </c>
      <c r="T18" s="32">
        <v>48.9</v>
      </c>
      <c r="U18" s="37">
        <v>14.8</v>
      </c>
      <c r="V18" s="37">
        <v>0.3</v>
      </c>
      <c r="W18" s="33"/>
      <c r="X18" s="37"/>
      <c r="Y18" s="37"/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$57&lt;&gt;"")*(G$3:G$57=G19)*(J$3:J$57&gt;J19)*(I$3:I$57="P"))+1,IF(O19&lt;&gt;"",SUMPRODUCT((O$3:O$57&lt;&gt;"")*(P$3:P$57="")*(G$3:G$57=G19)*(J$3:J$57&gt;J19)*(I$3:I$57="P"))+SUMPRODUCT((P$3:P$57&lt;&gt;"")*(G$3:G$57=G19)*(I$3:I$57="P"))+1,IF(N19&lt;&gt;"",SUMPRODUCT((N$3:N$57&lt;&gt;"")*(G$3:G$57=G19)*(J$3:J$57&gt;J19)*(I$3:I$57="P"))+1,IF(M19="P",SUMPRODUCT((O$3:O$57&lt;&gt;"")*(P$3:P$57="")*(G$3:G$57=G19)*(I$3:I$57="P"))+SUMPRODUCT((P$3:P$57&lt;&gt;"")*(G$3:G$57=G19)*(I$3:I$57="P"))+SUMPRODUCT((N$3:N$57&lt;&gt;"")*(G$3:G$57=G19)*(I$3:I$57="P"))+SUMPRODUCT((P$3:P$57="")*(O$3:O$57="")*(N$3:N$57="")*(M$3:M$57="P")*(G$3:G$57=G19)*(J$3:J$57&gt;J19)*(I$3:I$57="P"))+IF(H19="L5",SUMPRODUCT((P$3:P$57="")*(O$3:O$57="")*(N$3:N$57="")*(M$3:M$57="P")*(G$3:G$57=G19)*(J$3:J$57&lt;J19)*(H$3:H$57&lt;&gt;H19)*(I$3:I$57="P")),-1*SUMPRODUCT((P$3:P$57="")*(O$3:O$57="")*(N$3:N$57="")*(M$3:M$57="P")*(G$3:G$57=G19)*(J$3:J$57&gt;J19)*(H$3:H$57="L5")*(I$3:I$57="P")))+1,"")))))</f>
        <v/>
      </c>
      <c r="B19" s="1" t="str" cm="1">
        <f t="array" ref="B19">IF(P19&lt;&gt;"",SUMPRODUCT((P$3:P$57&lt;&gt;"")*(G$3:G$57=G19)*(J$3:J$57&gt;J19))+1,IF(O19&lt;&gt;"",SUMPRODUCT((O$3:O$57&lt;&gt;"")*(P$3:P$57="")*(G$3:G$57=G19)*(J$3:J$57&gt;J19))+SUMPRODUCT((P$3:P$57&lt;&gt;"")*(G$3:G$57=G19))+1,IF(N19&lt;&gt;"",SUMPRODUCT((N$3:N$57&lt;&gt;"")*(G$3:G$57=G19)*(J$3:J$57&gt;J19))+1,IF(M19="P",SUMPRODUCT((O$3:O$57&lt;&gt;"")*(P$3:P$57="")*(G$3:G$57=G19))+SUMPRODUCT((P$3:P$57&lt;&gt;"")*(G$3:G$57=G19))+SUMPRODUCT((N$3:N$57&lt;&gt;"")*(G$3:G$57=G19))+SUMPRODUCT((P$3:P$57="")*(O$3:O$57="")*(N$3:N$57="")*(M$3:M$57="P")*(G$3:G$57=G19)*(J$3:J$57&gt;J19))+IF(H19="L5",SUMPRODUCT((P$3:P$57="")*(O$3:O$57="")*(N$3:N$57="")*(M$3:M$57="P")*(G$3:G$57=G19)*(J$3:J$57&lt;J19)*(H$3:H$57&lt;&gt;H19)),-1*SUMPRODUCT((P$3:P$57="")*(O$3:O$57="")*(N$3:N$57="")*(M$3:M$57="P")*(G$3:G$57=G19)*(J$3:J$57&gt;J19)*(H$3:H$57="L5")))+1,""))))</f>
        <v/>
      </c>
      <c r="C19" s="35" t="s">
        <v>287</v>
      </c>
      <c r="D19" s="35" t="str">
        <f>IF(E19="","",VLOOKUP(E19,'Coaching Points'!A:B,2,0))</f>
        <v>BC</v>
      </c>
      <c r="E19" s="35" t="s">
        <v>60</v>
      </c>
      <c r="F19" s="34">
        <v>2007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72</v>
      </c>
      <c r="I19" s="40"/>
      <c r="J19" s="4">
        <f t="shared" si="0"/>
        <v>47.300199999999997</v>
      </c>
      <c r="K19" s="3" t="str">
        <f>IF(G19="Not Age Eligible","",IF(MAX(T19,W19,Z19,AC19)&gt;=LOOKUP(G19,'Qualifying Scores'!$A$4:$A$7,'Qualifying Scores'!$F$4:$F$7),"P",""))</f>
        <v/>
      </c>
      <c r="L19" s="3" t="str">
        <f>IF(G19="Not Age Eligible","",IF(MAX(U19,X19,AA19,AD19)&gt;=LOOKUP(G19,'Qualifying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Scores'!$F$10:$F$13)),AND(Z19&gt;=LOOKUP(G19,'Qualifying Scores'!$A$4:$A$7,'Qualifying Scores'!$F$4:$F$7),AA19&gt;=LOOKUP(G19,'Qualifying Scores'!$A$10:$A$13,'Qualifying Scores'!$F$10:$F$13)),AND(W19&gt;=LOOKUP(G19,'Qualifying Scores'!$A$4:$A$7,'Qualifying Scores'!$F$4:$F$7),X19&gt;=LOOKUP(G19,'Qualifying Scores'!$A$10:$A$13,'Qualifying Scores'!$F$10:$F$13)),AND(AC19&gt;=LOOKUP(G19,'Qualifying Scores'!$A$4:$A$7,'Qualifying Scores'!$F$4:$F$7),AD19&gt;=LOOKUP(G19,'Qualifying Scores'!$A$10:$A$13,'Qualifying Scores'!$F$10:$F$13))),"P",""))</f>
        <v/>
      </c>
      <c r="Q19" s="1" t="str">
        <f t="shared" si="1"/>
        <v/>
      </c>
      <c r="R19" s="4">
        <f t="shared" si="2"/>
        <v>47.3</v>
      </c>
      <c r="S19" s="4">
        <f t="shared" si="3"/>
        <v>0</v>
      </c>
      <c r="T19" s="32">
        <v>47.3</v>
      </c>
      <c r="U19" s="37">
        <v>12</v>
      </c>
      <c r="V19" s="37">
        <v>0</v>
      </c>
      <c r="W19" s="33"/>
      <c r="X19" s="37"/>
      <c r="Y19" s="37"/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$57&lt;&gt;"")*(G$3:G$57=G20)*(J$3:J$57&gt;J20)*(I$3:I$57="P"))+1,IF(O20&lt;&gt;"",SUMPRODUCT((O$3:O$57&lt;&gt;"")*(P$3:P$57="")*(G$3:G$57=G20)*(J$3:J$57&gt;J20)*(I$3:I$57="P"))+SUMPRODUCT((P$3:P$57&lt;&gt;"")*(G$3:G$57=G20)*(I$3:I$57="P"))+1,IF(N20&lt;&gt;"",SUMPRODUCT((N$3:N$57&lt;&gt;"")*(G$3:G$57=G20)*(J$3:J$57&gt;J20)*(I$3:I$57="P"))+1,IF(M20="P",SUMPRODUCT((O$3:O$57&lt;&gt;"")*(P$3:P$57="")*(G$3:G$57=G20)*(I$3:I$57="P"))+SUMPRODUCT((P$3:P$57&lt;&gt;"")*(G$3:G$57=G20)*(I$3:I$57="P"))+SUMPRODUCT((N$3:N$57&lt;&gt;"")*(G$3:G$57=G20)*(I$3:I$57="P"))+SUMPRODUCT((P$3:P$57="")*(O$3:O$57="")*(N$3:N$57="")*(M$3:M$57="P")*(G$3:G$57=G20)*(J$3:J$57&gt;J20)*(I$3:I$57="P"))+IF(H20="L5",SUMPRODUCT((P$3:P$57="")*(O$3:O$57="")*(N$3:N$57="")*(M$3:M$57="P")*(G$3:G$57=G20)*(J$3:J$57&lt;J20)*(H$3:H$57&lt;&gt;H20)*(I$3:I$57="P")),-1*SUMPRODUCT((P$3:P$57="")*(O$3:O$57="")*(N$3:N$57="")*(M$3:M$57="P")*(G$3:G$57=G20)*(J$3:J$57&gt;J20)*(H$3:H$57="L5")*(I$3:I$57="P")))+1,"")))))</f>
        <v/>
      </c>
      <c r="B20" s="1" t="str" cm="1">
        <f t="array" ref="B20">IF(P20&lt;&gt;"",SUMPRODUCT((P$3:P$57&lt;&gt;"")*(G$3:G$57=G20)*(J$3:J$57&gt;J20))+1,IF(O20&lt;&gt;"",SUMPRODUCT((O$3:O$57&lt;&gt;"")*(P$3:P$57="")*(G$3:G$57=G20)*(J$3:J$57&gt;J20))+SUMPRODUCT((P$3:P$57&lt;&gt;"")*(G$3:G$57=G20))+1,IF(N20&lt;&gt;"",SUMPRODUCT((N$3:N$57&lt;&gt;"")*(G$3:G$57=G20)*(J$3:J$57&gt;J20))+1,IF(M20="P",SUMPRODUCT((O$3:O$57&lt;&gt;"")*(P$3:P$57="")*(G$3:G$57=G20))+SUMPRODUCT((P$3:P$57&lt;&gt;"")*(G$3:G$57=G20))+SUMPRODUCT((N$3:N$57&lt;&gt;"")*(G$3:G$57=G20))+SUMPRODUCT((P$3:P$57="")*(O$3:O$57="")*(N$3:N$57="")*(M$3:M$57="P")*(G$3:G$57=G20)*(J$3:J$57&gt;J20))+IF(H20="L5",SUMPRODUCT((P$3:P$57="")*(O$3:O$57="")*(N$3:N$57="")*(M$3:M$57="P")*(G$3:G$57=G20)*(J$3:J$57&lt;J20)*(H$3:H$57&lt;&gt;H20)),-1*SUMPRODUCT((P$3:P$57="")*(O$3:O$57="")*(N$3:N$57="")*(M$3:M$57="P")*(G$3:G$57=G20)*(J$3:J$57&gt;J20)*(H$3:H$57="L5")))+1,""))))</f>
        <v/>
      </c>
      <c r="C20" s="35" t="s">
        <v>167</v>
      </c>
      <c r="D20" s="35" t="str">
        <f>IF(E20="","",VLOOKUP(E20,'Coaching Points'!A:B,2,0))</f>
        <v>AB</v>
      </c>
      <c r="E20" s="35" t="s">
        <v>39</v>
      </c>
      <c r="F20" s="34">
        <v>2007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72</v>
      </c>
      <c r="I20" s="40"/>
      <c r="J20" s="4">
        <f t="shared" si="0"/>
        <v>46.800199999999997</v>
      </c>
      <c r="K20" s="3" t="str">
        <f>IF(G20="Not Age Eligible","",IF(MAX(T20,W20,Z20,AC20)&gt;=LOOKUP(G20,'Qualifying Scores'!$A$4:$A$7,'Qualifying Scores'!$F$4:$F$7),"P",""))</f>
        <v/>
      </c>
      <c r="L20" s="3" t="str">
        <f>IF(G20="Not Age Eligible","",IF(MAX(U20,X20,AA20,AD20)&gt;=LOOKUP(G20,'Qualifying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Scores'!$F$10:$F$13)),AND(Z20&gt;=LOOKUP(G20,'Qualifying Scores'!$A$4:$A$7,'Qualifying Scores'!$F$4:$F$7),AA20&gt;=LOOKUP(G20,'Qualifying Scores'!$A$10:$A$13,'Qualifying Scores'!$F$10:$F$13)),AND(W20&gt;=LOOKUP(G20,'Qualifying Scores'!$A$4:$A$7,'Qualifying Scores'!$F$4:$F$7),X20&gt;=LOOKUP(G20,'Qualifying Scores'!$A$10:$A$13,'Qualifying Scores'!$F$10:$F$13)),AND(AC20&gt;=LOOKUP(G20,'Qualifying Scores'!$A$4:$A$7,'Qualifying Scores'!$F$4:$F$7),AD20&gt;=LOOKUP(G20,'Qualifying Scores'!$A$10:$A$13,'Qualifying Scores'!$F$10:$F$13))),"P",""))</f>
        <v/>
      </c>
      <c r="Q20" s="1" t="str">
        <f t="shared" si="1"/>
        <v/>
      </c>
      <c r="R20" s="4">
        <f t="shared" si="2"/>
        <v>46.8</v>
      </c>
      <c r="S20" s="4">
        <f t="shared" si="3"/>
        <v>0</v>
      </c>
      <c r="T20" s="32">
        <v>46.8</v>
      </c>
      <c r="U20" s="37">
        <v>11.2</v>
      </c>
      <c r="V20" s="37">
        <v>0</v>
      </c>
      <c r="W20" s="33"/>
      <c r="X20" s="37"/>
      <c r="Y20" s="37"/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$57&lt;&gt;"")*(G$3:G$57=G21)*(J$3:J$57&gt;J21)*(I$3:I$57="P"))+1,IF(O21&lt;&gt;"",SUMPRODUCT((O$3:O$57&lt;&gt;"")*(P$3:P$57="")*(G$3:G$57=G21)*(J$3:J$57&gt;J21)*(I$3:I$57="P"))+SUMPRODUCT((P$3:P$57&lt;&gt;"")*(G$3:G$57=G21)*(I$3:I$57="P"))+1,IF(N21&lt;&gt;"",SUMPRODUCT((N$3:N$57&lt;&gt;"")*(G$3:G$57=G21)*(J$3:J$57&gt;J21)*(I$3:I$57="P"))+1,IF(M21="P",SUMPRODUCT((O$3:O$57&lt;&gt;"")*(P$3:P$57="")*(G$3:G$57=G21)*(I$3:I$57="P"))+SUMPRODUCT((P$3:P$57&lt;&gt;"")*(G$3:G$57=G21)*(I$3:I$57="P"))+SUMPRODUCT((N$3:N$57&lt;&gt;"")*(G$3:G$57=G21)*(I$3:I$57="P"))+SUMPRODUCT((P$3:P$57="")*(O$3:O$57="")*(N$3:N$57="")*(M$3:M$57="P")*(G$3:G$57=G21)*(J$3:J$57&gt;J21)*(I$3:I$57="P"))+IF(H21="L5",SUMPRODUCT((P$3:P$57="")*(O$3:O$57="")*(N$3:N$57="")*(M$3:M$57="P")*(G$3:G$57=G21)*(J$3:J$57&lt;J21)*(H$3:H$57&lt;&gt;H21)*(I$3:I$57="P")),-1*SUMPRODUCT((P$3:P$57="")*(O$3:O$57="")*(N$3:N$57="")*(M$3:M$57="P")*(G$3:G$57=G21)*(J$3:J$57&gt;J21)*(H$3:H$57="L5")*(I$3:I$57="P")))+1,"")))))</f>
        <v/>
      </c>
      <c r="B21" s="1" t="str" cm="1">
        <f t="array" ref="B21">IF(P21&lt;&gt;"",SUMPRODUCT((P$3:P$57&lt;&gt;"")*(G$3:G$57=G21)*(J$3:J$57&gt;J21))+1,IF(O21&lt;&gt;"",SUMPRODUCT((O$3:O$57&lt;&gt;"")*(P$3:P$57="")*(G$3:G$57=G21)*(J$3:J$57&gt;J21))+SUMPRODUCT((P$3:P$57&lt;&gt;"")*(G$3:G$57=G21))+1,IF(N21&lt;&gt;"",SUMPRODUCT((N$3:N$57&lt;&gt;"")*(G$3:G$57=G21)*(J$3:J$57&gt;J21))+1,IF(M21="P",SUMPRODUCT((O$3:O$57&lt;&gt;"")*(P$3:P$57="")*(G$3:G$57=G21))+SUMPRODUCT((P$3:P$57&lt;&gt;"")*(G$3:G$57=G21))+SUMPRODUCT((N$3:N$57&lt;&gt;"")*(G$3:G$57=G21))+SUMPRODUCT((P$3:P$57="")*(O$3:O$57="")*(N$3:N$57="")*(M$3:M$57="P")*(G$3:G$57=G21)*(J$3:J$57&gt;J21))+IF(H21="L5",SUMPRODUCT((P$3:P$57="")*(O$3:O$57="")*(N$3:N$57="")*(M$3:M$57="P")*(G$3:G$57=G21)*(J$3:J$57&lt;J21)*(H$3:H$57&lt;&gt;H21)),-1*SUMPRODUCT((P$3:P$57="")*(O$3:O$57="")*(N$3:N$57="")*(M$3:M$57="P")*(G$3:G$57=G21)*(J$3:J$57&gt;J21)*(H$3:H$57="L5")))+1,""))))</f>
        <v/>
      </c>
      <c r="C21" s="35" t="s">
        <v>84</v>
      </c>
      <c r="D21" s="35" t="str">
        <f>IF(E21="","",VLOOKUP(E21,'Coaching Points'!A:B,2,0))</f>
        <v>AB</v>
      </c>
      <c r="E21" s="35" t="s">
        <v>68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66</v>
      </c>
      <c r="I21" s="40"/>
      <c r="J21" s="4">
        <f t="shared" si="0"/>
        <v>46.8001</v>
      </c>
      <c r="K21" s="3" t="str">
        <f>IF(G21="Not Age Eligible","",IF(MAX(T21,W21,Z21,AC21)&gt;=LOOKUP(G21,'Qualifying Scores'!$A$4:$A$7,'Qualifying Scores'!$F$4:$F$7),"P",""))</f>
        <v/>
      </c>
      <c r="L21" s="3" t="str">
        <f>IF(G21="Not Age Eligible","",IF(MAX(U21,X21,AA21,AD21)&gt;=LOOKUP(G21,'Qualifying Scores'!$A$10:$A$13,'Qualifying Scores'!$F$10:$F$13),"P",""))</f>
        <v/>
      </c>
      <c r="M21" s="3" t="str">
        <f>IF(G21="Not Age Eligible","",IF(OR(AND(T21&gt;=LOOKUP(G21,'Qualifying Scores'!$A$4:$A$7,'Qualifying Scores'!$F$4:$F$7),U21&gt;=LOOKUP(G21,'Qualifying Scores'!$A$10:$A$13,'Qualifying Scores'!$F$10:$F$13)),AND(Z21&gt;=LOOKUP(G21,'Qualifying Scores'!$A$4:$A$7,'Qualifying Scores'!$F$4:$F$7),AA21&gt;=LOOKUP(G21,'Qualifying Scores'!$A$10:$A$13,'Qualifying Scores'!$F$10:$F$13)),AND(W21&gt;=LOOKUP(G21,'Qualifying Scores'!$A$4:$A$7,'Qualifying Scores'!$F$4:$F$7),X21&gt;=LOOKUP(G21,'Qualifying Scores'!$A$10:$A$13,'Qualifying Scores'!$F$10:$F$13)),AND(AC21&gt;=LOOKUP(G21,'Qualifying Scores'!$A$4:$A$7,'Qualifying Scores'!$F$4:$F$7),AD21&gt;=LOOKUP(G21,'Qualifying Scores'!$A$10:$A$13,'Qualifying Scores'!$F$10:$F$13))),"P",""))</f>
        <v/>
      </c>
      <c r="Q21" s="1" t="str">
        <f t="shared" si="1"/>
        <v/>
      </c>
      <c r="R21" s="4">
        <f t="shared" si="2"/>
        <v>46.8</v>
      </c>
      <c r="S21" s="4">
        <f t="shared" si="3"/>
        <v>45.4</v>
      </c>
      <c r="T21" s="32">
        <v>45.4</v>
      </c>
      <c r="U21" s="37">
        <v>8.6999999999999993</v>
      </c>
      <c r="V21" s="37">
        <v>0</v>
      </c>
      <c r="W21" s="33">
        <v>46.8</v>
      </c>
      <c r="X21" s="37">
        <v>9.5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$57&lt;&gt;"")*(G$3:G$57=G22)*(J$3:J$57&gt;J22)*(I$3:I$57="P"))+1,IF(O22&lt;&gt;"",SUMPRODUCT((O$3:O$57&lt;&gt;"")*(P$3:P$57="")*(G$3:G$57=G22)*(J$3:J$57&gt;J22)*(I$3:I$57="P"))+SUMPRODUCT((P$3:P$57&lt;&gt;"")*(G$3:G$57=G22)*(I$3:I$57="P"))+1,IF(N22&lt;&gt;"",SUMPRODUCT((N$3:N$57&lt;&gt;"")*(G$3:G$57=G22)*(J$3:J$57&gt;J22)*(I$3:I$57="P"))+1,IF(M22="P",SUMPRODUCT((O$3:O$57&lt;&gt;"")*(P$3:P$57="")*(G$3:G$57=G22)*(I$3:I$57="P"))+SUMPRODUCT((P$3:P$57&lt;&gt;"")*(G$3:G$57=G22)*(I$3:I$57="P"))+SUMPRODUCT((N$3:N$57&lt;&gt;"")*(G$3:G$57=G22)*(I$3:I$57="P"))+SUMPRODUCT((P$3:P$57="")*(O$3:O$57="")*(N$3:N$57="")*(M$3:M$57="P")*(G$3:G$57=G22)*(J$3:J$57&gt;J22)*(I$3:I$57="P"))+IF(H22="L5",SUMPRODUCT((P$3:P$57="")*(O$3:O$57="")*(N$3:N$57="")*(M$3:M$57="P")*(G$3:G$57=G22)*(J$3:J$57&lt;J22)*(H$3:H$57&lt;&gt;H22)*(I$3:I$57="P")),-1*SUMPRODUCT((P$3:P$57="")*(O$3:O$57="")*(N$3:N$57="")*(M$3:M$57="P")*(G$3:G$57=G22)*(J$3:J$57&gt;J22)*(H$3:H$57="L5")*(I$3:I$57="P")))+1,"")))))</f>
        <v/>
      </c>
      <c r="B22" s="1" t="str" cm="1">
        <f t="array" ref="B22">IF(P22&lt;&gt;"",SUMPRODUCT((P$3:P$57&lt;&gt;"")*(G$3:G$57=G22)*(J$3:J$57&gt;J22))+1,IF(O22&lt;&gt;"",SUMPRODUCT((O$3:O$57&lt;&gt;"")*(P$3:P$57="")*(G$3:G$57=G22)*(J$3:J$57&gt;J22))+SUMPRODUCT((P$3:P$57&lt;&gt;"")*(G$3:G$57=G22))+1,IF(N22&lt;&gt;"",SUMPRODUCT((N$3:N$57&lt;&gt;"")*(G$3:G$57=G22)*(J$3:J$57&gt;J22))+1,IF(M22="P",SUMPRODUCT((O$3:O$57&lt;&gt;"")*(P$3:P$57="")*(G$3:G$57=G22))+SUMPRODUCT((P$3:P$57&lt;&gt;"")*(G$3:G$57=G22))+SUMPRODUCT((N$3:N$57&lt;&gt;"")*(G$3:G$57=G22))+SUMPRODUCT((P$3:P$57="")*(O$3:O$57="")*(N$3:N$57="")*(M$3:M$57="P")*(G$3:G$57=G22)*(J$3:J$57&gt;J22))+IF(H22="L5",SUMPRODUCT((P$3:P$57="")*(O$3:O$57="")*(N$3:N$57="")*(M$3:M$57="P")*(G$3:G$57=G22)*(J$3:J$57&lt;J22)*(H$3:H$57&lt;&gt;H22)),-1*SUMPRODUCT((P$3:P$57="")*(O$3:O$57="")*(N$3:N$57="")*(M$3:M$57="P")*(G$3:G$57=G22)*(J$3:J$57&gt;J22)*(H$3:H$57="L5")))+1,""))))</f>
        <v/>
      </c>
      <c r="C22" s="35" t="s">
        <v>171</v>
      </c>
      <c r="D22" s="35" t="str">
        <f>IF(E22="","",VLOOKUP(E22,'Coaching Points'!A:B,2,0))</f>
        <v>AB</v>
      </c>
      <c r="E22" s="35" t="s">
        <v>28</v>
      </c>
      <c r="F22" s="34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66</v>
      </c>
      <c r="I22" s="40"/>
      <c r="J22" s="4">
        <f t="shared" si="0"/>
        <v>45.600100000000005</v>
      </c>
      <c r="K22" s="3" t="str">
        <f>IF(G22="Not Age Eligible","",IF(MAX(T22,W22,Z22,AC22)&gt;=LOOKUP(G22,'Qualifying Scores'!$A$4:$A$7,'Qualifying Scores'!$F$4:$F$7),"P",""))</f>
        <v/>
      </c>
      <c r="L22" s="3" t="str">
        <f>IF(G22="Not Age Eligible","",IF(MAX(U22,X22,AA22,AD22)&gt;=LOOKUP(G22,'Qualifying Scores'!$A$10:$A$13,'Qualifying Scores'!$F$10:$F$13),"P",""))</f>
        <v/>
      </c>
      <c r="M22" s="3" t="str">
        <f>IF(G22="Not Age Eligible","",IF(OR(AND(T22&gt;=LOOKUP(G22,'Qualifying Scores'!$A$4:$A$7,'Qualifying Scores'!$F$4:$F$7),U22&gt;=LOOKUP(G22,'Qualifying Scores'!$A$10:$A$13,'Qualifying Scores'!$F$10:$F$13)),AND(Z22&gt;=LOOKUP(G22,'Qualifying Scores'!$A$4:$A$7,'Qualifying Scores'!$F$4:$F$7),AA22&gt;=LOOKUP(G22,'Qualifying Scores'!$A$10:$A$13,'Qualifying Scores'!$F$10:$F$13)),AND(W22&gt;=LOOKUP(G22,'Qualifying Scores'!$A$4:$A$7,'Qualifying Scores'!$F$4:$F$7),X22&gt;=LOOKUP(G22,'Qualifying Scores'!$A$10:$A$13,'Qualifying Scores'!$F$10:$F$13)),AND(AC22&gt;=LOOKUP(G22,'Qualifying Scores'!$A$4:$A$7,'Qualifying Scores'!$F$4:$F$7),AD22&gt;=LOOKUP(G22,'Qualifying Scores'!$A$10:$A$13,'Qualifying Scores'!$F$10:$F$13))),"P",""))</f>
        <v/>
      </c>
      <c r="Q22" s="1" t="str">
        <f t="shared" si="1"/>
        <v/>
      </c>
      <c r="R22" s="4">
        <f t="shared" si="2"/>
        <v>45.6</v>
      </c>
      <c r="S22" s="4">
        <f t="shared" si="3"/>
        <v>24</v>
      </c>
      <c r="T22" s="32">
        <v>45.6</v>
      </c>
      <c r="U22" s="37">
        <v>9.6</v>
      </c>
      <c r="V22" s="37">
        <v>0</v>
      </c>
      <c r="W22" s="33">
        <v>24</v>
      </c>
      <c r="X22" s="37">
        <v>6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$57&lt;&gt;"")*(G$3:G$57=G23)*(J$3:J$57&gt;J23)*(I$3:I$57="P"))+1,IF(O23&lt;&gt;"",SUMPRODUCT((O$3:O$57&lt;&gt;"")*(P$3:P$57="")*(G$3:G$57=G23)*(J$3:J$57&gt;J23)*(I$3:I$57="P"))+SUMPRODUCT((P$3:P$57&lt;&gt;"")*(G$3:G$57=G23)*(I$3:I$57="P"))+1,IF(N23&lt;&gt;"",SUMPRODUCT((N$3:N$57&lt;&gt;"")*(G$3:G$57=G23)*(J$3:J$57&gt;J23)*(I$3:I$57="P"))+1,IF(M23="P",SUMPRODUCT((O$3:O$57&lt;&gt;"")*(P$3:P$57="")*(G$3:G$57=G23)*(I$3:I$57="P"))+SUMPRODUCT((P$3:P$57&lt;&gt;"")*(G$3:G$57=G23)*(I$3:I$57="P"))+SUMPRODUCT((N$3:N$57&lt;&gt;"")*(G$3:G$57=G23)*(I$3:I$57="P"))+SUMPRODUCT((P$3:P$57="")*(O$3:O$57="")*(N$3:N$57="")*(M$3:M$57="P")*(G$3:G$57=G23)*(J$3:J$57&gt;J23)*(I$3:I$57="P"))+IF(H23="L5",SUMPRODUCT((P$3:P$57="")*(O$3:O$57="")*(N$3:N$57="")*(M$3:M$57="P")*(G$3:G$57=G23)*(J$3:J$57&lt;J23)*(H$3:H$57&lt;&gt;H23)*(I$3:I$57="P")),-1*SUMPRODUCT((P$3:P$57="")*(O$3:O$57="")*(N$3:N$57="")*(M$3:M$57="P")*(G$3:G$57=G23)*(J$3:J$57&gt;J23)*(H$3:H$57="L5")*(I$3:I$57="P")))+1,"")))))</f>
        <v/>
      </c>
      <c r="B23" s="1" t="str" cm="1">
        <f t="array" ref="B23">IF(P23&lt;&gt;"",SUMPRODUCT((P$3:P$57&lt;&gt;"")*(G$3:G$57=G23)*(J$3:J$57&gt;J23))+1,IF(O23&lt;&gt;"",SUMPRODUCT((O$3:O$57&lt;&gt;"")*(P$3:P$57="")*(G$3:G$57=G23)*(J$3:J$57&gt;J23))+SUMPRODUCT((P$3:P$57&lt;&gt;"")*(G$3:G$57=G23))+1,IF(N23&lt;&gt;"",SUMPRODUCT((N$3:N$57&lt;&gt;"")*(G$3:G$57=G23)*(J$3:J$57&gt;J23))+1,IF(M23="P",SUMPRODUCT((O$3:O$57&lt;&gt;"")*(P$3:P$57="")*(G$3:G$57=G23))+SUMPRODUCT((P$3:P$57&lt;&gt;"")*(G$3:G$57=G23))+SUMPRODUCT((N$3:N$57&lt;&gt;"")*(G$3:G$57=G23))+SUMPRODUCT((P$3:P$57="")*(O$3:O$57="")*(N$3:N$57="")*(M$3:M$57="P")*(G$3:G$57=G23)*(J$3:J$57&gt;J23))+IF(H23="L5",SUMPRODUCT((P$3:P$57="")*(O$3:O$57="")*(N$3:N$57="")*(M$3:M$57="P")*(G$3:G$57=G23)*(J$3:J$57&lt;J23)*(H$3:H$57&lt;&gt;H23)),-1*SUMPRODUCT((P$3:P$57="")*(O$3:O$57="")*(N$3:N$57="")*(M$3:M$57="P")*(G$3:G$57=G23)*(J$3:J$57&gt;J23)*(H$3:H$57="L5")))+1,""))))</f>
        <v/>
      </c>
      <c r="C23" s="35" t="s">
        <v>288</v>
      </c>
      <c r="D23" s="35" t="str">
        <f>IF(E23="","",VLOOKUP(E23,'Coaching Points'!A:B,2,0))</f>
        <v>ON</v>
      </c>
      <c r="E23" s="35" t="s">
        <v>45</v>
      </c>
      <c r="F23" s="34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64</v>
      </c>
      <c r="I23" s="40"/>
      <c r="J23" s="4">
        <f t="shared" si="0"/>
        <v>44.9</v>
      </c>
      <c r="K23" s="3" t="str">
        <f>IF(G23="Not Age Eligible","",IF(MAX(T23,W23,Z23,AC23)&gt;=LOOKUP(G23,'Qualifying Scores'!$A$4:$A$7,'Qualifying Scores'!$F$4:$F$7),"P",""))</f>
        <v/>
      </c>
      <c r="L23" s="3" t="str">
        <f>IF(G23="Not Age Eligible","",IF(MAX(U23,X23,AA23,AD23)&gt;=LOOKUP(G23,'Qualifying Scores'!$A$10:$A$13,'Qualifying Scores'!$F$10:$F$13),"P",""))</f>
        <v/>
      </c>
      <c r="M23" s="3" t="str">
        <f>IF(G23="Not Age Eligible","",IF(OR(AND(T23&gt;=LOOKUP(G23,'Qualifying Scores'!$A$4:$A$7,'Qualifying Scores'!$F$4:$F$7),U23&gt;=LOOKUP(G23,'Qualifying Scores'!$A$10:$A$13,'Qualifying Scores'!$F$10:$F$13)),AND(Z23&gt;=LOOKUP(G23,'Qualifying Scores'!$A$4:$A$7,'Qualifying Scores'!$F$4:$F$7),AA23&gt;=LOOKUP(G23,'Qualifying Scores'!$A$10:$A$13,'Qualifying Scores'!$F$10:$F$13)),AND(W23&gt;=LOOKUP(G23,'Qualifying Scores'!$A$4:$A$7,'Qualifying Scores'!$F$4:$F$7),X23&gt;=LOOKUP(G23,'Qualifying Scores'!$A$10:$A$13,'Qualifying Scores'!$F$10:$F$13)),AND(AC23&gt;=LOOKUP(G23,'Qualifying Scores'!$A$4:$A$7,'Qualifying Scores'!$F$4:$F$7),AD23&gt;=LOOKUP(G23,'Qualifying Scores'!$A$10:$A$13,'Qualifying Scores'!$F$10:$F$13))),"P",""))</f>
        <v/>
      </c>
      <c r="Q23" s="1" t="str">
        <f t="shared" si="1"/>
        <v/>
      </c>
      <c r="R23" s="4">
        <f t="shared" si="2"/>
        <v>44.9</v>
      </c>
      <c r="S23" s="4">
        <f t="shared" si="3"/>
        <v>20.6</v>
      </c>
      <c r="T23" s="32">
        <v>44.9</v>
      </c>
      <c r="U23" s="37">
        <v>7.1</v>
      </c>
      <c r="V23" s="37">
        <v>0</v>
      </c>
      <c r="W23" s="33">
        <v>20.6</v>
      </c>
      <c r="X23" s="37">
        <v>3.4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$57&lt;&gt;"")*(G$3:G$57=G24)*(J$3:J$57&gt;J24)*(I$3:I$57="P"))+1,IF(O24&lt;&gt;"",SUMPRODUCT((O$3:O$57&lt;&gt;"")*(P$3:P$57="")*(G$3:G$57=G24)*(J$3:J$57&gt;J24)*(I$3:I$57="P"))+SUMPRODUCT((P$3:P$57&lt;&gt;"")*(G$3:G$57=G24)*(I$3:I$57="P"))+1,IF(N24&lt;&gt;"",SUMPRODUCT((N$3:N$57&lt;&gt;"")*(G$3:G$57=G24)*(J$3:J$57&gt;J24)*(I$3:I$57="P"))+1,IF(M24="P",SUMPRODUCT((O$3:O$57&lt;&gt;"")*(P$3:P$57="")*(G$3:G$57=G24)*(I$3:I$57="P"))+SUMPRODUCT((P$3:P$57&lt;&gt;"")*(G$3:G$57=G24)*(I$3:I$57="P"))+SUMPRODUCT((N$3:N$57&lt;&gt;"")*(G$3:G$57=G24)*(I$3:I$57="P"))+SUMPRODUCT((P$3:P$57="")*(O$3:O$57="")*(N$3:N$57="")*(M$3:M$57="P")*(G$3:G$57=G24)*(J$3:J$57&gt;J24)*(I$3:I$57="P"))+IF(H24="L5",SUMPRODUCT((P$3:P$57="")*(O$3:O$57="")*(N$3:N$57="")*(M$3:M$57="P")*(G$3:G$57=G24)*(J$3:J$57&lt;J24)*(H$3:H$57&lt;&gt;H24)*(I$3:I$57="P")),-1*SUMPRODUCT((P$3:P$57="")*(O$3:O$57="")*(N$3:N$57="")*(M$3:M$57="P")*(G$3:G$57=G24)*(J$3:J$57&gt;J24)*(H$3:H$57="L5")*(I$3:I$57="P")))+1,"")))))</f>
        <v/>
      </c>
      <c r="B24" s="1" t="str" cm="1">
        <f t="array" ref="B24">IF(P24&lt;&gt;"",SUMPRODUCT((P$3:P$57&lt;&gt;"")*(G$3:G$57=G24)*(J$3:J$57&gt;J24))+1,IF(O24&lt;&gt;"",SUMPRODUCT((O$3:O$57&lt;&gt;"")*(P$3:P$57="")*(G$3:G$57=G24)*(J$3:J$57&gt;J24))+SUMPRODUCT((P$3:P$57&lt;&gt;"")*(G$3:G$57=G24))+1,IF(N24&lt;&gt;"",SUMPRODUCT((N$3:N$57&lt;&gt;"")*(G$3:G$57=G24)*(J$3:J$57&gt;J24))+1,IF(M24="P",SUMPRODUCT((O$3:O$57&lt;&gt;"")*(P$3:P$57="")*(G$3:G$57=G24))+SUMPRODUCT((P$3:P$57&lt;&gt;"")*(G$3:G$57=G24))+SUMPRODUCT((N$3:N$57&lt;&gt;"")*(G$3:G$57=G24))+SUMPRODUCT((P$3:P$57="")*(O$3:O$57="")*(N$3:N$57="")*(M$3:M$57="P")*(G$3:G$57=G24)*(J$3:J$57&gt;J24))+IF(H24="L5",SUMPRODUCT((P$3:P$57="")*(O$3:O$57="")*(N$3:N$57="")*(M$3:M$57="P")*(G$3:G$57=G24)*(J$3:J$57&lt;J24)*(H$3:H$57&lt;&gt;H24)),-1*SUMPRODUCT((P$3:P$57="")*(O$3:O$57="")*(N$3:N$57="")*(M$3:M$57="P")*(G$3:G$57=G24)*(J$3:J$57&gt;J24)*(H$3:H$57="L5")))+1,""))))</f>
        <v/>
      </c>
      <c r="C24" s="35" t="s">
        <v>168</v>
      </c>
      <c r="D24" s="35" t="str">
        <f>IF(E24="","",VLOOKUP(E24,'Coaching Points'!A:B,2,0))</f>
        <v>BC</v>
      </c>
      <c r="E24" s="35" t="s">
        <v>198</v>
      </c>
      <c r="F24" s="34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72</v>
      </c>
      <c r="I24" s="40"/>
      <c r="J24" s="4">
        <f t="shared" si="0"/>
        <v>44.700200000000002</v>
      </c>
      <c r="K24" s="3" t="str">
        <f>IF(G24="Not Age Eligible","",IF(MAX(T24,W24,Z24,AC24)&gt;=LOOKUP(G24,'Qualifying Scores'!$A$4:$A$7,'Qualifying Scores'!$F$4:$F$7),"P",""))</f>
        <v/>
      </c>
      <c r="L24" s="3" t="str">
        <f>IF(G24="Not Age Eligible","",IF(MAX(U24,X24,AA24,AD24)&gt;=LOOKUP(G24,'Qualifying Scores'!$A$10:$A$13,'Qualifying Scores'!$F$10:$F$13),"P",""))</f>
        <v>P</v>
      </c>
      <c r="M24" s="3" t="str">
        <f>IF(G24="Not Age Eligible","",IF(OR(AND(T24&gt;=LOOKUP(G24,'Qualifying Scores'!$A$4:$A$7,'Qualifying Scores'!$F$4:$F$7),U24&gt;=LOOKUP(G24,'Qualifying Scores'!$A$10:$A$13,'Qualifying Scores'!$F$10:$F$13)),AND(Z24&gt;=LOOKUP(G24,'Qualifying Scores'!$A$4:$A$7,'Qualifying Scores'!$F$4:$F$7),AA24&gt;=LOOKUP(G24,'Qualifying Scores'!$A$10:$A$13,'Qualifying Scores'!$F$10:$F$13)),AND(W24&gt;=LOOKUP(G24,'Qualifying Scores'!$A$4:$A$7,'Qualifying Scores'!$F$4:$F$7),X24&gt;=LOOKUP(G24,'Qualifying Scores'!$A$10:$A$13,'Qualifying Scores'!$F$10:$F$13)),AND(AC24&gt;=LOOKUP(G24,'Qualifying Scores'!$A$4:$A$7,'Qualifying Scores'!$F$4:$F$7),AD24&gt;=LOOKUP(G24,'Qualifying Scores'!$A$10:$A$13,'Qualifying Scores'!$F$10:$F$13))),"P",""))</f>
        <v/>
      </c>
      <c r="Q24" s="1" t="str">
        <f t="shared" si="1"/>
        <v/>
      </c>
      <c r="R24" s="4">
        <f t="shared" si="2"/>
        <v>44.7</v>
      </c>
      <c r="S24" s="4">
        <f t="shared" si="3"/>
        <v>0</v>
      </c>
      <c r="T24" s="32">
        <v>44.7</v>
      </c>
      <c r="U24" s="37">
        <v>11.5</v>
      </c>
      <c r="V24" s="37">
        <v>0</v>
      </c>
      <c r="W24" s="33"/>
      <c r="X24" s="37"/>
      <c r="Y24" s="37"/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$57&lt;&gt;"")*(G$3:G$57=G25)*(J$3:J$57&gt;J25)*(I$3:I$57="P"))+1,IF(O25&lt;&gt;"",SUMPRODUCT((O$3:O$57&lt;&gt;"")*(P$3:P$57="")*(G$3:G$57=G25)*(J$3:J$57&gt;J25)*(I$3:I$57="P"))+SUMPRODUCT((P$3:P$57&lt;&gt;"")*(G$3:G$57=G25)*(I$3:I$57="P"))+1,IF(N25&lt;&gt;"",SUMPRODUCT((N$3:N$57&lt;&gt;"")*(G$3:G$57=G25)*(J$3:J$57&gt;J25)*(I$3:I$57="P"))+1,IF(M25="P",SUMPRODUCT((O$3:O$57&lt;&gt;"")*(P$3:P$57="")*(G$3:G$57=G25)*(I$3:I$57="P"))+SUMPRODUCT((P$3:P$57&lt;&gt;"")*(G$3:G$57=G25)*(I$3:I$57="P"))+SUMPRODUCT((N$3:N$57&lt;&gt;"")*(G$3:G$57=G25)*(I$3:I$57="P"))+SUMPRODUCT((P$3:P$57="")*(O$3:O$57="")*(N$3:N$57="")*(M$3:M$57="P")*(G$3:G$57=G25)*(J$3:J$57&gt;J25)*(I$3:I$57="P"))+IF(H25="L5",SUMPRODUCT((P$3:P$57="")*(O$3:O$57="")*(N$3:N$57="")*(M$3:M$57="P")*(G$3:G$57=G25)*(J$3:J$57&lt;J25)*(H$3:H$57&lt;&gt;H25)*(I$3:I$57="P")),-1*SUMPRODUCT((P$3:P$57="")*(O$3:O$57="")*(N$3:N$57="")*(M$3:M$57="P")*(G$3:G$57=G25)*(J$3:J$57&gt;J25)*(H$3:H$57="L5")*(I$3:I$57="P")))+1,"")))))</f>
        <v/>
      </c>
      <c r="B25" s="1" t="str" cm="1">
        <f t="array" ref="B25">IF(P25&lt;&gt;"",SUMPRODUCT((P$3:P$57&lt;&gt;"")*(G$3:G$57=G25)*(J$3:J$57&gt;J25))+1,IF(O25&lt;&gt;"",SUMPRODUCT((O$3:O$57&lt;&gt;"")*(P$3:P$57="")*(G$3:G$57=G25)*(J$3:J$57&gt;J25))+SUMPRODUCT((P$3:P$57&lt;&gt;"")*(G$3:G$57=G25))+1,IF(N25&lt;&gt;"",SUMPRODUCT((N$3:N$57&lt;&gt;"")*(G$3:G$57=G25)*(J$3:J$57&gt;J25))+1,IF(M25="P",SUMPRODUCT((O$3:O$57&lt;&gt;"")*(P$3:P$57="")*(G$3:G$57=G25))+SUMPRODUCT((P$3:P$57&lt;&gt;"")*(G$3:G$57=G25))+SUMPRODUCT((N$3:N$57&lt;&gt;"")*(G$3:G$57=G25))+SUMPRODUCT((P$3:P$57="")*(O$3:O$57="")*(N$3:N$57="")*(M$3:M$57="P")*(G$3:G$57=G25)*(J$3:J$57&gt;J25))+IF(H25="L5",SUMPRODUCT((P$3:P$57="")*(O$3:O$57="")*(N$3:N$57="")*(M$3:M$57="P")*(G$3:G$57=G25)*(J$3:J$57&lt;J25)*(H$3:H$57&lt;&gt;H25)),-1*SUMPRODUCT((P$3:P$57="")*(O$3:O$57="")*(N$3:N$57="")*(M$3:M$57="P")*(G$3:G$57=G25)*(J$3:J$57&gt;J25)*(H$3:H$57="L5")))+1,""))))</f>
        <v/>
      </c>
      <c r="C25" s="35" t="s">
        <v>174</v>
      </c>
      <c r="D25" s="35" t="str">
        <f>IF(E25="","",VLOOKUP(E25,'Coaching Points'!A:B,2,0))</f>
        <v>QC</v>
      </c>
      <c r="E25" s="35" t="s">
        <v>85</v>
      </c>
      <c r="F25" s="34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66</v>
      </c>
      <c r="I25" s="40"/>
      <c r="J25" s="4">
        <f t="shared" si="0"/>
        <v>44.100100000000005</v>
      </c>
      <c r="K25" s="3" t="str">
        <f>IF(G25="Not Age Eligible","",IF(MAX(T25,W25,Z25,AC25)&gt;=LOOKUP(G25,'Qualifying Scores'!$A$4:$A$7,'Qualifying Scores'!$F$4:$F$7),"P",""))</f>
        <v/>
      </c>
      <c r="L25" s="3" t="str">
        <f>IF(G25="Not Age Eligible","",IF(MAX(U25,X25,AA25,AD25)&gt;=LOOKUP(G25,'Qualifying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Scores'!$F$10:$F$13)),AND(Z25&gt;=LOOKUP(G25,'Qualifying Scores'!$A$4:$A$7,'Qualifying Scores'!$F$4:$F$7),AA25&gt;=LOOKUP(G25,'Qualifying Scores'!$A$10:$A$13,'Qualifying Scores'!$F$10:$F$13)),AND(W25&gt;=LOOKUP(G25,'Qualifying Scores'!$A$4:$A$7,'Qualifying Scores'!$F$4:$F$7),X25&gt;=LOOKUP(G25,'Qualifying Scores'!$A$10:$A$13,'Qualifying Scores'!$F$10:$F$13)),AND(AC25&gt;=LOOKUP(G25,'Qualifying Scores'!$A$4:$A$7,'Qualifying Scores'!$F$4:$F$7),AD25&gt;=LOOKUP(G25,'Qualifying Scores'!$A$10:$A$13,'Qualifying Scores'!$F$10:$F$13))),"P",""))</f>
        <v/>
      </c>
      <c r="Q25" s="1" t="str">
        <f t="shared" si="1"/>
        <v/>
      </c>
      <c r="R25" s="4">
        <f t="shared" si="2"/>
        <v>44.1</v>
      </c>
      <c r="S25" s="4">
        <f t="shared" si="3"/>
        <v>42.9</v>
      </c>
      <c r="T25" s="32">
        <v>42.9</v>
      </c>
      <c r="U25" s="37">
        <v>8.6999999999999993</v>
      </c>
      <c r="V25" s="37">
        <v>0</v>
      </c>
      <c r="W25" s="33">
        <v>44.1</v>
      </c>
      <c r="X25" s="37">
        <v>7</v>
      </c>
      <c r="Y25" s="37">
        <v>0</v>
      </c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$57&lt;&gt;"")*(G$3:G$57=G26)*(J$3:J$57&gt;J26)*(I$3:I$57="P"))+1,IF(O26&lt;&gt;"",SUMPRODUCT((O$3:O$57&lt;&gt;"")*(P$3:P$57="")*(G$3:G$57=G26)*(J$3:J$57&gt;J26)*(I$3:I$57="P"))+SUMPRODUCT((P$3:P$57&lt;&gt;"")*(G$3:G$57=G26)*(I$3:I$57="P"))+1,IF(N26&lt;&gt;"",SUMPRODUCT((N$3:N$57&lt;&gt;"")*(G$3:G$57=G26)*(J$3:J$57&gt;J26)*(I$3:I$57="P"))+1,IF(M26="P",SUMPRODUCT((O$3:O$57&lt;&gt;"")*(P$3:P$57="")*(G$3:G$57=G26)*(I$3:I$57="P"))+SUMPRODUCT((P$3:P$57&lt;&gt;"")*(G$3:G$57=G26)*(I$3:I$57="P"))+SUMPRODUCT((N$3:N$57&lt;&gt;"")*(G$3:G$57=G26)*(I$3:I$57="P"))+SUMPRODUCT((P$3:P$57="")*(O$3:O$57="")*(N$3:N$57="")*(M$3:M$57="P")*(G$3:G$57=G26)*(J$3:J$57&gt;J26)*(I$3:I$57="P"))+IF(H26="L5",SUMPRODUCT((P$3:P$57="")*(O$3:O$57="")*(N$3:N$57="")*(M$3:M$57="P")*(G$3:G$57=G26)*(J$3:J$57&lt;J26)*(H$3:H$57&lt;&gt;H26)*(I$3:I$57="P")),-1*SUMPRODUCT((P$3:P$57="")*(O$3:O$57="")*(N$3:N$57="")*(M$3:M$57="P")*(G$3:G$57=G26)*(J$3:J$57&gt;J26)*(H$3:H$57="L5")*(I$3:I$57="P")))+1,"")))))</f>
        <v/>
      </c>
      <c r="B26" s="1" t="str" cm="1">
        <f t="array" ref="B26">IF(P26&lt;&gt;"",SUMPRODUCT((P$3:P$57&lt;&gt;"")*(G$3:G$57=G26)*(J$3:J$57&gt;J26))+1,IF(O26&lt;&gt;"",SUMPRODUCT((O$3:O$57&lt;&gt;"")*(P$3:P$57="")*(G$3:G$57=G26)*(J$3:J$57&gt;J26))+SUMPRODUCT((P$3:P$57&lt;&gt;"")*(G$3:G$57=G26))+1,IF(N26&lt;&gt;"",SUMPRODUCT((N$3:N$57&lt;&gt;"")*(G$3:G$57=G26)*(J$3:J$57&gt;J26))+1,IF(M26="P",SUMPRODUCT((O$3:O$57&lt;&gt;"")*(P$3:P$57="")*(G$3:G$57=G26))+SUMPRODUCT((P$3:P$57&lt;&gt;"")*(G$3:G$57=G26))+SUMPRODUCT((N$3:N$57&lt;&gt;"")*(G$3:G$57=G26))+SUMPRODUCT((P$3:P$57="")*(O$3:O$57="")*(N$3:N$57="")*(M$3:M$57="P")*(G$3:G$57=G26)*(J$3:J$57&gt;J26))+IF(H26="L5",SUMPRODUCT((P$3:P$57="")*(O$3:O$57="")*(N$3:N$57="")*(M$3:M$57="P")*(G$3:G$57=G26)*(J$3:J$57&lt;J26)*(H$3:H$57&lt;&gt;H26)),-1*SUMPRODUCT((P$3:P$57="")*(O$3:O$57="")*(N$3:N$57="")*(M$3:M$57="P")*(G$3:G$57=G26)*(J$3:J$57&gt;J26)*(H$3:H$57="L5")))+1,""))))</f>
        <v/>
      </c>
      <c r="C26" s="35" t="s">
        <v>282</v>
      </c>
      <c r="D26" s="35" t="str">
        <f>IF(E26="","",VLOOKUP(E26,'Coaching Points'!A:B,2,0))</f>
        <v>AB</v>
      </c>
      <c r="E26" s="35" t="s">
        <v>62</v>
      </c>
      <c r="F26" s="34">
        <v>2007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64</v>
      </c>
      <c r="I26" s="40"/>
      <c r="J26" s="4">
        <f t="shared" si="0"/>
        <v>43.3</v>
      </c>
      <c r="K26" s="3" t="str">
        <f>IF(G26="Not Age Eligible","",IF(MAX(T26,W26,Z26,AC26)&gt;=LOOKUP(G26,'Qualifying Scores'!$A$4:$A$7,'Qualifying Scores'!$F$4:$F$7),"P",""))</f>
        <v/>
      </c>
      <c r="L26" s="3" t="str">
        <f>IF(G26="Not Age Eligible","",IF(MAX(U26,X26,AA26,AD26)&gt;=LOOKUP(G26,'Qualifying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Scores'!$F$10:$F$13)),AND(Z26&gt;=LOOKUP(G26,'Qualifying Scores'!$A$4:$A$7,'Qualifying Scores'!$F$4:$F$7),AA26&gt;=LOOKUP(G26,'Qualifying Scores'!$A$10:$A$13,'Qualifying Scores'!$F$10:$F$13)),AND(W26&gt;=LOOKUP(G26,'Qualifying Scores'!$A$4:$A$7,'Qualifying Scores'!$F$4:$F$7),X26&gt;=LOOKUP(G26,'Qualifying Scores'!$A$10:$A$13,'Qualifying Scores'!$F$10:$F$13)),AND(AC26&gt;=LOOKUP(G26,'Qualifying Scores'!$A$4:$A$7,'Qualifying Scores'!$F$4:$F$7),AD26&gt;=LOOKUP(G26,'Qualifying Scores'!$A$10:$A$13,'Qualifying Scores'!$F$10:$F$13))),"P",""))</f>
        <v/>
      </c>
      <c r="Q26" s="1" t="str">
        <f t="shared" si="1"/>
        <v/>
      </c>
      <c r="R26" s="4">
        <f t="shared" si="2"/>
        <v>43.3</v>
      </c>
      <c r="S26" s="4">
        <f t="shared" si="3"/>
        <v>39.5</v>
      </c>
      <c r="T26" s="32">
        <v>43.3</v>
      </c>
      <c r="U26" s="37">
        <v>7.9</v>
      </c>
      <c r="V26" s="37">
        <v>0</v>
      </c>
      <c r="W26" s="33">
        <v>39.5</v>
      </c>
      <c r="X26" s="37">
        <v>3.7</v>
      </c>
      <c r="Y26" s="37">
        <v>0</v>
      </c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$57&lt;&gt;"")*(G$3:G$57=G27)*(J$3:J$57&gt;J27)*(I$3:I$57="P"))+1,IF(O27&lt;&gt;"",SUMPRODUCT((O$3:O$57&lt;&gt;"")*(P$3:P$57="")*(G$3:G$57=G27)*(J$3:J$57&gt;J27)*(I$3:I$57="P"))+SUMPRODUCT((P$3:P$57&lt;&gt;"")*(G$3:G$57=G27)*(I$3:I$57="P"))+1,IF(N27&lt;&gt;"",SUMPRODUCT((N$3:N$57&lt;&gt;"")*(G$3:G$57=G27)*(J$3:J$57&gt;J27)*(I$3:I$57="P"))+1,IF(M27="P",SUMPRODUCT((O$3:O$57&lt;&gt;"")*(P$3:P$57="")*(G$3:G$57=G27)*(I$3:I$57="P"))+SUMPRODUCT((P$3:P$57&lt;&gt;"")*(G$3:G$57=G27)*(I$3:I$57="P"))+SUMPRODUCT((N$3:N$57&lt;&gt;"")*(G$3:G$57=G27)*(I$3:I$57="P"))+SUMPRODUCT((P$3:P$57="")*(O$3:O$57="")*(N$3:N$57="")*(M$3:M$57="P")*(G$3:G$57=G27)*(J$3:J$57&gt;J27)*(I$3:I$57="P"))+IF(H27="L5",SUMPRODUCT((P$3:P$57="")*(O$3:O$57="")*(N$3:N$57="")*(M$3:M$57="P")*(G$3:G$57=G27)*(J$3:J$57&lt;J27)*(H$3:H$57&lt;&gt;H27)*(I$3:I$57="P")),-1*SUMPRODUCT((P$3:P$57="")*(O$3:O$57="")*(N$3:N$57="")*(M$3:M$57="P")*(G$3:G$57=G27)*(J$3:J$57&gt;J27)*(H$3:H$57="L5")*(I$3:I$57="P")))+1,"")))))</f>
        <v/>
      </c>
      <c r="B27" s="1" t="str" cm="1">
        <f t="array" ref="B27">IF(P27&lt;&gt;"",SUMPRODUCT((P$3:P$57&lt;&gt;"")*(G$3:G$57=G27)*(J$3:J$57&gt;J27))+1,IF(O27&lt;&gt;"",SUMPRODUCT((O$3:O$57&lt;&gt;"")*(P$3:P$57="")*(G$3:G$57=G27)*(J$3:J$57&gt;J27))+SUMPRODUCT((P$3:P$57&lt;&gt;"")*(G$3:G$57=G27))+1,IF(N27&lt;&gt;"",SUMPRODUCT((N$3:N$57&lt;&gt;"")*(G$3:G$57=G27)*(J$3:J$57&gt;J27))+1,IF(M27="P",SUMPRODUCT((O$3:O$57&lt;&gt;"")*(P$3:P$57="")*(G$3:G$57=G27))+SUMPRODUCT((P$3:P$57&lt;&gt;"")*(G$3:G$57=G27))+SUMPRODUCT((N$3:N$57&lt;&gt;"")*(G$3:G$57=G27))+SUMPRODUCT((P$3:P$57="")*(O$3:O$57="")*(N$3:N$57="")*(M$3:M$57="P")*(G$3:G$57=G27)*(J$3:J$57&gt;J27))+IF(H27="L5",SUMPRODUCT((P$3:P$57="")*(O$3:O$57="")*(N$3:N$57="")*(M$3:M$57="P")*(G$3:G$57=G27)*(J$3:J$57&lt;J27)*(H$3:H$57&lt;&gt;H27)),-1*SUMPRODUCT((P$3:P$57="")*(O$3:O$57="")*(N$3:N$57="")*(M$3:M$57="P")*(G$3:G$57=G27)*(J$3:J$57&gt;J27)*(H$3:H$57="L5")))+1,""))))</f>
        <v/>
      </c>
      <c r="C27" s="35" t="s">
        <v>298</v>
      </c>
      <c r="D27" s="35" t="str">
        <f>IF(E27="","",VLOOKUP(E27,'Coaching Points'!A:B,2,0))</f>
        <v>ON</v>
      </c>
      <c r="E27" s="35" t="s">
        <v>217</v>
      </c>
      <c r="F27" s="34">
        <v>2007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64</v>
      </c>
      <c r="I27" s="40"/>
      <c r="J27" s="4">
        <f t="shared" si="0"/>
        <v>42.7</v>
      </c>
      <c r="K27" s="3" t="str">
        <f>IF(G27="Not Age Eligible","",IF(MAX(T27,W27,Z27,AC27)&gt;=LOOKUP(G27,'Qualifying Scores'!$A$4:$A$7,'Qualifying Scores'!$F$4:$F$7),"P",""))</f>
        <v/>
      </c>
      <c r="L27" s="3" t="str">
        <f>IF(G27="Not Age Eligible","",IF(MAX(U27,X27,AA27,AD27)&gt;=LOOKUP(G27,'Qualifying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Scores'!$F$10:$F$13)),AND(Z27&gt;=LOOKUP(G27,'Qualifying Scores'!$A$4:$A$7,'Qualifying Scores'!$F$4:$F$7),AA27&gt;=LOOKUP(G27,'Qualifying Scores'!$A$10:$A$13,'Qualifying Scores'!$F$10:$F$13)),AND(W27&gt;=LOOKUP(G27,'Qualifying Scores'!$A$4:$A$7,'Qualifying Scores'!$F$4:$F$7),X27&gt;=LOOKUP(G27,'Qualifying Scores'!$A$10:$A$13,'Qualifying Scores'!$F$10:$F$13)),AND(AC27&gt;=LOOKUP(G27,'Qualifying Scores'!$A$4:$A$7,'Qualifying Scores'!$F$4:$F$7),AD27&gt;=LOOKUP(G27,'Qualifying Scores'!$A$10:$A$13,'Qualifying Scores'!$F$10:$F$13))),"P",""))</f>
        <v/>
      </c>
      <c r="Q27" s="1" t="str">
        <f t="shared" si="1"/>
        <v/>
      </c>
      <c r="R27" s="4">
        <f t="shared" si="2"/>
        <v>42.7</v>
      </c>
      <c r="S27" s="4">
        <f t="shared" si="3"/>
        <v>21</v>
      </c>
      <c r="T27" s="32">
        <v>42.7</v>
      </c>
      <c r="U27" s="37">
        <v>8.6999999999999993</v>
      </c>
      <c r="V27" s="37">
        <v>0</v>
      </c>
      <c r="W27" s="33">
        <v>21</v>
      </c>
      <c r="X27" s="37">
        <v>3.4</v>
      </c>
      <c r="Y27" s="37">
        <v>0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$57&lt;&gt;"")*(G$3:G$57=G28)*(J$3:J$57&gt;J28)*(I$3:I$57="P"))+1,IF(O28&lt;&gt;"",SUMPRODUCT((O$3:O$57&lt;&gt;"")*(P$3:P$57="")*(G$3:G$57=G28)*(J$3:J$57&gt;J28)*(I$3:I$57="P"))+SUMPRODUCT((P$3:P$57&lt;&gt;"")*(G$3:G$57=G28)*(I$3:I$57="P"))+1,IF(N28&lt;&gt;"",SUMPRODUCT((N$3:N$57&lt;&gt;"")*(G$3:G$57=G28)*(J$3:J$57&gt;J28)*(I$3:I$57="P"))+1,IF(M28="P",SUMPRODUCT((O$3:O$57&lt;&gt;"")*(P$3:P$57="")*(G$3:G$57=G28)*(I$3:I$57="P"))+SUMPRODUCT((P$3:P$57&lt;&gt;"")*(G$3:G$57=G28)*(I$3:I$57="P"))+SUMPRODUCT((N$3:N$57&lt;&gt;"")*(G$3:G$57=G28)*(I$3:I$57="P"))+SUMPRODUCT((P$3:P$57="")*(O$3:O$57="")*(N$3:N$57="")*(M$3:M$57="P")*(G$3:G$57=G28)*(J$3:J$57&gt;J28)*(I$3:I$57="P"))+IF(H28="L5",SUMPRODUCT((P$3:P$57="")*(O$3:O$57="")*(N$3:N$57="")*(M$3:M$57="P")*(G$3:G$57=G28)*(J$3:J$57&lt;J28)*(H$3:H$57&lt;&gt;H28)*(I$3:I$57="P")),-1*SUMPRODUCT((P$3:P$57="")*(O$3:O$57="")*(N$3:N$57="")*(M$3:M$57="P")*(G$3:G$57=G28)*(J$3:J$57&gt;J28)*(H$3:H$57="L5")*(I$3:I$57="P")))+1,"")))))</f>
        <v/>
      </c>
      <c r="B28" s="1" t="str" cm="1">
        <f t="array" ref="B28">IF(P28&lt;&gt;"",SUMPRODUCT((P$3:P$57&lt;&gt;"")*(G$3:G$57=G28)*(J$3:J$57&gt;J28))+1,IF(O28&lt;&gt;"",SUMPRODUCT((O$3:O$57&lt;&gt;"")*(P$3:P$57="")*(G$3:G$57=G28)*(J$3:J$57&gt;J28))+SUMPRODUCT((P$3:P$57&lt;&gt;"")*(G$3:G$57=G28))+1,IF(N28&lt;&gt;"",SUMPRODUCT((N$3:N$57&lt;&gt;"")*(G$3:G$57=G28)*(J$3:J$57&gt;J28))+1,IF(M28="P",SUMPRODUCT((O$3:O$57&lt;&gt;"")*(P$3:P$57="")*(G$3:G$57=G28))+SUMPRODUCT((P$3:P$57&lt;&gt;"")*(G$3:G$57=G28))+SUMPRODUCT((N$3:N$57&lt;&gt;"")*(G$3:G$57=G28))+SUMPRODUCT((P$3:P$57="")*(O$3:O$57="")*(N$3:N$57="")*(M$3:M$57="P")*(G$3:G$57=G28)*(J$3:J$57&gt;J28))+IF(H28="L5",SUMPRODUCT((P$3:P$57="")*(O$3:O$57="")*(N$3:N$57="")*(M$3:M$57="P")*(G$3:G$57=G28)*(J$3:J$57&lt;J28)*(H$3:H$57&lt;&gt;H28)),-1*SUMPRODUCT((P$3:P$57="")*(O$3:O$57="")*(N$3:N$57="")*(M$3:M$57="P")*(G$3:G$57=G28)*(J$3:J$57&gt;J28)*(H$3:H$57="L5")))+1,""))))</f>
        <v/>
      </c>
      <c r="C28" s="35" t="s">
        <v>89</v>
      </c>
      <c r="D28" s="35" t="str">
        <f>IF(E28="","",VLOOKUP(E28,'Coaching Points'!A:B,2,0))</f>
        <v>BC</v>
      </c>
      <c r="E28" s="35" t="s">
        <v>60</v>
      </c>
      <c r="F28" s="34">
        <v>2007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72</v>
      </c>
      <c r="I28" s="40"/>
      <c r="J28" s="4">
        <f t="shared" si="0"/>
        <v>42.0002</v>
      </c>
      <c r="K28" s="3" t="str">
        <f>IF(G28="Not Age Eligible","",IF(MAX(T28,W28,Z28,AC28)&gt;=LOOKUP(G28,'Qualifying Scores'!$A$4:$A$7,'Qualifying Scores'!$F$4:$F$7),"P",""))</f>
        <v/>
      </c>
      <c r="L28" s="3" t="str">
        <f>IF(G28="Not Age Eligible","",IF(MAX(U28,X28,AA28,AD28)&gt;=LOOKUP(G28,'Qualifying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Scores'!$F$10:$F$13)),AND(Z28&gt;=LOOKUP(G28,'Qualifying Scores'!$A$4:$A$7,'Qualifying Scores'!$F$4:$F$7),AA28&gt;=LOOKUP(G28,'Qualifying Scores'!$A$10:$A$13,'Qualifying Scores'!$F$10:$F$13)),AND(W28&gt;=LOOKUP(G28,'Qualifying Scores'!$A$4:$A$7,'Qualifying Scores'!$F$4:$F$7),X28&gt;=LOOKUP(G28,'Qualifying Scores'!$A$10:$A$13,'Qualifying Scores'!$F$10:$F$13)),AND(AC28&gt;=LOOKUP(G28,'Qualifying Scores'!$A$4:$A$7,'Qualifying Scores'!$F$4:$F$7),AD28&gt;=LOOKUP(G28,'Qualifying Scores'!$A$10:$A$13,'Qualifying Scores'!$F$10:$F$13))),"P",""))</f>
        <v/>
      </c>
      <c r="Q28" s="1" t="str">
        <f t="shared" si="1"/>
        <v/>
      </c>
      <c r="R28" s="4">
        <f t="shared" si="2"/>
        <v>42</v>
      </c>
      <c r="S28" s="4">
        <f t="shared" si="3"/>
        <v>0</v>
      </c>
      <c r="T28" s="32">
        <v>42</v>
      </c>
      <c r="U28" s="37">
        <v>10.199999999999999</v>
      </c>
      <c r="V28" s="37">
        <v>0</v>
      </c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$57&lt;&gt;"")*(G$3:G$57=G29)*(J$3:J$57&gt;J29)*(I$3:I$57="P"))+1,IF(O29&lt;&gt;"",SUMPRODUCT((O$3:O$57&lt;&gt;"")*(P$3:P$57="")*(G$3:G$57=G29)*(J$3:J$57&gt;J29)*(I$3:I$57="P"))+SUMPRODUCT((P$3:P$57&lt;&gt;"")*(G$3:G$57=G29)*(I$3:I$57="P"))+1,IF(N29&lt;&gt;"",SUMPRODUCT((N$3:N$57&lt;&gt;"")*(G$3:G$57=G29)*(J$3:J$57&gt;J29)*(I$3:I$57="P"))+1,IF(M29="P",SUMPRODUCT((O$3:O$57&lt;&gt;"")*(P$3:P$57="")*(G$3:G$57=G29)*(I$3:I$57="P"))+SUMPRODUCT((P$3:P$57&lt;&gt;"")*(G$3:G$57=G29)*(I$3:I$57="P"))+SUMPRODUCT((N$3:N$57&lt;&gt;"")*(G$3:G$57=G29)*(I$3:I$57="P"))+SUMPRODUCT((P$3:P$57="")*(O$3:O$57="")*(N$3:N$57="")*(M$3:M$57="P")*(G$3:G$57=G29)*(J$3:J$57&gt;J29)*(I$3:I$57="P"))+IF(H29="L5",SUMPRODUCT((P$3:P$57="")*(O$3:O$57="")*(N$3:N$57="")*(M$3:M$57="P")*(G$3:G$57=G29)*(J$3:J$57&lt;J29)*(H$3:H$57&lt;&gt;H29)*(I$3:I$57="P")),-1*SUMPRODUCT((P$3:P$57="")*(O$3:O$57="")*(N$3:N$57="")*(M$3:M$57="P")*(G$3:G$57=G29)*(J$3:J$57&gt;J29)*(H$3:H$57="L5")*(I$3:I$57="P")))+1,"")))))</f>
        <v/>
      </c>
      <c r="B29" s="1" cm="1">
        <f t="array" ref="B29">IF(P29&lt;&gt;"",SUMPRODUCT((P$3:P$57&lt;&gt;"")*(G$3:G$57=G29)*(J$3:J$57&gt;J29))+1,IF(O29&lt;&gt;"",SUMPRODUCT((O$3:O$57&lt;&gt;"")*(P$3:P$57="")*(G$3:G$57=G29)*(J$3:J$57&gt;J29))+SUMPRODUCT((P$3:P$57&lt;&gt;"")*(G$3:G$57=G29))+1,IF(N29&lt;&gt;"",SUMPRODUCT((N$3:N$57&lt;&gt;"")*(G$3:G$57=G29)*(J$3:J$57&gt;J29))+1,IF(M29="P",SUMPRODUCT((O$3:O$57&lt;&gt;"")*(P$3:P$57="")*(G$3:G$57=G29))+SUMPRODUCT((P$3:P$57&lt;&gt;"")*(G$3:G$57=G29))+SUMPRODUCT((N$3:N$57&lt;&gt;"")*(G$3:G$57=G29))+SUMPRODUCT((P$3:P$57="")*(O$3:O$57="")*(N$3:N$57="")*(M$3:M$57="P")*(G$3:G$57=G29)*(J$3:J$57&gt;J29))+IF(H29="L5",SUMPRODUCT((P$3:P$57="")*(O$3:O$57="")*(N$3:N$57="")*(M$3:M$57="P")*(G$3:G$57=G29)*(J$3:J$57&lt;J29)*(H$3:H$57&lt;&gt;H29)),-1*SUMPRODUCT((P$3:P$57="")*(O$3:O$57="")*(N$3:N$57="")*(M$3:M$57="P")*(G$3:G$57=G29)*(J$3:J$57&gt;J29)*(H$3:H$57="L5")))+1,""))))</f>
        <v>1</v>
      </c>
      <c r="C29" s="35" t="s">
        <v>77</v>
      </c>
      <c r="D29" s="35" t="str">
        <f>IF(E29="","",VLOOKUP(E29,'Coaching Points'!A:B,2,0))</f>
        <v>AB</v>
      </c>
      <c r="E29" s="35" t="s">
        <v>62</v>
      </c>
      <c r="F29" s="34">
        <v>2008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15-16</v>
      </c>
      <c r="H29" s="36" t="s">
        <v>63</v>
      </c>
      <c r="I29" s="40"/>
      <c r="J29" s="4">
        <f t="shared" si="0"/>
        <v>53.200200000000002</v>
      </c>
      <c r="K29" s="3" t="str">
        <f>IF(G29="Not Age Eligible","",IF(MAX(T29,W29,Z29,AC29)&gt;=LOOKUP(G29,'Qualifying Scores'!$A$4:$A$7,'Qualifying Scores'!$F$4:$F$7),"P",""))</f>
        <v>P</v>
      </c>
      <c r="L29" s="3" t="str">
        <f>IF(G29="Not Age Eligible","",IF(MAX(U29,X29,AA29,AD29)&gt;=LOOKUP(G29,'Qualifying Scores'!$A$10:$A$13,'Qualifying Scores'!$F$10:$F$13),"P",""))</f>
        <v>P</v>
      </c>
      <c r="M29" s="3" t="str">
        <f>IF(G29="Not Age Eligible","",IF(OR(AND(T29&gt;=LOOKUP(G29,'Qualifying Scores'!$A$4:$A$7,'Qualifying Scores'!$F$4:$F$7),U29&gt;=LOOKUP(G29,'Qualifying Scores'!$A$10:$A$13,'Qualifying Scores'!$F$10:$F$13)),AND(Z29&gt;=LOOKUP(G29,'Qualifying Scores'!$A$4:$A$7,'Qualifying Scores'!$F$4:$F$7),AA29&gt;=LOOKUP(G29,'Qualifying Scores'!$A$10:$A$13,'Qualifying Scores'!$F$10:$F$13)),AND(W29&gt;=LOOKUP(G29,'Qualifying Scores'!$A$4:$A$7,'Qualifying Scores'!$F$4:$F$7),X29&gt;=LOOKUP(G29,'Qualifying Scores'!$A$10:$A$13,'Qualifying Scores'!$F$10:$F$13)),AND(AC29&gt;=LOOKUP(G29,'Qualifying Scores'!$A$4:$A$7,'Qualifying Scores'!$F$4:$F$7),AD29&gt;=LOOKUP(G29,'Qualifying Scores'!$A$10:$A$13,'Qualifying Scores'!$F$10:$F$13))),"P",""))</f>
        <v>P</v>
      </c>
      <c r="N29" s="36">
        <v>1</v>
      </c>
      <c r="Q29" s="1" t="str">
        <f t="shared" si="1"/>
        <v/>
      </c>
      <c r="R29" s="4">
        <f t="shared" si="2"/>
        <v>53.2</v>
      </c>
      <c r="S29" s="4">
        <f t="shared" si="3"/>
        <v>51.7</v>
      </c>
      <c r="T29" s="32">
        <v>51.7</v>
      </c>
      <c r="U29" s="37">
        <v>16.5</v>
      </c>
      <c r="V29" s="37">
        <v>0</v>
      </c>
      <c r="W29" s="33">
        <v>53.2</v>
      </c>
      <c r="X29" s="37">
        <v>16.5</v>
      </c>
      <c r="Y29" s="37">
        <v>0</v>
      </c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$57&lt;&gt;"")*(G$3:G$57=G30)*(J$3:J$57&gt;J30)*(I$3:I$57="P"))+1,IF(O30&lt;&gt;"",SUMPRODUCT((O$3:O$57&lt;&gt;"")*(P$3:P$57="")*(G$3:G$57=G30)*(J$3:J$57&gt;J30)*(I$3:I$57="P"))+SUMPRODUCT((P$3:P$57&lt;&gt;"")*(G$3:G$57=G30)*(I$3:I$57="P"))+1,IF(N30&lt;&gt;"",SUMPRODUCT((N$3:N$57&lt;&gt;"")*(G$3:G$57=G30)*(J$3:J$57&gt;J30)*(I$3:I$57="P"))+1,IF(M30="P",SUMPRODUCT((O$3:O$57&lt;&gt;"")*(P$3:P$57="")*(G$3:G$57=G30)*(I$3:I$57="P"))+SUMPRODUCT((P$3:P$57&lt;&gt;"")*(G$3:G$57=G30)*(I$3:I$57="P"))+SUMPRODUCT((N$3:N$57&lt;&gt;"")*(G$3:G$57=G30)*(I$3:I$57="P"))+SUMPRODUCT((P$3:P$57="")*(O$3:O$57="")*(N$3:N$57="")*(M$3:M$57="P")*(G$3:G$57=G30)*(J$3:J$57&gt;J30)*(I$3:I$57="P"))+IF(H30="L5",SUMPRODUCT((P$3:P$57="")*(O$3:O$57="")*(N$3:N$57="")*(M$3:M$57="P")*(G$3:G$57=G30)*(J$3:J$57&lt;J30)*(H$3:H$57&lt;&gt;H30)*(I$3:I$57="P")),-1*SUMPRODUCT((P$3:P$57="")*(O$3:O$57="")*(N$3:N$57="")*(M$3:M$57="P")*(G$3:G$57=G30)*(J$3:J$57&gt;J30)*(H$3:H$57="L5")*(I$3:I$57="P")))+1,"")))))</f>
        <v/>
      </c>
      <c r="B30" s="1" cm="1">
        <f t="array" ref="B30">IF(P30&lt;&gt;"",SUMPRODUCT((P$3:P$57&lt;&gt;"")*(G$3:G$57=G30)*(J$3:J$57&gt;J30))+1,IF(O30&lt;&gt;"",SUMPRODUCT((O$3:O$57&lt;&gt;"")*(P$3:P$57="")*(G$3:G$57=G30)*(J$3:J$57&gt;J30))+SUMPRODUCT((P$3:P$57&lt;&gt;"")*(G$3:G$57=G30))+1,IF(N30&lt;&gt;"",SUMPRODUCT((N$3:N$57&lt;&gt;"")*(G$3:G$57=G30)*(J$3:J$57&gt;J30))+1,IF(M30="P",SUMPRODUCT((O$3:O$57&lt;&gt;"")*(P$3:P$57="")*(G$3:G$57=G30))+SUMPRODUCT((P$3:P$57&lt;&gt;"")*(G$3:G$57=G30))+SUMPRODUCT((N$3:N$57&lt;&gt;"")*(G$3:G$57=G30))+SUMPRODUCT((P$3:P$57="")*(O$3:O$57="")*(N$3:N$57="")*(M$3:M$57="P")*(G$3:G$57=G30)*(J$3:J$57&gt;J30))+IF(H30="L5",SUMPRODUCT((P$3:P$57="")*(O$3:O$57="")*(N$3:N$57="")*(M$3:M$57="P")*(G$3:G$57=G30)*(J$3:J$57&lt;J30)*(H$3:H$57&lt;&gt;H30)),-1*SUMPRODUCT((P$3:P$57="")*(O$3:O$57="")*(N$3:N$57="")*(M$3:M$57="P")*(G$3:G$57=G30)*(J$3:J$57&gt;J30)*(H$3:H$57="L5")))+1,""))))</f>
        <v>2</v>
      </c>
      <c r="C30" s="35" t="s">
        <v>132</v>
      </c>
      <c r="D30" s="35" t="str">
        <f>IF(E30="","",VLOOKUP(E30,'Coaching Points'!A:B,2,0))</f>
        <v>AB</v>
      </c>
      <c r="E30" s="35" t="s">
        <v>62</v>
      </c>
      <c r="F30" s="34">
        <v>2008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15-16</v>
      </c>
      <c r="H30" s="36" t="s">
        <v>63</v>
      </c>
      <c r="I30" s="40"/>
      <c r="J30" s="4">
        <f t="shared" si="0"/>
        <v>52.0002</v>
      </c>
      <c r="K30" s="3" t="str">
        <f>IF(G30="Not Age Eligible","",IF(MAX(T30,W30,Z30,AC30)&gt;=LOOKUP(G30,'Qualifying Scores'!$A$4:$A$7,'Qualifying Scores'!$F$4:$F$7),"P",""))</f>
        <v>P</v>
      </c>
      <c r="L30" s="3" t="str">
        <f>IF(G30="Not Age Eligible","",IF(MAX(U30,X30,AA30,AD30)&gt;=LOOKUP(G30,'Qualifying Scores'!$A$10:$A$13,'Qualifying Scores'!$F$10:$F$13),"P",""))</f>
        <v>P</v>
      </c>
      <c r="M30" s="3" t="str">
        <f>IF(G30="Not Age Eligible","",IF(OR(AND(T30&gt;=LOOKUP(G30,'Qualifying Scores'!$A$4:$A$7,'Qualifying Scores'!$F$4:$F$7),U30&gt;=LOOKUP(G30,'Qualifying Scores'!$A$10:$A$13,'Qualifying Scores'!$F$10:$F$13)),AND(Z30&gt;=LOOKUP(G30,'Qualifying Scores'!$A$4:$A$7,'Qualifying Scores'!$F$4:$F$7),AA30&gt;=LOOKUP(G30,'Qualifying Scores'!$A$10:$A$13,'Qualifying Scores'!$F$10:$F$13)),AND(W30&gt;=LOOKUP(G30,'Qualifying Scores'!$A$4:$A$7,'Qualifying Scores'!$F$4:$F$7),X30&gt;=LOOKUP(G30,'Qualifying Scores'!$A$10:$A$13,'Qualifying Scores'!$F$10:$F$13)),AND(AC30&gt;=LOOKUP(G30,'Qualifying Scores'!$A$4:$A$7,'Qualifying Scores'!$F$4:$F$7),AD30&gt;=LOOKUP(G30,'Qualifying Scores'!$A$10:$A$13,'Qualifying Scores'!$F$10:$F$13))),"P",""))</f>
        <v>P</v>
      </c>
      <c r="N30" s="36">
        <v>2</v>
      </c>
      <c r="Q30" s="1" t="str">
        <f t="shared" si="1"/>
        <v/>
      </c>
      <c r="R30" s="4">
        <f t="shared" si="2"/>
        <v>52</v>
      </c>
      <c r="S30" s="4">
        <f t="shared" si="3"/>
        <v>52</v>
      </c>
      <c r="T30" s="32">
        <v>52</v>
      </c>
      <c r="U30" s="37">
        <v>15.2</v>
      </c>
      <c r="V30" s="37">
        <v>0</v>
      </c>
      <c r="W30" s="33">
        <v>52</v>
      </c>
      <c r="X30" s="37">
        <v>15.2</v>
      </c>
      <c r="Y30" s="37">
        <v>0</v>
      </c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$57&lt;&gt;"")*(G$3:G$57=G31)*(J$3:J$57&gt;J31)*(I$3:I$57="P"))+1,IF(O31&lt;&gt;"",SUMPRODUCT((O$3:O$57&lt;&gt;"")*(P$3:P$57="")*(G$3:G$57=G31)*(J$3:J$57&gt;J31)*(I$3:I$57="P"))+SUMPRODUCT((P$3:P$57&lt;&gt;"")*(G$3:G$57=G31)*(I$3:I$57="P"))+1,IF(N31&lt;&gt;"",SUMPRODUCT((N$3:N$57&lt;&gt;"")*(G$3:G$57=G31)*(J$3:J$57&gt;J31)*(I$3:I$57="P"))+1,IF(M31="P",SUMPRODUCT((O$3:O$57&lt;&gt;"")*(P$3:P$57="")*(G$3:G$57=G31)*(I$3:I$57="P"))+SUMPRODUCT((P$3:P$57&lt;&gt;"")*(G$3:G$57=G31)*(I$3:I$57="P"))+SUMPRODUCT((N$3:N$57&lt;&gt;"")*(G$3:G$57=G31)*(I$3:I$57="P"))+SUMPRODUCT((P$3:P$57="")*(O$3:O$57="")*(N$3:N$57="")*(M$3:M$57="P")*(G$3:G$57=G31)*(J$3:J$57&gt;J31)*(I$3:I$57="P"))+IF(H31="L5",SUMPRODUCT((P$3:P$57="")*(O$3:O$57="")*(N$3:N$57="")*(M$3:M$57="P")*(G$3:G$57=G31)*(J$3:J$57&lt;J31)*(H$3:H$57&lt;&gt;H31)*(I$3:I$57="P")),-1*SUMPRODUCT((P$3:P$57="")*(O$3:O$57="")*(N$3:N$57="")*(M$3:M$57="P")*(G$3:G$57=G31)*(J$3:J$57&gt;J31)*(H$3:H$57="L5")*(I$3:I$57="P")))+1,"")))))</f>
        <v/>
      </c>
      <c r="B31" s="1" cm="1">
        <f t="array" ref="B31">IF(P31&lt;&gt;"",SUMPRODUCT((P$3:P$57&lt;&gt;"")*(G$3:G$57=G31)*(J$3:J$57&gt;J31))+1,IF(O31&lt;&gt;"",SUMPRODUCT((O$3:O$57&lt;&gt;"")*(P$3:P$57="")*(G$3:G$57=G31)*(J$3:J$57&gt;J31))+SUMPRODUCT((P$3:P$57&lt;&gt;"")*(G$3:G$57=G31))+1,IF(N31&lt;&gt;"",SUMPRODUCT((N$3:N$57&lt;&gt;"")*(G$3:G$57=G31)*(J$3:J$57&gt;J31))+1,IF(M31="P",SUMPRODUCT((O$3:O$57&lt;&gt;"")*(P$3:P$57="")*(G$3:G$57=G31))+SUMPRODUCT((P$3:P$57&lt;&gt;"")*(G$3:G$57=G31))+SUMPRODUCT((N$3:N$57&lt;&gt;"")*(G$3:G$57=G31))+SUMPRODUCT((P$3:P$57="")*(O$3:O$57="")*(N$3:N$57="")*(M$3:M$57="P")*(G$3:G$57=G31)*(J$3:J$57&gt;J31))+IF(H31="L5",SUMPRODUCT((P$3:P$57="")*(O$3:O$57="")*(N$3:N$57="")*(M$3:M$57="P")*(G$3:G$57=G31)*(J$3:J$57&lt;J31)*(H$3:H$57&lt;&gt;H31)),-1*SUMPRODUCT((P$3:P$57="")*(O$3:O$57="")*(N$3:N$57="")*(M$3:M$57="P")*(G$3:G$57=G31)*(J$3:J$57&gt;J31)*(H$3:H$57="L5")))+1,""))))</f>
        <v>3</v>
      </c>
      <c r="C31" s="35" t="s">
        <v>76</v>
      </c>
      <c r="D31" s="35" t="str">
        <f>IF(E31="","",VLOOKUP(E31,'Coaching Points'!A:B,2,0))</f>
        <v>SK</v>
      </c>
      <c r="E31" s="35" t="s">
        <v>329</v>
      </c>
      <c r="F31" s="34">
        <v>2009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15-16</v>
      </c>
      <c r="H31" s="36" t="s">
        <v>63</v>
      </c>
      <c r="I31" s="40"/>
      <c r="J31" s="4">
        <f t="shared" si="0"/>
        <v>49.700200000000002</v>
      </c>
      <c r="K31" s="3" t="str">
        <f>IF(G31="Not Age Eligible","",IF(MAX(T31,W31,Z31,AC31)&gt;=LOOKUP(G31,'Qualifying Scores'!$A$4:$A$7,'Qualifying Scores'!$F$4:$F$7),"P",""))</f>
        <v>P</v>
      </c>
      <c r="L31" s="3" t="str">
        <f>IF(G31="Not Age Eligible","",IF(MAX(U31,X31,AA31,AD31)&gt;=LOOKUP(G31,'Qualifying Scores'!$A$10:$A$13,'Qualifying Scores'!$F$10:$F$13),"P",""))</f>
        <v>P</v>
      </c>
      <c r="M31" s="3" t="str">
        <f>IF(G31="Not Age Eligible","",IF(OR(AND(T31&gt;=LOOKUP(G31,'Qualifying Scores'!$A$4:$A$7,'Qualifying Scores'!$F$4:$F$7),U31&gt;=LOOKUP(G31,'Qualifying Scores'!$A$10:$A$13,'Qualifying Scores'!$F$10:$F$13)),AND(Z31&gt;=LOOKUP(G31,'Qualifying Scores'!$A$4:$A$7,'Qualifying Scores'!$F$4:$F$7),AA31&gt;=LOOKUP(G31,'Qualifying Scores'!$A$10:$A$13,'Qualifying Scores'!$F$10:$F$13)),AND(W31&gt;=LOOKUP(G31,'Qualifying Scores'!$A$4:$A$7,'Qualifying Scores'!$F$4:$F$7),X31&gt;=LOOKUP(G31,'Qualifying Scores'!$A$10:$A$13,'Qualifying Scores'!$F$10:$F$13)),AND(AC31&gt;=LOOKUP(G31,'Qualifying Scores'!$A$4:$A$7,'Qualifying Scores'!$F$4:$F$7),AD31&gt;=LOOKUP(G31,'Qualifying Scores'!$A$10:$A$13,'Qualifying Scores'!$F$10:$F$13))),"P",""))</f>
        <v>P</v>
      </c>
      <c r="N31" s="36">
        <v>3</v>
      </c>
      <c r="Q31" s="1" t="str">
        <f t="shared" si="1"/>
        <v/>
      </c>
      <c r="R31" s="4">
        <f t="shared" si="2"/>
        <v>49.7</v>
      </c>
      <c r="S31" s="4">
        <f t="shared" si="3"/>
        <v>49.4</v>
      </c>
      <c r="T31" s="32">
        <v>49.4</v>
      </c>
      <c r="U31" s="37">
        <v>13.2</v>
      </c>
      <c r="V31" s="37">
        <v>0</v>
      </c>
      <c r="W31" s="33">
        <v>49.7</v>
      </c>
      <c r="X31" s="37">
        <v>13.2</v>
      </c>
      <c r="Y31" s="37">
        <v>0</v>
      </c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$57&lt;&gt;"")*(G$3:G$57=G32)*(J$3:J$57&gt;J32)*(I$3:I$57="P"))+1,IF(O32&lt;&gt;"",SUMPRODUCT((O$3:O$57&lt;&gt;"")*(P$3:P$57="")*(G$3:G$57=G32)*(J$3:J$57&gt;J32)*(I$3:I$57="P"))+SUMPRODUCT((P$3:P$57&lt;&gt;"")*(G$3:G$57=G32)*(I$3:I$57="P"))+1,IF(N32&lt;&gt;"",SUMPRODUCT((N$3:N$57&lt;&gt;"")*(G$3:G$57=G32)*(J$3:J$57&gt;J32)*(I$3:I$57="P"))+1,IF(M32="P",SUMPRODUCT((O$3:O$57&lt;&gt;"")*(P$3:P$57="")*(G$3:G$57=G32)*(I$3:I$57="P"))+SUMPRODUCT((P$3:P$57&lt;&gt;"")*(G$3:G$57=G32)*(I$3:I$57="P"))+SUMPRODUCT((N$3:N$57&lt;&gt;"")*(G$3:G$57=G32)*(I$3:I$57="P"))+SUMPRODUCT((P$3:P$57="")*(O$3:O$57="")*(N$3:N$57="")*(M$3:M$57="P")*(G$3:G$57=G32)*(J$3:J$57&gt;J32)*(I$3:I$57="P"))+IF(H32="L5",SUMPRODUCT((P$3:P$57="")*(O$3:O$57="")*(N$3:N$57="")*(M$3:M$57="P")*(G$3:G$57=G32)*(J$3:J$57&lt;J32)*(H$3:H$57&lt;&gt;H32)*(I$3:I$57="P")),-1*SUMPRODUCT((P$3:P$57="")*(O$3:O$57="")*(N$3:N$57="")*(M$3:M$57="P")*(G$3:G$57=G32)*(J$3:J$57&gt;J32)*(H$3:H$57="L5")*(I$3:I$57="P")))+1,"")))))</f>
        <v/>
      </c>
      <c r="B32" s="1" cm="1">
        <f t="array" ref="B32">IF(P32&lt;&gt;"",SUMPRODUCT((P$3:P$57&lt;&gt;"")*(G$3:G$57=G32)*(J$3:J$57&gt;J32))+1,IF(O32&lt;&gt;"",SUMPRODUCT((O$3:O$57&lt;&gt;"")*(P$3:P$57="")*(G$3:G$57=G32)*(J$3:J$57&gt;J32))+SUMPRODUCT((P$3:P$57&lt;&gt;"")*(G$3:G$57=G32))+1,IF(N32&lt;&gt;"",SUMPRODUCT((N$3:N$57&lt;&gt;"")*(G$3:G$57=G32)*(J$3:J$57&gt;J32))+1,IF(M32="P",SUMPRODUCT((O$3:O$57&lt;&gt;"")*(P$3:P$57="")*(G$3:G$57=G32))+SUMPRODUCT((P$3:P$57&lt;&gt;"")*(G$3:G$57=G32))+SUMPRODUCT((N$3:N$57&lt;&gt;"")*(G$3:G$57=G32))+SUMPRODUCT((P$3:P$57="")*(O$3:O$57="")*(N$3:N$57="")*(M$3:M$57="P")*(G$3:G$57=G32)*(J$3:J$57&gt;J32))+IF(H32="L5",SUMPRODUCT((P$3:P$57="")*(O$3:O$57="")*(N$3:N$57="")*(M$3:M$57="P")*(G$3:G$57=G32)*(J$3:J$57&lt;J32)*(H$3:H$57&lt;&gt;H32)),-1*SUMPRODUCT((P$3:P$57="")*(O$3:O$57="")*(N$3:N$57="")*(M$3:M$57="P")*(G$3:G$57=G32)*(J$3:J$57&gt;J32)*(H$3:H$57="L5")))+1,""))))</f>
        <v>4</v>
      </c>
      <c r="C32" s="35" t="s">
        <v>184</v>
      </c>
      <c r="D32" s="35" t="str">
        <f>IF(E32="","",VLOOKUP(E32,'Coaching Points'!A:B,2,0))</f>
        <v>BC</v>
      </c>
      <c r="E32" s="35" t="s">
        <v>40</v>
      </c>
      <c r="F32" s="34">
        <v>2008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6" t="s">
        <v>63</v>
      </c>
      <c r="I32" s="40"/>
      <c r="J32" s="4">
        <f t="shared" si="0"/>
        <v>48.200200000000002</v>
      </c>
      <c r="K32" s="3" t="str">
        <f>IF(G32="Not Age Eligible","",IF(MAX(T32,W32,Z32,AC32)&gt;=LOOKUP(G32,'Qualifying Scores'!$A$4:$A$7,'Qualifying Scores'!$F$4:$F$7),"P",""))</f>
        <v>P</v>
      </c>
      <c r="L32" s="3" t="str">
        <f>IF(G32="Not Age Eligible","",IF(MAX(U32,X32,AA32,AD32)&gt;=LOOKUP(G32,'Qualifying Scores'!$A$10:$A$13,'Qualifying Scores'!$F$10:$F$13),"P",""))</f>
        <v>P</v>
      </c>
      <c r="M32" s="3" t="str">
        <f>IF(G32="Not Age Eligible","",IF(OR(AND(T32&gt;=LOOKUP(G32,'Qualifying Scores'!$A$4:$A$7,'Qualifying Scores'!$F$4:$F$7),U32&gt;=LOOKUP(G32,'Qualifying Scores'!$A$10:$A$13,'Qualifying Scores'!$F$10:$F$13)),AND(Z32&gt;=LOOKUP(G32,'Qualifying Scores'!$A$4:$A$7,'Qualifying Scores'!$F$4:$F$7),AA32&gt;=LOOKUP(G32,'Qualifying Scores'!$A$10:$A$13,'Qualifying Scores'!$F$10:$F$13)),AND(W32&gt;=LOOKUP(G32,'Qualifying Scores'!$A$4:$A$7,'Qualifying Scores'!$F$4:$F$7),X32&gt;=LOOKUP(G32,'Qualifying Scores'!$A$10:$A$13,'Qualifying Scores'!$F$10:$F$13)),AND(AC32&gt;=LOOKUP(G32,'Qualifying Scores'!$A$4:$A$7,'Qualifying Scores'!$F$4:$F$7),AD32&gt;=LOOKUP(G32,'Qualifying Scores'!$A$10:$A$13,'Qualifying Scores'!$F$10:$F$13))),"P",""))</f>
        <v>P</v>
      </c>
      <c r="N32" s="36">
        <v>4</v>
      </c>
      <c r="Q32" s="1" t="str">
        <f t="shared" si="1"/>
        <v/>
      </c>
      <c r="R32" s="4">
        <f t="shared" si="2"/>
        <v>48.2</v>
      </c>
      <c r="S32" s="4">
        <f t="shared" si="3"/>
        <v>24.4</v>
      </c>
      <c r="T32" s="32">
        <v>48.2</v>
      </c>
      <c r="U32" s="37">
        <v>13.2</v>
      </c>
      <c r="V32" s="37">
        <v>0</v>
      </c>
      <c r="W32" s="33">
        <v>24.4</v>
      </c>
      <c r="X32" s="37">
        <v>7.2</v>
      </c>
      <c r="Y32" s="37">
        <v>0</v>
      </c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$57&lt;&gt;"")*(G$3:G$57=G33)*(J$3:J$57&gt;J33)*(I$3:I$57="P"))+1,IF(O33&lt;&gt;"",SUMPRODUCT((O$3:O$57&lt;&gt;"")*(P$3:P$57="")*(G$3:G$57=G33)*(J$3:J$57&gt;J33)*(I$3:I$57="P"))+SUMPRODUCT((P$3:P$57&lt;&gt;"")*(G$3:G$57=G33)*(I$3:I$57="P"))+1,IF(N33&lt;&gt;"",SUMPRODUCT((N$3:N$57&lt;&gt;"")*(G$3:G$57=G33)*(J$3:J$57&gt;J33)*(I$3:I$57="P"))+1,IF(M33="P",SUMPRODUCT((O$3:O$57&lt;&gt;"")*(P$3:P$57="")*(G$3:G$57=G33)*(I$3:I$57="P"))+SUMPRODUCT((P$3:P$57&lt;&gt;"")*(G$3:G$57=G33)*(I$3:I$57="P"))+SUMPRODUCT((N$3:N$57&lt;&gt;"")*(G$3:G$57=G33)*(I$3:I$57="P"))+SUMPRODUCT((P$3:P$57="")*(O$3:O$57="")*(N$3:N$57="")*(M$3:M$57="P")*(G$3:G$57=G33)*(J$3:J$57&gt;J33)*(I$3:I$57="P"))+IF(H33="L5",SUMPRODUCT((P$3:P$57="")*(O$3:O$57="")*(N$3:N$57="")*(M$3:M$57="P")*(G$3:G$57=G33)*(J$3:J$57&lt;J33)*(H$3:H$57&lt;&gt;H33)*(I$3:I$57="P")),-1*SUMPRODUCT((P$3:P$57="")*(O$3:O$57="")*(N$3:N$57="")*(M$3:M$57="P")*(G$3:G$57=G33)*(J$3:J$57&gt;J33)*(H$3:H$57="L5")*(I$3:I$57="P")))+1,"")))))</f>
        <v/>
      </c>
      <c r="B33" s="1" cm="1">
        <f t="array" ref="B33">IF(P33&lt;&gt;"",SUMPRODUCT((P$3:P$57&lt;&gt;"")*(G$3:G$57=G33)*(J$3:J$57&gt;J33))+1,IF(O33&lt;&gt;"",SUMPRODUCT((O$3:O$57&lt;&gt;"")*(P$3:P$57="")*(G$3:G$57=G33)*(J$3:J$57&gt;J33))+SUMPRODUCT((P$3:P$57&lt;&gt;"")*(G$3:G$57=G33))+1,IF(N33&lt;&gt;"",SUMPRODUCT((N$3:N$57&lt;&gt;"")*(G$3:G$57=G33)*(J$3:J$57&gt;J33))+1,IF(M33="P",SUMPRODUCT((O$3:O$57&lt;&gt;"")*(P$3:P$57="")*(G$3:G$57=G33))+SUMPRODUCT((P$3:P$57&lt;&gt;"")*(G$3:G$57=G33))+SUMPRODUCT((N$3:N$57&lt;&gt;"")*(G$3:G$57=G33))+SUMPRODUCT((P$3:P$57="")*(O$3:O$57="")*(N$3:N$57="")*(M$3:M$57="P")*(G$3:G$57=G33)*(J$3:J$57&gt;J33))+IF(H33="L5",SUMPRODUCT((P$3:P$57="")*(O$3:O$57="")*(N$3:N$57="")*(M$3:M$57="P")*(G$3:G$57=G33)*(J$3:J$57&lt;J33)*(H$3:H$57&lt;&gt;H33)),-1*SUMPRODUCT((P$3:P$57="")*(O$3:O$57="")*(N$3:N$57="")*(M$3:M$57="P")*(G$3:G$57=G33)*(J$3:J$57&gt;J33)*(H$3:H$57="L5")))+1,""))))</f>
        <v>5</v>
      </c>
      <c r="C33" s="35" t="s">
        <v>317</v>
      </c>
      <c r="D33" s="35" t="str">
        <f>IF(E33="","",VLOOKUP(E33,'Coaching Points'!A:B,2,0))</f>
        <v>AB</v>
      </c>
      <c r="E33" s="35" t="s">
        <v>56</v>
      </c>
      <c r="F33" s="34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6" t="s">
        <v>63</v>
      </c>
      <c r="I33" s="40"/>
      <c r="J33" s="4">
        <f t="shared" si="0"/>
        <v>47.900199999999998</v>
      </c>
      <c r="K33" s="3" t="str">
        <f>IF(G33="Not Age Eligible","",IF(MAX(T33,W33,Z33,AC33)&gt;=LOOKUP(G33,'Qualifying Scores'!$A$4:$A$7,'Qualifying Scores'!$F$4:$F$7),"P",""))</f>
        <v>P</v>
      </c>
      <c r="L33" s="3" t="str">
        <f>IF(G33="Not Age Eligible","",IF(MAX(U33,X33,AA33,AD33)&gt;=LOOKUP(G33,'Qualifying Scores'!$A$10:$A$13,'Qualifying Scores'!$F$10:$F$13),"P",""))</f>
        <v>P</v>
      </c>
      <c r="M33" s="3" t="str">
        <f>IF(G33="Not Age Eligible","",IF(OR(AND(T33&gt;=LOOKUP(G33,'Qualifying Scores'!$A$4:$A$7,'Qualifying Scores'!$F$4:$F$7),U33&gt;=LOOKUP(G33,'Qualifying Scores'!$A$10:$A$13,'Qualifying Scores'!$F$10:$F$13)),AND(Z33&gt;=LOOKUP(G33,'Qualifying Scores'!$A$4:$A$7,'Qualifying Scores'!$F$4:$F$7),AA33&gt;=LOOKUP(G33,'Qualifying Scores'!$A$10:$A$13,'Qualifying Scores'!$F$10:$F$13)),AND(W33&gt;=LOOKUP(G33,'Qualifying Scores'!$A$4:$A$7,'Qualifying Scores'!$F$4:$F$7),X33&gt;=LOOKUP(G33,'Qualifying Scores'!$A$10:$A$13,'Qualifying Scores'!$F$10:$F$13)),AND(AC33&gt;=LOOKUP(G33,'Qualifying Scores'!$A$4:$A$7,'Qualifying Scores'!$F$4:$F$7),AD33&gt;=LOOKUP(G33,'Qualifying Scores'!$A$10:$A$13,'Qualifying Scores'!$F$10:$F$13))),"P",""))</f>
        <v>P</v>
      </c>
      <c r="Q33" s="1" t="str">
        <f t="shared" si="1"/>
        <v/>
      </c>
      <c r="R33" s="4">
        <f t="shared" si="2"/>
        <v>47.9</v>
      </c>
      <c r="S33" s="4">
        <f t="shared" si="3"/>
        <v>47.1</v>
      </c>
      <c r="T33" s="32">
        <v>47.1</v>
      </c>
      <c r="U33" s="37">
        <v>12.8</v>
      </c>
      <c r="V33" s="37">
        <v>0</v>
      </c>
      <c r="W33" s="33">
        <v>47.9</v>
      </c>
      <c r="X33" s="37">
        <v>12.9</v>
      </c>
      <c r="Y33" s="37">
        <v>0</v>
      </c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$57&lt;&gt;"")*(G$3:G$57=G34)*(J$3:J$57&gt;J34)*(I$3:I$57="P"))+1,IF(O34&lt;&gt;"",SUMPRODUCT((O$3:O$57&lt;&gt;"")*(P$3:P$57="")*(G$3:G$57=G34)*(J$3:J$57&gt;J34)*(I$3:I$57="P"))+SUMPRODUCT((P$3:P$57&lt;&gt;"")*(G$3:G$57=G34)*(I$3:I$57="P"))+1,IF(N34&lt;&gt;"",SUMPRODUCT((N$3:N$57&lt;&gt;"")*(G$3:G$57=G34)*(J$3:J$57&gt;J34)*(I$3:I$57="P"))+1,IF(M34="P",SUMPRODUCT((O$3:O$57&lt;&gt;"")*(P$3:P$57="")*(G$3:G$57=G34)*(I$3:I$57="P"))+SUMPRODUCT((P$3:P$57&lt;&gt;"")*(G$3:G$57=G34)*(I$3:I$57="P"))+SUMPRODUCT((N$3:N$57&lt;&gt;"")*(G$3:G$57=G34)*(I$3:I$57="P"))+SUMPRODUCT((P$3:P$57="")*(O$3:O$57="")*(N$3:N$57="")*(M$3:M$57="P")*(G$3:G$57=G34)*(J$3:J$57&gt;J34)*(I$3:I$57="P"))+IF(H34="L5",SUMPRODUCT((P$3:P$57="")*(O$3:O$57="")*(N$3:N$57="")*(M$3:M$57="P")*(G$3:G$57=G34)*(J$3:J$57&lt;J34)*(H$3:H$57&lt;&gt;H34)*(I$3:I$57="P")),-1*SUMPRODUCT((P$3:P$57="")*(O$3:O$57="")*(N$3:N$57="")*(M$3:M$57="P")*(G$3:G$57=G34)*(J$3:J$57&gt;J34)*(H$3:H$57="L5")*(I$3:I$57="P")))+1,"")))))</f>
        <v/>
      </c>
      <c r="B34" s="1" t="str" cm="1">
        <f t="array" ref="B34">IF(P34&lt;&gt;"",SUMPRODUCT((P$3:P$57&lt;&gt;"")*(G$3:G$57=G34)*(J$3:J$57&gt;J34))+1,IF(O34&lt;&gt;"",SUMPRODUCT((O$3:O$57&lt;&gt;"")*(P$3:P$57="")*(G$3:G$57=G34)*(J$3:J$57&gt;J34))+SUMPRODUCT((P$3:P$57&lt;&gt;"")*(G$3:G$57=G34))+1,IF(N34&lt;&gt;"",SUMPRODUCT((N$3:N$57&lt;&gt;"")*(G$3:G$57=G34)*(J$3:J$57&gt;J34))+1,IF(M34="P",SUMPRODUCT((O$3:O$57&lt;&gt;"")*(P$3:P$57="")*(G$3:G$57=G34))+SUMPRODUCT((P$3:P$57&lt;&gt;"")*(G$3:G$57=G34))+SUMPRODUCT((N$3:N$57&lt;&gt;"")*(G$3:G$57=G34))+SUMPRODUCT((P$3:P$57="")*(O$3:O$57="")*(N$3:N$57="")*(M$3:M$57="P")*(G$3:G$57=G34)*(J$3:J$57&gt;J34))+IF(H34="L5",SUMPRODUCT((P$3:P$57="")*(O$3:O$57="")*(N$3:N$57="")*(M$3:M$57="P")*(G$3:G$57=G34)*(J$3:J$57&lt;J34)*(H$3:H$57&lt;&gt;H34)),-1*SUMPRODUCT((P$3:P$57="")*(O$3:O$57="")*(N$3:N$57="")*(M$3:M$57="P")*(G$3:G$57=G34)*(J$3:J$57&gt;J34)*(H$3:H$57="L5")))+1,""))))</f>
        <v/>
      </c>
      <c r="C34" s="35" t="s">
        <v>326</v>
      </c>
      <c r="D34" s="35" t="str">
        <f>IF(E34="","",VLOOKUP(E34,'Coaching Points'!A:B,2,0))</f>
        <v>ON</v>
      </c>
      <c r="E34" s="35" t="s">
        <v>97</v>
      </c>
      <c r="F34" s="34">
        <v>2009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6" t="s">
        <v>65</v>
      </c>
      <c r="I34" s="40"/>
      <c r="J34" s="4">
        <f t="shared" si="0"/>
        <v>47.500100000000003</v>
      </c>
      <c r="K34" s="3" t="str">
        <f>IF(G34="Not Age Eligible","",IF(MAX(T34,W34,Z34,AC34)&gt;=LOOKUP(G34,'Qualifying Scores'!$A$4:$A$7,'Qualifying Scores'!$F$4:$F$7),"P",""))</f>
        <v>P</v>
      </c>
      <c r="L34" s="3" t="str">
        <f>IF(G34="Not Age Eligible","",IF(MAX(U34,X34,AA34,AD34)&gt;=LOOKUP(G34,'Qualifying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Scores'!$F$10:$F$13)),AND(Z34&gt;=LOOKUP(G34,'Qualifying Scores'!$A$4:$A$7,'Qualifying Scores'!$F$4:$F$7),AA34&gt;=LOOKUP(G34,'Qualifying Scores'!$A$10:$A$13,'Qualifying Scores'!$F$10:$F$13)),AND(W34&gt;=LOOKUP(G34,'Qualifying Scores'!$A$4:$A$7,'Qualifying Scores'!$F$4:$F$7),X34&gt;=LOOKUP(G34,'Qualifying Scores'!$A$10:$A$13,'Qualifying Scores'!$F$10:$F$13)),AND(AC34&gt;=LOOKUP(G34,'Qualifying Scores'!$A$4:$A$7,'Qualifying Scores'!$F$4:$F$7),AD34&gt;=LOOKUP(G34,'Qualifying Scores'!$A$10:$A$13,'Qualifying Scores'!$F$10:$F$13))),"P",""))</f>
        <v/>
      </c>
      <c r="Q34" s="1" t="str">
        <f t="shared" si="1"/>
        <v/>
      </c>
      <c r="R34" s="4">
        <f t="shared" si="2"/>
        <v>47.5</v>
      </c>
      <c r="S34" s="4">
        <f t="shared" si="3"/>
        <v>44.4</v>
      </c>
      <c r="T34" s="32">
        <v>47.5</v>
      </c>
      <c r="U34" s="37">
        <v>10</v>
      </c>
      <c r="V34" s="37">
        <v>0</v>
      </c>
      <c r="W34" s="33">
        <v>44.4</v>
      </c>
      <c r="X34" s="37">
        <v>7</v>
      </c>
      <c r="Y34" s="37">
        <v>0</v>
      </c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$57&lt;&gt;"")*(G$3:G$57=G35)*(J$3:J$57&gt;J35)*(I$3:I$57="P"))+1,IF(O35&lt;&gt;"",SUMPRODUCT((O$3:O$57&lt;&gt;"")*(P$3:P$57="")*(G$3:G$57=G35)*(J$3:J$57&gt;J35)*(I$3:I$57="P"))+SUMPRODUCT((P$3:P$57&lt;&gt;"")*(G$3:G$57=G35)*(I$3:I$57="P"))+1,IF(N35&lt;&gt;"",SUMPRODUCT((N$3:N$57&lt;&gt;"")*(G$3:G$57=G35)*(J$3:J$57&gt;J35)*(I$3:I$57="P"))+1,IF(M35="P",SUMPRODUCT((O$3:O$57&lt;&gt;"")*(P$3:P$57="")*(G$3:G$57=G35)*(I$3:I$57="P"))+SUMPRODUCT((P$3:P$57&lt;&gt;"")*(G$3:G$57=G35)*(I$3:I$57="P"))+SUMPRODUCT((N$3:N$57&lt;&gt;"")*(G$3:G$57=G35)*(I$3:I$57="P"))+SUMPRODUCT((P$3:P$57="")*(O$3:O$57="")*(N$3:N$57="")*(M$3:M$57="P")*(G$3:G$57=G35)*(J$3:J$57&gt;J35)*(I$3:I$57="P"))+IF(H35="L5",SUMPRODUCT((P$3:P$57="")*(O$3:O$57="")*(N$3:N$57="")*(M$3:M$57="P")*(G$3:G$57=G35)*(J$3:J$57&lt;J35)*(H$3:H$57&lt;&gt;H35)*(I$3:I$57="P")),-1*SUMPRODUCT((P$3:P$57="")*(O$3:O$57="")*(N$3:N$57="")*(M$3:M$57="P")*(G$3:G$57=G35)*(J$3:J$57&gt;J35)*(H$3:H$57="L5")*(I$3:I$57="P")))+1,"")))))</f>
        <v/>
      </c>
      <c r="B35" s="1" t="str" cm="1">
        <f t="array" ref="B35">IF(P35&lt;&gt;"",SUMPRODUCT((P$3:P$57&lt;&gt;"")*(G$3:G$57=G35)*(J$3:J$57&gt;J35))+1,IF(O35&lt;&gt;"",SUMPRODUCT((O$3:O$57&lt;&gt;"")*(P$3:P$57="")*(G$3:G$57=G35)*(J$3:J$57&gt;J35))+SUMPRODUCT((P$3:P$57&lt;&gt;"")*(G$3:G$57=G35))+1,IF(N35&lt;&gt;"",SUMPRODUCT((N$3:N$57&lt;&gt;"")*(G$3:G$57=G35)*(J$3:J$57&gt;J35))+1,IF(M35="P",SUMPRODUCT((O$3:O$57&lt;&gt;"")*(P$3:P$57="")*(G$3:G$57=G35))+SUMPRODUCT((P$3:P$57&lt;&gt;"")*(G$3:G$57=G35))+SUMPRODUCT((N$3:N$57&lt;&gt;"")*(G$3:G$57=G35))+SUMPRODUCT((P$3:P$57="")*(O$3:O$57="")*(N$3:N$57="")*(M$3:M$57="P")*(G$3:G$57=G35)*(J$3:J$57&gt;J35))+IF(H35="L5",SUMPRODUCT((P$3:P$57="")*(O$3:O$57="")*(N$3:N$57="")*(M$3:M$57="P")*(G$3:G$57=G35)*(J$3:J$57&lt;J35)*(H$3:H$57&lt;&gt;H35)),-1*SUMPRODUCT((P$3:P$57="")*(O$3:O$57="")*(N$3:N$57="")*(M$3:M$57="P")*(G$3:G$57=G35)*(J$3:J$57&gt;J35)*(H$3:H$57="L5")))+1,""))))</f>
        <v/>
      </c>
      <c r="C35" s="35" t="s">
        <v>283</v>
      </c>
      <c r="D35" s="35" t="str">
        <f>IF(E35="","",VLOOKUP(E35,'Coaching Points'!A:B,2,0))</f>
        <v>AB</v>
      </c>
      <c r="E35" s="35" t="s">
        <v>28</v>
      </c>
      <c r="F35" s="34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6" t="s">
        <v>65</v>
      </c>
      <c r="I35" s="40"/>
      <c r="J35" s="4">
        <f t="shared" ref="J35:J56" si="4">R35+IF(OR(H35="Junior",H35="Senior"),0.0002,IF(OR(H35="L7",H35="L6"),0.0001,0))+MAX(Z35,AC35)*0.0000001</f>
        <v>45.200100000000006</v>
      </c>
      <c r="K35" s="3" t="str">
        <f>IF(G35="Not Age Eligible","",IF(MAX(T35,W35,Z35,AC35)&gt;=LOOKUP(G35,'Qualifying Scores'!$A$4:$A$7,'Qualifying Scores'!$F$4:$F$7),"P",""))</f>
        <v/>
      </c>
      <c r="L35" s="3" t="str">
        <f>IF(G35="Not Age Eligible","",IF(MAX(U35,X35,AA35,AD35)&gt;=LOOKUP(G35,'Qualifying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Scores'!$F$10:$F$13)),AND(Z35&gt;=LOOKUP(G35,'Qualifying Scores'!$A$4:$A$7,'Qualifying Scores'!$F$4:$F$7),AA35&gt;=LOOKUP(G35,'Qualifying Scores'!$A$10:$A$13,'Qualifying Scores'!$F$10:$F$13)),AND(W35&gt;=LOOKUP(G35,'Qualifying Scores'!$A$4:$A$7,'Qualifying Scores'!$F$4:$F$7),X35&gt;=LOOKUP(G35,'Qualifying Scores'!$A$10:$A$13,'Qualifying Scores'!$F$10:$F$13)),AND(AC35&gt;=LOOKUP(G35,'Qualifying Scores'!$A$4:$A$7,'Qualifying Scores'!$F$4:$F$7),AD35&gt;=LOOKUP(G35,'Qualifying Scores'!$A$10:$A$13,'Qualifying Scores'!$F$10:$F$13))),"P",""))</f>
        <v/>
      </c>
      <c r="Q35" s="1" t="str">
        <f t="shared" ref="Q35:Q56" si="5">IF(A35&lt;5,IF(_xlfn.MAXIFS(A:A,G:G,G35)&gt;3,5-A35,_xlfn.MAXIFS(A:A,G:G,G35)+1-A35),"")</f>
        <v/>
      </c>
      <c r="R35" s="4">
        <f t="shared" ref="R35:R56" si="6">MAX(T35-V35,W35-Y35,Z35-AB35,AC35-AE35)</f>
        <v>45.2</v>
      </c>
      <c r="S35" s="4">
        <f t="shared" ref="S35:S56" si="7">IF(R35=T35-V35,MAX(W35-Y35,Z35-AB35,AC35-AE35),IF(R35=W35-Y35,MAX(T35-V35,Z35-AB35,AC35-AE35),IF(R35=Z35-AB35,MAX(T35-V35,W35-Y35,AC35-AE35),IF(R35=AC35-AE35,MAX(T35-V35,W35-Y35,Z35-AB35),0))))</f>
        <v>44.3</v>
      </c>
      <c r="T35" s="32">
        <v>44.3</v>
      </c>
      <c r="U35" s="37">
        <v>7.1</v>
      </c>
      <c r="V35" s="37">
        <v>0</v>
      </c>
      <c r="W35" s="33">
        <v>45.2</v>
      </c>
      <c r="X35" s="37">
        <v>9.1999999999999993</v>
      </c>
      <c r="Y35" s="37">
        <v>0</v>
      </c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$57&lt;&gt;"")*(G$3:G$57=G36)*(J$3:J$57&gt;J36)*(I$3:I$57="P"))+1,IF(O36&lt;&gt;"",SUMPRODUCT((O$3:O$57&lt;&gt;"")*(P$3:P$57="")*(G$3:G$57=G36)*(J$3:J$57&gt;J36)*(I$3:I$57="P"))+SUMPRODUCT((P$3:P$57&lt;&gt;"")*(G$3:G$57=G36)*(I$3:I$57="P"))+1,IF(N36&lt;&gt;"",SUMPRODUCT((N$3:N$57&lt;&gt;"")*(G$3:G$57=G36)*(J$3:J$57&gt;J36)*(I$3:I$57="P"))+1,IF(M36="P",SUMPRODUCT((O$3:O$57&lt;&gt;"")*(P$3:P$57="")*(G$3:G$57=G36)*(I$3:I$57="P"))+SUMPRODUCT((P$3:P$57&lt;&gt;"")*(G$3:G$57=G36)*(I$3:I$57="P"))+SUMPRODUCT((N$3:N$57&lt;&gt;"")*(G$3:G$57=G36)*(I$3:I$57="P"))+SUMPRODUCT((P$3:P$57="")*(O$3:O$57="")*(N$3:N$57="")*(M$3:M$57="P")*(G$3:G$57=G36)*(J$3:J$57&gt;J36)*(I$3:I$57="P"))+IF(H36="L5",SUMPRODUCT((P$3:P$57="")*(O$3:O$57="")*(N$3:N$57="")*(M$3:M$57="P")*(G$3:G$57=G36)*(J$3:J$57&lt;J36)*(H$3:H$57&lt;&gt;H36)*(I$3:I$57="P")),-1*SUMPRODUCT((P$3:P$57="")*(O$3:O$57="")*(N$3:N$57="")*(M$3:M$57="P")*(G$3:G$57=G36)*(J$3:J$57&gt;J36)*(H$3:H$57="L5")*(I$3:I$57="P")))+1,"")))))</f>
        <v/>
      </c>
      <c r="B36" s="1" t="str" cm="1">
        <f t="array" ref="B36">IF(P36&lt;&gt;"",SUMPRODUCT((P$3:P$57&lt;&gt;"")*(G$3:G$57=G36)*(J$3:J$57&gt;J36))+1,IF(O36&lt;&gt;"",SUMPRODUCT((O$3:O$57&lt;&gt;"")*(P$3:P$57="")*(G$3:G$57=G36)*(J$3:J$57&gt;J36))+SUMPRODUCT((P$3:P$57&lt;&gt;"")*(G$3:G$57=G36))+1,IF(N36&lt;&gt;"",SUMPRODUCT((N$3:N$57&lt;&gt;"")*(G$3:G$57=G36)*(J$3:J$57&gt;J36))+1,IF(M36="P",SUMPRODUCT((O$3:O$57&lt;&gt;"")*(P$3:P$57="")*(G$3:G$57=G36))+SUMPRODUCT((P$3:P$57&lt;&gt;"")*(G$3:G$57=G36))+SUMPRODUCT((N$3:N$57&lt;&gt;"")*(G$3:G$57=G36))+SUMPRODUCT((P$3:P$57="")*(O$3:O$57="")*(N$3:N$57="")*(M$3:M$57="P")*(G$3:G$57=G36)*(J$3:J$57&gt;J36))+IF(H36="L5",SUMPRODUCT((P$3:P$57="")*(O$3:O$57="")*(N$3:N$57="")*(M$3:M$57="P")*(G$3:G$57=G36)*(J$3:J$57&lt;J36)*(H$3:H$57&lt;&gt;H36)),-1*SUMPRODUCT((P$3:P$57="")*(O$3:O$57="")*(N$3:N$57="")*(M$3:M$57="P")*(G$3:G$57=G36)*(J$3:J$57&gt;J36)*(H$3:H$57="L5")))+1,""))))</f>
        <v/>
      </c>
      <c r="C36" s="35" t="s">
        <v>185</v>
      </c>
      <c r="D36" s="35" t="str">
        <f>IF(E36="","",VLOOKUP(E36,'Coaching Points'!A:B,2,0))</f>
        <v>BC</v>
      </c>
      <c r="E36" s="35" t="s">
        <v>40</v>
      </c>
      <c r="F36" s="34">
        <v>2009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6" t="s">
        <v>64</v>
      </c>
      <c r="I36" s="40"/>
      <c r="J36" s="4">
        <f t="shared" si="4"/>
        <v>45.2</v>
      </c>
      <c r="K36" s="3" t="str">
        <f>IF(G36="Not Age Eligible","",IF(MAX(T36,W36,Z36,AC36)&gt;=LOOKUP(G36,'Qualifying Scores'!$A$4:$A$7,'Qualifying Scores'!$F$4:$F$7),"P",""))</f>
        <v/>
      </c>
      <c r="L36" s="3" t="str">
        <f>IF(G36="Not Age Eligible","",IF(MAX(U36,X36,AA36,AD36)&gt;=LOOKUP(G36,'Qualifying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Scores'!$F$10:$F$13)),AND(Z36&gt;=LOOKUP(G36,'Qualifying Scores'!$A$4:$A$7,'Qualifying Scores'!$F$4:$F$7),AA36&gt;=LOOKUP(G36,'Qualifying Scores'!$A$10:$A$13,'Qualifying Scores'!$F$10:$F$13)),AND(W36&gt;=LOOKUP(G36,'Qualifying Scores'!$A$4:$A$7,'Qualifying Scores'!$F$4:$F$7),X36&gt;=LOOKUP(G36,'Qualifying Scores'!$A$10:$A$13,'Qualifying Scores'!$F$10:$F$13)),AND(AC36&gt;=LOOKUP(G36,'Qualifying Scores'!$A$4:$A$7,'Qualifying Scores'!$F$4:$F$7),AD36&gt;=LOOKUP(G36,'Qualifying Scores'!$A$10:$A$13,'Qualifying Scores'!$F$10:$F$13))),"P",""))</f>
        <v/>
      </c>
      <c r="Q36" s="1" t="str">
        <f t="shared" si="5"/>
        <v/>
      </c>
      <c r="R36" s="4">
        <f t="shared" si="6"/>
        <v>45.2</v>
      </c>
      <c r="S36" s="4">
        <f t="shared" si="7"/>
        <v>43.8</v>
      </c>
      <c r="T36" s="32">
        <v>43.8</v>
      </c>
      <c r="U36" s="37">
        <v>7.3000000000000007</v>
      </c>
      <c r="V36" s="37">
        <v>0</v>
      </c>
      <c r="W36" s="33">
        <v>45.2</v>
      </c>
      <c r="X36" s="37">
        <v>8.6999999999999993</v>
      </c>
      <c r="Y36" s="37">
        <v>0</v>
      </c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$57&lt;&gt;"")*(G$3:G$57=G37)*(J$3:J$57&gt;J37)*(I$3:I$57="P"))+1,IF(O37&lt;&gt;"",SUMPRODUCT((O$3:O$57&lt;&gt;"")*(P$3:P$57="")*(G$3:G$57=G37)*(J$3:J$57&gt;J37)*(I$3:I$57="P"))+SUMPRODUCT((P$3:P$57&lt;&gt;"")*(G$3:G$57=G37)*(I$3:I$57="P"))+1,IF(N37&lt;&gt;"",SUMPRODUCT((N$3:N$57&lt;&gt;"")*(G$3:G$57=G37)*(J$3:J$57&gt;J37)*(I$3:I$57="P"))+1,IF(M37="P",SUMPRODUCT((O$3:O$57&lt;&gt;"")*(P$3:P$57="")*(G$3:G$57=G37)*(I$3:I$57="P"))+SUMPRODUCT((P$3:P$57&lt;&gt;"")*(G$3:G$57=G37)*(I$3:I$57="P"))+SUMPRODUCT((N$3:N$57&lt;&gt;"")*(G$3:G$57=G37)*(I$3:I$57="P"))+SUMPRODUCT((P$3:P$57="")*(O$3:O$57="")*(N$3:N$57="")*(M$3:M$57="P")*(G$3:G$57=G37)*(J$3:J$57&gt;J37)*(I$3:I$57="P"))+IF(H37="L5",SUMPRODUCT((P$3:P$57="")*(O$3:O$57="")*(N$3:N$57="")*(M$3:M$57="P")*(G$3:G$57=G37)*(J$3:J$57&lt;J37)*(H$3:H$57&lt;&gt;H37)*(I$3:I$57="P")),-1*SUMPRODUCT((P$3:P$57="")*(O$3:O$57="")*(N$3:N$57="")*(M$3:M$57="P")*(G$3:G$57=G37)*(J$3:J$57&gt;J37)*(H$3:H$57="L5")*(I$3:I$57="P")))+1,"")))))</f>
        <v/>
      </c>
      <c r="B37" s="1" t="str" cm="1">
        <f t="array" ref="B37">IF(P37&lt;&gt;"",SUMPRODUCT((P$3:P$57&lt;&gt;"")*(G$3:G$57=G37)*(J$3:J$57&gt;J37))+1,IF(O37&lt;&gt;"",SUMPRODUCT((O$3:O$57&lt;&gt;"")*(P$3:P$57="")*(G$3:G$57=G37)*(J$3:J$57&gt;J37))+SUMPRODUCT((P$3:P$57&lt;&gt;"")*(G$3:G$57=G37))+1,IF(N37&lt;&gt;"",SUMPRODUCT((N$3:N$57&lt;&gt;"")*(G$3:G$57=G37)*(J$3:J$57&gt;J37))+1,IF(M37="P",SUMPRODUCT((O$3:O$57&lt;&gt;"")*(P$3:P$57="")*(G$3:G$57=G37))+SUMPRODUCT((P$3:P$57&lt;&gt;"")*(G$3:G$57=G37))+SUMPRODUCT((N$3:N$57&lt;&gt;"")*(G$3:G$57=G37))+SUMPRODUCT((P$3:P$57="")*(O$3:O$57="")*(N$3:N$57="")*(M$3:M$57="P")*(G$3:G$57=G37)*(J$3:J$57&gt;J37))+IF(H37="L5",SUMPRODUCT((P$3:P$57="")*(O$3:O$57="")*(N$3:N$57="")*(M$3:M$57="P")*(G$3:G$57=G37)*(J$3:J$57&lt;J37)*(H$3:H$57&lt;&gt;H37)),-1*SUMPRODUCT((P$3:P$57="")*(O$3:O$57="")*(N$3:N$57="")*(M$3:M$57="P")*(G$3:G$57=G37)*(J$3:J$57&gt;J37)*(H$3:H$57="L5")))+1,""))))</f>
        <v/>
      </c>
      <c r="C37" s="35" t="s">
        <v>295</v>
      </c>
      <c r="D37" s="35" t="str">
        <f>IF(E37="","",VLOOKUP(E37,'Coaching Points'!A:B,2,0))</f>
        <v>BC</v>
      </c>
      <c r="E37" s="35" t="s">
        <v>204</v>
      </c>
      <c r="F37" s="34">
        <v>2009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6" t="s">
        <v>64</v>
      </c>
      <c r="I37" s="40"/>
      <c r="J37" s="4">
        <f t="shared" si="4"/>
        <v>43.6</v>
      </c>
      <c r="K37" s="3" t="str">
        <f>IF(G37="Not Age Eligible","",IF(MAX(T37,W37,Z37,AC37)&gt;=LOOKUP(G37,'Qualifying Scores'!$A$4:$A$7,'Qualifying Scores'!$F$4:$F$7),"P",""))</f>
        <v/>
      </c>
      <c r="L37" s="3" t="str">
        <f>IF(G37="Not Age Eligible","",IF(MAX(U37,X37,AA37,AD37)&gt;=LOOKUP(G37,'Qualifying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Scores'!$F$10:$F$13)),AND(Z37&gt;=LOOKUP(G37,'Qualifying Scores'!$A$4:$A$7,'Qualifying Scores'!$F$4:$F$7),AA37&gt;=LOOKUP(G37,'Qualifying Scores'!$A$10:$A$13,'Qualifying Scores'!$F$10:$F$13)),AND(W37&gt;=LOOKUP(G37,'Qualifying Scores'!$A$4:$A$7,'Qualifying Scores'!$F$4:$F$7),X37&gt;=LOOKUP(G37,'Qualifying Scores'!$A$10:$A$13,'Qualifying Scores'!$F$10:$F$13)),AND(AC37&gt;=LOOKUP(G37,'Qualifying Scores'!$A$4:$A$7,'Qualifying Scores'!$F$4:$F$7),AD37&gt;=LOOKUP(G37,'Qualifying Scores'!$A$10:$A$13,'Qualifying Scores'!$F$10:$F$13))),"P",""))</f>
        <v/>
      </c>
      <c r="Q37" s="1" t="str">
        <f t="shared" si="5"/>
        <v/>
      </c>
      <c r="R37" s="4">
        <f t="shared" si="6"/>
        <v>43.6</v>
      </c>
      <c r="S37" s="4">
        <f t="shared" si="7"/>
        <v>42.7</v>
      </c>
      <c r="T37" s="32">
        <v>43.6</v>
      </c>
      <c r="U37" s="37">
        <v>7.1</v>
      </c>
      <c r="V37" s="37">
        <v>0</v>
      </c>
      <c r="W37" s="33">
        <v>42.7</v>
      </c>
      <c r="X37" s="37">
        <v>6.6999999999999993</v>
      </c>
      <c r="Y37" s="37">
        <v>0</v>
      </c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$57&lt;&gt;"")*(G$3:G$57=G38)*(J$3:J$57&gt;J38)*(I$3:I$57="P"))+1,IF(O38&lt;&gt;"",SUMPRODUCT((O$3:O$57&lt;&gt;"")*(P$3:P$57="")*(G$3:G$57=G38)*(J$3:J$57&gt;J38)*(I$3:I$57="P"))+SUMPRODUCT((P$3:P$57&lt;&gt;"")*(G$3:G$57=G38)*(I$3:I$57="P"))+1,IF(N38&lt;&gt;"",SUMPRODUCT((N$3:N$57&lt;&gt;"")*(G$3:G$57=G38)*(J$3:J$57&gt;J38)*(I$3:I$57="P"))+1,IF(M38="P",SUMPRODUCT((O$3:O$57&lt;&gt;"")*(P$3:P$57="")*(G$3:G$57=G38)*(I$3:I$57="P"))+SUMPRODUCT((P$3:P$57&lt;&gt;"")*(G$3:G$57=G38)*(I$3:I$57="P"))+SUMPRODUCT((N$3:N$57&lt;&gt;"")*(G$3:G$57=G38)*(I$3:I$57="P"))+SUMPRODUCT((P$3:P$57="")*(O$3:O$57="")*(N$3:N$57="")*(M$3:M$57="P")*(G$3:G$57=G38)*(J$3:J$57&gt;J38)*(I$3:I$57="P"))+IF(H38="L5",SUMPRODUCT((P$3:P$57="")*(O$3:O$57="")*(N$3:N$57="")*(M$3:M$57="P")*(G$3:G$57=G38)*(J$3:J$57&lt;J38)*(H$3:H$57&lt;&gt;H38)*(I$3:I$57="P")),-1*SUMPRODUCT((P$3:P$57="")*(O$3:O$57="")*(N$3:N$57="")*(M$3:M$57="P")*(G$3:G$57=G38)*(J$3:J$57&gt;J38)*(H$3:H$57="L5")*(I$3:I$57="P")))+1,"")))))</f>
        <v/>
      </c>
      <c r="B38" s="1" t="str" cm="1">
        <f t="array" ref="B38">IF(P38&lt;&gt;"",SUMPRODUCT((P$3:P$57&lt;&gt;"")*(G$3:G$57=G38)*(J$3:J$57&gt;J38))+1,IF(O38&lt;&gt;"",SUMPRODUCT((O$3:O$57&lt;&gt;"")*(P$3:P$57="")*(G$3:G$57=G38)*(J$3:J$57&gt;J38))+SUMPRODUCT((P$3:P$57&lt;&gt;"")*(G$3:G$57=G38))+1,IF(N38&lt;&gt;"",SUMPRODUCT((N$3:N$57&lt;&gt;"")*(G$3:G$57=G38)*(J$3:J$57&gt;J38))+1,IF(M38="P",SUMPRODUCT((O$3:O$57&lt;&gt;"")*(P$3:P$57="")*(G$3:G$57=G38))+SUMPRODUCT((P$3:P$57&lt;&gt;"")*(G$3:G$57=G38))+SUMPRODUCT((N$3:N$57&lt;&gt;"")*(G$3:G$57=G38))+SUMPRODUCT((P$3:P$57="")*(O$3:O$57="")*(N$3:N$57="")*(M$3:M$57="P")*(G$3:G$57=G38)*(J$3:J$57&gt;J38))+IF(H38="L5",SUMPRODUCT((P$3:P$57="")*(O$3:O$57="")*(N$3:N$57="")*(M$3:M$57="P")*(G$3:G$57=G38)*(J$3:J$57&lt;J38)*(H$3:H$57&lt;&gt;H38)),-1*SUMPRODUCT((P$3:P$57="")*(O$3:O$57="")*(N$3:N$57="")*(M$3:M$57="P")*(G$3:G$57=G38)*(J$3:J$57&gt;J38)*(H$3:H$57="L5")))+1,""))))</f>
        <v/>
      </c>
      <c r="C38" s="35" t="s">
        <v>280</v>
      </c>
      <c r="D38" s="35" t="str">
        <f>IF(E38="","",VLOOKUP(E38,'Coaching Points'!A:B,2,0))</f>
        <v>ON</v>
      </c>
      <c r="E38" s="35" t="s">
        <v>45</v>
      </c>
      <c r="F38" s="34">
        <v>2008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6" t="s">
        <v>64</v>
      </c>
      <c r="I38" s="40"/>
      <c r="J38" s="4">
        <f t="shared" si="4"/>
        <v>43.6</v>
      </c>
      <c r="K38" s="3" t="str">
        <f>IF(G38="Not Age Eligible","",IF(MAX(T38,W38,Z38,AC38)&gt;=LOOKUP(G38,'Qualifying Scores'!$A$4:$A$7,'Qualifying Scores'!$F$4:$F$7),"P",""))</f>
        <v/>
      </c>
      <c r="L38" s="3" t="str">
        <f>IF(G38="Not Age Eligible","",IF(MAX(U38,X38,AA38,AD38)&gt;=LOOKUP(G38,'Qualifying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Scores'!$F$10:$F$13)),AND(Z38&gt;=LOOKUP(G38,'Qualifying Scores'!$A$4:$A$7,'Qualifying Scores'!$F$4:$F$7),AA38&gt;=LOOKUP(G38,'Qualifying Scores'!$A$10:$A$13,'Qualifying Scores'!$F$10:$F$13)),AND(W38&gt;=LOOKUP(G38,'Qualifying Scores'!$A$4:$A$7,'Qualifying Scores'!$F$4:$F$7),X38&gt;=LOOKUP(G38,'Qualifying Scores'!$A$10:$A$13,'Qualifying Scores'!$F$10:$F$13)),AND(AC38&gt;=LOOKUP(G38,'Qualifying Scores'!$A$4:$A$7,'Qualifying Scores'!$F$4:$F$7),AD38&gt;=LOOKUP(G38,'Qualifying Scores'!$A$10:$A$13,'Qualifying Scores'!$F$10:$F$13))),"P",""))</f>
        <v/>
      </c>
      <c r="Q38" s="1" t="str">
        <f t="shared" si="5"/>
        <v/>
      </c>
      <c r="R38" s="4">
        <f t="shared" si="6"/>
        <v>43.6</v>
      </c>
      <c r="S38" s="4">
        <f t="shared" si="7"/>
        <v>41</v>
      </c>
      <c r="T38" s="32">
        <v>41</v>
      </c>
      <c r="U38" s="37">
        <v>5.6000000000000005</v>
      </c>
      <c r="V38" s="37">
        <v>0</v>
      </c>
      <c r="W38" s="33">
        <v>43.6</v>
      </c>
      <c r="X38" s="37">
        <v>7</v>
      </c>
      <c r="Y38" s="37">
        <v>0</v>
      </c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$57&lt;&gt;"")*(G$3:G$57=G39)*(J$3:J$57&gt;J39)*(I$3:I$57="P"))+1,IF(O39&lt;&gt;"",SUMPRODUCT((O$3:O$57&lt;&gt;"")*(P$3:P$57="")*(G$3:G$57=G39)*(J$3:J$57&gt;J39)*(I$3:I$57="P"))+SUMPRODUCT((P$3:P$57&lt;&gt;"")*(G$3:G$57=G39)*(I$3:I$57="P"))+1,IF(N39&lt;&gt;"",SUMPRODUCT((N$3:N$57&lt;&gt;"")*(G$3:G$57=G39)*(J$3:J$57&gt;J39)*(I$3:I$57="P"))+1,IF(M39="P",SUMPRODUCT((O$3:O$57&lt;&gt;"")*(P$3:P$57="")*(G$3:G$57=G39)*(I$3:I$57="P"))+SUMPRODUCT((P$3:P$57&lt;&gt;"")*(G$3:G$57=G39)*(I$3:I$57="P"))+SUMPRODUCT((N$3:N$57&lt;&gt;"")*(G$3:G$57=G39)*(I$3:I$57="P"))+SUMPRODUCT((P$3:P$57="")*(O$3:O$57="")*(N$3:N$57="")*(M$3:M$57="P")*(G$3:G$57=G39)*(J$3:J$57&gt;J39)*(I$3:I$57="P"))+IF(H39="L5",SUMPRODUCT((P$3:P$57="")*(O$3:O$57="")*(N$3:N$57="")*(M$3:M$57="P")*(G$3:G$57=G39)*(J$3:J$57&lt;J39)*(H$3:H$57&lt;&gt;H39)*(I$3:I$57="P")),-1*SUMPRODUCT((P$3:P$57="")*(O$3:O$57="")*(N$3:N$57="")*(M$3:M$57="P")*(G$3:G$57=G39)*(J$3:J$57&gt;J39)*(H$3:H$57="L5")*(I$3:I$57="P")))+1,"")))))</f>
        <v/>
      </c>
      <c r="B39" s="1" t="str" cm="1">
        <f t="array" ref="B39">IF(P39&lt;&gt;"",SUMPRODUCT((P$3:P$57&lt;&gt;"")*(G$3:G$57=G39)*(J$3:J$57&gt;J39))+1,IF(O39&lt;&gt;"",SUMPRODUCT((O$3:O$57&lt;&gt;"")*(P$3:P$57="")*(G$3:G$57=G39)*(J$3:J$57&gt;J39))+SUMPRODUCT((P$3:P$57&lt;&gt;"")*(G$3:G$57=G39))+1,IF(N39&lt;&gt;"",SUMPRODUCT((N$3:N$57&lt;&gt;"")*(G$3:G$57=G39)*(J$3:J$57&gt;J39))+1,IF(M39="P",SUMPRODUCT((O$3:O$57&lt;&gt;"")*(P$3:P$57="")*(G$3:G$57=G39))+SUMPRODUCT((P$3:P$57&lt;&gt;"")*(G$3:G$57=G39))+SUMPRODUCT((N$3:N$57&lt;&gt;"")*(G$3:G$57=G39))+SUMPRODUCT((P$3:P$57="")*(O$3:O$57="")*(N$3:N$57="")*(M$3:M$57="P")*(G$3:G$57=G39)*(J$3:J$57&gt;J39))+IF(H39="L5",SUMPRODUCT((P$3:P$57="")*(O$3:O$57="")*(N$3:N$57="")*(M$3:M$57="P")*(G$3:G$57=G39)*(J$3:J$57&lt;J39)*(H$3:H$57&lt;&gt;H39)),-1*SUMPRODUCT((P$3:P$57="")*(O$3:O$57="")*(N$3:N$57="")*(M$3:M$57="P")*(G$3:G$57=G39)*(J$3:J$57&gt;J39)*(H$3:H$57="L5")))+1,""))))</f>
        <v/>
      </c>
      <c r="C39" s="35" t="s">
        <v>294</v>
      </c>
      <c r="D39" s="35" t="str">
        <f>IF(E39="","",VLOOKUP(E39,'Coaching Points'!A:B,2,0))</f>
        <v>AB</v>
      </c>
      <c r="E39" s="35" t="s">
        <v>28</v>
      </c>
      <c r="F39" s="34">
        <v>2009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6" t="s">
        <v>64</v>
      </c>
      <c r="I39" s="40"/>
      <c r="J39" s="4">
        <f t="shared" si="4"/>
        <v>43</v>
      </c>
      <c r="K39" s="3" t="str">
        <f>IF(G39="Not Age Eligible","",IF(MAX(T39,W39,Z39,AC39)&gt;=LOOKUP(G39,'Qualifying Scores'!$A$4:$A$7,'Qualifying Scores'!$F$4:$F$7),"P",""))</f>
        <v/>
      </c>
      <c r="L39" s="3" t="str">
        <f>IF(G39="Not Age Eligible","",IF(MAX(U39,X39,AA39,AD39)&gt;=LOOKUP(G39,'Qualifying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Scores'!$F$10:$F$13)),AND(Z39&gt;=LOOKUP(G39,'Qualifying Scores'!$A$4:$A$7,'Qualifying Scores'!$F$4:$F$7),AA39&gt;=LOOKUP(G39,'Qualifying Scores'!$A$10:$A$13,'Qualifying Scores'!$F$10:$F$13)),AND(W39&gt;=LOOKUP(G39,'Qualifying Scores'!$A$4:$A$7,'Qualifying Scores'!$F$4:$F$7),X39&gt;=LOOKUP(G39,'Qualifying Scores'!$A$10:$A$13,'Qualifying Scores'!$F$10:$F$13)),AND(AC39&gt;=LOOKUP(G39,'Qualifying Scores'!$A$4:$A$7,'Qualifying Scores'!$F$4:$F$7),AD39&gt;=LOOKUP(G39,'Qualifying Scores'!$A$10:$A$13,'Qualifying Scores'!$F$10:$F$13))),"P",""))</f>
        <v/>
      </c>
      <c r="Q39" s="1" t="str">
        <f t="shared" si="5"/>
        <v/>
      </c>
      <c r="R39" s="4">
        <f t="shared" si="6"/>
        <v>43</v>
      </c>
      <c r="S39" s="4">
        <f t="shared" si="7"/>
        <v>21.8</v>
      </c>
      <c r="T39" s="32">
        <v>43</v>
      </c>
      <c r="U39" s="37">
        <v>6.9</v>
      </c>
      <c r="V39" s="37">
        <v>0</v>
      </c>
      <c r="W39" s="33">
        <v>21.8</v>
      </c>
      <c r="X39" s="37">
        <v>4.4000000000000004</v>
      </c>
      <c r="Y39" s="37">
        <v>0</v>
      </c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$57&lt;&gt;"")*(G$3:G$57=G40)*(J$3:J$57&gt;J40)*(I$3:I$57="P"))+1,IF(O40&lt;&gt;"",SUMPRODUCT((O$3:O$57&lt;&gt;"")*(P$3:P$57="")*(G$3:G$57=G40)*(J$3:J$57&gt;J40)*(I$3:I$57="P"))+SUMPRODUCT((P$3:P$57&lt;&gt;"")*(G$3:G$57=G40)*(I$3:I$57="P"))+1,IF(N40&lt;&gt;"",SUMPRODUCT((N$3:N$57&lt;&gt;"")*(G$3:G$57=G40)*(J$3:J$57&gt;J40)*(I$3:I$57="P"))+1,IF(M40="P",SUMPRODUCT((O$3:O$57&lt;&gt;"")*(P$3:P$57="")*(G$3:G$57=G40)*(I$3:I$57="P"))+SUMPRODUCT((P$3:P$57&lt;&gt;"")*(G$3:G$57=G40)*(I$3:I$57="P"))+SUMPRODUCT((N$3:N$57&lt;&gt;"")*(G$3:G$57=G40)*(I$3:I$57="P"))+SUMPRODUCT((P$3:P$57="")*(O$3:O$57="")*(N$3:N$57="")*(M$3:M$57="P")*(G$3:G$57=G40)*(J$3:J$57&gt;J40)*(I$3:I$57="P"))+IF(H40="L5",SUMPRODUCT((P$3:P$57="")*(O$3:O$57="")*(N$3:N$57="")*(M$3:M$57="P")*(G$3:G$57=G40)*(J$3:J$57&lt;J40)*(H$3:H$57&lt;&gt;H40)*(I$3:I$57="P")),-1*SUMPRODUCT((P$3:P$57="")*(O$3:O$57="")*(N$3:N$57="")*(M$3:M$57="P")*(G$3:G$57=G40)*(J$3:J$57&gt;J40)*(H$3:H$57="L5")*(I$3:I$57="P")))+1,"")))))</f>
        <v/>
      </c>
      <c r="B40" s="1" t="str" cm="1">
        <f t="array" ref="B40">IF(P40&lt;&gt;"",SUMPRODUCT((P$3:P$57&lt;&gt;"")*(G$3:G$57=G40)*(J$3:J$57&gt;J40))+1,IF(O40&lt;&gt;"",SUMPRODUCT((O$3:O$57&lt;&gt;"")*(P$3:P$57="")*(G$3:G$57=G40)*(J$3:J$57&gt;J40))+SUMPRODUCT((P$3:P$57&lt;&gt;"")*(G$3:G$57=G40))+1,IF(N40&lt;&gt;"",SUMPRODUCT((N$3:N$57&lt;&gt;"")*(G$3:G$57=G40)*(J$3:J$57&gt;J40))+1,IF(M40="P",SUMPRODUCT((O$3:O$57&lt;&gt;"")*(P$3:P$57="")*(G$3:G$57=G40))+SUMPRODUCT((P$3:P$57&lt;&gt;"")*(G$3:G$57=G40))+SUMPRODUCT((N$3:N$57&lt;&gt;"")*(G$3:G$57=G40))+SUMPRODUCT((P$3:P$57="")*(O$3:O$57="")*(N$3:N$57="")*(M$3:M$57="P")*(G$3:G$57=G40)*(J$3:J$57&gt;J40))+IF(H40="L5",SUMPRODUCT((P$3:P$57="")*(O$3:O$57="")*(N$3:N$57="")*(M$3:M$57="P")*(G$3:G$57=G40)*(J$3:J$57&lt;J40)*(H$3:H$57&lt;&gt;H40)),-1*SUMPRODUCT((P$3:P$57="")*(O$3:O$57="")*(N$3:N$57="")*(M$3:M$57="P")*(G$3:G$57=G40)*(J$3:J$57&gt;J40)*(H$3:H$57="L5")))+1,""))))</f>
        <v/>
      </c>
      <c r="C40" s="35" t="s">
        <v>325</v>
      </c>
      <c r="D40" s="35" t="str">
        <f>IF(E40="","",VLOOKUP(E40,'Coaching Points'!A:B,2,0))</f>
        <v>AB</v>
      </c>
      <c r="E40" s="35" t="s">
        <v>28</v>
      </c>
      <c r="F40" s="34">
        <v>2009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6" t="s">
        <v>64</v>
      </c>
      <c r="I40" s="40"/>
      <c r="J40" s="4">
        <f t="shared" si="4"/>
        <v>42.5</v>
      </c>
      <c r="K40" s="3" t="str">
        <f>IF(G40="Not Age Eligible","",IF(MAX(T40,W40,Z40,AC40)&gt;=LOOKUP(G40,'Qualifying Scores'!$A$4:$A$7,'Qualifying Scores'!$F$4:$F$7),"P",""))</f>
        <v/>
      </c>
      <c r="L40" s="3" t="str">
        <f>IF(G40="Not Age Eligible","",IF(MAX(U40,X40,AA40,AD40)&gt;=LOOKUP(G40,'Qualifying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Scores'!$F$10:$F$13)),AND(Z40&gt;=LOOKUP(G40,'Qualifying Scores'!$A$4:$A$7,'Qualifying Scores'!$F$4:$F$7),AA40&gt;=LOOKUP(G40,'Qualifying Scores'!$A$10:$A$13,'Qualifying Scores'!$F$10:$F$13)),AND(W40&gt;=LOOKUP(G40,'Qualifying Scores'!$A$4:$A$7,'Qualifying Scores'!$F$4:$F$7),X40&gt;=LOOKUP(G40,'Qualifying Scores'!$A$10:$A$13,'Qualifying Scores'!$F$10:$F$13)),AND(AC40&gt;=LOOKUP(G40,'Qualifying Scores'!$A$4:$A$7,'Qualifying Scores'!$F$4:$F$7),AD40&gt;=LOOKUP(G40,'Qualifying Scores'!$A$10:$A$13,'Qualifying Scores'!$F$10:$F$13))),"P",""))</f>
        <v/>
      </c>
      <c r="Q40" s="1" t="str">
        <f t="shared" si="5"/>
        <v/>
      </c>
      <c r="R40" s="4">
        <f t="shared" si="6"/>
        <v>42.5</v>
      </c>
      <c r="S40" s="4">
        <f t="shared" si="7"/>
        <v>41.1</v>
      </c>
      <c r="T40" s="32">
        <v>42.5</v>
      </c>
      <c r="U40" s="37">
        <v>5.8000000000000007</v>
      </c>
      <c r="V40" s="37">
        <v>0</v>
      </c>
      <c r="W40" s="33">
        <v>41.1</v>
      </c>
      <c r="X40" s="37">
        <v>5.3</v>
      </c>
      <c r="Y40" s="37">
        <v>0</v>
      </c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$57&lt;&gt;"")*(G$3:G$57=G41)*(J$3:J$57&gt;J41)*(I$3:I$57="P"))+1,IF(O41&lt;&gt;"",SUMPRODUCT((O$3:O$57&lt;&gt;"")*(P$3:P$57="")*(G$3:G$57=G41)*(J$3:J$57&gt;J41)*(I$3:I$57="P"))+SUMPRODUCT((P$3:P$57&lt;&gt;"")*(G$3:G$57=G41)*(I$3:I$57="P"))+1,IF(N41&lt;&gt;"",SUMPRODUCT((N$3:N$57&lt;&gt;"")*(G$3:G$57=G41)*(J$3:J$57&gt;J41)*(I$3:I$57="P"))+1,IF(M41="P",SUMPRODUCT((O$3:O$57&lt;&gt;"")*(P$3:P$57="")*(G$3:G$57=G41)*(I$3:I$57="P"))+SUMPRODUCT((P$3:P$57&lt;&gt;"")*(G$3:G$57=G41)*(I$3:I$57="P"))+SUMPRODUCT((N$3:N$57&lt;&gt;"")*(G$3:G$57=G41)*(I$3:I$57="P"))+SUMPRODUCT((P$3:P$57="")*(O$3:O$57="")*(N$3:N$57="")*(M$3:M$57="P")*(G$3:G$57=G41)*(J$3:J$57&gt;J41)*(I$3:I$57="P"))+IF(H41="L5",SUMPRODUCT((P$3:P$57="")*(O$3:O$57="")*(N$3:N$57="")*(M$3:M$57="P")*(G$3:G$57=G41)*(J$3:J$57&lt;J41)*(H$3:H$57&lt;&gt;H41)*(I$3:I$57="P")),-1*SUMPRODUCT((P$3:P$57="")*(O$3:O$57="")*(N$3:N$57="")*(M$3:M$57="P")*(G$3:G$57=G41)*(J$3:J$57&gt;J41)*(H$3:H$57="L5")*(I$3:I$57="P")))+1,"")))))</f>
        <v/>
      </c>
      <c r="B41" s="1" t="str" cm="1">
        <f t="array" ref="B41">IF(P41&lt;&gt;"",SUMPRODUCT((P$3:P$57&lt;&gt;"")*(G$3:G$57=G41)*(J$3:J$57&gt;J41))+1,IF(O41&lt;&gt;"",SUMPRODUCT((O$3:O$57&lt;&gt;"")*(P$3:P$57="")*(G$3:G$57=G41)*(J$3:J$57&gt;J41))+SUMPRODUCT((P$3:P$57&lt;&gt;"")*(G$3:G$57=G41))+1,IF(N41&lt;&gt;"",SUMPRODUCT((N$3:N$57&lt;&gt;"")*(G$3:G$57=G41)*(J$3:J$57&gt;J41))+1,IF(M41="P",SUMPRODUCT((O$3:O$57&lt;&gt;"")*(P$3:P$57="")*(G$3:G$57=G41))+SUMPRODUCT((P$3:P$57&lt;&gt;"")*(G$3:G$57=G41))+SUMPRODUCT((N$3:N$57&lt;&gt;"")*(G$3:G$57=G41))+SUMPRODUCT((P$3:P$57="")*(O$3:O$57="")*(N$3:N$57="")*(M$3:M$57="P")*(G$3:G$57=G41)*(J$3:J$57&gt;J41))+IF(H41="L5",SUMPRODUCT((P$3:P$57="")*(O$3:O$57="")*(N$3:N$57="")*(M$3:M$57="P")*(G$3:G$57=G41)*(J$3:J$57&lt;J41)*(H$3:H$57&lt;&gt;H41)),-1*SUMPRODUCT((P$3:P$57="")*(O$3:O$57="")*(N$3:N$57="")*(M$3:M$57="P")*(G$3:G$57=G41)*(J$3:J$57&gt;J41)*(H$3:H$57="L5")))+1,""))))</f>
        <v/>
      </c>
      <c r="C41" s="35" t="s">
        <v>327</v>
      </c>
      <c r="D41" s="35" t="str">
        <f>IF(E41="","",VLOOKUP(E41,'Coaching Points'!A:B,2,0))</f>
        <v>AB</v>
      </c>
      <c r="E41" s="35" t="s">
        <v>62</v>
      </c>
      <c r="F41" s="34">
        <v>2009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6" t="s">
        <v>64</v>
      </c>
      <c r="I41" s="40"/>
      <c r="J41" s="4">
        <f t="shared" si="4"/>
        <v>42.3</v>
      </c>
      <c r="K41" s="3" t="str">
        <f>IF(G41="Not Age Eligible","",IF(MAX(T41,W41,Z41,AC41)&gt;=LOOKUP(G41,'Qualifying Scores'!$A$4:$A$7,'Qualifying Scores'!$F$4:$F$7),"P",""))</f>
        <v/>
      </c>
      <c r="L41" s="3" t="str">
        <f>IF(G41="Not Age Eligible","",IF(MAX(U41,X41,AA41,AD41)&gt;=LOOKUP(G41,'Qualifying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Scores'!$F$10:$F$13)),AND(Z41&gt;=LOOKUP(G41,'Qualifying Scores'!$A$4:$A$7,'Qualifying Scores'!$F$4:$F$7),AA41&gt;=LOOKUP(G41,'Qualifying Scores'!$A$10:$A$13,'Qualifying Scores'!$F$10:$F$13)),AND(W41&gt;=LOOKUP(G41,'Qualifying Scores'!$A$4:$A$7,'Qualifying Scores'!$F$4:$F$7),X41&gt;=LOOKUP(G41,'Qualifying Scores'!$A$10:$A$13,'Qualifying Scores'!$F$10:$F$13)),AND(AC41&gt;=LOOKUP(G41,'Qualifying Scores'!$A$4:$A$7,'Qualifying Scores'!$F$4:$F$7),AD41&gt;=LOOKUP(G41,'Qualifying Scores'!$A$10:$A$13,'Qualifying Scores'!$F$10:$F$13))),"P",""))</f>
        <v/>
      </c>
      <c r="Q41" s="1" t="str">
        <f t="shared" si="5"/>
        <v/>
      </c>
      <c r="R41" s="4">
        <f t="shared" si="6"/>
        <v>42.3</v>
      </c>
      <c r="S41" s="4">
        <f t="shared" si="7"/>
        <v>38.5</v>
      </c>
      <c r="T41" s="32">
        <v>42.3</v>
      </c>
      <c r="U41" s="37">
        <v>5.7</v>
      </c>
      <c r="V41" s="37">
        <v>0</v>
      </c>
      <c r="W41" s="33">
        <v>38.5</v>
      </c>
      <c r="X41" s="37">
        <v>3.6</v>
      </c>
      <c r="Y41" s="37">
        <v>0</v>
      </c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$57&lt;&gt;"")*(G$3:G$57=G42)*(J$3:J$57&gt;J42)*(I$3:I$57="P"))+1,IF(O42&lt;&gt;"",SUMPRODUCT((O$3:O$57&lt;&gt;"")*(P$3:P$57="")*(G$3:G$57=G42)*(J$3:J$57&gt;J42)*(I$3:I$57="P"))+SUMPRODUCT((P$3:P$57&lt;&gt;"")*(G$3:G$57=G42)*(I$3:I$57="P"))+1,IF(N42&lt;&gt;"",SUMPRODUCT((N$3:N$57&lt;&gt;"")*(G$3:G$57=G42)*(J$3:J$57&gt;J42)*(I$3:I$57="P"))+1,IF(M42="P",SUMPRODUCT((O$3:O$57&lt;&gt;"")*(P$3:P$57="")*(G$3:G$57=G42)*(I$3:I$57="P"))+SUMPRODUCT((P$3:P$57&lt;&gt;"")*(G$3:G$57=G42)*(I$3:I$57="P"))+SUMPRODUCT((N$3:N$57&lt;&gt;"")*(G$3:G$57=G42)*(I$3:I$57="P"))+SUMPRODUCT((P$3:P$57="")*(O$3:O$57="")*(N$3:N$57="")*(M$3:M$57="P")*(G$3:G$57=G42)*(J$3:J$57&gt;J42)*(I$3:I$57="P"))+IF(H42="L5",SUMPRODUCT((P$3:P$57="")*(O$3:O$57="")*(N$3:N$57="")*(M$3:M$57="P")*(G$3:G$57=G42)*(J$3:J$57&lt;J42)*(H$3:H$57&lt;&gt;H42)*(I$3:I$57="P")),-1*SUMPRODUCT((P$3:P$57="")*(O$3:O$57="")*(N$3:N$57="")*(M$3:M$57="P")*(G$3:G$57=G42)*(J$3:J$57&gt;J42)*(H$3:H$57="L5")*(I$3:I$57="P")))+1,"")))))</f>
        <v/>
      </c>
      <c r="B42" s="1" t="str" cm="1">
        <f t="array" ref="B42">IF(P42&lt;&gt;"",SUMPRODUCT((P$3:P$57&lt;&gt;"")*(G$3:G$57=G42)*(J$3:J$57&gt;J42))+1,IF(O42&lt;&gt;"",SUMPRODUCT((O$3:O$57&lt;&gt;"")*(P$3:P$57="")*(G$3:G$57=G42)*(J$3:J$57&gt;J42))+SUMPRODUCT((P$3:P$57&lt;&gt;"")*(G$3:G$57=G42))+1,IF(N42&lt;&gt;"",SUMPRODUCT((N$3:N$57&lt;&gt;"")*(G$3:G$57=G42)*(J$3:J$57&gt;J42))+1,IF(M42="P",SUMPRODUCT((O$3:O$57&lt;&gt;"")*(P$3:P$57="")*(G$3:G$57=G42))+SUMPRODUCT((P$3:P$57&lt;&gt;"")*(G$3:G$57=G42))+SUMPRODUCT((N$3:N$57&lt;&gt;"")*(G$3:G$57=G42))+SUMPRODUCT((P$3:P$57="")*(O$3:O$57="")*(N$3:N$57="")*(M$3:M$57="P")*(G$3:G$57=G42)*(J$3:J$57&gt;J42))+IF(H42="L5",SUMPRODUCT((P$3:P$57="")*(O$3:O$57="")*(N$3:N$57="")*(M$3:M$57="P")*(G$3:G$57=G42)*(J$3:J$57&lt;J42)*(H$3:H$57&lt;&gt;H42)),-1*SUMPRODUCT((P$3:P$57="")*(O$3:O$57="")*(N$3:N$57="")*(M$3:M$57="P")*(G$3:G$57=G42)*(J$3:J$57&gt;J42)*(H$3:H$57="L5")))+1,""))))</f>
        <v/>
      </c>
      <c r="C42" s="35" t="s">
        <v>284</v>
      </c>
      <c r="D42" s="35" t="str">
        <f>IF(E42="","",VLOOKUP(E42,'Coaching Points'!A:B,2,0))</f>
        <v>AB</v>
      </c>
      <c r="E42" s="35" t="s">
        <v>250</v>
      </c>
      <c r="F42" s="34">
        <v>2008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6" t="s">
        <v>64</v>
      </c>
      <c r="I42" s="40"/>
      <c r="J42" s="4">
        <f t="shared" si="4"/>
        <v>41.7</v>
      </c>
      <c r="K42" s="3" t="str">
        <f>IF(G42="Not Age Eligible","",IF(MAX(T42,W42,Z42,AC42)&gt;=LOOKUP(G42,'Qualifying Scores'!$A$4:$A$7,'Qualifying Scores'!$F$4:$F$7),"P",""))</f>
        <v/>
      </c>
      <c r="L42" s="3" t="str">
        <f>IF(G42="Not Age Eligible","",IF(MAX(U42,X42,AA42,AD42)&gt;=LOOKUP(G42,'Qualifying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Scores'!$F$10:$F$13)),AND(Z42&gt;=LOOKUP(G42,'Qualifying Scores'!$A$4:$A$7,'Qualifying Scores'!$F$4:$F$7),AA42&gt;=LOOKUP(G42,'Qualifying Scores'!$A$10:$A$13,'Qualifying Scores'!$F$10:$F$13)),AND(W42&gt;=LOOKUP(G42,'Qualifying Scores'!$A$4:$A$7,'Qualifying Scores'!$F$4:$F$7),X42&gt;=LOOKUP(G42,'Qualifying Scores'!$A$10:$A$13,'Qualifying Scores'!$F$10:$F$13)),AND(AC42&gt;=LOOKUP(G42,'Qualifying Scores'!$A$4:$A$7,'Qualifying Scores'!$F$4:$F$7),AD42&gt;=LOOKUP(G42,'Qualifying Scores'!$A$10:$A$13,'Qualifying Scores'!$F$10:$F$13))),"P",""))</f>
        <v/>
      </c>
      <c r="Q42" s="1" t="str">
        <f t="shared" si="5"/>
        <v/>
      </c>
      <c r="R42" s="4">
        <f t="shared" si="6"/>
        <v>41.7</v>
      </c>
      <c r="S42" s="4">
        <f t="shared" si="7"/>
        <v>37.299999999999997</v>
      </c>
      <c r="T42" s="32">
        <v>41.7</v>
      </c>
      <c r="U42" s="37">
        <v>6.1</v>
      </c>
      <c r="V42" s="37">
        <v>0</v>
      </c>
      <c r="W42" s="33">
        <v>37.299999999999997</v>
      </c>
      <c r="X42" s="37">
        <v>3</v>
      </c>
      <c r="Y42" s="37">
        <v>0</v>
      </c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$57&lt;&gt;"")*(G$3:G$57=G43)*(J$3:J$57&gt;J43)*(I$3:I$57="P"))+1,IF(O43&lt;&gt;"",SUMPRODUCT((O$3:O$57&lt;&gt;"")*(P$3:P$57="")*(G$3:G$57=G43)*(J$3:J$57&gt;J43)*(I$3:I$57="P"))+SUMPRODUCT((P$3:P$57&lt;&gt;"")*(G$3:G$57=G43)*(I$3:I$57="P"))+1,IF(N43&lt;&gt;"",SUMPRODUCT((N$3:N$57&lt;&gt;"")*(G$3:G$57=G43)*(J$3:J$57&gt;J43)*(I$3:I$57="P"))+1,IF(M43="P",SUMPRODUCT((O$3:O$57&lt;&gt;"")*(P$3:P$57="")*(G$3:G$57=G43)*(I$3:I$57="P"))+SUMPRODUCT((P$3:P$57&lt;&gt;"")*(G$3:G$57=G43)*(I$3:I$57="P"))+SUMPRODUCT((N$3:N$57&lt;&gt;"")*(G$3:G$57=G43)*(I$3:I$57="P"))+SUMPRODUCT((P$3:P$57="")*(O$3:O$57="")*(N$3:N$57="")*(M$3:M$57="P")*(G$3:G$57=G43)*(J$3:J$57&gt;J43)*(I$3:I$57="P"))+IF(H43="L5",SUMPRODUCT((P$3:P$57="")*(O$3:O$57="")*(N$3:N$57="")*(M$3:M$57="P")*(G$3:G$57=G43)*(J$3:J$57&lt;J43)*(H$3:H$57&lt;&gt;H43)*(I$3:I$57="P")),-1*SUMPRODUCT((P$3:P$57="")*(O$3:O$57="")*(N$3:N$57="")*(M$3:M$57="P")*(G$3:G$57=G43)*(J$3:J$57&gt;J43)*(H$3:H$57="L5")*(I$3:I$57="P")))+1,"")))))</f>
        <v/>
      </c>
      <c r="B43" s="1" t="str" cm="1">
        <f t="array" ref="B43">IF(P43&lt;&gt;"",SUMPRODUCT((P$3:P$57&lt;&gt;"")*(G$3:G$57=G43)*(J$3:J$57&gt;J43))+1,IF(O43&lt;&gt;"",SUMPRODUCT((O$3:O$57&lt;&gt;"")*(P$3:P$57="")*(G$3:G$57=G43)*(J$3:J$57&gt;J43))+SUMPRODUCT((P$3:P$57&lt;&gt;"")*(G$3:G$57=G43))+1,IF(N43&lt;&gt;"",SUMPRODUCT((N$3:N$57&lt;&gt;"")*(G$3:G$57=G43)*(J$3:J$57&gt;J43))+1,IF(M43="P",SUMPRODUCT((O$3:O$57&lt;&gt;"")*(P$3:P$57="")*(G$3:G$57=G43))+SUMPRODUCT((P$3:P$57&lt;&gt;"")*(G$3:G$57=G43))+SUMPRODUCT((N$3:N$57&lt;&gt;"")*(G$3:G$57=G43))+SUMPRODUCT((P$3:P$57="")*(O$3:O$57="")*(N$3:N$57="")*(M$3:M$57="P")*(G$3:G$57=G43)*(J$3:J$57&gt;J43))+IF(H43="L5",SUMPRODUCT((P$3:P$57="")*(O$3:O$57="")*(N$3:N$57="")*(M$3:M$57="P")*(G$3:G$57=G43)*(J$3:J$57&lt;J43)*(H$3:H$57&lt;&gt;H43)),-1*SUMPRODUCT((P$3:P$57="")*(O$3:O$57="")*(N$3:N$57="")*(M$3:M$57="P")*(G$3:G$57=G43)*(J$3:J$57&gt;J43)*(H$3:H$57="L5")))+1,""))))</f>
        <v/>
      </c>
      <c r="C43" s="35" t="s">
        <v>386</v>
      </c>
      <c r="D43" s="35" t="str">
        <f>IF(E43="","",VLOOKUP(E43,'Coaching Points'!A:B,2,0))</f>
        <v>AB</v>
      </c>
      <c r="E43" s="35" t="s">
        <v>56</v>
      </c>
      <c r="F43" s="34">
        <v>2009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64</v>
      </c>
      <c r="I43" s="40"/>
      <c r="J43" s="4">
        <f t="shared" si="4"/>
        <v>41.6</v>
      </c>
      <c r="K43" s="3" t="str">
        <f>IF(G43="Not Age Eligible","",IF(MAX(T43,W43,Z43,AC43)&gt;=LOOKUP(G43,'Qualifying Scores'!$A$4:$A$7,'Qualifying Scores'!$F$4:$F$7),"P",""))</f>
        <v/>
      </c>
      <c r="L43" s="3" t="str">
        <f>IF(G43="Not Age Eligible","",IF(MAX(U43,X43,AA43,AD43)&gt;=LOOKUP(G43,'Qualifying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Scores'!$F$10:$F$13)),AND(Z43&gt;=LOOKUP(G43,'Qualifying Scores'!$A$4:$A$7,'Qualifying Scores'!$F$4:$F$7),AA43&gt;=LOOKUP(G43,'Qualifying Scores'!$A$10:$A$13,'Qualifying Scores'!$F$10:$F$13)),AND(W43&gt;=LOOKUP(G43,'Qualifying Scores'!$A$4:$A$7,'Qualifying Scores'!$F$4:$F$7),X43&gt;=LOOKUP(G43,'Qualifying Scores'!$A$10:$A$13,'Qualifying Scores'!$F$10:$F$13)),AND(AC43&gt;=LOOKUP(G43,'Qualifying Scores'!$A$4:$A$7,'Qualifying Scores'!$F$4:$F$7),AD43&gt;=LOOKUP(G43,'Qualifying Scores'!$A$10:$A$13,'Qualifying Scores'!$F$10:$F$13))),"P",""))</f>
        <v/>
      </c>
      <c r="Q43" s="1" t="str">
        <f t="shared" si="5"/>
        <v/>
      </c>
      <c r="R43" s="4">
        <f t="shared" si="6"/>
        <v>41.6</v>
      </c>
      <c r="S43" s="4">
        <f t="shared" si="7"/>
        <v>37.700000000000003</v>
      </c>
      <c r="T43" s="32">
        <v>41.6</v>
      </c>
      <c r="U43" s="37">
        <v>7.1000000000000005</v>
      </c>
      <c r="V43" s="37">
        <v>0</v>
      </c>
      <c r="W43" s="33">
        <v>37.700000000000003</v>
      </c>
      <c r="X43" s="37">
        <v>4.4000000000000004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$57&lt;&gt;"")*(G$3:G$57=G44)*(J$3:J$57&gt;J44)*(I$3:I$57="P"))+1,IF(O44&lt;&gt;"",SUMPRODUCT((O$3:O$57&lt;&gt;"")*(P$3:P$57="")*(G$3:G$57=G44)*(J$3:J$57&gt;J44)*(I$3:I$57="P"))+SUMPRODUCT((P$3:P$57&lt;&gt;"")*(G$3:G$57=G44)*(I$3:I$57="P"))+1,IF(N44&lt;&gt;"",SUMPRODUCT((N$3:N$57&lt;&gt;"")*(G$3:G$57=G44)*(J$3:J$57&gt;J44)*(I$3:I$57="P"))+1,IF(M44="P",SUMPRODUCT((O$3:O$57&lt;&gt;"")*(P$3:P$57="")*(G$3:G$57=G44)*(I$3:I$57="P"))+SUMPRODUCT((P$3:P$57&lt;&gt;"")*(G$3:G$57=G44)*(I$3:I$57="P"))+SUMPRODUCT((N$3:N$57&lt;&gt;"")*(G$3:G$57=G44)*(I$3:I$57="P"))+SUMPRODUCT((P$3:P$57="")*(O$3:O$57="")*(N$3:N$57="")*(M$3:M$57="P")*(G$3:G$57=G44)*(J$3:J$57&gt;J44)*(I$3:I$57="P"))+IF(H44="L5",SUMPRODUCT((P$3:P$57="")*(O$3:O$57="")*(N$3:N$57="")*(M$3:M$57="P")*(G$3:G$57=G44)*(J$3:J$57&lt;J44)*(H$3:H$57&lt;&gt;H44)*(I$3:I$57="P")),-1*SUMPRODUCT((P$3:P$57="")*(O$3:O$57="")*(N$3:N$57="")*(M$3:M$57="P")*(G$3:G$57=G44)*(J$3:J$57&gt;J44)*(H$3:H$57="L5")*(I$3:I$57="P")))+1,"")))))</f>
        <v/>
      </c>
      <c r="B44" s="1" t="str" cm="1">
        <f t="array" ref="B44">IF(P44&lt;&gt;"",SUMPRODUCT((P$3:P$57&lt;&gt;"")*(G$3:G$57=G44)*(J$3:J$57&gt;J44))+1,IF(O44&lt;&gt;"",SUMPRODUCT((O$3:O$57&lt;&gt;"")*(P$3:P$57="")*(G$3:G$57=G44)*(J$3:J$57&gt;J44))+SUMPRODUCT((P$3:P$57&lt;&gt;"")*(G$3:G$57=G44))+1,IF(N44&lt;&gt;"",SUMPRODUCT((N$3:N$57&lt;&gt;"")*(G$3:G$57=G44)*(J$3:J$57&gt;J44))+1,IF(M44="P",SUMPRODUCT((O$3:O$57&lt;&gt;"")*(P$3:P$57="")*(G$3:G$57=G44))+SUMPRODUCT((P$3:P$57&lt;&gt;"")*(G$3:G$57=G44))+SUMPRODUCT((N$3:N$57&lt;&gt;"")*(G$3:G$57=G44))+SUMPRODUCT((P$3:P$57="")*(O$3:O$57="")*(N$3:N$57="")*(M$3:M$57="P")*(G$3:G$57=G44)*(J$3:J$57&gt;J44))+IF(H44="L5",SUMPRODUCT((P$3:P$57="")*(O$3:O$57="")*(N$3:N$57="")*(M$3:M$57="P")*(G$3:G$57=G44)*(J$3:J$57&lt;J44)*(H$3:H$57&lt;&gt;H44)),-1*SUMPRODUCT((P$3:P$57="")*(O$3:O$57="")*(N$3:N$57="")*(M$3:M$57="P")*(G$3:G$57=G44)*(J$3:J$57&gt;J44)*(H$3:H$57="L5")))+1,""))))</f>
        <v/>
      </c>
      <c r="C44" s="35" t="s">
        <v>297</v>
      </c>
      <c r="D44" s="35" t="str">
        <f>IF(E44="","",VLOOKUP(E44,'Coaching Points'!A:B,2,0))</f>
        <v>BC</v>
      </c>
      <c r="E44" s="35" t="s">
        <v>59</v>
      </c>
      <c r="F44" s="34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64</v>
      </c>
      <c r="I44" s="40"/>
      <c r="J44" s="4">
        <f t="shared" si="4"/>
        <v>38.200000000000003</v>
      </c>
      <c r="K44" s="3" t="str">
        <f>IF(G44="Not Age Eligible","",IF(MAX(T44,W44,Z44,AC44)&gt;=LOOKUP(G44,'Qualifying Scores'!$A$4:$A$7,'Qualifying Scores'!$F$4:$F$7),"P",""))</f>
        <v/>
      </c>
      <c r="L44" s="3" t="str">
        <f>IF(G44="Not Age Eligible","",IF(MAX(U44,X44,AA44,AD44)&gt;=LOOKUP(G44,'Qualifying Scores'!$A$10:$A$13,'Qualifying Scores'!$F$10:$F$13),"P",""))</f>
        <v/>
      </c>
      <c r="M44" s="3" t="str">
        <f>IF(G44="Not Age Eligible","",IF(OR(AND(T44&gt;=LOOKUP(G44,'Qualifying Scores'!$A$4:$A$7,'Qualifying Scores'!$F$4:$F$7),U44&gt;=LOOKUP(G44,'Qualifying Scores'!$A$10:$A$13,'Qualifying Scores'!$F$10:$F$13)),AND(Z44&gt;=LOOKUP(G44,'Qualifying Scores'!$A$4:$A$7,'Qualifying Scores'!$F$4:$F$7),AA44&gt;=LOOKUP(G44,'Qualifying Scores'!$A$10:$A$13,'Qualifying Scores'!$F$10:$F$13)),AND(W44&gt;=LOOKUP(G44,'Qualifying Scores'!$A$4:$A$7,'Qualifying Scores'!$F$4:$F$7),X44&gt;=LOOKUP(G44,'Qualifying Scores'!$A$10:$A$13,'Qualifying Scores'!$F$10:$F$13)),AND(AC44&gt;=LOOKUP(G44,'Qualifying Scores'!$A$4:$A$7,'Qualifying Scores'!$F$4:$F$7),AD44&gt;=LOOKUP(G44,'Qualifying Scores'!$A$10:$A$13,'Qualifying Scores'!$F$10:$F$13))),"P",""))</f>
        <v/>
      </c>
      <c r="Q44" s="1" t="str">
        <f t="shared" si="5"/>
        <v/>
      </c>
      <c r="R44" s="4">
        <f t="shared" si="6"/>
        <v>38.200000000000003</v>
      </c>
      <c r="S44" s="4">
        <f t="shared" si="7"/>
        <v>0</v>
      </c>
      <c r="T44" s="32">
        <v>38.200000000000003</v>
      </c>
      <c r="U44" s="37">
        <v>4.3</v>
      </c>
      <c r="V44" s="37">
        <v>0</v>
      </c>
      <c r="W44" s="33">
        <v>0</v>
      </c>
      <c r="X44" s="37">
        <v>0</v>
      </c>
      <c r="Y44" s="37">
        <v>0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$57&lt;&gt;"")*(G$3:G$57=G45)*(J$3:J$57&gt;J45)*(I$3:I$57="P"))+1,IF(O45&lt;&gt;"",SUMPRODUCT((O$3:O$57&lt;&gt;"")*(P$3:P$57="")*(G$3:G$57=G45)*(J$3:J$57&gt;J45)*(I$3:I$57="P"))+SUMPRODUCT((P$3:P$57&lt;&gt;"")*(G$3:G$57=G45)*(I$3:I$57="P"))+1,IF(N45&lt;&gt;"",SUMPRODUCT((N$3:N$57&lt;&gt;"")*(G$3:G$57=G45)*(J$3:J$57&gt;J45)*(I$3:I$57="P"))+1,IF(M45="P",SUMPRODUCT((O$3:O$57&lt;&gt;"")*(P$3:P$57="")*(G$3:G$57=G45)*(I$3:I$57="P"))+SUMPRODUCT((P$3:P$57&lt;&gt;"")*(G$3:G$57=G45)*(I$3:I$57="P"))+SUMPRODUCT((N$3:N$57&lt;&gt;"")*(G$3:G$57=G45)*(I$3:I$57="P"))+SUMPRODUCT((P$3:P$57="")*(O$3:O$57="")*(N$3:N$57="")*(M$3:M$57="P")*(G$3:G$57=G45)*(J$3:J$57&gt;J45)*(I$3:I$57="P"))+IF(H45="L5",SUMPRODUCT((P$3:P$57="")*(O$3:O$57="")*(N$3:N$57="")*(M$3:M$57="P")*(G$3:G$57=G45)*(J$3:J$57&lt;J45)*(H$3:H$57&lt;&gt;H45)*(I$3:I$57="P")),-1*SUMPRODUCT((P$3:P$57="")*(O$3:O$57="")*(N$3:N$57="")*(M$3:M$57="P")*(G$3:G$57=G45)*(J$3:J$57&gt;J45)*(H$3:H$57="L5")*(I$3:I$57="P")))+1,"")))))</f>
        <v/>
      </c>
      <c r="B45" s="1" t="str" cm="1">
        <f t="array" ref="B45">IF(P45&lt;&gt;"",SUMPRODUCT((P$3:P$57&lt;&gt;"")*(G$3:G$57=G45)*(J$3:J$57&gt;J45))+1,IF(O45&lt;&gt;"",SUMPRODUCT((O$3:O$57&lt;&gt;"")*(P$3:P$57="")*(G$3:G$57=G45)*(J$3:J$57&gt;J45))+SUMPRODUCT((P$3:P$57&lt;&gt;"")*(G$3:G$57=G45))+1,IF(N45&lt;&gt;"",SUMPRODUCT((N$3:N$57&lt;&gt;"")*(G$3:G$57=G45)*(J$3:J$57&gt;J45))+1,IF(M45="P",SUMPRODUCT((O$3:O$57&lt;&gt;"")*(P$3:P$57="")*(G$3:G$57=G45))+SUMPRODUCT((P$3:P$57&lt;&gt;"")*(G$3:G$57=G45))+SUMPRODUCT((N$3:N$57&lt;&gt;"")*(G$3:G$57=G45))+SUMPRODUCT((P$3:P$57="")*(O$3:O$57="")*(N$3:N$57="")*(M$3:M$57="P")*(G$3:G$57=G45)*(J$3:J$57&gt;J45))+IF(H45="L5",SUMPRODUCT((P$3:P$57="")*(O$3:O$57="")*(N$3:N$57="")*(M$3:M$57="P")*(G$3:G$57=G45)*(J$3:J$57&lt;J45)*(H$3:H$57&lt;&gt;H45)),-1*SUMPRODUCT((P$3:P$57="")*(O$3:O$57="")*(N$3:N$57="")*(M$3:M$57="P")*(G$3:G$57=G45)*(J$3:J$57&gt;J45)*(H$3:H$57="L5")))+1,""))))</f>
        <v/>
      </c>
      <c r="C45" s="35" t="s">
        <v>223</v>
      </c>
      <c r="D45" s="35" t="str">
        <f>IF(E45="","",VLOOKUP(E45,'Coaching Points'!A:B,2,0))</f>
        <v>NS</v>
      </c>
      <c r="E45" s="35" t="s">
        <v>203</v>
      </c>
      <c r="F45" s="34">
        <v>2009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65</v>
      </c>
      <c r="I45" s="40"/>
      <c r="J45" s="4">
        <f t="shared" si="4"/>
        <v>23.900099999999998</v>
      </c>
      <c r="K45" s="3" t="str">
        <f>IF(G45="Not Age Eligible","",IF(MAX(T45,W45,Z45,AC45)&gt;=LOOKUP(G45,'Qualifying Scores'!$A$4:$A$7,'Qualifying Scores'!$F$4:$F$7),"P",""))</f>
        <v/>
      </c>
      <c r="L45" s="3" t="str">
        <f>IF(G45="Not Age Eligible","",IF(MAX(U45,X45,AA45,AD45)&gt;=LOOKUP(G45,'Qualifying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Scores'!$F$10:$F$13)),AND(Z45&gt;=LOOKUP(G45,'Qualifying Scores'!$A$4:$A$7,'Qualifying Scores'!$F$4:$F$7),AA45&gt;=LOOKUP(G45,'Qualifying Scores'!$A$10:$A$13,'Qualifying Scores'!$F$10:$F$13)),AND(W45&gt;=LOOKUP(G45,'Qualifying Scores'!$A$4:$A$7,'Qualifying Scores'!$F$4:$F$7),X45&gt;=LOOKUP(G45,'Qualifying Scores'!$A$10:$A$13,'Qualifying Scores'!$F$10:$F$13)),AND(AC45&gt;=LOOKUP(G45,'Qualifying Scores'!$A$4:$A$7,'Qualifying Scores'!$F$4:$F$7),AD45&gt;=LOOKUP(G45,'Qualifying Scores'!$A$10:$A$13,'Qualifying Scores'!$F$10:$F$13))),"P",""))</f>
        <v/>
      </c>
      <c r="Q45" s="1" t="str">
        <f t="shared" si="5"/>
        <v/>
      </c>
      <c r="R45" s="4">
        <f t="shared" si="6"/>
        <v>23.9</v>
      </c>
      <c r="S45" s="4">
        <f t="shared" si="7"/>
        <v>0</v>
      </c>
      <c r="T45" s="32">
        <v>23.9</v>
      </c>
      <c r="U45" s="37">
        <v>5.0999999999999996</v>
      </c>
      <c r="V45" s="37">
        <v>0</v>
      </c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$57&lt;&gt;"")*(G$3:G$57=G46)*(J$3:J$57&gt;J46)*(I$3:I$57="P"))+1,IF(O46&lt;&gt;"",SUMPRODUCT((O$3:O$57&lt;&gt;"")*(P$3:P$57="")*(G$3:G$57=G46)*(J$3:J$57&gt;J46)*(I$3:I$57="P"))+SUMPRODUCT((P$3:P$57&lt;&gt;"")*(G$3:G$57=G46)*(I$3:I$57="P"))+1,IF(N46&lt;&gt;"",SUMPRODUCT((N$3:N$57&lt;&gt;"")*(G$3:G$57=G46)*(J$3:J$57&gt;J46)*(I$3:I$57="P"))+1,IF(M46="P",SUMPRODUCT((O$3:O$57&lt;&gt;"")*(P$3:P$57="")*(G$3:G$57=G46)*(I$3:I$57="P"))+SUMPRODUCT((P$3:P$57&lt;&gt;"")*(G$3:G$57=G46)*(I$3:I$57="P"))+SUMPRODUCT((N$3:N$57&lt;&gt;"")*(G$3:G$57=G46)*(I$3:I$57="P"))+SUMPRODUCT((P$3:P$57="")*(O$3:O$57="")*(N$3:N$57="")*(M$3:M$57="P")*(G$3:G$57=G46)*(J$3:J$57&gt;J46)*(I$3:I$57="P"))+IF(H46="L5",SUMPRODUCT((P$3:P$57="")*(O$3:O$57="")*(N$3:N$57="")*(M$3:M$57="P")*(G$3:G$57=G46)*(J$3:J$57&lt;J46)*(H$3:H$57&lt;&gt;H46)*(I$3:I$57="P")),-1*SUMPRODUCT((P$3:P$57="")*(O$3:O$57="")*(N$3:N$57="")*(M$3:M$57="P")*(G$3:G$57=G46)*(J$3:J$57&gt;J46)*(H$3:H$57="L5")*(I$3:I$57="P")))+1,"")))))</f>
        <v/>
      </c>
      <c r="B46" s="1" cm="1">
        <f t="array" ref="B46">IF(P46&lt;&gt;"",SUMPRODUCT((P$3:P$57&lt;&gt;"")*(G$3:G$57=G46)*(J$3:J$57&gt;J46))+1,IF(O46&lt;&gt;"",SUMPRODUCT((O$3:O$57&lt;&gt;"")*(P$3:P$57="")*(G$3:G$57=G46)*(J$3:J$57&gt;J46))+SUMPRODUCT((P$3:P$57&lt;&gt;"")*(G$3:G$57=G46))+1,IF(N46&lt;&gt;"",SUMPRODUCT((N$3:N$57&lt;&gt;"")*(G$3:G$57=G46)*(J$3:J$57&gt;J46))+1,IF(M46="P",SUMPRODUCT((O$3:O$57&lt;&gt;"")*(P$3:P$57="")*(G$3:G$57=G46))+SUMPRODUCT((P$3:P$57&lt;&gt;"")*(G$3:G$57=G46))+SUMPRODUCT((N$3:N$57&lt;&gt;"")*(G$3:G$57=G46))+SUMPRODUCT((P$3:P$57="")*(O$3:O$57="")*(N$3:N$57="")*(M$3:M$57="P")*(G$3:G$57=G46)*(J$3:J$57&gt;J46))+IF(H46="L5",SUMPRODUCT((P$3:P$57="")*(O$3:O$57="")*(N$3:N$57="")*(M$3:M$57="P")*(G$3:G$57=G46)*(J$3:J$57&lt;J46)*(H$3:H$57&lt;&gt;H46)),-1*SUMPRODUCT((P$3:P$57="")*(O$3:O$57="")*(N$3:N$57="")*(M$3:M$57="P")*(G$3:G$57=G46)*(J$3:J$57&gt;J46)*(H$3:H$57="L5")))+1,""))))</f>
        <v>1</v>
      </c>
      <c r="C46" s="35" t="s">
        <v>221</v>
      </c>
      <c r="D46" s="35" t="str">
        <f>IF(E46="","",VLOOKUP(E46,'Coaching Points'!A:B,2,0))</f>
        <v>NS</v>
      </c>
      <c r="E46" s="35" t="s">
        <v>112</v>
      </c>
      <c r="F46" s="34">
        <v>2010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13-14</v>
      </c>
      <c r="H46" s="36" t="s">
        <v>65</v>
      </c>
      <c r="I46" s="40"/>
      <c r="J46" s="4">
        <f t="shared" si="4"/>
        <v>45.700100000000006</v>
      </c>
      <c r="K46" s="3" t="str">
        <f>IF(G46="Not Age Eligible","",IF(MAX(T46,W46,Z46,AC46)&gt;=LOOKUP(G46,'Qualifying Scores'!$A$4:$A$7,'Qualifying Scores'!$F$4:$F$7),"P",""))</f>
        <v>P</v>
      </c>
      <c r="L46" s="3" t="str">
        <f>IF(G46="Not Age Eligible","",IF(MAX(U46,X46,AA46,AD46)&gt;=LOOKUP(G46,'Qualifying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Scores'!$F$10:$F$13)),AND(Z46&gt;=LOOKUP(G46,'Qualifying Scores'!$A$4:$A$7,'Qualifying Scores'!$F$4:$F$7),AA46&gt;=LOOKUP(G46,'Qualifying Scores'!$A$10:$A$13,'Qualifying Scores'!$F$10:$F$13)),AND(W46&gt;=LOOKUP(G46,'Qualifying Scores'!$A$4:$A$7,'Qualifying Scores'!$F$4:$F$7),X46&gt;=LOOKUP(G46,'Qualifying Scores'!$A$10:$A$13,'Qualifying Scores'!$F$10:$F$13)),AND(AC46&gt;=LOOKUP(G46,'Qualifying Scores'!$A$4:$A$7,'Qualifying Scores'!$F$4:$F$7),AD46&gt;=LOOKUP(G46,'Qualifying Scores'!$A$10:$A$13,'Qualifying Scores'!$F$10:$F$13))),"P",""))</f>
        <v>P</v>
      </c>
      <c r="Q46" s="1" t="str">
        <f t="shared" si="5"/>
        <v/>
      </c>
      <c r="R46" s="4">
        <f t="shared" si="6"/>
        <v>45.7</v>
      </c>
      <c r="S46" s="4">
        <f t="shared" si="7"/>
        <v>45.2</v>
      </c>
      <c r="T46" s="32">
        <v>45.7</v>
      </c>
      <c r="U46" s="37">
        <v>9.1</v>
      </c>
      <c r="V46" s="37">
        <v>0</v>
      </c>
      <c r="W46" s="33">
        <v>45.2</v>
      </c>
      <c r="X46" s="37">
        <v>8.1999999999999993</v>
      </c>
      <c r="Y46" s="37">
        <v>0</v>
      </c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$57&lt;&gt;"")*(G$3:G$57=G47)*(J$3:J$57&gt;J47)*(I$3:I$57="P"))+1,IF(O47&lt;&gt;"",SUMPRODUCT((O$3:O$57&lt;&gt;"")*(P$3:P$57="")*(G$3:G$57=G47)*(J$3:J$57&gt;J47)*(I$3:I$57="P"))+SUMPRODUCT((P$3:P$57&lt;&gt;"")*(G$3:G$57=G47)*(I$3:I$57="P"))+1,IF(N47&lt;&gt;"",SUMPRODUCT((N$3:N$57&lt;&gt;"")*(G$3:G$57=G47)*(J$3:J$57&gt;J47)*(I$3:I$57="P"))+1,IF(M47="P",SUMPRODUCT((O$3:O$57&lt;&gt;"")*(P$3:P$57="")*(G$3:G$57=G47)*(I$3:I$57="P"))+SUMPRODUCT((P$3:P$57&lt;&gt;"")*(G$3:G$57=G47)*(I$3:I$57="P"))+SUMPRODUCT((N$3:N$57&lt;&gt;"")*(G$3:G$57=G47)*(I$3:I$57="P"))+SUMPRODUCT((P$3:P$57="")*(O$3:O$57="")*(N$3:N$57="")*(M$3:M$57="P")*(G$3:G$57=G47)*(J$3:J$57&gt;J47)*(I$3:I$57="P"))+IF(H47="L5",SUMPRODUCT((P$3:P$57="")*(O$3:O$57="")*(N$3:N$57="")*(M$3:M$57="P")*(G$3:G$57=G47)*(J$3:J$57&lt;J47)*(H$3:H$57&lt;&gt;H47)*(I$3:I$57="P")),-1*SUMPRODUCT((P$3:P$57="")*(O$3:O$57="")*(N$3:N$57="")*(M$3:M$57="P")*(G$3:G$57=G47)*(J$3:J$57&gt;J47)*(H$3:H$57="L5")*(I$3:I$57="P")))+1,"")))))</f>
        <v/>
      </c>
      <c r="B47" s="1" t="str" cm="1">
        <f t="array" ref="B47">IF(P47&lt;&gt;"",SUMPRODUCT((P$3:P$57&lt;&gt;"")*(G$3:G$57=G47)*(J$3:J$57&gt;J47))+1,IF(O47&lt;&gt;"",SUMPRODUCT((O$3:O$57&lt;&gt;"")*(P$3:P$57="")*(G$3:G$57=G47)*(J$3:J$57&gt;J47))+SUMPRODUCT((P$3:P$57&lt;&gt;"")*(G$3:G$57=G47))+1,IF(N47&lt;&gt;"",SUMPRODUCT((N$3:N$57&lt;&gt;"")*(G$3:G$57=G47)*(J$3:J$57&gt;J47))+1,IF(M47="P",SUMPRODUCT((O$3:O$57&lt;&gt;"")*(P$3:P$57="")*(G$3:G$57=G47))+SUMPRODUCT((P$3:P$57&lt;&gt;"")*(G$3:G$57=G47))+SUMPRODUCT((N$3:N$57&lt;&gt;"")*(G$3:G$57=G47))+SUMPRODUCT((P$3:P$57="")*(O$3:O$57="")*(N$3:N$57="")*(M$3:M$57="P")*(G$3:G$57=G47)*(J$3:J$57&gt;J47))+IF(H47="L5",SUMPRODUCT((P$3:P$57="")*(O$3:O$57="")*(N$3:N$57="")*(M$3:M$57="P")*(G$3:G$57=G47)*(J$3:J$57&lt;J47)*(H$3:H$57&lt;&gt;H47)),-1*SUMPRODUCT((P$3:P$57="")*(O$3:O$57="")*(N$3:N$57="")*(M$3:M$57="P")*(G$3:G$57=G47)*(J$3:J$57&gt;J47)*(H$3:H$57="L5")))+1,""))))</f>
        <v/>
      </c>
      <c r="C47" s="35" t="s">
        <v>320</v>
      </c>
      <c r="D47" s="35" t="str">
        <f>IF(E47="","",VLOOKUP(E47,'Coaching Points'!A:B,2,0))</f>
        <v>AB</v>
      </c>
      <c r="E47" s="35" t="s">
        <v>68</v>
      </c>
      <c r="F47" s="34">
        <v>2011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13-14</v>
      </c>
      <c r="H47" s="36" t="s">
        <v>64</v>
      </c>
      <c r="I47" s="40"/>
      <c r="J47" s="4">
        <f t="shared" si="4"/>
        <v>44.3</v>
      </c>
      <c r="K47" s="3" t="str">
        <f>IF(G47="Not Age Eligible","",IF(MAX(T47,W47,Z47,AC47)&gt;=LOOKUP(G47,'Qualifying Scores'!$A$4:$A$7,'Qualifying Scores'!$F$4:$F$7),"P",""))</f>
        <v/>
      </c>
      <c r="L47" s="3" t="str">
        <f>IF(G47="Not Age Eligible","",IF(MAX(U47,X47,AA47,AD47)&gt;=LOOKUP(G47,'Qualifying Scores'!$A$10:$A$13,'Qualifying Scores'!$F$10:$F$13),"P",""))</f>
        <v>P</v>
      </c>
      <c r="M47" s="3" t="str">
        <f>IF(G47="Not Age Eligible","",IF(OR(AND(T47&gt;=LOOKUP(G47,'Qualifying Scores'!$A$4:$A$7,'Qualifying Scores'!$F$4:$F$7),U47&gt;=LOOKUP(G47,'Qualifying Scores'!$A$10:$A$13,'Qualifying Scores'!$F$10:$F$13)),AND(Z47&gt;=LOOKUP(G47,'Qualifying Scores'!$A$4:$A$7,'Qualifying Scores'!$F$4:$F$7),AA47&gt;=LOOKUP(G47,'Qualifying Scores'!$A$10:$A$13,'Qualifying Scores'!$F$10:$F$13)),AND(W47&gt;=LOOKUP(G47,'Qualifying Scores'!$A$4:$A$7,'Qualifying Scores'!$F$4:$F$7),X47&gt;=LOOKUP(G47,'Qualifying Scores'!$A$10:$A$13,'Qualifying Scores'!$F$10:$F$13)),AND(AC47&gt;=LOOKUP(G47,'Qualifying Scores'!$A$4:$A$7,'Qualifying Scores'!$F$4:$F$7),AD47&gt;=LOOKUP(G47,'Qualifying Scores'!$A$10:$A$13,'Qualifying Scores'!$F$10:$F$13))),"P",""))</f>
        <v/>
      </c>
      <c r="Q47" s="1" t="str">
        <f t="shared" si="5"/>
        <v/>
      </c>
      <c r="R47" s="4">
        <f t="shared" si="6"/>
        <v>44.3</v>
      </c>
      <c r="S47" s="4">
        <f t="shared" si="7"/>
        <v>43.7</v>
      </c>
      <c r="T47" s="32">
        <v>44.3</v>
      </c>
      <c r="U47" s="37">
        <v>7.9</v>
      </c>
      <c r="V47" s="37">
        <v>0</v>
      </c>
      <c r="W47" s="33">
        <v>43.7</v>
      </c>
      <c r="X47" s="37">
        <v>7.9</v>
      </c>
      <c r="Y47" s="37">
        <v>0</v>
      </c>
      <c r="Z47" s="32"/>
      <c r="AA47" s="37"/>
      <c r="AB47" s="37"/>
      <c r="AC47" s="33"/>
      <c r="AD47" s="37"/>
      <c r="AE47" s="37"/>
    </row>
    <row r="48" spans="1:31" x14ac:dyDescent="0.2">
      <c r="A48" s="1" t="str" cm="1">
        <f t="array" ref="A48">IF(I48="","",IF(P48&lt;&gt;"",SUMPRODUCT((P$3:P$57&lt;&gt;"")*(G$3:G$57=G48)*(J$3:J$57&gt;J48)*(I$3:I$57="P"))+1,IF(O48&lt;&gt;"",SUMPRODUCT((O$3:O$57&lt;&gt;"")*(P$3:P$57="")*(G$3:G$57=G48)*(J$3:J$57&gt;J48)*(I$3:I$57="P"))+SUMPRODUCT((P$3:P$57&lt;&gt;"")*(G$3:G$57=G48)*(I$3:I$57="P"))+1,IF(N48&lt;&gt;"",SUMPRODUCT((N$3:N$57&lt;&gt;"")*(G$3:G$57=G48)*(J$3:J$57&gt;J48)*(I$3:I$57="P"))+1,IF(M48="P",SUMPRODUCT((O$3:O$57&lt;&gt;"")*(P$3:P$57="")*(G$3:G$57=G48)*(I$3:I$57="P"))+SUMPRODUCT((P$3:P$57&lt;&gt;"")*(G$3:G$57=G48)*(I$3:I$57="P"))+SUMPRODUCT((N$3:N$57&lt;&gt;"")*(G$3:G$57=G48)*(I$3:I$57="P"))+SUMPRODUCT((P$3:P$57="")*(O$3:O$57="")*(N$3:N$57="")*(M$3:M$57="P")*(G$3:G$57=G48)*(J$3:J$57&gt;J48)*(I$3:I$57="P"))+IF(H48="L5",SUMPRODUCT((P$3:P$57="")*(O$3:O$57="")*(N$3:N$57="")*(M$3:M$57="P")*(G$3:G$57=G48)*(J$3:J$57&lt;J48)*(H$3:H$57&lt;&gt;H48)*(I$3:I$57="P")),-1*SUMPRODUCT((P$3:P$57="")*(O$3:O$57="")*(N$3:N$57="")*(M$3:M$57="P")*(G$3:G$57=G48)*(J$3:J$57&gt;J48)*(H$3:H$57="L5")*(I$3:I$57="P")))+1,"")))))</f>
        <v/>
      </c>
      <c r="B48" s="1" t="str" cm="1">
        <f t="array" ref="B48">IF(P48&lt;&gt;"",SUMPRODUCT((P$3:P$57&lt;&gt;"")*(G$3:G$57=G48)*(J$3:J$57&gt;J48))+1,IF(O48&lt;&gt;"",SUMPRODUCT((O$3:O$57&lt;&gt;"")*(P$3:P$57="")*(G$3:G$57=G48)*(J$3:J$57&gt;J48))+SUMPRODUCT((P$3:P$57&lt;&gt;"")*(G$3:G$57=G48))+1,IF(N48&lt;&gt;"",SUMPRODUCT((N$3:N$57&lt;&gt;"")*(G$3:G$57=G48)*(J$3:J$57&gt;J48))+1,IF(M48="P",SUMPRODUCT((O$3:O$57&lt;&gt;"")*(P$3:P$57="")*(G$3:G$57=G48))+SUMPRODUCT((P$3:P$57&lt;&gt;"")*(G$3:G$57=G48))+SUMPRODUCT((N$3:N$57&lt;&gt;"")*(G$3:G$57=G48))+SUMPRODUCT((P$3:P$57="")*(O$3:O$57="")*(N$3:N$57="")*(M$3:M$57="P")*(G$3:G$57=G48)*(J$3:J$57&gt;J48))+IF(H48="L5",SUMPRODUCT((P$3:P$57="")*(O$3:O$57="")*(N$3:N$57="")*(M$3:M$57="P")*(G$3:G$57=G48)*(J$3:J$57&lt;J48)*(H$3:H$57&lt;&gt;H48)),-1*SUMPRODUCT((P$3:P$57="")*(O$3:O$57="")*(N$3:N$57="")*(M$3:M$57="P")*(G$3:G$57=G48)*(J$3:J$57&gt;J48)*(H$3:H$57="L5")))+1,""))))</f>
        <v/>
      </c>
      <c r="C48" s="35" t="s">
        <v>322</v>
      </c>
      <c r="D48" s="35" t="str">
        <f>IF(E48="","",VLOOKUP(E48,'Coaching Points'!A:B,2,0))</f>
        <v>QC</v>
      </c>
      <c r="E48" s="35" t="s">
        <v>201</v>
      </c>
      <c r="F48" s="34">
        <v>2010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13-14</v>
      </c>
      <c r="H48" s="36" t="s">
        <v>64</v>
      </c>
      <c r="I48" s="40"/>
      <c r="J48" s="4">
        <f t="shared" si="4"/>
        <v>42.7</v>
      </c>
      <c r="K48" s="3" t="str">
        <f>IF(G48="Not Age Eligible","",IF(MAX(T48,W48,Z48,AC48)&gt;=LOOKUP(G48,'Qualifying Scores'!$A$4:$A$7,'Qualifying Scores'!$F$4:$F$7),"P",""))</f>
        <v/>
      </c>
      <c r="L48" s="3" t="str">
        <f>IF(G48="Not Age Eligible","",IF(MAX(U48,X48,AA48,AD48)&gt;=LOOKUP(G48,'Qualifying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Scores'!$F$10:$F$13)),AND(Z48&gt;=LOOKUP(G48,'Qualifying Scores'!$A$4:$A$7,'Qualifying Scores'!$F$4:$F$7),AA48&gt;=LOOKUP(G48,'Qualifying Scores'!$A$10:$A$13,'Qualifying Scores'!$F$10:$F$13)),AND(W48&gt;=LOOKUP(G48,'Qualifying Scores'!$A$4:$A$7,'Qualifying Scores'!$F$4:$F$7),X48&gt;=LOOKUP(G48,'Qualifying Scores'!$A$10:$A$13,'Qualifying Scores'!$F$10:$F$13)),AND(AC48&gt;=LOOKUP(G48,'Qualifying Scores'!$A$4:$A$7,'Qualifying Scores'!$F$4:$F$7),AD48&gt;=LOOKUP(G48,'Qualifying Scores'!$A$10:$A$13,'Qualifying Scores'!$F$10:$F$13))),"P",""))</f>
        <v/>
      </c>
      <c r="Q48" s="1" t="str">
        <f t="shared" si="5"/>
        <v/>
      </c>
      <c r="R48" s="4">
        <f t="shared" si="6"/>
        <v>42.7</v>
      </c>
      <c r="S48" s="4">
        <f t="shared" si="7"/>
        <v>21.5</v>
      </c>
      <c r="T48" s="32">
        <v>42.7</v>
      </c>
      <c r="U48" s="37">
        <v>5.4</v>
      </c>
      <c r="V48" s="37">
        <v>0</v>
      </c>
      <c r="W48" s="33">
        <v>21.5</v>
      </c>
      <c r="X48" s="37">
        <v>3.1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$57&lt;&gt;"")*(G$3:G$57=G49)*(J$3:J$57&gt;J49)*(I$3:I$57="P"))+1,IF(O49&lt;&gt;"",SUMPRODUCT((O$3:O$57&lt;&gt;"")*(P$3:P$57="")*(G$3:G$57=G49)*(J$3:J$57&gt;J49)*(I$3:I$57="P"))+SUMPRODUCT((P$3:P$57&lt;&gt;"")*(G$3:G$57=G49)*(I$3:I$57="P"))+1,IF(N49&lt;&gt;"",SUMPRODUCT((N$3:N$57&lt;&gt;"")*(G$3:G$57=G49)*(J$3:J$57&gt;J49)*(I$3:I$57="P"))+1,IF(M49="P",SUMPRODUCT((O$3:O$57&lt;&gt;"")*(P$3:P$57="")*(G$3:G$57=G49)*(I$3:I$57="P"))+SUMPRODUCT((P$3:P$57&lt;&gt;"")*(G$3:G$57=G49)*(I$3:I$57="P"))+SUMPRODUCT((N$3:N$57&lt;&gt;"")*(G$3:G$57=G49)*(I$3:I$57="P"))+SUMPRODUCT((P$3:P$57="")*(O$3:O$57="")*(N$3:N$57="")*(M$3:M$57="P")*(G$3:G$57=G49)*(J$3:J$57&gt;J49)*(I$3:I$57="P"))+IF(H49="L5",SUMPRODUCT((P$3:P$57="")*(O$3:O$57="")*(N$3:N$57="")*(M$3:M$57="P")*(G$3:G$57=G49)*(J$3:J$57&lt;J49)*(H$3:H$57&lt;&gt;H49)*(I$3:I$57="P")),-1*SUMPRODUCT((P$3:P$57="")*(O$3:O$57="")*(N$3:N$57="")*(M$3:M$57="P")*(G$3:G$57=G49)*(J$3:J$57&gt;J49)*(H$3:H$57="L5")*(I$3:I$57="P")))+1,"")))))</f>
        <v/>
      </c>
      <c r="B49" s="1" t="str" cm="1">
        <f t="array" ref="B49">IF(P49&lt;&gt;"",SUMPRODUCT((P$3:P$57&lt;&gt;"")*(G$3:G$57=G49)*(J$3:J$57&gt;J49))+1,IF(O49&lt;&gt;"",SUMPRODUCT((O$3:O$57&lt;&gt;"")*(P$3:P$57="")*(G$3:G$57=G49)*(J$3:J$57&gt;J49))+SUMPRODUCT((P$3:P$57&lt;&gt;"")*(G$3:G$57=G49))+1,IF(N49&lt;&gt;"",SUMPRODUCT((N$3:N$57&lt;&gt;"")*(G$3:G$57=G49)*(J$3:J$57&gt;J49))+1,IF(M49="P",SUMPRODUCT((O$3:O$57&lt;&gt;"")*(P$3:P$57="")*(G$3:G$57=G49))+SUMPRODUCT((P$3:P$57&lt;&gt;"")*(G$3:G$57=G49))+SUMPRODUCT((N$3:N$57&lt;&gt;"")*(G$3:G$57=G49))+SUMPRODUCT((P$3:P$57="")*(O$3:O$57="")*(N$3:N$57="")*(M$3:M$57="P")*(G$3:G$57=G49)*(J$3:J$57&gt;J49))+IF(H49="L5",SUMPRODUCT((P$3:P$57="")*(O$3:O$57="")*(N$3:N$57="")*(M$3:M$57="P")*(G$3:G$57=G49)*(J$3:J$57&lt;J49)*(H$3:H$57&lt;&gt;H49)),-1*SUMPRODUCT((P$3:P$57="")*(O$3:O$57="")*(N$3:N$57="")*(M$3:M$57="P")*(G$3:G$57=G49)*(J$3:J$57&gt;J49)*(H$3:H$57="L5")))+1,""))))</f>
        <v/>
      </c>
      <c r="C49" s="35" t="s">
        <v>319</v>
      </c>
      <c r="D49" s="35" t="str">
        <f>IF(E49="","",VLOOKUP(E49,'Coaching Points'!A:B,2,0))</f>
        <v>QC</v>
      </c>
      <c r="E49" s="35" t="s">
        <v>201</v>
      </c>
      <c r="F49" s="34">
        <v>2010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13-14</v>
      </c>
      <c r="H49" s="36" t="s">
        <v>64</v>
      </c>
      <c r="I49" s="40"/>
      <c r="J49" s="4">
        <f t="shared" si="4"/>
        <v>42.4</v>
      </c>
      <c r="K49" s="3" t="str">
        <f>IF(G49="Not Age Eligible","",IF(MAX(T49,W49,Z49,AC49)&gt;=LOOKUP(G49,'Qualifying Scores'!$A$4:$A$7,'Qualifying Scores'!$F$4:$F$7),"P",""))</f>
        <v/>
      </c>
      <c r="L49" s="3" t="str">
        <f>IF(G49="Not Age Eligible","",IF(MAX(U49,X49,AA49,AD49)&gt;=LOOKUP(G49,'Qualifying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Scores'!$F$10:$F$13)),AND(Z49&gt;=LOOKUP(G49,'Qualifying Scores'!$A$4:$A$7,'Qualifying Scores'!$F$4:$F$7),AA49&gt;=LOOKUP(G49,'Qualifying Scores'!$A$10:$A$13,'Qualifying Scores'!$F$10:$F$13)),AND(W49&gt;=LOOKUP(G49,'Qualifying Scores'!$A$4:$A$7,'Qualifying Scores'!$F$4:$F$7),X49&gt;=LOOKUP(G49,'Qualifying Scores'!$A$10:$A$13,'Qualifying Scores'!$F$10:$F$13)),AND(AC49&gt;=LOOKUP(G49,'Qualifying Scores'!$A$4:$A$7,'Qualifying Scores'!$F$4:$F$7),AD49&gt;=LOOKUP(G49,'Qualifying Scores'!$A$10:$A$13,'Qualifying Scores'!$F$10:$F$13))),"P",""))</f>
        <v/>
      </c>
      <c r="Q49" s="1" t="str">
        <f t="shared" si="5"/>
        <v/>
      </c>
      <c r="R49" s="4">
        <f t="shared" si="6"/>
        <v>42.4</v>
      </c>
      <c r="S49" s="4">
        <f t="shared" si="7"/>
        <v>41.3</v>
      </c>
      <c r="T49" s="32">
        <v>42.4</v>
      </c>
      <c r="U49" s="37">
        <v>5.4</v>
      </c>
      <c r="V49" s="37">
        <v>0</v>
      </c>
      <c r="W49" s="33">
        <v>41.3</v>
      </c>
      <c r="X49" s="37">
        <v>6</v>
      </c>
      <c r="Y49" s="37">
        <v>0</v>
      </c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$57&lt;&gt;"")*(G$3:G$57=G50)*(J$3:J$57&gt;J50)*(I$3:I$57="P"))+1,IF(O50&lt;&gt;"",SUMPRODUCT((O$3:O$57&lt;&gt;"")*(P$3:P$57="")*(G$3:G$57=G50)*(J$3:J$57&gt;J50)*(I$3:I$57="P"))+SUMPRODUCT((P$3:P$57&lt;&gt;"")*(G$3:G$57=G50)*(I$3:I$57="P"))+1,IF(N50&lt;&gt;"",SUMPRODUCT((N$3:N$57&lt;&gt;"")*(G$3:G$57=G50)*(J$3:J$57&gt;J50)*(I$3:I$57="P"))+1,IF(M50="P",SUMPRODUCT((O$3:O$57&lt;&gt;"")*(P$3:P$57="")*(G$3:G$57=G50)*(I$3:I$57="P"))+SUMPRODUCT((P$3:P$57&lt;&gt;"")*(G$3:G$57=G50)*(I$3:I$57="P"))+SUMPRODUCT((N$3:N$57&lt;&gt;"")*(G$3:G$57=G50)*(I$3:I$57="P"))+SUMPRODUCT((P$3:P$57="")*(O$3:O$57="")*(N$3:N$57="")*(M$3:M$57="P")*(G$3:G$57=G50)*(J$3:J$57&gt;J50)*(I$3:I$57="P"))+IF(H50="L5",SUMPRODUCT((P$3:P$57="")*(O$3:O$57="")*(N$3:N$57="")*(M$3:M$57="P")*(G$3:G$57=G50)*(J$3:J$57&lt;J50)*(H$3:H$57&lt;&gt;H50)*(I$3:I$57="P")),-1*SUMPRODUCT((P$3:P$57="")*(O$3:O$57="")*(N$3:N$57="")*(M$3:M$57="P")*(G$3:G$57=G50)*(J$3:J$57&gt;J50)*(H$3:H$57="L5")*(I$3:I$57="P")))+1,"")))))</f>
        <v/>
      </c>
      <c r="B50" s="1" t="str" cm="1">
        <f t="array" ref="B50">IF(P50&lt;&gt;"",SUMPRODUCT((P$3:P$57&lt;&gt;"")*(G$3:G$57=G50)*(J$3:J$57&gt;J50))+1,IF(O50&lt;&gt;"",SUMPRODUCT((O$3:O$57&lt;&gt;"")*(P$3:P$57="")*(G$3:G$57=G50)*(J$3:J$57&gt;J50))+SUMPRODUCT((P$3:P$57&lt;&gt;"")*(G$3:G$57=G50))+1,IF(N50&lt;&gt;"",SUMPRODUCT((N$3:N$57&lt;&gt;"")*(G$3:G$57=G50)*(J$3:J$57&gt;J50))+1,IF(M50="P",SUMPRODUCT((O$3:O$57&lt;&gt;"")*(P$3:P$57="")*(G$3:G$57=G50))+SUMPRODUCT((P$3:P$57&lt;&gt;"")*(G$3:G$57=G50))+SUMPRODUCT((N$3:N$57&lt;&gt;"")*(G$3:G$57=G50))+SUMPRODUCT((P$3:P$57="")*(O$3:O$57="")*(N$3:N$57="")*(M$3:M$57="P")*(G$3:G$57=G50)*(J$3:J$57&gt;J50))+IF(H50="L5",SUMPRODUCT((P$3:P$57="")*(O$3:O$57="")*(N$3:N$57="")*(M$3:M$57="P")*(G$3:G$57=G50)*(J$3:J$57&lt;J50)*(H$3:H$57&lt;&gt;H50)),-1*SUMPRODUCT((P$3:P$57="")*(O$3:O$57="")*(N$3:N$57="")*(M$3:M$57="P")*(G$3:G$57=G50)*(J$3:J$57&gt;J50)*(H$3:H$57="L5")))+1,""))))</f>
        <v/>
      </c>
      <c r="C50" s="35" t="s">
        <v>384</v>
      </c>
      <c r="D50" s="35" t="str">
        <f>IF(E50="","",VLOOKUP(E50,'Coaching Points'!A:B,2,0))</f>
        <v>BC</v>
      </c>
      <c r="E50" s="35" t="s">
        <v>40</v>
      </c>
      <c r="F50" s="34">
        <v>2010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13-14</v>
      </c>
      <c r="H50" s="36" t="s">
        <v>64</v>
      </c>
      <c r="I50" s="40"/>
      <c r="J50" s="4">
        <f t="shared" si="4"/>
        <v>42.3</v>
      </c>
      <c r="K50" s="3" t="str">
        <f>IF(G50="Not Age Eligible","",IF(MAX(T50,W50,Z50,AC50)&gt;=LOOKUP(G50,'Qualifying Scores'!$A$4:$A$7,'Qualifying Scores'!$F$4:$F$7),"P",""))</f>
        <v/>
      </c>
      <c r="L50" s="3" t="str">
        <f>IF(G50="Not Age Eligible","",IF(MAX(U50,X50,AA50,AD50)&gt;=LOOKUP(G50,'Qualifying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Scores'!$F$10:$F$13)),AND(Z50&gt;=LOOKUP(G50,'Qualifying Scores'!$A$4:$A$7,'Qualifying Scores'!$F$4:$F$7),AA50&gt;=LOOKUP(G50,'Qualifying Scores'!$A$10:$A$13,'Qualifying Scores'!$F$10:$F$13)),AND(W50&gt;=LOOKUP(G50,'Qualifying Scores'!$A$4:$A$7,'Qualifying Scores'!$F$4:$F$7),X50&gt;=LOOKUP(G50,'Qualifying Scores'!$A$10:$A$13,'Qualifying Scores'!$F$10:$F$13)),AND(AC50&gt;=LOOKUP(G50,'Qualifying Scores'!$A$4:$A$7,'Qualifying Scores'!$F$4:$F$7),AD50&gt;=LOOKUP(G50,'Qualifying Scores'!$A$10:$A$13,'Qualifying Scores'!$F$10:$F$13))),"P",""))</f>
        <v/>
      </c>
      <c r="Q50" s="1" t="str">
        <f t="shared" si="5"/>
        <v/>
      </c>
      <c r="R50" s="4">
        <f t="shared" si="6"/>
        <v>42.3</v>
      </c>
      <c r="S50" s="4">
        <f t="shared" si="7"/>
        <v>41.5</v>
      </c>
      <c r="T50" s="32">
        <v>41.5</v>
      </c>
      <c r="U50" s="37">
        <v>6.3000000000000007</v>
      </c>
      <c r="V50" s="37">
        <v>0</v>
      </c>
      <c r="W50" s="33">
        <v>42.3</v>
      </c>
      <c r="X50" s="37">
        <v>6.3</v>
      </c>
      <c r="Y50" s="37">
        <v>0</v>
      </c>
      <c r="Z50" s="32"/>
      <c r="AA50" s="37"/>
      <c r="AB50" s="37"/>
      <c r="AC50" s="33"/>
      <c r="AD50" s="37"/>
      <c r="AE50" s="37"/>
    </row>
    <row r="51" spans="1:31" x14ac:dyDescent="0.2">
      <c r="A51" s="1" t="str" cm="1">
        <f t="array" ref="A51">IF(I51="","",IF(P51&lt;&gt;"",SUMPRODUCT((P$3:P$57&lt;&gt;"")*(G$3:G$57=G51)*(J$3:J$57&gt;J51)*(I$3:I$57="P"))+1,IF(O51&lt;&gt;"",SUMPRODUCT((O$3:O$57&lt;&gt;"")*(P$3:P$57="")*(G$3:G$57=G51)*(J$3:J$57&gt;J51)*(I$3:I$57="P"))+SUMPRODUCT((P$3:P$57&lt;&gt;"")*(G$3:G$57=G51)*(I$3:I$57="P"))+1,IF(N51&lt;&gt;"",SUMPRODUCT((N$3:N$57&lt;&gt;"")*(G$3:G$57=G51)*(J$3:J$57&gt;J51)*(I$3:I$57="P"))+1,IF(M51="P",SUMPRODUCT((O$3:O$57&lt;&gt;"")*(P$3:P$57="")*(G$3:G$57=G51)*(I$3:I$57="P"))+SUMPRODUCT((P$3:P$57&lt;&gt;"")*(G$3:G$57=G51)*(I$3:I$57="P"))+SUMPRODUCT((N$3:N$57&lt;&gt;"")*(G$3:G$57=G51)*(I$3:I$57="P"))+SUMPRODUCT((P$3:P$57="")*(O$3:O$57="")*(N$3:N$57="")*(M$3:M$57="P")*(G$3:G$57=G51)*(J$3:J$57&gt;J51)*(I$3:I$57="P"))+IF(H51="L5",SUMPRODUCT((P$3:P$57="")*(O$3:O$57="")*(N$3:N$57="")*(M$3:M$57="P")*(G$3:G$57=G51)*(J$3:J$57&lt;J51)*(H$3:H$57&lt;&gt;H51)*(I$3:I$57="P")),-1*SUMPRODUCT((P$3:P$57="")*(O$3:O$57="")*(N$3:N$57="")*(M$3:M$57="P")*(G$3:G$57=G51)*(J$3:J$57&gt;J51)*(H$3:H$57="L5")*(I$3:I$57="P")))+1,"")))))</f>
        <v/>
      </c>
      <c r="B51" s="1" t="str" cm="1">
        <f t="array" ref="B51">IF(P51&lt;&gt;"",SUMPRODUCT((P$3:P$57&lt;&gt;"")*(G$3:G$57=G51)*(J$3:J$57&gt;J51))+1,IF(O51&lt;&gt;"",SUMPRODUCT((O$3:O$57&lt;&gt;"")*(P$3:P$57="")*(G$3:G$57=G51)*(J$3:J$57&gt;J51))+SUMPRODUCT((P$3:P$57&lt;&gt;"")*(G$3:G$57=G51))+1,IF(N51&lt;&gt;"",SUMPRODUCT((N$3:N$57&lt;&gt;"")*(G$3:G$57=G51)*(J$3:J$57&gt;J51))+1,IF(M51="P",SUMPRODUCT((O$3:O$57&lt;&gt;"")*(P$3:P$57="")*(G$3:G$57=G51))+SUMPRODUCT((P$3:P$57&lt;&gt;"")*(G$3:G$57=G51))+SUMPRODUCT((N$3:N$57&lt;&gt;"")*(G$3:G$57=G51))+SUMPRODUCT((P$3:P$57="")*(O$3:O$57="")*(N$3:N$57="")*(M$3:M$57="P")*(G$3:G$57=G51)*(J$3:J$57&gt;J51))+IF(H51="L5",SUMPRODUCT((P$3:P$57="")*(O$3:O$57="")*(N$3:N$57="")*(M$3:M$57="P")*(G$3:G$57=G51)*(J$3:J$57&lt;J51)*(H$3:H$57&lt;&gt;H51)),-1*SUMPRODUCT((P$3:P$57="")*(O$3:O$57="")*(N$3:N$57="")*(M$3:M$57="P")*(G$3:G$57=G51)*(J$3:J$57&gt;J51)*(H$3:H$57="L5")))+1,""))))</f>
        <v/>
      </c>
      <c r="C51" s="35" t="s">
        <v>318</v>
      </c>
      <c r="D51" s="35" t="str">
        <f>IF(E51="","",VLOOKUP(E51,'Coaching Points'!A:B,2,0))</f>
        <v>ON</v>
      </c>
      <c r="E51" s="35" t="s">
        <v>97</v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13-14</v>
      </c>
      <c r="H51" s="36" t="s">
        <v>64</v>
      </c>
      <c r="I51" s="40"/>
      <c r="J51" s="4">
        <f t="shared" si="4"/>
        <v>42.3</v>
      </c>
      <c r="K51" s="3" t="str">
        <f>IF(G51="Not Age Eligible","",IF(MAX(T51,W51,Z51,AC51)&gt;=LOOKUP(G51,'Qualifying Scores'!$A$4:$A$7,'Qualifying Scores'!$F$4:$F$7),"P",""))</f>
        <v/>
      </c>
      <c r="L51" s="3" t="str">
        <f>IF(G51="Not Age Eligible","",IF(MAX(U51,X51,AA51,AD51)&gt;=LOOKUP(G51,'Qualifying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Scores'!$F$10:$F$13)),AND(Z51&gt;=LOOKUP(G51,'Qualifying Scores'!$A$4:$A$7,'Qualifying Scores'!$F$4:$F$7),AA51&gt;=LOOKUP(G51,'Qualifying Scores'!$A$10:$A$13,'Qualifying Scores'!$F$10:$F$13)),AND(W51&gt;=LOOKUP(G51,'Qualifying Scores'!$A$4:$A$7,'Qualifying Scores'!$F$4:$F$7),X51&gt;=LOOKUP(G51,'Qualifying Scores'!$A$10:$A$13,'Qualifying Scores'!$F$10:$F$13)),AND(AC51&gt;=LOOKUP(G51,'Qualifying Scores'!$A$4:$A$7,'Qualifying Scores'!$F$4:$F$7),AD51&gt;=LOOKUP(G51,'Qualifying Scores'!$A$10:$A$13,'Qualifying Scores'!$F$10:$F$13))),"P",""))</f>
        <v/>
      </c>
      <c r="Q51" s="1" t="str">
        <f t="shared" si="5"/>
        <v/>
      </c>
      <c r="R51" s="4">
        <f t="shared" si="6"/>
        <v>42.3</v>
      </c>
      <c r="S51" s="4">
        <f t="shared" si="7"/>
        <v>41</v>
      </c>
      <c r="T51" s="32">
        <v>41</v>
      </c>
      <c r="U51" s="37">
        <v>5.6</v>
      </c>
      <c r="V51" s="37">
        <v>0</v>
      </c>
      <c r="W51" s="33">
        <v>42.3</v>
      </c>
      <c r="X51" s="37">
        <v>4.9000000000000004</v>
      </c>
      <c r="Y51" s="37">
        <v>0</v>
      </c>
      <c r="Z51" s="32"/>
      <c r="AA51" s="37"/>
      <c r="AB51" s="37"/>
      <c r="AC51" s="33"/>
      <c r="AD51" s="37"/>
      <c r="AE51" s="37"/>
    </row>
    <row r="52" spans="1:31" x14ac:dyDescent="0.2">
      <c r="A52" s="1" t="str" cm="1">
        <f t="array" ref="A52">IF(I52="","",IF(P52&lt;&gt;"",SUMPRODUCT((P$3:P$57&lt;&gt;"")*(G$3:G$57=G52)*(J$3:J$57&gt;J52)*(I$3:I$57="P"))+1,IF(O52&lt;&gt;"",SUMPRODUCT((O$3:O$57&lt;&gt;"")*(P$3:P$57="")*(G$3:G$57=G52)*(J$3:J$57&gt;J52)*(I$3:I$57="P"))+SUMPRODUCT((P$3:P$57&lt;&gt;"")*(G$3:G$57=G52)*(I$3:I$57="P"))+1,IF(N52&lt;&gt;"",SUMPRODUCT((N$3:N$57&lt;&gt;"")*(G$3:G$57=G52)*(J$3:J$57&gt;J52)*(I$3:I$57="P"))+1,IF(M52="P",SUMPRODUCT((O$3:O$57&lt;&gt;"")*(P$3:P$57="")*(G$3:G$57=G52)*(I$3:I$57="P"))+SUMPRODUCT((P$3:P$57&lt;&gt;"")*(G$3:G$57=G52)*(I$3:I$57="P"))+SUMPRODUCT((N$3:N$57&lt;&gt;"")*(G$3:G$57=G52)*(I$3:I$57="P"))+SUMPRODUCT((P$3:P$57="")*(O$3:O$57="")*(N$3:N$57="")*(M$3:M$57="P")*(G$3:G$57=G52)*(J$3:J$57&gt;J52)*(I$3:I$57="P"))+IF(H52="L5",SUMPRODUCT((P$3:P$57="")*(O$3:O$57="")*(N$3:N$57="")*(M$3:M$57="P")*(G$3:G$57=G52)*(J$3:J$57&lt;J52)*(H$3:H$57&lt;&gt;H52)*(I$3:I$57="P")),-1*SUMPRODUCT((P$3:P$57="")*(O$3:O$57="")*(N$3:N$57="")*(M$3:M$57="P")*(G$3:G$57=G52)*(J$3:J$57&gt;J52)*(H$3:H$57="L5")*(I$3:I$57="P")))+1,"")))))</f>
        <v/>
      </c>
      <c r="B52" s="1" t="str" cm="1">
        <f t="array" ref="B52">IF(P52&lt;&gt;"",SUMPRODUCT((P$3:P$57&lt;&gt;"")*(G$3:G$57=G52)*(J$3:J$57&gt;J52))+1,IF(O52&lt;&gt;"",SUMPRODUCT((O$3:O$57&lt;&gt;"")*(P$3:P$57="")*(G$3:G$57=G52)*(J$3:J$57&gt;J52))+SUMPRODUCT((P$3:P$57&lt;&gt;"")*(G$3:G$57=G52))+1,IF(N52&lt;&gt;"",SUMPRODUCT((N$3:N$57&lt;&gt;"")*(G$3:G$57=G52)*(J$3:J$57&gt;J52))+1,IF(M52="P",SUMPRODUCT((O$3:O$57&lt;&gt;"")*(P$3:P$57="")*(G$3:G$57=G52))+SUMPRODUCT((P$3:P$57&lt;&gt;"")*(G$3:G$57=G52))+SUMPRODUCT((N$3:N$57&lt;&gt;"")*(G$3:G$57=G52))+SUMPRODUCT((P$3:P$57="")*(O$3:O$57="")*(N$3:N$57="")*(M$3:M$57="P")*(G$3:G$57=G52)*(J$3:J$57&gt;J52))+IF(H52="L5",SUMPRODUCT((P$3:P$57="")*(O$3:O$57="")*(N$3:N$57="")*(M$3:M$57="P")*(G$3:G$57=G52)*(J$3:J$57&lt;J52)*(H$3:H$57&lt;&gt;H52)),-1*SUMPRODUCT((P$3:P$57="")*(O$3:O$57="")*(N$3:N$57="")*(M$3:M$57="P")*(G$3:G$57=G52)*(J$3:J$57&gt;J52)*(H$3:H$57="L5")))+1,""))))</f>
        <v/>
      </c>
      <c r="C52" s="35" t="s">
        <v>323</v>
      </c>
      <c r="D52" s="35" t="str">
        <f>IF(E52="","",VLOOKUP(E52,'Coaching Points'!A:B,2,0))</f>
        <v>BC</v>
      </c>
      <c r="E52" s="35" t="s">
        <v>44</v>
      </c>
      <c r="F52" s="34">
        <v>2010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13-14</v>
      </c>
      <c r="H52" s="36" t="s">
        <v>64</v>
      </c>
      <c r="I52" s="40"/>
      <c r="J52" s="4">
        <f t="shared" si="4"/>
        <v>41.8</v>
      </c>
      <c r="K52" s="3" t="str">
        <f>IF(G52="Not Age Eligible","",IF(MAX(T52,W52,Z52,AC52)&gt;=LOOKUP(G52,'Qualifying Scores'!$A$4:$A$7,'Qualifying Scores'!$F$4:$F$7),"P",""))</f>
        <v/>
      </c>
      <c r="L52" s="3" t="str">
        <f>IF(G52="Not Age Eligible","",IF(MAX(U52,X52,AA52,AD52)&gt;=LOOKUP(G52,'Qualifying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Scores'!$F$10:$F$13)),AND(Z52&gt;=LOOKUP(G52,'Qualifying Scores'!$A$4:$A$7,'Qualifying Scores'!$F$4:$F$7),AA52&gt;=LOOKUP(G52,'Qualifying Scores'!$A$10:$A$13,'Qualifying Scores'!$F$10:$F$13)),AND(W52&gt;=LOOKUP(G52,'Qualifying Scores'!$A$4:$A$7,'Qualifying Scores'!$F$4:$F$7),X52&gt;=LOOKUP(G52,'Qualifying Scores'!$A$10:$A$13,'Qualifying Scores'!$F$10:$F$13)),AND(AC52&gt;=LOOKUP(G52,'Qualifying Scores'!$A$4:$A$7,'Qualifying Scores'!$F$4:$F$7),AD52&gt;=LOOKUP(G52,'Qualifying Scores'!$A$10:$A$13,'Qualifying Scores'!$F$10:$F$13))),"P",""))</f>
        <v/>
      </c>
      <c r="Q52" s="1" t="str">
        <f t="shared" si="5"/>
        <v/>
      </c>
      <c r="R52" s="4">
        <f t="shared" si="6"/>
        <v>41.8</v>
      </c>
      <c r="S52" s="4">
        <f t="shared" si="7"/>
        <v>41.2</v>
      </c>
      <c r="T52" s="32">
        <v>41.2</v>
      </c>
      <c r="U52" s="37">
        <v>5.8000000000000007</v>
      </c>
      <c r="V52" s="37">
        <v>0</v>
      </c>
      <c r="W52" s="33">
        <v>41.8</v>
      </c>
      <c r="X52" s="37">
        <v>5.6</v>
      </c>
      <c r="Y52" s="37">
        <v>0</v>
      </c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$57&lt;&gt;"")*(G$3:G$57=G53)*(J$3:J$57&gt;J53)*(I$3:I$57="P"))+1,IF(O53&lt;&gt;"",SUMPRODUCT((O$3:O$57&lt;&gt;"")*(P$3:P$57="")*(G$3:G$57=G53)*(J$3:J$57&gt;J53)*(I$3:I$57="P"))+SUMPRODUCT((P$3:P$57&lt;&gt;"")*(G$3:G$57=G53)*(I$3:I$57="P"))+1,IF(N53&lt;&gt;"",SUMPRODUCT((N$3:N$57&lt;&gt;"")*(G$3:G$57=G53)*(J$3:J$57&gt;J53)*(I$3:I$57="P"))+1,IF(M53="P",SUMPRODUCT((O$3:O$57&lt;&gt;"")*(P$3:P$57="")*(G$3:G$57=G53)*(I$3:I$57="P"))+SUMPRODUCT((P$3:P$57&lt;&gt;"")*(G$3:G$57=G53)*(I$3:I$57="P"))+SUMPRODUCT((N$3:N$57&lt;&gt;"")*(G$3:G$57=G53)*(I$3:I$57="P"))+SUMPRODUCT((P$3:P$57="")*(O$3:O$57="")*(N$3:N$57="")*(M$3:M$57="P")*(G$3:G$57=G53)*(J$3:J$57&gt;J53)*(I$3:I$57="P"))+IF(H53="L5",SUMPRODUCT((P$3:P$57="")*(O$3:O$57="")*(N$3:N$57="")*(M$3:M$57="P")*(G$3:G$57=G53)*(J$3:J$57&lt;J53)*(H$3:H$57&lt;&gt;H53)*(I$3:I$57="P")),-1*SUMPRODUCT((P$3:P$57="")*(O$3:O$57="")*(N$3:N$57="")*(M$3:M$57="P")*(G$3:G$57=G53)*(J$3:J$57&gt;J53)*(H$3:H$57="L5")*(I$3:I$57="P")))+1,"")))))</f>
        <v/>
      </c>
      <c r="B53" s="1" t="str" cm="1">
        <f t="array" ref="B53">IF(P53&lt;&gt;"",SUMPRODUCT((P$3:P$57&lt;&gt;"")*(G$3:G$57=G53)*(J$3:J$57&gt;J53))+1,IF(O53&lt;&gt;"",SUMPRODUCT((O$3:O$57&lt;&gt;"")*(P$3:P$57="")*(G$3:G$57=G53)*(J$3:J$57&gt;J53))+SUMPRODUCT((P$3:P$57&lt;&gt;"")*(G$3:G$57=G53))+1,IF(N53&lt;&gt;"",SUMPRODUCT((N$3:N$57&lt;&gt;"")*(G$3:G$57=G53)*(J$3:J$57&gt;J53))+1,IF(M53="P",SUMPRODUCT((O$3:O$57&lt;&gt;"")*(P$3:P$57="")*(G$3:G$57=G53))+SUMPRODUCT((P$3:P$57&lt;&gt;"")*(G$3:G$57=G53))+SUMPRODUCT((N$3:N$57&lt;&gt;"")*(G$3:G$57=G53))+SUMPRODUCT((P$3:P$57="")*(O$3:O$57="")*(N$3:N$57="")*(M$3:M$57="P")*(G$3:G$57=G53)*(J$3:J$57&gt;J53))+IF(H53="L5",SUMPRODUCT((P$3:P$57="")*(O$3:O$57="")*(N$3:N$57="")*(M$3:M$57="P")*(G$3:G$57=G53)*(J$3:J$57&lt;J53)*(H$3:H$57&lt;&gt;H53)),-1*SUMPRODUCT((P$3:P$57="")*(O$3:O$57="")*(N$3:N$57="")*(M$3:M$57="P")*(G$3:G$57=G53)*(J$3:J$57&gt;J53)*(H$3:H$57="L5")))+1,""))))</f>
        <v/>
      </c>
      <c r="C53" s="35" t="s">
        <v>222</v>
      </c>
      <c r="D53" s="35" t="str">
        <f>IF(E53="","",VLOOKUP(E53,'Coaching Points'!A:B,2,0))</f>
        <v>BC</v>
      </c>
      <c r="E53" s="35" t="s">
        <v>60</v>
      </c>
      <c r="F53" s="34">
        <v>2011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13-14</v>
      </c>
      <c r="H53" s="36" t="s">
        <v>64</v>
      </c>
      <c r="I53" s="40"/>
      <c r="J53" s="4">
        <f t="shared" si="4"/>
        <v>39.799999999999997</v>
      </c>
      <c r="K53" s="3" t="str">
        <f>IF(G53="Not Age Eligible","",IF(MAX(T53,W53,Z53,AC53)&gt;=LOOKUP(G53,'Qualifying Scores'!$A$4:$A$7,'Qualifying Scores'!$F$4:$F$7),"P",""))</f>
        <v/>
      </c>
      <c r="L53" s="3" t="str">
        <f>IF(G53="Not Age Eligible","",IF(MAX(U53,X53,AA53,AD53)&gt;=LOOKUP(G53,'Qualifying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Scores'!$F$10:$F$13)),AND(Z53&gt;=LOOKUP(G53,'Qualifying Scores'!$A$4:$A$7,'Qualifying Scores'!$F$4:$F$7),AA53&gt;=LOOKUP(G53,'Qualifying Scores'!$A$10:$A$13,'Qualifying Scores'!$F$10:$F$13)),AND(W53&gt;=LOOKUP(G53,'Qualifying Scores'!$A$4:$A$7,'Qualifying Scores'!$F$4:$F$7),X53&gt;=LOOKUP(G53,'Qualifying Scores'!$A$10:$A$13,'Qualifying Scores'!$F$10:$F$13)),AND(AC53&gt;=LOOKUP(G53,'Qualifying Scores'!$A$4:$A$7,'Qualifying Scores'!$F$4:$F$7),AD53&gt;=LOOKUP(G53,'Qualifying Scores'!$A$10:$A$13,'Qualifying Scores'!$F$10:$F$13))),"P",""))</f>
        <v/>
      </c>
      <c r="Q53" s="1" t="str">
        <f t="shared" si="5"/>
        <v/>
      </c>
      <c r="R53" s="4">
        <f t="shared" si="6"/>
        <v>39.799999999999997</v>
      </c>
      <c r="S53" s="4">
        <f t="shared" si="7"/>
        <v>39.6</v>
      </c>
      <c r="T53" s="32">
        <v>39.799999999999997</v>
      </c>
      <c r="U53" s="37">
        <v>4.5</v>
      </c>
      <c r="V53" s="37">
        <v>0</v>
      </c>
      <c r="W53" s="33">
        <v>39.6</v>
      </c>
      <c r="X53" s="37">
        <v>3.9000000000000004</v>
      </c>
      <c r="Y53" s="37">
        <v>0</v>
      </c>
      <c r="Z53" s="32"/>
      <c r="AA53" s="37"/>
      <c r="AB53" s="37"/>
      <c r="AC53" s="33"/>
      <c r="AD53" s="37"/>
      <c r="AE53" s="37"/>
    </row>
    <row r="54" spans="1:31" x14ac:dyDescent="0.2">
      <c r="A54" s="1" t="str" cm="1">
        <f t="array" ref="A54">IF(I54="","",IF(P54&lt;&gt;"",SUMPRODUCT((P$3:P$57&lt;&gt;"")*(G$3:G$57=G54)*(J$3:J$57&gt;J54)*(I$3:I$57="P"))+1,IF(O54&lt;&gt;"",SUMPRODUCT((O$3:O$57&lt;&gt;"")*(P$3:P$57="")*(G$3:G$57=G54)*(J$3:J$57&gt;J54)*(I$3:I$57="P"))+SUMPRODUCT((P$3:P$57&lt;&gt;"")*(G$3:G$57=G54)*(I$3:I$57="P"))+1,IF(N54&lt;&gt;"",SUMPRODUCT((N$3:N$57&lt;&gt;"")*(G$3:G$57=G54)*(J$3:J$57&gt;J54)*(I$3:I$57="P"))+1,IF(M54="P",SUMPRODUCT((O$3:O$57&lt;&gt;"")*(P$3:P$57="")*(G$3:G$57=G54)*(I$3:I$57="P"))+SUMPRODUCT((P$3:P$57&lt;&gt;"")*(G$3:G$57=G54)*(I$3:I$57="P"))+SUMPRODUCT((N$3:N$57&lt;&gt;"")*(G$3:G$57=G54)*(I$3:I$57="P"))+SUMPRODUCT((P$3:P$57="")*(O$3:O$57="")*(N$3:N$57="")*(M$3:M$57="P")*(G$3:G$57=G54)*(J$3:J$57&gt;J54)*(I$3:I$57="P"))+IF(H54="L5",SUMPRODUCT((P$3:P$57="")*(O$3:O$57="")*(N$3:N$57="")*(M$3:M$57="P")*(G$3:G$57=G54)*(J$3:J$57&lt;J54)*(H$3:H$57&lt;&gt;H54)*(I$3:I$57="P")),-1*SUMPRODUCT((P$3:P$57="")*(O$3:O$57="")*(N$3:N$57="")*(M$3:M$57="P")*(G$3:G$57=G54)*(J$3:J$57&gt;J54)*(H$3:H$57="L5")*(I$3:I$57="P")))+1,"")))))</f>
        <v/>
      </c>
      <c r="B54" s="1" t="str" cm="1">
        <f t="array" ref="B54">IF(P54&lt;&gt;"",SUMPRODUCT((P$3:P$57&lt;&gt;"")*(G$3:G$57=G54)*(J$3:J$57&gt;J54))+1,IF(O54&lt;&gt;"",SUMPRODUCT((O$3:O$57&lt;&gt;"")*(P$3:P$57="")*(G$3:G$57=G54)*(J$3:J$57&gt;J54))+SUMPRODUCT((P$3:P$57&lt;&gt;"")*(G$3:G$57=G54))+1,IF(N54&lt;&gt;"",SUMPRODUCT((N$3:N$57&lt;&gt;"")*(G$3:G$57=G54)*(J$3:J$57&gt;J54))+1,IF(M54="P",SUMPRODUCT((O$3:O$57&lt;&gt;"")*(P$3:P$57="")*(G$3:G$57=G54))+SUMPRODUCT((P$3:P$57&lt;&gt;"")*(G$3:G$57=G54))+SUMPRODUCT((N$3:N$57&lt;&gt;"")*(G$3:G$57=G54))+SUMPRODUCT((P$3:P$57="")*(O$3:O$57="")*(N$3:N$57="")*(M$3:M$57="P")*(G$3:G$57=G54)*(J$3:J$57&gt;J54))+IF(H54="L5",SUMPRODUCT((P$3:P$57="")*(O$3:O$57="")*(N$3:N$57="")*(M$3:M$57="P")*(G$3:G$57=G54)*(J$3:J$57&lt;J54)*(H$3:H$57&lt;&gt;H54)),-1*SUMPRODUCT((P$3:P$57="")*(O$3:O$57="")*(N$3:N$57="")*(M$3:M$57="P")*(G$3:G$57=G54)*(J$3:J$57&gt;J54)*(H$3:H$57="L5")))+1,""))))</f>
        <v/>
      </c>
      <c r="C54" s="35" t="s">
        <v>385</v>
      </c>
      <c r="D54" s="35" t="str">
        <f>IF(E54="","",VLOOKUP(E54,'Coaching Points'!A:B,2,0))</f>
        <v>BC</v>
      </c>
      <c r="E54" s="35" t="s">
        <v>44</v>
      </c>
      <c r="F54" s="34">
        <v>2011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13-14</v>
      </c>
      <c r="H54" s="36" t="s">
        <v>64</v>
      </c>
      <c r="I54" s="40"/>
      <c r="J54" s="4">
        <f t="shared" si="4"/>
        <v>36</v>
      </c>
      <c r="K54" s="3" t="str">
        <f>IF(G54="Not Age Eligible","",IF(MAX(T54,W54,Z54,AC54)&gt;=LOOKUP(G54,'Qualifying Scores'!$A$4:$A$7,'Qualifying Scores'!$F$4:$F$7),"P",""))</f>
        <v/>
      </c>
      <c r="L54" s="3" t="str">
        <f>IF(G54="Not Age Eligible","",IF(MAX(U54,X54,AA54,AD54)&gt;=LOOKUP(G54,'Qualifying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Scores'!$F$10:$F$13)),AND(Z54&gt;=LOOKUP(G54,'Qualifying Scores'!$A$4:$A$7,'Qualifying Scores'!$F$4:$F$7),AA54&gt;=LOOKUP(G54,'Qualifying Scores'!$A$10:$A$13,'Qualifying Scores'!$F$10:$F$13)),AND(W54&gt;=LOOKUP(G54,'Qualifying Scores'!$A$4:$A$7,'Qualifying Scores'!$F$4:$F$7),X54&gt;=LOOKUP(G54,'Qualifying Scores'!$A$10:$A$13,'Qualifying Scores'!$F$10:$F$13)),AND(AC54&gt;=LOOKUP(G54,'Qualifying Scores'!$A$4:$A$7,'Qualifying Scores'!$F$4:$F$7),AD54&gt;=LOOKUP(G54,'Qualifying Scores'!$A$10:$A$13,'Qualifying Scores'!$F$10:$F$13))),"P",""))</f>
        <v/>
      </c>
      <c r="Q54" s="1" t="str">
        <f t="shared" si="5"/>
        <v/>
      </c>
      <c r="R54" s="4">
        <f t="shared" si="6"/>
        <v>36</v>
      </c>
      <c r="S54" s="4">
        <f t="shared" si="7"/>
        <v>0</v>
      </c>
      <c r="T54" s="32">
        <v>36</v>
      </c>
      <c r="U54" s="37">
        <v>3.4000000000000004</v>
      </c>
      <c r="V54" s="37">
        <v>0</v>
      </c>
      <c r="W54" s="33"/>
      <c r="X54" s="37"/>
      <c r="Y54" s="37"/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$57&lt;&gt;"")*(G$3:G$57=G55)*(J$3:J$57&gt;J55)*(I$3:I$57="P"))+1,IF(O55&lt;&gt;"",SUMPRODUCT((O$3:O$57&lt;&gt;"")*(P$3:P$57="")*(G$3:G$57=G55)*(J$3:J$57&gt;J55)*(I$3:I$57="P"))+SUMPRODUCT((P$3:P$57&lt;&gt;"")*(G$3:G$57=G55)*(I$3:I$57="P"))+1,IF(N55&lt;&gt;"",SUMPRODUCT((N$3:N$57&lt;&gt;"")*(G$3:G$57=G55)*(J$3:J$57&gt;J55)*(I$3:I$57="P"))+1,IF(M55="P",SUMPRODUCT((O$3:O$57&lt;&gt;"")*(P$3:P$57="")*(G$3:G$57=G55)*(I$3:I$57="P"))+SUMPRODUCT((P$3:P$57&lt;&gt;"")*(G$3:G$57=G55)*(I$3:I$57="P"))+SUMPRODUCT((N$3:N$57&lt;&gt;"")*(G$3:G$57=G55)*(I$3:I$57="P"))+SUMPRODUCT((P$3:P$57="")*(O$3:O$57="")*(N$3:N$57="")*(M$3:M$57="P")*(G$3:G$57=G55)*(J$3:J$57&gt;J55)*(I$3:I$57="P"))+IF(H55="L5",SUMPRODUCT((P$3:P$57="")*(O$3:O$57="")*(N$3:N$57="")*(M$3:M$57="P")*(G$3:G$57=G55)*(J$3:J$57&lt;J55)*(H$3:H$57&lt;&gt;H55)*(I$3:I$57="P")),-1*SUMPRODUCT((P$3:P$57="")*(O$3:O$57="")*(N$3:N$57="")*(M$3:M$57="P")*(G$3:G$57=G55)*(J$3:J$57&gt;J55)*(H$3:H$57="L5")*(I$3:I$57="P")))+1,"")))))</f>
        <v/>
      </c>
      <c r="B55" s="1" t="str" cm="1">
        <f t="array" ref="B55">IF(P55&lt;&gt;"",SUMPRODUCT((P$3:P$57&lt;&gt;"")*(G$3:G$57=G55)*(J$3:J$57&gt;J55))+1,IF(O55&lt;&gt;"",SUMPRODUCT((O$3:O$57&lt;&gt;"")*(P$3:P$57="")*(G$3:G$57=G55)*(J$3:J$57&gt;J55))+SUMPRODUCT((P$3:P$57&lt;&gt;"")*(G$3:G$57=G55))+1,IF(N55&lt;&gt;"",SUMPRODUCT((N$3:N$57&lt;&gt;"")*(G$3:G$57=G55)*(J$3:J$57&gt;J55))+1,IF(M55="P",SUMPRODUCT((O$3:O$57&lt;&gt;"")*(P$3:P$57="")*(G$3:G$57=G55))+SUMPRODUCT((P$3:P$57&lt;&gt;"")*(G$3:G$57=G55))+SUMPRODUCT((N$3:N$57&lt;&gt;"")*(G$3:G$57=G55))+SUMPRODUCT((P$3:P$57="")*(O$3:O$57="")*(N$3:N$57="")*(M$3:M$57="P")*(G$3:G$57=G55)*(J$3:J$57&gt;J55))+IF(H55="L5",SUMPRODUCT((P$3:P$57="")*(O$3:O$57="")*(N$3:N$57="")*(M$3:M$57="P")*(G$3:G$57=G55)*(J$3:J$57&lt;J55)*(H$3:H$57&lt;&gt;H55)),-1*SUMPRODUCT((P$3:P$57="")*(O$3:O$57="")*(N$3:N$57="")*(M$3:M$57="P")*(G$3:G$57=G55)*(J$3:J$57&gt;J55)*(H$3:H$57="L5")))+1,""))))</f>
        <v/>
      </c>
      <c r="C55" s="35" t="s">
        <v>296</v>
      </c>
      <c r="D55" s="35" t="str">
        <f>IF(E55="","",VLOOKUP(E55,'Coaching Points'!A:B,2,0))</f>
        <v>AB</v>
      </c>
      <c r="E55" s="35" t="s">
        <v>61</v>
      </c>
      <c r="F55" s="34">
        <v>2010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13-14</v>
      </c>
      <c r="H55" s="36" t="s">
        <v>64</v>
      </c>
      <c r="I55" s="40"/>
      <c r="J55" s="4">
        <f t="shared" si="4"/>
        <v>18.399999999999999</v>
      </c>
      <c r="K55" s="3" t="str">
        <f>IF(G55="Not Age Eligible","",IF(MAX(T55,W55,Z55,AC55)&gt;=LOOKUP(G55,'Qualifying Scores'!$A$4:$A$7,'Qualifying Scores'!$F$4:$F$7),"P",""))</f>
        <v/>
      </c>
      <c r="L55" s="3" t="str">
        <f>IF(G55="Not Age Eligible","",IF(MAX(U55,X55,AA55,AD55)&gt;=LOOKUP(G55,'Qualifying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Scores'!$F$10:$F$13)),AND(Z55&gt;=LOOKUP(G55,'Qualifying Scores'!$A$4:$A$7,'Qualifying Scores'!$F$4:$F$7),AA55&gt;=LOOKUP(G55,'Qualifying Scores'!$A$10:$A$13,'Qualifying Scores'!$F$10:$F$13)),AND(W55&gt;=LOOKUP(G55,'Qualifying Scores'!$A$4:$A$7,'Qualifying Scores'!$F$4:$F$7),X55&gt;=LOOKUP(G55,'Qualifying Scores'!$A$10:$A$13,'Qualifying Scores'!$F$10:$F$13)),AND(AC55&gt;=LOOKUP(G55,'Qualifying Scores'!$A$4:$A$7,'Qualifying Scores'!$F$4:$F$7),AD55&gt;=LOOKUP(G55,'Qualifying Scores'!$A$10:$A$13,'Qualifying Scores'!$F$10:$F$13))),"P",""))</f>
        <v/>
      </c>
      <c r="Q55" s="1" t="str">
        <f t="shared" si="5"/>
        <v/>
      </c>
      <c r="R55" s="4">
        <f t="shared" si="6"/>
        <v>18.399999999999999</v>
      </c>
      <c r="S55" s="4">
        <f t="shared" si="7"/>
        <v>0</v>
      </c>
      <c r="T55" s="32">
        <v>18.399999999999999</v>
      </c>
      <c r="U55" s="37">
        <v>1.2</v>
      </c>
      <c r="V55" s="37">
        <v>0</v>
      </c>
      <c r="W55" s="33"/>
      <c r="X55" s="37"/>
      <c r="Y55" s="37"/>
      <c r="Z55" s="32"/>
      <c r="AA55" s="37"/>
      <c r="AB55" s="37"/>
      <c r="AC55" s="33"/>
      <c r="AD55" s="37"/>
      <c r="AE55" s="37"/>
    </row>
    <row r="56" spans="1:31" x14ac:dyDescent="0.2">
      <c r="A56" s="1" t="str" cm="1">
        <f t="array" ref="A56">IF(I56="","",IF(P56&lt;&gt;"",SUMPRODUCT((P$3:P$57&lt;&gt;"")*(G$3:G$57=G56)*(J$3:J$57&gt;J56)*(I$3:I$57="P"))+1,IF(O56&lt;&gt;"",SUMPRODUCT((O$3:O$57&lt;&gt;"")*(P$3:P$57="")*(G$3:G$57=G56)*(J$3:J$57&gt;J56)*(I$3:I$57="P"))+SUMPRODUCT((P$3:P$57&lt;&gt;"")*(G$3:G$57=G56)*(I$3:I$57="P"))+1,IF(N56&lt;&gt;"",SUMPRODUCT((N$3:N$57&lt;&gt;"")*(G$3:G$57=G56)*(J$3:J$57&gt;J56)*(I$3:I$57="P"))+1,IF(M56="P",SUMPRODUCT((O$3:O$57&lt;&gt;"")*(P$3:P$57="")*(G$3:G$57=G56)*(I$3:I$57="P"))+SUMPRODUCT((P$3:P$57&lt;&gt;"")*(G$3:G$57=G56)*(I$3:I$57="P"))+SUMPRODUCT((N$3:N$57&lt;&gt;"")*(G$3:G$57=G56)*(I$3:I$57="P"))+SUMPRODUCT((P$3:P$57="")*(O$3:O$57="")*(N$3:N$57="")*(M$3:M$57="P")*(G$3:G$57=G56)*(J$3:J$57&gt;J56)*(I$3:I$57="P"))+IF(H56="L5",SUMPRODUCT((P$3:P$57="")*(O$3:O$57="")*(N$3:N$57="")*(M$3:M$57="P")*(G$3:G$57=G56)*(J$3:J$57&lt;J56)*(H$3:H$57&lt;&gt;H56)*(I$3:I$57="P")),-1*SUMPRODUCT((P$3:P$57="")*(O$3:O$57="")*(N$3:N$57="")*(M$3:M$57="P")*(G$3:G$57=G56)*(J$3:J$57&gt;J56)*(H$3:H$57="L5")*(I$3:I$57="P")))+1,"")))))</f>
        <v/>
      </c>
      <c r="B56" s="1" cm="1">
        <f t="array" ref="B56">IF(P56&lt;&gt;"",SUMPRODUCT((P$3:P$57&lt;&gt;"")*(G$3:G$57=G56)*(J$3:J$57&gt;J56))+1,IF(O56&lt;&gt;"",SUMPRODUCT((O$3:O$57&lt;&gt;"")*(P$3:P$57="")*(G$3:G$57=G56)*(J$3:J$57&gt;J56))+SUMPRODUCT((P$3:P$57&lt;&gt;"")*(G$3:G$57=G56))+1,IF(N56&lt;&gt;"",SUMPRODUCT((N$3:N$57&lt;&gt;"")*(G$3:G$57=G56)*(J$3:J$57&gt;J56))+1,IF(M56="P",SUMPRODUCT((O$3:O$57&lt;&gt;"")*(P$3:P$57="")*(G$3:G$57=G56))+SUMPRODUCT((P$3:P$57&lt;&gt;"")*(G$3:G$57=G56))+SUMPRODUCT((N$3:N$57&lt;&gt;"")*(G$3:G$57=G56))+SUMPRODUCT((P$3:P$57="")*(O$3:O$57="")*(N$3:N$57="")*(M$3:M$57="P")*(G$3:G$57=G56)*(J$3:J$57&gt;J56))+IF(H56="L5",SUMPRODUCT((P$3:P$57="")*(O$3:O$57="")*(N$3:N$57="")*(M$3:M$57="P")*(G$3:G$57=G56)*(J$3:J$57&lt;J56)*(H$3:H$57&lt;&gt;H56)),-1*SUMPRODUCT((P$3:P$57="")*(O$3:O$57="")*(N$3:N$57="")*(M$3:M$57="P")*(G$3:G$57=G56)*(J$3:J$57&gt;J56)*(H$3:H$57="L5")))+1,""))))</f>
        <v>1</v>
      </c>
      <c r="C56" s="35" t="s">
        <v>299</v>
      </c>
      <c r="D56" s="35" t="str">
        <f>IF(E56="","",VLOOKUP(E56,'Coaching Points'!A:B,2,0))</f>
        <v>BC</v>
      </c>
      <c r="E56" s="35" t="s">
        <v>60</v>
      </c>
      <c r="F56" s="34">
        <v>2012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11-12</v>
      </c>
      <c r="H56" s="36" t="s">
        <v>65</v>
      </c>
      <c r="I56" s="40"/>
      <c r="J56" s="4">
        <f t="shared" si="4"/>
        <v>46.200100000000006</v>
      </c>
      <c r="K56" s="3" t="str">
        <f>IF(G56="Not Age Eligible","",IF(MAX(T56,W56,Z56,AC56)&gt;=LOOKUP(G56,'Qualifying Scores'!$A$4:$A$7,'Qualifying Scores'!$F$4:$F$7),"P",""))</f>
        <v>P</v>
      </c>
      <c r="L56" s="3" t="str">
        <f>IF(G56="Not Age Eligible","",IF(MAX(U56,X56,AA56,AD56)&gt;=LOOKUP(G56,'Qualifying Scores'!$A$10:$A$13,'Qualifying Scores'!$F$10:$F$13),"P",""))</f>
        <v>P</v>
      </c>
      <c r="M56" s="3" t="str">
        <f>IF(G56="Not Age Eligible","",IF(OR(AND(T56&gt;=LOOKUP(G56,'Qualifying Scores'!$A$4:$A$7,'Qualifying Scores'!$F$4:$F$7),U56&gt;=LOOKUP(G56,'Qualifying Scores'!$A$10:$A$13,'Qualifying Scores'!$F$10:$F$13)),AND(Z56&gt;=LOOKUP(G56,'Qualifying Scores'!$A$4:$A$7,'Qualifying Scores'!$F$4:$F$7),AA56&gt;=LOOKUP(G56,'Qualifying Scores'!$A$10:$A$13,'Qualifying Scores'!$F$10:$F$13)),AND(W56&gt;=LOOKUP(G56,'Qualifying Scores'!$A$4:$A$7,'Qualifying Scores'!$F$4:$F$7),X56&gt;=LOOKUP(G56,'Qualifying Scores'!$A$10:$A$13,'Qualifying Scores'!$F$10:$F$13)),AND(AC56&gt;=LOOKUP(G56,'Qualifying Scores'!$A$4:$A$7,'Qualifying Scores'!$F$4:$F$7),AD56&gt;=LOOKUP(G56,'Qualifying Scores'!$A$10:$A$13,'Qualifying Scores'!$F$10:$F$13))),"P",""))</f>
        <v>P</v>
      </c>
      <c r="Q56" s="1" t="str">
        <f t="shared" si="5"/>
        <v/>
      </c>
      <c r="R56" s="4">
        <f t="shared" si="6"/>
        <v>46.2</v>
      </c>
      <c r="S56" s="4">
        <f t="shared" si="7"/>
        <v>46.1</v>
      </c>
      <c r="T56" s="32">
        <v>46.2</v>
      </c>
      <c r="U56" s="37">
        <v>10</v>
      </c>
      <c r="V56" s="37">
        <v>0</v>
      </c>
      <c r="W56" s="33">
        <v>46.1</v>
      </c>
      <c r="X56" s="37">
        <v>8.3000000000000007</v>
      </c>
      <c r="Y56" s="37">
        <v>0</v>
      </c>
      <c r="Z56" s="32"/>
      <c r="AA56" s="37"/>
      <c r="AB56" s="37"/>
      <c r="AC56" s="33"/>
      <c r="AD56" s="37"/>
      <c r="AE56" s="37"/>
    </row>
    <row r="57" spans="1:31" x14ac:dyDescent="0.2">
      <c r="B57" s="1"/>
      <c r="G57" s="1"/>
      <c r="H57" s="36"/>
      <c r="I57" s="40"/>
      <c r="J57" s="4"/>
      <c r="K57" s="3"/>
      <c r="L57" s="3"/>
      <c r="R57" s="4"/>
      <c r="S57" s="4"/>
      <c r="T57" s="32"/>
      <c r="U57" s="37"/>
      <c r="V57" s="37"/>
      <c r="W57" s="33"/>
      <c r="X57" s="37"/>
      <c r="Y57" s="37"/>
      <c r="Z57" s="32"/>
      <c r="AA57" s="37"/>
      <c r="AB57" s="37"/>
      <c r="AC57" s="33"/>
      <c r="AD57" s="37"/>
      <c r="AE57" s="37"/>
    </row>
    <row r="58" spans="1:31" x14ac:dyDescent="0.2">
      <c r="B58" s="1"/>
      <c r="G58" s="1"/>
      <c r="H58" s="36"/>
      <c r="I58" s="40"/>
      <c r="J58" s="4"/>
      <c r="K58" s="3"/>
      <c r="L58" s="3"/>
      <c r="R58" s="4"/>
      <c r="S58" s="4"/>
      <c r="T58" s="32"/>
      <c r="U58" s="37"/>
      <c r="V58" s="37"/>
      <c r="W58" s="33"/>
      <c r="X58" s="37"/>
      <c r="Y58" s="37"/>
      <c r="Z58" s="32"/>
      <c r="AA58" s="37"/>
      <c r="AB58" s="37"/>
      <c r="AC58" s="33"/>
      <c r="AD58" s="37"/>
      <c r="AE58" s="37"/>
    </row>
    <row r="59" spans="1:31" x14ac:dyDescent="0.2">
      <c r="B59" s="1"/>
      <c r="G59" s="1"/>
      <c r="H59" s="36"/>
      <c r="I59" s="40"/>
      <c r="J59" s="4"/>
      <c r="K59" s="3"/>
      <c r="L59" s="3"/>
      <c r="R59" s="4"/>
      <c r="S59" s="4"/>
      <c r="T59" s="32"/>
      <c r="U59" s="37"/>
      <c r="V59" s="37"/>
      <c r="W59" s="33"/>
      <c r="X59" s="37"/>
      <c r="Y59" s="37"/>
      <c r="Z59" s="32"/>
      <c r="AA59" s="37"/>
      <c r="AB59" s="37"/>
      <c r="AC59" s="33"/>
      <c r="AD59" s="37"/>
      <c r="AE59" s="37"/>
    </row>
    <row r="60" spans="1:31" x14ac:dyDescent="0.2">
      <c r="B60" s="1"/>
      <c r="G60" s="1"/>
      <c r="H60" s="36"/>
      <c r="I60" s="40"/>
      <c r="J60" s="4"/>
      <c r="K60" s="3"/>
      <c r="L60" s="3"/>
      <c r="R60" s="4"/>
      <c r="S60" s="4"/>
      <c r="T60" s="32"/>
      <c r="U60" s="37"/>
      <c r="V60" s="37"/>
      <c r="W60" s="33"/>
      <c r="X60" s="37"/>
      <c r="Y60" s="37"/>
      <c r="Z60" s="32"/>
      <c r="AA60" s="37"/>
      <c r="AB60" s="37"/>
      <c r="AC60" s="33"/>
      <c r="AD60" s="37"/>
      <c r="AE60" s="37"/>
    </row>
    <row r="61" spans="1:31" x14ac:dyDescent="0.2">
      <c r="B61" s="1"/>
      <c r="G61" s="1"/>
      <c r="H61" s="36"/>
      <c r="I61" s="40"/>
      <c r="J61" s="4"/>
      <c r="K61" s="3"/>
      <c r="L61" s="3"/>
      <c r="R61" s="4"/>
      <c r="S61" s="4"/>
      <c r="T61" s="32"/>
      <c r="U61" s="37"/>
      <c r="V61" s="37"/>
      <c r="W61" s="33"/>
      <c r="X61" s="37"/>
      <c r="Y61" s="37"/>
      <c r="Z61" s="32"/>
      <c r="AA61" s="37"/>
      <c r="AB61" s="37"/>
      <c r="AC61" s="33"/>
      <c r="AD61" s="37"/>
      <c r="AE61" s="37"/>
    </row>
    <row r="62" spans="1:31" x14ac:dyDescent="0.2">
      <c r="B62" s="1"/>
      <c r="G62" s="1"/>
      <c r="H62" s="36"/>
      <c r="I62" s="40"/>
      <c r="J62" s="4"/>
      <c r="K62" s="3"/>
      <c r="L62" s="3"/>
      <c r="R62" s="4"/>
      <c r="S62" s="4"/>
      <c r="T62" s="32"/>
      <c r="U62" s="37"/>
      <c r="V62" s="37"/>
      <c r="W62" s="33"/>
      <c r="X62" s="37"/>
      <c r="Y62" s="37"/>
      <c r="Z62" s="32"/>
      <c r="AA62" s="37"/>
      <c r="AB62" s="37"/>
      <c r="AC62" s="33"/>
      <c r="AD62" s="37"/>
      <c r="AE62" s="37"/>
    </row>
    <row r="63" spans="1:31" x14ac:dyDescent="0.2">
      <c r="B63" s="1"/>
      <c r="G63" s="1"/>
      <c r="H63" s="36"/>
      <c r="I63" s="40"/>
      <c r="J63" s="4"/>
      <c r="K63" s="3"/>
      <c r="L63" s="3"/>
      <c r="R63" s="4"/>
      <c r="S63" s="4"/>
      <c r="T63" s="32"/>
      <c r="U63" s="37"/>
      <c r="V63" s="37"/>
      <c r="W63" s="33"/>
      <c r="X63" s="37"/>
      <c r="Y63" s="37"/>
      <c r="Z63" s="32"/>
      <c r="AA63" s="37"/>
      <c r="AB63" s="37"/>
      <c r="AC63" s="33"/>
      <c r="AD63" s="37"/>
      <c r="AE63" s="37"/>
    </row>
    <row r="64" spans="1:31" x14ac:dyDescent="0.2">
      <c r="B64" s="1"/>
      <c r="G64" s="1"/>
      <c r="H64" s="36"/>
      <c r="I64" s="40"/>
      <c r="J64" s="4"/>
      <c r="K64" s="3"/>
      <c r="L64" s="3"/>
      <c r="R64" s="4"/>
      <c r="S64" s="4"/>
      <c r="T64" s="32"/>
      <c r="U64" s="37"/>
      <c r="V64" s="37"/>
      <c r="W64" s="33"/>
      <c r="X64" s="37"/>
      <c r="Y64" s="37"/>
      <c r="Z64" s="32"/>
      <c r="AA64" s="37"/>
      <c r="AB64" s="37"/>
      <c r="AC64" s="33"/>
      <c r="AD64" s="37"/>
      <c r="AE64" s="37"/>
    </row>
    <row r="65" spans="2:31" x14ac:dyDescent="0.2">
      <c r="B65" s="1"/>
      <c r="G65" s="1"/>
      <c r="H65" s="36"/>
      <c r="I65" s="40"/>
      <c r="J65" s="4"/>
      <c r="K65" s="3"/>
      <c r="L65" s="3"/>
      <c r="R65" s="4"/>
      <c r="S65" s="4"/>
      <c r="T65" s="32"/>
      <c r="U65" s="37"/>
      <c r="V65" s="37"/>
      <c r="W65" s="33"/>
      <c r="X65" s="37"/>
      <c r="Y65" s="37"/>
      <c r="Z65" s="32"/>
      <c r="AA65" s="37"/>
      <c r="AB65" s="37"/>
      <c r="AC65" s="33"/>
      <c r="AD65" s="37"/>
      <c r="AE65" s="37"/>
    </row>
    <row r="66" spans="2:31" x14ac:dyDescent="0.2">
      <c r="B66" s="1"/>
      <c r="G66" s="1"/>
      <c r="H66" s="36"/>
      <c r="I66" s="40"/>
      <c r="J66" s="4"/>
      <c r="K66" s="3"/>
      <c r="L66" s="3"/>
      <c r="R66" s="4"/>
      <c r="S66" s="4"/>
      <c r="T66" s="32"/>
      <c r="U66" s="37"/>
      <c r="V66" s="37"/>
      <c r="W66" s="33"/>
      <c r="X66" s="37"/>
      <c r="Y66" s="37"/>
      <c r="Z66" s="32"/>
      <c r="AA66" s="37"/>
      <c r="AB66" s="37"/>
      <c r="AC66" s="33"/>
      <c r="AD66" s="37"/>
      <c r="AE66" s="37"/>
    </row>
    <row r="67" spans="2:31" x14ac:dyDescent="0.2">
      <c r="B67" s="1"/>
      <c r="G67" s="1"/>
      <c r="H67" s="36"/>
      <c r="I67" s="40"/>
      <c r="J67" s="4"/>
      <c r="K67" s="3"/>
      <c r="L67" s="3"/>
      <c r="R67" s="4"/>
      <c r="S67" s="4"/>
      <c r="T67" s="32"/>
      <c r="U67" s="37"/>
      <c r="V67" s="37"/>
      <c r="W67" s="33"/>
      <c r="X67" s="37"/>
      <c r="Y67" s="37"/>
      <c r="Z67" s="32"/>
      <c r="AA67" s="37"/>
      <c r="AB67" s="37"/>
      <c r="AC67" s="33"/>
      <c r="AD67" s="37"/>
      <c r="AE67" s="37"/>
    </row>
    <row r="68" spans="2:31" x14ac:dyDescent="0.2">
      <c r="B68" s="1"/>
      <c r="G68" s="1"/>
      <c r="H68" s="36"/>
      <c r="I68" s="40"/>
      <c r="J68" s="4"/>
      <c r="K68" s="3"/>
      <c r="L68" s="3"/>
      <c r="R68" s="4"/>
      <c r="S68" s="4"/>
      <c r="T68" s="32"/>
      <c r="U68" s="37"/>
      <c r="V68" s="37"/>
      <c r="W68" s="33"/>
      <c r="X68" s="37"/>
      <c r="Y68" s="37"/>
      <c r="Z68" s="32"/>
      <c r="AA68" s="37"/>
      <c r="AB68" s="37"/>
      <c r="AC68" s="33"/>
      <c r="AD68" s="37"/>
      <c r="AE68" s="37"/>
    </row>
    <row r="69" spans="2:31" x14ac:dyDescent="0.2">
      <c r="B69" s="1"/>
      <c r="G69" s="1"/>
      <c r="H69" s="36"/>
      <c r="I69" s="40"/>
      <c r="J69" s="4"/>
      <c r="K69" s="3"/>
      <c r="L69" s="3"/>
      <c r="R69" s="4"/>
      <c r="S69" s="4"/>
      <c r="T69" s="32"/>
      <c r="U69" s="37"/>
      <c r="V69" s="37"/>
      <c r="W69" s="33"/>
      <c r="X69" s="37"/>
      <c r="Y69" s="37"/>
      <c r="Z69" s="32"/>
      <c r="AA69" s="37"/>
      <c r="AB69" s="37"/>
      <c r="AC69" s="33"/>
      <c r="AD69" s="37"/>
      <c r="AE69" s="37"/>
    </row>
    <row r="70" spans="2:31" x14ac:dyDescent="0.2">
      <c r="B70" s="1"/>
      <c r="G70" s="1"/>
      <c r="H70" s="36"/>
      <c r="I70" s="40"/>
      <c r="J70" s="4"/>
      <c r="K70" s="3"/>
      <c r="L70" s="3"/>
      <c r="R70" s="4"/>
      <c r="S70" s="4"/>
      <c r="T70" s="32"/>
      <c r="U70" s="37"/>
      <c r="V70" s="37"/>
      <c r="W70" s="33"/>
      <c r="X70" s="37"/>
      <c r="Y70" s="37"/>
      <c r="Z70" s="32"/>
      <c r="AA70" s="37"/>
      <c r="AB70" s="37"/>
      <c r="AC70" s="33"/>
      <c r="AD70" s="37"/>
      <c r="AE70" s="37"/>
    </row>
    <row r="71" spans="2:31" x14ac:dyDescent="0.2">
      <c r="B71" s="1"/>
      <c r="G71" s="1"/>
      <c r="H71" s="36"/>
      <c r="I71" s="40"/>
      <c r="J71" s="4"/>
      <c r="K71" s="3"/>
      <c r="L71" s="3"/>
      <c r="R71" s="4"/>
      <c r="S71" s="4"/>
      <c r="T71" s="32"/>
      <c r="U71" s="37"/>
      <c r="V71" s="37"/>
      <c r="W71" s="33"/>
      <c r="X71" s="37"/>
      <c r="Y71" s="37"/>
      <c r="Z71" s="32"/>
      <c r="AA71" s="37"/>
      <c r="AB71" s="37"/>
      <c r="AC71" s="33"/>
      <c r="AD71" s="37"/>
      <c r="AE71" s="37"/>
    </row>
    <row r="72" spans="2:31" x14ac:dyDescent="0.2">
      <c r="B72" s="1"/>
      <c r="G72" s="1"/>
      <c r="H72" s="36"/>
      <c r="I72" s="40"/>
      <c r="J72" s="4"/>
      <c r="K72" s="3"/>
      <c r="L72" s="3"/>
      <c r="R72" s="4"/>
      <c r="S72" s="4"/>
      <c r="T72" s="32"/>
      <c r="U72" s="37"/>
      <c r="V72" s="37"/>
      <c r="W72" s="33"/>
      <c r="X72" s="37"/>
      <c r="Y72" s="37"/>
      <c r="Z72" s="32"/>
      <c r="AA72" s="37"/>
      <c r="AB72" s="37"/>
      <c r="AC72" s="33"/>
      <c r="AD72" s="37"/>
      <c r="AE72" s="37"/>
    </row>
    <row r="73" spans="2:31" x14ac:dyDescent="0.2">
      <c r="B73" s="1"/>
      <c r="G73" s="1"/>
      <c r="H73" s="36"/>
      <c r="I73" s="40"/>
      <c r="J73" s="4"/>
      <c r="K73" s="3"/>
      <c r="L73" s="3"/>
      <c r="R73" s="4"/>
      <c r="S73" s="4"/>
      <c r="T73" s="32"/>
      <c r="U73" s="37"/>
      <c r="V73" s="37"/>
      <c r="W73" s="33"/>
      <c r="X73" s="37"/>
      <c r="Y73" s="37"/>
      <c r="Z73" s="32"/>
      <c r="AA73" s="37"/>
      <c r="AB73" s="37"/>
      <c r="AC73" s="33"/>
      <c r="AD73" s="37"/>
      <c r="AE73" s="37"/>
    </row>
    <row r="74" spans="2:31" x14ac:dyDescent="0.2">
      <c r="B74" s="1"/>
      <c r="G74" s="1"/>
      <c r="H74" s="36"/>
      <c r="I74" s="40"/>
      <c r="J74" s="4"/>
      <c r="K74" s="3"/>
      <c r="L74" s="3"/>
      <c r="R74" s="4"/>
      <c r="S74" s="4"/>
      <c r="T74" s="32"/>
      <c r="U74" s="37"/>
      <c r="V74" s="37"/>
      <c r="W74" s="33"/>
      <c r="X74" s="37"/>
      <c r="Y74" s="37"/>
      <c r="Z74" s="32"/>
      <c r="AA74" s="37"/>
      <c r="AB74" s="37"/>
      <c r="AC74" s="33"/>
      <c r="AD74" s="37"/>
      <c r="AE74" s="37"/>
    </row>
    <row r="75" spans="2:31" x14ac:dyDescent="0.2">
      <c r="B75" s="1"/>
      <c r="G75" s="1"/>
      <c r="H75" s="36"/>
      <c r="I75" s="40"/>
      <c r="J75" s="4"/>
      <c r="K75" s="3"/>
      <c r="L75" s="3"/>
      <c r="R75" s="4"/>
      <c r="S75" s="4"/>
      <c r="T75" s="32"/>
      <c r="U75" s="37"/>
      <c r="V75" s="37"/>
      <c r="W75" s="33"/>
      <c r="X75" s="37"/>
      <c r="Y75" s="37"/>
      <c r="Z75" s="32"/>
      <c r="AA75" s="37"/>
      <c r="AB75" s="37"/>
      <c r="AC75" s="33"/>
      <c r="AD75" s="37"/>
      <c r="AE75" s="37"/>
    </row>
    <row r="76" spans="2:31" x14ac:dyDescent="0.2">
      <c r="B76" s="1"/>
      <c r="G76" s="1"/>
      <c r="H76" s="36"/>
      <c r="I76" s="40"/>
      <c r="J76" s="4"/>
      <c r="K76" s="3"/>
      <c r="L76" s="3"/>
      <c r="R76" s="4"/>
      <c r="S76" s="4"/>
      <c r="T76" s="32"/>
      <c r="U76" s="37"/>
      <c r="V76" s="37"/>
      <c r="W76" s="33"/>
      <c r="X76" s="37"/>
      <c r="Y76" s="37"/>
      <c r="Z76" s="32"/>
      <c r="AA76" s="37"/>
      <c r="AB76" s="37"/>
      <c r="AC76" s="33"/>
      <c r="AD76" s="37"/>
      <c r="AE76" s="37"/>
    </row>
    <row r="77" spans="2:31" x14ac:dyDescent="0.2">
      <c r="B77" s="1"/>
      <c r="G77" s="1"/>
      <c r="H77" s="36"/>
      <c r="I77" s="40"/>
      <c r="J77" s="4"/>
      <c r="K77" s="3"/>
      <c r="L77" s="3"/>
      <c r="R77" s="4"/>
      <c r="S77" s="4"/>
      <c r="T77" s="32"/>
      <c r="U77" s="37"/>
      <c r="V77" s="37"/>
      <c r="W77" s="33"/>
      <c r="X77" s="37"/>
      <c r="Y77" s="37"/>
      <c r="Z77" s="32"/>
      <c r="AA77" s="37"/>
      <c r="AB77" s="37"/>
      <c r="AC77" s="33"/>
      <c r="AD77" s="37"/>
      <c r="AE77" s="37"/>
    </row>
    <row r="78" spans="2:31" x14ac:dyDescent="0.2">
      <c r="B78" s="1"/>
      <c r="G78" s="1"/>
      <c r="H78" s="36"/>
      <c r="I78" s="40"/>
      <c r="J78" s="4"/>
      <c r="K78" s="3"/>
      <c r="L78" s="3"/>
      <c r="R78" s="4"/>
      <c r="S78" s="4"/>
      <c r="T78" s="32"/>
      <c r="U78" s="37"/>
      <c r="V78" s="37"/>
      <c r="W78" s="33"/>
      <c r="X78" s="37"/>
      <c r="Y78" s="37"/>
      <c r="Z78" s="32"/>
      <c r="AA78" s="37"/>
      <c r="AB78" s="37"/>
      <c r="AC78" s="33"/>
      <c r="AD78" s="37"/>
      <c r="AE78" s="37"/>
    </row>
    <row r="79" spans="2:31" x14ac:dyDescent="0.2">
      <c r="B79" s="1"/>
      <c r="G79" s="1"/>
      <c r="H79" s="36"/>
      <c r="I79" s="40"/>
      <c r="J79" s="4"/>
      <c r="K79" s="3"/>
      <c r="L79" s="3"/>
      <c r="R79" s="4"/>
      <c r="S79" s="4"/>
      <c r="T79" s="32"/>
      <c r="U79" s="37"/>
      <c r="V79" s="37"/>
      <c r="W79" s="33"/>
      <c r="X79" s="37"/>
      <c r="Y79" s="37"/>
      <c r="Z79" s="32"/>
      <c r="AA79" s="37"/>
      <c r="AB79" s="37"/>
      <c r="AC79" s="33"/>
      <c r="AD79" s="37"/>
      <c r="AE79" s="37"/>
    </row>
  </sheetData>
  <sheetProtection sheet="1" formatCells="0" formatColumns="0" formatRows="0"/>
  <autoFilter ref="A1:AE56" xr:uid="{00000000-0001-0000-0600-000000000000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4:AE56">
      <sortCondition descending="1" ref="G1:G57"/>
    </sortState>
  </autoFilter>
  <mergeCells count="21">
    <mergeCell ref="K1:K2"/>
    <mergeCell ref="L1:L2"/>
    <mergeCell ref="M1:M2"/>
    <mergeCell ref="I1:I2"/>
    <mergeCell ref="H1:H2"/>
    <mergeCell ref="Z1:AE1"/>
    <mergeCell ref="T1:Y1"/>
    <mergeCell ref="A1:A2"/>
    <mergeCell ref="Q1:Q2"/>
    <mergeCell ref="R1:R2"/>
    <mergeCell ref="S1:S2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</mergeCells>
  <phoneticPr fontId="13" type="noConversion"/>
  <conditionalFormatting sqref="A1:T1 AF1:XFD1 Z1 A2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F229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5" bestFit="1" customWidth="1"/>
    <col min="4" max="4" width="8.6640625" style="35" bestFit="1" customWidth="1"/>
    <col min="5" max="5" width="18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66" t="s">
        <v>162</v>
      </c>
      <c r="B1" s="66" t="s">
        <v>161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160</v>
      </c>
      <c r="R1" s="66" t="s">
        <v>390</v>
      </c>
      <c r="S1" s="66" t="s">
        <v>391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388</v>
      </c>
      <c r="W2" s="7" t="s">
        <v>6</v>
      </c>
      <c r="X2" s="7" t="s">
        <v>8</v>
      </c>
      <c r="Y2" s="7" t="s">
        <v>389</v>
      </c>
      <c r="Z2" s="8" t="s">
        <v>52</v>
      </c>
      <c r="AA2" s="7" t="s">
        <v>53</v>
      </c>
      <c r="AB2" s="7" t="s">
        <v>388</v>
      </c>
      <c r="AC2" s="7" t="s">
        <v>6</v>
      </c>
      <c r="AD2" s="7" t="s">
        <v>8</v>
      </c>
      <c r="AE2" s="7" t="s">
        <v>389</v>
      </c>
      <c r="AF2" s="8"/>
    </row>
    <row r="3" spans="1:32" ht="17" thickTop="1" x14ac:dyDescent="0.2">
      <c r="A3" s="1" t="str" cm="1">
        <f t="array" ref="A3">IF(I3="","",IF(P3&lt;&gt;"",SUMPRODUCT((P$3:P$67&lt;&gt;"")*(G$3:G$67=G3)*(J$3:J$67&gt;J3)*(I$3:I$67="P"))+1,IF(O3&lt;&gt;"",SUMPRODUCT((O$3:O$67&lt;&gt;"")*(P$3:P$67="")*(G$3:G$67=G3)*(J$3:J$67&gt;J3)*(I$3:I$67="P"))+SUMPRODUCT((P$3:P$67&lt;&gt;"")*(G$3:G$67=G3)*(I$3:I$67="P"))+1,IF(N3&lt;&gt;"",SUMPRODUCT((N$3:N$67&lt;&gt;"")*(G$3:G$67=G3)*(J$3:J$67&gt;J3)*(I$3:I$67="P"))+1,IF(M3="P",SUMPRODUCT((O$3:O$67&lt;&gt;"")*(P$3:P$67="")*(G$3:G$67=G3)*(I$3:I$67="P"))+SUMPRODUCT((P$3:P$67&lt;&gt;"")*(G$3:G$67=G3)*(I$3:I$67="P"))+SUMPRODUCT((N$3:N$67&lt;&gt;"")*(G$3:G$67=G3)*(I$3:I$67="P"))+SUMPRODUCT((P$3:P$67="")*(O$3:O$67="")*(N$3:N$67="")*(M$3:M$67="P")*(G$3:G$67=G3)*(J$3:J$67&gt;J3)*(I$3:I$67="P"))+IF(H3="L5",SUMPRODUCT((P$3:P$67="")*(O$3:O$67="")*(N$3:N$67="")*(M$3:M$67="P")*(G$3:G$67=G3)*(J$3:J$67&lt;J3)*(H$3:H$67&lt;&gt;H3)*(I$3:I$67="P")),-1*SUMPRODUCT((P$3:P$67="")*(O$3:O$67="")*(N$3:N$67="")*(M$3:M$67="P")*(G$3:G$67=G3)*(J$3:J$67&gt;J3)*(H$3:H$67="L5")*(I$3:I$67="P")))+1,"")))))</f>
        <v/>
      </c>
      <c r="B3" s="1" cm="1">
        <f t="array" ref="B3">IF(P3&lt;&gt;"",SUMPRODUCT((P$3:P$67&lt;&gt;"")*(G$3:G$67=G3)*(J$3:J$67&gt;J3))+1,IF(O3&lt;&gt;"",SUMPRODUCT((O$3:O$67&lt;&gt;"")*(P$3:P$67="")*(G$3:G$67=G3)*(J$3:J$67&gt;J3))+SUMPRODUCT((P$3:P$67&lt;&gt;"")*(G$3:G$67=G3))+1,IF(N3&lt;&gt;"",SUMPRODUCT((N$3:N$67&lt;&gt;"")*(G$3:G$67=G3)*(J$3:J$67&gt;J3))+1,IF(M3="P",SUMPRODUCT((O$3:O$67&lt;&gt;"")*(P$3:P$67="")*(G$3:G$67=G3))+SUMPRODUCT((P$3:P$67&lt;&gt;"")*(G$3:G$67=G3))+SUMPRODUCT((N$3:N$67&lt;&gt;"")*(G$3:G$67=G3))+SUMPRODUCT((P$3:P$67="")*(O$3:O$67="")*(N$3:N$67="")*(M$3:M$67="P")*(G$3:G$67=G3)*(J$3:J$67&gt;J3))+IF(H3="L5",SUMPRODUCT((P$3:P$67="")*(O$3:O$67="")*(N$3:N$67="")*(M$3:M$67="P")*(G$3:G$67=G3)*(J$3:J$67&lt;J3)*(H$3:H$67&lt;&gt;H3)),-1*SUMPRODUCT((P$3:P$67="")*(O$3:O$67="")*(N$3:N$67="")*(M$3:M$67="P")*(G$3:G$67=G3)*(J$3:J$67&gt;J3)*(H$3:H$67="L5")))+1,""))))</f>
        <v>1</v>
      </c>
      <c r="C3" s="35" t="s">
        <v>125</v>
      </c>
      <c r="D3" s="35" t="str">
        <f>IF(E3="","",VLOOKUP(E3,'Coaching Points'!A:B,2,0))</f>
        <v>BC</v>
      </c>
      <c r="E3" s="35" t="s">
        <v>44</v>
      </c>
      <c r="F3" s="34">
        <v>2007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72</v>
      </c>
      <c r="I3" s="40"/>
      <c r="J3" s="4">
        <f t="shared" ref="J3:J34" si="0">R3+IF(OR(H3="Junior",H3="Senior"),0.0002,IF(OR(H3="L7",H3="L6"),0.0001,0))+MAX(Z3,AC3)*0.0000001</f>
        <v>51.200200000000002</v>
      </c>
      <c r="K3" s="3" t="str">
        <f>IF(G3="Not Age Eligible","",IF(MAX(T3,W3,Z3,AC3)&gt;=LOOKUP(G3,'Qualifying Scores'!$A$4:$A$7,'Qualifying Scores'!$G$4:$G$7),"P",""))</f>
        <v>P</v>
      </c>
      <c r="L3" s="3" t="str">
        <f>IF(G3="Not Age Eligible","",IF(MAX(U3,X3,AA3,AD3)&gt;=LOOKUP(G3,'Qualifying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Scores'!$G$10:$G$13)),AND(Z3&gt;=LOOKUP(G3,'Qualifying Scores'!$A$4:$A$7,'Qualifying Scores'!$G$4:$G$7),AA3&gt;=LOOKUP(G3,'Qualifying Scores'!$A$10:$A$13,'Qualifying Scores'!$G$10:$G$13)),AND(W3&gt;=LOOKUP(G3,'Qualifying Scores'!$A$4:$A$7,'Qualifying Scores'!$G$4:$G$7),X3&gt;=LOOKUP(G3,'Qualifying Scores'!$A$10:$A$13,'Qualifying Scores'!$G$10:$G$13)),AND(AC3&gt;=LOOKUP(G3,'Qualifying Scores'!$A$4:$A$7,'Qualifying Scores'!$G$4:$G$7),AD3&gt;=LOOKUP(G3,'Qualifying Scores'!$A$10:$A$13,'Qualifying Scores'!$G$10:$G$13))),"P",""))</f>
        <v>P</v>
      </c>
      <c r="P3" s="36">
        <v>2</v>
      </c>
      <c r="Q3" s="1" t="str">
        <f t="shared" ref="Q3:Q34" si="1">IF(A3&lt;5,IF(_xlfn.MAXIFS(A:A,G:G,G3)&gt;3,5-A3,_xlfn.MAXIFS(A:A,G:G,G3)+1-A3),"")</f>
        <v/>
      </c>
      <c r="R3" s="4">
        <f t="shared" ref="R3:R34" si="2">MAX(T3-V3,W3-Y3,Z3-AB3,AC3-AE3)</f>
        <v>51.2</v>
      </c>
      <c r="S3" s="4">
        <f t="shared" ref="S3:S34" si="3">IF(R3=T3-V3,MAX(W3-Y3,Z3-AB3,AC3-AE3),IF(R3=W3-Y3,MAX(T3-V3,Z3-AB3,AC3-AE3),IF(R3=Z3-AB3,MAX(T3-V3,W3-Y3,AC3-AE3),IF(R3=AC3-AE3,MAX(T3-V3,W3-Y3,Z3-AB3),0))))</f>
        <v>50</v>
      </c>
      <c r="T3" s="32">
        <v>50.3</v>
      </c>
      <c r="U3" s="37">
        <v>13.2</v>
      </c>
      <c r="V3" s="37">
        <v>0.3</v>
      </c>
      <c r="W3" s="33">
        <v>51.5</v>
      </c>
      <c r="X3" s="37">
        <v>13.2</v>
      </c>
      <c r="Y3" s="37">
        <v>0.3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$67&lt;&gt;"")*(G$3:G$67=G4)*(J$3:J$67&gt;J4)*(I$3:I$67="P"))+1,IF(O4&lt;&gt;"",SUMPRODUCT((O$3:O$67&lt;&gt;"")*(P$3:P$67="")*(G$3:G$67=G4)*(J$3:J$67&gt;J4)*(I$3:I$67="P"))+SUMPRODUCT((P$3:P$67&lt;&gt;"")*(G$3:G$67=G4)*(I$3:I$67="P"))+1,IF(N4&lt;&gt;"",SUMPRODUCT((N$3:N$67&lt;&gt;"")*(G$3:G$67=G4)*(J$3:J$67&gt;J4)*(I$3:I$67="P"))+1,IF(M4="P",SUMPRODUCT((O$3:O$67&lt;&gt;"")*(P$3:P$67="")*(G$3:G$67=G4)*(I$3:I$67="P"))+SUMPRODUCT((P$3:P$67&lt;&gt;"")*(G$3:G$67=G4)*(I$3:I$67="P"))+SUMPRODUCT((N$3:N$67&lt;&gt;"")*(G$3:G$67=G4)*(I$3:I$67="P"))+SUMPRODUCT((P$3:P$67="")*(O$3:O$67="")*(N$3:N$67="")*(M$3:M$67="P")*(G$3:G$67=G4)*(J$3:J$67&gt;J4)*(I$3:I$67="P"))+IF(H4="L5",SUMPRODUCT((P$3:P$67="")*(O$3:O$67="")*(N$3:N$67="")*(M$3:M$67="P")*(G$3:G$67=G4)*(J$3:J$67&lt;J4)*(H$3:H$67&lt;&gt;H4)*(I$3:I$67="P")),-1*SUMPRODUCT((P$3:P$67="")*(O$3:O$67="")*(N$3:N$67="")*(M$3:M$67="P")*(G$3:G$67=G4)*(J$3:J$67&gt;J4)*(H$3:H$67="L5")*(I$3:I$67="P")))+1,"")))))</f>
        <v/>
      </c>
      <c r="B4" s="1" cm="1">
        <f t="array" ref="B4">IF(P4&lt;&gt;"",SUMPRODUCT((P$3:P$67&lt;&gt;"")*(G$3:G$67=G4)*(J$3:J$67&gt;J4))+1,IF(O4&lt;&gt;"",SUMPRODUCT((O$3:O$67&lt;&gt;"")*(P$3:P$67="")*(G$3:G$67=G4)*(J$3:J$67&gt;J4))+SUMPRODUCT((P$3:P$67&lt;&gt;"")*(G$3:G$67=G4))+1,IF(N4&lt;&gt;"",SUMPRODUCT((N$3:N$67&lt;&gt;"")*(G$3:G$67=G4)*(J$3:J$67&gt;J4))+1,IF(M4="P",SUMPRODUCT((O$3:O$67&lt;&gt;"")*(P$3:P$67="")*(G$3:G$67=G4))+SUMPRODUCT((P$3:P$67&lt;&gt;"")*(G$3:G$67=G4))+SUMPRODUCT((N$3:N$67&lt;&gt;"")*(G$3:G$67=G4))+SUMPRODUCT((P$3:P$67="")*(O$3:O$67="")*(N$3:N$67="")*(M$3:M$67="P")*(G$3:G$67=G4)*(J$3:J$67&gt;J4))+IF(H4="L5",SUMPRODUCT((P$3:P$67="")*(O$3:O$67="")*(N$3:N$67="")*(M$3:M$67="P")*(G$3:G$67=G4)*(J$3:J$67&lt;J4)*(H$3:H$67&lt;&gt;H4)),-1*SUMPRODUCT((P$3:P$67="")*(O$3:O$67="")*(N$3:N$67="")*(M$3:M$67="P")*(G$3:G$67=G4)*(J$3:J$67&gt;J4)*(H$3:H$67="L5")))+1,""))))</f>
        <v>2</v>
      </c>
      <c r="C4" s="35" t="s">
        <v>233</v>
      </c>
      <c r="D4" s="35" t="str">
        <f>IF(E4="","",VLOOKUP(E4,'Coaching Points'!A:B,2,0))</f>
        <v>AB</v>
      </c>
      <c r="E4" s="35" t="s">
        <v>28</v>
      </c>
      <c r="F4" s="34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72</v>
      </c>
      <c r="I4" s="40"/>
      <c r="J4" s="4">
        <f t="shared" si="0"/>
        <v>44.5002</v>
      </c>
      <c r="K4" s="3" t="str">
        <f>IF(G4="Not Age Eligible","",IF(MAX(T4,W4,Z4,AC4)&gt;=LOOKUP(G4,'Qualifying Scores'!$A$4:$A$7,'Qualifying Scores'!$G$4:$G$7),"P",""))</f>
        <v/>
      </c>
      <c r="L4" s="3" t="str">
        <f>IF(G4="Not Age Eligible","",IF(MAX(U4,X4,AA4,AD4)&gt;=LOOKUP(G4,'Qualifying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Scores'!$G$10:$G$13)),AND(Z4&gt;=LOOKUP(G4,'Qualifying Scores'!$A$4:$A$7,'Qualifying Scores'!$G$4:$G$7),AA4&gt;=LOOKUP(G4,'Qualifying Scores'!$A$10:$A$13,'Qualifying Scores'!$G$10:$G$13)),AND(W4&gt;=LOOKUP(G4,'Qualifying Scores'!$A$4:$A$7,'Qualifying Scores'!$G$4:$G$7),X4&gt;=LOOKUP(G4,'Qualifying Scores'!$A$10:$A$13,'Qualifying Scores'!$G$10:$G$13)),AND(AC4&gt;=LOOKUP(G4,'Qualifying Scores'!$A$4:$A$7,'Qualifying Scores'!$G$4:$G$7),AD4&gt;=LOOKUP(G4,'Qualifying Scores'!$A$10:$A$13,'Qualifying Scores'!$G$10:$G$13))),"P",""))</f>
        <v/>
      </c>
      <c r="P4" s="36">
        <v>4</v>
      </c>
      <c r="Q4" s="1" t="str">
        <f t="shared" si="1"/>
        <v/>
      </c>
      <c r="R4" s="4">
        <f t="shared" si="2"/>
        <v>44.5</v>
      </c>
      <c r="S4" s="4">
        <f t="shared" si="3"/>
        <v>43.9</v>
      </c>
      <c r="T4" s="32">
        <v>43.9</v>
      </c>
      <c r="U4" s="37">
        <v>8.8000000000000007</v>
      </c>
      <c r="V4" s="37">
        <v>0</v>
      </c>
      <c r="W4" s="33">
        <v>44.8</v>
      </c>
      <c r="X4" s="37">
        <v>10.8</v>
      </c>
      <c r="Y4" s="37">
        <v>0.3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$67&lt;&gt;"")*(G$3:G$67=G5)*(J$3:J$67&gt;J5)*(I$3:I$67="P"))+1,IF(O5&lt;&gt;"",SUMPRODUCT((O$3:O$67&lt;&gt;"")*(P$3:P$67="")*(G$3:G$67=G5)*(J$3:J$67&gt;J5)*(I$3:I$67="P"))+SUMPRODUCT((P$3:P$67&lt;&gt;"")*(G$3:G$67=G5)*(I$3:I$67="P"))+1,IF(N5&lt;&gt;"",SUMPRODUCT((N$3:N$67&lt;&gt;"")*(G$3:G$67=G5)*(J$3:J$67&gt;J5)*(I$3:I$67="P"))+1,IF(M5="P",SUMPRODUCT((O$3:O$67&lt;&gt;"")*(P$3:P$67="")*(G$3:G$67=G5)*(I$3:I$67="P"))+SUMPRODUCT((P$3:P$67&lt;&gt;"")*(G$3:G$67=G5)*(I$3:I$67="P"))+SUMPRODUCT((N$3:N$67&lt;&gt;"")*(G$3:G$67=G5)*(I$3:I$67="P"))+SUMPRODUCT((P$3:P$67="")*(O$3:O$67="")*(N$3:N$67="")*(M$3:M$67="P")*(G$3:G$67=G5)*(J$3:J$67&gt;J5)*(I$3:I$67="P"))+IF(H5="L5",SUMPRODUCT((P$3:P$67="")*(O$3:O$67="")*(N$3:N$67="")*(M$3:M$67="P")*(G$3:G$67=G5)*(J$3:J$67&lt;J5)*(H$3:H$67&lt;&gt;H5)*(I$3:I$67="P")),-1*SUMPRODUCT((P$3:P$67="")*(O$3:O$67="")*(N$3:N$67="")*(M$3:M$67="P")*(G$3:G$67=G5)*(J$3:J$67&gt;J5)*(H$3:H$67="L5")*(I$3:I$67="P")))+1,"")))))</f>
        <v/>
      </c>
      <c r="B5" s="1" cm="1">
        <f t="array" ref="B5">IF(P5&lt;&gt;"",SUMPRODUCT((P$3:P$67&lt;&gt;"")*(G$3:G$67=G5)*(J$3:J$67&gt;J5))+1,IF(O5&lt;&gt;"",SUMPRODUCT((O$3:O$67&lt;&gt;"")*(P$3:P$67="")*(G$3:G$67=G5)*(J$3:J$67&gt;J5))+SUMPRODUCT((P$3:P$67&lt;&gt;"")*(G$3:G$67=G5))+1,IF(N5&lt;&gt;"",SUMPRODUCT((N$3:N$67&lt;&gt;"")*(G$3:G$67=G5)*(J$3:J$67&gt;J5))+1,IF(M5="P",SUMPRODUCT((O$3:O$67&lt;&gt;"")*(P$3:P$67="")*(G$3:G$67=G5))+SUMPRODUCT((P$3:P$67&lt;&gt;"")*(G$3:G$67=G5))+SUMPRODUCT((N$3:N$67&lt;&gt;"")*(G$3:G$67=G5))+SUMPRODUCT((P$3:P$67="")*(O$3:O$67="")*(N$3:N$67="")*(M$3:M$67="P")*(G$3:G$67=G5)*(J$3:J$67&gt;J5))+IF(H5="L5",SUMPRODUCT((P$3:P$67="")*(O$3:O$67="")*(N$3:N$67="")*(M$3:M$67="P")*(G$3:G$67=G5)*(J$3:J$67&lt;J5)*(H$3:H$67&lt;&gt;H5)),-1*SUMPRODUCT((P$3:P$67="")*(O$3:O$67="")*(N$3:N$67="")*(M$3:M$67="P")*(G$3:G$67=G5)*(J$3:J$67&gt;J5)*(H$3:H$67="L5")))+1,""))))</f>
        <v>3</v>
      </c>
      <c r="C5" s="35" t="s">
        <v>129</v>
      </c>
      <c r="D5" s="35" t="str">
        <f>IF(E5="","",VLOOKUP(E5,'Coaching Points'!A:B,2,0))</f>
        <v>BC</v>
      </c>
      <c r="E5" s="35" t="s">
        <v>40</v>
      </c>
      <c r="F5" s="34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72</v>
      </c>
      <c r="I5" s="40"/>
      <c r="J5" s="4">
        <f t="shared" si="0"/>
        <v>49.400200000000005</v>
      </c>
      <c r="K5" s="3" t="str">
        <f>IF(G5="Not Age Eligible","",IF(MAX(T5,W5,Z5,AC5)&gt;=LOOKUP(G5,'Qualifying Scores'!$A$4:$A$7,'Qualifying Scores'!$G$4:$G$7),"P",""))</f>
        <v>P</v>
      </c>
      <c r="L5" s="3" t="str">
        <f>IF(G5="Not Age Eligible","",IF(MAX(U5,X5,AA5,AD5)&gt;=LOOKUP(G5,'Qualifying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Scores'!$G$10:$G$13)),AND(Z5&gt;=LOOKUP(G5,'Qualifying Scores'!$A$4:$A$7,'Qualifying Scores'!$G$4:$G$7),AA5&gt;=LOOKUP(G5,'Qualifying Scores'!$A$10:$A$13,'Qualifying Scores'!$G$10:$G$13)),AND(W5&gt;=LOOKUP(G5,'Qualifying Scores'!$A$4:$A$7,'Qualifying Scores'!$G$4:$G$7),X5&gt;=LOOKUP(G5,'Qualifying Scores'!$A$10:$A$13,'Qualifying Scores'!$G$10:$G$13)),AND(AC5&gt;=LOOKUP(G5,'Qualifying Scores'!$A$4:$A$7,'Qualifying Scores'!$G$4:$G$7),AD5&gt;=LOOKUP(G5,'Qualifying Scores'!$A$10:$A$13,'Qualifying Scores'!$G$10:$G$13))),"P",""))</f>
        <v>P</v>
      </c>
      <c r="O5" s="36">
        <v>1</v>
      </c>
      <c r="Q5" s="1" t="str">
        <f t="shared" si="1"/>
        <v/>
      </c>
      <c r="R5" s="4">
        <f t="shared" si="2"/>
        <v>49.400000000000006</v>
      </c>
      <c r="S5" s="4">
        <f t="shared" si="3"/>
        <v>47.2</v>
      </c>
      <c r="T5" s="32">
        <v>49.7</v>
      </c>
      <c r="U5" s="37">
        <v>13.2</v>
      </c>
      <c r="V5" s="37">
        <v>0.3</v>
      </c>
      <c r="W5" s="33">
        <v>47.5</v>
      </c>
      <c r="X5" s="37">
        <v>11.6</v>
      </c>
      <c r="Y5" s="37">
        <v>0.3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$67&lt;&gt;"")*(G$3:G$67=G6)*(J$3:J$67&gt;J6)*(I$3:I$67="P"))+1,IF(O6&lt;&gt;"",SUMPRODUCT((O$3:O$67&lt;&gt;"")*(P$3:P$67="")*(G$3:G$67=G6)*(J$3:J$67&gt;J6)*(I$3:I$67="P"))+SUMPRODUCT((P$3:P$67&lt;&gt;"")*(G$3:G$67=G6)*(I$3:I$67="P"))+1,IF(N6&lt;&gt;"",SUMPRODUCT((N$3:N$67&lt;&gt;"")*(G$3:G$67=G6)*(J$3:J$67&gt;J6)*(I$3:I$67="P"))+1,IF(M6="P",SUMPRODUCT((O$3:O$67&lt;&gt;"")*(P$3:P$67="")*(G$3:G$67=G6)*(I$3:I$67="P"))+SUMPRODUCT((P$3:P$67&lt;&gt;"")*(G$3:G$67=G6)*(I$3:I$67="P"))+SUMPRODUCT((N$3:N$67&lt;&gt;"")*(G$3:G$67=G6)*(I$3:I$67="P"))+SUMPRODUCT((P$3:P$67="")*(O$3:O$67="")*(N$3:N$67="")*(M$3:M$67="P")*(G$3:G$67=G6)*(J$3:J$67&gt;J6)*(I$3:I$67="P"))+IF(H6="L5",SUMPRODUCT((P$3:P$67="")*(O$3:O$67="")*(N$3:N$67="")*(M$3:M$67="P")*(G$3:G$67=G6)*(J$3:J$67&lt;J6)*(H$3:H$67&lt;&gt;H6)*(I$3:I$67="P")),-1*SUMPRODUCT((P$3:P$67="")*(O$3:O$67="")*(N$3:N$67="")*(M$3:M$67="P")*(G$3:G$67=G6)*(J$3:J$67&gt;J6)*(H$3:H$67="L5")*(I$3:I$67="P")))+1,"")))))</f>
        <v/>
      </c>
      <c r="B6" s="1" cm="1">
        <f t="array" ref="B6">IF(P6&lt;&gt;"",SUMPRODUCT((P$3:P$67&lt;&gt;"")*(G$3:G$67=G6)*(J$3:J$67&gt;J6))+1,IF(O6&lt;&gt;"",SUMPRODUCT((O$3:O$67&lt;&gt;"")*(P$3:P$67="")*(G$3:G$67=G6)*(J$3:J$67&gt;J6))+SUMPRODUCT((P$3:P$67&lt;&gt;"")*(G$3:G$67=G6))+1,IF(N6&lt;&gt;"",SUMPRODUCT((N$3:N$67&lt;&gt;"")*(G$3:G$67=G6)*(J$3:J$67&gt;J6))+1,IF(M6="P",SUMPRODUCT((O$3:O$67&lt;&gt;"")*(P$3:P$67="")*(G$3:G$67=G6))+SUMPRODUCT((P$3:P$67&lt;&gt;"")*(G$3:G$67=G6))+SUMPRODUCT((N$3:N$67&lt;&gt;"")*(G$3:G$67=G6))+SUMPRODUCT((P$3:P$67="")*(O$3:O$67="")*(N$3:N$67="")*(M$3:M$67="P")*(G$3:G$67=G6)*(J$3:J$67&gt;J6))+IF(H6="L5",SUMPRODUCT((P$3:P$67="")*(O$3:O$67="")*(N$3:N$67="")*(M$3:M$67="P")*(G$3:G$67=G6)*(J$3:J$67&lt;J6)*(H$3:H$67&lt;&gt;H6)),-1*SUMPRODUCT((P$3:P$67="")*(O$3:O$67="")*(N$3:N$67="")*(M$3:M$67="P")*(G$3:G$67=G6)*(J$3:J$67&gt;J6)*(H$3:H$67="L5")))+1,""))))</f>
        <v>4</v>
      </c>
      <c r="C6" s="35" t="s">
        <v>231</v>
      </c>
      <c r="D6" s="35" t="str">
        <f>IF(E6="","",VLOOKUP(E6,'Coaching Points'!A:B,2,0))</f>
        <v>AB</v>
      </c>
      <c r="E6" s="35" t="s">
        <v>61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72</v>
      </c>
      <c r="I6" s="40"/>
      <c r="J6" s="4">
        <f t="shared" si="0"/>
        <v>47.0002</v>
      </c>
      <c r="K6" s="3" t="str">
        <f>IF(G6="Not Age Eligible","",IF(MAX(T6,W6,Z6,AC6)&gt;=LOOKUP(G6,'Qualifying Scores'!$A$4:$A$7,'Qualifying Scores'!$G$4:$G$7),"P",""))</f>
        <v>P</v>
      </c>
      <c r="L6" s="3" t="str">
        <f>IF(G6="Not Age Eligible","",IF(MAX(U6,X6,AA6,AD6)&gt;=LOOKUP(G6,'Qualifying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Scores'!$G$10:$G$13)),AND(Z6&gt;=LOOKUP(G6,'Qualifying Scores'!$A$4:$A$7,'Qualifying Scores'!$G$4:$G$7),AA6&gt;=LOOKUP(G6,'Qualifying Scores'!$A$10:$A$13,'Qualifying Scores'!$G$10:$G$13)),AND(W6&gt;=LOOKUP(G6,'Qualifying Scores'!$A$4:$A$7,'Qualifying Scores'!$G$4:$G$7),X6&gt;=LOOKUP(G6,'Qualifying Scores'!$A$10:$A$13,'Qualifying Scores'!$G$10:$G$13)),AND(AC6&gt;=LOOKUP(G6,'Qualifying Scores'!$A$4:$A$7,'Qualifying Scores'!$G$4:$G$7),AD6&gt;=LOOKUP(G6,'Qualifying Scores'!$A$10:$A$13,'Qualifying Scores'!$G$10:$G$13))),"P",""))</f>
        <v>P</v>
      </c>
      <c r="O6" s="36">
        <v>2</v>
      </c>
      <c r="Q6" s="1" t="str">
        <f t="shared" si="1"/>
        <v/>
      </c>
      <c r="R6" s="4">
        <f t="shared" si="2"/>
        <v>47</v>
      </c>
      <c r="S6" s="4">
        <f t="shared" si="3"/>
        <v>24.4</v>
      </c>
      <c r="T6" s="32">
        <v>24.7</v>
      </c>
      <c r="U6" s="37">
        <v>6.8</v>
      </c>
      <c r="V6" s="37">
        <v>0.3</v>
      </c>
      <c r="W6" s="33">
        <v>47.3</v>
      </c>
      <c r="X6" s="37">
        <v>13.2</v>
      </c>
      <c r="Y6" s="37">
        <v>0.3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$67&lt;&gt;"")*(G$3:G$67=G7)*(J$3:J$67&gt;J7)*(I$3:I$67="P"))+1,IF(O7&lt;&gt;"",SUMPRODUCT((O$3:O$67&lt;&gt;"")*(P$3:P$67="")*(G$3:G$67=G7)*(J$3:J$67&gt;J7)*(I$3:I$67="P"))+SUMPRODUCT((P$3:P$67&lt;&gt;"")*(G$3:G$67=G7)*(I$3:I$67="P"))+1,IF(N7&lt;&gt;"",SUMPRODUCT((N$3:N$67&lt;&gt;"")*(G$3:G$67=G7)*(J$3:J$67&gt;J7)*(I$3:I$67="P"))+1,IF(M7="P",SUMPRODUCT((O$3:O$67&lt;&gt;"")*(P$3:P$67="")*(G$3:G$67=G7)*(I$3:I$67="P"))+SUMPRODUCT((P$3:P$67&lt;&gt;"")*(G$3:G$67=G7)*(I$3:I$67="P"))+SUMPRODUCT((N$3:N$67&lt;&gt;"")*(G$3:G$67=G7)*(I$3:I$67="P"))+SUMPRODUCT((P$3:P$67="")*(O$3:O$67="")*(N$3:N$67="")*(M$3:M$67="P")*(G$3:G$67=G7)*(J$3:J$67&gt;J7)*(I$3:I$67="P"))+IF(H7="L5",SUMPRODUCT((P$3:P$67="")*(O$3:O$67="")*(N$3:N$67="")*(M$3:M$67="P")*(G$3:G$67=G7)*(J$3:J$67&lt;J7)*(H$3:H$67&lt;&gt;H7)*(I$3:I$67="P")),-1*SUMPRODUCT((P$3:P$67="")*(O$3:O$67="")*(N$3:N$67="")*(M$3:M$67="P")*(G$3:G$67=G7)*(J$3:J$67&gt;J7)*(H$3:H$67="L5")*(I$3:I$67="P")))+1,"")))))</f>
        <v/>
      </c>
      <c r="B7" s="1" cm="1">
        <f t="array" ref="B7">IF(P7&lt;&gt;"",SUMPRODUCT((P$3:P$67&lt;&gt;"")*(G$3:G$67=G7)*(J$3:J$67&gt;J7))+1,IF(O7&lt;&gt;"",SUMPRODUCT((O$3:O$67&lt;&gt;"")*(P$3:P$67="")*(G$3:G$67=G7)*(J$3:J$67&gt;J7))+SUMPRODUCT((P$3:P$67&lt;&gt;"")*(G$3:G$67=G7))+1,IF(N7&lt;&gt;"",SUMPRODUCT((N$3:N$67&lt;&gt;"")*(G$3:G$67=G7)*(J$3:J$67&gt;J7))+1,IF(M7="P",SUMPRODUCT((O$3:O$67&lt;&gt;"")*(P$3:P$67="")*(G$3:G$67=G7))+SUMPRODUCT((P$3:P$67&lt;&gt;"")*(G$3:G$67=G7))+SUMPRODUCT((N$3:N$67&lt;&gt;"")*(G$3:G$67=G7))+SUMPRODUCT((P$3:P$67="")*(O$3:O$67="")*(N$3:N$67="")*(M$3:M$67="P")*(G$3:G$67=G7)*(J$3:J$67&gt;J7))+IF(H7="L5",SUMPRODUCT((P$3:P$67="")*(O$3:O$67="")*(N$3:N$67="")*(M$3:M$67="P")*(G$3:G$67=G7)*(J$3:J$67&lt;J7)*(H$3:H$67&lt;&gt;H7)),-1*SUMPRODUCT((P$3:P$67="")*(O$3:O$67="")*(N$3:N$67="")*(M$3:M$67="P")*(G$3:G$67=G7)*(J$3:J$67&gt;J7)*(H$3:H$67="L5")))+1,""))))</f>
        <v>5</v>
      </c>
      <c r="C7" s="35" t="s">
        <v>119</v>
      </c>
      <c r="D7" s="35" t="str">
        <f>IF(E7="","",VLOOKUP(E7,'Coaching Points'!A:B,2,0))</f>
        <v>SK</v>
      </c>
      <c r="E7" s="35" t="s">
        <v>329</v>
      </c>
      <c r="F7" s="34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66</v>
      </c>
      <c r="I7" s="40"/>
      <c r="J7" s="4">
        <f t="shared" si="0"/>
        <v>46.300100000000008</v>
      </c>
      <c r="K7" s="3" t="str">
        <f>IF(G7="Not Age Eligible","",IF(MAX(T7,W7,Z7,AC7)&gt;=LOOKUP(G7,'Qualifying Scores'!$A$4:$A$7,'Qualifying Scores'!$G$4:$G$7),"P",""))</f>
        <v>P</v>
      </c>
      <c r="L7" s="3" t="str">
        <f>IF(G7="Not Age Eligible","",IF(MAX(U7,X7,AA7,AD7)&gt;=LOOKUP(G7,'Qualifying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Scores'!$G$10:$G$13)),AND(Z7&gt;=LOOKUP(G7,'Qualifying Scores'!$A$4:$A$7,'Qualifying Scores'!$G$4:$G$7),AA7&gt;=LOOKUP(G7,'Qualifying Scores'!$A$10:$A$13,'Qualifying Scores'!$G$10:$G$13)),AND(W7&gt;=LOOKUP(G7,'Qualifying Scores'!$A$4:$A$7,'Qualifying Scores'!$G$4:$G$7),X7&gt;=LOOKUP(G7,'Qualifying Scores'!$A$10:$A$13,'Qualifying Scores'!$G$10:$G$13)),AND(AC7&gt;=LOOKUP(G7,'Qualifying Scores'!$A$4:$A$7,'Qualifying Scores'!$G$4:$G$7),AD7&gt;=LOOKUP(G7,'Qualifying Scores'!$A$10:$A$13,'Qualifying Scores'!$G$10:$G$13))),"P",""))</f>
        <v>P</v>
      </c>
      <c r="Q7" s="1" t="str">
        <f t="shared" si="1"/>
        <v/>
      </c>
      <c r="R7" s="4">
        <f t="shared" si="2"/>
        <v>46.300000000000004</v>
      </c>
      <c r="S7" s="4">
        <f t="shared" si="3"/>
        <v>46.1</v>
      </c>
      <c r="T7" s="32">
        <v>46.4</v>
      </c>
      <c r="U7" s="37">
        <v>10.4</v>
      </c>
      <c r="V7" s="37">
        <v>0.3</v>
      </c>
      <c r="W7" s="33">
        <v>46.6</v>
      </c>
      <c r="X7" s="37">
        <v>10.4</v>
      </c>
      <c r="Y7" s="37">
        <v>0.3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$67&lt;&gt;"")*(G$3:G$67=G8)*(J$3:J$67&gt;J8)*(I$3:I$67="P"))+1,IF(O8&lt;&gt;"",SUMPRODUCT((O$3:O$67&lt;&gt;"")*(P$3:P$67="")*(G$3:G$67=G8)*(J$3:J$67&gt;J8)*(I$3:I$67="P"))+SUMPRODUCT((P$3:P$67&lt;&gt;"")*(G$3:G$67=G8)*(I$3:I$67="P"))+1,IF(N8&lt;&gt;"",SUMPRODUCT((N$3:N$67&lt;&gt;"")*(G$3:G$67=G8)*(J$3:J$67&gt;J8)*(I$3:I$67="P"))+1,IF(M8="P",SUMPRODUCT((O$3:O$67&lt;&gt;"")*(P$3:P$67="")*(G$3:G$67=G8)*(I$3:I$67="P"))+SUMPRODUCT((P$3:P$67&lt;&gt;"")*(G$3:G$67=G8)*(I$3:I$67="P"))+SUMPRODUCT((N$3:N$67&lt;&gt;"")*(G$3:G$67=G8)*(I$3:I$67="P"))+SUMPRODUCT((P$3:P$67="")*(O$3:O$67="")*(N$3:N$67="")*(M$3:M$67="P")*(G$3:G$67=G8)*(J$3:J$67&gt;J8)*(I$3:I$67="P"))+IF(H8="L5",SUMPRODUCT((P$3:P$67="")*(O$3:O$67="")*(N$3:N$67="")*(M$3:M$67="P")*(G$3:G$67=G8)*(J$3:J$67&lt;J8)*(H$3:H$67&lt;&gt;H8)*(I$3:I$67="P")),-1*SUMPRODUCT((P$3:P$67="")*(O$3:O$67="")*(N$3:N$67="")*(M$3:M$67="P")*(G$3:G$67=G8)*(J$3:J$67&gt;J8)*(H$3:H$67="L5")*(I$3:I$67="P")))+1,"")))))</f>
        <v/>
      </c>
      <c r="B8" s="1" t="str" cm="1">
        <f t="array" ref="B8">IF(P8&lt;&gt;"",SUMPRODUCT((P$3:P$67&lt;&gt;"")*(G$3:G$67=G8)*(J$3:J$67&gt;J8))+1,IF(O8&lt;&gt;"",SUMPRODUCT((O$3:O$67&lt;&gt;"")*(P$3:P$67="")*(G$3:G$67=G8)*(J$3:J$67&gt;J8))+SUMPRODUCT((P$3:P$67&lt;&gt;"")*(G$3:G$67=G8))+1,IF(N8&lt;&gt;"",SUMPRODUCT((N$3:N$67&lt;&gt;"")*(G$3:G$67=G8)*(J$3:J$67&gt;J8))+1,IF(M8="P",SUMPRODUCT((O$3:O$67&lt;&gt;"")*(P$3:P$67="")*(G$3:G$67=G8))+SUMPRODUCT((P$3:P$67&lt;&gt;"")*(G$3:G$67=G8))+SUMPRODUCT((N$3:N$67&lt;&gt;"")*(G$3:G$67=G8))+SUMPRODUCT((P$3:P$67="")*(O$3:O$67="")*(N$3:N$67="")*(M$3:M$67="P")*(G$3:G$67=G8)*(J$3:J$67&gt;J8))+IF(H8="L5",SUMPRODUCT((P$3:P$67="")*(O$3:O$67="")*(N$3:N$67="")*(M$3:M$67="P")*(G$3:G$67=G8)*(J$3:J$67&lt;J8)*(H$3:H$67&lt;&gt;H8)),-1*SUMPRODUCT((P$3:P$67="")*(O$3:O$67="")*(N$3:N$67="")*(M$3:M$67="P")*(G$3:G$67=G8)*(J$3:J$67&gt;J8)*(H$3:H$67="L5")))+1,""))))</f>
        <v/>
      </c>
      <c r="C8" s="35" t="s">
        <v>232</v>
      </c>
      <c r="D8" s="35" t="str">
        <f>IF(E8="","",VLOOKUP(E8,'Coaching Points'!A:B,2,0))</f>
        <v>BC</v>
      </c>
      <c r="E8" s="35" t="s">
        <v>198</v>
      </c>
      <c r="F8" s="34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66</v>
      </c>
      <c r="I8" s="40"/>
      <c r="J8" s="4">
        <f t="shared" si="0"/>
        <v>45.900100000000009</v>
      </c>
      <c r="K8" s="3" t="str">
        <f>IF(G8="Not Age Eligible","",IF(MAX(T8,W8,Z8,AC8)&gt;=LOOKUP(G8,'Qualifying Scores'!$A$4:$A$7,'Qualifying Scores'!$G$4:$G$7),"P",""))</f>
        <v/>
      </c>
      <c r="L8" s="3" t="str">
        <f>IF(G8="Not Age Eligible","",IF(MAX(U8,X8,AA8,AD8)&gt;=LOOKUP(G8,'Qualifying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Scores'!$G$10:$G$13)),AND(Z8&gt;=LOOKUP(G8,'Qualifying Scores'!$A$4:$A$7,'Qualifying Scores'!$G$4:$G$7),AA8&gt;=LOOKUP(G8,'Qualifying Scores'!$A$10:$A$13,'Qualifying Scores'!$G$10:$G$13)),AND(W8&gt;=LOOKUP(G8,'Qualifying Scores'!$A$4:$A$7,'Qualifying Scores'!$G$4:$G$7),X8&gt;=LOOKUP(G8,'Qualifying Scores'!$A$10:$A$13,'Qualifying Scores'!$G$10:$G$13)),AND(AC8&gt;=LOOKUP(G8,'Qualifying Scores'!$A$4:$A$7,'Qualifying Scores'!$G$4:$G$7),AD8&gt;=LOOKUP(G8,'Qualifying Scores'!$A$10:$A$13,'Qualifying Scores'!$G$10:$G$13))),"P",""))</f>
        <v/>
      </c>
      <c r="Q8" s="1" t="str">
        <f t="shared" si="1"/>
        <v/>
      </c>
      <c r="R8" s="4">
        <f t="shared" si="2"/>
        <v>45.900000000000006</v>
      </c>
      <c r="S8" s="4">
        <f t="shared" si="3"/>
        <v>45.300000000000004</v>
      </c>
      <c r="T8" s="32">
        <v>45.6</v>
      </c>
      <c r="U8" s="37">
        <v>10</v>
      </c>
      <c r="V8" s="37">
        <v>0.3</v>
      </c>
      <c r="W8" s="33">
        <v>46.2</v>
      </c>
      <c r="X8" s="37">
        <v>10</v>
      </c>
      <c r="Y8" s="37">
        <v>0.3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$67&lt;&gt;"")*(G$3:G$67=G9)*(J$3:J$67&gt;J9)*(I$3:I$67="P"))+1,IF(O9&lt;&gt;"",SUMPRODUCT((O$3:O$67&lt;&gt;"")*(P$3:P$67="")*(G$3:G$67=G9)*(J$3:J$67&gt;J9)*(I$3:I$67="P"))+SUMPRODUCT((P$3:P$67&lt;&gt;"")*(G$3:G$67=G9)*(I$3:I$67="P"))+1,IF(N9&lt;&gt;"",SUMPRODUCT((N$3:N$67&lt;&gt;"")*(G$3:G$67=G9)*(J$3:J$67&gt;J9)*(I$3:I$67="P"))+1,IF(M9="P",SUMPRODUCT((O$3:O$67&lt;&gt;"")*(P$3:P$67="")*(G$3:G$67=G9)*(I$3:I$67="P"))+SUMPRODUCT((P$3:P$67&lt;&gt;"")*(G$3:G$67=G9)*(I$3:I$67="P"))+SUMPRODUCT((N$3:N$67&lt;&gt;"")*(G$3:G$67=G9)*(I$3:I$67="P"))+SUMPRODUCT((P$3:P$67="")*(O$3:O$67="")*(N$3:N$67="")*(M$3:M$67="P")*(G$3:G$67=G9)*(J$3:J$67&gt;J9)*(I$3:I$67="P"))+IF(H9="L5",SUMPRODUCT((P$3:P$67="")*(O$3:O$67="")*(N$3:N$67="")*(M$3:M$67="P")*(G$3:G$67=G9)*(J$3:J$67&lt;J9)*(H$3:H$67&lt;&gt;H9)*(I$3:I$67="P")),-1*SUMPRODUCT((P$3:P$67="")*(O$3:O$67="")*(N$3:N$67="")*(M$3:M$67="P")*(G$3:G$67=G9)*(J$3:J$67&gt;J9)*(H$3:H$67="L5")*(I$3:I$67="P")))+1,"")))))</f>
        <v/>
      </c>
      <c r="B9" s="1" t="str" cm="1">
        <f t="array" ref="B9">IF(P9&lt;&gt;"",SUMPRODUCT((P$3:P$67&lt;&gt;"")*(G$3:G$67=G9)*(J$3:J$67&gt;J9))+1,IF(O9&lt;&gt;"",SUMPRODUCT((O$3:O$67&lt;&gt;"")*(P$3:P$67="")*(G$3:G$67=G9)*(J$3:J$67&gt;J9))+SUMPRODUCT((P$3:P$67&lt;&gt;"")*(G$3:G$67=G9))+1,IF(N9&lt;&gt;"",SUMPRODUCT((N$3:N$67&lt;&gt;"")*(G$3:G$67=G9)*(J$3:J$67&gt;J9))+1,IF(M9="P",SUMPRODUCT((O$3:O$67&lt;&gt;"")*(P$3:P$67="")*(G$3:G$67=G9))+SUMPRODUCT((P$3:P$67&lt;&gt;"")*(G$3:G$67=G9))+SUMPRODUCT((N$3:N$67&lt;&gt;"")*(G$3:G$67=G9))+SUMPRODUCT((P$3:P$67="")*(O$3:O$67="")*(N$3:N$67="")*(M$3:M$67="P")*(G$3:G$67=G9)*(J$3:J$67&gt;J9))+IF(H9="L5",SUMPRODUCT((P$3:P$67="")*(O$3:O$67="")*(N$3:N$67="")*(M$3:M$67="P")*(G$3:G$67=G9)*(J$3:J$67&lt;J9)*(H$3:H$67&lt;&gt;H9)),-1*SUMPRODUCT((P$3:P$67="")*(O$3:O$67="")*(N$3:N$67="")*(M$3:M$67="P")*(G$3:G$67=G9)*(J$3:J$67&gt;J9)*(H$3:H$67="L5")))+1,""))))</f>
        <v/>
      </c>
      <c r="C9" s="35" t="s">
        <v>142</v>
      </c>
      <c r="D9" s="35" t="str">
        <f>IF(E9="","",VLOOKUP(E9,'Coaching Points'!A:B,2,0))</f>
        <v>SK</v>
      </c>
      <c r="E9" s="35" t="s">
        <v>329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66</v>
      </c>
      <c r="I9" s="40"/>
      <c r="J9" s="4">
        <f t="shared" si="0"/>
        <v>45.900100000000009</v>
      </c>
      <c r="K9" s="3" t="str">
        <f>IF(G9="Not Age Eligible","",IF(MAX(T9,W9,Z9,AC9)&gt;=LOOKUP(G9,'Qualifying Scores'!$A$4:$A$7,'Qualifying Scores'!$G$4:$G$7),"P",""))</f>
        <v/>
      </c>
      <c r="L9" s="3" t="str">
        <f>IF(G9="Not Age Eligible","",IF(MAX(U9,X9,AA9,AD9)&gt;=LOOKUP(G9,'Qualifying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Scores'!$G$10:$G$13)),AND(Z9&gt;=LOOKUP(G9,'Qualifying Scores'!$A$4:$A$7,'Qualifying Scores'!$G$4:$G$7),AA9&gt;=LOOKUP(G9,'Qualifying Scores'!$A$10:$A$13,'Qualifying Scores'!$G$10:$G$13)),AND(W9&gt;=LOOKUP(G9,'Qualifying Scores'!$A$4:$A$7,'Qualifying Scores'!$G$4:$G$7),X9&gt;=LOOKUP(G9,'Qualifying Scores'!$A$10:$A$13,'Qualifying Scores'!$G$10:$G$13)),AND(AC9&gt;=LOOKUP(G9,'Qualifying Scores'!$A$4:$A$7,'Qualifying Scores'!$G$4:$G$7),AD9&gt;=LOOKUP(G9,'Qualifying Scores'!$A$10:$A$13,'Qualifying Scores'!$G$10:$G$13))),"P",""))</f>
        <v/>
      </c>
      <c r="Q9" s="1" t="str">
        <f t="shared" si="1"/>
        <v/>
      </c>
      <c r="R9" s="4">
        <f t="shared" si="2"/>
        <v>45.900000000000006</v>
      </c>
      <c r="S9" s="4">
        <f t="shared" si="3"/>
        <v>43.300000000000004</v>
      </c>
      <c r="T9" s="32">
        <v>46.2</v>
      </c>
      <c r="U9" s="37">
        <v>10.8</v>
      </c>
      <c r="V9" s="37">
        <v>0.3</v>
      </c>
      <c r="W9" s="33">
        <v>43.6</v>
      </c>
      <c r="X9" s="37">
        <v>8</v>
      </c>
      <c r="Y9" s="37">
        <v>0.3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$67&lt;&gt;"")*(G$3:G$67=G10)*(J$3:J$67&gt;J10)*(I$3:I$67="P"))+1,IF(O10&lt;&gt;"",SUMPRODUCT((O$3:O$67&lt;&gt;"")*(P$3:P$67="")*(G$3:G$67=G10)*(J$3:J$67&gt;J10)*(I$3:I$67="P"))+SUMPRODUCT((P$3:P$67&lt;&gt;"")*(G$3:G$67=G10)*(I$3:I$67="P"))+1,IF(N10&lt;&gt;"",SUMPRODUCT((N$3:N$67&lt;&gt;"")*(G$3:G$67=G10)*(J$3:J$67&gt;J10)*(I$3:I$67="P"))+1,IF(M10="P",SUMPRODUCT((O$3:O$67&lt;&gt;"")*(P$3:P$67="")*(G$3:G$67=G10)*(I$3:I$67="P"))+SUMPRODUCT((P$3:P$67&lt;&gt;"")*(G$3:G$67=G10)*(I$3:I$67="P"))+SUMPRODUCT((N$3:N$67&lt;&gt;"")*(G$3:G$67=G10)*(I$3:I$67="P"))+SUMPRODUCT((P$3:P$67="")*(O$3:O$67="")*(N$3:N$67="")*(M$3:M$67="P")*(G$3:G$67=G10)*(J$3:J$67&gt;J10)*(I$3:I$67="P"))+IF(H10="L5",SUMPRODUCT((P$3:P$67="")*(O$3:O$67="")*(N$3:N$67="")*(M$3:M$67="P")*(G$3:G$67=G10)*(J$3:J$67&lt;J10)*(H$3:H$67&lt;&gt;H10)*(I$3:I$67="P")),-1*SUMPRODUCT((P$3:P$67="")*(O$3:O$67="")*(N$3:N$67="")*(M$3:M$67="P")*(G$3:G$67=G10)*(J$3:J$67&gt;J10)*(H$3:H$67="L5")*(I$3:I$67="P")))+1,"")))))</f>
        <v/>
      </c>
      <c r="B10" s="1" t="str" cm="1">
        <f t="array" ref="B10">IF(P10&lt;&gt;"",SUMPRODUCT((P$3:P$67&lt;&gt;"")*(G$3:G$67=G10)*(J$3:J$67&gt;J10))+1,IF(O10&lt;&gt;"",SUMPRODUCT((O$3:O$67&lt;&gt;"")*(P$3:P$67="")*(G$3:G$67=G10)*(J$3:J$67&gt;J10))+SUMPRODUCT((P$3:P$67&lt;&gt;"")*(G$3:G$67=G10))+1,IF(N10&lt;&gt;"",SUMPRODUCT((N$3:N$67&lt;&gt;"")*(G$3:G$67=G10)*(J$3:J$67&gt;J10))+1,IF(M10="P",SUMPRODUCT((O$3:O$67&lt;&gt;"")*(P$3:P$67="")*(G$3:G$67=G10))+SUMPRODUCT((P$3:P$67&lt;&gt;"")*(G$3:G$67=G10))+SUMPRODUCT((N$3:N$67&lt;&gt;"")*(G$3:G$67=G10))+SUMPRODUCT((P$3:P$67="")*(O$3:O$67="")*(N$3:N$67="")*(M$3:M$67="P")*(G$3:G$67=G10)*(J$3:J$67&gt;J10))+IF(H10="L5",SUMPRODUCT((P$3:P$67="")*(O$3:O$67="")*(N$3:N$67="")*(M$3:M$67="P")*(G$3:G$67=G10)*(J$3:J$67&lt;J10)*(H$3:H$67&lt;&gt;H10)),-1*SUMPRODUCT((P$3:P$67="")*(O$3:O$67="")*(N$3:N$67="")*(M$3:M$67="P")*(G$3:G$67=G10)*(J$3:J$67&gt;J10)*(H$3:H$67="L5")))+1,""))))</f>
        <v/>
      </c>
      <c r="C10" s="35" t="s">
        <v>290</v>
      </c>
      <c r="D10" s="35" t="str">
        <f>IF(E10="","",VLOOKUP(E10,'Coaching Points'!A:B,2,0))</f>
        <v>SK</v>
      </c>
      <c r="E10" s="35" t="s">
        <v>329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66</v>
      </c>
      <c r="I10" s="40"/>
      <c r="J10" s="4">
        <f t="shared" si="0"/>
        <v>45.100100000000005</v>
      </c>
      <c r="K10" s="3" t="str">
        <f>IF(G10="Not Age Eligible","",IF(MAX(T10,W10,Z10,AC10)&gt;=LOOKUP(G10,'Qualifying Scores'!$A$4:$A$7,'Qualifying Scores'!$G$4:$G$7),"P",""))</f>
        <v/>
      </c>
      <c r="L10" s="3" t="str">
        <f>IF(G10="Not Age Eligible","",IF(MAX(U10,X10,AA10,AD10)&gt;=LOOKUP(G10,'Qualifying Scores'!$A$10:$A$13,'Qualifying Scores'!$G$10:$G$13),"P",""))</f>
        <v/>
      </c>
      <c r="M10" s="3" t="str">
        <f>IF(G10="Not Age Eligible","",IF(OR(AND(T10&gt;=LOOKUP(G10,'Qualifying Scores'!$A$4:$A$7,'Qualifying Scores'!$G$4:$G$7),U10&gt;=LOOKUP(G10,'Qualifying Scores'!$A$10:$A$13,'Qualifying Scores'!$G$10:$G$13)),AND(Z10&gt;=LOOKUP(G10,'Qualifying Scores'!$A$4:$A$7,'Qualifying Scores'!$G$4:$G$7),AA10&gt;=LOOKUP(G10,'Qualifying Scores'!$A$10:$A$13,'Qualifying Scores'!$G$10:$G$13)),AND(W10&gt;=LOOKUP(G10,'Qualifying Scores'!$A$4:$A$7,'Qualifying Scores'!$G$4:$G$7),X10&gt;=LOOKUP(G10,'Qualifying Scores'!$A$10:$A$13,'Qualifying Scores'!$G$10:$G$13)),AND(AC10&gt;=LOOKUP(G10,'Qualifying Scores'!$A$4:$A$7,'Qualifying Scores'!$G$4:$G$7),AD10&gt;=LOOKUP(G10,'Qualifying Scores'!$A$10:$A$13,'Qualifying Scores'!$G$10:$G$13))),"P",""))</f>
        <v/>
      </c>
      <c r="Q10" s="1" t="str">
        <f t="shared" si="1"/>
        <v/>
      </c>
      <c r="R10" s="4">
        <f t="shared" si="2"/>
        <v>45.1</v>
      </c>
      <c r="S10" s="4">
        <f t="shared" si="3"/>
        <v>43.2</v>
      </c>
      <c r="T10" s="32">
        <v>43.2</v>
      </c>
      <c r="U10" s="37">
        <v>7.1</v>
      </c>
      <c r="V10" s="37">
        <v>0</v>
      </c>
      <c r="W10" s="33">
        <v>45.1</v>
      </c>
      <c r="X10" s="37">
        <v>7.1</v>
      </c>
      <c r="Y10" s="37">
        <v>0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$67&lt;&gt;"")*(G$3:G$67=G11)*(J$3:J$67&gt;J11)*(I$3:I$67="P"))+1,IF(O11&lt;&gt;"",SUMPRODUCT((O$3:O$67&lt;&gt;"")*(P$3:P$67="")*(G$3:G$67=G11)*(J$3:J$67&gt;J11)*(I$3:I$67="P"))+SUMPRODUCT((P$3:P$67&lt;&gt;"")*(G$3:G$67=G11)*(I$3:I$67="P"))+1,IF(N11&lt;&gt;"",SUMPRODUCT((N$3:N$67&lt;&gt;"")*(G$3:G$67=G11)*(J$3:J$67&gt;J11)*(I$3:I$67="P"))+1,IF(M11="P",SUMPRODUCT((O$3:O$67&lt;&gt;"")*(P$3:P$67="")*(G$3:G$67=G11)*(I$3:I$67="P"))+SUMPRODUCT((P$3:P$67&lt;&gt;"")*(G$3:G$67=G11)*(I$3:I$67="P"))+SUMPRODUCT((N$3:N$67&lt;&gt;"")*(G$3:G$67=G11)*(I$3:I$67="P"))+SUMPRODUCT((P$3:P$67="")*(O$3:O$67="")*(N$3:N$67="")*(M$3:M$67="P")*(G$3:G$67=G11)*(J$3:J$67&gt;J11)*(I$3:I$67="P"))+IF(H11="L5",SUMPRODUCT((P$3:P$67="")*(O$3:O$67="")*(N$3:N$67="")*(M$3:M$67="P")*(G$3:G$67=G11)*(J$3:J$67&lt;J11)*(H$3:H$67&lt;&gt;H11)*(I$3:I$67="P")),-1*SUMPRODUCT((P$3:P$67="")*(O$3:O$67="")*(N$3:N$67="")*(M$3:M$67="P")*(G$3:G$67=G11)*(J$3:J$67&gt;J11)*(H$3:H$67="L5")*(I$3:I$67="P")))+1,"")))))</f>
        <v/>
      </c>
      <c r="B11" s="1" t="str" cm="1">
        <f t="array" ref="B11">IF(P11&lt;&gt;"",SUMPRODUCT((P$3:P$67&lt;&gt;"")*(G$3:G$67=G11)*(J$3:J$67&gt;J11))+1,IF(O11&lt;&gt;"",SUMPRODUCT((O$3:O$67&lt;&gt;"")*(P$3:P$67="")*(G$3:G$67=G11)*(J$3:J$67&gt;J11))+SUMPRODUCT((P$3:P$67&lt;&gt;"")*(G$3:G$67=G11))+1,IF(N11&lt;&gt;"",SUMPRODUCT((N$3:N$67&lt;&gt;"")*(G$3:G$67=G11)*(J$3:J$67&gt;J11))+1,IF(M11="P",SUMPRODUCT((O$3:O$67&lt;&gt;"")*(P$3:P$67="")*(G$3:G$67=G11))+SUMPRODUCT((P$3:P$67&lt;&gt;"")*(G$3:G$67=G11))+SUMPRODUCT((N$3:N$67&lt;&gt;"")*(G$3:G$67=G11))+SUMPRODUCT((P$3:P$67="")*(O$3:O$67="")*(N$3:N$67="")*(M$3:M$67="P")*(G$3:G$67=G11)*(J$3:J$67&gt;J11))+IF(H11="L5",SUMPRODUCT((P$3:P$67="")*(O$3:O$67="")*(N$3:N$67="")*(M$3:M$67="P")*(G$3:G$67=G11)*(J$3:J$67&lt;J11)*(H$3:H$67&lt;&gt;H11)),-1*SUMPRODUCT((P$3:P$67="")*(O$3:O$67="")*(N$3:N$67="")*(M$3:M$67="P")*(G$3:G$67=G11)*(J$3:J$67&gt;J11)*(H$3:H$67="L5")))+1,""))))</f>
        <v/>
      </c>
      <c r="C11" s="35" t="s">
        <v>262</v>
      </c>
      <c r="D11" s="35" t="str">
        <f>IF(E11="","",VLOOKUP(E11,'Coaching Points'!A:B,2,0))</f>
        <v>ON</v>
      </c>
      <c r="E11" s="35" t="s">
        <v>45</v>
      </c>
      <c r="F11" s="34">
        <v>2006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64</v>
      </c>
      <c r="I11" s="40"/>
      <c r="J11" s="4">
        <f t="shared" si="0"/>
        <v>44.7</v>
      </c>
      <c r="K11" s="3" t="str">
        <f>IF(G11="Not Age Eligible","",IF(MAX(T11,W11,Z11,AC11)&gt;=LOOKUP(G11,'Qualifying Scores'!$A$4:$A$7,'Qualifying Scores'!$G$4:$G$7),"P",""))</f>
        <v/>
      </c>
      <c r="L11" s="3" t="str">
        <f>IF(G11="Not Age Eligible","",IF(MAX(U11,X11,AA11,AD11)&gt;=LOOKUP(G11,'Qualifying Scores'!$A$10:$A$13,'Qualifying Scores'!$G$10:$G$13),"P",""))</f>
        <v/>
      </c>
      <c r="M11" s="3" t="str">
        <f>IF(G11="Not Age Eligible","",IF(OR(AND(T11&gt;=LOOKUP(G11,'Qualifying Scores'!$A$4:$A$7,'Qualifying Scores'!$G$4:$G$7),U11&gt;=LOOKUP(G11,'Qualifying Scores'!$A$10:$A$13,'Qualifying Scores'!$G$10:$G$13)),AND(Z11&gt;=LOOKUP(G11,'Qualifying Scores'!$A$4:$A$7,'Qualifying Scores'!$G$4:$G$7),AA11&gt;=LOOKUP(G11,'Qualifying Scores'!$A$10:$A$13,'Qualifying Scores'!$G$10:$G$13)),AND(W11&gt;=LOOKUP(G11,'Qualifying Scores'!$A$4:$A$7,'Qualifying Scores'!$G$4:$G$7),X11&gt;=LOOKUP(G11,'Qualifying Scores'!$A$10:$A$13,'Qualifying Scores'!$G$10:$G$13)),AND(AC11&gt;=LOOKUP(G11,'Qualifying Scores'!$A$4:$A$7,'Qualifying Scores'!$G$4:$G$7),AD11&gt;=LOOKUP(G11,'Qualifying Scores'!$A$10:$A$13,'Qualifying Scores'!$G$10:$G$13))),"P",""))</f>
        <v/>
      </c>
      <c r="Q11" s="1" t="str">
        <f t="shared" si="1"/>
        <v/>
      </c>
      <c r="R11" s="4">
        <f t="shared" si="2"/>
        <v>44.7</v>
      </c>
      <c r="S11" s="4">
        <f t="shared" si="3"/>
        <v>39.6</v>
      </c>
      <c r="T11" s="32">
        <v>44.7</v>
      </c>
      <c r="U11" s="37">
        <v>8</v>
      </c>
      <c r="V11" s="37">
        <v>0</v>
      </c>
      <c r="W11" s="33">
        <v>39.6</v>
      </c>
      <c r="X11" s="37">
        <v>4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$67&lt;&gt;"")*(G$3:G$67=G12)*(J$3:J$67&gt;J12)*(I$3:I$67="P"))+1,IF(O12&lt;&gt;"",SUMPRODUCT((O$3:O$67&lt;&gt;"")*(P$3:P$67="")*(G$3:G$67=G12)*(J$3:J$67&gt;J12)*(I$3:I$67="P"))+SUMPRODUCT((P$3:P$67&lt;&gt;"")*(G$3:G$67=G12)*(I$3:I$67="P"))+1,IF(N12&lt;&gt;"",SUMPRODUCT((N$3:N$67&lt;&gt;"")*(G$3:G$67=G12)*(J$3:J$67&gt;J12)*(I$3:I$67="P"))+1,IF(M12="P",SUMPRODUCT((O$3:O$67&lt;&gt;"")*(P$3:P$67="")*(G$3:G$67=G12)*(I$3:I$67="P"))+SUMPRODUCT((P$3:P$67&lt;&gt;"")*(G$3:G$67=G12)*(I$3:I$67="P"))+SUMPRODUCT((N$3:N$67&lt;&gt;"")*(G$3:G$67=G12)*(I$3:I$67="P"))+SUMPRODUCT((P$3:P$67="")*(O$3:O$67="")*(N$3:N$67="")*(M$3:M$67="P")*(G$3:G$67=G12)*(J$3:J$67&gt;J12)*(I$3:I$67="P"))+IF(H12="L5",SUMPRODUCT((P$3:P$67="")*(O$3:O$67="")*(N$3:N$67="")*(M$3:M$67="P")*(G$3:G$67=G12)*(J$3:J$67&lt;J12)*(H$3:H$67&lt;&gt;H12)*(I$3:I$67="P")),-1*SUMPRODUCT((P$3:P$67="")*(O$3:O$67="")*(N$3:N$67="")*(M$3:M$67="P")*(G$3:G$67=G12)*(J$3:J$67&gt;J12)*(H$3:H$67="L5")*(I$3:I$67="P")))+1,"")))))</f>
        <v/>
      </c>
      <c r="B12" s="1" t="str" cm="1">
        <f t="array" ref="B12">IF(P12&lt;&gt;"",SUMPRODUCT((P$3:P$67&lt;&gt;"")*(G$3:G$67=G12)*(J$3:J$67&gt;J12))+1,IF(O12&lt;&gt;"",SUMPRODUCT((O$3:O$67&lt;&gt;"")*(P$3:P$67="")*(G$3:G$67=G12)*(J$3:J$67&gt;J12))+SUMPRODUCT((P$3:P$67&lt;&gt;"")*(G$3:G$67=G12))+1,IF(N12&lt;&gt;"",SUMPRODUCT((N$3:N$67&lt;&gt;"")*(G$3:G$67=G12)*(J$3:J$67&gt;J12))+1,IF(M12="P",SUMPRODUCT((O$3:O$67&lt;&gt;"")*(P$3:P$67="")*(G$3:G$67=G12))+SUMPRODUCT((P$3:P$67&lt;&gt;"")*(G$3:G$67=G12))+SUMPRODUCT((N$3:N$67&lt;&gt;"")*(G$3:G$67=G12))+SUMPRODUCT((P$3:P$67="")*(O$3:O$67="")*(N$3:N$67="")*(M$3:M$67="P")*(G$3:G$67=G12)*(J$3:J$67&gt;J12))+IF(H12="L5",SUMPRODUCT((P$3:P$67="")*(O$3:O$67="")*(N$3:N$67="")*(M$3:M$67="P")*(G$3:G$67=G12)*(J$3:J$67&lt;J12)*(H$3:H$67&lt;&gt;H12)),-1*SUMPRODUCT((P$3:P$67="")*(O$3:O$67="")*(N$3:N$67="")*(M$3:M$67="P")*(G$3:G$67=G12)*(J$3:J$67&gt;J12)*(H$3:H$67="L5")))+1,""))))</f>
        <v/>
      </c>
      <c r="C12" s="35" t="s">
        <v>371</v>
      </c>
      <c r="D12" s="35" t="str">
        <f>IF(E12="","",VLOOKUP(E12,'Coaching Points'!A:B,2,0))</f>
        <v>BC</v>
      </c>
      <c r="E12" s="35" t="s">
        <v>60</v>
      </c>
      <c r="F12" s="34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66</v>
      </c>
      <c r="I12" s="40"/>
      <c r="J12" s="4">
        <f t="shared" si="0"/>
        <v>44.500100000000003</v>
      </c>
      <c r="K12" s="3" t="str">
        <f>IF(G12="Not Age Eligible","",IF(MAX(T12,W12,Z12,AC12)&gt;=LOOKUP(G12,'Qualifying Scores'!$A$4:$A$7,'Qualifying Scores'!$G$4:$G$7),"P",""))</f>
        <v/>
      </c>
      <c r="L12" s="3" t="str">
        <f>IF(G12="Not Age Eligible","",IF(MAX(U12,X12,AA12,AD12)&gt;=LOOKUP(G12,'Qualifying Scores'!$A$10:$A$13,'Qualifying Scores'!$G$10:$G$13),"P",""))</f>
        <v>P</v>
      </c>
      <c r="M12" s="3" t="str">
        <f>IF(G12="Not Age Eligible","",IF(OR(AND(T12&gt;=LOOKUP(G12,'Qualifying Scores'!$A$4:$A$7,'Qualifying Scores'!$G$4:$G$7),U12&gt;=LOOKUP(G12,'Qualifying Scores'!$A$10:$A$13,'Qualifying Scores'!$G$10:$G$13)),AND(Z12&gt;=LOOKUP(G12,'Qualifying Scores'!$A$4:$A$7,'Qualifying Scores'!$G$4:$G$7),AA12&gt;=LOOKUP(G12,'Qualifying Scores'!$A$10:$A$13,'Qualifying Scores'!$G$10:$G$13)),AND(W12&gt;=LOOKUP(G12,'Qualifying Scores'!$A$4:$A$7,'Qualifying Scores'!$G$4:$G$7),X12&gt;=LOOKUP(G12,'Qualifying Scores'!$A$10:$A$13,'Qualifying Scores'!$G$10:$G$13)),AND(AC12&gt;=LOOKUP(G12,'Qualifying Scores'!$A$4:$A$7,'Qualifying Scores'!$G$4:$G$7),AD12&gt;=LOOKUP(G12,'Qualifying Scores'!$A$10:$A$13,'Qualifying Scores'!$G$10:$G$13))),"P",""))</f>
        <v/>
      </c>
      <c r="Q12" s="1" t="str">
        <f t="shared" si="1"/>
        <v/>
      </c>
      <c r="R12" s="4">
        <f t="shared" si="2"/>
        <v>44.5</v>
      </c>
      <c r="S12" s="4">
        <f t="shared" si="3"/>
        <v>43.5</v>
      </c>
      <c r="T12" s="32">
        <v>43.8</v>
      </c>
      <c r="U12" s="37">
        <v>9.6</v>
      </c>
      <c r="V12" s="37">
        <v>0.3</v>
      </c>
      <c r="W12" s="33">
        <v>44.8</v>
      </c>
      <c r="X12" s="37">
        <v>9.6</v>
      </c>
      <c r="Y12" s="37">
        <v>0.3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$67&lt;&gt;"")*(G$3:G$67=G13)*(J$3:J$67&gt;J13)*(I$3:I$67="P"))+1,IF(O13&lt;&gt;"",SUMPRODUCT((O$3:O$67&lt;&gt;"")*(P$3:P$67="")*(G$3:G$67=G13)*(J$3:J$67&gt;J13)*(I$3:I$67="P"))+SUMPRODUCT((P$3:P$67&lt;&gt;"")*(G$3:G$67=G13)*(I$3:I$67="P"))+1,IF(N13&lt;&gt;"",SUMPRODUCT((N$3:N$67&lt;&gt;"")*(G$3:G$67=G13)*(J$3:J$67&gt;J13)*(I$3:I$67="P"))+1,IF(M13="P",SUMPRODUCT((O$3:O$67&lt;&gt;"")*(P$3:P$67="")*(G$3:G$67=G13)*(I$3:I$67="P"))+SUMPRODUCT((P$3:P$67&lt;&gt;"")*(G$3:G$67=G13)*(I$3:I$67="P"))+SUMPRODUCT((N$3:N$67&lt;&gt;"")*(G$3:G$67=G13)*(I$3:I$67="P"))+SUMPRODUCT((P$3:P$67="")*(O$3:O$67="")*(N$3:N$67="")*(M$3:M$67="P")*(G$3:G$67=G13)*(J$3:J$67&gt;J13)*(I$3:I$67="P"))+IF(H13="L5",SUMPRODUCT((P$3:P$67="")*(O$3:O$67="")*(N$3:N$67="")*(M$3:M$67="P")*(G$3:G$67=G13)*(J$3:J$67&lt;J13)*(H$3:H$67&lt;&gt;H13)*(I$3:I$67="P")),-1*SUMPRODUCT((P$3:P$67="")*(O$3:O$67="")*(N$3:N$67="")*(M$3:M$67="P")*(G$3:G$67=G13)*(J$3:J$67&gt;J13)*(H$3:H$67="L5")*(I$3:I$67="P")))+1,"")))))</f>
        <v/>
      </c>
      <c r="B13" s="1" t="str" cm="1">
        <f t="array" ref="B13">IF(P13&lt;&gt;"",SUMPRODUCT((P$3:P$67&lt;&gt;"")*(G$3:G$67=G13)*(J$3:J$67&gt;J13))+1,IF(O13&lt;&gt;"",SUMPRODUCT((O$3:O$67&lt;&gt;"")*(P$3:P$67="")*(G$3:G$67=G13)*(J$3:J$67&gt;J13))+SUMPRODUCT((P$3:P$67&lt;&gt;"")*(G$3:G$67=G13))+1,IF(N13&lt;&gt;"",SUMPRODUCT((N$3:N$67&lt;&gt;"")*(G$3:G$67=G13)*(J$3:J$67&gt;J13))+1,IF(M13="P",SUMPRODUCT((O$3:O$67&lt;&gt;"")*(P$3:P$67="")*(G$3:G$67=G13))+SUMPRODUCT((P$3:P$67&lt;&gt;"")*(G$3:G$67=G13))+SUMPRODUCT((N$3:N$67&lt;&gt;"")*(G$3:G$67=G13))+SUMPRODUCT((P$3:P$67="")*(O$3:O$67="")*(N$3:N$67="")*(M$3:M$67="P")*(G$3:G$67=G13)*(J$3:J$67&gt;J13))+IF(H13="L5",SUMPRODUCT((P$3:P$67="")*(O$3:O$67="")*(N$3:N$67="")*(M$3:M$67="P")*(G$3:G$67=G13)*(J$3:J$67&lt;J13)*(H$3:H$67&lt;&gt;H13)),-1*SUMPRODUCT((P$3:P$67="")*(O$3:O$67="")*(N$3:N$67="")*(M$3:M$67="P")*(G$3:G$67=G13)*(J$3:J$67&gt;J13)*(H$3:H$67="L5")))+1,""))))</f>
        <v/>
      </c>
      <c r="C13" s="35" t="s">
        <v>106</v>
      </c>
      <c r="D13" s="35" t="str">
        <f>IF(E13="","",VLOOKUP(E13,'Coaching Points'!A:B,2,0))</f>
        <v>SK</v>
      </c>
      <c r="E13" s="35" t="s">
        <v>329</v>
      </c>
      <c r="F13" s="34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66</v>
      </c>
      <c r="I13" s="40"/>
      <c r="J13" s="4">
        <f t="shared" si="0"/>
        <v>44.400100000000002</v>
      </c>
      <c r="K13" s="3" t="str">
        <f>IF(G13="Not Age Eligible","",IF(MAX(T13,W13,Z13,AC13)&gt;=LOOKUP(G13,'Qualifying Scores'!$A$4:$A$7,'Qualifying Scores'!$G$4:$G$7),"P",""))</f>
        <v/>
      </c>
      <c r="L13" s="3" t="str">
        <f>IF(G13="Not Age Eligible","",IF(MAX(U13,X13,AA13,AD13)&gt;=LOOKUP(G13,'Qualifying Scores'!$A$10:$A$13,'Qualifying Scores'!$G$10:$G$13),"P",""))</f>
        <v/>
      </c>
      <c r="M13" s="3" t="str">
        <f>IF(G13="Not Age Eligible","",IF(OR(AND(T13&gt;=LOOKUP(G13,'Qualifying Scores'!$A$4:$A$7,'Qualifying Scores'!$G$4:$G$7),U13&gt;=LOOKUP(G13,'Qualifying Scores'!$A$10:$A$13,'Qualifying Scores'!$G$10:$G$13)),AND(Z13&gt;=LOOKUP(G13,'Qualifying Scores'!$A$4:$A$7,'Qualifying Scores'!$G$4:$G$7),AA13&gt;=LOOKUP(G13,'Qualifying Scores'!$A$10:$A$13,'Qualifying Scores'!$G$10:$G$13)),AND(W13&gt;=LOOKUP(G13,'Qualifying Scores'!$A$4:$A$7,'Qualifying Scores'!$G$4:$G$7),X13&gt;=LOOKUP(G13,'Qualifying Scores'!$A$10:$A$13,'Qualifying Scores'!$G$10:$G$13)),AND(AC13&gt;=LOOKUP(G13,'Qualifying Scores'!$A$4:$A$7,'Qualifying Scores'!$G$4:$G$7),AD13&gt;=LOOKUP(G13,'Qualifying Scores'!$A$10:$A$13,'Qualifying Scores'!$G$10:$G$13))),"P",""))</f>
        <v/>
      </c>
      <c r="Q13" s="1" t="str">
        <f t="shared" si="1"/>
        <v/>
      </c>
      <c r="R13" s="4">
        <f t="shared" si="2"/>
        <v>44.4</v>
      </c>
      <c r="S13" s="4">
        <f t="shared" si="3"/>
        <v>21.7</v>
      </c>
      <c r="T13" s="32">
        <v>44.4</v>
      </c>
      <c r="U13" s="37">
        <v>7.1</v>
      </c>
      <c r="V13" s="37">
        <v>0</v>
      </c>
      <c r="W13" s="33">
        <v>21.7</v>
      </c>
      <c r="X13" s="37">
        <v>3.5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$67&lt;&gt;"")*(G$3:G$67=G14)*(J$3:J$67&gt;J14)*(I$3:I$67="P"))+1,IF(O14&lt;&gt;"",SUMPRODUCT((O$3:O$67&lt;&gt;"")*(P$3:P$67="")*(G$3:G$67=G14)*(J$3:J$67&gt;J14)*(I$3:I$67="P"))+SUMPRODUCT((P$3:P$67&lt;&gt;"")*(G$3:G$67=G14)*(I$3:I$67="P"))+1,IF(N14&lt;&gt;"",SUMPRODUCT((N$3:N$67&lt;&gt;"")*(G$3:G$67=G14)*(J$3:J$67&gt;J14)*(I$3:I$67="P"))+1,IF(M14="P",SUMPRODUCT((O$3:O$67&lt;&gt;"")*(P$3:P$67="")*(G$3:G$67=G14)*(I$3:I$67="P"))+SUMPRODUCT((P$3:P$67&lt;&gt;"")*(G$3:G$67=G14)*(I$3:I$67="P"))+SUMPRODUCT((N$3:N$67&lt;&gt;"")*(G$3:G$67=G14)*(I$3:I$67="P"))+SUMPRODUCT((P$3:P$67="")*(O$3:O$67="")*(N$3:N$67="")*(M$3:M$67="P")*(G$3:G$67=G14)*(J$3:J$67&gt;J14)*(I$3:I$67="P"))+IF(H14="L5",SUMPRODUCT((P$3:P$67="")*(O$3:O$67="")*(N$3:N$67="")*(M$3:M$67="P")*(G$3:G$67=G14)*(J$3:J$67&lt;J14)*(H$3:H$67&lt;&gt;H14)*(I$3:I$67="P")),-1*SUMPRODUCT((P$3:P$67="")*(O$3:O$67="")*(N$3:N$67="")*(M$3:M$67="P")*(G$3:G$67=G14)*(J$3:J$67&gt;J14)*(H$3:H$67="L5")*(I$3:I$67="P")))+1,"")))))</f>
        <v/>
      </c>
      <c r="B14" s="1" t="str" cm="1">
        <f t="array" ref="B14">IF(P14&lt;&gt;"",SUMPRODUCT((P$3:P$67&lt;&gt;"")*(G$3:G$67=G14)*(J$3:J$67&gt;J14))+1,IF(O14&lt;&gt;"",SUMPRODUCT((O$3:O$67&lt;&gt;"")*(P$3:P$67="")*(G$3:G$67=G14)*(J$3:J$67&gt;J14))+SUMPRODUCT((P$3:P$67&lt;&gt;"")*(G$3:G$67=G14))+1,IF(N14&lt;&gt;"",SUMPRODUCT((N$3:N$67&lt;&gt;"")*(G$3:G$67=G14)*(J$3:J$67&gt;J14))+1,IF(M14="P",SUMPRODUCT((O$3:O$67&lt;&gt;"")*(P$3:P$67="")*(G$3:G$67=G14))+SUMPRODUCT((P$3:P$67&lt;&gt;"")*(G$3:G$67=G14))+SUMPRODUCT((N$3:N$67&lt;&gt;"")*(G$3:G$67=G14))+SUMPRODUCT((P$3:P$67="")*(O$3:O$67="")*(N$3:N$67="")*(M$3:M$67="P")*(G$3:G$67=G14)*(J$3:J$67&gt;J14))+IF(H14="L5",SUMPRODUCT((P$3:P$67="")*(O$3:O$67="")*(N$3:N$67="")*(M$3:M$67="P")*(G$3:G$67=G14)*(J$3:J$67&lt;J14)*(H$3:H$67&lt;&gt;H14)),-1*SUMPRODUCT((P$3:P$67="")*(O$3:O$67="")*(N$3:N$67="")*(M$3:M$67="P")*(G$3:G$67=G14)*(J$3:J$67&gt;J14)*(H$3:H$67="L5")))+1,""))))</f>
        <v/>
      </c>
      <c r="C14" s="35" t="s">
        <v>312</v>
      </c>
      <c r="D14" s="35" t="str">
        <f>IF(E14="","",VLOOKUP(E14,'Coaching Points'!A:B,2,0))</f>
        <v>AB</v>
      </c>
      <c r="E14" s="35" t="s">
        <v>215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66</v>
      </c>
      <c r="I14" s="40"/>
      <c r="J14" s="4">
        <f t="shared" si="0"/>
        <v>44.3001</v>
      </c>
      <c r="K14" s="3" t="str">
        <f>IF(G14="Not Age Eligible","",IF(MAX(T14,W14,Z14,AC14)&gt;=LOOKUP(G14,'Qualifying Scores'!$A$4:$A$7,'Qualifying Scores'!$G$4:$G$7),"P",""))</f>
        <v/>
      </c>
      <c r="L14" s="3" t="str">
        <f>IF(G14="Not Age Eligible","",IF(MAX(U14,X14,AA14,AD14)&gt;=LOOKUP(G14,'Qualifying Scores'!$A$10:$A$13,'Qualifying Scores'!$G$10:$G$13),"P",""))</f>
        <v/>
      </c>
      <c r="M14" s="3" t="str">
        <f>IF(G14="Not Age Eligible","",IF(OR(AND(T14&gt;=LOOKUP(G14,'Qualifying Scores'!$A$4:$A$7,'Qualifying Scores'!$G$4:$G$7),U14&gt;=LOOKUP(G14,'Qualifying Scores'!$A$10:$A$13,'Qualifying Scores'!$G$10:$G$13)),AND(Z14&gt;=LOOKUP(G14,'Qualifying Scores'!$A$4:$A$7,'Qualifying Scores'!$G$4:$G$7),AA14&gt;=LOOKUP(G14,'Qualifying Scores'!$A$10:$A$13,'Qualifying Scores'!$G$10:$G$13)),AND(W14&gt;=LOOKUP(G14,'Qualifying Scores'!$A$4:$A$7,'Qualifying Scores'!$G$4:$G$7),X14&gt;=LOOKUP(G14,'Qualifying Scores'!$A$10:$A$13,'Qualifying Scores'!$G$10:$G$13)),AND(AC14&gt;=LOOKUP(G14,'Qualifying Scores'!$A$4:$A$7,'Qualifying Scores'!$G$4:$G$7),AD14&gt;=LOOKUP(G14,'Qualifying Scores'!$A$10:$A$13,'Qualifying Scores'!$G$10:$G$13))),"P",""))</f>
        <v/>
      </c>
      <c r="Q14" s="1" t="str">
        <f t="shared" si="1"/>
        <v/>
      </c>
      <c r="R14" s="4">
        <f t="shared" si="2"/>
        <v>44.3</v>
      </c>
      <c r="S14" s="4">
        <f t="shared" si="3"/>
        <v>42.6</v>
      </c>
      <c r="T14" s="32">
        <v>42.6</v>
      </c>
      <c r="U14" s="37">
        <v>6.3000000000000007</v>
      </c>
      <c r="V14" s="37">
        <v>0</v>
      </c>
      <c r="W14" s="33">
        <v>44.3</v>
      </c>
      <c r="X14" s="37">
        <v>6.7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$67&lt;&gt;"")*(G$3:G$67=G15)*(J$3:J$67&gt;J15)*(I$3:I$67="P"))+1,IF(O15&lt;&gt;"",SUMPRODUCT((O$3:O$67&lt;&gt;"")*(P$3:P$67="")*(G$3:G$67=G15)*(J$3:J$67&gt;J15)*(I$3:I$67="P"))+SUMPRODUCT((P$3:P$67&lt;&gt;"")*(G$3:G$67=G15)*(I$3:I$67="P"))+1,IF(N15&lt;&gt;"",SUMPRODUCT((N$3:N$67&lt;&gt;"")*(G$3:G$67=G15)*(J$3:J$67&gt;J15)*(I$3:I$67="P"))+1,IF(M15="P",SUMPRODUCT((O$3:O$67&lt;&gt;"")*(P$3:P$67="")*(G$3:G$67=G15)*(I$3:I$67="P"))+SUMPRODUCT((P$3:P$67&lt;&gt;"")*(G$3:G$67=G15)*(I$3:I$67="P"))+SUMPRODUCT((N$3:N$67&lt;&gt;"")*(G$3:G$67=G15)*(I$3:I$67="P"))+SUMPRODUCT((P$3:P$67="")*(O$3:O$67="")*(N$3:N$67="")*(M$3:M$67="P")*(G$3:G$67=G15)*(J$3:J$67&gt;J15)*(I$3:I$67="P"))+IF(H15="L5",SUMPRODUCT((P$3:P$67="")*(O$3:O$67="")*(N$3:N$67="")*(M$3:M$67="P")*(G$3:G$67=G15)*(J$3:J$67&lt;J15)*(H$3:H$67&lt;&gt;H15)*(I$3:I$67="P")),-1*SUMPRODUCT((P$3:P$67="")*(O$3:O$67="")*(N$3:N$67="")*(M$3:M$67="P")*(G$3:G$67=G15)*(J$3:J$67&gt;J15)*(H$3:H$67="L5")*(I$3:I$67="P")))+1,"")))))</f>
        <v/>
      </c>
      <c r="B15" s="1" t="str" cm="1">
        <f t="array" ref="B15">IF(P15&lt;&gt;"",SUMPRODUCT((P$3:P$67&lt;&gt;"")*(G$3:G$67=G15)*(J$3:J$67&gt;J15))+1,IF(O15&lt;&gt;"",SUMPRODUCT((O$3:O$67&lt;&gt;"")*(P$3:P$67="")*(G$3:G$67=G15)*(J$3:J$67&gt;J15))+SUMPRODUCT((P$3:P$67&lt;&gt;"")*(G$3:G$67=G15))+1,IF(N15&lt;&gt;"",SUMPRODUCT((N$3:N$67&lt;&gt;"")*(G$3:G$67=G15)*(J$3:J$67&gt;J15))+1,IF(M15="P",SUMPRODUCT((O$3:O$67&lt;&gt;"")*(P$3:P$67="")*(G$3:G$67=G15))+SUMPRODUCT((P$3:P$67&lt;&gt;"")*(G$3:G$67=G15))+SUMPRODUCT((N$3:N$67&lt;&gt;"")*(G$3:G$67=G15))+SUMPRODUCT((P$3:P$67="")*(O$3:O$67="")*(N$3:N$67="")*(M$3:M$67="P")*(G$3:G$67=G15)*(J$3:J$67&gt;J15))+IF(H15="L5",SUMPRODUCT((P$3:P$67="")*(O$3:O$67="")*(N$3:N$67="")*(M$3:M$67="P")*(G$3:G$67=G15)*(J$3:J$67&lt;J15)*(H$3:H$67&lt;&gt;H15)),-1*SUMPRODUCT((P$3:P$67="")*(O$3:O$67="")*(N$3:N$67="")*(M$3:M$67="P")*(G$3:G$67=G15)*(J$3:J$67&gt;J15)*(H$3:H$67="L5")))+1,""))))</f>
        <v/>
      </c>
      <c r="C15" s="35" t="s">
        <v>267</v>
      </c>
      <c r="D15" s="35" t="str">
        <f>IF(E15="","",VLOOKUP(E15,'Coaching Points'!A:B,2,0))</f>
        <v>QC</v>
      </c>
      <c r="E15" s="35" t="s">
        <v>85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64</v>
      </c>
      <c r="I15" s="40"/>
      <c r="J15" s="4">
        <f t="shared" si="0"/>
        <v>44.2</v>
      </c>
      <c r="K15" s="3" t="str">
        <f>IF(G15="Not Age Eligible","",IF(MAX(T15,W15,Z15,AC15)&gt;=LOOKUP(G15,'Qualifying Scores'!$A$4:$A$7,'Qualifying Scores'!$G$4:$G$7),"P",""))</f>
        <v/>
      </c>
      <c r="L15" s="3" t="str">
        <f>IF(G15="Not Age Eligible","",IF(MAX(U15,X15,AA15,AD15)&gt;=LOOKUP(G15,'Qualifying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Scores'!$G$10:$G$13)),AND(Z15&gt;=LOOKUP(G15,'Qualifying Scores'!$A$4:$A$7,'Qualifying Scores'!$G$4:$G$7),AA15&gt;=LOOKUP(G15,'Qualifying Scores'!$A$10:$A$13,'Qualifying Scores'!$G$10:$G$13)),AND(W15&gt;=LOOKUP(G15,'Qualifying Scores'!$A$4:$A$7,'Qualifying Scores'!$G$4:$G$7),X15&gt;=LOOKUP(G15,'Qualifying Scores'!$A$10:$A$13,'Qualifying Scores'!$G$10:$G$13)),AND(AC15&gt;=LOOKUP(G15,'Qualifying Scores'!$A$4:$A$7,'Qualifying Scores'!$G$4:$G$7),AD15&gt;=LOOKUP(G15,'Qualifying Scores'!$A$10:$A$13,'Qualifying Scores'!$G$10:$G$13))),"P",""))</f>
        <v/>
      </c>
      <c r="Q15" s="1" t="str">
        <f t="shared" si="1"/>
        <v/>
      </c>
      <c r="R15" s="4">
        <f t="shared" si="2"/>
        <v>44.2</v>
      </c>
      <c r="S15" s="4">
        <f t="shared" si="3"/>
        <v>43.6</v>
      </c>
      <c r="T15" s="32">
        <v>43.6</v>
      </c>
      <c r="U15" s="37">
        <v>6.1</v>
      </c>
      <c r="V15" s="37">
        <v>0</v>
      </c>
      <c r="W15" s="33">
        <v>44.2</v>
      </c>
      <c r="X15" s="37">
        <v>6.3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$67&lt;&gt;"")*(G$3:G$67=G16)*(J$3:J$67&gt;J16)*(I$3:I$67="P"))+1,IF(O16&lt;&gt;"",SUMPRODUCT((O$3:O$67&lt;&gt;"")*(P$3:P$67="")*(G$3:G$67=G16)*(J$3:J$67&gt;J16)*(I$3:I$67="P"))+SUMPRODUCT((P$3:P$67&lt;&gt;"")*(G$3:G$67=G16)*(I$3:I$67="P"))+1,IF(N16&lt;&gt;"",SUMPRODUCT((N$3:N$67&lt;&gt;"")*(G$3:G$67=G16)*(J$3:J$67&gt;J16)*(I$3:I$67="P"))+1,IF(M16="P",SUMPRODUCT((O$3:O$67&lt;&gt;"")*(P$3:P$67="")*(G$3:G$67=G16)*(I$3:I$67="P"))+SUMPRODUCT((P$3:P$67&lt;&gt;"")*(G$3:G$67=G16)*(I$3:I$67="P"))+SUMPRODUCT((N$3:N$67&lt;&gt;"")*(G$3:G$67=G16)*(I$3:I$67="P"))+SUMPRODUCT((P$3:P$67="")*(O$3:O$67="")*(N$3:N$67="")*(M$3:M$67="P")*(G$3:G$67=G16)*(J$3:J$67&gt;J16)*(I$3:I$67="P"))+IF(H16="L5",SUMPRODUCT((P$3:P$67="")*(O$3:O$67="")*(N$3:N$67="")*(M$3:M$67="P")*(G$3:G$67=G16)*(J$3:J$67&lt;J16)*(H$3:H$67&lt;&gt;H16)*(I$3:I$67="P")),-1*SUMPRODUCT((P$3:P$67="")*(O$3:O$67="")*(N$3:N$67="")*(M$3:M$67="P")*(G$3:G$67=G16)*(J$3:J$67&gt;J16)*(H$3:H$67="L5")*(I$3:I$67="P")))+1,"")))))</f>
        <v/>
      </c>
      <c r="B16" s="1" t="str" cm="1">
        <f t="array" ref="B16">IF(P16&lt;&gt;"",SUMPRODUCT((P$3:P$67&lt;&gt;"")*(G$3:G$67=G16)*(J$3:J$67&gt;J16))+1,IF(O16&lt;&gt;"",SUMPRODUCT((O$3:O$67&lt;&gt;"")*(P$3:P$67="")*(G$3:G$67=G16)*(J$3:J$67&gt;J16))+SUMPRODUCT((P$3:P$67&lt;&gt;"")*(G$3:G$67=G16))+1,IF(N16&lt;&gt;"",SUMPRODUCT((N$3:N$67&lt;&gt;"")*(G$3:G$67=G16)*(J$3:J$67&gt;J16))+1,IF(M16="P",SUMPRODUCT((O$3:O$67&lt;&gt;"")*(P$3:P$67="")*(G$3:G$67=G16))+SUMPRODUCT((P$3:P$67&lt;&gt;"")*(G$3:G$67=G16))+SUMPRODUCT((N$3:N$67&lt;&gt;"")*(G$3:G$67=G16))+SUMPRODUCT((P$3:P$67="")*(O$3:O$67="")*(N$3:N$67="")*(M$3:M$67="P")*(G$3:G$67=G16)*(J$3:J$67&gt;J16))+IF(H16="L5",SUMPRODUCT((P$3:P$67="")*(O$3:O$67="")*(N$3:N$67="")*(M$3:M$67="P")*(G$3:G$67=G16)*(J$3:J$67&lt;J16)*(H$3:H$67&lt;&gt;H16)),-1*SUMPRODUCT((P$3:P$67="")*(O$3:O$67="")*(N$3:N$67="")*(M$3:M$67="P")*(G$3:G$67=G16)*(J$3:J$67&gt;J16)*(H$3:H$67="L5")))+1,""))))</f>
        <v/>
      </c>
      <c r="C16" s="35" t="s">
        <v>189</v>
      </c>
      <c r="D16" s="35" t="str">
        <f>IF(E16="","",VLOOKUP(E16,'Coaching Points'!A:B,2,0))</f>
        <v>AB</v>
      </c>
      <c r="E16" s="35" t="s">
        <v>61</v>
      </c>
      <c r="F16" s="34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64</v>
      </c>
      <c r="I16" s="40"/>
      <c r="J16" s="4">
        <f t="shared" si="0"/>
        <v>43.8</v>
      </c>
      <c r="K16" s="3" t="str">
        <f>IF(G16="Not Age Eligible","",IF(MAX(T16,W16,Z16,AC16)&gt;=LOOKUP(G16,'Qualifying Scores'!$A$4:$A$7,'Qualifying Scores'!$G$4:$G$7),"P",""))</f>
        <v/>
      </c>
      <c r="L16" s="3" t="str">
        <f>IF(G16="Not Age Eligible","",IF(MAX(U16,X16,AA16,AD16)&gt;=LOOKUP(G16,'Qualifying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Scores'!$G$10:$G$13)),AND(Z16&gt;=LOOKUP(G16,'Qualifying Scores'!$A$4:$A$7,'Qualifying Scores'!$G$4:$G$7),AA16&gt;=LOOKUP(G16,'Qualifying Scores'!$A$10:$A$13,'Qualifying Scores'!$G$10:$G$13)),AND(W16&gt;=LOOKUP(G16,'Qualifying Scores'!$A$4:$A$7,'Qualifying Scores'!$G$4:$G$7),X16&gt;=LOOKUP(G16,'Qualifying Scores'!$A$10:$A$13,'Qualifying Scores'!$G$10:$G$13)),AND(AC16&gt;=LOOKUP(G16,'Qualifying Scores'!$A$4:$A$7,'Qualifying Scores'!$G$4:$G$7),AD16&gt;=LOOKUP(G16,'Qualifying Scores'!$A$10:$A$13,'Qualifying Scores'!$G$10:$G$13))),"P",""))</f>
        <v/>
      </c>
      <c r="Q16" s="1" t="str">
        <f t="shared" si="1"/>
        <v/>
      </c>
      <c r="R16" s="4">
        <f t="shared" si="2"/>
        <v>43.8</v>
      </c>
      <c r="S16" s="4">
        <f t="shared" si="3"/>
        <v>42.6</v>
      </c>
      <c r="T16" s="32">
        <v>43.8</v>
      </c>
      <c r="U16" s="37">
        <v>6.6</v>
      </c>
      <c r="V16" s="37">
        <v>0</v>
      </c>
      <c r="W16" s="33">
        <v>42.6</v>
      </c>
      <c r="X16" s="37">
        <v>6.7</v>
      </c>
      <c r="Y16" s="37">
        <v>0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$67&lt;&gt;"")*(G$3:G$67=G17)*(J$3:J$67&gt;J17)*(I$3:I$67="P"))+1,IF(O17&lt;&gt;"",SUMPRODUCT((O$3:O$67&lt;&gt;"")*(P$3:P$67="")*(G$3:G$67=G17)*(J$3:J$67&gt;J17)*(I$3:I$67="P"))+SUMPRODUCT((P$3:P$67&lt;&gt;"")*(G$3:G$67=G17)*(I$3:I$67="P"))+1,IF(N17&lt;&gt;"",SUMPRODUCT((N$3:N$67&lt;&gt;"")*(G$3:G$67=G17)*(J$3:J$67&gt;J17)*(I$3:I$67="P"))+1,IF(M17="P",SUMPRODUCT((O$3:O$67&lt;&gt;"")*(P$3:P$67="")*(G$3:G$67=G17)*(I$3:I$67="P"))+SUMPRODUCT((P$3:P$67&lt;&gt;"")*(G$3:G$67=G17)*(I$3:I$67="P"))+SUMPRODUCT((N$3:N$67&lt;&gt;"")*(G$3:G$67=G17)*(I$3:I$67="P"))+SUMPRODUCT((P$3:P$67="")*(O$3:O$67="")*(N$3:N$67="")*(M$3:M$67="P")*(G$3:G$67=G17)*(J$3:J$67&gt;J17)*(I$3:I$67="P"))+IF(H17="L5",SUMPRODUCT((P$3:P$67="")*(O$3:O$67="")*(N$3:N$67="")*(M$3:M$67="P")*(G$3:G$67=G17)*(J$3:J$67&lt;J17)*(H$3:H$67&lt;&gt;H17)*(I$3:I$67="P")),-1*SUMPRODUCT((P$3:P$67="")*(O$3:O$67="")*(N$3:N$67="")*(M$3:M$67="P")*(G$3:G$67=G17)*(J$3:J$67&gt;J17)*(H$3:H$67="L5")*(I$3:I$67="P")))+1,"")))))</f>
        <v/>
      </c>
      <c r="B17" s="1" t="str" cm="1">
        <f t="array" ref="B17">IF(P17&lt;&gt;"",SUMPRODUCT((P$3:P$67&lt;&gt;"")*(G$3:G$67=G17)*(J$3:J$67&gt;J17))+1,IF(O17&lt;&gt;"",SUMPRODUCT((O$3:O$67&lt;&gt;"")*(P$3:P$67="")*(G$3:G$67=G17)*(J$3:J$67&gt;J17))+SUMPRODUCT((P$3:P$67&lt;&gt;"")*(G$3:G$67=G17))+1,IF(N17&lt;&gt;"",SUMPRODUCT((N$3:N$67&lt;&gt;"")*(G$3:G$67=G17)*(J$3:J$67&gt;J17))+1,IF(M17="P",SUMPRODUCT((O$3:O$67&lt;&gt;"")*(P$3:P$67="")*(G$3:G$67=G17))+SUMPRODUCT((P$3:P$67&lt;&gt;"")*(G$3:G$67=G17))+SUMPRODUCT((N$3:N$67&lt;&gt;"")*(G$3:G$67=G17))+SUMPRODUCT((P$3:P$67="")*(O$3:O$67="")*(N$3:N$67="")*(M$3:M$67="P")*(G$3:G$67=G17)*(J$3:J$67&gt;J17))+IF(H17="L5",SUMPRODUCT((P$3:P$67="")*(O$3:O$67="")*(N$3:N$67="")*(M$3:M$67="P")*(G$3:G$67=G17)*(J$3:J$67&lt;J17)*(H$3:H$67&lt;&gt;H17)),-1*SUMPRODUCT((P$3:P$67="")*(O$3:O$67="")*(N$3:N$67="")*(M$3:M$67="P")*(G$3:G$67=G17)*(J$3:J$67&gt;J17)*(H$3:H$67="L5")))+1,""))))</f>
        <v/>
      </c>
      <c r="C17" s="35" t="s">
        <v>209</v>
      </c>
      <c r="D17" s="35" t="str">
        <f>IF(E17="","",VLOOKUP(E17,'Coaching Points'!A:B,2,0))</f>
        <v>AB</v>
      </c>
      <c r="E17" s="35" t="s">
        <v>28</v>
      </c>
      <c r="F17" s="34">
        <v>2007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64</v>
      </c>
      <c r="I17" s="40"/>
      <c r="J17" s="4">
        <f t="shared" si="0"/>
        <v>43.7</v>
      </c>
      <c r="K17" s="3" t="str">
        <f>IF(G17="Not Age Eligible","",IF(MAX(T17,W17,Z17,AC17)&gt;=LOOKUP(G17,'Qualifying Scores'!$A$4:$A$7,'Qualifying Scores'!$G$4:$G$7),"P",""))</f>
        <v/>
      </c>
      <c r="L17" s="3" t="str">
        <f>IF(G17="Not Age Eligible","",IF(MAX(U17,X17,AA17,AD17)&gt;=LOOKUP(G17,'Qualifying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Scores'!$G$10:$G$13)),AND(Z17&gt;=LOOKUP(G17,'Qualifying Scores'!$A$4:$A$7,'Qualifying Scores'!$G$4:$G$7),AA17&gt;=LOOKUP(G17,'Qualifying Scores'!$A$10:$A$13,'Qualifying Scores'!$G$10:$G$13)),AND(W17&gt;=LOOKUP(G17,'Qualifying Scores'!$A$4:$A$7,'Qualifying Scores'!$G$4:$G$7),X17&gt;=LOOKUP(G17,'Qualifying Scores'!$A$10:$A$13,'Qualifying Scores'!$G$10:$G$13)),AND(AC17&gt;=LOOKUP(G17,'Qualifying Scores'!$A$4:$A$7,'Qualifying Scores'!$G$4:$G$7),AD17&gt;=LOOKUP(G17,'Qualifying Scores'!$A$10:$A$13,'Qualifying Scores'!$G$10:$G$13))),"P",""))</f>
        <v/>
      </c>
      <c r="Q17" s="1" t="str">
        <f t="shared" si="1"/>
        <v/>
      </c>
      <c r="R17" s="4">
        <f t="shared" si="2"/>
        <v>43.7</v>
      </c>
      <c r="S17" s="4">
        <f t="shared" si="3"/>
        <v>39.700000000000003</v>
      </c>
      <c r="T17" s="32">
        <v>43.7</v>
      </c>
      <c r="U17" s="37">
        <v>6.3000000000000007</v>
      </c>
      <c r="V17" s="37">
        <v>0</v>
      </c>
      <c r="W17" s="33">
        <v>39.700000000000003</v>
      </c>
      <c r="X17" s="37">
        <v>3.9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$67&lt;&gt;"")*(G$3:G$67=G18)*(J$3:J$67&gt;J18)*(I$3:I$67="P"))+1,IF(O18&lt;&gt;"",SUMPRODUCT((O$3:O$67&lt;&gt;"")*(P$3:P$67="")*(G$3:G$67=G18)*(J$3:J$67&gt;J18)*(I$3:I$67="P"))+SUMPRODUCT((P$3:P$67&lt;&gt;"")*(G$3:G$67=G18)*(I$3:I$67="P"))+1,IF(N18&lt;&gt;"",SUMPRODUCT((N$3:N$67&lt;&gt;"")*(G$3:G$67=G18)*(J$3:J$67&gt;J18)*(I$3:I$67="P"))+1,IF(M18="P",SUMPRODUCT((O$3:O$67&lt;&gt;"")*(P$3:P$67="")*(G$3:G$67=G18)*(I$3:I$67="P"))+SUMPRODUCT((P$3:P$67&lt;&gt;"")*(G$3:G$67=G18)*(I$3:I$67="P"))+SUMPRODUCT((N$3:N$67&lt;&gt;"")*(G$3:G$67=G18)*(I$3:I$67="P"))+SUMPRODUCT((P$3:P$67="")*(O$3:O$67="")*(N$3:N$67="")*(M$3:M$67="P")*(G$3:G$67=G18)*(J$3:J$67&gt;J18)*(I$3:I$67="P"))+IF(H18="L5",SUMPRODUCT((P$3:P$67="")*(O$3:O$67="")*(N$3:N$67="")*(M$3:M$67="P")*(G$3:G$67=G18)*(J$3:J$67&lt;J18)*(H$3:H$67&lt;&gt;H18)*(I$3:I$67="P")),-1*SUMPRODUCT((P$3:P$67="")*(O$3:O$67="")*(N$3:N$67="")*(M$3:M$67="P")*(G$3:G$67=G18)*(J$3:J$67&gt;J18)*(H$3:H$67="L5")*(I$3:I$67="P")))+1,"")))))</f>
        <v/>
      </c>
      <c r="B18" s="1" t="str" cm="1">
        <f t="array" ref="B18">IF(P18&lt;&gt;"",SUMPRODUCT((P$3:P$67&lt;&gt;"")*(G$3:G$67=G18)*(J$3:J$67&gt;J18))+1,IF(O18&lt;&gt;"",SUMPRODUCT((O$3:O$67&lt;&gt;"")*(P$3:P$67="")*(G$3:G$67=G18)*(J$3:J$67&gt;J18))+SUMPRODUCT((P$3:P$67&lt;&gt;"")*(G$3:G$67=G18))+1,IF(N18&lt;&gt;"",SUMPRODUCT((N$3:N$67&lt;&gt;"")*(G$3:G$67=G18)*(J$3:J$67&gt;J18))+1,IF(M18="P",SUMPRODUCT((O$3:O$67&lt;&gt;"")*(P$3:P$67="")*(G$3:G$67=G18))+SUMPRODUCT((P$3:P$67&lt;&gt;"")*(G$3:G$67=G18))+SUMPRODUCT((N$3:N$67&lt;&gt;"")*(G$3:G$67=G18))+SUMPRODUCT((P$3:P$67="")*(O$3:O$67="")*(N$3:N$67="")*(M$3:M$67="P")*(G$3:G$67=G18)*(J$3:J$67&gt;J18))+IF(H18="L5",SUMPRODUCT((P$3:P$67="")*(O$3:O$67="")*(N$3:N$67="")*(M$3:M$67="P")*(G$3:G$67=G18)*(J$3:J$67&lt;J18)*(H$3:H$67&lt;&gt;H18)),-1*SUMPRODUCT((P$3:P$67="")*(O$3:O$67="")*(N$3:N$67="")*(M$3:M$67="P")*(G$3:G$67=G18)*(J$3:J$67&gt;J18)*(H$3:H$67="L5")))+1,""))))</f>
        <v/>
      </c>
      <c r="C18" s="35" t="s">
        <v>140</v>
      </c>
      <c r="D18" s="35" t="str">
        <f>IF(E18="","",VLOOKUP(E18,'Coaching Points'!A:B,2,0))</f>
        <v>BC</v>
      </c>
      <c r="E18" s="35" t="s">
        <v>55</v>
      </c>
      <c r="F18" s="34">
        <v>2007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66</v>
      </c>
      <c r="I18" s="40"/>
      <c r="J18" s="4">
        <f t="shared" si="0"/>
        <v>43.500100000000003</v>
      </c>
      <c r="K18" s="3" t="str">
        <f>IF(G18="Not Age Eligible","",IF(MAX(T18,W18,Z18,AC18)&gt;=LOOKUP(G18,'Qualifying Scores'!$A$4:$A$7,'Qualifying Scores'!$G$4:$G$7),"P",""))</f>
        <v/>
      </c>
      <c r="L18" s="3" t="str">
        <f>IF(G18="Not Age Eligible","",IF(MAX(U18,X18,AA18,AD18)&gt;=LOOKUP(G18,'Qualifying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Scores'!$G$10:$G$13)),AND(Z18&gt;=LOOKUP(G18,'Qualifying Scores'!$A$4:$A$7,'Qualifying Scores'!$G$4:$G$7),AA18&gt;=LOOKUP(G18,'Qualifying Scores'!$A$10:$A$13,'Qualifying Scores'!$G$10:$G$13)),AND(W18&gt;=LOOKUP(G18,'Qualifying Scores'!$A$4:$A$7,'Qualifying Scores'!$G$4:$G$7),X18&gt;=LOOKUP(G18,'Qualifying Scores'!$A$10:$A$13,'Qualifying Scores'!$G$10:$G$13)),AND(AC18&gt;=LOOKUP(G18,'Qualifying Scores'!$A$4:$A$7,'Qualifying Scores'!$G$4:$G$7),AD18&gt;=LOOKUP(G18,'Qualifying Scores'!$A$10:$A$13,'Qualifying Scores'!$G$10:$G$13))),"P",""))</f>
        <v/>
      </c>
      <c r="Q18" s="1" t="str">
        <f t="shared" si="1"/>
        <v/>
      </c>
      <c r="R18" s="4">
        <f t="shared" si="2"/>
        <v>43.5</v>
      </c>
      <c r="S18" s="4">
        <f t="shared" si="3"/>
        <v>42.9</v>
      </c>
      <c r="T18" s="32">
        <v>42.9</v>
      </c>
      <c r="U18" s="37">
        <v>7.1</v>
      </c>
      <c r="V18" s="37">
        <v>0</v>
      </c>
      <c r="W18" s="33">
        <v>43.5</v>
      </c>
      <c r="X18" s="37">
        <v>7.1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$67&lt;&gt;"")*(G$3:G$67=G19)*(J$3:J$67&gt;J19)*(I$3:I$67="P"))+1,IF(O19&lt;&gt;"",SUMPRODUCT((O$3:O$67&lt;&gt;"")*(P$3:P$67="")*(G$3:G$67=G19)*(J$3:J$67&gt;J19)*(I$3:I$67="P"))+SUMPRODUCT((P$3:P$67&lt;&gt;"")*(G$3:G$67=G19)*(I$3:I$67="P"))+1,IF(N19&lt;&gt;"",SUMPRODUCT((N$3:N$67&lt;&gt;"")*(G$3:G$67=G19)*(J$3:J$67&gt;J19)*(I$3:I$67="P"))+1,IF(M19="P",SUMPRODUCT((O$3:O$67&lt;&gt;"")*(P$3:P$67="")*(G$3:G$67=G19)*(I$3:I$67="P"))+SUMPRODUCT((P$3:P$67&lt;&gt;"")*(G$3:G$67=G19)*(I$3:I$67="P"))+SUMPRODUCT((N$3:N$67&lt;&gt;"")*(G$3:G$67=G19)*(I$3:I$67="P"))+SUMPRODUCT((P$3:P$67="")*(O$3:O$67="")*(N$3:N$67="")*(M$3:M$67="P")*(G$3:G$67=G19)*(J$3:J$67&gt;J19)*(I$3:I$67="P"))+IF(H19="L5",SUMPRODUCT((P$3:P$67="")*(O$3:O$67="")*(N$3:N$67="")*(M$3:M$67="P")*(G$3:G$67=G19)*(J$3:J$67&lt;J19)*(H$3:H$67&lt;&gt;H19)*(I$3:I$67="P")),-1*SUMPRODUCT((P$3:P$67="")*(O$3:O$67="")*(N$3:N$67="")*(M$3:M$67="P")*(G$3:G$67=G19)*(J$3:J$67&gt;J19)*(H$3:H$67="L5")*(I$3:I$67="P")))+1,"")))))</f>
        <v/>
      </c>
      <c r="B19" s="1" t="str" cm="1">
        <f t="array" ref="B19">IF(P19&lt;&gt;"",SUMPRODUCT((P$3:P$67&lt;&gt;"")*(G$3:G$67=G19)*(J$3:J$67&gt;J19))+1,IF(O19&lt;&gt;"",SUMPRODUCT((O$3:O$67&lt;&gt;"")*(P$3:P$67="")*(G$3:G$67=G19)*(J$3:J$67&gt;J19))+SUMPRODUCT((P$3:P$67&lt;&gt;"")*(G$3:G$67=G19))+1,IF(N19&lt;&gt;"",SUMPRODUCT((N$3:N$67&lt;&gt;"")*(G$3:G$67=G19)*(J$3:J$67&gt;J19))+1,IF(M19="P",SUMPRODUCT((O$3:O$67&lt;&gt;"")*(P$3:P$67="")*(G$3:G$67=G19))+SUMPRODUCT((P$3:P$67&lt;&gt;"")*(G$3:G$67=G19))+SUMPRODUCT((N$3:N$67&lt;&gt;"")*(G$3:G$67=G19))+SUMPRODUCT((P$3:P$67="")*(O$3:O$67="")*(N$3:N$67="")*(M$3:M$67="P")*(G$3:G$67=G19)*(J$3:J$67&gt;J19))+IF(H19="L5",SUMPRODUCT((P$3:P$67="")*(O$3:O$67="")*(N$3:N$67="")*(M$3:M$67="P")*(G$3:G$67=G19)*(J$3:J$67&lt;J19)*(H$3:H$67&lt;&gt;H19)),-1*SUMPRODUCT((P$3:P$67="")*(O$3:O$67="")*(N$3:N$67="")*(M$3:M$67="P")*(G$3:G$67=G19)*(J$3:J$67&gt;J19)*(H$3:H$67="L5")))+1,""))))</f>
        <v/>
      </c>
      <c r="C19" s="35" t="s">
        <v>117</v>
      </c>
      <c r="D19" s="35" t="str">
        <f>IF(E19="","",VLOOKUP(E19,'Coaching Points'!A:B,2,0))</f>
        <v>BC</v>
      </c>
      <c r="E19" s="35" t="s">
        <v>59</v>
      </c>
      <c r="F19" s="34">
        <v>2003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64</v>
      </c>
      <c r="I19" s="40"/>
      <c r="J19" s="4">
        <f t="shared" si="0"/>
        <v>43.4</v>
      </c>
      <c r="K19" s="3" t="str">
        <f>IF(G19="Not Age Eligible","",IF(MAX(T19,W19,Z19,AC19)&gt;=LOOKUP(G19,'Qualifying Scores'!$A$4:$A$7,'Qualifying Scores'!$G$4:$G$7),"P",""))</f>
        <v/>
      </c>
      <c r="L19" s="3" t="str">
        <f>IF(G19="Not Age Eligible","",IF(MAX(U19,X19,AA19,AD19)&gt;=LOOKUP(G19,'Qualifying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Scores'!$G$10:$G$13)),AND(Z19&gt;=LOOKUP(G19,'Qualifying Scores'!$A$4:$A$7,'Qualifying Scores'!$G$4:$G$7),AA19&gt;=LOOKUP(G19,'Qualifying Scores'!$A$10:$A$13,'Qualifying Scores'!$G$10:$G$13)),AND(W19&gt;=LOOKUP(G19,'Qualifying Scores'!$A$4:$A$7,'Qualifying Scores'!$G$4:$G$7),X19&gt;=LOOKUP(G19,'Qualifying Scores'!$A$10:$A$13,'Qualifying Scores'!$G$10:$G$13)),AND(AC19&gt;=LOOKUP(G19,'Qualifying Scores'!$A$4:$A$7,'Qualifying Scores'!$G$4:$G$7),AD19&gt;=LOOKUP(G19,'Qualifying Scores'!$A$10:$A$13,'Qualifying Scores'!$G$10:$G$13))),"P",""))</f>
        <v/>
      </c>
      <c r="Q19" s="1" t="str">
        <f t="shared" si="1"/>
        <v/>
      </c>
      <c r="R19" s="4">
        <f t="shared" si="2"/>
        <v>43.4</v>
      </c>
      <c r="S19" s="4">
        <f t="shared" si="3"/>
        <v>42.9</v>
      </c>
      <c r="T19" s="32">
        <v>43.4</v>
      </c>
      <c r="U19" s="37">
        <v>6.1</v>
      </c>
      <c r="V19" s="37">
        <v>0</v>
      </c>
      <c r="W19" s="33">
        <v>42.9</v>
      </c>
      <c r="X19" s="37">
        <v>6</v>
      </c>
      <c r="Y19" s="37">
        <v>0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$67&lt;&gt;"")*(G$3:G$67=G20)*(J$3:J$67&gt;J20)*(I$3:I$67="P"))+1,IF(O20&lt;&gt;"",SUMPRODUCT((O$3:O$67&lt;&gt;"")*(P$3:P$67="")*(G$3:G$67=G20)*(J$3:J$67&gt;J20)*(I$3:I$67="P"))+SUMPRODUCT((P$3:P$67&lt;&gt;"")*(G$3:G$67=G20)*(I$3:I$67="P"))+1,IF(N20&lt;&gt;"",SUMPRODUCT((N$3:N$67&lt;&gt;"")*(G$3:G$67=G20)*(J$3:J$67&gt;J20)*(I$3:I$67="P"))+1,IF(M20="P",SUMPRODUCT((O$3:O$67&lt;&gt;"")*(P$3:P$67="")*(G$3:G$67=G20)*(I$3:I$67="P"))+SUMPRODUCT((P$3:P$67&lt;&gt;"")*(G$3:G$67=G20)*(I$3:I$67="P"))+SUMPRODUCT((N$3:N$67&lt;&gt;"")*(G$3:G$67=G20)*(I$3:I$67="P"))+SUMPRODUCT((P$3:P$67="")*(O$3:O$67="")*(N$3:N$67="")*(M$3:M$67="P")*(G$3:G$67=G20)*(J$3:J$67&gt;J20)*(I$3:I$67="P"))+IF(H20="L5",SUMPRODUCT((P$3:P$67="")*(O$3:O$67="")*(N$3:N$67="")*(M$3:M$67="P")*(G$3:G$67=G20)*(J$3:J$67&lt;J20)*(H$3:H$67&lt;&gt;H20)*(I$3:I$67="P")),-1*SUMPRODUCT((P$3:P$67="")*(O$3:O$67="")*(N$3:N$67="")*(M$3:M$67="P")*(G$3:G$67=G20)*(J$3:J$67&gt;J20)*(H$3:H$67="L5")*(I$3:I$67="P")))+1,"")))))</f>
        <v/>
      </c>
      <c r="B20" s="1" t="str" cm="1">
        <f t="array" ref="B20">IF(P20&lt;&gt;"",SUMPRODUCT((P$3:P$67&lt;&gt;"")*(G$3:G$67=G20)*(J$3:J$67&gt;J20))+1,IF(O20&lt;&gt;"",SUMPRODUCT((O$3:O$67&lt;&gt;"")*(P$3:P$67="")*(G$3:G$67=G20)*(J$3:J$67&gt;J20))+SUMPRODUCT((P$3:P$67&lt;&gt;"")*(G$3:G$67=G20))+1,IF(N20&lt;&gt;"",SUMPRODUCT((N$3:N$67&lt;&gt;"")*(G$3:G$67=G20)*(J$3:J$67&gt;J20))+1,IF(M20="P",SUMPRODUCT((O$3:O$67&lt;&gt;"")*(P$3:P$67="")*(G$3:G$67=G20))+SUMPRODUCT((P$3:P$67&lt;&gt;"")*(G$3:G$67=G20))+SUMPRODUCT((N$3:N$67&lt;&gt;"")*(G$3:G$67=G20))+SUMPRODUCT((P$3:P$67="")*(O$3:O$67="")*(N$3:N$67="")*(M$3:M$67="P")*(G$3:G$67=G20)*(J$3:J$67&gt;J20))+IF(H20="L5",SUMPRODUCT((P$3:P$67="")*(O$3:O$67="")*(N$3:N$67="")*(M$3:M$67="P")*(G$3:G$67=G20)*(J$3:J$67&lt;J20)*(H$3:H$67&lt;&gt;H20)),-1*SUMPRODUCT((P$3:P$67="")*(O$3:O$67="")*(N$3:N$67="")*(M$3:M$67="P")*(G$3:G$67=G20)*(J$3:J$67&gt;J20)*(H$3:H$67="L5")))+1,""))))</f>
        <v/>
      </c>
      <c r="C20" s="35" t="s">
        <v>183</v>
      </c>
      <c r="D20" s="35" t="str">
        <f>IF(E20="","",VLOOKUP(E20,'Coaching Points'!A:B,2,0))</f>
        <v>AB</v>
      </c>
      <c r="E20" s="35" t="s">
        <v>61</v>
      </c>
      <c r="F20" s="34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66</v>
      </c>
      <c r="I20" s="40"/>
      <c r="J20" s="4">
        <f t="shared" si="0"/>
        <v>43.3001</v>
      </c>
      <c r="K20" s="3" t="str">
        <f>IF(G20="Not Age Eligible","",IF(MAX(T20,W20,Z20,AC20)&gt;=LOOKUP(G20,'Qualifying Scores'!$A$4:$A$7,'Qualifying Scores'!$G$4:$G$7),"P",""))</f>
        <v/>
      </c>
      <c r="L20" s="3" t="str">
        <f>IF(G20="Not Age Eligible","",IF(MAX(U20,X20,AA20,AD20)&gt;=LOOKUP(G20,'Qualifying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Scores'!$G$10:$G$13)),AND(Z20&gt;=LOOKUP(G20,'Qualifying Scores'!$A$4:$A$7,'Qualifying Scores'!$G$4:$G$7),AA20&gt;=LOOKUP(G20,'Qualifying Scores'!$A$10:$A$13,'Qualifying Scores'!$G$10:$G$13)),AND(W20&gt;=LOOKUP(G20,'Qualifying Scores'!$A$4:$A$7,'Qualifying Scores'!$G$4:$G$7),X20&gt;=LOOKUP(G20,'Qualifying Scores'!$A$10:$A$13,'Qualifying Scores'!$G$10:$G$13)),AND(AC20&gt;=LOOKUP(G20,'Qualifying Scores'!$A$4:$A$7,'Qualifying Scores'!$G$4:$G$7),AD20&gt;=LOOKUP(G20,'Qualifying Scores'!$A$10:$A$13,'Qualifying Scores'!$G$10:$G$13))),"P",""))</f>
        <v/>
      </c>
      <c r="Q20" s="1" t="str">
        <f t="shared" si="1"/>
        <v/>
      </c>
      <c r="R20" s="4">
        <f t="shared" si="2"/>
        <v>43.3</v>
      </c>
      <c r="S20" s="4">
        <f t="shared" si="3"/>
        <v>42.3</v>
      </c>
      <c r="T20" s="32">
        <v>42.3</v>
      </c>
      <c r="U20" s="37">
        <v>6.5</v>
      </c>
      <c r="V20" s="37">
        <v>0</v>
      </c>
      <c r="W20" s="33">
        <v>43.3</v>
      </c>
      <c r="X20" s="37">
        <v>6.7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$67&lt;&gt;"")*(G$3:G$67=G21)*(J$3:J$67&gt;J21)*(I$3:I$67="P"))+1,IF(O21&lt;&gt;"",SUMPRODUCT((O$3:O$67&lt;&gt;"")*(P$3:P$67="")*(G$3:G$67=G21)*(J$3:J$67&gt;J21)*(I$3:I$67="P"))+SUMPRODUCT((P$3:P$67&lt;&gt;"")*(G$3:G$67=G21)*(I$3:I$67="P"))+1,IF(N21&lt;&gt;"",SUMPRODUCT((N$3:N$67&lt;&gt;"")*(G$3:G$67=G21)*(J$3:J$67&gt;J21)*(I$3:I$67="P"))+1,IF(M21="P",SUMPRODUCT((O$3:O$67&lt;&gt;"")*(P$3:P$67="")*(G$3:G$67=G21)*(I$3:I$67="P"))+SUMPRODUCT((P$3:P$67&lt;&gt;"")*(G$3:G$67=G21)*(I$3:I$67="P"))+SUMPRODUCT((N$3:N$67&lt;&gt;"")*(G$3:G$67=G21)*(I$3:I$67="P"))+SUMPRODUCT((P$3:P$67="")*(O$3:O$67="")*(N$3:N$67="")*(M$3:M$67="P")*(G$3:G$67=G21)*(J$3:J$67&gt;J21)*(I$3:I$67="P"))+IF(H21="L5",SUMPRODUCT((P$3:P$67="")*(O$3:O$67="")*(N$3:N$67="")*(M$3:M$67="P")*(G$3:G$67=G21)*(J$3:J$67&lt;J21)*(H$3:H$67&lt;&gt;H21)*(I$3:I$67="P")),-1*SUMPRODUCT((P$3:P$67="")*(O$3:O$67="")*(N$3:N$67="")*(M$3:M$67="P")*(G$3:G$67=G21)*(J$3:J$67&gt;J21)*(H$3:H$67="L5")*(I$3:I$67="P")))+1,"")))))</f>
        <v/>
      </c>
      <c r="B21" s="1" t="str" cm="1">
        <f t="array" ref="B21">IF(P21&lt;&gt;"",SUMPRODUCT((P$3:P$67&lt;&gt;"")*(G$3:G$67=G21)*(J$3:J$67&gt;J21))+1,IF(O21&lt;&gt;"",SUMPRODUCT((O$3:O$67&lt;&gt;"")*(P$3:P$67="")*(G$3:G$67=G21)*(J$3:J$67&gt;J21))+SUMPRODUCT((P$3:P$67&lt;&gt;"")*(G$3:G$67=G21))+1,IF(N21&lt;&gt;"",SUMPRODUCT((N$3:N$67&lt;&gt;"")*(G$3:G$67=G21)*(J$3:J$67&gt;J21))+1,IF(M21="P",SUMPRODUCT((O$3:O$67&lt;&gt;"")*(P$3:P$67="")*(G$3:G$67=G21))+SUMPRODUCT((P$3:P$67&lt;&gt;"")*(G$3:G$67=G21))+SUMPRODUCT((N$3:N$67&lt;&gt;"")*(G$3:G$67=G21))+SUMPRODUCT((P$3:P$67="")*(O$3:O$67="")*(N$3:N$67="")*(M$3:M$67="P")*(G$3:G$67=G21)*(J$3:J$67&gt;J21))+IF(H21="L5",SUMPRODUCT((P$3:P$67="")*(O$3:O$67="")*(N$3:N$67="")*(M$3:M$67="P")*(G$3:G$67=G21)*(J$3:J$67&lt;J21)*(H$3:H$67&lt;&gt;H21)),-1*SUMPRODUCT((P$3:P$67="")*(O$3:O$67="")*(N$3:N$67="")*(M$3:M$67="P")*(G$3:G$67=G21)*(J$3:J$67&gt;J21)*(H$3:H$67="L5")))+1,""))))</f>
        <v/>
      </c>
      <c r="C21" s="35" t="s">
        <v>308</v>
      </c>
      <c r="D21" s="35" t="str">
        <f>IF(E21="","",VLOOKUP(E21,'Coaching Points'!A:B,2,0))</f>
        <v>AB</v>
      </c>
      <c r="E21" s="35" t="s">
        <v>251</v>
      </c>
      <c r="F21" s="34">
        <v>2007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64</v>
      </c>
      <c r="I21" s="40"/>
      <c r="J21" s="4">
        <f t="shared" si="0"/>
        <v>42.5</v>
      </c>
      <c r="K21" s="3" t="str">
        <f>IF(G21="Not Age Eligible","",IF(MAX(T21,W21,Z21,AC21)&gt;=LOOKUP(G21,'Qualifying Scores'!$A$4:$A$7,'Qualifying Scores'!$G$4:$G$7),"P",""))</f>
        <v/>
      </c>
      <c r="L21" s="3" t="str">
        <f>IF(G21="Not Age Eligible","",IF(MAX(U21,X21,AA21,AD21)&gt;=LOOKUP(G21,'Qualifying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Scores'!$G$10:$G$13)),AND(Z21&gt;=LOOKUP(G21,'Qualifying Scores'!$A$4:$A$7,'Qualifying Scores'!$G$4:$G$7),AA21&gt;=LOOKUP(G21,'Qualifying Scores'!$A$10:$A$13,'Qualifying Scores'!$G$10:$G$13)),AND(W21&gt;=LOOKUP(G21,'Qualifying Scores'!$A$4:$A$7,'Qualifying Scores'!$G$4:$G$7),X21&gt;=LOOKUP(G21,'Qualifying Scores'!$A$10:$A$13,'Qualifying Scores'!$G$10:$G$13)),AND(AC21&gt;=LOOKUP(G21,'Qualifying Scores'!$A$4:$A$7,'Qualifying Scores'!$G$4:$G$7),AD21&gt;=LOOKUP(G21,'Qualifying Scores'!$A$10:$A$13,'Qualifying Scores'!$G$10:$G$13))),"P",""))</f>
        <v/>
      </c>
      <c r="Q21" s="1" t="str">
        <f t="shared" si="1"/>
        <v/>
      </c>
      <c r="R21" s="4">
        <f t="shared" si="2"/>
        <v>42.5</v>
      </c>
      <c r="S21" s="4">
        <f t="shared" si="3"/>
        <v>35.5</v>
      </c>
      <c r="T21" s="32">
        <v>42.5</v>
      </c>
      <c r="U21" s="37">
        <v>6.3000000000000007</v>
      </c>
      <c r="V21" s="37">
        <v>0</v>
      </c>
      <c r="W21" s="33">
        <v>35.5</v>
      </c>
      <c r="X21" s="37">
        <v>1.1000000000000001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$67&lt;&gt;"")*(G$3:G$67=G22)*(J$3:J$67&gt;J22)*(I$3:I$67="P"))+1,IF(O22&lt;&gt;"",SUMPRODUCT((O$3:O$67&lt;&gt;"")*(P$3:P$67="")*(G$3:G$67=G22)*(J$3:J$67&gt;J22)*(I$3:I$67="P"))+SUMPRODUCT((P$3:P$67&lt;&gt;"")*(G$3:G$67=G22)*(I$3:I$67="P"))+1,IF(N22&lt;&gt;"",SUMPRODUCT((N$3:N$67&lt;&gt;"")*(G$3:G$67=G22)*(J$3:J$67&gt;J22)*(I$3:I$67="P"))+1,IF(M22="P",SUMPRODUCT((O$3:O$67&lt;&gt;"")*(P$3:P$67="")*(G$3:G$67=G22)*(I$3:I$67="P"))+SUMPRODUCT((P$3:P$67&lt;&gt;"")*(G$3:G$67=G22)*(I$3:I$67="P"))+SUMPRODUCT((N$3:N$67&lt;&gt;"")*(G$3:G$67=G22)*(I$3:I$67="P"))+SUMPRODUCT((P$3:P$67="")*(O$3:O$67="")*(N$3:N$67="")*(M$3:M$67="P")*(G$3:G$67=G22)*(J$3:J$67&gt;J22)*(I$3:I$67="P"))+IF(H22="L5",SUMPRODUCT((P$3:P$67="")*(O$3:O$67="")*(N$3:N$67="")*(M$3:M$67="P")*(G$3:G$67=G22)*(J$3:J$67&lt;J22)*(H$3:H$67&lt;&gt;H22)*(I$3:I$67="P")),-1*SUMPRODUCT((P$3:P$67="")*(O$3:O$67="")*(N$3:N$67="")*(M$3:M$67="P")*(G$3:G$67=G22)*(J$3:J$67&gt;J22)*(H$3:H$67="L5")*(I$3:I$67="P")))+1,"")))))</f>
        <v/>
      </c>
      <c r="B22" s="1" t="str" cm="1">
        <f t="array" ref="B22">IF(P22&lt;&gt;"",SUMPRODUCT((P$3:P$67&lt;&gt;"")*(G$3:G$67=G22)*(J$3:J$67&gt;J22))+1,IF(O22&lt;&gt;"",SUMPRODUCT((O$3:O$67&lt;&gt;"")*(P$3:P$67="")*(G$3:G$67=G22)*(J$3:J$67&gt;J22))+SUMPRODUCT((P$3:P$67&lt;&gt;"")*(G$3:G$67=G22))+1,IF(N22&lt;&gt;"",SUMPRODUCT((N$3:N$67&lt;&gt;"")*(G$3:G$67=G22)*(J$3:J$67&gt;J22))+1,IF(M22="P",SUMPRODUCT((O$3:O$67&lt;&gt;"")*(P$3:P$67="")*(G$3:G$67=G22))+SUMPRODUCT((P$3:P$67&lt;&gt;"")*(G$3:G$67=G22))+SUMPRODUCT((N$3:N$67&lt;&gt;"")*(G$3:G$67=G22))+SUMPRODUCT((P$3:P$67="")*(O$3:O$67="")*(N$3:N$67="")*(M$3:M$67="P")*(G$3:G$67=G22)*(J$3:J$67&gt;J22))+IF(H22="L5",SUMPRODUCT((P$3:P$67="")*(O$3:O$67="")*(N$3:N$67="")*(M$3:M$67="P")*(G$3:G$67=G22)*(J$3:J$67&lt;J22)*(H$3:H$67&lt;&gt;H22)),-1*SUMPRODUCT((P$3:P$67="")*(O$3:O$67="")*(N$3:N$67="")*(M$3:M$67="P")*(G$3:G$67=G22)*(J$3:J$67&gt;J22)*(H$3:H$67="L5")))+1,""))))</f>
        <v/>
      </c>
      <c r="C22" s="35" t="s">
        <v>187</v>
      </c>
      <c r="D22" s="35" t="str">
        <f>IF(E22="","",VLOOKUP(E22,'Coaching Points'!A:B,2,0))</f>
        <v>ON</v>
      </c>
      <c r="E22" s="35" t="s">
        <v>45</v>
      </c>
      <c r="F22" s="34">
        <v>2007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64</v>
      </c>
      <c r="I22" s="40"/>
      <c r="J22" s="4">
        <f t="shared" si="0"/>
        <v>42.3</v>
      </c>
      <c r="K22" s="3" t="str">
        <f>IF(G22="Not Age Eligible","",IF(MAX(T22,W22,Z22,AC22)&gt;=LOOKUP(G22,'Qualifying Scores'!$A$4:$A$7,'Qualifying Scores'!$G$4:$G$7),"P",""))</f>
        <v/>
      </c>
      <c r="L22" s="3" t="str">
        <f>IF(G22="Not Age Eligible","",IF(MAX(U22,X22,AA22,AD22)&gt;=LOOKUP(G22,'Qualifying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Scores'!$G$10:$G$13)),AND(Z22&gt;=LOOKUP(G22,'Qualifying Scores'!$A$4:$A$7,'Qualifying Scores'!$G$4:$G$7),AA22&gt;=LOOKUP(G22,'Qualifying Scores'!$A$10:$A$13,'Qualifying Scores'!$G$10:$G$13)),AND(W22&gt;=LOOKUP(G22,'Qualifying Scores'!$A$4:$A$7,'Qualifying Scores'!$G$4:$G$7),X22&gt;=LOOKUP(G22,'Qualifying Scores'!$A$10:$A$13,'Qualifying Scores'!$G$10:$G$13)),AND(AC22&gt;=LOOKUP(G22,'Qualifying Scores'!$A$4:$A$7,'Qualifying Scores'!$G$4:$G$7),AD22&gt;=LOOKUP(G22,'Qualifying Scores'!$A$10:$A$13,'Qualifying Scores'!$G$10:$G$13))),"P",""))</f>
        <v/>
      </c>
      <c r="Q22" s="1" t="str">
        <f t="shared" si="1"/>
        <v/>
      </c>
      <c r="R22" s="4">
        <f t="shared" si="2"/>
        <v>42.3</v>
      </c>
      <c r="S22" s="4">
        <f t="shared" si="3"/>
        <v>42</v>
      </c>
      <c r="T22" s="32">
        <v>42.3</v>
      </c>
      <c r="U22" s="37">
        <v>6.6</v>
      </c>
      <c r="V22" s="37">
        <v>0</v>
      </c>
      <c r="W22" s="33">
        <v>42</v>
      </c>
      <c r="X22" s="37">
        <v>5.7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$67&lt;&gt;"")*(G$3:G$67=G23)*(J$3:J$67&gt;J23)*(I$3:I$67="P"))+1,IF(O23&lt;&gt;"",SUMPRODUCT((O$3:O$67&lt;&gt;"")*(P$3:P$67="")*(G$3:G$67=G23)*(J$3:J$67&gt;J23)*(I$3:I$67="P"))+SUMPRODUCT((P$3:P$67&lt;&gt;"")*(G$3:G$67=G23)*(I$3:I$67="P"))+1,IF(N23&lt;&gt;"",SUMPRODUCT((N$3:N$67&lt;&gt;"")*(G$3:G$67=G23)*(J$3:J$67&gt;J23)*(I$3:I$67="P"))+1,IF(M23="P",SUMPRODUCT((O$3:O$67&lt;&gt;"")*(P$3:P$67="")*(G$3:G$67=G23)*(I$3:I$67="P"))+SUMPRODUCT((P$3:P$67&lt;&gt;"")*(G$3:G$67=G23)*(I$3:I$67="P"))+SUMPRODUCT((N$3:N$67&lt;&gt;"")*(G$3:G$67=G23)*(I$3:I$67="P"))+SUMPRODUCT((P$3:P$67="")*(O$3:O$67="")*(N$3:N$67="")*(M$3:M$67="P")*(G$3:G$67=G23)*(J$3:J$67&gt;J23)*(I$3:I$67="P"))+IF(H23="L5",SUMPRODUCT((P$3:P$67="")*(O$3:O$67="")*(N$3:N$67="")*(M$3:M$67="P")*(G$3:G$67=G23)*(J$3:J$67&lt;J23)*(H$3:H$67&lt;&gt;H23)*(I$3:I$67="P")),-1*SUMPRODUCT((P$3:P$67="")*(O$3:O$67="")*(N$3:N$67="")*(M$3:M$67="P")*(G$3:G$67=G23)*(J$3:J$67&gt;J23)*(H$3:H$67="L5")*(I$3:I$67="P")))+1,"")))))</f>
        <v/>
      </c>
      <c r="B23" s="1" t="str" cm="1">
        <f t="array" ref="B23">IF(P23&lt;&gt;"",SUMPRODUCT((P$3:P$67&lt;&gt;"")*(G$3:G$67=G23)*(J$3:J$67&gt;J23))+1,IF(O23&lt;&gt;"",SUMPRODUCT((O$3:O$67&lt;&gt;"")*(P$3:P$67="")*(G$3:G$67=G23)*(J$3:J$67&gt;J23))+SUMPRODUCT((P$3:P$67&lt;&gt;"")*(G$3:G$67=G23))+1,IF(N23&lt;&gt;"",SUMPRODUCT((N$3:N$67&lt;&gt;"")*(G$3:G$67=G23)*(J$3:J$67&gt;J23))+1,IF(M23="P",SUMPRODUCT((O$3:O$67&lt;&gt;"")*(P$3:P$67="")*(G$3:G$67=G23))+SUMPRODUCT((P$3:P$67&lt;&gt;"")*(G$3:G$67=G23))+SUMPRODUCT((N$3:N$67&lt;&gt;"")*(G$3:G$67=G23))+SUMPRODUCT((P$3:P$67="")*(O$3:O$67="")*(N$3:N$67="")*(M$3:M$67="P")*(G$3:G$67=G23)*(J$3:J$67&gt;J23))+IF(H23="L5",SUMPRODUCT((P$3:P$67="")*(O$3:O$67="")*(N$3:N$67="")*(M$3:M$67="P")*(G$3:G$67=G23)*(J$3:J$67&lt;J23)*(H$3:H$67&lt;&gt;H23)),-1*SUMPRODUCT((P$3:P$67="")*(O$3:O$67="")*(N$3:N$67="")*(M$3:M$67="P")*(G$3:G$67=G23)*(J$3:J$67&gt;J23)*(H$3:H$67="L5")))+1,""))))</f>
        <v/>
      </c>
      <c r="C23" s="35" t="s">
        <v>259</v>
      </c>
      <c r="D23" s="35" t="str">
        <f>IF(E23="","",VLOOKUP(E23,'Coaching Points'!A:B,2,0))</f>
        <v>AB</v>
      </c>
      <c r="E23" s="35" t="s">
        <v>62</v>
      </c>
      <c r="F23" s="34">
        <v>2004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64</v>
      </c>
      <c r="I23" s="40"/>
      <c r="J23" s="4">
        <f t="shared" si="0"/>
        <v>42.3</v>
      </c>
      <c r="K23" s="3" t="str">
        <f>IF(G23="Not Age Eligible","",IF(MAX(T23,W23,Z23,AC23)&gt;=LOOKUP(G23,'Qualifying Scores'!$A$4:$A$7,'Qualifying Scores'!$G$4:$G$7),"P",""))</f>
        <v/>
      </c>
      <c r="L23" s="3" t="str">
        <f>IF(G23="Not Age Eligible","",IF(MAX(U23,X23,AA23,AD23)&gt;=LOOKUP(G23,'Qualifying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Scores'!$G$10:$G$13)),AND(Z23&gt;=LOOKUP(G23,'Qualifying Scores'!$A$4:$A$7,'Qualifying Scores'!$G$4:$G$7),AA23&gt;=LOOKUP(G23,'Qualifying Scores'!$A$10:$A$13,'Qualifying Scores'!$G$10:$G$13)),AND(W23&gt;=LOOKUP(G23,'Qualifying Scores'!$A$4:$A$7,'Qualifying Scores'!$G$4:$G$7),X23&gt;=LOOKUP(G23,'Qualifying Scores'!$A$10:$A$13,'Qualifying Scores'!$G$10:$G$13)),AND(AC23&gt;=LOOKUP(G23,'Qualifying Scores'!$A$4:$A$7,'Qualifying Scores'!$G$4:$G$7),AD23&gt;=LOOKUP(G23,'Qualifying Scores'!$A$10:$A$13,'Qualifying Scores'!$G$10:$G$13))),"P",""))</f>
        <v/>
      </c>
      <c r="Q23" s="1" t="str">
        <f t="shared" si="1"/>
        <v/>
      </c>
      <c r="R23" s="4">
        <f t="shared" si="2"/>
        <v>42.3</v>
      </c>
      <c r="S23" s="4">
        <f t="shared" si="3"/>
        <v>38.799999999999997</v>
      </c>
      <c r="T23" s="32">
        <v>42.3</v>
      </c>
      <c r="U23" s="37">
        <v>5.8000000000000007</v>
      </c>
      <c r="V23" s="37">
        <v>0</v>
      </c>
      <c r="W23" s="33">
        <v>38.799999999999997</v>
      </c>
      <c r="X23" s="37">
        <v>2.6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$67&lt;&gt;"")*(G$3:G$67=G24)*(J$3:J$67&gt;J24)*(I$3:I$67="P"))+1,IF(O24&lt;&gt;"",SUMPRODUCT((O$3:O$67&lt;&gt;"")*(P$3:P$67="")*(G$3:G$67=G24)*(J$3:J$67&gt;J24)*(I$3:I$67="P"))+SUMPRODUCT((P$3:P$67&lt;&gt;"")*(G$3:G$67=G24)*(I$3:I$67="P"))+1,IF(N24&lt;&gt;"",SUMPRODUCT((N$3:N$67&lt;&gt;"")*(G$3:G$67=G24)*(J$3:J$67&gt;J24)*(I$3:I$67="P"))+1,IF(M24="P",SUMPRODUCT((O$3:O$67&lt;&gt;"")*(P$3:P$67="")*(G$3:G$67=G24)*(I$3:I$67="P"))+SUMPRODUCT((P$3:P$67&lt;&gt;"")*(G$3:G$67=G24)*(I$3:I$67="P"))+SUMPRODUCT((N$3:N$67&lt;&gt;"")*(G$3:G$67=G24)*(I$3:I$67="P"))+SUMPRODUCT((P$3:P$67="")*(O$3:O$67="")*(N$3:N$67="")*(M$3:M$67="P")*(G$3:G$67=G24)*(J$3:J$67&gt;J24)*(I$3:I$67="P"))+IF(H24="L5",SUMPRODUCT((P$3:P$67="")*(O$3:O$67="")*(N$3:N$67="")*(M$3:M$67="P")*(G$3:G$67=G24)*(J$3:J$67&lt;J24)*(H$3:H$67&lt;&gt;H24)*(I$3:I$67="P")),-1*SUMPRODUCT((P$3:P$67="")*(O$3:O$67="")*(N$3:N$67="")*(M$3:M$67="P")*(G$3:G$67=G24)*(J$3:J$67&gt;J24)*(H$3:H$67="L5")*(I$3:I$67="P")))+1,"")))))</f>
        <v/>
      </c>
      <c r="B24" s="1" t="str" cm="1">
        <f t="array" ref="B24">IF(P24&lt;&gt;"",SUMPRODUCT((P$3:P$67&lt;&gt;"")*(G$3:G$67=G24)*(J$3:J$67&gt;J24))+1,IF(O24&lt;&gt;"",SUMPRODUCT((O$3:O$67&lt;&gt;"")*(P$3:P$67="")*(G$3:G$67=G24)*(J$3:J$67&gt;J24))+SUMPRODUCT((P$3:P$67&lt;&gt;"")*(G$3:G$67=G24))+1,IF(N24&lt;&gt;"",SUMPRODUCT((N$3:N$67&lt;&gt;"")*(G$3:G$67=G24)*(J$3:J$67&gt;J24))+1,IF(M24="P",SUMPRODUCT((O$3:O$67&lt;&gt;"")*(P$3:P$67="")*(G$3:G$67=G24))+SUMPRODUCT((P$3:P$67&lt;&gt;"")*(G$3:G$67=G24))+SUMPRODUCT((N$3:N$67&lt;&gt;"")*(G$3:G$67=G24))+SUMPRODUCT((P$3:P$67="")*(O$3:O$67="")*(N$3:N$67="")*(M$3:M$67="P")*(G$3:G$67=G24)*(J$3:J$67&gt;J24))+IF(H24="L5",SUMPRODUCT((P$3:P$67="")*(O$3:O$67="")*(N$3:N$67="")*(M$3:M$67="P")*(G$3:G$67=G24)*(J$3:J$67&lt;J24)*(H$3:H$67&lt;&gt;H24)),-1*SUMPRODUCT((P$3:P$67="")*(O$3:O$67="")*(N$3:N$67="")*(M$3:M$67="P")*(G$3:G$67=G24)*(J$3:J$67&gt;J24)*(H$3:H$67="L5")))+1,""))))</f>
        <v/>
      </c>
      <c r="C24" s="35" t="s">
        <v>109</v>
      </c>
      <c r="D24" s="35" t="str">
        <f>IF(E24="","",VLOOKUP(E24,'Coaching Points'!A:B,2,0))</f>
        <v>ON</v>
      </c>
      <c r="E24" s="35" t="s">
        <v>45</v>
      </c>
      <c r="F24" s="34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64</v>
      </c>
      <c r="I24" s="40"/>
      <c r="J24" s="4">
        <f t="shared" si="0"/>
        <v>42.1</v>
      </c>
      <c r="K24" s="3" t="str">
        <f>IF(G24="Not Age Eligible","",IF(MAX(T24,W24,Z24,AC24)&gt;=LOOKUP(G24,'Qualifying Scores'!$A$4:$A$7,'Qualifying Scores'!$G$4:$G$7),"P",""))</f>
        <v/>
      </c>
      <c r="L24" s="3" t="str">
        <f>IF(G24="Not Age Eligible","",IF(MAX(U24,X24,AA24,AD24)&gt;=LOOKUP(G24,'Qualifying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Scores'!$G$10:$G$13)),AND(Z24&gt;=LOOKUP(G24,'Qualifying Scores'!$A$4:$A$7,'Qualifying Scores'!$G$4:$G$7),AA24&gt;=LOOKUP(G24,'Qualifying Scores'!$A$10:$A$13,'Qualifying Scores'!$G$10:$G$13)),AND(W24&gt;=LOOKUP(G24,'Qualifying Scores'!$A$4:$A$7,'Qualifying Scores'!$G$4:$G$7),X24&gt;=LOOKUP(G24,'Qualifying Scores'!$A$10:$A$13,'Qualifying Scores'!$G$10:$G$13)),AND(AC24&gt;=LOOKUP(G24,'Qualifying Scores'!$A$4:$A$7,'Qualifying Scores'!$G$4:$G$7),AD24&gt;=LOOKUP(G24,'Qualifying Scores'!$A$10:$A$13,'Qualifying Scores'!$G$10:$G$13))),"P",""))</f>
        <v/>
      </c>
      <c r="Q24" s="1" t="str">
        <f t="shared" si="1"/>
        <v/>
      </c>
      <c r="R24" s="4">
        <f t="shared" si="2"/>
        <v>42.1</v>
      </c>
      <c r="S24" s="4">
        <f t="shared" si="3"/>
        <v>39.200000000000003</v>
      </c>
      <c r="T24" s="32">
        <v>42.1</v>
      </c>
      <c r="U24" s="37">
        <v>5.4</v>
      </c>
      <c r="V24" s="37">
        <v>0</v>
      </c>
      <c r="W24" s="33">
        <v>39.200000000000003</v>
      </c>
      <c r="X24" s="37">
        <v>2.8</v>
      </c>
      <c r="Y24" s="37">
        <v>0</v>
      </c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$67&lt;&gt;"")*(G$3:G$67=G25)*(J$3:J$67&gt;J25)*(I$3:I$67="P"))+1,IF(O25&lt;&gt;"",SUMPRODUCT((O$3:O$67&lt;&gt;"")*(P$3:P$67="")*(G$3:G$67=G25)*(J$3:J$67&gt;J25)*(I$3:I$67="P"))+SUMPRODUCT((P$3:P$67&lt;&gt;"")*(G$3:G$67=G25)*(I$3:I$67="P"))+1,IF(N25&lt;&gt;"",SUMPRODUCT((N$3:N$67&lt;&gt;"")*(G$3:G$67=G25)*(J$3:J$67&gt;J25)*(I$3:I$67="P"))+1,IF(M25="P",SUMPRODUCT((O$3:O$67&lt;&gt;"")*(P$3:P$67="")*(G$3:G$67=G25)*(I$3:I$67="P"))+SUMPRODUCT((P$3:P$67&lt;&gt;"")*(G$3:G$67=G25)*(I$3:I$67="P"))+SUMPRODUCT((N$3:N$67&lt;&gt;"")*(G$3:G$67=G25)*(I$3:I$67="P"))+SUMPRODUCT((P$3:P$67="")*(O$3:O$67="")*(N$3:N$67="")*(M$3:M$67="P")*(G$3:G$67=G25)*(J$3:J$67&gt;J25)*(I$3:I$67="P"))+IF(H25="L5",SUMPRODUCT((P$3:P$67="")*(O$3:O$67="")*(N$3:N$67="")*(M$3:M$67="P")*(G$3:G$67=G25)*(J$3:J$67&lt;J25)*(H$3:H$67&lt;&gt;H25)*(I$3:I$67="P")),-1*SUMPRODUCT((P$3:P$67="")*(O$3:O$67="")*(N$3:N$67="")*(M$3:M$67="P")*(G$3:G$67=G25)*(J$3:J$67&gt;J25)*(H$3:H$67="L5")*(I$3:I$67="P")))+1,"")))))</f>
        <v/>
      </c>
      <c r="B25" s="1" t="str" cm="1">
        <f t="array" ref="B25">IF(P25&lt;&gt;"",SUMPRODUCT((P$3:P$67&lt;&gt;"")*(G$3:G$67=G25)*(J$3:J$67&gt;J25))+1,IF(O25&lt;&gt;"",SUMPRODUCT((O$3:O$67&lt;&gt;"")*(P$3:P$67="")*(G$3:G$67=G25)*(J$3:J$67&gt;J25))+SUMPRODUCT((P$3:P$67&lt;&gt;"")*(G$3:G$67=G25))+1,IF(N25&lt;&gt;"",SUMPRODUCT((N$3:N$67&lt;&gt;"")*(G$3:G$67=G25)*(J$3:J$67&gt;J25))+1,IF(M25="P",SUMPRODUCT((O$3:O$67&lt;&gt;"")*(P$3:P$67="")*(G$3:G$67=G25))+SUMPRODUCT((P$3:P$67&lt;&gt;"")*(G$3:G$67=G25))+SUMPRODUCT((N$3:N$67&lt;&gt;"")*(G$3:G$67=G25))+SUMPRODUCT((P$3:P$67="")*(O$3:O$67="")*(N$3:N$67="")*(M$3:M$67="P")*(G$3:G$67=G25)*(J$3:J$67&gt;J25))+IF(H25="L5",SUMPRODUCT((P$3:P$67="")*(O$3:O$67="")*(N$3:N$67="")*(M$3:M$67="P")*(G$3:G$67=G25)*(J$3:J$67&lt;J25)*(H$3:H$67&lt;&gt;H25)),-1*SUMPRODUCT((P$3:P$67="")*(O$3:O$67="")*(N$3:N$67="")*(M$3:M$67="P")*(G$3:G$67=G25)*(J$3:J$67&gt;J25)*(H$3:H$67="L5")))+1,""))))</f>
        <v/>
      </c>
      <c r="C25" s="35" t="s">
        <v>191</v>
      </c>
      <c r="D25" s="35" t="str">
        <f>IF(E25="","",VLOOKUP(E25,'Coaching Points'!A:B,2,0))</f>
        <v>BC</v>
      </c>
      <c r="E25" s="35" t="s">
        <v>70</v>
      </c>
      <c r="F25" s="34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64</v>
      </c>
      <c r="I25" s="40"/>
      <c r="J25" s="4">
        <f t="shared" si="0"/>
        <v>42</v>
      </c>
      <c r="K25" s="3" t="str">
        <f>IF(G25="Not Age Eligible","",IF(MAX(T25,W25,Z25,AC25)&gt;=LOOKUP(G25,'Qualifying Scores'!$A$4:$A$7,'Qualifying Scores'!$G$4:$G$7),"P",""))</f>
        <v/>
      </c>
      <c r="L25" s="3" t="str">
        <f>IF(G25="Not Age Eligible","",IF(MAX(U25,X25,AA25,AD25)&gt;=LOOKUP(G25,'Qualifying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Scores'!$G$10:$G$13)),AND(Z25&gt;=LOOKUP(G25,'Qualifying Scores'!$A$4:$A$7,'Qualifying Scores'!$G$4:$G$7),AA25&gt;=LOOKUP(G25,'Qualifying Scores'!$A$10:$A$13,'Qualifying Scores'!$G$10:$G$13)),AND(W25&gt;=LOOKUP(G25,'Qualifying Scores'!$A$4:$A$7,'Qualifying Scores'!$G$4:$G$7),X25&gt;=LOOKUP(G25,'Qualifying Scores'!$A$10:$A$13,'Qualifying Scores'!$G$10:$G$13)),AND(AC25&gt;=LOOKUP(G25,'Qualifying Scores'!$A$4:$A$7,'Qualifying Scores'!$G$4:$G$7),AD25&gt;=LOOKUP(G25,'Qualifying Scores'!$A$10:$A$13,'Qualifying Scores'!$G$10:$G$13))),"P",""))</f>
        <v/>
      </c>
      <c r="Q25" s="1" t="str">
        <f t="shared" si="1"/>
        <v/>
      </c>
      <c r="R25" s="4">
        <f t="shared" si="2"/>
        <v>42</v>
      </c>
      <c r="S25" s="4">
        <f t="shared" si="3"/>
        <v>39.4</v>
      </c>
      <c r="T25" s="32">
        <v>42</v>
      </c>
      <c r="U25" s="37">
        <v>5.7</v>
      </c>
      <c r="V25" s="37">
        <v>0</v>
      </c>
      <c r="W25" s="33">
        <v>39.4</v>
      </c>
      <c r="X25" s="37">
        <v>3.6</v>
      </c>
      <c r="Y25" s="37">
        <v>0</v>
      </c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$67&lt;&gt;"")*(G$3:G$67=G26)*(J$3:J$67&gt;J26)*(I$3:I$67="P"))+1,IF(O26&lt;&gt;"",SUMPRODUCT((O$3:O$67&lt;&gt;"")*(P$3:P$67="")*(G$3:G$67=G26)*(J$3:J$67&gt;J26)*(I$3:I$67="P"))+SUMPRODUCT((P$3:P$67&lt;&gt;"")*(G$3:G$67=G26)*(I$3:I$67="P"))+1,IF(N26&lt;&gt;"",SUMPRODUCT((N$3:N$67&lt;&gt;"")*(G$3:G$67=G26)*(J$3:J$67&gt;J26)*(I$3:I$67="P"))+1,IF(M26="P",SUMPRODUCT((O$3:O$67&lt;&gt;"")*(P$3:P$67="")*(G$3:G$67=G26)*(I$3:I$67="P"))+SUMPRODUCT((P$3:P$67&lt;&gt;"")*(G$3:G$67=G26)*(I$3:I$67="P"))+SUMPRODUCT((N$3:N$67&lt;&gt;"")*(G$3:G$67=G26)*(I$3:I$67="P"))+SUMPRODUCT((P$3:P$67="")*(O$3:O$67="")*(N$3:N$67="")*(M$3:M$67="P")*(G$3:G$67=G26)*(J$3:J$67&gt;J26)*(I$3:I$67="P"))+IF(H26="L5",SUMPRODUCT((P$3:P$67="")*(O$3:O$67="")*(N$3:N$67="")*(M$3:M$67="P")*(G$3:G$67=G26)*(J$3:J$67&lt;J26)*(H$3:H$67&lt;&gt;H26)*(I$3:I$67="P")),-1*SUMPRODUCT((P$3:P$67="")*(O$3:O$67="")*(N$3:N$67="")*(M$3:M$67="P")*(G$3:G$67=G26)*(J$3:J$67&gt;J26)*(H$3:H$67="L5")*(I$3:I$67="P")))+1,"")))))</f>
        <v/>
      </c>
      <c r="B26" s="1" t="str" cm="1">
        <f t="array" ref="B26">IF(P26&lt;&gt;"",SUMPRODUCT((P$3:P$67&lt;&gt;"")*(G$3:G$67=G26)*(J$3:J$67&gt;J26))+1,IF(O26&lt;&gt;"",SUMPRODUCT((O$3:O$67&lt;&gt;"")*(P$3:P$67="")*(G$3:G$67=G26)*(J$3:J$67&gt;J26))+SUMPRODUCT((P$3:P$67&lt;&gt;"")*(G$3:G$67=G26))+1,IF(N26&lt;&gt;"",SUMPRODUCT((N$3:N$67&lt;&gt;"")*(G$3:G$67=G26)*(J$3:J$67&gt;J26))+1,IF(M26="P",SUMPRODUCT((O$3:O$67&lt;&gt;"")*(P$3:P$67="")*(G$3:G$67=G26))+SUMPRODUCT((P$3:P$67&lt;&gt;"")*(G$3:G$67=G26))+SUMPRODUCT((N$3:N$67&lt;&gt;"")*(G$3:G$67=G26))+SUMPRODUCT((P$3:P$67="")*(O$3:O$67="")*(N$3:N$67="")*(M$3:M$67="P")*(G$3:G$67=G26)*(J$3:J$67&gt;J26))+IF(H26="L5",SUMPRODUCT((P$3:P$67="")*(O$3:O$67="")*(N$3:N$67="")*(M$3:M$67="P")*(G$3:G$67=G26)*(J$3:J$67&lt;J26)*(H$3:H$67&lt;&gt;H26)),-1*SUMPRODUCT((P$3:P$67="")*(O$3:O$67="")*(N$3:N$67="")*(M$3:M$67="P")*(G$3:G$67=G26)*(J$3:J$67&gt;J26)*(H$3:H$67="L5")))+1,""))))</f>
        <v/>
      </c>
      <c r="C26" s="35" t="s">
        <v>208</v>
      </c>
      <c r="D26" s="35" t="s">
        <v>149</v>
      </c>
      <c r="E26" s="35" t="s">
        <v>78</v>
      </c>
      <c r="F26" s="34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64</v>
      </c>
      <c r="I26" s="40"/>
      <c r="J26" s="4">
        <f t="shared" si="0"/>
        <v>41.7</v>
      </c>
      <c r="K26" s="3" t="str">
        <f>IF(G26="Not Age Eligible","",IF(MAX(T26,W26,Z26,AC26)&gt;=LOOKUP(G26,'Qualifying Scores'!$A$4:$A$7,'Qualifying Scores'!$G$4:$G$7),"P",""))</f>
        <v/>
      </c>
      <c r="L26" s="3" t="str">
        <f>IF(G26="Not Age Eligible","",IF(MAX(U26,X26,AA26,AD26)&gt;=LOOKUP(G26,'Qualifying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Scores'!$G$10:$G$13)),AND(Z26&gt;=LOOKUP(G26,'Qualifying Scores'!$A$4:$A$7,'Qualifying Scores'!$G$4:$G$7),AA26&gt;=LOOKUP(G26,'Qualifying Scores'!$A$10:$A$13,'Qualifying Scores'!$G$10:$G$13)),AND(W26&gt;=LOOKUP(G26,'Qualifying Scores'!$A$4:$A$7,'Qualifying Scores'!$G$4:$G$7),X26&gt;=LOOKUP(G26,'Qualifying Scores'!$A$10:$A$13,'Qualifying Scores'!$G$10:$G$13)),AND(AC26&gt;=LOOKUP(G26,'Qualifying Scores'!$A$4:$A$7,'Qualifying Scores'!$G$4:$G$7),AD26&gt;=LOOKUP(G26,'Qualifying Scores'!$A$10:$A$13,'Qualifying Scores'!$G$10:$G$13))),"P",""))</f>
        <v/>
      </c>
      <c r="Q26" s="1" t="str">
        <f t="shared" si="1"/>
        <v/>
      </c>
      <c r="R26" s="4">
        <f t="shared" si="2"/>
        <v>41.7</v>
      </c>
      <c r="S26" s="4">
        <f t="shared" si="3"/>
        <v>0</v>
      </c>
      <c r="T26" s="32">
        <v>41.7</v>
      </c>
      <c r="U26" s="37">
        <v>4.3000000000000007</v>
      </c>
      <c r="V26" s="37">
        <v>0</v>
      </c>
      <c r="W26" s="33"/>
      <c r="X26" s="37"/>
      <c r="Y26" s="37"/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$67&lt;&gt;"")*(G$3:G$67=G27)*(J$3:J$67&gt;J27)*(I$3:I$67="P"))+1,IF(O27&lt;&gt;"",SUMPRODUCT((O$3:O$67&lt;&gt;"")*(P$3:P$67="")*(G$3:G$67=G27)*(J$3:J$67&gt;J27)*(I$3:I$67="P"))+SUMPRODUCT((P$3:P$67&lt;&gt;"")*(G$3:G$67=G27)*(I$3:I$67="P"))+1,IF(N27&lt;&gt;"",SUMPRODUCT((N$3:N$67&lt;&gt;"")*(G$3:G$67=G27)*(J$3:J$67&gt;J27)*(I$3:I$67="P"))+1,IF(M27="P",SUMPRODUCT((O$3:O$67&lt;&gt;"")*(P$3:P$67="")*(G$3:G$67=G27)*(I$3:I$67="P"))+SUMPRODUCT((P$3:P$67&lt;&gt;"")*(G$3:G$67=G27)*(I$3:I$67="P"))+SUMPRODUCT((N$3:N$67&lt;&gt;"")*(G$3:G$67=G27)*(I$3:I$67="P"))+SUMPRODUCT((P$3:P$67="")*(O$3:O$67="")*(N$3:N$67="")*(M$3:M$67="P")*(G$3:G$67=G27)*(J$3:J$67&gt;J27)*(I$3:I$67="P"))+IF(H27="L5",SUMPRODUCT((P$3:P$67="")*(O$3:O$67="")*(N$3:N$67="")*(M$3:M$67="P")*(G$3:G$67=G27)*(J$3:J$67&lt;J27)*(H$3:H$67&lt;&gt;H27)*(I$3:I$67="P")),-1*SUMPRODUCT((P$3:P$67="")*(O$3:O$67="")*(N$3:N$67="")*(M$3:M$67="P")*(G$3:G$67=G27)*(J$3:J$67&gt;J27)*(H$3:H$67="L5")*(I$3:I$67="P")))+1,"")))))</f>
        <v/>
      </c>
      <c r="B27" s="1" t="str" cm="1">
        <f t="array" ref="B27">IF(P27&lt;&gt;"",SUMPRODUCT((P$3:P$67&lt;&gt;"")*(G$3:G$67=G27)*(J$3:J$67&gt;J27))+1,IF(O27&lt;&gt;"",SUMPRODUCT((O$3:O$67&lt;&gt;"")*(P$3:P$67="")*(G$3:G$67=G27)*(J$3:J$67&gt;J27))+SUMPRODUCT((P$3:P$67&lt;&gt;"")*(G$3:G$67=G27))+1,IF(N27&lt;&gt;"",SUMPRODUCT((N$3:N$67&lt;&gt;"")*(G$3:G$67=G27)*(J$3:J$67&gt;J27))+1,IF(M27="P",SUMPRODUCT((O$3:O$67&lt;&gt;"")*(P$3:P$67="")*(G$3:G$67=G27))+SUMPRODUCT((P$3:P$67&lt;&gt;"")*(G$3:G$67=G27))+SUMPRODUCT((N$3:N$67&lt;&gt;"")*(G$3:G$67=G27))+SUMPRODUCT((P$3:P$67="")*(O$3:O$67="")*(N$3:N$67="")*(M$3:M$67="P")*(G$3:G$67=G27)*(J$3:J$67&gt;J27))+IF(H27="L5",SUMPRODUCT((P$3:P$67="")*(O$3:O$67="")*(N$3:N$67="")*(M$3:M$67="P")*(G$3:G$67=G27)*(J$3:J$67&lt;J27)*(H$3:H$67&lt;&gt;H27)),-1*SUMPRODUCT((P$3:P$67="")*(O$3:O$67="")*(N$3:N$67="")*(M$3:M$67="P")*(G$3:G$67=G27)*(J$3:J$67&gt;J27)*(H$3:H$67="L5")))+1,""))))</f>
        <v/>
      </c>
      <c r="C27" s="35" t="s">
        <v>263</v>
      </c>
      <c r="D27" s="35" t="str">
        <f>IF(E27="","",VLOOKUP(E27,'Coaching Points'!A:B,2,0))</f>
        <v>BC</v>
      </c>
      <c r="E27" s="35" t="s">
        <v>44</v>
      </c>
      <c r="F27" s="34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64</v>
      </c>
      <c r="I27" s="40"/>
      <c r="J27" s="4">
        <f t="shared" si="0"/>
        <v>41.7</v>
      </c>
      <c r="K27" s="3" t="str">
        <f>IF(G27="Not Age Eligible","",IF(MAX(T27,W27,Z27,AC27)&gt;=LOOKUP(G27,'Qualifying Scores'!$A$4:$A$7,'Qualifying Scores'!$G$4:$G$7),"P",""))</f>
        <v/>
      </c>
      <c r="L27" s="3" t="str">
        <f>IF(G27="Not Age Eligible","",IF(MAX(U27,X27,AA27,AD27)&gt;=LOOKUP(G27,'Qualifying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Scores'!$G$10:$G$13)),AND(Z27&gt;=LOOKUP(G27,'Qualifying Scores'!$A$4:$A$7,'Qualifying Scores'!$G$4:$G$7),AA27&gt;=LOOKUP(G27,'Qualifying Scores'!$A$10:$A$13,'Qualifying Scores'!$G$10:$G$13)),AND(W27&gt;=LOOKUP(G27,'Qualifying Scores'!$A$4:$A$7,'Qualifying Scores'!$G$4:$G$7),X27&gt;=LOOKUP(G27,'Qualifying Scores'!$A$10:$A$13,'Qualifying Scores'!$G$10:$G$13)),AND(AC27&gt;=LOOKUP(G27,'Qualifying Scores'!$A$4:$A$7,'Qualifying Scores'!$G$4:$G$7),AD27&gt;=LOOKUP(G27,'Qualifying Scores'!$A$10:$A$13,'Qualifying Scores'!$G$10:$G$13))),"P",""))</f>
        <v/>
      </c>
      <c r="Q27" s="1" t="str">
        <f t="shared" si="1"/>
        <v/>
      </c>
      <c r="R27" s="4">
        <f t="shared" si="2"/>
        <v>41.7</v>
      </c>
      <c r="S27" s="4">
        <f t="shared" si="3"/>
        <v>0</v>
      </c>
      <c r="T27" s="32">
        <v>41.7</v>
      </c>
      <c r="U27" s="37">
        <v>4.8000000000000007</v>
      </c>
      <c r="V27" s="37">
        <v>0</v>
      </c>
      <c r="W27" s="33"/>
      <c r="X27" s="37"/>
      <c r="Y27" s="37"/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$67&lt;&gt;"")*(G$3:G$67=G28)*(J$3:J$67&gt;J28)*(I$3:I$67="P"))+1,IF(O28&lt;&gt;"",SUMPRODUCT((O$3:O$67&lt;&gt;"")*(P$3:P$67="")*(G$3:G$67=G28)*(J$3:J$67&gt;J28)*(I$3:I$67="P"))+SUMPRODUCT((P$3:P$67&lt;&gt;"")*(G$3:G$67=G28)*(I$3:I$67="P"))+1,IF(N28&lt;&gt;"",SUMPRODUCT((N$3:N$67&lt;&gt;"")*(G$3:G$67=G28)*(J$3:J$67&gt;J28)*(I$3:I$67="P"))+1,IF(M28="P",SUMPRODUCT((O$3:O$67&lt;&gt;"")*(P$3:P$67="")*(G$3:G$67=G28)*(I$3:I$67="P"))+SUMPRODUCT((P$3:P$67&lt;&gt;"")*(G$3:G$67=G28)*(I$3:I$67="P"))+SUMPRODUCT((N$3:N$67&lt;&gt;"")*(G$3:G$67=G28)*(I$3:I$67="P"))+SUMPRODUCT((P$3:P$67="")*(O$3:O$67="")*(N$3:N$67="")*(M$3:M$67="P")*(G$3:G$67=G28)*(J$3:J$67&gt;J28)*(I$3:I$67="P"))+IF(H28="L5",SUMPRODUCT((P$3:P$67="")*(O$3:O$67="")*(N$3:N$67="")*(M$3:M$67="P")*(G$3:G$67=G28)*(J$3:J$67&lt;J28)*(H$3:H$67&lt;&gt;H28)*(I$3:I$67="P")),-1*SUMPRODUCT((P$3:P$67="")*(O$3:O$67="")*(N$3:N$67="")*(M$3:M$67="P")*(G$3:G$67=G28)*(J$3:J$67&gt;J28)*(H$3:H$67="L5")*(I$3:I$67="P")))+1,"")))))</f>
        <v/>
      </c>
      <c r="B28" s="1" t="str" cm="1">
        <f t="array" ref="B28">IF(P28&lt;&gt;"",SUMPRODUCT((P$3:P$67&lt;&gt;"")*(G$3:G$67=G28)*(J$3:J$67&gt;J28))+1,IF(O28&lt;&gt;"",SUMPRODUCT((O$3:O$67&lt;&gt;"")*(P$3:P$67="")*(G$3:G$67=G28)*(J$3:J$67&gt;J28))+SUMPRODUCT((P$3:P$67&lt;&gt;"")*(G$3:G$67=G28))+1,IF(N28&lt;&gt;"",SUMPRODUCT((N$3:N$67&lt;&gt;"")*(G$3:G$67=G28)*(J$3:J$67&gt;J28))+1,IF(M28="P",SUMPRODUCT((O$3:O$67&lt;&gt;"")*(P$3:P$67="")*(G$3:G$67=G28))+SUMPRODUCT((P$3:P$67&lt;&gt;"")*(G$3:G$67=G28))+SUMPRODUCT((N$3:N$67&lt;&gt;"")*(G$3:G$67=G28))+SUMPRODUCT((P$3:P$67="")*(O$3:O$67="")*(N$3:N$67="")*(M$3:M$67="P")*(G$3:G$67=G28)*(J$3:J$67&gt;J28))+IF(H28="L5",SUMPRODUCT((P$3:P$67="")*(O$3:O$67="")*(N$3:N$67="")*(M$3:M$67="P")*(G$3:G$67=G28)*(J$3:J$67&lt;J28)*(H$3:H$67&lt;&gt;H28)),-1*SUMPRODUCT((P$3:P$67="")*(O$3:O$67="")*(N$3:N$67="")*(M$3:M$67="P")*(G$3:G$67=G28)*(J$3:J$67&gt;J28)*(H$3:H$67="L5")))+1,""))))</f>
        <v/>
      </c>
      <c r="C28" s="35" t="s">
        <v>178</v>
      </c>
      <c r="D28" s="35" t="str">
        <f>IF(E28="","",VLOOKUP(E28,'Coaching Points'!A:B,2,0))</f>
        <v>BC</v>
      </c>
      <c r="E28" s="35" t="s">
        <v>60</v>
      </c>
      <c r="F28" s="34">
        <v>2007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64</v>
      </c>
      <c r="I28" s="40"/>
      <c r="J28" s="4">
        <f t="shared" si="0"/>
        <v>41.6</v>
      </c>
      <c r="K28" s="3" t="str">
        <f>IF(G28="Not Age Eligible","",IF(MAX(T28,W28,Z28,AC28)&gt;=LOOKUP(G28,'Qualifying Scores'!$A$4:$A$7,'Qualifying Scores'!$G$4:$G$7),"P",""))</f>
        <v/>
      </c>
      <c r="L28" s="3" t="str">
        <f>IF(G28="Not Age Eligible","",IF(MAX(U28,X28,AA28,AD28)&gt;=LOOKUP(G28,'Qualifying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Scores'!$G$10:$G$13)),AND(Z28&gt;=LOOKUP(G28,'Qualifying Scores'!$A$4:$A$7,'Qualifying Scores'!$G$4:$G$7),AA28&gt;=LOOKUP(G28,'Qualifying Scores'!$A$10:$A$13,'Qualifying Scores'!$G$10:$G$13)),AND(W28&gt;=LOOKUP(G28,'Qualifying Scores'!$A$4:$A$7,'Qualifying Scores'!$G$4:$G$7),X28&gt;=LOOKUP(G28,'Qualifying Scores'!$A$10:$A$13,'Qualifying Scores'!$G$10:$G$13)),AND(AC28&gt;=LOOKUP(G28,'Qualifying Scores'!$A$4:$A$7,'Qualifying Scores'!$G$4:$G$7),AD28&gt;=LOOKUP(G28,'Qualifying Scores'!$A$10:$A$13,'Qualifying Scores'!$G$10:$G$13))),"P",""))</f>
        <v/>
      </c>
      <c r="Q28" s="1" t="str">
        <f t="shared" si="1"/>
        <v/>
      </c>
      <c r="R28" s="4">
        <f t="shared" si="2"/>
        <v>41.6</v>
      </c>
      <c r="S28" s="4">
        <f t="shared" si="3"/>
        <v>0</v>
      </c>
      <c r="T28" s="32">
        <v>41.6</v>
      </c>
      <c r="U28" s="37">
        <v>6.4</v>
      </c>
      <c r="V28" s="37">
        <v>0</v>
      </c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$67&lt;&gt;"")*(G$3:G$67=G29)*(J$3:J$67&gt;J29)*(I$3:I$67="P"))+1,IF(O29&lt;&gt;"",SUMPRODUCT((O$3:O$67&lt;&gt;"")*(P$3:P$67="")*(G$3:G$67=G29)*(J$3:J$67&gt;J29)*(I$3:I$67="P"))+SUMPRODUCT((P$3:P$67&lt;&gt;"")*(G$3:G$67=G29)*(I$3:I$67="P"))+1,IF(N29&lt;&gt;"",SUMPRODUCT((N$3:N$67&lt;&gt;"")*(G$3:G$67=G29)*(J$3:J$67&gt;J29)*(I$3:I$67="P"))+1,IF(M29="P",SUMPRODUCT((O$3:O$67&lt;&gt;"")*(P$3:P$67="")*(G$3:G$67=G29)*(I$3:I$67="P"))+SUMPRODUCT((P$3:P$67&lt;&gt;"")*(G$3:G$67=G29)*(I$3:I$67="P"))+SUMPRODUCT((N$3:N$67&lt;&gt;"")*(G$3:G$67=G29)*(I$3:I$67="P"))+SUMPRODUCT((P$3:P$67="")*(O$3:O$67="")*(N$3:N$67="")*(M$3:M$67="P")*(G$3:G$67=G29)*(J$3:J$67&gt;J29)*(I$3:I$67="P"))+IF(H29="L5",SUMPRODUCT((P$3:P$67="")*(O$3:O$67="")*(N$3:N$67="")*(M$3:M$67="P")*(G$3:G$67=G29)*(J$3:J$67&lt;J29)*(H$3:H$67&lt;&gt;H29)*(I$3:I$67="P")),-1*SUMPRODUCT((P$3:P$67="")*(O$3:O$67="")*(N$3:N$67="")*(M$3:M$67="P")*(G$3:G$67=G29)*(J$3:J$67&gt;J29)*(H$3:H$67="L5")*(I$3:I$67="P")))+1,"")))))</f>
        <v/>
      </c>
      <c r="B29" s="1" t="str" cm="1">
        <f t="array" ref="B29">IF(P29&lt;&gt;"",SUMPRODUCT((P$3:P$67&lt;&gt;"")*(G$3:G$67=G29)*(J$3:J$67&gt;J29))+1,IF(O29&lt;&gt;"",SUMPRODUCT((O$3:O$67&lt;&gt;"")*(P$3:P$67="")*(G$3:G$67=G29)*(J$3:J$67&gt;J29))+SUMPRODUCT((P$3:P$67&lt;&gt;"")*(G$3:G$67=G29))+1,IF(N29&lt;&gt;"",SUMPRODUCT((N$3:N$67&lt;&gt;"")*(G$3:G$67=G29)*(J$3:J$67&gt;J29))+1,IF(M29="P",SUMPRODUCT((O$3:O$67&lt;&gt;"")*(P$3:P$67="")*(G$3:G$67=G29))+SUMPRODUCT((P$3:P$67&lt;&gt;"")*(G$3:G$67=G29))+SUMPRODUCT((N$3:N$67&lt;&gt;"")*(G$3:G$67=G29))+SUMPRODUCT((P$3:P$67="")*(O$3:O$67="")*(N$3:N$67="")*(M$3:M$67="P")*(G$3:G$67=G29)*(J$3:J$67&gt;J29))+IF(H29="L5",SUMPRODUCT((P$3:P$67="")*(O$3:O$67="")*(N$3:N$67="")*(M$3:M$67="P")*(G$3:G$67=G29)*(J$3:J$67&lt;J29)*(H$3:H$67&lt;&gt;H29)),-1*SUMPRODUCT((P$3:P$67="")*(O$3:O$67="")*(N$3:N$67="")*(M$3:M$67="P")*(G$3:G$67=G29)*(J$3:J$67&gt;J29)*(H$3:H$67="L5")))+1,""))))</f>
        <v/>
      </c>
      <c r="C29" s="35" t="s">
        <v>229</v>
      </c>
      <c r="D29" s="35" t="str">
        <f>IF(E29="","",VLOOKUP(E29,'Coaching Points'!A:B,2,0))</f>
        <v>ON</v>
      </c>
      <c r="E29" s="35" t="s">
        <v>45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64</v>
      </c>
      <c r="I29" s="40"/>
      <c r="J29" s="4">
        <f t="shared" si="0"/>
        <v>41.3</v>
      </c>
      <c r="K29" s="3" t="str">
        <f>IF(G29="Not Age Eligible","",IF(MAX(T29,W29,Z29,AC29)&gt;=LOOKUP(G29,'Qualifying Scores'!$A$4:$A$7,'Qualifying Scores'!$G$4:$G$7),"P",""))</f>
        <v/>
      </c>
      <c r="L29" s="3" t="str">
        <f>IF(G29="Not Age Eligible","",IF(MAX(U29,X29,AA29,AD29)&gt;=LOOKUP(G29,'Qualifying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Scores'!$G$10:$G$13)),AND(Z29&gt;=LOOKUP(G29,'Qualifying Scores'!$A$4:$A$7,'Qualifying Scores'!$G$4:$G$7),AA29&gt;=LOOKUP(G29,'Qualifying Scores'!$A$10:$A$13,'Qualifying Scores'!$G$10:$G$13)),AND(W29&gt;=LOOKUP(G29,'Qualifying Scores'!$A$4:$A$7,'Qualifying Scores'!$G$4:$G$7),X29&gt;=LOOKUP(G29,'Qualifying Scores'!$A$10:$A$13,'Qualifying Scores'!$G$10:$G$13)),AND(AC29&gt;=LOOKUP(G29,'Qualifying Scores'!$A$4:$A$7,'Qualifying Scores'!$G$4:$G$7),AD29&gt;=LOOKUP(G29,'Qualifying Scores'!$A$10:$A$13,'Qualifying Scores'!$G$10:$G$13))),"P",""))</f>
        <v/>
      </c>
      <c r="Q29" s="1" t="str">
        <f t="shared" si="1"/>
        <v/>
      </c>
      <c r="R29" s="4">
        <f t="shared" si="2"/>
        <v>41.3</v>
      </c>
      <c r="S29" s="4">
        <f t="shared" si="3"/>
        <v>0</v>
      </c>
      <c r="T29" s="32">
        <v>41.3</v>
      </c>
      <c r="U29" s="37">
        <v>5.7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$67&lt;&gt;"")*(G$3:G$67=G30)*(J$3:J$67&gt;J30)*(I$3:I$67="P"))+1,IF(O30&lt;&gt;"",SUMPRODUCT((O$3:O$67&lt;&gt;"")*(P$3:P$67="")*(G$3:G$67=G30)*(J$3:J$67&gt;J30)*(I$3:I$67="P"))+SUMPRODUCT((P$3:P$67&lt;&gt;"")*(G$3:G$67=G30)*(I$3:I$67="P"))+1,IF(N30&lt;&gt;"",SUMPRODUCT((N$3:N$67&lt;&gt;"")*(G$3:G$67=G30)*(J$3:J$67&gt;J30)*(I$3:I$67="P"))+1,IF(M30="P",SUMPRODUCT((O$3:O$67&lt;&gt;"")*(P$3:P$67="")*(G$3:G$67=G30)*(I$3:I$67="P"))+SUMPRODUCT((P$3:P$67&lt;&gt;"")*(G$3:G$67=G30)*(I$3:I$67="P"))+SUMPRODUCT((N$3:N$67&lt;&gt;"")*(G$3:G$67=G30)*(I$3:I$67="P"))+SUMPRODUCT((P$3:P$67="")*(O$3:O$67="")*(N$3:N$67="")*(M$3:M$67="P")*(G$3:G$67=G30)*(J$3:J$67&gt;J30)*(I$3:I$67="P"))+IF(H30="L5",SUMPRODUCT((P$3:P$67="")*(O$3:O$67="")*(N$3:N$67="")*(M$3:M$67="P")*(G$3:G$67=G30)*(J$3:J$67&lt;J30)*(H$3:H$67&lt;&gt;H30)*(I$3:I$67="P")),-1*SUMPRODUCT((P$3:P$67="")*(O$3:O$67="")*(N$3:N$67="")*(M$3:M$67="P")*(G$3:G$67=G30)*(J$3:J$67&gt;J30)*(H$3:H$67="L5")*(I$3:I$67="P")))+1,"")))))</f>
        <v/>
      </c>
      <c r="B30" s="1" t="str" cm="1">
        <f t="array" ref="B30">IF(P30&lt;&gt;"",SUMPRODUCT((P$3:P$67&lt;&gt;"")*(G$3:G$67=G30)*(J$3:J$67&gt;J30))+1,IF(O30&lt;&gt;"",SUMPRODUCT((O$3:O$67&lt;&gt;"")*(P$3:P$67="")*(G$3:G$67=G30)*(J$3:J$67&gt;J30))+SUMPRODUCT((P$3:P$67&lt;&gt;"")*(G$3:G$67=G30))+1,IF(N30&lt;&gt;"",SUMPRODUCT((N$3:N$67&lt;&gt;"")*(G$3:G$67=G30)*(J$3:J$67&gt;J30))+1,IF(M30="P",SUMPRODUCT((O$3:O$67&lt;&gt;"")*(P$3:P$67="")*(G$3:G$67=G30))+SUMPRODUCT((P$3:P$67&lt;&gt;"")*(G$3:G$67=G30))+SUMPRODUCT((N$3:N$67&lt;&gt;"")*(G$3:G$67=G30))+SUMPRODUCT((P$3:P$67="")*(O$3:O$67="")*(N$3:N$67="")*(M$3:M$67="P")*(G$3:G$67=G30)*(J$3:J$67&gt;J30))+IF(H30="L5",SUMPRODUCT((P$3:P$67="")*(O$3:O$67="")*(N$3:N$67="")*(M$3:M$67="P")*(G$3:G$67=G30)*(J$3:J$67&lt;J30)*(H$3:H$67&lt;&gt;H30)),-1*SUMPRODUCT((P$3:P$67="")*(O$3:O$67="")*(N$3:N$67="")*(M$3:M$67="P")*(G$3:G$67=G30)*(J$3:J$67&gt;J30)*(H$3:H$67="L5")))+1,""))))</f>
        <v/>
      </c>
      <c r="C30" s="35" t="s">
        <v>141</v>
      </c>
      <c r="D30" s="35" t="str">
        <f>IF(E30="","",VLOOKUP(E30,'Coaching Points'!A:B,2,0))</f>
        <v>SK</v>
      </c>
      <c r="E30" s="35" t="s">
        <v>329</v>
      </c>
      <c r="F30" s="34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64</v>
      </c>
      <c r="I30" s="40"/>
      <c r="J30" s="4">
        <f t="shared" si="0"/>
        <v>40.6</v>
      </c>
      <c r="K30" s="3" t="str">
        <f>IF(G30="Not Age Eligible","",IF(MAX(T30,W30,Z30,AC30)&gt;=LOOKUP(G30,'Qualifying Scores'!$A$4:$A$7,'Qualifying Scores'!$G$4:$G$7),"P",""))</f>
        <v/>
      </c>
      <c r="L30" s="3" t="str">
        <f>IF(G30="Not Age Eligible","",IF(MAX(U30,X30,AA30,AD30)&gt;=LOOKUP(G30,'Qualifying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Scores'!$G$10:$G$13)),AND(Z30&gt;=LOOKUP(G30,'Qualifying Scores'!$A$4:$A$7,'Qualifying Scores'!$G$4:$G$7),AA30&gt;=LOOKUP(G30,'Qualifying Scores'!$A$10:$A$13,'Qualifying Scores'!$G$10:$G$13)),AND(W30&gt;=LOOKUP(G30,'Qualifying Scores'!$A$4:$A$7,'Qualifying Scores'!$G$4:$G$7),X30&gt;=LOOKUP(G30,'Qualifying Scores'!$A$10:$A$13,'Qualifying Scores'!$G$10:$G$13)),AND(AC30&gt;=LOOKUP(G30,'Qualifying Scores'!$A$4:$A$7,'Qualifying Scores'!$G$4:$G$7),AD30&gt;=LOOKUP(G30,'Qualifying Scores'!$A$10:$A$13,'Qualifying Scores'!$G$10:$G$13))),"P",""))</f>
        <v/>
      </c>
      <c r="Q30" s="1" t="str">
        <f t="shared" si="1"/>
        <v/>
      </c>
      <c r="R30" s="4">
        <f t="shared" si="2"/>
        <v>40.6</v>
      </c>
      <c r="S30" s="4">
        <f t="shared" si="3"/>
        <v>0</v>
      </c>
      <c r="T30" s="32">
        <v>40.6</v>
      </c>
      <c r="U30" s="37">
        <v>5.8000000000000007</v>
      </c>
      <c r="V30" s="37">
        <v>0</v>
      </c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$67&lt;&gt;"")*(G$3:G$67=G31)*(J$3:J$67&gt;J31)*(I$3:I$67="P"))+1,IF(O31&lt;&gt;"",SUMPRODUCT((O$3:O$67&lt;&gt;"")*(P$3:P$67="")*(G$3:G$67=G31)*(J$3:J$67&gt;J31)*(I$3:I$67="P"))+SUMPRODUCT((P$3:P$67&lt;&gt;"")*(G$3:G$67=G31)*(I$3:I$67="P"))+1,IF(N31&lt;&gt;"",SUMPRODUCT((N$3:N$67&lt;&gt;"")*(G$3:G$67=G31)*(J$3:J$67&gt;J31)*(I$3:I$67="P"))+1,IF(M31="P",SUMPRODUCT((O$3:O$67&lt;&gt;"")*(P$3:P$67="")*(G$3:G$67=G31)*(I$3:I$67="P"))+SUMPRODUCT((P$3:P$67&lt;&gt;"")*(G$3:G$67=G31)*(I$3:I$67="P"))+SUMPRODUCT((N$3:N$67&lt;&gt;"")*(G$3:G$67=G31)*(I$3:I$67="P"))+SUMPRODUCT((P$3:P$67="")*(O$3:O$67="")*(N$3:N$67="")*(M$3:M$67="P")*(G$3:G$67=G31)*(J$3:J$67&gt;J31)*(I$3:I$67="P"))+IF(H31="L5",SUMPRODUCT((P$3:P$67="")*(O$3:O$67="")*(N$3:N$67="")*(M$3:M$67="P")*(G$3:G$67=G31)*(J$3:J$67&lt;J31)*(H$3:H$67&lt;&gt;H31)*(I$3:I$67="P")),-1*SUMPRODUCT((P$3:P$67="")*(O$3:O$67="")*(N$3:N$67="")*(M$3:M$67="P")*(G$3:G$67=G31)*(J$3:J$67&gt;J31)*(H$3:H$67="L5")*(I$3:I$67="P")))+1,"")))))</f>
        <v/>
      </c>
      <c r="B31" s="1" t="str" cm="1">
        <f t="array" ref="B31">IF(P31&lt;&gt;"",SUMPRODUCT((P$3:P$67&lt;&gt;"")*(G$3:G$67=G31)*(J$3:J$67&gt;J31))+1,IF(O31&lt;&gt;"",SUMPRODUCT((O$3:O$67&lt;&gt;"")*(P$3:P$67="")*(G$3:G$67=G31)*(J$3:J$67&gt;J31))+SUMPRODUCT((P$3:P$67&lt;&gt;"")*(G$3:G$67=G31))+1,IF(N31&lt;&gt;"",SUMPRODUCT((N$3:N$67&lt;&gt;"")*(G$3:G$67=G31)*(J$3:J$67&gt;J31))+1,IF(M31="P",SUMPRODUCT((O$3:O$67&lt;&gt;"")*(P$3:P$67="")*(G$3:G$67=G31))+SUMPRODUCT((P$3:P$67&lt;&gt;"")*(G$3:G$67=G31))+SUMPRODUCT((N$3:N$67&lt;&gt;"")*(G$3:G$67=G31))+SUMPRODUCT((P$3:P$67="")*(O$3:O$67="")*(N$3:N$67="")*(M$3:M$67="P")*(G$3:G$67=G31)*(J$3:J$67&gt;J31))+IF(H31="L5",SUMPRODUCT((P$3:P$67="")*(O$3:O$67="")*(N$3:N$67="")*(M$3:M$67="P")*(G$3:G$67=G31)*(J$3:J$67&lt;J31)*(H$3:H$67&lt;&gt;H31)),-1*SUMPRODUCT((P$3:P$67="")*(O$3:O$67="")*(N$3:N$67="")*(M$3:M$67="P")*(G$3:G$67=G31)*(J$3:J$67&gt;J31)*(H$3:H$67="L5")))+1,""))))</f>
        <v/>
      </c>
      <c r="C31" s="35" t="s">
        <v>182</v>
      </c>
      <c r="D31" s="35" t="str">
        <f>IF(E31="","",VLOOKUP(E31,'Coaching Points'!A:B,2,0))</f>
        <v>AB</v>
      </c>
      <c r="E31" s="35" t="s">
        <v>61</v>
      </c>
      <c r="F31" s="34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66</v>
      </c>
      <c r="I31" s="40"/>
      <c r="J31" s="4">
        <f t="shared" si="0"/>
        <v>40.3001</v>
      </c>
      <c r="K31" s="3" t="str">
        <f>IF(G31="Not Age Eligible","",IF(MAX(T31,W31,Z31,AC31)&gt;=LOOKUP(G31,'Qualifying Scores'!$A$4:$A$7,'Qualifying Scores'!$G$4:$G$7),"P",""))</f>
        <v/>
      </c>
      <c r="L31" s="3" t="str">
        <f>IF(G31="Not Age Eligible","",IF(MAX(U31,X31,AA31,AD31)&gt;=LOOKUP(G31,'Qualifying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Scores'!$G$10:$G$13)),AND(Z31&gt;=LOOKUP(G31,'Qualifying Scores'!$A$4:$A$7,'Qualifying Scores'!$G$4:$G$7),AA31&gt;=LOOKUP(G31,'Qualifying Scores'!$A$10:$A$13,'Qualifying Scores'!$G$10:$G$13)),AND(W31&gt;=LOOKUP(G31,'Qualifying Scores'!$A$4:$A$7,'Qualifying Scores'!$G$4:$G$7),X31&gt;=LOOKUP(G31,'Qualifying Scores'!$A$10:$A$13,'Qualifying Scores'!$G$10:$G$13)),AND(AC31&gt;=LOOKUP(G31,'Qualifying Scores'!$A$4:$A$7,'Qualifying Scores'!$G$4:$G$7),AD31&gt;=LOOKUP(G31,'Qualifying Scores'!$A$10:$A$13,'Qualifying Scores'!$G$10:$G$13))),"P",""))</f>
        <v/>
      </c>
      <c r="Q31" s="1" t="str">
        <f t="shared" si="1"/>
        <v/>
      </c>
      <c r="R31" s="4">
        <f t="shared" si="2"/>
        <v>40.299999999999997</v>
      </c>
      <c r="S31" s="4">
        <f t="shared" si="3"/>
        <v>0</v>
      </c>
      <c r="T31" s="32">
        <v>40.299999999999997</v>
      </c>
      <c r="U31" s="37">
        <v>4.2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$67&lt;&gt;"")*(G$3:G$67=G32)*(J$3:J$67&gt;J32)*(I$3:I$67="P"))+1,IF(O32&lt;&gt;"",SUMPRODUCT((O$3:O$67&lt;&gt;"")*(P$3:P$67="")*(G$3:G$67=G32)*(J$3:J$67&gt;J32)*(I$3:I$67="P"))+SUMPRODUCT((P$3:P$67&lt;&gt;"")*(G$3:G$67=G32)*(I$3:I$67="P"))+1,IF(N32&lt;&gt;"",SUMPRODUCT((N$3:N$67&lt;&gt;"")*(G$3:G$67=G32)*(J$3:J$67&gt;J32)*(I$3:I$67="P"))+1,IF(M32="P",SUMPRODUCT((O$3:O$67&lt;&gt;"")*(P$3:P$67="")*(G$3:G$67=G32)*(I$3:I$67="P"))+SUMPRODUCT((P$3:P$67&lt;&gt;"")*(G$3:G$67=G32)*(I$3:I$67="P"))+SUMPRODUCT((N$3:N$67&lt;&gt;"")*(G$3:G$67=G32)*(I$3:I$67="P"))+SUMPRODUCT((P$3:P$67="")*(O$3:O$67="")*(N$3:N$67="")*(M$3:M$67="P")*(G$3:G$67=G32)*(J$3:J$67&gt;J32)*(I$3:I$67="P"))+IF(H32="L5",SUMPRODUCT((P$3:P$67="")*(O$3:O$67="")*(N$3:N$67="")*(M$3:M$67="P")*(G$3:G$67=G32)*(J$3:J$67&lt;J32)*(H$3:H$67&lt;&gt;H32)*(I$3:I$67="P")),-1*SUMPRODUCT((P$3:P$67="")*(O$3:O$67="")*(N$3:N$67="")*(M$3:M$67="P")*(G$3:G$67=G32)*(J$3:J$67&gt;J32)*(H$3:H$67="L5")*(I$3:I$67="P")))+1,"")))))</f>
        <v/>
      </c>
      <c r="B32" s="1" t="str" cm="1">
        <f t="array" ref="B32">IF(P32&lt;&gt;"",SUMPRODUCT((P$3:P$67&lt;&gt;"")*(G$3:G$67=G32)*(J$3:J$67&gt;J32))+1,IF(O32&lt;&gt;"",SUMPRODUCT((O$3:O$67&lt;&gt;"")*(P$3:P$67="")*(G$3:G$67=G32)*(J$3:J$67&gt;J32))+SUMPRODUCT((P$3:P$67&lt;&gt;"")*(G$3:G$67=G32))+1,IF(N32&lt;&gt;"",SUMPRODUCT((N$3:N$67&lt;&gt;"")*(G$3:G$67=G32)*(J$3:J$67&gt;J32))+1,IF(M32="P",SUMPRODUCT((O$3:O$67&lt;&gt;"")*(P$3:P$67="")*(G$3:G$67=G32))+SUMPRODUCT((P$3:P$67&lt;&gt;"")*(G$3:G$67=G32))+SUMPRODUCT((N$3:N$67&lt;&gt;"")*(G$3:G$67=G32))+SUMPRODUCT((P$3:P$67="")*(O$3:O$67="")*(N$3:N$67="")*(M$3:M$67="P")*(G$3:G$67=G32)*(J$3:J$67&gt;J32))+IF(H32="L5",SUMPRODUCT((P$3:P$67="")*(O$3:O$67="")*(N$3:N$67="")*(M$3:M$67="P")*(G$3:G$67=G32)*(J$3:J$67&lt;J32)*(H$3:H$67&lt;&gt;H32)),-1*SUMPRODUCT((P$3:P$67="")*(O$3:O$67="")*(N$3:N$67="")*(M$3:M$67="P")*(G$3:G$67=G32)*(J$3:J$67&gt;J32)*(H$3:H$67="L5")))+1,""))))</f>
        <v/>
      </c>
      <c r="C32" s="35" t="s">
        <v>258</v>
      </c>
      <c r="D32" s="35" t="str">
        <f>IF(E32="","",VLOOKUP(E32,'Coaching Points'!A:B,2,0))</f>
        <v>BC</v>
      </c>
      <c r="E32" s="35" t="s">
        <v>44</v>
      </c>
      <c r="F32" s="34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66</v>
      </c>
      <c r="I32" s="40"/>
      <c r="J32" s="4">
        <f t="shared" si="0"/>
        <v>40.200100000000006</v>
      </c>
      <c r="K32" s="3" t="str">
        <f>IF(G32="Not Age Eligible","",IF(MAX(T32,W32,Z32,AC32)&gt;=LOOKUP(G32,'Qualifying Scores'!$A$4:$A$7,'Qualifying Scores'!$G$4:$G$7),"P",""))</f>
        <v/>
      </c>
      <c r="L32" s="3" t="str">
        <f>IF(G32="Not Age Eligible","",IF(MAX(U32,X32,AA32,AD32)&gt;=LOOKUP(G32,'Qualifying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Scores'!$G$10:$G$13)),AND(Z32&gt;=LOOKUP(G32,'Qualifying Scores'!$A$4:$A$7,'Qualifying Scores'!$G$4:$G$7),AA32&gt;=LOOKUP(G32,'Qualifying Scores'!$A$10:$A$13,'Qualifying Scores'!$G$10:$G$13)),AND(W32&gt;=LOOKUP(G32,'Qualifying Scores'!$A$4:$A$7,'Qualifying Scores'!$G$4:$G$7),X32&gt;=LOOKUP(G32,'Qualifying Scores'!$A$10:$A$13,'Qualifying Scores'!$G$10:$G$13)),AND(AC32&gt;=LOOKUP(G32,'Qualifying Scores'!$A$4:$A$7,'Qualifying Scores'!$G$4:$G$7),AD32&gt;=LOOKUP(G32,'Qualifying Scores'!$A$10:$A$13,'Qualifying Scores'!$G$10:$G$13))),"P",""))</f>
        <v/>
      </c>
      <c r="Q32" s="1" t="str">
        <f t="shared" si="1"/>
        <v/>
      </c>
      <c r="R32" s="4">
        <f t="shared" si="2"/>
        <v>40.200000000000003</v>
      </c>
      <c r="S32" s="4">
        <f t="shared" si="3"/>
        <v>0</v>
      </c>
      <c r="T32" s="32">
        <v>40.200000000000003</v>
      </c>
      <c r="U32" s="37">
        <v>4.2</v>
      </c>
      <c r="V32" s="37">
        <v>0</v>
      </c>
      <c r="W32" s="33"/>
      <c r="X32" s="37"/>
      <c r="Y32" s="37"/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$67&lt;&gt;"")*(G$3:G$67=G33)*(J$3:J$67&gt;J33)*(I$3:I$67="P"))+1,IF(O33&lt;&gt;"",SUMPRODUCT((O$3:O$67&lt;&gt;"")*(P$3:P$67="")*(G$3:G$67=G33)*(J$3:J$67&gt;J33)*(I$3:I$67="P"))+SUMPRODUCT((P$3:P$67&lt;&gt;"")*(G$3:G$67=G33)*(I$3:I$67="P"))+1,IF(N33&lt;&gt;"",SUMPRODUCT((N$3:N$67&lt;&gt;"")*(G$3:G$67=G33)*(J$3:J$67&gt;J33)*(I$3:I$67="P"))+1,IF(M33="P",SUMPRODUCT((O$3:O$67&lt;&gt;"")*(P$3:P$67="")*(G$3:G$67=G33)*(I$3:I$67="P"))+SUMPRODUCT((P$3:P$67&lt;&gt;"")*(G$3:G$67=G33)*(I$3:I$67="P"))+SUMPRODUCT((N$3:N$67&lt;&gt;"")*(G$3:G$67=G33)*(I$3:I$67="P"))+SUMPRODUCT((P$3:P$67="")*(O$3:O$67="")*(N$3:N$67="")*(M$3:M$67="P")*(G$3:G$67=G33)*(J$3:J$67&gt;J33)*(I$3:I$67="P"))+IF(H33="L5",SUMPRODUCT((P$3:P$67="")*(O$3:O$67="")*(N$3:N$67="")*(M$3:M$67="P")*(G$3:G$67=G33)*(J$3:J$67&lt;J33)*(H$3:H$67&lt;&gt;H33)*(I$3:I$67="P")),-1*SUMPRODUCT((P$3:P$67="")*(O$3:O$67="")*(N$3:N$67="")*(M$3:M$67="P")*(G$3:G$67=G33)*(J$3:J$67&gt;J33)*(H$3:H$67="L5")*(I$3:I$67="P")))+1,"")))))</f>
        <v/>
      </c>
      <c r="B33" s="1" t="str" cm="1">
        <f t="array" ref="B33">IF(P33&lt;&gt;"",SUMPRODUCT((P$3:P$67&lt;&gt;"")*(G$3:G$67=G33)*(J$3:J$67&gt;J33))+1,IF(O33&lt;&gt;"",SUMPRODUCT((O$3:O$67&lt;&gt;"")*(P$3:P$67="")*(G$3:G$67=G33)*(J$3:J$67&gt;J33))+SUMPRODUCT((P$3:P$67&lt;&gt;"")*(G$3:G$67=G33))+1,IF(N33&lt;&gt;"",SUMPRODUCT((N$3:N$67&lt;&gt;"")*(G$3:G$67=G33)*(J$3:J$67&gt;J33))+1,IF(M33="P",SUMPRODUCT((O$3:O$67&lt;&gt;"")*(P$3:P$67="")*(G$3:G$67=G33))+SUMPRODUCT((P$3:P$67&lt;&gt;"")*(G$3:G$67=G33))+SUMPRODUCT((N$3:N$67&lt;&gt;"")*(G$3:G$67=G33))+SUMPRODUCT((P$3:P$67="")*(O$3:O$67="")*(N$3:N$67="")*(M$3:M$67="P")*(G$3:G$67=G33)*(J$3:J$67&gt;J33))+IF(H33="L5",SUMPRODUCT((P$3:P$67="")*(O$3:O$67="")*(N$3:N$67="")*(M$3:M$67="P")*(G$3:G$67=G33)*(J$3:J$67&lt;J33)*(H$3:H$67&lt;&gt;H33)),-1*SUMPRODUCT((P$3:P$67="")*(O$3:O$67="")*(N$3:N$67="")*(M$3:M$67="P")*(G$3:G$67=G33)*(J$3:J$67&gt;J33)*(H$3:H$67="L5")))+1,""))))</f>
        <v/>
      </c>
      <c r="C33" s="35" t="s">
        <v>108</v>
      </c>
      <c r="D33" s="35" t="str">
        <f>IF(E33="","",VLOOKUP(E33,'Coaching Points'!A:B,2,0))</f>
        <v>AB</v>
      </c>
      <c r="E33" s="35" t="s">
        <v>28</v>
      </c>
      <c r="F33" s="34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64</v>
      </c>
      <c r="I33" s="40"/>
      <c r="J33" s="4">
        <f t="shared" si="0"/>
        <v>39.5</v>
      </c>
      <c r="K33" s="3" t="str">
        <f>IF(G33="Not Age Eligible","",IF(MAX(T33,W33,Z33,AC33)&gt;=LOOKUP(G33,'Qualifying Scores'!$A$4:$A$7,'Qualifying Scores'!$G$4:$G$7),"P",""))</f>
        <v/>
      </c>
      <c r="L33" s="3" t="str">
        <f>IF(G33="Not Age Eligible","",IF(MAX(U33,X33,AA33,AD33)&gt;=LOOKUP(G33,'Qualifying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Scores'!$G$10:$G$13)),AND(Z33&gt;=LOOKUP(G33,'Qualifying Scores'!$A$4:$A$7,'Qualifying Scores'!$G$4:$G$7),AA33&gt;=LOOKUP(G33,'Qualifying Scores'!$A$10:$A$13,'Qualifying Scores'!$G$10:$G$13)),AND(W33&gt;=LOOKUP(G33,'Qualifying Scores'!$A$4:$A$7,'Qualifying Scores'!$G$4:$G$7),X33&gt;=LOOKUP(G33,'Qualifying Scores'!$A$10:$A$13,'Qualifying Scores'!$G$10:$G$13)),AND(AC33&gt;=LOOKUP(G33,'Qualifying Scores'!$A$4:$A$7,'Qualifying Scores'!$G$4:$G$7),AD33&gt;=LOOKUP(G33,'Qualifying Scores'!$A$10:$A$13,'Qualifying Scores'!$G$10:$G$13))),"P",""))</f>
        <v/>
      </c>
      <c r="Q33" s="1" t="str">
        <f t="shared" si="1"/>
        <v/>
      </c>
      <c r="R33" s="4">
        <f t="shared" si="2"/>
        <v>39.5</v>
      </c>
      <c r="S33" s="4">
        <f t="shared" si="3"/>
        <v>0</v>
      </c>
      <c r="T33" s="32">
        <v>39.5</v>
      </c>
      <c r="U33" s="37">
        <v>4.8</v>
      </c>
      <c r="V33" s="37">
        <v>0</v>
      </c>
      <c r="W33" s="33"/>
      <c r="X33" s="37"/>
      <c r="Y33" s="37"/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$67&lt;&gt;"")*(G$3:G$67=G34)*(J$3:J$67&gt;J34)*(I$3:I$67="P"))+1,IF(O34&lt;&gt;"",SUMPRODUCT((O$3:O$67&lt;&gt;"")*(P$3:P$67="")*(G$3:G$67=G34)*(J$3:J$67&gt;J34)*(I$3:I$67="P"))+SUMPRODUCT((P$3:P$67&lt;&gt;"")*(G$3:G$67=G34)*(I$3:I$67="P"))+1,IF(N34&lt;&gt;"",SUMPRODUCT((N$3:N$67&lt;&gt;"")*(G$3:G$67=G34)*(J$3:J$67&gt;J34)*(I$3:I$67="P"))+1,IF(M34="P",SUMPRODUCT((O$3:O$67&lt;&gt;"")*(P$3:P$67="")*(G$3:G$67=G34)*(I$3:I$67="P"))+SUMPRODUCT((P$3:P$67&lt;&gt;"")*(G$3:G$67=G34)*(I$3:I$67="P"))+SUMPRODUCT((N$3:N$67&lt;&gt;"")*(G$3:G$67=G34)*(I$3:I$67="P"))+SUMPRODUCT((P$3:P$67="")*(O$3:O$67="")*(N$3:N$67="")*(M$3:M$67="P")*(G$3:G$67=G34)*(J$3:J$67&gt;J34)*(I$3:I$67="P"))+IF(H34="L5",SUMPRODUCT((P$3:P$67="")*(O$3:O$67="")*(N$3:N$67="")*(M$3:M$67="P")*(G$3:G$67=G34)*(J$3:J$67&lt;J34)*(H$3:H$67&lt;&gt;H34)*(I$3:I$67="P")),-1*SUMPRODUCT((P$3:P$67="")*(O$3:O$67="")*(N$3:N$67="")*(M$3:M$67="P")*(G$3:G$67=G34)*(J$3:J$67&gt;J34)*(H$3:H$67="L5")*(I$3:I$67="P")))+1,"")))))</f>
        <v/>
      </c>
      <c r="B34" s="1" t="str" cm="1">
        <f t="array" ref="B34">IF(P34&lt;&gt;"",SUMPRODUCT((P$3:P$67&lt;&gt;"")*(G$3:G$67=G34)*(J$3:J$67&gt;J34))+1,IF(O34&lt;&gt;"",SUMPRODUCT((O$3:O$67&lt;&gt;"")*(P$3:P$67="")*(G$3:G$67=G34)*(J$3:J$67&gt;J34))+SUMPRODUCT((P$3:P$67&lt;&gt;"")*(G$3:G$67=G34))+1,IF(N34&lt;&gt;"",SUMPRODUCT((N$3:N$67&lt;&gt;"")*(G$3:G$67=G34)*(J$3:J$67&gt;J34))+1,IF(M34="P",SUMPRODUCT((O$3:O$67&lt;&gt;"")*(P$3:P$67="")*(G$3:G$67=G34))+SUMPRODUCT((P$3:P$67&lt;&gt;"")*(G$3:G$67=G34))+SUMPRODUCT((N$3:N$67&lt;&gt;"")*(G$3:G$67=G34))+SUMPRODUCT((P$3:P$67="")*(O$3:O$67="")*(N$3:N$67="")*(M$3:M$67="P")*(G$3:G$67=G34)*(J$3:J$67&gt;J34))+IF(H34="L5",SUMPRODUCT((P$3:P$67="")*(O$3:O$67="")*(N$3:N$67="")*(M$3:M$67="P")*(G$3:G$67=G34)*(J$3:J$67&lt;J34)*(H$3:H$67&lt;&gt;H34)),-1*SUMPRODUCT((P$3:P$67="")*(O$3:O$67="")*(N$3:N$67="")*(M$3:M$67="P")*(G$3:G$67=G34)*(J$3:J$67&gt;J34)*(H$3:H$67="L5")))+1,""))))</f>
        <v/>
      </c>
      <c r="C34" s="35" t="s">
        <v>291</v>
      </c>
      <c r="D34" s="35" t="str">
        <f>IF(E34="","",VLOOKUP(E34,'Coaching Points'!A:B,2,0))</f>
        <v>AB</v>
      </c>
      <c r="E34" s="35" t="s">
        <v>56</v>
      </c>
      <c r="F34" s="34">
        <v>2006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64</v>
      </c>
      <c r="I34" s="40"/>
      <c r="J34" s="4">
        <f t="shared" si="0"/>
        <v>39.4</v>
      </c>
      <c r="K34" s="3" t="str">
        <f>IF(G34="Not Age Eligible","",IF(MAX(T34,W34,Z34,AC34)&gt;=LOOKUP(G34,'Qualifying Scores'!$A$4:$A$7,'Qualifying Scores'!$G$4:$G$7),"P",""))</f>
        <v/>
      </c>
      <c r="L34" s="3" t="str">
        <f>IF(G34="Not Age Eligible","",IF(MAX(U34,X34,AA34,AD34)&gt;=LOOKUP(G34,'Qualifying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Scores'!$G$10:$G$13)),AND(Z34&gt;=LOOKUP(G34,'Qualifying Scores'!$A$4:$A$7,'Qualifying Scores'!$G$4:$G$7),AA34&gt;=LOOKUP(G34,'Qualifying Scores'!$A$10:$A$13,'Qualifying Scores'!$G$10:$G$13)),AND(W34&gt;=LOOKUP(G34,'Qualifying Scores'!$A$4:$A$7,'Qualifying Scores'!$G$4:$G$7),X34&gt;=LOOKUP(G34,'Qualifying Scores'!$A$10:$A$13,'Qualifying Scores'!$G$10:$G$13)),AND(AC34&gt;=LOOKUP(G34,'Qualifying Scores'!$A$4:$A$7,'Qualifying Scores'!$G$4:$G$7),AD34&gt;=LOOKUP(G34,'Qualifying Scores'!$A$10:$A$13,'Qualifying Scores'!$G$10:$G$13))),"P",""))</f>
        <v/>
      </c>
      <c r="Q34" s="1" t="str">
        <f t="shared" si="1"/>
        <v/>
      </c>
      <c r="R34" s="4">
        <f t="shared" si="2"/>
        <v>39.4</v>
      </c>
      <c r="S34" s="4">
        <f t="shared" si="3"/>
        <v>0</v>
      </c>
      <c r="T34" s="32">
        <v>39.4</v>
      </c>
      <c r="U34" s="37">
        <v>4.4000000000000004</v>
      </c>
      <c r="V34" s="37">
        <v>0</v>
      </c>
      <c r="W34" s="33"/>
      <c r="X34" s="37"/>
      <c r="Y34" s="37"/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$67&lt;&gt;"")*(G$3:G$67=G35)*(J$3:J$67&gt;J35)*(I$3:I$67="P"))+1,IF(O35&lt;&gt;"",SUMPRODUCT((O$3:O$67&lt;&gt;"")*(P$3:P$67="")*(G$3:G$67=G35)*(J$3:J$67&gt;J35)*(I$3:I$67="P"))+SUMPRODUCT((P$3:P$67&lt;&gt;"")*(G$3:G$67=G35)*(I$3:I$67="P"))+1,IF(N35&lt;&gt;"",SUMPRODUCT((N$3:N$67&lt;&gt;"")*(G$3:G$67=G35)*(J$3:J$67&gt;J35)*(I$3:I$67="P"))+1,IF(M35="P",SUMPRODUCT((O$3:O$67&lt;&gt;"")*(P$3:P$67="")*(G$3:G$67=G35)*(I$3:I$67="P"))+SUMPRODUCT((P$3:P$67&lt;&gt;"")*(G$3:G$67=G35)*(I$3:I$67="P"))+SUMPRODUCT((N$3:N$67&lt;&gt;"")*(G$3:G$67=G35)*(I$3:I$67="P"))+SUMPRODUCT((P$3:P$67="")*(O$3:O$67="")*(N$3:N$67="")*(M$3:M$67="P")*(G$3:G$67=G35)*(J$3:J$67&gt;J35)*(I$3:I$67="P"))+IF(H35="L5",SUMPRODUCT((P$3:P$67="")*(O$3:O$67="")*(N$3:N$67="")*(M$3:M$67="P")*(G$3:G$67=G35)*(J$3:J$67&lt;J35)*(H$3:H$67&lt;&gt;H35)*(I$3:I$67="P")),-1*SUMPRODUCT((P$3:P$67="")*(O$3:O$67="")*(N$3:N$67="")*(M$3:M$67="P")*(G$3:G$67=G35)*(J$3:J$67&gt;J35)*(H$3:H$67="L5")*(I$3:I$67="P")))+1,"")))))</f>
        <v/>
      </c>
      <c r="B35" s="1" t="str" cm="1">
        <f t="array" ref="B35">IF(P35&lt;&gt;"",SUMPRODUCT((P$3:P$67&lt;&gt;"")*(G$3:G$67=G35)*(J$3:J$67&gt;J35))+1,IF(O35&lt;&gt;"",SUMPRODUCT((O$3:O$67&lt;&gt;"")*(P$3:P$67="")*(G$3:G$67=G35)*(J$3:J$67&gt;J35))+SUMPRODUCT((P$3:P$67&lt;&gt;"")*(G$3:G$67=G35))+1,IF(N35&lt;&gt;"",SUMPRODUCT((N$3:N$67&lt;&gt;"")*(G$3:G$67=G35)*(J$3:J$67&gt;J35))+1,IF(M35="P",SUMPRODUCT((O$3:O$67&lt;&gt;"")*(P$3:P$67="")*(G$3:G$67=G35))+SUMPRODUCT((P$3:P$67&lt;&gt;"")*(G$3:G$67=G35))+SUMPRODUCT((N$3:N$67&lt;&gt;"")*(G$3:G$67=G35))+SUMPRODUCT((P$3:P$67="")*(O$3:O$67="")*(N$3:N$67="")*(M$3:M$67="P")*(G$3:G$67=G35)*(J$3:J$67&gt;J35))+IF(H35="L5",SUMPRODUCT((P$3:P$67="")*(O$3:O$67="")*(N$3:N$67="")*(M$3:M$67="P")*(G$3:G$67=G35)*(J$3:J$67&lt;J35)*(H$3:H$67&lt;&gt;H35)),-1*SUMPRODUCT((P$3:P$67="")*(O$3:O$67="")*(N$3:N$67="")*(M$3:M$67="P")*(G$3:G$67=G35)*(J$3:J$67&gt;J35)*(H$3:H$67="L5")))+1,""))))</f>
        <v/>
      </c>
      <c r="C35" s="35" t="s">
        <v>116</v>
      </c>
      <c r="D35" s="35" t="s">
        <v>147</v>
      </c>
      <c r="E35" s="35" t="s">
        <v>342</v>
      </c>
      <c r="F35" s="34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64</v>
      </c>
      <c r="I35" s="40"/>
      <c r="J35" s="4">
        <f t="shared" ref="J35:J66" si="4">R35+IF(OR(H35="Junior",H35="Senior"),0.0002,IF(OR(H35="L7",H35="L6"),0.0001,0))+MAX(Z35,AC35)*0.0000001</f>
        <v>39.200000000000003</v>
      </c>
      <c r="K35" s="3" t="str">
        <f>IF(G35="Not Age Eligible","",IF(MAX(T35,W35,Z35,AC35)&gt;=LOOKUP(G35,'Qualifying Scores'!$A$4:$A$7,'Qualifying Scores'!$G$4:$G$7),"P",""))</f>
        <v/>
      </c>
      <c r="L35" s="3" t="str">
        <f>IF(G35="Not Age Eligible","",IF(MAX(U35,X35,AA35,AD35)&gt;=LOOKUP(G35,'Qualifying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Scores'!$G$10:$G$13)),AND(Z35&gt;=LOOKUP(G35,'Qualifying Scores'!$A$4:$A$7,'Qualifying Scores'!$G$4:$G$7),AA35&gt;=LOOKUP(G35,'Qualifying Scores'!$A$10:$A$13,'Qualifying Scores'!$G$10:$G$13)),AND(W35&gt;=LOOKUP(G35,'Qualifying Scores'!$A$4:$A$7,'Qualifying Scores'!$G$4:$G$7),X35&gt;=LOOKUP(G35,'Qualifying Scores'!$A$10:$A$13,'Qualifying Scores'!$G$10:$G$13)),AND(AC35&gt;=LOOKUP(G35,'Qualifying Scores'!$A$4:$A$7,'Qualifying Scores'!$G$4:$G$7),AD35&gt;=LOOKUP(G35,'Qualifying Scores'!$A$10:$A$13,'Qualifying Scores'!$G$10:$G$13))),"P",""))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MAX(T35-V35,W35-Y35,Z35-AB35,AC35-AE35)</f>
        <v>39.200000000000003</v>
      </c>
      <c r="S35" s="4">
        <f t="shared" ref="S35:S66" si="7">IF(R35=T35-V35,MAX(W35-Y35,Z35-AB35,AC35-AE35),IF(R35=W35-Y35,MAX(T35-V35,Z35-AB35,AC35-AE35),IF(R35=Z35-AB35,MAX(T35-V35,W35-Y35,AC35-AE35),IF(R35=AC35-AE35,MAX(T35-V35,W35-Y35,Z35-AB35),0))))</f>
        <v>0</v>
      </c>
      <c r="T35" s="32">
        <v>39.200000000000003</v>
      </c>
      <c r="U35" s="37">
        <v>3.5999999999999996</v>
      </c>
      <c r="V35" s="37">
        <v>0</v>
      </c>
      <c r="W35" s="33"/>
      <c r="X35" s="37"/>
      <c r="Y35" s="37"/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$67&lt;&gt;"")*(G$3:G$67=G36)*(J$3:J$67&gt;J36)*(I$3:I$67="P"))+1,IF(O36&lt;&gt;"",SUMPRODUCT((O$3:O$67&lt;&gt;"")*(P$3:P$67="")*(G$3:G$67=G36)*(J$3:J$67&gt;J36)*(I$3:I$67="P"))+SUMPRODUCT((P$3:P$67&lt;&gt;"")*(G$3:G$67=G36)*(I$3:I$67="P"))+1,IF(N36&lt;&gt;"",SUMPRODUCT((N$3:N$67&lt;&gt;"")*(G$3:G$67=G36)*(J$3:J$67&gt;J36)*(I$3:I$67="P"))+1,IF(M36="P",SUMPRODUCT((O$3:O$67&lt;&gt;"")*(P$3:P$67="")*(G$3:G$67=G36)*(I$3:I$67="P"))+SUMPRODUCT((P$3:P$67&lt;&gt;"")*(G$3:G$67=G36)*(I$3:I$67="P"))+SUMPRODUCT((N$3:N$67&lt;&gt;"")*(G$3:G$67=G36)*(I$3:I$67="P"))+SUMPRODUCT((P$3:P$67="")*(O$3:O$67="")*(N$3:N$67="")*(M$3:M$67="P")*(G$3:G$67=G36)*(J$3:J$67&gt;J36)*(I$3:I$67="P"))+IF(H36="L5",SUMPRODUCT((P$3:P$67="")*(O$3:O$67="")*(N$3:N$67="")*(M$3:M$67="P")*(G$3:G$67=G36)*(J$3:J$67&lt;J36)*(H$3:H$67&lt;&gt;H36)*(I$3:I$67="P")),-1*SUMPRODUCT((P$3:P$67="")*(O$3:O$67="")*(N$3:N$67="")*(M$3:M$67="P")*(G$3:G$67=G36)*(J$3:J$67&gt;J36)*(H$3:H$67="L5")*(I$3:I$67="P")))+1,"")))))</f>
        <v/>
      </c>
      <c r="B36" s="1" t="str" cm="1">
        <f t="array" ref="B36">IF(P36&lt;&gt;"",SUMPRODUCT((P$3:P$67&lt;&gt;"")*(G$3:G$67=G36)*(J$3:J$67&gt;J36))+1,IF(O36&lt;&gt;"",SUMPRODUCT((O$3:O$67&lt;&gt;"")*(P$3:P$67="")*(G$3:G$67=G36)*(J$3:J$67&gt;J36))+SUMPRODUCT((P$3:P$67&lt;&gt;"")*(G$3:G$67=G36))+1,IF(N36&lt;&gt;"",SUMPRODUCT((N$3:N$67&lt;&gt;"")*(G$3:G$67=G36)*(J$3:J$67&gt;J36))+1,IF(M36="P",SUMPRODUCT((O$3:O$67&lt;&gt;"")*(P$3:P$67="")*(G$3:G$67=G36))+SUMPRODUCT((P$3:P$67&lt;&gt;"")*(G$3:G$67=G36))+SUMPRODUCT((N$3:N$67&lt;&gt;"")*(G$3:G$67=G36))+SUMPRODUCT((P$3:P$67="")*(O$3:O$67="")*(N$3:N$67="")*(M$3:M$67="P")*(G$3:G$67=G36)*(J$3:J$67&gt;J36))+IF(H36="L5",SUMPRODUCT((P$3:P$67="")*(O$3:O$67="")*(N$3:N$67="")*(M$3:M$67="P")*(G$3:G$67=G36)*(J$3:J$67&lt;J36)*(H$3:H$67&lt;&gt;H36)),-1*SUMPRODUCT((P$3:P$67="")*(O$3:O$67="")*(N$3:N$67="")*(M$3:M$67="P")*(G$3:G$67=G36)*(J$3:J$67&gt;J36)*(H$3:H$67="L5")))+1,""))))</f>
        <v/>
      </c>
      <c r="C36" s="35" t="s">
        <v>228</v>
      </c>
      <c r="D36" s="35" t="str">
        <f>IF(E36="","",VLOOKUP(E36,'Coaching Points'!A:B,2,0))</f>
        <v>BC</v>
      </c>
      <c r="E36" s="35" t="s">
        <v>60</v>
      </c>
      <c r="F36" s="34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66</v>
      </c>
      <c r="I36" s="40"/>
      <c r="J36" s="4">
        <f t="shared" si="4"/>
        <v>39.000100000000003</v>
      </c>
      <c r="K36" s="3" t="str">
        <f>IF(G36="Not Age Eligible","",IF(MAX(T36,W36,Z36,AC36)&gt;=LOOKUP(G36,'Qualifying Scores'!$A$4:$A$7,'Qualifying Scores'!$G$4:$G$7),"P",""))</f>
        <v/>
      </c>
      <c r="L36" s="3" t="str">
        <f>IF(G36="Not Age Eligible","",IF(MAX(U36,X36,AA36,AD36)&gt;=LOOKUP(G36,'Qualifying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Scores'!$G$10:$G$13)),AND(Z36&gt;=LOOKUP(G36,'Qualifying Scores'!$A$4:$A$7,'Qualifying Scores'!$G$4:$G$7),AA36&gt;=LOOKUP(G36,'Qualifying Scores'!$A$10:$A$13,'Qualifying Scores'!$G$10:$G$13)),AND(W36&gt;=LOOKUP(G36,'Qualifying Scores'!$A$4:$A$7,'Qualifying Scores'!$G$4:$G$7),X36&gt;=LOOKUP(G36,'Qualifying Scores'!$A$10:$A$13,'Qualifying Scores'!$G$10:$G$13)),AND(AC36&gt;=LOOKUP(G36,'Qualifying Scores'!$A$4:$A$7,'Qualifying Scores'!$G$4:$G$7),AD36&gt;=LOOKUP(G36,'Qualifying Scores'!$A$10:$A$13,'Qualifying Scores'!$G$10:$G$13))),"P",""))</f>
        <v/>
      </c>
      <c r="Q36" s="1" t="str">
        <f t="shared" si="5"/>
        <v/>
      </c>
      <c r="R36" s="4">
        <f t="shared" si="6"/>
        <v>39</v>
      </c>
      <c r="S36" s="4">
        <f t="shared" si="7"/>
        <v>0</v>
      </c>
      <c r="T36" s="32">
        <v>39</v>
      </c>
      <c r="U36" s="37">
        <v>6.4</v>
      </c>
      <c r="V36" s="37">
        <v>0</v>
      </c>
      <c r="W36" s="33"/>
      <c r="X36" s="37"/>
      <c r="Y36" s="37"/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$67&lt;&gt;"")*(G$3:G$67=G37)*(J$3:J$67&gt;J37)*(I$3:I$67="P"))+1,IF(O37&lt;&gt;"",SUMPRODUCT((O$3:O$67&lt;&gt;"")*(P$3:P$67="")*(G$3:G$67=G37)*(J$3:J$67&gt;J37)*(I$3:I$67="P"))+SUMPRODUCT((P$3:P$67&lt;&gt;"")*(G$3:G$67=G37)*(I$3:I$67="P"))+1,IF(N37&lt;&gt;"",SUMPRODUCT((N$3:N$67&lt;&gt;"")*(G$3:G$67=G37)*(J$3:J$67&gt;J37)*(I$3:I$67="P"))+1,IF(M37="P",SUMPRODUCT((O$3:O$67&lt;&gt;"")*(P$3:P$67="")*(G$3:G$67=G37)*(I$3:I$67="P"))+SUMPRODUCT((P$3:P$67&lt;&gt;"")*(G$3:G$67=G37)*(I$3:I$67="P"))+SUMPRODUCT((N$3:N$67&lt;&gt;"")*(G$3:G$67=G37)*(I$3:I$67="P"))+SUMPRODUCT((P$3:P$67="")*(O$3:O$67="")*(N$3:N$67="")*(M$3:M$67="P")*(G$3:G$67=G37)*(J$3:J$67&gt;J37)*(I$3:I$67="P"))+IF(H37="L5",SUMPRODUCT((P$3:P$67="")*(O$3:O$67="")*(N$3:N$67="")*(M$3:M$67="P")*(G$3:G$67=G37)*(J$3:J$67&lt;J37)*(H$3:H$67&lt;&gt;H37)*(I$3:I$67="P")),-1*SUMPRODUCT((P$3:P$67="")*(O$3:O$67="")*(N$3:N$67="")*(M$3:M$67="P")*(G$3:G$67=G37)*(J$3:J$67&gt;J37)*(H$3:H$67="L5")*(I$3:I$67="P")))+1,"")))))</f>
        <v/>
      </c>
      <c r="B37" s="1" t="str" cm="1">
        <f t="array" ref="B37">IF(P37&lt;&gt;"",SUMPRODUCT((P$3:P$67&lt;&gt;"")*(G$3:G$67=G37)*(J$3:J$67&gt;J37))+1,IF(O37&lt;&gt;"",SUMPRODUCT((O$3:O$67&lt;&gt;"")*(P$3:P$67="")*(G$3:G$67=G37)*(J$3:J$67&gt;J37))+SUMPRODUCT((P$3:P$67&lt;&gt;"")*(G$3:G$67=G37))+1,IF(N37&lt;&gt;"",SUMPRODUCT((N$3:N$67&lt;&gt;"")*(G$3:G$67=G37)*(J$3:J$67&gt;J37))+1,IF(M37="P",SUMPRODUCT((O$3:O$67&lt;&gt;"")*(P$3:P$67="")*(G$3:G$67=G37))+SUMPRODUCT((P$3:P$67&lt;&gt;"")*(G$3:G$67=G37))+SUMPRODUCT((N$3:N$67&lt;&gt;"")*(G$3:G$67=G37))+SUMPRODUCT((P$3:P$67="")*(O$3:O$67="")*(N$3:N$67="")*(M$3:M$67="P")*(G$3:G$67=G37)*(J$3:J$67&gt;J37))+IF(H37="L5",SUMPRODUCT((P$3:P$67="")*(O$3:O$67="")*(N$3:N$67="")*(M$3:M$67="P")*(G$3:G$67=G37)*(J$3:J$67&lt;J37)*(H$3:H$67&lt;&gt;H37)),-1*SUMPRODUCT((P$3:P$67="")*(O$3:O$67="")*(N$3:N$67="")*(M$3:M$67="P")*(G$3:G$67=G37)*(J$3:J$67&gt;J37)*(H$3:H$67="L5")))+1,""))))</f>
        <v/>
      </c>
      <c r="C37" s="35" t="s">
        <v>188</v>
      </c>
      <c r="D37" s="35" t="s">
        <v>148</v>
      </c>
      <c r="E37" s="35" t="s">
        <v>61</v>
      </c>
      <c r="F37" s="34">
        <v>2003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64</v>
      </c>
      <c r="I37" s="40"/>
      <c r="J37" s="4">
        <f t="shared" si="4"/>
        <v>38.6</v>
      </c>
      <c r="K37" s="3" t="str">
        <f>IF(G37="Not Age Eligible","",IF(MAX(T37,W37,Z37,AC37)&gt;=LOOKUP(G37,'Qualifying Scores'!$A$4:$A$7,'Qualifying Scores'!$G$4:$G$7),"P",""))</f>
        <v/>
      </c>
      <c r="L37" s="3" t="str">
        <f>IF(G37="Not Age Eligible","",IF(MAX(U37,X37,AA37,AD37)&gt;=LOOKUP(G37,'Qualifying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Scores'!$G$10:$G$13)),AND(Z37&gt;=LOOKUP(G37,'Qualifying Scores'!$A$4:$A$7,'Qualifying Scores'!$G$4:$G$7),AA37&gt;=LOOKUP(G37,'Qualifying Scores'!$A$10:$A$13,'Qualifying Scores'!$G$10:$G$13)),AND(W37&gt;=LOOKUP(G37,'Qualifying Scores'!$A$4:$A$7,'Qualifying Scores'!$G$4:$G$7),X37&gt;=LOOKUP(G37,'Qualifying Scores'!$A$10:$A$13,'Qualifying Scores'!$G$10:$G$13)),AND(AC37&gt;=LOOKUP(G37,'Qualifying Scores'!$A$4:$A$7,'Qualifying Scores'!$G$4:$G$7),AD37&gt;=LOOKUP(G37,'Qualifying Scores'!$A$10:$A$13,'Qualifying Scores'!$G$10:$G$13))),"P",""))</f>
        <v/>
      </c>
      <c r="Q37" s="1" t="str">
        <f t="shared" si="5"/>
        <v/>
      </c>
      <c r="R37" s="4">
        <f t="shared" si="6"/>
        <v>38.6</v>
      </c>
      <c r="S37" s="4">
        <f t="shared" si="7"/>
        <v>0</v>
      </c>
      <c r="T37" s="32">
        <v>38.6</v>
      </c>
      <c r="U37" s="37">
        <v>3.4000000000000004</v>
      </c>
      <c r="V37" s="37">
        <v>0</v>
      </c>
      <c r="W37" s="33"/>
      <c r="X37" s="37"/>
      <c r="Y37" s="37"/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$67&lt;&gt;"")*(G$3:G$67=G38)*(J$3:J$67&gt;J38)*(I$3:I$67="P"))+1,IF(O38&lt;&gt;"",SUMPRODUCT((O$3:O$67&lt;&gt;"")*(P$3:P$67="")*(G$3:G$67=G38)*(J$3:J$67&gt;J38)*(I$3:I$67="P"))+SUMPRODUCT((P$3:P$67&lt;&gt;"")*(G$3:G$67=G38)*(I$3:I$67="P"))+1,IF(N38&lt;&gt;"",SUMPRODUCT((N$3:N$67&lt;&gt;"")*(G$3:G$67=G38)*(J$3:J$67&gt;J38)*(I$3:I$67="P"))+1,IF(M38="P",SUMPRODUCT((O$3:O$67&lt;&gt;"")*(P$3:P$67="")*(G$3:G$67=G38)*(I$3:I$67="P"))+SUMPRODUCT((P$3:P$67&lt;&gt;"")*(G$3:G$67=G38)*(I$3:I$67="P"))+SUMPRODUCT((N$3:N$67&lt;&gt;"")*(G$3:G$67=G38)*(I$3:I$67="P"))+SUMPRODUCT((P$3:P$67="")*(O$3:O$67="")*(N$3:N$67="")*(M$3:M$67="P")*(G$3:G$67=G38)*(J$3:J$67&gt;J38)*(I$3:I$67="P"))+IF(H38="L5",SUMPRODUCT((P$3:P$67="")*(O$3:O$67="")*(N$3:N$67="")*(M$3:M$67="P")*(G$3:G$67=G38)*(J$3:J$67&lt;J38)*(H$3:H$67&lt;&gt;H38)*(I$3:I$67="P")),-1*SUMPRODUCT((P$3:P$67="")*(O$3:O$67="")*(N$3:N$67="")*(M$3:M$67="P")*(G$3:G$67=G38)*(J$3:J$67&gt;J38)*(H$3:H$67="L5")*(I$3:I$67="P")))+1,"")))))</f>
        <v/>
      </c>
      <c r="B38" s="1" t="str" cm="1">
        <f t="array" ref="B38">IF(P38&lt;&gt;"",SUMPRODUCT((P$3:P$67&lt;&gt;"")*(G$3:G$67=G38)*(J$3:J$67&gt;J38))+1,IF(O38&lt;&gt;"",SUMPRODUCT((O$3:O$67&lt;&gt;"")*(P$3:P$67="")*(G$3:G$67=G38)*(J$3:J$67&gt;J38))+SUMPRODUCT((P$3:P$67&lt;&gt;"")*(G$3:G$67=G38))+1,IF(N38&lt;&gt;"",SUMPRODUCT((N$3:N$67&lt;&gt;"")*(G$3:G$67=G38)*(J$3:J$67&gt;J38))+1,IF(M38="P",SUMPRODUCT((O$3:O$67&lt;&gt;"")*(P$3:P$67="")*(G$3:G$67=G38))+SUMPRODUCT((P$3:P$67&lt;&gt;"")*(G$3:G$67=G38))+SUMPRODUCT((N$3:N$67&lt;&gt;"")*(G$3:G$67=G38))+SUMPRODUCT((P$3:P$67="")*(O$3:O$67="")*(N$3:N$67="")*(M$3:M$67="P")*(G$3:G$67=G38)*(J$3:J$67&gt;J38))+IF(H38="L5",SUMPRODUCT((P$3:P$67="")*(O$3:O$67="")*(N$3:N$67="")*(M$3:M$67="P")*(G$3:G$67=G38)*(J$3:J$67&lt;J38)*(H$3:H$67&lt;&gt;H38)),-1*SUMPRODUCT((P$3:P$67="")*(O$3:O$67="")*(N$3:N$67="")*(M$3:M$67="P")*(G$3:G$67=G38)*(J$3:J$67&gt;J38)*(H$3:H$67="L5")))+1,""))))</f>
        <v/>
      </c>
      <c r="C38" s="35" t="s">
        <v>313</v>
      </c>
      <c r="D38" s="35" t="s">
        <v>150</v>
      </c>
      <c r="E38" s="35" t="s">
        <v>198</v>
      </c>
      <c r="F38" s="34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64</v>
      </c>
      <c r="I38" s="40"/>
      <c r="J38" s="4">
        <f t="shared" si="4"/>
        <v>38.5</v>
      </c>
      <c r="K38" s="3" t="str">
        <f>IF(G38="Not Age Eligible","",IF(MAX(T38,W38,Z38,AC38)&gt;=LOOKUP(G38,'Qualifying Scores'!$A$4:$A$7,'Qualifying Scores'!$G$4:$G$7),"P",""))</f>
        <v/>
      </c>
      <c r="L38" s="3" t="str">
        <f>IF(G38="Not Age Eligible","",IF(MAX(U38,X38,AA38,AD38)&gt;=LOOKUP(G38,'Qualifying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Scores'!$G$10:$G$13)),AND(Z38&gt;=LOOKUP(G38,'Qualifying Scores'!$A$4:$A$7,'Qualifying Scores'!$G$4:$G$7),AA38&gt;=LOOKUP(G38,'Qualifying Scores'!$A$10:$A$13,'Qualifying Scores'!$G$10:$G$13)),AND(W38&gt;=LOOKUP(G38,'Qualifying Scores'!$A$4:$A$7,'Qualifying Scores'!$G$4:$G$7),X38&gt;=LOOKUP(G38,'Qualifying Scores'!$A$10:$A$13,'Qualifying Scores'!$G$10:$G$13)),AND(AC38&gt;=LOOKUP(G38,'Qualifying Scores'!$A$4:$A$7,'Qualifying Scores'!$G$4:$G$7),AD38&gt;=LOOKUP(G38,'Qualifying Scores'!$A$10:$A$13,'Qualifying Scores'!$G$10:$G$13))),"P",""))</f>
        <v/>
      </c>
      <c r="Q38" s="1" t="str">
        <f t="shared" si="5"/>
        <v/>
      </c>
      <c r="R38" s="4">
        <f t="shared" si="6"/>
        <v>38.5</v>
      </c>
      <c r="S38" s="4">
        <f t="shared" si="7"/>
        <v>0</v>
      </c>
      <c r="T38" s="32">
        <v>38.5</v>
      </c>
      <c r="U38" s="37">
        <v>3.9000000000000004</v>
      </c>
      <c r="V38" s="37">
        <v>0</v>
      </c>
      <c r="W38" s="33"/>
      <c r="X38" s="37"/>
      <c r="Y38" s="37"/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$67&lt;&gt;"")*(G$3:G$67=G39)*(J$3:J$67&gt;J39)*(I$3:I$67="P"))+1,IF(O39&lt;&gt;"",SUMPRODUCT((O$3:O$67&lt;&gt;"")*(P$3:P$67="")*(G$3:G$67=G39)*(J$3:J$67&gt;J39)*(I$3:I$67="P"))+SUMPRODUCT((P$3:P$67&lt;&gt;"")*(G$3:G$67=G39)*(I$3:I$67="P"))+1,IF(N39&lt;&gt;"",SUMPRODUCT((N$3:N$67&lt;&gt;"")*(G$3:G$67=G39)*(J$3:J$67&gt;J39)*(I$3:I$67="P"))+1,IF(M39="P",SUMPRODUCT((O$3:O$67&lt;&gt;"")*(P$3:P$67="")*(G$3:G$67=G39)*(I$3:I$67="P"))+SUMPRODUCT((P$3:P$67&lt;&gt;"")*(G$3:G$67=G39)*(I$3:I$67="P"))+SUMPRODUCT((N$3:N$67&lt;&gt;"")*(G$3:G$67=G39)*(I$3:I$67="P"))+SUMPRODUCT((P$3:P$67="")*(O$3:O$67="")*(N$3:N$67="")*(M$3:M$67="P")*(G$3:G$67=G39)*(J$3:J$67&gt;J39)*(I$3:I$67="P"))+IF(H39="L5",SUMPRODUCT((P$3:P$67="")*(O$3:O$67="")*(N$3:N$67="")*(M$3:M$67="P")*(G$3:G$67=G39)*(J$3:J$67&lt;J39)*(H$3:H$67&lt;&gt;H39)*(I$3:I$67="P")),-1*SUMPRODUCT((P$3:P$67="")*(O$3:O$67="")*(N$3:N$67="")*(M$3:M$67="P")*(G$3:G$67=G39)*(J$3:J$67&gt;J39)*(H$3:H$67="L5")*(I$3:I$67="P")))+1,"")))))</f>
        <v/>
      </c>
      <c r="B39" s="1" t="str" cm="1">
        <f t="array" ref="B39">IF(P39&lt;&gt;"",SUMPRODUCT((P$3:P$67&lt;&gt;"")*(G$3:G$67=G39)*(J$3:J$67&gt;J39))+1,IF(O39&lt;&gt;"",SUMPRODUCT((O$3:O$67&lt;&gt;"")*(P$3:P$67="")*(G$3:G$67=G39)*(J$3:J$67&gt;J39))+SUMPRODUCT((P$3:P$67&lt;&gt;"")*(G$3:G$67=G39))+1,IF(N39&lt;&gt;"",SUMPRODUCT((N$3:N$67&lt;&gt;"")*(G$3:G$67=G39)*(J$3:J$67&gt;J39))+1,IF(M39="P",SUMPRODUCT((O$3:O$67&lt;&gt;"")*(P$3:P$67="")*(G$3:G$67=G39))+SUMPRODUCT((P$3:P$67&lt;&gt;"")*(G$3:G$67=G39))+SUMPRODUCT((N$3:N$67&lt;&gt;"")*(G$3:G$67=G39))+SUMPRODUCT((P$3:P$67="")*(O$3:O$67="")*(N$3:N$67="")*(M$3:M$67="P")*(G$3:G$67=G39)*(J$3:J$67&gt;J39))+IF(H39="L5",SUMPRODUCT((P$3:P$67="")*(O$3:O$67="")*(N$3:N$67="")*(M$3:M$67="P")*(G$3:G$67=G39)*(J$3:J$67&lt;J39)*(H$3:H$67&lt;&gt;H39)),-1*SUMPRODUCT((P$3:P$67="")*(O$3:O$67="")*(N$3:N$67="")*(M$3:M$67="P")*(G$3:G$67=G39)*(J$3:J$67&gt;J39)*(H$3:H$67="L5")))+1,""))))</f>
        <v/>
      </c>
      <c r="C39" s="35" t="s">
        <v>292</v>
      </c>
      <c r="D39" s="35" t="str">
        <f>IF(E39="","",VLOOKUP(E39,'Coaching Points'!A:B,2,0))</f>
        <v>AB</v>
      </c>
      <c r="E39" s="35" t="s">
        <v>251</v>
      </c>
      <c r="F39" s="34">
        <v>2006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64</v>
      </c>
      <c r="I39" s="40"/>
      <c r="J39" s="4">
        <f t="shared" si="4"/>
        <v>36.799999999999997</v>
      </c>
      <c r="K39" s="3" t="str">
        <f>IF(G39="Not Age Eligible","",IF(MAX(T39,W39,Z39,AC39)&gt;=LOOKUP(G39,'Qualifying Scores'!$A$4:$A$7,'Qualifying Scores'!$G$4:$G$7),"P",""))</f>
        <v/>
      </c>
      <c r="L39" s="3" t="str">
        <f>IF(G39="Not Age Eligible","",IF(MAX(U39,X39,AA39,AD39)&gt;=LOOKUP(G39,'Qualifying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Scores'!$G$10:$G$13)),AND(Z39&gt;=LOOKUP(G39,'Qualifying Scores'!$A$4:$A$7,'Qualifying Scores'!$G$4:$G$7),AA39&gt;=LOOKUP(G39,'Qualifying Scores'!$A$10:$A$13,'Qualifying Scores'!$G$10:$G$13)),AND(W39&gt;=LOOKUP(G39,'Qualifying Scores'!$A$4:$A$7,'Qualifying Scores'!$G$4:$G$7),X39&gt;=LOOKUP(G39,'Qualifying Scores'!$A$10:$A$13,'Qualifying Scores'!$G$10:$G$13)),AND(AC39&gt;=LOOKUP(G39,'Qualifying Scores'!$A$4:$A$7,'Qualifying Scores'!$G$4:$G$7),AD39&gt;=LOOKUP(G39,'Qualifying Scores'!$A$10:$A$13,'Qualifying Scores'!$G$10:$G$13))),"P",""))</f>
        <v/>
      </c>
      <c r="Q39" s="1" t="str">
        <f t="shared" si="5"/>
        <v/>
      </c>
      <c r="R39" s="4">
        <f t="shared" si="6"/>
        <v>36.799999999999997</v>
      </c>
      <c r="S39" s="4">
        <f t="shared" si="7"/>
        <v>0</v>
      </c>
      <c r="T39" s="32">
        <v>36.799999999999997</v>
      </c>
      <c r="U39" s="37">
        <v>3.8</v>
      </c>
      <c r="V39" s="37">
        <v>0</v>
      </c>
      <c r="W39" s="33"/>
      <c r="X39" s="37"/>
      <c r="Y39" s="37"/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$67&lt;&gt;"")*(G$3:G$67=G40)*(J$3:J$67&gt;J40)*(I$3:I$67="P"))+1,IF(O40&lt;&gt;"",SUMPRODUCT((O$3:O$67&lt;&gt;"")*(P$3:P$67="")*(G$3:G$67=G40)*(J$3:J$67&gt;J40)*(I$3:I$67="P"))+SUMPRODUCT((P$3:P$67&lt;&gt;"")*(G$3:G$67=G40)*(I$3:I$67="P"))+1,IF(N40&lt;&gt;"",SUMPRODUCT((N$3:N$67&lt;&gt;"")*(G$3:G$67=G40)*(J$3:J$67&gt;J40)*(I$3:I$67="P"))+1,IF(M40="P",SUMPRODUCT((O$3:O$67&lt;&gt;"")*(P$3:P$67="")*(G$3:G$67=G40)*(I$3:I$67="P"))+SUMPRODUCT((P$3:P$67&lt;&gt;"")*(G$3:G$67=G40)*(I$3:I$67="P"))+SUMPRODUCT((N$3:N$67&lt;&gt;"")*(G$3:G$67=G40)*(I$3:I$67="P"))+SUMPRODUCT((P$3:P$67="")*(O$3:O$67="")*(N$3:N$67="")*(M$3:M$67="P")*(G$3:G$67=G40)*(J$3:J$67&gt;J40)*(I$3:I$67="P"))+IF(H40="L5",SUMPRODUCT((P$3:P$67="")*(O$3:O$67="")*(N$3:N$67="")*(M$3:M$67="P")*(G$3:G$67=G40)*(J$3:J$67&lt;J40)*(H$3:H$67&lt;&gt;H40)*(I$3:I$67="P")),-1*SUMPRODUCT((P$3:P$67="")*(O$3:O$67="")*(N$3:N$67="")*(M$3:M$67="P")*(G$3:G$67=G40)*(J$3:J$67&gt;J40)*(H$3:H$67="L5")*(I$3:I$67="P")))+1,"")))))</f>
        <v/>
      </c>
      <c r="B40" s="1" t="str" cm="1">
        <f t="array" ref="B40">IF(P40&lt;&gt;"",SUMPRODUCT((P$3:P$67&lt;&gt;"")*(G$3:G$67=G40)*(J$3:J$67&gt;J40))+1,IF(O40&lt;&gt;"",SUMPRODUCT((O$3:O$67&lt;&gt;"")*(P$3:P$67="")*(G$3:G$67=G40)*(J$3:J$67&gt;J40))+SUMPRODUCT((P$3:P$67&lt;&gt;"")*(G$3:G$67=G40))+1,IF(N40&lt;&gt;"",SUMPRODUCT((N$3:N$67&lt;&gt;"")*(G$3:G$67=G40)*(J$3:J$67&gt;J40))+1,IF(M40="P",SUMPRODUCT((O$3:O$67&lt;&gt;"")*(P$3:P$67="")*(G$3:G$67=G40))+SUMPRODUCT((P$3:P$67&lt;&gt;"")*(G$3:G$67=G40))+SUMPRODUCT((N$3:N$67&lt;&gt;"")*(G$3:G$67=G40))+SUMPRODUCT((P$3:P$67="")*(O$3:O$67="")*(N$3:N$67="")*(M$3:M$67="P")*(G$3:G$67=G40)*(J$3:J$67&gt;J40))+IF(H40="L5",SUMPRODUCT((P$3:P$67="")*(O$3:O$67="")*(N$3:N$67="")*(M$3:M$67="P")*(G$3:G$67=G40)*(J$3:J$67&lt;J40)*(H$3:H$67&lt;&gt;H40)),-1*SUMPRODUCT((P$3:P$67="")*(O$3:O$67="")*(N$3:N$67="")*(M$3:M$67="P")*(G$3:G$67=G40)*(J$3:J$67&gt;J40)*(H$3:H$67="L5")))+1,""))))</f>
        <v/>
      </c>
      <c r="C40" s="35" t="s">
        <v>104</v>
      </c>
      <c r="D40" s="35" t="str">
        <f>IF(E40="","",VLOOKUP(E40,'Coaching Points'!A:B,2,0))</f>
        <v>AB</v>
      </c>
      <c r="E40" s="35" t="s">
        <v>28</v>
      </c>
      <c r="F40" s="34">
        <v>2007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66</v>
      </c>
      <c r="I40" s="40"/>
      <c r="J40" s="4">
        <f t="shared" si="4"/>
        <v>22.0001</v>
      </c>
      <c r="K40" s="3" t="str">
        <f>IF(G40="Not Age Eligible","",IF(MAX(T40,W40,Z40,AC40)&gt;=LOOKUP(G40,'Qualifying Scores'!$A$4:$A$7,'Qualifying Scores'!$G$4:$G$7),"P",""))</f>
        <v/>
      </c>
      <c r="L40" s="3" t="str">
        <f>IF(G40="Not Age Eligible","",IF(MAX(U40,X40,AA40,AD40)&gt;=LOOKUP(G40,'Qualifying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Scores'!$G$10:$G$13)),AND(Z40&gt;=LOOKUP(G40,'Qualifying Scores'!$A$4:$A$7,'Qualifying Scores'!$G$4:$G$7),AA40&gt;=LOOKUP(G40,'Qualifying Scores'!$A$10:$A$13,'Qualifying Scores'!$G$10:$G$13)),AND(W40&gt;=LOOKUP(G40,'Qualifying Scores'!$A$4:$A$7,'Qualifying Scores'!$G$4:$G$7),X40&gt;=LOOKUP(G40,'Qualifying Scores'!$A$10:$A$13,'Qualifying Scores'!$G$10:$G$13)),AND(AC40&gt;=LOOKUP(G40,'Qualifying Scores'!$A$4:$A$7,'Qualifying Scores'!$G$4:$G$7),AD40&gt;=LOOKUP(G40,'Qualifying Scores'!$A$10:$A$13,'Qualifying Scores'!$G$10:$G$13))),"P",""))</f>
        <v/>
      </c>
      <c r="Q40" s="1" t="str">
        <f t="shared" si="5"/>
        <v/>
      </c>
      <c r="R40" s="4">
        <f t="shared" si="6"/>
        <v>22</v>
      </c>
      <c r="S40" s="4">
        <f t="shared" si="7"/>
        <v>0</v>
      </c>
      <c r="T40" s="32">
        <v>22</v>
      </c>
      <c r="U40" s="37">
        <v>5.6</v>
      </c>
      <c r="V40" s="37">
        <v>0</v>
      </c>
      <c r="W40" s="33"/>
      <c r="X40" s="37"/>
      <c r="Y40" s="37"/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$67&lt;&gt;"")*(G$3:G$67=G41)*(J$3:J$67&gt;J41)*(I$3:I$67="P"))+1,IF(O41&lt;&gt;"",SUMPRODUCT((O$3:O$67&lt;&gt;"")*(P$3:P$67="")*(G$3:G$67=G41)*(J$3:J$67&gt;J41)*(I$3:I$67="P"))+SUMPRODUCT((P$3:P$67&lt;&gt;"")*(G$3:G$67=G41)*(I$3:I$67="P"))+1,IF(N41&lt;&gt;"",SUMPRODUCT((N$3:N$67&lt;&gt;"")*(G$3:G$67=G41)*(J$3:J$67&gt;J41)*(I$3:I$67="P"))+1,IF(M41="P",SUMPRODUCT((O$3:O$67&lt;&gt;"")*(P$3:P$67="")*(G$3:G$67=G41)*(I$3:I$67="P"))+SUMPRODUCT((P$3:P$67&lt;&gt;"")*(G$3:G$67=G41)*(I$3:I$67="P"))+SUMPRODUCT((N$3:N$67&lt;&gt;"")*(G$3:G$67=G41)*(I$3:I$67="P"))+SUMPRODUCT((P$3:P$67="")*(O$3:O$67="")*(N$3:N$67="")*(M$3:M$67="P")*(G$3:G$67=G41)*(J$3:J$67&gt;J41)*(I$3:I$67="P"))+IF(H41="L5",SUMPRODUCT((P$3:P$67="")*(O$3:O$67="")*(N$3:N$67="")*(M$3:M$67="P")*(G$3:G$67=G41)*(J$3:J$67&lt;J41)*(H$3:H$67&lt;&gt;H41)*(I$3:I$67="P")),-1*SUMPRODUCT((P$3:P$67="")*(O$3:O$67="")*(N$3:N$67="")*(M$3:M$67="P")*(G$3:G$67=G41)*(J$3:J$67&gt;J41)*(H$3:H$67="L5")*(I$3:I$67="P")))+1,"")))))</f>
        <v/>
      </c>
      <c r="B41" s="1" t="str" cm="1">
        <f t="array" ref="B41">IF(P41&lt;&gt;"",SUMPRODUCT((P$3:P$67&lt;&gt;"")*(G$3:G$67=G41)*(J$3:J$67&gt;J41))+1,IF(O41&lt;&gt;"",SUMPRODUCT((O$3:O$67&lt;&gt;"")*(P$3:P$67="")*(G$3:G$67=G41)*(J$3:J$67&gt;J41))+SUMPRODUCT((P$3:P$67&lt;&gt;"")*(G$3:G$67=G41))+1,IF(N41&lt;&gt;"",SUMPRODUCT((N$3:N$67&lt;&gt;"")*(G$3:G$67=G41)*(J$3:J$67&gt;J41))+1,IF(M41="P",SUMPRODUCT((O$3:O$67&lt;&gt;"")*(P$3:P$67="")*(G$3:G$67=G41))+SUMPRODUCT((P$3:P$67&lt;&gt;"")*(G$3:G$67=G41))+SUMPRODUCT((N$3:N$67&lt;&gt;"")*(G$3:G$67=G41))+SUMPRODUCT((P$3:P$67="")*(O$3:O$67="")*(N$3:N$67="")*(M$3:M$67="P")*(G$3:G$67=G41)*(J$3:J$67&gt;J41))+IF(H41="L5",SUMPRODUCT((P$3:P$67="")*(O$3:O$67="")*(N$3:N$67="")*(M$3:M$67="P")*(G$3:G$67=G41)*(J$3:J$67&lt;J41)*(H$3:H$67&lt;&gt;H41)),-1*SUMPRODUCT((P$3:P$67="")*(O$3:O$67="")*(N$3:N$67="")*(M$3:M$67="P")*(G$3:G$67=G41)*(J$3:J$67&gt;J41)*(H$3:H$67="L5")))+1,""))))</f>
        <v/>
      </c>
      <c r="C41" s="35" t="s">
        <v>293</v>
      </c>
      <c r="D41" s="35" t="str">
        <f>IF(E41="","",VLOOKUP(E41,'Coaching Points'!A:B,2,0))</f>
        <v>MB</v>
      </c>
      <c r="E41" s="35" t="s">
        <v>67</v>
      </c>
      <c r="F41" s="34">
        <v>2004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64</v>
      </c>
      <c r="I41" s="40"/>
      <c r="J41" s="4">
        <f t="shared" si="4"/>
        <v>21.7</v>
      </c>
      <c r="K41" s="3" t="str">
        <f>IF(G41="Not Age Eligible","",IF(MAX(T41,W41,Z41,AC41)&gt;=LOOKUP(G41,'Qualifying Scores'!$A$4:$A$7,'Qualifying Scores'!$G$4:$G$7),"P",""))</f>
        <v/>
      </c>
      <c r="L41" s="3" t="str">
        <f>IF(G41="Not Age Eligible","",IF(MAX(U41,X41,AA41,AD41)&gt;=LOOKUP(G41,'Qualifying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Scores'!$G$10:$G$13)),AND(Z41&gt;=LOOKUP(G41,'Qualifying Scores'!$A$4:$A$7,'Qualifying Scores'!$G$4:$G$7),AA41&gt;=LOOKUP(G41,'Qualifying Scores'!$A$10:$A$13,'Qualifying Scores'!$G$10:$G$13)),AND(W41&gt;=LOOKUP(G41,'Qualifying Scores'!$A$4:$A$7,'Qualifying Scores'!$G$4:$G$7),X41&gt;=LOOKUP(G41,'Qualifying Scores'!$A$10:$A$13,'Qualifying Scores'!$G$10:$G$13)),AND(AC41&gt;=LOOKUP(G41,'Qualifying Scores'!$A$4:$A$7,'Qualifying Scores'!$G$4:$G$7),AD41&gt;=LOOKUP(G41,'Qualifying Scores'!$A$10:$A$13,'Qualifying Scores'!$G$10:$G$13))),"P",""))</f>
        <v/>
      </c>
      <c r="Q41" s="1" t="str">
        <f t="shared" si="5"/>
        <v/>
      </c>
      <c r="R41" s="4">
        <f t="shared" si="6"/>
        <v>21.7</v>
      </c>
      <c r="S41" s="4">
        <f t="shared" si="7"/>
        <v>0</v>
      </c>
      <c r="T41" s="32">
        <v>21.7</v>
      </c>
      <c r="U41" s="37">
        <v>3.1</v>
      </c>
      <c r="V41" s="37">
        <v>0</v>
      </c>
      <c r="W41" s="33"/>
      <c r="X41" s="37"/>
      <c r="Y41" s="37"/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$67&lt;&gt;"")*(G$3:G$67=G42)*(J$3:J$67&gt;J42)*(I$3:I$67="P"))+1,IF(O42&lt;&gt;"",SUMPRODUCT((O$3:O$67&lt;&gt;"")*(P$3:P$67="")*(G$3:G$67=G42)*(J$3:J$67&gt;J42)*(I$3:I$67="P"))+SUMPRODUCT((P$3:P$67&lt;&gt;"")*(G$3:G$67=G42)*(I$3:I$67="P"))+1,IF(N42&lt;&gt;"",SUMPRODUCT((N$3:N$67&lt;&gt;"")*(G$3:G$67=G42)*(J$3:J$67&gt;J42)*(I$3:I$67="P"))+1,IF(M42="P",SUMPRODUCT((O$3:O$67&lt;&gt;"")*(P$3:P$67="")*(G$3:G$67=G42)*(I$3:I$67="P"))+SUMPRODUCT((P$3:P$67&lt;&gt;"")*(G$3:G$67=G42)*(I$3:I$67="P"))+SUMPRODUCT((N$3:N$67&lt;&gt;"")*(G$3:G$67=G42)*(I$3:I$67="P"))+SUMPRODUCT((P$3:P$67="")*(O$3:O$67="")*(N$3:N$67="")*(M$3:M$67="P")*(G$3:G$67=G42)*(J$3:J$67&gt;J42)*(I$3:I$67="P"))+IF(H42="L5",SUMPRODUCT((P$3:P$67="")*(O$3:O$67="")*(N$3:N$67="")*(M$3:M$67="P")*(G$3:G$67=G42)*(J$3:J$67&lt;J42)*(H$3:H$67&lt;&gt;H42)*(I$3:I$67="P")),-1*SUMPRODUCT((P$3:P$67="")*(O$3:O$67="")*(N$3:N$67="")*(M$3:M$67="P")*(G$3:G$67=G42)*(J$3:J$67&gt;J42)*(H$3:H$67="L5")*(I$3:I$67="P")))+1,"")))))</f>
        <v/>
      </c>
      <c r="B42" s="1" t="str" cm="1">
        <f t="array" ref="B42">IF(P42&lt;&gt;"",SUMPRODUCT((P$3:P$67&lt;&gt;"")*(G$3:G$67=G42)*(J$3:J$67&gt;J42))+1,IF(O42&lt;&gt;"",SUMPRODUCT((O$3:O$67&lt;&gt;"")*(P$3:P$67="")*(G$3:G$67=G42)*(J$3:J$67&gt;J42))+SUMPRODUCT((P$3:P$67&lt;&gt;"")*(G$3:G$67=G42))+1,IF(N42&lt;&gt;"",SUMPRODUCT((N$3:N$67&lt;&gt;"")*(G$3:G$67=G42)*(J$3:J$67&gt;J42))+1,IF(M42="P",SUMPRODUCT((O$3:O$67&lt;&gt;"")*(P$3:P$67="")*(G$3:G$67=G42))+SUMPRODUCT((P$3:P$67&lt;&gt;"")*(G$3:G$67=G42))+SUMPRODUCT((N$3:N$67&lt;&gt;"")*(G$3:G$67=G42))+SUMPRODUCT((P$3:P$67="")*(O$3:O$67="")*(N$3:N$67="")*(M$3:M$67="P")*(G$3:G$67=G42)*(J$3:J$67&gt;J42))+IF(H42="L5",SUMPRODUCT((P$3:P$67="")*(O$3:O$67="")*(N$3:N$67="")*(M$3:M$67="P")*(G$3:G$67=G42)*(J$3:J$67&lt;J42)*(H$3:H$67&lt;&gt;H42)),-1*SUMPRODUCT((P$3:P$67="")*(O$3:O$67="")*(N$3:N$67="")*(M$3:M$67="P")*(G$3:G$67=G42)*(J$3:J$67&gt;J42)*(H$3:H$67="L5")))+1,""))))</f>
        <v/>
      </c>
      <c r="C42" s="35" t="s">
        <v>145</v>
      </c>
      <c r="D42" s="35" t="str">
        <f>IF(E42="","",VLOOKUP(E42,'Coaching Points'!A:B,2,0))</f>
        <v>SK</v>
      </c>
      <c r="E42" s="35" t="s">
        <v>329</v>
      </c>
      <c r="F42" s="34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66</v>
      </c>
      <c r="I42" s="40"/>
      <c r="J42" s="4">
        <f t="shared" si="4"/>
        <v>21.200099999999999</v>
      </c>
      <c r="K42" s="3" t="str">
        <f>IF(G42="Not Age Eligible","",IF(MAX(T42,W42,Z42,AC42)&gt;=LOOKUP(G42,'Qualifying Scores'!$A$4:$A$7,'Qualifying Scores'!$G$4:$G$7),"P",""))</f>
        <v/>
      </c>
      <c r="L42" s="3" t="str">
        <f>IF(G42="Not Age Eligible","",IF(MAX(U42,X42,AA42,AD42)&gt;=LOOKUP(G42,'Qualifying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Scores'!$G$10:$G$13)),AND(Z42&gt;=LOOKUP(G42,'Qualifying Scores'!$A$4:$A$7,'Qualifying Scores'!$G$4:$G$7),AA42&gt;=LOOKUP(G42,'Qualifying Scores'!$A$10:$A$13,'Qualifying Scores'!$G$10:$G$13)),AND(W42&gt;=LOOKUP(G42,'Qualifying Scores'!$A$4:$A$7,'Qualifying Scores'!$G$4:$G$7),X42&gt;=LOOKUP(G42,'Qualifying Scores'!$A$10:$A$13,'Qualifying Scores'!$G$10:$G$13)),AND(AC42&gt;=LOOKUP(G42,'Qualifying Scores'!$A$4:$A$7,'Qualifying Scores'!$G$4:$G$7),AD42&gt;=LOOKUP(G42,'Qualifying Scores'!$A$10:$A$13,'Qualifying Scores'!$G$10:$G$13))),"P",""))</f>
        <v/>
      </c>
      <c r="Q42" s="1" t="str">
        <f t="shared" si="5"/>
        <v/>
      </c>
      <c r="R42" s="4">
        <f t="shared" si="6"/>
        <v>21.2</v>
      </c>
      <c r="S42" s="4">
        <f t="shared" si="7"/>
        <v>0</v>
      </c>
      <c r="T42" s="32">
        <v>21.2</v>
      </c>
      <c r="U42" s="37">
        <v>4.8</v>
      </c>
      <c r="V42" s="37">
        <v>0</v>
      </c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$67&lt;&gt;"")*(G$3:G$67=G43)*(J$3:J$67&gt;J43)*(I$3:I$67="P"))+1,IF(O43&lt;&gt;"",SUMPRODUCT((O$3:O$67&lt;&gt;"")*(P$3:P$67="")*(G$3:G$67=G43)*(J$3:J$67&gt;J43)*(I$3:I$67="P"))+SUMPRODUCT((P$3:P$67&lt;&gt;"")*(G$3:G$67=G43)*(I$3:I$67="P"))+1,IF(N43&lt;&gt;"",SUMPRODUCT((N$3:N$67&lt;&gt;"")*(G$3:G$67=G43)*(J$3:J$67&gt;J43)*(I$3:I$67="P"))+1,IF(M43="P",SUMPRODUCT((O$3:O$67&lt;&gt;"")*(P$3:P$67="")*(G$3:G$67=G43)*(I$3:I$67="P"))+SUMPRODUCT((P$3:P$67&lt;&gt;"")*(G$3:G$67=G43)*(I$3:I$67="P"))+SUMPRODUCT((N$3:N$67&lt;&gt;"")*(G$3:G$67=G43)*(I$3:I$67="P"))+SUMPRODUCT((P$3:P$67="")*(O$3:O$67="")*(N$3:N$67="")*(M$3:M$67="P")*(G$3:G$67=G43)*(J$3:J$67&gt;J43)*(I$3:I$67="P"))+IF(H43="L5",SUMPRODUCT((P$3:P$67="")*(O$3:O$67="")*(N$3:N$67="")*(M$3:M$67="P")*(G$3:G$67=G43)*(J$3:J$67&lt;J43)*(H$3:H$67&lt;&gt;H43)*(I$3:I$67="P")),-1*SUMPRODUCT((P$3:P$67="")*(O$3:O$67="")*(N$3:N$67="")*(M$3:M$67="P")*(G$3:G$67=G43)*(J$3:J$67&gt;J43)*(H$3:H$67="L5")*(I$3:I$67="P")))+1,"")))))</f>
        <v/>
      </c>
      <c r="B43" s="1" t="str" cm="1">
        <f t="array" ref="B43">IF(P43&lt;&gt;"",SUMPRODUCT((P$3:P$67&lt;&gt;"")*(G$3:G$67=G43)*(J$3:J$67&gt;J43))+1,IF(O43&lt;&gt;"",SUMPRODUCT((O$3:O$67&lt;&gt;"")*(P$3:P$67="")*(G$3:G$67=G43)*(J$3:J$67&gt;J43))+SUMPRODUCT((P$3:P$67&lt;&gt;"")*(G$3:G$67=G43))+1,IF(N43&lt;&gt;"",SUMPRODUCT((N$3:N$67&lt;&gt;"")*(G$3:G$67=G43)*(J$3:J$67&gt;J43))+1,IF(M43="P",SUMPRODUCT((O$3:O$67&lt;&gt;"")*(P$3:P$67="")*(G$3:G$67=G43))+SUMPRODUCT((P$3:P$67&lt;&gt;"")*(G$3:G$67=G43))+SUMPRODUCT((N$3:N$67&lt;&gt;"")*(G$3:G$67=G43))+SUMPRODUCT((P$3:P$67="")*(O$3:O$67="")*(N$3:N$67="")*(M$3:M$67="P")*(G$3:G$67=G43)*(J$3:J$67&gt;J43))+IF(H43="L5",SUMPRODUCT((P$3:P$67="")*(O$3:O$67="")*(N$3:N$67="")*(M$3:M$67="P")*(G$3:G$67=G43)*(J$3:J$67&lt;J43)*(H$3:H$67&lt;&gt;H43)),-1*SUMPRODUCT((P$3:P$67="")*(O$3:O$67="")*(N$3:N$67="")*(M$3:M$67="P")*(G$3:G$67=G43)*(J$3:J$67&gt;J43)*(H$3:H$67="L5")))+1,""))))</f>
        <v/>
      </c>
      <c r="C43" s="35" t="s">
        <v>143</v>
      </c>
      <c r="D43" s="35" t="str">
        <f>IF(E43="","",VLOOKUP(E43,'Coaching Points'!A:B,2,0))</f>
        <v>BC</v>
      </c>
      <c r="E43" s="35" t="s">
        <v>40</v>
      </c>
      <c r="F43" s="34">
        <v>2003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72</v>
      </c>
      <c r="I43" s="40"/>
      <c r="J43" s="4">
        <f t="shared" si="4"/>
        <v>19.8002</v>
      </c>
      <c r="K43" s="3" t="str">
        <f>IF(G43="Not Age Eligible","",IF(MAX(T43,W43,Z43,AC43)&gt;=LOOKUP(G43,'Qualifying Scores'!$A$4:$A$7,'Qualifying Scores'!$G$4:$G$7),"P",""))</f>
        <v/>
      </c>
      <c r="L43" s="3" t="str">
        <f>IF(G43="Not Age Eligible","",IF(MAX(U43,X43,AA43,AD43)&gt;=LOOKUP(G43,'Qualifying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Scores'!$G$10:$G$13)),AND(Z43&gt;=LOOKUP(G43,'Qualifying Scores'!$A$4:$A$7,'Qualifying Scores'!$G$4:$G$7),AA43&gt;=LOOKUP(G43,'Qualifying Scores'!$A$10:$A$13,'Qualifying Scores'!$G$10:$G$13)),AND(W43&gt;=LOOKUP(G43,'Qualifying Scores'!$A$4:$A$7,'Qualifying Scores'!$G$4:$G$7),X43&gt;=LOOKUP(G43,'Qualifying Scores'!$A$10:$A$13,'Qualifying Scores'!$G$10:$G$13)),AND(AC43&gt;=LOOKUP(G43,'Qualifying Scores'!$A$4:$A$7,'Qualifying Scores'!$G$4:$G$7),AD43&gt;=LOOKUP(G43,'Qualifying Scores'!$A$10:$A$13,'Qualifying Scores'!$G$10:$G$13))),"P",""))</f>
        <v/>
      </c>
      <c r="Q43" s="1" t="str">
        <f t="shared" si="5"/>
        <v/>
      </c>
      <c r="R43" s="4">
        <f t="shared" si="6"/>
        <v>19.8</v>
      </c>
      <c r="S43" s="4">
        <f t="shared" si="7"/>
        <v>0</v>
      </c>
      <c r="T43" s="32">
        <v>19.8</v>
      </c>
      <c r="U43" s="37">
        <v>2.8</v>
      </c>
      <c r="V43" s="37">
        <v>0</v>
      </c>
      <c r="W43" s="33"/>
      <c r="X43" s="37"/>
      <c r="Y43" s="37"/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$67&lt;&gt;"")*(G$3:G$67=G44)*(J$3:J$67&gt;J44)*(I$3:I$67="P"))+1,IF(O44&lt;&gt;"",SUMPRODUCT((O$3:O$67&lt;&gt;"")*(P$3:P$67="")*(G$3:G$67=G44)*(J$3:J$67&gt;J44)*(I$3:I$67="P"))+SUMPRODUCT((P$3:P$67&lt;&gt;"")*(G$3:G$67=G44)*(I$3:I$67="P"))+1,IF(N44&lt;&gt;"",SUMPRODUCT((N$3:N$67&lt;&gt;"")*(G$3:G$67=G44)*(J$3:J$67&gt;J44)*(I$3:I$67="P"))+1,IF(M44="P",SUMPRODUCT((O$3:O$67&lt;&gt;"")*(P$3:P$67="")*(G$3:G$67=G44)*(I$3:I$67="P"))+SUMPRODUCT((P$3:P$67&lt;&gt;"")*(G$3:G$67=G44)*(I$3:I$67="P"))+SUMPRODUCT((N$3:N$67&lt;&gt;"")*(G$3:G$67=G44)*(I$3:I$67="P"))+SUMPRODUCT((P$3:P$67="")*(O$3:O$67="")*(N$3:N$67="")*(M$3:M$67="P")*(G$3:G$67=G44)*(J$3:J$67&gt;J44)*(I$3:I$67="P"))+IF(H44="L5",SUMPRODUCT((P$3:P$67="")*(O$3:O$67="")*(N$3:N$67="")*(M$3:M$67="P")*(G$3:G$67=G44)*(J$3:J$67&lt;J44)*(H$3:H$67&lt;&gt;H44)*(I$3:I$67="P")),-1*SUMPRODUCT((P$3:P$67="")*(O$3:O$67="")*(N$3:N$67="")*(M$3:M$67="P")*(G$3:G$67=G44)*(J$3:J$67&gt;J44)*(H$3:H$67="L5")*(I$3:I$67="P")))+1,"")))))</f>
        <v/>
      </c>
      <c r="B44" s="1" cm="1">
        <f t="array" ref="B44">IF(P44&lt;&gt;"",SUMPRODUCT((P$3:P$67&lt;&gt;"")*(G$3:G$67=G44)*(J$3:J$67&gt;J44))+1,IF(O44&lt;&gt;"",SUMPRODUCT((O$3:O$67&lt;&gt;"")*(P$3:P$67="")*(G$3:G$67=G44)*(J$3:J$67&gt;J44))+SUMPRODUCT((P$3:P$67&lt;&gt;"")*(G$3:G$67=G44))+1,IF(N44&lt;&gt;"",SUMPRODUCT((N$3:N$67&lt;&gt;"")*(G$3:G$67=G44)*(J$3:J$67&gt;J44))+1,IF(M44="P",SUMPRODUCT((O$3:O$67&lt;&gt;"")*(P$3:P$67="")*(G$3:G$67=G44))+SUMPRODUCT((P$3:P$67&lt;&gt;"")*(G$3:G$67=G44))+SUMPRODUCT((N$3:N$67&lt;&gt;"")*(G$3:G$67=G44))+SUMPRODUCT((P$3:P$67="")*(O$3:O$67="")*(N$3:N$67="")*(M$3:M$67="P")*(G$3:G$67=G44)*(J$3:J$67&gt;J44))+IF(H44="L5",SUMPRODUCT((P$3:P$67="")*(O$3:O$67="")*(N$3:N$67="")*(M$3:M$67="P")*(G$3:G$67=G44)*(J$3:J$67&lt;J44)*(H$3:H$67&lt;&gt;H44)),-1*SUMPRODUCT((P$3:P$67="")*(O$3:O$67="")*(N$3:N$67="")*(M$3:M$67="P")*(G$3:G$67=G44)*(J$3:J$67&gt;J44)*(H$3:H$67="L5")))+1,""))))</f>
        <v>1</v>
      </c>
      <c r="C44" s="35" t="s">
        <v>120</v>
      </c>
      <c r="D44" s="35" t="str">
        <f>IF(E44="","",VLOOKUP(E44,'Coaching Points'!A:B,2,0))</f>
        <v>BC</v>
      </c>
      <c r="E44" s="35" t="s">
        <v>40</v>
      </c>
      <c r="F44" s="34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63</v>
      </c>
      <c r="I44" s="40"/>
      <c r="J44" s="4">
        <f t="shared" si="4"/>
        <v>51.300199999999997</v>
      </c>
      <c r="K44" s="3" t="str">
        <f>IF(G44="Not Age Eligible","",IF(MAX(T44,W44,Z44,AC44)&gt;=LOOKUP(G44,'Qualifying Scores'!$A$4:$A$7,'Qualifying Scores'!$G$4:$G$7),"P",""))</f>
        <v>P</v>
      </c>
      <c r="L44" s="3" t="str">
        <f>IF(G44="Not Age Eligible","",IF(MAX(U44,X44,AA44,AD44)&gt;=LOOKUP(G44,'Qualifying Scores'!$A$10:$A$13,'Qualifying Scores'!$G$10:$G$13),"P",""))</f>
        <v>P</v>
      </c>
      <c r="M44" s="3" t="str">
        <f>IF(G44="Not Age Eligible","",IF(OR(AND(T44&gt;=LOOKUP(G44,'Qualifying Scores'!$A$4:$A$7,'Qualifying Scores'!$G$4:$G$7),U44&gt;=LOOKUP(G44,'Qualifying Scores'!$A$10:$A$13,'Qualifying Scores'!$G$10:$G$13)),AND(Z44&gt;=LOOKUP(G44,'Qualifying Scores'!$A$4:$A$7,'Qualifying Scores'!$G$4:$G$7),AA44&gt;=LOOKUP(G44,'Qualifying Scores'!$A$10:$A$13,'Qualifying Scores'!$G$10:$G$13)),AND(W44&gt;=LOOKUP(G44,'Qualifying Scores'!$A$4:$A$7,'Qualifying Scores'!$G$4:$G$7),X44&gt;=LOOKUP(G44,'Qualifying Scores'!$A$10:$A$13,'Qualifying Scores'!$G$10:$G$13)),AND(AC44&gt;=LOOKUP(G44,'Qualifying Scores'!$A$4:$A$7,'Qualifying Scores'!$G$4:$G$7),AD44&gt;=LOOKUP(G44,'Qualifying Scores'!$A$10:$A$13,'Qualifying Scores'!$G$10:$G$13))),"P",""))</f>
        <v>P</v>
      </c>
      <c r="N44" s="36">
        <v>1</v>
      </c>
      <c r="Q44" s="1" t="str">
        <f t="shared" si="5"/>
        <v/>
      </c>
      <c r="R44" s="4">
        <f t="shared" si="6"/>
        <v>51.3</v>
      </c>
      <c r="S44" s="4">
        <f t="shared" si="7"/>
        <v>50.8</v>
      </c>
      <c r="T44" s="32">
        <v>50.8</v>
      </c>
      <c r="U44" s="37">
        <v>13.2</v>
      </c>
      <c r="V44" s="37">
        <v>0</v>
      </c>
      <c r="W44" s="33">
        <v>51.3</v>
      </c>
      <c r="X44" s="37">
        <v>14</v>
      </c>
      <c r="Y44" s="37">
        <v>0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$67&lt;&gt;"")*(G$3:G$67=G45)*(J$3:J$67&gt;J45)*(I$3:I$67="P"))+1,IF(O45&lt;&gt;"",SUMPRODUCT((O$3:O$67&lt;&gt;"")*(P$3:P$67="")*(G$3:G$67=G45)*(J$3:J$67&gt;J45)*(I$3:I$67="P"))+SUMPRODUCT((P$3:P$67&lt;&gt;"")*(G$3:G$67=G45)*(I$3:I$67="P"))+1,IF(N45&lt;&gt;"",SUMPRODUCT((N$3:N$67&lt;&gt;"")*(G$3:G$67=G45)*(J$3:J$67&gt;J45)*(I$3:I$67="P"))+1,IF(M45="P",SUMPRODUCT((O$3:O$67&lt;&gt;"")*(P$3:P$67="")*(G$3:G$67=G45)*(I$3:I$67="P"))+SUMPRODUCT((P$3:P$67&lt;&gt;"")*(G$3:G$67=G45)*(I$3:I$67="P"))+SUMPRODUCT((N$3:N$67&lt;&gt;"")*(G$3:G$67=G45)*(I$3:I$67="P"))+SUMPRODUCT((P$3:P$67="")*(O$3:O$67="")*(N$3:N$67="")*(M$3:M$67="P")*(G$3:G$67=G45)*(J$3:J$67&gt;J45)*(I$3:I$67="P"))+IF(H45="L5",SUMPRODUCT((P$3:P$67="")*(O$3:O$67="")*(N$3:N$67="")*(M$3:M$67="P")*(G$3:G$67=G45)*(J$3:J$67&lt;J45)*(H$3:H$67&lt;&gt;H45)*(I$3:I$67="P")),-1*SUMPRODUCT((P$3:P$67="")*(O$3:O$67="")*(N$3:N$67="")*(M$3:M$67="P")*(G$3:G$67=G45)*(J$3:J$67&gt;J45)*(H$3:H$67="L5")*(I$3:I$67="P")))+1,"")))))</f>
        <v/>
      </c>
      <c r="B45" s="1" cm="1">
        <f t="array" ref="B45">IF(P45&lt;&gt;"",SUMPRODUCT((P$3:P$67&lt;&gt;"")*(G$3:G$67=G45)*(J$3:J$67&gt;J45))+1,IF(O45&lt;&gt;"",SUMPRODUCT((O$3:O$67&lt;&gt;"")*(P$3:P$67="")*(G$3:G$67=G45)*(J$3:J$67&gt;J45))+SUMPRODUCT((P$3:P$67&lt;&gt;"")*(G$3:G$67=G45))+1,IF(N45&lt;&gt;"",SUMPRODUCT((N$3:N$67&lt;&gt;"")*(G$3:G$67=G45)*(J$3:J$67&gt;J45))+1,IF(M45="P",SUMPRODUCT((O$3:O$67&lt;&gt;"")*(P$3:P$67="")*(G$3:G$67=G45))+SUMPRODUCT((P$3:P$67&lt;&gt;"")*(G$3:G$67=G45))+SUMPRODUCT((N$3:N$67&lt;&gt;"")*(G$3:G$67=G45))+SUMPRODUCT((P$3:P$67="")*(O$3:O$67="")*(N$3:N$67="")*(M$3:M$67="P")*(G$3:G$67=G45)*(J$3:J$67&gt;J45))+IF(H45="L5",SUMPRODUCT((P$3:P$67="")*(O$3:O$67="")*(N$3:N$67="")*(M$3:M$67="P")*(G$3:G$67=G45)*(J$3:J$67&lt;J45)*(H$3:H$67&lt;&gt;H45)),-1*SUMPRODUCT((P$3:P$67="")*(O$3:O$67="")*(N$3:N$67="")*(M$3:M$67="P")*(G$3:G$67=G45)*(J$3:J$67&gt;J45)*(H$3:H$67="L5")))+1,""))))</f>
        <v>2</v>
      </c>
      <c r="C45" s="35" t="s">
        <v>103</v>
      </c>
      <c r="D45" s="35" t="str">
        <f>IF(E45="","",VLOOKUP(E45,'Coaching Points'!A:B,2,0))</f>
        <v>BC</v>
      </c>
      <c r="E45" s="35" t="s">
        <v>44</v>
      </c>
      <c r="F45" s="34">
        <v>2008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63</v>
      </c>
      <c r="I45" s="40"/>
      <c r="J45" s="4">
        <f t="shared" si="4"/>
        <v>47.900199999999998</v>
      </c>
      <c r="K45" s="3" t="str">
        <f>IF(G45="Not Age Eligible","",IF(MAX(T45,W45,Z45,AC45)&gt;=LOOKUP(G45,'Qualifying Scores'!$A$4:$A$7,'Qualifying Scores'!$G$4:$G$7),"P",""))</f>
        <v>P</v>
      </c>
      <c r="L45" s="3" t="str">
        <f>IF(G45="Not Age Eligible","",IF(MAX(U45,X45,AA45,AD45)&gt;=LOOKUP(G45,'Qualifying Scores'!$A$10:$A$13,'Qualifying Scores'!$G$10:$G$13),"P",""))</f>
        <v>P</v>
      </c>
      <c r="M45" s="3" t="str">
        <f>IF(G45="Not Age Eligible","",IF(OR(AND(T45&gt;=LOOKUP(G45,'Qualifying Scores'!$A$4:$A$7,'Qualifying Scores'!$G$4:$G$7),U45&gt;=LOOKUP(G45,'Qualifying Scores'!$A$10:$A$13,'Qualifying Scores'!$G$10:$G$13)),AND(Z45&gt;=LOOKUP(G45,'Qualifying Scores'!$A$4:$A$7,'Qualifying Scores'!$G$4:$G$7),AA45&gt;=LOOKUP(G45,'Qualifying Scores'!$A$10:$A$13,'Qualifying Scores'!$G$10:$G$13)),AND(W45&gt;=LOOKUP(G45,'Qualifying Scores'!$A$4:$A$7,'Qualifying Scores'!$G$4:$G$7),X45&gt;=LOOKUP(G45,'Qualifying Scores'!$A$10:$A$13,'Qualifying Scores'!$G$10:$G$13)),AND(AC45&gt;=LOOKUP(G45,'Qualifying Scores'!$A$4:$A$7,'Qualifying Scores'!$G$4:$G$7),AD45&gt;=LOOKUP(G45,'Qualifying Scores'!$A$10:$A$13,'Qualifying Scores'!$G$10:$G$13))),"P",""))</f>
        <v>P</v>
      </c>
      <c r="N45" s="36">
        <v>2</v>
      </c>
      <c r="Q45" s="1" t="str">
        <f t="shared" si="5"/>
        <v/>
      </c>
      <c r="R45" s="4">
        <f t="shared" si="6"/>
        <v>47.9</v>
      </c>
      <c r="S45" s="4">
        <f t="shared" si="7"/>
        <v>47.6</v>
      </c>
      <c r="T45" s="32">
        <v>47.9</v>
      </c>
      <c r="U45" s="37">
        <v>11.2</v>
      </c>
      <c r="V45" s="37">
        <v>0</v>
      </c>
      <c r="W45" s="33">
        <v>47.6</v>
      </c>
      <c r="X45" s="37">
        <v>13.2</v>
      </c>
      <c r="Y45" s="37">
        <v>0</v>
      </c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$67&lt;&gt;"")*(G$3:G$67=G46)*(J$3:J$67&gt;J46)*(I$3:I$67="P"))+1,IF(O46&lt;&gt;"",SUMPRODUCT((O$3:O$67&lt;&gt;"")*(P$3:P$67="")*(G$3:G$67=G46)*(J$3:J$67&gt;J46)*(I$3:I$67="P"))+SUMPRODUCT((P$3:P$67&lt;&gt;"")*(G$3:G$67=G46)*(I$3:I$67="P"))+1,IF(N46&lt;&gt;"",SUMPRODUCT((N$3:N$67&lt;&gt;"")*(G$3:G$67=G46)*(J$3:J$67&gt;J46)*(I$3:I$67="P"))+1,IF(M46="P",SUMPRODUCT((O$3:O$67&lt;&gt;"")*(P$3:P$67="")*(G$3:G$67=G46)*(I$3:I$67="P"))+SUMPRODUCT((P$3:P$67&lt;&gt;"")*(G$3:G$67=G46)*(I$3:I$67="P"))+SUMPRODUCT((N$3:N$67&lt;&gt;"")*(G$3:G$67=G46)*(I$3:I$67="P"))+SUMPRODUCT((P$3:P$67="")*(O$3:O$67="")*(N$3:N$67="")*(M$3:M$67="P")*(G$3:G$67=G46)*(J$3:J$67&gt;J46)*(I$3:I$67="P"))+IF(H46="L5",SUMPRODUCT((P$3:P$67="")*(O$3:O$67="")*(N$3:N$67="")*(M$3:M$67="P")*(G$3:G$67=G46)*(J$3:J$67&lt;J46)*(H$3:H$67&lt;&gt;H46)*(I$3:I$67="P")),-1*SUMPRODUCT((P$3:P$67="")*(O$3:O$67="")*(N$3:N$67="")*(M$3:M$67="P")*(G$3:G$67=G46)*(J$3:J$67&gt;J46)*(H$3:H$67="L5")*(I$3:I$67="P")))+1,"")))))</f>
        <v/>
      </c>
      <c r="B46" s="1" cm="1">
        <f t="array" ref="B46">IF(P46&lt;&gt;"",SUMPRODUCT((P$3:P$67&lt;&gt;"")*(G$3:G$67=G46)*(J$3:J$67&gt;J46))+1,IF(O46&lt;&gt;"",SUMPRODUCT((O$3:O$67&lt;&gt;"")*(P$3:P$67="")*(G$3:G$67=G46)*(J$3:J$67&gt;J46))+SUMPRODUCT((P$3:P$67&lt;&gt;"")*(G$3:G$67=G46))+1,IF(N46&lt;&gt;"",SUMPRODUCT((N$3:N$67&lt;&gt;"")*(G$3:G$67=G46)*(J$3:J$67&gt;J46))+1,IF(M46="P",SUMPRODUCT((O$3:O$67&lt;&gt;"")*(P$3:P$67="")*(G$3:G$67=G46))+SUMPRODUCT((P$3:P$67&lt;&gt;"")*(G$3:G$67=G46))+SUMPRODUCT((N$3:N$67&lt;&gt;"")*(G$3:G$67=G46))+SUMPRODUCT((P$3:P$67="")*(O$3:O$67="")*(N$3:N$67="")*(M$3:M$67="P")*(G$3:G$67=G46)*(J$3:J$67&gt;J46))+IF(H46="L5",SUMPRODUCT((P$3:P$67="")*(O$3:O$67="")*(N$3:N$67="")*(M$3:M$67="P")*(G$3:G$67=G46)*(J$3:J$67&lt;J46)*(H$3:H$67&lt;&gt;H46)),-1*SUMPRODUCT((P$3:P$67="")*(O$3:O$67="")*(N$3:N$67="")*(M$3:M$67="P")*(G$3:G$67=G46)*(J$3:J$67&gt;J46)*(H$3:H$67="L5")))+1,""))))</f>
        <v>3</v>
      </c>
      <c r="C46" s="35" t="s">
        <v>101</v>
      </c>
      <c r="D46" s="35" t="str">
        <f>IF(E46="","",VLOOKUP(E46,'Coaching Points'!A:B,2,0))</f>
        <v>AB</v>
      </c>
      <c r="E46" s="35" t="s">
        <v>62</v>
      </c>
      <c r="F46" s="34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63</v>
      </c>
      <c r="I46" s="40"/>
      <c r="J46" s="4">
        <f t="shared" si="4"/>
        <v>47.300199999999997</v>
      </c>
      <c r="K46" s="3" t="str">
        <f>IF(G46="Not Age Eligible","",IF(MAX(T46,W46,Z46,AC46)&gt;=LOOKUP(G46,'Qualifying Scores'!$A$4:$A$7,'Qualifying Scores'!$G$4:$G$7),"P",""))</f>
        <v>P</v>
      </c>
      <c r="L46" s="3" t="str">
        <f>IF(G46="Not Age Eligible","",IF(MAX(U46,X46,AA46,AD46)&gt;=LOOKUP(G46,'Qualifying Scores'!$A$10:$A$13,'Qualifying Scores'!$G$10:$G$13),"P",""))</f>
        <v>P</v>
      </c>
      <c r="M46" s="3" t="str">
        <f>IF(G46="Not Age Eligible","",IF(OR(AND(T46&gt;=LOOKUP(G46,'Qualifying Scores'!$A$4:$A$7,'Qualifying Scores'!$G$4:$G$7),U46&gt;=LOOKUP(G46,'Qualifying Scores'!$A$10:$A$13,'Qualifying Scores'!$G$10:$G$13)),AND(Z46&gt;=LOOKUP(G46,'Qualifying Scores'!$A$4:$A$7,'Qualifying Scores'!$G$4:$G$7),AA46&gt;=LOOKUP(G46,'Qualifying Scores'!$A$10:$A$13,'Qualifying Scores'!$G$10:$G$13)),AND(W46&gt;=LOOKUP(G46,'Qualifying Scores'!$A$4:$A$7,'Qualifying Scores'!$G$4:$G$7),X46&gt;=LOOKUP(G46,'Qualifying Scores'!$A$10:$A$13,'Qualifying Scores'!$G$10:$G$13)),AND(AC46&gt;=LOOKUP(G46,'Qualifying Scores'!$A$4:$A$7,'Qualifying Scores'!$G$4:$G$7),AD46&gt;=LOOKUP(G46,'Qualifying Scores'!$A$10:$A$13,'Qualifying Scores'!$G$10:$G$13))),"P",""))</f>
        <v>P</v>
      </c>
      <c r="N46" s="36">
        <v>4</v>
      </c>
      <c r="Q46" s="1" t="str">
        <f t="shared" si="5"/>
        <v/>
      </c>
      <c r="R46" s="4">
        <f t="shared" si="6"/>
        <v>47.3</v>
      </c>
      <c r="S46" s="4">
        <f t="shared" si="7"/>
        <v>44.2</v>
      </c>
      <c r="T46" s="32">
        <v>47.3</v>
      </c>
      <c r="U46" s="37">
        <v>11.2</v>
      </c>
      <c r="V46" s="37">
        <v>0</v>
      </c>
      <c r="W46" s="33">
        <v>44.2</v>
      </c>
      <c r="X46" s="37">
        <v>10</v>
      </c>
      <c r="Y46" s="37">
        <v>0</v>
      </c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$67&lt;&gt;"")*(G$3:G$67=G47)*(J$3:J$67&gt;J47)*(I$3:I$67="P"))+1,IF(O47&lt;&gt;"",SUMPRODUCT((O$3:O$67&lt;&gt;"")*(P$3:P$67="")*(G$3:G$67=G47)*(J$3:J$67&gt;J47)*(I$3:I$67="P"))+SUMPRODUCT((P$3:P$67&lt;&gt;"")*(G$3:G$67=G47)*(I$3:I$67="P"))+1,IF(N47&lt;&gt;"",SUMPRODUCT((N$3:N$67&lt;&gt;"")*(G$3:G$67=G47)*(J$3:J$67&gt;J47)*(I$3:I$67="P"))+1,IF(M47="P",SUMPRODUCT((O$3:O$67&lt;&gt;"")*(P$3:P$67="")*(G$3:G$67=G47)*(I$3:I$67="P"))+SUMPRODUCT((P$3:P$67&lt;&gt;"")*(G$3:G$67=G47)*(I$3:I$67="P"))+SUMPRODUCT((N$3:N$67&lt;&gt;"")*(G$3:G$67=G47)*(I$3:I$67="P"))+SUMPRODUCT((P$3:P$67="")*(O$3:O$67="")*(N$3:N$67="")*(M$3:M$67="P")*(G$3:G$67=G47)*(J$3:J$67&gt;J47)*(I$3:I$67="P"))+IF(H47="L5",SUMPRODUCT((P$3:P$67="")*(O$3:O$67="")*(N$3:N$67="")*(M$3:M$67="P")*(G$3:G$67=G47)*(J$3:J$67&lt;J47)*(H$3:H$67&lt;&gt;H47)*(I$3:I$67="P")),-1*SUMPRODUCT((P$3:P$67="")*(O$3:O$67="")*(N$3:N$67="")*(M$3:M$67="P")*(G$3:G$67=G47)*(J$3:J$67&gt;J47)*(H$3:H$67="L5")*(I$3:I$67="P")))+1,"")))))</f>
        <v/>
      </c>
      <c r="B47" s="1" cm="1">
        <f t="array" ref="B47">IF(P47&lt;&gt;"",SUMPRODUCT((P$3:P$67&lt;&gt;"")*(G$3:G$67=G47)*(J$3:J$67&gt;J47))+1,IF(O47&lt;&gt;"",SUMPRODUCT((O$3:O$67&lt;&gt;"")*(P$3:P$67="")*(G$3:G$67=G47)*(J$3:J$67&gt;J47))+SUMPRODUCT((P$3:P$67&lt;&gt;"")*(G$3:G$67=G47))+1,IF(N47&lt;&gt;"",SUMPRODUCT((N$3:N$67&lt;&gt;"")*(G$3:G$67=G47)*(J$3:J$67&gt;J47))+1,IF(M47="P",SUMPRODUCT((O$3:O$67&lt;&gt;"")*(P$3:P$67="")*(G$3:G$67=G47))+SUMPRODUCT((P$3:P$67&lt;&gt;"")*(G$3:G$67=G47))+SUMPRODUCT((N$3:N$67&lt;&gt;"")*(G$3:G$67=G47))+SUMPRODUCT((P$3:P$67="")*(O$3:O$67="")*(N$3:N$67="")*(M$3:M$67="P")*(G$3:G$67=G47)*(J$3:J$67&gt;J47))+IF(H47="L5",SUMPRODUCT((P$3:P$67="")*(O$3:O$67="")*(N$3:N$67="")*(M$3:M$67="P")*(G$3:G$67=G47)*(J$3:J$67&lt;J47)*(H$3:H$67&lt;&gt;H47)),-1*SUMPRODUCT((P$3:P$67="")*(O$3:O$67="")*(N$3:N$67="")*(M$3:M$67="P")*(G$3:G$67=G47)*(J$3:J$67&gt;J47)*(H$3:H$67="L5")))+1,""))))</f>
        <v>4</v>
      </c>
      <c r="C47" s="35" t="s">
        <v>102</v>
      </c>
      <c r="D47" s="35" t="str">
        <f>IF(E47="","",VLOOKUP(E47,'Coaching Points'!A:B,2,0))</f>
        <v>BC</v>
      </c>
      <c r="E47" s="35" t="s">
        <v>40</v>
      </c>
      <c r="F47" s="34">
        <v>2009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63</v>
      </c>
      <c r="I47" s="40"/>
      <c r="J47" s="4">
        <f t="shared" si="4"/>
        <v>47.200200000000002</v>
      </c>
      <c r="K47" s="3" t="str">
        <f>IF(G47="Not Age Eligible","",IF(MAX(T47,W47,Z47,AC47)&gt;=LOOKUP(G47,'Qualifying Scores'!$A$4:$A$7,'Qualifying Scores'!$G$4:$G$7),"P",""))</f>
        <v>P</v>
      </c>
      <c r="L47" s="3" t="str">
        <f>IF(G47="Not Age Eligible","",IF(MAX(U47,X47,AA47,AD47)&gt;=LOOKUP(G47,'Qualifying Scores'!$A$10:$A$13,'Qualifying Scores'!$G$10:$G$13),"P",""))</f>
        <v>P</v>
      </c>
      <c r="M47" s="3" t="str">
        <f>IF(G47="Not Age Eligible","",IF(OR(AND(T47&gt;=LOOKUP(G47,'Qualifying Scores'!$A$4:$A$7,'Qualifying Scores'!$G$4:$G$7),U47&gt;=LOOKUP(G47,'Qualifying Scores'!$A$10:$A$13,'Qualifying Scores'!$G$10:$G$13)),AND(Z47&gt;=LOOKUP(G47,'Qualifying Scores'!$A$4:$A$7,'Qualifying Scores'!$G$4:$G$7),AA47&gt;=LOOKUP(G47,'Qualifying Scores'!$A$10:$A$13,'Qualifying Scores'!$G$10:$G$13)),AND(W47&gt;=LOOKUP(G47,'Qualifying Scores'!$A$4:$A$7,'Qualifying Scores'!$G$4:$G$7),X47&gt;=LOOKUP(G47,'Qualifying Scores'!$A$10:$A$13,'Qualifying Scores'!$G$10:$G$13)),AND(AC47&gt;=LOOKUP(G47,'Qualifying Scores'!$A$4:$A$7,'Qualifying Scores'!$G$4:$G$7),AD47&gt;=LOOKUP(G47,'Qualifying Scores'!$A$10:$A$13,'Qualifying Scores'!$G$10:$G$13))),"P",""))</f>
        <v>P</v>
      </c>
      <c r="N47" s="36">
        <v>3</v>
      </c>
      <c r="Q47" s="1" t="str">
        <f t="shared" si="5"/>
        <v/>
      </c>
      <c r="R47" s="4">
        <f t="shared" si="6"/>
        <v>47.2</v>
      </c>
      <c r="S47" s="4">
        <f t="shared" si="7"/>
        <v>45.1</v>
      </c>
      <c r="T47" s="32">
        <v>45.1</v>
      </c>
      <c r="U47" s="37">
        <v>10.4</v>
      </c>
      <c r="V47" s="37">
        <v>0</v>
      </c>
      <c r="W47" s="33">
        <v>47.2</v>
      </c>
      <c r="X47" s="37">
        <v>11.2</v>
      </c>
      <c r="Y47" s="37">
        <v>0</v>
      </c>
      <c r="Z47" s="32"/>
      <c r="AA47" s="37"/>
      <c r="AB47" s="37"/>
      <c r="AC47" s="33"/>
      <c r="AD47" s="37"/>
      <c r="AE47" s="37"/>
    </row>
    <row r="48" spans="1:31" x14ac:dyDescent="0.2">
      <c r="A48" s="1" t="str" cm="1">
        <f t="array" ref="A48">IF(I48="","",IF(P48&lt;&gt;"",SUMPRODUCT((P$3:P$67&lt;&gt;"")*(G$3:G$67=G48)*(J$3:J$67&gt;J48)*(I$3:I$67="P"))+1,IF(O48&lt;&gt;"",SUMPRODUCT((O$3:O$67&lt;&gt;"")*(P$3:P$67="")*(G$3:G$67=G48)*(J$3:J$67&gt;J48)*(I$3:I$67="P"))+SUMPRODUCT((P$3:P$67&lt;&gt;"")*(G$3:G$67=G48)*(I$3:I$67="P"))+1,IF(N48&lt;&gt;"",SUMPRODUCT((N$3:N$67&lt;&gt;"")*(G$3:G$67=G48)*(J$3:J$67&gt;J48)*(I$3:I$67="P"))+1,IF(M48="P",SUMPRODUCT((O$3:O$67&lt;&gt;"")*(P$3:P$67="")*(G$3:G$67=G48)*(I$3:I$67="P"))+SUMPRODUCT((P$3:P$67&lt;&gt;"")*(G$3:G$67=G48)*(I$3:I$67="P"))+SUMPRODUCT((N$3:N$67&lt;&gt;"")*(G$3:G$67=G48)*(I$3:I$67="P"))+SUMPRODUCT((P$3:P$67="")*(O$3:O$67="")*(N$3:N$67="")*(M$3:M$67="P")*(G$3:G$67=G48)*(J$3:J$67&gt;J48)*(I$3:I$67="P"))+IF(H48="L5",SUMPRODUCT((P$3:P$67="")*(O$3:O$67="")*(N$3:N$67="")*(M$3:M$67="P")*(G$3:G$67=G48)*(J$3:J$67&lt;J48)*(H$3:H$67&lt;&gt;H48)*(I$3:I$67="P")),-1*SUMPRODUCT((P$3:P$67="")*(O$3:O$67="")*(N$3:N$67="")*(M$3:M$67="P")*(G$3:G$67=G48)*(J$3:J$67&gt;J48)*(H$3:H$67="L5")*(I$3:I$67="P")))+1,"")))))</f>
        <v/>
      </c>
      <c r="B48" s="1" cm="1">
        <f t="array" ref="B48">IF(P48&lt;&gt;"",SUMPRODUCT((P$3:P$67&lt;&gt;"")*(G$3:G$67=G48)*(J$3:J$67&gt;J48))+1,IF(O48&lt;&gt;"",SUMPRODUCT((O$3:O$67&lt;&gt;"")*(P$3:P$67="")*(G$3:G$67=G48)*(J$3:J$67&gt;J48))+SUMPRODUCT((P$3:P$67&lt;&gt;"")*(G$3:G$67=G48))+1,IF(N48&lt;&gt;"",SUMPRODUCT((N$3:N$67&lt;&gt;"")*(G$3:G$67=G48)*(J$3:J$67&gt;J48))+1,IF(M48="P",SUMPRODUCT((O$3:O$67&lt;&gt;"")*(P$3:P$67="")*(G$3:G$67=G48))+SUMPRODUCT((P$3:P$67&lt;&gt;"")*(G$3:G$67=G48))+SUMPRODUCT((N$3:N$67&lt;&gt;"")*(G$3:G$67=G48))+SUMPRODUCT((P$3:P$67="")*(O$3:O$67="")*(N$3:N$67="")*(M$3:M$67="P")*(G$3:G$67=G48)*(J$3:J$67&gt;J48))+IF(H48="L5",SUMPRODUCT((P$3:P$67="")*(O$3:O$67="")*(N$3:N$67="")*(M$3:M$67="P")*(G$3:G$67=G48)*(J$3:J$67&lt;J48)*(H$3:H$67&lt;&gt;H48)),-1*SUMPRODUCT((P$3:P$67="")*(O$3:O$67="")*(N$3:N$67="")*(M$3:M$67="P")*(G$3:G$67=G48)*(J$3:J$67&gt;J48)*(H$3:H$67="L5")))+1,""))))</f>
        <v>5</v>
      </c>
      <c r="C48" s="35" t="s">
        <v>211</v>
      </c>
      <c r="D48" s="35" t="str">
        <f>IF(E48="","",VLOOKUP(E48,'Coaching Points'!A:B,2,0))</f>
        <v>AB</v>
      </c>
      <c r="E48" s="35" t="s">
        <v>56</v>
      </c>
      <c r="F48" s="34">
        <v>2008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65</v>
      </c>
      <c r="I48" s="40"/>
      <c r="J48" s="4">
        <f t="shared" si="4"/>
        <v>45.500100000000003</v>
      </c>
      <c r="K48" s="3" t="str">
        <f>IF(G48="Not Age Eligible","",IF(MAX(T48,W48,Z48,AC48)&gt;=LOOKUP(G48,'Qualifying Scores'!$A$4:$A$7,'Qualifying Scores'!$G$4:$G$7),"P",""))</f>
        <v>P</v>
      </c>
      <c r="L48" s="3" t="str">
        <f>IF(G48="Not Age Eligible","",IF(MAX(U48,X48,AA48,AD48)&gt;=LOOKUP(G48,'Qualifying Scores'!$A$10:$A$13,'Qualifying Scores'!$G$10:$G$13),"P",""))</f>
        <v>P</v>
      </c>
      <c r="M48" s="3" t="str">
        <f>IF(G48="Not Age Eligible","",IF(OR(AND(T48&gt;=LOOKUP(G48,'Qualifying Scores'!$A$4:$A$7,'Qualifying Scores'!$G$4:$G$7),U48&gt;=LOOKUP(G48,'Qualifying Scores'!$A$10:$A$13,'Qualifying Scores'!$G$10:$G$13)),AND(Z48&gt;=LOOKUP(G48,'Qualifying Scores'!$A$4:$A$7,'Qualifying Scores'!$G$4:$G$7),AA48&gt;=LOOKUP(G48,'Qualifying Scores'!$A$10:$A$13,'Qualifying Scores'!$G$10:$G$13)),AND(W48&gt;=LOOKUP(G48,'Qualifying Scores'!$A$4:$A$7,'Qualifying Scores'!$G$4:$G$7),X48&gt;=LOOKUP(G48,'Qualifying Scores'!$A$10:$A$13,'Qualifying Scores'!$G$10:$G$13)),AND(AC48&gt;=LOOKUP(G48,'Qualifying Scores'!$A$4:$A$7,'Qualifying Scores'!$G$4:$G$7),AD48&gt;=LOOKUP(G48,'Qualifying Scores'!$A$10:$A$13,'Qualifying Scores'!$G$10:$G$13))),"P",""))</f>
        <v>P</v>
      </c>
      <c r="Q48" s="1" t="str">
        <f t="shared" si="5"/>
        <v/>
      </c>
      <c r="R48" s="4">
        <f t="shared" si="6"/>
        <v>45.5</v>
      </c>
      <c r="S48" s="4">
        <f t="shared" si="7"/>
        <v>44.2</v>
      </c>
      <c r="T48" s="32">
        <v>45.5</v>
      </c>
      <c r="U48" s="37">
        <v>8.8000000000000007</v>
      </c>
      <c r="V48" s="37">
        <v>0</v>
      </c>
      <c r="W48" s="33">
        <v>44.5</v>
      </c>
      <c r="X48" s="37">
        <v>8.3000000000000007</v>
      </c>
      <c r="Y48" s="37">
        <v>0.3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$67&lt;&gt;"")*(G$3:G$67=G49)*(J$3:J$67&gt;J49)*(I$3:I$67="P"))+1,IF(O49&lt;&gt;"",SUMPRODUCT((O$3:O$67&lt;&gt;"")*(P$3:P$67="")*(G$3:G$67=G49)*(J$3:J$67&gt;J49)*(I$3:I$67="P"))+SUMPRODUCT((P$3:P$67&lt;&gt;"")*(G$3:G$67=G49)*(I$3:I$67="P"))+1,IF(N49&lt;&gt;"",SUMPRODUCT((N$3:N$67&lt;&gt;"")*(G$3:G$67=G49)*(J$3:J$67&gt;J49)*(I$3:I$67="P"))+1,IF(M49="P",SUMPRODUCT((O$3:O$67&lt;&gt;"")*(P$3:P$67="")*(G$3:G$67=G49)*(I$3:I$67="P"))+SUMPRODUCT((P$3:P$67&lt;&gt;"")*(G$3:G$67=G49)*(I$3:I$67="P"))+SUMPRODUCT((N$3:N$67&lt;&gt;"")*(G$3:G$67=G49)*(I$3:I$67="P"))+SUMPRODUCT((P$3:P$67="")*(O$3:O$67="")*(N$3:N$67="")*(M$3:M$67="P")*(G$3:G$67=G49)*(J$3:J$67&gt;J49)*(I$3:I$67="P"))+IF(H49="L5",SUMPRODUCT((P$3:P$67="")*(O$3:O$67="")*(N$3:N$67="")*(M$3:M$67="P")*(G$3:G$67=G49)*(J$3:J$67&lt;J49)*(H$3:H$67&lt;&gt;H49)*(I$3:I$67="P")),-1*SUMPRODUCT((P$3:P$67="")*(O$3:O$67="")*(N$3:N$67="")*(M$3:M$67="P")*(G$3:G$67=G49)*(J$3:J$67&gt;J49)*(H$3:H$67="L5")*(I$3:I$67="P")))+1,"")))))</f>
        <v/>
      </c>
      <c r="B49" s="1" t="str" cm="1">
        <f t="array" ref="B49">IF(P49&lt;&gt;"",SUMPRODUCT((P$3:P$67&lt;&gt;"")*(G$3:G$67=G49)*(J$3:J$67&gt;J49))+1,IF(O49&lt;&gt;"",SUMPRODUCT((O$3:O$67&lt;&gt;"")*(P$3:P$67="")*(G$3:G$67=G49)*(J$3:J$67&gt;J49))+SUMPRODUCT((P$3:P$67&lt;&gt;"")*(G$3:G$67=G49))+1,IF(N49&lt;&gt;"",SUMPRODUCT((N$3:N$67&lt;&gt;"")*(G$3:G$67=G49)*(J$3:J$67&gt;J49))+1,IF(M49="P",SUMPRODUCT((O$3:O$67&lt;&gt;"")*(P$3:P$67="")*(G$3:G$67=G49))+SUMPRODUCT((P$3:P$67&lt;&gt;"")*(G$3:G$67=G49))+SUMPRODUCT((N$3:N$67&lt;&gt;"")*(G$3:G$67=G49))+SUMPRODUCT((P$3:P$67="")*(O$3:O$67="")*(N$3:N$67="")*(M$3:M$67="P")*(G$3:G$67=G49)*(J$3:J$67&gt;J49))+IF(H49="L5",SUMPRODUCT((P$3:P$67="")*(O$3:O$67="")*(N$3:N$67="")*(M$3:M$67="P")*(G$3:G$67=G49)*(J$3:J$67&lt;J49)*(H$3:H$67&lt;&gt;H49)),-1*SUMPRODUCT((P$3:P$67="")*(O$3:O$67="")*(N$3:N$67="")*(M$3:M$67="P")*(G$3:G$67=G49)*(J$3:J$67&gt;J49)*(H$3:H$67="L5")))+1,""))))</f>
        <v/>
      </c>
      <c r="C49" s="35" t="s">
        <v>177</v>
      </c>
      <c r="D49" s="35" t="str">
        <f>IF(E49="","",VLOOKUP(E49,'Coaching Points'!A:B,2,0))</f>
        <v>QC</v>
      </c>
      <c r="E49" s="35" t="s">
        <v>85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65</v>
      </c>
      <c r="I49" s="40"/>
      <c r="J49" s="4">
        <f t="shared" si="4"/>
        <v>44.400100000000002</v>
      </c>
      <c r="K49" s="3" t="str">
        <f>IF(G49="Not Age Eligible","",IF(MAX(T49,W49,Z49,AC49)&gt;=LOOKUP(G49,'Qualifying Scores'!$A$4:$A$7,'Qualifying Scores'!$G$4:$G$7),"P",""))</f>
        <v/>
      </c>
      <c r="L49" s="3" t="str">
        <f>IF(G49="Not Age Eligible","",IF(MAX(U49,X49,AA49,AD49)&gt;=LOOKUP(G49,'Qualifying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Scores'!$G$10:$G$13)),AND(Z49&gt;=LOOKUP(G49,'Qualifying Scores'!$A$4:$A$7,'Qualifying Scores'!$G$4:$G$7),AA49&gt;=LOOKUP(G49,'Qualifying Scores'!$A$10:$A$13,'Qualifying Scores'!$G$10:$G$13)),AND(W49&gt;=LOOKUP(G49,'Qualifying Scores'!$A$4:$A$7,'Qualifying Scores'!$G$4:$G$7),X49&gt;=LOOKUP(G49,'Qualifying Scores'!$A$10:$A$13,'Qualifying Scores'!$G$10:$G$13)),AND(AC49&gt;=LOOKUP(G49,'Qualifying Scores'!$A$4:$A$7,'Qualifying Scores'!$G$4:$G$7),AD49&gt;=LOOKUP(G49,'Qualifying Scores'!$A$10:$A$13,'Qualifying Scores'!$G$10:$G$13))),"P",""))</f>
        <v/>
      </c>
      <c r="Q49" s="1" t="str">
        <f t="shared" si="5"/>
        <v/>
      </c>
      <c r="R49" s="4">
        <f t="shared" si="6"/>
        <v>44.4</v>
      </c>
      <c r="S49" s="4">
        <f t="shared" si="7"/>
        <v>43.800000000000004</v>
      </c>
      <c r="T49" s="32">
        <v>44.4</v>
      </c>
      <c r="U49" s="37">
        <v>7</v>
      </c>
      <c r="V49" s="37">
        <v>0</v>
      </c>
      <c r="W49" s="33">
        <v>44.1</v>
      </c>
      <c r="X49" s="37">
        <v>7.8000000000000007</v>
      </c>
      <c r="Y49" s="37">
        <v>0.3</v>
      </c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$67&lt;&gt;"")*(G$3:G$67=G50)*(J$3:J$67&gt;J50)*(I$3:I$67="P"))+1,IF(O50&lt;&gt;"",SUMPRODUCT((O$3:O$67&lt;&gt;"")*(P$3:P$67="")*(G$3:G$67=G50)*(J$3:J$67&gt;J50)*(I$3:I$67="P"))+SUMPRODUCT((P$3:P$67&lt;&gt;"")*(G$3:G$67=G50)*(I$3:I$67="P"))+1,IF(N50&lt;&gt;"",SUMPRODUCT((N$3:N$67&lt;&gt;"")*(G$3:G$67=G50)*(J$3:J$67&gt;J50)*(I$3:I$67="P"))+1,IF(M50="P",SUMPRODUCT((O$3:O$67&lt;&gt;"")*(P$3:P$67="")*(G$3:G$67=G50)*(I$3:I$67="P"))+SUMPRODUCT((P$3:P$67&lt;&gt;"")*(G$3:G$67=G50)*(I$3:I$67="P"))+SUMPRODUCT((N$3:N$67&lt;&gt;"")*(G$3:G$67=G50)*(I$3:I$67="P"))+SUMPRODUCT((P$3:P$67="")*(O$3:O$67="")*(N$3:N$67="")*(M$3:M$67="P")*(G$3:G$67=G50)*(J$3:J$67&gt;J50)*(I$3:I$67="P"))+IF(H50="L5",SUMPRODUCT((P$3:P$67="")*(O$3:O$67="")*(N$3:N$67="")*(M$3:M$67="P")*(G$3:G$67=G50)*(J$3:J$67&lt;J50)*(H$3:H$67&lt;&gt;H50)*(I$3:I$67="P")),-1*SUMPRODUCT((P$3:P$67="")*(O$3:O$67="")*(N$3:N$67="")*(M$3:M$67="P")*(G$3:G$67=G50)*(J$3:J$67&gt;J50)*(H$3:H$67="L5")*(I$3:I$67="P")))+1,"")))))</f>
        <v/>
      </c>
      <c r="B50" s="1" t="str" cm="1">
        <f t="array" ref="B50">IF(P50&lt;&gt;"",SUMPRODUCT((P$3:P$67&lt;&gt;"")*(G$3:G$67=G50)*(J$3:J$67&gt;J50))+1,IF(O50&lt;&gt;"",SUMPRODUCT((O$3:O$67&lt;&gt;"")*(P$3:P$67="")*(G$3:G$67=G50)*(J$3:J$67&gt;J50))+SUMPRODUCT((P$3:P$67&lt;&gt;"")*(G$3:G$67=G50))+1,IF(N50&lt;&gt;"",SUMPRODUCT((N$3:N$67&lt;&gt;"")*(G$3:G$67=G50)*(J$3:J$67&gt;J50))+1,IF(M50="P",SUMPRODUCT((O$3:O$67&lt;&gt;"")*(P$3:P$67="")*(G$3:G$67=G50))+SUMPRODUCT((P$3:P$67&lt;&gt;"")*(G$3:G$67=G50))+SUMPRODUCT((N$3:N$67&lt;&gt;"")*(G$3:G$67=G50))+SUMPRODUCT((P$3:P$67="")*(O$3:O$67="")*(N$3:N$67="")*(M$3:M$67="P")*(G$3:G$67=G50)*(J$3:J$67&gt;J50))+IF(H50="L5",SUMPRODUCT((P$3:P$67="")*(O$3:O$67="")*(N$3:N$67="")*(M$3:M$67="P")*(G$3:G$67=G50)*(J$3:J$67&lt;J50)*(H$3:H$67&lt;&gt;H50)),-1*SUMPRODUCT((P$3:P$67="")*(O$3:O$67="")*(N$3:N$67="")*(M$3:M$67="P")*(G$3:G$67=G50)*(J$3:J$67&gt;J50)*(H$3:H$67="L5")))+1,""))))</f>
        <v/>
      </c>
      <c r="C50" s="35" t="s">
        <v>271</v>
      </c>
      <c r="D50" s="35" t="str">
        <f>IF(E50="","",VLOOKUP(E50,'Coaching Points'!A:B,2,0))</f>
        <v>SK</v>
      </c>
      <c r="E50" s="35" t="s">
        <v>329</v>
      </c>
      <c r="F50" s="34">
        <v>2008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64</v>
      </c>
      <c r="I50" s="40"/>
      <c r="J50" s="4">
        <f t="shared" si="4"/>
        <v>43.7</v>
      </c>
      <c r="K50" s="3" t="str">
        <f>IF(G50="Not Age Eligible","",IF(MAX(T50,W50,Z50,AC50)&gt;=LOOKUP(G50,'Qualifying Scores'!$A$4:$A$7,'Qualifying Scores'!$G$4:$G$7),"P",""))</f>
        <v/>
      </c>
      <c r="L50" s="3" t="str">
        <f>IF(G50="Not Age Eligible","",IF(MAX(U50,X50,AA50,AD50)&gt;=LOOKUP(G50,'Qualifying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Scores'!$G$10:$G$13)),AND(Z50&gt;=LOOKUP(G50,'Qualifying Scores'!$A$4:$A$7,'Qualifying Scores'!$G$4:$G$7),AA50&gt;=LOOKUP(G50,'Qualifying Scores'!$A$10:$A$13,'Qualifying Scores'!$G$10:$G$13)),AND(W50&gt;=LOOKUP(G50,'Qualifying Scores'!$A$4:$A$7,'Qualifying Scores'!$G$4:$G$7),X50&gt;=LOOKUP(G50,'Qualifying Scores'!$A$10:$A$13,'Qualifying Scores'!$G$10:$G$13)),AND(AC50&gt;=LOOKUP(G50,'Qualifying Scores'!$A$4:$A$7,'Qualifying Scores'!$G$4:$G$7),AD50&gt;=LOOKUP(G50,'Qualifying Scores'!$A$10:$A$13,'Qualifying Scores'!$G$10:$G$13))),"P",""))</f>
        <v/>
      </c>
      <c r="Q50" s="1" t="str">
        <f t="shared" si="5"/>
        <v/>
      </c>
      <c r="R50" s="4">
        <f t="shared" si="6"/>
        <v>43.7</v>
      </c>
      <c r="S50" s="4">
        <f t="shared" si="7"/>
        <v>43</v>
      </c>
      <c r="T50" s="32">
        <v>43.7</v>
      </c>
      <c r="U50" s="37">
        <v>6.3000000000000007</v>
      </c>
      <c r="V50" s="37">
        <v>0</v>
      </c>
      <c r="W50" s="33">
        <v>43</v>
      </c>
      <c r="X50" s="37">
        <v>5.0999999999999996</v>
      </c>
      <c r="Y50" s="37">
        <v>0</v>
      </c>
      <c r="Z50" s="32"/>
      <c r="AA50" s="37"/>
      <c r="AB50" s="37"/>
      <c r="AC50" s="33"/>
      <c r="AD50" s="37"/>
      <c r="AE50" s="37"/>
    </row>
    <row r="51" spans="1:31" x14ac:dyDescent="0.2">
      <c r="A51" s="1" t="str" cm="1">
        <f t="array" ref="A51">IF(I51="","",IF(P51&lt;&gt;"",SUMPRODUCT((P$3:P$67&lt;&gt;"")*(G$3:G$67=G51)*(J$3:J$67&gt;J51)*(I$3:I$67="P"))+1,IF(O51&lt;&gt;"",SUMPRODUCT((O$3:O$67&lt;&gt;"")*(P$3:P$67="")*(G$3:G$67=G51)*(J$3:J$67&gt;J51)*(I$3:I$67="P"))+SUMPRODUCT((P$3:P$67&lt;&gt;"")*(G$3:G$67=G51)*(I$3:I$67="P"))+1,IF(N51&lt;&gt;"",SUMPRODUCT((N$3:N$67&lt;&gt;"")*(G$3:G$67=G51)*(J$3:J$67&gt;J51)*(I$3:I$67="P"))+1,IF(M51="P",SUMPRODUCT((O$3:O$67&lt;&gt;"")*(P$3:P$67="")*(G$3:G$67=G51)*(I$3:I$67="P"))+SUMPRODUCT((P$3:P$67&lt;&gt;"")*(G$3:G$67=G51)*(I$3:I$67="P"))+SUMPRODUCT((N$3:N$67&lt;&gt;"")*(G$3:G$67=G51)*(I$3:I$67="P"))+SUMPRODUCT((P$3:P$67="")*(O$3:O$67="")*(N$3:N$67="")*(M$3:M$67="P")*(G$3:G$67=G51)*(J$3:J$67&gt;J51)*(I$3:I$67="P"))+IF(H51="L5",SUMPRODUCT((P$3:P$67="")*(O$3:O$67="")*(N$3:N$67="")*(M$3:M$67="P")*(G$3:G$67=G51)*(J$3:J$67&lt;J51)*(H$3:H$67&lt;&gt;H51)*(I$3:I$67="P")),-1*SUMPRODUCT((P$3:P$67="")*(O$3:O$67="")*(N$3:N$67="")*(M$3:M$67="P")*(G$3:G$67=G51)*(J$3:J$67&gt;J51)*(H$3:H$67="L5")*(I$3:I$67="P")))+1,"")))))</f>
        <v/>
      </c>
      <c r="B51" s="1" t="str" cm="1">
        <f t="array" ref="B51">IF(P51&lt;&gt;"",SUMPRODUCT((P$3:P$67&lt;&gt;"")*(G$3:G$67=G51)*(J$3:J$67&gt;J51))+1,IF(O51&lt;&gt;"",SUMPRODUCT((O$3:O$67&lt;&gt;"")*(P$3:P$67="")*(G$3:G$67=G51)*(J$3:J$67&gt;J51))+SUMPRODUCT((P$3:P$67&lt;&gt;"")*(G$3:G$67=G51))+1,IF(N51&lt;&gt;"",SUMPRODUCT((N$3:N$67&lt;&gt;"")*(G$3:G$67=G51)*(J$3:J$67&gt;J51))+1,IF(M51="P",SUMPRODUCT((O$3:O$67&lt;&gt;"")*(P$3:P$67="")*(G$3:G$67=G51))+SUMPRODUCT((P$3:P$67&lt;&gt;"")*(G$3:G$67=G51))+SUMPRODUCT((N$3:N$67&lt;&gt;"")*(G$3:G$67=G51))+SUMPRODUCT((P$3:P$67="")*(O$3:O$67="")*(N$3:N$67="")*(M$3:M$67="P")*(G$3:G$67=G51)*(J$3:J$67&gt;J51))+IF(H51="L5",SUMPRODUCT((P$3:P$67="")*(O$3:O$67="")*(N$3:N$67="")*(M$3:M$67="P")*(G$3:G$67=G51)*(J$3:J$67&lt;J51)*(H$3:H$67&lt;&gt;H51)),-1*SUMPRODUCT((P$3:P$67="")*(O$3:O$67="")*(N$3:N$67="")*(M$3:M$67="P")*(G$3:G$67=G51)*(J$3:J$67&gt;J51)*(H$3:H$67="L5")))+1,""))))</f>
        <v/>
      </c>
      <c r="C51" s="35" t="s">
        <v>264</v>
      </c>
      <c r="D51" s="35" t="str">
        <f>IF(E51="","",VLOOKUP(E51,'Coaching Points'!A:B,2,0))</f>
        <v>QC</v>
      </c>
      <c r="E51" s="35" t="s">
        <v>85</v>
      </c>
      <c r="F51" s="34">
        <v>2008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64</v>
      </c>
      <c r="I51" s="40"/>
      <c r="J51" s="4">
        <f t="shared" si="4"/>
        <v>43.7</v>
      </c>
      <c r="K51" s="3" t="str">
        <f>IF(G51="Not Age Eligible","",IF(MAX(T51,W51,Z51,AC51)&gt;=LOOKUP(G51,'Qualifying Scores'!$A$4:$A$7,'Qualifying Scores'!$G$4:$G$7),"P",""))</f>
        <v/>
      </c>
      <c r="L51" s="3" t="str">
        <f>IF(G51="Not Age Eligible","",IF(MAX(U51,X51,AA51,AD51)&gt;=LOOKUP(G51,'Qualifying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Scores'!$G$10:$G$13)),AND(Z51&gt;=LOOKUP(G51,'Qualifying Scores'!$A$4:$A$7,'Qualifying Scores'!$G$4:$G$7),AA51&gt;=LOOKUP(G51,'Qualifying Scores'!$A$10:$A$13,'Qualifying Scores'!$G$10:$G$13)),AND(W51&gt;=LOOKUP(G51,'Qualifying Scores'!$A$4:$A$7,'Qualifying Scores'!$G$4:$G$7),X51&gt;=LOOKUP(G51,'Qualifying Scores'!$A$10:$A$13,'Qualifying Scores'!$G$10:$G$13)),AND(AC51&gt;=LOOKUP(G51,'Qualifying Scores'!$A$4:$A$7,'Qualifying Scores'!$G$4:$G$7),AD51&gt;=LOOKUP(G51,'Qualifying Scores'!$A$10:$A$13,'Qualifying Scores'!$G$10:$G$13))),"P",""))</f>
        <v/>
      </c>
      <c r="Q51" s="1" t="str">
        <f t="shared" si="5"/>
        <v/>
      </c>
      <c r="R51" s="4">
        <f t="shared" si="6"/>
        <v>43.7</v>
      </c>
      <c r="S51" s="4">
        <f t="shared" si="7"/>
        <v>40.6</v>
      </c>
      <c r="T51" s="32">
        <v>43.7</v>
      </c>
      <c r="U51" s="37">
        <v>5.0999999999999996</v>
      </c>
      <c r="V51" s="37">
        <v>0</v>
      </c>
      <c r="W51" s="33">
        <v>40.6</v>
      </c>
      <c r="X51" s="37">
        <v>4</v>
      </c>
      <c r="Y51" s="37">
        <v>0</v>
      </c>
      <c r="Z51" s="32"/>
      <c r="AA51" s="37"/>
      <c r="AB51" s="37"/>
      <c r="AC51" s="33"/>
      <c r="AD51" s="37"/>
      <c r="AE51" s="37"/>
    </row>
    <row r="52" spans="1:31" x14ac:dyDescent="0.2">
      <c r="A52" s="1" t="str" cm="1">
        <f t="array" ref="A52">IF(I52="","",IF(P52&lt;&gt;"",SUMPRODUCT((P$3:P$67&lt;&gt;"")*(G$3:G$67=G52)*(J$3:J$67&gt;J52)*(I$3:I$67="P"))+1,IF(O52&lt;&gt;"",SUMPRODUCT((O$3:O$67&lt;&gt;"")*(P$3:P$67="")*(G$3:G$67=G52)*(J$3:J$67&gt;J52)*(I$3:I$67="P"))+SUMPRODUCT((P$3:P$67&lt;&gt;"")*(G$3:G$67=G52)*(I$3:I$67="P"))+1,IF(N52&lt;&gt;"",SUMPRODUCT((N$3:N$67&lt;&gt;"")*(G$3:G$67=G52)*(J$3:J$67&gt;J52)*(I$3:I$67="P"))+1,IF(M52="P",SUMPRODUCT((O$3:O$67&lt;&gt;"")*(P$3:P$67="")*(G$3:G$67=G52)*(I$3:I$67="P"))+SUMPRODUCT((P$3:P$67&lt;&gt;"")*(G$3:G$67=G52)*(I$3:I$67="P"))+SUMPRODUCT((N$3:N$67&lt;&gt;"")*(G$3:G$67=G52)*(I$3:I$67="P"))+SUMPRODUCT((P$3:P$67="")*(O$3:O$67="")*(N$3:N$67="")*(M$3:M$67="P")*(G$3:G$67=G52)*(J$3:J$67&gt;J52)*(I$3:I$67="P"))+IF(H52="L5",SUMPRODUCT((P$3:P$67="")*(O$3:O$67="")*(N$3:N$67="")*(M$3:M$67="P")*(G$3:G$67=G52)*(J$3:J$67&lt;J52)*(H$3:H$67&lt;&gt;H52)*(I$3:I$67="P")),-1*SUMPRODUCT((P$3:P$67="")*(O$3:O$67="")*(N$3:N$67="")*(M$3:M$67="P")*(G$3:G$67=G52)*(J$3:J$67&gt;J52)*(H$3:H$67="L5")*(I$3:I$67="P")))+1,"")))))</f>
        <v/>
      </c>
      <c r="B52" s="1" t="str" cm="1">
        <f t="array" ref="B52">IF(P52&lt;&gt;"",SUMPRODUCT((P$3:P$67&lt;&gt;"")*(G$3:G$67=G52)*(J$3:J$67&gt;J52))+1,IF(O52&lt;&gt;"",SUMPRODUCT((O$3:O$67&lt;&gt;"")*(P$3:P$67="")*(G$3:G$67=G52)*(J$3:J$67&gt;J52))+SUMPRODUCT((P$3:P$67&lt;&gt;"")*(G$3:G$67=G52))+1,IF(N52&lt;&gt;"",SUMPRODUCT((N$3:N$67&lt;&gt;"")*(G$3:G$67=G52)*(J$3:J$67&gt;J52))+1,IF(M52="P",SUMPRODUCT((O$3:O$67&lt;&gt;"")*(P$3:P$67="")*(G$3:G$67=G52))+SUMPRODUCT((P$3:P$67&lt;&gt;"")*(G$3:G$67=G52))+SUMPRODUCT((N$3:N$67&lt;&gt;"")*(G$3:G$67=G52))+SUMPRODUCT((P$3:P$67="")*(O$3:O$67="")*(N$3:N$67="")*(M$3:M$67="P")*(G$3:G$67=G52)*(J$3:J$67&gt;J52))+IF(H52="L5",SUMPRODUCT((P$3:P$67="")*(O$3:O$67="")*(N$3:N$67="")*(M$3:M$67="P")*(G$3:G$67=G52)*(J$3:J$67&lt;J52)*(H$3:H$67&lt;&gt;H52)),-1*SUMPRODUCT((P$3:P$67="")*(O$3:O$67="")*(N$3:N$67="")*(M$3:M$67="P")*(G$3:G$67=G52)*(J$3:J$67&gt;J52)*(H$3:H$67="L5")))+1,""))))</f>
        <v/>
      </c>
      <c r="C52" s="35" t="s">
        <v>214</v>
      </c>
      <c r="D52" s="35" t="str">
        <f>IF(E52="","",VLOOKUP(E52,'Coaching Points'!A:B,2,0))</f>
        <v>AB</v>
      </c>
      <c r="E52" s="35" t="s">
        <v>39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65</v>
      </c>
      <c r="I52" s="40"/>
      <c r="J52" s="4">
        <f t="shared" si="4"/>
        <v>43.600100000000005</v>
      </c>
      <c r="K52" s="3" t="str">
        <f>IF(G52="Not Age Eligible","",IF(MAX(T52,W52,Z52,AC52)&gt;=LOOKUP(G52,'Qualifying Scores'!$A$4:$A$7,'Qualifying Scores'!$G$4:$G$7),"P",""))</f>
        <v/>
      </c>
      <c r="L52" s="3" t="str">
        <f>IF(G52="Not Age Eligible","",IF(MAX(U52,X52,AA52,AD52)&gt;=LOOKUP(G52,'Qualifying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Scores'!$G$10:$G$13)),AND(Z52&gt;=LOOKUP(G52,'Qualifying Scores'!$A$4:$A$7,'Qualifying Scores'!$G$4:$G$7),AA52&gt;=LOOKUP(G52,'Qualifying Scores'!$A$10:$A$13,'Qualifying Scores'!$G$10:$G$13)),AND(W52&gt;=LOOKUP(G52,'Qualifying Scores'!$A$4:$A$7,'Qualifying Scores'!$G$4:$G$7),X52&gt;=LOOKUP(G52,'Qualifying Scores'!$A$10:$A$13,'Qualifying Scores'!$G$10:$G$13)),AND(AC52&gt;=LOOKUP(G52,'Qualifying Scores'!$A$4:$A$7,'Qualifying Scores'!$G$4:$G$7),AD52&gt;=LOOKUP(G52,'Qualifying Scores'!$A$10:$A$13,'Qualifying Scores'!$G$10:$G$13))),"P",""))</f>
        <v/>
      </c>
      <c r="Q52" s="1" t="str">
        <f t="shared" si="5"/>
        <v/>
      </c>
      <c r="R52" s="4">
        <f t="shared" si="6"/>
        <v>43.6</v>
      </c>
      <c r="S52" s="4">
        <f t="shared" si="7"/>
        <v>42.4</v>
      </c>
      <c r="T52" s="32">
        <v>43.6</v>
      </c>
      <c r="U52" s="37">
        <v>6.8</v>
      </c>
      <c r="V52" s="37">
        <v>0</v>
      </c>
      <c r="W52" s="33">
        <v>42.4</v>
      </c>
      <c r="X52" s="37">
        <v>6.1</v>
      </c>
      <c r="Y52" s="37">
        <v>0</v>
      </c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$67&lt;&gt;"")*(G$3:G$67=G53)*(J$3:J$67&gt;J53)*(I$3:I$67="P"))+1,IF(O53&lt;&gt;"",SUMPRODUCT((O$3:O$67&lt;&gt;"")*(P$3:P$67="")*(G$3:G$67=G53)*(J$3:J$67&gt;J53)*(I$3:I$67="P"))+SUMPRODUCT((P$3:P$67&lt;&gt;"")*(G$3:G$67=G53)*(I$3:I$67="P"))+1,IF(N53&lt;&gt;"",SUMPRODUCT((N$3:N$67&lt;&gt;"")*(G$3:G$67=G53)*(J$3:J$67&gt;J53)*(I$3:I$67="P"))+1,IF(M53="P",SUMPRODUCT((O$3:O$67&lt;&gt;"")*(P$3:P$67="")*(G$3:G$67=G53)*(I$3:I$67="P"))+SUMPRODUCT((P$3:P$67&lt;&gt;"")*(G$3:G$67=G53)*(I$3:I$67="P"))+SUMPRODUCT((N$3:N$67&lt;&gt;"")*(G$3:G$67=G53)*(I$3:I$67="P"))+SUMPRODUCT((P$3:P$67="")*(O$3:O$67="")*(N$3:N$67="")*(M$3:M$67="P")*(G$3:G$67=G53)*(J$3:J$67&gt;J53)*(I$3:I$67="P"))+IF(H53="L5",SUMPRODUCT((P$3:P$67="")*(O$3:O$67="")*(N$3:N$67="")*(M$3:M$67="P")*(G$3:G$67=G53)*(J$3:J$67&lt;J53)*(H$3:H$67&lt;&gt;H53)*(I$3:I$67="P")),-1*SUMPRODUCT((P$3:P$67="")*(O$3:O$67="")*(N$3:N$67="")*(M$3:M$67="P")*(G$3:G$67=G53)*(J$3:J$67&gt;J53)*(H$3:H$67="L5")*(I$3:I$67="P")))+1,"")))))</f>
        <v/>
      </c>
      <c r="B53" s="1" t="str" cm="1">
        <f t="array" ref="B53">IF(P53&lt;&gt;"",SUMPRODUCT((P$3:P$67&lt;&gt;"")*(G$3:G$67=G53)*(J$3:J$67&gt;J53))+1,IF(O53&lt;&gt;"",SUMPRODUCT((O$3:O$67&lt;&gt;"")*(P$3:P$67="")*(G$3:G$67=G53)*(J$3:J$67&gt;J53))+SUMPRODUCT((P$3:P$67&lt;&gt;"")*(G$3:G$67=G53))+1,IF(N53&lt;&gt;"",SUMPRODUCT((N$3:N$67&lt;&gt;"")*(G$3:G$67=G53)*(J$3:J$67&gt;J53))+1,IF(M53="P",SUMPRODUCT((O$3:O$67&lt;&gt;"")*(P$3:P$67="")*(G$3:G$67=G53))+SUMPRODUCT((P$3:P$67&lt;&gt;"")*(G$3:G$67=G53))+SUMPRODUCT((N$3:N$67&lt;&gt;"")*(G$3:G$67=G53))+SUMPRODUCT((P$3:P$67="")*(O$3:O$67="")*(N$3:N$67="")*(M$3:M$67="P")*(G$3:G$67=G53)*(J$3:J$67&gt;J53))+IF(H53="L5",SUMPRODUCT((P$3:P$67="")*(O$3:O$67="")*(N$3:N$67="")*(M$3:M$67="P")*(G$3:G$67=G53)*(J$3:J$67&lt;J53)*(H$3:H$67&lt;&gt;H53)),-1*SUMPRODUCT((P$3:P$67="")*(O$3:O$67="")*(N$3:N$67="")*(M$3:M$67="P")*(G$3:G$67=G53)*(J$3:J$67&gt;J53)*(H$3:H$67="L5")))+1,""))))</f>
        <v/>
      </c>
      <c r="C53" s="35" t="s">
        <v>176</v>
      </c>
      <c r="D53" s="35" t="str">
        <f>IF(E53="","",VLOOKUP(E53,'Coaching Points'!A:B,2,0))</f>
        <v>AB</v>
      </c>
      <c r="E53" s="35" t="s">
        <v>56</v>
      </c>
      <c r="F53" s="34">
        <v>2008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65</v>
      </c>
      <c r="I53" s="40"/>
      <c r="J53" s="4">
        <f t="shared" si="4"/>
        <v>43.600100000000005</v>
      </c>
      <c r="K53" s="3" t="str">
        <f>IF(G53="Not Age Eligible","",IF(MAX(T53,W53,Z53,AC53)&gt;=LOOKUP(G53,'Qualifying Scores'!$A$4:$A$7,'Qualifying Scores'!$G$4:$G$7),"P",""))</f>
        <v/>
      </c>
      <c r="L53" s="3" t="str">
        <f>IF(G53="Not Age Eligible","",IF(MAX(U53,X53,AA53,AD53)&gt;=LOOKUP(G53,'Qualifying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Scores'!$G$10:$G$13)),AND(Z53&gt;=LOOKUP(G53,'Qualifying Scores'!$A$4:$A$7,'Qualifying Scores'!$G$4:$G$7),AA53&gt;=LOOKUP(G53,'Qualifying Scores'!$A$10:$A$13,'Qualifying Scores'!$G$10:$G$13)),AND(W53&gt;=LOOKUP(G53,'Qualifying Scores'!$A$4:$A$7,'Qualifying Scores'!$G$4:$G$7),X53&gt;=LOOKUP(G53,'Qualifying Scores'!$A$10:$A$13,'Qualifying Scores'!$G$10:$G$13)),AND(AC53&gt;=LOOKUP(G53,'Qualifying Scores'!$A$4:$A$7,'Qualifying Scores'!$G$4:$G$7),AD53&gt;=LOOKUP(G53,'Qualifying Scores'!$A$10:$A$13,'Qualifying Scores'!$G$10:$G$13))),"P",""))</f>
        <v/>
      </c>
      <c r="Q53" s="1" t="str">
        <f t="shared" si="5"/>
        <v/>
      </c>
      <c r="R53" s="4">
        <f t="shared" si="6"/>
        <v>43.6</v>
      </c>
      <c r="S53" s="4">
        <f t="shared" si="7"/>
        <v>40.4</v>
      </c>
      <c r="T53" s="32">
        <v>43.6</v>
      </c>
      <c r="U53" s="37">
        <v>7.7</v>
      </c>
      <c r="V53" s="37">
        <v>0</v>
      </c>
      <c r="W53" s="33">
        <v>40.4</v>
      </c>
      <c r="X53" s="37">
        <v>5.0999999999999996</v>
      </c>
      <c r="Y53" s="37">
        <v>0</v>
      </c>
      <c r="Z53" s="32"/>
      <c r="AA53" s="37"/>
      <c r="AB53" s="37"/>
      <c r="AC53" s="33"/>
      <c r="AD53" s="37"/>
      <c r="AE53" s="37"/>
    </row>
    <row r="54" spans="1:31" x14ac:dyDescent="0.2">
      <c r="A54" s="1" t="str" cm="1">
        <f t="array" ref="A54">IF(I54="","",IF(P54&lt;&gt;"",SUMPRODUCT((P$3:P$67&lt;&gt;"")*(G$3:G$67=G54)*(J$3:J$67&gt;J54)*(I$3:I$67="P"))+1,IF(O54&lt;&gt;"",SUMPRODUCT((O$3:O$67&lt;&gt;"")*(P$3:P$67="")*(G$3:G$67=G54)*(J$3:J$67&gt;J54)*(I$3:I$67="P"))+SUMPRODUCT((P$3:P$67&lt;&gt;"")*(G$3:G$67=G54)*(I$3:I$67="P"))+1,IF(N54&lt;&gt;"",SUMPRODUCT((N$3:N$67&lt;&gt;"")*(G$3:G$67=G54)*(J$3:J$67&gt;J54)*(I$3:I$67="P"))+1,IF(M54="P",SUMPRODUCT((O$3:O$67&lt;&gt;"")*(P$3:P$67="")*(G$3:G$67=G54)*(I$3:I$67="P"))+SUMPRODUCT((P$3:P$67&lt;&gt;"")*(G$3:G$67=G54)*(I$3:I$67="P"))+SUMPRODUCT((N$3:N$67&lt;&gt;"")*(G$3:G$67=G54)*(I$3:I$67="P"))+SUMPRODUCT((P$3:P$67="")*(O$3:O$67="")*(N$3:N$67="")*(M$3:M$67="P")*(G$3:G$67=G54)*(J$3:J$67&gt;J54)*(I$3:I$67="P"))+IF(H54="L5",SUMPRODUCT((P$3:P$67="")*(O$3:O$67="")*(N$3:N$67="")*(M$3:M$67="P")*(G$3:G$67=G54)*(J$3:J$67&lt;J54)*(H$3:H$67&lt;&gt;H54)*(I$3:I$67="P")),-1*SUMPRODUCT((P$3:P$67="")*(O$3:O$67="")*(N$3:N$67="")*(M$3:M$67="P")*(G$3:G$67=G54)*(J$3:J$67&gt;J54)*(H$3:H$67="L5")*(I$3:I$67="P")))+1,"")))))</f>
        <v/>
      </c>
      <c r="B54" s="1" t="str" cm="1">
        <f t="array" ref="B54">IF(P54&lt;&gt;"",SUMPRODUCT((P$3:P$67&lt;&gt;"")*(G$3:G$67=G54)*(J$3:J$67&gt;J54))+1,IF(O54&lt;&gt;"",SUMPRODUCT((O$3:O$67&lt;&gt;"")*(P$3:P$67="")*(G$3:G$67=G54)*(J$3:J$67&gt;J54))+SUMPRODUCT((P$3:P$67&lt;&gt;"")*(G$3:G$67=G54))+1,IF(N54&lt;&gt;"",SUMPRODUCT((N$3:N$67&lt;&gt;"")*(G$3:G$67=G54)*(J$3:J$67&gt;J54))+1,IF(M54="P",SUMPRODUCT((O$3:O$67&lt;&gt;"")*(P$3:P$67="")*(G$3:G$67=G54))+SUMPRODUCT((P$3:P$67&lt;&gt;"")*(G$3:G$67=G54))+SUMPRODUCT((N$3:N$67&lt;&gt;"")*(G$3:G$67=G54))+SUMPRODUCT((P$3:P$67="")*(O$3:O$67="")*(N$3:N$67="")*(M$3:M$67="P")*(G$3:G$67=G54)*(J$3:J$67&gt;J54))+IF(H54="L5",SUMPRODUCT((P$3:P$67="")*(O$3:O$67="")*(N$3:N$67="")*(M$3:M$67="P")*(G$3:G$67=G54)*(J$3:J$67&lt;J54)*(H$3:H$67&lt;&gt;H54)),-1*SUMPRODUCT((P$3:P$67="")*(O$3:O$67="")*(N$3:N$67="")*(M$3:M$67="P")*(G$3:G$67=G54)*(J$3:J$67&gt;J54)*(H$3:H$67="L5")))+1,""))))</f>
        <v/>
      </c>
      <c r="C54" s="35" t="s">
        <v>121</v>
      </c>
      <c r="D54" s="35" t="str">
        <f>IF(E54="","",VLOOKUP(E54,'Coaching Points'!A:B,2,0))</f>
        <v>QC</v>
      </c>
      <c r="E54" s="35" t="s">
        <v>57</v>
      </c>
      <c r="F54" s="34">
        <v>2008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64</v>
      </c>
      <c r="I54" s="40"/>
      <c r="J54" s="4">
        <f t="shared" si="4"/>
        <v>42.9</v>
      </c>
      <c r="K54" s="3" t="str">
        <f>IF(G54="Not Age Eligible","",IF(MAX(T54,W54,Z54,AC54)&gt;=LOOKUP(G54,'Qualifying Scores'!$A$4:$A$7,'Qualifying Scores'!$G$4:$G$7),"P",""))</f>
        <v/>
      </c>
      <c r="L54" s="3" t="str">
        <f>IF(G54="Not Age Eligible","",IF(MAX(U54,X54,AA54,AD54)&gt;=LOOKUP(G54,'Qualifying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Scores'!$G$10:$G$13)),AND(Z54&gt;=LOOKUP(G54,'Qualifying Scores'!$A$4:$A$7,'Qualifying Scores'!$G$4:$G$7),AA54&gt;=LOOKUP(G54,'Qualifying Scores'!$A$10:$A$13,'Qualifying Scores'!$G$10:$G$13)),AND(W54&gt;=LOOKUP(G54,'Qualifying Scores'!$A$4:$A$7,'Qualifying Scores'!$G$4:$G$7),X54&gt;=LOOKUP(G54,'Qualifying Scores'!$A$10:$A$13,'Qualifying Scores'!$G$10:$G$13)),AND(AC54&gt;=LOOKUP(G54,'Qualifying Scores'!$A$4:$A$7,'Qualifying Scores'!$G$4:$G$7),AD54&gt;=LOOKUP(G54,'Qualifying Scores'!$A$10:$A$13,'Qualifying Scores'!$G$10:$G$13))),"P",""))</f>
        <v/>
      </c>
      <c r="Q54" s="1" t="str">
        <f t="shared" si="5"/>
        <v/>
      </c>
      <c r="R54" s="4">
        <f t="shared" si="6"/>
        <v>42.9</v>
      </c>
      <c r="S54" s="4">
        <f t="shared" si="7"/>
        <v>41.9</v>
      </c>
      <c r="T54" s="32">
        <v>41.9</v>
      </c>
      <c r="U54" s="37">
        <v>5</v>
      </c>
      <c r="V54" s="37">
        <v>0</v>
      </c>
      <c r="W54" s="33">
        <v>42.9</v>
      </c>
      <c r="X54" s="37">
        <v>5.8000000000000007</v>
      </c>
      <c r="Y54" s="37">
        <v>0</v>
      </c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$67&lt;&gt;"")*(G$3:G$67=G55)*(J$3:J$67&gt;J55)*(I$3:I$67="P"))+1,IF(O55&lt;&gt;"",SUMPRODUCT((O$3:O$67&lt;&gt;"")*(P$3:P$67="")*(G$3:G$67=G55)*(J$3:J$67&gt;J55)*(I$3:I$67="P"))+SUMPRODUCT((P$3:P$67&lt;&gt;"")*(G$3:G$67=G55)*(I$3:I$67="P"))+1,IF(N55&lt;&gt;"",SUMPRODUCT((N$3:N$67&lt;&gt;"")*(G$3:G$67=G55)*(J$3:J$67&gt;J55)*(I$3:I$67="P"))+1,IF(M55="P",SUMPRODUCT((O$3:O$67&lt;&gt;"")*(P$3:P$67="")*(G$3:G$67=G55)*(I$3:I$67="P"))+SUMPRODUCT((P$3:P$67&lt;&gt;"")*(G$3:G$67=G55)*(I$3:I$67="P"))+SUMPRODUCT((N$3:N$67&lt;&gt;"")*(G$3:G$67=G55)*(I$3:I$67="P"))+SUMPRODUCT((P$3:P$67="")*(O$3:O$67="")*(N$3:N$67="")*(M$3:M$67="P")*(G$3:G$67=G55)*(J$3:J$67&gt;J55)*(I$3:I$67="P"))+IF(H55="L5",SUMPRODUCT((P$3:P$67="")*(O$3:O$67="")*(N$3:N$67="")*(M$3:M$67="P")*(G$3:G$67=G55)*(J$3:J$67&lt;J55)*(H$3:H$67&lt;&gt;H55)*(I$3:I$67="P")),-1*SUMPRODUCT((P$3:P$67="")*(O$3:O$67="")*(N$3:N$67="")*(M$3:M$67="P")*(G$3:G$67=G55)*(J$3:J$67&gt;J55)*(H$3:H$67="L5")*(I$3:I$67="P")))+1,"")))))</f>
        <v/>
      </c>
      <c r="B55" s="1" t="str" cm="1">
        <f t="array" ref="B55">IF(P55&lt;&gt;"",SUMPRODUCT((P$3:P$67&lt;&gt;"")*(G$3:G$67=G55)*(J$3:J$67&gt;J55))+1,IF(O55&lt;&gt;"",SUMPRODUCT((O$3:O$67&lt;&gt;"")*(P$3:P$67="")*(G$3:G$67=G55)*(J$3:J$67&gt;J55))+SUMPRODUCT((P$3:P$67&lt;&gt;"")*(G$3:G$67=G55))+1,IF(N55&lt;&gt;"",SUMPRODUCT((N$3:N$67&lt;&gt;"")*(G$3:G$67=G55)*(J$3:J$67&gt;J55))+1,IF(M55="P",SUMPRODUCT((O$3:O$67&lt;&gt;"")*(P$3:P$67="")*(G$3:G$67=G55))+SUMPRODUCT((P$3:P$67&lt;&gt;"")*(G$3:G$67=G55))+SUMPRODUCT((N$3:N$67&lt;&gt;"")*(G$3:G$67=G55))+SUMPRODUCT((P$3:P$67="")*(O$3:O$67="")*(N$3:N$67="")*(M$3:M$67="P")*(G$3:G$67=G55)*(J$3:J$67&gt;J55))+IF(H55="L5",SUMPRODUCT((P$3:P$67="")*(O$3:O$67="")*(N$3:N$67="")*(M$3:M$67="P")*(G$3:G$67=G55)*(J$3:J$67&lt;J55)*(H$3:H$67&lt;&gt;H55)),-1*SUMPRODUCT((P$3:P$67="")*(O$3:O$67="")*(N$3:N$67="")*(M$3:M$67="P")*(G$3:G$67=G55)*(J$3:J$67&gt;J55)*(H$3:H$67="L5")))+1,""))))</f>
        <v/>
      </c>
      <c r="C55" s="35" t="s">
        <v>286</v>
      </c>
      <c r="D55" s="35" t="str">
        <f>IF(E55="","",VLOOKUP(E55,'Coaching Points'!A:B,2,0))</f>
        <v>SK</v>
      </c>
      <c r="E55" s="35" t="s">
        <v>329</v>
      </c>
      <c r="F55" s="34">
        <v>2009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64</v>
      </c>
      <c r="I55" s="40"/>
      <c r="J55" s="4">
        <f t="shared" si="4"/>
        <v>42.7</v>
      </c>
      <c r="K55" s="3" t="str">
        <f>IF(G55="Not Age Eligible","",IF(MAX(T55,W55,Z55,AC55)&gt;=LOOKUP(G55,'Qualifying Scores'!$A$4:$A$7,'Qualifying Scores'!$G$4:$G$7),"P",""))</f>
        <v/>
      </c>
      <c r="L55" s="3" t="str">
        <f>IF(G55="Not Age Eligible","",IF(MAX(U55,X55,AA55,AD55)&gt;=LOOKUP(G55,'Qualifying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Scores'!$G$10:$G$13)),AND(Z55&gt;=LOOKUP(G55,'Qualifying Scores'!$A$4:$A$7,'Qualifying Scores'!$G$4:$G$7),AA55&gt;=LOOKUP(G55,'Qualifying Scores'!$A$10:$A$13,'Qualifying Scores'!$G$10:$G$13)),AND(W55&gt;=LOOKUP(G55,'Qualifying Scores'!$A$4:$A$7,'Qualifying Scores'!$G$4:$G$7),X55&gt;=LOOKUP(G55,'Qualifying Scores'!$A$10:$A$13,'Qualifying Scores'!$G$10:$G$13)),AND(AC55&gt;=LOOKUP(G55,'Qualifying Scores'!$A$4:$A$7,'Qualifying Scores'!$G$4:$G$7),AD55&gt;=LOOKUP(G55,'Qualifying Scores'!$A$10:$A$13,'Qualifying Scores'!$G$10:$G$13))),"P",""))</f>
        <v/>
      </c>
      <c r="Q55" s="1" t="str">
        <f t="shared" si="5"/>
        <v/>
      </c>
      <c r="R55" s="4">
        <f t="shared" si="6"/>
        <v>42.7</v>
      </c>
      <c r="S55" s="4">
        <f t="shared" si="7"/>
        <v>38.9</v>
      </c>
      <c r="T55" s="32">
        <v>42.7</v>
      </c>
      <c r="U55" s="37">
        <v>5.8000000000000007</v>
      </c>
      <c r="V55" s="37">
        <v>0</v>
      </c>
      <c r="W55" s="33">
        <v>38.9</v>
      </c>
      <c r="X55" s="37">
        <v>2.7</v>
      </c>
      <c r="Y55" s="37">
        <v>0</v>
      </c>
      <c r="Z55" s="32"/>
      <c r="AA55" s="37"/>
      <c r="AB55" s="37"/>
      <c r="AC55" s="33"/>
      <c r="AD55" s="37"/>
      <c r="AE55" s="37"/>
    </row>
    <row r="56" spans="1:31" x14ac:dyDescent="0.2">
      <c r="A56" s="1" t="str" cm="1">
        <f t="array" ref="A56">IF(I56="","",IF(P56&lt;&gt;"",SUMPRODUCT((P$3:P$67&lt;&gt;"")*(G$3:G$67=G56)*(J$3:J$67&gt;J56)*(I$3:I$67="P"))+1,IF(O56&lt;&gt;"",SUMPRODUCT((O$3:O$67&lt;&gt;"")*(P$3:P$67="")*(G$3:G$67=G56)*(J$3:J$67&gt;J56)*(I$3:I$67="P"))+SUMPRODUCT((P$3:P$67&lt;&gt;"")*(G$3:G$67=G56)*(I$3:I$67="P"))+1,IF(N56&lt;&gt;"",SUMPRODUCT((N$3:N$67&lt;&gt;"")*(G$3:G$67=G56)*(J$3:J$67&gt;J56)*(I$3:I$67="P"))+1,IF(M56="P",SUMPRODUCT((O$3:O$67&lt;&gt;"")*(P$3:P$67="")*(G$3:G$67=G56)*(I$3:I$67="P"))+SUMPRODUCT((P$3:P$67&lt;&gt;"")*(G$3:G$67=G56)*(I$3:I$67="P"))+SUMPRODUCT((N$3:N$67&lt;&gt;"")*(G$3:G$67=G56)*(I$3:I$67="P"))+SUMPRODUCT((P$3:P$67="")*(O$3:O$67="")*(N$3:N$67="")*(M$3:M$67="P")*(G$3:G$67=G56)*(J$3:J$67&gt;J56)*(I$3:I$67="P"))+IF(H56="L5",SUMPRODUCT((P$3:P$67="")*(O$3:O$67="")*(N$3:N$67="")*(M$3:M$67="P")*(G$3:G$67=G56)*(J$3:J$67&lt;J56)*(H$3:H$67&lt;&gt;H56)*(I$3:I$67="P")),-1*SUMPRODUCT((P$3:P$67="")*(O$3:O$67="")*(N$3:N$67="")*(M$3:M$67="P")*(G$3:G$67=G56)*(J$3:J$67&gt;J56)*(H$3:H$67="L5")*(I$3:I$67="P")))+1,"")))))</f>
        <v/>
      </c>
      <c r="B56" s="1" t="str" cm="1">
        <f t="array" ref="B56">IF(P56&lt;&gt;"",SUMPRODUCT((P$3:P$67&lt;&gt;"")*(G$3:G$67=G56)*(J$3:J$67&gt;J56))+1,IF(O56&lt;&gt;"",SUMPRODUCT((O$3:O$67&lt;&gt;"")*(P$3:P$67="")*(G$3:G$67=G56)*(J$3:J$67&gt;J56))+SUMPRODUCT((P$3:P$67&lt;&gt;"")*(G$3:G$67=G56))+1,IF(N56&lt;&gt;"",SUMPRODUCT((N$3:N$67&lt;&gt;"")*(G$3:G$67=G56)*(J$3:J$67&gt;J56))+1,IF(M56="P",SUMPRODUCT((O$3:O$67&lt;&gt;"")*(P$3:P$67="")*(G$3:G$67=G56))+SUMPRODUCT((P$3:P$67&lt;&gt;"")*(G$3:G$67=G56))+SUMPRODUCT((N$3:N$67&lt;&gt;"")*(G$3:G$67=G56))+SUMPRODUCT((P$3:P$67="")*(O$3:O$67="")*(N$3:N$67="")*(M$3:M$67="P")*(G$3:G$67=G56)*(J$3:J$67&gt;J56))+IF(H56="L5",SUMPRODUCT((P$3:P$67="")*(O$3:O$67="")*(N$3:N$67="")*(M$3:M$67="P")*(G$3:G$67=G56)*(J$3:J$67&lt;J56)*(H$3:H$67&lt;&gt;H56)),-1*SUMPRODUCT((P$3:P$67="")*(O$3:O$67="")*(N$3:N$67="")*(M$3:M$67="P")*(G$3:G$67=G56)*(J$3:J$67&gt;J56)*(H$3:H$67="L5")))+1,""))))</f>
        <v/>
      </c>
      <c r="C56" s="35" t="s">
        <v>212</v>
      </c>
      <c r="D56" s="35" t="str">
        <f>IF(E56="","",VLOOKUP(E56,'Coaching Points'!A:B,2,0))</f>
        <v>AB</v>
      </c>
      <c r="E56" s="35" t="s">
        <v>28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64</v>
      </c>
      <c r="I56" s="40"/>
      <c r="J56" s="4">
        <f t="shared" si="4"/>
        <v>42.6</v>
      </c>
      <c r="K56" s="3" t="str">
        <f>IF(G56="Not Age Eligible","",IF(MAX(T56,W56,Z56,AC56)&gt;=LOOKUP(G56,'Qualifying Scores'!$A$4:$A$7,'Qualifying Scores'!$G$4:$G$7),"P",""))</f>
        <v/>
      </c>
      <c r="L56" s="3" t="str">
        <f>IF(G56="Not Age Eligible","",IF(MAX(U56,X56,AA56,AD56)&gt;=LOOKUP(G56,'Qualifying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Scores'!$G$10:$G$13)),AND(Z56&gt;=LOOKUP(G56,'Qualifying Scores'!$A$4:$A$7,'Qualifying Scores'!$G$4:$G$7),AA56&gt;=LOOKUP(G56,'Qualifying Scores'!$A$10:$A$13,'Qualifying Scores'!$G$10:$G$13)),AND(W56&gt;=LOOKUP(G56,'Qualifying Scores'!$A$4:$A$7,'Qualifying Scores'!$G$4:$G$7),X56&gt;=LOOKUP(G56,'Qualifying Scores'!$A$10:$A$13,'Qualifying Scores'!$G$10:$G$13)),AND(AC56&gt;=LOOKUP(G56,'Qualifying Scores'!$A$4:$A$7,'Qualifying Scores'!$G$4:$G$7),AD56&gt;=LOOKUP(G56,'Qualifying Scores'!$A$10:$A$13,'Qualifying Scores'!$G$10:$G$13))),"P",""))</f>
        <v/>
      </c>
      <c r="Q56" s="1" t="str">
        <f t="shared" si="5"/>
        <v/>
      </c>
      <c r="R56" s="4">
        <f t="shared" si="6"/>
        <v>42.6</v>
      </c>
      <c r="S56" s="4">
        <f t="shared" si="7"/>
        <v>39.5</v>
      </c>
      <c r="T56" s="32">
        <v>39.5</v>
      </c>
      <c r="U56" s="37">
        <v>4.7</v>
      </c>
      <c r="V56" s="37">
        <v>0</v>
      </c>
      <c r="W56" s="33">
        <v>42.6</v>
      </c>
      <c r="X56" s="37">
        <v>6</v>
      </c>
      <c r="Y56" s="37">
        <v>0</v>
      </c>
      <c r="Z56" s="32"/>
      <c r="AA56" s="37"/>
      <c r="AB56" s="37"/>
      <c r="AC56" s="33"/>
      <c r="AD56" s="37"/>
      <c r="AE56" s="37"/>
    </row>
    <row r="57" spans="1:31" x14ac:dyDescent="0.2">
      <c r="A57" s="1" t="str" cm="1">
        <f t="array" ref="A57">IF(I57="","",IF(P57&lt;&gt;"",SUMPRODUCT((P$3:P$67&lt;&gt;"")*(G$3:G$67=G57)*(J$3:J$67&gt;J57)*(I$3:I$67="P"))+1,IF(O57&lt;&gt;"",SUMPRODUCT((O$3:O$67&lt;&gt;"")*(P$3:P$67="")*(G$3:G$67=G57)*(J$3:J$67&gt;J57)*(I$3:I$67="P"))+SUMPRODUCT((P$3:P$67&lt;&gt;"")*(G$3:G$67=G57)*(I$3:I$67="P"))+1,IF(N57&lt;&gt;"",SUMPRODUCT((N$3:N$67&lt;&gt;"")*(G$3:G$67=G57)*(J$3:J$67&gt;J57)*(I$3:I$67="P"))+1,IF(M57="P",SUMPRODUCT((O$3:O$67&lt;&gt;"")*(P$3:P$67="")*(G$3:G$67=G57)*(I$3:I$67="P"))+SUMPRODUCT((P$3:P$67&lt;&gt;"")*(G$3:G$67=G57)*(I$3:I$67="P"))+SUMPRODUCT((N$3:N$67&lt;&gt;"")*(G$3:G$67=G57)*(I$3:I$67="P"))+SUMPRODUCT((P$3:P$67="")*(O$3:O$67="")*(N$3:N$67="")*(M$3:M$67="P")*(G$3:G$67=G57)*(J$3:J$67&gt;J57)*(I$3:I$67="P"))+IF(H57="L5",SUMPRODUCT((P$3:P$67="")*(O$3:O$67="")*(N$3:N$67="")*(M$3:M$67="P")*(G$3:G$67=G57)*(J$3:J$67&lt;J57)*(H$3:H$67&lt;&gt;H57)*(I$3:I$67="P")),-1*SUMPRODUCT((P$3:P$67="")*(O$3:O$67="")*(N$3:N$67="")*(M$3:M$67="P")*(G$3:G$67=G57)*(J$3:J$67&gt;J57)*(H$3:H$67="L5")*(I$3:I$67="P")))+1,"")))))</f>
        <v/>
      </c>
      <c r="B57" s="1" t="str" cm="1">
        <f t="array" ref="B57">IF(P57&lt;&gt;"",SUMPRODUCT((P$3:P$67&lt;&gt;"")*(G$3:G$67=G57)*(J$3:J$67&gt;J57))+1,IF(O57&lt;&gt;"",SUMPRODUCT((O$3:O$67&lt;&gt;"")*(P$3:P$67="")*(G$3:G$67=G57)*(J$3:J$67&gt;J57))+SUMPRODUCT((P$3:P$67&lt;&gt;"")*(G$3:G$67=G57))+1,IF(N57&lt;&gt;"",SUMPRODUCT((N$3:N$67&lt;&gt;"")*(G$3:G$67=G57)*(J$3:J$67&gt;J57))+1,IF(M57="P",SUMPRODUCT((O$3:O$67&lt;&gt;"")*(P$3:P$67="")*(G$3:G$67=G57))+SUMPRODUCT((P$3:P$67&lt;&gt;"")*(G$3:G$67=G57))+SUMPRODUCT((N$3:N$67&lt;&gt;"")*(G$3:G$67=G57))+SUMPRODUCT((P$3:P$67="")*(O$3:O$67="")*(N$3:N$67="")*(M$3:M$67="P")*(G$3:G$67=G57)*(J$3:J$67&gt;J57))+IF(H57="L5",SUMPRODUCT((P$3:P$67="")*(O$3:O$67="")*(N$3:N$67="")*(M$3:M$67="P")*(G$3:G$67=G57)*(J$3:J$67&lt;J57)*(H$3:H$67&lt;&gt;H57)),-1*SUMPRODUCT((P$3:P$67="")*(O$3:O$67="")*(N$3:N$67="")*(M$3:M$67="P")*(G$3:G$67=G57)*(J$3:J$67&gt;J57)*(H$3:H$67="L5")))+1,""))))</f>
        <v/>
      </c>
      <c r="C57" s="35" t="s">
        <v>270</v>
      </c>
      <c r="D57" s="35" t="str">
        <f>IF(E57="","",VLOOKUP(E57,'Coaching Points'!A:B,2,0))</f>
        <v>ON</v>
      </c>
      <c r="E57" s="35" t="s">
        <v>45</v>
      </c>
      <c r="F57" s="34">
        <v>2008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64</v>
      </c>
      <c r="I57" s="40"/>
      <c r="J57" s="4">
        <f t="shared" si="4"/>
        <v>42.4</v>
      </c>
      <c r="K57" s="3" t="str">
        <f>IF(G57="Not Age Eligible","",IF(MAX(T57,W57,Z57,AC57)&gt;=LOOKUP(G57,'Qualifying Scores'!$A$4:$A$7,'Qualifying Scores'!$G$4:$G$7),"P",""))</f>
        <v/>
      </c>
      <c r="L57" s="3" t="str">
        <f>IF(G57="Not Age Eligible","",IF(MAX(U57,X57,AA57,AD57)&gt;=LOOKUP(G57,'Qualifying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Scores'!$G$10:$G$13)),AND(Z57&gt;=LOOKUP(G57,'Qualifying Scores'!$A$4:$A$7,'Qualifying Scores'!$G$4:$G$7),AA57&gt;=LOOKUP(G57,'Qualifying Scores'!$A$10:$A$13,'Qualifying Scores'!$G$10:$G$13)),AND(W57&gt;=LOOKUP(G57,'Qualifying Scores'!$A$4:$A$7,'Qualifying Scores'!$G$4:$G$7),X57&gt;=LOOKUP(G57,'Qualifying Scores'!$A$10:$A$13,'Qualifying Scores'!$G$10:$G$13)),AND(AC57&gt;=LOOKUP(G57,'Qualifying Scores'!$A$4:$A$7,'Qualifying Scores'!$G$4:$G$7),AD57&gt;=LOOKUP(G57,'Qualifying Scores'!$A$10:$A$13,'Qualifying Scores'!$G$10:$G$13))),"P",""))</f>
        <v/>
      </c>
      <c r="Q57" s="1" t="str">
        <f t="shared" si="5"/>
        <v/>
      </c>
      <c r="R57" s="4">
        <f t="shared" si="6"/>
        <v>42.4</v>
      </c>
      <c r="S57" s="4">
        <f t="shared" si="7"/>
        <v>39.5</v>
      </c>
      <c r="T57" s="32">
        <v>42.4</v>
      </c>
      <c r="U57" s="37">
        <v>6.3000000000000007</v>
      </c>
      <c r="V57" s="37">
        <v>0</v>
      </c>
      <c r="W57" s="33">
        <v>39.5</v>
      </c>
      <c r="X57" s="37">
        <v>3.7</v>
      </c>
      <c r="Y57" s="37">
        <v>0</v>
      </c>
      <c r="Z57" s="32"/>
      <c r="AA57" s="37"/>
      <c r="AB57" s="37"/>
      <c r="AC57" s="33"/>
      <c r="AD57" s="37"/>
      <c r="AE57" s="37"/>
    </row>
    <row r="58" spans="1:31" x14ac:dyDescent="0.2">
      <c r="A58" s="1" t="str" cm="1">
        <f t="array" ref="A58">IF(I58="","",IF(P58&lt;&gt;"",SUMPRODUCT((P$3:P$67&lt;&gt;"")*(G$3:G$67=G58)*(J$3:J$67&gt;J58)*(I$3:I$67="P"))+1,IF(O58&lt;&gt;"",SUMPRODUCT((O$3:O$67&lt;&gt;"")*(P$3:P$67="")*(G$3:G$67=G58)*(J$3:J$67&gt;J58)*(I$3:I$67="P"))+SUMPRODUCT((P$3:P$67&lt;&gt;"")*(G$3:G$67=G58)*(I$3:I$67="P"))+1,IF(N58&lt;&gt;"",SUMPRODUCT((N$3:N$67&lt;&gt;"")*(G$3:G$67=G58)*(J$3:J$67&gt;J58)*(I$3:I$67="P"))+1,IF(M58="P",SUMPRODUCT((O$3:O$67&lt;&gt;"")*(P$3:P$67="")*(G$3:G$67=G58)*(I$3:I$67="P"))+SUMPRODUCT((P$3:P$67&lt;&gt;"")*(G$3:G$67=G58)*(I$3:I$67="P"))+SUMPRODUCT((N$3:N$67&lt;&gt;"")*(G$3:G$67=G58)*(I$3:I$67="P"))+SUMPRODUCT((P$3:P$67="")*(O$3:O$67="")*(N$3:N$67="")*(M$3:M$67="P")*(G$3:G$67=G58)*(J$3:J$67&gt;J58)*(I$3:I$67="P"))+IF(H58="L5",SUMPRODUCT((P$3:P$67="")*(O$3:O$67="")*(N$3:N$67="")*(M$3:M$67="P")*(G$3:G$67=G58)*(J$3:J$67&lt;J58)*(H$3:H$67&lt;&gt;H58)*(I$3:I$67="P")),-1*SUMPRODUCT((P$3:P$67="")*(O$3:O$67="")*(N$3:N$67="")*(M$3:M$67="P")*(G$3:G$67=G58)*(J$3:J$67&gt;J58)*(H$3:H$67="L5")*(I$3:I$67="P")))+1,"")))))</f>
        <v/>
      </c>
      <c r="B58" s="1" t="str" cm="1">
        <f t="array" ref="B58">IF(P58&lt;&gt;"",SUMPRODUCT((P$3:P$67&lt;&gt;"")*(G$3:G$67=G58)*(J$3:J$67&gt;J58))+1,IF(O58&lt;&gt;"",SUMPRODUCT((O$3:O$67&lt;&gt;"")*(P$3:P$67="")*(G$3:G$67=G58)*(J$3:J$67&gt;J58))+SUMPRODUCT((P$3:P$67&lt;&gt;"")*(G$3:G$67=G58))+1,IF(N58&lt;&gt;"",SUMPRODUCT((N$3:N$67&lt;&gt;"")*(G$3:G$67=G58)*(J$3:J$67&gt;J58))+1,IF(M58="P",SUMPRODUCT((O$3:O$67&lt;&gt;"")*(P$3:P$67="")*(G$3:G$67=G58))+SUMPRODUCT((P$3:P$67&lt;&gt;"")*(G$3:G$67=G58))+SUMPRODUCT((N$3:N$67&lt;&gt;"")*(G$3:G$67=G58))+SUMPRODUCT((P$3:P$67="")*(O$3:O$67="")*(N$3:N$67="")*(M$3:M$67="P")*(G$3:G$67=G58)*(J$3:J$67&gt;J58))+IF(H58="L5",SUMPRODUCT((P$3:P$67="")*(O$3:O$67="")*(N$3:N$67="")*(M$3:M$67="P")*(G$3:G$67=G58)*(J$3:J$67&lt;J58)*(H$3:H$67&lt;&gt;H58)),-1*SUMPRODUCT((P$3:P$67="")*(O$3:O$67="")*(N$3:N$67="")*(M$3:M$67="P")*(G$3:G$67=G58)*(J$3:J$67&gt;J58)*(H$3:H$67="L5")))+1,""))))</f>
        <v/>
      </c>
      <c r="C58" s="35" t="s">
        <v>307</v>
      </c>
      <c r="D58" s="35" t="str">
        <f>IF(E58="","",VLOOKUP(E58,'Coaching Points'!A:B,2,0))</f>
        <v>AB</v>
      </c>
      <c r="E58" s="35" t="s">
        <v>61</v>
      </c>
      <c r="F58" s="34">
        <v>2008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64</v>
      </c>
      <c r="I58" s="40"/>
      <c r="J58" s="4">
        <f t="shared" si="4"/>
        <v>40.1</v>
      </c>
      <c r="K58" s="3" t="str">
        <f>IF(G58="Not Age Eligible","",IF(MAX(T58,W58,Z58,AC58)&gt;=LOOKUP(G58,'Qualifying Scores'!$A$4:$A$7,'Qualifying Scores'!$G$4:$G$7),"P",""))</f>
        <v/>
      </c>
      <c r="L58" s="3" t="str">
        <f>IF(G58="Not Age Eligible","",IF(MAX(U58,X58,AA58,AD58)&gt;=LOOKUP(G58,'Qualifying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Scores'!$G$10:$G$13)),AND(Z58&gt;=LOOKUP(G58,'Qualifying Scores'!$A$4:$A$7,'Qualifying Scores'!$G$4:$G$7),AA58&gt;=LOOKUP(G58,'Qualifying Scores'!$A$10:$A$13,'Qualifying Scores'!$G$10:$G$13)),AND(W58&gt;=LOOKUP(G58,'Qualifying Scores'!$A$4:$A$7,'Qualifying Scores'!$G$4:$G$7),X58&gt;=LOOKUP(G58,'Qualifying Scores'!$A$10:$A$13,'Qualifying Scores'!$G$10:$G$13)),AND(AC58&gt;=LOOKUP(G58,'Qualifying Scores'!$A$4:$A$7,'Qualifying Scores'!$G$4:$G$7),AD58&gt;=LOOKUP(G58,'Qualifying Scores'!$A$10:$A$13,'Qualifying Scores'!$G$10:$G$13))),"P",""))</f>
        <v/>
      </c>
      <c r="Q58" s="1" t="str">
        <f t="shared" si="5"/>
        <v/>
      </c>
      <c r="R58" s="4">
        <f t="shared" si="6"/>
        <v>40.1</v>
      </c>
      <c r="S58" s="4">
        <f t="shared" si="7"/>
        <v>38.1</v>
      </c>
      <c r="T58" s="32">
        <v>38.1</v>
      </c>
      <c r="U58" s="37">
        <v>4.5999999999999996</v>
      </c>
      <c r="V58" s="37">
        <v>0</v>
      </c>
      <c r="W58" s="33">
        <v>40.1</v>
      </c>
      <c r="X58" s="37">
        <v>5.9</v>
      </c>
      <c r="Y58" s="37">
        <v>0</v>
      </c>
      <c r="Z58" s="32"/>
      <c r="AA58" s="37"/>
      <c r="AB58" s="37"/>
      <c r="AC58" s="33"/>
      <c r="AD58" s="37"/>
      <c r="AE58" s="37"/>
    </row>
    <row r="59" spans="1:31" x14ac:dyDescent="0.2">
      <c r="A59" s="1" t="str" cm="1">
        <f t="array" ref="A59">IF(I59="","",IF(P59&lt;&gt;"",SUMPRODUCT((P$3:P$67&lt;&gt;"")*(G$3:G$67=G59)*(J$3:J$67&gt;J59)*(I$3:I$67="P"))+1,IF(O59&lt;&gt;"",SUMPRODUCT((O$3:O$67&lt;&gt;"")*(P$3:P$67="")*(G$3:G$67=G59)*(J$3:J$67&gt;J59)*(I$3:I$67="P"))+SUMPRODUCT((P$3:P$67&lt;&gt;"")*(G$3:G$67=G59)*(I$3:I$67="P"))+1,IF(N59&lt;&gt;"",SUMPRODUCT((N$3:N$67&lt;&gt;"")*(G$3:G$67=G59)*(J$3:J$67&gt;J59)*(I$3:I$67="P"))+1,IF(M59="P",SUMPRODUCT((O$3:O$67&lt;&gt;"")*(P$3:P$67="")*(G$3:G$67=G59)*(I$3:I$67="P"))+SUMPRODUCT((P$3:P$67&lt;&gt;"")*(G$3:G$67=G59)*(I$3:I$67="P"))+SUMPRODUCT((N$3:N$67&lt;&gt;"")*(G$3:G$67=G59)*(I$3:I$67="P"))+SUMPRODUCT((P$3:P$67="")*(O$3:O$67="")*(N$3:N$67="")*(M$3:M$67="P")*(G$3:G$67=G59)*(J$3:J$67&gt;J59)*(I$3:I$67="P"))+IF(H59="L5",SUMPRODUCT((P$3:P$67="")*(O$3:O$67="")*(N$3:N$67="")*(M$3:M$67="P")*(G$3:G$67=G59)*(J$3:J$67&lt;J59)*(H$3:H$67&lt;&gt;H59)*(I$3:I$67="P")),-1*SUMPRODUCT((P$3:P$67="")*(O$3:O$67="")*(N$3:N$67="")*(M$3:M$67="P")*(G$3:G$67=G59)*(J$3:J$67&gt;J59)*(H$3:H$67="L5")*(I$3:I$67="P")))+1,"")))))</f>
        <v/>
      </c>
      <c r="B59" s="1" t="str" cm="1">
        <f t="array" ref="B59">IF(P59&lt;&gt;"",SUMPRODUCT((P$3:P$67&lt;&gt;"")*(G$3:G$67=G59)*(J$3:J$67&gt;J59))+1,IF(O59&lt;&gt;"",SUMPRODUCT((O$3:O$67&lt;&gt;"")*(P$3:P$67="")*(G$3:G$67=G59)*(J$3:J$67&gt;J59))+SUMPRODUCT((P$3:P$67&lt;&gt;"")*(G$3:G$67=G59))+1,IF(N59&lt;&gt;"",SUMPRODUCT((N$3:N$67&lt;&gt;"")*(G$3:G$67=G59)*(J$3:J$67&gt;J59))+1,IF(M59="P",SUMPRODUCT((O$3:O$67&lt;&gt;"")*(P$3:P$67="")*(G$3:G$67=G59))+SUMPRODUCT((P$3:P$67&lt;&gt;"")*(G$3:G$67=G59))+SUMPRODUCT((N$3:N$67&lt;&gt;"")*(G$3:G$67=G59))+SUMPRODUCT((P$3:P$67="")*(O$3:O$67="")*(N$3:N$67="")*(M$3:M$67="P")*(G$3:G$67=G59)*(J$3:J$67&gt;J59))+IF(H59="L5",SUMPRODUCT((P$3:P$67="")*(O$3:O$67="")*(N$3:N$67="")*(M$3:M$67="P")*(G$3:G$67=G59)*(J$3:J$67&lt;J59)*(H$3:H$67&lt;&gt;H59)),-1*SUMPRODUCT((P$3:P$67="")*(O$3:O$67="")*(N$3:N$67="")*(M$3:M$67="P")*(G$3:G$67=G59)*(J$3:J$67&gt;J59)*(H$3:H$67="L5")))+1,""))))</f>
        <v/>
      </c>
      <c r="C59" s="35" t="s">
        <v>230</v>
      </c>
      <c r="D59" s="35" t="str">
        <f>IF(E59="","",VLOOKUP(E59,'Coaching Points'!A:B,2,0))</f>
        <v>AB</v>
      </c>
      <c r="E59" s="35" t="s">
        <v>28</v>
      </c>
      <c r="F59" s="34">
        <v>2009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65</v>
      </c>
      <c r="I59" s="40"/>
      <c r="J59" s="4">
        <f t="shared" si="4"/>
        <v>39.200100000000006</v>
      </c>
      <c r="K59" s="3" t="str">
        <f>IF(G59="Not Age Eligible","",IF(MAX(T59,W59,Z59,AC59)&gt;=LOOKUP(G59,'Qualifying Scores'!$A$4:$A$7,'Qualifying Scores'!$G$4:$G$7),"P",""))</f>
        <v/>
      </c>
      <c r="L59" s="3" t="str">
        <f>IF(G59="Not Age Eligible","",IF(MAX(U59,X59,AA59,AD59)&gt;=LOOKUP(G59,'Qualifying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Scores'!$G$10:$G$13)),AND(Z59&gt;=LOOKUP(G59,'Qualifying Scores'!$A$4:$A$7,'Qualifying Scores'!$G$4:$G$7),AA59&gt;=LOOKUP(G59,'Qualifying Scores'!$A$10:$A$13,'Qualifying Scores'!$G$10:$G$13)),AND(W59&gt;=LOOKUP(G59,'Qualifying Scores'!$A$4:$A$7,'Qualifying Scores'!$G$4:$G$7),X59&gt;=LOOKUP(G59,'Qualifying Scores'!$A$10:$A$13,'Qualifying Scores'!$G$10:$G$13)),AND(AC59&gt;=LOOKUP(G59,'Qualifying Scores'!$A$4:$A$7,'Qualifying Scores'!$G$4:$G$7),AD59&gt;=LOOKUP(G59,'Qualifying Scores'!$A$10:$A$13,'Qualifying Scores'!$G$10:$G$13))),"P",""))</f>
        <v/>
      </c>
      <c r="Q59" s="1" t="str">
        <f t="shared" si="5"/>
        <v/>
      </c>
      <c r="R59" s="4">
        <f t="shared" si="6"/>
        <v>39.200000000000003</v>
      </c>
      <c r="S59" s="4">
        <f t="shared" si="7"/>
        <v>0</v>
      </c>
      <c r="T59" s="32">
        <v>39.200000000000003</v>
      </c>
      <c r="U59" s="37">
        <v>5.1000000000000005</v>
      </c>
      <c r="V59" s="37">
        <v>0</v>
      </c>
      <c r="W59" s="33"/>
      <c r="X59" s="37"/>
      <c r="Y59" s="37"/>
      <c r="Z59" s="32"/>
      <c r="AA59" s="37"/>
      <c r="AB59" s="37"/>
      <c r="AC59" s="33"/>
      <c r="AD59" s="37"/>
      <c r="AE59" s="37"/>
    </row>
    <row r="60" spans="1:31" x14ac:dyDescent="0.2">
      <c r="A60" s="1" t="str" cm="1">
        <f t="array" ref="A60">IF(I60="","",IF(P60&lt;&gt;"",SUMPRODUCT((P$3:P$67&lt;&gt;"")*(G$3:G$67=G60)*(J$3:J$67&gt;J60)*(I$3:I$67="P"))+1,IF(O60&lt;&gt;"",SUMPRODUCT((O$3:O$67&lt;&gt;"")*(P$3:P$67="")*(G$3:G$67=G60)*(J$3:J$67&gt;J60)*(I$3:I$67="P"))+SUMPRODUCT((P$3:P$67&lt;&gt;"")*(G$3:G$67=G60)*(I$3:I$67="P"))+1,IF(N60&lt;&gt;"",SUMPRODUCT((N$3:N$67&lt;&gt;"")*(G$3:G$67=G60)*(J$3:J$67&gt;J60)*(I$3:I$67="P"))+1,IF(M60="P",SUMPRODUCT((O$3:O$67&lt;&gt;"")*(P$3:P$67="")*(G$3:G$67=G60)*(I$3:I$67="P"))+SUMPRODUCT((P$3:P$67&lt;&gt;"")*(G$3:G$67=G60)*(I$3:I$67="P"))+SUMPRODUCT((N$3:N$67&lt;&gt;"")*(G$3:G$67=G60)*(I$3:I$67="P"))+SUMPRODUCT((P$3:P$67="")*(O$3:O$67="")*(N$3:N$67="")*(M$3:M$67="P")*(G$3:G$67=G60)*(J$3:J$67&gt;J60)*(I$3:I$67="P"))+IF(H60="L5",SUMPRODUCT((P$3:P$67="")*(O$3:O$67="")*(N$3:N$67="")*(M$3:M$67="P")*(G$3:G$67=G60)*(J$3:J$67&lt;J60)*(H$3:H$67&lt;&gt;H60)*(I$3:I$67="P")),-1*SUMPRODUCT((P$3:P$67="")*(O$3:O$67="")*(N$3:N$67="")*(M$3:M$67="P")*(G$3:G$67=G60)*(J$3:J$67&gt;J60)*(H$3:H$67="L5")*(I$3:I$67="P")))+1,"")))))</f>
        <v/>
      </c>
      <c r="B60" s="1" cm="1">
        <f t="array" ref="B60">IF(P60&lt;&gt;"",SUMPRODUCT((P$3:P$67&lt;&gt;"")*(G$3:G$67=G60)*(J$3:J$67&gt;J60))+1,IF(O60&lt;&gt;"",SUMPRODUCT((O$3:O$67&lt;&gt;"")*(P$3:P$67="")*(G$3:G$67=G60)*(J$3:J$67&gt;J60))+SUMPRODUCT((P$3:P$67&lt;&gt;"")*(G$3:G$67=G60))+1,IF(N60&lt;&gt;"",SUMPRODUCT((N$3:N$67&lt;&gt;"")*(G$3:G$67=G60)*(J$3:J$67&gt;J60))+1,IF(M60="P",SUMPRODUCT((O$3:O$67&lt;&gt;"")*(P$3:P$67="")*(G$3:G$67=G60))+SUMPRODUCT((P$3:P$67&lt;&gt;"")*(G$3:G$67=G60))+SUMPRODUCT((N$3:N$67&lt;&gt;"")*(G$3:G$67=G60))+SUMPRODUCT((P$3:P$67="")*(O$3:O$67="")*(N$3:N$67="")*(M$3:M$67="P")*(G$3:G$67=G60)*(J$3:J$67&gt;J60))+IF(H60="L5",SUMPRODUCT((P$3:P$67="")*(O$3:O$67="")*(N$3:N$67="")*(M$3:M$67="P")*(G$3:G$67=G60)*(J$3:J$67&lt;J60)*(H$3:H$67&lt;&gt;H60)),-1*SUMPRODUCT((P$3:P$67="")*(O$3:O$67="")*(N$3:N$67="")*(M$3:M$67="P")*(G$3:G$67=G60)*(J$3:J$67&gt;J60)*(H$3:H$67="L5")))+1,""))))</f>
        <v>1</v>
      </c>
      <c r="C60" s="35" t="s">
        <v>276</v>
      </c>
      <c r="D60" s="35" t="str">
        <f>IF(E60="","",VLOOKUP(E60,'Coaching Points'!A:B,2,0))</f>
        <v>BC</v>
      </c>
      <c r="E60" s="35" t="s">
        <v>36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6" t="s">
        <v>65</v>
      </c>
      <c r="I60" s="40"/>
      <c r="J60" s="4">
        <f t="shared" si="4"/>
        <v>43.500100000000003</v>
      </c>
      <c r="K60" s="3" t="str">
        <f>IF(G60="Not Age Eligible","",IF(MAX(T60,W60,Z60,AC60)&gt;=LOOKUP(G60,'Qualifying Scores'!$A$4:$A$7,'Qualifying Scores'!$G$4:$G$7),"P",""))</f>
        <v>P</v>
      </c>
      <c r="L60" s="3" t="str">
        <f>IF(G60="Not Age Eligible","",IF(MAX(U60,X60,AA60,AD60)&gt;=LOOKUP(G60,'Qualifying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Scores'!$G$10:$G$13)),AND(Z60&gt;=LOOKUP(G60,'Qualifying Scores'!$A$4:$A$7,'Qualifying Scores'!$G$4:$G$7),AA60&gt;=LOOKUP(G60,'Qualifying Scores'!$A$10:$A$13,'Qualifying Scores'!$G$10:$G$13)),AND(W60&gt;=LOOKUP(G60,'Qualifying Scores'!$A$4:$A$7,'Qualifying Scores'!$G$4:$G$7),X60&gt;=LOOKUP(G60,'Qualifying Scores'!$A$10:$A$13,'Qualifying Scores'!$G$10:$G$13)),AND(AC60&gt;=LOOKUP(G60,'Qualifying Scores'!$A$4:$A$7,'Qualifying Scores'!$G$4:$G$7),AD60&gt;=LOOKUP(G60,'Qualifying Scores'!$A$10:$A$13,'Qualifying Scores'!$G$10:$G$13))),"P",""))</f>
        <v>P</v>
      </c>
      <c r="Q60" s="1" t="str">
        <f t="shared" si="5"/>
        <v/>
      </c>
      <c r="R60" s="4">
        <f t="shared" si="6"/>
        <v>43.5</v>
      </c>
      <c r="S60" s="4">
        <f t="shared" si="7"/>
        <v>43.2</v>
      </c>
      <c r="T60" s="32">
        <v>43.2</v>
      </c>
      <c r="U60" s="37">
        <v>6.3000000000000007</v>
      </c>
      <c r="V60" s="37">
        <v>0</v>
      </c>
      <c r="W60" s="33">
        <v>43.5</v>
      </c>
      <c r="X60" s="37">
        <v>6.3</v>
      </c>
      <c r="Y60" s="37">
        <v>0</v>
      </c>
      <c r="Z60" s="32"/>
      <c r="AA60" s="37"/>
      <c r="AB60" s="37"/>
      <c r="AC60" s="33"/>
      <c r="AD60" s="37"/>
      <c r="AE60" s="37"/>
    </row>
    <row r="61" spans="1:31" x14ac:dyDescent="0.2">
      <c r="A61" s="1" t="str" cm="1">
        <f t="array" ref="A61">IF(I61="","",IF(P61&lt;&gt;"",SUMPRODUCT((P$3:P$67&lt;&gt;"")*(G$3:G$67=G61)*(J$3:J$67&gt;J61)*(I$3:I$67="P"))+1,IF(O61&lt;&gt;"",SUMPRODUCT((O$3:O$67&lt;&gt;"")*(P$3:P$67="")*(G$3:G$67=G61)*(J$3:J$67&gt;J61)*(I$3:I$67="P"))+SUMPRODUCT((P$3:P$67&lt;&gt;"")*(G$3:G$67=G61)*(I$3:I$67="P"))+1,IF(N61&lt;&gt;"",SUMPRODUCT((N$3:N$67&lt;&gt;"")*(G$3:G$67=G61)*(J$3:J$67&gt;J61)*(I$3:I$67="P"))+1,IF(M61="P",SUMPRODUCT((O$3:O$67&lt;&gt;"")*(P$3:P$67="")*(G$3:G$67=G61)*(I$3:I$67="P"))+SUMPRODUCT((P$3:P$67&lt;&gt;"")*(G$3:G$67=G61)*(I$3:I$67="P"))+SUMPRODUCT((N$3:N$67&lt;&gt;"")*(G$3:G$67=G61)*(I$3:I$67="P"))+SUMPRODUCT((P$3:P$67="")*(O$3:O$67="")*(N$3:N$67="")*(M$3:M$67="P")*(G$3:G$67=G61)*(J$3:J$67&gt;J61)*(I$3:I$67="P"))+IF(H61="L5",SUMPRODUCT((P$3:P$67="")*(O$3:O$67="")*(N$3:N$67="")*(M$3:M$67="P")*(G$3:G$67=G61)*(J$3:J$67&lt;J61)*(H$3:H$67&lt;&gt;H61)*(I$3:I$67="P")),-1*SUMPRODUCT((P$3:P$67="")*(O$3:O$67="")*(N$3:N$67="")*(M$3:M$67="P")*(G$3:G$67=G61)*(J$3:J$67&gt;J61)*(H$3:H$67="L5")*(I$3:I$67="P")))+1,"")))))</f>
        <v/>
      </c>
      <c r="B61" s="1" cm="1">
        <f t="array" ref="B61">IF(P61&lt;&gt;"",SUMPRODUCT((P$3:P$67&lt;&gt;"")*(G$3:G$67=G61)*(J$3:J$67&gt;J61))+1,IF(O61&lt;&gt;"",SUMPRODUCT((O$3:O$67&lt;&gt;"")*(P$3:P$67="")*(G$3:G$67=G61)*(J$3:J$67&gt;J61))+SUMPRODUCT((P$3:P$67&lt;&gt;"")*(G$3:G$67=G61))+1,IF(N61&lt;&gt;"",SUMPRODUCT((N$3:N$67&lt;&gt;"")*(G$3:G$67=G61)*(J$3:J$67&gt;J61))+1,IF(M61="P",SUMPRODUCT((O$3:O$67&lt;&gt;"")*(P$3:P$67="")*(G$3:G$67=G61))+SUMPRODUCT((P$3:P$67&lt;&gt;"")*(G$3:G$67=G61))+SUMPRODUCT((N$3:N$67&lt;&gt;"")*(G$3:G$67=G61))+SUMPRODUCT((P$3:P$67="")*(O$3:O$67="")*(N$3:N$67="")*(M$3:M$67="P")*(G$3:G$67=G61)*(J$3:J$67&gt;J61))+IF(H61="L5",SUMPRODUCT((P$3:P$67="")*(O$3:O$67="")*(N$3:N$67="")*(M$3:M$67="P")*(G$3:G$67=G61)*(J$3:J$67&lt;J61)*(H$3:H$67&lt;&gt;H61)),-1*SUMPRODUCT((P$3:P$67="")*(O$3:O$67="")*(N$3:N$67="")*(M$3:M$67="P")*(G$3:G$67=G61)*(J$3:J$67&gt;J61)*(H$3:H$67="L5")))+1,""))))</f>
        <v>2</v>
      </c>
      <c r="C61" s="35" t="s">
        <v>285</v>
      </c>
      <c r="D61" s="35" t="str">
        <f>IF(E61="","",VLOOKUP(E61,'Coaching Points'!A:B,2,0))</f>
        <v>BC</v>
      </c>
      <c r="E61" s="35" t="s">
        <v>40</v>
      </c>
      <c r="F61" s="34">
        <v>2010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6" t="s">
        <v>64</v>
      </c>
      <c r="I61" s="40"/>
      <c r="J61" s="4">
        <f t="shared" si="4"/>
        <v>43.6</v>
      </c>
      <c r="K61" s="3" t="str">
        <f>IF(G61="Not Age Eligible","",IF(MAX(T61,W61,Z61,AC61)&gt;=LOOKUP(G61,'Qualifying Scores'!$A$4:$A$7,'Qualifying Scores'!$G$4:$G$7),"P",""))</f>
        <v>P</v>
      </c>
      <c r="L61" s="3" t="str">
        <f>IF(G61="Not Age Eligible","",IF(MAX(U61,X61,AA61,AD61)&gt;=LOOKUP(G61,'Qualifying Scores'!$A$10:$A$13,'Qualifying Scores'!$G$10:$G$13),"P",""))</f>
        <v>P</v>
      </c>
      <c r="M61" s="3" t="str">
        <f>IF(G61="Not Age Eligible","",IF(OR(AND(T61&gt;=LOOKUP(G61,'Qualifying Scores'!$A$4:$A$7,'Qualifying Scores'!$G$4:$G$7),U61&gt;=LOOKUP(G61,'Qualifying Scores'!$A$10:$A$13,'Qualifying Scores'!$G$10:$G$13)),AND(Z61&gt;=LOOKUP(G61,'Qualifying Scores'!$A$4:$A$7,'Qualifying Scores'!$G$4:$G$7),AA61&gt;=LOOKUP(G61,'Qualifying Scores'!$A$10:$A$13,'Qualifying Scores'!$G$10:$G$13)),AND(W61&gt;=LOOKUP(G61,'Qualifying Scores'!$A$4:$A$7,'Qualifying Scores'!$G$4:$G$7),X61&gt;=LOOKUP(G61,'Qualifying Scores'!$A$10:$A$13,'Qualifying Scores'!$G$10:$G$13)),AND(AC61&gt;=LOOKUP(G61,'Qualifying Scores'!$A$4:$A$7,'Qualifying Scores'!$G$4:$G$7),AD61&gt;=LOOKUP(G61,'Qualifying Scores'!$A$10:$A$13,'Qualifying Scores'!$G$10:$G$13))),"P",""))</f>
        <v>P</v>
      </c>
      <c r="Q61" s="1" t="str">
        <f t="shared" si="5"/>
        <v/>
      </c>
      <c r="R61" s="4">
        <f t="shared" si="6"/>
        <v>43.6</v>
      </c>
      <c r="S61" s="4">
        <f t="shared" si="7"/>
        <v>43.1</v>
      </c>
      <c r="T61" s="32">
        <v>43.1</v>
      </c>
      <c r="U61" s="37">
        <v>6.5</v>
      </c>
      <c r="V61" s="37">
        <v>0</v>
      </c>
      <c r="W61" s="33">
        <v>43.6</v>
      </c>
      <c r="X61" s="37">
        <v>6.5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$67&lt;&gt;"")*(G$3:G$67=G62)*(J$3:J$67&gt;J62)*(I$3:I$67="P"))+1,IF(O62&lt;&gt;"",SUMPRODUCT((O$3:O$67&lt;&gt;"")*(P$3:P$67="")*(G$3:G$67=G62)*(J$3:J$67&gt;J62)*(I$3:I$67="P"))+SUMPRODUCT((P$3:P$67&lt;&gt;"")*(G$3:G$67=G62)*(I$3:I$67="P"))+1,IF(N62&lt;&gt;"",SUMPRODUCT((N$3:N$67&lt;&gt;"")*(G$3:G$67=G62)*(J$3:J$67&gt;J62)*(I$3:I$67="P"))+1,IF(M62="P",SUMPRODUCT((O$3:O$67&lt;&gt;"")*(P$3:P$67="")*(G$3:G$67=G62)*(I$3:I$67="P"))+SUMPRODUCT((P$3:P$67&lt;&gt;"")*(G$3:G$67=G62)*(I$3:I$67="P"))+SUMPRODUCT((N$3:N$67&lt;&gt;"")*(G$3:G$67=G62)*(I$3:I$67="P"))+SUMPRODUCT((P$3:P$67="")*(O$3:O$67="")*(N$3:N$67="")*(M$3:M$67="P")*(G$3:G$67=G62)*(J$3:J$67&gt;J62)*(I$3:I$67="P"))+IF(H62="L5",SUMPRODUCT((P$3:P$67="")*(O$3:O$67="")*(N$3:N$67="")*(M$3:M$67="P")*(G$3:G$67=G62)*(J$3:J$67&lt;J62)*(H$3:H$67&lt;&gt;H62)*(I$3:I$67="P")),-1*SUMPRODUCT((P$3:P$67="")*(O$3:O$67="")*(N$3:N$67="")*(M$3:M$67="P")*(G$3:G$67=G62)*(J$3:J$67&gt;J62)*(H$3:H$67="L5")*(I$3:I$67="P")))+1,"")))))</f>
        <v/>
      </c>
      <c r="B62" s="1" t="str" cm="1">
        <f t="array" ref="B62">IF(P62&lt;&gt;"",SUMPRODUCT((P$3:P$67&lt;&gt;"")*(G$3:G$67=G62)*(J$3:J$67&gt;J62))+1,IF(O62&lt;&gt;"",SUMPRODUCT((O$3:O$67&lt;&gt;"")*(P$3:P$67="")*(G$3:G$67=G62)*(J$3:J$67&gt;J62))+SUMPRODUCT((P$3:P$67&lt;&gt;"")*(G$3:G$67=G62))+1,IF(N62&lt;&gt;"",SUMPRODUCT((N$3:N$67&lt;&gt;"")*(G$3:G$67=G62)*(J$3:J$67&gt;J62))+1,IF(M62="P",SUMPRODUCT((O$3:O$67&lt;&gt;"")*(P$3:P$67="")*(G$3:G$67=G62))+SUMPRODUCT((P$3:P$67&lt;&gt;"")*(G$3:G$67=G62))+SUMPRODUCT((N$3:N$67&lt;&gt;"")*(G$3:G$67=G62))+SUMPRODUCT((P$3:P$67="")*(O$3:O$67="")*(N$3:N$67="")*(M$3:M$67="P")*(G$3:G$67=G62)*(J$3:J$67&gt;J62))+IF(H62="L5",SUMPRODUCT((P$3:P$67="")*(O$3:O$67="")*(N$3:N$67="")*(M$3:M$67="P")*(G$3:G$67=G62)*(J$3:J$67&lt;J62)*(H$3:H$67&lt;&gt;H62)),-1*SUMPRODUCT((P$3:P$67="")*(O$3:O$67="")*(N$3:N$67="")*(M$3:M$67="P")*(G$3:G$67=G62)*(J$3:J$67&gt;J62)*(H$3:H$67="L5")))+1,""))))</f>
        <v/>
      </c>
      <c r="C62" s="35" t="s">
        <v>333</v>
      </c>
      <c r="D62" s="35" t="str">
        <f>IF(E62="","",VLOOKUP(E62,'Coaching Points'!A:B,2,0))</f>
        <v>AB</v>
      </c>
      <c r="E62" s="35" t="s">
        <v>39</v>
      </c>
      <c r="F62" s="34">
        <v>2010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6" t="s">
        <v>65</v>
      </c>
      <c r="I62" s="40"/>
      <c r="J62" s="4">
        <f t="shared" si="4"/>
        <v>43.8001</v>
      </c>
      <c r="K62" s="3" t="str">
        <f>IF(G62="Not Age Eligible","",IF(MAX(T62,W62,Z62,AC62)&gt;=LOOKUP(G62,'Qualifying Scores'!$A$4:$A$7,'Qualifying Scores'!$G$4:$G$7),"P",""))</f>
        <v>P</v>
      </c>
      <c r="L62" s="3" t="str">
        <f>IF(G62="Not Age Eligible","",IF(MAX(U62,X62,AA62,AD62)&gt;=LOOKUP(G62,'Qualifying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Scores'!$G$10:$G$13)),AND(Z62&gt;=LOOKUP(G62,'Qualifying Scores'!$A$4:$A$7,'Qualifying Scores'!$G$4:$G$7),AA62&gt;=LOOKUP(G62,'Qualifying Scores'!$A$10:$A$13,'Qualifying Scores'!$G$10:$G$13)),AND(W62&gt;=LOOKUP(G62,'Qualifying Scores'!$A$4:$A$7,'Qualifying Scores'!$G$4:$G$7),X62&gt;=LOOKUP(G62,'Qualifying Scores'!$A$10:$A$13,'Qualifying Scores'!$G$10:$G$13)),AND(AC62&gt;=LOOKUP(G62,'Qualifying Scores'!$A$4:$A$7,'Qualifying Scores'!$G$4:$G$7),AD62&gt;=LOOKUP(G62,'Qualifying Scores'!$A$10:$A$13,'Qualifying Scores'!$G$10:$G$13))),"P",""))</f>
        <v/>
      </c>
      <c r="Q62" s="1" t="str">
        <f t="shared" si="5"/>
        <v/>
      </c>
      <c r="R62" s="4">
        <f t="shared" si="6"/>
        <v>43.8</v>
      </c>
      <c r="S62" s="4">
        <f t="shared" si="7"/>
        <v>42.2</v>
      </c>
      <c r="T62" s="32">
        <v>43.8</v>
      </c>
      <c r="U62" s="37">
        <v>6.1</v>
      </c>
      <c r="V62" s="37">
        <v>0</v>
      </c>
      <c r="W62" s="33">
        <v>42.2</v>
      </c>
      <c r="X62" s="37">
        <v>6.5</v>
      </c>
      <c r="Y62" s="37">
        <v>0</v>
      </c>
      <c r="Z62" s="32"/>
      <c r="AA62" s="37"/>
      <c r="AB62" s="37"/>
      <c r="AC62" s="33"/>
      <c r="AD62" s="37"/>
      <c r="AE62" s="37"/>
    </row>
    <row r="63" spans="1:31" x14ac:dyDescent="0.2">
      <c r="A63" s="1" t="str" cm="1">
        <f t="array" ref="A63">IF(I63="","",IF(P63&lt;&gt;"",SUMPRODUCT((P$3:P$67&lt;&gt;"")*(G$3:G$67=G63)*(J$3:J$67&gt;J63)*(I$3:I$67="P"))+1,IF(O63&lt;&gt;"",SUMPRODUCT((O$3:O$67&lt;&gt;"")*(P$3:P$67="")*(G$3:G$67=G63)*(J$3:J$67&gt;J63)*(I$3:I$67="P"))+SUMPRODUCT((P$3:P$67&lt;&gt;"")*(G$3:G$67=G63)*(I$3:I$67="P"))+1,IF(N63&lt;&gt;"",SUMPRODUCT((N$3:N$67&lt;&gt;"")*(G$3:G$67=G63)*(J$3:J$67&gt;J63)*(I$3:I$67="P"))+1,IF(M63="P",SUMPRODUCT((O$3:O$67&lt;&gt;"")*(P$3:P$67="")*(G$3:G$67=G63)*(I$3:I$67="P"))+SUMPRODUCT((P$3:P$67&lt;&gt;"")*(G$3:G$67=G63)*(I$3:I$67="P"))+SUMPRODUCT((N$3:N$67&lt;&gt;"")*(G$3:G$67=G63)*(I$3:I$67="P"))+SUMPRODUCT((P$3:P$67="")*(O$3:O$67="")*(N$3:N$67="")*(M$3:M$67="P")*(G$3:G$67=G63)*(J$3:J$67&gt;J63)*(I$3:I$67="P"))+IF(H63="L5",SUMPRODUCT((P$3:P$67="")*(O$3:O$67="")*(N$3:N$67="")*(M$3:M$67="P")*(G$3:G$67=G63)*(J$3:J$67&lt;J63)*(H$3:H$67&lt;&gt;H63)*(I$3:I$67="P")),-1*SUMPRODUCT((P$3:P$67="")*(O$3:O$67="")*(N$3:N$67="")*(M$3:M$67="P")*(G$3:G$67=G63)*(J$3:J$67&gt;J63)*(H$3:H$67="L5")*(I$3:I$67="P")))+1,"")))))</f>
        <v/>
      </c>
      <c r="B63" s="1" t="str" cm="1">
        <f t="array" ref="B63">IF(P63&lt;&gt;"",SUMPRODUCT((P$3:P$67&lt;&gt;"")*(G$3:G$67=G63)*(J$3:J$67&gt;J63))+1,IF(O63&lt;&gt;"",SUMPRODUCT((O$3:O$67&lt;&gt;"")*(P$3:P$67="")*(G$3:G$67=G63)*(J$3:J$67&gt;J63))+SUMPRODUCT((P$3:P$67&lt;&gt;"")*(G$3:G$67=G63))+1,IF(N63&lt;&gt;"",SUMPRODUCT((N$3:N$67&lt;&gt;"")*(G$3:G$67=G63)*(J$3:J$67&gt;J63))+1,IF(M63="P",SUMPRODUCT((O$3:O$67&lt;&gt;"")*(P$3:P$67="")*(G$3:G$67=G63))+SUMPRODUCT((P$3:P$67&lt;&gt;"")*(G$3:G$67=G63))+SUMPRODUCT((N$3:N$67&lt;&gt;"")*(G$3:G$67=G63))+SUMPRODUCT((P$3:P$67="")*(O$3:O$67="")*(N$3:N$67="")*(M$3:M$67="P")*(G$3:G$67=G63)*(J$3:J$67&gt;J63))+IF(H63="L5",SUMPRODUCT((P$3:P$67="")*(O$3:O$67="")*(N$3:N$67="")*(M$3:M$67="P")*(G$3:G$67=G63)*(J$3:J$67&lt;J63)*(H$3:H$67&lt;&gt;H63)),-1*SUMPRODUCT((P$3:P$67="")*(O$3:O$67="")*(N$3:N$67="")*(M$3:M$67="P")*(G$3:G$67=G63)*(J$3:J$67&gt;J63)*(H$3:H$67="L5")))+1,""))))</f>
        <v/>
      </c>
      <c r="C63" s="35" t="s">
        <v>213</v>
      </c>
      <c r="D63" s="35" t="str">
        <f>IF(E63="","",VLOOKUP(E63,'Coaching Points'!A:B,2,0))</f>
        <v>AB</v>
      </c>
      <c r="E63" s="35" t="s">
        <v>39</v>
      </c>
      <c r="F63" s="34">
        <v>2010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6" t="s">
        <v>65</v>
      </c>
      <c r="I63" s="40"/>
      <c r="J63" s="4">
        <f t="shared" si="4"/>
        <v>43.400100000000002</v>
      </c>
      <c r="K63" s="3" t="str">
        <f>IF(G63="Not Age Eligible","",IF(MAX(T63,W63,Z63,AC63)&gt;=LOOKUP(G63,'Qualifying Scores'!$A$4:$A$7,'Qualifying Scores'!$G$4:$G$7),"P",""))</f>
        <v/>
      </c>
      <c r="L63" s="3" t="str">
        <f>IF(G63="Not Age Eligible","",IF(MAX(U63,X63,AA63,AD63)&gt;=LOOKUP(G63,'Qualifying Scores'!$A$10:$A$13,'Qualifying Scores'!$G$10:$G$13),"P",""))</f>
        <v>P</v>
      </c>
      <c r="M63" s="3" t="str">
        <f>IF(G63="Not Age Eligible","",IF(OR(AND(T63&gt;=LOOKUP(G63,'Qualifying Scores'!$A$4:$A$7,'Qualifying Scores'!$G$4:$G$7),U63&gt;=LOOKUP(G63,'Qualifying Scores'!$A$10:$A$13,'Qualifying Scores'!$G$10:$G$13)),AND(Z63&gt;=LOOKUP(G63,'Qualifying Scores'!$A$4:$A$7,'Qualifying Scores'!$G$4:$G$7),AA63&gt;=LOOKUP(G63,'Qualifying Scores'!$A$10:$A$13,'Qualifying Scores'!$G$10:$G$13)),AND(W63&gt;=LOOKUP(G63,'Qualifying Scores'!$A$4:$A$7,'Qualifying Scores'!$G$4:$G$7),X63&gt;=LOOKUP(G63,'Qualifying Scores'!$A$10:$A$13,'Qualifying Scores'!$G$10:$G$13)),AND(AC63&gt;=LOOKUP(G63,'Qualifying Scores'!$A$4:$A$7,'Qualifying Scores'!$G$4:$G$7),AD63&gt;=LOOKUP(G63,'Qualifying Scores'!$A$10:$A$13,'Qualifying Scores'!$G$10:$G$13))),"P",""))</f>
        <v/>
      </c>
      <c r="Q63" s="1" t="str">
        <f t="shared" si="5"/>
        <v/>
      </c>
      <c r="R63" s="4">
        <f t="shared" si="6"/>
        <v>43.4</v>
      </c>
      <c r="S63" s="4">
        <f t="shared" si="7"/>
        <v>42.7</v>
      </c>
      <c r="T63" s="32">
        <v>43.4</v>
      </c>
      <c r="U63" s="37">
        <v>6.3000000000000007</v>
      </c>
      <c r="V63" s="37">
        <v>0</v>
      </c>
      <c r="W63" s="33">
        <v>42.7</v>
      </c>
      <c r="X63" s="37">
        <v>5.6999999999999993</v>
      </c>
      <c r="Y63" s="37">
        <v>0</v>
      </c>
      <c r="Z63" s="32"/>
      <c r="AA63" s="37"/>
      <c r="AB63" s="37"/>
      <c r="AC63" s="33"/>
      <c r="AD63" s="37"/>
      <c r="AE63" s="37"/>
    </row>
    <row r="64" spans="1:31" x14ac:dyDescent="0.2">
      <c r="A64" s="1" t="str" cm="1">
        <f t="array" ref="A64">IF(I64="","",IF(P64&lt;&gt;"",SUMPRODUCT((P$3:P$67&lt;&gt;"")*(G$3:G$67=G64)*(J$3:J$67&gt;J64)*(I$3:I$67="P"))+1,IF(O64&lt;&gt;"",SUMPRODUCT((O$3:O$67&lt;&gt;"")*(P$3:P$67="")*(G$3:G$67=G64)*(J$3:J$67&gt;J64)*(I$3:I$67="P"))+SUMPRODUCT((P$3:P$67&lt;&gt;"")*(G$3:G$67=G64)*(I$3:I$67="P"))+1,IF(N64&lt;&gt;"",SUMPRODUCT((N$3:N$67&lt;&gt;"")*(G$3:G$67=G64)*(J$3:J$67&gt;J64)*(I$3:I$67="P"))+1,IF(M64="P",SUMPRODUCT((O$3:O$67&lt;&gt;"")*(P$3:P$67="")*(G$3:G$67=G64)*(I$3:I$67="P"))+SUMPRODUCT((P$3:P$67&lt;&gt;"")*(G$3:G$67=G64)*(I$3:I$67="P"))+SUMPRODUCT((N$3:N$67&lt;&gt;"")*(G$3:G$67=G64)*(I$3:I$67="P"))+SUMPRODUCT((P$3:P$67="")*(O$3:O$67="")*(N$3:N$67="")*(M$3:M$67="P")*(G$3:G$67=G64)*(J$3:J$67&gt;J64)*(I$3:I$67="P"))+IF(H64="L5",SUMPRODUCT((P$3:P$67="")*(O$3:O$67="")*(N$3:N$67="")*(M$3:M$67="P")*(G$3:G$67=G64)*(J$3:J$67&lt;J64)*(H$3:H$67&lt;&gt;H64)*(I$3:I$67="P")),-1*SUMPRODUCT((P$3:P$67="")*(O$3:O$67="")*(N$3:N$67="")*(M$3:M$67="P")*(G$3:G$67=G64)*(J$3:J$67&gt;J64)*(H$3:H$67="L5")*(I$3:I$67="P")))+1,"")))))</f>
        <v/>
      </c>
      <c r="B64" s="1" t="str" cm="1">
        <f t="array" ref="B64">IF(P64&lt;&gt;"",SUMPRODUCT((P$3:P$67&lt;&gt;"")*(G$3:G$67=G64)*(J$3:J$67&gt;J64))+1,IF(O64&lt;&gt;"",SUMPRODUCT((O$3:O$67&lt;&gt;"")*(P$3:P$67="")*(G$3:G$67=G64)*(J$3:J$67&gt;J64))+SUMPRODUCT((P$3:P$67&lt;&gt;"")*(G$3:G$67=G64))+1,IF(N64&lt;&gt;"",SUMPRODUCT((N$3:N$67&lt;&gt;"")*(G$3:G$67=G64)*(J$3:J$67&gt;J64))+1,IF(M64="P",SUMPRODUCT((O$3:O$67&lt;&gt;"")*(P$3:P$67="")*(G$3:G$67=G64))+SUMPRODUCT((P$3:P$67&lt;&gt;"")*(G$3:G$67=G64))+SUMPRODUCT((N$3:N$67&lt;&gt;"")*(G$3:G$67=G64))+SUMPRODUCT((P$3:P$67="")*(O$3:O$67="")*(N$3:N$67="")*(M$3:M$67="P")*(G$3:G$67=G64)*(J$3:J$67&gt;J64))+IF(H64="L5",SUMPRODUCT((P$3:P$67="")*(O$3:O$67="")*(N$3:N$67="")*(M$3:M$67="P")*(G$3:G$67=G64)*(J$3:J$67&lt;J64)*(H$3:H$67&lt;&gt;H64)),-1*SUMPRODUCT((P$3:P$67="")*(O$3:O$67="")*(N$3:N$67="")*(M$3:M$67="P")*(G$3:G$67=G64)*(J$3:J$67&gt;J64)*(H$3:H$67="L5")))+1,""))))</f>
        <v/>
      </c>
      <c r="C64" s="35" t="s">
        <v>334</v>
      </c>
      <c r="D64" s="35" t="str">
        <f>IF(E64="","",VLOOKUP(E64,'Coaching Points'!A:B,2,0))</f>
        <v>AB</v>
      </c>
      <c r="E64" s="35" t="s">
        <v>39</v>
      </c>
      <c r="F64" s="34">
        <v>2010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65</v>
      </c>
      <c r="I64" s="40"/>
      <c r="J64" s="4">
        <f t="shared" si="4"/>
        <v>42.900100000000002</v>
      </c>
      <c r="K64" s="3" t="str">
        <f>IF(G64="Not Age Eligible","",IF(MAX(T64,W64,Z64,AC64)&gt;=LOOKUP(G64,'Qualifying Scores'!$A$4:$A$7,'Qualifying Scores'!$G$4:$G$7),"P",""))</f>
        <v/>
      </c>
      <c r="L64" s="3" t="str">
        <f>IF(G64="Not Age Eligible","",IF(MAX(U64,X64,AA64,AD64)&gt;=LOOKUP(G64,'Qualifying Scores'!$A$10:$A$13,'Qualifying Scores'!$G$10:$G$13),"P",""))</f>
        <v/>
      </c>
      <c r="M64" s="3" t="str">
        <f>IF(G64="Not Age Eligible","",IF(OR(AND(T64&gt;=LOOKUP(G64,'Qualifying Scores'!$A$4:$A$7,'Qualifying Scores'!$G$4:$G$7),U64&gt;=LOOKUP(G64,'Qualifying Scores'!$A$10:$A$13,'Qualifying Scores'!$G$10:$G$13)),AND(Z64&gt;=LOOKUP(G64,'Qualifying Scores'!$A$4:$A$7,'Qualifying Scores'!$G$4:$G$7),AA64&gt;=LOOKUP(G64,'Qualifying Scores'!$A$10:$A$13,'Qualifying Scores'!$G$10:$G$13)),AND(W64&gt;=LOOKUP(G64,'Qualifying Scores'!$A$4:$A$7,'Qualifying Scores'!$G$4:$G$7),X64&gt;=LOOKUP(G64,'Qualifying Scores'!$A$10:$A$13,'Qualifying Scores'!$G$10:$G$13)),AND(AC64&gt;=LOOKUP(G64,'Qualifying Scores'!$A$4:$A$7,'Qualifying Scores'!$G$4:$G$7),AD64&gt;=LOOKUP(G64,'Qualifying Scores'!$A$10:$A$13,'Qualifying Scores'!$G$10:$G$13))),"P",""))</f>
        <v/>
      </c>
      <c r="Q64" s="1" t="str">
        <f t="shared" si="5"/>
        <v/>
      </c>
      <c r="R64" s="4">
        <f t="shared" si="6"/>
        <v>42.9</v>
      </c>
      <c r="S64" s="4">
        <f t="shared" si="7"/>
        <v>40.5</v>
      </c>
      <c r="T64" s="32">
        <v>42.9</v>
      </c>
      <c r="U64" s="37">
        <v>6.1</v>
      </c>
      <c r="V64" s="37">
        <v>0</v>
      </c>
      <c r="W64" s="33">
        <v>40.5</v>
      </c>
      <c r="X64" s="37">
        <v>4.5</v>
      </c>
      <c r="Y64" s="37">
        <v>0</v>
      </c>
      <c r="Z64" s="32"/>
      <c r="AA64" s="37"/>
      <c r="AB64" s="37"/>
      <c r="AC64" s="33"/>
      <c r="AD64" s="37"/>
      <c r="AE64" s="37"/>
    </row>
    <row r="65" spans="1:31" x14ac:dyDescent="0.2">
      <c r="A65" s="1" t="str" cm="1">
        <f t="array" ref="A65">IF(I65="","",IF(P65&lt;&gt;"",SUMPRODUCT((P$3:P$67&lt;&gt;"")*(G$3:G$67=G65)*(J$3:J$67&gt;J65)*(I$3:I$67="P"))+1,IF(O65&lt;&gt;"",SUMPRODUCT((O$3:O$67&lt;&gt;"")*(P$3:P$67="")*(G$3:G$67=G65)*(J$3:J$67&gt;J65)*(I$3:I$67="P"))+SUMPRODUCT((P$3:P$67&lt;&gt;"")*(G$3:G$67=G65)*(I$3:I$67="P"))+1,IF(N65&lt;&gt;"",SUMPRODUCT((N$3:N$67&lt;&gt;"")*(G$3:G$67=G65)*(J$3:J$67&gt;J65)*(I$3:I$67="P"))+1,IF(M65="P",SUMPRODUCT((O$3:O$67&lt;&gt;"")*(P$3:P$67="")*(G$3:G$67=G65)*(I$3:I$67="P"))+SUMPRODUCT((P$3:P$67&lt;&gt;"")*(G$3:G$67=G65)*(I$3:I$67="P"))+SUMPRODUCT((N$3:N$67&lt;&gt;"")*(G$3:G$67=G65)*(I$3:I$67="P"))+SUMPRODUCT((P$3:P$67="")*(O$3:O$67="")*(N$3:N$67="")*(M$3:M$67="P")*(G$3:G$67=G65)*(J$3:J$67&gt;J65)*(I$3:I$67="P"))+IF(H65="L5",SUMPRODUCT((P$3:P$67="")*(O$3:O$67="")*(N$3:N$67="")*(M$3:M$67="P")*(G$3:G$67=G65)*(J$3:J$67&lt;J65)*(H$3:H$67&lt;&gt;H65)*(I$3:I$67="P")),-1*SUMPRODUCT((P$3:P$67="")*(O$3:O$67="")*(N$3:N$67="")*(M$3:M$67="P")*(G$3:G$67=G65)*(J$3:J$67&gt;J65)*(H$3:H$67="L5")*(I$3:I$67="P")))+1,"")))))</f>
        <v/>
      </c>
      <c r="B65" s="1" t="str" cm="1">
        <f t="array" ref="B65">IF(P65&lt;&gt;"",SUMPRODUCT((P$3:P$67&lt;&gt;"")*(G$3:G$67=G65)*(J$3:J$67&gt;J65))+1,IF(O65&lt;&gt;"",SUMPRODUCT((O$3:O$67&lt;&gt;"")*(P$3:P$67="")*(G$3:G$67=G65)*(J$3:J$67&gt;J65))+SUMPRODUCT((P$3:P$67&lt;&gt;"")*(G$3:G$67=G65))+1,IF(N65&lt;&gt;"",SUMPRODUCT((N$3:N$67&lt;&gt;"")*(G$3:G$67=G65)*(J$3:J$67&gt;J65))+1,IF(M65="P",SUMPRODUCT((O$3:O$67&lt;&gt;"")*(P$3:P$67="")*(G$3:G$67=G65))+SUMPRODUCT((P$3:P$67&lt;&gt;"")*(G$3:G$67=G65))+SUMPRODUCT((N$3:N$67&lt;&gt;"")*(G$3:G$67=G65))+SUMPRODUCT((P$3:P$67="")*(O$3:O$67="")*(N$3:N$67="")*(M$3:M$67="P")*(G$3:G$67=G65)*(J$3:J$67&gt;J65))+IF(H65="L5",SUMPRODUCT((P$3:P$67="")*(O$3:O$67="")*(N$3:N$67="")*(M$3:M$67="P")*(G$3:G$67=G65)*(J$3:J$67&lt;J65)*(H$3:H$67&lt;&gt;H65)),-1*SUMPRODUCT((P$3:P$67="")*(O$3:O$67="")*(N$3:N$67="")*(M$3:M$67="P")*(G$3:G$67=G65)*(J$3:J$67&gt;J65)*(H$3:H$67="L5")))+1,""))))</f>
        <v/>
      </c>
      <c r="C65" s="35" t="s">
        <v>332</v>
      </c>
      <c r="D65" s="35" t="str">
        <f>IF(E65="","",VLOOKUP(E65,'Coaching Points'!A:B,2,0))</f>
        <v>AB</v>
      </c>
      <c r="E65" s="35" t="s">
        <v>39</v>
      </c>
      <c r="F65" s="34">
        <v>2010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64</v>
      </c>
      <c r="I65" s="40"/>
      <c r="J65" s="4">
        <f t="shared" si="4"/>
        <v>42.5</v>
      </c>
      <c r="K65" s="3" t="str">
        <f>IF(G65="Not Age Eligible","",IF(MAX(T65,W65,Z65,AC65)&gt;=LOOKUP(G65,'Qualifying Scores'!$A$4:$A$7,'Qualifying Scores'!$G$4:$G$7),"P",""))</f>
        <v/>
      </c>
      <c r="L65" s="3" t="str">
        <f>IF(G65="Not Age Eligible","",IF(MAX(U65,X65,AA65,AD65)&gt;=LOOKUP(G65,'Qualifying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Scores'!$G$10:$G$13)),AND(Z65&gt;=LOOKUP(G65,'Qualifying Scores'!$A$4:$A$7,'Qualifying Scores'!$G$4:$G$7),AA65&gt;=LOOKUP(G65,'Qualifying Scores'!$A$10:$A$13,'Qualifying Scores'!$G$10:$G$13)),AND(W65&gt;=LOOKUP(G65,'Qualifying Scores'!$A$4:$A$7,'Qualifying Scores'!$G$4:$G$7),X65&gt;=LOOKUP(G65,'Qualifying Scores'!$A$10:$A$13,'Qualifying Scores'!$G$10:$G$13)),AND(AC65&gt;=LOOKUP(G65,'Qualifying Scores'!$A$4:$A$7,'Qualifying Scores'!$G$4:$G$7),AD65&gt;=LOOKUP(G65,'Qualifying Scores'!$A$10:$A$13,'Qualifying Scores'!$G$10:$G$13))),"P",""))</f>
        <v/>
      </c>
      <c r="Q65" s="1" t="str">
        <f t="shared" si="5"/>
        <v/>
      </c>
      <c r="R65" s="4">
        <f t="shared" si="6"/>
        <v>42.5</v>
      </c>
      <c r="S65" s="4">
        <f t="shared" si="7"/>
        <v>39.1</v>
      </c>
      <c r="T65" s="32">
        <v>42.5</v>
      </c>
      <c r="U65" s="37">
        <v>5.6</v>
      </c>
      <c r="V65" s="37">
        <v>0</v>
      </c>
      <c r="W65" s="33">
        <v>39.1</v>
      </c>
      <c r="X65" s="37">
        <v>3.3000000000000003</v>
      </c>
      <c r="Y65" s="37">
        <v>0</v>
      </c>
      <c r="Z65" s="32"/>
      <c r="AA65" s="37"/>
      <c r="AB65" s="37"/>
      <c r="AC65" s="33"/>
      <c r="AD65" s="37"/>
      <c r="AE65" s="37"/>
    </row>
    <row r="66" spans="1:31" x14ac:dyDescent="0.2">
      <c r="A66" s="1" t="str" cm="1">
        <f t="array" ref="A66">IF(I66="","",IF(P66&lt;&gt;"",SUMPRODUCT((P$3:P$67&lt;&gt;"")*(G$3:G$67=G66)*(J$3:J$67&gt;J66)*(I$3:I$67="P"))+1,IF(O66&lt;&gt;"",SUMPRODUCT((O$3:O$67&lt;&gt;"")*(P$3:P$67="")*(G$3:G$67=G66)*(J$3:J$67&gt;J66)*(I$3:I$67="P"))+SUMPRODUCT((P$3:P$67&lt;&gt;"")*(G$3:G$67=G66)*(I$3:I$67="P"))+1,IF(N66&lt;&gt;"",SUMPRODUCT((N$3:N$67&lt;&gt;"")*(G$3:G$67=G66)*(J$3:J$67&gt;J66)*(I$3:I$67="P"))+1,IF(M66="P",SUMPRODUCT((O$3:O$67&lt;&gt;"")*(P$3:P$67="")*(G$3:G$67=G66)*(I$3:I$67="P"))+SUMPRODUCT((P$3:P$67&lt;&gt;"")*(G$3:G$67=G66)*(I$3:I$67="P"))+SUMPRODUCT((N$3:N$67&lt;&gt;"")*(G$3:G$67=G66)*(I$3:I$67="P"))+SUMPRODUCT((P$3:P$67="")*(O$3:O$67="")*(N$3:N$67="")*(M$3:M$67="P")*(G$3:G$67=G66)*(J$3:J$67&gt;J66)*(I$3:I$67="P"))+IF(H66="L5",SUMPRODUCT((P$3:P$67="")*(O$3:O$67="")*(N$3:N$67="")*(M$3:M$67="P")*(G$3:G$67=G66)*(J$3:J$67&lt;J66)*(H$3:H$67&lt;&gt;H66)*(I$3:I$67="P")),-1*SUMPRODUCT((P$3:P$67="")*(O$3:O$67="")*(N$3:N$67="")*(M$3:M$67="P")*(G$3:G$67=G66)*(J$3:J$67&gt;J66)*(H$3:H$67="L5")*(I$3:I$67="P")))+1,"")))))</f>
        <v/>
      </c>
      <c r="B66" s="1" t="str" cm="1">
        <f t="array" ref="B66">IF(P66&lt;&gt;"",SUMPRODUCT((P$3:P$67&lt;&gt;"")*(G$3:G$67=G66)*(J$3:J$67&gt;J66))+1,IF(O66&lt;&gt;"",SUMPRODUCT((O$3:O$67&lt;&gt;"")*(P$3:P$67="")*(G$3:G$67=G66)*(J$3:J$67&gt;J66))+SUMPRODUCT((P$3:P$67&lt;&gt;"")*(G$3:G$67=G66))+1,IF(N66&lt;&gt;"",SUMPRODUCT((N$3:N$67&lt;&gt;"")*(G$3:G$67=G66)*(J$3:J$67&gt;J66))+1,IF(M66="P",SUMPRODUCT((O$3:O$67&lt;&gt;"")*(P$3:P$67="")*(G$3:G$67=G66))+SUMPRODUCT((P$3:P$67&lt;&gt;"")*(G$3:G$67=G66))+SUMPRODUCT((N$3:N$67&lt;&gt;"")*(G$3:G$67=G66))+SUMPRODUCT((P$3:P$67="")*(O$3:O$67="")*(N$3:N$67="")*(M$3:M$67="P")*(G$3:G$67=G66)*(J$3:J$67&gt;J66))+IF(H66="L5",SUMPRODUCT((P$3:P$67="")*(O$3:O$67="")*(N$3:N$67="")*(M$3:M$67="P")*(G$3:G$67=G66)*(J$3:J$67&lt;J66)*(H$3:H$67&lt;&gt;H66)),-1*SUMPRODUCT((P$3:P$67="")*(O$3:O$67="")*(N$3:N$67="")*(M$3:M$67="P")*(G$3:G$67=G66)*(J$3:J$67&gt;J66)*(H$3:H$67="L5")))+1,""))))</f>
        <v/>
      </c>
      <c r="C66" s="35" t="s">
        <v>305</v>
      </c>
      <c r="D66" s="35" t="str">
        <f>IF(E66="","",VLOOKUP(E66,'Coaching Points'!A:B,2,0))</f>
        <v>AB</v>
      </c>
      <c r="E66" s="35" t="s">
        <v>56</v>
      </c>
      <c r="F66" s="34">
        <v>2011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6" t="s">
        <v>64</v>
      </c>
      <c r="I66" s="40"/>
      <c r="J66" s="4">
        <f t="shared" si="4"/>
        <v>41.9</v>
      </c>
      <c r="K66" s="3" t="str">
        <f>IF(G66="Not Age Eligible","",IF(MAX(T66,W66,Z66,AC66)&gt;=LOOKUP(G66,'Qualifying Scores'!$A$4:$A$7,'Qualifying Scores'!$G$4:$G$7),"P",""))</f>
        <v/>
      </c>
      <c r="L66" s="3" t="str">
        <f>IF(G66="Not Age Eligible","",IF(MAX(U66,X66,AA66,AD66)&gt;=LOOKUP(G66,'Qualifying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Scores'!$G$10:$G$13)),AND(Z66&gt;=LOOKUP(G66,'Qualifying Scores'!$A$4:$A$7,'Qualifying Scores'!$G$4:$G$7),AA66&gt;=LOOKUP(G66,'Qualifying Scores'!$A$10:$A$13,'Qualifying Scores'!$G$10:$G$13)),AND(W66&gt;=LOOKUP(G66,'Qualifying Scores'!$A$4:$A$7,'Qualifying Scores'!$G$4:$G$7),X66&gt;=LOOKUP(G66,'Qualifying Scores'!$A$10:$A$13,'Qualifying Scores'!$G$10:$G$13)),AND(AC66&gt;=LOOKUP(G66,'Qualifying Scores'!$A$4:$A$7,'Qualifying Scores'!$G$4:$G$7),AD66&gt;=LOOKUP(G66,'Qualifying Scores'!$A$10:$A$13,'Qualifying Scores'!$G$10:$G$13))),"P",""))</f>
        <v/>
      </c>
      <c r="Q66" s="1" t="str">
        <f t="shared" si="5"/>
        <v/>
      </c>
      <c r="R66" s="4">
        <f t="shared" si="6"/>
        <v>41.9</v>
      </c>
      <c r="S66" s="4">
        <f t="shared" si="7"/>
        <v>41.2</v>
      </c>
      <c r="T66" s="32">
        <v>41.2</v>
      </c>
      <c r="U66" s="37">
        <v>6.1</v>
      </c>
      <c r="V66" s="37">
        <v>0</v>
      </c>
      <c r="W66" s="33">
        <v>41.9</v>
      </c>
      <c r="X66" s="37">
        <v>5.3000000000000007</v>
      </c>
      <c r="Y66" s="37">
        <v>0</v>
      </c>
      <c r="Z66" s="32"/>
      <c r="AA66" s="37"/>
      <c r="AB66" s="37"/>
      <c r="AC66" s="33"/>
      <c r="AD66" s="37"/>
      <c r="AE66" s="37"/>
    </row>
    <row r="67" spans="1:31" x14ac:dyDescent="0.2">
      <c r="B67" s="1"/>
      <c r="G67" s="1"/>
      <c r="H67" s="36"/>
      <c r="I67" s="40"/>
      <c r="J67" s="4"/>
      <c r="K67" s="3"/>
      <c r="L67" s="3"/>
      <c r="R67" s="4"/>
      <c r="S67" s="4"/>
      <c r="T67" s="32"/>
      <c r="U67" s="37"/>
      <c r="V67" s="37"/>
      <c r="W67" s="33"/>
      <c r="X67" s="37"/>
      <c r="Y67" s="37"/>
      <c r="Z67" s="32"/>
      <c r="AA67" s="37"/>
      <c r="AB67" s="37"/>
      <c r="AC67" s="33"/>
      <c r="AD67" s="37"/>
      <c r="AE67" s="37"/>
    </row>
    <row r="68" spans="1:31" x14ac:dyDescent="0.2">
      <c r="B68" s="1"/>
      <c r="G68" s="1"/>
      <c r="H68" s="36"/>
      <c r="I68" s="40"/>
      <c r="J68" s="4"/>
      <c r="K68" s="3"/>
      <c r="L68" s="3"/>
      <c r="R68" s="4"/>
      <c r="S68" s="4"/>
      <c r="T68" s="32"/>
      <c r="U68" s="37"/>
      <c r="V68" s="37"/>
      <c r="W68" s="33"/>
      <c r="X68" s="37"/>
      <c r="Y68" s="37"/>
      <c r="Z68" s="32"/>
      <c r="AA68" s="37"/>
      <c r="AB68" s="37"/>
      <c r="AC68" s="33"/>
      <c r="AD68" s="37"/>
      <c r="AE68" s="37"/>
    </row>
    <row r="69" spans="1:31" x14ac:dyDescent="0.2">
      <c r="B69" s="1"/>
      <c r="G69" s="1"/>
      <c r="H69" s="36"/>
      <c r="I69" s="40"/>
      <c r="J69" s="4"/>
      <c r="K69" s="3"/>
      <c r="L69" s="3"/>
      <c r="R69" s="4"/>
      <c r="S69" s="4"/>
      <c r="T69" s="32"/>
      <c r="U69" s="37"/>
      <c r="V69" s="37"/>
      <c r="W69" s="33"/>
      <c r="X69" s="37"/>
      <c r="Y69" s="37"/>
      <c r="Z69" s="32"/>
      <c r="AA69" s="37"/>
      <c r="AB69" s="37"/>
      <c r="AC69" s="33"/>
      <c r="AD69" s="37"/>
      <c r="AE69" s="37"/>
    </row>
    <row r="70" spans="1:31" x14ac:dyDescent="0.2">
      <c r="B70" s="1"/>
      <c r="G70" s="1"/>
      <c r="H70" s="36"/>
      <c r="I70" s="40"/>
      <c r="J70" s="4"/>
      <c r="K70" s="3"/>
      <c r="L70" s="3"/>
      <c r="R70" s="4"/>
      <c r="S70" s="4"/>
      <c r="T70" s="32"/>
      <c r="U70" s="37"/>
      <c r="V70" s="37"/>
      <c r="W70" s="33"/>
      <c r="X70" s="37"/>
      <c r="Y70" s="37"/>
      <c r="Z70" s="32"/>
      <c r="AA70" s="37"/>
      <c r="AB70" s="37"/>
      <c r="AC70" s="33"/>
      <c r="AD70" s="37"/>
      <c r="AE70" s="37"/>
    </row>
    <row r="71" spans="1:31" x14ac:dyDescent="0.2">
      <c r="B71" s="1"/>
      <c r="G71" s="1"/>
      <c r="H71" s="36"/>
      <c r="I71" s="40"/>
      <c r="J71" s="4"/>
      <c r="K71" s="3"/>
      <c r="L71" s="3"/>
      <c r="R71" s="4"/>
      <c r="S71" s="4"/>
      <c r="T71" s="32"/>
      <c r="U71" s="37"/>
      <c r="V71" s="37"/>
      <c r="W71" s="33"/>
      <c r="X71" s="37"/>
      <c r="Y71" s="37"/>
      <c r="Z71" s="32"/>
      <c r="AA71" s="37"/>
      <c r="AB71" s="37"/>
      <c r="AC71" s="33"/>
      <c r="AD71" s="37"/>
      <c r="AE71" s="37"/>
    </row>
    <row r="72" spans="1:31" x14ac:dyDescent="0.2">
      <c r="B72" s="1"/>
      <c r="G72" s="1"/>
      <c r="H72" s="36"/>
      <c r="I72" s="40"/>
      <c r="J72" s="4"/>
      <c r="K72" s="3"/>
      <c r="L72" s="3"/>
      <c r="R72" s="4"/>
      <c r="S72" s="4"/>
      <c r="T72" s="32"/>
      <c r="U72" s="37"/>
      <c r="V72" s="37"/>
      <c r="W72" s="33"/>
      <c r="X72" s="37"/>
      <c r="Y72" s="37"/>
      <c r="Z72" s="32"/>
      <c r="AA72" s="37"/>
      <c r="AB72" s="37"/>
      <c r="AC72" s="33"/>
      <c r="AD72" s="37"/>
      <c r="AE72" s="37"/>
    </row>
    <row r="73" spans="1:31" x14ac:dyDescent="0.2">
      <c r="B73" s="1"/>
      <c r="G73" s="1"/>
      <c r="H73" s="36"/>
      <c r="I73" s="40"/>
      <c r="J73" s="4"/>
      <c r="K73" s="3"/>
      <c r="L73" s="3"/>
      <c r="R73" s="4"/>
      <c r="S73" s="4"/>
      <c r="T73" s="32"/>
      <c r="U73" s="37"/>
      <c r="V73" s="37"/>
      <c r="W73" s="33"/>
      <c r="X73" s="37"/>
      <c r="Y73" s="37"/>
      <c r="Z73" s="32"/>
      <c r="AA73" s="37"/>
      <c r="AB73" s="37"/>
      <c r="AC73" s="33"/>
      <c r="AD73" s="37"/>
      <c r="AE73" s="37"/>
    </row>
    <row r="74" spans="1:31" x14ac:dyDescent="0.2">
      <c r="B74" s="1"/>
      <c r="G74" s="1"/>
      <c r="H74" s="36"/>
      <c r="I74" s="40"/>
      <c r="J74" s="4"/>
      <c r="K74" s="3"/>
      <c r="L74" s="3"/>
      <c r="R74" s="4"/>
      <c r="S74" s="4"/>
      <c r="T74" s="32"/>
      <c r="U74" s="37"/>
      <c r="V74" s="37"/>
      <c r="W74" s="33"/>
      <c r="X74" s="37"/>
      <c r="Y74" s="37"/>
      <c r="Z74" s="32"/>
      <c r="AA74" s="37"/>
      <c r="AB74" s="37"/>
      <c r="AC74" s="33"/>
      <c r="AD74" s="37"/>
      <c r="AE74" s="37"/>
    </row>
    <row r="75" spans="1:31" x14ac:dyDescent="0.2">
      <c r="B75" s="1"/>
      <c r="G75" s="1"/>
      <c r="H75" s="36"/>
      <c r="I75" s="40"/>
      <c r="J75" s="4"/>
      <c r="K75" s="3"/>
      <c r="L75" s="3"/>
      <c r="R75" s="4"/>
      <c r="S75" s="4"/>
      <c r="T75" s="32"/>
      <c r="U75" s="37"/>
      <c r="V75" s="37"/>
      <c r="W75" s="33"/>
      <c r="X75" s="37"/>
      <c r="Y75" s="37"/>
      <c r="Z75" s="32"/>
      <c r="AA75" s="37"/>
      <c r="AB75" s="37"/>
      <c r="AC75" s="33"/>
      <c r="AD75" s="37"/>
      <c r="AE75" s="37"/>
    </row>
    <row r="76" spans="1:31" x14ac:dyDescent="0.2">
      <c r="B76" s="1"/>
      <c r="G76" s="1"/>
      <c r="H76" s="36"/>
      <c r="I76" s="40"/>
      <c r="J76" s="4"/>
      <c r="K76" s="3"/>
      <c r="L76" s="3"/>
      <c r="R76" s="4"/>
      <c r="S76" s="4"/>
      <c r="T76" s="32"/>
      <c r="U76" s="37"/>
      <c r="V76" s="37"/>
      <c r="W76" s="33"/>
      <c r="X76" s="37"/>
      <c r="Y76" s="37"/>
      <c r="Z76" s="32"/>
      <c r="AA76" s="37"/>
      <c r="AB76" s="37"/>
      <c r="AC76" s="33"/>
      <c r="AD76" s="37"/>
      <c r="AE76" s="37"/>
    </row>
    <row r="77" spans="1:31" x14ac:dyDescent="0.2">
      <c r="B77" s="1"/>
      <c r="G77" s="1"/>
      <c r="H77" s="36"/>
      <c r="I77" s="40"/>
      <c r="J77" s="4"/>
      <c r="K77" s="3"/>
      <c r="L77" s="3"/>
      <c r="R77" s="4"/>
      <c r="S77" s="4"/>
      <c r="T77" s="32"/>
      <c r="U77" s="37"/>
      <c r="V77" s="37"/>
      <c r="W77" s="33"/>
      <c r="X77" s="37"/>
      <c r="Y77" s="37"/>
      <c r="Z77" s="32"/>
      <c r="AA77" s="37"/>
      <c r="AB77" s="37"/>
      <c r="AC77" s="33"/>
      <c r="AD77" s="37"/>
      <c r="AE77" s="37"/>
    </row>
    <row r="78" spans="1:31" x14ac:dyDescent="0.2">
      <c r="B78" s="1"/>
      <c r="G78" s="1"/>
      <c r="H78" s="36"/>
      <c r="I78" s="40"/>
      <c r="J78" s="4"/>
      <c r="K78" s="3"/>
      <c r="L78" s="3"/>
      <c r="R78" s="4"/>
      <c r="S78" s="4"/>
      <c r="T78" s="32"/>
      <c r="U78" s="37"/>
      <c r="V78" s="37"/>
      <c r="W78" s="33"/>
      <c r="X78" s="37"/>
      <c r="Y78" s="37"/>
      <c r="Z78" s="32"/>
      <c r="AA78" s="37"/>
      <c r="AB78" s="37"/>
      <c r="AC78" s="33"/>
      <c r="AD78" s="37"/>
      <c r="AE78" s="37"/>
    </row>
    <row r="79" spans="1:31" x14ac:dyDescent="0.2">
      <c r="B79" s="1"/>
      <c r="G79" s="1"/>
      <c r="H79" s="36"/>
      <c r="I79" s="40"/>
      <c r="J79" s="4"/>
      <c r="K79" s="3"/>
      <c r="L79" s="3"/>
      <c r="R79" s="4"/>
      <c r="S79" s="4"/>
      <c r="T79" s="32"/>
      <c r="U79" s="37"/>
      <c r="V79" s="37"/>
      <c r="W79" s="33"/>
      <c r="X79" s="37"/>
      <c r="Y79" s="37"/>
      <c r="Z79" s="32"/>
      <c r="AA79" s="37"/>
      <c r="AB79" s="37"/>
      <c r="AC79" s="33"/>
      <c r="AD79" s="37"/>
      <c r="AE79" s="37"/>
    </row>
    <row r="80" spans="1:31" x14ac:dyDescent="0.2">
      <c r="B80" s="1"/>
      <c r="G80" s="1"/>
      <c r="H80" s="36"/>
      <c r="I80" s="40"/>
      <c r="J80" s="4"/>
      <c r="K80" s="3"/>
      <c r="L80" s="3"/>
      <c r="R80" s="4"/>
      <c r="S80" s="4"/>
      <c r="T80" s="32"/>
      <c r="U80" s="37"/>
      <c r="V80" s="37"/>
      <c r="W80" s="33"/>
      <c r="X80" s="37"/>
      <c r="Y80" s="37"/>
      <c r="Z80" s="32"/>
      <c r="AA80" s="37"/>
      <c r="AB80" s="37"/>
      <c r="AC80" s="33"/>
      <c r="AD80" s="37"/>
      <c r="AE80" s="37"/>
    </row>
    <row r="81" spans="2:31" x14ac:dyDescent="0.2">
      <c r="B81" s="1"/>
      <c r="G81" s="1"/>
      <c r="H81" s="36"/>
      <c r="I81" s="40"/>
      <c r="J81" s="4"/>
      <c r="K81" s="3"/>
      <c r="L81" s="3"/>
      <c r="R81" s="4"/>
      <c r="S81" s="4"/>
      <c r="T81" s="32"/>
      <c r="U81" s="37"/>
      <c r="V81" s="37"/>
      <c r="W81" s="33"/>
      <c r="X81" s="37"/>
      <c r="Y81" s="37"/>
      <c r="Z81" s="32"/>
      <c r="AA81" s="37"/>
      <c r="AB81" s="37"/>
      <c r="AC81" s="33"/>
      <c r="AD81" s="37"/>
      <c r="AE81" s="37"/>
    </row>
    <row r="82" spans="2:31" x14ac:dyDescent="0.2">
      <c r="B82" s="1"/>
      <c r="G82" s="1"/>
      <c r="H82" s="36"/>
      <c r="I82" s="40"/>
      <c r="J82" s="4"/>
      <c r="K82" s="3"/>
      <c r="L82" s="3"/>
      <c r="R82" s="4"/>
      <c r="S82" s="4"/>
      <c r="T82" s="32"/>
      <c r="U82" s="37"/>
      <c r="V82" s="37"/>
      <c r="W82" s="33"/>
      <c r="X82" s="37"/>
      <c r="Y82" s="37"/>
      <c r="Z82" s="32"/>
      <c r="AA82" s="37"/>
      <c r="AB82" s="37"/>
      <c r="AC82" s="33"/>
      <c r="AD82" s="37"/>
      <c r="AE82" s="37"/>
    </row>
    <row r="83" spans="2:31" x14ac:dyDescent="0.2">
      <c r="B83" s="1"/>
      <c r="G83" s="1"/>
      <c r="H83" s="36"/>
      <c r="I83" s="40"/>
      <c r="J83" s="4"/>
      <c r="K83" s="3"/>
      <c r="L83" s="3"/>
      <c r="R83" s="4"/>
      <c r="S83" s="4"/>
      <c r="T83" s="32"/>
      <c r="U83" s="37"/>
      <c r="V83" s="37"/>
      <c r="W83" s="33"/>
      <c r="X83" s="37"/>
      <c r="Y83" s="37"/>
      <c r="Z83" s="32"/>
      <c r="AA83" s="37"/>
      <c r="AB83" s="37"/>
      <c r="AC83" s="33"/>
      <c r="AD83" s="37"/>
      <c r="AE83" s="37"/>
    </row>
    <row r="84" spans="2:31" x14ac:dyDescent="0.2">
      <c r="B84" s="1"/>
      <c r="G84" s="1"/>
      <c r="H84" s="36"/>
      <c r="I84" s="40"/>
      <c r="J84" s="4"/>
      <c r="K84" s="3"/>
      <c r="L84" s="3"/>
      <c r="R84" s="4"/>
      <c r="S84" s="4"/>
      <c r="T84" s="32"/>
      <c r="U84" s="37"/>
      <c r="V84" s="37"/>
      <c r="W84" s="33"/>
      <c r="X84" s="37"/>
      <c r="Y84" s="37"/>
      <c r="Z84" s="32"/>
      <c r="AA84" s="37"/>
      <c r="AB84" s="37"/>
      <c r="AC84" s="33"/>
      <c r="AD84" s="37"/>
      <c r="AE84" s="37"/>
    </row>
    <row r="85" spans="2:31" x14ac:dyDescent="0.2">
      <c r="B85" s="1"/>
      <c r="G85" s="1"/>
      <c r="H85" s="36"/>
      <c r="I85" s="40"/>
      <c r="J85" s="4"/>
      <c r="K85" s="3"/>
      <c r="L85" s="3"/>
      <c r="R85" s="4"/>
      <c r="S85" s="4"/>
      <c r="T85" s="32"/>
      <c r="U85" s="37"/>
      <c r="V85" s="37"/>
      <c r="W85" s="33"/>
      <c r="X85" s="37"/>
      <c r="Y85" s="37"/>
      <c r="Z85" s="32"/>
      <c r="AA85" s="37"/>
      <c r="AB85" s="37"/>
      <c r="AC85" s="33"/>
      <c r="AD85" s="37"/>
      <c r="AE85" s="37"/>
    </row>
    <row r="86" spans="2:31" x14ac:dyDescent="0.2">
      <c r="B86" s="1"/>
      <c r="G86" s="1"/>
      <c r="H86" s="36"/>
      <c r="I86" s="40"/>
      <c r="J86" s="4"/>
      <c r="K86" s="3"/>
      <c r="L86" s="3"/>
      <c r="R86" s="4"/>
      <c r="S86" s="4"/>
      <c r="T86" s="32"/>
      <c r="U86" s="37"/>
      <c r="V86" s="37"/>
      <c r="W86" s="33"/>
      <c r="X86" s="37"/>
      <c r="Y86" s="37"/>
      <c r="Z86" s="32"/>
      <c r="AA86" s="37"/>
      <c r="AB86" s="37"/>
      <c r="AC86" s="33"/>
      <c r="AD86" s="37"/>
      <c r="AE86" s="37"/>
    </row>
    <row r="87" spans="2:31" x14ac:dyDescent="0.2">
      <c r="B87" s="1"/>
      <c r="G87" s="1"/>
      <c r="H87" s="36"/>
      <c r="I87" s="40"/>
      <c r="J87" s="4"/>
      <c r="K87" s="3"/>
      <c r="L87" s="3"/>
      <c r="R87" s="4"/>
      <c r="S87" s="4"/>
      <c r="T87" s="32"/>
      <c r="U87" s="37"/>
      <c r="V87" s="37"/>
      <c r="W87" s="33"/>
      <c r="X87" s="37"/>
      <c r="Y87" s="37"/>
      <c r="Z87" s="32"/>
      <c r="AA87" s="37"/>
      <c r="AB87" s="37"/>
      <c r="AC87" s="33"/>
      <c r="AD87" s="37"/>
      <c r="AE87" s="37"/>
    </row>
    <row r="88" spans="2:31" x14ac:dyDescent="0.2">
      <c r="B88" s="1"/>
      <c r="G88" s="1"/>
      <c r="H88" s="36"/>
      <c r="I88" s="40"/>
      <c r="J88" s="4"/>
      <c r="K88" s="3"/>
      <c r="L88" s="3"/>
      <c r="R88" s="4"/>
      <c r="S88" s="4"/>
      <c r="T88" s="32"/>
      <c r="U88" s="37"/>
      <c r="V88" s="37"/>
      <c r="W88" s="33"/>
      <c r="X88" s="37"/>
      <c r="Y88" s="37"/>
      <c r="Z88" s="32"/>
      <c r="AA88" s="37"/>
      <c r="AB88" s="37"/>
      <c r="AC88" s="33"/>
      <c r="AD88" s="37"/>
      <c r="AE88" s="37"/>
    </row>
    <row r="89" spans="2:31" x14ac:dyDescent="0.2">
      <c r="B89" s="1"/>
      <c r="G89" s="1"/>
      <c r="H89" s="36"/>
      <c r="I89" s="40"/>
      <c r="J89" s="4"/>
      <c r="K89" s="3"/>
      <c r="L89" s="3"/>
      <c r="R89" s="4"/>
      <c r="S89" s="4"/>
      <c r="T89" s="32"/>
      <c r="U89" s="37"/>
      <c r="V89" s="37"/>
      <c r="W89" s="33"/>
      <c r="X89" s="37"/>
      <c r="Y89" s="37"/>
      <c r="Z89" s="32"/>
      <c r="AA89" s="37"/>
      <c r="AB89" s="37"/>
      <c r="AC89" s="33"/>
      <c r="AD89" s="37"/>
      <c r="AE89" s="37"/>
    </row>
    <row r="90" spans="2:31" x14ac:dyDescent="0.2">
      <c r="B90" s="1"/>
      <c r="G90" s="1"/>
      <c r="H90" s="36"/>
      <c r="I90" s="40"/>
      <c r="J90" s="4"/>
      <c r="K90" s="3"/>
      <c r="L90" s="3"/>
      <c r="R90" s="4"/>
      <c r="S90" s="4"/>
      <c r="T90" s="32"/>
      <c r="U90" s="37"/>
      <c r="V90" s="37"/>
      <c r="W90" s="33"/>
      <c r="X90" s="37"/>
      <c r="Y90" s="37"/>
      <c r="Z90" s="32"/>
      <c r="AA90" s="37"/>
      <c r="AB90" s="37"/>
      <c r="AC90" s="33"/>
      <c r="AD90" s="37"/>
      <c r="AE90" s="37"/>
    </row>
    <row r="91" spans="2:31" x14ac:dyDescent="0.2">
      <c r="B91" s="1"/>
      <c r="G91" s="1"/>
      <c r="H91" s="36"/>
      <c r="I91" s="40"/>
      <c r="J91" s="4"/>
      <c r="K91" s="3"/>
      <c r="L91" s="3"/>
      <c r="R91" s="4"/>
      <c r="S91" s="4"/>
      <c r="T91" s="32"/>
      <c r="U91" s="37"/>
      <c r="V91" s="37"/>
      <c r="W91" s="33"/>
      <c r="X91" s="37"/>
      <c r="Y91" s="37"/>
      <c r="Z91" s="32"/>
      <c r="AA91" s="37"/>
      <c r="AB91" s="37"/>
      <c r="AC91" s="33"/>
      <c r="AD91" s="37"/>
      <c r="AE91" s="37"/>
    </row>
    <row r="92" spans="2:31" x14ac:dyDescent="0.2">
      <c r="B92" s="1"/>
      <c r="G92" s="1"/>
      <c r="H92" s="36"/>
      <c r="I92" s="40"/>
      <c r="J92" s="4"/>
      <c r="K92" s="3"/>
      <c r="L92" s="3"/>
      <c r="R92" s="4"/>
      <c r="S92" s="4"/>
      <c r="T92" s="32"/>
      <c r="U92" s="37"/>
      <c r="V92" s="37"/>
      <c r="W92" s="33"/>
      <c r="X92" s="37"/>
      <c r="Y92" s="37"/>
      <c r="Z92" s="32"/>
      <c r="AA92" s="37"/>
      <c r="AB92" s="37"/>
      <c r="AC92" s="33"/>
      <c r="AD92" s="37"/>
      <c r="AE92" s="37"/>
    </row>
    <row r="93" spans="2:31" x14ac:dyDescent="0.2">
      <c r="B93" s="1"/>
      <c r="G93" s="1"/>
      <c r="H93" s="36"/>
      <c r="I93" s="40"/>
      <c r="J93" s="4"/>
      <c r="K93" s="3"/>
      <c r="L93" s="3"/>
      <c r="R93" s="4"/>
      <c r="S93" s="4"/>
      <c r="T93" s="32"/>
      <c r="U93" s="37"/>
      <c r="V93" s="37"/>
      <c r="W93" s="33"/>
      <c r="X93" s="37"/>
      <c r="Y93" s="37"/>
      <c r="Z93" s="32"/>
      <c r="AA93" s="37"/>
      <c r="AB93" s="37"/>
      <c r="AC93" s="33"/>
      <c r="AD93" s="37"/>
      <c r="AE93" s="37"/>
    </row>
    <row r="94" spans="2:31" x14ac:dyDescent="0.2">
      <c r="B94" s="1"/>
      <c r="G94" s="1"/>
      <c r="H94" s="36"/>
      <c r="I94" s="40"/>
      <c r="J94" s="4"/>
      <c r="K94" s="3"/>
      <c r="L94" s="3"/>
      <c r="R94" s="4"/>
      <c r="S94" s="4"/>
      <c r="T94" s="32"/>
      <c r="U94" s="37"/>
      <c r="V94" s="37"/>
      <c r="W94" s="33"/>
      <c r="X94" s="37"/>
      <c r="Y94" s="37"/>
      <c r="Z94" s="32"/>
      <c r="AA94" s="37"/>
      <c r="AB94" s="37"/>
      <c r="AC94" s="33"/>
      <c r="AD94" s="37"/>
      <c r="AE94" s="37"/>
    </row>
    <row r="95" spans="2:31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7"/>
      <c r="W95" s="33"/>
      <c r="X95" s="37"/>
      <c r="Y95" s="37"/>
      <c r="Z95" s="32"/>
      <c r="AA95" s="37"/>
      <c r="AB95" s="37"/>
      <c r="AC95" s="33"/>
      <c r="AD95" s="37"/>
      <c r="AE95" s="37"/>
    </row>
    <row r="96" spans="2:31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7"/>
      <c r="W96" s="33"/>
      <c r="X96" s="37"/>
      <c r="Y96" s="37"/>
      <c r="Z96" s="32"/>
      <c r="AA96" s="37"/>
      <c r="AB96" s="37"/>
      <c r="AC96" s="33"/>
      <c r="AD96" s="37"/>
      <c r="AE96" s="37"/>
    </row>
    <row r="97" spans="2:31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7"/>
      <c r="W97" s="33"/>
      <c r="X97" s="37"/>
      <c r="Y97" s="37"/>
      <c r="Z97" s="32"/>
      <c r="AA97" s="37"/>
      <c r="AB97" s="37"/>
      <c r="AC97" s="33"/>
      <c r="AD97" s="37"/>
      <c r="AE97" s="37"/>
    </row>
    <row r="98" spans="2:31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7"/>
      <c r="W98" s="33"/>
      <c r="X98" s="37"/>
      <c r="Y98" s="37"/>
      <c r="Z98" s="32"/>
      <c r="AA98" s="37"/>
      <c r="AB98" s="37"/>
      <c r="AC98" s="33"/>
      <c r="AD98" s="37"/>
      <c r="AE98" s="37"/>
    </row>
    <row r="99" spans="2:31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7"/>
      <c r="W99" s="33"/>
      <c r="X99" s="37"/>
      <c r="Y99" s="37"/>
      <c r="Z99" s="32"/>
      <c r="AA99" s="37"/>
      <c r="AB99" s="37"/>
      <c r="AC99" s="33"/>
      <c r="AD99" s="37"/>
      <c r="AE99" s="37"/>
    </row>
    <row r="100" spans="2:31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7"/>
      <c r="W100" s="33"/>
      <c r="X100" s="37"/>
      <c r="Y100" s="37"/>
      <c r="Z100" s="32"/>
      <c r="AA100" s="37"/>
      <c r="AB100" s="37"/>
      <c r="AC100" s="33"/>
      <c r="AD100" s="37"/>
      <c r="AE100" s="37"/>
    </row>
    <row r="101" spans="2:31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7"/>
      <c r="W101" s="33"/>
      <c r="X101" s="37"/>
      <c r="Y101" s="37"/>
      <c r="Z101" s="32"/>
      <c r="AA101" s="37"/>
      <c r="AB101" s="37"/>
      <c r="AC101" s="33"/>
      <c r="AD101" s="37"/>
      <c r="AE101" s="37"/>
    </row>
    <row r="102" spans="2:31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7"/>
      <c r="W102" s="33"/>
      <c r="X102" s="37"/>
      <c r="Y102" s="37"/>
      <c r="Z102" s="32"/>
      <c r="AA102" s="37"/>
      <c r="AB102" s="37"/>
      <c r="AC102" s="33"/>
      <c r="AD102" s="37"/>
      <c r="AE102" s="37"/>
    </row>
    <row r="103" spans="2:31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7"/>
      <c r="W103" s="33"/>
      <c r="X103" s="37"/>
      <c r="Y103" s="37"/>
      <c r="Z103" s="32"/>
      <c r="AA103" s="37"/>
      <c r="AB103" s="37"/>
      <c r="AC103" s="33"/>
      <c r="AD103" s="37"/>
      <c r="AE103" s="37"/>
    </row>
    <row r="104" spans="2:31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7"/>
      <c r="W104" s="33"/>
      <c r="X104" s="37"/>
      <c r="Y104" s="37"/>
      <c r="Z104" s="32"/>
      <c r="AA104" s="37"/>
      <c r="AB104" s="37"/>
      <c r="AC104" s="33"/>
      <c r="AD104" s="37"/>
      <c r="AE104" s="37"/>
    </row>
    <row r="105" spans="2:31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7"/>
      <c r="W105" s="33"/>
      <c r="X105" s="37"/>
      <c r="Y105" s="37"/>
      <c r="Z105" s="32"/>
      <c r="AA105" s="37"/>
      <c r="AB105" s="37"/>
      <c r="AC105" s="33"/>
      <c r="AD105" s="37"/>
      <c r="AE105" s="37"/>
    </row>
    <row r="106" spans="2:31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7"/>
      <c r="W106" s="33"/>
      <c r="X106" s="37"/>
      <c r="Y106" s="37"/>
      <c r="Z106" s="32"/>
      <c r="AA106" s="37"/>
      <c r="AB106" s="37"/>
      <c r="AC106" s="33"/>
      <c r="AD106" s="37"/>
      <c r="AE106" s="37"/>
    </row>
    <row r="107" spans="2:31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7"/>
      <c r="W107" s="33"/>
      <c r="X107" s="37"/>
      <c r="Y107" s="37"/>
      <c r="Z107" s="32"/>
      <c r="AA107" s="37"/>
      <c r="AB107" s="37"/>
      <c r="AC107" s="33"/>
      <c r="AD107" s="37"/>
      <c r="AE107" s="37"/>
    </row>
    <row r="108" spans="2:31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7"/>
      <c r="W108" s="33"/>
      <c r="X108" s="37"/>
      <c r="Y108" s="37"/>
      <c r="Z108" s="32"/>
      <c r="AA108" s="37"/>
      <c r="AB108" s="37"/>
      <c r="AC108" s="33"/>
      <c r="AD108" s="37"/>
      <c r="AE108" s="37"/>
    </row>
    <row r="109" spans="2:31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7"/>
      <c r="W109" s="33"/>
      <c r="X109" s="37"/>
      <c r="Y109" s="37"/>
      <c r="Z109" s="32"/>
      <c r="AA109" s="37"/>
      <c r="AB109" s="37"/>
      <c r="AC109" s="33"/>
      <c r="AD109" s="37"/>
      <c r="AE109" s="37"/>
    </row>
    <row r="110" spans="2:31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7"/>
      <c r="W110" s="33"/>
      <c r="X110" s="37"/>
      <c r="Y110" s="37"/>
      <c r="Z110" s="32"/>
      <c r="AA110" s="37"/>
      <c r="AB110" s="37"/>
      <c r="AC110" s="33"/>
      <c r="AD110" s="37"/>
      <c r="AE110" s="37"/>
    </row>
    <row r="111" spans="2:31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7"/>
      <c r="W111" s="33"/>
      <c r="X111" s="37"/>
      <c r="Y111" s="37"/>
      <c r="Z111" s="32"/>
      <c r="AA111" s="37"/>
      <c r="AB111" s="37"/>
      <c r="AC111" s="33"/>
      <c r="AD111" s="37"/>
      <c r="AE111" s="37"/>
    </row>
    <row r="112" spans="2:31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7"/>
      <c r="W112" s="33"/>
      <c r="X112" s="37"/>
      <c r="Y112" s="37"/>
      <c r="Z112" s="32"/>
      <c r="AA112" s="37"/>
      <c r="AB112" s="37"/>
      <c r="AC112" s="33"/>
      <c r="AD112" s="37"/>
      <c r="AE112" s="37"/>
    </row>
    <row r="113" spans="2:31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7"/>
      <c r="W113" s="33"/>
      <c r="X113" s="37"/>
      <c r="Y113" s="37"/>
      <c r="Z113" s="32"/>
      <c r="AA113" s="37"/>
      <c r="AB113" s="37"/>
      <c r="AC113" s="33"/>
      <c r="AD113" s="37"/>
      <c r="AE113" s="37"/>
    </row>
    <row r="114" spans="2:31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7"/>
      <c r="W114" s="33"/>
      <c r="X114" s="37"/>
      <c r="Y114" s="37"/>
      <c r="Z114" s="32"/>
      <c r="AA114" s="37"/>
      <c r="AB114" s="37"/>
      <c r="AC114" s="33"/>
      <c r="AD114" s="37"/>
      <c r="AE114" s="37"/>
    </row>
    <row r="115" spans="2:31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7"/>
      <c r="W115" s="33"/>
      <c r="X115" s="37"/>
      <c r="Y115" s="37"/>
      <c r="Z115" s="32"/>
      <c r="AA115" s="37"/>
      <c r="AB115" s="37"/>
      <c r="AC115" s="33"/>
      <c r="AD115" s="37"/>
      <c r="AE115" s="37"/>
    </row>
    <row r="116" spans="2:31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7"/>
      <c r="W116" s="33"/>
      <c r="X116" s="37"/>
      <c r="Y116" s="37"/>
      <c r="Z116" s="32"/>
      <c r="AA116" s="37"/>
      <c r="AB116" s="37"/>
      <c r="AC116" s="33"/>
      <c r="AD116" s="37"/>
      <c r="AE116" s="37"/>
    </row>
    <row r="117" spans="2:31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7"/>
      <c r="W117" s="33"/>
      <c r="X117" s="37"/>
      <c r="Y117" s="37"/>
      <c r="Z117" s="32"/>
      <c r="AA117" s="37"/>
      <c r="AB117" s="37"/>
      <c r="AC117" s="33"/>
      <c r="AD117" s="37"/>
      <c r="AE117" s="37"/>
    </row>
    <row r="118" spans="2:31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7"/>
      <c r="W118" s="33"/>
      <c r="X118" s="37"/>
      <c r="Y118" s="37"/>
      <c r="Z118" s="32"/>
      <c r="AA118" s="37"/>
      <c r="AB118" s="37"/>
      <c r="AC118" s="33"/>
      <c r="AD118" s="37"/>
      <c r="AE118" s="37"/>
    </row>
    <row r="119" spans="2:31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7"/>
      <c r="W119" s="33"/>
      <c r="X119" s="37"/>
      <c r="Y119" s="37"/>
      <c r="Z119" s="32"/>
      <c r="AA119" s="37"/>
      <c r="AB119" s="37"/>
      <c r="AC119" s="33"/>
      <c r="AD119" s="37"/>
      <c r="AE119" s="37"/>
    </row>
    <row r="120" spans="2:31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7"/>
      <c r="W120" s="33"/>
      <c r="X120" s="37"/>
      <c r="Y120" s="37"/>
      <c r="Z120" s="32"/>
      <c r="AA120" s="37"/>
      <c r="AB120" s="37"/>
      <c r="AC120" s="33"/>
      <c r="AD120" s="37"/>
      <c r="AE120" s="37"/>
    </row>
    <row r="121" spans="2:31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7"/>
      <c r="W121" s="33"/>
      <c r="X121" s="37"/>
      <c r="Y121" s="37"/>
      <c r="Z121" s="32"/>
      <c r="AA121" s="37"/>
      <c r="AB121" s="37"/>
      <c r="AC121" s="33"/>
      <c r="AD121" s="37"/>
      <c r="AE121" s="37"/>
    </row>
    <row r="122" spans="2:31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7"/>
      <c r="W122" s="33"/>
      <c r="X122" s="37"/>
      <c r="Y122" s="37"/>
      <c r="Z122" s="32"/>
      <c r="AA122" s="37"/>
      <c r="AB122" s="37"/>
      <c r="AC122" s="33"/>
      <c r="AD122" s="37"/>
      <c r="AE122" s="37"/>
    </row>
    <row r="123" spans="2:31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7"/>
      <c r="W123" s="33"/>
      <c r="X123" s="37"/>
      <c r="Y123" s="37"/>
      <c r="Z123" s="32"/>
      <c r="AA123" s="37"/>
      <c r="AB123" s="37"/>
      <c r="AC123" s="33"/>
      <c r="AD123" s="37"/>
      <c r="AE123" s="37"/>
    </row>
    <row r="124" spans="2:31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7"/>
      <c r="W124" s="33"/>
      <c r="X124" s="37"/>
      <c r="Y124" s="37"/>
      <c r="Z124" s="32"/>
      <c r="AA124" s="37"/>
      <c r="AB124" s="37"/>
      <c r="AC124" s="33"/>
      <c r="AD124" s="37"/>
      <c r="AE124" s="37"/>
    </row>
    <row r="125" spans="2:31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7"/>
      <c r="W125" s="33"/>
      <c r="X125" s="37"/>
      <c r="Y125" s="37"/>
      <c r="Z125" s="32"/>
      <c r="AA125" s="37"/>
      <c r="AB125" s="37"/>
      <c r="AC125" s="33"/>
      <c r="AD125" s="37"/>
      <c r="AE125" s="37"/>
    </row>
    <row r="126" spans="2:31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7"/>
      <c r="W126" s="33"/>
      <c r="X126" s="37"/>
      <c r="Y126" s="37"/>
      <c r="Z126" s="32"/>
      <c r="AA126" s="37"/>
      <c r="AB126" s="37"/>
      <c r="AC126" s="33"/>
      <c r="AD126" s="37"/>
      <c r="AE126" s="37"/>
    </row>
    <row r="127" spans="2:31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7"/>
      <c r="W127" s="33"/>
      <c r="X127" s="37"/>
      <c r="Y127" s="37"/>
      <c r="Z127" s="32"/>
      <c r="AA127" s="37"/>
      <c r="AB127" s="37"/>
      <c r="AC127" s="33"/>
      <c r="AD127" s="37"/>
      <c r="AE127" s="37"/>
    </row>
    <row r="128" spans="2:31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7"/>
      <c r="W128" s="33"/>
      <c r="X128" s="37"/>
      <c r="Y128" s="37"/>
      <c r="Z128" s="32"/>
      <c r="AA128" s="37"/>
      <c r="AB128" s="37"/>
      <c r="AC128" s="33"/>
      <c r="AD128" s="37"/>
      <c r="AE128" s="37"/>
    </row>
    <row r="129" spans="2:31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7"/>
      <c r="W129" s="33"/>
      <c r="X129" s="37"/>
      <c r="Y129" s="37"/>
      <c r="Z129" s="32"/>
      <c r="AA129" s="37"/>
      <c r="AB129" s="37"/>
      <c r="AC129" s="33"/>
      <c r="AD129" s="37"/>
      <c r="AE129" s="37"/>
    </row>
    <row r="130" spans="2:31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7"/>
      <c r="W130" s="33"/>
      <c r="X130" s="37"/>
      <c r="Y130" s="37"/>
      <c r="Z130" s="32"/>
      <c r="AA130" s="37"/>
      <c r="AB130" s="37"/>
      <c r="AC130" s="33"/>
      <c r="AD130" s="37"/>
      <c r="AE130" s="37"/>
    </row>
    <row r="131" spans="2:31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7"/>
      <c r="W131" s="33"/>
      <c r="X131" s="37"/>
      <c r="Y131" s="37"/>
      <c r="Z131" s="32"/>
      <c r="AA131" s="37"/>
      <c r="AB131" s="37"/>
      <c r="AC131" s="33"/>
      <c r="AD131" s="37"/>
      <c r="AE131" s="37"/>
    </row>
    <row r="132" spans="2:31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7"/>
      <c r="W132" s="33"/>
      <c r="X132" s="37"/>
      <c r="Y132" s="37"/>
      <c r="Z132" s="32"/>
      <c r="AA132" s="37"/>
      <c r="AB132" s="37"/>
      <c r="AC132" s="33"/>
      <c r="AD132" s="37"/>
      <c r="AE132" s="37"/>
    </row>
    <row r="133" spans="2:31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7"/>
      <c r="W133" s="33"/>
      <c r="X133" s="37"/>
      <c r="Y133" s="37"/>
      <c r="Z133" s="32"/>
      <c r="AA133" s="37"/>
      <c r="AB133" s="37"/>
      <c r="AC133" s="33"/>
      <c r="AD133" s="37"/>
      <c r="AE133" s="37"/>
    </row>
    <row r="134" spans="2:31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7"/>
      <c r="W134" s="33"/>
      <c r="X134" s="37"/>
      <c r="Y134" s="37"/>
      <c r="Z134" s="32"/>
      <c r="AA134" s="37"/>
      <c r="AB134" s="37"/>
      <c r="AC134" s="33"/>
      <c r="AD134" s="37"/>
      <c r="AE134" s="37"/>
    </row>
    <row r="135" spans="2:31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7"/>
      <c r="W135" s="33"/>
      <c r="X135" s="37"/>
      <c r="Y135" s="37"/>
      <c r="Z135" s="32"/>
      <c r="AA135" s="37"/>
      <c r="AB135" s="37"/>
      <c r="AC135" s="33"/>
      <c r="AD135" s="37"/>
      <c r="AE135" s="37"/>
    </row>
    <row r="136" spans="2:31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7"/>
      <c r="W136" s="33"/>
      <c r="X136" s="37"/>
      <c r="Y136" s="37"/>
      <c r="Z136" s="32"/>
      <c r="AA136" s="37"/>
      <c r="AB136" s="37"/>
      <c r="AC136" s="33"/>
      <c r="AD136" s="37"/>
      <c r="AE136" s="37"/>
    </row>
    <row r="137" spans="2:31" x14ac:dyDescent="0.2">
      <c r="B137" s="1"/>
      <c r="G137" s="1"/>
      <c r="H137" s="36"/>
      <c r="I137" s="40"/>
      <c r="J137" s="4"/>
      <c r="K137" s="3"/>
      <c r="L137" s="3"/>
      <c r="R137" s="4"/>
      <c r="S137" s="4"/>
      <c r="T137" s="32"/>
      <c r="U137" s="37"/>
      <c r="V137" s="37"/>
      <c r="W137" s="33"/>
      <c r="X137" s="37"/>
      <c r="Y137" s="37"/>
      <c r="Z137" s="32"/>
      <c r="AA137" s="37"/>
      <c r="AB137" s="37"/>
      <c r="AC137" s="33"/>
      <c r="AD137" s="37"/>
      <c r="AE137" s="37"/>
    </row>
    <row r="138" spans="2:31" x14ac:dyDescent="0.2">
      <c r="B138" s="1"/>
      <c r="G138" s="1"/>
      <c r="H138" s="36"/>
      <c r="I138" s="40"/>
      <c r="J138" s="4"/>
      <c r="K138" s="3"/>
      <c r="L138" s="3"/>
      <c r="R138" s="4"/>
      <c r="S138" s="4"/>
      <c r="T138" s="32"/>
      <c r="U138" s="37"/>
      <c r="V138" s="37"/>
      <c r="W138" s="33"/>
      <c r="X138" s="37"/>
      <c r="Y138" s="37"/>
      <c r="Z138" s="32"/>
      <c r="AA138" s="37"/>
      <c r="AB138" s="37"/>
      <c r="AC138" s="33"/>
      <c r="AD138" s="37"/>
      <c r="AE138" s="37"/>
    </row>
    <row r="139" spans="2:31" x14ac:dyDescent="0.2">
      <c r="B139" s="1"/>
      <c r="G139" s="1"/>
      <c r="H139" s="36"/>
      <c r="I139" s="40"/>
      <c r="J139" s="4"/>
      <c r="K139" s="3"/>
      <c r="L139" s="3"/>
      <c r="R139" s="4"/>
      <c r="S139" s="4"/>
      <c r="T139" s="32"/>
      <c r="U139" s="37"/>
      <c r="V139" s="37"/>
      <c r="W139" s="33"/>
      <c r="X139" s="37"/>
      <c r="Y139" s="37"/>
      <c r="Z139" s="32"/>
      <c r="AA139" s="37"/>
      <c r="AB139" s="37"/>
      <c r="AC139" s="33"/>
      <c r="AD139" s="37"/>
      <c r="AE139" s="37"/>
    </row>
    <row r="140" spans="2:31" x14ac:dyDescent="0.2">
      <c r="B140" s="1"/>
      <c r="G140" s="1"/>
      <c r="H140" s="36"/>
      <c r="I140" s="40"/>
      <c r="J140" s="4"/>
      <c r="K140" s="3"/>
      <c r="L140" s="3"/>
      <c r="R140" s="4"/>
      <c r="S140" s="4"/>
      <c r="T140" s="32"/>
      <c r="U140" s="37"/>
      <c r="V140" s="37"/>
      <c r="W140" s="33"/>
      <c r="X140" s="37"/>
      <c r="Y140" s="37"/>
      <c r="Z140" s="32"/>
      <c r="AA140" s="37"/>
      <c r="AB140" s="37"/>
      <c r="AC140" s="33"/>
      <c r="AD140" s="37"/>
      <c r="AE140" s="37"/>
    </row>
    <row r="141" spans="2:31" x14ac:dyDescent="0.2">
      <c r="B141" s="1"/>
      <c r="G141" s="1"/>
      <c r="H141" s="36"/>
      <c r="I141" s="40"/>
      <c r="J141" s="4"/>
      <c r="K141" s="3"/>
      <c r="L141" s="3"/>
      <c r="R141" s="4"/>
      <c r="S141" s="4"/>
      <c r="T141" s="32"/>
      <c r="U141" s="37"/>
      <c r="V141" s="37"/>
      <c r="W141" s="33"/>
      <c r="X141" s="37"/>
      <c r="Y141" s="37"/>
      <c r="Z141" s="32"/>
      <c r="AA141" s="37"/>
      <c r="AB141" s="37"/>
      <c r="AC141" s="33"/>
      <c r="AD141" s="37"/>
      <c r="AE141" s="37"/>
    </row>
    <row r="142" spans="2:31" x14ac:dyDescent="0.2">
      <c r="B142" s="1"/>
      <c r="G142" s="1"/>
      <c r="H142" s="36"/>
      <c r="I142" s="40"/>
      <c r="J142" s="4"/>
      <c r="K142" s="3"/>
      <c r="L142" s="3"/>
      <c r="R142" s="4"/>
      <c r="S142" s="4"/>
      <c r="T142" s="32"/>
      <c r="U142" s="37"/>
      <c r="V142" s="37"/>
      <c r="W142" s="33"/>
      <c r="X142" s="37"/>
      <c r="Y142" s="37"/>
      <c r="Z142" s="32"/>
      <c r="AA142" s="37"/>
      <c r="AB142" s="37"/>
      <c r="AC142" s="33"/>
      <c r="AD142" s="37"/>
      <c r="AE142" s="37"/>
    </row>
    <row r="143" spans="2:31" x14ac:dyDescent="0.2">
      <c r="B143" s="1"/>
      <c r="G143" s="1"/>
      <c r="H143" s="36"/>
      <c r="I143" s="40"/>
      <c r="J143" s="4"/>
      <c r="K143" s="3"/>
      <c r="L143" s="3"/>
      <c r="R143" s="4"/>
      <c r="S143" s="4"/>
      <c r="T143" s="32"/>
      <c r="U143" s="37"/>
      <c r="V143" s="37"/>
      <c r="W143" s="33"/>
      <c r="X143" s="37"/>
      <c r="Y143" s="37"/>
      <c r="Z143" s="32"/>
      <c r="AA143" s="37"/>
      <c r="AB143" s="37"/>
      <c r="AC143" s="33"/>
      <c r="AD143" s="37"/>
      <c r="AE143" s="37"/>
    </row>
    <row r="144" spans="2:31" x14ac:dyDescent="0.2">
      <c r="B144" s="1"/>
      <c r="G144" s="1"/>
      <c r="H144" s="36"/>
      <c r="I144" s="40"/>
      <c r="J144" s="4"/>
      <c r="K144" s="3"/>
      <c r="L144" s="3"/>
      <c r="R144" s="4"/>
      <c r="S144" s="4"/>
      <c r="T144" s="32"/>
      <c r="U144" s="37"/>
      <c r="V144" s="37"/>
      <c r="W144" s="33"/>
      <c r="X144" s="37"/>
      <c r="Y144" s="37"/>
      <c r="Z144" s="32"/>
      <c r="AA144" s="37"/>
      <c r="AB144" s="37"/>
      <c r="AC144" s="33"/>
      <c r="AD144" s="37"/>
      <c r="AE144" s="37"/>
    </row>
    <row r="145" spans="2:31" x14ac:dyDescent="0.2">
      <c r="B145" s="1"/>
      <c r="G145" s="1"/>
      <c r="H145" s="36"/>
      <c r="I145" s="40"/>
      <c r="J145" s="4"/>
      <c r="K145" s="3"/>
      <c r="L145" s="3"/>
      <c r="R145" s="4"/>
      <c r="S145" s="4"/>
      <c r="T145" s="32"/>
      <c r="U145" s="37"/>
      <c r="V145" s="37"/>
      <c r="W145" s="33"/>
      <c r="X145" s="37"/>
      <c r="Y145" s="37"/>
      <c r="Z145" s="32"/>
      <c r="AA145" s="37"/>
      <c r="AB145" s="37"/>
      <c r="AC145" s="33"/>
      <c r="AD145" s="37"/>
      <c r="AE145" s="37"/>
    </row>
    <row r="146" spans="2:31" x14ac:dyDescent="0.2">
      <c r="B146" s="1"/>
      <c r="G146" s="1"/>
      <c r="H146" s="36"/>
      <c r="I146" s="40"/>
      <c r="J146" s="4"/>
      <c r="K146" s="3"/>
      <c r="L146" s="3"/>
      <c r="R146" s="4"/>
      <c r="S146" s="4"/>
      <c r="T146" s="32"/>
      <c r="U146" s="37"/>
      <c r="V146" s="37"/>
      <c r="W146" s="33"/>
      <c r="X146" s="37"/>
      <c r="Y146" s="37"/>
      <c r="Z146" s="32"/>
      <c r="AA146" s="37"/>
      <c r="AB146" s="37"/>
      <c r="AC146" s="33"/>
      <c r="AD146" s="37"/>
      <c r="AE146" s="37"/>
    </row>
    <row r="147" spans="2:31" x14ac:dyDescent="0.2">
      <c r="B147" s="1"/>
      <c r="G147" s="1"/>
      <c r="H147" s="36"/>
      <c r="I147" s="40"/>
      <c r="J147" s="4"/>
      <c r="K147" s="3"/>
      <c r="L147" s="3"/>
      <c r="R147" s="4"/>
      <c r="S147" s="4"/>
      <c r="T147" s="32"/>
      <c r="U147" s="37"/>
      <c r="V147" s="37"/>
      <c r="W147" s="33"/>
      <c r="X147" s="37"/>
      <c r="Y147" s="37"/>
      <c r="Z147" s="32"/>
      <c r="AA147" s="37"/>
      <c r="AB147" s="37"/>
      <c r="AC147" s="33"/>
      <c r="AD147" s="37"/>
      <c r="AE147" s="37"/>
    </row>
    <row r="148" spans="2:31" x14ac:dyDescent="0.2">
      <c r="B148" s="1"/>
      <c r="G148" s="1"/>
      <c r="H148" s="36"/>
      <c r="I148" s="40"/>
      <c r="J148" s="4"/>
      <c r="K148" s="3"/>
      <c r="L148" s="3"/>
      <c r="R148" s="4"/>
      <c r="S148" s="4"/>
      <c r="T148" s="32"/>
      <c r="U148" s="37"/>
      <c r="V148" s="37"/>
      <c r="W148" s="33"/>
      <c r="X148" s="37"/>
      <c r="Y148" s="37"/>
      <c r="Z148" s="32"/>
      <c r="AA148" s="37"/>
      <c r="AB148" s="37"/>
      <c r="AC148" s="33"/>
      <c r="AD148" s="37"/>
      <c r="AE148" s="37"/>
    </row>
    <row r="149" spans="2:31" x14ac:dyDescent="0.2">
      <c r="B149" s="1"/>
      <c r="G149" s="1"/>
      <c r="H149" s="36"/>
      <c r="I149" s="40"/>
      <c r="J149" s="4"/>
      <c r="K149" s="3"/>
      <c r="L149" s="3"/>
      <c r="R149" s="4"/>
      <c r="S149" s="4"/>
      <c r="T149" s="32"/>
      <c r="U149" s="37"/>
      <c r="V149" s="37"/>
      <c r="W149" s="33"/>
      <c r="X149" s="37"/>
      <c r="Y149" s="37"/>
      <c r="Z149" s="32"/>
      <c r="AA149" s="37"/>
      <c r="AB149" s="37"/>
      <c r="AC149" s="33"/>
      <c r="AD149" s="37"/>
      <c r="AE149" s="37"/>
    </row>
    <row r="150" spans="2:31" x14ac:dyDescent="0.2">
      <c r="B150" s="1"/>
      <c r="G150" s="1"/>
      <c r="H150" s="36"/>
      <c r="I150" s="40"/>
      <c r="J150" s="4"/>
      <c r="K150" s="3"/>
      <c r="L150" s="3"/>
      <c r="R150" s="4"/>
      <c r="S150" s="4"/>
      <c r="T150" s="32"/>
      <c r="U150" s="37"/>
      <c r="V150" s="37"/>
      <c r="W150" s="33"/>
      <c r="X150" s="37"/>
      <c r="Y150" s="37"/>
      <c r="Z150" s="32"/>
      <c r="AA150" s="37"/>
      <c r="AB150" s="37"/>
      <c r="AC150" s="33"/>
      <c r="AD150" s="37"/>
      <c r="AE150" s="37"/>
    </row>
    <row r="151" spans="2:31" x14ac:dyDescent="0.2">
      <c r="B151" s="1"/>
      <c r="G151" s="1"/>
      <c r="H151" s="36"/>
      <c r="I151" s="40"/>
      <c r="J151" s="4"/>
      <c r="K151" s="3"/>
      <c r="L151" s="3"/>
      <c r="R151" s="4"/>
      <c r="S151" s="4"/>
      <c r="T151" s="32"/>
      <c r="U151" s="37"/>
      <c r="V151" s="37"/>
      <c r="W151" s="33"/>
      <c r="X151" s="37"/>
      <c r="Y151" s="37"/>
      <c r="Z151" s="32"/>
      <c r="AA151" s="37"/>
      <c r="AB151" s="37"/>
      <c r="AC151" s="33"/>
      <c r="AD151" s="37"/>
      <c r="AE151" s="37"/>
    </row>
    <row r="152" spans="2:31" x14ac:dyDescent="0.2">
      <c r="B152" s="1"/>
      <c r="G152" s="1"/>
      <c r="H152" s="36"/>
      <c r="I152" s="40"/>
      <c r="J152" s="4"/>
      <c r="K152" s="3"/>
      <c r="L152" s="3"/>
      <c r="R152" s="4"/>
      <c r="S152" s="4"/>
      <c r="T152" s="32"/>
      <c r="U152" s="37"/>
      <c r="V152" s="37"/>
      <c r="W152" s="33"/>
      <c r="X152" s="37"/>
      <c r="Y152" s="37"/>
      <c r="Z152" s="32"/>
      <c r="AA152" s="37"/>
      <c r="AB152" s="37"/>
      <c r="AC152" s="33"/>
      <c r="AD152" s="37"/>
      <c r="AE152" s="37"/>
    </row>
    <row r="153" spans="2:31" x14ac:dyDescent="0.2">
      <c r="B153" s="1"/>
      <c r="G153" s="1"/>
      <c r="H153" s="36"/>
      <c r="I153" s="40"/>
      <c r="J153" s="4"/>
      <c r="K153" s="3"/>
      <c r="L153" s="3"/>
      <c r="R153" s="4"/>
      <c r="S153" s="4"/>
      <c r="T153" s="32"/>
      <c r="U153" s="37"/>
      <c r="V153" s="37"/>
      <c r="W153" s="33"/>
      <c r="X153" s="37"/>
      <c r="Y153" s="37"/>
      <c r="Z153" s="32"/>
      <c r="AA153" s="37"/>
      <c r="AB153" s="37"/>
      <c r="AC153" s="33"/>
      <c r="AD153" s="37"/>
      <c r="AE153" s="37"/>
    </row>
    <row r="154" spans="2:31" x14ac:dyDescent="0.2">
      <c r="B154" s="1"/>
      <c r="G154" s="1"/>
      <c r="H154" s="36"/>
      <c r="I154" s="40"/>
      <c r="J154" s="4"/>
      <c r="K154" s="3"/>
      <c r="L154" s="3"/>
      <c r="R154" s="4"/>
      <c r="S154" s="4"/>
      <c r="T154" s="32"/>
      <c r="U154" s="37"/>
      <c r="V154" s="37"/>
      <c r="W154" s="33"/>
      <c r="X154" s="37"/>
      <c r="Y154" s="37"/>
      <c r="Z154" s="32"/>
      <c r="AA154" s="37"/>
      <c r="AB154" s="37"/>
      <c r="AC154" s="33"/>
      <c r="AD154" s="37"/>
      <c r="AE154" s="37"/>
    </row>
    <row r="155" spans="2:31" x14ac:dyDescent="0.2">
      <c r="B155" s="1"/>
      <c r="G155" s="1"/>
      <c r="H155" s="36"/>
      <c r="I155" s="40"/>
      <c r="J155" s="4"/>
      <c r="K155" s="3"/>
      <c r="L155" s="3"/>
      <c r="R155" s="4"/>
      <c r="S155" s="4"/>
      <c r="T155" s="32"/>
      <c r="U155" s="37"/>
      <c r="V155" s="37"/>
      <c r="W155" s="33"/>
      <c r="X155" s="37"/>
      <c r="Y155" s="37"/>
      <c r="Z155" s="32"/>
      <c r="AA155" s="37"/>
      <c r="AB155" s="37"/>
      <c r="AC155" s="33"/>
      <c r="AD155" s="37"/>
      <c r="AE155" s="37"/>
    </row>
    <row r="156" spans="2:31" x14ac:dyDescent="0.2">
      <c r="B156" s="1"/>
      <c r="G156" s="1"/>
      <c r="H156" s="36"/>
      <c r="I156" s="40"/>
      <c r="J156" s="4"/>
      <c r="K156" s="3"/>
      <c r="L156" s="3"/>
      <c r="R156" s="4"/>
      <c r="S156" s="4"/>
      <c r="T156" s="32"/>
      <c r="U156" s="37"/>
      <c r="V156" s="37"/>
      <c r="W156" s="33"/>
      <c r="X156" s="37"/>
      <c r="Y156" s="37"/>
      <c r="Z156" s="32"/>
      <c r="AA156" s="37"/>
      <c r="AB156" s="37"/>
      <c r="AC156" s="33"/>
      <c r="AD156" s="37"/>
      <c r="AE156" s="37"/>
    </row>
    <row r="157" spans="2:31" x14ac:dyDescent="0.2">
      <c r="B157" s="1"/>
      <c r="G157" s="1"/>
      <c r="H157" s="36"/>
      <c r="I157" s="40"/>
      <c r="J157" s="4"/>
      <c r="K157" s="3"/>
      <c r="L157" s="3"/>
      <c r="R157" s="4"/>
      <c r="S157" s="4"/>
      <c r="T157" s="32"/>
      <c r="U157" s="37"/>
      <c r="V157" s="37"/>
      <c r="W157" s="33"/>
      <c r="X157" s="37"/>
      <c r="Y157" s="37"/>
      <c r="Z157" s="32"/>
      <c r="AA157" s="37"/>
      <c r="AB157" s="37"/>
      <c r="AC157" s="33"/>
      <c r="AD157" s="37"/>
      <c r="AE157" s="37"/>
    </row>
    <row r="158" spans="2:31" x14ac:dyDescent="0.2">
      <c r="B158" s="1"/>
      <c r="G158" s="1"/>
      <c r="H158" s="36"/>
      <c r="I158" s="40"/>
      <c r="J158" s="4"/>
      <c r="K158" s="3"/>
      <c r="L158" s="3"/>
      <c r="R158" s="4"/>
      <c r="S158" s="4"/>
      <c r="T158" s="32"/>
      <c r="U158" s="37"/>
      <c r="V158" s="37"/>
      <c r="W158" s="33"/>
      <c r="X158" s="37"/>
      <c r="Y158" s="37"/>
      <c r="Z158" s="32"/>
      <c r="AA158" s="37"/>
      <c r="AB158" s="37"/>
      <c r="AC158" s="33"/>
      <c r="AD158" s="37"/>
      <c r="AE158" s="37"/>
    </row>
    <row r="159" spans="2:31" x14ac:dyDescent="0.2">
      <c r="B159" s="1"/>
      <c r="G159" s="1"/>
      <c r="H159" s="36"/>
      <c r="I159" s="40"/>
      <c r="J159" s="4"/>
      <c r="K159" s="3"/>
      <c r="L159" s="3"/>
      <c r="R159" s="4"/>
      <c r="S159" s="4"/>
      <c r="T159" s="32"/>
      <c r="U159" s="37"/>
      <c r="V159" s="37"/>
      <c r="W159" s="33"/>
      <c r="X159" s="37"/>
      <c r="Y159" s="37"/>
      <c r="Z159" s="32"/>
      <c r="AA159" s="37"/>
      <c r="AB159" s="37"/>
      <c r="AC159" s="33"/>
      <c r="AD159" s="37"/>
      <c r="AE159" s="37"/>
    </row>
    <row r="160" spans="2:31" x14ac:dyDescent="0.2">
      <c r="B160" s="1"/>
      <c r="G160" s="1"/>
      <c r="H160" s="36"/>
      <c r="I160" s="40"/>
      <c r="J160" s="4"/>
      <c r="K160" s="3"/>
      <c r="L160" s="3"/>
      <c r="R160" s="4"/>
      <c r="S160" s="4"/>
      <c r="T160" s="32"/>
      <c r="U160" s="37"/>
      <c r="V160" s="37"/>
      <c r="W160" s="33"/>
      <c r="X160" s="37"/>
      <c r="Y160" s="37"/>
      <c r="Z160" s="32"/>
      <c r="AA160" s="37"/>
      <c r="AB160" s="37"/>
      <c r="AC160" s="33"/>
      <c r="AD160" s="37"/>
      <c r="AE160" s="37"/>
    </row>
    <row r="161" spans="2:31" x14ac:dyDescent="0.2">
      <c r="B161" s="1"/>
      <c r="G161" s="1"/>
      <c r="H161" s="36"/>
      <c r="I161" s="40"/>
      <c r="J161" s="4"/>
      <c r="K161" s="3"/>
      <c r="L161" s="3"/>
      <c r="R161" s="4"/>
      <c r="S161" s="4"/>
      <c r="T161" s="32"/>
      <c r="U161" s="37"/>
      <c r="V161" s="37"/>
      <c r="W161" s="33"/>
      <c r="X161" s="37"/>
      <c r="Y161" s="37"/>
      <c r="Z161" s="32"/>
      <c r="AA161" s="37"/>
      <c r="AB161" s="37"/>
      <c r="AC161" s="33"/>
      <c r="AD161" s="37"/>
      <c r="AE161" s="37"/>
    </row>
    <row r="162" spans="2:31" x14ac:dyDescent="0.2">
      <c r="B162" s="1"/>
      <c r="G162" s="1"/>
      <c r="H162" s="36"/>
      <c r="I162" s="40"/>
      <c r="J162" s="4"/>
      <c r="K162" s="3"/>
      <c r="L162" s="3"/>
      <c r="R162" s="4"/>
      <c r="S162" s="4"/>
      <c r="T162" s="32"/>
      <c r="U162" s="37"/>
      <c r="V162" s="37"/>
      <c r="W162" s="33"/>
      <c r="X162" s="37"/>
      <c r="Y162" s="37"/>
      <c r="Z162" s="32"/>
      <c r="AA162" s="37"/>
      <c r="AB162" s="37"/>
      <c r="AC162" s="33"/>
      <c r="AD162" s="37"/>
      <c r="AE162" s="37"/>
    </row>
    <row r="163" spans="2:31" x14ac:dyDescent="0.2">
      <c r="B163" s="1"/>
      <c r="G163" s="1"/>
      <c r="H163" s="36"/>
      <c r="I163" s="40"/>
      <c r="J163" s="4"/>
      <c r="K163" s="3"/>
      <c r="L163" s="3"/>
      <c r="R163" s="4"/>
      <c r="S163" s="4"/>
      <c r="T163" s="32"/>
      <c r="U163" s="37"/>
      <c r="V163" s="37"/>
      <c r="W163" s="33"/>
      <c r="X163" s="37"/>
      <c r="Y163" s="37"/>
      <c r="Z163" s="32"/>
      <c r="AA163" s="37"/>
      <c r="AB163" s="37"/>
      <c r="AC163" s="33"/>
      <c r="AD163" s="37"/>
      <c r="AE163" s="37"/>
    </row>
    <row r="164" spans="2:31" x14ac:dyDescent="0.2">
      <c r="B164" s="1"/>
      <c r="G164" s="1"/>
      <c r="H164" s="36"/>
      <c r="I164" s="40"/>
      <c r="J164" s="4"/>
      <c r="K164" s="3"/>
      <c r="L164" s="3"/>
      <c r="R164" s="4"/>
      <c r="S164" s="4"/>
      <c r="T164" s="32"/>
      <c r="U164" s="37"/>
      <c r="V164" s="37"/>
      <c r="W164" s="33"/>
      <c r="X164" s="37"/>
      <c r="Y164" s="37"/>
      <c r="Z164" s="32"/>
      <c r="AA164" s="37"/>
      <c r="AB164" s="37"/>
      <c r="AC164" s="33"/>
      <c r="AD164" s="37"/>
      <c r="AE164" s="37"/>
    </row>
    <row r="165" spans="2:31" x14ac:dyDescent="0.2">
      <c r="B165" s="1"/>
      <c r="G165" s="1"/>
      <c r="H165" s="36"/>
      <c r="I165" s="40"/>
      <c r="J165" s="4"/>
      <c r="K165" s="3"/>
      <c r="L165" s="3"/>
      <c r="R165" s="4"/>
      <c r="S165" s="4"/>
      <c r="T165" s="32"/>
      <c r="U165" s="37"/>
      <c r="V165" s="37"/>
      <c r="W165" s="33"/>
      <c r="X165" s="37"/>
      <c r="Y165" s="37"/>
      <c r="Z165" s="32"/>
      <c r="AA165" s="37"/>
      <c r="AB165" s="37"/>
      <c r="AC165" s="33"/>
      <c r="AD165" s="37"/>
      <c r="AE165" s="37"/>
    </row>
    <row r="166" spans="2:31" x14ac:dyDescent="0.2">
      <c r="B166" s="1"/>
      <c r="G166" s="1"/>
      <c r="H166" s="36"/>
      <c r="I166" s="40"/>
      <c r="J166" s="4"/>
      <c r="K166" s="3"/>
      <c r="L166" s="3"/>
      <c r="R166" s="4"/>
      <c r="S166" s="4"/>
      <c r="T166" s="32"/>
      <c r="U166" s="37"/>
      <c r="V166" s="37"/>
      <c r="W166" s="33"/>
      <c r="X166" s="37"/>
      <c r="Y166" s="37"/>
      <c r="Z166" s="32"/>
      <c r="AA166" s="37"/>
      <c r="AB166" s="37"/>
      <c r="AC166" s="33"/>
      <c r="AD166" s="37"/>
      <c r="AE166" s="37"/>
    </row>
    <row r="167" spans="2:31" x14ac:dyDescent="0.2">
      <c r="B167" s="1"/>
      <c r="G167" s="1"/>
      <c r="H167" s="36"/>
      <c r="I167" s="40"/>
      <c r="J167" s="4"/>
      <c r="K167" s="3"/>
      <c r="L167" s="3"/>
      <c r="R167" s="4"/>
      <c r="S167" s="4"/>
      <c r="T167" s="32"/>
      <c r="U167" s="37"/>
      <c r="V167" s="37"/>
      <c r="W167" s="33"/>
      <c r="X167" s="37"/>
      <c r="Y167" s="37"/>
      <c r="Z167" s="32"/>
      <c r="AA167" s="37"/>
      <c r="AB167" s="37"/>
      <c r="AC167" s="33"/>
      <c r="AD167" s="37"/>
      <c r="AE167" s="37"/>
    </row>
    <row r="168" spans="2:31" x14ac:dyDescent="0.2">
      <c r="B168" s="1"/>
      <c r="G168" s="1"/>
      <c r="H168" s="36"/>
      <c r="I168" s="40"/>
      <c r="J168" s="4"/>
      <c r="K168" s="3"/>
      <c r="L168" s="3"/>
      <c r="R168" s="4"/>
      <c r="S168" s="4"/>
      <c r="T168" s="32"/>
      <c r="U168" s="37"/>
      <c r="V168" s="37"/>
      <c r="W168" s="33"/>
      <c r="X168" s="37"/>
      <c r="Y168" s="37"/>
      <c r="Z168" s="32"/>
      <c r="AA168" s="37"/>
      <c r="AB168" s="37"/>
      <c r="AC168" s="33"/>
      <c r="AD168" s="37"/>
      <c r="AE168" s="37"/>
    </row>
    <row r="169" spans="2:31" x14ac:dyDescent="0.2">
      <c r="B169" s="1"/>
      <c r="G169" s="1"/>
      <c r="H169" s="36"/>
      <c r="I169" s="40"/>
      <c r="J169" s="4"/>
      <c r="K169" s="3"/>
      <c r="L169" s="3"/>
      <c r="R169" s="4"/>
      <c r="S169" s="4"/>
      <c r="T169" s="32"/>
      <c r="U169" s="37"/>
      <c r="V169" s="37"/>
      <c r="W169" s="33"/>
      <c r="X169" s="37"/>
      <c r="Y169" s="37"/>
      <c r="Z169" s="32"/>
      <c r="AA169" s="37"/>
      <c r="AB169" s="37"/>
      <c r="AC169" s="33"/>
      <c r="AD169" s="37"/>
      <c r="AE169" s="37"/>
    </row>
    <row r="170" spans="2:31" x14ac:dyDescent="0.2">
      <c r="B170" s="1"/>
      <c r="G170" s="1"/>
      <c r="H170" s="36"/>
      <c r="I170" s="40"/>
      <c r="J170" s="4"/>
      <c r="K170" s="3"/>
      <c r="L170" s="3"/>
      <c r="R170" s="4"/>
      <c r="S170" s="4"/>
      <c r="T170" s="32"/>
      <c r="U170" s="37"/>
      <c r="V170" s="37"/>
      <c r="W170" s="33"/>
      <c r="X170" s="37"/>
      <c r="Y170" s="37"/>
      <c r="Z170" s="32"/>
      <c r="AA170" s="37"/>
      <c r="AB170" s="37"/>
      <c r="AC170" s="33"/>
      <c r="AD170" s="37"/>
      <c r="AE170" s="37"/>
    </row>
    <row r="171" spans="2:31" x14ac:dyDescent="0.2">
      <c r="B171" s="1"/>
      <c r="G171" s="1"/>
      <c r="H171" s="36"/>
      <c r="I171" s="40"/>
      <c r="J171" s="4"/>
      <c r="K171" s="3"/>
      <c r="L171" s="3"/>
      <c r="R171" s="4"/>
      <c r="S171" s="4"/>
      <c r="T171" s="32"/>
      <c r="U171" s="37"/>
      <c r="V171" s="37"/>
      <c r="W171" s="33"/>
      <c r="X171" s="37"/>
      <c r="Y171" s="37"/>
      <c r="Z171" s="32"/>
      <c r="AA171" s="37"/>
      <c r="AB171" s="37"/>
      <c r="AC171" s="33"/>
      <c r="AD171" s="37"/>
      <c r="AE171" s="37"/>
    </row>
    <row r="172" spans="2:31" x14ac:dyDescent="0.2">
      <c r="B172" s="1"/>
      <c r="G172" s="1"/>
      <c r="H172" s="36"/>
      <c r="I172" s="40"/>
      <c r="J172" s="4"/>
      <c r="K172" s="3"/>
      <c r="L172" s="3"/>
      <c r="R172" s="4"/>
      <c r="S172" s="4"/>
      <c r="T172" s="32"/>
      <c r="U172" s="37"/>
      <c r="V172" s="37"/>
      <c r="W172" s="33"/>
      <c r="X172" s="37"/>
      <c r="Y172" s="37"/>
      <c r="Z172" s="32"/>
      <c r="AA172" s="37"/>
      <c r="AB172" s="37"/>
      <c r="AC172" s="33"/>
      <c r="AD172" s="37"/>
      <c r="AE172" s="37"/>
    </row>
    <row r="173" spans="2:31" x14ac:dyDescent="0.2">
      <c r="B173" s="1"/>
      <c r="G173" s="1"/>
      <c r="H173" s="36"/>
      <c r="I173" s="40"/>
      <c r="J173" s="4"/>
      <c r="K173" s="3"/>
      <c r="L173" s="3"/>
      <c r="R173" s="4"/>
      <c r="S173" s="4"/>
      <c r="T173" s="32"/>
      <c r="U173" s="37"/>
      <c r="V173" s="37"/>
      <c r="W173" s="33"/>
      <c r="X173" s="37"/>
      <c r="Y173" s="37"/>
      <c r="Z173" s="32"/>
      <c r="AA173" s="37"/>
      <c r="AB173" s="37"/>
      <c r="AC173" s="33"/>
      <c r="AD173" s="37"/>
      <c r="AE173" s="37"/>
    </row>
    <row r="174" spans="2:31" x14ac:dyDescent="0.2">
      <c r="B174" s="1"/>
      <c r="G174" s="1"/>
      <c r="H174" s="36"/>
      <c r="I174" s="40"/>
      <c r="J174" s="4"/>
      <c r="K174" s="3"/>
      <c r="L174" s="3"/>
      <c r="R174" s="4"/>
      <c r="S174" s="4"/>
      <c r="T174" s="32"/>
      <c r="U174" s="37"/>
      <c r="V174" s="37"/>
      <c r="W174" s="33"/>
      <c r="X174" s="37"/>
      <c r="Y174" s="37"/>
      <c r="Z174" s="32"/>
      <c r="AA174" s="37"/>
      <c r="AB174" s="37"/>
      <c r="AC174" s="33"/>
      <c r="AD174" s="37"/>
      <c r="AE174" s="37"/>
    </row>
    <row r="175" spans="2:31" x14ac:dyDescent="0.2">
      <c r="B175" s="1"/>
      <c r="G175" s="1"/>
      <c r="H175" s="36"/>
      <c r="I175" s="40"/>
      <c r="J175" s="4"/>
      <c r="K175" s="3"/>
      <c r="L175" s="3"/>
      <c r="R175" s="4"/>
      <c r="S175" s="4"/>
      <c r="T175" s="32"/>
      <c r="U175" s="37"/>
      <c r="V175" s="37"/>
      <c r="W175" s="33"/>
      <c r="X175" s="37"/>
      <c r="Y175" s="37"/>
      <c r="Z175" s="32"/>
      <c r="AA175" s="37"/>
      <c r="AB175" s="37"/>
      <c r="AC175" s="33"/>
      <c r="AD175" s="37"/>
      <c r="AE175" s="37"/>
    </row>
    <row r="176" spans="2:31" x14ac:dyDescent="0.2">
      <c r="B176" s="1"/>
      <c r="G176" s="1"/>
      <c r="H176" s="36"/>
      <c r="I176" s="40"/>
      <c r="J176" s="4"/>
      <c r="K176" s="3"/>
      <c r="L176" s="3"/>
      <c r="R176" s="4"/>
      <c r="S176" s="4"/>
      <c r="T176" s="32"/>
      <c r="U176" s="37"/>
      <c r="V176" s="37"/>
      <c r="W176" s="33"/>
      <c r="X176" s="37"/>
      <c r="Y176" s="37"/>
      <c r="Z176" s="32"/>
      <c r="AA176" s="37"/>
      <c r="AB176" s="37"/>
      <c r="AC176" s="33"/>
      <c r="AD176" s="37"/>
      <c r="AE176" s="37"/>
    </row>
    <row r="177" spans="2:31" x14ac:dyDescent="0.2">
      <c r="B177" s="1"/>
      <c r="G177" s="1"/>
      <c r="H177" s="36"/>
      <c r="I177" s="40"/>
      <c r="J177" s="4"/>
      <c r="K177" s="3"/>
      <c r="L177" s="3"/>
      <c r="R177" s="4"/>
      <c r="S177" s="4"/>
      <c r="T177" s="32"/>
      <c r="U177" s="37"/>
      <c r="V177" s="37"/>
      <c r="W177" s="33"/>
      <c r="X177" s="37"/>
      <c r="Y177" s="37"/>
      <c r="Z177" s="32"/>
      <c r="AA177" s="37"/>
      <c r="AB177" s="37"/>
      <c r="AC177" s="33"/>
      <c r="AD177" s="37"/>
      <c r="AE177" s="37"/>
    </row>
    <row r="178" spans="2:31" x14ac:dyDescent="0.2">
      <c r="B178" s="1"/>
      <c r="G178" s="1"/>
      <c r="H178" s="36"/>
      <c r="I178" s="40"/>
      <c r="J178" s="4"/>
      <c r="K178" s="3"/>
      <c r="L178" s="3"/>
      <c r="R178" s="4"/>
      <c r="S178" s="4"/>
      <c r="T178" s="32"/>
      <c r="U178" s="37"/>
      <c r="V178" s="37"/>
      <c r="W178" s="33"/>
      <c r="X178" s="37"/>
      <c r="Y178" s="37"/>
      <c r="Z178" s="32"/>
      <c r="AA178" s="37"/>
      <c r="AB178" s="37"/>
      <c r="AC178" s="33"/>
      <c r="AD178" s="37"/>
      <c r="AE178" s="37"/>
    </row>
    <row r="179" spans="2:31" x14ac:dyDescent="0.2">
      <c r="B179" s="1"/>
      <c r="G179" s="1"/>
      <c r="H179" s="36"/>
      <c r="I179" s="40"/>
      <c r="J179" s="4"/>
      <c r="K179" s="3"/>
      <c r="L179" s="3"/>
      <c r="R179" s="4"/>
      <c r="S179" s="4"/>
      <c r="T179" s="32"/>
      <c r="U179" s="37"/>
      <c r="V179" s="37"/>
      <c r="W179" s="33"/>
      <c r="X179" s="37"/>
      <c r="Y179" s="37"/>
      <c r="Z179" s="32"/>
      <c r="AA179" s="37"/>
      <c r="AB179" s="37"/>
      <c r="AC179" s="33"/>
      <c r="AD179" s="37"/>
      <c r="AE179" s="37"/>
    </row>
    <row r="180" spans="2:31" x14ac:dyDescent="0.2">
      <c r="B180" s="1"/>
      <c r="G180" s="1"/>
      <c r="H180" s="36"/>
      <c r="I180" s="40"/>
      <c r="J180" s="4"/>
      <c r="K180" s="3"/>
      <c r="L180" s="3"/>
      <c r="R180" s="4"/>
      <c r="S180" s="4"/>
      <c r="T180" s="32"/>
      <c r="U180" s="37"/>
      <c r="V180" s="37"/>
      <c r="W180" s="33"/>
      <c r="X180" s="37"/>
      <c r="Y180" s="37"/>
      <c r="Z180" s="32"/>
      <c r="AA180" s="37"/>
      <c r="AB180" s="37"/>
      <c r="AC180" s="33"/>
      <c r="AD180" s="37"/>
      <c r="AE180" s="37"/>
    </row>
    <row r="181" spans="2:31" x14ac:dyDescent="0.2">
      <c r="B181" s="1"/>
      <c r="G181" s="1"/>
      <c r="H181" s="36"/>
      <c r="I181" s="40"/>
      <c r="J181" s="4"/>
      <c r="K181" s="3"/>
      <c r="L181" s="3"/>
      <c r="R181" s="4"/>
      <c r="S181" s="4"/>
      <c r="T181" s="32"/>
      <c r="U181" s="37"/>
      <c r="V181" s="37"/>
      <c r="W181" s="33"/>
      <c r="X181" s="37"/>
      <c r="Y181" s="37"/>
      <c r="Z181" s="32"/>
      <c r="AA181" s="37"/>
      <c r="AB181" s="37"/>
      <c r="AC181" s="33"/>
      <c r="AD181" s="37"/>
      <c r="AE181" s="37"/>
    </row>
    <row r="182" spans="2:31" x14ac:dyDescent="0.2">
      <c r="B182" s="1"/>
      <c r="G182" s="1"/>
      <c r="H182" s="36"/>
      <c r="I182" s="40"/>
      <c r="J182" s="4"/>
      <c r="K182" s="3"/>
      <c r="L182" s="3"/>
      <c r="R182" s="4"/>
      <c r="S182" s="4"/>
      <c r="T182" s="32"/>
      <c r="U182" s="37"/>
      <c r="V182" s="37"/>
      <c r="W182" s="33"/>
      <c r="X182" s="37"/>
      <c r="Y182" s="37"/>
      <c r="Z182" s="32"/>
      <c r="AA182" s="37"/>
      <c r="AB182" s="37"/>
      <c r="AC182" s="33"/>
      <c r="AD182" s="37"/>
      <c r="AE182" s="37"/>
    </row>
    <row r="183" spans="2:31" x14ac:dyDescent="0.2">
      <c r="B183" s="1"/>
      <c r="G183" s="1"/>
      <c r="H183" s="36"/>
      <c r="I183" s="40"/>
      <c r="J183" s="4"/>
      <c r="K183" s="3"/>
      <c r="L183" s="3"/>
      <c r="R183" s="4"/>
      <c r="S183" s="4"/>
      <c r="T183" s="32"/>
      <c r="U183" s="37"/>
      <c r="V183" s="37"/>
      <c r="W183" s="33"/>
      <c r="X183" s="37"/>
      <c r="Y183" s="37"/>
      <c r="Z183" s="32"/>
      <c r="AA183" s="37"/>
      <c r="AB183" s="37"/>
      <c r="AC183" s="33"/>
      <c r="AD183" s="37"/>
      <c r="AE183" s="37"/>
    </row>
    <row r="184" spans="2:31" x14ac:dyDescent="0.2">
      <c r="B184" s="1"/>
      <c r="G184" s="1"/>
      <c r="H184" s="36"/>
      <c r="I184" s="40"/>
      <c r="J184" s="4"/>
      <c r="K184" s="3"/>
      <c r="L184" s="3"/>
      <c r="R184" s="4"/>
      <c r="S184" s="4"/>
      <c r="T184" s="32"/>
      <c r="U184" s="37"/>
      <c r="V184" s="37"/>
      <c r="W184" s="33"/>
      <c r="X184" s="37"/>
      <c r="Y184" s="37"/>
      <c r="Z184" s="32"/>
      <c r="AA184" s="37"/>
      <c r="AB184" s="37"/>
      <c r="AC184" s="33"/>
      <c r="AD184" s="37"/>
      <c r="AE184" s="37"/>
    </row>
    <row r="185" spans="2:31" x14ac:dyDescent="0.2">
      <c r="B185" s="1"/>
      <c r="G185" s="1"/>
      <c r="H185" s="36"/>
      <c r="I185" s="40"/>
      <c r="J185" s="4"/>
      <c r="K185" s="3"/>
      <c r="L185" s="3"/>
      <c r="R185" s="4"/>
      <c r="S185" s="4"/>
      <c r="T185" s="32"/>
      <c r="U185" s="37"/>
      <c r="V185" s="37"/>
      <c r="W185" s="33"/>
      <c r="X185" s="37"/>
      <c r="Y185" s="37"/>
      <c r="Z185" s="32"/>
      <c r="AA185" s="37"/>
      <c r="AB185" s="37"/>
      <c r="AC185" s="33"/>
      <c r="AD185" s="37"/>
      <c r="AE185" s="37"/>
    </row>
    <row r="186" spans="2:31" x14ac:dyDescent="0.2">
      <c r="B186" s="1"/>
      <c r="G186" s="1"/>
      <c r="H186" s="36"/>
      <c r="I186" s="40"/>
      <c r="J186" s="4"/>
      <c r="K186" s="3"/>
      <c r="L186" s="3"/>
      <c r="R186" s="4"/>
      <c r="S186" s="4"/>
      <c r="T186" s="32"/>
      <c r="U186" s="37"/>
      <c r="V186" s="37"/>
      <c r="W186" s="33"/>
      <c r="X186" s="37"/>
      <c r="Y186" s="37"/>
      <c r="Z186" s="32"/>
      <c r="AA186" s="37"/>
      <c r="AB186" s="37"/>
      <c r="AC186" s="33"/>
      <c r="AD186" s="37"/>
      <c r="AE186" s="37"/>
    </row>
    <row r="187" spans="2:31" x14ac:dyDescent="0.2">
      <c r="B187" s="1"/>
      <c r="G187" s="1"/>
      <c r="H187" s="36"/>
      <c r="I187" s="40"/>
      <c r="J187" s="4"/>
      <c r="K187" s="3"/>
      <c r="L187" s="3"/>
      <c r="R187" s="4"/>
      <c r="S187" s="4"/>
      <c r="T187" s="32"/>
      <c r="U187" s="37"/>
      <c r="V187" s="37"/>
      <c r="W187" s="33"/>
      <c r="X187" s="37"/>
      <c r="Y187" s="37"/>
      <c r="Z187" s="32"/>
      <c r="AA187" s="37"/>
      <c r="AB187" s="37"/>
      <c r="AC187" s="33"/>
      <c r="AD187" s="37"/>
      <c r="AE187" s="37"/>
    </row>
    <row r="188" spans="2:31" x14ac:dyDescent="0.2">
      <c r="B188" s="1"/>
      <c r="G188" s="1"/>
      <c r="H188" s="36"/>
      <c r="I188" s="40"/>
      <c r="J188" s="4"/>
      <c r="K188" s="3"/>
      <c r="L188" s="3"/>
      <c r="R188" s="4"/>
      <c r="S188" s="4"/>
      <c r="T188" s="32"/>
      <c r="U188" s="37"/>
      <c r="V188" s="37"/>
      <c r="W188" s="33"/>
      <c r="X188" s="37"/>
      <c r="Y188" s="37"/>
      <c r="Z188" s="32"/>
      <c r="AA188" s="37"/>
      <c r="AB188" s="37"/>
      <c r="AC188" s="33"/>
      <c r="AD188" s="37"/>
      <c r="AE188" s="37"/>
    </row>
    <row r="189" spans="2:31" x14ac:dyDescent="0.2">
      <c r="B189" s="1"/>
      <c r="G189" s="1"/>
      <c r="H189" s="36"/>
      <c r="I189" s="40"/>
      <c r="J189" s="4"/>
      <c r="K189" s="3"/>
      <c r="L189" s="3"/>
      <c r="R189" s="4"/>
      <c r="S189" s="4"/>
      <c r="T189" s="32"/>
      <c r="U189" s="37"/>
      <c r="V189" s="37"/>
      <c r="W189" s="33"/>
      <c r="X189" s="37"/>
      <c r="Y189" s="37"/>
      <c r="Z189" s="32"/>
      <c r="AA189" s="37"/>
      <c r="AB189" s="37"/>
      <c r="AC189" s="33"/>
      <c r="AD189" s="37"/>
      <c r="AE189" s="37"/>
    </row>
    <row r="190" spans="2:31" x14ac:dyDescent="0.2">
      <c r="B190" s="1"/>
      <c r="G190" s="1"/>
      <c r="H190" s="36"/>
      <c r="I190" s="40"/>
      <c r="J190" s="4"/>
      <c r="K190" s="3"/>
      <c r="L190" s="3"/>
      <c r="R190" s="4"/>
      <c r="S190" s="4"/>
      <c r="T190" s="32"/>
      <c r="U190" s="37"/>
      <c r="V190" s="37"/>
      <c r="W190" s="33"/>
      <c r="X190" s="37"/>
      <c r="Y190" s="37"/>
      <c r="Z190" s="32"/>
      <c r="AA190" s="37"/>
      <c r="AB190" s="37"/>
      <c r="AC190" s="33"/>
      <c r="AD190" s="37"/>
      <c r="AE190" s="37"/>
    </row>
    <row r="191" spans="2:31" x14ac:dyDescent="0.2">
      <c r="B191" s="1"/>
      <c r="G191" s="1"/>
      <c r="H191" s="36"/>
      <c r="I191" s="40"/>
      <c r="J191" s="4"/>
      <c r="K191" s="3"/>
      <c r="L191" s="3"/>
      <c r="R191" s="4"/>
      <c r="S191" s="4"/>
      <c r="T191" s="32"/>
      <c r="U191" s="37"/>
      <c r="V191" s="37"/>
      <c r="W191" s="33"/>
      <c r="X191" s="37"/>
      <c r="Y191" s="37"/>
      <c r="Z191" s="32"/>
      <c r="AA191" s="37"/>
      <c r="AB191" s="37"/>
      <c r="AC191" s="33"/>
      <c r="AD191" s="37"/>
      <c r="AE191" s="37"/>
    </row>
    <row r="192" spans="2:31" x14ac:dyDescent="0.2">
      <c r="B192" s="1"/>
      <c r="G192" s="1"/>
      <c r="H192" s="36"/>
      <c r="I192" s="40"/>
      <c r="J192" s="4"/>
      <c r="K192" s="3"/>
      <c r="L192" s="3"/>
      <c r="R192" s="4"/>
      <c r="S192" s="4"/>
      <c r="T192" s="32"/>
      <c r="U192" s="37"/>
      <c r="V192" s="37"/>
      <c r="W192" s="33"/>
      <c r="X192" s="37"/>
      <c r="Y192" s="37"/>
      <c r="Z192" s="32"/>
      <c r="AA192" s="37"/>
      <c r="AB192" s="37"/>
      <c r="AC192" s="33"/>
      <c r="AD192" s="37"/>
      <c r="AE192" s="37"/>
    </row>
    <row r="193" spans="2:31" x14ac:dyDescent="0.2">
      <c r="B193" s="1"/>
      <c r="G193" s="1"/>
      <c r="H193" s="36"/>
      <c r="I193" s="40"/>
      <c r="J193" s="4"/>
      <c r="K193" s="3"/>
      <c r="L193" s="3"/>
      <c r="R193" s="4"/>
      <c r="S193" s="4"/>
      <c r="T193" s="32"/>
      <c r="U193" s="37"/>
      <c r="V193" s="37"/>
      <c r="W193" s="33"/>
      <c r="X193" s="37"/>
      <c r="Y193" s="37"/>
      <c r="Z193" s="32"/>
      <c r="AA193" s="37"/>
      <c r="AB193" s="37"/>
      <c r="AC193" s="33"/>
      <c r="AD193" s="37"/>
      <c r="AE193" s="37"/>
    </row>
    <row r="194" spans="2:31" x14ac:dyDescent="0.2">
      <c r="B194" s="1"/>
      <c r="G194" s="1"/>
      <c r="H194" s="36"/>
      <c r="I194" s="40"/>
      <c r="J194" s="4"/>
      <c r="K194" s="3"/>
      <c r="L194" s="3"/>
      <c r="R194" s="4"/>
      <c r="S194" s="4"/>
      <c r="T194" s="32"/>
      <c r="U194" s="37"/>
      <c r="V194" s="37"/>
      <c r="W194" s="33"/>
      <c r="X194" s="37"/>
      <c r="Y194" s="37"/>
      <c r="Z194" s="32"/>
      <c r="AA194" s="37"/>
      <c r="AB194" s="37"/>
      <c r="AC194" s="33"/>
      <c r="AD194" s="37"/>
      <c r="AE194" s="37"/>
    </row>
    <row r="195" spans="2:31" x14ac:dyDescent="0.2">
      <c r="B195" s="1"/>
      <c r="G195" s="1"/>
      <c r="H195" s="36"/>
      <c r="I195" s="40"/>
      <c r="J195" s="4"/>
      <c r="K195" s="3"/>
      <c r="L195" s="3"/>
      <c r="R195" s="4"/>
      <c r="S195" s="4"/>
      <c r="T195" s="32"/>
      <c r="U195" s="37"/>
      <c r="V195" s="37"/>
      <c r="W195" s="33"/>
      <c r="X195" s="37"/>
      <c r="Y195" s="37"/>
      <c r="Z195" s="32"/>
      <c r="AA195" s="37"/>
      <c r="AB195" s="37"/>
      <c r="AC195" s="33"/>
      <c r="AD195" s="37"/>
      <c r="AE195" s="37"/>
    </row>
    <row r="196" spans="2:31" x14ac:dyDescent="0.2">
      <c r="B196" s="1"/>
      <c r="G196" s="1"/>
      <c r="H196" s="36"/>
      <c r="I196" s="40"/>
      <c r="J196" s="4"/>
      <c r="K196" s="3"/>
      <c r="L196" s="3"/>
      <c r="R196" s="4"/>
      <c r="S196" s="4"/>
      <c r="T196" s="32"/>
      <c r="U196" s="37"/>
      <c r="V196" s="37"/>
      <c r="W196" s="33"/>
      <c r="X196" s="37"/>
      <c r="Y196" s="37"/>
      <c r="Z196" s="32"/>
      <c r="AA196" s="37"/>
      <c r="AB196" s="37"/>
      <c r="AC196" s="33"/>
      <c r="AD196" s="37"/>
      <c r="AE196" s="37"/>
    </row>
    <row r="197" spans="2:31" x14ac:dyDescent="0.2">
      <c r="B197" s="1"/>
      <c r="G197" s="1"/>
      <c r="H197" s="36"/>
      <c r="I197" s="40"/>
      <c r="J197" s="4"/>
      <c r="K197" s="3"/>
      <c r="L197" s="3"/>
      <c r="R197" s="4"/>
      <c r="S197" s="4"/>
      <c r="T197" s="32"/>
      <c r="U197" s="37"/>
      <c r="V197" s="37"/>
      <c r="W197" s="33"/>
      <c r="X197" s="37"/>
      <c r="Y197" s="37"/>
      <c r="Z197" s="32"/>
      <c r="AA197" s="37"/>
      <c r="AB197" s="37"/>
      <c r="AC197" s="33"/>
      <c r="AD197" s="37"/>
      <c r="AE197" s="37"/>
    </row>
    <row r="198" spans="2:31" x14ac:dyDescent="0.2">
      <c r="B198" s="1"/>
      <c r="G198" s="1"/>
      <c r="H198" s="36"/>
      <c r="I198" s="40"/>
      <c r="J198" s="4"/>
      <c r="K198" s="3"/>
      <c r="L198" s="3"/>
      <c r="R198" s="4"/>
      <c r="S198" s="4"/>
      <c r="T198" s="32"/>
      <c r="U198" s="37"/>
      <c r="V198" s="37"/>
      <c r="W198" s="33"/>
      <c r="X198" s="37"/>
      <c r="Y198" s="37"/>
      <c r="Z198" s="32"/>
      <c r="AA198" s="37"/>
      <c r="AB198" s="37"/>
      <c r="AC198" s="33"/>
      <c r="AD198" s="37"/>
      <c r="AE198" s="37"/>
    </row>
    <row r="199" spans="2:31" x14ac:dyDescent="0.2">
      <c r="B199" s="1"/>
      <c r="G199" s="1"/>
      <c r="H199" s="36"/>
      <c r="I199" s="40"/>
      <c r="J199" s="4"/>
      <c r="K199" s="3"/>
      <c r="L199" s="3"/>
      <c r="R199" s="4"/>
      <c r="S199" s="4"/>
      <c r="T199" s="32"/>
      <c r="U199" s="37"/>
      <c r="V199" s="37"/>
      <c r="W199" s="33"/>
      <c r="X199" s="37"/>
      <c r="Y199" s="37"/>
      <c r="Z199" s="32"/>
      <c r="AA199" s="37"/>
      <c r="AB199" s="37"/>
      <c r="AC199" s="33"/>
      <c r="AD199" s="37"/>
      <c r="AE199" s="37"/>
    </row>
    <row r="200" spans="2:31" x14ac:dyDescent="0.2">
      <c r="B200" s="1"/>
      <c r="G200" s="1"/>
      <c r="H200" s="36"/>
      <c r="I200" s="40"/>
      <c r="J200" s="4"/>
      <c r="K200" s="3"/>
      <c r="L200" s="3"/>
      <c r="R200" s="4"/>
      <c r="S200" s="4"/>
      <c r="T200" s="32"/>
      <c r="U200" s="37"/>
      <c r="V200" s="37"/>
      <c r="W200" s="33"/>
      <c r="X200" s="37"/>
      <c r="Y200" s="37"/>
      <c r="Z200" s="32"/>
      <c r="AA200" s="37"/>
      <c r="AB200" s="37"/>
      <c r="AC200" s="33"/>
      <c r="AD200" s="37"/>
      <c r="AE200" s="37"/>
    </row>
    <row r="201" spans="2:31" x14ac:dyDescent="0.2">
      <c r="B201" s="1"/>
      <c r="G201" s="1"/>
      <c r="H201" s="36"/>
      <c r="I201" s="40"/>
      <c r="J201" s="4"/>
      <c r="K201" s="3"/>
      <c r="L201" s="3"/>
      <c r="R201" s="4"/>
      <c r="S201" s="4"/>
      <c r="T201" s="32"/>
      <c r="U201" s="37"/>
      <c r="V201" s="37"/>
      <c r="W201" s="33"/>
      <c r="X201" s="37"/>
      <c r="Y201" s="37"/>
      <c r="Z201" s="32"/>
      <c r="AA201" s="37"/>
      <c r="AB201" s="37"/>
      <c r="AC201" s="33"/>
      <c r="AD201" s="37"/>
      <c r="AE201" s="37"/>
    </row>
    <row r="202" spans="2:31" x14ac:dyDescent="0.2">
      <c r="B202" s="1"/>
      <c r="G202" s="1"/>
      <c r="H202" s="36"/>
      <c r="I202" s="40"/>
      <c r="J202" s="4"/>
      <c r="K202" s="3"/>
      <c r="L202" s="3"/>
      <c r="R202" s="4"/>
      <c r="S202" s="4"/>
      <c r="T202" s="32"/>
      <c r="U202" s="37"/>
      <c r="V202" s="37"/>
      <c r="W202" s="33"/>
      <c r="X202" s="37"/>
      <c r="Y202" s="37"/>
      <c r="Z202" s="32"/>
      <c r="AA202" s="37"/>
      <c r="AB202" s="37"/>
      <c r="AC202" s="33"/>
      <c r="AD202" s="37"/>
      <c r="AE202" s="37"/>
    </row>
    <row r="203" spans="2:31" x14ac:dyDescent="0.2">
      <c r="B203" s="1"/>
      <c r="G203" s="1"/>
      <c r="H203" s="36"/>
      <c r="I203" s="40"/>
      <c r="J203" s="4"/>
      <c r="K203" s="3"/>
      <c r="L203" s="3"/>
      <c r="R203" s="4"/>
      <c r="S203" s="4"/>
      <c r="T203" s="32"/>
      <c r="U203" s="37"/>
      <c r="V203" s="37"/>
      <c r="W203" s="33"/>
      <c r="X203" s="37"/>
      <c r="Y203" s="37"/>
      <c r="Z203" s="32"/>
      <c r="AA203" s="37"/>
      <c r="AB203" s="37"/>
      <c r="AC203" s="33"/>
      <c r="AD203" s="37"/>
      <c r="AE203" s="37"/>
    </row>
    <row r="204" spans="2:31" x14ac:dyDescent="0.2">
      <c r="B204" s="1"/>
      <c r="G204" s="1"/>
      <c r="H204" s="36"/>
      <c r="I204" s="40"/>
      <c r="J204" s="4"/>
      <c r="K204" s="3"/>
      <c r="L204" s="3"/>
      <c r="R204" s="4"/>
      <c r="S204" s="4"/>
      <c r="T204" s="32"/>
      <c r="U204" s="37"/>
      <c r="V204" s="37"/>
      <c r="W204" s="33"/>
      <c r="X204" s="37"/>
      <c r="Y204" s="37"/>
      <c r="Z204" s="32"/>
      <c r="AA204" s="37"/>
      <c r="AB204" s="37"/>
      <c r="AC204" s="33"/>
      <c r="AD204" s="37"/>
      <c r="AE204" s="37"/>
    </row>
    <row r="205" spans="2:31" x14ac:dyDescent="0.2">
      <c r="B205" s="1"/>
      <c r="G205" s="1"/>
      <c r="H205" s="36"/>
      <c r="I205" s="40"/>
      <c r="J205" s="4"/>
      <c r="K205" s="3"/>
      <c r="L205" s="3"/>
      <c r="R205" s="4"/>
      <c r="S205" s="4"/>
      <c r="T205" s="32"/>
      <c r="U205" s="37"/>
      <c r="V205" s="37"/>
      <c r="W205" s="33"/>
      <c r="X205" s="37"/>
      <c r="Y205" s="37"/>
      <c r="Z205" s="32"/>
      <c r="AA205" s="37"/>
      <c r="AB205" s="37"/>
      <c r="AC205" s="33"/>
      <c r="AD205" s="37"/>
      <c r="AE205" s="37"/>
    </row>
    <row r="206" spans="2:31" x14ac:dyDescent="0.2">
      <c r="B206" s="1"/>
      <c r="G206" s="1"/>
      <c r="H206" s="36"/>
      <c r="I206" s="40"/>
      <c r="J206" s="4"/>
      <c r="K206" s="3"/>
      <c r="L206" s="3"/>
      <c r="R206" s="4"/>
      <c r="S206" s="4"/>
      <c r="T206" s="32"/>
      <c r="U206" s="37"/>
      <c r="V206" s="37"/>
      <c r="W206" s="33"/>
      <c r="X206" s="37"/>
      <c r="Y206" s="37"/>
      <c r="Z206" s="32"/>
      <c r="AA206" s="37"/>
      <c r="AB206" s="37"/>
      <c r="AC206" s="33"/>
      <c r="AD206" s="37"/>
      <c r="AE206" s="37"/>
    </row>
    <row r="207" spans="2:31" x14ac:dyDescent="0.2">
      <c r="B207" s="1"/>
      <c r="G207" s="1"/>
      <c r="H207" s="36"/>
      <c r="I207" s="40"/>
      <c r="J207" s="4"/>
      <c r="K207" s="3"/>
      <c r="L207" s="3"/>
      <c r="R207" s="4"/>
      <c r="S207" s="4"/>
      <c r="T207" s="32"/>
      <c r="U207" s="37"/>
      <c r="V207" s="37"/>
      <c r="W207" s="33"/>
      <c r="X207" s="37"/>
      <c r="Y207" s="37"/>
      <c r="Z207" s="32"/>
      <c r="AA207" s="37"/>
      <c r="AB207" s="37"/>
      <c r="AC207" s="33"/>
      <c r="AD207" s="37"/>
      <c r="AE207" s="37"/>
    </row>
    <row r="208" spans="2:31" x14ac:dyDescent="0.2">
      <c r="B208" s="1"/>
      <c r="G208" s="1"/>
      <c r="H208" s="36"/>
      <c r="I208" s="40"/>
      <c r="J208" s="4"/>
      <c r="K208" s="3"/>
      <c r="L208" s="3"/>
      <c r="R208" s="4"/>
      <c r="S208" s="4"/>
      <c r="T208" s="32"/>
      <c r="U208" s="37"/>
      <c r="V208" s="37"/>
      <c r="W208" s="33"/>
      <c r="X208" s="37"/>
      <c r="Y208" s="37"/>
      <c r="Z208" s="32"/>
      <c r="AA208" s="37"/>
      <c r="AB208" s="37"/>
      <c r="AC208" s="33"/>
      <c r="AD208" s="37"/>
      <c r="AE208" s="37"/>
    </row>
    <row r="209" spans="2:31" x14ac:dyDescent="0.2">
      <c r="B209" s="1"/>
      <c r="G209" s="1"/>
      <c r="H209" s="36"/>
      <c r="I209" s="40"/>
      <c r="J209" s="4"/>
      <c r="K209" s="3"/>
      <c r="L209" s="3"/>
      <c r="R209" s="4"/>
      <c r="S209" s="4"/>
      <c r="T209" s="32"/>
      <c r="U209" s="37"/>
      <c r="V209" s="37"/>
      <c r="W209" s="33"/>
      <c r="X209" s="37"/>
      <c r="Y209" s="37"/>
      <c r="Z209" s="32"/>
      <c r="AA209" s="37"/>
      <c r="AB209" s="37"/>
      <c r="AC209" s="33"/>
      <c r="AD209" s="37"/>
      <c r="AE209" s="37"/>
    </row>
    <row r="210" spans="2:31" x14ac:dyDescent="0.2">
      <c r="B210" s="1"/>
      <c r="G210" s="1"/>
      <c r="H210" s="36"/>
      <c r="I210" s="40"/>
      <c r="J210" s="4"/>
      <c r="K210" s="3"/>
      <c r="L210" s="3"/>
      <c r="R210" s="4"/>
      <c r="S210" s="4"/>
      <c r="T210" s="32"/>
      <c r="U210" s="37"/>
      <c r="V210" s="37"/>
      <c r="W210" s="33"/>
      <c r="X210" s="37"/>
      <c r="Y210" s="37"/>
      <c r="Z210" s="32"/>
      <c r="AA210" s="37"/>
      <c r="AB210" s="37"/>
      <c r="AC210" s="33"/>
      <c r="AD210" s="37"/>
      <c r="AE210" s="37"/>
    </row>
    <row r="211" spans="2:31" x14ac:dyDescent="0.2">
      <c r="B211" s="1"/>
      <c r="G211" s="1"/>
      <c r="H211" s="36"/>
      <c r="I211" s="40"/>
      <c r="J211" s="4"/>
      <c r="K211" s="3"/>
      <c r="L211" s="3"/>
      <c r="R211" s="4"/>
      <c r="S211" s="4"/>
      <c r="T211" s="32"/>
      <c r="U211" s="37"/>
      <c r="V211" s="37"/>
      <c r="W211" s="33"/>
      <c r="X211" s="37"/>
      <c r="Y211" s="37"/>
      <c r="Z211" s="32"/>
      <c r="AA211" s="37"/>
      <c r="AB211" s="37"/>
      <c r="AC211" s="33"/>
      <c r="AD211" s="37"/>
      <c r="AE211" s="37"/>
    </row>
    <row r="212" spans="2:31" x14ac:dyDescent="0.2">
      <c r="B212" s="1"/>
      <c r="G212" s="1"/>
      <c r="H212" s="36"/>
      <c r="I212" s="40"/>
      <c r="J212" s="4"/>
      <c r="K212" s="3"/>
      <c r="L212" s="3"/>
      <c r="R212" s="4"/>
      <c r="S212" s="4"/>
      <c r="T212" s="32"/>
      <c r="U212" s="37"/>
      <c r="V212" s="37"/>
      <c r="W212" s="33"/>
      <c r="X212" s="37"/>
      <c r="Y212" s="37"/>
      <c r="Z212" s="32"/>
      <c r="AA212" s="37"/>
      <c r="AB212" s="37"/>
      <c r="AC212" s="33"/>
      <c r="AD212" s="37"/>
      <c r="AE212" s="37"/>
    </row>
    <row r="213" spans="2:31" x14ac:dyDescent="0.2">
      <c r="B213" s="1"/>
      <c r="G213" s="1"/>
      <c r="H213" s="36"/>
      <c r="I213" s="40"/>
      <c r="J213" s="4"/>
      <c r="K213" s="3"/>
      <c r="L213" s="3"/>
      <c r="R213" s="4"/>
      <c r="S213" s="4"/>
      <c r="T213" s="32"/>
      <c r="U213" s="37"/>
      <c r="V213" s="37"/>
      <c r="W213" s="33"/>
      <c r="X213" s="37"/>
      <c r="Y213" s="37"/>
      <c r="Z213" s="32"/>
      <c r="AA213" s="37"/>
      <c r="AB213" s="37"/>
      <c r="AC213" s="33"/>
      <c r="AD213" s="37"/>
      <c r="AE213" s="37"/>
    </row>
    <row r="214" spans="2:31" x14ac:dyDescent="0.2">
      <c r="B214" s="1"/>
      <c r="G214" s="1"/>
      <c r="H214" s="36"/>
      <c r="I214" s="40"/>
      <c r="J214" s="4"/>
      <c r="K214" s="3"/>
      <c r="L214" s="3"/>
      <c r="R214" s="4"/>
      <c r="S214" s="4"/>
      <c r="T214" s="32"/>
      <c r="U214" s="37"/>
      <c r="V214" s="37"/>
      <c r="W214" s="33"/>
      <c r="X214" s="37"/>
      <c r="Y214" s="37"/>
      <c r="Z214" s="32"/>
      <c r="AA214" s="37"/>
      <c r="AB214" s="37"/>
      <c r="AC214" s="33"/>
      <c r="AD214" s="37"/>
      <c r="AE214" s="37"/>
    </row>
    <row r="215" spans="2:31" x14ac:dyDescent="0.2">
      <c r="B215" s="1"/>
      <c r="G215" s="1"/>
      <c r="H215" s="36"/>
      <c r="I215" s="40"/>
      <c r="J215" s="4"/>
      <c r="K215" s="3"/>
      <c r="L215" s="3"/>
      <c r="R215" s="4"/>
      <c r="S215" s="4"/>
      <c r="T215" s="32"/>
      <c r="U215" s="37"/>
      <c r="V215" s="37"/>
      <c r="W215" s="33"/>
      <c r="X215" s="37"/>
      <c r="Y215" s="37"/>
      <c r="Z215" s="32"/>
      <c r="AA215" s="37"/>
      <c r="AB215" s="37"/>
      <c r="AC215" s="33"/>
      <c r="AD215" s="37"/>
      <c r="AE215" s="37"/>
    </row>
    <row r="216" spans="2:31" x14ac:dyDescent="0.2">
      <c r="B216" s="1"/>
      <c r="G216" s="1"/>
      <c r="H216" s="36"/>
      <c r="I216" s="40"/>
      <c r="J216" s="4"/>
      <c r="K216" s="3"/>
      <c r="L216" s="3"/>
      <c r="R216" s="4"/>
      <c r="S216" s="4"/>
      <c r="T216" s="32"/>
      <c r="U216" s="37"/>
      <c r="V216" s="37"/>
      <c r="W216" s="33"/>
      <c r="X216" s="37"/>
      <c r="Y216" s="37"/>
      <c r="Z216" s="32"/>
      <c r="AA216" s="37"/>
      <c r="AB216" s="37"/>
      <c r="AC216" s="33"/>
      <c r="AD216" s="37"/>
      <c r="AE216" s="37"/>
    </row>
    <row r="217" spans="2:31" x14ac:dyDescent="0.2">
      <c r="B217" s="1"/>
      <c r="G217" s="1"/>
      <c r="H217" s="36"/>
      <c r="I217" s="40"/>
      <c r="J217" s="4"/>
      <c r="K217" s="3"/>
      <c r="L217" s="3"/>
      <c r="R217" s="4"/>
      <c r="S217" s="4"/>
      <c r="T217" s="32"/>
      <c r="U217" s="37"/>
      <c r="V217" s="37"/>
      <c r="W217" s="33"/>
      <c r="X217" s="37"/>
      <c r="Y217" s="37"/>
      <c r="Z217" s="32"/>
      <c r="AA217" s="37"/>
      <c r="AB217" s="37"/>
      <c r="AC217" s="33"/>
      <c r="AD217" s="37"/>
      <c r="AE217" s="37"/>
    </row>
    <row r="218" spans="2:31" x14ac:dyDescent="0.2">
      <c r="B218" s="1"/>
      <c r="G218" s="1"/>
      <c r="H218" s="36"/>
      <c r="I218" s="40"/>
      <c r="J218" s="4"/>
      <c r="K218" s="3"/>
      <c r="L218" s="3"/>
      <c r="R218" s="4"/>
      <c r="S218" s="4"/>
      <c r="T218" s="32"/>
      <c r="U218" s="37"/>
      <c r="V218" s="37"/>
      <c r="W218" s="33"/>
      <c r="X218" s="37"/>
      <c r="Y218" s="37"/>
      <c r="Z218" s="32"/>
      <c r="AA218" s="37"/>
      <c r="AB218" s="37"/>
      <c r="AC218" s="33"/>
      <c r="AD218" s="37"/>
      <c r="AE218" s="37"/>
    </row>
    <row r="219" spans="2:31" x14ac:dyDescent="0.2">
      <c r="B219" s="1"/>
      <c r="G219" s="1"/>
      <c r="H219" s="36"/>
      <c r="I219" s="40"/>
      <c r="J219" s="4"/>
      <c r="K219" s="3"/>
      <c r="L219" s="3"/>
      <c r="R219" s="4"/>
      <c r="S219" s="4"/>
      <c r="T219" s="32"/>
      <c r="U219" s="37"/>
      <c r="V219" s="37"/>
      <c r="W219" s="33"/>
      <c r="X219" s="37"/>
      <c r="Y219" s="37"/>
      <c r="Z219" s="32"/>
      <c r="AA219" s="37"/>
      <c r="AB219" s="37"/>
      <c r="AC219" s="33"/>
      <c r="AD219" s="37"/>
      <c r="AE219" s="37"/>
    </row>
    <row r="220" spans="2:31" x14ac:dyDescent="0.2">
      <c r="B220" s="1"/>
      <c r="G220" s="1"/>
      <c r="H220" s="36"/>
      <c r="I220" s="40"/>
      <c r="J220" s="4"/>
      <c r="K220" s="3"/>
      <c r="L220" s="3"/>
      <c r="R220" s="4"/>
      <c r="S220" s="4"/>
      <c r="T220" s="32"/>
      <c r="U220" s="37"/>
      <c r="V220" s="37"/>
      <c r="W220" s="33"/>
      <c r="X220" s="37"/>
      <c r="Y220" s="37"/>
      <c r="Z220" s="32"/>
      <c r="AA220" s="37"/>
      <c r="AB220" s="37"/>
      <c r="AC220" s="33"/>
      <c r="AD220" s="37"/>
      <c r="AE220" s="37"/>
    </row>
    <row r="221" spans="2:31" x14ac:dyDescent="0.2">
      <c r="B221" s="1"/>
      <c r="G221" s="1"/>
      <c r="H221" s="36"/>
      <c r="I221" s="40"/>
      <c r="J221" s="4"/>
      <c r="K221" s="3"/>
      <c r="L221" s="3"/>
      <c r="R221" s="4"/>
      <c r="S221" s="4"/>
      <c r="T221" s="32"/>
      <c r="U221" s="37"/>
      <c r="V221" s="37"/>
      <c r="W221" s="33"/>
      <c r="X221" s="37"/>
      <c r="Y221" s="37"/>
      <c r="Z221" s="32"/>
      <c r="AA221" s="37"/>
      <c r="AB221" s="37"/>
      <c r="AC221" s="33"/>
      <c r="AD221" s="37"/>
      <c r="AE221" s="37"/>
    </row>
    <row r="222" spans="2:31" x14ac:dyDescent="0.2">
      <c r="B222" s="1"/>
      <c r="G222" s="1"/>
      <c r="H222" s="36"/>
      <c r="I222" s="40"/>
      <c r="J222" s="4"/>
      <c r="K222" s="3"/>
      <c r="L222" s="3"/>
      <c r="R222" s="4"/>
      <c r="S222" s="4"/>
      <c r="T222" s="32"/>
      <c r="U222" s="37"/>
      <c r="V222" s="37"/>
      <c r="W222" s="33"/>
      <c r="X222" s="37"/>
      <c r="Y222" s="37"/>
      <c r="Z222" s="32"/>
      <c r="AA222" s="37"/>
      <c r="AB222" s="37"/>
      <c r="AC222" s="33"/>
      <c r="AD222" s="37"/>
      <c r="AE222" s="37"/>
    </row>
    <row r="223" spans="2:31" x14ac:dyDescent="0.2">
      <c r="B223" s="1"/>
      <c r="G223" s="1"/>
      <c r="H223" s="36"/>
      <c r="I223" s="40"/>
      <c r="J223" s="4"/>
      <c r="K223" s="3"/>
      <c r="L223" s="3"/>
      <c r="R223" s="4"/>
      <c r="S223" s="4"/>
      <c r="T223" s="32"/>
      <c r="U223" s="37"/>
      <c r="V223" s="37"/>
      <c r="W223" s="33"/>
      <c r="X223" s="37"/>
      <c r="Y223" s="37"/>
      <c r="Z223" s="32"/>
      <c r="AA223" s="37"/>
      <c r="AB223" s="37"/>
      <c r="AC223" s="33"/>
      <c r="AD223" s="37"/>
      <c r="AE223" s="37"/>
    </row>
    <row r="224" spans="2:31" x14ac:dyDescent="0.2">
      <c r="B224" s="1"/>
      <c r="G224" s="1"/>
      <c r="H224" s="36"/>
      <c r="I224" s="40"/>
      <c r="J224" s="4"/>
      <c r="K224" s="3"/>
      <c r="L224" s="3"/>
      <c r="R224" s="4"/>
      <c r="S224" s="4"/>
      <c r="T224" s="32"/>
      <c r="U224" s="37"/>
      <c r="V224" s="37"/>
      <c r="W224" s="33"/>
      <c r="X224" s="37"/>
      <c r="Y224" s="37"/>
      <c r="Z224" s="32"/>
      <c r="AA224" s="37"/>
      <c r="AB224" s="37"/>
      <c r="AC224" s="33"/>
      <c r="AD224" s="37"/>
      <c r="AE224" s="37"/>
    </row>
    <row r="225" spans="2:31" x14ac:dyDescent="0.2">
      <c r="B225" s="1"/>
      <c r="G225" s="1"/>
      <c r="H225" s="36"/>
      <c r="I225" s="40"/>
      <c r="J225" s="4"/>
      <c r="K225" s="3"/>
      <c r="L225" s="3"/>
      <c r="R225" s="4"/>
      <c r="S225" s="4"/>
      <c r="T225" s="32"/>
      <c r="U225" s="37"/>
      <c r="V225" s="37"/>
      <c r="W225" s="33"/>
      <c r="X225" s="37"/>
      <c r="Y225" s="37"/>
      <c r="Z225" s="32"/>
      <c r="AA225" s="37"/>
      <c r="AB225" s="37"/>
      <c r="AC225" s="33"/>
      <c r="AD225" s="37"/>
      <c r="AE225" s="37"/>
    </row>
    <row r="226" spans="2:31" x14ac:dyDescent="0.2">
      <c r="B226" s="1"/>
      <c r="G226" s="1"/>
      <c r="H226" s="36"/>
      <c r="I226" s="40"/>
      <c r="J226" s="4"/>
      <c r="K226" s="3"/>
      <c r="L226" s="3"/>
      <c r="R226" s="4"/>
      <c r="S226" s="4"/>
      <c r="T226" s="32"/>
      <c r="U226" s="37"/>
      <c r="V226" s="37"/>
      <c r="W226" s="33"/>
      <c r="X226" s="37"/>
      <c r="Y226" s="37"/>
      <c r="Z226" s="32"/>
      <c r="AA226" s="37"/>
      <c r="AB226" s="37"/>
      <c r="AC226" s="33"/>
      <c r="AD226" s="37"/>
      <c r="AE226" s="37"/>
    </row>
    <row r="227" spans="2:31" x14ac:dyDescent="0.2">
      <c r="B227" s="1"/>
      <c r="G227" s="1"/>
      <c r="H227" s="36"/>
      <c r="I227" s="40"/>
      <c r="J227" s="4"/>
      <c r="K227" s="3"/>
      <c r="L227" s="3"/>
      <c r="R227" s="4"/>
      <c r="S227" s="4"/>
      <c r="T227" s="32"/>
      <c r="U227" s="37"/>
      <c r="V227" s="37"/>
      <c r="W227" s="33"/>
      <c r="X227" s="37"/>
      <c r="Y227" s="37"/>
      <c r="Z227" s="32"/>
      <c r="AA227" s="37"/>
      <c r="AB227" s="37"/>
      <c r="AC227" s="33"/>
      <c r="AD227" s="37"/>
      <c r="AE227" s="37"/>
    </row>
    <row r="228" spans="2:31" x14ac:dyDescent="0.2">
      <c r="B228" s="1"/>
      <c r="G228" s="1"/>
      <c r="H228" s="36"/>
      <c r="I228" s="40"/>
      <c r="J228" s="4"/>
      <c r="K228" s="3"/>
      <c r="L228" s="3"/>
      <c r="R228" s="4"/>
      <c r="S228" s="4"/>
      <c r="T228" s="32"/>
      <c r="U228" s="37"/>
      <c r="V228" s="37"/>
      <c r="W228" s="33"/>
      <c r="X228" s="37"/>
      <c r="Y228" s="37"/>
      <c r="Z228" s="32"/>
      <c r="AA228" s="37"/>
      <c r="AB228" s="37"/>
      <c r="AC228" s="33"/>
      <c r="AD228" s="37"/>
      <c r="AE228" s="37"/>
    </row>
    <row r="229" spans="2:31" x14ac:dyDescent="0.2">
      <c r="B229" s="1"/>
      <c r="G229" s="1"/>
      <c r="H229" s="36"/>
      <c r="I229" s="40"/>
      <c r="J229" s="4"/>
      <c r="K229" s="3"/>
      <c r="L229" s="3"/>
      <c r="R229" s="4"/>
      <c r="S229" s="4"/>
      <c r="T229" s="32"/>
      <c r="U229" s="37"/>
      <c r="V229" s="37"/>
      <c r="W229" s="33"/>
      <c r="X229" s="37"/>
      <c r="Y229" s="37"/>
      <c r="Z229" s="32"/>
      <c r="AA229" s="37"/>
      <c r="AB229" s="37"/>
      <c r="AC229" s="33"/>
      <c r="AD229" s="37"/>
      <c r="AE229" s="37"/>
    </row>
  </sheetData>
  <sheetProtection sheet="1" formatCells="0" formatColumns="0" formatRows="0"/>
  <autoFilter ref="A1:AE66" xr:uid="{79EF5433-B5EB-6740-A07B-8D9F0DC750A7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4:AE66">
      <sortCondition descending="1" ref="G1:G67"/>
    </sortState>
  </autoFilter>
  <mergeCells count="21">
    <mergeCell ref="P1:P2"/>
    <mergeCell ref="R1:R2"/>
    <mergeCell ref="S1:S2"/>
    <mergeCell ref="T1:Y1"/>
    <mergeCell ref="Z1:AE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Z1 AF1:XFD1 A3:XFD1048576">
    <cfRule type="expression" dxfId="23" priority="25">
      <formula>IF($G1="17-21",1,0)</formula>
    </cfRule>
    <cfRule type="expression" dxfId="22" priority="26">
      <formula>IF($G1="15-16",1,0)</formula>
    </cfRule>
    <cfRule type="expression" dxfId="21" priority="27">
      <formula>IF($G1="13-14",1,0)</formula>
    </cfRule>
    <cfRule type="expression" dxfId="20" priority="28">
      <formula>IF($G1="11-12",1,0)</formula>
    </cfRule>
  </conditionalFormatting>
  <conditionalFormatting sqref="R1:S2">
    <cfRule type="expression" dxfId="19" priority="5">
      <formula>IF($G1="17-21",1,0)</formula>
    </cfRule>
    <cfRule type="expression" dxfId="18" priority="6">
      <formula>IF($G1="15-16",1,0)</formula>
    </cfRule>
    <cfRule type="expression" dxfId="17" priority="7">
      <formula>IF($G1="13-14",1,0)</formula>
    </cfRule>
    <cfRule type="expression" dxfId="1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F40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66" t="s">
        <v>162</v>
      </c>
      <c r="B1" s="66" t="s">
        <v>161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160</v>
      </c>
      <c r="R1" s="66" t="s">
        <v>390</v>
      </c>
      <c r="S1" s="66" t="s">
        <v>391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388</v>
      </c>
      <c r="W2" s="7" t="s">
        <v>6</v>
      </c>
      <c r="X2" s="7" t="s">
        <v>8</v>
      </c>
      <c r="Y2" s="7" t="s">
        <v>389</v>
      </c>
      <c r="Z2" s="8" t="s">
        <v>52</v>
      </c>
      <c r="AA2" s="7" t="s">
        <v>53</v>
      </c>
      <c r="AB2" s="7" t="s">
        <v>388</v>
      </c>
      <c r="AC2" s="7" t="s">
        <v>6</v>
      </c>
      <c r="AD2" s="7" t="s">
        <v>8</v>
      </c>
      <c r="AE2" s="7" t="s">
        <v>389</v>
      </c>
      <c r="AF2" s="8"/>
    </row>
    <row r="3" spans="1:32" ht="17" thickTop="1" x14ac:dyDescent="0.2">
      <c r="A3" s="1" t="str" cm="1">
        <f t="array" ref="A3">IF(I3="","",IF(P3&lt;&gt;"",SUMPRODUCT((P$3:P$26&lt;&gt;"")*(G$3:G$26=G3)*(J$3:J$26&gt;J3)*(I$3:I$26="P"))+1,IF(O3&lt;&gt;"",SUMPRODUCT((O$3:O$26&lt;&gt;"")*(P$3:P$26="")*(G$3:G$26=G3)*(J$3:J$26&gt;J3)*(I$3:I$26="P"))+SUMPRODUCT((P$3:P$26&lt;&gt;"")*(G$3:G$26=G3)*(I$3:I$26="P"))+1,IF(N3&lt;&gt;"",SUMPRODUCT((N$3:N$26&lt;&gt;"")*(G$3:G$26=G3)*(J$3:J$26&gt;J3)*(I$3:I$26="P"))+1,IF(M3="P",SUMPRODUCT((O$3:O$26&lt;&gt;"")*(P$3:P$26="")*(G$3:G$26=G3)*(I$3:I$26="P"))+SUMPRODUCT((P$3:P$26&lt;&gt;"")*(G$3:G$26=G3)*(I$3:I$26="P"))+SUMPRODUCT((N$3:N$26&lt;&gt;"")*(G$3:G$26=G3)*(I$3:I$26="P"))+SUMPRODUCT((P$3:P$26="")*(O$3:O$26="")*(N$3:N$26="")*(M$3:M$26="P")*(G$3:G$26=G3)*(J$3:J$26&gt;J3)*(I$3:I$26="P"))+IF(H3="L5",SUMPRODUCT((P$3:P$26="")*(O$3:O$26="")*(N$3:N$26="")*(M$3:M$26="P")*(G$3:G$26=G3)*(J$3:J$26&lt;J3)*(H$3:H$26&lt;&gt;H3)*(I$3:I$26="P")),-1*SUMPRODUCT((P$3:P$26="")*(O$3:O$26="")*(N$3:N$26="")*(M$3:M$26="P")*(G$3:G$26=G3)*(J$3:J$26&gt;J3)*(H$3:H$26="L5")*(I$3:I$26="P")))+1,"")))))</f>
        <v/>
      </c>
      <c r="B3" s="1" cm="1">
        <f t="array" ref="B3">IF(P3&lt;&gt;"",SUMPRODUCT((P$3:P$26&lt;&gt;"")*(G$3:G$26=G3)*(J$3:J$26&gt;J3))+1,IF(O3&lt;&gt;"",SUMPRODUCT((O$3:O$26&lt;&gt;"")*(P$3:P$26="")*(G$3:G$26=G3)*(J$3:J$26&gt;J3))+SUMPRODUCT((P$3:P$26&lt;&gt;"")*(G$3:G$26=G3))+1,IF(N3&lt;&gt;"",SUMPRODUCT((N$3:N$26&lt;&gt;"")*(G$3:G$26=G3)*(J$3:J$26&gt;J3))+1,IF(M3="P",SUMPRODUCT((O$3:O$26&lt;&gt;"")*(P$3:P$26="")*(G$3:G$26=G3))+SUMPRODUCT((P$3:P$26&lt;&gt;"")*(G$3:G$26=G3))+SUMPRODUCT((N$3:N$26&lt;&gt;"")*(G$3:G$26=G3))+SUMPRODUCT((P$3:P$26="")*(O$3:O$26="")*(N$3:N$26="")*(M$3:M$26="P")*(G$3:G$26=G3)*(J$3:J$26&gt;J3))+IF(H3="L5",SUMPRODUCT((P$3:P$26="")*(O$3:O$26="")*(N$3:N$26="")*(M$3:M$26="P")*(G$3:G$26=G3)*(J$3:J$26&lt;J3)*(H$3:H$26&lt;&gt;H3)),-1*SUMPRODUCT((P$3:P$26="")*(O$3:O$26="")*(N$3:N$26="")*(M$3:M$26="P")*(G$3:G$26=G3)*(J$3:J$26&gt;J3)*(H$3:H$26="L5")))+1,""))))</f>
        <v>1</v>
      </c>
      <c r="C3" s="35" t="s">
        <v>130</v>
      </c>
      <c r="D3" s="35" t="str">
        <f>IF(E3="","",VLOOKUP(E3,'Coaching Points'!A:B,2,0))</f>
        <v>ON</v>
      </c>
      <c r="E3" s="35" t="s">
        <v>131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72</v>
      </c>
      <c r="I3" s="40"/>
      <c r="J3" s="4">
        <f t="shared" ref="J3:J25" si="0">R3+IF(OR(H3="Junior",H3="Senior"),0.0002,IF(OR(H3="L7",H3="L6"),0.0001,0))+MAX(Z3,AC3)*0.0000001</f>
        <v>52.900199999999998</v>
      </c>
      <c r="K3" s="3" t="str">
        <f>IF(G3="Not Age Eligible","",IF(MAX(T3,W3,Z3,AC3)&gt;=LOOKUP(G3,'Qualifying Scores'!$A$4:$A$7,'Qualifying Scores'!$H$4:$H$7),"P",""))</f>
        <v>P</v>
      </c>
      <c r="L3" s="3" t="str">
        <f>IF(G3="Not Age Eligible","",IF(MAX(U3,X3,AA3,AD3)&gt;=LOOKUP(G3,'Qualifying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Scores'!$H$10:$H$13)),AND(Z3&gt;=LOOKUP(G3,'Qualifying Scores'!$A$4:$A$7,'Qualifying Scores'!$H$4:$H$7),AA3&gt;=LOOKUP(G3,'Qualifying Scores'!$A$10:$A$13,'Qualifying Scores'!$H$10:$H$13)),AND(W3&gt;=LOOKUP(G3,'Qualifying Scores'!$A$4:$A$7,'Qualifying Scores'!$H$4:$H$7),X3&gt;=LOOKUP(G3,'Qualifying Scores'!$A$10:$A$13,'Qualifying Scores'!$H$10:$H$13)),AND(AC3&gt;=LOOKUP(G3,'Qualifying Scores'!$A$4:$A$7,'Qualifying Scores'!$H$4:$H$7),AD3&gt;=LOOKUP(G3,'Qualifying Scores'!$A$10:$A$13,'Qualifying Scores'!$H$10:$H$13))),"P",""))</f>
        <v>P</v>
      </c>
      <c r="P3" s="36">
        <v>1</v>
      </c>
      <c r="Q3" s="1" t="str">
        <f t="shared" ref="Q3:Q25" si="1">IF(A3&lt;5,IF(_xlfn.MAXIFS(A:A,G:G,G3)&gt;3,5-A3,_xlfn.MAXIFS(A:A,G:G,G3)+1-A3),"")</f>
        <v/>
      </c>
      <c r="R3" s="4">
        <f t="shared" ref="R3:R25" si="2">MAX(T3-V3,W3-Y3,Z3-AB3,AC3-AE3)</f>
        <v>52.9</v>
      </c>
      <c r="S3" s="4">
        <f t="shared" ref="S3:S25" si="3">IF(R3=T3-V3,MAX(W3-Y3,Z3-AB3,AC3-AE3),IF(R3=W3-Y3,MAX(T3-V3,Z3-AB3,AC3-AE3),IF(R3=Z3-AB3,MAX(T3-V3,W3-Y3,AC3-AE3),IF(R3=AC3-AE3,MAX(T3-V3,W3-Y3,Z3-AB3),0))))</f>
        <v>51.7</v>
      </c>
      <c r="T3" s="32">
        <v>51.7</v>
      </c>
      <c r="U3" s="37">
        <v>14.7</v>
      </c>
      <c r="V3" s="37">
        <v>0</v>
      </c>
      <c r="W3" s="33">
        <v>52.9</v>
      </c>
      <c r="X3" s="37">
        <v>15.899999999999999</v>
      </c>
      <c r="Y3" s="37">
        <v>0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$26&lt;&gt;"")*(G$3:G$26=G4)*(J$3:J$26&gt;J4)*(I$3:I$26="P"))+1,IF(O4&lt;&gt;"",SUMPRODUCT((O$3:O$26&lt;&gt;"")*(P$3:P$26="")*(G$3:G$26=G4)*(J$3:J$26&gt;J4)*(I$3:I$26="P"))+SUMPRODUCT((P$3:P$26&lt;&gt;"")*(G$3:G$26=G4)*(I$3:I$26="P"))+1,IF(N4&lt;&gt;"",SUMPRODUCT((N$3:N$26&lt;&gt;"")*(G$3:G$26=G4)*(J$3:J$26&gt;J4)*(I$3:I$26="P"))+1,IF(M4="P",SUMPRODUCT((O$3:O$26&lt;&gt;"")*(P$3:P$26="")*(G$3:G$26=G4)*(I$3:I$26="P"))+SUMPRODUCT((P$3:P$26&lt;&gt;"")*(G$3:G$26=G4)*(I$3:I$26="P"))+SUMPRODUCT((N$3:N$26&lt;&gt;"")*(G$3:G$26=G4)*(I$3:I$26="P"))+SUMPRODUCT((P$3:P$26="")*(O$3:O$26="")*(N$3:N$26="")*(M$3:M$26="P")*(G$3:G$26=G4)*(J$3:J$26&gt;J4)*(I$3:I$26="P"))+IF(H4="L5",SUMPRODUCT((P$3:P$26="")*(O$3:O$26="")*(N$3:N$26="")*(M$3:M$26="P")*(G$3:G$26=G4)*(J$3:J$26&lt;J4)*(H$3:H$26&lt;&gt;H4)*(I$3:I$26="P")),-1*SUMPRODUCT((P$3:P$26="")*(O$3:O$26="")*(N$3:N$26="")*(M$3:M$26="P")*(G$3:G$26=G4)*(J$3:J$26&gt;J4)*(H$3:H$26="L5")*(I$3:I$26="P")))+1,"")))))</f>
        <v/>
      </c>
      <c r="B4" s="1" cm="1">
        <f t="array" ref="B4">IF(P4&lt;&gt;"",SUMPRODUCT((P$3:P$26&lt;&gt;"")*(G$3:G$26=G4)*(J$3:J$26&gt;J4))+1,IF(O4&lt;&gt;"",SUMPRODUCT((O$3:O$26&lt;&gt;"")*(P$3:P$26="")*(G$3:G$26=G4)*(J$3:J$26&gt;J4))+SUMPRODUCT((P$3:P$26&lt;&gt;"")*(G$3:G$26=G4))+1,IF(N4&lt;&gt;"",SUMPRODUCT((N$3:N$26&lt;&gt;"")*(G$3:G$26=G4)*(J$3:J$26&gt;J4))+1,IF(M4="P",SUMPRODUCT((O$3:O$26&lt;&gt;"")*(P$3:P$26="")*(G$3:G$26=G4))+SUMPRODUCT((P$3:P$26&lt;&gt;"")*(G$3:G$26=G4))+SUMPRODUCT((N$3:N$26&lt;&gt;"")*(G$3:G$26=G4))+SUMPRODUCT((P$3:P$26="")*(O$3:O$26="")*(N$3:N$26="")*(M$3:M$26="P")*(G$3:G$26=G4)*(J$3:J$26&gt;J4))+IF(H4="L5",SUMPRODUCT((P$3:P$26="")*(O$3:O$26="")*(N$3:N$26="")*(M$3:M$26="P")*(G$3:G$26=G4)*(J$3:J$26&lt;J4)*(H$3:H$26&lt;&gt;H4)),-1*SUMPRODUCT((P$3:P$26="")*(O$3:O$26="")*(N$3:N$26="")*(M$3:M$26="P")*(G$3:G$26=G4)*(J$3:J$26&gt;J4)*(H$3:H$26="L5")))+1,""))))</f>
        <v>2</v>
      </c>
      <c r="C4" s="35" t="s">
        <v>137</v>
      </c>
      <c r="D4" s="35" t="str">
        <f>IF(E4="","",VLOOKUP(E4,'Coaching Points'!A:B,2,0))</f>
        <v>ON</v>
      </c>
      <c r="E4" s="35" t="s">
        <v>131</v>
      </c>
      <c r="F4" s="34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72</v>
      </c>
      <c r="I4" s="40"/>
      <c r="J4" s="4">
        <f t="shared" si="0"/>
        <v>50.300199999999997</v>
      </c>
      <c r="K4" s="3" t="str">
        <f>IF(G4="Not Age Eligible","",IF(MAX(T4,W4,Z4,AC4)&gt;=LOOKUP(G4,'Qualifying Scores'!$A$4:$A$7,'Qualifying Scores'!$H$4:$H$7),"P",""))</f>
        <v>P</v>
      </c>
      <c r="L4" s="3" t="str">
        <f>IF(G4="Not Age Eligible","",IF(MAX(U4,X4,AA4,AD4)&gt;=LOOKUP(G4,'Qualifying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Scores'!$H$10:$H$13)),AND(Z4&gt;=LOOKUP(G4,'Qualifying Scores'!$A$4:$A$7,'Qualifying Scores'!$H$4:$H$7),AA4&gt;=LOOKUP(G4,'Qualifying Scores'!$A$10:$A$13,'Qualifying Scores'!$H$10:$H$13)),AND(W4&gt;=LOOKUP(G4,'Qualifying Scores'!$A$4:$A$7,'Qualifying Scores'!$H$4:$H$7),X4&gt;=LOOKUP(G4,'Qualifying Scores'!$A$10:$A$13,'Qualifying Scores'!$H$10:$H$13)),AND(AC4&gt;=LOOKUP(G4,'Qualifying Scores'!$A$4:$A$7,'Qualifying Scores'!$H$4:$H$7),AD4&gt;=LOOKUP(G4,'Qualifying Scores'!$A$10:$A$13,'Qualifying Scores'!$H$10:$H$13))),"P",""))</f>
        <v>P</v>
      </c>
      <c r="P4" s="36">
        <v>2</v>
      </c>
      <c r="Q4" s="1" t="str">
        <f t="shared" si="1"/>
        <v/>
      </c>
      <c r="R4" s="4">
        <f t="shared" si="2"/>
        <v>50.3</v>
      </c>
      <c r="S4" s="4">
        <f t="shared" si="3"/>
        <v>42.1</v>
      </c>
      <c r="T4" s="32">
        <v>42.1</v>
      </c>
      <c r="U4" s="37">
        <v>8.8000000000000007</v>
      </c>
      <c r="V4" s="37">
        <v>0</v>
      </c>
      <c r="W4" s="33">
        <v>50.3</v>
      </c>
      <c r="X4" s="37">
        <v>14.4</v>
      </c>
      <c r="Y4" s="37">
        <v>0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$26&lt;&gt;"")*(G$3:G$26=G5)*(J$3:J$26&gt;J5)*(I$3:I$26="P"))+1,IF(O5&lt;&gt;"",SUMPRODUCT((O$3:O$26&lt;&gt;"")*(P$3:P$26="")*(G$3:G$26=G5)*(J$3:J$26&gt;J5)*(I$3:I$26="P"))+SUMPRODUCT((P$3:P$26&lt;&gt;"")*(G$3:G$26=G5)*(I$3:I$26="P"))+1,IF(N5&lt;&gt;"",SUMPRODUCT((N$3:N$26&lt;&gt;"")*(G$3:G$26=G5)*(J$3:J$26&gt;J5)*(I$3:I$26="P"))+1,IF(M5="P",SUMPRODUCT((O$3:O$26&lt;&gt;"")*(P$3:P$26="")*(G$3:G$26=G5)*(I$3:I$26="P"))+SUMPRODUCT((P$3:P$26&lt;&gt;"")*(G$3:G$26=G5)*(I$3:I$26="P"))+SUMPRODUCT((N$3:N$26&lt;&gt;"")*(G$3:G$26=G5)*(I$3:I$26="P"))+SUMPRODUCT((P$3:P$26="")*(O$3:O$26="")*(N$3:N$26="")*(M$3:M$26="P")*(G$3:G$26=G5)*(J$3:J$26&gt;J5)*(I$3:I$26="P"))+IF(H5="L5",SUMPRODUCT((P$3:P$26="")*(O$3:O$26="")*(N$3:N$26="")*(M$3:M$26="P")*(G$3:G$26=G5)*(J$3:J$26&lt;J5)*(H$3:H$26&lt;&gt;H5)*(I$3:I$26="P")),-1*SUMPRODUCT((P$3:P$26="")*(O$3:O$26="")*(N$3:N$26="")*(M$3:M$26="P")*(G$3:G$26=G5)*(J$3:J$26&gt;J5)*(H$3:H$26="L5")*(I$3:I$26="P")))+1,"")))))</f>
        <v/>
      </c>
      <c r="B5" s="1" cm="1">
        <f t="array" ref="B5">IF(P5&lt;&gt;"",SUMPRODUCT((P$3:P$26&lt;&gt;"")*(G$3:G$26=G5)*(J$3:J$26&gt;J5))+1,IF(O5&lt;&gt;"",SUMPRODUCT((O$3:O$26&lt;&gt;"")*(P$3:P$26="")*(G$3:G$26=G5)*(J$3:J$26&gt;J5))+SUMPRODUCT((P$3:P$26&lt;&gt;"")*(G$3:G$26=G5))+1,IF(N5&lt;&gt;"",SUMPRODUCT((N$3:N$26&lt;&gt;"")*(G$3:G$26=G5)*(J$3:J$26&gt;J5))+1,IF(M5="P",SUMPRODUCT((O$3:O$26&lt;&gt;"")*(P$3:P$26="")*(G$3:G$26=G5))+SUMPRODUCT((P$3:P$26&lt;&gt;"")*(G$3:G$26=G5))+SUMPRODUCT((N$3:N$26&lt;&gt;"")*(G$3:G$26=G5))+SUMPRODUCT((P$3:P$26="")*(O$3:O$26="")*(N$3:N$26="")*(M$3:M$26="P")*(G$3:G$26=G5)*(J$3:J$26&gt;J5))+IF(H5="L5",SUMPRODUCT((P$3:P$26="")*(O$3:O$26="")*(N$3:N$26="")*(M$3:M$26="P")*(G$3:G$26=G5)*(J$3:J$26&lt;J5)*(H$3:H$26&lt;&gt;H5)),-1*SUMPRODUCT((P$3:P$26="")*(O$3:O$26="")*(N$3:N$26="")*(M$3:M$26="P")*(G$3:G$26=G5)*(J$3:J$26&gt;J5)*(H$3:H$26="L5")))+1,""))))</f>
        <v>3</v>
      </c>
      <c r="C5" s="35" t="s">
        <v>135</v>
      </c>
      <c r="D5" s="35" t="str">
        <f>IF(E5="","",VLOOKUP(E5,'Coaching Points'!A:B,2,0))</f>
        <v>AB</v>
      </c>
      <c r="E5" s="35" t="s">
        <v>62</v>
      </c>
      <c r="F5" s="34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72</v>
      </c>
      <c r="I5" s="40"/>
      <c r="J5" s="4">
        <f t="shared" si="0"/>
        <v>49.0002</v>
      </c>
      <c r="K5" s="3" t="str">
        <f>IF(G5="Not Age Eligible","",IF(MAX(T5,W5,Z5,AC5)&gt;=LOOKUP(G5,'Qualifying Scores'!$A$4:$A$7,'Qualifying Scores'!$H$4:$H$7),"P",""))</f>
        <v>P</v>
      </c>
      <c r="L5" s="3" t="str">
        <f>IF(G5="Not Age Eligible","",IF(MAX(U5,X5,AA5,AD5)&gt;=LOOKUP(G5,'Qualifying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Scores'!$H$10:$H$13)),AND(Z5&gt;=LOOKUP(G5,'Qualifying Scores'!$A$4:$A$7,'Qualifying Scores'!$H$4:$H$7),AA5&gt;=LOOKUP(G5,'Qualifying Scores'!$A$10:$A$13,'Qualifying Scores'!$H$10:$H$13)),AND(W5&gt;=LOOKUP(G5,'Qualifying Scores'!$A$4:$A$7,'Qualifying Scores'!$H$4:$H$7),X5&gt;=LOOKUP(G5,'Qualifying Scores'!$A$10:$A$13,'Qualifying Scores'!$H$10:$H$13)),AND(AC5&gt;=LOOKUP(G5,'Qualifying Scores'!$A$4:$A$7,'Qualifying Scores'!$H$4:$H$7),AD5&gt;=LOOKUP(G5,'Qualifying Scores'!$A$10:$A$13,'Qualifying Scores'!$H$10:$H$13))),"P",""))</f>
        <v>P</v>
      </c>
      <c r="P5" s="36">
        <v>3</v>
      </c>
      <c r="Q5" s="1" t="str">
        <f t="shared" si="1"/>
        <v/>
      </c>
      <c r="R5" s="4">
        <f t="shared" si="2"/>
        <v>49</v>
      </c>
      <c r="S5" s="4">
        <f t="shared" si="3"/>
        <v>47.9</v>
      </c>
      <c r="T5" s="32">
        <v>47.9</v>
      </c>
      <c r="U5" s="37">
        <v>12.9</v>
      </c>
      <c r="V5" s="37">
        <v>0</v>
      </c>
      <c r="W5" s="33">
        <v>49</v>
      </c>
      <c r="X5" s="37">
        <v>13.8</v>
      </c>
      <c r="Y5" s="37">
        <v>0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$26&lt;&gt;"")*(G$3:G$26=G6)*(J$3:J$26&gt;J6)*(I$3:I$26="P"))+1,IF(O6&lt;&gt;"",SUMPRODUCT((O$3:O$26&lt;&gt;"")*(P$3:P$26="")*(G$3:G$26=G6)*(J$3:J$26&gt;J6)*(I$3:I$26="P"))+SUMPRODUCT((P$3:P$26&lt;&gt;"")*(G$3:G$26=G6)*(I$3:I$26="P"))+1,IF(N6&lt;&gt;"",SUMPRODUCT((N$3:N$26&lt;&gt;"")*(G$3:G$26=G6)*(J$3:J$26&gt;J6)*(I$3:I$26="P"))+1,IF(M6="P",SUMPRODUCT((O$3:O$26&lt;&gt;"")*(P$3:P$26="")*(G$3:G$26=G6)*(I$3:I$26="P"))+SUMPRODUCT((P$3:P$26&lt;&gt;"")*(G$3:G$26=G6)*(I$3:I$26="P"))+SUMPRODUCT((N$3:N$26&lt;&gt;"")*(G$3:G$26=G6)*(I$3:I$26="P"))+SUMPRODUCT((P$3:P$26="")*(O$3:O$26="")*(N$3:N$26="")*(M$3:M$26="P")*(G$3:G$26=G6)*(J$3:J$26&gt;J6)*(I$3:I$26="P"))+IF(H6="L5",SUMPRODUCT((P$3:P$26="")*(O$3:O$26="")*(N$3:N$26="")*(M$3:M$26="P")*(G$3:G$26=G6)*(J$3:J$26&lt;J6)*(H$3:H$26&lt;&gt;H6)*(I$3:I$26="P")),-1*SUMPRODUCT((P$3:P$26="")*(O$3:O$26="")*(N$3:N$26="")*(M$3:M$26="P")*(G$3:G$26=G6)*(J$3:J$26&gt;J6)*(H$3:H$26="L5")*(I$3:I$26="P")))+1,"")))))</f>
        <v/>
      </c>
      <c r="B6" s="1" cm="1">
        <f t="array" ref="B6">IF(P6&lt;&gt;"",SUMPRODUCT((P$3:P$26&lt;&gt;"")*(G$3:G$26=G6)*(J$3:J$26&gt;J6))+1,IF(O6&lt;&gt;"",SUMPRODUCT((O$3:O$26&lt;&gt;"")*(P$3:P$26="")*(G$3:G$26=G6)*(J$3:J$26&gt;J6))+SUMPRODUCT((P$3:P$26&lt;&gt;"")*(G$3:G$26=G6))+1,IF(N6&lt;&gt;"",SUMPRODUCT((N$3:N$26&lt;&gt;"")*(G$3:G$26=G6)*(J$3:J$26&gt;J6))+1,IF(M6="P",SUMPRODUCT((O$3:O$26&lt;&gt;"")*(P$3:P$26="")*(G$3:G$26=G6))+SUMPRODUCT((P$3:P$26&lt;&gt;"")*(G$3:G$26=G6))+SUMPRODUCT((N$3:N$26&lt;&gt;"")*(G$3:G$26=G6))+SUMPRODUCT((P$3:P$26="")*(O$3:O$26="")*(N$3:N$26="")*(M$3:M$26="P")*(G$3:G$26=G6)*(J$3:J$26&gt;J6))+IF(H6="L5",SUMPRODUCT((P$3:P$26="")*(O$3:O$26="")*(N$3:N$26="")*(M$3:M$26="P")*(G$3:G$26=G6)*(J$3:J$26&lt;J6)*(H$3:H$26&lt;&gt;H6)),-1*SUMPRODUCT((P$3:P$26="")*(O$3:O$26="")*(N$3:N$26="")*(M$3:M$26="P")*(G$3:G$26=G6)*(J$3:J$26&gt;J6)*(H$3:H$26="L5")))+1,""))))</f>
        <v>4</v>
      </c>
      <c r="C6" s="35" t="s">
        <v>303</v>
      </c>
      <c r="D6" s="35" t="str">
        <f>IF(E6="","",VLOOKUP(E6,'Coaching Points'!A:B,2,0))</f>
        <v>AB</v>
      </c>
      <c r="E6" s="35" t="s">
        <v>28</v>
      </c>
      <c r="F6" s="34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72</v>
      </c>
      <c r="I6" s="40"/>
      <c r="J6" s="4">
        <f t="shared" si="0"/>
        <v>47.800199999999997</v>
      </c>
      <c r="K6" s="3" t="str">
        <f>IF(G6="Not Age Eligible","",IF(MAX(T6,W6,Z6,AC6)&gt;=LOOKUP(G6,'Qualifying Scores'!$A$4:$A$7,'Qualifying Scores'!$H$4:$H$7),"P",""))</f>
        <v>P</v>
      </c>
      <c r="L6" s="3" t="str">
        <f>IF(G6="Not Age Eligible","",IF(MAX(U6,X6,AA6,AD6)&gt;=LOOKUP(G6,'Qualifying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Scores'!$H$10:$H$13)),AND(Z6&gt;=LOOKUP(G6,'Qualifying Scores'!$A$4:$A$7,'Qualifying Scores'!$H$4:$H$7),AA6&gt;=LOOKUP(G6,'Qualifying Scores'!$A$10:$A$13,'Qualifying Scores'!$H$10:$H$13)),AND(W6&gt;=LOOKUP(G6,'Qualifying Scores'!$A$4:$A$7,'Qualifying Scores'!$H$4:$H$7),X6&gt;=LOOKUP(G6,'Qualifying Scores'!$A$10:$A$13,'Qualifying Scores'!$H$10:$H$13)),AND(AC6&gt;=LOOKUP(G6,'Qualifying Scores'!$A$4:$A$7,'Qualifying Scores'!$H$4:$H$7),AD6&gt;=LOOKUP(G6,'Qualifying Scores'!$A$10:$A$13,'Qualifying Scores'!$H$10:$H$13))),"P",""))</f>
        <v>P</v>
      </c>
      <c r="P6" s="36">
        <v>4</v>
      </c>
      <c r="Q6" s="1" t="str">
        <f t="shared" si="1"/>
        <v/>
      </c>
      <c r="R6" s="4">
        <f t="shared" si="2"/>
        <v>47.8</v>
      </c>
      <c r="S6" s="4">
        <f t="shared" si="3"/>
        <v>47.4</v>
      </c>
      <c r="T6" s="32">
        <v>47.4</v>
      </c>
      <c r="U6" s="37">
        <v>12.4</v>
      </c>
      <c r="V6" s="37">
        <v>0</v>
      </c>
      <c r="W6" s="33">
        <v>47.8</v>
      </c>
      <c r="X6" s="37">
        <v>12.4</v>
      </c>
      <c r="Y6" s="37">
        <v>0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$26&lt;&gt;"")*(G$3:G$26=G7)*(J$3:J$26&gt;J7)*(I$3:I$26="P"))+1,IF(O7&lt;&gt;"",SUMPRODUCT((O$3:O$26&lt;&gt;"")*(P$3:P$26="")*(G$3:G$26=G7)*(J$3:J$26&gt;J7)*(I$3:I$26="P"))+SUMPRODUCT((P$3:P$26&lt;&gt;"")*(G$3:G$26=G7)*(I$3:I$26="P"))+1,IF(N7&lt;&gt;"",SUMPRODUCT((N$3:N$26&lt;&gt;"")*(G$3:G$26=G7)*(J$3:J$26&gt;J7)*(I$3:I$26="P"))+1,IF(M7="P",SUMPRODUCT((O$3:O$26&lt;&gt;"")*(P$3:P$26="")*(G$3:G$26=G7)*(I$3:I$26="P"))+SUMPRODUCT((P$3:P$26&lt;&gt;"")*(G$3:G$26=G7)*(I$3:I$26="P"))+SUMPRODUCT((N$3:N$26&lt;&gt;"")*(G$3:G$26=G7)*(I$3:I$26="P"))+SUMPRODUCT((P$3:P$26="")*(O$3:O$26="")*(N$3:N$26="")*(M$3:M$26="P")*(G$3:G$26=G7)*(J$3:J$26&gt;J7)*(I$3:I$26="P"))+IF(H7="L5",SUMPRODUCT((P$3:P$26="")*(O$3:O$26="")*(N$3:N$26="")*(M$3:M$26="P")*(G$3:G$26=G7)*(J$3:J$26&lt;J7)*(H$3:H$26&lt;&gt;H7)*(I$3:I$26="P")),-1*SUMPRODUCT((P$3:P$26="")*(O$3:O$26="")*(N$3:N$26="")*(M$3:M$26="P")*(G$3:G$26=G7)*(J$3:J$26&gt;J7)*(H$3:H$26="L5")*(I$3:I$26="P")))+1,"")))))</f>
        <v/>
      </c>
      <c r="B7" s="1" cm="1">
        <f t="array" ref="B7">IF(P7&lt;&gt;"",SUMPRODUCT((P$3:P$26&lt;&gt;"")*(G$3:G$26=G7)*(J$3:J$26&gt;J7))+1,IF(O7&lt;&gt;"",SUMPRODUCT((O$3:O$26&lt;&gt;"")*(P$3:P$26="")*(G$3:G$26=G7)*(J$3:J$26&gt;J7))+SUMPRODUCT((P$3:P$26&lt;&gt;"")*(G$3:G$26=G7))+1,IF(N7&lt;&gt;"",SUMPRODUCT((N$3:N$26&lt;&gt;"")*(G$3:G$26=G7)*(J$3:J$26&gt;J7))+1,IF(M7="P",SUMPRODUCT((O$3:O$26&lt;&gt;"")*(P$3:P$26="")*(G$3:G$26=G7))+SUMPRODUCT((P$3:P$26&lt;&gt;"")*(G$3:G$26=G7))+SUMPRODUCT((N$3:N$26&lt;&gt;"")*(G$3:G$26=G7))+SUMPRODUCT((P$3:P$26="")*(O$3:O$26="")*(N$3:N$26="")*(M$3:M$26="P")*(G$3:G$26=G7)*(J$3:J$26&gt;J7))+IF(H7="L5",SUMPRODUCT((P$3:P$26="")*(O$3:O$26="")*(N$3:N$26="")*(M$3:M$26="P")*(G$3:G$26=G7)*(J$3:J$26&lt;J7)*(H$3:H$26&lt;&gt;H7)),-1*SUMPRODUCT((P$3:P$26="")*(O$3:O$26="")*(N$3:N$26="")*(M$3:M$26="P")*(G$3:G$26=G7)*(J$3:J$26&gt;J7)*(H$3:H$26="L5")))+1,""))))</f>
        <v>5</v>
      </c>
      <c r="C7" s="35" t="s">
        <v>136</v>
      </c>
      <c r="D7" s="35" t="str">
        <f>IF(E7="","",VLOOKUP(E7,'Coaching Points'!A:B,2,0))</f>
        <v>AB</v>
      </c>
      <c r="E7" s="35" t="s">
        <v>62</v>
      </c>
      <c r="F7" s="34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72</v>
      </c>
      <c r="I7" s="40"/>
      <c r="J7" s="4">
        <f t="shared" si="0"/>
        <v>44.200200000000002</v>
      </c>
      <c r="K7" s="3" t="str">
        <f>IF(G7="Not Age Eligible","",IF(MAX(T7,W7,Z7,AC7)&gt;=LOOKUP(G7,'Qualifying Scores'!$A$4:$A$7,'Qualifying Scores'!$H$4:$H$7),"P",""))</f>
        <v>P</v>
      </c>
      <c r="L7" s="3" t="str">
        <f>IF(G7="Not Age Eligible","",IF(MAX(U7,X7,AA7,AD7)&gt;=LOOKUP(G7,'Qualifying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Scores'!$H$10:$H$13)),AND(Z7&gt;=LOOKUP(G7,'Qualifying Scores'!$A$4:$A$7,'Qualifying Scores'!$H$4:$H$7),AA7&gt;=LOOKUP(G7,'Qualifying Scores'!$A$10:$A$13,'Qualifying Scores'!$H$10:$H$13)),AND(W7&gt;=LOOKUP(G7,'Qualifying Scores'!$A$4:$A$7,'Qualifying Scores'!$H$4:$H$7),X7&gt;=LOOKUP(G7,'Qualifying Scores'!$A$10:$A$13,'Qualifying Scores'!$H$10:$H$13)),AND(AC7&gt;=LOOKUP(G7,'Qualifying Scores'!$A$4:$A$7,'Qualifying Scores'!$H$4:$H$7),AD7&gt;=LOOKUP(G7,'Qualifying Scores'!$A$10:$A$13,'Qualifying Scores'!$H$10:$H$13))),"P",""))</f>
        <v>P</v>
      </c>
      <c r="O7" s="36">
        <v>3</v>
      </c>
      <c r="Q7" s="1" t="str">
        <f t="shared" si="1"/>
        <v/>
      </c>
      <c r="R7" s="4">
        <f t="shared" si="2"/>
        <v>44.2</v>
      </c>
      <c r="S7" s="4">
        <f t="shared" si="3"/>
        <v>42.8</v>
      </c>
      <c r="T7" s="32">
        <v>44.2</v>
      </c>
      <c r="U7" s="37">
        <v>10.3</v>
      </c>
      <c r="V7" s="37">
        <v>0</v>
      </c>
      <c r="W7" s="33">
        <v>42.8</v>
      </c>
      <c r="X7" s="37">
        <v>11.899999999999999</v>
      </c>
      <c r="Y7" s="37">
        <v>0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$26&lt;&gt;"")*(G$3:G$26=G8)*(J$3:J$26&gt;J8)*(I$3:I$26="P"))+1,IF(O8&lt;&gt;"",SUMPRODUCT((O$3:O$26&lt;&gt;"")*(P$3:P$26="")*(G$3:G$26=G8)*(J$3:J$26&gt;J8)*(I$3:I$26="P"))+SUMPRODUCT((P$3:P$26&lt;&gt;"")*(G$3:G$26=G8)*(I$3:I$26="P"))+1,IF(N8&lt;&gt;"",SUMPRODUCT((N$3:N$26&lt;&gt;"")*(G$3:G$26=G8)*(J$3:J$26&gt;J8)*(I$3:I$26="P"))+1,IF(M8="P",SUMPRODUCT((O$3:O$26&lt;&gt;"")*(P$3:P$26="")*(G$3:G$26=G8)*(I$3:I$26="P"))+SUMPRODUCT((P$3:P$26&lt;&gt;"")*(G$3:G$26=G8)*(I$3:I$26="P"))+SUMPRODUCT((N$3:N$26&lt;&gt;"")*(G$3:G$26=G8)*(I$3:I$26="P"))+SUMPRODUCT((P$3:P$26="")*(O$3:O$26="")*(N$3:N$26="")*(M$3:M$26="P")*(G$3:G$26=G8)*(J$3:J$26&gt;J8)*(I$3:I$26="P"))+IF(H8="L5",SUMPRODUCT((P$3:P$26="")*(O$3:O$26="")*(N$3:N$26="")*(M$3:M$26="P")*(G$3:G$26=G8)*(J$3:J$26&lt;J8)*(H$3:H$26&lt;&gt;H8)*(I$3:I$26="P")),-1*SUMPRODUCT((P$3:P$26="")*(O$3:O$26="")*(N$3:N$26="")*(M$3:M$26="P")*(G$3:G$26=G8)*(J$3:J$26&gt;J8)*(H$3:H$26="L5")*(I$3:I$26="P")))+1,"")))))</f>
        <v/>
      </c>
      <c r="B8" s="1" cm="1">
        <f t="array" ref="B8">IF(P8&lt;&gt;"",SUMPRODUCT((P$3:P$26&lt;&gt;"")*(G$3:G$26=G8)*(J$3:J$26&gt;J8))+1,IF(O8&lt;&gt;"",SUMPRODUCT((O$3:O$26&lt;&gt;"")*(P$3:P$26="")*(G$3:G$26=G8)*(J$3:J$26&gt;J8))+SUMPRODUCT((P$3:P$26&lt;&gt;"")*(G$3:G$26=G8))+1,IF(N8&lt;&gt;"",SUMPRODUCT((N$3:N$26&lt;&gt;"")*(G$3:G$26=G8)*(J$3:J$26&gt;J8))+1,IF(M8="P",SUMPRODUCT((O$3:O$26&lt;&gt;"")*(P$3:P$26="")*(G$3:G$26=G8))+SUMPRODUCT((P$3:P$26&lt;&gt;"")*(G$3:G$26=G8))+SUMPRODUCT((N$3:N$26&lt;&gt;"")*(G$3:G$26=G8))+SUMPRODUCT((P$3:P$26="")*(O$3:O$26="")*(N$3:N$26="")*(M$3:M$26="P")*(G$3:G$26=G8)*(J$3:J$26&gt;J8))+IF(H8="L5",SUMPRODUCT((P$3:P$26="")*(O$3:O$26="")*(N$3:N$26="")*(M$3:M$26="P")*(G$3:G$26=G8)*(J$3:J$26&lt;J8)*(H$3:H$26&lt;&gt;H8)),-1*SUMPRODUCT((P$3:P$26="")*(O$3:O$26="")*(N$3:N$26="")*(M$3:M$26="P")*(G$3:G$26=G8)*(J$3:J$26&gt;J8)*(H$3:H$26="L5")))+1,""))))</f>
        <v>6</v>
      </c>
      <c r="C8" s="35" t="s">
        <v>172</v>
      </c>
      <c r="D8" s="35" t="str">
        <f>IF(E8="","",VLOOKUP(E8,'Coaching Points'!A:B,2,0))</f>
        <v>QC</v>
      </c>
      <c r="E8" s="35" t="s">
        <v>3</v>
      </c>
      <c r="F8" s="34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66</v>
      </c>
      <c r="I8" s="40"/>
      <c r="J8" s="4">
        <f t="shared" si="0"/>
        <v>43.600099999999998</v>
      </c>
      <c r="K8" s="3" t="str">
        <f>IF(G8="Not Age Eligible","",IF(MAX(T8,W8,Z8,AC8)&gt;=LOOKUP(G8,'Qualifying Scores'!$A$4:$A$7,'Qualifying Scores'!$H$4:$H$7),"P",""))</f>
        <v>P</v>
      </c>
      <c r="L8" s="3" t="str">
        <f>IF(G8="Not Age Eligible","",IF(MAX(U8,X8,AA8,AD8)&gt;=LOOKUP(G8,'Qualifying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Scores'!$H$10:$H$13)),AND(Z8&gt;=LOOKUP(G8,'Qualifying Scores'!$A$4:$A$7,'Qualifying Scores'!$H$4:$H$7),AA8&gt;=LOOKUP(G8,'Qualifying Scores'!$A$10:$A$13,'Qualifying Scores'!$H$10:$H$13)),AND(W8&gt;=LOOKUP(G8,'Qualifying Scores'!$A$4:$A$7,'Qualifying Scores'!$H$4:$H$7),X8&gt;=LOOKUP(G8,'Qualifying Scores'!$A$10:$A$13,'Qualifying Scores'!$H$10:$H$13)),AND(AC8&gt;=LOOKUP(G8,'Qualifying Scores'!$A$4:$A$7,'Qualifying Scores'!$H$4:$H$7),AD8&gt;=LOOKUP(G8,'Qualifying Scores'!$A$10:$A$13,'Qualifying Scores'!$H$10:$H$13))),"P",""))</f>
        <v>P</v>
      </c>
      <c r="O8" s="36">
        <v>1</v>
      </c>
      <c r="Q8" s="1" t="str">
        <f t="shared" si="1"/>
        <v/>
      </c>
      <c r="R8" s="4">
        <f t="shared" si="2"/>
        <v>43.599999999999994</v>
      </c>
      <c r="S8" s="4">
        <f t="shared" si="3"/>
        <v>42.9</v>
      </c>
      <c r="T8" s="32">
        <v>44.1</v>
      </c>
      <c r="U8" s="37">
        <v>10.1</v>
      </c>
      <c r="V8" s="37">
        <v>1.2</v>
      </c>
      <c r="W8" s="33">
        <v>44.8</v>
      </c>
      <c r="X8" s="37">
        <v>10.1</v>
      </c>
      <c r="Y8" s="37">
        <v>1.2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$26&lt;&gt;"")*(G$3:G$26=G9)*(J$3:J$26&gt;J9)*(I$3:I$26="P"))+1,IF(O9&lt;&gt;"",SUMPRODUCT((O$3:O$26&lt;&gt;"")*(P$3:P$26="")*(G$3:G$26=G9)*(J$3:J$26&gt;J9)*(I$3:I$26="P"))+SUMPRODUCT((P$3:P$26&lt;&gt;"")*(G$3:G$26=G9)*(I$3:I$26="P"))+1,IF(N9&lt;&gt;"",SUMPRODUCT((N$3:N$26&lt;&gt;"")*(G$3:G$26=G9)*(J$3:J$26&gt;J9)*(I$3:I$26="P"))+1,IF(M9="P",SUMPRODUCT((O$3:O$26&lt;&gt;"")*(P$3:P$26="")*(G$3:G$26=G9)*(I$3:I$26="P"))+SUMPRODUCT((P$3:P$26&lt;&gt;"")*(G$3:G$26=G9)*(I$3:I$26="P"))+SUMPRODUCT((N$3:N$26&lt;&gt;"")*(G$3:G$26=G9)*(I$3:I$26="P"))+SUMPRODUCT((P$3:P$26="")*(O$3:O$26="")*(N$3:N$26="")*(M$3:M$26="P")*(G$3:G$26=G9)*(J$3:J$26&gt;J9)*(I$3:I$26="P"))+IF(H9="L5",SUMPRODUCT((P$3:P$26="")*(O$3:O$26="")*(N$3:N$26="")*(M$3:M$26="P")*(G$3:G$26=G9)*(J$3:J$26&lt;J9)*(H$3:H$26&lt;&gt;H9)*(I$3:I$26="P")),-1*SUMPRODUCT((P$3:P$26="")*(O$3:O$26="")*(N$3:N$26="")*(M$3:M$26="P")*(G$3:G$26=G9)*(J$3:J$26&gt;J9)*(H$3:H$26="L5")*(I$3:I$26="P")))+1,"")))))</f>
        <v/>
      </c>
      <c r="B9" s="1" cm="1">
        <f t="array" ref="B9">IF(P9&lt;&gt;"",SUMPRODUCT((P$3:P$26&lt;&gt;"")*(G$3:G$26=G9)*(J$3:J$26&gt;J9))+1,IF(O9&lt;&gt;"",SUMPRODUCT((O$3:O$26&lt;&gt;"")*(P$3:P$26="")*(G$3:G$26=G9)*(J$3:J$26&gt;J9))+SUMPRODUCT((P$3:P$26&lt;&gt;"")*(G$3:G$26=G9))+1,IF(N9&lt;&gt;"",SUMPRODUCT((N$3:N$26&lt;&gt;"")*(G$3:G$26=G9)*(J$3:J$26&gt;J9))+1,IF(M9="P",SUMPRODUCT((O$3:O$26&lt;&gt;"")*(P$3:P$26="")*(G$3:G$26=G9))+SUMPRODUCT((P$3:P$26&lt;&gt;"")*(G$3:G$26=G9))+SUMPRODUCT((N$3:N$26&lt;&gt;"")*(G$3:G$26=G9))+SUMPRODUCT((P$3:P$26="")*(O$3:O$26="")*(N$3:N$26="")*(M$3:M$26="P")*(G$3:G$26=G9)*(J$3:J$26&gt;J9))+IF(H9="L5",SUMPRODUCT((P$3:P$26="")*(O$3:O$26="")*(N$3:N$26="")*(M$3:M$26="P")*(G$3:G$26=G9)*(J$3:J$26&lt;J9)*(H$3:H$26&lt;&gt;H9)),-1*SUMPRODUCT((P$3:P$26="")*(O$3:O$26="")*(N$3:N$26="")*(M$3:M$26="P")*(G$3:G$26=G9)*(J$3:J$26&gt;J9)*(H$3:H$26="L5")))+1,""))))</f>
        <v>7</v>
      </c>
      <c r="C9" s="35" t="s">
        <v>234</v>
      </c>
      <c r="D9" s="35" t="str">
        <f>IF(E9="","",VLOOKUP(E9,'Coaching Points'!A:B,2,0))</f>
        <v>ON</v>
      </c>
      <c r="E9" s="35" t="s">
        <v>138</v>
      </c>
      <c r="F9" s="34">
        <v>2007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66</v>
      </c>
      <c r="I9" s="40"/>
      <c r="J9" s="4">
        <f t="shared" si="0"/>
        <v>42.700099999999999</v>
      </c>
      <c r="K9" s="3" t="str">
        <f>IF(G9="Not Age Eligible","",IF(MAX(T9,W9,Z9,AC9)&gt;=LOOKUP(G9,'Qualifying Scores'!$A$4:$A$7,'Qualifying Scores'!$H$4:$H$7),"P",""))</f>
        <v>P</v>
      </c>
      <c r="L9" s="3" t="str">
        <f>IF(G9="Not Age Eligible","",IF(MAX(U9,X9,AA9,AD9)&gt;=LOOKUP(G9,'Qualifying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Scores'!$H$10:$H$13)),AND(Z9&gt;=LOOKUP(G9,'Qualifying Scores'!$A$4:$A$7,'Qualifying Scores'!$H$4:$H$7),AA9&gt;=LOOKUP(G9,'Qualifying Scores'!$A$10:$A$13,'Qualifying Scores'!$H$10:$H$13)),AND(W9&gt;=LOOKUP(G9,'Qualifying Scores'!$A$4:$A$7,'Qualifying Scores'!$H$4:$H$7),X9&gt;=LOOKUP(G9,'Qualifying Scores'!$A$10:$A$13,'Qualifying Scores'!$H$10:$H$13)),AND(AC9&gt;=LOOKUP(G9,'Qualifying Scores'!$A$4:$A$7,'Qualifying Scores'!$H$4:$H$7),AD9&gt;=LOOKUP(G9,'Qualifying Scores'!$A$10:$A$13,'Qualifying Scores'!$H$10:$H$13))),"P",""))</f>
        <v>P</v>
      </c>
      <c r="O9" s="36">
        <v>4</v>
      </c>
      <c r="Q9" s="1" t="str">
        <f t="shared" si="1"/>
        <v/>
      </c>
      <c r="R9" s="4">
        <f t="shared" si="2"/>
        <v>42.699999999999996</v>
      </c>
      <c r="S9" s="4">
        <f t="shared" si="3"/>
        <v>40.699999999999996</v>
      </c>
      <c r="T9" s="32">
        <v>41.9</v>
      </c>
      <c r="U9" s="37">
        <v>9.6000000000000014</v>
      </c>
      <c r="V9" s="37">
        <v>1.2</v>
      </c>
      <c r="W9" s="33">
        <v>43.9</v>
      </c>
      <c r="X9" s="37">
        <v>9.6000000000000014</v>
      </c>
      <c r="Y9" s="37">
        <v>1.2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$26&lt;&gt;"")*(G$3:G$26=G10)*(J$3:J$26&gt;J10)*(I$3:I$26="P"))+1,IF(O10&lt;&gt;"",SUMPRODUCT((O$3:O$26&lt;&gt;"")*(P$3:P$26="")*(G$3:G$26=G10)*(J$3:J$26&gt;J10)*(I$3:I$26="P"))+SUMPRODUCT((P$3:P$26&lt;&gt;"")*(G$3:G$26=G10)*(I$3:I$26="P"))+1,IF(N10&lt;&gt;"",SUMPRODUCT((N$3:N$26&lt;&gt;"")*(G$3:G$26=G10)*(J$3:J$26&gt;J10)*(I$3:I$26="P"))+1,IF(M10="P",SUMPRODUCT((O$3:O$26&lt;&gt;"")*(P$3:P$26="")*(G$3:G$26=G10)*(I$3:I$26="P"))+SUMPRODUCT((P$3:P$26&lt;&gt;"")*(G$3:G$26=G10)*(I$3:I$26="P"))+SUMPRODUCT((N$3:N$26&lt;&gt;"")*(G$3:G$26=G10)*(I$3:I$26="P"))+SUMPRODUCT((P$3:P$26="")*(O$3:O$26="")*(N$3:N$26="")*(M$3:M$26="P")*(G$3:G$26=G10)*(J$3:J$26&gt;J10)*(I$3:I$26="P"))+IF(H10="L5",SUMPRODUCT((P$3:P$26="")*(O$3:O$26="")*(N$3:N$26="")*(M$3:M$26="P")*(G$3:G$26=G10)*(J$3:J$26&lt;J10)*(H$3:H$26&lt;&gt;H10)*(I$3:I$26="P")),-1*SUMPRODUCT((P$3:P$26="")*(O$3:O$26="")*(N$3:N$26="")*(M$3:M$26="P")*(G$3:G$26=G10)*(J$3:J$26&gt;J10)*(H$3:H$26="L5")*(I$3:I$26="P")))+1,"")))))</f>
        <v/>
      </c>
      <c r="B10" s="1" t="str" cm="1">
        <f t="array" ref="B10">IF(P10&lt;&gt;"",SUMPRODUCT((P$3:P$26&lt;&gt;"")*(G$3:G$26=G10)*(J$3:J$26&gt;J10))+1,IF(O10&lt;&gt;"",SUMPRODUCT((O$3:O$26&lt;&gt;"")*(P$3:P$26="")*(G$3:G$26=G10)*(J$3:J$26&gt;J10))+SUMPRODUCT((P$3:P$26&lt;&gt;"")*(G$3:G$26=G10))+1,IF(N10&lt;&gt;"",SUMPRODUCT((N$3:N$26&lt;&gt;"")*(G$3:G$26=G10)*(J$3:J$26&gt;J10))+1,IF(M10="P",SUMPRODUCT((O$3:O$26&lt;&gt;"")*(P$3:P$26="")*(G$3:G$26=G10))+SUMPRODUCT((P$3:P$26&lt;&gt;"")*(G$3:G$26=G10))+SUMPRODUCT((N$3:N$26&lt;&gt;"")*(G$3:G$26=G10))+SUMPRODUCT((P$3:P$26="")*(O$3:O$26="")*(N$3:N$26="")*(M$3:M$26="P")*(G$3:G$26=G10)*(J$3:J$26&gt;J10))+IF(H10="L5",SUMPRODUCT((P$3:P$26="")*(O$3:O$26="")*(N$3:N$26="")*(M$3:M$26="P")*(G$3:G$26=G10)*(J$3:J$26&lt;J10)*(H$3:H$26&lt;&gt;H10)),-1*SUMPRODUCT((P$3:P$26="")*(O$3:O$26="")*(N$3:N$26="")*(M$3:M$26="P")*(G$3:G$26=G10)*(J$3:J$26&gt;J10)*(H$3:H$26="L5")))+1,""))))</f>
        <v/>
      </c>
      <c r="C10" s="35" t="s">
        <v>134</v>
      </c>
      <c r="D10" s="35" t="str">
        <f>IF(E10="","",VLOOKUP(E10,'Coaching Points'!A:B,2,0))</f>
        <v>AB</v>
      </c>
      <c r="E10" s="35" t="s">
        <v>62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66</v>
      </c>
      <c r="I10" s="40"/>
      <c r="J10" s="4">
        <f t="shared" si="0"/>
        <v>41.100099999999998</v>
      </c>
      <c r="K10" s="3" t="str">
        <f>IF(G10="Not Age Eligible","",IF(MAX(T10,W10,Z10,AC10)&gt;=LOOKUP(G10,'Qualifying Scores'!$A$4:$A$7,'Qualifying Scores'!$H$4:$H$7),"P",""))</f>
        <v/>
      </c>
      <c r="L10" s="3" t="str">
        <f>IF(G10="Not Age Eligible","",IF(MAX(U10,X10,AA10,AD10)&gt;=LOOKUP(G10,'Qualifying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Scores'!$H$10:$H$13)),AND(Z10&gt;=LOOKUP(G10,'Qualifying Scores'!$A$4:$A$7,'Qualifying Scores'!$H$4:$H$7),AA10&gt;=LOOKUP(G10,'Qualifying Scores'!$A$10:$A$13,'Qualifying Scores'!$H$10:$H$13)),AND(W10&gt;=LOOKUP(G10,'Qualifying Scores'!$A$4:$A$7,'Qualifying Scores'!$H$4:$H$7),X10&gt;=LOOKUP(G10,'Qualifying Scores'!$A$10:$A$13,'Qualifying Scores'!$H$10:$H$13)),AND(AC10&gt;=LOOKUP(G10,'Qualifying Scores'!$A$4:$A$7,'Qualifying Scores'!$H$4:$H$7),AD10&gt;=LOOKUP(G10,'Qualifying Scores'!$A$10:$A$13,'Qualifying Scores'!$H$10:$H$13))),"P",""))</f>
        <v/>
      </c>
      <c r="Q10" s="1" t="str">
        <f t="shared" si="1"/>
        <v/>
      </c>
      <c r="R10" s="4">
        <f t="shared" si="2"/>
        <v>41.099999999999994</v>
      </c>
      <c r="S10" s="4">
        <f t="shared" si="3"/>
        <v>39.699999999999996</v>
      </c>
      <c r="T10" s="32">
        <v>40.9</v>
      </c>
      <c r="U10" s="37">
        <v>10.8</v>
      </c>
      <c r="V10" s="37">
        <v>1.2</v>
      </c>
      <c r="W10" s="33">
        <v>42.3</v>
      </c>
      <c r="X10" s="37">
        <v>10.1</v>
      </c>
      <c r="Y10" s="37">
        <v>1.2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$26&lt;&gt;"")*(G$3:G$26=G11)*(J$3:J$26&gt;J11)*(I$3:I$26="P"))+1,IF(O11&lt;&gt;"",SUMPRODUCT((O$3:O$26&lt;&gt;"")*(P$3:P$26="")*(G$3:G$26=G11)*(J$3:J$26&gt;J11)*(I$3:I$26="P"))+SUMPRODUCT((P$3:P$26&lt;&gt;"")*(G$3:G$26=G11)*(I$3:I$26="P"))+1,IF(N11&lt;&gt;"",SUMPRODUCT((N$3:N$26&lt;&gt;"")*(G$3:G$26=G11)*(J$3:J$26&gt;J11)*(I$3:I$26="P"))+1,IF(M11="P",SUMPRODUCT((O$3:O$26&lt;&gt;"")*(P$3:P$26="")*(G$3:G$26=G11)*(I$3:I$26="P"))+SUMPRODUCT((P$3:P$26&lt;&gt;"")*(G$3:G$26=G11)*(I$3:I$26="P"))+SUMPRODUCT((N$3:N$26&lt;&gt;"")*(G$3:G$26=G11)*(I$3:I$26="P"))+SUMPRODUCT((P$3:P$26="")*(O$3:O$26="")*(N$3:N$26="")*(M$3:M$26="P")*(G$3:G$26=G11)*(J$3:J$26&gt;J11)*(I$3:I$26="P"))+IF(H11="L5",SUMPRODUCT((P$3:P$26="")*(O$3:O$26="")*(N$3:N$26="")*(M$3:M$26="P")*(G$3:G$26=G11)*(J$3:J$26&lt;J11)*(H$3:H$26&lt;&gt;H11)*(I$3:I$26="P")),-1*SUMPRODUCT((P$3:P$26="")*(O$3:O$26="")*(N$3:N$26="")*(M$3:M$26="P")*(G$3:G$26=G11)*(J$3:J$26&gt;J11)*(H$3:H$26="L5")*(I$3:I$26="P")))+1,"")))))</f>
        <v/>
      </c>
      <c r="B11" s="1" t="str" cm="1">
        <f t="array" ref="B11">IF(P11&lt;&gt;"",SUMPRODUCT((P$3:P$26&lt;&gt;"")*(G$3:G$26=G11)*(J$3:J$26&gt;J11))+1,IF(O11&lt;&gt;"",SUMPRODUCT((O$3:O$26&lt;&gt;"")*(P$3:P$26="")*(G$3:G$26=G11)*(J$3:J$26&gt;J11))+SUMPRODUCT((P$3:P$26&lt;&gt;"")*(G$3:G$26=G11))+1,IF(N11&lt;&gt;"",SUMPRODUCT((N$3:N$26&lt;&gt;"")*(G$3:G$26=G11)*(J$3:J$26&gt;J11))+1,IF(M11="P",SUMPRODUCT((O$3:O$26&lt;&gt;"")*(P$3:P$26="")*(G$3:G$26=G11))+SUMPRODUCT((P$3:P$26&lt;&gt;"")*(G$3:G$26=G11))+SUMPRODUCT((N$3:N$26&lt;&gt;"")*(G$3:G$26=G11))+SUMPRODUCT((P$3:P$26="")*(O$3:O$26="")*(N$3:N$26="")*(M$3:M$26="P")*(G$3:G$26=G11)*(J$3:J$26&gt;J11))+IF(H11="L5",SUMPRODUCT((P$3:P$26="")*(O$3:O$26="")*(N$3:N$26="")*(M$3:M$26="P")*(G$3:G$26=G11)*(J$3:J$26&lt;J11)*(H$3:H$26&lt;&gt;H11)),-1*SUMPRODUCT((P$3:P$26="")*(O$3:O$26="")*(N$3:N$26="")*(M$3:M$26="P")*(G$3:G$26=G11)*(J$3:J$26&gt;J11)*(H$3:H$26="L5")))+1,""))))</f>
        <v/>
      </c>
      <c r="C11" s="35" t="s">
        <v>86</v>
      </c>
      <c r="D11" s="35" t="str">
        <f>IF(E11="","",VLOOKUP(E11,'Coaching Points'!A:B,2,0))</f>
        <v>AB</v>
      </c>
      <c r="E11" s="35" t="s">
        <v>28</v>
      </c>
      <c r="F11" s="34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66</v>
      </c>
      <c r="I11" s="40"/>
      <c r="J11" s="4">
        <f t="shared" si="0"/>
        <v>40.700100000000006</v>
      </c>
      <c r="K11" s="3" t="str">
        <f>IF(G11="Not Age Eligible","",IF(MAX(T11,W11,Z11,AC11)&gt;=LOOKUP(G11,'Qualifying Scores'!$A$4:$A$7,'Qualifying Scores'!$H$4:$H$7),"P",""))</f>
        <v/>
      </c>
      <c r="L11" s="3" t="str">
        <f>IF(G11="Not Age Eligible","",IF(MAX(U11,X11,AA11,AD11)&gt;=LOOKUP(G11,'Qualifying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Scores'!$H$10:$H$13)),AND(Z11&gt;=LOOKUP(G11,'Qualifying Scores'!$A$4:$A$7,'Qualifying Scores'!$H$4:$H$7),AA11&gt;=LOOKUP(G11,'Qualifying Scores'!$A$10:$A$13,'Qualifying Scores'!$H$10:$H$13)),AND(W11&gt;=LOOKUP(G11,'Qualifying Scores'!$A$4:$A$7,'Qualifying Scores'!$H$4:$H$7),X11&gt;=LOOKUP(G11,'Qualifying Scores'!$A$10:$A$13,'Qualifying Scores'!$H$10:$H$13)),AND(AC11&gt;=LOOKUP(G11,'Qualifying Scores'!$A$4:$A$7,'Qualifying Scores'!$H$4:$H$7),AD11&gt;=LOOKUP(G11,'Qualifying Scores'!$A$10:$A$13,'Qualifying Scores'!$H$10:$H$13))),"P",""))</f>
        <v/>
      </c>
      <c r="Q11" s="1" t="str">
        <f t="shared" si="1"/>
        <v/>
      </c>
      <c r="R11" s="4">
        <f t="shared" si="2"/>
        <v>40.700000000000003</v>
      </c>
      <c r="S11" s="4">
        <f t="shared" si="3"/>
        <v>40.200000000000003</v>
      </c>
      <c r="T11" s="32">
        <v>41.6</v>
      </c>
      <c r="U11" s="37">
        <v>10.1</v>
      </c>
      <c r="V11" s="37">
        <v>0.89999999999999991</v>
      </c>
      <c r="W11" s="33">
        <v>41.1</v>
      </c>
      <c r="X11" s="37">
        <v>7.6999999999999993</v>
      </c>
      <c r="Y11" s="37">
        <v>0.89999999999999991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$26&lt;&gt;"")*(G$3:G$26=G12)*(J$3:J$26&gt;J12)*(I$3:I$26="P"))+1,IF(O12&lt;&gt;"",SUMPRODUCT((O$3:O$26&lt;&gt;"")*(P$3:P$26="")*(G$3:G$26=G12)*(J$3:J$26&gt;J12)*(I$3:I$26="P"))+SUMPRODUCT((P$3:P$26&lt;&gt;"")*(G$3:G$26=G12)*(I$3:I$26="P"))+1,IF(N12&lt;&gt;"",SUMPRODUCT((N$3:N$26&lt;&gt;"")*(G$3:G$26=G12)*(J$3:J$26&gt;J12)*(I$3:I$26="P"))+1,IF(M12="P",SUMPRODUCT((O$3:O$26&lt;&gt;"")*(P$3:P$26="")*(G$3:G$26=G12)*(I$3:I$26="P"))+SUMPRODUCT((P$3:P$26&lt;&gt;"")*(G$3:G$26=G12)*(I$3:I$26="P"))+SUMPRODUCT((N$3:N$26&lt;&gt;"")*(G$3:G$26=G12)*(I$3:I$26="P"))+SUMPRODUCT((P$3:P$26="")*(O$3:O$26="")*(N$3:N$26="")*(M$3:M$26="P")*(G$3:G$26=G12)*(J$3:J$26&gt;J12)*(I$3:I$26="P"))+IF(H12="L5",SUMPRODUCT((P$3:P$26="")*(O$3:O$26="")*(N$3:N$26="")*(M$3:M$26="P")*(G$3:G$26=G12)*(J$3:J$26&lt;J12)*(H$3:H$26&lt;&gt;H12)*(I$3:I$26="P")),-1*SUMPRODUCT((P$3:P$26="")*(O$3:O$26="")*(N$3:N$26="")*(M$3:M$26="P")*(G$3:G$26=G12)*(J$3:J$26&gt;J12)*(H$3:H$26="L5")*(I$3:I$26="P")))+1,"")))))</f>
        <v/>
      </c>
      <c r="B12" s="1" t="str" cm="1">
        <f t="array" ref="B12">IF(P12&lt;&gt;"",SUMPRODUCT((P$3:P$26&lt;&gt;"")*(G$3:G$26=G12)*(J$3:J$26&gt;J12))+1,IF(O12&lt;&gt;"",SUMPRODUCT((O$3:O$26&lt;&gt;"")*(P$3:P$26="")*(G$3:G$26=G12)*(J$3:J$26&gt;J12))+SUMPRODUCT((P$3:P$26&lt;&gt;"")*(G$3:G$26=G12))+1,IF(N12&lt;&gt;"",SUMPRODUCT((N$3:N$26&lt;&gt;"")*(G$3:G$26=G12)*(J$3:J$26&gt;J12))+1,IF(M12="P",SUMPRODUCT((O$3:O$26&lt;&gt;"")*(P$3:P$26="")*(G$3:G$26=G12))+SUMPRODUCT((P$3:P$26&lt;&gt;"")*(G$3:G$26=G12))+SUMPRODUCT((N$3:N$26&lt;&gt;"")*(G$3:G$26=G12))+SUMPRODUCT((P$3:P$26="")*(O$3:O$26="")*(N$3:N$26="")*(M$3:M$26="P")*(G$3:G$26=G12)*(J$3:J$26&gt;J12))+IF(H12="L5",SUMPRODUCT((P$3:P$26="")*(O$3:O$26="")*(N$3:N$26="")*(M$3:M$26="P")*(G$3:G$26=G12)*(J$3:J$26&lt;J12)*(H$3:H$26&lt;&gt;H12)),-1*SUMPRODUCT((P$3:P$26="")*(O$3:O$26="")*(N$3:N$26="")*(M$3:M$26="P")*(G$3:G$26=G12)*(J$3:J$26&gt;J12)*(H$3:H$26="L5")))+1,""))))</f>
        <v/>
      </c>
      <c r="C12" s="35" t="s">
        <v>95</v>
      </c>
      <c r="D12" s="35" t="str">
        <f>IF(E12="","",VLOOKUP(E12,'Coaching Points'!A:B,2,0))</f>
        <v>BC</v>
      </c>
      <c r="E12" s="35" t="s">
        <v>40</v>
      </c>
      <c r="F12" s="34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66</v>
      </c>
      <c r="I12" s="40"/>
      <c r="J12" s="4">
        <f t="shared" si="0"/>
        <v>40.600100000000005</v>
      </c>
      <c r="K12" s="3" t="str">
        <f>IF(G12="Not Age Eligible","",IF(MAX(T12,W12,Z12,AC12)&gt;=LOOKUP(G12,'Qualifying Scores'!$A$4:$A$7,'Qualifying Scores'!$H$4:$H$7),"P",""))</f>
        <v/>
      </c>
      <c r="L12" s="3" t="str">
        <f>IF(G12="Not Age Eligible","",IF(MAX(U12,X12,AA12,AD12)&gt;=LOOKUP(G12,'Qualifying Scores'!$A$10:$A$13,'Qualifying Scores'!$H$10:$H$13),"P",""))</f>
        <v/>
      </c>
      <c r="M12" s="3" t="str">
        <f>IF(G12="Not Age Eligible","",IF(OR(AND(T12&gt;=LOOKUP(G12,'Qualifying Scores'!$A$4:$A$7,'Qualifying Scores'!$H$4:$H$7),U12&gt;=LOOKUP(G12,'Qualifying Scores'!$A$10:$A$13,'Qualifying Scores'!$H$10:$H$13)),AND(Z12&gt;=LOOKUP(G12,'Qualifying Scores'!$A$4:$A$7,'Qualifying Scores'!$H$4:$H$7),AA12&gt;=LOOKUP(G12,'Qualifying Scores'!$A$10:$A$13,'Qualifying Scores'!$H$10:$H$13)),AND(W12&gt;=LOOKUP(G12,'Qualifying Scores'!$A$4:$A$7,'Qualifying Scores'!$H$4:$H$7),X12&gt;=LOOKUP(G12,'Qualifying Scores'!$A$10:$A$13,'Qualifying Scores'!$H$10:$H$13)),AND(AC12&gt;=LOOKUP(G12,'Qualifying Scores'!$A$4:$A$7,'Qualifying Scores'!$H$4:$H$7),AD12&gt;=LOOKUP(G12,'Qualifying Scores'!$A$10:$A$13,'Qualifying Scores'!$H$10:$H$13))),"P",""))</f>
        <v/>
      </c>
      <c r="Q12" s="1" t="str">
        <f t="shared" si="1"/>
        <v/>
      </c>
      <c r="R12" s="4">
        <f t="shared" si="2"/>
        <v>40.6</v>
      </c>
      <c r="S12" s="4">
        <f t="shared" si="3"/>
        <v>37.4</v>
      </c>
      <c r="T12" s="32">
        <v>41.2</v>
      </c>
      <c r="U12" s="37">
        <v>8</v>
      </c>
      <c r="V12" s="37">
        <v>0.6</v>
      </c>
      <c r="W12" s="33">
        <v>38.299999999999997</v>
      </c>
      <c r="X12" s="37">
        <v>7.6</v>
      </c>
      <c r="Y12" s="37">
        <v>0.89999999999999991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$26&lt;&gt;"")*(G$3:G$26=G13)*(J$3:J$26&gt;J13)*(I$3:I$26="P"))+1,IF(O13&lt;&gt;"",SUMPRODUCT((O$3:O$26&lt;&gt;"")*(P$3:P$26="")*(G$3:G$26=G13)*(J$3:J$26&gt;J13)*(I$3:I$26="P"))+SUMPRODUCT((P$3:P$26&lt;&gt;"")*(G$3:G$26=G13)*(I$3:I$26="P"))+1,IF(N13&lt;&gt;"",SUMPRODUCT((N$3:N$26&lt;&gt;"")*(G$3:G$26=G13)*(J$3:J$26&gt;J13)*(I$3:I$26="P"))+1,IF(M13="P",SUMPRODUCT((O$3:O$26&lt;&gt;"")*(P$3:P$26="")*(G$3:G$26=G13)*(I$3:I$26="P"))+SUMPRODUCT((P$3:P$26&lt;&gt;"")*(G$3:G$26=G13)*(I$3:I$26="P"))+SUMPRODUCT((N$3:N$26&lt;&gt;"")*(G$3:G$26=G13)*(I$3:I$26="P"))+SUMPRODUCT((P$3:P$26="")*(O$3:O$26="")*(N$3:N$26="")*(M$3:M$26="P")*(G$3:G$26=G13)*(J$3:J$26&gt;J13)*(I$3:I$26="P"))+IF(H13="L5",SUMPRODUCT((P$3:P$26="")*(O$3:O$26="")*(N$3:N$26="")*(M$3:M$26="P")*(G$3:G$26=G13)*(J$3:J$26&lt;J13)*(H$3:H$26&lt;&gt;H13)*(I$3:I$26="P")),-1*SUMPRODUCT((P$3:P$26="")*(O$3:O$26="")*(N$3:N$26="")*(M$3:M$26="P")*(G$3:G$26=G13)*(J$3:J$26&gt;J13)*(H$3:H$26="L5")*(I$3:I$26="P")))+1,"")))))</f>
        <v/>
      </c>
      <c r="B13" s="1" t="str" cm="1">
        <f t="array" ref="B13">IF(P13&lt;&gt;"",SUMPRODUCT((P$3:P$26&lt;&gt;"")*(G$3:G$26=G13)*(J$3:J$26&gt;J13))+1,IF(O13&lt;&gt;"",SUMPRODUCT((O$3:O$26&lt;&gt;"")*(P$3:P$26="")*(G$3:G$26=G13)*(J$3:J$26&gt;J13))+SUMPRODUCT((P$3:P$26&lt;&gt;"")*(G$3:G$26=G13))+1,IF(N13&lt;&gt;"",SUMPRODUCT((N$3:N$26&lt;&gt;"")*(G$3:G$26=G13)*(J$3:J$26&gt;J13))+1,IF(M13="P",SUMPRODUCT((O$3:O$26&lt;&gt;"")*(P$3:P$26="")*(G$3:G$26=G13))+SUMPRODUCT((P$3:P$26&lt;&gt;"")*(G$3:G$26=G13))+SUMPRODUCT((N$3:N$26&lt;&gt;"")*(G$3:G$26=G13))+SUMPRODUCT((P$3:P$26="")*(O$3:O$26="")*(N$3:N$26="")*(M$3:M$26="P")*(G$3:G$26=G13)*(J$3:J$26&gt;J13))+IF(H13="L5",SUMPRODUCT((P$3:P$26="")*(O$3:O$26="")*(N$3:N$26="")*(M$3:M$26="P")*(G$3:G$26=G13)*(J$3:J$26&lt;J13)*(H$3:H$26&lt;&gt;H13)),-1*SUMPRODUCT((P$3:P$26="")*(O$3:O$26="")*(N$3:N$26="")*(M$3:M$26="P")*(G$3:G$26=G13)*(J$3:J$26&gt;J13)*(H$3:H$26="L5")))+1,""))))</f>
        <v/>
      </c>
      <c r="C13" s="35" t="s">
        <v>195</v>
      </c>
      <c r="D13" s="35" t="str">
        <f>IF(E13="","",VLOOKUP(E13,'Coaching Points'!A:B,2,0))</f>
        <v>AB</v>
      </c>
      <c r="E13" s="35" t="s">
        <v>62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66</v>
      </c>
      <c r="I13" s="40"/>
      <c r="J13" s="4">
        <f t="shared" si="0"/>
        <v>40.200099999999999</v>
      </c>
      <c r="K13" s="3" t="str">
        <f>IF(G13="Not Age Eligible","",IF(MAX(T13,W13,Z13,AC13)&gt;=LOOKUP(G13,'Qualifying Scores'!$A$4:$A$7,'Qualifying Scores'!$H$4:$H$7),"P",""))</f>
        <v/>
      </c>
      <c r="L13" s="3" t="str">
        <f>IF(G13="Not Age Eligible","",IF(MAX(U13,X13,AA13,AD13)&gt;=LOOKUP(G13,'Qualifying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Scores'!$H$10:$H$13)),AND(Z13&gt;=LOOKUP(G13,'Qualifying Scores'!$A$4:$A$7,'Qualifying Scores'!$H$4:$H$7),AA13&gt;=LOOKUP(G13,'Qualifying Scores'!$A$10:$A$13,'Qualifying Scores'!$H$10:$H$13)),AND(W13&gt;=LOOKUP(G13,'Qualifying Scores'!$A$4:$A$7,'Qualifying Scores'!$H$4:$H$7),X13&gt;=LOOKUP(G13,'Qualifying Scores'!$A$10:$A$13,'Qualifying Scores'!$H$10:$H$13)),AND(AC13&gt;=LOOKUP(G13,'Qualifying Scores'!$A$4:$A$7,'Qualifying Scores'!$H$4:$H$7),AD13&gt;=LOOKUP(G13,'Qualifying Scores'!$A$10:$A$13,'Qualifying Scores'!$H$10:$H$13))),"P",""))</f>
        <v/>
      </c>
      <c r="Q13" s="1" t="str">
        <f t="shared" si="1"/>
        <v/>
      </c>
      <c r="R13" s="4">
        <f t="shared" si="2"/>
        <v>40.199999999999996</v>
      </c>
      <c r="S13" s="4">
        <f t="shared" si="3"/>
        <v>35.799999999999997</v>
      </c>
      <c r="T13" s="32">
        <v>40.799999999999997</v>
      </c>
      <c r="U13" s="37">
        <v>8</v>
      </c>
      <c r="V13" s="37">
        <v>0.6</v>
      </c>
      <c r="W13" s="33">
        <v>36.4</v>
      </c>
      <c r="X13" s="37">
        <v>5.8</v>
      </c>
      <c r="Y13" s="37">
        <v>0.6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$26&lt;&gt;"")*(G$3:G$26=G14)*(J$3:J$26&gt;J14)*(I$3:I$26="P"))+1,IF(O14&lt;&gt;"",SUMPRODUCT((O$3:O$26&lt;&gt;"")*(P$3:P$26="")*(G$3:G$26=G14)*(J$3:J$26&gt;J14)*(I$3:I$26="P"))+SUMPRODUCT((P$3:P$26&lt;&gt;"")*(G$3:G$26=G14)*(I$3:I$26="P"))+1,IF(N14&lt;&gt;"",SUMPRODUCT((N$3:N$26&lt;&gt;"")*(G$3:G$26=G14)*(J$3:J$26&gt;J14)*(I$3:I$26="P"))+1,IF(M14="P",SUMPRODUCT((O$3:O$26&lt;&gt;"")*(P$3:P$26="")*(G$3:G$26=G14)*(I$3:I$26="P"))+SUMPRODUCT((P$3:P$26&lt;&gt;"")*(G$3:G$26=G14)*(I$3:I$26="P"))+SUMPRODUCT((N$3:N$26&lt;&gt;"")*(G$3:G$26=G14)*(I$3:I$26="P"))+SUMPRODUCT((P$3:P$26="")*(O$3:O$26="")*(N$3:N$26="")*(M$3:M$26="P")*(G$3:G$26=G14)*(J$3:J$26&gt;J14)*(I$3:I$26="P"))+IF(H14="L5",SUMPRODUCT((P$3:P$26="")*(O$3:O$26="")*(N$3:N$26="")*(M$3:M$26="P")*(G$3:G$26=G14)*(J$3:J$26&lt;J14)*(H$3:H$26&lt;&gt;H14)*(I$3:I$26="P")),-1*SUMPRODUCT((P$3:P$26="")*(O$3:O$26="")*(N$3:N$26="")*(M$3:M$26="P")*(G$3:G$26=G14)*(J$3:J$26&gt;J14)*(H$3:H$26="L5")*(I$3:I$26="P")))+1,"")))))</f>
        <v/>
      </c>
      <c r="B14" s="1" t="str" cm="1">
        <f t="array" ref="B14">IF(P14&lt;&gt;"",SUMPRODUCT((P$3:P$26&lt;&gt;"")*(G$3:G$26=G14)*(J$3:J$26&gt;J14))+1,IF(O14&lt;&gt;"",SUMPRODUCT((O$3:O$26&lt;&gt;"")*(P$3:P$26="")*(G$3:G$26=G14)*(J$3:J$26&gt;J14))+SUMPRODUCT((P$3:P$26&lt;&gt;"")*(G$3:G$26=G14))+1,IF(N14&lt;&gt;"",SUMPRODUCT((N$3:N$26&lt;&gt;"")*(G$3:G$26=G14)*(J$3:J$26&gt;J14))+1,IF(M14="P",SUMPRODUCT((O$3:O$26&lt;&gt;"")*(P$3:P$26="")*(G$3:G$26=G14))+SUMPRODUCT((P$3:P$26&lt;&gt;"")*(G$3:G$26=G14))+SUMPRODUCT((N$3:N$26&lt;&gt;"")*(G$3:G$26=G14))+SUMPRODUCT((P$3:P$26="")*(O$3:O$26="")*(N$3:N$26="")*(M$3:M$26="P")*(G$3:G$26=G14)*(J$3:J$26&gt;J14))+IF(H14="L5",SUMPRODUCT((P$3:P$26="")*(O$3:O$26="")*(N$3:N$26="")*(M$3:M$26="P")*(G$3:G$26=G14)*(J$3:J$26&lt;J14)*(H$3:H$26&lt;&gt;H14)),-1*SUMPRODUCT((P$3:P$26="")*(O$3:O$26="")*(N$3:N$26="")*(M$3:M$26="P")*(G$3:G$26=G14)*(J$3:J$26&gt;J14)*(H$3:H$26="L5")))+1,""))))</f>
        <v/>
      </c>
      <c r="C14" s="35" t="s">
        <v>287</v>
      </c>
      <c r="D14" s="35" t="str">
        <f>IF(E14="","",VLOOKUP(E14,'Coaching Points'!A:B,2,0))</f>
        <v>BC</v>
      </c>
      <c r="E14" s="35" t="s">
        <v>60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66</v>
      </c>
      <c r="I14" s="40"/>
      <c r="J14" s="4">
        <f t="shared" si="0"/>
        <v>39.800100000000008</v>
      </c>
      <c r="K14" s="3" t="str">
        <f>IF(G14="Not Age Eligible","",IF(MAX(T14,W14,Z14,AC14)&gt;=LOOKUP(G14,'Qualifying Scores'!$A$4:$A$7,'Qualifying Scores'!$H$4:$H$7),"P",""))</f>
        <v/>
      </c>
      <c r="L14" s="3" t="str">
        <f>IF(G14="Not Age Eligible","",IF(MAX(U14,X14,AA14,AD14)&gt;=LOOKUP(G14,'Qualifying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Scores'!$H$10:$H$13)),AND(Z14&gt;=LOOKUP(G14,'Qualifying Scores'!$A$4:$A$7,'Qualifying Scores'!$H$4:$H$7),AA14&gt;=LOOKUP(G14,'Qualifying Scores'!$A$10:$A$13,'Qualifying Scores'!$H$10:$H$13)),AND(W14&gt;=LOOKUP(G14,'Qualifying Scores'!$A$4:$A$7,'Qualifying Scores'!$H$4:$H$7),X14&gt;=LOOKUP(G14,'Qualifying Scores'!$A$10:$A$13,'Qualifying Scores'!$H$10:$H$13)),AND(AC14&gt;=LOOKUP(G14,'Qualifying Scores'!$A$4:$A$7,'Qualifying Scores'!$H$4:$H$7),AD14&gt;=LOOKUP(G14,'Qualifying Scores'!$A$10:$A$13,'Qualifying Scores'!$H$10:$H$13))),"P",""))</f>
        <v/>
      </c>
      <c r="Q14" s="1" t="str">
        <f t="shared" si="1"/>
        <v/>
      </c>
      <c r="R14" s="4">
        <f t="shared" si="2"/>
        <v>39.800000000000004</v>
      </c>
      <c r="S14" s="4">
        <f t="shared" si="3"/>
        <v>38.400000000000006</v>
      </c>
      <c r="T14" s="32">
        <v>40.1</v>
      </c>
      <c r="U14" s="37">
        <v>7.5</v>
      </c>
      <c r="V14" s="37">
        <v>0.3</v>
      </c>
      <c r="W14" s="33">
        <v>38.700000000000003</v>
      </c>
      <c r="X14" s="37">
        <v>6.6</v>
      </c>
      <c r="Y14" s="37">
        <v>0.3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$26&lt;&gt;"")*(G$3:G$26=G15)*(J$3:J$26&gt;J15)*(I$3:I$26="P"))+1,IF(O15&lt;&gt;"",SUMPRODUCT((O$3:O$26&lt;&gt;"")*(P$3:P$26="")*(G$3:G$26=G15)*(J$3:J$26&gt;J15)*(I$3:I$26="P"))+SUMPRODUCT((P$3:P$26&lt;&gt;"")*(G$3:G$26=G15)*(I$3:I$26="P"))+1,IF(N15&lt;&gt;"",SUMPRODUCT((N$3:N$26&lt;&gt;"")*(G$3:G$26=G15)*(J$3:J$26&gt;J15)*(I$3:I$26="P"))+1,IF(M15="P",SUMPRODUCT((O$3:O$26&lt;&gt;"")*(P$3:P$26="")*(G$3:G$26=G15)*(I$3:I$26="P"))+SUMPRODUCT((P$3:P$26&lt;&gt;"")*(G$3:G$26=G15)*(I$3:I$26="P"))+SUMPRODUCT((N$3:N$26&lt;&gt;"")*(G$3:G$26=G15)*(I$3:I$26="P"))+SUMPRODUCT((P$3:P$26="")*(O$3:O$26="")*(N$3:N$26="")*(M$3:M$26="P")*(G$3:G$26=G15)*(J$3:J$26&gt;J15)*(I$3:I$26="P"))+IF(H15="L5",SUMPRODUCT((P$3:P$26="")*(O$3:O$26="")*(N$3:N$26="")*(M$3:M$26="P")*(G$3:G$26=G15)*(J$3:J$26&lt;J15)*(H$3:H$26&lt;&gt;H15)*(I$3:I$26="P")),-1*SUMPRODUCT((P$3:P$26="")*(O$3:O$26="")*(N$3:N$26="")*(M$3:M$26="P")*(G$3:G$26=G15)*(J$3:J$26&gt;J15)*(H$3:H$26="L5")*(I$3:I$26="P")))+1,"")))))</f>
        <v/>
      </c>
      <c r="B15" s="1" t="str" cm="1">
        <f t="array" ref="B15">IF(P15&lt;&gt;"",SUMPRODUCT((P$3:P$26&lt;&gt;"")*(G$3:G$26=G15)*(J$3:J$26&gt;J15))+1,IF(O15&lt;&gt;"",SUMPRODUCT((O$3:O$26&lt;&gt;"")*(P$3:P$26="")*(G$3:G$26=G15)*(J$3:J$26&gt;J15))+SUMPRODUCT((P$3:P$26&lt;&gt;"")*(G$3:G$26=G15))+1,IF(N15&lt;&gt;"",SUMPRODUCT((N$3:N$26&lt;&gt;"")*(G$3:G$26=G15)*(J$3:J$26&gt;J15))+1,IF(M15="P",SUMPRODUCT((O$3:O$26&lt;&gt;"")*(P$3:P$26="")*(G$3:G$26=G15))+SUMPRODUCT((P$3:P$26&lt;&gt;"")*(G$3:G$26=G15))+SUMPRODUCT((N$3:N$26&lt;&gt;"")*(G$3:G$26=G15))+SUMPRODUCT((P$3:P$26="")*(O$3:O$26="")*(N$3:N$26="")*(M$3:M$26="P")*(G$3:G$26=G15)*(J$3:J$26&gt;J15))+IF(H15="L5",SUMPRODUCT((P$3:P$26="")*(O$3:O$26="")*(N$3:N$26="")*(M$3:M$26="P")*(G$3:G$26=G15)*(J$3:J$26&lt;J15)*(H$3:H$26&lt;&gt;H15)),-1*SUMPRODUCT((P$3:P$26="")*(O$3:O$26="")*(N$3:N$26="")*(M$3:M$26="P")*(G$3:G$26=G15)*(J$3:J$26&gt;J15)*(H$3:H$26="L5")))+1,""))))</f>
        <v/>
      </c>
      <c r="C15" s="35" t="s">
        <v>186</v>
      </c>
      <c r="D15" s="35" t="str">
        <f>IF(E15="","",VLOOKUP(E15,'Coaching Points'!A:B,2,0))</f>
        <v>MB</v>
      </c>
      <c r="E15" s="35" t="s">
        <v>67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64</v>
      </c>
      <c r="I15" s="40"/>
      <c r="J15" s="4">
        <f t="shared" si="0"/>
        <v>37.6</v>
      </c>
      <c r="K15" s="3" t="str">
        <f>IF(G15="Not Age Eligible","",IF(MAX(T15,W15,Z15,AC15)&gt;=LOOKUP(G15,'Qualifying Scores'!$A$4:$A$7,'Qualifying Scores'!$H$4:$H$7),"P",""))</f>
        <v/>
      </c>
      <c r="L15" s="3" t="str">
        <f>IF(G15="Not Age Eligible","",IF(MAX(U15,X15,AA15,AD15)&gt;=LOOKUP(G15,'Qualifying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Scores'!$H$10:$H$13)),AND(Z15&gt;=LOOKUP(G15,'Qualifying Scores'!$A$4:$A$7,'Qualifying Scores'!$H$4:$H$7),AA15&gt;=LOOKUP(G15,'Qualifying Scores'!$A$10:$A$13,'Qualifying Scores'!$H$10:$H$13)),AND(W15&gt;=LOOKUP(G15,'Qualifying Scores'!$A$4:$A$7,'Qualifying Scores'!$H$4:$H$7),X15&gt;=LOOKUP(G15,'Qualifying Scores'!$A$10:$A$13,'Qualifying Scores'!$H$10:$H$13)),AND(AC15&gt;=LOOKUP(G15,'Qualifying Scores'!$A$4:$A$7,'Qualifying Scores'!$H$4:$H$7),AD15&gt;=LOOKUP(G15,'Qualifying Scores'!$A$10:$A$13,'Qualifying Scores'!$H$10:$H$13))),"P",""))</f>
        <v/>
      </c>
      <c r="Q15" s="1" t="str">
        <f t="shared" si="1"/>
        <v/>
      </c>
      <c r="R15" s="4">
        <f t="shared" si="2"/>
        <v>37.6</v>
      </c>
      <c r="S15" s="4">
        <f t="shared" si="3"/>
        <v>36.299999999999997</v>
      </c>
      <c r="T15" s="32">
        <v>38.299999999999997</v>
      </c>
      <c r="U15" s="37">
        <v>7.3</v>
      </c>
      <c r="V15" s="37">
        <v>2</v>
      </c>
      <c r="W15" s="33">
        <v>39.6</v>
      </c>
      <c r="X15" s="37">
        <v>7.3</v>
      </c>
      <c r="Y15" s="37">
        <v>2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$26&lt;&gt;"")*(G$3:G$26=G16)*(J$3:J$26&gt;J16)*(I$3:I$26="P"))+1,IF(O16&lt;&gt;"",SUMPRODUCT((O$3:O$26&lt;&gt;"")*(P$3:P$26="")*(G$3:G$26=G16)*(J$3:J$26&gt;J16)*(I$3:I$26="P"))+SUMPRODUCT((P$3:P$26&lt;&gt;"")*(G$3:G$26=G16)*(I$3:I$26="P"))+1,IF(N16&lt;&gt;"",SUMPRODUCT((N$3:N$26&lt;&gt;"")*(G$3:G$26=G16)*(J$3:J$26&gt;J16)*(I$3:I$26="P"))+1,IF(M16="P",SUMPRODUCT((O$3:O$26&lt;&gt;"")*(P$3:P$26="")*(G$3:G$26=G16)*(I$3:I$26="P"))+SUMPRODUCT((P$3:P$26&lt;&gt;"")*(G$3:G$26=G16)*(I$3:I$26="P"))+SUMPRODUCT((N$3:N$26&lt;&gt;"")*(G$3:G$26=G16)*(I$3:I$26="P"))+SUMPRODUCT((P$3:P$26="")*(O$3:O$26="")*(N$3:N$26="")*(M$3:M$26="P")*(G$3:G$26=G16)*(J$3:J$26&gt;J16)*(I$3:I$26="P"))+IF(H16="L5",SUMPRODUCT((P$3:P$26="")*(O$3:O$26="")*(N$3:N$26="")*(M$3:M$26="P")*(G$3:G$26=G16)*(J$3:J$26&lt;J16)*(H$3:H$26&lt;&gt;H16)*(I$3:I$26="P")),-1*SUMPRODUCT((P$3:P$26="")*(O$3:O$26="")*(N$3:N$26="")*(M$3:M$26="P")*(G$3:G$26=G16)*(J$3:J$26&gt;J16)*(H$3:H$26="L5")*(I$3:I$26="P")))+1,"")))))</f>
        <v/>
      </c>
      <c r="B16" s="1" cm="1">
        <f t="array" ref="B16">IF(P16&lt;&gt;"",SUMPRODUCT((P$3:P$26&lt;&gt;"")*(G$3:G$26=G16)*(J$3:J$26&gt;J16))+1,IF(O16&lt;&gt;"",SUMPRODUCT((O$3:O$26&lt;&gt;"")*(P$3:P$26="")*(G$3:G$26=G16)*(J$3:J$26&gt;J16))+SUMPRODUCT((P$3:P$26&lt;&gt;"")*(G$3:G$26=G16))+1,IF(N16&lt;&gt;"",SUMPRODUCT((N$3:N$26&lt;&gt;"")*(G$3:G$26=G16)*(J$3:J$26&gt;J16))+1,IF(M16="P",SUMPRODUCT((O$3:O$26&lt;&gt;"")*(P$3:P$26="")*(G$3:G$26=G16))+SUMPRODUCT((P$3:P$26&lt;&gt;"")*(G$3:G$26=G16))+SUMPRODUCT((N$3:N$26&lt;&gt;"")*(G$3:G$26=G16))+SUMPRODUCT((P$3:P$26="")*(O$3:O$26="")*(N$3:N$26="")*(M$3:M$26="P")*(G$3:G$26=G16)*(J$3:J$26&gt;J16))+IF(H16="L5",SUMPRODUCT((P$3:P$26="")*(O$3:O$26="")*(N$3:N$26="")*(M$3:M$26="P")*(G$3:G$26=G16)*(J$3:J$26&lt;J16)*(H$3:H$26&lt;&gt;H16)),-1*SUMPRODUCT((P$3:P$26="")*(O$3:O$26="")*(N$3:N$26="")*(M$3:M$26="P")*(G$3:G$26=G16)*(J$3:J$26&gt;J16)*(H$3:H$26="L5")))+1,""))))</f>
        <v>1</v>
      </c>
      <c r="C16" s="35" t="s">
        <v>132</v>
      </c>
      <c r="D16" s="35" t="str">
        <f>IF(E16="","",VLOOKUP(E16,'Coaching Points'!A:B,2,0))</f>
        <v>AB</v>
      </c>
      <c r="E16" s="35" t="s">
        <v>62</v>
      </c>
      <c r="F16" s="34">
        <v>2008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15-16</v>
      </c>
      <c r="H16" s="36" t="s">
        <v>63</v>
      </c>
      <c r="I16" s="40"/>
      <c r="J16" s="4">
        <f t="shared" si="0"/>
        <v>45.900199999999998</v>
      </c>
      <c r="K16" s="3" t="str">
        <f>IF(G16="Not Age Eligible","",IF(MAX(T16,W16,Z16,AC16)&gt;=LOOKUP(G16,'Qualifying Scores'!$A$4:$A$7,'Qualifying Scores'!$H$4:$H$7),"P",""))</f>
        <v>P</v>
      </c>
      <c r="L16" s="3" t="str">
        <f>IF(G16="Not Age Eligible","",IF(MAX(U16,X16,AA16,AD16)&gt;=LOOKUP(G16,'Qualifying Scores'!$A$10:$A$13,'Qualifying Scores'!$H$10:$H$13),"P",""))</f>
        <v>P</v>
      </c>
      <c r="M16" s="3" t="str">
        <f>IF(G16="Not Age Eligible","",IF(OR(AND(T16&gt;=LOOKUP(G16,'Qualifying Scores'!$A$4:$A$7,'Qualifying Scores'!$H$4:$H$7),U16&gt;=LOOKUP(G16,'Qualifying Scores'!$A$10:$A$13,'Qualifying Scores'!$H$10:$H$13)),AND(Z16&gt;=LOOKUP(G16,'Qualifying Scores'!$A$4:$A$7,'Qualifying Scores'!$H$4:$H$7),AA16&gt;=LOOKUP(G16,'Qualifying Scores'!$A$10:$A$13,'Qualifying Scores'!$H$10:$H$13)),AND(W16&gt;=LOOKUP(G16,'Qualifying Scores'!$A$4:$A$7,'Qualifying Scores'!$H$4:$H$7),X16&gt;=LOOKUP(G16,'Qualifying Scores'!$A$10:$A$13,'Qualifying Scores'!$H$10:$H$13)),AND(AC16&gt;=LOOKUP(G16,'Qualifying Scores'!$A$4:$A$7,'Qualifying Scores'!$H$4:$H$7),AD16&gt;=LOOKUP(G16,'Qualifying Scores'!$A$10:$A$13,'Qualifying Scores'!$H$10:$H$13))),"P",""))</f>
        <v>P</v>
      </c>
      <c r="N16" s="36">
        <v>1</v>
      </c>
      <c r="Q16" s="1" t="str">
        <f t="shared" si="1"/>
        <v/>
      </c>
      <c r="R16" s="4">
        <f t="shared" si="2"/>
        <v>45.9</v>
      </c>
      <c r="S16" s="4">
        <f t="shared" si="3"/>
        <v>41.300000000000004</v>
      </c>
      <c r="T16" s="32">
        <v>47.1</v>
      </c>
      <c r="U16" s="37">
        <v>13.6</v>
      </c>
      <c r="V16" s="37">
        <v>1.2</v>
      </c>
      <c r="W16" s="33">
        <v>42.2</v>
      </c>
      <c r="X16" s="37">
        <v>11.6</v>
      </c>
      <c r="Y16" s="37">
        <v>0.89999999999999991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$26&lt;&gt;"")*(G$3:G$26=G17)*(J$3:J$26&gt;J17)*(I$3:I$26="P"))+1,IF(O17&lt;&gt;"",SUMPRODUCT((O$3:O$26&lt;&gt;"")*(P$3:P$26="")*(G$3:G$26=G17)*(J$3:J$26&gt;J17)*(I$3:I$26="P"))+SUMPRODUCT((P$3:P$26&lt;&gt;"")*(G$3:G$26=G17)*(I$3:I$26="P"))+1,IF(N17&lt;&gt;"",SUMPRODUCT((N$3:N$26&lt;&gt;"")*(G$3:G$26=G17)*(J$3:J$26&gt;J17)*(I$3:I$26="P"))+1,IF(M17="P",SUMPRODUCT((O$3:O$26&lt;&gt;"")*(P$3:P$26="")*(G$3:G$26=G17)*(I$3:I$26="P"))+SUMPRODUCT((P$3:P$26&lt;&gt;"")*(G$3:G$26=G17)*(I$3:I$26="P"))+SUMPRODUCT((N$3:N$26&lt;&gt;"")*(G$3:G$26=G17)*(I$3:I$26="P"))+SUMPRODUCT((P$3:P$26="")*(O$3:O$26="")*(N$3:N$26="")*(M$3:M$26="P")*(G$3:G$26=G17)*(J$3:J$26&gt;J17)*(I$3:I$26="P"))+IF(H17="L5",SUMPRODUCT((P$3:P$26="")*(O$3:O$26="")*(N$3:N$26="")*(M$3:M$26="P")*(G$3:G$26=G17)*(J$3:J$26&lt;J17)*(H$3:H$26&lt;&gt;H17)*(I$3:I$26="P")),-1*SUMPRODUCT((P$3:P$26="")*(O$3:O$26="")*(N$3:N$26="")*(M$3:M$26="P")*(G$3:G$26=G17)*(J$3:J$26&gt;J17)*(H$3:H$26="L5")*(I$3:I$26="P")))+1,"")))))</f>
        <v/>
      </c>
      <c r="B17" s="1" cm="1">
        <f t="array" ref="B17">IF(P17&lt;&gt;"",SUMPRODUCT((P$3:P$26&lt;&gt;"")*(G$3:G$26=G17)*(J$3:J$26&gt;J17))+1,IF(O17&lt;&gt;"",SUMPRODUCT((O$3:O$26&lt;&gt;"")*(P$3:P$26="")*(G$3:G$26=G17)*(J$3:J$26&gt;J17))+SUMPRODUCT((P$3:P$26&lt;&gt;"")*(G$3:G$26=G17))+1,IF(N17&lt;&gt;"",SUMPRODUCT((N$3:N$26&lt;&gt;"")*(G$3:G$26=G17)*(J$3:J$26&gt;J17))+1,IF(M17="P",SUMPRODUCT((O$3:O$26&lt;&gt;"")*(P$3:P$26="")*(G$3:G$26=G17))+SUMPRODUCT((P$3:P$26&lt;&gt;"")*(G$3:G$26=G17))+SUMPRODUCT((N$3:N$26&lt;&gt;"")*(G$3:G$26=G17))+SUMPRODUCT((P$3:P$26="")*(O$3:O$26="")*(N$3:N$26="")*(M$3:M$26="P")*(G$3:G$26=G17)*(J$3:J$26&gt;J17))+IF(H17="L5",SUMPRODUCT((P$3:P$26="")*(O$3:O$26="")*(N$3:N$26="")*(M$3:M$26="P")*(G$3:G$26=G17)*(J$3:J$26&lt;J17)*(H$3:H$26&lt;&gt;H17)),-1*SUMPRODUCT((P$3:P$26="")*(O$3:O$26="")*(N$3:N$26="")*(M$3:M$26="P")*(G$3:G$26=G17)*(J$3:J$26&gt;J17)*(H$3:H$26="L5")))+1,""))))</f>
        <v>2</v>
      </c>
      <c r="C17" s="35" t="s">
        <v>77</v>
      </c>
      <c r="D17" s="35" t="str">
        <f>IF(E17="","",VLOOKUP(E17,'Coaching Points'!A:B,2,0))</f>
        <v>AB</v>
      </c>
      <c r="E17" s="35" t="s">
        <v>62</v>
      </c>
      <c r="F17" s="34">
        <v>2008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15-16</v>
      </c>
      <c r="H17" s="36" t="s">
        <v>63</v>
      </c>
      <c r="I17" s="40"/>
      <c r="J17" s="4">
        <f t="shared" si="0"/>
        <v>45.100199999999994</v>
      </c>
      <c r="K17" s="3" t="str">
        <f>IF(G17="Not Age Eligible","",IF(MAX(T17,W17,Z17,AC17)&gt;=LOOKUP(G17,'Qualifying Scores'!$A$4:$A$7,'Qualifying Scores'!$H$4:$H$7),"P",""))</f>
        <v>P</v>
      </c>
      <c r="L17" s="3" t="str">
        <f>IF(G17="Not Age Eligible","",IF(MAX(U17,X17,AA17,AD17)&gt;=LOOKUP(G17,'Qualifying Scores'!$A$10:$A$13,'Qualifying Scores'!$H$10:$H$13),"P",""))</f>
        <v>P</v>
      </c>
      <c r="M17" s="3" t="str">
        <f>IF(G17="Not Age Eligible","",IF(OR(AND(T17&gt;=LOOKUP(G17,'Qualifying Scores'!$A$4:$A$7,'Qualifying Scores'!$H$4:$H$7),U17&gt;=LOOKUP(G17,'Qualifying Scores'!$A$10:$A$13,'Qualifying Scores'!$H$10:$H$13)),AND(Z17&gt;=LOOKUP(G17,'Qualifying Scores'!$A$4:$A$7,'Qualifying Scores'!$H$4:$H$7),AA17&gt;=LOOKUP(G17,'Qualifying Scores'!$A$10:$A$13,'Qualifying Scores'!$H$10:$H$13)),AND(W17&gt;=LOOKUP(G17,'Qualifying Scores'!$A$4:$A$7,'Qualifying Scores'!$H$4:$H$7),X17&gt;=LOOKUP(G17,'Qualifying Scores'!$A$10:$A$13,'Qualifying Scores'!$H$10:$H$13)),AND(AC17&gt;=LOOKUP(G17,'Qualifying Scores'!$A$4:$A$7,'Qualifying Scores'!$H$4:$H$7),AD17&gt;=LOOKUP(G17,'Qualifying Scores'!$A$10:$A$13,'Qualifying Scores'!$H$10:$H$13))),"P",""))</f>
        <v>P</v>
      </c>
      <c r="N17" s="36">
        <v>3</v>
      </c>
      <c r="Q17" s="1" t="str">
        <f t="shared" si="1"/>
        <v/>
      </c>
      <c r="R17" s="4">
        <f t="shared" si="2"/>
        <v>45.099999999999994</v>
      </c>
      <c r="S17" s="4">
        <f t="shared" si="3"/>
        <v>42.4</v>
      </c>
      <c r="T17" s="32">
        <v>43.6</v>
      </c>
      <c r="U17" s="37">
        <v>11.8</v>
      </c>
      <c r="V17" s="37">
        <v>1.2</v>
      </c>
      <c r="W17" s="33">
        <v>46.3</v>
      </c>
      <c r="X17" s="37">
        <v>13.3</v>
      </c>
      <c r="Y17" s="37">
        <v>1.2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$26&lt;&gt;"")*(G$3:G$26=G18)*(J$3:J$26&gt;J18)*(I$3:I$26="P"))+1,IF(O18&lt;&gt;"",SUMPRODUCT((O$3:O$26&lt;&gt;"")*(P$3:P$26="")*(G$3:G$26=G18)*(J$3:J$26&gt;J18)*(I$3:I$26="P"))+SUMPRODUCT((P$3:P$26&lt;&gt;"")*(G$3:G$26=G18)*(I$3:I$26="P"))+1,IF(N18&lt;&gt;"",SUMPRODUCT((N$3:N$26&lt;&gt;"")*(G$3:G$26=G18)*(J$3:J$26&gt;J18)*(I$3:I$26="P"))+1,IF(M18="P",SUMPRODUCT((O$3:O$26&lt;&gt;"")*(P$3:P$26="")*(G$3:G$26=G18)*(I$3:I$26="P"))+SUMPRODUCT((P$3:P$26&lt;&gt;"")*(G$3:G$26=G18)*(I$3:I$26="P"))+SUMPRODUCT((N$3:N$26&lt;&gt;"")*(G$3:G$26=G18)*(I$3:I$26="P"))+SUMPRODUCT((P$3:P$26="")*(O$3:O$26="")*(N$3:N$26="")*(M$3:M$26="P")*(G$3:G$26=G18)*(J$3:J$26&gt;J18)*(I$3:I$26="P"))+IF(H18="L5",SUMPRODUCT((P$3:P$26="")*(O$3:O$26="")*(N$3:N$26="")*(M$3:M$26="P")*(G$3:G$26=G18)*(J$3:J$26&lt;J18)*(H$3:H$26&lt;&gt;H18)*(I$3:I$26="P")),-1*SUMPRODUCT((P$3:P$26="")*(O$3:O$26="")*(N$3:N$26="")*(M$3:M$26="P")*(G$3:G$26=G18)*(J$3:J$26&gt;J18)*(H$3:H$26="L5")*(I$3:I$26="P")))+1,"")))))</f>
        <v/>
      </c>
      <c r="B18" s="1" cm="1">
        <f t="array" ref="B18">IF(P18&lt;&gt;"",SUMPRODUCT((P$3:P$26&lt;&gt;"")*(G$3:G$26=G18)*(J$3:J$26&gt;J18))+1,IF(O18&lt;&gt;"",SUMPRODUCT((O$3:O$26&lt;&gt;"")*(P$3:P$26="")*(G$3:G$26=G18)*(J$3:J$26&gt;J18))+SUMPRODUCT((P$3:P$26&lt;&gt;"")*(G$3:G$26=G18))+1,IF(N18&lt;&gt;"",SUMPRODUCT((N$3:N$26&lt;&gt;"")*(G$3:G$26=G18)*(J$3:J$26&gt;J18))+1,IF(M18="P",SUMPRODUCT((O$3:O$26&lt;&gt;"")*(P$3:P$26="")*(G$3:G$26=G18))+SUMPRODUCT((P$3:P$26&lt;&gt;"")*(G$3:G$26=G18))+SUMPRODUCT((N$3:N$26&lt;&gt;"")*(G$3:G$26=G18))+SUMPRODUCT((P$3:P$26="")*(O$3:O$26="")*(N$3:N$26="")*(M$3:M$26="P")*(G$3:G$26=G18)*(J$3:J$26&gt;J18))+IF(H18="L5",SUMPRODUCT((P$3:P$26="")*(O$3:O$26="")*(N$3:N$26="")*(M$3:M$26="P")*(G$3:G$26=G18)*(J$3:J$26&lt;J18)*(H$3:H$26&lt;&gt;H18)),-1*SUMPRODUCT((P$3:P$26="")*(O$3:O$26="")*(N$3:N$26="")*(M$3:M$26="P")*(G$3:G$26=G18)*(J$3:J$26&gt;J18)*(H$3:H$26="L5")))+1,""))))</f>
        <v>3</v>
      </c>
      <c r="C18" s="35" t="s">
        <v>194</v>
      </c>
      <c r="D18" s="35" t="str">
        <f>IF(E18="","",VLOOKUP(E18,'Coaching Points'!A:B,2,0))</f>
        <v>ON</v>
      </c>
      <c r="E18" s="35" t="s">
        <v>206</v>
      </c>
      <c r="F18" s="34">
        <v>2008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15-16</v>
      </c>
      <c r="H18" s="36" t="s">
        <v>63</v>
      </c>
      <c r="I18" s="40"/>
      <c r="J18" s="4">
        <f t="shared" si="0"/>
        <v>44.5002</v>
      </c>
      <c r="K18" s="3" t="str">
        <f>IF(G18="Not Age Eligible","",IF(MAX(T18,W18,Z18,AC18)&gt;=LOOKUP(G18,'Qualifying Scores'!$A$4:$A$7,'Qualifying Scores'!$H$4:$H$7),"P",""))</f>
        <v>P</v>
      </c>
      <c r="L18" s="3" t="str">
        <f>IF(G18="Not Age Eligible","",IF(MAX(U18,X18,AA18,AD18)&gt;=LOOKUP(G18,'Qualifying Scores'!$A$10:$A$13,'Qualifying Scores'!$H$10:$H$13),"P",""))</f>
        <v>P</v>
      </c>
      <c r="M18" s="3" t="str">
        <f>IF(G18="Not Age Eligible","",IF(OR(AND(T18&gt;=LOOKUP(G18,'Qualifying Scores'!$A$4:$A$7,'Qualifying Scores'!$H$4:$H$7),U18&gt;=LOOKUP(G18,'Qualifying Scores'!$A$10:$A$13,'Qualifying Scores'!$H$10:$H$13)),AND(Z18&gt;=LOOKUP(G18,'Qualifying Scores'!$A$4:$A$7,'Qualifying Scores'!$H$4:$H$7),AA18&gt;=LOOKUP(G18,'Qualifying Scores'!$A$10:$A$13,'Qualifying Scores'!$H$10:$H$13)),AND(W18&gt;=LOOKUP(G18,'Qualifying Scores'!$A$4:$A$7,'Qualifying Scores'!$H$4:$H$7),X18&gt;=LOOKUP(G18,'Qualifying Scores'!$A$10:$A$13,'Qualifying Scores'!$H$10:$H$13)),AND(AC18&gt;=LOOKUP(G18,'Qualifying Scores'!$A$4:$A$7,'Qualifying Scores'!$H$4:$H$7),AD18&gt;=LOOKUP(G18,'Qualifying Scores'!$A$10:$A$13,'Qualifying Scores'!$H$10:$H$13))),"P",""))</f>
        <v>P</v>
      </c>
      <c r="N18" s="36">
        <v>2</v>
      </c>
      <c r="Q18" s="1" t="str">
        <f t="shared" si="1"/>
        <v/>
      </c>
      <c r="R18" s="4">
        <f t="shared" si="2"/>
        <v>44.5</v>
      </c>
      <c r="S18" s="4">
        <f t="shared" si="3"/>
        <v>41</v>
      </c>
      <c r="T18" s="32">
        <v>45.7</v>
      </c>
      <c r="U18" s="37">
        <v>11.7</v>
      </c>
      <c r="V18" s="37">
        <v>1.2</v>
      </c>
      <c r="W18" s="33">
        <v>41.9</v>
      </c>
      <c r="X18" s="37">
        <v>10.399999999999999</v>
      </c>
      <c r="Y18" s="37">
        <v>0.89999999999999991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$26&lt;&gt;"")*(G$3:G$26=G19)*(J$3:J$26&gt;J19)*(I$3:I$26="P"))+1,IF(O19&lt;&gt;"",SUMPRODUCT((O$3:O$26&lt;&gt;"")*(P$3:P$26="")*(G$3:G$26=G19)*(J$3:J$26&gt;J19)*(I$3:I$26="P"))+SUMPRODUCT((P$3:P$26&lt;&gt;"")*(G$3:G$26=G19)*(I$3:I$26="P"))+1,IF(N19&lt;&gt;"",SUMPRODUCT((N$3:N$26&lt;&gt;"")*(G$3:G$26=G19)*(J$3:J$26&gt;J19)*(I$3:I$26="P"))+1,IF(M19="P",SUMPRODUCT((O$3:O$26&lt;&gt;"")*(P$3:P$26="")*(G$3:G$26=G19)*(I$3:I$26="P"))+SUMPRODUCT((P$3:P$26&lt;&gt;"")*(G$3:G$26=G19)*(I$3:I$26="P"))+SUMPRODUCT((N$3:N$26&lt;&gt;"")*(G$3:G$26=G19)*(I$3:I$26="P"))+SUMPRODUCT((P$3:P$26="")*(O$3:O$26="")*(N$3:N$26="")*(M$3:M$26="P")*(G$3:G$26=G19)*(J$3:J$26&gt;J19)*(I$3:I$26="P"))+IF(H19="L5",SUMPRODUCT((P$3:P$26="")*(O$3:O$26="")*(N$3:N$26="")*(M$3:M$26="P")*(G$3:G$26=G19)*(J$3:J$26&lt;J19)*(H$3:H$26&lt;&gt;H19)*(I$3:I$26="P")),-1*SUMPRODUCT((P$3:P$26="")*(O$3:O$26="")*(N$3:N$26="")*(M$3:M$26="P")*(G$3:G$26=G19)*(J$3:J$26&gt;J19)*(H$3:H$26="L5")*(I$3:I$26="P")))+1,"")))))</f>
        <v/>
      </c>
      <c r="B19" s="1" t="str" cm="1">
        <f t="array" ref="B19">IF(P19&lt;&gt;"",SUMPRODUCT((P$3:P$26&lt;&gt;"")*(G$3:G$26=G19)*(J$3:J$26&gt;J19))+1,IF(O19&lt;&gt;"",SUMPRODUCT((O$3:O$26&lt;&gt;"")*(P$3:P$26="")*(G$3:G$26=G19)*(J$3:J$26&gt;J19))+SUMPRODUCT((P$3:P$26&lt;&gt;"")*(G$3:G$26=G19))+1,IF(N19&lt;&gt;"",SUMPRODUCT((N$3:N$26&lt;&gt;"")*(G$3:G$26=G19)*(J$3:J$26&gt;J19))+1,IF(M19="P",SUMPRODUCT((O$3:O$26&lt;&gt;"")*(P$3:P$26="")*(G$3:G$26=G19))+SUMPRODUCT((P$3:P$26&lt;&gt;"")*(G$3:G$26=G19))+SUMPRODUCT((N$3:N$26&lt;&gt;"")*(G$3:G$26=G19))+SUMPRODUCT((P$3:P$26="")*(O$3:O$26="")*(N$3:N$26="")*(M$3:M$26="P")*(G$3:G$26=G19)*(J$3:J$26&gt;J19))+IF(H19="L5",SUMPRODUCT((P$3:P$26="")*(O$3:O$26="")*(N$3:N$26="")*(M$3:M$26="P")*(G$3:G$26=G19)*(J$3:J$26&lt;J19)*(H$3:H$26&lt;&gt;H19)),-1*SUMPRODUCT((P$3:P$26="")*(O$3:O$26="")*(N$3:N$26="")*(M$3:M$26="P")*(G$3:G$26=G19)*(J$3:J$26&gt;J19)*(H$3:H$26="L5")))+1,""))))</f>
        <v/>
      </c>
      <c r="C19" s="35" t="s">
        <v>76</v>
      </c>
      <c r="D19" s="35" t="str">
        <f>IF(E19="","",VLOOKUP(E19,'Coaching Points'!A:B,2,0))</f>
        <v>SK</v>
      </c>
      <c r="E19" s="35" t="s">
        <v>329</v>
      </c>
      <c r="F19" s="34">
        <v>2009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15-16</v>
      </c>
      <c r="H19" s="36" t="s">
        <v>65</v>
      </c>
      <c r="I19" s="40"/>
      <c r="J19" s="4">
        <f t="shared" si="0"/>
        <v>43.200099999999999</v>
      </c>
      <c r="K19" s="3" t="str">
        <f>IF(G19="Not Age Eligible","",IF(MAX(T19,W19,Z19,AC19)&gt;=LOOKUP(G19,'Qualifying Scores'!$A$4:$A$7,'Qualifying Scores'!$H$4:$H$7),"P",""))</f>
        <v>P</v>
      </c>
      <c r="L19" s="3" t="str">
        <f>IF(G19="Not Age Eligible","",IF(MAX(U19,X19,AA19,AD19)&gt;=LOOKUP(G19,'Qualifying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Scores'!$H$10:$H$13)),AND(Z19&gt;=LOOKUP(G19,'Qualifying Scores'!$A$4:$A$7,'Qualifying Scores'!$H$4:$H$7),AA19&gt;=LOOKUP(G19,'Qualifying Scores'!$A$10:$A$13,'Qualifying Scores'!$H$10:$H$13)),AND(W19&gt;=LOOKUP(G19,'Qualifying Scores'!$A$4:$A$7,'Qualifying Scores'!$H$4:$H$7),X19&gt;=LOOKUP(G19,'Qualifying Scores'!$A$10:$A$13,'Qualifying Scores'!$H$10:$H$13)),AND(AC19&gt;=LOOKUP(G19,'Qualifying Scores'!$A$4:$A$7,'Qualifying Scores'!$H$4:$H$7),AD19&gt;=LOOKUP(G19,'Qualifying Scores'!$A$10:$A$13,'Qualifying Scores'!$H$10:$H$13))),"P",""))</f>
        <v/>
      </c>
      <c r="Q19" s="1" t="str">
        <f t="shared" si="1"/>
        <v/>
      </c>
      <c r="R19" s="4">
        <f t="shared" si="2"/>
        <v>43.199999999999996</v>
      </c>
      <c r="S19" s="4">
        <f t="shared" si="3"/>
        <v>41.2</v>
      </c>
      <c r="T19" s="32">
        <v>41.5</v>
      </c>
      <c r="U19" s="37">
        <v>8.1</v>
      </c>
      <c r="V19" s="37">
        <v>0.3</v>
      </c>
      <c r="W19" s="33">
        <v>43.8</v>
      </c>
      <c r="X19" s="37">
        <v>8.3999999999999986</v>
      </c>
      <c r="Y19" s="37">
        <v>0.6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$26&lt;&gt;"")*(G$3:G$26=G20)*(J$3:J$26&gt;J20)*(I$3:I$26="P"))+1,IF(O20&lt;&gt;"",SUMPRODUCT((O$3:O$26&lt;&gt;"")*(P$3:P$26="")*(G$3:G$26=G20)*(J$3:J$26&gt;J20)*(I$3:I$26="P"))+SUMPRODUCT((P$3:P$26&lt;&gt;"")*(G$3:G$26=G20)*(I$3:I$26="P"))+1,IF(N20&lt;&gt;"",SUMPRODUCT((N$3:N$26&lt;&gt;"")*(G$3:G$26=G20)*(J$3:J$26&gt;J20)*(I$3:I$26="P"))+1,IF(M20="P",SUMPRODUCT((O$3:O$26&lt;&gt;"")*(P$3:P$26="")*(G$3:G$26=G20)*(I$3:I$26="P"))+SUMPRODUCT((P$3:P$26&lt;&gt;"")*(G$3:G$26=G20)*(I$3:I$26="P"))+SUMPRODUCT((N$3:N$26&lt;&gt;"")*(G$3:G$26=G20)*(I$3:I$26="P"))+SUMPRODUCT((P$3:P$26="")*(O$3:O$26="")*(N$3:N$26="")*(M$3:M$26="P")*(G$3:G$26=G20)*(J$3:J$26&gt;J20)*(I$3:I$26="P"))+IF(H20="L5",SUMPRODUCT((P$3:P$26="")*(O$3:O$26="")*(N$3:N$26="")*(M$3:M$26="P")*(G$3:G$26=G20)*(J$3:J$26&lt;J20)*(H$3:H$26&lt;&gt;H20)*(I$3:I$26="P")),-1*SUMPRODUCT((P$3:P$26="")*(O$3:O$26="")*(N$3:N$26="")*(M$3:M$26="P")*(G$3:G$26=G20)*(J$3:J$26&gt;J20)*(H$3:H$26="L5")*(I$3:I$26="P")))+1,"")))))</f>
        <v/>
      </c>
      <c r="B20" s="1" t="str" cm="1">
        <f t="array" ref="B20">IF(P20&lt;&gt;"",SUMPRODUCT((P$3:P$26&lt;&gt;"")*(G$3:G$26=G20)*(J$3:J$26&gt;J20))+1,IF(O20&lt;&gt;"",SUMPRODUCT((O$3:O$26&lt;&gt;"")*(P$3:P$26="")*(G$3:G$26=G20)*(J$3:J$26&gt;J20))+SUMPRODUCT((P$3:P$26&lt;&gt;"")*(G$3:G$26=G20))+1,IF(N20&lt;&gt;"",SUMPRODUCT((N$3:N$26&lt;&gt;"")*(G$3:G$26=G20)*(J$3:J$26&gt;J20))+1,IF(M20="P",SUMPRODUCT((O$3:O$26&lt;&gt;"")*(P$3:P$26="")*(G$3:G$26=G20))+SUMPRODUCT((P$3:P$26&lt;&gt;"")*(G$3:G$26=G20))+SUMPRODUCT((N$3:N$26&lt;&gt;"")*(G$3:G$26=G20))+SUMPRODUCT((P$3:P$26="")*(O$3:O$26="")*(N$3:N$26="")*(M$3:M$26="P")*(G$3:G$26=G20)*(J$3:J$26&gt;J20))+IF(H20="L5",SUMPRODUCT((P$3:P$26="")*(O$3:O$26="")*(N$3:N$26="")*(M$3:M$26="P")*(G$3:G$26=G20)*(J$3:J$26&lt;J20)*(H$3:H$26&lt;&gt;H20)),-1*SUMPRODUCT((P$3:P$26="")*(O$3:O$26="")*(N$3:N$26="")*(M$3:M$26="P")*(G$3:G$26=G20)*(J$3:J$26&gt;J20)*(H$3:H$26="L5")))+1,""))))</f>
        <v/>
      </c>
      <c r="C20" s="35" t="s">
        <v>283</v>
      </c>
      <c r="D20" s="35" t="str">
        <f>IF(E20="","",VLOOKUP(E20,'Coaching Points'!A:B,2,0))</f>
        <v>AB</v>
      </c>
      <c r="E20" s="35" t="s">
        <v>28</v>
      </c>
      <c r="F20" s="34">
        <v>2008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15-16</v>
      </c>
      <c r="H20" s="36" t="s">
        <v>64</v>
      </c>
      <c r="I20" s="40"/>
      <c r="J20" s="4">
        <f t="shared" si="0"/>
        <v>39.4</v>
      </c>
      <c r="K20" s="3" t="str">
        <f>IF(G20="Not Age Eligible","",IF(MAX(T20,W20,Z20,AC20)&gt;=LOOKUP(G20,'Qualifying Scores'!$A$4:$A$7,'Qualifying Scores'!$H$4:$H$7),"P",""))</f>
        <v/>
      </c>
      <c r="L20" s="3" t="str">
        <f>IF(G20="Not Age Eligible","",IF(MAX(U20,X20,AA20,AD20)&gt;=LOOKUP(G20,'Qualifying Scores'!$A$10:$A$13,'Qualifying Scores'!$H$10:$H$13),"P",""))</f>
        <v/>
      </c>
      <c r="M20" s="3" t="str">
        <f>IF(G20="Not Age Eligible","",IF(OR(AND(T20&gt;=LOOKUP(G20,'Qualifying Scores'!$A$4:$A$7,'Qualifying Scores'!$H$4:$H$7),U20&gt;=LOOKUP(G20,'Qualifying Scores'!$A$10:$A$13,'Qualifying Scores'!$H$10:$H$13)),AND(Z20&gt;=LOOKUP(G20,'Qualifying Scores'!$A$4:$A$7,'Qualifying Scores'!$H$4:$H$7),AA20&gt;=LOOKUP(G20,'Qualifying Scores'!$A$10:$A$13,'Qualifying Scores'!$H$10:$H$13)),AND(W20&gt;=LOOKUP(G20,'Qualifying Scores'!$A$4:$A$7,'Qualifying Scores'!$H$4:$H$7),X20&gt;=LOOKUP(G20,'Qualifying Scores'!$A$10:$A$13,'Qualifying Scores'!$H$10:$H$13)),AND(AC20&gt;=LOOKUP(G20,'Qualifying Scores'!$A$4:$A$7,'Qualifying Scores'!$H$4:$H$7),AD20&gt;=LOOKUP(G20,'Qualifying Scores'!$A$10:$A$13,'Qualifying Scores'!$H$10:$H$13))),"P",""))</f>
        <v/>
      </c>
      <c r="Q20" s="1" t="str">
        <f t="shared" si="1"/>
        <v/>
      </c>
      <c r="R20" s="4">
        <f t="shared" si="2"/>
        <v>39.4</v>
      </c>
      <c r="S20" s="4">
        <f t="shared" si="3"/>
        <v>38.4</v>
      </c>
      <c r="T20" s="32">
        <v>38.4</v>
      </c>
      <c r="U20" s="37">
        <v>6.9</v>
      </c>
      <c r="V20" s="37">
        <v>0</v>
      </c>
      <c r="W20" s="33">
        <v>39.4</v>
      </c>
      <c r="X20" s="37">
        <v>7.5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$26&lt;&gt;"")*(G$3:G$26=G21)*(J$3:J$26&gt;J21)*(I$3:I$26="P"))+1,IF(O21&lt;&gt;"",SUMPRODUCT((O$3:O$26&lt;&gt;"")*(P$3:P$26="")*(G$3:G$26=G21)*(J$3:J$26&gt;J21)*(I$3:I$26="P"))+SUMPRODUCT((P$3:P$26&lt;&gt;"")*(G$3:G$26=G21)*(I$3:I$26="P"))+1,IF(N21&lt;&gt;"",SUMPRODUCT((N$3:N$26&lt;&gt;"")*(G$3:G$26=G21)*(J$3:J$26&gt;J21)*(I$3:I$26="P"))+1,IF(M21="P",SUMPRODUCT((O$3:O$26&lt;&gt;"")*(P$3:P$26="")*(G$3:G$26=G21)*(I$3:I$26="P"))+SUMPRODUCT((P$3:P$26&lt;&gt;"")*(G$3:G$26=G21)*(I$3:I$26="P"))+SUMPRODUCT((N$3:N$26&lt;&gt;"")*(G$3:G$26=G21)*(I$3:I$26="P"))+SUMPRODUCT((P$3:P$26="")*(O$3:O$26="")*(N$3:N$26="")*(M$3:M$26="P")*(G$3:G$26=G21)*(J$3:J$26&gt;J21)*(I$3:I$26="P"))+IF(H21="L5",SUMPRODUCT((P$3:P$26="")*(O$3:O$26="")*(N$3:N$26="")*(M$3:M$26="P")*(G$3:G$26=G21)*(J$3:J$26&lt;J21)*(H$3:H$26&lt;&gt;H21)*(I$3:I$26="P")),-1*SUMPRODUCT((P$3:P$26="")*(O$3:O$26="")*(N$3:N$26="")*(M$3:M$26="P")*(G$3:G$26=G21)*(J$3:J$26&gt;J21)*(H$3:H$26="L5")*(I$3:I$26="P")))+1,"")))))</f>
        <v/>
      </c>
      <c r="B21" s="1" t="str" cm="1">
        <f t="array" ref="B21">IF(P21&lt;&gt;"",SUMPRODUCT((P$3:P$26&lt;&gt;"")*(G$3:G$26=G21)*(J$3:J$26&gt;J21))+1,IF(O21&lt;&gt;"",SUMPRODUCT((O$3:O$26&lt;&gt;"")*(P$3:P$26="")*(G$3:G$26=G21)*(J$3:J$26&gt;J21))+SUMPRODUCT((P$3:P$26&lt;&gt;"")*(G$3:G$26=G21))+1,IF(N21&lt;&gt;"",SUMPRODUCT((N$3:N$26&lt;&gt;"")*(G$3:G$26=G21)*(J$3:J$26&gt;J21))+1,IF(M21="P",SUMPRODUCT((O$3:O$26&lt;&gt;"")*(P$3:P$26="")*(G$3:G$26=G21))+SUMPRODUCT((P$3:P$26&lt;&gt;"")*(G$3:G$26=G21))+SUMPRODUCT((N$3:N$26&lt;&gt;"")*(G$3:G$26=G21))+SUMPRODUCT((P$3:P$26="")*(O$3:O$26="")*(N$3:N$26="")*(M$3:M$26="P")*(G$3:G$26=G21)*(J$3:J$26&gt;J21))+IF(H21="L5",SUMPRODUCT((P$3:P$26="")*(O$3:O$26="")*(N$3:N$26="")*(M$3:M$26="P")*(G$3:G$26=G21)*(J$3:J$26&lt;J21)*(H$3:H$26&lt;&gt;H21)),-1*SUMPRODUCT((P$3:P$26="")*(O$3:O$26="")*(N$3:N$26="")*(M$3:M$26="P")*(G$3:G$26=G21)*(J$3:J$26&gt;J21)*(H$3:H$26="L5")))+1,""))))</f>
        <v/>
      </c>
      <c r="C21" s="35" t="s">
        <v>284</v>
      </c>
      <c r="D21" s="35" t="str">
        <f>IF(E21="","",VLOOKUP(E21,'Coaching Points'!A:B,2,0))</f>
        <v>AB</v>
      </c>
      <c r="E21" s="35" t="s">
        <v>250</v>
      </c>
      <c r="F21" s="34">
        <v>2008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15-16</v>
      </c>
      <c r="H21" s="36" t="s">
        <v>64</v>
      </c>
      <c r="I21" s="40"/>
      <c r="J21" s="4">
        <f t="shared" si="0"/>
        <v>26.6</v>
      </c>
      <c r="K21" s="3" t="str">
        <f>IF(G21="Not Age Eligible","",IF(MAX(T21,W21,Z21,AC21)&gt;=LOOKUP(G21,'Qualifying Scores'!$A$4:$A$7,'Qualifying Scores'!$H$4:$H$7),"P",""))</f>
        <v/>
      </c>
      <c r="L21" s="3" t="str">
        <f>IF(G21="Not Age Eligible","",IF(MAX(U21,X21,AA21,AD21)&gt;=LOOKUP(G21,'Qualifying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Scores'!$H$10:$H$13)),AND(Z21&gt;=LOOKUP(G21,'Qualifying Scores'!$A$4:$A$7,'Qualifying Scores'!$H$4:$H$7),AA21&gt;=LOOKUP(G21,'Qualifying Scores'!$A$10:$A$13,'Qualifying Scores'!$H$10:$H$13)),AND(W21&gt;=LOOKUP(G21,'Qualifying Scores'!$A$4:$A$7,'Qualifying Scores'!$H$4:$H$7),X21&gt;=LOOKUP(G21,'Qualifying Scores'!$A$10:$A$13,'Qualifying Scores'!$H$10:$H$13)),AND(AC21&gt;=LOOKUP(G21,'Qualifying Scores'!$A$4:$A$7,'Qualifying Scores'!$H$4:$H$7),AD21&gt;=LOOKUP(G21,'Qualifying Scores'!$A$10:$A$13,'Qualifying Scores'!$H$10:$H$13))),"P",""))</f>
        <v/>
      </c>
      <c r="Q21" s="1" t="str">
        <f t="shared" si="1"/>
        <v/>
      </c>
      <c r="R21" s="4">
        <f t="shared" si="2"/>
        <v>26.6</v>
      </c>
      <c r="S21" s="4">
        <f t="shared" si="3"/>
        <v>0</v>
      </c>
      <c r="T21" s="32">
        <v>26.6</v>
      </c>
      <c r="U21" s="37">
        <v>4</v>
      </c>
      <c r="V21" s="37">
        <v>0</v>
      </c>
      <c r="W21" s="33"/>
      <c r="X21" s="37"/>
      <c r="Y21" s="37"/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$26&lt;&gt;"")*(G$3:G$26=G22)*(J$3:J$26&gt;J22)*(I$3:I$26="P"))+1,IF(O22&lt;&gt;"",SUMPRODUCT((O$3:O$26&lt;&gt;"")*(P$3:P$26="")*(G$3:G$26=G22)*(J$3:J$26&gt;J22)*(I$3:I$26="P"))+SUMPRODUCT((P$3:P$26&lt;&gt;"")*(G$3:G$26=G22)*(I$3:I$26="P"))+1,IF(N22&lt;&gt;"",SUMPRODUCT((N$3:N$26&lt;&gt;"")*(G$3:G$26=G22)*(J$3:J$26&gt;J22)*(I$3:I$26="P"))+1,IF(M22="P",SUMPRODUCT((O$3:O$26&lt;&gt;"")*(P$3:P$26="")*(G$3:G$26=G22)*(I$3:I$26="P"))+SUMPRODUCT((P$3:P$26&lt;&gt;"")*(G$3:G$26=G22)*(I$3:I$26="P"))+SUMPRODUCT((N$3:N$26&lt;&gt;"")*(G$3:G$26=G22)*(I$3:I$26="P"))+SUMPRODUCT((P$3:P$26="")*(O$3:O$26="")*(N$3:N$26="")*(M$3:M$26="P")*(G$3:G$26=G22)*(J$3:J$26&gt;J22)*(I$3:I$26="P"))+IF(H22="L5",SUMPRODUCT((P$3:P$26="")*(O$3:O$26="")*(N$3:N$26="")*(M$3:M$26="P")*(G$3:G$26=G22)*(J$3:J$26&lt;J22)*(H$3:H$26&lt;&gt;H22)*(I$3:I$26="P")),-1*SUMPRODUCT((P$3:P$26="")*(O$3:O$26="")*(N$3:N$26="")*(M$3:M$26="P")*(G$3:G$26=G22)*(J$3:J$26&gt;J22)*(H$3:H$26="L5")*(I$3:I$26="P")))+1,"")))))</f>
        <v/>
      </c>
      <c r="B22" s="1" cm="1">
        <f t="array" ref="B22">IF(P22&lt;&gt;"",SUMPRODUCT((P$3:P$26&lt;&gt;"")*(G$3:G$26=G22)*(J$3:J$26&gt;J22))+1,IF(O22&lt;&gt;"",SUMPRODUCT((O$3:O$26&lt;&gt;"")*(P$3:P$26="")*(G$3:G$26=G22)*(J$3:J$26&gt;J22))+SUMPRODUCT((P$3:P$26&lt;&gt;"")*(G$3:G$26=G22))+1,IF(N22&lt;&gt;"",SUMPRODUCT((N$3:N$26&lt;&gt;"")*(G$3:G$26=G22)*(J$3:J$26&gt;J22))+1,IF(M22="P",SUMPRODUCT((O$3:O$26&lt;&gt;"")*(P$3:P$26="")*(G$3:G$26=G22))+SUMPRODUCT((P$3:P$26&lt;&gt;"")*(G$3:G$26=G22))+SUMPRODUCT((N$3:N$26&lt;&gt;"")*(G$3:G$26=G22))+SUMPRODUCT((P$3:P$26="")*(O$3:O$26="")*(N$3:N$26="")*(M$3:M$26="P")*(G$3:G$26=G22)*(J$3:J$26&gt;J22))+IF(H22="L5",SUMPRODUCT((P$3:P$26="")*(O$3:O$26="")*(N$3:N$26="")*(M$3:M$26="P")*(G$3:G$26=G22)*(J$3:J$26&lt;J22)*(H$3:H$26&lt;&gt;H22)),-1*SUMPRODUCT((P$3:P$26="")*(O$3:O$26="")*(N$3:N$26="")*(M$3:M$26="P")*(G$3:G$26=G22)*(J$3:J$26&gt;J22)*(H$3:H$26="L5")))+1,""))))</f>
        <v>1</v>
      </c>
      <c r="C22" s="35" t="s">
        <v>369</v>
      </c>
      <c r="D22" s="35" t="str">
        <f>IF(E22="","",VLOOKUP(E22,'Coaching Points'!A:B,2,0))</f>
        <v>ON</v>
      </c>
      <c r="E22" s="35" t="s">
        <v>131</v>
      </c>
      <c r="F22" s="34">
        <v>2010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13-14</v>
      </c>
      <c r="H22" s="36" t="s">
        <v>65</v>
      </c>
      <c r="I22" s="40"/>
      <c r="J22" s="4">
        <f t="shared" si="0"/>
        <v>42.600100000000005</v>
      </c>
      <c r="K22" s="3" t="str">
        <f>IF(G22="Not Age Eligible","",IF(MAX(T22,W22,Z22,AC22)&gt;=LOOKUP(G22,'Qualifying Scores'!$A$4:$A$7,'Qualifying Scores'!$H$4:$H$7),"P",""))</f>
        <v>P</v>
      </c>
      <c r="L22" s="3" t="str">
        <f>IF(G22="Not Age Eligible","",IF(MAX(U22,X22,AA22,AD22)&gt;=LOOKUP(G22,'Qualifying Scores'!$A$10:$A$13,'Qualifying Scores'!$H$10:$H$13),"P",""))</f>
        <v>P</v>
      </c>
      <c r="M22" s="3" t="str">
        <f>IF(G22="Not Age Eligible","",IF(OR(AND(T22&gt;=LOOKUP(G22,'Qualifying Scores'!$A$4:$A$7,'Qualifying Scores'!$H$4:$H$7),U22&gt;=LOOKUP(G22,'Qualifying Scores'!$A$10:$A$13,'Qualifying Scores'!$H$10:$H$13)),AND(Z22&gt;=LOOKUP(G22,'Qualifying Scores'!$A$4:$A$7,'Qualifying Scores'!$H$4:$H$7),AA22&gt;=LOOKUP(G22,'Qualifying Scores'!$A$10:$A$13,'Qualifying Scores'!$H$10:$H$13)),AND(W22&gt;=LOOKUP(G22,'Qualifying Scores'!$A$4:$A$7,'Qualifying Scores'!$H$4:$H$7),X22&gt;=LOOKUP(G22,'Qualifying Scores'!$A$10:$A$13,'Qualifying Scores'!$H$10:$H$13)),AND(AC22&gt;=LOOKUP(G22,'Qualifying Scores'!$A$4:$A$7,'Qualifying Scores'!$H$4:$H$7),AD22&gt;=LOOKUP(G22,'Qualifying Scores'!$A$10:$A$13,'Qualifying Scores'!$H$10:$H$13))),"P",""))</f>
        <v>P</v>
      </c>
      <c r="Q22" s="1" t="str">
        <f t="shared" si="1"/>
        <v/>
      </c>
      <c r="R22" s="4">
        <f t="shared" si="2"/>
        <v>42.6</v>
      </c>
      <c r="S22" s="4">
        <f t="shared" si="3"/>
        <v>37.5</v>
      </c>
      <c r="T22" s="32">
        <v>38.700000000000003</v>
      </c>
      <c r="U22" s="37">
        <v>7.6</v>
      </c>
      <c r="V22" s="37">
        <v>1.2</v>
      </c>
      <c r="W22" s="33">
        <v>43.5</v>
      </c>
      <c r="X22" s="37">
        <v>8.5</v>
      </c>
      <c r="Y22" s="37">
        <v>0.89999999999999991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$26&lt;&gt;"")*(G$3:G$26=G23)*(J$3:J$26&gt;J23)*(I$3:I$26="P"))+1,IF(O23&lt;&gt;"",SUMPRODUCT((O$3:O$26&lt;&gt;"")*(P$3:P$26="")*(G$3:G$26=G23)*(J$3:J$26&gt;J23)*(I$3:I$26="P"))+SUMPRODUCT((P$3:P$26&lt;&gt;"")*(G$3:G$26=G23)*(I$3:I$26="P"))+1,IF(N23&lt;&gt;"",SUMPRODUCT((N$3:N$26&lt;&gt;"")*(G$3:G$26=G23)*(J$3:J$26&gt;J23)*(I$3:I$26="P"))+1,IF(M23="P",SUMPRODUCT((O$3:O$26&lt;&gt;"")*(P$3:P$26="")*(G$3:G$26=G23)*(I$3:I$26="P"))+SUMPRODUCT((P$3:P$26&lt;&gt;"")*(G$3:G$26=G23)*(I$3:I$26="P"))+SUMPRODUCT((N$3:N$26&lt;&gt;"")*(G$3:G$26=G23)*(I$3:I$26="P"))+SUMPRODUCT((P$3:P$26="")*(O$3:O$26="")*(N$3:N$26="")*(M$3:M$26="P")*(G$3:G$26=G23)*(J$3:J$26&gt;J23)*(I$3:I$26="P"))+IF(H23="L5",SUMPRODUCT((P$3:P$26="")*(O$3:O$26="")*(N$3:N$26="")*(M$3:M$26="P")*(G$3:G$26=G23)*(J$3:J$26&lt;J23)*(H$3:H$26&lt;&gt;H23)*(I$3:I$26="P")),-1*SUMPRODUCT((P$3:P$26="")*(O$3:O$26="")*(N$3:N$26="")*(M$3:M$26="P")*(G$3:G$26=G23)*(J$3:J$26&gt;J23)*(H$3:H$26="L5")*(I$3:I$26="P")))+1,"")))))</f>
        <v/>
      </c>
      <c r="B23" s="1" t="str" cm="1">
        <f t="array" ref="B23">IF(P23&lt;&gt;"",SUMPRODUCT((P$3:P$26&lt;&gt;"")*(G$3:G$26=G23)*(J$3:J$26&gt;J23))+1,IF(O23&lt;&gt;"",SUMPRODUCT((O$3:O$26&lt;&gt;"")*(P$3:P$26="")*(G$3:G$26=G23)*(J$3:J$26&gt;J23))+SUMPRODUCT((P$3:P$26&lt;&gt;"")*(G$3:G$26=G23))+1,IF(N23&lt;&gt;"",SUMPRODUCT((N$3:N$26&lt;&gt;"")*(G$3:G$26=G23)*(J$3:J$26&gt;J23))+1,IF(M23="P",SUMPRODUCT((O$3:O$26&lt;&gt;"")*(P$3:P$26="")*(G$3:G$26=G23))+SUMPRODUCT((P$3:P$26&lt;&gt;"")*(G$3:G$26=G23))+SUMPRODUCT((N$3:N$26&lt;&gt;"")*(G$3:G$26=G23))+SUMPRODUCT((P$3:P$26="")*(O$3:O$26="")*(N$3:N$26="")*(M$3:M$26="P")*(G$3:G$26=G23)*(J$3:J$26&gt;J23))+IF(H23="L5",SUMPRODUCT((P$3:P$26="")*(O$3:O$26="")*(N$3:N$26="")*(M$3:M$26="P")*(G$3:G$26=G23)*(J$3:J$26&lt;J23)*(H$3:H$26&lt;&gt;H23)),-1*SUMPRODUCT((P$3:P$26="")*(O$3:O$26="")*(N$3:N$26="")*(M$3:M$26="P")*(G$3:G$26=G23)*(J$3:J$26&gt;J23)*(H$3:H$26="L5")))+1,""))))</f>
        <v/>
      </c>
      <c r="C23" s="35" t="s">
        <v>300</v>
      </c>
      <c r="D23" s="35" t="str">
        <f>IF(E23="","",VLOOKUP(E23,'Coaching Points'!A:B,2,0))</f>
        <v>ON</v>
      </c>
      <c r="E23" s="35" t="s">
        <v>138</v>
      </c>
      <c r="F23" s="34">
        <v>2011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13-14</v>
      </c>
      <c r="H23" s="36" t="s">
        <v>64</v>
      </c>
      <c r="I23" s="40"/>
      <c r="J23" s="4">
        <f t="shared" si="0"/>
        <v>37.4</v>
      </c>
      <c r="K23" s="3" t="str">
        <f>IF(G23="Not Age Eligible","",IF(MAX(T23,W23,Z23,AC23)&gt;=LOOKUP(G23,'Qualifying Scores'!$A$4:$A$7,'Qualifying Scores'!$H$4:$H$7),"P",""))</f>
        <v/>
      </c>
      <c r="L23" s="3" t="str">
        <f>IF(G23="Not Age Eligible","",IF(MAX(U23,X23,AA23,AD23)&gt;=LOOKUP(G23,'Qualifying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Scores'!$H$10:$H$13)),AND(Z23&gt;=LOOKUP(G23,'Qualifying Scores'!$A$4:$A$7,'Qualifying Scores'!$H$4:$H$7),AA23&gt;=LOOKUP(G23,'Qualifying Scores'!$A$10:$A$13,'Qualifying Scores'!$H$10:$H$13)),AND(W23&gt;=LOOKUP(G23,'Qualifying Scores'!$A$4:$A$7,'Qualifying Scores'!$H$4:$H$7),X23&gt;=LOOKUP(G23,'Qualifying Scores'!$A$10:$A$13,'Qualifying Scores'!$H$10:$H$13)),AND(AC23&gt;=LOOKUP(G23,'Qualifying Scores'!$A$4:$A$7,'Qualifying Scores'!$H$4:$H$7),AD23&gt;=LOOKUP(G23,'Qualifying Scores'!$A$10:$A$13,'Qualifying Scores'!$H$10:$H$13))),"P",""))</f>
        <v/>
      </c>
      <c r="Q23" s="1" t="str">
        <f t="shared" si="1"/>
        <v/>
      </c>
      <c r="R23" s="4">
        <f t="shared" si="2"/>
        <v>37.4</v>
      </c>
      <c r="S23" s="4">
        <f t="shared" si="3"/>
        <v>36.4</v>
      </c>
      <c r="T23" s="32">
        <v>36.4</v>
      </c>
      <c r="U23" s="37">
        <v>5.3</v>
      </c>
      <c r="V23" s="37">
        <v>0</v>
      </c>
      <c r="W23" s="33">
        <v>37.4</v>
      </c>
      <c r="X23" s="37">
        <v>5.3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$26&lt;&gt;"")*(G$3:G$26=G24)*(J$3:J$26&gt;J24)*(I$3:I$26="P"))+1,IF(O24&lt;&gt;"",SUMPRODUCT((O$3:O$26&lt;&gt;"")*(P$3:P$26="")*(G$3:G$26=G24)*(J$3:J$26&gt;J24)*(I$3:I$26="P"))+SUMPRODUCT((P$3:P$26&lt;&gt;"")*(G$3:G$26=G24)*(I$3:I$26="P"))+1,IF(N24&lt;&gt;"",SUMPRODUCT((N$3:N$26&lt;&gt;"")*(G$3:G$26=G24)*(J$3:J$26&gt;J24)*(I$3:I$26="P"))+1,IF(M24="P",SUMPRODUCT((O$3:O$26&lt;&gt;"")*(P$3:P$26="")*(G$3:G$26=G24)*(I$3:I$26="P"))+SUMPRODUCT((P$3:P$26&lt;&gt;"")*(G$3:G$26=G24)*(I$3:I$26="P"))+SUMPRODUCT((N$3:N$26&lt;&gt;"")*(G$3:G$26=G24)*(I$3:I$26="P"))+SUMPRODUCT((P$3:P$26="")*(O$3:O$26="")*(N$3:N$26="")*(M$3:M$26="P")*(G$3:G$26=G24)*(J$3:J$26&gt;J24)*(I$3:I$26="P"))+IF(H24="L5",SUMPRODUCT((P$3:P$26="")*(O$3:O$26="")*(N$3:N$26="")*(M$3:M$26="P")*(G$3:G$26=G24)*(J$3:J$26&lt;J24)*(H$3:H$26&lt;&gt;H24)*(I$3:I$26="P")),-1*SUMPRODUCT((P$3:P$26="")*(O$3:O$26="")*(N$3:N$26="")*(M$3:M$26="P")*(G$3:G$26=G24)*(J$3:J$26&gt;J24)*(H$3:H$26="L5")*(I$3:I$26="P")))+1,"")))))</f>
        <v/>
      </c>
      <c r="B24" s="1" t="str" cm="1">
        <f t="array" ref="B24">IF(P24&lt;&gt;"",SUMPRODUCT((P$3:P$26&lt;&gt;"")*(G$3:G$26=G24)*(J$3:J$26&gt;J24))+1,IF(O24&lt;&gt;"",SUMPRODUCT((O$3:O$26&lt;&gt;"")*(P$3:P$26="")*(G$3:G$26=G24)*(J$3:J$26&gt;J24))+SUMPRODUCT((P$3:P$26&lt;&gt;"")*(G$3:G$26=G24))+1,IF(N24&lt;&gt;"",SUMPRODUCT((N$3:N$26&lt;&gt;"")*(G$3:G$26=G24)*(J$3:J$26&gt;J24))+1,IF(M24="P",SUMPRODUCT((O$3:O$26&lt;&gt;"")*(P$3:P$26="")*(G$3:G$26=G24))+SUMPRODUCT((P$3:P$26&lt;&gt;"")*(G$3:G$26=G24))+SUMPRODUCT((N$3:N$26&lt;&gt;"")*(G$3:G$26=G24))+SUMPRODUCT((P$3:P$26="")*(O$3:O$26="")*(N$3:N$26="")*(M$3:M$26="P")*(G$3:G$26=G24)*(J$3:J$26&gt;J24))+IF(H24="L5",SUMPRODUCT((P$3:P$26="")*(O$3:O$26="")*(N$3:N$26="")*(M$3:M$26="P")*(G$3:G$26=G24)*(J$3:J$26&lt;J24)*(H$3:H$26&lt;&gt;H24)),-1*SUMPRODUCT((P$3:P$26="")*(O$3:O$26="")*(N$3:N$26="")*(M$3:M$26="P")*(G$3:G$26=G24)*(J$3:J$26&gt;J24)*(H$3:H$26="L5")))+1,""))))</f>
        <v/>
      </c>
      <c r="C24" s="35" t="s">
        <v>222</v>
      </c>
      <c r="D24" s="35" t="str">
        <f>IF(E24="","",VLOOKUP(E24,'Coaching Points'!A:B,2,0))</f>
        <v>BC</v>
      </c>
      <c r="E24" s="35" t="s">
        <v>60</v>
      </c>
      <c r="F24" s="34">
        <v>2011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13-14</v>
      </c>
      <c r="H24" s="36" t="s">
        <v>64</v>
      </c>
      <c r="I24" s="40"/>
      <c r="J24" s="4">
        <f t="shared" si="0"/>
        <v>34.4</v>
      </c>
      <c r="K24" s="3" t="str">
        <f>IF(G24="Not Age Eligible","",IF(MAX(T24,W24,Z24,AC24)&gt;=LOOKUP(G24,'Qualifying Scores'!$A$4:$A$7,'Qualifying Scores'!$H$4:$H$7),"P",""))</f>
        <v/>
      </c>
      <c r="L24" s="3" t="str">
        <f>IF(G24="Not Age Eligible","",IF(MAX(U24,X24,AA24,AD24)&gt;=LOOKUP(G24,'Qualifying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Scores'!$H$10:$H$13)),AND(Z24&gt;=LOOKUP(G24,'Qualifying Scores'!$A$4:$A$7,'Qualifying Scores'!$H$4:$H$7),AA24&gt;=LOOKUP(G24,'Qualifying Scores'!$A$10:$A$13,'Qualifying Scores'!$H$10:$H$13)),AND(W24&gt;=LOOKUP(G24,'Qualifying Scores'!$A$4:$A$7,'Qualifying Scores'!$H$4:$H$7),X24&gt;=LOOKUP(G24,'Qualifying Scores'!$A$10:$A$13,'Qualifying Scores'!$H$10:$H$13)),AND(AC24&gt;=LOOKUP(G24,'Qualifying Scores'!$A$4:$A$7,'Qualifying Scores'!$H$4:$H$7),AD24&gt;=LOOKUP(G24,'Qualifying Scores'!$A$10:$A$13,'Qualifying Scores'!$H$10:$H$13))),"P",""))</f>
        <v/>
      </c>
      <c r="Q24" s="1" t="str">
        <f t="shared" si="1"/>
        <v/>
      </c>
      <c r="R24" s="4">
        <f t="shared" si="2"/>
        <v>34.4</v>
      </c>
      <c r="S24" s="4">
        <f t="shared" si="3"/>
        <v>34.4</v>
      </c>
      <c r="T24" s="32">
        <v>34.4</v>
      </c>
      <c r="U24" s="37">
        <v>4.5999999999999996</v>
      </c>
      <c r="V24" s="37">
        <v>0</v>
      </c>
      <c r="W24" s="33">
        <v>34.4</v>
      </c>
      <c r="X24" s="37">
        <v>4.5999999999999996</v>
      </c>
      <c r="Y24" s="37">
        <v>0</v>
      </c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$26&lt;&gt;"")*(G$3:G$26=G25)*(J$3:J$26&gt;J25)*(I$3:I$26="P"))+1,IF(O25&lt;&gt;"",SUMPRODUCT((O$3:O$26&lt;&gt;"")*(P$3:P$26="")*(G$3:G$26=G25)*(J$3:J$26&gt;J25)*(I$3:I$26="P"))+SUMPRODUCT((P$3:P$26&lt;&gt;"")*(G$3:G$26=G25)*(I$3:I$26="P"))+1,IF(N25&lt;&gt;"",SUMPRODUCT((N$3:N$26&lt;&gt;"")*(G$3:G$26=G25)*(J$3:J$26&gt;J25)*(I$3:I$26="P"))+1,IF(M25="P",SUMPRODUCT((O$3:O$26&lt;&gt;"")*(P$3:P$26="")*(G$3:G$26=G25)*(I$3:I$26="P"))+SUMPRODUCT((P$3:P$26&lt;&gt;"")*(G$3:G$26=G25)*(I$3:I$26="P"))+SUMPRODUCT((N$3:N$26&lt;&gt;"")*(G$3:G$26=G25)*(I$3:I$26="P"))+SUMPRODUCT((P$3:P$26="")*(O$3:O$26="")*(N$3:N$26="")*(M$3:M$26="P")*(G$3:G$26=G25)*(J$3:J$26&gt;J25)*(I$3:I$26="P"))+IF(H25="L5",SUMPRODUCT((P$3:P$26="")*(O$3:O$26="")*(N$3:N$26="")*(M$3:M$26="P")*(G$3:G$26=G25)*(J$3:J$26&lt;J25)*(H$3:H$26&lt;&gt;H25)*(I$3:I$26="P")),-1*SUMPRODUCT((P$3:P$26="")*(O$3:O$26="")*(N$3:N$26="")*(M$3:M$26="P")*(G$3:G$26=G25)*(J$3:J$26&gt;J25)*(H$3:H$26="L5")*(I$3:I$26="P")))+1,"")))))</f>
        <v/>
      </c>
      <c r="B25" s="1" cm="1">
        <f t="array" ref="B25">IF(P25&lt;&gt;"",SUMPRODUCT((P$3:P$26&lt;&gt;"")*(G$3:G$26=G25)*(J$3:J$26&gt;J25))+1,IF(O25&lt;&gt;"",SUMPRODUCT((O$3:O$26&lt;&gt;"")*(P$3:P$26="")*(G$3:G$26=G25)*(J$3:J$26&gt;J25))+SUMPRODUCT((P$3:P$26&lt;&gt;"")*(G$3:G$26=G25))+1,IF(N25&lt;&gt;"",SUMPRODUCT((N$3:N$26&lt;&gt;"")*(G$3:G$26=G25)*(J$3:J$26&gt;J25))+1,IF(M25="P",SUMPRODUCT((O$3:O$26&lt;&gt;"")*(P$3:P$26="")*(G$3:G$26=G25))+SUMPRODUCT((P$3:P$26&lt;&gt;"")*(G$3:G$26=G25))+SUMPRODUCT((N$3:N$26&lt;&gt;"")*(G$3:G$26=G25))+SUMPRODUCT((P$3:P$26="")*(O$3:O$26="")*(N$3:N$26="")*(M$3:M$26="P")*(G$3:G$26=G25)*(J$3:J$26&gt;J25))+IF(H25="L5",SUMPRODUCT((P$3:P$26="")*(O$3:O$26="")*(N$3:N$26="")*(M$3:M$26="P")*(G$3:G$26=G25)*(J$3:J$26&lt;J25)*(H$3:H$26&lt;&gt;H25)),-1*SUMPRODUCT((P$3:P$26="")*(O$3:O$26="")*(N$3:N$26="")*(M$3:M$26="P")*(G$3:G$26=G25)*(J$3:J$26&gt;J25)*(H$3:H$26="L5")))+1,""))))</f>
        <v>1</v>
      </c>
      <c r="C25" s="35" t="s">
        <v>299</v>
      </c>
      <c r="D25" s="35" t="str">
        <f>IF(E25="","",VLOOKUP(E25,'Coaching Points'!A:B,2,0))</f>
        <v>BC</v>
      </c>
      <c r="E25" s="35" t="s">
        <v>60</v>
      </c>
      <c r="F25" s="34">
        <v>2012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11-12</v>
      </c>
      <c r="H25" s="36" t="s">
        <v>64</v>
      </c>
      <c r="I25" s="40"/>
      <c r="J25" s="4">
        <f t="shared" si="0"/>
        <v>38.700000000000003</v>
      </c>
      <c r="K25" s="3" t="str">
        <f>IF(G25="Not Age Eligible","",IF(MAX(T25,W25,Z25,AC25)&gt;=LOOKUP(G25,'Qualifying Scores'!$A$4:$A$7,'Qualifying Scores'!$H$4:$H$7),"P",""))</f>
        <v>P</v>
      </c>
      <c r="L25" s="3" t="str">
        <f>IF(G25="Not Age Eligible","",IF(MAX(U25,X25,AA25,AD25)&gt;=LOOKUP(G25,'Qualifying Scores'!$A$10:$A$13,'Qualifying Scores'!$H$10:$H$13),"P",""))</f>
        <v>P</v>
      </c>
      <c r="M25" s="3" t="str">
        <f>IF(G25="Not Age Eligible","",IF(OR(AND(T25&gt;=LOOKUP(G25,'Qualifying Scores'!$A$4:$A$7,'Qualifying Scores'!$H$4:$H$7),U25&gt;=LOOKUP(G25,'Qualifying Scores'!$A$10:$A$13,'Qualifying Scores'!$H$10:$H$13)),AND(Z25&gt;=LOOKUP(G25,'Qualifying Scores'!$A$4:$A$7,'Qualifying Scores'!$H$4:$H$7),AA25&gt;=LOOKUP(G25,'Qualifying Scores'!$A$10:$A$13,'Qualifying Scores'!$H$10:$H$13)),AND(W25&gt;=LOOKUP(G25,'Qualifying Scores'!$A$4:$A$7,'Qualifying Scores'!$H$4:$H$7),X25&gt;=LOOKUP(G25,'Qualifying Scores'!$A$10:$A$13,'Qualifying Scores'!$H$10:$H$13)),AND(AC25&gt;=LOOKUP(G25,'Qualifying Scores'!$A$4:$A$7,'Qualifying Scores'!$H$4:$H$7),AD25&gt;=LOOKUP(G25,'Qualifying Scores'!$A$10:$A$13,'Qualifying Scores'!$H$10:$H$13))),"P",""))</f>
        <v>P</v>
      </c>
      <c r="Q25" s="1" t="str">
        <f t="shared" si="1"/>
        <v/>
      </c>
      <c r="R25" s="4">
        <f t="shared" si="2"/>
        <v>38.700000000000003</v>
      </c>
      <c r="S25" s="4">
        <f t="shared" si="3"/>
        <v>38.4</v>
      </c>
      <c r="T25" s="32">
        <v>39.4</v>
      </c>
      <c r="U25" s="37">
        <v>6.5</v>
      </c>
      <c r="V25" s="37">
        <v>1</v>
      </c>
      <c r="W25" s="33">
        <v>39.700000000000003</v>
      </c>
      <c r="X25" s="37">
        <v>6.5</v>
      </c>
      <c r="Y25" s="37">
        <v>1</v>
      </c>
      <c r="Z25" s="32"/>
      <c r="AA25" s="37"/>
      <c r="AB25" s="37"/>
      <c r="AC25" s="33"/>
      <c r="AD25" s="37"/>
      <c r="AE25" s="37"/>
    </row>
    <row r="26" spans="1:31" x14ac:dyDescent="0.2">
      <c r="B26" s="1"/>
      <c r="G26" s="1"/>
      <c r="H26" s="36"/>
      <c r="I26" s="40"/>
      <c r="J26" s="4"/>
      <c r="K26" s="3"/>
      <c r="L26" s="3"/>
      <c r="R26" s="4"/>
      <c r="S26" s="4"/>
      <c r="T26" s="32"/>
      <c r="U26" s="37"/>
      <c r="V26" s="37"/>
      <c r="W26" s="33"/>
      <c r="X26" s="37"/>
      <c r="Y26" s="37"/>
      <c r="Z26" s="32"/>
      <c r="AA26" s="37"/>
      <c r="AB26" s="37"/>
      <c r="AC26" s="33"/>
      <c r="AD26" s="37"/>
      <c r="AE26" s="37"/>
    </row>
    <row r="27" spans="1:31" x14ac:dyDescent="0.2">
      <c r="B27" s="1"/>
      <c r="G27" s="1"/>
      <c r="H27" s="36"/>
      <c r="I27" s="40"/>
      <c r="J27" s="4"/>
      <c r="K27" s="3"/>
      <c r="L27" s="3"/>
      <c r="R27" s="4"/>
      <c r="S27" s="4"/>
      <c r="T27" s="32"/>
      <c r="U27" s="37"/>
      <c r="V27" s="37"/>
      <c r="W27" s="33"/>
      <c r="X27" s="37"/>
      <c r="Y27" s="37"/>
      <c r="Z27" s="32"/>
      <c r="AA27" s="37"/>
      <c r="AB27" s="37"/>
      <c r="AC27" s="33"/>
      <c r="AD27" s="37"/>
      <c r="AE27" s="37"/>
    </row>
    <row r="28" spans="1:31" x14ac:dyDescent="0.2">
      <c r="B28" s="1"/>
      <c r="G28" s="1"/>
      <c r="H28" s="36"/>
      <c r="I28" s="40"/>
      <c r="J28" s="4"/>
      <c r="K28" s="3"/>
      <c r="L28" s="3"/>
      <c r="R28" s="4"/>
      <c r="S28" s="4"/>
      <c r="T28" s="32"/>
      <c r="U28" s="37"/>
      <c r="V28" s="37"/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B29" s="1"/>
      <c r="G29" s="1"/>
      <c r="H29" s="36"/>
      <c r="I29" s="40"/>
      <c r="J29" s="4"/>
      <c r="K29" s="3"/>
      <c r="L29" s="3"/>
      <c r="R29" s="4"/>
      <c r="S29" s="4"/>
      <c r="T29" s="32"/>
      <c r="U29" s="37"/>
      <c r="V29" s="37"/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B30" s="1"/>
      <c r="G30" s="1"/>
      <c r="H30" s="36"/>
      <c r="I30" s="40"/>
      <c r="J30" s="4"/>
      <c r="K30" s="3"/>
      <c r="L30" s="3"/>
      <c r="R30" s="4"/>
      <c r="S30" s="4"/>
      <c r="T30" s="32"/>
      <c r="U30" s="37"/>
      <c r="V30" s="37"/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B31" s="1"/>
      <c r="G31" s="1"/>
      <c r="H31" s="36"/>
      <c r="I31" s="40"/>
      <c r="J31" s="4"/>
      <c r="K31" s="3"/>
      <c r="L31" s="3"/>
      <c r="R31" s="4"/>
      <c r="S31" s="4"/>
      <c r="T31" s="32"/>
      <c r="U31" s="37"/>
      <c r="V31" s="37"/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B32" s="1"/>
      <c r="G32" s="1"/>
      <c r="H32" s="36"/>
      <c r="I32" s="40"/>
      <c r="J32" s="4"/>
      <c r="K32" s="3"/>
      <c r="L32" s="3"/>
      <c r="R32" s="4"/>
      <c r="S32" s="4"/>
      <c r="T32" s="32"/>
      <c r="U32" s="37"/>
      <c r="V32" s="37"/>
      <c r="W32" s="33"/>
      <c r="X32" s="37"/>
      <c r="Y32" s="37"/>
      <c r="Z32" s="32"/>
      <c r="AA32" s="37"/>
      <c r="AB32" s="37"/>
      <c r="AC32" s="33"/>
      <c r="AD32" s="37"/>
      <c r="AE32" s="37"/>
    </row>
    <row r="33" spans="2:31" x14ac:dyDescent="0.2">
      <c r="B33" s="1"/>
      <c r="G33" s="1"/>
      <c r="H33" s="36"/>
      <c r="I33" s="40"/>
      <c r="J33" s="4"/>
      <c r="K33" s="3"/>
      <c r="L33" s="3"/>
      <c r="R33" s="4"/>
      <c r="S33" s="4"/>
      <c r="T33" s="32"/>
      <c r="U33" s="37"/>
      <c r="V33" s="37"/>
      <c r="W33" s="33"/>
      <c r="X33" s="37"/>
      <c r="Y33" s="37"/>
      <c r="Z33" s="32"/>
      <c r="AA33" s="37"/>
      <c r="AB33" s="37"/>
      <c r="AC33" s="33"/>
      <c r="AD33" s="37"/>
      <c r="AE33" s="37"/>
    </row>
    <row r="34" spans="2:31" x14ac:dyDescent="0.2">
      <c r="B34" s="1"/>
      <c r="G34" s="1"/>
      <c r="H34" s="36"/>
      <c r="I34" s="40"/>
      <c r="J34" s="4"/>
      <c r="K34" s="3"/>
      <c r="L34" s="3"/>
      <c r="R34" s="4"/>
      <c r="S34" s="4"/>
      <c r="T34" s="32"/>
      <c r="U34" s="37"/>
      <c r="V34" s="37"/>
      <c r="W34" s="33"/>
      <c r="X34" s="37"/>
      <c r="Y34" s="37"/>
      <c r="Z34" s="32"/>
      <c r="AA34" s="37"/>
      <c r="AB34" s="37"/>
      <c r="AC34" s="33"/>
      <c r="AD34" s="37"/>
      <c r="AE34" s="37"/>
    </row>
    <row r="35" spans="2:31" x14ac:dyDescent="0.2">
      <c r="B35" s="1"/>
      <c r="G35" s="1"/>
      <c r="H35" s="36"/>
      <c r="I35" s="40"/>
      <c r="J35" s="4"/>
      <c r="K35" s="3"/>
      <c r="L35" s="3"/>
      <c r="R35" s="4"/>
      <c r="S35" s="4"/>
      <c r="T35" s="32"/>
      <c r="U35" s="37"/>
      <c r="V35" s="37"/>
      <c r="W35" s="33"/>
      <c r="X35" s="37"/>
      <c r="Y35" s="37"/>
      <c r="Z35" s="32"/>
      <c r="AA35" s="37"/>
      <c r="AB35" s="37"/>
      <c r="AC35" s="33"/>
      <c r="AD35" s="37"/>
      <c r="AE35" s="37"/>
    </row>
    <row r="36" spans="2:31" x14ac:dyDescent="0.2">
      <c r="B36" s="1"/>
      <c r="G36" s="1"/>
      <c r="H36" s="36"/>
      <c r="I36" s="40"/>
      <c r="J36" s="4"/>
      <c r="K36" s="3"/>
      <c r="L36" s="3"/>
      <c r="R36" s="4"/>
      <c r="S36" s="4"/>
      <c r="T36" s="32"/>
      <c r="U36" s="37"/>
      <c r="V36" s="37"/>
      <c r="W36" s="33"/>
      <c r="X36" s="37"/>
      <c r="Y36" s="37"/>
      <c r="Z36" s="32"/>
      <c r="AA36" s="37"/>
      <c r="AB36" s="37"/>
      <c r="AC36" s="33"/>
      <c r="AD36" s="37"/>
      <c r="AE36" s="37"/>
    </row>
    <row r="37" spans="2:31" x14ac:dyDescent="0.2">
      <c r="B37" s="1"/>
      <c r="G37" s="1"/>
      <c r="H37" s="36"/>
      <c r="I37" s="40"/>
      <c r="J37" s="4"/>
      <c r="K37" s="3"/>
      <c r="L37" s="3"/>
      <c r="R37" s="4"/>
      <c r="S37" s="4"/>
      <c r="T37" s="32"/>
      <c r="U37" s="37"/>
      <c r="V37" s="37"/>
      <c r="W37" s="33"/>
      <c r="X37" s="37"/>
      <c r="Y37" s="37"/>
      <c r="Z37" s="32"/>
      <c r="AA37" s="37"/>
      <c r="AB37" s="37"/>
      <c r="AC37" s="33"/>
      <c r="AD37" s="37"/>
      <c r="AE37" s="37"/>
    </row>
    <row r="38" spans="2:31" x14ac:dyDescent="0.2">
      <c r="R38" s="4"/>
      <c r="S38" s="4"/>
      <c r="T38" s="32"/>
      <c r="U38" s="37"/>
      <c r="V38" s="37"/>
      <c r="W38" s="33"/>
      <c r="X38" s="37"/>
      <c r="Y38" s="37"/>
      <c r="Z38" s="32"/>
      <c r="AA38" s="37"/>
      <c r="AB38" s="37"/>
      <c r="AC38" s="33"/>
      <c r="AD38" s="37"/>
      <c r="AE38" s="37"/>
    </row>
    <row r="39" spans="2:31" x14ac:dyDescent="0.2">
      <c r="R39" s="4"/>
      <c r="S39" s="4"/>
      <c r="T39" s="32"/>
      <c r="U39" s="37"/>
      <c r="V39" s="37"/>
      <c r="W39" s="33"/>
      <c r="X39" s="37"/>
      <c r="Y39" s="37"/>
      <c r="Z39" s="32"/>
      <c r="AA39" s="37"/>
      <c r="AB39" s="37"/>
      <c r="AC39" s="33"/>
      <c r="AD39" s="37"/>
      <c r="AE39" s="37"/>
    </row>
    <row r="40" spans="2:31" x14ac:dyDescent="0.2">
      <c r="R40" s="4"/>
      <c r="S40" s="4"/>
      <c r="T40" s="32"/>
      <c r="U40" s="37"/>
      <c r="V40" s="37"/>
      <c r="W40" s="33"/>
      <c r="X40" s="37"/>
      <c r="Y40" s="37"/>
      <c r="Z40" s="32"/>
      <c r="AA40" s="37"/>
      <c r="AB40" s="37"/>
      <c r="AC40" s="33"/>
      <c r="AD40" s="37"/>
      <c r="AE40" s="37"/>
    </row>
  </sheetData>
  <sheetProtection sheet="1" formatCells="0" formatColumns="0" formatRows="0"/>
  <autoFilter ref="A1:AE25" xr:uid="{CE1BC7F0-85F9-F24E-8BEE-DE9ABCFFCB08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4:AE25">
      <sortCondition descending="1" ref="G1:G26"/>
    </sortState>
  </autoFilter>
  <mergeCells count="21">
    <mergeCell ref="P1:P2"/>
    <mergeCell ref="R1:R2"/>
    <mergeCell ref="S1:S2"/>
    <mergeCell ref="Z1:AE1"/>
    <mergeCell ref="T1:Y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AF1:XFD1 Z1 A3:XFD1048576">
    <cfRule type="expression" dxfId="15" priority="25">
      <formula>IF($G1="17-21",1,0)</formula>
    </cfRule>
    <cfRule type="expression" dxfId="14" priority="26">
      <formula>IF($G1="15-16",1,0)</formula>
    </cfRule>
    <cfRule type="expression" dxfId="13" priority="27">
      <formula>IF($G1="13-14",1,0)</formula>
    </cfRule>
    <cfRule type="expression" dxfId="12" priority="28">
      <formula>IF($G1="11-12",1,0)</formula>
    </cfRule>
  </conditionalFormatting>
  <conditionalFormatting sqref="R1:S2">
    <cfRule type="expression" dxfId="11" priority="5">
      <formula>IF($G1="17-21",1,0)</formula>
    </cfRule>
    <cfRule type="expression" dxfId="10" priority="6">
      <formula>IF($G1="15-16",1,0)</formula>
    </cfRule>
    <cfRule type="expression" dxfId="9" priority="7">
      <formula>IF($G1="13-14",1,0)</formula>
    </cfRule>
    <cfRule type="expression" dxfId="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F53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5" bestFit="1" customWidth="1"/>
    <col min="4" max="4" width="8.6640625" style="35" bestFit="1" customWidth="1"/>
    <col min="5" max="5" width="18.832031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66" t="s">
        <v>162</v>
      </c>
      <c r="B1" s="66" t="s">
        <v>161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160</v>
      </c>
      <c r="R1" s="66" t="s">
        <v>390</v>
      </c>
      <c r="S1" s="66" t="s">
        <v>391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388</v>
      </c>
      <c r="W2" s="7" t="s">
        <v>6</v>
      </c>
      <c r="X2" s="7" t="s">
        <v>8</v>
      </c>
      <c r="Y2" s="7" t="s">
        <v>389</v>
      </c>
      <c r="Z2" s="8" t="s">
        <v>52</v>
      </c>
      <c r="AA2" s="7" t="s">
        <v>53</v>
      </c>
      <c r="AB2" s="7" t="s">
        <v>388</v>
      </c>
      <c r="AC2" s="7" t="s">
        <v>6</v>
      </c>
      <c r="AD2" s="7" t="s">
        <v>8</v>
      </c>
      <c r="AE2" s="7" t="s">
        <v>389</v>
      </c>
      <c r="AF2" s="8"/>
    </row>
    <row r="3" spans="1:32" ht="17" thickTop="1" x14ac:dyDescent="0.2">
      <c r="A3" s="1" t="str" cm="1">
        <f t="array" ref="A3">IF(I3="","",IF(P3&lt;&gt;"",SUMPRODUCT((P$3:P$54&lt;&gt;"")*(G$3:G$54=G3)*(J$3:J$54&gt;J3)*(I$3:I$54="P"))+1,IF(O3&lt;&gt;"",SUMPRODUCT((O$3:O$54&lt;&gt;"")*(P$3:P$54="")*(G$3:G$54=G3)*(J$3:J$54&gt;J3)*(I$3:I$54="P"))+SUMPRODUCT((P$3:P$54&lt;&gt;"")*(G$3:G$54=G3)*(I$3:I$54="P"))+1,IF(N3&lt;&gt;"",SUMPRODUCT((N$3:N$54&lt;&gt;"")*(G$3:G$54=G3)*(J$3:J$54&gt;J3)*(I$3:I$54="P"))+1,IF(M3="P",SUMPRODUCT((O$3:O$54&lt;&gt;"")*(P$3:P$54="")*(G$3:G$54=G3)*(I$3:I$54="P"))+SUMPRODUCT((P$3:P$54&lt;&gt;"")*(G$3:G$54=G3)*(I$3:I$54="P"))+SUMPRODUCT((N$3:N$54&lt;&gt;"")*(G$3:G$54=G3)*(I$3:I$54="P"))+SUMPRODUCT((P$3:P$54="")*(O$3:O$54="")*(N$3:N$54="")*(M$3:M$54="P")*(G$3:G$54=G3)*(J$3:J$54&gt;J3)*(I$3:I$54="P"))+IF(H3="L5",SUMPRODUCT((P$3:P$54="")*(O$3:O$54="")*(N$3:N$54="")*(M$3:M$54="P")*(G$3:G$54=G3)*(J$3:J$54&lt;J3)*(H$3:H$54&lt;&gt;H3)*(I$3:I$54="P")),-1*SUMPRODUCT((P$3:P$54="")*(O$3:O$54="")*(N$3:N$54="")*(M$3:M$54="P")*(G$3:G$54=G3)*(J$3:J$54&gt;J3)*(H$3:H$54="L5")*(I$3:I$54="P")))+1,"")))))</f>
        <v/>
      </c>
      <c r="B3" s="1" cm="1">
        <f t="array" ref="B3">IF(P3&lt;&gt;"",SUMPRODUCT((P$3:P$54&lt;&gt;"")*(G$3:G$54=G3)*(J$3:J$54&gt;J3))+1,IF(O3&lt;&gt;"",SUMPRODUCT((O$3:O$54&lt;&gt;"")*(P$3:P$54="")*(G$3:G$54=G3)*(J$3:J$54&gt;J3))+SUMPRODUCT((P$3:P$54&lt;&gt;"")*(G$3:G$54=G3))+1,IF(N3&lt;&gt;"",SUMPRODUCT((N$3:N$54&lt;&gt;"")*(G$3:G$54=G3)*(J$3:J$54&gt;J3))+1,IF(M3="P",SUMPRODUCT((O$3:O$54&lt;&gt;"")*(P$3:P$54="")*(G$3:G$54=G3))+SUMPRODUCT((P$3:P$54&lt;&gt;"")*(G$3:G$54=G3))+SUMPRODUCT((N$3:N$54&lt;&gt;"")*(G$3:G$54=G3))+SUMPRODUCT((P$3:P$54="")*(O$3:O$54="")*(N$3:N$54="")*(M$3:M$54="P")*(G$3:G$54=G3)*(J$3:J$54&gt;J3))+IF(H3="L5",SUMPRODUCT((P$3:P$54="")*(O$3:O$54="")*(N$3:N$54="")*(M$3:M$54="P")*(G$3:G$54=G3)*(J$3:J$54&lt;J3)*(H$3:H$54&lt;&gt;H3)),-1*SUMPRODUCT((P$3:P$54="")*(O$3:O$54="")*(N$3:N$54="")*(M$3:M$54="P")*(G$3:G$54=G3)*(J$3:J$54&gt;J3)*(H$3:H$54="L5")))+1,""))))</f>
        <v>1</v>
      </c>
      <c r="C3" s="35" t="s">
        <v>146</v>
      </c>
      <c r="D3" s="35" t="str">
        <f>IF(E3="","",VLOOKUP(E3,'Coaching Points'!A:B,2,0))</f>
        <v>BC</v>
      </c>
      <c r="E3" s="35" t="s">
        <v>70</v>
      </c>
      <c r="F3" s="34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72</v>
      </c>
      <c r="I3" s="40"/>
      <c r="J3" s="4">
        <f t="shared" ref="J3:J34" si="0">R3+IF(OR(H3="Junior",H3="Senior"),0.0002,IF(OR(H3="L7",H3="L6"),0.0001,0))+MAX(Z3,AC3)*0.0000001</f>
        <v>43.800199999999997</v>
      </c>
      <c r="K3" s="3" t="str">
        <f>IF(G3="Not Age Eligible","",IF(MAX(T3,W3,Z3,AC3)&gt;=LOOKUP(G3,'Qualifying Scores'!$A$4:$A$7,'Qualifying Scores'!$I$4:$I$7),"P",""))</f>
        <v>P</v>
      </c>
      <c r="L3" s="3" t="str">
        <f>IF(G3="Not Age Eligible","",IF(MAX(U3,X3,AA3,AD3)&gt;=LOOKUP(G3,'Qualifying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Scores'!$I$10:$I$13)),AND(Z3&gt;=LOOKUP(G3,'Qualifying Scores'!$A$4:$A$7,'Qualifying Scores'!$I$4:$I$7),AA3&gt;=LOOKUP(G3,'Qualifying Scores'!$A$10:$A$13,'Qualifying Scores'!$I$10:$I$13)),AND(W3&gt;=LOOKUP(G3,'Qualifying Scores'!$A$4:$A$7,'Qualifying Scores'!$I$4:$I$7),X3&gt;=LOOKUP(G3,'Qualifying Scores'!$A$10:$A$13,'Qualifying Scores'!$I$10:$I$13)),AND(AC3&gt;=LOOKUP(G3,'Qualifying Scores'!$A$4:$A$7,'Qualifying Scores'!$I$4:$I$7),AD3&gt;=LOOKUP(G3,'Qualifying Scores'!$A$10:$A$13,'Qualifying Scores'!$I$10:$I$13))),"P",""))</f>
        <v>P</v>
      </c>
      <c r="P3" s="36">
        <v>1</v>
      </c>
      <c r="Q3" s="1" t="str">
        <f t="shared" ref="Q3:Q34" si="1">IF(A3&lt;5,IF(_xlfn.MAXIFS(A:A,G:G,G3)&gt;3,5-A3,_xlfn.MAXIFS(A:A,G:G,G3)+1-A3),"")</f>
        <v/>
      </c>
      <c r="R3" s="4">
        <f t="shared" ref="R3:R34" si="2">MAX(T3-V3,W3-Y3,Z3-AB3,AC3-AE3)</f>
        <v>43.8</v>
      </c>
      <c r="S3" s="4">
        <f t="shared" ref="S3:S34" si="3">IF(R3=T3-V3,MAX(W3-Y3,Z3-AB3,AC3-AE3),IF(R3=W3-Y3,MAX(T3-V3,Z3-AB3,AC3-AE3),IF(R3=Z3-AB3,MAX(T3-V3,W3-Y3,AC3-AE3),IF(R3=AC3-AE3,MAX(T3-V3,W3-Y3,Z3-AB3),0))))</f>
        <v>43.3</v>
      </c>
      <c r="T3" s="32">
        <v>45</v>
      </c>
      <c r="U3" s="37">
        <v>10.199999999999999</v>
      </c>
      <c r="V3" s="37">
        <v>1.2</v>
      </c>
      <c r="W3" s="33">
        <v>44.5</v>
      </c>
      <c r="X3" s="37">
        <v>10.199999999999999</v>
      </c>
      <c r="Y3" s="37">
        <v>1.2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$22&lt;&gt;"")*(G$3:G$22=G4)*(J$3:J$22&gt;J4)*(I$3:I$22="P"))+1,IF(O4&lt;&gt;"",SUMPRODUCT((O$3:O$22&lt;&gt;"")*(P$3:P$22="")*(G$3:G$22=G4)*(J$3:J$22&gt;J4)*(I$3:I$22="P"))+SUMPRODUCT((P$3:P$22&lt;&gt;"")*(G$3:G$22=G4)*(I$3:I$22="P"))+1,IF(N4&lt;&gt;"",SUMPRODUCT((N$3:N$22&lt;&gt;"")*(G$3:G$22=G4)*(J$3:J$22&gt;J4)*(I$3:I$22="P"))+1,IF(M4="P",SUMPRODUCT((O$3:O$22&lt;&gt;"")*(P$3:P$22="")*(G$3:G$22=G4)*(I$3:I$22="P"))+SUMPRODUCT((P$3:P$22&lt;&gt;"")*(G$3:G$22=G4)*(I$3:I$22="P"))+SUMPRODUCT((N$3:N$22&lt;&gt;"")*(G$3:G$22=G4)*(I$3:I$22="P"))+SUMPRODUCT((P$3:P$22="")*(O$3:O$22="")*(N$3:N$22="")*(M$3:M$22="P")*(G$3:G$22=G4)*(J$3:J$22&gt;J4)*(I$3:I$22="P"))+IF(H4="L5",SUMPRODUCT((P$3:P$22="")*(O$3:O$22="")*(N$3:N$22="")*(M$3:M$22="P")*(G$3:G$22=G4)*(J$3:J$22&lt;J4)*(H$3:H$22&lt;&gt;H4)*(I$3:I$22="P")),-1*SUMPRODUCT((P$3:P$22="")*(O$3:O$22="")*(N$3:N$22="")*(M$3:M$22="P")*(G$3:G$22=G4)*(J$3:J$22&gt;J4)*(H$3:H$22="L5")*(I$3:I$22="P")))+1,"")))))</f>
        <v/>
      </c>
      <c r="B4" s="1" cm="1">
        <f t="array" ref="B4">IF(P4&lt;&gt;"",SUMPRODUCT((P$3:P$54&lt;&gt;"")*(G$3:G$54=G4)*(J$3:J$54&gt;J4))+1,IF(O4&lt;&gt;"",SUMPRODUCT((O$3:O$54&lt;&gt;"")*(P$3:P$54="")*(G$3:G$54=G4)*(J$3:J$54&gt;J4))+SUMPRODUCT((P$3:P$54&lt;&gt;"")*(G$3:G$54=G4))+1,IF(N4&lt;&gt;"",SUMPRODUCT((N$3:N$54&lt;&gt;"")*(G$3:G$54=G4)*(J$3:J$54&gt;J4))+1,IF(M4="P",SUMPRODUCT((O$3:O$54&lt;&gt;"")*(P$3:P$54="")*(G$3:G$54=G4))+SUMPRODUCT((P$3:P$54&lt;&gt;"")*(G$3:G$54=G4))+SUMPRODUCT((N$3:N$54&lt;&gt;"")*(G$3:G$54=G4))+SUMPRODUCT((P$3:P$54="")*(O$3:O$54="")*(N$3:N$54="")*(M$3:M$54="P")*(G$3:G$54=G4)*(J$3:J$54&gt;J4))+IF(H4="L5",SUMPRODUCT((P$3:P$54="")*(O$3:O$54="")*(N$3:N$54="")*(M$3:M$54="P")*(G$3:G$54=G4)*(J$3:J$54&lt;J4)*(H$3:H$54&lt;&gt;H4)),-1*SUMPRODUCT((P$3:P$54="")*(O$3:O$54="")*(N$3:N$54="")*(M$3:M$54="P")*(G$3:G$54=G4)*(J$3:J$54&gt;J4)*(H$3:H$54="L5")))+1,""))))</f>
        <v>2</v>
      </c>
      <c r="C4" s="35" t="s">
        <v>129</v>
      </c>
      <c r="D4" s="35" t="str">
        <f>IF(E4="","",VLOOKUP(E4,'Coaching Points'!A:B,2,0))</f>
        <v>BC</v>
      </c>
      <c r="E4" s="35" t="s">
        <v>40</v>
      </c>
      <c r="F4" s="34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72</v>
      </c>
      <c r="I4" s="40"/>
      <c r="J4" s="4">
        <f t="shared" si="0"/>
        <v>40.900199999999998</v>
      </c>
      <c r="K4" s="3" t="str">
        <f>IF(G4="Not Age Eligible","",IF(MAX(T4,W4,Z4,AC4)&gt;=LOOKUP(G4,'Qualifying Scores'!$A$4:$A$7,'Qualifying Scores'!$I$4:$I$7),"P",""))</f>
        <v/>
      </c>
      <c r="L4" s="3" t="str">
        <f>IF(G4="Not Age Eligible","",IF(MAX(U4,X4,AA4,AD4)&gt;=LOOKUP(G4,'Qualifying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Scores'!$I$10:$I$13)),AND(Z4&gt;=LOOKUP(G4,'Qualifying Scores'!$A$4:$A$7,'Qualifying Scores'!$I$4:$I$7),AA4&gt;=LOOKUP(G4,'Qualifying Scores'!$A$10:$A$13,'Qualifying Scores'!$I$10:$I$13)),AND(W4&gt;=LOOKUP(G4,'Qualifying Scores'!$A$4:$A$7,'Qualifying Scores'!$I$4:$I$7),X4&gt;=LOOKUP(G4,'Qualifying Scores'!$A$10:$A$13,'Qualifying Scores'!$I$10:$I$13)),AND(AC4&gt;=LOOKUP(G4,'Qualifying Scores'!$A$4:$A$7,'Qualifying Scores'!$I$4:$I$7),AD4&gt;=LOOKUP(G4,'Qualifying Scores'!$A$10:$A$13,'Qualifying Scores'!$I$10:$I$13))),"P",""))</f>
        <v/>
      </c>
      <c r="P4" s="36">
        <v>5</v>
      </c>
      <c r="Q4" s="1" t="str">
        <f t="shared" si="1"/>
        <v/>
      </c>
      <c r="R4" s="4">
        <f t="shared" si="2"/>
        <v>40.9</v>
      </c>
      <c r="S4" s="4">
        <f t="shared" si="3"/>
        <v>0</v>
      </c>
      <c r="T4" s="32">
        <v>41.5</v>
      </c>
      <c r="U4" s="37">
        <v>8.4</v>
      </c>
      <c r="V4" s="37">
        <v>0.6</v>
      </c>
      <c r="W4" s="33"/>
      <c r="X4" s="37"/>
      <c r="Y4" s="37"/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$22&lt;&gt;"")*(G$3:G$22=G5)*(J$3:J$22&gt;J5)*(I$3:I$22="P"))+1,IF(O5&lt;&gt;"",SUMPRODUCT((O$3:O$22&lt;&gt;"")*(P$3:P$22="")*(G$3:G$22=G5)*(J$3:J$22&gt;J5)*(I$3:I$22="P"))+SUMPRODUCT((P$3:P$22&lt;&gt;"")*(G$3:G$22=G5)*(I$3:I$22="P"))+1,IF(N5&lt;&gt;"",SUMPRODUCT((N$3:N$22&lt;&gt;"")*(G$3:G$22=G5)*(J$3:J$22&gt;J5)*(I$3:I$22="P"))+1,IF(M5="P",SUMPRODUCT((O$3:O$22&lt;&gt;"")*(P$3:P$22="")*(G$3:G$22=G5)*(I$3:I$22="P"))+SUMPRODUCT((P$3:P$22&lt;&gt;"")*(G$3:G$22=G5)*(I$3:I$22="P"))+SUMPRODUCT((N$3:N$22&lt;&gt;"")*(G$3:G$22=G5)*(I$3:I$22="P"))+SUMPRODUCT((P$3:P$22="")*(O$3:O$22="")*(N$3:N$22="")*(M$3:M$22="P")*(G$3:G$22=G5)*(J$3:J$22&gt;J5)*(I$3:I$22="P"))+IF(H5="L5",SUMPRODUCT((P$3:P$22="")*(O$3:O$22="")*(N$3:N$22="")*(M$3:M$22="P")*(G$3:G$22=G5)*(J$3:J$22&lt;J5)*(H$3:H$22&lt;&gt;H5)*(I$3:I$22="P")),-1*SUMPRODUCT((P$3:P$22="")*(O$3:O$22="")*(N$3:N$22="")*(M$3:M$22="P")*(G$3:G$22=G5)*(J$3:J$22&gt;J5)*(H$3:H$22="L5")*(I$3:I$22="P")))+1,"")))))</f>
        <v/>
      </c>
      <c r="B5" s="1" cm="1">
        <f t="array" ref="B5">IF(P5&lt;&gt;"",SUMPRODUCT((P$3:P$54&lt;&gt;"")*(G$3:G$54=G5)*(J$3:J$54&gt;J5))+1,IF(O5&lt;&gt;"",SUMPRODUCT((O$3:O$54&lt;&gt;"")*(P$3:P$54="")*(G$3:G$54=G5)*(J$3:J$54&gt;J5))+SUMPRODUCT((P$3:P$54&lt;&gt;"")*(G$3:G$54=G5))+1,IF(N5&lt;&gt;"",SUMPRODUCT((N$3:N$54&lt;&gt;"")*(G$3:G$54=G5)*(J$3:J$54&gt;J5))+1,IF(M5="P",SUMPRODUCT((O$3:O$54&lt;&gt;"")*(P$3:P$54="")*(G$3:G$54=G5))+SUMPRODUCT((P$3:P$54&lt;&gt;"")*(G$3:G$54=G5))+SUMPRODUCT((N$3:N$54&lt;&gt;"")*(G$3:G$54=G5))+SUMPRODUCT((P$3:P$54="")*(O$3:O$54="")*(N$3:N$54="")*(M$3:M$54="P")*(G$3:G$54=G5)*(J$3:J$54&gt;J5))+IF(H5="L5",SUMPRODUCT((P$3:P$54="")*(O$3:O$54="")*(N$3:N$54="")*(M$3:M$54="P")*(G$3:G$54=G5)*(J$3:J$54&lt;J5)*(H$3:H$54&lt;&gt;H5)),-1*SUMPRODUCT((P$3:P$54="")*(O$3:O$54="")*(N$3:N$54="")*(M$3:M$54="P")*(G$3:G$54=G5)*(J$3:J$54&gt;J5)*(H$3:H$54="L5")))+1,""))))</f>
        <v>3</v>
      </c>
      <c r="C5" s="35" t="s">
        <v>193</v>
      </c>
      <c r="D5" s="35" t="str">
        <f>IF(E5="","",VLOOKUP(E5,'Coaching Points'!A:B,2,0))</f>
        <v>AB</v>
      </c>
      <c r="E5" s="35" t="s">
        <v>28</v>
      </c>
      <c r="F5" s="34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72</v>
      </c>
      <c r="I5" s="40"/>
      <c r="J5" s="4">
        <f t="shared" si="0"/>
        <v>40.800199999999997</v>
      </c>
      <c r="K5" s="3" t="str">
        <f>IF(G5="Not Age Eligible","",IF(MAX(T5,W5,Z5,AC5)&gt;=LOOKUP(G5,'Qualifying Scores'!$A$4:$A$7,'Qualifying Scores'!$I$4:$I$7),"P",""))</f>
        <v/>
      </c>
      <c r="L5" s="3" t="str">
        <f>IF(G5="Not Age Eligible","",IF(MAX(U5,X5,AA5,AD5)&gt;=LOOKUP(G5,'Qualifying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Scores'!$I$10:$I$13)),AND(Z5&gt;=LOOKUP(G5,'Qualifying Scores'!$A$4:$A$7,'Qualifying Scores'!$I$4:$I$7),AA5&gt;=LOOKUP(G5,'Qualifying Scores'!$A$10:$A$13,'Qualifying Scores'!$I$10:$I$13)),AND(W5&gt;=LOOKUP(G5,'Qualifying Scores'!$A$4:$A$7,'Qualifying Scores'!$I$4:$I$7),X5&gt;=LOOKUP(G5,'Qualifying Scores'!$A$10:$A$13,'Qualifying Scores'!$I$10:$I$13)),AND(AC5&gt;=LOOKUP(G5,'Qualifying Scores'!$A$4:$A$7,'Qualifying Scores'!$I$4:$I$7),AD5&gt;=LOOKUP(G5,'Qualifying Scores'!$A$10:$A$13,'Qualifying Scores'!$I$10:$I$13))),"P",""))</f>
        <v/>
      </c>
      <c r="P5" s="36">
        <v>4</v>
      </c>
      <c r="Q5" s="1" t="str">
        <f t="shared" si="1"/>
        <v/>
      </c>
      <c r="R5" s="4">
        <f t="shared" si="2"/>
        <v>40.799999999999997</v>
      </c>
      <c r="S5" s="4">
        <f t="shared" si="3"/>
        <v>36.5</v>
      </c>
      <c r="T5" s="32">
        <v>37.1</v>
      </c>
      <c r="U5" s="37">
        <v>5.3</v>
      </c>
      <c r="V5" s="37">
        <v>0.6</v>
      </c>
      <c r="W5" s="33">
        <v>41.4</v>
      </c>
      <c r="X5" s="37">
        <v>8</v>
      </c>
      <c r="Y5" s="37">
        <v>0.6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$22&lt;&gt;"")*(G$3:G$22=G6)*(J$3:J$22&gt;J6)*(I$3:I$22="P"))+1,IF(O6&lt;&gt;"",SUMPRODUCT((O$3:O$22&lt;&gt;"")*(P$3:P$22="")*(G$3:G$22=G6)*(J$3:J$22&gt;J6)*(I$3:I$22="P"))+SUMPRODUCT((P$3:P$22&lt;&gt;"")*(G$3:G$22=G6)*(I$3:I$22="P"))+1,IF(N6&lt;&gt;"",SUMPRODUCT((N$3:N$22&lt;&gt;"")*(G$3:G$22=G6)*(J$3:J$22&gt;J6)*(I$3:I$22="P"))+1,IF(M6="P",SUMPRODUCT((O$3:O$22&lt;&gt;"")*(P$3:P$22="")*(G$3:G$22=G6)*(I$3:I$22="P"))+SUMPRODUCT((P$3:P$22&lt;&gt;"")*(G$3:G$22=G6)*(I$3:I$22="P"))+SUMPRODUCT((N$3:N$22&lt;&gt;"")*(G$3:G$22=G6)*(I$3:I$22="P"))+SUMPRODUCT((P$3:P$22="")*(O$3:O$22="")*(N$3:N$22="")*(M$3:M$22="P")*(G$3:G$22=G6)*(J$3:J$22&gt;J6)*(I$3:I$22="P"))+IF(H6="L5",SUMPRODUCT((P$3:P$22="")*(O$3:O$22="")*(N$3:N$22="")*(M$3:M$22="P")*(G$3:G$22=G6)*(J$3:J$22&lt;J6)*(H$3:H$22&lt;&gt;H6)*(I$3:I$22="P")),-1*SUMPRODUCT((P$3:P$22="")*(O$3:O$22="")*(N$3:N$22="")*(M$3:M$22="P")*(G$3:G$22=G6)*(J$3:J$22&gt;J6)*(H$3:H$22="L5")*(I$3:I$22="P")))+1,"")))))</f>
        <v/>
      </c>
      <c r="B6" s="1" cm="1">
        <f t="array" ref="B6">IF(P6&lt;&gt;"",SUMPRODUCT((P$3:P$54&lt;&gt;"")*(G$3:G$54=G6)*(J$3:J$54&gt;J6))+1,IF(O6&lt;&gt;"",SUMPRODUCT((O$3:O$54&lt;&gt;"")*(P$3:P$54="")*(G$3:G$54=G6)*(J$3:J$54&gt;J6))+SUMPRODUCT((P$3:P$54&lt;&gt;"")*(G$3:G$54=G6))+1,IF(N6&lt;&gt;"",SUMPRODUCT((N$3:N$54&lt;&gt;"")*(G$3:G$54=G6)*(J$3:J$54&gt;J6))+1,IF(M6="P",SUMPRODUCT((O$3:O$54&lt;&gt;"")*(P$3:P$54="")*(G$3:G$54=G6))+SUMPRODUCT((P$3:P$54&lt;&gt;"")*(G$3:G$54=G6))+SUMPRODUCT((N$3:N$54&lt;&gt;"")*(G$3:G$54=G6))+SUMPRODUCT((P$3:P$54="")*(O$3:O$54="")*(N$3:N$54="")*(M$3:M$54="P")*(G$3:G$54=G6)*(J$3:J$54&gt;J6))+IF(H6="L5",SUMPRODUCT((P$3:P$54="")*(O$3:O$54="")*(N$3:N$54="")*(M$3:M$54="P")*(G$3:G$54=G6)*(J$3:J$54&lt;J6)*(H$3:H$54&lt;&gt;H6)),-1*SUMPRODUCT((P$3:P$54="")*(O$3:O$54="")*(N$3:N$54="")*(M$3:M$54="P")*(G$3:G$54=G6)*(J$3:J$54&gt;J6)*(H$3:H$54="L5")))+1,""))))</f>
        <v>4</v>
      </c>
      <c r="C6" s="35" t="s">
        <v>231</v>
      </c>
      <c r="D6" s="35" t="str">
        <f>IF(E6="","",VLOOKUP(E6,'Coaching Points'!A:B,2,0))</f>
        <v>AB</v>
      </c>
      <c r="E6" s="35" t="s">
        <v>61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72</v>
      </c>
      <c r="I6" s="40"/>
      <c r="J6" s="4">
        <f t="shared" si="0"/>
        <v>41.700199999999995</v>
      </c>
      <c r="K6" s="3" t="str">
        <f>IF(G6="Not Age Eligible","",IF(MAX(T6,W6,Z6,AC6)&gt;=LOOKUP(G6,'Qualifying Scores'!$A$4:$A$7,'Qualifying Scores'!$I$4:$I$7),"P",""))</f>
        <v>P</v>
      </c>
      <c r="L6" s="3" t="str">
        <f>IF(G6="Not Age Eligible","",IF(MAX(U6,X6,AA6,AD6)&gt;=LOOKUP(G6,'Qualifying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Scores'!$I$10:$I$13)),AND(Z6&gt;=LOOKUP(G6,'Qualifying Scores'!$A$4:$A$7,'Qualifying Scores'!$I$4:$I$7),AA6&gt;=LOOKUP(G6,'Qualifying Scores'!$A$10:$A$13,'Qualifying Scores'!$I$10:$I$13)),AND(W6&gt;=LOOKUP(G6,'Qualifying Scores'!$A$4:$A$7,'Qualifying Scores'!$I$4:$I$7),X6&gt;=LOOKUP(G6,'Qualifying Scores'!$A$10:$A$13,'Qualifying Scores'!$I$10:$I$13)),AND(AC6&gt;=LOOKUP(G6,'Qualifying Scores'!$A$4:$A$7,'Qualifying Scores'!$I$4:$I$7),AD6&gt;=LOOKUP(G6,'Qualifying Scores'!$A$10:$A$13,'Qualifying Scores'!$I$10:$I$13))),"P",""))</f>
        <v>P</v>
      </c>
      <c r="O6" s="36">
        <v>2</v>
      </c>
      <c r="Q6" s="1" t="str">
        <f t="shared" si="1"/>
        <v/>
      </c>
      <c r="R6" s="4">
        <f t="shared" si="2"/>
        <v>41.699999999999996</v>
      </c>
      <c r="S6" s="4">
        <f t="shared" si="3"/>
        <v>37.299999999999997</v>
      </c>
      <c r="T6" s="32">
        <v>42.3</v>
      </c>
      <c r="U6" s="37">
        <v>8.6</v>
      </c>
      <c r="V6" s="37">
        <v>0.6</v>
      </c>
      <c r="W6" s="33">
        <v>37.9</v>
      </c>
      <c r="X6" s="37">
        <v>5.8</v>
      </c>
      <c r="Y6" s="37">
        <v>0.6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$22&lt;&gt;"")*(G$3:G$22=G7)*(J$3:J$22&gt;J7)*(I$3:I$22="P"))+1,IF(O7&lt;&gt;"",SUMPRODUCT((O$3:O$22&lt;&gt;"")*(P$3:P$22="")*(G$3:G$22=G7)*(J$3:J$22&gt;J7)*(I$3:I$22="P"))+SUMPRODUCT((P$3:P$22&lt;&gt;"")*(G$3:G$22=G7)*(I$3:I$22="P"))+1,IF(N7&lt;&gt;"",SUMPRODUCT((N$3:N$22&lt;&gt;"")*(G$3:G$22=G7)*(J$3:J$22&gt;J7)*(I$3:I$22="P"))+1,IF(M7="P",SUMPRODUCT((O$3:O$22&lt;&gt;"")*(P$3:P$22="")*(G$3:G$22=G7)*(I$3:I$22="P"))+SUMPRODUCT((P$3:P$22&lt;&gt;"")*(G$3:G$22=G7)*(I$3:I$22="P"))+SUMPRODUCT((N$3:N$22&lt;&gt;"")*(G$3:G$22=G7)*(I$3:I$22="P"))+SUMPRODUCT((P$3:P$22="")*(O$3:O$22="")*(N$3:N$22="")*(M$3:M$22="P")*(G$3:G$22=G7)*(J$3:J$22&gt;J7)*(I$3:I$22="P"))+IF(H7="L5",SUMPRODUCT((P$3:P$22="")*(O$3:O$22="")*(N$3:N$22="")*(M$3:M$22="P")*(G$3:G$22=G7)*(J$3:J$22&lt;J7)*(H$3:H$22&lt;&gt;H7)*(I$3:I$22="P")),-1*SUMPRODUCT((P$3:P$22="")*(O$3:O$22="")*(N$3:N$22="")*(M$3:M$22="P")*(G$3:G$22=G7)*(J$3:J$22&gt;J7)*(H$3:H$22="L5")*(I$3:I$22="P")))+1,"")))))</f>
        <v/>
      </c>
      <c r="B7" s="1" cm="1">
        <f t="array" ref="B7">IF(P7&lt;&gt;"",SUMPRODUCT((P$3:P$54&lt;&gt;"")*(G$3:G$54=G7)*(J$3:J$54&gt;J7))+1,IF(O7&lt;&gt;"",SUMPRODUCT((O$3:O$54&lt;&gt;"")*(P$3:P$54="")*(G$3:G$54=G7)*(J$3:J$54&gt;J7))+SUMPRODUCT((P$3:P$54&lt;&gt;"")*(G$3:G$54=G7))+1,IF(N7&lt;&gt;"",SUMPRODUCT((N$3:N$54&lt;&gt;"")*(G$3:G$54=G7)*(J$3:J$54&gt;J7))+1,IF(M7="P",SUMPRODUCT((O$3:O$54&lt;&gt;"")*(P$3:P$54="")*(G$3:G$54=G7))+SUMPRODUCT((P$3:P$54&lt;&gt;"")*(G$3:G$54=G7))+SUMPRODUCT((N$3:N$54&lt;&gt;"")*(G$3:G$54=G7))+SUMPRODUCT((P$3:P$54="")*(O$3:O$54="")*(N$3:N$54="")*(M$3:M$54="P")*(G$3:G$54=G7)*(J$3:J$54&gt;J7))+IF(H7="L5",SUMPRODUCT((P$3:P$54="")*(O$3:O$54="")*(N$3:N$54="")*(M$3:M$54="P")*(G$3:G$54=G7)*(J$3:J$54&lt;J7)*(H$3:H$54&lt;&gt;H7)),-1*SUMPRODUCT((P$3:P$54="")*(O$3:O$54="")*(N$3:N$54="")*(M$3:M$54="P")*(G$3:G$54=G7)*(J$3:J$54&gt;J7)*(H$3:H$54="L5")))+1,""))))</f>
        <v>5</v>
      </c>
      <c r="C7" s="35" t="s">
        <v>144</v>
      </c>
      <c r="D7" s="35" t="str">
        <f>IF(E7="","",VLOOKUP(E7,'Coaching Points'!A:B,2,0))</f>
        <v>QC</v>
      </c>
      <c r="E7" s="35" t="s">
        <v>156</v>
      </c>
      <c r="F7" s="34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66</v>
      </c>
      <c r="I7" s="40"/>
      <c r="J7" s="4">
        <f t="shared" si="0"/>
        <v>41.700099999999999</v>
      </c>
      <c r="K7" s="3" t="str">
        <f>IF(G7="Not Age Eligible","",IF(MAX(T7,W7,Z7,AC7)&gt;=LOOKUP(G7,'Qualifying Scores'!$A$4:$A$7,'Qualifying Scores'!$I$4:$I$7),"P",""))</f>
        <v>P</v>
      </c>
      <c r="L7" s="3" t="str">
        <f>IF(G7="Not Age Eligible","",IF(MAX(U7,X7,AA7,AD7)&gt;=LOOKUP(G7,'Qualifying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Scores'!$I$10:$I$13)),AND(Z7&gt;=LOOKUP(G7,'Qualifying Scores'!$A$4:$A$7,'Qualifying Scores'!$I$4:$I$7),AA7&gt;=LOOKUP(G7,'Qualifying Scores'!$A$10:$A$13,'Qualifying Scores'!$I$10:$I$13)),AND(W7&gt;=LOOKUP(G7,'Qualifying Scores'!$A$4:$A$7,'Qualifying Scores'!$I$4:$I$7),X7&gt;=LOOKUP(G7,'Qualifying Scores'!$A$10:$A$13,'Qualifying Scores'!$I$10:$I$13)),AND(AC7&gt;=LOOKUP(G7,'Qualifying Scores'!$A$4:$A$7,'Qualifying Scores'!$I$4:$I$7),AD7&gt;=LOOKUP(G7,'Qualifying Scores'!$A$10:$A$13,'Qualifying Scores'!$I$10:$I$13))),"P",""))</f>
        <v>P</v>
      </c>
      <c r="O7" s="36">
        <v>4</v>
      </c>
      <c r="Q7" s="1" t="str">
        <f t="shared" si="1"/>
        <v/>
      </c>
      <c r="R7" s="4">
        <f t="shared" si="2"/>
        <v>41.699999999999996</v>
      </c>
      <c r="S7" s="4">
        <f t="shared" si="3"/>
        <v>39.300000000000004</v>
      </c>
      <c r="T7" s="32">
        <v>40.200000000000003</v>
      </c>
      <c r="U7" s="37">
        <v>7.8</v>
      </c>
      <c r="V7" s="37">
        <v>0.89999999999999991</v>
      </c>
      <c r="W7" s="33">
        <v>42.9</v>
      </c>
      <c r="X7" s="37">
        <v>8.5</v>
      </c>
      <c r="Y7" s="37">
        <v>1.2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$22&lt;&gt;"")*(G$3:G$22=G8)*(J$3:J$22&gt;J8)*(I$3:I$22="P"))+1,IF(O8&lt;&gt;"",SUMPRODUCT((O$3:O$22&lt;&gt;"")*(P$3:P$22="")*(G$3:G$22=G8)*(J$3:J$22&gt;J8)*(I$3:I$22="P"))+SUMPRODUCT((P$3:P$22&lt;&gt;"")*(G$3:G$22=G8)*(I$3:I$22="P"))+1,IF(N8&lt;&gt;"",SUMPRODUCT((N$3:N$22&lt;&gt;"")*(G$3:G$22=G8)*(J$3:J$22&gt;J8)*(I$3:I$22="P"))+1,IF(M8="P",SUMPRODUCT((O$3:O$22&lt;&gt;"")*(P$3:P$22="")*(G$3:G$22=G8)*(I$3:I$22="P"))+SUMPRODUCT((P$3:P$22&lt;&gt;"")*(G$3:G$22=G8)*(I$3:I$22="P"))+SUMPRODUCT((N$3:N$22&lt;&gt;"")*(G$3:G$22=G8)*(I$3:I$22="P"))+SUMPRODUCT((P$3:P$22="")*(O$3:O$22="")*(N$3:N$22="")*(M$3:M$22="P")*(G$3:G$22=G8)*(J$3:J$22&gt;J8)*(I$3:I$22="P"))+IF(H8="L5",SUMPRODUCT((P$3:P$22="")*(O$3:O$22="")*(N$3:N$22="")*(M$3:M$22="P")*(G$3:G$22=G8)*(J$3:J$22&lt;J8)*(H$3:H$22&lt;&gt;H8)*(I$3:I$22="P")),-1*SUMPRODUCT((P$3:P$22="")*(O$3:O$22="")*(N$3:N$22="")*(M$3:M$22="P")*(G$3:G$22=G8)*(J$3:J$22&gt;J8)*(H$3:H$22="L5")*(I$3:I$22="P")))+1,"")))))</f>
        <v/>
      </c>
      <c r="B8" s="1" cm="1">
        <f t="array" ref="B8">IF(P8&lt;&gt;"",SUMPRODUCT((P$3:P$54&lt;&gt;"")*(G$3:G$54=G8)*(J$3:J$54&gt;J8))+1,IF(O8&lt;&gt;"",SUMPRODUCT((O$3:O$54&lt;&gt;"")*(P$3:P$54="")*(G$3:G$54=G8)*(J$3:J$54&gt;J8))+SUMPRODUCT((P$3:P$54&lt;&gt;"")*(G$3:G$54=G8))+1,IF(N8&lt;&gt;"",SUMPRODUCT((N$3:N$54&lt;&gt;"")*(G$3:G$54=G8)*(J$3:J$54&gt;J8))+1,IF(M8="P",SUMPRODUCT((O$3:O$54&lt;&gt;"")*(P$3:P$54="")*(G$3:G$54=G8))+SUMPRODUCT((P$3:P$54&lt;&gt;"")*(G$3:G$54=G8))+SUMPRODUCT((N$3:N$54&lt;&gt;"")*(G$3:G$54=G8))+SUMPRODUCT((P$3:P$54="")*(O$3:O$54="")*(N$3:N$54="")*(M$3:M$54="P")*(G$3:G$54=G8)*(J$3:J$54&gt;J8))+IF(H8="L5",SUMPRODUCT((P$3:P$54="")*(O$3:O$54="")*(N$3:N$54="")*(M$3:M$54="P")*(G$3:G$54=G8)*(J$3:J$54&lt;J8)*(H$3:H$54&lt;&gt;H8)),-1*SUMPRODUCT((P$3:P$54="")*(O$3:O$54="")*(N$3:N$54="")*(M$3:M$54="P")*(G$3:G$54=G8)*(J$3:J$54&gt;J8)*(H$3:H$54="L5")))+1,""))))</f>
        <v>6</v>
      </c>
      <c r="C8" s="35" t="s">
        <v>239</v>
      </c>
      <c r="D8" s="35" t="str">
        <f>IF(E8="","",VLOOKUP(E8,'Coaching Points'!A:B,2,0))</f>
        <v>ON</v>
      </c>
      <c r="E8" s="35" t="s">
        <v>131</v>
      </c>
      <c r="F8" s="34">
        <v>2007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72</v>
      </c>
      <c r="I8" s="40"/>
      <c r="J8" s="4">
        <f t="shared" si="0"/>
        <v>39.5002</v>
      </c>
      <c r="K8" s="3" t="str">
        <f>IF(G8="Not Age Eligible","",IF(MAX(T8,W8,Z8,AC8)&gt;=LOOKUP(G8,'Qualifying Scores'!$A$4:$A$7,'Qualifying Scores'!$I$4:$I$7),"P",""))</f>
        <v/>
      </c>
      <c r="L8" s="3" t="str">
        <f>IF(G8="Not Age Eligible","",IF(MAX(U8,X8,AA8,AD8)&gt;=LOOKUP(G8,'Qualifying Scores'!$A$10:$A$13,'Qualifying Scores'!$I$10:$I$13),"P",""))</f>
        <v/>
      </c>
      <c r="M8" s="3" t="str">
        <f>IF(G8="Not Age Eligible","",IF(OR(AND(T8&gt;=LOOKUP(G8,'Qualifying Scores'!$A$4:$A$7,'Qualifying Scores'!$I$4:$I$7),U8&gt;=LOOKUP(G8,'Qualifying Scores'!$A$10:$A$13,'Qualifying Scores'!$I$10:$I$13)),AND(Z8&gt;=LOOKUP(G8,'Qualifying Scores'!$A$4:$A$7,'Qualifying Scores'!$I$4:$I$7),AA8&gt;=LOOKUP(G8,'Qualifying Scores'!$A$10:$A$13,'Qualifying Scores'!$I$10:$I$13)),AND(W8&gt;=LOOKUP(G8,'Qualifying Scores'!$A$4:$A$7,'Qualifying Scores'!$I$4:$I$7),X8&gt;=LOOKUP(G8,'Qualifying Scores'!$A$10:$A$13,'Qualifying Scores'!$I$10:$I$13)),AND(AC8&gt;=LOOKUP(G8,'Qualifying Scores'!$A$4:$A$7,'Qualifying Scores'!$I$4:$I$7),AD8&gt;=LOOKUP(G8,'Qualifying Scores'!$A$10:$A$13,'Qualifying Scores'!$I$10:$I$13))),"P",""))</f>
        <v/>
      </c>
      <c r="O8" s="36">
        <v>3</v>
      </c>
      <c r="Q8" s="1" t="str">
        <f t="shared" si="1"/>
        <v/>
      </c>
      <c r="R8" s="4">
        <f t="shared" si="2"/>
        <v>39.5</v>
      </c>
      <c r="S8" s="4">
        <f t="shared" si="3"/>
        <v>39</v>
      </c>
      <c r="T8" s="32">
        <v>39.6</v>
      </c>
      <c r="U8" s="37">
        <v>5.8</v>
      </c>
      <c r="V8" s="37">
        <v>0.6</v>
      </c>
      <c r="W8" s="33">
        <v>40.700000000000003</v>
      </c>
      <c r="X8" s="37">
        <v>7.1999999999999993</v>
      </c>
      <c r="Y8" s="37">
        <v>1.2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$22&lt;&gt;"")*(G$3:G$22=G9)*(J$3:J$22&gt;J9)*(I$3:I$22="P"))+1,IF(O9&lt;&gt;"",SUMPRODUCT((O$3:O$22&lt;&gt;"")*(P$3:P$22="")*(G$3:G$22=G9)*(J$3:J$22&gt;J9)*(I$3:I$22="P"))+SUMPRODUCT((P$3:P$22&lt;&gt;"")*(G$3:G$22=G9)*(I$3:I$22="P"))+1,IF(N9&lt;&gt;"",SUMPRODUCT((N$3:N$22&lt;&gt;"")*(G$3:G$22=G9)*(J$3:J$22&gt;J9)*(I$3:I$22="P"))+1,IF(M9="P",SUMPRODUCT((O$3:O$22&lt;&gt;"")*(P$3:P$22="")*(G$3:G$22=G9)*(I$3:I$22="P"))+SUMPRODUCT((P$3:P$22&lt;&gt;"")*(G$3:G$22=G9)*(I$3:I$22="P"))+SUMPRODUCT((N$3:N$22&lt;&gt;"")*(G$3:G$22=G9)*(I$3:I$22="P"))+SUMPRODUCT((P$3:P$22="")*(O$3:O$22="")*(N$3:N$22="")*(M$3:M$22="P")*(G$3:G$22=G9)*(J$3:J$22&gt;J9)*(I$3:I$22="P"))+IF(H9="L5",SUMPRODUCT((P$3:P$22="")*(O$3:O$22="")*(N$3:N$22="")*(M$3:M$22="P")*(G$3:G$22=G9)*(J$3:J$22&lt;J9)*(H$3:H$22&lt;&gt;H9)*(I$3:I$22="P")),-1*SUMPRODUCT((P$3:P$22="")*(O$3:O$22="")*(N$3:N$22="")*(M$3:M$22="P")*(G$3:G$22=G9)*(J$3:J$22&gt;J9)*(H$3:H$22="L5")*(I$3:I$22="P")))+1,"")))))</f>
        <v/>
      </c>
      <c r="B9" s="1" cm="1">
        <f t="array" ref="B9">IF(P9&lt;&gt;"",SUMPRODUCT((P$3:P$54&lt;&gt;"")*(G$3:G$54=G9)*(J$3:J$54&gt;J9))+1,IF(O9&lt;&gt;"",SUMPRODUCT((O$3:O$54&lt;&gt;"")*(P$3:P$54="")*(G$3:G$54=G9)*(J$3:J$54&gt;J9))+SUMPRODUCT((P$3:P$54&lt;&gt;"")*(G$3:G$54=G9))+1,IF(N9&lt;&gt;"",SUMPRODUCT((N$3:N$54&lt;&gt;"")*(G$3:G$54=G9)*(J$3:J$54&gt;J9))+1,IF(M9="P",SUMPRODUCT((O$3:O$54&lt;&gt;"")*(P$3:P$54="")*(G$3:G$54=G9))+SUMPRODUCT((P$3:P$54&lt;&gt;"")*(G$3:G$54=G9))+SUMPRODUCT((N$3:N$54&lt;&gt;"")*(G$3:G$54=G9))+SUMPRODUCT((P$3:P$54="")*(O$3:O$54="")*(N$3:N$54="")*(M$3:M$54="P")*(G$3:G$54=G9)*(J$3:J$54&gt;J9))+IF(H9="L5",SUMPRODUCT((P$3:P$54="")*(O$3:O$54="")*(N$3:N$54="")*(M$3:M$54="P")*(G$3:G$54=G9)*(J$3:J$54&lt;J9)*(H$3:H$54&lt;&gt;H9)),-1*SUMPRODUCT((P$3:P$54="")*(O$3:O$54="")*(N$3:N$54="")*(M$3:M$54="P")*(G$3:G$54=G9)*(J$3:J$54&gt;J9)*(H$3:H$54="L5")))+1,""))))</f>
        <v>7</v>
      </c>
      <c r="C9" s="35" t="s">
        <v>370</v>
      </c>
      <c r="D9" s="35" t="str">
        <f>IF(E9="","",VLOOKUP(E9,'Coaching Points'!A:B,2,0))</f>
        <v>QC</v>
      </c>
      <c r="E9" s="35" t="s">
        <v>3</v>
      </c>
      <c r="F9" s="34">
        <v>2003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66</v>
      </c>
      <c r="I9" s="40"/>
      <c r="J9" s="4">
        <f t="shared" si="0"/>
        <v>42.3001</v>
      </c>
      <c r="K9" s="3" t="str">
        <f>IF(G9="Not Age Eligible","",IF(MAX(T9,W9,Z9,AC9)&gt;=LOOKUP(G9,'Qualifying Scores'!$A$4:$A$7,'Qualifying Scores'!$I$4:$I$7),"P",""))</f>
        <v>P</v>
      </c>
      <c r="L9" s="3" t="str">
        <f>IF(G9="Not Age Eligible","",IF(MAX(U9,X9,AA9,AD9)&gt;=LOOKUP(G9,'Qualifying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Scores'!$I$10:$I$13)),AND(Z9&gt;=LOOKUP(G9,'Qualifying Scores'!$A$4:$A$7,'Qualifying Scores'!$I$4:$I$7),AA9&gt;=LOOKUP(G9,'Qualifying Scores'!$A$10:$A$13,'Qualifying Scores'!$I$10:$I$13)),AND(W9&gt;=LOOKUP(G9,'Qualifying Scores'!$A$4:$A$7,'Qualifying Scores'!$I$4:$I$7),X9&gt;=LOOKUP(G9,'Qualifying Scores'!$A$10:$A$13,'Qualifying Scores'!$I$10:$I$13)),AND(AC9&gt;=LOOKUP(G9,'Qualifying Scores'!$A$4:$A$7,'Qualifying Scores'!$I$4:$I$7),AD9&gt;=LOOKUP(G9,'Qualifying Scores'!$A$10:$A$13,'Qualifying Scores'!$I$10:$I$13))),"P",""))</f>
        <v>P</v>
      </c>
      <c r="Q9" s="1" t="str">
        <f t="shared" si="1"/>
        <v/>
      </c>
      <c r="R9" s="4">
        <f t="shared" si="2"/>
        <v>42.3</v>
      </c>
      <c r="S9" s="4">
        <f t="shared" si="3"/>
        <v>42.199999999999996</v>
      </c>
      <c r="T9" s="32">
        <v>42.8</v>
      </c>
      <c r="U9" s="37">
        <v>8</v>
      </c>
      <c r="V9" s="37">
        <v>0.6</v>
      </c>
      <c r="W9" s="33">
        <v>42.9</v>
      </c>
      <c r="X9" s="37">
        <v>8</v>
      </c>
      <c r="Y9" s="37">
        <v>0.6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$22&lt;&gt;"")*(G$3:G$22=G10)*(J$3:J$22&gt;J10)*(I$3:I$22="P"))+1,IF(O10&lt;&gt;"",SUMPRODUCT((O$3:O$22&lt;&gt;"")*(P$3:P$22="")*(G$3:G$22=G10)*(J$3:J$22&gt;J10)*(I$3:I$22="P"))+SUMPRODUCT((P$3:P$22&lt;&gt;"")*(G$3:G$22=G10)*(I$3:I$22="P"))+1,IF(N10&lt;&gt;"",SUMPRODUCT((N$3:N$22&lt;&gt;"")*(G$3:G$22=G10)*(J$3:J$22&gt;J10)*(I$3:I$22="P"))+1,IF(M10="P",SUMPRODUCT((O$3:O$22&lt;&gt;"")*(P$3:P$22="")*(G$3:G$22=G10)*(I$3:I$22="P"))+SUMPRODUCT((P$3:P$22&lt;&gt;"")*(G$3:G$22=G10)*(I$3:I$22="P"))+SUMPRODUCT((N$3:N$22&lt;&gt;"")*(G$3:G$22=G10)*(I$3:I$22="P"))+SUMPRODUCT((P$3:P$22="")*(O$3:O$22="")*(N$3:N$22="")*(M$3:M$22="P")*(G$3:G$22=G10)*(J$3:J$22&gt;J10)*(I$3:I$22="P"))+IF(H10="L5",SUMPRODUCT((P$3:P$22="")*(O$3:O$22="")*(N$3:N$22="")*(M$3:M$22="P")*(G$3:G$22=G10)*(J$3:J$22&lt;J10)*(H$3:H$22&lt;&gt;H10)*(I$3:I$22="P")),-1*SUMPRODUCT((P$3:P$22="")*(O$3:O$22="")*(N$3:N$22="")*(M$3:M$22="P")*(G$3:G$22=G10)*(J$3:J$22&gt;J10)*(H$3:H$22="L5")*(I$3:I$22="P")))+1,"")))))</f>
        <v/>
      </c>
      <c r="B10" s="1" t="str" cm="1">
        <f t="array" ref="B10">IF(P10&lt;&gt;"",SUMPRODUCT((P$3:P$54&lt;&gt;"")*(G$3:G$54=G10)*(J$3:J$54&gt;J10))+1,IF(O10&lt;&gt;"",SUMPRODUCT((O$3:O$54&lt;&gt;"")*(P$3:P$54="")*(G$3:G$54=G10)*(J$3:J$54&gt;J10))+SUMPRODUCT((P$3:P$54&lt;&gt;"")*(G$3:G$54=G10))+1,IF(N10&lt;&gt;"",SUMPRODUCT((N$3:N$54&lt;&gt;"")*(G$3:G$54=G10)*(J$3:J$54&gt;J10))+1,IF(M10="P",SUMPRODUCT((O$3:O$54&lt;&gt;"")*(P$3:P$54="")*(G$3:G$54=G10))+SUMPRODUCT((P$3:P$54&lt;&gt;"")*(G$3:G$54=G10))+SUMPRODUCT((N$3:N$54&lt;&gt;"")*(G$3:G$54=G10))+SUMPRODUCT((P$3:P$54="")*(O$3:O$54="")*(N$3:N$54="")*(M$3:M$54="P")*(G$3:G$54=G10)*(J$3:J$54&gt;J10))+IF(H10="L5",SUMPRODUCT((P$3:P$54="")*(O$3:O$54="")*(N$3:N$54="")*(M$3:M$54="P")*(G$3:G$54=G10)*(J$3:J$54&lt;J10)*(H$3:H$54&lt;&gt;H10)),-1*SUMPRODUCT((P$3:P$54="")*(O$3:O$54="")*(N$3:N$54="")*(M$3:M$54="P")*(G$3:G$54=G10)*(J$3:J$54&gt;J10)*(H$3:H$54="L5")))+1,""))))</f>
        <v/>
      </c>
      <c r="C10" s="35" t="s">
        <v>139</v>
      </c>
      <c r="D10" s="35" t="str">
        <f>IF(E10="","",VLOOKUP(E10,'Coaching Points'!A:B,2,0))</f>
        <v>ON</v>
      </c>
      <c r="E10" s="35" t="s">
        <v>45</v>
      </c>
      <c r="F10" s="34">
        <v>2007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66</v>
      </c>
      <c r="I10" s="40"/>
      <c r="J10" s="4">
        <f t="shared" si="0"/>
        <v>41.500100000000003</v>
      </c>
      <c r="K10" s="3" t="str">
        <f>IF(G10="Not Age Eligible","",IF(MAX(T10,W10,Z10,AC10)&gt;=LOOKUP(G10,'Qualifying Scores'!$A$4:$A$7,'Qualifying Scores'!$I$4:$I$7),"P",""))</f>
        <v>P</v>
      </c>
      <c r="L10" s="3" t="str">
        <f>IF(G10="Not Age Eligible","",IF(MAX(U10,X10,AA10,AD10)&gt;=LOOKUP(G10,'Qualifying Scores'!$A$10:$A$13,'Qualifying Scores'!$I$10:$I$13),"P",""))</f>
        <v/>
      </c>
      <c r="M10" s="3" t="str">
        <f>IF(G10="Not Age Eligible","",IF(OR(AND(T10&gt;=LOOKUP(G10,'Qualifying Scores'!$A$4:$A$7,'Qualifying Scores'!$I$4:$I$7),U10&gt;=LOOKUP(G10,'Qualifying Scores'!$A$10:$A$13,'Qualifying Scores'!$I$10:$I$13)),AND(Z10&gt;=LOOKUP(G10,'Qualifying Scores'!$A$4:$A$7,'Qualifying Scores'!$I$4:$I$7),AA10&gt;=LOOKUP(G10,'Qualifying Scores'!$A$10:$A$13,'Qualifying Scores'!$I$10:$I$13)),AND(W10&gt;=LOOKUP(G10,'Qualifying Scores'!$A$4:$A$7,'Qualifying Scores'!$I$4:$I$7),X10&gt;=LOOKUP(G10,'Qualifying Scores'!$A$10:$A$13,'Qualifying Scores'!$I$10:$I$13)),AND(AC10&gt;=LOOKUP(G10,'Qualifying Scores'!$A$4:$A$7,'Qualifying Scores'!$I$4:$I$7),AD10&gt;=LOOKUP(G10,'Qualifying Scores'!$A$10:$A$13,'Qualifying Scores'!$I$10:$I$13))),"P",""))</f>
        <v/>
      </c>
      <c r="Q10" s="1" t="str">
        <f t="shared" si="1"/>
        <v/>
      </c>
      <c r="R10" s="4">
        <f t="shared" si="2"/>
        <v>41.5</v>
      </c>
      <c r="S10" s="4">
        <f t="shared" si="3"/>
        <v>38.099999999999994</v>
      </c>
      <c r="T10" s="32">
        <v>39.299999999999997</v>
      </c>
      <c r="U10" s="37">
        <v>7.4</v>
      </c>
      <c r="V10" s="37">
        <v>1.2</v>
      </c>
      <c r="W10" s="33">
        <v>42.7</v>
      </c>
      <c r="X10" s="37">
        <v>7.4</v>
      </c>
      <c r="Y10" s="37">
        <v>1.2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$22&lt;&gt;"")*(G$3:G$22=G11)*(J$3:J$22&gt;J11)*(I$3:I$22="P"))+1,IF(O11&lt;&gt;"",SUMPRODUCT((O$3:O$22&lt;&gt;"")*(P$3:P$22="")*(G$3:G$22=G11)*(J$3:J$22&gt;J11)*(I$3:I$22="P"))+SUMPRODUCT((P$3:P$22&lt;&gt;"")*(G$3:G$22=G11)*(I$3:I$22="P"))+1,IF(N11&lt;&gt;"",SUMPRODUCT((N$3:N$22&lt;&gt;"")*(G$3:G$22=G11)*(J$3:J$22&gt;J11)*(I$3:I$22="P"))+1,IF(M11="P",SUMPRODUCT((O$3:O$22&lt;&gt;"")*(P$3:P$22="")*(G$3:G$22=G11)*(I$3:I$22="P"))+SUMPRODUCT((P$3:P$22&lt;&gt;"")*(G$3:G$22=G11)*(I$3:I$22="P"))+SUMPRODUCT((N$3:N$22&lt;&gt;"")*(G$3:G$22=G11)*(I$3:I$22="P"))+SUMPRODUCT((P$3:P$22="")*(O$3:O$22="")*(N$3:N$22="")*(M$3:M$22="P")*(G$3:G$22=G11)*(J$3:J$22&gt;J11)*(I$3:I$22="P"))+IF(H11="L5",SUMPRODUCT((P$3:P$22="")*(O$3:O$22="")*(N$3:N$22="")*(M$3:M$22="P")*(G$3:G$22=G11)*(J$3:J$22&lt;J11)*(H$3:H$22&lt;&gt;H11)*(I$3:I$22="P")),-1*SUMPRODUCT((P$3:P$22="")*(O$3:O$22="")*(N$3:N$22="")*(M$3:M$22="P")*(G$3:G$22=G11)*(J$3:J$22&gt;J11)*(H$3:H$22="L5")*(I$3:I$22="P")))+1,"")))))</f>
        <v/>
      </c>
      <c r="B11" s="1" t="str" cm="1">
        <f t="array" ref="B11">IF(P11&lt;&gt;"",SUMPRODUCT((P$3:P$54&lt;&gt;"")*(G$3:G$54=G11)*(J$3:J$54&gt;J11))+1,IF(O11&lt;&gt;"",SUMPRODUCT((O$3:O$54&lt;&gt;"")*(P$3:P$54="")*(G$3:G$54=G11)*(J$3:J$54&gt;J11))+SUMPRODUCT((P$3:P$54&lt;&gt;"")*(G$3:G$54=G11))+1,IF(N11&lt;&gt;"",SUMPRODUCT((N$3:N$54&lt;&gt;"")*(G$3:G$54=G11)*(J$3:J$54&gt;J11))+1,IF(M11="P",SUMPRODUCT((O$3:O$54&lt;&gt;"")*(P$3:P$54="")*(G$3:G$54=G11))+SUMPRODUCT((P$3:P$54&lt;&gt;"")*(G$3:G$54=G11))+SUMPRODUCT((N$3:N$54&lt;&gt;"")*(G$3:G$54=G11))+SUMPRODUCT((P$3:P$54="")*(O$3:O$54="")*(N$3:N$54="")*(M$3:M$54="P")*(G$3:G$54=G11)*(J$3:J$54&gt;J11))+IF(H11="L5",SUMPRODUCT((P$3:P$54="")*(O$3:O$54="")*(N$3:N$54="")*(M$3:M$54="P")*(G$3:G$54=G11)*(J$3:J$54&lt;J11)*(H$3:H$54&lt;&gt;H11)),-1*SUMPRODUCT((P$3:P$54="")*(O$3:O$54="")*(N$3:N$54="")*(M$3:M$54="P")*(G$3:G$54=G11)*(J$3:J$54&gt;J11)*(H$3:H$54="L5")))+1,""))))</f>
        <v/>
      </c>
      <c r="C11" s="35" t="s">
        <v>235</v>
      </c>
      <c r="D11" s="35" t="str">
        <f>IF(E11="","",VLOOKUP(E11,'Coaching Points'!A:B,2,0))</f>
        <v>ON</v>
      </c>
      <c r="E11" s="35" t="s">
        <v>131</v>
      </c>
      <c r="F11" s="34">
        <v>2006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64</v>
      </c>
      <c r="I11" s="40"/>
      <c r="J11" s="4">
        <f t="shared" si="0"/>
        <v>40.82</v>
      </c>
      <c r="K11" s="3" t="str">
        <f>IF(G11="Not Age Eligible","",IF(MAX(T11,W11,Z11,AC11)&gt;=LOOKUP(G11,'Qualifying Scores'!$A$4:$A$7,'Qualifying Scores'!$I$4:$I$7),"P",""))</f>
        <v/>
      </c>
      <c r="L11" s="3" t="str">
        <f>IF(G11="Not Age Eligible","",IF(MAX(U11,X11,AA11,AD11)&gt;=LOOKUP(G11,'Qualifying Scores'!$A$10:$A$13,'Qualifying Scores'!$I$10:$I$13),"P",""))</f>
        <v/>
      </c>
      <c r="M11" s="3" t="str">
        <f>IF(G11="Not Age Eligible","",IF(OR(AND(T11&gt;=LOOKUP(G11,'Qualifying Scores'!$A$4:$A$7,'Qualifying Scores'!$I$4:$I$7),U11&gt;=LOOKUP(G11,'Qualifying Scores'!$A$10:$A$13,'Qualifying Scores'!$I$10:$I$13)),AND(Z11&gt;=LOOKUP(G11,'Qualifying Scores'!$A$4:$A$7,'Qualifying Scores'!$I$4:$I$7),AA11&gt;=LOOKUP(G11,'Qualifying Scores'!$A$10:$A$13,'Qualifying Scores'!$I$10:$I$13)),AND(W11&gt;=LOOKUP(G11,'Qualifying Scores'!$A$4:$A$7,'Qualifying Scores'!$I$4:$I$7),X11&gt;=LOOKUP(G11,'Qualifying Scores'!$A$10:$A$13,'Qualifying Scores'!$I$10:$I$13)),AND(AC11&gt;=LOOKUP(G11,'Qualifying Scores'!$A$4:$A$7,'Qualifying Scores'!$I$4:$I$7),AD11&gt;=LOOKUP(G11,'Qualifying Scores'!$A$10:$A$13,'Qualifying Scores'!$I$10:$I$13))),"P",""))</f>
        <v/>
      </c>
      <c r="Q11" s="1" t="str">
        <f t="shared" si="1"/>
        <v/>
      </c>
      <c r="R11" s="4">
        <f t="shared" si="2"/>
        <v>40.82</v>
      </c>
      <c r="S11" s="4">
        <f t="shared" si="3"/>
        <v>40.200000000000003</v>
      </c>
      <c r="T11" s="32">
        <v>40.200000000000003</v>
      </c>
      <c r="U11" s="37">
        <v>4.4000000000000004</v>
      </c>
      <c r="V11" s="37">
        <v>0</v>
      </c>
      <c r="W11" s="33">
        <v>40.82</v>
      </c>
      <c r="X11" s="37">
        <v>4.4000000000000004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$22&lt;&gt;"")*(G$3:G$22=G12)*(J$3:J$22&gt;J12)*(I$3:I$22="P"))+1,IF(O12&lt;&gt;"",SUMPRODUCT((O$3:O$22&lt;&gt;"")*(P$3:P$22="")*(G$3:G$22=G12)*(J$3:J$22&gt;J12)*(I$3:I$22="P"))+SUMPRODUCT((P$3:P$22&lt;&gt;"")*(G$3:G$22=G12)*(I$3:I$22="P"))+1,IF(N12&lt;&gt;"",SUMPRODUCT((N$3:N$22&lt;&gt;"")*(G$3:G$22=G12)*(J$3:J$22&gt;J12)*(I$3:I$22="P"))+1,IF(M12="P",SUMPRODUCT((O$3:O$22&lt;&gt;"")*(P$3:P$22="")*(G$3:G$22=G12)*(I$3:I$22="P"))+SUMPRODUCT((P$3:P$22&lt;&gt;"")*(G$3:G$22=G12)*(I$3:I$22="P"))+SUMPRODUCT((N$3:N$22&lt;&gt;"")*(G$3:G$22=G12)*(I$3:I$22="P"))+SUMPRODUCT((P$3:P$22="")*(O$3:O$22="")*(N$3:N$22="")*(M$3:M$22="P")*(G$3:G$22=G12)*(J$3:J$22&gt;J12)*(I$3:I$22="P"))+IF(H12="L5",SUMPRODUCT((P$3:P$22="")*(O$3:O$22="")*(N$3:N$22="")*(M$3:M$22="P")*(G$3:G$22=G12)*(J$3:J$22&lt;J12)*(H$3:H$22&lt;&gt;H12)*(I$3:I$22="P")),-1*SUMPRODUCT((P$3:P$22="")*(O$3:O$22="")*(N$3:N$22="")*(M$3:M$22="P")*(G$3:G$22=G12)*(J$3:J$22&gt;J12)*(H$3:H$22="L5")*(I$3:I$22="P")))+1,"")))))</f>
        <v/>
      </c>
      <c r="B12" s="1" t="str" cm="1">
        <f t="array" ref="B12">IF(P12&lt;&gt;"",SUMPRODUCT((P$3:P$54&lt;&gt;"")*(G$3:G$54=G12)*(J$3:J$54&gt;J12))+1,IF(O12&lt;&gt;"",SUMPRODUCT((O$3:O$54&lt;&gt;"")*(P$3:P$54="")*(G$3:G$54=G12)*(J$3:J$54&gt;J12))+SUMPRODUCT((P$3:P$54&lt;&gt;"")*(G$3:G$54=G12))+1,IF(N12&lt;&gt;"",SUMPRODUCT((N$3:N$54&lt;&gt;"")*(G$3:G$54=G12)*(J$3:J$54&gt;J12))+1,IF(M12="P",SUMPRODUCT((O$3:O$54&lt;&gt;"")*(P$3:P$54="")*(G$3:G$54=G12))+SUMPRODUCT((P$3:P$54&lt;&gt;"")*(G$3:G$54=G12))+SUMPRODUCT((N$3:N$54&lt;&gt;"")*(G$3:G$54=G12))+SUMPRODUCT((P$3:P$54="")*(O$3:O$54="")*(N$3:N$54="")*(M$3:M$54="P")*(G$3:G$54=G12)*(J$3:J$54&gt;J12))+IF(H12="L5",SUMPRODUCT((P$3:P$54="")*(O$3:O$54="")*(N$3:N$54="")*(M$3:M$54="P")*(G$3:G$54=G12)*(J$3:J$54&lt;J12)*(H$3:H$54&lt;&gt;H12)),-1*SUMPRODUCT((P$3:P$54="")*(O$3:O$54="")*(N$3:N$54="")*(M$3:M$54="P")*(G$3:G$54=G12)*(J$3:J$54&gt;J12)*(H$3:H$54="L5")))+1,""))))</f>
        <v/>
      </c>
      <c r="C12" s="35" t="s">
        <v>378</v>
      </c>
      <c r="D12" s="35" t="str">
        <f>IF(E12="","",VLOOKUP(E12,'Coaching Points'!A:B,2,0))</f>
        <v>ON</v>
      </c>
      <c r="E12" s="35" t="s">
        <v>45</v>
      </c>
      <c r="F12" s="34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64</v>
      </c>
      <c r="I12" s="40"/>
      <c r="J12" s="4">
        <f t="shared" si="0"/>
        <v>40.200000000000003</v>
      </c>
      <c r="K12" s="3" t="str">
        <f>IF(G12="Not Age Eligible","",IF(MAX(T12,W12,Z12,AC12)&gt;=LOOKUP(G12,'Qualifying Scores'!$A$4:$A$7,'Qualifying Scores'!$I$4:$I$7),"P",""))</f>
        <v/>
      </c>
      <c r="L12" s="3" t="str">
        <f>IF(G12="Not Age Eligible","",IF(MAX(U12,X12,AA12,AD12)&gt;=LOOKUP(G12,'Qualifying Scores'!$A$10:$A$13,'Qualifying Scores'!$I$10:$I$13),"P",""))</f>
        <v/>
      </c>
      <c r="M12" s="3" t="str">
        <f>IF(G12="Not Age Eligible","",IF(OR(AND(T12&gt;=LOOKUP(G12,'Qualifying Scores'!$A$4:$A$7,'Qualifying Scores'!$I$4:$I$7),U12&gt;=LOOKUP(G12,'Qualifying Scores'!$A$10:$A$13,'Qualifying Scores'!$I$10:$I$13)),AND(Z12&gt;=LOOKUP(G12,'Qualifying Scores'!$A$4:$A$7,'Qualifying Scores'!$I$4:$I$7),AA12&gt;=LOOKUP(G12,'Qualifying Scores'!$A$10:$A$13,'Qualifying Scores'!$I$10:$I$13)),AND(W12&gt;=LOOKUP(G12,'Qualifying Scores'!$A$4:$A$7,'Qualifying Scores'!$I$4:$I$7),X12&gt;=LOOKUP(G12,'Qualifying Scores'!$A$10:$A$13,'Qualifying Scores'!$I$10:$I$13)),AND(AC12&gt;=LOOKUP(G12,'Qualifying Scores'!$A$4:$A$7,'Qualifying Scores'!$I$4:$I$7),AD12&gt;=LOOKUP(G12,'Qualifying Scores'!$A$10:$A$13,'Qualifying Scores'!$I$10:$I$13))),"P",""))</f>
        <v/>
      </c>
      <c r="Q12" s="1" t="str">
        <f t="shared" si="1"/>
        <v/>
      </c>
      <c r="R12" s="4">
        <f t="shared" si="2"/>
        <v>40.200000000000003</v>
      </c>
      <c r="S12" s="4">
        <f t="shared" si="3"/>
        <v>39.299999999999997</v>
      </c>
      <c r="T12" s="32">
        <v>39.299999999999997</v>
      </c>
      <c r="U12" s="37">
        <v>4.4000000000000004</v>
      </c>
      <c r="V12" s="37">
        <v>0</v>
      </c>
      <c r="W12" s="33">
        <v>40.200000000000003</v>
      </c>
      <c r="X12" s="37">
        <v>4.4000000000000004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$22&lt;&gt;"")*(G$3:G$22=G13)*(J$3:J$22&gt;J13)*(I$3:I$22="P"))+1,IF(O13&lt;&gt;"",SUMPRODUCT((O$3:O$22&lt;&gt;"")*(P$3:P$22="")*(G$3:G$22=G13)*(J$3:J$22&gt;J13)*(I$3:I$22="P"))+SUMPRODUCT((P$3:P$22&lt;&gt;"")*(G$3:G$22=G13)*(I$3:I$22="P"))+1,IF(N13&lt;&gt;"",SUMPRODUCT((N$3:N$22&lt;&gt;"")*(G$3:G$22=G13)*(J$3:J$22&gt;J13)*(I$3:I$22="P"))+1,IF(M13="P",SUMPRODUCT((O$3:O$22&lt;&gt;"")*(P$3:P$22="")*(G$3:G$22=G13)*(I$3:I$22="P"))+SUMPRODUCT((P$3:P$22&lt;&gt;"")*(G$3:G$22=G13)*(I$3:I$22="P"))+SUMPRODUCT((N$3:N$22&lt;&gt;"")*(G$3:G$22=G13)*(I$3:I$22="P"))+SUMPRODUCT((P$3:P$22="")*(O$3:O$22="")*(N$3:N$22="")*(M$3:M$22="P")*(G$3:G$22=G13)*(J$3:J$22&gt;J13)*(I$3:I$22="P"))+IF(H13="L5",SUMPRODUCT((P$3:P$22="")*(O$3:O$22="")*(N$3:N$22="")*(M$3:M$22="P")*(G$3:G$22=G13)*(J$3:J$22&lt;J13)*(H$3:H$22&lt;&gt;H13)*(I$3:I$22="P")),-1*SUMPRODUCT((P$3:P$22="")*(O$3:O$22="")*(N$3:N$22="")*(M$3:M$22="P")*(G$3:G$22=G13)*(J$3:J$22&gt;J13)*(H$3:H$22="L5")*(I$3:I$22="P")))+1,"")))))</f>
        <v/>
      </c>
      <c r="B13" s="1" t="str" cm="1">
        <f t="array" ref="B13">IF(P13&lt;&gt;"",SUMPRODUCT((P$3:P$54&lt;&gt;"")*(G$3:G$54=G13)*(J$3:J$54&gt;J13))+1,IF(O13&lt;&gt;"",SUMPRODUCT((O$3:O$54&lt;&gt;"")*(P$3:P$54="")*(G$3:G$54=G13)*(J$3:J$54&gt;J13))+SUMPRODUCT((P$3:P$54&lt;&gt;"")*(G$3:G$54=G13))+1,IF(N13&lt;&gt;"",SUMPRODUCT((N$3:N$54&lt;&gt;"")*(G$3:G$54=G13)*(J$3:J$54&gt;J13))+1,IF(M13="P",SUMPRODUCT((O$3:O$54&lt;&gt;"")*(P$3:P$54="")*(G$3:G$54=G13))+SUMPRODUCT((P$3:P$54&lt;&gt;"")*(G$3:G$54=G13))+SUMPRODUCT((N$3:N$54&lt;&gt;"")*(G$3:G$54=G13))+SUMPRODUCT((P$3:P$54="")*(O$3:O$54="")*(N$3:N$54="")*(M$3:M$54="P")*(G$3:G$54=G13)*(J$3:J$54&gt;J13))+IF(H13="L5",SUMPRODUCT((P$3:P$54="")*(O$3:O$54="")*(N$3:N$54="")*(M$3:M$54="P")*(G$3:G$54=G13)*(J$3:J$54&lt;J13)*(H$3:H$54&lt;&gt;H13)),-1*SUMPRODUCT((P$3:P$54="")*(O$3:O$54="")*(N$3:N$54="")*(M$3:M$54="P")*(G$3:G$54=G13)*(J$3:J$54&gt;J13)*(H$3:H$54="L5")))+1,""))))</f>
        <v/>
      </c>
      <c r="C13" s="35" t="s">
        <v>379</v>
      </c>
      <c r="D13" s="35" t="str">
        <f>IF(E13="","",VLOOKUP(E13,'Coaching Points'!A:B,2,0))</f>
        <v>ON</v>
      </c>
      <c r="E13" s="35" t="s">
        <v>383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64</v>
      </c>
      <c r="I13" s="40"/>
      <c r="J13" s="4">
        <f t="shared" si="0"/>
        <v>40.1</v>
      </c>
      <c r="K13" s="3" t="str">
        <f>IF(G13="Not Age Eligible","",IF(MAX(T13,W13,Z13,AC13)&gt;=LOOKUP(G13,'Qualifying Scores'!$A$4:$A$7,'Qualifying Scores'!$I$4:$I$7),"P",""))</f>
        <v/>
      </c>
      <c r="L13" s="3" t="str">
        <f>IF(G13="Not Age Eligible","",IF(MAX(U13,X13,AA13,AD13)&gt;=LOOKUP(G13,'Qualifying Scores'!$A$10:$A$13,'Qualifying Scores'!$I$10:$I$13),"P",""))</f>
        <v/>
      </c>
      <c r="M13" s="3" t="str">
        <f>IF(G13="Not Age Eligible","",IF(OR(AND(T13&gt;=LOOKUP(G13,'Qualifying Scores'!$A$4:$A$7,'Qualifying Scores'!$I$4:$I$7),U13&gt;=LOOKUP(G13,'Qualifying Scores'!$A$10:$A$13,'Qualifying Scores'!$I$10:$I$13)),AND(Z13&gt;=LOOKUP(G13,'Qualifying Scores'!$A$4:$A$7,'Qualifying Scores'!$I$4:$I$7),AA13&gt;=LOOKUP(G13,'Qualifying Scores'!$A$10:$A$13,'Qualifying Scores'!$I$10:$I$13)),AND(W13&gt;=LOOKUP(G13,'Qualifying Scores'!$A$4:$A$7,'Qualifying Scores'!$I$4:$I$7),X13&gt;=LOOKUP(G13,'Qualifying Scores'!$A$10:$A$13,'Qualifying Scores'!$I$10:$I$13)),AND(AC13&gt;=LOOKUP(G13,'Qualifying Scores'!$A$4:$A$7,'Qualifying Scores'!$I$4:$I$7),AD13&gt;=LOOKUP(G13,'Qualifying Scores'!$A$10:$A$13,'Qualifying Scores'!$I$10:$I$13))),"P",""))</f>
        <v/>
      </c>
      <c r="Q13" s="1" t="str">
        <f t="shared" si="1"/>
        <v/>
      </c>
      <c r="R13" s="4">
        <f t="shared" si="2"/>
        <v>40.1</v>
      </c>
      <c r="S13" s="4">
        <f t="shared" si="3"/>
        <v>39.5</v>
      </c>
      <c r="T13" s="32">
        <v>39.5</v>
      </c>
      <c r="U13" s="37">
        <v>4.4000000000000004</v>
      </c>
      <c r="V13" s="37">
        <v>0</v>
      </c>
      <c r="W13" s="33">
        <v>40.1</v>
      </c>
      <c r="X13" s="37">
        <v>4.4000000000000004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$22&lt;&gt;"")*(G$3:G$22=G14)*(J$3:J$22&gt;J14)*(I$3:I$22="P"))+1,IF(O14&lt;&gt;"",SUMPRODUCT((O$3:O$22&lt;&gt;"")*(P$3:P$22="")*(G$3:G$22=G14)*(J$3:J$22&gt;J14)*(I$3:I$22="P"))+SUMPRODUCT((P$3:P$22&lt;&gt;"")*(G$3:G$22=G14)*(I$3:I$22="P"))+1,IF(N14&lt;&gt;"",SUMPRODUCT((N$3:N$22&lt;&gt;"")*(G$3:G$22=G14)*(J$3:J$22&gt;J14)*(I$3:I$22="P"))+1,IF(M14="P",SUMPRODUCT((O$3:O$22&lt;&gt;"")*(P$3:P$22="")*(G$3:G$22=G14)*(I$3:I$22="P"))+SUMPRODUCT((P$3:P$22&lt;&gt;"")*(G$3:G$22=G14)*(I$3:I$22="P"))+SUMPRODUCT((N$3:N$22&lt;&gt;"")*(G$3:G$22=G14)*(I$3:I$22="P"))+SUMPRODUCT((P$3:P$22="")*(O$3:O$22="")*(N$3:N$22="")*(M$3:M$22="P")*(G$3:G$22=G14)*(J$3:J$22&gt;J14)*(I$3:I$22="P"))+IF(H14="L5",SUMPRODUCT((P$3:P$22="")*(O$3:O$22="")*(N$3:N$22="")*(M$3:M$22="P")*(G$3:G$22=G14)*(J$3:J$22&lt;J14)*(H$3:H$22&lt;&gt;H14)*(I$3:I$22="P")),-1*SUMPRODUCT((P$3:P$22="")*(O$3:O$22="")*(N$3:N$22="")*(M$3:M$22="P")*(G$3:G$22=G14)*(J$3:J$22&gt;J14)*(H$3:H$22="L5")*(I$3:I$22="P")))+1,"")))))</f>
        <v/>
      </c>
      <c r="B14" s="1" t="str" cm="1">
        <f t="array" ref="B14">IF(P14&lt;&gt;"",SUMPRODUCT((P$3:P$54&lt;&gt;"")*(G$3:G$54=G14)*(J$3:J$54&gt;J14))+1,IF(O14&lt;&gt;"",SUMPRODUCT((O$3:O$54&lt;&gt;"")*(P$3:P$54="")*(G$3:G$54=G14)*(J$3:J$54&gt;J14))+SUMPRODUCT((P$3:P$54&lt;&gt;"")*(G$3:G$54=G14))+1,IF(N14&lt;&gt;"",SUMPRODUCT((N$3:N$54&lt;&gt;"")*(G$3:G$54=G14)*(J$3:J$54&gt;J14))+1,IF(M14="P",SUMPRODUCT((O$3:O$54&lt;&gt;"")*(P$3:P$54="")*(G$3:G$54=G14))+SUMPRODUCT((P$3:P$54&lt;&gt;"")*(G$3:G$54=G14))+SUMPRODUCT((N$3:N$54&lt;&gt;"")*(G$3:G$54=G14))+SUMPRODUCT((P$3:P$54="")*(O$3:O$54="")*(N$3:N$54="")*(M$3:M$54="P")*(G$3:G$54=G14)*(J$3:J$54&gt;J14))+IF(H14="L5",SUMPRODUCT((P$3:P$54="")*(O$3:O$54="")*(N$3:N$54="")*(M$3:M$54="P")*(G$3:G$54=G14)*(J$3:J$54&lt;J14)*(H$3:H$54&lt;&gt;H14)),-1*SUMPRODUCT((P$3:P$54="")*(O$3:O$54="")*(N$3:N$54="")*(M$3:M$54="P")*(G$3:G$54=G14)*(J$3:J$54&gt;J14)*(H$3:H$54="L5")))+1,""))))</f>
        <v/>
      </c>
      <c r="C14" s="35" t="s">
        <v>309</v>
      </c>
      <c r="D14" s="35" t="str">
        <f>IF(E14="","",VLOOKUP(E14,'Coaching Points'!A:B,2,0))</f>
        <v>ON</v>
      </c>
      <c r="E14" s="35" t="s">
        <v>131</v>
      </c>
      <c r="F14" s="34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66</v>
      </c>
      <c r="I14" s="40"/>
      <c r="J14" s="4">
        <f t="shared" si="0"/>
        <v>39.900100000000002</v>
      </c>
      <c r="K14" s="3" t="str">
        <f>IF(G14="Not Age Eligible","",IF(MAX(T14,W14,Z14,AC14)&gt;=LOOKUP(G14,'Qualifying Scores'!$A$4:$A$7,'Qualifying Scores'!$I$4:$I$7),"P",""))</f>
        <v/>
      </c>
      <c r="L14" s="3" t="str">
        <f>IF(G14="Not Age Eligible","",IF(MAX(U14,X14,AA14,AD14)&gt;=LOOKUP(G14,'Qualifying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Scores'!$I$10:$I$13)),AND(Z14&gt;=LOOKUP(G14,'Qualifying Scores'!$A$4:$A$7,'Qualifying Scores'!$I$4:$I$7),AA14&gt;=LOOKUP(G14,'Qualifying Scores'!$A$10:$A$13,'Qualifying Scores'!$I$10:$I$13)),AND(W14&gt;=LOOKUP(G14,'Qualifying Scores'!$A$4:$A$7,'Qualifying Scores'!$I$4:$I$7),X14&gt;=LOOKUP(G14,'Qualifying Scores'!$A$10:$A$13,'Qualifying Scores'!$I$10:$I$13)),AND(AC14&gt;=LOOKUP(G14,'Qualifying Scores'!$A$4:$A$7,'Qualifying Scores'!$I$4:$I$7),AD14&gt;=LOOKUP(G14,'Qualifying Scores'!$A$10:$A$13,'Qualifying Scores'!$I$10:$I$13))),"P",""))</f>
        <v/>
      </c>
      <c r="Q14" s="1" t="str">
        <f t="shared" si="1"/>
        <v/>
      </c>
      <c r="R14" s="4">
        <f t="shared" si="2"/>
        <v>39.9</v>
      </c>
      <c r="S14" s="4">
        <f t="shared" si="3"/>
        <v>37.9</v>
      </c>
      <c r="T14" s="32">
        <v>38.5</v>
      </c>
      <c r="U14" s="37">
        <v>5.8</v>
      </c>
      <c r="V14" s="37">
        <v>0.6</v>
      </c>
      <c r="W14" s="33">
        <v>40.799999999999997</v>
      </c>
      <c r="X14" s="37">
        <v>6.5</v>
      </c>
      <c r="Y14" s="37">
        <v>0.89999999999999991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$22&lt;&gt;"")*(G$3:G$22=G15)*(J$3:J$22&gt;J15)*(I$3:I$22="P"))+1,IF(O15&lt;&gt;"",SUMPRODUCT((O$3:O$22&lt;&gt;"")*(P$3:P$22="")*(G$3:G$22=G15)*(J$3:J$22&gt;J15)*(I$3:I$22="P"))+SUMPRODUCT((P$3:P$22&lt;&gt;"")*(G$3:G$22=G15)*(I$3:I$22="P"))+1,IF(N15&lt;&gt;"",SUMPRODUCT((N$3:N$22&lt;&gt;"")*(G$3:G$22=G15)*(J$3:J$22&gt;J15)*(I$3:I$22="P"))+1,IF(M15="P",SUMPRODUCT((O$3:O$22&lt;&gt;"")*(P$3:P$22="")*(G$3:G$22=G15)*(I$3:I$22="P"))+SUMPRODUCT((P$3:P$22&lt;&gt;"")*(G$3:G$22=G15)*(I$3:I$22="P"))+SUMPRODUCT((N$3:N$22&lt;&gt;"")*(G$3:G$22=G15)*(I$3:I$22="P"))+SUMPRODUCT((P$3:P$22="")*(O$3:O$22="")*(N$3:N$22="")*(M$3:M$22="P")*(G$3:G$22=G15)*(J$3:J$22&gt;J15)*(I$3:I$22="P"))+IF(H15="L5",SUMPRODUCT((P$3:P$22="")*(O$3:O$22="")*(N$3:N$22="")*(M$3:M$22="P")*(G$3:G$22=G15)*(J$3:J$22&lt;J15)*(H$3:H$22&lt;&gt;H15)*(I$3:I$22="P")),-1*SUMPRODUCT((P$3:P$22="")*(O$3:O$22="")*(N$3:N$22="")*(M$3:M$22="P")*(G$3:G$22=G15)*(J$3:J$22&gt;J15)*(H$3:H$22="L5")*(I$3:I$22="P")))+1,"")))))</f>
        <v/>
      </c>
      <c r="B15" s="1" t="str" cm="1">
        <f t="array" ref="B15">IF(P15&lt;&gt;"",SUMPRODUCT((P$3:P$54&lt;&gt;"")*(G$3:G$54=G15)*(J$3:J$54&gt;J15))+1,IF(O15&lt;&gt;"",SUMPRODUCT((O$3:O$54&lt;&gt;"")*(P$3:P$54="")*(G$3:G$54=G15)*(J$3:J$54&gt;J15))+SUMPRODUCT((P$3:P$54&lt;&gt;"")*(G$3:G$54=G15))+1,IF(N15&lt;&gt;"",SUMPRODUCT((N$3:N$54&lt;&gt;"")*(G$3:G$54=G15)*(J$3:J$54&gt;J15))+1,IF(M15="P",SUMPRODUCT((O$3:O$54&lt;&gt;"")*(P$3:P$54="")*(G$3:G$54=G15))+SUMPRODUCT((P$3:P$54&lt;&gt;"")*(G$3:G$54=G15))+SUMPRODUCT((N$3:N$54&lt;&gt;"")*(G$3:G$54=G15))+SUMPRODUCT((P$3:P$54="")*(O$3:O$54="")*(N$3:N$54="")*(M$3:M$54="P")*(G$3:G$54=G15)*(J$3:J$54&gt;J15))+IF(H15="L5",SUMPRODUCT((P$3:P$54="")*(O$3:O$54="")*(N$3:N$54="")*(M$3:M$54="P")*(G$3:G$54=G15)*(J$3:J$54&lt;J15)*(H$3:H$54&lt;&gt;H15)),-1*SUMPRODUCT((P$3:P$54="")*(O$3:O$54="")*(N$3:N$54="")*(M$3:M$54="P")*(G$3:G$54=G15)*(J$3:J$54&gt;J15)*(H$3:H$54="L5")))+1,""))))</f>
        <v/>
      </c>
      <c r="C15" s="35" t="s">
        <v>290</v>
      </c>
      <c r="D15" s="35" t="str">
        <f>IF(E15="","",VLOOKUP(E15,'Coaching Points'!A:B,2,0))</f>
        <v>SK</v>
      </c>
      <c r="E15" s="35" t="s">
        <v>329</v>
      </c>
      <c r="F15" s="34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64</v>
      </c>
      <c r="I15" s="40"/>
      <c r="J15" s="4">
        <f t="shared" si="0"/>
        <v>39.700000000000003</v>
      </c>
      <c r="K15" s="3" t="str">
        <f>IF(G15="Not Age Eligible","",IF(MAX(T15,W15,Z15,AC15)&gt;=LOOKUP(G15,'Qualifying Scores'!$A$4:$A$7,'Qualifying Scores'!$I$4:$I$7),"P",""))</f>
        <v/>
      </c>
      <c r="L15" s="3" t="str">
        <f>IF(G15="Not Age Eligible","",IF(MAX(U15,X15,AA15,AD15)&gt;=LOOKUP(G15,'Qualifying Scores'!$A$10:$A$13,'Qualifying Scores'!$I$10:$I$13),"P",""))</f>
        <v/>
      </c>
      <c r="M15" s="3" t="str">
        <f>IF(G15="Not Age Eligible","",IF(OR(AND(T15&gt;=LOOKUP(G15,'Qualifying Scores'!$A$4:$A$7,'Qualifying Scores'!$I$4:$I$7),U15&gt;=LOOKUP(G15,'Qualifying Scores'!$A$10:$A$13,'Qualifying Scores'!$I$10:$I$13)),AND(Z15&gt;=LOOKUP(G15,'Qualifying Scores'!$A$4:$A$7,'Qualifying Scores'!$I$4:$I$7),AA15&gt;=LOOKUP(G15,'Qualifying Scores'!$A$10:$A$13,'Qualifying Scores'!$I$10:$I$13)),AND(W15&gt;=LOOKUP(G15,'Qualifying Scores'!$A$4:$A$7,'Qualifying Scores'!$I$4:$I$7),X15&gt;=LOOKUP(G15,'Qualifying Scores'!$A$10:$A$13,'Qualifying Scores'!$I$10:$I$13)),AND(AC15&gt;=LOOKUP(G15,'Qualifying Scores'!$A$4:$A$7,'Qualifying Scores'!$I$4:$I$7),AD15&gt;=LOOKUP(G15,'Qualifying Scores'!$A$10:$A$13,'Qualifying Scores'!$I$10:$I$13))),"P",""))</f>
        <v/>
      </c>
      <c r="Q15" s="1" t="str">
        <f t="shared" si="1"/>
        <v/>
      </c>
      <c r="R15" s="4">
        <f t="shared" si="2"/>
        <v>39.700000000000003</v>
      </c>
      <c r="S15" s="4">
        <f t="shared" si="3"/>
        <v>38.200000000000003</v>
      </c>
      <c r="T15" s="32">
        <v>38.200000000000003</v>
      </c>
      <c r="U15" s="37">
        <v>5.5</v>
      </c>
      <c r="V15" s="37">
        <v>0</v>
      </c>
      <c r="W15" s="33">
        <v>39.700000000000003</v>
      </c>
      <c r="X15" s="37">
        <v>5.5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$22&lt;&gt;"")*(G$3:G$22=G16)*(J$3:J$22&gt;J16)*(I$3:I$22="P"))+1,IF(O16&lt;&gt;"",SUMPRODUCT((O$3:O$22&lt;&gt;"")*(P$3:P$22="")*(G$3:G$22=G16)*(J$3:J$22&gt;J16)*(I$3:I$22="P"))+SUMPRODUCT((P$3:P$22&lt;&gt;"")*(G$3:G$22=G16)*(I$3:I$22="P"))+1,IF(N16&lt;&gt;"",SUMPRODUCT((N$3:N$22&lt;&gt;"")*(G$3:G$22=G16)*(J$3:J$22&gt;J16)*(I$3:I$22="P"))+1,IF(M16="P",SUMPRODUCT((O$3:O$22&lt;&gt;"")*(P$3:P$22="")*(G$3:G$22=G16)*(I$3:I$22="P"))+SUMPRODUCT((P$3:P$22&lt;&gt;"")*(G$3:G$22=G16)*(I$3:I$22="P"))+SUMPRODUCT((N$3:N$22&lt;&gt;"")*(G$3:G$22=G16)*(I$3:I$22="P"))+SUMPRODUCT((P$3:P$22="")*(O$3:O$22="")*(N$3:N$22="")*(M$3:M$22="P")*(G$3:G$22=G16)*(J$3:J$22&gt;J16)*(I$3:I$22="P"))+IF(H16="L5",SUMPRODUCT((P$3:P$22="")*(O$3:O$22="")*(N$3:N$22="")*(M$3:M$22="P")*(G$3:G$22=G16)*(J$3:J$22&lt;J16)*(H$3:H$22&lt;&gt;H16)*(I$3:I$22="P")),-1*SUMPRODUCT((P$3:P$22="")*(O$3:O$22="")*(N$3:N$22="")*(M$3:M$22="P")*(G$3:G$22=G16)*(J$3:J$22&gt;J16)*(H$3:H$22="L5")*(I$3:I$22="P")))+1,"")))))</f>
        <v/>
      </c>
      <c r="B16" s="1" t="str" cm="1">
        <f t="array" ref="B16">IF(P16&lt;&gt;"",SUMPRODUCT((P$3:P$54&lt;&gt;"")*(G$3:G$54=G16)*(J$3:J$54&gt;J16))+1,IF(O16&lt;&gt;"",SUMPRODUCT((O$3:O$54&lt;&gt;"")*(P$3:P$54="")*(G$3:G$54=G16)*(J$3:J$54&gt;J16))+SUMPRODUCT((P$3:P$54&lt;&gt;"")*(G$3:G$54=G16))+1,IF(N16&lt;&gt;"",SUMPRODUCT((N$3:N$54&lt;&gt;"")*(G$3:G$54=G16)*(J$3:J$54&gt;J16))+1,IF(M16="P",SUMPRODUCT((O$3:O$54&lt;&gt;"")*(P$3:P$54="")*(G$3:G$54=G16))+SUMPRODUCT((P$3:P$54&lt;&gt;"")*(G$3:G$54=G16))+SUMPRODUCT((N$3:N$54&lt;&gt;"")*(G$3:G$54=G16))+SUMPRODUCT((P$3:P$54="")*(O$3:O$54="")*(N$3:N$54="")*(M$3:M$54="P")*(G$3:G$54=G16)*(J$3:J$54&gt;J16))+IF(H16="L5",SUMPRODUCT((P$3:P$54="")*(O$3:O$54="")*(N$3:N$54="")*(M$3:M$54="P")*(G$3:G$54=G16)*(J$3:J$54&lt;J16)*(H$3:H$54&lt;&gt;H16)),-1*SUMPRODUCT((P$3:P$54="")*(O$3:O$54="")*(N$3:N$54="")*(M$3:M$54="P")*(G$3:G$54=G16)*(J$3:J$54&gt;J16)*(H$3:H$54="L5")))+1,""))))</f>
        <v/>
      </c>
      <c r="C16" s="35" t="s">
        <v>377</v>
      </c>
      <c r="D16" s="35" t="str">
        <f>IF(E16="","",VLOOKUP(E16,'Coaching Points'!A:B,2,0))</f>
        <v>QC</v>
      </c>
      <c r="E16" s="35" t="s">
        <v>3</v>
      </c>
      <c r="F16" s="34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64</v>
      </c>
      <c r="I16" s="40"/>
      <c r="J16" s="4">
        <f t="shared" si="0"/>
        <v>39.619999999999997</v>
      </c>
      <c r="K16" s="3" t="str">
        <f>IF(G16="Not Age Eligible","",IF(MAX(T16,W16,Z16,AC16)&gt;=LOOKUP(G16,'Qualifying Scores'!$A$4:$A$7,'Qualifying Scores'!$I$4:$I$7),"P",""))</f>
        <v/>
      </c>
      <c r="L16" s="3" t="str">
        <f>IF(G16="Not Age Eligible","",IF(MAX(U16,X16,AA16,AD16)&gt;=LOOKUP(G16,'Qualifying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Scores'!$I$10:$I$13)),AND(Z16&gt;=LOOKUP(G16,'Qualifying Scores'!$A$4:$A$7,'Qualifying Scores'!$I$4:$I$7),AA16&gt;=LOOKUP(G16,'Qualifying Scores'!$A$10:$A$13,'Qualifying Scores'!$I$10:$I$13)),AND(W16&gt;=LOOKUP(G16,'Qualifying Scores'!$A$4:$A$7,'Qualifying Scores'!$I$4:$I$7),X16&gt;=LOOKUP(G16,'Qualifying Scores'!$A$10:$A$13,'Qualifying Scores'!$I$10:$I$13)),AND(AC16&gt;=LOOKUP(G16,'Qualifying Scores'!$A$4:$A$7,'Qualifying Scores'!$I$4:$I$7),AD16&gt;=LOOKUP(G16,'Qualifying Scores'!$A$10:$A$13,'Qualifying Scores'!$I$10:$I$13))),"P",""))</f>
        <v/>
      </c>
      <c r="Q16" s="1" t="str">
        <f t="shared" si="1"/>
        <v/>
      </c>
      <c r="R16" s="4">
        <f t="shared" si="2"/>
        <v>39.619999999999997</v>
      </c>
      <c r="S16" s="4">
        <f t="shared" si="3"/>
        <v>39.4</v>
      </c>
      <c r="T16" s="32">
        <v>40.4</v>
      </c>
      <c r="U16" s="37">
        <v>5.3</v>
      </c>
      <c r="V16" s="37">
        <v>1</v>
      </c>
      <c r="W16" s="33">
        <v>40.619999999999997</v>
      </c>
      <c r="X16" s="37">
        <v>5.3</v>
      </c>
      <c r="Y16" s="37">
        <v>1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$22&lt;&gt;"")*(G$3:G$22=G17)*(J$3:J$22&gt;J17)*(I$3:I$22="P"))+1,IF(O17&lt;&gt;"",SUMPRODUCT((O$3:O$22&lt;&gt;"")*(P$3:P$22="")*(G$3:G$22=G17)*(J$3:J$22&gt;J17)*(I$3:I$22="P"))+SUMPRODUCT((P$3:P$22&lt;&gt;"")*(G$3:G$22=G17)*(I$3:I$22="P"))+1,IF(N17&lt;&gt;"",SUMPRODUCT((N$3:N$22&lt;&gt;"")*(G$3:G$22=G17)*(J$3:J$22&gt;J17)*(I$3:I$22="P"))+1,IF(M17="P",SUMPRODUCT((O$3:O$22&lt;&gt;"")*(P$3:P$22="")*(G$3:G$22=G17)*(I$3:I$22="P"))+SUMPRODUCT((P$3:P$22&lt;&gt;"")*(G$3:G$22=G17)*(I$3:I$22="P"))+SUMPRODUCT((N$3:N$22&lt;&gt;"")*(G$3:G$22=G17)*(I$3:I$22="P"))+SUMPRODUCT((P$3:P$22="")*(O$3:O$22="")*(N$3:N$22="")*(M$3:M$22="P")*(G$3:G$22=G17)*(J$3:J$22&gt;J17)*(I$3:I$22="P"))+IF(H17="L5",SUMPRODUCT((P$3:P$22="")*(O$3:O$22="")*(N$3:N$22="")*(M$3:M$22="P")*(G$3:G$22=G17)*(J$3:J$22&lt;J17)*(H$3:H$22&lt;&gt;H17)*(I$3:I$22="P")),-1*SUMPRODUCT((P$3:P$22="")*(O$3:O$22="")*(N$3:N$22="")*(M$3:M$22="P")*(G$3:G$22=G17)*(J$3:J$22&gt;J17)*(H$3:H$22="L5")*(I$3:I$22="P")))+1,"")))))</f>
        <v/>
      </c>
      <c r="B17" s="1" t="str" cm="1">
        <f t="array" ref="B17">IF(P17&lt;&gt;"",SUMPRODUCT((P$3:P$54&lt;&gt;"")*(G$3:G$54=G17)*(J$3:J$54&gt;J17))+1,IF(O17&lt;&gt;"",SUMPRODUCT((O$3:O$54&lt;&gt;"")*(P$3:P$54="")*(G$3:G$54=G17)*(J$3:J$54&gt;J17))+SUMPRODUCT((P$3:P$54&lt;&gt;"")*(G$3:G$54=G17))+1,IF(N17&lt;&gt;"",SUMPRODUCT((N$3:N$54&lt;&gt;"")*(G$3:G$54=G17)*(J$3:J$54&gt;J17))+1,IF(M17="P",SUMPRODUCT((O$3:O$54&lt;&gt;"")*(P$3:P$54="")*(G$3:G$54=G17))+SUMPRODUCT((P$3:P$54&lt;&gt;"")*(G$3:G$54=G17))+SUMPRODUCT((N$3:N$54&lt;&gt;"")*(G$3:G$54=G17))+SUMPRODUCT((P$3:P$54="")*(O$3:O$54="")*(N$3:N$54="")*(M$3:M$54="P")*(G$3:G$54=G17)*(J$3:J$54&gt;J17))+IF(H17="L5",SUMPRODUCT((P$3:P$54="")*(O$3:O$54="")*(N$3:N$54="")*(M$3:M$54="P")*(G$3:G$54=G17)*(J$3:J$54&lt;J17)*(H$3:H$54&lt;&gt;H17)),-1*SUMPRODUCT((P$3:P$54="")*(O$3:O$54="")*(N$3:N$54="")*(M$3:M$54="P")*(G$3:G$54=G17)*(J$3:J$54&gt;J17)*(H$3:H$54="L5")))+1,""))))</f>
        <v/>
      </c>
      <c r="C17" s="35" t="s">
        <v>237</v>
      </c>
      <c r="D17" s="35" t="str">
        <f>IF(E17="","",VLOOKUP(E17,'Coaching Points'!A:B,2,0))</f>
        <v>AB</v>
      </c>
      <c r="E17" s="35" t="s">
        <v>56</v>
      </c>
      <c r="F17" s="34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66</v>
      </c>
      <c r="I17" s="40"/>
      <c r="J17" s="4">
        <f t="shared" si="0"/>
        <v>39.600100000000005</v>
      </c>
      <c r="K17" s="3" t="str">
        <f>IF(G17="Not Age Eligible","",IF(MAX(T17,W17,Z17,AC17)&gt;=LOOKUP(G17,'Qualifying Scores'!$A$4:$A$7,'Qualifying Scores'!$I$4:$I$7),"P",""))</f>
        <v/>
      </c>
      <c r="L17" s="3" t="str">
        <f>IF(G17="Not Age Eligible","",IF(MAX(U17,X17,AA17,AD17)&gt;=LOOKUP(G17,'Qualifying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Scores'!$I$10:$I$13)),AND(Z17&gt;=LOOKUP(G17,'Qualifying Scores'!$A$4:$A$7,'Qualifying Scores'!$I$4:$I$7),AA17&gt;=LOOKUP(G17,'Qualifying Scores'!$A$10:$A$13,'Qualifying Scores'!$I$10:$I$13)),AND(W17&gt;=LOOKUP(G17,'Qualifying Scores'!$A$4:$A$7,'Qualifying Scores'!$I$4:$I$7),X17&gt;=LOOKUP(G17,'Qualifying Scores'!$A$10:$A$13,'Qualifying Scores'!$I$10:$I$13)),AND(AC17&gt;=LOOKUP(G17,'Qualifying Scores'!$A$4:$A$7,'Qualifying Scores'!$I$4:$I$7),AD17&gt;=LOOKUP(G17,'Qualifying Scores'!$A$10:$A$13,'Qualifying Scores'!$I$10:$I$13))),"P",""))</f>
        <v/>
      </c>
      <c r="Q17" s="1" t="str">
        <f t="shared" si="1"/>
        <v/>
      </c>
      <c r="R17" s="4">
        <f t="shared" si="2"/>
        <v>39.6</v>
      </c>
      <c r="S17" s="4">
        <f t="shared" si="3"/>
        <v>38.700000000000003</v>
      </c>
      <c r="T17" s="32">
        <v>39</v>
      </c>
      <c r="U17" s="37">
        <v>7.6999999999999993</v>
      </c>
      <c r="V17" s="37">
        <v>0.3</v>
      </c>
      <c r="W17" s="33">
        <v>39.9</v>
      </c>
      <c r="X17" s="37">
        <v>7.3</v>
      </c>
      <c r="Y17" s="37">
        <v>0.3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$22&lt;&gt;"")*(G$3:G$22=G18)*(J$3:J$22&gt;J18)*(I$3:I$22="P"))+1,IF(O18&lt;&gt;"",SUMPRODUCT((O$3:O$22&lt;&gt;"")*(P$3:P$22="")*(G$3:G$22=G18)*(J$3:J$22&gt;J18)*(I$3:I$22="P"))+SUMPRODUCT((P$3:P$22&lt;&gt;"")*(G$3:G$22=G18)*(I$3:I$22="P"))+1,IF(N18&lt;&gt;"",SUMPRODUCT((N$3:N$22&lt;&gt;"")*(G$3:G$22=G18)*(J$3:J$22&gt;J18)*(I$3:I$22="P"))+1,IF(M18="P",SUMPRODUCT((O$3:O$22&lt;&gt;"")*(P$3:P$22="")*(G$3:G$22=G18)*(I$3:I$22="P"))+SUMPRODUCT((P$3:P$22&lt;&gt;"")*(G$3:G$22=G18)*(I$3:I$22="P"))+SUMPRODUCT((N$3:N$22&lt;&gt;"")*(G$3:G$22=G18)*(I$3:I$22="P"))+SUMPRODUCT((P$3:P$22="")*(O$3:O$22="")*(N$3:N$22="")*(M$3:M$22="P")*(G$3:G$22=G18)*(J$3:J$22&gt;J18)*(I$3:I$22="P"))+IF(H18="L5",SUMPRODUCT((P$3:P$22="")*(O$3:O$22="")*(N$3:N$22="")*(M$3:M$22="P")*(G$3:G$22=G18)*(J$3:J$22&lt;J18)*(H$3:H$22&lt;&gt;H18)*(I$3:I$22="P")),-1*SUMPRODUCT((P$3:P$22="")*(O$3:O$22="")*(N$3:N$22="")*(M$3:M$22="P")*(G$3:G$22=G18)*(J$3:J$22&gt;J18)*(H$3:H$22="L5")*(I$3:I$22="P")))+1,"")))))</f>
        <v/>
      </c>
      <c r="B18" s="1" t="str" cm="1">
        <f t="array" ref="B18">IF(P18&lt;&gt;"",SUMPRODUCT((P$3:P$54&lt;&gt;"")*(G$3:G$54=G18)*(J$3:J$54&gt;J18))+1,IF(O18&lt;&gt;"",SUMPRODUCT((O$3:O$54&lt;&gt;"")*(P$3:P$54="")*(G$3:G$54=G18)*(J$3:J$54&gt;J18))+SUMPRODUCT((P$3:P$54&lt;&gt;"")*(G$3:G$54=G18))+1,IF(N18&lt;&gt;"",SUMPRODUCT((N$3:N$54&lt;&gt;"")*(G$3:G$54=G18)*(J$3:J$54&gt;J18))+1,IF(M18="P",SUMPRODUCT((O$3:O$54&lt;&gt;"")*(P$3:P$54="")*(G$3:G$54=G18))+SUMPRODUCT((P$3:P$54&lt;&gt;"")*(G$3:G$54=G18))+SUMPRODUCT((N$3:N$54&lt;&gt;"")*(G$3:G$54=G18))+SUMPRODUCT((P$3:P$54="")*(O$3:O$54="")*(N$3:N$54="")*(M$3:M$54="P")*(G$3:G$54=G18)*(J$3:J$54&gt;J18))+IF(H18="L5",SUMPRODUCT((P$3:P$54="")*(O$3:O$54="")*(N$3:N$54="")*(M$3:M$54="P")*(G$3:G$54=G18)*(J$3:J$54&lt;J18)*(H$3:H$54&lt;&gt;H18)),-1*SUMPRODUCT((P$3:P$54="")*(O$3:O$54="")*(N$3:N$54="")*(M$3:M$54="P")*(G$3:G$54=G18)*(J$3:J$54&gt;J18)*(H$3:H$54="L5")))+1,""))))</f>
        <v/>
      </c>
      <c r="C18" s="35" t="s">
        <v>189</v>
      </c>
      <c r="D18" s="35" t="str">
        <f>IF(E18="","",VLOOKUP(E18,'Coaching Points'!A:B,2,0))</f>
        <v>AB</v>
      </c>
      <c r="E18" s="35" t="s">
        <v>61</v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64</v>
      </c>
      <c r="I18" s="40"/>
      <c r="J18" s="4">
        <f t="shared" si="0"/>
        <v>39.6</v>
      </c>
      <c r="K18" s="3" t="str">
        <f>IF(G18="Not Age Eligible","",IF(MAX(T18,W18,Z18,AC18)&gt;=LOOKUP(G18,'Qualifying Scores'!$A$4:$A$7,'Qualifying Scores'!$I$4:$I$7),"P",""))</f>
        <v/>
      </c>
      <c r="L18" s="3" t="str">
        <f>IF(G18="Not Age Eligible","",IF(MAX(U18,X18,AA18,AD18)&gt;=LOOKUP(G18,'Qualifying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Scores'!$I$10:$I$13)),AND(Z18&gt;=LOOKUP(G18,'Qualifying Scores'!$A$4:$A$7,'Qualifying Scores'!$I$4:$I$7),AA18&gt;=LOOKUP(G18,'Qualifying Scores'!$A$10:$A$13,'Qualifying Scores'!$I$10:$I$13)),AND(W18&gt;=LOOKUP(G18,'Qualifying Scores'!$A$4:$A$7,'Qualifying Scores'!$I$4:$I$7),X18&gt;=LOOKUP(G18,'Qualifying Scores'!$A$10:$A$13,'Qualifying Scores'!$I$10:$I$13)),AND(AC18&gt;=LOOKUP(G18,'Qualifying Scores'!$A$4:$A$7,'Qualifying Scores'!$I$4:$I$7),AD18&gt;=LOOKUP(G18,'Qualifying Scores'!$A$10:$A$13,'Qualifying Scores'!$I$10:$I$13))),"P",""))</f>
        <v/>
      </c>
      <c r="Q18" s="1" t="str">
        <f t="shared" si="1"/>
        <v/>
      </c>
      <c r="R18" s="4">
        <f t="shared" si="2"/>
        <v>39.6</v>
      </c>
      <c r="S18" s="4">
        <f t="shared" si="3"/>
        <v>39.6</v>
      </c>
      <c r="T18" s="32">
        <v>39.6</v>
      </c>
      <c r="U18" s="37">
        <v>4.5999999999999996</v>
      </c>
      <c r="V18" s="37">
        <v>0</v>
      </c>
      <c r="W18" s="33">
        <v>39.6</v>
      </c>
      <c r="X18" s="37">
        <v>4.5999999999999996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$22&lt;&gt;"")*(G$3:G$22=G19)*(J$3:J$22&gt;J19)*(I$3:I$22="P"))+1,IF(O19&lt;&gt;"",SUMPRODUCT((O$3:O$22&lt;&gt;"")*(P$3:P$22="")*(G$3:G$22=G19)*(J$3:J$22&gt;J19)*(I$3:I$22="P"))+SUMPRODUCT((P$3:P$22&lt;&gt;"")*(G$3:G$22=G19)*(I$3:I$22="P"))+1,IF(N19&lt;&gt;"",SUMPRODUCT((N$3:N$22&lt;&gt;"")*(G$3:G$22=G19)*(J$3:J$22&gt;J19)*(I$3:I$22="P"))+1,IF(M19="P",SUMPRODUCT((O$3:O$22&lt;&gt;"")*(P$3:P$22="")*(G$3:G$22=G19)*(I$3:I$22="P"))+SUMPRODUCT((P$3:P$22&lt;&gt;"")*(G$3:G$22=G19)*(I$3:I$22="P"))+SUMPRODUCT((N$3:N$22&lt;&gt;"")*(G$3:G$22=G19)*(I$3:I$22="P"))+SUMPRODUCT((P$3:P$22="")*(O$3:O$22="")*(N$3:N$22="")*(M$3:M$22="P")*(G$3:G$22=G19)*(J$3:J$22&gt;J19)*(I$3:I$22="P"))+IF(H19="L5",SUMPRODUCT((P$3:P$22="")*(O$3:O$22="")*(N$3:N$22="")*(M$3:M$22="P")*(G$3:G$22=G19)*(J$3:J$22&lt;J19)*(H$3:H$22&lt;&gt;H19)*(I$3:I$22="P")),-1*SUMPRODUCT((P$3:P$22="")*(O$3:O$22="")*(N$3:N$22="")*(M$3:M$22="P")*(G$3:G$22=G19)*(J$3:J$22&gt;J19)*(H$3:H$22="L5")*(I$3:I$22="P")))+1,"")))))</f>
        <v/>
      </c>
      <c r="B19" s="1" t="str" cm="1">
        <f t="array" ref="B19">IF(P19&lt;&gt;"",SUMPRODUCT((P$3:P$54&lt;&gt;"")*(G$3:G$54=G19)*(J$3:J$54&gt;J19))+1,IF(O19&lt;&gt;"",SUMPRODUCT((O$3:O$54&lt;&gt;"")*(P$3:P$54="")*(G$3:G$54=G19)*(J$3:J$54&gt;J19))+SUMPRODUCT((P$3:P$54&lt;&gt;"")*(G$3:G$54=G19))+1,IF(N19&lt;&gt;"",SUMPRODUCT((N$3:N$54&lt;&gt;"")*(G$3:G$54=G19)*(J$3:J$54&gt;J19))+1,IF(M19="P",SUMPRODUCT((O$3:O$54&lt;&gt;"")*(P$3:P$54="")*(G$3:G$54=G19))+SUMPRODUCT((P$3:P$54&lt;&gt;"")*(G$3:G$54=G19))+SUMPRODUCT((N$3:N$54&lt;&gt;"")*(G$3:G$54=G19))+SUMPRODUCT((P$3:P$54="")*(O$3:O$54="")*(N$3:N$54="")*(M$3:M$54="P")*(G$3:G$54=G19)*(J$3:J$54&gt;J19))+IF(H19="L5",SUMPRODUCT((P$3:P$54="")*(O$3:O$54="")*(N$3:N$54="")*(M$3:M$54="P")*(G$3:G$54=G19)*(J$3:J$54&lt;J19)*(H$3:H$54&lt;&gt;H19)),-1*SUMPRODUCT((P$3:P$54="")*(O$3:O$54="")*(N$3:N$54="")*(M$3:M$54="P")*(G$3:G$54=G19)*(J$3:J$54&gt;J19)*(H$3:H$54="L5")))+1,""))))</f>
        <v/>
      </c>
      <c r="C19" s="35" t="s">
        <v>304</v>
      </c>
      <c r="D19" s="35" t="str">
        <f>IF(E19="","",VLOOKUP(E19,'Coaching Points'!A:B,2,0))</f>
        <v>ON</v>
      </c>
      <c r="E19" s="35" t="s">
        <v>131</v>
      </c>
      <c r="F19" s="34">
        <v>2003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66</v>
      </c>
      <c r="I19" s="40"/>
      <c r="J19" s="4">
        <f t="shared" si="0"/>
        <v>39.200100000000006</v>
      </c>
      <c r="K19" s="3" t="str">
        <f>IF(G19="Not Age Eligible","",IF(MAX(T19,W19,Z19,AC19)&gt;=LOOKUP(G19,'Qualifying Scores'!$A$4:$A$7,'Qualifying Scores'!$I$4:$I$7),"P",""))</f>
        <v/>
      </c>
      <c r="L19" s="3" t="str">
        <f>IF(G19="Not Age Eligible","",IF(MAX(U19,X19,AA19,AD19)&gt;=LOOKUP(G19,'Qualifying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Scores'!$I$10:$I$13)),AND(Z19&gt;=LOOKUP(G19,'Qualifying Scores'!$A$4:$A$7,'Qualifying Scores'!$I$4:$I$7),AA19&gt;=LOOKUP(G19,'Qualifying Scores'!$A$10:$A$13,'Qualifying Scores'!$I$10:$I$13)),AND(W19&gt;=LOOKUP(G19,'Qualifying Scores'!$A$4:$A$7,'Qualifying Scores'!$I$4:$I$7),X19&gt;=LOOKUP(G19,'Qualifying Scores'!$A$10:$A$13,'Qualifying Scores'!$I$10:$I$13)),AND(AC19&gt;=LOOKUP(G19,'Qualifying Scores'!$A$4:$A$7,'Qualifying Scores'!$I$4:$I$7),AD19&gt;=LOOKUP(G19,'Qualifying Scores'!$A$10:$A$13,'Qualifying Scores'!$I$10:$I$13))),"P",""))</f>
        <v/>
      </c>
      <c r="Q19" s="1" t="str">
        <f t="shared" si="1"/>
        <v/>
      </c>
      <c r="R19" s="4">
        <f t="shared" si="2"/>
        <v>39.200000000000003</v>
      </c>
      <c r="S19" s="4">
        <f t="shared" si="3"/>
        <v>33.800000000000004</v>
      </c>
      <c r="T19" s="32">
        <v>34.1</v>
      </c>
      <c r="U19" s="37">
        <v>3.0999999999999996</v>
      </c>
      <c r="V19" s="37">
        <v>0.3</v>
      </c>
      <c r="W19" s="33">
        <v>39.5</v>
      </c>
      <c r="X19" s="37">
        <v>5.0999999999999996</v>
      </c>
      <c r="Y19" s="37">
        <v>0.3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$22&lt;&gt;"")*(G$3:G$22=G20)*(J$3:J$22&gt;J20)*(I$3:I$22="P"))+1,IF(O20&lt;&gt;"",SUMPRODUCT((O$3:O$22&lt;&gt;"")*(P$3:P$22="")*(G$3:G$22=G20)*(J$3:J$22&gt;J20)*(I$3:I$22="P"))+SUMPRODUCT((P$3:P$22&lt;&gt;"")*(G$3:G$22=G20)*(I$3:I$22="P"))+1,IF(N20&lt;&gt;"",SUMPRODUCT((N$3:N$22&lt;&gt;"")*(G$3:G$22=G20)*(J$3:J$22&gt;J20)*(I$3:I$22="P"))+1,IF(M20="P",SUMPRODUCT((O$3:O$22&lt;&gt;"")*(P$3:P$22="")*(G$3:G$22=G20)*(I$3:I$22="P"))+SUMPRODUCT((P$3:P$22&lt;&gt;"")*(G$3:G$22=G20)*(I$3:I$22="P"))+SUMPRODUCT((N$3:N$22&lt;&gt;"")*(G$3:G$22=G20)*(I$3:I$22="P"))+SUMPRODUCT((P$3:P$22="")*(O$3:O$22="")*(N$3:N$22="")*(M$3:M$22="P")*(G$3:G$22=G20)*(J$3:J$22&gt;J20)*(I$3:I$22="P"))+IF(H20="L5",SUMPRODUCT((P$3:P$22="")*(O$3:O$22="")*(N$3:N$22="")*(M$3:M$22="P")*(G$3:G$22=G20)*(J$3:J$22&lt;J20)*(H$3:H$22&lt;&gt;H20)*(I$3:I$22="P")),-1*SUMPRODUCT((P$3:P$22="")*(O$3:O$22="")*(N$3:N$22="")*(M$3:M$22="P")*(G$3:G$22=G20)*(J$3:J$22&gt;J20)*(H$3:H$22="L5")*(I$3:I$22="P")))+1,"")))))</f>
        <v/>
      </c>
      <c r="B20" s="1" t="str" cm="1">
        <f t="array" ref="B20">IF(P20&lt;&gt;"",SUMPRODUCT((P$3:P$54&lt;&gt;"")*(G$3:G$54=G20)*(J$3:J$54&gt;J20))+1,IF(O20&lt;&gt;"",SUMPRODUCT((O$3:O$54&lt;&gt;"")*(P$3:P$54="")*(G$3:G$54=G20)*(J$3:J$54&gt;J20))+SUMPRODUCT((P$3:P$54&lt;&gt;"")*(G$3:G$54=G20))+1,IF(N20&lt;&gt;"",SUMPRODUCT((N$3:N$54&lt;&gt;"")*(G$3:G$54=G20)*(J$3:J$54&gt;J20))+1,IF(M20="P",SUMPRODUCT((O$3:O$54&lt;&gt;"")*(P$3:P$54="")*(G$3:G$54=G20))+SUMPRODUCT((P$3:P$54&lt;&gt;"")*(G$3:G$54=G20))+SUMPRODUCT((N$3:N$54&lt;&gt;"")*(G$3:G$54=G20))+SUMPRODUCT((P$3:P$54="")*(O$3:O$54="")*(N$3:N$54="")*(M$3:M$54="P")*(G$3:G$54=G20)*(J$3:J$54&gt;J20))+IF(H20="L5",SUMPRODUCT((P$3:P$54="")*(O$3:O$54="")*(N$3:N$54="")*(M$3:M$54="P")*(G$3:G$54=G20)*(J$3:J$54&lt;J20)*(H$3:H$54&lt;&gt;H20)),-1*SUMPRODUCT((P$3:P$54="")*(O$3:O$54="")*(N$3:N$54="")*(M$3:M$54="P")*(G$3:G$54=G20)*(J$3:J$54&gt;J20)*(H$3:H$54="L5")))+1,""))))</f>
        <v/>
      </c>
      <c r="C20" s="35" t="s">
        <v>141</v>
      </c>
      <c r="D20" s="35" t="str">
        <f>IF(E20="","",VLOOKUP(E20,'Coaching Points'!A:B,2,0))</f>
        <v>SK</v>
      </c>
      <c r="E20" s="35" t="s">
        <v>329</v>
      </c>
      <c r="F20" s="34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64</v>
      </c>
      <c r="I20" s="40"/>
      <c r="J20" s="4">
        <f t="shared" si="0"/>
        <v>39.200000000000003</v>
      </c>
      <c r="K20" s="3" t="str">
        <f>IF(G20="Not Age Eligible","",IF(MAX(T20,W20,Z20,AC20)&gt;=LOOKUP(G20,'Qualifying Scores'!$A$4:$A$7,'Qualifying Scores'!$I$4:$I$7),"P",""))</f>
        <v/>
      </c>
      <c r="L20" s="3" t="str">
        <f>IF(G20="Not Age Eligible","",IF(MAX(U20,X20,AA20,AD20)&gt;=LOOKUP(G20,'Qualifying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Scores'!$I$10:$I$13)),AND(Z20&gt;=LOOKUP(G20,'Qualifying Scores'!$A$4:$A$7,'Qualifying Scores'!$I$4:$I$7),AA20&gt;=LOOKUP(G20,'Qualifying Scores'!$A$10:$A$13,'Qualifying Scores'!$I$10:$I$13)),AND(W20&gt;=LOOKUP(G20,'Qualifying Scores'!$A$4:$A$7,'Qualifying Scores'!$I$4:$I$7),X20&gt;=LOOKUP(G20,'Qualifying Scores'!$A$10:$A$13,'Qualifying Scores'!$I$10:$I$13)),AND(AC20&gt;=LOOKUP(G20,'Qualifying Scores'!$A$4:$A$7,'Qualifying Scores'!$I$4:$I$7),AD20&gt;=LOOKUP(G20,'Qualifying Scores'!$A$10:$A$13,'Qualifying Scores'!$I$10:$I$13))),"P",""))</f>
        <v/>
      </c>
      <c r="Q20" s="1" t="str">
        <f t="shared" si="1"/>
        <v/>
      </c>
      <c r="R20" s="4">
        <f t="shared" si="2"/>
        <v>39.200000000000003</v>
      </c>
      <c r="S20" s="4">
        <f t="shared" si="3"/>
        <v>38.200000000000003</v>
      </c>
      <c r="T20" s="32">
        <v>38.200000000000003</v>
      </c>
      <c r="U20" s="37">
        <v>5.3</v>
      </c>
      <c r="V20" s="37">
        <v>0</v>
      </c>
      <c r="W20" s="33">
        <v>39.200000000000003</v>
      </c>
      <c r="X20" s="37">
        <v>5.3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$22&lt;&gt;"")*(G$3:G$22=G21)*(J$3:J$22&gt;J21)*(I$3:I$22="P"))+1,IF(O21&lt;&gt;"",SUMPRODUCT((O$3:O$22&lt;&gt;"")*(P$3:P$22="")*(G$3:G$22=G21)*(J$3:J$22&gt;J21)*(I$3:I$22="P"))+SUMPRODUCT((P$3:P$22&lt;&gt;"")*(G$3:G$22=G21)*(I$3:I$22="P"))+1,IF(N21&lt;&gt;"",SUMPRODUCT((N$3:N$22&lt;&gt;"")*(G$3:G$22=G21)*(J$3:J$22&gt;J21)*(I$3:I$22="P"))+1,IF(M21="P",SUMPRODUCT((O$3:O$22&lt;&gt;"")*(P$3:P$22="")*(G$3:G$22=G21)*(I$3:I$22="P"))+SUMPRODUCT((P$3:P$22&lt;&gt;"")*(G$3:G$22=G21)*(I$3:I$22="P"))+SUMPRODUCT((N$3:N$22&lt;&gt;"")*(G$3:G$22=G21)*(I$3:I$22="P"))+SUMPRODUCT((P$3:P$22="")*(O$3:O$22="")*(N$3:N$22="")*(M$3:M$22="P")*(G$3:G$22=G21)*(J$3:J$22&gt;J21)*(I$3:I$22="P"))+IF(H21="L5",SUMPRODUCT((P$3:P$22="")*(O$3:O$22="")*(N$3:N$22="")*(M$3:M$22="P")*(G$3:G$22=G21)*(J$3:J$22&lt;J21)*(H$3:H$22&lt;&gt;H21)*(I$3:I$22="P")),-1*SUMPRODUCT((P$3:P$22="")*(O$3:O$22="")*(N$3:N$22="")*(M$3:M$22="P")*(G$3:G$22=G21)*(J$3:J$22&gt;J21)*(H$3:H$22="L5")*(I$3:I$22="P")))+1,"")))))</f>
        <v/>
      </c>
      <c r="B21" s="1" t="str" cm="1">
        <f t="array" ref="B21">IF(P21&lt;&gt;"",SUMPRODUCT((P$3:P$54&lt;&gt;"")*(G$3:G$54=G21)*(J$3:J$54&gt;J21))+1,IF(O21&lt;&gt;"",SUMPRODUCT((O$3:O$54&lt;&gt;"")*(P$3:P$54="")*(G$3:G$54=G21)*(J$3:J$54&gt;J21))+SUMPRODUCT((P$3:P$54&lt;&gt;"")*(G$3:G$54=G21))+1,IF(N21&lt;&gt;"",SUMPRODUCT((N$3:N$54&lt;&gt;"")*(G$3:G$54=G21)*(J$3:J$54&gt;J21))+1,IF(M21="P",SUMPRODUCT((O$3:O$54&lt;&gt;"")*(P$3:P$54="")*(G$3:G$54=G21))+SUMPRODUCT((P$3:P$54&lt;&gt;"")*(G$3:G$54=G21))+SUMPRODUCT((N$3:N$54&lt;&gt;"")*(G$3:G$54=G21))+SUMPRODUCT((P$3:P$54="")*(O$3:O$54="")*(N$3:N$54="")*(M$3:M$54="P")*(G$3:G$54=G21)*(J$3:J$54&gt;J21))+IF(H21="L5",SUMPRODUCT((P$3:P$54="")*(O$3:O$54="")*(N$3:N$54="")*(M$3:M$54="P")*(G$3:G$54=G21)*(J$3:J$54&lt;J21)*(H$3:H$54&lt;&gt;H21)),-1*SUMPRODUCT((P$3:P$54="")*(O$3:O$54="")*(N$3:N$54="")*(M$3:M$54="P")*(G$3:G$54=G21)*(J$3:J$54&gt;J21)*(H$3:H$54="L5")))+1,""))))</f>
        <v/>
      </c>
      <c r="C21" s="35" t="s">
        <v>236</v>
      </c>
      <c r="D21" s="35" t="str">
        <f>IF(E21="","",VLOOKUP(E21,'Coaching Points'!A:B,2,0))</f>
        <v>QC</v>
      </c>
      <c r="E21" s="35" t="s">
        <v>218</v>
      </c>
      <c r="F21" s="34">
        <v>2006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66</v>
      </c>
      <c r="I21" s="40"/>
      <c r="J21" s="4">
        <f t="shared" si="0"/>
        <v>38.800100000000008</v>
      </c>
      <c r="K21" s="3" t="str">
        <f>IF(G21="Not Age Eligible","",IF(MAX(T21,W21,Z21,AC21)&gt;=LOOKUP(G21,'Qualifying Scores'!$A$4:$A$7,'Qualifying Scores'!$I$4:$I$7),"P",""))</f>
        <v/>
      </c>
      <c r="L21" s="3" t="str">
        <f>IF(G21="Not Age Eligible","",IF(MAX(U21,X21,AA21,AD21)&gt;=LOOKUP(G21,'Qualifying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Scores'!$I$10:$I$13)),AND(Z21&gt;=LOOKUP(G21,'Qualifying Scores'!$A$4:$A$7,'Qualifying Scores'!$I$4:$I$7),AA21&gt;=LOOKUP(G21,'Qualifying Scores'!$A$10:$A$13,'Qualifying Scores'!$I$10:$I$13)),AND(W21&gt;=LOOKUP(G21,'Qualifying Scores'!$A$4:$A$7,'Qualifying Scores'!$I$4:$I$7),X21&gt;=LOOKUP(G21,'Qualifying Scores'!$A$10:$A$13,'Qualifying Scores'!$I$10:$I$13)),AND(AC21&gt;=LOOKUP(G21,'Qualifying Scores'!$A$4:$A$7,'Qualifying Scores'!$I$4:$I$7),AD21&gt;=LOOKUP(G21,'Qualifying Scores'!$A$10:$A$13,'Qualifying Scores'!$I$10:$I$13))),"P",""))</f>
        <v/>
      </c>
      <c r="Q21" s="1" t="str">
        <f t="shared" si="1"/>
        <v/>
      </c>
      <c r="R21" s="4">
        <f t="shared" si="2"/>
        <v>38.800000000000004</v>
      </c>
      <c r="S21" s="4">
        <f t="shared" si="3"/>
        <v>37.9</v>
      </c>
      <c r="T21" s="32">
        <v>38.5</v>
      </c>
      <c r="U21" s="37">
        <v>6.6999999999999993</v>
      </c>
      <c r="V21" s="37">
        <v>0.6</v>
      </c>
      <c r="W21" s="33">
        <v>39.1</v>
      </c>
      <c r="X21" s="37">
        <v>5.0999999999999996</v>
      </c>
      <c r="Y21" s="37">
        <v>0.3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$22&lt;&gt;"")*(G$3:G$22=G22)*(J$3:J$22&gt;J22)*(I$3:I$22="P"))+1,IF(O22&lt;&gt;"",SUMPRODUCT((O$3:O$22&lt;&gt;"")*(P$3:P$22="")*(G$3:G$22=G22)*(J$3:J$22&gt;J22)*(I$3:I$22="P"))+SUMPRODUCT((P$3:P$22&lt;&gt;"")*(G$3:G$22=G22)*(I$3:I$22="P"))+1,IF(N22&lt;&gt;"",SUMPRODUCT((N$3:N$22&lt;&gt;"")*(G$3:G$22=G22)*(J$3:J$22&gt;J22)*(I$3:I$22="P"))+1,IF(M22="P",SUMPRODUCT((O$3:O$22&lt;&gt;"")*(P$3:P$22="")*(G$3:G$22=G22)*(I$3:I$22="P"))+SUMPRODUCT((P$3:P$22&lt;&gt;"")*(G$3:G$22=G22)*(I$3:I$22="P"))+SUMPRODUCT((N$3:N$22&lt;&gt;"")*(G$3:G$22=G22)*(I$3:I$22="P"))+SUMPRODUCT((P$3:P$22="")*(O$3:O$22="")*(N$3:N$22="")*(M$3:M$22="P")*(G$3:G$22=G22)*(J$3:J$22&gt;J22)*(I$3:I$22="P"))+IF(H22="L5",SUMPRODUCT((P$3:P$22="")*(O$3:O$22="")*(N$3:N$22="")*(M$3:M$22="P")*(G$3:G$22=G22)*(J$3:J$22&lt;J22)*(H$3:H$22&lt;&gt;H22)*(I$3:I$22="P")),-1*SUMPRODUCT((P$3:P$22="")*(O$3:O$22="")*(N$3:N$22="")*(M$3:M$22="P")*(G$3:G$22=G22)*(J$3:J$22&gt;J22)*(H$3:H$22="L5")*(I$3:I$22="P")))+1,"")))))</f>
        <v/>
      </c>
      <c r="B22" s="1" t="str" cm="1">
        <f t="array" ref="B22">IF(P22&lt;&gt;"",SUMPRODUCT((P$3:P$54&lt;&gt;"")*(G$3:G$54=G22)*(J$3:J$54&gt;J22))+1,IF(O22&lt;&gt;"",SUMPRODUCT((O$3:O$54&lt;&gt;"")*(P$3:P$54="")*(G$3:G$54=G22)*(J$3:J$54&gt;J22))+SUMPRODUCT((P$3:P$54&lt;&gt;"")*(G$3:G$54=G22))+1,IF(N22&lt;&gt;"",SUMPRODUCT((N$3:N$54&lt;&gt;"")*(G$3:G$54=G22)*(J$3:J$54&gt;J22))+1,IF(M22="P",SUMPRODUCT((O$3:O$54&lt;&gt;"")*(P$3:P$54="")*(G$3:G$54=G22))+SUMPRODUCT((P$3:P$54&lt;&gt;"")*(G$3:G$54=G22))+SUMPRODUCT((N$3:N$54&lt;&gt;"")*(G$3:G$54=G22))+SUMPRODUCT((P$3:P$54="")*(O$3:O$54="")*(N$3:N$54="")*(M$3:M$54="P")*(G$3:G$54=G22)*(J$3:J$54&gt;J22))+IF(H22="L5",SUMPRODUCT((P$3:P$54="")*(O$3:O$54="")*(N$3:N$54="")*(M$3:M$54="P")*(G$3:G$54=G22)*(J$3:J$54&lt;J22)*(H$3:H$54&lt;&gt;H22)),-1*SUMPRODUCT((P$3:P$54="")*(O$3:O$54="")*(N$3:N$54="")*(M$3:M$54="P")*(G$3:G$54=G22)*(J$3:J$54&gt;J22)*(H$3:H$54="L5")))+1,""))))</f>
        <v/>
      </c>
      <c r="C22" s="35" t="s">
        <v>262</v>
      </c>
      <c r="D22" s="35" t="str">
        <f>IF(E22="","",VLOOKUP(E22,'Coaching Points'!A:B,2,0))</f>
        <v>ON</v>
      </c>
      <c r="E22" s="35" t="s">
        <v>45</v>
      </c>
      <c r="F22" s="34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66</v>
      </c>
      <c r="I22" s="40"/>
      <c r="J22" s="4">
        <f t="shared" si="0"/>
        <v>37.800100000000008</v>
      </c>
      <c r="K22" s="3" t="str">
        <f>IF(G22="Not Age Eligible","",IF(MAX(T22,W22,Z22,AC22)&gt;=LOOKUP(G22,'Qualifying Scores'!$A$4:$A$7,'Qualifying Scores'!$I$4:$I$7),"P",""))</f>
        <v/>
      </c>
      <c r="L22" s="3" t="str">
        <f>IF(G22="Not Age Eligible","",IF(MAX(U22,X22,AA22,AD22)&gt;=LOOKUP(G22,'Qualifying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Scores'!$I$10:$I$13)),AND(Z22&gt;=LOOKUP(G22,'Qualifying Scores'!$A$4:$A$7,'Qualifying Scores'!$I$4:$I$7),AA22&gt;=LOOKUP(G22,'Qualifying Scores'!$A$10:$A$13,'Qualifying Scores'!$I$10:$I$13)),AND(W22&gt;=LOOKUP(G22,'Qualifying Scores'!$A$4:$A$7,'Qualifying Scores'!$I$4:$I$7),X22&gt;=LOOKUP(G22,'Qualifying Scores'!$A$10:$A$13,'Qualifying Scores'!$I$10:$I$13)),AND(AC22&gt;=LOOKUP(G22,'Qualifying Scores'!$A$4:$A$7,'Qualifying Scores'!$I$4:$I$7),AD22&gt;=LOOKUP(G22,'Qualifying Scores'!$A$10:$A$13,'Qualifying Scores'!$I$10:$I$13))),"P",""))</f>
        <v/>
      </c>
      <c r="Q22" s="1" t="str">
        <f t="shared" si="1"/>
        <v/>
      </c>
      <c r="R22" s="4">
        <f t="shared" si="2"/>
        <v>37.800000000000004</v>
      </c>
      <c r="S22" s="4">
        <f t="shared" si="3"/>
        <v>32.900000000000006</v>
      </c>
      <c r="T22" s="32">
        <v>33.200000000000003</v>
      </c>
      <c r="U22" s="37">
        <v>5</v>
      </c>
      <c r="V22" s="37">
        <v>0.3</v>
      </c>
      <c r="W22" s="33">
        <v>38.700000000000003</v>
      </c>
      <c r="X22" s="37">
        <v>6.7</v>
      </c>
      <c r="Y22" s="37">
        <v>0.89999999999999991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$22&lt;&gt;"")*(G$3:G$22=G23)*(J$3:J$22&gt;J23)*(I$3:I$22="P"))+1,IF(O23&lt;&gt;"",SUMPRODUCT((O$3:O$22&lt;&gt;"")*(P$3:P$22="")*(G$3:G$22=G23)*(J$3:J$22&gt;J23)*(I$3:I$22="P"))+SUMPRODUCT((P$3:P$22&lt;&gt;"")*(G$3:G$22=G23)*(I$3:I$22="P"))+1,IF(N23&lt;&gt;"",SUMPRODUCT((N$3:N$22&lt;&gt;"")*(G$3:G$22=G23)*(J$3:J$22&gt;J23)*(I$3:I$22="P"))+1,IF(M23="P",SUMPRODUCT((O$3:O$22&lt;&gt;"")*(P$3:P$22="")*(G$3:G$22=G23)*(I$3:I$22="P"))+SUMPRODUCT((P$3:P$22&lt;&gt;"")*(G$3:G$22=G23)*(I$3:I$22="P"))+SUMPRODUCT((N$3:N$22&lt;&gt;"")*(G$3:G$22=G23)*(I$3:I$22="P"))+SUMPRODUCT((P$3:P$22="")*(O$3:O$22="")*(N$3:N$22="")*(M$3:M$22="P")*(G$3:G$22=G23)*(J$3:J$22&gt;J23)*(I$3:I$22="P"))+IF(H23="L5",SUMPRODUCT((P$3:P$22="")*(O$3:O$22="")*(N$3:N$22="")*(M$3:M$22="P")*(G$3:G$22=G23)*(J$3:J$22&lt;J23)*(H$3:H$22&lt;&gt;H23)*(I$3:I$22="P")),-1*SUMPRODUCT((P$3:P$22="")*(O$3:O$22="")*(N$3:N$22="")*(M$3:M$22="P")*(G$3:G$22=G23)*(J$3:J$22&gt;J23)*(H$3:H$22="L5")*(I$3:I$22="P")))+1,"")))))</f>
        <v/>
      </c>
      <c r="B23" s="1" t="str" cm="1">
        <f t="array" ref="B23">IF(P23&lt;&gt;"",SUMPRODUCT((P$3:P$54&lt;&gt;"")*(G$3:G$54=G23)*(J$3:J$54&gt;J23))+1,IF(O23&lt;&gt;"",SUMPRODUCT((O$3:O$54&lt;&gt;"")*(P$3:P$54="")*(G$3:G$54=G23)*(J$3:J$54&gt;J23))+SUMPRODUCT((P$3:P$54&lt;&gt;"")*(G$3:G$54=G23))+1,IF(N23&lt;&gt;"",SUMPRODUCT((N$3:N$54&lt;&gt;"")*(G$3:G$54=G23)*(J$3:J$54&gt;J23))+1,IF(M23="P",SUMPRODUCT((O$3:O$54&lt;&gt;"")*(P$3:P$54="")*(G$3:G$54=G23))+SUMPRODUCT((P$3:P$54&lt;&gt;"")*(G$3:G$54=G23))+SUMPRODUCT((N$3:N$54&lt;&gt;"")*(G$3:G$54=G23))+SUMPRODUCT((P$3:P$54="")*(O$3:O$54="")*(N$3:N$54="")*(M$3:M$54="P")*(G$3:G$54=G23)*(J$3:J$54&gt;J23))+IF(H23="L5",SUMPRODUCT((P$3:P$54="")*(O$3:O$54="")*(N$3:N$54="")*(M$3:M$54="P")*(G$3:G$54=G23)*(J$3:J$54&lt;J23)*(H$3:H$54&lt;&gt;H23)),-1*SUMPRODUCT((P$3:P$54="")*(O$3:O$54="")*(N$3:N$54="")*(M$3:M$54="P")*(G$3:G$54=G23)*(J$3:J$54&gt;J23)*(H$3:H$54="L5")))+1,""))))</f>
        <v/>
      </c>
      <c r="C23" s="35" t="s">
        <v>380</v>
      </c>
      <c r="D23" s="35" t="str">
        <f>IF(E23="","",VLOOKUP(E23,'Coaching Points'!A:B,2,0))</f>
        <v>QC</v>
      </c>
      <c r="E23" s="35" t="s">
        <v>75</v>
      </c>
      <c r="F23" s="34">
        <v>2007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64</v>
      </c>
      <c r="I23" s="40"/>
      <c r="J23" s="4">
        <f t="shared" si="0"/>
        <v>37.799999999999997</v>
      </c>
      <c r="K23" s="3" t="str">
        <f>IF(G23="Not Age Eligible","",IF(MAX(T23,W23,Z23,AC23)&gt;=LOOKUP(G23,'Qualifying Scores'!$A$4:$A$7,'Qualifying Scores'!$I$4:$I$7),"P",""))</f>
        <v/>
      </c>
      <c r="L23" s="3" t="str">
        <f>IF(G23="Not Age Eligible","",IF(MAX(U23,X23,AA23,AD23)&gt;=LOOKUP(G23,'Qualifying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Scores'!$I$10:$I$13)),AND(Z23&gt;=LOOKUP(G23,'Qualifying Scores'!$A$4:$A$7,'Qualifying Scores'!$I$4:$I$7),AA23&gt;=LOOKUP(G23,'Qualifying Scores'!$A$10:$A$13,'Qualifying Scores'!$I$10:$I$13)),AND(W23&gt;=LOOKUP(G23,'Qualifying Scores'!$A$4:$A$7,'Qualifying Scores'!$I$4:$I$7),X23&gt;=LOOKUP(G23,'Qualifying Scores'!$A$10:$A$13,'Qualifying Scores'!$I$10:$I$13)),AND(AC23&gt;=LOOKUP(G23,'Qualifying Scores'!$A$4:$A$7,'Qualifying Scores'!$I$4:$I$7),AD23&gt;=LOOKUP(G23,'Qualifying Scores'!$A$10:$A$13,'Qualifying Scores'!$I$10:$I$13))),"P",""))</f>
        <v/>
      </c>
      <c r="Q23" s="1" t="str">
        <f t="shared" si="1"/>
        <v/>
      </c>
      <c r="R23" s="4">
        <f t="shared" si="2"/>
        <v>37.799999999999997</v>
      </c>
      <c r="S23" s="4">
        <f t="shared" si="3"/>
        <v>36.1</v>
      </c>
      <c r="T23" s="32">
        <v>37.799999999999997</v>
      </c>
      <c r="U23" s="37">
        <v>4.2</v>
      </c>
      <c r="V23" s="37">
        <v>0</v>
      </c>
      <c r="W23" s="33">
        <v>36.1</v>
      </c>
      <c r="X23" s="37">
        <v>4.2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$22&lt;&gt;"")*(G$3:G$22=G24)*(J$3:J$22&gt;J24)*(I$3:I$22="P"))+1,IF(O24&lt;&gt;"",SUMPRODUCT((O$3:O$22&lt;&gt;"")*(P$3:P$22="")*(G$3:G$22=G24)*(J$3:J$22&gt;J24)*(I$3:I$22="P"))+SUMPRODUCT((P$3:P$22&lt;&gt;"")*(G$3:G$22=G24)*(I$3:I$22="P"))+1,IF(N24&lt;&gt;"",SUMPRODUCT((N$3:N$22&lt;&gt;"")*(G$3:G$22=G24)*(J$3:J$22&gt;J24)*(I$3:I$22="P"))+1,IF(M24="P",SUMPRODUCT((O$3:O$22&lt;&gt;"")*(P$3:P$22="")*(G$3:G$22=G24)*(I$3:I$22="P"))+SUMPRODUCT((P$3:P$22&lt;&gt;"")*(G$3:G$22=G24)*(I$3:I$22="P"))+SUMPRODUCT((N$3:N$22&lt;&gt;"")*(G$3:G$22=G24)*(I$3:I$22="P"))+SUMPRODUCT((P$3:P$22="")*(O$3:O$22="")*(N$3:N$22="")*(M$3:M$22="P")*(G$3:G$22=G24)*(J$3:J$22&gt;J24)*(I$3:I$22="P"))+IF(H24="L5",SUMPRODUCT((P$3:P$22="")*(O$3:O$22="")*(N$3:N$22="")*(M$3:M$22="P")*(G$3:G$22=G24)*(J$3:J$22&lt;J24)*(H$3:H$22&lt;&gt;H24)*(I$3:I$22="P")),-1*SUMPRODUCT((P$3:P$22="")*(O$3:O$22="")*(N$3:N$22="")*(M$3:M$22="P")*(G$3:G$22=G24)*(J$3:J$22&gt;J24)*(H$3:H$22="L5")*(I$3:I$22="P")))+1,"")))))</f>
        <v/>
      </c>
      <c r="B24" s="1" t="str" cm="1">
        <f t="array" ref="B24">IF(P24&lt;&gt;"",SUMPRODUCT((P$3:P$54&lt;&gt;"")*(G$3:G$54=G24)*(J$3:J$54&gt;J24))+1,IF(O24&lt;&gt;"",SUMPRODUCT((O$3:O$54&lt;&gt;"")*(P$3:P$54="")*(G$3:G$54=G24)*(J$3:J$54&gt;J24))+SUMPRODUCT((P$3:P$54&lt;&gt;"")*(G$3:G$54=G24))+1,IF(N24&lt;&gt;"",SUMPRODUCT((N$3:N$54&lt;&gt;"")*(G$3:G$54=G24)*(J$3:J$54&gt;J24))+1,IF(M24="P",SUMPRODUCT((O$3:O$54&lt;&gt;"")*(P$3:P$54="")*(G$3:G$54=G24))+SUMPRODUCT((P$3:P$54&lt;&gt;"")*(G$3:G$54=G24))+SUMPRODUCT((N$3:N$54&lt;&gt;"")*(G$3:G$54=G24))+SUMPRODUCT((P$3:P$54="")*(O$3:O$54="")*(N$3:N$54="")*(M$3:M$54="P")*(G$3:G$54=G24)*(J$3:J$54&gt;J24))+IF(H24="L5",SUMPRODUCT((P$3:P$54="")*(O$3:O$54="")*(N$3:N$54="")*(M$3:M$54="P")*(G$3:G$54=G24)*(J$3:J$54&lt;J24)*(H$3:H$54&lt;&gt;H24)),-1*SUMPRODUCT((P$3:P$54="")*(O$3:O$54="")*(N$3:N$54="")*(M$3:M$54="P")*(G$3:G$54=G24)*(J$3:J$54&gt;J24)*(H$3:H$54="L5")))+1,""))))</f>
        <v/>
      </c>
      <c r="C24" s="35" t="s">
        <v>118</v>
      </c>
      <c r="D24" s="35" t="str">
        <f>IF(E24="","",VLOOKUP(E24,'Coaching Points'!A:B,2,0))</f>
        <v>AB</v>
      </c>
      <c r="E24" s="35" t="s">
        <v>28</v>
      </c>
      <c r="F24" s="34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64</v>
      </c>
      <c r="I24" s="40"/>
      <c r="J24" s="4">
        <f t="shared" si="0"/>
        <v>37.5</v>
      </c>
      <c r="K24" s="3" t="str">
        <f>IF(G24="Not Age Eligible","",IF(MAX(T24,W24,Z24,AC24)&gt;=LOOKUP(G24,'Qualifying Scores'!$A$4:$A$7,'Qualifying Scores'!$I$4:$I$7),"P",""))</f>
        <v/>
      </c>
      <c r="L24" s="3" t="str">
        <f>IF(G24="Not Age Eligible","",IF(MAX(U24,X24,AA24,AD24)&gt;=LOOKUP(G24,'Qualifying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Scores'!$I$10:$I$13)),AND(Z24&gt;=LOOKUP(G24,'Qualifying Scores'!$A$4:$A$7,'Qualifying Scores'!$I$4:$I$7),AA24&gt;=LOOKUP(G24,'Qualifying Scores'!$A$10:$A$13,'Qualifying Scores'!$I$10:$I$13)),AND(W24&gt;=LOOKUP(G24,'Qualifying Scores'!$A$4:$A$7,'Qualifying Scores'!$I$4:$I$7),X24&gt;=LOOKUP(G24,'Qualifying Scores'!$A$10:$A$13,'Qualifying Scores'!$I$10:$I$13)),AND(AC24&gt;=LOOKUP(G24,'Qualifying Scores'!$A$4:$A$7,'Qualifying Scores'!$I$4:$I$7),AD24&gt;=LOOKUP(G24,'Qualifying Scores'!$A$10:$A$13,'Qualifying Scores'!$I$10:$I$13))),"P",""))</f>
        <v/>
      </c>
      <c r="Q24" s="1" t="str">
        <f t="shared" si="1"/>
        <v/>
      </c>
      <c r="R24" s="4">
        <f t="shared" si="2"/>
        <v>37.5</v>
      </c>
      <c r="S24" s="4">
        <f t="shared" si="3"/>
        <v>37.4</v>
      </c>
      <c r="T24" s="32">
        <v>37.4</v>
      </c>
      <c r="U24" s="37">
        <v>6.5</v>
      </c>
      <c r="V24" s="37">
        <v>0</v>
      </c>
      <c r="W24" s="33">
        <v>37.5</v>
      </c>
      <c r="X24" s="37">
        <v>5</v>
      </c>
      <c r="Y24" s="37">
        <v>0</v>
      </c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$22&lt;&gt;"")*(G$3:G$22=G25)*(J$3:J$22&gt;J25)*(I$3:I$22="P"))+1,IF(O25&lt;&gt;"",SUMPRODUCT((O$3:O$22&lt;&gt;"")*(P$3:P$22="")*(G$3:G$22=G25)*(J$3:J$22&gt;J25)*(I$3:I$22="P"))+SUMPRODUCT((P$3:P$22&lt;&gt;"")*(G$3:G$22=G25)*(I$3:I$22="P"))+1,IF(N25&lt;&gt;"",SUMPRODUCT((N$3:N$22&lt;&gt;"")*(G$3:G$22=G25)*(J$3:J$22&gt;J25)*(I$3:I$22="P"))+1,IF(M25="P",SUMPRODUCT((O$3:O$22&lt;&gt;"")*(P$3:P$22="")*(G$3:G$22=G25)*(I$3:I$22="P"))+SUMPRODUCT((P$3:P$22&lt;&gt;"")*(G$3:G$22=G25)*(I$3:I$22="P"))+SUMPRODUCT((N$3:N$22&lt;&gt;"")*(G$3:G$22=G25)*(I$3:I$22="P"))+SUMPRODUCT((P$3:P$22="")*(O$3:O$22="")*(N$3:N$22="")*(M$3:M$22="P")*(G$3:G$22=G25)*(J$3:J$22&gt;J25)*(I$3:I$22="P"))+IF(H25="L5",SUMPRODUCT((P$3:P$22="")*(O$3:O$22="")*(N$3:N$22="")*(M$3:M$22="P")*(G$3:G$22=G25)*(J$3:J$22&lt;J25)*(H$3:H$22&lt;&gt;H25)*(I$3:I$22="P")),-1*SUMPRODUCT((P$3:P$22="")*(O$3:O$22="")*(N$3:N$22="")*(M$3:M$22="P")*(G$3:G$22=G25)*(J$3:J$22&gt;J25)*(H$3:H$22="L5")*(I$3:I$22="P")))+1,"")))))</f>
        <v/>
      </c>
      <c r="B25" s="1" t="str" cm="1">
        <f t="array" ref="B25">IF(P25&lt;&gt;"",SUMPRODUCT((P$3:P$54&lt;&gt;"")*(G$3:G$54=G25)*(J$3:J$54&gt;J25))+1,IF(O25&lt;&gt;"",SUMPRODUCT((O$3:O$54&lt;&gt;"")*(P$3:P$54="")*(G$3:G$54=G25)*(J$3:J$54&gt;J25))+SUMPRODUCT((P$3:P$54&lt;&gt;"")*(G$3:G$54=G25))+1,IF(N25&lt;&gt;"",SUMPRODUCT((N$3:N$54&lt;&gt;"")*(G$3:G$54=G25)*(J$3:J$54&gt;J25))+1,IF(M25="P",SUMPRODUCT((O$3:O$54&lt;&gt;"")*(P$3:P$54="")*(G$3:G$54=G25))+SUMPRODUCT((P$3:P$54&lt;&gt;"")*(G$3:G$54=G25))+SUMPRODUCT((N$3:N$54&lt;&gt;"")*(G$3:G$54=G25))+SUMPRODUCT((P$3:P$54="")*(O$3:O$54="")*(N$3:N$54="")*(M$3:M$54="P")*(G$3:G$54=G25)*(J$3:J$54&gt;J25))+IF(H25="L5",SUMPRODUCT((P$3:P$54="")*(O$3:O$54="")*(N$3:N$54="")*(M$3:M$54="P")*(G$3:G$54=G25)*(J$3:J$54&lt;J25)*(H$3:H$54&lt;&gt;H25)),-1*SUMPRODUCT((P$3:P$54="")*(O$3:O$54="")*(N$3:N$54="")*(M$3:M$54="P")*(G$3:G$54=G25)*(J$3:J$54&gt;J25)*(H$3:H$54="L5")))+1,""))))</f>
        <v/>
      </c>
      <c r="C25" s="35" t="s">
        <v>143</v>
      </c>
      <c r="D25" s="35" t="str">
        <f>IF(E25="","",VLOOKUP(E25,'Coaching Points'!A:B,2,0))</f>
        <v>BC</v>
      </c>
      <c r="E25" s="35" t="s">
        <v>40</v>
      </c>
      <c r="F25" s="34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66</v>
      </c>
      <c r="I25" s="40"/>
      <c r="J25" s="4">
        <f t="shared" si="0"/>
        <v>37.000100000000003</v>
      </c>
      <c r="K25" s="3" t="str">
        <f>IF(G25="Not Age Eligible","",IF(MAX(T25,W25,Z25,AC25)&gt;=LOOKUP(G25,'Qualifying Scores'!$A$4:$A$7,'Qualifying Scores'!$I$4:$I$7),"P",""))</f>
        <v/>
      </c>
      <c r="L25" s="3" t="str">
        <f>IF(G25="Not Age Eligible","",IF(MAX(U25,X25,AA25,AD25)&gt;=LOOKUP(G25,'Qualifying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Scores'!$I$10:$I$13)),AND(Z25&gt;=LOOKUP(G25,'Qualifying Scores'!$A$4:$A$7,'Qualifying Scores'!$I$4:$I$7),AA25&gt;=LOOKUP(G25,'Qualifying Scores'!$A$10:$A$13,'Qualifying Scores'!$I$10:$I$13)),AND(W25&gt;=LOOKUP(G25,'Qualifying Scores'!$A$4:$A$7,'Qualifying Scores'!$I$4:$I$7),X25&gt;=LOOKUP(G25,'Qualifying Scores'!$A$10:$A$13,'Qualifying Scores'!$I$10:$I$13)),AND(AC25&gt;=LOOKUP(G25,'Qualifying Scores'!$A$4:$A$7,'Qualifying Scores'!$I$4:$I$7),AD25&gt;=LOOKUP(G25,'Qualifying Scores'!$A$10:$A$13,'Qualifying Scores'!$I$10:$I$13))),"P",""))</f>
        <v/>
      </c>
      <c r="Q25" s="1" t="str">
        <f t="shared" si="1"/>
        <v/>
      </c>
      <c r="R25" s="4">
        <f t="shared" si="2"/>
        <v>37</v>
      </c>
      <c r="S25" s="4">
        <f t="shared" si="3"/>
        <v>31.4</v>
      </c>
      <c r="T25" s="32">
        <v>31.7</v>
      </c>
      <c r="U25" s="37">
        <v>4.2</v>
      </c>
      <c r="V25" s="37">
        <v>0.3</v>
      </c>
      <c r="W25" s="33">
        <v>37.9</v>
      </c>
      <c r="X25" s="37">
        <v>5.6</v>
      </c>
      <c r="Y25" s="37">
        <v>0.89999999999999991</v>
      </c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$22&lt;&gt;"")*(G$3:G$22=G26)*(J$3:J$22&gt;J26)*(I$3:I$22="P"))+1,IF(O26&lt;&gt;"",SUMPRODUCT((O$3:O$22&lt;&gt;"")*(P$3:P$22="")*(G$3:G$22=G26)*(J$3:J$22&gt;J26)*(I$3:I$22="P"))+SUMPRODUCT((P$3:P$22&lt;&gt;"")*(G$3:G$22=G26)*(I$3:I$22="P"))+1,IF(N26&lt;&gt;"",SUMPRODUCT((N$3:N$22&lt;&gt;"")*(G$3:G$22=G26)*(J$3:J$22&gt;J26)*(I$3:I$22="P"))+1,IF(M26="P",SUMPRODUCT((O$3:O$22&lt;&gt;"")*(P$3:P$22="")*(G$3:G$22=G26)*(I$3:I$22="P"))+SUMPRODUCT((P$3:P$22&lt;&gt;"")*(G$3:G$22=G26)*(I$3:I$22="P"))+SUMPRODUCT((N$3:N$22&lt;&gt;"")*(G$3:G$22=G26)*(I$3:I$22="P"))+SUMPRODUCT((P$3:P$22="")*(O$3:O$22="")*(N$3:N$22="")*(M$3:M$22="P")*(G$3:G$22=G26)*(J$3:J$22&gt;J26)*(I$3:I$22="P"))+IF(H26="L5",SUMPRODUCT((P$3:P$22="")*(O$3:O$22="")*(N$3:N$22="")*(M$3:M$22="P")*(G$3:G$22=G26)*(J$3:J$22&lt;J26)*(H$3:H$22&lt;&gt;H26)*(I$3:I$22="P")),-1*SUMPRODUCT((P$3:P$22="")*(O$3:O$22="")*(N$3:N$22="")*(M$3:M$22="P")*(G$3:G$22=G26)*(J$3:J$22&gt;J26)*(H$3:H$22="L5")*(I$3:I$22="P")))+1,"")))))</f>
        <v/>
      </c>
      <c r="B26" s="1" t="str" cm="1">
        <f t="array" ref="B26">IF(P26&lt;&gt;"",SUMPRODUCT((P$3:P$54&lt;&gt;"")*(G$3:G$54=G26)*(J$3:J$54&gt;J26))+1,IF(O26&lt;&gt;"",SUMPRODUCT((O$3:O$54&lt;&gt;"")*(P$3:P$54="")*(G$3:G$54=G26)*(J$3:J$54&gt;J26))+SUMPRODUCT((P$3:P$54&lt;&gt;"")*(G$3:G$54=G26))+1,IF(N26&lt;&gt;"",SUMPRODUCT((N$3:N$54&lt;&gt;"")*(G$3:G$54=G26)*(J$3:J$54&gt;J26))+1,IF(M26="P",SUMPRODUCT((O$3:O$54&lt;&gt;"")*(P$3:P$54="")*(G$3:G$54=G26))+SUMPRODUCT((P$3:P$54&lt;&gt;"")*(G$3:G$54=G26))+SUMPRODUCT((N$3:N$54&lt;&gt;"")*(G$3:G$54=G26))+SUMPRODUCT((P$3:P$54="")*(O$3:O$54="")*(N$3:N$54="")*(M$3:M$54="P")*(G$3:G$54=G26)*(J$3:J$54&gt;J26))+IF(H26="L5",SUMPRODUCT((P$3:P$54="")*(O$3:O$54="")*(N$3:N$54="")*(M$3:M$54="P")*(G$3:G$54=G26)*(J$3:J$54&lt;J26)*(H$3:H$54&lt;&gt;H26)),-1*SUMPRODUCT((P$3:P$54="")*(O$3:O$54="")*(N$3:N$54="")*(M$3:M$54="P")*(G$3:G$54=G26)*(J$3:J$54&gt;J26)*(H$3:H$54="L5")))+1,""))))</f>
        <v/>
      </c>
      <c r="C26" s="35" t="s">
        <v>306</v>
      </c>
      <c r="D26" s="35" t="str">
        <f>IF(E26="","",VLOOKUP(E26,'Coaching Points'!A:B,2,0))</f>
        <v>ON</v>
      </c>
      <c r="E26" s="35" t="s">
        <v>131</v>
      </c>
      <c r="F26" s="34">
        <v>2007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64</v>
      </c>
      <c r="I26" s="40"/>
      <c r="J26" s="4">
        <f t="shared" si="0"/>
        <v>36.5</v>
      </c>
      <c r="K26" s="3" t="str">
        <f>IF(G26="Not Age Eligible","",IF(MAX(T26,W26,Z26,AC26)&gt;=LOOKUP(G26,'Qualifying Scores'!$A$4:$A$7,'Qualifying Scores'!$I$4:$I$7),"P",""))</f>
        <v/>
      </c>
      <c r="L26" s="3" t="str">
        <f>IF(G26="Not Age Eligible","",IF(MAX(U26,X26,AA26,AD26)&gt;=LOOKUP(G26,'Qualifying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Scores'!$I$10:$I$13)),AND(Z26&gt;=LOOKUP(G26,'Qualifying Scores'!$A$4:$A$7,'Qualifying Scores'!$I$4:$I$7),AA26&gt;=LOOKUP(G26,'Qualifying Scores'!$A$10:$A$13,'Qualifying Scores'!$I$10:$I$13)),AND(W26&gt;=LOOKUP(G26,'Qualifying Scores'!$A$4:$A$7,'Qualifying Scores'!$I$4:$I$7),X26&gt;=LOOKUP(G26,'Qualifying Scores'!$A$10:$A$13,'Qualifying Scores'!$I$10:$I$13)),AND(AC26&gt;=LOOKUP(G26,'Qualifying Scores'!$A$4:$A$7,'Qualifying Scores'!$I$4:$I$7),AD26&gt;=LOOKUP(G26,'Qualifying Scores'!$A$10:$A$13,'Qualifying Scores'!$I$10:$I$13))),"P",""))</f>
        <v/>
      </c>
      <c r="Q26" s="1" t="str">
        <f t="shared" si="1"/>
        <v/>
      </c>
      <c r="R26" s="4">
        <f t="shared" si="2"/>
        <v>36.5</v>
      </c>
      <c r="S26" s="4">
        <f t="shared" si="3"/>
        <v>0</v>
      </c>
      <c r="T26" s="32">
        <v>36.5</v>
      </c>
      <c r="U26" s="37">
        <v>4.4000000000000004</v>
      </c>
      <c r="V26" s="37">
        <v>0</v>
      </c>
      <c r="W26" s="33"/>
      <c r="X26" s="37"/>
      <c r="Y26" s="37"/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$22&lt;&gt;"")*(G$3:G$22=G27)*(J$3:J$22&gt;J27)*(I$3:I$22="P"))+1,IF(O27&lt;&gt;"",SUMPRODUCT((O$3:O$22&lt;&gt;"")*(P$3:P$22="")*(G$3:G$22=G27)*(J$3:J$22&gt;J27)*(I$3:I$22="P"))+SUMPRODUCT((P$3:P$22&lt;&gt;"")*(G$3:G$22=G27)*(I$3:I$22="P"))+1,IF(N27&lt;&gt;"",SUMPRODUCT((N$3:N$22&lt;&gt;"")*(G$3:G$22=G27)*(J$3:J$22&gt;J27)*(I$3:I$22="P"))+1,IF(M27="P",SUMPRODUCT((O$3:O$22&lt;&gt;"")*(P$3:P$22="")*(G$3:G$22=G27)*(I$3:I$22="P"))+SUMPRODUCT((P$3:P$22&lt;&gt;"")*(G$3:G$22=G27)*(I$3:I$22="P"))+SUMPRODUCT((N$3:N$22&lt;&gt;"")*(G$3:G$22=G27)*(I$3:I$22="P"))+SUMPRODUCT((P$3:P$22="")*(O$3:O$22="")*(N$3:N$22="")*(M$3:M$22="P")*(G$3:G$22=G27)*(J$3:J$22&gt;J27)*(I$3:I$22="P"))+IF(H27="L5",SUMPRODUCT((P$3:P$22="")*(O$3:O$22="")*(N$3:N$22="")*(M$3:M$22="P")*(G$3:G$22=G27)*(J$3:J$22&lt;J27)*(H$3:H$22&lt;&gt;H27)*(I$3:I$22="P")),-1*SUMPRODUCT((P$3:P$22="")*(O$3:O$22="")*(N$3:N$22="")*(M$3:M$22="P")*(G$3:G$22=G27)*(J$3:J$22&gt;J27)*(H$3:H$22="L5")*(I$3:I$22="P")))+1,"")))))</f>
        <v/>
      </c>
      <c r="B27" s="1" t="str" cm="1">
        <f t="array" ref="B27">IF(P27&lt;&gt;"",SUMPRODUCT((P$3:P$54&lt;&gt;"")*(G$3:G$54=G27)*(J$3:J$54&gt;J27))+1,IF(O27&lt;&gt;"",SUMPRODUCT((O$3:O$54&lt;&gt;"")*(P$3:P$54="")*(G$3:G$54=G27)*(J$3:J$54&gt;J27))+SUMPRODUCT((P$3:P$54&lt;&gt;"")*(G$3:G$54=G27))+1,IF(N27&lt;&gt;"",SUMPRODUCT((N$3:N$54&lt;&gt;"")*(G$3:G$54=G27)*(J$3:J$54&gt;J27))+1,IF(M27="P",SUMPRODUCT((O$3:O$54&lt;&gt;"")*(P$3:P$54="")*(G$3:G$54=G27))+SUMPRODUCT((P$3:P$54&lt;&gt;"")*(G$3:G$54=G27))+SUMPRODUCT((N$3:N$54&lt;&gt;"")*(G$3:G$54=G27))+SUMPRODUCT((P$3:P$54="")*(O$3:O$54="")*(N$3:N$54="")*(M$3:M$54="P")*(G$3:G$54=G27)*(J$3:J$54&gt;J27))+IF(H27="L5",SUMPRODUCT((P$3:P$54="")*(O$3:O$54="")*(N$3:N$54="")*(M$3:M$54="P")*(G$3:G$54=G27)*(J$3:J$54&lt;J27)*(H$3:H$54&lt;&gt;H27)),-1*SUMPRODUCT((P$3:P$54="")*(O$3:O$54="")*(N$3:N$54="")*(M$3:M$54="P")*(G$3:G$54=G27)*(J$3:J$54&gt;J27)*(H$3:H$54="L5")))+1,""))))</f>
        <v/>
      </c>
      <c r="C27" s="35" t="s">
        <v>142</v>
      </c>
      <c r="D27" s="35" t="str">
        <f>IF(E27="","",VLOOKUP(E27,'Coaching Points'!A:B,2,0))</f>
        <v>SK</v>
      </c>
      <c r="E27" s="35" t="s">
        <v>329</v>
      </c>
      <c r="F27" s="34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64</v>
      </c>
      <c r="I27" s="40"/>
      <c r="J27" s="4">
        <f t="shared" si="0"/>
        <v>36.4</v>
      </c>
      <c r="K27" s="3" t="str">
        <f>IF(G27="Not Age Eligible","",IF(MAX(T27,W27,Z27,AC27)&gt;=LOOKUP(G27,'Qualifying Scores'!$A$4:$A$7,'Qualifying Scores'!$I$4:$I$7),"P",""))</f>
        <v/>
      </c>
      <c r="L27" s="3" t="str">
        <f>IF(G27="Not Age Eligible","",IF(MAX(U27,X27,AA27,AD27)&gt;=LOOKUP(G27,'Qualifying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Scores'!$I$10:$I$13)),AND(Z27&gt;=LOOKUP(G27,'Qualifying Scores'!$A$4:$A$7,'Qualifying Scores'!$I$4:$I$7),AA27&gt;=LOOKUP(G27,'Qualifying Scores'!$A$10:$A$13,'Qualifying Scores'!$I$10:$I$13)),AND(W27&gt;=LOOKUP(G27,'Qualifying Scores'!$A$4:$A$7,'Qualifying Scores'!$I$4:$I$7),X27&gt;=LOOKUP(G27,'Qualifying Scores'!$A$10:$A$13,'Qualifying Scores'!$I$10:$I$13)),AND(AC27&gt;=LOOKUP(G27,'Qualifying Scores'!$A$4:$A$7,'Qualifying Scores'!$I$4:$I$7),AD27&gt;=LOOKUP(G27,'Qualifying Scores'!$A$10:$A$13,'Qualifying Scores'!$I$10:$I$13))),"P",""))</f>
        <v/>
      </c>
      <c r="Q27" s="1" t="str">
        <f t="shared" si="1"/>
        <v/>
      </c>
      <c r="R27" s="4">
        <f t="shared" si="2"/>
        <v>36.4</v>
      </c>
      <c r="S27" s="4">
        <f t="shared" si="3"/>
        <v>0</v>
      </c>
      <c r="T27" s="32">
        <v>36.4</v>
      </c>
      <c r="U27" s="37">
        <v>5.3</v>
      </c>
      <c r="V27" s="37">
        <v>0</v>
      </c>
      <c r="W27" s="33"/>
      <c r="X27" s="37"/>
      <c r="Y27" s="37"/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$22&lt;&gt;"")*(G$3:G$22=G28)*(J$3:J$22&gt;J28)*(I$3:I$22="P"))+1,IF(O28&lt;&gt;"",SUMPRODUCT((O$3:O$22&lt;&gt;"")*(P$3:P$22="")*(G$3:G$22=G28)*(J$3:J$22&gt;J28)*(I$3:I$22="P"))+SUMPRODUCT((P$3:P$22&lt;&gt;"")*(G$3:G$22=G28)*(I$3:I$22="P"))+1,IF(N28&lt;&gt;"",SUMPRODUCT((N$3:N$22&lt;&gt;"")*(G$3:G$22=G28)*(J$3:J$22&gt;J28)*(I$3:I$22="P"))+1,IF(M28="P",SUMPRODUCT((O$3:O$22&lt;&gt;"")*(P$3:P$22="")*(G$3:G$22=G28)*(I$3:I$22="P"))+SUMPRODUCT((P$3:P$22&lt;&gt;"")*(G$3:G$22=G28)*(I$3:I$22="P"))+SUMPRODUCT((N$3:N$22&lt;&gt;"")*(G$3:G$22=G28)*(I$3:I$22="P"))+SUMPRODUCT((P$3:P$22="")*(O$3:O$22="")*(N$3:N$22="")*(M$3:M$22="P")*(G$3:G$22=G28)*(J$3:J$22&gt;J28)*(I$3:I$22="P"))+IF(H28="L5",SUMPRODUCT((P$3:P$22="")*(O$3:O$22="")*(N$3:N$22="")*(M$3:M$22="P")*(G$3:G$22=G28)*(J$3:J$22&lt;J28)*(H$3:H$22&lt;&gt;H28)*(I$3:I$22="P")),-1*SUMPRODUCT((P$3:P$22="")*(O$3:O$22="")*(N$3:N$22="")*(M$3:M$22="P")*(G$3:G$22=G28)*(J$3:J$22&gt;J28)*(H$3:H$22="L5")*(I$3:I$22="P")))+1,"")))))</f>
        <v/>
      </c>
      <c r="B28" s="1" t="str" cm="1">
        <f t="array" ref="B28">IF(P28&lt;&gt;"",SUMPRODUCT((P$3:P$54&lt;&gt;"")*(G$3:G$54=G28)*(J$3:J$54&gt;J28))+1,IF(O28&lt;&gt;"",SUMPRODUCT((O$3:O$54&lt;&gt;"")*(P$3:P$54="")*(G$3:G$54=G28)*(J$3:J$54&gt;J28))+SUMPRODUCT((P$3:P$54&lt;&gt;"")*(G$3:G$54=G28))+1,IF(N28&lt;&gt;"",SUMPRODUCT((N$3:N$54&lt;&gt;"")*(G$3:G$54=G28)*(J$3:J$54&gt;J28))+1,IF(M28="P",SUMPRODUCT((O$3:O$54&lt;&gt;"")*(P$3:P$54="")*(G$3:G$54=G28))+SUMPRODUCT((P$3:P$54&lt;&gt;"")*(G$3:G$54=G28))+SUMPRODUCT((N$3:N$54&lt;&gt;"")*(G$3:G$54=G28))+SUMPRODUCT((P$3:P$54="")*(O$3:O$54="")*(N$3:N$54="")*(M$3:M$54="P")*(G$3:G$54=G28)*(J$3:J$54&gt;J28))+IF(H28="L5",SUMPRODUCT((P$3:P$54="")*(O$3:O$54="")*(N$3:N$54="")*(M$3:M$54="P")*(G$3:G$54=G28)*(J$3:J$54&lt;J28)*(H$3:H$54&lt;&gt;H28)),-1*SUMPRODUCT((P$3:P$54="")*(O$3:O$54="")*(N$3:N$54="")*(M$3:M$54="P")*(G$3:G$54=G28)*(J$3:J$54&gt;J28)*(H$3:H$54="L5")))+1,""))))</f>
        <v/>
      </c>
      <c r="C28" s="35" t="s">
        <v>312</v>
      </c>
      <c r="D28" s="35" t="str">
        <f>IF(E28="","",VLOOKUP(E28,'Coaching Points'!A:B,2,0))</f>
        <v>AB</v>
      </c>
      <c r="E28" s="35" t="s">
        <v>215</v>
      </c>
      <c r="F28" s="34">
        <v>2007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64</v>
      </c>
      <c r="I28" s="40"/>
      <c r="J28" s="4">
        <f t="shared" si="0"/>
        <v>36.4</v>
      </c>
      <c r="K28" s="3" t="str">
        <f>IF(G28="Not Age Eligible","",IF(MAX(T28,W28,Z28,AC28)&gt;=LOOKUP(G28,'Qualifying Scores'!$A$4:$A$7,'Qualifying Scores'!$I$4:$I$7),"P",""))</f>
        <v/>
      </c>
      <c r="L28" s="3" t="str">
        <f>IF(G28="Not Age Eligible","",IF(MAX(U28,X28,AA28,AD28)&gt;=LOOKUP(G28,'Qualifying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Scores'!$I$10:$I$13)),AND(Z28&gt;=LOOKUP(G28,'Qualifying Scores'!$A$4:$A$7,'Qualifying Scores'!$I$4:$I$7),AA28&gt;=LOOKUP(G28,'Qualifying Scores'!$A$10:$A$13,'Qualifying Scores'!$I$10:$I$13)),AND(W28&gt;=LOOKUP(G28,'Qualifying Scores'!$A$4:$A$7,'Qualifying Scores'!$I$4:$I$7),X28&gt;=LOOKUP(G28,'Qualifying Scores'!$A$10:$A$13,'Qualifying Scores'!$I$10:$I$13)),AND(AC28&gt;=LOOKUP(G28,'Qualifying Scores'!$A$4:$A$7,'Qualifying Scores'!$I$4:$I$7),AD28&gt;=LOOKUP(G28,'Qualifying Scores'!$A$10:$A$13,'Qualifying Scores'!$I$10:$I$13))),"P",""))</f>
        <v/>
      </c>
      <c r="Q28" s="1" t="str">
        <f t="shared" si="1"/>
        <v/>
      </c>
      <c r="R28" s="4">
        <f t="shared" si="2"/>
        <v>36.4</v>
      </c>
      <c r="S28" s="4">
        <f t="shared" si="3"/>
        <v>0</v>
      </c>
      <c r="T28" s="32">
        <v>36.4</v>
      </c>
      <c r="U28" s="37">
        <v>3.1</v>
      </c>
      <c r="V28" s="37">
        <v>0</v>
      </c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$22&lt;&gt;"")*(G$3:G$22=G29)*(J$3:J$22&gt;J29)*(I$3:I$22="P"))+1,IF(O29&lt;&gt;"",SUMPRODUCT((O$3:O$22&lt;&gt;"")*(P$3:P$22="")*(G$3:G$22=G29)*(J$3:J$22&gt;J29)*(I$3:I$22="P"))+SUMPRODUCT((P$3:P$22&lt;&gt;"")*(G$3:G$22=G29)*(I$3:I$22="P"))+1,IF(N29&lt;&gt;"",SUMPRODUCT((N$3:N$22&lt;&gt;"")*(G$3:G$22=G29)*(J$3:J$22&gt;J29)*(I$3:I$22="P"))+1,IF(M29="P",SUMPRODUCT((O$3:O$22&lt;&gt;"")*(P$3:P$22="")*(G$3:G$22=G29)*(I$3:I$22="P"))+SUMPRODUCT((P$3:P$22&lt;&gt;"")*(G$3:G$22=G29)*(I$3:I$22="P"))+SUMPRODUCT((N$3:N$22&lt;&gt;"")*(G$3:G$22=G29)*(I$3:I$22="P"))+SUMPRODUCT((P$3:P$22="")*(O$3:O$22="")*(N$3:N$22="")*(M$3:M$22="P")*(G$3:G$22=G29)*(J$3:J$22&gt;J29)*(I$3:I$22="P"))+IF(H29="L5",SUMPRODUCT((P$3:P$22="")*(O$3:O$22="")*(N$3:N$22="")*(M$3:M$22="P")*(G$3:G$22=G29)*(J$3:J$22&lt;J29)*(H$3:H$22&lt;&gt;H29)*(I$3:I$22="P")),-1*SUMPRODUCT((P$3:P$22="")*(O$3:O$22="")*(N$3:N$22="")*(M$3:M$22="P")*(G$3:G$22=G29)*(J$3:J$22&gt;J29)*(H$3:H$22="L5")*(I$3:I$22="P")))+1,"")))))</f>
        <v/>
      </c>
      <c r="B29" s="1" t="str" cm="1">
        <f t="array" ref="B29">IF(P29&lt;&gt;"",SUMPRODUCT((P$3:P$54&lt;&gt;"")*(G$3:G$54=G29)*(J$3:J$54&gt;J29))+1,IF(O29&lt;&gt;"",SUMPRODUCT((O$3:O$54&lt;&gt;"")*(P$3:P$54="")*(G$3:G$54=G29)*(J$3:J$54&gt;J29))+SUMPRODUCT((P$3:P$54&lt;&gt;"")*(G$3:G$54=G29))+1,IF(N29&lt;&gt;"",SUMPRODUCT((N$3:N$54&lt;&gt;"")*(G$3:G$54=G29)*(J$3:J$54&gt;J29))+1,IF(M29="P",SUMPRODUCT((O$3:O$54&lt;&gt;"")*(P$3:P$54="")*(G$3:G$54=G29))+SUMPRODUCT((P$3:P$54&lt;&gt;"")*(G$3:G$54=G29))+SUMPRODUCT((N$3:N$54&lt;&gt;"")*(G$3:G$54=G29))+SUMPRODUCT((P$3:P$54="")*(O$3:O$54="")*(N$3:N$54="")*(M$3:M$54="P")*(G$3:G$54=G29)*(J$3:J$54&gt;J29))+IF(H29="L5",SUMPRODUCT((P$3:P$54="")*(O$3:O$54="")*(N$3:N$54="")*(M$3:M$54="P")*(G$3:G$54=G29)*(J$3:J$54&lt;J29)*(H$3:H$54&lt;&gt;H29)),-1*SUMPRODUCT((P$3:P$54="")*(O$3:O$54="")*(N$3:N$54="")*(M$3:M$54="P")*(G$3:G$54=G29)*(J$3:J$54&gt;J29)*(H$3:H$54="L5")))+1,""))))</f>
        <v/>
      </c>
      <c r="C29" s="35" t="s">
        <v>381</v>
      </c>
      <c r="D29" s="35" t="str">
        <f>IF(E29="","",VLOOKUP(E29,'Coaching Points'!A:B,2,0))</f>
        <v>ON</v>
      </c>
      <c r="E29" s="35" t="s">
        <v>133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64</v>
      </c>
      <c r="I29" s="40"/>
      <c r="J29" s="4">
        <f t="shared" si="0"/>
        <v>36.1</v>
      </c>
      <c r="K29" s="3" t="str">
        <f>IF(G29="Not Age Eligible","",IF(MAX(T29,W29,Z29,AC29)&gt;=LOOKUP(G29,'Qualifying Scores'!$A$4:$A$7,'Qualifying Scores'!$I$4:$I$7),"P",""))</f>
        <v/>
      </c>
      <c r="L29" s="3" t="str">
        <f>IF(G29="Not Age Eligible","",IF(MAX(U29,X29,AA29,AD29)&gt;=LOOKUP(G29,'Qualifying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Scores'!$I$10:$I$13)),AND(Z29&gt;=LOOKUP(G29,'Qualifying Scores'!$A$4:$A$7,'Qualifying Scores'!$I$4:$I$7),AA29&gt;=LOOKUP(G29,'Qualifying Scores'!$A$10:$A$13,'Qualifying Scores'!$I$10:$I$13)),AND(W29&gt;=LOOKUP(G29,'Qualifying Scores'!$A$4:$A$7,'Qualifying Scores'!$I$4:$I$7),X29&gt;=LOOKUP(G29,'Qualifying Scores'!$A$10:$A$13,'Qualifying Scores'!$I$10:$I$13)),AND(AC29&gt;=LOOKUP(G29,'Qualifying Scores'!$A$4:$A$7,'Qualifying Scores'!$I$4:$I$7),AD29&gt;=LOOKUP(G29,'Qualifying Scores'!$A$10:$A$13,'Qualifying Scores'!$I$10:$I$13))),"P",""))</f>
        <v/>
      </c>
      <c r="Q29" s="1" t="str">
        <f t="shared" si="1"/>
        <v/>
      </c>
      <c r="R29" s="4">
        <f t="shared" si="2"/>
        <v>36.1</v>
      </c>
      <c r="S29" s="4">
        <f t="shared" si="3"/>
        <v>0</v>
      </c>
      <c r="T29" s="32">
        <v>36.1</v>
      </c>
      <c r="U29" s="37">
        <v>3.3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$22&lt;&gt;"")*(G$3:G$22=G30)*(J$3:J$22&gt;J30)*(I$3:I$22="P"))+1,IF(O30&lt;&gt;"",SUMPRODUCT((O$3:O$22&lt;&gt;"")*(P$3:P$22="")*(G$3:G$22=G30)*(J$3:J$22&gt;J30)*(I$3:I$22="P"))+SUMPRODUCT((P$3:P$22&lt;&gt;"")*(G$3:G$22=G30)*(I$3:I$22="P"))+1,IF(N30&lt;&gt;"",SUMPRODUCT((N$3:N$22&lt;&gt;"")*(G$3:G$22=G30)*(J$3:J$22&gt;J30)*(I$3:I$22="P"))+1,IF(M30="P",SUMPRODUCT((O$3:O$22&lt;&gt;"")*(P$3:P$22="")*(G$3:G$22=G30)*(I$3:I$22="P"))+SUMPRODUCT((P$3:P$22&lt;&gt;"")*(G$3:G$22=G30)*(I$3:I$22="P"))+SUMPRODUCT((N$3:N$22&lt;&gt;"")*(G$3:G$22=G30)*(I$3:I$22="P"))+SUMPRODUCT((P$3:P$22="")*(O$3:O$22="")*(N$3:N$22="")*(M$3:M$22="P")*(G$3:G$22=G30)*(J$3:J$22&gt;J30)*(I$3:I$22="P"))+IF(H30="L5",SUMPRODUCT((P$3:P$22="")*(O$3:O$22="")*(N$3:N$22="")*(M$3:M$22="P")*(G$3:G$22=G30)*(J$3:J$22&lt;J30)*(H$3:H$22&lt;&gt;H30)*(I$3:I$22="P")),-1*SUMPRODUCT((P$3:P$22="")*(O$3:O$22="")*(N$3:N$22="")*(M$3:M$22="P")*(G$3:G$22=G30)*(J$3:J$22&gt;J30)*(H$3:H$22="L5")*(I$3:I$22="P")))+1,"")))))</f>
        <v/>
      </c>
      <c r="B30" s="1" t="str" cm="1">
        <f t="array" ref="B30">IF(P30&lt;&gt;"",SUMPRODUCT((P$3:P$54&lt;&gt;"")*(G$3:G$54=G30)*(J$3:J$54&gt;J30))+1,IF(O30&lt;&gt;"",SUMPRODUCT((O$3:O$54&lt;&gt;"")*(P$3:P$54="")*(G$3:G$54=G30)*(J$3:J$54&gt;J30))+SUMPRODUCT((P$3:P$54&lt;&gt;"")*(G$3:G$54=G30))+1,IF(N30&lt;&gt;"",SUMPRODUCT((N$3:N$54&lt;&gt;"")*(G$3:G$54=G30)*(J$3:J$54&gt;J30))+1,IF(M30="P",SUMPRODUCT((O$3:O$54&lt;&gt;"")*(P$3:P$54="")*(G$3:G$54=G30))+SUMPRODUCT((P$3:P$54&lt;&gt;"")*(G$3:G$54=G30))+SUMPRODUCT((N$3:N$54&lt;&gt;"")*(G$3:G$54=G30))+SUMPRODUCT((P$3:P$54="")*(O$3:O$54="")*(N$3:N$54="")*(M$3:M$54="P")*(G$3:G$54=G30)*(J$3:J$54&gt;J30))+IF(H30="L5",SUMPRODUCT((P$3:P$54="")*(O$3:O$54="")*(N$3:N$54="")*(M$3:M$54="P")*(G$3:G$54=G30)*(J$3:J$54&lt;J30)*(H$3:H$54&lt;&gt;H30)),-1*SUMPRODUCT((P$3:P$54="")*(O$3:O$54="")*(N$3:N$54="")*(M$3:M$54="P")*(G$3:G$54=G30)*(J$3:J$54&gt;J30)*(H$3:H$54="L5")))+1,""))))</f>
        <v/>
      </c>
      <c r="C30" s="35" t="s">
        <v>308</v>
      </c>
      <c r="D30" s="35" t="str">
        <f>IF(E30="","",VLOOKUP(E30,'Coaching Points'!A:B,2,0))</f>
        <v>AB</v>
      </c>
      <c r="E30" s="35" t="s">
        <v>251</v>
      </c>
      <c r="F30" s="34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64</v>
      </c>
      <c r="I30" s="40"/>
      <c r="J30" s="4">
        <f t="shared" si="0"/>
        <v>36</v>
      </c>
      <c r="K30" s="3" t="str">
        <f>IF(G30="Not Age Eligible","",IF(MAX(T30,W30,Z30,AC30)&gt;=LOOKUP(G30,'Qualifying Scores'!$A$4:$A$7,'Qualifying Scores'!$I$4:$I$7),"P",""))</f>
        <v/>
      </c>
      <c r="L30" s="3" t="str">
        <f>IF(G30="Not Age Eligible","",IF(MAX(U30,X30,AA30,AD30)&gt;=LOOKUP(G30,'Qualifying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Scores'!$I$10:$I$13)),AND(Z30&gt;=LOOKUP(G30,'Qualifying Scores'!$A$4:$A$7,'Qualifying Scores'!$I$4:$I$7),AA30&gt;=LOOKUP(G30,'Qualifying Scores'!$A$10:$A$13,'Qualifying Scores'!$I$10:$I$13)),AND(W30&gt;=LOOKUP(G30,'Qualifying Scores'!$A$4:$A$7,'Qualifying Scores'!$I$4:$I$7),X30&gt;=LOOKUP(G30,'Qualifying Scores'!$A$10:$A$13,'Qualifying Scores'!$I$10:$I$13)),AND(AC30&gt;=LOOKUP(G30,'Qualifying Scores'!$A$4:$A$7,'Qualifying Scores'!$I$4:$I$7),AD30&gt;=LOOKUP(G30,'Qualifying Scores'!$A$10:$A$13,'Qualifying Scores'!$I$10:$I$13))),"P",""))</f>
        <v/>
      </c>
      <c r="Q30" s="1" t="str">
        <f t="shared" si="1"/>
        <v/>
      </c>
      <c r="R30" s="4">
        <f t="shared" si="2"/>
        <v>36</v>
      </c>
      <c r="S30" s="4">
        <f t="shared" si="3"/>
        <v>0</v>
      </c>
      <c r="T30" s="32">
        <v>36</v>
      </c>
      <c r="U30" s="37">
        <v>5.0999999999999996</v>
      </c>
      <c r="V30" s="37">
        <v>0</v>
      </c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$22&lt;&gt;"")*(G$3:G$22=G31)*(J$3:J$22&gt;J31)*(I$3:I$22="P"))+1,IF(O31&lt;&gt;"",SUMPRODUCT((O$3:O$22&lt;&gt;"")*(P$3:P$22="")*(G$3:G$22=G31)*(J$3:J$22&gt;J31)*(I$3:I$22="P"))+SUMPRODUCT((P$3:P$22&lt;&gt;"")*(G$3:G$22=G31)*(I$3:I$22="P"))+1,IF(N31&lt;&gt;"",SUMPRODUCT((N$3:N$22&lt;&gt;"")*(G$3:G$22=G31)*(J$3:J$22&gt;J31)*(I$3:I$22="P"))+1,IF(M31="P",SUMPRODUCT((O$3:O$22&lt;&gt;"")*(P$3:P$22="")*(G$3:G$22=G31)*(I$3:I$22="P"))+SUMPRODUCT((P$3:P$22&lt;&gt;"")*(G$3:G$22=G31)*(I$3:I$22="P"))+SUMPRODUCT((N$3:N$22&lt;&gt;"")*(G$3:G$22=G31)*(I$3:I$22="P"))+SUMPRODUCT((P$3:P$22="")*(O$3:O$22="")*(N$3:N$22="")*(M$3:M$22="P")*(G$3:G$22=G31)*(J$3:J$22&gt;J31)*(I$3:I$22="P"))+IF(H31="L5",SUMPRODUCT((P$3:P$22="")*(O$3:O$22="")*(N$3:N$22="")*(M$3:M$22="P")*(G$3:G$22=G31)*(J$3:J$22&lt;J31)*(H$3:H$22&lt;&gt;H31)*(I$3:I$22="P")),-1*SUMPRODUCT((P$3:P$22="")*(O$3:O$22="")*(N$3:N$22="")*(M$3:M$22="P")*(G$3:G$22=G31)*(J$3:J$22&gt;J31)*(H$3:H$22="L5")*(I$3:I$22="P")))+1,"")))))</f>
        <v/>
      </c>
      <c r="B31" s="1" t="str" cm="1">
        <f t="array" ref="B31">IF(P31&lt;&gt;"",SUMPRODUCT((P$3:P$54&lt;&gt;"")*(G$3:G$54=G31)*(J$3:J$54&gt;J31))+1,IF(O31&lt;&gt;"",SUMPRODUCT((O$3:O$54&lt;&gt;"")*(P$3:P$54="")*(G$3:G$54=G31)*(J$3:J$54&gt;J31))+SUMPRODUCT((P$3:P$54&lt;&gt;"")*(G$3:G$54=G31))+1,IF(N31&lt;&gt;"",SUMPRODUCT((N$3:N$54&lt;&gt;"")*(G$3:G$54=G31)*(J$3:J$54&gt;J31))+1,IF(M31="P",SUMPRODUCT((O$3:O$54&lt;&gt;"")*(P$3:P$54="")*(G$3:G$54=G31))+SUMPRODUCT((P$3:P$54&lt;&gt;"")*(G$3:G$54=G31))+SUMPRODUCT((N$3:N$54&lt;&gt;"")*(G$3:G$54=G31))+SUMPRODUCT((P$3:P$54="")*(O$3:O$54="")*(N$3:N$54="")*(M$3:M$54="P")*(G$3:G$54=G31)*(J$3:J$54&gt;J31))+IF(H31="L5",SUMPRODUCT((P$3:P$54="")*(O$3:O$54="")*(N$3:N$54="")*(M$3:M$54="P")*(G$3:G$54=G31)*(J$3:J$54&lt;J31)*(H$3:H$54&lt;&gt;H31)),-1*SUMPRODUCT((P$3:P$54="")*(O$3:O$54="")*(N$3:N$54="")*(M$3:M$54="P")*(G$3:G$54=G31)*(J$3:J$54&gt;J31)*(H$3:H$54="L5")))+1,""))))</f>
        <v/>
      </c>
      <c r="C31" s="35" t="s">
        <v>128</v>
      </c>
      <c r="D31" s="35" t="str">
        <f>IF(E31="","",VLOOKUP(E31,'Coaching Points'!A:B,2,0))</f>
        <v>AB</v>
      </c>
      <c r="E31" s="35" t="s">
        <v>28</v>
      </c>
      <c r="F31" s="34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64</v>
      </c>
      <c r="I31" s="40"/>
      <c r="J31" s="4">
        <f t="shared" si="0"/>
        <v>35.700000000000003</v>
      </c>
      <c r="K31" s="3" t="str">
        <f>IF(G31="Not Age Eligible","",IF(MAX(T31,W31,Z31,AC31)&gt;=LOOKUP(G31,'Qualifying Scores'!$A$4:$A$7,'Qualifying Scores'!$I$4:$I$7),"P",""))</f>
        <v/>
      </c>
      <c r="L31" s="3" t="str">
        <f>IF(G31="Not Age Eligible","",IF(MAX(U31,X31,AA31,AD31)&gt;=LOOKUP(G31,'Qualifying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Scores'!$I$10:$I$13)),AND(Z31&gt;=LOOKUP(G31,'Qualifying Scores'!$A$4:$A$7,'Qualifying Scores'!$I$4:$I$7),AA31&gt;=LOOKUP(G31,'Qualifying Scores'!$A$10:$A$13,'Qualifying Scores'!$I$10:$I$13)),AND(W31&gt;=LOOKUP(G31,'Qualifying Scores'!$A$4:$A$7,'Qualifying Scores'!$I$4:$I$7),X31&gt;=LOOKUP(G31,'Qualifying Scores'!$A$10:$A$13,'Qualifying Scores'!$I$10:$I$13)),AND(AC31&gt;=LOOKUP(G31,'Qualifying Scores'!$A$4:$A$7,'Qualifying Scores'!$I$4:$I$7),AD31&gt;=LOOKUP(G31,'Qualifying Scores'!$A$10:$A$13,'Qualifying Scores'!$I$10:$I$13))),"P",""))</f>
        <v/>
      </c>
      <c r="Q31" s="1" t="str">
        <f t="shared" si="1"/>
        <v/>
      </c>
      <c r="R31" s="4">
        <f t="shared" si="2"/>
        <v>35.700000000000003</v>
      </c>
      <c r="S31" s="4">
        <f t="shared" si="3"/>
        <v>0</v>
      </c>
      <c r="T31" s="32">
        <v>35.700000000000003</v>
      </c>
      <c r="U31" s="37">
        <v>6.5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$22&lt;&gt;"")*(G$3:G$22=G32)*(J$3:J$22&gt;J32)*(I$3:I$22="P"))+1,IF(O32&lt;&gt;"",SUMPRODUCT((O$3:O$22&lt;&gt;"")*(P$3:P$22="")*(G$3:G$22=G32)*(J$3:J$22&gt;J32)*(I$3:I$22="P"))+SUMPRODUCT((P$3:P$22&lt;&gt;"")*(G$3:G$22=G32)*(I$3:I$22="P"))+1,IF(N32&lt;&gt;"",SUMPRODUCT((N$3:N$22&lt;&gt;"")*(G$3:G$22=G32)*(J$3:J$22&gt;J32)*(I$3:I$22="P"))+1,IF(M32="P",SUMPRODUCT((O$3:O$22&lt;&gt;"")*(P$3:P$22="")*(G$3:G$22=G32)*(I$3:I$22="P"))+SUMPRODUCT((P$3:P$22&lt;&gt;"")*(G$3:G$22=G32)*(I$3:I$22="P"))+SUMPRODUCT((N$3:N$22&lt;&gt;"")*(G$3:G$22=G32)*(I$3:I$22="P"))+SUMPRODUCT((P$3:P$22="")*(O$3:O$22="")*(N$3:N$22="")*(M$3:M$22="P")*(G$3:G$22=G32)*(J$3:J$22&gt;J32)*(I$3:I$22="P"))+IF(H32="L5",SUMPRODUCT((P$3:P$22="")*(O$3:O$22="")*(N$3:N$22="")*(M$3:M$22="P")*(G$3:G$22=G32)*(J$3:J$22&lt;J32)*(H$3:H$22&lt;&gt;H32)*(I$3:I$22="P")),-1*SUMPRODUCT((P$3:P$22="")*(O$3:O$22="")*(N$3:N$22="")*(M$3:M$22="P")*(G$3:G$22=G32)*(J$3:J$22&gt;J32)*(H$3:H$22="L5")*(I$3:I$22="P")))+1,"")))))</f>
        <v/>
      </c>
      <c r="B32" s="1" t="str" cm="1">
        <f t="array" ref="B32">IF(P32&lt;&gt;"",SUMPRODUCT((P$3:P$54&lt;&gt;"")*(G$3:G$54=G32)*(J$3:J$54&gt;J32))+1,IF(O32&lt;&gt;"",SUMPRODUCT((O$3:O$54&lt;&gt;"")*(P$3:P$54="")*(G$3:G$54=G32)*(J$3:J$54&gt;J32))+SUMPRODUCT((P$3:P$54&lt;&gt;"")*(G$3:G$54=G32))+1,IF(N32&lt;&gt;"",SUMPRODUCT((N$3:N$54&lt;&gt;"")*(G$3:G$54=G32)*(J$3:J$54&gt;J32))+1,IF(M32="P",SUMPRODUCT((O$3:O$54&lt;&gt;"")*(P$3:P$54="")*(G$3:G$54=G32))+SUMPRODUCT((P$3:P$54&lt;&gt;"")*(G$3:G$54=G32))+SUMPRODUCT((N$3:N$54&lt;&gt;"")*(G$3:G$54=G32))+SUMPRODUCT((P$3:P$54="")*(O$3:O$54="")*(N$3:N$54="")*(M$3:M$54="P")*(G$3:G$54=G32)*(J$3:J$54&gt;J32))+IF(H32="L5",SUMPRODUCT((P$3:P$54="")*(O$3:O$54="")*(N$3:N$54="")*(M$3:M$54="P")*(G$3:G$54=G32)*(J$3:J$54&lt;J32)*(H$3:H$54&lt;&gt;H32)),-1*SUMPRODUCT((P$3:P$54="")*(O$3:O$54="")*(N$3:N$54="")*(M$3:M$54="P")*(G$3:G$54=G32)*(J$3:J$54&gt;J32)*(H$3:H$54="L5")))+1,""))))</f>
        <v/>
      </c>
      <c r="C32" s="35" t="s">
        <v>104</v>
      </c>
      <c r="D32" s="35" t="str">
        <f>IF(E32="","",VLOOKUP(E32,'Coaching Points'!A:B,2,0))</f>
        <v>AB</v>
      </c>
      <c r="E32" s="35" t="s">
        <v>28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66</v>
      </c>
      <c r="I32" s="40"/>
      <c r="J32" s="4">
        <f t="shared" si="0"/>
        <v>35.200100000000006</v>
      </c>
      <c r="K32" s="3" t="str">
        <f>IF(G32="Not Age Eligible","",IF(MAX(T32,W32,Z32,AC32)&gt;=LOOKUP(G32,'Qualifying Scores'!$A$4:$A$7,'Qualifying Scores'!$I$4:$I$7),"P",""))</f>
        <v/>
      </c>
      <c r="L32" s="3" t="str">
        <f>IF(G32="Not Age Eligible","",IF(MAX(U32,X32,AA32,AD32)&gt;=LOOKUP(G32,'Qualifying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Scores'!$I$10:$I$13)),AND(Z32&gt;=LOOKUP(G32,'Qualifying Scores'!$A$4:$A$7,'Qualifying Scores'!$I$4:$I$7),AA32&gt;=LOOKUP(G32,'Qualifying Scores'!$A$10:$A$13,'Qualifying Scores'!$I$10:$I$13)),AND(W32&gt;=LOOKUP(G32,'Qualifying Scores'!$A$4:$A$7,'Qualifying Scores'!$I$4:$I$7),X32&gt;=LOOKUP(G32,'Qualifying Scores'!$A$10:$A$13,'Qualifying Scores'!$I$10:$I$13)),AND(AC32&gt;=LOOKUP(G32,'Qualifying Scores'!$A$4:$A$7,'Qualifying Scores'!$I$4:$I$7),AD32&gt;=LOOKUP(G32,'Qualifying Scores'!$A$10:$A$13,'Qualifying Scores'!$I$10:$I$13))),"P",""))</f>
        <v/>
      </c>
      <c r="Q32" s="1" t="str">
        <f t="shared" si="1"/>
        <v/>
      </c>
      <c r="R32" s="4">
        <f t="shared" si="2"/>
        <v>35.200000000000003</v>
      </c>
      <c r="S32" s="4">
        <f t="shared" si="3"/>
        <v>33.400000000000006</v>
      </c>
      <c r="T32" s="32">
        <v>33.700000000000003</v>
      </c>
      <c r="U32" s="37">
        <v>3.5999999999999996</v>
      </c>
      <c r="V32" s="37">
        <v>0.3</v>
      </c>
      <c r="W32" s="33">
        <v>35.5</v>
      </c>
      <c r="X32" s="37">
        <v>4</v>
      </c>
      <c r="Y32" s="37">
        <v>0.3</v>
      </c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$22&lt;&gt;"")*(G$3:G$22=G33)*(J$3:J$22&gt;J33)*(I$3:I$22="P"))+1,IF(O33&lt;&gt;"",SUMPRODUCT((O$3:O$22&lt;&gt;"")*(P$3:P$22="")*(G$3:G$22=G33)*(J$3:J$22&gt;J33)*(I$3:I$22="P"))+SUMPRODUCT((P$3:P$22&lt;&gt;"")*(G$3:G$22=G33)*(I$3:I$22="P"))+1,IF(N33&lt;&gt;"",SUMPRODUCT((N$3:N$22&lt;&gt;"")*(G$3:G$22=G33)*(J$3:J$22&gt;J33)*(I$3:I$22="P"))+1,IF(M33="P",SUMPRODUCT((O$3:O$22&lt;&gt;"")*(P$3:P$22="")*(G$3:G$22=G33)*(I$3:I$22="P"))+SUMPRODUCT((P$3:P$22&lt;&gt;"")*(G$3:G$22=G33)*(I$3:I$22="P"))+SUMPRODUCT((N$3:N$22&lt;&gt;"")*(G$3:G$22=G33)*(I$3:I$22="P"))+SUMPRODUCT((P$3:P$22="")*(O$3:O$22="")*(N$3:N$22="")*(M$3:M$22="P")*(G$3:G$22=G33)*(J$3:J$22&gt;J33)*(I$3:I$22="P"))+IF(H33="L5",SUMPRODUCT((P$3:P$22="")*(O$3:O$22="")*(N$3:N$22="")*(M$3:M$22="P")*(G$3:G$22=G33)*(J$3:J$22&lt;J33)*(H$3:H$22&lt;&gt;H33)*(I$3:I$22="P")),-1*SUMPRODUCT((P$3:P$22="")*(O$3:O$22="")*(N$3:N$22="")*(M$3:M$22="P")*(G$3:G$22=G33)*(J$3:J$22&gt;J33)*(H$3:H$22="L5")*(I$3:I$22="P")))+1,"")))))</f>
        <v/>
      </c>
      <c r="B33" s="1" t="str" cm="1">
        <f t="array" ref="B33">IF(P33&lt;&gt;"",SUMPRODUCT((P$3:P$54&lt;&gt;"")*(G$3:G$54=G33)*(J$3:J$54&gt;J33))+1,IF(O33&lt;&gt;"",SUMPRODUCT((O$3:O$54&lt;&gt;"")*(P$3:P$54="")*(G$3:G$54=G33)*(J$3:J$54&gt;J33))+SUMPRODUCT((P$3:P$54&lt;&gt;"")*(G$3:G$54=G33))+1,IF(N33&lt;&gt;"",SUMPRODUCT((N$3:N$54&lt;&gt;"")*(G$3:G$54=G33)*(J$3:J$54&gt;J33))+1,IF(M33="P",SUMPRODUCT((O$3:O$54&lt;&gt;"")*(P$3:P$54="")*(G$3:G$54=G33))+SUMPRODUCT((P$3:P$54&lt;&gt;"")*(G$3:G$54=G33))+SUMPRODUCT((N$3:N$54&lt;&gt;"")*(G$3:G$54=G33))+SUMPRODUCT((P$3:P$54="")*(O$3:O$54="")*(N$3:N$54="")*(M$3:M$54="P")*(G$3:G$54=G33)*(J$3:J$54&gt;J33))+IF(H33="L5",SUMPRODUCT((P$3:P$54="")*(O$3:O$54="")*(N$3:N$54="")*(M$3:M$54="P")*(G$3:G$54=G33)*(J$3:J$54&lt;J33)*(H$3:H$54&lt;&gt;H33)),-1*SUMPRODUCT((P$3:P$54="")*(O$3:O$54="")*(N$3:N$54="")*(M$3:M$54="P")*(G$3:G$54=G33)*(J$3:J$54&gt;J33)*(H$3:H$54="L5")))+1,""))))</f>
        <v/>
      </c>
      <c r="C33" s="35" t="s">
        <v>382</v>
      </c>
      <c r="D33" s="35" t="str">
        <f>IF(E33="","",VLOOKUP(E33,'Coaching Points'!A:B,2,0))</f>
        <v>ON</v>
      </c>
      <c r="E33" s="35" t="s">
        <v>133</v>
      </c>
      <c r="F33" s="34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64</v>
      </c>
      <c r="I33" s="40"/>
      <c r="J33" s="4">
        <f t="shared" si="0"/>
        <v>34.6</v>
      </c>
      <c r="K33" s="3" t="str">
        <f>IF(G33="Not Age Eligible","",IF(MAX(T33,W33,Z33,AC33)&gt;=LOOKUP(G33,'Qualifying Scores'!$A$4:$A$7,'Qualifying Scores'!$I$4:$I$7),"P",""))</f>
        <v/>
      </c>
      <c r="L33" s="3" t="str">
        <f>IF(G33="Not Age Eligible","",IF(MAX(U33,X33,AA33,AD33)&gt;=LOOKUP(G33,'Qualifying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Scores'!$I$10:$I$13)),AND(Z33&gt;=LOOKUP(G33,'Qualifying Scores'!$A$4:$A$7,'Qualifying Scores'!$I$4:$I$7),AA33&gt;=LOOKUP(G33,'Qualifying Scores'!$A$10:$A$13,'Qualifying Scores'!$I$10:$I$13)),AND(W33&gt;=LOOKUP(G33,'Qualifying Scores'!$A$4:$A$7,'Qualifying Scores'!$I$4:$I$7),X33&gt;=LOOKUP(G33,'Qualifying Scores'!$A$10:$A$13,'Qualifying Scores'!$I$10:$I$13)),AND(AC33&gt;=LOOKUP(G33,'Qualifying Scores'!$A$4:$A$7,'Qualifying Scores'!$I$4:$I$7),AD33&gt;=LOOKUP(G33,'Qualifying Scores'!$A$10:$A$13,'Qualifying Scores'!$I$10:$I$13))),"P",""))</f>
        <v/>
      </c>
      <c r="Q33" s="1" t="str">
        <f t="shared" si="1"/>
        <v/>
      </c>
      <c r="R33" s="4">
        <f t="shared" si="2"/>
        <v>34.6</v>
      </c>
      <c r="S33" s="4">
        <f t="shared" si="3"/>
        <v>0</v>
      </c>
      <c r="T33" s="32">
        <v>34.6</v>
      </c>
      <c r="U33" s="37">
        <v>4</v>
      </c>
      <c r="V33" s="37">
        <v>0</v>
      </c>
      <c r="W33" s="33"/>
      <c r="X33" s="37"/>
      <c r="Y33" s="37"/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$22&lt;&gt;"")*(G$3:G$22=G34)*(J$3:J$22&gt;J34)*(I$3:I$22="P"))+1,IF(O34&lt;&gt;"",SUMPRODUCT((O$3:O$22&lt;&gt;"")*(P$3:P$22="")*(G$3:G$22=G34)*(J$3:J$22&gt;J34)*(I$3:I$22="P"))+SUMPRODUCT((P$3:P$22&lt;&gt;"")*(G$3:G$22=G34)*(I$3:I$22="P"))+1,IF(N34&lt;&gt;"",SUMPRODUCT((N$3:N$22&lt;&gt;"")*(G$3:G$22=G34)*(J$3:J$22&gt;J34)*(I$3:I$22="P"))+1,IF(M34="P",SUMPRODUCT((O$3:O$22&lt;&gt;"")*(P$3:P$22="")*(G$3:G$22=G34)*(I$3:I$22="P"))+SUMPRODUCT((P$3:P$22&lt;&gt;"")*(G$3:G$22=G34)*(I$3:I$22="P"))+SUMPRODUCT((N$3:N$22&lt;&gt;"")*(G$3:G$22=G34)*(I$3:I$22="P"))+SUMPRODUCT((P$3:P$22="")*(O$3:O$22="")*(N$3:N$22="")*(M$3:M$22="P")*(G$3:G$22=G34)*(J$3:J$22&gt;J34)*(I$3:I$22="P"))+IF(H34="L5",SUMPRODUCT((P$3:P$22="")*(O$3:O$22="")*(N$3:N$22="")*(M$3:M$22="P")*(G$3:G$22=G34)*(J$3:J$22&lt;J34)*(H$3:H$22&lt;&gt;H34)*(I$3:I$22="P")),-1*SUMPRODUCT((P$3:P$22="")*(O$3:O$22="")*(N$3:N$22="")*(M$3:M$22="P")*(G$3:G$22=G34)*(J$3:J$22&gt;J34)*(H$3:H$22="L5")*(I$3:I$22="P")))+1,"")))))</f>
        <v/>
      </c>
      <c r="B34" s="1" t="str" cm="1">
        <f t="array" ref="B34">IF(P34&lt;&gt;"",SUMPRODUCT((P$3:P$54&lt;&gt;"")*(G$3:G$54=G34)*(J$3:J$54&gt;J34))+1,IF(O34&lt;&gt;"",SUMPRODUCT((O$3:O$54&lt;&gt;"")*(P$3:P$54="")*(G$3:G$54=G34)*(J$3:J$54&gt;J34))+SUMPRODUCT((P$3:P$54&lt;&gt;"")*(G$3:G$54=G34))+1,IF(N34&lt;&gt;"",SUMPRODUCT((N$3:N$54&lt;&gt;"")*(G$3:G$54=G34)*(J$3:J$54&gt;J34))+1,IF(M34="P",SUMPRODUCT((O$3:O$54&lt;&gt;"")*(P$3:P$54="")*(G$3:G$54=G34))+SUMPRODUCT((P$3:P$54&lt;&gt;"")*(G$3:G$54=G34))+SUMPRODUCT((N$3:N$54&lt;&gt;"")*(G$3:G$54=G34))+SUMPRODUCT((P$3:P$54="")*(O$3:O$54="")*(N$3:N$54="")*(M$3:M$54="P")*(G$3:G$54=G34)*(J$3:J$54&gt;J34))+IF(H34="L5",SUMPRODUCT((P$3:P$54="")*(O$3:O$54="")*(N$3:N$54="")*(M$3:M$54="P")*(G$3:G$54=G34)*(J$3:J$54&lt;J34)*(H$3:H$54&lt;&gt;H34)),-1*SUMPRODUCT((P$3:P$54="")*(O$3:O$54="")*(N$3:N$54="")*(M$3:M$54="P")*(G$3:G$54=G34)*(J$3:J$54&gt;J34)*(H$3:H$54="L5")))+1,""))))</f>
        <v/>
      </c>
      <c r="C34" s="35" t="s">
        <v>228</v>
      </c>
      <c r="D34" s="35" t="str">
        <f>IF(E34="","",VLOOKUP(E34,'Coaching Points'!A:B,2,0))</f>
        <v>BC</v>
      </c>
      <c r="E34" s="35" t="s">
        <v>60</v>
      </c>
      <c r="F34" s="34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64</v>
      </c>
      <c r="I34" s="40"/>
      <c r="J34" s="4">
        <f t="shared" si="0"/>
        <v>34.5</v>
      </c>
      <c r="K34" s="3" t="str">
        <f>IF(G34="Not Age Eligible","",IF(MAX(T34,W34,Z34,AC34)&gt;=LOOKUP(G34,'Qualifying Scores'!$A$4:$A$7,'Qualifying Scores'!$I$4:$I$7),"P",""))</f>
        <v/>
      </c>
      <c r="L34" s="3" t="str">
        <f>IF(G34="Not Age Eligible","",IF(MAX(U34,X34,AA34,AD34)&gt;=LOOKUP(G34,'Qualifying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Scores'!$I$10:$I$13)),AND(Z34&gt;=LOOKUP(G34,'Qualifying Scores'!$A$4:$A$7,'Qualifying Scores'!$I$4:$I$7),AA34&gt;=LOOKUP(G34,'Qualifying Scores'!$A$10:$A$13,'Qualifying Scores'!$I$10:$I$13)),AND(W34&gt;=LOOKUP(G34,'Qualifying Scores'!$A$4:$A$7,'Qualifying Scores'!$I$4:$I$7),X34&gt;=LOOKUP(G34,'Qualifying Scores'!$A$10:$A$13,'Qualifying Scores'!$I$10:$I$13)),AND(AC34&gt;=LOOKUP(G34,'Qualifying Scores'!$A$4:$A$7,'Qualifying Scores'!$I$4:$I$7),AD34&gt;=LOOKUP(G34,'Qualifying Scores'!$A$10:$A$13,'Qualifying Scores'!$I$10:$I$13))),"P",""))</f>
        <v/>
      </c>
      <c r="Q34" s="1" t="str">
        <f t="shared" si="1"/>
        <v/>
      </c>
      <c r="R34" s="4">
        <f t="shared" si="2"/>
        <v>34.5</v>
      </c>
      <c r="S34" s="4">
        <f t="shared" si="3"/>
        <v>0</v>
      </c>
      <c r="T34" s="32">
        <v>34.5</v>
      </c>
      <c r="U34" s="37">
        <v>4.0999999999999996</v>
      </c>
      <c r="V34" s="37">
        <v>0</v>
      </c>
      <c r="W34" s="33"/>
      <c r="X34" s="37"/>
      <c r="Y34" s="37"/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$22&lt;&gt;"")*(G$3:G$22=G35)*(J$3:J$22&gt;J35)*(I$3:I$22="P"))+1,IF(O35&lt;&gt;"",SUMPRODUCT((O$3:O$22&lt;&gt;"")*(P$3:P$22="")*(G$3:G$22=G35)*(J$3:J$22&gt;J35)*(I$3:I$22="P"))+SUMPRODUCT((P$3:P$22&lt;&gt;"")*(G$3:G$22=G35)*(I$3:I$22="P"))+1,IF(N35&lt;&gt;"",SUMPRODUCT((N$3:N$22&lt;&gt;"")*(G$3:G$22=G35)*(J$3:J$22&gt;J35)*(I$3:I$22="P"))+1,IF(M35="P",SUMPRODUCT((O$3:O$22&lt;&gt;"")*(P$3:P$22="")*(G$3:G$22=G35)*(I$3:I$22="P"))+SUMPRODUCT((P$3:P$22&lt;&gt;"")*(G$3:G$22=G35)*(I$3:I$22="P"))+SUMPRODUCT((N$3:N$22&lt;&gt;"")*(G$3:G$22=G35)*(I$3:I$22="P"))+SUMPRODUCT((P$3:P$22="")*(O$3:O$22="")*(N$3:N$22="")*(M$3:M$22="P")*(G$3:G$22=G35)*(J$3:J$22&gt;J35)*(I$3:I$22="P"))+IF(H35="L5",SUMPRODUCT((P$3:P$22="")*(O$3:O$22="")*(N$3:N$22="")*(M$3:M$22="P")*(G$3:G$22=G35)*(J$3:J$22&lt;J35)*(H$3:H$22&lt;&gt;H35)*(I$3:I$22="P")),-1*SUMPRODUCT((P$3:P$22="")*(O$3:O$22="")*(N$3:N$22="")*(M$3:M$22="P")*(G$3:G$22=G35)*(J$3:J$22&gt;J35)*(H$3:H$22="L5")*(I$3:I$22="P")))+1,"")))))</f>
        <v/>
      </c>
      <c r="B35" s="1" t="str" cm="1">
        <f t="array" ref="B35">IF(P35&lt;&gt;"",SUMPRODUCT((P$3:P$54&lt;&gt;"")*(G$3:G$54=G35)*(J$3:J$54&gt;J35))+1,IF(O35&lt;&gt;"",SUMPRODUCT((O$3:O$54&lt;&gt;"")*(P$3:P$54="")*(G$3:G$54=G35)*(J$3:J$54&gt;J35))+SUMPRODUCT((P$3:P$54&lt;&gt;"")*(G$3:G$54=G35))+1,IF(N35&lt;&gt;"",SUMPRODUCT((N$3:N$54&lt;&gt;"")*(G$3:G$54=G35)*(J$3:J$54&gt;J35))+1,IF(M35="P",SUMPRODUCT((O$3:O$54&lt;&gt;"")*(P$3:P$54="")*(G$3:G$54=G35))+SUMPRODUCT((P$3:P$54&lt;&gt;"")*(G$3:G$54=G35))+SUMPRODUCT((N$3:N$54&lt;&gt;"")*(G$3:G$54=G35))+SUMPRODUCT((P$3:P$54="")*(O$3:O$54="")*(N$3:N$54="")*(M$3:M$54="P")*(G$3:G$54=G35)*(J$3:J$54&gt;J35))+IF(H35="L5",SUMPRODUCT((P$3:P$54="")*(O$3:O$54="")*(N$3:N$54="")*(M$3:M$54="P")*(G$3:G$54=G35)*(J$3:J$54&lt;J35)*(H$3:H$54&lt;&gt;H35)),-1*SUMPRODUCT((P$3:P$54="")*(O$3:O$54="")*(N$3:N$54="")*(M$3:M$54="P")*(G$3:G$54=G35)*(J$3:J$54&gt;J35)*(H$3:H$54="L5")))+1,""))))</f>
        <v/>
      </c>
      <c r="C35" s="35" t="s">
        <v>114</v>
      </c>
      <c r="D35" s="35" t="str">
        <f>IF(E35="","",VLOOKUP(E35,'Coaching Points'!A:B,2,0))</f>
        <v>BC</v>
      </c>
      <c r="E35" s="35" t="s">
        <v>44</v>
      </c>
      <c r="F35" s="34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64</v>
      </c>
      <c r="I35" s="40"/>
      <c r="J35" s="4">
        <f t="shared" ref="J35:J53" si="4">R35+IF(OR(H35="Junior",H35="Senior"),0.0002,IF(OR(H35="L7",H35="L6"),0.0001,0))+MAX(Z35,AC35)*0.0000001</f>
        <v>34</v>
      </c>
      <c r="K35" s="3" t="str">
        <f>IF(G35="Not Age Eligible","",IF(MAX(T35,W35,Z35,AC35)&gt;=LOOKUP(G35,'Qualifying Scores'!$A$4:$A$7,'Qualifying Scores'!$I$4:$I$7),"P",""))</f>
        <v/>
      </c>
      <c r="L35" s="3" t="str">
        <f>IF(G35="Not Age Eligible","",IF(MAX(U35,X35,AA35,AD35)&gt;=LOOKUP(G35,'Qualifying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Scores'!$I$10:$I$13)),AND(Z35&gt;=LOOKUP(G35,'Qualifying Scores'!$A$4:$A$7,'Qualifying Scores'!$I$4:$I$7),AA35&gt;=LOOKUP(G35,'Qualifying Scores'!$A$10:$A$13,'Qualifying Scores'!$I$10:$I$13)),AND(W35&gt;=LOOKUP(G35,'Qualifying Scores'!$A$4:$A$7,'Qualifying Scores'!$I$4:$I$7),X35&gt;=LOOKUP(G35,'Qualifying Scores'!$A$10:$A$13,'Qualifying Scores'!$I$10:$I$13)),AND(AC35&gt;=LOOKUP(G35,'Qualifying Scores'!$A$4:$A$7,'Qualifying Scores'!$I$4:$I$7),AD35&gt;=LOOKUP(G35,'Qualifying Scores'!$A$10:$A$13,'Qualifying Scores'!$I$10:$I$13))),"P",""))</f>
        <v/>
      </c>
      <c r="Q35" s="1" t="str">
        <f t="shared" ref="Q35:Q53" si="5">IF(A35&lt;5,IF(_xlfn.MAXIFS(A:A,G:G,G35)&gt;3,5-A35,_xlfn.MAXIFS(A:A,G:G,G35)+1-A35),"")</f>
        <v/>
      </c>
      <c r="R35" s="4">
        <f t="shared" ref="R35:R53" si="6">MAX(T35-V35,W35-Y35,Z35-AB35,AC35-AE35)</f>
        <v>34</v>
      </c>
      <c r="S35" s="4">
        <f t="shared" ref="S35:S53" si="7">IF(R35=T35-V35,MAX(W35-Y35,Z35-AB35,AC35-AE35),IF(R35=W35-Y35,MAX(T35-V35,Z35-AB35,AC35-AE35),IF(R35=Z35-AB35,MAX(T35-V35,W35-Y35,AC35-AE35),IF(R35=AC35-AE35,MAX(T35-V35,W35-Y35,Z35-AB35),0))))</f>
        <v>0</v>
      </c>
      <c r="T35" s="32">
        <v>34</v>
      </c>
      <c r="U35" s="37">
        <v>2.4</v>
      </c>
      <c r="V35" s="37">
        <v>0</v>
      </c>
      <c r="W35" s="33"/>
      <c r="X35" s="37"/>
      <c r="Y35" s="37"/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$22&lt;&gt;"")*(G$3:G$22=G36)*(J$3:J$22&gt;J36)*(I$3:I$22="P"))+1,IF(O36&lt;&gt;"",SUMPRODUCT((O$3:O$22&lt;&gt;"")*(P$3:P$22="")*(G$3:G$22=G36)*(J$3:J$22&gt;J36)*(I$3:I$22="P"))+SUMPRODUCT((P$3:P$22&lt;&gt;"")*(G$3:G$22=G36)*(I$3:I$22="P"))+1,IF(N36&lt;&gt;"",SUMPRODUCT((N$3:N$22&lt;&gt;"")*(G$3:G$22=G36)*(J$3:J$22&gt;J36)*(I$3:I$22="P"))+1,IF(M36="P",SUMPRODUCT((O$3:O$22&lt;&gt;"")*(P$3:P$22="")*(G$3:G$22=G36)*(I$3:I$22="P"))+SUMPRODUCT((P$3:P$22&lt;&gt;"")*(G$3:G$22=G36)*(I$3:I$22="P"))+SUMPRODUCT((N$3:N$22&lt;&gt;"")*(G$3:G$22=G36)*(I$3:I$22="P"))+SUMPRODUCT((P$3:P$22="")*(O$3:O$22="")*(N$3:N$22="")*(M$3:M$22="P")*(G$3:G$22=G36)*(J$3:J$22&gt;J36)*(I$3:I$22="P"))+IF(H36="L5",SUMPRODUCT((P$3:P$22="")*(O$3:O$22="")*(N$3:N$22="")*(M$3:M$22="P")*(G$3:G$22=G36)*(J$3:J$22&lt;J36)*(H$3:H$22&lt;&gt;H36)*(I$3:I$22="P")),-1*SUMPRODUCT((P$3:P$22="")*(O$3:O$22="")*(N$3:N$22="")*(M$3:M$22="P")*(G$3:G$22=G36)*(J$3:J$22&gt;J36)*(H$3:H$22="L5")*(I$3:I$22="P")))+1,"")))))</f>
        <v/>
      </c>
      <c r="B36" s="1" t="str" cm="1">
        <f t="array" ref="B36">IF(P36&lt;&gt;"",SUMPRODUCT((P$3:P$54&lt;&gt;"")*(G$3:G$54=G36)*(J$3:J$54&gt;J36))+1,IF(O36&lt;&gt;"",SUMPRODUCT((O$3:O$54&lt;&gt;"")*(P$3:P$54="")*(G$3:G$54=G36)*(J$3:J$54&gt;J36))+SUMPRODUCT((P$3:P$54&lt;&gt;"")*(G$3:G$54=G36))+1,IF(N36&lt;&gt;"",SUMPRODUCT((N$3:N$54&lt;&gt;"")*(G$3:G$54=G36)*(J$3:J$54&gt;J36))+1,IF(M36="P",SUMPRODUCT((O$3:O$54&lt;&gt;"")*(P$3:P$54="")*(G$3:G$54=G36))+SUMPRODUCT((P$3:P$54&lt;&gt;"")*(G$3:G$54=G36))+SUMPRODUCT((N$3:N$54&lt;&gt;"")*(G$3:G$54=G36))+SUMPRODUCT((P$3:P$54="")*(O$3:O$54="")*(N$3:N$54="")*(M$3:M$54="P")*(G$3:G$54=G36)*(J$3:J$54&gt;J36))+IF(H36="L5",SUMPRODUCT((P$3:P$54="")*(O$3:O$54="")*(N$3:N$54="")*(M$3:M$54="P")*(G$3:G$54=G36)*(J$3:J$54&lt;J36)*(H$3:H$54&lt;&gt;H36)),-1*SUMPRODUCT((P$3:P$54="")*(O$3:O$54="")*(N$3:N$54="")*(M$3:M$54="P")*(G$3:G$54=G36)*(J$3:J$54&gt;J36)*(H$3:H$54="L5")))+1,""))))</f>
        <v/>
      </c>
      <c r="C36" s="35" t="s">
        <v>191</v>
      </c>
      <c r="D36" s="35" t="str">
        <f>IF(E36="","",VLOOKUP(E36,'Coaching Points'!A:B,2,0))</f>
        <v>BC</v>
      </c>
      <c r="E36" s="35" t="s">
        <v>70</v>
      </c>
      <c r="F36" s="34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64</v>
      </c>
      <c r="I36" s="40"/>
      <c r="J36" s="4">
        <f t="shared" si="4"/>
        <v>33</v>
      </c>
      <c r="K36" s="3" t="str">
        <f>IF(G36="Not Age Eligible","",IF(MAX(T36,W36,Z36,AC36)&gt;=LOOKUP(G36,'Qualifying Scores'!$A$4:$A$7,'Qualifying Scores'!$I$4:$I$7),"P",""))</f>
        <v/>
      </c>
      <c r="L36" s="3" t="str">
        <f>IF(G36="Not Age Eligible","",IF(MAX(U36,X36,AA36,AD36)&gt;=LOOKUP(G36,'Qualifying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Scores'!$I$10:$I$13)),AND(Z36&gt;=LOOKUP(G36,'Qualifying Scores'!$A$4:$A$7,'Qualifying Scores'!$I$4:$I$7),AA36&gt;=LOOKUP(G36,'Qualifying Scores'!$A$10:$A$13,'Qualifying Scores'!$I$10:$I$13)),AND(W36&gt;=LOOKUP(G36,'Qualifying Scores'!$A$4:$A$7,'Qualifying Scores'!$I$4:$I$7),X36&gt;=LOOKUP(G36,'Qualifying Scores'!$A$10:$A$13,'Qualifying Scores'!$I$10:$I$13)),AND(AC36&gt;=LOOKUP(G36,'Qualifying Scores'!$A$4:$A$7,'Qualifying Scores'!$I$4:$I$7),AD36&gt;=LOOKUP(G36,'Qualifying Scores'!$A$10:$A$13,'Qualifying Scores'!$I$10:$I$13))),"P",""))</f>
        <v/>
      </c>
      <c r="Q36" s="1" t="str">
        <f t="shared" si="5"/>
        <v/>
      </c>
      <c r="R36" s="4">
        <f t="shared" si="6"/>
        <v>33</v>
      </c>
      <c r="S36" s="4">
        <f t="shared" si="7"/>
        <v>0</v>
      </c>
      <c r="T36" s="32">
        <v>33</v>
      </c>
      <c r="U36" s="37">
        <v>4</v>
      </c>
      <c r="V36" s="37">
        <v>0</v>
      </c>
      <c r="W36" s="33"/>
      <c r="X36" s="37"/>
      <c r="Y36" s="37"/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$22&lt;&gt;"")*(G$3:G$22=G37)*(J$3:J$22&gt;J37)*(I$3:I$22="P"))+1,IF(O37&lt;&gt;"",SUMPRODUCT((O$3:O$22&lt;&gt;"")*(P$3:P$22="")*(G$3:G$22=G37)*(J$3:J$22&gt;J37)*(I$3:I$22="P"))+SUMPRODUCT((P$3:P$22&lt;&gt;"")*(G$3:G$22=G37)*(I$3:I$22="P"))+1,IF(N37&lt;&gt;"",SUMPRODUCT((N$3:N$22&lt;&gt;"")*(G$3:G$22=G37)*(J$3:J$22&gt;J37)*(I$3:I$22="P"))+1,IF(M37="P",SUMPRODUCT((O$3:O$22&lt;&gt;"")*(P$3:P$22="")*(G$3:G$22=G37)*(I$3:I$22="P"))+SUMPRODUCT((P$3:P$22&lt;&gt;"")*(G$3:G$22=G37)*(I$3:I$22="P"))+SUMPRODUCT((N$3:N$22&lt;&gt;"")*(G$3:G$22=G37)*(I$3:I$22="P"))+SUMPRODUCT((P$3:P$22="")*(O$3:O$22="")*(N$3:N$22="")*(M$3:M$22="P")*(G$3:G$22=G37)*(J$3:J$22&gt;J37)*(I$3:I$22="P"))+IF(H37="L5",SUMPRODUCT((P$3:P$22="")*(O$3:O$22="")*(N$3:N$22="")*(M$3:M$22="P")*(G$3:G$22=G37)*(J$3:J$22&lt;J37)*(H$3:H$22&lt;&gt;H37)*(I$3:I$22="P")),-1*SUMPRODUCT((P$3:P$22="")*(O$3:O$22="")*(N$3:N$22="")*(M$3:M$22="P")*(G$3:G$22=G37)*(J$3:J$22&gt;J37)*(H$3:H$22="L5")*(I$3:I$22="P")))+1,"")))))</f>
        <v/>
      </c>
      <c r="B37" s="1" t="str" cm="1">
        <f t="array" ref="B37">IF(P37&lt;&gt;"",SUMPRODUCT((P$3:P$54&lt;&gt;"")*(G$3:G$54=G37)*(J$3:J$54&gt;J37))+1,IF(O37&lt;&gt;"",SUMPRODUCT((O$3:O$54&lt;&gt;"")*(P$3:P$54="")*(G$3:G$54=G37)*(J$3:J$54&gt;J37))+SUMPRODUCT((P$3:P$54&lt;&gt;"")*(G$3:G$54=G37))+1,IF(N37&lt;&gt;"",SUMPRODUCT((N$3:N$54&lt;&gt;"")*(G$3:G$54=G37)*(J$3:J$54&gt;J37))+1,IF(M37="P",SUMPRODUCT((O$3:O$54&lt;&gt;"")*(P$3:P$54="")*(G$3:G$54=G37))+SUMPRODUCT((P$3:P$54&lt;&gt;"")*(G$3:G$54=G37))+SUMPRODUCT((N$3:N$54&lt;&gt;"")*(G$3:G$54=G37))+SUMPRODUCT((P$3:P$54="")*(O$3:O$54="")*(N$3:N$54="")*(M$3:M$54="P")*(G$3:G$54=G37)*(J$3:J$54&gt;J37))+IF(H37="L5",SUMPRODUCT((P$3:P$54="")*(O$3:O$54="")*(N$3:N$54="")*(M$3:M$54="P")*(G$3:G$54=G37)*(J$3:J$54&lt;J37)*(H$3:H$54&lt;&gt;H37)),-1*SUMPRODUCT((P$3:P$54="")*(O$3:O$54="")*(N$3:N$54="")*(M$3:M$54="P")*(G$3:G$54=G37)*(J$3:J$54&gt;J37)*(H$3:H$54="L5")))+1,""))))</f>
        <v/>
      </c>
      <c r="C37" s="35" t="s">
        <v>187</v>
      </c>
      <c r="D37" s="35" t="str">
        <f>IF(E37="","",VLOOKUP(E37,'Coaching Points'!A:B,2,0))</f>
        <v>ON</v>
      </c>
      <c r="E37" s="35" t="s">
        <v>45</v>
      </c>
      <c r="F37" s="34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64</v>
      </c>
      <c r="I37" s="40"/>
      <c r="J37" s="4">
        <f t="shared" si="4"/>
        <v>32.9</v>
      </c>
      <c r="K37" s="3" t="str">
        <f>IF(G37="Not Age Eligible","",IF(MAX(T37,W37,Z37,AC37)&gt;=LOOKUP(G37,'Qualifying Scores'!$A$4:$A$7,'Qualifying Scores'!$I$4:$I$7),"P",""))</f>
        <v/>
      </c>
      <c r="L37" s="3" t="str">
        <f>IF(G37="Not Age Eligible","",IF(MAX(U37,X37,AA37,AD37)&gt;=LOOKUP(G37,'Qualifying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Scores'!$I$10:$I$13)),AND(Z37&gt;=LOOKUP(G37,'Qualifying Scores'!$A$4:$A$7,'Qualifying Scores'!$I$4:$I$7),AA37&gt;=LOOKUP(G37,'Qualifying Scores'!$A$10:$A$13,'Qualifying Scores'!$I$10:$I$13)),AND(W37&gt;=LOOKUP(G37,'Qualifying Scores'!$A$4:$A$7,'Qualifying Scores'!$I$4:$I$7),X37&gt;=LOOKUP(G37,'Qualifying Scores'!$A$10:$A$13,'Qualifying Scores'!$I$10:$I$13)),AND(AC37&gt;=LOOKUP(G37,'Qualifying Scores'!$A$4:$A$7,'Qualifying Scores'!$I$4:$I$7),AD37&gt;=LOOKUP(G37,'Qualifying Scores'!$A$10:$A$13,'Qualifying Scores'!$I$10:$I$13))),"P",""))</f>
        <v/>
      </c>
      <c r="Q37" s="1" t="str">
        <f t="shared" si="5"/>
        <v/>
      </c>
      <c r="R37" s="4">
        <f t="shared" si="6"/>
        <v>32.9</v>
      </c>
      <c r="S37" s="4">
        <f t="shared" si="7"/>
        <v>0</v>
      </c>
      <c r="T37" s="32">
        <v>32.9</v>
      </c>
      <c r="U37" s="37">
        <v>3.7</v>
      </c>
      <c r="V37" s="37">
        <v>0</v>
      </c>
      <c r="W37" s="33"/>
      <c r="X37" s="37"/>
      <c r="Y37" s="37"/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$22&lt;&gt;"")*(G$3:G$22=G38)*(J$3:J$22&gt;J38)*(I$3:I$22="P"))+1,IF(O38&lt;&gt;"",SUMPRODUCT((O$3:O$22&lt;&gt;"")*(P$3:P$22="")*(G$3:G$22=G38)*(J$3:J$22&gt;J38)*(I$3:I$22="P"))+SUMPRODUCT((P$3:P$22&lt;&gt;"")*(G$3:G$22=G38)*(I$3:I$22="P"))+1,IF(N38&lt;&gt;"",SUMPRODUCT((N$3:N$22&lt;&gt;"")*(G$3:G$22=G38)*(J$3:J$22&gt;J38)*(I$3:I$22="P"))+1,IF(M38="P",SUMPRODUCT((O$3:O$22&lt;&gt;"")*(P$3:P$22="")*(G$3:G$22=G38)*(I$3:I$22="P"))+SUMPRODUCT((P$3:P$22&lt;&gt;"")*(G$3:G$22=G38)*(I$3:I$22="P"))+SUMPRODUCT((N$3:N$22&lt;&gt;"")*(G$3:G$22=G38)*(I$3:I$22="P"))+SUMPRODUCT((P$3:P$22="")*(O$3:O$22="")*(N$3:N$22="")*(M$3:M$22="P")*(G$3:G$22=G38)*(J$3:J$22&gt;J38)*(I$3:I$22="P"))+IF(H38="L5",SUMPRODUCT((P$3:P$22="")*(O$3:O$22="")*(N$3:N$22="")*(M$3:M$22="P")*(G$3:G$22=G38)*(J$3:J$22&lt;J38)*(H$3:H$22&lt;&gt;H38)*(I$3:I$22="P")),-1*SUMPRODUCT((P$3:P$22="")*(O$3:O$22="")*(N$3:N$22="")*(M$3:M$22="P")*(G$3:G$22=G38)*(J$3:J$22&gt;J38)*(H$3:H$22="L5")*(I$3:I$22="P")))+1,"")))))</f>
        <v/>
      </c>
      <c r="B38" s="1" t="str" cm="1">
        <f t="array" ref="B38">IF(P38&lt;&gt;"",SUMPRODUCT((P$3:P$54&lt;&gt;"")*(G$3:G$54=G38)*(J$3:J$54&gt;J38))+1,IF(O38&lt;&gt;"",SUMPRODUCT((O$3:O$54&lt;&gt;"")*(P$3:P$54="")*(G$3:G$54=G38)*(J$3:J$54&gt;J38))+SUMPRODUCT((P$3:P$54&lt;&gt;"")*(G$3:G$54=G38))+1,IF(N38&lt;&gt;"",SUMPRODUCT((N$3:N$54&lt;&gt;"")*(G$3:G$54=G38)*(J$3:J$54&gt;J38))+1,IF(M38="P",SUMPRODUCT((O$3:O$54&lt;&gt;"")*(P$3:P$54="")*(G$3:G$54=G38))+SUMPRODUCT((P$3:P$54&lt;&gt;"")*(G$3:G$54=G38))+SUMPRODUCT((N$3:N$54&lt;&gt;"")*(G$3:G$54=G38))+SUMPRODUCT((P$3:P$54="")*(O$3:O$54="")*(N$3:N$54="")*(M$3:M$54="P")*(G$3:G$54=G38)*(J$3:J$54&gt;J38))+IF(H38="L5",SUMPRODUCT((P$3:P$54="")*(O$3:O$54="")*(N$3:N$54="")*(M$3:M$54="P")*(G$3:G$54=G38)*(J$3:J$54&lt;J38)*(H$3:H$54&lt;&gt;H38)),-1*SUMPRODUCT((P$3:P$54="")*(O$3:O$54="")*(N$3:N$54="")*(M$3:M$54="P")*(G$3:G$54=G38)*(J$3:J$54&gt;J38)*(H$3:H$54="L5")))+1,""))))</f>
        <v/>
      </c>
      <c r="C38" s="35" t="s">
        <v>140</v>
      </c>
      <c r="D38" s="35" t="str">
        <f>IF(E38="","",VLOOKUP(E38,'Coaching Points'!A:B,2,0))</f>
        <v>BC</v>
      </c>
      <c r="E38" s="35" t="s">
        <v>55</v>
      </c>
      <c r="F38" s="34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66</v>
      </c>
      <c r="I38" s="40"/>
      <c r="J38" s="4">
        <f t="shared" si="4"/>
        <v>32.8001</v>
      </c>
      <c r="K38" s="3" t="str">
        <f>IF(G38="Not Age Eligible","",IF(MAX(T38,W38,Z38,AC38)&gt;=LOOKUP(G38,'Qualifying Scores'!$A$4:$A$7,'Qualifying Scores'!$I$4:$I$7),"P",""))</f>
        <v/>
      </c>
      <c r="L38" s="3" t="str">
        <f>IF(G38="Not Age Eligible","",IF(MAX(U38,X38,AA38,AD38)&gt;=LOOKUP(G38,'Qualifying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Scores'!$I$10:$I$13)),AND(Z38&gt;=LOOKUP(G38,'Qualifying Scores'!$A$4:$A$7,'Qualifying Scores'!$I$4:$I$7),AA38&gt;=LOOKUP(G38,'Qualifying Scores'!$A$10:$A$13,'Qualifying Scores'!$I$10:$I$13)),AND(W38&gt;=LOOKUP(G38,'Qualifying Scores'!$A$4:$A$7,'Qualifying Scores'!$I$4:$I$7),X38&gt;=LOOKUP(G38,'Qualifying Scores'!$A$10:$A$13,'Qualifying Scores'!$I$10:$I$13)),AND(AC38&gt;=LOOKUP(G38,'Qualifying Scores'!$A$4:$A$7,'Qualifying Scores'!$I$4:$I$7),AD38&gt;=LOOKUP(G38,'Qualifying Scores'!$A$10:$A$13,'Qualifying Scores'!$I$10:$I$13))),"P",""))</f>
        <v/>
      </c>
      <c r="Q38" s="1" t="str">
        <f t="shared" si="5"/>
        <v/>
      </c>
      <c r="R38" s="4">
        <f t="shared" si="6"/>
        <v>32.799999999999997</v>
      </c>
      <c r="S38" s="4">
        <f t="shared" si="7"/>
        <v>0</v>
      </c>
      <c r="T38" s="32">
        <v>32.799999999999997</v>
      </c>
      <c r="U38" s="37">
        <v>4.2</v>
      </c>
      <c r="V38" s="37">
        <v>0</v>
      </c>
      <c r="W38" s="33"/>
      <c r="X38" s="37"/>
      <c r="Y38" s="37"/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$22&lt;&gt;"")*(G$3:G$22=G39)*(J$3:J$22&gt;J39)*(I$3:I$22="P"))+1,IF(O39&lt;&gt;"",SUMPRODUCT((O$3:O$22&lt;&gt;"")*(P$3:P$22="")*(G$3:G$22=G39)*(J$3:J$22&gt;J39)*(I$3:I$22="P"))+SUMPRODUCT((P$3:P$22&lt;&gt;"")*(G$3:G$22=G39)*(I$3:I$22="P"))+1,IF(N39&lt;&gt;"",SUMPRODUCT((N$3:N$22&lt;&gt;"")*(G$3:G$22=G39)*(J$3:J$22&gt;J39)*(I$3:I$22="P"))+1,IF(M39="P",SUMPRODUCT((O$3:O$22&lt;&gt;"")*(P$3:P$22="")*(G$3:G$22=G39)*(I$3:I$22="P"))+SUMPRODUCT((P$3:P$22&lt;&gt;"")*(G$3:G$22=G39)*(I$3:I$22="P"))+SUMPRODUCT((N$3:N$22&lt;&gt;"")*(G$3:G$22=G39)*(I$3:I$22="P"))+SUMPRODUCT((P$3:P$22="")*(O$3:O$22="")*(N$3:N$22="")*(M$3:M$22="P")*(G$3:G$22=G39)*(J$3:J$22&gt;J39)*(I$3:I$22="P"))+IF(H39="L5",SUMPRODUCT((P$3:P$22="")*(O$3:O$22="")*(N$3:N$22="")*(M$3:M$22="P")*(G$3:G$22=G39)*(J$3:J$22&lt;J39)*(H$3:H$22&lt;&gt;H39)*(I$3:I$22="P")),-1*SUMPRODUCT((P$3:P$22="")*(O$3:O$22="")*(N$3:N$22="")*(M$3:M$22="P")*(G$3:G$22=G39)*(J$3:J$22&gt;J39)*(H$3:H$22="L5")*(I$3:I$22="P")))+1,"")))))</f>
        <v/>
      </c>
      <c r="B39" s="1" t="str" cm="1">
        <f t="array" ref="B39">IF(P39&lt;&gt;"",SUMPRODUCT((P$3:P$54&lt;&gt;"")*(G$3:G$54=G39)*(J$3:J$54&gt;J39))+1,IF(O39&lt;&gt;"",SUMPRODUCT((O$3:O$54&lt;&gt;"")*(P$3:P$54="")*(G$3:G$54=G39)*(J$3:J$54&gt;J39))+SUMPRODUCT((P$3:P$54&lt;&gt;"")*(G$3:G$54=G39))+1,IF(N39&lt;&gt;"",SUMPRODUCT((N$3:N$54&lt;&gt;"")*(G$3:G$54=G39)*(J$3:J$54&gt;J39))+1,IF(M39="P",SUMPRODUCT((O$3:O$54&lt;&gt;"")*(P$3:P$54="")*(G$3:G$54=G39))+SUMPRODUCT((P$3:P$54&lt;&gt;"")*(G$3:G$54=G39))+SUMPRODUCT((N$3:N$54&lt;&gt;"")*(G$3:G$54=G39))+SUMPRODUCT((P$3:P$54="")*(O$3:O$54="")*(N$3:N$54="")*(M$3:M$54="P")*(G$3:G$54=G39)*(J$3:J$54&gt;J39))+IF(H39="L5",SUMPRODUCT((P$3:P$54="")*(O$3:O$54="")*(N$3:N$54="")*(M$3:M$54="P")*(G$3:G$54=G39)*(J$3:J$54&lt;J39)*(H$3:H$54&lt;&gt;H39)),-1*SUMPRODUCT((P$3:P$54="")*(O$3:O$54="")*(N$3:N$54="")*(M$3:M$54="P")*(G$3:G$54=G39)*(J$3:J$54&gt;J39)*(H$3:H$54="L5")))+1,""))))</f>
        <v/>
      </c>
      <c r="C39" s="35" t="s">
        <v>192</v>
      </c>
      <c r="D39" s="35" t="str">
        <f>IF(E39="","",VLOOKUP(E39,'Coaching Points'!A:B,2,0))</f>
        <v>QC</v>
      </c>
      <c r="E39" s="35" t="s">
        <v>75</v>
      </c>
      <c r="F39" s="34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64</v>
      </c>
      <c r="I39" s="40"/>
      <c r="J39" s="4">
        <f t="shared" si="4"/>
        <v>30.1</v>
      </c>
      <c r="K39" s="3" t="str">
        <f>IF(G39="Not Age Eligible","",IF(MAX(T39,W39,Z39,AC39)&gt;=LOOKUP(G39,'Qualifying Scores'!$A$4:$A$7,'Qualifying Scores'!$I$4:$I$7),"P",""))</f>
        <v/>
      </c>
      <c r="L39" s="3" t="str">
        <f>IF(G39="Not Age Eligible","",IF(MAX(U39,X39,AA39,AD39)&gt;=LOOKUP(G39,'Qualifying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Scores'!$I$10:$I$13)),AND(Z39&gt;=LOOKUP(G39,'Qualifying Scores'!$A$4:$A$7,'Qualifying Scores'!$I$4:$I$7),AA39&gt;=LOOKUP(G39,'Qualifying Scores'!$A$10:$A$13,'Qualifying Scores'!$I$10:$I$13)),AND(W39&gt;=LOOKUP(G39,'Qualifying Scores'!$A$4:$A$7,'Qualifying Scores'!$I$4:$I$7),X39&gt;=LOOKUP(G39,'Qualifying Scores'!$A$10:$A$13,'Qualifying Scores'!$I$10:$I$13)),AND(AC39&gt;=LOOKUP(G39,'Qualifying Scores'!$A$4:$A$7,'Qualifying Scores'!$I$4:$I$7),AD39&gt;=LOOKUP(G39,'Qualifying Scores'!$A$10:$A$13,'Qualifying Scores'!$I$10:$I$13))),"P",""))</f>
        <v/>
      </c>
      <c r="Q39" s="1" t="str">
        <f t="shared" si="5"/>
        <v/>
      </c>
      <c r="R39" s="4">
        <f t="shared" si="6"/>
        <v>30.1</v>
      </c>
      <c r="S39" s="4">
        <f t="shared" si="7"/>
        <v>0</v>
      </c>
      <c r="T39" s="32">
        <v>30.1</v>
      </c>
      <c r="U39" s="37">
        <v>2.8</v>
      </c>
      <c r="V39" s="37">
        <v>0</v>
      </c>
      <c r="W39" s="33"/>
      <c r="X39" s="37"/>
      <c r="Y39" s="37"/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$22&lt;&gt;"")*(G$3:G$22=G40)*(J$3:J$22&gt;J40)*(I$3:I$22="P"))+1,IF(O40&lt;&gt;"",SUMPRODUCT((O$3:O$22&lt;&gt;"")*(P$3:P$22="")*(G$3:G$22=G40)*(J$3:J$22&gt;J40)*(I$3:I$22="P"))+SUMPRODUCT((P$3:P$22&lt;&gt;"")*(G$3:G$22=G40)*(I$3:I$22="P"))+1,IF(N40&lt;&gt;"",SUMPRODUCT((N$3:N$22&lt;&gt;"")*(G$3:G$22=G40)*(J$3:J$22&gt;J40)*(I$3:I$22="P"))+1,IF(M40="P",SUMPRODUCT((O$3:O$22&lt;&gt;"")*(P$3:P$22="")*(G$3:G$22=G40)*(I$3:I$22="P"))+SUMPRODUCT((P$3:P$22&lt;&gt;"")*(G$3:G$22=G40)*(I$3:I$22="P"))+SUMPRODUCT((N$3:N$22&lt;&gt;"")*(G$3:G$22=G40)*(I$3:I$22="P"))+SUMPRODUCT((P$3:P$22="")*(O$3:O$22="")*(N$3:N$22="")*(M$3:M$22="P")*(G$3:G$22=G40)*(J$3:J$22&gt;J40)*(I$3:I$22="P"))+IF(H40="L5",SUMPRODUCT((P$3:P$22="")*(O$3:O$22="")*(N$3:N$22="")*(M$3:M$22="P")*(G$3:G$22=G40)*(J$3:J$22&lt;J40)*(H$3:H$22&lt;&gt;H40)*(I$3:I$22="P")),-1*SUMPRODUCT((P$3:P$22="")*(O$3:O$22="")*(N$3:N$22="")*(M$3:M$22="P")*(G$3:G$22=G40)*(J$3:J$22&gt;J40)*(H$3:H$22="L5")*(I$3:I$22="P")))+1,"")))))</f>
        <v/>
      </c>
      <c r="B40" s="1" t="str" cm="1">
        <f t="array" ref="B40">IF(P40&lt;&gt;"",SUMPRODUCT((P$3:P$54&lt;&gt;"")*(G$3:G$54=G40)*(J$3:J$54&gt;J40))+1,IF(O40&lt;&gt;"",SUMPRODUCT((O$3:O$54&lt;&gt;"")*(P$3:P$54="")*(G$3:G$54=G40)*(J$3:J$54&gt;J40))+SUMPRODUCT((P$3:P$54&lt;&gt;"")*(G$3:G$54=G40))+1,IF(N40&lt;&gt;"",SUMPRODUCT((N$3:N$54&lt;&gt;"")*(G$3:G$54=G40)*(J$3:J$54&gt;J40))+1,IF(M40="P",SUMPRODUCT((O$3:O$54&lt;&gt;"")*(P$3:P$54="")*(G$3:G$54=G40))+SUMPRODUCT((P$3:P$54&lt;&gt;"")*(G$3:G$54=G40))+SUMPRODUCT((N$3:N$54&lt;&gt;"")*(G$3:G$54=G40))+SUMPRODUCT((P$3:P$54="")*(O$3:O$54="")*(N$3:N$54="")*(M$3:M$54="P")*(G$3:G$54=G40)*(J$3:J$54&gt;J40))+IF(H40="L5",SUMPRODUCT((P$3:P$54="")*(O$3:O$54="")*(N$3:N$54="")*(M$3:M$54="P")*(G$3:G$54=G40)*(J$3:J$54&lt;J40)*(H$3:H$54&lt;&gt;H40)),-1*SUMPRODUCT((P$3:P$54="")*(O$3:O$54="")*(N$3:N$54="")*(M$3:M$54="P")*(G$3:G$54=G40)*(J$3:J$54&gt;J40)*(H$3:H$54="L5")))+1,""))))</f>
        <v/>
      </c>
      <c r="C40" s="35" t="s">
        <v>371</v>
      </c>
      <c r="D40" s="35" t="str">
        <f>IF(E40="","",VLOOKUP(E40,'Coaching Points'!A:B,2,0))</f>
        <v>BC</v>
      </c>
      <c r="E40" s="35" t="s">
        <v>60</v>
      </c>
      <c r="F40" s="34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66</v>
      </c>
      <c r="I40" s="40"/>
      <c r="J40" s="4">
        <f t="shared" si="4"/>
        <v>18.400099999999998</v>
      </c>
      <c r="K40" s="3" t="str">
        <f>IF(G40="Not Age Eligible","",IF(MAX(T40,W40,Z40,AC40)&gt;=LOOKUP(G40,'Qualifying Scores'!$A$4:$A$7,'Qualifying Scores'!$I$4:$I$7),"P",""))</f>
        <v/>
      </c>
      <c r="L40" s="3" t="str">
        <f>IF(G40="Not Age Eligible","",IF(MAX(U40,X40,AA40,AD40)&gt;=LOOKUP(G40,'Qualifying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Scores'!$I$10:$I$13)),AND(Z40&gt;=LOOKUP(G40,'Qualifying Scores'!$A$4:$A$7,'Qualifying Scores'!$I$4:$I$7),AA40&gt;=LOOKUP(G40,'Qualifying Scores'!$A$10:$A$13,'Qualifying Scores'!$I$10:$I$13)),AND(W40&gt;=LOOKUP(G40,'Qualifying Scores'!$A$4:$A$7,'Qualifying Scores'!$I$4:$I$7),X40&gt;=LOOKUP(G40,'Qualifying Scores'!$A$10:$A$13,'Qualifying Scores'!$I$10:$I$13)),AND(AC40&gt;=LOOKUP(G40,'Qualifying Scores'!$A$4:$A$7,'Qualifying Scores'!$I$4:$I$7),AD40&gt;=LOOKUP(G40,'Qualifying Scores'!$A$10:$A$13,'Qualifying Scores'!$I$10:$I$13))),"P",""))</f>
        <v/>
      </c>
      <c r="Q40" s="1" t="str">
        <f t="shared" si="5"/>
        <v/>
      </c>
      <c r="R40" s="4">
        <f t="shared" si="6"/>
        <v>18.399999999999999</v>
      </c>
      <c r="S40" s="4">
        <f t="shared" si="7"/>
        <v>0</v>
      </c>
      <c r="T40" s="32">
        <v>18.7</v>
      </c>
      <c r="U40" s="37">
        <v>2.6</v>
      </c>
      <c r="V40" s="37">
        <v>0.3</v>
      </c>
      <c r="W40" s="33"/>
      <c r="X40" s="37"/>
      <c r="Y40" s="37"/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$22&lt;&gt;"")*(G$3:G$22=G41)*(J$3:J$22&gt;J41)*(I$3:I$22="P"))+1,IF(O41&lt;&gt;"",SUMPRODUCT((O$3:O$22&lt;&gt;"")*(P$3:P$22="")*(G$3:G$22=G41)*(J$3:J$22&gt;J41)*(I$3:I$22="P"))+SUMPRODUCT((P$3:P$22&lt;&gt;"")*(G$3:G$22=G41)*(I$3:I$22="P"))+1,IF(N41&lt;&gt;"",SUMPRODUCT((N$3:N$22&lt;&gt;"")*(G$3:G$22=G41)*(J$3:J$22&gt;J41)*(I$3:I$22="P"))+1,IF(M41="P",SUMPRODUCT((O$3:O$22&lt;&gt;"")*(P$3:P$22="")*(G$3:G$22=G41)*(I$3:I$22="P"))+SUMPRODUCT((P$3:P$22&lt;&gt;"")*(G$3:G$22=G41)*(I$3:I$22="P"))+SUMPRODUCT((N$3:N$22&lt;&gt;"")*(G$3:G$22=G41)*(I$3:I$22="P"))+SUMPRODUCT((P$3:P$22="")*(O$3:O$22="")*(N$3:N$22="")*(M$3:M$22="P")*(G$3:G$22=G41)*(J$3:J$22&gt;J41)*(I$3:I$22="P"))+IF(H41="L5",SUMPRODUCT((P$3:P$22="")*(O$3:O$22="")*(N$3:N$22="")*(M$3:M$22="P")*(G$3:G$22=G41)*(J$3:J$22&lt;J41)*(H$3:H$22&lt;&gt;H41)*(I$3:I$22="P")),-1*SUMPRODUCT((P$3:P$22="")*(O$3:O$22="")*(N$3:N$22="")*(M$3:M$22="P")*(G$3:G$22=G41)*(J$3:J$22&gt;J41)*(H$3:H$22="L5")*(I$3:I$22="P")))+1,"")))))</f>
        <v/>
      </c>
      <c r="B41" s="1" cm="1">
        <f t="array" ref="B41">IF(P41&lt;&gt;"",SUMPRODUCT((P$3:P$54&lt;&gt;"")*(G$3:G$54=G41)*(J$3:J$54&gt;J41))+1,IF(O41&lt;&gt;"",SUMPRODUCT((O$3:O$54&lt;&gt;"")*(P$3:P$54="")*(G$3:G$54=G41)*(J$3:J$54&gt;J41))+SUMPRODUCT((P$3:P$54&lt;&gt;"")*(G$3:G$54=G41))+1,IF(N41&lt;&gt;"",SUMPRODUCT((N$3:N$54&lt;&gt;"")*(G$3:G$54=G41)*(J$3:J$54&gt;J41))+1,IF(M41="P",SUMPRODUCT((O$3:O$54&lt;&gt;"")*(P$3:P$54="")*(G$3:G$54=G41))+SUMPRODUCT((P$3:P$54&lt;&gt;"")*(G$3:G$54=G41))+SUMPRODUCT((N$3:N$54&lt;&gt;"")*(G$3:G$54=G41))+SUMPRODUCT((P$3:P$54="")*(O$3:O$54="")*(N$3:N$54="")*(M$3:M$54="P")*(G$3:G$54=G41)*(J$3:J$54&gt;J41))+IF(H41="L5",SUMPRODUCT((P$3:P$54="")*(O$3:O$54="")*(N$3:N$54="")*(M$3:M$54="P")*(G$3:G$54=G41)*(J$3:J$54&lt;J41)*(H$3:H$54&lt;&gt;H41)),-1*SUMPRODUCT((P$3:P$54="")*(O$3:O$54="")*(N$3:N$54="")*(M$3:M$54="P")*(G$3:G$54=G41)*(J$3:J$54&gt;J41)*(H$3:H$54="L5")))+1,""))))</f>
        <v>1</v>
      </c>
      <c r="C41" s="35" t="s">
        <v>190</v>
      </c>
      <c r="D41" s="35" t="str">
        <f>IF(E41="","",VLOOKUP(E41,'Coaching Points'!A:B,2,0))</f>
        <v>AB</v>
      </c>
      <c r="E41" s="35" t="s">
        <v>56</v>
      </c>
      <c r="F41" s="34">
        <v>2008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6" t="s">
        <v>63</v>
      </c>
      <c r="I41" s="40"/>
      <c r="J41" s="4">
        <f t="shared" si="4"/>
        <v>43.600200000000001</v>
      </c>
      <c r="K41" s="3" t="str">
        <f>IF(G41="Not Age Eligible","",IF(MAX(T41,W41,Z41,AC41)&gt;=LOOKUP(G41,'Qualifying Scores'!$A$4:$A$7,'Qualifying Scores'!$I$4:$I$7),"P",""))</f>
        <v>P</v>
      </c>
      <c r="L41" s="3" t="str">
        <f>IF(G41="Not Age Eligible","",IF(MAX(U41,X41,AA41,AD41)&gt;=LOOKUP(G41,'Qualifying Scores'!$A$10:$A$13,'Qualifying Scores'!$I$10:$I$13),"P",""))</f>
        <v>P</v>
      </c>
      <c r="M41" s="3" t="str">
        <f>IF(G41="Not Age Eligible","",IF(OR(AND(T41&gt;=LOOKUP(G41,'Qualifying Scores'!$A$4:$A$7,'Qualifying Scores'!$I$4:$I$7),U41&gt;=LOOKUP(G41,'Qualifying Scores'!$A$10:$A$13,'Qualifying Scores'!$I$10:$I$13)),AND(Z41&gt;=LOOKUP(G41,'Qualifying Scores'!$A$4:$A$7,'Qualifying Scores'!$I$4:$I$7),AA41&gt;=LOOKUP(G41,'Qualifying Scores'!$A$10:$A$13,'Qualifying Scores'!$I$10:$I$13)),AND(W41&gt;=LOOKUP(G41,'Qualifying Scores'!$A$4:$A$7,'Qualifying Scores'!$I$4:$I$7),X41&gt;=LOOKUP(G41,'Qualifying Scores'!$A$10:$A$13,'Qualifying Scores'!$I$10:$I$13)),AND(AC41&gt;=LOOKUP(G41,'Qualifying Scores'!$A$4:$A$7,'Qualifying Scores'!$I$4:$I$7),AD41&gt;=LOOKUP(G41,'Qualifying Scores'!$A$10:$A$13,'Qualifying Scores'!$I$10:$I$13))),"P",""))</f>
        <v>P</v>
      </c>
      <c r="N41" s="36">
        <v>1</v>
      </c>
      <c r="Q41" s="1" t="str">
        <f t="shared" si="5"/>
        <v/>
      </c>
      <c r="R41" s="4">
        <f t="shared" si="6"/>
        <v>43.6</v>
      </c>
      <c r="S41" s="4">
        <f t="shared" si="7"/>
        <v>38.5</v>
      </c>
      <c r="T41" s="32">
        <v>39.1</v>
      </c>
      <c r="U41" s="37">
        <v>8.6</v>
      </c>
      <c r="V41" s="37">
        <v>0.6</v>
      </c>
      <c r="W41" s="33">
        <v>43.9</v>
      </c>
      <c r="X41" s="37">
        <v>9.6999999999999993</v>
      </c>
      <c r="Y41" s="37">
        <v>0.3</v>
      </c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$22&lt;&gt;"")*(G$3:G$22=G42)*(J$3:J$22&gt;J42)*(I$3:I$22="P"))+1,IF(O42&lt;&gt;"",SUMPRODUCT((O$3:O$22&lt;&gt;"")*(P$3:P$22="")*(G$3:G$22=G42)*(J$3:J$22&gt;J42)*(I$3:I$22="P"))+SUMPRODUCT((P$3:P$22&lt;&gt;"")*(G$3:G$22=G42)*(I$3:I$22="P"))+1,IF(N42&lt;&gt;"",SUMPRODUCT((N$3:N$22&lt;&gt;"")*(G$3:G$22=G42)*(J$3:J$22&gt;J42)*(I$3:I$22="P"))+1,IF(M42="P",SUMPRODUCT((O$3:O$22&lt;&gt;"")*(P$3:P$22="")*(G$3:G$22=G42)*(I$3:I$22="P"))+SUMPRODUCT((P$3:P$22&lt;&gt;"")*(G$3:G$22=G42)*(I$3:I$22="P"))+SUMPRODUCT((N$3:N$22&lt;&gt;"")*(G$3:G$22=G42)*(I$3:I$22="P"))+SUMPRODUCT((P$3:P$22="")*(O$3:O$22="")*(N$3:N$22="")*(M$3:M$22="P")*(G$3:G$22=G42)*(J$3:J$22&gt;J42)*(I$3:I$22="P"))+IF(H42="L5",SUMPRODUCT((P$3:P$22="")*(O$3:O$22="")*(N$3:N$22="")*(M$3:M$22="P")*(G$3:G$22=G42)*(J$3:J$22&lt;J42)*(H$3:H$22&lt;&gt;H42)*(I$3:I$22="P")),-1*SUMPRODUCT((P$3:P$22="")*(O$3:O$22="")*(N$3:N$22="")*(M$3:M$22="P")*(G$3:G$22=G42)*(J$3:J$22&gt;J42)*(H$3:H$22="L5")*(I$3:I$22="P")))+1,"")))))</f>
        <v/>
      </c>
      <c r="B42" s="1" t="str" cm="1">
        <f t="array" ref="B42">IF(P42&lt;&gt;"",SUMPRODUCT((P$3:P$54&lt;&gt;"")*(G$3:G$54=G42)*(J$3:J$54&gt;J42))+1,IF(O42&lt;&gt;"",SUMPRODUCT((O$3:O$54&lt;&gt;"")*(P$3:P$54="")*(G$3:G$54=G42)*(J$3:J$54&gt;J42))+SUMPRODUCT((P$3:P$54&lt;&gt;"")*(G$3:G$54=G42))+1,IF(N42&lt;&gt;"",SUMPRODUCT((N$3:N$54&lt;&gt;"")*(G$3:G$54=G42)*(J$3:J$54&gt;J42))+1,IF(M42="P",SUMPRODUCT((O$3:O$54&lt;&gt;"")*(P$3:P$54="")*(G$3:G$54=G42))+SUMPRODUCT((P$3:P$54&lt;&gt;"")*(G$3:G$54=G42))+SUMPRODUCT((N$3:N$54&lt;&gt;"")*(G$3:G$54=G42))+SUMPRODUCT((P$3:P$54="")*(O$3:O$54="")*(N$3:N$54="")*(M$3:M$54="P")*(G$3:G$54=G42)*(J$3:J$54&gt;J42))+IF(H42="L5",SUMPRODUCT((P$3:P$54="")*(O$3:O$54="")*(N$3:N$54="")*(M$3:M$54="P")*(G$3:G$54=G42)*(J$3:J$54&lt;J42)*(H$3:H$54&lt;&gt;H42)),-1*SUMPRODUCT((P$3:P$54="")*(O$3:O$54="")*(N$3:N$54="")*(M$3:M$54="P")*(G$3:G$54=G42)*(J$3:J$54&gt;J42)*(H$3:H$54="L5")))+1,""))))</f>
        <v/>
      </c>
      <c r="C42" s="35" t="s">
        <v>373</v>
      </c>
      <c r="D42" s="35" t="str">
        <f>IF(E42="","",VLOOKUP(E42,'Coaching Points'!A:B,2,0))</f>
        <v>ON</v>
      </c>
      <c r="E42" s="35" t="s">
        <v>45</v>
      </c>
      <c r="F42" s="34">
        <v>2009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6" t="s">
        <v>64</v>
      </c>
      <c r="I42" s="40"/>
      <c r="J42" s="4">
        <f t="shared" si="4"/>
        <v>39.6</v>
      </c>
      <c r="K42" s="3" t="str">
        <f>IF(G42="Not Age Eligible","",IF(MAX(T42,W42,Z42,AC42)&gt;=LOOKUP(G42,'Qualifying Scores'!$A$4:$A$7,'Qualifying Scores'!$I$4:$I$7),"P",""))</f>
        <v/>
      </c>
      <c r="L42" s="3" t="str">
        <f>IF(G42="Not Age Eligible","",IF(MAX(U42,X42,AA42,AD42)&gt;=LOOKUP(G42,'Qualifying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Scores'!$I$10:$I$13)),AND(Z42&gt;=LOOKUP(G42,'Qualifying Scores'!$A$4:$A$7,'Qualifying Scores'!$I$4:$I$7),AA42&gt;=LOOKUP(G42,'Qualifying Scores'!$A$10:$A$13,'Qualifying Scores'!$I$10:$I$13)),AND(W42&gt;=LOOKUP(G42,'Qualifying Scores'!$A$4:$A$7,'Qualifying Scores'!$I$4:$I$7),X42&gt;=LOOKUP(G42,'Qualifying Scores'!$A$10:$A$13,'Qualifying Scores'!$I$10:$I$13)),AND(AC42&gt;=LOOKUP(G42,'Qualifying Scores'!$A$4:$A$7,'Qualifying Scores'!$I$4:$I$7),AD42&gt;=LOOKUP(G42,'Qualifying Scores'!$A$10:$A$13,'Qualifying Scores'!$I$10:$I$13))),"P",""))</f>
        <v/>
      </c>
      <c r="Q42" s="1" t="str">
        <f t="shared" si="5"/>
        <v/>
      </c>
      <c r="R42" s="4">
        <f t="shared" si="6"/>
        <v>39.6</v>
      </c>
      <c r="S42" s="4">
        <f t="shared" si="7"/>
        <v>35.1</v>
      </c>
      <c r="T42" s="32">
        <v>35.1</v>
      </c>
      <c r="U42" s="37">
        <v>3.3</v>
      </c>
      <c r="V42" s="37">
        <v>0</v>
      </c>
      <c r="W42" s="33">
        <v>40.6</v>
      </c>
      <c r="X42" s="37">
        <v>5.3000000000000007</v>
      </c>
      <c r="Y42" s="37">
        <v>1</v>
      </c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$22&lt;&gt;"")*(G$3:G$22=G43)*(J$3:J$22&gt;J43)*(I$3:I$22="P"))+1,IF(O43&lt;&gt;"",SUMPRODUCT((O$3:O$22&lt;&gt;"")*(P$3:P$22="")*(G$3:G$22=G43)*(J$3:J$22&gt;J43)*(I$3:I$22="P"))+SUMPRODUCT((P$3:P$22&lt;&gt;"")*(G$3:G$22=G43)*(I$3:I$22="P"))+1,IF(N43&lt;&gt;"",SUMPRODUCT((N$3:N$22&lt;&gt;"")*(G$3:G$22=G43)*(J$3:J$22&gt;J43)*(I$3:I$22="P"))+1,IF(M43="P",SUMPRODUCT((O$3:O$22&lt;&gt;"")*(P$3:P$22="")*(G$3:G$22=G43)*(I$3:I$22="P"))+SUMPRODUCT((P$3:P$22&lt;&gt;"")*(G$3:G$22=G43)*(I$3:I$22="P"))+SUMPRODUCT((N$3:N$22&lt;&gt;"")*(G$3:G$22=G43)*(I$3:I$22="P"))+SUMPRODUCT((P$3:P$22="")*(O$3:O$22="")*(N$3:N$22="")*(M$3:M$22="P")*(G$3:G$22=G43)*(J$3:J$22&gt;J43)*(I$3:I$22="P"))+IF(H43="L5",SUMPRODUCT((P$3:P$22="")*(O$3:O$22="")*(N$3:N$22="")*(M$3:M$22="P")*(G$3:G$22=G43)*(J$3:J$22&lt;J43)*(H$3:H$22&lt;&gt;H43)*(I$3:I$22="P")),-1*SUMPRODUCT((P$3:P$22="")*(O$3:O$22="")*(N$3:N$22="")*(M$3:M$22="P")*(G$3:G$22=G43)*(J$3:J$22&gt;J43)*(H$3:H$22="L5")*(I$3:I$22="P")))+1,"")))))</f>
        <v/>
      </c>
      <c r="B43" s="1" t="str" cm="1">
        <f t="array" ref="B43">IF(P43&lt;&gt;"",SUMPRODUCT((P$3:P$54&lt;&gt;"")*(G$3:G$54=G43)*(J$3:J$54&gt;J43))+1,IF(O43&lt;&gt;"",SUMPRODUCT((O$3:O$54&lt;&gt;"")*(P$3:P$54="")*(G$3:G$54=G43)*(J$3:J$54&gt;J43))+SUMPRODUCT((P$3:P$54&lt;&gt;"")*(G$3:G$54=G43))+1,IF(N43&lt;&gt;"",SUMPRODUCT((N$3:N$54&lt;&gt;"")*(G$3:G$54=G43)*(J$3:J$54&gt;J43))+1,IF(M43="P",SUMPRODUCT((O$3:O$54&lt;&gt;"")*(P$3:P$54="")*(G$3:G$54=G43))+SUMPRODUCT((P$3:P$54&lt;&gt;"")*(G$3:G$54=G43))+SUMPRODUCT((N$3:N$54&lt;&gt;"")*(G$3:G$54=G43))+SUMPRODUCT((P$3:P$54="")*(O$3:O$54="")*(N$3:N$54="")*(M$3:M$54="P")*(G$3:G$54=G43)*(J$3:J$54&gt;J43))+IF(H43="L5",SUMPRODUCT((P$3:P$54="")*(O$3:O$54="")*(N$3:N$54="")*(M$3:M$54="P")*(G$3:G$54=G43)*(J$3:J$54&lt;J43)*(H$3:H$54&lt;&gt;H43)),-1*SUMPRODUCT((P$3:P$54="")*(O$3:O$54="")*(N$3:N$54="")*(M$3:M$54="P")*(G$3:G$54=G43)*(J$3:J$54&gt;J43)*(H$3:H$54="L5")))+1,""))))</f>
        <v/>
      </c>
      <c r="C43" s="35" t="s">
        <v>374</v>
      </c>
      <c r="D43" s="35" t="str">
        <f>IF(E43="","",VLOOKUP(E43,'Coaching Points'!A:B,2,0))</f>
        <v>QC</v>
      </c>
      <c r="E43" s="35" t="s">
        <v>85</v>
      </c>
      <c r="F43" s="34">
        <v>2009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64</v>
      </c>
      <c r="I43" s="40"/>
      <c r="J43" s="4">
        <f t="shared" si="4"/>
        <v>38.5</v>
      </c>
      <c r="K43" s="3" t="str">
        <f>IF(G43="Not Age Eligible","",IF(MAX(T43,W43,Z43,AC43)&gt;=LOOKUP(G43,'Qualifying Scores'!$A$4:$A$7,'Qualifying Scores'!$I$4:$I$7),"P",""))</f>
        <v/>
      </c>
      <c r="L43" s="3" t="str">
        <f>IF(G43="Not Age Eligible","",IF(MAX(U43,X43,AA43,AD43)&gt;=LOOKUP(G43,'Qualifying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Scores'!$I$10:$I$13)),AND(Z43&gt;=LOOKUP(G43,'Qualifying Scores'!$A$4:$A$7,'Qualifying Scores'!$I$4:$I$7),AA43&gt;=LOOKUP(G43,'Qualifying Scores'!$A$10:$A$13,'Qualifying Scores'!$I$10:$I$13)),AND(W43&gt;=LOOKUP(G43,'Qualifying Scores'!$A$4:$A$7,'Qualifying Scores'!$I$4:$I$7),X43&gt;=LOOKUP(G43,'Qualifying Scores'!$A$10:$A$13,'Qualifying Scores'!$I$10:$I$13)),AND(AC43&gt;=LOOKUP(G43,'Qualifying Scores'!$A$4:$A$7,'Qualifying Scores'!$I$4:$I$7),AD43&gt;=LOOKUP(G43,'Qualifying Scores'!$A$10:$A$13,'Qualifying Scores'!$I$10:$I$13))),"P",""))</f>
        <v/>
      </c>
      <c r="Q43" s="1" t="str">
        <f t="shared" si="5"/>
        <v/>
      </c>
      <c r="R43" s="4">
        <f t="shared" si="6"/>
        <v>38.5</v>
      </c>
      <c r="S43" s="4">
        <f t="shared" si="7"/>
        <v>36.5</v>
      </c>
      <c r="T43" s="32">
        <v>36.5</v>
      </c>
      <c r="U43" s="37">
        <v>4.2</v>
      </c>
      <c r="V43" s="37">
        <v>0</v>
      </c>
      <c r="W43" s="33">
        <v>38.5</v>
      </c>
      <c r="X43" s="37">
        <v>4.5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$22&lt;&gt;"")*(G$3:G$22=G44)*(J$3:J$22&gt;J44)*(I$3:I$22="P"))+1,IF(O44&lt;&gt;"",SUMPRODUCT((O$3:O$22&lt;&gt;"")*(P$3:P$22="")*(G$3:G$22=G44)*(J$3:J$22&gt;J44)*(I$3:I$22="P"))+SUMPRODUCT((P$3:P$22&lt;&gt;"")*(G$3:G$22=G44)*(I$3:I$22="P"))+1,IF(N44&lt;&gt;"",SUMPRODUCT((N$3:N$22&lt;&gt;"")*(G$3:G$22=G44)*(J$3:J$22&gt;J44)*(I$3:I$22="P"))+1,IF(M44="P",SUMPRODUCT((O$3:O$22&lt;&gt;"")*(P$3:P$22="")*(G$3:G$22=G44)*(I$3:I$22="P"))+SUMPRODUCT((P$3:P$22&lt;&gt;"")*(G$3:G$22=G44)*(I$3:I$22="P"))+SUMPRODUCT((N$3:N$22&lt;&gt;"")*(G$3:G$22=G44)*(I$3:I$22="P"))+SUMPRODUCT((P$3:P$22="")*(O$3:O$22="")*(N$3:N$22="")*(M$3:M$22="P")*(G$3:G$22=G44)*(J$3:J$22&gt;J44)*(I$3:I$22="P"))+IF(H44="L5",SUMPRODUCT((P$3:P$22="")*(O$3:O$22="")*(N$3:N$22="")*(M$3:M$22="P")*(G$3:G$22=G44)*(J$3:J$22&lt;J44)*(H$3:H$22&lt;&gt;H44)*(I$3:I$22="P")),-1*SUMPRODUCT((P$3:P$22="")*(O$3:O$22="")*(N$3:N$22="")*(M$3:M$22="P")*(G$3:G$22=G44)*(J$3:J$22&gt;J44)*(H$3:H$22="L5")*(I$3:I$22="P")))+1,"")))))</f>
        <v/>
      </c>
      <c r="B44" s="1" t="str" cm="1">
        <f t="array" ref="B44">IF(P44&lt;&gt;"",SUMPRODUCT((P$3:P$54&lt;&gt;"")*(G$3:G$54=G44)*(J$3:J$54&gt;J44))+1,IF(O44&lt;&gt;"",SUMPRODUCT((O$3:O$54&lt;&gt;"")*(P$3:P$54="")*(G$3:G$54=G44)*(J$3:J$54&gt;J44))+SUMPRODUCT((P$3:P$54&lt;&gt;"")*(G$3:G$54=G44))+1,IF(N44&lt;&gt;"",SUMPRODUCT((N$3:N$54&lt;&gt;"")*(G$3:G$54=G44)*(J$3:J$54&gt;J44))+1,IF(M44="P",SUMPRODUCT((O$3:O$54&lt;&gt;"")*(P$3:P$54="")*(G$3:G$54=G44))+SUMPRODUCT((P$3:P$54&lt;&gt;"")*(G$3:G$54=G44))+SUMPRODUCT((N$3:N$54&lt;&gt;"")*(G$3:G$54=G44))+SUMPRODUCT((P$3:P$54="")*(O$3:O$54="")*(N$3:N$54="")*(M$3:M$54="P")*(G$3:G$54=G44)*(J$3:J$54&gt;J44))+IF(H44="L5",SUMPRODUCT((P$3:P$54="")*(O$3:O$54="")*(N$3:N$54="")*(M$3:M$54="P")*(G$3:G$54=G44)*(J$3:J$54&lt;J44)*(H$3:H$54&lt;&gt;H44)),-1*SUMPRODUCT((P$3:P$54="")*(O$3:O$54="")*(N$3:N$54="")*(M$3:M$54="P")*(G$3:G$54=G44)*(J$3:J$54&gt;J44)*(H$3:H$54="L5")))+1,""))))</f>
        <v/>
      </c>
      <c r="C44" s="35" t="s">
        <v>375</v>
      </c>
      <c r="D44" s="35" t="str">
        <f>IF(E44="","",VLOOKUP(E44,'Coaching Points'!A:B,2,0))</f>
        <v>ON</v>
      </c>
      <c r="E44" s="35" t="s">
        <v>138</v>
      </c>
      <c r="F44" s="34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64</v>
      </c>
      <c r="I44" s="40"/>
      <c r="J44" s="4">
        <f t="shared" si="4"/>
        <v>38.299999999999997</v>
      </c>
      <c r="K44" s="3" t="str">
        <f>IF(G44="Not Age Eligible","",IF(MAX(T44,W44,Z44,AC44)&gt;=LOOKUP(G44,'Qualifying Scores'!$A$4:$A$7,'Qualifying Scores'!$I$4:$I$7),"P",""))</f>
        <v/>
      </c>
      <c r="L44" s="3" t="str">
        <f>IF(G44="Not Age Eligible","",IF(MAX(U44,X44,AA44,AD44)&gt;=LOOKUP(G44,'Qualifying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Scores'!$I$10:$I$13)),AND(Z44&gt;=LOOKUP(G44,'Qualifying Scores'!$A$4:$A$7,'Qualifying Scores'!$I$4:$I$7),AA44&gt;=LOOKUP(G44,'Qualifying Scores'!$A$10:$A$13,'Qualifying Scores'!$I$10:$I$13)),AND(W44&gt;=LOOKUP(G44,'Qualifying Scores'!$A$4:$A$7,'Qualifying Scores'!$I$4:$I$7),X44&gt;=LOOKUP(G44,'Qualifying Scores'!$A$10:$A$13,'Qualifying Scores'!$I$10:$I$13)),AND(AC44&gt;=LOOKUP(G44,'Qualifying Scores'!$A$4:$A$7,'Qualifying Scores'!$I$4:$I$7),AD44&gt;=LOOKUP(G44,'Qualifying Scores'!$A$10:$A$13,'Qualifying Scores'!$I$10:$I$13))),"P",""))</f>
        <v/>
      </c>
      <c r="Q44" s="1" t="str">
        <f t="shared" si="5"/>
        <v/>
      </c>
      <c r="R44" s="4">
        <f t="shared" si="6"/>
        <v>38.299999999999997</v>
      </c>
      <c r="S44" s="4">
        <f t="shared" si="7"/>
        <v>37.5</v>
      </c>
      <c r="T44" s="32">
        <v>37.5</v>
      </c>
      <c r="U44" s="37">
        <v>4.5999999999999996</v>
      </c>
      <c r="V44" s="37">
        <v>0</v>
      </c>
      <c r="W44" s="33">
        <v>38.299999999999997</v>
      </c>
      <c r="X44" s="37">
        <v>4.5999999999999996</v>
      </c>
      <c r="Y44" s="37">
        <v>0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$22&lt;&gt;"")*(G$3:G$22=G45)*(J$3:J$22&gt;J45)*(I$3:I$22="P"))+1,IF(O45&lt;&gt;"",SUMPRODUCT((O$3:O$22&lt;&gt;"")*(P$3:P$22="")*(G$3:G$22=G45)*(J$3:J$22&gt;J45)*(I$3:I$22="P"))+SUMPRODUCT((P$3:P$22&lt;&gt;"")*(G$3:G$22=G45)*(I$3:I$22="P"))+1,IF(N45&lt;&gt;"",SUMPRODUCT((N$3:N$22&lt;&gt;"")*(G$3:G$22=G45)*(J$3:J$22&gt;J45)*(I$3:I$22="P"))+1,IF(M45="P",SUMPRODUCT((O$3:O$22&lt;&gt;"")*(P$3:P$22="")*(G$3:G$22=G45)*(I$3:I$22="P"))+SUMPRODUCT((P$3:P$22&lt;&gt;"")*(G$3:G$22=G45)*(I$3:I$22="P"))+SUMPRODUCT((N$3:N$22&lt;&gt;"")*(G$3:G$22=G45)*(I$3:I$22="P"))+SUMPRODUCT((P$3:P$22="")*(O$3:O$22="")*(N$3:N$22="")*(M$3:M$22="P")*(G$3:G$22=G45)*(J$3:J$22&gt;J45)*(I$3:I$22="P"))+IF(H45="L5",SUMPRODUCT((P$3:P$22="")*(O$3:O$22="")*(N$3:N$22="")*(M$3:M$22="P")*(G$3:G$22=G45)*(J$3:J$22&lt;J45)*(H$3:H$22&lt;&gt;H45)*(I$3:I$22="P")),-1*SUMPRODUCT((P$3:P$22="")*(O$3:O$22="")*(N$3:N$22="")*(M$3:M$22="P")*(G$3:G$22=G45)*(J$3:J$22&gt;J45)*(H$3:H$22="L5")*(I$3:I$22="P")))+1,"")))))</f>
        <v/>
      </c>
      <c r="B45" s="1" t="str" cm="1">
        <f t="array" ref="B45">IF(P45&lt;&gt;"",SUMPRODUCT((P$3:P$54&lt;&gt;"")*(G$3:G$54=G45)*(J$3:J$54&gt;J45))+1,IF(O45&lt;&gt;"",SUMPRODUCT((O$3:O$54&lt;&gt;"")*(P$3:P$54="")*(G$3:G$54=G45)*(J$3:J$54&gt;J45))+SUMPRODUCT((P$3:P$54&lt;&gt;"")*(G$3:G$54=G45))+1,IF(N45&lt;&gt;"",SUMPRODUCT((N$3:N$54&lt;&gt;"")*(G$3:G$54=G45)*(J$3:J$54&gt;J45))+1,IF(M45="P",SUMPRODUCT((O$3:O$54&lt;&gt;"")*(P$3:P$54="")*(G$3:G$54=G45))+SUMPRODUCT((P$3:P$54&lt;&gt;"")*(G$3:G$54=G45))+SUMPRODUCT((N$3:N$54&lt;&gt;"")*(G$3:G$54=G45))+SUMPRODUCT((P$3:P$54="")*(O$3:O$54="")*(N$3:N$54="")*(M$3:M$54="P")*(G$3:G$54=G45)*(J$3:J$54&gt;J45))+IF(H45="L5",SUMPRODUCT((P$3:P$54="")*(O$3:O$54="")*(N$3:N$54="")*(M$3:M$54="P")*(G$3:G$54=G45)*(J$3:J$54&lt;J45)*(H$3:H$54&lt;&gt;H45)),-1*SUMPRODUCT((P$3:P$54="")*(O$3:O$54="")*(N$3:N$54="")*(M$3:M$54="P")*(G$3:G$54=G45)*(J$3:J$54&gt;J45)*(H$3:H$54="L5")))+1,""))))</f>
        <v/>
      </c>
      <c r="C45" s="35" t="s">
        <v>238</v>
      </c>
      <c r="D45" s="35" t="str">
        <f>IF(E45="","",VLOOKUP(E45,'Coaching Points'!A:B,2,0))</f>
        <v>ON</v>
      </c>
      <c r="E45" s="35" t="s">
        <v>45</v>
      </c>
      <c r="F45" s="34">
        <v>2009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64</v>
      </c>
      <c r="I45" s="40"/>
      <c r="J45" s="4">
        <f t="shared" si="4"/>
        <v>38.200000000000003</v>
      </c>
      <c r="K45" s="3" t="str">
        <f>IF(G45="Not Age Eligible","",IF(MAX(T45,W45,Z45,AC45)&gt;=LOOKUP(G45,'Qualifying Scores'!$A$4:$A$7,'Qualifying Scores'!$I$4:$I$7),"P",""))</f>
        <v/>
      </c>
      <c r="L45" s="3" t="str">
        <f>IF(G45="Not Age Eligible","",IF(MAX(U45,X45,AA45,AD45)&gt;=LOOKUP(G45,'Qualifying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Scores'!$I$10:$I$13)),AND(Z45&gt;=LOOKUP(G45,'Qualifying Scores'!$A$4:$A$7,'Qualifying Scores'!$I$4:$I$7),AA45&gt;=LOOKUP(G45,'Qualifying Scores'!$A$10:$A$13,'Qualifying Scores'!$I$10:$I$13)),AND(W45&gt;=LOOKUP(G45,'Qualifying Scores'!$A$4:$A$7,'Qualifying Scores'!$I$4:$I$7),X45&gt;=LOOKUP(G45,'Qualifying Scores'!$A$10:$A$13,'Qualifying Scores'!$I$10:$I$13)),AND(AC45&gt;=LOOKUP(G45,'Qualifying Scores'!$A$4:$A$7,'Qualifying Scores'!$I$4:$I$7),AD45&gt;=LOOKUP(G45,'Qualifying Scores'!$A$10:$A$13,'Qualifying Scores'!$I$10:$I$13))),"P",""))</f>
        <v/>
      </c>
      <c r="Q45" s="1" t="str">
        <f t="shared" si="5"/>
        <v/>
      </c>
      <c r="R45" s="4">
        <f t="shared" si="6"/>
        <v>38.200000000000003</v>
      </c>
      <c r="S45" s="4">
        <f t="shared" si="7"/>
        <v>38</v>
      </c>
      <c r="T45" s="32">
        <v>38</v>
      </c>
      <c r="U45" s="37">
        <v>5.0999999999999996</v>
      </c>
      <c r="V45" s="37">
        <v>0</v>
      </c>
      <c r="W45" s="33">
        <v>38.200000000000003</v>
      </c>
      <c r="X45" s="37">
        <v>4.3000000000000007</v>
      </c>
      <c r="Y45" s="37">
        <v>0</v>
      </c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$22&lt;&gt;"")*(G$3:G$22=G46)*(J$3:J$22&gt;J46)*(I$3:I$22="P"))+1,IF(O46&lt;&gt;"",SUMPRODUCT((O$3:O$22&lt;&gt;"")*(P$3:P$22="")*(G$3:G$22=G46)*(J$3:J$22&gt;J46)*(I$3:I$22="P"))+SUMPRODUCT((P$3:P$22&lt;&gt;"")*(G$3:G$22=G46)*(I$3:I$22="P"))+1,IF(N46&lt;&gt;"",SUMPRODUCT((N$3:N$22&lt;&gt;"")*(G$3:G$22=G46)*(J$3:J$22&gt;J46)*(I$3:I$22="P"))+1,IF(M46="P",SUMPRODUCT((O$3:O$22&lt;&gt;"")*(P$3:P$22="")*(G$3:G$22=G46)*(I$3:I$22="P"))+SUMPRODUCT((P$3:P$22&lt;&gt;"")*(G$3:G$22=G46)*(I$3:I$22="P"))+SUMPRODUCT((N$3:N$22&lt;&gt;"")*(G$3:G$22=G46)*(I$3:I$22="P"))+SUMPRODUCT((P$3:P$22="")*(O$3:O$22="")*(N$3:N$22="")*(M$3:M$22="P")*(G$3:G$22=G46)*(J$3:J$22&gt;J46)*(I$3:I$22="P"))+IF(H46="L5",SUMPRODUCT((P$3:P$22="")*(O$3:O$22="")*(N$3:N$22="")*(M$3:M$22="P")*(G$3:G$22=G46)*(J$3:J$22&lt;J46)*(H$3:H$22&lt;&gt;H46)*(I$3:I$22="P")),-1*SUMPRODUCT((P$3:P$22="")*(O$3:O$22="")*(N$3:N$22="")*(M$3:M$22="P")*(G$3:G$22=G46)*(J$3:J$22&gt;J46)*(H$3:H$22="L5")*(I$3:I$22="P")))+1,"")))))</f>
        <v/>
      </c>
      <c r="B46" s="1" t="str" cm="1">
        <f t="array" ref="B46">IF(P46&lt;&gt;"",SUMPRODUCT((P$3:P$54&lt;&gt;"")*(G$3:G$54=G46)*(J$3:J$54&gt;J46))+1,IF(O46&lt;&gt;"",SUMPRODUCT((O$3:O$54&lt;&gt;"")*(P$3:P$54="")*(G$3:G$54=G46)*(J$3:J$54&gt;J46))+SUMPRODUCT((P$3:P$54&lt;&gt;"")*(G$3:G$54=G46))+1,IF(N46&lt;&gt;"",SUMPRODUCT((N$3:N$54&lt;&gt;"")*(G$3:G$54=G46)*(J$3:J$54&gt;J46))+1,IF(M46="P",SUMPRODUCT((O$3:O$54&lt;&gt;"")*(P$3:P$54="")*(G$3:G$54=G46))+SUMPRODUCT((P$3:P$54&lt;&gt;"")*(G$3:G$54=G46))+SUMPRODUCT((N$3:N$54&lt;&gt;"")*(G$3:G$54=G46))+SUMPRODUCT((P$3:P$54="")*(O$3:O$54="")*(N$3:N$54="")*(M$3:M$54="P")*(G$3:G$54=G46)*(J$3:J$54&gt;J46))+IF(H46="L5",SUMPRODUCT((P$3:P$54="")*(O$3:O$54="")*(N$3:N$54="")*(M$3:M$54="P")*(G$3:G$54=G46)*(J$3:J$54&lt;J46)*(H$3:H$54&lt;&gt;H46)),-1*SUMPRODUCT((P$3:P$54="")*(O$3:O$54="")*(N$3:N$54="")*(M$3:M$54="P")*(G$3:G$54=G46)*(J$3:J$54&gt;J46)*(H$3:H$54="L5")))+1,""))))</f>
        <v/>
      </c>
      <c r="C46" s="35" t="s">
        <v>211</v>
      </c>
      <c r="D46" s="35" t="str">
        <f>IF(E46="","",VLOOKUP(E46,'Coaching Points'!A:B,2,0))</f>
        <v>AB</v>
      </c>
      <c r="E46" s="35" t="s">
        <v>56</v>
      </c>
      <c r="F46" s="34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64</v>
      </c>
      <c r="I46" s="40"/>
      <c r="J46" s="4">
        <f t="shared" si="4"/>
        <v>38</v>
      </c>
      <c r="K46" s="3" t="str">
        <f>IF(G46="Not Age Eligible","",IF(MAX(T46,W46,Z46,AC46)&gt;=LOOKUP(G46,'Qualifying Scores'!$A$4:$A$7,'Qualifying Scores'!$I$4:$I$7),"P",""))</f>
        <v/>
      </c>
      <c r="L46" s="3" t="str">
        <f>IF(G46="Not Age Eligible","",IF(MAX(U46,X46,AA46,AD46)&gt;=LOOKUP(G46,'Qualifying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Scores'!$I$10:$I$13)),AND(Z46&gt;=LOOKUP(G46,'Qualifying Scores'!$A$4:$A$7,'Qualifying Scores'!$I$4:$I$7),AA46&gt;=LOOKUP(G46,'Qualifying Scores'!$A$10:$A$13,'Qualifying Scores'!$I$10:$I$13)),AND(W46&gt;=LOOKUP(G46,'Qualifying Scores'!$A$4:$A$7,'Qualifying Scores'!$I$4:$I$7),X46&gt;=LOOKUP(G46,'Qualifying Scores'!$A$10:$A$13,'Qualifying Scores'!$I$10:$I$13)),AND(AC46&gt;=LOOKUP(G46,'Qualifying Scores'!$A$4:$A$7,'Qualifying Scores'!$I$4:$I$7),AD46&gt;=LOOKUP(G46,'Qualifying Scores'!$A$10:$A$13,'Qualifying Scores'!$I$10:$I$13))),"P",""))</f>
        <v/>
      </c>
      <c r="Q46" s="1" t="str">
        <f t="shared" si="5"/>
        <v/>
      </c>
      <c r="R46" s="4">
        <f t="shared" si="6"/>
        <v>38</v>
      </c>
      <c r="S46" s="4">
        <f t="shared" si="7"/>
        <v>35.200000000000003</v>
      </c>
      <c r="T46" s="32">
        <v>35.200000000000003</v>
      </c>
      <c r="U46" s="37">
        <v>4.3</v>
      </c>
      <c r="V46" s="37">
        <v>0</v>
      </c>
      <c r="W46" s="33">
        <v>39</v>
      </c>
      <c r="X46" s="37">
        <v>5.3000000000000007</v>
      </c>
      <c r="Y46" s="37">
        <v>1</v>
      </c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$22&lt;&gt;"")*(G$3:G$22=G47)*(J$3:J$22&gt;J47)*(I$3:I$22="P"))+1,IF(O47&lt;&gt;"",SUMPRODUCT((O$3:O$22&lt;&gt;"")*(P$3:P$22="")*(G$3:G$22=G47)*(J$3:J$22&gt;J47)*(I$3:I$22="P"))+SUMPRODUCT((P$3:P$22&lt;&gt;"")*(G$3:G$22=G47)*(I$3:I$22="P"))+1,IF(N47&lt;&gt;"",SUMPRODUCT((N$3:N$22&lt;&gt;"")*(G$3:G$22=G47)*(J$3:J$22&gt;J47)*(I$3:I$22="P"))+1,IF(M47="P",SUMPRODUCT((O$3:O$22&lt;&gt;"")*(P$3:P$22="")*(G$3:G$22=G47)*(I$3:I$22="P"))+SUMPRODUCT((P$3:P$22&lt;&gt;"")*(G$3:G$22=G47)*(I$3:I$22="P"))+SUMPRODUCT((N$3:N$22&lt;&gt;"")*(G$3:G$22=G47)*(I$3:I$22="P"))+SUMPRODUCT((P$3:P$22="")*(O$3:O$22="")*(N$3:N$22="")*(M$3:M$22="P")*(G$3:G$22=G47)*(J$3:J$22&gt;J47)*(I$3:I$22="P"))+IF(H47="L5",SUMPRODUCT((P$3:P$22="")*(O$3:O$22="")*(N$3:N$22="")*(M$3:M$22="P")*(G$3:G$22=G47)*(J$3:J$22&lt;J47)*(H$3:H$22&lt;&gt;H47)*(I$3:I$22="P")),-1*SUMPRODUCT((P$3:P$22="")*(O$3:O$22="")*(N$3:N$22="")*(M$3:M$22="P")*(G$3:G$22=G47)*(J$3:J$22&gt;J47)*(H$3:H$22="L5")*(I$3:I$22="P")))+1,"")))))</f>
        <v/>
      </c>
      <c r="B47" s="1" t="str" cm="1">
        <f t="array" ref="B47">IF(P47&lt;&gt;"",SUMPRODUCT((P$3:P$54&lt;&gt;"")*(G$3:G$54=G47)*(J$3:J$54&gt;J47))+1,IF(O47&lt;&gt;"",SUMPRODUCT((O$3:O$54&lt;&gt;"")*(P$3:P$54="")*(G$3:G$54=G47)*(J$3:J$54&gt;J47))+SUMPRODUCT((P$3:P$54&lt;&gt;"")*(G$3:G$54=G47))+1,IF(N47&lt;&gt;"",SUMPRODUCT((N$3:N$54&lt;&gt;"")*(G$3:G$54=G47)*(J$3:J$54&gt;J47))+1,IF(M47="P",SUMPRODUCT((O$3:O$54&lt;&gt;"")*(P$3:P$54="")*(G$3:G$54=G47))+SUMPRODUCT((P$3:P$54&lt;&gt;"")*(G$3:G$54=G47))+SUMPRODUCT((N$3:N$54&lt;&gt;"")*(G$3:G$54=G47))+SUMPRODUCT((P$3:P$54="")*(O$3:O$54="")*(N$3:N$54="")*(M$3:M$54="P")*(G$3:G$54=G47)*(J$3:J$54&gt;J47))+IF(H47="L5",SUMPRODUCT((P$3:P$54="")*(O$3:O$54="")*(N$3:N$54="")*(M$3:M$54="P")*(G$3:G$54=G47)*(J$3:J$54&lt;J47)*(H$3:H$54&lt;&gt;H47)),-1*SUMPRODUCT((P$3:P$54="")*(O$3:O$54="")*(N$3:N$54="")*(M$3:M$54="P")*(G$3:G$54=G47)*(J$3:J$54&gt;J47)*(H$3:H$54="L5")))+1,""))))</f>
        <v/>
      </c>
      <c r="C47" s="35" t="s">
        <v>376</v>
      </c>
      <c r="D47" s="35" t="str">
        <f>IF(E47="","",VLOOKUP(E47,'Coaching Points'!A:B,2,0))</f>
        <v>QC</v>
      </c>
      <c r="E47" s="35" t="s">
        <v>156</v>
      </c>
      <c r="F47" s="34">
        <v>2009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64</v>
      </c>
      <c r="I47" s="40"/>
      <c r="J47" s="4">
        <f t="shared" si="4"/>
        <v>37.6</v>
      </c>
      <c r="K47" s="3" t="str">
        <f>IF(G47="Not Age Eligible","",IF(MAX(T47,W47,Z47,AC47)&gt;=LOOKUP(G47,'Qualifying Scores'!$A$4:$A$7,'Qualifying Scores'!$I$4:$I$7),"P",""))</f>
        <v/>
      </c>
      <c r="L47" s="3" t="str">
        <f>IF(G47="Not Age Eligible","",IF(MAX(U47,X47,AA47,AD47)&gt;=LOOKUP(G47,'Qualifying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Scores'!$I$10:$I$13)),AND(Z47&gt;=LOOKUP(G47,'Qualifying Scores'!$A$4:$A$7,'Qualifying Scores'!$I$4:$I$7),AA47&gt;=LOOKUP(G47,'Qualifying Scores'!$A$10:$A$13,'Qualifying Scores'!$I$10:$I$13)),AND(W47&gt;=LOOKUP(G47,'Qualifying Scores'!$A$4:$A$7,'Qualifying Scores'!$I$4:$I$7),X47&gt;=LOOKUP(G47,'Qualifying Scores'!$A$10:$A$13,'Qualifying Scores'!$I$10:$I$13)),AND(AC47&gt;=LOOKUP(G47,'Qualifying Scores'!$A$4:$A$7,'Qualifying Scores'!$I$4:$I$7),AD47&gt;=LOOKUP(G47,'Qualifying Scores'!$A$10:$A$13,'Qualifying Scores'!$I$10:$I$13))),"P",""))</f>
        <v/>
      </c>
      <c r="Q47" s="1" t="str">
        <f t="shared" si="5"/>
        <v/>
      </c>
      <c r="R47" s="4">
        <f t="shared" si="6"/>
        <v>37.6</v>
      </c>
      <c r="S47" s="4">
        <f t="shared" si="7"/>
        <v>36.9</v>
      </c>
      <c r="T47" s="32">
        <v>37.6</v>
      </c>
      <c r="U47" s="37">
        <v>4.3000000000000007</v>
      </c>
      <c r="V47" s="37">
        <v>0</v>
      </c>
      <c r="W47" s="33">
        <v>36.9</v>
      </c>
      <c r="X47" s="37">
        <v>4.5999999999999996</v>
      </c>
      <c r="Y47" s="37">
        <v>0</v>
      </c>
      <c r="Z47" s="32"/>
      <c r="AA47" s="37"/>
      <c r="AB47" s="37"/>
      <c r="AC47" s="33"/>
      <c r="AD47" s="37"/>
      <c r="AE47" s="37"/>
    </row>
    <row r="48" spans="1:31" x14ac:dyDescent="0.2">
      <c r="A48" s="1" t="str" cm="1">
        <f t="array" ref="A48">IF(I48="","",IF(P48&lt;&gt;"",SUMPRODUCT((P$3:P$22&lt;&gt;"")*(G$3:G$22=G48)*(J$3:J$22&gt;J48)*(I$3:I$22="P"))+1,IF(O48&lt;&gt;"",SUMPRODUCT((O$3:O$22&lt;&gt;"")*(P$3:P$22="")*(G$3:G$22=G48)*(J$3:J$22&gt;J48)*(I$3:I$22="P"))+SUMPRODUCT((P$3:P$22&lt;&gt;"")*(G$3:G$22=G48)*(I$3:I$22="P"))+1,IF(N48&lt;&gt;"",SUMPRODUCT((N$3:N$22&lt;&gt;"")*(G$3:G$22=G48)*(J$3:J$22&gt;J48)*(I$3:I$22="P"))+1,IF(M48="P",SUMPRODUCT((O$3:O$22&lt;&gt;"")*(P$3:P$22="")*(G$3:G$22=G48)*(I$3:I$22="P"))+SUMPRODUCT((P$3:P$22&lt;&gt;"")*(G$3:G$22=G48)*(I$3:I$22="P"))+SUMPRODUCT((N$3:N$22&lt;&gt;"")*(G$3:G$22=G48)*(I$3:I$22="P"))+SUMPRODUCT((P$3:P$22="")*(O$3:O$22="")*(N$3:N$22="")*(M$3:M$22="P")*(G$3:G$22=G48)*(J$3:J$22&gt;J48)*(I$3:I$22="P"))+IF(H48="L5",SUMPRODUCT((P$3:P$22="")*(O$3:O$22="")*(N$3:N$22="")*(M$3:M$22="P")*(G$3:G$22=G48)*(J$3:J$22&lt;J48)*(H$3:H$22&lt;&gt;H48)*(I$3:I$22="P")),-1*SUMPRODUCT((P$3:P$22="")*(O$3:O$22="")*(N$3:N$22="")*(M$3:M$22="P")*(G$3:G$22=G48)*(J$3:J$22&gt;J48)*(H$3:H$22="L5")*(I$3:I$22="P")))+1,"")))))</f>
        <v/>
      </c>
      <c r="B48" s="1" t="str" cm="1">
        <f t="array" ref="B48">IF(P48&lt;&gt;"",SUMPRODUCT((P$3:P$54&lt;&gt;"")*(G$3:G$54=G48)*(J$3:J$54&gt;J48))+1,IF(O48&lt;&gt;"",SUMPRODUCT((O$3:O$54&lt;&gt;"")*(P$3:P$54="")*(G$3:G$54=G48)*(J$3:J$54&gt;J48))+SUMPRODUCT((P$3:P$54&lt;&gt;"")*(G$3:G$54=G48))+1,IF(N48&lt;&gt;"",SUMPRODUCT((N$3:N$54&lt;&gt;"")*(G$3:G$54=G48)*(J$3:J$54&gt;J48))+1,IF(M48="P",SUMPRODUCT((O$3:O$54&lt;&gt;"")*(P$3:P$54="")*(G$3:G$54=G48))+SUMPRODUCT((P$3:P$54&lt;&gt;"")*(G$3:G$54=G48))+SUMPRODUCT((N$3:N$54&lt;&gt;"")*(G$3:G$54=G48))+SUMPRODUCT((P$3:P$54="")*(O$3:O$54="")*(N$3:N$54="")*(M$3:M$54="P")*(G$3:G$54=G48)*(J$3:J$54&gt;J48))+IF(H48="L5",SUMPRODUCT((P$3:P$54="")*(O$3:O$54="")*(N$3:N$54="")*(M$3:M$54="P")*(G$3:G$54=G48)*(J$3:J$54&lt;J48)*(H$3:H$54&lt;&gt;H48)),-1*SUMPRODUCT((P$3:P$54="")*(O$3:O$54="")*(N$3:N$54="")*(M$3:M$54="P")*(G$3:G$54=G48)*(J$3:J$54&gt;J48)*(H$3:H$54="L5")))+1,""))))</f>
        <v/>
      </c>
      <c r="C48" s="35" t="s">
        <v>307</v>
      </c>
      <c r="D48" s="35" t="str">
        <f>IF(E48="","",VLOOKUP(E48,'Coaching Points'!A:B,2,0))</f>
        <v>AB</v>
      </c>
      <c r="E48" s="35" t="s">
        <v>61</v>
      </c>
      <c r="F48" s="34">
        <v>2008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65</v>
      </c>
      <c r="I48" s="40"/>
      <c r="J48" s="4">
        <f t="shared" si="4"/>
        <v>37.400100000000002</v>
      </c>
      <c r="K48" s="3" t="str">
        <f>IF(G48="Not Age Eligible","",IF(MAX(T48,W48,Z48,AC48)&gt;=LOOKUP(G48,'Qualifying Scores'!$A$4:$A$7,'Qualifying Scores'!$I$4:$I$7),"P",""))</f>
        <v/>
      </c>
      <c r="L48" s="3" t="str">
        <f>IF(G48="Not Age Eligible","",IF(MAX(U48,X48,AA48,AD48)&gt;=LOOKUP(G48,'Qualifying Scores'!$A$10:$A$13,'Qualifying Scores'!$I$10:$I$13),"P",""))</f>
        <v>P</v>
      </c>
      <c r="M48" s="3" t="str">
        <f>IF(G48="Not Age Eligible","",IF(OR(AND(T48&gt;=LOOKUP(G48,'Qualifying Scores'!$A$4:$A$7,'Qualifying Scores'!$I$4:$I$7),U48&gt;=LOOKUP(G48,'Qualifying Scores'!$A$10:$A$13,'Qualifying Scores'!$I$10:$I$13)),AND(Z48&gt;=LOOKUP(G48,'Qualifying Scores'!$A$4:$A$7,'Qualifying Scores'!$I$4:$I$7),AA48&gt;=LOOKUP(G48,'Qualifying Scores'!$A$10:$A$13,'Qualifying Scores'!$I$10:$I$13)),AND(W48&gt;=LOOKUP(G48,'Qualifying Scores'!$A$4:$A$7,'Qualifying Scores'!$I$4:$I$7),X48&gt;=LOOKUP(G48,'Qualifying Scores'!$A$10:$A$13,'Qualifying Scores'!$I$10:$I$13)),AND(AC48&gt;=LOOKUP(G48,'Qualifying Scores'!$A$4:$A$7,'Qualifying Scores'!$I$4:$I$7),AD48&gt;=LOOKUP(G48,'Qualifying Scores'!$A$10:$A$13,'Qualifying Scores'!$I$10:$I$13))),"P",""))</f>
        <v/>
      </c>
      <c r="Q48" s="1" t="str">
        <f t="shared" si="5"/>
        <v/>
      </c>
      <c r="R48" s="4">
        <f t="shared" si="6"/>
        <v>37.4</v>
      </c>
      <c r="S48" s="4">
        <f t="shared" si="7"/>
        <v>35.300000000000004</v>
      </c>
      <c r="T48" s="32">
        <v>36.200000000000003</v>
      </c>
      <c r="U48" s="37">
        <v>5.4</v>
      </c>
      <c r="V48" s="37">
        <v>0.89999999999999991</v>
      </c>
      <c r="W48" s="33">
        <v>38</v>
      </c>
      <c r="X48" s="37">
        <v>7.4</v>
      </c>
      <c r="Y48" s="37">
        <v>0.6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$22&lt;&gt;"")*(G$3:G$22=G49)*(J$3:J$22&gt;J49)*(I$3:I$22="P"))+1,IF(O49&lt;&gt;"",SUMPRODUCT((O$3:O$22&lt;&gt;"")*(P$3:P$22="")*(G$3:G$22=G49)*(J$3:J$22&gt;J49)*(I$3:I$22="P"))+SUMPRODUCT((P$3:P$22&lt;&gt;"")*(G$3:G$22=G49)*(I$3:I$22="P"))+1,IF(N49&lt;&gt;"",SUMPRODUCT((N$3:N$22&lt;&gt;"")*(G$3:G$22=G49)*(J$3:J$22&gt;J49)*(I$3:I$22="P"))+1,IF(M49="P",SUMPRODUCT((O$3:O$22&lt;&gt;"")*(P$3:P$22="")*(G$3:G$22=G49)*(I$3:I$22="P"))+SUMPRODUCT((P$3:P$22&lt;&gt;"")*(G$3:G$22=G49)*(I$3:I$22="P"))+SUMPRODUCT((N$3:N$22&lt;&gt;"")*(G$3:G$22=G49)*(I$3:I$22="P"))+SUMPRODUCT((P$3:P$22="")*(O$3:O$22="")*(N$3:N$22="")*(M$3:M$22="P")*(G$3:G$22=G49)*(J$3:J$22&gt;J49)*(I$3:I$22="P"))+IF(H49="L5",SUMPRODUCT((P$3:P$22="")*(O$3:O$22="")*(N$3:N$22="")*(M$3:M$22="P")*(G$3:G$22=G49)*(J$3:J$22&lt;J49)*(H$3:H$22&lt;&gt;H49)*(I$3:I$22="P")),-1*SUMPRODUCT((P$3:P$22="")*(O$3:O$22="")*(N$3:N$22="")*(M$3:M$22="P")*(G$3:G$22=G49)*(J$3:J$22&gt;J49)*(H$3:H$22="L5")*(I$3:I$22="P")))+1,"")))))</f>
        <v/>
      </c>
      <c r="B49" s="1" t="str" cm="1">
        <f t="array" ref="B49">IF(P49&lt;&gt;"",SUMPRODUCT((P$3:P$54&lt;&gt;"")*(G$3:G$54=G49)*(J$3:J$54&gt;J49))+1,IF(O49&lt;&gt;"",SUMPRODUCT((O$3:O$54&lt;&gt;"")*(P$3:P$54="")*(G$3:G$54=G49)*(J$3:J$54&gt;J49))+SUMPRODUCT((P$3:P$54&lt;&gt;"")*(G$3:G$54=G49))+1,IF(N49&lt;&gt;"",SUMPRODUCT((N$3:N$54&lt;&gt;"")*(G$3:G$54=G49)*(J$3:J$54&gt;J49))+1,IF(M49="P",SUMPRODUCT((O$3:O$54&lt;&gt;"")*(P$3:P$54="")*(G$3:G$54=G49))+SUMPRODUCT((P$3:P$54&lt;&gt;"")*(G$3:G$54=G49))+SUMPRODUCT((N$3:N$54&lt;&gt;"")*(G$3:G$54=G49))+SUMPRODUCT((P$3:P$54="")*(O$3:O$54="")*(N$3:N$54="")*(M$3:M$54="P")*(G$3:G$54=G49)*(J$3:J$54&gt;J49))+IF(H49="L5",SUMPRODUCT((P$3:P$54="")*(O$3:O$54="")*(N$3:N$54="")*(M$3:M$54="P")*(G$3:G$54=G49)*(J$3:J$54&lt;J49)*(H$3:H$54&lt;&gt;H49)),-1*SUMPRODUCT((P$3:P$54="")*(O$3:O$54="")*(N$3:N$54="")*(M$3:M$54="P")*(G$3:G$54=G49)*(J$3:J$54&gt;J49)*(H$3:H$54="L5")))+1,""))))</f>
        <v/>
      </c>
      <c r="C49" s="35" t="s">
        <v>212</v>
      </c>
      <c r="D49" s="35" t="str">
        <f>IF(E49="","",VLOOKUP(E49,'Coaching Points'!A:B,2,0))</f>
        <v>AB</v>
      </c>
      <c r="E49" s="35" t="s">
        <v>28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64</v>
      </c>
      <c r="I49" s="40"/>
      <c r="J49" s="4">
        <f t="shared" si="4"/>
        <v>35.6</v>
      </c>
      <c r="K49" s="3" t="str">
        <f>IF(G49="Not Age Eligible","",IF(MAX(T49,W49,Z49,AC49)&gt;=LOOKUP(G49,'Qualifying Scores'!$A$4:$A$7,'Qualifying Scores'!$I$4:$I$7),"P",""))</f>
        <v/>
      </c>
      <c r="L49" s="3" t="str">
        <f>IF(G49="Not Age Eligible","",IF(MAX(U49,X49,AA49,AD49)&gt;=LOOKUP(G49,'Qualifying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Scores'!$I$10:$I$13)),AND(Z49&gt;=LOOKUP(G49,'Qualifying Scores'!$A$4:$A$7,'Qualifying Scores'!$I$4:$I$7),AA49&gt;=LOOKUP(G49,'Qualifying Scores'!$A$10:$A$13,'Qualifying Scores'!$I$10:$I$13)),AND(W49&gt;=LOOKUP(G49,'Qualifying Scores'!$A$4:$A$7,'Qualifying Scores'!$I$4:$I$7),X49&gt;=LOOKUP(G49,'Qualifying Scores'!$A$10:$A$13,'Qualifying Scores'!$I$10:$I$13)),AND(AC49&gt;=LOOKUP(G49,'Qualifying Scores'!$A$4:$A$7,'Qualifying Scores'!$I$4:$I$7),AD49&gt;=LOOKUP(G49,'Qualifying Scores'!$A$10:$A$13,'Qualifying Scores'!$I$10:$I$13))),"P",""))</f>
        <v/>
      </c>
      <c r="Q49" s="1" t="str">
        <f t="shared" si="5"/>
        <v/>
      </c>
      <c r="R49" s="4">
        <f t="shared" si="6"/>
        <v>35.6</v>
      </c>
      <c r="S49" s="4">
        <f t="shared" si="7"/>
        <v>35.4</v>
      </c>
      <c r="T49" s="32">
        <v>35.4</v>
      </c>
      <c r="U49" s="37">
        <v>3.3</v>
      </c>
      <c r="V49" s="37">
        <v>0</v>
      </c>
      <c r="W49" s="33">
        <v>35.6</v>
      </c>
      <c r="X49" s="37">
        <v>4.4000000000000004</v>
      </c>
      <c r="Y49" s="37">
        <v>0</v>
      </c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$22&lt;&gt;"")*(G$3:G$22=G50)*(J$3:J$22&gt;J50)*(I$3:I$22="P"))+1,IF(O50&lt;&gt;"",SUMPRODUCT((O$3:O$22&lt;&gt;"")*(P$3:P$22="")*(G$3:G$22=G50)*(J$3:J$22&gt;J50)*(I$3:I$22="P"))+SUMPRODUCT((P$3:P$22&lt;&gt;"")*(G$3:G$22=G50)*(I$3:I$22="P"))+1,IF(N50&lt;&gt;"",SUMPRODUCT((N$3:N$22&lt;&gt;"")*(G$3:G$22=G50)*(J$3:J$22&gt;J50)*(I$3:I$22="P"))+1,IF(M50="P",SUMPRODUCT((O$3:O$22&lt;&gt;"")*(P$3:P$22="")*(G$3:G$22=G50)*(I$3:I$22="P"))+SUMPRODUCT((P$3:P$22&lt;&gt;"")*(G$3:G$22=G50)*(I$3:I$22="P"))+SUMPRODUCT((N$3:N$22&lt;&gt;"")*(G$3:G$22=G50)*(I$3:I$22="P"))+SUMPRODUCT((P$3:P$22="")*(O$3:O$22="")*(N$3:N$22="")*(M$3:M$22="P")*(G$3:G$22=G50)*(J$3:J$22&gt;J50)*(I$3:I$22="P"))+IF(H50="L5",SUMPRODUCT((P$3:P$22="")*(O$3:O$22="")*(N$3:N$22="")*(M$3:M$22="P")*(G$3:G$22=G50)*(J$3:J$22&lt;J50)*(H$3:H$22&lt;&gt;H50)*(I$3:I$22="P")),-1*SUMPRODUCT((P$3:P$22="")*(O$3:O$22="")*(N$3:N$22="")*(M$3:M$22="P")*(G$3:G$22=G50)*(J$3:J$22&gt;J50)*(H$3:H$22="L5")*(I$3:I$22="P")))+1,"")))))</f>
        <v/>
      </c>
      <c r="B50" s="1" t="str" cm="1">
        <f t="array" ref="B50">IF(P50&lt;&gt;"",SUMPRODUCT((P$3:P$54&lt;&gt;"")*(G$3:G$54=G50)*(J$3:J$54&gt;J50))+1,IF(O50&lt;&gt;"",SUMPRODUCT((O$3:O$54&lt;&gt;"")*(P$3:P$54="")*(G$3:G$54=G50)*(J$3:J$54&gt;J50))+SUMPRODUCT((P$3:P$54&lt;&gt;"")*(G$3:G$54=G50))+1,IF(N50&lt;&gt;"",SUMPRODUCT((N$3:N$54&lt;&gt;"")*(G$3:G$54=G50)*(J$3:J$54&gt;J50))+1,IF(M50="P",SUMPRODUCT((O$3:O$54&lt;&gt;"")*(P$3:P$54="")*(G$3:G$54=G50))+SUMPRODUCT((P$3:P$54&lt;&gt;"")*(G$3:G$54=G50))+SUMPRODUCT((N$3:N$54&lt;&gt;"")*(G$3:G$54=G50))+SUMPRODUCT((P$3:P$54="")*(O$3:O$54="")*(N$3:N$54="")*(M$3:M$54="P")*(G$3:G$54=G50)*(J$3:J$54&gt;J50))+IF(H50="L5",SUMPRODUCT((P$3:P$54="")*(O$3:O$54="")*(N$3:N$54="")*(M$3:M$54="P")*(G$3:G$54=G50)*(J$3:J$54&lt;J50)*(H$3:H$54&lt;&gt;H50)),-1*SUMPRODUCT((P$3:P$54="")*(O$3:O$54="")*(N$3:N$54="")*(M$3:M$54="P")*(G$3:G$54=G50)*(J$3:J$54&gt;J50)*(H$3:H$54="L5")))+1,""))))</f>
        <v/>
      </c>
      <c r="C50" s="35" t="s">
        <v>230</v>
      </c>
      <c r="D50" s="35" t="str">
        <f>IF(E50="","",VLOOKUP(E50,'Coaching Points'!A:B,2,0))</f>
        <v>AB</v>
      </c>
      <c r="E50" s="35" t="s">
        <v>28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64</v>
      </c>
      <c r="I50" s="40"/>
      <c r="J50" s="4">
        <f t="shared" si="4"/>
        <v>34.700000000000003</v>
      </c>
      <c r="K50" s="3" t="str">
        <f>IF(G50="Not Age Eligible","",IF(MAX(T50,W50,Z50,AC50)&gt;=LOOKUP(G50,'Qualifying Scores'!$A$4:$A$7,'Qualifying Scores'!$I$4:$I$7),"P",""))</f>
        <v/>
      </c>
      <c r="L50" s="3" t="str">
        <f>IF(G50="Not Age Eligible","",IF(MAX(U50,X50,AA50,AD50)&gt;=LOOKUP(G50,'Qualifying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Scores'!$I$10:$I$13)),AND(Z50&gt;=LOOKUP(G50,'Qualifying Scores'!$A$4:$A$7,'Qualifying Scores'!$I$4:$I$7),AA50&gt;=LOOKUP(G50,'Qualifying Scores'!$A$10:$A$13,'Qualifying Scores'!$I$10:$I$13)),AND(W50&gt;=LOOKUP(G50,'Qualifying Scores'!$A$4:$A$7,'Qualifying Scores'!$I$4:$I$7),X50&gt;=LOOKUP(G50,'Qualifying Scores'!$A$10:$A$13,'Qualifying Scores'!$I$10:$I$13)),AND(AC50&gt;=LOOKUP(G50,'Qualifying Scores'!$A$4:$A$7,'Qualifying Scores'!$I$4:$I$7),AD50&gt;=LOOKUP(G50,'Qualifying Scores'!$A$10:$A$13,'Qualifying Scores'!$I$10:$I$13))),"P",""))</f>
        <v/>
      </c>
      <c r="Q50" s="1" t="str">
        <f t="shared" si="5"/>
        <v/>
      </c>
      <c r="R50" s="4">
        <f t="shared" si="6"/>
        <v>34.700000000000003</v>
      </c>
      <c r="S50" s="4">
        <f t="shared" si="7"/>
        <v>34.1</v>
      </c>
      <c r="T50" s="32">
        <v>34.700000000000003</v>
      </c>
      <c r="U50" s="37">
        <v>3.2</v>
      </c>
      <c r="V50" s="37">
        <v>0</v>
      </c>
      <c r="W50" s="33">
        <v>34.1</v>
      </c>
      <c r="X50" s="37">
        <v>4.9000000000000004</v>
      </c>
      <c r="Y50" s="37">
        <v>0</v>
      </c>
      <c r="Z50" s="32"/>
      <c r="AA50" s="37"/>
      <c r="AB50" s="37"/>
      <c r="AC50" s="33"/>
      <c r="AD50" s="37"/>
      <c r="AE50" s="37"/>
    </row>
    <row r="51" spans="1:31" x14ac:dyDescent="0.2">
      <c r="A51" s="1" t="str" cm="1">
        <f t="array" ref="A51">IF(I51="","",IF(P51&lt;&gt;"",SUMPRODUCT((P$3:P$22&lt;&gt;"")*(G$3:G$22=G51)*(J$3:J$22&gt;J51)*(I$3:I$22="P"))+1,IF(O51&lt;&gt;"",SUMPRODUCT((O$3:O$22&lt;&gt;"")*(P$3:P$22="")*(G$3:G$22=G51)*(J$3:J$22&gt;J51)*(I$3:I$22="P"))+SUMPRODUCT((P$3:P$22&lt;&gt;"")*(G$3:G$22=G51)*(I$3:I$22="P"))+1,IF(N51&lt;&gt;"",SUMPRODUCT((N$3:N$22&lt;&gt;"")*(G$3:G$22=G51)*(J$3:J$22&gt;J51)*(I$3:I$22="P"))+1,IF(M51="P",SUMPRODUCT((O$3:O$22&lt;&gt;"")*(P$3:P$22="")*(G$3:G$22=G51)*(I$3:I$22="P"))+SUMPRODUCT((P$3:P$22&lt;&gt;"")*(G$3:G$22=G51)*(I$3:I$22="P"))+SUMPRODUCT((N$3:N$22&lt;&gt;"")*(G$3:G$22=G51)*(I$3:I$22="P"))+SUMPRODUCT((P$3:P$22="")*(O$3:O$22="")*(N$3:N$22="")*(M$3:M$22="P")*(G$3:G$22=G51)*(J$3:J$22&gt;J51)*(I$3:I$22="P"))+IF(H51="L5",SUMPRODUCT((P$3:P$22="")*(O$3:O$22="")*(N$3:N$22="")*(M$3:M$22="P")*(G$3:G$22=G51)*(J$3:J$22&lt;J51)*(H$3:H$22&lt;&gt;H51)*(I$3:I$22="P")),-1*SUMPRODUCT((P$3:P$22="")*(O$3:O$22="")*(N$3:N$22="")*(M$3:M$22="P")*(G$3:G$22=G51)*(J$3:J$22&gt;J51)*(H$3:H$22="L5")*(I$3:I$22="P")))+1,"")))))</f>
        <v/>
      </c>
      <c r="B51" s="1" t="str" cm="1">
        <f t="array" ref="B51">IF(P51&lt;&gt;"",SUMPRODUCT((P$3:P$54&lt;&gt;"")*(G$3:G$54=G51)*(J$3:J$54&gt;J51))+1,IF(O51&lt;&gt;"",SUMPRODUCT((O$3:O$54&lt;&gt;"")*(P$3:P$54="")*(G$3:G$54=G51)*(J$3:J$54&gt;J51))+SUMPRODUCT((P$3:P$54&lt;&gt;"")*(G$3:G$54=G51))+1,IF(N51&lt;&gt;"",SUMPRODUCT((N$3:N$54&lt;&gt;"")*(G$3:G$54=G51)*(J$3:J$54&gt;J51))+1,IF(M51="P",SUMPRODUCT((O$3:O$54&lt;&gt;"")*(P$3:P$54="")*(G$3:G$54=G51))+SUMPRODUCT((P$3:P$54&lt;&gt;"")*(G$3:G$54=G51))+SUMPRODUCT((N$3:N$54&lt;&gt;"")*(G$3:G$54=G51))+SUMPRODUCT((P$3:P$54="")*(O$3:O$54="")*(N$3:N$54="")*(M$3:M$54="P")*(G$3:G$54=G51)*(J$3:J$54&gt;J51))+IF(H51="L5",SUMPRODUCT((P$3:P$54="")*(O$3:O$54="")*(N$3:N$54="")*(M$3:M$54="P")*(G$3:G$54=G51)*(J$3:J$54&lt;J51)*(H$3:H$54&lt;&gt;H51)),-1*SUMPRODUCT((P$3:P$54="")*(O$3:O$54="")*(N$3:N$54="")*(M$3:M$54="P")*(G$3:G$54=G51)*(J$3:J$54&gt;J51)*(H$3:H$54="L5")))+1,""))))</f>
        <v/>
      </c>
      <c r="C51" s="35" t="s">
        <v>285</v>
      </c>
      <c r="D51" s="35" t="str">
        <f>IF(E51="","",VLOOKUP(E51,'Coaching Points'!A:B,2,0))</f>
        <v>BC</v>
      </c>
      <c r="E51" s="35" t="s">
        <v>40</v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13-14</v>
      </c>
      <c r="H51" s="36" t="s">
        <v>64</v>
      </c>
      <c r="I51" s="40"/>
      <c r="J51" s="4">
        <f t="shared" si="4"/>
        <v>37.200000000000003</v>
      </c>
      <c r="K51" s="3" t="str">
        <f>IF(G51="Not Age Eligible","",IF(MAX(T51,W51,Z51,AC51)&gt;=LOOKUP(G51,'Qualifying Scores'!$A$4:$A$7,'Qualifying Scores'!$I$4:$I$7),"P",""))</f>
        <v/>
      </c>
      <c r="L51" s="3" t="str">
        <f>IF(G51="Not Age Eligible","",IF(MAX(U51,X51,AA51,AD51)&gt;=LOOKUP(G51,'Qualifying Scores'!$A$10:$A$13,'Qualifying Scores'!$I$10:$I$13),"P",""))</f>
        <v/>
      </c>
      <c r="M51" s="3" t="str">
        <f>IF(G51="Not Age Eligible","",IF(OR(AND(T51&gt;=LOOKUP(G51,'Qualifying Scores'!$A$4:$A$7,'Qualifying Scores'!$I$4:$I$7),U51&gt;=LOOKUP(G51,'Qualifying Scores'!$A$10:$A$13,'Qualifying Scores'!$I$10:$I$13)),AND(Z51&gt;=LOOKUP(G51,'Qualifying Scores'!$A$4:$A$7,'Qualifying Scores'!$I$4:$I$7),AA51&gt;=LOOKUP(G51,'Qualifying Scores'!$A$10:$A$13,'Qualifying Scores'!$I$10:$I$13)),AND(W51&gt;=LOOKUP(G51,'Qualifying Scores'!$A$4:$A$7,'Qualifying Scores'!$I$4:$I$7),X51&gt;=LOOKUP(G51,'Qualifying Scores'!$A$10:$A$13,'Qualifying Scores'!$I$10:$I$13)),AND(AC51&gt;=LOOKUP(G51,'Qualifying Scores'!$A$4:$A$7,'Qualifying Scores'!$I$4:$I$7),AD51&gt;=LOOKUP(G51,'Qualifying Scores'!$A$10:$A$13,'Qualifying Scores'!$I$10:$I$13))),"P",""))</f>
        <v/>
      </c>
      <c r="Q51" s="1" t="str">
        <f t="shared" si="5"/>
        <v/>
      </c>
      <c r="R51" s="4">
        <f t="shared" si="6"/>
        <v>37.200000000000003</v>
      </c>
      <c r="S51" s="4">
        <f t="shared" si="7"/>
        <v>34</v>
      </c>
      <c r="T51" s="32">
        <v>34</v>
      </c>
      <c r="U51" s="37">
        <v>4.5999999999999996</v>
      </c>
      <c r="V51" s="37">
        <v>0</v>
      </c>
      <c r="W51" s="33">
        <v>37.200000000000003</v>
      </c>
      <c r="X51" s="37">
        <v>4.5999999999999996</v>
      </c>
      <c r="Y51" s="37">
        <v>0</v>
      </c>
      <c r="Z51" s="32"/>
      <c r="AA51" s="37"/>
      <c r="AB51" s="37"/>
      <c r="AC51" s="33"/>
      <c r="AD51" s="37"/>
      <c r="AE51" s="37"/>
    </row>
    <row r="52" spans="1:31" x14ac:dyDescent="0.2">
      <c r="A52" s="1" t="str" cm="1">
        <f t="array" ref="A52">IF(I52="","",IF(P52&lt;&gt;"",SUMPRODUCT((P$3:P$22&lt;&gt;"")*(G$3:G$22=G52)*(J$3:J$22&gt;J52)*(I$3:I$22="P"))+1,IF(O52&lt;&gt;"",SUMPRODUCT((O$3:O$22&lt;&gt;"")*(P$3:P$22="")*(G$3:G$22=G52)*(J$3:J$22&gt;J52)*(I$3:I$22="P"))+SUMPRODUCT((P$3:P$22&lt;&gt;"")*(G$3:G$22=G52)*(I$3:I$22="P"))+1,IF(N52&lt;&gt;"",SUMPRODUCT((N$3:N$22&lt;&gt;"")*(G$3:G$22=G52)*(J$3:J$22&gt;J52)*(I$3:I$22="P"))+1,IF(M52="P",SUMPRODUCT((O$3:O$22&lt;&gt;"")*(P$3:P$22="")*(G$3:G$22=G52)*(I$3:I$22="P"))+SUMPRODUCT((P$3:P$22&lt;&gt;"")*(G$3:G$22=G52)*(I$3:I$22="P"))+SUMPRODUCT((N$3:N$22&lt;&gt;"")*(G$3:G$22=G52)*(I$3:I$22="P"))+SUMPRODUCT((P$3:P$22="")*(O$3:O$22="")*(N$3:N$22="")*(M$3:M$22="P")*(G$3:G$22=G52)*(J$3:J$22&gt;J52)*(I$3:I$22="P"))+IF(H52="L5",SUMPRODUCT((P$3:P$22="")*(O$3:O$22="")*(N$3:N$22="")*(M$3:M$22="P")*(G$3:G$22=G52)*(J$3:J$22&lt;J52)*(H$3:H$22&lt;&gt;H52)*(I$3:I$22="P")),-1*SUMPRODUCT((P$3:P$22="")*(O$3:O$22="")*(N$3:N$22="")*(M$3:M$22="P")*(G$3:G$22=G52)*(J$3:J$22&gt;J52)*(H$3:H$22="L5")*(I$3:I$22="P")))+1,"")))))</f>
        <v/>
      </c>
      <c r="B52" s="1" t="str" cm="1">
        <f t="array" ref="B52">IF(P52&lt;&gt;"",SUMPRODUCT((P$3:P$54&lt;&gt;"")*(G$3:G$54=G52)*(J$3:J$54&gt;J52))+1,IF(O52&lt;&gt;"",SUMPRODUCT((O$3:O$54&lt;&gt;"")*(P$3:P$54="")*(G$3:G$54=G52)*(J$3:J$54&gt;J52))+SUMPRODUCT((P$3:P$54&lt;&gt;"")*(G$3:G$54=G52))+1,IF(N52&lt;&gt;"",SUMPRODUCT((N$3:N$54&lt;&gt;"")*(G$3:G$54=G52)*(J$3:J$54&gt;J52))+1,IF(M52="P",SUMPRODUCT((O$3:O$54&lt;&gt;"")*(P$3:P$54="")*(G$3:G$54=G52))+SUMPRODUCT((P$3:P$54&lt;&gt;"")*(G$3:G$54=G52))+SUMPRODUCT((N$3:N$54&lt;&gt;"")*(G$3:G$54=G52))+SUMPRODUCT((P$3:P$54="")*(O$3:O$54="")*(N$3:N$54="")*(M$3:M$54="P")*(G$3:G$54=G52)*(J$3:J$54&gt;J52))+IF(H52="L5",SUMPRODUCT((P$3:P$54="")*(O$3:O$54="")*(N$3:N$54="")*(M$3:M$54="P")*(G$3:G$54=G52)*(J$3:J$54&lt;J52)*(H$3:H$54&lt;&gt;H52)),-1*SUMPRODUCT((P$3:P$54="")*(O$3:O$54="")*(N$3:N$54="")*(M$3:M$54="P")*(G$3:G$54=G52)*(J$3:J$54&gt;J52)*(H$3:H$54="L5")))+1,""))))</f>
        <v/>
      </c>
      <c r="C52" s="35" t="s">
        <v>372</v>
      </c>
      <c r="D52" s="35" t="str">
        <f>IF(E52="","",VLOOKUP(E52,'Coaching Points'!A:B,2,0))</f>
        <v>ON</v>
      </c>
      <c r="E52" s="35" t="s">
        <v>131</v>
      </c>
      <c r="F52" s="34">
        <v>2010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13-14</v>
      </c>
      <c r="H52" s="36" t="s">
        <v>64</v>
      </c>
      <c r="I52" s="40"/>
      <c r="J52" s="4">
        <f t="shared" si="4"/>
        <v>36.5</v>
      </c>
      <c r="K52" s="3" t="str">
        <f>IF(G52="Not Age Eligible","",IF(MAX(T52,W52,Z52,AC52)&gt;=LOOKUP(G52,'Qualifying Scores'!$A$4:$A$7,'Qualifying Scores'!$I$4:$I$7),"P",""))</f>
        <v/>
      </c>
      <c r="L52" s="3" t="str">
        <f>IF(G52="Not Age Eligible","",IF(MAX(U52,X52,AA52,AD52)&gt;=LOOKUP(G52,'Qualifying Scores'!$A$10:$A$13,'Qualifying Scores'!$I$10:$I$13),"P",""))</f>
        <v/>
      </c>
      <c r="M52" s="3" t="str">
        <f>IF(G52="Not Age Eligible","",IF(OR(AND(T52&gt;=LOOKUP(G52,'Qualifying Scores'!$A$4:$A$7,'Qualifying Scores'!$I$4:$I$7),U52&gt;=LOOKUP(G52,'Qualifying Scores'!$A$10:$A$13,'Qualifying Scores'!$I$10:$I$13)),AND(Z52&gt;=LOOKUP(G52,'Qualifying Scores'!$A$4:$A$7,'Qualifying Scores'!$I$4:$I$7),AA52&gt;=LOOKUP(G52,'Qualifying Scores'!$A$10:$A$13,'Qualifying Scores'!$I$10:$I$13)),AND(W52&gt;=LOOKUP(G52,'Qualifying Scores'!$A$4:$A$7,'Qualifying Scores'!$I$4:$I$7),X52&gt;=LOOKUP(G52,'Qualifying Scores'!$A$10:$A$13,'Qualifying Scores'!$I$10:$I$13)),AND(AC52&gt;=LOOKUP(G52,'Qualifying Scores'!$A$4:$A$7,'Qualifying Scores'!$I$4:$I$7),AD52&gt;=LOOKUP(G52,'Qualifying Scores'!$A$10:$A$13,'Qualifying Scores'!$I$10:$I$13))),"P",""))</f>
        <v/>
      </c>
      <c r="Q52" s="1" t="str">
        <f t="shared" si="5"/>
        <v/>
      </c>
      <c r="R52" s="4">
        <f t="shared" si="6"/>
        <v>36.5</v>
      </c>
      <c r="S52" s="4">
        <f t="shared" si="7"/>
        <v>30.5</v>
      </c>
      <c r="T52" s="32">
        <v>36.5</v>
      </c>
      <c r="U52" s="37">
        <v>4.4000000000000004</v>
      </c>
      <c r="V52" s="37">
        <v>0</v>
      </c>
      <c r="W52" s="33">
        <v>30.5</v>
      </c>
      <c r="X52" s="37">
        <v>3.6</v>
      </c>
      <c r="Y52" s="37">
        <v>0</v>
      </c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$22&lt;&gt;"")*(G$3:G$22=G53)*(J$3:J$22&gt;J53)*(I$3:I$22="P"))+1,IF(O53&lt;&gt;"",SUMPRODUCT((O$3:O$22&lt;&gt;"")*(P$3:P$22="")*(G$3:G$22=G53)*(J$3:J$22&gt;J53)*(I$3:I$22="P"))+SUMPRODUCT((P$3:P$22&lt;&gt;"")*(G$3:G$22=G53)*(I$3:I$22="P"))+1,IF(N53&lt;&gt;"",SUMPRODUCT((N$3:N$22&lt;&gt;"")*(G$3:G$22=G53)*(J$3:J$22&gt;J53)*(I$3:I$22="P"))+1,IF(M53="P",SUMPRODUCT((O$3:O$22&lt;&gt;"")*(P$3:P$22="")*(G$3:G$22=G53)*(I$3:I$22="P"))+SUMPRODUCT((P$3:P$22&lt;&gt;"")*(G$3:G$22=G53)*(I$3:I$22="P"))+SUMPRODUCT((N$3:N$22&lt;&gt;"")*(G$3:G$22=G53)*(I$3:I$22="P"))+SUMPRODUCT((P$3:P$22="")*(O$3:O$22="")*(N$3:N$22="")*(M$3:M$22="P")*(G$3:G$22=G53)*(J$3:J$22&gt;J53)*(I$3:I$22="P"))+IF(H53="L5",SUMPRODUCT((P$3:P$22="")*(O$3:O$22="")*(N$3:N$22="")*(M$3:M$22="P")*(G$3:G$22=G53)*(J$3:J$22&lt;J53)*(H$3:H$22&lt;&gt;H53)*(I$3:I$22="P")),-1*SUMPRODUCT((P$3:P$22="")*(O$3:O$22="")*(N$3:N$22="")*(M$3:M$22="P")*(G$3:G$22=G53)*(J$3:J$22&gt;J53)*(H$3:H$22="L5")*(I$3:I$22="P")))+1,"")))))</f>
        <v/>
      </c>
      <c r="B53" s="1" t="str" cm="1">
        <f t="array" ref="B53">IF(P53&lt;&gt;"",SUMPRODUCT((P$3:P$54&lt;&gt;"")*(G$3:G$54=G53)*(J$3:J$54&gt;J53))+1,IF(O53&lt;&gt;"",SUMPRODUCT((O$3:O$54&lt;&gt;"")*(P$3:P$54="")*(G$3:G$54=G53)*(J$3:J$54&gt;J53))+SUMPRODUCT((P$3:P$54&lt;&gt;"")*(G$3:G$54=G53))+1,IF(N53&lt;&gt;"",SUMPRODUCT((N$3:N$54&lt;&gt;"")*(G$3:G$54=G53)*(J$3:J$54&gt;J53))+1,IF(M53="P",SUMPRODUCT((O$3:O$54&lt;&gt;"")*(P$3:P$54="")*(G$3:G$54=G53))+SUMPRODUCT((P$3:P$54&lt;&gt;"")*(G$3:G$54=G53))+SUMPRODUCT((N$3:N$54&lt;&gt;"")*(G$3:G$54=G53))+SUMPRODUCT((P$3:P$54="")*(O$3:O$54="")*(N$3:N$54="")*(M$3:M$54="P")*(G$3:G$54=G53)*(J$3:J$54&gt;J53))+IF(H53="L5",SUMPRODUCT((P$3:P$54="")*(O$3:O$54="")*(N$3:N$54="")*(M$3:M$54="P")*(G$3:G$54=G53)*(J$3:J$54&lt;J53)*(H$3:H$54&lt;&gt;H53)),-1*SUMPRODUCT((P$3:P$54="")*(O$3:O$54="")*(N$3:N$54="")*(M$3:M$54="P")*(G$3:G$54=G53)*(J$3:J$54&gt;J53)*(H$3:H$54="L5")))+1,""))))</f>
        <v/>
      </c>
      <c r="C53" s="35" t="s">
        <v>305</v>
      </c>
      <c r="D53" s="35" t="str">
        <f>IF(E53="","",VLOOKUP(E53,'Coaching Points'!A:B,2,0))</f>
        <v>AB</v>
      </c>
      <c r="E53" s="35" t="s">
        <v>56</v>
      </c>
      <c r="F53" s="34">
        <v>2011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13-14</v>
      </c>
      <c r="H53" s="36" t="s">
        <v>64</v>
      </c>
      <c r="I53" s="40"/>
      <c r="J53" s="4">
        <f t="shared" si="4"/>
        <v>36.4</v>
      </c>
      <c r="K53" s="3" t="str">
        <f>IF(G53="Not Age Eligible","",IF(MAX(T53,W53,Z53,AC53)&gt;=LOOKUP(G53,'Qualifying Scores'!$A$4:$A$7,'Qualifying Scores'!$I$4:$I$7),"P",""))</f>
        <v/>
      </c>
      <c r="L53" s="3" t="str">
        <f>IF(G53="Not Age Eligible","",IF(MAX(U53,X53,AA53,AD53)&gt;=LOOKUP(G53,'Qualifying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Scores'!$I$10:$I$13)),AND(Z53&gt;=LOOKUP(G53,'Qualifying Scores'!$A$4:$A$7,'Qualifying Scores'!$I$4:$I$7),AA53&gt;=LOOKUP(G53,'Qualifying Scores'!$A$10:$A$13,'Qualifying Scores'!$I$10:$I$13)),AND(W53&gt;=LOOKUP(G53,'Qualifying Scores'!$A$4:$A$7,'Qualifying Scores'!$I$4:$I$7),X53&gt;=LOOKUP(G53,'Qualifying Scores'!$A$10:$A$13,'Qualifying Scores'!$I$10:$I$13)),AND(AC53&gt;=LOOKUP(G53,'Qualifying Scores'!$A$4:$A$7,'Qualifying Scores'!$I$4:$I$7),AD53&gt;=LOOKUP(G53,'Qualifying Scores'!$A$10:$A$13,'Qualifying Scores'!$I$10:$I$13))),"P",""))</f>
        <v/>
      </c>
      <c r="Q53" s="1" t="str">
        <f t="shared" si="5"/>
        <v/>
      </c>
      <c r="R53" s="4">
        <f t="shared" si="6"/>
        <v>36.4</v>
      </c>
      <c r="S53" s="4">
        <f t="shared" si="7"/>
        <v>34.700000000000003</v>
      </c>
      <c r="T53" s="32">
        <v>37.4</v>
      </c>
      <c r="U53" s="37">
        <v>6.2</v>
      </c>
      <c r="V53" s="37">
        <v>1</v>
      </c>
      <c r="W53" s="33">
        <v>35.700000000000003</v>
      </c>
      <c r="X53" s="37">
        <v>6</v>
      </c>
      <c r="Y53" s="37">
        <v>1</v>
      </c>
      <c r="Z53" s="32"/>
      <c r="AA53" s="37"/>
      <c r="AB53" s="37"/>
      <c r="AC53" s="33"/>
      <c r="AD53" s="37"/>
      <c r="AE53" s="37"/>
    </row>
  </sheetData>
  <sheetProtection sheet="1" formatCells="0" formatColumns="0" formatRows="0"/>
  <autoFilter ref="A1:AE53" xr:uid="{886FAB1D-0CE4-F64D-ABB9-2F0ADAEF3696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4:AE53">
      <sortCondition descending="1" ref="G1:G54"/>
    </sortState>
  </autoFilter>
  <mergeCells count="21">
    <mergeCell ref="P1:P2"/>
    <mergeCell ref="R1:R2"/>
    <mergeCell ref="S1:S2"/>
    <mergeCell ref="T1:Y1"/>
    <mergeCell ref="Z1:AE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Z1 AF1:XFD1 A3:XFD1048576">
    <cfRule type="expression" dxfId="7" priority="9">
      <formula>IF($G1="17-21",1,0)</formula>
    </cfRule>
    <cfRule type="expression" dxfId="6" priority="10">
      <formula>IF($G1="15-16",1,0)</formula>
    </cfRule>
    <cfRule type="expression" dxfId="5" priority="11">
      <formula>IF($G1="13-14",1,0)</formula>
    </cfRule>
    <cfRule type="expression" dxfId="4" priority="12">
      <formula>IF($G1="11-12",1,0)</formula>
    </cfRule>
  </conditionalFormatting>
  <conditionalFormatting sqref="R1:S2">
    <cfRule type="expression" dxfId="3" priority="5">
      <formula>IF($G1="17-21",1,0)</formula>
    </cfRule>
    <cfRule type="expression" dxfId="2" priority="6">
      <formula>IF($G1="15-16",1,0)</formula>
    </cfRule>
    <cfRule type="expression" dxfId="1" priority="7">
      <formula>IF($G1="13-14",1,0)</formula>
    </cfRule>
    <cfRule type="expression" dxfId="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2024-04-12T03:03:10Z</dcterms:modified>
</cp:coreProperties>
</file>