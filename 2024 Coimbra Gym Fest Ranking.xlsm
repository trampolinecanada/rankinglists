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8914898-A620-5C48-A1C0-994FBCEBCFED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'DMT-M'!$A$1:$AE$57</definedName>
    <definedName name="_xlnm._FilterDatabase" localSheetId="8" hidden="1">'DMT-W'!$A$1:$AE$67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'TUM-M'!$A$1:$AE$26</definedName>
    <definedName name="_xlnm._FilterDatabase" localSheetId="10" hidden="1">'TUM-W'!$A$1:$AE$55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6" l="1" a="1"/>
  <c r="A8" i="6" s="1"/>
  <c r="Q8" i="6" s="1"/>
  <c r="D8" i="6"/>
  <c r="G8" i="6"/>
  <c r="L8" i="6" s="1"/>
  <c r="R8" i="6"/>
  <c r="J8" i="6" s="1"/>
  <c r="A7" i="14" a="1"/>
  <c r="A7" i="14" s="1"/>
  <c r="Q7" i="14" s="1"/>
  <c r="D7" i="14"/>
  <c r="G7" i="14"/>
  <c r="L7" i="14" s="1"/>
  <c r="R7" i="14"/>
  <c r="J7" i="14" s="1"/>
  <c r="A7" i="15" a="1"/>
  <c r="A7" i="15" s="1"/>
  <c r="Q7" i="15" s="1"/>
  <c r="D7" i="15"/>
  <c r="G7" i="15"/>
  <c r="L7" i="15" s="1"/>
  <c r="R7" i="15"/>
  <c r="J7" i="15" s="1"/>
  <c r="D10" i="16"/>
  <c r="A10" i="16" a="1"/>
  <c r="A10" i="16" s="1"/>
  <c r="Q10" i="16" s="1"/>
  <c r="G10" i="16"/>
  <c r="L10" i="16" s="1"/>
  <c r="R10" i="16"/>
  <c r="S10" i="16" s="1"/>
  <c r="A6" i="16" a="1"/>
  <c r="A6" i="16" s="1"/>
  <c r="Q6" i="16" s="1"/>
  <c r="D6" i="16"/>
  <c r="G6" i="16"/>
  <c r="K6" i="16" s="1"/>
  <c r="R6" i="16"/>
  <c r="S6" i="16" s="1"/>
  <c r="R4" i="16"/>
  <c r="S4" i="16" s="1"/>
  <c r="R5" i="16"/>
  <c r="S5" i="16" s="1"/>
  <c r="R8" i="16"/>
  <c r="S8" i="16" s="1"/>
  <c r="R7" i="16"/>
  <c r="S7" i="16" s="1"/>
  <c r="R9" i="16"/>
  <c r="S9" i="16" s="1"/>
  <c r="R11" i="16"/>
  <c r="S11" i="16" s="1"/>
  <c r="R12" i="16"/>
  <c r="S12" i="16" s="1"/>
  <c r="R13" i="16"/>
  <c r="S13" i="16" s="1"/>
  <c r="R16" i="16"/>
  <c r="S16" i="16" s="1"/>
  <c r="R18" i="16"/>
  <c r="S18" i="16" s="1"/>
  <c r="R14" i="16"/>
  <c r="S14" i="16" s="1"/>
  <c r="R15" i="16"/>
  <c r="S15" i="16" s="1"/>
  <c r="R19" i="16"/>
  <c r="S19" i="16" s="1"/>
  <c r="R17" i="16"/>
  <c r="S17" i="16" s="1"/>
  <c r="R20" i="16"/>
  <c r="S20" i="16" s="1"/>
  <c r="R21" i="16"/>
  <c r="S21" i="16" s="1"/>
  <c r="R22" i="16"/>
  <c r="S22" i="16" s="1"/>
  <c r="R23" i="16"/>
  <c r="S23" i="16" s="1"/>
  <c r="R24" i="16"/>
  <c r="S24" i="16" s="1"/>
  <c r="R27" i="16"/>
  <c r="S27" i="16" s="1"/>
  <c r="R25" i="16"/>
  <c r="S25" i="16" s="1"/>
  <c r="R26" i="16"/>
  <c r="S26" i="16" s="1"/>
  <c r="R28" i="16"/>
  <c r="S28" i="16" s="1"/>
  <c r="R29" i="16"/>
  <c r="S29" i="16" s="1"/>
  <c r="R30" i="16"/>
  <c r="S30" i="16" s="1"/>
  <c r="R31" i="16"/>
  <c r="S31" i="16" s="1"/>
  <c r="R32" i="16"/>
  <c r="S32" i="16" s="1"/>
  <c r="R33" i="16"/>
  <c r="J33" i="16" s="1"/>
  <c r="R34" i="16"/>
  <c r="S34" i="16" s="1"/>
  <c r="R35" i="16"/>
  <c r="S35" i="16" s="1"/>
  <c r="R36" i="16"/>
  <c r="S36" i="16" s="1"/>
  <c r="R37" i="16"/>
  <c r="S37" i="16" s="1"/>
  <c r="R38" i="16"/>
  <c r="S38" i="16" s="1"/>
  <c r="R39" i="16"/>
  <c r="S39" i="16" s="1"/>
  <c r="R40" i="16"/>
  <c r="S40" i="16" s="1"/>
  <c r="R41" i="16"/>
  <c r="S41" i="16" s="1"/>
  <c r="R42" i="16"/>
  <c r="S42" i="16" s="1"/>
  <c r="R43" i="16"/>
  <c r="S43" i="16" s="1"/>
  <c r="R44" i="16"/>
  <c r="S44" i="16" s="1"/>
  <c r="R48" i="16"/>
  <c r="J48" i="16" s="1"/>
  <c r="R45" i="16"/>
  <c r="S45" i="16" s="1"/>
  <c r="R46" i="16"/>
  <c r="S46" i="16" s="1"/>
  <c r="R47" i="16"/>
  <c r="S47" i="16" s="1"/>
  <c r="R50" i="16"/>
  <c r="S50" i="16" s="1"/>
  <c r="R49" i="16"/>
  <c r="S49" i="16" s="1"/>
  <c r="R51" i="16"/>
  <c r="S51" i="16" s="1"/>
  <c r="R52" i="16"/>
  <c r="S52" i="16" s="1"/>
  <c r="R55" i="16"/>
  <c r="S55" i="16" s="1"/>
  <c r="R53" i="16"/>
  <c r="S53" i="16" s="1"/>
  <c r="R54" i="16"/>
  <c r="S54" i="16" s="1"/>
  <c r="R3" i="16"/>
  <c r="S3" i="16" s="1"/>
  <c r="R4" i="15"/>
  <c r="S4" i="15" s="1"/>
  <c r="R5" i="15"/>
  <c r="S5" i="15" s="1"/>
  <c r="R6" i="15"/>
  <c r="S6" i="15" s="1"/>
  <c r="R9" i="15"/>
  <c r="S9" i="15" s="1"/>
  <c r="R8" i="15"/>
  <c r="S8" i="15" s="1"/>
  <c r="R10" i="15"/>
  <c r="S10" i="15" s="1"/>
  <c r="R11" i="15"/>
  <c r="S11" i="15" s="1"/>
  <c r="R12" i="15"/>
  <c r="S12" i="15" s="1"/>
  <c r="R13" i="15"/>
  <c r="S13" i="15" s="1"/>
  <c r="R14" i="15"/>
  <c r="J14" i="15" s="1"/>
  <c r="R15" i="15"/>
  <c r="S15" i="15" s="1"/>
  <c r="R16" i="15"/>
  <c r="J16" i="15" s="1"/>
  <c r="R17" i="15"/>
  <c r="S17" i="15" s="1"/>
  <c r="R18" i="15"/>
  <c r="J18" i="15" s="1"/>
  <c r="R19" i="15"/>
  <c r="S19" i="15" s="1"/>
  <c r="R20" i="15"/>
  <c r="J20" i="15" s="1"/>
  <c r="R21" i="15"/>
  <c r="S21" i="15" s="1"/>
  <c r="R22" i="15"/>
  <c r="J22" i="15" s="1"/>
  <c r="R23" i="15"/>
  <c r="S23" i="15" s="1"/>
  <c r="R24" i="15"/>
  <c r="J24" i="15" s="1"/>
  <c r="R25" i="15"/>
  <c r="J25" i="15" s="1"/>
  <c r="R26" i="15"/>
  <c r="S26" i="15" s="1"/>
  <c r="R3" i="15"/>
  <c r="S3" i="15" s="1"/>
  <c r="R4" i="14"/>
  <c r="S4" i="14" s="1"/>
  <c r="R5" i="14"/>
  <c r="S5" i="14" s="1"/>
  <c r="R6" i="14"/>
  <c r="S6" i="14" s="1"/>
  <c r="R8" i="14"/>
  <c r="S8" i="14" s="1"/>
  <c r="R9" i="14"/>
  <c r="S9" i="14" s="1"/>
  <c r="R10" i="14"/>
  <c r="S10" i="14" s="1"/>
  <c r="R11" i="14"/>
  <c r="S11" i="14" s="1"/>
  <c r="R13" i="14"/>
  <c r="J13" i="14" s="1"/>
  <c r="R12" i="14"/>
  <c r="S12" i="14" s="1"/>
  <c r="R14" i="14"/>
  <c r="S14" i="14" s="1"/>
  <c r="R15" i="14"/>
  <c r="S15" i="14" s="1"/>
  <c r="R16" i="14"/>
  <c r="J16" i="14" s="1"/>
  <c r="R17" i="14"/>
  <c r="S17" i="14" s="1"/>
  <c r="R18" i="14"/>
  <c r="S18" i="14" s="1"/>
  <c r="R19" i="14"/>
  <c r="S19" i="14" s="1"/>
  <c r="R20" i="14"/>
  <c r="S20" i="14" s="1"/>
  <c r="R21" i="14"/>
  <c r="S21" i="14" s="1"/>
  <c r="R22" i="14"/>
  <c r="S22" i="14" s="1"/>
  <c r="R23" i="14"/>
  <c r="S23" i="14" s="1"/>
  <c r="R24" i="14"/>
  <c r="S24" i="14" s="1"/>
  <c r="R25" i="14"/>
  <c r="S25" i="14" s="1"/>
  <c r="R26" i="14"/>
  <c r="S26" i="14" s="1"/>
  <c r="R27" i="14"/>
  <c r="S27" i="14" s="1"/>
  <c r="R28" i="14"/>
  <c r="J28" i="14" s="1"/>
  <c r="R29" i="14"/>
  <c r="S29" i="14" s="1"/>
  <c r="R30" i="14"/>
  <c r="S30" i="14" s="1"/>
  <c r="R31" i="14"/>
  <c r="S31" i="14" s="1"/>
  <c r="R32" i="14"/>
  <c r="S32" i="14" s="1"/>
  <c r="R33" i="14"/>
  <c r="S33" i="14" s="1"/>
  <c r="R34" i="14"/>
  <c r="S34" i="14" s="1"/>
  <c r="R35" i="14"/>
  <c r="J35" i="14" s="1"/>
  <c r="R36" i="14"/>
  <c r="S36" i="14" s="1"/>
  <c r="R37" i="14"/>
  <c r="S37" i="14" s="1"/>
  <c r="R38" i="14"/>
  <c r="S38" i="14" s="1"/>
  <c r="R39" i="14"/>
  <c r="J39" i="14" s="1"/>
  <c r="R40" i="14"/>
  <c r="J40" i="14" s="1"/>
  <c r="R41" i="14"/>
  <c r="S41" i="14" s="1"/>
  <c r="R42" i="14"/>
  <c r="S42" i="14" s="1"/>
  <c r="R43" i="14"/>
  <c r="J43" i="14" s="1"/>
  <c r="R44" i="14"/>
  <c r="J44" i="14" s="1"/>
  <c r="R45" i="14"/>
  <c r="S45" i="14" s="1"/>
  <c r="R46" i="14"/>
  <c r="S46" i="14" s="1"/>
  <c r="R47" i="14"/>
  <c r="S47" i="14" s="1"/>
  <c r="R48" i="14"/>
  <c r="J48" i="14" s="1"/>
  <c r="R49" i="14"/>
  <c r="S49" i="14" s="1"/>
  <c r="R50" i="14"/>
  <c r="S50" i="14" s="1"/>
  <c r="R51" i="14"/>
  <c r="S51" i="14" s="1"/>
  <c r="R52" i="14"/>
  <c r="J52" i="14" s="1"/>
  <c r="R53" i="14"/>
  <c r="S53" i="14" s="1"/>
  <c r="R54" i="14"/>
  <c r="J54" i="14" s="1"/>
  <c r="R55" i="14"/>
  <c r="J55" i="14" s="1"/>
  <c r="R56" i="14"/>
  <c r="S56" i="14" s="1"/>
  <c r="R57" i="14"/>
  <c r="S57" i="14" s="1"/>
  <c r="R58" i="14"/>
  <c r="S58" i="14" s="1"/>
  <c r="R59" i="14"/>
  <c r="S59" i="14" s="1"/>
  <c r="R60" i="14"/>
  <c r="S60" i="14" s="1"/>
  <c r="R61" i="14"/>
  <c r="S61" i="14" s="1"/>
  <c r="R62" i="14"/>
  <c r="S62" i="14" s="1"/>
  <c r="R63" i="14"/>
  <c r="J63" i="14" s="1"/>
  <c r="R64" i="14"/>
  <c r="S64" i="14" s="1"/>
  <c r="R65" i="14"/>
  <c r="S65" i="14" s="1"/>
  <c r="R66" i="14"/>
  <c r="S66" i="14" s="1"/>
  <c r="R67" i="14"/>
  <c r="S67" i="14" s="1"/>
  <c r="R3" i="14"/>
  <c r="S3" i="14" s="1"/>
  <c r="R4" i="6"/>
  <c r="S4" i="6" s="1"/>
  <c r="R5" i="6"/>
  <c r="S5" i="6" s="1"/>
  <c r="R6" i="6"/>
  <c r="S6" i="6" s="1"/>
  <c r="R7" i="6"/>
  <c r="S7" i="6" s="1"/>
  <c r="R9" i="6"/>
  <c r="S9" i="6" s="1"/>
  <c r="R10" i="6"/>
  <c r="J10" i="6" s="1"/>
  <c r="R11" i="6"/>
  <c r="S11" i="6" s="1"/>
  <c r="R12" i="6"/>
  <c r="S12" i="6" s="1"/>
  <c r="R13" i="6"/>
  <c r="J13" i="6" s="1"/>
  <c r="R14" i="6"/>
  <c r="S14" i="6" s="1"/>
  <c r="R15" i="6"/>
  <c r="S15" i="6" s="1"/>
  <c r="R16" i="6"/>
  <c r="J16" i="6" s="1"/>
  <c r="R17" i="6"/>
  <c r="S17" i="6" s="1"/>
  <c r="R19" i="6"/>
  <c r="S19" i="6" s="1"/>
  <c r="R18" i="6"/>
  <c r="S18" i="6" s="1"/>
  <c r="R20" i="6"/>
  <c r="S20" i="6" s="1"/>
  <c r="R21" i="6"/>
  <c r="S21" i="6" s="1"/>
  <c r="R22" i="6"/>
  <c r="S22" i="6" s="1"/>
  <c r="R23" i="6"/>
  <c r="S23" i="6" s="1"/>
  <c r="R24" i="6"/>
  <c r="S24" i="6" s="1"/>
  <c r="R25" i="6"/>
  <c r="S25" i="6" s="1"/>
  <c r="R26" i="6"/>
  <c r="S26" i="6" s="1"/>
  <c r="R27" i="6"/>
  <c r="S27" i="6" s="1"/>
  <c r="R28" i="6"/>
  <c r="J28" i="6" s="1"/>
  <c r="R29" i="6"/>
  <c r="S29" i="6" s="1"/>
  <c r="R30" i="6"/>
  <c r="S30" i="6" s="1"/>
  <c r="R31" i="6"/>
  <c r="S31" i="6" s="1"/>
  <c r="R32" i="6"/>
  <c r="S32" i="6" s="1"/>
  <c r="R33" i="6"/>
  <c r="S33" i="6" s="1"/>
  <c r="R34" i="6"/>
  <c r="J34" i="6" s="1"/>
  <c r="R35" i="6"/>
  <c r="S35" i="6" s="1"/>
  <c r="R36" i="6"/>
  <c r="J36" i="6" s="1"/>
  <c r="R37" i="6"/>
  <c r="S37" i="6" s="1"/>
  <c r="R38" i="6"/>
  <c r="J38" i="6" s="1"/>
  <c r="R39" i="6"/>
  <c r="S39" i="6" s="1"/>
  <c r="R40" i="6"/>
  <c r="J40" i="6" s="1"/>
  <c r="R41" i="6"/>
  <c r="S41" i="6" s="1"/>
  <c r="R42" i="6"/>
  <c r="J42" i="6" s="1"/>
  <c r="R43" i="6"/>
  <c r="S43" i="6" s="1"/>
  <c r="R44" i="6"/>
  <c r="J44" i="6" s="1"/>
  <c r="R45" i="6"/>
  <c r="S45" i="6" s="1"/>
  <c r="R46" i="6"/>
  <c r="J46" i="6" s="1"/>
  <c r="R47" i="6"/>
  <c r="S47" i="6" s="1"/>
  <c r="R48" i="6"/>
  <c r="S48" i="6" s="1"/>
  <c r="R49" i="6"/>
  <c r="S49" i="6" s="1"/>
  <c r="R50" i="6"/>
  <c r="S50" i="6" s="1"/>
  <c r="R51" i="6"/>
  <c r="S51" i="6" s="1"/>
  <c r="R52" i="6"/>
  <c r="S52" i="6" s="1"/>
  <c r="R53" i="6"/>
  <c r="S53" i="6" s="1"/>
  <c r="R54" i="6"/>
  <c r="S54" i="6" s="1"/>
  <c r="R55" i="6"/>
  <c r="S55" i="6" s="1"/>
  <c r="R56" i="6"/>
  <c r="S56" i="6" s="1"/>
  <c r="R57" i="6"/>
  <c r="S57" i="6" s="1"/>
  <c r="R3" i="6"/>
  <c r="S3" i="6" s="1"/>
  <c r="J30" i="16"/>
  <c r="G15" i="17"/>
  <c r="H15" i="17" s="1"/>
  <c r="C55" i="17"/>
  <c r="D55" i="17" s="1"/>
  <c r="E55" i="17"/>
  <c r="F55" i="17" s="1"/>
  <c r="J5" i="16" l="1"/>
  <c r="S7" i="15"/>
  <c r="K7" i="14"/>
  <c r="S8" i="6"/>
  <c r="K8" i="6"/>
  <c r="M8" i="6"/>
  <c r="S7" i="14"/>
  <c r="M7" i="14"/>
  <c r="K7" i="15"/>
  <c r="M7" i="15"/>
  <c r="K10" i="16"/>
  <c r="J10" i="16"/>
  <c r="M6" i="16"/>
  <c r="L6" i="16"/>
  <c r="J6" i="16"/>
  <c r="M10" i="16"/>
  <c r="J4" i="14"/>
  <c r="J10" i="14"/>
  <c r="J9" i="14"/>
  <c r="S38" i="6"/>
  <c r="J11" i="6"/>
  <c r="J26" i="16"/>
  <c r="J11" i="15"/>
  <c r="S16" i="15"/>
  <c r="J4" i="15"/>
  <c r="J37" i="6"/>
  <c r="J33" i="6"/>
  <c r="J17" i="6"/>
  <c r="S46" i="6"/>
  <c r="S28" i="14"/>
  <c r="J51" i="14"/>
  <c r="S55" i="14"/>
  <c r="J21" i="14"/>
  <c r="J61" i="14"/>
  <c r="J33" i="14"/>
  <c r="S52" i="14"/>
  <c r="J19" i="14"/>
  <c r="J25" i="14"/>
  <c r="J4" i="16"/>
  <c r="J43" i="16"/>
  <c r="S48" i="16"/>
  <c r="S25" i="15"/>
  <c r="S14" i="15"/>
  <c r="S24" i="15"/>
  <c r="S18" i="15"/>
  <c r="S20" i="15"/>
  <c r="S22" i="15"/>
  <c r="J15" i="15"/>
  <c r="J6" i="15"/>
  <c r="J19" i="15"/>
  <c r="J14" i="16"/>
  <c r="J51" i="16"/>
  <c r="J9" i="16"/>
  <c r="S33" i="16"/>
  <c r="S39" i="14"/>
  <c r="S63" i="14"/>
  <c r="S44" i="14"/>
  <c r="S13" i="14"/>
  <c r="J14" i="14"/>
  <c r="J12" i="14"/>
  <c r="J66" i="14"/>
  <c r="S48" i="14"/>
  <c r="S43" i="14"/>
  <c r="S16" i="14"/>
  <c r="J65" i="14"/>
  <c r="J49" i="14"/>
  <c r="J53" i="14"/>
  <c r="J34" i="14"/>
  <c r="S40" i="14"/>
  <c r="S35" i="14"/>
  <c r="J50" i="14"/>
  <c r="J29" i="6"/>
  <c r="J53" i="6"/>
  <c r="J39" i="6"/>
  <c r="S42" i="6"/>
  <c r="S10" i="6"/>
  <c r="S34" i="6"/>
  <c r="J56" i="6"/>
  <c r="S13" i="6"/>
  <c r="J47" i="6"/>
  <c r="S44" i="6"/>
  <c r="S40" i="6"/>
  <c r="S36" i="6"/>
  <c r="S28" i="6"/>
  <c r="S16" i="6"/>
  <c r="J43" i="6"/>
  <c r="J23" i="6"/>
  <c r="J27" i="6"/>
  <c r="S54" i="14"/>
  <c r="J57" i="14"/>
  <c r="J17" i="14"/>
  <c r="J49" i="6"/>
  <c r="J45" i="6"/>
  <c r="J31" i="6"/>
  <c r="J35" i="6"/>
  <c r="J3" i="6"/>
  <c r="J51" i="6"/>
  <c r="J9" i="6"/>
  <c r="J18" i="6"/>
  <c r="J41" i="6"/>
  <c r="J4" i="6"/>
  <c r="J50" i="6"/>
  <c r="J32" i="6"/>
  <c r="J6" i="6"/>
  <c r="J14" i="6"/>
  <c r="J21" i="6"/>
  <c r="J20" i="6"/>
  <c r="J25" i="6"/>
  <c r="J5" i="14"/>
  <c r="J45" i="14"/>
  <c r="J59" i="14"/>
  <c r="J42" i="14"/>
  <c r="J30" i="14"/>
  <c r="J67" i="14"/>
  <c r="J58" i="14"/>
  <c r="J38" i="14"/>
  <c r="J27" i="14"/>
  <c r="J56" i="14"/>
  <c r="J47" i="14"/>
  <c r="J24" i="14"/>
  <c r="J32" i="14"/>
  <c r="J29" i="14"/>
  <c r="J26" i="14"/>
  <c r="J60" i="14"/>
  <c r="J41" i="14"/>
  <c r="J11" i="14"/>
  <c r="J37" i="14"/>
  <c r="J23" i="14"/>
  <c r="J36" i="14"/>
  <c r="J20" i="14"/>
  <c r="J62" i="14"/>
  <c r="J46" i="14"/>
  <c r="J6" i="14"/>
  <c r="J15" i="14"/>
  <c r="J18" i="14"/>
  <c r="J3" i="14"/>
  <c r="J31" i="14"/>
  <c r="J8" i="14"/>
  <c r="J22" i="14"/>
  <c r="J64" i="14"/>
  <c r="J52" i="6"/>
  <c r="J15" i="6"/>
  <c r="J5" i="6"/>
  <c r="J54" i="6"/>
  <c r="J48" i="6"/>
  <c r="J22" i="6"/>
  <c r="J55" i="6"/>
  <c r="J26" i="6"/>
  <c r="J7" i="6"/>
  <c r="J57" i="6"/>
  <c r="J12" i="6"/>
  <c r="J30" i="6"/>
  <c r="J24" i="6"/>
  <c r="J19" i="6"/>
  <c r="J11" i="16"/>
  <c r="J8" i="16"/>
  <c r="J34" i="16"/>
  <c r="J25" i="16"/>
  <c r="J32" i="16"/>
  <c r="J13" i="16"/>
  <c r="J24" i="16"/>
  <c r="J46" i="16"/>
  <c r="J35" i="16"/>
  <c r="J36" i="16"/>
  <c r="J21" i="16"/>
  <c r="J50" i="16"/>
  <c r="J31" i="16"/>
  <c r="J29" i="16"/>
  <c r="J49" i="16"/>
  <c r="J42" i="16"/>
  <c r="J53" i="16"/>
  <c r="J28" i="16"/>
  <c r="J22" i="16"/>
  <c r="J18" i="16"/>
  <c r="J52" i="16"/>
  <c r="J16" i="16"/>
  <c r="J40" i="16"/>
  <c r="J23" i="16"/>
  <c r="J54" i="16"/>
  <c r="J20" i="16"/>
  <c r="J45" i="16"/>
  <c r="J15" i="16"/>
  <c r="J12" i="16"/>
  <c r="J17" i="16"/>
  <c r="J41" i="16"/>
  <c r="J3" i="16"/>
  <c r="J44" i="16"/>
  <c r="J38" i="16"/>
  <c r="J55" i="16"/>
  <c r="J47" i="16"/>
  <c r="J39" i="16"/>
  <c r="J27" i="16"/>
  <c r="J19" i="16"/>
  <c r="J37" i="16"/>
  <c r="J7" i="16"/>
  <c r="J23" i="15"/>
  <c r="J17" i="15"/>
  <c r="J13" i="15"/>
  <c r="J26" i="15"/>
  <c r="J8" i="15"/>
  <c r="J9" i="15"/>
  <c r="J10" i="15"/>
  <c r="J3" i="15"/>
  <c r="J12" i="15"/>
  <c r="J5" i="15"/>
  <c r="J21" i="15"/>
  <c r="D9" i="3"/>
  <c r="D29" i="14"/>
  <c r="G29" i="14"/>
  <c r="L29" i="14" s="1"/>
  <c r="A31" i="14" a="1"/>
  <c r="A31" i="14" s="1"/>
  <c r="Q31" i="14" s="1"/>
  <c r="D31" i="14"/>
  <c r="G31" i="14"/>
  <c r="L31" i="14" s="1"/>
  <c r="A40" i="14" a="1"/>
  <c r="A40" i="14" s="1"/>
  <c r="Q40" i="14" s="1"/>
  <c r="D40" i="14"/>
  <c r="G40" i="14"/>
  <c r="K40" i="14" s="1"/>
  <c r="D28" i="14"/>
  <c r="A28" i="14" a="1"/>
  <c r="A28" i="14" s="1"/>
  <c r="Q28" i="14" s="1"/>
  <c r="G28" i="14"/>
  <c r="L28" i="14" s="1"/>
  <c r="K29" i="14" l="1"/>
  <c r="K31" i="14"/>
  <c r="M31" i="14"/>
  <c r="M40" i="14"/>
  <c r="L40" i="14"/>
  <c r="M29" i="14"/>
  <c r="A29" i="14" s="1" a="1"/>
  <c r="A29" i="14" s="1"/>
  <c r="Q29" i="14" s="1"/>
  <c r="K28" i="14"/>
  <c r="M28" i="14"/>
  <c r="C21" i="17" l="1"/>
  <c r="D21" i="17" s="1"/>
  <c r="D14" i="13"/>
  <c r="A14" i="13" a="1"/>
  <c r="A14" i="13" s="1"/>
  <c r="R14" i="13" s="1"/>
  <c r="H14" i="13"/>
  <c r="M14" i="13" s="1"/>
  <c r="S14" i="13"/>
  <c r="K14" i="13" s="1"/>
  <c r="T14" i="13"/>
  <c r="Y14" i="13"/>
  <c r="AF14" i="13"/>
  <c r="AF6" i="12"/>
  <c r="AF14" i="12"/>
  <c r="AF7" i="12"/>
  <c r="AF13" i="12"/>
  <c r="AF5" i="12"/>
  <c r="AF8" i="12"/>
  <c r="AF11" i="12"/>
  <c r="AF12" i="12"/>
  <c r="AF9" i="12"/>
  <c r="AF3" i="12"/>
  <c r="AF10" i="12"/>
  <c r="AF4" i="12"/>
  <c r="AF15" i="12"/>
  <c r="L14" i="13" l="1"/>
  <c r="N14" i="13"/>
  <c r="A19" i="15" a="1"/>
  <c r="A19" i="15" s="1"/>
  <c r="A9" i="15" a="1"/>
  <c r="A9" i="15" s="1"/>
  <c r="A11" i="15" a="1"/>
  <c r="A11" i="15" s="1"/>
  <c r="Q11" i="15" s="1"/>
  <c r="A15" i="15" a="1"/>
  <c r="A15" i="15" s="1"/>
  <c r="A13" i="15" a="1"/>
  <c r="A13" i="15" s="1"/>
  <c r="A14" i="15" a="1"/>
  <c r="A14" i="15" s="1"/>
  <c r="A26" i="15" a="1"/>
  <c r="A26" i="15" s="1"/>
  <c r="A25" i="15" a="1"/>
  <c r="A25" i="15" s="1"/>
  <c r="A22" i="15" a="1"/>
  <c r="A22" i="15" s="1"/>
  <c r="A16" i="15" a="1"/>
  <c r="A16" i="15" s="1"/>
  <c r="A17" i="15" a="1"/>
  <c r="A17" i="15" s="1"/>
  <c r="C39" i="17"/>
  <c r="D39" i="17" s="1"/>
  <c r="E39" i="17"/>
  <c r="F39" i="17" s="1"/>
  <c r="D5" i="16"/>
  <c r="D9" i="16"/>
  <c r="D4" i="16"/>
  <c r="D43" i="16"/>
  <c r="D11" i="16"/>
  <c r="D8" i="16"/>
  <c r="D12" i="16"/>
  <c r="D19" i="16"/>
  <c r="D21" i="16"/>
  <c r="D23" i="16"/>
  <c r="D27" i="16"/>
  <c r="D34" i="16"/>
  <c r="D42" i="16"/>
  <c r="D40" i="16"/>
  <c r="D53" i="16"/>
  <c r="D55" i="16"/>
  <c r="D54" i="16"/>
  <c r="D44" i="16"/>
  <c r="D48" i="16"/>
  <c r="D45" i="16"/>
  <c r="D47" i="16"/>
  <c r="D49" i="16"/>
  <c r="D51" i="16"/>
  <c r="D52" i="16"/>
  <c r="D13" i="16"/>
  <c r="D25" i="16"/>
  <c r="D29" i="16"/>
  <c r="D31" i="16"/>
  <c r="D32" i="16"/>
  <c r="D33" i="16"/>
  <c r="D35" i="16"/>
  <c r="D37" i="16"/>
  <c r="D38" i="16"/>
  <c r="D41" i="16"/>
  <c r="D16" i="16"/>
  <c r="D24" i="16"/>
  <c r="D50" i="16"/>
  <c r="D18" i="16"/>
  <c r="D14" i="16"/>
  <c r="D15" i="16"/>
  <c r="D17" i="16"/>
  <c r="D20" i="16"/>
  <c r="D22" i="16"/>
  <c r="D26" i="16"/>
  <c r="D28" i="16"/>
  <c r="D30" i="16"/>
  <c r="D36" i="16"/>
  <c r="D39" i="16"/>
  <c r="D7" i="16"/>
  <c r="D46" i="16"/>
  <c r="A36" i="16" a="1"/>
  <c r="A36" i="16" s="1"/>
  <c r="Q36" i="16" s="1"/>
  <c r="G36" i="16"/>
  <c r="L36" i="16" s="1"/>
  <c r="A39" i="16" a="1"/>
  <c r="A39" i="16" s="1"/>
  <c r="Q39" i="16" s="1"/>
  <c r="G39" i="16"/>
  <c r="M39" i="16" s="1"/>
  <c r="G7" i="16"/>
  <c r="L7" i="16" s="1"/>
  <c r="G46" i="16"/>
  <c r="M46" i="16" s="1"/>
  <c r="B46" i="16" s="1" a="1"/>
  <c r="B46" i="16" s="1"/>
  <c r="A24" i="16" a="1"/>
  <c r="A24" i="16" s="1"/>
  <c r="Q24" i="16" s="1"/>
  <c r="G24" i="16"/>
  <c r="M24" i="16" s="1"/>
  <c r="B24" i="16" s="1" a="1"/>
  <c r="B24" i="16" s="1"/>
  <c r="A50" i="16" a="1"/>
  <c r="A50" i="16" s="1"/>
  <c r="Q50" i="16" s="1"/>
  <c r="G50" i="16"/>
  <c r="L50" i="16" s="1"/>
  <c r="A18" i="16" a="1"/>
  <c r="A18" i="16" s="1"/>
  <c r="Q18" i="16" s="1"/>
  <c r="G18" i="16"/>
  <c r="M18" i="16" s="1"/>
  <c r="B18" i="16" s="1" a="1"/>
  <c r="B18" i="16" s="1"/>
  <c r="A14" i="16" a="1"/>
  <c r="A14" i="16" s="1"/>
  <c r="Q14" i="16" s="1"/>
  <c r="G14" i="16"/>
  <c r="K14" i="16" s="1"/>
  <c r="A15" i="16" a="1"/>
  <c r="A15" i="16" s="1"/>
  <c r="Q15" i="16" s="1"/>
  <c r="G55" i="17" s="1"/>
  <c r="H55" i="17" s="1"/>
  <c r="G15" i="16"/>
  <c r="M15" i="16" s="1"/>
  <c r="B15" i="16" s="1" a="1"/>
  <c r="B15" i="16" s="1"/>
  <c r="A17" i="16" a="1"/>
  <c r="A17" i="16" s="1"/>
  <c r="Q17" i="16" s="1"/>
  <c r="G17" i="16"/>
  <c r="L17" i="16" s="1"/>
  <c r="G20" i="16"/>
  <c r="M20" i="16" s="1"/>
  <c r="B20" i="16" s="1" a="1"/>
  <c r="B20" i="16" s="1"/>
  <c r="A22" i="16" a="1"/>
  <c r="A22" i="16" s="1"/>
  <c r="Q22" i="16" s="1"/>
  <c r="G22" i="16"/>
  <c r="M22" i="16" s="1"/>
  <c r="B22" i="16" s="1" a="1"/>
  <c r="B22" i="16" s="1"/>
  <c r="A26" i="16" a="1"/>
  <c r="A26" i="16" s="1"/>
  <c r="Q26" i="16" s="1"/>
  <c r="G26" i="16"/>
  <c r="L26" i="16" s="1"/>
  <c r="A28" i="16" a="1"/>
  <c r="A28" i="16" s="1"/>
  <c r="Q28" i="16" s="1"/>
  <c r="G28" i="16"/>
  <c r="M28" i="16" s="1"/>
  <c r="A30" i="16" a="1"/>
  <c r="A30" i="16" s="1"/>
  <c r="Q30" i="16" s="1"/>
  <c r="G30" i="16"/>
  <c r="K30" i="16" s="1"/>
  <c r="G16" i="16"/>
  <c r="M16" i="16" s="1"/>
  <c r="B16" i="16" s="1" a="1"/>
  <c r="B16" i="16" s="1"/>
  <c r="D9" i="15"/>
  <c r="D5" i="15"/>
  <c r="D6" i="15"/>
  <c r="D8" i="15"/>
  <c r="D18" i="15"/>
  <c r="D10" i="15"/>
  <c r="D11" i="15"/>
  <c r="D12" i="15"/>
  <c r="D15" i="15"/>
  <c r="D13" i="15"/>
  <c r="D14" i="15"/>
  <c r="D23" i="15"/>
  <c r="D20" i="15"/>
  <c r="D26" i="15"/>
  <c r="D24" i="15"/>
  <c r="D25" i="15"/>
  <c r="D21" i="15"/>
  <c r="D22" i="15"/>
  <c r="D16" i="15"/>
  <c r="D4" i="15"/>
  <c r="D19" i="15"/>
  <c r="D3" i="15"/>
  <c r="G5" i="15"/>
  <c r="L5" i="15" s="1"/>
  <c r="G11" i="15"/>
  <c r="M11" i="15" s="1"/>
  <c r="G12" i="15"/>
  <c r="L12" i="15" s="1"/>
  <c r="G4" i="15"/>
  <c r="M4" i="15" s="1"/>
  <c r="A20" i="16" l="1" a="1"/>
  <c r="A20" i="16" s="1"/>
  <c r="Q20" i="16" s="1"/>
  <c r="A16" i="16" a="1"/>
  <c r="A16" i="16" s="1"/>
  <c r="Q16" i="16" s="1"/>
  <c r="A46" i="16" a="1"/>
  <c r="A46" i="16" s="1"/>
  <c r="Q46" i="16" s="1"/>
  <c r="K15" i="16"/>
  <c r="K22" i="16"/>
  <c r="L24" i="16"/>
  <c r="L20" i="16"/>
  <c r="K26" i="16"/>
  <c r="L28" i="16"/>
  <c r="K18" i="16"/>
  <c r="K36" i="16"/>
  <c r="K17" i="16"/>
  <c r="M26" i="16"/>
  <c r="B26" i="16" s="1" a="1"/>
  <c r="B26" i="16" s="1"/>
  <c r="K20" i="16"/>
  <c r="K4" i="15"/>
  <c r="G39" i="17"/>
  <c r="H39" i="17" s="1"/>
  <c r="M30" i="16"/>
  <c r="K28" i="16"/>
  <c r="K24" i="16"/>
  <c r="L30" i="16"/>
  <c r="M7" i="16"/>
  <c r="L22" i="16"/>
  <c r="K50" i="16"/>
  <c r="K7" i="16"/>
  <c r="M36" i="16"/>
  <c r="L39" i="16"/>
  <c r="K39" i="16"/>
  <c r="M14" i="16"/>
  <c r="B14" i="16" s="1" a="1"/>
  <c r="B14" i="16" s="1"/>
  <c r="L16" i="16"/>
  <c r="M17" i="16"/>
  <c r="B17" i="16" s="1" a="1"/>
  <c r="B17" i="16" s="1"/>
  <c r="L14" i="16"/>
  <c r="M50" i="16"/>
  <c r="B50" i="16" s="1" a="1"/>
  <c r="B50" i="16" s="1"/>
  <c r="L46" i="16"/>
  <c r="K16" i="16"/>
  <c r="L15" i="16"/>
  <c r="L18" i="16"/>
  <c r="K46" i="16"/>
  <c r="M5" i="15"/>
  <c r="K5" i="15"/>
  <c r="M12" i="15"/>
  <c r="L11" i="15"/>
  <c r="L4" i="15"/>
  <c r="K12" i="15"/>
  <c r="K11" i="15"/>
  <c r="A43" i="16" l="1" a="1"/>
  <c r="A43" i="16" s="1"/>
  <c r="A12" i="16" a="1"/>
  <c r="A12" i="16" s="1"/>
  <c r="A19" i="16" a="1"/>
  <c r="A19" i="16" s="1"/>
  <c r="A23" i="16" a="1"/>
  <c r="A23" i="16" s="1"/>
  <c r="A27" i="16" a="1"/>
  <c r="A27" i="16" s="1"/>
  <c r="A34" i="16" a="1"/>
  <c r="A34" i="16" s="1"/>
  <c r="A55" i="16" a="1"/>
  <c r="A55" i="16" s="1"/>
  <c r="A54" i="16" a="1"/>
  <c r="A54" i="16" s="1"/>
  <c r="A44" i="16" a="1"/>
  <c r="A44" i="16" s="1"/>
  <c r="A48" i="16" a="1"/>
  <c r="A48" i="16" s="1"/>
  <c r="A45" i="16" a="1"/>
  <c r="A45" i="16" s="1"/>
  <c r="A51" i="16" a="1"/>
  <c r="A51" i="16" s="1"/>
  <c r="A52" i="16" a="1"/>
  <c r="A52" i="16" s="1"/>
  <c r="A13" i="16" a="1"/>
  <c r="A13" i="16" s="1"/>
  <c r="A25" i="16" a="1"/>
  <c r="A25" i="16" s="1"/>
  <c r="A29" i="16" a="1"/>
  <c r="A29" i="16" s="1"/>
  <c r="A31" i="16" a="1"/>
  <c r="A31" i="16" s="1"/>
  <c r="A33" i="16" a="1"/>
  <c r="A33" i="16" s="1"/>
  <c r="A35" i="16" a="1"/>
  <c r="A35" i="16" s="1"/>
  <c r="A37" i="16" a="1"/>
  <c r="A37" i="16" s="1"/>
  <c r="A41" i="16" a="1"/>
  <c r="A41" i="16" s="1"/>
  <c r="Q16" i="15"/>
  <c r="G3" i="17" s="1"/>
  <c r="H3" i="17" s="1"/>
  <c r="A45" i="14" a="1"/>
  <c r="A45" i="14" s="1"/>
  <c r="A48" i="14" a="1"/>
  <c r="A48" i="14" s="1"/>
  <c r="A8" i="14" a="1"/>
  <c r="A8" i="14" s="1"/>
  <c r="A11" i="14" a="1"/>
  <c r="A11" i="14" s="1"/>
  <c r="A9" i="14" a="1"/>
  <c r="A9" i="14" s="1"/>
  <c r="A10" i="14" a="1"/>
  <c r="A10" i="14" s="1"/>
  <c r="Q10" i="14" s="1"/>
  <c r="A21" i="14" a="1"/>
  <c r="A21" i="14" s="1"/>
  <c r="A14" i="14" a="1"/>
  <c r="A14" i="14" s="1"/>
  <c r="A33" i="14" a="1"/>
  <c r="A33" i="14" s="1"/>
  <c r="Q33" i="14" s="1"/>
  <c r="A65" i="14" a="1"/>
  <c r="A65" i="14" s="1"/>
  <c r="Q65" i="14" s="1"/>
  <c r="A37" i="14" a="1"/>
  <c r="A37" i="14" s="1"/>
  <c r="A13" i="14" a="1"/>
  <c r="A13" i="14" s="1"/>
  <c r="A32" i="14" a="1"/>
  <c r="A32" i="14" s="1"/>
  <c r="A41" i="14" a="1"/>
  <c r="A41" i="14" s="1"/>
  <c r="A61" i="14" a="1"/>
  <c r="A61" i="14" s="1"/>
  <c r="A64" i="14" a="1"/>
  <c r="A64" i="14" s="1"/>
  <c r="A63" i="14" a="1"/>
  <c r="A63" i="14" s="1"/>
  <c r="A49" i="14" a="1"/>
  <c r="A49" i="14" s="1"/>
  <c r="A50" i="14" a="1"/>
  <c r="A50" i="14" s="1"/>
  <c r="A47" i="14" a="1"/>
  <c r="A47" i="14" s="1"/>
  <c r="Q47" i="14" s="1"/>
  <c r="A53" i="14" a="1"/>
  <c r="A53" i="14" s="1"/>
  <c r="A54" i="14" a="1"/>
  <c r="A54" i="14" s="1"/>
  <c r="Q54" i="14" s="1"/>
  <c r="A60" i="14" a="1"/>
  <c r="A60" i="14" s="1"/>
  <c r="Q60" i="14" s="1"/>
  <c r="A62" i="14" a="1"/>
  <c r="A62" i="14" s="1"/>
  <c r="Q62" i="14" s="1"/>
  <c r="A67" i="14" a="1"/>
  <c r="A67" i="14" s="1"/>
  <c r="Q67" i="14" s="1"/>
  <c r="A51" i="14" a="1"/>
  <c r="A51" i="14" s="1"/>
  <c r="Q51" i="14" s="1"/>
  <c r="A55" i="14" a="1"/>
  <c r="A55" i="14" s="1"/>
  <c r="Q55" i="14" s="1"/>
  <c r="E45" i="17" s="1"/>
  <c r="F45" i="17" s="1"/>
  <c r="A57" i="14" a="1"/>
  <c r="A57" i="14" s="1"/>
  <c r="A52" i="14" a="1"/>
  <c r="A52" i="14" s="1"/>
  <c r="Q52" i="14" s="1"/>
  <c r="A59" i="14" a="1"/>
  <c r="A59" i="14" s="1"/>
  <c r="A58" i="14" a="1"/>
  <c r="A58" i="14" s="1"/>
  <c r="Q58" i="14" s="1"/>
  <c r="A56" i="14" a="1"/>
  <c r="A56" i="14" s="1"/>
  <c r="Q56" i="14" s="1"/>
  <c r="A16" i="14" a="1"/>
  <c r="A16" i="14" s="1"/>
  <c r="Q16" i="14" s="1"/>
  <c r="A20" i="14" a="1"/>
  <c r="A20" i="14" s="1"/>
  <c r="Q20" i="14" s="1"/>
  <c r="A17" i="14" a="1"/>
  <c r="A17" i="14" s="1"/>
  <c r="A23" i="14" a="1"/>
  <c r="A23" i="14" s="1"/>
  <c r="A34" i="14" a="1"/>
  <c r="A34" i="14" s="1"/>
  <c r="A35" i="14" a="1"/>
  <c r="A35" i="14" s="1"/>
  <c r="A39" i="14" a="1"/>
  <c r="A39" i="14" s="1"/>
  <c r="A42" i="14" a="1"/>
  <c r="A42" i="14" s="1"/>
  <c r="A22" i="14" a="1"/>
  <c r="A22" i="14" s="1"/>
  <c r="A38" i="14" a="1"/>
  <c r="A38" i="14" s="1"/>
  <c r="A36" i="14" a="1"/>
  <c r="A36" i="14" s="1"/>
  <c r="A6" i="14" a="1"/>
  <c r="A6" i="14" s="1"/>
  <c r="A13" i="6" a="1"/>
  <c r="A13" i="6" s="1"/>
  <c r="A25" i="6" a="1"/>
  <c r="A25" i="6" s="1"/>
  <c r="A19" i="6" a="1"/>
  <c r="A19" i="6" s="1"/>
  <c r="Q19" i="6" s="1"/>
  <c r="A30" i="6" a="1"/>
  <c r="A30" i="6" s="1"/>
  <c r="A34" i="6" a="1"/>
  <c r="A34" i="6" s="1"/>
  <c r="A33" i="6" a="1"/>
  <c r="A33" i="6" s="1"/>
  <c r="Q33" i="6" s="1"/>
  <c r="A10" i="6" a="1"/>
  <c r="A10" i="6" s="1"/>
  <c r="A16" i="6" a="1"/>
  <c r="A16" i="6" s="1"/>
  <c r="Q16" i="6" s="1"/>
  <c r="A18" i="6" a="1"/>
  <c r="A18" i="6" s="1"/>
  <c r="A22" i="6" a="1"/>
  <c r="A22" i="6" s="1"/>
  <c r="Q22" i="6" s="1"/>
  <c r="A26" i="6" a="1"/>
  <c r="A26" i="6" s="1"/>
  <c r="E38" i="17"/>
  <c r="F38" i="17" s="1"/>
  <c r="A23" i="6" a="1"/>
  <c r="A23" i="6" s="1"/>
  <c r="Q23" i="6" s="1"/>
  <c r="A57" i="6" a="1"/>
  <c r="A57" i="6" s="1"/>
  <c r="A47" i="6" a="1"/>
  <c r="A47" i="6" s="1"/>
  <c r="A36" i="6" a="1"/>
  <c r="A36" i="6" s="1"/>
  <c r="A35" i="6" a="1"/>
  <c r="A35" i="6" s="1"/>
  <c r="A46" i="6" a="1"/>
  <c r="A46" i="6" s="1"/>
  <c r="A52" i="6" a="1"/>
  <c r="A52" i="6" s="1"/>
  <c r="A53" i="6" a="1"/>
  <c r="A53" i="6" s="1"/>
  <c r="A31" i="6" a="1"/>
  <c r="A31" i="6" s="1"/>
  <c r="A50" i="6" a="1"/>
  <c r="A50" i="6" s="1"/>
  <c r="Q50" i="6" s="1"/>
  <c r="A54" i="6" a="1"/>
  <c r="A54" i="6" s="1"/>
  <c r="Q54" i="6" s="1"/>
  <c r="A49" i="6" a="1"/>
  <c r="A49" i="6" s="1"/>
  <c r="Q49" i="6" s="1"/>
  <c r="A55" i="6" a="1"/>
  <c r="A55" i="6" s="1"/>
  <c r="Q55" i="6" s="1"/>
  <c r="A56" i="6" a="1"/>
  <c r="A56" i="6" s="1"/>
  <c r="Q56" i="6" s="1"/>
  <c r="A37" i="6" a="1"/>
  <c r="A37" i="6" s="1"/>
  <c r="A39" i="6" a="1"/>
  <c r="A39" i="6" s="1"/>
  <c r="Q39" i="6" s="1"/>
  <c r="A38" i="6" a="1"/>
  <c r="A38" i="6" s="1"/>
  <c r="Q38" i="6" s="1"/>
  <c r="A41" i="6" a="1"/>
  <c r="A41" i="6" s="1"/>
  <c r="Q41" i="6" s="1"/>
  <c r="A42" i="6" a="1"/>
  <c r="A42" i="6" s="1"/>
  <c r="A44" i="6" a="1"/>
  <c r="A44" i="6" s="1"/>
  <c r="Q44" i="6" s="1"/>
  <c r="A43" i="6" a="1"/>
  <c r="A43" i="6" s="1"/>
  <c r="A21" i="6" a="1"/>
  <c r="A21" i="6" s="1"/>
  <c r="A10" i="13" a="1"/>
  <c r="A10" i="13" s="1"/>
  <c r="A7" i="13" a="1"/>
  <c r="A7" i="13" s="1"/>
  <c r="R7" i="13" s="1"/>
  <c r="A15" i="13" a="1"/>
  <c r="A15" i="13" s="1"/>
  <c r="R15" i="13" s="1"/>
  <c r="A6" i="13" a="1"/>
  <c r="A6" i="13" s="1"/>
  <c r="A16" i="13" a="1"/>
  <c r="A16" i="13" s="1"/>
  <c r="A4" i="13" a="1"/>
  <c r="A4" i="13" s="1"/>
  <c r="R4" i="13" s="1"/>
  <c r="A19" i="13" a="1"/>
  <c r="A19" i="13" s="1"/>
  <c r="R19" i="13" s="1"/>
  <c r="A5" i="13" a="1"/>
  <c r="A5" i="13" s="1"/>
  <c r="R5" i="13" s="1"/>
  <c r="A12" i="13" a="1"/>
  <c r="A12" i="13" s="1"/>
  <c r="R12" i="13" s="1"/>
  <c r="A18" i="13" a="1"/>
  <c r="A18" i="13" s="1"/>
  <c r="A8" i="13" a="1"/>
  <c r="A8" i="13" s="1"/>
  <c r="A11" i="13" a="1"/>
  <c r="A11" i="13" s="1"/>
  <c r="A20" i="13" a="1"/>
  <c r="A20" i="13" s="1"/>
  <c r="A13" i="13" a="1"/>
  <c r="A13" i="13" s="1"/>
  <c r="R13" i="13" s="1"/>
  <c r="A9" i="13" a="1"/>
  <c r="A9" i="13" s="1"/>
  <c r="A3" i="13" a="1"/>
  <c r="A3" i="13" s="1"/>
  <c r="R3" i="13" s="1"/>
  <c r="A7" i="12" a="1"/>
  <c r="A7" i="12" s="1"/>
  <c r="R7" i="12" s="1"/>
  <c r="A13" i="12" a="1"/>
  <c r="A13" i="12" s="1"/>
  <c r="A5" i="12" a="1"/>
  <c r="A5" i="12" s="1"/>
  <c r="A8" i="12" a="1"/>
  <c r="A8" i="12" s="1"/>
  <c r="A11" i="12" a="1"/>
  <c r="A11" i="12" s="1"/>
  <c r="R11" i="12" s="1"/>
  <c r="A12" i="12" a="1"/>
  <c r="A12" i="12" s="1"/>
  <c r="R12" i="12" s="1"/>
  <c r="A10" i="12" a="1"/>
  <c r="A10" i="12" s="1"/>
  <c r="A4" i="12" a="1"/>
  <c r="A4" i="12" s="1"/>
  <c r="R4" i="12" s="1"/>
  <c r="A15" i="12" a="1"/>
  <c r="A15" i="12" s="1"/>
  <c r="R15" i="12" s="1"/>
  <c r="A3" i="11" a="1"/>
  <c r="A3" i="11" s="1"/>
  <c r="Q3" i="11" s="1"/>
  <c r="A55" i="11" a="1"/>
  <c r="A55" i="11" s="1"/>
  <c r="A56" i="11" a="1"/>
  <c r="A56" i="11" s="1"/>
  <c r="A54" i="11" a="1"/>
  <c r="A54" i="11" s="1"/>
  <c r="A72" i="11" a="1"/>
  <c r="A72" i="11" s="1"/>
  <c r="A7" i="11" a="1"/>
  <c r="A7" i="11" s="1"/>
  <c r="A11" i="11" a="1"/>
  <c r="A11" i="11" s="1"/>
  <c r="Q11" i="11" s="1"/>
  <c r="C22" i="17" s="1"/>
  <c r="D22" i="17" s="1"/>
  <c r="A12" i="11" a="1"/>
  <c r="A12" i="11" s="1"/>
  <c r="A14" i="11" a="1"/>
  <c r="A14" i="11" s="1"/>
  <c r="A20" i="11" a="1"/>
  <c r="A20" i="11" s="1"/>
  <c r="Q20" i="11" s="1"/>
  <c r="A22" i="11" a="1"/>
  <c r="A22" i="11" s="1"/>
  <c r="A27" i="11" a="1"/>
  <c r="A27" i="11" s="1"/>
  <c r="A9" i="11" a="1"/>
  <c r="A9" i="11" s="1"/>
  <c r="A39" i="11" a="1"/>
  <c r="A39" i="11" s="1"/>
  <c r="A34" i="11" a="1"/>
  <c r="A34" i="11" s="1"/>
  <c r="A48" i="11" a="1"/>
  <c r="A48" i="11" s="1"/>
  <c r="A52" i="11" a="1"/>
  <c r="A52" i="11" s="1"/>
  <c r="A60" i="11" a="1"/>
  <c r="A60" i="11" s="1"/>
  <c r="A66" i="11" a="1"/>
  <c r="A66" i="11" s="1"/>
  <c r="Q66" i="11" s="1"/>
  <c r="A62" i="11" a="1"/>
  <c r="A62" i="11" s="1"/>
  <c r="Q62" i="11" s="1"/>
  <c r="A59" i="11" a="1"/>
  <c r="A59" i="11" s="1"/>
  <c r="A73" i="11" a="1"/>
  <c r="A73" i="11" s="1"/>
  <c r="A76" i="11" a="1"/>
  <c r="A76" i="11" s="1"/>
  <c r="Q76" i="11" s="1"/>
  <c r="C58" i="17" s="1"/>
  <c r="D58" i="17" s="1"/>
  <c r="A75" i="11" a="1"/>
  <c r="A75" i="11" s="1"/>
  <c r="Q75" i="11" s="1"/>
  <c r="A81" i="11" a="1"/>
  <c r="A81" i="11" s="1"/>
  <c r="Q81" i="11" s="1"/>
  <c r="A79" i="11" a="1"/>
  <c r="A79" i="11" s="1"/>
  <c r="A51" i="11" a="1"/>
  <c r="A51" i="11" s="1"/>
  <c r="A80" i="11" a="1"/>
  <c r="A80" i="11" s="1"/>
  <c r="Q80" i="11" s="1"/>
  <c r="A78" i="11" a="1"/>
  <c r="A78" i="11" s="1"/>
  <c r="A10" i="11" a="1"/>
  <c r="A10" i="11" s="1"/>
  <c r="A69" i="11" a="1"/>
  <c r="A69" i="11" s="1"/>
  <c r="Q69" i="11" s="1"/>
  <c r="A57" i="11" a="1"/>
  <c r="A57" i="11" s="1"/>
  <c r="Q57" i="11" s="1"/>
  <c r="A63" i="11" a="1"/>
  <c r="A63" i="11" s="1"/>
  <c r="A65" i="11" a="1"/>
  <c r="A65" i="11" s="1"/>
  <c r="A64" i="11" a="1"/>
  <c r="A64" i="11" s="1"/>
  <c r="A61" i="11" a="1"/>
  <c r="A61" i="11" s="1"/>
  <c r="Q61" i="11" s="1"/>
  <c r="A67" i="11" a="1"/>
  <c r="A67" i="11" s="1"/>
  <c r="Q67" i="11" s="1"/>
  <c r="C35" i="17" s="1"/>
  <c r="D35" i="17" s="1"/>
  <c r="A70" i="11" a="1"/>
  <c r="A70" i="11" s="1"/>
  <c r="A71" i="11" a="1"/>
  <c r="A71" i="11" s="1"/>
  <c r="A17" i="11" a="1"/>
  <c r="A17" i="11" s="1"/>
  <c r="A15" i="11" a="1"/>
  <c r="A15" i="11" s="1"/>
  <c r="Q15" i="11" s="1"/>
  <c r="A21" i="11" a="1"/>
  <c r="A21" i="11" s="1"/>
  <c r="A47" i="11" a="1"/>
  <c r="A47" i="11" s="1"/>
  <c r="A32" i="11" a="1"/>
  <c r="A32" i="11" s="1"/>
  <c r="Q32" i="11" s="1"/>
  <c r="A33" i="11" a="1"/>
  <c r="A33" i="11" s="1"/>
  <c r="A23" i="11" a="1"/>
  <c r="A23" i="11" s="1"/>
  <c r="A25" i="11" a="1"/>
  <c r="A25" i="11" s="1"/>
  <c r="Q25" i="11" s="1"/>
  <c r="A28" i="11" a="1"/>
  <c r="A28" i="11" s="1"/>
  <c r="Q28" i="11" s="1"/>
  <c r="A26" i="11" a="1"/>
  <c r="A26" i="11" s="1"/>
  <c r="Q26" i="11" s="1"/>
  <c r="A30" i="11" a="1"/>
  <c r="A30" i="11" s="1"/>
  <c r="A36" i="11" a="1"/>
  <c r="A36" i="11" s="1"/>
  <c r="Q36" i="11" s="1"/>
  <c r="A24" i="11" a="1"/>
  <c r="A24" i="11" s="1"/>
  <c r="A35" i="11" a="1"/>
  <c r="A35" i="11" s="1"/>
  <c r="A44" i="11" a="1"/>
  <c r="A44" i="11" s="1"/>
  <c r="A46" i="11" a="1"/>
  <c r="A46" i="11" s="1"/>
  <c r="Q46" i="11" s="1"/>
  <c r="A4" i="11" a="1"/>
  <c r="A4" i="11" s="1"/>
  <c r="Q4" i="11" s="1"/>
  <c r="A68" i="11" a="1"/>
  <c r="A68" i="11" s="1"/>
  <c r="Q68" i="11" s="1"/>
  <c r="A74" i="11" a="1"/>
  <c r="A74" i="11" s="1"/>
  <c r="Q74" i="11" s="1"/>
  <c r="A31" i="11" a="1"/>
  <c r="A31" i="11" s="1"/>
  <c r="Q31" i="11" s="1"/>
  <c r="A8" i="3" a="1"/>
  <c r="A8" i="3" s="1"/>
  <c r="Q8" i="3" s="1"/>
  <c r="A14" i="3" a="1"/>
  <c r="A14" i="3" s="1"/>
  <c r="Q14" i="3" s="1"/>
  <c r="A40" i="3" a="1"/>
  <c r="A40" i="3" s="1"/>
  <c r="Q40" i="3" s="1"/>
  <c r="A9" i="3" a="1"/>
  <c r="A9" i="3" s="1"/>
  <c r="Q9" i="3" s="1"/>
  <c r="A13" i="3" a="1"/>
  <c r="A13" i="3" s="1"/>
  <c r="Q13" i="3" s="1"/>
  <c r="A15" i="3" a="1"/>
  <c r="A15" i="3" s="1"/>
  <c r="Q15" i="3" s="1"/>
  <c r="A17" i="3" a="1"/>
  <c r="A17" i="3" s="1"/>
  <c r="Q17" i="3" s="1"/>
  <c r="A16" i="3" a="1"/>
  <c r="A16" i="3" s="1"/>
  <c r="Q16" i="3" s="1"/>
  <c r="A21" i="3" a="1"/>
  <c r="A21" i="3" s="1"/>
  <c r="Q21" i="3" s="1"/>
  <c r="A23" i="3" a="1"/>
  <c r="A23" i="3" s="1"/>
  <c r="Q23" i="3" s="1"/>
  <c r="A24" i="3" a="1"/>
  <c r="A24" i="3" s="1"/>
  <c r="Q24" i="3" s="1"/>
  <c r="A27" i="3" a="1"/>
  <c r="A27" i="3" s="1"/>
  <c r="Q27" i="3" s="1"/>
  <c r="A30" i="3" a="1"/>
  <c r="A30" i="3" s="1"/>
  <c r="Q30" i="3" s="1"/>
  <c r="A34" i="3" a="1"/>
  <c r="A34" i="3" s="1"/>
  <c r="Q34" i="3" s="1"/>
  <c r="A35" i="3" a="1"/>
  <c r="A35" i="3" s="1"/>
  <c r="Q35" i="3" s="1"/>
  <c r="A37" i="3" a="1"/>
  <c r="A37" i="3" s="1"/>
  <c r="Q37" i="3" s="1"/>
  <c r="A38" i="3" a="1"/>
  <c r="A38" i="3" s="1"/>
  <c r="Q38" i="3" s="1"/>
  <c r="A39" i="3" a="1"/>
  <c r="A39" i="3" s="1"/>
  <c r="A41" i="3" a="1"/>
  <c r="A41" i="3" s="1"/>
  <c r="Q41" i="3" s="1"/>
  <c r="A49" i="3" a="1"/>
  <c r="A49" i="3" s="1"/>
  <c r="Q49" i="3" s="1"/>
  <c r="A56" i="3" a="1"/>
  <c r="A56" i="3" s="1"/>
  <c r="Q56" i="3" s="1"/>
  <c r="A59" i="3" a="1"/>
  <c r="A59" i="3" s="1"/>
  <c r="Q59" i="3" s="1"/>
  <c r="A62" i="3" a="1"/>
  <c r="A62" i="3" s="1"/>
  <c r="Q62" i="3" s="1"/>
  <c r="A61" i="3" a="1"/>
  <c r="A61" i="3" s="1"/>
  <c r="Q61" i="3" s="1"/>
  <c r="A63" i="3" a="1"/>
  <c r="A63" i="3" s="1"/>
  <c r="Q63" i="3" s="1"/>
  <c r="A66" i="3" a="1"/>
  <c r="A66" i="3" s="1"/>
  <c r="Q66" i="3" s="1"/>
  <c r="A64" i="3" a="1"/>
  <c r="A64" i="3" s="1"/>
  <c r="Q64" i="3" s="1"/>
  <c r="A58" i="3" a="1"/>
  <c r="A58" i="3" s="1"/>
  <c r="Q58" i="3" s="1"/>
  <c r="A65" i="3" a="1"/>
  <c r="A65" i="3" s="1"/>
  <c r="Q65" i="3" s="1"/>
  <c r="A42" i="3" a="1"/>
  <c r="A42" i="3" s="1"/>
  <c r="Q42" i="3" s="1"/>
  <c r="A52" i="3" a="1"/>
  <c r="A52" i="3" s="1"/>
  <c r="Q52" i="3" s="1"/>
  <c r="A48" i="3" a="1"/>
  <c r="A48" i="3" s="1"/>
  <c r="Q48" i="3" s="1"/>
  <c r="A25" i="3" a="1"/>
  <c r="A25" i="3" s="1"/>
  <c r="Q25" i="3" s="1"/>
  <c r="A28" i="3" a="1"/>
  <c r="A28" i="3" s="1"/>
  <c r="Q28" i="3" s="1"/>
  <c r="A44" i="3" a="1"/>
  <c r="A44" i="3" s="1"/>
  <c r="Q44" i="3" s="1"/>
  <c r="A20" i="3" a="1"/>
  <c r="A20" i="3" s="1"/>
  <c r="Q20" i="3" s="1"/>
  <c r="A29" i="3" a="1"/>
  <c r="A29" i="3" s="1"/>
  <c r="Q29" i="3" s="1"/>
  <c r="A32" i="3" a="1"/>
  <c r="A32" i="3" s="1"/>
  <c r="Q32" i="3" s="1"/>
  <c r="A19" i="3" a="1"/>
  <c r="A19" i="3" s="1"/>
  <c r="Q19" i="3" s="1"/>
  <c r="A7" i="3" a="1"/>
  <c r="A7" i="3" s="1"/>
  <c r="Q7" i="3" s="1"/>
  <c r="D4" i="11"/>
  <c r="G4" i="11"/>
  <c r="X4" i="11"/>
  <c r="AE4" i="11"/>
  <c r="D5" i="11"/>
  <c r="G5" i="11"/>
  <c r="X5" i="11"/>
  <c r="AE5" i="11"/>
  <c r="D68" i="11"/>
  <c r="G68" i="11"/>
  <c r="X68" i="11"/>
  <c r="AE68" i="11"/>
  <c r="D19" i="11"/>
  <c r="G19" i="11"/>
  <c r="K19" i="11" s="1"/>
  <c r="X19" i="11"/>
  <c r="AE19" i="11"/>
  <c r="D74" i="11"/>
  <c r="G74" i="11"/>
  <c r="L74" i="11" s="1"/>
  <c r="X74" i="11"/>
  <c r="AE74" i="11"/>
  <c r="D31" i="11"/>
  <c r="G31" i="11"/>
  <c r="K31" i="11" s="1"/>
  <c r="X31" i="11"/>
  <c r="AE31" i="11"/>
  <c r="D20" i="3"/>
  <c r="G20" i="3"/>
  <c r="X20" i="3"/>
  <c r="AE20" i="3"/>
  <c r="D29" i="3"/>
  <c r="G29" i="3"/>
  <c r="L29" i="3" s="1"/>
  <c r="X29" i="3"/>
  <c r="AE29" i="3"/>
  <c r="D32" i="3"/>
  <c r="G32" i="3"/>
  <c r="X32" i="3"/>
  <c r="AE32" i="3"/>
  <c r="D19" i="3"/>
  <c r="G19" i="3"/>
  <c r="X19" i="3"/>
  <c r="AE19" i="3"/>
  <c r="D44" i="6"/>
  <c r="G44" i="6"/>
  <c r="L44" i="6" s="1"/>
  <c r="D33" i="14"/>
  <c r="G33" i="14"/>
  <c r="L33" i="14" s="1"/>
  <c r="D47" i="14"/>
  <c r="G47" i="14"/>
  <c r="K47" i="14" s="1"/>
  <c r="G21" i="15"/>
  <c r="K21" i="15" s="1"/>
  <c r="G16" i="15"/>
  <c r="K16" i="15" s="1"/>
  <c r="G5" i="14"/>
  <c r="G6" i="14"/>
  <c r="G4" i="14"/>
  <c r="G46" i="14"/>
  <c r="G44" i="14"/>
  <c r="G8" i="14"/>
  <c r="G14" i="14"/>
  <c r="G48" i="14"/>
  <c r="G43" i="14"/>
  <c r="G9" i="14"/>
  <c r="G15" i="14"/>
  <c r="G41" i="14"/>
  <c r="G11" i="14"/>
  <c r="G61" i="14"/>
  <c r="G64" i="14"/>
  <c r="G63" i="14"/>
  <c r="G45" i="14"/>
  <c r="G57" i="14"/>
  <c r="G49" i="14"/>
  <c r="G37" i="14"/>
  <c r="G21" i="14"/>
  <c r="G59" i="14"/>
  <c r="G32" i="14"/>
  <c r="G13" i="14"/>
  <c r="G17" i="14"/>
  <c r="G50" i="14"/>
  <c r="G23" i="14"/>
  <c r="G19" i="14"/>
  <c r="G53" i="14"/>
  <c r="G18" i="14"/>
  <c r="G12" i="14"/>
  <c r="G24" i="14"/>
  <c r="G30" i="14"/>
  <c r="G34" i="14"/>
  <c r="G35" i="14"/>
  <c r="G26" i="14"/>
  <c r="G25" i="14"/>
  <c r="G42" i="14"/>
  <c r="G22" i="14"/>
  <c r="G39" i="14"/>
  <c r="G27" i="14"/>
  <c r="G38" i="14"/>
  <c r="G36" i="14"/>
  <c r="G10" i="14"/>
  <c r="L10" i="14" s="1"/>
  <c r="G65" i="14"/>
  <c r="K65" i="14" s="1"/>
  <c r="G54" i="14"/>
  <c r="M54" i="14" s="1"/>
  <c r="G60" i="14"/>
  <c r="K60" i="14" s="1"/>
  <c r="G62" i="14"/>
  <c r="G67" i="14"/>
  <c r="K67" i="14" s="1"/>
  <c r="G66" i="14"/>
  <c r="K66" i="14" s="1"/>
  <c r="G51" i="14"/>
  <c r="L51" i="14" s="1"/>
  <c r="G55" i="14"/>
  <c r="M55" i="14" s="1"/>
  <c r="G52" i="14"/>
  <c r="G58" i="14"/>
  <c r="M58" i="14" s="1"/>
  <c r="G56" i="14"/>
  <c r="K56" i="14" s="1"/>
  <c r="G16" i="14"/>
  <c r="G20" i="14"/>
  <c r="K20" i="14" s="1"/>
  <c r="G3" i="14"/>
  <c r="D14" i="6"/>
  <c r="G14" i="6"/>
  <c r="L14" i="6" s="1"/>
  <c r="D19" i="6"/>
  <c r="G19" i="6"/>
  <c r="K19" i="6" s="1"/>
  <c r="D50" i="6"/>
  <c r="G50" i="6"/>
  <c r="M50" i="6" s="1"/>
  <c r="B50" i="6" s="1" a="1"/>
  <c r="B50" i="6" s="1"/>
  <c r="D33" i="6"/>
  <c r="G33" i="6"/>
  <c r="K33" i="6" s="1"/>
  <c r="D22" i="6"/>
  <c r="G22" i="6"/>
  <c r="L22" i="6" s="1"/>
  <c r="D23" i="6"/>
  <c r="G23" i="6"/>
  <c r="K23" i="6" s="1"/>
  <c r="D49" i="6"/>
  <c r="G49" i="6"/>
  <c r="M49" i="6" s="1"/>
  <c r="B49" i="6" s="1" a="1"/>
  <c r="B49" i="6" s="1"/>
  <c r="D55" i="6"/>
  <c r="G55" i="6"/>
  <c r="K55" i="6" s="1"/>
  <c r="D56" i="6"/>
  <c r="G56" i="6"/>
  <c r="K56" i="6" s="1"/>
  <c r="D39" i="6"/>
  <c r="G39" i="6"/>
  <c r="L39" i="6" s="1"/>
  <c r="D16" i="6"/>
  <c r="G16" i="6"/>
  <c r="L16" i="6" s="1"/>
  <c r="D54" i="6"/>
  <c r="G54" i="6"/>
  <c r="L54" i="6" s="1"/>
  <c r="D38" i="6"/>
  <c r="G38" i="6"/>
  <c r="K38" i="6" s="1"/>
  <c r="D41" i="6"/>
  <c r="G41" i="6"/>
  <c r="M41" i="6" s="1"/>
  <c r="B41" i="6" s="1" a="1"/>
  <c r="B41" i="6" s="1"/>
  <c r="C8" i="17"/>
  <c r="D8" i="17" s="1"/>
  <c r="G8" i="17"/>
  <c r="H8" i="17" s="1"/>
  <c r="D10" i="14"/>
  <c r="D65" i="14"/>
  <c r="D54" i="14"/>
  <c r="D60" i="14"/>
  <c r="D62" i="14"/>
  <c r="D67" i="14"/>
  <c r="D66" i="14"/>
  <c r="D51" i="14"/>
  <c r="D55" i="14"/>
  <c r="D52" i="14"/>
  <c r="D58" i="14"/>
  <c r="D56" i="14"/>
  <c r="D16" i="14"/>
  <c r="D20" i="14"/>
  <c r="D5" i="14"/>
  <c r="E58" i="17"/>
  <c r="F58" i="17" s="1"/>
  <c r="G58" i="17"/>
  <c r="H58" i="17" s="1"/>
  <c r="E35" i="17"/>
  <c r="F35" i="17" s="1"/>
  <c r="G35" i="17"/>
  <c r="H35" i="17" s="1"/>
  <c r="E22" i="17"/>
  <c r="F22" i="17" s="1"/>
  <c r="G22" i="17"/>
  <c r="H22" i="17" s="1"/>
  <c r="D6" i="11"/>
  <c r="D11" i="11"/>
  <c r="D20" i="11"/>
  <c r="D66" i="11"/>
  <c r="D62" i="11"/>
  <c r="D76" i="11"/>
  <c r="D75" i="11"/>
  <c r="D81" i="11"/>
  <c r="D80" i="11"/>
  <c r="D77" i="11"/>
  <c r="D69" i="11"/>
  <c r="D57" i="11"/>
  <c r="D61" i="11"/>
  <c r="D67" i="11"/>
  <c r="D15" i="11"/>
  <c r="D32" i="11"/>
  <c r="D25" i="11"/>
  <c r="D18" i="11"/>
  <c r="D26" i="11"/>
  <c r="D36" i="11"/>
  <c r="D29" i="11"/>
  <c r="D46" i="11"/>
  <c r="G11" i="11"/>
  <c r="M11" i="11" s="1"/>
  <c r="X11" i="11"/>
  <c r="AE11" i="11"/>
  <c r="G20" i="11"/>
  <c r="X20" i="11"/>
  <c r="AE20" i="11"/>
  <c r="G66" i="11"/>
  <c r="X66" i="11"/>
  <c r="AE66" i="11"/>
  <c r="G62" i="11"/>
  <c r="X62" i="11"/>
  <c r="AE62" i="11"/>
  <c r="G76" i="11"/>
  <c r="X76" i="11"/>
  <c r="AE76" i="11"/>
  <c r="G75" i="11"/>
  <c r="X75" i="11"/>
  <c r="AE75" i="11"/>
  <c r="G81" i="11"/>
  <c r="L81" i="11" s="1"/>
  <c r="X81" i="11"/>
  <c r="AE81" i="11"/>
  <c r="G80" i="11"/>
  <c r="X80" i="11"/>
  <c r="AE80" i="11"/>
  <c r="G77" i="11"/>
  <c r="X77" i="11"/>
  <c r="AE77" i="11"/>
  <c r="G69" i="11"/>
  <c r="X69" i="11"/>
  <c r="AE69" i="11"/>
  <c r="G57" i="11"/>
  <c r="L57" i="11" s="1"/>
  <c r="X57" i="11"/>
  <c r="AE57" i="11"/>
  <c r="G61" i="11"/>
  <c r="X61" i="11"/>
  <c r="AE61" i="11"/>
  <c r="G67" i="11"/>
  <c r="X67" i="11"/>
  <c r="AE67" i="11"/>
  <c r="G15" i="11"/>
  <c r="K15" i="11" s="1"/>
  <c r="X15" i="11"/>
  <c r="AE15" i="11"/>
  <c r="G32" i="11"/>
  <c r="L32" i="11" s="1"/>
  <c r="X32" i="11"/>
  <c r="AE32" i="11"/>
  <c r="G25" i="11"/>
  <c r="X25" i="11"/>
  <c r="AE25" i="11"/>
  <c r="G18" i="11"/>
  <c r="X18" i="11"/>
  <c r="AE18" i="11"/>
  <c r="G26" i="11"/>
  <c r="X26" i="11"/>
  <c r="AE26" i="11"/>
  <c r="G36" i="11"/>
  <c r="X36" i="11"/>
  <c r="AE36" i="11"/>
  <c r="G29" i="11"/>
  <c r="X29" i="11"/>
  <c r="AE29" i="11"/>
  <c r="G46" i="11"/>
  <c r="X46" i="11"/>
  <c r="AE46" i="11"/>
  <c r="G6" i="11"/>
  <c r="L6" i="11" s="1"/>
  <c r="X6" i="11"/>
  <c r="AE6" i="11"/>
  <c r="G38" i="17"/>
  <c r="H38" i="17" s="1"/>
  <c r="D65" i="3"/>
  <c r="G65" i="3"/>
  <c r="L65" i="3" s="1"/>
  <c r="X65" i="3"/>
  <c r="AE65" i="3"/>
  <c r="D42" i="3"/>
  <c r="G42" i="3"/>
  <c r="X42" i="3"/>
  <c r="AE42" i="3"/>
  <c r="D52" i="3"/>
  <c r="G52" i="3"/>
  <c r="X52" i="3"/>
  <c r="AE52" i="3"/>
  <c r="D48" i="3"/>
  <c r="G48" i="3"/>
  <c r="X48" i="3"/>
  <c r="AE48" i="3"/>
  <c r="D8" i="3"/>
  <c r="G8" i="3"/>
  <c r="K8" i="3" s="1"/>
  <c r="X8" i="3"/>
  <c r="AE8" i="3"/>
  <c r="G9" i="3"/>
  <c r="L9" i="3" s="1"/>
  <c r="X9" i="3"/>
  <c r="AE9" i="3"/>
  <c r="D58" i="3"/>
  <c r="G58" i="3"/>
  <c r="X58" i="3"/>
  <c r="AE58" i="3"/>
  <c r="G45" i="17"/>
  <c r="H45" i="17" s="1"/>
  <c r="D5" i="3"/>
  <c r="G5" i="3"/>
  <c r="L5" i="3" s="1"/>
  <c r="X5" i="3"/>
  <c r="AE5" i="3"/>
  <c r="D23" i="3"/>
  <c r="G23" i="3"/>
  <c r="X23" i="3"/>
  <c r="AE23" i="3"/>
  <c r="D24" i="3"/>
  <c r="G24" i="3"/>
  <c r="X24" i="3"/>
  <c r="AE24" i="3"/>
  <c r="D39" i="3"/>
  <c r="G39" i="3"/>
  <c r="K39" i="3" s="1"/>
  <c r="X39" i="3"/>
  <c r="AE39" i="3"/>
  <c r="D41" i="3"/>
  <c r="G41" i="3"/>
  <c r="X41" i="3"/>
  <c r="AE41" i="3"/>
  <c r="D49" i="3"/>
  <c r="G49" i="3"/>
  <c r="X49" i="3"/>
  <c r="AE49" i="3"/>
  <c r="D61" i="3"/>
  <c r="G61" i="3"/>
  <c r="L61" i="3" s="1"/>
  <c r="X61" i="3"/>
  <c r="AE61" i="3"/>
  <c r="D63" i="3"/>
  <c r="G63" i="3"/>
  <c r="X63" i="3"/>
  <c r="AE63" i="3"/>
  <c r="D66" i="3"/>
  <c r="G66" i="3"/>
  <c r="X66" i="3"/>
  <c r="AE66" i="3"/>
  <c r="E4" i="17"/>
  <c r="F4" i="17" s="1"/>
  <c r="G4" i="17"/>
  <c r="H4" i="17" s="1"/>
  <c r="C5" i="17"/>
  <c r="D5" i="17" s="1"/>
  <c r="E13" i="17"/>
  <c r="F13" i="17" s="1"/>
  <c r="G13" i="17"/>
  <c r="H13" i="17" s="1"/>
  <c r="D7" i="13"/>
  <c r="H7" i="13"/>
  <c r="M7" i="13" s="1"/>
  <c r="S7" i="13"/>
  <c r="K7" i="13" s="1"/>
  <c r="T7" i="13"/>
  <c r="Y7" i="13"/>
  <c r="AF7" i="13"/>
  <c r="D15" i="13"/>
  <c r="H15" i="13"/>
  <c r="L15" i="13" s="1"/>
  <c r="S15" i="13"/>
  <c r="K15" i="13" s="1"/>
  <c r="T15" i="13"/>
  <c r="Y15" i="13"/>
  <c r="AF15" i="13"/>
  <c r="D13" i="13"/>
  <c r="H13" i="13"/>
  <c r="L13" i="13" s="1"/>
  <c r="S13" i="13"/>
  <c r="K13" i="13" s="1"/>
  <c r="T13" i="13"/>
  <c r="Y13" i="13"/>
  <c r="AF13" i="13"/>
  <c r="D3" i="13"/>
  <c r="H3" i="13"/>
  <c r="M3" i="13" s="1"/>
  <c r="S3" i="13"/>
  <c r="K3" i="13" s="1"/>
  <c r="T3" i="13"/>
  <c r="Y3" i="13"/>
  <c r="AF3" i="13"/>
  <c r="D4" i="13"/>
  <c r="H4" i="13"/>
  <c r="M4" i="13" s="1"/>
  <c r="S4" i="13"/>
  <c r="K4" i="13" s="1"/>
  <c r="T4" i="13"/>
  <c r="Y4" i="13"/>
  <c r="AF4" i="13"/>
  <c r="D19" i="13"/>
  <c r="H19" i="13"/>
  <c r="N19" i="13" s="1"/>
  <c r="S19" i="13"/>
  <c r="K19" i="13" s="1"/>
  <c r="T19" i="13"/>
  <c r="Y19" i="13"/>
  <c r="AF19" i="13"/>
  <c r="D5" i="13"/>
  <c r="H5" i="13"/>
  <c r="L5" i="13" s="1"/>
  <c r="S5" i="13"/>
  <c r="K5" i="13" s="1"/>
  <c r="T5" i="13"/>
  <c r="Y5" i="13"/>
  <c r="AF5" i="13"/>
  <c r="D12" i="13"/>
  <c r="H12" i="13"/>
  <c r="N12" i="13" s="1"/>
  <c r="S12" i="13"/>
  <c r="K12" i="13" s="1"/>
  <c r="T12" i="13"/>
  <c r="Y12" i="13"/>
  <c r="AF12" i="13"/>
  <c r="D21" i="13"/>
  <c r="H21" i="13"/>
  <c r="M21" i="13" s="1"/>
  <c r="S21" i="13"/>
  <c r="K21" i="13" s="1"/>
  <c r="T21" i="13"/>
  <c r="Y21" i="13"/>
  <c r="AF21" i="13"/>
  <c r="D3" i="12"/>
  <c r="H3" i="12"/>
  <c r="M3" i="12" s="1"/>
  <c r="S3" i="12"/>
  <c r="K3" i="12" s="1"/>
  <c r="T3" i="12"/>
  <c r="Y3" i="12"/>
  <c r="D14" i="12"/>
  <c r="H14" i="12"/>
  <c r="M14" i="12" s="1"/>
  <c r="S14" i="12"/>
  <c r="K14" i="12" s="1"/>
  <c r="T14" i="12"/>
  <c r="Y14" i="12"/>
  <c r="D4" i="12"/>
  <c r="D11" i="12"/>
  <c r="D12" i="12"/>
  <c r="D9" i="12"/>
  <c r="D15" i="12"/>
  <c r="D7" i="12"/>
  <c r="D6" i="12"/>
  <c r="D13" i="12"/>
  <c r="D8" i="12"/>
  <c r="H4" i="12"/>
  <c r="M4" i="12" s="1"/>
  <c r="S4" i="12"/>
  <c r="K4" i="12" s="1"/>
  <c r="T4" i="12"/>
  <c r="Y4" i="12"/>
  <c r="H11" i="12"/>
  <c r="M11" i="12" s="1"/>
  <c r="S11" i="12"/>
  <c r="K11" i="12" s="1"/>
  <c r="T11" i="12"/>
  <c r="Y11" i="12"/>
  <c r="H12" i="12"/>
  <c r="L12" i="12" s="1"/>
  <c r="S12" i="12"/>
  <c r="K12" i="12" s="1"/>
  <c r="T12" i="12"/>
  <c r="Y12" i="12"/>
  <c r="H9" i="12"/>
  <c r="L9" i="12" s="1"/>
  <c r="S9" i="12"/>
  <c r="K9" i="12" s="1"/>
  <c r="T9" i="12"/>
  <c r="Y9" i="12"/>
  <c r="H15" i="12"/>
  <c r="L15" i="12" s="1"/>
  <c r="S15" i="12"/>
  <c r="K15" i="12" s="1"/>
  <c r="T15" i="12"/>
  <c r="Y15" i="12"/>
  <c r="H7" i="12"/>
  <c r="L7" i="12" s="1"/>
  <c r="S7" i="12"/>
  <c r="K7" i="12" s="1"/>
  <c r="T7" i="12"/>
  <c r="Y7" i="12"/>
  <c r="S10" i="13"/>
  <c r="K10" i="13" s="1"/>
  <c r="T10" i="13"/>
  <c r="S8" i="13"/>
  <c r="K8" i="13" s="1"/>
  <c r="T8" i="13"/>
  <c r="S11" i="13"/>
  <c r="K11" i="13" s="1"/>
  <c r="T11" i="13"/>
  <c r="S18" i="13"/>
  <c r="K18" i="13" s="1"/>
  <c r="T18" i="13"/>
  <c r="S20" i="13"/>
  <c r="K20" i="13" s="1"/>
  <c r="T20" i="13"/>
  <c r="S16" i="13"/>
  <c r="K16" i="13" s="1"/>
  <c r="T16" i="13"/>
  <c r="S6" i="13"/>
  <c r="K6" i="13" s="1"/>
  <c r="T6" i="13"/>
  <c r="S9" i="13"/>
  <c r="K9" i="13" s="1"/>
  <c r="T9" i="13"/>
  <c r="S17" i="13"/>
  <c r="K17" i="13" s="1"/>
  <c r="T17" i="13"/>
  <c r="S5" i="12"/>
  <c r="K5" i="12" s="1"/>
  <c r="T5" i="12"/>
  <c r="S8" i="12"/>
  <c r="K8" i="12" s="1"/>
  <c r="T8" i="12"/>
  <c r="S10" i="12"/>
  <c r="K10" i="12" s="1"/>
  <c r="T10" i="12"/>
  <c r="S6" i="12"/>
  <c r="K6" i="12" s="1"/>
  <c r="T6" i="12"/>
  <c r="T13" i="12"/>
  <c r="S13" i="12"/>
  <c r="K13" i="12" s="1"/>
  <c r="D37" i="11"/>
  <c r="G37" i="11"/>
  <c r="L37" i="11" s="1"/>
  <c r="X37" i="11"/>
  <c r="AE37" i="11"/>
  <c r="D3" i="11"/>
  <c r="G3" i="11"/>
  <c r="M3" i="11" s="1"/>
  <c r="X3" i="11"/>
  <c r="AE3" i="11"/>
  <c r="D28" i="11"/>
  <c r="G28" i="11"/>
  <c r="K28" i="11" s="1"/>
  <c r="X28" i="11"/>
  <c r="AE28" i="11"/>
  <c r="X35" i="3"/>
  <c r="B7" i="14" l="1" a="1"/>
  <c r="B7" i="14" s="1"/>
  <c r="C3" i="17"/>
  <c r="D3" i="17" s="1"/>
  <c r="Q39" i="3"/>
  <c r="M63" i="3"/>
  <c r="M42" i="3"/>
  <c r="K49" i="3"/>
  <c r="R48" i="3"/>
  <c r="J48" i="3" s="1"/>
  <c r="K24" i="3"/>
  <c r="K75" i="11"/>
  <c r="K68" i="11"/>
  <c r="K41" i="3"/>
  <c r="K23" i="3"/>
  <c r="R52" i="3"/>
  <c r="J52" i="3" s="1"/>
  <c r="R66" i="3"/>
  <c r="M25" i="11"/>
  <c r="B25" i="11" s="1" a="1"/>
  <c r="B25" i="11" s="1"/>
  <c r="M80" i="11"/>
  <c r="B80" i="11" s="1" a="1"/>
  <c r="B80" i="11" s="1"/>
  <c r="M4" i="11"/>
  <c r="K62" i="11"/>
  <c r="K61" i="11"/>
  <c r="K58" i="3"/>
  <c r="R36" i="11"/>
  <c r="J36" i="11" s="1"/>
  <c r="R20" i="11"/>
  <c r="J20" i="11" s="1"/>
  <c r="R26" i="11"/>
  <c r="J26" i="11" s="1"/>
  <c r="R69" i="11"/>
  <c r="R18" i="11"/>
  <c r="J18" i="11" s="1"/>
  <c r="R77" i="11"/>
  <c r="K50" i="6"/>
  <c r="N13" i="13"/>
  <c r="L19" i="11"/>
  <c r="M68" i="11"/>
  <c r="B68" i="11" s="1" a="1"/>
  <c r="B68" i="11" s="1"/>
  <c r="M32" i="3"/>
  <c r="B32" i="3" s="1" a="1"/>
  <c r="B32" i="3" s="1"/>
  <c r="M74" i="11"/>
  <c r="B74" i="11" s="1" a="1"/>
  <c r="B74" i="11" s="1"/>
  <c r="R74" i="11"/>
  <c r="R68" i="11"/>
  <c r="R5" i="11"/>
  <c r="K74" i="11"/>
  <c r="L68" i="11"/>
  <c r="R19" i="11"/>
  <c r="M5" i="11"/>
  <c r="L5" i="11"/>
  <c r="L4" i="11"/>
  <c r="M19" i="11"/>
  <c r="K5" i="11"/>
  <c r="K4" i="11"/>
  <c r="R31" i="11"/>
  <c r="J31" i="11" s="1"/>
  <c r="M31" i="11"/>
  <c r="L31" i="11"/>
  <c r="R4" i="11"/>
  <c r="K29" i="3"/>
  <c r="K20" i="3"/>
  <c r="R19" i="3"/>
  <c r="R29" i="3"/>
  <c r="M19" i="3"/>
  <c r="B19" i="3" s="1" a="1"/>
  <c r="B19" i="3" s="1"/>
  <c r="L32" i="3"/>
  <c r="L19" i="3"/>
  <c r="K32" i="3"/>
  <c r="K19" i="3"/>
  <c r="R20" i="3"/>
  <c r="J20" i="3" s="1"/>
  <c r="R32" i="3"/>
  <c r="J32" i="3" s="1"/>
  <c r="M20" i="3"/>
  <c r="B20" i="3" s="1" a="1"/>
  <c r="B20" i="3" s="1"/>
  <c r="M29" i="3"/>
  <c r="B29" i="3" s="1" a="1"/>
  <c r="B29" i="3" s="1"/>
  <c r="L20" i="3"/>
  <c r="M56" i="6"/>
  <c r="M47" i="14"/>
  <c r="L47" i="14"/>
  <c r="L58" i="14"/>
  <c r="K33" i="14"/>
  <c r="K39" i="6"/>
  <c r="M22" i="6"/>
  <c r="B22" i="6" s="1" a="1"/>
  <c r="B22" i="6" s="1"/>
  <c r="K22" i="6"/>
  <c r="M16" i="6"/>
  <c r="K16" i="6"/>
  <c r="M55" i="6"/>
  <c r="K44" i="6"/>
  <c r="K54" i="6"/>
  <c r="L50" i="6"/>
  <c r="K41" i="6"/>
  <c r="L49" i="6"/>
  <c r="M21" i="15"/>
  <c r="M12" i="13"/>
  <c r="L12" i="13"/>
  <c r="M13" i="13"/>
  <c r="N15" i="13"/>
  <c r="L7" i="13"/>
  <c r="N5" i="13"/>
  <c r="N4" i="13"/>
  <c r="M5" i="13"/>
  <c r="L4" i="13"/>
  <c r="L11" i="12"/>
  <c r="L3" i="12"/>
  <c r="M26" i="11"/>
  <c r="M77" i="11"/>
  <c r="R66" i="11"/>
  <c r="L25" i="11"/>
  <c r="L66" i="11"/>
  <c r="K66" i="11"/>
  <c r="M18" i="11"/>
  <c r="R62" i="11"/>
  <c r="L77" i="11"/>
  <c r="L62" i="11"/>
  <c r="L11" i="11"/>
  <c r="M69" i="11"/>
  <c r="B69" i="11" s="1" a="1"/>
  <c r="B69" i="11" s="1"/>
  <c r="L18" i="11"/>
  <c r="K69" i="11"/>
  <c r="M29" i="11"/>
  <c r="K26" i="11"/>
  <c r="K32" i="11"/>
  <c r="R75" i="11"/>
  <c r="J75" i="11" s="1"/>
  <c r="M20" i="11"/>
  <c r="L80" i="11"/>
  <c r="K20" i="11"/>
  <c r="M36" i="11"/>
  <c r="L26" i="11"/>
  <c r="L69" i="11"/>
  <c r="K77" i="11"/>
  <c r="M62" i="11"/>
  <c r="B62" i="11" s="1" a="1"/>
  <c r="B62" i="11" s="1"/>
  <c r="M66" i="11"/>
  <c r="B66" i="11" s="1" a="1"/>
  <c r="B66" i="11" s="1"/>
  <c r="L20" i="11"/>
  <c r="L36" i="11"/>
  <c r="M6" i="11"/>
  <c r="L29" i="11"/>
  <c r="K36" i="11"/>
  <c r="K57" i="11"/>
  <c r="K29" i="11"/>
  <c r="M66" i="3"/>
  <c r="L42" i="3"/>
  <c r="M23" i="3"/>
  <c r="B23" i="3" s="1" a="1"/>
  <c r="B23" i="3" s="1"/>
  <c r="K42" i="3"/>
  <c r="M24" i="3"/>
  <c r="B24" i="3" s="1" a="1"/>
  <c r="B24" i="3" s="1"/>
  <c r="L63" i="3"/>
  <c r="L24" i="3"/>
  <c r="L23" i="3"/>
  <c r="K65" i="3"/>
  <c r="R8" i="3"/>
  <c r="J8" i="3" s="1"/>
  <c r="M48" i="3"/>
  <c r="M52" i="3"/>
  <c r="R9" i="3"/>
  <c r="M8" i="3"/>
  <c r="L48" i="3"/>
  <c r="K9" i="3"/>
  <c r="L8" i="3"/>
  <c r="K48" i="3"/>
  <c r="L66" i="3"/>
  <c r="L52" i="3"/>
  <c r="M44" i="6"/>
  <c r="B44" i="6" s="1" a="1"/>
  <c r="B44" i="6" s="1"/>
  <c r="M33" i="14"/>
  <c r="L21" i="15"/>
  <c r="M16" i="15"/>
  <c r="B16" i="15" s="1" a="1"/>
  <c r="B16" i="15" s="1"/>
  <c r="L16" i="15"/>
  <c r="L55" i="6"/>
  <c r="K49" i="6"/>
  <c r="L38" i="6"/>
  <c r="L41" i="6"/>
  <c r="M39" i="6"/>
  <c r="B39" i="6" s="1" a="1"/>
  <c r="B39" i="6" s="1"/>
  <c r="M33" i="6"/>
  <c r="K14" i="6"/>
  <c r="E8" i="17"/>
  <c r="F8" i="17" s="1"/>
  <c r="K58" i="14"/>
  <c r="L55" i="14"/>
  <c r="M56" i="14"/>
  <c r="L56" i="14"/>
  <c r="M67" i="14"/>
  <c r="M66" i="14"/>
  <c r="A66" i="14" s="1" a="1"/>
  <c r="A66" i="14" s="1"/>
  <c r="Q66" i="14" s="1"/>
  <c r="L67" i="14"/>
  <c r="L66" i="14"/>
  <c r="K55" i="14"/>
  <c r="K51" i="14"/>
  <c r="M38" i="6"/>
  <c r="B38" i="6" s="1" a="1"/>
  <c r="B38" i="6" s="1"/>
  <c r="M23" i="6"/>
  <c r="B23" i="6" s="1" a="1"/>
  <c r="B23" i="6" s="1"/>
  <c r="L33" i="6"/>
  <c r="M19" i="6"/>
  <c r="L23" i="6"/>
  <c r="L19" i="6"/>
  <c r="M54" i="6"/>
  <c r="B54" i="6" s="1" a="1"/>
  <c r="B54" i="6" s="1"/>
  <c r="L56" i="6"/>
  <c r="M14" i="6"/>
  <c r="M65" i="14"/>
  <c r="M60" i="14"/>
  <c r="L65" i="14"/>
  <c r="M20" i="14"/>
  <c r="L60" i="14"/>
  <c r="L54" i="14"/>
  <c r="L20" i="14"/>
  <c r="K54" i="14"/>
  <c r="K16" i="14"/>
  <c r="L16" i="14"/>
  <c r="M16" i="14"/>
  <c r="K52" i="14"/>
  <c r="L52" i="14"/>
  <c r="M52" i="14"/>
  <c r="K62" i="14"/>
  <c r="L62" i="14"/>
  <c r="M62" i="14"/>
  <c r="K5" i="14"/>
  <c r="L5" i="14"/>
  <c r="M5" i="14"/>
  <c r="M51" i="14"/>
  <c r="K10" i="14"/>
  <c r="M10" i="14"/>
  <c r="B10" i="14" s="1" a="1"/>
  <c r="B10" i="14" s="1"/>
  <c r="C4" i="17"/>
  <c r="D4" i="17" s="1"/>
  <c r="K46" i="11"/>
  <c r="K18" i="11"/>
  <c r="R15" i="11"/>
  <c r="J15" i="11" s="1"/>
  <c r="M61" i="11"/>
  <c r="B61" i="11" s="1" a="1"/>
  <c r="B61" i="11" s="1"/>
  <c r="R57" i="11"/>
  <c r="C45" i="17"/>
  <c r="D45" i="17" s="1"/>
  <c r="R29" i="11"/>
  <c r="L61" i="11"/>
  <c r="M57" i="11"/>
  <c r="B57" i="11" s="1" a="1"/>
  <c r="B57" i="11" s="1"/>
  <c r="R61" i="11"/>
  <c r="R46" i="11"/>
  <c r="K81" i="11"/>
  <c r="K76" i="11"/>
  <c r="L76" i="11"/>
  <c r="M76" i="11"/>
  <c r="B76" i="11" s="1" a="1"/>
  <c r="B76" i="11" s="1"/>
  <c r="R76" i="11"/>
  <c r="J76" i="11" s="1"/>
  <c r="K67" i="11"/>
  <c r="L67" i="11"/>
  <c r="M67" i="11"/>
  <c r="B67" i="11" s="1" a="1"/>
  <c r="B67" i="11" s="1"/>
  <c r="R67" i="11"/>
  <c r="S36" i="11"/>
  <c r="K25" i="11"/>
  <c r="K80" i="11"/>
  <c r="K11" i="11"/>
  <c r="S15" i="11"/>
  <c r="R32" i="11"/>
  <c r="J32" i="11" s="1"/>
  <c r="R81" i="11"/>
  <c r="J81" i="11" s="1"/>
  <c r="M46" i="11"/>
  <c r="S18" i="11"/>
  <c r="R25" i="11"/>
  <c r="M15" i="11"/>
  <c r="R80" i="11"/>
  <c r="M75" i="11"/>
  <c r="B75" i="11" s="1" a="1"/>
  <c r="B75" i="11" s="1"/>
  <c r="R11" i="11"/>
  <c r="J11" i="11" s="1"/>
  <c r="L46" i="11"/>
  <c r="S26" i="11"/>
  <c r="M32" i="11"/>
  <c r="B32" i="11" s="1" a="1"/>
  <c r="B32" i="11" s="1"/>
  <c r="L15" i="11"/>
  <c r="M81" i="11"/>
  <c r="B81" i="11" s="1" a="1"/>
  <c r="B81" i="11" s="1"/>
  <c r="L75" i="11"/>
  <c r="S20" i="11"/>
  <c r="K6" i="11"/>
  <c r="R6" i="11"/>
  <c r="J6" i="11" s="1"/>
  <c r="M9" i="3"/>
  <c r="B9" i="3" s="1" a="1"/>
  <c r="B9" i="3" s="1"/>
  <c r="C38" i="17"/>
  <c r="D38" i="17" s="1"/>
  <c r="S8" i="3"/>
  <c r="K52" i="3"/>
  <c r="K61" i="3"/>
  <c r="R58" i="3"/>
  <c r="M58" i="3"/>
  <c r="R65" i="3"/>
  <c r="L58" i="3"/>
  <c r="R42" i="3"/>
  <c r="M65" i="3"/>
  <c r="R39" i="3"/>
  <c r="M39" i="3"/>
  <c r="L39" i="3"/>
  <c r="K5" i="3"/>
  <c r="R24" i="3"/>
  <c r="J24" i="3" s="1"/>
  <c r="R23" i="3"/>
  <c r="K66" i="3"/>
  <c r="K63" i="3"/>
  <c r="R41" i="3"/>
  <c r="R49" i="3"/>
  <c r="R61" i="3"/>
  <c r="J61" i="3" s="1"/>
  <c r="M41" i="3"/>
  <c r="R5" i="3"/>
  <c r="R63" i="3"/>
  <c r="J63" i="3" s="1"/>
  <c r="M49" i="3"/>
  <c r="L41" i="3"/>
  <c r="M61" i="3"/>
  <c r="L49" i="3"/>
  <c r="M5" i="3"/>
  <c r="N3" i="13"/>
  <c r="M19" i="13"/>
  <c r="L3" i="13"/>
  <c r="L19" i="13"/>
  <c r="M15" i="13"/>
  <c r="N7" i="13"/>
  <c r="L21" i="13"/>
  <c r="N21" i="13"/>
  <c r="N3" i="12"/>
  <c r="A3" i="12" s="1" a="1"/>
  <c r="A3" i="12" s="1"/>
  <c r="R3" i="12" s="1"/>
  <c r="L14" i="12"/>
  <c r="N14" i="12"/>
  <c r="A14" i="12" s="1" a="1"/>
  <c r="A14" i="12" s="1"/>
  <c r="R14" i="12" s="1"/>
  <c r="N15" i="12"/>
  <c r="M15" i="12"/>
  <c r="N11" i="12"/>
  <c r="L4" i="12"/>
  <c r="N12" i="12"/>
  <c r="N7" i="12"/>
  <c r="N9" i="12"/>
  <c r="A9" i="12" s="1" a="1"/>
  <c r="A9" i="12" s="1"/>
  <c r="R9" i="12" s="1"/>
  <c r="M12" i="12"/>
  <c r="M7" i="12"/>
  <c r="M9" i="12"/>
  <c r="N4" i="12"/>
  <c r="L3" i="11"/>
  <c r="R3" i="11"/>
  <c r="R28" i="11"/>
  <c r="R37" i="11"/>
  <c r="J37" i="11" s="1"/>
  <c r="K3" i="11"/>
  <c r="K37" i="11"/>
  <c r="M28" i="11"/>
  <c r="L28" i="11"/>
  <c r="M37" i="11"/>
  <c r="S48" i="3" l="1"/>
  <c r="S75" i="11"/>
  <c r="S52" i="3"/>
  <c r="S77" i="11"/>
  <c r="J77" i="11"/>
  <c r="S4" i="11"/>
  <c r="J4" i="11"/>
  <c r="S69" i="11"/>
  <c r="J69" i="11"/>
  <c r="S62" i="11"/>
  <c r="J62" i="11"/>
  <c r="S68" i="11"/>
  <c r="J68" i="11"/>
  <c r="S67" i="11"/>
  <c r="J67" i="11"/>
  <c r="S61" i="11"/>
  <c r="J61" i="11"/>
  <c r="S5" i="11"/>
  <c r="J5" i="11"/>
  <c r="S3" i="11"/>
  <c r="J3" i="11"/>
  <c r="S80" i="11"/>
  <c r="J80" i="11"/>
  <c r="S19" i="11"/>
  <c r="J19" i="11"/>
  <c r="S57" i="11"/>
  <c r="J57" i="11"/>
  <c r="S66" i="11"/>
  <c r="J66" i="11"/>
  <c r="S28" i="11"/>
  <c r="J28" i="11"/>
  <c r="S74" i="11"/>
  <c r="J74" i="11"/>
  <c r="S46" i="11"/>
  <c r="J46" i="11"/>
  <c r="S25" i="11"/>
  <c r="J25" i="11"/>
  <c r="S29" i="11"/>
  <c r="J29" i="11"/>
  <c r="S19" i="3"/>
  <c r="J19" i="3"/>
  <c r="S49" i="3"/>
  <c r="J49" i="3"/>
  <c r="S5" i="3"/>
  <c r="J5" i="3"/>
  <c r="S41" i="3"/>
  <c r="J41" i="3"/>
  <c r="S65" i="3"/>
  <c r="J65" i="3"/>
  <c r="S9" i="3"/>
  <c r="J9" i="3"/>
  <c r="S58" i="3"/>
  <c r="J58" i="3"/>
  <c r="S39" i="3"/>
  <c r="J39" i="3"/>
  <c r="S23" i="3"/>
  <c r="J23" i="3"/>
  <c r="S66" i="3"/>
  <c r="J66" i="3"/>
  <c r="S42" i="3"/>
  <c r="J42" i="3"/>
  <c r="S29" i="3"/>
  <c r="J29" i="3"/>
  <c r="A3" i="14" a="1"/>
  <c r="A3" i="14" s="1"/>
  <c r="A12" i="14" a="1"/>
  <c r="A12" i="14" s="1"/>
  <c r="A18" i="14" a="1"/>
  <c r="A18" i="14" s="1"/>
  <c r="B21" i="15" a="1"/>
  <c r="B21" i="15" s="1"/>
  <c r="A21" i="15" a="1"/>
  <c r="A21" i="15" s="1"/>
  <c r="Q21" i="15" s="1"/>
  <c r="A6" i="11" a="1"/>
  <c r="A6" i="11" s="1"/>
  <c r="Q6" i="11" s="1"/>
  <c r="B37" i="11" a="1"/>
  <c r="B37" i="11" s="1"/>
  <c r="A37" i="11" a="1"/>
  <c r="A37" i="11" s="1"/>
  <c r="Q37" i="11" s="1"/>
  <c r="A18" i="11" a="1"/>
  <c r="A18" i="11" s="1"/>
  <c r="Q18" i="11" s="1"/>
  <c r="A5" i="11" a="1"/>
  <c r="A5" i="11" s="1"/>
  <c r="Q5" i="11" s="1"/>
  <c r="A19" i="11" a="1"/>
  <c r="A19" i="11" s="1"/>
  <c r="Q19" i="11" s="1"/>
  <c r="B29" i="11" a="1"/>
  <c r="B29" i="11" s="1"/>
  <c r="A29" i="11" a="1"/>
  <c r="A29" i="11" s="1"/>
  <c r="Q29" i="11" s="1"/>
  <c r="B77" i="11" a="1"/>
  <c r="B77" i="11" s="1"/>
  <c r="A77" i="11" a="1"/>
  <c r="A77" i="11" s="1"/>
  <c r="Q77" i="11" s="1"/>
  <c r="S31" i="11"/>
  <c r="S32" i="3"/>
  <c r="S20" i="3"/>
  <c r="S81" i="11"/>
  <c r="S32" i="11"/>
  <c r="S11" i="11"/>
  <c r="S76" i="11"/>
  <c r="S6" i="11"/>
  <c r="S24" i="3"/>
  <c r="S63" i="3"/>
  <c r="S61" i="3"/>
  <c r="S37" i="11"/>
  <c r="AE17" i="11" l="1"/>
  <c r="D17" i="15" l="1"/>
  <c r="D26" i="14"/>
  <c r="D25" i="14"/>
  <c r="D44" i="14"/>
  <c r="D4" i="14"/>
  <c r="D46" i="14"/>
  <c r="D48" i="14"/>
  <c r="D43" i="14"/>
  <c r="D63" i="14"/>
  <c r="D49" i="14"/>
  <c r="D57" i="14"/>
  <c r="D19" i="14"/>
  <c r="D18" i="14"/>
  <c r="D12" i="14"/>
  <c r="D6" i="14"/>
  <c r="D37" i="14"/>
  <c r="D21" i="14"/>
  <c r="D32" i="14"/>
  <c r="D30" i="14"/>
  <c r="D34" i="14"/>
  <c r="D35" i="14"/>
  <c r="D42" i="14"/>
  <c r="D22" i="14"/>
  <c r="D11" i="14"/>
  <c r="D61" i="14"/>
  <c r="D64" i="14"/>
  <c r="D53" i="14"/>
  <c r="D50" i="14"/>
  <c r="D23" i="14"/>
  <c r="D17" i="14"/>
  <c r="D13" i="14"/>
  <c r="D59" i="14"/>
  <c r="D8" i="14"/>
  <c r="D14" i="14"/>
  <c r="D9" i="14"/>
  <c r="D15" i="14"/>
  <c r="D41" i="14"/>
  <c r="D30" i="6"/>
  <c r="D12" i="6"/>
  <c r="D15" i="6"/>
  <c r="D34" i="6"/>
  <c r="D46" i="6"/>
  <c r="D42" i="6"/>
  <c r="D43" i="6"/>
  <c r="D31" i="6"/>
  <c r="D45" i="6"/>
  <c r="D28" i="6"/>
  <c r="D40" i="6"/>
  <c r="D21" i="6"/>
  <c r="D4" i="6"/>
  <c r="D3" i="6"/>
  <c r="D11" i="6"/>
  <c r="D29" i="6"/>
  <c r="D13" i="6"/>
  <c r="D48" i="6"/>
  <c r="D6" i="6"/>
  <c r="D27" i="6"/>
  <c r="D24" i="6"/>
  <c r="D9" i="6"/>
  <c r="D7" i="6"/>
  <c r="D25" i="6"/>
  <c r="D35" i="6"/>
  <c r="D10" i="6"/>
  <c r="D18" i="6"/>
  <c r="D57" i="6"/>
  <c r="D5" i="6"/>
  <c r="D32" i="6"/>
  <c r="D20" i="6"/>
  <c r="D17" i="6"/>
  <c r="D36" i="6"/>
  <c r="D26" i="6"/>
  <c r="D52" i="6"/>
  <c r="D51" i="6"/>
  <c r="D37" i="6"/>
  <c r="D47" i="6"/>
  <c r="D53" i="6"/>
  <c r="D16" i="13"/>
  <c r="D6" i="13"/>
  <c r="D9" i="13"/>
  <c r="D17" i="13"/>
  <c r="D10" i="13"/>
  <c r="D8" i="13"/>
  <c r="D11" i="13"/>
  <c r="D18" i="13"/>
  <c r="D20" i="13"/>
  <c r="D10" i="12"/>
  <c r="D5" i="12"/>
  <c r="D52" i="11"/>
  <c r="D49" i="11"/>
  <c r="D59" i="11"/>
  <c r="D14" i="11"/>
  <c r="D10" i="11"/>
  <c r="D72" i="11"/>
  <c r="D79" i="11"/>
  <c r="D64" i="11"/>
  <c r="D42" i="11"/>
  <c r="D40" i="11"/>
  <c r="D43" i="11"/>
  <c r="D45" i="11"/>
  <c r="D44" i="11"/>
  <c r="D38" i="11"/>
  <c r="D35" i="11"/>
  <c r="D16" i="11"/>
  <c r="D53" i="11"/>
  <c r="D7" i="11"/>
  <c r="D9" i="11"/>
  <c r="D34" i="11"/>
  <c r="D21" i="11"/>
  <c r="D8" i="11"/>
  <c r="D24" i="11"/>
  <c r="D33" i="11"/>
  <c r="D13" i="11"/>
  <c r="D47" i="11"/>
  <c r="D41" i="11"/>
  <c r="D27" i="11"/>
  <c r="D60" i="11"/>
  <c r="D78" i="11"/>
  <c r="D22" i="11"/>
  <c r="D12" i="11"/>
  <c r="D48" i="11"/>
  <c r="D23" i="11"/>
  <c r="D17" i="11"/>
  <c r="D65" i="11"/>
  <c r="D63" i="11"/>
  <c r="D58" i="11"/>
  <c r="D73" i="11"/>
  <c r="D71" i="11"/>
  <c r="D39" i="11"/>
  <c r="D70" i="11"/>
  <c r="D50" i="11"/>
  <c r="D51" i="11"/>
  <c r="D54" i="11"/>
  <c r="D30" i="11"/>
  <c r="D55" i="11"/>
  <c r="D56" i="11"/>
  <c r="D38" i="3"/>
  <c r="D34" i="3"/>
  <c r="D56" i="3"/>
  <c r="D64" i="3"/>
  <c r="D47" i="3"/>
  <c r="D57" i="3"/>
  <c r="D46" i="3"/>
  <c r="D36" i="3"/>
  <c r="D51" i="3"/>
  <c r="D44" i="3"/>
  <c r="D14" i="3"/>
  <c r="D18" i="3"/>
  <c r="D55" i="3"/>
  <c r="D60" i="3"/>
  <c r="D22" i="3"/>
  <c r="D13" i="3"/>
  <c r="D53" i="3"/>
  <c r="D21" i="3"/>
  <c r="D50" i="3"/>
  <c r="D7" i="3"/>
  <c r="D3" i="3"/>
  <c r="D6" i="3"/>
  <c r="D4" i="3"/>
  <c r="D62" i="3"/>
  <c r="D30" i="3"/>
  <c r="D16" i="3"/>
  <c r="D59" i="3"/>
  <c r="D28" i="3"/>
  <c r="D10" i="3"/>
  <c r="D40" i="3"/>
  <c r="D17" i="3"/>
  <c r="D27" i="3"/>
  <c r="D15" i="3"/>
  <c r="D33" i="3"/>
  <c r="D35" i="3"/>
  <c r="D12" i="3"/>
  <c r="D37" i="3"/>
  <c r="D11" i="3"/>
  <c r="D54" i="3"/>
  <c r="D45" i="3"/>
  <c r="D43" i="3"/>
  <c r="D31" i="3"/>
  <c r="D25" i="3"/>
  <c r="D26" i="3"/>
  <c r="G65" i="17" l="1"/>
  <c r="H65" i="17" s="1"/>
  <c r="G66" i="17"/>
  <c r="H66" i="17" s="1"/>
  <c r="G7" i="17"/>
  <c r="H7" i="17" s="1"/>
  <c r="E11" i="17"/>
  <c r="F11" i="17" s="1"/>
  <c r="G11" i="17"/>
  <c r="H11" i="17" s="1"/>
  <c r="C41" i="17"/>
  <c r="D41" i="17" s="1"/>
  <c r="E41" i="17"/>
  <c r="F41" i="17" s="1"/>
  <c r="E47" i="17"/>
  <c r="F47" i="17" s="1"/>
  <c r="G47" i="17"/>
  <c r="H47" i="17" s="1"/>
  <c r="G53" i="17"/>
  <c r="H53" i="17" s="1"/>
  <c r="G15" i="15" l="1"/>
  <c r="G24" i="15"/>
  <c r="G14" i="15"/>
  <c r="G6" i="15"/>
  <c r="G3" i="15"/>
  <c r="Q9" i="15"/>
  <c r="G9" i="15"/>
  <c r="G10" i="15"/>
  <c r="Q25" i="15"/>
  <c r="G25" i="15"/>
  <c r="G23" i="15"/>
  <c r="G21" i="16"/>
  <c r="Q55" i="16"/>
  <c r="G26" i="17" s="1"/>
  <c r="H26" i="17" s="1"/>
  <c r="G55" i="16"/>
  <c r="G4" i="16"/>
  <c r="Q41" i="16"/>
  <c r="G41" i="16"/>
  <c r="Q54" i="16"/>
  <c r="G54" i="16"/>
  <c r="G47" i="16"/>
  <c r="G53" i="16"/>
  <c r="G40" i="16"/>
  <c r="Q43" i="16"/>
  <c r="G43" i="16"/>
  <c r="Q35" i="16"/>
  <c r="G35" i="16"/>
  <c r="Q13" i="16"/>
  <c r="G13" i="16"/>
  <c r="G38" i="16"/>
  <c r="G11" i="16"/>
  <c r="G49" i="16"/>
  <c r="E49" i="17"/>
  <c r="F49" i="17" s="1"/>
  <c r="Q34" i="14"/>
  <c r="Q32" i="14"/>
  <c r="Q23" i="14"/>
  <c r="E31" i="17"/>
  <c r="F31" i="17" s="1"/>
  <c r="Q39" i="14"/>
  <c r="Q38" i="14"/>
  <c r="Q63" i="14"/>
  <c r="Q46" i="6"/>
  <c r="G46" i="6"/>
  <c r="Q31" i="6"/>
  <c r="G31" i="6"/>
  <c r="Q35" i="6"/>
  <c r="G35" i="6"/>
  <c r="G15" i="6"/>
  <c r="Q42" i="6"/>
  <c r="G42" i="6"/>
  <c r="G11" i="6"/>
  <c r="Q21" i="6"/>
  <c r="G21" i="6"/>
  <c r="G12" i="6"/>
  <c r="Q43" i="6"/>
  <c r="E5" i="17" s="1"/>
  <c r="F5" i="17" s="1"/>
  <c r="G43" i="6"/>
  <c r="G29" i="6"/>
  <c r="G6" i="6"/>
  <c r="Q34" i="6"/>
  <c r="G34" i="6"/>
  <c r="Q13" i="6"/>
  <c r="G13" i="6"/>
  <c r="G28" i="6"/>
  <c r="G40" i="6"/>
  <c r="G3" i="6"/>
  <c r="G4" i="6"/>
  <c r="R6" i="13"/>
  <c r="H6" i="13"/>
  <c r="Y6" i="13"/>
  <c r="AF6" i="13"/>
  <c r="H17" i="13"/>
  <c r="Y17" i="13"/>
  <c r="AF17" i="13"/>
  <c r="R16" i="13"/>
  <c r="H16" i="13"/>
  <c r="Y16" i="13"/>
  <c r="AF16" i="13"/>
  <c r="H18" i="13"/>
  <c r="Y18" i="13"/>
  <c r="AF18" i="13"/>
  <c r="R9" i="13"/>
  <c r="H9" i="13"/>
  <c r="Y9" i="13"/>
  <c r="AF9" i="13"/>
  <c r="R20" i="13"/>
  <c r="H20" i="13"/>
  <c r="Y20" i="13"/>
  <c r="AF20" i="13"/>
  <c r="R11" i="13"/>
  <c r="H11" i="13"/>
  <c r="Y11" i="13"/>
  <c r="AF11" i="13"/>
  <c r="R8" i="13"/>
  <c r="H8" i="13"/>
  <c r="Y8" i="13"/>
  <c r="AF8" i="13"/>
  <c r="R10" i="13"/>
  <c r="H10" i="13"/>
  <c r="Y10" i="13"/>
  <c r="AF10" i="13"/>
  <c r="R10" i="12"/>
  <c r="H10" i="12"/>
  <c r="Y10" i="12"/>
  <c r="H6" i="12"/>
  <c r="Y6" i="12"/>
  <c r="R8" i="12"/>
  <c r="H8" i="12"/>
  <c r="L8" i="12" s="1"/>
  <c r="Y8" i="12"/>
  <c r="R5" i="12"/>
  <c r="H5" i="12"/>
  <c r="Y5" i="12"/>
  <c r="H13" i="12"/>
  <c r="Y13" i="12"/>
  <c r="Q30" i="11"/>
  <c r="G30" i="11"/>
  <c r="X30" i="11"/>
  <c r="AE30" i="11"/>
  <c r="G56" i="11"/>
  <c r="X56" i="11"/>
  <c r="AE56" i="11"/>
  <c r="G27" i="11"/>
  <c r="X27" i="11"/>
  <c r="AE27" i="11"/>
  <c r="G50" i="11"/>
  <c r="X50" i="11"/>
  <c r="AE50" i="11"/>
  <c r="Q51" i="11"/>
  <c r="G51" i="11"/>
  <c r="X51" i="11"/>
  <c r="AE51" i="11"/>
  <c r="Q47" i="11"/>
  <c r="G47" i="11"/>
  <c r="X47" i="11"/>
  <c r="AE47" i="11"/>
  <c r="G40" i="11"/>
  <c r="X40" i="11"/>
  <c r="AE40" i="11"/>
  <c r="Q52" i="11"/>
  <c r="G52" i="11"/>
  <c r="X52" i="11"/>
  <c r="AE52" i="11"/>
  <c r="Q9" i="11"/>
  <c r="G9" i="11"/>
  <c r="X9" i="11"/>
  <c r="AE9" i="11"/>
  <c r="Q33" i="11"/>
  <c r="G33" i="11"/>
  <c r="X33" i="11"/>
  <c r="AE33" i="11"/>
  <c r="Q59" i="11"/>
  <c r="G59" i="11"/>
  <c r="X59" i="11"/>
  <c r="AE59" i="11"/>
  <c r="Q35" i="11"/>
  <c r="G35" i="11"/>
  <c r="X35" i="11"/>
  <c r="AE35" i="11"/>
  <c r="G53" i="11"/>
  <c r="X53" i="11"/>
  <c r="AE53" i="11"/>
  <c r="Q64" i="11"/>
  <c r="G64" i="11"/>
  <c r="X64" i="11"/>
  <c r="AE64" i="11"/>
  <c r="G38" i="11"/>
  <c r="X38" i="11"/>
  <c r="AE38" i="11"/>
  <c r="G13" i="11"/>
  <c r="X13" i="11"/>
  <c r="AE13" i="11"/>
  <c r="G16" i="11"/>
  <c r="X16" i="11"/>
  <c r="AE16" i="11"/>
  <c r="G45" i="11"/>
  <c r="X45" i="11"/>
  <c r="AE45" i="11"/>
  <c r="G45" i="3"/>
  <c r="X45" i="3"/>
  <c r="AE45" i="3"/>
  <c r="G18" i="3"/>
  <c r="X18" i="3"/>
  <c r="AE18" i="3"/>
  <c r="G13" i="3"/>
  <c r="X13" i="3"/>
  <c r="AE13" i="3"/>
  <c r="G40" i="3"/>
  <c r="X40" i="3"/>
  <c r="AE40" i="3"/>
  <c r="G10" i="3"/>
  <c r="X10" i="3"/>
  <c r="AE10" i="3"/>
  <c r="G26" i="3"/>
  <c r="X26" i="3"/>
  <c r="AE26" i="3"/>
  <c r="G46" i="3"/>
  <c r="X46" i="3"/>
  <c r="AE46" i="3"/>
  <c r="G4" i="3"/>
  <c r="X4" i="3"/>
  <c r="AE4" i="3"/>
  <c r="G6" i="3"/>
  <c r="X6" i="3"/>
  <c r="AE6" i="3"/>
  <c r="C2" i="17"/>
  <c r="D2" i="17" s="1"/>
  <c r="G53" i="3"/>
  <c r="X53" i="3"/>
  <c r="AE53" i="3"/>
  <c r="G36" i="3"/>
  <c r="X36" i="3"/>
  <c r="AE36" i="3"/>
  <c r="G57" i="3"/>
  <c r="X57" i="3"/>
  <c r="AE57" i="3"/>
  <c r="G14" i="3"/>
  <c r="X14" i="3"/>
  <c r="AE14" i="3"/>
  <c r="G55" i="3"/>
  <c r="X55" i="3"/>
  <c r="AE55" i="3"/>
  <c r="G34" i="3"/>
  <c r="X34" i="3"/>
  <c r="AE34" i="3"/>
  <c r="M3" i="6" l="1"/>
  <c r="R53" i="11"/>
  <c r="R50" i="11"/>
  <c r="R45" i="11"/>
  <c r="R9" i="11"/>
  <c r="R51" i="11"/>
  <c r="R56" i="11"/>
  <c r="R64" i="11"/>
  <c r="R40" i="11"/>
  <c r="R30" i="11"/>
  <c r="J30" i="11" s="1"/>
  <c r="S30" i="11"/>
  <c r="R13" i="11"/>
  <c r="R59" i="11"/>
  <c r="R27" i="11"/>
  <c r="R16" i="11"/>
  <c r="R38" i="11"/>
  <c r="R35" i="11"/>
  <c r="R33" i="11"/>
  <c r="J33" i="11" s="1"/>
  <c r="S33" i="11"/>
  <c r="R52" i="11"/>
  <c r="R47" i="11"/>
  <c r="R45" i="3"/>
  <c r="R34" i="3"/>
  <c r="R18" i="3"/>
  <c r="R6" i="3"/>
  <c r="R14" i="3"/>
  <c r="R46" i="3"/>
  <c r="R55" i="3"/>
  <c r="R4" i="3"/>
  <c r="R53" i="3"/>
  <c r="R10" i="3"/>
  <c r="R26" i="3"/>
  <c r="J26" i="3" s="1"/>
  <c r="R57" i="3"/>
  <c r="J57" i="3" s="1"/>
  <c r="R36" i="3"/>
  <c r="R40" i="3"/>
  <c r="R13" i="3"/>
  <c r="G54" i="17"/>
  <c r="H54" i="17" s="1"/>
  <c r="E17" i="17"/>
  <c r="F17" i="17" s="1"/>
  <c r="M23" i="14"/>
  <c r="K27" i="14"/>
  <c r="K46" i="14"/>
  <c r="K12" i="14"/>
  <c r="M36" i="14"/>
  <c r="K39" i="14"/>
  <c r="K32" i="14"/>
  <c r="K34" i="14"/>
  <c r="M63" i="14"/>
  <c r="M38" i="14"/>
  <c r="M26" i="14"/>
  <c r="K18" i="14"/>
  <c r="M21" i="6"/>
  <c r="M15" i="6"/>
  <c r="M28" i="6"/>
  <c r="K43" i="6"/>
  <c r="K35" i="6"/>
  <c r="K46" i="6"/>
  <c r="K13" i="6"/>
  <c r="K29" i="6"/>
  <c r="K11" i="6"/>
  <c r="K4" i="6"/>
  <c r="M34" i="6"/>
  <c r="K12" i="6"/>
  <c r="K40" i="6"/>
  <c r="K6" i="6"/>
  <c r="M42" i="6"/>
  <c r="B42" i="6" s="1" a="1"/>
  <c r="B42" i="6" s="1"/>
  <c r="M31" i="6"/>
  <c r="M41" i="16"/>
  <c r="M55" i="16"/>
  <c r="B55" i="16" s="1" a="1"/>
  <c r="B55" i="16" s="1"/>
  <c r="K11" i="16"/>
  <c r="K13" i="16"/>
  <c r="M40" i="16"/>
  <c r="M21" i="16"/>
  <c r="M38" i="16"/>
  <c r="M35" i="16"/>
  <c r="M43" i="16"/>
  <c r="M53" i="16"/>
  <c r="M54" i="16"/>
  <c r="B54" i="16" s="1" a="1"/>
  <c r="B54" i="16" s="1"/>
  <c r="L47" i="16"/>
  <c r="K4" i="16"/>
  <c r="K10" i="15"/>
  <c r="K14" i="15"/>
  <c r="L23" i="15"/>
  <c r="M9" i="15"/>
  <c r="K24" i="15"/>
  <c r="K25" i="15"/>
  <c r="K3" i="15"/>
  <c r="K6" i="15"/>
  <c r="K15" i="15"/>
  <c r="L9" i="13"/>
  <c r="L16" i="13"/>
  <c r="N11" i="13"/>
  <c r="M20" i="13"/>
  <c r="M17" i="13"/>
  <c r="M8" i="13"/>
  <c r="M10" i="13"/>
  <c r="M18" i="13"/>
  <c r="N6" i="13"/>
  <c r="L10" i="12"/>
  <c r="L6" i="12"/>
  <c r="M5" i="12"/>
  <c r="N13" i="12"/>
  <c r="G46" i="17"/>
  <c r="H46" i="17" s="1"/>
  <c r="K49" i="16"/>
  <c r="C49" i="17"/>
  <c r="D49" i="17" s="1"/>
  <c r="M35" i="11"/>
  <c r="M59" i="11"/>
  <c r="B59" i="11" s="1" a="1"/>
  <c r="B59" i="11" s="1"/>
  <c r="M33" i="11"/>
  <c r="M9" i="11"/>
  <c r="M40" i="11"/>
  <c r="K30" i="11"/>
  <c r="K45" i="11"/>
  <c r="M13" i="11"/>
  <c r="L53" i="11"/>
  <c r="K52" i="11"/>
  <c r="M47" i="11"/>
  <c r="B47" i="11" s="1" a="1"/>
  <c r="B47" i="11" s="1"/>
  <c r="K50" i="11"/>
  <c r="L56" i="11"/>
  <c r="K53" i="3"/>
  <c r="L26" i="3"/>
  <c r="M40" i="3"/>
  <c r="B40" i="3" s="1" a="1"/>
  <c r="B40" i="3" s="1"/>
  <c r="M45" i="3"/>
  <c r="L14" i="3"/>
  <c r="L57" i="3"/>
  <c r="M10" i="3"/>
  <c r="K13" i="3"/>
  <c r="M18" i="3"/>
  <c r="M46" i="14"/>
  <c r="A46" i="14" s="1" a="1"/>
  <c r="A46" i="14" s="1"/>
  <c r="Q46" i="14" s="1"/>
  <c r="G23" i="17"/>
  <c r="H23" i="17" s="1"/>
  <c r="L26" i="14"/>
  <c r="L23" i="14"/>
  <c r="K23" i="14"/>
  <c r="K28" i="6"/>
  <c r="K21" i="6"/>
  <c r="L31" i="6"/>
  <c r="L3" i="6"/>
  <c r="L28" i="6"/>
  <c r="M14" i="15"/>
  <c r="B14" i="15" s="1" a="1"/>
  <c r="B14" i="15" s="1"/>
  <c r="L14" i="15"/>
  <c r="N8" i="13"/>
  <c r="M38" i="11"/>
  <c r="L47" i="11"/>
  <c r="L35" i="11"/>
  <c r="K56" i="11"/>
  <c r="L40" i="3"/>
  <c r="M53" i="3"/>
  <c r="M15" i="15"/>
  <c r="B15" i="15" s="1" a="1"/>
  <c r="B15" i="15" s="1"/>
  <c r="L15" i="15"/>
  <c r="L3" i="15"/>
  <c r="M25" i="15"/>
  <c r="B25" i="15" s="1" a="1"/>
  <c r="B25" i="15" s="1"/>
  <c r="L25" i="15"/>
  <c r="M10" i="15"/>
  <c r="L10" i="15"/>
  <c r="L9" i="15"/>
  <c r="K9" i="15"/>
  <c r="M3" i="15"/>
  <c r="M24" i="15"/>
  <c r="L24" i="15"/>
  <c r="M6" i="15"/>
  <c r="L6" i="15"/>
  <c r="K23" i="15"/>
  <c r="M23" i="15"/>
  <c r="L54" i="16"/>
  <c r="K54" i="16"/>
  <c r="L21" i="16"/>
  <c r="K21" i="16"/>
  <c r="L40" i="16"/>
  <c r="K40" i="16"/>
  <c r="L53" i="16"/>
  <c r="K53" i="16"/>
  <c r="M47" i="16"/>
  <c r="M11" i="16"/>
  <c r="K47" i="16"/>
  <c r="L55" i="16"/>
  <c r="K55" i="16"/>
  <c r="L41" i="16"/>
  <c r="K41" i="16"/>
  <c r="M4" i="16"/>
  <c r="M49" i="16"/>
  <c r="L4" i="16"/>
  <c r="M13" i="16"/>
  <c r="B13" i="16" s="1" a="1"/>
  <c r="B13" i="16" s="1"/>
  <c r="L18" i="3"/>
  <c r="M26" i="3"/>
  <c r="K18" i="3"/>
  <c r="L8" i="13"/>
  <c r="N16" i="13"/>
  <c r="L11" i="13"/>
  <c r="N9" i="13"/>
  <c r="L18" i="13"/>
  <c r="M9" i="13"/>
  <c r="L38" i="16"/>
  <c r="L35" i="16"/>
  <c r="L43" i="16"/>
  <c r="K38" i="16"/>
  <c r="K35" i="16"/>
  <c r="K43" i="16"/>
  <c r="L49" i="16"/>
  <c r="L11" i="16"/>
  <c r="L13" i="16"/>
  <c r="M34" i="14"/>
  <c r="L34" i="14"/>
  <c r="L36" i="14"/>
  <c r="M27" i="14"/>
  <c r="L27" i="14"/>
  <c r="L38" i="14"/>
  <c r="K38" i="14"/>
  <c r="K26" i="14"/>
  <c r="K36" i="14"/>
  <c r="M39" i="14"/>
  <c r="M12" i="14"/>
  <c r="M32" i="14"/>
  <c r="M18" i="14"/>
  <c r="L32" i="14"/>
  <c r="L18" i="14"/>
  <c r="L46" i="14"/>
  <c r="L39" i="14"/>
  <c r="L63" i="14"/>
  <c r="K63" i="14"/>
  <c r="L12" i="14"/>
  <c r="M40" i="6"/>
  <c r="L34" i="6"/>
  <c r="L46" i="6"/>
  <c r="M12" i="6"/>
  <c r="L12" i="6"/>
  <c r="L21" i="6"/>
  <c r="M35" i="6"/>
  <c r="L35" i="6"/>
  <c r="L15" i="6"/>
  <c r="K15" i="6"/>
  <c r="L42" i="6"/>
  <c r="K42" i="6"/>
  <c r="M11" i="6"/>
  <c r="M46" i="6"/>
  <c r="M4" i="6"/>
  <c r="K3" i="6"/>
  <c r="M13" i="6"/>
  <c r="K34" i="6"/>
  <c r="M6" i="6"/>
  <c r="M29" i="6"/>
  <c r="K31" i="6"/>
  <c r="L11" i="6"/>
  <c r="M43" i="6"/>
  <c r="B43" i="6" s="1" a="1"/>
  <c r="B43" i="6" s="1"/>
  <c r="L43" i="6"/>
  <c r="L4" i="6"/>
  <c r="L40" i="6"/>
  <c r="L13" i="6"/>
  <c r="L6" i="6"/>
  <c r="L29" i="6"/>
  <c r="M11" i="13"/>
  <c r="L17" i="13"/>
  <c r="L10" i="13"/>
  <c r="L20" i="13"/>
  <c r="N18" i="13"/>
  <c r="M6" i="13"/>
  <c r="L6" i="13"/>
  <c r="M16" i="13"/>
  <c r="N10" i="13"/>
  <c r="N20" i="13"/>
  <c r="N17" i="13"/>
  <c r="L5" i="12"/>
  <c r="L13" i="12"/>
  <c r="N5" i="12"/>
  <c r="N8" i="12"/>
  <c r="N10" i="12"/>
  <c r="M10" i="12"/>
  <c r="M13" i="12"/>
  <c r="M8" i="12"/>
  <c r="N6" i="12"/>
  <c r="M6" i="12"/>
  <c r="K64" i="11"/>
  <c r="M27" i="11"/>
  <c r="L38" i="11"/>
  <c r="M56" i="11"/>
  <c r="B56" i="11" s="1" a="1"/>
  <c r="B56" i="11" s="1"/>
  <c r="M30" i="11"/>
  <c r="L30" i="11"/>
  <c r="M50" i="11"/>
  <c r="L50" i="11"/>
  <c r="L27" i="11"/>
  <c r="K27" i="11"/>
  <c r="M51" i="11"/>
  <c r="L51" i="11"/>
  <c r="K51" i="11"/>
  <c r="K35" i="11"/>
  <c r="L33" i="11"/>
  <c r="K33" i="11"/>
  <c r="K47" i="11"/>
  <c r="K16" i="11"/>
  <c r="L13" i="11"/>
  <c r="L59" i="11"/>
  <c r="L9" i="11"/>
  <c r="L40" i="11"/>
  <c r="K59" i="11"/>
  <c r="K9" i="11"/>
  <c r="M52" i="11"/>
  <c r="B52" i="11" s="1" a="1"/>
  <c r="B52" i="11" s="1"/>
  <c r="K40" i="11"/>
  <c r="L52" i="11"/>
  <c r="M64" i="11"/>
  <c r="B64" i="11" s="1" a="1"/>
  <c r="B64" i="11" s="1"/>
  <c r="M53" i="11"/>
  <c r="K53" i="11"/>
  <c r="M45" i="11"/>
  <c r="M16" i="11"/>
  <c r="K13" i="11"/>
  <c r="K38" i="11"/>
  <c r="L16" i="11"/>
  <c r="L45" i="11"/>
  <c r="L64" i="11"/>
  <c r="K14" i="3"/>
  <c r="K26" i="3"/>
  <c r="L53" i="3"/>
  <c r="K40" i="3"/>
  <c r="M14" i="3"/>
  <c r="M46" i="3"/>
  <c r="L45" i="3"/>
  <c r="K45" i="3"/>
  <c r="L10" i="3"/>
  <c r="K10" i="3"/>
  <c r="M13" i="3"/>
  <c r="L13" i="3"/>
  <c r="L46" i="3"/>
  <c r="M34" i="3"/>
  <c r="M55" i="3"/>
  <c r="L55" i="3"/>
  <c r="K55" i="3"/>
  <c r="K57" i="3"/>
  <c r="M57" i="3"/>
  <c r="M36" i="3"/>
  <c r="M6" i="3"/>
  <c r="M4" i="3"/>
  <c r="K46" i="3"/>
  <c r="L36" i="3"/>
  <c r="L6" i="3"/>
  <c r="L4" i="3"/>
  <c r="K36" i="3"/>
  <c r="K6" i="3"/>
  <c r="K4" i="3"/>
  <c r="L34" i="3"/>
  <c r="K34" i="3"/>
  <c r="G2" i="17"/>
  <c r="H2" i="17" s="1"/>
  <c r="D3" i="16"/>
  <c r="D3" i="14"/>
  <c r="D24" i="14"/>
  <c r="D45" i="14"/>
  <c r="G3" i="16"/>
  <c r="G44" i="16"/>
  <c r="G9" i="16"/>
  <c r="G19" i="16"/>
  <c r="G34" i="16"/>
  <c r="G45" i="16"/>
  <c r="G25" i="16"/>
  <c r="G8" i="16"/>
  <c r="G29" i="16"/>
  <c r="G42" i="16"/>
  <c r="G12" i="16"/>
  <c r="G52" i="16"/>
  <c r="G51" i="16"/>
  <c r="G27" i="16"/>
  <c r="AE42" i="11"/>
  <c r="AE78" i="11"/>
  <c r="AE21" i="11"/>
  <c r="AE10" i="11"/>
  <c r="AE43" i="11"/>
  <c r="AE44" i="11"/>
  <c r="AE41" i="11"/>
  <c r="AE79" i="11"/>
  <c r="AE72" i="11"/>
  <c r="AE34" i="11"/>
  <c r="AE8" i="11"/>
  <c r="AE14" i="11"/>
  <c r="AE24" i="11"/>
  <c r="AE49" i="11"/>
  <c r="AE58" i="11"/>
  <c r="AE7" i="11"/>
  <c r="AE60" i="11"/>
  <c r="AE12" i="11"/>
  <c r="AE70" i="11"/>
  <c r="AE39" i="11"/>
  <c r="AE63" i="11"/>
  <c r="AE65" i="11"/>
  <c r="AE71" i="11"/>
  <c r="AE22" i="11"/>
  <c r="AE48" i="11"/>
  <c r="AE73" i="11"/>
  <c r="AE23" i="11"/>
  <c r="AE54" i="11"/>
  <c r="AE55" i="11"/>
  <c r="AE56" i="3"/>
  <c r="AE3" i="3"/>
  <c r="AE21" i="3"/>
  <c r="AE47" i="3"/>
  <c r="AE50" i="3"/>
  <c r="AE22" i="3"/>
  <c r="AE38" i="3"/>
  <c r="AE44" i="3"/>
  <c r="AE64" i="3"/>
  <c r="AE7" i="3"/>
  <c r="AE51" i="3"/>
  <c r="AE60" i="3"/>
  <c r="AE30" i="3"/>
  <c r="AE16" i="3"/>
  <c r="AE62" i="3"/>
  <c r="AE43" i="3"/>
  <c r="AE15" i="3"/>
  <c r="AE33" i="3"/>
  <c r="AE37" i="3"/>
  <c r="AE59" i="3"/>
  <c r="AE35" i="3"/>
  <c r="AE12" i="3"/>
  <c r="AE11" i="3"/>
  <c r="AE28" i="3"/>
  <c r="AE27" i="3"/>
  <c r="AE17" i="3"/>
  <c r="AE31" i="3"/>
  <c r="AE54" i="3"/>
  <c r="AE25" i="3"/>
  <c r="X56" i="3"/>
  <c r="X3" i="3"/>
  <c r="X21" i="3"/>
  <c r="X47" i="3"/>
  <c r="X50" i="3"/>
  <c r="X22" i="3"/>
  <c r="X38" i="3"/>
  <c r="X44" i="3"/>
  <c r="X64" i="3"/>
  <c r="X7" i="3"/>
  <c r="X51" i="3"/>
  <c r="X60" i="3"/>
  <c r="X30" i="3"/>
  <c r="X16" i="3"/>
  <c r="X62" i="3"/>
  <c r="X43" i="3"/>
  <c r="X15" i="3"/>
  <c r="X33" i="3"/>
  <c r="X37" i="3"/>
  <c r="X59" i="3"/>
  <c r="X12" i="3"/>
  <c r="X11" i="3"/>
  <c r="X28" i="3"/>
  <c r="X27" i="3"/>
  <c r="X17" i="3"/>
  <c r="X31" i="3"/>
  <c r="X54" i="3"/>
  <c r="X25" i="3"/>
  <c r="X42" i="11"/>
  <c r="X78" i="11"/>
  <c r="X21" i="11"/>
  <c r="X10" i="11"/>
  <c r="X43" i="11"/>
  <c r="X44" i="11"/>
  <c r="X41" i="11"/>
  <c r="X79" i="11"/>
  <c r="X72" i="11"/>
  <c r="X34" i="11"/>
  <c r="X8" i="11"/>
  <c r="X14" i="11"/>
  <c r="X24" i="11"/>
  <c r="X49" i="11"/>
  <c r="X58" i="11"/>
  <c r="X7" i="11"/>
  <c r="X60" i="11"/>
  <c r="X12" i="11"/>
  <c r="X70" i="11"/>
  <c r="X39" i="11"/>
  <c r="X17" i="11"/>
  <c r="X63" i="11"/>
  <c r="X65" i="11"/>
  <c r="X71" i="11"/>
  <c r="X22" i="11"/>
  <c r="X48" i="11"/>
  <c r="X73" i="11"/>
  <c r="X23" i="11"/>
  <c r="X54" i="11"/>
  <c r="X55" i="11"/>
  <c r="G41" i="11"/>
  <c r="G79" i="11"/>
  <c r="G72" i="11"/>
  <c r="G34" i="11"/>
  <c r="G8" i="11"/>
  <c r="G14" i="11"/>
  <c r="G24" i="11"/>
  <c r="G49" i="11"/>
  <c r="G58" i="11"/>
  <c r="G7" i="11"/>
  <c r="G60" i="11"/>
  <c r="G12" i="3"/>
  <c r="G11" i="3"/>
  <c r="G28" i="3"/>
  <c r="G27" i="3"/>
  <c r="G17" i="3"/>
  <c r="G31" i="3"/>
  <c r="G54" i="3"/>
  <c r="G25" i="3"/>
  <c r="G3" i="3"/>
  <c r="G21" i="3"/>
  <c r="G47" i="3"/>
  <c r="G50" i="3"/>
  <c r="G22" i="3"/>
  <c r="G38" i="3"/>
  <c r="G44" i="3"/>
  <c r="G64" i="3"/>
  <c r="G7" i="3"/>
  <c r="G51" i="3"/>
  <c r="G60" i="3"/>
  <c r="G30" i="3"/>
  <c r="G16" i="3"/>
  <c r="G62" i="3"/>
  <c r="G43" i="3"/>
  <c r="G15" i="3"/>
  <c r="G33" i="3"/>
  <c r="G37" i="3"/>
  <c r="G59" i="3"/>
  <c r="G35" i="3"/>
  <c r="G73" i="11"/>
  <c r="G23" i="11"/>
  <c r="G54" i="11"/>
  <c r="G55" i="11"/>
  <c r="G42" i="11"/>
  <c r="G78" i="11"/>
  <c r="G21" i="11"/>
  <c r="G10" i="11"/>
  <c r="G43" i="11"/>
  <c r="G44" i="11"/>
  <c r="G12" i="11"/>
  <c r="G70" i="11"/>
  <c r="G39" i="11"/>
  <c r="G17" i="11"/>
  <c r="G63" i="11"/>
  <c r="G65" i="11"/>
  <c r="G71" i="11"/>
  <c r="G22" i="11"/>
  <c r="G48" i="11"/>
  <c r="G37" i="16"/>
  <c r="G33" i="16"/>
  <c r="G32" i="16"/>
  <c r="G5" i="16"/>
  <c r="G48" i="16"/>
  <c r="G31" i="16"/>
  <c r="G23" i="16"/>
  <c r="G18" i="15"/>
  <c r="G19" i="15"/>
  <c r="G17" i="15"/>
  <c r="G8" i="15"/>
  <c r="G13" i="15"/>
  <c r="G22" i="15"/>
  <c r="G20" i="15"/>
  <c r="G26" i="15"/>
  <c r="G48" i="6"/>
  <c r="G9" i="6"/>
  <c r="G30" i="6"/>
  <c r="G7" i="6"/>
  <c r="G18" i="6"/>
  <c r="G45" i="6"/>
  <c r="G27" i="6"/>
  <c r="G24" i="6"/>
  <c r="G25" i="6"/>
  <c r="G26" i="6"/>
  <c r="G51" i="6"/>
  <c r="G57" i="6"/>
  <c r="G10" i="6"/>
  <c r="G52" i="6"/>
  <c r="G20" i="6"/>
  <c r="G17" i="6"/>
  <c r="G53" i="6"/>
  <c r="G5" i="6"/>
  <c r="G47" i="6"/>
  <c r="G37" i="6"/>
  <c r="G36" i="6"/>
  <c r="G32" i="6"/>
  <c r="G56" i="3"/>
  <c r="B8" i="6" l="1" a="1"/>
  <c r="B8" i="6" s="1"/>
  <c r="B7" i="15" a="1"/>
  <c r="B7" i="15" s="1"/>
  <c r="B6" i="16" a="1"/>
  <c r="B6" i="16" s="1"/>
  <c r="B10" i="16" a="1"/>
  <c r="B10" i="16" s="1"/>
  <c r="S40" i="11"/>
  <c r="J40" i="11"/>
  <c r="S64" i="11"/>
  <c r="J64" i="11"/>
  <c r="S47" i="11"/>
  <c r="J47" i="11"/>
  <c r="S27" i="11"/>
  <c r="J27" i="11"/>
  <c r="S51" i="11"/>
  <c r="J51" i="11"/>
  <c r="S52" i="11"/>
  <c r="J52" i="11"/>
  <c r="S59" i="11"/>
  <c r="J59" i="11"/>
  <c r="S9" i="11"/>
  <c r="J9" i="11"/>
  <c r="S56" i="11"/>
  <c r="J56" i="11"/>
  <c r="S13" i="11"/>
  <c r="J13" i="11"/>
  <c r="S45" i="11"/>
  <c r="J45" i="11"/>
  <c r="S38" i="11"/>
  <c r="J38" i="11"/>
  <c r="S50" i="11"/>
  <c r="J50" i="11"/>
  <c r="S16" i="11"/>
  <c r="J16" i="11"/>
  <c r="S35" i="11"/>
  <c r="J35" i="11"/>
  <c r="S53" i="11"/>
  <c r="J53" i="11"/>
  <c r="S10" i="3"/>
  <c r="J10" i="3"/>
  <c r="S34" i="3"/>
  <c r="J34" i="3"/>
  <c r="S53" i="3"/>
  <c r="J53" i="3"/>
  <c r="S45" i="3"/>
  <c r="J45" i="3"/>
  <c r="S18" i="3"/>
  <c r="J18" i="3"/>
  <c r="S4" i="3"/>
  <c r="J4" i="3"/>
  <c r="S13" i="3"/>
  <c r="J13" i="3"/>
  <c r="S55" i="3"/>
  <c r="J55" i="3"/>
  <c r="S40" i="3"/>
  <c r="J40" i="3"/>
  <c r="S46" i="3"/>
  <c r="J46" i="3"/>
  <c r="S36" i="3"/>
  <c r="J36" i="3"/>
  <c r="S14" i="3"/>
  <c r="J14" i="3"/>
  <c r="S6" i="3"/>
  <c r="J6" i="3"/>
  <c r="B10" i="13" a="1"/>
  <c r="B10" i="13" s="1"/>
  <c r="A23" i="15" a="1"/>
  <c r="A23" i="15" s="1"/>
  <c r="A17" i="13" a="1"/>
  <c r="A17" i="13" s="1"/>
  <c r="A27" i="14" a="1"/>
  <c r="A27" i="14" s="1"/>
  <c r="Q27" i="14" s="1"/>
  <c r="A3" i="6" a="1"/>
  <c r="A3" i="6" s="1"/>
  <c r="A40" i="6" a="1"/>
  <c r="A40" i="6" s="1"/>
  <c r="A27" i="6" a="1"/>
  <c r="A27" i="6" s="1"/>
  <c r="A45" i="6" a="1"/>
  <c r="A45" i="6" s="1"/>
  <c r="A4" i="6" a="1"/>
  <c r="A4" i="6" s="1"/>
  <c r="A28" i="6" a="1"/>
  <c r="A28" i="6" s="1"/>
  <c r="A6" i="6" a="1"/>
  <c r="A6" i="6" s="1"/>
  <c r="A9" i="16" a="1"/>
  <c r="A9" i="16" s="1"/>
  <c r="A11" i="16" a="1"/>
  <c r="A11" i="16" s="1"/>
  <c r="Q11" i="16" s="1"/>
  <c r="B21" i="16" a="1"/>
  <c r="B21" i="16" s="1"/>
  <c r="A21" i="16" a="1"/>
  <c r="A21" i="16" s="1"/>
  <c r="Q21" i="16" s="1"/>
  <c r="A3" i="16" a="1"/>
  <c r="A3" i="16" s="1"/>
  <c r="B47" i="16" a="1"/>
  <c r="B47" i="16" s="1"/>
  <c r="A47" i="16" a="1"/>
  <c r="A47" i="16" s="1"/>
  <c r="Q47" i="16" s="1"/>
  <c r="A40" i="16" a="1"/>
  <c r="A40" i="16" s="1"/>
  <c r="Q40" i="16" s="1"/>
  <c r="B49" i="16" a="1"/>
  <c r="B49" i="16" s="1"/>
  <c r="A49" i="16" a="1"/>
  <c r="A49" i="16" s="1"/>
  <c r="Q49" i="16" s="1"/>
  <c r="A38" i="16" a="1"/>
  <c r="A38" i="16" s="1"/>
  <c r="Q38" i="16" s="1"/>
  <c r="A32" i="16" a="1"/>
  <c r="A32" i="16" s="1"/>
  <c r="B53" i="16" a="1"/>
  <c r="B53" i="16" s="1"/>
  <c r="A53" i="16" a="1"/>
  <c r="A53" i="16" s="1"/>
  <c r="A5" i="16" a="1"/>
  <c r="A5" i="16" s="1"/>
  <c r="B24" i="15" a="1"/>
  <c r="B24" i="15" s="1"/>
  <c r="A24" i="15" a="1"/>
  <c r="A24" i="15" s="1"/>
  <c r="Q24" i="15" s="1"/>
  <c r="A4" i="15" a="1"/>
  <c r="A4" i="15" s="1"/>
  <c r="A10" i="15" a="1"/>
  <c r="A10" i="15" s="1"/>
  <c r="Q10" i="15" s="1"/>
  <c r="A3" i="15" a="1"/>
  <c r="A3" i="15" s="1"/>
  <c r="A21" i="13" a="1"/>
  <c r="A21" i="13" s="1"/>
  <c r="B3" i="12" a="1"/>
  <c r="B3" i="12" s="1"/>
  <c r="A6" i="12" a="1"/>
  <c r="A6" i="12" s="1"/>
  <c r="B13" i="11" a="1"/>
  <c r="B13" i="11" s="1"/>
  <c r="A13" i="11" a="1"/>
  <c r="A13" i="11" s="1"/>
  <c r="Q13" i="11" s="1"/>
  <c r="B40" i="11" a="1"/>
  <c r="B40" i="11" s="1"/>
  <c r="A40" i="11" a="1"/>
  <c r="A40" i="11" s="1"/>
  <c r="Q40" i="11" s="1"/>
  <c r="A38" i="11" a="1"/>
  <c r="A38" i="11" s="1"/>
  <c r="Q38" i="11" s="1"/>
  <c r="B16" i="11" a="1"/>
  <c r="B16" i="11" s="1"/>
  <c r="A16" i="11" a="1"/>
  <c r="A16" i="11" s="1"/>
  <c r="Q16" i="11" s="1"/>
  <c r="A45" i="11" a="1"/>
  <c r="A45" i="11" s="1"/>
  <c r="Q45" i="11" s="1"/>
  <c r="C64" i="17" s="1"/>
  <c r="D64" i="17" s="1"/>
  <c r="A53" i="11" a="1"/>
  <c r="A53" i="11" s="1"/>
  <c r="Q53" i="11" s="1"/>
  <c r="B50" i="11" a="1"/>
  <c r="B50" i="11" s="1"/>
  <c r="A50" i="11" a="1"/>
  <c r="A50" i="11" s="1"/>
  <c r="Q50" i="11" s="1"/>
  <c r="B26" i="3" a="1"/>
  <c r="B26" i="3" s="1"/>
  <c r="A26" i="3" a="1"/>
  <c r="A26" i="3" s="1"/>
  <c r="Q26" i="3" s="1"/>
  <c r="B57" i="3" a="1"/>
  <c r="B57" i="3" s="1"/>
  <c r="A57" i="3" a="1"/>
  <c r="A57" i="3" s="1"/>
  <c r="Q57" i="3" s="1"/>
  <c r="B53" i="3" a="1"/>
  <c r="B53" i="3" s="1"/>
  <c r="A53" i="3" a="1"/>
  <c r="A53" i="3" s="1"/>
  <c r="Q53" i="3" s="1"/>
  <c r="B45" i="3" a="1"/>
  <c r="B45" i="3" s="1"/>
  <c r="A45" i="3" a="1"/>
  <c r="A45" i="3" s="1"/>
  <c r="Q45" i="3" s="1"/>
  <c r="A36" i="3" a="1"/>
  <c r="A36" i="3" s="1"/>
  <c r="Q36" i="3" s="1"/>
  <c r="B46" i="3" a="1"/>
  <c r="B46" i="3" s="1"/>
  <c r="A46" i="3" a="1"/>
  <c r="A46" i="3" s="1"/>
  <c r="Q46" i="3" s="1"/>
  <c r="A18" i="3" a="1"/>
  <c r="A18" i="3" s="1"/>
  <c r="Q18" i="3" s="1"/>
  <c r="B14" i="13" a="1"/>
  <c r="B14" i="13" s="1"/>
  <c r="B5" i="12" a="1"/>
  <c r="B5" i="12" s="1"/>
  <c r="B8" i="12" a="1"/>
  <c r="B8" i="12" s="1"/>
  <c r="B13" i="12" a="1"/>
  <c r="B13" i="12" s="1"/>
  <c r="B10" i="12" a="1"/>
  <c r="B10" i="12" s="1"/>
  <c r="B15" i="12" a="1"/>
  <c r="B15" i="12" s="1"/>
  <c r="B14" i="12" a="1"/>
  <c r="B14" i="12" s="1"/>
  <c r="B4" i="12" a="1"/>
  <c r="B4" i="12" s="1"/>
  <c r="B7" i="12" a="1"/>
  <c r="B7" i="12" s="1"/>
  <c r="B12" i="12" a="1"/>
  <c r="B12" i="12" s="1"/>
  <c r="B9" i="12" a="1"/>
  <c r="B9" i="12" s="1"/>
  <c r="B11" i="12" a="1"/>
  <c r="B11" i="12" s="1"/>
  <c r="B8" i="13" a="1"/>
  <c r="B8" i="13" s="1"/>
  <c r="B12" i="13" a="1"/>
  <c r="B12" i="13" s="1"/>
  <c r="B15" i="13" a="1"/>
  <c r="B15" i="13" s="1"/>
  <c r="B5" i="13" a="1"/>
  <c r="B5" i="13" s="1"/>
  <c r="B3" i="13" a="1"/>
  <c r="B3" i="13" s="1"/>
  <c r="B13" i="13" a="1"/>
  <c r="B13" i="13" s="1"/>
  <c r="B19" i="13" a="1"/>
  <c r="B19" i="13" s="1"/>
  <c r="B4" i="13" a="1"/>
  <c r="B4" i="13" s="1"/>
  <c r="B7" i="13" a="1"/>
  <c r="B7" i="13" s="1"/>
  <c r="B9" i="13" a="1"/>
  <c r="B9" i="13" s="1"/>
  <c r="B18" i="13" a="1"/>
  <c r="B18" i="13" s="1"/>
  <c r="B20" i="13" a="1"/>
  <c r="B20" i="13" s="1"/>
  <c r="B16" i="13" a="1"/>
  <c r="B16" i="13" s="1"/>
  <c r="B6" i="13" a="1"/>
  <c r="B6" i="13" s="1"/>
  <c r="B11" i="13" a="1"/>
  <c r="B11" i="13" s="1"/>
  <c r="B17" i="13" a="1"/>
  <c r="B17" i="13" s="1"/>
  <c r="B28" i="6" a="1"/>
  <c r="B28" i="6" s="1"/>
  <c r="B40" i="6" a="1"/>
  <c r="B40" i="6" s="1"/>
  <c r="B21" i="13" a="1"/>
  <c r="B21" i="13" s="1"/>
  <c r="B6" i="12" a="1"/>
  <c r="B6" i="12" s="1"/>
  <c r="R21" i="11"/>
  <c r="R39" i="11"/>
  <c r="R14" i="11"/>
  <c r="J14" i="11" s="1"/>
  <c r="S14" i="11"/>
  <c r="R55" i="11"/>
  <c r="R58" i="11"/>
  <c r="R12" i="11"/>
  <c r="R22" i="11"/>
  <c r="R24" i="11"/>
  <c r="R79" i="11"/>
  <c r="R65" i="11"/>
  <c r="R10" i="11"/>
  <c r="R48" i="11"/>
  <c r="R54" i="11"/>
  <c r="R72" i="11"/>
  <c r="R78" i="11"/>
  <c r="R44" i="11"/>
  <c r="R60" i="11"/>
  <c r="R43" i="11"/>
  <c r="R70" i="11"/>
  <c r="R49" i="11"/>
  <c r="R23" i="11"/>
  <c r="R71" i="11"/>
  <c r="R73" i="11"/>
  <c r="R41" i="11"/>
  <c r="R63" i="11"/>
  <c r="R42" i="11"/>
  <c r="R8" i="11"/>
  <c r="J8" i="11" s="1"/>
  <c r="S8" i="11"/>
  <c r="R17" i="11"/>
  <c r="R7" i="11"/>
  <c r="R34" i="11"/>
  <c r="R30" i="3"/>
  <c r="R17" i="3"/>
  <c r="S26" i="3"/>
  <c r="R64" i="3"/>
  <c r="R60" i="3"/>
  <c r="R27" i="3"/>
  <c r="R33" i="3"/>
  <c r="R21" i="3"/>
  <c r="R56" i="3"/>
  <c r="R38" i="3"/>
  <c r="R51" i="3"/>
  <c r="R15" i="3"/>
  <c r="R50" i="3"/>
  <c r="R3" i="3"/>
  <c r="S57" i="3"/>
  <c r="R44" i="3"/>
  <c r="R22" i="3"/>
  <c r="R43" i="3"/>
  <c r="J43" i="3" s="1"/>
  <c r="R11" i="3"/>
  <c r="J11" i="3" s="1"/>
  <c r="S11" i="3"/>
  <c r="R37" i="3"/>
  <c r="R28" i="3"/>
  <c r="R7" i="3"/>
  <c r="J7" i="3" s="1"/>
  <c r="S7" i="3"/>
  <c r="R25" i="3"/>
  <c r="R35" i="3"/>
  <c r="J35" i="3" s="1"/>
  <c r="S35" i="3"/>
  <c r="R62" i="3"/>
  <c r="R47" i="3"/>
  <c r="R54" i="3"/>
  <c r="R12" i="3"/>
  <c r="J12" i="3" s="1"/>
  <c r="S12" i="3"/>
  <c r="R59" i="3"/>
  <c r="R16" i="3"/>
  <c r="R31" i="3"/>
  <c r="M23" i="11"/>
  <c r="Q15" i="15"/>
  <c r="Q27" i="11"/>
  <c r="Q36" i="14"/>
  <c r="K37" i="14"/>
  <c r="K64" i="14"/>
  <c r="K42" i="14"/>
  <c r="M9" i="14"/>
  <c r="B9" i="14" s="1" a="1"/>
  <c r="B9" i="14" s="1"/>
  <c r="M61" i="14"/>
  <c r="M25" i="14"/>
  <c r="K17" i="14"/>
  <c r="M45" i="14"/>
  <c r="K21" i="14"/>
  <c r="K24" i="14"/>
  <c r="K22" i="14"/>
  <c r="K4" i="14"/>
  <c r="M15" i="14"/>
  <c r="L14" i="14"/>
  <c r="M53" i="14"/>
  <c r="K13" i="14"/>
  <c r="K50" i="14"/>
  <c r="K49" i="14"/>
  <c r="K44" i="14"/>
  <c r="K8" i="14"/>
  <c r="K35" i="14"/>
  <c r="K11" i="14"/>
  <c r="M30" i="14"/>
  <c r="A30" i="14" s="1" a="1"/>
  <c r="A30" i="14" s="1"/>
  <c r="K57" i="14"/>
  <c r="K6" i="14"/>
  <c r="M48" i="14"/>
  <c r="M59" i="14"/>
  <c r="L43" i="14"/>
  <c r="L19" i="14"/>
  <c r="K41" i="14"/>
  <c r="M37" i="6"/>
  <c r="B37" i="6" s="1" a="1"/>
  <c r="B37" i="6" s="1"/>
  <c r="M57" i="6"/>
  <c r="M18" i="6"/>
  <c r="L36" i="6"/>
  <c r="L51" i="6"/>
  <c r="M47" i="6"/>
  <c r="M26" i="6"/>
  <c r="B26" i="6" s="1" a="1"/>
  <c r="B26" i="6" s="1"/>
  <c r="L17" i="6"/>
  <c r="L7" i="6"/>
  <c r="M53" i="6"/>
  <c r="B53" i="6" s="1" a="1"/>
  <c r="B53" i="6" s="1"/>
  <c r="M20" i="6"/>
  <c r="M25" i="6"/>
  <c r="M9" i="6"/>
  <c r="L48" i="6"/>
  <c r="L10" i="6"/>
  <c r="L27" i="6"/>
  <c r="M32" i="6"/>
  <c r="M24" i="6"/>
  <c r="M45" i="6"/>
  <c r="B45" i="6" s="1" a="1"/>
  <c r="B45" i="6" s="1"/>
  <c r="M42" i="16"/>
  <c r="M37" i="16"/>
  <c r="L8" i="16"/>
  <c r="L9" i="16"/>
  <c r="K12" i="16"/>
  <c r="M23" i="16"/>
  <c r="B23" i="16" s="1" a="1"/>
  <c r="B23" i="16" s="1"/>
  <c r="M31" i="16"/>
  <c r="K32" i="16"/>
  <c r="K25" i="16"/>
  <c r="K5" i="16"/>
  <c r="K51" i="16"/>
  <c r="K45" i="16"/>
  <c r="K3" i="16"/>
  <c r="K29" i="16"/>
  <c r="K33" i="16"/>
  <c r="K34" i="16"/>
  <c r="K19" i="16"/>
  <c r="K48" i="16"/>
  <c r="K52" i="16"/>
  <c r="K44" i="16"/>
  <c r="K19" i="15"/>
  <c r="L17" i="15"/>
  <c r="K20" i="15"/>
  <c r="K22" i="15"/>
  <c r="K18" i="15"/>
  <c r="L13" i="15"/>
  <c r="M8" i="15"/>
  <c r="K3" i="14"/>
  <c r="M30" i="6"/>
  <c r="L12" i="11"/>
  <c r="K58" i="11"/>
  <c r="L71" i="11"/>
  <c r="M55" i="11"/>
  <c r="K49" i="11"/>
  <c r="M34" i="11"/>
  <c r="M22" i="11"/>
  <c r="K8" i="11"/>
  <c r="K54" i="11"/>
  <c r="L14" i="11"/>
  <c r="L72" i="11"/>
  <c r="K17" i="11"/>
  <c r="L23" i="11"/>
  <c r="L39" i="11"/>
  <c r="L21" i="11"/>
  <c r="K73" i="11"/>
  <c r="K7" i="11"/>
  <c r="L79" i="11"/>
  <c r="M63" i="11"/>
  <c r="B63" i="11" s="1" a="1"/>
  <c r="B63" i="11" s="1"/>
  <c r="L48" i="11"/>
  <c r="K70" i="11"/>
  <c r="K41" i="11"/>
  <c r="L50" i="3"/>
  <c r="L37" i="3"/>
  <c r="L17" i="3"/>
  <c r="L21" i="3"/>
  <c r="K27" i="3"/>
  <c r="L28" i="3"/>
  <c r="L30" i="3"/>
  <c r="L60" i="3"/>
  <c r="M25" i="3"/>
  <c r="B25" i="3" s="1" a="1"/>
  <c r="B25" i="3" s="1"/>
  <c r="K35" i="3"/>
  <c r="M11" i="3"/>
  <c r="K59" i="3"/>
  <c r="K31" i="3"/>
  <c r="M52" i="6"/>
  <c r="B52" i="6" s="1" a="1"/>
  <c r="B52" i="6" s="1"/>
  <c r="L27" i="16"/>
  <c r="K26" i="15"/>
  <c r="Q48" i="14"/>
  <c r="Q18" i="6"/>
  <c r="Q25" i="6"/>
  <c r="Q30" i="6"/>
  <c r="Q31" i="16"/>
  <c r="Q23" i="16"/>
  <c r="Q37" i="16"/>
  <c r="Q34" i="11"/>
  <c r="Q63" i="11"/>
  <c r="K78" i="11"/>
  <c r="M60" i="11"/>
  <c r="B60" i="11" s="1" a="1"/>
  <c r="B60" i="11" s="1"/>
  <c r="M43" i="11"/>
  <c r="K42" i="11"/>
  <c r="K44" i="11"/>
  <c r="K10" i="11"/>
  <c r="K62" i="3"/>
  <c r="K51" i="3"/>
  <c r="M44" i="3"/>
  <c r="K56" i="3"/>
  <c r="M33" i="3"/>
  <c r="M49" i="14"/>
  <c r="L32" i="6"/>
  <c r="L18" i="6"/>
  <c r="K8" i="15"/>
  <c r="K72" i="11"/>
  <c r="K21" i="11"/>
  <c r="L49" i="11"/>
  <c r="K79" i="11"/>
  <c r="M43" i="3"/>
  <c r="M64" i="3"/>
  <c r="M49" i="11"/>
  <c r="K71" i="11"/>
  <c r="K22" i="11"/>
  <c r="L34" i="11"/>
  <c r="K34" i="11"/>
  <c r="K28" i="3"/>
  <c r="M9" i="16"/>
  <c r="B9" i="16" s="1" a="1"/>
  <c r="B9" i="16" s="1"/>
  <c r="M27" i="16"/>
  <c r="B27" i="16" s="1" a="1"/>
  <c r="B27" i="16" s="1"/>
  <c r="M19" i="16"/>
  <c r="B19" i="16" s="1" a="1"/>
  <c r="B19" i="16" s="1"/>
  <c r="M3" i="16"/>
  <c r="L19" i="16"/>
  <c r="K9" i="16"/>
  <c r="K37" i="16"/>
  <c r="M51" i="16"/>
  <c r="B51" i="16" s="1" a="1"/>
  <c r="B51" i="16" s="1"/>
  <c r="M29" i="16"/>
  <c r="L8" i="15"/>
  <c r="K17" i="15"/>
  <c r="M22" i="15"/>
  <c r="L22" i="15"/>
  <c r="L17" i="14"/>
  <c r="L48" i="14"/>
  <c r="M21" i="14"/>
  <c r="B21" i="14" s="1" a="1"/>
  <c r="B21" i="14" s="1"/>
  <c r="L15" i="14"/>
  <c r="M50" i="14"/>
  <c r="M44" i="14"/>
  <c r="K14" i="14"/>
  <c r="L6" i="14"/>
  <c r="L25" i="14"/>
  <c r="L9" i="14"/>
  <c r="M24" i="14"/>
  <c r="M3" i="14"/>
  <c r="K43" i="14"/>
  <c r="K15" i="14"/>
  <c r="K9" i="14"/>
  <c r="K61" i="14"/>
  <c r="L59" i="14"/>
  <c r="M35" i="14"/>
  <c r="K30" i="14"/>
  <c r="L50" i="14"/>
  <c r="M6" i="14"/>
  <c r="L49" i="14"/>
  <c r="M17" i="14"/>
  <c r="K48" i="14"/>
  <c r="L44" i="14"/>
  <c r="K25" i="14"/>
  <c r="L61" i="14"/>
  <c r="L30" i="14"/>
  <c r="K19" i="14"/>
  <c r="M8" i="14"/>
  <c r="L35" i="14"/>
  <c r="L8" i="14"/>
  <c r="M41" i="14"/>
  <c r="L53" i="14"/>
  <c r="L21" i="14"/>
  <c r="M57" i="14"/>
  <c r="L24" i="14"/>
  <c r="L3" i="14"/>
  <c r="K59" i="14"/>
  <c r="K45" i="14"/>
  <c r="L41" i="14"/>
  <c r="M11" i="14"/>
  <c r="K53" i="14"/>
  <c r="M37" i="14"/>
  <c r="L57" i="14"/>
  <c r="M64" i="14"/>
  <c r="M42" i="14"/>
  <c r="L45" i="14"/>
  <c r="L11" i="14"/>
  <c r="M13" i="14"/>
  <c r="B13" i="14" s="1" a="1"/>
  <c r="B13" i="14" s="1"/>
  <c r="L37" i="14"/>
  <c r="M22" i="14"/>
  <c r="L64" i="14"/>
  <c r="M4" i="14"/>
  <c r="A4" i="14" s="1" a="1"/>
  <c r="A4" i="14" s="1"/>
  <c r="L42" i="14"/>
  <c r="M14" i="14"/>
  <c r="L13" i="14"/>
  <c r="L22" i="14"/>
  <c r="M43" i="14"/>
  <c r="A43" i="14" s="1" a="1"/>
  <c r="A43" i="14" s="1"/>
  <c r="L4" i="14"/>
  <c r="M19" i="14"/>
  <c r="L37" i="6"/>
  <c r="L53" i="6"/>
  <c r="L20" i="6"/>
  <c r="L30" i="6"/>
  <c r="L57" i="6"/>
  <c r="L26" i="6"/>
  <c r="K32" i="6"/>
  <c r="K53" i="6"/>
  <c r="K57" i="6"/>
  <c r="K18" i="6"/>
  <c r="L52" i="6"/>
  <c r="K17" i="6"/>
  <c r="K10" i="6"/>
  <c r="K48" i="6"/>
  <c r="L47" i="6"/>
  <c r="L25" i="6"/>
  <c r="L9" i="6"/>
  <c r="M17" i="6"/>
  <c r="M10" i="6"/>
  <c r="M48" i="6"/>
  <c r="K36" i="6"/>
  <c r="K51" i="6"/>
  <c r="K27" i="6"/>
  <c r="K7" i="6"/>
  <c r="L5" i="6"/>
  <c r="L24" i="6"/>
  <c r="L45" i="6"/>
  <c r="M36" i="6"/>
  <c r="B36" i="6" s="1" a="1"/>
  <c r="B36" i="6" s="1"/>
  <c r="M51" i="6"/>
  <c r="M27" i="6"/>
  <c r="M7" i="6"/>
  <c r="K37" i="6"/>
  <c r="K20" i="6"/>
  <c r="K26" i="6"/>
  <c r="K30" i="6"/>
  <c r="K47" i="6"/>
  <c r="K25" i="6"/>
  <c r="K9" i="6"/>
  <c r="K52" i="6"/>
  <c r="K5" i="6"/>
  <c r="K24" i="6"/>
  <c r="K45" i="6"/>
  <c r="M5" i="6"/>
  <c r="M71" i="11"/>
  <c r="B71" i="11" s="1" a="1"/>
  <c r="B71" i="11" s="1"/>
  <c r="M70" i="11"/>
  <c r="B70" i="11" s="1" a="1"/>
  <c r="B70" i="11" s="1"/>
  <c r="K12" i="11"/>
  <c r="M78" i="11"/>
  <c r="B78" i="11" s="1" a="1"/>
  <c r="B78" i="11" s="1"/>
  <c r="L78" i="11"/>
  <c r="K39" i="11"/>
  <c r="M3" i="3"/>
  <c r="K7" i="3"/>
  <c r="M22" i="3"/>
  <c r="L25" i="3"/>
  <c r="L51" i="3"/>
  <c r="K16" i="3"/>
  <c r="M30" i="3"/>
  <c r="B30" i="3" s="1" a="1"/>
  <c r="B30" i="3" s="1"/>
  <c r="K38" i="3"/>
  <c r="K17" i="3"/>
  <c r="K30" i="3"/>
  <c r="L33" i="3"/>
  <c r="K33" i="3"/>
  <c r="M7" i="3"/>
  <c r="L7" i="3"/>
  <c r="M28" i="3"/>
  <c r="B28" i="3" s="1" a="1"/>
  <c r="B28" i="3" s="1"/>
  <c r="M20" i="15"/>
  <c r="L20" i="15"/>
  <c r="K27" i="16"/>
  <c r="L29" i="16"/>
  <c r="L42" i="16"/>
  <c r="M12" i="16"/>
  <c r="K42" i="16"/>
  <c r="L3" i="16"/>
  <c r="M32" i="16"/>
  <c r="L12" i="16"/>
  <c r="M8" i="16"/>
  <c r="M45" i="16"/>
  <c r="B45" i="16" s="1" a="1"/>
  <c r="B45" i="16" s="1"/>
  <c r="L32" i="16"/>
  <c r="K8" i="16"/>
  <c r="M25" i="16"/>
  <c r="B25" i="16" s="1" a="1"/>
  <c r="B25" i="16" s="1"/>
  <c r="L25" i="16"/>
  <c r="L51" i="16"/>
  <c r="L45" i="16"/>
  <c r="M34" i="16"/>
  <c r="B34" i="16" s="1" a="1"/>
  <c r="B34" i="16" s="1"/>
  <c r="M52" i="16"/>
  <c r="B52" i="16" s="1" a="1"/>
  <c r="B52" i="16" s="1"/>
  <c r="L34" i="16"/>
  <c r="M44" i="16"/>
  <c r="B44" i="16" s="1" a="1"/>
  <c r="B44" i="16" s="1"/>
  <c r="L52" i="16"/>
  <c r="L44" i="16"/>
  <c r="L23" i="16"/>
  <c r="M7" i="11"/>
  <c r="L7" i="11"/>
  <c r="K14" i="11"/>
  <c r="M39" i="11"/>
  <c r="M72" i="11"/>
  <c r="B72" i="11" s="1" a="1"/>
  <c r="B72" i="11" s="1"/>
  <c r="K48" i="11"/>
  <c r="L43" i="11"/>
  <c r="K24" i="11"/>
  <c r="M79" i="11"/>
  <c r="B79" i="11" s="1" a="1"/>
  <c r="B79" i="11" s="1"/>
  <c r="L60" i="11"/>
  <c r="K60" i="11"/>
  <c r="M24" i="11"/>
  <c r="L24" i="11"/>
  <c r="M58" i="11"/>
  <c r="M8" i="11"/>
  <c r="M41" i="11"/>
  <c r="L58" i="11"/>
  <c r="M14" i="11"/>
  <c r="L8" i="11"/>
  <c r="L41" i="11"/>
  <c r="L44" i="11"/>
  <c r="K43" i="11"/>
  <c r="M54" i="11"/>
  <c r="M73" i="11"/>
  <c r="M48" i="11"/>
  <c r="B48" i="11" s="1" a="1"/>
  <c r="B48" i="11" s="1"/>
  <c r="L63" i="11"/>
  <c r="M42" i="11"/>
  <c r="L54" i="11"/>
  <c r="L73" i="11"/>
  <c r="K63" i="11"/>
  <c r="L42" i="11"/>
  <c r="L55" i="11"/>
  <c r="K23" i="11"/>
  <c r="M44" i="11"/>
  <c r="B44" i="11" s="1" a="1"/>
  <c r="B44" i="11" s="1"/>
  <c r="M50" i="3"/>
  <c r="L12" i="3"/>
  <c r="M35" i="3"/>
  <c r="K12" i="3"/>
  <c r="L35" i="3"/>
  <c r="K22" i="3"/>
  <c r="M27" i="3"/>
  <c r="L27" i="3"/>
  <c r="K37" i="3"/>
  <c r="L11" i="3"/>
  <c r="K11" i="3"/>
  <c r="M12" i="3"/>
  <c r="A12" i="3" s="1" a="1"/>
  <c r="A12" i="3" s="1"/>
  <c r="Q12" i="3" s="1"/>
  <c r="M17" i="3"/>
  <c r="B17" i="3" s="1" a="1"/>
  <c r="B17" i="3" s="1"/>
  <c r="K43" i="3"/>
  <c r="K60" i="3"/>
  <c r="M51" i="3"/>
  <c r="L22" i="3"/>
  <c r="L64" i="3"/>
  <c r="L44" i="3"/>
  <c r="K64" i="3"/>
  <c r="K44" i="3"/>
  <c r="M62" i="3"/>
  <c r="M60" i="3"/>
  <c r="L3" i="3"/>
  <c r="M31" i="3"/>
  <c r="L43" i="3"/>
  <c r="L62" i="3"/>
  <c r="K21" i="3"/>
  <c r="K3" i="3"/>
  <c r="L31" i="3"/>
  <c r="K25" i="3"/>
  <c r="M54" i="3"/>
  <c r="L54" i="3"/>
  <c r="K54" i="3"/>
  <c r="M15" i="3"/>
  <c r="B15" i="3" s="1" a="1"/>
  <c r="B15" i="3" s="1"/>
  <c r="M47" i="3"/>
  <c r="M59" i="3"/>
  <c r="L15" i="3"/>
  <c r="M16" i="3"/>
  <c r="M38" i="3"/>
  <c r="K50" i="3"/>
  <c r="L47" i="3"/>
  <c r="L59" i="3"/>
  <c r="M37" i="3"/>
  <c r="K15" i="3"/>
  <c r="L16" i="3"/>
  <c r="L38" i="3"/>
  <c r="K47" i="3"/>
  <c r="M21" i="3"/>
  <c r="M56" i="3"/>
  <c r="L56" i="3"/>
  <c r="K55" i="11"/>
  <c r="L22" i="11"/>
  <c r="M65" i="11"/>
  <c r="B65" i="11" s="1" a="1"/>
  <c r="B65" i="11" s="1"/>
  <c r="L70" i="11"/>
  <c r="L65" i="11"/>
  <c r="M17" i="11"/>
  <c r="M10" i="11"/>
  <c r="K65" i="11"/>
  <c r="L17" i="11"/>
  <c r="M12" i="11"/>
  <c r="L10" i="11"/>
  <c r="M21" i="11"/>
  <c r="K23" i="16"/>
  <c r="L31" i="16"/>
  <c r="K31" i="16"/>
  <c r="L37" i="16"/>
  <c r="M48" i="16"/>
  <c r="B48" i="16" s="1" a="1"/>
  <c r="B48" i="16" s="1"/>
  <c r="M33" i="16"/>
  <c r="L48" i="16"/>
  <c r="M5" i="16"/>
  <c r="B5" i="16" s="1" a="1"/>
  <c r="B5" i="16" s="1"/>
  <c r="L33" i="16"/>
  <c r="L5" i="16"/>
  <c r="M26" i="15"/>
  <c r="L26" i="15"/>
  <c r="M19" i="15"/>
  <c r="B11" i="15" a="1"/>
  <c r="B11" i="15" s="1"/>
  <c r="K13" i="15"/>
  <c r="M17" i="15"/>
  <c r="L19" i="15"/>
  <c r="M18" i="15"/>
  <c r="M13" i="15"/>
  <c r="B13" i="15" s="1" a="1"/>
  <c r="B13" i="15" s="1"/>
  <c r="L18" i="15"/>
  <c r="S49" i="11" l="1"/>
  <c r="J49" i="11"/>
  <c r="S54" i="11"/>
  <c r="J54" i="11"/>
  <c r="S12" i="11"/>
  <c r="J12" i="11"/>
  <c r="B7" i="11" s="1" a="1"/>
  <c r="B7" i="11" s="1"/>
  <c r="S70" i="11"/>
  <c r="J70" i="11"/>
  <c r="S48" i="11"/>
  <c r="J48" i="11"/>
  <c r="S58" i="11"/>
  <c r="J58" i="11"/>
  <c r="S42" i="11"/>
  <c r="J42" i="11"/>
  <c r="S43" i="11"/>
  <c r="J43" i="11"/>
  <c r="S10" i="11"/>
  <c r="J10" i="11"/>
  <c r="S55" i="11"/>
  <c r="J55" i="11"/>
  <c r="S17" i="11"/>
  <c r="J17" i="11"/>
  <c r="S22" i="11"/>
  <c r="J22" i="11"/>
  <c r="S63" i="11"/>
  <c r="J63" i="11"/>
  <c r="S60" i="11"/>
  <c r="J60" i="11"/>
  <c r="S65" i="11"/>
  <c r="J65" i="11"/>
  <c r="S24" i="11"/>
  <c r="J24" i="11"/>
  <c r="S41" i="11"/>
  <c r="J41" i="11"/>
  <c r="S44" i="11"/>
  <c r="J44" i="11"/>
  <c r="S79" i="11"/>
  <c r="J79" i="11"/>
  <c r="S7" i="11"/>
  <c r="J7" i="11"/>
  <c r="S71" i="11"/>
  <c r="J71" i="11"/>
  <c r="S72" i="11"/>
  <c r="J72" i="11"/>
  <c r="S21" i="11"/>
  <c r="J21" i="11"/>
  <c r="S23" i="11"/>
  <c r="J23" i="11"/>
  <c r="S34" i="11"/>
  <c r="J34" i="11"/>
  <c r="S73" i="11"/>
  <c r="J73" i="11"/>
  <c r="S78" i="11"/>
  <c r="J78" i="11"/>
  <c r="S39" i="11"/>
  <c r="J39" i="11"/>
  <c r="S44" i="3"/>
  <c r="J44" i="3"/>
  <c r="S28" i="3"/>
  <c r="J28" i="3"/>
  <c r="S31" i="3"/>
  <c r="J31" i="3"/>
  <c r="S62" i="3"/>
  <c r="J62" i="3"/>
  <c r="S50" i="3"/>
  <c r="J50" i="3"/>
  <c r="S27" i="3"/>
  <c r="J27" i="3"/>
  <c r="S47" i="3"/>
  <c r="J47" i="3"/>
  <c r="S21" i="3"/>
  <c r="J21" i="3"/>
  <c r="S16" i="3"/>
  <c r="J16" i="3"/>
  <c r="S60" i="3"/>
  <c r="J60" i="3"/>
  <c r="S3" i="3"/>
  <c r="J3" i="3"/>
  <c r="S59" i="3"/>
  <c r="J59" i="3"/>
  <c r="S15" i="3"/>
  <c r="J15" i="3"/>
  <c r="S64" i="3"/>
  <c r="J64" i="3"/>
  <c r="S56" i="3"/>
  <c r="J56" i="3"/>
  <c r="S25" i="3"/>
  <c r="J25" i="3"/>
  <c r="S51" i="3"/>
  <c r="J51" i="3"/>
  <c r="S54" i="3"/>
  <c r="J54" i="3"/>
  <c r="S30" i="3"/>
  <c r="J30" i="3"/>
  <c r="S37" i="3"/>
  <c r="J37" i="3"/>
  <c r="S33" i="3"/>
  <c r="J33" i="3"/>
  <c r="S22" i="3"/>
  <c r="J22" i="3"/>
  <c r="S38" i="3"/>
  <c r="J38" i="3"/>
  <c r="S17" i="3"/>
  <c r="J17" i="3"/>
  <c r="B27" i="14" a="1"/>
  <c r="B27" i="14" s="1"/>
  <c r="B19" i="15" a="1"/>
  <c r="B19" i="15" s="1"/>
  <c r="B47" i="6" a="1"/>
  <c r="B47" i="6" s="1"/>
  <c r="B10" i="6" a="1"/>
  <c r="B10" i="6" s="1"/>
  <c r="B48" i="14" a="1"/>
  <c r="B48" i="14" s="1"/>
  <c r="B6" i="14" a="1"/>
  <c r="B6" i="14" s="1"/>
  <c r="B30" i="6" a="1"/>
  <c r="B30" i="6" s="1"/>
  <c r="B40" i="16" a="1"/>
  <c r="B40" i="16" s="1"/>
  <c r="B31" i="16" a="1"/>
  <c r="B31" i="16" s="1"/>
  <c r="B33" i="16" a="1"/>
  <c r="B33" i="16" s="1"/>
  <c r="B17" i="15" a="1"/>
  <c r="B17" i="15" s="1"/>
  <c r="B3" i="15" a="1"/>
  <c r="B3" i="15" s="1"/>
  <c r="B22" i="14" a="1"/>
  <c r="B22" i="14" s="1"/>
  <c r="B28" i="14" a="1"/>
  <c r="B28" i="14" s="1"/>
  <c r="B40" i="14" a="1"/>
  <c r="B40" i="14" s="1"/>
  <c r="B33" i="14" a="1"/>
  <c r="B33" i="14" s="1"/>
  <c r="B65" i="14" a="1"/>
  <c r="B65" i="14" s="1"/>
  <c r="B47" i="14" a="1"/>
  <c r="B47" i="14" s="1"/>
  <c r="B38" i="14" a="1"/>
  <c r="B38" i="14" s="1"/>
  <c r="B39" i="14" a="1"/>
  <c r="B39" i="14" s="1"/>
  <c r="B36" i="14" a="1"/>
  <c r="B36" i="14" s="1"/>
  <c r="B12" i="14" a="1"/>
  <c r="B12" i="14" s="1"/>
  <c r="B18" i="14" a="1"/>
  <c r="B18" i="14" s="1"/>
  <c r="B31" i="6" a="1"/>
  <c r="B31" i="6" s="1"/>
  <c r="B34" i="6" a="1"/>
  <c r="B34" i="6" s="1"/>
  <c r="B3" i="6" a="1"/>
  <c r="B3" i="6" s="1"/>
  <c r="B55" i="6" a="1"/>
  <c r="B55" i="6" s="1"/>
  <c r="B33" i="6" a="1"/>
  <c r="B33" i="6" s="1"/>
  <c r="B18" i="6" a="1"/>
  <c r="B18" i="6" s="1"/>
  <c r="B56" i="6" a="1"/>
  <c r="B56" i="6" s="1"/>
  <c r="B4" i="6" a="1"/>
  <c r="B4" i="6" s="1"/>
  <c r="B16" i="6" a="1"/>
  <c r="B16" i="6" s="1"/>
  <c r="B57" i="6" a="1"/>
  <c r="B57" i="6" s="1"/>
  <c r="B35" i="6" a="1"/>
  <c r="B35" i="6" s="1"/>
  <c r="B21" i="6" a="1"/>
  <c r="B21" i="6" s="1"/>
  <c r="B46" i="6" a="1"/>
  <c r="B46" i="6" s="1"/>
  <c r="B29" i="16" a="1"/>
  <c r="B29" i="16" s="1"/>
  <c r="B3" i="16" a="1"/>
  <c r="B3" i="16" s="1"/>
  <c r="B28" i="16" a="1"/>
  <c r="B28" i="16" s="1"/>
  <c r="B39" i="16" a="1"/>
  <c r="B39" i="16" s="1"/>
  <c r="B30" i="16" a="1"/>
  <c r="B30" i="16" s="1"/>
  <c r="B36" i="16" a="1"/>
  <c r="B36" i="16" s="1"/>
  <c r="B32" i="16" a="1"/>
  <c r="B32" i="16" s="1"/>
  <c r="B12" i="16" a="1"/>
  <c r="B12" i="16" s="1"/>
  <c r="B38" i="16" a="1"/>
  <c r="B38" i="16" s="1"/>
  <c r="B37" i="16" a="1"/>
  <c r="B37" i="16" s="1"/>
  <c r="B41" i="16" a="1"/>
  <c r="B41" i="16" s="1"/>
  <c r="B43" i="16" a="1"/>
  <c r="B43" i="16" s="1"/>
  <c r="B11" i="16" a="1"/>
  <c r="B11" i="16" s="1"/>
  <c r="B35" i="16" a="1"/>
  <c r="B35" i="16" s="1"/>
  <c r="B26" i="15" a="1"/>
  <c r="B26" i="15" s="1"/>
  <c r="B10" i="15" a="1"/>
  <c r="B10" i="15" s="1"/>
  <c r="B22" i="15" a="1"/>
  <c r="B22" i="15" s="1"/>
  <c r="B23" i="15" a="1"/>
  <c r="B23" i="15" s="1"/>
  <c r="B9" i="15" a="1"/>
  <c r="B9" i="15" s="1"/>
  <c r="B4" i="15" a="1"/>
  <c r="B4" i="15" s="1"/>
  <c r="B3" i="14" a="1"/>
  <c r="B3" i="14" s="1"/>
  <c r="A12" i="15" a="1"/>
  <c r="A12" i="15" s="1"/>
  <c r="Q12" i="15" s="1"/>
  <c r="G21" i="17" s="1"/>
  <c r="H21" i="17" s="1"/>
  <c r="B12" i="15" a="1"/>
  <c r="B12" i="15" s="1"/>
  <c r="R21" i="13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6" i="12"/>
  <c r="C13" i="17" s="1"/>
  <c r="D13" i="17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26" i="14" a="1"/>
  <c r="A26" i="14" s="1"/>
  <c r="A14" i="6" a="1"/>
  <c r="A14" i="6" s="1"/>
  <c r="A18" i="15" a="1"/>
  <c r="A18" i="15" s="1"/>
  <c r="Q18" i="15" s="1"/>
  <c r="B19" i="14" a="1"/>
  <c r="B19" i="14" s="1"/>
  <c r="A19" i="14" a="1"/>
  <c r="A19" i="14" s="1"/>
  <c r="Q19" i="14" s="1"/>
  <c r="A5" i="14" a="1"/>
  <c r="A5" i="14" s="1"/>
  <c r="Q5" i="14" s="1"/>
  <c r="B25" i="14" a="1"/>
  <c r="B25" i="14" s="1"/>
  <c r="A25" i="14" a="1"/>
  <c r="A25" i="14" s="1"/>
  <c r="Q25" i="14" s="1"/>
  <c r="B44" i="14" a="1"/>
  <c r="B44" i="14" s="1"/>
  <c r="A44" i="14" a="1"/>
  <c r="A44" i="14" s="1"/>
  <c r="Q44" i="14" s="1"/>
  <c r="B15" i="14" a="1"/>
  <c r="B15" i="14" s="1"/>
  <c r="A15" i="14" a="1"/>
  <c r="A15" i="14" s="1"/>
  <c r="Q15" i="14" s="1"/>
  <c r="E3" i="17" s="1"/>
  <c r="F3" i="17" s="1"/>
  <c r="B24" i="14" a="1"/>
  <c r="B24" i="14" s="1"/>
  <c r="A24" i="14" a="1"/>
  <c r="A24" i="14" s="1"/>
  <c r="A5" i="6" a="1"/>
  <c r="A5" i="6" s="1"/>
  <c r="Q5" i="6" s="1"/>
  <c r="A20" i="6" a="1"/>
  <c r="A20" i="6" s="1"/>
  <c r="A12" i="6" a="1"/>
  <c r="A12" i="6" s="1"/>
  <c r="Q12" i="6" s="1"/>
  <c r="B48" i="6" a="1"/>
  <c r="B48" i="6" s="1"/>
  <c r="A48" i="6" a="1"/>
  <c r="A48" i="6" s="1"/>
  <c r="Q48" i="6" s="1"/>
  <c r="B32" i="6" a="1"/>
  <c r="B32" i="6" s="1"/>
  <c r="A32" i="6" a="1"/>
  <c r="A32" i="6" s="1"/>
  <c r="Q32" i="6" s="1"/>
  <c r="A9" i="6" a="1"/>
  <c r="A9" i="6" s="1"/>
  <c r="Q9" i="6" s="1"/>
  <c r="A15" i="6" a="1"/>
  <c r="A15" i="6" s="1"/>
  <c r="Q15" i="6" s="1"/>
  <c r="A29" i="6" a="1"/>
  <c r="A29" i="6" s="1"/>
  <c r="Q29" i="6" s="1"/>
  <c r="B51" i="6" a="1"/>
  <c r="B51" i="6" s="1"/>
  <c r="A51" i="6" a="1"/>
  <c r="A51" i="6" s="1"/>
  <c r="B17" i="6" a="1"/>
  <c r="B17" i="6" s="1"/>
  <c r="A17" i="6" a="1"/>
  <c r="A17" i="6" s="1"/>
  <c r="A24" i="6" a="1"/>
  <c r="A24" i="6" s="1"/>
  <c r="A7" i="6" a="1"/>
  <c r="A7" i="6" s="1"/>
  <c r="Q7" i="6" s="1"/>
  <c r="A11" i="6" a="1"/>
  <c r="A11" i="6" s="1"/>
  <c r="Q11" i="6" s="1"/>
  <c r="A4" i="16" a="1"/>
  <c r="A4" i="16" s="1"/>
  <c r="Q4" i="16" s="1"/>
  <c r="A7" i="16" a="1"/>
  <c r="A7" i="16" s="1"/>
  <c r="Q7" i="16" s="1"/>
  <c r="B8" i="16" a="1"/>
  <c r="B8" i="16" s="1"/>
  <c r="A8" i="16" a="1"/>
  <c r="A8" i="16" s="1"/>
  <c r="Q8" i="16" s="1"/>
  <c r="B42" i="16" a="1"/>
  <c r="B42" i="16" s="1"/>
  <c r="A42" i="16" a="1"/>
  <c r="A42" i="16" s="1"/>
  <c r="Q42" i="16" s="1"/>
  <c r="A8" i="15" a="1"/>
  <c r="A8" i="15" s="1"/>
  <c r="Q8" i="15" s="1"/>
  <c r="A6" i="15" a="1"/>
  <c r="A6" i="15" s="1"/>
  <c r="A5" i="15" a="1"/>
  <c r="A5" i="15" s="1"/>
  <c r="B20" i="15" a="1"/>
  <c r="B20" i="15" s="1"/>
  <c r="A20" i="15" a="1"/>
  <c r="A20" i="15" s="1"/>
  <c r="Q20" i="15" s="1"/>
  <c r="G32" i="17"/>
  <c r="H32" i="17" s="1"/>
  <c r="R17" i="13"/>
  <c r="A43" i="11" a="1"/>
  <c r="A43" i="11" s="1"/>
  <c r="Q43" i="11" s="1"/>
  <c r="B58" i="11" a="1"/>
  <c r="B58" i="11" s="1"/>
  <c r="A58" i="11" a="1"/>
  <c r="A58" i="11" s="1"/>
  <c r="Q58" i="11" s="1"/>
  <c r="A42" i="11" a="1"/>
  <c r="A42" i="11" s="1"/>
  <c r="Q42" i="11" s="1"/>
  <c r="B8" i="11" a="1"/>
  <c r="B8" i="11" s="1"/>
  <c r="A8" i="11" a="1"/>
  <c r="A8" i="11" s="1"/>
  <c r="Q8" i="11" s="1"/>
  <c r="A49" i="11" a="1"/>
  <c r="A49" i="11" s="1"/>
  <c r="Q49" i="11" s="1"/>
  <c r="B11" i="3" a="1"/>
  <c r="B11" i="3" s="1"/>
  <c r="A11" i="3" a="1"/>
  <c r="A11" i="3" s="1"/>
  <c r="Q11" i="3" s="1"/>
  <c r="B47" i="3" a="1"/>
  <c r="B47" i="3" s="1"/>
  <c r="A47" i="3" a="1"/>
  <c r="A47" i="3" s="1"/>
  <c r="Q47" i="3" s="1"/>
  <c r="B31" i="3" a="1"/>
  <c r="B31" i="3" s="1"/>
  <c r="A31" i="3" a="1"/>
  <c r="A31" i="3" s="1"/>
  <c r="Q31" i="3" s="1"/>
  <c r="B43" i="3" a="1"/>
  <c r="B43" i="3" s="1"/>
  <c r="A43" i="3" a="1"/>
  <c r="A43" i="3" s="1"/>
  <c r="Q43" i="3" s="1"/>
  <c r="B51" i="3" a="1"/>
  <c r="B51" i="3" s="1"/>
  <c r="A51" i="3" a="1"/>
  <c r="A51" i="3" s="1"/>
  <c r="Q51" i="3" s="1"/>
  <c r="B54" i="3" a="1"/>
  <c r="B54" i="3" s="1"/>
  <c r="A54" i="3" a="1"/>
  <c r="A54" i="3" s="1"/>
  <c r="Q54" i="3" s="1"/>
  <c r="B44" i="3" a="1"/>
  <c r="B44" i="3" s="1"/>
  <c r="B49" i="14" a="1"/>
  <c r="B49" i="14" s="1"/>
  <c r="B31" i="14" a="1"/>
  <c r="B31" i="14" s="1"/>
  <c r="B29" i="14" a="1"/>
  <c r="B29" i="14" s="1"/>
  <c r="B8" i="14" a="1"/>
  <c r="B8" i="14" s="1"/>
  <c r="B42" i="14" a="1"/>
  <c r="B42" i="14" s="1"/>
  <c r="B46" i="14" a="1"/>
  <c r="B46" i="14" s="1"/>
  <c r="B35" i="14" a="1"/>
  <c r="B35" i="14" s="1"/>
  <c r="B34" i="14" a="1"/>
  <c r="B34" i="14" s="1"/>
  <c r="B53" i="14" a="1"/>
  <c r="B53" i="14" s="1"/>
  <c r="B11" i="14" a="1"/>
  <c r="B11" i="14" s="1"/>
  <c r="B57" i="14" a="1"/>
  <c r="B57" i="14" s="1"/>
  <c r="B54" i="14" a="1"/>
  <c r="B54" i="14" s="1"/>
  <c r="B58" i="14" a="1"/>
  <c r="B58" i="14" s="1"/>
  <c r="B55" i="14" a="1"/>
  <c r="B55" i="14" s="1"/>
  <c r="B20" i="14" a="1"/>
  <c r="B20" i="14" s="1"/>
  <c r="B56" i="14" a="1"/>
  <c r="B56" i="14" s="1"/>
  <c r="B62" i="14" a="1"/>
  <c r="B62" i="14" s="1"/>
  <c r="B67" i="14" a="1"/>
  <c r="B67" i="14" s="1"/>
  <c r="B52" i="14" a="1"/>
  <c r="B52" i="14" s="1"/>
  <c r="B60" i="14" a="1"/>
  <c r="B60" i="14" s="1"/>
  <c r="B66" i="14" a="1"/>
  <c r="B66" i="14" s="1"/>
  <c r="B51" i="14" a="1"/>
  <c r="B51" i="14" s="1"/>
  <c r="B16" i="14" a="1"/>
  <c r="B16" i="14" s="1"/>
  <c r="B43" i="14" a="1"/>
  <c r="B43" i="14" s="1"/>
  <c r="B45" i="14" a="1"/>
  <c r="B45" i="14" s="1"/>
  <c r="B63" i="14" a="1"/>
  <c r="B63" i="14" s="1"/>
  <c r="B4" i="14" a="1"/>
  <c r="B4" i="14" s="1"/>
  <c r="B50" i="14" a="1"/>
  <c r="B50" i="14" s="1"/>
  <c r="B59" i="14" a="1"/>
  <c r="B59" i="14" s="1"/>
  <c r="B23" i="14" a="1"/>
  <c r="B23" i="14" s="1"/>
  <c r="B41" i="14" a="1"/>
  <c r="B41" i="14" s="1"/>
  <c r="B61" i="14" a="1"/>
  <c r="B61" i="14" s="1"/>
  <c r="B30" i="14" a="1"/>
  <c r="B30" i="14" s="1"/>
  <c r="B64" i="14" a="1"/>
  <c r="B64" i="14" s="1"/>
  <c r="B14" i="14" a="1"/>
  <c r="B14" i="14" s="1"/>
  <c r="B37" i="14" a="1"/>
  <c r="B37" i="14" s="1"/>
  <c r="B17" i="14" a="1"/>
  <c r="B17" i="14" s="1"/>
  <c r="B32" i="14" a="1"/>
  <c r="B32" i="14" s="1"/>
  <c r="B6" i="15" a="1"/>
  <c r="B6" i="15" s="1"/>
  <c r="B18" i="15" a="1"/>
  <c r="B18" i="15" s="1"/>
  <c r="B4" i="16" a="1"/>
  <c r="B4" i="16" s="1"/>
  <c r="B8" i="15" a="1"/>
  <c r="B8" i="15" s="1"/>
  <c r="B7" i="16" a="1"/>
  <c r="B7" i="16" s="1"/>
  <c r="B5" i="15" a="1"/>
  <c r="B5" i="15" s="1"/>
  <c r="B13" i="6" a="1"/>
  <c r="B13" i="6" s="1"/>
  <c r="B5" i="14" a="1"/>
  <c r="B5" i="14" s="1"/>
  <c r="B26" i="14" a="1"/>
  <c r="B26" i="14" s="1"/>
  <c r="B20" i="6" a="1"/>
  <c r="B20" i="6" s="1"/>
  <c r="B6" i="6" a="1"/>
  <c r="B6" i="6" s="1"/>
  <c r="B27" i="6" a="1"/>
  <c r="B27" i="6" s="1"/>
  <c r="B7" i="6" a="1"/>
  <c r="B7" i="6" s="1"/>
  <c r="B29" i="6" a="1"/>
  <c r="B29" i="6" s="1"/>
  <c r="B5" i="6" a="1"/>
  <c r="B5" i="6" s="1"/>
  <c r="B14" i="6" a="1"/>
  <c r="B14" i="6" s="1"/>
  <c r="B9" i="6" a="1"/>
  <c r="B9" i="6" s="1"/>
  <c r="B12" i="6" a="1"/>
  <c r="B12" i="6" s="1"/>
  <c r="B24" i="6" a="1"/>
  <c r="B24" i="6" s="1"/>
  <c r="B25" i="6" a="1"/>
  <c r="B25" i="6" s="1"/>
  <c r="B15" i="6" a="1"/>
  <c r="B15" i="6" s="1"/>
  <c r="B11" i="6" a="1"/>
  <c r="B11" i="6" s="1"/>
  <c r="B19" i="6" a="1"/>
  <c r="B19" i="6" s="1"/>
  <c r="B12" i="11" a="1"/>
  <c r="B12" i="11" s="1"/>
  <c r="B21" i="11" a="1"/>
  <c r="B21" i="11" s="1"/>
  <c r="B17" i="11" a="1"/>
  <c r="B17" i="11" s="1"/>
  <c r="B11" i="11" a="1"/>
  <c r="B11" i="11" s="1"/>
  <c r="B39" i="11" a="1"/>
  <c r="B39" i="11" s="1"/>
  <c r="B18" i="3" a="1"/>
  <c r="B18" i="3" s="1"/>
  <c r="S43" i="3"/>
  <c r="A33" i="3" a="1"/>
  <c r="A33" i="3" s="1"/>
  <c r="Q33" i="3" s="1"/>
  <c r="Q29" i="16"/>
  <c r="Q39" i="11"/>
  <c r="Q22" i="15"/>
  <c r="G5" i="17" s="1"/>
  <c r="H5" i="17" s="1"/>
  <c r="Q65" i="11"/>
  <c r="Q23" i="15"/>
  <c r="Q33" i="16"/>
  <c r="Q22" i="11"/>
  <c r="Q53" i="14"/>
  <c r="Q61" i="14"/>
  <c r="Q36" i="6"/>
  <c r="Q35" i="14"/>
  <c r="Q49" i="14"/>
  <c r="Q13" i="14"/>
  <c r="Q57" i="14"/>
  <c r="E15" i="17"/>
  <c r="F15" i="17" s="1"/>
  <c r="Q43" i="14"/>
  <c r="Q64" i="14"/>
  <c r="Q17" i="14"/>
  <c r="Q50" i="14"/>
  <c r="Q37" i="14"/>
  <c r="Q11" i="14"/>
  <c r="Q4" i="14"/>
  <c r="Q6" i="14"/>
  <c r="Q10" i="6"/>
  <c r="Q47" i="6"/>
  <c r="Q57" i="6"/>
  <c r="E48" i="17"/>
  <c r="F48" i="17" s="1"/>
  <c r="Q48" i="16"/>
  <c r="Q12" i="16"/>
  <c r="G17" i="17" s="1"/>
  <c r="H17" i="17" s="1"/>
  <c r="G20" i="17"/>
  <c r="H20" i="17" s="1"/>
  <c r="Q52" i="16"/>
  <c r="Q45" i="16"/>
  <c r="Q32" i="16"/>
  <c r="G64" i="17" s="1"/>
  <c r="H64" i="17" s="1"/>
  <c r="Q44" i="16"/>
  <c r="Q25" i="16"/>
  <c r="Q51" i="16"/>
  <c r="Q17" i="15"/>
  <c r="Q19" i="15"/>
  <c r="G30" i="17" s="1"/>
  <c r="H30" i="17" s="1"/>
  <c r="Q71" i="11"/>
  <c r="Q12" i="11"/>
  <c r="Q10" i="11"/>
  <c r="Q17" i="11"/>
  <c r="Q21" i="11"/>
  <c r="Q23" i="11"/>
  <c r="Q14" i="11"/>
  <c r="Q60" i="11"/>
  <c r="Q44" i="11"/>
  <c r="Q78" i="11"/>
  <c r="Q73" i="11"/>
  <c r="Q72" i="11"/>
  <c r="Q7" i="11"/>
  <c r="Q48" i="11"/>
  <c r="Q24" i="11"/>
  <c r="Q79" i="11"/>
  <c r="Q70" i="11"/>
  <c r="C23" i="17"/>
  <c r="D23" i="17" s="1"/>
  <c r="B4" i="11" l="1" a="1"/>
  <c r="B4" i="11" s="1"/>
  <c r="B54" i="11" a="1"/>
  <c r="B54" i="11" s="1"/>
  <c r="B55" i="11" a="1"/>
  <c r="B55" i="11" s="1"/>
  <c r="B22" i="11" a="1"/>
  <c r="B22" i="11" s="1"/>
  <c r="B45" i="11" a="1"/>
  <c r="B45" i="11" s="1"/>
  <c r="C15" i="17"/>
  <c r="D15" i="17" s="1"/>
  <c r="B49" i="11" a="1"/>
  <c r="B49" i="11" s="1"/>
  <c r="D186" i="2" a="1"/>
  <c r="D186" i="2" s="1"/>
  <c r="B19" i="11" a="1"/>
  <c r="B19" i="11" s="1"/>
  <c r="B34" i="11" a="1"/>
  <c r="B34" i="11" s="1"/>
  <c r="B43" i="11" a="1"/>
  <c r="B43" i="11" s="1"/>
  <c r="B10" i="11" a="1"/>
  <c r="B10" i="11" s="1"/>
  <c r="B14" i="11" a="1"/>
  <c r="B14" i="11" s="1"/>
  <c r="B73" i="11" a="1"/>
  <c r="B73" i="11" s="1"/>
  <c r="B23" i="11" a="1"/>
  <c r="B23" i="11" s="1"/>
  <c r="B9" i="11" a="1"/>
  <c r="B9" i="11" s="1"/>
  <c r="B5" i="11" a="1"/>
  <c r="B5" i="11" s="1"/>
  <c r="B18" i="11" a="1"/>
  <c r="B18" i="11" s="1"/>
  <c r="B15" i="11" a="1"/>
  <c r="B15" i="11" s="1"/>
  <c r="B36" i="11" a="1"/>
  <c r="B36" i="11" s="1"/>
  <c r="B26" i="11" a="1"/>
  <c r="B26" i="11" s="1"/>
  <c r="B51" i="11" a="1"/>
  <c r="B51" i="11" s="1"/>
  <c r="B6" i="11" a="1"/>
  <c r="B6" i="11" s="1"/>
  <c r="B24" i="11" a="1"/>
  <c r="B24" i="11" s="1"/>
  <c r="B46" i="11" a="1"/>
  <c r="B46" i="11" s="1"/>
  <c r="B42" i="11" a="1"/>
  <c r="B42" i="11" s="1"/>
  <c r="B27" i="11" a="1"/>
  <c r="B27" i="11" s="1"/>
  <c r="B31" i="11" a="1"/>
  <c r="B31" i="11" s="1"/>
  <c r="B53" i="11" a="1"/>
  <c r="B53" i="11" s="1"/>
  <c r="B35" i="11" a="1"/>
  <c r="B35" i="11" s="1"/>
  <c r="B20" i="11" a="1"/>
  <c r="B20" i="11" s="1"/>
  <c r="B28" i="11" a="1"/>
  <c r="B28" i="11" s="1"/>
  <c r="B38" i="11" a="1"/>
  <c r="B38" i="11" s="1"/>
  <c r="B30" i="11" a="1"/>
  <c r="B30" i="11" s="1"/>
  <c r="B33" i="11" a="1"/>
  <c r="B33" i="11" s="1"/>
  <c r="B8" i="3" a="1"/>
  <c r="B8" i="3" s="1"/>
  <c r="B36" i="3" a="1"/>
  <c r="B36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14" i="6"/>
  <c r="E21" i="17" s="1"/>
  <c r="F21" i="17" s="1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12" i="14"/>
  <c r="G9" i="17"/>
  <c r="Q5" i="15"/>
  <c r="G16" i="17" s="1"/>
  <c r="Q3" i="14"/>
  <c r="Q26" i="14"/>
  <c r="Q18" i="14"/>
  <c r="Q24" i="14"/>
  <c r="E46" i="17"/>
  <c r="F46" i="17" s="1"/>
  <c r="E66" i="17"/>
  <c r="Q28" i="6"/>
  <c r="E23" i="17" s="1"/>
  <c r="F23" i="17" s="1"/>
  <c r="Q3" i="6"/>
  <c r="Q40" i="6"/>
  <c r="Q4" i="6"/>
  <c r="Q45" i="6"/>
  <c r="Q6" i="6"/>
  <c r="Q9" i="16"/>
  <c r="Q3" i="16"/>
  <c r="G62" i="17" s="1"/>
  <c r="Q5" i="16"/>
  <c r="Q3" i="15"/>
  <c r="G49" i="17"/>
  <c r="Q4" i="15"/>
  <c r="Q6" i="15"/>
  <c r="A41" i="11" a="1"/>
  <c r="A41" i="11" s="1"/>
  <c r="B59" i="3" a="1"/>
  <c r="B59" i="3" s="1"/>
  <c r="B60" i="3" a="1"/>
  <c r="B60" i="3" s="1"/>
  <c r="B62" i="3" a="1"/>
  <c r="B62" i="3" s="1"/>
  <c r="B5" i="3" a="1"/>
  <c r="B5" i="3" s="1"/>
  <c r="B35" i="3" a="1"/>
  <c r="B35" i="3" s="1"/>
  <c r="B64" i="3" a="1"/>
  <c r="B64" i="3" s="1"/>
  <c r="B21" i="3" a="1"/>
  <c r="B21" i="3" s="1"/>
  <c r="B37" i="3" a="1"/>
  <c r="B37" i="3" s="1"/>
  <c r="B12" i="3" a="1"/>
  <c r="B12" i="3" s="1"/>
  <c r="B33" i="3" a="1"/>
  <c r="B33" i="3" s="1"/>
  <c r="B22" i="3" a="1"/>
  <c r="B22" i="3" s="1"/>
  <c r="B38" i="3" a="1"/>
  <c r="B38" i="3" s="1"/>
  <c r="B27" i="3" a="1"/>
  <c r="B27" i="3" s="1"/>
  <c r="B16" i="3" a="1"/>
  <c r="B16" i="3" s="1"/>
  <c r="A6" i="3" a="1"/>
  <c r="A6" i="3" s="1"/>
  <c r="Q6" i="3" s="1"/>
  <c r="A3" i="3" a="1"/>
  <c r="A3" i="3" s="1"/>
  <c r="Q3" i="3" s="1"/>
  <c r="B56" i="3" a="1"/>
  <c r="B56" i="3" s="1"/>
  <c r="B49" i="3" a="1"/>
  <c r="B49" i="3" s="1"/>
  <c r="B52" i="3" a="1"/>
  <c r="B52" i="3" s="1"/>
  <c r="A10" i="3" a="1"/>
  <c r="A10" i="3" s="1"/>
  <c r="B13" i="3" a="1"/>
  <c r="B13" i="3" s="1"/>
  <c r="B10" i="3" a="1"/>
  <c r="B10" i="3" s="1"/>
  <c r="B14" i="3" a="1"/>
  <c r="B14" i="3" s="1"/>
  <c r="B34" i="3" a="1"/>
  <c r="B34" i="3" s="1"/>
  <c r="B61" i="3" a="1"/>
  <c r="B61" i="3" s="1"/>
  <c r="A50" i="3" a="1"/>
  <c r="A50" i="3" s="1"/>
  <c r="C30" i="17"/>
  <c r="D30" i="17" s="1"/>
  <c r="C12" i="17"/>
  <c r="A55" i="3" a="1"/>
  <c r="A55" i="3" s="1"/>
  <c r="B42" i="3" a="1"/>
  <c r="B42" i="3" s="1"/>
  <c r="A5" i="3" a="1"/>
  <c r="A5" i="3" s="1"/>
  <c r="Q5" i="3" s="1"/>
  <c r="A60" i="3" a="1"/>
  <c r="A60" i="3" s="1"/>
  <c r="Q60" i="3" s="1"/>
  <c r="B63" i="3" a="1"/>
  <c r="B63" i="3" s="1"/>
  <c r="B39" i="3" a="1"/>
  <c r="B39" i="3" s="1"/>
  <c r="B41" i="3" a="1"/>
  <c r="B41" i="3" s="1"/>
  <c r="B48" i="3" a="1"/>
  <c r="B48" i="3" s="1"/>
  <c r="A22" i="3" a="1"/>
  <c r="A22" i="3" s="1"/>
  <c r="B65" i="3" a="1"/>
  <c r="B65" i="3" s="1"/>
  <c r="B58" i="3" a="1"/>
  <c r="B58" i="3" s="1"/>
  <c r="B66" i="3" a="1"/>
  <c r="B66" i="3" s="1"/>
  <c r="B55" i="3" a="1"/>
  <c r="B55" i="3" s="1"/>
  <c r="A4" i="3" a="1"/>
  <c r="A4" i="3" s="1"/>
  <c r="Q4" i="3" s="1"/>
  <c r="B41" i="11" a="1"/>
  <c r="B41" i="11" s="1"/>
  <c r="B3" i="11" a="1"/>
  <c r="B3" i="11" s="1"/>
  <c r="B50" i="3" a="1"/>
  <c r="B50" i="3" s="1"/>
  <c r="B7" i="3" a="1"/>
  <c r="B7" i="3" s="1"/>
  <c r="B4" i="3" a="1"/>
  <c r="B4" i="3" s="1"/>
  <c r="B3" i="3" a="1"/>
  <c r="B3" i="3" s="1"/>
  <c r="B6" i="3" a="1"/>
  <c r="B6" i="3" s="1"/>
  <c r="G63" i="17"/>
  <c r="H63" i="17" s="1"/>
  <c r="G50" i="17"/>
  <c r="H50" i="17" s="1"/>
  <c r="G61" i="17"/>
  <c r="H61" i="17" s="1"/>
  <c r="G27" i="17"/>
  <c r="H27" i="17" s="1"/>
  <c r="G40" i="17"/>
  <c r="H40" i="17" s="1"/>
  <c r="G56" i="17"/>
  <c r="E24" i="17"/>
  <c r="F24" i="17" s="1"/>
  <c r="E56" i="17"/>
  <c r="F56" i="17" s="1"/>
  <c r="E54" i="17"/>
  <c r="F54" i="17" s="1"/>
  <c r="E40" i="17"/>
  <c r="F40" i="17" s="1"/>
  <c r="E2" i="17"/>
  <c r="F2" i="17" s="1"/>
  <c r="C48" i="17"/>
  <c r="D48" i="17" s="1"/>
  <c r="C60" i="17"/>
  <c r="D60" i="17" s="1"/>
  <c r="C24" i="17"/>
  <c r="D24" i="17" s="1"/>
  <c r="C43" i="17"/>
  <c r="D43" i="17" s="1"/>
  <c r="Q59" i="14"/>
  <c r="Q26" i="6"/>
  <c r="E61" i="17" s="1"/>
  <c r="Q41" i="14"/>
  <c r="E25" i="17"/>
  <c r="Q53" i="6"/>
  <c r="R13" i="12"/>
  <c r="Q21" i="14"/>
  <c r="C46" i="17"/>
  <c r="D46" i="17" s="1"/>
  <c r="Q55" i="11"/>
  <c r="E65" i="17"/>
  <c r="F65" i="17" s="1"/>
  <c r="R18" i="13"/>
  <c r="Q37" i="6"/>
  <c r="E27" i="17" s="1"/>
  <c r="F27" i="17" s="1"/>
  <c r="Q24" i="6"/>
  <c r="Q34" i="16"/>
  <c r="G12" i="17" s="1"/>
  <c r="H12" i="17" s="1"/>
  <c r="Q53" i="16"/>
  <c r="Q14" i="15"/>
  <c r="G51" i="17" s="1"/>
  <c r="Q56" i="11"/>
  <c r="G28" i="17"/>
  <c r="H28" i="17" s="1"/>
  <c r="G18" i="17"/>
  <c r="H18" i="17" s="1"/>
  <c r="Q14" i="14"/>
  <c r="E18" i="17"/>
  <c r="F18" i="17" s="1"/>
  <c r="C25" i="17"/>
  <c r="D25" i="17" s="1"/>
  <c r="G57" i="17"/>
  <c r="H57" i="17" s="1"/>
  <c r="C62" i="17"/>
  <c r="D62" i="17" s="1"/>
  <c r="C42" i="17"/>
  <c r="D42" i="17" s="1"/>
  <c r="E60" i="17"/>
  <c r="C18" i="17"/>
  <c r="D18" i="17" s="1"/>
  <c r="C44" i="17"/>
  <c r="D44" i="17" s="1"/>
  <c r="Q42" i="14"/>
  <c r="Q8" i="14"/>
  <c r="E63" i="17" s="1"/>
  <c r="F63" i="17" s="1"/>
  <c r="Q45" i="14"/>
  <c r="Q9" i="14"/>
  <c r="E57" i="17" s="1"/>
  <c r="F57" i="17" s="1"/>
  <c r="E43" i="17"/>
  <c r="Q30" i="14"/>
  <c r="Q22" i="14"/>
  <c r="E64" i="17" s="1"/>
  <c r="F64" i="17" s="1"/>
  <c r="Q52" i="6"/>
  <c r="E30" i="17" s="1"/>
  <c r="F30" i="17" s="1"/>
  <c r="Q17" i="6"/>
  <c r="Q27" i="6"/>
  <c r="Q20" i="6"/>
  <c r="Q51" i="6"/>
  <c r="Q19" i="16"/>
  <c r="G59" i="17"/>
  <c r="Q27" i="16"/>
  <c r="G24" i="17" s="1"/>
  <c r="H24" i="17" s="1"/>
  <c r="Q26" i="15"/>
  <c r="G34" i="17" s="1"/>
  <c r="H34" i="17" s="1"/>
  <c r="Q13" i="15"/>
  <c r="C66" i="17"/>
  <c r="D66" i="17" s="1"/>
  <c r="Q54" i="11"/>
  <c r="C52" i="17" l="1"/>
  <c r="D52" i="17" s="1"/>
  <c r="Q10" i="3"/>
  <c r="Q50" i="3"/>
  <c r="C28" i="17" s="1"/>
  <c r="C7" i="17"/>
  <c r="D7" i="17" s="1"/>
  <c r="Q22" i="3"/>
  <c r="Q55" i="3"/>
  <c r="C36" i="17" s="1"/>
  <c r="D36" i="17" s="1"/>
  <c r="E42" i="17"/>
  <c r="F42" i="17" s="1"/>
  <c r="E34" i="17"/>
  <c r="F34" i="17" s="1"/>
  <c r="E52" i="17"/>
  <c r="F52" i="17" s="1"/>
  <c r="E62" i="17"/>
  <c r="G14" i="17"/>
  <c r="H14" i="17" s="1"/>
  <c r="C61" i="17"/>
  <c r="C10" i="17"/>
  <c r="D10" i="17" s="1"/>
  <c r="Q41" i="1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3" i="17"/>
  <c r="E51" i="17"/>
  <c r="E10" i="17"/>
  <c r="E20" i="17"/>
  <c r="C40" i="17"/>
  <c r="C57" i="17"/>
  <c r="D57" i="17" s="1"/>
  <c r="C11" i="17"/>
  <c r="G31" i="17"/>
  <c r="H31" i="17" s="1"/>
  <c r="G25" i="17"/>
  <c r="H25" i="17" s="1"/>
  <c r="E6" i="17"/>
  <c r="G33" i="17"/>
  <c r="H33" i="17" s="1"/>
  <c r="G43" i="17"/>
  <c r="G36" i="17"/>
  <c r="G37" i="17"/>
  <c r="G29" i="17"/>
  <c r="H29" i="17" s="1"/>
  <c r="G42" i="17"/>
  <c r="H42" i="17" s="1"/>
  <c r="G60" i="17"/>
  <c r="G52" i="17"/>
  <c r="H52" i="17" s="1"/>
  <c r="G10" i="17"/>
  <c r="G6" i="17"/>
  <c r="H6" i="17" s="1"/>
  <c r="E28" i="17"/>
  <c r="F28" i="17" s="1"/>
  <c r="E29" i="17"/>
  <c r="E36" i="17"/>
  <c r="E50" i="17"/>
  <c r="E32" i="17"/>
  <c r="F32" i="17" s="1"/>
  <c r="E12" i="17"/>
  <c r="E9" i="17"/>
  <c r="F9" i="17" s="1"/>
  <c r="E7" i="17"/>
  <c r="E37" i="17"/>
  <c r="C14" i="17"/>
  <c r="C32" i="17"/>
  <c r="D32" i="17" s="1"/>
  <c r="C51" i="17"/>
  <c r="D51" i="17" s="1"/>
  <c r="C65" i="17"/>
  <c r="C56" i="17"/>
  <c r="D56" i="17" s="1"/>
  <c r="C33" i="17"/>
  <c r="E59" i="17"/>
  <c r="C31" i="17"/>
  <c r="G19" i="17"/>
  <c r="E33" i="17"/>
  <c r="E26" i="17"/>
  <c r="E16" i="17"/>
  <c r="G44" i="17"/>
  <c r="G41" i="17"/>
  <c r="E14" i="17"/>
  <c r="G48" i="17"/>
  <c r="E44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C47" i="17" l="1"/>
  <c r="H49" i="17"/>
  <c r="H9" i="17"/>
  <c r="F20" i="17"/>
  <c r="F66" i="17"/>
  <c r="H16" i="17"/>
  <c r="H36" i="17"/>
  <c r="F12" i="17"/>
  <c r="F29" i="17"/>
  <c r="F7" i="17"/>
  <c r="H37" i="17"/>
  <c r="F37" i="17"/>
  <c r="F51" i="17"/>
  <c r="F62" i="17"/>
  <c r="H62" i="17"/>
  <c r="F53" i="17"/>
  <c r="F10" i="17"/>
  <c r="F60" i="17"/>
  <c r="F61" i="17"/>
  <c r="F25" i="17"/>
  <c r="F26" i="17"/>
  <c r="F50" i="17"/>
  <c r="H10" i="17"/>
  <c r="F36" i="17"/>
  <c r="F16" i="17"/>
  <c r="F19" i="17"/>
  <c r="F6" i="17"/>
  <c r="F44" i="17"/>
  <c r="F33" i="17"/>
  <c r="F14" i="17"/>
  <c r="F59" i="17"/>
  <c r="F43" i="17"/>
  <c r="H41" i="17"/>
  <c r="H48" i="17"/>
  <c r="H19" i="17"/>
  <c r="H56" i="17"/>
  <c r="H59" i="17"/>
  <c r="H43" i="17"/>
  <c r="H51" i="17"/>
  <c r="H44" i="17"/>
  <c r="H60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4" i="17" l="1"/>
  <c r="D34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7" i="17" l="1"/>
  <c r="D27" i="17" s="1"/>
  <c r="C59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3" i="17"/>
  <c r="C50" i="17"/>
  <c r="D50" i="17" s="1"/>
  <c r="C54" i="17" l="1"/>
  <c r="C37" i="17"/>
  <c r="C16" i="17"/>
  <c r="C19" i="17"/>
  <c r="D19" i="17" s="1"/>
  <c r="C26" i="17"/>
  <c r="C17" i="17"/>
  <c r="C9" i="17"/>
  <c r="D9" i="17" s="1"/>
  <c r="D6" i="17"/>
  <c r="C20" i="17"/>
  <c r="C53" i="17"/>
  <c r="C29" i="17"/>
  <c r="D29" i="17" s="1"/>
  <c r="D65" i="17" l="1"/>
  <c r="D14" i="17"/>
  <c r="D11" i="17"/>
  <c r="D12" i="17"/>
  <c r="D37" i="17"/>
  <c r="D63" i="17"/>
  <c r="D16" i="17"/>
  <c r="D28" i="17"/>
  <c r="D40" i="17"/>
  <c r="D26" i="17"/>
  <c r="D33" i="17"/>
  <c r="D20" i="17"/>
  <c r="D31" i="17"/>
  <c r="D17" i="17"/>
  <c r="D59" i="17"/>
  <c r="D47" i="17"/>
  <c r="D61" i="17"/>
  <c r="D54" i="17"/>
  <c r="D5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<sst xmlns="http://schemas.openxmlformats.org/spreadsheetml/2006/main" count="1830" uniqueCount="396">
  <si>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</si>
  <si>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</si>
  <si>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</si>
  <si>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</si>
  <si>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</si>
  <si>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</si>
  <si>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</si>
  <si>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</si>
  <si>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</si>
  <si>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</si>
  <si>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</si>
  <si>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</si>
  <si>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</si>
  <si>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</si>
  <si>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</si>
  <si>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</si>
  <si>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</si>
  <si>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</si>
  <si>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</si>
  <si>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</si>
  <si>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</si>
  <si>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</si>
  <si>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</si>
  <si>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</si>
  <si>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</si>
  <si>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</si>
  <si>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</si>
  <si>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</si>
  <si>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</si>
  <si>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</si>
  <si>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</si>
  <si>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</si>
  <si>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</si>
  <si>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</si>
  <si>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</si>
  <si>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</si>
  <si>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</si>
  <si>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</si>
  <si>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</si>
  <si>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</si>
  <si>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</si>
  <si>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</si>
  <si>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</si>
  <si>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</si>
  <si>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</si>
  <si>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</si>
  <si>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</si>
  <si>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</si>
  <si>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</si>
  <si>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</si>
  <si>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</si>
  <si>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</si>
  <si>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</si>
  <si>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</si>
  <si>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</si>
  <si>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</si>
  <si>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</si>
  <si>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</si>
  <si>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</si>
  <si>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</si>
  <si>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</si>
  <si>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</si>
  <si>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</si>
  <si>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</si>
  <si>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</si>
  <si>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</si>
  <si>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</si>
  <si>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</si>
  <si>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</si>
  <si>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</si>
  <si>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</si>
  <si>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</si>
  <si>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</si>
  <si>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</si>
  <si>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</si>
  <si>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</si>
  <si>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</si>
  <si>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BLOOM, Tristan</t>
  </si>
  <si>
    <t>Virtuose</t>
  </si>
  <si>
    <t>BURELLE-DUBOIS, Josué</t>
  </si>
  <si>
    <t>HARBO, Owen</t>
  </si>
  <si>
    <t>BOISSEAU, Nolann</t>
  </si>
  <si>
    <t>LEUNG, Theo</t>
  </si>
  <si>
    <t>ANDERSEN, Travis</t>
  </si>
  <si>
    <t>WYGIERA, Liam</t>
  </si>
  <si>
    <t>Viagym</t>
  </si>
  <si>
    <t>PINSK, Benjamin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</si>
  <si>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</si>
  <si>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</si>
  <si>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</si>
  <si>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</si>
  <si>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</si>
  <si>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</si>
  <si>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</si>
  <si>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</si>
  <si>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</si>
  <si>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COLLINSON, Brody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</si>
  <si>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</si>
  <si>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</si>
  <si>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</si>
  <si>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</si>
  <si>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</si>
  <si>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</si>
  <si>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</si>
  <si>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</si>
  <si>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JANEVSKI, Léa</t>
  </si>
  <si>
    <t>PIPKO, Halle</t>
  </si>
  <si>
    <t>SHAW, Avery</t>
  </si>
  <si>
    <t>BILTON, Tayte</t>
  </si>
  <si>
    <t>BURGESS, Sydni</t>
  </si>
  <si>
    <t>BROWN, Gabriella</t>
  </si>
  <si>
    <t>DUCHESNE, Livia</t>
  </si>
  <si>
    <t>Titans</t>
  </si>
  <si>
    <t>BOISSEAU, Mathilde</t>
  </si>
  <si>
    <t>GROVES, Chelsea</t>
  </si>
  <si>
    <t>GARRETT, Amy</t>
  </si>
  <si>
    <t>CROTEAU, Mathilde</t>
  </si>
  <si>
    <t>LOEHR, Hermione</t>
  </si>
  <si>
    <t>BECKETT, Aleisha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</si>
  <si>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</si>
  <si>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</si>
  <si>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</si>
  <si>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</si>
  <si>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</si>
  <si>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</si>
  <si>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</si>
  <si>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</si>
  <si>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KOTKAS, Katarina</t>
  </si>
  <si>
    <t>BECKETT, Lindsey</t>
  </si>
  <si>
    <t>HOWELL, Kayla</t>
  </si>
  <si>
    <t>MATTHEWS, Jared</t>
  </si>
  <si>
    <t>Quinte Bay</t>
  </si>
  <si>
    <t>GIBBS, Gavin</t>
  </si>
  <si>
    <t>Rideau</t>
  </si>
  <si>
    <t>LADEROUTE, Sam</t>
  </si>
  <si>
    <t>NEUFELD, Simon</t>
  </si>
  <si>
    <t>ZUREK, Nolan</t>
  </si>
  <si>
    <t>THOMPSON, Justin</t>
  </si>
  <si>
    <t>Oakville</t>
  </si>
  <si>
    <t>BURKHART, Sofia</t>
  </si>
  <si>
    <t>PELLETIER, Brooke</t>
  </si>
  <si>
    <t>WIEBE, Meghan</t>
  </si>
  <si>
    <t>PEPPER, Emily</t>
  </si>
  <si>
    <t>PARHAR, Jasmine</t>
  </si>
  <si>
    <t>BASTIEN, Rose</t>
  </si>
  <si>
    <t>BERG, Katie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</si>
  <si>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</si>
  <si>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</si>
  <si>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</si>
  <si>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</si>
  <si>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</si>
  <si>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</si>
  <si>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</si>
  <si>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</si>
  <si>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</si>
  <si>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</si>
  <si>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</si>
  <si>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</si>
  <si>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</si>
  <si>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</si>
  <si>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</si>
  <si>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</si>
  <si>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</si>
  <si>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</si>
  <si>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</si>
  <si>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</si>
  <si>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</si>
  <si>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</si>
  <si>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</si>
  <si>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</si>
  <si>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</si>
  <si>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WONG, Symeon</t>
  </si>
  <si>
    <t>VIAU, Nathan</t>
  </si>
  <si>
    <t>MERCIER, Loïc</t>
  </si>
  <si>
    <t>PROTEAU, Émile</t>
  </si>
  <si>
    <t>DODD, Gavin</t>
  </si>
  <si>
    <t>PROULX, Sarah-Kim</t>
  </si>
  <si>
    <t>LEPORÉ, Amylia</t>
  </si>
  <si>
    <t>GAWLEY, Kayley</t>
  </si>
  <si>
    <t>TURPIN, Cora</t>
  </si>
  <si>
    <t>BOURDAGES, Noémie</t>
  </si>
  <si>
    <t>HANNAH, Ashley</t>
  </si>
  <si>
    <t>CHEW, Keara</t>
  </si>
  <si>
    <t>MOUNTAIN, Dani</t>
  </si>
  <si>
    <t>KOCAK, Jonas</t>
  </si>
  <si>
    <t>MORRISON, Xavier</t>
  </si>
  <si>
    <t>PETERS, Lane</t>
  </si>
  <si>
    <t>BRIDEAUX, Ella</t>
  </si>
  <si>
    <t>FUNK, Heidi</t>
  </si>
  <si>
    <t>CHEW, Makena</t>
  </si>
  <si>
    <t>NEWMAN, Olivia</t>
  </si>
  <si>
    <t>STOBBE, Brooklyn</t>
  </si>
  <si>
    <t>GOYETTE, Lianne</t>
  </si>
  <si>
    <t>IBACH, Sam</t>
  </si>
  <si>
    <t>LOISELLE, Hector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</si>
  <si>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</si>
  <si>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</si>
  <si>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</si>
  <si>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</si>
  <si>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</si>
  <si>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</si>
  <si>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</si>
  <si>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</si>
  <si>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</si>
  <si>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</si>
  <si>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</si>
  <si>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</si>
  <si>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NEWMAN, Ava</t>
  </si>
  <si>
    <t>WILLIMOTT, Amy</t>
  </si>
  <si>
    <t>NELSON, Mackenzie</t>
  </si>
  <si>
    <t>KWASNIAK, Alicja</t>
  </si>
  <si>
    <t>GOODMAN, Fleur</t>
  </si>
  <si>
    <t>NOVOTNY, Ella</t>
  </si>
  <si>
    <t>MOBORG, Reese</t>
  </si>
  <si>
    <t>ALDOUS, Addison</t>
  </si>
  <si>
    <t>Airdrie Edge</t>
  </si>
  <si>
    <t>Helios</t>
  </si>
  <si>
    <t>Grand River</t>
  </si>
  <si>
    <t>Les Hirondelles</t>
  </si>
  <si>
    <t>Tumblers</t>
  </si>
  <si>
    <t>GLOWACKI, Oskar</t>
  </si>
  <si>
    <t>JENKINSON, Bentley</t>
  </si>
  <si>
    <t>BANNER, Max</t>
  </si>
  <si>
    <t>AZARKIEWICZ, Gage</t>
  </si>
  <si>
    <t>JANEVSKI &amp; WILLIMOTT</t>
  </si>
  <si>
    <t>ALDOUS &amp; MOBORG</t>
  </si>
  <si>
    <t>KUZNAK &amp; SCHMIDT</t>
  </si>
  <si>
    <t>DYKMAN, Matvey</t>
  </si>
  <si>
    <t>SAWATZKY, Kait</t>
  </si>
  <si>
    <t>KIRAT, Ma'ayan</t>
  </si>
  <si>
    <t>WEATHERHEAD, Freya</t>
  </si>
  <si>
    <t>OLSEN, Brooklyn</t>
  </si>
  <si>
    <t>RYGA, Ruby</t>
  </si>
  <si>
    <t>PHANEUF, Zoe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</si>
  <si>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</si>
  <si>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</si>
  <si>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</si>
  <si>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</si>
  <si>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</si>
  <si>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</si>
  <si>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</si>
  <si>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</si>
  <si>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</si>
  <si>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</si>
  <si>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ANDERSEN &amp; BERKENBOSCH</t>
  </si>
  <si>
    <t>BLOOM &amp; ROBERTSON</t>
  </si>
  <si>
    <t>GARRETT &amp; HANNAH</t>
  </si>
  <si>
    <t>GOOD &amp; LEE-MCMEEKEN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</si>
  <si>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</si>
  <si>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</si>
  <si>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</si>
  <si>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</si>
  <si>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</si>
  <si>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</si>
  <si>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</si>
  <si>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</si>
  <si>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</si>
  <si>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NOSSACK, Sophie</t>
  </si>
  <si>
    <t>VAN BALKOM, Marlee</t>
  </si>
  <si>
    <t>MALO, Chantel</t>
  </si>
  <si>
    <t>CHENG, Mia</t>
  </si>
  <si>
    <t>SKJODT, Sophie</t>
  </si>
  <si>
    <t>BROOKER, Aubree</t>
  </si>
  <si>
    <t>MCALESSE, Taegan</t>
  </si>
  <si>
    <t>HEAD-MORENO, Bianca</t>
  </si>
  <si>
    <t>CABAK, Anezka</t>
  </si>
  <si>
    <t>PACE, Julia</t>
  </si>
  <si>
    <t>ALBERT, Audrey</t>
  </si>
  <si>
    <t>LECLAIR, Marinèle</t>
  </si>
  <si>
    <t>GROSZ, Mya</t>
  </si>
  <si>
    <t>GRANT, Sienna</t>
  </si>
  <si>
    <t>GRAHAM, Rebecca</t>
  </si>
  <si>
    <t>MCCALLUM, Megan</t>
  </si>
  <si>
    <t>NIKODYM, Emily</t>
  </si>
  <si>
    <t>SLUGA, Arianna</t>
  </si>
  <si>
    <t>ROGERS, Mya</t>
  </si>
  <si>
    <t>SANDERSON, Aurora</t>
  </si>
  <si>
    <t>Futures</t>
  </si>
  <si>
    <t>Twisters</t>
  </si>
  <si>
    <t>Ottawa</t>
  </si>
  <si>
    <t>VAN ESSEN, Oliver</t>
  </si>
  <si>
    <t>LABELLE, Olivier</t>
  </si>
  <si>
    <t>STANG, Nathan</t>
  </si>
  <si>
    <t>MICHALSKI, Rylan</t>
  </si>
  <si>
    <t>ROBINSON, Wyatt</t>
  </si>
  <si>
    <t>MACDOUGALL, Kira</t>
  </si>
  <si>
    <t>WEHAGE, Miley</t>
  </si>
  <si>
    <t>CANN, Jackson</t>
  </si>
  <si>
    <t>WILSON, Carter</t>
  </si>
  <si>
    <t>Athletics GA</t>
  </si>
  <si>
    <t>RESCHKE, Lina</t>
  </si>
  <si>
    <t>MALONE, Katie</t>
  </si>
  <si>
    <t>SKJODT, Sage</t>
  </si>
  <si>
    <t>FRIESEN, Declyn</t>
  </si>
  <si>
    <t>NELSON, Cooper</t>
  </si>
  <si>
    <t>OUGHTRED, Max</t>
  </si>
  <si>
    <t>BITTNER, Kennedy</t>
  </si>
  <si>
    <t>MCLEOD, Aaron</t>
  </si>
  <si>
    <t>COLLINS, Jefery</t>
  </si>
  <si>
    <t>RENOU, Brayden</t>
  </si>
  <si>
    <t>YAMINE, Lorenzo</t>
  </si>
  <si>
    <t>FUDGE, Benjamin</t>
  </si>
  <si>
    <t>ULMER, Lily-ann</t>
  </si>
  <si>
    <t>STANNARD, Adam</t>
  </si>
  <si>
    <t>SCIBERRAS, Annelle</t>
  </si>
  <si>
    <t>MOSIER, Bella</t>
  </si>
  <si>
    <t>CAMMAART, Gabby</t>
  </si>
  <si>
    <t>KAUFMANN, Vivian</t>
  </si>
  <si>
    <t>SCALES, Reese</t>
  </si>
  <si>
    <t>KURSOVA, Anastasia</t>
  </si>
  <si>
    <t>Pulsars</t>
  </si>
  <si>
    <t>Flippers</t>
  </si>
  <si>
    <t>LEARY, Addison</t>
  </si>
  <si>
    <t>STEFURA, Kenadie</t>
  </si>
  <si>
    <t>Aerials</t>
  </si>
  <si>
    <t>BOURGAULT-FOURNIER, Alexis</t>
  </si>
  <si>
    <t>BROWNELL, Aiden</t>
  </si>
  <si>
    <t>BING-L'HEUREUX, Noah</t>
  </si>
  <si>
    <t>FORTINO, Louis</t>
  </si>
  <si>
    <t>CAHILL, Benjamin</t>
  </si>
  <si>
    <t>TROYAN (UKRAINE), Maksym</t>
  </si>
  <si>
    <t>CAMPBELL, Alexander</t>
  </si>
  <si>
    <t>MORNEAU, Benjamin</t>
  </si>
  <si>
    <t>CREALLY, Joe</t>
  </si>
  <si>
    <t>SWIFT, Max</t>
  </si>
  <si>
    <t>LANQUETIN, Yannick</t>
  </si>
  <si>
    <t>BONDY, Philippe</t>
  </si>
  <si>
    <t>GUNSON, Keith</t>
  </si>
  <si>
    <t>RAYNER, Kiran</t>
  </si>
  <si>
    <t>Saskatchewan</t>
  </si>
  <si>
    <t>THACKERAY, Nyla</t>
  </si>
  <si>
    <t>CANCELLIERE, Malia</t>
  </si>
  <si>
    <t>WELDON, Maya</t>
  </si>
  <si>
    <t>ROCKARTS, Laine</t>
  </si>
  <si>
    <t>ROCKARTS, Jensen</t>
  </si>
  <si>
    <t>BENOIT, Alyssa</t>
  </si>
  <si>
    <t>SCHAERLI, Jasmine</t>
  </si>
  <si>
    <t>FAINSTAT, Lara</t>
  </si>
  <si>
    <t>MACKAY, Gwen</t>
  </si>
  <si>
    <t>LABRIE, Arianne</t>
  </si>
  <si>
    <t>TRITES, Emily</t>
  </si>
  <si>
    <t>CONWAY, Lauryn</t>
  </si>
  <si>
    <t>Zénith</t>
  </si>
  <si>
    <t>Defy(n)ing Gravity</t>
  </si>
  <si>
    <t>FUDGE &amp; SWIFT</t>
  </si>
  <si>
    <t>CAHILL &amp; MORNEAU</t>
  </si>
  <si>
    <t>CAMPBELL &amp; JENKINSON</t>
  </si>
  <si>
    <t>BONDY &amp; FORTINO</t>
  </si>
  <si>
    <t>AZARKIEWICZ &amp; BROWNELL</t>
  </si>
  <si>
    <t>BEAULIEU &amp; BOURGAULT-FOURNIER</t>
  </si>
  <si>
    <t>KOCAK &amp; MALLAIS</t>
  </si>
  <si>
    <t>LANQUETIN &amp; MICHALSKI</t>
  </si>
  <si>
    <t>CLOUTIER &amp; VIAU</t>
  </si>
  <si>
    <t>GIBBS &amp; ZUREK</t>
  </si>
  <si>
    <t>D'HONDT &amp; MEYER</t>
  </si>
  <si>
    <t>ROCKARTS &amp; ROCKARTS</t>
  </si>
  <si>
    <t>MACKAY &amp; TRITES</t>
  </si>
  <si>
    <t>LOEHR &amp; SANDERSON</t>
  </si>
  <si>
    <t>GROSZ &amp; SLUGA</t>
  </si>
  <si>
    <t>GROVES &amp; MCALESSE</t>
  </si>
  <si>
    <t>CABAK &amp; NIKODYM</t>
  </si>
  <si>
    <t>KWASNIAK &amp; PELLETIER</t>
  </si>
  <si>
    <t>BOISSEAU &amp; BOURDAGES</t>
  </si>
  <si>
    <t>SCHAERLI &amp; ST-PIERRE-LEPITRE</t>
  </si>
  <si>
    <t>MALO &amp; SCHMIDT</t>
  </si>
  <si>
    <t>NOVOTNY &amp; WEATHERHEAD</t>
  </si>
  <si>
    <t>PIPKO &amp; THACKERAY</t>
  </si>
  <si>
    <t>ALBERT &amp; LEPORÉ</t>
  </si>
  <si>
    <t>BONNE &amp; ROY</t>
  </si>
  <si>
    <t>MCFARLANE, Michael</t>
  </si>
  <si>
    <t>BERGER, Ophélie</t>
  </si>
  <si>
    <t>BISHOP, Seija</t>
  </si>
  <si>
    <t>KOUTROULIDES, Kensey</t>
  </si>
  <si>
    <t>TRAPSA, Livia</t>
  </si>
  <si>
    <t>BEIRAM, Évita</t>
  </si>
  <si>
    <t>GAZDAR, Natasha</t>
  </si>
  <si>
    <t>MATHIEU, Angéline</t>
  </si>
  <si>
    <t>BILODEAU, Lee-Ann</t>
  </si>
  <si>
    <t>BELBECK, Holly</t>
  </si>
  <si>
    <t>ASHLEY, Hayden</t>
  </si>
  <si>
    <t>COURTEMANCHE, Sophie</t>
  </si>
  <si>
    <t>BEAUDIN, Victoria</t>
  </si>
  <si>
    <t>PELOQUIN, Léa</t>
  </si>
  <si>
    <t>Toronto Premier</t>
  </si>
  <si>
    <t>DUBUC, Gabriel</t>
  </si>
  <si>
    <t>LITTLEJOHN, Ben</t>
  </si>
  <si>
    <t>KISKO, Roman</t>
  </si>
  <si>
    <t>2024 Elite Canada</t>
  </si>
  <si>
    <t>Q1 Bonus</t>
  </si>
  <si>
    <t>Finals Bonus</t>
  </si>
  <si>
    <t>Best Round (Bonus Removed)</t>
  </si>
  <si>
    <t>Best Other Round (Bonus Removed)</t>
  </si>
  <si>
    <t>BOWDITCH, Courtney</t>
  </si>
  <si>
    <t>JACKSON, Claire</t>
  </si>
  <si>
    <t>LUPISH, Kieran</t>
  </si>
  <si>
    <t>CANUEL,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</si>
</sst>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_xlfn.IFNA(INDEX('SYN-M'!C$3:C$16,MATCH(1,(C66='SYN-M'!A$3:A$16)*(B66='SYN-M'!H$3:H$16),0)),"")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_xlfn.IFNA(INDEX('SYN-M'!C$3:C$16,MATCH(1,(C67='SYN-M'!A$3:A$16)*(B67='SYN-M'!H$3:H$16),0)),"")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_xlfn.IFNA(INDEX('SYN-M'!C$3:C$16,MATCH(1,(C68='SYN-M'!A$3:A$16)*(B68='SYN-M'!H$3:H$16),0)),"")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_xlfn.IFNA(INDEX('SYN-M'!C$3:C$16,MATCH(1,(C69='SYN-M'!A$3:A$16)*(B69='SYN-M'!H$3:H$16),0)),"")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_xlfn.IFNA(INDEX('SYN-M'!C$3:C$16,MATCH(1,(C70='SYN-M'!A$3:A$16)*(B70='SYN-M'!H$3:H$16),0)),"")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_xlfn.IFNA(INDEX('SYN-M'!C$3:C$16,MATCH(1,(C71='SYN-M'!A$3:A$16)*(B71='SYN-M'!H$3:H$16),0)),"")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_xlfn.IFNA(INDEX('SYN-M'!C$3:C$16,MATCH(1,(C72='SYN-M'!A$3:A$16)*(B72='SYN-M'!H$3:H$16),0)),"")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_xlfn.IFNA(INDEX('SYN-M'!C$3:C$16,MATCH(1,(C73='SYN-M'!A$3:A$16)*(B73='SYN-M'!H$3:H$16),0)),"")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_xlfn.IFNA(INDEX('SYN-M'!C$3:C$16,MATCH(1,(C74='SYN-M'!A$3:A$16)*(B74='SYN-M'!H$3:H$16),0)),"")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_xlfn.IFNA(INDEX('SYN-M'!C$3:C$16,MATCH(1,(C75='SYN-M'!A$3:A$16)*(B75='SYN-M'!H$3:H$16),0)),"")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_xlfn.IFNA(INDEX('SYN-M'!C$3:C$16,MATCH(1,(C76='SYN-M'!A$3:A$16)*(B76='SYN-M'!H$3:H$16),0)),"")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_xlfn.IFNA(INDEX('SYN-M'!C$3:C$16,MATCH(1,(C77='SYN-M'!A$3:A$16)*(B77='SYN-M'!H$3:H$16),0)),"")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_xlfn.IFNA(INDEX('SYN-M'!C$3:C$16,MATCH(1,(C78='SYN-M'!A$3:A$16)*(B78='SYN-M'!H$3:H$16),0)),"")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_xlfn.IFNA(INDEX('SYN-M'!C$3:C$16,MATCH(1,(C79='SYN-M'!A$3:A$16)*(B79='SYN-M'!H$3:H$16),0)),"")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_xlfn.IFNA(INDEX('SYN-M'!C$3:C$16,MATCH(1,(C80='SYN-M'!A$3:A$16)*(B80='SYN-M'!H$3:H$16),0)),"")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_xlfn.IFNA(INDEX('SYN-M'!C$3:C$16,MATCH(1,(C81='SYN-M'!A$3:A$16)*(B81='SYN-M'!H$3:H$16),0)),"")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_xlfn.IFNA(INDEX('SYN-W'!C$3:C$22,MATCH(1,(C82='SYN-W'!A$3:A$22)*(B82='SYN-W'!H$3:H$22),0)),"")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_xlfn.IFNA(INDEX('SYN-W'!C$3:C$22,MATCH(1,(C83='SYN-W'!A$3:A$22)*(B83='SYN-W'!H$3:H$22),0)),"")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_xlfn.IFNA(INDEX('SYN-W'!C$3:C$22,MATCH(1,(C84='SYN-W'!A$3:A$22)*(B84='SYN-W'!H$3:H$22),0)),"")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_xlfn.IFNA(INDEX('SYN-W'!C$3:C$22,MATCH(1,(C85='SYN-W'!A$3:A$22)*(B85='SYN-W'!H$3:H$22),0)),"")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_xlfn.IFNA(INDEX('SYN-W'!C$3:C$22,MATCH(1,(C86='SYN-W'!A$3:A$22)*(B86='SYN-W'!H$3:H$22),0)),"")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_xlfn.IFNA(INDEX('SYN-W'!C$3:C$22,MATCH(1,(C87='SYN-W'!A$3:A$22)*(B87='SYN-W'!H$3:H$22),0)),"")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_xlfn.IFNA(INDEX('SYN-W'!C$3:C$22,MATCH(1,(C88='SYN-W'!A$3:A$22)*(B88='SYN-W'!H$3:H$22),0)),"")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_xlfn.IFNA(INDEX('SYN-W'!C$3:C$22,MATCH(1,(C89='SYN-W'!A$3:A$22)*(B89='SYN-W'!H$3:H$22),0)),"")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_xlfn.IFNA(INDEX('SYN-W'!C$3:C$22,MATCH(1,(C90='SYN-W'!A$3:A$22)*(B90='SYN-W'!H$3:H$22),0)),"")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_xlfn.IFNA(INDEX('SYN-W'!C$3:C$22,MATCH(1,(C91='SYN-W'!A$3:A$22)*(B91='SYN-W'!H$3:H$22),0)),"")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_xlfn.IFNA(INDEX('SYN-W'!C$3:C$22,MATCH(1,(C92='SYN-W'!A$3:A$22)*(B92='SYN-W'!H$3:H$22),0)),"")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_xlfn.IFNA(INDEX('SYN-W'!C$3:C$22,MATCH(1,(C93='SYN-W'!A$3:A$22)*(B93='SYN-W'!H$3:H$22),0)),"")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_xlfn.IFNA(INDEX('SYN-W'!C$3:C$22,MATCH(1,(C94='SYN-W'!A$3:A$22)*(B94='SYN-W'!H$3:H$22),0)),"")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_xlfn.IFNA(INDEX('SYN-W'!C$3:C$22,MATCH(1,(C95='SYN-W'!A$3:A$22)*(B95='SYN-W'!H$3:H$22),0)),"")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_xlfn.IFNA(INDEX('SYN-W'!C$3:C$22,MATCH(1,(C96='SYN-W'!A$3:A$22)*(B96='SYN-W'!H$3:H$22),0)),"")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_xlfn.IFNA(INDEX('SYN-W'!C$3:C$22,MATCH(1,(C97='SYN-W'!A$3:A$22)*(B97='SYN-W'!H$3:H$22),0)),"")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_xlfn.IFNA(INDEX('DMT-M'!C$3:C$58,MATCH(1,(C98='DMT-M'!A$3:A$58)*(B98='DMT-M'!G$3:G$58),0)),"")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_xlfn.IFNA(INDEX('DMT-M'!C$3:C$58,MATCH(1,(C99='DMT-M'!A$3:A$58)*(B99='DMT-M'!G$3:G$58),0)),"")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_xlfn.IFNA(INDEX('DMT-M'!C$3:C$58,MATCH(1,(C100='DMT-M'!A$3:A$58)*(B100='DMT-M'!G$3:G$58),0)),"")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_xlfn.IFNA(INDEX('DMT-M'!C$3:C$58,MATCH(1,(C101='DMT-M'!A$3:A$58)*(B101='DMT-M'!G$3:G$58),0)),"")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_xlfn.IFNA(INDEX('DMT-M'!C$3:C$58,MATCH(1,(C102='DMT-M'!A$3:A$58)*(B102='DMT-M'!G$3:G$58),0)),"")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_xlfn.IFNA(INDEX('DMT-M'!C$3:C$58,MATCH(1,(C103='DMT-M'!A$3:A$58)*(B103='DMT-M'!G$3:G$58),0)),"")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_xlfn.IFNA(INDEX('DMT-M'!C$3:C$58,MATCH(1,(C104='DMT-M'!A$3:A$58)*(B104='DMT-M'!G$3:G$58),0)),"")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_xlfn.IFNA(INDEX('DMT-M'!C$3:C$58,MATCH(1,(C105='DMT-M'!A$3:A$58)*(B105='DMT-M'!G$3:G$58),0)),"")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_xlfn.IFNA(INDEX('DMT-M'!C$3:C$58,MATCH(1,(C106='DMT-M'!A$3:A$58)*(B106='DMT-M'!G$3:G$58),0)),"")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_xlfn.IFNA(INDEX('DMT-M'!C$3:C$58,MATCH(1,(C107='DMT-M'!A$3:A$58)*(B107='DMT-M'!G$3:G$58),0)),"")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_xlfn.IFNA(INDEX('DMT-M'!C$3:C$58,MATCH(1,(C108='DMT-M'!A$3:A$58)*(B108='DMT-M'!G$3:G$58),0)),"")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_xlfn.IFNA(INDEX('DMT-M'!C$3:C$58,MATCH(1,(C109='DMT-M'!A$3:A$58)*(B109='DMT-M'!G$3:G$58),0)),"")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_xlfn.IFNA(INDEX('DMT-M'!C$3:C$58,MATCH(1,(C110='DMT-M'!A$3:A$58)*(B110='DMT-M'!G$3:G$58),0)),"")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_xlfn.IFNA(INDEX('DMT-M'!C$3:C$58,MATCH(1,(C111='DMT-M'!A$3:A$58)*(B111='DMT-M'!G$3:G$58),0)),"")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_xlfn.IFNA(INDEX('DMT-M'!C$3:C$58,MATCH(1,(C112='DMT-M'!A$3:A$58)*(B112='DMT-M'!G$3:G$58),0)),"")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_xlfn.IFNA(INDEX('DMT-M'!C$3:C$58,MATCH(1,(C113='DMT-M'!A$3:A$58)*(B113='DMT-M'!G$3:G$58),0)),"")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_xlfn.IFNA(INDEX('DMT-M'!C$3:C$58,MATCH(1,(C114='DMT-M'!A$3:A$58)*(B114='DMT-M'!G$3:G$58),0)),"")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_xlfn.IFNA(INDEX('DMT-M'!C$3:C$58,MATCH(1,(C115='DMT-M'!A$3:A$58)*(B115='DMT-M'!G$3:G$58),0)),"")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_xlfn.IFNA(INDEX('DMT-M'!C$3:C$58,MATCH(1,(C116='DMT-M'!A$3:A$58)*(B116='DMT-M'!G$3:G$58),0)),"")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_xlfn.IFNA(INDEX('DMT-M'!C$3:C$58,MATCH(1,(C117='DMT-M'!A$3:A$58)*(B117='DMT-M'!G$3:G$58),0)),"")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_xlfn.IFNA(INDEX('DMT-M'!C$3:C$58,MATCH(1,(C118='DMT-M'!A$3:A$58)*(B118='DMT-M'!G$3:G$58),0)),"")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_xlfn.IFNA(INDEX('DMT-M'!C$3:C$58,MATCH(1,(C119='DMT-M'!A$3:A$58)*(B119='DMT-M'!G$3:G$58),0)),"")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_xlfn.IFNA(INDEX('DMT-M'!C$3:C$58,MATCH(1,(C120='DMT-M'!A$3:A$58)*(B120='DMT-M'!G$3:G$58),0)),"")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_xlfn.IFNA(INDEX('DMT-M'!C$3:C$58,MATCH(1,(C121='DMT-M'!A$3:A$58)*(B121='DMT-M'!G$3:G$58),0)),"")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_xlfn.IFNA(INDEX('DMT-M'!C$3:C$58,MATCH(1,(C122='DMT-M'!A$3:A$58)*(B122='DMT-M'!G$3:G$58),0)),"")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_xlfn.IFNA(INDEX('DMT-M'!C$3:C$58,MATCH(1,(C123='DMT-M'!A$3:A$58)*(B123='DMT-M'!G$3:G$58),0)),"")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_xlfn.IFNA(INDEX('DMT-M'!C$3:C$58,MATCH(1,(C124='DMT-M'!A$3:A$58)*(B124='DMT-M'!G$3:G$58),0)),"")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_xlfn.IFNA(INDEX('DMT-M'!C$3:C$58,MATCH(1,(C125='DMT-M'!A$3:A$58)*(B125='DMT-M'!G$3:G$58),0)),"")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_xlfn.IFNA(INDEX('DMT-M'!C$3:C$58,MATCH(1,(C126='DMT-M'!A$3:A$58)*(B126='DMT-M'!G$3:G$58),0)),"")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_xlfn.IFNA(INDEX('DMT-M'!C$3:C$58,MATCH(1,(C127='DMT-M'!A$3:A$58)*(B127='DMT-M'!G$3:G$58),0)),"")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_xlfn.IFNA(INDEX('DMT-M'!C$3:C$58,MATCH(1,(C128='DMT-M'!A$3:A$58)*(B128='DMT-M'!G$3:G$58),0)),"")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_xlfn.IFNA(INDEX('DMT-M'!C$3:C$58,MATCH(1,(C129='DMT-M'!A$3:A$58)*(B129='DMT-M'!G$3:G$58),0)),"")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_xlfn.IFNA(INDEX('DMT-W'!C$3:C$68,MATCH(1,(C130='DMT-W'!A$3:A$68)*(B130='DMT-W'!G$3:G$68),0)),"")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_xlfn.IFNA(INDEX('DMT-W'!C$3:C$68,MATCH(1,(C131='DMT-W'!A$3:A$68)*(B131='DMT-W'!G$3:G$68),0)),"")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_xlfn.IFNA(INDEX('DMT-W'!C$3:C$68,MATCH(1,(C132='DMT-W'!A$3:A$68)*(B132='DMT-W'!G$3:G$68),0)),"")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_xlfn.IFNA(INDEX('DMT-W'!C$3:C$68,MATCH(1,(C133='DMT-W'!A$3:A$68)*(B133='DMT-W'!G$3:G$68),0)),"")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_xlfn.IFNA(INDEX('DMT-W'!C$3:C$68,MATCH(1,(C134='DMT-W'!A$3:A$68)*(B134='DMT-W'!G$3:G$68),0)),"")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_xlfn.IFNA(INDEX('DMT-W'!C$3:C$68,MATCH(1,(C135='DMT-W'!A$3:A$68)*(B135='DMT-W'!G$3:G$68),0)),"")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_xlfn.IFNA(INDEX('DMT-W'!C$3:C$68,MATCH(1,(C136='DMT-W'!A$3:A$68)*(B136='DMT-W'!G$3:G$68),0)),"")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_xlfn.IFNA(INDEX('DMT-W'!C$3:C$68,MATCH(1,(C137='DMT-W'!A$3:A$68)*(B137='DMT-W'!G$3:G$68),0)),"")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_xlfn.IFNA(INDEX('DMT-W'!C$3:C$68,MATCH(1,(C138='DMT-W'!A$3:A$68)*(B138='DMT-W'!G$3:G$68),0)),"")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_xlfn.IFNA(INDEX('DMT-W'!C$3:C$68,MATCH(1,(C139='DMT-W'!A$3:A$68)*(B139='DMT-W'!G$3:G$68),0)),"")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_xlfn.IFNA(INDEX('DMT-W'!C$3:C$68,MATCH(1,(C140='DMT-W'!A$3:A$68)*(B140='DMT-W'!G$3:G$68),0)),"")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_xlfn.IFNA(INDEX('DMT-W'!C$3:C$68,MATCH(1,(C141='DMT-W'!A$3:A$68)*(B141='DMT-W'!G$3:G$68),0)),"")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_xlfn.IFNA(INDEX('DMT-W'!C$3:C$68,MATCH(1,(C142='DMT-W'!A$3:A$68)*(B142='DMT-W'!G$3:G$68),0)),"")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_xlfn.IFNA(INDEX('DMT-W'!C$3:C$68,MATCH(1,(C143='DMT-W'!A$3:A$68)*(B143='DMT-W'!G$3:G$68),0)),"")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_xlfn.IFNA(INDEX('DMT-W'!C$3:C$68,MATCH(1,(C144='DMT-W'!A$3:A$68)*(B144='DMT-W'!G$3:G$68),0)),"")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_xlfn.IFNA(INDEX('DMT-W'!C$3:C$68,MATCH(1,(C145='DMT-W'!A$3:A$68)*(B145='DMT-W'!G$3:G$68),0)),"")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_xlfn.IFNA(INDEX('DMT-W'!C$3:C$68,MATCH(1,(C146='DMT-W'!A$3:A$68)*(B146='DMT-W'!G$3:G$68),0)),"")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_xlfn.IFNA(INDEX('DMT-W'!C$3:C$68,MATCH(1,(C147='DMT-W'!A$3:A$68)*(B147='DMT-W'!G$3:G$68),0)),"")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_xlfn.IFNA(INDEX('DMT-W'!C$3:C$68,MATCH(1,(C148='DMT-W'!A$3:A$68)*(B148='DMT-W'!G$3:G$68),0)),"")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_xlfn.IFNA(INDEX('DMT-W'!C$3:C$68,MATCH(1,(C149='DMT-W'!A$3:A$68)*(B149='DMT-W'!G$3:G$68),0)),"")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_xlfn.IFNA(INDEX('DMT-W'!C$3:C$68,MATCH(1,(C150='DMT-W'!A$3:A$68)*(B150='DMT-W'!G$3:G$68),0)),"")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_xlfn.IFNA(INDEX('DMT-W'!C$3:C$68,MATCH(1,(C151='DMT-W'!A$3:A$68)*(B151='DMT-W'!G$3:G$68),0)),"")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_xlfn.IFNA(INDEX('DMT-W'!C$3:C$68,MATCH(1,(C152='DMT-W'!A$3:A$68)*(B152='DMT-W'!G$3:G$68),0)),"")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_xlfn.IFNA(INDEX('DMT-W'!C$3:C$68,MATCH(1,(C153='DMT-W'!A$3:A$68)*(B153='DMT-W'!G$3:G$68),0)),"")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_xlfn.IFNA(INDEX('DMT-W'!C$3:C$68,MATCH(1,(C154='DMT-W'!A$3:A$68)*(B154='DMT-W'!G$3:G$68),0)),"")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_xlfn.IFNA(INDEX('DMT-W'!C$3:C$68,MATCH(1,(C155='DMT-W'!A$3:A$68)*(B155='DMT-W'!G$3:G$68),0)),"")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_xlfn.IFNA(INDEX('DMT-W'!C$3:C$68,MATCH(1,(C156='DMT-W'!A$3:A$68)*(B156='DMT-W'!G$3:G$68),0)),"")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_xlfn.IFNA(INDEX('DMT-W'!C$3:C$68,MATCH(1,(C157='DMT-W'!A$3:A$68)*(B157='DMT-W'!G$3:G$68),0)),"")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_xlfn.IFNA(INDEX('DMT-W'!C$3:C$68,MATCH(1,(C158='DMT-W'!A$3:A$68)*(B158='DMT-W'!G$3:G$68),0)),"")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_xlfn.IFNA(INDEX('DMT-W'!C$3:C$68,MATCH(1,(C159='DMT-W'!A$3:A$68)*(B159='DMT-W'!G$3:G$68),0)),"")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_xlfn.IFNA(INDEX('DMT-W'!C$3:C$68,MATCH(1,(C160='DMT-W'!A$3:A$68)*(B160='DMT-W'!G$3:G$68),0)),"")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_xlfn.IFNA(INDEX('DMT-W'!C$3:C$68,MATCH(1,(C161='DMT-W'!A$3:A$68)*(B161='DMT-W'!G$3:G$68),0)),"")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_xlfn.IFNA(INDEX('TUM-M'!C$3:C$27,MATCH(1,(C162='TUM-M'!A$3:A$27)*(B162='TUM-M'!G$3:G$27),0)),"")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_xlfn.IFNA(INDEX('TUM-M'!C$3:C$27,MATCH(1,(C163='TUM-M'!A$3:A$27)*(B163='TUM-M'!G$3:G$27),0)),"")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_xlfn.IFNA(INDEX('TUM-M'!C$3:C$27,MATCH(1,(C164='TUM-M'!A$3:A$27)*(B164='TUM-M'!G$3:G$27),0)),"")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_xlfn.IFNA(INDEX('TUM-M'!C$3:C$27,MATCH(1,(C165='TUM-M'!A$3:A$27)*(B165='TUM-M'!G$3:G$27),0)),"")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_xlfn.IFNA(INDEX('TUM-M'!C$3:C$27,MATCH(1,(C166='TUM-M'!A$3:A$27)*(B166='TUM-M'!G$3:G$27),0)),"")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_xlfn.IFNA(INDEX('TUM-M'!C$3:C$27,MATCH(1,(C167='TUM-M'!A$3:A$27)*(B167='TUM-M'!G$3:G$27),0)),"")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_xlfn.IFNA(INDEX('TUM-M'!C$3:C$27,MATCH(1,(C168='TUM-M'!A$3:A$27)*(B168='TUM-M'!G$3:G$27),0)),"")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_xlfn.IFNA(INDEX('TUM-M'!C$3:C$27,MATCH(1,(C169='TUM-M'!A$3:A$27)*(B169='TUM-M'!G$3:G$27),0)),"")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_xlfn.IFNA(INDEX('TUM-M'!C$3:C$27,MATCH(1,(C170='TUM-M'!A$3:A$27)*(B170='TUM-M'!G$3:G$27),0)),"")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_xlfn.IFNA(INDEX('TUM-M'!C$3:C$27,MATCH(1,(C171='TUM-M'!A$3:A$27)*(B171='TUM-M'!G$3:G$27),0)),"")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_xlfn.IFNA(INDEX('TUM-M'!C$3:C$27,MATCH(1,(C172='TUM-M'!A$3:A$27)*(B172='TUM-M'!G$3:G$27),0)),"")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_xlfn.IFNA(INDEX('TUM-M'!C$3:C$27,MATCH(1,(C173='TUM-M'!A$3:A$27)*(B173='TUM-M'!G$3:G$27),0)),"")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_xlfn.IFNA(INDEX('TUM-M'!C$3:C$27,MATCH(1,(C174='TUM-M'!A$3:A$27)*(B174='TUM-M'!G$3:G$27),0)),"")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_xlfn.IFNA(INDEX('TUM-M'!C$3:C$27,MATCH(1,(C175='TUM-M'!A$3:A$27)*(B175='TUM-M'!G$3:G$27),0)),"")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_xlfn.IFNA(INDEX('TUM-M'!C$3:C$27,MATCH(1,(C176='TUM-M'!A$3:A$27)*(B176='TUM-M'!G$3:G$27),0)),"")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_xlfn.IFNA(INDEX('TUM-M'!C$3:C$27,MATCH(1,(C177='TUM-M'!A$3:A$27)*(B177='TUM-M'!G$3:G$27),0)),"")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_xlfn.IFNA(INDEX('TUM-M'!C$3:C$27,MATCH(1,(C178='TUM-M'!A$3:A$27)*(B178='TUM-M'!G$3:G$27),0)),"")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_xlfn.IFNA(INDEX('TUM-M'!C$3:C$27,MATCH(1,(C179='TUM-M'!A$3:A$27)*(B179='TUM-M'!G$3:G$27),0)),"")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_xlfn.IFNA(INDEX('TUM-M'!C$3:C$27,MATCH(1,(C180='TUM-M'!A$3:A$27)*(B180='TUM-M'!G$3:G$27),0)),"")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_xlfn.IFNA(INDEX('TUM-M'!C$3:C$27,MATCH(1,(C181='TUM-M'!A$3:A$27)*(B181='TUM-M'!G$3:G$27),0)),"")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_xlfn.IFNA(INDEX('TUM-M'!C$3:C$27,MATCH(1,(C182='TUM-M'!A$3:A$27)*(B182='TUM-M'!G$3:G$27),0)),"")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_xlfn.IFNA(INDEX('TUM-M'!C$3:C$27,MATCH(1,(C183='TUM-M'!A$3:A$27)*(B183='TUM-M'!G$3:G$27),0)),"")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_xlfn.IFNA(INDEX('TUM-M'!C$3:C$27,MATCH(1,(C184='TUM-M'!A$3:A$27)*(B184='TUM-M'!G$3:G$27),0)),"")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_xlfn.IFNA(INDEX('TUM-M'!C$3:C$27,MATCH(1,(C185='TUM-M'!A$3:A$27)*(B185='TUM-M'!G$3:G$27),0)),"")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_xlfn.IFNA(INDEX('TUM-M'!C$3:C$27,MATCH(1,(C186='TUM-M'!A$3:A$27)*(B186='TUM-M'!G$3:G$27),0)),"")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_xlfn.IFNA(INDEX('TUM-M'!C$3:C$27,MATCH(1,(C187='TUM-M'!A$3:A$27)*(B187='TUM-M'!G$3:G$27),0)),"")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_xlfn.IFNA(INDEX('TUM-M'!C$3:C$27,MATCH(1,(C188='TUM-M'!A$3:A$27)*(B188='TUM-M'!G$3:G$27),0)),"")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_xlfn.IFNA(INDEX('TUM-M'!C$3:C$27,MATCH(1,(C189='TUM-M'!A$3:A$27)*(B189='TUM-M'!G$3:G$27),0)),"")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_xlfn.IFNA(INDEX('TUM-M'!C$3:C$27,MATCH(1,(C190='TUM-M'!A$3:A$27)*(B190='TUM-M'!G$3:G$27),0)),"")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_xlfn.IFNA(INDEX('TUM-M'!C$3:C$27,MATCH(1,(C191='TUM-M'!A$3:A$27)*(B191='TUM-M'!G$3:G$27),0)),"")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_xlfn.IFNA(INDEX('TUM-M'!C$3:C$27,MATCH(1,(C192='TUM-M'!A$3:A$27)*(B192='TUM-M'!G$3:G$27),0)),"")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_xlfn.IFNA(INDEX('TUM-M'!C$3:C$27,MATCH(1,(C193='TUM-M'!A$3:A$27)*(B193='TUM-M'!G$3:G$27),0)),"")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_xlfn.IFNA(INDEX('TUM-W'!C$3:C$56,MATCH(1,(C194='TUM-W'!A$3:A$56)*(B194='TUM-W'!G$3:G$56),0)),"")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_xlfn.IFNA(INDEX('TUM-W'!C$3:C$56,MATCH(1,(C195='TUM-W'!A$3:A$56)*(B195='TUM-W'!G$3:G$56),0)),"")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_xlfn.IFNA(INDEX('TUM-W'!C$3:C$56,MATCH(1,(C196='TUM-W'!A$3:A$56)*(B196='TUM-W'!G$3:G$56),0)),"")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_xlfn.IFNA(INDEX('TUM-W'!C$3:C$56,MATCH(1,(C197='TUM-W'!A$3:A$56)*(B197='TUM-W'!G$3:G$56),0)),"")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_xlfn.IFNA(INDEX('TUM-W'!C$3:C$56,MATCH(1,(C198='TUM-W'!A$3:A$56)*(B198='TUM-W'!G$3:G$56),0)),"")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_xlfn.IFNA(INDEX('TUM-W'!C$3:C$56,MATCH(1,(C199='TUM-W'!A$3:A$56)*(B199='TUM-W'!G$3:G$56),0)),"")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_xlfn.IFNA(INDEX('TUM-W'!C$3:C$56,MATCH(1,(C200='TUM-W'!A$3:A$56)*(B200='TUM-W'!G$3:G$56),0)),"")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_xlfn.IFNA(INDEX('TUM-W'!C$3:C$56,MATCH(1,(C201='TUM-W'!A$3:A$56)*(B201='TUM-W'!G$3:G$56),0)),"")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_xlfn.IFNA(INDEX('TUM-W'!C$3:C$56,MATCH(1,(C202='TUM-W'!A$3:A$56)*(B202='TUM-W'!G$3:G$56),0)),"")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_xlfn.IFNA(INDEX('TUM-W'!C$3:C$56,MATCH(1,(C203='TUM-W'!A$3:A$56)*(B203='TUM-W'!G$3:G$56),0)),"")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_xlfn.IFNA(INDEX('TUM-W'!C$3:C$56,MATCH(1,(C204='TUM-W'!A$3:A$56)*(B204='TUM-W'!G$3:G$56),0)),"")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_xlfn.IFNA(INDEX('TUM-W'!C$3:C$56,MATCH(1,(C205='TUM-W'!A$3:A$56)*(B205='TUM-W'!G$3:G$56),0)),"")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_xlfn.IFNA(INDEX('TUM-W'!C$3:C$56,MATCH(1,(C206='TUM-W'!A$3:A$56)*(B206='TUM-W'!G$3:G$56),0)),"")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_xlfn.IFNA(INDEX('TUM-W'!C$3:C$56,MATCH(1,(C207='TUM-W'!A$3:A$56)*(B207='TUM-W'!G$3:G$56),0)),"")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_xlfn.IFNA(INDEX('TUM-W'!C$3:C$56,MATCH(1,(C208='TUM-W'!A$3:A$56)*(B208='TUM-W'!G$3:G$56),0)),"")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_xlfn.IFNA(INDEX('TUM-W'!C$3:C$56,MATCH(1,(C209='TUM-W'!A$3:A$56)*(B209='TUM-W'!G$3:G$56),0)),"")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_xlfn.IFNA(INDEX('TUM-W'!C$3:C$56,MATCH(1,(C210='TUM-W'!A$3:A$56)*(B210='TUM-W'!G$3:G$56),0)),"")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_xlfn.IFNA(INDEX('TUM-W'!C$3:C$56,MATCH(1,(C211='TUM-W'!A$3:A$56)*(B211='TUM-W'!G$3:G$56),0)),"")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_xlfn.IFNA(INDEX('TUM-W'!C$3:C$56,MATCH(1,(C212='TUM-W'!A$3:A$56)*(B212='TUM-W'!G$3:G$56),0)),"")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_xlfn.IFNA(INDEX('TUM-W'!C$3:C$56,MATCH(1,(C213='TUM-W'!A$3:A$56)*(B213='TUM-W'!G$3:G$56),0)),"")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_xlfn.IFNA(INDEX('TUM-W'!C$3:C$56,MATCH(1,(C214='TUM-W'!A$3:A$56)*(B214='TUM-W'!G$3:G$56),0)),"")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_xlfn.IFNA(INDEX('TUM-W'!C$3:C$56,MATCH(1,(C215='TUM-W'!A$3:A$56)*(B215='TUM-W'!G$3:G$56),0)),"")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_xlfn.IFNA(INDEX('TUM-W'!C$3:C$56,MATCH(1,(C216='TUM-W'!A$3:A$56)*(B216='TUM-W'!G$3:G$56),0)),"")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_xlfn.IFNA(INDEX('TUM-W'!C$3:C$56,MATCH(1,(C217='TUM-W'!A$3:A$56)*(B217='TUM-W'!G$3:G$56),0)),"")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_xlfn.IFNA(INDEX('TUM-W'!C$3:C$56,MATCH(1,(C218='TUM-W'!A$3:A$56)*(B218='TUM-W'!G$3:G$56),0)),"")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_xlfn.IFNA(INDEX('TUM-W'!C$3:C$56,MATCH(1,(C219='TUM-W'!A$3:A$56)*(B219='TUM-W'!G$3:G$56),0)),"")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_xlfn.IFNA(INDEX('TUM-W'!C$3:C$56,MATCH(1,(C220='TUM-W'!A$3:A$56)*(B220='TUM-W'!G$3:G$56),0)),"")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_xlfn.IFNA(INDEX('TUM-W'!C$3:C$56,MATCH(1,(C221='TUM-W'!A$3:A$56)*(B221='TUM-W'!G$3:G$56),0)),"")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_xlfn.IFNA(INDEX('TUM-W'!C$3:C$56,MATCH(1,(C222='TUM-W'!A$3:A$56)*(B222='TUM-W'!G$3:G$56),0)),"")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_xlfn.IFNA(INDEX('TUM-W'!C$3:C$56,MATCH(1,(C223='TUM-W'!A$3:A$56)*(B223='TUM-W'!G$3:G$56),0)),"")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_xlfn.IFNA(INDEX('TUM-W'!C$3:C$56,MATCH(1,(C224='TUM-W'!A$3:A$56)*(B224='TUM-W'!G$3:G$56),0)),"")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_xlfn.IFNA(INDEX('TUM-W'!C$3:C$56,MATCH(1,(C225='TUM-W'!A$3:A$56)*(B225='TUM-W'!G$3:G$56),0)),"")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166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45393</v>
      </c>
      <c r="C231" s="62"/>
      <c r="D231" s="62"/>
    </row>
    <row r="232" spans="1:6" x14ac:dyDescent="0.2">
      <c r="A232" s="55"/>
      <c r="B232" s="64" t="s">
        <v>387</v>
      </c>
      <c r="C232" s="64"/>
      <c r="D232" s="64"/>
    </row>
    <row r="233" spans="1:6" x14ac:dyDescent="0.2">
      <c r="B233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2024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87</v>
      </c>
      <c r="C4" s="20">
        <v>86</v>
      </c>
      <c r="D4" s="20">
        <v>40.200000000000003</v>
      </c>
      <c r="E4" s="20">
        <v>41</v>
      </c>
      <c r="F4" s="20">
        <v>43</v>
      </c>
      <c r="G4" s="20">
        <v>43</v>
      </c>
      <c r="H4" s="20">
        <v>38.700000000000003</v>
      </c>
      <c r="I4" s="20">
        <v>38.700000000000003</v>
      </c>
    </row>
    <row r="5" spans="1:9" x14ac:dyDescent="0.2">
      <c r="A5" s="23" t="s">
        <v>16</v>
      </c>
      <c r="B5" s="24">
        <v>89</v>
      </c>
      <c r="C5" s="24">
        <v>87</v>
      </c>
      <c r="D5" s="24">
        <v>42</v>
      </c>
      <c r="E5" s="24">
        <v>42.4</v>
      </c>
      <c r="F5" s="24">
        <v>45.3</v>
      </c>
      <c r="G5" s="24">
        <v>43.5</v>
      </c>
      <c r="H5" s="24">
        <v>41.8</v>
      </c>
      <c r="I5" s="24">
        <v>41.3</v>
      </c>
    </row>
    <row r="6" spans="1:9" x14ac:dyDescent="0.2">
      <c r="A6" s="27" t="s">
        <v>18</v>
      </c>
      <c r="B6" s="28">
        <v>93</v>
      </c>
      <c r="C6" s="28">
        <v>88.5</v>
      </c>
      <c r="D6" s="28">
        <v>43</v>
      </c>
      <c r="E6" s="28">
        <v>43</v>
      </c>
      <c r="F6" s="28">
        <v>47.2</v>
      </c>
      <c r="G6" s="28">
        <v>45.5</v>
      </c>
      <c r="H6" s="28">
        <v>43.1</v>
      </c>
      <c r="I6" s="28">
        <v>41.7</v>
      </c>
    </row>
    <row r="7" spans="1:9" x14ac:dyDescent="0.2">
      <c r="A7" s="17" t="s">
        <v>19</v>
      </c>
      <c r="B7" s="15">
        <v>52</v>
      </c>
      <c r="C7" s="15">
        <v>47.5</v>
      </c>
      <c r="D7" s="15">
        <v>45</v>
      </c>
      <c r="E7" s="15">
        <v>42.6</v>
      </c>
      <c r="F7" s="15">
        <v>48</v>
      </c>
      <c r="G7" s="15">
        <v>46.5</v>
      </c>
      <c r="H7" s="15">
        <v>43.9</v>
      </c>
      <c r="I7" s="15">
        <v>42.1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9.1</v>
      </c>
      <c r="C10" s="22">
        <v>7.6</v>
      </c>
      <c r="D10" s="22">
        <v>8.1</v>
      </c>
      <c r="E10" s="22">
        <v>7.6</v>
      </c>
      <c r="F10" s="22">
        <v>6</v>
      </c>
      <c r="G10" s="22">
        <v>6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9.6999999999999993</v>
      </c>
      <c r="C11" s="26">
        <v>8.1</v>
      </c>
      <c r="D11" s="26">
        <v>8.8000000000000007</v>
      </c>
      <c r="E11" s="26">
        <v>8.1</v>
      </c>
      <c r="F11" s="26">
        <v>7.9</v>
      </c>
      <c r="G11" s="26">
        <v>6.3</v>
      </c>
      <c r="H11" s="26">
        <v>8</v>
      </c>
      <c r="I11" s="26">
        <v>6.6</v>
      </c>
    </row>
    <row r="12" spans="1:9" x14ac:dyDescent="0.2">
      <c r="A12" s="29" t="s">
        <v>18</v>
      </c>
      <c r="B12" s="30">
        <v>12.2</v>
      </c>
      <c r="C12" s="30">
        <v>8.8000000000000007</v>
      </c>
      <c r="D12" s="30">
        <v>9.6</v>
      </c>
      <c r="E12" s="30">
        <v>8.1</v>
      </c>
      <c r="F12" s="30">
        <v>10.4</v>
      </c>
      <c r="G12" s="30">
        <v>7.9</v>
      </c>
      <c r="H12" s="30">
        <v>8.6999999999999993</v>
      </c>
      <c r="I12" s="30">
        <v>7.3</v>
      </c>
    </row>
    <row r="13" spans="1:9" x14ac:dyDescent="0.2">
      <c r="A13" s="18" t="s">
        <v>19</v>
      </c>
      <c r="B13" s="16">
        <v>13.5</v>
      </c>
      <c r="C13" s="16">
        <v>9.6999999999999993</v>
      </c>
      <c r="D13" s="16">
        <v>10.199999999999999</v>
      </c>
      <c r="E13" s="16">
        <v>8.8000000000000007</v>
      </c>
      <c r="F13" s="16">
        <v>11.2</v>
      </c>
      <c r="G13" s="16">
        <v>9.6</v>
      </c>
      <c r="H13" s="16">
        <v>9.5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6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157</v>
      </c>
      <c r="D1" s="42" t="s">
        <v>163</v>
      </c>
      <c r="E1" s="51" t="s">
        <v>158</v>
      </c>
      <c r="F1" s="42" t="s">
        <v>164</v>
      </c>
      <c r="G1" s="51" t="s">
        <v>159</v>
      </c>
      <c r="H1" s="42" t="s">
        <v>165</v>
      </c>
    </row>
    <row r="2" spans="1:8" ht="17" thickTop="1" x14ac:dyDescent="0.2">
      <c r="A2" s="58" t="s">
        <v>314</v>
      </c>
      <c r="B2" s="44" t="s">
        <v>148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4" si="0">IF(C2&gt;0,RANK(C2,C$2:C$66),"")</f>
        <v/>
      </c>
      <c r="E2" s="43">
        <f>SUMIF('DMT-M'!E:E,A2,'DMT-M'!Q:Q)+SUMIF('DMT-W'!E:E,A2,'DMT-W'!Q:Q)</f>
        <v>0</v>
      </c>
      <c r="F2" s="45" t="str">
        <f t="shared" ref="F2:F34" si="1">IF(E2&gt;0,RANK(E2,E$2:E$66),"")</f>
        <v/>
      </c>
      <c r="G2" s="43">
        <f>SUMIF('TUM-M'!E:E,A2,'TUM-M'!Q:Q)+SUMIF('TUM-W'!E:E,A2,'TUM-W'!Q:Q)</f>
        <v>0</v>
      </c>
      <c r="H2" s="45" t="str">
        <f t="shared" ref="H2:H34" si="2">IF(G2&gt;0,RANK(G2,G$2:G$66),"")</f>
        <v/>
      </c>
    </row>
    <row r="3" spans="1:8" x14ac:dyDescent="0.2">
      <c r="A3" s="59" t="s">
        <v>215</v>
      </c>
      <c r="B3" s="1" t="s">
        <v>149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249</v>
      </c>
      <c r="B4" s="1" t="s">
        <v>147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250</v>
      </c>
      <c r="B5" s="1" t="s">
        <v>149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149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69</v>
      </c>
      <c r="B7" s="1" t="s">
        <v>147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289</v>
      </c>
      <c r="B8" s="1" t="s">
        <v>152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147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149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91</v>
      </c>
      <c r="B11" s="1" t="s">
        <v>155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148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248</v>
      </c>
      <c r="B13" s="1" t="s">
        <v>155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151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343</v>
      </c>
      <c r="B15" s="1" t="s">
        <v>147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IF(C15&gt;0,RANK(C15,C$2:C$66),"")</f>
        <v/>
      </c>
      <c r="E15" s="46">
        <f>SUMIF('DMT-M'!E:E,A15,'DMT-M'!Q:Q)+SUMIF('DMT-W'!E:E,A15,'DMT-W'!Q:Q)</f>
        <v>0</v>
      </c>
      <c r="F15" s="47" t="str">
        <f t="shared" ref="F15" si="4">IF(E15&gt;0,RANK(E15,E$2:E$66),"")</f>
        <v/>
      </c>
      <c r="G15" s="46">
        <f>SUMIF('TUM-M'!E:E,A15,'TUM-M'!Q:Q)+SUMIF('TUM-W'!E:E,A15,'TUM-W'!Q:Q)</f>
        <v>0</v>
      </c>
      <c r="H15" s="47" t="str">
        <f t="shared" ref="H15" si="5">IF(G15&gt;0,RANK(G15,G$2:G$66),"")</f>
        <v/>
      </c>
    </row>
    <row r="16" spans="1:8" x14ac:dyDescent="0.2">
      <c r="A16" s="59" t="s">
        <v>3</v>
      </c>
      <c r="B16" s="1" t="s">
        <v>150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205</v>
      </c>
      <c r="B17" s="1" t="s">
        <v>147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216</v>
      </c>
      <c r="B18" s="1" t="s">
        <v>150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68</v>
      </c>
      <c r="B19" s="1" t="s">
        <v>149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151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311</v>
      </c>
      <c r="B21" s="1" t="s">
        <v>154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277</v>
      </c>
      <c r="B22" s="1" t="s">
        <v>147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217</v>
      </c>
      <c r="B23" s="1" t="s">
        <v>147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156</v>
      </c>
      <c r="B24" s="1" t="s">
        <v>150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75</v>
      </c>
      <c r="B25" s="1" t="s">
        <v>150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97</v>
      </c>
      <c r="B26" s="1" t="s">
        <v>147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si="0"/>
        <v/>
      </c>
      <c r="E26" s="46">
        <f>SUMIF('DMT-M'!E:E,A26,'DMT-M'!Q:Q)+SUMIF('DMT-W'!E:E,A26,'DMT-W'!Q:Q)</f>
        <v>0</v>
      </c>
      <c r="F26" s="47" t="str">
        <f t="shared" si="1"/>
        <v/>
      </c>
      <c r="G26" s="46">
        <f>SUMIF('TUM-M'!E:E,A26,'TUM-M'!Q:Q)+SUMIF('TUM-W'!E:E,A26,'TUM-W'!Q:Q)</f>
        <v>0</v>
      </c>
      <c r="H26" s="47" t="str">
        <f t="shared" si="2"/>
        <v/>
      </c>
    </row>
    <row r="27" spans="1:19" x14ac:dyDescent="0.2">
      <c r="A27" s="59" t="s">
        <v>256</v>
      </c>
      <c r="B27" s="1" t="s">
        <v>151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59</v>
      </c>
      <c r="B28" s="1" t="s">
        <v>151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87</v>
      </c>
      <c r="B29" s="1" t="s">
        <v>147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46</v>
      </c>
      <c r="B30" s="1" t="s">
        <v>153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218</v>
      </c>
      <c r="B31" s="1" t="s">
        <v>150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71</v>
      </c>
      <c r="B32" s="1" t="s">
        <v>147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138</v>
      </c>
      <c r="B33" s="1" t="s">
        <v>147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60</v>
      </c>
      <c r="B34" s="1" t="s">
        <v>151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279</v>
      </c>
      <c r="B35" s="1" t="s">
        <v>151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ref="D35:D66" si="6">IF(C35&gt;0,RANK(C35,C$2:C$66),"")</f>
        <v/>
      </c>
      <c r="E35" s="46">
        <f>SUMIF('DMT-M'!E:E,A35,'DMT-M'!Q:Q)+SUMIF('DMT-W'!E:E,A35,'DMT-W'!Q:Q)</f>
        <v>0</v>
      </c>
      <c r="F35" s="47" t="str">
        <f t="shared" ref="F35:F66" si="7">IF(E35&gt;0,RANK(E35,E$2:E$66),"")</f>
        <v/>
      </c>
      <c r="G35" s="46">
        <f>SUMIF('TUM-M'!E:E,A35,'TUM-M'!Q:Q)+SUMIF('TUM-W'!E:E,A35,'TUM-W'!Q:Q)</f>
        <v>0</v>
      </c>
      <c r="H35" s="47" t="str">
        <f t="shared" ref="H35:H66" si="8">IF(G35&gt;0,RANK(G35,G$2:G$66),"")</f>
        <v/>
      </c>
    </row>
    <row r="36" spans="1:8" x14ac:dyDescent="0.2">
      <c r="A36" s="59" t="s">
        <v>56</v>
      </c>
      <c r="B36" s="1" t="s">
        <v>149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6"/>
        <v/>
      </c>
      <c r="E36" s="46">
        <f>SUMIF('DMT-M'!E:E,A36,'DMT-M'!Q:Q)+SUMIF('DMT-W'!E:E,A36,'DMT-W'!Q:Q)</f>
        <v>0</v>
      </c>
      <c r="F36" s="47" t="str">
        <f t="shared" si="7"/>
        <v/>
      </c>
      <c r="G36" s="46">
        <f>SUMIF('TUM-M'!E:E,A36,'TUM-M'!Q:Q)+SUMIF('TUM-W'!E:E,A36,'TUM-W'!Q:Q)</f>
        <v>0</v>
      </c>
      <c r="H36" s="47" t="str">
        <f t="shared" si="8"/>
        <v/>
      </c>
    </row>
    <row r="37" spans="1:8" x14ac:dyDescent="0.2">
      <c r="A37" s="59" t="s">
        <v>62</v>
      </c>
      <c r="B37" s="1" t="s">
        <v>149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6"/>
        <v/>
      </c>
      <c r="E37" s="46">
        <f>SUMIF('DMT-M'!E:E,A37,'DMT-M'!Q:Q)+SUMIF('DMT-W'!E:E,A37,'DMT-W'!Q:Q)</f>
        <v>0</v>
      </c>
      <c r="F37" s="47" t="str">
        <f t="shared" si="7"/>
        <v/>
      </c>
      <c r="G37" s="46">
        <f>SUMIF('TUM-M'!E:E,A37,'TUM-M'!Q:Q)+SUMIF('TUM-W'!E:E,A37,'TUM-W'!Q:Q)</f>
        <v>0</v>
      </c>
      <c r="H37" s="47" t="str">
        <f t="shared" si="8"/>
        <v/>
      </c>
    </row>
    <row r="38" spans="1:8" x14ac:dyDescent="0.2">
      <c r="A38" s="59" t="s">
        <v>254</v>
      </c>
      <c r="B38" s="1" t="s">
        <v>151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si="6"/>
        <v/>
      </c>
      <c r="E38" s="46">
        <f>SUMIF('DMT-M'!E:E,A38,'DMT-M'!Q:Q)+SUMIF('DMT-W'!E:E,A38,'DMT-W'!Q:Q)</f>
        <v>0</v>
      </c>
      <c r="F38" s="47" t="str">
        <f t="shared" si="7"/>
        <v/>
      </c>
      <c r="G38" s="46">
        <f>SUMIF('TUM-M'!E:E,A38,'TUM-M'!Q:Q)+SUMIF('TUM-W'!E:E,A38,'TUM-W'!Q:Q)</f>
        <v>0</v>
      </c>
      <c r="H38" s="47" t="str">
        <f t="shared" si="8"/>
        <v/>
      </c>
    </row>
    <row r="39" spans="1:8" x14ac:dyDescent="0.2">
      <c r="A39" s="59" t="s">
        <v>310</v>
      </c>
      <c r="B39" s="1" t="s">
        <v>147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6"/>
        <v/>
      </c>
      <c r="E39" s="46">
        <f>SUMIF('DMT-M'!E:E,A39,'DMT-M'!Q:Q)+SUMIF('DMT-W'!E:E,A39,'DMT-W'!Q:Q)</f>
        <v>0</v>
      </c>
      <c r="F39" s="47" t="str">
        <f t="shared" si="7"/>
        <v/>
      </c>
      <c r="G39" s="46">
        <f>SUMIF('TUM-M'!E:E,A39,'TUM-M'!Q:Q)+SUMIF('TUM-W'!E:E,A39,'TUM-W'!Q:Q)</f>
        <v>0</v>
      </c>
      <c r="H39" s="47" t="str">
        <f t="shared" si="8"/>
        <v/>
      </c>
    </row>
    <row r="40" spans="1:8" x14ac:dyDescent="0.2">
      <c r="A40" s="59" t="s">
        <v>201</v>
      </c>
      <c r="B40" s="1" t="s">
        <v>150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6"/>
        <v/>
      </c>
      <c r="E40" s="46">
        <f>SUMIF('DMT-M'!E:E,A40,'DMT-M'!Q:Q)+SUMIF('DMT-W'!E:E,A40,'DMT-W'!Q:Q)</f>
        <v>0</v>
      </c>
      <c r="F40" s="47" t="str">
        <f t="shared" si="7"/>
        <v/>
      </c>
      <c r="G40" s="46">
        <f>SUMIF('TUM-M'!E:E,A40,'TUM-M'!Q:Q)+SUMIF('TUM-W'!E:E,A40,'TUM-W'!Q:Q)</f>
        <v>0</v>
      </c>
      <c r="H40" s="47" t="str">
        <f t="shared" si="8"/>
        <v/>
      </c>
    </row>
    <row r="41" spans="1:8" x14ac:dyDescent="0.2">
      <c r="A41" s="59" t="s">
        <v>131</v>
      </c>
      <c r="B41" s="1" t="s">
        <v>147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6"/>
        <v/>
      </c>
      <c r="E41" s="46">
        <f>SUMIF('DMT-M'!E:E,A41,'DMT-M'!Q:Q)+SUMIF('DMT-W'!E:E,A41,'DMT-W'!Q:Q)</f>
        <v>0</v>
      </c>
      <c r="F41" s="47" t="str">
        <f t="shared" si="7"/>
        <v/>
      </c>
      <c r="G41" s="46">
        <f>SUMIF('TUM-M'!E:E,A41,'TUM-M'!Q:Q)+SUMIF('TUM-W'!E:E,A41,'TUM-W'!Q:Q)</f>
        <v>0</v>
      </c>
      <c r="H41" s="47" t="str">
        <f t="shared" si="8"/>
        <v/>
      </c>
    </row>
    <row r="42" spans="1:8" x14ac:dyDescent="0.2">
      <c r="A42" s="59" t="s">
        <v>198</v>
      </c>
      <c r="B42" s="1" t="s">
        <v>151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6"/>
        <v/>
      </c>
      <c r="E42" s="46">
        <f>SUMIF('DMT-M'!E:E,A42,'DMT-M'!Q:Q)+SUMIF('DMT-W'!E:E,A42,'DMT-W'!Q:Q)</f>
        <v>0</v>
      </c>
      <c r="F42" s="47" t="str">
        <f t="shared" si="7"/>
        <v/>
      </c>
      <c r="G42" s="46">
        <f>SUMIF('TUM-M'!E:E,A42,'TUM-M'!Q:Q)+SUMIF('TUM-W'!E:E,A42,'TUM-W'!Q:Q)</f>
        <v>0</v>
      </c>
      <c r="H42" s="47" t="str">
        <f t="shared" si="8"/>
        <v/>
      </c>
    </row>
    <row r="43" spans="1:8" x14ac:dyDescent="0.2">
      <c r="A43" s="59" t="s">
        <v>133</v>
      </c>
      <c r="B43" s="1" t="s">
        <v>147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6"/>
        <v/>
      </c>
      <c r="E43" s="46">
        <f>SUMIF('DMT-M'!E:E,A43,'DMT-M'!Q:Q)+SUMIF('DMT-W'!E:E,A43,'DMT-W'!Q:Q)</f>
        <v>0</v>
      </c>
      <c r="F43" s="47" t="str">
        <f t="shared" si="7"/>
        <v/>
      </c>
      <c r="G43" s="46">
        <f>SUMIF('TUM-M'!E:E,A43,'TUM-M'!Q:Q)+SUMIF('TUM-W'!E:E,A43,'TUM-W'!Q:Q)</f>
        <v>0</v>
      </c>
      <c r="H43" s="47" t="str">
        <f t="shared" si="8"/>
        <v/>
      </c>
    </row>
    <row r="44" spans="1:8" x14ac:dyDescent="0.2">
      <c r="A44" s="59" t="s">
        <v>203</v>
      </c>
      <c r="B44" s="1" t="s">
        <v>152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6"/>
        <v/>
      </c>
      <c r="E44" s="46">
        <f>SUMIF('DMT-M'!E:E,A44,'DMT-M'!Q:Q)+SUMIF('DMT-W'!E:E,A44,'DMT-W'!Q:Q)</f>
        <v>0</v>
      </c>
      <c r="F44" s="47" t="str">
        <f t="shared" si="7"/>
        <v/>
      </c>
      <c r="G44" s="46">
        <f>SUMIF('TUM-M'!E:E,A44,'TUM-M'!Q:Q)+SUMIF('TUM-W'!E:E,A44,'TUM-W'!Q:Q)</f>
        <v>0</v>
      </c>
      <c r="H44" s="47" t="str">
        <f t="shared" si="8"/>
        <v/>
      </c>
    </row>
    <row r="45" spans="1:8" x14ac:dyDescent="0.2">
      <c r="A45" s="59" t="s">
        <v>252</v>
      </c>
      <c r="B45" s="1" t="s">
        <v>147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6"/>
        <v/>
      </c>
      <c r="E45" s="46">
        <f>SUMIF('DMT-M'!E:E,A45,'DMT-M'!Q:Q)+SUMIF('DMT-W'!E:E,A45,'DMT-W'!Q:Q)</f>
        <v>0</v>
      </c>
      <c r="F45" s="47" t="str">
        <f t="shared" si="7"/>
        <v/>
      </c>
      <c r="G45" s="46">
        <f>SUMIF('TUM-M'!E:E,A45,'TUM-M'!Q:Q)+SUMIF('TUM-W'!E:E,A45,'TUM-W'!Q:Q)</f>
        <v>0</v>
      </c>
      <c r="H45" s="47" t="str">
        <f t="shared" si="8"/>
        <v/>
      </c>
    </row>
    <row r="46" spans="1:8" x14ac:dyDescent="0.2">
      <c r="A46" s="59" t="s">
        <v>36</v>
      </c>
      <c r="B46" s="1" t="s">
        <v>151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6"/>
        <v/>
      </c>
      <c r="E46" s="46">
        <f>SUMIF('DMT-M'!E:E,A46,'DMT-M'!Q:Q)+SUMIF('DMT-W'!E:E,A46,'DMT-W'!Q:Q)</f>
        <v>0</v>
      </c>
      <c r="F46" s="47" t="str">
        <f t="shared" si="7"/>
        <v/>
      </c>
      <c r="G46" s="46">
        <f>SUMIF('TUM-M'!E:E,A46,'TUM-M'!Q:Q)+SUMIF('TUM-W'!E:E,A46,'TUM-W'!Q:Q)</f>
        <v>0</v>
      </c>
      <c r="H46" s="47" t="str">
        <f t="shared" si="8"/>
        <v/>
      </c>
    </row>
    <row r="47" spans="1:8" x14ac:dyDescent="0.2">
      <c r="A47" s="59" t="s">
        <v>37</v>
      </c>
      <c r="B47" s="1" t="s">
        <v>147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6"/>
        <v/>
      </c>
      <c r="E47" s="46">
        <f>SUMIF('DMT-M'!E:E,A47,'DMT-M'!Q:Q)+SUMIF('DMT-W'!E:E,A47,'DMT-W'!Q:Q)</f>
        <v>0</v>
      </c>
      <c r="F47" s="47" t="str">
        <f t="shared" si="7"/>
        <v/>
      </c>
      <c r="G47" s="46">
        <f>SUMIF('TUM-M'!E:E,A47,'TUM-M'!Q:Q)+SUMIF('TUM-W'!E:E,A47,'TUM-W'!Q:Q)</f>
        <v>0</v>
      </c>
      <c r="H47" s="47" t="str">
        <f t="shared" si="8"/>
        <v/>
      </c>
    </row>
    <row r="48" spans="1:8" x14ac:dyDescent="0.2">
      <c r="A48" s="59" t="s">
        <v>199</v>
      </c>
      <c r="B48" s="1" t="s">
        <v>147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6"/>
        <v/>
      </c>
      <c r="E48" s="46">
        <f>SUMIF('DMT-M'!E:E,A48,'DMT-M'!Q:Q)+SUMIF('DMT-W'!E:E,A48,'DMT-W'!Q:Q)</f>
        <v>0</v>
      </c>
      <c r="F48" s="47" t="str">
        <f t="shared" si="7"/>
        <v/>
      </c>
      <c r="G48" s="46">
        <f>SUMIF('TUM-M'!E:E,A48,'TUM-M'!Q:Q)+SUMIF('TUM-W'!E:E,A48,'TUM-W'!Q:Q)</f>
        <v>0</v>
      </c>
      <c r="H48" s="47" t="str">
        <f t="shared" si="8"/>
        <v/>
      </c>
    </row>
    <row r="49" spans="1:8" x14ac:dyDescent="0.2">
      <c r="A49" s="59" t="s">
        <v>206</v>
      </c>
      <c r="B49" s="1" t="s">
        <v>147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6"/>
        <v/>
      </c>
      <c r="E49" s="46">
        <f>SUMIF('DMT-M'!E:E,A49,'DMT-M'!Q:Q)+SUMIF('DMT-W'!E:E,A49,'DMT-W'!Q:Q)</f>
        <v>0</v>
      </c>
      <c r="F49" s="47" t="str">
        <f t="shared" si="7"/>
        <v/>
      </c>
      <c r="G49" s="46">
        <f>SUMIF('TUM-M'!E:E,A49,'TUM-M'!Q:Q)+SUMIF('TUM-W'!E:E,A49,'TUM-W'!Q:Q)</f>
        <v>0</v>
      </c>
      <c r="H49" s="47" t="str">
        <f t="shared" si="8"/>
        <v/>
      </c>
    </row>
    <row r="50" spans="1:8" x14ac:dyDescent="0.2">
      <c r="A50" s="59" t="s">
        <v>329</v>
      </c>
      <c r="B50" s="1" t="s">
        <v>148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6"/>
        <v/>
      </c>
      <c r="E50" s="46">
        <f>SUMIF('DMT-M'!E:E,A50,'DMT-M'!Q:Q)+SUMIF('DMT-W'!E:E,A50,'DMT-W'!Q:Q)</f>
        <v>0</v>
      </c>
      <c r="F50" s="47" t="str">
        <f t="shared" si="7"/>
        <v/>
      </c>
      <c r="G50" s="46">
        <f>SUMIF('TUM-M'!E:E,A50,'TUM-M'!Q:Q)+SUMIF('TUM-W'!E:E,A50,'TUM-W'!Q:Q)</f>
        <v>0</v>
      </c>
      <c r="H50" s="47" t="str">
        <f t="shared" si="8"/>
        <v/>
      </c>
    </row>
    <row r="51" spans="1:8" x14ac:dyDescent="0.2">
      <c r="A51" s="59" t="s">
        <v>55</v>
      </c>
      <c r="B51" s="1" t="s">
        <v>151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6"/>
        <v/>
      </c>
      <c r="E51" s="46">
        <f>SUMIF('DMT-M'!E:E,A51,'DMT-M'!Q:Q)+SUMIF('DMT-W'!E:E,A51,'DMT-W'!Q:Q)</f>
        <v>0</v>
      </c>
      <c r="F51" s="47" t="str">
        <f t="shared" si="7"/>
        <v/>
      </c>
      <c r="G51" s="46">
        <f>SUMIF('TUM-M'!E:E,A51,'TUM-M'!Q:Q)+SUMIF('TUM-W'!E:E,A51,'TUM-W'!Q:Q)</f>
        <v>0</v>
      </c>
      <c r="H51" s="47" t="str">
        <f t="shared" si="8"/>
        <v/>
      </c>
    </row>
    <row r="52" spans="1:8" x14ac:dyDescent="0.2">
      <c r="A52" s="59" t="s">
        <v>67</v>
      </c>
      <c r="B52" s="1" t="s">
        <v>154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6"/>
        <v/>
      </c>
      <c r="E52" s="46">
        <f>SUMIF('DMT-M'!E:E,A52,'DMT-M'!Q:Q)+SUMIF('DMT-W'!E:E,A52,'DMT-W'!Q:Q)</f>
        <v>0</v>
      </c>
      <c r="F52" s="47" t="str">
        <f t="shared" si="7"/>
        <v/>
      </c>
      <c r="G52" s="46">
        <f>SUMIF('TUM-M'!E:E,A52,'TUM-M'!Q:Q)+SUMIF('TUM-W'!E:E,A52,'TUM-W'!Q:Q)</f>
        <v>0</v>
      </c>
      <c r="H52" s="47" t="str">
        <f t="shared" si="8"/>
        <v/>
      </c>
    </row>
    <row r="53" spans="1:8" x14ac:dyDescent="0.2">
      <c r="A53" s="59" t="s">
        <v>39</v>
      </c>
      <c r="B53" s="1" t="s">
        <v>149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6"/>
        <v/>
      </c>
      <c r="E53" s="46">
        <f>SUMIF('DMT-M'!E:E,A53,'DMT-M'!Q:Q)+SUMIF('DMT-W'!E:E,A53,'DMT-W'!Q:Q)</f>
        <v>0</v>
      </c>
      <c r="F53" s="47" t="str">
        <f t="shared" si="7"/>
        <v/>
      </c>
      <c r="G53" s="46">
        <f>SUMIF('TUM-M'!E:E,A53,'TUM-M'!Q:Q)+SUMIF('TUM-W'!E:E,A53,'TUM-W'!Q:Q)</f>
        <v>0</v>
      </c>
      <c r="H53" s="47" t="str">
        <f t="shared" si="8"/>
        <v/>
      </c>
    </row>
    <row r="54" spans="1:8" x14ac:dyDescent="0.2">
      <c r="A54" s="59" t="s">
        <v>112</v>
      </c>
      <c r="B54" s="1" t="s">
        <v>152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6"/>
        <v/>
      </c>
      <c r="E54" s="46">
        <f>SUMIF('DMT-M'!E:E,A54,'DMT-M'!Q:Q)+SUMIF('DMT-W'!E:E,A54,'DMT-W'!Q:Q)</f>
        <v>0</v>
      </c>
      <c r="F54" s="47" t="str">
        <f t="shared" si="7"/>
        <v/>
      </c>
      <c r="G54" s="46">
        <f>SUMIF('TUM-M'!E:E,A54,'TUM-M'!Q:Q)+SUMIF('TUM-W'!E:E,A54,'TUM-W'!Q:Q)</f>
        <v>0</v>
      </c>
      <c r="H54" s="47" t="str">
        <f t="shared" si="8"/>
        <v/>
      </c>
    </row>
    <row r="55" spans="1:8" x14ac:dyDescent="0.2">
      <c r="A55" s="47" t="s">
        <v>383</v>
      </c>
      <c r="B55" s="1" t="s">
        <v>147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9">IF(C55&gt;0,RANK(C55,C$2:C$66),"")</f>
        <v/>
      </c>
      <c r="E55" s="46">
        <f>SUMIF('DMT-M'!E:E,A55,'DMT-M'!Q:Q)+SUMIF('DMT-W'!E:E,A55,'DMT-W'!Q:Q)</f>
        <v>0</v>
      </c>
      <c r="F55" s="47" t="str">
        <f t="shared" ref="F55" si="10">IF(E55&gt;0,RANK(E55,E$2:E$66),"")</f>
        <v/>
      </c>
      <c r="G55" s="46">
        <f>SUMIF('TUM-M'!E:E,A55,'TUM-M'!Q:Q)+SUMIF('TUM-W'!E:E,A55,'TUM-W'!Q:Q)</f>
        <v>0</v>
      </c>
      <c r="H55" s="47" t="str">
        <f t="shared" ref="H55" si="11">IF(G55&gt;0,RANK(G55,G$2:G$66),"")</f>
        <v/>
      </c>
    </row>
    <row r="56" spans="1:8" x14ac:dyDescent="0.2">
      <c r="A56" s="47" t="s">
        <v>57</v>
      </c>
      <c r="B56" s="1" t="s">
        <v>150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6"/>
        <v/>
      </c>
      <c r="E56" s="46">
        <f>SUMIF('DMT-M'!E:E,A56,'DMT-M'!Q:Q)+SUMIF('DMT-W'!E:E,A56,'DMT-W'!Q:Q)</f>
        <v>0</v>
      </c>
      <c r="F56" s="47" t="str">
        <f t="shared" si="7"/>
        <v/>
      </c>
      <c r="G56" s="46">
        <f>SUMIF('TUM-M'!E:E,A56,'TUM-M'!Q:Q)+SUMIF('TUM-W'!E:E,A56,'TUM-W'!Q:Q)</f>
        <v>0</v>
      </c>
      <c r="H56" s="47" t="str">
        <f t="shared" si="8"/>
        <v/>
      </c>
    </row>
    <row r="57" spans="1:8" x14ac:dyDescent="0.2">
      <c r="A57" s="47" t="s">
        <v>219</v>
      </c>
      <c r="B57" s="1" t="s">
        <v>147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6"/>
        <v/>
      </c>
      <c r="E57" s="46">
        <f>SUMIF('DMT-M'!E:E,A57,'DMT-M'!Q:Q)+SUMIF('DMT-W'!E:E,A57,'DMT-W'!Q:Q)</f>
        <v>0</v>
      </c>
      <c r="F57" s="47" t="str">
        <f t="shared" si="7"/>
        <v/>
      </c>
      <c r="G57" s="46">
        <f>SUMIF('TUM-M'!E:E,A57,'TUM-M'!Q:Q)+SUMIF('TUM-W'!E:E,A57,'TUM-W'!Q:Q)</f>
        <v>0</v>
      </c>
      <c r="H57" s="47" t="str">
        <f t="shared" si="8"/>
        <v/>
      </c>
    </row>
    <row r="58" spans="1:8" x14ac:dyDescent="0.2">
      <c r="A58" s="47" t="s">
        <v>278</v>
      </c>
      <c r="B58" s="1" t="s">
        <v>147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6"/>
        <v/>
      </c>
      <c r="E58" s="46">
        <f>SUMIF('DMT-M'!E:E,A58,'DMT-M'!Q:Q)+SUMIF('DMT-W'!E:E,A58,'DMT-W'!Q:Q)</f>
        <v>0</v>
      </c>
      <c r="F58" s="47" t="str">
        <f t="shared" si="7"/>
        <v/>
      </c>
      <c r="G58" s="46">
        <f>SUMIF('TUM-M'!E:E,A58,'TUM-M'!Q:Q)+SUMIF('TUM-W'!E:E,A58,'TUM-W'!Q:Q)</f>
        <v>0</v>
      </c>
      <c r="H58" s="47" t="str">
        <f t="shared" si="8"/>
        <v/>
      </c>
    </row>
    <row r="59" spans="1:8" x14ac:dyDescent="0.2">
      <c r="A59" s="47" t="s">
        <v>200</v>
      </c>
      <c r="B59" s="1" t="s">
        <v>150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6"/>
        <v/>
      </c>
      <c r="E59" s="46">
        <f>SUMIF('DMT-M'!E:E,A59,'DMT-M'!Q:Q)+SUMIF('DMT-W'!E:E,A59,'DMT-W'!Q:Q)</f>
        <v>0</v>
      </c>
      <c r="F59" s="47" t="str">
        <f t="shared" si="7"/>
        <v/>
      </c>
      <c r="G59" s="46">
        <f>SUMIF('TUM-M'!E:E,A59,'TUM-M'!Q:Q)+SUMIF('TUM-W'!E:E,A59,'TUM-W'!Q:Q)</f>
        <v>0</v>
      </c>
      <c r="H59" s="47" t="str">
        <f t="shared" si="8"/>
        <v/>
      </c>
    </row>
    <row r="60" spans="1:8" x14ac:dyDescent="0.2">
      <c r="A60" s="47" t="s">
        <v>202</v>
      </c>
      <c r="B60" s="1" t="s">
        <v>147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6"/>
        <v/>
      </c>
      <c r="E60" s="46">
        <f>SUMIF('DMT-M'!E:E,A60,'DMT-M'!Q:Q)+SUMIF('DMT-W'!E:E,A60,'DMT-W'!Q:Q)</f>
        <v>0</v>
      </c>
      <c r="F60" s="47" t="str">
        <f t="shared" si="7"/>
        <v/>
      </c>
      <c r="G60" s="46">
        <f>SUMIF('TUM-M'!E:E,A60,'TUM-M'!Q:Q)+SUMIF('TUM-W'!E:E,A60,'TUM-W'!Q:Q)</f>
        <v>0</v>
      </c>
      <c r="H60" s="47" t="str">
        <f t="shared" si="8"/>
        <v/>
      </c>
    </row>
    <row r="61" spans="1:8" x14ac:dyDescent="0.2">
      <c r="A61" s="47" t="s">
        <v>85</v>
      </c>
      <c r="B61" s="1" t="s">
        <v>150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6"/>
        <v/>
      </c>
      <c r="E61" s="46">
        <f>SUMIF('DMT-M'!E:E,A61,'DMT-M'!Q:Q)+SUMIF('DMT-W'!E:E,A61,'DMT-W'!Q:Q)</f>
        <v>0</v>
      </c>
      <c r="F61" s="47" t="str">
        <f t="shared" si="7"/>
        <v/>
      </c>
      <c r="G61" s="46">
        <f>SUMIF('TUM-M'!E:E,A61,'TUM-M'!Q:Q)+SUMIF('TUM-W'!E:E,A61,'TUM-W'!Q:Q)</f>
        <v>0</v>
      </c>
      <c r="H61" s="47" t="str">
        <f t="shared" si="8"/>
        <v/>
      </c>
    </row>
    <row r="62" spans="1:8" x14ac:dyDescent="0.2">
      <c r="A62" s="47" t="s">
        <v>70</v>
      </c>
      <c r="B62" s="1" t="s">
        <v>151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6"/>
        <v/>
      </c>
      <c r="E62" s="46">
        <f>SUMIF('DMT-M'!E:E,A62,'DMT-M'!Q:Q)+SUMIF('DMT-W'!E:E,A62,'DMT-W'!Q:Q)</f>
        <v>0</v>
      </c>
      <c r="F62" s="47" t="str">
        <f t="shared" si="7"/>
        <v/>
      </c>
      <c r="G62" s="46">
        <f>SUMIF('TUM-M'!E:E,A62,'TUM-M'!Q:Q)+SUMIF('TUM-W'!E:E,A62,'TUM-W'!Q:Q)</f>
        <v>0</v>
      </c>
      <c r="H62" s="47" t="str">
        <f t="shared" si="8"/>
        <v/>
      </c>
    </row>
    <row r="63" spans="1:8" x14ac:dyDescent="0.2">
      <c r="A63" s="47" t="s">
        <v>78</v>
      </c>
      <c r="B63" s="1" t="s">
        <v>150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6"/>
        <v/>
      </c>
      <c r="E63" s="46">
        <f>SUMIF('DMT-M'!E:E,A63,'DMT-M'!Q:Q)+SUMIF('DMT-W'!E:E,A63,'DMT-W'!Q:Q)</f>
        <v>0</v>
      </c>
      <c r="F63" s="47" t="str">
        <f t="shared" si="7"/>
        <v/>
      </c>
      <c r="G63" s="46">
        <f>SUMIF('TUM-M'!E:E,A63,'TUM-M'!Q:Q)+SUMIF('TUM-W'!E:E,A63,'TUM-W'!Q:Q)</f>
        <v>0</v>
      </c>
      <c r="H63" s="47" t="str">
        <f t="shared" si="8"/>
        <v/>
      </c>
    </row>
    <row r="64" spans="1:8" x14ac:dyDescent="0.2">
      <c r="A64" s="47" t="s">
        <v>251</v>
      </c>
      <c r="B64" s="1" t="s">
        <v>149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6"/>
        <v/>
      </c>
      <c r="E64" s="46">
        <f>SUMIF('DMT-M'!E:E,A64,'DMT-M'!Q:Q)+SUMIF('DMT-W'!E:E,A64,'DMT-W'!Q:Q)</f>
        <v>0</v>
      </c>
      <c r="F64" s="47" t="str">
        <f t="shared" si="7"/>
        <v/>
      </c>
      <c r="G64" s="46">
        <f>SUMIF('TUM-M'!E:E,A64,'TUM-M'!Q:Q)+SUMIF('TUM-W'!E:E,A64,'TUM-W'!Q:Q)</f>
        <v>0</v>
      </c>
      <c r="H64" s="47" t="str">
        <f t="shared" si="8"/>
        <v/>
      </c>
    </row>
    <row r="65" spans="1:8" x14ac:dyDescent="0.2">
      <c r="A65" s="47" t="s">
        <v>204</v>
      </c>
      <c r="B65" s="1" t="s">
        <v>151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6"/>
        <v/>
      </c>
      <c r="E65" s="46">
        <f>SUMIF('DMT-M'!E:E,A65,'DMT-M'!Q:Q)+SUMIF('DMT-W'!E:E,A65,'DMT-W'!Q:Q)</f>
        <v>0</v>
      </c>
      <c r="F65" s="47" t="str">
        <f t="shared" si="7"/>
        <v/>
      </c>
      <c r="G65" s="46">
        <f>SUMIF('TUM-M'!E:E,A65,'TUM-M'!Q:Q)+SUMIF('TUM-W'!E:E,A65,'TUM-W'!Q:Q)</f>
        <v>0</v>
      </c>
      <c r="H65" s="47" t="str">
        <f t="shared" si="8"/>
        <v/>
      </c>
    </row>
    <row r="66" spans="1:8" x14ac:dyDescent="0.2">
      <c r="A66" s="50" t="s">
        <v>342</v>
      </c>
      <c r="B66" s="49" t="s">
        <v>150</v>
      </c>
      <c r="C66" s="48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50" t="str">
        <f t="shared" si="6"/>
        <v/>
      </c>
      <c r="E66" s="48">
        <f>SUMIF('DMT-M'!E:E,A66,'DMT-M'!Q:Q)+SUMIF('DMT-W'!E:E,A66,'DMT-W'!Q:Q)</f>
        <v>0</v>
      </c>
      <c r="F66" s="50" t="str">
        <f t="shared" si="7"/>
        <v/>
      </c>
      <c r="G66" s="48">
        <f>SUMIF('TUM-M'!E:E,A66,'TUM-M'!Q:Q)+SUMIF('TUM-W'!E:E,A66,'TUM-W'!Q:Q)</f>
        <v>0</v>
      </c>
      <c r="H66" s="50" t="str">
        <f t="shared" si="8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F1:F1048576 H1:H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6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hidden="1" customWidth="1"/>
    <col min="28" max="28" width="13.6640625" style="35" hidden="1" customWidth="1"/>
    <col min="29" max="29" width="11" style="35" hidden="1" customWidth="1"/>
    <col min="30" max="30" width="14.1640625" style="35" hidden="1" customWidth="1"/>
    <col min="31" max="31" width="7.6640625" hidden="1" customWidth="1"/>
    <col min="32" max="32" width="6.6640625" style="35" hidden="1" customWidth="1"/>
    <col min="33" max="33" width="9" style="35" hidden="1" customWidth="1"/>
    <col min="34" max="34" width="11" style="61"/>
  </cols>
  <sheetData>
    <row r="1" spans="1:34" s="6" customForma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241</v>
      </c>
      <c r="S1" s="68" t="s">
        <v>240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175</v>
      </c>
      <c r="D3" s="35" t="str">
        <f>IF(E3="","",VLOOKUP(E3,'Coaching Points'!A:B,2,0))</f>
        <v>BC</v>
      </c>
      <c r="E3" s="35" t="s">
        <v>59</v>
      </c>
      <c r="F3" s="34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R3+IF(OR(H3="Junior",H3="Senior"),0.0002,IF(OR(H3="L7",H3="L6"),0.0001,0))+IF(G3="17-21",MAX(AA3,AC3,AF3),AE3)*0.0000001</f>
        <v>55.880200000000002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6</v>
      </c>
      <c r="Q3" s="1" t="str">
        <f>IF(A3&lt;5,IF(_xlfn.MAXIFS(A:A,G:G,G3)&gt;3,5-A3,_xlfn.MAXIFS(A:A,G:G,G3)+1-A3),"")</f>
        <v/>
      </c>
      <c r="R3" s="4">
        <f>IF(G3="17-21",MAX(T3,V3,Y3,AA3,AC3,AF3),MAX(X3,AE3))</f>
        <v>55.88</v>
      </c>
      <c r="S3" s="4">
        <f>IF(G3="17-21",LARGE(CHOOSE({1,2,3,4,5,6},T3,V3,Y3,AA3,AC3,AF3),2),IF(R3=X3,MAX(Y3,AA3,AC3,AF3),IF(R3=AE3,MAX(AF3,T3,V3,Y3),0)))</f>
        <v>44.55</v>
      </c>
      <c r="T3" s="32">
        <v>55.88</v>
      </c>
      <c r="U3" s="37">
        <v>15.8</v>
      </c>
      <c r="V3" s="33">
        <v>20.74</v>
      </c>
      <c r="W3" s="37">
        <v>7.1</v>
      </c>
      <c r="X3" s="4">
        <f>IF(H3="Senior",MAX(T3,V3),T3+V3)</f>
        <v>55.88</v>
      </c>
      <c r="Y3" s="33">
        <v>44.55</v>
      </c>
      <c r="Z3" s="37">
        <v>12.4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98</v>
      </c>
      <c r="D4" s="35" t="str">
        <f>IF(E4="","",VLOOKUP(E4,'Coaching Points'!A:B,2,0))</f>
        <v>QC</v>
      </c>
      <c r="E4" s="35" t="s">
        <v>3</v>
      </c>
      <c r="F4" s="34">
        <v>2005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R4+IF(OR(H4="Junior",H4="Senior"),0.0002,IF(OR(H4="L7",H4="L6"),0.0001,0))+IF(G4="17-21",MAX(AA4,AC4,AF4),AE4)*0.0000001</f>
        <v>55.860199999999999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55.86</v>
      </c>
      <c r="S4" s="4">
        <f>IF(G4="17-21",LARGE(CHOOSE({1,2,3,4,5,6},T4,V4,Y4,AA4,AC4,AF4),2),IF(R4=X4,MAX(Y4,AA4,AC4,AF4),IF(R4=AE4,MAX(AF4,T4,V4,Y4),0)))</f>
        <v>55.17</v>
      </c>
      <c r="T4" s="32">
        <v>55.86</v>
      </c>
      <c r="U4" s="37">
        <v>15.4</v>
      </c>
      <c r="V4" s="33">
        <v>53.49</v>
      </c>
      <c r="W4" s="37">
        <v>13.8</v>
      </c>
      <c r="X4" s="4">
        <f>IF(H4="Senior",MAX(T4,V4),T4+V4)</f>
        <v>55.86</v>
      </c>
      <c r="Y4" s="33">
        <v>55.17</v>
      </c>
      <c r="Z4" s="37">
        <v>15.4</v>
      </c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88</v>
      </c>
      <c r="D5" s="35" t="str">
        <f>IF(E5="","",VLOOKUP(E5,'Coaching Points'!A:B,2,0))</f>
        <v>QC</v>
      </c>
      <c r="E5" s="35" t="s">
        <v>78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R5+IF(OR(H5="Junior",H5="Senior"),0.0002,IF(OR(H5="L7",H5="L6"),0.0001,0))+IF(G5="17-21",MAX(AA5,AC5,AF5),AE5)*0.0000001</f>
        <v>55.720199999999998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P5" s="36">
        <v>5</v>
      </c>
      <c r="Q5" s="1" t="str">
        <f>IF(A5&lt;5,IF(_xlfn.MAXIFS(A:A,G:G,G5)&gt;3,5-A5,_xlfn.MAXIFS(A:A,G:G,G5)+1-A5),"")</f>
        <v/>
      </c>
      <c r="R5" s="4">
        <f>IF(G5="17-21",MAX(T5,V5,Y5,AA5,AC5,AF5),MAX(X5,AE5))</f>
        <v>55.72</v>
      </c>
      <c r="S5" s="4">
        <f>IF(G5="17-21",LARGE(CHOOSE({1,2,3,4,5,6},T5,V5,Y5,AA5,AC5,AF5),2),IF(R5=X5,MAX(Y5,AA5,AC5,AF5),IF(R5=AE5,MAX(AF5,T5,V5,Y5),0)))</f>
        <v>54.99</v>
      </c>
      <c r="T5" s="32">
        <v>54.99</v>
      </c>
      <c r="U5" s="37">
        <v>15.4</v>
      </c>
      <c r="V5" s="33">
        <v>55.72</v>
      </c>
      <c r="W5" s="37">
        <v>15.4</v>
      </c>
      <c r="X5" s="4">
        <f>IF(H5="Senior",MAX(T5,V5),T5+V5)</f>
        <v>55.72</v>
      </c>
      <c r="Y5" s="33">
        <v>51.61</v>
      </c>
      <c r="Z5" s="37">
        <v>13.5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167</v>
      </c>
      <c r="D6" s="35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R6+IF(OR(H6="Junior",H6="Senior"),0.0002,IF(OR(H6="L7",H6="L6"),0.0001,0))+IF(G6="17-21",MAX(AA6,AC6,AF6),AE6)*0.0000001</f>
        <v>53.5002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2</v>
      </c>
      <c r="Q6" s="1" t="str">
        <f>IF(A6&lt;5,IF(_xlfn.MAXIFS(A:A,G:G,G6)&gt;3,5-A6,_xlfn.MAXIFS(A:A,G:G,G6)+1-A6),"")</f>
        <v/>
      </c>
      <c r="R6" s="4">
        <f>IF(G6="17-21",MAX(T6,V6,Y6,AA6,AC6,AF6),MAX(X6,AE6))</f>
        <v>53.5</v>
      </c>
      <c r="S6" s="4">
        <f>IF(G6="17-21",LARGE(CHOOSE({1,2,3,4,5,6},T6,V6,Y6,AA6,AC6,AF6),2),IF(R6=X6,MAX(Y6,AA6,AC6,AF6),IF(R6=AE6,MAX(AF6,T6,V6,Y6),0)))</f>
        <v>52.74</v>
      </c>
      <c r="T6" s="32">
        <v>52.74</v>
      </c>
      <c r="U6" s="37">
        <v>13.4</v>
      </c>
      <c r="V6" s="33">
        <v>53.5</v>
      </c>
      <c r="W6" s="37">
        <v>14</v>
      </c>
      <c r="X6" s="4">
        <f>IF(H6="Senior",MAX(T6,V6),T6+V6)</f>
        <v>53.5</v>
      </c>
      <c r="Y6" s="33">
        <v>38.619999999999997</v>
      </c>
      <c r="Z6" s="37">
        <v>10.3</v>
      </c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90</v>
      </c>
      <c r="D7" s="35" t="str">
        <f>IF(E7="","",VLOOKUP(E7,'Coaching Points'!A:B,2,0))</f>
        <v>NL</v>
      </c>
      <c r="E7" s="35" t="s">
        <v>91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R7+IF(OR(H7="Junior",H7="Senior"),0.0002,IF(OR(H7="L7",H7="L6"),0.0001,0))+IF(G7="17-21",MAX(AA7,AC7,AF7),AE7)*0.0000001</f>
        <v>53.040199999999999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1</v>
      </c>
      <c r="Q7" s="1" t="str">
        <f>IF(A7&lt;5,IF(_xlfn.MAXIFS(A:A,G:G,G7)&gt;3,5-A7,_xlfn.MAXIFS(A:A,G:G,G7)+1-A7),"")</f>
        <v/>
      </c>
      <c r="R7" s="4">
        <f>IF(G7="17-21",MAX(T7,V7,Y7,AA7,AC7,AF7),MAX(X7,AE7))</f>
        <v>53.04</v>
      </c>
      <c r="S7" s="4">
        <f>IF(G7="17-21",LARGE(CHOOSE({1,2,3,4,5,6},T7,V7,Y7,AA7,AC7,AF7),2),IF(R7=X7,MAX(Y7,AA7,AC7,AF7),IF(R7=AE7,MAX(AF7,T7,V7,Y7),0)))</f>
        <v>28.32</v>
      </c>
      <c r="T7" s="32">
        <v>5.94</v>
      </c>
      <c r="U7" s="37">
        <v>2</v>
      </c>
      <c r="V7" s="33">
        <v>53.04</v>
      </c>
      <c r="W7" s="37">
        <v>14.4</v>
      </c>
      <c r="X7" s="4">
        <f>IF(H7="Senior",MAX(T7,V7),T7+V7)</f>
        <v>53.04</v>
      </c>
      <c r="Y7" s="33">
        <v>28.32</v>
      </c>
      <c r="Z7" s="37">
        <v>5.4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96</v>
      </c>
      <c r="D8" s="35" t="str">
        <f>IF(E8="","",VLOOKUP(E8,'Coaching Points'!A:B,2,0))</f>
        <v>ON</v>
      </c>
      <c r="E8" s="35" t="s">
        <v>97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>R8+IF(OR(H8="Junior",H8="Senior"),0.0002,IF(OR(H8="L7",H8="L6"),0.0001,0))+IF(G8="17-21",MAX(AA8,AC8,AF8),AE8)*0.0000001</f>
        <v>52.470199999999998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6">
        <v>3</v>
      </c>
      <c r="Q8" s="1" t="str">
        <f>IF(A8&lt;5,IF(_xlfn.MAXIFS(A:A,G:G,G8)&gt;3,5-A8,_xlfn.MAXIFS(A:A,G:G,G8)+1-A8),"")</f>
        <v/>
      </c>
      <c r="R8" s="4">
        <f>IF(G8="17-21",MAX(T8,V8,Y8,AA8,AC8,AF8),MAX(X8,AE8))</f>
        <v>52.47</v>
      </c>
      <c r="S8" s="4">
        <f>IF(G8="17-21",LARGE(CHOOSE({1,2,3,4,5,6},T8,V8,Y8,AA8,AC8,AF8),2),IF(R8=X8,MAX(Y8,AA8,AC8,AF8),IF(R8=AE8,MAX(AF8,T8,V8,Y8),0)))</f>
        <v>48.51</v>
      </c>
      <c r="T8" s="32">
        <v>52.47</v>
      </c>
      <c r="U8" s="37">
        <v>14</v>
      </c>
      <c r="V8" s="33">
        <v>48.51</v>
      </c>
      <c r="W8" s="37">
        <v>12.4</v>
      </c>
      <c r="X8" s="4">
        <f>IF(H8="Senior",MAX(T8,V8),T8+V8)</f>
        <v>52.47</v>
      </c>
      <c r="Y8" s="33">
        <v>18.38</v>
      </c>
      <c r="Z8" s="37">
        <v>5.0999999999999996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t="str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/>
      </c>
      <c r="C9" s="35" t="s">
        <v>172</v>
      </c>
      <c r="D9" s="35" t="str">
        <f>IF(E9="","",VLOOKUP(E9,'Coaching Points'!A:B,2,0))</f>
        <v>QC</v>
      </c>
      <c r="E9" s="35" t="s">
        <v>3</v>
      </c>
      <c r="F9" s="34">
        <v>2006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R9+IF(OR(H9="Junior",H9="Senior"),0.0002,IF(OR(H9="L7",H9="L6"),0.0001,0))+IF(G9="17-21",MAX(AA9,AC9,AF9),AE9)*0.0000001</f>
        <v>52.000100000000003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52</v>
      </c>
      <c r="S9" s="4">
        <f>IF(G9="17-21",LARGE(CHOOSE({1,2,3,4,5,6},T9,V9,Y9,AA9,AC9,AF9),2),IF(R9=X9,MAX(Y9,AA9,AC9,AF9),IF(R9=AE9,MAX(AF9,T9,V9,Y9),0)))</f>
        <v>51.16</v>
      </c>
      <c r="T9" s="32">
        <v>51.16</v>
      </c>
      <c r="U9" s="37">
        <v>12.2</v>
      </c>
      <c r="V9" s="33">
        <v>6.09</v>
      </c>
      <c r="W9" s="37">
        <v>2</v>
      </c>
      <c r="X9" s="4">
        <f>IF(H9="Senior",MAX(T9,V9),T9+V9)</f>
        <v>57.25</v>
      </c>
      <c r="Y9" s="33">
        <v>52</v>
      </c>
      <c r="Z9" s="37">
        <v>12.2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93</v>
      </c>
      <c r="D10" s="35" t="str">
        <f>IF(E10="","",VLOOKUP(E10,'Coaching Points'!A:B,2,0))</f>
        <v>QC</v>
      </c>
      <c r="E10" s="35" t="s">
        <v>201</v>
      </c>
      <c r="F10" s="34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R10+IF(OR(H10="Junior",H10="Senior"),0.0002,IF(OR(H10="L7",H10="L6"),0.0001,0))+IF(G10="17-21",MAX(AA10,AC10,AF10),AE10)*0.0000001</f>
        <v>51.970100000000002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51.97</v>
      </c>
      <c r="S10" s="4">
        <f>IF(G10="17-21",LARGE(CHOOSE({1,2,3,4,5,6},T10,V10,Y10,AA10,AC10,AF10),2),IF(R10=X10,MAX(Y10,AA10,AC10,AF10),IF(R10=AE10,MAX(AF10,T10,V10,Y10),0)))</f>
        <v>50.3</v>
      </c>
      <c r="T10" s="32">
        <v>46.88</v>
      </c>
      <c r="U10" s="37">
        <v>11.2</v>
      </c>
      <c r="V10" s="33">
        <v>50.3</v>
      </c>
      <c r="W10" s="37">
        <v>11.8</v>
      </c>
      <c r="X10" s="4">
        <f>IF(H10="Senior",MAX(T10,V10),T10+V10)</f>
        <v>97.18</v>
      </c>
      <c r="Y10" s="33">
        <v>51.97</v>
      </c>
      <c r="Z10" s="37">
        <v>11.8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315</v>
      </c>
      <c r="D11" s="35" t="str">
        <f>IF(E11="","",VLOOKUP(E11,'Coaching Points'!A:B,2,0))</f>
        <v>QC</v>
      </c>
      <c r="E11" s="35" t="s">
        <v>75</v>
      </c>
      <c r="F11" s="34">
        <v>2005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R11+IF(OR(H11="Junior",H11="Senior"),0.0002,IF(OR(H11="L7",H11="L6"),0.0001,0))+IF(G11="17-21",MAX(AA11,AC11,AF11),AE11)*0.0000001</f>
        <v>51.810100000000006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51.81</v>
      </c>
      <c r="S11" s="4">
        <f>IF(G11="17-21",LARGE(CHOOSE({1,2,3,4,5,6},T11,V11,Y11,AA11,AC11,AF11),2),IF(R11=X11,MAX(Y11,AA11,AC11,AF11),IF(R11=AE11,MAX(AF11,T11,V11,Y11),0)))</f>
        <v>45.43</v>
      </c>
      <c r="T11" s="32">
        <v>43.04</v>
      </c>
      <c r="U11" s="37">
        <v>11.2</v>
      </c>
      <c r="V11" s="33">
        <v>51.81</v>
      </c>
      <c r="W11" s="37">
        <v>11.2</v>
      </c>
      <c r="X11" s="4">
        <f>IF(H11="Senior",MAX(T11,V11),T11+V11)</f>
        <v>94.85</v>
      </c>
      <c r="Y11" s="33">
        <v>45.43</v>
      </c>
      <c r="Z11" s="37">
        <v>9.8000000000000007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94</v>
      </c>
      <c r="D12" s="35" t="str">
        <f>IF(E12="","",VLOOKUP(E12,'Coaching Points'!A:B,2,0))</f>
        <v>ON</v>
      </c>
      <c r="E12" s="35" t="s">
        <v>71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R12+IF(OR(H12="Junior",H12="Senior"),0.0002,IF(OR(H12="L7",H12="L6"),0.0001,0))+IF(G12="17-21",MAX(AA12,AC12,AF12),AE12)*0.0000001</f>
        <v>51.790100000000002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51.79</v>
      </c>
      <c r="S12" s="4">
        <f>IF(G12="17-21",LARGE(CHOOSE({1,2,3,4,5,6},T12,V12,Y12,AA12,AC12,AF12),2),IF(R12=X12,MAX(Y12,AA12,AC12,AF12),IF(R12=AE12,MAX(AF12,T12,V12,Y12),0)))</f>
        <v>50.05</v>
      </c>
      <c r="T12" s="32">
        <v>5.38</v>
      </c>
      <c r="U12" s="37">
        <v>1.5</v>
      </c>
      <c r="V12" s="33">
        <v>50.05</v>
      </c>
      <c r="W12" s="37">
        <v>13</v>
      </c>
      <c r="X12" s="4">
        <f>IF(H12="Senior",MAX(T12,V12),T12+V12)</f>
        <v>55.43</v>
      </c>
      <c r="Y12" s="33">
        <v>51.79</v>
      </c>
      <c r="Z12" s="37">
        <v>13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73</v>
      </c>
      <c r="D13" s="35" t="str">
        <f>IF(E13="","",VLOOKUP(E13,'Coaching Points'!A:B,2,0))</f>
        <v>ON</v>
      </c>
      <c r="E13" s="35" t="s">
        <v>97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>R13+IF(OR(H13="Junior",H13="Senior"),0.0002,IF(OR(H13="L7",H13="L6"),0.0001,0))+IF(G13="17-21",MAX(AA13,AC13,AF13),AE13)*0.0000001</f>
        <v>51.670100000000005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51.67</v>
      </c>
      <c r="S13" s="4">
        <f>IF(G13="17-21",LARGE(CHOOSE({1,2,3,4,5,6},T13,V13,Y13,AA13,AC13,AF13),2),IF(R13=X13,MAX(Y13,AA13,AC13,AF13),IF(R13=AE13,MAX(AF13,T13,V13,Y13),0)))</f>
        <v>49.4</v>
      </c>
      <c r="T13" s="32">
        <v>48.75</v>
      </c>
      <c r="U13" s="37">
        <v>12</v>
      </c>
      <c r="V13" s="33">
        <v>49.4</v>
      </c>
      <c r="W13" s="37">
        <v>12</v>
      </c>
      <c r="X13" s="4">
        <f>IF(H13="Senior",MAX(T13,V13),T13+V13)</f>
        <v>98.15</v>
      </c>
      <c r="Y13" s="33">
        <v>51.67</v>
      </c>
      <c r="Z13" s="37">
        <v>12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92</v>
      </c>
      <c r="D14" s="35" t="str">
        <f>IF(E14="","",VLOOKUP(E14,'Coaching Points'!A:B,2,0))</f>
        <v>AB</v>
      </c>
      <c r="E14" s="35" t="s">
        <v>28</v>
      </c>
      <c r="F14" s="34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72</v>
      </c>
      <c r="I14" s="40"/>
      <c r="J14" s="4">
        <f>R14+IF(OR(H14="Junior",H14="Senior"),0.0002,IF(OR(H14="L7",H14="L6"),0.0001,0))+IF(G14="17-21",MAX(AA14,AC14,AF14),AE14)*0.0000001</f>
        <v>51.530200000000001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51.53</v>
      </c>
      <c r="S14" s="4">
        <f>IF(G14="17-21",LARGE(CHOOSE({1,2,3,4,5,6},T14,V14,Y14,AA14,AC14,AF14),2),IF(R14=X14,MAX(Y14,AA14,AC14,AF14),IF(R14=AE14,MAX(AF14,T14,V14,Y14),0)))</f>
        <v>47.3</v>
      </c>
      <c r="T14" s="32">
        <v>51.53</v>
      </c>
      <c r="U14" s="37">
        <v>14.4</v>
      </c>
      <c r="V14" s="33">
        <v>47.3</v>
      </c>
      <c r="W14" s="37">
        <v>12.8</v>
      </c>
      <c r="X14" s="4">
        <f>IF(H14="Senior",MAX(T14,V14),T14+V14)</f>
        <v>51.53</v>
      </c>
      <c r="Y14" s="33">
        <v>6.16</v>
      </c>
      <c r="Z14" s="37">
        <v>2</v>
      </c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81</v>
      </c>
      <c r="D15" s="35" t="str">
        <f>IF(E15="","",VLOOKUP(E15,'Coaching Points'!A:B,2,0))</f>
        <v>QC</v>
      </c>
      <c r="E15" s="35" t="s">
        <v>201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66</v>
      </c>
      <c r="I15" s="40"/>
      <c r="J15" s="4">
        <f>R15+IF(OR(H15="Junior",H15="Senior"),0.0002,IF(OR(H15="L7",H15="L6"),0.0001,0))+IF(G15="17-21",MAX(AA15,AC15,AF15),AE15)*0.0000001</f>
        <v>50.400100000000002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50.4</v>
      </c>
      <c r="S15" s="4">
        <f>IF(G15="17-21",LARGE(CHOOSE({1,2,3,4,5,6},T15,V15,Y15,AA15,AC15,AF15),2),IF(R15=X15,MAX(Y15,AA15,AC15,AF15),IF(R15=AE15,MAX(AF15,T15,V15,Y15),0)))</f>
        <v>49.4</v>
      </c>
      <c r="T15" s="32">
        <v>48.87</v>
      </c>
      <c r="U15" s="37">
        <v>9.4</v>
      </c>
      <c r="V15" s="33">
        <v>49.4</v>
      </c>
      <c r="W15" s="37">
        <v>9.4</v>
      </c>
      <c r="X15" s="4">
        <f>IF(H15="Senior",MAX(T15,V15),T15+V15)</f>
        <v>98.27</v>
      </c>
      <c r="Y15" s="33">
        <v>50.4</v>
      </c>
      <c r="Z15" s="37">
        <v>9.4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89</v>
      </c>
      <c r="D16" s="35" t="str">
        <f>IF(E16="","",VLOOKUP(E16,'Coaching Points'!A:B,2,0))</f>
        <v>BC</v>
      </c>
      <c r="E16" s="35" t="s">
        <v>60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>R16+IF(OR(H16="Junior",H16="Senior"),0.0002,IF(OR(H16="L7",H16="L6"),0.0001,0))+IF(G16="17-21",MAX(AA16,AC16,AF16),AE16)*0.0000001</f>
        <v>49.1601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49.16</v>
      </c>
      <c r="S16" s="4">
        <f>IF(G16="17-21",LARGE(CHOOSE({1,2,3,4,5,6},T16,V16,Y16,AA16,AC16,AF16),2),IF(R16=X16,MAX(Y16,AA16,AC16,AF16),IF(R16=AE16,MAX(AF16,T16,V16,Y16),0)))</f>
        <v>48.5</v>
      </c>
      <c r="T16" s="32">
        <v>48.5</v>
      </c>
      <c r="U16" s="37">
        <v>10.5</v>
      </c>
      <c r="V16" s="33">
        <v>49.16</v>
      </c>
      <c r="W16" s="37">
        <v>11.3</v>
      </c>
      <c r="X16" s="4">
        <f>IF(H16="Senior",MAX(T16,V16),T16+V16)</f>
        <v>97.66</v>
      </c>
      <c r="Y16" s="33">
        <v>44.03</v>
      </c>
      <c r="Z16" s="37">
        <v>9.1</v>
      </c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168</v>
      </c>
      <c r="D17" s="35" t="str">
        <f>IF(E17="","",VLOOKUP(E17,'Coaching Points'!A:B,2,0))</f>
        <v>BC</v>
      </c>
      <c r="E17" s="35" t="s">
        <v>198</v>
      </c>
      <c r="F17" s="34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66</v>
      </c>
      <c r="I17" s="40"/>
      <c r="J17" s="4">
        <f>R17+IF(OR(H17="Junior",H17="Senior"),0.0002,IF(OR(H17="L7",H17="L6"),0.0001,0))+IF(G17="17-21",MAX(AA17,AC17,AF17),AE17)*0.0000001</f>
        <v>49.080100000000002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49.08</v>
      </c>
      <c r="S17" s="4">
        <f>IF(G17="17-21",LARGE(CHOOSE({1,2,3,4,5,6},T17,V17,Y17,AA17,AC17,AF17),2),IF(R17=X17,MAX(Y17,AA17,AC17,AF17),IF(R17=AE17,MAX(AF17,T17,V17,Y17),0)))</f>
        <v>45.93</v>
      </c>
      <c r="T17" s="32">
        <v>45.93</v>
      </c>
      <c r="U17" s="37">
        <v>10.6</v>
      </c>
      <c r="V17" s="33">
        <v>49.08</v>
      </c>
      <c r="W17" s="37">
        <v>12.4</v>
      </c>
      <c r="X17" s="4">
        <f>IF(H17="Senior",MAX(T17,V17),T17+V17)</f>
        <v>95.009999999999991</v>
      </c>
      <c r="Y17" s="33">
        <v>45.75</v>
      </c>
      <c r="Z17" s="37">
        <v>11.5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136</v>
      </c>
      <c r="D18" s="35" t="str">
        <f>IF(E18="","",VLOOKUP(E18,'Coaching Points'!A:B,2,0))</f>
        <v>AB</v>
      </c>
      <c r="E18" s="35" t="s">
        <v>62</v>
      </c>
      <c r="F18" s="34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72</v>
      </c>
      <c r="I18" s="40"/>
      <c r="J18" s="4">
        <f>R18+IF(OR(H18="Junior",H18="Senior"),0.0002,IF(OR(H18="L7",H18="L6"),0.0001,0))+IF(G18="17-21",MAX(AA18,AC18,AF18),AE18)*0.0000001</f>
        <v>48.920200000000001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48.92</v>
      </c>
      <c r="S18" s="4">
        <f>IF(G18="17-21",LARGE(CHOOSE({1,2,3,4,5,6},T18,V18,Y18,AA18,AC18,AF18),2),IF(R18=X18,MAX(Y18,AA18,AC18,AF18),IF(R18=AE18,MAX(AF18,T18,V18,Y18),0)))</f>
        <v>47.45</v>
      </c>
      <c r="T18" s="32">
        <v>47.45</v>
      </c>
      <c r="U18" s="37">
        <v>12.1</v>
      </c>
      <c r="V18" s="33">
        <v>48.92</v>
      </c>
      <c r="W18" s="37">
        <v>12.7</v>
      </c>
      <c r="X18" s="4">
        <f>IF(H18="Senior",MAX(T18,V18),T18+V18)</f>
        <v>48.92</v>
      </c>
      <c r="Y18" s="33"/>
      <c r="Z18" s="37"/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301</v>
      </c>
      <c r="D19" s="35" t="str">
        <f>IF(E19="","",VLOOKUP(E19,'Coaching Points'!A:B,2,0))</f>
        <v>NL</v>
      </c>
      <c r="E19" s="35" t="s">
        <v>91</v>
      </c>
      <c r="F19" s="34">
        <v>2007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>R19+IF(OR(H19="Junior",H19="Senior"),0.0002,IF(OR(H19="L7",H19="L6"),0.0001,0))+IF(G19="17-21",MAX(AA19,AC19,AF19),AE19)*0.0000001</f>
        <v>48.63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48.63</v>
      </c>
      <c r="S19" s="4">
        <f>IF(G19="17-21",LARGE(CHOOSE({1,2,3,4,5,6},T19,V19,Y19,AA19,AC19,AF19),2),IF(R19=X19,MAX(Y19,AA19,AC19,AF19),IF(R19=AE19,MAX(AF19,T19,V19,Y19),0)))</f>
        <v>43.66</v>
      </c>
      <c r="T19" s="32">
        <v>39.81</v>
      </c>
      <c r="U19" s="37">
        <v>0</v>
      </c>
      <c r="V19" s="33">
        <v>43.66</v>
      </c>
      <c r="W19" s="37">
        <v>7.8</v>
      </c>
      <c r="X19" s="4">
        <f>IF(H19="Senior",MAX(T19,V19),T19+V19)</f>
        <v>83.47</v>
      </c>
      <c r="Y19" s="33">
        <v>48.63</v>
      </c>
      <c r="Z19" s="37">
        <v>9.1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174</v>
      </c>
      <c r="D20" s="35" t="str">
        <f>IF(E20="","",VLOOKUP(E20,'Coaching Points'!A:B,2,0))</f>
        <v>QC</v>
      </c>
      <c r="E20" s="35" t="s">
        <v>85</v>
      </c>
      <c r="F20" s="34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64</v>
      </c>
      <c r="I20" s="40"/>
      <c r="J20" s="4">
        <f>R20+IF(OR(H20="Junior",H20="Senior"),0.0002,IF(OR(H20="L7",H20="L6"),0.0001,0))+IF(G20="17-21",MAX(AA20,AC20,AF20),AE20)*0.0000001</f>
        <v>47.81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47.81</v>
      </c>
      <c r="S20" s="4">
        <f>IF(G20="17-21",LARGE(CHOOSE({1,2,3,4,5,6},T20,V20,Y20,AA20,AC20,AF20),2),IF(R20=X20,MAX(Y20,AA20,AC20,AF20),IF(R20=AE20,MAX(AF20,T20,V20,Y20),0)))</f>
        <v>40.03</v>
      </c>
      <c r="T20" s="32">
        <v>40.03</v>
      </c>
      <c r="U20" s="37">
        <v>0</v>
      </c>
      <c r="V20" s="33">
        <v>15.08</v>
      </c>
      <c r="W20" s="37">
        <v>3.4</v>
      </c>
      <c r="X20" s="4">
        <f>IF(H20="Senior",MAX(T20,V20),T20+V20)</f>
        <v>55.11</v>
      </c>
      <c r="Y20" s="33">
        <v>47.81</v>
      </c>
      <c r="Z20" s="37">
        <v>9.5</v>
      </c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287</v>
      </c>
      <c r="D21" s="35" t="str">
        <f>IF(E21="","",VLOOKUP(E21,'Coaching Points'!A:B,2,0))</f>
        <v>BC</v>
      </c>
      <c r="E21" s="35" t="s">
        <v>60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>R21+IF(OR(H21="Junior",H21="Senior"),0.0002,IF(OR(H21="L7",H21="L6"),0.0001,0))+IF(G21="17-21",MAX(AA21,AC21,AF21),AE21)*0.0000001</f>
        <v>47.500100000000003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47.5</v>
      </c>
      <c r="S21" s="4">
        <f>IF(G21="17-21",LARGE(CHOOSE({1,2,3,4,5,6},T21,V21,Y21,AA21,AC21,AF21),2),IF(R21=X21,MAX(Y21,AA21,AC21,AF21),IF(R21=AE21,MAX(AF21,T21,V21,Y21),0)))</f>
        <v>44.32</v>
      </c>
      <c r="T21" s="32">
        <v>47.5</v>
      </c>
      <c r="U21" s="37">
        <v>10.6</v>
      </c>
      <c r="V21" s="33">
        <v>44.32</v>
      </c>
      <c r="W21" s="37">
        <v>9</v>
      </c>
      <c r="X21" s="4">
        <f>IF(H21="Senior",MAX(T21,V21),T21+V21)</f>
        <v>91.82</v>
      </c>
      <c r="Y21" s="33"/>
      <c r="Z21" s="37"/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195</v>
      </c>
      <c r="D22" s="35" t="str">
        <f>IF(E22="","",VLOOKUP(E22,'Coaching Points'!A:B,2,0))</f>
        <v>AB</v>
      </c>
      <c r="E22" s="35" t="s">
        <v>62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>R22+IF(OR(H22="Junior",H22="Senior"),0.0002,IF(OR(H22="L7",H22="L6"),0.0001,0))+IF(G22="17-21",MAX(AA22,AC22,AF22),AE22)*0.0000001</f>
        <v>46.670100000000005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46.67</v>
      </c>
      <c r="S22" s="4">
        <f>IF(G22="17-21",LARGE(CHOOSE({1,2,3,4,5,6},T22,V22,Y22,AA22,AC22,AF22),2),IF(R22=X22,MAX(Y22,AA22,AC22,AF22),IF(R22=AE22,MAX(AF22,T22,V22,Y22),0)))</f>
        <v>10.5</v>
      </c>
      <c r="T22" s="32">
        <v>46.67</v>
      </c>
      <c r="U22" s="37">
        <v>11.6</v>
      </c>
      <c r="V22" s="33">
        <v>10.5</v>
      </c>
      <c r="W22" s="37">
        <v>2.7</v>
      </c>
      <c r="X22" s="4">
        <f>IF(H22="Senior",MAX(T22,V22),T22+V22)</f>
        <v>57.17</v>
      </c>
      <c r="Y22" s="33"/>
      <c r="Z22" s="37"/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79</v>
      </c>
      <c r="D23" s="35" t="str">
        <f>IF(E23="","",VLOOKUP(E23,'Coaching Points'!A:B,2,0))</f>
        <v>QC</v>
      </c>
      <c r="E23" s="35" t="s">
        <v>78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66</v>
      </c>
      <c r="I23" s="40"/>
      <c r="J23" s="4">
        <f>R23+IF(OR(H23="Junior",H23="Senior"),0.0002,IF(OR(H23="L7",H23="L6"),0.0001,0))+IF(G23="17-21",MAX(AA23,AC23,AF23),AE23)*0.0000001</f>
        <v>46.5501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46.55</v>
      </c>
      <c r="S23" s="4">
        <f>IF(G23="17-21",LARGE(CHOOSE({1,2,3,4,5,6},T23,V23,Y23,AA23,AC23,AF23),2),IF(R23=X23,MAX(Y23,AA23,AC23,AF23),IF(R23=AE23,MAX(AF23,T23,V23,Y23),0)))</f>
        <v>21.2</v>
      </c>
      <c r="T23" s="32">
        <v>21.2</v>
      </c>
      <c r="U23" s="37">
        <v>4.4000000000000004</v>
      </c>
      <c r="V23" s="33">
        <v>46.55</v>
      </c>
      <c r="W23" s="37">
        <v>9.1999999999999993</v>
      </c>
      <c r="X23" s="4">
        <f>IF(H23="Senior",MAX(T23,V23),T23+V23)</f>
        <v>67.75</v>
      </c>
      <c r="Y23" s="33"/>
      <c r="Z23" s="37"/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80</v>
      </c>
      <c r="D24" s="35" t="str">
        <f>IF(E24="","",VLOOKUP(E24,'Coaching Points'!A:B,2,0))</f>
        <v>BC</v>
      </c>
      <c r="E24" s="35" t="s">
        <v>70</v>
      </c>
      <c r="F24" s="34">
        <v>2007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66</v>
      </c>
      <c r="I24" s="40"/>
      <c r="J24" s="4">
        <f>R24+IF(OR(H24="Junior",H24="Senior"),0.0002,IF(OR(H24="L7",H24="L6"),0.0001,0))+IF(G24="17-21",MAX(AA24,AC24,AF24),AE24)*0.0000001</f>
        <v>45.970100000000002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45.97</v>
      </c>
      <c r="S24" s="4">
        <f>IF(G24="17-21",LARGE(CHOOSE({1,2,3,4,5,6},T24,V24,Y24,AA24,AC24,AF24),2),IF(R24=X24,MAX(Y24,AA24,AC24,AF24),IF(R24=AE24,MAX(AF24,T24,V24,Y24),0)))</f>
        <v>45.74</v>
      </c>
      <c r="T24" s="32">
        <v>45.97</v>
      </c>
      <c r="U24" s="37">
        <v>10</v>
      </c>
      <c r="V24" s="33">
        <v>45.74</v>
      </c>
      <c r="W24" s="37">
        <v>10.6</v>
      </c>
      <c r="X24" s="4">
        <f>IF(H24="Senior",MAX(T24,V24),T24+V24)</f>
        <v>91.710000000000008</v>
      </c>
      <c r="Y24" s="33"/>
      <c r="Z24" s="37"/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84</v>
      </c>
      <c r="D25" s="35" t="str">
        <f>IF(E25="","",VLOOKUP(E25,'Coaching Points'!A:B,2,0))</f>
        <v>AB</v>
      </c>
      <c r="E25" s="35" t="s">
        <v>68</v>
      </c>
      <c r="F25" s="34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R25+IF(OR(H25="Junior",H25="Senior"),0.0002,IF(OR(H25="L7",H25="L6"),0.0001,0))+IF(G25="17-21",MAX(AA25,AC25,AF25),AE25)*0.0000001</f>
        <v>45.72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45.72</v>
      </c>
      <c r="S25" s="4">
        <f>IF(G25="17-21",LARGE(CHOOSE({1,2,3,4,5,6},T25,V25,Y25,AA25,AC25,AF25),2),IF(R25=X25,MAX(Y25,AA25,AC25,AF25),IF(R25=AE25,MAX(AF25,T25,V25,Y25),0)))</f>
        <v>38.22</v>
      </c>
      <c r="T25" s="32">
        <v>38.22</v>
      </c>
      <c r="U25" s="37">
        <v>0</v>
      </c>
      <c r="V25" s="33">
        <v>14</v>
      </c>
      <c r="W25" s="37">
        <v>2.9</v>
      </c>
      <c r="X25" s="4">
        <f>IF(H25="Senior",MAX(T25,V25),T25+V25)</f>
        <v>52.22</v>
      </c>
      <c r="Y25" s="33">
        <v>45.72</v>
      </c>
      <c r="Z25" s="37">
        <v>9.1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186</v>
      </c>
      <c r="D26" s="35" t="str">
        <f>IF(E26="","",VLOOKUP(E26,'Coaching Points'!A:B,2,0))</f>
        <v>MB</v>
      </c>
      <c r="E26" s="35" t="s">
        <v>67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R26+IF(OR(H26="Junior",H26="Senior"),0.0002,IF(OR(H26="L7",H26="L6"),0.0001,0))+IF(G26="17-21",MAX(AA26,AC26,AF26),AE26)*0.0000001</f>
        <v>45.52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45.52</v>
      </c>
      <c r="S26" s="4">
        <f>IF(G26="17-21",LARGE(CHOOSE({1,2,3,4,5,6},T26,V26,Y26,AA26,AC26,AF26),2),IF(R26=X26,MAX(Y26,AA26,AC26,AF26),IF(R26=AE26,MAX(AF26,T26,V26,Y26),0)))</f>
        <v>43.2</v>
      </c>
      <c r="T26" s="32">
        <v>36.85</v>
      </c>
      <c r="U26" s="37">
        <v>0</v>
      </c>
      <c r="V26" s="33">
        <v>43.2</v>
      </c>
      <c r="W26" s="37">
        <v>9.1</v>
      </c>
      <c r="X26" s="4">
        <f>IF(H26="Senior",MAX(T26,V26),T26+V26)</f>
        <v>80.050000000000011</v>
      </c>
      <c r="Y26" s="33">
        <v>45.52</v>
      </c>
      <c r="Z26" s="37">
        <v>9.1</v>
      </c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316</v>
      </c>
      <c r="D27" s="35" t="str">
        <f>IF(E27="","",VLOOKUP(E27,'Coaching Points'!A:B,2,0))</f>
        <v>NS</v>
      </c>
      <c r="E27" s="35" t="s">
        <v>112</v>
      </c>
      <c r="F27" s="34">
        <v>2003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>R27+IF(OR(H27="Junior",H27="Senior"),0.0002,IF(OR(H27="L7",H27="L6"),0.0001,0))+IF(G27="17-21",MAX(AA27,AC27,AF27),AE27)*0.0000001</f>
        <v>45.420100000000005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45.42</v>
      </c>
      <c r="S27" s="4">
        <f>IF(G27="17-21",LARGE(CHOOSE({1,2,3,4,5,6},T27,V27,Y27,AA27,AC27,AF27),2),IF(R27=X27,MAX(Y27,AA27,AC27,AF27),IF(R27=AE27,MAX(AF27,T27,V27,Y27),0)))</f>
        <v>44.37</v>
      </c>
      <c r="T27" s="32">
        <v>45.42</v>
      </c>
      <c r="U27" s="37">
        <v>8.6</v>
      </c>
      <c r="V27" s="33">
        <v>44.37</v>
      </c>
      <c r="W27" s="37">
        <v>8.8000000000000007</v>
      </c>
      <c r="X27" s="4">
        <f>IF(H27="Senior",MAX(T27,V27),T27+V27)</f>
        <v>89.789999999999992</v>
      </c>
      <c r="Y27" s="33"/>
      <c r="Z27" s="37"/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171</v>
      </c>
      <c r="D28" s="35" t="str">
        <f>IF(E28="","",VLOOKUP(E28,'Coaching Points'!A:B,2,0))</f>
        <v>AB</v>
      </c>
      <c r="E28" s="35" t="s">
        <v>28</v>
      </c>
      <c r="F28" s="34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R28+IF(OR(H28="Junior",H28="Senior"),0.0002,IF(OR(H28="L7",H28="L6"),0.0001,0))+IF(G28="17-21",MAX(AA28,AC28,AF28),AE28)*0.0000001</f>
        <v>45.41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45.41</v>
      </c>
      <c r="S28" s="4">
        <f>IF(G28="17-21",LARGE(CHOOSE({1,2,3,4,5,6},T28,V28,Y28,AA28,AC28,AF28),2),IF(R28=X28,MAX(Y28,AA28,AC28,AF28),IF(R28=AE28,MAX(AF28,T28,V28,Y28),0)))</f>
        <v>43.53</v>
      </c>
      <c r="T28" s="32">
        <v>36.67</v>
      </c>
      <c r="U28" s="37">
        <v>0</v>
      </c>
      <c r="V28" s="33">
        <v>43.53</v>
      </c>
      <c r="W28" s="37">
        <v>8.5</v>
      </c>
      <c r="X28" s="4">
        <f>IF(H28="Senior",MAX(T28,V28),T28+V28)</f>
        <v>80.2</v>
      </c>
      <c r="Y28" s="33">
        <v>45.41</v>
      </c>
      <c r="Z28" s="37">
        <v>8.5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328</v>
      </c>
      <c r="D29" s="35" t="str">
        <f>IF(E29="","",VLOOKUP(E29,'Coaching Points'!A:B,2,0))</f>
        <v>ON</v>
      </c>
      <c r="E29" s="35" t="s">
        <v>97</v>
      </c>
      <c r="F29" s="34">
        <v>2007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R29+IF(OR(H29="Junior",H29="Senior"),0.0002,IF(OR(H29="L7",H29="L6"),0.0001,0))+IF(G29="17-21",MAX(AA29,AC29,AF29),AE29)*0.0000001</f>
        <v>44.69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44.69</v>
      </c>
      <c r="S29" s="4">
        <f>IF(G29="17-21",LARGE(CHOOSE({1,2,3,4,5,6},T29,V29,Y29,AA29,AC29,AF29),2),IF(R29=X29,MAX(Y29,AA29,AC29,AF29),IF(R29=AE29,MAX(AF29,T29,V29,Y29),0)))</f>
        <v>40.25</v>
      </c>
      <c r="T29" s="32">
        <v>15.87</v>
      </c>
      <c r="U29" s="37">
        <v>0</v>
      </c>
      <c r="V29" s="33">
        <v>40.25</v>
      </c>
      <c r="W29" s="37">
        <v>7.2</v>
      </c>
      <c r="X29" s="4">
        <f>IF(H29="Senior",MAX(T29,V29),T29+V29)</f>
        <v>56.12</v>
      </c>
      <c r="Y29" s="33">
        <v>44.69</v>
      </c>
      <c r="Z29" s="37">
        <v>8</v>
      </c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83</v>
      </c>
      <c r="D30" s="35" t="str">
        <f>IF(E30="","",VLOOKUP(E30,'Coaching Points'!A:B,2,0))</f>
        <v>BC</v>
      </c>
      <c r="E30" s="35" t="s">
        <v>60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66</v>
      </c>
      <c r="I30" s="40"/>
      <c r="J30" s="4">
        <f>R30+IF(OR(H30="Junior",H30="Senior"),0.0002,IF(OR(H30="L7",H30="L6"),0.0001,0))+IF(G30="17-21",MAX(AA30,AC30,AF30),AE30)*0.0000001</f>
        <v>44.330100000000002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44.33</v>
      </c>
      <c r="S30" s="4">
        <f>IF(G30="17-21",LARGE(CHOOSE({1,2,3,4,5,6},T30,V30,Y30,AA30,AC30,AF30),2),IF(R30=X30,MAX(Y30,AA30,AC30,AF30),IF(R30=AE30,MAX(AF30,T30,V30,Y30),0)))</f>
        <v>18.29</v>
      </c>
      <c r="T30" s="32">
        <v>44.33</v>
      </c>
      <c r="U30" s="37">
        <v>11.3</v>
      </c>
      <c r="V30" s="33">
        <v>18.29</v>
      </c>
      <c r="W30" s="37">
        <v>3.8</v>
      </c>
      <c r="X30" s="4">
        <f>IF(H30="Senior",MAX(T30,V30),T30+V30)</f>
        <v>62.62</v>
      </c>
      <c r="Y30" s="33"/>
      <c r="Z30" s="37"/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169</v>
      </c>
      <c r="D31" s="35" t="str">
        <f>IF(E31="","",VLOOKUP(E31,'Coaching Points'!A:B,2,0))</f>
        <v>QC</v>
      </c>
      <c r="E31" s="35" t="s">
        <v>3</v>
      </c>
      <c r="F31" s="34">
        <v>2007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>R31+IF(OR(H31="Junior",H31="Senior"),0.0002,IF(OR(H31="L7",H31="L6"),0.0001,0))+IF(G31="17-21",MAX(AA31,AC31,AF31),AE31)*0.0000001</f>
        <v>44.27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44.27</v>
      </c>
      <c r="S31" s="4">
        <f>IF(G31="17-21",LARGE(CHOOSE({1,2,3,4,5,6},T31,V31,Y31,AA31,AC31,AF31),2),IF(R31=X31,MAX(Y31,AA31,AC31,AF31),IF(R31=AE31,MAX(AF31,T31,V31,Y31),0)))</f>
        <v>36.409999999999997</v>
      </c>
      <c r="T31" s="32">
        <v>36.409999999999997</v>
      </c>
      <c r="U31" s="37">
        <v>0</v>
      </c>
      <c r="V31" s="33">
        <v>24.59</v>
      </c>
      <c r="W31" s="37">
        <v>4.5999999999999996</v>
      </c>
      <c r="X31" s="4">
        <f>IF(H31="Senior",MAX(T31,V31),T31+V31)</f>
        <v>61</v>
      </c>
      <c r="Y31" s="33">
        <v>44.27</v>
      </c>
      <c r="Z31" s="37">
        <v>8.1</v>
      </c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282</v>
      </c>
      <c r="D32" s="35" t="str">
        <f>IF(E32="","",VLOOKUP(E32,'Coaching Points'!A:B,2,0))</f>
        <v>AB</v>
      </c>
      <c r="E32" s="35" t="s">
        <v>62</v>
      </c>
      <c r="F32" s="34">
        <v>2007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>R32+IF(OR(H32="Junior",H32="Senior"),0.0002,IF(OR(H32="L7",H32="L6"),0.0001,0))+IF(G32="17-21",MAX(AA32,AC32,AF32),AE32)*0.0000001</f>
        <v>43.87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43.87</v>
      </c>
      <c r="S32" s="4">
        <f>IF(G32="17-21",LARGE(CHOOSE({1,2,3,4,5,6},T32,V32,Y32,AA32,AC32,AF32),2),IF(R32=X32,MAX(Y32,AA32,AC32,AF32),IF(R32=AE32,MAX(AF32,T32,V32,Y32),0)))</f>
        <v>42.65</v>
      </c>
      <c r="T32" s="32">
        <v>35.659999999999997</v>
      </c>
      <c r="U32" s="37">
        <v>0</v>
      </c>
      <c r="V32" s="33">
        <v>42.65</v>
      </c>
      <c r="W32" s="37">
        <v>8.4</v>
      </c>
      <c r="X32" s="4">
        <f>IF(H32="Senior",MAX(T32,V32),T32+V32)</f>
        <v>78.31</v>
      </c>
      <c r="Y32" s="33">
        <v>43.87</v>
      </c>
      <c r="Z32" s="37">
        <v>8.4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220</v>
      </c>
      <c r="D33" s="35" t="str">
        <f>IF(E33="","",VLOOKUP(E33,'Coaching Points'!A:B,2,0))</f>
        <v>BC</v>
      </c>
      <c r="E33" s="35" t="s">
        <v>198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66</v>
      </c>
      <c r="I33" s="40"/>
      <c r="J33" s="4">
        <f>R33+IF(OR(H33="Junior",H33="Senior"),0.0002,IF(OR(H33="L7",H33="L6"),0.0001,0))+IF(G33="17-21",MAX(AA33,AC33,AF33),AE33)*0.0000001</f>
        <v>41.9101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41.91</v>
      </c>
      <c r="S33" s="4">
        <f>IF(G33="17-21",LARGE(CHOOSE({1,2,3,4,5,6},T33,V33,Y33,AA33,AC33,AF33),2),IF(R33=X33,MAX(Y33,AA33,AC33,AF33),IF(R33=AE33,MAX(AF33,T33,V33,Y33),0)))</f>
        <v>25.16</v>
      </c>
      <c r="T33" s="32">
        <v>25.16</v>
      </c>
      <c r="U33" s="37">
        <v>3.1</v>
      </c>
      <c r="V33" s="33">
        <v>41.91</v>
      </c>
      <c r="W33" s="37">
        <v>6.7</v>
      </c>
      <c r="X33" s="4">
        <f>IF(H33="Senior",MAX(T33,V33),T33+V33)</f>
        <v>67.069999999999993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82</v>
      </c>
      <c r="D34" s="35" t="str">
        <f>IF(E34="","",VLOOKUP(E34,'Coaching Points'!A:B,2,0))</f>
        <v>ON</v>
      </c>
      <c r="E34" s="35" t="s">
        <v>37</v>
      </c>
      <c r="F34" s="34">
        <v>2007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>R34+IF(OR(H34="Junior",H34="Senior"),0.0002,IF(OR(H34="L7",H34="L6"),0.0001,0))+IF(G34="17-21",MAX(AA34,AC34,AF34),AE34)*0.0000001</f>
        <v>39.340100000000007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39.340000000000003</v>
      </c>
      <c r="S34" s="4">
        <f>IF(G34="17-21",LARGE(CHOOSE({1,2,3,4,5,6},T34,V34,Y34,AA34,AC34,AF34),2),IF(R34=X34,MAX(Y34,AA34,AC34,AF34),IF(R34=AE34,MAX(AF34,T34,V34,Y34),0)))</f>
        <v>20.239999999999998</v>
      </c>
      <c r="T34" s="32">
        <v>39.340000000000003</v>
      </c>
      <c r="U34" s="37">
        <v>9.6</v>
      </c>
      <c r="V34" s="33">
        <v>20.239999999999998</v>
      </c>
      <c r="W34" s="37">
        <v>5</v>
      </c>
      <c r="X34" s="4">
        <f>IF(H34="Senior",MAX(T34,V34),T34+V34)</f>
        <v>59.58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173</v>
      </c>
      <c r="D35" s="35" t="str">
        <f>IF(E35="","",VLOOKUP(E35,'Coaching Points'!A:B,2,0))</f>
        <v>QC</v>
      </c>
      <c r="E35" s="35" t="s">
        <v>200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66</v>
      </c>
      <c r="I35" s="40"/>
      <c r="J35" s="4">
        <f>R35+IF(OR(H35="Junior",H35="Senior"),0.0002,IF(OR(H35="L7",H35="L6"),0.0001,0))+IF(G35="17-21",MAX(AA35,AC35,AF35),AE35)*0.0000001</f>
        <v>39.060100000000006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39.06</v>
      </c>
      <c r="S35" s="4">
        <f>IF(G35="17-21",LARGE(CHOOSE({1,2,3,4,5,6},T35,V35,Y35,AA35,AC35,AF35),2),IF(R35=X35,MAX(Y35,AA35,AC35,AF35),IF(R35=AE35,MAX(AF35,T35,V35,Y35),0)))</f>
        <v>15.9</v>
      </c>
      <c r="T35" s="32">
        <v>15.9</v>
      </c>
      <c r="U35" s="37">
        <v>4</v>
      </c>
      <c r="V35" s="33">
        <v>39.06</v>
      </c>
      <c r="W35" s="37">
        <v>9.4</v>
      </c>
      <c r="X35" s="4">
        <f>IF(H35="Senior",MAX(T35,V35),T35+V35)</f>
        <v>54.96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253</v>
      </c>
      <c r="D36" s="35" t="str">
        <f>IF(E36="","",VLOOKUP(E36,'Coaching Points'!A:B,2,0))</f>
        <v>AB</v>
      </c>
      <c r="E36" s="35" t="s">
        <v>62</v>
      </c>
      <c r="F36" s="34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>R36+IF(OR(H36="Junior",H36="Senior"),0.0002,IF(OR(H36="L7",H36="L6"),0.0001,0))+IF(G36="17-21",MAX(AA36,AC36,AF36),AE36)*0.0000001</f>
        <v>35.86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35.86</v>
      </c>
      <c r="S36" s="4">
        <f>IF(G36="17-21",LARGE(CHOOSE({1,2,3,4,5,6},T36,V36,Y36,AA36,AC36,AF36),2),IF(R36=X36,MAX(Y36,AA36,AC36,AF36),IF(R36=AE36,MAX(AF36,T36,V36,Y36),0)))</f>
        <v>14.03</v>
      </c>
      <c r="T36" s="32">
        <v>35.86</v>
      </c>
      <c r="U36" s="37">
        <v>0</v>
      </c>
      <c r="V36" s="33">
        <v>14.03</v>
      </c>
      <c r="W36" s="37">
        <v>3</v>
      </c>
      <c r="X36" s="4">
        <f>IF(H36="Senior",MAX(T36,V36),T36+V36)</f>
        <v>49.89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255</v>
      </c>
      <c r="D37" s="35" t="str">
        <f>IF(E37="","",VLOOKUP(E37,'Coaching Points'!A:B,2,0))</f>
        <v>AB</v>
      </c>
      <c r="E37" s="35" t="s">
        <v>28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66</v>
      </c>
      <c r="I37" s="40"/>
      <c r="J37" s="4">
        <f>R37+IF(OR(H37="Junior",H37="Senior"),0.0002,IF(OR(H37="L7",H37="L6"),0.0001,0))+IF(G37="17-21",MAX(AA37,AC37,AF37),AE37)*0.0000001</f>
        <v>34.100100000000005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34.1</v>
      </c>
      <c r="S37" s="4">
        <f>IF(G37="17-21",LARGE(CHOOSE({1,2,3,4,5,6},T37,V37,Y37,AA37,AC37,AF37),2),IF(R37=X37,MAX(Y37,AA37,AC37,AF37),IF(R37=AE37,MAX(AF37,T37,V37,Y37),0)))</f>
        <v>10.54</v>
      </c>
      <c r="T37" s="32">
        <v>10.54</v>
      </c>
      <c r="U37" s="37">
        <v>3.2</v>
      </c>
      <c r="V37" s="33">
        <v>34.1</v>
      </c>
      <c r="W37" s="37">
        <v>9.4</v>
      </c>
      <c r="X37" s="4">
        <f>IF(H37="Senior",MAX(T37,V37),T37+V37)</f>
        <v>44.64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95</v>
      </c>
      <c r="D38" s="35" t="str">
        <f>IF(E38="","",VLOOKUP(E38,'Coaching Points'!A:B,2,0))</f>
        <v>BC</v>
      </c>
      <c r="E38" s="35" t="s">
        <v>40</v>
      </c>
      <c r="F38" s="34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66</v>
      </c>
      <c r="I38" s="40"/>
      <c r="J38" s="4">
        <f>R38+IF(OR(H38="Junior",H38="Senior"),0.0002,IF(OR(H38="L7",H38="L6"),0.0001,0))+IF(G38="17-21",MAX(AA38,AC38,AF38),AE38)*0.0000001</f>
        <v>24.290099999999999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24.29</v>
      </c>
      <c r="S38" s="4">
        <f>IF(G38="17-21",LARGE(CHOOSE({1,2,3,4,5,6},T38,V38,Y38,AA38,AC38,AF38),2),IF(R38=X38,MAX(Y38,AA38,AC38,AF38),IF(R38=AE38,MAX(AF38,T38,V38,Y38),0)))</f>
        <v>15.39</v>
      </c>
      <c r="T38" s="32">
        <v>24.29</v>
      </c>
      <c r="U38" s="37">
        <v>5.8</v>
      </c>
      <c r="V38" s="33">
        <v>15.39</v>
      </c>
      <c r="W38" s="37">
        <v>4.2</v>
      </c>
      <c r="X38" s="4">
        <f>IF(H38="Senior",MAX(T38,V38),T38+V38)</f>
        <v>39.68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170</v>
      </c>
      <c r="D39" s="35" t="str">
        <f>IF(E39="","",VLOOKUP(E39,'Coaching Points'!A:B,2,0))</f>
        <v>NB</v>
      </c>
      <c r="E39" s="35" t="s">
        <v>46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66</v>
      </c>
      <c r="I39" s="40"/>
      <c r="J39" s="4">
        <f>R39+IF(OR(H39="Junior",H39="Senior"),0.0002,IF(OR(H39="L7",H39="L6"),0.0001,0))+IF(G39="17-21",MAX(AA39,AC39,AF39),AE39)*0.0000001</f>
        <v>18.860099999999999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18.86</v>
      </c>
      <c r="S39" s="4">
        <f>IF(G39="17-21",LARGE(CHOOSE({1,2,3,4,5,6},T39,V39,Y39,AA39,AC39,AF39),2),IF(R39=X39,MAX(Y39,AA39,AC39,AF39),IF(R39=AE39,MAX(AF39,T39,V39,Y39),0)))</f>
        <v>18.63</v>
      </c>
      <c r="T39" s="32">
        <v>18.86</v>
      </c>
      <c r="U39" s="37">
        <v>5.6</v>
      </c>
      <c r="V39" s="33">
        <v>18.63</v>
      </c>
      <c r="W39" s="37">
        <v>5.6</v>
      </c>
      <c r="X39" s="4">
        <f>IF(H39="Senior",MAX(T39,V39),T39+V39)</f>
        <v>37.489999999999995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77</v>
      </c>
      <c r="D40" s="35" t="str">
        <f>IF(E40="","",VLOOKUP(E40,'Coaching Points'!A:B,2,0))</f>
        <v>AB</v>
      </c>
      <c r="E40" s="35" t="s">
        <v>62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63</v>
      </c>
      <c r="I40" s="40"/>
      <c r="J40" s="4">
        <f>R40+IF(OR(H40="Junior",H40="Senior"),0.0002,IF(OR(H40="L7",H40="L6"),0.0001,0))+IF(G40="17-21",MAX(AA40,AC40,AF40),AE40)*0.0000001</f>
        <v>89.34020000000001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>P</v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89.34</v>
      </c>
      <c r="S40" s="4">
        <f>IF(G40="17-21",LARGE(CHOOSE({1,2,3,4,5,6},T40,V40,Y40,AA40,AC40,AF40),2),IF(R40=X40,MAX(Y40,AA40,AC40,AF40),IF(R40=AE40,MAX(AF40,T40,V40,Y40),0)))</f>
        <v>50.6</v>
      </c>
      <c r="T40" s="32">
        <v>39.380000000000003</v>
      </c>
      <c r="U40" s="37">
        <v>0</v>
      </c>
      <c r="V40" s="33">
        <v>49.96</v>
      </c>
      <c r="W40" s="37">
        <v>13.6</v>
      </c>
      <c r="X40" s="4">
        <f>IF(H40="Senior",MAX(T40,V40),T40+V40)</f>
        <v>89.34</v>
      </c>
      <c r="Y40" s="33">
        <v>50.6</v>
      </c>
      <c r="Z40" s="37">
        <v>13.6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76</v>
      </c>
      <c r="D41" s="35" t="str">
        <f>IF(E41="","",VLOOKUP(E41,'Coaching Points'!A:B,2,0))</f>
        <v>SK</v>
      </c>
      <c r="E41" s="35" t="s">
        <v>329</v>
      </c>
      <c r="F41" s="34">
        <v>2009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65</v>
      </c>
      <c r="I41" s="40"/>
      <c r="J41" s="4">
        <f>R41+IF(OR(H41="Junior",H41="Senior"),0.0002,IF(OR(H41="L7",H41="L6"),0.0001,0))+IF(G41="17-21",MAX(AA41,AC41,AF41),AE41)*0.0000001</f>
        <v>87.640100000000004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87.64</v>
      </c>
      <c r="S41" s="4">
        <f>IF(G41="17-21",LARGE(CHOOSE({1,2,3,4,5,6},T41,V41,Y41,AA41,AC41,AF41),2),IF(R41=X41,MAX(Y41,AA41,AC41,AF41),IF(R41=AE41,MAX(AF41,T41,V41,Y41),0)))</f>
        <v>50.44</v>
      </c>
      <c r="T41" s="32">
        <v>39.21</v>
      </c>
      <c r="U41" s="37">
        <v>0</v>
      </c>
      <c r="V41" s="33">
        <v>48.43</v>
      </c>
      <c r="W41" s="37">
        <v>11.4</v>
      </c>
      <c r="X41" s="4">
        <f>IF(H41="Senior",MAX(T41,V41),T41+V41)</f>
        <v>87.64</v>
      </c>
      <c r="Y41" s="33">
        <v>50.44</v>
      </c>
      <c r="Z41" s="37">
        <v>11.4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281</v>
      </c>
      <c r="D42" s="35" t="str">
        <f>IF(E42="","",VLOOKUP(E42,'Coaching Points'!A:B,2,0))</f>
        <v>QC</v>
      </c>
      <c r="E42" s="35" t="s">
        <v>85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64</v>
      </c>
      <c r="I42" s="40"/>
      <c r="J42" s="4">
        <f>R42+IF(OR(H42="Junior",H42="Senior"),0.0002,IF(OR(H42="L7",H42="L6"),0.0001,0))+IF(G42="17-21",MAX(AA42,AC42,AF42),AE42)*0.0000001</f>
        <v>85.360000000000014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85.360000000000014</v>
      </c>
      <c r="S42" s="4">
        <f>IF(G42="17-21",LARGE(CHOOSE({1,2,3,4,5,6},T42,V42,Y42,AA42,AC42,AF42),2),IF(R42=X42,MAX(Y42,AA42,AC42,AF42),IF(R42=AE42,MAX(AF42,T42,V42,Y42),0)))</f>
        <v>47.91</v>
      </c>
      <c r="T42" s="32">
        <v>39.090000000000003</v>
      </c>
      <c r="U42" s="37">
        <v>0</v>
      </c>
      <c r="V42" s="33">
        <v>46.27</v>
      </c>
      <c r="W42" s="37">
        <v>8.4</v>
      </c>
      <c r="X42" s="4">
        <f>IF(H42="Senior",MAX(T42,V42),T42+V42)</f>
        <v>85.360000000000014</v>
      </c>
      <c r="Y42" s="33">
        <v>47.91</v>
      </c>
      <c r="Z42" s="37">
        <v>8.4</v>
      </c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280</v>
      </c>
      <c r="D43" s="35" t="str">
        <f>IF(E43="","",VLOOKUP(E43,'Coaching Points'!A:B,2,0))</f>
        <v>ON</v>
      </c>
      <c r="E43" s="35" t="s">
        <v>45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64</v>
      </c>
      <c r="I43" s="40"/>
      <c r="J43" s="4">
        <f>R43+IF(OR(H43="Junior",H43="Senior"),0.0002,IF(OR(H43="L7",H43="L6"),0.0001,0))+IF(G43="17-21",MAX(AA43,AC43,AF43),AE43)*0.0000001</f>
        <v>85.03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85.03</v>
      </c>
      <c r="S43" s="4">
        <f>IF(G43="17-21",LARGE(CHOOSE({1,2,3,4,5,6},T43,V43,Y43,AA43,AC43,AF43),2),IF(R43=X43,MAX(Y43,AA43,AC43,AF43),IF(R43=AE43,MAX(AF43,T43,V43,Y43),0)))</f>
        <v>15.39</v>
      </c>
      <c r="T43" s="32">
        <v>38.71</v>
      </c>
      <c r="U43" s="37">
        <v>0</v>
      </c>
      <c r="V43" s="33">
        <v>46.32</v>
      </c>
      <c r="W43" s="37">
        <v>7.9</v>
      </c>
      <c r="X43" s="4">
        <f>IF(H43="Senior",MAX(T43,V43),T43+V43)</f>
        <v>85.03</v>
      </c>
      <c r="Y43" s="33">
        <v>15.39</v>
      </c>
      <c r="Z43" s="37">
        <v>3.4</v>
      </c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223</v>
      </c>
      <c r="D44" s="35" t="str">
        <f>IF(E44="","",VLOOKUP(E44,'Coaching Points'!A:B,2,0))</f>
        <v>NS</v>
      </c>
      <c r="E44" s="35" t="s">
        <v>203</v>
      </c>
      <c r="F44" s="34">
        <v>2009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>R44+IF(OR(H44="Junior",H44="Senior"),0.0002,IF(OR(H44="L7",H44="L6"),0.0001,0))+IF(G44="17-21",MAX(AA44,AC44,AF44),AE44)*0.0000001</f>
        <v>83.99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83.99</v>
      </c>
      <c r="S44" s="4">
        <f>IF(G44="17-21",LARGE(CHOOSE({1,2,3,4,5,6},T44,V44,Y44,AA44,AC44,AF44),2),IF(R44=X44,MAX(Y44,AA44,AC44,AF44),IF(R44=AE44,MAX(AF44,T44,V44,Y44),0)))</f>
        <v>44.51</v>
      </c>
      <c r="T44" s="32">
        <v>38.69</v>
      </c>
      <c r="U44" s="37">
        <v>0</v>
      </c>
      <c r="V44" s="33">
        <v>45.3</v>
      </c>
      <c r="W44" s="37">
        <v>9.9</v>
      </c>
      <c r="X44" s="4">
        <f>IF(H44="Senior",MAX(T44,V44),T44+V44)</f>
        <v>83.99</v>
      </c>
      <c r="Y44" s="33">
        <v>44.51</v>
      </c>
      <c r="Z44" s="37">
        <v>9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326</v>
      </c>
      <c r="D45" s="35" t="str">
        <f>IF(E45="","",VLOOKUP(E45,'Coaching Points'!A:B,2,0))</f>
        <v>ON</v>
      </c>
      <c r="E45" s="35" t="s">
        <v>97</v>
      </c>
      <c r="F45" s="34">
        <v>2009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64</v>
      </c>
      <c r="I45" s="40"/>
      <c r="J45" s="4">
        <f>R45+IF(OR(H45="Junior",H45="Senior"),0.0002,IF(OR(H45="L7",H45="L6"),0.0001,0))+IF(G45="17-21",MAX(AA45,AC45,AF45),AE45)*0.0000001</f>
        <v>83.039999999999992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83.039999999999992</v>
      </c>
      <c r="S45" s="4">
        <f>IF(G45="17-21",LARGE(CHOOSE({1,2,3,4,5,6},T45,V45,Y45,AA45,AC45,AF45),2),IF(R45=X45,MAX(Y45,AA45,AC45,AF45),IF(R45=AE45,MAX(AF45,T45,V45,Y45),0)))</f>
        <v>5.45</v>
      </c>
      <c r="T45" s="32">
        <v>37.15</v>
      </c>
      <c r="U45" s="37">
        <v>0</v>
      </c>
      <c r="V45" s="33">
        <v>45.89</v>
      </c>
      <c r="W45" s="37">
        <v>9.1999999999999993</v>
      </c>
      <c r="X45" s="4">
        <f>IF(H45="Senior",MAX(T45,V45),T45+V45)</f>
        <v>83.039999999999992</v>
      </c>
      <c r="Y45" s="33">
        <v>5.45</v>
      </c>
      <c r="Z45" s="37">
        <v>1.5</v>
      </c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294</v>
      </c>
      <c r="D46" s="35" t="str">
        <f>IF(E46="","",VLOOKUP(E46,'Coaching Points'!A:B,2,0))</f>
        <v>AB</v>
      </c>
      <c r="E46" s="35" t="s">
        <v>28</v>
      </c>
      <c r="F46" s="34">
        <v>2009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64</v>
      </c>
      <c r="I46" s="40"/>
      <c r="J46" s="4">
        <f>R46+IF(OR(H46="Junior",H46="Senior"),0.0002,IF(OR(H46="L7",H46="L6"),0.0001,0))+IF(G46="17-21",MAX(AA46,AC46,AF46),AE46)*0.0000001</f>
        <v>82.509999999999991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82.509999999999991</v>
      </c>
      <c r="S46" s="4">
        <f>IF(G46="17-21",LARGE(CHOOSE({1,2,3,4,5,6},T46,V46,Y46,AA46,AC46,AF46),2),IF(R46=X46,MAX(Y46,AA46,AC46,AF46),IF(R46=AE46,MAX(AF46,T46,V46,Y46),0)))</f>
        <v>36.119999999999997</v>
      </c>
      <c r="T46" s="32">
        <v>39.51</v>
      </c>
      <c r="U46" s="37">
        <v>0</v>
      </c>
      <c r="V46" s="33">
        <v>43</v>
      </c>
      <c r="W46" s="37">
        <v>8</v>
      </c>
      <c r="X46" s="4">
        <f>IF(H46="Senior",MAX(T46,V46),T46+V46)</f>
        <v>82.509999999999991</v>
      </c>
      <c r="Y46" s="33">
        <v>36.119999999999997</v>
      </c>
      <c r="Z46" s="37">
        <v>7.4</v>
      </c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325</v>
      </c>
      <c r="D47" s="35" t="str">
        <f>IF(E47="","",VLOOKUP(E47,'Coaching Points'!A:B,2,0))</f>
        <v>AB</v>
      </c>
      <c r="E47" s="35" t="s">
        <v>28</v>
      </c>
      <c r="F47" s="34">
        <v>2009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64</v>
      </c>
      <c r="I47" s="40"/>
      <c r="J47" s="4">
        <f>R47+IF(OR(H47="Junior",H47="Senior"),0.0002,IF(OR(H47="L7",H47="L6"),0.0001,0))+IF(G47="17-21",MAX(AA47,AC47,AF47),AE47)*0.0000001</f>
        <v>82.45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82.45</v>
      </c>
      <c r="S47" s="4">
        <f>IF(G47="17-21",LARGE(CHOOSE({1,2,3,4,5,6},T47,V47,Y47,AA47,AC47,AF47),2),IF(R47=X47,MAX(Y47,AA47,AC47,AF47),IF(R47=AE47,MAX(AF47,T47,V47,Y47),0)))</f>
        <v>44.8</v>
      </c>
      <c r="T47" s="32">
        <v>37.81</v>
      </c>
      <c r="U47" s="37">
        <v>0</v>
      </c>
      <c r="V47" s="33">
        <v>44.64</v>
      </c>
      <c r="W47" s="37">
        <v>9.6999999999999993</v>
      </c>
      <c r="X47" s="4">
        <f>IF(H47="Senior",MAX(T47,V47),T47+V47)</f>
        <v>82.45</v>
      </c>
      <c r="Y47" s="33">
        <v>44.8</v>
      </c>
      <c r="Z47" s="37">
        <v>9.1</v>
      </c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185</v>
      </c>
      <c r="D48" s="35" t="str">
        <f>IF(E48="","",VLOOKUP(E48,'Coaching Points'!A:B,2,0))</f>
        <v>BC</v>
      </c>
      <c r="E48" s="35" t="s">
        <v>40</v>
      </c>
      <c r="F48" s="34">
        <v>2009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64</v>
      </c>
      <c r="I48" s="40"/>
      <c r="J48" s="4">
        <f>R48+IF(OR(H48="Junior",H48="Senior"),0.0002,IF(OR(H48="L7",H48="L6"),0.0001,0))+IF(G48="17-21",MAX(AA48,AC48,AF48),AE48)*0.0000001</f>
        <v>81.180000000000007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81.180000000000007</v>
      </c>
      <c r="S48" s="4">
        <f>IF(G48="17-21",LARGE(CHOOSE({1,2,3,4,5,6},T48,V48,Y48,AA48,AC48,AF48),2),IF(R48=X48,MAX(Y48,AA48,AC48,AF48),IF(R48=AE48,MAX(AF48,T48,V48,Y48),0)))</f>
        <v>45.39</v>
      </c>
      <c r="T48" s="32">
        <v>38.06</v>
      </c>
      <c r="U48" s="37">
        <v>0</v>
      </c>
      <c r="V48" s="33">
        <v>43.12</v>
      </c>
      <c r="W48" s="37">
        <v>9.1</v>
      </c>
      <c r="X48" s="4">
        <f>IF(H48="Senior",MAX(T48,V48),T48+V48)</f>
        <v>81.180000000000007</v>
      </c>
      <c r="Y48" s="33">
        <v>45.39</v>
      </c>
      <c r="Z48" s="37">
        <v>9.3000000000000007</v>
      </c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295</v>
      </c>
      <c r="D49" s="35" t="str">
        <f>IF(E49="","",VLOOKUP(E49,'Coaching Points'!A:B,2,0))</f>
        <v>BC</v>
      </c>
      <c r="E49" s="35" t="s">
        <v>204</v>
      </c>
      <c r="F49" s="34">
        <v>2009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65</v>
      </c>
      <c r="I49" s="40"/>
      <c r="J49" s="4">
        <f>R49+IF(OR(H49="Junior",H49="Senior"),0.0002,IF(OR(H49="L7",H49="L6"),0.0001,0))+IF(G49="17-21",MAX(AA49,AC49,AF49),AE49)*0.0000001</f>
        <v>81.090100000000007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81.09</v>
      </c>
      <c r="S49" s="4">
        <f>IF(G49="17-21",LARGE(CHOOSE({1,2,3,4,5,6},T49,V49,Y49,AA49,AC49,AF49),2),IF(R49=X49,MAX(Y49,AA49,AC49,AF49),IF(R49=AE49,MAX(AF49,T49,V49,Y49),0)))</f>
        <v>47.93</v>
      </c>
      <c r="T49" s="32">
        <v>40.21</v>
      </c>
      <c r="U49" s="37">
        <v>0</v>
      </c>
      <c r="V49" s="33">
        <v>40.880000000000003</v>
      </c>
      <c r="W49" s="37">
        <v>8.4</v>
      </c>
      <c r="X49" s="4">
        <f>IF(H49="Senior",MAX(T49,V49),T49+V49)</f>
        <v>81.09</v>
      </c>
      <c r="Y49" s="33">
        <v>47.93</v>
      </c>
      <c r="Z49" s="37">
        <v>10.3</v>
      </c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297</v>
      </c>
      <c r="D50" s="35" t="str">
        <f>IF(E50="","",VLOOKUP(E50,'Coaching Points'!A:B,2,0))</f>
        <v>BC</v>
      </c>
      <c r="E50" s="35" t="s">
        <v>59</v>
      </c>
      <c r="F50" s="34">
        <v>2008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64</v>
      </c>
      <c r="I50" s="40"/>
      <c r="J50" s="4">
        <f>R50+IF(OR(H50="Junior",H50="Senior"),0.0002,IF(OR(H50="L7",H50="L6"),0.0001,0))+IF(G50="17-21",MAX(AA50,AC50,AF50),AE50)*0.0000001</f>
        <v>80.84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80.84</v>
      </c>
      <c r="S50" s="4">
        <f>IF(G50="17-21",LARGE(CHOOSE({1,2,3,4,5,6},T50,V50,Y50,AA50,AC50,AF50),2),IF(R50=X50,MAX(Y50,AA50,AC50,AF50),IF(R50=AE50,MAX(AF50,T50,V50,Y50),0)))</f>
        <v>44.92</v>
      </c>
      <c r="T50" s="32">
        <v>37.31</v>
      </c>
      <c r="U50" s="37">
        <v>0</v>
      </c>
      <c r="V50" s="33">
        <v>43.53</v>
      </c>
      <c r="W50" s="37">
        <v>8.4</v>
      </c>
      <c r="X50" s="4">
        <f>IF(H50="Senior",MAX(T50,V50),T50+V50)</f>
        <v>80.84</v>
      </c>
      <c r="Y50" s="33">
        <v>44.92</v>
      </c>
      <c r="Z50" s="37">
        <v>8.4</v>
      </c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184</v>
      </c>
      <c r="D51" s="35" t="str">
        <f>IF(E51="","",VLOOKUP(E51,'Coaching Points'!A:B,2,0))</f>
        <v>BC</v>
      </c>
      <c r="E51" s="35" t="s">
        <v>40</v>
      </c>
      <c r="F51" s="34">
        <v>2008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>R51+IF(OR(H51="Junior",H51="Senior"),0.0002,IF(OR(H51="L7",H51="L6"),0.0001,0))+IF(G51="17-21",MAX(AA51,AC51,AF51),AE51)*0.0000001</f>
        <v>72.67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72.67</v>
      </c>
      <c r="S51" s="4">
        <f>IF(G51="17-21",LARGE(CHOOSE({1,2,3,4,5,6},T51,V51,Y51,AA51,AC51,AF51),2),IF(R51=X51,MAX(Y51,AA51,AC51,AF51),IF(R51=AE51,MAX(AF51,T51,V51,Y51),0)))</f>
        <v>5.52</v>
      </c>
      <c r="T51" s="32">
        <v>26.13</v>
      </c>
      <c r="U51" s="37">
        <v>0</v>
      </c>
      <c r="V51" s="33">
        <v>46.54</v>
      </c>
      <c r="W51" s="37">
        <v>9.8000000000000007</v>
      </c>
      <c r="X51" s="4">
        <f>IF(H51="Senior",MAX(T51,V51),T51+V51)</f>
        <v>72.67</v>
      </c>
      <c r="Y51" s="33">
        <v>5.52</v>
      </c>
      <c r="Z51" s="37">
        <v>1.5</v>
      </c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324</v>
      </c>
      <c r="D52" s="35" t="str">
        <f>IF(E52="","",VLOOKUP(E52,'Coaching Points'!A:B,2,0))</f>
        <v>NL</v>
      </c>
      <c r="E52" s="35" t="s">
        <v>248</v>
      </c>
      <c r="F52" s="34">
        <v>2008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64</v>
      </c>
      <c r="I52" s="40"/>
      <c r="J52" s="4">
        <f>R52+IF(OR(H52="Junior",H52="Senior"),0.0002,IF(OR(H52="L7",H52="L6"),0.0001,0))+IF(G52="17-21",MAX(AA52,AC52,AF52),AE52)*0.0000001</f>
        <v>71.41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71.41</v>
      </c>
      <c r="S52" s="4">
        <f>IF(G52="17-21",LARGE(CHOOSE({1,2,3,4,5,6},T52,V52,Y52,AA52,AC52,AF52),2),IF(R52=X52,MAX(Y52,AA52,AC52,AF52),IF(R52=AE52,MAX(AF52,T52,V52,Y52),0)))</f>
        <v>46.6</v>
      </c>
      <c r="T52" s="32">
        <v>37.78</v>
      </c>
      <c r="U52" s="37">
        <v>0</v>
      </c>
      <c r="V52" s="33">
        <v>33.630000000000003</v>
      </c>
      <c r="W52" s="37">
        <v>6.2</v>
      </c>
      <c r="X52" s="4">
        <f>IF(H52="Senior",MAX(T52,V52),T52+V52)</f>
        <v>71.41</v>
      </c>
      <c r="Y52" s="33">
        <v>46.6</v>
      </c>
      <c r="Z52" s="37">
        <v>9.3000000000000007</v>
      </c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74</v>
      </c>
      <c r="D53" s="35" t="str">
        <f>IF(E53="","",VLOOKUP(E53,'Coaching Points'!A:B,2,0))</f>
        <v>QC</v>
      </c>
      <c r="E53" s="35" t="s">
        <v>75</v>
      </c>
      <c r="F53" s="34">
        <v>2008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63</v>
      </c>
      <c r="I53" s="40"/>
      <c r="J53" s="4">
        <f>R53+IF(OR(H53="Junior",H53="Senior"),0.0002,IF(OR(H53="L7",H53="L6"),0.0001,0))+IF(G53="17-21",MAX(AA53,AC53,AF53),AE53)*0.0000001</f>
        <v>55.530200000000001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55.53</v>
      </c>
      <c r="S53" s="4">
        <f>IF(G53="17-21",LARGE(CHOOSE({1,2,3,4,5,6},T53,V53,Y53,AA53,AC53,AF53),2),IF(R53=X53,MAX(Y53,AA53,AC53,AF53),IF(R53=AE53,MAX(AF53,T53,V53,Y53),0)))</f>
        <v>0</v>
      </c>
      <c r="T53" s="32">
        <v>4.68</v>
      </c>
      <c r="U53" s="37">
        <v>0</v>
      </c>
      <c r="V53" s="33">
        <v>50.85</v>
      </c>
      <c r="W53" s="37">
        <v>13.3</v>
      </c>
      <c r="X53" s="4">
        <f>IF(H53="Senior",MAX(T53,V53),T53+V53)</f>
        <v>55.53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327</v>
      </c>
      <c r="D54" s="35" t="str">
        <f>IF(E54="","",VLOOKUP(E54,'Coaching Points'!A:B,2,0))</f>
        <v>AB</v>
      </c>
      <c r="E54" s="35" t="s">
        <v>62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64</v>
      </c>
      <c r="I54" s="40"/>
      <c r="J54" s="4">
        <f>R54+IF(OR(H54="Junior",H54="Senior"),0.0002,IF(OR(H54="L7",H54="L6"),0.0001,0))+IF(G54="17-21",MAX(AA54,AC54,AF54),AE54)*0.0000001</f>
        <v>54.73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54.73</v>
      </c>
      <c r="S54" s="4">
        <f>IF(G54="17-21",LARGE(CHOOSE({1,2,3,4,5,6},T54,V54,Y54,AA54,AC54,AF54),2),IF(R54=X54,MAX(Y54,AA54,AC54,AF54),IF(R54=AE54,MAX(AF54,T54,V54,Y54),0)))</f>
        <v>0</v>
      </c>
      <c r="T54" s="32">
        <v>37.08</v>
      </c>
      <c r="U54" s="37">
        <v>0</v>
      </c>
      <c r="V54" s="33">
        <v>17.649999999999999</v>
      </c>
      <c r="W54" s="37">
        <v>3.5</v>
      </c>
      <c r="X54" s="4">
        <f>IF(H54="Senior",MAX(T54,V54),T54+V54)</f>
        <v>54.73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317</v>
      </c>
      <c r="D55" s="35" t="str">
        <f>IF(E55="","",VLOOKUP(E55,'Coaching Points'!A:B,2,0))</f>
        <v>AB</v>
      </c>
      <c r="E55" s="35" t="s">
        <v>56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65</v>
      </c>
      <c r="I55" s="40"/>
      <c r="J55" s="4">
        <f>R55+IF(OR(H55="Junior",H55="Senior"),0.0002,IF(OR(H55="L7",H55="L6"),0.0001,0))+IF(G55="17-21",MAX(AA55,AC55,AF55),AE55)*0.0000001</f>
        <v>45.43010000000001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45.430000000000007</v>
      </c>
      <c r="S55" s="4">
        <f>IF(G55="17-21",LARGE(CHOOSE({1,2,3,4,5,6},T55,V55,Y55,AA55,AC55,AF55),2),IF(R55=X55,MAX(Y55,AA55,AC55,AF55),IF(R55=AE55,MAX(AF55,T55,V55,Y55),0)))</f>
        <v>0</v>
      </c>
      <c r="T55" s="32">
        <v>40.020000000000003</v>
      </c>
      <c r="U55" s="37">
        <v>0</v>
      </c>
      <c r="V55" s="33">
        <v>5.41</v>
      </c>
      <c r="W55" s="37">
        <v>1.5</v>
      </c>
      <c r="X55" s="4">
        <f>IF(H55="Senior",MAX(T55,V55),T55+V55)</f>
        <v>45.430000000000007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283</v>
      </c>
      <c r="D56" s="35" t="str">
        <f>IF(E56="","",VLOOKUP(E56,'Coaching Points'!A:B,2,0))</f>
        <v>AB</v>
      </c>
      <c r="E56" s="35" t="s">
        <v>28</v>
      </c>
      <c r="F56" s="34">
        <v>2008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65</v>
      </c>
      <c r="I56" s="40"/>
      <c r="J56" s="4">
        <f>R56+IF(OR(H56="Junior",H56="Senior"),0.0002,IF(OR(H56="L7",H56="L6"),0.0001,0))+IF(G56="17-21",MAX(AA56,AC56,AF56),AE56)*0.0000001</f>
        <v>43.960100000000004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43.96</v>
      </c>
      <c r="S56" s="4">
        <f>IF(G56="17-21",LARGE(CHOOSE({1,2,3,4,5,6},T56,V56,Y56,AA56,AC56,AF56),2),IF(R56=X56,MAX(Y56,AA56,AC56,AF56),IF(R56=AE56,MAX(AF56,T56,V56,Y56),0)))</f>
        <v>0</v>
      </c>
      <c r="T56" s="32">
        <v>38.450000000000003</v>
      </c>
      <c r="U56" s="37">
        <v>0</v>
      </c>
      <c r="V56" s="33">
        <v>5.51</v>
      </c>
      <c r="W56" s="37">
        <v>1.7</v>
      </c>
      <c r="X56" s="4">
        <f>IF(H56="Senior",MAX(T56,V56),T56+V56)</f>
        <v>43.96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132</v>
      </c>
      <c r="D57" s="35" t="str">
        <f>IF(E57="","",VLOOKUP(E57,'Coaching Points'!A:B,2,0))</f>
        <v>AB</v>
      </c>
      <c r="E57" s="35" t="s">
        <v>62</v>
      </c>
      <c r="F57" s="34">
        <v>2008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>R57+IF(OR(H57="Junior",H57="Senior"),0.0002,IF(OR(H57="L7",H57="L6"),0.0001,0))+IF(G57="17-21",MAX(AA57,AC57,AF57),AE57)*0.0000001</f>
        <v>43.9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43.9</v>
      </c>
      <c r="S57" s="4">
        <f>IF(G57="17-21",LARGE(CHOOSE({1,2,3,4,5,6},T57,V57,Y57,AA57,AC57,AF57),2),IF(R57=X57,MAX(Y57,AA57,AC57,AF57),IF(R57=AE57,MAX(AF57,T57,V57,Y57),0)))</f>
        <v>0</v>
      </c>
      <c r="T57" s="32">
        <v>38.729999999999997</v>
      </c>
      <c r="U57" s="37">
        <v>0</v>
      </c>
      <c r="V57" s="33">
        <v>5.17</v>
      </c>
      <c r="W57" s="37">
        <v>1.3</v>
      </c>
      <c r="X57" s="4">
        <f>IF(H57="Senior",MAX(T57,V57),T57+V57)</f>
        <v>43.9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322</v>
      </c>
      <c r="D58" s="35" t="str">
        <f>IF(E58="","",VLOOKUP(E58,'Coaching Points'!A:B,2,0))</f>
        <v>QC</v>
      </c>
      <c r="E58" s="35" t="s">
        <v>201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13-14</v>
      </c>
      <c r="H58" s="36" t="s">
        <v>64</v>
      </c>
      <c r="I58" s="40"/>
      <c r="J58" s="4">
        <f>R58+IF(OR(H58="Junior",H58="Senior"),0.0002,IF(OR(H58="L7",H58="L6"),0.0001,0))+IF(G58="17-21",MAX(AA58,AC58,AF58),AE58)*0.0000001</f>
        <v>85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85</v>
      </c>
      <c r="S58" s="4">
        <f>IF(G58="17-21",LARGE(CHOOSE({1,2,3,4,5,6},T58,V58,Y58,AA58,AC58,AF58),2),IF(R58=X58,MAX(Y58,AA58,AC58,AF58),IF(R58=AE58,MAX(AF58,T58,V58,Y58),0)))</f>
        <v>18.899999999999999</v>
      </c>
      <c r="T58" s="32">
        <v>39.799999999999997</v>
      </c>
      <c r="U58" s="37">
        <v>0</v>
      </c>
      <c r="V58" s="33">
        <v>45.2</v>
      </c>
      <c r="W58" s="37">
        <v>8.5</v>
      </c>
      <c r="X58" s="4">
        <f>IF(H58="Senior",MAX(T58,V58),T58+V58)</f>
        <v>85</v>
      </c>
      <c r="Y58" s="33">
        <v>18.899999999999999</v>
      </c>
      <c r="Z58" s="37">
        <v>4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318</v>
      </c>
      <c r="D59" s="35" t="str">
        <f>IF(E59="","",VLOOKUP(E59,'Coaching Points'!A:B,2,0))</f>
        <v>ON</v>
      </c>
      <c r="E59" s="35" t="s">
        <v>97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6" t="s">
        <v>64</v>
      </c>
      <c r="I59" s="40"/>
      <c r="J59" s="4">
        <f>R59+IF(OR(H59="Junior",H59="Senior"),0.0002,IF(OR(H59="L7",H59="L6"),0.0001,0))+IF(G59="17-21",MAX(AA59,AC59,AF59),AE59)*0.0000001</f>
        <v>84.69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84.69</v>
      </c>
      <c r="S59" s="4">
        <f>IF(G59="17-21",LARGE(CHOOSE({1,2,3,4,5,6},T59,V59,Y59,AA59,AC59,AF59),2),IF(R59=X59,MAX(Y59,AA59,AC59,AF59),IF(R59=AE59,MAX(AF59,T59,V59,Y59),0)))</f>
        <v>46.2</v>
      </c>
      <c r="T59" s="32">
        <v>39.29</v>
      </c>
      <c r="U59" s="37">
        <v>0</v>
      </c>
      <c r="V59" s="33">
        <v>45.4</v>
      </c>
      <c r="W59" s="37">
        <v>9.4</v>
      </c>
      <c r="X59" s="4">
        <f>IF(H59="Senior",MAX(T59,V59),T59+V59)</f>
        <v>84.69</v>
      </c>
      <c r="Y59" s="33">
        <v>46.2</v>
      </c>
      <c r="Z59" s="37">
        <v>9.4</v>
      </c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320</v>
      </c>
      <c r="D60" s="35" t="str">
        <f>IF(E60="","",VLOOKUP(E60,'Coaching Points'!A:B,2,0))</f>
        <v>AB</v>
      </c>
      <c r="E60" s="35" t="s">
        <v>68</v>
      </c>
      <c r="F60" s="34">
        <v>2011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64</v>
      </c>
      <c r="I60" s="40"/>
      <c r="J60" s="4">
        <f>R60+IF(OR(H60="Junior",H60="Senior"),0.0002,IF(OR(H60="L7",H60="L6"),0.0001,0))+IF(G60="17-21",MAX(AA60,AC60,AF60),AE60)*0.0000001</f>
        <v>83.949999999999989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83.949999999999989</v>
      </c>
      <c r="S60" s="4">
        <f>IF(G60="17-21",LARGE(CHOOSE({1,2,3,4,5,6},T60,V60,Y60,AA60,AC60,AF60),2),IF(R60=X60,MAX(Y60,AA60,AC60,AF60),IF(R60=AE60,MAX(AF60,T60,V60,Y60),0)))</f>
        <v>45.12</v>
      </c>
      <c r="T60" s="32">
        <v>38.479999999999997</v>
      </c>
      <c r="U60" s="37">
        <v>0</v>
      </c>
      <c r="V60" s="33">
        <v>45.47</v>
      </c>
      <c r="W60" s="37">
        <v>9.5</v>
      </c>
      <c r="X60" s="4">
        <f>IF(H60="Senior",MAX(T60,V60),T60+V60)</f>
        <v>83.949999999999989</v>
      </c>
      <c r="Y60" s="33">
        <v>45.12</v>
      </c>
      <c r="Z60" s="37">
        <v>8.8000000000000007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319</v>
      </c>
      <c r="D61" s="35" t="str">
        <f>IF(E61="","",VLOOKUP(E61,'Coaching Points'!A:B,2,0))</f>
        <v>QC</v>
      </c>
      <c r="E61" s="35" t="s">
        <v>201</v>
      </c>
      <c r="F61" s="34">
        <v>2010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64</v>
      </c>
      <c r="I61" s="40"/>
      <c r="J61" s="4">
        <f>R61+IF(OR(H61="Junior",H61="Senior"),0.0002,IF(OR(H61="L7",H61="L6"),0.0001,0))+IF(G61="17-21",MAX(AA61,AC61,AF61),AE61)*0.0000001</f>
        <v>81.88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81.88</v>
      </c>
      <c r="S61" s="4">
        <f>IF(G61="17-21",LARGE(CHOOSE({1,2,3,4,5,6},T61,V61,Y61,AA61,AC61,AF61),2),IF(R61=X61,MAX(Y61,AA61,AC61,AF61),IF(R61=AE61,MAX(AF61,T61,V61,Y61),0)))</f>
        <v>45.68</v>
      </c>
      <c r="T61" s="32">
        <v>37.64</v>
      </c>
      <c r="U61" s="37">
        <v>0</v>
      </c>
      <c r="V61" s="33">
        <v>44.24</v>
      </c>
      <c r="W61" s="37">
        <v>8.5</v>
      </c>
      <c r="X61" s="4">
        <f>IF(H61="Senior",MAX(T61,V61),T61+V61)</f>
        <v>81.88</v>
      </c>
      <c r="Y61" s="33">
        <v>45.68</v>
      </c>
      <c r="Z61" s="37">
        <v>8.5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221</v>
      </c>
      <c r="D62" s="35" t="str">
        <f>IF(E62="","",VLOOKUP(E62,'Coaching Points'!A:B,2,0))</f>
        <v>NS</v>
      </c>
      <c r="E62" s="35" t="s">
        <v>112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64</v>
      </c>
      <c r="I62" s="40"/>
      <c r="J62" s="4">
        <f>R62+IF(OR(H62="Junior",H62="Senior"),0.0002,IF(OR(H62="L7",H62="L6"),0.0001,0))+IF(G62="17-21",MAX(AA62,AC62,AF62),AE62)*0.0000001</f>
        <v>81.78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>P</v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81.78</v>
      </c>
      <c r="S62" s="4">
        <f>IF(G62="17-21",LARGE(CHOOSE({1,2,3,4,5,6},T62,V62,Y62,AA62,AC62,AF62),2),IF(R62=X62,MAX(Y62,AA62,AC62,AF62),IF(R62=AE62,MAX(AF62,T62,V62,Y62),0)))</f>
        <v>45.91</v>
      </c>
      <c r="T62" s="32">
        <v>37.89</v>
      </c>
      <c r="U62" s="37">
        <v>0</v>
      </c>
      <c r="V62" s="33">
        <v>43.89</v>
      </c>
      <c r="W62" s="37">
        <v>9.6999999999999993</v>
      </c>
      <c r="X62" s="4">
        <f>IF(H62="Senior",MAX(T62,V62),T62+V62)</f>
        <v>81.78</v>
      </c>
      <c r="Y62" s="33">
        <v>45.91</v>
      </c>
      <c r="Z62" s="37">
        <v>9.9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321</v>
      </c>
      <c r="D63" s="35" t="str">
        <f>IF(E63="","",VLOOKUP(E63,'Coaching Points'!A:B,2,0))</f>
        <v>NS</v>
      </c>
      <c r="E63" s="35" t="s">
        <v>112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64</v>
      </c>
      <c r="I63" s="40"/>
      <c r="J63" s="4">
        <f>R63+IF(OR(H63="Junior",H63="Senior"),0.0002,IF(OR(H63="L7",H63="L6"),0.0001,0))+IF(G63="17-21",MAX(AA63,AC63,AF63),AE63)*0.0000001</f>
        <v>78.14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78.14</v>
      </c>
      <c r="S63" s="4">
        <f>IF(G63="17-21",LARGE(CHOOSE({1,2,3,4,5,6},T63,V63,Y63,AA63,AC63,AF63),2),IF(R63=X63,MAX(Y63,AA63,AC63,AF63),IF(R63=AE63,MAX(AF63,T63,V63,Y63),0)))</f>
        <v>41.91</v>
      </c>
      <c r="T63" s="32">
        <v>35.82</v>
      </c>
      <c r="U63" s="37">
        <v>0</v>
      </c>
      <c r="V63" s="33">
        <v>42.32</v>
      </c>
      <c r="W63" s="37">
        <v>8.1999999999999993</v>
      </c>
      <c r="X63" s="4">
        <f>IF(H63="Senior",MAX(T63,V63),T63+V63)</f>
        <v>78.14</v>
      </c>
      <c r="Y63" s="33">
        <v>41.91</v>
      </c>
      <c r="Z63" s="37">
        <v>7.6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222</v>
      </c>
      <c r="D64" s="35" t="str">
        <f>IF(E64="","",VLOOKUP(E64,'Coaching Points'!A:B,2,0))</f>
        <v>BC</v>
      </c>
      <c r="E64" s="35" t="s">
        <v>60</v>
      </c>
      <c r="F64" s="34">
        <v>2011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64</v>
      </c>
      <c r="I64" s="40"/>
      <c r="J64" s="4">
        <f>R64+IF(OR(H64="Junior",H64="Senior"),0.0002,IF(OR(H64="L7",H64="L6"),0.0001,0))+IF(G64="17-21",MAX(AA64,AC64,AF64),AE64)*0.0000001</f>
        <v>77.66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77.66</v>
      </c>
      <c r="S64" s="4">
        <f>IF(G64="17-21",LARGE(CHOOSE({1,2,3,4,5,6},T64,V64,Y64,AA64,AC64,AF64),2),IF(R64=X64,MAX(Y64,AA64,AC64,AF64),IF(R64=AE64,MAX(AF64,T64,V64,Y64),0)))</f>
        <v>21.95</v>
      </c>
      <c r="T64" s="32">
        <v>36.770000000000003</v>
      </c>
      <c r="U64" s="37">
        <v>0</v>
      </c>
      <c r="V64" s="33">
        <v>40.89</v>
      </c>
      <c r="W64" s="37">
        <v>9.1</v>
      </c>
      <c r="X64" s="4">
        <f>IF(H64="Senior",MAX(T64,V64),T64+V64)</f>
        <v>77.66</v>
      </c>
      <c r="Y64" s="33">
        <v>21.95</v>
      </c>
      <c r="Z64" s="37">
        <v>5.2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323</v>
      </c>
      <c r="D65" s="35" t="str">
        <f>IF(E65="","",VLOOKUP(E65,'Coaching Points'!A:B,2,0))</f>
        <v>BC</v>
      </c>
      <c r="E65" s="35" t="s">
        <v>44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64</v>
      </c>
      <c r="I65" s="40"/>
      <c r="J65" s="4">
        <f>R65+IF(OR(H65="Junior",H65="Senior"),0.0002,IF(OR(H65="L7",H65="L6"),0.0001,0))+IF(G65="17-21",MAX(AA65,AC65,AF65),AE65)*0.0000001</f>
        <v>47.629999999999995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47.629999999999995</v>
      </c>
      <c r="S65" s="4">
        <f>IF(G65="17-21",LARGE(CHOOSE({1,2,3,4,5,6},T65,V65,Y65,AA65,AC65,AF65),2),IF(R65=X65,MAX(Y65,AA65,AC65,AF65),IF(R65=AE65,MAX(AF65,T65,V65,Y65),0)))</f>
        <v>0</v>
      </c>
      <c r="T65" s="32">
        <v>34.93</v>
      </c>
      <c r="U65" s="37">
        <v>0</v>
      </c>
      <c r="V65" s="33">
        <v>12.7</v>
      </c>
      <c r="W65" s="37">
        <v>2.9</v>
      </c>
      <c r="X65" s="4">
        <f>IF(H65="Senior",MAX(T65,V65),T65+V65)</f>
        <v>47.629999999999995</v>
      </c>
      <c r="Y65" s="33"/>
      <c r="Z65" s="37"/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299</v>
      </c>
      <c r="D66" s="35" t="str">
        <f>IF(E66="","",VLOOKUP(E66,'Coaching Points'!A:B,2,0))</f>
        <v>BC</v>
      </c>
      <c r="E66" s="35" t="s">
        <v>60</v>
      </c>
      <c r="F66" s="34">
        <v>2012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11-12</v>
      </c>
      <c r="H66" s="36" t="s">
        <v>64</v>
      </c>
      <c r="I66" s="40"/>
      <c r="J66" s="4">
        <f>R66+IF(OR(H66="Junior",H66="Senior"),0.0002,IF(OR(H66="L7",H66="L6"),0.0001,0))+IF(G66="17-21",MAX(AA66,AC66,AF66),AE66)*0.0000001</f>
        <v>86.63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86.63</v>
      </c>
      <c r="S66" s="4">
        <f>IF(G66="17-21",LARGE(CHOOSE({1,2,3,4,5,6},T66,V66,Y66,AA66,AC66,AF66),2),IF(R66=X66,MAX(Y66,AA66,AC66,AF66),IF(R66=AE66,MAX(AF66,T66,V66,Y66),0)))</f>
        <v>24.15</v>
      </c>
      <c r="T66" s="32">
        <v>40.01</v>
      </c>
      <c r="U66" s="37">
        <v>0</v>
      </c>
      <c r="V66" s="33">
        <v>46.62</v>
      </c>
      <c r="W66" s="37">
        <v>9</v>
      </c>
      <c r="X66" s="4">
        <f>IF(H66="Senior",MAX(T66,V66),T66+V66)</f>
        <v>86.63</v>
      </c>
      <c r="Y66" s="33">
        <v>24.15</v>
      </c>
      <c r="Z66" s="37">
        <v>5.5</v>
      </c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/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3"/>
      <c r="W67" s="37"/>
      <c r="X67" s="4"/>
      <c r="Y67" s="33"/>
      <c r="Z67" s="37"/>
      <c r="AA67" s="32"/>
      <c r="AB67" s="37"/>
      <c r="AC67" s="33"/>
      <c r="AD67" s="37"/>
      <c r="AE67" s="4"/>
      <c r="AF67" s="33"/>
      <c r="AG6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66">
      <sortCondition descending="1" ref="G1:G67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hidden="1" customWidth="1"/>
    <col min="28" max="28" width="13.6640625" style="35" hidden="1" customWidth="1"/>
    <col min="29" max="29" width="11" style="35" hidden="1" customWidth="1"/>
    <col min="30" max="30" width="14.1640625" style="35" hidden="1" customWidth="1"/>
    <col min="31" max="31" width="7.6640625" hidden="1" customWidth="1"/>
    <col min="32" max="32" width="6.6640625" style="35" hidden="1" customWidth="1"/>
    <col min="33" max="33" width="9" style="35" hidden="1" customWidth="1"/>
    <col min="34" max="34" width="11" style="61"/>
  </cols>
  <sheetData>
    <row r="1" spans="1:34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241</v>
      </c>
      <c r="S1" s="68" t="s">
        <v>240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126</v>
      </c>
      <c r="D3" s="35" t="str">
        <f>IF(E3="","",VLOOKUP(E3,'Coaching Points'!A:B,2,0))</f>
        <v>ON</v>
      </c>
      <c r="E3" s="35" t="s">
        <v>97</v>
      </c>
      <c r="F3" s="34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R3+IF(OR(H3="Junior",H3="Senior"),0.0002,IF(OR(H3="L7",H3="L6"),0.0001,0))+IF(G3="17-21",MAX(AA3,AC3,AF3),AE3)*0.0000001</f>
        <v>51.830199999999998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5</v>
      </c>
      <c r="Q3" s="1" t="str">
        <f>IF(A3&lt;5,IF(_xlfn.MAXIFS(A:A,G:G,G3)&gt;3,5-A3,_xlfn.MAXIFS(A:A,G:G,G3)+1-A3),"")</f>
        <v/>
      </c>
      <c r="R3" s="4">
        <f>IF(G3="17-21",MAX(T3,V3,Y3,AA3,AC3,AF3),MAX(X3,AE3))</f>
        <v>51.83</v>
      </c>
      <c r="S3" s="4">
        <f>IF(G3="17-21",LARGE(CHOOSE({1,2,3,4,5,6},T3,V3,Y3,AA3,AC3,AF3),2),IF(R3=X3,MAX(Y3,AA3,AC3,AF3),IF(R3=AE3,MAX(AF3,T3,V3,Y3),0)))</f>
        <v>46.27</v>
      </c>
      <c r="T3" s="32">
        <v>15.84</v>
      </c>
      <c r="U3" s="37">
        <v>4.7</v>
      </c>
      <c r="V3" s="33">
        <v>46.27</v>
      </c>
      <c r="W3" s="37">
        <v>12.8</v>
      </c>
      <c r="X3" s="4">
        <f>IF(H3="Senior",MAX(T3,V3),T3+V3)</f>
        <v>46.27</v>
      </c>
      <c r="Y3" s="33">
        <v>51.83</v>
      </c>
      <c r="Z3" s="37">
        <v>14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122</v>
      </c>
      <c r="D4" s="35" t="str">
        <f>IF(E4="","",VLOOKUP(E4,'Coaching Points'!A:B,2,0))</f>
        <v>QC</v>
      </c>
      <c r="E4" s="35" t="s">
        <v>78</v>
      </c>
      <c r="F4" s="34">
        <v>2007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R4+IF(OR(H4="Junior",H4="Senior"),0.0002,IF(OR(H4="L7",H4="L6"),0.0001,0))+IF(G4="17-21",MAX(AA4,AC4,AF4),AE4)*0.0000001</f>
        <v>51.5702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7</v>
      </c>
      <c r="Q4" s="1" t="str">
        <f>IF(A4&lt;5,IF(_xlfn.MAXIFS(A:A,G:G,G4)&gt;3,5-A4,_xlfn.MAXIFS(A:A,G:G,G4)+1-A4),"")</f>
        <v/>
      </c>
      <c r="R4" s="4">
        <f>IF(G4="17-21",MAX(T4,V4,Y4,AA4,AC4,AF4),MAX(X4,AE4))</f>
        <v>51.57</v>
      </c>
      <c r="S4" s="4">
        <f>IF(G4="17-21",LARGE(CHOOSE({1,2,3,4,5,6},T4,V4,Y4,AA4,AC4,AF4),2),IF(R4=X4,MAX(Y4,AA4,AC4,AF4),IF(R4=AE4,MAX(AF4,T4,V4,Y4),0)))</f>
        <v>50.52</v>
      </c>
      <c r="T4" s="32">
        <v>50.52</v>
      </c>
      <c r="U4" s="37">
        <v>13.5</v>
      </c>
      <c r="V4" s="33">
        <v>51.57</v>
      </c>
      <c r="W4" s="37">
        <v>13.5</v>
      </c>
      <c r="X4" s="4">
        <f>IF(H4="Senior",MAX(T4,V4),T4+V4)</f>
        <v>51.57</v>
      </c>
      <c r="Y4" s="33">
        <v>49.8</v>
      </c>
      <c r="Z4" s="37">
        <v>12.9</v>
      </c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99</v>
      </c>
      <c r="D5" s="3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R5+IF(OR(H5="Junior",H5="Senior"),0.0002,IF(OR(H5="L7",H5="L6"),0.0001,0))+IF(G5="17-21",MAX(AA5,AC5,AF5),AE5)*0.0000001</f>
        <v>47.630200000000002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47.63</v>
      </c>
      <c r="S5" s="4">
        <f>IF(G5="17-21",LARGE(CHOOSE({1,2,3,4,5,6},T5,V5,Y5,AA5,AC5,AF5),2),IF(R5=X5,MAX(Y5,AA5,AC5,AF5),IF(R5=AE5,MAX(AF5,T5,V5,Y5),0)))</f>
        <v>46.11</v>
      </c>
      <c r="T5" s="32">
        <v>47.63</v>
      </c>
      <c r="U5" s="37">
        <v>12.1</v>
      </c>
      <c r="V5" s="33">
        <v>10.64</v>
      </c>
      <c r="W5" s="37">
        <v>2.9</v>
      </c>
      <c r="X5" s="4">
        <f>IF(H5="Senior",MAX(T5,V5),T5+V5)</f>
        <v>47.63</v>
      </c>
      <c r="Y5" s="33">
        <v>46.11</v>
      </c>
      <c r="Z5" s="37">
        <v>11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100</v>
      </c>
      <c r="D6" s="35" t="str">
        <f>IF(E6="","",VLOOKUP(E6,'Coaching Points'!A:B,2,0))</f>
        <v>QC</v>
      </c>
      <c r="E6" s="35" t="s">
        <v>201</v>
      </c>
      <c r="F6" s="34">
        <v>2006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R6+IF(OR(H6="Junior",H6="Senior"),0.0002,IF(OR(H6="L7",H6="L6"),0.0001,0))+IF(G6="17-21",MAX(AA6,AC6,AF6),AE6)*0.0000001</f>
        <v>24.770199999999999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/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6">
        <v>1</v>
      </c>
      <c r="Q6" s="1" t="str">
        <f>IF(A6&lt;5,IF(_xlfn.MAXIFS(A:A,G:G,G6)&gt;3,5-A6,_xlfn.MAXIFS(A:A,G:G,G6)+1-A6),"")</f>
        <v/>
      </c>
      <c r="R6" s="4">
        <f>IF(G6="17-21",MAX(T6,V6,Y6,AA6,AC6,AF6),MAX(X6,AE6))</f>
        <v>24.77</v>
      </c>
      <c r="S6" s="4">
        <f>IF(G6="17-21",LARGE(CHOOSE({1,2,3,4,5,6},T6,V6,Y6,AA6,AC6,AF6),2),IF(R6=X6,MAX(Y6,AA6,AC6,AF6),IF(R6=AE6,MAX(AF6,T6,V6,Y6),0)))</f>
        <v>23.81</v>
      </c>
      <c r="T6" s="32">
        <v>24.77</v>
      </c>
      <c r="U6" s="37">
        <v>5.4</v>
      </c>
      <c r="V6" s="33">
        <v>23.81</v>
      </c>
      <c r="W6" s="37">
        <v>5.0999999999999996</v>
      </c>
      <c r="X6" s="4">
        <f>IF(H6="Senior",MAX(T6,V6),T6+V6)</f>
        <v>24.77</v>
      </c>
      <c r="Y6" s="33"/>
      <c r="Z6" s="37"/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>5</v>
      </c>
      <c r="C7" s="35" t="s">
        <v>267</v>
      </c>
      <c r="D7" s="35" t="str">
        <f>IF(E7="","",VLOOKUP(E7,'Coaching Points'!A:B,2,0))</f>
        <v>QC</v>
      </c>
      <c r="E7" s="35" t="s">
        <v>85</v>
      </c>
      <c r="F7" s="34">
        <v>2007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66</v>
      </c>
      <c r="I7" s="40"/>
      <c r="J7" s="4">
        <f>R7+IF(OR(H7="Junior",H7="Senior"),0.0002,IF(OR(H7="L7",H7="L6"),0.0001,0))+IF(G7="17-21",MAX(AA7,AC7,AF7),AE7)*0.0000001</f>
        <v>47.750100000000003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1" t="str">
        <f>IF(A7&lt;5,IF(_xlfn.MAXIFS(A:A,G:G,G7)&gt;3,5-A7,_xlfn.MAXIFS(A:A,G:G,G7)+1-A7),"")</f>
        <v/>
      </c>
      <c r="R7" s="4">
        <f>IF(G7="17-21",MAX(T7,V7,Y7,AA7,AC7,AF7),MAX(X7,AE7))</f>
        <v>47.75</v>
      </c>
      <c r="S7" s="4">
        <f>IF(G7="17-21",LARGE(CHOOSE({1,2,3,4,5,6},T7,V7,Y7,AA7,AC7,AF7),2),IF(R7=X7,MAX(Y7,AA7,AC7,AF7),IF(R7=AE7,MAX(AF7,T7,V7,Y7),0)))</f>
        <v>47.35</v>
      </c>
      <c r="T7" s="32">
        <v>47.35</v>
      </c>
      <c r="U7" s="37">
        <v>9.6999999999999993</v>
      </c>
      <c r="V7" s="33">
        <v>46.6</v>
      </c>
      <c r="W7" s="37">
        <v>9.1</v>
      </c>
      <c r="X7" s="4">
        <f>IF(H7="Senior",MAX(T7,V7),T7+V7)</f>
        <v>93.95</v>
      </c>
      <c r="Y7" s="33">
        <v>47.75</v>
      </c>
      <c r="Z7" s="37">
        <v>9.6999999999999993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5" t="s">
        <v>208</v>
      </c>
      <c r="D8" s="35" t="str">
        <f>IF(E8="","",VLOOKUP(E8,'Coaching Points'!A:B,2,0))</f>
        <v>QC</v>
      </c>
      <c r="E8" s="35" t="s">
        <v>78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>R8+IF(OR(H8="Junior",H8="Senior"),0.0002,IF(OR(H8="L7",H8="L6"),0.0001,0))+IF(G8="17-21",MAX(AA8,AC8,AF8),AE8)*0.0000001</f>
        <v>48.8001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48.8</v>
      </c>
      <c r="S8" s="4">
        <f>IF(G8="17-21",LARGE(CHOOSE({1,2,3,4,5,6},T8,V8,Y8,AA8,AC8,AF8),2),IF(R8=X8,MAX(Y8,AA8,AC8,AF8),IF(R8=AE8,MAX(AF8,T8,V8,Y8),0)))</f>
        <v>46.75</v>
      </c>
      <c r="T8" s="32">
        <v>18.96</v>
      </c>
      <c r="U8" s="37">
        <v>3.9</v>
      </c>
      <c r="V8" s="33">
        <v>48.8</v>
      </c>
      <c r="W8" s="37">
        <v>9.1</v>
      </c>
      <c r="X8" s="4">
        <f>IF(H8="Senior",MAX(T8,V8),T8+V8)</f>
        <v>67.759999999999991</v>
      </c>
      <c r="Y8" s="33">
        <v>46.75</v>
      </c>
      <c r="Z8" s="37">
        <v>9.1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5" t="s">
        <v>113</v>
      </c>
      <c r="D9" s="35" t="str">
        <f>IF(E9="","",VLOOKUP(E9,'Coaching Points'!A:B,2,0))</f>
        <v>QC</v>
      </c>
      <c r="E9" s="35" t="s">
        <v>201</v>
      </c>
      <c r="F9" s="34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R9+IF(OR(H9="Junior",H9="Senior"),0.0002,IF(OR(H9="L7",H9="L6"),0.0001,0))+IF(G9="17-21",MAX(AA9,AC9,AF9),AE9)*0.0000001</f>
        <v>47.610100000000003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47.61</v>
      </c>
      <c r="S9" s="4">
        <f>IF(G9="17-21",LARGE(CHOOSE({1,2,3,4,5,6},T9,V9,Y9,AA9,AC9,AF9),2),IF(R9=X9,MAX(Y9,AA9,AC9,AF9),IF(R9=AE9,MAX(AF9,T9,V9,Y9),0)))</f>
        <v>47.37</v>
      </c>
      <c r="T9" s="32">
        <v>47.61</v>
      </c>
      <c r="U9" s="37">
        <v>8.8000000000000007</v>
      </c>
      <c r="V9" s="33">
        <v>46.9</v>
      </c>
      <c r="W9" s="37">
        <v>8.8000000000000007</v>
      </c>
      <c r="X9" s="4">
        <f>IF(H9="Senior",MAX(T9,V9),T9+V9)</f>
        <v>94.509999999999991</v>
      </c>
      <c r="Y9" s="33">
        <v>47.37</v>
      </c>
      <c r="Z9" s="37">
        <v>8.8000000000000007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5" t="s">
        <v>111</v>
      </c>
      <c r="D10" s="35" t="str">
        <f>IF(E10="","",VLOOKUP(E10,'Coaching Points'!A:B,2,0))</f>
        <v>QC</v>
      </c>
      <c r="E10" s="35" t="s">
        <v>78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R10+IF(OR(H10="Junior",H10="Senior"),0.0002,IF(OR(H10="L7",H10="L6"),0.0001,0))+IF(G10="17-21",MAX(AA10,AC10,AF10),AE10)*0.0000001</f>
        <v>47.370100000000001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47.37</v>
      </c>
      <c r="S10" s="4">
        <f>IF(G10="17-21",LARGE(CHOOSE({1,2,3,4,5,6},T10,V10,Y10,AA10,AC10,AF10),2),IF(R10=X10,MAX(Y10,AA10,AC10,AF10),IF(R10=AE10,MAX(AF10,T10,V10,Y10),0)))</f>
        <v>46.79</v>
      </c>
      <c r="T10" s="32">
        <v>42.31</v>
      </c>
      <c r="U10" s="37">
        <v>7.8</v>
      </c>
      <c r="V10" s="33">
        <v>46.79</v>
      </c>
      <c r="W10" s="37">
        <v>8.6</v>
      </c>
      <c r="X10" s="4">
        <f>IF(H10="Senior",MAX(T10,V10),T10+V10)</f>
        <v>89.1</v>
      </c>
      <c r="Y10" s="33">
        <v>47.37</v>
      </c>
      <c r="Z10" s="37">
        <v>9.1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105</v>
      </c>
      <c r="D11" s="35" t="str">
        <f>IF(E11="","",VLOOKUP(E11,'Coaching Points'!A:B,2,0))</f>
        <v>QC</v>
      </c>
      <c r="E11" s="35" t="s">
        <v>78</v>
      </c>
      <c r="F11" s="34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R11+IF(OR(H11="Junior",H11="Senior"),0.0002,IF(OR(H11="L7",H11="L6"),0.0001,0))+IF(G11="17-21",MAX(AA11,AC11,AF11),AE11)*0.0000001</f>
        <v>46.750100000000003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46.75</v>
      </c>
      <c r="S11" s="4">
        <f>IF(G11="17-21",LARGE(CHOOSE({1,2,3,4,5,6},T11,V11,Y11,AA11,AC11,AF11),2),IF(R11=X11,MAX(Y11,AA11,AC11,AF11),IF(R11=AE11,MAX(AF11,T11,V11,Y11),0)))</f>
        <v>46.69</v>
      </c>
      <c r="T11" s="32">
        <v>46.75</v>
      </c>
      <c r="U11" s="37">
        <v>9.1</v>
      </c>
      <c r="V11" s="33">
        <v>46.69</v>
      </c>
      <c r="W11" s="37">
        <v>9.1</v>
      </c>
      <c r="X11" s="4">
        <f>IF(H11="Senior",MAX(T11,V11),T11+V11)</f>
        <v>93.44</v>
      </c>
      <c r="Y11" s="33">
        <v>38.11</v>
      </c>
      <c r="Z11" s="37">
        <v>6.6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118</v>
      </c>
      <c r="D12" s="35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R12+IF(OR(H12="Junior",H12="Senior"),0.0002,IF(OR(H12="L7",H12="L6"),0.0001,0))+IF(G12="17-21",MAX(AA12,AC12,AF12),AE12)*0.0000001</f>
        <v>46.390100000000004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46.39</v>
      </c>
      <c r="S12" s="4">
        <f>IF(G12="17-21",LARGE(CHOOSE({1,2,3,4,5,6},T12,V12,Y12,AA12,AC12,AF12),2),IF(R12=X12,MAX(Y12,AA12,AC12,AF12),IF(R12=AE12,MAX(AF12,T12,V12,Y12),0)))</f>
        <v>44.55</v>
      </c>
      <c r="T12" s="32">
        <v>46.39</v>
      </c>
      <c r="U12" s="37">
        <v>9.8000000000000007</v>
      </c>
      <c r="V12" s="33">
        <v>44.55</v>
      </c>
      <c r="W12" s="37">
        <v>9.1</v>
      </c>
      <c r="X12" s="4">
        <f>IF(H12="Senior",MAX(T12,V12),T12+V12)</f>
        <v>90.94</v>
      </c>
      <c r="Y12" s="33">
        <v>9.7200000000000006</v>
      </c>
      <c r="Z12" s="37">
        <v>2.1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266</v>
      </c>
      <c r="D13" s="35" t="str">
        <f>IF(E13="","",VLOOKUP(E13,'Coaching Points'!A:B,2,0))</f>
        <v>NL</v>
      </c>
      <c r="E13" s="35" t="s">
        <v>248</v>
      </c>
      <c r="F13" s="34">
        <v>2007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64</v>
      </c>
      <c r="I13" s="40"/>
      <c r="J13" s="4">
        <f>R13+IF(OR(H13="Junior",H13="Senior"),0.0002,IF(OR(H13="L7",H13="L6"),0.0001,0))+IF(G13="17-21",MAX(AA13,AC13,AF13),AE13)*0.0000001</f>
        <v>46.17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46.17</v>
      </c>
      <c r="S13" s="4">
        <f>IF(G13="17-21",LARGE(CHOOSE({1,2,3,4,5,6},T13,V13,Y13,AA13,AC13,AF13),2),IF(R13=X13,MAX(Y13,AA13,AC13,AF13),IF(R13=AE13,MAX(AF13,T13,V13,Y13),0)))</f>
        <v>43.99</v>
      </c>
      <c r="T13" s="32">
        <v>39.07</v>
      </c>
      <c r="U13" s="37">
        <v>0</v>
      </c>
      <c r="V13" s="33">
        <v>43.99</v>
      </c>
      <c r="W13" s="37">
        <v>7.6</v>
      </c>
      <c r="X13" s="4">
        <f>IF(H13="Senior",MAX(T13,V13),T13+V13)</f>
        <v>83.06</v>
      </c>
      <c r="Y13" s="33">
        <v>46.17</v>
      </c>
      <c r="Z13" s="37">
        <v>8.1999999999999993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180</v>
      </c>
      <c r="D14" s="35" t="str">
        <f>IF(E14="","",VLOOKUP(E14,'Coaching Points'!A:B,2,0))</f>
        <v>QC</v>
      </c>
      <c r="E14" s="35" t="s">
        <v>3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>R14+IF(OR(H14="Junior",H14="Senior"),0.0002,IF(OR(H14="L7",H14="L6"),0.0001,0))+IF(G14="17-21",MAX(AA14,AC14,AF14),AE14)*0.0000001</f>
        <v>46.000100000000003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46</v>
      </c>
      <c r="S14" s="4">
        <f>IF(G14="17-21",LARGE(CHOOSE({1,2,3,4,5,6},T14,V14,Y14,AA14,AC14,AF14),2),IF(R14=X14,MAX(Y14,AA14,AC14,AF14),IF(R14=AE14,MAX(AF14,T14,V14,Y14),0)))</f>
        <v>5.18</v>
      </c>
      <c r="T14" s="32">
        <v>5.18</v>
      </c>
      <c r="U14" s="37">
        <v>1.3</v>
      </c>
      <c r="V14" s="33">
        <v>46</v>
      </c>
      <c r="W14" s="37">
        <v>8.8000000000000007</v>
      </c>
      <c r="X14" s="4">
        <f>IF(H14="Senior",MAX(T14,V14),T14+V14)</f>
        <v>51.18</v>
      </c>
      <c r="Y14" s="33"/>
      <c r="Z14" s="37"/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109</v>
      </c>
      <c r="D15" s="35" t="str">
        <f>IF(E15="","",VLOOKUP(E15,'Coaching Points'!A:B,2,0))</f>
        <v>ON</v>
      </c>
      <c r="E15" s="35" t="s">
        <v>45</v>
      </c>
      <c r="F15" s="34">
        <v>2006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>R15+IF(OR(H15="Junior",H15="Senior"),0.0002,IF(OR(H15="L7",H15="L6"),0.0001,0))+IF(G15="17-21",MAX(AA15,AC15,AF15),AE15)*0.0000001</f>
        <v>45.97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45.97</v>
      </c>
      <c r="S15" s="4">
        <f>IF(G15="17-21",LARGE(CHOOSE({1,2,3,4,5,6},T15,V15,Y15,AA15,AC15,AF15),2),IF(R15=X15,MAX(Y15,AA15,AC15,AF15),IF(R15=AE15,MAX(AF15,T15,V15,Y15),0)))</f>
        <v>44.7</v>
      </c>
      <c r="T15" s="32">
        <v>38.549999999999997</v>
      </c>
      <c r="U15" s="37">
        <v>0</v>
      </c>
      <c r="V15" s="33">
        <v>45.97</v>
      </c>
      <c r="W15" s="37">
        <v>8.8000000000000007</v>
      </c>
      <c r="X15" s="4">
        <f>IF(H15="Senior",MAX(T15,V15),T15+V15)</f>
        <v>84.52</v>
      </c>
      <c r="Y15" s="33">
        <v>44.7</v>
      </c>
      <c r="Z15" s="37">
        <v>8.1999999999999993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107</v>
      </c>
      <c r="D16" s="35" t="str">
        <f>IF(E16="","",VLOOKUP(E16,'Coaching Points'!A:B,2,0))</f>
        <v>ON</v>
      </c>
      <c r="E16" s="35" t="s">
        <v>37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>R16+IF(OR(H16="Junior",H16="Senior"),0.0002,IF(OR(H16="L7",H16="L6"),0.0001,0))+IF(G16="17-21",MAX(AA16,AC16,AF16),AE16)*0.0000001</f>
        <v>45.87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45.87</v>
      </c>
      <c r="S16" s="4">
        <f>IF(G16="17-21",LARGE(CHOOSE({1,2,3,4,5,6},T16,V16,Y16,AA16,AC16,AF16),2),IF(R16=X16,MAX(Y16,AA16,AC16,AF16),IF(R16=AE16,MAX(AF16,T16,V16,Y16),0)))</f>
        <v>20.82</v>
      </c>
      <c r="T16" s="32">
        <v>20.82</v>
      </c>
      <c r="U16" s="37">
        <v>0</v>
      </c>
      <c r="V16" s="33">
        <v>45.87</v>
      </c>
      <c r="W16" s="37">
        <v>8.1999999999999993</v>
      </c>
      <c r="X16" s="4">
        <f>IF(H16="Senior",MAX(T16,V16),T16+V16)</f>
        <v>66.69</v>
      </c>
      <c r="Y16" s="33"/>
      <c r="Z16" s="37"/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115</v>
      </c>
      <c r="D17" s="35" t="str">
        <f>IF(E17="","",VLOOKUP(E17,'Coaching Points'!A:B,2,0))</f>
        <v>NS</v>
      </c>
      <c r="E17" s="35" t="s">
        <v>112</v>
      </c>
      <c r="F17" s="34">
        <v>2005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>R17+IF(OR(H17="Junior",H17="Senior"),0.0002,IF(OR(H17="L7",H17="L6"),0.0001,0))+IF(G17="17-21",MAX(AA17,AC17,AF17),AE17)*0.0000001</f>
        <v>45.48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45.48</v>
      </c>
      <c r="S17" s="4">
        <f>IF(G17="17-21",LARGE(CHOOSE({1,2,3,4,5,6},T17,V17,Y17,AA17,AC17,AF17),2),IF(R17=X17,MAX(Y17,AA17,AC17,AF17),IF(R17=AE17,MAX(AF17,T17,V17,Y17),0)))</f>
        <v>45.1</v>
      </c>
      <c r="T17" s="32">
        <v>39.090000000000003</v>
      </c>
      <c r="U17" s="37">
        <v>0</v>
      </c>
      <c r="V17" s="33">
        <v>45.48</v>
      </c>
      <c r="W17" s="37">
        <v>7.8</v>
      </c>
      <c r="X17" s="4">
        <f>IF(H17="Senior",MAX(T17,V17),T17+V17)</f>
        <v>84.57</v>
      </c>
      <c r="Y17" s="33">
        <v>45.1</v>
      </c>
      <c r="Z17" s="37">
        <v>7.8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142</v>
      </c>
      <c r="D18" s="35" t="str">
        <f>IF(E18="","",VLOOKUP(E18,'Coaching Points'!A:B,2,0))</f>
        <v>SK</v>
      </c>
      <c r="E18" s="35" t="s">
        <v>329</v>
      </c>
      <c r="F18" s="34">
        <v>2005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64</v>
      </c>
      <c r="I18" s="40"/>
      <c r="J18" s="4">
        <f>R18+IF(OR(H18="Junior",H18="Senior"),0.0002,IF(OR(H18="L7",H18="L6"),0.0001,0))+IF(G18="17-21",MAX(AA18,AC18,AF18),AE18)*0.0000001</f>
        <v>45.31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45.31</v>
      </c>
      <c r="S18" s="4">
        <f>IF(G18="17-21",LARGE(CHOOSE({1,2,3,4,5,6},T18,V18,Y18,AA18,AC18,AF18),2),IF(R18=X18,MAX(Y18,AA18,AC18,AF18),IF(R18=AE18,MAX(AF18,T18,V18,Y18),0)))</f>
        <v>40.33</v>
      </c>
      <c r="T18" s="32">
        <v>37.619999999999997</v>
      </c>
      <c r="U18" s="37">
        <v>0</v>
      </c>
      <c r="V18" s="33">
        <v>45.31</v>
      </c>
      <c r="W18" s="37">
        <v>8.9</v>
      </c>
      <c r="X18" s="4">
        <f>IF(H18="Senior",MAX(T18,V18),T18+V18)</f>
        <v>82.93</v>
      </c>
      <c r="Y18" s="33">
        <v>40.33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259</v>
      </c>
      <c r="D19" s="35" t="str">
        <f>IF(E19="","",VLOOKUP(E19,'Coaching Points'!A:B,2,0))</f>
        <v>AB</v>
      </c>
      <c r="E19" s="35" t="s">
        <v>62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>R19+IF(OR(H19="Junior",H19="Senior"),0.0002,IF(OR(H19="L7",H19="L6"),0.0001,0))+IF(G19="17-21",MAX(AA19,AC19,AF19),AE19)*0.0000001</f>
        <v>45.15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45.15</v>
      </c>
      <c r="S19" s="4">
        <f>IF(G19="17-21",LARGE(CHOOSE({1,2,3,4,5,6},T19,V19,Y19,AA19,AC19,AF19),2),IF(R19=X19,MAX(Y19,AA19,AC19,AF19),IF(R19=AE19,MAX(AF19,T19,V19,Y19),0)))</f>
        <v>42.7</v>
      </c>
      <c r="T19" s="32">
        <v>37.29</v>
      </c>
      <c r="U19" s="37">
        <v>0</v>
      </c>
      <c r="V19" s="33">
        <v>45.15</v>
      </c>
      <c r="W19" s="37">
        <v>7.6</v>
      </c>
      <c r="X19" s="4">
        <f>IF(H19="Senior",MAX(T19,V19),T19+V19)</f>
        <v>82.44</v>
      </c>
      <c r="Y19" s="33">
        <v>42.7</v>
      </c>
      <c r="Z19" s="37">
        <v>7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207</v>
      </c>
      <c r="D20" s="35" t="str">
        <f>IF(E20="","",VLOOKUP(E20,'Coaching Points'!A:B,2,0))</f>
        <v>AB</v>
      </c>
      <c r="E20" s="35" t="s">
        <v>56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66</v>
      </c>
      <c r="I20" s="40"/>
      <c r="J20" s="4">
        <f>R20+IF(OR(H20="Junior",H20="Senior"),0.0002,IF(OR(H20="L7",H20="L6"),0.0001,0))+IF(G20="17-21",MAX(AA20,AC20,AF20),AE20)*0.0000001</f>
        <v>45.010100000000001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45.01</v>
      </c>
      <c r="S20" s="4">
        <f>IF(G20="17-21",LARGE(CHOOSE({1,2,3,4,5,6},T20,V20,Y20,AA20,AC20,AF20),2),IF(R20=X20,MAX(Y20,AA20,AC20,AF20),IF(R20=AE20,MAX(AF20,T20,V20,Y20),0)))</f>
        <v>19.18</v>
      </c>
      <c r="T20" s="32">
        <v>19.18</v>
      </c>
      <c r="U20" s="37">
        <v>4.5999999999999996</v>
      </c>
      <c r="V20" s="33">
        <v>45.01</v>
      </c>
      <c r="W20" s="37">
        <v>8.6999999999999993</v>
      </c>
      <c r="X20" s="4">
        <f>IF(H20="Senior",MAX(T20,V20),T20+V20)</f>
        <v>64.19</v>
      </c>
      <c r="Y20" s="33"/>
      <c r="Z20" s="37"/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258</v>
      </c>
      <c r="D21" s="35" t="str">
        <f>IF(E21="","",VLOOKUP(E21,'Coaching Points'!A:B,2,0))</f>
        <v>BC</v>
      </c>
      <c r="E21" s="35" t="s">
        <v>44</v>
      </c>
      <c r="F21" s="34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64</v>
      </c>
      <c r="I21" s="40"/>
      <c r="J21" s="4">
        <f>R21+IF(OR(H21="Junior",H21="Senior"),0.0002,IF(OR(H21="L7",H21="L6"),0.0001,0))+IF(G21="17-21",MAX(AA21,AC21,AF21),AE21)*0.0000001</f>
        <v>44.87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44.87</v>
      </c>
      <c r="S21" s="4">
        <f>IF(G21="17-21",LARGE(CHOOSE({1,2,3,4,5,6},T21,V21,Y21,AA21,AC21,AF21),2),IF(R21=X21,MAX(Y21,AA21,AC21,AF21),IF(R21=AE21,MAX(AF21,T21,V21,Y21),0)))</f>
        <v>44.67</v>
      </c>
      <c r="T21" s="32">
        <v>38.68</v>
      </c>
      <c r="U21" s="37">
        <v>0</v>
      </c>
      <c r="V21" s="33">
        <v>44.87</v>
      </c>
      <c r="W21" s="37">
        <v>9</v>
      </c>
      <c r="X21" s="4">
        <f>IF(H21="Senior",MAX(T21,V21),T21+V21)</f>
        <v>83.55</v>
      </c>
      <c r="Y21" s="33">
        <v>44.67</v>
      </c>
      <c r="Z21" s="37">
        <v>9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127</v>
      </c>
      <c r="D22" s="35" t="str">
        <f>IF(E22="","",VLOOKUP(E22,'Coaching Points'!A:B,2,0))</f>
        <v>AB</v>
      </c>
      <c r="E22" s="35" t="s">
        <v>28</v>
      </c>
      <c r="F22" s="34">
        <v>2004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>R22+IF(OR(H22="Junior",H22="Senior"),0.0002,IF(OR(H22="L7",H22="L6"),0.0001,0))+IF(G22="17-21",MAX(AA22,AC22,AF22),AE22)*0.0000001</f>
        <v>44.5501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44.55</v>
      </c>
      <c r="S22" s="4">
        <f>IF(G22="17-21",LARGE(CHOOSE({1,2,3,4,5,6},T22,V22,Y22,AA22,AC22,AF22),2),IF(R22=X22,MAX(Y22,AA22,AC22,AF22),IF(R22=AE22,MAX(AF22,T22,V22,Y22),0)))</f>
        <v>9.2100000000000009</v>
      </c>
      <c r="T22" s="32">
        <v>44.55</v>
      </c>
      <c r="U22" s="37">
        <v>7.7</v>
      </c>
      <c r="V22" s="33">
        <v>9.2100000000000009</v>
      </c>
      <c r="W22" s="37">
        <v>2.2999999999999998</v>
      </c>
      <c r="X22" s="4">
        <f>IF(H22="Senior",MAX(T22,V22),T22+V22)</f>
        <v>53.76</v>
      </c>
      <c r="Y22" s="33"/>
      <c r="Z22" s="37"/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339</v>
      </c>
      <c r="D23" s="35" t="str">
        <f>IF(E23="","",VLOOKUP(E23,'Coaching Points'!A:B,2,0))</f>
        <v>QC</v>
      </c>
      <c r="E23" s="35" t="s">
        <v>342</v>
      </c>
      <c r="F23" s="34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>R23+IF(OR(H23="Junior",H23="Senior"),0.0002,IF(OR(H23="L7",H23="L6"),0.0001,0))+IF(G23="17-21",MAX(AA23,AC23,AF23),AE23)*0.0000001</f>
        <v>44.46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44.46</v>
      </c>
      <c r="S23" s="4">
        <f>IF(G23="17-21",LARGE(CHOOSE({1,2,3,4,5,6},T23,V23,Y23,AA23,AC23,AF23),2),IF(R23=X23,MAX(Y23,AA23,AC23,AF23),IF(R23=AE23,MAX(AF23,T23,V23,Y23),0)))</f>
        <v>41.15</v>
      </c>
      <c r="T23" s="32">
        <v>37.68</v>
      </c>
      <c r="U23" s="37">
        <v>0</v>
      </c>
      <c r="V23" s="33">
        <v>44.46</v>
      </c>
      <c r="W23" s="37">
        <v>7.4</v>
      </c>
      <c r="X23" s="4">
        <f>IF(H23="Senior",MAX(T23,V23),T23+V23)</f>
        <v>82.14</v>
      </c>
      <c r="Y23" s="33">
        <v>41.15</v>
      </c>
      <c r="Z23" s="37">
        <v>6.6</v>
      </c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257</v>
      </c>
      <c r="D24" s="35" t="str">
        <f>IF(E24="","",VLOOKUP(E24,'Coaching Points'!A:B,2,0))</f>
        <v>AB</v>
      </c>
      <c r="E24" s="35" t="s">
        <v>39</v>
      </c>
      <c r="F24" s="34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72</v>
      </c>
      <c r="I24" s="40"/>
      <c r="J24" s="4">
        <f>R24+IF(OR(H24="Junior",H24="Senior"),0.0002,IF(OR(H24="L7",H24="L6"),0.0001,0))+IF(G24="17-21",MAX(AA24,AC24,AF24),AE24)*0.0000001</f>
        <v>44.410199999999996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44.41</v>
      </c>
      <c r="S24" s="4">
        <f>IF(G24="17-21",LARGE(CHOOSE({1,2,3,4,5,6},T24,V24,Y24,AA24,AC24,AF24),2),IF(R24=X24,MAX(Y24,AA24,AC24,AF24),IF(R24=AE24,MAX(AF24,T24,V24,Y24),0)))</f>
        <v>43.01</v>
      </c>
      <c r="T24" s="32">
        <v>43.01</v>
      </c>
      <c r="U24" s="37">
        <v>9.8000000000000007</v>
      </c>
      <c r="V24" s="33">
        <v>44.41</v>
      </c>
      <c r="W24" s="37">
        <v>10.1</v>
      </c>
      <c r="X24" s="4">
        <f>IF(H24="Senior",MAX(T24,V24),T24+V24)</f>
        <v>44.41</v>
      </c>
      <c r="Y24" s="33"/>
      <c r="Z24" s="37"/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265</v>
      </c>
      <c r="D25" s="35" t="str">
        <f>IF(E25="","",VLOOKUP(E25,'Coaching Points'!A:B,2,0))</f>
        <v>ON</v>
      </c>
      <c r="E25" s="35" t="s">
        <v>97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R25+IF(OR(H25="Junior",H25="Senior"),0.0002,IF(OR(H25="L7",H25="L6"),0.0001,0))+IF(G25="17-21",MAX(AA25,AC25,AF25),AE25)*0.0000001</f>
        <v>44.01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44.01</v>
      </c>
      <c r="S25" s="4">
        <f>IF(G25="17-21",LARGE(CHOOSE({1,2,3,4,5,6},T25,V25,Y25,AA25,AC25,AF25),2),IF(R25=X25,MAX(Y25,AA25,AC25,AF25),IF(R25=AE25,MAX(AF25,T25,V25,Y25),0)))</f>
        <v>39.11</v>
      </c>
      <c r="T25" s="32">
        <v>39.11</v>
      </c>
      <c r="U25" s="37">
        <v>0</v>
      </c>
      <c r="V25" s="33">
        <v>44.01</v>
      </c>
      <c r="W25" s="37">
        <v>7.8</v>
      </c>
      <c r="X25" s="4">
        <f>IF(H25="Senior",MAX(T25,V25),T25+V25)</f>
        <v>83.12</v>
      </c>
      <c r="Y25" s="33">
        <v>13.3</v>
      </c>
      <c r="Z25" s="37">
        <v>2.9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108</v>
      </c>
      <c r="D26" s="35" t="str">
        <f>IF(E26="","",VLOOKUP(E26,'Coaching Points'!A:B,2,0))</f>
        <v>AB</v>
      </c>
      <c r="E26" s="35" t="s">
        <v>28</v>
      </c>
      <c r="F26" s="34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R26+IF(OR(H26="Junior",H26="Senior"),0.0002,IF(OR(H26="L7",H26="L6"),0.0001,0))+IF(G26="17-21",MAX(AA26,AC26,AF26),AE26)*0.0000001</f>
        <v>43.97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43.97</v>
      </c>
      <c r="S26" s="4">
        <f>IF(G26="17-21",LARGE(CHOOSE({1,2,3,4,5,6},T26,V26,Y26,AA26,AC26,AF26),2),IF(R26=X26,MAX(Y26,AA26,AC26,AF26),IF(R26=AE26,MAX(AF26,T26,V26,Y26),0)))</f>
        <v>37.39</v>
      </c>
      <c r="T26" s="32">
        <v>37.39</v>
      </c>
      <c r="U26" s="37">
        <v>0</v>
      </c>
      <c r="V26" s="33">
        <v>43.97</v>
      </c>
      <c r="W26" s="37">
        <v>8.3000000000000007</v>
      </c>
      <c r="X26" s="4">
        <f>IF(H26="Senior",MAX(T26,V26),T26+V26)</f>
        <v>81.36</v>
      </c>
      <c r="Y26" s="33"/>
      <c r="Z26" s="37"/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302</v>
      </c>
      <c r="D27" s="35" t="str">
        <f>IF(E27="","",VLOOKUP(E27,'Coaching Points'!A:B,2,0))</f>
        <v>AB</v>
      </c>
      <c r="E27" s="35" t="s">
        <v>28</v>
      </c>
      <c r="F27" s="34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>R27+IF(OR(H27="Junior",H27="Senior"),0.0002,IF(OR(H27="L7",H27="L6"),0.0001,0))+IF(G27="17-21",MAX(AA27,AC27,AF27),AE27)*0.0000001</f>
        <v>43.950100000000006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43.95</v>
      </c>
      <c r="S27" s="4">
        <f>IF(G27="17-21",LARGE(CHOOSE({1,2,3,4,5,6},T27,V27,Y27,AA27,AC27,AF27),2),IF(R27=X27,MAX(Y27,AA27,AC27,AF27),IF(R27=AE27,MAX(AF27,T27,V27,Y27),0)))</f>
        <v>41.99</v>
      </c>
      <c r="T27" s="32">
        <v>43.95</v>
      </c>
      <c r="U27" s="37">
        <v>9.9</v>
      </c>
      <c r="V27" s="33">
        <v>41.99</v>
      </c>
      <c r="W27" s="37">
        <v>9.9</v>
      </c>
      <c r="X27" s="4">
        <f>IF(H27="Senior",MAX(T27,V27),T27+V27)</f>
        <v>85.94</v>
      </c>
      <c r="Y27" s="33"/>
      <c r="Z27" s="37"/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263</v>
      </c>
      <c r="D28" s="35" t="str">
        <f>IF(E28="","",VLOOKUP(E28,'Coaching Points'!A:B,2,0))</f>
        <v>BC</v>
      </c>
      <c r="E28" s="35" t="s">
        <v>44</v>
      </c>
      <c r="F28" s="34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R28+IF(OR(H28="Junior",H28="Senior"),0.0002,IF(OR(H28="L7",H28="L6"),0.0001,0))+IF(G28="17-21",MAX(AA28,AC28,AF28),AE28)*0.0000001</f>
        <v>43.89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43.89</v>
      </c>
      <c r="S28" s="4">
        <f>IF(G28="17-21",LARGE(CHOOSE({1,2,3,4,5,6},T28,V28,Y28,AA28,AC28,AF28),2),IF(R28=X28,MAX(Y28,AA28,AC28,AF28),IF(R28=AE28,MAX(AF28,T28,V28,Y28),0)))</f>
        <v>37.99</v>
      </c>
      <c r="T28" s="32">
        <v>37.99</v>
      </c>
      <c r="U28" s="37">
        <v>0</v>
      </c>
      <c r="V28" s="33">
        <v>43.89</v>
      </c>
      <c r="W28" s="37">
        <v>7</v>
      </c>
      <c r="X28" s="4">
        <f>IF(H28="Senior",MAX(T28,V28),T28+V28)</f>
        <v>81.88</v>
      </c>
      <c r="Y28" s="33"/>
      <c r="Z28" s="37"/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178</v>
      </c>
      <c r="D29" s="35" t="str">
        <f>IF(E29="","",VLOOKUP(E29,'Coaching Points'!A:B,2,0))</f>
        <v>BC</v>
      </c>
      <c r="E29" s="35" t="s">
        <v>60</v>
      </c>
      <c r="F29" s="34">
        <v>2007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R29+IF(OR(H29="Junior",H29="Senior"),0.0002,IF(OR(H29="L7",H29="L6"),0.0001,0))+IF(G29="17-21",MAX(AA29,AC29,AF29),AE29)*0.0000001</f>
        <v>43.61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43.61</v>
      </c>
      <c r="S29" s="4">
        <f>IF(G29="17-21",LARGE(CHOOSE({1,2,3,4,5,6},T29,V29,Y29,AA29,AC29,AF29),2),IF(R29=X29,MAX(Y29,AA29,AC29,AF29),IF(R29=AE29,MAX(AF29,T29,V29,Y29),0)))</f>
        <v>34.799999999999997</v>
      </c>
      <c r="T29" s="32">
        <v>34.799999999999997</v>
      </c>
      <c r="U29" s="37">
        <v>0</v>
      </c>
      <c r="V29" s="33">
        <v>43.61</v>
      </c>
      <c r="W29" s="37">
        <v>8.5</v>
      </c>
      <c r="X29" s="4">
        <f>IF(H29="Senior",MAX(T29,V29),T29+V29)</f>
        <v>78.41</v>
      </c>
      <c r="Y29" s="33"/>
      <c r="Z29" s="37"/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262</v>
      </c>
      <c r="D30" s="35" t="str">
        <f>IF(E30="","",VLOOKUP(E30,'Coaching Points'!A:B,2,0))</f>
        <v>ON</v>
      </c>
      <c r="E30" s="35" t="s">
        <v>45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>R30+IF(OR(H30="Junior",H30="Senior"),0.0002,IF(OR(H30="L7",H30="L6"),0.0001,0))+IF(G30="17-21",MAX(AA30,AC30,AF30),AE30)*0.0000001</f>
        <v>43.49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43.49</v>
      </c>
      <c r="S30" s="4">
        <f>IF(G30="17-21",LARGE(CHOOSE({1,2,3,4,5,6},T30,V30,Y30,AA30,AC30,AF30),2),IF(R30=X30,MAX(Y30,AA30,AC30,AF30),IF(R30=AE30,MAX(AF30,T30,V30,Y30),0)))</f>
        <v>37.86</v>
      </c>
      <c r="T30" s="32">
        <v>37.86</v>
      </c>
      <c r="U30" s="37">
        <v>0</v>
      </c>
      <c r="V30" s="33">
        <v>43.49</v>
      </c>
      <c r="W30" s="37">
        <v>8</v>
      </c>
      <c r="X30" s="4">
        <f>IF(H30="Senior",MAX(T30,V30),T30+V30)</f>
        <v>81.349999999999994</v>
      </c>
      <c r="Y30" s="33"/>
      <c r="Z30" s="37"/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340</v>
      </c>
      <c r="D31" s="35" t="str">
        <f>IF(E31="","",VLOOKUP(E31,'Coaching Points'!A:B,2,0))</f>
        <v>NL</v>
      </c>
      <c r="E31" s="35" t="s">
        <v>91</v>
      </c>
      <c r="F31" s="34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>R31+IF(OR(H31="Junior",H31="Senior"),0.0002,IF(OR(H31="L7",H31="L6"),0.0001,0))+IF(G31="17-21",MAX(AA31,AC31,AF31),AE31)*0.0000001</f>
        <v>43.46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43.46</v>
      </c>
      <c r="S31" s="4">
        <f>IF(G31="17-21",LARGE(CHOOSE({1,2,3,4,5,6},T31,V31,Y31,AA31,AC31,AF31),2),IF(R31=X31,MAX(Y31,AA31,AC31,AF31),IF(R31=AE31,MAX(AF31,T31,V31,Y31),0)))</f>
        <v>37.369999999999997</v>
      </c>
      <c r="T31" s="32">
        <v>37.369999999999997</v>
      </c>
      <c r="U31" s="37">
        <v>0</v>
      </c>
      <c r="V31" s="33">
        <v>43.46</v>
      </c>
      <c r="W31" s="37">
        <v>7.1</v>
      </c>
      <c r="X31" s="4">
        <f>IF(H31="Senior",MAX(T31,V31),T31+V31)</f>
        <v>80.83</v>
      </c>
      <c r="Y31" s="33"/>
      <c r="Z31" s="37"/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269</v>
      </c>
      <c r="D32" s="35" t="str">
        <f>IF(E32="","",VLOOKUP(E32,'Coaching Points'!A:B,2,0))</f>
        <v>ON</v>
      </c>
      <c r="E32" s="35" t="s">
        <v>97</v>
      </c>
      <c r="F32" s="34">
        <v>2007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>R32+IF(OR(H32="Junior",H32="Senior"),0.0002,IF(OR(H32="L7",H32="L6"),0.0001,0))+IF(G32="17-21",MAX(AA32,AC32,AF32),AE32)*0.0000001</f>
        <v>43.34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43.34</v>
      </c>
      <c r="S32" s="4">
        <f>IF(G32="17-21",LARGE(CHOOSE({1,2,3,4,5,6},T32,V32,Y32,AA32,AC32,AF32),2),IF(R32=X32,MAX(Y32,AA32,AC32,AF32),IF(R32=AE32,MAX(AF32,T32,V32,Y32),0)))</f>
        <v>43.09</v>
      </c>
      <c r="T32" s="32">
        <v>39.11</v>
      </c>
      <c r="U32" s="37">
        <v>0</v>
      </c>
      <c r="V32" s="33">
        <v>43.34</v>
      </c>
      <c r="W32" s="37">
        <v>8.5</v>
      </c>
      <c r="X32" s="4">
        <f>IF(H32="Senior",MAX(T32,V32),T32+V32)</f>
        <v>82.45</v>
      </c>
      <c r="Y32" s="33">
        <v>43.09</v>
      </c>
      <c r="Z32" s="37">
        <v>8.5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330</v>
      </c>
      <c r="D33" s="35" t="str">
        <f>IF(E33="","",VLOOKUP(E33,'Coaching Points'!A:B,2,0))</f>
        <v>SK</v>
      </c>
      <c r="E33" s="35" t="s">
        <v>329</v>
      </c>
      <c r="F33" s="34">
        <v>2003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66</v>
      </c>
      <c r="I33" s="40"/>
      <c r="J33" s="4">
        <f>R33+IF(OR(H33="Junior",H33="Senior"),0.0002,IF(OR(H33="L7",H33="L6"),0.0001,0))+IF(G33="17-21",MAX(AA33,AC33,AF33),AE33)*0.0000001</f>
        <v>43.3001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43.3</v>
      </c>
      <c r="S33" s="4">
        <f>IF(G33="17-21",LARGE(CHOOSE({1,2,3,4,5,6},T33,V33,Y33,AA33,AC33,AF33),2),IF(R33=X33,MAX(Y33,AA33,AC33,AF33),IF(R33=AE33,MAX(AF33,T33,V33,Y33),0)))</f>
        <v>23.4</v>
      </c>
      <c r="T33" s="32">
        <v>23.4</v>
      </c>
      <c r="U33" s="37">
        <v>4.5999999999999996</v>
      </c>
      <c r="V33" s="33">
        <v>43.3</v>
      </c>
      <c r="W33" s="37">
        <v>8.1</v>
      </c>
      <c r="X33" s="4">
        <f>IF(H33="Senior",MAX(T33,V33),T33+V33)</f>
        <v>66.699999999999989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119</v>
      </c>
      <c r="D34" s="35" t="str">
        <f>IF(E34="","",VLOOKUP(E34,'Coaching Points'!A:B,2,0))</f>
        <v>SK</v>
      </c>
      <c r="E34" s="35" t="s">
        <v>329</v>
      </c>
      <c r="F34" s="34">
        <v>2003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>R34+IF(OR(H34="Junior",H34="Senior"),0.0002,IF(OR(H34="L7",H34="L6"),0.0001,0))+IF(G34="17-21",MAX(AA34,AC34,AF34),AE34)*0.0000001</f>
        <v>43.270100000000006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43.27</v>
      </c>
      <c r="S34" s="4">
        <f>IF(G34="17-21",LARGE(CHOOSE({1,2,3,4,5,6},T34,V34,Y34,AA34,AC34,AF34),2),IF(R34=X34,MAX(Y34,AA34,AC34,AF34),IF(R34=AE34,MAX(AF34,T34,V34,Y34),0)))</f>
        <v>8.92</v>
      </c>
      <c r="T34" s="32">
        <v>43.27</v>
      </c>
      <c r="U34" s="37">
        <v>8.5</v>
      </c>
      <c r="V34" s="33">
        <v>8.92</v>
      </c>
      <c r="W34" s="37">
        <v>2.1</v>
      </c>
      <c r="X34" s="4">
        <f>IF(H34="Senior",MAX(T34,V34),T34+V34)</f>
        <v>52.190000000000005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117</v>
      </c>
      <c r="D35" s="35" t="str">
        <f>IF(E35="","",VLOOKUP(E35,'Coaching Points'!A:B,2,0))</f>
        <v>BC</v>
      </c>
      <c r="E35" s="35" t="s">
        <v>59</v>
      </c>
      <c r="F35" s="34">
        <v>2003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>R35+IF(OR(H35="Junior",H35="Senior"),0.0002,IF(OR(H35="L7",H35="L6"),0.0001,0))+IF(G35="17-21",MAX(AA35,AC35,AF35),AE35)*0.0000001</f>
        <v>43.09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43.09</v>
      </c>
      <c r="S35" s="4">
        <f>IF(G35="17-21",LARGE(CHOOSE({1,2,3,4,5,6},T35,V35,Y35,AA35,AC35,AF35),2),IF(R35=X35,MAX(Y35,AA35,AC35,AF35),IF(R35=AE35,MAX(AF35,T35,V35,Y35),0)))</f>
        <v>34.799999999999997</v>
      </c>
      <c r="T35" s="32">
        <v>34.799999999999997</v>
      </c>
      <c r="U35" s="37">
        <v>0</v>
      </c>
      <c r="V35" s="33">
        <v>43.09</v>
      </c>
      <c r="W35" s="37">
        <v>8.4</v>
      </c>
      <c r="X35" s="4">
        <f>IF(H35="Senior",MAX(T35,V35),T35+V35)</f>
        <v>77.89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116</v>
      </c>
      <c r="D36" s="35" t="str">
        <f>IF(E36="","",VLOOKUP(E36,'Coaching Points'!A:B,2,0))</f>
        <v>QC</v>
      </c>
      <c r="E36" s="35" t="s">
        <v>342</v>
      </c>
      <c r="F36" s="34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>R36+IF(OR(H36="Junior",H36="Senior"),0.0002,IF(OR(H36="L7",H36="L6"),0.0001,0))+IF(G36="17-21",MAX(AA36,AC36,AF36),AE36)*0.0000001</f>
        <v>42.46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42.46</v>
      </c>
      <c r="S36" s="4">
        <f>IF(G36="17-21",LARGE(CHOOSE({1,2,3,4,5,6},T36,V36,Y36,AA36,AC36,AF36),2),IF(R36=X36,MAX(Y36,AA36,AC36,AF36),IF(R36=AE36,MAX(AF36,T36,V36,Y36),0)))</f>
        <v>37.799999999999997</v>
      </c>
      <c r="T36" s="32">
        <v>37.799999999999997</v>
      </c>
      <c r="U36" s="37">
        <v>0</v>
      </c>
      <c r="V36" s="33">
        <v>42.46</v>
      </c>
      <c r="W36" s="37">
        <v>8.4</v>
      </c>
      <c r="X36" s="4">
        <f>IF(H36="Senior",MAX(T36,V36),T36+V36)</f>
        <v>80.259999999999991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272</v>
      </c>
      <c r="D37" s="35" t="str">
        <f>IF(E37="","",VLOOKUP(E37,'Coaching Points'!A:B,2,0))</f>
        <v>NL</v>
      </c>
      <c r="E37" s="35" t="s">
        <v>248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>R37+IF(OR(H37="Junior",H37="Senior"),0.0002,IF(OR(H37="L7",H37="L6"),0.0001,0))+IF(G37="17-21",MAX(AA37,AC37,AF37),AE37)*0.0000001</f>
        <v>42.18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42.18</v>
      </c>
      <c r="S37" s="4">
        <f>IF(G37="17-21",LARGE(CHOOSE({1,2,3,4,5,6},T37,V37,Y37,AA37,AC37,AF37),2),IF(R37=X37,MAX(Y37,AA37,AC37,AF37),IF(R37=AE37,MAX(AF37,T37,V37,Y37),0)))</f>
        <v>36.909999999999997</v>
      </c>
      <c r="T37" s="32">
        <v>36.909999999999997</v>
      </c>
      <c r="U37" s="37">
        <v>0</v>
      </c>
      <c r="V37" s="33">
        <v>42.18</v>
      </c>
      <c r="W37" s="37">
        <v>7.3</v>
      </c>
      <c r="X37" s="4">
        <f>IF(H37="Senior",MAX(T37,V37),T37+V37)</f>
        <v>79.09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260</v>
      </c>
      <c r="D38" s="35" t="str">
        <f>IF(E38="","",VLOOKUP(E38,'Coaching Points'!A:B,2,0))</f>
        <v>AB</v>
      </c>
      <c r="E38" s="35" t="s">
        <v>28</v>
      </c>
      <c r="F38" s="34">
        <v>2006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>R38+IF(OR(H38="Junior",H38="Senior"),0.0002,IF(OR(H38="L7",H38="L6"),0.0001,0))+IF(G38="17-21",MAX(AA38,AC38,AF38),AE38)*0.0000001</f>
        <v>41.96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41.96</v>
      </c>
      <c r="S38" s="4">
        <f>IF(G38="17-21",LARGE(CHOOSE({1,2,3,4,5,6},T38,V38,Y38,AA38,AC38,AF38),2),IF(R38=X38,MAX(Y38,AA38,AC38,AF38),IF(R38=AE38,MAX(AF38,T38,V38,Y38),0)))</f>
        <v>36.85</v>
      </c>
      <c r="T38" s="32">
        <v>36.85</v>
      </c>
      <c r="U38" s="37">
        <v>0</v>
      </c>
      <c r="V38" s="33">
        <v>41.96</v>
      </c>
      <c r="W38" s="37">
        <v>7.8</v>
      </c>
      <c r="X38" s="4">
        <f>IF(H38="Senior",MAX(T38,V38),T38+V38)</f>
        <v>78.81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123</v>
      </c>
      <c r="D39" s="35" t="str">
        <f>IF(E39="","",VLOOKUP(E39,'Coaching Points'!A:B,2,0))</f>
        <v>ON</v>
      </c>
      <c r="E39" s="35" t="s">
        <v>97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66</v>
      </c>
      <c r="I39" s="40"/>
      <c r="J39" s="4">
        <f>R39+IF(OR(H39="Junior",H39="Senior"),0.0002,IF(OR(H39="L7",H39="L6"),0.0001,0))+IF(G39="17-21",MAX(AA39,AC39,AF39),AE39)*0.0000001</f>
        <v>41.770100000000006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41.77</v>
      </c>
      <c r="S39" s="4">
        <f>IF(G39="17-21",LARGE(CHOOSE({1,2,3,4,5,6},T39,V39,Y39,AA39,AC39,AF39),2),IF(R39=X39,MAX(Y39,AA39,AC39,AF39),IF(R39=AE39,MAX(AF39,T39,V39,Y39),0)))</f>
        <v>40.28</v>
      </c>
      <c r="T39" s="32">
        <v>41.77</v>
      </c>
      <c r="U39" s="37">
        <v>7.8</v>
      </c>
      <c r="V39" s="33">
        <v>40.28</v>
      </c>
      <c r="W39" s="37">
        <v>8</v>
      </c>
      <c r="X39" s="4">
        <f>IF(H39="Senior",MAX(T39,V39),T39+V39)</f>
        <v>82.050000000000011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273</v>
      </c>
      <c r="D40" s="35" t="str">
        <f>IF(E40="","",VLOOKUP(E40,'Coaching Points'!A:B,2,0))</f>
        <v>ON</v>
      </c>
      <c r="E40" s="35" t="s">
        <v>97</v>
      </c>
      <c r="F40" s="34">
        <v>2007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64</v>
      </c>
      <c r="I40" s="40"/>
      <c r="J40" s="4">
        <f>R40+IF(OR(H40="Junior",H40="Senior"),0.0002,IF(OR(H40="L7",H40="L6"),0.0001,0))+IF(G40="17-21",MAX(AA40,AC40,AF40),AE40)*0.0000001</f>
        <v>41.61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41.61</v>
      </c>
      <c r="S40" s="4">
        <f>IF(G40="17-21",LARGE(CHOOSE({1,2,3,4,5,6},T40,V40,Y40,AA40,AC40,AF40),2),IF(R40=X40,MAX(Y40,AA40,AC40,AF40),IF(R40=AE40,MAX(AF40,T40,V40,Y40),0)))</f>
        <v>35.96</v>
      </c>
      <c r="T40" s="32">
        <v>35.96</v>
      </c>
      <c r="U40" s="37">
        <v>0</v>
      </c>
      <c r="V40" s="33">
        <v>41.61</v>
      </c>
      <c r="W40" s="37">
        <v>7.7</v>
      </c>
      <c r="X40" s="4">
        <f>IF(H40="Senior",MAX(T40,V40),T40+V40)</f>
        <v>77.569999999999993</v>
      </c>
      <c r="Y40" s="33"/>
      <c r="Z40" s="37"/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341</v>
      </c>
      <c r="D41" s="35" t="str">
        <f>IF(E41="","",VLOOKUP(E41,'Coaching Points'!A:B,2,0))</f>
        <v>ON</v>
      </c>
      <c r="E41" s="35" t="s">
        <v>97</v>
      </c>
      <c r="F41" s="34">
        <v>2005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64</v>
      </c>
      <c r="I41" s="40"/>
      <c r="J41" s="4">
        <f>R41+IF(OR(H41="Junior",H41="Senior"),0.0002,IF(OR(H41="L7",H41="L6"),0.0001,0))+IF(G41="17-21",MAX(AA41,AC41,AF41),AE41)*0.0000001</f>
        <v>41.55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41.55</v>
      </c>
      <c r="S41" s="4">
        <f>IF(G41="17-21",LARGE(CHOOSE({1,2,3,4,5,6},T41,V41,Y41,AA41,AC41,AF41),2),IF(R41=X41,MAX(Y41,AA41,AC41,AF41),IF(R41=AE41,MAX(AF41,T41,V41,Y41),0)))</f>
        <v>37.840000000000003</v>
      </c>
      <c r="T41" s="32">
        <v>37.840000000000003</v>
      </c>
      <c r="U41" s="37">
        <v>0</v>
      </c>
      <c r="V41" s="33">
        <v>41.55</v>
      </c>
      <c r="W41" s="37">
        <v>7.8</v>
      </c>
      <c r="X41" s="4">
        <f>IF(H41="Senior",MAX(T41,V41),T41+V41)</f>
        <v>79.39</v>
      </c>
      <c r="Y41" s="33"/>
      <c r="Z41" s="37"/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110</v>
      </c>
      <c r="D42" s="35" t="str">
        <f>IF(E42="","",VLOOKUP(E42,'Coaching Points'!A:B,2,0))</f>
        <v>BC</v>
      </c>
      <c r="E42" s="35" t="s">
        <v>55</v>
      </c>
      <c r="F42" s="34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64</v>
      </c>
      <c r="I42" s="40"/>
      <c r="J42" s="4">
        <f>R42+IF(OR(H42="Junior",H42="Senior"),0.0002,IF(OR(H42="L7",H42="L6"),0.0001,0))+IF(G42="17-21",MAX(AA42,AC42,AF42),AE42)*0.0000001</f>
        <v>40.880000000000003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40.880000000000003</v>
      </c>
      <c r="S42" s="4">
        <f>IF(G42="17-21",LARGE(CHOOSE({1,2,3,4,5,6},T42,V42,Y42,AA42,AC42,AF42),2),IF(R42=X42,MAX(Y42,AA42,AC42,AF42),IF(R42=AE42,MAX(AF42,T42,V42,Y42),0)))</f>
        <v>37.47</v>
      </c>
      <c r="T42" s="32">
        <v>37.47</v>
      </c>
      <c r="U42" s="37">
        <v>0</v>
      </c>
      <c r="V42" s="33">
        <v>40.880000000000003</v>
      </c>
      <c r="W42" s="37">
        <v>6.9</v>
      </c>
      <c r="X42" s="4">
        <f>IF(H42="Senior",MAX(T42,V42),T42+V42)</f>
        <v>78.349999999999994</v>
      </c>
      <c r="Y42" s="33"/>
      <c r="Z42" s="37"/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179</v>
      </c>
      <c r="D43" s="35" t="str">
        <f>IF(E43="","",VLOOKUP(E43,'Coaching Points'!A:B,2,0))</f>
        <v>ON</v>
      </c>
      <c r="E43" s="35" t="s">
        <v>343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64</v>
      </c>
      <c r="I43" s="40"/>
      <c r="J43" s="4">
        <f>R43+IF(OR(H43="Junior",H43="Senior"),0.0002,IF(OR(H43="L7",H43="L6"),0.0001,0))+IF(G43="17-21",MAX(AA43,AC43,AF43),AE43)*0.0000001</f>
        <v>39.770000000000003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39.770000000000003</v>
      </c>
      <c r="S43" s="4">
        <f>IF(G43="17-21",LARGE(CHOOSE({1,2,3,4,5,6},T43,V43,Y43,AA43,AC43,AF43),2),IF(R43=X43,MAX(Y43,AA43,AC43,AF43),IF(R43=AE43,MAX(AF43,T43,V43,Y43),0)))</f>
        <v>37.159999999999997</v>
      </c>
      <c r="T43" s="32">
        <v>37.159999999999997</v>
      </c>
      <c r="U43" s="37">
        <v>0</v>
      </c>
      <c r="V43" s="33">
        <v>39.770000000000003</v>
      </c>
      <c r="W43" s="37">
        <v>6.3</v>
      </c>
      <c r="X43" s="4">
        <f>IF(H43="Senior",MAX(T43,V43),T43+V43)</f>
        <v>76.930000000000007</v>
      </c>
      <c r="Y43" s="33"/>
      <c r="Z43" s="37"/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140</v>
      </c>
      <c r="D44" s="35" t="str">
        <f>IF(E44="","",VLOOKUP(E44,'Coaching Points'!A:B,2,0))</f>
        <v>BC</v>
      </c>
      <c r="E44" s="35" t="s">
        <v>55</v>
      </c>
      <c r="F44" s="34">
        <v>2007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64</v>
      </c>
      <c r="I44" s="40"/>
      <c r="J44" s="4">
        <f>R44+IF(OR(H44="Junior",H44="Senior"),0.0002,IF(OR(H44="L7",H44="L6"),0.0001,0))+IF(G44="17-21",MAX(AA44,AC44,AF44),AE44)*0.0000001</f>
        <v>38.880000000000003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38.880000000000003</v>
      </c>
      <c r="S44" s="4">
        <f>IF(G44="17-21",LARGE(CHOOSE({1,2,3,4,5,6},T44,V44,Y44,AA44,AC44,AF44),2),IF(R44=X44,MAX(Y44,AA44,AC44,AF44),IF(R44=AE44,MAX(AF44,T44,V44,Y44),0)))</f>
        <v>38.840000000000003</v>
      </c>
      <c r="T44" s="32">
        <v>38.880000000000003</v>
      </c>
      <c r="U44" s="37">
        <v>0</v>
      </c>
      <c r="V44" s="33">
        <v>38.840000000000003</v>
      </c>
      <c r="W44" s="37">
        <v>6.5</v>
      </c>
      <c r="X44" s="4">
        <f>IF(H44="Senior",MAX(T44,V44),T44+V44)</f>
        <v>77.72</v>
      </c>
      <c r="Y44" s="33"/>
      <c r="Z44" s="37"/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261</v>
      </c>
      <c r="D45" s="35" t="str">
        <f>IF(E45="","",VLOOKUP(E45,'Coaching Points'!A:B,2,0))</f>
        <v>AB</v>
      </c>
      <c r="E45" s="35" t="s">
        <v>251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64</v>
      </c>
      <c r="I45" s="40"/>
      <c r="J45" s="4">
        <f>R45+IF(OR(H45="Junior",H45="Senior"),0.0002,IF(OR(H45="L7",H45="L6"),0.0001,0))+IF(G45="17-21",MAX(AA45,AC45,AF45),AE45)*0.0000001</f>
        <v>38.11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38.11</v>
      </c>
      <c r="S45" s="4">
        <f>IF(G45="17-21",LARGE(CHOOSE({1,2,3,4,5,6},T45,V45,Y45,AA45,AC45,AF45),2),IF(R45=X45,MAX(Y45,AA45,AC45,AF45),IF(R45=AE45,MAX(AF45,T45,V45,Y45),0)))</f>
        <v>27.64</v>
      </c>
      <c r="T45" s="32">
        <v>38.11</v>
      </c>
      <c r="U45" s="37">
        <v>0</v>
      </c>
      <c r="V45" s="33">
        <v>27.64</v>
      </c>
      <c r="W45" s="37">
        <v>6.5</v>
      </c>
      <c r="X45" s="4">
        <f>IF(H45="Senior",MAX(T45,V45),T45+V45)</f>
        <v>65.75</v>
      </c>
      <c r="Y45" s="33"/>
      <c r="Z45" s="37"/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183</v>
      </c>
      <c r="D46" s="35" t="str">
        <f>IF(E46="","",VLOOKUP(E46,'Coaching Points'!A:B,2,0))</f>
        <v>AB</v>
      </c>
      <c r="E46" s="35" t="s">
        <v>61</v>
      </c>
      <c r="F46" s="34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64</v>
      </c>
      <c r="I46" s="40"/>
      <c r="J46" s="4">
        <f>R46+IF(OR(H46="Junior",H46="Senior"),0.0002,IF(OR(H46="L7",H46="L6"),0.0001,0))+IF(G46="17-21",MAX(AA46,AC46,AF46),AE46)*0.0000001</f>
        <v>36.69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36.69</v>
      </c>
      <c r="S46" s="4">
        <f>IF(G46="17-21",LARGE(CHOOSE({1,2,3,4,5,6},T46,V46,Y46,AA46,AC46,AF46),2),IF(R46=X46,MAX(Y46,AA46,AC46,AF46),IF(R46=AE46,MAX(AF46,T46,V46,Y46),0)))</f>
        <v>5.17</v>
      </c>
      <c r="T46" s="32">
        <v>36.69</v>
      </c>
      <c r="U46" s="37">
        <v>0</v>
      </c>
      <c r="V46" s="33">
        <v>5.17</v>
      </c>
      <c r="W46" s="37">
        <v>1.5</v>
      </c>
      <c r="X46" s="4">
        <f>IF(H46="Senior",MAX(T46,V46),T46+V46)</f>
        <v>41.86</v>
      </c>
      <c r="Y46" s="33"/>
      <c r="Z46" s="37"/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125</v>
      </c>
      <c r="D47" s="35" t="str">
        <f>IF(E47="","",VLOOKUP(E47,'Coaching Points'!A:B,2,0))</f>
        <v>BC</v>
      </c>
      <c r="E47" s="35" t="s">
        <v>44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72</v>
      </c>
      <c r="I47" s="40"/>
      <c r="J47" s="4">
        <f>R47+IF(OR(H47="Junior",H47="Senior"),0.0002,IF(OR(H47="L7",H47="L6"),0.0001,0))+IF(G47="17-21",MAX(AA47,AC47,AF47),AE47)*0.0000001</f>
        <v>32.8202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32.82</v>
      </c>
      <c r="S47" s="4">
        <f>IF(G47="17-21",LARGE(CHOOSE({1,2,3,4,5,6},T47,V47,Y47,AA47,AC47,AF47),2),IF(R47=X47,MAX(Y47,AA47,AC47,AF47),IF(R47=AE47,MAX(AF47,T47,V47,Y47),0)))</f>
        <v>19.98</v>
      </c>
      <c r="T47" s="32">
        <v>19.98</v>
      </c>
      <c r="U47" s="37">
        <v>4.5999999999999996</v>
      </c>
      <c r="V47" s="33">
        <v>32.82</v>
      </c>
      <c r="W47" s="37">
        <v>7</v>
      </c>
      <c r="X47" s="4">
        <f>IF(H47="Senior",MAX(T47,V47),T47+V47)</f>
        <v>32.82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124</v>
      </c>
      <c r="D48" s="35" t="str">
        <f>IF(E48="","",VLOOKUP(E48,'Coaching Points'!A:B,2,0))</f>
        <v>SK</v>
      </c>
      <c r="E48" s="35" t="s">
        <v>329</v>
      </c>
      <c r="F48" s="34">
        <v>2007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66</v>
      </c>
      <c r="I48" s="40"/>
      <c r="J48" s="4">
        <f>R48+IF(OR(H48="Junior",H48="Senior"),0.0002,IF(OR(H48="L7",H48="L6"),0.0001,0))+IF(G48="17-21",MAX(AA48,AC48,AF48),AE48)*0.0000001</f>
        <v>27.120100000000001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27.12</v>
      </c>
      <c r="S48" s="4">
        <f>IF(G48="17-21",LARGE(CHOOSE({1,2,3,4,5,6},T48,V48,Y48,AA48,AC48,AF48),2),IF(R48=X48,MAX(Y48,AA48,AC48,AF48),IF(R48=AE48,MAX(AF48,T48,V48,Y48),0)))</f>
        <v>0</v>
      </c>
      <c r="T48" s="32">
        <v>27.12</v>
      </c>
      <c r="U48" s="37">
        <v>5.0999999999999996</v>
      </c>
      <c r="V48" s="33">
        <v>0</v>
      </c>
      <c r="W48" s="37">
        <v>0</v>
      </c>
      <c r="X48" s="4">
        <f>IF(H48="Senior",MAX(T48,V48),T48+V48)</f>
        <v>27.12</v>
      </c>
      <c r="Y48" s="33"/>
      <c r="Z48" s="37"/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106</v>
      </c>
      <c r="D49" s="35" t="str">
        <f>IF(E49="","",VLOOKUP(E49,'Coaching Points'!A:B,2,0))</f>
        <v>SK</v>
      </c>
      <c r="E49" s="35" t="s">
        <v>329</v>
      </c>
      <c r="F49" s="34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66</v>
      </c>
      <c r="I49" s="40"/>
      <c r="J49" s="4">
        <f>R49+IF(OR(H49="Junior",H49="Senior"),0.0002,IF(OR(H49="L7",H49="L6"),0.0001,0))+IF(G49="17-21",MAX(AA49,AC49,AF49),AE49)*0.0000001</f>
        <v>23.4101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23.41</v>
      </c>
      <c r="S49" s="4">
        <f>IF(G49="17-21",LARGE(CHOOSE({1,2,3,4,5,6},T49,V49,Y49,AA49,AC49,AF49),2),IF(R49=X49,MAX(Y49,AA49,AC49,AF49),IF(R49=AE49,MAX(AF49,T49,V49,Y49),0)))</f>
        <v>4.9400000000000004</v>
      </c>
      <c r="T49" s="32">
        <v>4.9400000000000004</v>
      </c>
      <c r="U49" s="37">
        <v>1.5</v>
      </c>
      <c r="V49" s="33">
        <v>23.41</v>
      </c>
      <c r="W49" s="37">
        <v>5.6</v>
      </c>
      <c r="X49" s="4">
        <f>IF(H49="Senior",MAX(T49,V49),T49+V49)</f>
        <v>28.35</v>
      </c>
      <c r="Y49" s="33"/>
      <c r="Z49" s="37"/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181</v>
      </c>
      <c r="D50" s="35" t="str">
        <f>IF(E50="","",VLOOKUP(E50,'Coaching Points'!A:B,2,0))</f>
        <v>NS</v>
      </c>
      <c r="E50" s="35" t="s">
        <v>112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66</v>
      </c>
      <c r="I50" s="40"/>
      <c r="J50" s="4">
        <f>R50+IF(OR(H50="Junior",H50="Senior"),0.0002,IF(OR(H50="L7",H50="L6"),0.0001,0))+IF(G50="17-21",MAX(AA50,AC50,AF50),AE50)*0.0000001</f>
        <v>19.580099999999998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19.579999999999998</v>
      </c>
      <c r="S50" s="4">
        <f>IF(G50="17-21",LARGE(CHOOSE({1,2,3,4,5,6},T50,V50,Y50,AA50,AC50,AF50),2),IF(R50=X50,MAX(Y50,AA50,AC50,AF50),IF(R50=AE50,MAX(AF50,T50,V50,Y50),0)))</f>
        <v>18.93</v>
      </c>
      <c r="T50" s="32">
        <v>18.93</v>
      </c>
      <c r="U50" s="37">
        <v>4.5999999999999996</v>
      </c>
      <c r="V50" s="33">
        <v>19.579999999999998</v>
      </c>
      <c r="W50" s="37">
        <v>4.5999999999999996</v>
      </c>
      <c r="X50" s="4">
        <f>IF(H50="Senior",MAX(T50,V50),T50+V50)</f>
        <v>38.51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128</v>
      </c>
      <c r="D51" s="35" t="str">
        <f>IF(E51="","",VLOOKUP(E51,'Coaching Points'!A:B,2,0))</f>
        <v>AB</v>
      </c>
      <c r="E51" s="35" t="s">
        <v>28</v>
      </c>
      <c r="F51" s="34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66</v>
      </c>
      <c r="I51" s="40"/>
      <c r="J51" s="4">
        <f>R51+IF(OR(H51="Junior",H51="Senior"),0.0002,IF(OR(H51="L7",H51="L6"),0.0001,0))+IF(G51="17-21",MAX(AA51,AC51,AF51),AE51)*0.0000001</f>
        <v>14.540099999999999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14.54</v>
      </c>
      <c r="S51" s="4">
        <f>IF(G51="17-21",LARGE(CHOOSE({1,2,3,4,5,6},T51,V51,Y51,AA51,AC51,AF51),2),IF(R51=X51,MAX(Y51,AA51,AC51,AF51),IF(R51=AE51,MAX(AF51,T51,V51,Y51),0)))</f>
        <v>5.28</v>
      </c>
      <c r="T51" s="32">
        <v>14.54</v>
      </c>
      <c r="U51" s="37">
        <v>3.4</v>
      </c>
      <c r="V51" s="33">
        <v>5.28</v>
      </c>
      <c r="W51" s="37">
        <v>1.5</v>
      </c>
      <c r="X51" s="4">
        <f>IF(H51="Senior",MAX(T51,V51),T51+V51)</f>
        <v>19.82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t="str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/>
      </c>
      <c r="C52" s="35" t="s">
        <v>209</v>
      </c>
      <c r="D52" s="35" t="str">
        <f>IF(E52="","",VLOOKUP(E52,'Coaching Points'!A:B,2,0))</f>
        <v>AB</v>
      </c>
      <c r="E52" s="35" t="s">
        <v>28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66</v>
      </c>
      <c r="I52" s="40"/>
      <c r="J52" s="4">
        <f>R52+IF(OR(H52="Junior",H52="Senior"),0.0002,IF(OR(H52="L7",H52="L6"),0.0001,0))+IF(G52="17-21",MAX(AA52,AC52,AF52),AE52)*0.0000001</f>
        <v>14.430099999999999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14.43</v>
      </c>
      <c r="S52" s="4">
        <f>IF(G52="17-21",LARGE(CHOOSE({1,2,3,4,5,6},T52,V52,Y52,AA52,AC52,AF52),2),IF(R52=X52,MAX(Y52,AA52,AC52,AF52),IF(R52=AE52,MAX(AF52,T52,V52,Y52),0)))</f>
        <v>14.19</v>
      </c>
      <c r="T52" s="32">
        <v>14.43</v>
      </c>
      <c r="U52" s="37">
        <v>2.9</v>
      </c>
      <c r="V52" s="33">
        <v>14.19</v>
      </c>
      <c r="W52" s="37">
        <v>3.3</v>
      </c>
      <c r="X52" s="4">
        <f>IF(H52="Senior",MAX(T52,V52),T52+V52)</f>
        <v>28.619999999999997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>1</v>
      </c>
      <c r="C53" s="35" t="s">
        <v>120</v>
      </c>
      <c r="D53" s="35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63</v>
      </c>
      <c r="I53" s="40"/>
      <c r="J53" s="4">
        <f>R53+IF(OR(H53="Junior",H53="Senior"),0.0002,IF(OR(H53="L7",H53="L6"),0.0001,0))+IF(G53="17-21",MAX(AA53,AC53,AF53),AE53)*0.0000001</f>
        <v>90.530200000000008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>P</v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>P</v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>P</v>
      </c>
      <c r="N53" s="36">
        <v>1</v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90.53</v>
      </c>
      <c r="S53" s="4">
        <f>IF(G53="17-21",LARGE(CHOOSE({1,2,3,4,5,6},T53,V53,Y53,AA53,AC53,AF53),2),IF(R53=X53,MAX(Y53,AA53,AC53,AF53),IF(R53=AE53,MAX(AF53,T53,V53,Y53),0)))</f>
        <v>50.48</v>
      </c>
      <c r="T53" s="32">
        <v>40.880000000000003</v>
      </c>
      <c r="U53" s="37">
        <v>0</v>
      </c>
      <c r="V53" s="33">
        <v>49.65</v>
      </c>
      <c r="W53" s="37">
        <v>12.3</v>
      </c>
      <c r="X53" s="4">
        <f>IF(H53="Senior",MAX(T53,V53),T53+V53)</f>
        <v>90.53</v>
      </c>
      <c r="Y53" s="33">
        <v>50.48</v>
      </c>
      <c r="Z53" s="37">
        <v>12.3</v>
      </c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>2</v>
      </c>
      <c r="C54" s="35" t="s">
        <v>177</v>
      </c>
      <c r="D54" s="35" t="str">
        <f>IF(E54="","",VLOOKUP(E54,'Coaching Points'!A:B,2,0))</f>
        <v>QC</v>
      </c>
      <c r="E54" s="35" t="s">
        <v>85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63</v>
      </c>
      <c r="I54" s="40"/>
      <c r="J54" s="4">
        <f>R54+IF(OR(H54="Junior",H54="Senior"),0.0002,IF(OR(H54="L7",H54="L6"),0.0001,0))+IF(G54="17-21",MAX(AA54,AC54,AF54),AE54)*0.0000001</f>
        <v>88.990200000000016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>P</v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>P</v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>P</v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88.990000000000009</v>
      </c>
      <c r="S54" s="4">
        <f>IF(G54="17-21",LARGE(CHOOSE({1,2,3,4,5,6},T54,V54,Y54,AA54,AC54,AF54),2),IF(R54=X54,MAX(Y54,AA54,AC54,AF54),IF(R54=AE54,MAX(AF54,T54,V54,Y54),0)))</f>
        <v>48.47</v>
      </c>
      <c r="T54" s="32">
        <v>40.32</v>
      </c>
      <c r="U54" s="37">
        <v>0</v>
      </c>
      <c r="V54" s="33">
        <v>48.67</v>
      </c>
      <c r="W54" s="37">
        <v>11.2</v>
      </c>
      <c r="X54" s="4">
        <f>IF(H54="Senior",MAX(T54,V54),T54+V54)</f>
        <v>88.990000000000009</v>
      </c>
      <c r="Y54" s="33">
        <v>48.47</v>
      </c>
      <c r="Z54" s="37">
        <v>10.5</v>
      </c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102</v>
      </c>
      <c r="D55" s="35" t="str">
        <f>IF(E55="","",VLOOKUP(E55,'Coaching Points'!A:B,2,0))</f>
        <v>BC</v>
      </c>
      <c r="E55" s="35" t="s">
        <v>40</v>
      </c>
      <c r="F55" s="34">
        <v>2009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63</v>
      </c>
      <c r="I55" s="40"/>
      <c r="J55" s="4">
        <f>R55+IF(OR(H55="Junior",H55="Senior"),0.0002,IF(OR(H55="L7",H55="L6"),0.0001,0))+IF(G55="17-21",MAX(AA55,AC55,AF55),AE55)*0.0000001</f>
        <v>87.740200000000016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>P</v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87.740000000000009</v>
      </c>
      <c r="S55" s="4">
        <f>IF(G55="17-21",LARGE(CHOOSE({1,2,3,4,5,6},T55,V55,Y55,AA55,AC55,AF55),2),IF(R55=X55,MAX(Y55,AA55,AC55,AF55),IF(R55=AE55,MAX(AF55,T55,V55,Y55),0)))</f>
        <v>48.41</v>
      </c>
      <c r="T55" s="32">
        <v>39.520000000000003</v>
      </c>
      <c r="U55" s="37">
        <v>0</v>
      </c>
      <c r="V55" s="33">
        <v>48.22</v>
      </c>
      <c r="W55" s="37">
        <v>10.3</v>
      </c>
      <c r="X55" s="4">
        <f>IF(H55="Senior",MAX(T55,V55),T55+V55)</f>
        <v>87.740000000000009</v>
      </c>
      <c r="Y55" s="33">
        <v>48.41</v>
      </c>
      <c r="Z55" s="37">
        <v>10.3</v>
      </c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103</v>
      </c>
      <c r="D56" s="35" t="str">
        <f>IF(E56="","",VLOOKUP(E56,'Coaching Points'!A:B,2,0))</f>
        <v>BC</v>
      </c>
      <c r="E56" s="35" t="s">
        <v>44</v>
      </c>
      <c r="F56" s="34">
        <v>2008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63</v>
      </c>
      <c r="I56" s="40"/>
      <c r="J56" s="4">
        <f>R56+IF(OR(H56="Junior",H56="Senior"),0.0002,IF(OR(H56="L7",H56="L6"),0.0001,0))+IF(G56="17-21",MAX(AA56,AC56,AF56),AE56)*0.0000001</f>
        <v>87.200200000000009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>P</v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87.2</v>
      </c>
      <c r="S56" s="4">
        <f>IF(G56="17-21",LARGE(CHOOSE({1,2,3,4,5,6},T56,V56,Y56,AA56,AC56,AF56),2),IF(R56=X56,MAX(Y56,AA56,AC56,AF56),IF(R56=AE56,MAX(AF56,T56,V56,Y56),0)))</f>
        <v>47.92</v>
      </c>
      <c r="T56" s="32">
        <v>39.6</v>
      </c>
      <c r="U56" s="37">
        <v>0</v>
      </c>
      <c r="V56" s="33">
        <v>47.6</v>
      </c>
      <c r="W56" s="37">
        <v>10.199999999999999</v>
      </c>
      <c r="X56" s="4">
        <f>IF(H56="Senior",MAX(T56,V56),T56+V56)</f>
        <v>87.2</v>
      </c>
      <c r="Y56" s="33">
        <v>47.92</v>
      </c>
      <c r="Z56" s="37">
        <v>10.199999999999999</v>
      </c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212</v>
      </c>
      <c r="D57" s="35" t="str">
        <f>IF(E57="","",VLOOKUP(E57,'Coaching Points'!A:B,2,0))</f>
        <v>AB</v>
      </c>
      <c r="E57" s="35" t="s">
        <v>28</v>
      </c>
      <c r="F57" s="34">
        <v>2009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>R57+IF(OR(H57="Junior",H57="Senior"),0.0002,IF(OR(H57="L7",H57="L6"),0.0001,0))+IF(G57="17-21",MAX(AA57,AC57,AF57),AE57)*0.0000001</f>
        <v>84.78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84.78</v>
      </c>
      <c r="S57" s="4">
        <f>IF(G57="17-21",LARGE(CHOOSE({1,2,3,4,5,6},T57,V57,Y57,AA57,AC57,AF57),2),IF(R57=X57,MAX(Y57,AA57,AC57,AF57),IF(R57=AE57,MAX(AF57,T57,V57,Y57),0)))</f>
        <v>46.72</v>
      </c>
      <c r="T57" s="32">
        <v>39.130000000000003</v>
      </c>
      <c r="U57" s="37">
        <v>0</v>
      </c>
      <c r="V57" s="33">
        <v>45.65</v>
      </c>
      <c r="W57" s="37">
        <v>7.6</v>
      </c>
      <c r="X57" s="4">
        <f>IF(H57="Senior",MAX(T57,V57),T57+V57)</f>
        <v>84.78</v>
      </c>
      <c r="Y57" s="33">
        <v>46.72</v>
      </c>
      <c r="Z57" s="37">
        <v>7.6</v>
      </c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336</v>
      </c>
      <c r="D58" s="35" t="str">
        <f>IF(E58="","",VLOOKUP(E58,'Coaching Points'!A:B,2,0))</f>
        <v>QC</v>
      </c>
      <c r="E58" s="35" t="s">
        <v>57</v>
      </c>
      <c r="F58" s="34">
        <v>2008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64</v>
      </c>
      <c r="I58" s="40"/>
      <c r="J58" s="4">
        <f>R58+IF(OR(H58="Junior",H58="Senior"),0.0002,IF(OR(H58="L7",H58="L6"),0.0001,0))+IF(G58="17-21",MAX(AA58,AC58,AF58),AE58)*0.0000001</f>
        <v>84.61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84.61</v>
      </c>
      <c r="S58" s="4">
        <f>IF(G58="17-21",LARGE(CHOOSE({1,2,3,4,5,6},T58,V58,Y58,AA58,AC58,AF58),2),IF(R58=X58,MAX(Y58,AA58,AC58,AF58),IF(R58=AE58,MAX(AF58,T58,V58,Y58),0)))</f>
        <v>47.12</v>
      </c>
      <c r="T58" s="32">
        <v>38.799999999999997</v>
      </c>
      <c r="U58" s="37">
        <v>0</v>
      </c>
      <c r="V58" s="33">
        <v>45.81</v>
      </c>
      <c r="W58" s="37">
        <v>7.7</v>
      </c>
      <c r="X58" s="4">
        <f>IF(H58="Senior",MAX(T58,V58),T58+V58)</f>
        <v>84.61</v>
      </c>
      <c r="Y58" s="33">
        <v>47.12</v>
      </c>
      <c r="Z58" s="37">
        <v>7.7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211</v>
      </c>
      <c r="D59" s="35" t="str">
        <f>IF(E59="","",VLOOKUP(E59,'Coaching Points'!A:B,2,0))</f>
        <v>AB</v>
      </c>
      <c r="E59" s="35" t="s">
        <v>56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65</v>
      </c>
      <c r="I59" s="40"/>
      <c r="J59" s="4">
        <f>R59+IF(OR(H59="Junior",H59="Senior"),0.0002,IF(OR(H59="L7",H59="L6"),0.0001,0))+IF(G59="17-21",MAX(AA59,AC59,AF59),AE59)*0.0000001</f>
        <v>84.600099999999998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84.6</v>
      </c>
      <c r="S59" s="4">
        <f>IF(G59="17-21",LARGE(CHOOSE({1,2,3,4,5,6},T59,V59,Y59,AA59,AC59,AF59),2),IF(R59=X59,MAX(Y59,AA59,AC59,AF59),IF(R59=AE59,MAX(AF59,T59,V59,Y59),0)))</f>
        <v>13.67</v>
      </c>
      <c r="T59" s="32">
        <v>40.24</v>
      </c>
      <c r="U59" s="37">
        <v>0</v>
      </c>
      <c r="V59" s="33">
        <v>44.36</v>
      </c>
      <c r="W59" s="37">
        <v>8.3000000000000007</v>
      </c>
      <c r="X59" s="4">
        <f>IF(H59="Senior",MAX(T59,V59),T59+V59)</f>
        <v>84.6</v>
      </c>
      <c r="Y59" s="33">
        <v>13.67</v>
      </c>
      <c r="Z59" s="37">
        <v>3.6</v>
      </c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121</v>
      </c>
      <c r="D60" s="35" t="str">
        <f>IF(E60="","",VLOOKUP(E60,'Coaching Points'!A:B,2,0))</f>
        <v>QC</v>
      </c>
      <c r="E60" s="35" t="s">
        <v>57</v>
      </c>
      <c r="F60" s="34">
        <v>2008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65</v>
      </c>
      <c r="I60" s="40"/>
      <c r="J60" s="4">
        <f>R60+IF(OR(H60="Junior",H60="Senior"),0.0002,IF(OR(H60="L7",H60="L6"),0.0001,0))+IF(G60="17-21",MAX(AA60,AC60,AF60),AE60)*0.0000001</f>
        <v>84.43010000000001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>P</v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84.43</v>
      </c>
      <c r="S60" s="4">
        <f>IF(G60="17-21",LARGE(CHOOSE({1,2,3,4,5,6},T60,V60,Y60,AA60,AC60,AF60),2),IF(R60=X60,MAX(Y60,AA60,AC60,AF60),IF(R60=AE60,MAX(AF60,T60,V60,Y60),0)))</f>
        <v>43.78</v>
      </c>
      <c r="T60" s="32">
        <v>39.31</v>
      </c>
      <c r="U60" s="37">
        <v>0</v>
      </c>
      <c r="V60" s="33">
        <v>45.12</v>
      </c>
      <c r="W60" s="37">
        <v>8.9</v>
      </c>
      <c r="X60" s="4">
        <f>IF(H60="Senior",MAX(T60,V60),T60+V60)</f>
        <v>84.43</v>
      </c>
      <c r="Y60" s="33">
        <v>43.78</v>
      </c>
      <c r="Z60" s="37">
        <v>8.9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338</v>
      </c>
      <c r="D61" s="35" t="str">
        <f>IF(E61="","",VLOOKUP(E61,'Coaching Points'!A:B,2,0))</f>
        <v>NL</v>
      </c>
      <c r="E61" s="35" t="s">
        <v>91</v>
      </c>
      <c r="F61" s="34">
        <v>2008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64</v>
      </c>
      <c r="I61" s="40"/>
      <c r="J61" s="4">
        <f>R61+IF(OR(H61="Junior",H61="Senior"),0.0002,IF(OR(H61="L7",H61="L6"),0.0001,0))+IF(G61="17-21",MAX(AA61,AC61,AF61),AE61)*0.0000001</f>
        <v>83.210000000000008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83.210000000000008</v>
      </c>
      <c r="S61" s="4">
        <f>IF(G61="17-21",LARGE(CHOOSE({1,2,3,4,5,6},T61,V61,Y61,AA61,AC61,AF61),2),IF(R61=X61,MAX(Y61,AA61,AC61,AF61),IF(R61=AE61,MAX(AF61,T61,V61,Y61),0)))</f>
        <v>43.67</v>
      </c>
      <c r="T61" s="32">
        <v>38.270000000000003</v>
      </c>
      <c r="U61" s="37">
        <v>0</v>
      </c>
      <c r="V61" s="33">
        <v>44.94</v>
      </c>
      <c r="W61" s="37">
        <v>7.2</v>
      </c>
      <c r="X61" s="4">
        <f>IF(H61="Senior",MAX(T61,V61),T61+V61)</f>
        <v>83.210000000000008</v>
      </c>
      <c r="Y61" s="33">
        <v>43.67</v>
      </c>
      <c r="Z61" s="37">
        <v>7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210</v>
      </c>
      <c r="D62" s="35" t="str">
        <f>IF(E62="","",VLOOKUP(E62,'Coaching Points'!A:B,2,0))</f>
        <v>BC</v>
      </c>
      <c r="E62" s="35" t="s">
        <v>55</v>
      </c>
      <c r="F62" s="34">
        <v>2008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65</v>
      </c>
      <c r="I62" s="40"/>
      <c r="J62" s="4">
        <f>R62+IF(OR(H62="Junior",H62="Senior"),0.0002,IF(OR(H62="L7",H62="L6"),0.0001,0))+IF(G62="17-21",MAX(AA62,AC62,AF62),AE62)*0.0000001</f>
        <v>82.890100000000004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82.89</v>
      </c>
      <c r="S62" s="4">
        <f>IF(G62="17-21",LARGE(CHOOSE({1,2,3,4,5,6},T62,V62,Y62,AA62,AC62,AF62),2),IF(R62=X62,MAX(Y62,AA62,AC62,AF62),IF(R62=AE62,MAX(AF62,T62,V62,Y62),0)))</f>
        <v>33</v>
      </c>
      <c r="T62" s="32">
        <v>39.299999999999997</v>
      </c>
      <c r="U62" s="37">
        <v>0</v>
      </c>
      <c r="V62" s="33">
        <v>43.59</v>
      </c>
      <c r="W62" s="37">
        <v>7.5</v>
      </c>
      <c r="X62" s="4">
        <f>IF(H62="Senior",MAX(T62,V62),T62+V62)</f>
        <v>82.89</v>
      </c>
      <c r="Y62" s="33">
        <v>33</v>
      </c>
      <c r="Z62" s="37">
        <v>6.4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214</v>
      </c>
      <c r="D63" s="35" t="str">
        <f>IF(E63="","",VLOOKUP(E63,'Coaching Points'!A:B,2,0))</f>
        <v>AB</v>
      </c>
      <c r="E63" s="35" t="s">
        <v>39</v>
      </c>
      <c r="F63" s="34">
        <v>2009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64</v>
      </c>
      <c r="I63" s="40"/>
      <c r="J63" s="4">
        <f>R63+IF(OR(H63="Junior",H63="Senior"),0.0002,IF(OR(H63="L7",H63="L6"),0.0001,0))+IF(G63="17-21",MAX(AA63,AC63,AF63),AE63)*0.0000001</f>
        <v>82.56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>P</v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82.56</v>
      </c>
      <c r="S63" s="4">
        <f>IF(G63="17-21",LARGE(CHOOSE({1,2,3,4,5,6},T63,V63,Y63,AA63,AC63,AF63),2),IF(R63=X63,MAX(Y63,AA63,AC63,AF63),IF(R63=AE63,MAX(AF63,T63,V63,Y63),0)))</f>
        <v>45.76</v>
      </c>
      <c r="T63" s="32">
        <v>37.83</v>
      </c>
      <c r="U63" s="37">
        <v>0</v>
      </c>
      <c r="V63" s="33">
        <v>44.73</v>
      </c>
      <c r="W63" s="37">
        <v>9.4</v>
      </c>
      <c r="X63" s="4">
        <f>IF(H63="Senior",MAX(T63,V63),T63+V63)</f>
        <v>82.56</v>
      </c>
      <c r="Y63" s="33">
        <v>45.76</v>
      </c>
      <c r="Z63" s="37">
        <v>9.4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271</v>
      </c>
      <c r="D64" s="35" t="str">
        <f>IF(E64="","",VLOOKUP(E64,'Coaching Points'!A:B,2,0))</f>
        <v>SK</v>
      </c>
      <c r="E64" s="35" t="s">
        <v>329</v>
      </c>
      <c r="F64" s="34">
        <v>2008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64</v>
      </c>
      <c r="I64" s="40"/>
      <c r="J64" s="4">
        <f>R64+IF(OR(H64="Junior",H64="Senior"),0.0002,IF(OR(H64="L7",H64="L6"),0.0001,0))+IF(G64="17-21",MAX(AA64,AC64,AF64),AE64)*0.0000001</f>
        <v>81.47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81.47</v>
      </c>
      <c r="S64" s="4">
        <f>IF(G64="17-21",LARGE(CHOOSE({1,2,3,4,5,6},T64,V64,Y64,AA64,AC64,AF64),2),IF(R64=X64,MAX(Y64,AA64,AC64,AF64),IF(R64=AE64,MAX(AF64,T64,V64,Y64),0)))</f>
        <v>44.1</v>
      </c>
      <c r="T64" s="32">
        <v>37.54</v>
      </c>
      <c r="U64" s="37">
        <v>0</v>
      </c>
      <c r="V64" s="33">
        <v>43.93</v>
      </c>
      <c r="W64" s="37">
        <v>8.5</v>
      </c>
      <c r="X64" s="4">
        <f>IF(H64="Senior",MAX(T64,V64),T64+V64)</f>
        <v>81.47</v>
      </c>
      <c r="Y64" s="33">
        <v>44.1</v>
      </c>
      <c r="Z64" s="37">
        <v>8.5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337</v>
      </c>
      <c r="D65" s="35" t="str">
        <f>IF(E65="","",VLOOKUP(E65,'Coaching Points'!A:B,2,0))</f>
        <v>ON</v>
      </c>
      <c r="E65" s="35" t="s">
        <v>219</v>
      </c>
      <c r="F65" s="34">
        <v>2009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64</v>
      </c>
      <c r="I65" s="40"/>
      <c r="J65" s="4">
        <f>R65+IF(OR(H65="Junior",H65="Senior"),0.0002,IF(OR(H65="L7",H65="L6"),0.0001,0))+IF(G65="17-21",MAX(AA65,AC65,AF65),AE65)*0.0000001</f>
        <v>77.830000000000013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77.830000000000013</v>
      </c>
      <c r="S65" s="4">
        <f>IF(G65="17-21",LARGE(CHOOSE({1,2,3,4,5,6},T65,V65,Y65,AA65,AC65,AF65),2),IF(R65=X65,MAX(Y65,AA65,AC65,AF65),IF(R65=AE65,MAX(AF65,T65,V65,Y65),0)))</f>
        <v>45.51</v>
      </c>
      <c r="T65" s="32">
        <v>33.840000000000003</v>
      </c>
      <c r="U65" s="37">
        <v>0</v>
      </c>
      <c r="V65" s="33">
        <v>43.99</v>
      </c>
      <c r="W65" s="37">
        <v>7.6</v>
      </c>
      <c r="X65" s="4">
        <f>IF(H65="Senior",MAX(T65,V65),T65+V65)</f>
        <v>77.830000000000013</v>
      </c>
      <c r="Y65" s="33">
        <v>45.51</v>
      </c>
      <c r="Z65" s="37">
        <v>7.6</v>
      </c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230</v>
      </c>
      <c r="D66" s="35" t="str">
        <f>IF(E66="","",VLOOKUP(E66,'Coaching Points'!A:B,2,0))</f>
        <v>AB</v>
      </c>
      <c r="E66" s="35" t="s">
        <v>28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65</v>
      </c>
      <c r="I66" s="40"/>
      <c r="J66" s="4">
        <f>R66+IF(OR(H66="Junior",H66="Senior"),0.0002,IF(OR(H66="L7",H66="L6"),0.0001,0))+IF(G66="17-21",MAX(AA66,AC66,AF66),AE66)*0.0000001</f>
        <v>71.120100000000008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>P</v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71.12</v>
      </c>
      <c r="S66" s="4">
        <f>IF(G66="17-21",LARGE(CHOOSE({1,2,3,4,5,6},T66,V66,Y66,AA66,AC66,AF66),2),IF(R66=X66,MAX(Y66,AA66,AC66,AF66),IF(R66=AE66,MAX(AF66,T66,V66,Y66),0)))</f>
        <v>43.17</v>
      </c>
      <c r="T66" s="32">
        <v>25.63</v>
      </c>
      <c r="U66" s="37">
        <v>0</v>
      </c>
      <c r="V66" s="33">
        <v>45.49</v>
      </c>
      <c r="W66" s="37">
        <v>9</v>
      </c>
      <c r="X66" s="4">
        <f>IF(H66="Senior",MAX(T66,V66),T66+V66)</f>
        <v>71.12</v>
      </c>
      <c r="Y66" s="33">
        <v>43.17</v>
      </c>
      <c r="Z66" s="37">
        <v>7.8</v>
      </c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275</v>
      </c>
      <c r="D67" s="35" t="str">
        <f>IF(E67="","",VLOOKUP(E67,'Coaching Points'!A:B,2,0))</f>
        <v>NL</v>
      </c>
      <c r="E67" s="35" t="s">
        <v>248</v>
      </c>
      <c r="F67" s="34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64</v>
      </c>
      <c r="I67" s="40"/>
      <c r="J67" s="4">
        <f>R67+IF(OR(H67="Junior",H67="Senior"),0.0002,IF(OR(H67="L7",H67="L6"),0.0001,0))+IF(G67="17-21",MAX(AA67,AC67,AF67),AE67)*0.0000001</f>
        <v>68.509999999999991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68.509999999999991</v>
      </c>
      <c r="S67" s="4">
        <f>IF(G67="17-21",LARGE(CHOOSE({1,2,3,4,5,6},T67,V67,Y67,AA67,AC67,AF67),2),IF(R67=X67,MAX(Y67,AA67,AC67,AF67),IF(R67=AE67,MAX(AF67,T67,V67,Y67),0)))</f>
        <v>40.07</v>
      </c>
      <c r="T67" s="32">
        <v>29.79</v>
      </c>
      <c r="U67" s="37">
        <v>0</v>
      </c>
      <c r="V67" s="33">
        <v>38.72</v>
      </c>
      <c r="W67" s="37">
        <v>4.3</v>
      </c>
      <c r="X67" s="4">
        <f>IF(H67="Senior",MAX(T67,V67),T67+V67)</f>
        <v>68.509999999999991</v>
      </c>
      <c r="Y67" s="33">
        <v>40.07</v>
      </c>
      <c r="Z67" s="37">
        <v>4.3</v>
      </c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101</v>
      </c>
      <c r="D68" s="35" t="str">
        <f>IF(E68="","",VLOOKUP(E68,'Coaching Points'!A:B,2,0))</f>
        <v>AB</v>
      </c>
      <c r="E68" s="35" t="s">
        <v>62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63</v>
      </c>
      <c r="I68" s="40"/>
      <c r="J68" s="4">
        <f>R68+IF(OR(H68="Junior",H68="Senior"),0.0002,IF(OR(H68="L7",H68="L6"),0.0001,0))+IF(G68="17-21",MAX(AA68,AC68,AF68),AE68)*0.0000001</f>
        <v>62.240199999999994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62.239999999999995</v>
      </c>
      <c r="S68" s="4">
        <f>IF(G68="17-21",LARGE(CHOOSE({1,2,3,4,5,6},T68,V68,Y68,AA68,AC68,AF68),2),IF(R68=X68,MAX(Y68,AA68,AC68,AF68),IF(R68=AE68,MAX(AF68,T68,V68,Y68),0)))</f>
        <v>46.11</v>
      </c>
      <c r="T68" s="32">
        <v>39.549999999999997</v>
      </c>
      <c r="U68" s="37">
        <v>0</v>
      </c>
      <c r="V68" s="33">
        <v>22.69</v>
      </c>
      <c r="W68" s="37">
        <v>5.2</v>
      </c>
      <c r="X68" s="4">
        <f>IF(H68="Senior",MAX(T68,V68),T68+V68)</f>
        <v>62.239999999999995</v>
      </c>
      <c r="Y68" s="33">
        <v>46.11</v>
      </c>
      <c r="Z68" s="37">
        <v>10.5</v>
      </c>
      <c r="AA68" s="32"/>
      <c r="AB68" s="37"/>
      <c r="AC68" s="33"/>
      <c r="AD68" s="37"/>
      <c r="AE68" s="4">
        <f>IF(H68="Senior",MAX(AA68,AC68),AA68+AC68)</f>
        <v>0</v>
      </c>
      <c r="AF68" s="33"/>
      <c r="AG68" s="37"/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264</v>
      </c>
      <c r="D69" s="35" t="str">
        <f>IF(E69="","",VLOOKUP(E69,'Coaching Points'!A:B,2,0))</f>
        <v>QC</v>
      </c>
      <c r="E69" s="35" t="s">
        <v>85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64</v>
      </c>
      <c r="I69" s="40"/>
      <c r="J69" s="4">
        <f>R69+IF(OR(H69="Junior",H69="Senior"),0.0002,IF(OR(H69="L7",H69="L6"),0.0001,0))+IF(G69="17-21",MAX(AA69,AC69,AF69),AE69)*0.0000001</f>
        <v>54.209999999999994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54.209999999999994</v>
      </c>
      <c r="S69" s="4">
        <f>IF(G69="17-21",LARGE(CHOOSE({1,2,3,4,5,6},T69,V69,Y69,AA69,AC69,AF69),2),IF(R69=X69,MAX(Y69,AA69,AC69,AF69),IF(R69=AE69,MAX(AF69,T69,V69,Y69),0)))</f>
        <v>48.46</v>
      </c>
      <c r="T69" s="32">
        <v>38.979999999999997</v>
      </c>
      <c r="U69" s="37">
        <v>0</v>
      </c>
      <c r="V69" s="33">
        <v>15.23</v>
      </c>
      <c r="W69" s="37">
        <v>3.4</v>
      </c>
      <c r="X69" s="4">
        <f>IF(H69="Senior",MAX(T69,V69),T69+V69)</f>
        <v>54.209999999999994</v>
      </c>
      <c r="Y69" s="33">
        <v>48.46</v>
      </c>
      <c r="Z69" s="37">
        <v>8.8000000000000007</v>
      </c>
      <c r="AA69" s="32"/>
      <c r="AB69" s="37"/>
      <c r="AC69" s="33"/>
      <c r="AD69" s="37"/>
      <c r="AE69" s="4">
        <f>IF(H69="Senior",MAX(AA69,AC69),AA69+AC69)</f>
        <v>0</v>
      </c>
      <c r="AF69" s="33"/>
      <c r="AG69" s="37"/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268</v>
      </c>
      <c r="D70" s="35" t="str">
        <f>IF(E70="","",VLOOKUP(E70,'Coaching Points'!A:B,2,0))</f>
        <v>QC</v>
      </c>
      <c r="E70" s="35" t="s">
        <v>78</v>
      </c>
      <c r="F70" s="34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64</v>
      </c>
      <c r="I70" s="40"/>
      <c r="J70" s="4">
        <f>R70+IF(OR(H70="Junior",H70="Senior"),0.0002,IF(OR(H70="L7",H70="L6"),0.0001,0))+IF(G70="17-21",MAX(AA70,AC70,AF70),AE70)*0.0000001</f>
        <v>48.32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48.32</v>
      </c>
      <c r="S70" s="4">
        <f>IF(G70="17-21",LARGE(CHOOSE({1,2,3,4,5,6},T70,V70,Y70,AA70,AC70,AF70),2),IF(R70=X70,MAX(Y70,AA70,AC70,AF70),IF(R70=AE70,MAX(AF70,T70,V70,Y70),0)))</f>
        <v>0</v>
      </c>
      <c r="T70" s="32">
        <v>38.83</v>
      </c>
      <c r="U70" s="37">
        <v>0</v>
      </c>
      <c r="V70" s="33">
        <v>9.49</v>
      </c>
      <c r="W70" s="37">
        <v>2.2999999999999998</v>
      </c>
      <c r="X70" s="4">
        <f>IF(H70="Senior",MAX(T70,V70),T70+V70)</f>
        <v>48.32</v>
      </c>
      <c r="Y70" s="33"/>
      <c r="Z70" s="37"/>
      <c r="AA70" s="32"/>
      <c r="AB70" s="37"/>
      <c r="AC70" s="33"/>
      <c r="AD70" s="37"/>
      <c r="AE70" s="4">
        <f>IF(H70="Senior",MAX(AA70,AC70),AA70+AC70)</f>
        <v>0</v>
      </c>
      <c r="AF70" s="33"/>
      <c r="AG70" s="37"/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5" t="s">
        <v>270</v>
      </c>
      <c r="D71" s="35" t="str">
        <f>IF(E71="","",VLOOKUP(E71,'Coaching Points'!A:B,2,0))</f>
        <v>ON</v>
      </c>
      <c r="E71" s="35" t="s">
        <v>45</v>
      </c>
      <c r="F71" s="34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64</v>
      </c>
      <c r="I71" s="40"/>
      <c r="J71" s="4">
        <f>R71+IF(OR(H71="Junior",H71="Senior"),0.0002,IF(OR(H71="L7",H71="L6"),0.0001,0))+IF(G71="17-21",MAX(AA71,AC71,AF71),AE71)*0.0000001</f>
        <v>46.59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46.59</v>
      </c>
      <c r="S71" s="4">
        <f>IF(G71="17-21",LARGE(CHOOSE({1,2,3,4,5,6},T71,V71,Y71,AA71,AC71,AF71),2),IF(R71=X71,MAX(Y71,AA71,AC71,AF71),IF(R71=AE71,MAX(AF71,T71,V71,Y71),0)))</f>
        <v>0</v>
      </c>
      <c r="T71" s="32">
        <v>37.270000000000003</v>
      </c>
      <c r="U71" s="37">
        <v>0</v>
      </c>
      <c r="V71" s="33">
        <v>9.32</v>
      </c>
      <c r="W71" s="37">
        <v>1.9</v>
      </c>
      <c r="X71" s="4">
        <f>IF(H71="Senior",MAX(T71,V71),T71+V71)</f>
        <v>46.59</v>
      </c>
      <c r="Y71" s="33"/>
      <c r="Z71" s="37"/>
      <c r="AA71" s="32"/>
      <c r="AB71" s="37"/>
      <c r="AC71" s="33"/>
      <c r="AD71" s="37"/>
      <c r="AE71" s="4">
        <f>IF(H71="Senior",MAX(AA71,AC71),AA71+AC71)</f>
        <v>0</v>
      </c>
      <c r="AF71" s="33"/>
      <c r="AG71" s="37"/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5" t="s">
        <v>176</v>
      </c>
      <c r="D72" s="35" t="str">
        <f>IF(E72="","",VLOOKUP(E72,'Coaching Points'!A:B,2,0))</f>
        <v>AB</v>
      </c>
      <c r="E72" s="35" t="s">
        <v>56</v>
      </c>
      <c r="F72" s="34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63</v>
      </c>
      <c r="I72" s="40"/>
      <c r="J72" s="4">
        <f>R72+IF(OR(H72="Junior",H72="Senior"),0.0002,IF(OR(H72="L7",H72="L6"),0.0001,0))+IF(G72="17-21",MAX(AA72,AC72,AF72),AE72)*0.0000001</f>
        <v>45.050199999999997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45.05</v>
      </c>
      <c r="S72" s="4">
        <f>IF(G72="17-21",LARGE(CHOOSE({1,2,3,4,5,6},T72,V72,Y72,AA72,AC72,AF72),2),IF(R72=X72,MAX(Y72,AA72,AC72,AF72),IF(R72=AE72,MAX(AF72,T72,V72,Y72),0)))</f>
        <v>0</v>
      </c>
      <c r="T72" s="32">
        <v>39.71</v>
      </c>
      <c r="U72" s="37">
        <v>0</v>
      </c>
      <c r="V72" s="33">
        <v>5.34</v>
      </c>
      <c r="W72" s="37">
        <v>1.5</v>
      </c>
      <c r="X72" s="4">
        <f>IF(H72="Senior",MAX(T72,V72),T72+V72)</f>
        <v>45.05</v>
      </c>
      <c r="Y72" s="33"/>
      <c r="Z72" s="37"/>
      <c r="AA72" s="32"/>
      <c r="AB72" s="37"/>
      <c r="AC72" s="33"/>
      <c r="AD72" s="37"/>
      <c r="AE72" s="4">
        <f>IF(H72="Senior",MAX(AA72,AC72),AA72+AC72)</f>
        <v>0</v>
      </c>
      <c r="AF72" s="33"/>
      <c r="AG72" s="37"/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>1</v>
      </c>
      <c r="C73" s="35" t="s">
        <v>274</v>
      </c>
      <c r="D73" s="35" t="str">
        <f>IF(E73="","",VLOOKUP(E73,'Coaching Points'!A:B,2,0))</f>
        <v>ON</v>
      </c>
      <c r="E73" s="35" t="s">
        <v>97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6" t="s">
        <v>64</v>
      </c>
      <c r="I73" s="40"/>
      <c r="J73" s="4">
        <f>R73+IF(OR(H73="Junior",H73="Senior"),0.0002,IF(OR(H73="L7",H73="L6"),0.0001,0))+IF(G73="17-21",MAX(AA73,AC73,AF73),AE73)*0.0000001</f>
        <v>87.210000000000008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87.210000000000008</v>
      </c>
      <c r="S73" s="4">
        <f>IF(G73="17-21",LARGE(CHOOSE({1,2,3,4,5,6},T73,V73,Y73,AA73,AC73,AF73),2),IF(R73=X73,MAX(Y73,AA73,AC73,AF73),IF(R73=AE73,MAX(AF73,T73,V73,Y73),0)))</f>
        <v>48.09</v>
      </c>
      <c r="T73" s="32">
        <v>39.86</v>
      </c>
      <c r="U73" s="37">
        <v>0</v>
      </c>
      <c r="V73" s="33">
        <v>47.35</v>
      </c>
      <c r="W73" s="37">
        <v>9.1</v>
      </c>
      <c r="X73" s="4">
        <f>IF(H73="Senior",MAX(T73,V73),T73+V73)</f>
        <v>87.210000000000008</v>
      </c>
      <c r="Y73" s="33">
        <v>48.09</v>
      </c>
      <c r="Z73" s="37">
        <v>9.1</v>
      </c>
      <c r="AA73" s="32"/>
      <c r="AB73" s="37"/>
      <c r="AC73" s="33"/>
      <c r="AD73" s="37"/>
      <c r="AE73" s="4">
        <f>IF(H73="Senior",MAX(AA73,AC73),AA73+AC73)</f>
        <v>0</v>
      </c>
      <c r="AF73" s="33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5" t="s">
        <v>276</v>
      </c>
      <c r="D74" s="35" t="str">
        <f>IF(E74="","",VLOOKUP(E74,'Coaching Points'!A:B,2,0))</f>
        <v>BC</v>
      </c>
      <c r="E74" s="35" t="s">
        <v>36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6" t="s">
        <v>64</v>
      </c>
      <c r="I74" s="40"/>
      <c r="J74" s="4">
        <f>R74+IF(OR(H74="Junior",H74="Senior"),0.0002,IF(OR(H74="L7",H74="L6"),0.0001,0))+IF(G74="17-21",MAX(AA74,AC74,AF74),AE74)*0.0000001</f>
        <v>84.52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84.52</v>
      </c>
      <c r="S74" s="4">
        <f>IF(G74="17-21",LARGE(CHOOSE({1,2,3,4,5,6},T74,V74,Y74,AA74,AC74,AF74),2),IF(R74=X74,MAX(Y74,AA74,AC74,AF74),IF(R74=AE74,MAX(AF74,T74,V74,Y74),0)))</f>
        <v>43.11</v>
      </c>
      <c r="T74" s="32">
        <v>38.36</v>
      </c>
      <c r="U74" s="37">
        <v>0</v>
      </c>
      <c r="V74" s="33">
        <v>46.16</v>
      </c>
      <c r="W74" s="37">
        <v>8.4</v>
      </c>
      <c r="X74" s="4">
        <f>IF(H74="Senior",MAX(T74,V74),T74+V74)</f>
        <v>84.52</v>
      </c>
      <c r="Y74" s="33">
        <v>43.11</v>
      </c>
      <c r="Z74" s="37">
        <v>7.6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$82&lt;&gt;"")*(G$3:G$82=G75)*(J$3:J$82&gt;J75)*(I$3:I$82="P"))+1,IF(O75&lt;&gt;"",SUMPRODUCT((O$3:O$82&lt;&gt;"")*(P$3:P$82="")*(G$3:G$82=G75)*(J$3:J$82&gt;J75)*(I$3:I$82="P"))+SUMPRODUCT((P$3:P$82&lt;&gt;"")*(G$3:G$82=G75)*(I$3:I$82="P"))+1,IF(N75&lt;&gt;"",SUMPRODUCT((N$3:N$82&lt;&gt;"")*(G$3:G$82=G75)*(J$3:J$82&gt;J75)*(I$3:I$82="P"))+1,IF(M75="P",SUMPRODUCT((O$3:O$82&lt;&gt;"")*(P$3:P$82="")*(G$3:G$82=G75)*(I$3:I$82="P"))+SUMPRODUCT((P$3:P$82&lt;&gt;"")*(G$3:G$82=G75)*(I$3:I$82="P"))+SUMPRODUCT((N$3:N$82&lt;&gt;"")*(G$3:G$82=G75)*(I$3:I$82="P"))+SUMPRODUCT((P$3:P$82="")*(O$3:O$82="")*(N$3:N$82="")*(M$3:M$82="P")*(G$3:G$82=G75)*(J$3:J$82&gt;J75)*(I$3:I$82="P"))+IF(H75="L5",SUMPRODUCT((P$3:P$82="")*(O$3:O$82="")*(N$3:N$82="")*(M$3:M$82="P")*(G$3:G$82=G75)*(J$3:J$82&lt;J75)*(H$3:H$82&lt;&gt;H75)*(I$3:I$82="P")),-1*SUMPRODUCT((P$3:P$82="")*(O$3:O$82="")*(N$3:N$82="")*(M$3:M$82="P")*(G$3:G$82=G75)*(J$3:J$82&gt;J75)*(H$3:H$82="L5")*(I$3:I$82="P")))+1,"")))))</f>
        <v/>
      </c>
      <c r="B75" s="1" t="str" cm="1">
        <f t="array" ref="B75">IF(P75&lt;&gt;"",SUMPRODUCT((P$3:P$82&lt;&gt;"")*(G$3:G$82=G75)*(J$3:J$82&gt;J75))+1,IF(O75&lt;&gt;"",SUMPRODUCT((O$3:O$82&lt;&gt;"")*(P$3:P$82="")*(G$3:G$82=G75)*(J$3:J$82&gt;J75))+SUMPRODUCT((P$3:P$82&lt;&gt;"")*(G$3:G$82=G75))+1,IF(N75&lt;&gt;"",SUMPRODUCT((N$3:N$82&lt;&gt;"")*(G$3:G$82=G75)*(J$3:J$82&gt;J75))+1,IF(M75="P",SUMPRODUCT((O$3:O$82&lt;&gt;"")*(P$3:P$82="")*(G$3:G$82=G75))+SUMPRODUCT((P$3:P$82&lt;&gt;"")*(G$3:G$82=G75))+SUMPRODUCT((N$3:N$82&lt;&gt;"")*(G$3:G$82=G75))+SUMPRODUCT((P$3:P$82="")*(O$3:O$82="")*(N$3:N$82="")*(M$3:M$82="P")*(G$3:G$82=G75)*(J$3:J$82&gt;J75))+IF(H75="L5",SUMPRODUCT((P$3:P$82="")*(O$3:O$82="")*(N$3:N$82="")*(M$3:M$82="P")*(G$3:G$82=G75)*(J$3:J$82&lt;J75)*(H$3:H$82&lt;&gt;H75)),-1*SUMPRODUCT((P$3:P$82="")*(O$3:O$82="")*(N$3:N$82="")*(M$3:M$82="P")*(G$3:G$82=G75)*(J$3:J$82&gt;J75)*(H$3:H$82="L5")))+1,""))))</f>
        <v/>
      </c>
      <c r="C75" s="35" t="s">
        <v>331</v>
      </c>
      <c r="D75" s="35" t="str">
        <f>IF(E75="","",VLOOKUP(E75,'Coaching Points'!A:B,2,0))</f>
        <v>ON</v>
      </c>
      <c r="E75" s="35" t="s">
        <v>97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6" t="s">
        <v>64</v>
      </c>
      <c r="I75" s="40"/>
      <c r="J75" s="4">
        <f>R75+IF(OR(H75="Junior",H75="Senior"),0.0002,IF(OR(H75="L7",H75="L6"),0.0001,0))+IF(G75="17-21",MAX(AA75,AC75,AF75),AE75)*0.0000001</f>
        <v>83.89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83.89</v>
      </c>
      <c r="S75" s="4">
        <f>IF(G75="17-21",LARGE(CHOOSE({1,2,3,4,5,6},T75,V75,Y75,AA75,AC75,AF75),2),IF(R75=X75,MAX(Y75,AA75,AC75,AF75),IF(R75=AE75,MAX(AF75,T75,V75,Y75),0)))</f>
        <v>45.61</v>
      </c>
      <c r="T75" s="32">
        <v>38.89</v>
      </c>
      <c r="U75" s="37">
        <v>0</v>
      </c>
      <c r="V75" s="33">
        <v>45</v>
      </c>
      <c r="W75" s="37">
        <v>8</v>
      </c>
      <c r="X75" s="4">
        <f>IF(H75="Senior",MAX(T75,V75),T75+V75)</f>
        <v>83.89</v>
      </c>
      <c r="Y75" s="33">
        <v>45.61</v>
      </c>
      <c r="Z75" s="37">
        <v>8</v>
      </c>
      <c r="AA75" s="32"/>
      <c r="AB75" s="37"/>
      <c r="AC75" s="33"/>
      <c r="AD75" s="37"/>
      <c r="AE75" s="4">
        <f>IF(H75="Senior",MAX(AA75,AC75),AA75+AC75)</f>
        <v>0</v>
      </c>
      <c r="AF75" s="33"/>
      <c r="AG75" s="37"/>
    </row>
    <row r="76" spans="1:33" x14ac:dyDescent="0.2">
      <c r="A76" s="1" t="str" cm="1">
        <f t="array" ref="A76">IF(I76="","",IF(P76&lt;&gt;"",SUMPRODUCT((P$3:P$82&lt;&gt;"")*(G$3:G$82=G76)*(J$3:J$82&gt;J76)*(I$3:I$82="P"))+1,IF(O76&lt;&gt;"",SUMPRODUCT((O$3:O$82&lt;&gt;"")*(P$3:P$82="")*(G$3:G$82=G76)*(J$3:J$82&gt;J76)*(I$3:I$82="P"))+SUMPRODUCT((P$3:P$82&lt;&gt;"")*(G$3:G$82=G76)*(I$3:I$82="P"))+1,IF(N76&lt;&gt;"",SUMPRODUCT((N$3:N$82&lt;&gt;"")*(G$3:G$82=G76)*(J$3:J$82&gt;J76)*(I$3:I$82="P"))+1,IF(M76="P",SUMPRODUCT((O$3:O$82&lt;&gt;"")*(P$3:P$82="")*(G$3:G$82=G76)*(I$3:I$82="P"))+SUMPRODUCT((P$3:P$82&lt;&gt;"")*(G$3:G$82=G76)*(I$3:I$82="P"))+SUMPRODUCT((N$3:N$82&lt;&gt;"")*(G$3:G$82=G76)*(I$3:I$82="P"))+SUMPRODUCT((P$3:P$82="")*(O$3:O$82="")*(N$3:N$82="")*(M$3:M$82="P")*(G$3:G$82=G76)*(J$3:J$82&gt;J76)*(I$3:I$82="P"))+IF(H76="L5",SUMPRODUCT((P$3:P$82="")*(O$3:O$82="")*(N$3:N$82="")*(M$3:M$82="P")*(G$3:G$82=G76)*(J$3:J$82&lt;J76)*(H$3:H$82&lt;&gt;H76)*(I$3:I$82="P")),-1*SUMPRODUCT((P$3:P$82="")*(O$3:O$82="")*(N$3:N$82="")*(M$3:M$82="P")*(G$3:G$82=G76)*(J$3:J$82&gt;J76)*(H$3:H$82="L5")*(I$3:I$82="P")))+1,"")))))</f>
        <v/>
      </c>
      <c r="B76" s="1" t="str" cm="1">
        <f t="array" ref="B76">IF(P76&lt;&gt;"",SUMPRODUCT((P$3:P$82&lt;&gt;"")*(G$3:G$82=G76)*(J$3:J$82&gt;J76))+1,IF(O76&lt;&gt;"",SUMPRODUCT((O$3:O$82&lt;&gt;"")*(P$3:P$82="")*(G$3:G$82=G76)*(J$3:J$82&gt;J76))+SUMPRODUCT((P$3:P$82&lt;&gt;"")*(G$3:G$82=G76))+1,IF(N76&lt;&gt;"",SUMPRODUCT((N$3:N$82&lt;&gt;"")*(G$3:G$82=G76)*(J$3:J$82&gt;J76))+1,IF(M76="P",SUMPRODUCT((O$3:O$82&lt;&gt;"")*(P$3:P$82="")*(G$3:G$82=G76))+SUMPRODUCT((P$3:P$82&lt;&gt;"")*(G$3:G$82=G76))+SUMPRODUCT((N$3:N$82&lt;&gt;"")*(G$3:G$82=G76))+SUMPRODUCT((P$3:P$82="")*(O$3:O$82="")*(N$3:N$82="")*(M$3:M$82="P")*(G$3:G$82=G76)*(J$3:J$82&gt;J76))+IF(H76="L5",SUMPRODUCT((P$3:P$82="")*(O$3:O$82="")*(N$3:N$82="")*(M$3:M$82="P")*(G$3:G$82=G76)*(J$3:J$82&lt;J76)*(H$3:H$82&lt;&gt;H76)),-1*SUMPRODUCT((P$3:P$82="")*(O$3:O$82="")*(N$3:N$82="")*(M$3:M$82="P")*(G$3:G$82=G76)*(J$3:J$82&gt;J76)*(H$3:H$82="L5")))+1,""))))</f>
        <v/>
      </c>
      <c r="C76" s="35" t="s">
        <v>213</v>
      </c>
      <c r="D76" s="35" t="str">
        <f>IF(E76="","",VLOOKUP(E76,'Coaching Points'!A:B,2,0))</f>
        <v>AB</v>
      </c>
      <c r="E76" s="35" t="s">
        <v>39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6" t="s">
        <v>64</v>
      </c>
      <c r="I76" s="40"/>
      <c r="J76" s="4">
        <f>R76+IF(OR(H76="Junior",H76="Senior"),0.0002,IF(OR(H76="L7",H76="L6"),0.0001,0))+IF(G76="17-21",MAX(AA76,AC76,AF76),AE76)*0.0000001</f>
        <v>83.490000000000009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83.490000000000009</v>
      </c>
      <c r="S76" s="4">
        <f>IF(G76="17-21",LARGE(CHOOSE({1,2,3,4,5,6},T76,V76,Y76,AA76,AC76,AF76),2),IF(R76=X76,MAX(Y76,AA76,AC76,AF76),IF(R76=AE76,MAX(AF76,T76,V76,Y76),0)))</f>
        <v>46.51</v>
      </c>
      <c r="T76" s="32">
        <v>37.64</v>
      </c>
      <c r="U76" s="37">
        <v>0</v>
      </c>
      <c r="V76" s="33">
        <v>45.85</v>
      </c>
      <c r="W76" s="37">
        <v>8.8000000000000007</v>
      </c>
      <c r="X76" s="4">
        <f>IF(H76="Senior",MAX(T76,V76),T76+V76)</f>
        <v>83.490000000000009</v>
      </c>
      <c r="Y76" s="33">
        <v>46.51</v>
      </c>
      <c r="Z76" s="37">
        <v>8.8000000000000007</v>
      </c>
      <c r="AA76" s="32"/>
      <c r="AB76" s="37"/>
      <c r="AC76" s="33"/>
      <c r="AD76" s="37"/>
      <c r="AE76" s="4">
        <f>IF(H76="Senior",MAX(AA76,AC76),AA76+AC76)</f>
        <v>0</v>
      </c>
      <c r="AF76" s="33"/>
      <c r="AG76" s="37"/>
    </row>
    <row r="77" spans="1:33" x14ac:dyDescent="0.2">
      <c r="A77" s="1" t="str" cm="1">
        <f t="array" ref="A77">IF(I77="","",IF(P77&lt;&gt;"",SUMPRODUCT((P$3:P$82&lt;&gt;"")*(G$3:G$82=G77)*(J$3:J$82&gt;J77)*(I$3:I$82="P"))+1,IF(O77&lt;&gt;"",SUMPRODUCT((O$3:O$82&lt;&gt;"")*(P$3:P$82="")*(G$3:G$82=G77)*(J$3:J$82&gt;J77)*(I$3:I$82="P"))+SUMPRODUCT((P$3:P$82&lt;&gt;"")*(G$3:G$82=G77)*(I$3:I$82="P"))+1,IF(N77&lt;&gt;"",SUMPRODUCT((N$3:N$82&lt;&gt;"")*(G$3:G$82=G77)*(J$3:J$82&gt;J77)*(I$3:I$82="P"))+1,IF(M77="P",SUMPRODUCT((O$3:O$82&lt;&gt;"")*(P$3:P$82="")*(G$3:G$82=G77)*(I$3:I$82="P"))+SUMPRODUCT((P$3:P$82&lt;&gt;"")*(G$3:G$82=G77)*(I$3:I$82="P"))+SUMPRODUCT((N$3:N$82&lt;&gt;"")*(G$3:G$82=G77)*(I$3:I$82="P"))+SUMPRODUCT((P$3:P$82="")*(O$3:O$82="")*(N$3:N$82="")*(M$3:M$82="P")*(G$3:G$82=G77)*(J$3:J$82&gt;J77)*(I$3:I$82="P"))+IF(H77="L5",SUMPRODUCT((P$3:P$82="")*(O$3:O$82="")*(N$3:N$82="")*(M$3:M$82="P")*(G$3:G$82=G77)*(J$3:J$82&lt;J77)*(H$3:H$82&lt;&gt;H77)*(I$3:I$82="P")),-1*SUMPRODUCT((P$3:P$82="")*(O$3:O$82="")*(N$3:N$82="")*(M$3:M$82="P")*(G$3:G$82=G77)*(J$3:J$82&gt;J77)*(H$3:H$82="L5")*(I$3:I$82="P")))+1,"")))))</f>
        <v/>
      </c>
      <c r="B77" s="1" t="str" cm="1">
        <f t="array" ref="B77">IF(P77&lt;&gt;"",SUMPRODUCT((P$3:P$82&lt;&gt;"")*(G$3:G$82=G77)*(J$3:J$82&gt;J77))+1,IF(O77&lt;&gt;"",SUMPRODUCT((O$3:O$82&lt;&gt;"")*(P$3:P$82="")*(G$3:G$82=G77)*(J$3:J$82&gt;J77))+SUMPRODUCT((P$3:P$82&lt;&gt;"")*(G$3:G$82=G77))+1,IF(N77&lt;&gt;"",SUMPRODUCT((N$3:N$82&lt;&gt;"")*(G$3:G$82=G77)*(J$3:J$82&gt;J77))+1,IF(M77="P",SUMPRODUCT((O$3:O$82&lt;&gt;"")*(P$3:P$82="")*(G$3:G$82=G77))+SUMPRODUCT((P$3:P$82&lt;&gt;"")*(G$3:G$82=G77))+SUMPRODUCT((N$3:N$82&lt;&gt;"")*(G$3:G$82=G77))+SUMPRODUCT((P$3:P$82="")*(O$3:O$82="")*(N$3:N$82="")*(M$3:M$82="P")*(G$3:G$82=G77)*(J$3:J$82&gt;J77))+IF(H77="L5",SUMPRODUCT((P$3:P$82="")*(O$3:O$82="")*(N$3:N$82="")*(M$3:M$82="P")*(G$3:G$82=G77)*(J$3:J$82&lt;J77)*(H$3:H$82&lt;&gt;H77)),-1*SUMPRODUCT((P$3:P$82="")*(O$3:O$82="")*(N$3:N$82="")*(M$3:M$82="P")*(G$3:G$82=G77)*(J$3:J$82&gt;J77)*(H$3:H$82="L5")))+1,""))))</f>
        <v/>
      </c>
      <c r="C77" s="35" t="s">
        <v>335</v>
      </c>
      <c r="D77" s="35" t="str">
        <f>IF(E77="","",VLOOKUP(E77,'Coaching Points'!A:B,2,0))</f>
        <v>QC</v>
      </c>
      <c r="E77" s="35" t="s">
        <v>85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6" t="s">
        <v>64</v>
      </c>
      <c r="I77" s="40"/>
      <c r="J77" s="4">
        <f>R77+IF(OR(H77="Junior",H77="Senior"),0.0002,IF(OR(H77="L7",H77="L6"),0.0001,0))+IF(G77="17-21",MAX(AA77,AC77,AF77),AE77)*0.0000001</f>
        <v>81.45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81.45</v>
      </c>
      <c r="S77" s="4">
        <f>IF(G77="17-21",LARGE(CHOOSE({1,2,3,4,5,6},T77,V77,Y77,AA77,AC77,AF77),2),IF(R77=X77,MAX(Y77,AA77,AC77,AF77),IF(R77=AE77,MAX(AF77,T77,V77,Y77),0)))</f>
        <v>9.2200000000000006</v>
      </c>
      <c r="T77" s="32">
        <v>36.85</v>
      </c>
      <c r="U77" s="37">
        <v>0</v>
      </c>
      <c r="V77" s="33">
        <v>44.6</v>
      </c>
      <c r="W77" s="37">
        <v>7.1</v>
      </c>
      <c r="X77" s="4">
        <f>IF(H77="Senior",MAX(T77,V77),T77+V77)</f>
        <v>81.45</v>
      </c>
      <c r="Y77" s="33">
        <v>9.2200000000000006</v>
      </c>
      <c r="Z77" s="37">
        <v>1.7</v>
      </c>
      <c r="AA77" s="32"/>
      <c r="AB77" s="37"/>
      <c r="AC77" s="33"/>
      <c r="AD77" s="37"/>
      <c r="AE77" s="4">
        <f>IF(H77="Senior",MAX(AA77,AC77),AA77+AC77)</f>
        <v>0</v>
      </c>
      <c r="AF77" s="33"/>
      <c r="AG77" s="37"/>
    </row>
    <row r="78" spans="1:33" x14ac:dyDescent="0.2">
      <c r="A78" s="1" t="str" cm="1">
        <f t="array" ref="A78">IF(I78="","",IF(P78&lt;&gt;"",SUMPRODUCT((P$3:P$82&lt;&gt;"")*(G$3:G$82=G78)*(J$3:J$82&gt;J78)*(I$3:I$82="P"))+1,IF(O78&lt;&gt;"",SUMPRODUCT((O$3:O$82&lt;&gt;"")*(P$3:P$82="")*(G$3:G$82=G78)*(J$3:J$82&gt;J78)*(I$3:I$82="P"))+SUMPRODUCT((P$3:P$82&lt;&gt;"")*(G$3:G$82=G78)*(I$3:I$82="P"))+1,IF(N78&lt;&gt;"",SUMPRODUCT((N$3:N$82&lt;&gt;"")*(G$3:G$82=G78)*(J$3:J$82&gt;J78)*(I$3:I$82="P"))+1,IF(M78="P",SUMPRODUCT((O$3:O$82&lt;&gt;"")*(P$3:P$82="")*(G$3:G$82=G78)*(I$3:I$82="P"))+SUMPRODUCT((P$3:P$82&lt;&gt;"")*(G$3:G$82=G78)*(I$3:I$82="P"))+SUMPRODUCT((N$3:N$82&lt;&gt;"")*(G$3:G$82=G78)*(I$3:I$82="P"))+SUMPRODUCT((P$3:P$82="")*(O$3:O$82="")*(N$3:N$82="")*(M$3:M$82="P")*(G$3:G$82=G78)*(J$3:J$82&gt;J78)*(I$3:I$82="P"))+IF(H78="L5",SUMPRODUCT((P$3:P$82="")*(O$3:O$82="")*(N$3:N$82="")*(M$3:M$82="P")*(G$3:G$82=G78)*(J$3:J$82&lt;J78)*(H$3:H$82&lt;&gt;H78)*(I$3:I$82="P")),-1*SUMPRODUCT((P$3:P$82="")*(O$3:O$82="")*(N$3:N$82="")*(M$3:M$82="P")*(G$3:G$82=G78)*(J$3:J$82&gt;J78)*(H$3:H$82="L5")*(I$3:I$82="P")))+1,"")))))</f>
        <v/>
      </c>
      <c r="B78" s="1" t="str" cm="1">
        <f t="array" ref="B78">IF(P78&lt;&gt;"",SUMPRODUCT((P$3:P$82&lt;&gt;"")*(G$3:G$82=G78)*(J$3:J$82&gt;J78))+1,IF(O78&lt;&gt;"",SUMPRODUCT((O$3:O$82&lt;&gt;"")*(P$3:P$82="")*(G$3:G$82=G78)*(J$3:J$82&gt;J78))+SUMPRODUCT((P$3:P$82&lt;&gt;"")*(G$3:G$82=G78))+1,IF(N78&lt;&gt;"",SUMPRODUCT((N$3:N$82&lt;&gt;"")*(G$3:G$82=G78)*(J$3:J$82&gt;J78))+1,IF(M78="P",SUMPRODUCT((O$3:O$82&lt;&gt;"")*(P$3:P$82="")*(G$3:G$82=G78))+SUMPRODUCT((P$3:P$82&lt;&gt;"")*(G$3:G$82=G78))+SUMPRODUCT((N$3:N$82&lt;&gt;"")*(G$3:G$82=G78))+SUMPRODUCT((P$3:P$82="")*(O$3:O$82="")*(N$3:N$82="")*(M$3:M$82="P")*(G$3:G$82=G78)*(J$3:J$82&gt;J78))+IF(H78="L5",SUMPRODUCT((P$3:P$82="")*(O$3:O$82="")*(N$3:N$82="")*(M$3:M$82="P")*(G$3:G$82=G78)*(J$3:J$82&lt;J78)*(H$3:H$82&lt;&gt;H78)),-1*SUMPRODUCT((P$3:P$82="")*(O$3:O$82="")*(N$3:N$82="")*(M$3:M$82="P")*(G$3:G$82=G78)*(J$3:J$82&gt;J78)*(H$3:H$82="L5")))+1,""))))</f>
        <v/>
      </c>
      <c r="C78" s="35" t="s">
        <v>285</v>
      </c>
      <c r="D78" s="35" t="str">
        <f>IF(E78="","",VLOOKUP(E78,'Coaching Points'!A:B,2,0))</f>
        <v>BC</v>
      </c>
      <c r="E78" s="35" t="s">
        <v>40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6" t="s">
        <v>64</v>
      </c>
      <c r="I78" s="40"/>
      <c r="J78" s="4">
        <f>R78+IF(OR(H78="Junior",H78="Senior"),0.0002,IF(OR(H78="L7",H78="L6"),0.0001,0))+IF(G78="17-21",MAX(AA78,AC78,AF78),AE78)*0.0000001</f>
        <v>80.13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80.13</v>
      </c>
      <c r="S78" s="4">
        <f>IF(G78="17-21",LARGE(CHOOSE({1,2,3,4,5,6},T78,V78,Y78,AA78,AC78,AF78),2),IF(R78=X78,MAX(Y78,AA78,AC78,AF78),IF(R78=AE78,MAX(AF78,T78,V78,Y78),0)))</f>
        <v>43.55</v>
      </c>
      <c r="T78" s="32">
        <v>35.479999999999997</v>
      </c>
      <c r="U78" s="37">
        <v>0</v>
      </c>
      <c r="V78" s="33">
        <v>44.65</v>
      </c>
      <c r="W78" s="37">
        <v>8.1</v>
      </c>
      <c r="X78" s="4">
        <f>IF(H78="Senior",MAX(T78,V78),T78+V78)</f>
        <v>80.13</v>
      </c>
      <c r="Y78" s="33">
        <v>43.55</v>
      </c>
      <c r="Z78" s="37">
        <v>8.1</v>
      </c>
      <c r="AA78" s="32"/>
      <c r="AB78" s="37"/>
      <c r="AC78" s="33"/>
      <c r="AD78" s="37"/>
      <c r="AE78" s="4">
        <f>IF(H78="Senior",MAX(AA78,AC78),AA78+AC78)</f>
        <v>0</v>
      </c>
      <c r="AF78" s="33"/>
      <c r="AG78" s="37"/>
    </row>
    <row r="79" spans="1:33" x14ac:dyDescent="0.2">
      <c r="A79" s="1" t="str" cm="1">
        <f t="array" ref="A79">IF(I79="","",IF(P79&lt;&gt;"",SUMPRODUCT((P$3:P$82&lt;&gt;"")*(G$3:G$82=G79)*(J$3:J$82&gt;J79)*(I$3:I$82="P"))+1,IF(O79&lt;&gt;"",SUMPRODUCT((O$3:O$82&lt;&gt;"")*(P$3:P$82="")*(G$3:G$82=G79)*(J$3:J$82&gt;J79)*(I$3:I$82="P"))+SUMPRODUCT((P$3:P$82&lt;&gt;"")*(G$3:G$82=G79)*(I$3:I$82="P"))+1,IF(N79&lt;&gt;"",SUMPRODUCT((N$3:N$82&lt;&gt;"")*(G$3:G$82=G79)*(J$3:J$82&gt;J79)*(I$3:I$82="P"))+1,IF(M79="P",SUMPRODUCT((O$3:O$82&lt;&gt;"")*(P$3:P$82="")*(G$3:G$82=G79)*(I$3:I$82="P"))+SUMPRODUCT((P$3:P$82&lt;&gt;"")*(G$3:G$82=G79)*(I$3:I$82="P"))+SUMPRODUCT((N$3:N$82&lt;&gt;"")*(G$3:G$82=G79)*(I$3:I$82="P"))+SUMPRODUCT((P$3:P$82="")*(O$3:O$82="")*(N$3:N$82="")*(M$3:M$82="P")*(G$3:G$82=G79)*(J$3:J$82&gt;J79)*(I$3:I$82="P"))+IF(H79="L5",SUMPRODUCT((P$3:P$82="")*(O$3:O$82="")*(N$3:N$82="")*(M$3:M$82="P")*(G$3:G$82=G79)*(J$3:J$82&lt;J79)*(H$3:H$82&lt;&gt;H79)*(I$3:I$82="P")),-1*SUMPRODUCT((P$3:P$82="")*(O$3:O$82="")*(N$3:N$82="")*(M$3:M$82="P")*(G$3:G$82=G79)*(J$3:J$82&gt;J79)*(H$3:H$82="L5")*(I$3:I$82="P")))+1,"")))))</f>
        <v/>
      </c>
      <c r="B79" s="1" t="str" cm="1">
        <f t="array" ref="B79">IF(P79&lt;&gt;"",SUMPRODUCT((P$3:P$82&lt;&gt;"")*(G$3:G$82=G79)*(J$3:J$82&gt;J79))+1,IF(O79&lt;&gt;"",SUMPRODUCT((O$3:O$82&lt;&gt;"")*(P$3:P$82="")*(G$3:G$82=G79)*(J$3:J$82&gt;J79))+SUMPRODUCT((P$3:P$82&lt;&gt;"")*(G$3:G$82=G79))+1,IF(N79&lt;&gt;"",SUMPRODUCT((N$3:N$82&lt;&gt;"")*(G$3:G$82=G79)*(J$3:J$82&gt;J79))+1,IF(M79="P",SUMPRODUCT((O$3:O$82&lt;&gt;"")*(P$3:P$82="")*(G$3:G$82=G79))+SUMPRODUCT((P$3:P$82&lt;&gt;"")*(G$3:G$82=G79))+SUMPRODUCT((N$3:N$82&lt;&gt;"")*(G$3:G$82=G79))+SUMPRODUCT((P$3:P$82="")*(O$3:O$82="")*(N$3:N$82="")*(M$3:M$82="P")*(G$3:G$82=G79)*(J$3:J$82&gt;J79))+IF(H79="L5",SUMPRODUCT((P$3:P$82="")*(O$3:O$82="")*(N$3:N$82="")*(M$3:M$82="P")*(G$3:G$82=G79)*(J$3:J$82&lt;J79)*(H$3:H$82&lt;&gt;H79)),-1*SUMPRODUCT((P$3:P$82="")*(O$3:O$82="")*(N$3:N$82="")*(M$3:M$82="P")*(G$3:G$82=G79)*(J$3:J$82&gt;J79)*(H$3:H$82="L5")))+1,""))))</f>
        <v/>
      </c>
      <c r="C79" s="35" t="s">
        <v>333</v>
      </c>
      <c r="D79" s="35" t="str">
        <f>IF(E79="","",VLOOKUP(E79,'Coaching Points'!A:B,2,0))</f>
        <v>AB</v>
      </c>
      <c r="E79" s="35" t="s">
        <v>39</v>
      </c>
      <c r="F79" s="34">
        <v>2010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64</v>
      </c>
      <c r="I79" s="40"/>
      <c r="J79" s="4">
        <f>R79+IF(OR(H79="Junior",H79="Senior"),0.0002,IF(OR(H79="L7",H79="L6"),0.0001,0))+IF(G79="17-21",MAX(AA79,AC79,AF79),AE79)*0.0000001</f>
        <v>78.97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78.97</v>
      </c>
      <c r="S79" s="4">
        <f>IF(G79="17-21",LARGE(CHOOSE({1,2,3,4,5,6},T79,V79,Y79,AA79,AC79,AF79),2),IF(R79=X79,MAX(Y79,AA79,AC79,AF79),IF(R79=AE79,MAX(AF79,T79,V79,Y79),0)))</f>
        <v>44.04</v>
      </c>
      <c r="T79" s="32">
        <v>36.049999999999997</v>
      </c>
      <c r="U79" s="37">
        <v>0</v>
      </c>
      <c r="V79" s="33">
        <v>42.92</v>
      </c>
      <c r="W79" s="37">
        <v>8.4</v>
      </c>
      <c r="X79" s="4">
        <f>IF(H79="Senior",MAX(T79,V79),T79+V79)</f>
        <v>78.97</v>
      </c>
      <c r="Y79" s="33">
        <v>44.04</v>
      </c>
      <c r="Z79" s="37">
        <v>8.4</v>
      </c>
      <c r="AA79" s="32"/>
      <c r="AB79" s="37"/>
      <c r="AC79" s="33"/>
      <c r="AD79" s="37"/>
      <c r="AE79" s="4">
        <f>IF(H79="Senior",MAX(AA79,AC79),AA79+AC79)</f>
        <v>0</v>
      </c>
      <c r="AF79" s="33"/>
      <c r="AG79" s="37"/>
    </row>
    <row r="80" spans="1:33" x14ac:dyDescent="0.2">
      <c r="A80" s="1" t="str" cm="1">
        <f t="array" ref="A80">IF(I80="","",IF(P80&lt;&gt;"",SUMPRODUCT((P$3:P$82&lt;&gt;"")*(G$3:G$82=G80)*(J$3:J$82&gt;J80)*(I$3:I$82="P"))+1,IF(O80&lt;&gt;"",SUMPRODUCT((O$3:O$82&lt;&gt;"")*(P$3:P$82="")*(G$3:G$82=G80)*(J$3:J$82&gt;J80)*(I$3:I$82="P"))+SUMPRODUCT((P$3:P$82&lt;&gt;"")*(G$3:G$82=G80)*(I$3:I$82="P"))+1,IF(N80&lt;&gt;"",SUMPRODUCT((N$3:N$82&lt;&gt;"")*(G$3:G$82=G80)*(J$3:J$82&gt;J80)*(I$3:I$82="P"))+1,IF(M80="P",SUMPRODUCT((O$3:O$82&lt;&gt;"")*(P$3:P$82="")*(G$3:G$82=G80)*(I$3:I$82="P"))+SUMPRODUCT((P$3:P$82&lt;&gt;"")*(G$3:G$82=G80)*(I$3:I$82="P"))+SUMPRODUCT((N$3:N$82&lt;&gt;"")*(G$3:G$82=G80)*(I$3:I$82="P"))+SUMPRODUCT((P$3:P$82="")*(O$3:O$82="")*(N$3:N$82="")*(M$3:M$82="P")*(G$3:G$82=G80)*(J$3:J$82&gt;J80)*(I$3:I$82="P"))+IF(H80="L5",SUMPRODUCT((P$3:P$82="")*(O$3:O$82="")*(N$3:N$82="")*(M$3:M$82="P")*(G$3:G$82=G80)*(J$3:J$82&lt;J80)*(H$3:H$82&lt;&gt;H80)*(I$3:I$82="P")),-1*SUMPRODUCT((P$3:P$82="")*(O$3:O$82="")*(N$3:N$82="")*(M$3:M$82="P")*(G$3:G$82=G80)*(J$3:J$82&gt;J80)*(H$3:H$82="L5")*(I$3:I$82="P")))+1,"")))))</f>
        <v/>
      </c>
      <c r="B80" s="1" t="str" cm="1">
        <f t="array" ref="B80">IF(P80&lt;&gt;"",SUMPRODUCT((P$3:P$82&lt;&gt;"")*(G$3:G$82=G80)*(J$3:J$82&gt;J80))+1,IF(O80&lt;&gt;"",SUMPRODUCT((O$3:O$82&lt;&gt;"")*(P$3:P$82="")*(G$3:G$82=G80)*(J$3:J$82&gt;J80))+SUMPRODUCT((P$3:P$82&lt;&gt;"")*(G$3:G$82=G80))+1,IF(N80&lt;&gt;"",SUMPRODUCT((N$3:N$82&lt;&gt;"")*(G$3:G$82=G80)*(J$3:J$82&gt;J80))+1,IF(M80="P",SUMPRODUCT((O$3:O$82&lt;&gt;"")*(P$3:P$82="")*(G$3:G$82=G80))+SUMPRODUCT((P$3:P$82&lt;&gt;"")*(G$3:G$82=G80))+SUMPRODUCT((N$3:N$82&lt;&gt;"")*(G$3:G$82=G80))+SUMPRODUCT((P$3:P$82="")*(O$3:O$82="")*(N$3:N$82="")*(M$3:M$82="P")*(G$3:G$82=G80)*(J$3:J$82&gt;J80))+IF(H80="L5",SUMPRODUCT((P$3:P$82="")*(O$3:O$82="")*(N$3:N$82="")*(M$3:M$82="P")*(G$3:G$82=G80)*(J$3:J$82&lt;J80)*(H$3:H$82&lt;&gt;H80)),-1*SUMPRODUCT((P$3:P$82="")*(O$3:O$82="")*(N$3:N$82="")*(M$3:M$82="P")*(G$3:G$82=G80)*(J$3:J$82&gt;J80)*(H$3:H$82="L5")))+1,""))))</f>
        <v/>
      </c>
      <c r="C80" s="35" t="s">
        <v>334</v>
      </c>
      <c r="D80" s="35" t="str">
        <f>IF(E80="","",VLOOKUP(E80,'Coaching Points'!A:B,2,0))</f>
        <v>AB</v>
      </c>
      <c r="E80" s="35" t="s">
        <v>39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64</v>
      </c>
      <c r="I80" s="40"/>
      <c r="J80" s="4">
        <f>R80+IF(OR(H80="Junior",H80="Senior"),0.0002,IF(OR(H80="L7",H80="L6"),0.0001,0))+IF(G80="17-21",MAX(AA80,AC80,AF80),AE80)*0.0000001</f>
        <v>78.900000000000006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78.900000000000006</v>
      </c>
      <c r="S80" s="4">
        <f>IF(G80="17-21",LARGE(CHOOSE({1,2,3,4,5,6},T80,V80,Y80,AA80,AC80,AF80),2),IF(R80=X80,MAX(Y80,AA80,AC80,AF80),IF(R80=AE80,MAX(AF80,T80,V80,Y80),0)))</f>
        <v>43.81</v>
      </c>
      <c r="T80" s="32">
        <v>36.56</v>
      </c>
      <c r="U80" s="37">
        <v>0</v>
      </c>
      <c r="V80" s="33">
        <v>42.34</v>
      </c>
      <c r="W80" s="37">
        <v>8.4</v>
      </c>
      <c r="X80" s="4">
        <f>IF(H80="Senior",MAX(T80,V80),T80+V80)</f>
        <v>78.900000000000006</v>
      </c>
      <c r="Y80" s="33">
        <v>43.81</v>
      </c>
      <c r="Z80" s="37">
        <v>8.6999999999999993</v>
      </c>
      <c r="AA80" s="32"/>
      <c r="AB80" s="37"/>
      <c r="AC80" s="33"/>
      <c r="AD80" s="37"/>
      <c r="AE80" s="4">
        <f>IF(H80="Senior",MAX(AA80,AC80),AA80+AC80)</f>
        <v>0</v>
      </c>
      <c r="AF80" s="33"/>
      <c r="AG80" s="37"/>
    </row>
    <row r="81" spans="1:33" x14ac:dyDescent="0.2">
      <c r="A81" s="1" t="str" cm="1">
        <f t="array" ref="A81">IF(I81="","",IF(P81&lt;&gt;"",SUMPRODUCT((P$3:P$82&lt;&gt;"")*(G$3:G$82=G81)*(J$3:J$82&gt;J81)*(I$3:I$82="P"))+1,IF(O81&lt;&gt;"",SUMPRODUCT((O$3:O$82&lt;&gt;"")*(P$3:P$82="")*(G$3:G$82=G81)*(J$3:J$82&gt;J81)*(I$3:I$82="P"))+SUMPRODUCT((P$3:P$82&lt;&gt;"")*(G$3:G$82=G81)*(I$3:I$82="P"))+1,IF(N81&lt;&gt;"",SUMPRODUCT((N$3:N$82&lt;&gt;"")*(G$3:G$82=G81)*(J$3:J$82&gt;J81)*(I$3:I$82="P"))+1,IF(M81="P",SUMPRODUCT((O$3:O$82&lt;&gt;"")*(P$3:P$82="")*(G$3:G$82=G81)*(I$3:I$82="P"))+SUMPRODUCT((P$3:P$82&lt;&gt;"")*(G$3:G$82=G81)*(I$3:I$82="P"))+SUMPRODUCT((N$3:N$82&lt;&gt;"")*(G$3:G$82=G81)*(I$3:I$82="P"))+SUMPRODUCT((P$3:P$82="")*(O$3:O$82="")*(N$3:N$82="")*(M$3:M$82="P")*(G$3:G$82=G81)*(J$3:J$82&gt;J81)*(I$3:I$82="P"))+IF(H81="L5",SUMPRODUCT((P$3:P$82="")*(O$3:O$82="")*(N$3:N$82="")*(M$3:M$82="P")*(G$3:G$82=G81)*(J$3:J$82&lt;J81)*(H$3:H$82&lt;&gt;H81)*(I$3:I$82="P")),-1*SUMPRODUCT((P$3:P$82="")*(O$3:O$82="")*(N$3:N$82="")*(M$3:M$82="P")*(G$3:G$82=G81)*(J$3:J$82&gt;J81)*(H$3:H$82="L5")*(I$3:I$82="P")))+1,"")))))</f>
        <v/>
      </c>
      <c r="B81" s="1" t="str" cm="1">
        <f t="array" ref="B81">IF(P81&lt;&gt;"",SUMPRODUCT((P$3:P$82&lt;&gt;"")*(G$3:G$82=G81)*(J$3:J$82&gt;J81))+1,IF(O81&lt;&gt;"",SUMPRODUCT((O$3:O$82&lt;&gt;"")*(P$3:P$82="")*(G$3:G$82=G81)*(J$3:J$82&gt;J81))+SUMPRODUCT((P$3:P$82&lt;&gt;"")*(G$3:G$82=G81))+1,IF(N81&lt;&gt;"",SUMPRODUCT((N$3:N$82&lt;&gt;"")*(G$3:G$82=G81)*(J$3:J$82&gt;J81))+1,IF(M81="P",SUMPRODUCT((O$3:O$82&lt;&gt;"")*(P$3:P$82="")*(G$3:G$82=G81))+SUMPRODUCT((P$3:P$82&lt;&gt;"")*(G$3:G$82=G81))+SUMPRODUCT((N$3:N$82&lt;&gt;"")*(G$3:G$82=G81))+SUMPRODUCT((P$3:P$82="")*(O$3:O$82="")*(N$3:N$82="")*(M$3:M$82="P")*(G$3:G$82=G81)*(J$3:J$82&gt;J81))+IF(H81="L5",SUMPRODUCT((P$3:P$82="")*(O$3:O$82="")*(N$3:N$82="")*(M$3:M$82="P")*(G$3:G$82=G81)*(J$3:J$82&lt;J81)*(H$3:H$82&lt;&gt;H81)),-1*SUMPRODUCT((P$3:P$82="")*(O$3:O$82="")*(N$3:N$82="")*(M$3:M$82="P")*(G$3:G$82=G81)*(J$3:J$82&gt;J81)*(H$3:H$82="L5")))+1,""))))</f>
        <v/>
      </c>
      <c r="C81" s="35" t="s">
        <v>332</v>
      </c>
      <c r="D81" s="35" t="str">
        <f>IF(E81="","",VLOOKUP(E81,'Coaching Points'!A:B,2,0))</f>
        <v>AB</v>
      </c>
      <c r="E81" s="35" t="s">
        <v>39</v>
      </c>
      <c r="F81" s="34">
        <v>2010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64</v>
      </c>
      <c r="I81" s="40"/>
      <c r="J81" s="4">
        <f>R81+IF(OR(H81="Junior",H81="Senior"),0.0002,IF(OR(H81="L7",H81="L6"),0.0001,0))+IF(G81="17-21",MAX(AA81,AC81,AF81),AE81)*0.0000001</f>
        <v>78.099999999999994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78.099999999999994</v>
      </c>
      <c r="S81" s="4">
        <f>IF(G81="17-21",LARGE(CHOOSE({1,2,3,4,5,6},T81,V81,Y81,AA81,AC81,AF81),2),IF(R81=X81,MAX(Y81,AA81,AC81,AF81),IF(R81=AE81,MAX(AF81,T81,V81,Y81),0)))</f>
        <v>45.18</v>
      </c>
      <c r="T81" s="32">
        <v>38.26</v>
      </c>
      <c r="U81" s="37">
        <v>0</v>
      </c>
      <c r="V81" s="33">
        <v>39.840000000000003</v>
      </c>
      <c r="W81" s="37">
        <v>7.1</v>
      </c>
      <c r="X81" s="4">
        <f>IF(H81="Senior",MAX(T81,V81),T81+V81)</f>
        <v>78.099999999999994</v>
      </c>
      <c r="Y81" s="33">
        <v>45.18</v>
      </c>
      <c r="Z81" s="37">
        <v>8.1</v>
      </c>
      <c r="AA81" s="32"/>
      <c r="AB81" s="37"/>
      <c r="AC81" s="33"/>
      <c r="AD81" s="37"/>
      <c r="AE81" s="4">
        <f>IF(H81="Senior",MAX(AA81,AC81),AA81+AC81)</f>
        <v>0</v>
      </c>
      <c r="AF81" s="33"/>
      <c r="AG81" s="37"/>
    </row>
    <row r="82" spans="1:33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3"/>
      <c r="W82" s="37"/>
      <c r="X82" s="4"/>
      <c r="Y82" s="33"/>
      <c r="Z82" s="37"/>
      <c r="AA82" s="32"/>
      <c r="AB82" s="37"/>
      <c r="AC82" s="33"/>
      <c r="AD82" s="37"/>
      <c r="AE82" s="4"/>
      <c r="AF82" s="33"/>
      <c r="AG82" s="37"/>
    </row>
    <row r="83" spans="1:33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3"/>
      <c r="W83" s="37"/>
      <c r="X83" s="4"/>
      <c r="Y83" s="33"/>
      <c r="Z83" s="37"/>
      <c r="AA83" s="32"/>
      <c r="AB83" s="37"/>
      <c r="AC83" s="33"/>
      <c r="AD83" s="37"/>
      <c r="AE83" s="4"/>
      <c r="AF83" s="33"/>
      <c r="AG83" s="37"/>
    </row>
    <row r="84" spans="1:33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3"/>
      <c r="W84" s="37"/>
      <c r="X84" s="4"/>
      <c r="Y84" s="33"/>
      <c r="Z84" s="37"/>
      <c r="AA84" s="32"/>
      <c r="AB84" s="37"/>
      <c r="AC84" s="33"/>
      <c r="AD84" s="37"/>
      <c r="AE84" s="4"/>
      <c r="AF84" s="33"/>
      <c r="AG84" s="37"/>
    </row>
    <row r="85" spans="1:33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3"/>
      <c r="W85" s="37"/>
      <c r="X85" s="4"/>
      <c r="Y85" s="33"/>
      <c r="Z85" s="37"/>
      <c r="AA85" s="32"/>
      <c r="AB85" s="37"/>
      <c r="AC85" s="33"/>
      <c r="AD85" s="37"/>
      <c r="AE85" s="4"/>
      <c r="AF85" s="33"/>
      <c r="AG85" s="37"/>
    </row>
    <row r="86" spans="1:33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3"/>
      <c r="W86" s="37"/>
      <c r="X86" s="4"/>
      <c r="Y86" s="33"/>
      <c r="Z86" s="37"/>
      <c r="AA86" s="32"/>
      <c r="AB86" s="37"/>
      <c r="AC86" s="33"/>
      <c r="AD86" s="37"/>
      <c r="AE86" s="4"/>
      <c r="AF86" s="33"/>
      <c r="AG86" s="37"/>
    </row>
    <row r="87" spans="1:33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3"/>
      <c r="W87" s="37"/>
      <c r="X87" s="4"/>
      <c r="Y87" s="33"/>
      <c r="Z87" s="37"/>
      <c r="AA87" s="32"/>
      <c r="AB87" s="37"/>
      <c r="AC87" s="33"/>
      <c r="AD87" s="37"/>
      <c r="AE87" s="4"/>
      <c r="AF87" s="33"/>
      <c r="AG87" s="37"/>
    </row>
    <row r="88" spans="1:33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3"/>
      <c r="W88" s="37"/>
      <c r="X88" s="4"/>
      <c r="Y88" s="33"/>
      <c r="Z88" s="37"/>
      <c r="AA88" s="32"/>
      <c r="AB88" s="37"/>
      <c r="AC88" s="33"/>
      <c r="AD88" s="37"/>
      <c r="AE88" s="4"/>
      <c r="AF88" s="33"/>
      <c r="AG88" s="37"/>
    </row>
    <row r="89" spans="1:33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3"/>
      <c r="W89" s="37"/>
      <c r="X89" s="4"/>
      <c r="Y89" s="33"/>
      <c r="Z89" s="37"/>
      <c r="AA89" s="32"/>
      <c r="AB89" s="37"/>
      <c r="AC89" s="33"/>
      <c r="AD89" s="37"/>
      <c r="AE89" s="4"/>
      <c r="AF89" s="33"/>
      <c r="AG89" s="37"/>
    </row>
    <row r="90" spans="1:33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3"/>
      <c r="W90" s="37"/>
      <c r="X90" s="4"/>
      <c r="Y90" s="33"/>
      <c r="Z90" s="37"/>
      <c r="AA90" s="32"/>
      <c r="AB90" s="37"/>
      <c r="AC90" s="33"/>
      <c r="AD90" s="37"/>
      <c r="AE90" s="4"/>
      <c r="AF90" s="33"/>
      <c r="AG90" s="37"/>
    </row>
    <row r="91" spans="1:33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3"/>
      <c r="W91" s="37"/>
      <c r="X91" s="4"/>
      <c r="Y91" s="33"/>
      <c r="Z91" s="37"/>
      <c r="AA91" s="32"/>
      <c r="AB91" s="37"/>
      <c r="AC91" s="33"/>
      <c r="AD91" s="37"/>
      <c r="AE91" s="4"/>
      <c r="AF91" s="33"/>
      <c r="AG91" s="37"/>
    </row>
    <row r="92" spans="1:33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3"/>
      <c r="W92" s="37"/>
      <c r="X92" s="4"/>
      <c r="Y92" s="33"/>
      <c r="Z92" s="37"/>
      <c r="AA92" s="32"/>
      <c r="AB92" s="37"/>
      <c r="AC92" s="33"/>
      <c r="AD92" s="37"/>
      <c r="AE92" s="4"/>
      <c r="AF92" s="33"/>
      <c r="AG92" s="37"/>
    </row>
    <row r="93" spans="1:33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3"/>
      <c r="W93" s="37"/>
      <c r="X93" s="4"/>
      <c r="Y93" s="33"/>
      <c r="Z93" s="37"/>
      <c r="AA93" s="32"/>
      <c r="AB93" s="37"/>
      <c r="AC93" s="33"/>
      <c r="AD93" s="37"/>
      <c r="AE93" s="4"/>
      <c r="AF93" s="33"/>
      <c r="AG93" s="37"/>
    </row>
    <row r="94" spans="1:33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3"/>
      <c r="W94" s="37"/>
      <c r="X94" s="4"/>
      <c r="Y94" s="33"/>
      <c r="Z94" s="37"/>
      <c r="AA94" s="32"/>
      <c r="AB94" s="37"/>
      <c r="AC94" s="33"/>
      <c r="AD94" s="37"/>
      <c r="AE94" s="4"/>
      <c r="AF94" s="33"/>
      <c r="AG94" s="37"/>
    </row>
    <row r="95" spans="1:33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3"/>
      <c r="W95" s="37"/>
      <c r="X95" s="4"/>
      <c r="Y95" s="33"/>
      <c r="Z95" s="37"/>
      <c r="AA95" s="32"/>
      <c r="AB95" s="37"/>
      <c r="AC95" s="33"/>
      <c r="AD95" s="37"/>
      <c r="AE95" s="4"/>
      <c r="AF95" s="33"/>
      <c r="AG95" s="37"/>
    </row>
    <row r="96" spans="1:33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3"/>
      <c r="W96" s="37"/>
      <c r="X96" s="4"/>
      <c r="Y96" s="33"/>
      <c r="Z96" s="37"/>
      <c r="AA96" s="32"/>
      <c r="AB96" s="37"/>
      <c r="AC96" s="33"/>
      <c r="AD96" s="37"/>
      <c r="AE96" s="4"/>
      <c r="AF96" s="33"/>
      <c r="AG96" s="37"/>
    </row>
    <row r="97" spans="2:33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3"/>
      <c r="W97" s="37"/>
      <c r="X97" s="4"/>
      <c r="Y97" s="33"/>
      <c r="Z97" s="37"/>
      <c r="AA97" s="32"/>
      <c r="AB97" s="37"/>
      <c r="AC97" s="33"/>
      <c r="AD97" s="37"/>
      <c r="AE97" s="4"/>
      <c r="AF97" s="33"/>
      <c r="AG97" s="37"/>
    </row>
    <row r="98" spans="2:33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3"/>
      <c r="W98" s="37"/>
      <c r="X98" s="4"/>
      <c r="Y98" s="33"/>
      <c r="Z98" s="37"/>
      <c r="AA98" s="32"/>
      <c r="AB98" s="37"/>
      <c r="AC98" s="33"/>
      <c r="AD98" s="37"/>
      <c r="AE98" s="4"/>
      <c r="AF98" s="33"/>
      <c r="AG98" s="37"/>
    </row>
    <row r="99" spans="2:33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3"/>
      <c r="W99" s="37"/>
      <c r="X99" s="4"/>
      <c r="Y99" s="33"/>
      <c r="Z99" s="37"/>
      <c r="AA99" s="32"/>
      <c r="AB99" s="37"/>
      <c r="AC99" s="33"/>
      <c r="AD99" s="37"/>
      <c r="AE99" s="4"/>
      <c r="AF99" s="33"/>
      <c r="AG99" s="37"/>
    </row>
    <row r="100" spans="2:33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3"/>
      <c r="W100" s="37"/>
      <c r="X100" s="4"/>
      <c r="Y100" s="33"/>
      <c r="Z100" s="37"/>
      <c r="AA100" s="32"/>
      <c r="AB100" s="37"/>
      <c r="AC100" s="33"/>
      <c r="AD100" s="37"/>
      <c r="AE100" s="4"/>
      <c r="AF100" s="33"/>
      <c r="AG100" s="37"/>
    </row>
    <row r="101" spans="2:33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3"/>
      <c r="W101" s="37"/>
      <c r="X101" s="4"/>
      <c r="Y101" s="33"/>
      <c r="Z101" s="37"/>
      <c r="AA101" s="32"/>
      <c r="AB101" s="37"/>
      <c r="AC101" s="33"/>
      <c r="AD101" s="37"/>
      <c r="AE101" s="4"/>
      <c r="AF101" s="33"/>
      <c r="AG101" s="37"/>
    </row>
    <row r="102" spans="2:33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3"/>
      <c r="W102" s="37"/>
      <c r="X102" s="4"/>
      <c r="Y102" s="33"/>
      <c r="Z102" s="37"/>
      <c r="AA102" s="32"/>
      <c r="AB102" s="37"/>
      <c r="AC102" s="33"/>
      <c r="AD102" s="37"/>
      <c r="AE102" s="4"/>
      <c r="AF102" s="33"/>
      <c r="AG102" s="37"/>
    </row>
    <row r="103" spans="2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2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2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2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2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2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2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2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2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2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81">
      <sortCondition descending="1" ref="G1:G82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25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hidden="1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hidden="1" customWidth="1"/>
    <col min="29" max="29" width="13.6640625" style="35" hidden="1" customWidth="1"/>
    <col min="30" max="30" width="11" style="35" hidden="1" customWidth="1"/>
    <col min="31" max="31" width="14.1640625" style="35" hidden="1" customWidth="1"/>
    <col min="32" max="32" width="7.6640625" hidden="1" customWidth="1"/>
    <col min="33" max="33" width="6.6640625" style="35" hidden="1" customWidth="1"/>
    <col min="34" max="34" width="9" style="35" hidden="1" customWidth="1"/>
    <col min="35" max="35" width="11" style="61"/>
  </cols>
  <sheetData>
    <row r="1" spans="1:35" s="6" customForma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68" t="s">
        <v>196</v>
      </c>
      <c r="F1" s="73" t="s">
        <v>197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160</v>
      </c>
      <c r="S1" s="66" t="s">
        <v>242</v>
      </c>
      <c r="T1" s="68" t="s">
        <v>243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352</v>
      </c>
      <c r="D3" s="35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72</v>
      </c>
      <c r="J3" s="40"/>
      <c r="K3" s="4">
        <f>S3+IF(OR(I3="Junior",I3="Senior"),0.0002,IF(OR(I3="L7",I3="L6"),0.0001,0))+MAX(AB3,AD3,AG3)*0.0000001</f>
        <v>47.410199999999996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47.41</v>
      </c>
      <c r="T3" s="4">
        <f>LARGE(CHOOSE({1,2,3,4,5,6},U3,W3,Z3,AB3,AD3,AG3),2)</f>
        <v>36.31</v>
      </c>
      <c r="U3" s="32">
        <v>27.53</v>
      </c>
      <c r="V3" s="37">
        <v>6.2</v>
      </c>
      <c r="W3" s="33">
        <v>47.41</v>
      </c>
      <c r="X3" s="37">
        <v>11.2</v>
      </c>
      <c r="Y3" s="4">
        <f>IF(I3="Senior",MAX(U3,W3),U3+W3)</f>
        <v>47.41</v>
      </c>
      <c r="Z3" s="33">
        <v>36.31</v>
      </c>
      <c r="AA3" s="37">
        <v>8.6999999999999993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t="str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/>
      </c>
      <c r="C4" s="35" t="s">
        <v>349</v>
      </c>
      <c r="D4" s="35" t="str">
        <f>IF(E4="","",VLOOKUP(E4,'Coaching Points'!A:B,2,0)&amp;"/"&amp;VLOOKUP(F4,'Coaching Points'!A:B,2,0))</f>
        <v>QC/QC</v>
      </c>
      <c r="E4" s="35" t="s">
        <v>75</v>
      </c>
      <c r="F4" s="35" t="s">
        <v>75</v>
      </c>
      <c r="G4" s="34">
        <v>2005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65</v>
      </c>
      <c r="J4" s="40"/>
      <c r="K4" s="4">
        <f>S4+IF(OR(I4="Junior",I4="Senior"),0.0002,IF(OR(I4="L7",I4="L6"),0.0001,0))+MAX(AB4,AD4,AG4)*0.0000001</f>
        <v>43.690100000000001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43.69</v>
      </c>
      <c r="T4" s="4">
        <f>LARGE(CHOOSE({1,2,3,4,5,6},U4,W4,Z4,AB4,AD4,AG4),2)</f>
        <v>36.99</v>
      </c>
      <c r="U4" s="32">
        <v>43.69</v>
      </c>
      <c r="V4" s="37">
        <v>10.3</v>
      </c>
      <c r="W4" s="33"/>
      <c r="X4" s="37"/>
      <c r="Y4" s="4">
        <f>IF(I4="Senior",MAX(U4,W4),U4+W4)</f>
        <v>43.69</v>
      </c>
      <c r="Z4" s="33">
        <v>36.99</v>
      </c>
      <c r="AA4" s="37">
        <v>9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t="str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/>
      </c>
      <c r="C5" s="35" t="s">
        <v>350</v>
      </c>
      <c r="D5" s="35" t="str">
        <f>IF(E5="","",VLOOKUP(E5,'Coaching Points'!A:B,2,0)&amp;"/"&amp;VLOOKUP(F5,'Coaching Points'!A:B,2,0))</f>
        <v>BC/BC</v>
      </c>
      <c r="E5" s="35" t="s">
        <v>40</v>
      </c>
      <c r="F5" s="35" t="s">
        <v>40</v>
      </c>
      <c r="G5" s="34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65</v>
      </c>
      <c r="J5" s="40"/>
      <c r="K5" s="4">
        <f>S5+IF(OR(I5="Junior",I5="Senior"),0.0002,IF(OR(I5="L7",I5="L6"),0.0001,0))+MAX(AB5,AD5,AG5)*0.0000001</f>
        <v>42.110100000000003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42.11</v>
      </c>
      <c r="T5" s="4">
        <f>LARGE(CHOOSE({1,2,3,4,5,6},U5,W5,Z5,AB5,AD5,AG5),2)</f>
        <v>34.78</v>
      </c>
      <c r="U5" s="32">
        <v>42.11</v>
      </c>
      <c r="V5" s="37">
        <v>9.1</v>
      </c>
      <c r="W5" s="33"/>
      <c r="X5" s="37"/>
      <c r="Y5" s="4">
        <f>IF(I5="Senior",MAX(U5,W5),U5+W5)</f>
        <v>42.11</v>
      </c>
      <c r="Z5" s="33">
        <v>34.78</v>
      </c>
      <c r="AA5" s="37">
        <v>9.1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344</v>
      </c>
      <c r="D6" s="35" t="str">
        <f>IF(E6="","",VLOOKUP(E6,'Coaching Points'!A:B,2,0)&amp;"/"&amp;VLOOKUP(F6,'Coaching Points'!A:B,2,0))</f>
        <v>NL/NL</v>
      </c>
      <c r="E6" s="35" t="s">
        <v>91</v>
      </c>
      <c r="F6" s="35" t="s">
        <v>248</v>
      </c>
      <c r="G6" s="34">
        <v>2007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64</v>
      </c>
      <c r="J6" s="40"/>
      <c r="K6" s="4">
        <f>S6+IF(OR(I6="Junior",I6="Senior"),0.0002,IF(OR(I6="L7",I6="L6"),0.0001,0))+MAX(AB6,AD6,AG6)*0.0000001</f>
        <v>41.96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41.96</v>
      </c>
      <c r="T6" s="4">
        <f>LARGE(CHOOSE({1,2,3,4,5,6},U6,W6,Z6,AB6,AD6,AG6),2)</f>
        <v>41.09</v>
      </c>
      <c r="U6" s="32">
        <v>41.96</v>
      </c>
      <c r="V6" s="37">
        <v>8.1999999999999993</v>
      </c>
      <c r="W6" s="33"/>
      <c r="X6" s="37"/>
      <c r="Y6" s="4">
        <f>IF(I6="Senior",MAX(U6,W6),U6+W6)</f>
        <v>41.96</v>
      </c>
      <c r="Z6" s="33">
        <v>41.09</v>
      </c>
      <c r="AA6" s="37">
        <v>8.1999999999999993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348</v>
      </c>
      <c r="D7" s="35" t="str">
        <f>IF(E7="","",VLOOKUP(E7,'Coaching Points'!A:B,2,0)&amp;"/"&amp;VLOOKUP(F7,'Coaching Points'!A:B,2,0))</f>
        <v>NS/NS</v>
      </c>
      <c r="E7" s="35" t="s">
        <v>203</v>
      </c>
      <c r="F7" s="35" t="s">
        <v>112</v>
      </c>
      <c r="G7" s="34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65</v>
      </c>
      <c r="J7" s="40"/>
      <c r="K7" s="4">
        <f>S7+IF(OR(I7="Junior",I7="Senior"),0.0002,IF(OR(I7="L7",I7="L6"),0.0001,0))+MAX(AB7,AD7,AG7)*0.0000001</f>
        <v>41.500100000000003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41.5</v>
      </c>
      <c r="T7" s="4">
        <f>LARGE(CHOOSE({1,2,3,4,5,6},U7,W7,Z7,AB7,AD7,AG7),2)</f>
        <v>38.53</v>
      </c>
      <c r="U7" s="32">
        <v>38.53</v>
      </c>
      <c r="V7" s="37">
        <v>7.8</v>
      </c>
      <c r="W7" s="33"/>
      <c r="X7" s="37"/>
      <c r="Y7" s="4">
        <f>IF(I7="Senior",MAX(U7,W7),U7+W7)</f>
        <v>38.53</v>
      </c>
      <c r="Z7" s="33">
        <v>41.5</v>
      </c>
      <c r="AA7" s="37">
        <v>7.8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244</v>
      </c>
      <c r="D8" s="35" t="str">
        <f>IF(E8="","",VLOOKUP(E8,'Coaching Points'!A:B,2,0)&amp;"/"&amp;VLOOKUP(F8,'Coaching Points'!A:B,2,0))</f>
        <v>BC/BC</v>
      </c>
      <c r="E8" s="35" t="s">
        <v>60</v>
      </c>
      <c r="F8" s="35" t="s">
        <v>198</v>
      </c>
      <c r="G8" s="34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65</v>
      </c>
      <c r="J8" s="40"/>
      <c r="K8" s="4">
        <f>S8+IF(OR(I8="Junior",I8="Senior"),0.0002,IF(OR(I8="L7",I8="L6"),0.0001,0))+MAX(AB8,AD8,AG8)*0.0000001</f>
        <v>39.840100000000007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39.840000000000003</v>
      </c>
      <c r="T8" s="4">
        <f>LARGE(CHOOSE({1,2,3,4,5,6},U8,W8,Z8,AB8,AD8,AG8),2)</f>
        <v>36.94</v>
      </c>
      <c r="U8" s="32">
        <v>36.94</v>
      </c>
      <c r="V8" s="37">
        <v>9</v>
      </c>
      <c r="W8" s="33"/>
      <c r="X8" s="37"/>
      <c r="Y8" s="4">
        <f>IF(I8="Senior",MAX(U8,W8),U8+W8)</f>
        <v>36.94</v>
      </c>
      <c r="Z8" s="33">
        <v>39.840000000000003</v>
      </c>
      <c r="AA8" s="37">
        <v>9.6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353</v>
      </c>
      <c r="D9" s="35" t="str">
        <f>IF(E9="","",VLOOKUP(E9,'Coaching Points'!A:B,2,0)&amp;"/"&amp;VLOOKUP(F9,'Coaching Points'!A:B,2,0))</f>
        <v>AB/AB</v>
      </c>
      <c r="E9" s="35" t="s">
        <v>62</v>
      </c>
      <c r="F9" s="35" t="s">
        <v>62</v>
      </c>
      <c r="G9" s="34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72</v>
      </c>
      <c r="J9" s="40"/>
      <c r="K9" s="4">
        <f>S9+IF(OR(I9="Junior",I9="Senior"),0.0002,IF(OR(I9="L7",I9="L6"),0.0001,0))+MAX(AB9,AD9,AG9)*0.0000001</f>
        <v>36.290199999999999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36.29</v>
      </c>
      <c r="T9" s="4">
        <f>LARGE(CHOOSE({1,2,3,4,5,6},U9,W9,Z9,AB9,AD9,AG9),2)</f>
        <v>31.73</v>
      </c>
      <c r="U9" s="32">
        <v>36.29</v>
      </c>
      <c r="V9" s="37">
        <v>8.1999999999999993</v>
      </c>
      <c r="W9" s="33">
        <v>13.11</v>
      </c>
      <c r="X9" s="37">
        <v>3.1</v>
      </c>
      <c r="Y9" s="4">
        <f>IF(I9="Senior",MAX(U9,W9),U9+W9)</f>
        <v>36.29</v>
      </c>
      <c r="Z9" s="33">
        <v>31.73</v>
      </c>
      <c r="AA9" s="37">
        <v>7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354</v>
      </c>
      <c r="D10" s="35" t="str">
        <f>IF(E10="","",VLOOKUP(E10,'Coaching Points'!A:B,2,0)&amp;"/"&amp;VLOOKUP(F10,'Coaching Points'!A:B,2,0))</f>
        <v>AB/AB</v>
      </c>
      <c r="E10" s="35" t="s">
        <v>28</v>
      </c>
      <c r="F10" s="35" t="s">
        <v>28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72</v>
      </c>
      <c r="J10" s="40"/>
      <c r="K10" s="4">
        <f>S10+IF(OR(I10="Junior",I10="Senior"),0.0002,IF(OR(I10="L7",I10="L6"),0.0001,0))+MAX(AB10,AD10,AG10)*0.0000001</f>
        <v>35.630200000000002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>P</v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35.630000000000003</v>
      </c>
      <c r="T10" s="4">
        <f>LARGE(CHOOSE({1,2,3,4,5,6},U10,W10,Z10,AB10,AD10,AG10),2)</f>
        <v>8.14</v>
      </c>
      <c r="U10" s="32">
        <v>35.630000000000003</v>
      </c>
      <c r="V10" s="37">
        <v>11.5</v>
      </c>
      <c r="W10" s="33">
        <v>8.14</v>
      </c>
      <c r="X10" s="37">
        <v>3.2</v>
      </c>
      <c r="Y10" s="4">
        <f>IF(I10="Senior",MAX(U10,W10),U10+W10)</f>
        <v>35.630000000000003</v>
      </c>
      <c r="Z10" s="33">
        <v>4.3600000000000003</v>
      </c>
      <c r="AA10" s="37">
        <v>2</v>
      </c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245</v>
      </c>
      <c r="D11" s="35" t="str">
        <f>IF(E11="","",VLOOKUP(E11,'Coaching Points'!A:B,2,0)&amp;"/"&amp;VLOOKUP(F11,'Coaching Points'!A:B,2,0))</f>
        <v>AB/AB</v>
      </c>
      <c r="E11" s="35" t="s">
        <v>62</v>
      </c>
      <c r="F11" s="35" t="s">
        <v>62</v>
      </c>
      <c r="G11" s="34">
        <v>2007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65</v>
      </c>
      <c r="J11" s="40"/>
      <c r="K11" s="4">
        <f>S11+IF(OR(I11="Junior",I11="Senior"),0.0002,IF(OR(I11="L7",I11="L6"),0.0001,0))+MAX(AB11,AD11,AG11)*0.0000001</f>
        <v>17.9101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17.91</v>
      </c>
      <c r="T11" s="4">
        <f>LARGE(CHOOSE({1,2,3,4,5,6},U11,W11,Z11,AB11,AD11,AG11),2)</f>
        <v>0</v>
      </c>
      <c r="U11" s="32">
        <v>17.91</v>
      </c>
      <c r="V11" s="37">
        <v>6.3</v>
      </c>
      <c r="W11" s="33"/>
      <c r="X11" s="37"/>
      <c r="Y11" s="4">
        <f>IF(I11="Senior",MAX(U11,W11),U11+W11)</f>
        <v>17.91</v>
      </c>
      <c r="Z11" s="33"/>
      <c r="AA11" s="37"/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351</v>
      </c>
      <c r="D12" s="35" t="str">
        <f>IF(E12="","",VLOOKUP(E12,'Coaching Points'!A:B,2,0)&amp;"/"&amp;VLOOKUP(F12,'Coaching Points'!A:B,2,0))</f>
        <v>AB/AB</v>
      </c>
      <c r="E12" s="35" t="s">
        <v>28</v>
      </c>
      <c r="F12" s="35" t="s">
        <v>28</v>
      </c>
      <c r="G12" s="34">
        <v>2008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65</v>
      </c>
      <c r="J12" s="40"/>
      <c r="K12" s="4">
        <f>S12+IF(OR(I12="Junior",I12="Senior"),0.0002,IF(OR(I12="L7",I12="L6"),0.0001,0))+MAX(AB12,AD12,AG12)*0.0000001</f>
        <v>9.3201000000000001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9.32</v>
      </c>
      <c r="T12" s="4">
        <f>LARGE(CHOOSE({1,2,3,4,5,6},U12,W12,Z12,AB12,AD12,AG12),2)</f>
        <v>0</v>
      </c>
      <c r="U12" s="32">
        <v>9.32</v>
      </c>
      <c r="V12" s="37">
        <v>2.2999999999999998</v>
      </c>
      <c r="W12" s="33"/>
      <c r="X12" s="37"/>
      <c r="Y12" s="4">
        <f>IF(I12="Senior",MAX(U12,W12),U12+W12)</f>
        <v>9.32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347</v>
      </c>
      <c r="D13" s="35" t="str">
        <f>IF(E13="","",VLOOKUP(E13,'Coaching Points'!A:B,2,0)&amp;"/"&amp;VLOOKUP(F13,'Coaching Points'!A:B,2,0))</f>
        <v>ON/ON</v>
      </c>
      <c r="E13" s="35" t="s">
        <v>97</v>
      </c>
      <c r="F13" s="35" t="s">
        <v>97</v>
      </c>
      <c r="G13" s="34">
        <v>2009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64</v>
      </c>
      <c r="J13" s="40"/>
      <c r="K13" s="4">
        <f>S13+IF(OR(I13="Junior",I13="Senior"),0.0002,IF(OR(I13="L7",I13="L6"),0.0001,0))+MAX(AB13,AD13,AG13)*0.0000001</f>
        <v>5.04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5.04</v>
      </c>
      <c r="T13" s="4">
        <f>LARGE(CHOOSE({1,2,3,4,5,6},U13,W13,Z13,AB13,AD13,AG13),2)</f>
        <v>0</v>
      </c>
      <c r="U13" s="32">
        <v>5.04</v>
      </c>
      <c r="V13" s="37">
        <v>1.5</v>
      </c>
      <c r="W13" s="33"/>
      <c r="X13" s="37"/>
      <c r="Y13" s="4">
        <f>IF(I13="Senior",MAX(U13,W13),U13+W13)</f>
        <v>5.04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345</v>
      </c>
      <c r="D14" s="35" t="str">
        <f>IF(E14="","",VLOOKUP(E14,'Coaching Points'!A:B,2,0)&amp;"/"&amp;VLOOKUP(F14,'Coaching Points'!A:B,2,0))</f>
        <v>QC/QC</v>
      </c>
      <c r="E14" s="35" t="s">
        <v>201</v>
      </c>
      <c r="F14" s="35" t="s">
        <v>201</v>
      </c>
      <c r="G14" s="34">
        <v>2010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64</v>
      </c>
      <c r="J14" s="40"/>
      <c r="K14" s="4">
        <f>S14+IF(OR(I14="Junior",I14="Senior"),0.0002,IF(OR(I14="L7",I14="L6"),0.0001,0))+MAX(AB14,AD14,AG14)*0.0000001</f>
        <v>44.28</v>
      </c>
      <c r="L14" s="3" t="str">
        <f>IF(H14="Not Age Eligible","",IF(MAX(U14,W14,Z14,AB14,AD14,AG14)&gt;=LOOKUP(H14,'Qualifying Scores'!$A$4:$A$7,'Qualifying Scores'!$D$4:$D$7),"P",""))</f>
        <v>P</v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44.28</v>
      </c>
      <c r="T14" s="4">
        <f>LARGE(CHOOSE({1,2,3,4,5,6},U14,W14,Z14,AB14,AD14,AG14),2)</f>
        <v>40.19</v>
      </c>
      <c r="U14" s="32">
        <v>44.28</v>
      </c>
      <c r="V14" s="37">
        <v>7</v>
      </c>
      <c r="W14" s="33"/>
      <c r="X14" s="37"/>
      <c r="Y14" s="4">
        <f>IF(I14="Senior",MAX(U14,W14),U14+W14)</f>
        <v>44.28</v>
      </c>
      <c r="Z14" s="33">
        <v>40.19</v>
      </c>
      <c r="AA14" s="37">
        <v>7</v>
      </c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C15" s="35" t="s">
        <v>346</v>
      </c>
      <c r="D15" s="35" t="str">
        <f>IF(E15="","",VLOOKUP(E15,'Coaching Points'!A:B,2,0)&amp;"/"&amp;VLOOKUP(F15,'Coaching Points'!A:B,2,0))</f>
        <v>NS/NS</v>
      </c>
      <c r="E15" s="35" t="s">
        <v>112</v>
      </c>
      <c r="F15" s="35" t="s">
        <v>112</v>
      </c>
      <c r="G15" s="34">
        <v>2010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13-14</v>
      </c>
      <c r="I15" s="36" t="s">
        <v>64</v>
      </c>
      <c r="J15" s="40"/>
      <c r="K15" s="4">
        <f>S15+IF(OR(I15="Junior",I15="Senior"),0.0002,IF(OR(I15="L7",I15="L6"),0.0001,0))+MAX(AB15,AD15,AG15)*0.0000001</f>
        <v>39.4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39.4</v>
      </c>
      <c r="T15" s="4">
        <f>LARGE(CHOOSE({1,2,3,4,5,6},U15,W15,Z15,AB15,AD15,AG15),2)</f>
        <v>37.450000000000003</v>
      </c>
      <c r="U15" s="32">
        <v>39.4</v>
      </c>
      <c r="V15" s="37">
        <v>7.6</v>
      </c>
      <c r="W15" s="33"/>
      <c r="X15" s="37"/>
      <c r="Y15" s="4">
        <f>IF(I15="Senior",MAX(U15,W15),U15+W15)</f>
        <v>39.4</v>
      </c>
      <c r="Z15" s="33">
        <v>37.450000000000003</v>
      </c>
      <c r="AA15" s="37">
        <v>7.6</v>
      </c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  <row r="20" spans="2:34" x14ac:dyDescent="0.2">
      <c r="B20" s="1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2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2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2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2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  <row r="25" spans="2:34" x14ac:dyDescent="0.2">
      <c r="B25" s="1"/>
      <c r="H25" s="1"/>
      <c r="I25" s="36"/>
      <c r="J25" s="40"/>
      <c r="K25" s="4"/>
      <c r="L25" s="3"/>
      <c r="M25" s="3"/>
      <c r="S25" s="4"/>
      <c r="T25" s="4"/>
      <c r="U25" s="32"/>
      <c r="V25" s="37"/>
      <c r="W25" s="33"/>
      <c r="X25" s="37"/>
      <c r="Y25" s="4"/>
      <c r="Z25" s="33"/>
      <c r="AA25" s="37"/>
      <c r="AB25" s="32"/>
      <c r="AC25" s="37"/>
      <c r="AD25" s="33"/>
      <c r="AE25" s="37"/>
      <c r="AF25" s="4"/>
      <c r="AG25" s="33"/>
      <c r="AH25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5">
      <sortCondition descending="1" ref="H1:H16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4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hidden="1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hidden="1" customWidth="1"/>
    <col min="29" max="29" width="13.6640625" style="35" hidden="1" customWidth="1"/>
    <col min="30" max="30" width="11" style="35" hidden="1" customWidth="1"/>
    <col min="31" max="31" width="14.1640625" style="35" hidden="1" customWidth="1"/>
    <col min="32" max="32" width="7.6640625" hidden="1" customWidth="1"/>
    <col min="33" max="33" width="6.6640625" style="35" hidden="1" customWidth="1"/>
    <col min="34" max="34" width="9" style="35" hidden="1" customWidth="1"/>
    <col min="35" max="35" width="11" style="61"/>
  </cols>
  <sheetData>
    <row r="1" spans="1:35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68" t="s">
        <v>196</v>
      </c>
      <c r="F1" s="73" t="s">
        <v>197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160</v>
      </c>
      <c r="S1" s="66" t="s">
        <v>242</v>
      </c>
      <c r="T1" s="68" t="s">
        <v>243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$22&lt;&gt;"")*(H$3:H$22=H3)*(K$3:K$22&gt;K3)*(J$3:J$22="P"))+1,IF(P3&lt;&gt;"",SUMPRODUCT((P$3:P$22&lt;&gt;"")*(Q$3:Q$22="")*(H$3:H$22=H3)*(K$3:K$22&gt;K3)*(J$3:J$22="P"))+SUMPRODUCT((Q$3:Q$22&lt;&gt;"")*(H$3:H$22=H3)*(J$3:J$22="P"))+1,IF(O3&lt;&gt;"",SUMPRODUCT((O$3:O$22&lt;&gt;"")*(H$3:H$22=H3)*(K$3:K$22&gt;K3)*(J$3:J$22="P"))+1,IF(N3="P",SUMPRODUCT((P$3:P$22&lt;&gt;"")*(Q$3:Q$22="")*(H$3:H$22=H3)*(J$3:J$22="P"))+SUMPRODUCT((Q$3:Q$22&lt;&gt;"")*(H$3:H$22=H3)*(J$3:J$22="P"))+SUMPRODUCT((O$3:O$22&lt;&gt;"")*(H$3:H$22=H3)*(J$3:J$22="P"))+SUMPRODUCT((Q$3:Q$22="")*(P$3:P$22="")*(O$3:O$22="")*(N$3:N$22="P")*(H$3:H$22=H3)*(K$3:K$22&gt;K3)*(J$3:J$22="P"))+IF(I3="L5",SUMPRODUCT((Q$3:Q$22="")*(P$3:P$22="")*(O$3:O$22="")*(N$3:N$22="P")*(H$3:H$22=H3)*(K$3:K$22&lt;K3)*(I$3:I$22&lt;&gt;I3)*(J$3:J$22="P")),-1*SUMPRODUCT((Q$3:Q$22="")*(P$3:P$22="")*(O$3:O$22="")*(N$3:N$22="P")*(H$3:H$22=H3)*(K$3:K$22&gt;K3)*(I$3:I$22="L5")*(J$3:J$22="P")))+1,"")))))</f>
        <v/>
      </c>
      <c r="B3" s="1" cm="1">
        <f t="array" ref="B3">IF(Q3&lt;&gt;"",SUMPRODUCT((Q$3:Q$22&lt;&gt;"")*(H$3:H$22=H3)*(K$3:K$22&gt;K3))+1,IF(P3&lt;&gt;"",SUMPRODUCT((P$3:P$22&lt;&gt;"")*(Q$3:Q$22="")*(H$3:H$22=H3)*(K$3:K$22&gt;K3))+SUMPRODUCT((Q$3:Q$22&lt;&gt;"")*(H$3:H$22=H3))+1,IF(O3&lt;&gt;"",SUMPRODUCT((O$3:O$22&lt;&gt;"")*(H$3:H$22=H3)*(K$3:K$22&gt;K3))+1,IF(N3="P",SUMPRODUCT((P$3:P$22&lt;&gt;"")*(Q$3:Q$22="")*(H$3:H$22=H3))+SUMPRODUCT((Q$3:Q$22&lt;&gt;"")*(H$3:H$22=H3))+SUMPRODUCT((O$3:O$22&lt;&gt;"")*(H$3:H$22=H3))+SUMPRODUCT((Q$3:Q$22="")*(P$3:P$22="")*(O$3:O$22="")*(N$3:N$22="P")*(H$3:H$22=H3)*(K$3:K$22&gt;K3))+IF(I3="L5",SUMPRODUCT((Q$3:Q$22="")*(P$3:P$22="")*(O$3:O$22="")*(N$3:N$22="P")*(H$3:H$22=H3)*(K$3:K$22&lt;K3)*(I$3:I$22&lt;&gt;I3)),-1*SUMPRODUCT((Q$3:Q$22="")*(P$3:P$22="")*(O$3:O$22="")*(N$3:N$22="P")*(H$3:H$22=H3)*(K$3:K$22&gt;K3)*(I$3:I$22="L5")))+1,""))))</f>
        <v>1</v>
      </c>
      <c r="C3" s="35" t="s">
        <v>226</v>
      </c>
      <c r="D3" s="35" t="str">
        <f>IF(E3="","",VLOOKUP(E3,'Coaching Points'!A:B,2,0)&amp;"/"&amp;VLOOKUP(F3,'Coaching Points'!A:B,2,0))</f>
        <v>BC/BC</v>
      </c>
      <c r="E3" s="35" t="s">
        <v>44</v>
      </c>
      <c r="F3" s="35" t="s">
        <v>44</v>
      </c>
      <c r="G3" s="34">
        <v>2007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72</v>
      </c>
      <c r="J3" s="40"/>
      <c r="K3" s="4">
        <f>S3+IF(OR(I3="Junior",I3="Senior"),0.0002,IF(OR(I3="L7",I3="L6"),0.0001,0))+MAX(AB3,AD3,AG3)*0.0000001</f>
        <v>43.7502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>IF(A3&lt;5,IF(_xlfn.MAXIFS(A:A,H:H,H3)&gt;3,5-A3,_xlfn.MAXIFS(A:A,H:H,H3)+1-A3),"")</f>
        <v/>
      </c>
      <c r="S3" s="4">
        <f>MAX(U3,W3,Z3,AB3,AD3,AG3)</f>
        <v>43.75</v>
      </c>
      <c r="T3" s="4">
        <f>LARGE(CHOOSE({1,2,3,4,5,6},U3,W3,Z3,AB3,AD3,AG3),2)</f>
        <v>30.44</v>
      </c>
      <c r="U3" s="32">
        <v>13.33</v>
      </c>
      <c r="V3" s="37">
        <v>3.4</v>
      </c>
      <c r="W3" s="33">
        <v>43.75</v>
      </c>
      <c r="X3" s="37">
        <v>9.1</v>
      </c>
      <c r="Y3" s="4">
        <f>IF(I3="Senior",MAX(U3,W3),U3+W3)</f>
        <v>43.75</v>
      </c>
      <c r="Z3" s="33">
        <v>30.44</v>
      </c>
      <c r="AA3" s="37">
        <v>6.7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$22&lt;&gt;"")*(H$3:H$22=H4)*(K$3:K$22&gt;K4)*(J$3:J$22="P"))+1,IF(P4&lt;&gt;"",SUMPRODUCT((P$3:P$22&lt;&gt;"")*(Q$3:Q$22="")*(H$3:H$22=H4)*(K$3:K$22&gt;K4)*(J$3:J$22="P"))+SUMPRODUCT((Q$3:Q$22&lt;&gt;"")*(H$3:H$22=H4)*(J$3:J$22="P"))+1,IF(O4&lt;&gt;"",SUMPRODUCT((O$3:O$22&lt;&gt;"")*(H$3:H$22=H4)*(K$3:K$22&gt;K4)*(J$3:J$22="P"))+1,IF(N4="P",SUMPRODUCT((P$3:P$22&lt;&gt;"")*(Q$3:Q$22="")*(H$3:H$22=H4)*(J$3:J$22="P"))+SUMPRODUCT((Q$3:Q$22&lt;&gt;"")*(H$3:H$22=H4)*(J$3:J$22="P"))+SUMPRODUCT((O$3:O$22&lt;&gt;"")*(H$3:H$22=H4)*(J$3:J$22="P"))+SUMPRODUCT((Q$3:Q$22="")*(P$3:P$22="")*(O$3:O$22="")*(N$3:N$22="P")*(H$3:H$22=H4)*(K$3:K$22&gt;K4)*(J$3:J$22="P"))+IF(I4="L5",SUMPRODUCT((Q$3:Q$22="")*(P$3:P$22="")*(O$3:O$22="")*(N$3:N$22="P")*(H$3:H$22=H4)*(K$3:K$22&lt;K4)*(I$3:I$22&lt;&gt;I4)*(J$3:J$22="P")),-1*SUMPRODUCT((Q$3:Q$22="")*(P$3:P$22="")*(O$3:O$22="")*(N$3:N$22="P")*(H$3:H$22=H4)*(K$3:K$22&gt;K4)*(I$3:I$22="L5")*(J$3:J$22="P")))+1,"")))))</f>
        <v/>
      </c>
      <c r="B4" s="1" t="str" cm="1">
        <f t="array" ref="B4">IF(Q4&lt;&gt;"",SUMPRODUCT((Q$3:Q$22&lt;&gt;"")*(H$3:H$22=H4)*(K$3:K$22&gt;K4))+1,IF(P4&lt;&gt;"",SUMPRODUCT((P$3:P$22&lt;&gt;"")*(Q$3:Q$22="")*(H$3:H$22=H4)*(K$3:K$22&gt;K4))+SUMPRODUCT((Q$3:Q$22&lt;&gt;"")*(H$3:H$22=H4))+1,IF(O4&lt;&gt;"",SUMPRODUCT((O$3:O$22&lt;&gt;"")*(H$3:H$22=H4)*(K$3:K$22&gt;K4))+1,IF(N4="P",SUMPRODUCT((P$3:P$22&lt;&gt;"")*(Q$3:Q$22="")*(H$3:H$22=H4))+SUMPRODUCT((Q$3:Q$22&lt;&gt;"")*(H$3:H$22=H4))+SUMPRODUCT((O$3:O$22&lt;&gt;"")*(H$3:H$22=H4))+SUMPRODUCT((Q$3:Q$22="")*(P$3:P$22="")*(O$3:O$22="")*(N$3:N$22="P")*(H$3:H$22=H4)*(K$3:K$22&gt;K4))+IF(I4="L5",SUMPRODUCT((Q$3:Q$22="")*(P$3:P$22="")*(O$3:O$22="")*(N$3:N$22="P")*(H$3:H$22=H4)*(K$3:K$22&lt;K4)*(I$3:I$22&lt;&gt;I4)),-1*SUMPRODUCT((Q$3:Q$22="")*(P$3:P$22="")*(O$3:O$22="")*(N$3:N$22="P")*(H$3:H$22=H4)*(K$3:K$22&gt;K4)*(I$3:I$22="L5")))+1,""))))</f>
        <v/>
      </c>
      <c r="C4" s="35" t="s">
        <v>362</v>
      </c>
      <c r="D4" s="35" t="str">
        <f>IF(E4="","",VLOOKUP(E4,'Coaching Points'!A:B,2,0)&amp;"/"&amp;VLOOKUP(F4,'Coaching Points'!A:B,2,0))</f>
        <v>QC/QC</v>
      </c>
      <c r="E4" s="35" t="s">
        <v>3</v>
      </c>
      <c r="F4" s="35" t="s">
        <v>201</v>
      </c>
      <c r="G4" s="34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65</v>
      </c>
      <c r="J4" s="40"/>
      <c r="K4" s="4">
        <f>S4+IF(OR(I4="Junior",I4="Senior"),0.0002,IF(OR(I4="L7",I4="L6"),0.0001,0))+MAX(AB4,AD4,AG4)*0.0000001</f>
        <v>43.010100000000001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/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/>
      </c>
      <c r="R4" s="1" t="str">
        <f>IF(A4&lt;5,IF(_xlfn.MAXIFS(A:A,H:H,H4)&gt;3,5-A4,_xlfn.MAXIFS(A:A,H:H,H4)+1-A4),"")</f>
        <v/>
      </c>
      <c r="S4" s="4">
        <f>MAX(U4,W4,Z4,AB4,AD4,AG4)</f>
        <v>43.01</v>
      </c>
      <c r="T4" s="4">
        <f>LARGE(CHOOSE({1,2,3,4,5,6},U4,W4,Z4,AB4,AD4,AG4),2)</f>
        <v>42.83</v>
      </c>
      <c r="U4" s="32">
        <v>43.01</v>
      </c>
      <c r="V4" s="37">
        <v>7.8</v>
      </c>
      <c r="W4" s="33"/>
      <c r="X4" s="37"/>
      <c r="Y4" s="4">
        <f>IF(I4="Senior",MAX(U4,W4),U4+W4)</f>
        <v>43.01</v>
      </c>
      <c r="Z4" s="33">
        <v>42.83</v>
      </c>
      <c r="AA4" s="37">
        <v>7.8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$22&lt;&gt;"")*(H$3:H$22=H5)*(K$3:K$22&gt;K5)*(J$3:J$22="P"))+1,IF(P5&lt;&gt;"",SUMPRODUCT((P$3:P$22&lt;&gt;"")*(Q$3:Q$22="")*(H$3:H$22=H5)*(K$3:K$22&gt;K5)*(J$3:J$22="P"))+SUMPRODUCT((Q$3:Q$22&lt;&gt;"")*(H$3:H$22=H5)*(J$3:J$22="P"))+1,IF(O5&lt;&gt;"",SUMPRODUCT((O$3:O$22&lt;&gt;"")*(H$3:H$22=H5)*(K$3:K$22&gt;K5)*(J$3:J$22="P"))+1,IF(N5="P",SUMPRODUCT((P$3:P$22&lt;&gt;"")*(Q$3:Q$22="")*(H$3:H$22=H5)*(J$3:J$22="P"))+SUMPRODUCT((Q$3:Q$22&lt;&gt;"")*(H$3:H$22=H5)*(J$3:J$22="P"))+SUMPRODUCT((O$3:O$22&lt;&gt;"")*(H$3:H$22=H5)*(J$3:J$22="P"))+SUMPRODUCT((Q$3:Q$22="")*(P$3:P$22="")*(O$3:O$22="")*(N$3:N$22="P")*(H$3:H$22=H5)*(K$3:K$22&gt;K5)*(J$3:J$22="P"))+IF(I5="L5",SUMPRODUCT((Q$3:Q$22="")*(P$3:P$22="")*(O$3:O$22="")*(N$3:N$22="P")*(H$3:H$22=H5)*(K$3:K$22&lt;K5)*(I$3:I$22&lt;&gt;I5)*(J$3:J$22="P")),-1*SUMPRODUCT((Q$3:Q$22="")*(P$3:P$22="")*(O$3:O$22="")*(N$3:N$22="P")*(H$3:H$22=H5)*(K$3:K$22&gt;K5)*(I$3:I$22="L5")*(J$3:J$22="P")))+1,"")))))</f>
        <v/>
      </c>
      <c r="B5" s="1" t="str" cm="1">
        <f t="array" ref="B5">IF(Q5&lt;&gt;"",SUMPRODUCT((Q$3:Q$22&lt;&gt;"")*(H$3:H$22=H5)*(K$3:K$22&gt;K5))+1,IF(P5&lt;&gt;"",SUMPRODUCT((P$3:P$22&lt;&gt;"")*(Q$3:Q$22="")*(H$3:H$22=H5)*(K$3:K$22&gt;K5))+SUMPRODUCT((Q$3:Q$22&lt;&gt;"")*(H$3:H$22=H5))+1,IF(O5&lt;&gt;"",SUMPRODUCT((O$3:O$22&lt;&gt;"")*(H$3:H$22=H5)*(K$3:K$22&gt;K5))+1,IF(N5="P",SUMPRODUCT((P$3:P$22&lt;&gt;"")*(Q$3:Q$22="")*(H$3:H$22=H5))+SUMPRODUCT((Q$3:Q$22&lt;&gt;"")*(H$3:H$22=H5))+SUMPRODUCT((O$3:O$22&lt;&gt;"")*(H$3:H$22=H5))+SUMPRODUCT((Q$3:Q$22="")*(P$3:P$22="")*(O$3:O$22="")*(N$3:N$22="P")*(H$3:H$22=H5)*(K$3:K$22&gt;K5))+IF(I5="L5",SUMPRODUCT((Q$3:Q$22="")*(P$3:P$22="")*(O$3:O$22="")*(N$3:N$22="P")*(H$3:H$22=H5)*(K$3:K$22&lt;K5)*(I$3:I$22&lt;&gt;I5)),-1*SUMPRODUCT((Q$3:Q$22="")*(P$3:P$22="")*(O$3:O$22="")*(N$3:N$22="P")*(H$3:H$22=H5)*(K$3:K$22&gt;K5)*(I$3:I$22="L5")))+1,""))))</f>
        <v/>
      </c>
      <c r="C5" s="35" t="s">
        <v>246</v>
      </c>
      <c r="D5" s="35" t="str">
        <f>IF(E5="","",VLOOKUP(E5,'Coaching Points'!A:B,2,0)&amp;"/"&amp;VLOOKUP(F5,'Coaching Points'!A:B,2,0))</f>
        <v>NS/NS</v>
      </c>
      <c r="E5" s="35" t="s">
        <v>112</v>
      </c>
      <c r="F5" s="35" t="s">
        <v>112</v>
      </c>
      <c r="G5" s="34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65</v>
      </c>
      <c r="J5" s="40"/>
      <c r="K5" s="4">
        <f>S5+IF(OR(I5="Junior",I5="Senior"),0.0002,IF(OR(I5="L7",I5="L6"),0.0001,0))+MAX(AB5,AD5,AG5)*0.0000001</f>
        <v>42.9801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42.98</v>
      </c>
      <c r="T5" s="4">
        <f>LARGE(CHOOSE({1,2,3,4,5,6},U5,W5,Z5,AB5,AD5,AG5),2)</f>
        <v>41.07</v>
      </c>
      <c r="U5" s="32">
        <v>42.98</v>
      </c>
      <c r="V5" s="37">
        <v>7.8</v>
      </c>
      <c r="W5" s="33"/>
      <c r="X5" s="37"/>
      <c r="Y5" s="4">
        <f>IF(I5="Senior",MAX(U5,W5),U5+W5)</f>
        <v>42.98</v>
      </c>
      <c r="Z5" s="33">
        <v>41.07</v>
      </c>
      <c r="AA5" s="37">
        <v>7.8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$22&lt;&gt;"")*(H$3:H$22=H6)*(K$3:K$22&gt;K6)*(J$3:J$22="P"))+1,IF(P6&lt;&gt;"",SUMPRODUCT((P$3:P$22&lt;&gt;"")*(Q$3:Q$22="")*(H$3:H$22=H6)*(K$3:K$22&gt;K6)*(J$3:J$22="P"))+SUMPRODUCT((Q$3:Q$22&lt;&gt;"")*(H$3:H$22=H6)*(J$3:J$22="P"))+1,IF(O6&lt;&gt;"",SUMPRODUCT((O$3:O$22&lt;&gt;"")*(H$3:H$22=H6)*(K$3:K$22&gt;K6)*(J$3:J$22="P"))+1,IF(N6="P",SUMPRODUCT((P$3:P$22&lt;&gt;"")*(Q$3:Q$22="")*(H$3:H$22=H6)*(J$3:J$22="P"))+SUMPRODUCT((Q$3:Q$22&lt;&gt;"")*(H$3:H$22=H6)*(J$3:J$22="P"))+SUMPRODUCT((O$3:O$22&lt;&gt;"")*(H$3:H$22=H6)*(J$3:J$22="P"))+SUMPRODUCT((Q$3:Q$22="")*(P$3:P$22="")*(O$3:O$22="")*(N$3:N$22="P")*(H$3:H$22=H6)*(K$3:K$22&gt;K6)*(J$3:J$22="P"))+IF(I6="L5",SUMPRODUCT((Q$3:Q$22="")*(P$3:P$22="")*(O$3:O$22="")*(N$3:N$22="P")*(H$3:H$22=H6)*(K$3:K$22&lt;K6)*(I$3:I$22&lt;&gt;I6)*(J$3:J$22="P")),-1*SUMPRODUCT((Q$3:Q$22="")*(P$3:P$22="")*(O$3:O$22="")*(N$3:N$22="P")*(H$3:H$22=H6)*(K$3:K$22&gt;K6)*(I$3:I$22="L5")*(J$3:J$22="P")))+1,"")))))</f>
        <v/>
      </c>
      <c r="B6" s="1" t="str" cm="1">
        <f t="array" ref="B6">IF(Q6&lt;&gt;"",SUMPRODUCT((Q$3:Q$22&lt;&gt;"")*(H$3:H$22=H6)*(K$3:K$22&gt;K6))+1,IF(P6&lt;&gt;"",SUMPRODUCT((P$3:P$22&lt;&gt;"")*(Q$3:Q$22="")*(H$3:H$22=H6)*(K$3:K$22&gt;K6))+SUMPRODUCT((Q$3:Q$22&lt;&gt;"")*(H$3:H$22=H6))+1,IF(O6&lt;&gt;"",SUMPRODUCT((O$3:O$22&lt;&gt;"")*(H$3:H$22=H6)*(K$3:K$22&gt;K6))+1,IF(N6="P",SUMPRODUCT((P$3:P$22&lt;&gt;"")*(Q$3:Q$22="")*(H$3:H$22=H6))+SUMPRODUCT((Q$3:Q$22&lt;&gt;"")*(H$3:H$22=H6))+SUMPRODUCT((O$3:O$22&lt;&gt;"")*(H$3:H$22=H6))+SUMPRODUCT((Q$3:Q$22="")*(P$3:P$22="")*(O$3:O$22="")*(N$3:N$22="P")*(H$3:H$22=H6)*(K$3:K$22&gt;K6))+IF(I6="L5",SUMPRODUCT((Q$3:Q$22="")*(P$3:P$22="")*(O$3:O$22="")*(N$3:N$22="P")*(H$3:H$22=H6)*(K$3:K$22&lt;K6)*(I$3:I$22&lt;&gt;I6)),-1*SUMPRODUCT((Q$3:Q$22="")*(P$3:P$22="")*(O$3:O$22="")*(N$3:N$22="P")*(H$3:H$22=H6)*(K$3:K$22&gt;K6)*(I$3:I$22="L5")))+1,""))))</f>
        <v/>
      </c>
      <c r="C6" s="35" t="s">
        <v>361</v>
      </c>
      <c r="D6" s="35" t="str">
        <f>IF(E6="","",VLOOKUP(E6,'Coaching Points'!A:B,2,0)&amp;"/"&amp;VLOOKUP(F6,'Coaching Points'!A:B,2,0))</f>
        <v>BC/BC</v>
      </c>
      <c r="E6" s="35" t="s">
        <v>55</v>
      </c>
      <c r="F6" s="35" t="s">
        <v>55</v>
      </c>
      <c r="G6" s="34">
        <v>2007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65</v>
      </c>
      <c r="J6" s="40"/>
      <c r="K6" s="4">
        <f>S6+IF(OR(I6="Junior",I6="Senior"),0.0002,IF(OR(I6="L7",I6="L6"),0.0001,0))+MAX(AB6,AD6,AG6)*0.0000001</f>
        <v>42.9801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42.98</v>
      </c>
      <c r="T6" s="4">
        <f>LARGE(CHOOSE({1,2,3,4,5,6},U6,W6,Z6,AB6,AD6,AG6),2)</f>
        <v>42.23</v>
      </c>
      <c r="U6" s="32">
        <v>42.23</v>
      </c>
      <c r="V6" s="37">
        <v>8.9</v>
      </c>
      <c r="W6" s="33"/>
      <c r="X6" s="37"/>
      <c r="Y6" s="4">
        <f>IF(I6="Senior",MAX(U6,W6),U6+W6)</f>
        <v>42.23</v>
      </c>
      <c r="Z6" s="33">
        <v>42.98</v>
      </c>
      <c r="AA6" s="37">
        <v>7.8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$22&lt;&gt;"")*(H$3:H$22=H7)*(K$3:K$22&gt;K7)*(J$3:J$22="P"))+1,IF(P7&lt;&gt;"",SUMPRODUCT((P$3:P$22&lt;&gt;"")*(Q$3:Q$22="")*(H$3:H$22=H7)*(K$3:K$22&gt;K7)*(J$3:J$22="P"))+SUMPRODUCT((Q$3:Q$22&lt;&gt;"")*(H$3:H$22=H7)*(J$3:J$22="P"))+1,IF(O7&lt;&gt;"",SUMPRODUCT((O$3:O$22&lt;&gt;"")*(H$3:H$22=H7)*(K$3:K$22&gt;K7)*(J$3:J$22="P"))+1,IF(N7="P",SUMPRODUCT((P$3:P$22&lt;&gt;"")*(Q$3:Q$22="")*(H$3:H$22=H7)*(J$3:J$22="P"))+SUMPRODUCT((Q$3:Q$22&lt;&gt;"")*(H$3:H$22=H7)*(J$3:J$22="P"))+SUMPRODUCT((O$3:O$22&lt;&gt;"")*(H$3:H$22=H7)*(J$3:J$22="P"))+SUMPRODUCT((Q$3:Q$22="")*(P$3:P$22="")*(O$3:O$22="")*(N$3:N$22="P")*(H$3:H$22=H7)*(K$3:K$22&gt;K7)*(J$3:J$22="P"))+IF(I7="L5",SUMPRODUCT((Q$3:Q$22="")*(P$3:P$22="")*(O$3:O$22="")*(N$3:N$22="P")*(H$3:H$22=H7)*(K$3:K$22&lt;K7)*(I$3:I$22&lt;&gt;I7)*(J$3:J$22="P")),-1*SUMPRODUCT((Q$3:Q$22="")*(P$3:P$22="")*(O$3:O$22="")*(N$3:N$22="P")*(H$3:H$22=H7)*(K$3:K$22&gt;K7)*(I$3:I$22="L5")*(J$3:J$22="P")))+1,"")))))</f>
        <v/>
      </c>
      <c r="B7" s="1" t="str" cm="1">
        <f t="array" ref="B7">IF(Q7&lt;&gt;"",SUMPRODUCT((Q$3:Q$22&lt;&gt;"")*(H$3:H$22=H7)*(K$3:K$22&gt;K7))+1,IF(P7&lt;&gt;"",SUMPRODUCT((P$3:P$22&lt;&gt;"")*(Q$3:Q$22="")*(H$3:H$22=H7)*(K$3:K$22&gt;K7))+SUMPRODUCT((Q$3:Q$22&lt;&gt;"")*(H$3:H$22=H7))+1,IF(O7&lt;&gt;"",SUMPRODUCT((O$3:O$22&lt;&gt;"")*(H$3:H$22=H7)*(K$3:K$22&gt;K7))+1,IF(N7="P",SUMPRODUCT((P$3:P$22&lt;&gt;"")*(Q$3:Q$22="")*(H$3:H$22=H7))+SUMPRODUCT((Q$3:Q$22&lt;&gt;"")*(H$3:H$22=H7))+SUMPRODUCT((O$3:O$22&lt;&gt;"")*(H$3:H$22=H7))+SUMPRODUCT((Q$3:Q$22="")*(P$3:P$22="")*(O$3:O$22="")*(N$3:N$22="P")*(H$3:H$22=H7)*(K$3:K$22&gt;K7))+IF(I7="L5",SUMPRODUCT((Q$3:Q$22="")*(P$3:P$22="")*(O$3:O$22="")*(N$3:N$22="P")*(H$3:H$22=H7)*(K$3:K$22&lt;K7)*(I$3:I$22&lt;&gt;I7)),-1*SUMPRODUCT((Q$3:Q$22="")*(P$3:P$22="")*(O$3:O$22="")*(N$3:N$22="P")*(H$3:H$22=H7)*(K$3:K$22&gt;K7)*(I$3:I$22="L5")))+1,""))))</f>
        <v/>
      </c>
      <c r="C7" s="35" t="s">
        <v>358</v>
      </c>
      <c r="D7" s="35" t="str">
        <f>IF(E7="","",VLOOKUP(E7,'Coaching Points'!A:B,2,0)&amp;"/"&amp;VLOOKUP(F7,'Coaching Points'!A:B,2,0))</f>
        <v>ON/ON</v>
      </c>
      <c r="E7" s="35" t="s">
        <v>97</v>
      </c>
      <c r="F7" s="35" t="s">
        <v>97</v>
      </c>
      <c r="G7" s="34">
        <v>2007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64</v>
      </c>
      <c r="J7" s="40"/>
      <c r="K7" s="4">
        <f>S7+IF(OR(I7="Junior",I7="Senior"),0.0002,IF(OR(I7="L7",I7="L6"),0.0001,0))+MAX(AB7,AD7,AG7)*0.0000001</f>
        <v>42.51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42.51</v>
      </c>
      <c r="T7" s="4">
        <f>LARGE(CHOOSE({1,2,3,4,5,6},U7,W7,Z7,AB7,AD7,AG7),2)</f>
        <v>4.88</v>
      </c>
      <c r="U7" s="32">
        <v>42.51</v>
      </c>
      <c r="V7" s="37">
        <v>8</v>
      </c>
      <c r="W7" s="33"/>
      <c r="X7" s="37"/>
      <c r="Y7" s="4">
        <f>IF(I7="Senior",MAX(U7,W7),U7+W7)</f>
        <v>42.51</v>
      </c>
      <c r="Z7" s="33">
        <v>4.88</v>
      </c>
      <c r="AA7" s="37">
        <v>1.3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$22&lt;&gt;"")*(H$3:H$22=H8)*(K$3:K$22&gt;K8)*(J$3:J$22="P"))+1,IF(P8&lt;&gt;"",SUMPRODUCT((P$3:P$22&lt;&gt;"")*(Q$3:Q$22="")*(H$3:H$22=H8)*(K$3:K$22&gt;K8)*(J$3:J$22="P"))+SUMPRODUCT((Q$3:Q$22&lt;&gt;"")*(H$3:H$22=H8)*(J$3:J$22="P"))+1,IF(O8&lt;&gt;"",SUMPRODUCT((O$3:O$22&lt;&gt;"")*(H$3:H$22=H8)*(K$3:K$22&gt;K8)*(J$3:J$22="P"))+1,IF(N8="P",SUMPRODUCT((P$3:P$22&lt;&gt;"")*(Q$3:Q$22="")*(H$3:H$22=H8)*(J$3:J$22="P"))+SUMPRODUCT((Q$3:Q$22&lt;&gt;"")*(H$3:H$22=H8)*(J$3:J$22="P"))+SUMPRODUCT((O$3:O$22&lt;&gt;"")*(H$3:H$22=H8)*(J$3:J$22="P"))+SUMPRODUCT((Q$3:Q$22="")*(P$3:P$22="")*(O$3:O$22="")*(N$3:N$22="P")*(H$3:H$22=H8)*(K$3:K$22&gt;K8)*(J$3:J$22="P"))+IF(I8="L5",SUMPRODUCT((Q$3:Q$22="")*(P$3:P$22="")*(O$3:O$22="")*(N$3:N$22="P")*(H$3:H$22=H8)*(K$3:K$22&lt;K8)*(I$3:I$22&lt;&gt;I8)*(J$3:J$22="P")),-1*SUMPRODUCT((Q$3:Q$22="")*(P$3:P$22="")*(O$3:O$22="")*(N$3:N$22="P")*(H$3:H$22=H8)*(K$3:K$22&gt;K8)*(I$3:I$22="L5")*(J$3:J$22="P")))+1,"")))))</f>
        <v/>
      </c>
      <c r="B8" s="1" t="str" cm="1">
        <f t="array" ref="B8">IF(Q8&lt;&gt;"",SUMPRODUCT((Q$3:Q$22&lt;&gt;"")*(H$3:H$22=H8)*(K$3:K$22&gt;K8))+1,IF(P8&lt;&gt;"",SUMPRODUCT((P$3:P$22&lt;&gt;"")*(Q$3:Q$22="")*(H$3:H$22=H8)*(K$3:K$22&gt;K8))+SUMPRODUCT((Q$3:Q$22&lt;&gt;"")*(H$3:H$22=H8))+1,IF(O8&lt;&gt;"",SUMPRODUCT((O$3:O$22&lt;&gt;"")*(H$3:H$22=H8)*(K$3:K$22&gt;K8))+1,IF(N8="P",SUMPRODUCT((P$3:P$22&lt;&gt;"")*(Q$3:Q$22="")*(H$3:H$22=H8))+SUMPRODUCT((Q$3:Q$22&lt;&gt;"")*(H$3:H$22=H8))+SUMPRODUCT((O$3:O$22&lt;&gt;"")*(H$3:H$22=H8))+SUMPRODUCT((Q$3:Q$22="")*(P$3:P$22="")*(O$3:O$22="")*(N$3:N$22="P")*(H$3:H$22=H8)*(K$3:K$22&gt;K8))+IF(I8="L5",SUMPRODUCT((Q$3:Q$22="")*(P$3:P$22="")*(O$3:O$22="")*(N$3:N$22="P")*(H$3:H$22=H8)*(K$3:K$22&lt;K8)*(I$3:I$22&lt;&gt;I8)),-1*SUMPRODUCT((Q$3:Q$22="")*(P$3:P$22="")*(O$3:O$22="")*(N$3:N$22="P")*(H$3:H$22=H8)*(K$3:K$22&gt;K8)*(I$3:I$22="L5")))+1,""))))</f>
        <v/>
      </c>
      <c r="C8" s="35" t="s">
        <v>224</v>
      </c>
      <c r="D8" s="35" t="str">
        <f>IF(E8="","",VLOOKUP(E8,'Coaching Points'!A:B,2,0)&amp;"/"&amp;VLOOKUP(F8,'Coaching Points'!A:B,2,0))</f>
        <v>QC/QC</v>
      </c>
      <c r="E8" s="35" t="s">
        <v>78</v>
      </c>
      <c r="F8" s="35" t="s">
        <v>78</v>
      </c>
      <c r="G8" s="34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65</v>
      </c>
      <c r="J8" s="40"/>
      <c r="K8" s="4">
        <f>S8+IF(OR(I8="Junior",I8="Senior"),0.0002,IF(OR(I8="L7",I8="L6"),0.0001,0))+MAX(AB8,AD8,AG8)*0.0000001</f>
        <v>42.100100000000005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42.1</v>
      </c>
      <c r="T8" s="4">
        <f>LARGE(CHOOSE({1,2,3,4,5,6},U8,W8,Z8,AB8,AD8,AG8),2)</f>
        <v>33.67</v>
      </c>
      <c r="U8" s="32">
        <v>42.1</v>
      </c>
      <c r="V8" s="37">
        <v>7.8</v>
      </c>
      <c r="W8" s="33"/>
      <c r="X8" s="37"/>
      <c r="Y8" s="4">
        <f>IF(I8="Senior",MAX(U8,W8),U8+W8)</f>
        <v>42.1</v>
      </c>
      <c r="Z8" s="33">
        <v>33.67</v>
      </c>
      <c r="AA8" s="37">
        <v>6.8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$22&lt;&gt;"")*(H$3:H$22=H9)*(K$3:K$22&gt;K9)*(J$3:J$22="P"))+1,IF(P9&lt;&gt;"",SUMPRODUCT((P$3:P$22&lt;&gt;"")*(Q$3:Q$22="")*(H$3:H$22=H9)*(K$3:K$22&gt;K9)*(J$3:J$22="P"))+SUMPRODUCT((Q$3:Q$22&lt;&gt;"")*(H$3:H$22=H9)*(J$3:J$22="P"))+1,IF(O9&lt;&gt;"",SUMPRODUCT((O$3:O$22&lt;&gt;"")*(H$3:H$22=H9)*(K$3:K$22&gt;K9)*(J$3:J$22="P"))+1,IF(N9="P",SUMPRODUCT((P$3:P$22&lt;&gt;"")*(Q$3:Q$22="")*(H$3:H$22=H9)*(J$3:J$22="P"))+SUMPRODUCT((Q$3:Q$22&lt;&gt;"")*(H$3:H$22=H9)*(J$3:J$22="P"))+SUMPRODUCT((O$3:O$22&lt;&gt;"")*(H$3:H$22=H9)*(J$3:J$22="P"))+SUMPRODUCT((Q$3:Q$22="")*(P$3:P$22="")*(O$3:O$22="")*(N$3:N$22="P")*(H$3:H$22=H9)*(K$3:K$22&gt;K9)*(J$3:J$22="P"))+IF(I9="L5",SUMPRODUCT((Q$3:Q$22="")*(P$3:P$22="")*(O$3:O$22="")*(N$3:N$22="P")*(H$3:H$22=H9)*(K$3:K$22&lt;K9)*(I$3:I$22&lt;&gt;I9)*(J$3:J$22="P")),-1*SUMPRODUCT((Q$3:Q$22="")*(P$3:P$22="")*(O$3:O$22="")*(N$3:N$22="P")*(H$3:H$22=H9)*(K$3:K$22&gt;K9)*(I$3:I$22="L5")*(J$3:J$22="P")))+1,"")))))</f>
        <v/>
      </c>
      <c r="B9" s="1" t="str" cm="1">
        <f t="array" ref="B9">IF(Q9&lt;&gt;"",SUMPRODUCT((Q$3:Q$22&lt;&gt;"")*(H$3:H$22=H9)*(K$3:K$22&gt;K9))+1,IF(P9&lt;&gt;"",SUMPRODUCT((P$3:P$22&lt;&gt;"")*(Q$3:Q$22="")*(H$3:H$22=H9)*(K$3:K$22&gt;K9))+SUMPRODUCT((Q$3:Q$22&lt;&gt;"")*(H$3:H$22=H9))+1,IF(O9&lt;&gt;"",SUMPRODUCT((O$3:O$22&lt;&gt;"")*(H$3:H$22=H9)*(K$3:K$22&gt;K9))+1,IF(N9="P",SUMPRODUCT((P$3:P$22&lt;&gt;"")*(Q$3:Q$22="")*(H$3:H$22=H9))+SUMPRODUCT((Q$3:Q$22&lt;&gt;"")*(H$3:H$22=H9))+SUMPRODUCT((O$3:O$22&lt;&gt;"")*(H$3:H$22=H9))+SUMPRODUCT((Q$3:Q$22="")*(P$3:P$22="")*(O$3:O$22="")*(N$3:N$22="P")*(H$3:H$22=H9)*(K$3:K$22&gt;K9))+IF(I9="L5",SUMPRODUCT((Q$3:Q$22="")*(P$3:P$22="")*(O$3:O$22="")*(N$3:N$22="P")*(H$3:H$22=H9)*(K$3:K$22&lt;K9)*(I$3:I$22&lt;&gt;I9)),-1*SUMPRODUCT((Q$3:Q$22="")*(P$3:P$22="")*(O$3:O$22="")*(N$3:N$22="P")*(H$3:H$22=H9)*(K$3:K$22&gt;K9)*(I$3:I$22="L5")))+1,""))))</f>
        <v/>
      </c>
      <c r="C9" s="35" t="s">
        <v>356</v>
      </c>
      <c r="D9" s="35" t="str">
        <f>IF(E9="","",VLOOKUP(E9,'Coaching Points'!A:B,2,0)&amp;"/"&amp;VLOOKUP(F9,'Coaching Points'!A:B,2,0))</f>
        <v>NL/NL</v>
      </c>
      <c r="E9" s="35" t="s">
        <v>91</v>
      </c>
      <c r="F9" s="35" t="s">
        <v>91</v>
      </c>
      <c r="G9" s="34">
        <v>2006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64</v>
      </c>
      <c r="J9" s="40"/>
      <c r="K9" s="4">
        <f>S9+IF(OR(I9="Junior",I9="Senior"),0.0002,IF(OR(I9="L7",I9="L6"),0.0001,0))+MAX(AB9,AD9,AG9)*0.0000001</f>
        <v>42.05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42.05</v>
      </c>
      <c r="T9" s="4">
        <f>LARGE(CHOOSE({1,2,3,4,5,6},U9,W9,Z9,AB9,AD9,AG9),2)</f>
        <v>33.85</v>
      </c>
      <c r="U9" s="32">
        <v>33.85</v>
      </c>
      <c r="V9" s="37">
        <v>5.0999999999999996</v>
      </c>
      <c r="W9" s="33"/>
      <c r="X9" s="37"/>
      <c r="Y9" s="4">
        <f>IF(I9="Senior",MAX(U9,W9),U9+W9)</f>
        <v>33.85</v>
      </c>
      <c r="Z9" s="33">
        <v>42.05</v>
      </c>
      <c r="AA9" s="37">
        <v>6.7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$22&lt;&gt;"")*(H$3:H$22=H10)*(K$3:K$22&gt;K10)*(J$3:J$22="P"))+1,IF(P10&lt;&gt;"",SUMPRODUCT((P$3:P$22&lt;&gt;"")*(Q$3:Q$22="")*(H$3:H$22=H10)*(K$3:K$22&gt;K10)*(J$3:J$22="P"))+SUMPRODUCT((Q$3:Q$22&lt;&gt;"")*(H$3:H$22=H10)*(J$3:J$22="P"))+1,IF(O10&lt;&gt;"",SUMPRODUCT((O$3:O$22&lt;&gt;"")*(H$3:H$22=H10)*(K$3:K$22&gt;K10)*(J$3:J$22="P"))+1,IF(N10="P",SUMPRODUCT((P$3:P$22&lt;&gt;"")*(Q$3:Q$22="")*(H$3:H$22=H10)*(J$3:J$22="P"))+SUMPRODUCT((Q$3:Q$22&lt;&gt;"")*(H$3:H$22=H10)*(J$3:J$22="P"))+SUMPRODUCT((O$3:O$22&lt;&gt;"")*(H$3:H$22=H10)*(J$3:J$22="P"))+SUMPRODUCT((Q$3:Q$22="")*(P$3:P$22="")*(O$3:O$22="")*(N$3:N$22="P")*(H$3:H$22=H10)*(K$3:K$22&gt;K10)*(J$3:J$22="P"))+IF(I10="L5",SUMPRODUCT((Q$3:Q$22="")*(P$3:P$22="")*(O$3:O$22="")*(N$3:N$22="P")*(H$3:H$22=H10)*(K$3:K$22&lt;K10)*(I$3:I$22&lt;&gt;I10)*(J$3:J$22="P")),-1*SUMPRODUCT((Q$3:Q$22="")*(P$3:P$22="")*(O$3:O$22="")*(N$3:N$22="P")*(H$3:H$22=H10)*(K$3:K$22&gt;K10)*(I$3:I$22="L5")*(J$3:J$22="P")))+1,"")))))</f>
        <v/>
      </c>
      <c r="B10" s="1" t="str" cm="1">
        <f t="array" ref="B10">IF(Q10&lt;&gt;"",SUMPRODUCT((Q$3:Q$22&lt;&gt;"")*(H$3:H$22=H10)*(K$3:K$22&gt;K10))+1,IF(P10&lt;&gt;"",SUMPRODUCT((P$3:P$22&lt;&gt;"")*(Q$3:Q$22="")*(H$3:H$22=H10)*(K$3:K$22&gt;K10))+SUMPRODUCT((Q$3:Q$22&lt;&gt;"")*(H$3:H$22=H10))+1,IF(O10&lt;&gt;"",SUMPRODUCT((O$3:O$22&lt;&gt;"")*(H$3:H$22=H10)*(K$3:K$22&gt;K10))+1,IF(N10="P",SUMPRODUCT((P$3:P$22&lt;&gt;"")*(Q$3:Q$22="")*(H$3:H$22=H10))+SUMPRODUCT((Q$3:Q$22&lt;&gt;"")*(H$3:H$22=H10))+SUMPRODUCT((O$3:O$22&lt;&gt;"")*(H$3:H$22=H10))+SUMPRODUCT((Q$3:Q$22="")*(P$3:P$22="")*(O$3:O$22="")*(N$3:N$22="P")*(H$3:H$22=H10)*(K$3:K$22&gt;K10))+IF(I10="L5",SUMPRODUCT((Q$3:Q$22="")*(P$3:P$22="")*(O$3:O$22="")*(N$3:N$22="P")*(H$3:H$22=H10)*(K$3:K$22&lt;K10)*(I$3:I$22&lt;&gt;I10)),-1*SUMPRODUCT((Q$3:Q$22="")*(P$3:P$22="")*(O$3:O$22="")*(N$3:N$22="P")*(H$3:H$22=H10)*(K$3:K$22&gt;K10)*(I$3:I$22="L5")))+1,""))))</f>
        <v/>
      </c>
      <c r="C10" s="35" t="s">
        <v>357</v>
      </c>
      <c r="D10" s="35" t="str">
        <f>IF(E10="","",VLOOKUP(E10,'Coaching Points'!A:B,2,0)&amp;"/"&amp;VLOOKUP(F10,'Coaching Points'!A:B,2,0))</f>
        <v>BC/BC</v>
      </c>
      <c r="E10" s="35" t="s">
        <v>36</v>
      </c>
      <c r="F10" s="35" t="s">
        <v>59</v>
      </c>
      <c r="G10" s="34">
        <v>2003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64</v>
      </c>
      <c r="J10" s="40"/>
      <c r="K10" s="4">
        <f>S10+IF(OR(I10="Junior",I10="Senior"),0.0002,IF(OR(I10="L7",I10="L6"),0.0001,0))+MAX(AB10,AD10,AG10)*0.0000001</f>
        <v>41.47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41.47</v>
      </c>
      <c r="T10" s="4">
        <f>LARGE(CHOOSE({1,2,3,4,5,6},U10,W10,Z10,AB10,AD10,AG10),2)</f>
        <v>38.72</v>
      </c>
      <c r="U10" s="32">
        <v>38.72</v>
      </c>
      <c r="V10" s="37">
        <v>7.1</v>
      </c>
      <c r="W10" s="33"/>
      <c r="X10" s="37"/>
      <c r="Y10" s="4">
        <f>IF(I10="Senior",MAX(U10,W10),U10+W10)</f>
        <v>38.72</v>
      </c>
      <c r="Z10" s="33">
        <v>41.47</v>
      </c>
      <c r="AA10" s="37">
        <v>7.1</v>
      </c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$22&lt;&gt;"")*(H$3:H$22=H11)*(K$3:K$22&gt;K11)*(J$3:J$22="P"))+1,IF(P11&lt;&gt;"",SUMPRODUCT((P$3:P$22&lt;&gt;"")*(Q$3:Q$22="")*(H$3:H$22=H11)*(K$3:K$22&gt;K11)*(J$3:J$22="P"))+SUMPRODUCT((Q$3:Q$22&lt;&gt;"")*(H$3:H$22=H11)*(J$3:J$22="P"))+1,IF(O11&lt;&gt;"",SUMPRODUCT((O$3:O$22&lt;&gt;"")*(H$3:H$22=H11)*(K$3:K$22&gt;K11)*(J$3:J$22="P"))+1,IF(N11="P",SUMPRODUCT((P$3:P$22&lt;&gt;"")*(Q$3:Q$22="")*(H$3:H$22=H11)*(J$3:J$22="P"))+SUMPRODUCT((Q$3:Q$22&lt;&gt;"")*(H$3:H$22=H11)*(J$3:J$22="P"))+SUMPRODUCT((O$3:O$22&lt;&gt;"")*(H$3:H$22=H11)*(J$3:J$22="P"))+SUMPRODUCT((Q$3:Q$22="")*(P$3:P$22="")*(O$3:O$22="")*(N$3:N$22="P")*(H$3:H$22=H11)*(K$3:K$22&gt;K11)*(J$3:J$22="P"))+IF(I11="L5",SUMPRODUCT((Q$3:Q$22="")*(P$3:P$22="")*(O$3:O$22="")*(N$3:N$22="P")*(H$3:H$22=H11)*(K$3:K$22&lt;K11)*(I$3:I$22&lt;&gt;I11)*(J$3:J$22="P")),-1*SUMPRODUCT((Q$3:Q$22="")*(P$3:P$22="")*(O$3:O$22="")*(N$3:N$22="P")*(H$3:H$22=H11)*(K$3:K$22&gt;K11)*(I$3:I$22="L5")*(J$3:J$22="P")))+1,"")))))</f>
        <v/>
      </c>
      <c r="B11" s="1" t="str" cm="1">
        <f t="array" ref="B11">IF(Q11&lt;&gt;"",SUMPRODUCT((Q$3:Q$22&lt;&gt;"")*(H$3:H$22=H11)*(K$3:K$22&gt;K11))+1,IF(P11&lt;&gt;"",SUMPRODUCT((P$3:P$22&lt;&gt;"")*(Q$3:Q$22="")*(H$3:H$22=H11)*(K$3:K$22&gt;K11))+SUMPRODUCT((Q$3:Q$22&lt;&gt;"")*(H$3:H$22=H11))+1,IF(O11&lt;&gt;"",SUMPRODUCT((O$3:O$22&lt;&gt;"")*(H$3:H$22=H11)*(K$3:K$22&gt;K11))+1,IF(N11="P",SUMPRODUCT((P$3:P$22&lt;&gt;"")*(Q$3:Q$22="")*(H$3:H$22=H11))+SUMPRODUCT((Q$3:Q$22&lt;&gt;"")*(H$3:H$22=H11))+SUMPRODUCT((O$3:O$22&lt;&gt;"")*(H$3:H$22=H11))+SUMPRODUCT((Q$3:Q$22="")*(P$3:P$22="")*(O$3:O$22="")*(N$3:N$22="P")*(H$3:H$22=H11)*(K$3:K$22&gt;K11))+IF(I11="L5",SUMPRODUCT((Q$3:Q$22="")*(P$3:P$22="")*(O$3:O$22="")*(N$3:N$22="P")*(H$3:H$22=H11)*(K$3:K$22&lt;K11)*(I$3:I$22&lt;&gt;I11)),-1*SUMPRODUCT((Q$3:Q$22="")*(P$3:P$22="")*(O$3:O$22="")*(N$3:N$22="P")*(H$3:H$22=H11)*(K$3:K$22&gt;K11)*(I$3:I$22="L5")))+1,""))))</f>
        <v/>
      </c>
      <c r="C11" s="35" t="s">
        <v>364</v>
      </c>
      <c r="D11" s="35" t="str">
        <f>IF(E11="","",VLOOKUP(E11,'Coaching Points'!A:B,2,0)&amp;"/"&amp;VLOOKUP(F11,'Coaching Points'!A:B,2,0))</f>
        <v>AB/AB</v>
      </c>
      <c r="E11" s="35" t="s">
        <v>62</v>
      </c>
      <c r="F11" s="35" t="s">
        <v>62</v>
      </c>
      <c r="G11" s="34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65</v>
      </c>
      <c r="J11" s="40"/>
      <c r="K11" s="4">
        <f>S11+IF(OR(I11="Junior",I11="Senior"),0.0002,IF(OR(I11="L7",I11="L6"),0.0001,0))+MAX(AB11,AD11,AG11)*0.0000001</f>
        <v>35.650100000000002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35.65</v>
      </c>
      <c r="T11" s="4">
        <f>LARGE(CHOOSE({1,2,3,4,5,6},U11,W11,Z11,AB11,AD11,AG11),2)</f>
        <v>17.21</v>
      </c>
      <c r="U11" s="32">
        <v>35.65</v>
      </c>
      <c r="V11" s="37">
        <v>7.6</v>
      </c>
      <c r="W11" s="33"/>
      <c r="X11" s="37"/>
      <c r="Y11" s="4">
        <f>IF(I11="Senior",MAX(U11,W11),U11+W11)</f>
        <v>35.65</v>
      </c>
      <c r="Z11" s="33">
        <v>17.21</v>
      </c>
      <c r="AA11" s="37">
        <v>3.3</v>
      </c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$22&lt;&gt;"")*(H$3:H$22=H12)*(K$3:K$22&gt;K12)*(J$3:J$22="P"))+1,IF(P12&lt;&gt;"",SUMPRODUCT((P$3:P$22&lt;&gt;"")*(Q$3:Q$22="")*(H$3:H$22=H12)*(K$3:K$22&gt;K12)*(J$3:J$22="P"))+SUMPRODUCT((Q$3:Q$22&lt;&gt;"")*(H$3:H$22=H12)*(J$3:J$22="P"))+1,IF(O12&lt;&gt;"",SUMPRODUCT((O$3:O$22&lt;&gt;"")*(H$3:H$22=H12)*(K$3:K$22&gt;K12)*(J$3:J$22="P"))+1,IF(N12="P",SUMPRODUCT((P$3:P$22&lt;&gt;"")*(Q$3:Q$22="")*(H$3:H$22=H12)*(J$3:J$22="P"))+SUMPRODUCT((Q$3:Q$22&lt;&gt;"")*(H$3:H$22=H12)*(J$3:J$22="P"))+SUMPRODUCT((O$3:O$22&lt;&gt;"")*(H$3:H$22=H12)*(J$3:J$22="P"))+SUMPRODUCT((Q$3:Q$22="")*(P$3:P$22="")*(O$3:O$22="")*(N$3:N$22="P")*(H$3:H$22=H12)*(K$3:K$22&gt;K12)*(J$3:J$22="P"))+IF(I12="L5",SUMPRODUCT((Q$3:Q$22="")*(P$3:P$22="")*(O$3:O$22="")*(N$3:N$22="P")*(H$3:H$22=H12)*(K$3:K$22&lt;K12)*(I$3:I$22&lt;&gt;I12)*(J$3:J$22="P")),-1*SUMPRODUCT((Q$3:Q$22="")*(P$3:P$22="")*(O$3:O$22="")*(N$3:N$22="P")*(H$3:H$22=H12)*(K$3:K$22&gt;K12)*(I$3:I$22="L5")*(J$3:J$22="P")))+1,"")))))</f>
        <v/>
      </c>
      <c r="B12" s="1" t="str" cm="1">
        <f t="array" ref="B12">IF(Q12&lt;&gt;"",SUMPRODUCT((Q$3:Q$22&lt;&gt;"")*(H$3:H$22=H12)*(K$3:K$22&gt;K12))+1,IF(P12&lt;&gt;"",SUMPRODUCT((P$3:P$22&lt;&gt;"")*(Q$3:Q$22="")*(H$3:H$22=H12)*(K$3:K$22&gt;K12))+SUMPRODUCT((Q$3:Q$22&lt;&gt;"")*(H$3:H$22=H12))+1,IF(O12&lt;&gt;"",SUMPRODUCT((O$3:O$22&lt;&gt;"")*(H$3:H$22=H12)*(K$3:K$22&gt;K12))+1,IF(N12="P",SUMPRODUCT((P$3:P$22&lt;&gt;"")*(Q$3:Q$22="")*(H$3:H$22=H12))+SUMPRODUCT((Q$3:Q$22&lt;&gt;"")*(H$3:H$22=H12))+SUMPRODUCT((O$3:O$22&lt;&gt;"")*(H$3:H$22=H12))+SUMPRODUCT((Q$3:Q$22="")*(P$3:P$22="")*(O$3:O$22="")*(N$3:N$22="P")*(H$3:H$22=H12)*(K$3:K$22&gt;K12))+IF(I12="L5",SUMPRODUCT((Q$3:Q$22="")*(P$3:P$22="")*(O$3:O$22="")*(N$3:N$22="P")*(H$3:H$22=H12)*(K$3:K$22&lt;K12)*(I$3:I$22&lt;&gt;I12)),-1*SUMPRODUCT((Q$3:Q$22="")*(P$3:P$22="")*(O$3:O$22="")*(N$3:N$22="P")*(H$3:H$22=H12)*(K$3:K$22&gt;K12)*(I$3:I$22="L5")))+1,""))))</f>
        <v/>
      </c>
      <c r="C12" s="35" t="s">
        <v>366</v>
      </c>
      <c r="D12" s="35" t="str">
        <f>IF(E12="","",VLOOKUP(E12,'Coaching Points'!A:B,2,0)&amp;"/"&amp;VLOOKUP(F12,'Coaching Points'!A:B,2,0))</f>
        <v>SK/SK</v>
      </c>
      <c r="E12" s="35" t="s">
        <v>329</v>
      </c>
      <c r="F12" s="35" t="s">
        <v>329</v>
      </c>
      <c r="G12" s="34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65</v>
      </c>
      <c r="J12" s="40"/>
      <c r="K12" s="4">
        <f>S12+IF(OR(I12="Junior",I12="Senior"),0.0002,IF(OR(I12="L7",I12="L6"),0.0001,0))+MAX(AB12,AD12,AG12)*0.0000001</f>
        <v>20.380099999999999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20.38</v>
      </c>
      <c r="T12" s="4">
        <f>LARGE(CHOOSE({1,2,3,4,5,6},U12,W12,Z12,AB12,AD12,AG12),2)</f>
        <v>0</v>
      </c>
      <c r="U12" s="32">
        <v>20.38</v>
      </c>
      <c r="V12" s="37">
        <v>4.5999999999999996</v>
      </c>
      <c r="W12" s="33"/>
      <c r="X12" s="37"/>
      <c r="Y12" s="4">
        <f>IF(I12="Senior",MAX(U12,W12),U12+W12)</f>
        <v>20.38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$22&lt;&gt;"")*(H$3:H$22=H13)*(K$3:K$22&gt;K13)*(J$3:J$22="P"))+1,IF(P13&lt;&gt;"",SUMPRODUCT((P$3:P$22&lt;&gt;"")*(Q$3:Q$22="")*(H$3:H$22=H13)*(K$3:K$22&gt;K13)*(J$3:J$22="P"))+SUMPRODUCT((Q$3:Q$22&lt;&gt;"")*(H$3:H$22=H13)*(J$3:J$22="P"))+1,IF(O13&lt;&gt;"",SUMPRODUCT((O$3:O$22&lt;&gt;"")*(H$3:H$22=H13)*(K$3:K$22&gt;K13)*(J$3:J$22="P"))+1,IF(N13="P",SUMPRODUCT((P$3:P$22&lt;&gt;"")*(Q$3:Q$22="")*(H$3:H$22=H13)*(J$3:J$22="P"))+SUMPRODUCT((Q$3:Q$22&lt;&gt;"")*(H$3:H$22=H13)*(J$3:J$22="P"))+SUMPRODUCT((O$3:O$22&lt;&gt;"")*(H$3:H$22=H13)*(J$3:J$22="P"))+SUMPRODUCT((Q$3:Q$22="")*(P$3:P$22="")*(O$3:O$22="")*(N$3:N$22="P")*(H$3:H$22=H13)*(K$3:K$22&gt;K13)*(J$3:J$22="P"))+IF(I13="L5",SUMPRODUCT((Q$3:Q$22="")*(P$3:P$22="")*(O$3:O$22="")*(N$3:N$22="P")*(H$3:H$22=H13)*(K$3:K$22&lt;K13)*(I$3:I$22&lt;&gt;I13)*(J$3:J$22="P")),-1*SUMPRODUCT((Q$3:Q$22="")*(P$3:P$22="")*(O$3:O$22="")*(N$3:N$22="P")*(H$3:H$22=H13)*(K$3:K$22&gt;K13)*(I$3:I$22="L5")*(J$3:J$22="P")))+1,"")))))</f>
        <v/>
      </c>
      <c r="B13" s="1" t="str" cm="1">
        <f t="array" ref="B13">IF(Q13&lt;&gt;"",SUMPRODUCT((Q$3:Q$22&lt;&gt;"")*(H$3:H$22=H13)*(K$3:K$22&gt;K13))+1,IF(P13&lt;&gt;"",SUMPRODUCT((P$3:P$22&lt;&gt;"")*(Q$3:Q$22="")*(H$3:H$22=H13)*(K$3:K$22&gt;K13))+SUMPRODUCT((Q$3:Q$22&lt;&gt;"")*(H$3:H$22=H13))+1,IF(O13&lt;&gt;"",SUMPRODUCT((O$3:O$22&lt;&gt;"")*(H$3:H$22=H13)*(K$3:K$22&gt;K13))+1,IF(N13="P",SUMPRODUCT((P$3:P$22&lt;&gt;"")*(Q$3:Q$22="")*(H$3:H$22=H13))+SUMPRODUCT((Q$3:Q$22&lt;&gt;"")*(H$3:H$22=H13))+SUMPRODUCT((O$3:O$22&lt;&gt;"")*(H$3:H$22=H13))+SUMPRODUCT((Q$3:Q$22="")*(P$3:P$22="")*(O$3:O$22="")*(N$3:N$22="P")*(H$3:H$22=H13)*(K$3:K$22&gt;K13))+IF(I13="L5",SUMPRODUCT((Q$3:Q$22="")*(P$3:P$22="")*(O$3:O$22="")*(N$3:N$22="P")*(H$3:H$22=H13)*(K$3:K$22&lt;K13)*(I$3:I$22&lt;&gt;I13)),-1*SUMPRODUCT((Q$3:Q$22="")*(P$3:P$22="")*(O$3:O$22="")*(N$3:N$22="P")*(H$3:H$22=H13)*(K$3:K$22&gt;K13)*(I$3:I$22="L5")))+1,""))))</f>
        <v/>
      </c>
      <c r="C13" s="35" t="s">
        <v>367</v>
      </c>
      <c r="D13" s="35" t="str">
        <f>IF(E13="","",VLOOKUP(E13,'Coaching Points'!A:B,2,0)&amp;"/"&amp;VLOOKUP(F13,'Coaching Points'!A:B,2,0))</f>
        <v>QC/QC</v>
      </c>
      <c r="E13" s="35" t="s">
        <v>85</v>
      </c>
      <c r="F13" s="35" t="s">
        <v>85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65</v>
      </c>
      <c r="J13" s="40"/>
      <c r="K13" s="4">
        <f>S13+IF(OR(I13="Junior",I13="Senior"),0.0002,IF(OR(I13="L7",I13="L6"),0.0001,0))+MAX(AB13,AD13,AG13)*0.0000001</f>
        <v>18.190100000000001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18.190000000000001</v>
      </c>
      <c r="T13" s="4">
        <f>LARGE(CHOOSE({1,2,3,4,5,6},U13,W13,Z13,AB13,AD13,AG13),2)</f>
        <v>0</v>
      </c>
      <c r="U13" s="32">
        <v>18.190000000000001</v>
      </c>
      <c r="V13" s="37">
        <v>4.2</v>
      </c>
      <c r="W13" s="33"/>
      <c r="X13" s="37"/>
      <c r="Y13" s="4">
        <f>IF(I13="Senior",MAX(U13,W13),U13+W13)</f>
        <v>18.190000000000001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$22&lt;&gt;"")*(H$3:H$22=H14)*(K$3:K$22&gt;K14)*(J$3:J$22="P"))+1,IF(P14&lt;&gt;"",SUMPRODUCT((P$3:P$22&lt;&gt;"")*(Q$3:Q$22="")*(H$3:H$22=H14)*(K$3:K$22&gt;K14)*(J$3:J$22="P"))+SUMPRODUCT((Q$3:Q$22&lt;&gt;"")*(H$3:H$22=H14)*(J$3:J$22="P"))+1,IF(O14&lt;&gt;"",SUMPRODUCT((O$3:O$22&lt;&gt;"")*(H$3:H$22=H14)*(K$3:K$22&gt;K14)*(J$3:J$22="P"))+1,IF(N14="P",SUMPRODUCT((P$3:P$22&lt;&gt;"")*(Q$3:Q$22="")*(H$3:H$22=H14)*(J$3:J$22="P"))+SUMPRODUCT((Q$3:Q$22&lt;&gt;"")*(H$3:H$22=H14)*(J$3:J$22="P"))+SUMPRODUCT((O$3:O$22&lt;&gt;"")*(H$3:H$22=H14)*(J$3:J$22="P"))+SUMPRODUCT((Q$3:Q$22="")*(P$3:P$22="")*(O$3:O$22="")*(N$3:N$22="P")*(H$3:H$22=H14)*(K$3:K$22&gt;K14)*(J$3:J$22="P"))+IF(I14="L5",SUMPRODUCT((Q$3:Q$22="")*(P$3:P$22="")*(O$3:O$22="")*(N$3:N$22="P")*(H$3:H$22=H14)*(K$3:K$22&lt;K14)*(I$3:I$22&lt;&gt;I14)*(J$3:J$22="P")),-1*SUMPRODUCT((Q$3:Q$22="")*(P$3:P$22="")*(O$3:O$22="")*(N$3:N$22="P")*(H$3:H$22=H14)*(K$3:K$22&gt;K14)*(I$3:I$22="L5")*(J$3:J$22="P")))+1,"")))))</f>
        <v/>
      </c>
      <c r="B14" s="1" t="str" cm="1">
        <f t="array" ref="B14">IF(Q14&lt;&gt;"",SUMPRODUCT((Q$3:Q$22&lt;&gt;"")*(H$3:H$22=H14)*(K$3:K$22&gt;K14))+1,IF(P14&lt;&gt;"",SUMPRODUCT((P$3:P$22&lt;&gt;"")*(Q$3:Q$22="")*(H$3:H$22=H14)*(K$3:K$22&gt;K14))+SUMPRODUCT((Q$3:Q$22&lt;&gt;"")*(H$3:H$22=H14))+1,IF(O14&lt;&gt;"",SUMPRODUCT((O$3:O$22&lt;&gt;"")*(H$3:H$22=H14)*(K$3:K$22&gt;K14))+1,IF(N14="P",SUMPRODUCT((P$3:P$22&lt;&gt;"")*(Q$3:Q$22="")*(H$3:H$22=H14))+SUMPRODUCT((Q$3:Q$22&lt;&gt;"")*(H$3:H$22=H14))+SUMPRODUCT((O$3:O$22&lt;&gt;"")*(H$3:H$22=H14))+SUMPRODUCT((Q$3:Q$22="")*(P$3:P$22="")*(O$3:O$22="")*(N$3:N$22="P")*(H$3:H$22=H14)*(K$3:K$22&gt;K14))+IF(I14="L5",SUMPRODUCT((Q$3:Q$22="")*(P$3:P$22="")*(O$3:O$22="")*(N$3:N$22="P")*(H$3:H$22=H14)*(K$3:K$22&lt;K14)*(I$3:I$22&lt;&gt;I14)),-1*SUMPRODUCT((Q$3:Q$22="")*(P$3:P$22="")*(O$3:O$22="")*(N$3:N$22="P")*(H$3:H$22=H14)*(K$3:K$22&gt;K14)*(I$3:I$22="L5")))+1,""))))</f>
        <v/>
      </c>
      <c r="C14" s="35" t="s">
        <v>368</v>
      </c>
      <c r="D14" s="35" t="str">
        <f>IF(E14="","",VLOOKUP(E14,'Coaching Points'!A:B,2,0)&amp;"/"&amp;VLOOKUP(F14,'Coaching Points'!A:B,2,0))</f>
        <v>QC/ON</v>
      </c>
      <c r="E14" s="35" t="s">
        <v>201</v>
      </c>
      <c r="F14" s="35" t="s">
        <v>97</v>
      </c>
      <c r="G14" s="34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72</v>
      </c>
      <c r="J14" s="40"/>
      <c r="K14" s="4">
        <f>S14+IF(OR(I14="Junior",I14="Senior"),0.0002,IF(OR(I14="L7",I14="L6"),0.0001,0))+MAX(AB14,AD14,AG14)*0.0000001</f>
        <v>9.3002000000000002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9.3000000000000007</v>
      </c>
      <c r="T14" s="4">
        <f>LARGE(CHOOSE({1,2,3,4,5,6},U14,W14,Z14,AB14,AD14,AG14),2)</f>
        <v>4.9400000000000004</v>
      </c>
      <c r="U14" s="32">
        <v>4.9400000000000004</v>
      </c>
      <c r="V14" s="37">
        <v>1.5</v>
      </c>
      <c r="W14" s="33">
        <v>9.3000000000000007</v>
      </c>
      <c r="X14" s="37">
        <v>2.5</v>
      </c>
      <c r="Y14" s="4">
        <f>IF(I14="Senior",MAX(U14,W14),U14+W14)</f>
        <v>9.3000000000000007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$22&lt;&gt;"")*(H$3:H$22=H15)*(K$3:K$22&gt;K15)*(J$3:J$22="P"))+1,IF(P15&lt;&gt;"",SUMPRODUCT((P$3:P$22&lt;&gt;"")*(Q$3:Q$22="")*(H$3:H$22=H15)*(K$3:K$22&gt;K15)*(J$3:J$22="P"))+SUMPRODUCT((Q$3:Q$22&lt;&gt;"")*(H$3:H$22=H15)*(J$3:J$22="P"))+1,IF(O15&lt;&gt;"",SUMPRODUCT((O$3:O$22&lt;&gt;"")*(H$3:H$22=H15)*(K$3:K$22&gt;K15)*(J$3:J$22="P"))+1,IF(N15="P",SUMPRODUCT((P$3:P$22&lt;&gt;"")*(Q$3:Q$22="")*(H$3:H$22=H15)*(J$3:J$22="P"))+SUMPRODUCT((Q$3:Q$22&lt;&gt;"")*(H$3:H$22=H15)*(J$3:J$22="P"))+SUMPRODUCT((O$3:O$22&lt;&gt;"")*(H$3:H$22=H15)*(J$3:J$22="P"))+SUMPRODUCT((Q$3:Q$22="")*(P$3:P$22="")*(O$3:O$22="")*(N$3:N$22="P")*(H$3:H$22=H15)*(K$3:K$22&gt;K15)*(J$3:J$22="P"))+IF(I15="L5",SUMPRODUCT((Q$3:Q$22="")*(P$3:P$22="")*(O$3:O$22="")*(N$3:N$22="P")*(H$3:H$22=H15)*(K$3:K$22&lt;K15)*(I$3:I$22&lt;&gt;I15)*(J$3:J$22="P")),-1*SUMPRODUCT((Q$3:Q$22="")*(P$3:P$22="")*(O$3:O$22="")*(N$3:N$22="P")*(H$3:H$22=H15)*(K$3:K$22&gt;K15)*(I$3:I$22="L5")*(J$3:J$22="P")))+1,"")))))</f>
        <v/>
      </c>
      <c r="B15" s="1" t="str" cm="1">
        <f t="array" ref="B15">IF(Q15&lt;&gt;"",SUMPRODUCT((Q$3:Q$22&lt;&gt;"")*(H$3:H$22=H15)*(K$3:K$22&gt;K15))+1,IF(P15&lt;&gt;"",SUMPRODUCT((P$3:P$22&lt;&gt;"")*(Q$3:Q$22="")*(H$3:H$22=H15)*(K$3:K$22&gt;K15))+SUMPRODUCT((Q$3:Q$22&lt;&gt;"")*(H$3:H$22=H15))+1,IF(O15&lt;&gt;"",SUMPRODUCT((O$3:O$22&lt;&gt;"")*(H$3:H$22=H15)*(K$3:K$22&gt;K15))+1,IF(N15="P",SUMPRODUCT((P$3:P$22&lt;&gt;"")*(Q$3:Q$22="")*(H$3:H$22=H15))+SUMPRODUCT((Q$3:Q$22&lt;&gt;"")*(H$3:H$22=H15))+SUMPRODUCT((O$3:O$22&lt;&gt;"")*(H$3:H$22=H15))+SUMPRODUCT((Q$3:Q$22="")*(P$3:P$22="")*(O$3:O$22="")*(N$3:N$22="P")*(H$3:H$22=H15)*(K$3:K$22&gt;K15))+IF(I15="L5",SUMPRODUCT((Q$3:Q$22="")*(P$3:P$22="")*(O$3:O$22="")*(N$3:N$22="P")*(H$3:H$22=H15)*(K$3:K$22&lt;K15)*(I$3:I$22&lt;&gt;I15)),-1*SUMPRODUCT((Q$3:Q$22="")*(P$3:P$22="")*(O$3:O$22="")*(N$3:N$22="P")*(H$3:H$22=H15)*(K$3:K$22&gt;K15)*(I$3:I$22="L5")))+1,""))))</f>
        <v/>
      </c>
      <c r="C15" s="35" t="s">
        <v>359</v>
      </c>
      <c r="D15" s="35" t="str">
        <f>IF(E15="","",VLOOKUP(E15,'Coaching Points'!A:B,2,0)&amp;"/"&amp;VLOOKUP(F15,'Coaching Points'!A:B,2,0))</f>
        <v>BC/BC</v>
      </c>
      <c r="E15" s="35" t="s">
        <v>44</v>
      </c>
      <c r="F15" s="35" t="s">
        <v>44</v>
      </c>
      <c r="G15" s="34">
        <v>2004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64</v>
      </c>
      <c r="J15" s="40"/>
      <c r="K15" s="4">
        <f>S15+IF(OR(I15="Junior",I15="Senior"),0.0002,IF(OR(I15="L7",I15="L6"),0.0001,0))+MAX(AB15,AD15,AG15)*0.0000001</f>
        <v>9.26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9.26</v>
      </c>
      <c r="T15" s="4">
        <f>LARGE(CHOOSE({1,2,3,4,5,6},U15,W15,Z15,AB15,AD15,AG15),2)</f>
        <v>0</v>
      </c>
      <c r="U15" s="32">
        <v>9.26</v>
      </c>
      <c r="V15" s="37">
        <v>2.2000000000000002</v>
      </c>
      <c r="W15" s="33"/>
      <c r="X15" s="37"/>
      <c r="Y15" s="4">
        <f>IF(I15="Senior",MAX(U15,W15),U15+W15)</f>
        <v>9.26</v>
      </c>
      <c r="Z15" s="33"/>
      <c r="AA15" s="37"/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A16" s="1" t="str" cm="1">
        <f t="array" ref="A16">IF(J16="","",IF(Q16&lt;&gt;"",SUMPRODUCT((Q$3:Q$22&lt;&gt;"")*(H$3:H$22=H16)*(K$3:K$22&gt;K16)*(J$3:J$22="P"))+1,IF(P16&lt;&gt;"",SUMPRODUCT((P$3:P$22&lt;&gt;"")*(Q$3:Q$22="")*(H$3:H$22=H16)*(K$3:K$22&gt;K16)*(J$3:J$22="P"))+SUMPRODUCT((Q$3:Q$22&lt;&gt;"")*(H$3:H$22=H16)*(J$3:J$22="P"))+1,IF(O16&lt;&gt;"",SUMPRODUCT((O$3:O$22&lt;&gt;"")*(H$3:H$22=H16)*(K$3:K$22&gt;K16)*(J$3:J$22="P"))+1,IF(N16="P",SUMPRODUCT((P$3:P$22&lt;&gt;"")*(Q$3:Q$22="")*(H$3:H$22=H16)*(J$3:J$22="P"))+SUMPRODUCT((Q$3:Q$22&lt;&gt;"")*(H$3:H$22=H16)*(J$3:J$22="P"))+SUMPRODUCT((O$3:O$22&lt;&gt;"")*(H$3:H$22=H16)*(J$3:J$22="P"))+SUMPRODUCT((Q$3:Q$22="")*(P$3:P$22="")*(O$3:O$22="")*(N$3:N$22="P")*(H$3:H$22=H16)*(K$3:K$22&gt;K16)*(J$3:J$22="P"))+IF(I16="L5",SUMPRODUCT((Q$3:Q$22="")*(P$3:P$22="")*(O$3:O$22="")*(N$3:N$22="P")*(H$3:H$22=H16)*(K$3:K$22&lt;K16)*(I$3:I$22&lt;&gt;I16)*(J$3:J$22="P")),-1*SUMPRODUCT((Q$3:Q$22="")*(P$3:P$22="")*(O$3:O$22="")*(N$3:N$22="P")*(H$3:H$22=H16)*(K$3:K$22&gt;K16)*(I$3:I$22="L5")*(J$3:J$22="P")))+1,"")))))</f>
        <v/>
      </c>
      <c r="B16" s="1" t="str" cm="1">
        <f t="array" ref="B16">IF(Q16&lt;&gt;"",SUMPRODUCT((Q$3:Q$22&lt;&gt;"")*(H$3:H$22=H16)*(K$3:K$22&gt;K16))+1,IF(P16&lt;&gt;"",SUMPRODUCT((P$3:P$22&lt;&gt;"")*(Q$3:Q$22="")*(H$3:H$22=H16)*(K$3:K$22&gt;K16))+SUMPRODUCT((Q$3:Q$22&lt;&gt;"")*(H$3:H$22=H16))+1,IF(O16&lt;&gt;"",SUMPRODUCT((O$3:O$22&lt;&gt;"")*(H$3:H$22=H16)*(K$3:K$22&gt;K16))+1,IF(N16="P",SUMPRODUCT((P$3:P$22&lt;&gt;"")*(Q$3:Q$22="")*(H$3:H$22=H16))+SUMPRODUCT((Q$3:Q$22&lt;&gt;"")*(H$3:H$22=H16))+SUMPRODUCT((O$3:O$22&lt;&gt;"")*(H$3:H$22=H16))+SUMPRODUCT((Q$3:Q$22="")*(P$3:P$22="")*(O$3:O$22="")*(N$3:N$22="P")*(H$3:H$22=H16)*(K$3:K$22&gt;K16))+IF(I16="L5",SUMPRODUCT((Q$3:Q$22="")*(P$3:P$22="")*(O$3:O$22="")*(N$3:N$22="P")*(H$3:H$22=H16)*(K$3:K$22&lt;K16)*(I$3:I$22&lt;&gt;I16)),-1*SUMPRODUCT((Q$3:Q$22="")*(P$3:P$22="")*(O$3:O$22="")*(N$3:N$22="P")*(H$3:H$22=H16)*(K$3:K$22&gt;K16)*(I$3:I$22="L5")))+1,""))))</f>
        <v/>
      </c>
      <c r="C16" s="35" t="s">
        <v>360</v>
      </c>
      <c r="D16" s="35" t="str">
        <f>IF(E16="","",VLOOKUP(E16,'Coaching Points'!A:B,2,0)&amp;"/"&amp;VLOOKUP(F16,'Coaching Points'!A:B,2,0))</f>
        <v>ON/ON</v>
      </c>
      <c r="E16" s="35" t="s">
        <v>97</v>
      </c>
      <c r="F16" s="35" t="s">
        <v>97</v>
      </c>
      <c r="G16" s="34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6" t="s">
        <v>64</v>
      </c>
      <c r="J16" s="40"/>
      <c r="K16" s="4">
        <f>S16+IF(OR(I16="Junior",I16="Senior"),0.0002,IF(OR(I16="L7",I16="L6"),0.0001,0))+MAX(AB16,AD16,AG16)*0.0000001</f>
        <v>4.38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4.38</v>
      </c>
      <c r="T16" s="4">
        <f>LARGE(CHOOSE({1,2,3,4,5,6},U16,W16,Z16,AB16,AD16,AG16),2)</f>
        <v>0</v>
      </c>
      <c r="U16" s="32">
        <v>4.38</v>
      </c>
      <c r="V16" s="37">
        <v>1.3</v>
      </c>
      <c r="W16" s="33"/>
      <c r="X16" s="37"/>
      <c r="Y16" s="4">
        <f>IF(I16="Senior",MAX(U16,W16),U16+W16)</f>
        <v>4.38</v>
      </c>
      <c r="Z16" s="33"/>
      <c r="AA16" s="37"/>
      <c r="AB16" s="32"/>
      <c r="AC16" s="37"/>
      <c r="AD16" s="33"/>
      <c r="AE16" s="37"/>
      <c r="AF16" s="4">
        <f>IF(I16="Senior",MAX(AB16,AD16),AB16+AD16)</f>
        <v>0</v>
      </c>
      <c r="AG16" s="33"/>
      <c r="AH16" s="37"/>
    </row>
    <row r="17" spans="1:34" x14ac:dyDescent="0.2">
      <c r="A17" s="1" t="str" cm="1">
        <f t="array" ref="A17">IF(J17="","",IF(Q17&lt;&gt;"",SUMPRODUCT((Q$3:Q$22&lt;&gt;"")*(H$3:H$22=H17)*(K$3:K$22&gt;K17)*(J$3:J$22="P"))+1,IF(P17&lt;&gt;"",SUMPRODUCT((P$3:P$22&lt;&gt;"")*(Q$3:Q$22="")*(H$3:H$22=H17)*(K$3:K$22&gt;K17)*(J$3:J$22="P"))+SUMPRODUCT((Q$3:Q$22&lt;&gt;"")*(H$3:H$22=H17)*(J$3:J$22="P"))+1,IF(O17&lt;&gt;"",SUMPRODUCT((O$3:O$22&lt;&gt;"")*(H$3:H$22=H17)*(K$3:K$22&gt;K17)*(J$3:J$22="P"))+1,IF(N17="P",SUMPRODUCT((P$3:P$22&lt;&gt;"")*(Q$3:Q$22="")*(H$3:H$22=H17)*(J$3:J$22="P"))+SUMPRODUCT((Q$3:Q$22&lt;&gt;"")*(H$3:H$22=H17)*(J$3:J$22="P"))+SUMPRODUCT((O$3:O$22&lt;&gt;"")*(H$3:H$22=H17)*(J$3:J$22="P"))+SUMPRODUCT((Q$3:Q$22="")*(P$3:P$22="")*(O$3:O$22="")*(N$3:N$22="P")*(H$3:H$22=H17)*(K$3:K$22&gt;K17)*(J$3:J$22="P"))+IF(I17="L5",SUMPRODUCT((Q$3:Q$22="")*(P$3:P$22="")*(O$3:O$22="")*(N$3:N$22="P")*(H$3:H$22=H17)*(K$3:K$22&lt;K17)*(I$3:I$22&lt;&gt;I17)*(J$3:J$22="P")),-1*SUMPRODUCT((Q$3:Q$22="")*(P$3:P$22="")*(O$3:O$22="")*(N$3:N$22="P")*(H$3:H$22=H17)*(K$3:K$22&gt;K17)*(I$3:I$22="L5")*(J$3:J$22="P")))+1,"")))))</f>
        <v/>
      </c>
      <c r="B17" s="1" cm="1">
        <f t="array" ref="B17">IF(Q17&lt;&gt;"",SUMPRODUCT((Q$3:Q$22&lt;&gt;"")*(H$3:H$22=H17)*(K$3:K$22&gt;K17))+1,IF(P17&lt;&gt;"",SUMPRODUCT((P$3:P$22&lt;&gt;"")*(Q$3:Q$22="")*(H$3:H$22=H17)*(K$3:K$22&gt;K17))+SUMPRODUCT((Q$3:Q$22&lt;&gt;"")*(H$3:H$22=H17))+1,IF(O17&lt;&gt;"",SUMPRODUCT((O$3:O$22&lt;&gt;"")*(H$3:H$22=H17)*(K$3:K$22&gt;K17))+1,IF(N17="P",SUMPRODUCT((P$3:P$22&lt;&gt;"")*(Q$3:Q$22="")*(H$3:H$22=H17))+SUMPRODUCT((Q$3:Q$22&lt;&gt;"")*(H$3:H$22=H17))+SUMPRODUCT((O$3:O$22&lt;&gt;"")*(H$3:H$22=H17))+SUMPRODUCT((Q$3:Q$22="")*(P$3:P$22="")*(O$3:O$22="")*(N$3:N$22="P")*(H$3:H$22=H17)*(K$3:K$22&gt;K17))+IF(I17="L5",SUMPRODUCT((Q$3:Q$22="")*(P$3:P$22="")*(O$3:O$22="")*(N$3:N$22="P")*(H$3:H$22=H17)*(K$3:K$22&lt;K17)*(I$3:I$22&lt;&gt;I17)),-1*SUMPRODUCT((Q$3:Q$22="")*(P$3:P$22="")*(O$3:O$22="")*(N$3:N$22="P")*(H$3:H$22=H17)*(K$3:K$22&gt;K17)*(I$3:I$22="L5")))+1,""))))</f>
        <v>1</v>
      </c>
      <c r="C17" s="35" t="s">
        <v>225</v>
      </c>
      <c r="D17" s="35" t="str">
        <f>IF(E17="","",VLOOKUP(E17,'Coaching Points'!A:B,2,0)&amp;"/"&amp;VLOOKUP(F17,'Coaching Points'!A:B,2,0))</f>
        <v>AB/AB</v>
      </c>
      <c r="E17" s="35" t="s">
        <v>39</v>
      </c>
      <c r="F17" s="35" t="s">
        <v>39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64</v>
      </c>
      <c r="J17" s="40"/>
      <c r="K17" s="4">
        <f>S17+IF(OR(I17="Junior",I17="Senior"),0.0002,IF(OR(I17="L7",I17="L6"),0.0001,0))+MAX(AB17,AD17,AG17)*0.0000001</f>
        <v>43.8</v>
      </c>
      <c r="L17" s="3" t="str">
        <f>IF(H17="Not Age Eligible","",IF(MAX(U17,W17,Z17,AB17,AD17,AG17)&gt;=LOOKUP(H17,'Qualifying Scores'!$A$4:$A$7,'Qualifying Scores'!$E$4:$E$7),"P",""))</f>
        <v>P</v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>P</v>
      </c>
      <c r="R17" s="1" t="str">
        <f>IF(A17&lt;5,IF(_xlfn.MAXIFS(A:A,H:H,H17)&gt;3,5-A17,_xlfn.MAXIFS(A:A,H:H,H17)+1-A17),"")</f>
        <v/>
      </c>
      <c r="S17" s="4">
        <f>MAX(U17,W17,Z17,AB17,AD17,AG17)</f>
        <v>43.8</v>
      </c>
      <c r="T17" s="4">
        <f>LARGE(CHOOSE({1,2,3,4,5,6},U17,W17,Z17,AB17,AD17,AG17),2)</f>
        <v>41.74</v>
      </c>
      <c r="U17" s="32">
        <v>41.74</v>
      </c>
      <c r="V17" s="37">
        <v>8.4</v>
      </c>
      <c r="W17" s="33"/>
      <c r="X17" s="37"/>
      <c r="Y17" s="4">
        <f>IF(I17="Senior",MAX(U17,W17),U17+W17)</f>
        <v>41.74</v>
      </c>
      <c r="Z17" s="33">
        <v>43.8</v>
      </c>
      <c r="AA17" s="37">
        <v>8.4</v>
      </c>
      <c r="AB17" s="32"/>
      <c r="AC17" s="37"/>
      <c r="AD17" s="33"/>
      <c r="AE17" s="37"/>
      <c r="AF17" s="4">
        <f>IF(I17="Senior",MAX(AB17,AD17),AB17+AD17)</f>
        <v>0</v>
      </c>
      <c r="AG17" s="33"/>
      <c r="AH17" s="37"/>
    </row>
    <row r="18" spans="1:34" x14ac:dyDescent="0.2">
      <c r="A18" s="1" t="str" cm="1">
        <f t="array" ref="A18">IF(J18="","",IF(Q18&lt;&gt;"",SUMPRODUCT((Q$3:Q$22&lt;&gt;"")*(H$3:H$22=H18)*(K$3:K$22&gt;K18)*(J$3:J$22="P"))+1,IF(P18&lt;&gt;"",SUMPRODUCT((P$3:P$22&lt;&gt;"")*(Q$3:Q$22="")*(H$3:H$22=H18)*(K$3:K$22&gt;K18)*(J$3:J$22="P"))+SUMPRODUCT((Q$3:Q$22&lt;&gt;"")*(H$3:H$22=H18)*(J$3:J$22="P"))+1,IF(O18&lt;&gt;"",SUMPRODUCT((O$3:O$22&lt;&gt;"")*(H$3:H$22=H18)*(K$3:K$22&gt;K18)*(J$3:J$22="P"))+1,IF(N18="P",SUMPRODUCT((P$3:P$22&lt;&gt;"")*(Q$3:Q$22="")*(H$3:H$22=H18)*(J$3:J$22="P"))+SUMPRODUCT((Q$3:Q$22&lt;&gt;"")*(H$3:H$22=H18)*(J$3:J$22="P"))+SUMPRODUCT((O$3:O$22&lt;&gt;"")*(H$3:H$22=H18)*(J$3:J$22="P"))+SUMPRODUCT((Q$3:Q$22="")*(P$3:P$22="")*(O$3:O$22="")*(N$3:N$22="P")*(H$3:H$22=H18)*(K$3:K$22&gt;K18)*(J$3:J$22="P"))+IF(I18="L5",SUMPRODUCT((Q$3:Q$22="")*(P$3:P$22="")*(O$3:O$22="")*(N$3:N$22="P")*(H$3:H$22=H18)*(K$3:K$22&lt;K18)*(I$3:I$22&lt;&gt;I18)*(J$3:J$22="P")),-1*SUMPRODUCT((Q$3:Q$22="")*(P$3:P$22="")*(O$3:O$22="")*(N$3:N$22="P")*(H$3:H$22=H18)*(K$3:K$22&gt;K18)*(I$3:I$22="L5")*(J$3:J$22="P")))+1,"")))))</f>
        <v/>
      </c>
      <c r="B18" s="1" t="str" cm="1">
        <f t="array" ref="B18">IF(Q18&lt;&gt;"",SUMPRODUCT((Q$3:Q$22&lt;&gt;"")*(H$3:H$22=H18)*(K$3:K$22&gt;K18))+1,IF(P18&lt;&gt;"",SUMPRODUCT((P$3:P$22&lt;&gt;"")*(Q$3:Q$22="")*(H$3:H$22=H18)*(K$3:K$22&gt;K18))+SUMPRODUCT((Q$3:Q$22&lt;&gt;"")*(H$3:H$22=H18))+1,IF(O18&lt;&gt;"",SUMPRODUCT((O$3:O$22&lt;&gt;"")*(H$3:H$22=H18)*(K$3:K$22&gt;K18))+1,IF(N18="P",SUMPRODUCT((P$3:P$22&lt;&gt;"")*(Q$3:Q$22="")*(H$3:H$22=H18))+SUMPRODUCT((Q$3:Q$22&lt;&gt;"")*(H$3:H$22=H18))+SUMPRODUCT((O$3:O$22&lt;&gt;"")*(H$3:H$22=H18))+SUMPRODUCT((Q$3:Q$22="")*(P$3:P$22="")*(O$3:O$22="")*(N$3:N$22="P")*(H$3:H$22=H18)*(K$3:K$22&gt;K18))+IF(I18="L5",SUMPRODUCT((Q$3:Q$22="")*(P$3:P$22="")*(O$3:O$22="")*(N$3:N$22="P")*(H$3:H$22=H18)*(K$3:K$22&lt;K18)*(I$3:I$22&lt;&gt;I18)),-1*SUMPRODUCT((Q$3:Q$22="")*(P$3:P$22="")*(O$3:O$22="")*(N$3:N$22="P")*(H$3:H$22=H18)*(K$3:K$22&gt;K18)*(I$3:I$22="L5")))+1,""))))</f>
        <v/>
      </c>
      <c r="C18" s="35" t="s">
        <v>247</v>
      </c>
      <c r="D18" s="35" t="str">
        <f>IF(E18="","",VLOOKUP(E18,'Coaching Points'!A:B,2,0)&amp;"/"&amp;VLOOKUP(F18,'Coaching Points'!A:B,2,0))</f>
        <v>BC/BC</v>
      </c>
      <c r="E18" s="35" t="s">
        <v>40</v>
      </c>
      <c r="F18" s="35" t="s">
        <v>40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65</v>
      </c>
      <c r="J18" s="40"/>
      <c r="K18" s="4">
        <f>S18+IF(OR(I18="Junior",I18="Senior"),0.0002,IF(OR(I18="L7",I18="L6"),0.0001,0))+MAX(AB18,AD18,AG18)*0.0000001</f>
        <v>41.820100000000004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>P</v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41.82</v>
      </c>
      <c r="T18" s="4">
        <f>LARGE(CHOOSE({1,2,3,4,5,6},U18,W18,Z18,AB18,AD18,AG18),2)</f>
        <v>35.08</v>
      </c>
      <c r="U18" s="32">
        <v>41.82</v>
      </c>
      <c r="V18" s="37">
        <v>8.4</v>
      </c>
      <c r="W18" s="33"/>
      <c r="X18" s="37"/>
      <c r="Y18" s="4">
        <f>IF(I18="Senior",MAX(U18,W18),U18+W18)</f>
        <v>41.82</v>
      </c>
      <c r="Z18" s="33">
        <v>35.08</v>
      </c>
      <c r="AA18" s="37">
        <v>6.6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$22&lt;&gt;"")*(H$3:H$22=H19)*(K$3:K$22&gt;K19)*(J$3:J$22="P"))+1,IF(P19&lt;&gt;"",SUMPRODUCT((P$3:P$22&lt;&gt;"")*(Q$3:Q$22="")*(H$3:H$22=H19)*(K$3:K$22&gt;K19)*(J$3:J$22="P"))+SUMPRODUCT((Q$3:Q$22&lt;&gt;"")*(H$3:H$22=H19)*(J$3:J$22="P"))+1,IF(O19&lt;&gt;"",SUMPRODUCT((O$3:O$22&lt;&gt;"")*(H$3:H$22=H19)*(K$3:K$22&gt;K19)*(J$3:J$22="P"))+1,IF(N19="P",SUMPRODUCT((P$3:P$22&lt;&gt;"")*(Q$3:Q$22="")*(H$3:H$22=H19)*(J$3:J$22="P"))+SUMPRODUCT((Q$3:Q$22&lt;&gt;"")*(H$3:H$22=H19)*(J$3:J$22="P"))+SUMPRODUCT((O$3:O$22&lt;&gt;"")*(H$3:H$22=H19)*(J$3:J$22="P"))+SUMPRODUCT((Q$3:Q$22="")*(P$3:P$22="")*(O$3:O$22="")*(N$3:N$22="P")*(H$3:H$22=H19)*(K$3:K$22&gt;K19)*(J$3:J$22="P"))+IF(I19="L5",SUMPRODUCT((Q$3:Q$22="")*(P$3:P$22="")*(O$3:O$22="")*(N$3:N$22="P")*(H$3:H$22=H19)*(K$3:K$22&lt;K19)*(I$3:I$22&lt;&gt;I19)*(J$3:J$22="P")),-1*SUMPRODUCT((Q$3:Q$22="")*(P$3:P$22="")*(O$3:O$22="")*(N$3:N$22="P")*(H$3:H$22=H19)*(K$3:K$22&gt;K19)*(I$3:I$22="L5")*(J$3:J$22="P")))+1,"")))))</f>
        <v/>
      </c>
      <c r="B19" s="1" t="str" cm="1">
        <f t="array" ref="B19">IF(Q19&lt;&gt;"",SUMPRODUCT((Q$3:Q$22&lt;&gt;"")*(H$3:H$22=H19)*(K$3:K$22&gt;K19))+1,IF(P19&lt;&gt;"",SUMPRODUCT((P$3:P$22&lt;&gt;"")*(Q$3:Q$22="")*(H$3:H$22=H19)*(K$3:K$22&gt;K19))+SUMPRODUCT((Q$3:Q$22&lt;&gt;"")*(H$3:H$22=H19))+1,IF(O19&lt;&gt;"",SUMPRODUCT((O$3:O$22&lt;&gt;"")*(H$3:H$22=H19)*(K$3:K$22&gt;K19))+1,IF(N19="P",SUMPRODUCT((P$3:P$22&lt;&gt;"")*(Q$3:Q$22="")*(H$3:H$22=H19))+SUMPRODUCT((Q$3:Q$22&lt;&gt;"")*(H$3:H$22=H19))+SUMPRODUCT((O$3:O$22&lt;&gt;"")*(H$3:H$22=H19))+SUMPRODUCT((Q$3:Q$22="")*(P$3:P$22="")*(O$3:O$22="")*(N$3:N$22="P")*(H$3:H$22=H19)*(K$3:K$22&gt;K19))+IF(I19="L5",SUMPRODUCT((Q$3:Q$22="")*(P$3:P$22="")*(O$3:O$22="")*(N$3:N$22="P")*(H$3:H$22=H19)*(K$3:K$22&lt;K19)*(I$3:I$22&lt;&gt;I19)),-1*SUMPRODUCT((Q$3:Q$22="")*(P$3:P$22="")*(O$3:O$22="")*(N$3:N$22="P")*(H$3:H$22=H19)*(K$3:K$22&gt;K19)*(I$3:I$22="L5")))+1,""))))</f>
        <v/>
      </c>
      <c r="C19" s="35" t="s">
        <v>363</v>
      </c>
      <c r="D19" s="35" t="str">
        <f>IF(E19="","",VLOOKUP(E19,'Coaching Points'!A:B,2,0)&amp;"/"&amp;VLOOKUP(F19,'Coaching Points'!A:B,2,0))</f>
        <v>QC/QC</v>
      </c>
      <c r="E19" s="35" t="s">
        <v>57</v>
      </c>
      <c r="F19" s="35" t="s">
        <v>57</v>
      </c>
      <c r="G19" s="34">
        <v>2008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65</v>
      </c>
      <c r="J19" s="40"/>
      <c r="K19" s="4">
        <f>S19+IF(OR(I19="Junior",I19="Senior"),0.0002,IF(OR(I19="L7",I19="L6"),0.0001,0))+MAX(AB19,AD19,AG19)*0.0000001</f>
        <v>41.700100000000006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41.7</v>
      </c>
      <c r="T19" s="4">
        <f>LARGE(CHOOSE({1,2,3,4,5,6},U19,W19,Z19,AB19,AD19,AG19),2)</f>
        <v>37.74</v>
      </c>
      <c r="U19" s="32">
        <v>37.74</v>
      </c>
      <c r="V19" s="37">
        <v>7.8</v>
      </c>
      <c r="W19" s="33"/>
      <c r="X19" s="37"/>
      <c r="Y19" s="4">
        <f>IF(I19="Senior",MAX(U19,W19),U19+W19)</f>
        <v>37.74</v>
      </c>
      <c r="Z19" s="33">
        <v>41.7</v>
      </c>
      <c r="AA19" s="37">
        <v>7.8</v>
      </c>
      <c r="AB19" s="32"/>
      <c r="AC19" s="37"/>
      <c r="AD19" s="33"/>
      <c r="AE19" s="37"/>
      <c r="AF19" s="4">
        <f>IF(I19="Senior",MAX(AB19,AD19),AB19+AD19)</f>
        <v>0</v>
      </c>
      <c r="AG19" s="33"/>
      <c r="AH19" s="37"/>
    </row>
    <row r="20" spans="1:34" x14ac:dyDescent="0.2">
      <c r="A20" s="1" t="str" cm="1">
        <f t="array" ref="A20">IF(J20="","",IF(Q20&lt;&gt;"",SUMPRODUCT((Q$3:Q$22&lt;&gt;"")*(H$3:H$22=H20)*(K$3:K$22&gt;K20)*(J$3:J$22="P"))+1,IF(P20&lt;&gt;"",SUMPRODUCT((P$3:P$22&lt;&gt;"")*(Q$3:Q$22="")*(H$3:H$22=H20)*(K$3:K$22&gt;K20)*(J$3:J$22="P"))+SUMPRODUCT((Q$3:Q$22&lt;&gt;"")*(H$3:H$22=H20)*(J$3:J$22="P"))+1,IF(O20&lt;&gt;"",SUMPRODUCT((O$3:O$22&lt;&gt;"")*(H$3:H$22=H20)*(K$3:K$22&gt;K20)*(J$3:J$22="P"))+1,IF(N20="P",SUMPRODUCT((P$3:P$22&lt;&gt;"")*(Q$3:Q$22="")*(H$3:H$22=H20)*(J$3:J$22="P"))+SUMPRODUCT((Q$3:Q$22&lt;&gt;"")*(H$3:H$22=H20)*(J$3:J$22="P"))+SUMPRODUCT((O$3:O$22&lt;&gt;"")*(H$3:H$22=H20)*(J$3:J$22="P"))+SUMPRODUCT((Q$3:Q$22="")*(P$3:P$22="")*(O$3:O$22="")*(N$3:N$22="P")*(H$3:H$22=H20)*(K$3:K$22&gt;K20)*(J$3:J$22="P"))+IF(I20="L5",SUMPRODUCT((Q$3:Q$22="")*(P$3:P$22="")*(O$3:O$22="")*(N$3:N$22="P")*(H$3:H$22=H20)*(K$3:K$22&lt;K20)*(I$3:I$22&lt;&gt;I20)*(J$3:J$22="P")),-1*SUMPRODUCT((Q$3:Q$22="")*(P$3:P$22="")*(O$3:O$22="")*(N$3:N$22="P")*(H$3:H$22=H20)*(K$3:K$22&gt;K20)*(I$3:I$22="L5")*(J$3:J$22="P")))+1,"")))))</f>
        <v/>
      </c>
      <c r="B20" s="1" t="str" cm="1">
        <f t="array" ref="B20">IF(Q20&lt;&gt;"",SUMPRODUCT((Q$3:Q$22&lt;&gt;"")*(H$3:H$22=H20)*(K$3:K$22&gt;K20))+1,IF(P20&lt;&gt;"",SUMPRODUCT((P$3:P$22&lt;&gt;"")*(Q$3:Q$22="")*(H$3:H$22=H20)*(K$3:K$22&gt;K20))+SUMPRODUCT((Q$3:Q$22&lt;&gt;"")*(H$3:H$22=H20))+1,IF(O20&lt;&gt;"",SUMPRODUCT((O$3:O$22&lt;&gt;"")*(H$3:H$22=H20)*(K$3:K$22&gt;K20))+1,IF(N20="P",SUMPRODUCT((P$3:P$22&lt;&gt;"")*(Q$3:Q$22="")*(H$3:H$22=H20))+SUMPRODUCT((Q$3:Q$22&lt;&gt;"")*(H$3:H$22=H20))+SUMPRODUCT((O$3:O$22&lt;&gt;"")*(H$3:H$22=H20))+SUMPRODUCT((Q$3:Q$22="")*(P$3:P$22="")*(O$3:O$22="")*(N$3:N$22="P")*(H$3:H$22=H20)*(K$3:K$22&gt;K20))+IF(I20="L5",SUMPRODUCT((Q$3:Q$22="")*(P$3:P$22="")*(O$3:O$22="")*(N$3:N$22="P")*(H$3:H$22=H20)*(K$3:K$22&lt;K20)*(I$3:I$22&lt;&gt;I20)),-1*SUMPRODUCT((Q$3:Q$22="")*(P$3:P$22="")*(O$3:O$22="")*(N$3:N$22="P")*(H$3:H$22=H20)*(K$3:K$22&gt;K20)*(I$3:I$22="L5")))+1,""))))</f>
        <v/>
      </c>
      <c r="C20" s="35" t="s">
        <v>365</v>
      </c>
      <c r="D20" s="35" t="str">
        <f>IF(E20="","",VLOOKUP(E20,'Coaching Points'!A:B,2,0)&amp;"/"&amp;VLOOKUP(F20,'Coaching Points'!A:B,2,0))</f>
        <v>AB/AB</v>
      </c>
      <c r="E20" s="35" t="s">
        <v>28</v>
      </c>
      <c r="F20" s="35" t="s">
        <v>28</v>
      </c>
      <c r="G20" s="34">
        <v>2009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15-16</v>
      </c>
      <c r="I20" s="36" t="s">
        <v>65</v>
      </c>
      <c r="J20" s="40"/>
      <c r="K20" s="4">
        <f>S20+IF(OR(I20="Junior",I20="Senior"),0.0002,IF(OR(I20="L7",I20="L6"),0.0001,0))+MAX(AB20,AD20,AG20)*0.0000001</f>
        <v>38.970100000000002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38.97</v>
      </c>
      <c r="T20" s="4">
        <f>LARGE(CHOOSE({1,2,3,4,5,6},U20,W20,Z20,AB20,AD20,AG20),2)</f>
        <v>0</v>
      </c>
      <c r="U20" s="32">
        <v>38.97</v>
      </c>
      <c r="V20" s="37">
        <v>7.2</v>
      </c>
      <c r="W20" s="33"/>
      <c r="X20" s="37"/>
      <c r="Y20" s="4">
        <f>IF(I20="Senior",MAX(U20,W20),U20+W20)</f>
        <v>38.97</v>
      </c>
      <c r="Z20" s="33"/>
      <c r="AA20" s="37"/>
      <c r="AB20" s="32"/>
      <c r="AC20" s="37"/>
      <c r="AD20" s="33"/>
      <c r="AE20" s="37"/>
      <c r="AF20" s="4">
        <f>IF(I20="Senior",MAX(AB20,AD20),AB20+AD20)</f>
        <v>0</v>
      </c>
      <c r="AG20" s="33"/>
      <c r="AH20" s="37"/>
    </row>
    <row r="21" spans="1:34" x14ac:dyDescent="0.2">
      <c r="A21" s="1" t="str" cm="1">
        <f t="array" ref="A21">IF(J21="","",IF(Q21&lt;&gt;"",SUMPRODUCT((Q$3:Q$22&lt;&gt;"")*(H$3:H$22=H21)*(K$3:K$22&gt;K21)*(J$3:J$22="P"))+1,IF(P21&lt;&gt;"",SUMPRODUCT((P$3:P$22&lt;&gt;"")*(Q$3:Q$22="")*(H$3:H$22=H21)*(K$3:K$22&gt;K21)*(J$3:J$22="P"))+SUMPRODUCT((Q$3:Q$22&lt;&gt;"")*(H$3:H$22=H21)*(J$3:J$22="P"))+1,IF(O21&lt;&gt;"",SUMPRODUCT((O$3:O$22&lt;&gt;"")*(H$3:H$22=H21)*(K$3:K$22&gt;K21)*(J$3:J$22="P"))+1,IF(N21="P",SUMPRODUCT((P$3:P$22&lt;&gt;"")*(Q$3:Q$22="")*(H$3:H$22=H21)*(J$3:J$22="P"))+SUMPRODUCT((Q$3:Q$22&lt;&gt;"")*(H$3:H$22=H21)*(J$3:J$22="P"))+SUMPRODUCT((O$3:O$22&lt;&gt;"")*(H$3:H$22=H21)*(J$3:J$22="P"))+SUMPRODUCT((Q$3:Q$22="")*(P$3:P$22="")*(O$3:O$22="")*(N$3:N$22="P")*(H$3:H$22=H21)*(K$3:K$22&gt;K21)*(J$3:J$22="P"))+IF(I21="L5",SUMPRODUCT((Q$3:Q$22="")*(P$3:P$22="")*(O$3:O$22="")*(N$3:N$22="P")*(H$3:H$22=H21)*(K$3:K$22&lt;K21)*(I$3:I$22&lt;&gt;I21)*(J$3:J$22="P")),-1*SUMPRODUCT((Q$3:Q$22="")*(P$3:P$22="")*(O$3:O$22="")*(N$3:N$22="P")*(H$3:H$22=H21)*(K$3:K$22&gt;K21)*(I$3:I$22="L5")*(J$3:J$22="P")))+1,"")))))</f>
        <v/>
      </c>
      <c r="B21" s="1" t="str" cm="1">
        <f t="array" ref="B21">IF(Q21&lt;&gt;"",SUMPRODUCT((Q$3:Q$22&lt;&gt;"")*(H$3:H$22=H21)*(K$3:K$22&gt;K21))+1,IF(P21&lt;&gt;"",SUMPRODUCT((P$3:P$22&lt;&gt;"")*(Q$3:Q$22="")*(H$3:H$22=H21)*(K$3:K$22&gt;K21))+SUMPRODUCT((Q$3:Q$22&lt;&gt;"")*(H$3:H$22=H21))+1,IF(O21&lt;&gt;"",SUMPRODUCT((O$3:O$22&lt;&gt;"")*(H$3:H$22=H21)*(K$3:K$22&gt;K21))+1,IF(N21="P",SUMPRODUCT((P$3:P$22&lt;&gt;"")*(Q$3:Q$22="")*(H$3:H$22=H21))+SUMPRODUCT((Q$3:Q$22&lt;&gt;"")*(H$3:H$22=H21))+SUMPRODUCT((O$3:O$22&lt;&gt;"")*(H$3:H$22=H21))+SUMPRODUCT((Q$3:Q$22="")*(P$3:P$22="")*(O$3:O$22="")*(N$3:N$22="P")*(H$3:H$22=H21)*(K$3:K$22&gt;K21))+IF(I21="L5",SUMPRODUCT((Q$3:Q$22="")*(P$3:P$22="")*(O$3:O$22="")*(N$3:N$22="P")*(H$3:H$22=H21)*(K$3:K$22&lt;K21)*(I$3:I$22&lt;&gt;I21)),-1*SUMPRODUCT((Q$3:Q$22="")*(P$3:P$22="")*(O$3:O$22="")*(N$3:N$22="P")*(H$3:H$22=H21)*(K$3:K$22&gt;K21)*(I$3:I$22="L5")))+1,""))))</f>
        <v/>
      </c>
      <c r="C21" s="35" t="s">
        <v>355</v>
      </c>
      <c r="D21" s="35" t="str">
        <f>IF(E21="","",VLOOKUP(E21,'Coaching Points'!A:B,2,0)&amp;"/"&amp;VLOOKUP(F21,'Coaching Points'!A:B,2,0))</f>
        <v>AB/AB</v>
      </c>
      <c r="E21" s="35" t="s">
        <v>39</v>
      </c>
      <c r="F21" s="35" t="s">
        <v>39</v>
      </c>
      <c r="G21" s="34">
        <v>2010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64</v>
      </c>
      <c r="J21" s="40"/>
      <c r="K21" s="4">
        <f>S21+IF(OR(I21="Junior",I21="Senior"),0.0002,IF(OR(I21="L7",I21="L6"),0.0001,0))+MAX(AB21,AD21,AG21)*0.0000001</f>
        <v>42.63</v>
      </c>
      <c r="L21" s="3" t="str">
        <f>IF(H21="Not Age Eligible","",IF(MAX(U21,W21,Z21,AB21,AD21,AG21)&gt;=LOOKUP(H21,'Qualifying Scores'!$A$4:$A$7,'Qualifying Scores'!$E$4:$E$7),"P",""))</f>
        <v>P</v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42.63</v>
      </c>
      <c r="T21" s="4">
        <f>LARGE(CHOOSE({1,2,3,4,5,6},U21,W21,Z21,AB21,AD21,AG21),2)</f>
        <v>41.8</v>
      </c>
      <c r="U21" s="32">
        <v>41.8</v>
      </c>
      <c r="V21" s="37">
        <v>7</v>
      </c>
      <c r="W21" s="33"/>
      <c r="X21" s="37"/>
      <c r="Y21" s="4">
        <f>IF(I21="Senior",MAX(U21,W21),U21+W21)</f>
        <v>41.8</v>
      </c>
      <c r="Z21" s="33">
        <v>42.63</v>
      </c>
      <c r="AA21" s="37">
        <v>7</v>
      </c>
      <c r="AB21" s="32"/>
      <c r="AC21" s="37"/>
      <c r="AD21" s="33"/>
      <c r="AE21" s="37"/>
      <c r="AF21" s="4">
        <f>IF(I21="Senior",MAX(AB21,AD21),AB21+AD21)</f>
        <v>0</v>
      </c>
      <c r="AG21" s="33"/>
      <c r="AH21" s="37"/>
    </row>
    <row r="22" spans="1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1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1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8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$58&lt;&gt;"")*(G$3:G$58=G3)*(J$3:J$58&gt;J3)*(I$3:I$58="P"))+1,IF(O3&lt;&gt;"",SUMPRODUCT((O$3:O$58&lt;&gt;"")*(P$3:P$58="")*(G$3:G$58=G3)*(J$3:J$58&gt;J3)*(I$3:I$58="P"))+SUMPRODUCT((P$3:P$58&lt;&gt;"")*(G$3:G$58=G3)*(I$3:I$58="P"))+1,IF(N3&lt;&gt;"",SUMPRODUCT((N$3:N$58&lt;&gt;"")*(G$3:G$58=G3)*(J$3:J$58&gt;J3)*(I$3:I$58="P"))+1,IF(M3="P",SUMPRODUCT((O$3:O$58&lt;&gt;"")*(P$3:P$58="")*(G$3:G$58=G3)*(I$3:I$58="P"))+SUMPRODUCT((P$3:P$58&lt;&gt;"")*(G$3:G$58=G3)*(I$3:I$58="P"))+SUMPRODUCT((N$3:N$58&lt;&gt;"")*(G$3:G$58=G3)*(I$3:I$58="P"))+SUMPRODUCT((P$3:P$58="")*(O$3:O$58="")*(N$3:N$58="")*(M$3:M$58="P")*(G$3:G$58=G3)*(J$3:J$58&gt;J3)*(I$3:I$58="P"))+IF(H3="L5",SUMPRODUCT((P$3:P$58="")*(O$3:O$58="")*(N$3:N$58="")*(M$3:M$58="P")*(G$3:G$58=G3)*(J$3:J$58&lt;J3)*(H$3:H$58&lt;&gt;H3)*(I$3:I$58="P")),-1*SUMPRODUCT((P$3:P$58="")*(O$3:O$58="")*(N$3:N$58="")*(M$3:M$58="P")*(G$3:G$58=G3)*(J$3:J$58&gt;J3)*(H$3:H$58="L5")*(I$3:I$58="P")))+1,"")))))</f>
        <v/>
      </c>
      <c r="B3" s="1" cm="1">
        <f t="array" ref="B3">IF(P3&lt;&gt;"",SUMPRODUCT((P$3:P$58&lt;&gt;"")*(G$3:G$58=G3)*(J$3:J$58&gt;J3))+1,IF(O3&lt;&gt;"",SUMPRODUCT((O$3:O$58&lt;&gt;"")*(P$3:P$58="")*(G$3:G$58=G3)*(J$3:J$58&gt;J3))+SUMPRODUCT((P$3:P$58&lt;&gt;"")*(G$3:G$58=G3))+1,IF(N3&lt;&gt;"",SUMPRODUCT((N$3:N$58&lt;&gt;"")*(G$3:G$58=G3)*(J$3:J$58&gt;J3))+1,IF(M3="P",SUMPRODUCT((O$3:O$58&lt;&gt;"")*(P$3:P$58="")*(G$3:G$58=G3))+SUMPRODUCT((P$3:P$58&lt;&gt;"")*(G$3:G$58=G3))+SUMPRODUCT((N$3:N$58&lt;&gt;"")*(G$3:G$58=G3))+SUMPRODUCT((P$3:P$58="")*(O$3:O$58="")*(N$3:N$58="")*(M$3:M$58="P")*(G$3:G$58=G3)*(J$3:J$58&gt;J3))+IF(H3="L5",SUMPRODUCT((P$3:P$58="")*(O$3:O$58="")*(N$3:N$58="")*(M$3:M$58="P")*(G$3:G$58=G3)*(J$3:J$58&lt;J3)*(H$3:H$58&lt;&gt;H3)),-1*SUMPRODUCT((P$3:P$58="")*(O$3:O$58="")*(N$3:N$58="")*(M$3:M$58="P")*(G$3:G$58=G3)*(J$3:J$58&gt;J3)*(H$3:H$58="L5")))+1,""))))</f>
        <v>1</v>
      </c>
      <c r="C3" s="35" t="s">
        <v>175</v>
      </c>
      <c r="D3" s="35" t="str">
        <f>IF(E3="","",VLOOKUP(E3,'Coaching Points'!A:B,2,0))</f>
        <v>BC</v>
      </c>
      <c r="E3" s="35" t="s">
        <v>59</v>
      </c>
      <c r="F3" s="34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57.900199999999998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MAX(T3-V3,W3-Y3,Z3-AB3,AC3-AE3)</f>
        <v>57.9</v>
      </c>
      <c r="S3" s="4">
        <f>IF(R3=T3-V3,MAX(W3-Y3,Z3-AB3,AC3-AE3),IF(R3=W3-Y3,MAX(T3-V3,Z3-AB3,AC3-AE3),IF(R3=Z3-AB3,MAX(T3-V3,W3-Y3,AC3-AE3),IF(R3=AC3-AE3,MAX(T3-V3,W3-Y3,Z3-AB3),0))))</f>
        <v>56.699999999999996</v>
      </c>
      <c r="T3" s="32">
        <v>57.9</v>
      </c>
      <c r="U3" s="37">
        <v>20.8</v>
      </c>
      <c r="V3" s="37">
        <v>1.2</v>
      </c>
      <c r="W3" s="33">
        <v>59.1</v>
      </c>
      <c r="X3" s="37">
        <v>20.8</v>
      </c>
      <c r="Y3" s="37">
        <v>1.2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$58&lt;&gt;"")*(G$3:G$58=G4)*(J$3:J$58&gt;J4)*(I$3:I$58="P"))+1,IF(O4&lt;&gt;"",SUMPRODUCT((O$3:O$58&lt;&gt;"")*(P$3:P$58="")*(G$3:G$58=G4)*(J$3:J$58&gt;J4)*(I$3:I$58="P"))+SUMPRODUCT((P$3:P$58&lt;&gt;"")*(G$3:G$58=G4)*(I$3:I$58="P"))+1,IF(N4&lt;&gt;"",SUMPRODUCT((N$3:N$58&lt;&gt;"")*(G$3:G$58=G4)*(J$3:J$58&gt;J4)*(I$3:I$58="P"))+1,IF(M4="P",SUMPRODUCT((O$3:O$58&lt;&gt;"")*(P$3:P$58="")*(G$3:G$58=G4)*(I$3:I$58="P"))+SUMPRODUCT((P$3:P$58&lt;&gt;"")*(G$3:G$58=G4)*(I$3:I$58="P"))+SUMPRODUCT((N$3:N$58&lt;&gt;"")*(G$3:G$58=G4)*(I$3:I$58="P"))+SUMPRODUCT((P$3:P$58="")*(O$3:O$58="")*(N$3:N$58="")*(M$3:M$58="P")*(G$3:G$58=G4)*(J$3:J$58&gt;J4)*(I$3:I$58="P"))+IF(H4="L5",SUMPRODUCT((P$3:P$58="")*(O$3:O$58="")*(N$3:N$58="")*(M$3:M$58="P")*(G$3:G$58=G4)*(J$3:J$58&lt;J4)*(H$3:H$58&lt;&gt;H4)*(I$3:I$58="P")),-1*SUMPRODUCT((P$3:P$58="")*(O$3:O$58="")*(N$3:N$58="")*(M$3:M$58="P")*(G$3:G$58=G4)*(J$3:J$58&gt;J4)*(H$3:H$58="L5")*(I$3:I$58="P")))+1,"")))))</f>
        <v/>
      </c>
      <c r="B4" s="1" cm="1">
        <f t="array" ref="B4">IF(P4&lt;&gt;"",SUMPRODUCT((P$3:P$58&lt;&gt;"")*(G$3:G$58=G4)*(J$3:J$58&gt;J4))+1,IF(O4&lt;&gt;"",SUMPRODUCT((O$3:O$58&lt;&gt;"")*(P$3:P$58="")*(G$3:G$58=G4)*(J$3:J$58&gt;J4))+SUMPRODUCT((P$3:P$58&lt;&gt;"")*(G$3:G$58=G4))+1,IF(N4&lt;&gt;"",SUMPRODUCT((N$3:N$58&lt;&gt;"")*(G$3:G$58=G4)*(J$3:J$58&gt;J4))+1,IF(M4="P",SUMPRODUCT((O$3:O$58&lt;&gt;"")*(P$3:P$58="")*(G$3:G$58=G4))+SUMPRODUCT((P$3:P$58&lt;&gt;"")*(G$3:G$58=G4))+SUMPRODUCT((N$3:N$58&lt;&gt;"")*(G$3:G$58=G4))+SUMPRODUCT((P$3:P$58="")*(O$3:O$58="")*(N$3:N$58="")*(M$3:M$58="P")*(G$3:G$58=G4)*(J$3:J$58&gt;J4))+IF(H4="L5",SUMPRODUCT((P$3:P$58="")*(O$3:O$58="")*(N$3:N$58="")*(M$3:M$58="P")*(G$3:G$58=G4)*(J$3:J$58&lt;J4)*(H$3:H$58&lt;&gt;H4)),-1*SUMPRODUCT((P$3:P$58="")*(O$3:O$58="")*(N$3:N$58="")*(M$3:M$58="P")*(G$3:G$58=G4)*(J$3:J$58&gt;J4)*(H$3:H$58="L5")))+1,""))))</f>
        <v>2</v>
      </c>
      <c r="C4" s="35" t="s">
        <v>80</v>
      </c>
      <c r="D4" s="35" t="str">
        <f>IF(E4="","",VLOOKUP(E4,'Coaching Points'!A:B,2,0))</f>
        <v>BC</v>
      </c>
      <c r="E4" s="35" t="s">
        <v>70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52.400199999999998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7</v>
      </c>
      <c r="Q4" s="1" t="str">
        <f>IF(A4&lt;5,IF(_xlfn.MAXIFS(A:A,G:G,G4)&gt;3,5-A4,_xlfn.MAXIFS(A:A,G:G,G4)+1-A4),"")</f>
        <v/>
      </c>
      <c r="R4" s="4">
        <f>MAX(T4-V4,W4-Y4,Z4-AB4,AC4-AE4)</f>
        <v>52.4</v>
      </c>
      <c r="S4" s="4">
        <f>IF(R4=T4-V4,MAX(W4-Y4,Z4-AB4,AC4-AE4),IF(R4=W4-Y4,MAX(T4-V4,Z4-AB4,AC4-AE4),IF(R4=Z4-AB4,MAX(T4-V4,W4-Y4,AC4-AE4),IF(R4=AC4-AE4,MAX(T4-V4,W4-Y4,Z4-AB4),0))))</f>
        <v>50.1</v>
      </c>
      <c r="T4" s="32">
        <v>50.1</v>
      </c>
      <c r="U4" s="37">
        <v>14.4</v>
      </c>
      <c r="V4" s="37">
        <v>0</v>
      </c>
      <c r="W4" s="33">
        <v>52.4</v>
      </c>
      <c r="X4" s="37">
        <v>15.600000000000001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$58&lt;&gt;"")*(G$3:G$58=G5)*(J$3:J$58&gt;J5)*(I$3:I$58="P"))+1,IF(O5&lt;&gt;"",SUMPRODUCT((O$3:O$58&lt;&gt;"")*(P$3:P$58="")*(G$3:G$58=G5)*(J$3:J$58&gt;J5)*(I$3:I$58="P"))+SUMPRODUCT((P$3:P$58&lt;&gt;"")*(G$3:G$58=G5)*(I$3:I$58="P"))+1,IF(N5&lt;&gt;"",SUMPRODUCT((N$3:N$58&lt;&gt;"")*(G$3:G$58=G5)*(J$3:J$58&gt;J5)*(I$3:I$58="P"))+1,IF(M5="P",SUMPRODUCT((O$3:O$58&lt;&gt;"")*(P$3:P$58="")*(G$3:G$58=G5)*(I$3:I$58="P"))+SUMPRODUCT((P$3:P$58&lt;&gt;"")*(G$3:G$58=G5)*(I$3:I$58="P"))+SUMPRODUCT((N$3:N$58&lt;&gt;"")*(G$3:G$58=G5)*(I$3:I$58="P"))+SUMPRODUCT((P$3:P$58="")*(O$3:O$58="")*(N$3:N$58="")*(M$3:M$58="P")*(G$3:G$58=G5)*(J$3:J$58&gt;J5)*(I$3:I$58="P"))+IF(H5="L5",SUMPRODUCT((P$3:P$58="")*(O$3:O$58="")*(N$3:N$58="")*(M$3:M$58="P")*(G$3:G$58=G5)*(J$3:J$58&lt;J5)*(H$3:H$58&lt;&gt;H5)*(I$3:I$58="P")),-1*SUMPRODUCT((P$3:P$58="")*(O$3:O$58="")*(N$3:N$58="")*(M$3:M$58="P")*(G$3:G$58=G5)*(J$3:J$58&gt;J5)*(H$3:H$58="L5")*(I$3:I$58="P")))+1,"")))))</f>
        <v/>
      </c>
      <c r="B5" s="1" cm="1">
        <f t="array" ref="B5">IF(P5&lt;&gt;"",SUMPRODUCT((P$3:P$58&lt;&gt;"")*(G$3:G$58=G5)*(J$3:J$58&gt;J5))+1,IF(O5&lt;&gt;"",SUMPRODUCT((O$3:O$58&lt;&gt;"")*(P$3:P$58="")*(G$3:G$58=G5)*(J$3:J$58&gt;J5))+SUMPRODUCT((P$3:P$58&lt;&gt;"")*(G$3:G$58=G5))+1,IF(N5&lt;&gt;"",SUMPRODUCT((N$3:N$58&lt;&gt;"")*(G$3:G$58=G5)*(J$3:J$58&gt;J5))+1,IF(M5="P",SUMPRODUCT((O$3:O$58&lt;&gt;"")*(P$3:P$58="")*(G$3:G$58=G5))+SUMPRODUCT((P$3:P$58&lt;&gt;"")*(G$3:G$58=G5))+SUMPRODUCT((N$3:N$58&lt;&gt;"")*(G$3:G$58=G5))+SUMPRODUCT((P$3:P$58="")*(O$3:O$58="")*(N$3:N$58="")*(M$3:M$58="P")*(G$3:G$58=G5)*(J$3:J$58&gt;J5))+IF(H5="L5",SUMPRODUCT((P$3:P$58="")*(O$3:O$58="")*(N$3:N$58="")*(M$3:M$58="P")*(G$3:G$58=G5)*(J$3:J$58&lt;J5)*(H$3:H$58&lt;&gt;H5)),-1*SUMPRODUCT((P$3:P$58="")*(O$3:O$58="")*(N$3:N$58="")*(M$3:M$58="P")*(G$3:G$58=G5)*(J$3:J$58&gt;J5)*(H$3:H$58="L5")))+1,""))))</f>
        <v>3</v>
      </c>
      <c r="C5" s="35" t="s">
        <v>136</v>
      </c>
      <c r="D5" s="35" t="str">
        <f>IF(E5="","",VLOOKUP(E5,'Coaching Points'!A:B,2,0))</f>
        <v>AB</v>
      </c>
      <c r="E5" s="35" t="s">
        <v>62</v>
      </c>
      <c r="F5" s="34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52.200200000000002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2</v>
      </c>
      <c r="Q5" s="1" t="str">
        <f>IF(A5&lt;5,IF(_xlfn.MAXIFS(A:A,G:G,G5)&gt;3,5-A5,_xlfn.MAXIFS(A:A,G:G,G5)+1-A5),"")</f>
        <v/>
      </c>
      <c r="R5" s="4">
        <f>MAX(T5-V5,W5-Y5,Z5-AB5,AC5-AE5)</f>
        <v>52.2</v>
      </c>
      <c r="S5" s="4">
        <f>IF(R5=T5-V5,MAX(W5-Y5,Z5-AB5,AC5-AE5),IF(R5=W5-Y5,MAX(T5-V5,Z5-AB5,AC5-AE5),IF(R5=Z5-AB5,MAX(T5-V5,W5-Y5,AC5-AE5),IF(R5=AC5-AE5,MAX(T5-V5,W5-Y5,Z5-AB5),0))))</f>
        <v>0</v>
      </c>
      <c r="T5" s="32">
        <v>52.2</v>
      </c>
      <c r="U5" s="37">
        <v>15.2</v>
      </c>
      <c r="V5" s="37">
        <v>0</v>
      </c>
      <c r="W5" s="33"/>
      <c r="X5" s="37"/>
      <c r="Y5" s="37"/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$58&lt;&gt;"")*(G$3:G$58=G6)*(J$3:J$58&gt;J6)*(I$3:I$58="P"))+1,IF(O6&lt;&gt;"",SUMPRODUCT((O$3:O$58&lt;&gt;"")*(P$3:P$58="")*(G$3:G$58=G6)*(J$3:J$58&gt;J6)*(I$3:I$58="P"))+SUMPRODUCT((P$3:P$58&lt;&gt;"")*(G$3:G$58=G6)*(I$3:I$58="P"))+1,IF(N6&lt;&gt;"",SUMPRODUCT((N$3:N$58&lt;&gt;"")*(G$3:G$58=G6)*(J$3:J$58&gt;J6)*(I$3:I$58="P"))+1,IF(M6="P",SUMPRODUCT((O$3:O$58&lt;&gt;"")*(P$3:P$58="")*(G$3:G$58=G6)*(I$3:I$58="P"))+SUMPRODUCT((P$3:P$58&lt;&gt;"")*(G$3:G$58=G6)*(I$3:I$58="P"))+SUMPRODUCT((N$3:N$58&lt;&gt;"")*(G$3:G$58=G6)*(I$3:I$58="P"))+SUMPRODUCT((P$3:P$58="")*(O$3:O$58="")*(N$3:N$58="")*(M$3:M$58="P")*(G$3:G$58=G6)*(J$3:J$58&gt;J6)*(I$3:I$58="P"))+IF(H6="L5",SUMPRODUCT((P$3:P$58="")*(O$3:O$58="")*(N$3:N$58="")*(M$3:M$58="P")*(G$3:G$58=G6)*(J$3:J$58&lt;J6)*(H$3:H$58&lt;&gt;H6)*(I$3:I$58="P")),-1*SUMPRODUCT((P$3:P$58="")*(O$3:O$58="")*(N$3:N$58="")*(M$3:M$58="P")*(G$3:G$58=G6)*(J$3:J$58&gt;J6)*(H$3:H$58="L5")*(I$3:I$58="P")))+1,"")))))</f>
        <v/>
      </c>
      <c r="B6" s="1" cm="1">
        <f t="array" ref="B6">IF(P6&lt;&gt;"",SUMPRODUCT((P$3:P$58&lt;&gt;"")*(G$3:G$58=G6)*(J$3:J$58&gt;J6))+1,IF(O6&lt;&gt;"",SUMPRODUCT((O$3:O$58&lt;&gt;"")*(P$3:P$58="")*(G$3:G$58=G6)*(J$3:J$58&gt;J6))+SUMPRODUCT((P$3:P$58&lt;&gt;"")*(G$3:G$58=G6))+1,IF(N6&lt;&gt;"",SUMPRODUCT((N$3:N$58&lt;&gt;"")*(G$3:G$58=G6)*(J$3:J$58&gt;J6))+1,IF(M6="P",SUMPRODUCT((O$3:O$58&lt;&gt;"")*(P$3:P$58="")*(G$3:G$58=G6))+SUMPRODUCT((P$3:P$58&lt;&gt;"")*(G$3:G$58=G6))+SUMPRODUCT((N$3:N$58&lt;&gt;"")*(G$3:G$58=G6))+SUMPRODUCT((P$3:P$58="")*(O$3:O$58="")*(N$3:N$58="")*(M$3:M$58="P")*(G$3:G$58=G6)*(J$3:J$58&gt;J6))+IF(H6="L5",SUMPRODUCT((P$3:P$58="")*(O$3:O$58="")*(N$3:N$58="")*(M$3:M$58="P")*(G$3:G$58=G6)*(J$3:J$58&lt;J6)*(H$3:H$58&lt;&gt;H6)),-1*SUMPRODUCT((P$3:P$58="")*(O$3:O$58="")*(N$3:N$58="")*(M$3:M$58="P")*(G$3:G$58=G6)*(J$3:J$58&gt;J6)*(H$3:H$58="L5")))+1,""))))</f>
        <v>4</v>
      </c>
      <c r="C6" s="35" t="s">
        <v>227</v>
      </c>
      <c r="D6" s="35" t="str">
        <f>IF(E6="","",VLOOKUP(E6,'Coaching Points'!A:B,2,0))</f>
        <v>BC</v>
      </c>
      <c r="E6" s="35" t="s">
        <v>40</v>
      </c>
      <c r="F6" s="34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51.0002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8</v>
      </c>
      <c r="Q6" s="1" t="str">
        <f>IF(A6&lt;5,IF(_xlfn.MAXIFS(A:A,G:G,G6)&gt;3,5-A6,_xlfn.MAXIFS(A:A,G:G,G6)+1-A6),"")</f>
        <v/>
      </c>
      <c r="R6" s="4">
        <f>MAX(T6-V6,W6-Y6,Z6-AB6,AC6-AE6)</f>
        <v>51</v>
      </c>
      <c r="S6" s="4">
        <f>IF(R6=T6-V6,MAX(W6-Y6,Z6-AB6,AC6-AE6),IF(R6=W6-Y6,MAX(T6-V6,Z6-AB6,AC6-AE6),IF(R6=Z6-AB6,MAX(T6-V6,W6-Y6,AC6-AE6),IF(R6=AC6-AE6,MAX(T6-V6,W6-Y6,Z6-AB6),0))))</f>
        <v>50.800000000000004</v>
      </c>
      <c r="T6" s="32">
        <v>51.1</v>
      </c>
      <c r="U6" s="37">
        <v>15</v>
      </c>
      <c r="V6" s="37">
        <v>0.3</v>
      </c>
      <c r="W6" s="33">
        <v>51.6</v>
      </c>
      <c r="X6" s="37">
        <v>17.7</v>
      </c>
      <c r="Y6" s="37">
        <v>0.6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$58&lt;&gt;"")*(G$3:G$58=G7)*(J$3:J$58&gt;J7)*(I$3:I$58="P"))+1,IF(O7&lt;&gt;"",SUMPRODUCT((O$3:O$58&lt;&gt;"")*(P$3:P$58="")*(G$3:G$58=G7)*(J$3:J$58&gt;J7)*(I$3:I$58="P"))+SUMPRODUCT((P$3:P$58&lt;&gt;"")*(G$3:G$58=G7)*(I$3:I$58="P"))+1,IF(N7&lt;&gt;"",SUMPRODUCT((N$3:N$58&lt;&gt;"")*(G$3:G$58=G7)*(J$3:J$58&gt;J7)*(I$3:I$58="P"))+1,IF(M7="P",SUMPRODUCT((O$3:O$58&lt;&gt;"")*(P$3:P$58="")*(G$3:G$58=G7)*(I$3:I$58="P"))+SUMPRODUCT((P$3:P$58&lt;&gt;"")*(G$3:G$58=G7)*(I$3:I$58="P"))+SUMPRODUCT((N$3:N$58&lt;&gt;"")*(G$3:G$58=G7)*(I$3:I$58="P"))+SUMPRODUCT((P$3:P$58="")*(O$3:O$58="")*(N$3:N$58="")*(M$3:M$58="P")*(G$3:G$58=G7)*(J$3:J$58&gt;J7)*(I$3:I$58="P"))+IF(H7="L5",SUMPRODUCT((P$3:P$58="")*(O$3:O$58="")*(N$3:N$58="")*(M$3:M$58="P")*(G$3:G$58=G7)*(J$3:J$58&lt;J7)*(H$3:H$58&lt;&gt;H7)*(I$3:I$58="P")),-1*SUMPRODUCT((P$3:P$58="")*(O$3:O$58="")*(N$3:N$58="")*(M$3:M$58="P")*(G$3:G$58=G7)*(J$3:J$58&gt;J7)*(H$3:H$58="L5")*(I$3:I$58="P")))+1,"")))))</f>
        <v/>
      </c>
      <c r="B7" s="1" cm="1">
        <f t="array" ref="B7">IF(P7&lt;&gt;"",SUMPRODUCT((P$3:P$58&lt;&gt;"")*(G$3:G$58=G7)*(J$3:J$58&gt;J7))+1,IF(O7&lt;&gt;"",SUMPRODUCT((O$3:O$58&lt;&gt;"")*(P$3:P$58="")*(G$3:G$58=G7)*(J$3:J$58&gt;J7))+SUMPRODUCT((P$3:P$58&lt;&gt;"")*(G$3:G$58=G7))+1,IF(N7&lt;&gt;"",SUMPRODUCT((N$3:N$58&lt;&gt;"")*(G$3:G$58=G7)*(J$3:J$58&gt;J7))+1,IF(M7="P",SUMPRODUCT((O$3:O$58&lt;&gt;"")*(P$3:P$58="")*(G$3:G$58=G7))+SUMPRODUCT((P$3:P$58&lt;&gt;"")*(G$3:G$58=G7))+SUMPRODUCT((N$3:N$58&lt;&gt;"")*(G$3:G$58=G7))+SUMPRODUCT((P$3:P$58="")*(O$3:O$58="")*(N$3:N$58="")*(M$3:M$58="P")*(G$3:G$58=G7)*(J$3:J$58&gt;J7))+IF(H7="L5",SUMPRODUCT((P$3:P$58="")*(O$3:O$58="")*(N$3:N$58="")*(M$3:M$58="P")*(G$3:G$58=G7)*(J$3:J$58&lt;J7)*(H$3:H$58&lt;&gt;H7)),-1*SUMPRODUCT((P$3:P$58="")*(O$3:O$58="")*(N$3:N$58="")*(M$3:M$58="P")*(G$3:G$58=G7)*(J$3:J$58&gt;J7)*(H$3:H$58="L5")))+1,""))))</f>
        <v>5</v>
      </c>
      <c r="C7" s="35" t="s">
        <v>135</v>
      </c>
      <c r="D7" s="35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R7+IF(OR(H7="Junior",H7="Senior"),0.0002,IF(OR(H7="L7",H7="L6"),0.0001,0))+MAX(Z7,AC7)*0.0000001</f>
        <v>49.5002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4</v>
      </c>
      <c r="Q7" s="1" t="str">
        <f>IF(A7&lt;5,IF(_xlfn.MAXIFS(A:A,G:G,G7)&gt;3,5-A7,_xlfn.MAXIFS(A:A,G:G,G7)+1-A7),"")</f>
        <v/>
      </c>
      <c r="R7" s="4">
        <f>MAX(T7-V7,W7-Y7,Z7-AB7,AC7-AE7)</f>
        <v>49.5</v>
      </c>
      <c r="S7" s="4">
        <f>IF(R7=T7-V7,MAX(W7-Y7,Z7-AB7,AC7-AE7),IF(R7=W7-Y7,MAX(T7-V7,Z7-AB7,AC7-AE7),IF(R7=Z7-AB7,MAX(T7-V7,W7-Y7,AC7-AE7),IF(R7=AC7-AE7,MAX(T7-V7,W7-Y7,Z7-AB7),0))))</f>
        <v>45.7</v>
      </c>
      <c r="T7" s="32">
        <v>46</v>
      </c>
      <c r="U7" s="37">
        <v>11.7</v>
      </c>
      <c r="V7" s="37">
        <v>0.3</v>
      </c>
      <c r="W7" s="33">
        <v>49.8</v>
      </c>
      <c r="X7" s="37">
        <v>15.2</v>
      </c>
      <c r="Y7" s="37">
        <v>0.3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$58&lt;&gt;"")*(G$3:G$58=G8)*(J$3:J$58&gt;J8)*(I$3:I$58="P"))+1,IF(O8&lt;&gt;"",SUMPRODUCT((O$3:O$58&lt;&gt;"")*(P$3:P$58="")*(G$3:G$58=G8)*(J$3:J$58&gt;J8)*(I$3:I$58="P"))+SUMPRODUCT((P$3:P$58&lt;&gt;"")*(G$3:G$58=G8)*(I$3:I$58="P"))+1,IF(N8&lt;&gt;"",SUMPRODUCT((N$3:N$58&lt;&gt;"")*(G$3:G$58=G8)*(J$3:J$58&gt;J8)*(I$3:I$58="P"))+1,IF(M8="P",SUMPRODUCT((O$3:O$58&lt;&gt;"")*(P$3:P$58="")*(G$3:G$58=G8)*(I$3:I$58="P"))+SUMPRODUCT((P$3:P$58&lt;&gt;"")*(G$3:G$58=G8)*(I$3:I$58="P"))+SUMPRODUCT((N$3:N$58&lt;&gt;"")*(G$3:G$58=G8)*(I$3:I$58="P"))+SUMPRODUCT((P$3:P$58="")*(O$3:O$58="")*(N$3:N$58="")*(M$3:M$58="P")*(G$3:G$58=G8)*(J$3:J$58&gt;J8)*(I$3:I$58="P"))+IF(H8="L5",SUMPRODUCT((P$3:P$58="")*(O$3:O$58="")*(N$3:N$58="")*(M$3:M$58="P")*(G$3:G$58=G8)*(J$3:J$58&lt;J8)*(H$3:H$58&lt;&gt;H8)*(I$3:I$58="P")),-1*SUMPRODUCT((P$3:P$58="")*(O$3:O$58="")*(N$3:N$58="")*(M$3:M$58="P")*(G$3:G$58=G8)*(J$3:J$58&gt;J8)*(H$3:H$58="L5")*(I$3:I$58="P")))+1,"")))))</f>
        <v/>
      </c>
      <c r="B8" s="1" cm="1">
        <f t="array" ref="B8">IF(P8&lt;&gt;"",SUMPRODUCT((P$3:P$58&lt;&gt;"")*(G$3:G$58=G8)*(J$3:J$58&gt;J8))+1,IF(O8&lt;&gt;"",SUMPRODUCT((O$3:O$58&lt;&gt;"")*(P$3:P$58="")*(G$3:G$58=G8)*(J$3:J$58&gt;J8))+SUMPRODUCT((P$3:P$58&lt;&gt;"")*(G$3:G$58=G8))+1,IF(N8&lt;&gt;"",SUMPRODUCT((N$3:N$58&lt;&gt;"")*(G$3:G$58=G8)*(J$3:J$58&gt;J8))+1,IF(M8="P",SUMPRODUCT((O$3:O$58&lt;&gt;"")*(P$3:P$58="")*(G$3:G$58=G8))+SUMPRODUCT((P$3:P$58&lt;&gt;"")*(G$3:G$58=G8))+SUMPRODUCT((N$3:N$58&lt;&gt;"")*(G$3:G$58=G8))+SUMPRODUCT((P$3:P$58="")*(O$3:O$58="")*(N$3:N$58="")*(M$3:M$58="P")*(G$3:G$58=G8)*(J$3:J$58&gt;J8))+IF(H8="L5",SUMPRODUCT((P$3:P$58="")*(O$3:O$58="")*(N$3:N$58="")*(M$3:M$58="P")*(G$3:G$58=G8)*(J$3:J$58&lt;J8)*(H$3:H$58&lt;&gt;H8)),-1*SUMPRODUCT((P$3:P$58="")*(O$3:O$58="")*(N$3:N$58="")*(M$3:M$58="P")*(G$3:G$58=G8)*(J$3:J$58&gt;J8)*(H$3:H$58="L5")))+1,""))))</f>
        <v>6</v>
      </c>
      <c r="C8" s="35" t="s">
        <v>394</v>
      </c>
      <c r="D8" s="35" t="str">
        <f>IF(E8="","",VLOOKUP(E8,'Coaching Points'!A:B,2,0))</f>
        <v>ON</v>
      </c>
      <c r="E8" s="35" t="s">
        <v>45</v>
      </c>
      <c r="F8" s="34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>R8+IF(OR(H8="Junior",H8="Senior"),0.0002,IF(OR(H8="L7",H8="L6"),0.0001,0))+MAX(Z8,AC8)*0.0000001</f>
        <v>2.0000000000000001E-4</v>
      </c>
      <c r="K8" s="3" t="str">
        <f>IF(G8="Not Age Eligible","",IF(MAX(T8,W8,Z8,AC8)&gt;=LOOKUP(G8,'Qualifying Scores'!$A$4:$A$7,'Qualifying Scores'!$F$4:$F$7),"P",""))</f>
        <v/>
      </c>
      <c r="L8" s="3" t="str">
        <f>IF(G8="Not Age Eligible","",IF(MAX(U8,X8,AA8,AD8)&gt;=LOOKUP(G8,'Qualifying Scores'!$A$10:$A$13,'Qualifying Scores'!$F$10:$F$13),"P",""))</f>
        <v/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/>
      </c>
      <c r="P8" s="36">
        <v>3</v>
      </c>
      <c r="Q8" s="1" t="str">
        <f>IF(A8&lt;5,IF(_xlfn.MAXIFS(A:A,G:G,G8)&gt;3,5-A8,_xlfn.MAXIFS(A:A,G:G,G8)+1-A8),"")</f>
        <v/>
      </c>
      <c r="R8" s="4">
        <f>MAX(T8-V8,W8-Y8,Z8-AB8,AC8-AE8)</f>
        <v>0</v>
      </c>
      <c r="S8" s="4">
        <f>IF(R8=T8-V8,MAX(W8-Y8,Z8-AB8,AC8-AE8),IF(R8=W8-Y8,MAX(T8-V8,Z8-AB8,AC8-AE8),IF(R8=Z8-AB8,MAX(T8-V8,W8-Y8,AC8-AE8),IF(R8=AC8-AE8,MAX(T8-V8,W8-Y8,Z8-AB8),0))))</f>
        <v>0</v>
      </c>
      <c r="T8" s="32"/>
      <c r="U8" s="37"/>
      <c r="V8" s="37"/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$58&lt;&gt;"")*(G$3:G$58=G9)*(J$3:J$58&gt;J9)*(I$3:I$58="P"))+1,IF(O9&lt;&gt;"",SUMPRODUCT((O$3:O$58&lt;&gt;"")*(P$3:P$58="")*(G$3:G$58=G9)*(J$3:J$58&gt;J9)*(I$3:I$58="P"))+SUMPRODUCT((P$3:P$58&lt;&gt;"")*(G$3:G$58=G9)*(I$3:I$58="P"))+1,IF(N9&lt;&gt;"",SUMPRODUCT((N$3:N$58&lt;&gt;"")*(G$3:G$58=G9)*(J$3:J$58&gt;J9)*(I$3:I$58="P"))+1,IF(M9="P",SUMPRODUCT((O$3:O$58&lt;&gt;"")*(P$3:P$58="")*(G$3:G$58=G9)*(I$3:I$58="P"))+SUMPRODUCT((P$3:P$58&lt;&gt;"")*(G$3:G$58=G9)*(I$3:I$58="P"))+SUMPRODUCT((N$3:N$58&lt;&gt;"")*(G$3:G$58=G9)*(I$3:I$58="P"))+SUMPRODUCT((P$3:P$58="")*(O$3:O$58="")*(N$3:N$58="")*(M$3:M$58="P")*(G$3:G$58=G9)*(J$3:J$58&gt;J9)*(I$3:I$58="P"))+IF(H9="L5",SUMPRODUCT((P$3:P$58="")*(O$3:O$58="")*(N$3:N$58="")*(M$3:M$58="P")*(G$3:G$58=G9)*(J$3:J$58&lt;J9)*(H$3:H$58&lt;&gt;H9)*(I$3:I$58="P")),-1*SUMPRODUCT((P$3:P$58="")*(O$3:O$58="")*(N$3:N$58="")*(M$3:M$58="P")*(G$3:G$58=G9)*(J$3:J$58&gt;J9)*(H$3:H$58="L5")*(I$3:I$58="P")))+1,"")))))</f>
        <v/>
      </c>
      <c r="B9" s="1" cm="1">
        <f t="array" ref="B9">IF(P9&lt;&gt;"",SUMPRODUCT((P$3:P$58&lt;&gt;"")*(G$3:G$58=G9)*(J$3:J$58&gt;J9))+1,IF(O9&lt;&gt;"",SUMPRODUCT((O$3:O$58&lt;&gt;"")*(P$3:P$58="")*(G$3:G$58=G9)*(J$3:J$58&gt;J9))+SUMPRODUCT((P$3:P$58&lt;&gt;"")*(G$3:G$58=G9))+1,IF(N9&lt;&gt;"",SUMPRODUCT((N$3:N$58&lt;&gt;"")*(G$3:G$58=G9)*(J$3:J$58&gt;J9))+1,IF(M9="P",SUMPRODUCT((O$3:O$58&lt;&gt;"")*(P$3:P$58="")*(G$3:G$58=G9))+SUMPRODUCT((P$3:P$58&lt;&gt;"")*(G$3:G$58=G9))+SUMPRODUCT((N$3:N$58&lt;&gt;"")*(G$3:G$58=G9))+SUMPRODUCT((P$3:P$58="")*(O$3:O$58="")*(N$3:N$58="")*(M$3:M$58="P")*(G$3:G$58=G9)*(J$3:J$58&gt;J9))+IF(H9="L5",SUMPRODUCT((P$3:P$58="")*(O$3:O$58="")*(N$3:N$58="")*(M$3:M$58="P")*(G$3:G$58=G9)*(J$3:J$58&lt;J9)*(H$3:H$58&lt;&gt;H9)),-1*SUMPRODUCT((P$3:P$58="")*(O$3:O$58="")*(N$3:N$58="")*(M$3:M$58="P")*(G$3:G$58=G9)*(J$3:J$58&gt;J9)*(H$3:H$58="L5")))+1,""))))</f>
        <v>7</v>
      </c>
      <c r="C9" s="35" t="s">
        <v>92</v>
      </c>
      <c r="D9" s="35" t="str">
        <f>IF(E9="","",VLOOKUP(E9,'Coaching Points'!A:B,2,0))</f>
        <v>AB</v>
      </c>
      <c r="E9" s="35" t="s">
        <v>28</v>
      </c>
      <c r="F9" s="34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72</v>
      </c>
      <c r="I9" s="40"/>
      <c r="J9" s="4">
        <f>R9+IF(OR(H9="Junior",H9="Senior"),0.0002,IF(OR(H9="L7",H9="L6"),0.0001,0))+MAX(Z9,AC9)*0.0000001</f>
        <v>52.100200000000001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2</v>
      </c>
      <c r="Q9" s="1" t="str">
        <f>IF(A9&lt;5,IF(_xlfn.MAXIFS(A:A,G:G,G9)&gt;3,5-A9,_xlfn.MAXIFS(A:A,G:G,G9)+1-A9),"")</f>
        <v/>
      </c>
      <c r="R9" s="4">
        <f>MAX(T9-V9,W9-Y9,Z9-AB9,AC9-AE9)</f>
        <v>52.1</v>
      </c>
      <c r="S9" s="4">
        <f>IF(R9=T9-V9,MAX(W9-Y9,Z9-AB9,AC9-AE9),IF(R9=W9-Y9,MAX(T9-V9,Z9-AB9,AC9-AE9),IF(R9=Z9-AB9,MAX(T9-V9,W9-Y9,AC9-AE9),IF(R9=AC9-AE9,MAX(T9-V9,W9-Y9,Z9-AB9),0))))</f>
        <v>46.2</v>
      </c>
      <c r="T9" s="32">
        <v>52.1</v>
      </c>
      <c r="U9" s="37">
        <v>15.600000000000001</v>
      </c>
      <c r="V9" s="37">
        <v>0</v>
      </c>
      <c r="W9" s="33">
        <v>46.5</v>
      </c>
      <c r="X9" s="37">
        <v>13.5</v>
      </c>
      <c r="Y9" s="37">
        <v>0.3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$58&lt;&gt;"")*(G$3:G$58=G10)*(J$3:J$58&gt;J10)*(I$3:I$58="P"))+1,IF(O10&lt;&gt;"",SUMPRODUCT((O$3:O$58&lt;&gt;"")*(P$3:P$58="")*(G$3:G$58=G10)*(J$3:J$58&gt;J10)*(I$3:I$58="P"))+SUMPRODUCT((P$3:P$58&lt;&gt;"")*(G$3:G$58=G10)*(I$3:I$58="P"))+1,IF(N10&lt;&gt;"",SUMPRODUCT((N$3:N$58&lt;&gt;"")*(G$3:G$58=G10)*(J$3:J$58&gt;J10)*(I$3:I$58="P"))+1,IF(M10="P",SUMPRODUCT((O$3:O$58&lt;&gt;"")*(P$3:P$58="")*(G$3:G$58=G10)*(I$3:I$58="P"))+SUMPRODUCT((P$3:P$58&lt;&gt;"")*(G$3:G$58=G10)*(I$3:I$58="P"))+SUMPRODUCT((N$3:N$58&lt;&gt;"")*(G$3:G$58=G10)*(I$3:I$58="P"))+SUMPRODUCT((P$3:P$58="")*(O$3:O$58="")*(N$3:N$58="")*(M$3:M$58="P")*(G$3:G$58=G10)*(J$3:J$58&gt;J10)*(I$3:I$58="P"))+IF(H10="L5",SUMPRODUCT((P$3:P$58="")*(O$3:O$58="")*(N$3:N$58="")*(M$3:M$58="P")*(G$3:G$58=G10)*(J$3:J$58&lt;J10)*(H$3:H$58&lt;&gt;H10)*(I$3:I$58="P")),-1*SUMPRODUCT((P$3:P$58="")*(O$3:O$58="")*(N$3:N$58="")*(M$3:M$58="P")*(G$3:G$58=G10)*(J$3:J$58&gt;J10)*(H$3:H$58="L5")*(I$3:I$58="P")))+1,"")))))</f>
        <v/>
      </c>
      <c r="B10" s="1" cm="1">
        <f t="array" ref="B10">IF(P10&lt;&gt;"",SUMPRODUCT((P$3:P$58&lt;&gt;"")*(G$3:G$58=G10)*(J$3:J$58&gt;J10))+1,IF(O10&lt;&gt;"",SUMPRODUCT((O$3:O$58&lt;&gt;"")*(P$3:P$58="")*(G$3:G$58=G10)*(J$3:J$58&gt;J10))+SUMPRODUCT((P$3:P$58&lt;&gt;"")*(G$3:G$58=G10))+1,IF(N10&lt;&gt;"",SUMPRODUCT((N$3:N$58&lt;&gt;"")*(G$3:G$58=G10)*(J$3:J$58&gt;J10))+1,IF(M10="P",SUMPRODUCT((O$3:O$58&lt;&gt;"")*(P$3:P$58="")*(G$3:G$58=G10))+SUMPRODUCT((P$3:P$58&lt;&gt;"")*(G$3:G$58=G10))+SUMPRODUCT((N$3:N$58&lt;&gt;"")*(G$3:G$58=G10))+SUMPRODUCT((P$3:P$58="")*(O$3:O$58="")*(N$3:N$58="")*(M$3:M$58="P")*(G$3:G$58=G10)*(J$3:J$58&gt;J10))+IF(H10="L5",SUMPRODUCT((P$3:P$58="")*(O$3:O$58="")*(N$3:N$58="")*(M$3:M$58="P")*(G$3:G$58=G10)*(J$3:J$58&lt;J10)*(H$3:H$58&lt;&gt;H10)),-1*SUMPRODUCT((P$3:P$58="")*(O$3:O$58="")*(N$3:N$58="")*(M$3:M$58="P")*(G$3:G$58=G10)*(J$3:J$58&gt;J10)*(H$3:H$58="L5")))+1,""))))</f>
        <v>8</v>
      </c>
      <c r="C10" s="35" t="s">
        <v>195</v>
      </c>
      <c r="D10" s="35" t="str">
        <f>IF(E10="","",VLOOKUP(E10,'Coaching Points'!A:B,2,0))</f>
        <v>AB</v>
      </c>
      <c r="E10" s="35" t="s">
        <v>62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R10+IF(OR(H10="Junior",H10="Senior"),0.0002,IF(OR(H10="L7",H10="L6"),0.0001,0))+MAX(Z10,AC10)*0.0000001</f>
        <v>51.700100000000006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1</v>
      </c>
      <c r="Q10" s="1" t="str">
        <f>IF(A10&lt;5,IF(_xlfn.MAXIFS(A:A,G:G,G10)&gt;3,5-A10,_xlfn.MAXIFS(A:A,G:G,G10)+1-A10),"")</f>
        <v/>
      </c>
      <c r="R10" s="4">
        <f>MAX(T10-V10,W10-Y10,Z10-AB10,AC10-AE10)</f>
        <v>51.7</v>
      </c>
      <c r="S10" s="4">
        <f>IF(R10=T10-V10,MAX(W10-Y10,Z10-AB10,AC10-AE10),IF(R10=W10-Y10,MAX(T10-V10,Z10-AB10,AC10-AE10),IF(R10=Z10-AB10,MAX(T10-V10,W10-Y10,AC10-AE10),IF(R10=AC10-AE10,MAX(T10-V10,W10-Y10,Z10-AB10),0))))</f>
        <v>50.8</v>
      </c>
      <c r="T10" s="32">
        <v>51.7</v>
      </c>
      <c r="U10" s="37">
        <v>15.600000000000001</v>
      </c>
      <c r="V10" s="37">
        <v>0</v>
      </c>
      <c r="W10" s="33">
        <v>50.8</v>
      </c>
      <c r="X10" s="37">
        <v>15.2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$58&lt;&gt;"")*(G$3:G$58=G11)*(J$3:J$58&gt;J11)*(I$3:I$58="P"))+1,IF(O11&lt;&gt;"",SUMPRODUCT((O$3:O$58&lt;&gt;"")*(P$3:P$58="")*(G$3:G$58=G11)*(J$3:J$58&gt;J11)*(I$3:I$58="P"))+SUMPRODUCT((P$3:P$58&lt;&gt;"")*(G$3:G$58=G11)*(I$3:I$58="P"))+1,IF(N11&lt;&gt;"",SUMPRODUCT((N$3:N$58&lt;&gt;"")*(G$3:G$58=G11)*(J$3:J$58&gt;J11)*(I$3:I$58="P"))+1,IF(M11="P",SUMPRODUCT((O$3:O$58&lt;&gt;"")*(P$3:P$58="")*(G$3:G$58=G11)*(I$3:I$58="P"))+SUMPRODUCT((P$3:P$58&lt;&gt;"")*(G$3:G$58=G11)*(I$3:I$58="P"))+SUMPRODUCT((N$3:N$58&lt;&gt;"")*(G$3:G$58=G11)*(I$3:I$58="P"))+SUMPRODUCT((P$3:P$58="")*(O$3:O$58="")*(N$3:N$58="")*(M$3:M$58="P")*(G$3:G$58=G11)*(J$3:J$58&gt;J11)*(I$3:I$58="P"))+IF(H11="L5",SUMPRODUCT((P$3:P$58="")*(O$3:O$58="")*(N$3:N$58="")*(M$3:M$58="P")*(G$3:G$58=G11)*(J$3:J$58&lt;J11)*(H$3:H$58&lt;&gt;H11)*(I$3:I$58="P")),-1*SUMPRODUCT((P$3:P$58="")*(O$3:O$58="")*(N$3:N$58="")*(M$3:M$58="P")*(G$3:G$58=G11)*(J$3:J$58&gt;J11)*(H$3:H$58="L5")*(I$3:I$58="P")))+1,"")))))</f>
        <v/>
      </c>
      <c r="B11" s="1" cm="1">
        <f t="array" ref="B11">IF(P11&lt;&gt;"",SUMPRODUCT((P$3:P$58&lt;&gt;"")*(G$3:G$58=G11)*(J$3:J$58&gt;J11))+1,IF(O11&lt;&gt;"",SUMPRODUCT((O$3:O$58&lt;&gt;"")*(P$3:P$58="")*(G$3:G$58=G11)*(J$3:J$58&gt;J11))+SUMPRODUCT((P$3:P$58&lt;&gt;"")*(G$3:G$58=G11))+1,IF(N11&lt;&gt;"",SUMPRODUCT((N$3:N$58&lt;&gt;"")*(G$3:G$58=G11)*(J$3:J$58&gt;J11))+1,IF(M11="P",SUMPRODUCT((O$3:O$58&lt;&gt;"")*(P$3:P$58="")*(G$3:G$58=G11))+SUMPRODUCT((P$3:P$58&lt;&gt;"")*(G$3:G$58=G11))+SUMPRODUCT((N$3:N$58&lt;&gt;"")*(G$3:G$58=G11))+SUMPRODUCT((P$3:P$58="")*(O$3:O$58="")*(N$3:N$58="")*(M$3:M$58="P")*(G$3:G$58=G11)*(J$3:J$58&gt;J11))+IF(H11="L5",SUMPRODUCT((P$3:P$58="")*(O$3:O$58="")*(N$3:N$58="")*(M$3:M$58="P")*(G$3:G$58=G11)*(J$3:J$58&lt;J11)*(H$3:H$58&lt;&gt;H11)),-1*SUMPRODUCT((P$3:P$58="")*(O$3:O$58="")*(N$3:N$58="")*(M$3:M$58="P")*(G$3:G$58=G11)*(J$3:J$58&gt;J11)*(H$3:H$58="L5")))+1,""))))</f>
        <v>9</v>
      </c>
      <c r="C11" s="35" t="s">
        <v>86</v>
      </c>
      <c r="D11" s="35" t="str">
        <f>IF(E11="","",VLOOKUP(E11,'Coaching Points'!A:B,2,0))</f>
        <v>AB</v>
      </c>
      <c r="E11" s="35" t="s">
        <v>28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72</v>
      </c>
      <c r="I11" s="40"/>
      <c r="J11" s="4">
        <f>R11+IF(OR(H11="Junior",H11="Senior"),0.0002,IF(OR(H11="L7",H11="L6"),0.0001,0))+MAX(Z11,AC11)*0.0000001</f>
        <v>51.0002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3</v>
      </c>
      <c r="Q11" s="1" t="str">
        <f>IF(A11&lt;5,IF(_xlfn.MAXIFS(A:A,G:G,G11)&gt;3,5-A11,_xlfn.MAXIFS(A:A,G:G,G11)+1-A11),"")</f>
        <v/>
      </c>
      <c r="R11" s="4">
        <f>MAX(T11-V11,W11-Y11,Z11-AB11,AC11-AE11)</f>
        <v>51</v>
      </c>
      <c r="S11" s="4">
        <f>IF(R11=T11-V11,MAX(W11-Y11,Z11-AB11,AC11-AE11),IF(R11=W11-Y11,MAX(T11-V11,Z11-AB11,AC11-AE11),IF(R11=Z11-AB11,MAX(T11-V11,W11-Y11,AC11-AE11),IF(R11=AC11-AE11,MAX(T11-V11,W11-Y11,Z11-AB11),0))))</f>
        <v>50.1</v>
      </c>
      <c r="T11" s="32">
        <v>51</v>
      </c>
      <c r="U11" s="37">
        <v>14.8</v>
      </c>
      <c r="V11" s="37">
        <v>0</v>
      </c>
      <c r="W11" s="33">
        <v>50.4</v>
      </c>
      <c r="X11" s="37">
        <v>15.6</v>
      </c>
      <c r="Y11" s="37">
        <v>0.3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$58&lt;&gt;"")*(G$3:G$58=G12)*(J$3:J$58&gt;J12)*(I$3:I$58="P"))+1,IF(O12&lt;&gt;"",SUMPRODUCT((O$3:O$58&lt;&gt;"")*(P$3:P$58="")*(G$3:G$58=G12)*(J$3:J$58&gt;J12)*(I$3:I$58="P"))+SUMPRODUCT((P$3:P$58&lt;&gt;"")*(G$3:G$58=G12)*(I$3:I$58="P"))+1,IF(N12&lt;&gt;"",SUMPRODUCT((N$3:N$58&lt;&gt;"")*(G$3:G$58=G12)*(J$3:J$58&gt;J12)*(I$3:I$58="P"))+1,IF(M12="P",SUMPRODUCT((O$3:O$58&lt;&gt;"")*(P$3:P$58="")*(G$3:G$58=G12)*(I$3:I$58="P"))+SUMPRODUCT((P$3:P$58&lt;&gt;"")*(G$3:G$58=G12)*(I$3:I$58="P"))+SUMPRODUCT((N$3:N$58&lt;&gt;"")*(G$3:G$58=G12)*(I$3:I$58="P"))+SUMPRODUCT((P$3:P$58="")*(O$3:O$58="")*(N$3:N$58="")*(M$3:M$58="P")*(G$3:G$58=G12)*(J$3:J$58&gt;J12)*(I$3:I$58="P"))+IF(H12="L5",SUMPRODUCT((P$3:P$58="")*(O$3:O$58="")*(N$3:N$58="")*(M$3:M$58="P")*(G$3:G$58=G12)*(J$3:J$58&lt;J12)*(H$3:H$58&lt;&gt;H12)*(I$3:I$58="P")),-1*SUMPRODUCT((P$3:P$58="")*(O$3:O$58="")*(N$3:N$58="")*(M$3:M$58="P")*(G$3:G$58=G12)*(J$3:J$58&gt;J12)*(H$3:H$58="L5")*(I$3:I$58="P")))+1,"")))))</f>
        <v/>
      </c>
      <c r="B12" s="1" cm="1">
        <f t="array" ref="B12">IF(P12&lt;&gt;"",SUMPRODUCT((P$3:P$58&lt;&gt;"")*(G$3:G$58=G12)*(J$3:J$58&gt;J12))+1,IF(O12&lt;&gt;"",SUMPRODUCT((O$3:O$58&lt;&gt;"")*(P$3:P$58="")*(G$3:G$58=G12)*(J$3:J$58&gt;J12))+SUMPRODUCT((P$3:P$58&lt;&gt;"")*(G$3:G$58=G12))+1,IF(N12&lt;&gt;"",SUMPRODUCT((N$3:N$58&lt;&gt;"")*(G$3:G$58=G12)*(J$3:J$58&gt;J12))+1,IF(M12="P",SUMPRODUCT((O$3:O$58&lt;&gt;"")*(P$3:P$58="")*(G$3:G$58=G12))+SUMPRODUCT((P$3:P$58&lt;&gt;"")*(G$3:G$58=G12))+SUMPRODUCT((N$3:N$58&lt;&gt;"")*(G$3:G$58=G12))+SUMPRODUCT((P$3:P$58="")*(O$3:O$58="")*(N$3:N$58="")*(M$3:M$58="P")*(G$3:G$58=G12)*(J$3:J$58&gt;J12))+IF(H12="L5",SUMPRODUCT((P$3:P$58="")*(O$3:O$58="")*(N$3:N$58="")*(M$3:M$58="P")*(G$3:G$58=G12)*(J$3:J$58&lt;J12)*(H$3:H$58&lt;&gt;H12)),-1*SUMPRODUCT((P$3:P$58="")*(O$3:O$58="")*(N$3:N$58="")*(M$3:M$58="P")*(G$3:G$58=G12)*(J$3:J$58&gt;J12)*(H$3:H$58="L5")))+1,""))))</f>
        <v>10</v>
      </c>
      <c r="C12" s="35" t="s">
        <v>94</v>
      </c>
      <c r="D12" s="35" t="str">
        <f>IF(E12="","",VLOOKUP(E12,'Coaching Points'!A:B,2,0))</f>
        <v>ON</v>
      </c>
      <c r="E12" s="35" t="s">
        <v>71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72</v>
      </c>
      <c r="I12" s="40"/>
      <c r="J12" s="4">
        <f>R12+IF(OR(H12="Junior",H12="Senior"),0.0002,IF(OR(H12="L7",H12="L6"),0.0001,0))+MAX(Z12,AC12)*0.0000001</f>
        <v>25.0002</v>
      </c>
      <c r="K12" s="3" t="str">
        <f>IF(G12="Not Age Eligible","",IF(MAX(T12,W12,Z12,AC12)&gt;=LOOKUP(G12,'Qualifying Scores'!$A$4:$A$7,'Qualifying Scores'!$F$4:$F$7),"P",""))</f>
        <v/>
      </c>
      <c r="L12" s="3" t="str">
        <f>IF(G12="Not Age Eligible","",IF(MAX(U12,X12,AA12,AD12)&gt;=LOOKUP(G12,'Qualifying Scores'!$A$10:$A$13,'Qualifying Scores'!$F$10:$F$13),"P",""))</f>
        <v/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/>
      </c>
      <c r="O12" s="36">
        <v>4</v>
      </c>
      <c r="Q12" s="1" t="str">
        <f>IF(A12&lt;5,IF(_xlfn.MAXIFS(A:A,G:G,G12)&gt;3,5-A12,_xlfn.MAXIFS(A:A,G:G,G12)+1-A12),"")</f>
        <v/>
      </c>
      <c r="R12" s="4">
        <f>MAX(T12-V12,W12-Y12,Z12-AB12,AC12-AE12)</f>
        <v>25</v>
      </c>
      <c r="S12" s="4">
        <f>IF(R12=T12-V12,MAX(W12-Y12,Z12-AB12,AC12-AE12),IF(R12=W12-Y12,MAX(T12-V12,Z12-AB12,AC12-AE12),IF(R12=Z12-AB12,MAX(T12-V12,W12-Y12,AC12-AE12),IF(R12=AC12-AE12,MAX(T12-V12,W12-Y12,Z12-AB12),0))))</f>
        <v>0</v>
      </c>
      <c r="T12" s="32">
        <v>25</v>
      </c>
      <c r="U12" s="37">
        <v>7.2</v>
      </c>
      <c r="V12" s="37">
        <v>0</v>
      </c>
      <c r="W12" s="33"/>
      <c r="X12" s="37"/>
      <c r="Y12" s="37"/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$58&lt;&gt;"")*(G$3:G$58=G13)*(J$3:J$58&gt;J13)*(I$3:I$58="P"))+1,IF(O13&lt;&gt;"",SUMPRODUCT((O$3:O$58&lt;&gt;"")*(P$3:P$58="")*(G$3:G$58=G13)*(J$3:J$58&gt;J13)*(I$3:I$58="P"))+SUMPRODUCT((P$3:P$58&lt;&gt;"")*(G$3:G$58=G13)*(I$3:I$58="P"))+1,IF(N13&lt;&gt;"",SUMPRODUCT((N$3:N$58&lt;&gt;"")*(G$3:G$58=G13)*(J$3:J$58&gt;J13)*(I$3:I$58="P"))+1,IF(M13="P",SUMPRODUCT((O$3:O$58&lt;&gt;"")*(P$3:P$58="")*(G$3:G$58=G13)*(I$3:I$58="P"))+SUMPRODUCT((P$3:P$58&lt;&gt;"")*(G$3:G$58=G13)*(I$3:I$58="P"))+SUMPRODUCT((N$3:N$58&lt;&gt;"")*(G$3:G$58=G13)*(I$3:I$58="P"))+SUMPRODUCT((P$3:P$58="")*(O$3:O$58="")*(N$3:N$58="")*(M$3:M$58="P")*(G$3:G$58=G13)*(J$3:J$58&gt;J13)*(I$3:I$58="P"))+IF(H13="L5",SUMPRODUCT((P$3:P$58="")*(O$3:O$58="")*(N$3:N$58="")*(M$3:M$58="P")*(G$3:G$58=G13)*(J$3:J$58&lt;J13)*(H$3:H$58&lt;&gt;H13)*(I$3:I$58="P")),-1*SUMPRODUCT((P$3:P$58="")*(O$3:O$58="")*(N$3:N$58="")*(M$3:M$58="P")*(G$3:G$58=G13)*(J$3:J$58&gt;J13)*(H$3:H$58="L5")*(I$3:I$58="P")))+1,"")))))</f>
        <v/>
      </c>
      <c r="B13" s="1" cm="1">
        <f t="array" ref="B13">IF(P13&lt;&gt;"",SUMPRODUCT((P$3:P$58&lt;&gt;"")*(G$3:G$58=G13)*(J$3:J$58&gt;J13))+1,IF(O13&lt;&gt;"",SUMPRODUCT((O$3:O$58&lt;&gt;"")*(P$3:P$58="")*(G$3:G$58=G13)*(J$3:J$58&gt;J13))+SUMPRODUCT((P$3:P$58&lt;&gt;"")*(G$3:G$58=G13))+1,IF(N13&lt;&gt;"",SUMPRODUCT((N$3:N$58&lt;&gt;"")*(G$3:G$58=G13)*(J$3:J$58&gt;J13))+1,IF(M13="P",SUMPRODUCT((O$3:O$58&lt;&gt;"")*(P$3:P$58="")*(G$3:G$58=G13))+SUMPRODUCT((P$3:P$58&lt;&gt;"")*(G$3:G$58=G13))+SUMPRODUCT((N$3:N$58&lt;&gt;"")*(G$3:G$58=G13))+SUMPRODUCT((P$3:P$58="")*(O$3:O$58="")*(N$3:N$58="")*(M$3:M$58="P")*(G$3:G$58=G13)*(J$3:J$58&gt;J13))+IF(H13="L5",SUMPRODUCT((P$3:P$58="")*(O$3:O$58="")*(N$3:N$58="")*(M$3:M$58="P")*(G$3:G$58=G13)*(J$3:J$58&lt;J13)*(H$3:H$58&lt;&gt;H13)),-1*SUMPRODUCT((P$3:P$58="")*(O$3:O$58="")*(N$3:N$58="")*(M$3:M$58="P")*(G$3:G$58=G13)*(J$3:J$58&gt;J13)*(H$3:H$58="L5")))+1,""))))</f>
        <v>11</v>
      </c>
      <c r="C13" s="35" t="s">
        <v>172</v>
      </c>
      <c r="D13" s="35" t="str">
        <f>IF(E13="","",VLOOKUP(E13,'Coaching Points'!A:B,2,0))</f>
        <v>QC</v>
      </c>
      <c r="E13" s="35" t="s">
        <v>3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72</v>
      </c>
      <c r="I13" s="40"/>
      <c r="J13" s="4">
        <f>R13+IF(OR(H13="Junior",H13="Senior"),0.0002,IF(OR(H13="L7",H13="L6"),0.0001,0))+MAX(Z13,AC13)*0.0000001</f>
        <v>51.0002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MAX(T13-V13,W13-Y13,Z13-AB13,AC13-AE13)</f>
        <v>51</v>
      </c>
      <c r="S13" s="4">
        <f>IF(R13=T13-V13,MAX(W13-Y13,Z13-AB13,AC13-AE13),IF(R13=W13-Y13,MAX(T13-V13,Z13-AB13,AC13-AE13),IF(R13=Z13-AB13,MAX(T13-V13,W13-Y13,AC13-AE13),IF(R13=AC13-AE13,MAX(T13-V13,W13-Y13,Z13-AB13),0))))</f>
        <v>0</v>
      </c>
      <c r="T13" s="32">
        <v>51</v>
      </c>
      <c r="U13" s="37">
        <v>15.2</v>
      </c>
      <c r="V13" s="37">
        <v>0</v>
      </c>
      <c r="W13" s="33"/>
      <c r="X13" s="37"/>
      <c r="Y13" s="37"/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$58&lt;&gt;"")*(G$3:G$58=G14)*(J$3:J$58&gt;J14)*(I$3:I$58="P"))+1,IF(O14&lt;&gt;"",SUMPRODUCT((O$3:O$58&lt;&gt;"")*(P$3:P$58="")*(G$3:G$58=G14)*(J$3:J$58&gt;J14)*(I$3:I$58="P"))+SUMPRODUCT((P$3:P$58&lt;&gt;"")*(G$3:G$58=G14)*(I$3:I$58="P"))+1,IF(N14&lt;&gt;"",SUMPRODUCT((N$3:N$58&lt;&gt;"")*(G$3:G$58=G14)*(J$3:J$58&gt;J14)*(I$3:I$58="P"))+1,IF(M14="P",SUMPRODUCT((O$3:O$58&lt;&gt;"")*(P$3:P$58="")*(G$3:G$58=G14)*(I$3:I$58="P"))+SUMPRODUCT((P$3:P$58&lt;&gt;"")*(G$3:G$58=G14)*(I$3:I$58="P"))+SUMPRODUCT((N$3:N$58&lt;&gt;"")*(G$3:G$58=G14)*(I$3:I$58="P"))+SUMPRODUCT((P$3:P$58="")*(O$3:O$58="")*(N$3:N$58="")*(M$3:M$58="P")*(G$3:G$58=G14)*(J$3:J$58&gt;J14)*(I$3:I$58="P"))+IF(H14="L5",SUMPRODUCT((P$3:P$58="")*(O$3:O$58="")*(N$3:N$58="")*(M$3:M$58="P")*(G$3:G$58=G14)*(J$3:J$58&lt;J14)*(H$3:H$58&lt;&gt;H14)*(I$3:I$58="P")),-1*SUMPRODUCT((P$3:P$58="")*(O$3:O$58="")*(N$3:N$58="")*(M$3:M$58="P")*(G$3:G$58=G14)*(J$3:J$58&gt;J14)*(H$3:H$58="L5")*(I$3:I$58="P")))+1,"")))))</f>
        <v/>
      </c>
      <c r="B14" s="1" cm="1">
        <f t="array" ref="B14">IF(P14&lt;&gt;"",SUMPRODUCT((P$3:P$58&lt;&gt;"")*(G$3:G$58=G14)*(J$3:J$58&gt;J14))+1,IF(O14&lt;&gt;"",SUMPRODUCT((O$3:O$58&lt;&gt;"")*(P$3:P$58="")*(G$3:G$58=G14)*(J$3:J$58&gt;J14))+SUMPRODUCT((P$3:P$58&lt;&gt;"")*(G$3:G$58=G14))+1,IF(N14&lt;&gt;"",SUMPRODUCT((N$3:N$58&lt;&gt;"")*(G$3:G$58=G14)*(J$3:J$58&gt;J14))+1,IF(M14="P",SUMPRODUCT((O$3:O$58&lt;&gt;"")*(P$3:P$58="")*(G$3:G$58=G14))+SUMPRODUCT((P$3:P$58&lt;&gt;"")*(G$3:G$58=G14))+SUMPRODUCT((N$3:N$58&lt;&gt;"")*(G$3:G$58=G14))+SUMPRODUCT((P$3:P$58="")*(O$3:O$58="")*(N$3:N$58="")*(M$3:M$58="P")*(G$3:G$58=G14)*(J$3:J$58&gt;J14))+IF(H14="L5",SUMPRODUCT((P$3:P$58="")*(O$3:O$58="")*(N$3:N$58="")*(M$3:M$58="P")*(G$3:G$58=G14)*(J$3:J$58&lt;J14)*(H$3:H$58&lt;&gt;H14)),-1*SUMPRODUCT((P$3:P$58="")*(O$3:O$58="")*(N$3:N$58="")*(M$3:M$58="P")*(G$3:G$58=G14)*(J$3:J$58&gt;J14)*(H$3:H$58="L5")))+1,""))))</f>
        <v>12</v>
      </c>
      <c r="C14" s="35" t="s">
        <v>83</v>
      </c>
      <c r="D14" s="35" t="str">
        <f>IF(E14="","",VLOOKUP(E14,'Coaching Points'!A:B,2,0))</f>
        <v>BC</v>
      </c>
      <c r="E14" s="35" t="s">
        <v>60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72</v>
      </c>
      <c r="I14" s="40"/>
      <c r="J14" s="4">
        <f>R14+IF(OR(H14="Junior",H14="Senior"),0.0002,IF(OR(H14="L7",H14="L6"),0.0001,0))+MAX(Z14,AC14)*0.0000001</f>
        <v>50.600200000000001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MAX(T14-V14,W14-Y14,Z14-AB14,AC14-AE14)</f>
        <v>50.6</v>
      </c>
      <c r="S14" s="4">
        <f>IF(R14=T14-V14,MAX(W14-Y14,Z14-AB14,AC14-AE14),IF(R14=W14-Y14,MAX(T14-V14,Z14-AB14,AC14-AE14),IF(R14=Z14-AB14,MAX(T14-V14,W14-Y14,AC14-AE14),IF(R14=AC14-AE14,MAX(T14-V14,W14-Y14,Z14-AB14),0))))</f>
        <v>49.6</v>
      </c>
      <c r="T14" s="32">
        <v>49.6</v>
      </c>
      <c r="U14" s="37">
        <v>14</v>
      </c>
      <c r="V14" s="37">
        <v>0</v>
      </c>
      <c r="W14" s="33">
        <v>50.6</v>
      </c>
      <c r="X14" s="37">
        <v>14.8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$58&lt;&gt;"")*(G$3:G$58=G15)*(J$3:J$58&gt;J15)*(I$3:I$58="P"))+1,IF(O15&lt;&gt;"",SUMPRODUCT((O$3:O$58&lt;&gt;"")*(P$3:P$58="")*(G$3:G$58=G15)*(J$3:J$58&gt;J15)*(I$3:I$58="P"))+SUMPRODUCT((P$3:P$58&lt;&gt;"")*(G$3:G$58=G15)*(I$3:I$58="P"))+1,IF(N15&lt;&gt;"",SUMPRODUCT((N$3:N$58&lt;&gt;"")*(G$3:G$58=G15)*(J$3:J$58&gt;J15)*(I$3:I$58="P"))+1,IF(M15="P",SUMPRODUCT((O$3:O$58&lt;&gt;"")*(P$3:P$58="")*(G$3:G$58=G15)*(I$3:I$58="P"))+SUMPRODUCT((P$3:P$58&lt;&gt;"")*(G$3:G$58=G15)*(I$3:I$58="P"))+SUMPRODUCT((N$3:N$58&lt;&gt;"")*(G$3:G$58=G15)*(I$3:I$58="P"))+SUMPRODUCT((P$3:P$58="")*(O$3:O$58="")*(N$3:N$58="")*(M$3:M$58="P")*(G$3:G$58=G15)*(J$3:J$58&gt;J15)*(I$3:I$58="P"))+IF(H15="L5",SUMPRODUCT((P$3:P$58="")*(O$3:O$58="")*(N$3:N$58="")*(M$3:M$58="P")*(G$3:G$58=G15)*(J$3:J$58&lt;J15)*(H$3:H$58&lt;&gt;H15)*(I$3:I$58="P")),-1*SUMPRODUCT((P$3:P$58="")*(O$3:O$58="")*(N$3:N$58="")*(M$3:M$58="P")*(G$3:G$58=G15)*(J$3:J$58&gt;J15)*(H$3:H$58="L5")*(I$3:I$58="P")))+1,"")))))</f>
        <v/>
      </c>
      <c r="B15" s="1" cm="1">
        <f t="array" ref="B15">IF(P15&lt;&gt;"",SUMPRODUCT((P$3:P$58&lt;&gt;"")*(G$3:G$58=G15)*(J$3:J$58&gt;J15))+1,IF(O15&lt;&gt;"",SUMPRODUCT((O$3:O$58&lt;&gt;"")*(P$3:P$58="")*(G$3:G$58=G15)*(J$3:J$58&gt;J15))+SUMPRODUCT((P$3:P$58&lt;&gt;"")*(G$3:G$58=G15))+1,IF(N15&lt;&gt;"",SUMPRODUCT((N$3:N$58&lt;&gt;"")*(G$3:G$58=G15)*(J$3:J$58&gt;J15))+1,IF(M15="P",SUMPRODUCT((O$3:O$58&lt;&gt;"")*(P$3:P$58="")*(G$3:G$58=G15))+SUMPRODUCT((P$3:P$58&lt;&gt;"")*(G$3:G$58=G15))+SUMPRODUCT((N$3:N$58&lt;&gt;"")*(G$3:G$58=G15))+SUMPRODUCT((P$3:P$58="")*(O$3:O$58="")*(N$3:N$58="")*(M$3:M$58="P")*(G$3:G$58=G15)*(J$3:J$58&gt;J15))+IF(H15="L5",SUMPRODUCT((P$3:P$58="")*(O$3:O$58="")*(N$3:N$58="")*(M$3:M$58="P")*(G$3:G$58=G15)*(J$3:J$58&lt;J15)*(H$3:H$58&lt;&gt;H15)),-1*SUMPRODUCT((P$3:P$58="")*(O$3:O$58="")*(N$3:N$58="")*(M$3:M$58="P")*(G$3:G$58=G15)*(J$3:J$58&gt;J15)*(H$3:H$58="L5")))+1,""))))</f>
        <v>13</v>
      </c>
      <c r="C15" s="35" t="s">
        <v>173</v>
      </c>
      <c r="D15" s="35" t="str">
        <f>IF(E15="","",VLOOKUP(E15,'Coaching Points'!A:B,2,0))</f>
        <v>QC</v>
      </c>
      <c r="E15" s="35" t="s">
        <v>200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72</v>
      </c>
      <c r="I15" s="40"/>
      <c r="J15" s="4">
        <f>R15+IF(OR(H15="Junior",H15="Senior"),0.0002,IF(OR(H15="L7",H15="L6"),0.0001,0))+MAX(Z15,AC15)*0.0000001</f>
        <v>49.900199999999998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MAX(T15-V15,W15-Y15,Z15-AB15,AC15-AE15)</f>
        <v>49.9</v>
      </c>
      <c r="S15" s="4">
        <f>IF(R15=T15-V15,MAX(W15-Y15,Z15-AB15,AC15-AE15),IF(R15=W15-Y15,MAX(T15-V15,Z15-AB15,AC15-AE15),IF(R15=Z15-AB15,MAX(T15-V15,W15-Y15,AC15-AE15),IF(R15=AC15-AE15,MAX(T15-V15,W15-Y15,Z15-AB15),0))))</f>
        <v>0</v>
      </c>
      <c r="T15" s="32">
        <v>49.9</v>
      </c>
      <c r="U15" s="37">
        <v>13.2</v>
      </c>
      <c r="V15" s="37">
        <v>0</v>
      </c>
      <c r="W15" s="33">
        <v>0</v>
      </c>
      <c r="X15" s="37">
        <v>0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$58&lt;&gt;"")*(G$3:G$58=G16)*(J$3:J$58&gt;J16)*(I$3:I$58="P"))+1,IF(O16&lt;&gt;"",SUMPRODUCT((O$3:O$58&lt;&gt;"")*(P$3:P$58="")*(G$3:G$58=G16)*(J$3:J$58&gt;J16)*(I$3:I$58="P"))+SUMPRODUCT((P$3:P$58&lt;&gt;"")*(G$3:G$58=G16)*(I$3:I$58="P"))+1,IF(N16&lt;&gt;"",SUMPRODUCT((N$3:N$58&lt;&gt;"")*(G$3:G$58=G16)*(J$3:J$58&gt;J16)*(I$3:I$58="P"))+1,IF(M16="P",SUMPRODUCT((O$3:O$58&lt;&gt;"")*(P$3:P$58="")*(G$3:G$58=G16)*(I$3:I$58="P"))+SUMPRODUCT((P$3:P$58&lt;&gt;"")*(G$3:G$58=G16)*(I$3:I$58="P"))+SUMPRODUCT((N$3:N$58&lt;&gt;"")*(G$3:G$58=G16)*(I$3:I$58="P"))+SUMPRODUCT((P$3:P$58="")*(O$3:O$58="")*(N$3:N$58="")*(M$3:M$58="P")*(G$3:G$58=G16)*(J$3:J$58&gt;J16)*(I$3:I$58="P"))+IF(H16="L5",SUMPRODUCT((P$3:P$58="")*(O$3:O$58="")*(N$3:N$58="")*(M$3:M$58="P")*(G$3:G$58=G16)*(J$3:J$58&lt;J16)*(H$3:H$58&lt;&gt;H16)*(I$3:I$58="P")),-1*SUMPRODUCT((P$3:P$58="")*(O$3:O$58="")*(N$3:N$58="")*(M$3:M$58="P")*(G$3:G$58=G16)*(J$3:J$58&gt;J16)*(H$3:H$58="L5")*(I$3:I$58="P")))+1,"")))))</f>
        <v/>
      </c>
      <c r="B16" s="1" cm="1">
        <f t="array" ref="B16">IF(P16&lt;&gt;"",SUMPRODUCT((P$3:P$58&lt;&gt;"")*(G$3:G$58=G16)*(J$3:J$58&gt;J16))+1,IF(O16&lt;&gt;"",SUMPRODUCT((O$3:O$58&lt;&gt;"")*(P$3:P$58="")*(G$3:G$58=G16)*(J$3:J$58&gt;J16))+SUMPRODUCT((P$3:P$58&lt;&gt;"")*(G$3:G$58=G16))+1,IF(N16&lt;&gt;"",SUMPRODUCT((N$3:N$58&lt;&gt;"")*(G$3:G$58=G16)*(J$3:J$58&gt;J16))+1,IF(M16="P",SUMPRODUCT((O$3:O$58&lt;&gt;"")*(P$3:P$58="")*(G$3:G$58=G16))+SUMPRODUCT((P$3:P$58&lt;&gt;"")*(G$3:G$58=G16))+SUMPRODUCT((N$3:N$58&lt;&gt;"")*(G$3:G$58=G16))+SUMPRODUCT((P$3:P$58="")*(O$3:O$58="")*(N$3:N$58="")*(M$3:M$58="P")*(G$3:G$58=G16)*(J$3:J$58&gt;J16))+IF(H16="L5",SUMPRODUCT((P$3:P$58="")*(O$3:O$58="")*(N$3:N$58="")*(M$3:M$58="P")*(G$3:G$58=G16)*(J$3:J$58&lt;J16)*(H$3:H$58&lt;&gt;H16)),-1*SUMPRODUCT((P$3:P$58="")*(O$3:O$58="")*(N$3:N$58="")*(M$3:M$58="P")*(G$3:G$58=G16)*(J$3:J$58&gt;J16)*(H$3:H$58="L5")))+1,""))))</f>
        <v>14</v>
      </c>
      <c r="C16" s="35" t="s">
        <v>255</v>
      </c>
      <c r="D16" s="35" t="str">
        <f>IF(E16="","",VLOOKUP(E16,'Coaching Points'!A:B,2,0))</f>
        <v>AB</v>
      </c>
      <c r="E16" s="35" t="s">
        <v>28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>R16+IF(OR(H16="Junior",H16="Senior"),0.0002,IF(OR(H16="L7",H16="L6"),0.0001,0))+MAX(Z16,AC16)*0.0000001</f>
        <v>49.600100000000005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MAX(T16-V16,W16-Y16,Z16-AB16,AC16-AE16)</f>
        <v>49.6</v>
      </c>
      <c r="S16" s="4">
        <f>IF(R16=T16-V16,MAX(W16-Y16,Z16-AB16,AC16-AE16),IF(R16=W16-Y16,MAX(T16-V16,Z16-AB16,AC16-AE16),IF(R16=Z16-AB16,MAX(T16-V16,W16-Y16,AC16-AE16),IF(R16=AC16-AE16,MAX(T16-V16,W16-Y16,Z16-AB16),0))))</f>
        <v>46.8</v>
      </c>
      <c r="T16" s="32">
        <v>46.8</v>
      </c>
      <c r="U16" s="37">
        <v>13.2</v>
      </c>
      <c r="V16" s="37">
        <v>0</v>
      </c>
      <c r="W16" s="33">
        <v>49.6</v>
      </c>
      <c r="X16" s="37">
        <v>14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$58&lt;&gt;"")*(G$3:G$58=G17)*(J$3:J$58&gt;J17)*(I$3:I$58="P"))+1,IF(O17&lt;&gt;"",SUMPRODUCT((O$3:O$58&lt;&gt;"")*(P$3:P$58="")*(G$3:G$58=G17)*(J$3:J$58&gt;J17)*(I$3:I$58="P"))+SUMPRODUCT((P$3:P$58&lt;&gt;"")*(G$3:G$58=G17)*(I$3:I$58="P"))+1,IF(N17&lt;&gt;"",SUMPRODUCT((N$3:N$58&lt;&gt;"")*(G$3:G$58=G17)*(J$3:J$58&gt;J17)*(I$3:I$58="P"))+1,IF(M17="P",SUMPRODUCT((O$3:O$58&lt;&gt;"")*(P$3:P$58="")*(G$3:G$58=G17)*(I$3:I$58="P"))+SUMPRODUCT((P$3:P$58&lt;&gt;"")*(G$3:G$58=G17)*(I$3:I$58="P"))+SUMPRODUCT((N$3:N$58&lt;&gt;"")*(G$3:G$58=G17)*(I$3:I$58="P"))+SUMPRODUCT((P$3:P$58="")*(O$3:O$58="")*(N$3:N$58="")*(M$3:M$58="P")*(G$3:G$58=G17)*(J$3:J$58&gt;J17)*(I$3:I$58="P"))+IF(H17="L5",SUMPRODUCT((P$3:P$58="")*(O$3:O$58="")*(N$3:N$58="")*(M$3:M$58="P")*(G$3:G$58=G17)*(J$3:J$58&lt;J17)*(H$3:H$58&lt;&gt;H17)*(I$3:I$58="P")),-1*SUMPRODUCT((P$3:P$58="")*(O$3:O$58="")*(N$3:N$58="")*(M$3:M$58="P")*(G$3:G$58=G17)*(J$3:J$58&gt;J17)*(H$3:H$58="L5")*(I$3:I$58="P")))+1,"")))))</f>
        <v/>
      </c>
      <c r="B17" s="1" cm="1">
        <f t="array" ref="B17">IF(P17&lt;&gt;"",SUMPRODUCT((P$3:P$58&lt;&gt;"")*(G$3:G$58=G17)*(J$3:J$58&gt;J17))+1,IF(O17&lt;&gt;"",SUMPRODUCT((O$3:O$58&lt;&gt;"")*(P$3:P$58="")*(G$3:G$58=G17)*(J$3:J$58&gt;J17))+SUMPRODUCT((P$3:P$58&lt;&gt;"")*(G$3:G$58=G17))+1,IF(N17&lt;&gt;"",SUMPRODUCT((N$3:N$58&lt;&gt;"")*(G$3:G$58=G17)*(J$3:J$58&gt;J17))+1,IF(M17="P",SUMPRODUCT((O$3:O$58&lt;&gt;"")*(P$3:P$58="")*(G$3:G$58=G17))+SUMPRODUCT((P$3:P$58&lt;&gt;"")*(G$3:G$58=G17))+SUMPRODUCT((N$3:N$58&lt;&gt;"")*(G$3:G$58=G17))+SUMPRODUCT((P$3:P$58="")*(O$3:O$58="")*(N$3:N$58="")*(M$3:M$58="P")*(G$3:G$58=G17)*(J$3:J$58&gt;J17))+IF(H17="L5",SUMPRODUCT((P$3:P$58="")*(O$3:O$58="")*(N$3:N$58="")*(M$3:M$58="P")*(G$3:G$58=G17)*(J$3:J$58&lt;J17)*(H$3:H$58&lt;&gt;H17)),-1*SUMPRODUCT((P$3:P$58="")*(O$3:O$58="")*(N$3:N$58="")*(M$3:M$58="P")*(G$3:G$58=G17)*(J$3:J$58&gt;J17)*(H$3:H$58="L5")))+1,""))))</f>
        <v>15</v>
      </c>
      <c r="C17" s="35" t="s">
        <v>186</v>
      </c>
      <c r="D17" s="35" t="str">
        <f>IF(E17="","",VLOOKUP(E17,'Coaching Points'!A:B,2,0))</f>
        <v>MB</v>
      </c>
      <c r="E17" s="35" t="s">
        <v>67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66</v>
      </c>
      <c r="I17" s="40"/>
      <c r="J17" s="4">
        <f>R17+IF(OR(H17="Junior",H17="Senior"),0.0002,IF(OR(H17="L7",H17="L6"),0.0001,0))+MAX(Z17,AC17)*0.0000001</f>
        <v>49.100100000000005</v>
      </c>
      <c r="K17" s="3" t="str">
        <f>IF(G17="Not Age Eligible","",IF(MAX(T17,W17,Z17,AC17)&gt;=LOOKUP(G17,'Qualifying Scores'!$A$4:$A$7,'Qualifying Scores'!$F$4:$F$7),"P",""))</f>
        <v>P</v>
      </c>
      <c r="L17" s="3" t="str">
        <f>IF(G17="Not Age Eligible","",IF(MAX(U17,X17,AA17,AD17)&gt;=LOOKUP(G17,'Qualifying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>P</v>
      </c>
      <c r="Q17" s="1" t="str">
        <f>IF(A17&lt;5,IF(_xlfn.MAXIFS(A:A,G:G,G17)&gt;3,5-A17,_xlfn.MAXIFS(A:A,G:G,G17)+1-A17),"")</f>
        <v/>
      </c>
      <c r="R17" s="4">
        <f>MAX(T17-V17,W17-Y17,Z17-AB17,AC17-AE17)</f>
        <v>49.1</v>
      </c>
      <c r="S17" s="4">
        <f>IF(R17=T17-V17,MAX(W17-Y17,Z17-AB17,AC17-AE17),IF(R17=W17-Y17,MAX(T17-V17,Z17-AB17,AC17-AE17),IF(R17=Z17-AB17,MAX(T17-V17,W17-Y17,AC17-AE17),IF(R17=AC17-AE17,MAX(T17-V17,W17-Y17,Z17-AB17),0))))</f>
        <v>47.5</v>
      </c>
      <c r="T17" s="32">
        <v>49.1</v>
      </c>
      <c r="U17" s="37">
        <v>12</v>
      </c>
      <c r="V17" s="37">
        <v>0</v>
      </c>
      <c r="W17" s="33">
        <v>47.5</v>
      </c>
      <c r="X17" s="37">
        <v>11.2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$58&lt;&gt;"")*(G$3:G$58=G18)*(J$3:J$58&gt;J18)*(I$3:I$58="P"))+1,IF(O18&lt;&gt;"",SUMPRODUCT((O$3:O$58&lt;&gt;"")*(P$3:P$58="")*(G$3:G$58=G18)*(J$3:J$58&gt;J18)*(I$3:I$58="P"))+SUMPRODUCT((P$3:P$58&lt;&gt;"")*(G$3:G$58=G18)*(I$3:I$58="P"))+1,IF(N18&lt;&gt;"",SUMPRODUCT((N$3:N$58&lt;&gt;"")*(G$3:G$58=G18)*(J$3:J$58&gt;J18)*(I$3:I$58="P"))+1,IF(M18="P",SUMPRODUCT((O$3:O$58&lt;&gt;"")*(P$3:P$58="")*(G$3:G$58=G18)*(I$3:I$58="P"))+SUMPRODUCT((P$3:P$58&lt;&gt;"")*(G$3:G$58=G18)*(I$3:I$58="P"))+SUMPRODUCT((N$3:N$58&lt;&gt;"")*(G$3:G$58=G18)*(I$3:I$58="P"))+SUMPRODUCT((P$3:P$58="")*(O$3:O$58="")*(N$3:N$58="")*(M$3:M$58="P")*(G$3:G$58=G18)*(J$3:J$58&gt;J18)*(I$3:I$58="P"))+IF(H18="L5",SUMPRODUCT((P$3:P$58="")*(O$3:O$58="")*(N$3:N$58="")*(M$3:M$58="P")*(G$3:G$58=G18)*(J$3:J$58&lt;J18)*(H$3:H$58&lt;&gt;H18)*(I$3:I$58="P")),-1*SUMPRODUCT((P$3:P$58="")*(O$3:O$58="")*(N$3:N$58="")*(M$3:M$58="P")*(G$3:G$58=G18)*(J$3:J$58&gt;J18)*(H$3:H$58="L5")*(I$3:I$58="P")))+1,"")))))</f>
        <v/>
      </c>
      <c r="B18" s="1" cm="1">
        <f t="array" ref="B18">IF(P18&lt;&gt;"",SUMPRODUCT((P$3:P$58&lt;&gt;"")*(G$3:G$58=G18)*(J$3:J$58&gt;J18))+1,IF(O18&lt;&gt;"",SUMPRODUCT((O$3:O$58&lt;&gt;"")*(P$3:P$58="")*(G$3:G$58=G18)*(J$3:J$58&gt;J18))+SUMPRODUCT((P$3:P$58&lt;&gt;"")*(G$3:G$58=G18))+1,IF(N18&lt;&gt;"",SUMPRODUCT((N$3:N$58&lt;&gt;"")*(G$3:G$58=G18)*(J$3:J$58&gt;J18))+1,IF(M18="P",SUMPRODUCT((O$3:O$58&lt;&gt;"")*(P$3:P$58="")*(G$3:G$58=G18))+SUMPRODUCT((P$3:P$58&lt;&gt;"")*(G$3:G$58=G18))+SUMPRODUCT((N$3:N$58&lt;&gt;"")*(G$3:G$58=G18))+SUMPRODUCT((P$3:P$58="")*(O$3:O$58="")*(N$3:N$58="")*(M$3:M$58="P")*(G$3:G$58=G18)*(J$3:J$58&gt;J18))+IF(H18="L5",SUMPRODUCT((P$3:P$58="")*(O$3:O$58="")*(N$3:N$58="")*(M$3:M$58="P")*(G$3:G$58=G18)*(J$3:J$58&lt;J18)*(H$3:H$58&lt;&gt;H18)),-1*SUMPRODUCT((P$3:P$58="")*(O$3:O$58="")*(N$3:N$58="")*(M$3:M$58="P")*(G$3:G$58=G18)*(J$3:J$58&gt;J18)*(H$3:H$58="L5")))+1,""))))</f>
        <v>16</v>
      </c>
      <c r="C18" s="35" t="s">
        <v>73</v>
      </c>
      <c r="D18" s="35" t="str">
        <f>IF(E18="","",VLOOKUP(E18,'Coaching Points'!A:B,2,0))</f>
        <v>ON</v>
      </c>
      <c r="E18" s="35" t="s">
        <v>97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66</v>
      </c>
      <c r="I18" s="40"/>
      <c r="J18" s="4">
        <f>R18+IF(OR(H18="Junior",H18="Senior"),0.0002,IF(OR(H18="L7",H18="L6"),0.0001,0))+MAX(Z18,AC18)*0.0000001</f>
        <v>48.700100000000006</v>
      </c>
      <c r="K18" s="3" t="str">
        <f>IF(G18="Not Age Eligible","",IF(MAX(T18,W18,Z18,AC18)&gt;=LOOKUP(G18,'Qualifying Scores'!$A$4:$A$7,'Qualifying Scores'!$F$4:$F$7),"P",""))</f>
        <v>P</v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>P</v>
      </c>
      <c r="Q18" s="1" t="str">
        <f>IF(A18&lt;5,IF(_xlfn.MAXIFS(A:A,G:G,G18)&gt;3,5-A18,_xlfn.MAXIFS(A:A,G:G,G18)+1-A18),"")</f>
        <v/>
      </c>
      <c r="R18" s="4">
        <f>MAX(T18-V18,W18-Y18,Z18-AB18,AC18-AE18)</f>
        <v>48.7</v>
      </c>
      <c r="S18" s="4">
        <f>IF(R18=T18-V18,MAX(W18-Y18,Z18-AB18,AC18-AE18),IF(R18=W18-Y18,MAX(T18-V18,Z18-AB18,AC18-AE18),IF(R18=Z18-AB18,MAX(T18-V18,W18-Y18,AC18-AE18),IF(R18=AC18-AE18,MAX(T18-V18,W18-Y18,Z18-AB18),0))))</f>
        <v>48.6</v>
      </c>
      <c r="T18" s="32">
        <v>48.6</v>
      </c>
      <c r="U18" s="37">
        <v>11.600000000000001</v>
      </c>
      <c r="V18" s="37">
        <v>0</v>
      </c>
      <c r="W18" s="33">
        <v>48.7</v>
      </c>
      <c r="X18" s="37">
        <v>13.2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$58&lt;&gt;"")*(G$3:G$58=G19)*(J$3:J$58&gt;J19)*(I$3:I$58="P"))+1,IF(O19&lt;&gt;"",SUMPRODUCT((O$3:O$58&lt;&gt;"")*(P$3:P$58="")*(G$3:G$58=G19)*(J$3:J$58&gt;J19)*(I$3:I$58="P"))+SUMPRODUCT((P$3:P$58&lt;&gt;"")*(G$3:G$58=G19)*(I$3:I$58="P"))+1,IF(N19&lt;&gt;"",SUMPRODUCT((N$3:N$58&lt;&gt;"")*(G$3:G$58=G19)*(J$3:J$58&gt;J19)*(I$3:I$58="P"))+1,IF(M19="P",SUMPRODUCT((O$3:O$58&lt;&gt;"")*(P$3:P$58="")*(G$3:G$58=G19)*(I$3:I$58="P"))+SUMPRODUCT((P$3:P$58&lt;&gt;"")*(G$3:G$58=G19)*(I$3:I$58="P"))+SUMPRODUCT((N$3:N$58&lt;&gt;"")*(G$3:G$58=G19)*(I$3:I$58="P"))+SUMPRODUCT((P$3:P$58="")*(O$3:O$58="")*(N$3:N$58="")*(M$3:M$58="P")*(G$3:G$58=G19)*(J$3:J$58&gt;J19)*(I$3:I$58="P"))+IF(H19="L5",SUMPRODUCT((P$3:P$58="")*(O$3:O$58="")*(N$3:N$58="")*(M$3:M$58="P")*(G$3:G$58=G19)*(J$3:J$58&lt;J19)*(H$3:H$58&lt;&gt;H19)*(I$3:I$58="P")),-1*SUMPRODUCT((P$3:P$58="")*(O$3:O$58="")*(N$3:N$58="")*(M$3:M$58="P")*(G$3:G$58=G19)*(J$3:J$58&gt;J19)*(H$3:H$58="L5")*(I$3:I$58="P")))+1,"")))))</f>
        <v/>
      </c>
      <c r="B19" s="1" cm="1">
        <f t="array" ref="B19">IF(P19&lt;&gt;"",SUMPRODUCT((P$3:P$58&lt;&gt;"")*(G$3:G$58=G19)*(J$3:J$58&gt;J19))+1,IF(O19&lt;&gt;"",SUMPRODUCT((O$3:O$58&lt;&gt;"")*(P$3:P$58="")*(G$3:G$58=G19)*(J$3:J$58&gt;J19))+SUMPRODUCT((P$3:P$58&lt;&gt;"")*(G$3:G$58=G19))+1,IF(N19&lt;&gt;"",SUMPRODUCT((N$3:N$58&lt;&gt;"")*(G$3:G$58=G19)*(J$3:J$58&gt;J19))+1,IF(M19="P",SUMPRODUCT((O$3:O$58&lt;&gt;"")*(P$3:P$58="")*(G$3:G$58=G19))+SUMPRODUCT((P$3:P$58&lt;&gt;"")*(G$3:G$58=G19))+SUMPRODUCT((N$3:N$58&lt;&gt;"")*(G$3:G$58=G19))+SUMPRODUCT((P$3:P$58="")*(O$3:O$58="")*(N$3:N$58="")*(M$3:M$58="P")*(G$3:G$58=G19)*(J$3:J$58&gt;J19))+IF(H19="L5",SUMPRODUCT((P$3:P$58="")*(O$3:O$58="")*(N$3:N$58="")*(M$3:M$58="P")*(G$3:G$58=G19)*(J$3:J$58&lt;J19)*(H$3:H$58&lt;&gt;H19)),-1*SUMPRODUCT((P$3:P$58="")*(O$3:O$58="")*(N$3:N$58="")*(M$3:M$58="P")*(G$3:G$58=G19)*(J$3:J$58&gt;J19)*(H$3:H$58="L5")))+1,""))))</f>
        <v>17</v>
      </c>
      <c r="C19" s="35" t="s">
        <v>95</v>
      </c>
      <c r="D19" s="35" t="str">
        <f>IF(E19="","",VLOOKUP(E19,'Coaching Points'!A:B,2,0))</f>
        <v>BC</v>
      </c>
      <c r="E19" s="35" t="s">
        <v>40</v>
      </c>
      <c r="F19" s="34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72</v>
      </c>
      <c r="I19" s="40"/>
      <c r="J19" s="4">
        <f>R19+IF(OR(H19="Junior",H19="Senior"),0.0002,IF(OR(H19="L7",H19="L6"),0.0001,0))+MAX(Z19,AC19)*0.0000001</f>
        <v>48.600200000000001</v>
      </c>
      <c r="K19" s="3" t="str">
        <f>IF(G19="Not Age Eligible","",IF(MAX(T19,W19,Z19,AC19)&gt;=LOOKUP(G19,'Qualifying Scores'!$A$4:$A$7,'Qualifying Scores'!$F$4:$F$7),"P",""))</f>
        <v>P</v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>P</v>
      </c>
      <c r="Q19" s="1" t="str">
        <f>IF(A19&lt;5,IF(_xlfn.MAXIFS(A:A,G:G,G19)&gt;3,5-A19,_xlfn.MAXIFS(A:A,G:G,G19)+1-A19),"")</f>
        <v/>
      </c>
      <c r="R19" s="4">
        <f>MAX(T19-V19,W19-Y19,Z19-AB19,AC19-AE19)</f>
        <v>48.6</v>
      </c>
      <c r="S19" s="4">
        <f>IF(R19=T19-V19,MAX(W19-Y19,Z19-AB19,AC19-AE19),IF(R19=W19-Y19,MAX(T19-V19,Z19-AB19,AC19-AE19),IF(R19=Z19-AB19,MAX(T19-V19,W19-Y19,AC19-AE19),IF(R19=AC19-AE19,MAX(T19-V19,W19-Y19,Z19-AB19),0))))</f>
        <v>0</v>
      </c>
      <c r="T19" s="32">
        <v>48.9</v>
      </c>
      <c r="U19" s="37">
        <v>14.8</v>
      </c>
      <c r="V19" s="37">
        <v>0.3</v>
      </c>
      <c r="W19" s="33"/>
      <c r="X19" s="37"/>
      <c r="Y19" s="37"/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$58&lt;&gt;"")*(G$3:G$58=G20)*(J$3:J$58&gt;J20)*(I$3:I$58="P"))+1,IF(O20&lt;&gt;"",SUMPRODUCT((O$3:O$58&lt;&gt;"")*(P$3:P$58="")*(G$3:G$58=G20)*(J$3:J$58&gt;J20)*(I$3:I$58="P"))+SUMPRODUCT((P$3:P$58&lt;&gt;"")*(G$3:G$58=G20)*(I$3:I$58="P"))+1,IF(N20&lt;&gt;"",SUMPRODUCT((N$3:N$58&lt;&gt;"")*(G$3:G$58=G20)*(J$3:J$58&gt;J20)*(I$3:I$58="P"))+1,IF(M20="P",SUMPRODUCT((O$3:O$58&lt;&gt;"")*(P$3:P$58="")*(G$3:G$58=G20)*(I$3:I$58="P"))+SUMPRODUCT((P$3:P$58&lt;&gt;"")*(G$3:G$58=G20)*(I$3:I$58="P"))+SUMPRODUCT((N$3:N$58&lt;&gt;"")*(G$3:G$58=G20)*(I$3:I$58="P"))+SUMPRODUCT((P$3:P$58="")*(O$3:O$58="")*(N$3:N$58="")*(M$3:M$58="P")*(G$3:G$58=G20)*(J$3:J$58&gt;J20)*(I$3:I$58="P"))+IF(H20="L5",SUMPRODUCT((P$3:P$58="")*(O$3:O$58="")*(N$3:N$58="")*(M$3:M$58="P")*(G$3:G$58=G20)*(J$3:J$58&lt;J20)*(H$3:H$58&lt;&gt;H20)*(I$3:I$58="P")),-1*SUMPRODUCT((P$3:P$58="")*(O$3:O$58="")*(N$3:N$58="")*(M$3:M$58="P")*(G$3:G$58=G20)*(J$3:J$58&gt;J20)*(H$3:H$58="L5")*(I$3:I$58="P")))+1,"")))))</f>
        <v/>
      </c>
      <c r="B20" s="1" t="str" cm="1">
        <f t="array" ref="B20">IF(P20&lt;&gt;"",SUMPRODUCT((P$3:P$58&lt;&gt;"")*(G$3:G$58=G20)*(J$3:J$58&gt;J20))+1,IF(O20&lt;&gt;"",SUMPRODUCT((O$3:O$58&lt;&gt;"")*(P$3:P$58="")*(G$3:G$58=G20)*(J$3:J$58&gt;J20))+SUMPRODUCT((P$3:P$58&lt;&gt;"")*(G$3:G$58=G20))+1,IF(N20&lt;&gt;"",SUMPRODUCT((N$3:N$58&lt;&gt;"")*(G$3:G$58=G20)*(J$3:J$58&gt;J20))+1,IF(M20="P",SUMPRODUCT((O$3:O$58&lt;&gt;"")*(P$3:P$58="")*(G$3:G$58=G20))+SUMPRODUCT((P$3:P$58&lt;&gt;"")*(G$3:G$58=G20))+SUMPRODUCT((N$3:N$58&lt;&gt;"")*(G$3:G$58=G20))+SUMPRODUCT((P$3:P$58="")*(O$3:O$58="")*(N$3:N$58="")*(M$3:M$58="P")*(G$3:G$58=G20)*(J$3:J$58&gt;J20))+IF(H20="L5",SUMPRODUCT((P$3:P$58="")*(O$3:O$58="")*(N$3:N$58="")*(M$3:M$58="P")*(G$3:G$58=G20)*(J$3:J$58&lt;J20)*(H$3:H$58&lt;&gt;H20)),-1*SUMPRODUCT((P$3:P$58="")*(O$3:O$58="")*(N$3:N$58="")*(M$3:M$58="P")*(G$3:G$58=G20)*(J$3:J$58&gt;J20)*(H$3:H$58="L5")))+1,""))))</f>
        <v/>
      </c>
      <c r="C20" s="35" t="s">
        <v>287</v>
      </c>
      <c r="D20" s="35" t="str">
        <f>IF(E20="","",VLOOKUP(E20,'Coaching Points'!A:B,2,0))</f>
        <v>BC</v>
      </c>
      <c r="E20" s="35" t="s">
        <v>60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72</v>
      </c>
      <c r="I20" s="40"/>
      <c r="J20" s="4">
        <f>R20+IF(OR(H20="Junior",H20="Senior"),0.0002,IF(OR(H20="L7",H20="L6"),0.0001,0))+MAX(Z20,AC20)*0.0000001</f>
        <v>47.300199999999997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47.3</v>
      </c>
      <c r="S20" s="4">
        <f>IF(R20=T20-V20,MAX(W20-Y20,Z20-AB20,AC20-AE20),IF(R20=W20-Y20,MAX(T20-V20,Z20-AB20,AC20-AE20),IF(R20=Z20-AB20,MAX(T20-V20,W20-Y20,AC20-AE20),IF(R20=AC20-AE20,MAX(T20-V20,W20-Y20,Z20-AB20),0))))</f>
        <v>0</v>
      </c>
      <c r="T20" s="32">
        <v>47.3</v>
      </c>
      <c r="U20" s="37">
        <v>12</v>
      </c>
      <c r="V20" s="37">
        <v>0</v>
      </c>
      <c r="W20" s="33"/>
      <c r="X20" s="37"/>
      <c r="Y20" s="37"/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$58&lt;&gt;"")*(G$3:G$58=G21)*(J$3:J$58&gt;J21)*(I$3:I$58="P"))+1,IF(O21&lt;&gt;"",SUMPRODUCT((O$3:O$58&lt;&gt;"")*(P$3:P$58="")*(G$3:G$58=G21)*(J$3:J$58&gt;J21)*(I$3:I$58="P"))+SUMPRODUCT((P$3:P$58&lt;&gt;"")*(G$3:G$58=G21)*(I$3:I$58="P"))+1,IF(N21&lt;&gt;"",SUMPRODUCT((N$3:N$58&lt;&gt;"")*(G$3:G$58=G21)*(J$3:J$58&gt;J21)*(I$3:I$58="P"))+1,IF(M21="P",SUMPRODUCT((O$3:O$58&lt;&gt;"")*(P$3:P$58="")*(G$3:G$58=G21)*(I$3:I$58="P"))+SUMPRODUCT((P$3:P$58&lt;&gt;"")*(G$3:G$58=G21)*(I$3:I$58="P"))+SUMPRODUCT((N$3:N$58&lt;&gt;"")*(G$3:G$58=G21)*(I$3:I$58="P"))+SUMPRODUCT((P$3:P$58="")*(O$3:O$58="")*(N$3:N$58="")*(M$3:M$58="P")*(G$3:G$58=G21)*(J$3:J$58&gt;J21)*(I$3:I$58="P"))+IF(H21="L5",SUMPRODUCT((P$3:P$58="")*(O$3:O$58="")*(N$3:N$58="")*(M$3:M$58="P")*(G$3:G$58=G21)*(J$3:J$58&lt;J21)*(H$3:H$58&lt;&gt;H21)*(I$3:I$58="P")),-1*SUMPRODUCT((P$3:P$58="")*(O$3:O$58="")*(N$3:N$58="")*(M$3:M$58="P")*(G$3:G$58=G21)*(J$3:J$58&gt;J21)*(H$3:H$58="L5")*(I$3:I$58="P")))+1,"")))))</f>
        <v/>
      </c>
      <c r="B21" s="1" t="str" cm="1">
        <f t="array" ref="B21">IF(P21&lt;&gt;"",SUMPRODUCT((P$3:P$58&lt;&gt;"")*(G$3:G$58=G21)*(J$3:J$58&gt;J21))+1,IF(O21&lt;&gt;"",SUMPRODUCT((O$3:O$58&lt;&gt;"")*(P$3:P$58="")*(G$3:G$58=G21)*(J$3:J$58&gt;J21))+SUMPRODUCT((P$3:P$58&lt;&gt;"")*(G$3:G$58=G21))+1,IF(N21&lt;&gt;"",SUMPRODUCT((N$3:N$58&lt;&gt;"")*(G$3:G$58=G21)*(J$3:J$58&gt;J21))+1,IF(M21="P",SUMPRODUCT((O$3:O$58&lt;&gt;"")*(P$3:P$58="")*(G$3:G$58=G21))+SUMPRODUCT((P$3:P$58&lt;&gt;"")*(G$3:G$58=G21))+SUMPRODUCT((N$3:N$58&lt;&gt;"")*(G$3:G$58=G21))+SUMPRODUCT((P$3:P$58="")*(O$3:O$58="")*(N$3:N$58="")*(M$3:M$58="P")*(G$3:G$58=G21)*(J$3:J$58&gt;J21))+IF(H21="L5",SUMPRODUCT((P$3:P$58="")*(O$3:O$58="")*(N$3:N$58="")*(M$3:M$58="P")*(G$3:G$58=G21)*(J$3:J$58&lt;J21)*(H$3:H$58&lt;&gt;H21)),-1*SUMPRODUCT((P$3:P$58="")*(O$3:O$58="")*(N$3:N$58="")*(M$3:M$58="P")*(G$3:G$58=G21)*(J$3:J$58&gt;J21)*(H$3:H$58="L5")))+1,""))))</f>
        <v/>
      </c>
      <c r="C21" s="35" t="s">
        <v>167</v>
      </c>
      <c r="D21" s="35" t="str">
        <f>IF(E21="","",VLOOKUP(E21,'Coaching Points'!A:B,2,0))</f>
        <v>AB</v>
      </c>
      <c r="E21" s="35" t="s">
        <v>39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72</v>
      </c>
      <c r="I21" s="40"/>
      <c r="J21" s="4">
        <f>R21+IF(OR(H21="Junior",H21="Senior"),0.0002,IF(OR(H21="L7",H21="L6"),0.0001,0))+MAX(Z21,AC21)*0.0000001</f>
        <v>46.800199999999997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46.8</v>
      </c>
      <c r="S21" s="4">
        <f>IF(R21=T21-V21,MAX(W21-Y21,Z21-AB21,AC21-AE21),IF(R21=W21-Y21,MAX(T21-V21,Z21-AB21,AC21-AE21),IF(R21=Z21-AB21,MAX(T21-V21,W21-Y21,AC21-AE21),IF(R21=AC21-AE21,MAX(T21-V21,W21-Y21,Z21-AB21),0))))</f>
        <v>0</v>
      </c>
      <c r="T21" s="32">
        <v>46.8</v>
      </c>
      <c r="U21" s="37">
        <v>11.2</v>
      </c>
      <c r="V21" s="37">
        <v>0</v>
      </c>
      <c r="W21" s="33"/>
      <c r="X21" s="37"/>
      <c r="Y21" s="37"/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$58&lt;&gt;"")*(G$3:G$58=G22)*(J$3:J$58&gt;J22)*(I$3:I$58="P"))+1,IF(O22&lt;&gt;"",SUMPRODUCT((O$3:O$58&lt;&gt;"")*(P$3:P$58="")*(G$3:G$58=G22)*(J$3:J$58&gt;J22)*(I$3:I$58="P"))+SUMPRODUCT((P$3:P$58&lt;&gt;"")*(G$3:G$58=G22)*(I$3:I$58="P"))+1,IF(N22&lt;&gt;"",SUMPRODUCT((N$3:N$58&lt;&gt;"")*(G$3:G$58=G22)*(J$3:J$58&gt;J22)*(I$3:I$58="P"))+1,IF(M22="P",SUMPRODUCT((O$3:O$58&lt;&gt;"")*(P$3:P$58="")*(G$3:G$58=G22)*(I$3:I$58="P"))+SUMPRODUCT((P$3:P$58&lt;&gt;"")*(G$3:G$58=G22)*(I$3:I$58="P"))+SUMPRODUCT((N$3:N$58&lt;&gt;"")*(G$3:G$58=G22)*(I$3:I$58="P"))+SUMPRODUCT((P$3:P$58="")*(O$3:O$58="")*(N$3:N$58="")*(M$3:M$58="P")*(G$3:G$58=G22)*(J$3:J$58&gt;J22)*(I$3:I$58="P"))+IF(H22="L5",SUMPRODUCT((P$3:P$58="")*(O$3:O$58="")*(N$3:N$58="")*(M$3:M$58="P")*(G$3:G$58=G22)*(J$3:J$58&lt;J22)*(H$3:H$58&lt;&gt;H22)*(I$3:I$58="P")),-1*SUMPRODUCT((P$3:P$58="")*(O$3:O$58="")*(N$3:N$58="")*(M$3:M$58="P")*(G$3:G$58=G22)*(J$3:J$58&gt;J22)*(H$3:H$58="L5")*(I$3:I$58="P")))+1,"")))))</f>
        <v/>
      </c>
      <c r="B22" s="1" t="str" cm="1">
        <f t="array" ref="B22">IF(P22&lt;&gt;"",SUMPRODUCT((P$3:P$58&lt;&gt;"")*(G$3:G$58=G22)*(J$3:J$58&gt;J22))+1,IF(O22&lt;&gt;"",SUMPRODUCT((O$3:O$58&lt;&gt;"")*(P$3:P$58="")*(G$3:G$58=G22)*(J$3:J$58&gt;J22))+SUMPRODUCT((P$3:P$58&lt;&gt;"")*(G$3:G$58=G22))+1,IF(N22&lt;&gt;"",SUMPRODUCT((N$3:N$58&lt;&gt;"")*(G$3:G$58=G22)*(J$3:J$58&gt;J22))+1,IF(M22="P",SUMPRODUCT((O$3:O$58&lt;&gt;"")*(P$3:P$58="")*(G$3:G$58=G22))+SUMPRODUCT((P$3:P$58&lt;&gt;"")*(G$3:G$58=G22))+SUMPRODUCT((N$3:N$58&lt;&gt;"")*(G$3:G$58=G22))+SUMPRODUCT((P$3:P$58="")*(O$3:O$58="")*(N$3:N$58="")*(M$3:M$58="P")*(G$3:G$58=G22)*(J$3:J$58&gt;J22))+IF(H22="L5",SUMPRODUCT((P$3:P$58="")*(O$3:O$58="")*(N$3:N$58="")*(M$3:M$58="P")*(G$3:G$58=G22)*(J$3:J$58&lt;J22)*(H$3:H$58&lt;&gt;H22)),-1*SUMPRODUCT((P$3:P$58="")*(O$3:O$58="")*(N$3:N$58="")*(M$3:M$58="P")*(G$3:G$58=G22)*(J$3:J$58&gt;J22)*(H$3:H$58="L5")))+1,""))))</f>
        <v/>
      </c>
      <c r="C22" s="35" t="s">
        <v>84</v>
      </c>
      <c r="D22" s="35" t="str">
        <f>IF(E22="","",VLOOKUP(E22,'Coaching Points'!A:B,2,0))</f>
        <v>AB</v>
      </c>
      <c r="E22" s="35" t="s">
        <v>68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>R22+IF(OR(H22="Junior",H22="Senior"),0.0002,IF(OR(H22="L7",H22="L6"),0.0001,0))+MAX(Z22,AC22)*0.0000001</f>
        <v>46.8001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MAX(T22-V22,W22-Y22,Z22-AB22,AC22-AE22)</f>
        <v>46.8</v>
      </c>
      <c r="S22" s="4">
        <f>IF(R22=T22-V22,MAX(W22-Y22,Z22-AB22,AC22-AE22),IF(R22=W22-Y22,MAX(T22-V22,Z22-AB22,AC22-AE22),IF(R22=Z22-AB22,MAX(T22-V22,W22-Y22,AC22-AE22),IF(R22=AC22-AE22,MAX(T22-V22,W22-Y22,Z22-AB22),0))))</f>
        <v>45.4</v>
      </c>
      <c r="T22" s="32">
        <v>45.4</v>
      </c>
      <c r="U22" s="37">
        <v>8.6999999999999993</v>
      </c>
      <c r="V22" s="37">
        <v>0</v>
      </c>
      <c r="W22" s="33">
        <v>46.8</v>
      </c>
      <c r="X22" s="37">
        <v>9.5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$58&lt;&gt;"")*(G$3:G$58=G23)*(J$3:J$58&gt;J23)*(I$3:I$58="P"))+1,IF(O23&lt;&gt;"",SUMPRODUCT((O$3:O$58&lt;&gt;"")*(P$3:P$58="")*(G$3:G$58=G23)*(J$3:J$58&gt;J23)*(I$3:I$58="P"))+SUMPRODUCT((P$3:P$58&lt;&gt;"")*(G$3:G$58=G23)*(I$3:I$58="P"))+1,IF(N23&lt;&gt;"",SUMPRODUCT((N$3:N$58&lt;&gt;"")*(G$3:G$58=G23)*(J$3:J$58&gt;J23)*(I$3:I$58="P"))+1,IF(M23="P",SUMPRODUCT((O$3:O$58&lt;&gt;"")*(P$3:P$58="")*(G$3:G$58=G23)*(I$3:I$58="P"))+SUMPRODUCT((P$3:P$58&lt;&gt;"")*(G$3:G$58=G23)*(I$3:I$58="P"))+SUMPRODUCT((N$3:N$58&lt;&gt;"")*(G$3:G$58=G23)*(I$3:I$58="P"))+SUMPRODUCT((P$3:P$58="")*(O$3:O$58="")*(N$3:N$58="")*(M$3:M$58="P")*(G$3:G$58=G23)*(J$3:J$58&gt;J23)*(I$3:I$58="P"))+IF(H23="L5",SUMPRODUCT((P$3:P$58="")*(O$3:O$58="")*(N$3:N$58="")*(M$3:M$58="P")*(G$3:G$58=G23)*(J$3:J$58&lt;J23)*(H$3:H$58&lt;&gt;H23)*(I$3:I$58="P")),-1*SUMPRODUCT((P$3:P$58="")*(O$3:O$58="")*(N$3:N$58="")*(M$3:M$58="P")*(G$3:G$58=G23)*(J$3:J$58&gt;J23)*(H$3:H$58="L5")*(I$3:I$58="P")))+1,"")))))</f>
        <v/>
      </c>
      <c r="B23" s="1" t="str" cm="1">
        <f t="array" ref="B23">IF(P23&lt;&gt;"",SUMPRODUCT((P$3:P$58&lt;&gt;"")*(G$3:G$58=G23)*(J$3:J$58&gt;J23))+1,IF(O23&lt;&gt;"",SUMPRODUCT((O$3:O$58&lt;&gt;"")*(P$3:P$58="")*(G$3:G$58=G23)*(J$3:J$58&gt;J23))+SUMPRODUCT((P$3:P$58&lt;&gt;"")*(G$3:G$58=G23))+1,IF(N23&lt;&gt;"",SUMPRODUCT((N$3:N$58&lt;&gt;"")*(G$3:G$58=G23)*(J$3:J$58&gt;J23))+1,IF(M23="P",SUMPRODUCT((O$3:O$58&lt;&gt;"")*(P$3:P$58="")*(G$3:G$58=G23))+SUMPRODUCT((P$3:P$58&lt;&gt;"")*(G$3:G$58=G23))+SUMPRODUCT((N$3:N$58&lt;&gt;"")*(G$3:G$58=G23))+SUMPRODUCT((P$3:P$58="")*(O$3:O$58="")*(N$3:N$58="")*(M$3:M$58="P")*(G$3:G$58=G23)*(J$3:J$58&gt;J23))+IF(H23="L5",SUMPRODUCT((P$3:P$58="")*(O$3:O$58="")*(N$3:N$58="")*(M$3:M$58="P")*(G$3:G$58=G23)*(J$3:J$58&lt;J23)*(H$3:H$58&lt;&gt;H23)),-1*SUMPRODUCT((P$3:P$58="")*(O$3:O$58="")*(N$3:N$58="")*(M$3:M$58="P")*(G$3:G$58=G23)*(J$3:J$58&gt;J23)*(H$3:H$58="L5")))+1,""))))</f>
        <v/>
      </c>
      <c r="C23" s="35" t="s">
        <v>171</v>
      </c>
      <c r="D23" s="35" t="str">
        <f>IF(E23="","",VLOOKUP(E23,'Coaching Points'!A:B,2,0))</f>
        <v>AB</v>
      </c>
      <c r="E23" s="35" t="s">
        <v>28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66</v>
      </c>
      <c r="I23" s="40"/>
      <c r="J23" s="4">
        <f>R23+IF(OR(H23="Junior",H23="Senior"),0.0002,IF(OR(H23="L7",H23="L6"),0.0001,0))+MAX(Z23,AC23)*0.0000001</f>
        <v>45.600100000000005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MAX(T23-V23,W23-Y23,Z23-AB23,AC23-AE23)</f>
        <v>45.6</v>
      </c>
      <c r="S23" s="4">
        <f>IF(R23=T23-V23,MAX(W23-Y23,Z23-AB23,AC23-AE23),IF(R23=W23-Y23,MAX(T23-V23,Z23-AB23,AC23-AE23),IF(R23=Z23-AB23,MAX(T23-V23,W23-Y23,AC23-AE23),IF(R23=AC23-AE23,MAX(T23-V23,W23-Y23,Z23-AB23),0))))</f>
        <v>24</v>
      </c>
      <c r="T23" s="32">
        <v>45.6</v>
      </c>
      <c r="U23" s="37">
        <v>9.6</v>
      </c>
      <c r="V23" s="37">
        <v>0</v>
      </c>
      <c r="W23" s="33">
        <v>24</v>
      </c>
      <c r="X23" s="37">
        <v>6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$58&lt;&gt;"")*(G$3:G$58=G24)*(J$3:J$58&gt;J24)*(I$3:I$58="P"))+1,IF(O24&lt;&gt;"",SUMPRODUCT((O$3:O$58&lt;&gt;"")*(P$3:P$58="")*(G$3:G$58=G24)*(J$3:J$58&gt;J24)*(I$3:I$58="P"))+SUMPRODUCT((P$3:P$58&lt;&gt;"")*(G$3:G$58=G24)*(I$3:I$58="P"))+1,IF(N24&lt;&gt;"",SUMPRODUCT((N$3:N$58&lt;&gt;"")*(G$3:G$58=G24)*(J$3:J$58&gt;J24)*(I$3:I$58="P"))+1,IF(M24="P",SUMPRODUCT((O$3:O$58&lt;&gt;"")*(P$3:P$58="")*(G$3:G$58=G24)*(I$3:I$58="P"))+SUMPRODUCT((P$3:P$58&lt;&gt;"")*(G$3:G$58=G24)*(I$3:I$58="P"))+SUMPRODUCT((N$3:N$58&lt;&gt;"")*(G$3:G$58=G24)*(I$3:I$58="P"))+SUMPRODUCT((P$3:P$58="")*(O$3:O$58="")*(N$3:N$58="")*(M$3:M$58="P")*(G$3:G$58=G24)*(J$3:J$58&gt;J24)*(I$3:I$58="P"))+IF(H24="L5",SUMPRODUCT((P$3:P$58="")*(O$3:O$58="")*(N$3:N$58="")*(M$3:M$58="P")*(G$3:G$58=G24)*(J$3:J$58&lt;J24)*(H$3:H$58&lt;&gt;H24)*(I$3:I$58="P")),-1*SUMPRODUCT((P$3:P$58="")*(O$3:O$58="")*(N$3:N$58="")*(M$3:M$58="P")*(G$3:G$58=G24)*(J$3:J$58&gt;J24)*(H$3:H$58="L5")*(I$3:I$58="P")))+1,"")))))</f>
        <v/>
      </c>
      <c r="B24" s="1" t="str" cm="1">
        <f t="array" ref="B24">IF(P24&lt;&gt;"",SUMPRODUCT((P$3:P$58&lt;&gt;"")*(G$3:G$58=G24)*(J$3:J$58&gt;J24))+1,IF(O24&lt;&gt;"",SUMPRODUCT((O$3:O$58&lt;&gt;"")*(P$3:P$58="")*(G$3:G$58=G24)*(J$3:J$58&gt;J24))+SUMPRODUCT((P$3:P$58&lt;&gt;"")*(G$3:G$58=G24))+1,IF(N24&lt;&gt;"",SUMPRODUCT((N$3:N$58&lt;&gt;"")*(G$3:G$58=G24)*(J$3:J$58&gt;J24))+1,IF(M24="P",SUMPRODUCT((O$3:O$58&lt;&gt;"")*(P$3:P$58="")*(G$3:G$58=G24))+SUMPRODUCT((P$3:P$58&lt;&gt;"")*(G$3:G$58=G24))+SUMPRODUCT((N$3:N$58&lt;&gt;"")*(G$3:G$58=G24))+SUMPRODUCT((P$3:P$58="")*(O$3:O$58="")*(N$3:N$58="")*(M$3:M$58="P")*(G$3:G$58=G24)*(J$3:J$58&gt;J24))+IF(H24="L5",SUMPRODUCT((P$3:P$58="")*(O$3:O$58="")*(N$3:N$58="")*(M$3:M$58="P")*(G$3:G$58=G24)*(J$3:J$58&lt;J24)*(H$3:H$58&lt;&gt;H24)),-1*SUMPRODUCT((P$3:P$58="")*(O$3:O$58="")*(N$3:N$58="")*(M$3:M$58="P")*(G$3:G$58=G24)*(J$3:J$58&gt;J24)*(H$3:H$58="L5")))+1,""))))</f>
        <v/>
      </c>
      <c r="C24" s="35" t="s">
        <v>288</v>
      </c>
      <c r="D24" s="35" t="str">
        <f>IF(E24="","",VLOOKUP(E24,'Coaching Points'!A:B,2,0))</f>
        <v>ON</v>
      </c>
      <c r="E24" s="35" t="s">
        <v>45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64</v>
      </c>
      <c r="I24" s="40"/>
      <c r="J24" s="4">
        <f>R24+IF(OR(H24="Junior",H24="Senior"),0.0002,IF(OR(H24="L7",H24="L6"),0.0001,0))+MAX(Z24,AC24)*0.0000001</f>
        <v>44.9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MAX(T24-V24,W24-Y24,Z24-AB24,AC24-AE24)</f>
        <v>44.9</v>
      </c>
      <c r="S24" s="4">
        <f>IF(R24=T24-V24,MAX(W24-Y24,Z24-AB24,AC24-AE24),IF(R24=W24-Y24,MAX(T24-V24,Z24-AB24,AC24-AE24),IF(R24=Z24-AB24,MAX(T24-V24,W24-Y24,AC24-AE24),IF(R24=AC24-AE24,MAX(T24-V24,W24-Y24,Z24-AB24),0))))</f>
        <v>20.6</v>
      </c>
      <c r="T24" s="32">
        <v>44.9</v>
      </c>
      <c r="U24" s="37">
        <v>7.1</v>
      </c>
      <c r="V24" s="37">
        <v>0</v>
      </c>
      <c r="W24" s="33">
        <v>20.6</v>
      </c>
      <c r="X24" s="37">
        <v>3.4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$58&lt;&gt;"")*(G$3:G$58=G25)*(J$3:J$58&gt;J25)*(I$3:I$58="P"))+1,IF(O25&lt;&gt;"",SUMPRODUCT((O$3:O$58&lt;&gt;"")*(P$3:P$58="")*(G$3:G$58=G25)*(J$3:J$58&gt;J25)*(I$3:I$58="P"))+SUMPRODUCT((P$3:P$58&lt;&gt;"")*(G$3:G$58=G25)*(I$3:I$58="P"))+1,IF(N25&lt;&gt;"",SUMPRODUCT((N$3:N$58&lt;&gt;"")*(G$3:G$58=G25)*(J$3:J$58&gt;J25)*(I$3:I$58="P"))+1,IF(M25="P",SUMPRODUCT((O$3:O$58&lt;&gt;"")*(P$3:P$58="")*(G$3:G$58=G25)*(I$3:I$58="P"))+SUMPRODUCT((P$3:P$58&lt;&gt;"")*(G$3:G$58=G25)*(I$3:I$58="P"))+SUMPRODUCT((N$3:N$58&lt;&gt;"")*(G$3:G$58=G25)*(I$3:I$58="P"))+SUMPRODUCT((P$3:P$58="")*(O$3:O$58="")*(N$3:N$58="")*(M$3:M$58="P")*(G$3:G$58=G25)*(J$3:J$58&gt;J25)*(I$3:I$58="P"))+IF(H25="L5",SUMPRODUCT((P$3:P$58="")*(O$3:O$58="")*(N$3:N$58="")*(M$3:M$58="P")*(G$3:G$58=G25)*(J$3:J$58&lt;J25)*(H$3:H$58&lt;&gt;H25)*(I$3:I$58="P")),-1*SUMPRODUCT((P$3:P$58="")*(O$3:O$58="")*(N$3:N$58="")*(M$3:M$58="P")*(G$3:G$58=G25)*(J$3:J$58&gt;J25)*(H$3:H$58="L5")*(I$3:I$58="P")))+1,"")))))</f>
        <v/>
      </c>
      <c r="B25" s="1" t="str" cm="1">
        <f t="array" ref="B25">IF(P25&lt;&gt;"",SUMPRODUCT((P$3:P$58&lt;&gt;"")*(G$3:G$58=G25)*(J$3:J$58&gt;J25))+1,IF(O25&lt;&gt;"",SUMPRODUCT((O$3:O$58&lt;&gt;"")*(P$3:P$58="")*(G$3:G$58=G25)*(J$3:J$58&gt;J25))+SUMPRODUCT((P$3:P$58&lt;&gt;"")*(G$3:G$58=G25))+1,IF(N25&lt;&gt;"",SUMPRODUCT((N$3:N$58&lt;&gt;"")*(G$3:G$58=G25)*(J$3:J$58&gt;J25))+1,IF(M25="P",SUMPRODUCT((O$3:O$58&lt;&gt;"")*(P$3:P$58="")*(G$3:G$58=G25))+SUMPRODUCT((P$3:P$58&lt;&gt;"")*(G$3:G$58=G25))+SUMPRODUCT((N$3:N$58&lt;&gt;"")*(G$3:G$58=G25))+SUMPRODUCT((P$3:P$58="")*(O$3:O$58="")*(N$3:N$58="")*(M$3:M$58="P")*(G$3:G$58=G25)*(J$3:J$58&gt;J25))+IF(H25="L5",SUMPRODUCT((P$3:P$58="")*(O$3:O$58="")*(N$3:N$58="")*(M$3:M$58="P")*(G$3:G$58=G25)*(J$3:J$58&lt;J25)*(H$3:H$58&lt;&gt;H25)),-1*SUMPRODUCT((P$3:P$58="")*(O$3:O$58="")*(N$3:N$58="")*(M$3:M$58="P")*(G$3:G$58=G25)*(J$3:J$58&gt;J25)*(H$3:H$58="L5")))+1,""))))</f>
        <v/>
      </c>
      <c r="C25" s="35" t="s">
        <v>168</v>
      </c>
      <c r="D25" s="35" t="str">
        <f>IF(E25="","",VLOOKUP(E25,'Coaching Points'!A:B,2,0))</f>
        <v>BC</v>
      </c>
      <c r="E25" s="35" t="s">
        <v>198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72</v>
      </c>
      <c r="I25" s="40"/>
      <c r="J25" s="4">
        <f>R25+IF(OR(H25="Junior",H25="Senior"),0.0002,IF(OR(H25="L7",H25="L6"),0.0001,0))+MAX(Z25,AC25)*0.0000001</f>
        <v>44.700200000000002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44.7</v>
      </c>
      <c r="S25" s="4">
        <f>IF(R25=T25-V25,MAX(W25-Y25,Z25-AB25,AC25-AE25),IF(R25=W25-Y25,MAX(T25-V25,Z25-AB25,AC25-AE25),IF(R25=Z25-AB25,MAX(T25-V25,W25-Y25,AC25-AE25),IF(R25=AC25-AE25,MAX(T25-V25,W25-Y25,Z25-AB25),0))))</f>
        <v>0</v>
      </c>
      <c r="T25" s="32">
        <v>44.7</v>
      </c>
      <c r="U25" s="37">
        <v>11.5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$58&lt;&gt;"")*(G$3:G$58=G26)*(J$3:J$58&gt;J26)*(I$3:I$58="P"))+1,IF(O26&lt;&gt;"",SUMPRODUCT((O$3:O$58&lt;&gt;"")*(P$3:P$58="")*(G$3:G$58=G26)*(J$3:J$58&gt;J26)*(I$3:I$58="P"))+SUMPRODUCT((P$3:P$58&lt;&gt;"")*(G$3:G$58=G26)*(I$3:I$58="P"))+1,IF(N26&lt;&gt;"",SUMPRODUCT((N$3:N$58&lt;&gt;"")*(G$3:G$58=G26)*(J$3:J$58&gt;J26)*(I$3:I$58="P"))+1,IF(M26="P",SUMPRODUCT((O$3:O$58&lt;&gt;"")*(P$3:P$58="")*(G$3:G$58=G26)*(I$3:I$58="P"))+SUMPRODUCT((P$3:P$58&lt;&gt;"")*(G$3:G$58=G26)*(I$3:I$58="P"))+SUMPRODUCT((N$3:N$58&lt;&gt;"")*(G$3:G$58=G26)*(I$3:I$58="P"))+SUMPRODUCT((P$3:P$58="")*(O$3:O$58="")*(N$3:N$58="")*(M$3:M$58="P")*(G$3:G$58=G26)*(J$3:J$58&gt;J26)*(I$3:I$58="P"))+IF(H26="L5",SUMPRODUCT((P$3:P$58="")*(O$3:O$58="")*(N$3:N$58="")*(M$3:M$58="P")*(G$3:G$58=G26)*(J$3:J$58&lt;J26)*(H$3:H$58&lt;&gt;H26)*(I$3:I$58="P")),-1*SUMPRODUCT((P$3:P$58="")*(O$3:O$58="")*(N$3:N$58="")*(M$3:M$58="P")*(G$3:G$58=G26)*(J$3:J$58&gt;J26)*(H$3:H$58="L5")*(I$3:I$58="P")))+1,"")))))</f>
        <v/>
      </c>
      <c r="B26" s="1" t="str" cm="1">
        <f t="array" ref="B26">IF(P26&lt;&gt;"",SUMPRODUCT((P$3:P$58&lt;&gt;"")*(G$3:G$58=G26)*(J$3:J$58&gt;J26))+1,IF(O26&lt;&gt;"",SUMPRODUCT((O$3:O$58&lt;&gt;"")*(P$3:P$58="")*(G$3:G$58=G26)*(J$3:J$58&gt;J26))+SUMPRODUCT((P$3:P$58&lt;&gt;"")*(G$3:G$58=G26))+1,IF(N26&lt;&gt;"",SUMPRODUCT((N$3:N$58&lt;&gt;"")*(G$3:G$58=G26)*(J$3:J$58&gt;J26))+1,IF(M26="P",SUMPRODUCT((O$3:O$58&lt;&gt;"")*(P$3:P$58="")*(G$3:G$58=G26))+SUMPRODUCT((P$3:P$58&lt;&gt;"")*(G$3:G$58=G26))+SUMPRODUCT((N$3:N$58&lt;&gt;"")*(G$3:G$58=G26))+SUMPRODUCT((P$3:P$58="")*(O$3:O$58="")*(N$3:N$58="")*(M$3:M$58="P")*(G$3:G$58=G26)*(J$3:J$58&gt;J26))+IF(H26="L5",SUMPRODUCT((P$3:P$58="")*(O$3:O$58="")*(N$3:N$58="")*(M$3:M$58="P")*(G$3:G$58=G26)*(J$3:J$58&lt;J26)*(H$3:H$58&lt;&gt;H26)),-1*SUMPRODUCT((P$3:P$58="")*(O$3:O$58="")*(N$3:N$58="")*(M$3:M$58="P")*(G$3:G$58=G26)*(J$3:J$58&gt;J26)*(H$3:H$58="L5")))+1,""))))</f>
        <v/>
      </c>
      <c r="C26" s="35" t="s">
        <v>174</v>
      </c>
      <c r="D26" s="35" t="str">
        <f>IF(E26="","",VLOOKUP(E26,'Coaching Points'!A:B,2,0))</f>
        <v>QC</v>
      </c>
      <c r="E26" s="35" t="s">
        <v>85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66</v>
      </c>
      <c r="I26" s="40"/>
      <c r="J26" s="4">
        <f>R26+IF(OR(H26="Junior",H26="Senior"),0.0002,IF(OR(H26="L7",H26="L6"),0.0001,0))+MAX(Z26,AC26)*0.0000001</f>
        <v>44.100100000000005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MAX(T26-V26,W26-Y26,Z26-AB26,AC26-AE26)</f>
        <v>44.1</v>
      </c>
      <c r="S26" s="4">
        <f>IF(R26=T26-V26,MAX(W26-Y26,Z26-AB26,AC26-AE26),IF(R26=W26-Y26,MAX(T26-V26,Z26-AB26,AC26-AE26),IF(R26=Z26-AB26,MAX(T26-V26,W26-Y26,AC26-AE26),IF(R26=AC26-AE26,MAX(T26-V26,W26-Y26,Z26-AB26),0))))</f>
        <v>42.9</v>
      </c>
      <c r="T26" s="32">
        <v>42.9</v>
      </c>
      <c r="U26" s="37">
        <v>8.6999999999999993</v>
      </c>
      <c r="V26" s="37">
        <v>0</v>
      </c>
      <c r="W26" s="33">
        <v>44.1</v>
      </c>
      <c r="X26" s="37">
        <v>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$58&lt;&gt;"")*(G$3:G$58=G27)*(J$3:J$58&gt;J27)*(I$3:I$58="P"))+1,IF(O27&lt;&gt;"",SUMPRODUCT((O$3:O$58&lt;&gt;"")*(P$3:P$58="")*(G$3:G$58=G27)*(J$3:J$58&gt;J27)*(I$3:I$58="P"))+SUMPRODUCT((P$3:P$58&lt;&gt;"")*(G$3:G$58=G27)*(I$3:I$58="P"))+1,IF(N27&lt;&gt;"",SUMPRODUCT((N$3:N$58&lt;&gt;"")*(G$3:G$58=G27)*(J$3:J$58&gt;J27)*(I$3:I$58="P"))+1,IF(M27="P",SUMPRODUCT((O$3:O$58&lt;&gt;"")*(P$3:P$58="")*(G$3:G$58=G27)*(I$3:I$58="P"))+SUMPRODUCT((P$3:P$58&lt;&gt;"")*(G$3:G$58=G27)*(I$3:I$58="P"))+SUMPRODUCT((N$3:N$58&lt;&gt;"")*(G$3:G$58=G27)*(I$3:I$58="P"))+SUMPRODUCT((P$3:P$58="")*(O$3:O$58="")*(N$3:N$58="")*(M$3:M$58="P")*(G$3:G$58=G27)*(J$3:J$58&gt;J27)*(I$3:I$58="P"))+IF(H27="L5",SUMPRODUCT((P$3:P$58="")*(O$3:O$58="")*(N$3:N$58="")*(M$3:M$58="P")*(G$3:G$58=G27)*(J$3:J$58&lt;J27)*(H$3:H$58&lt;&gt;H27)*(I$3:I$58="P")),-1*SUMPRODUCT((P$3:P$58="")*(O$3:O$58="")*(N$3:N$58="")*(M$3:M$58="P")*(G$3:G$58=G27)*(J$3:J$58&gt;J27)*(H$3:H$58="L5")*(I$3:I$58="P")))+1,"")))))</f>
        <v/>
      </c>
      <c r="B27" s="1" t="str" cm="1">
        <f t="array" ref="B27">IF(P27&lt;&gt;"",SUMPRODUCT((P$3:P$58&lt;&gt;"")*(G$3:G$58=G27)*(J$3:J$58&gt;J27))+1,IF(O27&lt;&gt;"",SUMPRODUCT((O$3:O$58&lt;&gt;"")*(P$3:P$58="")*(G$3:G$58=G27)*(J$3:J$58&gt;J27))+SUMPRODUCT((P$3:P$58&lt;&gt;"")*(G$3:G$58=G27))+1,IF(N27&lt;&gt;"",SUMPRODUCT((N$3:N$58&lt;&gt;"")*(G$3:G$58=G27)*(J$3:J$58&gt;J27))+1,IF(M27="P",SUMPRODUCT((O$3:O$58&lt;&gt;"")*(P$3:P$58="")*(G$3:G$58=G27))+SUMPRODUCT((P$3:P$58&lt;&gt;"")*(G$3:G$58=G27))+SUMPRODUCT((N$3:N$58&lt;&gt;"")*(G$3:G$58=G27))+SUMPRODUCT((P$3:P$58="")*(O$3:O$58="")*(N$3:N$58="")*(M$3:M$58="P")*(G$3:G$58=G27)*(J$3:J$58&gt;J27))+IF(H27="L5",SUMPRODUCT((P$3:P$58="")*(O$3:O$58="")*(N$3:N$58="")*(M$3:M$58="P")*(G$3:G$58=G27)*(J$3:J$58&lt;J27)*(H$3:H$58&lt;&gt;H27)),-1*SUMPRODUCT((P$3:P$58="")*(O$3:O$58="")*(N$3:N$58="")*(M$3:M$58="P")*(G$3:G$58=G27)*(J$3:J$58&gt;J27)*(H$3:H$58="L5")))+1,""))))</f>
        <v/>
      </c>
      <c r="C27" s="35" t="s">
        <v>282</v>
      </c>
      <c r="D27" s="35" t="str">
        <f>IF(E27="","",VLOOKUP(E27,'Coaching Points'!A:B,2,0))</f>
        <v>AB</v>
      </c>
      <c r="E27" s="35" t="s">
        <v>62</v>
      </c>
      <c r="F27" s="34">
        <v>2007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64</v>
      </c>
      <c r="I27" s="40"/>
      <c r="J27" s="4">
        <f>R27+IF(OR(H27="Junior",H27="Senior"),0.0002,IF(OR(H27="L7",H27="L6"),0.0001,0))+MAX(Z27,AC27)*0.0000001</f>
        <v>43.3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MAX(T27-V27,W27-Y27,Z27-AB27,AC27-AE27)</f>
        <v>43.3</v>
      </c>
      <c r="S27" s="4">
        <f>IF(R27=T27-V27,MAX(W27-Y27,Z27-AB27,AC27-AE27),IF(R27=W27-Y27,MAX(T27-V27,Z27-AB27,AC27-AE27),IF(R27=Z27-AB27,MAX(T27-V27,W27-Y27,AC27-AE27),IF(R27=AC27-AE27,MAX(T27-V27,W27-Y27,Z27-AB27),0))))</f>
        <v>39.5</v>
      </c>
      <c r="T27" s="32">
        <v>43.3</v>
      </c>
      <c r="U27" s="37">
        <v>7.9</v>
      </c>
      <c r="V27" s="37">
        <v>0</v>
      </c>
      <c r="W27" s="33">
        <v>39.5</v>
      </c>
      <c r="X27" s="37">
        <v>3.7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$58&lt;&gt;"")*(G$3:G$58=G28)*(J$3:J$58&gt;J28)*(I$3:I$58="P"))+1,IF(O28&lt;&gt;"",SUMPRODUCT((O$3:O$58&lt;&gt;"")*(P$3:P$58="")*(G$3:G$58=G28)*(J$3:J$58&gt;J28)*(I$3:I$58="P"))+SUMPRODUCT((P$3:P$58&lt;&gt;"")*(G$3:G$58=G28)*(I$3:I$58="P"))+1,IF(N28&lt;&gt;"",SUMPRODUCT((N$3:N$58&lt;&gt;"")*(G$3:G$58=G28)*(J$3:J$58&gt;J28)*(I$3:I$58="P"))+1,IF(M28="P",SUMPRODUCT((O$3:O$58&lt;&gt;"")*(P$3:P$58="")*(G$3:G$58=G28)*(I$3:I$58="P"))+SUMPRODUCT((P$3:P$58&lt;&gt;"")*(G$3:G$58=G28)*(I$3:I$58="P"))+SUMPRODUCT((N$3:N$58&lt;&gt;"")*(G$3:G$58=G28)*(I$3:I$58="P"))+SUMPRODUCT((P$3:P$58="")*(O$3:O$58="")*(N$3:N$58="")*(M$3:M$58="P")*(G$3:G$58=G28)*(J$3:J$58&gt;J28)*(I$3:I$58="P"))+IF(H28="L5",SUMPRODUCT((P$3:P$58="")*(O$3:O$58="")*(N$3:N$58="")*(M$3:M$58="P")*(G$3:G$58=G28)*(J$3:J$58&lt;J28)*(H$3:H$58&lt;&gt;H28)*(I$3:I$58="P")),-1*SUMPRODUCT((P$3:P$58="")*(O$3:O$58="")*(N$3:N$58="")*(M$3:M$58="P")*(G$3:G$58=G28)*(J$3:J$58&gt;J28)*(H$3:H$58="L5")*(I$3:I$58="P")))+1,"")))))</f>
        <v/>
      </c>
      <c r="B28" s="1" t="str" cm="1">
        <f t="array" ref="B28">IF(P28&lt;&gt;"",SUMPRODUCT((P$3:P$58&lt;&gt;"")*(G$3:G$58=G28)*(J$3:J$58&gt;J28))+1,IF(O28&lt;&gt;"",SUMPRODUCT((O$3:O$58&lt;&gt;"")*(P$3:P$58="")*(G$3:G$58=G28)*(J$3:J$58&gt;J28))+SUMPRODUCT((P$3:P$58&lt;&gt;"")*(G$3:G$58=G28))+1,IF(N28&lt;&gt;"",SUMPRODUCT((N$3:N$58&lt;&gt;"")*(G$3:G$58=G28)*(J$3:J$58&gt;J28))+1,IF(M28="P",SUMPRODUCT((O$3:O$58&lt;&gt;"")*(P$3:P$58="")*(G$3:G$58=G28))+SUMPRODUCT((P$3:P$58&lt;&gt;"")*(G$3:G$58=G28))+SUMPRODUCT((N$3:N$58&lt;&gt;"")*(G$3:G$58=G28))+SUMPRODUCT((P$3:P$58="")*(O$3:O$58="")*(N$3:N$58="")*(M$3:M$58="P")*(G$3:G$58=G28)*(J$3:J$58&gt;J28))+IF(H28="L5",SUMPRODUCT((P$3:P$58="")*(O$3:O$58="")*(N$3:N$58="")*(M$3:M$58="P")*(G$3:G$58=G28)*(J$3:J$58&lt;J28)*(H$3:H$58&lt;&gt;H28)),-1*SUMPRODUCT((P$3:P$58="")*(O$3:O$58="")*(N$3:N$58="")*(M$3:M$58="P")*(G$3:G$58=G28)*(J$3:J$58&gt;J28)*(H$3:H$58="L5")))+1,""))))</f>
        <v/>
      </c>
      <c r="C28" s="35" t="s">
        <v>298</v>
      </c>
      <c r="D28" s="35" t="str">
        <f>IF(E28="","",VLOOKUP(E28,'Coaching Points'!A:B,2,0))</f>
        <v>ON</v>
      </c>
      <c r="E28" s="35" t="s">
        <v>217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R28+IF(OR(H28="Junior",H28="Senior"),0.0002,IF(OR(H28="L7",H28="L6"),0.0001,0))+MAX(Z28,AC28)*0.0000001</f>
        <v>42.7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MAX(T28-V28,W28-Y28,Z28-AB28,AC28-AE28)</f>
        <v>42.7</v>
      </c>
      <c r="S28" s="4">
        <f>IF(R28=T28-V28,MAX(W28-Y28,Z28-AB28,AC28-AE28),IF(R28=W28-Y28,MAX(T28-V28,Z28-AB28,AC28-AE28),IF(R28=Z28-AB28,MAX(T28-V28,W28-Y28,AC28-AE28),IF(R28=AC28-AE28,MAX(T28-V28,W28-Y28,Z28-AB28),0))))</f>
        <v>21</v>
      </c>
      <c r="T28" s="32">
        <v>42.7</v>
      </c>
      <c r="U28" s="37">
        <v>8.6999999999999993</v>
      </c>
      <c r="V28" s="37">
        <v>0</v>
      </c>
      <c r="W28" s="33">
        <v>21</v>
      </c>
      <c r="X28" s="37">
        <v>3.4</v>
      </c>
      <c r="Y28" s="37">
        <v>0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$58&lt;&gt;"")*(G$3:G$58=G29)*(J$3:J$58&gt;J29)*(I$3:I$58="P"))+1,IF(O29&lt;&gt;"",SUMPRODUCT((O$3:O$58&lt;&gt;"")*(P$3:P$58="")*(G$3:G$58=G29)*(J$3:J$58&gt;J29)*(I$3:I$58="P"))+SUMPRODUCT((P$3:P$58&lt;&gt;"")*(G$3:G$58=G29)*(I$3:I$58="P"))+1,IF(N29&lt;&gt;"",SUMPRODUCT((N$3:N$58&lt;&gt;"")*(G$3:G$58=G29)*(J$3:J$58&gt;J29)*(I$3:I$58="P"))+1,IF(M29="P",SUMPRODUCT((O$3:O$58&lt;&gt;"")*(P$3:P$58="")*(G$3:G$58=G29)*(I$3:I$58="P"))+SUMPRODUCT((P$3:P$58&lt;&gt;"")*(G$3:G$58=G29)*(I$3:I$58="P"))+SUMPRODUCT((N$3:N$58&lt;&gt;"")*(G$3:G$58=G29)*(I$3:I$58="P"))+SUMPRODUCT((P$3:P$58="")*(O$3:O$58="")*(N$3:N$58="")*(M$3:M$58="P")*(G$3:G$58=G29)*(J$3:J$58&gt;J29)*(I$3:I$58="P"))+IF(H29="L5",SUMPRODUCT((P$3:P$58="")*(O$3:O$58="")*(N$3:N$58="")*(M$3:M$58="P")*(G$3:G$58=G29)*(J$3:J$58&lt;J29)*(H$3:H$58&lt;&gt;H29)*(I$3:I$58="P")),-1*SUMPRODUCT((P$3:P$58="")*(O$3:O$58="")*(N$3:N$58="")*(M$3:M$58="P")*(G$3:G$58=G29)*(J$3:J$58&gt;J29)*(H$3:H$58="L5")*(I$3:I$58="P")))+1,"")))))</f>
        <v/>
      </c>
      <c r="B29" s="1" t="str" cm="1">
        <f t="array" ref="B29">IF(P29&lt;&gt;"",SUMPRODUCT((P$3:P$58&lt;&gt;"")*(G$3:G$58=G29)*(J$3:J$58&gt;J29))+1,IF(O29&lt;&gt;"",SUMPRODUCT((O$3:O$58&lt;&gt;"")*(P$3:P$58="")*(G$3:G$58=G29)*(J$3:J$58&gt;J29))+SUMPRODUCT((P$3:P$58&lt;&gt;"")*(G$3:G$58=G29))+1,IF(N29&lt;&gt;"",SUMPRODUCT((N$3:N$58&lt;&gt;"")*(G$3:G$58=G29)*(J$3:J$58&gt;J29))+1,IF(M29="P",SUMPRODUCT((O$3:O$58&lt;&gt;"")*(P$3:P$58="")*(G$3:G$58=G29))+SUMPRODUCT((P$3:P$58&lt;&gt;"")*(G$3:G$58=G29))+SUMPRODUCT((N$3:N$58&lt;&gt;"")*(G$3:G$58=G29))+SUMPRODUCT((P$3:P$58="")*(O$3:O$58="")*(N$3:N$58="")*(M$3:M$58="P")*(G$3:G$58=G29)*(J$3:J$58&gt;J29))+IF(H29="L5",SUMPRODUCT((P$3:P$58="")*(O$3:O$58="")*(N$3:N$58="")*(M$3:M$58="P")*(G$3:G$58=G29)*(J$3:J$58&lt;J29)*(H$3:H$58&lt;&gt;H29)),-1*SUMPRODUCT((P$3:P$58="")*(O$3:O$58="")*(N$3:N$58="")*(M$3:M$58="P")*(G$3:G$58=G29)*(J$3:J$58&gt;J29)*(H$3:H$58="L5")))+1,""))))</f>
        <v/>
      </c>
      <c r="C29" s="35" t="s">
        <v>89</v>
      </c>
      <c r="D29" s="35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72</v>
      </c>
      <c r="I29" s="40"/>
      <c r="J29" s="4">
        <f>R29+IF(OR(H29="Junior",H29="Senior"),0.0002,IF(OR(H29="L7",H29="L6"),0.0001,0))+MAX(Z29,AC29)*0.0000001</f>
        <v>42.0002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MAX(T29-V29,W29-Y29,Z29-AB29,AC29-AE29)</f>
        <v>42</v>
      </c>
      <c r="S29" s="4">
        <f>IF(R29=T29-V29,MAX(W29-Y29,Z29-AB29,AC29-AE29),IF(R29=W29-Y29,MAX(T29-V29,Z29-AB29,AC29-AE29),IF(R29=Z29-AB29,MAX(T29-V29,W29-Y29,AC29-AE29),IF(R29=AC29-AE29,MAX(T29-V29,W29-Y29,Z29-AB29),0))))</f>
        <v>0</v>
      </c>
      <c r="T29" s="32">
        <v>42</v>
      </c>
      <c r="U29" s="37">
        <v>10.199999999999999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$58&lt;&gt;"")*(G$3:G$58=G30)*(J$3:J$58&gt;J30)*(I$3:I$58="P"))+1,IF(O30&lt;&gt;"",SUMPRODUCT((O$3:O$58&lt;&gt;"")*(P$3:P$58="")*(G$3:G$58=G30)*(J$3:J$58&gt;J30)*(I$3:I$58="P"))+SUMPRODUCT((P$3:P$58&lt;&gt;"")*(G$3:G$58=G30)*(I$3:I$58="P"))+1,IF(N30&lt;&gt;"",SUMPRODUCT((N$3:N$58&lt;&gt;"")*(G$3:G$58=G30)*(J$3:J$58&gt;J30)*(I$3:I$58="P"))+1,IF(M30="P",SUMPRODUCT((O$3:O$58&lt;&gt;"")*(P$3:P$58="")*(G$3:G$58=G30)*(I$3:I$58="P"))+SUMPRODUCT((P$3:P$58&lt;&gt;"")*(G$3:G$58=G30)*(I$3:I$58="P"))+SUMPRODUCT((N$3:N$58&lt;&gt;"")*(G$3:G$58=G30)*(I$3:I$58="P"))+SUMPRODUCT((P$3:P$58="")*(O$3:O$58="")*(N$3:N$58="")*(M$3:M$58="P")*(G$3:G$58=G30)*(J$3:J$58&gt;J30)*(I$3:I$58="P"))+IF(H30="L5",SUMPRODUCT((P$3:P$58="")*(O$3:O$58="")*(N$3:N$58="")*(M$3:M$58="P")*(G$3:G$58=G30)*(J$3:J$58&lt;J30)*(H$3:H$58&lt;&gt;H30)*(I$3:I$58="P")),-1*SUMPRODUCT((P$3:P$58="")*(O$3:O$58="")*(N$3:N$58="")*(M$3:M$58="P")*(G$3:G$58=G30)*(J$3:J$58&gt;J30)*(H$3:H$58="L5")*(I$3:I$58="P")))+1,"")))))</f>
        <v/>
      </c>
      <c r="B30" s="1" cm="1">
        <f t="array" ref="B30">IF(P30&lt;&gt;"",SUMPRODUCT((P$3:P$58&lt;&gt;"")*(G$3:G$58=G30)*(J$3:J$58&gt;J30))+1,IF(O30&lt;&gt;"",SUMPRODUCT((O$3:O$58&lt;&gt;"")*(P$3:P$58="")*(G$3:G$58=G30)*(J$3:J$58&gt;J30))+SUMPRODUCT((P$3:P$58&lt;&gt;"")*(G$3:G$58=G30))+1,IF(N30&lt;&gt;"",SUMPRODUCT((N$3:N$58&lt;&gt;"")*(G$3:G$58=G30)*(J$3:J$58&gt;J30))+1,IF(M30="P",SUMPRODUCT((O$3:O$58&lt;&gt;"")*(P$3:P$58="")*(G$3:G$58=G30))+SUMPRODUCT((P$3:P$58&lt;&gt;"")*(G$3:G$58=G30))+SUMPRODUCT((N$3:N$58&lt;&gt;"")*(G$3:G$58=G30))+SUMPRODUCT((P$3:P$58="")*(O$3:O$58="")*(N$3:N$58="")*(M$3:M$58="P")*(G$3:G$58=G30)*(J$3:J$58&gt;J30))+IF(H30="L5",SUMPRODUCT((P$3:P$58="")*(O$3:O$58="")*(N$3:N$58="")*(M$3:M$58="P")*(G$3:G$58=G30)*(J$3:J$58&lt;J30)*(H$3:H$58&lt;&gt;H30)),-1*SUMPRODUCT((P$3:P$58="")*(O$3:O$58="")*(N$3:N$58="")*(M$3:M$58="P")*(G$3:G$58=G30)*(J$3:J$58&gt;J30)*(H$3:H$58="L5")))+1,""))))</f>
        <v>1</v>
      </c>
      <c r="C30" s="35" t="s">
        <v>77</v>
      </c>
      <c r="D30" s="35" t="str">
        <f>IF(E30="","",VLOOKUP(E30,'Coaching Points'!A:B,2,0))</f>
        <v>AB</v>
      </c>
      <c r="E30" s="35" t="s">
        <v>62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6" t="s">
        <v>63</v>
      </c>
      <c r="I30" s="40"/>
      <c r="J30" s="4">
        <f>R30+IF(OR(H30="Junior",H30="Senior"),0.0002,IF(OR(H30="L7",H30="L6"),0.0001,0))+MAX(Z30,AC30)*0.0000001</f>
        <v>53.200200000000002</v>
      </c>
      <c r="K30" s="3" t="str">
        <f>IF(G30="Not Age Eligible","",IF(MAX(T30,W30,Z30,AC30)&gt;=LOOKUP(G30,'Qualifying Scores'!$A$4:$A$7,'Qualifying Scores'!$F$4:$F$7),"P",""))</f>
        <v>P</v>
      </c>
      <c r="L30" s="3" t="str">
        <f>IF(G30="Not Age Eligible","",IF(MAX(U30,X30,AA30,AD30)&gt;=LOOKUP(G30,'Qualifying Scores'!$A$10:$A$13,'Qualifying Scores'!$F$10:$F$13),"P",""))</f>
        <v>P</v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>P</v>
      </c>
      <c r="N30" s="36">
        <v>1</v>
      </c>
      <c r="Q30" s="1" t="str">
        <f>IF(A30&lt;5,IF(_xlfn.MAXIFS(A:A,G:G,G30)&gt;3,5-A30,_xlfn.MAXIFS(A:A,G:G,G30)+1-A30),"")</f>
        <v/>
      </c>
      <c r="R30" s="4">
        <f>MAX(T30-V30,W30-Y30,Z30-AB30,AC30-AE30)</f>
        <v>53.2</v>
      </c>
      <c r="S30" s="4">
        <f>IF(R30=T30-V30,MAX(W30-Y30,Z30-AB30,AC30-AE30),IF(R30=W30-Y30,MAX(T30-V30,Z30-AB30,AC30-AE30),IF(R30=Z30-AB30,MAX(T30-V30,W30-Y30,AC30-AE30),IF(R30=AC30-AE30,MAX(T30-V30,W30-Y30,Z30-AB30),0))))</f>
        <v>51.7</v>
      </c>
      <c r="T30" s="32">
        <v>51.7</v>
      </c>
      <c r="U30" s="37">
        <v>16.5</v>
      </c>
      <c r="V30" s="37">
        <v>0</v>
      </c>
      <c r="W30" s="33">
        <v>53.2</v>
      </c>
      <c r="X30" s="37">
        <v>16.5</v>
      </c>
      <c r="Y30" s="37">
        <v>0</v>
      </c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$58&lt;&gt;"")*(G$3:G$58=G31)*(J$3:J$58&gt;J31)*(I$3:I$58="P"))+1,IF(O31&lt;&gt;"",SUMPRODUCT((O$3:O$58&lt;&gt;"")*(P$3:P$58="")*(G$3:G$58=G31)*(J$3:J$58&gt;J31)*(I$3:I$58="P"))+SUMPRODUCT((P$3:P$58&lt;&gt;"")*(G$3:G$58=G31)*(I$3:I$58="P"))+1,IF(N31&lt;&gt;"",SUMPRODUCT((N$3:N$58&lt;&gt;"")*(G$3:G$58=G31)*(J$3:J$58&gt;J31)*(I$3:I$58="P"))+1,IF(M31="P",SUMPRODUCT((O$3:O$58&lt;&gt;"")*(P$3:P$58="")*(G$3:G$58=G31)*(I$3:I$58="P"))+SUMPRODUCT((P$3:P$58&lt;&gt;"")*(G$3:G$58=G31)*(I$3:I$58="P"))+SUMPRODUCT((N$3:N$58&lt;&gt;"")*(G$3:G$58=G31)*(I$3:I$58="P"))+SUMPRODUCT((P$3:P$58="")*(O$3:O$58="")*(N$3:N$58="")*(M$3:M$58="P")*(G$3:G$58=G31)*(J$3:J$58&gt;J31)*(I$3:I$58="P"))+IF(H31="L5",SUMPRODUCT((P$3:P$58="")*(O$3:O$58="")*(N$3:N$58="")*(M$3:M$58="P")*(G$3:G$58=G31)*(J$3:J$58&lt;J31)*(H$3:H$58&lt;&gt;H31)*(I$3:I$58="P")),-1*SUMPRODUCT((P$3:P$58="")*(O$3:O$58="")*(N$3:N$58="")*(M$3:M$58="P")*(G$3:G$58=G31)*(J$3:J$58&gt;J31)*(H$3:H$58="L5")*(I$3:I$58="P")))+1,"")))))</f>
        <v/>
      </c>
      <c r="B31" s="1" cm="1">
        <f t="array" ref="B31">IF(P31&lt;&gt;"",SUMPRODUCT((P$3:P$58&lt;&gt;"")*(G$3:G$58=G31)*(J$3:J$58&gt;J31))+1,IF(O31&lt;&gt;"",SUMPRODUCT((O$3:O$58&lt;&gt;"")*(P$3:P$58="")*(G$3:G$58=G31)*(J$3:J$58&gt;J31))+SUMPRODUCT((P$3:P$58&lt;&gt;"")*(G$3:G$58=G31))+1,IF(N31&lt;&gt;"",SUMPRODUCT((N$3:N$58&lt;&gt;"")*(G$3:G$58=G31)*(J$3:J$58&gt;J31))+1,IF(M31="P",SUMPRODUCT((O$3:O$58&lt;&gt;"")*(P$3:P$58="")*(G$3:G$58=G31))+SUMPRODUCT((P$3:P$58&lt;&gt;"")*(G$3:G$58=G31))+SUMPRODUCT((N$3:N$58&lt;&gt;"")*(G$3:G$58=G31))+SUMPRODUCT((P$3:P$58="")*(O$3:O$58="")*(N$3:N$58="")*(M$3:M$58="P")*(G$3:G$58=G31)*(J$3:J$58&gt;J31))+IF(H31="L5",SUMPRODUCT((P$3:P$58="")*(O$3:O$58="")*(N$3:N$58="")*(M$3:M$58="P")*(G$3:G$58=G31)*(J$3:J$58&lt;J31)*(H$3:H$58&lt;&gt;H31)),-1*SUMPRODUCT((P$3:P$58="")*(O$3:O$58="")*(N$3:N$58="")*(M$3:M$58="P")*(G$3:G$58=G31)*(J$3:J$58&gt;J31)*(H$3:H$58="L5")))+1,""))))</f>
        <v>2</v>
      </c>
      <c r="C31" s="35" t="s">
        <v>132</v>
      </c>
      <c r="D31" s="35" t="str">
        <f>IF(E31="","",VLOOKUP(E31,'Coaching Points'!A:B,2,0))</f>
        <v>AB</v>
      </c>
      <c r="E31" s="35" t="s">
        <v>62</v>
      </c>
      <c r="F31" s="34">
        <v>2008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6" t="s">
        <v>63</v>
      </c>
      <c r="I31" s="40"/>
      <c r="J31" s="4">
        <f>R31+IF(OR(H31="Junior",H31="Senior"),0.0002,IF(OR(H31="L7",H31="L6"),0.0001,0))+MAX(Z31,AC31)*0.0000001</f>
        <v>52.0002</v>
      </c>
      <c r="K31" s="3" t="str">
        <f>IF(G31="Not Age Eligible","",IF(MAX(T31,W31,Z31,AC31)&gt;=LOOKUP(G31,'Qualifying Scores'!$A$4:$A$7,'Qualifying Scores'!$F$4:$F$7),"P",""))</f>
        <v>P</v>
      </c>
      <c r="L31" s="3" t="str">
        <f>IF(G31="Not Age Eligible","",IF(MAX(U31,X31,AA31,AD31)&gt;=LOOKUP(G31,'Qualifying Scores'!$A$10:$A$13,'Qualifying Scores'!$F$10:$F$13),"P",""))</f>
        <v>P</v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>P</v>
      </c>
      <c r="N31" s="36">
        <v>2</v>
      </c>
      <c r="Q31" s="1" t="str">
        <f>IF(A31&lt;5,IF(_xlfn.MAXIFS(A:A,G:G,G31)&gt;3,5-A31,_xlfn.MAXIFS(A:A,G:G,G31)+1-A31),"")</f>
        <v/>
      </c>
      <c r="R31" s="4">
        <f>MAX(T31-V31,W31-Y31,Z31-AB31,AC31-AE31)</f>
        <v>52</v>
      </c>
      <c r="S31" s="4">
        <f>IF(R31=T31-V31,MAX(W31-Y31,Z31-AB31,AC31-AE31),IF(R31=W31-Y31,MAX(T31-V31,Z31-AB31,AC31-AE31),IF(R31=Z31-AB31,MAX(T31-V31,W31-Y31,AC31-AE31),IF(R31=AC31-AE31,MAX(T31-V31,W31-Y31,Z31-AB31),0))))</f>
        <v>52</v>
      </c>
      <c r="T31" s="32">
        <v>52</v>
      </c>
      <c r="U31" s="37">
        <v>15.2</v>
      </c>
      <c r="V31" s="37">
        <v>0</v>
      </c>
      <c r="W31" s="33">
        <v>52</v>
      </c>
      <c r="X31" s="37">
        <v>15.2</v>
      </c>
      <c r="Y31" s="37">
        <v>0</v>
      </c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$58&lt;&gt;"")*(G$3:G$58=G32)*(J$3:J$58&gt;J32)*(I$3:I$58="P"))+1,IF(O32&lt;&gt;"",SUMPRODUCT((O$3:O$58&lt;&gt;"")*(P$3:P$58="")*(G$3:G$58=G32)*(J$3:J$58&gt;J32)*(I$3:I$58="P"))+SUMPRODUCT((P$3:P$58&lt;&gt;"")*(G$3:G$58=G32)*(I$3:I$58="P"))+1,IF(N32&lt;&gt;"",SUMPRODUCT((N$3:N$58&lt;&gt;"")*(G$3:G$58=G32)*(J$3:J$58&gt;J32)*(I$3:I$58="P"))+1,IF(M32="P",SUMPRODUCT((O$3:O$58&lt;&gt;"")*(P$3:P$58="")*(G$3:G$58=G32)*(I$3:I$58="P"))+SUMPRODUCT((P$3:P$58&lt;&gt;"")*(G$3:G$58=G32)*(I$3:I$58="P"))+SUMPRODUCT((N$3:N$58&lt;&gt;"")*(G$3:G$58=G32)*(I$3:I$58="P"))+SUMPRODUCT((P$3:P$58="")*(O$3:O$58="")*(N$3:N$58="")*(M$3:M$58="P")*(G$3:G$58=G32)*(J$3:J$58&gt;J32)*(I$3:I$58="P"))+IF(H32="L5",SUMPRODUCT((P$3:P$58="")*(O$3:O$58="")*(N$3:N$58="")*(M$3:M$58="P")*(G$3:G$58=G32)*(J$3:J$58&lt;J32)*(H$3:H$58&lt;&gt;H32)*(I$3:I$58="P")),-1*SUMPRODUCT((P$3:P$58="")*(O$3:O$58="")*(N$3:N$58="")*(M$3:M$58="P")*(G$3:G$58=G32)*(J$3:J$58&gt;J32)*(H$3:H$58="L5")*(I$3:I$58="P")))+1,"")))))</f>
        <v/>
      </c>
      <c r="B32" s="1" cm="1">
        <f t="array" ref="B32">IF(P32&lt;&gt;"",SUMPRODUCT((P$3:P$58&lt;&gt;"")*(G$3:G$58=G32)*(J$3:J$58&gt;J32))+1,IF(O32&lt;&gt;"",SUMPRODUCT((O$3:O$58&lt;&gt;"")*(P$3:P$58="")*(G$3:G$58=G32)*(J$3:J$58&gt;J32))+SUMPRODUCT((P$3:P$58&lt;&gt;"")*(G$3:G$58=G32))+1,IF(N32&lt;&gt;"",SUMPRODUCT((N$3:N$58&lt;&gt;"")*(G$3:G$58=G32)*(J$3:J$58&gt;J32))+1,IF(M32="P",SUMPRODUCT((O$3:O$58&lt;&gt;"")*(P$3:P$58="")*(G$3:G$58=G32))+SUMPRODUCT((P$3:P$58&lt;&gt;"")*(G$3:G$58=G32))+SUMPRODUCT((N$3:N$58&lt;&gt;"")*(G$3:G$58=G32))+SUMPRODUCT((P$3:P$58="")*(O$3:O$58="")*(N$3:N$58="")*(M$3:M$58="P")*(G$3:G$58=G32)*(J$3:J$58&gt;J32))+IF(H32="L5",SUMPRODUCT((P$3:P$58="")*(O$3:O$58="")*(N$3:N$58="")*(M$3:M$58="P")*(G$3:G$58=G32)*(J$3:J$58&lt;J32)*(H$3:H$58&lt;&gt;H32)),-1*SUMPRODUCT((P$3:P$58="")*(O$3:O$58="")*(N$3:N$58="")*(M$3:M$58="P")*(G$3:G$58=G32)*(J$3:J$58&gt;J32)*(H$3:H$58="L5")))+1,""))))</f>
        <v>3</v>
      </c>
      <c r="C32" s="35" t="s">
        <v>76</v>
      </c>
      <c r="D32" s="35" t="str">
        <f>IF(E32="","",VLOOKUP(E32,'Coaching Points'!A:B,2,0))</f>
        <v>SK</v>
      </c>
      <c r="E32" s="35" t="s">
        <v>329</v>
      </c>
      <c r="F32" s="34">
        <v>2009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63</v>
      </c>
      <c r="I32" s="40"/>
      <c r="J32" s="4">
        <f>R32+IF(OR(H32="Junior",H32="Senior"),0.0002,IF(OR(H32="L7",H32="L6"),0.0001,0))+MAX(Z32,AC32)*0.0000001</f>
        <v>49.700200000000002</v>
      </c>
      <c r="K32" s="3" t="str">
        <f>IF(G32="Not Age Eligible","",IF(MAX(T32,W32,Z32,AC32)&gt;=LOOKUP(G32,'Qualifying Scores'!$A$4:$A$7,'Qualifying Scores'!$F$4:$F$7),"P",""))</f>
        <v>P</v>
      </c>
      <c r="L32" s="3" t="str">
        <f>IF(G32="Not Age Eligible","",IF(MAX(U32,X32,AA32,AD32)&gt;=LOOKUP(G32,'Qualifying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>P</v>
      </c>
      <c r="N32" s="36">
        <v>3</v>
      </c>
      <c r="Q32" s="1" t="str">
        <f>IF(A32&lt;5,IF(_xlfn.MAXIFS(A:A,G:G,G32)&gt;3,5-A32,_xlfn.MAXIFS(A:A,G:G,G32)+1-A32),"")</f>
        <v/>
      </c>
      <c r="R32" s="4">
        <f>MAX(T32-V32,W32-Y32,Z32-AB32,AC32-AE32)</f>
        <v>49.7</v>
      </c>
      <c r="S32" s="4">
        <f>IF(R32=T32-V32,MAX(W32-Y32,Z32-AB32,AC32-AE32),IF(R32=W32-Y32,MAX(T32-V32,Z32-AB32,AC32-AE32),IF(R32=Z32-AB32,MAX(T32-V32,W32-Y32,AC32-AE32),IF(R32=AC32-AE32,MAX(T32-V32,W32-Y32,Z32-AB32),0))))</f>
        <v>49.4</v>
      </c>
      <c r="T32" s="32">
        <v>49.4</v>
      </c>
      <c r="U32" s="37">
        <v>13.2</v>
      </c>
      <c r="V32" s="37">
        <v>0</v>
      </c>
      <c r="W32" s="33">
        <v>49.7</v>
      </c>
      <c r="X32" s="37">
        <v>13.2</v>
      </c>
      <c r="Y32" s="37">
        <v>0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$58&lt;&gt;"")*(G$3:G$58=G33)*(J$3:J$58&gt;J33)*(I$3:I$58="P"))+1,IF(O33&lt;&gt;"",SUMPRODUCT((O$3:O$58&lt;&gt;"")*(P$3:P$58="")*(G$3:G$58=G33)*(J$3:J$58&gt;J33)*(I$3:I$58="P"))+SUMPRODUCT((P$3:P$58&lt;&gt;"")*(G$3:G$58=G33)*(I$3:I$58="P"))+1,IF(N33&lt;&gt;"",SUMPRODUCT((N$3:N$58&lt;&gt;"")*(G$3:G$58=G33)*(J$3:J$58&gt;J33)*(I$3:I$58="P"))+1,IF(M33="P",SUMPRODUCT((O$3:O$58&lt;&gt;"")*(P$3:P$58="")*(G$3:G$58=G33)*(I$3:I$58="P"))+SUMPRODUCT((P$3:P$58&lt;&gt;"")*(G$3:G$58=G33)*(I$3:I$58="P"))+SUMPRODUCT((N$3:N$58&lt;&gt;"")*(G$3:G$58=G33)*(I$3:I$58="P"))+SUMPRODUCT((P$3:P$58="")*(O$3:O$58="")*(N$3:N$58="")*(M$3:M$58="P")*(G$3:G$58=G33)*(J$3:J$58&gt;J33)*(I$3:I$58="P"))+IF(H33="L5",SUMPRODUCT((P$3:P$58="")*(O$3:O$58="")*(N$3:N$58="")*(M$3:M$58="P")*(G$3:G$58=G33)*(J$3:J$58&lt;J33)*(H$3:H$58&lt;&gt;H33)*(I$3:I$58="P")),-1*SUMPRODUCT((P$3:P$58="")*(O$3:O$58="")*(N$3:N$58="")*(M$3:M$58="P")*(G$3:G$58=G33)*(J$3:J$58&gt;J33)*(H$3:H$58="L5")*(I$3:I$58="P")))+1,"")))))</f>
        <v/>
      </c>
      <c r="B33" s="1" cm="1">
        <f t="array" ref="B33">IF(P33&lt;&gt;"",SUMPRODUCT((P$3:P$58&lt;&gt;"")*(G$3:G$58=G33)*(J$3:J$58&gt;J33))+1,IF(O33&lt;&gt;"",SUMPRODUCT((O$3:O$58&lt;&gt;"")*(P$3:P$58="")*(G$3:G$58=G33)*(J$3:J$58&gt;J33))+SUMPRODUCT((P$3:P$58&lt;&gt;"")*(G$3:G$58=G33))+1,IF(N33&lt;&gt;"",SUMPRODUCT((N$3:N$58&lt;&gt;"")*(G$3:G$58=G33)*(J$3:J$58&gt;J33))+1,IF(M33="P",SUMPRODUCT((O$3:O$58&lt;&gt;"")*(P$3:P$58="")*(G$3:G$58=G33))+SUMPRODUCT((P$3:P$58&lt;&gt;"")*(G$3:G$58=G33))+SUMPRODUCT((N$3:N$58&lt;&gt;"")*(G$3:G$58=G33))+SUMPRODUCT((P$3:P$58="")*(O$3:O$58="")*(N$3:N$58="")*(M$3:M$58="P")*(G$3:G$58=G33)*(J$3:J$58&gt;J33))+IF(H33="L5",SUMPRODUCT((P$3:P$58="")*(O$3:O$58="")*(N$3:N$58="")*(M$3:M$58="P")*(G$3:G$58=G33)*(J$3:J$58&lt;J33)*(H$3:H$58&lt;&gt;H33)),-1*SUMPRODUCT((P$3:P$58="")*(O$3:O$58="")*(N$3:N$58="")*(M$3:M$58="P")*(G$3:G$58=G33)*(J$3:J$58&gt;J33)*(H$3:H$58="L5")))+1,""))))</f>
        <v>4</v>
      </c>
      <c r="C33" s="35" t="s">
        <v>184</v>
      </c>
      <c r="D33" s="35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63</v>
      </c>
      <c r="I33" s="40"/>
      <c r="J33" s="4">
        <f>R33+IF(OR(H33="Junior",H33="Senior"),0.0002,IF(OR(H33="L7",H33="L6"),0.0001,0))+MAX(Z33,AC33)*0.0000001</f>
        <v>48.200200000000002</v>
      </c>
      <c r="K33" s="3" t="str">
        <f>IF(G33="Not Age Eligible","",IF(MAX(T33,W33,Z33,AC33)&gt;=LOOKUP(G33,'Qualifying Scores'!$A$4:$A$7,'Qualifying Scores'!$F$4:$F$7),"P",""))</f>
        <v>P</v>
      </c>
      <c r="L33" s="3" t="str">
        <f>IF(G33="Not Age Eligible","",IF(MAX(U33,X33,AA33,AD33)&gt;=LOOKUP(G33,'Qualifying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>P</v>
      </c>
      <c r="N33" s="36">
        <v>4</v>
      </c>
      <c r="Q33" s="1" t="str">
        <f>IF(A33&lt;5,IF(_xlfn.MAXIFS(A:A,G:G,G33)&gt;3,5-A33,_xlfn.MAXIFS(A:A,G:G,G33)+1-A33),"")</f>
        <v/>
      </c>
      <c r="R33" s="4">
        <f>MAX(T33-V33,W33-Y33,Z33-AB33,AC33-AE33)</f>
        <v>48.2</v>
      </c>
      <c r="S33" s="4">
        <f>IF(R33=T33-V33,MAX(W33-Y33,Z33-AB33,AC33-AE33),IF(R33=W33-Y33,MAX(T33-V33,Z33-AB33,AC33-AE33),IF(R33=Z33-AB33,MAX(T33-V33,W33-Y33,AC33-AE33),IF(R33=AC33-AE33,MAX(T33-V33,W33-Y33,Z33-AB33),0))))</f>
        <v>24.4</v>
      </c>
      <c r="T33" s="32">
        <v>48.2</v>
      </c>
      <c r="U33" s="37">
        <v>13.2</v>
      </c>
      <c r="V33" s="37">
        <v>0</v>
      </c>
      <c r="W33" s="33">
        <v>24.4</v>
      </c>
      <c r="X33" s="37">
        <v>7.2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$58&lt;&gt;"")*(G$3:G$58=G34)*(J$3:J$58&gt;J34)*(I$3:I$58="P"))+1,IF(O34&lt;&gt;"",SUMPRODUCT((O$3:O$58&lt;&gt;"")*(P$3:P$58="")*(G$3:G$58=G34)*(J$3:J$58&gt;J34)*(I$3:I$58="P"))+SUMPRODUCT((P$3:P$58&lt;&gt;"")*(G$3:G$58=G34)*(I$3:I$58="P"))+1,IF(N34&lt;&gt;"",SUMPRODUCT((N$3:N$58&lt;&gt;"")*(G$3:G$58=G34)*(J$3:J$58&gt;J34)*(I$3:I$58="P"))+1,IF(M34="P",SUMPRODUCT((O$3:O$58&lt;&gt;"")*(P$3:P$58="")*(G$3:G$58=G34)*(I$3:I$58="P"))+SUMPRODUCT((P$3:P$58&lt;&gt;"")*(G$3:G$58=G34)*(I$3:I$58="P"))+SUMPRODUCT((N$3:N$58&lt;&gt;"")*(G$3:G$58=G34)*(I$3:I$58="P"))+SUMPRODUCT((P$3:P$58="")*(O$3:O$58="")*(N$3:N$58="")*(M$3:M$58="P")*(G$3:G$58=G34)*(J$3:J$58&gt;J34)*(I$3:I$58="P"))+IF(H34="L5",SUMPRODUCT((P$3:P$58="")*(O$3:O$58="")*(N$3:N$58="")*(M$3:M$58="P")*(G$3:G$58=G34)*(J$3:J$58&lt;J34)*(H$3:H$58&lt;&gt;H34)*(I$3:I$58="P")),-1*SUMPRODUCT((P$3:P$58="")*(O$3:O$58="")*(N$3:N$58="")*(M$3:M$58="P")*(G$3:G$58=G34)*(J$3:J$58&gt;J34)*(H$3:H$58="L5")*(I$3:I$58="P")))+1,"")))))</f>
        <v/>
      </c>
      <c r="B34" s="1" cm="1">
        <f t="array" ref="B34">IF(P34&lt;&gt;"",SUMPRODUCT((P$3:P$58&lt;&gt;"")*(G$3:G$58=G34)*(J$3:J$58&gt;J34))+1,IF(O34&lt;&gt;"",SUMPRODUCT((O$3:O$58&lt;&gt;"")*(P$3:P$58="")*(G$3:G$58=G34)*(J$3:J$58&gt;J34))+SUMPRODUCT((P$3:P$58&lt;&gt;"")*(G$3:G$58=G34))+1,IF(N34&lt;&gt;"",SUMPRODUCT((N$3:N$58&lt;&gt;"")*(G$3:G$58=G34)*(J$3:J$58&gt;J34))+1,IF(M34="P",SUMPRODUCT((O$3:O$58&lt;&gt;"")*(P$3:P$58="")*(G$3:G$58=G34))+SUMPRODUCT((P$3:P$58&lt;&gt;"")*(G$3:G$58=G34))+SUMPRODUCT((N$3:N$58&lt;&gt;"")*(G$3:G$58=G34))+SUMPRODUCT((P$3:P$58="")*(O$3:O$58="")*(N$3:N$58="")*(M$3:M$58="P")*(G$3:G$58=G34)*(J$3:J$58&gt;J34))+IF(H34="L5",SUMPRODUCT((P$3:P$58="")*(O$3:O$58="")*(N$3:N$58="")*(M$3:M$58="P")*(G$3:G$58=G34)*(J$3:J$58&lt;J34)*(H$3:H$58&lt;&gt;H34)),-1*SUMPRODUCT((P$3:P$58="")*(O$3:O$58="")*(N$3:N$58="")*(M$3:M$58="P")*(G$3:G$58=G34)*(J$3:J$58&gt;J34)*(H$3:H$58="L5")))+1,""))))</f>
        <v>5</v>
      </c>
      <c r="C34" s="35" t="s">
        <v>317</v>
      </c>
      <c r="D34" s="35" t="str">
        <f>IF(E34="","",VLOOKUP(E34,'Coaching Points'!A:B,2,0))</f>
        <v>AB</v>
      </c>
      <c r="E34" s="35" t="s">
        <v>56</v>
      </c>
      <c r="F34" s="34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63</v>
      </c>
      <c r="I34" s="40"/>
      <c r="J34" s="4">
        <f>R34+IF(OR(H34="Junior",H34="Senior"),0.0002,IF(OR(H34="L7",H34="L6"),0.0001,0))+MAX(Z34,AC34)*0.0000001</f>
        <v>47.900199999999998</v>
      </c>
      <c r="K34" s="3" t="str">
        <f>IF(G34="Not Age Eligible","",IF(MAX(T34,W34,Z34,AC34)&gt;=LOOKUP(G34,'Qualifying Scores'!$A$4:$A$7,'Qualifying Scores'!$F$4:$F$7),"P",""))</f>
        <v>P</v>
      </c>
      <c r="L34" s="3" t="str">
        <f>IF(G34="Not Age Eligible","",IF(MAX(U34,X34,AA34,AD34)&gt;=LOOKUP(G34,'Qualifying Scores'!$A$10:$A$13,'Qualifying Scores'!$F$10:$F$13),"P",""))</f>
        <v>P</v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>P</v>
      </c>
      <c r="Q34" s="1" t="str">
        <f>IF(A34&lt;5,IF(_xlfn.MAXIFS(A:A,G:G,G34)&gt;3,5-A34,_xlfn.MAXIFS(A:A,G:G,G34)+1-A34),"")</f>
        <v/>
      </c>
      <c r="R34" s="4">
        <f>MAX(T34-V34,W34-Y34,Z34-AB34,AC34-AE34)</f>
        <v>47.9</v>
      </c>
      <c r="S34" s="4">
        <f>IF(R34=T34-V34,MAX(W34-Y34,Z34-AB34,AC34-AE34),IF(R34=W34-Y34,MAX(T34-V34,Z34-AB34,AC34-AE34),IF(R34=Z34-AB34,MAX(T34-V34,W34-Y34,AC34-AE34),IF(R34=AC34-AE34,MAX(T34-V34,W34-Y34,Z34-AB34),0))))</f>
        <v>47.1</v>
      </c>
      <c r="T34" s="32">
        <v>47.1</v>
      </c>
      <c r="U34" s="37">
        <v>12.8</v>
      </c>
      <c r="V34" s="37">
        <v>0</v>
      </c>
      <c r="W34" s="33">
        <v>47.9</v>
      </c>
      <c r="X34" s="37">
        <v>12.9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$58&lt;&gt;"")*(G$3:G$58=G35)*(J$3:J$58&gt;J35)*(I$3:I$58="P"))+1,IF(O35&lt;&gt;"",SUMPRODUCT((O$3:O$58&lt;&gt;"")*(P$3:P$58="")*(G$3:G$58=G35)*(J$3:J$58&gt;J35)*(I$3:I$58="P"))+SUMPRODUCT((P$3:P$58&lt;&gt;"")*(G$3:G$58=G35)*(I$3:I$58="P"))+1,IF(N35&lt;&gt;"",SUMPRODUCT((N$3:N$58&lt;&gt;"")*(G$3:G$58=G35)*(J$3:J$58&gt;J35)*(I$3:I$58="P"))+1,IF(M35="P",SUMPRODUCT((O$3:O$58&lt;&gt;"")*(P$3:P$58="")*(G$3:G$58=G35)*(I$3:I$58="P"))+SUMPRODUCT((P$3:P$58&lt;&gt;"")*(G$3:G$58=G35)*(I$3:I$58="P"))+SUMPRODUCT((N$3:N$58&lt;&gt;"")*(G$3:G$58=G35)*(I$3:I$58="P"))+SUMPRODUCT((P$3:P$58="")*(O$3:O$58="")*(N$3:N$58="")*(M$3:M$58="P")*(G$3:G$58=G35)*(J$3:J$58&gt;J35)*(I$3:I$58="P"))+IF(H35="L5",SUMPRODUCT((P$3:P$58="")*(O$3:O$58="")*(N$3:N$58="")*(M$3:M$58="P")*(G$3:G$58=G35)*(J$3:J$58&lt;J35)*(H$3:H$58&lt;&gt;H35)*(I$3:I$58="P")),-1*SUMPRODUCT((P$3:P$58="")*(O$3:O$58="")*(N$3:N$58="")*(M$3:M$58="P")*(G$3:G$58=G35)*(J$3:J$58&gt;J35)*(H$3:H$58="L5")*(I$3:I$58="P")))+1,"")))))</f>
        <v/>
      </c>
      <c r="B35" s="1" t="str" cm="1">
        <f t="array" ref="B35">IF(P35&lt;&gt;"",SUMPRODUCT((P$3:P$58&lt;&gt;"")*(G$3:G$58=G35)*(J$3:J$58&gt;J35))+1,IF(O35&lt;&gt;"",SUMPRODUCT((O$3:O$58&lt;&gt;"")*(P$3:P$58="")*(G$3:G$58=G35)*(J$3:J$58&gt;J35))+SUMPRODUCT((P$3:P$58&lt;&gt;"")*(G$3:G$58=G35))+1,IF(N35&lt;&gt;"",SUMPRODUCT((N$3:N$58&lt;&gt;"")*(G$3:G$58=G35)*(J$3:J$58&gt;J35))+1,IF(M35="P",SUMPRODUCT((O$3:O$58&lt;&gt;"")*(P$3:P$58="")*(G$3:G$58=G35))+SUMPRODUCT((P$3:P$58&lt;&gt;"")*(G$3:G$58=G35))+SUMPRODUCT((N$3:N$58&lt;&gt;"")*(G$3:G$58=G35))+SUMPRODUCT((P$3:P$58="")*(O$3:O$58="")*(N$3:N$58="")*(M$3:M$58="P")*(G$3:G$58=G35)*(J$3:J$58&gt;J35))+IF(H35="L5",SUMPRODUCT((P$3:P$58="")*(O$3:O$58="")*(N$3:N$58="")*(M$3:M$58="P")*(G$3:G$58=G35)*(J$3:J$58&lt;J35)*(H$3:H$58&lt;&gt;H35)),-1*SUMPRODUCT((P$3:P$58="")*(O$3:O$58="")*(N$3:N$58="")*(M$3:M$58="P")*(G$3:G$58=G35)*(J$3:J$58&gt;J35)*(H$3:H$58="L5")))+1,""))))</f>
        <v/>
      </c>
      <c r="C35" s="35" t="s">
        <v>326</v>
      </c>
      <c r="D35" s="35" t="str">
        <f>IF(E35="","",VLOOKUP(E35,'Coaching Points'!A:B,2,0))</f>
        <v>ON</v>
      </c>
      <c r="E35" s="35" t="s">
        <v>97</v>
      </c>
      <c r="F35" s="34">
        <v>2009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65</v>
      </c>
      <c r="I35" s="40"/>
      <c r="J35" s="4">
        <f>R35+IF(OR(H35="Junior",H35="Senior"),0.0002,IF(OR(H35="L7",H35="L6"),0.0001,0))+MAX(Z35,AC35)*0.0000001</f>
        <v>47.500100000000003</v>
      </c>
      <c r="K35" s="3" t="str">
        <f>IF(G35="Not Age Eligible","",IF(MAX(T35,W35,Z35,AC35)&gt;=LOOKUP(G35,'Qualifying Scores'!$A$4:$A$7,'Qualifying Scores'!$F$4:$F$7),"P",""))</f>
        <v>P</v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MAX(T35-V35,W35-Y35,Z35-AB35,AC35-AE35)</f>
        <v>47.5</v>
      </c>
      <c r="S35" s="4">
        <f>IF(R35=T35-V35,MAX(W35-Y35,Z35-AB35,AC35-AE35),IF(R35=W35-Y35,MAX(T35-V35,Z35-AB35,AC35-AE35),IF(R35=Z35-AB35,MAX(T35-V35,W35-Y35,AC35-AE35),IF(R35=AC35-AE35,MAX(T35-V35,W35-Y35,Z35-AB35),0))))</f>
        <v>44.4</v>
      </c>
      <c r="T35" s="32">
        <v>47.5</v>
      </c>
      <c r="U35" s="37">
        <v>10</v>
      </c>
      <c r="V35" s="37">
        <v>0</v>
      </c>
      <c r="W35" s="33">
        <v>44.4</v>
      </c>
      <c r="X35" s="37">
        <v>7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$58&lt;&gt;"")*(G$3:G$58=G36)*(J$3:J$58&gt;J36)*(I$3:I$58="P"))+1,IF(O36&lt;&gt;"",SUMPRODUCT((O$3:O$58&lt;&gt;"")*(P$3:P$58="")*(G$3:G$58=G36)*(J$3:J$58&gt;J36)*(I$3:I$58="P"))+SUMPRODUCT((P$3:P$58&lt;&gt;"")*(G$3:G$58=G36)*(I$3:I$58="P"))+1,IF(N36&lt;&gt;"",SUMPRODUCT((N$3:N$58&lt;&gt;"")*(G$3:G$58=G36)*(J$3:J$58&gt;J36)*(I$3:I$58="P"))+1,IF(M36="P",SUMPRODUCT((O$3:O$58&lt;&gt;"")*(P$3:P$58="")*(G$3:G$58=G36)*(I$3:I$58="P"))+SUMPRODUCT((P$3:P$58&lt;&gt;"")*(G$3:G$58=G36)*(I$3:I$58="P"))+SUMPRODUCT((N$3:N$58&lt;&gt;"")*(G$3:G$58=G36)*(I$3:I$58="P"))+SUMPRODUCT((P$3:P$58="")*(O$3:O$58="")*(N$3:N$58="")*(M$3:M$58="P")*(G$3:G$58=G36)*(J$3:J$58&gt;J36)*(I$3:I$58="P"))+IF(H36="L5",SUMPRODUCT((P$3:P$58="")*(O$3:O$58="")*(N$3:N$58="")*(M$3:M$58="P")*(G$3:G$58=G36)*(J$3:J$58&lt;J36)*(H$3:H$58&lt;&gt;H36)*(I$3:I$58="P")),-1*SUMPRODUCT((P$3:P$58="")*(O$3:O$58="")*(N$3:N$58="")*(M$3:M$58="P")*(G$3:G$58=G36)*(J$3:J$58&gt;J36)*(H$3:H$58="L5")*(I$3:I$58="P")))+1,"")))))</f>
        <v/>
      </c>
      <c r="B36" s="1" t="str" cm="1">
        <f t="array" ref="B36">IF(P36&lt;&gt;"",SUMPRODUCT((P$3:P$58&lt;&gt;"")*(G$3:G$58=G36)*(J$3:J$58&gt;J36))+1,IF(O36&lt;&gt;"",SUMPRODUCT((O$3:O$58&lt;&gt;"")*(P$3:P$58="")*(G$3:G$58=G36)*(J$3:J$58&gt;J36))+SUMPRODUCT((P$3:P$58&lt;&gt;"")*(G$3:G$58=G36))+1,IF(N36&lt;&gt;"",SUMPRODUCT((N$3:N$58&lt;&gt;"")*(G$3:G$58=G36)*(J$3:J$58&gt;J36))+1,IF(M36="P",SUMPRODUCT((O$3:O$58&lt;&gt;"")*(P$3:P$58="")*(G$3:G$58=G36))+SUMPRODUCT((P$3:P$58&lt;&gt;"")*(G$3:G$58=G36))+SUMPRODUCT((N$3:N$58&lt;&gt;"")*(G$3:G$58=G36))+SUMPRODUCT((P$3:P$58="")*(O$3:O$58="")*(N$3:N$58="")*(M$3:M$58="P")*(G$3:G$58=G36)*(J$3:J$58&gt;J36))+IF(H36="L5",SUMPRODUCT((P$3:P$58="")*(O$3:O$58="")*(N$3:N$58="")*(M$3:M$58="P")*(G$3:G$58=G36)*(J$3:J$58&lt;J36)*(H$3:H$58&lt;&gt;H36)),-1*SUMPRODUCT((P$3:P$58="")*(O$3:O$58="")*(N$3:N$58="")*(M$3:M$58="P")*(G$3:G$58=G36)*(J$3:J$58&gt;J36)*(H$3:H$58="L5")))+1,""))))</f>
        <v/>
      </c>
      <c r="C36" s="35" t="s">
        <v>283</v>
      </c>
      <c r="D36" s="35" t="str">
        <f>IF(E36="","",VLOOKUP(E36,'Coaching Points'!A:B,2,0))</f>
        <v>AB</v>
      </c>
      <c r="E36" s="35" t="s">
        <v>28</v>
      </c>
      <c r="F36" s="34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65</v>
      </c>
      <c r="I36" s="40"/>
      <c r="J36" s="4">
        <f>R36+IF(OR(H36="Junior",H36="Senior"),0.0002,IF(OR(H36="L7",H36="L6"),0.0001,0))+MAX(Z36,AC36)*0.0000001</f>
        <v>45.200100000000006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MAX(T36-V36,W36-Y36,Z36-AB36,AC36-AE36)</f>
        <v>45.2</v>
      </c>
      <c r="S36" s="4">
        <f>IF(R36=T36-V36,MAX(W36-Y36,Z36-AB36,AC36-AE36),IF(R36=W36-Y36,MAX(T36-V36,Z36-AB36,AC36-AE36),IF(R36=Z36-AB36,MAX(T36-V36,W36-Y36,AC36-AE36),IF(R36=AC36-AE36,MAX(T36-V36,W36-Y36,Z36-AB36),0))))</f>
        <v>44.3</v>
      </c>
      <c r="T36" s="32">
        <v>44.3</v>
      </c>
      <c r="U36" s="37">
        <v>7.1</v>
      </c>
      <c r="V36" s="37">
        <v>0</v>
      </c>
      <c r="W36" s="33">
        <v>45.2</v>
      </c>
      <c r="X36" s="37">
        <v>9.1999999999999993</v>
      </c>
      <c r="Y36" s="37">
        <v>0</v>
      </c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$58&lt;&gt;"")*(G$3:G$58=G37)*(J$3:J$58&gt;J37)*(I$3:I$58="P"))+1,IF(O37&lt;&gt;"",SUMPRODUCT((O$3:O$58&lt;&gt;"")*(P$3:P$58="")*(G$3:G$58=G37)*(J$3:J$58&gt;J37)*(I$3:I$58="P"))+SUMPRODUCT((P$3:P$58&lt;&gt;"")*(G$3:G$58=G37)*(I$3:I$58="P"))+1,IF(N37&lt;&gt;"",SUMPRODUCT((N$3:N$58&lt;&gt;"")*(G$3:G$58=G37)*(J$3:J$58&gt;J37)*(I$3:I$58="P"))+1,IF(M37="P",SUMPRODUCT((O$3:O$58&lt;&gt;"")*(P$3:P$58="")*(G$3:G$58=G37)*(I$3:I$58="P"))+SUMPRODUCT((P$3:P$58&lt;&gt;"")*(G$3:G$58=G37)*(I$3:I$58="P"))+SUMPRODUCT((N$3:N$58&lt;&gt;"")*(G$3:G$58=G37)*(I$3:I$58="P"))+SUMPRODUCT((P$3:P$58="")*(O$3:O$58="")*(N$3:N$58="")*(M$3:M$58="P")*(G$3:G$58=G37)*(J$3:J$58&gt;J37)*(I$3:I$58="P"))+IF(H37="L5",SUMPRODUCT((P$3:P$58="")*(O$3:O$58="")*(N$3:N$58="")*(M$3:M$58="P")*(G$3:G$58=G37)*(J$3:J$58&lt;J37)*(H$3:H$58&lt;&gt;H37)*(I$3:I$58="P")),-1*SUMPRODUCT((P$3:P$58="")*(O$3:O$58="")*(N$3:N$58="")*(M$3:M$58="P")*(G$3:G$58=G37)*(J$3:J$58&gt;J37)*(H$3:H$58="L5")*(I$3:I$58="P")))+1,"")))))</f>
        <v/>
      </c>
      <c r="B37" s="1" t="str" cm="1">
        <f t="array" ref="B37">IF(P37&lt;&gt;"",SUMPRODUCT((P$3:P$58&lt;&gt;"")*(G$3:G$58=G37)*(J$3:J$58&gt;J37))+1,IF(O37&lt;&gt;"",SUMPRODUCT((O$3:O$58&lt;&gt;"")*(P$3:P$58="")*(G$3:G$58=G37)*(J$3:J$58&gt;J37))+SUMPRODUCT((P$3:P$58&lt;&gt;"")*(G$3:G$58=G37))+1,IF(N37&lt;&gt;"",SUMPRODUCT((N$3:N$58&lt;&gt;"")*(G$3:G$58=G37)*(J$3:J$58&gt;J37))+1,IF(M37="P",SUMPRODUCT((O$3:O$58&lt;&gt;"")*(P$3:P$58="")*(G$3:G$58=G37))+SUMPRODUCT((P$3:P$58&lt;&gt;"")*(G$3:G$58=G37))+SUMPRODUCT((N$3:N$58&lt;&gt;"")*(G$3:G$58=G37))+SUMPRODUCT((P$3:P$58="")*(O$3:O$58="")*(N$3:N$58="")*(M$3:M$58="P")*(G$3:G$58=G37)*(J$3:J$58&gt;J37))+IF(H37="L5",SUMPRODUCT((P$3:P$58="")*(O$3:O$58="")*(N$3:N$58="")*(M$3:M$58="P")*(G$3:G$58=G37)*(J$3:J$58&lt;J37)*(H$3:H$58&lt;&gt;H37)),-1*SUMPRODUCT((P$3:P$58="")*(O$3:O$58="")*(N$3:N$58="")*(M$3:M$58="P")*(G$3:G$58=G37)*(J$3:J$58&gt;J37)*(H$3:H$58="L5")))+1,""))))</f>
        <v/>
      </c>
      <c r="C37" s="35" t="s">
        <v>185</v>
      </c>
      <c r="D37" s="35" t="str">
        <f>IF(E37="","",VLOOKUP(E37,'Coaching Points'!A:B,2,0))</f>
        <v>BC</v>
      </c>
      <c r="E37" s="35" t="s">
        <v>40</v>
      </c>
      <c r="F37" s="34">
        <v>2009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64</v>
      </c>
      <c r="I37" s="40"/>
      <c r="J37" s="4">
        <f>R37+IF(OR(H37="Junior",H37="Senior"),0.0002,IF(OR(H37="L7",H37="L6"),0.0001,0))+MAX(Z37,AC37)*0.0000001</f>
        <v>45.2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MAX(T37-V37,W37-Y37,Z37-AB37,AC37-AE37)</f>
        <v>45.2</v>
      </c>
      <c r="S37" s="4">
        <f>IF(R37=T37-V37,MAX(W37-Y37,Z37-AB37,AC37-AE37),IF(R37=W37-Y37,MAX(T37-V37,Z37-AB37,AC37-AE37),IF(R37=Z37-AB37,MAX(T37-V37,W37-Y37,AC37-AE37),IF(R37=AC37-AE37,MAX(T37-V37,W37-Y37,Z37-AB37),0))))</f>
        <v>43.8</v>
      </c>
      <c r="T37" s="32">
        <v>43.8</v>
      </c>
      <c r="U37" s="37">
        <v>7.3000000000000007</v>
      </c>
      <c r="V37" s="37">
        <v>0</v>
      </c>
      <c r="W37" s="33">
        <v>45.2</v>
      </c>
      <c r="X37" s="37">
        <v>8.6999999999999993</v>
      </c>
      <c r="Y37" s="37">
        <v>0</v>
      </c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$58&lt;&gt;"")*(G$3:G$58=G38)*(J$3:J$58&gt;J38)*(I$3:I$58="P"))+1,IF(O38&lt;&gt;"",SUMPRODUCT((O$3:O$58&lt;&gt;"")*(P$3:P$58="")*(G$3:G$58=G38)*(J$3:J$58&gt;J38)*(I$3:I$58="P"))+SUMPRODUCT((P$3:P$58&lt;&gt;"")*(G$3:G$58=G38)*(I$3:I$58="P"))+1,IF(N38&lt;&gt;"",SUMPRODUCT((N$3:N$58&lt;&gt;"")*(G$3:G$58=G38)*(J$3:J$58&gt;J38)*(I$3:I$58="P"))+1,IF(M38="P",SUMPRODUCT((O$3:O$58&lt;&gt;"")*(P$3:P$58="")*(G$3:G$58=G38)*(I$3:I$58="P"))+SUMPRODUCT((P$3:P$58&lt;&gt;"")*(G$3:G$58=G38)*(I$3:I$58="P"))+SUMPRODUCT((N$3:N$58&lt;&gt;"")*(G$3:G$58=G38)*(I$3:I$58="P"))+SUMPRODUCT((P$3:P$58="")*(O$3:O$58="")*(N$3:N$58="")*(M$3:M$58="P")*(G$3:G$58=G38)*(J$3:J$58&gt;J38)*(I$3:I$58="P"))+IF(H38="L5",SUMPRODUCT((P$3:P$58="")*(O$3:O$58="")*(N$3:N$58="")*(M$3:M$58="P")*(G$3:G$58=G38)*(J$3:J$58&lt;J38)*(H$3:H$58&lt;&gt;H38)*(I$3:I$58="P")),-1*SUMPRODUCT((P$3:P$58="")*(O$3:O$58="")*(N$3:N$58="")*(M$3:M$58="P")*(G$3:G$58=G38)*(J$3:J$58&gt;J38)*(H$3:H$58="L5")*(I$3:I$58="P")))+1,"")))))</f>
        <v/>
      </c>
      <c r="B38" s="1" t="str" cm="1">
        <f t="array" ref="B38">IF(P38&lt;&gt;"",SUMPRODUCT((P$3:P$58&lt;&gt;"")*(G$3:G$58=G38)*(J$3:J$58&gt;J38))+1,IF(O38&lt;&gt;"",SUMPRODUCT((O$3:O$58&lt;&gt;"")*(P$3:P$58="")*(G$3:G$58=G38)*(J$3:J$58&gt;J38))+SUMPRODUCT((P$3:P$58&lt;&gt;"")*(G$3:G$58=G38))+1,IF(N38&lt;&gt;"",SUMPRODUCT((N$3:N$58&lt;&gt;"")*(G$3:G$58=G38)*(J$3:J$58&gt;J38))+1,IF(M38="P",SUMPRODUCT((O$3:O$58&lt;&gt;"")*(P$3:P$58="")*(G$3:G$58=G38))+SUMPRODUCT((P$3:P$58&lt;&gt;"")*(G$3:G$58=G38))+SUMPRODUCT((N$3:N$58&lt;&gt;"")*(G$3:G$58=G38))+SUMPRODUCT((P$3:P$58="")*(O$3:O$58="")*(N$3:N$58="")*(M$3:M$58="P")*(G$3:G$58=G38)*(J$3:J$58&gt;J38))+IF(H38="L5",SUMPRODUCT((P$3:P$58="")*(O$3:O$58="")*(N$3:N$58="")*(M$3:M$58="P")*(G$3:G$58=G38)*(J$3:J$58&lt;J38)*(H$3:H$58&lt;&gt;H38)),-1*SUMPRODUCT((P$3:P$58="")*(O$3:O$58="")*(N$3:N$58="")*(M$3:M$58="P")*(G$3:G$58=G38)*(J$3:J$58&gt;J38)*(H$3:H$58="L5")))+1,""))))</f>
        <v/>
      </c>
      <c r="C38" s="35" t="s">
        <v>295</v>
      </c>
      <c r="D38" s="35" t="str">
        <f>IF(E38="","",VLOOKUP(E38,'Coaching Points'!A:B,2,0))</f>
        <v>BC</v>
      </c>
      <c r="E38" s="35" t="s">
        <v>204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64</v>
      </c>
      <c r="I38" s="40"/>
      <c r="J38" s="4">
        <f>R38+IF(OR(H38="Junior",H38="Senior"),0.0002,IF(OR(H38="L7",H38="L6"),0.0001,0))+MAX(Z38,AC38)*0.0000001</f>
        <v>43.6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MAX(T38-V38,W38-Y38,Z38-AB38,AC38-AE38)</f>
        <v>43.6</v>
      </c>
      <c r="S38" s="4">
        <f>IF(R38=T38-V38,MAX(W38-Y38,Z38-AB38,AC38-AE38),IF(R38=W38-Y38,MAX(T38-V38,Z38-AB38,AC38-AE38),IF(R38=Z38-AB38,MAX(T38-V38,W38-Y38,AC38-AE38),IF(R38=AC38-AE38,MAX(T38-V38,W38-Y38,Z38-AB38),0))))</f>
        <v>42.7</v>
      </c>
      <c r="T38" s="32">
        <v>43.6</v>
      </c>
      <c r="U38" s="37">
        <v>7.1</v>
      </c>
      <c r="V38" s="37">
        <v>0</v>
      </c>
      <c r="W38" s="33">
        <v>42.7</v>
      </c>
      <c r="X38" s="37">
        <v>6.6999999999999993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$58&lt;&gt;"")*(G$3:G$58=G39)*(J$3:J$58&gt;J39)*(I$3:I$58="P"))+1,IF(O39&lt;&gt;"",SUMPRODUCT((O$3:O$58&lt;&gt;"")*(P$3:P$58="")*(G$3:G$58=G39)*(J$3:J$58&gt;J39)*(I$3:I$58="P"))+SUMPRODUCT((P$3:P$58&lt;&gt;"")*(G$3:G$58=G39)*(I$3:I$58="P"))+1,IF(N39&lt;&gt;"",SUMPRODUCT((N$3:N$58&lt;&gt;"")*(G$3:G$58=G39)*(J$3:J$58&gt;J39)*(I$3:I$58="P"))+1,IF(M39="P",SUMPRODUCT((O$3:O$58&lt;&gt;"")*(P$3:P$58="")*(G$3:G$58=G39)*(I$3:I$58="P"))+SUMPRODUCT((P$3:P$58&lt;&gt;"")*(G$3:G$58=G39)*(I$3:I$58="P"))+SUMPRODUCT((N$3:N$58&lt;&gt;"")*(G$3:G$58=G39)*(I$3:I$58="P"))+SUMPRODUCT((P$3:P$58="")*(O$3:O$58="")*(N$3:N$58="")*(M$3:M$58="P")*(G$3:G$58=G39)*(J$3:J$58&gt;J39)*(I$3:I$58="P"))+IF(H39="L5",SUMPRODUCT((P$3:P$58="")*(O$3:O$58="")*(N$3:N$58="")*(M$3:M$58="P")*(G$3:G$58=G39)*(J$3:J$58&lt;J39)*(H$3:H$58&lt;&gt;H39)*(I$3:I$58="P")),-1*SUMPRODUCT((P$3:P$58="")*(O$3:O$58="")*(N$3:N$58="")*(M$3:M$58="P")*(G$3:G$58=G39)*(J$3:J$58&gt;J39)*(H$3:H$58="L5")*(I$3:I$58="P")))+1,"")))))</f>
        <v/>
      </c>
      <c r="B39" s="1" t="str" cm="1">
        <f t="array" ref="B39">IF(P39&lt;&gt;"",SUMPRODUCT((P$3:P$58&lt;&gt;"")*(G$3:G$58=G39)*(J$3:J$58&gt;J39))+1,IF(O39&lt;&gt;"",SUMPRODUCT((O$3:O$58&lt;&gt;"")*(P$3:P$58="")*(G$3:G$58=G39)*(J$3:J$58&gt;J39))+SUMPRODUCT((P$3:P$58&lt;&gt;"")*(G$3:G$58=G39))+1,IF(N39&lt;&gt;"",SUMPRODUCT((N$3:N$58&lt;&gt;"")*(G$3:G$58=G39)*(J$3:J$58&gt;J39))+1,IF(M39="P",SUMPRODUCT((O$3:O$58&lt;&gt;"")*(P$3:P$58="")*(G$3:G$58=G39))+SUMPRODUCT((P$3:P$58&lt;&gt;"")*(G$3:G$58=G39))+SUMPRODUCT((N$3:N$58&lt;&gt;"")*(G$3:G$58=G39))+SUMPRODUCT((P$3:P$58="")*(O$3:O$58="")*(N$3:N$58="")*(M$3:M$58="P")*(G$3:G$58=G39)*(J$3:J$58&gt;J39))+IF(H39="L5",SUMPRODUCT((P$3:P$58="")*(O$3:O$58="")*(N$3:N$58="")*(M$3:M$58="P")*(G$3:G$58=G39)*(J$3:J$58&lt;J39)*(H$3:H$58&lt;&gt;H39)),-1*SUMPRODUCT((P$3:P$58="")*(O$3:O$58="")*(N$3:N$58="")*(M$3:M$58="P")*(G$3:G$58=G39)*(J$3:J$58&gt;J39)*(H$3:H$58="L5")))+1,""))))</f>
        <v/>
      </c>
      <c r="C39" s="35" t="s">
        <v>280</v>
      </c>
      <c r="D39" s="35" t="str">
        <f>IF(E39="","",VLOOKUP(E39,'Coaching Points'!A:B,2,0))</f>
        <v>ON</v>
      </c>
      <c r="E39" s="35" t="s">
        <v>45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64</v>
      </c>
      <c r="I39" s="40"/>
      <c r="J39" s="4">
        <f>R39+IF(OR(H39="Junior",H39="Senior"),0.0002,IF(OR(H39="L7",H39="L6"),0.0001,0))+MAX(Z39,AC39)*0.0000001</f>
        <v>43.6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MAX(T39-V39,W39-Y39,Z39-AB39,AC39-AE39)</f>
        <v>43.6</v>
      </c>
      <c r="S39" s="4">
        <f>IF(R39=T39-V39,MAX(W39-Y39,Z39-AB39,AC39-AE39),IF(R39=W39-Y39,MAX(T39-V39,Z39-AB39,AC39-AE39),IF(R39=Z39-AB39,MAX(T39-V39,W39-Y39,AC39-AE39),IF(R39=AC39-AE39,MAX(T39-V39,W39-Y39,Z39-AB39),0))))</f>
        <v>41</v>
      </c>
      <c r="T39" s="32">
        <v>41</v>
      </c>
      <c r="U39" s="37">
        <v>5.6000000000000005</v>
      </c>
      <c r="V39" s="37">
        <v>0</v>
      </c>
      <c r="W39" s="33">
        <v>43.6</v>
      </c>
      <c r="X39" s="37">
        <v>7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$58&lt;&gt;"")*(G$3:G$58=G40)*(J$3:J$58&gt;J40)*(I$3:I$58="P"))+1,IF(O40&lt;&gt;"",SUMPRODUCT((O$3:O$58&lt;&gt;"")*(P$3:P$58="")*(G$3:G$58=G40)*(J$3:J$58&gt;J40)*(I$3:I$58="P"))+SUMPRODUCT((P$3:P$58&lt;&gt;"")*(G$3:G$58=G40)*(I$3:I$58="P"))+1,IF(N40&lt;&gt;"",SUMPRODUCT((N$3:N$58&lt;&gt;"")*(G$3:G$58=G40)*(J$3:J$58&gt;J40)*(I$3:I$58="P"))+1,IF(M40="P",SUMPRODUCT((O$3:O$58&lt;&gt;"")*(P$3:P$58="")*(G$3:G$58=G40)*(I$3:I$58="P"))+SUMPRODUCT((P$3:P$58&lt;&gt;"")*(G$3:G$58=G40)*(I$3:I$58="P"))+SUMPRODUCT((N$3:N$58&lt;&gt;"")*(G$3:G$58=G40)*(I$3:I$58="P"))+SUMPRODUCT((P$3:P$58="")*(O$3:O$58="")*(N$3:N$58="")*(M$3:M$58="P")*(G$3:G$58=G40)*(J$3:J$58&gt;J40)*(I$3:I$58="P"))+IF(H40="L5",SUMPRODUCT((P$3:P$58="")*(O$3:O$58="")*(N$3:N$58="")*(M$3:M$58="P")*(G$3:G$58=G40)*(J$3:J$58&lt;J40)*(H$3:H$58&lt;&gt;H40)*(I$3:I$58="P")),-1*SUMPRODUCT((P$3:P$58="")*(O$3:O$58="")*(N$3:N$58="")*(M$3:M$58="P")*(G$3:G$58=G40)*(J$3:J$58&gt;J40)*(H$3:H$58="L5")*(I$3:I$58="P")))+1,"")))))</f>
        <v/>
      </c>
      <c r="B40" s="1" t="str" cm="1">
        <f t="array" ref="B40">IF(P40&lt;&gt;"",SUMPRODUCT((P$3:P$58&lt;&gt;"")*(G$3:G$58=G40)*(J$3:J$58&gt;J40))+1,IF(O40&lt;&gt;"",SUMPRODUCT((O$3:O$58&lt;&gt;"")*(P$3:P$58="")*(G$3:G$58=G40)*(J$3:J$58&gt;J40))+SUMPRODUCT((P$3:P$58&lt;&gt;"")*(G$3:G$58=G40))+1,IF(N40&lt;&gt;"",SUMPRODUCT((N$3:N$58&lt;&gt;"")*(G$3:G$58=G40)*(J$3:J$58&gt;J40))+1,IF(M40="P",SUMPRODUCT((O$3:O$58&lt;&gt;"")*(P$3:P$58="")*(G$3:G$58=G40))+SUMPRODUCT((P$3:P$58&lt;&gt;"")*(G$3:G$58=G40))+SUMPRODUCT((N$3:N$58&lt;&gt;"")*(G$3:G$58=G40))+SUMPRODUCT((P$3:P$58="")*(O$3:O$58="")*(N$3:N$58="")*(M$3:M$58="P")*(G$3:G$58=G40)*(J$3:J$58&gt;J40))+IF(H40="L5",SUMPRODUCT((P$3:P$58="")*(O$3:O$58="")*(N$3:N$58="")*(M$3:M$58="P")*(G$3:G$58=G40)*(J$3:J$58&lt;J40)*(H$3:H$58&lt;&gt;H40)),-1*SUMPRODUCT((P$3:P$58="")*(O$3:O$58="")*(N$3:N$58="")*(M$3:M$58="P")*(G$3:G$58=G40)*(J$3:J$58&gt;J40)*(H$3:H$58="L5")))+1,""))))</f>
        <v/>
      </c>
      <c r="C40" s="35" t="s">
        <v>294</v>
      </c>
      <c r="D40" s="35" t="str">
        <f>IF(E40="","",VLOOKUP(E40,'Coaching Points'!A:B,2,0))</f>
        <v>AB</v>
      </c>
      <c r="E40" s="35" t="s">
        <v>28</v>
      </c>
      <c r="F40" s="34">
        <v>2009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64</v>
      </c>
      <c r="I40" s="40"/>
      <c r="J40" s="4">
        <f>R40+IF(OR(H40="Junior",H40="Senior"),0.0002,IF(OR(H40="L7",H40="L6"),0.0001,0))+MAX(Z40,AC40)*0.0000001</f>
        <v>43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MAX(T40-V40,W40-Y40,Z40-AB40,AC40-AE40)</f>
        <v>43</v>
      </c>
      <c r="S40" s="4">
        <f>IF(R40=T40-V40,MAX(W40-Y40,Z40-AB40,AC40-AE40),IF(R40=W40-Y40,MAX(T40-V40,Z40-AB40,AC40-AE40),IF(R40=Z40-AB40,MAX(T40-V40,W40-Y40,AC40-AE40),IF(R40=AC40-AE40,MAX(T40-V40,W40-Y40,Z40-AB40),0))))</f>
        <v>21.8</v>
      </c>
      <c r="T40" s="32">
        <v>43</v>
      </c>
      <c r="U40" s="37">
        <v>6.9</v>
      </c>
      <c r="V40" s="37">
        <v>0</v>
      </c>
      <c r="W40" s="33">
        <v>21.8</v>
      </c>
      <c r="X40" s="37">
        <v>4.4000000000000004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$58&lt;&gt;"")*(G$3:G$58=G41)*(J$3:J$58&gt;J41)*(I$3:I$58="P"))+1,IF(O41&lt;&gt;"",SUMPRODUCT((O$3:O$58&lt;&gt;"")*(P$3:P$58="")*(G$3:G$58=G41)*(J$3:J$58&gt;J41)*(I$3:I$58="P"))+SUMPRODUCT((P$3:P$58&lt;&gt;"")*(G$3:G$58=G41)*(I$3:I$58="P"))+1,IF(N41&lt;&gt;"",SUMPRODUCT((N$3:N$58&lt;&gt;"")*(G$3:G$58=G41)*(J$3:J$58&gt;J41)*(I$3:I$58="P"))+1,IF(M41="P",SUMPRODUCT((O$3:O$58&lt;&gt;"")*(P$3:P$58="")*(G$3:G$58=G41)*(I$3:I$58="P"))+SUMPRODUCT((P$3:P$58&lt;&gt;"")*(G$3:G$58=G41)*(I$3:I$58="P"))+SUMPRODUCT((N$3:N$58&lt;&gt;"")*(G$3:G$58=G41)*(I$3:I$58="P"))+SUMPRODUCT((P$3:P$58="")*(O$3:O$58="")*(N$3:N$58="")*(M$3:M$58="P")*(G$3:G$58=G41)*(J$3:J$58&gt;J41)*(I$3:I$58="P"))+IF(H41="L5",SUMPRODUCT((P$3:P$58="")*(O$3:O$58="")*(N$3:N$58="")*(M$3:M$58="P")*(G$3:G$58=G41)*(J$3:J$58&lt;J41)*(H$3:H$58&lt;&gt;H41)*(I$3:I$58="P")),-1*SUMPRODUCT((P$3:P$58="")*(O$3:O$58="")*(N$3:N$58="")*(M$3:M$58="P")*(G$3:G$58=G41)*(J$3:J$58&gt;J41)*(H$3:H$58="L5")*(I$3:I$58="P")))+1,"")))))</f>
        <v/>
      </c>
      <c r="B41" s="1" t="str" cm="1">
        <f t="array" ref="B41">IF(P41&lt;&gt;"",SUMPRODUCT((P$3:P$58&lt;&gt;"")*(G$3:G$58=G41)*(J$3:J$58&gt;J41))+1,IF(O41&lt;&gt;"",SUMPRODUCT((O$3:O$58&lt;&gt;"")*(P$3:P$58="")*(G$3:G$58=G41)*(J$3:J$58&gt;J41))+SUMPRODUCT((P$3:P$58&lt;&gt;"")*(G$3:G$58=G41))+1,IF(N41&lt;&gt;"",SUMPRODUCT((N$3:N$58&lt;&gt;"")*(G$3:G$58=G41)*(J$3:J$58&gt;J41))+1,IF(M41="P",SUMPRODUCT((O$3:O$58&lt;&gt;"")*(P$3:P$58="")*(G$3:G$58=G41))+SUMPRODUCT((P$3:P$58&lt;&gt;"")*(G$3:G$58=G41))+SUMPRODUCT((N$3:N$58&lt;&gt;"")*(G$3:G$58=G41))+SUMPRODUCT((P$3:P$58="")*(O$3:O$58="")*(N$3:N$58="")*(M$3:M$58="P")*(G$3:G$58=G41)*(J$3:J$58&gt;J41))+IF(H41="L5",SUMPRODUCT((P$3:P$58="")*(O$3:O$58="")*(N$3:N$58="")*(M$3:M$58="P")*(G$3:G$58=G41)*(J$3:J$58&lt;J41)*(H$3:H$58&lt;&gt;H41)),-1*SUMPRODUCT((P$3:P$58="")*(O$3:O$58="")*(N$3:N$58="")*(M$3:M$58="P")*(G$3:G$58=G41)*(J$3:J$58&gt;J41)*(H$3:H$58="L5")))+1,""))))</f>
        <v/>
      </c>
      <c r="C41" s="35" t="s">
        <v>325</v>
      </c>
      <c r="D41" s="35" t="str">
        <f>IF(E41="","",VLOOKUP(E41,'Coaching Points'!A:B,2,0))</f>
        <v>AB</v>
      </c>
      <c r="E41" s="35" t="s">
        <v>28</v>
      </c>
      <c r="F41" s="34">
        <v>2009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64</v>
      </c>
      <c r="I41" s="40"/>
      <c r="J41" s="4">
        <f>R41+IF(OR(H41="Junior",H41="Senior"),0.0002,IF(OR(H41="L7",H41="L6"),0.0001,0))+MAX(Z41,AC41)*0.0000001</f>
        <v>42.5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MAX(T41-V41,W41-Y41,Z41-AB41,AC41-AE41)</f>
        <v>42.5</v>
      </c>
      <c r="S41" s="4">
        <f>IF(R41=T41-V41,MAX(W41-Y41,Z41-AB41,AC41-AE41),IF(R41=W41-Y41,MAX(T41-V41,Z41-AB41,AC41-AE41),IF(R41=Z41-AB41,MAX(T41-V41,W41-Y41,AC41-AE41),IF(R41=AC41-AE41,MAX(T41-V41,W41-Y41,Z41-AB41),0))))</f>
        <v>41.1</v>
      </c>
      <c r="T41" s="32">
        <v>42.5</v>
      </c>
      <c r="U41" s="37">
        <v>5.8000000000000007</v>
      </c>
      <c r="V41" s="37">
        <v>0</v>
      </c>
      <c r="W41" s="33">
        <v>41.1</v>
      </c>
      <c r="X41" s="37">
        <v>5.3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$58&lt;&gt;"")*(G$3:G$58=G42)*(J$3:J$58&gt;J42)*(I$3:I$58="P"))+1,IF(O42&lt;&gt;"",SUMPRODUCT((O$3:O$58&lt;&gt;"")*(P$3:P$58="")*(G$3:G$58=G42)*(J$3:J$58&gt;J42)*(I$3:I$58="P"))+SUMPRODUCT((P$3:P$58&lt;&gt;"")*(G$3:G$58=G42)*(I$3:I$58="P"))+1,IF(N42&lt;&gt;"",SUMPRODUCT((N$3:N$58&lt;&gt;"")*(G$3:G$58=G42)*(J$3:J$58&gt;J42)*(I$3:I$58="P"))+1,IF(M42="P",SUMPRODUCT((O$3:O$58&lt;&gt;"")*(P$3:P$58="")*(G$3:G$58=G42)*(I$3:I$58="P"))+SUMPRODUCT((P$3:P$58&lt;&gt;"")*(G$3:G$58=G42)*(I$3:I$58="P"))+SUMPRODUCT((N$3:N$58&lt;&gt;"")*(G$3:G$58=G42)*(I$3:I$58="P"))+SUMPRODUCT((P$3:P$58="")*(O$3:O$58="")*(N$3:N$58="")*(M$3:M$58="P")*(G$3:G$58=G42)*(J$3:J$58&gt;J42)*(I$3:I$58="P"))+IF(H42="L5",SUMPRODUCT((P$3:P$58="")*(O$3:O$58="")*(N$3:N$58="")*(M$3:M$58="P")*(G$3:G$58=G42)*(J$3:J$58&lt;J42)*(H$3:H$58&lt;&gt;H42)*(I$3:I$58="P")),-1*SUMPRODUCT((P$3:P$58="")*(O$3:O$58="")*(N$3:N$58="")*(M$3:M$58="P")*(G$3:G$58=G42)*(J$3:J$58&gt;J42)*(H$3:H$58="L5")*(I$3:I$58="P")))+1,"")))))</f>
        <v/>
      </c>
      <c r="B42" s="1" t="str" cm="1">
        <f t="array" ref="B42">IF(P42&lt;&gt;"",SUMPRODUCT((P$3:P$58&lt;&gt;"")*(G$3:G$58=G42)*(J$3:J$58&gt;J42))+1,IF(O42&lt;&gt;"",SUMPRODUCT((O$3:O$58&lt;&gt;"")*(P$3:P$58="")*(G$3:G$58=G42)*(J$3:J$58&gt;J42))+SUMPRODUCT((P$3:P$58&lt;&gt;"")*(G$3:G$58=G42))+1,IF(N42&lt;&gt;"",SUMPRODUCT((N$3:N$58&lt;&gt;"")*(G$3:G$58=G42)*(J$3:J$58&gt;J42))+1,IF(M42="P",SUMPRODUCT((O$3:O$58&lt;&gt;"")*(P$3:P$58="")*(G$3:G$58=G42))+SUMPRODUCT((P$3:P$58&lt;&gt;"")*(G$3:G$58=G42))+SUMPRODUCT((N$3:N$58&lt;&gt;"")*(G$3:G$58=G42))+SUMPRODUCT((P$3:P$58="")*(O$3:O$58="")*(N$3:N$58="")*(M$3:M$58="P")*(G$3:G$58=G42)*(J$3:J$58&gt;J42))+IF(H42="L5",SUMPRODUCT((P$3:P$58="")*(O$3:O$58="")*(N$3:N$58="")*(M$3:M$58="P")*(G$3:G$58=G42)*(J$3:J$58&lt;J42)*(H$3:H$58&lt;&gt;H42)),-1*SUMPRODUCT((P$3:P$58="")*(O$3:O$58="")*(N$3:N$58="")*(M$3:M$58="P")*(G$3:G$58=G42)*(J$3:J$58&gt;J42)*(H$3:H$58="L5")))+1,""))))</f>
        <v/>
      </c>
      <c r="C42" s="35" t="s">
        <v>327</v>
      </c>
      <c r="D42" s="35" t="str">
        <f>IF(E42="","",VLOOKUP(E42,'Coaching Points'!A:B,2,0))</f>
        <v>AB</v>
      </c>
      <c r="E42" s="35" t="s">
        <v>62</v>
      </c>
      <c r="F42" s="34">
        <v>2009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64</v>
      </c>
      <c r="I42" s="40"/>
      <c r="J42" s="4">
        <f>R42+IF(OR(H42="Junior",H42="Senior"),0.0002,IF(OR(H42="L7",H42="L6"),0.0001,0))+MAX(Z42,AC42)*0.0000001</f>
        <v>42.3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MAX(T42-V42,W42-Y42,Z42-AB42,AC42-AE42)</f>
        <v>42.3</v>
      </c>
      <c r="S42" s="4">
        <f>IF(R42=T42-V42,MAX(W42-Y42,Z42-AB42,AC42-AE42),IF(R42=W42-Y42,MAX(T42-V42,Z42-AB42,AC42-AE42),IF(R42=Z42-AB42,MAX(T42-V42,W42-Y42,AC42-AE42),IF(R42=AC42-AE42,MAX(T42-V42,W42-Y42,Z42-AB42),0))))</f>
        <v>38.5</v>
      </c>
      <c r="T42" s="32">
        <v>42.3</v>
      </c>
      <c r="U42" s="37">
        <v>5.7</v>
      </c>
      <c r="V42" s="37">
        <v>0</v>
      </c>
      <c r="W42" s="33">
        <v>38.5</v>
      </c>
      <c r="X42" s="37">
        <v>3.6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$58&lt;&gt;"")*(G$3:G$58=G43)*(J$3:J$58&gt;J43)*(I$3:I$58="P"))+1,IF(O43&lt;&gt;"",SUMPRODUCT((O$3:O$58&lt;&gt;"")*(P$3:P$58="")*(G$3:G$58=G43)*(J$3:J$58&gt;J43)*(I$3:I$58="P"))+SUMPRODUCT((P$3:P$58&lt;&gt;"")*(G$3:G$58=G43)*(I$3:I$58="P"))+1,IF(N43&lt;&gt;"",SUMPRODUCT((N$3:N$58&lt;&gt;"")*(G$3:G$58=G43)*(J$3:J$58&gt;J43)*(I$3:I$58="P"))+1,IF(M43="P",SUMPRODUCT((O$3:O$58&lt;&gt;"")*(P$3:P$58="")*(G$3:G$58=G43)*(I$3:I$58="P"))+SUMPRODUCT((P$3:P$58&lt;&gt;"")*(G$3:G$58=G43)*(I$3:I$58="P"))+SUMPRODUCT((N$3:N$58&lt;&gt;"")*(G$3:G$58=G43)*(I$3:I$58="P"))+SUMPRODUCT((P$3:P$58="")*(O$3:O$58="")*(N$3:N$58="")*(M$3:M$58="P")*(G$3:G$58=G43)*(J$3:J$58&gt;J43)*(I$3:I$58="P"))+IF(H43="L5",SUMPRODUCT((P$3:P$58="")*(O$3:O$58="")*(N$3:N$58="")*(M$3:M$58="P")*(G$3:G$58=G43)*(J$3:J$58&lt;J43)*(H$3:H$58&lt;&gt;H43)*(I$3:I$58="P")),-1*SUMPRODUCT((P$3:P$58="")*(O$3:O$58="")*(N$3:N$58="")*(M$3:M$58="P")*(G$3:G$58=G43)*(J$3:J$58&gt;J43)*(H$3:H$58="L5")*(I$3:I$58="P")))+1,"")))))</f>
        <v/>
      </c>
      <c r="B43" s="1" t="str" cm="1">
        <f t="array" ref="B43">IF(P43&lt;&gt;"",SUMPRODUCT((P$3:P$58&lt;&gt;"")*(G$3:G$58=G43)*(J$3:J$58&gt;J43))+1,IF(O43&lt;&gt;"",SUMPRODUCT((O$3:O$58&lt;&gt;"")*(P$3:P$58="")*(G$3:G$58=G43)*(J$3:J$58&gt;J43))+SUMPRODUCT((P$3:P$58&lt;&gt;"")*(G$3:G$58=G43))+1,IF(N43&lt;&gt;"",SUMPRODUCT((N$3:N$58&lt;&gt;"")*(G$3:G$58=G43)*(J$3:J$58&gt;J43))+1,IF(M43="P",SUMPRODUCT((O$3:O$58&lt;&gt;"")*(P$3:P$58="")*(G$3:G$58=G43))+SUMPRODUCT((P$3:P$58&lt;&gt;"")*(G$3:G$58=G43))+SUMPRODUCT((N$3:N$58&lt;&gt;"")*(G$3:G$58=G43))+SUMPRODUCT((P$3:P$58="")*(O$3:O$58="")*(N$3:N$58="")*(M$3:M$58="P")*(G$3:G$58=G43)*(J$3:J$58&gt;J43))+IF(H43="L5",SUMPRODUCT((P$3:P$58="")*(O$3:O$58="")*(N$3:N$58="")*(M$3:M$58="P")*(G$3:G$58=G43)*(J$3:J$58&lt;J43)*(H$3:H$58&lt;&gt;H43)),-1*SUMPRODUCT((P$3:P$58="")*(O$3:O$58="")*(N$3:N$58="")*(M$3:M$58="P")*(G$3:G$58=G43)*(J$3:J$58&gt;J43)*(H$3:H$58="L5")))+1,""))))</f>
        <v/>
      </c>
      <c r="C43" s="35" t="s">
        <v>284</v>
      </c>
      <c r="D43" s="35" t="str">
        <f>IF(E43="","",VLOOKUP(E43,'Coaching Points'!A:B,2,0))</f>
        <v>AB</v>
      </c>
      <c r="E43" s="35" t="s">
        <v>250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64</v>
      </c>
      <c r="I43" s="40"/>
      <c r="J43" s="4">
        <f>R43+IF(OR(H43="Junior",H43="Senior"),0.0002,IF(OR(H43="L7",H43="L6"),0.0001,0))+MAX(Z43,AC43)*0.0000001</f>
        <v>41.7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MAX(T43-V43,W43-Y43,Z43-AB43,AC43-AE43)</f>
        <v>41.7</v>
      </c>
      <c r="S43" s="4">
        <f>IF(R43=T43-V43,MAX(W43-Y43,Z43-AB43,AC43-AE43),IF(R43=W43-Y43,MAX(T43-V43,Z43-AB43,AC43-AE43),IF(R43=Z43-AB43,MAX(T43-V43,W43-Y43,AC43-AE43),IF(R43=AC43-AE43,MAX(T43-V43,W43-Y43,Z43-AB43),0))))</f>
        <v>37.299999999999997</v>
      </c>
      <c r="T43" s="32">
        <v>41.7</v>
      </c>
      <c r="U43" s="37">
        <v>6.1</v>
      </c>
      <c r="V43" s="37">
        <v>0</v>
      </c>
      <c r="W43" s="33">
        <v>37.299999999999997</v>
      </c>
      <c r="X43" s="37">
        <v>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$58&lt;&gt;"")*(G$3:G$58=G44)*(J$3:J$58&gt;J44)*(I$3:I$58="P"))+1,IF(O44&lt;&gt;"",SUMPRODUCT((O$3:O$58&lt;&gt;"")*(P$3:P$58="")*(G$3:G$58=G44)*(J$3:J$58&gt;J44)*(I$3:I$58="P"))+SUMPRODUCT((P$3:P$58&lt;&gt;"")*(G$3:G$58=G44)*(I$3:I$58="P"))+1,IF(N44&lt;&gt;"",SUMPRODUCT((N$3:N$58&lt;&gt;"")*(G$3:G$58=G44)*(J$3:J$58&gt;J44)*(I$3:I$58="P"))+1,IF(M44="P",SUMPRODUCT((O$3:O$58&lt;&gt;"")*(P$3:P$58="")*(G$3:G$58=G44)*(I$3:I$58="P"))+SUMPRODUCT((P$3:P$58&lt;&gt;"")*(G$3:G$58=G44)*(I$3:I$58="P"))+SUMPRODUCT((N$3:N$58&lt;&gt;"")*(G$3:G$58=G44)*(I$3:I$58="P"))+SUMPRODUCT((P$3:P$58="")*(O$3:O$58="")*(N$3:N$58="")*(M$3:M$58="P")*(G$3:G$58=G44)*(J$3:J$58&gt;J44)*(I$3:I$58="P"))+IF(H44="L5",SUMPRODUCT((P$3:P$58="")*(O$3:O$58="")*(N$3:N$58="")*(M$3:M$58="P")*(G$3:G$58=G44)*(J$3:J$58&lt;J44)*(H$3:H$58&lt;&gt;H44)*(I$3:I$58="P")),-1*SUMPRODUCT((P$3:P$58="")*(O$3:O$58="")*(N$3:N$58="")*(M$3:M$58="P")*(G$3:G$58=G44)*(J$3:J$58&gt;J44)*(H$3:H$58="L5")*(I$3:I$58="P")))+1,"")))))</f>
        <v/>
      </c>
      <c r="B44" s="1" t="str" cm="1">
        <f t="array" ref="B44">IF(P44&lt;&gt;"",SUMPRODUCT((P$3:P$58&lt;&gt;"")*(G$3:G$58=G44)*(J$3:J$58&gt;J44))+1,IF(O44&lt;&gt;"",SUMPRODUCT((O$3:O$58&lt;&gt;"")*(P$3:P$58="")*(G$3:G$58=G44)*(J$3:J$58&gt;J44))+SUMPRODUCT((P$3:P$58&lt;&gt;"")*(G$3:G$58=G44))+1,IF(N44&lt;&gt;"",SUMPRODUCT((N$3:N$58&lt;&gt;"")*(G$3:G$58=G44)*(J$3:J$58&gt;J44))+1,IF(M44="P",SUMPRODUCT((O$3:O$58&lt;&gt;"")*(P$3:P$58="")*(G$3:G$58=G44))+SUMPRODUCT((P$3:P$58&lt;&gt;"")*(G$3:G$58=G44))+SUMPRODUCT((N$3:N$58&lt;&gt;"")*(G$3:G$58=G44))+SUMPRODUCT((P$3:P$58="")*(O$3:O$58="")*(N$3:N$58="")*(M$3:M$58="P")*(G$3:G$58=G44)*(J$3:J$58&gt;J44))+IF(H44="L5",SUMPRODUCT((P$3:P$58="")*(O$3:O$58="")*(N$3:N$58="")*(M$3:M$58="P")*(G$3:G$58=G44)*(J$3:J$58&lt;J44)*(H$3:H$58&lt;&gt;H44)),-1*SUMPRODUCT((P$3:P$58="")*(O$3:O$58="")*(N$3:N$58="")*(M$3:M$58="P")*(G$3:G$58=G44)*(J$3:J$58&gt;J44)*(H$3:H$58="L5")))+1,""))))</f>
        <v/>
      </c>
      <c r="C44" s="35" t="s">
        <v>386</v>
      </c>
      <c r="D44" s="35" t="str">
        <f>IF(E44="","",VLOOKUP(E44,'Coaching Points'!A:B,2,0))</f>
        <v>AB</v>
      </c>
      <c r="E44" s="35" t="s">
        <v>56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>R44+IF(OR(H44="Junior",H44="Senior"),0.0002,IF(OR(H44="L7",H44="L6"),0.0001,0))+MAX(Z44,AC44)*0.0000001</f>
        <v>41.6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MAX(T44-V44,W44-Y44,Z44-AB44,AC44-AE44)</f>
        <v>41.6</v>
      </c>
      <c r="S44" s="4">
        <f>IF(R44=T44-V44,MAX(W44-Y44,Z44-AB44,AC44-AE44),IF(R44=W44-Y44,MAX(T44-V44,Z44-AB44,AC44-AE44),IF(R44=Z44-AB44,MAX(T44-V44,W44-Y44,AC44-AE44),IF(R44=AC44-AE44,MAX(T44-V44,W44-Y44,Z44-AB44),0))))</f>
        <v>37.700000000000003</v>
      </c>
      <c r="T44" s="32">
        <v>41.6</v>
      </c>
      <c r="U44" s="37">
        <v>7.1000000000000005</v>
      </c>
      <c r="V44" s="37">
        <v>0</v>
      </c>
      <c r="W44" s="33">
        <v>37.700000000000003</v>
      </c>
      <c r="X44" s="37">
        <v>4.4000000000000004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$58&lt;&gt;"")*(G$3:G$58=G45)*(J$3:J$58&gt;J45)*(I$3:I$58="P"))+1,IF(O45&lt;&gt;"",SUMPRODUCT((O$3:O$58&lt;&gt;"")*(P$3:P$58="")*(G$3:G$58=G45)*(J$3:J$58&gt;J45)*(I$3:I$58="P"))+SUMPRODUCT((P$3:P$58&lt;&gt;"")*(G$3:G$58=G45)*(I$3:I$58="P"))+1,IF(N45&lt;&gt;"",SUMPRODUCT((N$3:N$58&lt;&gt;"")*(G$3:G$58=G45)*(J$3:J$58&gt;J45)*(I$3:I$58="P"))+1,IF(M45="P",SUMPRODUCT((O$3:O$58&lt;&gt;"")*(P$3:P$58="")*(G$3:G$58=G45)*(I$3:I$58="P"))+SUMPRODUCT((P$3:P$58&lt;&gt;"")*(G$3:G$58=G45)*(I$3:I$58="P"))+SUMPRODUCT((N$3:N$58&lt;&gt;"")*(G$3:G$58=G45)*(I$3:I$58="P"))+SUMPRODUCT((P$3:P$58="")*(O$3:O$58="")*(N$3:N$58="")*(M$3:M$58="P")*(G$3:G$58=G45)*(J$3:J$58&gt;J45)*(I$3:I$58="P"))+IF(H45="L5",SUMPRODUCT((P$3:P$58="")*(O$3:O$58="")*(N$3:N$58="")*(M$3:M$58="P")*(G$3:G$58=G45)*(J$3:J$58&lt;J45)*(H$3:H$58&lt;&gt;H45)*(I$3:I$58="P")),-1*SUMPRODUCT((P$3:P$58="")*(O$3:O$58="")*(N$3:N$58="")*(M$3:M$58="P")*(G$3:G$58=G45)*(J$3:J$58&gt;J45)*(H$3:H$58="L5")*(I$3:I$58="P")))+1,"")))))</f>
        <v/>
      </c>
      <c r="B45" s="1" t="str" cm="1">
        <f t="array" ref="B45">IF(P45&lt;&gt;"",SUMPRODUCT((P$3:P$58&lt;&gt;"")*(G$3:G$58=G45)*(J$3:J$58&gt;J45))+1,IF(O45&lt;&gt;"",SUMPRODUCT((O$3:O$58&lt;&gt;"")*(P$3:P$58="")*(G$3:G$58=G45)*(J$3:J$58&gt;J45))+SUMPRODUCT((P$3:P$58&lt;&gt;"")*(G$3:G$58=G45))+1,IF(N45&lt;&gt;"",SUMPRODUCT((N$3:N$58&lt;&gt;"")*(G$3:G$58=G45)*(J$3:J$58&gt;J45))+1,IF(M45="P",SUMPRODUCT((O$3:O$58&lt;&gt;"")*(P$3:P$58="")*(G$3:G$58=G45))+SUMPRODUCT((P$3:P$58&lt;&gt;"")*(G$3:G$58=G45))+SUMPRODUCT((N$3:N$58&lt;&gt;"")*(G$3:G$58=G45))+SUMPRODUCT((P$3:P$58="")*(O$3:O$58="")*(N$3:N$58="")*(M$3:M$58="P")*(G$3:G$58=G45)*(J$3:J$58&gt;J45))+IF(H45="L5",SUMPRODUCT((P$3:P$58="")*(O$3:O$58="")*(N$3:N$58="")*(M$3:M$58="P")*(G$3:G$58=G45)*(J$3:J$58&lt;J45)*(H$3:H$58&lt;&gt;H45)),-1*SUMPRODUCT((P$3:P$58="")*(O$3:O$58="")*(N$3:N$58="")*(M$3:M$58="P")*(G$3:G$58=G45)*(J$3:J$58&gt;J45)*(H$3:H$58="L5")))+1,""))))</f>
        <v/>
      </c>
      <c r="C45" s="35" t="s">
        <v>297</v>
      </c>
      <c r="D45" s="35" t="str">
        <f>IF(E45="","",VLOOKUP(E45,'Coaching Points'!A:B,2,0))</f>
        <v>BC</v>
      </c>
      <c r="E45" s="35" t="s">
        <v>59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64</v>
      </c>
      <c r="I45" s="40"/>
      <c r="J45" s="4">
        <f>R45+IF(OR(H45="Junior",H45="Senior"),0.0002,IF(OR(H45="L7",H45="L6"),0.0001,0))+MAX(Z45,AC45)*0.0000001</f>
        <v>38.200000000000003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MAX(T45-V45,W45-Y45,Z45-AB45,AC45-AE45)</f>
        <v>38.200000000000003</v>
      </c>
      <c r="S45" s="4">
        <f>IF(R45=T45-V45,MAX(W45-Y45,Z45-AB45,AC45-AE45),IF(R45=W45-Y45,MAX(T45-V45,Z45-AB45,AC45-AE45),IF(R45=Z45-AB45,MAX(T45-V45,W45-Y45,AC45-AE45),IF(R45=AC45-AE45,MAX(T45-V45,W45-Y45,Z45-AB45),0))))</f>
        <v>0</v>
      </c>
      <c r="T45" s="32">
        <v>38.200000000000003</v>
      </c>
      <c r="U45" s="37">
        <v>4.3</v>
      </c>
      <c r="V45" s="37">
        <v>0</v>
      </c>
      <c r="W45" s="33">
        <v>0</v>
      </c>
      <c r="X45" s="37">
        <v>0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$58&lt;&gt;"")*(G$3:G$58=G46)*(J$3:J$58&gt;J46)*(I$3:I$58="P"))+1,IF(O46&lt;&gt;"",SUMPRODUCT((O$3:O$58&lt;&gt;"")*(P$3:P$58="")*(G$3:G$58=G46)*(J$3:J$58&gt;J46)*(I$3:I$58="P"))+SUMPRODUCT((P$3:P$58&lt;&gt;"")*(G$3:G$58=G46)*(I$3:I$58="P"))+1,IF(N46&lt;&gt;"",SUMPRODUCT((N$3:N$58&lt;&gt;"")*(G$3:G$58=G46)*(J$3:J$58&gt;J46)*(I$3:I$58="P"))+1,IF(M46="P",SUMPRODUCT((O$3:O$58&lt;&gt;"")*(P$3:P$58="")*(G$3:G$58=G46)*(I$3:I$58="P"))+SUMPRODUCT((P$3:P$58&lt;&gt;"")*(G$3:G$58=G46)*(I$3:I$58="P"))+SUMPRODUCT((N$3:N$58&lt;&gt;"")*(G$3:G$58=G46)*(I$3:I$58="P"))+SUMPRODUCT((P$3:P$58="")*(O$3:O$58="")*(N$3:N$58="")*(M$3:M$58="P")*(G$3:G$58=G46)*(J$3:J$58&gt;J46)*(I$3:I$58="P"))+IF(H46="L5",SUMPRODUCT((P$3:P$58="")*(O$3:O$58="")*(N$3:N$58="")*(M$3:M$58="P")*(G$3:G$58=G46)*(J$3:J$58&lt;J46)*(H$3:H$58&lt;&gt;H46)*(I$3:I$58="P")),-1*SUMPRODUCT((P$3:P$58="")*(O$3:O$58="")*(N$3:N$58="")*(M$3:M$58="P")*(G$3:G$58=G46)*(J$3:J$58&gt;J46)*(H$3:H$58="L5")*(I$3:I$58="P")))+1,"")))))</f>
        <v/>
      </c>
      <c r="B46" s="1" t="str" cm="1">
        <f t="array" ref="B46">IF(P46&lt;&gt;"",SUMPRODUCT((P$3:P$58&lt;&gt;"")*(G$3:G$58=G46)*(J$3:J$58&gt;J46))+1,IF(O46&lt;&gt;"",SUMPRODUCT((O$3:O$58&lt;&gt;"")*(P$3:P$58="")*(G$3:G$58=G46)*(J$3:J$58&gt;J46))+SUMPRODUCT((P$3:P$58&lt;&gt;"")*(G$3:G$58=G46))+1,IF(N46&lt;&gt;"",SUMPRODUCT((N$3:N$58&lt;&gt;"")*(G$3:G$58=G46)*(J$3:J$58&gt;J46))+1,IF(M46="P",SUMPRODUCT((O$3:O$58&lt;&gt;"")*(P$3:P$58="")*(G$3:G$58=G46))+SUMPRODUCT((P$3:P$58&lt;&gt;"")*(G$3:G$58=G46))+SUMPRODUCT((N$3:N$58&lt;&gt;"")*(G$3:G$58=G46))+SUMPRODUCT((P$3:P$58="")*(O$3:O$58="")*(N$3:N$58="")*(M$3:M$58="P")*(G$3:G$58=G46)*(J$3:J$58&gt;J46))+IF(H46="L5",SUMPRODUCT((P$3:P$58="")*(O$3:O$58="")*(N$3:N$58="")*(M$3:M$58="P")*(G$3:G$58=G46)*(J$3:J$58&lt;J46)*(H$3:H$58&lt;&gt;H46)),-1*SUMPRODUCT((P$3:P$58="")*(O$3:O$58="")*(N$3:N$58="")*(M$3:M$58="P")*(G$3:G$58=G46)*(J$3:J$58&gt;J46)*(H$3:H$58="L5")))+1,""))))</f>
        <v/>
      </c>
      <c r="C46" s="35" t="s">
        <v>223</v>
      </c>
      <c r="D46" s="35" t="str">
        <f>IF(E46="","",VLOOKUP(E46,'Coaching Points'!A:B,2,0))</f>
        <v>NS</v>
      </c>
      <c r="E46" s="35" t="s">
        <v>203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65</v>
      </c>
      <c r="I46" s="40"/>
      <c r="J46" s="4">
        <f>R46+IF(OR(H46="Junior",H46="Senior"),0.0002,IF(OR(H46="L7",H46="L6"),0.0001,0))+MAX(Z46,AC46)*0.0000001</f>
        <v>23.900099999999998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MAX(T46-V46,W46-Y46,Z46-AB46,AC46-AE46)</f>
        <v>23.9</v>
      </c>
      <c r="S46" s="4">
        <f>IF(R46=T46-V46,MAX(W46-Y46,Z46-AB46,AC46-AE46),IF(R46=W46-Y46,MAX(T46-V46,Z46-AB46,AC46-AE46),IF(R46=Z46-AB46,MAX(T46-V46,W46-Y46,AC46-AE46),IF(R46=AC46-AE46,MAX(T46-V46,W46-Y46,Z46-AB46),0))))</f>
        <v>0</v>
      </c>
      <c r="T46" s="32">
        <v>23.9</v>
      </c>
      <c r="U46" s="37">
        <v>5.0999999999999996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$58&lt;&gt;"")*(G$3:G$58=G47)*(J$3:J$58&gt;J47)*(I$3:I$58="P"))+1,IF(O47&lt;&gt;"",SUMPRODUCT((O$3:O$58&lt;&gt;"")*(P$3:P$58="")*(G$3:G$58=G47)*(J$3:J$58&gt;J47)*(I$3:I$58="P"))+SUMPRODUCT((P$3:P$58&lt;&gt;"")*(G$3:G$58=G47)*(I$3:I$58="P"))+1,IF(N47&lt;&gt;"",SUMPRODUCT((N$3:N$58&lt;&gt;"")*(G$3:G$58=G47)*(J$3:J$58&gt;J47)*(I$3:I$58="P"))+1,IF(M47="P",SUMPRODUCT((O$3:O$58&lt;&gt;"")*(P$3:P$58="")*(G$3:G$58=G47)*(I$3:I$58="P"))+SUMPRODUCT((P$3:P$58&lt;&gt;"")*(G$3:G$58=G47)*(I$3:I$58="P"))+SUMPRODUCT((N$3:N$58&lt;&gt;"")*(G$3:G$58=G47)*(I$3:I$58="P"))+SUMPRODUCT((P$3:P$58="")*(O$3:O$58="")*(N$3:N$58="")*(M$3:M$58="P")*(G$3:G$58=G47)*(J$3:J$58&gt;J47)*(I$3:I$58="P"))+IF(H47="L5",SUMPRODUCT((P$3:P$58="")*(O$3:O$58="")*(N$3:N$58="")*(M$3:M$58="P")*(G$3:G$58=G47)*(J$3:J$58&lt;J47)*(H$3:H$58&lt;&gt;H47)*(I$3:I$58="P")),-1*SUMPRODUCT((P$3:P$58="")*(O$3:O$58="")*(N$3:N$58="")*(M$3:M$58="P")*(G$3:G$58=G47)*(J$3:J$58&gt;J47)*(H$3:H$58="L5")*(I$3:I$58="P")))+1,"")))))</f>
        <v/>
      </c>
      <c r="B47" s="1" cm="1">
        <f t="array" ref="B47">IF(P47&lt;&gt;"",SUMPRODUCT((P$3:P$58&lt;&gt;"")*(G$3:G$58=G47)*(J$3:J$58&gt;J47))+1,IF(O47&lt;&gt;"",SUMPRODUCT((O$3:O$58&lt;&gt;"")*(P$3:P$58="")*(G$3:G$58=G47)*(J$3:J$58&gt;J47))+SUMPRODUCT((P$3:P$58&lt;&gt;"")*(G$3:G$58=G47))+1,IF(N47&lt;&gt;"",SUMPRODUCT((N$3:N$58&lt;&gt;"")*(G$3:G$58=G47)*(J$3:J$58&gt;J47))+1,IF(M47="P",SUMPRODUCT((O$3:O$58&lt;&gt;"")*(P$3:P$58="")*(G$3:G$58=G47))+SUMPRODUCT((P$3:P$58&lt;&gt;"")*(G$3:G$58=G47))+SUMPRODUCT((N$3:N$58&lt;&gt;"")*(G$3:G$58=G47))+SUMPRODUCT((P$3:P$58="")*(O$3:O$58="")*(N$3:N$58="")*(M$3:M$58="P")*(G$3:G$58=G47)*(J$3:J$58&gt;J47))+IF(H47="L5",SUMPRODUCT((P$3:P$58="")*(O$3:O$58="")*(N$3:N$58="")*(M$3:M$58="P")*(G$3:G$58=G47)*(J$3:J$58&lt;J47)*(H$3:H$58&lt;&gt;H47)),-1*SUMPRODUCT((P$3:P$58="")*(O$3:O$58="")*(N$3:N$58="")*(M$3:M$58="P")*(G$3:G$58=G47)*(J$3:J$58&gt;J47)*(H$3:H$58="L5")))+1,""))))</f>
        <v>1</v>
      </c>
      <c r="C47" s="35" t="s">
        <v>221</v>
      </c>
      <c r="D47" s="35" t="str">
        <f>IF(E47="","",VLOOKUP(E47,'Coaching Points'!A:B,2,0))</f>
        <v>NS</v>
      </c>
      <c r="E47" s="35" t="s">
        <v>112</v>
      </c>
      <c r="F47" s="34">
        <v>2010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13-14</v>
      </c>
      <c r="H47" s="36" t="s">
        <v>65</v>
      </c>
      <c r="I47" s="40"/>
      <c r="J47" s="4">
        <f>R47+IF(OR(H47="Junior",H47="Senior"),0.0002,IF(OR(H47="L7",H47="L6"),0.0001,0))+MAX(Z47,AC47)*0.0000001</f>
        <v>45.700100000000006</v>
      </c>
      <c r="K47" s="3" t="str">
        <f>IF(G47="Not Age Eligible","",IF(MAX(T47,W47,Z47,AC47)&gt;=LOOKUP(G47,'Qualifying Scores'!$A$4:$A$7,'Qualifying Scores'!$F$4:$F$7),"P",""))</f>
        <v>P</v>
      </c>
      <c r="L47" s="3" t="str">
        <f>IF(G47="Not Age Eligible","",IF(MAX(U47,X47,AA47,AD47)&gt;=LOOKUP(G47,'Qualifying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>P</v>
      </c>
      <c r="Q47" s="1" t="str">
        <f>IF(A47&lt;5,IF(_xlfn.MAXIFS(A:A,G:G,G47)&gt;3,5-A47,_xlfn.MAXIFS(A:A,G:G,G47)+1-A47),"")</f>
        <v/>
      </c>
      <c r="R47" s="4">
        <f>MAX(T47-V47,W47-Y47,Z47-AB47,AC47-AE47)</f>
        <v>45.7</v>
      </c>
      <c r="S47" s="4">
        <f>IF(R47=T47-V47,MAX(W47-Y47,Z47-AB47,AC47-AE47),IF(R47=W47-Y47,MAX(T47-V47,Z47-AB47,AC47-AE47),IF(R47=Z47-AB47,MAX(T47-V47,W47-Y47,AC47-AE47),IF(R47=AC47-AE47,MAX(T47-V47,W47-Y47,Z47-AB47),0))))</f>
        <v>45.2</v>
      </c>
      <c r="T47" s="32">
        <v>45.7</v>
      </c>
      <c r="U47" s="37">
        <v>9.1</v>
      </c>
      <c r="V47" s="37">
        <v>0</v>
      </c>
      <c r="W47" s="33">
        <v>45.2</v>
      </c>
      <c r="X47" s="37">
        <v>8.1999999999999993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$58&lt;&gt;"")*(G$3:G$58=G48)*(J$3:J$58&gt;J48)*(I$3:I$58="P"))+1,IF(O48&lt;&gt;"",SUMPRODUCT((O$3:O$58&lt;&gt;"")*(P$3:P$58="")*(G$3:G$58=G48)*(J$3:J$58&gt;J48)*(I$3:I$58="P"))+SUMPRODUCT((P$3:P$58&lt;&gt;"")*(G$3:G$58=G48)*(I$3:I$58="P"))+1,IF(N48&lt;&gt;"",SUMPRODUCT((N$3:N$58&lt;&gt;"")*(G$3:G$58=G48)*(J$3:J$58&gt;J48)*(I$3:I$58="P"))+1,IF(M48="P",SUMPRODUCT((O$3:O$58&lt;&gt;"")*(P$3:P$58="")*(G$3:G$58=G48)*(I$3:I$58="P"))+SUMPRODUCT((P$3:P$58&lt;&gt;"")*(G$3:G$58=G48)*(I$3:I$58="P"))+SUMPRODUCT((N$3:N$58&lt;&gt;"")*(G$3:G$58=G48)*(I$3:I$58="P"))+SUMPRODUCT((P$3:P$58="")*(O$3:O$58="")*(N$3:N$58="")*(M$3:M$58="P")*(G$3:G$58=G48)*(J$3:J$58&gt;J48)*(I$3:I$58="P"))+IF(H48="L5",SUMPRODUCT((P$3:P$58="")*(O$3:O$58="")*(N$3:N$58="")*(M$3:M$58="P")*(G$3:G$58=G48)*(J$3:J$58&lt;J48)*(H$3:H$58&lt;&gt;H48)*(I$3:I$58="P")),-1*SUMPRODUCT((P$3:P$58="")*(O$3:O$58="")*(N$3:N$58="")*(M$3:M$58="P")*(G$3:G$58=G48)*(J$3:J$58&gt;J48)*(H$3:H$58="L5")*(I$3:I$58="P")))+1,"")))))</f>
        <v/>
      </c>
      <c r="B48" s="1" t="str" cm="1">
        <f t="array" ref="B48">IF(P48&lt;&gt;"",SUMPRODUCT((P$3:P$58&lt;&gt;"")*(G$3:G$58=G48)*(J$3:J$58&gt;J48))+1,IF(O48&lt;&gt;"",SUMPRODUCT((O$3:O$58&lt;&gt;"")*(P$3:P$58="")*(G$3:G$58=G48)*(J$3:J$58&gt;J48))+SUMPRODUCT((P$3:P$58&lt;&gt;"")*(G$3:G$58=G48))+1,IF(N48&lt;&gt;"",SUMPRODUCT((N$3:N$58&lt;&gt;"")*(G$3:G$58=G48)*(J$3:J$58&gt;J48))+1,IF(M48="P",SUMPRODUCT((O$3:O$58&lt;&gt;"")*(P$3:P$58="")*(G$3:G$58=G48))+SUMPRODUCT((P$3:P$58&lt;&gt;"")*(G$3:G$58=G48))+SUMPRODUCT((N$3:N$58&lt;&gt;"")*(G$3:G$58=G48))+SUMPRODUCT((P$3:P$58="")*(O$3:O$58="")*(N$3:N$58="")*(M$3:M$58="P")*(G$3:G$58=G48)*(J$3:J$58&gt;J48))+IF(H48="L5",SUMPRODUCT((P$3:P$58="")*(O$3:O$58="")*(N$3:N$58="")*(M$3:M$58="P")*(G$3:G$58=G48)*(J$3:J$58&lt;J48)*(H$3:H$58&lt;&gt;H48)),-1*SUMPRODUCT((P$3:P$58="")*(O$3:O$58="")*(N$3:N$58="")*(M$3:M$58="P")*(G$3:G$58=G48)*(J$3:J$58&gt;J48)*(H$3:H$58="L5")))+1,""))))</f>
        <v/>
      </c>
      <c r="C48" s="35" t="s">
        <v>320</v>
      </c>
      <c r="D48" s="35" t="str">
        <f>IF(E48="","",VLOOKUP(E48,'Coaching Points'!A:B,2,0))</f>
        <v>AB</v>
      </c>
      <c r="E48" s="35" t="s">
        <v>68</v>
      </c>
      <c r="F48" s="34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13-14</v>
      </c>
      <c r="H48" s="36" t="s">
        <v>64</v>
      </c>
      <c r="I48" s="40"/>
      <c r="J48" s="4">
        <f>R48+IF(OR(H48="Junior",H48="Senior"),0.0002,IF(OR(H48="L7",H48="L6"),0.0001,0))+MAX(Z48,AC48)*0.0000001</f>
        <v>44.3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MAX(T48-V48,W48-Y48,Z48-AB48,AC48-AE48)</f>
        <v>44.3</v>
      </c>
      <c r="S48" s="4">
        <f>IF(R48=T48-V48,MAX(W48-Y48,Z48-AB48,AC48-AE48),IF(R48=W48-Y48,MAX(T48-V48,Z48-AB48,AC48-AE48),IF(R48=Z48-AB48,MAX(T48-V48,W48-Y48,AC48-AE48),IF(R48=AC48-AE48,MAX(T48-V48,W48-Y48,Z48-AB48),0))))</f>
        <v>43.7</v>
      </c>
      <c r="T48" s="32">
        <v>44.3</v>
      </c>
      <c r="U48" s="37">
        <v>7.9</v>
      </c>
      <c r="V48" s="37">
        <v>0</v>
      </c>
      <c r="W48" s="33">
        <v>43.7</v>
      </c>
      <c r="X48" s="37">
        <v>7.9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$58&lt;&gt;"")*(G$3:G$58=G49)*(J$3:J$58&gt;J49)*(I$3:I$58="P"))+1,IF(O49&lt;&gt;"",SUMPRODUCT((O$3:O$58&lt;&gt;"")*(P$3:P$58="")*(G$3:G$58=G49)*(J$3:J$58&gt;J49)*(I$3:I$58="P"))+SUMPRODUCT((P$3:P$58&lt;&gt;"")*(G$3:G$58=G49)*(I$3:I$58="P"))+1,IF(N49&lt;&gt;"",SUMPRODUCT((N$3:N$58&lt;&gt;"")*(G$3:G$58=G49)*(J$3:J$58&gt;J49)*(I$3:I$58="P"))+1,IF(M49="P",SUMPRODUCT((O$3:O$58&lt;&gt;"")*(P$3:P$58="")*(G$3:G$58=G49)*(I$3:I$58="P"))+SUMPRODUCT((P$3:P$58&lt;&gt;"")*(G$3:G$58=G49)*(I$3:I$58="P"))+SUMPRODUCT((N$3:N$58&lt;&gt;"")*(G$3:G$58=G49)*(I$3:I$58="P"))+SUMPRODUCT((P$3:P$58="")*(O$3:O$58="")*(N$3:N$58="")*(M$3:M$58="P")*(G$3:G$58=G49)*(J$3:J$58&gt;J49)*(I$3:I$58="P"))+IF(H49="L5",SUMPRODUCT((P$3:P$58="")*(O$3:O$58="")*(N$3:N$58="")*(M$3:M$58="P")*(G$3:G$58=G49)*(J$3:J$58&lt;J49)*(H$3:H$58&lt;&gt;H49)*(I$3:I$58="P")),-1*SUMPRODUCT((P$3:P$58="")*(O$3:O$58="")*(N$3:N$58="")*(M$3:M$58="P")*(G$3:G$58=G49)*(J$3:J$58&gt;J49)*(H$3:H$58="L5")*(I$3:I$58="P")))+1,"")))))</f>
        <v/>
      </c>
      <c r="B49" s="1" t="str" cm="1">
        <f t="array" ref="B49">IF(P49&lt;&gt;"",SUMPRODUCT((P$3:P$58&lt;&gt;"")*(G$3:G$58=G49)*(J$3:J$58&gt;J49))+1,IF(O49&lt;&gt;"",SUMPRODUCT((O$3:O$58&lt;&gt;"")*(P$3:P$58="")*(G$3:G$58=G49)*(J$3:J$58&gt;J49))+SUMPRODUCT((P$3:P$58&lt;&gt;"")*(G$3:G$58=G49))+1,IF(N49&lt;&gt;"",SUMPRODUCT((N$3:N$58&lt;&gt;"")*(G$3:G$58=G49)*(J$3:J$58&gt;J49))+1,IF(M49="P",SUMPRODUCT((O$3:O$58&lt;&gt;"")*(P$3:P$58="")*(G$3:G$58=G49))+SUMPRODUCT((P$3:P$58&lt;&gt;"")*(G$3:G$58=G49))+SUMPRODUCT((N$3:N$58&lt;&gt;"")*(G$3:G$58=G49))+SUMPRODUCT((P$3:P$58="")*(O$3:O$58="")*(N$3:N$58="")*(M$3:M$58="P")*(G$3:G$58=G49)*(J$3:J$58&gt;J49))+IF(H49="L5",SUMPRODUCT((P$3:P$58="")*(O$3:O$58="")*(N$3:N$58="")*(M$3:M$58="P")*(G$3:G$58=G49)*(J$3:J$58&lt;J49)*(H$3:H$58&lt;&gt;H49)),-1*SUMPRODUCT((P$3:P$58="")*(O$3:O$58="")*(N$3:N$58="")*(M$3:M$58="P")*(G$3:G$58=G49)*(J$3:J$58&gt;J49)*(H$3:H$58="L5")))+1,""))))</f>
        <v/>
      </c>
      <c r="C49" s="35" t="s">
        <v>322</v>
      </c>
      <c r="D49" s="35" t="str">
        <f>IF(E49="","",VLOOKUP(E49,'Coaching Points'!A:B,2,0))</f>
        <v>QC</v>
      </c>
      <c r="E49" s="35" t="s">
        <v>201</v>
      </c>
      <c r="F49" s="34">
        <v>2010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13-14</v>
      </c>
      <c r="H49" s="36" t="s">
        <v>64</v>
      </c>
      <c r="I49" s="40"/>
      <c r="J49" s="4">
        <f>R49+IF(OR(H49="Junior",H49="Senior"),0.0002,IF(OR(H49="L7",H49="L6"),0.0001,0))+MAX(Z49,AC49)*0.0000001</f>
        <v>42.7</v>
      </c>
      <c r="K49" s="3" t="str">
        <f>IF(G49="Not Age Eligible","",IF(MAX(T49,W49,Z49,AC49)&gt;=LOOKUP(G49,'Qualifying Scores'!$A$4:$A$7,'Qualifying Scores'!$F$4:$F$7),"P",""))</f>
        <v/>
      </c>
      <c r="L49" s="3" t="str">
        <f>IF(G49="Not Age Eligible","",IF(MAX(U49,X49,AA49,AD49)&gt;=LOOKUP(G49,'Qualifying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MAX(T49-V49,W49-Y49,Z49-AB49,AC49-AE49)</f>
        <v>42.7</v>
      </c>
      <c r="S49" s="4">
        <f>IF(R49=T49-V49,MAX(W49-Y49,Z49-AB49,AC49-AE49),IF(R49=W49-Y49,MAX(T49-V49,Z49-AB49,AC49-AE49),IF(R49=Z49-AB49,MAX(T49-V49,W49-Y49,AC49-AE49),IF(R49=AC49-AE49,MAX(T49-V49,W49-Y49,Z49-AB49),0))))</f>
        <v>21.5</v>
      </c>
      <c r="T49" s="32">
        <v>42.7</v>
      </c>
      <c r="U49" s="37">
        <v>5.4</v>
      </c>
      <c r="V49" s="37">
        <v>0</v>
      </c>
      <c r="W49" s="33">
        <v>21.5</v>
      </c>
      <c r="X49" s="37">
        <v>3.1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$58&lt;&gt;"")*(G$3:G$58=G50)*(J$3:J$58&gt;J50)*(I$3:I$58="P"))+1,IF(O50&lt;&gt;"",SUMPRODUCT((O$3:O$58&lt;&gt;"")*(P$3:P$58="")*(G$3:G$58=G50)*(J$3:J$58&gt;J50)*(I$3:I$58="P"))+SUMPRODUCT((P$3:P$58&lt;&gt;"")*(G$3:G$58=G50)*(I$3:I$58="P"))+1,IF(N50&lt;&gt;"",SUMPRODUCT((N$3:N$58&lt;&gt;"")*(G$3:G$58=G50)*(J$3:J$58&gt;J50)*(I$3:I$58="P"))+1,IF(M50="P",SUMPRODUCT((O$3:O$58&lt;&gt;"")*(P$3:P$58="")*(G$3:G$58=G50)*(I$3:I$58="P"))+SUMPRODUCT((P$3:P$58&lt;&gt;"")*(G$3:G$58=G50)*(I$3:I$58="P"))+SUMPRODUCT((N$3:N$58&lt;&gt;"")*(G$3:G$58=G50)*(I$3:I$58="P"))+SUMPRODUCT((P$3:P$58="")*(O$3:O$58="")*(N$3:N$58="")*(M$3:M$58="P")*(G$3:G$58=G50)*(J$3:J$58&gt;J50)*(I$3:I$58="P"))+IF(H50="L5",SUMPRODUCT((P$3:P$58="")*(O$3:O$58="")*(N$3:N$58="")*(M$3:M$58="P")*(G$3:G$58=G50)*(J$3:J$58&lt;J50)*(H$3:H$58&lt;&gt;H50)*(I$3:I$58="P")),-1*SUMPRODUCT((P$3:P$58="")*(O$3:O$58="")*(N$3:N$58="")*(M$3:M$58="P")*(G$3:G$58=G50)*(J$3:J$58&gt;J50)*(H$3:H$58="L5")*(I$3:I$58="P")))+1,"")))))</f>
        <v/>
      </c>
      <c r="B50" s="1" t="str" cm="1">
        <f t="array" ref="B50">IF(P50&lt;&gt;"",SUMPRODUCT((P$3:P$58&lt;&gt;"")*(G$3:G$58=G50)*(J$3:J$58&gt;J50))+1,IF(O50&lt;&gt;"",SUMPRODUCT((O$3:O$58&lt;&gt;"")*(P$3:P$58="")*(G$3:G$58=G50)*(J$3:J$58&gt;J50))+SUMPRODUCT((P$3:P$58&lt;&gt;"")*(G$3:G$58=G50))+1,IF(N50&lt;&gt;"",SUMPRODUCT((N$3:N$58&lt;&gt;"")*(G$3:G$58=G50)*(J$3:J$58&gt;J50))+1,IF(M50="P",SUMPRODUCT((O$3:O$58&lt;&gt;"")*(P$3:P$58="")*(G$3:G$58=G50))+SUMPRODUCT((P$3:P$58&lt;&gt;"")*(G$3:G$58=G50))+SUMPRODUCT((N$3:N$58&lt;&gt;"")*(G$3:G$58=G50))+SUMPRODUCT((P$3:P$58="")*(O$3:O$58="")*(N$3:N$58="")*(M$3:M$58="P")*(G$3:G$58=G50)*(J$3:J$58&gt;J50))+IF(H50="L5",SUMPRODUCT((P$3:P$58="")*(O$3:O$58="")*(N$3:N$58="")*(M$3:M$58="P")*(G$3:G$58=G50)*(J$3:J$58&lt;J50)*(H$3:H$58&lt;&gt;H50)),-1*SUMPRODUCT((P$3:P$58="")*(O$3:O$58="")*(N$3:N$58="")*(M$3:M$58="P")*(G$3:G$58=G50)*(J$3:J$58&gt;J50)*(H$3:H$58="L5")))+1,""))))</f>
        <v/>
      </c>
      <c r="C50" s="35" t="s">
        <v>319</v>
      </c>
      <c r="D50" s="35" t="str">
        <f>IF(E50="","",VLOOKUP(E50,'Coaching Points'!A:B,2,0))</f>
        <v>QC</v>
      </c>
      <c r="E50" s="35" t="s">
        <v>201</v>
      </c>
      <c r="F50" s="34">
        <v>2010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13-14</v>
      </c>
      <c r="H50" s="36" t="s">
        <v>64</v>
      </c>
      <c r="I50" s="40"/>
      <c r="J50" s="4">
        <f>R50+IF(OR(H50="Junior",H50="Senior"),0.0002,IF(OR(H50="L7",H50="L6"),0.0001,0))+MAX(Z50,AC50)*0.0000001</f>
        <v>42.4</v>
      </c>
      <c r="K50" s="3" t="str">
        <f>IF(G50="Not Age Eligible","",IF(MAX(T50,W50,Z50,AC50)&gt;=LOOKUP(G50,'Qualifying Scores'!$A$4:$A$7,'Qualifying Scores'!$F$4:$F$7),"P",""))</f>
        <v/>
      </c>
      <c r="L50" s="3" t="str">
        <f>IF(G50="Not Age Eligible","",IF(MAX(U50,X50,AA50,AD50)&gt;=LOOKUP(G50,'Qualifying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MAX(T50-V50,W50-Y50,Z50-AB50,AC50-AE50)</f>
        <v>42.4</v>
      </c>
      <c r="S50" s="4">
        <f>IF(R50=T50-V50,MAX(W50-Y50,Z50-AB50,AC50-AE50),IF(R50=W50-Y50,MAX(T50-V50,Z50-AB50,AC50-AE50),IF(R50=Z50-AB50,MAX(T50-V50,W50-Y50,AC50-AE50),IF(R50=AC50-AE50,MAX(T50-V50,W50-Y50,Z50-AB50),0))))</f>
        <v>41.3</v>
      </c>
      <c r="T50" s="32">
        <v>42.4</v>
      </c>
      <c r="U50" s="37">
        <v>5.4</v>
      </c>
      <c r="V50" s="37">
        <v>0</v>
      </c>
      <c r="W50" s="33">
        <v>41.3</v>
      </c>
      <c r="X50" s="37">
        <v>6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$58&lt;&gt;"")*(G$3:G$58=G51)*(J$3:J$58&gt;J51)*(I$3:I$58="P"))+1,IF(O51&lt;&gt;"",SUMPRODUCT((O$3:O$58&lt;&gt;"")*(P$3:P$58="")*(G$3:G$58=G51)*(J$3:J$58&gt;J51)*(I$3:I$58="P"))+SUMPRODUCT((P$3:P$58&lt;&gt;"")*(G$3:G$58=G51)*(I$3:I$58="P"))+1,IF(N51&lt;&gt;"",SUMPRODUCT((N$3:N$58&lt;&gt;"")*(G$3:G$58=G51)*(J$3:J$58&gt;J51)*(I$3:I$58="P"))+1,IF(M51="P",SUMPRODUCT((O$3:O$58&lt;&gt;"")*(P$3:P$58="")*(G$3:G$58=G51)*(I$3:I$58="P"))+SUMPRODUCT((P$3:P$58&lt;&gt;"")*(G$3:G$58=G51)*(I$3:I$58="P"))+SUMPRODUCT((N$3:N$58&lt;&gt;"")*(G$3:G$58=G51)*(I$3:I$58="P"))+SUMPRODUCT((P$3:P$58="")*(O$3:O$58="")*(N$3:N$58="")*(M$3:M$58="P")*(G$3:G$58=G51)*(J$3:J$58&gt;J51)*(I$3:I$58="P"))+IF(H51="L5",SUMPRODUCT((P$3:P$58="")*(O$3:O$58="")*(N$3:N$58="")*(M$3:M$58="P")*(G$3:G$58=G51)*(J$3:J$58&lt;J51)*(H$3:H$58&lt;&gt;H51)*(I$3:I$58="P")),-1*SUMPRODUCT((P$3:P$58="")*(O$3:O$58="")*(N$3:N$58="")*(M$3:M$58="P")*(G$3:G$58=G51)*(J$3:J$58&gt;J51)*(H$3:H$58="L5")*(I$3:I$58="P")))+1,"")))))</f>
        <v/>
      </c>
      <c r="B51" s="1" t="str" cm="1">
        <f t="array" ref="B51">IF(P51&lt;&gt;"",SUMPRODUCT((P$3:P$58&lt;&gt;"")*(G$3:G$58=G51)*(J$3:J$58&gt;J51))+1,IF(O51&lt;&gt;"",SUMPRODUCT((O$3:O$58&lt;&gt;"")*(P$3:P$58="")*(G$3:G$58=G51)*(J$3:J$58&gt;J51))+SUMPRODUCT((P$3:P$58&lt;&gt;"")*(G$3:G$58=G51))+1,IF(N51&lt;&gt;"",SUMPRODUCT((N$3:N$58&lt;&gt;"")*(G$3:G$58=G51)*(J$3:J$58&gt;J51))+1,IF(M51="P",SUMPRODUCT((O$3:O$58&lt;&gt;"")*(P$3:P$58="")*(G$3:G$58=G51))+SUMPRODUCT((P$3:P$58&lt;&gt;"")*(G$3:G$58=G51))+SUMPRODUCT((N$3:N$58&lt;&gt;"")*(G$3:G$58=G51))+SUMPRODUCT((P$3:P$58="")*(O$3:O$58="")*(N$3:N$58="")*(M$3:M$58="P")*(G$3:G$58=G51)*(J$3:J$58&gt;J51))+IF(H51="L5",SUMPRODUCT((P$3:P$58="")*(O$3:O$58="")*(N$3:N$58="")*(M$3:M$58="P")*(G$3:G$58=G51)*(J$3:J$58&lt;J51)*(H$3:H$58&lt;&gt;H51)),-1*SUMPRODUCT((P$3:P$58="")*(O$3:O$58="")*(N$3:N$58="")*(M$3:M$58="P")*(G$3:G$58=G51)*(J$3:J$58&gt;J51)*(H$3:H$58="L5")))+1,""))))</f>
        <v/>
      </c>
      <c r="C51" s="35" t="s">
        <v>384</v>
      </c>
      <c r="D51" s="35" t="str">
        <f>IF(E51="","",VLOOKUP(E51,'Coaching Points'!A:B,2,0))</f>
        <v>BC</v>
      </c>
      <c r="E51" s="35" t="s">
        <v>40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13-14</v>
      </c>
      <c r="H51" s="36" t="s">
        <v>64</v>
      </c>
      <c r="I51" s="40"/>
      <c r="J51" s="4">
        <f>R51+IF(OR(H51="Junior",H51="Senior"),0.0002,IF(OR(H51="L7",H51="L6"),0.0001,0))+MAX(Z51,AC51)*0.0000001</f>
        <v>42.3</v>
      </c>
      <c r="K51" s="3" t="str">
        <f>IF(G51="Not Age Eligible","",IF(MAX(T51,W51,Z51,AC51)&gt;=LOOKUP(G51,'Qualifying Scores'!$A$4:$A$7,'Qualifying Scores'!$F$4:$F$7),"P",""))</f>
        <v/>
      </c>
      <c r="L51" s="3" t="str">
        <f>IF(G51="Not Age Eligible","",IF(MAX(U51,X51,AA51,AD51)&gt;=LOOKUP(G51,'Qualifying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MAX(T51-V51,W51-Y51,Z51-AB51,AC51-AE51)</f>
        <v>42.3</v>
      </c>
      <c r="S51" s="4">
        <f>IF(R51=T51-V51,MAX(W51-Y51,Z51-AB51,AC51-AE51),IF(R51=W51-Y51,MAX(T51-V51,Z51-AB51,AC51-AE51),IF(R51=Z51-AB51,MAX(T51-V51,W51-Y51,AC51-AE51),IF(R51=AC51-AE51,MAX(T51-V51,W51-Y51,Z51-AB51),0))))</f>
        <v>41.5</v>
      </c>
      <c r="T51" s="32">
        <v>41.5</v>
      </c>
      <c r="U51" s="37">
        <v>6.3000000000000007</v>
      </c>
      <c r="V51" s="37">
        <v>0</v>
      </c>
      <c r="W51" s="33">
        <v>42.3</v>
      </c>
      <c r="X51" s="37">
        <v>6.3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$58&lt;&gt;"")*(G$3:G$58=G52)*(J$3:J$58&gt;J52)*(I$3:I$58="P"))+1,IF(O52&lt;&gt;"",SUMPRODUCT((O$3:O$58&lt;&gt;"")*(P$3:P$58="")*(G$3:G$58=G52)*(J$3:J$58&gt;J52)*(I$3:I$58="P"))+SUMPRODUCT((P$3:P$58&lt;&gt;"")*(G$3:G$58=G52)*(I$3:I$58="P"))+1,IF(N52&lt;&gt;"",SUMPRODUCT((N$3:N$58&lt;&gt;"")*(G$3:G$58=G52)*(J$3:J$58&gt;J52)*(I$3:I$58="P"))+1,IF(M52="P",SUMPRODUCT((O$3:O$58&lt;&gt;"")*(P$3:P$58="")*(G$3:G$58=G52)*(I$3:I$58="P"))+SUMPRODUCT((P$3:P$58&lt;&gt;"")*(G$3:G$58=G52)*(I$3:I$58="P"))+SUMPRODUCT((N$3:N$58&lt;&gt;"")*(G$3:G$58=G52)*(I$3:I$58="P"))+SUMPRODUCT((P$3:P$58="")*(O$3:O$58="")*(N$3:N$58="")*(M$3:M$58="P")*(G$3:G$58=G52)*(J$3:J$58&gt;J52)*(I$3:I$58="P"))+IF(H52="L5",SUMPRODUCT((P$3:P$58="")*(O$3:O$58="")*(N$3:N$58="")*(M$3:M$58="P")*(G$3:G$58=G52)*(J$3:J$58&lt;J52)*(H$3:H$58&lt;&gt;H52)*(I$3:I$58="P")),-1*SUMPRODUCT((P$3:P$58="")*(O$3:O$58="")*(N$3:N$58="")*(M$3:M$58="P")*(G$3:G$58=G52)*(J$3:J$58&gt;J52)*(H$3:H$58="L5")*(I$3:I$58="P")))+1,"")))))</f>
        <v/>
      </c>
      <c r="B52" s="1" t="str" cm="1">
        <f t="array" ref="B52">IF(P52&lt;&gt;"",SUMPRODUCT((P$3:P$58&lt;&gt;"")*(G$3:G$58=G52)*(J$3:J$58&gt;J52))+1,IF(O52&lt;&gt;"",SUMPRODUCT((O$3:O$58&lt;&gt;"")*(P$3:P$58="")*(G$3:G$58=G52)*(J$3:J$58&gt;J52))+SUMPRODUCT((P$3:P$58&lt;&gt;"")*(G$3:G$58=G52))+1,IF(N52&lt;&gt;"",SUMPRODUCT((N$3:N$58&lt;&gt;"")*(G$3:G$58=G52)*(J$3:J$58&gt;J52))+1,IF(M52="P",SUMPRODUCT((O$3:O$58&lt;&gt;"")*(P$3:P$58="")*(G$3:G$58=G52))+SUMPRODUCT((P$3:P$58&lt;&gt;"")*(G$3:G$58=G52))+SUMPRODUCT((N$3:N$58&lt;&gt;"")*(G$3:G$58=G52))+SUMPRODUCT((P$3:P$58="")*(O$3:O$58="")*(N$3:N$58="")*(M$3:M$58="P")*(G$3:G$58=G52)*(J$3:J$58&gt;J52))+IF(H52="L5",SUMPRODUCT((P$3:P$58="")*(O$3:O$58="")*(N$3:N$58="")*(M$3:M$58="P")*(G$3:G$58=G52)*(J$3:J$58&lt;J52)*(H$3:H$58&lt;&gt;H52)),-1*SUMPRODUCT((P$3:P$58="")*(O$3:O$58="")*(N$3:N$58="")*(M$3:M$58="P")*(G$3:G$58=G52)*(J$3:J$58&gt;J52)*(H$3:H$58="L5")))+1,""))))</f>
        <v/>
      </c>
      <c r="C52" s="35" t="s">
        <v>318</v>
      </c>
      <c r="D52" s="35" t="str">
        <f>IF(E52="","",VLOOKUP(E52,'Coaching Points'!A:B,2,0))</f>
        <v>ON</v>
      </c>
      <c r="E52" s="35" t="s">
        <v>97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13-14</v>
      </c>
      <c r="H52" s="36" t="s">
        <v>64</v>
      </c>
      <c r="I52" s="40"/>
      <c r="J52" s="4">
        <f>R52+IF(OR(H52="Junior",H52="Senior"),0.0002,IF(OR(H52="L7",H52="L6"),0.0001,0))+MAX(Z52,AC52)*0.0000001</f>
        <v>42.3</v>
      </c>
      <c r="K52" s="3" t="str">
        <f>IF(G52="Not Age Eligible","",IF(MAX(T52,W52,Z52,AC52)&gt;=LOOKUP(G52,'Qualifying Scores'!$A$4:$A$7,'Qualifying Scores'!$F$4:$F$7),"P",""))</f>
        <v/>
      </c>
      <c r="L52" s="3" t="str">
        <f>IF(G52="Not Age Eligible","",IF(MAX(U52,X52,AA52,AD52)&gt;=LOOKUP(G52,'Qualifying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MAX(T52-V52,W52-Y52,Z52-AB52,AC52-AE52)</f>
        <v>42.3</v>
      </c>
      <c r="S52" s="4">
        <f>IF(R52=T52-V52,MAX(W52-Y52,Z52-AB52,AC52-AE52),IF(R52=W52-Y52,MAX(T52-V52,Z52-AB52,AC52-AE52),IF(R52=Z52-AB52,MAX(T52-V52,W52-Y52,AC52-AE52),IF(R52=AC52-AE52,MAX(T52-V52,W52-Y52,Z52-AB52),0))))</f>
        <v>41</v>
      </c>
      <c r="T52" s="32">
        <v>41</v>
      </c>
      <c r="U52" s="37">
        <v>5.6</v>
      </c>
      <c r="V52" s="37">
        <v>0</v>
      </c>
      <c r="W52" s="33">
        <v>42.3</v>
      </c>
      <c r="X52" s="37">
        <v>4.9000000000000004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$58&lt;&gt;"")*(G$3:G$58=G53)*(J$3:J$58&gt;J53)*(I$3:I$58="P"))+1,IF(O53&lt;&gt;"",SUMPRODUCT((O$3:O$58&lt;&gt;"")*(P$3:P$58="")*(G$3:G$58=G53)*(J$3:J$58&gt;J53)*(I$3:I$58="P"))+SUMPRODUCT((P$3:P$58&lt;&gt;"")*(G$3:G$58=G53)*(I$3:I$58="P"))+1,IF(N53&lt;&gt;"",SUMPRODUCT((N$3:N$58&lt;&gt;"")*(G$3:G$58=G53)*(J$3:J$58&gt;J53)*(I$3:I$58="P"))+1,IF(M53="P",SUMPRODUCT((O$3:O$58&lt;&gt;"")*(P$3:P$58="")*(G$3:G$58=G53)*(I$3:I$58="P"))+SUMPRODUCT((P$3:P$58&lt;&gt;"")*(G$3:G$58=G53)*(I$3:I$58="P"))+SUMPRODUCT((N$3:N$58&lt;&gt;"")*(G$3:G$58=G53)*(I$3:I$58="P"))+SUMPRODUCT((P$3:P$58="")*(O$3:O$58="")*(N$3:N$58="")*(M$3:M$58="P")*(G$3:G$58=G53)*(J$3:J$58&gt;J53)*(I$3:I$58="P"))+IF(H53="L5",SUMPRODUCT((P$3:P$58="")*(O$3:O$58="")*(N$3:N$58="")*(M$3:M$58="P")*(G$3:G$58=G53)*(J$3:J$58&lt;J53)*(H$3:H$58&lt;&gt;H53)*(I$3:I$58="P")),-1*SUMPRODUCT((P$3:P$58="")*(O$3:O$58="")*(N$3:N$58="")*(M$3:M$58="P")*(G$3:G$58=G53)*(J$3:J$58&gt;J53)*(H$3:H$58="L5")*(I$3:I$58="P")))+1,"")))))</f>
        <v/>
      </c>
      <c r="B53" s="1" t="str" cm="1">
        <f t="array" ref="B53">IF(P53&lt;&gt;"",SUMPRODUCT((P$3:P$58&lt;&gt;"")*(G$3:G$58=G53)*(J$3:J$58&gt;J53))+1,IF(O53&lt;&gt;"",SUMPRODUCT((O$3:O$58&lt;&gt;"")*(P$3:P$58="")*(G$3:G$58=G53)*(J$3:J$58&gt;J53))+SUMPRODUCT((P$3:P$58&lt;&gt;"")*(G$3:G$58=G53))+1,IF(N53&lt;&gt;"",SUMPRODUCT((N$3:N$58&lt;&gt;"")*(G$3:G$58=G53)*(J$3:J$58&gt;J53))+1,IF(M53="P",SUMPRODUCT((O$3:O$58&lt;&gt;"")*(P$3:P$58="")*(G$3:G$58=G53))+SUMPRODUCT((P$3:P$58&lt;&gt;"")*(G$3:G$58=G53))+SUMPRODUCT((N$3:N$58&lt;&gt;"")*(G$3:G$58=G53))+SUMPRODUCT((P$3:P$58="")*(O$3:O$58="")*(N$3:N$58="")*(M$3:M$58="P")*(G$3:G$58=G53)*(J$3:J$58&gt;J53))+IF(H53="L5",SUMPRODUCT((P$3:P$58="")*(O$3:O$58="")*(N$3:N$58="")*(M$3:M$58="P")*(G$3:G$58=G53)*(J$3:J$58&lt;J53)*(H$3:H$58&lt;&gt;H53)),-1*SUMPRODUCT((P$3:P$58="")*(O$3:O$58="")*(N$3:N$58="")*(M$3:M$58="P")*(G$3:G$58=G53)*(J$3:J$58&gt;J53)*(H$3:H$58="L5")))+1,""))))</f>
        <v/>
      </c>
      <c r="C53" s="35" t="s">
        <v>323</v>
      </c>
      <c r="D53" s="35" t="str">
        <f>IF(E53="","",VLOOKUP(E53,'Coaching Points'!A:B,2,0))</f>
        <v>BC</v>
      </c>
      <c r="E53" s="35" t="s">
        <v>44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36" t="s">
        <v>64</v>
      </c>
      <c r="I53" s="40"/>
      <c r="J53" s="4">
        <f>R53+IF(OR(H53="Junior",H53="Senior"),0.0002,IF(OR(H53="L7",H53="L6"),0.0001,0))+MAX(Z53,AC53)*0.0000001</f>
        <v>41.8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MAX(T53-V53,W53-Y53,Z53-AB53,AC53-AE53)</f>
        <v>41.8</v>
      </c>
      <c r="S53" s="4">
        <f>IF(R53=T53-V53,MAX(W53-Y53,Z53-AB53,AC53-AE53),IF(R53=W53-Y53,MAX(T53-V53,Z53-AB53,AC53-AE53),IF(R53=Z53-AB53,MAX(T53-V53,W53-Y53,AC53-AE53),IF(R53=AC53-AE53,MAX(T53-V53,W53-Y53,Z53-AB53),0))))</f>
        <v>41.2</v>
      </c>
      <c r="T53" s="32">
        <v>41.2</v>
      </c>
      <c r="U53" s="37">
        <v>5.8000000000000007</v>
      </c>
      <c r="V53" s="37">
        <v>0</v>
      </c>
      <c r="W53" s="33">
        <v>41.8</v>
      </c>
      <c r="X53" s="37">
        <v>5.6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$58&lt;&gt;"")*(G$3:G$58=G54)*(J$3:J$58&gt;J54)*(I$3:I$58="P"))+1,IF(O54&lt;&gt;"",SUMPRODUCT((O$3:O$58&lt;&gt;"")*(P$3:P$58="")*(G$3:G$58=G54)*(J$3:J$58&gt;J54)*(I$3:I$58="P"))+SUMPRODUCT((P$3:P$58&lt;&gt;"")*(G$3:G$58=G54)*(I$3:I$58="P"))+1,IF(N54&lt;&gt;"",SUMPRODUCT((N$3:N$58&lt;&gt;"")*(G$3:G$58=G54)*(J$3:J$58&gt;J54)*(I$3:I$58="P"))+1,IF(M54="P",SUMPRODUCT((O$3:O$58&lt;&gt;"")*(P$3:P$58="")*(G$3:G$58=G54)*(I$3:I$58="P"))+SUMPRODUCT((P$3:P$58&lt;&gt;"")*(G$3:G$58=G54)*(I$3:I$58="P"))+SUMPRODUCT((N$3:N$58&lt;&gt;"")*(G$3:G$58=G54)*(I$3:I$58="P"))+SUMPRODUCT((P$3:P$58="")*(O$3:O$58="")*(N$3:N$58="")*(M$3:M$58="P")*(G$3:G$58=G54)*(J$3:J$58&gt;J54)*(I$3:I$58="P"))+IF(H54="L5",SUMPRODUCT((P$3:P$58="")*(O$3:O$58="")*(N$3:N$58="")*(M$3:M$58="P")*(G$3:G$58=G54)*(J$3:J$58&lt;J54)*(H$3:H$58&lt;&gt;H54)*(I$3:I$58="P")),-1*SUMPRODUCT((P$3:P$58="")*(O$3:O$58="")*(N$3:N$58="")*(M$3:M$58="P")*(G$3:G$58=G54)*(J$3:J$58&gt;J54)*(H$3:H$58="L5")*(I$3:I$58="P")))+1,"")))))</f>
        <v/>
      </c>
      <c r="B54" s="1" t="str" cm="1">
        <f t="array" ref="B54">IF(P54&lt;&gt;"",SUMPRODUCT((P$3:P$58&lt;&gt;"")*(G$3:G$58=G54)*(J$3:J$58&gt;J54))+1,IF(O54&lt;&gt;"",SUMPRODUCT((O$3:O$58&lt;&gt;"")*(P$3:P$58="")*(G$3:G$58=G54)*(J$3:J$58&gt;J54))+SUMPRODUCT((P$3:P$58&lt;&gt;"")*(G$3:G$58=G54))+1,IF(N54&lt;&gt;"",SUMPRODUCT((N$3:N$58&lt;&gt;"")*(G$3:G$58=G54)*(J$3:J$58&gt;J54))+1,IF(M54="P",SUMPRODUCT((O$3:O$58&lt;&gt;"")*(P$3:P$58="")*(G$3:G$58=G54))+SUMPRODUCT((P$3:P$58&lt;&gt;"")*(G$3:G$58=G54))+SUMPRODUCT((N$3:N$58&lt;&gt;"")*(G$3:G$58=G54))+SUMPRODUCT((P$3:P$58="")*(O$3:O$58="")*(N$3:N$58="")*(M$3:M$58="P")*(G$3:G$58=G54)*(J$3:J$58&gt;J54))+IF(H54="L5",SUMPRODUCT((P$3:P$58="")*(O$3:O$58="")*(N$3:N$58="")*(M$3:M$58="P")*(G$3:G$58=G54)*(J$3:J$58&lt;J54)*(H$3:H$58&lt;&gt;H54)),-1*SUMPRODUCT((P$3:P$58="")*(O$3:O$58="")*(N$3:N$58="")*(M$3:M$58="P")*(G$3:G$58=G54)*(J$3:J$58&gt;J54)*(H$3:H$58="L5")))+1,""))))</f>
        <v/>
      </c>
      <c r="C54" s="35" t="s">
        <v>222</v>
      </c>
      <c r="D54" s="35" t="str">
        <f>IF(E54="","",VLOOKUP(E54,'Coaching Points'!A:B,2,0))</f>
        <v>BC</v>
      </c>
      <c r="E54" s="35" t="s">
        <v>60</v>
      </c>
      <c r="F54" s="34">
        <v>2011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13-14</v>
      </c>
      <c r="H54" s="36" t="s">
        <v>64</v>
      </c>
      <c r="I54" s="40"/>
      <c r="J54" s="4">
        <f>R54+IF(OR(H54="Junior",H54="Senior"),0.0002,IF(OR(H54="L7",H54="L6"),0.0001,0))+MAX(Z54,AC54)*0.0000001</f>
        <v>39.799999999999997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MAX(T54-V54,W54-Y54,Z54-AB54,AC54-AE54)</f>
        <v>39.799999999999997</v>
      </c>
      <c r="S54" s="4">
        <f>IF(R54=T54-V54,MAX(W54-Y54,Z54-AB54,AC54-AE54),IF(R54=W54-Y54,MAX(T54-V54,Z54-AB54,AC54-AE54),IF(R54=Z54-AB54,MAX(T54-V54,W54-Y54,AC54-AE54),IF(R54=AC54-AE54,MAX(T54-V54,W54-Y54,Z54-AB54),0))))</f>
        <v>39.6</v>
      </c>
      <c r="T54" s="32">
        <v>39.799999999999997</v>
      </c>
      <c r="U54" s="37">
        <v>4.5</v>
      </c>
      <c r="V54" s="37">
        <v>0</v>
      </c>
      <c r="W54" s="33">
        <v>39.6</v>
      </c>
      <c r="X54" s="37">
        <v>3.9000000000000004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$58&lt;&gt;"")*(G$3:G$58=G55)*(J$3:J$58&gt;J55)*(I$3:I$58="P"))+1,IF(O55&lt;&gt;"",SUMPRODUCT((O$3:O$58&lt;&gt;"")*(P$3:P$58="")*(G$3:G$58=G55)*(J$3:J$58&gt;J55)*(I$3:I$58="P"))+SUMPRODUCT((P$3:P$58&lt;&gt;"")*(G$3:G$58=G55)*(I$3:I$58="P"))+1,IF(N55&lt;&gt;"",SUMPRODUCT((N$3:N$58&lt;&gt;"")*(G$3:G$58=G55)*(J$3:J$58&gt;J55)*(I$3:I$58="P"))+1,IF(M55="P",SUMPRODUCT((O$3:O$58&lt;&gt;"")*(P$3:P$58="")*(G$3:G$58=G55)*(I$3:I$58="P"))+SUMPRODUCT((P$3:P$58&lt;&gt;"")*(G$3:G$58=G55)*(I$3:I$58="P"))+SUMPRODUCT((N$3:N$58&lt;&gt;"")*(G$3:G$58=G55)*(I$3:I$58="P"))+SUMPRODUCT((P$3:P$58="")*(O$3:O$58="")*(N$3:N$58="")*(M$3:M$58="P")*(G$3:G$58=G55)*(J$3:J$58&gt;J55)*(I$3:I$58="P"))+IF(H55="L5",SUMPRODUCT((P$3:P$58="")*(O$3:O$58="")*(N$3:N$58="")*(M$3:M$58="P")*(G$3:G$58=G55)*(J$3:J$58&lt;J55)*(H$3:H$58&lt;&gt;H55)*(I$3:I$58="P")),-1*SUMPRODUCT((P$3:P$58="")*(O$3:O$58="")*(N$3:N$58="")*(M$3:M$58="P")*(G$3:G$58=G55)*(J$3:J$58&gt;J55)*(H$3:H$58="L5")*(I$3:I$58="P")))+1,"")))))</f>
        <v/>
      </c>
      <c r="B55" s="1" t="str" cm="1">
        <f t="array" ref="B55">IF(P55&lt;&gt;"",SUMPRODUCT((P$3:P$58&lt;&gt;"")*(G$3:G$58=G55)*(J$3:J$58&gt;J55))+1,IF(O55&lt;&gt;"",SUMPRODUCT((O$3:O$58&lt;&gt;"")*(P$3:P$58="")*(G$3:G$58=G55)*(J$3:J$58&gt;J55))+SUMPRODUCT((P$3:P$58&lt;&gt;"")*(G$3:G$58=G55))+1,IF(N55&lt;&gt;"",SUMPRODUCT((N$3:N$58&lt;&gt;"")*(G$3:G$58=G55)*(J$3:J$58&gt;J55))+1,IF(M55="P",SUMPRODUCT((O$3:O$58&lt;&gt;"")*(P$3:P$58="")*(G$3:G$58=G55))+SUMPRODUCT((P$3:P$58&lt;&gt;"")*(G$3:G$58=G55))+SUMPRODUCT((N$3:N$58&lt;&gt;"")*(G$3:G$58=G55))+SUMPRODUCT((P$3:P$58="")*(O$3:O$58="")*(N$3:N$58="")*(M$3:M$58="P")*(G$3:G$58=G55)*(J$3:J$58&gt;J55))+IF(H55="L5",SUMPRODUCT((P$3:P$58="")*(O$3:O$58="")*(N$3:N$58="")*(M$3:M$58="P")*(G$3:G$58=G55)*(J$3:J$58&lt;J55)*(H$3:H$58&lt;&gt;H55)),-1*SUMPRODUCT((P$3:P$58="")*(O$3:O$58="")*(N$3:N$58="")*(M$3:M$58="P")*(G$3:G$58=G55)*(J$3:J$58&gt;J55)*(H$3:H$58="L5")))+1,""))))</f>
        <v/>
      </c>
      <c r="C55" s="35" t="s">
        <v>385</v>
      </c>
      <c r="D55" s="35" t="str">
        <f>IF(E55="","",VLOOKUP(E55,'Coaching Points'!A:B,2,0))</f>
        <v>BC</v>
      </c>
      <c r="E55" s="35" t="s">
        <v>44</v>
      </c>
      <c r="F55" s="34">
        <v>2011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64</v>
      </c>
      <c r="I55" s="40"/>
      <c r="J55" s="4">
        <f>R55+IF(OR(H55="Junior",H55="Senior"),0.0002,IF(OR(H55="L7",H55="L6"),0.0001,0))+MAX(Z55,AC55)*0.0000001</f>
        <v>36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MAX(T55-V55,W55-Y55,Z55-AB55,AC55-AE55)</f>
        <v>36</v>
      </c>
      <c r="S55" s="4">
        <f>IF(R55=T55-V55,MAX(W55-Y55,Z55-AB55,AC55-AE55),IF(R55=W55-Y55,MAX(T55-V55,Z55-AB55,AC55-AE55),IF(R55=Z55-AB55,MAX(T55-V55,W55-Y55,AC55-AE55),IF(R55=AC55-AE55,MAX(T55-V55,W55-Y55,Z55-AB55),0))))</f>
        <v>0</v>
      </c>
      <c r="T55" s="32">
        <v>36</v>
      </c>
      <c r="U55" s="37">
        <v>3.4000000000000004</v>
      </c>
      <c r="V55" s="37">
        <v>0</v>
      </c>
      <c r="W55" s="33"/>
      <c r="X55" s="37"/>
      <c r="Y55" s="37"/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$58&lt;&gt;"")*(G$3:G$58=G56)*(J$3:J$58&gt;J56)*(I$3:I$58="P"))+1,IF(O56&lt;&gt;"",SUMPRODUCT((O$3:O$58&lt;&gt;"")*(P$3:P$58="")*(G$3:G$58=G56)*(J$3:J$58&gt;J56)*(I$3:I$58="P"))+SUMPRODUCT((P$3:P$58&lt;&gt;"")*(G$3:G$58=G56)*(I$3:I$58="P"))+1,IF(N56&lt;&gt;"",SUMPRODUCT((N$3:N$58&lt;&gt;"")*(G$3:G$58=G56)*(J$3:J$58&gt;J56)*(I$3:I$58="P"))+1,IF(M56="P",SUMPRODUCT((O$3:O$58&lt;&gt;"")*(P$3:P$58="")*(G$3:G$58=G56)*(I$3:I$58="P"))+SUMPRODUCT((P$3:P$58&lt;&gt;"")*(G$3:G$58=G56)*(I$3:I$58="P"))+SUMPRODUCT((N$3:N$58&lt;&gt;"")*(G$3:G$58=G56)*(I$3:I$58="P"))+SUMPRODUCT((P$3:P$58="")*(O$3:O$58="")*(N$3:N$58="")*(M$3:M$58="P")*(G$3:G$58=G56)*(J$3:J$58&gt;J56)*(I$3:I$58="P"))+IF(H56="L5",SUMPRODUCT((P$3:P$58="")*(O$3:O$58="")*(N$3:N$58="")*(M$3:M$58="P")*(G$3:G$58=G56)*(J$3:J$58&lt;J56)*(H$3:H$58&lt;&gt;H56)*(I$3:I$58="P")),-1*SUMPRODUCT((P$3:P$58="")*(O$3:O$58="")*(N$3:N$58="")*(M$3:M$58="P")*(G$3:G$58=G56)*(J$3:J$58&gt;J56)*(H$3:H$58="L5")*(I$3:I$58="P")))+1,"")))))</f>
        <v/>
      </c>
      <c r="B56" s="1" t="str" cm="1">
        <f t="array" ref="B56">IF(P56&lt;&gt;"",SUMPRODUCT((P$3:P$58&lt;&gt;"")*(G$3:G$58=G56)*(J$3:J$58&gt;J56))+1,IF(O56&lt;&gt;"",SUMPRODUCT((O$3:O$58&lt;&gt;"")*(P$3:P$58="")*(G$3:G$58=G56)*(J$3:J$58&gt;J56))+SUMPRODUCT((P$3:P$58&lt;&gt;"")*(G$3:G$58=G56))+1,IF(N56&lt;&gt;"",SUMPRODUCT((N$3:N$58&lt;&gt;"")*(G$3:G$58=G56)*(J$3:J$58&gt;J56))+1,IF(M56="P",SUMPRODUCT((O$3:O$58&lt;&gt;"")*(P$3:P$58="")*(G$3:G$58=G56))+SUMPRODUCT((P$3:P$58&lt;&gt;"")*(G$3:G$58=G56))+SUMPRODUCT((N$3:N$58&lt;&gt;"")*(G$3:G$58=G56))+SUMPRODUCT((P$3:P$58="")*(O$3:O$58="")*(N$3:N$58="")*(M$3:M$58="P")*(G$3:G$58=G56)*(J$3:J$58&gt;J56))+IF(H56="L5",SUMPRODUCT((P$3:P$58="")*(O$3:O$58="")*(N$3:N$58="")*(M$3:M$58="P")*(G$3:G$58=G56)*(J$3:J$58&lt;J56)*(H$3:H$58&lt;&gt;H56)),-1*SUMPRODUCT((P$3:P$58="")*(O$3:O$58="")*(N$3:N$58="")*(M$3:M$58="P")*(G$3:G$58=G56)*(J$3:J$58&gt;J56)*(H$3:H$58="L5")))+1,""))))</f>
        <v/>
      </c>
      <c r="C56" s="35" t="s">
        <v>296</v>
      </c>
      <c r="D56" s="35" t="str">
        <f>IF(E56="","",VLOOKUP(E56,'Coaching Points'!A:B,2,0))</f>
        <v>AB</v>
      </c>
      <c r="E56" s="35" t="s">
        <v>61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13-14</v>
      </c>
      <c r="H56" s="36" t="s">
        <v>64</v>
      </c>
      <c r="I56" s="40"/>
      <c r="J56" s="4">
        <f>R56+IF(OR(H56="Junior",H56="Senior"),0.0002,IF(OR(H56="L7",H56="L6"),0.0001,0))+MAX(Z56,AC56)*0.0000001</f>
        <v>18.399999999999999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MAX(T56-V56,W56-Y56,Z56-AB56,AC56-AE56)</f>
        <v>18.399999999999999</v>
      </c>
      <c r="S56" s="4">
        <f>IF(R56=T56-V56,MAX(W56-Y56,Z56-AB56,AC56-AE56),IF(R56=W56-Y56,MAX(T56-V56,Z56-AB56,AC56-AE56),IF(R56=Z56-AB56,MAX(T56-V56,W56-Y56,AC56-AE56),IF(R56=AC56-AE56,MAX(T56-V56,W56-Y56,Z56-AB56),0))))</f>
        <v>0</v>
      </c>
      <c r="T56" s="32">
        <v>18.399999999999999</v>
      </c>
      <c r="U56" s="37">
        <v>1.2</v>
      </c>
      <c r="V56" s="37">
        <v>0</v>
      </c>
      <c r="W56" s="33"/>
      <c r="X56" s="37"/>
      <c r="Y56" s="37"/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$58&lt;&gt;"")*(G$3:G$58=G57)*(J$3:J$58&gt;J57)*(I$3:I$58="P"))+1,IF(O57&lt;&gt;"",SUMPRODUCT((O$3:O$58&lt;&gt;"")*(P$3:P$58="")*(G$3:G$58=G57)*(J$3:J$58&gt;J57)*(I$3:I$58="P"))+SUMPRODUCT((P$3:P$58&lt;&gt;"")*(G$3:G$58=G57)*(I$3:I$58="P"))+1,IF(N57&lt;&gt;"",SUMPRODUCT((N$3:N$58&lt;&gt;"")*(G$3:G$58=G57)*(J$3:J$58&gt;J57)*(I$3:I$58="P"))+1,IF(M57="P",SUMPRODUCT((O$3:O$58&lt;&gt;"")*(P$3:P$58="")*(G$3:G$58=G57)*(I$3:I$58="P"))+SUMPRODUCT((P$3:P$58&lt;&gt;"")*(G$3:G$58=G57)*(I$3:I$58="P"))+SUMPRODUCT((N$3:N$58&lt;&gt;"")*(G$3:G$58=G57)*(I$3:I$58="P"))+SUMPRODUCT((P$3:P$58="")*(O$3:O$58="")*(N$3:N$58="")*(M$3:M$58="P")*(G$3:G$58=G57)*(J$3:J$58&gt;J57)*(I$3:I$58="P"))+IF(H57="L5",SUMPRODUCT((P$3:P$58="")*(O$3:O$58="")*(N$3:N$58="")*(M$3:M$58="P")*(G$3:G$58=G57)*(J$3:J$58&lt;J57)*(H$3:H$58&lt;&gt;H57)*(I$3:I$58="P")),-1*SUMPRODUCT((P$3:P$58="")*(O$3:O$58="")*(N$3:N$58="")*(M$3:M$58="P")*(G$3:G$58=G57)*(J$3:J$58&gt;J57)*(H$3:H$58="L5")*(I$3:I$58="P")))+1,"")))))</f>
        <v/>
      </c>
      <c r="B57" s="1" cm="1">
        <f t="array" ref="B57">IF(P57&lt;&gt;"",SUMPRODUCT((P$3:P$58&lt;&gt;"")*(G$3:G$58=G57)*(J$3:J$58&gt;J57))+1,IF(O57&lt;&gt;"",SUMPRODUCT((O$3:O$58&lt;&gt;"")*(P$3:P$58="")*(G$3:G$58=G57)*(J$3:J$58&gt;J57))+SUMPRODUCT((P$3:P$58&lt;&gt;"")*(G$3:G$58=G57))+1,IF(N57&lt;&gt;"",SUMPRODUCT((N$3:N$58&lt;&gt;"")*(G$3:G$58=G57)*(J$3:J$58&gt;J57))+1,IF(M57="P",SUMPRODUCT((O$3:O$58&lt;&gt;"")*(P$3:P$58="")*(G$3:G$58=G57))+SUMPRODUCT((P$3:P$58&lt;&gt;"")*(G$3:G$58=G57))+SUMPRODUCT((N$3:N$58&lt;&gt;"")*(G$3:G$58=G57))+SUMPRODUCT((P$3:P$58="")*(O$3:O$58="")*(N$3:N$58="")*(M$3:M$58="P")*(G$3:G$58=G57)*(J$3:J$58&gt;J57))+IF(H57="L5",SUMPRODUCT((P$3:P$58="")*(O$3:O$58="")*(N$3:N$58="")*(M$3:M$58="P")*(G$3:G$58=G57)*(J$3:J$58&lt;J57)*(H$3:H$58&lt;&gt;H57)),-1*SUMPRODUCT((P$3:P$58="")*(O$3:O$58="")*(N$3:N$58="")*(M$3:M$58="P")*(G$3:G$58=G57)*(J$3:J$58&gt;J57)*(H$3:H$58="L5")))+1,""))))</f>
        <v>1</v>
      </c>
      <c r="C57" s="35" t="s">
        <v>299</v>
      </c>
      <c r="D57" s="35" t="str">
        <f>IF(E57="","",VLOOKUP(E57,'Coaching Points'!A:B,2,0))</f>
        <v>BC</v>
      </c>
      <c r="E57" s="35" t="s">
        <v>60</v>
      </c>
      <c r="F57" s="34">
        <v>2012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11-12</v>
      </c>
      <c r="H57" s="36" t="s">
        <v>65</v>
      </c>
      <c r="I57" s="40"/>
      <c r="J57" s="4">
        <f>R57+IF(OR(H57="Junior",H57="Senior"),0.0002,IF(OR(H57="L7",H57="L6"),0.0001,0))+MAX(Z57,AC57)*0.0000001</f>
        <v>46.200100000000006</v>
      </c>
      <c r="K57" s="3" t="str">
        <f>IF(G57="Not Age Eligible","",IF(MAX(T57,W57,Z57,AC57)&gt;=LOOKUP(G57,'Qualifying Scores'!$A$4:$A$7,'Qualifying Scores'!$F$4:$F$7),"P",""))</f>
        <v>P</v>
      </c>
      <c r="L57" s="3" t="str">
        <f>IF(G57="Not Age Eligible","",IF(MAX(U57,X57,AA57,AD57)&gt;=LOOKUP(G57,'Qualifying Scores'!$A$10:$A$13,'Qualifying Scores'!$F$10:$F$13),"P",""))</f>
        <v>P</v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>P</v>
      </c>
      <c r="Q57" s="1" t="str">
        <f>IF(A57&lt;5,IF(_xlfn.MAXIFS(A:A,G:G,G57)&gt;3,5-A57,_xlfn.MAXIFS(A:A,G:G,G57)+1-A57),"")</f>
        <v/>
      </c>
      <c r="R57" s="4">
        <f>MAX(T57-V57,W57-Y57,Z57-AB57,AC57-AE57)</f>
        <v>46.2</v>
      </c>
      <c r="S57" s="4">
        <f>IF(R57=T57-V57,MAX(W57-Y57,Z57-AB57,AC57-AE57),IF(R57=W57-Y57,MAX(T57-V57,Z57-AB57,AC57-AE57),IF(R57=Z57-AB57,MAX(T57-V57,W57-Y57,AC57-AE57),IF(R57=AC57-AE57,MAX(T57-V57,W57-Y57,Z57-AB57),0))))</f>
        <v>46.1</v>
      </c>
      <c r="T57" s="32">
        <v>46.2</v>
      </c>
      <c r="U57" s="37">
        <v>10</v>
      </c>
      <c r="V57" s="37">
        <v>0</v>
      </c>
      <c r="W57" s="33">
        <v>46.1</v>
      </c>
      <c r="X57" s="37">
        <v>8.3000000000000007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B58" s="1"/>
      <c r="G58" s="1"/>
      <c r="H58" s="36"/>
      <c r="I58" s="40"/>
      <c r="J58" s="4"/>
      <c r="K58" s="3"/>
      <c r="L58" s="3"/>
      <c r="R58" s="4"/>
      <c r="S58" s="4"/>
      <c r="T58" s="32"/>
      <c r="U58" s="37"/>
      <c r="V58" s="37"/>
      <c r="W58" s="33"/>
      <c r="X58" s="37"/>
      <c r="Y58" s="37"/>
      <c r="Z58" s="32"/>
      <c r="AA58" s="37"/>
      <c r="AB58" s="37"/>
      <c r="AC58" s="33"/>
      <c r="AD58" s="37"/>
      <c r="AE58" s="37"/>
    </row>
    <row r="59" spans="1:31" x14ac:dyDescent="0.2">
      <c r="B59" s="1"/>
      <c r="G59" s="1"/>
      <c r="H59" s="36"/>
      <c r="I59" s="40"/>
      <c r="J59" s="4"/>
      <c r="K59" s="3"/>
      <c r="L59" s="3"/>
      <c r="R59" s="4"/>
      <c r="S59" s="4"/>
      <c r="T59" s="32"/>
      <c r="U59" s="37"/>
      <c r="V59" s="37"/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B60" s="1"/>
      <c r="G60" s="1"/>
      <c r="H60" s="36"/>
      <c r="I60" s="40"/>
      <c r="J60" s="4"/>
      <c r="K60" s="3"/>
      <c r="L60" s="3"/>
      <c r="R60" s="4"/>
      <c r="S60" s="4"/>
      <c r="T60" s="32"/>
      <c r="U60" s="37"/>
      <c r="V60" s="37"/>
      <c r="W60" s="33"/>
      <c r="X60" s="37"/>
      <c r="Y60" s="37"/>
      <c r="Z60" s="32"/>
      <c r="AA60" s="37"/>
      <c r="AB60" s="37"/>
      <c r="AC60" s="33"/>
      <c r="AD60" s="37"/>
      <c r="AE60" s="37"/>
    </row>
    <row r="61" spans="1:31" x14ac:dyDescent="0.2">
      <c r="B61" s="1"/>
      <c r="G61" s="1"/>
      <c r="H61" s="36"/>
      <c r="I61" s="40"/>
      <c r="J61" s="4"/>
      <c r="K61" s="3"/>
      <c r="L61" s="3"/>
      <c r="R61" s="4"/>
      <c r="S61" s="4"/>
      <c r="T61" s="32"/>
      <c r="U61" s="37"/>
      <c r="V61" s="37"/>
      <c r="W61" s="33"/>
      <c r="X61" s="37"/>
      <c r="Y61" s="37"/>
      <c r="Z61" s="32"/>
      <c r="AA61" s="37"/>
      <c r="AB61" s="37"/>
      <c r="AC61" s="33"/>
      <c r="AD61" s="37"/>
      <c r="AE61" s="37"/>
    </row>
    <row r="62" spans="1:31" x14ac:dyDescent="0.2">
      <c r="B62" s="1"/>
      <c r="G62" s="1"/>
      <c r="H62" s="36"/>
      <c r="I62" s="40"/>
      <c r="J62" s="4"/>
      <c r="K62" s="3"/>
      <c r="L62" s="3"/>
      <c r="R62" s="4"/>
      <c r="S62" s="4"/>
      <c r="T62" s="32"/>
      <c r="U62" s="37"/>
      <c r="V62" s="37"/>
      <c r="W62" s="33"/>
      <c r="X62" s="37"/>
      <c r="Y62" s="37"/>
      <c r="Z62" s="32"/>
      <c r="AA62" s="37"/>
      <c r="AB62" s="37"/>
      <c r="AC62" s="33"/>
      <c r="AD62" s="37"/>
      <c r="AE62" s="37"/>
    </row>
    <row r="63" spans="1:31" x14ac:dyDescent="0.2">
      <c r="B63" s="1"/>
      <c r="G63" s="1"/>
      <c r="H63" s="36"/>
      <c r="I63" s="40"/>
      <c r="J63" s="4"/>
      <c r="K63" s="3"/>
      <c r="L63" s="3"/>
      <c r="R63" s="4"/>
      <c r="S63" s="4"/>
      <c r="T63" s="32"/>
      <c r="U63" s="37"/>
      <c r="V63" s="37"/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B64" s="1"/>
      <c r="G64" s="1"/>
      <c r="H64" s="36"/>
      <c r="I64" s="40"/>
      <c r="J64" s="4"/>
      <c r="K64" s="3"/>
      <c r="L64" s="3"/>
      <c r="R64" s="4"/>
      <c r="S64" s="4"/>
      <c r="T64" s="32"/>
      <c r="U64" s="37"/>
      <c r="V64" s="37"/>
      <c r="W64" s="33"/>
      <c r="X64" s="37"/>
      <c r="Y64" s="37"/>
      <c r="Z64" s="32"/>
      <c r="AA64" s="37"/>
      <c r="AB64" s="37"/>
      <c r="AC64" s="33"/>
      <c r="AD64" s="37"/>
      <c r="AE64" s="37"/>
    </row>
    <row r="65" spans="2:31" x14ac:dyDescent="0.2">
      <c r="B65" s="1"/>
      <c r="G65" s="1"/>
      <c r="H65" s="36"/>
      <c r="I65" s="40"/>
      <c r="J65" s="4"/>
      <c r="K65" s="3"/>
      <c r="L65" s="3"/>
      <c r="R65" s="4"/>
      <c r="S65" s="4"/>
      <c r="T65" s="32"/>
      <c r="U65" s="37"/>
      <c r="V65" s="37"/>
      <c r="W65" s="33"/>
      <c r="X65" s="37"/>
      <c r="Y65" s="37"/>
      <c r="Z65" s="32"/>
      <c r="AA65" s="37"/>
      <c r="AB65" s="37"/>
      <c r="AC65" s="33"/>
      <c r="AD65" s="37"/>
      <c r="AE65" s="37"/>
    </row>
    <row r="66" spans="2:31" x14ac:dyDescent="0.2">
      <c r="B66" s="1"/>
      <c r="G66" s="1"/>
      <c r="H66" s="36"/>
      <c r="I66" s="40"/>
      <c r="J66" s="4"/>
      <c r="K66" s="3"/>
      <c r="L66" s="3"/>
      <c r="R66" s="4"/>
      <c r="S66" s="4"/>
      <c r="T66" s="32"/>
      <c r="U66" s="37"/>
      <c r="V66" s="37"/>
      <c r="W66" s="33"/>
      <c r="X66" s="37"/>
      <c r="Y66" s="37"/>
      <c r="Z66" s="32"/>
      <c r="AA66" s="37"/>
      <c r="AB66" s="37"/>
      <c r="AC66" s="33"/>
      <c r="AD66" s="37"/>
      <c r="AE66" s="37"/>
    </row>
    <row r="67" spans="2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2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2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2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2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2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2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2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2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2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2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2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2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2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</sheetData>
  <sheetProtection sheet="1" formatCells="0" formatColumns="0" formatRows="0"/>
  <autoFilter ref="A1:AE57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7">
      <sortCondition descending="1" ref="G1:G58"/>
    </sortState>
  </autoFilter>
  <mergeCells count="21">
    <mergeCell ref="K1:K2"/>
    <mergeCell ref="L1:L2"/>
    <mergeCell ref="M1:M2"/>
    <mergeCell ref="I1:I2"/>
    <mergeCell ref="H1:H2"/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30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8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$68&lt;&gt;"")*(G$3:G$68=G3)*(J$3:J$68&gt;J3)*(I$3:I$68="P"))+1,IF(O3&lt;&gt;"",SUMPRODUCT((O$3:O$68&lt;&gt;"")*(P$3:P$68="")*(G$3:G$68=G3)*(J$3:J$68&gt;J3)*(I$3:I$68="P"))+SUMPRODUCT((P$3:P$68&lt;&gt;"")*(G$3:G$68=G3)*(I$3:I$68="P"))+1,IF(N3&lt;&gt;"",SUMPRODUCT((N$3:N$68&lt;&gt;"")*(G$3:G$68=G3)*(J$3:J$68&gt;J3)*(I$3:I$68="P"))+1,IF(M3="P",SUMPRODUCT((O$3:O$68&lt;&gt;"")*(P$3:P$68="")*(G$3:G$68=G3)*(I$3:I$68="P"))+SUMPRODUCT((P$3:P$68&lt;&gt;"")*(G$3:G$68=G3)*(I$3:I$68="P"))+SUMPRODUCT((N$3:N$68&lt;&gt;"")*(G$3:G$68=G3)*(I$3:I$68="P"))+SUMPRODUCT((P$3:P$68="")*(O$3:O$68="")*(N$3:N$68="")*(M$3:M$68="P")*(G$3:G$68=G3)*(J$3:J$68&gt;J3)*(I$3:I$68="P"))+IF(H3="L5",SUMPRODUCT((P$3:P$68="")*(O$3:O$68="")*(N$3:N$68="")*(M$3:M$68="P")*(G$3:G$68=G3)*(J$3:J$68&lt;J3)*(H$3:H$68&lt;&gt;H3)*(I$3:I$68="P")),-1*SUMPRODUCT((P$3:P$68="")*(O$3:O$68="")*(N$3:N$68="")*(M$3:M$68="P")*(G$3:G$68=G3)*(J$3:J$68&gt;J3)*(H$3:H$68="L5")*(I$3:I$68="P")))+1,"")))))</f>
        <v/>
      </c>
      <c r="B3" s="1" cm="1">
        <f t="array" ref="B3">IF(P3&lt;&gt;"",SUMPRODUCT((P$3:P$68&lt;&gt;"")*(G$3:G$68=G3)*(J$3:J$68&gt;J3))+1,IF(O3&lt;&gt;"",SUMPRODUCT((O$3:O$68&lt;&gt;"")*(P$3:P$68="")*(G$3:G$68=G3)*(J$3:J$68&gt;J3))+SUMPRODUCT((P$3:P$68&lt;&gt;"")*(G$3:G$68=G3))+1,IF(N3&lt;&gt;"",SUMPRODUCT((N$3:N$68&lt;&gt;"")*(G$3:G$68=G3)*(J$3:J$68&gt;J3))+1,IF(M3="P",SUMPRODUCT((O$3:O$68&lt;&gt;"")*(P$3:P$68="")*(G$3:G$68=G3))+SUMPRODUCT((P$3:P$68&lt;&gt;"")*(G$3:G$68=G3))+SUMPRODUCT((N$3:N$68&lt;&gt;"")*(G$3:G$68=G3))+SUMPRODUCT((P$3:P$68="")*(O$3:O$68="")*(N$3:N$68="")*(M$3:M$68="P")*(G$3:G$68=G3)*(J$3:J$68&gt;J3))+IF(H3="L5",SUMPRODUCT((P$3:P$68="")*(O$3:O$68="")*(N$3:N$68="")*(M$3:M$68="P")*(G$3:G$68=G3)*(J$3:J$68&lt;J3)*(H$3:H$68&lt;&gt;H3)),-1*SUMPRODUCT((P$3:P$68="")*(O$3:O$68="")*(N$3:N$68="")*(M$3:M$68="P")*(G$3:G$68=G3)*(J$3:J$68&gt;J3)*(H$3:H$68="L5")))+1,""))))</f>
        <v>1</v>
      </c>
      <c r="C3" s="35" t="s">
        <v>125</v>
      </c>
      <c r="D3" s="35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51.200200000000002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MAX(T3-V3,W3-Y3,Z3-AB3,AC3-AE3)</f>
        <v>51.2</v>
      </c>
      <c r="S3" s="4">
        <f>IF(R3=T3-V3,MAX(W3-Y3,Z3-AB3,AC3-AE3),IF(R3=W3-Y3,MAX(T3-V3,Z3-AB3,AC3-AE3),IF(R3=Z3-AB3,MAX(T3-V3,W3-Y3,AC3-AE3),IF(R3=AC3-AE3,MAX(T3-V3,W3-Y3,Z3-AB3),0))))</f>
        <v>50</v>
      </c>
      <c r="T3" s="32">
        <v>50.3</v>
      </c>
      <c r="U3" s="37">
        <v>13.2</v>
      </c>
      <c r="V3" s="37">
        <v>0.3</v>
      </c>
      <c r="W3" s="33">
        <v>51.5</v>
      </c>
      <c r="X3" s="37">
        <v>13.2</v>
      </c>
      <c r="Y3" s="37">
        <v>0.3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$68&lt;&gt;"")*(G$3:G$68=G4)*(J$3:J$68&gt;J4)*(I$3:I$68="P"))+1,IF(O4&lt;&gt;"",SUMPRODUCT((O$3:O$68&lt;&gt;"")*(P$3:P$68="")*(G$3:G$68=G4)*(J$3:J$68&gt;J4)*(I$3:I$68="P"))+SUMPRODUCT((P$3:P$68&lt;&gt;"")*(G$3:G$68=G4)*(I$3:I$68="P"))+1,IF(N4&lt;&gt;"",SUMPRODUCT((N$3:N$68&lt;&gt;"")*(G$3:G$68=G4)*(J$3:J$68&gt;J4)*(I$3:I$68="P"))+1,IF(M4="P",SUMPRODUCT((O$3:O$68&lt;&gt;"")*(P$3:P$68="")*(G$3:G$68=G4)*(I$3:I$68="P"))+SUMPRODUCT((P$3:P$68&lt;&gt;"")*(G$3:G$68=G4)*(I$3:I$68="P"))+SUMPRODUCT((N$3:N$68&lt;&gt;"")*(G$3:G$68=G4)*(I$3:I$68="P"))+SUMPRODUCT((P$3:P$68="")*(O$3:O$68="")*(N$3:N$68="")*(M$3:M$68="P")*(G$3:G$68=G4)*(J$3:J$68&gt;J4)*(I$3:I$68="P"))+IF(H4="L5",SUMPRODUCT((P$3:P$68="")*(O$3:O$68="")*(N$3:N$68="")*(M$3:M$68="P")*(G$3:G$68=G4)*(J$3:J$68&lt;J4)*(H$3:H$68&lt;&gt;H4)*(I$3:I$68="P")),-1*SUMPRODUCT((P$3:P$68="")*(O$3:O$68="")*(N$3:N$68="")*(M$3:M$68="P")*(G$3:G$68=G4)*(J$3:J$68&gt;J4)*(H$3:H$68="L5")*(I$3:I$68="P")))+1,"")))))</f>
        <v/>
      </c>
      <c r="B4" s="1" cm="1">
        <f t="array" ref="B4">IF(P4&lt;&gt;"",SUMPRODUCT((P$3:P$68&lt;&gt;"")*(G$3:G$68=G4)*(J$3:J$68&gt;J4))+1,IF(O4&lt;&gt;"",SUMPRODUCT((O$3:O$68&lt;&gt;"")*(P$3:P$68="")*(G$3:G$68=G4)*(J$3:J$68&gt;J4))+SUMPRODUCT((P$3:P$68&lt;&gt;"")*(G$3:G$68=G4))+1,IF(N4&lt;&gt;"",SUMPRODUCT((N$3:N$68&lt;&gt;"")*(G$3:G$68=G4)*(J$3:J$68&gt;J4))+1,IF(M4="P",SUMPRODUCT((O$3:O$68&lt;&gt;"")*(P$3:P$68="")*(G$3:G$68=G4))+SUMPRODUCT((P$3:P$68&lt;&gt;"")*(G$3:G$68=G4))+SUMPRODUCT((N$3:N$68&lt;&gt;"")*(G$3:G$68=G4))+SUMPRODUCT((P$3:P$68="")*(O$3:O$68="")*(N$3:N$68="")*(M$3:M$68="P")*(G$3:G$68=G4)*(J$3:J$68&gt;J4))+IF(H4="L5",SUMPRODUCT((P$3:P$68="")*(O$3:O$68="")*(N$3:N$68="")*(M$3:M$68="P")*(G$3:G$68=G4)*(J$3:J$68&lt;J4)*(H$3:H$68&lt;&gt;H4)),-1*SUMPRODUCT((P$3:P$68="")*(O$3:O$68="")*(N$3:N$68="")*(M$3:M$68="P")*(G$3:G$68=G4)*(J$3:J$68&gt;J4)*(H$3:H$68="L5")))+1,""))))</f>
        <v>2</v>
      </c>
      <c r="C4" s="35" t="s">
        <v>233</v>
      </c>
      <c r="D4" s="35" t="str">
        <f>IF(E4="","",VLOOKUP(E4,'Coaching Points'!A:B,2,0))</f>
        <v>AB</v>
      </c>
      <c r="E4" s="35" t="s">
        <v>28</v>
      </c>
      <c r="F4" s="34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44.5002</v>
      </c>
      <c r="K4" s="3" t="str">
        <f>IF(G4="Not Age Eligible","",IF(MAX(T4,W4,Z4,AC4)&gt;=LOOKUP(G4,'Qualifying Scores'!$A$4:$A$7,'Qualifying Scores'!$G$4:$G$7),"P",""))</f>
        <v/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/>
      </c>
      <c r="P4" s="36">
        <v>4</v>
      </c>
      <c r="Q4" s="1" t="str">
        <f>IF(A4&lt;5,IF(_xlfn.MAXIFS(A:A,G:G,G4)&gt;3,5-A4,_xlfn.MAXIFS(A:A,G:G,G4)+1-A4),"")</f>
        <v/>
      </c>
      <c r="R4" s="4">
        <f>MAX(T4-V4,W4-Y4,Z4-AB4,AC4-AE4)</f>
        <v>44.5</v>
      </c>
      <c r="S4" s="4">
        <f>IF(R4=T4-V4,MAX(W4-Y4,Z4-AB4,AC4-AE4),IF(R4=W4-Y4,MAX(T4-V4,Z4-AB4,AC4-AE4),IF(R4=Z4-AB4,MAX(T4-V4,W4-Y4,AC4-AE4),IF(R4=AC4-AE4,MAX(T4-V4,W4-Y4,Z4-AB4),0))))</f>
        <v>43.9</v>
      </c>
      <c r="T4" s="32">
        <v>43.9</v>
      </c>
      <c r="U4" s="37">
        <v>8.8000000000000007</v>
      </c>
      <c r="V4" s="37">
        <v>0</v>
      </c>
      <c r="W4" s="33">
        <v>44.8</v>
      </c>
      <c r="X4" s="37">
        <v>10.8</v>
      </c>
      <c r="Y4" s="37">
        <v>0.3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$68&lt;&gt;"")*(G$3:G$68=G5)*(J$3:J$68&gt;J5)*(I$3:I$68="P"))+1,IF(O5&lt;&gt;"",SUMPRODUCT((O$3:O$68&lt;&gt;"")*(P$3:P$68="")*(G$3:G$68=G5)*(J$3:J$68&gt;J5)*(I$3:I$68="P"))+SUMPRODUCT((P$3:P$68&lt;&gt;"")*(G$3:G$68=G5)*(I$3:I$68="P"))+1,IF(N5&lt;&gt;"",SUMPRODUCT((N$3:N$68&lt;&gt;"")*(G$3:G$68=G5)*(J$3:J$68&gt;J5)*(I$3:I$68="P"))+1,IF(M5="P",SUMPRODUCT((O$3:O$68&lt;&gt;"")*(P$3:P$68="")*(G$3:G$68=G5)*(I$3:I$68="P"))+SUMPRODUCT((P$3:P$68&lt;&gt;"")*(G$3:G$68=G5)*(I$3:I$68="P"))+SUMPRODUCT((N$3:N$68&lt;&gt;"")*(G$3:G$68=G5)*(I$3:I$68="P"))+SUMPRODUCT((P$3:P$68="")*(O$3:O$68="")*(N$3:N$68="")*(M$3:M$68="P")*(G$3:G$68=G5)*(J$3:J$68&gt;J5)*(I$3:I$68="P"))+IF(H5="L5",SUMPRODUCT((P$3:P$68="")*(O$3:O$68="")*(N$3:N$68="")*(M$3:M$68="P")*(G$3:G$68=G5)*(J$3:J$68&lt;J5)*(H$3:H$68&lt;&gt;H5)*(I$3:I$68="P")),-1*SUMPRODUCT((P$3:P$68="")*(O$3:O$68="")*(N$3:N$68="")*(M$3:M$68="P")*(G$3:G$68=G5)*(J$3:J$68&gt;J5)*(H$3:H$68="L5")*(I$3:I$68="P")))+1,"")))))</f>
        <v/>
      </c>
      <c r="B5" s="1" cm="1">
        <f t="array" ref="B5">IF(P5&lt;&gt;"",SUMPRODUCT((P$3:P$68&lt;&gt;"")*(G$3:G$68=G5)*(J$3:J$68&gt;J5))+1,IF(O5&lt;&gt;"",SUMPRODUCT((O$3:O$68&lt;&gt;"")*(P$3:P$68="")*(G$3:G$68=G5)*(J$3:J$68&gt;J5))+SUMPRODUCT((P$3:P$68&lt;&gt;"")*(G$3:G$68=G5))+1,IF(N5&lt;&gt;"",SUMPRODUCT((N$3:N$68&lt;&gt;"")*(G$3:G$68=G5)*(J$3:J$68&gt;J5))+1,IF(M5="P",SUMPRODUCT((O$3:O$68&lt;&gt;"")*(P$3:P$68="")*(G$3:G$68=G5))+SUMPRODUCT((P$3:P$68&lt;&gt;"")*(G$3:G$68=G5))+SUMPRODUCT((N$3:N$68&lt;&gt;"")*(G$3:G$68=G5))+SUMPRODUCT((P$3:P$68="")*(O$3:O$68="")*(N$3:N$68="")*(M$3:M$68="P")*(G$3:G$68=G5)*(J$3:J$68&gt;J5))+IF(H5="L5",SUMPRODUCT((P$3:P$68="")*(O$3:O$68="")*(N$3:N$68="")*(M$3:M$68="P")*(G$3:G$68=G5)*(J$3:J$68&lt;J5)*(H$3:H$68&lt;&gt;H5)),-1*SUMPRODUCT((P$3:P$68="")*(O$3:O$68="")*(N$3:N$68="")*(M$3:M$68="P")*(G$3:G$68=G5)*(J$3:J$68&gt;J5)*(H$3:H$68="L5")))+1,""))))</f>
        <v>3</v>
      </c>
      <c r="C5" s="35" t="s">
        <v>129</v>
      </c>
      <c r="D5" s="35" t="str">
        <f>IF(E5="","",VLOOKUP(E5,'Coaching Points'!A:B,2,0))</f>
        <v>BC</v>
      </c>
      <c r="E5" s="35" t="s">
        <v>40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49.400200000000005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O5" s="36">
        <v>1</v>
      </c>
      <c r="Q5" s="1" t="str">
        <f>IF(A5&lt;5,IF(_xlfn.MAXIFS(A:A,G:G,G5)&gt;3,5-A5,_xlfn.MAXIFS(A:A,G:G,G5)+1-A5),"")</f>
        <v/>
      </c>
      <c r="R5" s="4">
        <f>MAX(T5-V5,W5-Y5,Z5-AB5,AC5-AE5)</f>
        <v>49.400000000000006</v>
      </c>
      <c r="S5" s="4">
        <f>IF(R5=T5-V5,MAX(W5-Y5,Z5-AB5,AC5-AE5),IF(R5=W5-Y5,MAX(T5-V5,Z5-AB5,AC5-AE5),IF(R5=Z5-AB5,MAX(T5-V5,W5-Y5,AC5-AE5),IF(R5=AC5-AE5,MAX(T5-V5,W5-Y5,Z5-AB5),0))))</f>
        <v>47.2</v>
      </c>
      <c r="T5" s="32">
        <v>49.7</v>
      </c>
      <c r="U5" s="37">
        <v>13.2</v>
      </c>
      <c r="V5" s="37">
        <v>0.3</v>
      </c>
      <c r="W5" s="33">
        <v>47.5</v>
      </c>
      <c r="X5" s="37">
        <v>11.6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$68&lt;&gt;"")*(G$3:G$68=G6)*(J$3:J$68&gt;J6)*(I$3:I$68="P"))+1,IF(O6&lt;&gt;"",SUMPRODUCT((O$3:O$68&lt;&gt;"")*(P$3:P$68="")*(G$3:G$68=G6)*(J$3:J$68&gt;J6)*(I$3:I$68="P"))+SUMPRODUCT((P$3:P$68&lt;&gt;"")*(G$3:G$68=G6)*(I$3:I$68="P"))+1,IF(N6&lt;&gt;"",SUMPRODUCT((N$3:N$68&lt;&gt;"")*(G$3:G$68=G6)*(J$3:J$68&gt;J6)*(I$3:I$68="P"))+1,IF(M6="P",SUMPRODUCT((O$3:O$68&lt;&gt;"")*(P$3:P$68="")*(G$3:G$68=G6)*(I$3:I$68="P"))+SUMPRODUCT((P$3:P$68&lt;&gt;"")*(G$3:G$68=G6)*(I$3:I$68="P"))+SUMPRODUCT((N$3:N$68&lt;&gt;"")*(G$3:G$68=G6)*(I$3:I$68="P"))+SUMPRODUCT((P$3:P$68="")*(O$3:O$68="")*(N$3:N$68="")*(M$3:M$68="P")*(G$3:G$68=G6)*(J$3:J$68&gt;J6)*(I$3:I$68="P"))+IF(H6="L5",SUMPRODUCT((P$3:P$68="")*(O$3:O$68="")*(N$3:N$68="")*(M$3:M$68="P")*(G$3:G$68=G6)*(J$3:J$68&lt;J6)*(H$3:H$68&lt;&gt;H6)*(I$3:I$68="P")),-1*SUMPRODUCT((P$3:P$68="")*(O$3:O$68="")*(N$3:N$68="")*(M$3:M$68="P")*(G$3:G$68=G6)*(J$3:J$68&gt;J6)*(H$3:H$68="L5")*(I$3:I$68="P")))+1,"")))))</f>
        <v/>
      </c>
      <c r="B6" s="1" cm="1">
        <f t="array" ref="B6">IF(P6&lt;&gt;"",SUMPRODUCT((P$3:P$68&lt;&gt;"")*(G$3:G$68=G6)*(J$3:J$68&gt;J6))+1,IF(O6&lt;&gt;"",SUMPRODUCT((O$3:O$68&lt;&gt;"")*(P$3:P$68="")*(G$3:G$68=G6)*(J$3:J$68&gt;J6))+SUMPRODUCT((P$3:P$68&lt;&gt;"")*(G$3:G$68=G6))+1,IF(N6&lt;&gt;"",SUMPRODUCT((N$3:N$68&lt;&gt;"")*(G$3:G$68=G6)*(J$3:J$68&gt;J6))+1,IF(M6="P",SUMPRODUCT((O$3:O$68&lt;&gt;"")*(P$3:P$68="")*(G$3:G$68=G6))+SUMPRODUCT((P$3:P$68&lt;&gt;"")*(G$3:G$68=G6))+SUMPRODUCT((N$3:N$68&lt;&gt;"")*(G$3:G$68=G6))+SUMPRODUCT((P$3:P$68="")*(O$3:O$68="")*(N$3:N$68="")*(M$3:M$68="P")*(G$3:G$68=G6)*(J$3:J$68&gt;J6))+IF(H6="L5",SUMPRODUCT((P$3:P$68="")*(O$3:O$68="")*(N$3:N$68="")*(M$3:M$68="P")*(G$3:G$68=G6)*(J$3:J$68&lt;J6)*(H$3:H$68&lt;&gt;H6)),-1*SUMPRODUCT((P$3:P$68="")*(O$3:O$68="")*(N$3:N$68="")*(M$3:M$68="P")*(G$3:G$68=G6)*(J$3:J$68&gt;J6)*(H$3:H$68="L5")))+1,""))))</f>
        <v>4</v>
      </c>
      <c r="C6" s="35" t="s">
        <v>231</v>
      </c>
      <c r="D6" s="35" t="str">
        <f>IF(E6="","",VLOOKUP(E6,'Coaching Points'!A:B,2,0))</f>
        <v>AB</v>
      </c>
      <c r="E6" s="35" t="s">
        <v>61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47.0002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2</v>
      </c>
      <c r="Q6" s="1" t="str">
        <f>IF(A6&lt;5,IF(_xlfn.MAXIFS(A:A,G:G,G6)&gt;3,5-A6,_xlfn.MAXIFS(A:A,G:G,G6)+1-A6),"")</f>
        <v/>
      </c>
      <c r="R6" s="4">
        <f>MAX(T6-V6,W6-Y6,Z6-AB6,AC6-AE6)</f>
        <v>47</v>
      </c>
      <c r="S6" s="4">
        <f>IF(R6=T6-V6,MAX(W6-Y6,Z6-AB6,AC6-AE6),IF(R6=W6-Y6,MAX(T6-V6,Z6-AB6,AC6-AE6),IF(R6=Z6-AB6,MAX(T6-V6,W6-Y6,AC6-AE6),IF(R6=AC6-AE6,MAX(T6-V6,W6-Y6,Z6-AB6),0))))</f>
        <v>24.4</v>
      </c>
      <c r="T6" s="32">
        <v>24.7</v>
      </c>
      <c r="U6" s="37">
        <v>6.8</v>
      </c>
      <c r="V6" s="37">
        <v>0.3</v>
      </c>
      <c r="W6" s="33">
        <v>47.3</v>
      </c>
      <c r="X6" s="37">
        <v>13.2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$68&lt;&gt;"")*(G$3:G$68=G7)*(J$3:J$68&gt;J7)*(I$3:I$68="P"))+1,IF(O7&lt;&gt;"",SUMPRODUCT((O$3:O$68&lt;&gt;"")*(P$3:P$68="")*(G$3:G$68=G7)*(J$3:J$68&gt;J7)*(I$3:I$68="P"))+SUMPRODUCT((P$3:P$68&lt;&gt;"")*(G$3:G$68=G7)*(I$3:I$68="P"))+1,IF(N7&lt;&gt;"",SUMPRODUCT((N$3:N$68&lt;&gt;"")*(G$3:G$68=G7)*(J$3:J$68&gt;J7)*(I$3:I$68="P"))+1,IF(M7="P",SUMPRODUCT((O$3:O$68&lt;&gt;"")*(P$3:P$68="")*(G$3:G$68=G7)*(I$3:I$68="P"))+SUMPRODUCT((P$3:P$68&lt;&gt;"")*(G$3:G$68=G7)*(I$3:I$68="P"))+SUMPRODUCT((N$3:N$68&lt;&gt;"")*(G$3:G$68=G7)*(I$3:I$68="P"))+SUMPRODUCT((P$3:P$68="")*(O$3:O$68="")*(N$3:N$68="")*(M$3:M$68="P")*(G$3:G$68=G7)*(J$3:J$68&gt;J7)*(I$3:I$68="P"))+IF(H7="L5",SUMPRODUCT((P$3:P$68="")*(O$3:O$68="")*(N$3:N$68="")*(M$3:M$68="P")*(G$3:G$68=G7)*(J$3:J$68&lt;J7)*(H$3:H$68&lt;&gt;H7)*(I$3:I$68="P")),-1*SUMPRODUCT((P$3:P$68="")*(O$3:O$68="")*(N$3:N$68="")*(M$3:M$68="P")*(G$3:G$68=G7)*(J$3:J$68&gt;J7)*(H$3:H$68="L5")*(I$3:I$68="P")))+1,"")))))</f>
        <v/>
      </c>
      <c r="B7" s="1" cm="1">
        <f t="array" ref="B7">IF(P7&lt;&gt;"",SUMPRODUCT((P$3:P$68&lt;&gt;"")*(G$3:G$68=G7)*(J$3:J$68&gt;J7))+1,IF(O7&lt;&gt;"",SUMPRODUCT((O$3:O$68&lt;&gt;"")*(P$3:P$68="")*(G$3:G$68=G7)*(J$3:J$68&gt;J7))+SUMPRODUCT((P$3:P$68&lt;&gt;"")*(G$3:G$68=G7))+1,IF(N7&lt;&gt;"",SUMPRODUCT((N$3:N$68&lt;&gt;"")*(G$3:G$68=G7)*(J$3:J$68&gt;J7))+1,IF(M7="P",SUMPRODUCT((O$3:O$68&lt;&gt;"")*(P$3:P$68="")*(G$3:G$68=G7))+SUMPRODUCT((P$3:P$68&lt;&gt;"")*(G$3:G$68=G7))+SUMPRODUCT((N$3:N$68&lt;&gt;"")*(G$3:G$68=G7))+SUMPRODUCT((P$3:P$68="")*(O$3:O$68="")*(N$3:N$68="")*(M$3:M$68="P")*(G$3:G$68=G7)*(J$3:J$68&gt;J7))+IF(H7="L5",SUMPRODUCT((P$3:P$68="")*(O$3:O$68="")*(N$3:N$68="")*(M$3:M$68="P")*(G$3:G$68=G7)*(J$3:J$68&lt;J7)*(H$3:H$68&lt;&gt;H7)),-1*SUMPRODUCT((P$3:P$68="")*(O$3:O$68="")*(N$3:N$68="")*(M$3:M$68="P")*(G$3:G$68=G7)*(J$3:J$68&gt;J7)*(H$3:H$68="L5")))+1,""))))</f>
        <v>5</v>
      </c>
      <c r="C7" s="35" t="s">
        <v>393</v>
      </c>
      <c r="D7" s="35" t="str">
        <f>IF(E7="","",VLOOKUP(E7,'Coaching Points'!A:B,2,0))</f>
        <v>AB</v>
      </c>
      <c r="E7" s="35" t="s">
        <v>56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R7+IF(OR(H7="Junior",H7="Senior"),0.0002,IF(OR(H7="L7",H7="L6"),0.0001,0))+MAX(Z7,AC7)*0.0000001</f>
        <v>2.0000000000000001E-4</v>
      </c>
      <c r="K7" s="3" t="str">
        <f>IF(G7="Not Age Eligible","",IF(MAX(T7,W7,Z7,AC7)&gt;=LOOKUP(G7,'Qualifying Scores'!$A$4:$A$7,'Qualifying Scores'!$G$4:$G$7),"P",""))</f>
        <v/>
      </c>
      <c r="L7" s="3" t="str">
        <f>IF(G7="Not Age Eligible","",IF(MAX(U7,X7,AA7,AD7)&gt;=LOOKUP(G7,'Qualifying Scores'!$A$10:$A$13,'Qualifying Scores'!$G$10:$G$13),"P",""))</f>
        <v/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/>
      </c>
      <c r="O7" s="36">
        <v>3</v>
      </c>
      <c r="Q7" s="1" t="str">
        <f>IF(A7&lt;5,IF(_xlfn.MAXIFS(A:A,G:G,G7)&gt;3,5-A7,_xlfn.MAXIFS(A:A,G:G,G7)+1-A7),"")</f>
        <v/>
      </c>
      <c r="R7" s="4">
        <f>MAX(T7-V7,W7-Y7,Z7-AB7,AC7-AE7)</f>
        <v>0</v>
      </c>
      <c r="S7" s="4">
        <f>IF(R7=T7-V7,MAX(W7-Y7,Z7-AB7,AC7-AE7),IF(R7=W7-Y7,MAX(T7-V7,Z7-AB7,AC7-AE7),IF(R7=Z7-AB7,MAX(T7-V7,W7-Y7,AC7-AE7),IF(R7=AC7-AE7,MAX(T7-V7,W7-Y7,Z7-AB7),0))))</f>
        <v>0</v>
      </c>
      <c r="T7" s="32"/>
      <c r="U7" s="37"/>
      <c r="V7" s="37"/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$68&lt;&gt;"")*(G$3:G$68=G8)*(J$3:J$68&gt;J8)*(I$3:I$68="P"))+1,IF(O8&lt;&gt;"",SUMPRODUCT((O$3:O$68&lt;&gt;"")*(P$3:P$68="")*(G$3:G$68=G8)*(J$3:J$68&gt;J8)*(I$3:I$68="P"))+SUMPRODUCT((P$3:P$68&lt;&gt;"")*(G$3:G$68=G8)*(I$3:I$68="P"))+1,IF(N8&lt;&gt;"",SUMPRODUCT((N$3:N$68&lt;&gt;"")*(G$3:G$68=G8)*(J$3:J$68&gt;J8)*(I$3:I$68="P"))+1,IF(M8="P",SUMPRODUCT((O$3:O$68&lt;&gt;"")*(P$3:P$68="")*(G$3:G$68=G8)*(I$3:I$68="P"))+SUMPRODUCT((P$3:P$68&lt;&gt;"")*(G$3:G$68=G8)*(I$3:I$68="P"))+SUMPRODUCT((N$3:N$68&lt;&gt;"")*(G$3:G$68=G8)*(I$3:I$68="P"))+SUMPRODUCT((P$3:P$68="")*(O$3:O$68="")*(N$3:N$68="")*(M$3:M$68="P")*(G$3:G$68=G8)*(J$3:J$68&gt;J8)*(I$3:I$68="P"))+IF(H8="L5",SUMPRODUCT((P$3:P$68="")*(O$3:O$68="")*(N$3:N$68="")*(M$3:M$68="P")*(G$3:G$68=G8)*(J$3:J$68&lt;J8)*(H$3:H$68&lt;&gt;H8)*(I$3:I$68="P")),-1*SUMPRODUCT((P$3:P$68="")*(O$3:O$68="")*(N$3:N$68="")*(M$3:M$68="P")*(G$3:G$68=G8)*(J$3:J$68&gt;J8)*(H$3:H$68="L5")*(I$3:I$68="P")))+1,"")))))</f>
        <v/>
      </c>
      <c r="B8" s="1" cm="1">
        <f t="array" ref="B8">IF(P8&lt;&gt;"",SUMPRODUCT((P$3:P$68&lt;&gt;"")*(G$3:G$68=G8)*(J$3:J$68&gt;J8))+1,IF(O8&lt;&gt;"",SUMPRODUCT((O$3:O$68&lt;&gt;"")*(P$3:P$68="")*(G$3:G$68=G8)*(J$3:J$68&gt;J8))+SUMPRODUCT((P$3:P$68&lt;&gt;"")*(G$3:G$68=G8))+1,IF(N8&lt;&gt;"",SUMPRODUCT((N$3:N$68&lt;&gt;"")*(G$3:G$68=G8)*(J$3:J$68&gt;J8))+1,IF(M8="P",SUMPRODUCT((O$3:O$68&lt;&gt;"")*(P$3:P$68="")*(G$3:G$68=G8))+SUMPRODUCT((P$3:P$68&lt;&gt;"")*(G$3:G$68=G8))+SUMPRODUCT((N$3:N$68&lt;&gt;"")*(G$3:G$68=G8))+SUMPRODUCT((P$3:P$68="")*(O$3:O$68="")*(N$3:N$68="")*(M$3:M$68="P")*(G$3:G$68=G8)*(J$3:J$68&gt;J8))+IF(H8="L5",SUMPRODUCT((P$3:P$68="")*(O$3:O$68="")*(N$3:N$68="")*(M$3:M$68="P")*(G$3:G$68=G8)*(J$3:J$68&lt;J8)*(H$3:H$68&lt;&gt;H8)),-1*SUMPRODUCT((P$3:P$68="")*(O$3:O$68="")*(N$3:N$68="")*(M$3:M$68="P")*(G$3:G$68=G8)*(J$3:J$68&gt;J8)*(H$3:H$68="L5")))+1,""))))</f>
        <v>6</v>
      </c>
      <c r="C8" s="35" t="s">
        <v>119</v>
      </c>
      <c r="D8" s="35" t="str">
        <f>IF(E8="","",VLOOKUP(E8,'Coaching Points'!A:B,2,0))</f>
        <v>SK</v>
      </c>
      <c r="E8" s="35" t="s">
        <v>329</v>
      </c>
      <c r="F8" s="34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>R8+IF(OR(H8="Junior",H8="Senior"),0.0002,IF(OR(H8="L7",H8="L6"),0.0001,0))+MAX(Z8,AC8)*0.0000001</f>
        <v>46.300100000000008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Q8" s="1" t="str">
        <f>IF(A8&lt;5,IF(_xlfn.MAXIFS(A:A,G:G,G8)&gt;3,5-A8,_xlfn.MAXIFS(A:A,G:G,G8)+1-A8),"")</f>
        <v/>
      </c>
      <c r="R8" s="4">
        <f>MAX(T8-V8,W8-Y8,Z8-AB8,AC8-AE8)</f>
        <v>46.300000000000004</v>
      </c>
      <c r="S8" s="4">
        <f>IF(R8=T8-V8,MAX(W8-Y8,Z8-AB8,AC8-AE8),IF(R8=W8-Y8,MAX(T8-V8,Z8-AB8,AC8-AE8),IF(R8=Z8-AB8,MAX(T8-V8,W8-Y8,AC8-AE8),IF(R8=AC8-AE8,MAX(T8-V8,W8-Y8,Z8-AB8),0))))</f>
        <v>46.1</v>
      </c>
      <c r="T8" s="32">
        <v>46.4</v>
      </c>
      <c r="U8" s="37">
        <v>10.4</v>
      </c>
      <c r="V8" s="37">
        <v>0.3</v>
      </c>
      <c r="W8" s="33">
        <v>46.6</v>
      </c>
      <c r="X8" s="37">
        <v>10.4</v>
      </c>
      <c r="Y8" s="37">
        <v>0.3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$68&lt;&gt;"")*(G$3:G$68=G9)*(J$3:J$68&gt;J9)*(I$3:I$68="P"))+1,IF(O9&lt;&gt;"",SUMPRODUCT((O$3:O$68&lt;&gt;"")*(P$3:P$68="")*(G$3:G$68=G9)*(J$3:J$68&gt;J9)*(I$3:I$68="P"))+SUMPRODUCT((P$3:P$68&lt;&gt;"")*(G$3:G$68=G9)*(I$3:I$68="P"))+1,IF(N9&lt;&gt;"",SUMPRODUCT((N$3:N$68&lt;&gt;"")*(G$3:G$68=G9)*(J$3:J$68&gt;J9)*(I$3:I$68="P"))+1,IF(M9="P",SUMPRODUCT((O$3:O$68&lt;&gt;"")*(P$3:P$68="")*(G$3:G$68=G9)*(I$3:I$68="P"))+SUMPRODUCT((P$3:P$68&lt;&gt;"")*(G$3:G$68=G9)*(I$3:I$68="P"))+SUMPRODUCT((N$3:N$68&lt;&gt;"")*(G$3:G$68=G9)*(I$3:I$68="P"))+SUMPRODUCT((P$3:P$68="")*(O$3:O$68="")*(N$3:N$68="")*(M$3:M$68="P")*(G$3:G$68=G9)*(J$3:J$68&gt;J9)*(I$3:I$68="P"))+IF(H9="L5",SUMPRODUCT((P$3:P$68="")*(O$3:O$68="")*(N$3:N$68="")*(M$3:M$68="P")*(G$3:G$68=G9)*(J$3:J$68&lt;J9)*(H$3:H$68&lt;&gt;H9)*(I$3:I$68="P")),-1*SUMPRODUCT((P$3:P$68="")*(O$3:O$68="")*(N$3:N$68="")*(M$3:M$68="P")*(G$3:G$68=G9)*(J$3:J$68&gt;J9)*(H$3:H$68="L5")*(I$3:I$68="P")))+1,"")))))</f>
        <v/>
      </c>
      <c r="B9" s="1" t="str" cm="1">
        <f t="array" ref="B9">IF(P9&lt;&gt;"",SUMPRODUCT((P$3:P$68&lt;&gt;"")*(G$3:G$68=G9)*(J$3:J$68&gt;J9))+1,IF(O9&lt;&gt;"",SUMPRODUCT((O$3:O$68&lt;&gt;"")*(P$3:P$68="")*(G$3:G$68=G9)*(J$3:J$68&gt;J9))+SUMPRODUCT((P$3:P$68&lt;&gt;"")*(G$3:G$68=G9))+1,IF(N9&lt;&gt;"",SUMPRODUCT((N$3:N$68&lt;&gt;"")*(G$3:G$68=G9)*(J$3:J$68&gt;J9))+1,IF(M9="P",SUMPRODUCT((O$3:O$68&lt;&gt;"")*(P$3:P$68="")*(G$3:G$68=G9))+SUMPRODUCT((P$3:P$68&lt;&gt;"")*(G$3:G$68=G9))+SUMPRODUCT((N$3:N$68&lt;&gt;"")*(G$3:G$68=G9))+SUMPRODUCT((P$3:P$68="")*(O$3:O$68="")*(N$3:N$68="")*(M$3:M$68="P")*(G$3:G$68=G9)*(J$3:J$68&gt;J9))+IF(H9="L5",SUMPRODUCT((P$3:P$68="")*(O$3:O$68="")*(N$3:N$68="")*(M$3:M$68="P")*(G$3:G$68=G9)*(J$3:J$68&lt;J9)*(H$3:H$68&lt;&gt;H9)),-1*SUMPRODUCT((P$3:P$68="")*(O$3:O$68="")*(N$3:N$68="")*(M$3:M$68="P")*(G$3:G$68=G9)*(J$3:J$68&gt;J9)*(H$3:H$68="L5")))+1,""))))</f>
        <v/>
      </c>
      <c r="C9" s="35" t="s">
        <v>232</v>
      </c>
      <c r="D9" s="35" t="str">
        <f>IF(E9="","",VLOOKUP(E9,'Coaching Points'!A:B,2,0))</f>
        <v>BC</v>
      </c>
      <c r="E9" s="35" t="s">
        <v>198</v>
      </c>
      <c r="F9" s="34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R9+IF(OR(H9="Junior",H9="Senior"),0.0002,IF(OR(H9="L7",H9="L6"),0.0001,0))+MAX(Z9,AC9)*0.0000001</f>
        <v>45.900100000000009</v>
      </c>
      <c r="K9" s="3" t="str">
        <f>IF(G9="Not Age Eligible","",IF(MAX(T9,W9,Z9,AC9)&gt;=LOOKUP(G9,'Qualifying Scores'!$A$4:$A$7,'Qualifying Scores'!$G$4:$G$7),"P",""))</f>
        <v/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/>
      </c>
      <c r="Q9" s="1" t="str">
        <f>IF(A9&lt;5,IF(_xlfn.MAXIFS(A:A,G:G,G9)&gt;3,5-A9,_xlfn.MAXIFS(A:A,G:G,G9)+1-A9),"")</f>
        <v/>
      </c>
      <c r="R9" s="4">
        <f>MAX(T9-V9,W9-Y9,Z9-AB9,AC9-AE9)</f>
        <v>45.900000000000006</v>
      </c>
      <c r="S9" s="4">
        <f>IF(R9=T9-V9,MAX(W9-Y9,Z9-AB9,AC9-AE9),IF(R9=W9-Y9,MAX(T9-V9,Z9-AB9,AC9-AE9),IF(R9=Z9-AB9,MAX(T9-V9,W9-Y9,AC9-AE9),IF(R9=AC9-AE9,MAX(T9-V9,W9-Y9,Z9-AB9),0))))</f>
        <v>45.300000000000004</v>
      </c>
      <c r="T9" s="32">
        <v>45.6</v>
      </c>
      <c r="U9" s="37">
        <v>10</v>
      </c>
      <c r="V9" s="37">
        <v>0.3</v>
      </c>
      <c r="W9" s="33">
        <v>46.2</v>
      </c>
      <c r="X9" s="37">
        <v>10</v>
      </c>
      <c r="Y9" s="37">
        <v>0.3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$68&lt;&gt;"")*(G$3:G$68=G10)*(J$3:J$68&gt;J10)*(I$3:I$68="P"))+1,IF(O10&lt;&gt;"",SUMPRODUCT((O$3:O$68&lt;&gt;"")*(P$3:P$68="")*(G$3:G$68=G10)*(J$3:J$68&gt;J10)*(I$3:I$68="P"))+SUMPRODUCT((P$3:P$68&lt;&gt;"")*(G$3:G$68=G10)*(I$3:I$68="P"))+1,IF(N10&lt;&gt;"",SUMPRODUCT((N$3:N$68&lt;&gt;"")*(G$3:G$68=G10)*(J$3:J$68&gt;J10)*(I$3:I$68="P"))+1,IF(M10="P",SUMPRODUCT((O$3:O$68&lt;&gt;"")*(P$3:P$68="")*(G$3:G$68=G10)*(I$3:I$68="P"))+SUMPRODUCT((P$3:P$68&lt;&gt;"")*(G$3:G$68=G10)*(I$3:I$68="P"))+SUMPRODUCT((N$3:N$68&lt;&gt;"")*(G$3:G$68=G10)*(I$3:I$68="P"))+SUMPRODUCT((P$3:P$68="")*(O$3:O$68="")*(N$3:N$68="")*(M$3:M$68="P")*(G$3:G$68=G10)*(J$3:J$68&gt;J10)*(I$3:I$68="P"))+IF(H10="L5",SUMPRODUCT((P$3:P$68="")*(O$3:O$68="")*(N$3:N$68="")*(M$3:M$68="P")*(G$3:G$68=G10)*(J$3:J$68&lt;J10)*(H$3:H$68&lt;&gt;H10)*(I$3:I$68="P")),-1*SUMPRODUCT((P$3:P$68="")*(O$3:O$68="")*(N$3:N$68="")*(M$3:M$68="P")*(G$3:G$68=G10)*(J$3:J$68&gt;J10)*(H$3:H$68="L5")*(I$3:I$68="P")))+1,"")))))</f>
        <v/>
      </c>
      <c r="B10" s="1" t="str" cm="1">
        <f t="array" ref="B10">IF(P10&lt;&gt;"",SUMPRODUCT((P$3:P$68&lt;&gt;"")*(G$3:G$68=G10)*(J$3:J$68&gt;J10))+1,IF(O10&lt;&gt;"",SUMPRODUCT((O$3:O$68&lt;&gt;"")*(P$3:P$68="")*(G$3:G$68=G10)*(J$3:J$68&gt;J10))+SUMPRODUCT((P$3:P$68&lt;&gt;"")*(G$3:G$68=G10))+1,IF(N10&lt;&gt;"",SUMPRODUCT((N$3:N$68&lt;&gt;"")*(G$3:G$68=G10)*(J$3:J$68&gt;J10))+1,IF(M10="P",SUMPRODUCT((O$3:O$68&lt;&gt;"")*(P$3:P$68="")*(G$3:G$68=G10))+SUMPRODUCT((P$3:P$68&lt;&gt;"")*(G$3:G$68=G10))+SUMPRODUCT((N$3:N$68&lt;&gt;"")*(G$3:G$68=G10))+SUMPRODUCT((P$3:P$68="")*(O$3:O$68="")*(N$3:N$68="")*(M$3:M$68="P")*(G$3:G$68=G10)*(J$3:J$68&gt;J10))+IF(H10="L5",SUMPRODUCT((P$3:P$68="")*(O$3:O$68="")*(N$3:N$68="")*(M$3:M$68="P")*(G$3:G$68=G10)*(J$3:J$68&lt;J10)*(H$3:H$68&lt;&gt;H10)),-1*SUMPRODUCT((P$3:P$68="")*(O$3:O$68="")*(N$3:N$68="")*(M$3:M$68="P")*(G$3:G$68=G10)*(J$3:J$68&gt;J10)*(H$3:H$68="L5")))+1,""))))</f>
        <v/>
      </c>
      <c r="C10" s="35" t="s">
        <v>142</v>
      </c>
      <c r="D10" s="35" t="str">
        <f>IF(E10="","",VLOOKUP(E10,'Coaching Points'!A:B,2,0))</f>
        <v>SK</v>
      </c>
      <c r="E10" s="35" t="s">
        <v>329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R10+IF(OR(H10="Junior",H10="Senior"),0.0002,IF(OR(H10="L7",H10="L6"),0.0001,0))+MAX(Z10,AC10)*0.0000001</f>
        <v>45.900100000000009</v>
      </c>
      <c r="K10" s="3" t="str">
        <f>IF(G10="Not Age Eligible","",IF(MAX(T10,W10,Z10,AC10)&gt;=LOOKUP(G10,'Qualifying Scores'!$A$4:$A$7,'Qualifying Scores'!$G$4:$G$7),"P",""))</f>
        <v/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MAX(T10-V10,W10-Y10,Z10-AB10,AC10-AE10)</f>
        <v>45.900000000000006</v>
      </c>
      <c r="S10" s="4">
        <f>IF(R10=T10-V10,MAX(W10-Y10,Z10-AB10,AC10-AE10),IF(R10=W10-Y10,MAX(T10-V10,Z10-AB10,AC10-AE10),IF(R10=Z10-AB10,MAX(T10-V10,W10-Y10,AC10-AE10),IF(R10=AC10-AE10,MAX(T10-V10,W10-Y10,Z10-AB10),0))))</f>
        <v>43.300000000000004</v>
      </c>
      <c r="T10" s="32">
        <v>46.2</v>
      </c>
      <c r="U10" s="37">
        <v>10.8</v>
      </c>
      <c r="V10" s="37">
        <v>0.3</v>
      </c>
      <c r="W10" s="33">
        <v>43.6</v>
      </c>
      <c r="X10" s="37">
        <v>8</v>
      </c>
      <c r="Y10" s="37">
        <v>0.3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$68&lt;&gt;"")*(G$3:G$68=G11)*(J$3:J$68&gt;J11)*(I$3:I$68="P"))+1,IF(O11&lt;&gt;"",SUMPRODUCT((O$3:O$68&lt;&gt;"")*(P$3:P$68="")*(G$3:G$68=G11)*(J$3:J$68&gt;J11)*(I$3:I$68="P"))+SUMPRODUCT((P$3:P$68&lt;&gt;"")*(G$3:G$68=G11)*(I$3:I$68="P"))+1,IF(N11&lt;&gt;"",SUMPRODUCT((N$3:N$68&lt;&gt;"")*(G$3:G$68=G11)*(J$3:J$68&gt;J11)*(I$3:I$68="P"))+1,IF(M11="P",SUMPRODUCT((O$3:O$68&lt;&gt;"")*(P$3:P$68="")*(G$3:G$68=G11)*(I$3:I$68="P"))+SUMPRODUCT((P$3:P$68&lt;&gt;"")*(G$3:G$68=G11)*(I$3:I$68="P"))+SUMPRODUCT((N$3:N$68&lt;&gt;"")*(G$3:G$68=G11)*(I$3:I$68="P"))+SUMPRODUCT((P$3:P$68="")*(O$3:O$68="")*(N$3:N$68="")*(M$3:M$68="P")*(G$3:G$68=G11)*(J$3:J$68&gt;J11)*(I$3:I$68="P"))+IF(H11="L5",SUMPRODUCT((P$3:P$68="")*(O$3:O$68="")*(N$3:N$68="")*(M$3:M$68="P")*(G$3:G$68=G11)*(J$3:J$68&lt;J11)*(H$3:H$68&lt;&gt;H11)*(I$3:I$68="P")),-1*SUMPRODUCT((P$3:P$68="")*(O$3:O$68="")*(N$3:N$68="")*(M$3:M$68="P")*(G$3:G$68=G11)*(J$3:J$68&gt;J11)*(H$3:H$68="L5")*(I$3:I$68="P")))+1,"")))))</f>
        <v/>
      </c>
      <c r="B11" s="1" t="str" cm="1">
        <f t="array" ref="B11">IF(P11&lt;&gt;"",SUMPRODUCT((P$3:P$68&lt;&gt;"")*(G$3:G$68=G11)*(J$3:J$68&gt;J11))+1,IF(O11&lt;&gt;"",SUMPRODUCT((O$3:O$68&lt;&gt;"")*(P$3:P$68="")*(G$3:G$68=G11)*(J$3:J$68&gt;J11))+SUMPRODUCT((P$3:P$68&lt;&gt;"")*(G$3:G$68=G11))+1,IF(N11&lt;&gt;"",SUMPRODUCT((N$3:N$68&lt;&gt;"")*(G$3:G$68=G11)*(J$3:J$68&gt;J11))+1,IF(M11="P",SUMPRODUCT((O$3:O$68&lt;&gt;"")*(P$3:P$68="")*(G$3:G$68=G11))+SUMPRODUCT((P$3:P$68&lt;&gt;"")*(G$3:G$68=G11))+SUMPRODUCT((N$3:N$68&lt;&gt;"")*(G$3:G$68=G11))+SUMPRODUCT((P$3:P$68="")*(O$3:O$68="")*(N$3:N$68="")*(M$3:M$68="P")*(G$3:G$68=G11)*(J$3:J$68&gt;J11))+IF(H11="L5",SUMPRODUCT((P$3:P$68="")*(O$3:O$68="")*(N$3:N$68="")*(M$3:M$68="P")*(G$3:G$68=G11)*(J$3:J$68&lt;J11)*(H$3:H$68&lt;&gt;H11)),-1*SUMPRODUCT((P$3:P$68="")*(O$3:O$68="")*(N$3:N$68="")*(M$3:M$68="P")*(G$3:G$68=G11)*(J$3:J$68&gt;J11)*(H$3:H$68="L5")))+1,""))))</f>
        <v/>
      </c>
      <c r="C11" s="35" t="s">
        <v>290</v>
      </c>
      <c r="D11" s="35" t="str">
        <f>IF(E11="","",VLOOKUP(E11,'Coaching Points'!A:B,2,0))</f>
        <v>SK</v>
      </c>
      <c r="E11" s="35" t="s">
        <v>329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R11+IF(OR(H11="Junior",H11="Senior"),0.0002,IF(OR(H11="L7",H11="L6"),0.0001,0))+MAX(Z11,AC11)*0.0000001</f>
        <v>45.100100000000005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MAX(T11-V11,W11-Y11,Z11-AB11,AC11-AE11)</f>
        <v>45.1</v>
      </c>
      <c r="S11" s="4">
        <f>IF(R11=T11-V11,MAX(W11-Y11,Z11-AB11,AC11-AE11),IF(R11=W11-Y11,MAX(T11-V11,Z11-AB11,AC11-AE11),IF(R11=Z11-AB11,MAX(T11-V11,W11-Y11,AC11-AE11),IF(R11=AC11-AE11,MAX(T11-V11,W11-Y11,Z11-AB11),0))))</f>
        <v>43.2</v>
      </c>
      <c r="T11" s="32">
        <v>43.2</v>
      </c>
      <c r="U11" s="37">
        <v>7.1</v>
      </c>
      <c r="V11" s="37">
        <v>0</v>
      </c>
      <c r="W11" s="33">
        <v>45.1</v>
      </c>
      <c r="X11" s="37">
        <v>7.1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$68&lt;&gt;"")*(G$3:G$68=G12)*(J$3:J$68&gt;J12)*(I$3:I$68="P"))+1,IF(O12&lt;&gt;"",SUMPRODUCT((O$3:O$68&lt;&gt;"")*(P$3:P$68="")*(G$3:G$68=G12)*(J$3:J$68&gt;J12)*(I$3:I$68="P"))+SUMPRODUCT((P$3:P$68&lt;&gt;"")*(G$3:G$68=G12)*(I$3:I$68="P"))+1,IF(N12&lt;&gt;"",SUMPRODUCT((N$3:N$68&lt;&gt;"")*(G$3:G$68=G12)*(J$3:J$68&gt;J12)*(I$3:I$68="P"))+1,IF(M12="P",SUMPRODUCT((O$3:O$68&lt;&gt;"")*(P$3:P$68="")*(G$3:G$68=G12)*(I$3:I$68="P"))+SUMPRODUCT((P$3:P$68&lt;&gt;"")*(G$3:G$68=G12)*(I$3:I$68="P"))+SUMPRODUCT((N$3:N$68&lt;&gt;"")*(G$3:G$68=G12)*(I$3:I$68="P"))+SUMPRODUCT((P$3:P$68="")*(O$3:O$68="")*(N$3:N$68="")*(M$3:M$68="P")*(G$3:G$68=G12)*(J$3:J$68&gt;J12)*(I$3:I$68="P"))+IF(H12="L5",SUMPRODUCT((P$3:P$68="")*(O$3:O$68="")*(N$3:N$68="")*(M$3:M$68="P")*(G$3:G$68=G12)*(J$3:J$68&lt;J12)*(H$3:H$68&lt;&gt;H12)*(I$3:I$68="P")),-1*SUMPRODUCT((P$3:P$68="")*(O$3:O$68="")*(N$3:N$68="")*(M$3:M$68="P")*(G$3:G$68=G12)*(J$3:J$68&gt;J12)*(H$3:H$68="L5")*(I$3:I$68="P")))+1,"")))))</f>
        <v/>
      </c>
      <c r="B12" s="1" t="str" cm="1">
        <f t="array" ref="B12">IF(P12&lt;&gt;"",SUMPRODUCT((P$3:P$68&lt;&gt;"")*(G$3:G$68=G12)*(J$3:J$68&gt;J12))+1,IF(O12&lt;&gt;"",SUMPRODUCT((O$3:O$68&lt;&gt;"")*(P$3:P$68="")*(G$3:G$68=G12)*(J$3:J$68&gt;J12))+SUMPRODUCT((P$3:P$68&lt;&gt;"")*(G$3:G$68=G12))+1,IF(N12&lt;&gt;"",SUMPRODUCT((N$3:N$68&lt;&gt;"")*(G$3:G$68=G12)*(J$3:J$68&gt;J12))+1,IF(M12="P",SUMPRODUCT((O$3:O$68&lt;&gt;"")*(P$3:P$68="")*(G$3:G$68=G12))+SUMPRODUCT((P$3:P$68&lt;&gt;"")*(G$3:G$68=G12))+SUMPRODUCT((N$3:N$68&lt;&gt;"")*(G$3:G$68=G12))+SUMPRODUCT((P$3:P$68="")*(O$3:O$68="")*(N$3:N$68="")*(M$3:M$68="P")*(G$3:G$68=G12)*(J$3:J$68&gt;J12))+IF(H12="L5",SUMPRODUCT((P$3:P$68="")*(O$3:O$68="")*(N$3:N$68="")*(M$3:M$68="P")*(G$3:G$68=G12)*(J$3:J$68&lt;J12)*(H$3:H$68&lt;&gt;H12)),-1*SUMPRODUCT((P$3:P$68="")*(O$3:O$68="")*(N$3:N$68="")*(M$3:M$68="P")*(G$3:G$68=G12)*(J$3:J$68&gt;J12)*(H$3:H$68="L5")))+1,""))))</f>
        <v/>
      </c>
      <c r="C12" s="35" t="s">
        <v>262</v>
      </c>
      <c r="D12" s="35" t="str">
        <f>IF(E12="","",VLOOKUP(E12,'Coaching Points'!A:B,2,0))</f>
        <v>ON</v>
      </c>
      <c r="E12" s="35" t="s">
        <v>45</v>
      </c>
      <c r="F12" s="34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64</v>
      </c>
      <c r="I12" s="40"/>
      <c r="J12" s="4">
        <f>R12+IF(OR(H12="Junior",H12="Senior"),0.0002,IF(OR(H12="L7",H12="L6"),0.0001,0))+MAX(Z12,AC12)*0.0000001</f>
        <v>44.7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MAX(T12-V12,W12-Y12,Z12-AB12,AC12-AE12)</f>
        <v>44.7</v>
      </c>
      <c r="S12" s="4">
        <f>IF(R12=T12-V12,MAX(W12-Y12,Z12-AB12,AC12-AE12),IF(R12=W12-Y12,MAX(T12-V12,Z12-AB12,AC12-AE12),IF(R12=Z12-AB12,MAX(T12-V12,W12-Y12,AC12-AE12),IF(R12=AC12-AE12,MAX(T12-V12,W12-Y12,Z12-AB12),0))))</f>
        <v>39.6</v>
      </c>
      <c r="T12" s="32">
        <v>44.7</v>
      </c>
      <c r="U12" s="37">
        <v>8</v>
      </c>
      <c r="V12" s="37">
        <v>0</v>
      </c>
      <c r="W12" s="33">
        <v>39.6</v>
      </c>
      <c r="X12" s="37">
        <v>4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$68&lt;&gt;"")*(G$3:G$68=G13)*(J$3:J$68&gt;J13)*(I$3:I$68="P"))+1,IF(O13&lt;&gt;"",SUMPRODUCT((O$3:O$68&lt;&gt;"")*(P$3:P$68="")*(G$3:G$68=G13)*(J$3:J$68&gt;J13)*(I$3:I$68="P"))+SUMPRODUCT((P$3:P$68&lt;&gt;"")*(G$3:G$68=G13)*(I$3:I$68="P"))+1,IF(N13&lt;&gt;"",SUMPRODUCT((N$3:N$68&lt;&gt;"")*(G$3:G$68=G13)*(J$3:J$68&gt;J13)*(I$3:I$68="P"))+1,IF(M13="P",SUMPRODUCT((O$3:O$68&lt;&gt;"")*(P$3:P$68="")*(G$3:G$68=G13)*(I$3:I$68="P"))+SUMPRODUCT((P$3:P$68&lt;&gt;"")*(G$3:G$68=G13)*(I$3:I$68="P"))+SUMPRODUCT((N$3:N$68&lt;&gt;"")*(G$3:G$68=G13)*(I$3:I$68="P"))+SUMPRODUCT((P$3:P$68="")*(O$3:O$68="")*(N$3:N$68="")*(M$3:M$68="P")*(G$3:G$68=G13)*(J$3:J$68&gt;J13)*(I$3:I$68="P"))+IF(H13="L5",SUMPRODUCT((P$3:P$68="")*(O$3:O$68="")*(N$3:N$68="")*(M$3:M$68="P")*(G$3:G$68=G13)*(J$3:J$68&lt;J13)*(H$3:H$68&lt;&gt;H13)*(I$3:I$68="P")),-1*SUMPRODUCT((P$3:P$68="")*(O$3:O$68="")*(N$3:N$68="")*(M$3:M$68="P")*(G$3:G$68=G13)*(J$3:J$68&gt;J13)*(H$3:H$68="L5")*(I$3:I$68="P")))+1,"")))))</f>
        <v/>
      </c>
      <c r="B13" s="1" t="str" cm="1">
        <f t="array" ref="B13">IF(P13&lt;&gt;"",SUMPRODUCT((P$3:P$68&lt;&gt;"")*(G$3:G$68=G13)*(J$3:J$68&gt;J13))+1,IF(O13&lt;&gt;"",SUMPRODUCT((O$3:O$68&lt;&gt;"")*(P$3:P$68="")*(G$3:G$68=G13)*(J$3:J$68&gt;J13))+SUMPRODUCT((P$3:P$68&lt;&gt;"")*(G$3:G$68=G13))+1,IF(N13&lt;&gt;"",SUMPRODUCT((N$3:N$68&lt;&gt;"")*(G$3:G$68=G13)*(J$3:J$68&gt;J13))+1,IF(M13="P",SUMPRODUCT((O$3:O$68&lt;&gt;"")*(P$3:P$68="")*(G$3:G$68=G13))+SUMPRODUCT((P$3:P$68&lt;&gt;"")*(G$3:G$68=G13))+SUMPRODUCT((N$3:N$68&lt;&gt;"")*(G$3:G$68=G13))+SUMPRODUCT((P$3:P$68="")*(O$3:O$68="")*(N$3:N$68="")*(M$3:M$68="P")*(G$3:G$68=G13)*(J$3:J$68&gt;J13))+IF(H13="L5",SUMPRODUCT((P$3:P$68="")*(O$3:O$68="")*(N$3:N$68="")*(M$3:M$68="P")*(G$3:G$68=G13)*(J$3:J$68&lt;J13)*(H$3:H$68&lt;&gt;H13)),-1*SUMPRODUCT((P$3:P$68="")*(O$3:O$68="")*(N$3:N$68="")*(M$3:M$68="P")*(G$3:G$68=G13)*(J$3:J$68&gt;J13)*(H$3:H$68="L5")))+1,""))))</f>
        <v/>
      </c>
      <c r="C13" s="35" t="s">
        <v>371</v>
      </c>
      <c r="D13" s="35" t="str">
        <f>IF(E13="","",VLOOKUP(E13,'Coaching Points'!A:B,2,0))</f>
        <v>BC</v>
      </c>
      <c r="E13" s="35" t="s">
        <v>60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>R13+IF(OR(H13="Junior",H13="Senior"),0.0002,IF(OR(H13="L7",H13="L6"),0.0001,0))+MAX(Z13,AC13)*0.0000001</f>
        <v>44.500100000000003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MAX(T13-V13,W13-Y13,Z13-AB13,AC13-AE13)</f>
        <v>44.5</v>
      </c>
      <c r="S13" s="4">
        <f>IF(R13=T13-V13,MAX(W13-Y13,Z13-AB13,AC13-AE13),IF(R13=W13-Y13,MAX(T13-V13,Z13-AB13,AC13-AE13),IF(R13=Z13-AB13,MAX(T13-V13,W13-Y13,AC13-AE13),IF(R13=AC13-AE13,MAX(T13-V13,W13-Y13,Z13-AB13),0))))</f>
        <v>43.5</v>
      </c>
      <c r="T13" s="32">
        <v>43.8</v>
      </c>
      <c r="U13" s="37">
        <v>9.6</v>
      </c>
      <c r="V13" s="37">
        <v>0.3</v>
      </c>
      <c r="W13" s="33">
        <v>44.8</v>
      </c>
      <c r="X13" s="37">
        <v>9.6</v>
      </c>
      <c r="Y13" s="37">
        <v>0.3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$68&lt;&gt;"")*(G$3:G$68=G14)*(J$3:J$68&gt;J14)*(I$3:I$68="P"))+1,IF(O14&lt;&gt;"",SUMPRODUCT((O$3:O$68&lt;&gt;"")*(P$3:P$68="")*(G$3:G$68=G14)*(J$3:J$68&gt;J14)*(I$3:I$68="P"))+SUMPRODUCT((P$3:P$68&lt;&gt;"")*(G$3:G$68=G14)*(I$3:I$68="P"))+1,IF(N14&lt;&gt;"",SUMPRODUCT((N$3:N$68&lt;&gt;"")*(G$3:G$68=G14)*(J$3:J$68&gt;J14)*(I$3:I$68="P"))+1,IF(M14="P",SUMPRODUCT((O$3:O$68&lt;&gt;"")*(P$3:P$68="")*(G$3:G$68=G14)*(I$3:I$68="P"))+SUMPRODUCT((P$3:P$68&lt;&gt;"")*(G$3:G$68=G14)*(I$3:I$68="P"))+SUMPRODUCT((N$3:N$68&lt;&gt;"")*(G$3:G$68=G14)*(I$3:I$68="P"))+SUMPRODUCT((P$3:P$68="")*(O$3:O$68="")*(N$3:N$68="")*(M$3:M$68="P")*(G$3:G$68=G14)*(J$3:J$68&gt;J14)*(I$3:I$68="P"))+IF(H14="L5",SUMPRODUCT((P$3:P$68="")*(O$3:O$68="")*(N$3:N$68="")*(M$3:M$68="P")*(G$3:G$68=G14)*(J$3:J$68&lt;J14)*(H$3:H$68&lt;&gt;H14)*(I$3:I$68="P")),-1*SUMPRODUCT((P$3:P$68="")*(O$3:O$68="")*(N$3:N$68="")*(M$3:M$68="P")*(G$3:G$68=G14)*(J$3:J$68&gt;J14)*(H$3:H$68="L5")*(I$3:I$68="P")))+1,"")))))</f>
        <v/>
      </c>
      <c r="B14" s="1" t="str" cm="1">
        <f t="array" ref="B14">IF(P14&lt;&gt;"",SUMPRODUCT((P$3:P$68&lt;&gt;"")*(G$3:G$68=G14)*(J$3:J$68&gt;J14))+1,IF(O14&lt;&gt;"",SUMPRODUCT((O$3:O$68&lt;&gt;"")*(P$3:P$68="")*(G$3:G$68=G14)*(J$3:J$68&gt;J14))+SUMPRODUCT((P$3:P$68&lt;&gt;"")*(G$3:G$68=G14))+1,IF(N14&lt;&gt;"",SUMPRODUCT((N$3:N$68&lt;&gt;"")*(G$3:G$68=G14)*(J$3:J$68&gt;J14))+1,IF(M14="P",SUMPRODUCT((O$3:O$68&lt;&gt;"")*(P$3:P$68="")*(G$3:G$68=G14))+SUMPRODUCT((P$3:P$68&lt;&gt;"")*(G$3:G$68=G14))+SUMPRODUCT((N$3:N$68&lt;&gt;"")*(G$3:G$68=G14))+SUMPRODUCT((P$3:P$68="")*(O$3:O$68="")*(N$3:N$68="")*(M$3:M$68="P")*(G$3:G$68=G14)*(J$3:J$68&gt;J14))+IF(H14="L5",SUMPRODUCT((P$3:P$68="")*(O$3:O$68="")*(N$3:N$68="")*(M$3:M$68="P")*(G$3:G$68=G14)*(J$3:J$68&lt;J14)*(H$3:H$68&lt;&gt;H14)),-1*SUMPRODUCT((P$3:P$68="")*(O$3:O$68="")*(N$3:N$68="")*(M$3:M$68="P")*(G$3:G$68=G14)*(J$3:J$68&gt;J14)*(H$3:H$68="L5")))+1,""))))</f>
        <v/>
      </c>
      <c r="C14" s="35" t="s">
        <v>106</v>
      </c>
      <c r="D14" s="35" t="str">
        <f>IF(E14="","",VLOOKUP(E14,'Coaching Points'!A:B,2,0))</f>
        <v>SK</v>
      </c>
      <c r="E14" s="35" t="s">
        <v>329</v>
      </c>
      <c r="F14" s="34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>R14+IF(OR(H14="Junior",H14="Senior"),0.0002,IF(OR(H14="L7",H14="L6"),0.0001,0))+MAX(Z14,AC14)*0.0000001</f>
        <v>44.400100000000002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MAX(T14-V14,W14-Y14,Z14-AB14,AC14-AE14)</f>
        <v>44.4</v>
      </c>
      <c r="S14" s="4">
        <f>IF(R14=T14-V14,MAX(W14-Y14,Z14-AB14,AC14-AE14),IF(R14=W14-Y14,MAX(T14-V14,Z14-AB14,AC14-AE14),IF(R14=Z14-AB14,MAX(T14-V14,W14-Y14,AC14-AE14),IF(R14=AC14-AE14,MAX(T14-V14,W14-Y14,Z14-AB14),0))))</f>
        <v>21.7</v>
      </c>
      <c r="T14" s="32">
        <v>44.4</v>
      </c>
      <c r="U14" s="37">
        <v>7.1</v>
      </c>
      <c r="V14" s="37">
        <v>0</v>
      </c>
      <c r="W14" s="33">
        <v>21.7</v>
      </c>
      <c r="X14" s="37">
        <v>3.5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$68&lt;&gt;"")*(G$3:G$68=G15)*(J$3:J$68&gt;J15)*(I$3:I$68="P"))+1,IF(O15&lt;&gt;"",SUMPRODUCT((O$3:O$68&lt;&gt;"")*(P$3:P$68="")*(G$3:G$68=G15)*(J$3:J$68&gt;J15)*(I$3:I$68="P"))+SUMPRODUCT((P$3:P$68&lt;&gt;"")*(G$3:G$68=G15)*(I$3:I$68="P"))+1,IF(N15&lt;&gt;"",SUMPRODUCT((N$3:N$68&lt;&gt;"")*(G$3:G$68=G15)*(J$3:J$68&gt;J15)*(I$3:I$68="P"))+1,IF(M15="P",SUMPRODUCT((O$3:O$68&lt;&gt;"")*(P$3:P$68="")*(G$3:G$68=G15)*(I$3:I$68="P"))+SUMPRODUCT((P$3:P$68&lt;&gt;"")*(G$3:G$68=G15)*(I$3:I$68="P"))+SUMPRODUCT((N$3:N$68&lt;&gt;"")*(G$3:G$68=G15)*(I$3:I$68="P"))+SUMPRODUCT((P$3:P$68="")*(O$3:O$68="")*(N$3:N$68="")*(M$3:M$68="P")*(G$3:G$68=G15)*(J$3:J$68&gt;J15)*(I$3:I$68="P"))+IF(H15="L5",SUMPRODUCT((P$3:P$68="")*(O$3:O$68="")*(N$3:N$68="")*(M$3:M$68="P")*(G$3:G$68=G15)*(J$3:J$68&lt;J15)*(H$3:H$68&lt;&gt;H15)*(I$3:I$68="P")),-1*SUMPRODUCT((P$3:P$68="")*(O$3:O$68="")*(N$3:N$68="")*(M$3:M$68="P")*(G$3:G$68=G15)*(J$3:J$68&gt;J15)*(H$3:H$68="L5")*(I$3:I$68="P")))+1,"")))))</f>
        <v/>
      </c>
      <c r="B15" s="1" t="str" cm="1">
        <f t="array" ref="B15">IF(P15&lt;&gt;"",SUMPRODUCT((P$3:P$68&lt;&gt;"")*(G$3:G$68=G15)*(J$3:J$68&gt;J15))+1,IF(O15&lt;&gt;"",SUMPRODUCT((O$3:O$68&lt;&gt;"")*(P$3:P$68="")*(G$3:G$68=G15)*(J$3:J$68&gt;J15))+SUMPRODUCT((P$3:P$68&lt;&gt;"")*(G$3:G$68=G15))+1,IF(N15&lt;&gt;"",SUMPRODUCT((N$3:N$68&lt;&gt;"")*(G$3:G$68=G15)*(J$3:J$68&gt;J15))+1,IF(M15="P",SUMPRODUCT((O$3:O$68&lt;&gt;"")*(P$3:P$68="")*(G$3:G$68=G15))+SUMPRODUCT((P$3:P$68&lt;&gt;"")*(G$3:G$68=G15))+SUMPRODUCT((N$3:N$68&lt;&gt;"")*(G$3:G$68=G15))+SUMPRODUCT((P$3:P$68="")*(O$3:O$68="")*(N$3:N$68="")*(M$3:M$68="P")*(G$3:G$68=G15)*(J$3:J$68&gt;J15))+IF(H15="L5",SUMPRODUCT((P$3:P$68="")*(O$3:O$68="")*(N$3:N$68="")*(M$3:M$68="P")*(G$3:G$68=G15)*(J$3:J$68&lt;J15)*(H$3:H$68&lt;&gt;H15)),-1*SUMPRODUCT((P$3:P$68="")*(O$3:O$68="")*(N$3:N$68="")*(M$3:M$68="P")*(G$3:G$68=G15)*(J$3:J$68&gt;J15)*(H$3:H$68="L5")))+1,""))))</f>
        <v/>
      </c>
      <c r="C15" s="35" t="s">
        <v>312</v>
      </c>
      <c r="D15" s="35" t="str">
        <f>IF(E15="","",VLOOKUP(E15,'Coaching Points'!A:B,2,0))</f>
        <v>AB</v>
      </c>
      <c r="E15" s="35" t="s">
        <v>215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66</v>
      </c>
      <c r="I15" s="40"/>
      <c r="J15" s="4">
        <f>R15+IF(OR(H15="Junior",H15="Senior"),0.0002,IF(OR(H15="L7",H15="L6"),0.0001,0))+MAX(Z15,AC15)*0.0000001</f>
        <v>44.3001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MAX(T15-V15,W15-Y15,Z15-AB15,AC15-AE15)</f>
        <v>44.3</v>
      </c>
      <c r="S15" s="4">
        <f>IF(R15=T15-V15,MAX(W15-Y15,Z15-AB15,AC15-AE15),IF(R15=W15-Y15,MAX(T15-V15,Z15-AB15,AC15-AE15),IF(R15=Z15-AB15,MAX(T15-V15,W15-Y15,AC15-AE15),IF(R15=AC15-AE15,MAX(T15-V15,W15-Y15,Z15-AB15),0))))</f>
        <v>42.6</v>
      </c>
      <c r="T15" s="32">
        <v>42.6</v>
      </c>
      <c r="U15" s="37">
        <v>6.3000000000000007</v>
      </c>
      <c r="V15" s="37">
        <v>0</v>
      </c>
      <c r="W15" s="33">
        <v>44.3</v>
      </c>
      <c r="X15" s="37">
        <v>6.7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$68&lt;&gt;"")*(G$3:G$68=G16)*(J$3:J$68&gt;J16)*(I$3:I$68="P"))+1,IF(O16&lt;&gt;"",SUMPRODUCT((O$3:O$68&lt;&gt;"")*(P$3:P$68="")*(G$3:G$68=G16)*(J$3:J$68&gt;J16)*(I$3:I$68="P"))+SUMPRODUCT((P$3:P$68&lt;&gt;"")*(G$3:G$68=G16)*(I$3:I$68="P"))+1,IF(N16&lt;&gt;"",SUMPRODUCT((N$3:N$68&lt;&gt;"")*(G$3:G$68=G16)*(J$3:J$68&gt;J16)*(I$3:I$68="P"))+1,IF(M16="P",SUMPRODUCT((O$3:O$68&lt;&gt;"")*(P$3:P$68="")*(G$3:G$68=G16)*(I$3:I$68="P"))+SUMPRODUCT((P$3:P$68&lt;&gt;"")*(G$3:G$68=G16)*(I$3:I$68="P"))+SUMPRODUCT((N$3:N$68&lt;&gt;"")*(G$3:G$68=G16)*(I$3:I$68="P"))+SUMPRODUCT((P$3:P$68="")*(O$3:O$68="")*(N$3:N$68="")*(M$3:M$68="P")*(G$3:G$68=G16)*(J$3:J$68&gt;J16)*(I$3:I$68="P"))+IF(H16="L5",SUMPRODUCT((P$3:P$68="")*(O$3:O$68="")*(N$3:N$68="")*(M$3:M$68="P")*(G$3:G$68=G16)*(J$3:J$68&lt;J16)*(H$3:H$68&lt;&gt;H16)*(I$3:I$68="P")),-1*SUMPRODUCT((P$3:P$68="")*(O$3:O$68="")*(N$3:N$68="")*(M$3:M$68="P")*(G$3:G$68=G16)*(J$3:J$68&gt;J16)*(H$3:H$68="L5")*(I$3:I$68="P")))+1,"")))))</f>
        <v/>
      </c>
      <c r="B16" s="1" t="str" cm="1">
        <f t="array" ref="B16">IF(P16&lt;&gt;"",SUMPRODUCT((P$3:P$68&lt;&gt;"")*(G$3:G$68=G16)*(J$3:J$68&gt;J16))+1,IF(O16&lt;&gt;"",SUMPRODUCT((O$3:O$68&lt;&gt;"")*(P$3:P$68="")*(G$3:G$68=G16)*(J$3:J$68&gt;J16))+SUMPRODUCT((P$3:P$68&lt;&gt;"")*(G$3:G$68=G16))+1,IF(N16&lt;&gt;"",SUMPRODUCT((N$3:N$68&lt;&gt;"")*(G$3:G$68=G16)*(J$3:J$68&gt;J16))+1,IF(M16="P",SUMPRODUCT((O$3:O$68&lt;&gt;"")*(P$3:P$68="")*(G$3:G$68=G16))+SUMPRODUCT((P$3:P$68&lt;&gt;"")*(G$3:G$68=G16))+SUMPRODUCT((N$3:N$68&lt;&gt;"")*(G$3:G$68=G16))+SUMPRODUCT((P$3:P$68="")*(O$3:O$68="")*(N$3:N$68="")*(M$3:M$68="P")*(G$3:G$68=G16)*(J$3:J$68&gt;J16))+IF(H16="L5",SUMPRODUCT((P$3:P$68="")*(O$3:O$68="")*(N$3:N$68="")*(M$3:M$68="P")*(G$3:G$68=G16)*(J$3:J$68&lt;J16)*(H$3:H$68&lt;&gt;H16)),-1*SUMPRODUCT((P$3:P$68="")*(O$3:O$68="")*(N$3:N$68="")*(M$3:M$68="P")*(G$3:G$68=G16)*(J$3:J$68&gt;J16)*(H$3:H$68="L5")))+1,""))))</f>
        <v/>
      </c>
      <c r="C16" s="35" t="s">
        <v>267</v>
      </c>
      <c r="D16" s="35" t="str">
        <f>IF(E16="","",VLOOKUP(E16,'Coaching Points'!A:B,2,0))</f>
        <v>QC</v>
      </c>
      <c r="E16" s="35" t="s">
        <v>85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>R16+IF(OR(H16="Junior",H16="Senior"),0.0002,IF(OR(H16="L7",H16="L6"),0.0001,0))+MAX(Z16,AC16)*0.0000001</f>
        <v>44.2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MAX(T16-V16,W16-Y16,Z16-AB16,AC16-AE16)</f>
        <v>44.2</v>
      </c>
      <c r="S16" s="4">
        <f>IF(R16=T16-V16,MAX(W16-Y16,Z16-AB16,AC16-AE16),IF(R16=W16-Y16,MAX(T16-V16,Z16-AB16,AC16-AE16),IF(R16=Z16-AB16,MAX(T16-V16,W16-Y16,AC16-AE16),IF(R16=AC16-AE16,MAX(T16-V16,W16-Y16,Z16-AB16),0))))</f>
        <v>43.6</v>
      </c>
      <c r="T16" s="32">
        <v>43.6</v>
      </c>
      <c r="U16" s="37">
        <v>6.1</v>
      </c>
      <c r="V16" s="37">
        <v>0</v>
      </c>
      <c r="W16" s="33">
        <v>44.2</v>
      </c>
      <c r="X16" s="37">
        <v>6.3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$68&lt;&gt;"")*(G$3:G$68=G17)*(J$3:J$68&gt;J17)*(I$3:I$68="P"))+1,IF(O17&lt;&gt;"",SUMPRODUCT((O$3:O$68&lt;&gt;"")*(P$3:P$68="")*(G$3:G$68=G17)*(J$3:J$68&gt;J17)*(I$3:I$68="P"))+SUMPRODUCT((P$3:P$68&lt;&gt;"")*(G$3:G$68=G17)*(I$3:I$68="P"))+1,IF(N17&lt;&gt;"",SUMPRODUCT((N$3:N$68&lt;&gt;"")*(G$3:G$68=G17)*(J$3:J$68&gt;J17)*(I$3:I$68="P"))+1,IF(M17="P",SUMPRODUCT((O$3:O$68&lt;&gt;"")*(P$3:P$68="")*(G$3:G$68=G17)*(I$3:I$68="P"))+SUMPRODUCT((P$3:P$68&lt;&gt;"")*(G$3:G$68=G17)*(I$3:I$68="P"))+SUMPRODUCT((N$3:N$68&lt;&gt;"")*(G$3:G$68=G17)*(I$3:I$68="P"))+SUMPRODUCT((P$3:P$68="")*(O$3:O$68="")*(N$3:N$68="")*(M$3:M$68="P")*(G$3:G$68=G17)*(J$3:J$68&gt;J17)*(I$3:I$68="P"))+IF(H17="L5",SUMPRODUCT((P$3:P$68="")*(O$3:O$68="")*(N$3:N$68="")*(M$3:M$68="P")*(G$3:G$68=G17)*(J$3:J$68&lt;J17)*(H$3:H$68&lt;&gt;H17)*(I$3:I$68="P")),-1*SUMPRODUCT((P$3:P$68="")*(O$3:O$68="")*(N$3:N$68="")*(M$3:M$68="P")*(G$3:G$68=G17)*(J$3:J$68&gt;J17)*(H$3:H$68="L5")*(I$3:I$68="P")))+1,"")))))</f>
        <v/>
      </c>
      <c r="B17" s="1" t="str" cm="1">
        <f t="array" ref="B17">IF(P17&lt;&gt;"",SUMPRODUCT((P$3:P$68&lt;&gt;"")*(G$3:G$68=G17)*(J$3:J$68&gt;J17))+1,IF(O17&lt;&gt;"",SUMPRODUCT((O$3:O$68&lt;&gt;"")*(P$3:P$68="")*(G$3:G$68=G17)*(J$3:J$68&gt;J17))+SUMPRODUCT((P$3:P$68&lt;&gt;"")*(G$3:G$68=G17))+1,IF(N17&lt;&gt;"",SUMPRODUCT((N$3:N$68&lt;&gt;"")*(G$3:G$68=G17)*(J$3:J$68&gt;J17))+1,IF(M17="P",SUMPRODUCT((O$3:O$68&lt;&gt;"")*(P$3:P$68="")*(G$3:G$68=G17))+SUMPRODUCT((P$3:P$68&lt;&gt;"")*(G$3:G$68=G17))+SUMPRODUCT((N$3:N$68&lt;&gt;"")*(G$3:G$68=G17))+SUMPRODUCT((P$3:P$68="")*(O$3:O$68="")*(N$3:N$68="")*(M$3:M$68="P")*(G$3:G$68=G17)*(J$3:J$68&gt;J17))+IF(H17="L5",SUMPRODUCT((P$3:P$68="")*(O$3:O$68="")*(N$3:N$68="")*(M$3:M$68="P")*(G$3:G$68=G17)*(J$3:J$68&lt;J17)*(H$3:H$68&lt;&gt;H17)),-1*SUMPRODUCT((P$3:P$68="")*(O$3:O$68="")*(N$3:N$68="")*(M$3:M$68="P")*(G$3:G$68=G17)*(J$3:J$68&gt;J17)*(H$3:H$68="L5")))+1,""))))</f>
        <v/>
      </c>
      <c r="C17" s="35" t="s">
        <v>189</v>
      </c>
      <c r="D17" s="35" t="str">
        <f>IF(E17="","",VLOOKUP(E17,'Coaching Points'!A:B,2,0))</f>
        <v>AB</v>
      </c>
      <c r="E17" s="35" t="s">
        <v>61</v>
      </c>
      <c r="F17" s="34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>R17+IF(OR(H17="Junior",H17="Senior"),0.0002,IF(OR(H17="L7",H17="L6"),0.0001,0))+MAX(Z17,AC17)*0.0000001</f>
        <v>43.8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MAX(T17-V17,W17-Y17,Z17-AB17,AC17-AE17)</f>
        <v>43.8</v>
      </c>
      <c r="S17" s="4">
        <f>IF(R17=T17-V17,MAX(W17-Y17,Z17-AB17,AC17-AE17),IF(R17=W17-Y17,MAX(T17-V17,Z17-AB17,AC17-AE17),IF(R17=Z17-AB17,MAX(T17-V17,W17-Y17,AC17-AE17),IF(R17=AC17-AE17,MAX(T17-V17,W17-Y17,Z17-AB17),0))))</f>
        <v>42.6</v>
      </c>
      <c r="T17" s="32">
        <v>43.8</v>
      </c>
      <c r="U17" s="37">
        <v>6.6</v>
      </c>
      <c r="V17" s="37">
        <v>0</v>
      </c>
      <c r="W17" s="33">
        <v>42.6</v>
      </c>
      <c r="X17" s="37">
        <v>6.7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$68&lt;&gt;"")*(G$3:G$68=G18)*(J$3:J$68&gt;J18)*(I$3:I$68="P"))+1,IF(O18&lt;&gt;"",SUMPRODUCT((O$3:O$68&lt;&gt;"")*(P$3:P$68="")*(G$3:G$68=G18)*(J$3:J$68&gt;J18)*(I$3:I$68="P"))+SUMPRODUCT((P$3:P$68&lt;&gt;"")*(G$3:G$68=G18)*(I$3:I$68="P"))+1,IF(N18&lt;&gt;"",SUMPRODUCT((N$3:N$68&lt;&gt;"")*(G$3:G$68=G18)*(J$3:J$68&gt;J18)*(I$3:I$68="P"))+1,IF(M18="P",SUMPRODUCT((O$3:O$68&lt;&gt;"")*(P$3:P$68="")*(G$3:G$68=G18)*(I$3:I$68="P"))+SUMPRODUCT((P$3:P$68&lt;&gt;"")*(G$3:G$68=G18)*(I$3:I$68="P"))+SUMPRODUCT((N$3:N$68&lt;&gt;"")*(G$3:G$68=G18)*(I$3:I$68="P"))+SUMPRODUCT((P$3:P$68="")*(O$3:O$68="")*(N$3:N$68="")*(M$3:M$68="P")*(G$3:G$68=G18)*(J$3:J$68&gt;J18)*(I$3:I$68="P"))+IF(H18="L5",SUMPRODUCT((P$3:P$68="")*(O$3:O$68="")*(N$3:N$68="")*(M$3:M$68="P")*(G$3:G$68=G18)*(J$3:J$68&lt;J18)*(H$3:H$68&lt;&gt;H18)*(I$3:I$68="P")),-1*SUMPRODUCT((P$3:P$68="")*(O$3:O$68="")*(N$3:N$68="")*(M$3:M$68="P")*(G$3:G$68=G18)*(J$3:J$68&gt;J18)*(H$3:H$68="L5")*(I$3:I$68="P")))+1,"")))))</f>
        <v/>
      </c>
      <c r="B18" s="1" t="str" cm="1">
        <f t="array" ref="B18">IF(P18&lt;&gt;"",SUMPRODUCT((P$3:P$68&lt;&gt;"")*(G$3:G$68=G18)*(J$3:J$68&gt;J18))+1,IF(O18&lt;&gt;"",SUMPRODUCT((O$3:O$68&lt;&gt;"")*(P$3:P$68="")*(G$3:G$68=G18)*(J$3:J$68&gt;J18))+SUMPRODUCT((P$3:P$68&lt;&gt;"")*(G$3:G$68=G18))+1,IF(N18&lt;&gt;"",SUMPRODUCT((N$3:N$68&lt;&gt;"")*(G$3:G$68=G18)*(J$3:J$68&gt;J18))+1,IF(M18="P",SUMPRODUCT((O$3:O$68&lt;&gt;"")*(P$3:P$68="")*(G$3:G$68=G18))+SUMPRODUCT((P$3:P$68&lt;&gt;"")*(G$3:G$68=G18))+SUMPRODUCT((N$3:N$68&lt;&gt;"")*(G$3:G$68=G18))+SUMPRODUCT((P$3:P$68="")*(O$3:O$68="")*(N$3:N$68="")*(M$3:M$68="P")*(G$3:G$68=G18)*(J$3:J$68&gt;J18))+IF(H18="L5",SUMPRODUCT((P$3:P$68="")*(O$3:O$68="")*(N$3:N$68="")*(M$3:M$68="P")*(G$3:G$68=G18)*(J$3:J$68&lt;J18)*(H$3:H$68&lt;&gt;H18)),-1*SUMPRODUCT((P$3:P$68="")*(O$3:O$68="")*(N$3:N$68="")*(M$3:M$68="P")*(G$3:G$68=G18)*(J$3:J$68&gt;J18)*(H$3:H$68="L5")))+1,""))))</f>
        <v/>
      </c>
      <c r="C18" s="35" t="s">
        <v>209</v>
      </c>
      <c r="D18" s="35" t="str">
        <f>IF(E18="","",VLOOKUP(E18,'Coaching Points'!A:B,2,0))</f>
        <v>AB</v>
      </c>
      <c r="E18" s="35" t="s">
        <v>28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64</v>
      </c>
      <c r="I18" s="40"/>
      <c r="J18" s="4">
        <f>R18+IF(OR(H18="Junior",H18="Senior"),0.0002,IF(OR(H18="L7",H18="L6"),0.0001,0))+MAX(Z18,AC18)*0.0000001</f>
        <v>43.7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MAX(T18-V18,W18-Y18,Z18-AB18,AC18-AE18)</f>
        <v>43.7</v>
      </c>
      <c r="S18" s="4">
        <f>IF(R18=T18-V18,MAX(W18-Y18,Z18-AB18,AC18-AE18),IF(R18=W18-Y18,MAX(T18-V18,Z18-AB18,AC18-AE18),IF(R18=Z18-AB18,MAX(T18-V18,W18-Y18,AC18-AE18),IF(R18=AC18-AE18,MAX(T18-V18,W18-Y18,Z18-AB18),0))))</f>
        <v>39.700000000000003</v>
      </c>
      <c r="T18" s="32">
        <v>43.7</v>
      </c>
      <c r="U18" s="37">
        <v>6.3000000000000007</v>
      </c>
      <c r="V18" s="37">
        <v>0</v>
      </c>
      <c r="W18" s="33">
        <v>39.700000000000003</v>
      </c>
      <c r="X18" s="37">
        <v>3.9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$68&lt;&gt;"")*(G$3:G$68=G19)*(J$3:J$68&gt;J19)*(I$3:I$68="P"))+1,IF(O19&lt;&gt;"",SUMPRODUCT((O$3:O$68&lt;&gt;"")*(P$3:P$68="")*(G$3:G$68=G19)*(J$3:J$68&gt;J19)*(I$3:I$68="P"))+SUMPRODUCT((P$3:P$68&lt;&gt;"")*(G$3:G$68=G19)*(I$3:I$68="P"))+1,IF(N19&lt;&gt;"",SUMPRODUCT((N$3:N$68&lt;&gt;"")*(G$3:G$68=G19)*(J$3:J$68&gt;J19)*(I$3:I$68="P"))+1,IF(M19="P",SUMPRODUCT((O$3:O$68&lt;&gt;"")*(P$3:P$68="")*(G$3:G$68=G19)*(I$3:I$68="P"))+SUMPRODUCT((P$3:P$68&lt;&gt;"")*(G$3:G$68=G19)*(I$3:I$68="P"))+SUMPRODUCT((N$3:N$68&lt;&gt;"")*(G$3:G$68=G19)*(I$3:I$68="P"))+SUMPRODUCT((P$3:P$68="")*(O$3:O$68="")*(N$3:N$68="")*(M$3:M$68="P")*(G$3:G$68=G19)*(J$3:J$68&gt;J19)*(I$3:I$68="P"))+IF(H19="L5",SUMPRODUCT((P$3:P$68="")*(O$3:O$68="")*(N$3:N$68="")*(M$3:M$68="P")*(G$3:G$68=G19)*(J$3:J$68&lt;J19)*(H$3:H$68&lt;&gt;H19)*(I$3:I$68="P")),-1*SUMPRODUCT((P$3:P$68="")*(O$3:O$68="")*(N$3:N$68="")*(M$3:M$68="P")*(G$3:G$68=G19)*(J$3:J$68&gt;J19)*(H$3:H$68="L5")*(I$3:I$68="P")))+1,"")))))</f>
        <v/>
      </c>
      <c r="B19" s="1" t="str" cm="1">
        <f t="array" ref="B19">IF(P19&lt;&gt;"",SUMPRODUCT((P$3:P$68&lt;&gt;"")*(G$3:G$68=G19)*(J$3:J$68&gt;J19))+1,IF(O19&lt;&gt;"",SUMPRODUCT((O$3:O$68&lt;&gt;"")*(P$3:P$68="")*(G$3:G$68=G19)*(J$3:J$68&gt;J19))+SUMPRODUCT((P$3:P$68&lt;&gt;"")*(G$3:G$68=G19))+1,IF(N19&lt;&gt;"",SUMPRODUCT((N$3:N$68&lt;&gt;"")*(G$3:G$68=G19)*(J$3:J$68&gt;J19))+1,IF(M19="P",SUMPRODUCT((O$3:O$68&lt;&gt;"")*(P$3:P$68="")*(G$3:G$68=G19))+SUMPRODUCT((P$3:P$68&lt;&gt;"")*(G$3:G$68=G19))+SUMPRODUCT((N$3:N$68&lt;&gt;"")*(G$3:G$68=G19))+SUMPRODUCT((P$3:P$68="")*(O$3:O$68="")*(N$3:N$68="")*(M$3:M$68="P")*(G$3:G$68=G19)*(J$3:J$68&gt;J19))+IF(H19="L5",SUMPRODUCT((P$3:P$68="")*(O$3:O$68="")*(N$3:N$68="")*(M$3:M$68="P")*(G$3:G$68=G19)*(J$3:J$68&lt;J19)*(H$3:H$68&lt;&gt;H19)),-1*SUMPRODUCT((P$3:P$68="")*(O$3:O$68="")*(N$3:N$68="")*(M$3:M$68="P")*(G$3:G$68=G19)*(J$3:J$68&gt;J19)*(H$3:H$68="L5")))+1,""))))</f>
        <v/>
      </c>
      <c r="C19" s="35" t="s">
        <v>140</v>
      </c>
      <c r="D19" s="35" t="str">
        <f>IF(E19="","",VLOOKUP(E19,'Coaching Points'!A:B,2,0))</f>
        <v>BC</v>
      </c>
      <c r="E19" s="35" t="s">
        <v>55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66</v>
      </c>
      <c r="I19" s="40"/>
      <c r="J19" s="4">
        <f>R19+IF(OR(H19="Junior",H19="Senior"),0.0002,IF(OR(H19="L7",H19="L6"),0.0001,0))+MAX(Z19,AC19)*0.0000001</f>
        <v>43.500100000000003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MAX(T19-V19,W19-Y19,Z19-AB19,AC19-AE19)</f>
        <v>43.5</v>
      </c>
      <c r="S19" s="4">
        <f>IF(R19=T19-V19,MAX(W19-Y19,Z19-AB19,AC19-AE19),IF(R19=W19-Y19,MAX(T19-V19,Z19-AB19,AC19-AE19),IF(R19=Z19-AB19,MAX(T19-V19,W19-Y19,AC19-AE19),IF(R19=AC19-AE19,MAX(T19-V19,W19-Y19,Z19-AB19),0))))</f>
        <v>42.9</v>
      </c>
      <c r="T19" s="32">
        <v>42.9</v>
      </c>
      <c r="U19" s="37">
        <v>7.1</v>
      </c>
      <c r="V19" s="37">
        <v>0</v>
      </c>
      <c r="W19" s="33">
        <v>43.5</v>
      </c>
      <c r="X19" s="37">
        <v>7.1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$68&lt;&gt;"")*(G$3:G$68=G20)*(J$3:J$68&gt;J20)*(I$3:I$68="P"))+1,IF(O20&lt;&gt;"",SUMPRODUCT((O$3:O$68&lt;&gt;"")*(P$3:P$68="")*(G$3:G$68=G20)*(J$3:J$68&gt;J20)*(I$3:I$68="P"))+SUMPRODUCT((P$3:P$68&lt;&gt;"")*(G$3:G$68=G20)*(I$3:I$68="P"))+1,IF(N20&lt;&gt;"",SUMPRODUCT((N$3:N$68&lt;&gt;"")*(G$3:G$68=G20)*(J$3:J$68&gt;J20)*(I$3:I$68="P"))+1,IF(M20="P",SUMPRODUCT((O$3:O$68&lt;&gt;"")*(P$3:P$68="")*(G$3:G$68=G20)*(I$3:I$68="P"))+SUMPRODUCT((P$3:P$68&lt;&gt;"")*(G$3:G$68=G20)*(I$3:I$68="P"))+SUMPRODUCT((N$3:N$68&lt;&gt;"")*(G$3:G$68=G20)*(I$3:I$68="P"))+SUMPRODUCT((P$3:P$68="")*(O$3:O$68="")*(N$3:N$68="")*(M$3:M$68="P")*(G$3:G$68=G20)*(J$3:J$68&gt;J20)*(I$3:I$68="P"))+IF(H20="L5",SUMPRODUCT((P$3:P$68="")*(O$3:O$68="")*(N$3:N$68="")*(M$3:M$68="P")*(G$3:G$68=G20)*(J$3:J$68&lt;J20)*(H$3:H$68&lt;&gt;H20)*(I$3:I$68="P")),-1*SUMPRODUCT((P$3:P$68="")*(O$3:O$68="")*(N$3:N$68="")*(M$3:M$68="P")*(G$3:G$68=G20)*(J$3:J$68&gt;J20)*(H$3:H$68="L5")*(I$3:I$68="P")))+1,"")))))</f>
        <v/>
      </c>
      <c r="B20" s="1" t="str" cm="1">
        <f t="array" ref="B20">IF(P20&lt;&gt;"",SUMPRODUCT((P$3:P$68&lt;&gt;"")*(G$3:G$68=G20)*(J$3:J$68&gt;J20))+1,IF(O20&lt;&gt;"",SUMPRODUCT((O$3:O$68&lt;&gt;"")*(P$3:P$68="")*(G$3:G$68=G20)*(J$3:J$68&gt;J20))+SUMPRODUCT((P$3:P$68&lt;&gt;"")*(G$3:G$68=G20))+1,IF(N20&lt;&gt;"",SUMPRODUCT((N$3:N$68&lt;&gt;"")*(G$3:G$68=G20)*(J$3:J$68&gt;J20))+1,IF(M20="P",SUMPRODUCT((O$3:O$68&lt;&gt;"")*(P$3:P$68="")*(G$3:G$68=G20))+SUMPRODUCT((P$3:P$68&lt;&gt;"")*(G$3:G$68=G20))+SUMPRODUCT((N$3:N$68&lt;&gt;"")*(G$3:G$68=G20))+SUMPRODUCT((P$3:P$68="")*(O$3:O$68="")*(N$3:N$68="")*(M$3:M$68="P")*(G$3:G$68=G20)*(J$3:J$68&gt;J20))+IF(H20="L5",SUMPRODUCT((P$3:P$68="")*(O$3:O$68="")*(N$3:N$68="")*(M$3:M$68="P")*(G$3:G$68=G20)*(J$3:J$68&lt;J20)*(H$3:H$68&lt;&gt;H20)),-1*SUMPRODUCT((P$3:P$68="")*(O$3:O$68="")*(N$3:N$68="")*(M$3:M$68="P")*(G$3:G$68=G20)*(J$3:J$68&gt;J20)*(H$3:H$68="L5")))+1,""))))</f>
        <v/>
      </c>
      <c r="C20" s="35" t="s">
        <v>117</v>
      </c>
      <c r="D20" s="35" t="str">
        <f>IF(E20="","",VLOOKUP(E20,'Coaching Points'!A:B,2,0))</f>
        <v>BC</v>
      </c>
      <c r="E20" s="35" t="s">
        <v>59</v>
      </c>
      <c r="F20" s="34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64</v>
      </c>
      <c r="I20" s="40"/>
      <c r="J20" s="4">
        <f>R20+IF(OR(H20="Junior",H20="Senior"),0.0002,IF(OR(H20="L7",H20="L6"),0.0001,0))+MAX(Z20,AC20)*0.0000001</f>
        <v>43.4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43.4</v>
      </c>
      <c r="S20" s="4">
        <f>IF(R20=T20-V20,MAX(W20-Y20,Z20-AB20,AC20-AE20),IF(R20=W20-Y20,MAX(T20-V20,Z20-AB20,AC20-AE20),IF(R20=Z20-AB20,MAX(T20-V20,W20-Y20,AC20-AE20),IF(R20=AC20-AE20,MAX(T20-V20,W20-Y20,Z20-AB20),0))))</f>
        <v>42.9</v>
      </c>
      <c r="T20" s="32">
        <v>43.4</v>
      </c>
      <c r="U20" s="37">
        <v>6.1</v>
      </c>
      <c r="V20" s="37">
        <v>0</v>
      </c>
      <c r="W20" s="33">
        <v>42.9</v>
      </c>
      <c r="X20" s="37">
        <v>6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$68&lt;&gt;"")*(G$3:G$68=G21)*(J$3:J$68&gt;J21)*(I$3:I$68="P"))+1,IF(O21&lt;&gt;"",SUMPRODUCT((O$3:O$68&lt;&gt;"")*(P$3:P$68="")*(G$3:G$68=G21)*(J$3:J$68&gt;J21)*(I$3:I$68="P"))+SUMPRODUCT((P$3:P$68&lt;&gt;"")*(G$3:G$68=G21)*(I$3:I$68="P"))+1,IF(N21&lt;&gt;"",SUMPRODUCT((N$3:N$68&lt;&gt;"")*(G$3:G$68=G21)*(J$3:J$68&gt;J21)*(I$3:I$68="P"))+1,IF(M21="P",SUMPRODUCT((O$3:O$68&lt;&gt;"")*(P$3:P$68="")*(G$3:G$68=G21)*(I$3:I$68="P"))+SUMPRODUCT((P$3:P$68&lt;&gt;"")*(G$3:G$68=G21)*(I$3:I$68="P"))+SUMPRODUCT((N$3:N$68&lt;&gt;"")*(G$3:G$68=G21)*(I$3:I$68="P"))+SUMPRODUCT((P$3:P$68="")*(O$3:O$68="")*(N$3:N$68="")*(M$3:M$68="P")*(G$3:G$68=G21)*(J$3:J$68&gt;J21)*(I$3:I$68="P"))+IF(H21="L5",SUMPRODUCT((P$3:P$68="")*(O$3:O$68="")*(N$3:N$68="")*(M$3:M$68="P")*(G$3:G$68=G21)*(J$3:J$68&lt;J21)*(H$3:H$68&lt;&gt;H21)*(I$3:I$68="P")),-1*SUMPRODUCT((P$3:P$68="")*(O$3:O$68="")*(N$3:N$68="")*(M$3:M$68="P")*(G$3:G$68=G21)*(J$3:J$68&gt;J21)*(H$3:H$68="L5")*(I$3:I$68="P")))+1,"")))))</f>
        <v/>
      </c>
      <c r="B21" s="1" t="str" cm="1">
        <f t="array" ref="B21">IF(P21&lt;&gt;"",SUMPRODUCT((P$3:P$68&lt;&gt;"")*(G$3:G$68=G21)*(J$3:J$68&gt;J21))+1,IF(O21&lt;&gt;"",SUMPRODUCT((O$3:O$68&lt;&gt;"")*(P$3:P$68="")*(G$3:G$68=G21)*(J$3:J$68&gt;J21))+SUMPRODUCT((P$3:P$68&lt;&gt;"")*(G$3:G$68=G21))+1,IF(N21&lt;&gt;"",SUMPRODUCT((N$3:N$68&lt;&gt;"")*(G$3:G$68=G21)*(J$3:J$68&gt;J21))+1,IF(M21="P",SUMPRODUCT((O$3:O$68&lt;&gt;"")*(P$3:P$68="")*(G$3:G$68=G21))+SUMPRODUCT((P$3:P$68&lt;&gt;"")*(G$3:G$68=G21))+SUMPRODUCT((N$3:N$68&lt;&gt;"")*(G$3:G$68=G21))+SUMPRODUCT((P$3:P$68="")*(O$3:O$68="")*(N$3:N$68="")*(M$3:M$68="P")*(G$3:G$68=G21)*(J$3:J$68&gt;J21))+IF(H21="L5",SUMPRODUCT((P$3:P$68="")*(O$3:O$68="")*(N$3:N$68="")*(M$3:M$68="P")*(G$3:G$68=G21)*(J$3:J$68&lt;J21)*(H$3:H$68&lt;&gt;H21)),-1*SUMPRODUCT((P$3:P$68="")*(O$3:O$68="")*(N$3:N$68="")*(M$3:M$68="P")*(G$3:G$68=G21)*(J$3:J$68&gt;J21)*(H$3:H$68="L5")))+1,""))))</f>
        <v/>
      </c>
      <c r="C21" s="35" t="s">
        <v>183</v>
      </c>
      <c r="D21" s="35" t="str">
        <f>IF(E21="","",VLOOKUP(E21,'Coaching Points'!A:B,2,0))</f>
        <v>AB</v>
      </c>
      <c r="E21" s="35" t="s">
        <v>61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>R21+IF(OR(H21="Junior",H21="Senior"),0.0002,IF(OR(H21="L7",H21="L6"),0.0001,0))+MAX(Z21,AC21)*0.0000001</f>
        <v>43.3001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43.3</v>
      </c>
      <c r="S21" s="4">
        <f>IF(R21=T21-V21,MAX(W21-Y21,Z21-AB21,AC21-AE21),IF(R21=W21-Y21,MAX(T21-V21,Z21-AB21,AC21-AE21),IF(R21=Z21-AB21,MAX(T21-V21,W21-Y21,AC21-AE21),IF(R21=AC21-AE21,MAX(T21-V21,W21-Y21,Z21-AB21),0))))</f>
        <v>42.3</v>
      </c>
      <c r="T21" s="32">
        <v>42.3</v>
      </c>
      <c r="U21" s="37">
        <v>6.5</v>
      </c>
      <c r="V21" s="37">
        <v>0</v>
      </c>
      <c r="W21" s="33">
        <v>43.3</v>
      </c>
      <c r="X21" s="37">
        <v>6.7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$68&lt;&gt;"")*(G$3:G$68=G22)*(J$3:J$68&gt;J22)*(I$3:I$68="P"))+1,IF(O22&lt;&gt;"",SUMPRODUCT((O$3:O$68&lt;&gt;"")*(P$3:P$68="")*(G$3:G$68=G22)*(J$3:J$68&gt;J22)*(I$3:I$68="P"))+SUMPRODUCT((P$3:P$68&lt;&gt;"")*(G$3:G$68=G22)*(I$3:I$68="P"))+1,IF(N22&lt;&gt;"",SUMPRODUCT((N$3:N$68&lt;&gt;"")*(G$3:G$68=G22)*(J$3:J$68&gt;J22)*(I$3:I$68="P"))+1,IF(M22="P",SUMPRODUCT((O$3:O$68&lt;&gt;"")*(P$3:P$68="")*(G$3:G$68=G22)*(I$3:I$68="P"))+SUMPRODUCT((P$3:P$68&lt;&gt;"")*(G$3:G$68=G22)*(I$3:I$68="P"))+SUMPRODUCT((N$3:N$68&lt;&gt;"")*(G$3:G$68=G22)*(I$3:I$68="P"))+SUMPRODUCT((P$3:P$68="")*(O$3:O$68="")*(N$3:N$68="")*(M$3:M$68="P")*(G$3:G$68=G22)*(J$3:J$68&gt;J22)*(I$3:I$68="P"))+IF(H22="L5",SUMPRODUCT((P$3:P$68="")*(O$3:O$68="")*(N$3:N$68="")*(M$3:M$68="P")*(G$3:G$68=G22)*(J$3:J$68&lt;J22)*(H$3:H$68&lt;&gt;H22)*(I$3:I$68="P")),-1*SUMPRODUCT((P$3:P$68="")*(O$3:O$68="")*(N$3:N$68="")*(M$3:M$68="P")*(G$3:G$68=G22)*(J$3:J$68&gt;J22)*(H$3:H$68="L5")*(I$3:I$68="P")))+1,"")))))</f>
        <v/>
      </c>
      <c r="B22" s="1" t="str" cm="1">
        <f t="array" ref="B22">IF(P22&lt;&gt;"",SUMPRODUCT((P$3:P$68&lt;&gt;"")*(G$3:G$68=G22)*(J$3:J$68&gt;J22))+1,IF(O22&lt;&gt;"",SUMPRODUCT((O$3:O$68&lt;&gt;"")*(P$3:P$68="")*(G$3:G$68=G22)*(J$3:J$68&gt;J22))+SUMPRODUCT((P$3:P$68&lt;&gt;"")*(G$3:G$68=G22))+1,IF(N22&lt;&gt;"",SUMPRODUCT((N$3:N$68&lt;&gt;"")*(G$3:G$68=G22)*(J$3:J$68&gt;J22))+1,IF(M22="P",SUMPRODUCT((O$3:O$68&lt;&gt;"")*(P$3:P$68="")*(G$3:G$68=G22))+SUMPRODUCT((P$3:P$68&lt;&gt;"")*(G$3:G$68=G22))+SUMPRODUCT((N$3:N$68&lt;&gt;"")*(G$3:G$68=G22))+SUMPRODUCT((P$3:P$68="")*(O$3:O$68="")*(N$3:N$68="")*(M$3:M$68="P")*(G$3:G$68=G22)*(J$3:J$68&gt;J22))+IF(H22="L5",SUMPRODUCT((P$3:P$68="")*(O$3:O$68="")*(N$3:N$68="")*(M$3:M$68="P")*(G$3:G$68=G22)*(J$3:J$68&lt;J22)*(H$3:H$68&lt;&gt;H22)),-1*SUMPRODUCT((P$3:P$68="")*(O$3:O$68="")*(N$3:N$68="")*(M$3:M$68="P")*(G$3:G$68=G22)*(J$3:J$68&gt;J22)*(H$3:H$68="L5")))+1,""))))</f>
        <v/>
      </c>
      <c r="C22" s="35" t="s">
        <v>308</v>
      </c>
      <c r="D22" s="35" t="str">
        <f>IF(E22="","",VLOOKUP(E22,'Coaching Points'!A:B,2,0))</f>
        <v>AB</v>
      </c>
      <c r="E22" s="35" t="s">
        <v>251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64</v>
      </c>
      <c r="I22" s="40"/>
      <c r="J22" s="4">
        <f>R22+IF(OR(H22="Junior",H22="Senior"),0.0002,IF(OR(H22="L7",H22="L6"),0.0001,0))+MAX(Z22,AC22)*0.0000001</f>
        <v>42.5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MAX(T22-V22,W22-Y22,Z22-AB22,AC22-AE22)</f>
        <v>42.5</v>
      </c>
      <c r="S22" s="4">
        <f>IF(R22=T22-V22,MAX(W22-Y22,Z22-AB22,AC22-AE22),IF(R22=W22-Y22,MAX(T22-V22,Z22-AB22,AC22-AE22),IF(R22=Z22-AB22,MAX(T22-V22,W22-Y22,AC22-AE22),IF(R22=AC22-AE22,MAX(T22-V22,W22-Y22,Z22-AB22),0))))</f>
        <v>35.5</v>
      </c>
      <c r="T22" s="32">
        <v>42.5</v>
      </c>
      <c r="U22" s="37">
        <v>6.3000000000000007</v>
      </c>
      <c r="V22" s="37">
        <v>0</v>
      </c>
      <c r="W22" s="33">
        <v>35.5</v>
      </c>
      <c r="X22" s="37">
        <v>1.1000000000000001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$68&lt;&gt;"")*(G$3:G$68=G23)*(J$3:J$68&gt;J23)*(I$3:I$68="P"))+1,IF(O23&lt;&gt;"",SUMPRODUCT((O$3:O$68&lt;&gt;"")*(P$3:P$68="")*(G$3:G$68=G23)*(J$3:J$68&gt;J23)*(I$3:I$68="P"))+SUMPRODUCT((P$3:P$68&lt;&gt;"")*(G$3:G$68=G23)*(I$3:I$68="P"))+1,IF(N23&lt;&gt;"",SUMPRODUCT((N$3:N$68&lt;&gt;"")*(G$3:G$68=G23)*(J$3:J$68&gt;J23)*(I$3:I$68="P"))+1,IF(M23="P",SUMPRODUCT((O$3:O$68&lt;&gt;"")*(P$3:P$68="")*(G$3:G$68=G23)*(I$3:I$68="P"))+SUMPRODUCT((P$3:P$68&lt;&gt;"")*(G$3:G$68=G23)*(I$3:I$68="P"))+SUMPRODUCT((N$3:N$68&lt;&gt;"")*(G$3:G$68=G23)*(I$3:I$68="P"))+SUMPRODUCT((P$3:P$68="")*(O$3:O$68="")*(N$3:N$68="")*(M$3:M$68="P")*(G$3:G$68=G23)*(J$3:J$68&gt;J23)*(I$3:I$68="P"))+IF(H23="L5",SUMPRODUCT((P$3:P$68="")*(O$3:O$68="")*(N$3:N$68="")*(M$3:M$68="P")*(G$3:G$68=G23)*(J$3:J$68&lt;J23)*(H$3:H$68&lt;&gt;H23)*(I$3:I$68="P")),-1*SUMPRODUCT((P$3:P$68="")*(O$3:O$68="")*(N$3:N$68="")*(M$3:M$68="P")*(G$3:G$68=G23)*(J$3:J$68&gt;J23)*(H$3:H$68="L5")*(I$3:I$68="P")))+1,"")))))</f>
        <v/>
      </c>
      <c r="B23" s="1" t="str" cm="1">
        <f t="array" ref="B23">IF(P23&lt;&gt;"",SUMPRODUCT((P$3:P$68&lt;&gt;"")*(G$3:G$68=G23)*(J$3:J$68&gt;J23))+1,IF(O23&lt;&gt;"",SUMPRODUCT((O$3:O$68&lt;&gt;"")*(P$3:P$68="")*(G$3:G$68=G23)*(J$3:J$68&gt;J23))+SUMPRODUCT((P$3:P$68&lt;&gt;"")*(G$3:G$68=G23))+1,IF(N23&lt;&gt;"",SUMPRODUCT((N$3:N$68&lt;&gt;"")*(G$3:G$68=G23)*(J$3:J$68&gt;J23))+1,IF(M23="P",SUMPRODUCT((O$3:O$68&lt;&gt;"")*(P$3:P$68="")*(G$3:G$68=G23))+SUMPRODUCT((P$3:P$68&lt;&gt;"")*(G$3:G$68=G23))+SUMPRODUCT((N$3:N$68&lt;&gt;"")*(G$3:G$68=G23))+SUMPRODUCT((P$3:P$68="")*(O$3:O$68="")*(N$3:N$68="")*(M$3:M$68="P")*(G$3:G$68=G23)*(J$3:J$68&gt;J23))+IF(H23="L5",SUMPRODUCT((P$3:P$68="")*(O$3:O$68="")*(N$3:N$68="")*(M$3:M$68="P")*(G$3:G$68=G23)*(J$3:J$68&lt;J23)*(H$3:H$68&lt;&gt;H23)),-1*SUMPRODUCT((P$3:P$68="")*(O$3:O$68="")*(N$3:N$68="")*(M$3:M$68="P")*(G$3:G$68=G23)*(J$3:J$68&gt;J23)*(H$3:H$68="L5")))+1,""))))</f>
        <v/>
      </c>
      <c r="C23" s="35" t="s">
        <v>187</v>
      </c>
      <c r="D23" s="35" t="str">
        <f>IF(E23="","",VLOOKUP(E23,'Coaching Points'!A:B,2,0))</f>
        <v>ON</v>
      </c>
      <c r="E23" s="35" t="s">
        <v>45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>R23+IF(OR(H23="Junior",H23="Senior"),0.0002,IF(OR(H23="L7",H23="L6"),0.0001,0))+MAX(Z23,AC23)*0.0000001</f>
        <v>42.3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MAX(T23-V23,W23-Y23,Z23-AB23,AC23-AE23)</f>
        <v>42.3</v>
      </c>
      <c r="S23" s="4">
        <f>IF(R23=T23-V23,MAX(W23-Y23,Z23-AB23,AC23-AE23),IF(R23=W23-Y23,MAX(T23-V23,Z23-AB23,AC23-AE23),IF(R23=Z23-AB23,MAX(T23-V23,W23-Y23,AC23-AE23),IF(R23=AC23-AE23,MAX(T23-V23,W23-Y23,Z23-AB23),0))))</f>
        <v>42</v>
      </c>
      <c r="T23" s="32">
        <v>42.3</v>
      </c>
      <c r="U23" s="37">
        <v>6.6</v>
      </c>
      <c r="V23" s="37">
        <v>0</v>
      </c>
      <c r="W23" s="33">
        <v>42</v>
      </c>
      <c r="X23" s="37">
        <v>5.7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$68&lt;&gt;"")*(G$3:G$68=G24)*(J$3:J$68&gt;J24)*(I$3:I$68="P"))+1,IF(O24&lt;&gt;"",SUMPRODUCT((O$3:O$68&lt;&gt;"")*(P$3:P$68="")*(G$3:G$68=G24)*(J$3:J$68&gt;J24)*(I$3:I$68="P"))+SUMPRODUCT((P$3:P$68&lt;&gt;"")*(G$3:G$68=G24)*(I$3:I$68="P"))+1,IF(N24&lt;&gt;"",SUMPRODUCT((N$3:N$68&lt;&gt;"")*(G$3:G$68=G24)*(J$3:J$68&gt;J24)*(I$3:I$68="P"))+1,IF(M24="P",SUMPRODUCT((O$3:O$68&lt;&gt;"")*(P$3:P$68="")*(G$3:G$68=G24)*(I$3:I$68="P"))+SUMPRODUCT((P$3:P$68&lt;&gt;"")*(G$3:G$68=G24)*(I$3:I$68="P"))+SUMPRODUCT((N$3:N$68&lt;&gt;"")*(G$3:G$68=G24)*(I$3:I$68="P"))+SUMPRODUCT((P$3:P$68="")*(O$3:O$68="")*(N$3:N$68="")*(M$3:M$68="P")*(G$3:G$68=G24)*(J$3:J$68&gt;J24)*(I$3:I$68="P"))+IF(H24="L5",SUMPRODUCT((P$3:P$68="")*(O$3:O$68="")*(N$3:N$68="")*(M$3:M$68="P")*(G$3:G$68=G24)*(J$3:J$68&lt;J24)*(H$3:H$68&lt;&gt;H24)*(I$3:I$68="P")),-1*SUMPRODUCT((P$3:P$68="")*(O$3:O$68="")*(N$3:N$68="")*(M$3:M$68="P")*(G$3:G$68=G24)*(J$3:J$68&gt;J24)*(H$3:H$68="L5")*(I$3:I$68="P")))+1,"")))))</f>
        <v/>
      </c>
      <c r="B24" s="1" t="str" cm="1">
        <f t="array" ref="B24">IF(P24&lt;&gt;"",SUMPRODUCT((P$3:P$68&lt;&gt;"")*(G$3:G$68=G24)*(J$3:J$68&gt;J24))+1,IF(O24&lt;&gt;"",SUMPRODUCT((O$3:O$68&lt;&gt;"")*(P$3:P$68="")*(G$3:G$68=G24)*(J$3:J$68&gt;J24))+SUMPRODUCT((P$3:P$68&lt;&gt;"")*(G$3:G$68=G24))+1,IF(N24&lt;&gt;"",SUMPRODUCT((N$3:N$68&lt;&gt;"")*(G$3:G$68=G24)*(J$3:J$68&gt;J24))+1,IF(M24="P",SUMPRODUCT((O$3:O$68&lt;&gt;"")*(P$3:P$68="")*(G$3:G$68=G24))+SUMPRODUCT((P$3:P$68&lt;&gt;"")*(G$3:G$68=G24))+SUMPRODUCT((N$3:N$68&lt;&gt;"")*(G$3:G$68=G24))+SUMPRODUCT((P$3:P$68="")*(O$3:O$68="")*(N$3:N$68="")*(M$3:M$68="P")*(G$3:G$68=G24)*(J$3:J$68&gt;J24))+IF(H24="L5",SUMPRODUCT((P$3:P$68="")*(O$3:O$68="")*(N$3:N$68="")*(M$3:M$68="P")*(G$3:G$68=G24)*(J$3:J$68&lt;J24)*(H$3:H$68&lt;&gt;H24)),-1*SUMPRODUCT((P$3:P$68="")*(O$3:O$68="")*(N$3:N$68="")*(M$3:M$68="P")*(G$3:G$68=G24)*(J$3:J$68&gt;J24)*(H$3:H$68="L5")))+1,""))))</f>
        <v/>
      </c>
      <c r="C24" s="35" t="s">
        <v>259</v>
      </c>
      <c r="D24" s="35" t="str">
        <f>IF(E24="","",VLOOKUP(E24,'Coaching Points'!A:B,2,0))</f>
        <v>AB</v>
      </c>
      <c r="E24" s="35" t="s">
        <v>62</v>
      </c>
      <c r="F24" s="34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64</v>
      </c>
      <c r="I24" s="40"/>
      <c r="J24" s="4">
        <f>R24+IF(OR(H24="Junior",H24="Senior"),0.0002,IF(OR(H24="L7",H24="L6"),0.0001,0))+MAX(Z24,AC24)*0.0000001</f>
        <v>42.3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MAX(T24-V24,W24-Y24,Z24-AB24,AC24-AE24)</f>
        <v>42.3</v>
      </c>
      <c r="S24" s="4">
        <f>IF(R24=T24-V24,MAX(W24-Y24,Z24-AB24,AC24-AE24),IF(R24=W24-Y24,MAX(T24-V24,Z24-AB24,AC24-AE24),IF(R24=Z24-AB24,MAX(T24-V24,W24-Y24,AC24-AE24),IF(R24=AC24-AE24,MAX(T24-V24,W24-Y24,Z24-AB24),0))))</f>
        <v>38.799999999999997</v>
      </c>
      <c r="T24" s="32">
        <v>42.3</v>
      </c>
      <c r="U24" s="37">
        <v>5.8000000000000007</v>
      </c>
      <c r="V24" s="37">
        <v>0</v>
      </c>
      <c r="W24" s="33">
        <v>38.799999999999997</v>
      </c>
      <c r="X24" s="37">
        <v>2.6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$68&lt;&gt;"")*(G$3:G$68=G25)*(J$3:J$68&gt;J25)*(I$3:I$68="P"))+1,IF(O25&lt;&gt;"",SUMPRODUCT((O$3:O$68&lt;&gt;"")*(P$3:P$68="")*(G$3:G$68=G25)*(J$3:J$68&gt;J25)*(I$3:I$68="P"))+SUMPRODUCT((P$3:P$68&lt;&gt;"")*(G$3:G$68=G25)*(I$3:I$68="P"))+1,IF(N25&lt;&gt;"",SUMPRODUCT((N$3:N$68&lt;&gt;"")*(G$3:G$68=G25)*(J$3:J$68&gt;J25)*(I$3:I$68="P"))+1,IF(M25="P",SUMPRODUCT((O$3:O$68&lt;&gt;"")*(P$3:P$68="")*(G$3:G$68=G25)*(I$3:I$68="P"))+SUMPRODUCT((P$3:P$68&lt;&gt;"")*(G$3:G$68=G25)*(I$3:I$68="P"))+SUMPRODUCT((N$3:N$68&lt;&gt;"")*(G$3:G$68=G25)*(I$3:I$68="P"))+SUMPRODUCT((P$3:P$68="")*(O$3:O$68="")*(N$3:N$68="")*(M$3:M$68="P")*(G$3:G$68=G25)*(J$3:J$68&gt;J25)*(I$3:I$68="P"))+IF(H25="L5",SUMPRODUCT((P$3:P$68="")*(O$3:O$68="")*(N$3:N$68="")*(M$3:M$68="P")*(G$3:G$68=G25)*(J$3:J$68&lt;J25)*(H$3:H$68&lt;&gt;H25)*(I$3:I$68="P")),-1*SUMPRODUCT((P$3:P$68="")*(O$3:O$68="")*(N$3:N$68="")*(M$3:M$68="P")*(G$3:G$68=G25)*(J$3:J$68&gt;J25)*(H$3:H$68="L5")*(I$3:I$68="P")))+1,"")))))</f>
        <v/>
      </c>
      <c r="B25" s="1" t="str" cm="1">
        <f t="array" ref="B25">IF(P25&lt;&gt;"",SUMPRODUCT((P$3:P$68&lt;&gt;"")*(G$3:G$68=G25)*(J$3:J$68&gt;J25))+1,IF(O25&lt;&gt;"",SUMPRODUCT((O$3:O$68&lt;&gt;"")*(P$3:P$68="")*(G$3:G$68=G25)*(J$3:J$68&gt;J25))+SUMPRODUCT((P$3:P$68&lt;&gt;"")*(G$3:G$68=G25))+1,IF(N25&lt;&gt;"",SUMPRODUCT((N$3:N$68&lt;&gt;"")*(G$3:G$68=G25)*(J$3:J$68&gt;J25))+1,IF(M25="P",SUMPRODUCT((O$3:O$68&lt;&gt;"")*(P$3:P$68="")*(G$3:G$68=G25))+SUMPRODUCT((P$3:P$68&lt;&gt;"")*(G$3:G$68=G25))+SUMPRODUCT((N$3:N$68&lt;&gt;"")*(G$3:G$68=G25))+SUMPRODUCT((P$3:P$68="")*(O$3:O$68="")*(N$3:N$68="")*(M$3:M$68="P")*(G$3:G$68=G25)*(J$3:J$68&gt;J25))+IF(H25="L5",SUMPRODUCT((P$3:P$68="")*(O$3:O$68="")*(N$3:N$68="")*(M$3:M$68="P")*(G$3:G$68=G25)*(J$3:J$68&lt;J25)*(H$3:H$68&lt;&gt;H25)),-1*SUMPRODUCT((P$3:P$68="")*(O$3:O$68="")*(N$3:N$68="")*(M$3:M$68="P")*(G$3:G$68=G25)*(J$3:J$68&gt;J25)*(H$3:H$68="L5")))+1,""))))</f>
        <v/>
      </c>
      <c r="C25" s="35" t="s">
        <v>109</v>
      </c>
      <c r="D25" s="35" t="str">
        <f>IF(E25="","",VLOOKUP(E25,'Coaching Points'!A:B,2,0))</f>
        <v>ON</v>
      </c>
      <c r="E25" s="35" t="s">
        <v>45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R25+IF(OR(H25="Junior",H25="Senior"),0.0002,IF(OR(H25="L7",H25="L6"),0.0001,0))+MAX(Z25,AC25)*0.0000001</f>
        <v>42.1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42.1</v>
      </c>
      <c r="S25" s="4">
        <f>IF(R25=T25-V25,MAX(W25-Y25,Z25-AB25,AC25-AE25),IF(R25=W25-Y25,MAX(T25-V25,Z25-AB25,AC25-AE25),IF(R25=Z25-AB25,MAX(T25-V25,W25-Y25,AC25-AE25),IF(R25=AC25-AE25,MAX(T25-V25,W25-Y25,Z25-AB25),0))))</f>
        <v>39.200000000000003</v>
      </c>
      <c r="T25" s="32">
        <v>42.1</v>
      </c>
      <c r="U25" s="37">
        <v>5.4</v>
      </c>
      <c r="V25" s="37">
        <v>0</v>
      </c>
      <c r="W25" s="33">
        <v>39.200000000000003</v>
      </c>
      <c r="X25" s="37">
        <v>2.8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$68&lt;&gt;"")*(G$3:G$68=G26)*(J$3:J$68&gt;J26)*(I$3:I$68="P"))+1,IF(O26&lt;&gt;"",SUMPRODUCT((O$3:O$68&lt;&gt;"")*(P$3:P$68="")*(G$3:G$68=G26)*(J$3:J$68&gt;J26)*(I$3:I$68="P"))+SUMPRODUCT((P$3:P$68&lt;&gt;"")*(G$3:G$68=G26)*(I$3:I$68="P"))+1,IF(N26&lt;&gt;"",SUMPRODUCT((N$3:N$68&lt;&gt;"")*(G$3:G$68=G26)*(J$3:J$68&gt;J26)*(I$3:I$68="P"))+1,IF(M26="P",SUMPRODUCT((O$3:O$68&lt;&gt;"")*(P$3:P$68="")*(G$3:G$68=G26)*(I$3:I$68="P"))+SUMPRODUCT((P$3:P$68&lt;&gt;"")*(G$3:G$68=G26)*(I$3:I$68="P"))+SUMPRODUCT((N$3:N$68&lt;&gt;"")*(G$3:G$68=G26)*(I$3:I$68="P"))+SUMPRODUCT((P$3:P$68="")*(O$3:O$68="")*(N$3:N$68="")*(M$3:M$68="P")*(G$3:G$68=G26)*(J$3:J$68&gt;J26)*(I$3:I$68="P"))+IF(H26="L5",SUMPRODUCT((P$3:P$68="")*(O$3:O$68="")*(N$3:N$68="")*(M$3:M$68="P")*(G$3:G$68=G26)*(J$3:J$68&lt;J26)*(H$3:H$68&lt;&gt;H26)*(I$3:I$68="P")),-1*SUMPRODUCT((P$3:P$68="")*(O$3:O$68="")*(N$3:N$68="")*(M$3:M$68="P")*(G$3:G$68=G26)*(J$3:J$68&gt;J26)*(H$3:H$68="L5")*(I$3:I$68="P")))+1,"")))))</f>
        <v/>
      </c>
      <c r="B26" s="1" t="str" cm="1">
        <f t="array" ref="B26">IF(P26&lt;&gt;"",SUMPRODUCT((P$3:P$68&lt;&gt;"")*(G$3:G$68=G26)*(J$3:J$68&gt;J26))+1,IF(O26&lt;&gt;"",SUMPRODUCT((O$3:O$68&lt;&gt;"")*(P$3:P$68="")*(G$3:G$68=G26)*(J$3:J$68&gt;J26))+SUMPRODUCT((P$3:P$68&lt;&gt;"")*(G$3:G$68=G26))+1,IF(N26&lt;&gt;"",SUMPRODUCT((N$3:N$68&lt;&gt;"")*(G$3:G$68=G26)*(J$3:J$68&gt;J26))+1,IF(M26="P",SUMPRODUCT((O$3:O$68&lt;&gt;"")*(P$3:P$68="")*(G$3:G$68=G26))+SUMPRODUCT((P$3:P$68&lt;&gt;"")*(G$3:G$68=G26))+SUMPRODUCT((N$3:N$68&lt;&gt;"")*(G$3:G$68=G26))+SUMPRODUCT((P$3:P$68="")*(O$3:O$68="")*(N$3:N$68="")*(M$3:M$68="P")*(G$3:G$68=G26)*(J$3:J$68&gt;J26))+IF(H26="L5",SUMPRODUCT((P$3:P$68="")*(O$3:O$68="")*(N$3:N$68="")*(M$3:M$68="P")*(G$3:G$68=G26)*(J$3:J$68&lt;J26)*(H$3:H$68&lt;&gt;H26)),-1*SUMPRODUCT((P$3:P$68="")*(O$3:O$68="")*(N$3:N$68="")*(M$3:M$68="P")*(G$3:G$68=G26)*(J$3:J$68&gt;J26)*(H$3:H$68="L5")))+1,""))))</f>
        <v/>
      </c>
      <c r="C26" s="35" t="s">
        <v>191</v>
      </c>
      <c r="D26" s="35" t="str">
        <f>IF(E26="","",VLOOKUP(E26,'Coaching Points'!A:B,2,0))</f>
        <v>BC</v>
      </c>
      <c r="E26" s="35" t="s">
        <v>70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R26+IF(OR(H26="Junior",H26="Senior"),0.0002,IF(OR(H26="L7",H26="L6"),0.0001,0))+MAX(Z26,AC26)*0.0000001</f>
        <v>42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MAX(T26-V26,W26-Y26,Z26-AB26,AC26-AE26)</f>
        <v>42</v>
      </c>
      <c r="S26" s="4">
        <f>IF(R26=T26-V26,MAX(W26-Y26,Z26-AB26,AC26-AE26),IF(R26=W26-Y26,MAX(T26-V26,Z26-AB26,AC26-AE26),IF(R26=Z26-AB26,MAX(T26-V26,W26-Y26,AC26-AE26),IF(R26=AC26-AE26,MAX(T26-V26,W26-Y26,Z26-AB26),0))))</f>
        <v>39.4</v>
      </c>
      <c r="T26" s="32">
        <v>42</v>
      </c>
      <c r="U26" s="37">
        <v>5.7</v>
      </c>
      <c r="V26" s="37">
        <v>0</v>
      </c>
      <c r="W26" s="33">
        <v>39.4</v>
      </c>
      <c r="X26" s="37">
        <v>3.6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$68&lt;&gt;"")*(G$3:G$68=G27)*(J$3:J$68&gt;J27)*(I$3:I$68="P"))+1,IF(O27&lt;&gt;"",SUMPRODUCT((O$3:O$68&lt;&gt;"")*(P$3:P$68="")*(G$3:G$68=G27)*(J$3:J$68&gt;J27)*(I$3:I$68="P"))+SUMPRODUCT((P$3:P$68&lt;&gt;"")*(G$3:G$68=G27)*(I$3:I$68="P"))+1,IF(N27&lt;&gt;"",SUMPRODUCT((N$3:N$68&lt;&gt;"")*(G$3:G$68=G27)*(J$3:J$68&gt;J27)*(I$3:I$68="P"))+1,IF(M27="P",SUMPRODUCT((O$3:O$68&lt;&gt;"")*(P$3:P$68="")*(G$3:G$68=G27)*(I$3:I$68="P"))+SUMPRODUCT((P$3:P$68&lt;&gt;"")*(G$3:G$68=G27)*(I$3:I$68="P"))+SUMPRODUCT((N$3:N$68&lt;&gt;"")*(G$3:G$68=G27)*(I$3:I$68="P"))+SUMPRODUCT((P$3:P$68="")*(O$3:O$68="")*(N$3:N$68="")*(M$3:M$68="P")*(G$3:G$68=G27)*(J$3:J$68&gt;J27)*(I$3:I$68="P"))+IF(H27="L5",SUMPRODUCT((P$3:P$68="")*(O$3:O$68="")*(N$3:N$68="")*(M$3:M$68="P")*(G$3:G$68=G27)*(J$3:J$68&lt;J27)*(H$3:H$68&lt;&gt;H27)*(I$3:I$68="P")),-1*SUMPRODUCT((P$3:P$68="")*(O$3:O$68="")*(N$3:N$68="")*(M$3:M$68="P")*(G$3:G$68=G27)*(J$3:J$68&gt;J27)*(H$3:H$68="L5")*(I$3:I$68="P")))+1,"")))))</f>
        <v/>
      </c>
      <c r="B27" s="1" t="str" cm="1">
        <f t="array" ref="B27">IF(P27&lt;&gt;"",SUMPRODUCT((P$3:P$68&lt;&gt;"")*(G$3:G$68=G27)*(J$3:J$68&gt;J27))+1,IF(O27&lt;&gt;"",SUMPRODUCT((O$3:O$68&lt;&gt;"")*(P$3:P$68="")*(G$3:G$68=G27)*(J$3:J$68&gt;J27))+SUMPRODUCT((P$3:P$68&lt;&gt;"")*(G$3:G$68=G27))+1,IF(N27&lt;&gt;"",SUMPRODUCT((N$3:N$68&lt;&gt;"")*(G$3:G$68=G27)*(J$3:J$68&gt;J27))+1,IF(M27="P",SUMPRODUCT((O$3:O$68&lt;&gt;"")*(P$3:P$68="")*(G$3:G$68=G27))+SUMPRODUCT((P$3:P$68&lt;&gt;"")*(G$3:G$68=G27))+SUMPRODUCT((N$3:N$68&lt;&gt;"")*(G$3:G$68=G27))+SUMPRODUCT((P$3:P$68="")*(O$3:O$68="")*(N$3:N$68="")*(M$3:M$68="P")*(G$3:G$68=G27)*(J$3:J$68&gt;J27))+IF(H27="L5",SUMPRODUCT((P$3:P$68="")*(O$3:O$68="")*(N$3:N$68="")*(M$3:M$68="P")*(G$3:G$68=G27)*(J$3:J$68&lt;J27)*(H$3:H$68&lt;&gt;H27)),-1*SUMPRODUCT((P$3:P$68="")*(O$3:O$68="")*(N$3:N$68="")*(M$3:M$68="P")*(G$3:G$68=G27)*(J$3:J$68&gt;J27)*(H$3:H$68="L5")))+1,""))))</f>
        <v/>
      </c>
      <c r="C27" s="35" t="s">
        <v>208</v>
      </c>
      <c r="D27" s="35" t="s">
        <v>149</v>
      </c>
      <c r="E27" s="35" t="s">
        <v>78</v>
      </c>
      <c r="F27" s="34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64</v>
      </c>
      <c r="I27" s="40"/>
      <c r="J27" s="4">
        <f>R27+IF(OR(H27="Junior",H27="Senior"),0.0002,IF(OR(H27="L7",H27="L6"),0.0001,0))+MAX(Z27,AC27)*0.0000001</f>
        <v>41.7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MAX(T27-V27,W27-Y27,Z27-AB27,AC27-AE27)</f>
        <v>41.7</v>
      </c>
      <c r="S27" s="4">
        <f>IF(R27=T27-V27,MAX(W27-Y27,Z27-AB27,AC27-AE27),IF(R27=W27-Y27,MAX(T27-V27,Z27-AB27,AC27-AE27),IF(R27=Z27-AB27,MAX(T27-V27,W27-Y27,AC27-AE27),IF(R27=AC27-AE27,MAX(T27-V27,W27-Y27,Z27-AB27),0))))</f>
        <v>0</v>
      </c>
      <c r="T27" s="32">
        <v>41.7</v>
      </c>
      <c r="U27" s="37">
        <v>4.3000000000000007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$68&lt;&gt;"")*(G$3:G$68=G28)*(J$3:J$68&gt;J28)*(I$3:I$68="P"))+1,IF(O28&lt;&gt;"",SUMPRODUCT((O$3:O$68&lt;&gt;"")*(P$3:P$68="")*(G$3:G$68=G28)*(J$3:J$68&gt;J28)*(I$3:I$68="P"))+SUMPRODUCT((P$3:P$68&lt;&gt;"")*(G$3:G$68=G28)*(I$3:I$68="P"))+1,IF(N28&lt;&gt;"",SUMPRODUCT((N$3:N$68&lt;&gt;"")*(G$3:G$68=G28)*(J$3:J$68&gt;J28)*(I$3:I$68="P"))+1,IF(M28="P",SUMPRODUCT((O$3:O$68&lt;&gt;"")*(P$3:P$68="")*(G$3:G$68=G28)*(I$3:I$68="P"))+SUMPRODUCT((P$3:P$68&lt;&gt;"")*(G$3:G$68=G28)*(I$3:I$68="P"))+SUMPRODUCT((N$3:N$68&lt;&gt;"")*(G$3:G$68=G28)*(I$3:I$68="P"))+SUMPRODUCT((P$3:P$68="")*(O$3:O$68="")*(N$3:N$68="")*(M$3:M$68="P")*(G$3:G$68=G28)*(J$3:J$68&gt;J28)*(I$3:I$68="P"))+IF(H28="L5",SUMPRODUCT((P$3:P$68="")*(O$3:O$68="")*(N$3:N$68="")*(M$3:M$68="P")*(G$3:G$68=G28)*(J$3:J$68&lt;J28)*(H$3:H$68&lt;&gt;H28)*(I$3:I$68="P")),-1*SUMPRODUCT((P$3:P$68="")*(O$3:O$68="")*(N$3:N$68="")*(M$3:M$68="P")*(G$3:G$68=G28)*(J$3:J$68&gt;J28)*(H$3:H$68="L5")*(I$3:I$68="P")))+1,"")))))</f>
        <v/>
      </c>
      <c r="B28" s="1" t="str" cm="1">
        <f t="array" ref="B28">IF(P28&lt;&gt;"",SUMPRODUCT((P$3:P$68&lt;&gt;"")*(G$3:G$68=G28)*(J$3:J$68&gt;J28))+1,IF(O28&lt;&gt;"",SUMPRODUCT((O$3:O$68&lt;&gt;"")*(P$3:P$68="")*(G$3:G$68=G28)*(J$3:J$68&gt;J28))+SUMPRODUCT((P$3:P$68&lt;&gt;"")*(G$3:G$68=G28))+1,IF(N28&lt;&gt;"",SUMPRODUCT((N$3:N$68&lt;&gt;"")*(G$3:G$68=G28)*(J$3:J$68&gt;J28))+1,IF(M28="P",SUMPRODUCT((O$3:O$68&lt;&gt;"")*(P$3:P$68="")*(G$3:G$68=G28))+SUMPRODUCT((P$3:P$68&lt;&gt;"")*(G$3:G$68=G28))+SUMPRODUCT((N$3:N$68&lt;&gt;"")*(G$3:G$68=G28))+SUMPRODUCT((P$3:P$68="")*(O$3:O$68="")*(N$3:N$68="")*(M$3:M$68="P")*(G$3:G$68=G28)*(J$3:J$68&gt;J28))+IF(H28="L5",SUMPRODUCT((P$3:P$68="")*(O$3:O$68="")*(N$3:N$68="")*(M$3:M$68="P")*(G$3:G$68=G28)*(J$3:J$68&lt;J28)*(H$3:H$68&lt;&gt;H28)),-1*SUMPRODUCT((P$3:P$68="")*(O$3:O$68="")*(N$3:N$68="")*(M$3:M$68="P")*(G$3:G$68=G28)*(J$3:J$68&gt;J28)*(H$3:H$68="L5")))+1,""))))</f>
        <v/>
      </c>
      <c r="C28" s="35" t="s">
        <v>263</v>
      </c>
      <c r="D28" s="35" t="str">
        <f>IF(E28="","",VLOOKUP(E28,'Coaching Points'!A:B,2,0))</f>
        <v>BC</v>
      </c>
      <c r="E28" s="35" t="s">
        <v>44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R28+IF(OR(H28="Junior",H28="Senior"),0.0002,IF(OR(H28="L7",H28="L6"),0.0001,0))+MAX(Z28,AC28)*0.0000001</f>
        <v>41.7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MAX(T28-V28,W28-Y28,Z28-AB28,AC28-AE28)</f>
        <v>41.7</v>
      </c>
      <c r="S28" s="4">
        <f>IF(R28=T28-V28,MAX(W28-Y28,Z28-AB28,AC28-AE28),IF(R28=W28-Y28,MAX(T28-V28,Z28-AB28,AC28-AE28),IF(R28=Z28-AB28,MAX(T28-V28,W28-Y28,AC28-AE28),IF(R28=AC28-AE28,MAX(T28-V28,W28-Y28,Z28-AB28),0))))</f>
        <v>0</v>
      </c>
      <c r="T28" s="32">
        <v>41.7</v>
      </c>
      <c r="U28" s="37">
        <v>4.8000000000000007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$68&lt;&gt;"")*(G$3:G$68=G29)*(J$3:J$68&gt;J29)*(I$3:I$68="P"))+1,IF(O29&lt;&gt;"",SUMPRODUCT((O$3:O$68&lt;&gt;"")*(P$3:P$68="")*(G$3:G$68=G29)*(J$3:J$68&gt;J29)*(I$3:I$68="P"))+SUMPRODUCT((P$3:P$68&lt;&gt;"")*(G$3:G$68=G29)*(I$3:I$68="P"))+1,IF(N29&lt;&gt;"",SUMPRODUCT((N$3:N$68&lt;&gt;"")*(G$3:G$68=G29)*(J$3:J$68&gt;J29)*(I$3:I$68="P"))+1,IF(M29="P",SUMPRODUCT((O$3:O$68&lt;&gt;"")*(P$3:P$68="")*(G$3:G$68=G29)*(I$3:I$68="P"))+SUMPRODUCT((P$3:P$68&lt;&gt;"")*(G$3:G$68=G29)*(I$3:I$68="P"))+SUMPRODUCT((N$3:N$68&lt;&gt;"")*(G$3:G$68=G29)*(I$3:I$68="P"))+SUMPRODUCT((P$3:P$68="")*(O$3:O$68="")*(N$3:N$68="")*(M$3:M$68="P")*(G$3:G$68=G29)*(J$3:J$68&gt;J29)*(I$3:I$68="P"))+IF(H29="L5",SUMPRODUCT((P$3:P$68="")*(O$3:O$68="")*(N$3:N$68="")*(M$3:M$68="P")*(G$3:G$68=G29)*(J$3:J$68&lt;J29)*(H$3:H$68&lt;&gt;H29)*(I$3:I$68="P")),-1*SUMPRODUCT((P$3:P$68="")*(O$3:O$68="")*(N$3:N$68="")*(M$3:M$68="P")*(G$3:G$68=G29)*(J$3:J$68&gt;J29)*(H$3:H$68="L5")*(I$3:I$68="P")))+1,"")))))</f>
        <v/>
      </c>
      <c r="B29" s="1" t="str" cm="1">
        <f t="array" ref="B29">IF(P29&lt;&gt;"",SUMPRODUCT((P$3:P$68&lt;&gt;"")*(G$3:G$68=G29)*(J$3:J$68&gt;J29))+1,IF(O29&lt;&gt;"",SUMPRODUCT((O$3:O$68&lt;&gt;"")*(P$3:P$68="")*(G$3:G$68=G29)*(J$3:J$68&gt;J29))+SUMPRODUCT((P$3:P$68&lt;&gt;"")*(G$3:G$68=G29))+1,IF(N29&lt;&gt;"",SUMPRODUCT((N$3:N$68&lt;&gt;"")*(G$3:G$68=G29)*(J$3:J$68&gt;J29))+1,IF(M29="P",SUMPRODUCT((O$3:O$68&lt;&gt;"")*(P$3:P$68="")*(G$3:G$68=G29))+SUMPRODUCT((P$3:P$68&lt;&gt;"")*(G$3:G$68=G29))+SUMPRODUCT((N$3:N$68&lt;&gt;"")*(G$3:G$68=G29))+SUMPRODUCT((P$3:P$68="")*(O$3:O$68="")*(N$3:N$68="")*(M$3:M$68="P")*(G$3:G$68=G29)*(J$3:J$68&gt;J29))+IF(H29="L5",SUMPRODUCT((P$3:P$68="")*(O$3:O$68="")*(N$3:N$68="")*(M$3:M$68="P")*(G$3:G$68=G29)*(J$3:J$68&lt;J29)*(H$3:H$68&lt;&gt;H29)),-1*SUMPRODUCT((P$3:P$68="")*(O$3:O$68="")*(N$3:N$68="")*(M$3:M$68="P")*(G$3:G$68=G29)*(J$3:J$68&gt;J29)*(H$3:H$68="L5")))+1,""))))</f>
        <v/>
      </c>
      <c r="C29" s="35" t="s">
        <v>178</v>
      </c>
      <c r="D29" s="35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R29+IF(OR(H29="Junior",H29="Senior"),0.0002,IF(OR(H29="L7",H29="L6"),0.0001,0))+MAX(Z29,AC29)*0.0000001</f>
        <v>41.6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MAX(T29-V29,W29-Y29,Z29-AB29,AC29-AE29)</f>
        <v>41.6</v>
      </c>
      <c r="S29" s="4">
        <f>IF(R29=T29-V29,MAX(W29-Y29,Z29-AB29,AC29-AE29),IF(R29=W29-Y29,MAX(T29-V29,Z29-AB29,AC29-AE29),IF(R29=Z29-AB29,MAX(T29-V29,W29-Y29,AC29-AE29),IF(R29=AC29-AE29,MAX(T29-V29,W29-Y29,Z29-AB29),0))))</f>
        <v>0</v>
      </c>
      <c r="T29" s="32">
        <v>41.6</v>
      </c>
      <c r="U29" s="37">
        <v>6.4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$68&lt;&gt;"")*(G$3:G$68=G30)*(J$3:J$68&gt;J30)*(I$3:I$68="P"))+1,IF(O30&lt;&gt;"",SUMPRODUCT((O$3:O$68&lt;&gt;"")*(P$3:P$68="")*(G$3:G$68=G30)*(J$3:J$68&gt;J30)*(I$3:I$68="P"))+SUMPRODUCT((P$3:P$68&lt;&gt;"")*(G$3:G$68=G30)*(I$3:I$68="P"))+1,IF(N30&lt;&gt;"",SUMPRODUCT((N$3:N$68&lt;&gt;"")*(G$3:G$68=G30)*(J$3:J$68&gt;J30)*(I$3:I$68="P"))+1,IF(M30="P",SUMPRODUCT((O$3:O$68&lt;&gt;"")*(P$3:P$68="")*(G$3:G$68=G30)*(I$3:I$68="P"))+SUMPRODUCT((P$3:P$68&lt;&gt;"")*(G$3:G$68=G30)*(I$3:I$68="P"))+SUMPRODUCT((N$3:N$68&lt;&gt;"")*(G$3:G$68=G30)*(I$3:I$68="P"))+SUMPRODUCT((P$3:P$68="")*(O$3:O$68="")*(N$3:N$68="")*(M$3:M$68="P")*(G$3:G$68=G30)*(J$3:J$68&gt;J30)*(I$3:I$68="P"))+IF(H30="L5",SUMPRODUCT((P$3:P$68="")*(O$3:O$68="")*(N$3:N$68="")*(M$3:M$68="P")*(G$3:G$68=G30)*(J$3:J$68&lt;J30)*(H$3:H$68&lt;&gt;H30)*(I$3:I$68="P")),-1*SUMPRODUCT((P$3:P$68="")*(O$3:O$68="")*(N$3:N$68="")*(M$3:M$68="P")*(G$3:G$68=G30)*(J$3:J$68&gt;J30)*(H$3:H$68="L5")*(I$3:I$68="P")))+1,"")))))</f>
        <v/>
      </c>
      <c r="B30" s="1" t="str" cm="1">
        <f t="array" ref="B30">IF(P30&lt;&gt;"",SUMPRODUCT((P$3:P$68&lt;&gt;"")*(G$3:G$68=G30)*(J$3:J$68&gt;J30))+1,IF(O30&lt;&gt;"",SUMPRODUCT((O$3:O$68&lt;&gt;"")*(P$3:P$68="")*(G$3:G$68=G30)*(J$3:J$68&gt;J30))+SUMPRODUCT((P$3:P$68&lt;&gt;"")*(G$3:G$68=G30))+1,IF(N30&lt;&gt;"",SUMPRODUCT((N$3:N$68&lt;&gt;"")*(G$3:G$68=G30)*(J$3:J$68&gt;J30))+1,IF(M30="P",SUMPRODUCT((O$3:O$68&lt;&gt;"")*(P$3:P$68="")*(G$3:G$68=G30))+SUMPRODUCT((P$3:P$68&lt;&gt;"")*(G$3:G$68=G30))+SUMPRODUCT((N$3:N$68&lt;&gt;"")*(G$3:G$68=G30))+SUMPRODUCT((P$3:P$68="")*(O$3:O$68="")*(N$3:N$68="")*(M$3:M$68="P")*(G$3:G$68=G30)*(J$3:J$68&gt;J30))+IF(H30="L5",SUMPRODUCT((P$3:P$68="")*(O$3:O$68="")*(N$3:N$68="")*(M$3:M$68="P")*(G$3:G$68=G30)*(J$3:J$68&lt;J30)*(H$3:H$68&lt;&gt;H30)),-1*SUMPRODUCT((P$3:P$68="")*(O$3:O$68="")*(N$3:N$68="")*(M$3:M$68="P")*(G$3:G$68=G30)*(J$3:J$68&gt;J30)*(H$3:H$68="L5")))+1,""))))</f>
        <v/>
      </c>
      <c r="C30" s="35" t="s">
        <v>229</v>
      </c>
      <c r="D30" s="35" t="str">
        <f>IF(E30="","",VLOOKUP(E30,'Coaching Points'!A:B,2,0))</f>
        <v>ON</v>
      </c>
      <c r="E30" s="35" t="s">
        <v>45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>R30+IF(OR(H30="Junior",H30="Senior"),0.0002,IF(OR(H30="L7",H30="L6"),0.0001,0))+MAX(Z30,AC30)*0.0000001</f>
        <v>41.3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MAX(T30-V30,W30-Y30,Z30-AB30,AC30-AE30)</f>
        <v>41.3</v>
      </c>
      <c r="S30" s="4">
        <f>IF(R30=T30-V30,MAX(W30-Y30,Z30-AB30,AC30-AE30),IF(R30=W30-Y30,MAX(T30-V30,Z30-AB30,AC30-AE30),IF(R30=Z30-AB30,MAX(T30-V30,W30-Y30,AC30-AE30),IF(R30=AC30-AE30,MAX(T30-V30,W30-Y30,Z30-AB30),0))))</f>
        <v>0</v>
      </c>
      <c r="T30" s="32">
        <v>41.3</v>
      </c>
      <c r="U30" s="37">
        <v>5.7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$68&lt;&gt;"")*(G$3:G$68=G31)*(J$3:J$68&gt;J31)*(I$3:I$68="P"))+1,IF(O31&lt;&gt;"",SUMPRODUCT((O$3:O$68&lt;&gt;"")*(P$3:P$68="")*(G$3:G$68=G31)*(J$3:J$68&gt;J31)*(I$3:I$68="P"))+SUMPRODUCT((P$3:P$68&lt;&gt;"")*(G$3:G$68=G31)*(I$3:I$68="P"))+1,IF(N31&lt;&gt;"",SUMPRODUCT((N$3:N$68&lt;&gt;"")*(G$3:G$68=G31)*(J$3:J$68&gt;J31)*(I$3:I$68="P"))+1,IF(M31="P",SUMPRODUCT((O$3:O$68&lt;&gt;"")*(P$3:P$68="")*(G$3:G$68=G31)*(I$3:I$68="P"))+SUMPRODUCT((P$3:P$68&lt;&gt;"")*(G$3:G$68=G31)*(I$3:I$68="P"))+SUMPRODUCT((N$3:N$68&lt;&gt;"")*(G$3:G$68=G31)*(I$3:I$68="P"))+SUMPRODUCT((P$3:P$68="")*(O$3:O$68="")*(N$3:N$68="")*(M$3:M$68="P")*(G$3:G$68=G31)*(J$3:J$68&gt;J31)*(I$3:I$68="P"))+IF(H31="L5",SUMPRODUCT((P$3:P$68="")*(O$3:O$68="")*(N$3:N$68="")*(M$3:M$68="P")*(G$3:G$68=G31)*(J$3:J$68&lt;J31)*(H$3:H$68&lt;&gt;H31)*(I$3:I$68="P")),-1*SUMPRODUCT((P$3:P$68="")*(O$3:O$68="")*(N$3:N$68="")*(M$3:M$68="P")*(G$3:G$68=G31)*(J$3:J$68&gt;J31)*(H$3:H$68="L5")*(I$3:I$68="P")))+1,"")))))</f>
        <v/>
      </c>
      <c r="B31" s="1" t="str" cm="1">
        <f t="array" ref="B31">IF(P31&lt;&gt;"",SUMPRODUCT((P$3:P$68&lt;&gt;"")*(G$3:G$68=G31)*(J$3:J$68&gt;J31))+1,IF(O31&lt;&gt;"",SUMPRODUCT((O$3:O$68&lt;&gt;"")*(P$3:P$68="")*(G$3:G$68=G31)*(J$3:J$68&gt;J31))+SUMPRODUCT((P$3:P$68&lt;&gt;"")*(G$3:G$68=G31))+1,IF(N31&lt;&gt;"",SUMPRODUCT((N$3:N$68&lt;&gt;"")*(G$3:G$68=G31)*(J$3:J$68&gt;J31))+1,IF(M31="P",SUMPRODUCT((O$3:O$68&lt;&gt;"")*(P$3:P$68="")*(G$3:G$68=G31))+SUMPRODUCT((P$3:P$68&lt;&gt;"")*(G$3:G$68=G31))+SUMPRODUCT((N$3:N$68&lt;&gt;"")*(G$3:G$68=G31))+SUMPRODUCT((P$3:P$68="")*(O$3:O$68="")*(N$3:N$68="")*(M$3:M$68="P")*(G$3:G$68=G31)*(J$3:J$68&gt;J31))+IF(H31="L5",SUMPRODUCT((P$3:P$68="")*(O$3:O$68="")*(N$3:N$68="")*(M$3:M$68="P")*(G$3:G$68=G31)*(J$3:J$68&lt;J31)*(H$3:H$68&lt;&gt;H31)),-1*SUMPRODUCT((P$3:P$68="")*(O$3:O$68="")*(N$3:N$68="")*(M$3:M$68="P")*(G$3:G$68=G31)*(J$3:J$68&gt;J31)*(H$3:H$68="L5")))+1,""))))</f>
        <v/>
      </c>
      <c r="C31" s="35" t="s">
        <v>141</v>
      </c>
      <c r="D31" s="35" t="str">
        <f>IF(E31="","",VLOOKUP(E31,'Coaching Points'!A:B,2,0))</f>
        <v>SK</v>
      </c>
      <c r="E31" s="35" t="s">
        <v>329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>R31+IF(OR(H31="Junior",H31="Senior"),0.0002,IF(OR(H31="L7",H31="L6"),0.0001,0))+MAX(Z31,AC31)*0.0000001</f>
        <v>40.6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MAX(T31-V31,W31-Y31,Z31-AB31,AC31-AE31)</f>
        <v>40.6</v>
      </c>
      <c r="S31" s="4">
        <f>IF(R31=T31-V31,MAX(W31-Y31,Z31-AB31,AC31-AE31),IF(R31=W31-Y31,MAX(T31-V31,Z31-AB31,AC31-AE31),IF(R31=Z31-AB31,MAX(T31-V31,W31-Y31,AC31-AE31),IF(R31=AC31-AE31,MAX(T31-V31,W31-Y31,Z31-AB31),0))))</f>
        <v>0</v>
      </c>
      <c r="T31" s="32">
        <v>40.6</v>
      </c>
      <c r="U31" s="37">
        <v>5.8000000000000007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$68&lt;&gt;"")*(G$3:G$68=G32)*(J$3:J$68&gt;J32)*(I$3:I$68="P"))+1,IF(O32&lt;&gt;"",SUMPRODUCT((O$3:O$68&lt;&gt;"")*(P$3:P$68="")*(G$3:G$68=G32)*(J$3:J$68&gt;J32)*(I$3:I$68="P"))+SUMPRODUCT((P$3:P$68&lt;&gt;"")*(G$3:G$68=G32)*(I$3:I$68="P"))+1,IF(N32&lt;&gt;"",SUMPRODUCT((N$3:N$68&lt;&gt;"")*(G$3:G$68=G32)*(J$3:J$68&gt;J32)*(I$3:I$68="P"))+1,IF(M32="P",SUMPRODUCT((O$3:O$68&lt;&gt;"")*(P$3:P$68="")*(G$3:G$68=G32)*(I$3:I$68="P"))+SUMPRODUCT((P$3:P$68&lt;&gt;"")*(G$3:G$68=G32)*(I$3:I$68="P"))+SUMPRODUCT((N$3:N$68&lt;&gt;"")*(G$3:G$68=G32)*(I$3:I$68="P"))+SUMPRODUCT((P$3:P$68="")*(O$3:O$68="")*(N$3:N$68="")*(M$3:M$68="P")*(G$3:G$68=G32)*(J$3:J$68&gt;J32)*(I$3:I$68="P"))+IF(H32="L5",SUMPRODUCT((P$3:P$68="")*(O$3:O$68="")*(N$3:N$68="")*(M$3:M$68="P")*(G$3:G$68=G32)*(J$3:J$68&lt;J32)*(H$3:H$68&lt;&gt;H32)*(I$3:I$68="P")),-1*SUMPRODUCT((P$3:P$68="")*(O$3:O$68="")*(N$3:N$68="")*(M$3:M$68="P")*(G$3:G$68=G32)*(J$3:J$68&gt;J32)*(H$3:H$68="L5")*(I$3:I$68="P")))+1,"")))))</f>
        <v/>
      </c>
      <c r="B32" s="1" t="str" cm="1">
        <f t="array" ref="B32">IF(P32&lt;&gt;"",SUMPRODUCT((P$3:P$68&lt;&gt;"")*(G$3:G$68=G32)*(J$3:J$68&gt;J32))+1,IF(O32&lt;&gt;"",SUMPRODUCT((O$3:O$68&lt;&gt;"")*(P$3:P$68="")*(G$3:G$68=G32)*(J$3:J$68&gt;J32))+SUMPRODUCT((P$3:P$68&lt;&gt;"")*(G$3:G$68=G32))+1,IF(N32&lt;&gt;"",SUMPRODUCT((N$3:N$68&lt;&gt;"")*(G$3:G$68=G32)*(J$3:J$68&gt;J32))+1,IF(M32="P",SUMPRODUCT((O$3:O$68&lt;&gt;"")*(P$3:P$68="")*(G$3:G$68=G32))+SUMPRODUCT((P$3:P$68&lt;&gt;"")*(G$3:G$68=G32))+SUMPRODUCT((N$3:N$68&lt;&gt;"")*(G$3:G$68=G32))+SUMPRODUCT((P$3:P$68="")*(O$3:O$68="")*(N$3:N$68="")*(M$3:M$68="P")*(G$3:G$68=G32)*(J$3:J$68&gt;J32))+IF(H32="L5",SUMPRODUCT((P$3:P$68="")*(O$3:O$68="")*(N$3:N$68="")*(M$3:M$68="P")*(G$3:G$68=G32)*(J$3:J$68&lt;J32)*(H$3:H$68&lt;&gt;H32)),-1*SUMPRODUCT((P$3:P$68="")*(O$3:O$68="")*(N$3:N$68="")*(M$3:M$68="P")*(G$3:G$68=G32)*(J$3:J$68&gt;J32)*(H$3:H$68="L5")))+1,""))))</f>
        <v/>
      </c>
      <c r="C32" s="35" t="s">
        <v>182</v>
      </c>
      <c r="D32" s="35" t="str">
        <f>IF(E32="","",VLOOKUP(E32,'Coaching Points'!A:B,2,0))</f>
        <v>AB</v>
      </c>
      <c r="E32" s="35" t="s">
        <v>61</v>
      </c>
      <c r="F32" s="34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66</v>
      </c>
      <c r="I32" s="40"/>
      <c r="J32" s="4">
        <f>R32+IF(OR(H32="Junior",H32="Senior"),0.0002,IF(OR(H32="L7",H32="L6"),0.0001,0))+MAX(Z32,AC32)*0.0000001</f>
        <v>40.3001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MAX(T32-V32,W32-Y32,Z32-AB32,AC32-AE32)</f>
        <v>40.299999999999997</v>
      </c>
      <c r="S32" s="4">
        <f>IF(R32=T32-V32,MAX(W32-Y32,Z32-AB32,AC32-AE32),IF(R32=W32-Y32,MAX(T32-V32,Z32-AB32,AC32-AE32),IF(R32=Z32-AB32,MAX(T32-V32,W32-Y32,AC32-AE32),IF(R32=AC32-AE32,MAX(T32-V32,W32-Y32,Z32-AB32),0))))</f>
        <v>0</v>
      </c>
      <c r="T32" s="32">
        <v>40.299999999999997</v>
      </c>
      <c r="U32" s="37">
        <v>4.2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$68&lt;&gt;"")*(G$3:G$68=G33)*(J$3:J$68&gt;J33)*(I$3:I$68="P"))+1,IF(O33&lt;&gt;"",SUMPRODUCT((O$3:O$68&lt;&gt;"")*(P$3:P$68="")*(G$3:G$68=G33)*(J$3:J$68&gt;J33)*(I$3:I$68="P"))+SUMPRODUCT((P$3:P$68&lt;&gt;"")*(G$3:G$68=G33)*(I$3:I$68="P"))+1,IF(N33&lt;&gt;"",SUMPRODUCT((N$3:N$68&lt;&gt;"")*(G$3:G$68=G33)*(J$3:J$68&gt;J33)*(I$3:I$68="P"))+1,IF(M33="P",SUMPRODUCT((O$3:O$68&lt;&gt;"")*(P$3:P$68="")*(G$3:G$68=G33)*(I$3:I$68="P"))+SUMPRODUCT((P$3:P$68&lt;&gt;"")*(G$3:G$68=G33)*(I$3:I$68="P"))+SUMPRODUCT((N$3:N$68&lt;&gt;"")*(G$3:G$68=G33)*(I$3:I$68="P"))+SUMPRODUCT((P$3:P$68="")*(O$3:O$68="")*(N$3:N$68="")*(M$3:M$68="P")*(G$3:G$68=G33)*(J$3:J$68&gt;J33)*(I$3:I$68="P"))+IF(H33="L5",SUMPRODUCT((P$3:P$68="")*(O$3:O$68="")*(N$3:N$68="")*(M$3:M$68="P")*(G$3:G$68=G33)*(J$3:J$68&lt;J33)*(H$3:H$68&lt;&gt;H33)*(I$3:I$68="P")),-1*SUMPRODUCT((P$3:P$68="")*(O$3:O$68="")*(N$3:N$68="")*(M$3:M$68="P")*(G$3:G$68=G33)*(J$3:J$68&gt;J33)*(H$3:H$68="L5")*(I$3:I$68="P")))+1,"")))))</f>
        <v/>
      </c>
      <c r="B33" s="1" t="str" cm="1">
        <f t="array" ref="B33">IF(P33&lt;&gt;"",SUMPRODUCT((P$3:P$68&lt;&gt;"")*(G$3:G$68=G33)*(J$3:J$68&gt;J33))+1,IF(O33&lt;&gt;"",SUMPRODUCT((O$3:O$68&lt;&gt;"")*(P$3:P$68="")*(G$3:G$68=G33)*(J$3:J$68&gt;J33))+SUMPRODUCT((P$3:P$68&lt;&gt;"")*(G$3:G$68=G33))+1,IF(N33&lt;&gt;"",SUMPRODUCT((N$3:N$68&lt;&gt;"")*(G$3:G$68=G33)*(J$3:J$68&gt;J33))+1,IF(M33="P",SUMPRODUCT((O$3:O$68&lt;&gt;"")*(P$3:P$68="")*(G$3:G$68=G33))+SUMPRODUCT((P$3:P$68&lt;&gt;"")*(G$3:G$68=G33))+SUMPRODUCT((N$3:N$68&lt;&gt;"")*(G$3:G$68=G33))+SUMPRODUCT((P$3:P$68="")*(O$3:O$68="")*(N$3:N$68="")*(M$3:M$68="P")*(G$3:G$68=G33)*(J$3:J$68&gt;J33))+IF(H33="L5",SUMPRODUCT((P$3:P$68="")*(O$3:O$68="")*(N$3:N$68="")*(M$3:M$68="P")*(G$3:G$68=G33)*(J$3:J$68&lt;J33)*(H$3:H$68&lt;&gt;H33)),-1*SUMPRODUCT((P$3:P$68="")*(O$3:O$68="")*(N$3:N$68="")*(M$3:M$68="P")*(G$3:G$68=G33)*(J$3:J$68&gt;J33)*(H$3:H$68="L5")))+1,""))))</f>
        <v/>
      </c>
      <c r="C33" s="35" t="s">
        <v>258</v>
      </c>
      <c r="D33" s="35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66</v>
      </c>
      <c r="I33" s="40"/>
      <c r="J33" s="4">
        <f>R33+IF(OR(H33="Junior",H33="Senior"),0.0002,IF(OR(H33="L7",H33="L6"),0.0001,0))+MAX(Z33,AC33)*0.0000001</f>
        <v>40.200100000000006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MAX(T33-V33,W33-Y33,Z33-AB33,AC33-AE33)</f>
        <v>40.200000000000003</v>
      </c>
      <c r="S33" s="4">
        <f>IF(R33=T33-V33,MAX(W33-Y33,Z33-AB33,AC33-AE33),IF(R33=W33-Y33,MAX(T33-V33,Z33-AB33,AC33-AE33),IF(R33=Z33-AB33,MAX(T33-V33,W33-Y33,AC33-AE33),IF(R33=AC33-AE33,MAX(T33-V33,W33-Y33,Z33-AB33),0))))</f>
        <v>0</v>
      </c>
      <c r="T33" s="32">
        <v>40.200000000000003</v>
      </c>
      <c r="U33" s="37">
        <v>4.2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$68&lt;&gt;"")*(G$3:G$68=G34)*(J$3:J$68&gt;J34)*(I$3:I$68="P"))+1,IF(O34&lt;&gt;"",SUMPRODUCT((O$3:O$68&lt;&gt;"")*(P$3:P$68="")*(G$3:G$68=G34)*(J$3:J$68&gt;J34)*(I$3:I$68="P"))+SUMPRODUCT((P$3:P$68&lt;&gt;"")*(G$3:G$68=G34)*(I$3:I$68="P"))+1,IF(N34&lt;&gt;"",SUMPRODUCT((N$3:N$68&lt;&gt;"")*(G$3:G$68=G34)*(J$3:J$68&gt;J34)*(I$3:I$68="P"))+1,IF(M34="P",SUMPRODUCT((O$3:O$68&lt;&gt;"")*(P$3:P$68="")*(G$3:G$68=G34)*(I$3:I$68="P"))+SUMPRODUCT((P$3:P$68&lt;&gt;"")*(G$3:G$68=G34)*(I$3:I$68="P"))+SUMPRODUCT((N$3:N$68&lt;&gt;"")*(G$3:G$68=G34)*(I$3:I$68="P"))+SUMPRODUCT((P$3:P$68="")*(O$3:O$68="")*(N$3:N$68="")*(M$3:M$68="P")*(G$3:G$68=G34)*(J$3:J$68&gt;J34)*(I$3:I$68="P"))+IF(H34="L5",SUMPRODUCT((P$3:P$68="")*(O$3:O$68="")*(N$3:N$68="")*(M$3:M$68="P")*(G$3:G$68=G34)*(J$3:J$68&lt;J34)*(H$3:H$68&lt;&gt;H34)*(I$3:I$68="P")),-1*SUMPRODUCT((P$3:P$68="")*(O$3:O$68="")*(N$3:N$68="")*(M$3:M$68="P")*(G$3:G$68=G34)*(J$3:J$68&gt;J34)*(H$3:H$68="L5")*(I$3:I$68="P")))+1,"")))))</f>
        <v/>
      </c>
      <c r="B34" s="1" t="str" cm="1">
        <f t="array" ref="B34">IF(P34&lt;&gt;"",SUMPRODUCT((P$3:P$68&lt;&gt;"")*(G$3:G$68=G34)*(J$3:J$68&gt;J34))+1,IF(O34&lt;&gt;"",SUMPRODUCT((O$3:O$68&lt;&gt;"")*(P$3:P$68="")*(G$3:G$68=G34)*(J$3:J$68&gt;J34))+SUMPRODUCT((P$3:P$68&lt;&gt;"")*(G$3:G$68=G34))+1,IF(N34&lt;&gt;"",SUMPRODUCT((N$3:N$68&lt;&gt;"")*(G$3:G$68=G34)*(J$3:J$68&gt;J34))+1,IF(M34="P",SUMPRODUCT((O$3:O$68&lt;&gt;"")*(P$3:P$68="")*(G$3:G$68=G34))+SUMPRODUCT((P$3:P$68&lt;&gt;"")*(G$3:G$68=G34))+SUMPRODUCT((N$3:N$68&lt;&gt;"")*(G$3:G$68=G34))+SUMPRODUCT((P$3:P$68="")*(O$3:O$68="")*(N$3:N$68="")*(M$3:M$68="P")*(G$3:G$68=G34)*(J$3:J$68&gt;J34))+IF(H34="L5",SUMPRODUCT((P$3:P$68="")*(O$3:O$68="")*(N$3:N$68="")*(M$3:M$68="P")*(G$3:G$68=G34)*(J$3:J$68&lt;J34)*(H$3:H$68&lt;&gt;H34)),-1*SUMPRODUCT((P$3:P$68="")*(O$3:O$68="")*(N$3:N$68="")*(M$3:M$68="P")*(G$3:G$68=G34)*(J$3:J$68&gt;J34)*(H$3:H$68="L5")))+1,""))))</f>
        <v/>
      </c>
      <c r="C34" s="35" t="s">
        <v>108</v>
      </c>
      <c r="D34" s="35" t="str">
        <f>IF(E34="","",VLOOKUP(E34,'Coaching Points'!A:B,2,0))</f>
        <v>AB</v>
      </c>
      <c r="E34" s="35" t="s">
        <v>28</v>
      </c>
      <c r="F34" s="34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64</v>
      </c>
      <c r="I34" s="40"/>
      <c r="J34" s="4">
        <f>R34+IF(OR(H34="Junior",H34="Senior"),0.0002,IF(OR(H34="L7",H34="L6"),0.0001,0))+MAX(Z34,AC34)*0.0000001</f>
        <v>39.5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MAX(T34-V34,W34-Y34,Z34-AB34,AC34-AE34)</f>
        <v>39.5</v>
      </c>
      <c r="S34" s="4">
        <f>IF(R34=T34-V34,MAX(W34-Y34,Z34-AB34,AC34-AE34),IF(R34=W34-Y34,MAX(T34-V34,Z34-AB34,AC34-AE34),IF(R34=Z34-AB34,MAX(T34-V34,W34-Y34,AC34-AE34),IF(R34=AC34-AE34,MAX(T34-V34,W34-Y34,Z34-AB34),0))))</f>
        <v>0</v>
      </c>
      <c r="T34" s="32">
        <v>39.5</v>
      </c>
      <c r="U34" s="37">
        <v>4.8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$68&lt;&gt;"")*(G$3:G$68=G35)*(J$3:J$68&gt;J35)*(I$3:I$68="P"))+1,IF(O35&lt;&gt;"",SUMPRODUCT((O$3:O$68&lt;&gt;"")*(P$3:P$68="")*(G$3:G$68=G35)*(J$3:J$68&gt;J35)*(I$3:I$68="P"))+SUMPRODUCT((P$3:P$68&lt;&gt;"")*(G$3:G$68=G35)*(I$3:I$68="P"))+1,IF(N35&lt;&gt;"",SUMPRODUCT((N$3:N$68&lt;&gt;"")*(G$3:G$68=G35)*(J$3:J$68&gt;J35)*(I$3:I$68="P"))+1,IF(M35="P",SUMPRODUCT((O$3:O$68&lt;&gt;"")*(P$3:P$68="")*(G$3:G$68=G35)*(I$3:I$68="P"))+SUMPRODUCT((P$3:P$68&lt;&gt;"")*(G$3:G$68=G35)*(I$3:I$68="P"))+SUMPRODUCT((N$3:N$68&lt;&gt;"")*(G$3:G$68=G35)*(I$3:I$68="P"))+SUMPRODUCT((P$3:P$68="")*(O$3:O$68="")*(N$3:N$68="")*(M$3:M$68="P")*(G$3:G$68=G35)*(J$3:J$68&gt;J35)*(I$3:I$68="P"))+IF(H35="L5",SUMPRODUCT((P$3:P$68="")*(O$3:O$68="")*(N$3:N$68="")*(M$3:M$68="P")*(G$3:G$68=G35)*(J$3:J$68&lt;J35)*(H$3:H$68&lt;&gt;H35)*(I$3:I$68="P")),-1*SUMPRODUCT((P$3:P$68="")*(O$3:O$68="")*(N$3:N$68="")*(M$3:M$68="P")*(G$3:G$68=G35)*(J$3:J$68&gt;J35)*(H$3:H$68="L5")*(I$3:I$68="P")))+1,"")))))</f>
        <v/>
      </c>
      <c r="B35" s="1" t="str" cm="1">
        <f t="array" ref="B35">IF(P35&lt;&gt;"",SUMPRODUCT((P$3:P$68&lt;&gt;"")*(G$3:G$68=G35)*(J$3:J$68&gt;J35))+1,IF(O35&lt;&gt;"",SUMPRODUCT((O$3:O$68&lt;&gt;"")*(P$3:P$68="")*(G$3:G$68=G35)*(J$3:J$68&gt;J35))+SUMPRODUCT((P$3:P$68&lt;&gt;"")*(G$3:G$68=G35))+1,IF(N35&lt;&gt;"",SUMPRODUCT((N$3:N$68&lt;&gt;"")*(G$3:G$68=G35)*(J$3:J$68&gt;J35))+1,IF(M35="P",SUMPRODUCT((O$3:O$68&lt;&gt;"")*(P$3:P$68="")*(G$3:G$68=G35))+SUMPRODUCT((P$3:P$68&lt;&gt;"")*(G$3:G$68=G35))+SUMPRODUCT((N$3:N$68&lt;&gt;"")*(G$3:G$68=G35))+SUMPRODUCT((P$3:P$68="")*(O$3:O$68="")*(N$3:N$68="")*(M$3:M$68="P")*(G$3:G$68=G35)*(J$3:J$68&gt;J35))+IF(H35="L5",SUMPRODUCT((P$3:P$68="")*(O$3:O$68="")*(N$3:N$68="")*(M$3:M$68="P")*(G$3:G$68=G35)*(J$3:J$68&lt;J35)*(H$3:H$68&lt;&gt;H35)),-1*SUMPRODUCT((P$3:P$68="")*(O$3:O$68="")*(N$3:N$68="")*(M$3:M$68="P")*(G$3:G$68=G35)*(J$3:J$68&gt;J35)*(H$3:H$68="L5")))+1,""))))</f>
        <v/>
      </c>
      <c r="C35" s="35" t="s">
        <v>291</v>
      </c>
      <c r="D35" s="35" t="str">
        <f>IF(E35="","",VLOOKUP(E35,'Coaching Points'!A:B,2,0))</f>
        <v>AB</v>
      </c>
      <c r="E35" s="35" t="s">
        <v>56</v>
      </c>
      <c r="F35" s="34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>R35+IF(OR(H35="Junior",H35="Senior"),0.0002,IF(OR(H35="L7",H35="L6"),0.0001,0))+MAX(Z35,AC35)*0.0000001</f>
        <v>39.4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MAX(T35-V35,W35-Y35,Z35-AB35,AC35-AE35)</f>
        <v>39.4</v>
      </c>
      <c r="S35" s="4">
        <f>IF(R35=T35-V35,MAX(W35-Y35,Z35-AB35,AC35-AE35),IF(R35=W35-Y35,MAX(T35-V35,Z35-AB35,AC35-AE35),IF(R35=Z35-AB35,MAX(T35-V35,W35-Y35,AC35-AE35),IF(R35=AC35-AE35,MAX(T35-V35,W35-Y35,Z35-AB35),0))))</f>
        <v>0</v>
      </c>
      <c r="T35" s="32">
        <v>39.4</v>
      </c>
      <c r="U35" s="37">
        <v>4.4000000000000004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$68&lt;&gt;"")*(G$3:G$68=G36)*(J$3:J$68&gt;J36)*(I$3:I$68="P"))+1,IF(O36&lt;&gt;"",SUMPRODUCT((O$3:O$68&lt;&gt;"")*(P$3:P$68="")*(G$3:G$68=G36)*(J$3:J$68&gt;J36)*(I$3:I$68="P"))+SUMPRODUCT((P$3:P$68&lt;&gt;"")*(G$3:G$68=G36)*(I$3:I$68="P"))+1,IF(N36&lt;&gt;"",SUMPRODUCT((N$3:N$68&lt;&gt;"")*(G$3:G$68=G36)*(J$3:J$68&gt;J36)*(I$3:I$68="P"))+1,IF(M36="P",SUMPRODUCT((O$3:O$68&lt;&gt;"")*(P$3:P$68="")*(G$3:G$68=G36)*(I$3:I$68="P"))+SUMPRODUCT((P$3:P$68&lt;&gt;"")*(G$3:G$68=G36)*(I$3:I$68="P"))+SUMPRODUCT((N$3:N$68&lt;&gt;"")*(G$3:G$68=G36)*(I$3:I$68="P"))+SUMPRODUCT((P$3:P$68="")*(O$3:O$68="")*(N$3:N$68="")*(M$3:M$68="P")*(G$3:G$68=G36)*(J$3:J$68&gt;J36)*(I$3:I$68="P"))+IF(H36="L5",SUMPRODUCT((P$3:P$68="")*(O$3:O$68="")*(N$3:N$68="")*(M$3:M$68="P")*(G$3:G$68=G36)*(J$3:J$68&lt;J36)*(H$3:H$68&lt;&gt;H36)*(I$3:I$68="P")),-1*SUMPRODUCT((P$3:P$68="")*(O$3:O$68="")*(N$3:N$68="")*(M$3:M$68="P")*(G$3:G$68=G36)*(J$3:J$68&gt;J36)*(H$3:H$68="L5")*(I$3:I$68="P")))+1,"")))))</f>
        <v/>
      </c>
      <c r="B36" s="1" t="str" cm="1">
        <f t="array" ref="B36">IF(P36&lt;&gt;"",SUMPRODUCT((P$3:P$68&lt;&gt;"")*(G$3:G$68=G36)*(J$3:J$68&gt;J36))+1,IF(O36&lt;&gt;"",SUMPRODUCT((O$3:O$68&lt;&gt;"")*(P$3:P$68="")*(G$3:G$68=G36)*(J$3:J$68&gt;J36))+SUMPRODUCT((P$3:P$68&lt;&gt;"")*(G$3:G$68=G36))+1,IF(N36&lt;&gt;"",SUMPRODUCT((N$3:N$68&lt;&gt;"")*(G$3:G$68=G36)*(J$3:J$68&gt;J36))+1,IF(M36="P",SUMPRODUCT((O$3:O$68&lt;&gt;"")*(P$3:P$68="")*(G$3:G$68=G36))+SUMPRODUCT((P$3:P$68&lt;&gt;"")*(G$3:G$68=G36))+SUMPRODUCT((N$3:N$68&lt;&gt;"")*(G$3:G$68=G36))+SUMPRODUCT((P$3:P$68="")*(O$3:O$68="")*(N$3:N$68="")*(M$3:M$68="P")*(G$3:G$68=G36)*(J$3:J$68&gt;J36))+IF(H36="L5",SUMPRODUCT((P$3:P$68="")*(O$3:O$68="")*(N$3:N$68="")*(M$3:M$68="P")*(G$3:G$68=G36)*(J$3:J$68&lt;J36)*(H$3:H$68&lt;&gt;H36)),-1*SUMPRODUCT((P$3:P$68="")*(O$3:O$68="")*(N$3:N$68="")*(M$3:M$68="P")*(G$3:G$68=G36)*(J$3:J$68&gt;J36)*(H$3:H$68="L5")))+1,""))))</f>
        <v/>
      </c>
      <c r="C36" s="35" t="s">
        <v>116</v>
      </c>
      <c r="D36" s="35" t="s">
        <v>147</v>
      </c>
      <c r="E36" s="35" t="s">
        <v>342</v>
      </c>
      <c r="F36" s="34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>R36+IF(OR(H36="Junior",H36="Senior"),0.0002,IF(OR(H36="L7",H36="L6"),0.0001,0))+MAX(Z36,AC36)*0.0000001</f>
        <v>39.200000000000003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MAX(T36-V36,W36-Y36,Z36-AB36,AC36-AE36)</f>
        <v>39.200000000000003</v>
      </c>
      <c r="S36" s="4">
        <f>IF(R36=T36-V36,MAX(W36-Y36,Z36-AB36,AC36-AE36),IF(R36=W36-Y36,MAX(T36-V36,Z36-AB36,AC36-AE36),IF(R36=Z36-AB36,MAX(T36-V36,W36-Y36,AC36-AE36),IF(R36=AC36-AE36,MAX(T36-V36,W36-Y36,Z36-AB36),0))))</f>
        <v>0</v>
      </c>
      <c r="T36" s="32">
        <v>39.200000000000003</v>
      </c>
      <c r="U36" s="37">
        <v>3.5999999999999996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$68&lt;&gt;"")*(G$3:G$68=G37)*(J$3:J$68&gt;J37)*(I$3:I$68="P"))+1,IF(O37&lt;&gt;"",SUMPRODUCT((O$3:O$68&lt;&gt;"")*(P$3:P$68="")*(G$3:G$68=G37)*(J$3:J$68&gt;J37)*(I$3:I$68="P"))+SUMPRODUCT((P$3:P$68&lt;&gt;"")*(G$3:G$68=G37)*(I$3:I$68="P"))+1,IF(N37&lt;&gt;"",SUMPRODUCT((N$3:N$68&lt;&gt;"")*(G$3:G$68=G37)*(J$3:J$68&gt;J37)*(I$3:I$68="P"))+1,IF(M37="P",SUMPRODUCT((O$3:O$68&lt;&gt;"")*(P$3:P$68="")*(G$3:G$68=G37)*(I$3:I$68="P"))+SUMPRODUCT((P$3:P$68&lt;&gt;"")*(G$3:G$68=G37)*(I$3:I$68="P"))+SUMPRODUCT((N$3:N$68&lt;&gt;"")*(G$3:G$68=G37)*(I$3:I$68="P"))+SUMPRODUCT((P$3:P$68="")*(O$3:O$68="")*(N$3:N$68="")*(M$3:M$68="P")*(G$3:G$68=G37)*(J$3:J$68&gt;J37)*(I$3:I$68="P"))+IF(H37="L5",SUMPRODUCT((P$3:P$68="")*(O$3:O$68="")*(N$3:N$68="")*(M$3:M$68="P")*(G$3:G$68=G37)*(J$3:J$68&lt;J37)*(H$3:H$68&lt;&gt;H37)*(I$3:I$68="P")),-1*SUMPRODUCT((P$3:P$68="")*(O$3:O$68="")*(N$3:N$68="")*(M$3:M$68="P")*(G$3:G$68=G37)*(J$3:J$68&gt;J37)*(H$3:H$68="L5")*(I$3:I$68="P")))+1,"")))))</f>
        <v/>
      </c>
      <c r="B37" s="1" t="str" cm="1">
        <f t="array" ref="B37">IF(P37&lt;&gt;"",SUMPRODUCT((P$3:P$68&lt;&gt;"")*(G$3:G$68=G37)*(J$3:J$68&gt;J37))+1,IF(O37&lt;&gt;"",SUMPRODUCT((O$3:O$68&lt;&gt;"")*(P$3:P$68="")*(G$3:G$68=G37)*(J$3:J$68&gt;J37))+SUMPRODUCT((P$3:P$68&lt;&gt;"")*(G$3:G$68=G37))+1,IF(N37&lt;&gt;"",SUMPRODUCT((N$3:N$68&lt;&gt;"")*(G$3:G$68=G37)*(J$3:J$68&gt;J37))+1,IF(M37="P",SUMPRODUCT((O$3:O$68&lt;&gt;"")*(P$3:P$68="")*(G$3:G$68=G37))+SUMPRODUCT((P$3:P$68&lt;&gt;"")*(G$3:G$68=G37))+SUMPRODUCT((N$3:N$68&lt;&gt;"")*(G$3:G$68=G37))+SUMPRODUCT((P$3:P$68="")*(O$3:O$68="")*(N$3:N$68="")*(M$3:M$68="P")*(G$3:G$68=G37)*(J$3:J$68&gt;J37))+IF(H37="L5",SUMPRODUCT((P$3:P$68="")*(O$3:O$68="")*(N$3:N$68="")*(M$3:M$68="P")*(G$3:G$68=G37)*(J$3:J$68&lt;J37)*(H$3:H$68&lt;&gt;H37)),-1*SUMPRODUCT((P$3:P$68="")*(O$3:O$68="")*(N$3:N$68="")*(M$3:M$68="P")*(G$3:G$68=G37)*(J$3:J$68&gt;J37)*(H$3:H$68="L5")))+1,""))))</f>
        <v/>
      </c>
      <c r="C37" s="35" t="s">
        <v>228</v>
      </c>
      <c r="D37" s="35" t="str">
        <f>IF(E37="","",VLOOKUP(E37,'Coaching Points'!A:B,2,0))</f>
        <v>BC</v>
      </c>
      <c r="E37" s="35" t="s">
        <v>60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66</v>
      </c>
      <c r="I37" s="40"/>
      <c r="J37" s="4">
        <f>R37+IF(OR(H37="Junior",H37="Senior"),0.0002,IF(OR(H37="L7",H37="L6"),0.0001,0))+MAX(Z37,AC37)*0.0000001</f>
        <v>39.000100000000003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MAX(T37-V37,W37-Y37,Z37-AB37,AC37-AE37)</f>
        <v>39</v>
      </c>
      <c r="S37" s="4">
        <f>IF(R37=T37-V37,MAX(W37-Y37,Z37-AB37,AC37-AE37),IF(R37=W37-Y37,MAX(T37-V37,Z37-AB37,AC37-AE37),IF(R37=Z37-AB37,MAX(T37-V37,W37-Y37,AC37-AE37),IF(R37=AC37-AE37,MAX(T37-V37,W37-Y37,Z37-AB37),0))))</f>
        <v>0</v>
      </c>
      <c r="T37" s="32">
        <v>39</v>
      </c>
      <c r="U37" s="37">
        <v>6.4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$68&lt;&gt;"")*(G$3:G$68=G38)*(J$3:J$68&gt;J38)*(I$3:I$68="P"))+1,IF(O38&lt;&gt;"",SUMPRODUCT((O$3:O$68&lt;&gt;"")*(P$3:P$68="")*(G$3:G$68=G38)*(J$3:J$68&gt;J38)*(I$3:I$68="P"))+SUMPRODUCT((P$3:P$68&lt;&gt;"")*(G$3:G$68=G38)*(I$3:I$68="P"))+1,IF(N38&lt;&gt;"",SUMPRODUCT((N$3:N$68&lt;&gt;"")*(G$3:G$68=G38)*(J$3:J$68&gt;J38)*(I$3:I$68="P"))+1,IF(M38="P",SUMPRODUCT((O$3:O$68&lt;&gt;"")*(P$3:P$68="")*(G$3:G$68=G38)*(I$3:I$68="P"))+SUMPRODUCT((P$3:P$68&lt;&gt;"")*(G$3:G$68=G38)*(I$3:I$68="P"))+SUMPRODUCT((N$3:N$68&lt;&gt;"")*(G$3:G$68=G38)*(I$3:I$68="P"))+SUMPRODUCT((P$3:P$68="")*(O$3:O$68="")*(N$3:N$68="")*(M$3:M$68="P")*(G$3:G$68=G38)*(J$3:J$68&gt;J38)*(I$3:I$68="P"))+IF(H38="L5",SUMPRODUCT((P$3:P$68="")*(O$3:O$68="")*(N$3:N$68="")*(M$3:M$68="P")*(G$3:G$68=G38)*(J$3:J$68&lt;J38)*(H$3:H$68&lt;&gt;H38)*(I$3:I$68="P")),-1*SUMPRODUCT((P$3:P$68="")*(O$3:O$68="")*(N$3:N$68="")*(M$3:M$68="P")*(G$3:G$68=G38)*(J$3:J$68&gt;J38)*(H$3:H$68="L5")*(I$3:I$68="P")))+1,"")))))</f>
        <v/>
      </c>
      <c r="B38" s="1" t="str" cm="1">
        <f t="array" ref="B38">IF(P38&lt;&gt;"",SUMPRODUCT((P$3:P$68&lt;&gt;"")*(G$3:G$68=G38)*(J$3:J$68&gt;J38))+1,IF(O38&lt;&gt;"",SUMPRODUCT((O$3:O$68&lt;&gt;"")*(P$3:P$68="")*(G$3:G$68=G38)*(J$3:J$68&gt;J38))+SUMPRODUCT((P$3:P$68&lt;&gt;"")*(G$3:G$68=G38))+1,IF(N38&lt;&gt;"",SUMPRODUCT((N$3:N$68&lt;&gt;"")*(G$3:G$68=G38)*(J$3:J$68&gt;J38))+1,IF(M38="P",SUMPRODUCT((O$3:O$68&lt;&gt;"")*(P$3:P$68="")*(G$3:G$68=G38))+SUMPRODUCT((P$3:P$68&lt;&gt;"")*(G$3:G$68=G38))+SUMPRODUCT((N$3:N$68&lt;&gt;"")*(G$3:G$68=G38))+SUMPRODUCT((P$3:P$68="")*(O$3:O$68="")*(N$3:N$68="")*(M$3:M$68="P")*(G$3:G$68=G38)*(J$3:J$68&gt;J38))+IF(H38="L5",SUMPRODUCT((P$3:P$68="")*(O$3:O$68="")*(N$3:N$68="")*(M$3:M$68="P")*(G$3:G$68=G38)*(J$3:J$68&lt;J38)*(H$3:H$68&lt;&gt;H38)),-1*SUMPRODUCT((P$3:P$68="")*(O$3:O$68="")*(N$3:N$68="")*(M$3:M$68="P")*(G$3:G$68=G38)*(J$3:J$68&gt;J38)*(H$3:H$68="L5")))+1,""))))</f>
        <v/>
      </c>
      <c r="C38" s="35" t="s">
        <v>188</v>
      </c>
      <c r="D38" s="35" t="s">
        <v>148</v>
      </c>
      <c r="E38" s="35" t="s">
        <v>61</v>
      </c>
      <c r="F38" s="34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>R38+IF(OR(H38="Junior",H38="Senior"),0.0002,IF(OR(H38="L7",H38="L6"),0.0001,0))+MAX(Z38,AC38)*0.0000001</f>
        <v>38.6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MAX(T38-V38,W38-Y38,Z38-AB38,AC38-AE38)</f>
        <v>38.6</v>
      </c>
      <c r="S38" s="4">
        <f>IF(R38=T38-V38,MAX(W38-Y38,Z38-AB38,AC38-AE38),IF(R38=W38-Y38,MAX(T38-V38,Z38-AB38,AC38-AE38),IF(R38=Z38-AB38,MAX(T38-V38,W38-Y38,AC38-AE38),IF(R38=AC38-AE38,MAX(T38-V38,W38-Y38,Z38-AB38),0))))</f>
        <v>0</v>
      </c>
      <c r="T38" s="32">
        <v>38.6</v>
      </c>
      <c r="U38" s="37">
        <v>3.4000000000000004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$68&lt;&gt;"")*(G$3:G$68=G39)*(J$3:J$68&gt;J39)*(I$3:I$68="P"))+1,IF(O39&lt;&gt;"",SUMPRODUCT((O$3:O$68&lt;&gt;"")*(P$3:P$68="")*(G$3:G$68=G39)*(J$3:J$68&gt;J39)*(I$3:I$68="P"))+SUMPRODUCT((P$3:P$68&lt;&gt;"")*(G$3:G$68=G39)*(I$3:I$68="P"))+1,IF(N39&lt;&gt;"",SUMPRODUCT((N$3:N$68&lt;&gt;"")*(G$3:G$68=G39)*(J$3:J$68&gt;J39)*(I$3:I$68="P"))+1,IF(M39="P",SUMPRODUCT((O$3:O$68&lt;&gt;"")*(P$3:P$68="")*(G$3:G$68=G39)*(I$3:I$68="P"))+SUMPRODUCT((P$3:P$68&lt;&gt;"")*(G$3:G$68=G39)*(I$3:I$68="P"))+SUMPRODUCT((N$3:N$68&lt;&gt;"")*(G$3:G$68=G39)*(I$3:I$68="P"))+SUMPRODUCT((P$3:P$68="")*(O$3:O$68="")*(N$3:N$68="")*(M$3:M$68="P")*(G$3:G$68=G39)*(J$3:J$68&gt;J39)*(I$3:I$68="P"))+IF(H39="L5",SUMPRODUCT((P$3:P$68="")*(O$3:O$68="")*(N$3:N$68="")*(M$3:M$68="P")*(G$3:G$68=G39)*(J$3:J$68&lt;J39)*(H$3:H$68&lt;&gt;H39)*(I$3:I$68="P")),-1*SUMPRODUCT((P$3:P$68="")*(O$3:O$68="")*(N$3:N$68="")*(M$3:M$68="P")*(G$3:G$68=G39)*(J$3:J$68&gt;J39)*(H$3:H$68="L5")*(I$3:I$68="P")))+1,"")))))</f>
        <v/>
      </c>
      <c r="B39" s="1" t="str" cm="1">
        <f t="array" ref="B39">IF(P39&lt;&gt;"",SUMPRODUCT((P$3:P$68&lt;&gt;"")*(G$3:G$68=G39)*(J$3:J$68&gt;J39))+1,IF(O39&lt;&gt;"",SUMPRODUCT((O$3:O$68&lt;&gt;"")*(P$3:P$68="")*(G$3:G$68=G39)*(J$3:J$68&gt;J39))+SUMPRODUCT((P$3:P$68&lt;&gt;"")*(G$3:G$68=G39))+1,IF(N39&lt;&gt;"",SUMPRODUCT((N$3:N$68&lt;&gt;"")*(G$3:G$68=G39)*(J$3:J$68&gt;J39))+1,IF(M39="P",SUMPRODUCT((O$3:O$68&lt;&gt;"")*(P$3:P$68="")*(G$3:G$68=G39))+SUMPRODUCT((P$3:P$68&lt;&gt;"")*(G$3:G$68=G39))+SUMPRODUCT((N$3:N$68&lt;&gt;"")*(G$3:G$68=G39))+SUMPRODUCT((P$3:P$68="")*(O$3:O$68="")*(N$3:N$68="")*(M$3:M$68="P")*(G$3:G$68=G39)*(J$3:J$68&gt;J39))+IF(H39="L5",SUMPRODUCT((P$3:P$68="")*(O$3:O$68="")*(N$3:N$68="")*(M$3:M$68="P")*(G$3:G$68=G39)*(J$3:J$68&lt;J39)*(H$3:H$68&lt;&gt;H39)),-1*SUMPRODUCT((P$3:P$68="")*(O$3:O$68="")*(N$3:N$68="")*(M$3:M$68="P")*(G$3:G$68=G39)*(J$3:J$68&gt;J39)*(H$3:H$68="L5")))+1,""))))</f>
        <v/>
      </c>
      <c r="C39" s="35" t="s">
        <v>313</v>
      </c>
      <c r="D39" s="35" t="s">
        <v>150</v>
      </c>
      <c r="E39" s="35" t="s">
        <v>198</v>
      </c>
      <c r="F39" s="34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64</v>
      </c>
      <c r="I39" s="40"/>
      <c r="J39" s="4">
        <f>R39+IF(OR(H39="Junior",H39="Senior"),0.0002,IF(OR(H39="L7",H39="L6"),0.0001,0))+MAX(Z39,AC39)*0.0000001</f>
        <v>38.5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MAX(T39-V39,W39-Y39,Z39-AB39,AC39-AE39)</f>
        <v>38.5</v>
      </c>
      <c r="S39" s="4">
        <f>IF(R39=T39-V39,MAX(W39-Y39,Z39-AB39,AC39-AE39),IF(R39=W39-Y39,MAX(T39-V39,Z39-AB39,AC39-AE39),IF(R39=Z39-AB39,MAX(T39-V39,W39-Y39,AC39-AE39),IF(R39=AC39-AE39,MAX(T39-V39,W39-Y39,Z39-AB39),0))))</f>
        <v>0</v>
      </c>
      <c r="T39" s="32">
        <v>38.5</v>
      </c>
      <c r="U39" s="37">
        <v>3.9000000000000004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$68&lt;&gt;"")*(G$3:G$68=G40)*(J$3:J$68&gt;J40)*(I$3:I$68="P"))+1,IF(O40&lt;&gt;"",SUMPRODUCT((O$3:O$68&lt;&gt;"")*(P$3:P$68="")*(G$3:G$68=G40)*(J$3:J$68&gt;J40)*(I$3:I$68="P"))+SUMPRODUCT((P$3:P$68&lt;&gt;"")*(G$3:G$68=G40)*(I$3:I$68="P"))+1,IF(N40&lt;&gt;"",SUMPRODUCT((N$3:N$68&lt;&gt;"")*(G$3:G$68=G40)*(J$3:J$68&gt;J40)*(I$3:I$68="P"))+1,IF(M40="P",SUMPRODUCT((O$3:O$68&lt;&gt;"")*(P$3:P$68="")*(G$3:G$68=G40)*(I$3:I$68="P"))+SUMPRODUCT((P$3:P$68&lt;&gt;"")*(G$3:G$68=G40)*(I$3:I$68="P"))+SUMPRODUCT((N$3:N$68&lt;&gt;"")*(G$3:G$68=G40)*(I$3:I$68="P"))+SUMPRODUCT((P$3:P$68="")*(O$3:O$68="")*(N$3:N$68="")*(M$3:M$68="P")*(G$3:G$68=G40)*(J$3:J$68&gt;J40)*(I$3:I$68="P"))+IF(H40="L5",SUMPRODUCT((P$3:P$68="")*(O$3:O$68="")*(N$3:N$68="")*(M$3:M$68="P")*(G$3:G$68=G40)*(J$3:J$68&lt;J40)*(H$3:H$68&lt;&gt;H40)*(I$3:I$68="P")),-1*SUMPRODUCT((P$3:P$68="")*(O$3:O$68="")*(N$3:N$68="")*(M$3:M$68="P")*(G$3:G$68=G40)*(J$3:J$68&gt;J40)*(H$3:H$68="L5")*(I$3:I$68="P")))+1,"")))))</f>
        <v/>
      </c>
      <c r="B40" s="1" t="str" cm="1">
        <f t="array" ref="B40">IF(P40&lt;&gt;"",SUMPRODUCT((P$3:P$68&lt;&gt;"")*(G$3:G$68=G40)*(J$3:J$68&gt;J40))+1,IF(O40&lt;&gt;"",SUMPRODUCT((O$3:O$68&lt;&gt;"")*(P$3:P$68="")*(G$3:G$68=G40)*(J$3:J$68&gt;J40))+SUMPRODUCT((P$3:P$68&lt;&gt;"")*(G$3:G$68=G40))+1,IF(N40&lt;&gt;"",SUMPRODUCT((N$3:N$68&lt;&gt;"")*(G$3:G$68=G40)*(J$3:J$68&gt;J40))+1,IF(M40="P",SUMPRODUCT((O$3:O$68&lt;&gt;"")*(P$3:P$68="")*(G$3:G$68=G40))+SUMPRODUCT((P$3:P$68&lt;&gt;"")*(G$3:G$68=G40))+SUMPRODUCT((N$3:N$68&lt;&gt;"")*(G$3:G$68=G40))+SUMPRODUCT((P$3:P$68="")*(O$3:O$68="")*(N$3:N$68="")*(M$3:M$68="P")*(G$3:G$68=G40)*(J$3:J$68&gt;J40))+IF(H40="L5",SUMPRODUCT((P$3:P$68="")*(O$3:O$68="")*(N$3:N$68="")*(M$3:M$68="P")*(G$3:G$68=G40)*(J$3:J$68&lt;J40)*(H$3:H$68&lt;&gt;H40)),-1*SUMPRODUCT((P$3:P$68="")*(O$3:O$68="")*(N$3:N$68="")*(M$3:M$68="P")*(G$3:G$68=G40)*(J$3:J$68&gt;J40)*(H$3:H$68="L5")))+1,""))))</f>
        <v/>
      </c>
      <c r="C40" s="35" t="s">
        <v>292</v>
      </c>
      <c r="D40" s="35" t="str">
        <f>IF(E40="","",VLOOKUP(E40,'Coaching Points'!A:B,2,0))</f>
        <v>AB</v>
      </c>
      <c r="E40" s="35" t="s">
        <v>251</v>
      </c>
      <c r="F40" s="34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64</v>
      </c>
      <c r="I40" s="40"/>
      <c r="J40" s="4">
        <f>R40+IF(OR(H40="Junior",H40="Senior"),0.0002,IF(OR(H40="L7",H40="L6"),0.0001,0))+MAX(Z40,AC40)*0.0000001</f>
        <v>36.799999999999997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MAX(T40-V40,W40-Y40,Z40-AB40,AC40-AE40)</f>
        <v>36.799999999999997</v>
      </c>
      <c r="S40" s="4">
        <f>IF(R40=T40-V40,MAX(W40-Y40,Z40-AB40,AC40-AE40),IF(R40=W40-Y40,MAX(T40-V40,Z40-AB40,AC40-AE40),IF(R40=Z40-AB40,MAX(T40-V40,W40-Y40,AC40-AE40),IF(R40=AC40-AE40,MAX(T40-V40,W40-Y40,Z40-AB40),0))))</f>
        <v>0</v>
      </c>
      <c r="T40" s="32">
        <v>36.799999999999997</v>
      </c>
      <c r="U40" s="37">
        <v>3.8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$68&lt;&gt;"")*(G$3:G$68=G41)*(J$3:J$68&gt;J41)*(I$3:I$68="P"))+1,IF(O41&lt;&gt;"",SUMPRODUCT((O$3:O$68&lt;&gt;"")*(P$3:P$68="")*(G$3:G$68=G41)*(J$3:J$68&gt;J41)*(I$3:I$68="P"))+SUMPRODUCT((P$3:P$68&lt;&gt;"")*(G$3:G$68=G41)*(I$3:I$68="P"))+1,IF(N41&lt;&gt;"",SUMPRODUCT((N$3:N$68&lt;&gt;"")*(G$3:G$68=G41)*(J$3:J$68&gt;J41)*(I$3:I$68="P"))+1,IF(M41="P",SUMPRODUCT((O$3:O$68&lt;&gt;"")*(P$3:P$68="")*(G$3:G$68=G41)*(I$3:I$68="P"))+SUMPRODUCT((P$3:P$68&lt;&gt;"")*(G$3:G$68=G41)*(I$3:I$68="P"))+SUMPRODUCT((N$3:N$68&lt;&gt;"")*(G$3:G$68=G41)*(I$3:I$68="P"))+SUMPRODUCT((P$3:P$68="")*(O$3:O$68="")*(N$3:N$68="")*(M$3:M$68="P")*(G$3:G$68=G41)*(J$3:J$68&gt;J41)*(I$3:I$68="P"))+IF(H41="L5",SUMPRODUCT((P$3:P$68="")*(O$3:O$68="")*(N$3:N$68="")*(M$3:M$68="P")*(G$3:G$68=G41)*(J$3:J$68&lt;J41)*(H$3:H$68&lt;&gt;H41)*(I$3:I$68="P")),-1*SUMPRODUCT((P$3:P$68="")*(O$3:O$68="")*(N$3:N$68="")*(M$3:M$68="P")*(G$3:G$68=G41)*(J$3:J$68&gt;J41)*(H$3:H$68="L5")*(I$3:I$68="P")))+1,"")))))</f>
        <v/>
      </c>
      <c r="B41" s="1" t="str" cm="1">
        <f t="array" ref="B41">IF(P41&lt;&gt;"",SUMPRODUCT((P$3:P$68&lt;&gt;"")*(G$3:G$68=G41)*(J$3:J$68&gt;J41))+1,IF(O41&lt;&gt;"",SUMPRODUCT((O$3:O$68&lt;&gt;"")*(P$3:P$68="")*(G$3:G$68=G41)*(J$3:J$68&gt;J41))+SUMPRODUCT((P$3:P$68&lt;&gt;"")*(G$3:G$68=G41))+1,IF(N41&lt;&gt;"",SUMPRODUCT((N$3:N$68&lt;&gt;"")*(G$3:G$68=G41)*(J$3:J$68&gt;J41))+1,IF(M41="P",SUMPRODUCT((O$3:O$68&lt;&gt;"")*(P$3:P$68="")*(G$3:G$68=G41))+SUMPRODUCT((P$3:P$68&lt;&gt;"")*(G$3:G$68=G41))+SUMPRODUCT((N$3:N$68&lt;&gt;"")*(G$3:G$68=G41))+SUMPRODUCT((P$3:P$68="")*(O$3:O$68="")*(N$3:N$68="")*(M$3:M$68="P")*(G$3:G$68=G41)*(J$3:J$68&gt;J41))+IF(H41="L5",SUMPRODUCT((P$3:P$68="")*(O$3:O$68="")*(N$3:N$68="")*(M$3:M$68="P")*(G$3:G$68=G41)*(J$3:J$68&lt;J41)*(H$3:H$68&lt;&gt;H41)),-1*SUMPRODUCT((P$3:P$68="")*(O$3:O$68="")*(N$3:N$68="")*(M$3:M$68="P")*(G$3:G$68=G41)*(J$3:J$68&gt;J41)*(H$3:H$68="L5")))+1,""))))</f>
        <v/>
      </c>
      <c r="C41" s="35" t="s">
        <v>104</v>
      </c>
      <c r="D41" s="35" t="str">
        <f>IF(E41="","",VLOOKUP(E41,'Coaching Points'!A:B,2,0))</f>
        <v>AB</v>
      </c>
      <c r="E41" s="35" t="s">
        <v>28</v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66</v>
      </c>
      <c r="I41" s="40"/>
      <c r="J41" s="4">
        <f>R41+IF(OR(H41="Junior",H41="Senior"),0.0002,IF(OR(H41="L7",H41="L6"),0.0001,0))+MAX(Z41,AC41)*0.0000001</f>
        <v>22.0001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MAX(T41-V41,W41-Y41,Z41-AB41,AC41-AE41)</f>
        <v>22</v>
      </c>
      <c r="S41" s="4">
        <f>IF(R41=T41-V41,MAX(W41-Y41,Z41-AB41,AC41-AE41),IF(R41=W41-Y41,MAX(T41-V41,Z41-AB41,AC41-AE41),IF(R41=Z41-AB41,MAX(T41-V41,W41-Y41,AC41-AE41),IF(R41=AC41-AE41,MAX(T41-V41,W41-Y41,Z41-AB41),0))))</f>
        <v>0</v>
      </c>
      <c r="T41" s="32">
        <v>22</v>
      </c>
      <c r="U41" s="37">
        <v>5.6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$68&lt;&gt;"")*(G$3:G$68=G42)*(J$3:J$68&gt;J42)*(I$3:I$68="P"))+1,IF(O42&lt;&gt;"",SUMPRODUCT((O$3:O$68&lt;&gt;"")*(P$3:P$68="")*(G$3:G$68=G42)*(J$3:J$68&gt;J42)*(I$3:I$68="P"))+SUMPRODUCT((P$3:P$68&lt;&gt;"")*(G$3:G$68=G42)*(I$3:I$68="P"))+1,IF(N42&lt;&gt;"",SUMPRODUCT((N$3:N$68&lt;&gt;"")*(G$3:G$68=G42)*(J$3:J$68&gt;J42)*(I$3:I$68="P"))+1,IF(M42="P",SUMPRODUCT((O$3:O$68&lt;&gt;"")*(P$3:P$68="")*(G$3:G$68=G42)*(I$3:I$68="P"))+SUMPRODUCT((P$3:P$68&lt;&gt;"")*(G$3:G$68=G42)*(I$3:I$68="P"))+SUMPRODUCT((N$3:N$68&lt;&gt;"")*(G$3:G$68=G42)*(I$3:I$68="P"))+SUMPRODUCT((P$3:P$68="")*(O$3:O$68="")*(N$3:N$68="")*(M$3:M$68="P")*(G$3:G$68=G42)*(J$3:J$68&gt;J42)*(I$3:I$68="P"))+IF(H42="L5",SUMPRODUCT((P$3:P$68="")*(O$3:O$68="")*(N$3:N$68="")*(M$3:M$68="P")*(G$3:G$68=G42)*(J$3:J$68&lt;J42)*(H$3:H$68&lt;&gt;H42)*(I$3:I$68="P")),-1*SUMPRODUCT((P$3:P$68="")*(O$3:O$68="")*(N$3:N$68="")*(M$3:M$68="P")*(G$3:G$68=G42)*(J$3:J$68&gt;J42)*(H$3:H$68="L5")*(I$3:I$68="P")))+1,"")))))</f>
        <v/>
      </c>
      <c r="B42" s="1" t="str" cm="1">
        <f t="array" ref="B42">IF(P42&lt;&gt;"",SUMPRODUCT((P$3:P$68&lt;&gt;"")*(G$3:G$68=G42)*(J$3:J$68&gt;J42))+1,IF(O42&lt;&gt;"",SUMPRODUCT((O$3:O$68&lt;&gt;"")*(P$3:P$68="")*(G$3:G$68=G42)*(J$3:J$68&gt;J42))+SUMPRODUCT((P$3:P$68&lt;&gt;"")*(G$3:G$68=G42))+1,IF(N42&lt;&gt;"",SUMPRODUCT((N$3:N$68&lt;&gt;"")*(G$3:G$68=G42)*(J$3:J$68&gt;J42))+1,IF(M42="P",SUMPRODUCT((O$3:O$68&lt;&gt;"")*(P$3:P$68="")*(G$3:G$68=G42))+SUMPRODUCT((P$3:P$68&lt;&gt;"")*(G$3:G$68=G42))+SUMPRODUCT((N$3:N$68&lt;&gt;"")*(G$3:G$68=G42))+SUMPRODUCT((P$3:P$68="")*(O$3:O$68="")*(N$3:N$68="")*(M$3:M$68="P")*(G$3:G$68=G42)*(J$3:J$68&gt;J42))+IF(H42="L5",SUMPRODUCT((P$3:P$68="")*(O$3:O$68="")*(N$3:N$68="")*(M$3:M$68="P")*(G$3:G$68=G42)*(J$3:J$68&lt;J42)*(H$3:H$68&lt;&gt;H42)),-1*SUMPRODUCT((P$3:P$68="")*(O$3:O$68="")*(N$3:N$68="")*(M$3:M$68="P")*(G$3:G$68=G42)*(J$3:J$68&gt;J42)*(H$3:H$68="L5")))+1,""))))</f>
        <v/>
      </c>
      <c r="C42" s="35" t="s">
        <v>293</v>
      </c>
      <c r="D42" s="35" t="str">
        <f>IF(E42="","",VLOOKUP(E42,'Coaching Points'!A:B,2,0))</f>
        <v>MB</v>
      </c>
      <c r="E42" s="35" t="s">
        <v>67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64</v>
      </c>
      <c r="I42" s="40"/>
      <c r="J42" s="4">
        <f>R42+IF(OR(H42="Junior",H42="Senior"),0.0002,IF(OR(H42="L7",H42="L6"),0.0001,0))+MAX(Z42,AC42)*0.0000001</f>
        <v>21.7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MAX(T42-V42,W42-Y42,Z42-AB42,AC42-AE42)</f>
        <v>21.7</v>
      </c>
      <c r="S42" s="4">
        <f>IF(R42=T42-V42,MAX(W42-Y42,Z42-AB42,AC42-AE42),IF(R42=W42-Y42,MAX(T42-V42,Z42-AB42,AC42-AE42),IF(R42=Z42-AB42,MAX(T42-V42,W42-Y42,AC42-AE42),IF(R42=AC42-AE42,MAX(T42-V42,W42-Y42,Z42-AB42),0))))</f>
        <v>0</v>
      </c>
      <c r="T42" s="32">
        <v>21.7</v>
      </c>
      <c r="U42" s="37">
        <v>3.1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$68&lt;&gt;"")*(G$3:G$68=G43)*(J$3:J$68&gt;J43)*(I$3:I$68="P"))+1,IF(O43&lt;&gt;"",SUMPRODUCT((O$3:O$68&lt;&gt;"")*(P$3:P$68="")*(G$3:G$68=G43)*(J$3:J$68&gt;J43)*(I$3:I$68="P"))+SUMPRODUCT((P$3:P$68&lt;&gt;"")*(G$3:G$68=G43)*(I$3:I$68="P"))+1,IF(N43&lt;&gt;"",SUMPRODUCT((N$3:N$68&lt;&gt;"")*(G$3:G$68=G43)*(J$3:J$68&gt;J43)*(I$3:I$68="P"))+1,IF(M43="P",SUMPRODUCT((O$3:O$68&lt;&gt;"")*(P$3:P$68="")*(G$3:G$68=G43)*(I$3:I$68="P"))+SUMPRODUCT((P$3:P$68&lt;&gt;"")*(G$3:G$68=G43)*(I$3:I$68="P"))+SUMPRODUCT((N$3:N$68&lt;&gt;"")*(G$3:G$68=G43)*(I$3:I$68="P"))+SUMPRODUCT((P$3:P$68="")*(O$3:O$68="")*(N$3:N$68="")*(M$3:M$68="P")*(G$3:G$68=G43)*(J$3:J$68&gt;J43)*(I$3:I$68="P"))+IF(H43="L5",SUMPRODUCT((P$3:P$68="")*(O$3:O$68="")*(N$3:N$68="")*(M$3:M$68="P")*(G$3:G$68=G43)*(J$3:J$68&lt;J43)*(H$3:H$68&lt;&gt;H43)*(I$3:I$68="P")),-1*SUMPRODUCT((P$3:P$68="")*(O$3:O$68="")*(N$3:N$68="")*(M$3:M$68="P")*(G$3:G$68=G43)*(J$3:J$68&gt;J43)*(H$3:H$68="L5")*(I$3:I$68="P")))+1,"")))))</f>
        <v/>
      </c>
      <c r="B43" s="1" t="str" cm="1">
        <f t="array" ref="B43">IF(P43&lt;&gt;"",SUMPRODUCT((P$3:P$68&lt;&gt;"")*(G$3:G$68=G43)*(J$3:J$68&gt;J43))+1,IF(O43&lt;&gt;"",SUMPRODUCT((O$3:O$68&lt;&gt;"")*(P$3:P$68="")*(G$3:G$68=G43)*(J$3:J$68&gt;J43))+SUMPRODUCT((P$3:P$68&lt;&gt;"")*(G$3:G$68=G43))+1,IF(N43&lt;&gt;"",SUMPRODUCT((N$3:N$68&lt;&gt;"")*(G$3:G$68=G43)*(J$3:J$68&gt;J43))+1,IF(M43="P",SUMPRODUCT((O$3:O$68&lt;&gt;"")*(P$3:P$68="")*(G$3:G$68=G43))+SUMPRODUCT((P$3:P$68&lt;&gt;"")*(G$3:G$68=G43))+SUMPRODUCT((N$3:N$68&lt;&gt;"")*(G$3:G$68=G43))+SUMPRODUCT((P$3:P$68="")*(O$3:O$68="")*(N$3:N$68="")*(M$3:M$68="P")*(G$3:G$68=G43)*(J$3:J$68&gt;J43))+IF(H43="L5",SUMPRODUCT((P$3:P$68="")*(O$3:O$68="")*(N$3:N$68="")*(M$3:M$68="P")*(G$3:G$68=G43)*(J$3:J$68&lt;J43)*(H$3:H$68&lt;&gt;H43)),-1*SUMPRODUCT((P$3:P$68="")*(O$3:O$68="")*(N$3:N$68="")*(M$3:M$68="P")*(G$3:G$68=G43)*(J$3:J$68&gt;J43)*(H$3:H$68="L5")))+1,""))))</f>
        <v/>
      </c>
      <c r="C43" s="35" t="s">
        <v>145</v>
      </c>
      <c r="D43" s="35" t="str">
        <f>IF(E43="","",VLOOKUP(E43,'Coaching Points'!A:B,2,0))</f>
        <v>SK</v>
      </c>
      <c r="E43" s="35" t="s">
        <v>329</v>
      </c>
      <c r="F43" s="34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66</v>
      </c>
      <c r="I43" s="40"/>
      <c r="J43" s="4">
        <f>R43+IF(OR(H43="Junior",H43="Senior"),0.0002,IF(OR(H43="L7",H43="L6"),0.0001,0))+MAX(Z43,AC43)*0.0000001</f>
        <v>21.200099999999999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MAX(T43-V43,W43-Y43,Z43-AB43,AC43-AE43)</f>
        <v>21.2</v>
      </c>
      <c r="S43" s="4">
        <f>IF(R43=T43-V43,MAX(W43-Y43,Z43-AB43,AC43-AE43),IF(R43=W43-Y43,MAX(T43-V43,Z43-AB43,AC43-AE43),IF(R43=Z43-AB43,MAX(T43-V43,W43-Y43,AC43-AE43),IF(R43=AC43-AE43,MAX(T43-V43,W43-Y43,Z43-AB43),0))))</f>
        <v>0</v>
      </c>
      <c r="T43" s="32">
        <v>21.2</v>
      </c>
      <c r="U43" s="37">
        <v>4.8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$68&lt;&gt;"")*(G$3:G$68=G44)*(J$3:J$68&gt;J44)*(I$3:I$68="P"))+1,IF(O44&lt;&gt;"",SUMPRODUCT((O$3:O$68&lt;&gt;"")*(P$3:P$68="")*(G$3:G$68=G44)*(J$3:J$68&gt;J44)*(I$3:I$68="P"))+SUMPRODUCT((P$3:P$68&lt;&gt;"")*(G$3:G$68=G44)*(I$3:I$68="P"))+1,IF(N44&lt;&gt;"",SUMPRODUCT((N$3:N$68&lt;&gt;"")*(G$3:G$68=G44)*(J$3:J$68&gt;J44)*(I$3:I$68="P"))+1,IF(M44="P",SUMPRODUCT((O$3:O$68&lt;&gt;"")*(P$3:P$68="")*(G$3:G$68=G44)*(I$3:I$68="P"))+SUMPRODUCT((P$3:P$68&lt;&gt;"")*(G$3:G$68=G44)*(I$3:I$68="P"))+SUMPRODUCT((N$3:N$68&lt;&gt;"")*(G$3:G$68=G44)*(I$3:I$68="P"))+SUMPRODUCT((P$3:P$68="")*(O$3:O$68="")*(N$3:N$68="")*(M$3:M$68="P")*(G$3:G$68=G44)*(J$3:J$68&gt;J44)*(I$3:I$68="P"))+IF(H44="L5",SUMPRODUCT((P$3:P$68="")*(O$3:O$68="")*(N$3:N$68="")*(M$3:M$68="P")*(G$3:G$68=G44)*(J$3:J$68&lt;J44)*(H$3:H$68&lt;&gt;H44)*(I$3:I$68="P")),-1*SUMPRODUCT((P$3:P$68="")*(O$3:O$68="")*(N$3:N$68="")*(M$3:M$68="P")*(G$3:G$68=G44)*(J$3:J$68&gt;J44)*(H$3:H$68="L5")*(I$3:I$68="P")))+1,"")))))</f>
        <v/>
      </c>
      <c r="B44" s="1" t="str" cm="1">
        <f t="array" ref="B44">IF(P44&lt;&gt;"",SUMPRODUCT((P$3:P$68&lt;&gt;"")*(G$3:G$68=G44)*(J$3:J$68&gt;J44))+1,IF(O44&lt;&gt;"",SUMPRODUCT((O$3:O$68&lt;&gt;"")*(P$3:P$68="")*(G$3:G$68=G44)*(J$3:J$68&gt;J44))+SUMPRODUCT((P$3:P$68&lt;&gt;"")*(G$3:G$68=G44))+1,IF(N44&lt;&gt;"",SUMPRODUCT((N$3:N$68&lt;&gt;"")*(G$3:G$68=G44)*(J$3:J$68&gt;J44))+1,IF(M44="P",SUMPRODUCT((O$3:O$68&lt;&gt;"")*(P$3:P$68="")*(G$3:G$68=G44))+SUMPRODUCT((P$3:P$68&lt;&gt;"")*(G$3:G$68=G44))+SUMPRODUCT((N$3:N$68&lt;&gt;"")*(G$3:G$68=G44))+SUMPRODUCT((P$3:P$68="")*(O$3:O$68="")*(N$3:N$68="")*(M$3:M$68="P")*(G$3:G$68=G44)*(J$3:J$68&gt;J44))+IF(H44="L5",SUMPRODUCT((P$3:P$68="")*(O$3:O$68="")*(N$3:N$68="")*(M$3:M$68="P")*(G$3:G$68=G44)*(J$3:J$68&lt;J44)*(H$3:H$68&lt;&gt;H44)),-1*SUMPRODUCT((P$3:P$68="")*(O$3:O$68="")*(N$3:N$68="")*(M$3:M$68="P")*(G$3:G$68=G44)*(J$3:J$68&gt;J44)*(H$3:H$68="L5")))+1,""))))</f>
        <v/>
      </c>
      <c r="C44" s="35" t="s">
        <v>143</v>
      </c>
      <c r="D44" s="35" t="str">
        <f>IF(E44="","",VLOOKUP(E44,'Coaching Points'!A:B,2,0))</f>
        <v>BC</v>
      </c>
      <c r="E44" s="35" t="s">
        <v>40</v>
      </c>
      <c r="F44" s="34">
        <v>2003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72</v>
      </c>
      <c r="I44" s="40"/>
      <c r="J44" s="4">
        <f>R44+IF(OR(H44="Junior",H44="Senior"),0.0002,IF(OR(H44="L7",H44="L6"),0.0001,0))+MAX(Z44,AC44)*0.0000001</f>
        <v>19.8002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MAX(T44-V44,W44-Y44,Z44-AB44,AC44-AE44)</f>
        <v>19.8</v>
      </c>
      <c r="S44" s="4">
        <f>IF(R44=T44-V44,MAX(W44-Y44,Z44-AB44,AC44-AE44),IF(R44=W44-Y44,MAX(T44-V44,Z44-AB44,AC44-AE44),IF(R44=Z44-AB44,MAX(T44-V44,W44-Y44,AC44-AE44),IF(R44=AC44-AE44,MAX(T44-V44,W44-Y44,Z44-AB44),0))))</f>
        <v>0</v>
      </c>
      <c r="T44" s="32">
        <v>19.8</v>
      </c>
      <c r="U44" s="37">
        <v>2.8</v>
      </c>
      <c r="V44" s="37">
        <v>0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$68&lt;&gt;"")*(G$3:G$68=G45)*(J$3:J$68&gt;J45)*(I$3:I$68="P"))+1,IF(O45&lt;&gt;"",SUMPRODUCT((O$3:O$68&lt;&gt;"")*(P$3:P$68="")*(G$3:G$68=G45)*(J$3:J$68&gt;J45)*(I$3:I$68="P"))+SUMPRODUCT((P$3:P$68&lt;&gt;"")*(G$3:G$68=G45)*(I$3:I$68="P"))+1,IF(N45&lt;&gt;"",SUMPRODUCT((N$3:N$68&lt;&gt;"")*(G$3:G$68=G45)*(J$3:J$68&gt;J45)*(I$3:I$68="P"))+1,IF(M45="P",SUMPRODUCT((O$3:O$68&lt;&gt;"")*(P$3:P$68="")*(G$3:G$68=G45)*(I$3:I$68="P"))+SUMPRODUCT((P$3:P$68&lt;&gt;"")*(G$3:G$68=G45)*(I$3:I$68="P"))+SUMPRODUCT((N$3:N$68&lt;&gt;"")*(G$3:G$68=G45)*(I$3:I$68="P"))+SUMPRODUCT((P$3:P$68="")*(O$3:O$68="")*(N$3:N$68="")*(M$3:M$68="P")*(G$3:G$68=G45)*(J$3:J$68&gt;J45)*(I$3:I$68="P"))+IF(H45="L5",SUMPRODUCT((P$3:P$68="")*(O$3:O$68="")*(N$3:N$68="")*(M$3:M$68="P")*(G$3:G$68=G45)*(J$3:J$68&lt;J45)*(H$3:H$68&lt;&gt;H45)*(I$3:I$68="P")),-1*SUMPRODUCT((P$3:P$68="")*(O$3:O$68="")*(N$3:N$68="")*(M$3:M$68="P")*(G$3:G$68=G45)*(J$3:J$68&gt;J45)*(H$3:H$68="L5")*(I$3:I$68="P")))+1,"")))))</f>
        <v/>
      </c>
      <c r="B45" s="1" cm="1">
        <f t="array" ref="B45">IF(P45&lt;&gt;"",SUMPRODUCT((P$3:P$68&lt;&gt;"")*(G$3:G$68=G45)*(J$3:J$68&gt;J45))+1,IF(O45&lt;&gt;"",SUMPRODUCT((O$3:O$68&lt;&gt;"")*(P$3:P$68="")*(G$3:G$68=G45)*(J$3:J$68&gt;J45))+SUMPRODUCT((P$3:P$68&lt;&gt;"")*(G$3:G$68=G45))+1,IF(N45&lt;&gt;"",SUMPRODUCT((N$3:N$68&lt;&gt;"")*(G$3:G$68=G45)*(J$3:J$68&gt;J45))+1,IF(M45="P",SUMPRODUCT((O$3:O$68&lt;&gt;"")*(P$3:P$68="")*(G$3:G$68=G45))+SUMPRODUCT((P$3:P$68&lt;&gt;"")*(G$3:G$68=G45))+SUMPRODUCT((N$3:N$68&lt;&gt;"")*(G$3:G$68=G45))+SUMPRODUCT((P$3:P$68="")*(O$3:O$68="")*(N$3:N$68="")*(M$3:M$68="P")*(G$3:G$68=G45)*(J$3:J$68&gt;J45))+IF(H45="L5",SUMPRODUCT((P$3:P$68="")*(O$3:O$68="")*(N$3:N$68="")*(M$3:M$68="P")*(G$3:G$68=G45)*(J$3:J$68&lt;J45)*(H$3:H$68&lt;&gt;H45)),-1*SUMPRODUCT((P$3:P$68="")*(O$3:O$68="")*(N$3:N$68="")*(M$3:M$68="P")*(G$3:G$68=G45)*(J$3:J$68&gt;J45)*(H$3:H$68="L5")))+1,""))))</f>
        <v>1</v>
      </c>
      <c r="C45" s="35" t="s">
        <v>120</v>
      </c>
      <c r="D45" s="35" t="str">
        <f>IF(E45="","",VLOOKUP(E45,'Coaching Points'!A:B,2,0))</f>
        <v>BC</v>
      </c>
      <c r="E45" s="35" t="s">
        <v>40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63</v>
      </c>
      <c r="I45" s="40"/>
      <c r="J45" s="4">
        <f>R45+IF(OR(H45="Junior",H45="Senior"),0.0002,IF(OR(H45="L7",H45="L6"),0.0001,0))+MAX(Z45,AC45)*0.0000001</f>
        <v>51.300199999999997</v>
      </c>
      <c r="K45" s="3" t="str">
        <f>IF(G45="Not Age Eligible","",IF(MAX(T45,W45,Z45,AC45)&gt;=LOOKUP(G45,'Qualifying Scores'!$A$4:$A$7,'Qualifying Scores'!$G$4:$G$7),"P",""))</f>
        <v>P</v>
      </c>
      <c r="L45" s="3" t="str">
        <f>IF(G45="Not Age Eligible","",IF(MAX(U45,X45,AA45,AD45)&gt;=LOOKUP(G45,'Qualifying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>P</v>
      </c>
      <c r="N45" s="36">
        <v>1</v>
      </c>
      <c r="Q45" s="1" t="str">
        <f>IF(A45&lt;5,IF(_xlfn.MAXIFS(A:A,G:G,G45)&gt;3,5-A45,_xlfn.MAXIFS(A:A,G:G,G45)+1-A45),"")</f>
        <v/>
      </c>
      <c r="R45" s="4">
        <f>MAX(T45-V45,W45-Y45,Z45-AB45,AC45-AE45)</f>
        <v>51.3</v>
      </c>
      <c r="S45" s="4">
        <f>IF(R45=T45-V45,MAX(W45-Y45,Z45-AB45,AC45-AE45),IF(R45=W45-Y45,MAX(T45-V45,Z45-AB45,AC45-AE45),IF(R45=Z45-AB45,MAX(T45-V45,W45-Y45,AC45-AE45),IF(R45=AC45-AE45,MAX(T45-V45,W45-Y45,Z45-AB45),0))))</f>
        <v>50.8</v>
      </c>
      <c r="T45" s="32">
        <v>50.8</v>
      </c>
      <c r="U45" s="37">
        <v>13.2</v>
      </c>
      <c r="V45" s="37">
        <v>0</v>
      </c>
      <c r="W45" s="33">
        <v>51.3</v>
      </c>
      <c r="X45" s="37">
        <v>14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$68&lt;&gt;"")*(G$3:G$68=G46)*(J$3:J$68&gt;J46)*(I$3:I$68="P"))+1,IF(O46&lt;&gt;"",SUMPRODUCT((O$3:O$68&lt;&gt;"")*(P$3:P$68="")*(G$3:G$68=G46)*(J$3:J$68&gt;J46)*(I$3:I$68="P"))+SUMPRODUCT((P$3:P$68&lt;&gt;"")*(G$3:G$68=G46)*(I$3:I$68="P"))+1,IF(N46&lt;&gt;"",SUMPRODUCT((N$3:N$68&lt;&gt;"")*(G$3:G$68=G46)*(J$3:J$68&gt;J46)*(I$3:I$68="P"))+1,IF(M46="P",SUMPRODUCT((O$3:O$68&lt;&gt;"")*(P$3:P$68="")*(G$3:G$68=G46)*(I$3:I$68="P"))+SUMPRODUCT((P$3:P$68&lt;&gt;"")*(G$3:G$68=G46)*(I$3:I$68="P"))+SUMPRODUCT((N$3:N$68&lt;&gt;"")*(G$3:G$68=G46)*(I$3:I$68="P"))+SUMPRODUCT((P$3:P$68="")*(O$3:O$68="")*(N$3:N$68="")*(M$3:M$68="P")*(G$3:G$68=G46)*(J$3:J$68&gt;J46)*(I$3:I$68="P"))+IF(H46="L5",SUMPRODUCT((P$3:P$68="")*(O$3:O$68="")*(N$3:N$68="")*(M$3:M$68="P")*(G$3:G$68=G46)*(J$3:J$68&lt;J46)*(H$3:H$68&lt;&gt;H46)*(I$3:I$68="P")),-1*SUMPRODUCT((P$3:P$68="")*(O$3:O$68="")*(N$3:N$68="")*(M$3:M$68="P")*(G$3:G$68=G46)*(J$3:J$68&gt;J46)*(H$3:H$68="L5")*(I$3:I$68="P")))+1,"")))))</f>
        <v/>
      </c>
      <c r="B46" s="1" cm="1">
        <f t="array" ref="B46">IF(P46&lt;&gt;"",SUMPRODUCT((P$3:P$68&lt;&gt;"")*(G$3:G$68=G46)*(J$3:J$68&gt;J46))+1,IF(O46&lt;&gt;"",SUMPRODUCT((O$3:O$68&lt;&gt;"")*(P$3:P$68="")*(G$3:G$68=G46)*(J$3:J$68&gt;J46))+SUMPRODUCT((P$3:P$68&lt;&gt;"")*(G$3:G$68=G46))+1,IF(N46&lt;&gt;"",SUMPRODUCT((N$3:N$68&lt;&gt;"")*(G$3:G$68=G46)*(J$3:J$68&gt;J46))+1,IF(M46="P",SUMPRODUCT((O$3:O$68&lt;&gt;"")*(P$3:P$68="")*(G$3:G$68=G46))+SUMPRODUCT((P$3:P$68&lt;&gt;"")*(G$3:G$68=G46))+SUMPRODUCT((N$3:N$68&lt;&gt;"")*(G$3:G$68=G46))+SUMPRODUCT((P$3:P$68="")*(O$3:O$68="")*(N$3:N$68="")*(M$3:M$68="P")*(G$3:G$68=G46)*(J$3:J$68&gt;J46))+IF(H46="L5",SUMPRODUCT((P$3:P$68="")*(O$3:O$68="")*(N$3:N$68="")*(M$3:M$68="P")*(G$3:G$68=G46)*(J$3:J$68&lt;J46)*(H$3:H$68&lt;&gt;H46)),-1*SUMPRODUCT((P$3:P$68="")*(O$3:O$68="")*(N$3:N$68="")*(M$3:M$68="P")*(G$3:G$68=G46)*(J$3:J$68&gt;J46)*(H$3:H$68="L5")))+1,""))))</f>
        <v>2</v>
      </c>
      <c r="C46" s="35" t="s">
        <v>103</v>
      </c>
      <c r="D46" s="35" t="str">
        <f>IF(E46="","",VLOOKUP(E46,'Coaching Points'!A:B,2,0))</f>
        <v>BC</v>
      </c>
      <c r="E46" s="35" t="s">
        <v>44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63</v>
      </c>
      <c r="I46" s="40"/>
      <c r="J46" s="4">
        <f>R46+IF(OR(H46="Junior",H46="Senior"),0.0002,IF(OR(H46="L7",H46="L6"),0.0001,0))+MAX(Z46,AC46)*0.0000001</f>
        <v>47.900199999999998</v>
      </c>
      <c r="K46" s="3" t="str">
        <f>IF(G46="Not Age Eligible","",IF(MAX(T46,W46,Z46,AC46)&gt;=LOOKUP(G46,'Qualifying Scores'!$A$4:$A$7,'Qualifying Scores'!$G$4:$G$7),"P",""))</f>
        <v>P</v>
      </c>
      <c r="L46" s="3" t="str">
        <f>IF(G46="Not Age Eligible","",IF(MAX(U46,X46,AA46,AD46)&gt;=LOOKUP(G46,'Qualifying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>P</v>
      </c>
      <c r="N46" s="36">
        <v>2</v>
      </c>
      <c r="Q46" s="1" t="str">
        <f>IF(A46&lt;5,IF(_xlfn.MAXIFS(A:A,G:G,G46)&gt;3,5-A46,_xlfn.MAXIFS(A:A,G:G,G46)+1-A46),"")</f>
        <v/>
      </c>
      <c r="R46" s="4">
        <f>MAX(T46-V46,W46-Y46,Z46-AB46,AC46-AE46)</f>
        <v>47.9</v>
      </c>
      <c r="S46" s="4">
        <f>IF(R46=T46-V46,MAX(W46-Y46,Z46-AB46,AC46-AE46),IF(R46=W46-Y46,MAX(T46-V46,Z46-AB46,AC46-AE46),IF(R46=Z46-AB46,MAX(T46-V46,W46-Y46,AC46-AE46),IF(R46=AC46-AE46,MAX(T46-V46,W46-Y46,Z46-AB46),0))))</f>
        <v>47.6</v>
      </c>
      <c r="T46" s="32">
        <v>47.9</v>
      </c>
      <c r="U46" s="37">
        <v>11.2</v>
      </c>
      <c r="V46" s="37">
        <v>0</v>
      </c>
      <c r="W46" s="33">
        <v>47.6</v>
      </c>
      <c r="X46" s="37">
        <v>13.2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$68&lt;&gt;"")*(G$3:G$68=G47)*(J$3:J$68&gt;J47)*(I$3:I$68="P"))+1,IF(O47&lt;&gt;"",SUMPRODUCT((O$3:O$68&lt;&gt;"")*(P$3:P$68="")*(G$3:G$68=G47)*(J$3:J$68&gt;J47)*(I$3:I$68="P"))+SUMPRODUCT((P$3:P$68&lt;&gt;"")*(G$3:G$68=G47)*(I$3:I$68="P"))+1,IF(N47&lt;&gt;"",SUMPRODUCT((N$3:N$68&lt;&gt;"")*(G$3:G$68=G47)*(J$3:J$68&gt;J47)*(I$3:I$68="P"))+1,IF(M47="P",SUMPRODUCT((O$3:O$68&lt;&gt;"")*(P$3:P$68="")*(G$3:G$68=G47)*(I$3:I$68="P"))+SUMPRODUCT((P$3:P$68&lt;&gt;"")*(G$3:G$68=G47)*(I$3:I$68="P"))+SUMPRODUCT((N$3:N$68&lt;&gt;"")*(G$3:G$68=G47)*(I$3:I$68="P"))+SUMPRODUCT((P$3:P$68="")*(O$3:O$68="")*(N$3:N$68="")*(M$3:M$68="P")*(G$3:G$68=G47)*(J$3:J$68&gt;J47)*(I$3:I$68="P"))+IF(H47="L5",SUMPRODUCT((P$3:P$68="")*(O$3:O$68="")*(N$3:N$68="")*(M$3:M$68="P")*(G$3:G$68=G47)*(J$3:J$68&lt;J47)*(H$3:H$68&lt;&gt;H47)*(I$3:I$68="P")),-1*SUMPRODUCT((P$3:P$68="")*(O$3:O$68="")*(N$3:N$68="")*(M$3:M$68="P")*(G$3:G$68=G47)*(J$3:J$68&gt;J47)*(H$3:H$68="L5")*(I$3:I$68="P")))+1,"")))))</f>
        <v/>
      </c>
      <c r="B47" s="1" cm="1">
        <f t="array" ref="B47">IF(P47&lt;&gt;"",SUMPRODUCT((P$3:P$68&lt;&gt;"")*(G$3:G$68=G47)*(J$3:J$68&gt;J47))+1,IF(O47&lt;&gt;"",SUMPRODUCT((O$3:O$68&lt;&gt;"")*(P$3:P$68="")*(G$3:G$68=G47)*(J$3:J$68&gt;J47))+SUMPRODUCT((P$3:P$68&lt;&gt;"")*(G$3:G$68=G47))+1,IF(N47&lt;&gt;"",SUMPRODUCT((N$3:N$68&lt;&gt;"")*(G$3:G$68=G47)*(J$3:J$68&gt;J47))+1,IF(M47="P",SUMPRODUCT((O$3:O$68&lt;&gt;"")*(P$3:P$68="")*(G$3:G$68=G47))+SUMPRODUCT((P$3:P$68&lt;&gt;"")*(G$3:G$68=G47))+SUMPRODUCT((N$3:N$68&lt;&gt;"")*(G$3:G$68=G47))+SUMPRODUCT((P$3:P$68="")*(O$3:O$68="")*(N$3:N$68="")*(M$3:M$68="P")*(G$3:G$68=G47)*(J$3:J$68&gt;J47))+IF(H47="L5",SUMPRODUCT((P$3:P$68="")*(O$3:O$68="")*(N$3:N$68="")*(M$3:M$68="P")*(G$3:G$68=G47)*(J$3:J$68&lt;J47)*(H$3:H$68&lt;&gt;H47)),-1*SUMPRODUCT((P$3:P$68="")*(O$3:O$68="")*(N$3:N$68="")*(M$3:M$68="P")*(G$3:G$68=G47)*(J$3:J$68&gt;J47)*(H$3:H$68="L5")))+1,""))))</f>
        <v>3</v>
      </c>
      <c r="C47" s="35" t="s">
        <v>101</v>
      </c>
      <c r="D47" s="35" t="str">
        <f>IF(E47="","",VLOOKUP(E47,'Coaching Points'!A:B,2,0))</f>
        <v>AB</v>
      </c>
      <c r="E47" s="35" t="s">
        <v>62</v>
      </c>
      <c r="F47" s="34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63</v>
      </c>
      <c r="I47" s="40"/>
      <c r="J47" s="4">
        <f>R47+IF(OR(H47="Junior",H47="Senior"),0.0002,IF(OR(H47="L7",H47="L6"),0.0001,0))+MAX(Z47,AC47)*0.0000001</f>
        <v>47.300199999999997</v>
      </c>
      <c r="K47" s="3" t="str">
        <f>IF(G47="Not Age Eligible","",IF(MAX(T47,W47,Z47,AC47)&gt;=LOOKUP(G47,'Qualifying Scores'!$A$4:$A$7,'Qualifying Scores'!$G$4:$G$7),"P",""))</f>
        <v>P</v>
      </c>
      <c r="L47" s="3" t="str">
        <f>IF(G47="Not Age Eligible","",IF(MAX(U47,X47,AA47,AD47)&gt;=LOOKUP(G47,'Qualifying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>P</v>
      </c>
      <c r="N47" s="36">
        <v>4</v>
      </c>
      <c r="Q47" s="1" t="str">
        <f>IF(A47&lt;5,IF(_xlfn.MAXIFS(A:A,G:G,G47)&gt;3,5-A47,_xlfn.MAXIFS(A:A,G:G,G47)+1-A47),"")</f>
        <v/>
      </c>
      <c r="R47" s="4">
        <f>MAX(T47-V47,W47-Y47,Z47-AB47,AC47-AE47)</f>
        <v>47.3</v>
      </c>
      <c r="S47" s="4">
        <f>IF(R47=T47-V47,MAX(W47-Y47,Z47-AB47,AC47-AE47),IF(R47=W47-Y47,MAX(T47-V47,Z47-AB47,AC47-AE47),IF(R47=Z47-AB47,MAX(T47-V47,W47-Y47,AC47-AE47),IF(R47=AC47-AE47,MAX(T47-V47,W47-Y47,Z47-AB47),0))))</f>
        <v>44.2</v>
      </c>
      <c r="T47" s="32">
        <v>47.3</v>
      </c>
      <c r="U47" s="37">
        <v>11.2</v>
      </c>
      <c r="V47" s="37">
        <v>0</v>
      </c>
      <c r="W47" s="33">
        <v>44.2</v>
      </c>
      <c r="X47" s="37">
        <v>10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$68&lt;&gt;"")*(G$3:G$68=G48)*(J$3:J$68&gt;J48)*(I$3:I$68="P"))+1,IF(O48&lt;&gt;"",SUMPRODUCT((O$3:O$68&lt;&gt;"")*(P$3:P$68="")*(G$3:G$68=G48)*(J$3:J$68&gt;J48)*(I$3:I$68="P"))+SUMPRODUCT((P$3:P$68&lt;&gt;"")*(G$3:G$68=G48)*(I$3:I$68="P"))+1,IF(N48&lt;&gt;"",SUMPRODUCT((N$3:N$68&lt;&gt;"")*(G$3:G$68=G48)*(J$3:J$68&gt;J48)*(I$3:I$68="P"))+1,IF(M48="P",SUMPRODUCT((O$3:O$68&lt;&gt;"")*(P$3:P$68="")*(G$3:G$68=G48)*(I$3:I$68="P"))+SUMPRODUCT((P$3:P$68&lt;&gt;"")*(G$3:G$68=G48)*(I$3:I$68="P"))+SUMPRODUCT((N$3:N$68&lt;&gt;"")*(G$3:G$68=G48)*(I$3:I$68="P"))+SUMPRODUCT((P$3:P$68="")*(O$3:O$68="")*(N$3:N$68="")*(M$3:M$68="P")*(G$3:G$68=G48)*(J$3:J$68&gt;J48)*(I$3:I$68="P"))+IF(H48="L5",SUMPRODUCT((P$3:P$68="")*(O$3:O$68="")*(N$3:N$68="")*(M$3:M$68="P")*(G$3:G$68=G48)*(J$3:J$68&lt;J48)*(H$3:H$68&lt;&gt;H48)*(I$3:I$68="P")),-1*SUMPRODUCT((P$3:P$68="")*(O$3:O$68="")*(N$3:N$68="")*(M$3:M$68="P")*(G$3:G$68=G48)*(J$3:J$68&gt;J48)*(H$3:H$68="L5")*(I$3:I$68="P")))+1,"")))))</f>
        <v/>
      </c>
      <c r="B48" s="1" cm="1">
        <f t="array" ref="B48">IF(P48&lt;&gt;"",SUMPRODUCT((P$3:P$68&lt;&gt;"")*(G$3:G$68=G48)*(J$3:J$68&gt;J48))+1,IF(O48&lt;&gt;"",SUMPRODUCT((O$3:O$68&lt;&gt;"")*(P$3:P$68="")*(G$3:G$68=G48)*(J$3:J$68&gt;J48))+SUMPRODUCT((P$3:P$68&lt;&gt;"")*(G$3:G$68=G48))+1,IF(N48&lt;&gt;"",SUMPRODUCT((N$3:N$68&lt;&gt;"")*(G$3:G$68=G48)*(J$3:J$68&gt;J48))+1,IF(M48="P",SUMPRODUCT((O$3:O$68&lt;&gt;"")*(P$3:P$68="")*(G$3:G$68=G48))+SUMPRODUCT((P$3:P$68&lt;&gt;"")*(G$3:G$68=G48))+SUMPRODUCT((N$3:N$68&lt;&gt;"")*(G$3:G$68=G48))+SUMPRODUCT((P$3:P$68="")*(O$3:O$68="")*(N$3:N$68="")*(M$3:M$68="P")*(G$3:G$68=G48)*(J$3:J$68&gt;J48))+IF(H48="L5",SUMPRODUCT((P$3:P$68="")*(O$3:O$68="")*(N$3:N$68="")*(M$3:M$68="P")*(G$3:G$68=G48)*(J$3:J$68&lt;J48)*(H$3:H$68&lt;&gt;H48)),-1*SUMPRODUCT((P$3:P$68="")*(O$3:O$68="")*(N$3:N$68="")*(M$3:M$68="P")*(G$3:G$68=G48)*(J$3:J$68&gt;J48)*(H$3:H$68="L5")))+1,""))))</f>
        <v>4</v>
      </c>
      <c r="C48" s="35" t="s">
        <v>102</v>
      </c>
      <c r="D48" s="35" t="str">
        <f>IF(E48="","",VLOOKUP(E48,'Coaching Points'!A:B,2,0))</f>
        <v>BC</v>
      </c>
      <c r="E48" s="35" t="s">
        <v>40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63</v>
      </c>
      <c r="I48" s="40"/>
      <c r="J48" s="4">
        <f>R48+IF(OR(H48="Junior",H48="Senior"),0.0002,IF(OR(H48="L7",H48="L6"),0.0001,0))+MAX(Z48,AC48)*0.0000001</f>
        <v>47.200200000000002</v>
      </c>
      <c r="K48" s="3" t="str">
        <f>IF(G48="Not Age Eligible","",IF(MAX(T48,W48,Z48,AC48)&gt;=LOOKUP(G48,'Qualifying Scores'!$A$4:$A$7,'Qualifying Scores'!$G$4:$G$7),"P",""))</f>
        <v>P</v>
      </c>
      <c r="L48" s="3" t="str">
        <f>IF(G48="Not Age Eligible","",IF(MAX(U48,X48,AA48,AD48)&gt;=LOOKUP(G48,'Qualifying Scores'!$A$10:$A$13,'Qualifying Scores'!$G$10:$G$13),"P",""))</f>
        <v>P</v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>P</v>
      </c>
      <c r="N48" s="36">
        <v>3</v>
      </c>
      <c r="Q48" s="1" t="str">
        <f>IF(A48&lt;5,IF(_xlfn.MAXIFS(A:A,G:G,G48)&gt;3,5-A48,_xlfn.MAXIFS(A:A,G:G,G48)+1-A48),"")</f>
        <v/>
      </c>
      <c r="R48" s="4">
        <f>MAX(T48-V48,W48-Y48,Z48-AB48,AC48-AE48)</f>
        <v>47.2</v>
      </c>
      <c r="S48" s="4">
        <f>IF(R48=T48-V48,MAX(W48-Y48,Z48-AB48,AC48-AE48),IF(R48=W48-Y48,MAX(T48-V48,Z48-AB48,AC48-AE48),IF(R48=Z48-AB48,MAX(T48-V48,W48-Y48,AC48-AE48),IF(R48=AC48-AE48,MAX(T48-V48,W48-Y48,Z48-AB48),0))))</f>
        <v>45.1</v>
      </c>
      <c r="T48" s="32">
        <v>45.1</v>
      </c>
      <c r="U48" s="37">
        <v>10.4</v>
      </c>
      <c r="V48" s="37">
        <v>0</v>
      </c>
      <c r="W48" s="33">
        <v>47.2</v>
      </c>
      <c r="X48" s="37">
        <v>11.2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$68&lt;&gt;"")*(G$3:G$68=G49)*(J$3:J$68&gt;J49)*(I$3:I$68="P"))+1,IF(O49&lt;&gt;"",SUMPRODUCT((O$3:O$68&lt;&gt;"")*(P$3:P$68="")*(G$3:G$68=G49)*(J$3:J$68&gt;J49)*(I$3:I$68="P"))+SUMPRODUCT((P$3:P$68&lt;&gt;"")*(G$3:G$68=G49)*(I$3:I$68="P"))+1,IF(N49&lt;&gt;"",SUMPRODUCT((N$3:N$68&lt;&gt;"")*(G$3:G$68=G49)*(J$3:J$68&gt;J49)*(I$3:I$68="P"))+1,IF(M49="P",SUMPRODUCT((O$3:O$68&lt;&gt;"")*(P$3:P$68="")*(G$3:G$68=G49)*(I$3:I$68="P"))+SUMPRODUCT((P$3:P$68&lt;&gt;"")*(G$3:G$68=G49)*(I$3:I$68="P"))+SUMPRODUCT((N$3:N$68&lt;&gt;"")*(G$3:G$68=G49)*(I$3:I$68="P"))+SUMPRODUCT((P$3:P$68="")*(O$3:O$68="")*(N$3:N$68="")*(M$3:M$68="P")*(G$3:G$68=G49)*(J$3:J$68&gt;J49)*(I$3:I$68="P"))+IF(H49="L5",SUMPRODUCT((P$3:P$68="")*(O$3:O$68="")*(N$3:N$68="")*(M$3:M$68="P")*(G$3:G$68=G49)*(J$3:J$68&lt;J49)*(H$3:H$68&lt;&gt;H49)*(I$3:I$68="P")),-1*SUMPRODUCT((P$3:P$68="")*(O$3:O$68="")*(N$3:N$68="")*(M$3:M$68="P")*(G$3:G$68=G49)*(J$3:J$68&gt;J49)*(H$3:H$68="L5")*(I$3:I$68="P")))+1,"")))))</f>
        <v/>
      </c>
      <c r="B49" s="1" cm="1">
        <f t="array" ref="B49">IF(P49&lt;&gt;"",SUMPRODUCT((P$3:P$68&lt;&gt;"")*(G$3:G$68=G49)*(J$3:J$68&gt;J49))+1,IF(O49&lt;&gt;"",SUMPRODUCT((O$3:O$68&lt;&gt;"")*(P$3:P$68="")*(G$3:G$68=G49)*(J$3:J$68&gt;J49))+SUMPRODUCT((P$3:P$68&lt;&gt;"")*(G$3:G$68=G49))+1,IF(N49&lt;&gt;"",SUMPRODUCT((N$3:N$68&lt;&gt;"")*(G$3:G$68=G49)*(J$3:J$68&gt;J49))+1,IF(M49="P",SUMPRODUCT((O$3:O$68&lt;&gt;"")*(P$3:P$68="")*(G$3:G$68=G49))+SUMPRODUCT((P$3:P$68&lt;&gt;"")*(G$3:G$68=G49))+SUMPRODUCT((N$3:N$68&lt;&gt;"")*(G$3:G$68=G49))+SUMPRODUCT((P$3:P$68="")*(O$3:O$68="")*(N$3:N$68="")*(M$3:M$68="P")*(G$3:G$68=G49)*(J$3:J$68&gt;J49))+IF(H49="L5",SUMPRODUCT((P$3:P$68="")*(O$3:O$68="")*(N$3:N$68="")*(M$3:M$68="P")*(G$3:G$68=G49)*(J$3:J$68&lt;J49)*(H$3:H$68&lt;&gt;H49)),-1*SUMPRODUCT((P$3:P$68="")*(O$3:O$68="")*(N$3:N$68="")*(M$3:M$68="P")*(G$3:G$68=G49)*(J$3:J$68&gt;J49)*(H$3:H$68="L5")))+1,""))))</f>
        <v>5</v>
      </c>
      <c r="C49" s="35" t="s">
        <v>211</v>
      </c>
      <c r="D49" s="35" t="str">
        <f>IF(E49="","",VLOOKUP(E49,'Coaching Points'!A:B,2,0))</f>
        <v>AB</v>
      </c>
      <c r="E49" s="35" t="s">
        <v>56</v>
      </c>
      <c r="F49" s="34">
        <v>2008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65</v>
      </c>
      <c r="I49" s="40"/>
      <c r="J49" s="4">
        <f>R49+IF(OR(H49="Junior",H49="Senior"),0.0002,IF(OR(H49="L7",H49="L6"),0.0001,0))+MAX(Z49,AC49)*0.0000001</f>
        <v>45.500100000000003</v>
      </c>
      <c r="K49" s="3" t="str">
        <f>IF(G49="Not Age Eligible","",IF(MAX(T49,W49,Z49,AC49)&gt;=LOOKUP(G49,'Qualifying Scores'!$A$4:$A$7,'Qualifying Scores'!$G$4:$G$7),"P",""))</f>
        <v>P</v>
      </c>
      <c r="L49" s="3" t="str">
        <f>IF(G49="Not Age Eligible","",IF(MAX(U49,X49,AA49,AD49)&gt;=LOOKUP(G49,'Qualifying Scores'!$A$10:$A$13,'Qualifying Scores'!$G$10:$G$13),"P",""))</f>
        <v>P</v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>P</v>
      </c>
      <c r="Q49" s="1" t="str">
        <f>IF(A49&lt;5,IF(_xlfn.MAXIFS(A:A,G:G,G49)&gt;3,5-A49,_xlfn.MAXIFS(A:A,G:G,G49)+1-A49),"")</f>
        <v/>
      </c>
      <c r="R49" s="4">
        <f>MAX(T49-V49,W49-Y49,Z49-AB49,AC49-AE49)</f>
        <v>45.5</v>
      </c>
      <c r="S49" s="4">
        <f>IF(R49=T49-V49,MAX(W49-Y49,Z49-AB49,AC49-AE49),IF(R49=W49-Y49,MAX(T49-V49,Z49-AB49,AC49-AE49),IF(R49=Z49-AB49,MAX(T49-V49,W49-Y49,AC49-AE49),IF(R49=AC49-AE49,MAX(T49-V49,W49-Y49,Z49-AB49),0))))</f>
        <v>44.2</v>
      </c>
      <c r="T49" s="32">
        <v>45.5</v>
      </c>
      <c r="U49" s="37">
        <v>8.8000000000000007</v>
      </c>
      <c r="V49" s="37">
        <v>0</v>
      </c>
      <c r="W49" s="33">
        <v>44.5</v>
      </c>
      <c r="X49" s="37">
        <v>8.3000000000000007</v>
      </c>
      <c r="Y49" s="37">
        <v>0.3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$68&lt;&gt;"")*(G$3:G$68=G50)*(J$3:J$68&gt;J50)*(I$3:I$68="P"))+1,IF(O50&lt;&gt;"",SUMPRODUCT((O$3:O$68&lt;&gt;"")*(P$3:P$68="")*(G$3:G$68=G50)*(J$3:J$68&gt;J50)*(I$3:I$68="P"))+SUMPRODUCT((P$3:P$68&lt;&gt;"")*(G$3:G$68=G50)*(I$3:I$68="P"))+1,IF(N50&lt;&gt;"",SUMPRODUCT((N$3:N$68&lt;&gt;"")*(G$3:G$68=G50)*(J$3:J$68&gt;J50)*(I$3:I$68="P"))+1,IF(M50="P",SUMPRODUCT((O$3:O$68&lt;&gt;"")*(P$3:P$68="")*(G$3:G$68=G50)*(I$3:I$68="P"))+SUMPRODUCT((P$3:P$68&lt;&gt;"")*(G$3:G$68=G50)*(I$3:I$68="P"))+SUMPRODUCT((N$3:N$68&lt;&gt;"")*(G$3:G$68=G50)*(I$3:I$68="P"))+SUMPRODUCT((P$3:P$68="")*(O$3:O$68="")*(N$3:N$68="")*(M$3:M$68="P")*(G$3:G$68=G50)*(J$3:J$68&gt;J50)*(I$3:I$68="P"))+IF(H50="L5",SUMPRODUCT((P$3:P$68="")*(O$3:O$68="")*(N$3:N$68="")*(M$3:M$68="P")*(G$3:G$68=G50)*(J$3:J$68&lt;J50)*(H$3:H$68&lt;&gt;H50)*(I$3:I$68="P")),-1*SUMPRODUCT((P$3:P$68="")*(O$3:O$68="")*(N$3:N$68="")*(M$3:M$68="P")*(G$3:G$68=G50)*(J$3:J$68&gt;J50)*(H$3:H$68="L5")*(I$3:I$68="P")))+1,"")))))</f>
        <v/>
      </c>
      <c r="B50" s="1" t="str" cm="1">
        <f t="array" ref="B50">IF(P50&lt;&gt;"",SUMPRODUCT((P$3:P$68&lt;&gt;"")*(G$3:G$68=G50)*(J$3:J$68&gt;J50))+1,IF(O50&lt;&gt;"",SUMPRODUCT((O$3:O$68&lt;&gt;"")*(P$3:P$68="")*(G$3:G$68=G50)*(J$3:J$68&gt;J50))+SUMPRODUCT((P$3:P$68&lt;&gt;"")*(G$3:G$68=G50))+1,IF(N50&lt;&gt;"",SUMPRODUCT((N$3:N$68&lt;&gt;"")*(G$3:G$68=G50)*(J$3:J$68&gt;J50))+1,IF(M50="P",SUMPRODUCT((O$3:O$68&lt;&gt;"")*(P$3:P$68="")*(G$3:G$68=G50))+SUMPRODUCT((P$3:P$68&lt;&gt;"")*(G$3:G$68=G50))+SUMPRODUCT((N$3:N$68&lt;&gt;"")*(G$3:G$68=G50))+SUMPRODUCT((P$3:P$68="")*(O$3:O$68="")*(N$3:N$68="")*(M$3:M$68="P")*(G$3:G$68=G50)*(J$3:J$68&gt;J50))+IF(H50="L5",SUMPRODUCT((P$3:P$68="")*(O$3:O$68="")*(N$3:N$68="")*(M$3:M$68="P")*(G$3:G$68=G50)*(J$3:J$68&lt;J50)*(H$3:H$68&lt;&gt;H50)),-1*SUMPRODUCT((P$3:P$68="")*(O$3:O$68="")*(N$3:N$68="")*(M$3:M$68="P")*(G$3:G$68=G50)*(J$3:J$68&gt;J50)*(H$3:H$68="L5")))+1,""))))</f>
        <v/>
      </c>
      <c r="C50" s="35" t="s">
        <v>177</v>
      </c>
      <c r="D50" s="35" t="str">
        <f>IF(E50="","",VLOOKUP(E50,'Coaching Points'!A:B,2,0))</f>
        <v>QC</v>
      </c>
      <c r="E50" s="35" t="s">
        <v>85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65</v>
      </c>
      <c r="I50" s="40"/>
      <c r="J50" s="4">
        <f>R50+IF(OR(H50="Junior",H50="Senior"),0.0002,IF(OR(H50="L7",H50="L6"),0.0001,0))+MAX(Z50,AC50)*0.0000001</f>
        <v>44.400100000000002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MAX(T50-V50,W50-Y50,Z50-AB50,AC50-AE50)</f>
        <v>44.4</v>
      </c>
      <c r="S50" s="4">
        <f>IF(R50=T50-V50,MAX(W50-Y50,Z50-AB50,AC50-AE50),IF(R50=W50-Y50,MAX(T50-V50,Z50-AB50,AC50-AE50),IF(R50=Z50-AB50,MAX(T50-V50,W50-Y50,AC50-AE50),IF(R50=AC50-AE50,MAX(T50-V50,W50-Y50,Z50-AB50),0))))</f>
        <v>43.800000000000004</v>
      </c>
      <c r="T50" s="32">
        <v>44.4</v>
      </c>
      <c r="U50" s="37">
        <v>7</v>
      </c>
      <c r="V50" s="37">
        <v>0</v>
      </c>
      <c r="W50" s="33">
        <v>44.1</v>
      </c>
      <c r="X50" s="37">
        <v>7.8000000000000007</v>
      </c>
      <c r="Y50" s="37">
        <v>0.3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$68&lt;&gt;"")*(G$3:G$68=G51)*(J$3:J$68&gt;J51)*(I$3:I$68="P"))+1,IF(O51&lt;&gt;"",SUMPRODUCT((O$3:O$68&lt;&gt;"")*(P$3:P$68="")*(G$3:G$68=G51)*(J$3:J$68&gt;J51)*(I$3:I$68="P"))+SUMPRODUCT((P$3:P$68&lt;&gt;"")*(G$3:G$68=G51)*(I$3:I$68="P"))+1,IF(N51&lt;&gt;"",SUMPRODUCT((N$3:N$68&lt;&gt;"")*(G$3:G$68=G51)*(J$3:J$68&gt;J51)*(I$3:I$68="P"))+1,IF(M51="P",SUMPRODUCT((O$3:O$68&lt;&gt;"")*(P$3:P$68="")*(G$3:G$68=G51)*(I$3:I$68="P"))+SUMPRODUCT((P$3:P$68&lt;&gt;"")*(G$3:G$68=G51)*(I$3:I$68="P"))+SUMPRODUCT((N$3:N$68&lt;&gt;"")*(G$3:G$68=G51)*(I$3:I$68="P"))+SUMPRODUCT((P$3:P$68="")*(O$3:O$68="")*(N$3:N$68="")*(M$3:M$68="P")*(G$3:G$68=G51)*(J$3:J$68&gt;J51)*(I$3:I$68="P"))+IF(H51="L5",SUMPRODUCT((P$3:P$68="")*(O$3:O$68="")*(N$3:N$68="")*(M$3:M$68="P")*(G$3:G$68=G51)*(J$3:J$68&lt;J51)*(H$3:H$68&lt;&gt;H51)*(I$3:I$68="P")),-1*SUMPRODUCT((P$3:P$68="")*(O$3:O$68="")*(N$3:N$68="")*(M$3:M$68="P")*(G$3:G$68=G51)*(J$3:J$68&gt;J51)*(H$3:H$68="L5")*(I$3:I$68="P")))+1,"")))))</f>
        <v/>
      </c>
      <c r="B51" s="1" t="str" cm="1">
        <f t="array" ref="B51">IF(P51&lt;&gt;"",SUMPRODUCT((P$3:P$68&lt;&gt;"")*(G$3:G$68=G51)*(J$3:J$68&gt;J51))+1,IF(O51&lt;&gt;"",SUMPRODUCT((O$3:O$68&lt;&gt;"")*(P$3:P$68="")*(G$3:G$68=G51)*(J$3:J$68&gt;J51))+SUMPRODUCT((P$3:P$68&lt;&gt;"")*(G$3:G$68=G51))+1,IF(N51&lt;&gt;"",SUMPRODUCT((N$3:N$68&lt;&gt;"")*(G$3:G$68=G51)*(J$3:J$68&gt;J51))+1,IF(M51="P",SUMPRODUCT((O$3:O$68&lt;&gt;"")*(P$3:P$68="")*(G$3:G$68=G51))+SUMPRODUCT((P$3:P$68&lt;&gt;"")*(G$3:G$68=G51))+SUMPRODUCT((N$3:N$68&lt;&gt;"")*(G$3:G$68=G51))+SUMPRODUCT((P$3:P$68="")*(O$3:O$68="")*(N$3:N$68="")*(M$3:M$68="P")*(G$3:G$68=G51)*(J$3:J$68&gt;J51))+IF(H51="L5",SUMPRODUCT((P$3:P$68="")*(O$3:O$68="")*(N$3:N$68="")*(M$3:M$68="P")*(G$3:G$68=G51)*(J$3:J$68&lt;J51)*(H$3:H$68&lt;&gt;H51)),-1*SUMPRODUCT((P$3:P$68="")*(O$3:O$68="")*(N$3:N$68="")*(M$3:M$68="P")*(G$3:G$68=G51)*(J$3:J$68&gt;J51)*(H$3:H$68="L5")))+1,""))))</f>
        <v/>
      </c>
      <c r="C51" s="35" t="s">
        <v>271</v>
      </c>
      <c r="D51" s="35" t="str">
        <f>IF(E51="","",VLOOKUP(E51,'Coaching Points'!A:B,2,0))</f>
        <v>SK</v>
      </c>
      <c r="E51" s="35" t="s">
        <v>329</v>
      </c>
      <c r="F51" s="34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>R51+IF(OR(H51="Junior",H51="Senior"),0.0002,IF(OR(H51="L7",H51="L6"),0.0001,0))+MAX(Z51,AC51)*0.0000001</f>
        <v>43.7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MAX(T51-V51,W51-Y51,Z51-AB51,AC51-AE51)</f>
        <v>43.7</v>
      </c>
      <c r="S51" s="4">
        <f>IF(R51=T51-V51,MAX(W51-Y51,Z51-AB51,AC51-AE51),IF(R51=W51-Y51,MAX(T51-V51,Z51-AB51,AC51-AE51),IF(R51=Z51-AB51,MAX(T51-V51,W51-Y51,AC51-AE51),IF(R51=AC51-AE51,MAX(T51-V51,W51-Y51,Z51-AB51),0))))</f>
        <v>43</v>
      </c>
      <c r="T51" s="32">
        <v>43.7</v>
      </c>
      <c r="U51" s="37">
        <v>6.3000000000000007</v>
      </c>
      <c r="V51" s="37">
        <v>0</v>
      </c>
      <c r="W51" s="33">
        <v>43</v>
      </c>
      <c r="X51" s="37">
        <v>5.0999999999999996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$68&lt;&gt;"")*(G$3:G$68=G52)*(J$3:J$68&gt;J52)*(I$3:I$68="P"))+1,IF(O52&lt;&gt;"",SUMPRODUCT((O$3:O$68&lt;&gt;"")*(P$3:P$68="")*(G$3:G$68=G52)*(J$3:J$68&gt;J52)*(I$3:I$68="P"))+SUMPRODUCT((P$3:P$68&lt;&gt;"")*(G$3:G$68=G52)*(I$3:I$68="P"))+1,IF(N52&lt;&gt;"",SUMPRODUCT((N$3:N$68&lt;&gt;"")*(G$3:G$68=G52)*(J$3:J$68&gt;J52)*(I$3:I$68="P"))+1,IF(M52="P",SUMPRODUCT((O$3:O$68&lt;&gt;"")*(P$3:P$68="")*(G$3:G$68=G52)*(I$3:I$68="P"))+SUMPRODUCT((P$3:P$68&lt;&gt;"")*(G$3:G$68=G52)*(I$3:I$68="P"))+SUMPRODUCT((N$3:N$68&lt;&gt;"")*(G$3:G$68=G52)*(I$3:I$68="P"))+SUMPRODUCT((P$3:P$68="")*(O$3:O$68="")*(N$3:N$68="")*(M$3:M$68="P")*(G$3:G$68=G52)*(J$3:J$68&gt;J52)*(I$3:I$68="P"))+IF(H52="L5",SUMPRODUCT((P$3:P$68="")*(O$3:O$68="")*(N$3:N$68="")*(M$3:M$68="P")*(G$3:G$68=G52)*(J$3:J$68&lt;J52)*(H$3:H$68&lt;&gt;H52)*(I$3:I$68="P")),-1*SUMPRODUCT((P$3:P$68="")*(O$3:O$68="")*(N$3:N$68="")*(M$3:M$68="P")*(G$3:G$68=G52)*(J$3:J$68&gt;J52)*(H$3:H$68="L5")*(I$3:I$68="P")))+1,"")))))</f>
        <v/>
      </c>
      <c r="B52" s="1" t="str" cm="1">
        <f t="array" ref="B52">IF(P52&lt;&gt;"",SUMPRODUCT((P$3:P$68&lt;&gt;"")*(G$3:G$68=G52)*(J$3:J$68&gt;J52))+1,IF(O52&lt;&gt;"",SUMPRODUCT((O$3:O$68&lt;&gt;"")*(P$3:P$68="")*(G$3:G$68=G52)*(J$3:J$68&gt;J52))+SUMPRODUCT((P$3:P$68&lt;&gt;"")*(G$3:G$68=G52))+1,IF(N52&lt;&gt;"",SUMPRODUCT((N$3:N$68&lt;&gt;"")*(G$3:G$68=G52)*(J$3:J$68&gt;J52))+1,IF(M52="P",SUMPRODUCT((O$3:O$68&lt;&gt;"")*(P$3:P$68="")*(G$3:G$68=G52))+SUMPRODUCT((P$3:P$68&lt;&gt;"")*(G$3:G$68=G52))+SUMPRODUCT((N$3:N$68&lt;&gt;"")*(G$3:G$68=G52))+SUMPRODUCT((P$3:P$68="")*(O$3:O$68="")*(N$3:N$68="")*(M$3:M$68="P")*(G$3:G$68=G52)*(J$3:J$68&gt;J52))+IF(H52="L5",SUMPRODUCT((P$3:P$68="")*(O$3:O$68="")*(N$3:N$68="")*(M$3:M$68="P")*(G$3:G$68=G52)*(J$3:J$68&lt;J52)*(H$3:H$68&lt;&gt;H52)),-1*SUMPRODUCT((P$3:P$68="")*(O$3:O$68="")*(N$3:N$68="")*(M$3:M$68="P")*(G$3:G$68=G52)*(J$3:J$68&gt;J52)*(H$3:H$68="L5")))+1,""))))</f>
        <v/>
      </c>
      <c r="C52" s="35" t="s">
        <v>264</v>
      </c>
      <c r="D52" s="35" t="str">
        <f>IF(E52="","",VLOOKUP(E52,'Coaching Points'!A:B,2,0))</f>
        <v>QC</v>
      </c>
      <c r="E52" s="35" t="s">
        <v>85</v>
      </c>
      <c r="F52" s="34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64</v>
      </c>
      <c r="I52" s="40"/>
      <c r="J52" s="4">
        <f>R52+IF(OR(H52="Junior",H52="Senior"),0.0002,IF(OR(H52="L7",H52="L6"),0.0001,0))+MAX(Z52,AC52)*0.0000001</f>
        <v>43.7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MAX(T52-V52,W52-Y52,Z52-AB52,AC52-AE52)</f>
        <v>43.7</v>
      </c>
      <c r="S52" s="4">
        <f>IF(R52=T52-V52,MAX(W52-Y52,Z52-AB52,AC52-AE52),IF(R52=W52-Y52,MAX(T52-V52,Z52-AB52,AC52-AE52),IF(R52=Z52-AB52,MAX(T52-V52,W52-Y52,AC52-AE52),IF(R52=AC52-AE52,MAX(T52-V52,W52-Y52,Z52-AB52),0))))</f>
        <v>40.6</v>
      </c>
      <c r="T52" s="32">
        <v>43.7</v>
      </c>
      <c r="U52" s="37">
        <v>5.0999999999999996</v>
      </c>
      <c r="V52" s="37">
        <v>0</v>
      </c>
      <c r="W52" s="33">
        <v>40.6</v>
      </c>
      <c r="X52" s="37">
        <v>4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$68&lt;&gt;"")*(G$3:G$68=G53)*(J$3:J$68&gt;J53)*(I$3:I$68="P"))+1,IF(O53&lt;&gt;"",SUMPRODUCT((O$3:O$68&lt;&gt;"")*(P$3:P$68="")*(G$3:G$68=G53)*(J$3:J$68&gt;J53)*(I$3:I$68="P"))+SUMPRODUCT((P$3:P$68&lt;&gt;"")*(G$3:G$68=G53)*(I$3:I$68="P"))+1,IF(N53&lt;&gt;"",SUMPRODUCT((N$3:N$68&lt;&gt;"")*(G$3:G$68=G53)*(J$3:J$68&gt;J53)*(I$3:I$68="P"))+1,IF(M53="P",SUMPRODUCT((O$3:O$68&lt;&gt;"")*(P$3:P$68="")*(G$3:G$68=G53)*(I$3:I$68="P"))+SUMPRODUCT((P$3:P$68&lt;&gt;"")*(G$3:G$68=G53)*(I$3:I$68="P"))+SUMPRODUCT((N$3:N$68&lt;&gt;"")*(G$3:G$68=G53)*(I$3:I$68="P"))+SUMPRODUCT((P$3:P$68="")*(O$3:O$68="")*(N$3:N$68="")*(M$3:M$68="P")*(G$3:G$68=G53)*(J$3:J$68&gt;J53)*(I$3:I$68="P"))+IF(H53="L5",SUMPRODUCT((P$3:P$68="")*(O$3:O$68="")*(N$3:N$68="")*(M$3:M$68="P")*(G$3:G$68=G53)*(J$3:J$68&lt;J53)*(H$3:H$68&lt;&gt;H53)*(I$3:I$68="P")),-1*SUMPRODUCT((P$3:P$68="")*(O$3:O$68="")*(N$3:N$68="")*(M$3:M$68="P")*(G$3:G$68=G53)*(J$3:J$68&gt;J53)*(H$3:H$68="L5")*(I$3:I$68="P")))+1,"")))))</f>
        <v/>
      </c>
      <c r="B53" s="1" t="str" cm="1">
        <f t="array" ref="B53">IF(P53&lt;&gt;"",SUMPRODUCT((P$3:P$68&lt;&gt;"")*(G$3:G$68=G53)*(J$3:J$68&gt;J53))+1,IF(O53&lt;&gt;"",SUMPRODUCT((O$3:O$68&lt;&gt;"")*(P$3:P$68="")*(G$3:G$68=G53)*(J$3:J$68&gt;J53))+SUMPRODUCT((P$3:P$68&lt;&gt;"")*(G$3:G$68=G53))+1,IF(N53&lt;&gt;"",SUMPRODUCT((N$3:N$68&lt;&gt;"")*(G$3:G$68=G53)*(J$3:J$68&gt;J53))+1,IF(M53="P",SUMPRODUCT((O$3:O$68&lt;&gt;"")*(P$3:P$68="")*(G$3:G$68=G53))+SUMPRODUCT((P$3:P$68&lt;&gt;"")*(G$3:G$68=G53))+SUMPRODUCT((N$3:N$68&lt;&gt;"")*(G$3:G$68=G53))+SUMPRODUCT((P$3:P$68="")*(O$3:O$68="")*(N$3:N$68="")*(M$3:M$68="P")*(G$3:G$68=G53)*(J$3:J$68&gt;J53))+IF(H53="L5",SUMPRODUCT((P$3:P$68="")*(O$3:O$68="")*(N$3:N$68="")*(M$3:M$68="P")*(G$3:G$68=G53)*(J$3:J$68&lt;J53)*(H$3:H$68&lt;&gt;H53)),-1*SUMPRODUCT((P$3:P$68="")*(O$3:O$68="")*(N$3:N$68="")*(M$3:M$68="P")*(G$3:G$68=G53)*(J$3:J$68&gt;J53)*(H$3:H$68="L5")))+1,""))))</f>
        <v/>
      </c>
      <c r="C53" s="35" t="s">
        <v>214</v>
      </c>
      <c r="D53" s="35" t="str">
        <f>IF(E53="","",VLOOKUP(E53,'Coaching Points'!A:B,2,0))</f>
        <v>AB</v>
      </c>
      <c r="E53" s="35" t="s">
        <v>39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65</v>
      </c>
      <c r="I53" s="40"/>
      <c r="J53" s="4">
        <f>R53+IF(OR(H53="Junior",H53="Senior"),0.0002,IF(OR(H53="L7",H53="L6"),0.0001,0))+MAX(Z53,AC53)*0.0000001</f>
        <v>43.600100000000005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MAX(T53-V53,W53-Y53,Z53-AB53,AC53-AE53)</f>
        <v>43.6</v>
      </c>
      <c r="S53" s="4">
        <f>IF(R53=T53-V53,MAX(W53-Y53,Z53-AB53,AC53-AE53),IF(R53=W53-Y53,MAX(T53-V53,Z53-AB53,AC53-AE53),IF(R53=Z53-AB53,MAX(T53-V53,W53-Y53,AC53-AE53),IF(R53=AC53-AE53,MAX(T53-V53,W53-Y53,Z53-AB53),0))))</f>
        <v>42.4</v>
      </c>
      <c r="T53" s="32">
        <v>43.6</v>
      </c>
      <c r="U53" s="37">
        <v>6.8</v>
      </c>
      <c r="V53" s="37">
        <v>0</v>
      </c>
      <c r="W53" s="33">
        <v>42.4</v>
      </c>
      <c r="X53" s="37">
        <v>6.1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$68&lt;&gt;"")*(G$3:G$68=G54)*(J$3:J$68&gt;J54)*(I$3:I$68="P"))+1,IF(O54&lt;&gt;"",SUMPRODUCT((O$3:O$68&lt;&gt;"")*(P$3:P$68="")*(G$3:G$68=G54)*(J$3:J$68&gt;J54)*(I$3:I$68="P"))+SUMPRODUCT((P$3:P$68&lt;&gt;"")*(G$3:G$68=G54)*(I$3:I$68="P"))+1,IF(N54&lt;&gt;"",SUMPRODUCT((N$3:N$68&lt;&gt;"")*(G$3:G$68=G54)*(J$3:J$68&gt;J54)*(I$3:I$68="P"))+1,IF(M54="P",SUMPRODUCT((O$3:O$68&lt;&gt;"")*(P$3:P$68="")*(G$3:G$68=G54)*(I$3:I$68="P"))+SUMPRODUCT((P$3:P$68&lt;&gt;"")*(G$3:G$68=G54)*(I$3:I$68="P"))+SUMPRODUCT((N$3:N$68&lt;&gt;"")*(G$3:G$68=G54)*(I$3:I$68="P"))+SUMPRODUCT((P$3:P$68="")*(O$3:O$68="")*(N$3:N$68="")*(M$3:M$68="P")*(G$3:G$68=G54)*(J$3:J$68&gt;J54)*(I$3:I$68="P"))+IF(H54="L5",SUMPRODUCT((P$3:P$68="")*(O$3:O$68="")*(N$3:N$68="")*(M$3:M$68="P")*(G$3:G$68=G54)*(J$3:J$68&lt;J54)*(H$3:H$68&lt;&gt;H54)*(I$3:I$68="P")),-1*SUMPRODUCT((P$3:P$68="")*(O$3:O$68="")*(N$3:N$68="")*(M$3:M$68="P")*(G$3:G$68=G54)*(J$3:J$68&gt;J54)*(H$3:H$68="L5")*(I$3:I$68="P")))+1,"")))))</f>
        <v/>
      </c>
      <c r="B54" s="1" t="str" cm="1">
        <f t="array" ref="B54">IF(P54&lt;&gt;"",SUMPRODUCT((P$3:P$68&lt;&gt;"")*(G$3:G$68=G54)*(J$3:J$68&gt;J54))+1,IF(O54&lt;&gt;"",SUMPRODUCT((O$3:O$68&lt;&gt;"")*(P$3:P$68="")*(G$3:G$68=G54)*(J$3:J$68&gt;J54))+SUMPRODUCT((P$3:P$68&lt;&gt;"")*(G$3:G$68=G54))+1,IF(N54&lt;&gt;"",SUMPRODUCT((N$3:N$68&lt;&gt;"")*(G$3:G$68=G54)*(J$3:J$68&gt;J54))+1,IF(M54="P",SUMPRODUCT((O$3:O$68&lt;&gt;"")*(P$3:P$68="")*(G$3:G$68=G54))+SUMPRODUCT((P$3:P$68&lt;&gt;"")*(G$3:G$68=G54))+SUMPRODUCT((N$3:N$68&lt;&gt;"")*(G$3:G$68=G54))+SUMPRODUCT((P$3:P$68="")*(O$3:O$68="")*(N$3:N$68="")*(M$3:M$68="P")*(G$3:G$68=G54)*(J$3:J$68&gt;J54))+IF(H54="L5",SUMPRODUCT((P$3:P$68="")*(O$3:O$68="")*(N$3:N$68="")*(M$3:M$68="P")*(G$3:G$68=G54)*(J$3:J$68&lt;J54)*(H$3:H$68&lt;&gt;H54)),-1*SUMPRODUCT((P$3:P$68="")*(O$3:O$68="")*(N$3:N$68="")*(M$3:M$68="P")*(G$3:G$68=G54)*(J$3:J$68&gt;J54)*(H$3:H$68="L5")))+1,""))))</f>
        <v/>
      </c>
      <c r="C54" s="35" t="s">
        <v>176</v>
      </c>
      <c r="D54" s="35" t="str">
        <f>IF(E54="","",VLOOKUP(E54,'Coaching Points'!A:B,2,0))</f>
        <v>AB</v>
      </c>
      <c r="E54" s="35" t="s">
        <v>56</v>
      </c>
      <c r="F54" s="34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65</v>
      </c>
      <c r="I54" s="40"/>
      <c r="J54" s="4">
        <f>R54+IF(OR(H54="Junior",H54="Senior"),0.0002,IF(OR(H54="L7",H54="L6"),0.0001,0))+MAX(Z54,AC54)*0.0000001</f>
        <v>43.600100000000005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MAX(T54-V54,W54-Y54,Z54-AB54,AC54-AE54)</f>
        <v>43.6</v>
      </c>
      <c r="S54" s="4">
        <f>IF(R54=T54-V54,MAX(W54-Y54,Z54-AB54,AC54-AE54),IF(R54=W54-Y54,MAX(T54-V54,Z54-AB54,AC54-AE54),IF(R54=Z54-AB54,MAX(T54-V54,W54-Y54,AC54-AE54),IF(R54=AC54-AE54,MAX(T54-V54,W54-Y54,Z54-AB54),0))))</f>
        <v>40.4</v>
      </c>
      <c r="T54" s="32">
        <v>43.6</v>
      </c>
      <c r="U54" s="37">
        <v>7.7</v>
      </c>
      <c r="V54" s="37">
        <v>0</v>
      </c>
      <c r="W54" s="33">
        <v>40.4</v>
      </c>
      <c r="X54" s="37">
        <v>5.0999999999999996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$68&lt;&gt;"")*(G$3:G$68=G55)*(J$3:J$68&gt;J55)*(I$3:I$68="P"))+1,IF(O55&lt;&gt;"",SUMPRODUCT((O$3:O$68&lt;&gt;"")*(P$3:P$68="")*(G$3:G$68=G55)*(J$3:J$68&gt;J55)*(I$3:I$68="P"))+SUMPRODUCT((P$3:P$68&lt;&gt;"")*(G$3:G$68=G55)*(I$3:I$68="P"))+1,IF(N55&lt;&gt;"",SUMPRODUCT((N$3:N$68&lt;&gt;"")*(G$3:G$68=G55)*(J$3:J$68&gt;J55)*(I$3:I$68="P"))+1,IF(M55="P",SUMPRODUCT((O$3:O$68&lt;&gt;"")*(P$3:P$68="")*(G$3:G$68=G55)*(I$3:I$68="P"))+SUMPRODUCT((P$3:P$68&lt;&gt;"")*(G$3:G$68=G55)*(I$3:I$68="P"))+SUMPRODUCT((N$3:N$68&lt;&gt;"")*(G$3:G$68=G55)*(I$3:I$68="P"))+SUMPRODUCT((P$3:P$68="")*(O$3:O$68="")*(N$3:N$68="")*(M$3:M$68="P")*(G$3:G$68=G55)*(J$3:J$68&gt;J55)*(I$3:I$68="P"))+IF(H55="L5",SUMPRODUCT((P$3:P$68="")*(O$3:O$68="")*(N$3:N$68="")*(M$3:M$68="P")*(G$3:G$68=G55)*(J$3:J$68&lt;J55)*(H$3:H$68&lt;&gt;H55)*(I$3:I$68="P")),-1*SUMPRODUCT((P$3:P$68="")*(O$3:O$68="")*(N$3:N$68="")*(M$3:M$68="P")*(G$3:G$68=G55)*(J$3:J$68&gt;J55)*(H$3:H$68="L5")*(I$3:I$68="P")))+1,"")))))</f>
        <v/>
      </c>
      <c r="B55" s="1" t="str" cm="1">
        <f t="array" ref="B55">IF(P55&lt;&gt;"",SUMPRODUCT((P$3:P$68&lt;&gt;"")*(G$3:G$68=G55)*(J$3:J$68&gt;J55))+1,IF(O55&lt;&gt;"",SUMPRODUCT((O$3:O$68&lt;&gt;"")*(P$3:P$68="")*(G$3:G$68=G55)*(J$3:J$68&gt;J55))+SUMPRODUCT((P$3:P$68&lt;&gt;"")*(G$3:G$68=G55))+1,IF(N55&lt;&gt;"",SUMPRODUCT((N$3:N$68&lt;&gt;"")*(G$3:G$68=G55)*(J$3:J$68&gt;J55))+1,IF(M55="P",SUMPRODUCT((O$3:O$68&lt;&gt;"")*(P$3:P$68="")*(G$3:G$68=G55))+SUMPRODUCT((P$3:P$68&lt;&gt;"")*(G$3:G$68=G55))+SUMPRODUCT((N$3:N$68&lt;&gt;"")*(G$3:G$68=G55))+SUMPRODUCT((P$3:P$68="")*(O$3:O$68="")*(N$3:N$68="")*(M$3:M$68="P")*(G$3:G$68=G55)*(J$3:J$68&gt;J55))+IF(H55="L5",SUMPRODUCT((P$3:P$68="")*(O$3:O$68="")*(N$3:N$68="")*(M$3:M$68="P")*(G$3:G$68=G55)*(J$3:J$68&lt;J55)*(H$3:H$68&lt;&gt;H55)),-1*SUMPRODUCT((P$3:P$68="")*(O$3:O$68="")*(N$3:N$68="")*(M$3:M$68="P")*(G$3:G$68=G55)*(J$3:J$68&gt;J55)*(H$3:H$68="L5")))+1,""))))</f>
        <v/>
      </c>
      <c r="C55" s="35" t="s">
        <v>121</v>
      </c>
      <c r="D55" s="35" t="str">
        <f>IF(E55="","",VLOOKUP(E55,'Coaching Points'!A:B,2,0))</f>
        <v>QC</v>
      </c>
      <c r="E55" s="35" t="s">
        <v>57</v>
      </c>
      <c r="F55" s="34">
        <v>2008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64</v>
      </c>
      <c r="I55" s="40"/>
      <c r="J55" s="4">
        <f>R55+IF(OR(H55="Junior",H55="Senior"),0.0002,IF(OR(H55="L7",H55="L6"),0.0001,0))+MAX(Z55,AC55)*0.0000001</f>
        <v>42.9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MAX(T55-V55,W55-Y55,Z55-AB55,AC55-AE55)</f>
        <v>42.9</v>
      </c>
      <c r="S55" s="4">
        <f>IF(R55=T55-V55,MAX(W55-Y55,Z55-AB55,AC55-AE55),IF(R55=W55-Y55,MAX(T55-V55,Z55-AB55,AC55-AE55),IF(R55=Z55-AB55,MAX(T55-V55,W55-Y55,AC55-AE55),IF(R55=AC55-AE55,MAX(T55-V55,W55-Y55,Z55-AB55),0))))</f>
        <v>41.9</v>
      </c>
      <c r="T55" s="32">
        <v>41.9</v>
      </c>
      <c r="U55" s="37">
        <v>5</v>
      </c>
      <c r="V55" s="37">
        <v>0</v>
      </c>
      <c r="W55" s="33">
        <v>42.9</v>
      </c>
      <c r="X55" s="37">
        <v>5.8000000000000007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$68&lt;&gt;"")*(G$3:G$68=G56)*(J$3:J$68&gt;J56)*(I$3:I$68="P"))+1,IF(O56&lt;&gt;"",SUMPRODUCT((O$3:O$68&lt;&gt;"")*(P$3:P$68="")*(G$3:G$68=G56)*(J$3:J$68&gt;J56)*(I$3:I$68="P"))+SUMPRODUCT((P$3:P$68&lt;&gt;"")*(G$3:G$68=G56)*(I$3:I$68="P"))+1,IF(N56&lt;&gt;"",SUMPRODUCT((N$3:N$68&lt;&gt;"")*(G$3:G$68=G56)*(J$3:J$68&gt;J56)*(I$3:I$68="P"))+1,IF(M56="P",SUMPRODUCT((O$3:O$68&lt;&gt;"")*(P$3:P$68="")*(G$3:G$68=G56)*(I$3:I$68="P"))+SUMPRODUCT((P$3:P$68&lt;&gt;"")*(G$3:G$68=G56)*(I$3:I$68="P"))+SUMPRODUCT((N$3:N$68&lt;&gt;"")*(G$3:G$68=G56)*(I$3:I$68="P"))+SUMPRODUCT((P$3:P$68="")*(O$3:O$68="")*(N$3:N$68="")*(M$3:M$68="P")*(G$3:G$68=G56)*(J$3:J$68&gt;J56)*(I$3:I$68="P"))+IF(H56="L5",SUMPRODUCT((P$3:P$68="")*(O$3:O$68="")*(N$3:N$68="")*(M$3:M$68="P")*(G$3:G$68=G56)*(J$3:J$68&lt;J56)*(H$3:H$68&lt;&gt;H56)*(I$3:I$68="P")),-1*SUMPRODUCT((P$3:P$68="")*(O$3:O$68="")*(N$3:N$68="")*(M$3:M$68="P")*(G$3:G$68=G56)*(J$3:J$68&gt;J56)*(H$3:H$68="L5")*(I$3:I$68="P")))+1,"")))))</f>
        <v/>
      </c>
      <c r="B56" s="1" t="str" cm="1">
        <f t="array" ref="B56">IF(P56&lt;&gt;"",SUMPRODUCT((P$3:P$68&lt;&gt;"")*(G$3:G$68=G56)*(J$3:J$68&gt;J56))+1,IF(O56&lt;&gt;"",SUMPRODUCT((O$3:O$68&lt;&gt;"")*(P$3:P$68="")*(G$3:G$68=G56)*(J$3:J$68&gt;J56))+SUMPRODUCT((P$3:P$68&lt;&gt;"")*(G$3:G$68=G56))+1,IF(N56&lt;&gt;"",SUMPRODUCT((N$3:N$68&lt;&gt;"")*(G$3:G$68=G56)*(J$3:J$68&gt;J56))+1,IF(M56="P",SUMPRODUCT((O$3:O$68&lt;&gt;"")*(P$3:P$68="")*(G$3:G$68=G56))+SUMPRODUCT((P$3:P$68&lt;&gt;"")*(G$3:G$68=G56))+SUMPRODUCT((N$3:N$68&lt;&gt;"")*(G$3:G$68=G56))+SUMPRODUCT((P$3:P$68="")*(O$3:O$68="")*(N$3:N$68="")*(M$3:M$68="P")*(G$3:G$68=G56)*(J$3:J$68&gt;J56))+IF(H56="L5",SUMPRODUCT((P$3:P$68="")*(O$3:O$68="")*(N$3:N$68="")*(M$3:M$68="P")*(G$3:G$68=G56)*(J$3:J$68&lt;J56)*(H$3:H$68&lt;&gt;H56)),-1*SUMPRODUCT((P$3:P$68="")*(O$3:O$68="")*(N$3:N$68="")*(M$3:M$68="P")*(G$3:G$68=G56)*(J$3:J$68&gt;J56)*(H$3:H$68="L5")))+1,""))))</f>
        <v/>
      </c>
      <c r="C56" s="35" t="s">
        <v>286</v>
      </c>
      <c r="D56" s="35" t="str">
        <f>IF(E56="","",VLOOKUP(E56,'Coaching Points'!A:B,2,0))</f>
        <v>SK</v>
      </c>
      <c r="E56" s="35" t="s">
        <v>329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64</v>
      </c>
      <c r="I56" s="40"/>
      <c r="J56" s="4">
        <f>R56+IF(OR(H56="Junior",H56="Senior"),0.0002,IF(OR(H56="L7",H56="L6"),0.0001,0))+MAX(Z56,AC56)*0.0000001</f>
        <v>42.7</v>
      </c>
      <c r="K56" s="3" t="str">
        <f>IF(G56="Not Age Eligible","",IF(MAX(T56,W56,Z56,AC56)&gt;=LOOKUP(G56,'Qualifying Scores'!$A$4:$A$7,'Qualifying Scores'!$G$4:$G$7),"P",""))</f>
        <v/>
      </c>
      <c r="L56" s="3" t="str">
        <f>IF(G56="Not Age Eligible","",IF(MAX(U56,X56,AA56,AD56)&gt;=LOOKUP(G56,'Qualifying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MAX(T56-V56,W56-Y56,Z56-AB56,AC56-AE56)</f>
        <v>42.7</v>
      </c>
      <c r="S56" s="4">
        <f>IF(R56=T56-V56,MAX(W56-Y56,Z56-AB56,AC56-AE56),IF(R56=W56-Y56,MAX(T56-V56,Z56-AB56,AC56-AE56),IF(R56=Z56-AB56,MAX(T56-V56,W56-Y56,AC56-AE56),IF(R56=AC56-AE56,MAX(T56-V56,W56-Y56,Z56-AB56),0))))</f>
        <v>38.9</v>
      </c>
      <c r="T56" s="32">
        <v>42.7</v>
      </c>
      <c r="U56" s="37">
        <v>5.8000000000000007</v>
      </c>
      <c r="V56" s="37">
        <v>0</v>
      </c>
      <c r="W56" s="33">
        <v>38.9</v>
      </c>
      <c r="X56" s="37">
        <v>2.7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$68&lt;&gt;"")*(G$3:G$68=G57)*(J$3:J$68&gt;J57)*(I$3:I$68="P"))+1,IF(O57&lt;&gt;"",SUMPRODUCT((O$3:O$68&lt;&gt;"")*(P$3:P$68="")*(G$3:G$68=G57)*(J$3:J$68&gt;J57)*(I$3:I$68="P"))+SUMPRODUCT((P$3:P$68&lt;&gt;"")*(G$3:G$68=G57)*(I$3:I$68="P"))+1,IF(N57&lt;&gt;"",SUMPRODUCT((N$3:N$68&lt;&gt;"")*(G$3:G$68=G57)*(J$3:J$68&gt;J57)*(I$3:I$68="P"))+1,IF(M57="P",SUMPRODUCT((O$3:O$68&lt;&gt;"")*(P$3:P$68="")*(G$3:G$68=G57)*(I$3:I$68="P"))+SUMPRODUCT((P$3:P$68&lt;&gt;"")*(G$3:G$68=G57)*(I$3:I$68="P"))+SUMPRODUCT((N$3:N$68&lt;&gt;"")*(G$3:G$68=G57)*(I$3:I$68="P"))+SUMPRODUCT((P$3:P$68="")*(O$3:O$68="")*(N$3:N$68="")*(M$3:M$68="P")*(G$3:G$68=G57)*(J$3:J$68&gt;J57)*(I$3:I$68="P"))+IF(H57="L5",SUMPRODUCT((P$3:P$68="")*(O$3:O$68="")*(N$3:N$68="")*(M$3:M$68="P")*(G$3:G$68=G57)*(J$3:J$68&lt;J57)*(H$3:H$68&lt;&gt;H57)*(I$3:I$68="P")),-1*SUMPRODUCT((P$3:P$68="")*(O$3:O$68="")*(N$3:N$68="")*(M$3:M$68="P")*(G$3:G$68=G57)*(J$3:J$68&gt;J57)*(H$3:H$68="L5")*(I$3:I$68="P")))+1,"")))))</f>
        <v/>
      </c>
      <c r="B57" s="1" t="str" cm="1">
        <f t="array" ref="B57">IF(P57&lt;&gt;"",SUMPRODUCT((P$3:P$68&lt;&gt;"")*(G$3:G$68=G57)*(J$3:J$68&gt;J57))+1,IF(O57&lt;&gt;"",SUMPRODUCT((O$3:O$68&lt;&gt;"")*(P$3:P$68="")*(G$3:G$68=G57)*(J$3:J$68&gt;J57))+SUMPRODUCT((P$3:P$68&lt;&gt;"")*(G$3:G$68=G57))+1,IF(N57&lt;&gt;"",SUMPRODUCT((N$3:N$68&lt;&gt;"")*(G$3:G$68=G57)*(J$3:J$68&gt;J57))+1,IF(M57="P",SUMPRODUCT((O$3:O$68&lt;&gt;"")*(P$3:P$68="")*(G$3:G$68=G57))+SUMPRODUCT((P$3:P$68&lt;&gt;"")*(G$3:G$68=G57))+SUMPRODUCT((N$3:N$68&lt;&gt;"")*(G$3:G$68=G57))+SUMPRODUCT((P$3:P$68="")*(O$3:O$68="")*(N$3:N$68="")*(M$3:M$68="P")*(G$3:G$68=G57)*(J$3:J$68&gt;J57))+IF(H57="L5",SUMPRODUCT((P$3:P$68="")*(O$3:O$68="")*(N$3:N$68="")*(M$3:M$68="P")*(G$3:G$68=G57)*(J$3:J$68&lt;J57)*(H$3:H$68&lt;&gt;H57)),-1*SUMPRODUCT((P$3:P$68="")*(O$3:O$68="")*(N$3:N$68="")*(M$3:M$68="P")*(G$3:G$68=G57)*(J$3:J$68&gt;J57)*(H$3:H$68="L5")))+1,""))))</f>
        <v/>
      </c>
      <c r="C57" s="35" t="s">
        <v>212</v>
      </c>
      <c r="D57" s="35" t="str">
        <f>IF(E57="","",VLOOKUP(E57,'Coaching Points'!A:B,2,0))</f>
        <v>AB</v>
      </c>
      <c r="E57" s="35" t="s">
        <v>28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>R57+IF(OR(H57="Junior",H57="Senior"),0.0002,IF(OR(H57="L7",H57="L6"),0.0001,0))+MAX(Z57,AC57)*0.0000001</f>
        <v>42.6</v>
      </c>
      <c r="K57" s="3" t="str">
        <f>IF(G57="Not Age Eligible","",IF(MAX(T57,W57,Z57,AC57)&gt;=LOOKUP(G57,'Qualifying Scores'!$A$4:$A$7,'Qualifying Scores'!$G$4:$G$7),"P",""))</f>
        <v/>
      </c>
      <c r="L57" s="3" t="str">
        <f>IF(G57="Not Age Eligible","",IF(MAX(U57,X57,AA57,AD57)&gt;=LOOKUP(G57,'Qualifying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MAX(T57-V57,W57-Y57,Z57-AB57,AC57-AE57)</f>
        <v>42.6</v>
      </c>
      <c r="S57" s="4">
        <f>IF(R57=T57-V57,MAX(W57-Y57,Z57-AB57,AC57-AE57),IF(R57=W57-Y57,MAX(T57-V57,Z57-AB57,AC57-AE57),IF(R57=Z57-AB57,MAX(T57-V57,W57-Y57,AC57-AE57),IF(R57=AC57-AE57,MAX(T57-V57,W57-Y57,Z57-AB57),0))))</f>
        <v>39.5</v>
      </c>
      <c r="T57" s="32">
        <v>39.5</v>
      </c>
      <c r="U57" s="37">
        <v>4.7</v>
      </c>
      <c r="V57" s="37">
        <v>0</v>
      </c>
      <c r="W57" s="33">
        <v>42.6</v>
      </c>
      <c r="X57" s="37">
        <v>6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$68&lt;&gt;"")*(G$3:G$68=G58)*(J$3:J$68&gt;J58)*(I$3:I$68="P"))+1,IF(O58&lt;&gt;"",SUMPRODUCT((O$3:O$68&lt;&gt;"")*(P$3:P$68="")*(G$3:G$68=G58)*(J$3:J$68&gt;J58)*(I$3:I$68="P"))+SUMPRODUCT((P$3:P$68&lt;&gt;"")*(G$3:G$68=G58)*(I$3:I$68="P"))+1,IF(N58&lt;&gt;"",SUMPRODUCT((N$3:N$68&lt;&gt;"")*(G$3:G$68=G58)*(J$3:J$68&gt;J58)*(I$3:I$68="P"))+1,IF(M58="P",SUMPRODUCT((O$3:O$68&lt;&gt;"")*(P$3:P$68="")*(G$3:G$68=G58)*(I$3:I$68="P"))+SUMPRODUCT((P$3:P$68&lt;&gt;"")*(G$3:G$68=G58)*(I$3:I$68="P"))+SUMPRODUCT((N$3:N$68&lt;&gt;"")*(G$3:G$68=G58)*(I$3:I$68="P"))+SUMPRODUCT((P$3:P$68="")*(O$3:O$68="")*(N$3:N$68="")*(M$3:M$68="P")*(G$3:G$68=G58)*(J$3:J$68&gt;J58)*(I$3:I$68="P"))+IF(H58="L5",SUMPRODUCT((P$3:P$68="")*(O$3:O$68="")*(N$3:N$68="")*(M$3:M$68="P")*(G$3:G$68=G58)*(J$3:J$68&lt;J58)*(H$3:H$68&lt;&gt;H58)*(I$3:I$68="P")),-1*SUMPRODUCT((P$3:P$68="")*(O$3:O$68="")*(N$3:N$68="")*(M$3:M$68="P")*(G$3:G$68=G58)*(J$3:J$68&gt;J58)*(H$3:H$68="L5")*(I$3:I$68="P")))+1,"")))))</f>
        <v/>
      </c>
      <c r="B58" s="1" t="str" cm="1">
        <f t="array" ref="B58">IF(P58&lt;&gt;"",SUMPRODUCT((P$3:P$68&lt;&gt;"")*(G$3:G$68=G58)*(J$3:J$68&gt;J58))+1,IF(O58&lt;&gt;"",SUMPRODUCT((O$3:O$68&lt;&gt;"")*(P$3:P$68="")*(G$3:G$68=G58)*(J$3:J$68&gt;J58))+SUMPRODUCT((P$3:P$68&lt;&gt;"")*(G$3:G$68=G58))+1,IF(N58&lt;&gt;"",SUMPRODUCT((N$3:N$68&lt;&gt;"")*(G$3:G$68=G58)*(J$3:J$68&gt;J58))+1,IF(M58="P",SUMPRODUCT((O$3:O$68&lt;&gt;"")*(P$3:P$68="")*(G$3:G$68=G58))+SUMPRODUCT((P$3:P$68&lt;&gt;"")*(G$3:G$68=G58))+SUMPRODUCT((N$3:N$68&lt;&gt;"")*(G$3:G$68=G58))+SUMPRODUCT((P$3:P$68="")*(O$3:O$68="")*(N$3:N$68="")*(M$3:M$68="P")*(G$3:G$68=G58)*(J$3:J$68&gt;J58))+IF(H58="L5",SUMPRODUCT((P$3:P$68="")*(O$3:O$68="")*(N$3:N$68="")*(M$3:M$68="P")*(G$3:G$68=G58)*(J$3:J$68&lt;J58)*(H$3:H$68&lt;&gt;H58)),-1*SUMPRODUCT((P$3:P$68="")*(O$3:O$68="")*(N$3:N$68="")*(M$3:M$68="P")*(G$3:G$68=G58)*(J$3:J$68&gt;J58)*(H$3:H$68="L5")))+1,""))))</f>
        <v/>
      </c>
      <c r="C58" s="35" t="s">
        <v>270</v>
      </c>
      <c r="D58" s="35" t="str">
        <f>IF(E58="","",VLOOKUP(E58,'Coaching Points'!A:B,2,0))</f>
        <v>ON</v>
      </c>
      <c r="E58" s="35" t="s">
        <v>45</v>
      </c>
      <c r="F58" s="34">
        <v>2008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64</v>
      </c>
      <c r="I58" s="40"/>
      <c r="J58" s="4">
        <f>R58+IF(OR(H58="Junior",H58="Senior"),0.0002,IF(OR(H58="L7",H58="L6"),0.0001,0))+MAX(Z58,AC58)*0.0000001</f>
        <v>42.4</v>
      </c>
      <c r="K58" s="3" t="str">
        <f>IF(G58="Not Age Eligible","",IF(MAX(T58,W58,Z58,AC58)&gt;=LOOKUP(G58,'Qualifying Scores'!$A$4:$A$7,'Qualifying Scores'!$G$4:$G$7),"P",""))</f>
        <v/>
      </c>
      <c r="L58" s="3" t="str">
        <f>IF(G58="Not Age Eligible","",IF(MAX(U58,X58,AA58,AD58)&gt;=LOOKUP(G58,'Qualifying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MAX(T58-V58,W58-Y58,Z58-AB58,AC58-AE58)</f>
        <v>42.4</v>
      </c>
      <c r="S58" s="4">
        <f>IF(R58=T58-V58,MAX(W58-Y58,Z58-AB58,AC58-AE58),IF(R58=W58-Y58,MAX(T58-V58,Z58-AB58,AC58-AE58),IF(R58=Z58-AB58,MAX(T58-V58,W58-Y58,AC58-AE58),IF(R58=AC58-AE58,MAX(T58-V58,W58-Y58,Z58-AB58),0))))</f>
        <v>39.5</v>
      </c>
      <c r="T58" s="32">
        <v>42.4</v>
      </c>
      <c r="U58" s="37">
        <v>6.3000000000000007</v>
      </c>
      <c r="V58" s="37">
        <v>0</v>
      </c>
      <c r="W58" s="33">
        <v>39.5</v>
      </c>
      <c r="X58" s="37">
        <v>3.7</v>
      </c>
      <c r="Y58" s="37">
        <v>0</v>
      </c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$68&lt;&gt;"")*(G$3:G$68=G59)*(J$3:J$68&gt;J59)*(I$3:I$68="P"))+1,IF(O59&lt;&gt;"",SUMPRODUCT((O$3:O$68&lt;&gt;"")*(P$3:P$68="")*(G$3:G$68=G59)*(J$3:J$68&gt;J59)*(I$3:I$68="P"))+SUMPRODUCT((P$3:P$68&lt;&gt;"")*(G$3:G$68=G59)*(I$3:I$68="P"))+1,IF(N59&lt;&gt;"",SUMPRODUCT((N$3:N$68&lt;&gt;"")*(G$3:G$68=G59)*(J$3:J$68&gt;J59)*(I$3:I$68="P"))+1,IF(M59="P",SUMPRODUCT((O$3:O$68&lt;&gt;"")*(P$3:P$68="")*(G$3:G$68=G59)*(I$3:I$68="P"))+SUMPRODUCT((P$3:P$68&lt;&gt;"")*(G$3:G$68=G59)*(I$3:I$68="P"))+SUMPRODUCT((N$3:N$68&lt;&gt;"")*(G$3:G$68=G59)*(I$3:I$68="P"))+SUMPRODUCT((P$3:P$68="")*(O$3:O$68="")*(N$3:N$68="")*(M$3:M$68="P")*(G$3:G$68=G59)*(J$3:J$68&gt;J59)*(I$3:I$68="P"))+IF(H59="L5",SUMPRODUCT((P$3:P$68="")*(O$3:O$68="")*(N$3:N$68="")*(M$3:M$68="P")*(G$3:G$68=G59)*(J$3:J$68&lt;J59)*(H$3:H$68&lt;&gt;H59)*(I$3:I$68="P")),-1*SUMPRODUCT((P$3:P$68="")*(O$3:O$68="")*(N$3:N$68="")*(M$3:M$68="P")*(G$3:G$68=G59)*(J$3:J$68&gt;J59)*(H$3:H$68="L5")*(I$3:I$68="P")))+1,"")))))</f>
        <v/>
      </c>
      <c r="B59" s="1" t="str" cm="1">
        <f t="array" ref="B59">IF(P59&lt;&gt;"",SUMPRODUCT((P$3:P$68&lt;&gt;"")*(G$3:G$68=G59)*(J$3:J$68&gt;J59))+1,IF(O59&lt;&gt;"",SUMPRODUCT((O$3:O$68&lt;&gt;"")*(P$3:P$68="")*(G$3:G$68=G59)*(J$3:J$68&gt;J59))+SUMPRODUCT((P$3:P$68&lt;&gt;"")*(G$3:G$68=G59))+1,IF(N59&lt;&gt;"",SUMPRODUCT((N$3:N$68&lt;&gt;"")*(G$3:G$68=G59)*(J$3:J$68&gt;J59))+1,IF(M59="P",SUMPRODUCT((O$3:O$68&lt;&gt;"")*(P$3:P$68="")*(G$3:G$68=G59))+SUMPRODUCT((P$3:P$68&lt;&gt;"")*(G$3:G$68=G59))+SUMPRODUCT((N$3:N$68&lt;&gt;"")*(G$3:G$68=G59))+SUMPRODUCT((P$3:P$68="")*(O$3:O$68="")*(N$3:N$68="")*(M$3:M$68="P")*(G$3:G$68=G59)*(J$3:J$68&gt;J59))+IF(H59="L5",SUMPRODUCT((P$3:P$68="")*(O$3:O$68="")*(N$3:N$68="")*(M$3:M$68="P")*(G$3:G$68=G59)*(J$3:J$68&lt;J59)*(H$3:H$68&lt;&gt;H59)),-1*SUMPRODUCT((P$3:P$68="")*(O$3:O$68="")*(N$3:N$68="")*(M$3:M$68="P")*(G$3:G$68=G59)*(J$3:J$68&gt;J59)*(H$3:H$68="L5")))+1,""))))</f>
        <v/>
      </c>
      <c r="C59" s="35" t="s">
        <v>307</v>
      </c>
      <c r="D59" s="35" t="str">
        <f>IF(E59="","",VLOOKUP(E59,'Coaching Points'!A:B,2,0))</f>
        <v>AB</v>
      </c>
      <c r="E59" s="35" t="s">
        <v>61</v>
      </c>
      <c r="F59" s="34">
        <v>2008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64</v>
      </c>
      <c r="I59" s="40"/>
      <c r="J59" s="4">
        <f>R59+IF(OR(H59="Junior",H59="Senior"),0.0002,IF(OR(H59="L7",H59="L6"),0.0001,0))+MAX(Z59,AC59)*0.0000001</f>
        <v>40.1</v>
      </c>
      <c r="K59" s="3" t="str">
        <f>IF(G59="Not Age Eligible","",IF(MAX(T59,W59,Z59,AC59)&gt;=LOOKUP(G59,'Qualifying Scores'!$A$4:$A$7,'Qualifying Scores'!$G$4:$G$7),"P",""))</f>
        <v/>
      </c>
      <c r="L59" s="3" t="str">
        <f>IF(G59="Not Age Eligible","",IF(MAX(U59,X59,AA59,AD59)&gt;=LOOKUP(G59,'Qualifying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MAX(T59-V59,W59-Y59,Z59-AB59,AC59-AE59)</f>
        <v>40.1</v>
      </c>
      <c r="S59" s="4">
        <f>IF(R59=T59-V59,MAX(W59-Y59,Z59-AB59,AC59-AE59),IF(R59=W59-Y59,MAX(T59-V59,Z59-AB59,AC59-AE59),IF(R59=Z59-AB59,MAX(T59-V59,W59-Y59,AC59-AE59),IF(R59=AC59-AE59,MAX(T59-V59,W59-Y59,Z59-AB59),0))))</f>
        <v>38.1</v>
      </c>
      <c r="T59" s="32">
        <v>38.1</v>
      </c>
      <c r="U59" s="37">
        <v>4.5999999999999996</v>
      </c>
      <c r="V59" s="37">
        <v>0</v>
      </c>
      <c r="W59" s="33">
        <v>40.1</v>
      </c>
      <c r="X59" s="37">
        <v>5.9</v>
      </c>
      <c r="Y59" s="37">
        <v>0</v>
      </c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$68&lt;&gt;"")*(G$3:G$68=G60)*(J$3:J$68&gt;J60)*(I$3:I$68="P"))+1,IF(O60&lt;&gt;"",SUMPRODUCT((O$3:O$68&lt;&gt;"")*(P$3:P$68="")*(G$3:G$68=G60)*(J$3:J$68&gt;J60)*(I$3:I$68="P"))+SUMPRODUCT((P$3:P$68&lt;&gt;"")*(G$3:G$68=G60)*(I$3:I$68="P"))+1,IF(N60&lt;&gt;"",SUMPRODUCT((N$3:N$68&lt;&gt;"")*(G$3:G$68=G60)*(J$3:J$68&gt;J60)*(I$3:I$68="P"))+1,IF(M60="P",SUMPRODUCT((O$3:O$68&lt;&gt;"")*(P$3:P$68="")*(G$3:G$68=G60)*(I$3:I$68="P"))+SUMPRODUCT((P$3:P$68&lt;&gt;"")*(G$3:G$68=G60)*(I$3:I$68="P"))+SUMPRODUCT((N$3:N$68&lt;&gt;"")*(G$3:G$68=G60)*(I$3:I$68="P"))+SUMPRODUCT((P$3:P$68="")*(O$3:O$68="")*(N$3:N$68="")*(M$3:M$68="P")*(G$3:G$68=G60)*(J$3:J$68&gt;J60)*(I$3:I$68="P"))+IF(H60="L5",SUMPRODUCT((P$3:P$68="")*(O$3:O$68="")*(N$3:N$68="")*(M$3:M$68="P")*(G$3:G$68=G60)*(J$3:J$68&lt;J60)*(H$3:H$68&lt;&gt;H60)*(I$3:I$68="P")),-1*SUMPRODUCT((P$3:P$68="")*(O$3:O$68="")*(N$3:N$68="")*(M$3:M$68="P")*(G$3:G$68=G60)*(J$3:J$68&gt;J60)*(H$3:H$68="L5")*(I$3:I$68="P")))+1,"")))))</f>
        <v/>
      </c>
      <c r="B60" s="1" t="str" cm="1">
        <f t="array" ref="B60">IF(P60&lt;&gt;"",SUMPRODUCT((P$3:P$68&lt;&gt;"")*(G$3:G$68=G60)*(J$3:J$68&gt;J60))+1,IF(O60&lt;&gt;"",SUMPRODUCT((O$3:O$68&lt;&gt;"")*(P$3:P$68="")*(G$3:G$68=G60)*(J$3:J$68&gt;J60))+SUMPRODUCT((P$3:P$68&lt;&gt;"")*(G$3:G$68=G60))+1,IF(N60&lt;&gt;"",SUMPRODUCT((N$3:N$68&lt;&gt;"")*(G$3:G$68=G60)*(J$3:J$68&gt;J60))+1,IF(M60="P",SUMPRODUCT((O$3:O$68&lt;&gt;"")*(P$3:P$68="")*(G$3:G$68=G60))+SUMPRODUCT((P$3:P$68&lt;&gt;"")*(G$3:G$68=G60))+SUMPRODUCT((N$3:N$68&lt;&gt;"")*(G$3:G$68=G60))+SUMPRODUCT((P$3:P$68="")*(O$3:O$68="")*(N$3:N$68="")*(M$3:M$68="P")*(G$3:G$68=G60)*(J$3:J$68&gt;J60))+IF(H60="L5",SUMPRODUCT((P$3:P$68="")*(O$3:O$68="")*(N$3:N$68="")*(M$3:M$68="P")*(G$3:G$68=G60)*(J$3:J$68&lt;J60)*(H$3:H$68&lt;&gt;H60)),-1*SUMPRODUCT((P$3:P$68="")*(O$3:O$68="")*(N$3:N$68="")*(M$3:M$68="P")*(G$3:G$68=G60)*(J$3:J$68&gt;J60)*(H$3:H$68="L5")))+1,""))))</f>
        <v/>
      </c>
      <c r="C60" s="35" t="s">
        <v>230</v>
      </c>
      <c r="D60" s="35" t="str">
        <f>IF(E60="","",VLOOKUP(E60,'Coaching Points'!A:B,2,0))</f>
        <v>AB</v>
      </c>
      <c r="E60" s="35" t="s">
        <v>28</v>
      </c>
      <c r="F60" s="34">
        <v>2009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65</v>
      </c>
      <c r="I60" s="40"/>
      <c r="J60" s="4">
        <f>R60+IF(OR(H60="Junior",H60="Senior"),0.0002,IF(OR(H60="L7",H60="L6"),0.0001,0))+MAX(Z60,AC60)*0.0000001</f>
        <v>39.200100000000006</v>
      </c>
      <c r="K60" s="3" t="str">
        <f>IF(G60="Not Age Eligible","",IF(MAX(T60,W60,Z60,AC60)&gt;=LOOKUP(G60,'Qualifying Scores'!$A$4:$A$7,'Qualifying Scores'!$G$4:$G$7),"P",""))</f>
        <v/>
      </c>
      <c r="L60" s="3" t="str">
        <f>IF(G60="Not Age Eligible","",IF(MAX(U60,X60,AA60,AD60)&gt;=LOOKUP(G60,'Qualifying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/>
      </c>
      <c r="Q60" s="1" t="str">
        <f>IF(A60&lt;5,IF(_xlfn.MAXIFS(A:A,G:G,G60)&gt;3,5-A60,_xlfn.MAXIFS(A:A,G:G,G60)+1-A60),"")</f>
        <v/>
      </c>
      <c r="R60" s="4">
        <f>MAX(T60-V60,W60-Y60,Z60-AB60,AC60-AE60)</f>
        <v>39.200000000000003</v>
      </c>
      <c r="S60" s="4">
        <f>IF(R60=T60-V60,MAX(W60-Y60,Z60-AB60,AC60-AE60),IF(R60=W60-Y60,MAX(T60-V60,Z60-AB60,AC60-AE60),IF(R60=Z60-AB60,MAX(T60-V60,W60-Y60,AC60-AE60),IF(R60=AC60-AE60,MAX(T60-V60,W60-Y60,Z60-AB60),0))))</f>
        <v>0</v>
      </c>
      <c r="T60" s="32">
        <v>39.200000000000003</v>
      </c>
      <c r="U60" s="37">
        <v>5.1000000000000005</v>
      </c>
      <c r="V60" s="37">
        <v>0</v>
      </c>
      <c r="W60" s="33"/>
      <c r="X60" s="37"/>
      <c r="Y60" s="37"/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$68&lt;&gt;"")*(G$3:G$68=G61)*(J$3:J$68&gt;J61)*(I$3:I$68="P"))+1,IF(O61&lt;&gt;"",SUMPRODUCT((O$3:O$68&lt;&gt;"")*(P$3:P$68="")*(G$3:G$68=G61)*(J$3:J$68&gt;J61)*(I$3:I$68="P"))+SUMPRODUCT((P$3:P$68&lt;&gt;"")*(G$3:G$68=G61)*(I$3:I$68="P"))+1,IF(N61&lt;&gt;"",SUMPRODUCT((N$3:N$68&lt;&gt;"")*(G$3:G$68=G61)*(J$3:J$68&gt;J61)*(I$3:I$68="P"))+1,IF(M61="P",SUMPRODUCT((O$3:O$68&lt;&gt;"")*(P$3:P$68="")*(G$3:G$68=G61)*(I$3:I$68="P"))+SUMPRODUCT((P$3:P$68&lt;&gt;"")*(G$3:G$68=G61)*(I$3:I$68="P"))+SUMPRODUCT((N$3:N$68&lt;&gt;"")*(G$3:G$68=G61)*(I$3:I$68="P"))+SUMPRODUCT((P$3:P$68="")*(O$3:O$68="")*(N$3:N$68="")*(M$3:M$68="P")*(G$3:G$68=G61)*(J$3:J$68&gt;J61)*(I$3:I$68="P"))+IF(H61="L5",SUMPRODUCT((P$3:P$68="")*(O$3:O$68="")*(N$3:N$68="")*(M$3:M$68="P")*(G$3:G$68=G61)*(J$3:J$68&lt;J61)*(H$3:H$68&lt;&gt;H61)*(I$3:I$68="P")),-1*SUMPRODUCT((P$3:P$68="")*(O$3:O$68="")*(N$3:N$68="")*(M$3:M$68="P")*(G$3:G$68=G61)*(J$3:J$68&gt;J61)*(H$3:H$68="L5")*(I$3:I$68="P")))+1,"")))))</f>
        <v/>
      </c>
      <c r="B61" s="1" cm="1">
        <f t="array" ref="B61">IF(P61&lt;&gt;"",SUMPRODUCT((P$3:P$68&lt;&gt;"")*(G$3:G$68=G61)*(J$3:J$68&gt;J61))+1,IF(O61&lt;&gt;"",SUMPRODUCT((O$3:O$68&lt;&gt;"")*(P$3:P$68="")*(G$3:G$68=G61)*(J$3:J$68&gt;J61))+SUMPRODUCT((P$3:P$68&lt;&gt;"")*(G$3:G$68=G61))+1,IF(N61&lt;&gt;"",SUMPRODUCT((N$3:N$68&lt;&gt;"")*(G$3:G$68=G61)*(J$3:J$68&gt;J61))+1,IF(M61="P",SUMPRODUCT((O$3:O$68&lt;&gt;"")*(P$3:P$68="")*(G$3:G$68=G61))+SUMPRODUCT((P$3:P$68&lt;&gt;"")*(G$3:G$68=G61))+SUMPRODUCT((N$3:N$68&lt;&gt;"")*(G$3:G$68=G61))+SUMPRODUCT((P$3:P$68="")*(O$3:O$68="")*(N$3:N$68="")*(M$3:M$68="P")*(G$3:G$68=G61)*(J$3:J$68&gt;J61))+IF(H61="L5",SUMPRODUCT((P$3:P$68="")*(O$3:O$68="")*(N$3:N$68="")*(M$3:M$68="P")*(G$3:G$68=G61)*(J$3:J$68&lt;J61)*(H$3:H$68&lt;&gt;H61)),-1*SUMPRODUCT((P$3:P$68="")*(O$3:O$68="")*(N$3:N$68="")*(M$3:M$68="P")*(G$3:G$68=G61)*(J$3:J$68&gt;J61)*(H$3:H$68="L5")))+1,""))))</f>
        <v>1</v>
      </c>
      <c r="C61" s="35" t="s">
        <v>276</v>
      </c>
      <c r="D61" s="35" t="str">
        <f>IF(E61="","",VLOOKUP(E61,'Coaching Points'!A:B,2,0))</f>
        <v>BC</v>
      </c>
      <c r="E61" s="35" t="s">
        <v>36</v>
      </c>
      <c r="F61" s="34">
        <v>2010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65</v>
      </c>
      <c r="I61" s="40"/>
      <c r="J61" s="4">
        <f>R61+IF(OR(H61="Junior",H61="Senior"),0.0002,IF(OR(H61="L7",H61="L6"),0.0001,0))+MAX(Z61,AC61)*0.0000001</f>
        <v>43.500100000000003</v>
      </c>
      <c r="K61" s="3" t="str">
        <f>IF(G61="Not Age Eligible","",IF(MAX(T61,W61,Z61,AC61)&gt;=LOOKUP(G61,'Qualifying Scores'!$A$4:$A$7,'Qualifying Scores'!$G$4:$G$7),"P",""))</f>
        <v>P</v>
      </c>
      <c r="L61" s="3" t="str">
        <f>IF(G61="Not Age Eligible","",IF(MAX(U61,X61,AA61,AD61)&gt;=LOOKUP(G61,'Qualifying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>P</v>
      </c>
      <c r="Q61" s="1" t="str">
        <f>IF(A61&lt;5,IF(_xlfn.MAXIFS(A:A,G:G,G61)&gt;3,5-A61,_xlfn.MAXIFS(A:A,G:G,G61)+1-A61),"")</f>
        <v/>
      </c>
      <c r="R61" s="4">
        <f>MAX(T61-V61,W61-Y61,Z61-AB61,AC61-AE61)</f>
        <v>43.5</v>
      </c>
      <c r="S61" s="4">
        <f>IF(R61=T61-V61,MAX(W61-Y61,Z61-AB61,AC61-AE61),IF(R61=W61-Y61,MAX(T61-V61,Z61-AB61,AC61-AE61),IF(R61=Z61-AB61,MAX(T61-V61,W61-Y61,AC61-AE61),IF(R61=AC61-AE61,MAX(T61-V61,W61-Y61,Z61-AB61),0))))</f>
        <v>43.2</v>
      </c>
      <c r="T61" s="32">
        <v>43.2</v>
      </c>
      <c r="U61" s="37">
        <v>6.3000000000000007</v>
      </c>
      <c r="V61" s="37">
        <v>0</v>
      </c>
      <c r="W61" s="33">
        <v>43.5</v>
      </c>
      <c r="X61" s="37">
        <v>6.3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$68&lt;&gt;"")*(G$3:G$68=G62)*(J$3:J$68&gt;J62)*(I$3:I$68="P"))+1,IF(O62&lt;&gt;"",SUMPRODUCT((O$3:O$68&lt;&gt;"")*(P$3:P$68="")*(G$3:G$68=G62)*(J$3:J$68&gt;J62)*(I$3:I$68="P"))+SUMPRODUCT((P$3:P$68&lt;&gt;"")*(G$3:G$68=G62)*(I$3:I$68="P"))+1,IF(N62&lt;&gt;"",SUMPRODUCT((N$3:N$68&lt;&gt;"")*(G$3:G$68=G62)*(J$3:J$68&gt;J62)*(I$3:I$68="P"))+1,IF(M62="P",SUMPRODUCT((O$3:O$68&lt;&gt;"")*(P$3:P$68="")*(G$3:G$68=G62)*(I$3:I$68="P"))+SUMPRODUCT((P$3:P$68&lt;&gt;"")*(G$3:G$68=G62)*(I$3:I$68="P"))+SUMPRODUCT((N$3:N$68&lt;&gt;"")*(G$3:G$68=G62)*(I$3:I$68="P"))+SUMPRODUCT((P$3:P$68="")*(O$3:O$68="")*(N$3:N$68="")*(M$3:M$68="P")*(G$3:G$68=G62)*(J$3:J$68&gt;J62)*(I$3:I$68="P"))+IF(H62="L5",SUMPRODUCT((P$3:P$68="")*(O$3:O$68="")*(N$3:N$68="")*(M$3:M$68="P")*(G$3:G$68=G62)*(J$3:J$68&lt;J62)*(H$3:H$68&lt;&gt;H62)*(I$3:I$68="P")),-1*SUMPRODUCT((P$3:P$68="")*(O$3:O$68="")*(N$3:N$68="")*(M$3:M$68="P")*(G$3:G$68=G62)*(J$3:J$68&gt;J62)*(H$3:H$68="L5")*(I$3:I$68="P")))+1,"")))))</f>
        <v/>
      </c>
      <c r="B62" s="1" cm="1">
        <f t="array" ref="B62">IF(P62&lt;&gt;"",SUMPRODUCT((P$3:P$68&lt;&gt;"")*(G$3:G$68=G62)*(J$3:J$68&gt;J62))+1,IF(O62&lt;&gt;"",SUMPRODUCT((O$3:O$68&lt;&gt;"")*(P$3:P$68="")*(G$3:G$68=G62)*(J$3:J$68&gt;J62))+SUMPRODUCT((P$3:P$68&lt;&gt;"")*(G$3:G$68=G62))+1,IF(N62&lt;&gt;"",SUMPRODUCT((N$3:N$68&lt;&gt;"")*(G$3:G$68=G62)*(J$3:J$68&gt;J62))+1,IF(M62="P",SUMPRODUCT((O$3:O$68&lt;&gt;"")*(P$3:P$68="")*(G$3:G$68=G62))+SUMPRODUCT((P$3:P$68&lt;&gt;"")*(G$3:G$68=G62))+SUMPRODUCT((N$3:N$68&lt;&gt;"")*(G$3:G$68=G62))+SUMPRODUCT((P$3:P$68="")*(O$3:O$68="")*(N$3:N$68="")*(M$3:M$68="P")*(G$3:G$68=G62)*(J$3:J$68&gt;J62))+IF(H62="L5",SUMPRODUCT((P$3:P$68="")*(O$3:O$68="")*(N$3:N$68="")*(M$3:M$68="P")*(G$3:G$68=G62)*(J$3:J$68&lt;J62)*(H$3:H$68&lt;&gt;H62)),-1*SUMPRODUCT((P$3:P$68="")*(O$3:O$68="")*(N$3:N$68="")*(M$3:M$68="P")*(G$3:G$68=G62)*(J$3:J$68&gt;J62)*(H$3:H$68="L5")))+1,""))))</f>
        <v>2</v>
      </c>
      <c r="C62" s="35" t="s">
        <v>285</v>
      </c>
      <c r="D62" s="35" t="str">
        <f>IF(E62="","",VLOOKUP(E62,'Coaching Points'!A:B,2,0))</f>
        <v>BC</v>
      </c>
      <c r="E62" s="35" t="s">
        <v>40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64</v>
      </c>
      <c r="I62" s="40"/>
      <c r="J62" s="4">
        <f>R62+IF(OR(H62="Junior",H62="Senior"),0.0002,IF(OR(H62="L7",H62="L6"),0.0001,0))+MAX(Z62,AC62)*0.0000001</f>
        <v>43.6</v>
      </c>
      <c r="K62" s="3" t="str">
        <f>IF(G62="Not Age Eligible","",IF(MAX(T62,W62,Z62,AC62)&gt;=LOOKUP(G62,'Qualifying Scores'!$A$4:$A$7,'Qualifying Scores'!$G$4:$G$7),"P",""))</f>
        <v>P</v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>P</v>
      </c>
      <c r="Q62" s="1" t="str">
        <f>IF(A62&lt;5,IF(_xlfn.MAXIFS(A:A,G:G,G62)&gt;3,5-A62,_xlfn.MAXIFS(A:A,G:G,G62)+1-A62),"")</f>
        <v/>
      </c>
      <c r="R62" s="4">
        <f>MAX(T62-V62,W62-Y62,Z62-AB62,AC62-AE62)</f>
        <v>43.6</v>
      </c>
      <c r="S62" s="4">
        <f>IF(R62=T62-V62,MAX(W62-Y62,Z62-AB62,AC62-AE62),IF(R62=W62-Y62,MAX(T62-V62,Z62-AB62,AC62-AE62),IF(R62=Z62-AB62,MAX(T62-V62,W62-Y62,AC62-AE62),IF(R62=AC62-AE62,MAX(T62-V62,W62-Y62,Z62-AB62),0))))</f>
        <v>43.1</v>
      </c>
      <c r="T62" s="32">
        <v>43.1</v>
      </c>
      <c r="U62" s="37">
        <v>6.5</v>
      </c>
      <c r="V62" s="37">
        <v>0</v>
      </c>
      <c r="W62" s="33">
        <v>43.6</v>
      </c>
      <c r="X62" s="37">
        <v>6.5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$68&lt;&gt;"")*(G$3:G$68=G63)*(J$3:J$68&gt;J63)*(I$3:I$68="P"))+1,IF(O63&lt;&gt;"",SUMPRODUCT((O$3:O$68&lt;&gt;"")*(P$3:P$68="")*(G$3:G$68=G63)*(J$3:J$68&gt;J63)*(I$3:I$68="P"))+SUMPRODUCT((P$3:P$68&lt;&gt;"")*(G$3:G$68=G63)*(I$3:I$68="P"))+1,IF(N63&lt;&gt;"",SUMPRODUCT((N$3:N$68&lt;&gt;"")*(G$3:G$68=G63)*(J$3:J$68&gt;J63)*(I$3:I$68="P"))+1,IF(M63="P",SUMPRODUCT((O$3:O$68&lt;&gt;"")*(P$3:P$68="")*(G$3:G$68=G63)*(I$3:I$68="P"))+SUMPRODUCT((P$3:P$68&lt;&gt;"")*(G$3:G$68=G63)*(I$3:I$68="P"))+SUMPRODUCT((N$3:N$68&lt;&gt;"")*(G$3:G$68=G63)*(I$3:I$68="P"))+SUMPRODUCT((P$3:P$68="")*(O$3:O$68="")*(N$3:N$68="")*(M$3:M$68="P")*(G$3:G$68=G63)*(J$3:J$68&gt;J63)*(I$3:I$68="P"))+IF(H63="L5",SUMPRODUCT((P$3:P$68="")*(O$3:O$68="")*(N$3:N$68="")*(M$3:M$68="P")*(G$3:G$68=G63)*(J$3:J$68&lt;J63)*(H$3:H$68&lt;&gt;H63)*(I$3:I$68="P")),-1*SUMPRODUCT((P$3:P$68="")*(O$3:O$68="")*(N$3:N$68="")*(M$3:M$68="P")*(G$3:G$68=G63)*(J$3:J$68&gt;J63)*(H$3:H$68="L5")*(I$3:I$68="P")))+1,"")))))</f>
        <v/>
      </c>
      <c r="B63" s="1" t="str" cm="1">
        <f t="array" ref="B63">IF(P63&lt;&gt;"",SUMPRODUCT((P$3:P$68&lt;&gt;"")*(G$3:G$68=G63)*(J$3:J$68&gt;J63))+1,IF(O63&lt;&gt;"",SUMPRODUCT((O$3:O$68&lt;&gt;"")*(P$3:P$68="")*(G$3:G$68=G63)*(J$3:J$68&gt;J63))+SUMPRODUCT((P$3:P$68&lt;&gt;"")*(G$3:G$68=G63))+1,IF(N63&lt;&gt;"",SUMPRODUCT((N$3:N$68&lt;&gt;"")*(G$3:G$68=G63)*(J$3:J$68&gt;J63))+1,IF(M63="P",SUMPRODUCT((O$3:O$68&lt;&gt;"")*(P$3:P$68="")*(G$3:G$68=G63))+SUMPRODUCT((P$3:P$68&lt;&gt;"")*(G$3:G$68=G63))+SUMPRODUCT((N$3:N$68&lt;&gt;"")*(G$3:G$68=G63))+SUMPRODUCT((P$3:P$68="")*(O$3:O$68="")*(N$3:N$68="")*(M$3:M$68="P")*(G$3:G$68=G63)*(J$3:J$68&gt;J63))+IF(H63="L5",SUMPRODUCT((P$3:P$68="")*(O$3:O$68="")*(N$3:N$68="")*(M$3:M$68="P")*(G$3:G$68=G63)*(J$3:J$68&lt;J63)*(H$3:H$68&lt;&gt;H63)),-1*SUMPRODUCT((P$3:P$68="")*(O$3:O$68="")*(N$3:N$68="")*(M$3:M$68="P")*(G$3:G$68=G63)*(J$3:J$68&gt;J63)*(H$3:H$68="L5")))+1,""))))</f>
        <v/>
      </c>
      <c r="C63" s="35" t="s">
        <v>333</v>
      </c>
      <c r="D63" s="35" t="str">
        <f>IF(E63="","",VLOOKUP(E63,'Coaching Points'!A:B,2,0))</f>
        <v>AB</v>
      </c>
      <c r="E63" s="35" t="s">
        <v>39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65</v>
      </c>
      <c r="I63" s="40"/>
      <c r="J63" s="4">
        <f>R63+IF(OR(H63="Junior",H63="Senior"),0.0002,IF(OR(H63="L7",H63="L6"),0.0001,0))+MAX(Z63,AC63)*0.0000001</f>
        <v>43.8001</v>
      </c>
      <c r="K63" s="3" t="str">
        <f>IF(G63="Not Age Eligible","",IF(MAX(T63,W63,Z63,AC63)&gt;=LOOKUP(G63,'Qualifying Scores'!$A$4:$A$7,'Qualifying Scores'!$G$4:$G$7),"P",""))</f>
        <v>P</v>
      </c>
      <c r="L63" s="3" t="str">
        <f>IF(G63="Not Age Eligible","",IF(MAX(U63,X63,AA63,AD63)&gt;=LOOKUP(G63,'Qualifying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MAX(T63-V63,W63-Y63,Z63-AB63,AC63-AE63)</f>
        <v>43.8</v>
      </c>
      <c r="S63" s="4">
        <f>IF(R63=T63-V63,MAX(W63-Y63,Z63-AB63,AC63-AE63),IF(R63=W63-Y63,MAX(T63-V63,Z63-AB63,AC63-AE63),IF(R63=Z63-AB63,MAX(T63-V63,W63-Y63,AC63-AE63),IF(R63=AC63-AE63,MAX(T63-V63,W63-Y63,Z63-AB63),0))))</f>
        <v>42.2</v>
      </c>
      <c r="T63" s="32">
        <v>43.8</v>
      </c>
      <c r="U63" s="37">
        <v>6.1</v>
      </c>
      <c r="V63" s="37">
        <v>0</v>
      </c>
      <c r="W63" s="33">
        <v>42.2</v>
      </c>
      <c r="X63" s="37">
        <v>6.5</v>
      </c>
      <c r="Y63" s="37">
        <v>0</v>
      </c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$68&lt;&gt;"")*(G$3:G$68=G64)*(J$3:J$68&gt;J64)*(I$3:I$68="P"))+1,IF(O64&lt;&gt;"",SUMPRODUCT((O$3:O$68&lt;&gt;"")*(P$3:P$68="")*(G$3:G$68=G64)*(J$3:J$68&gt;J64)*(I$3:I$68="P"))+SUMPRODUCT((P$3:P$68&lt;&gt;"")*(G$3:G$68=G64)*(I$3:I$68="P"))+1,IF(N64&lt;&gt;"",SUMPRODUCT((N$3:N$68&lt;&gt;"")*(G$3:G$68=G64)*(J$3:J$68&gt;J64)*(I$3:I$68="P"))+1,IF(M64="P",SUMPRODUCT((O$3:O$68&lt;&gt;"")*(P$3:P$68="")*(G$3:G$68=G64)*(I$3:I$68="P"))+SUMPRODUCT((P$3:P$68&lt;&gt;"")*(G$3:G$68=G64)*(I$3:I$68="P"))+SUMPRODUCT((N$3:N$68&lt;&gt;"")*(G$3:G$68=G64)*(I$3:I$68="P"))+SUMPRODUCT((P$3:P$68="")*(O$3:O$68="")*(N$3:N$68="")*(M$3:M$68="P")*(G$3:G$68=G64)*(J$3:J$68&gt;J64)*(I$3:I$68="P"))+IF(H64="L5",SUMPRODUCT((P$3:P$68="")*(O$3:O$68="")*(N$3:N$68="")*(M$3:M$68="P")*(G$3:G$68=G64)*(J$3:J$68&lt;J64)*(H$3:H$68&lt;&gt;H64)*(I$3:I$68="P")),-1*SUMPRODUCT((P$3:P$68="")*(O$3:O$68="")*(N$3:N$68="")*(M$3:M$68="P")*(G$3:G$68=G64)*(J$3:J$68&gt;J64)*(H$3:H$68="L5")*(I$3:I$68="P")))+1,"")))))</f>
        <v/>
      </c>
      <c r="B64" s="1" t="str" cm="1">
        <f t="array" ref="B64">IF(P64&lt;&gt;"",SUMPRODUCT((P$3:P$68&lt;&gt;"")*(G$3:G$68=G64)*(J$3:J$68&gt;J64))+1,IF(O64&lt;&gt;"",SUMPRODUCT((O$3:O$68&lt;&gt;"")*(P$3:P$68="")*(G$3:G$68=G64)*(J$3:J$68&gt;J64))+SUMPRODUCT((P$3:P$68&lt;&gt;"")*(G$3:G$68=G64))+1,IF(N64&lt;&gt;"",SUMPRODUCT((N$3:N$68&lt;&gt;"")*(G$3:G$68=G64)*(J$3:J$68&gt;J64))+1,IF(M64="P",SUMPRODUCT((O$3:O$68&lt;&gt;"")*(P$3:P$68="")*(G$3:G$68=G64))+SUMPRODUCT((P$3:P$68&lt;&gt;"")*(G$3:G$68=G64))+SUMPRODUCT((N$3:N$68&lt;&gt;"")*(G$3:G$68=G64))+SUMPRODUCT((P$3:P$68="")*(O$3:O$68="")*(N$3:N$68="")*(M$3:M$68="P")*(G$3:G$68=G64)*(J$3:J$68&gt;J64))+IF(H64="L5",SUMPRODUCT((P$3:P$68="")*(O$3:O$68="")*(N$3:N$68="")*(M$3:M$68="P")*(G$3:G$68=G64)*(J$3:J$68&lt;J64)*(H$3:H$68&lt;&gt;H64)),-1*SUMPRODUCT((P$3:P$68="")*(O$3:O$68="")*(N$3:N$68="")*(M$3:M$68="P")*(G$3:G$68=G64)*(J$3:J$68&gt;J64)*(H$3:H$68="L5")))+1,""))))</f>
        <v/>
      </c>
      <c r="C64" s="35" t="s">
        <v>213</v>
      </c>
      <c r="D64" s="35" t="str">
        <f>IF(E64="","",VLOOKUP(E64,'Coaching Points'!A:B,2,0))</f>
        <v>AB</v>
      </c>
      <c r="E64" s="35" t="s">
        <v>39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65</v>
      </c>
      <c r="I64" s="40"/>
      <c r="J64" s="4">
        <f>R64+IF(OR(H64="Junior",H64="Senior"),0.0002,IF(OR(H64="L7",H64="L6"),0.0001,0))+MAX(Z64,AC64)*0.0000001</f>
        <v>43.400100000000002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MAX(T64-V64,W64-Y64,Z64-AB64,AC64-AE64)</f>
        <v>43.4</v>
      </c>
      <c r="S64" s="4">
        <f>IF(R64=T64-V64,MAX(W64-Y64,Z64-AB64,AC64-AE64),IF(R64=W64-Y64,MAX(T64-V64,Z64-AB64,AC64-AE64),IF(R64=Z64-AB64,MAX(T64-V64,W64-Y64,AC64-AE64),IF(R64=AC64-AE64,MAX(T64-V64,W64-Y64,Z64-AB64),0))))</f>
        <v>42.7</v>
      </c>
      <c r="T64" s="32">
        <v>43.4</v>
      </c>
      <c r="U64" s="37">
        <v>6.3000000000000007</v>
      </c>
      <c r="V64" s="37">
        <v>0</v>
      </c>
      <c r="W64" s="33">
        <v>42.7</v>
      </c>
      <c r="X64" s="37">
        <v>5.6999999999999993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$68&lt;&gt;"")*(G$3:G$68=G65)*(J$3:J$68&gt;J65)*(I$3:I$68="P"))+1,IF(O65&lt;&gt;"",SUMPRODUCT((O$3:O$68&lt;&gt;"")*(P$3:P$68="")*(G$3:G$68=G65)*(J$3:J$68&gt;J65)*(I$3:I$68="P"))+SUMPRODUCT((P$3:P$68&lt;&gt;"")*(G$3:G$68=G65)*(I$3:I$68="P"))+1,IF(N65&lt;&gt;"",SUMPRODUCT((N$3:N$68&lt;&gt;"")*(G$3:G$68=G65)*(J$3:J$68&gt;J65)*(I$3:I$68="P"))+1,IF(M65="P",SUMPRODUCT((O$3:O$68&lt;&gt;"")*(P$3:P$68="")*(G$3:G$68=G65)*(I$3:I$68="P"))+SUMPRODUCT((P$3:P$68&lt;&gt;"")*(G$3:G$68=G65)*(I$3:I$68="P"))+SUMPRODUCT((N$3:N$68&lt;&gt;"")*(G$3:G$68=G65)*(I$3:I$68="P"))+SUMPRODUCT((P$3:P$68="")*(O$3:O$68="")*(N$3:N$68="")*(M$3:M$68="P")*(G$3:G$68=G65)*(J$3:J$68&gt;J65)*(I$3:I$68="P"))+IF(H65="L5",SUMPRODUCT((P$3:P$68="")*(O$3:O$68="")*(N$3:N$68="")*(M$3:M$68="P")*(G$3:G$68=G65)*(J$3:J$68&lt;J65)*(H$3:H$68&lt;&gt;H65)*(I$3:I$68="P")),-1*SUMPRODUCT((P$3:P$68="")*(O$3:O$68="")*(N$3:N$68="")*(M$3:M$68="P")*(G$3:G$68=G65)*(J$3:J$68&gt;J65)*(H$3:H$68="L5")*(I$3:I$68="P")))+1,"")))))</f>
        <v/>
      </c>
      <c r="B65" s="1" t="str" cm="1">
        <f t="array" ref="B65">IF(P65&lt;&gt;"",SUMPRODUCT((P$3:P$68&lt;&gt;"")*(G$3:G$68=G65)*(J$3:J$68&gt;J65))+1,IF(O65&lt;&gt;"",SUMPRODUCT((O$3:O$68&lt;&gt;"")*(P$3:P$68="")*(G$3:G$68=G65)*(J$3:J$68&gt;J65))+SUMPRODUCT((P$3:P$68&lt;&gt;"")*(G$3:G$68=G65))+1,IF(N65&lt;&gt;"",SUMPRODUCT((N$3:N$68&lt;&gt;"")*(G$3:G$68=G65)*(J$3:J$68&gt;J65))+1,IF(M65="P",SUMPRODUCT((O$3:O$68&lt;&gt;"")*(P$3:P$68="")*(G$3:G$68=G65))+SUMPRODUCT((P$3:P$68&lt;&gt;"")*(G$3:G$68=G65))+SUMPRODUCT((N$3:N$68&lt;&gt;"")*(G$3:G$68=G65))+SUMPRODUCT((P$3:P$68="")*(O$3:O$68="")*(N$3:N$68="")*(M$3:M$68="P")*(G$3:G$68=G65)*(J$3:J$68&gt;J65))+IF(H65="L5",SUMPRODUCT((P$3:P$68="")*(O$3:O$68="")*(N$3:N$68="")*(M$3:M$68="P")*(G$3:G$68=G65)*(J$3:J$68&lt;J65)*(H$3:H$68&lt;&gt;H65)),-1*SUMPRODUCT((P$3:P$68="")*(O$3:O$68="")*(N$3:N$68="")*(M$3:M$68="P")*(G$3:G$68=G65)*(J$3:J$68&gt;J65)*(H$3:H$68="L5")))+1,""))))</f>
        <v/>
      </c>
      <c r="C65" s="35" t="s">
        <v>334</v>
      </c>
      <c r="D65" s="35" t="str">
        <f>IF(E65="","",VLOOKUP(E65,'Coaching Points'!A:B,2,0))</f>
        <v>AB</v>
      </c>
      <c r="E65" s="35" t="s">
        <v>39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65</v>
      </c>
      <c r="I65" s="40"/>
      <c r="J65" s="4">
        <f>R65+IF(OR(H65="Junior",H65="Senior"),0.0002,IF(OR(H65="L7",H65="L6"),0.0001,0))+MAX(Z65,AC65)*0.0000001</f>
        <v>42.900100000000002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MAX(T65-V65,W65-Y65,Z65-AB65,AC65-AE65)</f>
        <v>42.9</v>
      </c>
      <c r="S65" s="4">
        <f>IF(R65=T65-V65,MAX(W65-Y65,Z65-AB65,AC65-AE65),IF(R65=W65-Y65,MAX(T65-V65,Z65-AB65,AC65-AE65),IF(R65=Z65-AB65,MAX(T65-V65,W65-Y65,AC65-AE65),IF(R65=AC65-AE65,MAX(T65-V65,W65-Y65,Z65-AB65),0))))</f>
        <v>40.5</v>
      </c>
      <c r="T65" s="32">
        <v>42.9</v>
      </c>
      <c r="U65" s="37">
        <v>6.1</v>
      </c>
      <c r="V65" s="37">
        <v>0</v>
      </c>
      <c r="W65" s="33">
        <v>40.5</v>
      </c>
      <c r="X65" s="37">
        <v>4.5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$68&lt;&gt;"")*(G$3:G$68=G66)*(J$3:J$68&gt;J66)*(I$3:I$68="P"))+1,IF(O66&lt;&gt;"",SUMPRODUCT((O$3:O$68&lt;&gt;"")*(P$3:P$68="")*(G$3:G$68=G66)*(J$3:J$68&gt;J66)*(I$3:I$68="P"))+SUMPRODUCT((P$3:P$68&lt;&gt;"")*(G$3:G$68=G66)*(I$3:I$68="P"))+1,IF(N66&lt;&gt;"",SUMPRODUCT((N$3:N$68&lt;&gt;"")*(G$3:G$68=G66)*(J$3:J$68&gt;J66)*(I$3:I$68="P"))+1,IF(M66="P",SUMPRODUCT((O$3:O$68&lt;&gt;"")*(P$3:P$68="")*(G$3:G$68=G66)*(I$3:I$68="P"))+SUMPRODUCT((P$3:P$68&lt;&gt;"")*(G$3:G$68=G66)*(I$3:I$68="P"))+SUMPRODUCT((N$3:N$68&lt;&gt;"")*(G$3:G$68=G66)*(I$3:I$68="P"))+SUMPRODUCT((P$3:P$68="")*(O$3:O$68="")*(N$3:N$68="")*(M$3:M$68="P")*(G$3:G$68=G66)*(J$3:J$68&gt;J66)*(I$3:I$68="P"))+IF(H66="L5",SUMPRODUCT((P$3:P$68="")*(O$3:O$68="")*(N$3:N$68="")*(M$3:M$68="P")*(G$3:G$68=G66)*(J$3:J$68&lt;J66)*(H$3:H$68&lt;&gt;H66)*(I$3:I$68="P")),-1*SUMPRODUCT((P$3:P$68="")*(O$3:O$68="")*(N$3:N$68="")*(M$3:M$68="P")*(G$3:G$68=G66)*(J$3:J$68&gt;J66)*(H$3:H$68="L5")*(I$3:I$68="P")))+1,"")))))</f>
        <v/>
      </c>
      <c r="B66" s="1" t="str" cm="1">
        <f t="array" ref="B66">IF(P66&lt;&gt;"",SUMPRODUCT((P$3:P$68&lt;&gt;"")*(G$3:G$68=G66)*(J$3:J$68&gt;J66))+1,IF(O66&lt;&gt;"",SUMPRODUCT((O$3:O$68&lt;&gt;"")*(P$3:P$68="")*(G$3:G$68=G66)*(J$3:J$68&gt;J66))+SUMPRODUCT((P$3:P$68&lt;&gt;"")*(G$3:G$68=G66))+1,IF(N66&lt;&gt;"",SUMPRODUCT((N$3:N$68&lt;&gt;"")*(G$3:G$68=G66)*(J$3:J$68&gt;J66))+1,IF(M66="P",SUMPRODUCT((O$3:O$68&lt;&gt;"")*(P$3:P$68="")*(G$3:G$68=G66))+SUMPRODUCT((P$3:P$68&lt;&gt;"")*(G$3:G$68=G66))+SUMPRODUCT((N$3:N$68&lt;&gt;"")*(G$3:G$68=G66))+SUMPRODUCT((P$3:P$68="")*(O$3:O$68="")*(N$3:N$68="")*(M$3:M$68="P")*(G$3:G$68=G66)*(J$3:J$68&gt;J66))+IF(H66="L5",SUMPRODUCT((P$3:P$68="")*(O$3:O$68="")*(N$3:N$68="")*(M$3:M$68="P")*(G$3:G$68=G66)*(J$3:J$68&lt;J66)*(H$3:H$68&lt;&gt;H66)),-1*SUMPRODUCT((P$3:P$68="")*(O$3:O$68="")*(N$3:N$68="")*(M$3:M$68="P")*(G$3:G$68=G66)*(J$3:J$68&gt;J66)*(H$3:H$68="L5")))+1,""))))</f>
        <v/>
      </c>
      <c r="C66" s="35" t="s">
        <v>332</v>
      </c>
      <c r="D66" s="35" t="str">
        <f>IF(E66="","",VLOOKUP(E66,'Coaching Points'!A:B,2,0))</f>
        <v>AB</v>
      </c>
      <c r="E66" s="35" t="s">
        <v>39</v>
      </c>
      <c r="F66" s="34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64</v>
      </c>
      <c r="I66" s="40"/>
      <c r="J66" s="4">
        <f>R66+IF(OR(H66="Junior",H66="Senior"),0.0002,IF(OR(H66="L7",H66="L6"),0.0001,0))+MAX(Z66,AC66)*0.0000001</f>
        <v>42.5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MAX(T66-V66,W66-Y66,Z66-AB66,AC66-AE66)</f>
        <v>42.5</v>
      </c>
      <c r="S66" s="4">
        <f>IF(R66=T66-V66,MAX(W66-Y66,Z66-AB66,AC66-AE66),IF(R66=W66-Y66,MAX(T66-V66,Z66-AB66,AC66-AE66),IF(R66=Z66-AB66,MAX(T66-V66,W66-Y66,AC66-AE66),IF(R66=AC66-AE66,MAX(T66-V66,W66-Y66,Z66-AB66),0))))</f>
        <v>39.1</v>
      </c>
      <c r="T66" s="32">
        <v>42.5</v>
      </c>
      <c r="U66" s="37">
        <v>5.6</v>
      </c>
      <c r="V66" s="37">
        <v>0</v>
      </c>
      <c r="W66" s="33">
        <v>39.1</v>
      </c>
      <c r="X66" s="37">
        <v>3.3000000000000003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A67" s="1" t="str" cm="1">
        <f t="array" ref="A67">IF(I67="","",IF(P67&lt;&gt;"",SUMPRODUCT((P$3:P$68&lt;&gt;"")*(G$3:G$68=G67)*(J$3:J$68&gt;J67)*(I$3:I$68="P"))+1,IF(O67&lt;&gt;"",SUMPRODUCT((O$3:O$68&lt;&gt;"")*(P$3:P$68="")*(G$3:G$68=G67)*(J$3:J$68&gt;J67)*(I$3:I$68="P"))+SUMPRODUCT((P$3:P$68&lt;&gt;"")*(G$3:G$68=G67)*(I$3:I$68="P"))+1,IF(N67&lt;&gt;"",SUMPRODUCT((N$3:N$68&lt;&gt;"")*(G$3:G$68=G67)*(J$3:J$68&gt;J67)*(I$3:I$68="P"))+1,IF(M67="P",SUMPRODUCT((O$3:O$68&lt;&gt;"")*(P$3:P$68="")*(G$3:G$68=G67)*(I$3:I$68="P"))+SUMPRODUCT((P$3:P$68&lt;&gt;"")*(G$3:G$68=G67)*(I$3:I$68="P"))+SUMPRODUCT((N$3:N$68&lt;&gt;"")*(G$3:G$68=G67)*(I$3:I$68="P"))+SUMPRODUCT((P$3:P$68="")*(O$3:O$68="")*(N$3:N$68="")*(M$3:M$68="P")*(G$3:G$68=G67)*(J$3:J$68&gt;J67)*(I$3:I$68="P"))+IF(H67="L5",SUMPRODUCT((P$3:P$68="")*(O$3:O$68="")*(N$3:N$68="")*(M$3:M$68="P")*(G$3:G$68=G67)*(J$3:J$68&lt;J67)*(H$3:H$68&lt;&gt;H67)*(I$3:I$68="P")),-1*SUMPRODUCT((P$3:P$68="")*(O$3:O$68="")*(N$3:N$68="")*(M$3:M$68="P")*(G$3:G$68=G67)*(J$3:J$68&gt;J67)*(H$3:H$68="L5")*(I$3:I$68="P")))+1,"")))))</f>
        <v/>
      </c>
      <c r="B67" s="1" t="str" cm="1">
        <f t="array" ref="B67">IF(P67&lt;&gt;"",SUMPRODUCT((P$3:P$68&lt;&gt;"")*(G$3:G$68=G67)*(J$3:J$68&gt;J67))+1,IF(O67&lt;&gt;"",SUMPRODUCT((O$3:O$68&lt;&gt;"")*(P$3:P$68="")*(G$3:G$68=G67)*(J$3:J$68&gt;J67))+SUMPRODUCT((P$3:P$68&lt;&gt;"")*(G$3:G$68=G67))+1,IF(N67&lt;&gt;"",SUMPRODUCT((N$3:N$68&lt;&gt;"")*(G$3:G$68=G67)*(J$3:J$68&gt;J67))+1,IF(M67="P",SUMPRODUCT((O$3:O$68&lt;&gt;"")*(P$3:P$68="")*(G$3:G$68=G67))+SUMPRODUCT((P$3:P$68&lt;&gt;"")*(G$3:G$68=G67))+SUMPRODUCT((N$3:N$68&lt;&gt;"")*(G$3:G$68=G67))+SUMPRODUCT((P$3:P$68="")*(O$3:O$68="")*(N$3:N$68="")*(M$3:M$68="P")*(G$3:G$68=G67)*(J$3:J$68&gt;J67))+IF(H67="L5",SUMPRODUCT((P$3:P$68="")*(O$3:O$68="")*(N$3:N$68="")*(M$3:M$68="P")*(G$3:G$68=G67)*(J$3:J$68&lt;J67)*(H$3:H$68&lt;&gt;H67)),-1*SUMPRODUCT((P$3:P$68="")*(O$3:O$68="")*(N$3:N$68="")*(M$3:M$68="P")*(G$3:G$68=G67)*(J$3:J$68&gt;J67)*(H$3:H$68="L5")))+1,""))))</f>
        <v/>
      </c>
      <c r="C67" s="35" t="s">
        <v>305</v>
      </c>
      <c r="D67" s="35" t="str">
        <f>IF(E67="","",VLOOKUP(E67,'Coaching Points'!A:B,2,0))</f>
        <v>AB</v>
      </c>
      <c r="E67" s="35" t="s">
        <v>56</v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64</v>
      </c>
      <c r="I67" s="40"/>
      <c r="J67" s="4">
        <f>R67+IF(OR(H67="Junior",H67="Senior"),0.0002,IF(OR(H67="L7",H67="L6"),0.0001,0))+MAX(Z67,AC67)*0.0000001</f>
        <v>41.9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MAX(T67-V67,W67-Y67,Z67-AB67,AC67-AE67)</f>
        <v>41.9</v>
      </c>
      <c r="S67" s="4">
        <f>IF(R67=T67-V67,MAX(W67-Y67,Z67-AB67,AC67-AE67),IF(R67=W67-Y67,MAX(T67-V67,Z67-AB67,AC67-AE67),IF(R67=Z67-AB67,MAX(T67-V67,W67-Y67,AC67-AE67),IF(R67=AC67-AE67,MAX(T67-V67,W67-Y67,Z67-AB67),0))))</f>
        <v>41.2</v>
      </c>
      <c r="T67" s="32">
        <v>41.2</v>
      </c>
      <c r="U67" s="37">
        <v>6.1</v>
      </c>
      <c r="V67" s="37">
        <v>0</v>
      </c>
      <c r="W67" s="33">
        <v>41.9</v>
      </c>
      <c r="X67" s="37">
        <v>5.3000000000000007</v>
      </c>
      <c r="Y67" s="37">
        <v>0</v>
      </c>
      <c r="Z67" s="32"/>
      <c r="AA67" s="37"/>
      <c r="AB67" s="37"/>
      <c r="AC67" s="33"/>
      <c r="AD67" s="37"/>
      <c r="AE67" s="37"/>
    </row>
    <row r="68" spans="1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  <row r="81" spans="2:31" x14ac:dyDescent="0.2">
      <c r="B81" s="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2:31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7"/>
      <c r="W82" s="33"/>
      <c r="X82" s="37"/>
      <c r="Y82" s="37"/>
      <c r="Z82" s="32"/>
      <c r="AA82" s="37"/>
      <c r="AB82" s="37"/>
      <c r="AC82" s="33"/>
      <c r="AD82" s="37"/>
      <c r="AE82" s="37"/>
    </row>
    <row r="83" spans="2:31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7"/>
      <c r="W83" s="33"/>
      <c r="X83" s="37"/>
      <c r="Y83" s="37"/>
      <c r="Z83" s="32"/>
      <c r="AA83" s="37"/>
      <c r="AB83" s="37"/>
      <c r="AC83" s="33"/>
      <c r="AD83" s="37"/>
      <c r="AE83" s="37"/>
    </row>
    <row r="84" spans="2:31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7"/>
      <c r="W84" s="33"/>
      <c r="X84" s="37"/>
      <c r="Y84" s="37"/>
      <c r="Z84" s="32"/>
      <c r="AA84" s="37"/>
      <c r="AB84" s="37"/>
      <c r="AC84" s="33"/>
      <c r="AD84" s="37"/>
      <c r="AE84" s="37"/>
    </row>
    <row r="85" spans="2:31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7"/>
      <c r="W85" s="33"/>
      <c r="X85" s="37"/>
      <c r="Y85" s="37"/>
      <c r="Z85" s="32"/>
      <c r="AA85" s="37"/>
      <c r="AB85" s="37"/>
      <c r="AC85" s="33"/>
      <c r="AD85" s="37"/>
      <c r="AE85" s="37"/>
    </row>
    <row r="86" spans="2:31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7"/>
      <c r="W86" s="33"/>
      <c r="X86" s="37"/>
      <c r="Y86" s="37"/>
      <c r="Z86" s="32"/>
      <c r="AA86" s="37"/>
      <c r="AB86" s="37"/>
      <c r="AC86" s="33"/>
      <c r="AD86" s="37"/>
      <c r="AE86" s="37"/>
    </row>
    <row r="87" spans="2:31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7"/>
      <c r="W87" s="33"/>
      <c r="X87" s="37"/>
      <c r="Y87" s="37"/>
      <c r="Z87" s="32"/>
      <c r="AA87" s="37"/>
      <c r="AB87" s="37"/>
      <c r="AC87" s="33"/>
      <c r="AD87" s="37"/>
      <c r="AE87" s="37"/>
    </row>
    <row r="88" spans="2:31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7"/>
      <c r="W88" s="33"/>
      <c r="X88" s="37"/>
      <c r="Y88" s="37"/>
      <c r="Z88" s="32"/>
      <c r="AA88" s="37"/>
      <c r="AB88" s="37"/>
      <c r="AC88" s="33"/>
      <c r="AD88" s="37"/>
      <c r="AE88" s="37"/>
    </row>
    <row r="89" spans="2:31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7"/>
      <c r="W89" s="33"/>
      <c r="X89" s="37"/>
      <c r="Y89" s="37"/>
      <c r="Z89" s="32"/>
      <c r="AA89" s="37"/>
      <c r="AB89" s="37"/>
      <c r="AC89" s="33"/>
      <c r="AD89" s="37"/>
      <c r="AE89" s="37"/>
    </row>
    <row r="90" spans="2:31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7"/>
      <c r="W90" s="33"/>
      <c r="X90" s="37"/>
      <c r="Y90" s="37"/>
      <c r="Z90" s="32"/>
      <c r="AA90" s="37"/>
      <c r="AB90" s="37"/>
      <c r="AC90" s="33"/>
      <c r="AD90" s="37"/>
      <c r="AE90" s="37"/>
    </row>
    <row r="91" spans="2:31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7"/>
      <c r="W91" s="33"/>
      <c r="X91" s="37"/>
      <c r="Y91" s="37"/>
      <c r="Z91" s="32"/>
      <c r="AA91" s="37"/>
      <c r="AB91" s="37"/>
      <c r="AC91" s="33"/>
      <c r="AD91" s="37"/>
      <c r="AE91" s="37"/>
    </row>
    <row r="92" spans="2:31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7"/>
      <c r="W92" s="33"/>
      <c r="X92" s="37"/>
      <c r="Y92" s="37"/>
      <c r="Z92" s="32"/>
      <c r="AA92" s="37"/>
      <c r="AB92" s="37"/>
      <c r="AC92" s="33"/>
      <c r="AD92" s="37"/>
      <c r="AE92" s="37"/>
    </row>
    <row r="93" spans="2:31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7"/>
      <c r="W93" s="33"/>
      <c r="X93" s="37"/>
      <c r="Y93" s="37"/>
      <c r="Z93" s="32"/>
      <c r="AA93" s="37"/>
      <c r="AB93" s="37"/>
      <c r="AC93" s="33"/>
      <c r="AD93" s="37"/>
      <c r="AE93" s="37"/>
    </row>
    <row r="94" spans="2:31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7"/>
      <c r="W94" s="33"/>
      <c r="X94" s="37"/>
      <c r="Y94" s="37"/>
      <c r="Z94" s="32"/>
      <c r="AA94" s="37"/>
      <c r="AB94" s="37"/>
      <c r="AC94" s="33"/>
      <c r="AD94" s="37"/>
      <c r="AE94" s="37"/>
    </row>
    <row r="95" spans="2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2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  <row r="230" spans="2:31" x14ac:dyDescent="0.2">
      <c r="B230" s="1"/>
      <c r="G230" s="1"/>
      <c r="H230" s="36"/>
      <c r="I230" s="40"/>
      <c r="J230" s="4"/>
      <c r="K230" s="3"/>
      <c r="L230" s="3"/>
      <c r="R230" s="4"/>
      <c r="S230" s="4"/>
      <c r="T230" s="32"/>
      <c r="U230" s="37"/>
      <c r="V230" s="37"/>
      <c r="W230" s="33"/>
      <c r="X230" s="37"/>
      <c r="Y230" s="37"/>
      <c r="Z230" s="32"/>
      <c r="AA230" s="37"/>
      <c r="AB230" s="37"/>
      <c r="AC230" s="33"/>
      <c r="AD230" s="37"/>
      <c r="AE230" s="37"/>
    </row>
  </sheetData>
  <sheetProtection sheet="1" formatCells="0" formatColumns="0" formatRows="0"/>
  <autoFilter ref="A1:AE67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7">
      <sortCondition descending="1" ref="G1:G68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1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$27&lt;&gt;"")*(G$3:G$27=G3)*(J$3:J$27&gt;J3)*(I$3:I$27="P"))+1,IF(O3&lt;&gt;"",SUMPRODUCT((O$3:O$27&lt;&gt;"")*(P$3:P$27="")*(G$3:G$27=G3)*(J$3:J$27&gt;J3)*(I$3:I$27="P"))+SUMPRODUCT((P$3:P$27&lt;&gt;"")*(G$3:G$27=G3)*(I$3:I$27="P"))+1,IF(N3&lt;&gt;"",SUMPRODUCT((N$3:N$27&lt;&gt;"")*(G$3:G$27=G3)*(J$3:J$27&gt;J3)*(I$3:I$27="P"))+1,IF(M3="P",SUMPRODUCT((O$3:O$27&lt;&gt;"")*(P$3:P$27="")*(G$3:G$27=G3)*(I$3:I$27="P"))+SUMPRODUCT((P$3:P$27&lt;&gt;"")*(G$3:G$27=G3)*(I$3:I$27="P"))+SUMPRODUCT((N$3:N$27&lt;&gt;"")*(G$3:G$27=G3)*(I$3:I$27="P"))+SUMPRODUCT((P$3:P$27="")*(O$3:O$27="")*(N$3:N$27="")*(M$3:M$27="P")*(G$3:G$27=G3)*(J$3:J$27&gt;J3)*(I$3:I$27="P"))+IF(H3="L5",SUMPRODUCT((P$3:P$27="")*(O$3:O$27="")*(N$3:N$27="")*(M$3:M$27="P")*(G$3:G$27=G3)*(J$3:J$27&lt;J3)*(H$3:H$27&lt;&gt;H3)*(I$3:I$27="P")),-1*SUMPRODUCT((P$3:P$27="")*(O$3:O$27="")*(N$3:N$27="")*(M$3:M$27="P")*(G$3:G$27=G3)*(J$3:J$27&gt;J3)*(H$3:H$27="L5")*(I$3:I$27="P")))+1,"")))))</f>
        <v/>
      </c>
      <c r="B3" s="1" cm="1">
        <f t="array" ref="B3">IF(P3&lt;&gt;"",SUMPRODUCT((P$3:P$27&lt;&gt;"")*(G$3:G$27=G3)*(J$3:J$27&gt;J3))+1,IF(O3&lt;&gt;"",SUMPRODUCT((O$3:O$27&lt;&gt;"")*(P$3:P$27="")*(G$3:G$27=G3)*(J$3:J$27&gt;J3))+SUMPRODUCT((P$3:P$27&lt;&gt;"")*(G$3:G$27=G3))+1,IF(N3&lt;&gt;"",SUMPRODUCT((N$3:N$27&lt;&gt;"")*(G$3:G$27=G3)*(J$3:J$27&gt;J3))+1,IF(M3="P",SUMPRODUCT((O$3:O$27&lt;&gt;"")*(P$3:P$27="")*(G$3:G$27=G3))+SUMPRODUCT((P$3:P$27&lt;&gt;"")*(G$3:G$27=G3))+SUMPRODUCT((N$3:N$27&lt;&gt;"")*(G$3:G$27=G3))+SUMPRODUCT((P$3:P$27="")*(O$3:O$27="")*(N$3:N$27="")*(M$3:M$27="P")*(G$3:G$27=G3)*(J$3:J$27&gt;J3))+IF(H3="L5",SUMPRODUCT((P$3:P$27="")*(O$3:O$27="")*(N$3:N$27="")*(M$3:M$27="P")*(G$3:G$27=G3)*(J$3:J$27&lt;J3)*(H$3:H$27&lt;&gt;H3)),-1*SUMPRODUCT((P$3:P$27="")*(O$3:O$27="")*(N$3:N$27="")*(M$3:M$27="P")*(G$3:G$27=G3)*(J$3:J$27&gt;J3)*(H$3:H$27="L5")))+1,""))))</f>
        <v>1</v>
      </c>
      <c r="C3" s="35" t="s">
        <v>130</v>
      </c>
      <c r="D3" s="35" t="str">
        <f>IF(E3="","",VLOOKUP(E3,'Coaching Points'!A:B,2,0))</f>
        <v>ON</v>
      </c>
      <c r="E3" s="35" t="s">
        <v>131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52.900199999999998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MAX(T3-V3,W3-Y3,Z3-AB3,AC3-AE3)</f>
        <v>52.9</v>
      </c>
      <c r="S3" s="4">
        <f>IF(R3=T3-V3,MAX(W3-Y3,Z3-AB3,AC3-AE3),IF(R3=W3-Y3,MAX(T3-V3,Z3-AB3,AC3-AE3),IF(R3=Z3-AB3,MAX(T3-V3,W3-Y3,AC3-AE3),IF(R3=AC3-AE3,MAX(T3-V3,W3-Y3,Z3-AB3),0))))</f>
        <v>51.7</v>
      </c>
      <c r="T3" s="32">
        <v>51.7</v>
      </c>
      <c r="U3" s="37">
        <v>14.7</v>
      </c>
      <c r="V3" s="37">
        <v>0</v>
      </c>
      <c r="W3" s="33">
        <v>52.9</v>
      </c>
      <c r="X3" s="37">
        <v>15.899999999999999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$27&lt;&gt;"")*(G$3:G$27=G4)*(J$3:J$27&gt;J4)*(I$3:I$27="P"))+1,IF(O4&lt;&gt;"",SUMPRODUCT((O$3:O$27&lt;&gt;"")*(P$3:P$27="")*(G$3:G$27=G4)*(J$3:J$27&gt;J4)*(I$3:I$27="P"))+SUMPRODUCT((P$3:P$27&lt;&gt;"")*(G$3:G$27=G4)*(I$3:I$27="P"))+1,IF(N4&lt;&gt;"",SUMPRODUCT((N$3:N$27&lt;&gt;"")*(G$3:G$27=G4)*(J$3:J$27&gt;J4)*(I$3:I$27="P"))+1,IF(M4="P",SUMPRODUCT((O$3:O$27&lt;&gt;"")*(P$3:P$27="")*(G$3:G$27=G4)*(I$3:I$27="P"))+SUMPRODUCT((P$3:P$27&lt;&gt;"")*(G$3:G$27=G4)*(I$3:I$27="P"))+SUMPRODUCT((N$3:N$27&lt;&gt;"")*(G$3:G$27=G4)*(I$3:I$27="P"))+SUMPRODUCT((P$3:P$27="")*(O$3:O$27="")*(N$3:N$27="")*(M$3:M$27="P")*(G$3:G$27=G4)*(J$3:J$27&gt;J4)*(I$3:I$27="P"))+IF(H4="L5",SUMPRODUCT((P$3:P$27="")*(O$3:O$27="")*(N$3:N$27="")*(M$3:M$27="P")*(G$3:G$27=G4)*(J$3:J$27&lt;J4)*(H$3:H$27&lt;&gt;H4)*(I$3:I$27="P")),-1*SUMPRODUCT((P$3:P$27="")*(O$3:O$27="")*(N$3:N$27="")*(M$3:M$27="P")*(G$3:G$27=G4)*(J$3:J$27&gt;J4)*(H$3:H$27="L5")*(I$3:I$27="P")))+1,"")))))</f>
        <v/>
      </c>
      <c r="B4" s="1" cm="1">
        <f t="array" ref="B4">IF(P4&lt;&gt;"",SUMPRODUCT((P$3:P$27&lt;&gt;"")*(G$3:G$27=G4)*(J$3:J$27&gt;J4))+1,IF(O4&lt;&gt;"",SUMPRODUCT((O$3:O$27&lt;&gt;"")*(P$3:P$27="")*(G$3:G$27=G4)*(J$3:J$27&gt;J4))+SUMPRODUCT((P$3:P$27&lt;&gt;"")*(G$3:G$27=G4))+1,IF(N4&lt;&gt;"",SUMPRODUCT((N$3:N$27&lt;&gt;"")*(G$3:G$27=G4)*(J$3:J$27&gt;J4))+1,IF(M4="P",SUMPRODUCT((O$3:O$27&lt;&gt;"")*(P$3:P$27="")*(G$3:G$27=G4))+SUMPRODUCT((P$3:P$27&lt;&gt;"")*(G$3:G$27=G4))+SUMPRODUCT((N$3:N$27&lt;&gt;"")*(G$3:G$27=G4))+SUMPRODUCT((P$3:P$27="")*(O$3:O$27="")*(N$3:N$27="")*(M$3:M$27="P")*(G$3:G$27=G4)*(J$3:J$27&gt;J4))+IF(H4="L5",SUMPRODUCT((P$3:P$27="")*(O$3:O$27="")*(N$3:N$27="")*(M$3:M$27="P")*(G$3:G$27=G4)*(J$3:J$27&lt;J4)*(H$3:H$27&lt;&gt;H4)),-1*SUMPRODUCT((P$3:P$27="")*(O$3:O$27="")*(N$3:N$27="")*(M$3:M$27="P")*(G$3:G$27=G4)*(J$3:J$27&gt;J4)*(H$3:H$27="L5")))+1,""))))</f>
        <v>2</v>
      </c>
      <c r="C4" s="35" t="s">
        <v>137</v>
      </c>
      <c r="D4" s="35" t="str">
        <f>IF(E4="","",VLOOKUP(E4,'Coaching Points'!A:B,2,0))</f>
        <v>ON</v>
      </c>
      <c r="E4" s="35" t="s">
        <v>131</v>
      </c>
      <c r="F4" s="34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50.300199999999997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MAX(T4-V4,W4-Y4,Z4-AB4,AC4-AE4)</f>
        <v>50.3</v>
      </c>
      <c r="S4" s="4">
        <f>IF(R4=T4-V4,MAX(W4-Y4,Z4-AB4,AC4-AE4),IF(R4=W4-Y4,MAX(T4-V4,Z4-AB4,AC4-AE4),IF(R4=Z4-AB4,MAX(T4-V4,W4-Y4,AC4-AE4),IF(R4=AC4-AE4,MAX(T4-V4,W4-Y4,Z4-AB4),0))))</f>
        <v>42.1</v>
      </c>
      <c r="T4" s="32">
        <v>42.1</v>
      </c>
      <c r="U4" s="37">
        <v>8.8000000000000007</v>
      </c>
      <c r="V4" s="37">
        <v>0</v>
      </c>
      <c r="W4" s="33">
        <v>50.3</v>
      </c>
      <c r="X4" s="37">
        <v>14.4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$27&lt;&gt;"")*(G$3:G$27=G5)*(J$3:J$27&gt;J5)*(I$3:I$27="P"))+1,IF(O5&lt;&gt;"",SUMPRODUCT((O$3:O$27&lt;&gt;"")*(P$3:P$27="")*(G$3:G$27=G5)*(J$3:J$27&gt;J5)*(I$3:I$27="P"))+SUMPRODUCT((P$3:P$27&lt;&gt;"")*(G$3:G$27=G5)*(I$3:I$27="P"))+1,IF(N5&lt;&gt;"",SUMPRODUCT((N$3:N$27&lt;&gt;"")*(G$3:G$27=G5)*(J$3:J$27&gt;J5)*(I$3:I$27="P"))+1,IF(M5="P",SUMPRODUCT((O$3:O$27&lt;&gt;"")*(P$3:P$27="")*(G$3:G$27=G5)*(I$3:I$27="P"))+SUMPRODUCT((P$3:P$27&lt;&gt;"")*(G$3:G$27=G5)*(I$3:I$27="P"))+SUMPRODUCT((N$3:N$27&lt;&gt;"")*(G$3:G$27=G5)*(I$3:I$27="P"))+SUMPRODUCT((P$3:P$27="")*(O$3:O$27="")*(N$3:N$27="")*(M$3:M$27="P")*(G$3:G$27=G5)*(J$3:J$27&gt;J5)*(I$3:I$27="P"))+IF(H5="L5",SUMPRODUCT((P$3:P$27="")*(O$3:O$27="")*(N$3:N$27="")*(M$3:M$27="P")*(G$3:G$27=G5)*(J$3:J$27&lt;J5)*(H$3:H$27&lt;&gt;H5)*(I$3:I$27="P")),-1*SUMPRODUCT((P$3:P$27="")*(O$3:O$27="")*(N$3:N$27="")*(M$3:M$27="P")*(G$3:G$27=G5)*(J$3:J$27&gt;J5)*(H$3:H$27="L5")*(I$3:I$27="P")))+1,"")))))</f>
        <v/>
      </c>
      <c r="B5" s="1" cm="1">
        <f t="array" ref="B5">IF(P5&lt;&gt;"",SUMPRODUCT((P$3:P$27&lt;&gt;"")*(G$3:G$27=G5)*(J$3:J$27&gt;J5))+1,IF(O5&lt;&gt;"",SUMPRODUCT((O$3:O$27&lt;&gt;"")*(P$3:P$27="")*(G$3:G$27=G5)*(J$3:J$27&gt;J5))+SUMPRODUCT((P$3:P$27&lt;&gt;"")*(G$3:G$27=G5))+1,IF(N5&lt;&gt;"",SUMPRODUCT((N$3:N$27&lt;&gt;"")*(G$3:G$27=G5)*(J$3:J$27&gt;J5))+1,IF(M5="P",SUMPRODUCT((O$3:O$27&lt;&gt;"")*(P$3:P$27="")*(G$3:G$27=G5))+SUMPRODUCT((P$3:P$27&lt;&gt;"")*(G$3:G$27=G5))+SUMPRODUCT((N$3:N$27&lt;&gt;"")*(G$3:G$27=G5))+SUMPRODUCT((P$3:P$27="")*(O$3:O$27="")*(N$3:N$27="")*(M$3:M$27="P")*(G$3:G$27=G5)*(J$3:J$27&gt;J5))+IF(H5="L5",SUMPRODUCT((P$3:P$27="")*(O$3:O$27="")*(N$3:N$27="")*(M$3:M$27="P")*(G$3:G$27=G5)*(J$3:J$27&lt;J5)*(H$3:H$27&lt;&gt;H5)),-1*SUMPRODUCT((P$3:P$27="")*(O$3:O$27="")*(N$3:N$27="")*(M$3:M$27="P")*(G$3:G$27=G5)*(J$3:J$27&gt;J5)*(H$3:H$27="L5")))+1,""))))</f>
        <v>3</v>
      </c>
      <c r="C5" s="35" t="s">
        <v>135</v>
      </c>
      <c r="D5" s="35" t="str">
        <f>IF(E5="","",VLOOKUP(E5,'Coaching Points'!A:B,2,0))</f>
        <v>AB</v>
      </c>
      <c r="E5" s="35" t="s">
        <v>62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49.0002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3</v>
      </c>
      <c r="Q5" s="1" t="str">
        <f>IF(A5&lt;5,IF(_xlfn.MAXIFS(A:A,G:G,G5)&gt;3,5-A5,_xlfn.MAXIFS(A:A,G:G,G5)+1-A5),"")</f>
        <v/>
      </c>
      <c r="R5" s="4">
        <f>MAX(T5-V5,W5-Y5,Z5-AB5,AC5-AE5)</f>
        <v>49</v>
      </c>
      <c r="S5" s="4">
        <f>IF(R5=T5-V5,MAX(W5-Y5,Z5-AB5,AC5-AE5),IF(R5=W5-Y5,MAX(T5-V5,Z5-AB5,AC5-AE5),IF(R5=Z5-AB5,MAX(T5-V5,W5-Y5,AC5-AE5),IF(R5=AC5-AE5,MAX(T5-V5,W5-Y5,Z5-AB5),0))))</f>
        <v>47.9</v>
      </c>
      <c r="T5" s="32">
        <v>47.9</v>
      </c>
      <c r="U5" s="37">
        <v>12.9</v>
      </c>
      <c r="V5" s="37">
        <v>0</v>
      </c>
      <c r="W5" s="33">
        <v>49</v>
      </c>
      <c r="X5" s="37">
        <v>13.8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$27&lt;&gt;"")*(G$3:G$27=G6)*(J$3:J$27&gt;J6)*(I$3:I$27="P"))+1,IF(O6&lt;&gt;"",SUMPRODUCT((O$3:O$27&lt;&gt;"")*(P$3:P$27="")*(G$3:G$27=G6)*(J$3:J$27&gt;J6)*(I$3:I$27="P"))+SUMPRODUCT((P$3:P$27&lt;&gt;"")*(G$3:G$27=G6)*(I$3:I$27="P"))+1,IF(N6&lt;&gt;"",SUMPRODUCT((N$3:N$27&lt;&gt;"")*(G$3:G$27=G6)*(J$3:J$27&gt;J6)*(I$3:I$27="P"))+1,IF(M6="P",SUMPRODUCT((O$3:O$27&lt;&gt;"")*(P$3:P$27="")*(G$3:G$27=G6)*(I$3:I$27="P"))+SUMPRODUCT((P$3:P$27&lt;&gt;"")*(G$3:G$27=G6)*(I$3:I$27="P"))+SUMPRODUCT((N$3:N$27&lt;&gt;"")*(G$3:G$27=G6)*(I$3:I$27="P"))+SUMPRODUCT((P$3:P$27="")*(O$3:O$27="")*(N$3:N$27="")*(M$3:M$27="P")*(G$3:G$27=G6)*(J$3:J$27&gt;J6)*(I$3:I$27="P"))+IF(H6="L5",SUMPRODUCT((P$3:P$27="")*(O$3:O$27="")*(N$3:N$27="")*(M$3:M$27="P")*(G$3:G$27=G6)*(J$3:J$27&lt;J6)*(H$3:H$27&lt;&gt;H6)*(I$3:I$27="P")),-1*SUMPRODUCT((P$3:P$27="")*(O$3:O$27="")*(N$3:N$27="")*(M$3:M$27="P")*(G$3:G$27=G6)*(J$3:J$27&gt;J6)*(H$3:H$27="L5")*(I$3:I$27="P")))+1,"")))))</f>
        <v/>
      </c>
      <c r="B6" s="1" cm="1">
        <f t="array" ref="B6">IF(P6&lt;&gt;"",SUMPRODUCT((P$3:P$27&lt;&gt;"")*(G$3:G$27=G6)*(J$3:J$27&gt;J6))+1,IF(O6&lt;&gt;"",SUMPRODUCT((O$3:O$27&lt;&gt;"")*(P$3:P$27="")*(G$3:G$27=G6)*(J$3:J$27&gt;J6))+SUMPRODUCT((P$3:P$27&lt;&gt;"")*(G$3:G$27=G6))+1,IF(N6&lt;&gt;"",SUMPRODUCT((N$3:N$27&lt;&gt;"")*(G$3:G$27=G6)*(J$3:J$27&gt;J6))+1,IF(M6="P",SUMPRODUCT((O$3:O$27&lt;&gt;"")*(P$3:P$27="")*(G$3:G$27=G6))+SUMPRODUCT((P$3:P$27&lt;&gt;"")*(G$3:G$27=G6))+SUMPRODUCT((N$3:N$27&lt;&gt;"")*(G$3:G$27=G6))+SUMPRODUCT((P$3:P$27="")*(O$3:O$27="")*(N$3:N$27="")*(M$3:M$27="P")*(G$3:G$27=G6)*(J$3:J$27&gt;J6))+IF(H6="L5",SUMPRODUCT((P$3:P$27="")*(O$3:O$27="")*(N$3:N$27="")*(M$3:M$27="P")*(G$3:G$27=G6)*(J$3:J$27&lt;J6)*(H$3:H$27&lt;&gt;H6)),-1*SUMPRODUCT((P$3:P$27="")*(O$3:O$27="")*(N$3:N$27="")*(M$3:M$27="P")*(G$3:G$27=G6)*(J$3:J$27&gt;J6)*(H$3:H$27="L5")))+1,""))))</f>
        <v>4</v>
      </c>
      <c r="C6" s="35" t="s">
        <v>303</v>
      </c>
      <c r="D6" s="35" t="str">
        <f>IF(E6="","",VLOOKUP(E6,'Coaching Points'!A:B,2,0))</f>
        <v>AB</v>
      </c>
      <c r="E6" s="35" t="s">
        <v>28</v>
      </c>
      <c r="F6" s="34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47.800199999999997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MAX(T6-V6,W6-Y6,Z6-AB6,AC6-AE6)</f>
        <v>47.8</v>
      </c>
      <c r="S6" s="4">
        <f>IF(R6=T6-V6,MAX(W6-Y6,Z6-AB6,AC6-AE6),IF(R6=W6-Y6,MAX(T6-V6,Z6-AB6,AC6-AE6),IF(R6=Z6-AB6,MAX(T6-V6,W6-Y6,AC6-AE6),IF(R6=AC6-AE6,MAX(T6-V6,W6-Y6,Z6-AB6),0))))</f>
        <v>47.4</v>
      </c>
      <c r="T6" s="32">
        <v>47.4</v>
      </c>
      <c r="U6" s="37">
        <v>12.4</v>
      </c>
      <c r="V6" s="37">
        <v>0</v>
      </c>
      <c r="W6" s="33">
        <v>47.8</v>
      </c>
      <c r="X6" s="37">
        <v>12.4</v>
      </c>
      <c r="Y6" s="37">
        <v>0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$27&lt;&gt;"")*(G$3:G$27=G7)*(J$3:J$27&gt;J7)*(I$3:I$27="P"))+1,IF(O7&lt;&gt;"",SUMPRODUCT((O$3:O$27&lt;&gt;"")*(P$3:P$27="")*(G$3:G$27=G7)*(J$3:J$27&gt;J7)*(I$3:I$27="P"))+SUMPRODUCT((P$3:P$27&lt;&gt;"")*(G$3:G$27=G7)*(I$3:I$27="P"))+1,IF(N7&lt;&gt;"",SUMPRODUCT((N$3:N$27&lt;&gt;"")*(G$3:G$27=G7)*(J$3:J$27&gt;J7)*(I$3:I$27="P"))+1,IF(M7="P",SUMPRODUCT((O$3:O$27&lt;&gt;"")*(P$3:P$27="")*(G$3:G$27=G7)*(I$3:I$27="P"))+SUMPRODUCT((P$3:P$27&lt;&gt;"")*(G$3:G$27=G7)*(I$3:I$27="P"))+SUMPRODUCT((N$3:N$27&lt;&gt;"")*(G$3:G$27=G7)*(I$3:I$27="P"))+SUMPRODUCT((P$3:P$27="")*(O$3:O$27="")*(N$3:N$27="")*(M$3:M$27="P")*(G$3:G$27=G7)*(J$3:J$27&gt;J7)*(I$3:I$27="P"))+IF(H7="L5",SUMPRODUCT((P$3:P$27="")*(O$3:O$27="")*(N$3:N$27="")*(M$3:M$27="P")*(G$3:G$27=G7)*(J$3:J$27&lt;J7)*(H$3:H$27&lt;&gt;H7)*(I$3:I$27="P")),-1*SUMPRODUCT((P$3:P$27="")*(O$3:O$27="")*(N$3:N$27="")*(M$3:M$27="P")*(G$3:G$27=G7)*(J$3:J$27&gt;J7)*(H$3:H$27="L5")*(I$3:I$27="P")))+1,"")))))</f>
        <v/>
      </c>
      <c r="B7" s="1" cm="1">
        <f t="array" ref="B7">IF(P7&lt;&gt;"",SUMPRODUCT((P$3:P$27&lt;&gt;"")*(G$3:G$27=G7)*(J$3:J$27&gt;J7))+1,IF(O7&lt;&gt;"",SUMPRODUCT((O$3:O$27&lt;&gt;"")*(P$3:P$27="")*(G$3:G$27=G7)*(J$3:J$27&gt;J7))+SUMPRODUCT((P$3:P$27&lt;&gt;"")*(G$3:G$27=G7))+1,IF(N7&lt;&gt;"",SUMPRODUCT((N$3:N$27&lt;&gt;"")*(G$3:G$27=G7)*(J$3:J$27&gt;J7))+1,IF(M7="P",SUMPRODUCT((O$3:O$27&lt;&gt;"")*(P$3:P$27="")*(G$3:G$27=G7))+SUMPRODUCT((P$3:P$27&lt;&gt;"")*(G$3:G$27=G7))+SUMPRODUCT((N$3:N$27&lt;&gt;"")*(G$3:G$27=G7))+SUMPRODUCT((P$3:P$27="")*(O$3:O$27="")*(N$3:N$27="")*(M$3:M$27="P")*(G$3:G$27=G7)*(J$3:J$27&gt;J7))+IF(H7="L5",SUMPRODUCT((P$3:P$27="")*(O$3:O$27="")*(N$3:N$27="")*(M$3:M$27="P")*(G$3:G$27=G7)*(J$3:J$27&lt;J7)*(H$3:H$27&lt;&gt;H7)),-1*SUMPRODUCT((P$3:P$27="")*(O$3:O$27="")*(N$3:N$27="")*(M$3:M$27="P")*(G$3:G$27=G7)*(J$3:J$27&gt;J7)*(H$3:H$27="L5")))+1,""))))</f>
        <v>5</v>
      </c>
      <c r="C7" s="35" t="s">
        <v>395</v>
      </c>
      <c r="D7" s="35" t="str">
        <f>IF(E7="","",VLOOKUP(E7,'Coaching Points'!A:B,2,0))</f>
        <v>QC</v>
      </c>
      <c r="E7" s="35" t="s">
        <v>3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R7+IF(OR(H7="Junior",H7="Senior"),0.0002,IF(OR(H7="L7",H7="L6"),0.0001,0))+MAX(Z7,AC7)*0.0000001</f>
        <v>2.0000000000000001E-4</v>
      </c>
      <c r="K7" s="3" t="str">
        <f>IF(G7="Not Age Eligible","",IF(MAX(T7,W7,Z7,AC7)&gt;=LOOKUP(G7,'Qualifying Scores'!$A$4:$A$7,'Qualifying Scores'!$H$4:$H$7),"P",""))</f>
        <v/>
      </c>
      <c r="L7" s="3" t="str">
        <f>IF(G7="Not Age Eligible","",IF(MAX(U7,X7,AA7,AD7)&gt;=LOOKUP(G7,'Qualifying Scores'!$A$10:$A$13,'Qualifying Scores'!$H$10:$H$13),"P",""))</f>
        <v/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/>
      </c>
      <c r="P7" s="36">
        <v>5</v>
      </c>
      <c r="Q7" s="1" t="str">
        <f>IF(A7&lt;5,IF(_xlfn.MAXIFS(A:A,G:G,G7)&gt;3,5-A7,_xlfn.MAXIFS(A:A,G:G,G7)+1-A7),"")</f>
        <v/>
      </c>
      <c r="R7" s="4">
        <f>MAX(T7-V7,W7-Y7,Z7-AB7,AC7-AE7)</f>
        <v>0</v>
      </c>
      <c r="S7" s="4">
        <f>IF(R7=T7-V7,MAX(W7-Y7,Z7-AB7,AC7-AE7),IF(R7=W7-Y7,MAX(T7-V7,Z7-AB7,AC7-AE7),IF(R7=Z7-AB7,MAX(T7-V7,W7-Y7,AC7-AE7),IF(R7=AC7-AE7,MAX(T7-V7,W7-Y7,Z7-AB7),0))))</f>
        <v>0</v>
      </c>
      <c r="T7" s="32"/>
      <c r="U7" s="37"/>
      <c r="V7" s="37"/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$27&lt;&gt;"")*(G$3:G$27=G8)*(J$3:J$27&gt;J8)*(I$3:I$27="P"))+1,IF(O8&lt;&gt;"",SUMPRODUCT((O$3:O$27&lt;&gt;"")*(P$3:P$27="")*(G$3:G$27=G8)*(J$3:J$27&gt;J8)*(I$3:I$27="P"))+SUMPRODUCT((P$3:P$27&lt;&gt;"")*(G$3:G$27=G8)*(I$3:I$27="P"))+1,IF(N8&lt;&gt;"",SUMPRODUCT((N$3:N$27&lt;&gt;"")*(G$3:G$27=G8)*(J$3:J$27&gt;J8)*(I$3:I$27="P"))+1,IF(M8="P",SUMPRODUCT((O$3:O$27&lt;&gt;"")*(P$3:P$27="")*(G$3:G$27=G8)*(I$3:I$27="P"))+SUMPRODUCT((P$3:P$27&lt;&gt;"")*(G$3:G$27=G8)*(I$3:I$27="P"))+SUMPRODUCT((N$3:N$27&lt;&gt;"")*(G$3:G$27=G8)*(I$3:I$27="P"))+SUMPRODUCT((P$3:P$27="")*(O$3:O$27="")*(N$3:N$27="")*(M$3:M$27="P")*(G$3:G$27=G8)*(J$3:J$27&gt;J8)*(I$3:I$27="P"))+IF(H8="L5",SUMPRODUCT((P$3:P$27="")*(O$3:O$27="")*(N$3:N$27="")*(M$3:M$27="P")*(G$3:G$27=G8)*(J$3:J$27&lt;J8)*(H$3:H$27&lt;&gt;H8)*(I$3:I$27="P")),-1*SUMPRODUCT((P$3:P$27="")*(O$3:O$27="")*(N$3:N$27="")*(M$3:M$27="P")*(G$3:G$27=G8)*(J$3:J$27&gt;J8)*(H$3:H$27="L5")*(I$3:I$27="P")))+1,"")))))</f>
        <v/>
      </c>
      <c r="B8" s="1" cm="1">
        <f t="array" ref="B8">IF(P8&lt;&gt;"",SUMPRODUCT((P$3:P$27&lt;&gt;"")*(G$3:G$27=G8)*(J$3:J$27&gt;J8))+1,IF(O8&lt;&gt;"",SUMPRODUCT((O$3:O$27&lt;&gt;"")*(P$3:P$27="")*(G$3:G$27=G8)*(J$3:J$27&gt;J8))+SUMPRODUCT((P$3:P$27&lt;&gt;"")*(G$3:G$27=G8))+1,IF(N8&lt;&gt;"",SUMPRODUCT((N$3:N$27&lt;&gt;"")*(G$3:G$27=G8)*(J$3:J$27&gt;J8))+1,IF(M8="P",SUMPRODUCT((O$3:O$27&lt;&gt;"")*(P$3:P$27="")*(G$3:G$27=G8))+SUMPRODUCT((P$3:P$27&lt;&gt;"")*(G$3:G$27=G8))+SUMPRODUCT((N$3:N$27&lt;&gt;"")*(G$3:G$27=G8))+SUMPRODUCT((P$3:P$27="")*(O$3:O$27="")*(N$3:N$27="")*(M$3:M$27="P")*(G$3:G$27=G8)*(J$3:J$27&gt;J8))+IF(H8="L5",SUMPRODUCT((P$3:P$27="")*(O$3:O$27="")*(N$3:N$27="")*(M$3:M$27="P")*(G$3:G$27=G8)*(J$3:J$27&lt;J8)*(H$3:H$27&lt;&gt;H8)),-1*SUMPRODUCT((P$3:P$27="")*(O$3:O$27="")*(N$3:N$27="")*(M$3:M$27="P")*(G$3:G$27=G8)*(J$3:J$27&gt;J8)*(H$3:H$27="L5")))+1,""))))</f>
        <v>6</v>
      </c>
      <c r="C8" s="35" t="s">
        <v>136</v>
      </c>
      <c r="D8" s="35" t="str">
        <f>IF(E8="","",VLOOKUP(E8,'Coaching Points'!A:B,2,0))</f>
        <v>AB</v>
      </c>
      <c r="E8" s="35" t="s">
        <v>62</v>
      </c>
      <c r="F8" s="34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>R8+IF(OR(H8="Junior",H8="Senior"),0.0002,IF(OR(H8="L7",H8="L6"),0.0001,0))+MAX(Z8,AC8)*0.0000001</f>
        <v>44.200200000000002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3</v>
      </c>
      <c r="Q8" s="1" t="str">
        <f>IF(A8&lt;5,IF(_xlfn.MAXIFS(A:A,G:G,G8)&gt;3,5-A8,_xlfn.MAXIFS(A:A,G:G,G8)+1-A8),"")</f>
        <v/>
      </c>
      <c r="R8" s="4">
        <f>MAX(T8-V8,W8-Y8,Z8-AB8,AC8-AE8)</f>
        <v>44.2</v>
      </c>
      <c r="S8" s="4">
        <f>IF(R8=T8-V8,MAX(W8-Y8,Z8-AB8,AC8-AE8),IF(R8=W8-Y8,MAX(T8-V8,Z8-AB8,AC8-AE8),IF(R8=Z8-AB8,MAX(T8-V8,W8-Y8,AC8-AE8),IF(R8=AC8-AE8,MAX(T8-V8,W8-Y8,Z8-AB8),0))))</f>
        <v>42.8</v>
      </c>
      <c r="T8" s="32">
        <v>44.2</v>
      </c>
      <c r="U8" s="37">
        <v>10.3</v>
      </c>
      <c r="V8" s="37">
        <v>0</v>
      </c>
      <c r="W8" s="33">
        <v>42.8</v>
      </c>
      <c r="X8" s="37">
        <v>11.899999999999999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$27&lt;&gt;"")*(G$3:G$27=G9)*(J$3:J$27&gt;J9)*(I$3:I$27="P"))+1,IF(O9&lt;&gt;"",SUMPRODUCT((O$3:O$27&lt;&gt;"")*(P$3:P$27="")*(G$3:G$27=G9)*(J$3:J$27&gt;J9)*(I$3:I$27="P"))+SUMPRODUCT((P$3:P$27&lt;&gt;"")*(G$3:G$27=G9)*(I$3:I$27="P"))+1,IF(N9&lt;&gt;"",SUMPRODUCT((N$3:N$27&lt;&gt;"")*(G$3:G$27=G9)*(J$3:J$27&gt;J9)*(I$3:I$27="P"))+1,IF(M9="P",SUMPRODUCT((O$3:O$27&lt;&gt;"")*(P$3:P$27="")*(G$3:G$27=G9)*(I$3:I$27="P"))+SUMPRODUCT((P$3:P$27&lt;&gt;"")*(G$3:G$27=G9)*(I$3:I$27="P"))+SUMPRODUCT((N$3:N$27&lt;&gt;"")*(G$3:G$27=G9)*(I$3:I$27="P"))+SUMPRODUCT((P$3:P$27="")*(O$3:O$27="")*(N$3:N$27="")*(M$3:M$27="P")*(G$3:G$27=G9)*(J$3:J$27&gt;J9)*(I$3:I$27="P"))+IF(H9="L5",SUMPRODUCT((P$3:P$27="")*(O$3:O$27="")*(N$3:N$27="")*(M$3:M$27="P")*(G$3:G$27=G9)*(J$3:J$27&lt;J9)*(H$3:H$27&lt;&gt;H9)*(I$3:I$27="P")),-1*SUMPRODUCT((P$3:P$27="")*(O$3:O$27="")*(N$3:N$27="")*(M$3:M$27="P")*(G$3:G$27=G9)*(J$3:J$27&gt;J9)*(H$3:H$27="L5")*(I$3:I$27="P")))+1,"")))))</f>
        <v/>
      </c>
      <c r="B9" s="1" cm="1">
        <f t="array" ref="B9">IF(P9&lt;&gt;"",SUMPRODUCT((P$3:P$27&lt;&gt;"")*(G$3:G$27=G9)*(J$3:J$27&gt;J9))+1,IF(O9&lt;&gt;"",SUMPRODUCT((O$3:O$27&lt;&gt;"")*(P$3:P$27="")*(G$3:G$27=G9)*(J$3:J$27&gt;J9))+SUMPRODUCT((P$3:P$27&lt;&gt;"")*(G$3:G$27=G9))+1,IF(N9&lt;&gt;"",SUMPRODUCT((N$3:N$27&lt;&gt;"")*(G$3:G$27=G9)*(J$3:J$27&gt;J9))+1,IF(M9="P",SUMPRODUCT((O$3:O$27&lt;&gt;"")*(P$3:P$27="")*(G$3:G$27=G9))+SUMPRODUCT((P$3:P$27&lt;&gt;"")*(G$3:G$27=G9))+SUMPRODUCT((N$3:N$27&lt;&gt;"")*(G$3:G$27=G9))+SUMPRODUCT((P$3:P$27="")*(O$3:O$27="")*(N$3:N$27="")*(M$3:M$27="P")*(G$3:G$27=G9)*(J$3:J$27&gt;J9))+IF(H9="L5",SUMPRODUCT((P$3:P$27="")*(O$3:O$27="")*(N$3:N$27="")*(M$3:M$27="P")*(G$3:G$27=G9)*(J$3:J$27&lt;J9)*(H$3:H$27&lt;&gt;H9)),-1*SUMPRODUCT((P$3:P$27="")*(O$3:O$27="")*(N$3:N$27="")*(M$3:M$27="P")*(G$3:G$27=G9)*(J$3:J$27&gt;J9)*(H$3:H$27="L5")))+1,""))))</f>
        <v>7</v>
      </c>
      <c r="C9" s="35" t="s">
        <v>172</v>
      </c>
      <c r="D9" s="35" t="str">
        <f>IF(E9="","",VLOOKUP(E9,'Coaching Points'!A:B,2,0))</f>
        <v>QC</v>
      </c>
      <c r="E9" s="35" t="s">
        <v>3</v>
      </c>
      <c r="F9" s="34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R9+IF(OR(H9="Junior",H9="Senior"),0.0002,IF(OR(H9="L7",H9="L6"),0.0001,0))+MAX(Z9,AC9)*0.0000001</f>
        <v>43.600099999999998</v>
      </c>
      <c r="K9" s="3" t="str">
        <f>IF(G9="Not Age Eligible","",IF(MAX(T9,W9,Z9,AC9)&gt;=LOOKUP(G9,'Qualifying Scores'!$A$4:$A$7,'Qualifying Scores'!$H$4:$H$7),"P",""))</f>
        <v>P</v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MAX(T9-V9,W9-Y9,Z9-AB9,AC9-AE9)</f>
        <v>43.599999999999994</v>
      </c>
      <c r="S9" s="4">
        <f>IF(R9=T9-V9,MAX(W9-Y9,Z9-AB9,AC9-AE9),IF(R9=W9-Y9,MAX(T9-V9,Z9-AB9,AC9-AE9),IF(R9=Z9-AB9,MAX(T9-V9,W9-Y9,AC9-AE9),IF(R9=AC9-AE9,MAX(T9-V9,W9-Y9,Z9-AB9),0))))</f>
        <v>42.9</v>
      </c>
      <c r="T9" s="32">
        <v>44.1</v>
      </c>
      <c r="U9" s="37">
        <v>10.1</v>
      </c>
      <c r="V9" s="37">
        <v>1.2</v>
      </c>
      <c r="W9" s="33">
        <v>44.8</v>
      </c>
      <c r="X9" s="37">
        <v>10.1</v>
      </c>
      <c r="Y9" s="37">
        <v>1.2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$27&lt;&gt;"")*(G$3:G$27=G10)*(J$3:J$27&gt;J10)*(I$3:I$27="P"))+1,IF(O10&lt;&gt;"",SUMPRODUCT((O$3:O$27&lt;&gt;"")*(P$3:P$27="")*(G$3:G$27=G10)*(J$3:J$27&gt;J10)*(I$3:I$27="P"))+SUMPRODUCT((P$3:P$27&lt;&gt;"")*(G$3:G$27=G10)*(I$3:I$27="P"))+1,IF(N10&lt;&gt;"",SUMPRODUCT((N$3:N$27&lt;&gt;"")*(G$3:G$27=G10)*(J$3:J$27&gt;J10)*(I$3:I$27="P"))+1,IF(M10="P",SUMPRODUCT((O$3:O$27&lt;&gt;"")*(P$3:P$27="")*(G$3:G$27=G10)*(I$3:I$27="P"))+SUMPRODUCT((P$3:P$27&lt;&gt;"")*(G$3:G$27=G10)*(I$3:I$27="P"))+SUMPRODUCT((N$3:N$27&lt;&gt;"")*(G$3:G$27=G10)*(I$3:I$27="P"))+SUMPRODUCT((P$3:P$27="")*(O$3:O$27="")*(N$3:N$27="")*(M$3:M$27="P")*(G$3:G$27=G10)*(J$3:J$27&gt;J10)*(I$3:I$27="P"))+IF(H10="L5",SUMPRODUCT((P$3:P$27="")*(O$3:O$27="")*(N$3:N$27="")*(M$3:M$27="P")*(G$3:G$27=G10)*(J$3:J$27&lt;J10)*(H$3:H$27&lt;&gt;H10)*(I$3:I$27="P")),-1*SUMPRODUCT((P$3:P$27="")*(O$3:O$27="")*(N$3:N$27="")*(M$3:M$27="P")*(G$3:G$27=G10)*(J$3:J$27&gt;J10)*(H$3:H$27="L5")*(I$3:I$27="P")))+1,"")))))</f>
        <v/>
      </c>
      <c r="B10" s="1" cm="1">
        <f t="array" ref="B10">IF(P10&lt;&gt;"",SUMPRODUCT((P$3:P$27&lt;&gt;"")*(G$3:G$27=G10)*(J$3:J$27&gt;J10))+1,IF(O10&lt;&gt;"",SUMPRODUCT((O$3:O$27&lt;&gt;"")*(P$3:P$27="")*(G$3:G$27=G10)*(J$3:J$27&gt;J10))+SUMPRODUCT((P$3:P$27&lt;&gt;"")*(G$3:G$27=G10))+1,IF(N10&lt;&gt;"",SUMPRODUCT((N$3:N$27&lt;&gt;"")*(G$3:G$27=G10)*(J$3:J$27&gt;J10))+1,IF(M10="P",SUMPRODUCT((O$3:O$27&lt;&gt;"")*(P$3:P$27="")*(G$3:G$27=G10))+SUMPRODUCT((P$3:P$27&lt;&gt;"")*(G$3:G$27=G10))+SUMPRODUCT((N$3:N$27&lt;&gt;"")*(G$3:G$27=G10))+SUMPRODUCT((P$3:P$27="")*(O$3:O$27="")*(N$3:N$27="")*(M$3:M$27="P")*(G$3:G$27=G10)*(J$3:J$27&gt;J10))+IF(H10="L5",SUMPRODUCT((P$3:P$27="")*(O$3:O$27="")*(N$3:N$27="")*(M$3:M$27="P")*(G$3:G$27=G10)*(J$3:J$27&lt;J10)*(H$3:H$27&lt;&gt;H10)),-1*SUMPRODUCT((P$3:P$27="")*(O$3:O$27="")*(N$3:N$27="")*(M$3:M$27="P")*(G$3:G$27=G10)*(J$3:J$27&gt;J10)*(H$3:H$27="L5")))+1,""))))</f>
        <v>8</v>
      </c>
      <c r="C10" s="35" t="s">
        <v>234</v>
      </c>
      <c r="D10" s="35" t="str">
        <f>IF(E10="","",VLOOKUP(E10,'Coaching Points'!A:B,2,0))</f>
        <v>ON</v>
      </c>
      <c r="E10" s="35" t="s">
        <v>138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R10+IF(OR(H10="Junior",H10="Senior"),0.0002,IF(OR(H10="L7",H10="L6"),0.0001,0))+MAX(Z10,AC10)*0.0000001</f>
        <v>42.700099999999999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O10" s="36">
        <v>4</v>
      </c>
      <c r="Q10" s="1" t="str">
        <f>IF(A10&lt;5,IF(_xlfn.MAXIFS(A:A,G:G,G10)&gt;3,5-A10,_xlfn.MAXIFS(A:A,G:G,G10)+1-A10),"")</f>
        <v/>
      </c>
      <c r="R10" s="4">
        <f>MAX(T10-V10,W10-Y10,Z10-AB10,AC10-AE10)</f>
        <v>42.699999999999996</v>
      </c>
      <c r="S10" s="4">
        <f>IF(R10=T10-V10,MAX(W10-Y10,Z10-AB10,AC10-AE10),IF(R10=W10-Y10,MAX(T10-V10,Z10-AB10,AC10-AE10),IF(R10=Z10-AB10,MAX(T10-V10,W10-Y10,AC10-AE10),IF(R10=AC10-AE10,MAX(T10-V10,W10-Y10,Z10-AB10),0))))</f>
        <v>40.699999999999996</v>
      </c>
      <c r="T10" s="32">
        <v>41.9</v>
      </c>
      <c r="U10" s="37">
        <v>9.6000000000000014</v>
      </c>
      <c r="V10" s="37">
        <v>1.2</v>
      </c>
      <c r="W10" s="33">
        <v>43.9</v>
      </c>
      <c r="X10" s="37">
        <v>9.6000000000000014</v>
      </c>
      <c r="Y10" s="37">
        <v>1.2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$27&lt;&gt;"")*(G$3:G$27=G11)*(J$3:J$27&gt;J11)*(I$3:I$27="P"))+1,IF(O11&lt;&gt;"",SUMPRODUCT((O$3:O$27&lt;&gt;"")*(P$3:P$27="")*(G$3:G$27=G11)*(J$3:J$27&gt;J11)*(I$3:I$27="P"))+SUMPRODUCT((P$3:P$27&lt;&gt;"")*(G$3:G$27=G11)*(I$3:I$27="P"))+1,IF(N11&lt;&gt;"",SUMPRODUCT((N$3:N$27&lt;&gt;"")*(G$3:G$27=G11)*(J$3:J$27&gt;J11)*(I$3:I$27="P"))+1,IF(M11="P",SUMPRODUCT((O$3:O$27&lt;&gt;"")*(P$3:P$27="")*(G$3:G$27=G11)*(I$3:I$27="P"))+SUMPRODUCT((P$3:P$27&lt;&gt;"")*(G$3:G$27=G11)*(I$3:I$27="P"))+SUMPRODUCT((N$3:N$27&lt;&gt;"")*(G$3:G$27=G11)*(I$3:I$27="P"))+SUMPRODUCT((P$3:P$27="")*(O$3:O$27="")*(N$3:N$27="")*(M$3:M$27="P")*(G$3:G$27=G11)*(J$3:J$27&gt;J11)*(I$3:I$27="P"))+IF(H11="L5",SUMPRODUCT((P$3:P$27="")*(O$3:O$27="")*(N$3:N$27="")*(M$3:M$27="P")*(G$3:G$27=G11)*(J$3:J$27&lt;J11)*(H$3:H$27&lt;&gt;H11)*(I$3:I$27="P")),-1*SUMPRODUCT((P$3:P$27="")*(O$3:O$27="")*(N$3:N$27="")*(M$3:M$27="P")*(G$3:G$27=G11)*(J$3:J$27&gt;J11)*(H$3:H$27="L5")*(I$3:I$27="P")))+1,"")))))</f>
        <v/>
      </c>
      <c r="B11" s="1" t="str" cm="1">
        <f t="array" ref="B11">IF(P11&lt;&gt;"",SUMPRODUCT((P$3:P$27&lt;&gt;"")*(G$3:G$27=G11)*(J$3:J$27&gt;J11))+1,IF(O11&lt;&gt;"",SUMPRODUCT((O$3:O$27&lt;&gt;"")*(P$3:P$27="")*(G$3:G$27=G11)*(J$3:J$27&gt;J11))+SUMPRODUCT((P$3:P$27&lt;&gt;"")*(G$3:G$27=G11))+1,IF(N11&lt;&gt;"",SUMPRODUCT((N$3:N$27&lt;&gt;"")*(G$3:G$27=G11)*(J$3:J$27&gt;J11))+1,IF(M11="P",SUMPRODUCT((O$3:O$27&lt;&gt;"")*(P$3:P$27="")*(G$3:G$27=G11))+SUMPRODUCT((P$3:P$27&lt;&gt;"")*(G$3:G$27=G11))+SUMPRODUCT((N$3:N$27&lt;&gt;"")*(G$3:G$27=G11))+SUMPRODUCT((P$3:P$27="")*(O$3:O$27="")*(N$3:N$27="")*(M$3:M$27="P")*(G$3:G$27=G11)*(J$3:J$27&gt;J11))+IF(H11="L5",SUMPRODUCT((P$3:P$27="")*(O$3:O$27="")*(N$3:N$27="")*(M$3:M$27="P")*(G$3:G$27=G11)*(J$3:J$27&lt;J11)*(H$3:H$27&lt;&gt;H11)),-1*SUMPRODUCT((P$3:P$27="")*(O$3:O$27="")*(N$3:N$27="")*(M$3:M$27="P")*(G$3:G$27=G11)*(J$3:J$27&gt;J11)*(H$3:H$27="L5")))+1,""))))</f>
        <v/>
      </c>
      <c r="C11" s="35" t="s">
        <v>134</v>
      </c>
      <c r="D11" s="35" t="str">
        <f>IF(E11="","",VLOOKUP(E11,'Coaching Points'!A:B,2,0))</f>
        <v>AB</v>
      </c>
      <c r="E11" s="35" t="s">
        <v>62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R11+IF(OR(H11="Junior",H11="Senior"),0.0002,IF(OR(H11="L7",H11="L6"),0.0001,0))+MAX(Z11,AC11)*0.0000001</f>
        <v>41.100099999999998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Q11" s="1" t="str">
        <f>IF(A11&lt;5,IF(_xlfn.MAXIFS(A:A,G:G,G11)&gt;3,5-A11,_xlfn.MAXIFS(A:A,G:G,G11)+1-A11),"")</f>
        <v/>
      </c>
      <c r="R11" s="4">
        <f>MAX(T11-V11,W11-Y11,Z11-AB11,AC11-AE11)</f>
        <v>41.099999999999994</v>
      </c>
      <c r="S11" s="4">
        <f>IF(R11=T11-V11,MAX(W11-Y11,Z11-AB11,AC11-AE11),IF(R11=W11-Y11,MAX(T11-V11,Z11-AB11,AC11-AE11),IF(R11=Z11-AB11,MAX(T11-V11,W11-Y11,AC11-AE11),IF(R11=AC11-AE11,MAX(T11-V11,W11-Y11,Z11-AB11),0))))</f>
        <v>39.699999999999996</v>
      </c>
      <c r="T11" s="32">
        <v>40.9</v>
      </c>
      <c r="U11" s="37">
        <v>10.8</v>
      </c>
      <c r="V11" s="37">
        <v>1.2</v>
      </c>
      <c r="W11" s="33">
        <v>42.3</v>
      </c>
      <c r="X11" s="37">
        <v>10.1</v>
      </c>
      <c r="Y11" s="37">
        <v>1.2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$27&lt;&gt;"")*(G$3:G$27=G12)*(J$3:J$27&gt;J12)*(I$3:I$27="P"))+1,IF(O12&lt;&gt;"",SUMPRODUCT((O$3:O$27&lt;&gt;"")*(P$3:P$27="")*(G$3:G$27=G12)*(J$3:J$27&gt;J12)*(I$3:I$27="P"))+SUMPRODUCT((P$3:P$27&lt;&gt;"")*(G$3:G$27=G12)*(I$3:I$27="P"))+1,IF(N12&lt;&gt;"",SUMPRODUCT((N$3:N$27&lt;&gt;"")*(G$3:G$27=G12)*(J$3:J$27&gt;J12)*(I$3:I$27="P"))+1,IF(M12="P",SUMPRODUCT((O$3:O$27&lt;&gt;"")*(P$3:P$27="")*(G$3:G$27=G12)*(I$3:I$27="P"))+SUMPRODUCT((P$3:P$27&lt;&gt;"")*(G$3:G$27=G12)*(I$3:I$27="P"))+SUMPRODUCT((N$3:N$27&lt;&gt;"")*(G$3:G$27=G12)*(I$3:I$27="P"))+SUMPRODUCT((P$3:P$27="")*(O$3:O$27="")*(N$3:N$27="")*(M$3:M$27="P")*(G$3:G$27=G12)*(J$3:J$27&gt;J12)*(I$3:I$27="P"))+IF(H12="L5",SUMPRODUCT((P$3:P$27="")*(O$3:O$27="")*(N$3:N$27="")*(M$3:M$27="P")*(G$3:G$27=G12)*(J$3:J$27&lt;J12)*(H$3:H$27&lt;&gt;H12)*(I$3:I$27="P")),-1*SUMPRODUCT((P$3:P$27="")*(O$3:O$27="")*(N$3:N$27="")*(M$3:M$27="P")*(G$3:G$27=G12)*(J$3:J$27&gt;J12)*(H$3:H$27="L5")*(I$3:I$27="P")))+1,"")))))</f>
        <v/>
      </c>
      <c r="B12" s="1" t="str" cm="1">
        <f t="array" ref="B12">IF(P12&lt;&gt;"",SUMPRODUCT((P$3:P$27&lt;&gt;"")*(G$3:G$27=G12)*(J$3:J$27&gt;J12))+1,IF(O12&lt;&gt;"",SUMPRODUCT((O$3:O$27&lt;&gt;"")*(P$3:P$27="")*(G$3:G$27=G12)*(J$3:J$27&gt;J12))+SUMPRODUCT((P$3:P$27&lt;&gt;"")*(G$3:G$27=G12))+1,IF(N12&lt;&gt;"",SUMPRODUCT((N$3:N$27&lt;&gt;"")*(G$3:G$27=G12)*(J$3:J$27&gt;J12))+1,IF(M12="P",SUMPRODUCT((O$3:O$27&lt;&gt;"")*(P$3:P$27="")*(G$3:G$27=G12))+SUMPRODUCT((P$3:P$27&lt;&gt;"")*(G$3:G$27=G12))+SUMPRODUCT((N$3:N$27&lt;&gt;"")*(G$3:G$27=G12))+SUMPRODUCT((P$3:P$27="")*(O$3:O$27="")*(N$3:N$27="")*(M$3:M$27="P")*(G$3:G$27=G12)*(J$3:J$27&gt;J12))+IF(H12="L5",SUMPRODUCT((P$3:P$27="")*(O$3:O$27="")*(N$3:N$27="")*(M$3:M$27="P")*(G$3:G$27=G12)*(J$3:J$27&lt;J12)*(H$3:H$27&lt;&gt;H12)),-1*SUMPRODUCT((P$3:P$27="")*(O$3:O$27="")*(N$3:N$27="")*(M$3:M$27="P")*(G$3:G$27=G12)*(J$3:J$27&gt;J12)*(H$3:H$27="L5")))+1,""))))</f>
        <v/>
      </c>
      <c r="C12" s="35" t="s">
        <v>86</v>
      </c>
      <c r="D12" s="35" t="str">
        <f>IF(E12="","",VLOOKUP(E12,'Coaching Points'!A:B,2,0))</f>
        <v>AB</v>
      </c>
      <c r="E12" s="35" t="s">
        <v>28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R12+IF(OR(H12="Junior",H12="Senior"),0.0002,IF(OR(H12="L7",H12="L6"),0.0001,0))+MAX(Z12,AC12)*0.0000001</f>
        <v>40.700100000000006</v>
      </c>
      <c r="K12" s="3" t="str">
        <f>IF(G12="Not Age Eligible","",IF(MAX(T12,W12,Z12,AC12)&gt;=LOOKUP(G12,'Qualifying Scores'!$A$4:$A$7,'Qualifying Scores'!$H$4:$H$7),"P",""))</f>
        <v/>
      </c>
      <c r="L12" s="3" t="str">
        <f>IF(G12="Not Age Eligible","",IF(MAX(U12,X12,AA12,AD12)&gt;=LOOKUP(G12,'Qualifying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MAX(T12-V12,W12-Y12,Z12-AB12,AC12-AE12)</f>
        <v>40.700000000000003</v>
      </c>
      <c r="S12" s="4">
        <f>IF(R12=T12-V12,MAX(W12-Y12,Z12-AB12,AC12-AE12),IF(R12=W12-Y12,MAX(T12-V12,Z12-AB12,AC12-AE12),IF(R12=Z12-AB12,MAX(T12-V12,W12-Y12,AC12-AE12),IF(R12=AC12-AE12,MAX(T12-V12,W12-Y12,Z12-AB12),0))))</f>
        <v>40.200000000000003</v>
      </c>
      <c r="T12" s="32">
        <v>41.6</v>
      </c>
      <c r="U12" s="37">
        <v>10.1</v>
      </c>
      <c r="V12" s="37">
        <v>0.89999999999999991</v>
      </c>
      <c r="W12" s="33">
        <v>41.1</v>
      </c>
      <c r="X12" s="37">
        <v>7.6999999999999993</v>
      </c>
      <c r="Y12" s="37">
        <v>0.89999999999999991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$27&lt;&gt;"")*(G$3:G$27=G13)*(J$3:J$27&gt;J13)*(I$3:I$27="P"))+1,IF(O13&lt;&gt;"",SUMPRODUCT((O$3:O$27&lt;&gt;"")*(P$3:P$27="")*(G$3:G$27=G13)*(J$3:J$27&gt;J13)*(I$3:I$27="P"))+SUMPRODUCT((P$3:P$27&lt;&gt;"")*(G$3:G$27=G13)*(I$3:I$27="P"))+1,IF(N13&lt;&gt;"",SUMPRODUCT((N$3:N$27&lt;&gt;"")*(G$3:G$27=G13)*(J$3:J$27&gt;J13)*(I$3:I$27="P"))+1,IF(M13="P",SUMPRODUCT((O$3:O$27&lt;&gt;"")*(P$3:P$27="")*(G$3:G$27=G13)*(I$3:I$27="P"))+SUMPRODUCT((P$3:P$27&lt;&gt;"")*(G$3:G$27=G13)*(I$3:I$27="P"))+SUMPRODUCT((N$3:N$27&lt;&gt;"")*(G$3:G$27=G13)*(I$3:I$27="P"))+SUMPRODUCT((P$3:P$27="")*(O$3:O$27="")*(N$3:N$27="")*(M$3:M$27="P")*(G$3:G$27=G13)*(J$3:J$27&gt;J13)*(I$3:I$27="P"))+IF(H13="L5",SUMPRODUCT((P$3:P$27="")*(O$3:O$27="")*(N$3:N$27="")*(M$3:M$27="P")*(G$3:G$27=G13)*(J$3:J$27&lt;J13)*(H$3:H$27&lt;&gt;H13)*(I$3:I$27="P")),-1*SUMPRODUCT((P$3:P$27="")*(O$3:O$27="")*(N$3:N$27="")*(M$3:M$27="P")*(G$3:G$27=G13)*(J$3:J$27&gt;J13)*(H$3:H$27="L5")*(I$3:I$27="P")))+1,"")))))</f>
        <v/>
      </c>
      <c r="B13" s="1" t="str" cm="1">
        <f t="array" ref="B13">IF(P13&lt;&gt;"",SUMPRODUCT((P$3:P$27&lt;&gt;"")*(G$3:G$27=G13)*(J$3:J$27&gt;J13))+1,IF(O13&lt;&gt;"",SUMPRODUCT((O$3:O$27&lt;&gt;"")*(P$3:P$27="")*(G$3:G$27=G13)*(J$3:J$27&gt;J13))+SUMPRODUCT((P$3:P$27&lt;&gt;"")*(G$3:G$27=G13))+1,IF(N13&lt;&gt;"",SUMPRODUCT((N$3:N$27&lt;&gt;"")*(G$3:G$27=G13)*(J$3:J$27&gt;J13))+1,IF(M13="P",SUMPRODUCT((O$3:O$27&lt;&gt;"")*(P$3:P$27="")*(G$3:G$27=G13))+SUMPRODUCT((P$3:P$27&lt;&gt;"")*(G$3:G$27=G13))+SUMPRODUCT((N$3:N$27&lt;&gt;"")*(G$3:G$27=G13))+SUMPRODUCT((P$3:P$27="")*(O$3:O$27="")*(N$3:N$27="")*(M$3:M$27="P")*(G$3:G$27=G13)*(J$3:J$27&gt;J13))+IF(H13="L5",SUMPRODUCT((P$3:P$27="")*(O$3:O$27="")*(N$3:N$27="")*(M$3:M$27="P")*(G$3:G$27=G13)*(J$3:J$27&lt;J13)*(H$3:H$27&lt;&gt;H13)),-1*SUMPRODUCT((P$3:P$27="")*(O$3:O$27="")*(N$3:N$27="")*(M$3:M$27="P")*(G$3:G$27=G13)*(J$3:J$27&gt;J13)*(H$3:H$27="L5")))+1,""))))</f>
        <v/>
      </c>
      <c r="C13" s="35" t="s">
        <v>95</v>
      </c>
      <c r="D13" s="35" t="str">
        <f>IF(E13="","",VLOOKUP(E13,'Coaching Points'!A:B,2,0))</f>
        <v>BC</v>
      </c>
      <c r="E13" s="35" t="s">
        <v>40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>R13+IF(OR(H13="Junior",H13="Senior"),0.0002,IF(OR(H13="L7",H13="L6"),0.0001,0))+MAX(Z13,AC13)*0.0000001</f>
        <v>40.600100000000005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MAX(T13-V13,W13-Y13,Z13-AB13,AC13-AE13)</f>
        <v>40.6</v>
      </c>
      <c r="S13" s="4">
        <f>IF(R13=T13-V13,MAX(W13-Y13,Z13-AB13,AC13-AE13),IF(R13=W13-Y13,MAX(T13-V13,Z13-AB13,AC13-AE13),IF(R13=Z13-AB13,MAX(T13-V13,W13-Y13,AC13-AE13),IF(R13=AC13-AE13,MAX(T13-V13,W13-Y13,Z13-AB13),0))))</f>
        <v>37.4</v>
      </c>
      <c r="T13" s="32">
        <v>41.2</v>
      </c>
      <c r="U13" s="37">
        <v>8</v>
      </c>
      <c r="V13" s="37">
        <v>0.6</v>
      </c>
      <c r="W13" s="33">
        <v>38.299999999999997</v>
      </c>
      <c r="X13" s="37">
        <v>7.6</v>
      </c>
      <c r="Y13" s="37">
        <v>0.89999999999999991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$27&lt;&gt;"")*(G$3:G$27=G14)*(J$3:J$27&gt;J14)*(I$3:I$27="P"))+1,IF(O14&lt;&gt;"",SUMPRODUCT((O$3:O$27&lt;&gt;"")*(P$3:P$27="")*(G$3:G$27=G14)*(J$3:J$27&gt;J14)*(I$3:I$27="P"))+SUMPRODUCT((P$3:P$27&lt;&gt;"")*(G$3:G$27=G14)*(I$3:I$27="P"))+1,IF(N14&lt;&gt;"",SUMPRODUCT((N$3:N$27&lt;&gt;"")*(G$3:G$27=G14)*(J$3:J$27&gt;J14)*(I$3:I$27="P"))+1,IF(M14="P",SUMPRODUCT((O$3:O$27&lt;&gt;"")*(P$3:P$27="")*(G$3:G$27=G14)*(I$3:I$27="P"))+SUMPRODUCT((P$3:P$27&lt;&gt;"")*(G$3:G$27=G14)*(I$3:I$27="P"))+SUMPRODUCT((N$3:N$27&lt;&gt;"")*(G$3:G$27=G14)*(I$3:I$27="P"))+SUMPRODUCT((P$3:P$27="")*(O$3:O$27="")*(N$3:N$27="")*(M$3:M$27="P")*(G$3:G$27=G14)*(J$3:J$27&gt;J14)*(I$3:I$27="P"))+IF(H14="L5",SUMPRODUCT((P$3:P$27="")*(O$3:O$27="")*(N$3:N$27="")*(M$3:M$27="P")*(G$3:G$27=G14)*(J$3:J$27&lt;J14)*(H$3:H$27&lt;&gt;H14)*(I$3:I$27="P")),-1*SUMPRODUCT((P$3:P$27="")*(O$3:O$27="")*(N$3:N$27="")*(M$3:M$27="P")*(G$3:G$27=G14)*(J$3:J$27&gt;J14)*(H$3:H$27="L5")*(I$3:I$27="P")))+1,"")))))</f>
        <v/>
      </c>
      <c r="B14" s="1" t="str" cm="1">
        <f t="array" ref="B14">IF(P14&lt;&gt;"",SUMPRODUCT((P$3:P$27&lt;&gt;"")*(G$3:G$27=G14)*(J$3:J$27&gt;J14))+1,IF(O14&lt;&gt;"",SUMPRODUCT((O$3:O$27&lt;&gt;"")*(P$3:P$27="")*(G$3:G$27=G14)*(J$3:J$27&gt;J14))+SUMPRODUCT((P$3:P$27&lt;&gt;"")*(G$3:G$27=G14))+1,IF(N14&lt;&gt;"",SUMPRODUCT((N$3:N$27&lt;&gt;"")*(G$3:G$27=G14)*(J$3:J$27&gt;J14))+1,IF(M14="P",SUMPRODUCT((O$3:O$27&lt;&gt;"")*(P$3:P$27="")*(G$3:G$27=G14))+SUMPRODUCT((P$3:P$27&lt;&gt;"")*(G$3:G$27=G14))+SUMPRODUCT((N$3:N$27&lt;&gt;"")*(G$3:G$27=G14))+SUMPRODUCT((P$3:P$27="")*(O$3:O$27="")*(N$3:N$27="")*(M$3:M$27="P")*(G$3:G$27=G14)*(J$3:J$27&gt;J14))+IF(H14="L5",SUMPRODUCT((P$3:P$27="")*(O$3:O$27="")*(N$3:N$27="")*(M$3:M$27="P")*(G$3:G$27=G14)*(J$3:J$27&lt;J14)*(H$3:H$27&lt;&gt;H14)),-1*SUMPRODUCT((P$3:P$27="")*(O$3:O$27="")*(N$3:N$27="")*(M$3:M$27="P")*(G$3:G$27=G14)*(J$3:J$27&gt;J14)*(H$3:H$27="L5")))+1,""))))</f>
        <v/>
      </c>
      <c r="C14" s="35" t="s">
        <v>195</v>
      </c>
      <c r="D14" s="35" t="str">
        <f>IF(E14="","",VLOOKUP(E14,'Coaching Points'!A:B,2,0))</f>
        <v>AB</v>
      </c>
      <c r="E14" s="35" t="s">
        <v>62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>R14+IF(OR(H14="Junior",H14="Senior"),0.0002,IF(OR(H14="L7",H14="L6"),0.0001,0))+MAX(Z14,AC14)*0.0000001</f>
        <v>40.200099999999999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MAX(T14-V14,W14-Y14,Z14-AB14,AC14-AE14)</f>
        <v>40.199999999999996</v>
      </c>
      <c r="S14" s="4">
        <f>IF(R14=T14-V14,MAX(W14-Y14,Z14-AB14,AC14-AE14),IF(R14=W14-Y14,MAX(T14-V14,Z14-AB14,AC14-AE14),IF(R14=Z14-AB14,MAX(T14-V14,W14-Y14,AC14-AE14),IF(R14=AC14-AE14,MAX(T14-V14,W14-Y14,Z14-AB14),0))))</f>
        <v>35.799999999999997</v>
      </c>
      <c r="T14" s="32">
        <v>40.799999999999997</v>
      </c>
      <c r="U14" s="37">
        <v>8</v>
      </c>
      <c r="V14" s="37">
        <v>0.6</v>
      </c>
      <c r="W14" s="33">
        <v>36.4</v>
      </c>
      <c r="X14" s="37">
        <v>5.8</v>
      </c>
      <c r="Y14" s="37">
        <v>0.6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$27&lt;&gt;"")*(G$3:G$27=G15)*(J$3:J$27&gt;J15)*(I$3:I$27="P"))+1,IF(O15&lt;&gt;"",SUMPRODUCT((O$3:O$27&lt;&gt;"")*(P$3:P$27="")*(G$3:G$27=G15)*(J$3:J$27&gt;J15)*(I$3:I$27="P"))+SUMPRODUCT((P$3:P$27&lt;&gt;"")*(G$3:G$27=G15)*(I$3:I$27="P"))+1,IF(N15&lt;&gt;"",SUMPRODUCT((N$3:N$27&lt;&gt;"")*(G$3:G$27=G15)*(J$3:J$27&gt;J15)*(I$3:I$27="P"))+1,IF(M15="P",SUMPRODUCT((O$3:O$27&lt;&gt;"")*(P$3:P$27="")*(G$3:G$27=G15)*(I$3:I$27="P"))+SUMPRODUCT((P$3:P$27&lt;&gt;"")*(G$3:G$27=G15)*(I$3:I$27="P"))+SUMPRODUCT((N$3:N$27&lt;&gt;"")*(G$3:G$27=G15)*(I$3:I$27="P"))+SUMPRODUCT((P$3:P$27="")*(O$3:O$27="")*(N$3:N$27="")*(M$3:M$27="P")*(G$3:G$27=G15)*(J$3:J$27&gt;J15)*(I$3:I$27="P"))+IF(H15="L5",SUMPRODUCT((P$3:P$27="")*(O$3:O$27="")*(N$3:N$27="")*(M$3:M$27="P")*(G$3:G$27=G15)*(J$3:J$27&lt;J15)*(H$3:H$27&lt;&gt;H15)*(I$3:I$27="P")),-1*SUMPRODUCT((P$3:P$27="")*(O$3:O$27="")*(N$3:N$27="")*(M$3:M$27="P")*(G$3:G$27=G15)*(J$3:J$27&gt;J15)*(H$3:H$27="L5")*(I$3:I$27="P")))+1,"")))))</f>
        <v/>
      </c>
      <c r="B15" s="1" t="str" cm="1">
        <f t="array" ref="B15">IF(P15&lt;&gt;"",SUMPRODUCT((P$3:P$27&lt;&gt;"")*(G$3:G$27=G15)*(J$3:J$27&gt;J15))+1,IF(O15&lt;&gt;"",SUMPRODUCT((O$3:O$27&lt;&gt;"")*(P$3:P$27="")*(G$3:G$27=G15)*(J$3:J$27&gt;J15))+SUMPRODUCT((P$3:P$27&lt;&gt;"")*(G$3:G$27=G15))+1,IF(N15&lt;&gt;"",SUMPRODUCT((N$3:N$27&lt;&gt;"")*(G$3:G$27=G15)*(J$3:J$27&gt;J15))+1,IF(M15="P",SUMPRODUCT((O$3:O$27&lt;&gt;"")*(P$3:P$27="")*(G$3:G$27=G15))+SUMPRODUCT((P$3:P$27&lt;&gt;"")*(G$3:G$27=G15))+SUMPRODUCT((N$3:N$27&lt;&gt;"")*(G$3:G$27=G15))+SUMPRODUCT((P$3:P$27="")*(O$3:O$27="")*(N$3:N$27="")*(M$3:M$27="P")*(G$3:G$27=G15)*(J$3:J$27&gt;J15))+IF(H15="L5",SUMPRODUCT((P$3:P$27="")*(O$3:O$27="")*(N$3:N$27="")*(M$3:M$27="P")*(G$3:G$27=G15)*(J$3:J$27&lt;J15)*(H$3:H$27&lt;&gt;H15)),-1*SUMPRODUCT((P$3:P$27="")*(O$3:O$27="")*(N$3:N$27="")*(M$3:M$27="P")*(G$3:G$27=G15)*(J$3:J$27&gt;J15)*(H$3:H$27="L5")))+1,""))))</f>
        <v/>
      </c>
      <c r="C15" s="35" t="s">
        <v>287</v>
      </c>
      <c r="D15" s="35" t="str">
        <f>IF(E15="","",VLOOKUP(E15,'Coaching Points'!A:B,2,0))</f>
        <v>BC</v>
      </c>
      <c r="E15" s="35" t="s">
        <v>60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66</v>
      </c>
      <c r="I15" s="40"/>
      <c r="J15" s="4">
        <f>R15+IF(OR(H15="Junior",H15="Senior"),0.0002,IF(OR(H15="L7",H15="L6"),0.0001,0))+MAX(Z15,AC15)*0.0000001</f>
        <v>39.800100000000008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MAX(T15-V15,W15-Y15,Z15-AB15,AC15-AE15)</f>
        <v>39.800000000000004</v>
      </c>
      <c r="S15" s="4">
        <f>IF(R15=T15-V15,MAX(W15-Y15,Z15-AB15,AC15-AE15),IF(R15=W15-Y15,MAX(T15-V15,Z15-AB15,AC15-AE15),IF(R15=Z15-AB15,MAX(T15-V15,W15-Y15,AC15-AE15),IF(R15=AC15-AE15,MAX(T15-V15,W15-Y15,Z15-AB15),0))))</f>
        <v>38.400000000000006</v>
      </c>
      <c r="T15" s="32">
        <v>40.1</v>
      </c>
      <c r="U15" s="37">
        <v>7.5</v>
      </c>
      <c r="V15" s="37">
        <v>0.3</v>
      </c>
      <c r="W15" s="33">
        <v>38.700000000000003</v>
      </c>
      <c r="X15" s="37">
        <v>6.6</v>
      </c>
      <c r="Y15" s="37">
        <v>0.3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$27&lt;&gt;"")*(G$3:G$27=G16)*(J$3:J$27&gt;J16)*(I$3:I$27="P"))+1,IF(O16&lt;&gt;"",SUMPRODUCT((O$3:O$27&lt;&gt;"")*(P$3:P$27="")*(G$3:G$27=G16)*(J$3:J$27&gt;J16)*(I$3:I$27="P"))+SUMPRODUCT((P$3:P$27&lt;&gt;"")*(G$3:G$27=G16)*(I$3:I$27="P"))+1,IF(N16&lt;&gt;"",SUMPRODUCT((N$3:N$27&lt;&gt;"")*(G$3:G$27=G16)*(J$3:J$27&gt;J16)*(I$3:I$27="P"))+1,IF(M16="P",SUMPRODUCT((O$3:O$27&lt;&gt;"")*(P$3:P$27="")*(G$3:G$27=G16)*(I$3:I$27="P"))+SUMPRODUCT((P$3:P$27&lt;&gt;"")*(G$3:G$27=G16)*(I$3:I$27="P"))+SUMPRODUCT((N$3:N$27&lt;&gt;"")*(G$3:G$27=G16)*(I$3:I$27="P"))+SUMPRODUCT((P$3:P$27="")*(O$3:O$27="")*(N$3:N$27="")*(M$3:M$27="P")*(G$3:G$27=G16)*(J$3:J$27&gt;J16)*(I$3:I$27="P"))+IF(H16="L5",SUMPRODUCT((P$3:P$27="")*(O$3:O$27="")*(N$3:N$27="")*(M$3:M$27="P")*(G$3:G$27=G16)*(J$3:J$27&lt;J16)*(H$3:H$27&lt;&gt;H16)*(I$3:I$27="P")),-1*SUMPRODUCT((P$3:P$27="")*(O$3:O$27="")*(N$3:N$27="")*(M$3:M$27="P")*(G$3:G$27=G16)*(J$3:J$27&gt;J16)*(H$3:H$27="L5")*(I$3:I$27="P")))+1,"")))))</f>
        <v/>
      </c>
      <c r="B16" s="1" t="str" cm="1">
        <f t="array" ref="B16">IF(P16&lt;&gt;"",SUMPRODUCT((P$3:P$27&lt;&gt;"")*(G$3:G$27=G16)*(J$3:J$27&gt;J16))+1,IF(O16&lt;&gt;"",SUMPRODUCT((O$3:O$27&lt;&gt;"")*(P$3:P$27="")*(G$3:G$27=G16)*(J$3:J$27&gt;J16))+SUMPRODUCT((P$3:P$27&lt;&gt;"")*(G$3:G$27=G16))+1,IF(N16&lt;&gt;"",SUMPRODUCT((N$3:N$27&lt;&gt;"")*(G$3:G$27=G16)*(J$3:J$27&gt;J16))+1,IF(M16="P",SUMPRODUCT((O$3:O$27&lt;&gt;"")*(P$3:P$27="")*(G$3:G$27=G16))+SUMPRODUCT((P$3:P$27&lt;&gt;"")*(G$3:G$27=G16))+SUMPRODUCT((N$3:N$27&lt;&gt;"")*(G$3:G$27=G16))+SUMPRODUCT((P$3:P$27="")*(O$3:O$27="")*(N$3:N$27="")*(M$3:M$27="P")*(G$3:G$27=G16)*(J$3:J$27&gt;J16))+IF(H16="L5",SUMPRODUCT((P$3:P$27="")*(O$3:O$27="")*(N$3:N$27="")*(M$3:M$27="P")*(G$3:G$27=G16)*(J$3:J$27&lt;J16)*(H$3:H$27&lt;&gt;H16)),-1*SUMPRODUCT((P$3:P$27="")*(O$3:O$27="")*(N$3:N$27="")*(M$3:M$27="P")*(G$3:G$27=G16)*(J$3:J$27&gt;J16)*(H$3:H$27="L5")))+1,""))))</f>
        <v/>
      </c>
      <c r="C16" s="35" t="s">
        <v>186</v>
      </c>
      <c r="D16" s="35" t="str">
        <f>IF(E16="","",VLOOKUP(E16,'Coaching Points'!A:B,2,0))</f>
        <v>MB</v>
      </c>
      <c r="E16" s="35" t="s">
        <v>67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>R16+IF(OR(H16="Junior",H16="Senior"),0.0002,IF(OR(H16="L7",H16="L6"),0.0001,0))+MAX(Z16,AC16)*0.0000001</f>
        <v>37.6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MAX(T16-V16,W16-Y16,Z16-AB16,AC16-AE16)</f>
        <v>37.6</v>
      </c>
      <c r="S16" s="4">
        <f>IF(R16=T16-V16,MAX(W16-Y16,Z16-AB16,AC16-AE16),IF(R16=W16-Y16,MAX(T16-V16,Z16-AB16,AC16-AE16),IF(R16=Z16-AB16,MAX(T16-V16,W16-Y16,AC16-AE16),IF(R16=AC16-AE16,MAX(T16-V16,W16-Y16,Z16-AB16),0))))</f>
        <v>36.299999999999997</v>
      </c>
      <c r="T16" s="32">
        <v>38.299999999999997</v>
      </c>
      <c r="U16" s="37">
        <v>7.3</v>
      </c>
      <c r="V16" s="37">
        <v>2</v>
      </c>
      <c r="W16" s="33">
        <v>39.6</v>
      </c>
      <c r="X16" s="37">
        <v>7.3</v>
      </c>
      <c r="Y16" s="37">
        <v>2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$27&lt;&gt;"")*(G$3:G$27=G17)*(J$3:J$27&gt;J17)*(I$3:I$27="P"))+1,IF(O17&lt;&gt;"",SUMPRODUCT((O$3:O$27&lt;&gt;"")*(P$3:P$27="")*(G$3:G$27=G17)*(J$3:J$27&gt;J17)*(I$3:I$27="P"))+SUMPRODUCT((P$3:P$27&lt;&gt;"")*(G$3:G$27=G17)*(I$3:I$27="P"))+1,IF(N17&lt;&gt;"",SUMPRODUCT((N$3:N$27&lt;&gt;"")*(G$3:G$27=G17)*(J$3:J$27&gt;J17)*(I$3:I$27="P"))+1,IF(M17="P",SUMPRODUCT((O$3:O$27&lt;&gt;"")*(P$3:P$27="")*(G$3:G$27=G17)*(I$3:I$27="P"))+SUMPRODUCT((P$3:P$27&lt;&gt;"")*(G$3:G$27=G17)*(I$3:I$27="P"))+SUMPRODUCT((N$3:N$27&lt;&gt;"")*(G$3:G$27=G17)*(I$3:I$27="P"))+SUMPRODUCT((P$3:P$27="")*(O$3:O$27="")*(N$3:N$27="")*(M$3:M$27="P")*(G$3:G$27=G17)*(J$3:J$27&gt;J17)*(I$3:I$27="P"))+IF(H17="L5",SUMPRODUCT((P$3:P$27="")*(O$3:O$27="")*(N$3:N$27="")*(M$3:M$27="P")*(G$3:G$27=G17)*(J$3:J$27&lt;J17)*(H$3:H$27&lt;&gt;H17)*(I$3:I$27="P")),-1*SUMPRODUCT((P$3:P$27="")*(O$3:O$27="")*(N$3:N$27="")*(M$3:M$27="P")*(G$3:G$27=G17)*(J$3:J$27&gt;J17)*(H$3:H$27="L5")*(I$3:I$27="P")))+1,"")))))</f>
        <v/>
      </c>
      <c r="B17" s="1" cm="1">
        <f t="array" ref="B17">IF(P17&lt;&gt;"",SUMPRODUCT((P$3:P$27&lt;&gt;"")*(G$3:G$27=G17)*(J$3:J$27&gt;J17))+1,IF(O17&lt;&gt;"",SUMPRODUCT((O$3:O$27&lt;&gt;"")*(P$3:P$27="")*(G$3:G$27=G17)*(J$3:J$27&gt;J17))+SUMPRODUCT((P$3:P$27&lt;&gt;"")*(G$3:G$27=G17))+1,IF(N17&lt;&gt;"",SUMPRODUCT((N$3:N$27&lt;&gt;"")*(G$3:G$27=G17)*(J$3:J$27&gt;J17))+1,IF(M17="P",SUMPRODUCT((O$3:O$27&lt;&gt;"")*(P$3:P$27="")*(G$3:G$27=G17))+SUMPRODUCT((P$3:P$27&lt;&gt;"")*(G$3:G$27=G17))+SUMPRODUCT((N$3:N$27&lt;&gt;"")*(G$3:G$27=G17))+SUMPRODUCT((P$3:P$27="")*(O$3:O$27="")*(N$3:N$27="")*(M$3:M$27="P")*(G$3:G$27=G17)*(J$3:J$27&gt;J17))+IF(H17="L5",SUMPRODUCT((P$3:P$27="")*(O$3:O$27="")*(N$3:N$27="")*(M$3:M$27="P")*(G$3:G$27=G17)*(J$3:J$27&lt;J17)*(H$3:H$27&lt;&gt;H17)),-1*SUMPRODUCT((P$3:P$27="")*(O$3:O$27="")*(N$3:N$27="")*(M$3:M$27="P")*(G$3:G$27=G17)*(J$3:J$27&gt;J17)*(H$3:H$27="L5")))+1,""))))</f>
        <v>1</v>
      </c>
      <c r="C17" s="35" t="s">
        <v>132</v>
      </c>
      <c r="D17" s="35" t="str">
        <f>IF(E17="","",VLOOKUP(E17,'Coaching Points'!A:B,2,0))</f>
        <v>AB</v>
      </c>
      <c r="E17" s="35" t="s">
        <v>62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15-16</v>
      </c>
      <c r="H17" s="36" t="s">
        <v>63</v>
      </c>
      <c r="I17" s="40"/>
      <c r="J17" s="4">
        <f>R17+IF(OR(H17="Junior",H17="Senior"),0.0002,IF(OR(H17="L7",H17="L6"),0.0001,0))+MAX(Z17,AC17)*0.0000001</f>
        <v>45.900199999999998</v>
      </c>
      <c r="K17" s="3" t="str">
        <f>IF(G17="Not Age Eligible","",IF(MAX(T17,W17,Z17,AC17)&gt;=LOOKUP(G17,'Qualifying Scores'!$A$4:$A$7,'Qualifying Scores'!$H$4:$H$7),"P",""))</f>
        <v>P</v>
      </c>
      <c r="L17" s="3" t="str">
        <f>IF(G17="Not Age Eligible","",IF(MAX(U17,X17,AA17,AD17)&gt;=LOOKUP(G17,'Qualifying Scores'!$A$10:$A$13,'Qualifying Scores'!$H$10:$H$13),"P",""))</f>
        <v>P</v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>P</v>
      </c>
      <c r="N17" s="36">
        <v>1</v>
      </c>
      <c r="Q17" s="1" t="str">
        <f>IF(A17&lt;5,IF(_xlfn.MAXIFS(A:A,G:G,G17)&gt;3,5-A17,_xlfn.MAXIFS(A:A,G:G,G17)+1-A17),"")</f>
        <v/>
      </c>
      <c r="R17" s="4">
        <f>MAX(T17-V17,W17-Y17,Z17-AB17,AC17-AE17)</f>
        <v>45.9</v>
      </c>
      <c r="S17" s="4">
        <f>IF(R17=T17-V17,MAX(W17-Y17,Z17-AB17,AC17-AE17),IF(R17=W17-Y17,MAX(T17-V17,Z17-AB17,AC17-AE17),IF(R17=Z17-AB17,MAX(T17-V17,W17-Y17,AC17-AE17),IF(R17=AC17-AE17,MAX(T17-V17,W17-Y17,Z17-AB17),0))))</f>
        <v>41.300000000000004</v>
      </c>
      <c r="T17" s="32">
        <v>47.1</v>
      </c>
      <c r="U17" s="37">
        <v>13.6</v>
      </c>
      <c r="V17" s="37">
        <v>1.2</v>
      </c>
      <c r="W17" s="33">
        <v>42.2</v>
      </c>
      <c r="X17" s="37">
        <v>11.6</v>
      </c>
      <c r="Y17" s="37">
        <v>0.89999999999999991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$27&lt;&gt;"")*(G$3:G$27=G18)*(J$3:J$27&gt;J18)*(I$3:I$27="P"))+1,IF(O18&lt;&gt;"",SUMPRODUCT((O$3:O$27&lt;&gt;"")*(P$3:P$27="")*(G$3:G$27=G18)*(J$3:J$27&gt;J18)*(I$3:I$27="P"))+SUMPRODUCT((P$3:P$27&lt;&gt;"")*(G$3:G$27=G18)*(I$3:I$27="P"))+1,IF(N18&lt;&gt;"",SUMPRODUCT((N$3:N$27&lt;&gt;"")*(G$3:G$27=G18)*(J$3:J$27&gt;J18)*(I$3:I$27="P"))+1,IF(M18="P",SUMPRODUCT((O$3:O$27&lt;&gt;"")*(P$3:P$27="")*(G$3:G$27=G18)*(I$3:I$27="P"))+SUMPRODUCT((P$3:P$27&lt;&gt;"")*(G$3:G$27=G18)*(I$3:I$27="P"))+SUMPRODUCT((N$3:N$27&lt;&gt;"")*(G$3:G$27=G18)*(I$3:I$27="P"))+SUMPRODUCT((P$3:P$27="")*(O$3:O$27="")*(N$3:N$27="")*(M$3:M$27="P")*(G$3:G$27=G18)*(J$3:J$27&gt;J18)*(I$3:I$27="P"))+IF(H18="L5",SUMPRODUCT((P$3:P$27="")*(O$3:O$27="")*(N$3:N$27="")*(M$3:M$27="P")*(G$3:G$27=G18)*(J$3:J$27&lt;J18)*(H$3:H$27&lt;&gt;H18)*(I$3:I$27="P")),-1*SUMPRODUCT((P$3:P$27="")*(O$3:O$27="")*(N$3:N$27="")*(M$3:M$27="P")*(G$3:G$27=G18)*(J$3:J$27&gt;J18)*(H$3:H$27="L5")*(I$3:I$27="P")))+1,"")))))</f>
        <v/>
      </c>
      <c r="B18" s="1" cm="1">
        <f t="array" ref="B18">IF(P18&lt;&gt;"",SUMPRODUCT((P$3:P$27&lt;&gt;"")*(G$3:G$27=G18)*(J$3:J$27&gt;J18))+1,IF(O18&lt;&gt;"",SUMPRODUCT((O$3:O$27&lt;&gt;"")*(P$3:P$27="")*(G$3:G$27=G18)*(J$3:J$27&gt;J18))+SUMPRODUCT((P$3:P$27&lt;&gt;"")*(G$3:G$27=G18))+1,IF(N18&lt;&gt;"",SUMPRODUCT((N$3:N$27&lt;&gt;"")*(G$3:G$27=G18)*(J$3:J$27&gt;J18))+1,IF(M18="P",SUMPRODUCT((O$3:O$27&lt;&gt;"")*(P$3:P$27="")*(G$3:G$27=G18))+SUMPRODUCT((P$3:P$27&lt;&gt;"")*(G$3:G$27=G18))+SUMPRODUCT((N$3:N$27&lt;&gt;"")*(G$3:G$27=G18))+SUMPRODUCT((P$3:P$27="")*(O$3:O$27="")*(N$3:N$27="")*(M$3:M$27="P")*(G$3:G$27=G18)*(J$3:J$27&gt;J18))+IF(H18="L5",SUMPRODUCT((P$3:P$27="")*(O$3:O$27="")*(N$3:N$27="")*(M$3:M$27="P")*(G$3:G$27=G18)*(J$3:J$27&lt;J18)*(H$3:H$27&lt;&gt;H18)),-1*SUMPRODUCT((P$3:P$27="")*(O$3:O$27="")*(N$3:N$27="")*(M$3:M$27="P")*(G$3:G$27=G18)*(J$3:J$27&gt;J18)*(H$3:H$27="L5")))+1,""))))</f>
        <v>2</v>
      </c>
      <c r="C18" s="35" t="s">
        <v>77</v>
      </c>
      <c r="D18" s="35" t="str">
        <f>IF(E18="","",VLOOKUP(E18,'Coaching Points'!A:B,2,0))</f>
        <v>AB</v>
      </c>
      <c r="E18" s="35" t="s">
        <v>62</v>
      </c>
      <c r="F18" s="34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15-16</v>
      </c>
      <c r="H18" s="36" t="s">
        <v>63</v>
      </c>
      <c r="I18" s="40"/>
      <c r="J18" s="4">
        <f>R18+IF(OR(H18="Junior",H18="Senior"),0.0002,IF(OR(H18="L7",H18="L6"),0.0001,0))+MAX(Z18,AC18)*0.0000001</f>
        <v>45.100199999999994</v>
      </c>
      <c r="K18" s="3" t="str">
        <f>IF(G18="Not Age Eligible","",IF(MAX(T18,W18,Z18,AC18)&gt;=LOOKUP(G18,'Qualifying Scores'!$A$4:$A$7,'Qualifying Scores'!$H$4:$H$7),"P",""))</f>
        <v>P</v>
      </c>
      <c r="L18" s="3" t="str">
        <f>IF(G18="Not Age Eligible","",IF(MAX(U18,X18,AA18,AD18)&gt;=LOOKUP(G18,'Qualifying Scores'!$A$10:$A$13,'Qualifying Scores'!$H$10:$H$13),"P",""))</f>
        <v>P</v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>P</v>
      </c>
      <c r="N18" s="36">
        <v>3</v>
      </c>
      <c r="Q18" s="1" t="str">
        <f>IF(A18&lt;5,IF(_xlfn.MAXIFS(A:A,G:G,G18)&gt;3,5-A18,_xlfn.MAXIFS(A:A,G:G,G18)+1-A18),"")</f>
        <v/>
      </c>
      <c r="R18" s="4">
        <f>MAX(T18-V18,W18-Y18,Z18-AB18,AC18-AE18)</f>
        <v>45.099999999999994</v>
      </c>
      <c r="S18" s="4">
        <f>IF(R18=T18-V18,MAX(W18-Y18,Z18-AB18,AC18-AE18),IF(R18=W18-Y18,MAX(T18-V18,Z18-AB18,AC18-AE18),IF(R18=Z18-AB18,MAX(T18-V18,W18-Y18,AC18-AE18),IF(R18=AC18-AE18,MAX(T18-V18,W18-Y18,Z18-AB18),0))))</f>
        <v>42.4</v>
      </c>
      <c r="T18" s="32">
        <v>43.6</v>
      </c>
      <c r="U18" s="37">
        <v>11.8</v>
      </c>
      <c r="V18" s="37">
        <v>1.2</v>
      </c>
      <c r="W18" s="33">
        <v>46.3</v>
      </c>
      <c r="X18" s="37">
        <v>13.3</v>
      </c>
      <c r="Y18" s="37">
        <v>1.2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$27&lt;&gt;"")*(G$3:G$27=G19)*(J$3:J$27&gt;J19)*(I$3:I$27="P"))+1,IF(O19&lt;&gt;"",SUMPRODUCT((O$3:O$27&lt;&gt;"")*(P$3:P$27="")*(G$3:G$27=G19)*(J$3:J$27&gt;J19)*(I$3:I$27="P"))+SUMPRODUCT((P$3:P$27&lt;&gt;"")*(G$3:G$27=G19)*(I$3:I$27="P"))+1,IF(N19&lt;&gt;"",SUMPRODUCT((N$3:N$27&lt;&gt;"")*(G$3:G$27=G19)*(J$3:J$27&gt;J19)*(I$3:I$27="P"))+1,IF(M19="P",SUMPRODUCT((O$3:O$27&lt;&gt;"")*(P$3:P$27="")*(G$3:G$27=G19)*(I$3:I$27="P"))+SUMPRODUCT((P$3:P$27&lt;&gt;"")*(G$3:G$27=G19)*(I$3:I$27="P"))+SUMPRODUCT((N$3:N$27&lt;&gt;"")*(G$3:G$27=G19)*(I$3:I$27="P"))+SUMPRODUCT((P$3:P$27="")*(O$3:O$27="")*(N$3:N$27="")*(M$3:M$27="P")*(G$3:G$27=G19)*(J$3:J$27&gt;J19)*(I$3:I$27="P"))+IF(H19="L5",SUMPRODUCT((P$3:P$27="")*(O$3:O$27="")*(N$3:N$27="")*(M$3:M$27="P")*(G$3:G$27=G19)*(J$3:J$27&lt;J19)*(H$3:H$27&lt;&gt;H19)*(I$3:I$27="P")),-1*SUMPRODUCT((P$3:P$27="")*(O$3:O$27="")*(N$3:N$27="")*(M$3:M$27="P")*(G$3:G$27=G19)*(J$3:J$27&gt;J19)*(H$3:H$27="L5")*(I$3:I$27="P")))+1,"")))))</f>
        <v/>
      </c>
      <c r="B19" s="1" cm="1">
        <f t="array" ref="B19">IF(P19&lt;&gt;"",SUMPRODUCT((P$3:P$27&lt;&gt;"")*(G$3:G$27=G19)*(J$3:J$27&gt;J19))+1,IF(O19&lt;&gt;"",SUMPRODUCT((O$3:O$27&lt;&gt;"")*(P$3:P$27="")*(G$3:G$27=G19)*(J$3:J$27&gt;J19))+SUMPRODUCT((P$3:P$27&lt;&gt;"")*(G$3:G$27=G19))+1,IF(N19&lt;&gt;"",SUMPRODUCT((N$3:N$27&lt;&gt;"")*(G$3:G$27=G19)*(J$3:J$27&gt;J19))+1,IF(M19="P",SUMPRODUCT((O$3:O$27&lt;&gt;"")*(P$3:P$27="")*(G$3:G$27=G19))+SUMPRODUCT((P$3:P$27&lt;&gt;"")*(G$3:G$27=G19))+SUMPRODUCT((N$3:N$27&lt;&gt;"")*(G$3:G$27=G19))+SUMPRODUCT((P$3:P$27="")*(O$3:O$27="")*(N$3:N$27="")*(M$3:M$27="P")*(G$3:G$27=G19)*(J$3:J$27&gt;J19))+IF(H19="L5",SUMPRODUCT((P$3:P$27="")*(O$3:O$27="")*(N$3:N$27="")*(M$3:M$27="P")*(G$3:G$27=G19)*(J$3:J$27&lt;J19)*(H$3:H$27&lt;&gt;H19)),-1*SUMPRODUCT((P$3:P$27="")*(O$3:O$27="")*(N$3:N$27="")*(M$3:M$27="P")*(G$3:G$27=G19)*(J$3:J$27&gt;J19)*(H$3:H$27="L5")))+1,""))))</f>
        <v>3</v>
      </c>
      <c r="C19" s="35" t="s">
        <v>194</v>
      </c>
      <c r="D19" s="35" t="str">
        <f>IF(E19="","",VLOOKUP(E19,'Coaching Points'!A:B,2,0))</f>
        <v>ON</v>
      </c>
      <c r="E19" s="35" t="s">
        <v>206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15-16</v>
      </c>
      <c r="H19" s="36" t="s">
        <v>63</v>
      </c>
      <c r="I19" s="40"/>
      <c r="J19" s="4">
        <f>R19+IF(OR(H19="Junior",H19="Senior"),0.0002,IF(OR(H19="L7",H19="L6"),0.0001,0))+MAX(Z19,AC19)*0.0000001</f>
        <v>44.5002</v>
      </c>
      <c r="K19" s="3" t="str">
        <f>IF(G19="Not Age Eligible","",IF(MAX(T19,W19,Z19,AC19)&gt;=LOOKUP(G19,'Qualifying Scores'!$A$4:$A$7,'Qualifying Scores'!$H$4:$H$7),"P",""))</f>
        <v>P</v>
      </c>
      <c r="L19" s="3" t="str">
        <f>IF(G19="Not Age Eligible","",IF(MAX(U19,X19,AA19,AD19)&gt;=LOOKUP(G19,'Qualifying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>P</v>
      </c>
      <c r="N19" s="36">
        <v>2</v>
      </c>
      <c r="Q19" s="1" t="str">
        <f>IF(A19&lt;5,IF(_xlfn.MAXIFS(A:A,G:G,G19)&gt;3,5-A19,_xlfn.MAXIFS(A:A,G:G,G19)+1-A19),"")</f>
        <v/>
      </c>
      <c r="R19" s="4">
        <f>MAX(T19-V19,W19-Y19,Z19-AB19,AC19-AE19)</f>
        <v>44.5</v>
      </c>
      <c r="S19" s="4">
        <f>IF(R19=T19-V19,MAX(W19-Y19,Z19-AB19,AC19-AE19),IF(R19=W19-Y19,MAX(T19-V19,Z19-AB19,AC19-AE19),IF(R19=Z19-AB19,MAX(T19-V19,W19-Y19,AC19-AE19),IF(R19=AC19-AE19,MAX(T19-V19,W19-Y19,Z19-AB19),0))))</f>
        <v>41</v>
      </c>
      <c r="T19" s="32">
        <v>45.7</v>
      </c>
      <c r="U19" s="37">
        <v>11.7</v>
      </c>
      <c r="V19" s="37">
        <v>1.2</v>
      </c>
      <c r="W19" s="33">
        <v>41.9</v>
      </c>
      <c r="X19" s="37">
        <v>10.399999999999999</v>
      </c>
      <c r="Y19" s="37">
        <v>0.89999999999999991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$27&lt;&gt;"")*(G$3:G$27=G20)*(J$3:J$27&gt;J20)*(I$3:I$27="P"))+1,IF(O20&lt;&gt;"",SUMPRODUCT((O$3:O$27&lt;&gt;"")*(P$3:P$27="")*(G$3:G$27=G20)*(J$3:J$27&gt;J20)*(I$3:I$27="P"))+SUMPRODUCT((P$3:P$27&lt;&gt;"")*(G$3:G$27=G20)*(I$3:I$27="P"))+1,IF(N20&lt;&gt;"",SUMPRODUCT((N$3:N$27&lt;&gt;"")*(G$3:G$27=G20)*(J$3:J$27&gt;J20)*(I$3:I$27="P"))+1,IF(M20="P",SUMPRODUCT((O$3:O$27&lt;&gt;"")*(P$3:P$27="")*(G$3:G$27=G20)*(I$3:I$27="P"))+SUMPRODUCT((P$3:P$27&lt;&gt;"")*(G$3:G$27=G20)*(I$3:I$27="P"))+SUMPRODUCT((N$3:N$27&lt;&gt;"")*(G$3:G$27=G20)*(I$3:I$27="P"))+SUMPRODUCT((P$3:P$27="")*(O$3:O$27="")*(N$3:N$27="")*(M$3:M$27="P")*(G$3:G$27=G20)*(J$3:J$27&gt;J20)*(I$3:I$27="P"))+IF(H20="L5",SUMPRODUCT((P$3:P$27="")*(O$3:O$27="")*(N$3:N$27="")*(M$3:M$27="P")*(G$3:G$27=G20)*(J$3:J$27&lt;J20)*(H$3:H$27&lt;&gt;H20)*(I$3:I$27="P")),-1*SUMPRODUCT((P$3:P$27="")*(O$3:O$27="")*(N$3:N$27="")*(M$3:M$27="P")*(G$3:G$27=G20)*(J$3:J$27&gt;J20)*(H$3:H$27="L5")*(I$3:I$27="P")))+1,"")))))</f>
        <v/>
      </c>
      <c r="B20" s="1" t="str" cm="1">
        <f t="array" ref="B20">IF(P20&lt;&gt;"",SUMPRODUCT((P$3:P$27&lt;&gt;"")*(G$3:G$27=G20)*(J$3:J$27&gt;J20))+1,IF(O20&lt;&gt;"",SUMPRODUCT((O$3:O$27&lt;&gt;"")*(P$3:P$27="")*(G$3:G$27=G20)*(J$3:J$27&gt;J20))+SUMPRODUCT((P$3:P$27&lt;&gt;"")*(G$3:G$27=G20))+1,IF(N20&lt;&gt;"",SUMPRODUCT((N$3:N$27&lt;&gt;"")*(G$3:G$27=G20)*(J$3:J$27&gt;J20))+1,IF(M20="P",SUMPRODUCT((O$3:O$27&lt;&gt;"")*(P$3:P$27="")*(G$3:G$27=G20))+SUMPRODUCT((P$3:P$27&lt;&gt;"")*(G$3:G$27=G20))+SUMPRODUCT((N$3:N$27&lt;&gt;"")*(G$3:G$27=G20))+SUMPRODUCT((P$3:P$27="")*(O$3:O$27="")*(N$3:N$27="")*(M$3:M$27="P")*(G$3:G$27=G20)*(J$3:J$27&gt;J20))+IF(H20="L5",SUMPRODUCT((P$3:P$27="")*(O$3:O$27="")*(N$3:N$27="")*(M$3:M$27="P")*(G$3:G$27=G20)*(J$3:J$27&lt;J20)*(H$3:H$27&lt;&gt;H20)),-1*SUMPRODUCT((P$3:P$27="")*(O$3:O$27="")*(N$3:N$27="")*(M$3:M$27="P")*(G$3:G$27=G20)*(J$3:J$27&gt;J20)*(H$3:H$27="L5")))+1,""))))</f>
        <v/>
      </c>
      <c r="C20" s="35" t="s">
        <v>76</v>
      </c>
      <c r="D20" s="35" t="str">
        <f>IF(E20="","",VLOOKUP(E20,'Coaching Points'!A:B,2,0))</f>
        <v>SK</v>
      </c>
      <c r="E20" s="35" t="s">
        <v>329</v>
      </c>
      <c r="F20" s="34">
        <v>2009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15-16</v>
      </c>
      <c r="H20" s="36" t="s">
        <v>65</v>
      </c>
      <c r="I20" s="40"/>
      <c r="J20" s="4">
        <f>R20+IF(OR(H20="Junior",H20="Senior"),0.0002,IF(OR(H20="L7",H20="L6"),0.0001,0))+MAX(Z20,AC20)*0.0000001</f>
        <v>43.200099999999999</v>
      </c>
      <c r="K20" s="3" t="str">
        <f>IF(G20="Not Age Eligible","",IF(MAX(T20,W20,Z20,AC20)&gt;=LOOKUP(G20,'Qualifying Scores'!$A$4:$A$7,'Qualifying Scores'!$H$4:$H$7),"P",""))</f>
        <v>P</v>
      </c>
      <c r="L20" s="3" t="str">
        <f>IF(G20="Not Age Eligible","",IF(MAX(U20,X20,AA20,AD20)&gt;=LOOKUP(G20,'Qualifying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43.199999999999996</v>
      </c>
      <c r="S20" s="4">
        <f>IF(R20=T20-V20,MAX(W20-Y20,Z20-AB20,AC20-AE20),IF(R20=W20-Y20,MAX(T20-V20,Z20-AB20,AC20-AE20),IF(R20=Z20-AB20,MAX(T20-V20,W20-Y20,AC20-AE20),IF(R20=AC20-AE20,MAX(T20-V20,W20-Y20,Z20-AB20),0))))</f>
        <v>41.2</v>
      </c>
      <c r="T20" s="32">
        <v>41.5</v>
      </c>
      <c r="U20" s="37">
        <v>8.1</v>
      </c>
      <c r="V20" s="37">
        <v>0.3</v>
      </c>
      <c r="W20" s="33">
        <v>43.8</v>
      </c>
      <c r="X20" s="37">
        <v>8.3999999999999986</v>
      </c>
      <c r="Y20" s="37">
        <v>0.6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$27&lt;&gt;"")*(G$3:G$27=G21)*(J$3:J$27&gt;J21)*(I$3:I$27="P"))+1,IF(O21&lt;&gt;"",SUMPRODUCT((O$3:O$27&lt;&gt;"")*(P$3:P$27="")*(G$3:G$27=G21)*(J$3:J$27&gt;J21)*(I$3:I$27="P"))+SUMPRODUCT((P$3:P$27&lt;&gt;"")*(G$3:G$27=G21)*(I$3:I$27="P"))+1,IF(N21&lt;&gt;"",SUMPRODUCT((N$3:N$27&lt;&gt;"")*(G$3:G$27=G21)*(J$3:J$27&gt;J21)*(I$3:I$27="P"))+1,IF(M21="P",SUMPRODUCT((O$3:O$27&lt;&gt;"")*(P$3:P$27="")*(G$3:G$27=G21)*(I$3:I$27="P"))+SUMPRODUCT((P$3:P$27&lt;&gt;"")*(G$3:G$27=G21)*(I$3:I$27="P"))+SUMPRODUCT((N$3:N$27&lt;&gt;"")*(G$3:G$27=G21)*(I$3:I$27="P"))+SUMPRODUCT((P$3:P$27="")*(O$3:O$27="")*(N$3:N$27="")*(M$3:M$27="P")*(G$3:G$27=G21)*(J$3:J$27&gt;J21)*(I$3:I$27="P"))+IF(H21="L5",SUMPRODUCT((P$3:P$27="")*(O$3:O$27="")*(N$3:N$27="")*(M$3:M$27="P")*(G$3:G$27=G21)*(J$3:J$27&lt;J21)*(H$3:H$27&lt;&gt;H21)*(I$3:I$27="P")),-1*SUMPRODUCT((P$3:P$27="")*(O$3:O$27="")*(N$3:N$27="")*(M$3:M$27="P")*(G$3:G$27=G21)*(J$3:J$27&gt;J21)*(H$3:H$27="L5")*(I$3:I$27="P")))+1,"")))))</f>
        <v/>
      </c>
      <c r="B21" s="1" t="str" cm="1">
        <f t="array" ref="B21">IF(P21&lt;&gt;"",SUMPRODUCT((P$3:P$27&lt;&gt;"")*(G$3:G$27=G21)*(J$3:J$27&gt;J21))+1,IF(O21&lt;&gt;"",SUMPRODUCT((O$3:O$27&lt;&gt;"")*(P$3:P$27="")*(G$3:G$27=G21)*(J$3:J$27&gt;J21))+SUMPRODUCT((P$3:P$27&lt;&gt;"")*(G$3:G$27=G21))+1,IF(N21&lt;&gt;"",SUMPRODUCT((N$3:N$27&lt;&gt;"")*(G$3:G$27=G21)*(J$3:J$27&gt;J21))+1,IF(M21="P",SUMPRODUCT((O$3:O$27&lt;&gt;"")*(P$3:P$27="")*(G$3:G$27=G21))+SUMPRODUCT((P$3:P$27&lt;&gt;"")*(G$3:G$27=G21))+SUMPRODUCT((N$3:N$27&lt;&gt;"")*(G$3:G$27=G21))+SUMPRODUCT((P$3:P$27="")*(O$3:O$27="")*(N$3:N$27="")*(M$3:M$27="P")*(G$3:G$27=G21)*(J$3:J$27&gt;J21))+IF(H21="L5",SUMPRODUCT((P$3:P$27="")*(O$3:O$27="")*(N$3:N$27="")*(M$3:M$27="P")*(G$3:G$27=G21)*(J$3:J$27&lt;J21)*(H$3:H$27&lt;&gt;H21)),-1*SUMPRODUCT((P$3:P$27="")*(O$3:O$27="")*(N$3:N$27="")*(M$3:M$27="P")*(G$3:G$27=G21)*(J$3:J$27&gt;J21)*(H$3:H$27="L5")))+1,""))))</f>
        <v/>
      </c>
      <c r="C21" s="35" t="s">
        <v>283</v>
      </c>
      <c r="D21" s="35" t="str">
        <f>IF(E21="","",VLOOKUP(E21,'Coaching Points'!A:B,2,0))</f>
        <v>AB</v>
      </c>
      <c r="E21" s="35" t="s">
        <v>28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15-16</v>
      </c>
      <c r="H21" s="36" t="s">
        <v>64</v>
      </c>
      <c r="I21" s="40"/>
      <c r="J21" s="4">
        <f>R21+IF(OR(H21="Junior",H21="Senior"),0.0002,IF(OR(H21="L7",H21="L6"),0.0001,0))+MAX(Z21,AC21)*0.0000001</f>
        <v>39.4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39.4</v>
      </c>
      <c r="S21" s="4">
        <f>IF(R21=T21-V21,MAX(W21-Y21,Z21-AB21,AC21-AE21),IF(R21=W21-Y21,MAX(T21-V21,Z21-AB21,AC21-AE21),IF(R21=Z21-AB21,MAX(T21-V21,W21-Y21,AC21-AE21),IF(R21=AC21-AE21,MAX(T21-V21,W21-Y21,Z21-AB21),0))))</f>
        <v>38.4</v>
      </c>
      <c r="T21" s="32">
        <v>38.4</v>
      </c>
      <c r="U21" s="37">
        <v>6.9</v>
      </c>
      <c r="V21" s="37">
        <v>0</v>
      </c>
      <c r="W21" s="33">
        <v>39.4</v>
      </c>
      <c r="X21" s="37">
        <v>7.5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$27&lt;&gt;"")*(G$3:G$27=G22)*(J$3:J$27&gt;J22)*(I$3:I$27="P"))+1,IF(O22&lt;&gt;"",SUMPRODUCT((O$3:O$27&lt;&gt;"")*(P$3:P$27="")*(G$3:G$27=G22)*(J$3:J$27&gt;J22)*(I$3:I$27="P"))+SUMPRODUCT((P$3:P$27&lt;&gt;"")*(G$3:G$27=G22)*(I$3:I$27="P"))+1,IF(N22&lt;&gt;"",SUMPRODUCT((N$3:N$27&lt;&gt;"")*(G$3:G$27=G22)*(J$3:J$27&gt;J22)*(I$3:I$27="P"))+1,IF(M22="P",SUMPRODUCT((O$3:O$27&lt;&gt;"")*(P$3:P$27="")*(G$3:G$27=G22)*(I$3:I$27="P"))+SUMPRODUCT((P$3:P$27&lt;&gt;"")*(G$3:G$27=G22)*(I$3:I$27="P"))+SUMPRODUCT((N$3:N$27&lt;&gt;"")*(G$3:G$27=G22)*(I$3:I$27="P"))+SUMPRODUCT((P$3:P$27="")*(O$3:O$27="")*(N$3:N$27="")*(M$3:M$27="P")*(G$3:G$27=G22)*(J$3:J$27&gt;J22)*(I$3:I$27="P"))+IF(H22="L5",SUMPRODUCT((P$3:P$27="")*(O$3:O$27="")*(N$3:N$27="")*(M$3:M$27="P")*(G$3:G$27=G22)*(J$3:J$27&lt;J22)*(H$3:H$27&lt;&gt;H22)*(I$3:I$27="P")),-1*SUMPRODUCT((P$3:P$27="")*(O$3:O$27="")*(N$3:N$27="")*(M$3:M$27="P")*(G$3:G$27=G22)*(J$3:J$27&gt;J22)*(H$3:H$27="L5")*(I$3:I$27="P")))+1,"")))))</f>
        <v/>
      </c>
      <c r="B22" s="1" t="str" cm="1">
        <f t="array" ref="B22">IF(P22&lt;&gt;"",SUMPRODUCT((P$3:P$27&lt;&gt;"")*(G$3:G$27=G22)*(J$3:J$27&gt;J22))+1,IF(O22&lt;&gt;"",SUMPRODUCT((O$3:O$27&lt;&gt;"")*(P$3:P$27="")*(G$3:G$27=G22)*(J$3:J$27&gt;J22))+SUMPRODUCT((P$3:P$27&lt;&gt;"")*(G$3:G$27=G22))+1,IF(N22&lt;&gt;"",SUMPRODUCT((N$3:N$27&lt;&gt;"")*(G$3:G$27=G22)*(J$3:J$27&gt;J22))+1,IF(M22="P",SUMPRODUCT((O$3:O$27&lt;&gt;"")*(P$3:P$27="")*(G$3:G$27=G22))+SUMPRODUCT((P$3:P$27&lt;&gt;"")*(G$3:G$27=G22))+SUMPRODUCT((N$3:N$27&lt;&gt;"")*(G$3:G$27=G22))+SUMPRODUCT((P$3:P$27="")*(O$3:O$27="")*(N$3:N$27="")*(M$3:M$27="P")*(G$3:G$27=G22)*(J$3:J$27&gt;J22))+IF(H22="L5",SUMPRODUCT((P$3:P$27="")*(O$3:O$27="")*(N$3:N$27="")*(M$3:M$27="P")*(G$3:G$27=G22)*(J$3:J$27&lt;J22)*(H$3:H$27&lt;&gt;H22)),-1*SUMPRODUCT((P$3:P$27="")*(O$3:O$27="")*(N$3:N$27="")*(M$3:M$27="P")*(G$3:G$27=G22)*(J$3:J$27&gt;J22)*(H$3:H$27="L5")))+1,""))))</f>
        <v/>
      </c>
      <c r="C22" s="35" t="s">
        <v>284</v>
      </c>
      <c r="D22" s="35" t="str">
        <f>IF(E22="","",VLOOKUP(E22,'Coaching Points'!A:B,2,0))</f>
        <v>AB</v>
      </c>
      <c r="E22" s="35" t="s">
        <v>250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15-16</v>
      </c>
      <c r="H22" s="36" t="s">
        <v>64</v>
      </c>
      <c r="I22" s="40"/>
      <c r="J22" s="4">
        <f>R22+IF(OR(H22="Junior",H22="Senior"),0.0002,IF(OR(H22="L7",H22="L6"),0.0001,0))+MAX(Z22,AC22)*0.0000001</f>
        <v>26.6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MAX(T22-V22,W22-Y22,Z22-AB22,AC22-AE22)</f>
        <v>26.6</v>
      </c>
      <c r="S22" s="4">
        <f>IF(R22=T22-V22,MAX(W22-Y22,Z22-AB22,AC22-AE22),IF(R22=W22-Y22,MAX(T22-V22,Z22-AB22,AC22-AE22),IF(R22=Z22-AB22,MAX(T22-V22,W22-Y22,AC22-AE22),IF(R22=AC22-AE22,MAX(T22-V22,W22-Y22,Z22-AB22),0))))</f>
        <v>0</v>
      </c>
      <c r="T22" s="32">
        <v>26.6</v>
      </c>
      <c r="U22" s="37">
        <v>4</v>
      </c>
      <c r="V22" s="37">
        <v>0</v>
      </c>
      <c r="W22" s="33"/>
      <c r="X22" s="37"/>
      <c r="Y22" s="37"/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$27&lt;&gt;"")*(G$3:G$27=G23)*(J$3:J$27&gt;J23)*(I$3:I$27="P"))+1,IF(O23&lt;&gt;"",SUMPRODUCT((O$3:O$27&lt;&gt;"")*(P$3:P$27="")*(G$3:G$27=G23)*(J$3:J$27&gt;J23)*(I$3:I$27="P"))+SUMPRODUCT((P$3:P$27&lt;&gt;"")*(G$3:G$27=G23)*(I$3:I$27="P"))+1,IF(N23&lt;&gt;"",SUMPRODUCT((N$3:N$27&lt;&gt;"")*(G$3:G$27=G23)*(J$3:J$27&gt;J23)*(I$3:I$27="P"))+1,IF(M23="P",SUMPRODUCT((O$3:O$27&lt;&gt;"")*(P$3:P$27="")*(G$3:G$27=G23)*(I$3:I$27="P"))+SUMPRODUCT((P$3:P$27&lt;&gt;"")*(G$3:G$27=G23)*(I$3:I$27="P"))+SUMPRODUCT((N$3:N$27&lt;&gt;"")*(G$3:G$27=G23)*(I$3:I$27="P"))+SUMPRODUCT((P$3:P$27="")*(O$3:O$27="")*(N$3:N$27="")*(M$3:M$27="P")*(G$3:G$27=G23)*(J$3:J$27&gt;J23)*(I$3:I$27="P"))+IF(H23="L5",SUMPRODUCT((P$3:P$27="")*(O$3:O$27="")*(N$3:N$27="")*(M$3:M$27="P")*(G$3:G$27=G23)*(J$3:J$27&lt;J23)*(H$3:H$27&lt;&gt;H23)*(I$3:I$27="P")),-1*SUMPRODUCT((P$3:P$27="")*(O$3:O$27="")*(N$3:N$27="")*(M$3:M$27="P")*(G$3:G$27=G23)*(J$3:J$27&gt;J23)*(H$3:H$27="L5")*(I$3:I$27="P")))+1,"")))))</f>
        <v/>
      </c>
      <c r="B23" s="1" cm="1">
        <f t="array" ref="B23">IF(P23&lt;&gt;"",SUMPRODUCT((P$3:P$27&lt;&gt;"")*(G$3:G$27=G23)*(J$3:J$27&gt;J23))+1,IF(O23&lt;&gt;"",SUMPRODUCT((O$3:O$27&lt;&gt;"")*(P$3:P$27="")*(G$3:G$27=G23)*(J$3:J$27&gt;J23))+SUMPRODUCT((P$3:P$27&lt;&gt;"")*(G$3:G$27=G23))+1,IF(N23&lt;&gt;"",SUMPRODUCT((N$3:N$27&lt;&gt;"")*(G$3:G$27=G23)*(J$3:J$27&gt;J23))+1,IF(M23="P",SUMPRODUCT((O$3:O$27&lt;&gt;"")*(P$3:P$27="")*(G$3:G$27=G23))+SUMPRODUCT((P$3:P$27&lt;&gt;"")*(G$3:G$27=G23))+SUMPRODUCT((N$3:N$27&lt;&gt;"")*(G$3:G$27=G23))+SUMPRODUCT((P$3:P$27="")*(O$3:O$27="")*(N$3:N$27="")*(M$3:M$27="P")*(G$3:G$27=G23)*(J$3:J$27&gt;J23))+IF(H23="L5",SUMPRODUCT((P$3:P$27="")*(O$3:O$27="")*(N$3:N$27="")*(M$3:M$27="P")*(G$3:G$27=G23)*(J$3:J$27&lt;J23)*(H$3:H$27&lt;&gt;H23)),-1*SUMPRODUCT((P$3:P$27="")*(O$3:O$27="")*(N$3:N$27="")*(M$3:M$27="P")*(G$3:G$27=G23)*(J$3:J$27&gt;J23)*(H$3:H$27="L5")))+1,""))))</f>
        <v>1</v>
      </c>
      <c r="C23" s="35" t="s">
        <v>369</v>
      </c>
      <c r="D23" s="35" t="str">
        <f>IF(E23="","",VLOOKUP(E23,'Coaching Points'!A:B,2,0))</f>
        <v>ON</v>
      </c>
      <c r="E23" s="35" t="s">
        <v>131</v>
      </c>
      <c r="F23" s="34">
        <v>2010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13-14</v>
      </c>
      <c r="H23" s="36" t="s">
        <v>65</v>
      </c>
      <c r="I23" s="40"/>
      <c r="J23" s="4">
        <f>R23+IF(OR(H23="Junior",H23="Senior"),0.0002,IF(OR(H23="L7",H23="L6"),0.0001,0))+MAX(Z23,AC23)*0.0000001</f>
        <v>42.600100000000005</v>
      </c>
      <c r="K23" s="3" t="str">
        <f>IF(G23="Not Age Eligible","",IF(MAX(T23,W23,Z23,AC23)&gt;=LOOKUP(G23,'Qualifying Scores'!$A$4:$A$7,'Qualifying Scores'!$H$4:$H$7),"P",""))</f>
        <v>P</v>
      </c>
      <c r="L23" s="3" t="str">
        <f>IF(G23="Not Age Eligible","",IF(MAX(U23,X23,AA23,AD23)&gt;=LOOKUP(G23,'Qualifying Scores'!$A$10:$A$13,'Qualifying Scores'!$H$10:$H$13),"P",""))</f>
        <v>P</v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>P</v>
      </c>
      <c r="Q23" s="1" t="str">
        <f>IF(A23&lt;5,IF(_xlfn.MAXIFS(A:A,G:G,G23)&gt;3,5-A23,_xlfn.MAXIFS(A:A,G:G,G23)+1-A23),"")</f>
        <v/>
      </c>
      <c r="R23" s="4">
        <f>MAX(T23-V23,W23-Y23,Z23-AB23,AC23-AE23)</f>
        <v>42.6</v>
      </c>
      <c r="S23" s="4">
        <f>IF(R23=T23-V23,MAX(W23-Y23,Z23-AB23,AC23-AE23),IF(R23=W23-Y23,MAX(T23-V23,Z23-AB23,AC23-AE23),IF(R23=Z23-AB23,MAX(T23-V23,W23-Y23,AC23-AE23),IF(R23=AC23-AE23,MAX(T23-V23,W23-Y23,Z23-AB23),0))))</f>
        <v>37.5</v>
      </c>
      <c r="T23" s="32">
        <v>38.700000000000003</v>
      </c>
      <c r="U23" s="37">
        <v>7.6</v>
      </c>
      <c r="V23" s="37">
        <v>1.2</v>
      </c>
      <c r="W23" s="33">
        <v>43.5</v>
      </c>
      <c r="X23" s="37">
        <v>8.5</v>
      </c>
      <c r="Y23" s="37">
        <v>0.89999999999999991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$27&lt;&gt;"")*(G$3:G$27=G24)*(J$3:J$27&gt;J24)*(I$3:I$27="P"))+1,IF(O24&lt;&gt;"",SUMPRODUCT((O$3:O$27&lt;&gt;"")*(P$3:P$27="")*(G$3:G$27=G24)*(J$3:J$27&gt;J24)*(I$3:I$27="P"))+SUMPRODUCT((P$3:P$27&lt;&gt;"")*(G$3:G$27=G24)*(I$3:I$27="P"))+1,IF(N24&lt;&gt;"",SUMPRODUCT((N$3:N$27&lt;&gt;"")*(G$3:G$27=G24)*(J$3:J$27&gt;J24)*(I$3:I$27="P"))+1,IF(M24="P",SUMPRODUCT((O$3:O$27&lt;&gt;"")*(P$3:P$27="")*(G$3:G$27=G24)*(I$3:I$27="P"))+SUMPRODUCT((P$3:P$27&lt;&gt;"")*(G$3:G$27=G24)*(I$3:I$27="P"))+SUMPRODUCT((N$3:N$27&lt;&gt;"")*(G$3:G$27=G24)*(I$3:I$27="P"))+SUMPRODUCT((P$3:P$27="")*(O$3:O$27="")*(N$3:N$27="")*(M$3:M$27="P")*(G$3:G$27=G24)*(J$3:J$27&gt;J24)*(I$3:I$27="P"))+IF(H24="L5",SUMPRODUCT((P$3:P$27="")*(O$3:O$27="")*(N$3:N$27="")*(M$3:M$27="P")*(G$3:G$27=G24)*(J$3:J$27&lt;J24)*(H$3:H$27&lt;&gt;H24)*(I$3:I$27="P")),-1*SUMPRODUCT((P$3:P$27="")*(O$3:O$27="")*(N$3:N$27="")*(M$3:M$27="P")*(G$3:G$27=G24)*(J$3:J$27&gt;J24)*(H$3:H$27="L5")*(I$3:I$27="P")))+1,"")))))</f>
        <v/>
      </c>
      <c r="B24" s="1" t="str" cm="1">
        <f t="array" ref="B24">IF(P24&lt;&gt;"",SUMPRODUCT((P$3:P$27&lt;&gt;"")*(G$3:G$27=G24)*(J$3:J$27&gt;J24))+1,IF(O24&lt;&gt;"",SUMPRODUCT((O$3:O$27&lt;&gt;"")*(P$3:P$27="")*(G$3:G$27=G24)*(J$3:J$27&gt;J24))+SUMPRODUCT((P$3:P$27&lt;&gt;"")*(G$3:G$27=G24))+1,IF(N24&lt;&gt;"",SUMPRODUCT((N$3:N$27&lt;&gt;"")*(G$3:G$27=G24)*(J$3:J$27&gt;J24))+1,IF(M24="P",SUMPRODUCT((O$3:O$27&lt;&gt;"")*(P$3:P$27="")*(G$3:G$27=G24))+SUMPRODUCT((P$3:P$27&lt;&gt;"")*(G$3:G$27=G24))+SUMPRODUCT((N$3:N$27&lt;&gt;"")*(G$3:G$27=G24))+SUMPRODUCT((P$3:P$27="")*(O$3:O$27="")*(N$3:N$27="")*(M$3:M$27="P")*(G$3:G$27=G24)*(J$3:J$27&gt;J24))+IF(H24="L5",SUMPRODUCT((P$3:P$27="")*(O$3:O$27="")*(N$3:N$27="")*(M$3:M$27="P")*(G$3:G$27=G24)*(J$3:J$27&lt;J24)*(H$3:H$27&lt;&gt;H24)),-1*SUMPRODUCT((P$3:P$27="")*(O$3:O$27="")*(N$3:N$27="")*(M$3:M$27="P")*(G$3:G$27=G24)*(J$3:J$27&gt;J24)*(H$3:H$27="L5")))+1,""))))</f>
        <v/>
      </c>
      <c r="C24" s="35" t="s">
        <v>300</v>
      </c>
      <c r="D24" s="35" t="str">
        <f>IF(E24="","",VLOOKUP(E24,'Coaching Points'!A:B,2,0))</f>
        <v>ON</v>
      </c>
      <c r="E24" s="35" t="s">
        <v>138</v>
      </c>
      <c r="F24" s="34">
        <v>2011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13-14</v>
      </c>
      <c r="H24" s="36" t="s">
        <v>64</v>
      </c>
      <c r="I24" s="40"/>
      <c r="J24" s="4">
        <f>R24+IF(OR(H24="Junior",H24="Senior"),0.0002,IF(OR(H24="L7",H24="L6"),0.0001,0))+MAX(Z24,AC24)*0.0000001</f>
        <v>37.4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MAX(T24-V24,W24-Y24,Z24-AB24,AC24-AE24)</f>
        <v>37.4</v>
      </c>
      <c r="S24" s="4">
        <f>IF(R24=T24-V24,MAX(W24-Y24,Z24-AB24,AC24-AE24),IF(R24=W24-Y24,MAX(T24-V24,Z24-AB24,AC24-AE24),IF(R24=Z24-AB24,MAX(T24-V24,W24-Y24,AC24-AE24),IF(R24=AC24-AE24,MAX(T24-V24,W24-Y24,Z24-AB24),0))))</f>
        <v>36.4</v>
      </c>
      <c r="T24" s="32">
        <v>36.4</v>
      </c>
      <c r="U24" s="37">
        <v>5.3</v>
      </c>
      <c r="V24" s="37">
        <v>0</v>
      </c>
      <c r="W24" s="33">
        <v>37.4</v>
      </c>
      <c r="X24" s="37">
        <v>5.3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$27&lt;&gt;"")*(G$3:G$27=G25)*(J$3:J$27&gt;J25)*(I$3:I$27="P"))+1,IF(O25&lt;&gt;"",SUMPRODUCT((O$3:O$27&lt;&gt;"")*(P$3:P$27="")*(G$3:G$27=G25)*(J$3:J$27&gt;J25)*(I$3:I$27="P"))+SUMPRODUCT((P$3:P$27&lt;&gt;"")*(G$3:G$27=G25)*(I$3:I$27="P"))+1,IF(N25&lt;&gt;"",SUMPRODUCT((N$3:N$27&lt;&gt;"")*(G$3:G$27=G25)*(J$3:J$27&gt;J25)*(I$3:I$27="P"))+1,IF(M25="P",SUMPRODUCT((O$3:O$27&lt;&gt;"")*(P$3:P$27="")*(G$3:G$27=G25)*(I$3:I$27="P"))+SUMPRODUCT((P$3:P$27&lt;&gt;"")*(G$3:G$27=G25)*(I$3:I$27="P"))+SUMPRODUCT((N$3:N$27&lt;&gt;"")*(G$3:G$27=G25)*(I$3:I$27="P"))+SUMPRODUCT((P$3:P$27="")*(O$3:O$27="")*(N$3:N$27="")*(M$3:M$27="P")*(G$3:G$27=G25)*(J$3:J$27&gt;J25)*(I$3:I$27="P"))+IF(H25="L5",SUMPRODUCT((P$3:P$27="")*(O$3:O$27="")*(N$3:N$27="")*(M$3:M$27="P")*(G$3:G$27=G25)*(J$3:J$27&lt;J25)*(H$3:H$27&lt;&gt;H25)*(I$3:I$27="P")),-1*SUMPRODUCT((P$3:P$27="")*(O$3:O$27="")*(N$3:N$27="")*(M$3:M$27="P")*(G$3:G$27=G25)*(J$3:J$27&gt;J25)*(H$3:H$27="L5")*(I$3:I$27="P")))+1,"")))))</f>
        <v/>
      </c>
      <c r="B25" s="1" t="str" cm="1">
        <f t="array" ref="B25">IF(P25&lt;&gt;"",SUMPRODUCT((P$3:P$27&lt;&gt;"")*(G$3:G$27=G25)*(J$3:J$27&gt;J25))+1,IF(O25&lt;&gt;"",SUMPRODUCT((O$3:O$27&lt;&gt;"")*(P$3:P$27="")*(G$3:G$27=G25)*(J$3:J$27&gt;J25))+SUMPRODUCT((P$3:P$27&lt;&gt;"")*(G$3:G$27=G25))+1,IF(N25&lt;&gt;"",SUMPRODUCT((N$3:N$27&lt;&gt;"")*(G$3:G$27=G25)*(J$3:J$27&gt;J25))+1,IF(M25="P",SUMPRODUCT((O$3:O$27&lt;&gt;"")*(P$3:P$27="")*(G$3:G$27=G25))+SUMPRODUCT((P$3:P$27&lt;&gt;"")*(G$3:G$27=G25))+SUMPRODUCT((N$3:N$27&lt;&gt;"")*(G$3:G$27=G25))+SUMPRODUCT((P$3:P$27="")*(O$3:O$27="")*(N$3:N$27="")*(M$3:M$27="P")*(G$3:G$27=G25)*(J$3:J$27&gt;J25))+IF(H25="L5",SUMPRODUCT((P$3:P$27="")*(O$3:O$27="")*(N$3:N$27="")*(M$3:M$27="P")*(G$3:G$27=G25)*(J$3:J$27&lt;J25)*(H$3:H$27&lt;&gt;H25)),-1*SUMPRODUCT((P$3:P$27="")*(O$3:O$27="")*(N$3:N$27="")*(M$3:M$27="P")*(G$3:G$27=G25)*(J$3:J$27&gt;J25)*(H$3:H$27="L5")))+1,""))))</f>
        <v/>
      </c>
      <c r="C25" s="35" t="s">
        <v>222</v>
      </c>
      <c r="D25" s="35" t="str">
        <f>IF(E25="","",VLOOKUP(E25,'Coaching Points'!A:B,2,0))</f>
        <v>BC</v>
      </c>
      <c r="E25" s="35" t="s">
        <v>60</v>
      </c>
      <c r="F25" s="34">
        <v>2011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13-14</v>
      </c>
      <c r="H25" s="36" t="s">
        <v>64</v>
      </c>
      <c r="I25" s="40"/>
      <c r="J25" s="4">
        <f>R25+IF(OR(H25="Junior",H25="Senior"),0.0002,IF(OR(H25="L7",H25="L6"),0.0001,0))+MAX(Z25,AC25)*0.0000001</f>
        <v>34.4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34.4</v>
      </c>
      <c r="S25" s="4">
        <f>IF(R25=T25-V25,MAX(W25-Y25,Z25-AB25,AC25-AE25),IF(R25=W25-Y25,MAX(T25-V25,Z25-AB25,AC25-AE25),IF(R25=Z25-AB25,MAX(T25-V25,W25-Y25,AC25-AE25),IF(R25=AC25-AE25,MAX(T25-V25,W25-Y25,Z25-AB25),0))))</f>
        <v>34.4</v>
      </c>
      <c r="T25" s="32">
        <v>34.4</v>
      </c>
      <c r="U25" s="37">
        <v>4.5999999999999996</v>
      </c>
      <c r="V25" s="37">
        <v>0</v>
      </c>
      <c r="W25" s="33">
        <v>34.4</v>
      </c>
      <c r="X25" s="37">
        <v>4.5999999999999996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$27&lt;&gt;"")*(G$3:G$27=G26)*(J$3:J$27&gt;J26)*(I$3:I$27="P"))+1,IF(O26&lt;&gt;"",SUMPRODUCT((O$3:O$27&lt;&gt;"")*(P$3:P$27="")*(G$3:G$27=G26)*(J$3:J$27&gt;J26)*(I$3:I$27="P"))+SUMPRODUCT((P$3:P$27&lt;&gt;"")*(G$3:G$27=G26)*(I$3:I$27="P"))+1,IF(N26&lt;&gt;"",SUMPRODUCT((N$3:N$27&lt;&gt;"")*(G$3:G$27=G26)*(J$3:J$27&gt;J26)*(I$3:I$27="P"))+1,IF(M26="P",SUMPRODUCT((O$3:O$27&lt;&gt;"")*(P$3:P$27="")*(G$3:G$27=G26)*(I$3:I$27="P"))+SUMPRODUCT((P$3:P$27&lt;&gt;"")*(G$3:G$27=G26)*(I$3:I$27="P"))+SUMPRODUCT((N$3:N$27&lt;&gt;"")*(G$3:G$27=G26)*(I$3:I$27="P"))+SUMPRODUCT((P$3:P$27="")*(O$3:O$27="")*(N$3:N$27="")*(M$3:M$27="P")*(G$3:G$27=G26)*(J$3:J$27&gt;J26)*(I$3:I$27="P"))+IF(H26="L5",SUMPRODUCT((P$3:P$27="")*(O$3:O$27="")*(N$3:N$27="")*(M$3:M$27="P")*(G$3:G$27=G26)*(J$3:J$27&lt;J26)*(H$3:H$27&lt;&gt;H26)*(I$3:I$27="P")),-1*SUMPRODUCT((P$3:P$27="")*(O$3:O$27="")*(N$3:N$27="")*(M$3:M$27="P")*(G$3:G$27=G26)*(J$3:J$27&gt;J26)*(H$3:H$27="L5")*(I$3:I$27="P")))+1,"")))))</f>
        <v/>
      </c>
      <c r="B26" s="1" cm="1">
        <f t="array" ref="B26">IF(P26&lt;&gt;"",SUMPRODUCT((P$3:P$27&lt;&gt;"")*(G$3:G$27=G26)*(J$3:J$27&gt;J26))+1,IF(O26&lt;&gt;"",SUMPRODUCT((O$3:O$27&lt;&gt;"")*(P$3:P$27="")*(G$3:G$27=G26)*(J$3:J$27&gt;J26))+SUMPRODUCT((P$3:P$27&lt;&gt;"")*(G$3:G$27=G26))+1,IF(N26&lt;&gt;"",SUMPRODUCT((N$3:N$27&lt;&gt;"")*(G$3:G$27=G26)*(J$3:J$27&gt;J26))+1,IF(M26="P",SUMPRODUCT((O$3:O$27&lt;&gt;"")*(P$3:P$27="")*(G$3:G$27=G26))+SUMPRODUCT((P$3:P$27&lt;&gt;"")*(G$3:G$27=G26))+SUMPRODUCT((N$3:N$27&lt;&gt;"")*(G$3:G$27=G26))+SUMPRODUCT((P$3:P$27="")*(O$3:O$27="")*(N$3:N$27="")*(M$3:M$27="P")*(G$3:G$27=G26)*(J$3:J$27&gt;J26))+IF(H26="L5",SUMPRODUCT((P$3:P$27="")*(O$3:O$27="")*(N$3:N$27="")*(M$3:M$27="P")*(G$3:G$27=G26)*(J$3:J$27&lt;J26)*(H$3:H$27&lt;&gt;H26)),-1*SUMPRODUCT((P$3:P$27="")*(O$3:O$27="")*(N$3:N$27="")*(M$3:M$27="P")*(G$3:G$27=G26)*(J$3:J$27&gt;J26)*(H$3:H$27="L5")))+1,""))))</f>
        <v>1</v>
      </c>
      <c r="C26" s="35" t="s">
        <v>299</v>
      </c>
      <c r="D26" s="35" t="str">
        <f>IF(E26="","",VLOOKUP(E26,'Coaching Points'!A:B,2,0))</f>
        <v>BC</v>
      </c>
      <c r="E26" s="35" t="s">
        <v>60</v>
      </c>
      <c r="F26" s="34">
        <v>2012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11-12</v>
      </c>
      <c r="H26" s="36" t="s">
        <v>64</v>
      </c>
      <c r="I26" s="40"/>
      <c r="J26" s="4">
        <f>R26+IF(OR(H26="Junior",H26="Senior"),0.0002,IF(OR(H26="L7",H26="L6"),0.0001,0))+MAX(Z26,AC26)*0.0000001</f>
        <v>38.700000000000003</v>
      </c>
      <c r="K26" s="3" t="str">
        <f>IF(G26="Not Age Eligible","",IF(MAX(T26,W26,Z26,AC26)&gt;=LOOKUP(G26,'Qualifying Scores'!$A$4:$A$7,'Qualifying Scores'!$H$4:$H$7),"P",""))</f>
        <v>P</v>
      </c>
      <c r="L26" s="3" t="str">
        <f>IF(G26="Not Age Eligible","",IF(MAX(U26,X26,AA26,AD26)&gt;=LOOKUP(G26,'Qualifying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>P</v>
      </c>
      <c r="Q26" s="1" t="str">
        <f>IF(A26&lt;5,IF(_xlfn.MAXIFS(A:A,G:G,G26)&gt;3,5-A26,_xlfn.MAXIFS(A:A,G:G,G26)+1-A26),"")</f>
        <v/>
      </c>
      <c r="R26" s="4">
        <f>MAX(T26-V26,W26-Y26,Z26-AB26,AC26-AE26)</f>
        <v>38.700000000000003</v>
      </c>
      <c r="S26" s="4">
        <f>IF(R26=T26-V26,MAX(W26-Y26,Z26-AB26,AC26-AE26),IF(R26=W26-Y26,MAX(T26-V26,Z26-AB26,AC26-AE26),IF(R26=Z26-AB26,MAX(T26-V26,W26-Y26,AC26-AE26),IF(R26=AC26-AE26,MAX(T26-V26,W26-Y26,Z26-AB26),0))))</f>
        <v>38.4</v>
      </c>
      <c r="T26" s="32">
        <v>39.4</v>
      </c>
      <c r="U26" s="37">
        <v>6.5</v>
      </c>
      <c r="V26" s="37">
        <v>1</v>
      </c>
      <c r="W26" s="33">
        <v>39.700000000000003</v>
      </c>
      <c r="X26" s="37">
        <v>6.5</v>
      </c>
      <c r="Y26" s="37">
        <v>1</v>
      </c>
      <c r="Z26" s="32"/>
      <c r="AA26" s="37"/>
      <c r="AB26" s="37"/>
      <c r="AC26" s="33"/>
      <c r="AD26" s="37"/>
      <c r="AE26" s="37"/>
    </row>
    <row r="27" spans="1:31" x14ac:dyDescent="0.2">
      <c r="B27" s="1"/>
      <c r="G27" s="1"/>
      <c r="H27" s="36"/>
      <c r="I27" s="40"/>
      <c r="J27" s="4"/>
      <c r="K27" s="3"/>
      <c r="L27" s="3"/>
      <c r="R27" s="4"/>
      <c r="S27" s="4"/>
      <c r="T27" s="32"/>
      <c r="U27" s="37"/>
      <c r="V27" s="37"/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B28" s="1"/>
      <c r="G28" s="1"/>
      <c r="H28" s="36"/>
      <c r="I28" s="40"/>
      <c r="J28" s="4"/>
      <c r="K28" s="3"/>
      <c r="L28" s="3"/>
      <c r="R28" s="4"/>
      <c r="S28" s="4"/>
      <c r="T28" s="32"/>
      <c r="U28" s="37"/>
      <c r="V28" s="37"/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B29" s="1"/>
      <c r="G29" s="1"/>
      <c r="H29" s="36"/>
      <c r="I29" s="40"/>
      <c r="J29" s="4"/>
      <c r="K29" s="3"/>
      <c r="L29" s="3"/>
      <c r="R29" s="4"/>
      <c r="S29" s="4"/>
      <c r="T29" s="32"/>
      <c r="U29" s="37"/>
      <c r="V29" s="37"/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B30" s="1"/>
      <c r="G30" s="1"/>
      <c r="H30" s="36"/>
      <c r="I30" s="40"/>
      <c r="J30" s="4"/>
      <c r="K30" s="3"/>
      <c r="L30" s="3"/>
      <c r="R30" s="4"/>
      <c r="S30" s="4"/>
      <c r="T30" s="32"/>
      <c r="U30" s="37"/>
      <c r="V30" s="37"/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B31" s="1"/>
      <c r="G31" s="1"/>
      <c r="H31" s="36"/>
      <c r="I31" s="40"/>
      <c r="J31" s="4"/>
      <c r="K31" s="3"/>
      <c r="L31" s="3"/>
      <c r="R31" s="4"/>
      <c r="S31" s="4"/>
      <c r="T31" s="32"/>
      <c r="U31" s="37"/>
      <c r="V31" s="37"/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B32" s="1"/>
      <c r="G32" s="1"/>
      <c r="H32" s="36"/>
      <c r="I32" s="40"/>
      <c r="J32" s="4"/>
      <c r="K32" s="3"/>
      <c r="L32" s="3"/>
      <c r="R32" s="4"/>
      <c r="S32" s="4"/>
      <c r="T32" s="32"/>
      <c r="U32" s="37"/>
      <c r="V32" s="37"/>
      <c r="W32" s="33"/>
      <c r="X32" s="37"/>
      <c r="Y32" s="37"/>
      <c r="Z32" s="32"/>
      <c r="AA32" s="37"/>
      <c r="AB32" s="37"/>
      <c r="AC32" s="33"/>
      <c r="AD32" s="37"/>
      <c r="AE32" s="37"/>
    </row>
    <row r="33" spans="2:31" x14ac:dyDescent="0.2">
      <c r="B33" s="1"/>
      <c r="G33" s="1"/>
      <c r="H33" s="36"/>
      <c r="I33" s="40"/>
      <c r="J33" s="4"/>
      <c r="K33" s="3"/>
      <c r="L33" s="3"/>
      <c r="R33" s="4"/>
      <c r="S33" s="4"/>
      <c r="T33" s="32"/>
      <c r="U33" s="37"/>
      <c r="V33" s="37"/>
      <c r="W33" s="33"/>
      <c r="X33" s="37"/>
      <c r="Y33" s="37"/>
      <c r="Z33" s="32"/>
      <c r="AA33" s="37"/>
      <c r="AB33" s="37"/>
      <c r="AC33" s="33"/>
      <c r="AD33" s="37"/>
      <c r="AE33" s="37"/>
    </row>
    <row r="34" spans="2:31" x14ac:dyDescent="0.2">
      <c r="B34" s="1"/>
      <c r="G34" s="1"/>
      <c r="H34" s="36"/>
      <c r="I34" s="40"/>
      <c r="J34" s="4"/>
      <c r="K34" s="3"/>
      <c r="L34" s="3"/>
      <c r="R34" s="4"/>
      <c r="S34" s="4"/>
      <c r="T34" s="32"/>
      <c r="U34" s="37"/>
      <c r="V34" s="37"/>
      <c r="W34" s="33"/>
      <c r="X34" s="37"/>
      <c r="Y34" s="37"/>
      <c r="Z34" s="32"/>
      <c r="AA34" s="37"/>
      <c r="AB34" s="37"/>
      <c r="AC34" s="33"/>
      <c r="AD34" s="37"/>
      <c r="AE34" s="37"/>
    </row>
    <row r="35" spans="2:31" x14ac:dyDescent="0.2">
      <c r="B35" s="1"/>
      <c r="G35" s="1"/>
      <c r="H35" s="36"/>
      <c r="I35" s="40"/>
      <c r="J35" s="4"/>
      <c r="K35" s="3"/>
      <c r="L35" s="3"/>
      <c r="R35" s="4"/>
      <c r="S35" s="4"/>
      <c r="T35" s="32"/>
      <c r="U35" s="37"/>
      <c r="V35" s="37"/>
      <c r="W35" s="33"/>
      <c r="X35" s="37"/>
      <c r="Y35" s="37"/>
      <c r="Z35" s="32"/>
      <c r="AA35" s="37"/>
      <c r="AB35" s="37"/>
      <c r="AC35" s="33"/>
      <c r="AD35" s="37"/>
      <c r="AE35" s="37"/>
    </row>
    <row r="36" spans="2:31" x14ac:dyDescent="0.2">
      <c r="B36" s="1"/>
      <c r="G36" s="1"/>
      <c r="H36" s="36"/>
      <c r="I36" s="40"/>
      <c r="J36" s="4"/>
      <c r="K36" s="3"/>
      <c r="L36" s="3"/>
      <c r="R36" s="4"/>
      <c r="S36" s="4"/>
      <c r="T36" s="32"/>
      <c r="U36" s="37"/>
      <c r="V36" s="37"/>
      <c r="W36" s="33"/>
      <c r="X36" s="37"/>
      <c r="Y36" s="37"/>
      <c r="Z36" s="32"/>
      <c r="AA36" s="37"/>
      <c r="AB36" s="37"/>
      <c r="AC36" s="33"/>
      <c r="AD36" s="37"/>
      <c r="AE36" s="37"/>
    </row>
    <row r="37" spans="2:31" x14ac:dyDescent="0.2">
      <c r="B37" s="1"/>
      <c r="G37" s="1"/>
      <c r="H37" s="36"/>
      <c r="I37" s="40"/>
      <c r="J37" s="4"/>
      <c r="K37" s="3"/>
      <c r="L37" s="3"/>
      <c r="R37" s="4"/>
      <c r="S37" s="4"/>
      <c r="T37" s="32"/>
      <c r="U37" s="37"/>
      <c r="V37" s="37"/>
      <c r="W37" s="33"/>
      <c r="X37" s="37"/>
      <c r="Y37" s="37"/>
      <c r="Z37" s="32"/>
      <c r="AA37" s="37"/>
      <c r="AB37" s="37"/>
      <c r="AC37" s="33"/>
      <c r="AD37" s="37"/>
      <c r="AE37" s="37"/>
    </row>
    <row r="38" spans="2:31" x14ac:dyDescent="0.2">
      <c r="B38" s="1"/>
      <c r="G38" s="1"/>
      <c r="H38" s="36"/>
      <c r="I38" s="40"/>
      <c r="J38" s="4"/>
      <c r="K38" s="3"/>
      <c r="L38" s="3"/>
      <c r="R38" s="4"/>
      <c r="S38" s="4"/>
      <c r="T38" s="32"/>
      <c r="U38" s="37"/>
      <c r="V38" s="37"/>
      <c r="W38" s="33"/>
      <c r="X38" s="37"/>
      <c r="Y38" s="37"/>
      <c r="Z38" s="32"/>
      <c r="AA38" s="37"/>
      <c r="AB38" s="37"/>
      <c r="AC38" s="33"/>
      <c r="AD38" s="37"/>
      <c r="AE38" s="37"/>
    </row>
    <row r="39" spans="2:31" x14ac:dyDescent="0.2">
      <c r="R39" s="4"/>
      <c r="S39" s="4"/>
      <c r="T39" s="32"/>
      <c r="U39" s="37"/>
      <c r="V39" s="37"/>
      <c r="W39" s="33"/>
      <c r="X39" s="37"/>
      <c r="Y39" s="37"/>
      <c r="Z39" s="32"/>
      <c r="AA39" s="37"/>
      <c r="AB39" s="37"/>
      <c r="AC39" s="33"/>
      <c r="AD39" s="37"/>
      <c r="AE39" s="37"/>
    </row>
    <row r="40" spans="2:31" x14ac:dyDescent="0.2">
      <c r="R40" s="4"/>
      <c r="S40" s="4"/>
      <c r="T40" s="32"/>
      <c r="U40" s="37"/>
      <c r="V40" s="37"/>
      <c r="W40" s="33"/>
      <c r="X40" s="37"/>
      <c r="Y40" s="37"/>
      <c r="Z40" s="32"/>
      <c r="AA40" s="37"/>
      <c r="AB40" s="37"/>
      <c r="AC40" s="33"/>
      <c r="AD40" s="37"/>
      <c r="AE40" s="37"/>
    </row>
    <row r="41" spans="2:31" x14ac:dyDescent="0.2">
      <c r="R41" s="4"/>
      <c r="S41" s="4"/>
      <c r="T41" s="32"/>
      <c r="U41" s="37"/>
      <c r="V41" s="37"/>
      <c r="W41" s="33"/>
      <c r="X41" s="37"/>
      <c r="Y41" s="37"/>
      <c r="Z41" s="32"/>
      <c r="AA41" s="37"/>
      <c r="AB41" s="37"/>
      <c r="AC41" s="33"/>
      <c r="AD41" s="37"/>
      <c r="AE41" s="37"/>
    </row>
  </sheetData>
  <sheetProtection sheet="1" formatCells="0" formatColumns="0" formatRows="0"/>
  <autoFilter ref="A1:AE26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26">
      <sortCondition descending="1" ref="G1:G27"/>
    </sortState>
  </autoFilter>
  <mergeCells count="21">
    <mergeCell ref="P1:P2"/>
    <mergeCell ref="R1:R2"/>
    <mergeCell ref="S1:S2"/>
    <mergeCell ref="Z1:AE1"/>
    <mergeCell ref="T1:Y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55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146</v>
      </c>
      <c r="D3" s="35" t="str">
        <f>IF(E3="","",VLOOKUP(E3,'Coaching Points'!A:B,2,0))</f>
        <v>BC</v>
      </c>
      <c r="E3" s="35" t="s">
        <v>70</v>
      </c>
      <c r="F3" s="34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43.800199999999997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MAX(T3-V3,W3-Y3,Z3-AB3,AC3-AE3)</f>
        <v>43.8</v>
      </c>
      <c r="S3" s="4">
        <f>IF(R3=T3-V3,MAX(W3-Y3,Z3-AB3,AC3-AE3),IF(R3=W3-Y3,MAX(T3-V3,Z3-AB3,AC3-AE3),IF(R3=Z3-AB3,MAX(T3-V3,W3-Y3,AC3-AE3),IF(R3=AC3-AE3,MAX(T3-V3,W3-Y3,Z3-AB3),0))))</f>
        <v>43.3</v>
      </c>
      <c r="T3" s="32">
        <v>45</v>
      </c>
      <c r="U3" s="37">
        <v>10.199999999999999</v>
      </c>
      <c r="V3" s="37">
        <v>1.2</v>
      </c>
      <c r="W3" s="33">
        <v>44.5</v>
      </c>
      <c r="X3" s="37">
        <v>10.199999999999999</v>
      </c>
      <c r="Y3" s="37">
        <v>1.2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129</v>
      </c>
      <c r="D4" s="35" t="str">
        <f>IF(E4="","",VLOOKUP(E4,'Coaching Points'!A:B,2,0))</f>
        <v>BC</v>
      </c>
      <c r="E4" s="35" t="s">
        <v>40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40.900199999999998</v>
      </c>
      <c r="K4" s="3" t="str">
        <f>IF(G4="Not Age Eligible","",IF(MAX(T4,W4,Z4,AC4)&gt;=LOOKUP(G4,'Qualifying Scores'!$A$4:$A$7,'Qualifying Scores'!$I$4:$I$7),"P",""))</f>
        <v/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/>
      </c>
      <c r="P4" s="36">
        <v>5</v>
      </c>
      <c r="Q4" s="1" t="str">
        <f>IF(A4&lt;5,IF(_xlfn.MAXIFS(A:A,G:G,G4)&gt;3,5-A4,_xlfn.MAXIFS(A:A,G:G,G4)+1-A4),"")</f>
        <v/>
      </c>
      <c r="R4" s="4">
        <f>MAX(T4-V4,W4-Y4,Z4-AB4,AC4-AE4)</f>
        <v>40.9</v>
      </c>
      <c r="S4" s="4">
        <f>IF(R4=T4-V4,MAX(W4-Y4,Z4-AB4,AC4-AE4),IF(R4=W4-Y4,MAX(T4-V4,Z4-AB4,AC4-AE4),IF(R4=Z4-AB4,MAX(T4-V4,W4-Y4,AC4-AE4),IF(R4=AC4-AE4,MAX(T4-V4,W4-Y4,Z4-AB4),0))))</f>
        <v>0</v>
      </c>
      <c r="T4" s="32">
        <v>41.5</v>
      </c>
      <c r="U4" s="37">
        <v>8.4</v>
      </c>
      <c r="V4" s="37">
        <v>0.6</v>
      </c>
      <c r="W4" s="33"/>
      <c r="X4" s="37"/>
      <c r="Y4" s="37"/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193</v>
      </c>
      <c r="D5" s="35" t="str">
        <f>IF(E5="","",VLOOKUP(E5,'Coaching Points'!A:B,2,0))</f>
        <v>AB</v>
      </c>
      <c r="E5" s="35" t="s">
        <v>28</v>
      </c>
      <c r="F5" s="34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40.800199999999997</v>
      </c>
      <c r="K5" s="3" t="str">
        <f>IF(G5="Not Age Eligible","",IF(MAX(T5,W5,Z5,AC5)&gt;=LOOKUP(G5,'Qualifying Scores'!$A$4:$A$7,'Qualifying Scores'!$I$4:$I$7),"P",""))</f>
        <v/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/>
      </c>
      <c r="P5" s="36">
        <v>4</v>
      </c>
      <c r="Q5" s="1" t="str">
        <f>IF(A5&lt;5,IF(_xlfn.MAXIFS(A:A,G:G,G5)&gt;3,5-A5,_xlfn.MAXIFS(A:A,G:G,G5)+1-A5),"")</f>
        <v/>
      </c>
      <c r="R5" s="4">
        <f>MAX(T5-V5,W5-Y5,Z5-AB5,AC5-AE5)</f>
        <v>40.799999999999997</v>
      </c>
      <c r="S5" s="4">
        <f>IF(R5=T5-V5,MAX(W5-Y5,Z5-AB5,AC5-AE5),IF(R5=W5-Y5,MAX(T5-V5,Z5-AB5,AC5-AE5),IF(R5=Z5-AB5,MAX(T5-V5,W5-Y5,AC5-AE5),IF(R5=AC5-AE5,MAX(T5-V5,W5-Y5,Z5-AB5),0))))</f>
        <v>36.5</v>
      </c>
      <c r="T5" s="32">
        <v>37.1</v>
      </c>
      <c r="U5" s="37">
        <v>5.3</v>
      </c>
      <c r="V5" s="37">
        <v>0.6</v>
      </c>
      <c r="W5" s="33">
        <v>41.4</v>
      </c>
      <c r="X5" s="37">
        <v>8</v>
      </c>
      <c r="Y5" s="37">
        <v>0.6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393</v>
      </c>
      <c r="D6" s="35" t="str">
        <f>IF(E6="","",VLOOKUP(E6,'Coaching Points'!A:B,2,0))</f>
        <v>AB</v>
      </c>
      <c r="E6" s="35" t="s">
        <v>56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2.0000000000000001E-4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/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2</v>
      </c>
      <c r="Q6" s="1" t="str">
        <f>IF(A6&lt;5,IF(_xlfn.MAXIFS(A:A,G:G,G6)&gt;3,5-A6,_xlfn.MAXIFS(A:A,G:G,G6)+1-A6),"")</f>
        <v/>
      </c>
      <c r="R6" s="4">
        <f>MAX(T6-V6,W6-Y6,Z6-AB6,AC6-AE6)</f>
        <v>0</v>
      </c>
      <c r="S6" s="4">
        <f>IF(R6=T6-V6,MAX(W6-Y6,Z6-AB6,AC6-AE6),IF(R6=W6-Y6,MAX(T6-V6,Z6-AB6,AC6-AE6),IF(R6=Z6-AB6,MAX(T6-V6,W6-Y6,AC6-AE6),IF(R6=AC6-AE6,MAX(T6-V6,W6-Y6,Z6-AB6),0))))</f>
        <v>0</v>
      </c>
      <c r="T6" s="32"/>
      <c r="U6" s="37"/>
      <c r="V6" s="37"/>
      <c r="W6" s="33"/>
      <c r="X6" s="37"/>
      <c r="Y6" s="37"/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231</v>
      </c>
      <c r="D7" s="35" t="str">
        <f>IF(E7="","",VLOOKUP(E7,'Coaching Points'!A:B,2,0))</f>
        <v>AB</v>
      </c>
      <c r="E7" s="35" t="s">
        <v>61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R7+IF(OR(H7="Junior",H7="Senior"),0.0002,IF(OR(H7="L7",H7="L6"),0.0001,0))+MAX(Z7,AC7)*0.0000001</f>
        <v>41.700199999999995</v>
      </c>
      <c r="K7" s="3" t="str">
        <f>IF(G7="Not Age Eligible","",IF(MAX(T7,W7,Z7,AC7)&gt;=LOOKUP(G7,'Qualifying Scores'!$A$4:$A$7,'Qualifying Scores'!$I$4:$I$7),"P",""))</f>
        <v>P</v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>P</v>
      </c>
      <c r="O7" s="36">
        <v>2</v>
      </c>
      <c r="Q7" s="1" t="str">
        <f>IF(A7&lt;5,IF(_xlfn.MAXIFS(A:A,G:G,G7)&gt;3,5-A7,_xlfn.MAXIFS(A:A,G:G,G7)+1-A7),"")</f>
        <v/>
      </c>
      <c r="R7" s="4">
        <f>MAX(T7-V7,W7-Y7,Z7-AB7,AC7-AE7)</f>
        <v>41.699999999999996</v>
      </c>
      <c r="S7" s="4">
        <f>IF(R7=T7-V7,MAX(W7-Y7,Z7-AB7,AC7-AE7),IF(R7=W7-Y7,MAX(T7-V7,Z7-AB7,AC7-AE7),IF(R7=Z7-AB7,MAX(T7-V7,W7-Y7,AC7-AE7),IF(R7=AC7-AE7,MAX(T7-V7,W7-Y7,Z7-AB7),0))))</f>
        <v>37.299999999999997</v>
      </c>
      <c r="T7" s="32">
        <v>42.3</v>
      </c>
      <c r="U7" s="37">
        <v>8.6</v>
      </c>
      <c r="V7" s="37">
        <v>0.6</v>
      </c>
      <c r="W7" s="33">
        <v>37.9</v>
      </c>
      <c r="X7" s="37">
        <v>5.8</v>
      </c>
      <c r="Y7" s="37">
        <v>0.6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144</v>
      </c>
      <c r="D8" s="35" t="str">
        <f>IF(E8="","",VLOOKUP(E8,'Coaching Points'!A:B,2,0))</f>
        <v>QC</v>
      </c>
      <c r="E8" s="35" t="s">
        <v>156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>R8+IF(OR(H8="Junior",H8="Senior"),0.0002,IF(OR(H8="L7",H8="L6"),0.0001,0))+MAX(Z8,AC8)*0.0000001</f>
        <v>41.700099999999999</v>
      </c>
      <c r="K8" s="3" t="str">
        <f>IF(G8="Not Age Eligible","",IF(MAX(T8,W8,Z8,AC8)&gt;=LOOKUP(G8,'Qualifying Scores'!$A$4:$A$7,'Qualifying Scores'!$I$4:$I$7),"P",""))</f>
        <v>P</v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>P</v>
      </c>
      <c r="O8" s="36">
        <v>4</v>
      </c>
      <c r="Q8" s="1" t="str">
        <f>IF(A8&lt;5,IF(_xlfn.MAXIFS(A:A,G:G,G8)&gt;3,5-A8,_xlfn.MAXIFS(A:A,G:G,G8)+1-A8),"")</f>
        <v/>
      </c>
      <c r="R8" s="4">
        <f>MAX(T8-V8,W8-Y8,Z8-AB8,AC8-AE8)</f>
        <v>41.699999999999996</v>
      </c>
      <c r="S8" s="4">
        <f>IF(R8=T8-V8,MAX(W8-Y8,Z8-AB8,AC8-AE8),IF(R8=W8-Y8,MAX(T8-V8,Z8-AB8,AC8-AE8),IF(R8=Z8-AB8,MAX(T8-V8,W8-Y8,AC8-AE8),IF(R8=AC8-AE8,MAX(T8-V8,W8-Y8,Z8-AB8),0))))</f>
        <v>39.300000000000004</v>
      </c>
      <c r="T8" s="32">
        <v>40.200000000000003</v>
      </c>
      <c r="U8" s="37">
        <v>7.8</v>
      </c>
      <c r="V8" s="37">
        <v>0.89999999999999991</v>
      </c>
      <c r="W8" s="33">
        <v>42.9</v>
      </c>
      <c r="X8" s="37">
        <v>8.5</v>
      </c>
      <c r="Y8" s="37">
        <v>1.2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239</v>
      </c>
      <c r="D9" s="35" t="str">
        <f>IF(E9="","",VLOOKUP(E9,'Coaching Points'!A:B,2,0))</f>
        <v>ON</v>
      </c>
      <c r="E9" s="35" t="s">
        <v>131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72</v>
      </c>
      <c r="I9" s="40"/>
      <c r="J9" s="4">
        <f>R9+IF(OR(H9="Junior",H9="Senior"),0.0002,IF(OR(H9="L7",H9="L6"),0.0001,0))+MAX(Z9,AC9)*0.0000001</f>
        <v>39.5002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/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O9" s="36">
        <v>3</v>
      </c>
      <c r="Q9" s="1" t="str">
        <f>IF(A9&lt;5,IF(_xlfn.MAXIFS(A:A,G:G,G9)&gt;3,5-A9,_xlfn.MAXIFS(A:A,G:G,G9)+1-A9),"")</f>
        <v/>
      </c>
      <c r="R9" s="4">
        <f>MAX(T9-V9,W9-Y9,Z9-AB9,AC9-AE9)</f>
        <v>39.5</v>
      </c>
      <c r="S9" s="4">
        <f>IF(R9=T9-V9,MAX(W9-Y9,Z9-AB9,AC9-AE9),IF(R9=W9-Y9,MAX(T9-V9,Z9-AB9,AC9-AE9),IF(R9=Z9-AB9,MAX(T9-V9,W9-Y9,AC9-AE9),IF(R9=AC9-AE9,MAX(T9-V9,W9-Y9,Z9-AB9),0))))</f>
        <v>39</v>
      </c>
      <c r="T9" s="32">
        <v>39.6</v>
      </c>
      <c r="U9" s="37">
        <v>5.8</v>
      </c>
      <c r="V9" s="37">
        <v>0.6</v>
      </c>
      <c r="W9" s="33">
        <v>40.700000000000003</v>
      </c>
      <c r="X9" s="37">
        <v>7.1999999999999993</v>
      </c>
      <c r="Y9" s="37">
        <v>1.2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392</v>
      </c>
      <c r="D10" s="35" t="str">
        <f>IF(E10="","",VLOOKUP(E10,'Coaching Points'!A:B,2,0))</f>
        <v>ON</v>
      </c>
      <c r="E10" s="35" t="s">
        <v>133</v>
      </c>
      <c r="F10" s="34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72</v>
      </c>
      <c r="I10" s="40"/>
      <c r="J10" s="4">
        <f>R10+IF(OR(H10="Junior",H10="Senior"),0.0002,IF(OR(H10="L7",H10="L6"),0.0001,0))+MAX(Z10,AC10)*0.0000001</f>
        <v>2.0000000000000001E-4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/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O10" s="36">
        <v>1</v>
      </c>
      <c r="Q10" s="1" t="str">
        <f>IF(A10&lt;5,IF(_xlfn.MAXIFS(A:A,G:G,G10)&gt;3,5-A10,_xlfn.MAXIFS(A:A,G:G,G10)+1-A10),"")</f>
        <v/>
      </c>
      <c r="R10" s="4">
        <f>MAX(T10-V10,W10-Y10,Z10-AB10,AC10-AE10)</f>
        <v>0</v>
      </c>
      <c r="S10" s="4">
        <f>IF(R10=T10-V10,MAX(W10-Y10,Z10-AB10,AC10-AE10),IF(R10=W10-Y10,MAX(T10-V10,Z10-AB10,AC10-AE10),IF(R10=Z10-AB10,MAX(T10-V10,W10-Y10,AC10-AE10),IF(R10=AC10-AE10,MAX(T10-V10,W10-Y10,Z10-AB10),0))))</f>
        <v>0</v>
      </c>
      <c r="T10" s="32"/>
      <c r="U10" s="37"/>
      <c r="V10" s="37"/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370</v>
      </c>
      <c r="D11" s="35" t="str">
        <f>IF(E11="","",VLOOKUP(E11,'Coaching Points'!A:B,2,0))</f>
        <v>QC</v>
      </c>
      <c r="E11" s="35" t="s">
        <v>3</v>
      </c>
      <c r="F11" s="34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R11+IF(OR(H11="Junior",H11="Senior"),0.0002,IF(OR(H11="L7",H11="L6"),0.0001,0))+MAX(Z11,AC11)*0.0000001</f>
        <v>42.3001</v>
      </c>
      <c r="K11" s="3" t="str">
        <f>IF(G11="Not Age Eligible","",IF(MAX(T11,W11,Z11,AC11)&gt;=LOOKUP(G11,'Qualifying Scores'!$A$4:$A$7,'Qualifying Scores'!$I$4:$I$7),"P",""))</f>
        <v>P</v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>P</v>
      </c>
      <c r="Q11" s="1" t="str">
        <f>IF(A11&lt;5,IF(_xlfn.MAXIFS(A:A,G:G,G11)&gt;3,5-A11,_xlfn.MAXIFS(A:A,G:G,G11)+1-A11),"")</f>
        <v/>
      </c>
      <c r="R11" s="4">
        <f>MAX(T11-V11,W11-Y11,Z11-AB11,AC11-AE11)</f>
        <v>42.3</v>
      </c>
      <c r="S11" s="4">
        <f>IF(R11=T11-V11,MAX(W11-Y11,Z11-AB11,AC11-AE11),IF(R11=W11-Y11,MAX(T11-V11,Z11-AB11,AC11-AE11),IF(R11=Z11-AB11,MAX(T11-V11,W11-Y11,AC11-AE11),IF(R11=AC11-AE11,MAX(T11-V11,W11-Y11,Z11-AB11),0))))</f>
        <v>42.199999999999996</v>
      </c>
      <c r="T11" s="32">
        <v>42.8</v>
      </c>
      <c r="U11" s="37">
        <v>8</v>
      </c>
      <c r="V11" s="37">
        <v>0.6</v>
      </c>
      <c r="W11" s="33">
        <v>42.9</v>
      </c>
      <c r="X11" s="37">
        <v>8</v>
      </c>
      <c r="Y11" s="37">
        <v>0.6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/>
      </c>
      <c r="C12" s="35" t="s">
        <v>139</v>
      </c>
      <c r="D12" s="35" t="str">
        <f>IF(E12="","",VLOOKUP(E12,'Coaching Points'!A:B,2,0))</f>
        <v>ON</v>
      </c>
      <c r="E12" s="35" t="s">
        <v>45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R12+IF(OR(H12="Junior",H12="Senior"),0.0002,IF(OR(H12="L7",H12="L6"),0.0001,0))+MAX(Z12,AC12)*0.0000001</f>
        <v>41.500100000000003</v>
      </c>
      <c r="K12" s="3" t="str">
        <f>IF(G12="Not Age Eligible","",IF(MAX(T12,W12,Z12,AC12)&gt;=LOOKUP(G12,'Qualifying Scores'!$A$4:$A$7,'Qualifying Scores'!$I$4:$I$7),"P",""))</f>
        <v>P</v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MAX(T12-V12,W12-Y12,Z12-AB12,AC12-AE12)</f>
        <v>41.5</v>
      </c>
      <c r="S12" s="4">
        <f>IF(R12=T12-V12,MAX(W12-Y12,Z12-AB12,AC12-AE12),IF(R12=W12-Y12,MAX(T12-V12,Z12-AB12,AC12-AE12),IF(R12=Z12-AB12,MAX(T12-V12,W12-Y12,AC12-AE12),IF(R12=AC12-AE12,MAX(T12-V12,W12-Y12,Z12-AB12),0))))</f>
        <v>38.099999999999994</v>
      </c>
      <c r="T12" s="32">
        <v>39.299999999999997</v>
      </c>
      <c r="U12" s="37">
        <v>7.4</v>
      </c>
      <c r="V12" s="37">
        <v>1.2</v>
      </c>
      <c r="W12" s="33">
        <v>42.7</v>
      </c>
      <c r="X12" s="37">
        <v>7.4</v>
      </c>
      <c r="Y12" s="37">
        <v>1.2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/>
      </c>
      <c r="C13" s="35" t="s">
        <v>235</v>
      </c>
      <c r="D13" s="35" t="str">
        <f>IF(E13="","",VLOOKUP(E13,'Coaching Points'!A:B,2,0))</f>
        <v>ON</v>
      </c>
      <c r="E13" s="35" t="s">
        <v>131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64</v>
      </c>
      <c r="I13" s="40"/>
      <c r="J13" s="4">
        <f>R13+IF(OR(H13="Junior",H13="Senior"),0.0002,IF(OR(H13="L7",H13="L6"),0.0001,0))+MAX(Z13,AC13)*0.0000001</f>
        <v>40.82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MAX(T13-V13,W13-Y13,Z13-AB13,AC13-AE13)</f>
        <v>40.82</v>
      </c>
      <c r="S13" s="4">
        <f>IF(R13=T13-V13,MAX(W13-Y13,Z13-AB13,AC13-AE13),IF(R13=W13-Y13,MAX(T13-V13,Z13-AB13,AC13-AE13),IF(R13=Z13-AB13,MAX(T13-V13,W13-Y13,AC13-AE13),IF(R13=AC13-AE13,MAX(T13-V13,W13-Y13,Z13-AB13),0))))</f>
        <v>40.200000000000003</v>
      </c>
      <c r="T13" s="32">
        <v>40.200000000000003</v>
      </c>
      <c r="U13" s="37">
        <v>4.4000000000000004</v>
      </c>
      <c r="V13" s="37">
        <v>0</v>
      </c>
      <c r="W13" s="33">
        <v>40.82</v>
      </c>
      <c r="X13" s="37">
        <v>4.4000000000000004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/>
      </c>
      <c r="C14" s="35" t="s">
        <v>378</v>
      </c>
      <c r="D14" s="35" t="str">
        <f>IF(E14="","",VLOOKUP(E14,'Coaching Points'!A:B,2,0))</f>
        <v>ON</v>
      </c>
      <c r="E14" s="35" t="s">
        <v>45</v>
      </c>
      <c r="F14" s="34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64</v>
      </c>
      <c r="I14" s="40"/>
      <c r="J14" s="4">
        <f>R14+IF(OR(H14="Junior",H14="Senior"),0.0002,IF(OR(H14="L7",H14="L6"),0.0001,0))+MAX(Z14,AC14)*0.0000001</f>
        <v>40.200000000000003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MAX(T14-V14,W14-Y14,Z14-AB14,AC14-AE14)</f>
        <v>40.200000000000003</v>
      </c>
      <c r="S14" s="4">
        <f>IF(R14=T14-V14,MAX(W14-Y14,Z14-AB14,AC14-AE14),IF(R14=W14-Y14,MAX(T14-V14,Z14-AB14,AC14-AE14),IF(R14=Z14-AB14,MAX(T14-V14,W14-Y14,AC14-AE14),IF(R14=AC14-AE14,MAX(T14-V14,W14-Y14,Z14-AB14),0))))</f>
        <v>39.299999999999997</v>
      </c>
      <c r="T14" s="32">
        <v>39.299999999999997</v>
      </c>
      <c r="U14" s="37">
        <v>4.4000000000000004</v>
      </c>
      <c r="V14" s="37">
        <v>0</v>
      </c>
      <c r="W14" s="33">
        <v>40.200000000000003</v>
      </c>
      <c r="X14" s="37">
        <v>4.4000000000000004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/>
      </c>
      <c r="C15" s="35" t="s">
        <v>379</v>
      </c>
      <c r="D15" s="35" t="str">
        <f>IF(E15="","",VLOOKUP(E15,'Coaching Points'!A:B,2,0))</f>
        <v>ON</v>
      </c>
      <c r="E15" s="35" t="s">
        <v>383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>R15+IF(OR(H15="Junior",H15="Senior"),0.0002,IF(OR(H15="L7",H15="L6"),0.0001,0))+MAX(Z15,AC15)*0.0000001</f>
        <v>40.1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MAX(T15-V15,W15-Y15,Z15-AB15,AC15-AE15)</f>
        <v>40.1</v>
      </c>
      <c r="S15" s="4">
        <f>IF(R15=T15-V15,MAX(W15-Y15,Z15-AB15,AC15-AE15),IF(R15=W15-Y15,MAX(T15-V15,Z15-AB15,AC15-AE15),IF(R15=Z15-AB15,MAX(T15-V15,W15-Y15,AC15-AE15),IF(R15=AC15-AE15,MAX(T15-V15,W15-Y15,Z15-AB15),0))))</f>
        <v>39.5</v>
      </c>
      <c r="T15" s="32">
        <v>39.5</v>
      </c>
      <c r="U15" s="37">
        <v>4.4000000000000004</v>
      </c>
      <c r="V15" s="37">
        <v>0</v>
      </c>
      <c r="W15" s="33">
        <v>40.1</v>
      </c>
      <c r="X15" s="37">
        <v>4.4000000000000004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/>
      </c>
      <c r="C16" s="35" t="s">
        <v>309</v>
      </c>
      <c r="D16" s="35" t="str">
        <f>IF(E16="","",VLOOKUP(E16,'Coaching Points'!A:B,2,0))</f>
        <v>ON</v>
      </c>
      <c r="E16" s="35" t="s">
        <v>131</v>
      </c>
      <c r="F16" s="34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>R16+IF(OR(H16="Junior",H16="Senior"),0.0002,IF(OR(H16="L7",H16="L6"),0.0001,0))+MAX(Z16,AC16)*0.0000001</f>
        <v>39.900100000000002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MAX(T16-V16,W16-Y16,Z16-AB16,AC16-AE16)</f>
        <v>39.9</v>
      </c>
      <c r="S16" s="4">
        <f>IF(R16=T16-V16,MAX(W16-Y16,Z16-AB16,AC16-AE16),IF(R16=W16-Y16,MAX(T16-V16,Z16-AB16,AC16-AE16),IF(R16=Z16-AB16,MAX(T16-V16,W16-Y16,AC16-AE16),IF(R16=AC16-AE16,MAX(T16-V16,W16-Y16,Z16-AB16),0))))</f>
        <v>37.9</v>
      </c>
      <c r="T16" s="32">
        <v>38.5</v>
      </c>
      <c r="U16" s="37">
        <v>5.8</v>
      </c>
      <c r="V16" s="37">
        <v>0.6</v>
      </c>
      <c r="W16" s="33">
        <v>40.799999999999997</v>
      </c>
      <c r="X16" s="37">
        <v>6.5</v>
      </c>
      <c r="Y16" s="37">
        <v>0.89999999999999991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290</v>
      </c>
      <c r="D17" s="35" t="str">
        <f>IF(E17="","",VLOOKUP(E17,'Coaching Points'!A:B,2,0))</f>
        <v>SK</v>
      </c>
      <c r="E17" s="35" t="s">
        <v>329</v>
      </c>
      <c r="F17" s="34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>R17+IF(OR(H17="Junior",H17="Senior"),0.0002,IF(OR(H17="L7",H17="L6"),0.0001,0))+MAX(Z17,AC17)*0.0000001</f>
        <v>39.700000000000003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MAX(T17-V17,W17-Y17,Z17-AB17,AC17-AE17)</f>
        <v>39.700000000000003</v>
      </c>
      <c r="S17" s="4">
        <f>IF(R17=T17-V17,MAX(W17-Y17,Z17-AB17,AC17-AE17),IF(R17=W17-Y17,MAX(T17-V17,Z17-AB17,AC17-AE17),IF(R17=Z17-AB17,MAX(T17-V17,W17-Y17,AC17-AE17),IF(R17=AC17-AE17,MAX(T17-V17,W17-Y17,Z17-AB17),0))))</f>
        <v>38.200000000000003</v>
      </c>
      <c r="T17" s="32">
        <v>38.200000000000003</v>
      </c>
      <c r="U17" s="37">
        <v>5.5</v>
      </c>
      <c r="V17" s="37">
        <v>0</v>
      </c>
      <c r="W17" s="33">
        <v>39.700000000000003</v>
      </c>
      <c r="X17" s="37">
        <v>5.5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377</v>
      </c>
      <c r="D18" s="35" t="str">
        <f>IF(E18="","",VLOOKUP(E18,'Coaching Points'!A:B,2,0))</f>
        <v>QC</v>
      </c>
      <c r="E18" s="35" t="s">
        <v>3</v>
      </c>
      <c r="F18" s="34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64</v>
      </c>
      <c r="I18" s="40"/>
      <c r="J18" s="4">
        <f>R18+IF(OR(H18="Junior",H18="Senior"),0.0002,IF(OR(H18="L7",H18="L6"),0.0001,0))+MAX(Z18,AC18)*0.0000001</f>
        <v>39.619999999999997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MAX(T18-V18,W18-Y18,Z18-AB18,AC18-AE18)</f>
        <v>39.619999999999997</v>
      </c>
      <c r="S18" s="4">
        <f>IF(R18=T18-V18,MAX(W18-Y18,Z18-AB18,AC18-AE18),IF(R18=W18-Y18,MAX(T18-V18,Z18-AB18,AC18-AE18),IF(R18=Z18-AB18,MAX(T18-V18,W18-Y18,AC18-AE18),IF(R18=AC18-AE18,MAX(T18-V18,W18-Y18,Z18-AB18),0))))</f>
        <v>39.4</v>
      </c>
      <c r="T18" s="32">
        <v>40.4</v>
      </c>
      <c r="U18" s="37">
        <v>5.3</v>
      </c>
      <c r="V18" s="37">
        <v>1</v>
      </c>
      <c r="W18" s="33">
        <v>40.619999999999997</v>
      </c>
      <c r="X18" s="37">
        <v>5.3</v>
      </c>
      <c r="Y18" s="37">
        <v>1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237</v>
      </c>
      <c r="D19" s="35" t="str">
        <f>IF(E19="","",VLOOKUP(E19,'Coaching Points'!A:B,2,0))</f>
        <v>AB</v>
      </c>
      <c r="E19" s="35" t="s">
        <v>56</v>
      </c>
      <c r="F19" s="34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66</v>
      </c>
      <c r="I19" s="40"/>
      <c r="J19" s="4">
        <f>R19+IF(OR(H19="Junior",H19="Senior"),0.0002,IF(OR(H19="L7",H19="L6"),0.0001,0))+MAX(Z19,AC19)*0.0000001</f>
        <v>39.600100000000005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MAX(T19-V19,W19-Y19,Z19-AB19,AC19-AE19)</f>
        <v>39.6</v>
      </c>
      <c r="S19" s="4">
        <f>IF(R19=T19-V19,MAX(W19-Y19,Z19-AB19,AC19-AE19),IF(R19=W19-Y19,MAX(T19-V19,Z19-AB19,AC19-AE19),IF(R19=Z19-AB19,MAX(T19-V19,W19-Y19,AC19-AE19),IF(R19=AC19-AE19,MAX(T19-V19,W19-Y19,Z19-AB19),0))))</f>
        <v>38.700000000000003</v>
      </c>
      <c r="T19" s="32">
        <v>39</v>
      </c>
      <c r="U19" s="37">
        <v>7.6999999999999993</v>
      </c>
      <c r="V19" s="37">
        <v>0.3</v>
      </c>
      <c r="W19" s="33">
        <v>39.9</v>
      </c>
      <c r="X19" s="37">
        <v>7.3</v>
      </c>
      <c r="Y19" s="37">
        <v>0.3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189</v>
      </c>
      <c r="D20" s="35" t="str">
        <f>IF(E20="","",VLOOKUP(E20,'Coaching Points'!A:B,2,0))</f>
        <v>AB</v>
      </c>
      <c r="E20" s="35" t="s">
        <v>61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64</v>
      </c>
      <c r="I20" s="40"/>
      <c r="J20" s="4">
        <f>R20+IF(OR(H20="Junior",H20="Senior"),0.0002,IF(OR(H20="L7",H20="L6"),0.0001,0))+MAX(Z20,AC20)*0.0000001</f>
        <v>39.6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39.6</v>
      </c>
      <c r="S20" s="4">
        <f>IF(R20=T20-V20,MAX(W20-Y20,Z20-AB20,AC20-AE20),IF(R20=W20-Y20,MAX(T20-V20,Z20-AB20,AC20-AE20),IF(R20=Z20-AB20,MAX(T20-V20,W20-Y20,AC20-AE20),IF(R20=AC20-AE20,MAX(T20-V20,W20-Y20,Z20-AB20),0))))</f>
        <v>39.6</v>
      </c>
      <c r="T20" s="32">
        <v>39.6</v>
      </c>
      <c r="U20" s="37">
        <v>4.5999999999999996</v>
      </c>
      <c r="V20" s="37">
        <v>0</v>
      </c>
      <c r="W20" s="33">
        <v>39.6</v>
      </c>
      <c r="X20" s="37">
        <v>4.5999999999999996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304</v>
      </c>
      <c r="D21" s="35" t="str">
        <f>IF(E21="","",VLOOKUP(E21,'Coaching Points'!A:B,2,0))</f>
        <v>ON</v>
      </c>
      <c r="E21" s="35" t="s">
        <v>131</v>
      </c>
      <c r="F21" s="34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>R21+IF(OR(H21="Junior",H21="Senior"),0.0002,IF(OR(H21="L7",H21="L6"),0.0001,0))+MAX(Z21,AC21)*0.0000001</f>
        <v>39.200100000000006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39.200000000000003</v>
      </c>
      <c r="S21" s="4">
        <f>IF(R21=T21-V21,MAX(W21-Y21,Z21-AB21,AC21-AE21),IF(R21=W21-Y21,MAX(T21-V21,Z21-AB21,AC21-AE21),IF(R21=Z21-AB21,MAX(T21-V21,W21-Y21,AC21-AE21),IF(R21=AC21-AE21,MAX(T21-V21,W21-Y21,Z21-AB21),0))))</f>
        <v>33.800000000000004</v>
      </c>
      <c r="T21" s="32">
        <v>34.1</v>
      </c>
      <c r="U21" s="37">
        <v>3.0999999999999996</v>
      </c>
      <c r="V21" s="37">
        <v>0.3</v>
      </c>
      <c r="W21" s="33">
        <v>39.5</v>
      </c>
      <c r="X21" s="37">
        <v>5.0999999999999996</v>
      </c>
      <c r="Y21" s="37">
        <v>0.3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141</v>
      </c>
      <c r="D22" s="35" t="str">
        <f>IF(E22="","",VLOOKUP(E22,'Coaching Points'!A:B,2,0))</f>
        <v>SK</v>
      </c>
      <c r="E22" s="35" t="s">
        <v>329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64</v>
      </c>
      <c r="I22" s="40"/>
      <c r="J22" s="4">
        <f>R22+IF(OR(H22="Junior",H22="Senior"),0.0002,IF(OR(H22="L7",H22="L6"),0.0001,0))+MAX(Z22,AC22)*0.0000001</f>
        <v>39.200000000000003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MAX(T22-V22,W22-Y22,Z22-AB22,AC22-AE22)</f>
        <v>39.200000000000003</v>
      </c>
      <c r="S22" s="4">
        <f>IF(R22=T22-V22,MAX(W22-Y22,Z22-AB22,AC22-AE22),IF(R22=W22-Y22,MAX(T22-V22,Z22-AB22,AC22-AE22),IF(R22=Z22-AB22,MAX(T22-V22,W22-Y22,AC22-AE22),IF(R22=AC22-AE22,MAX(T22-V22,W22-Y22,Z22-AB22),0))))</f>
        <v>38.200000000000003</v>
      </c>
      <c r="T22" s="32">
        <v>38.200000000000003</v>
      </c>
      <c r="U22" s="37">
        <v>5.3</v>
      </c>
      <c r="V22" s="37">
        <v>0</v>
      </c>
      <c r="W22" s="33">
        <v>39.200000000000003</v>
      </c>
      <c r="X22" s="37">
        <v>5.3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236</v>
      </c>
      <c r="D23" s="35" t="str">
        <f>IF(E23="","",VLOOKUP(E23,'Coaching Points'!A:B,2,0))</f>
        <v>QC</v>
      </c>
      <c r="E23" s="35" t="s">
        <v>218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66</v>
      </c>
      <c r="I23" s="40"/>
      <c r="J23" s="4">
        <f>R23+IF(OR(H23="Junior",H23="Senior"),0.0002,IF(OR(H23="L7",H23="L6"),0.0001,0))+MAX(Z23,AC23)*0.0000001</f>
        <v>38.800100000000008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MAX(T23-V23,W23-Y23,Z23-AB23,AC23-AE23)</f>
        <v>38.800000000000004</v>
      </c>
      <c r="S23" s="4">
        <f>IF(R23=T23-V23,MAX(W23-Y23,Z23-AB23,AC23-AE23),IF(R23=W23-Y23,MAX(T23-V23,Z23-AB23,AC23-AE23),IF(R23=Z23-AB23,MAX(T23-V23,W23-Y23,AC23-AE23),IF(R23=AC23-AE23,MAX(T23-V23,W23-Y23,Z23-AB23),0))))</f>
        <v>37.9</v>
      </c>
      <c r="T23" s="32">
        <v>38.5</v>
      </c>
      <c r="U23" s="37">
        <v>6.6999999999999993</v>
      </c>
      <c r="V23" s="37">
        <v>0.6</v>
      </c>
      <c r="W23" s="33">
        <v>39.1</v>
      </c>
      <c r="X23" s="37">
        <v>5.0999999999999996</v>
      </c>
      <c r="Y23" s="37">
        <v>0.3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262</v>
      </c>
      <c r="D24" s="35" t="str">
        <f>IF(E24="","",VLOOKUP(E24,'Coaching Points'!A:B,2,0))</f>
        <v>ON</v>
      </c>
      <c r="E24" s="35" t="s">
        <v>45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66</v>
      </c>
      <c r="I24" s="40"/>
      <c r="J24" s="4">
        <f>R24+IF(OR(H24="Junior",H24="Senior"),0.0002,IF(OR(H24="L7",H24="L6"),0.0001,0))+MAX(Z24,AC24)*0.0000001</f>
        <v>37.800100000000008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MAX(T24-V24,W24-Y24,Z24-AB24,AC24-AE24)</f>
        <v>37.800000000000004</v>
      </c>
      <c r="S24" s="4">
        <f>IF(R24=T24-V24,MAX(W24-Y24,Z24-AB24,AC24-AE24),IF(R24=W24-Y24,MAX(T24-V24,Z24-AB24,AC24-AE24),IF(R24=Z24-AB24,MAX(T24-V24,W24-Y24,AC24-AE24),IF(R24=AC24-AE24,MAX(T24-V24,W24-Y24,Z24-AB24),0))))</f>
        <v>32.900000000000006</v>
      </c>
      <c r="T24" s="32">
        <v>33.200000000000003</v>
      </c>
      <c r="U24" s="37">
        <v>5</v>
      </c>
      <c r="V24" s="37">
        <v>0.3</v>
      </c>
      <c r="W24" s="33">
        <v>38.700000000000003</v>
      </c>
      <c r="X24" s="37">
        <v>6.7</v>
      </c>
      <c r="Y24" s="37">
        <v>0.89999999999999991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380</v>
      </c>
      <c r="D25" s="35" t="str">
        <f>IF(E25="","",VLOOKUP(E25,'Coaching Points'!A:B,2,0))</f>
        <v>QC</v>
      </c>
      <c r="E25" s="35" t="s">
        <v>75</v>
      </c>
      <c r="F25" s="34">
        <v>2007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R25+IF(OR(H25="Junior",H25="Senior"),0.0002,IF(OR(H25="L7",H25="L6"),0.0001,0))+MAX(Z25,AC25)*0.0000001</f>
        <v>37.799999999999997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37.799999999999997</v>
      </c>
      <c r="S25" s="4">
        <f>IF(R25=T25-V25,MAX(W25-Y25,Z25-AB25,AC25-AE25),IF(R25=W25-Y25,MAX(T25-V25,Z25-AB25,AC25-AE25),IF(R25=Z25-AB25,MAX(T25-V25,W25-Y25,AC25-AE25),IF(R25=AC25-AE25,MAX(T25-V25,W25-Y25,Z25-AB25),0))))</f>
        <v>36.1</v>
      </c>
      <c r="T25" s="32">
        <v>37.799999999999997</v>
      </c>
      <c r="U25" s="37">
        <v>4.2</v>
      </c>
      <c r="V25" s="37">
        <v>0</v>
      </c>
      <c r="W25" s="33">
        <v>36.1</v>
      </c>
      <c r="X25" s="37">
        <v>4.2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118</v>
      </c>
      <c r="D26" s="35" t="str">
        <f>IF(E26="","",VLOOKUP(E26,'Coaching Points'!A:B,2,0))</f>
        <v>AB</v>
      </c>
      <c r="E26" s="35" t="s">
        <v>28</v>
      </c>
      <c r="F26" s="34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R26+IF(OR(H26="Junior",H26="Senior"),0.0002,IF(OR(H26="L7",H26="L6"),0.0001,0))+MAX(Z26,AC26)*0.0000001</f>
        <v>37.5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MAX(T26-V26,W26-Y26,Z26-AB26,AC26-AE26)</f>
        <v>37.5</v>
      </c>
      <c r="S26" s="4">
        <f>IF(R26=T26-V26,MAX(W26-Y26,Z26-AB26,AC26-AE26),IF(R26=W26-Y26,MAX(T26-V26,Z26-AB26,AC26-AE26),IF(R26=Z26-AB26,MAX(T26-V26,W26-Y26,AC26-AE26),IF(R26=AC26-AE26,MAX(T26-V26,W26-Y26,Z26-AB26),0))))</f>
        <v>37.4</v>
      </c>
      <c r="T26" s="32">
        <v>37.4</v>
      </c>
      <c r="U26" s="37">
        <v>6.5</v>
      </c>
      <c r="V26" s="37">
        <v>0</v>
      </c>
      <c r="W26" s="33">
        <v>37.5</v>
      </c>
      <c r="X26" s="37">
        <v>5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143</v>
      </c>
      <c r="D27" s="35" t="str">
        <f>IF(E27="","",VLOOKUP(E27,'Coaching Points'!A:B,2,0))</f>
        <v>BC</v>
      </c>
      <c r="E27" s="35" t="s">
        <v>40</v>
      </c>
      <c r="F27" s="34">
        <v>2003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>R27+IF(OR(H27="Junior",H27="Senior"),0.0002,IF(OR(H27="L7",H27="L6"),0.0001,0))+MAX(Z27,AC27)*0.0000001</f>
        <v>37.000100000000003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MAX(T27-V27,W27-Y27,Z27-AB27,AC27-AE27)</f>
        <v>37</v>
      </c>
      <c r="S27" s="4">
        <f>IF(R27=T27-V27,MAX(W27-Y27,Z27-AB27,AC27-AE27),IF(R27=W27-Y27,MAX(T27-V27,Z27-AB27,AC27-AE27),IF(R27=Z27-AB27,MAX(T27-V27,W27-Y27,AC27-AE27),IF(R27=AC27-AE27,MAX(T27-V27,W27-Y27,Z27-AB27),0))))</f>
        <v>31.4</v>
      </c>
      <c r="T27" s="32">
        <v>31.7</v>
      </c>
      <c r="U27" s="37">
        <v>4.2</v>
      </c>
      <c r="V27" s="37">
        <v>0.3</v>
      </c>
      <c r="W27" s="33">
        <v>37.9</v>
      </c>
      <c r="X27" s="37">
        <v>5.6</v>
      </c>
      <c r="Y27" s="37">
        <v>0.89999999999999991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306</v>
      </c>
      <c r="D28" s="35" t="str">
        <f>IF(E28="","",VLOOKUP(E28,'Coaching Points'!A:B,2,0))</f>
        <v>ON</v>
      </c>
      <c r="E28" s="35" t="s">
        <v>131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R28+IF(OR(H28="Junior",H28="Senior"),0.0002,IF(OR(H28="L7",H28="L6"),0.0001,0))+MAX(Z28,AC28)*0.0000001</f>
        <v>36.5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MAX(T28-V28,W28-Y28,Z28-AB28,AC28-AE28)</f>
        <v>36.5</v>
      </c>
      <c r="S28" s="4">
        <f>IF(R28=T28-V28,MAX(W28-Y28,Z28-AB28,AC28-AE28),IF(R28=W28-Y28,MAX(T28-V28,Z28-AB28,AC28-AE28),IF(R28=Z28-AB28,MAX(T28-V28,W28-Y28,AC28-AE28),IF(R28=AC28-AE28,MAX(T28-V28,W28-Y28,Z28-AB28),0))))</f>
        <v>0</v>
      </c>
      <c r="T28" s="32">
        <v>36.5</v>
      </c>
      <c r="U28" s="37">
        <v>4.4000000000000004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142</v>
      </c>
      <c r="D29" s="35" t="str">
        <f>IF(E29="","",VLOOKUP(E29,'Coaching Points'!A:B,2,0))</f>
        <v>SK</v>
      </c>
      <c r="E29" s="35" t="s">
        <v>329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R29+IF(OR(H29="Junior",H29="Senior"),0.0002,IF(OR(H29="L7",H29="L6"),0.0001,0))+MAX(Z29,AC29)*0.0000001</f>
        <v>36.4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MAX(T29-V29,W29-Y29,Z29-AB29,AC29-AE29)</f>
        <v>36.4</v>
      </c>
      <c r="S29" s="4">
        <f>IF(R29=T29-V29,MAX(W29-Y29,Z29-AB29,AC29-AE29),IF(R29=W29-Y29,MAX(T29-V29,Z29-AB29,AC29-AE29),IF(R29=Z29-AB29,MAX(T29-V29,W29-Y29,AC29-AE29),IF(R29=AC29-AE29,MAX(T29-V29,W29-Y29,Z29-AB29),0))))</f>
        <v>0</v>
      </c>
      <c r="T29" s="32">
        <v>36.4</v>
      </c>
      <c r="U29" s="37">
        <v>5.3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312</v>
      </c>
      <c r="D30" s="35" t="str">
        <f>IF(E30="","",VLOOKUP(E30,'Coaching Points'!A:B,2,0))</f>
        <v>AB</v>
      </c>
      <c r="E30" s="35" t="s">
        <v>215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>R30+IF(OR(H30="Junior",H30="Senior"),0.0002,IF(OR(H30="L7",H30="L6"),0.0001,0))+MAX(Z30,AC30)*0.0000001</f>
        <v>36.4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MAX(T30-V30,W30-Y30,Z30-AB30,AC30-AE30)</f>
        <v>36.4</v>
      </c>
      <c r="S30" s="4">
        <f>IF(R30=T30-V30,MAX(W30-Y30,Z30-AB30,AC30-AE30),IF(R30=W30-Y30,MAX(T30-V30,Z30-AB30,AC30-AE30),IF(R30=Z30-AB30,MAX(T30-V30,W30-Y30,AC30-AE30),IF(R30=AC30-AE30,MAX(T30-V30,W30-Y30,Z30-AB30),0))))</f>
        <v>0</v>
      </c>
      <c r="T30" s="32">
        <v>36.4</v>
      </c>
      <c r="U30" s="37">
        <v>3.1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381</v>
      </c>
      <c r="D31" s="35" t="str">
        <f>IF(E31="","",VLOOKUP(E31,'Coaching Points'!A:B,2,0))</f>
        <v>ON</v>
      </c>
      <c r="E31" s="35" t="s">
        <v>133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>R31+IF(OR(H31="Junior",H31="Senior"),0.0002,IF(OR(H31="L7",H31="L6"),0.0001,0))+MAX(Z31,AC31)*0.0000001</f>
        <v>36.1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MAX(T31-V31,W31-Y31,Z31-AB31,AC31-AE31)</f>
        <v>36.1</v>
      </c>
      <c r="S31" s="4">
        <f>IF(R31=T31-V31,MAX(W31-Y31,Z31-AB31,AC31-AE31),IF(R31=W31-Y31,MAX(T31-V31,Z31-AB31,AC31-AE31),IF(R31=Z31-AB31,MAX(T31-V31,W31-Y31,AC31-AE31),IF(R31=AC31-AE31,MAX(T31-V31,W31-Y31,Z31-AB31),0))))</f>
        <v>0</v>
      </c>
      <c r="T31" s="32">
        <v>36.1</v>
      </c>
      <c r="U31" s="37">
        <v>3.3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308</v>
      </c>
      <c r="D32" s="35" t="str">
        <f>IF(E32="","",VLOOKUP(E32,'Coaching Points'!A:B,2,0))</f>
        <v>AB</v>
      </c>
      <c r="E32" s="35" t="s">
        <v>251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>R32+IF(OR(H32="Junior",H32="Senior"),0.0002,IF(OR(H32="L7",H32="L6"),0.0001,0))+MAX(Z32,AC32)*0.0000001</f>
        <v>36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MAX(T32-V32,W32-Y32,Z32-AB32,AC32-AE32)</f>
        <v>36</v>
      </c>
      <c r="S32" s="4">
        <f>IF(R32=T32-V32,MAX(W32-Y32,Z32-AB32,AC32-AE32),IF(R32=W32-Y32,MAX(T32-V32,Z32-AB32,AC32-AE32),IF(R32=Z32-AB32,MAX(T32-V32,W32-Y32,AC32-AE32),IF(R32=AC32-AE32,MAX(T32-V32,W32-Y32,Z32-AB32),0))))</f>
        <v>0</v>
      </c>
      <c r="T32" s="32">
        <v>36</v>
      </c>
      <c r="U32" s="37">
        <v>5.0999999999999996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128</v>
      </c>
      <c r="D33" s="35" t="str">
        <f>IF(E33="","",VLOOKUP(E33,'Coaching Points'!A:B,2,0))</f>
        <v>AB</v>
      </c>
      <c r="E33" s="35" t="s">
        <v>28</v>
      </c>
      <c r="F33" s="34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64</v>
      </c>
      <c r="I33" s="40"/>
      <c r="J33" s="4">
        <f>R33+IF(OR(H33="Junior",H33="Senior"),0.0002,IF(OR(H33="L7",H33="L6"),0.0001,0))+MAX(Z33,AC33)*0.0000001</f>
        <v>35.700000000000003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MAX(T33-V33,W33-Y33,Z33-AB33,AC33-AE33)</f>
        <v>35.700000000000003</v>
      </c>
      <c r="S33" s="4">
        <f>IF(R33=T33-V33,MAX(W33-Y33,Z33-AB33,AC33-AE33),IF(R33=W33-Y33,MAX(T33-V33,Z33-AB33,AC33-AE33),IF(R33=Z33-AB33,MAX(T33-V33,W33-Y33,AC33-AE33),IF(R33=AC33-AE33,MAX(T33-V33,W33-Y33,Z33-AB33),0))))</f>
        <v>0</v>
      </c>
      <c r="T33" s="32">
        <v>35.700000000000003</v>
      </c>
      <c r="U33" s="37">
        <v>6.5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104</v>
      </c>
      <c r="D34" s="35" t="str">
        <f>IF(E34="","",VLOOKUP(E34,'Coaching Points'!A:B,2,0))</f>
        <v>AB</v>
      </c>
      <c r="E34" s="35" t="s">
        <v>28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>R34+IF(OR(H34="Junior",H34="Senior"),0.0002,IF(OR(H34="L7",H34="L6"),0.0001,0))+MAX(Z34,AC34)*0.0000001</f>
        <v>35.200100000000006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MAX(T34-V34,W34-Y34,Z34-AB34,AC34-AE34)</f>
        <v>35.200000000000003</v>
      </c>
      <c r="S34" s="4">
        <f>IF(R34=T34-V34,MAX(W34-Y34,Z34-AB34,AC34-AE34),IF(R34=W34-Y34,MAX(T34-V34,Z34-AB34,AC34-AE34),IF(R34=Z34-AB34,MAX(T34-V34,W34-Y34,AC34-AE34),IF(R34=AC34-AE34,MAX(T34-V34,W34-Y34,Z34-AB34),0))))</f>
        <v>33.400000000000006</v>
      </c>
      <c r="T34" s="32">
        <v>33.700000000000003</v>
      </c>
      <c r="U34" s="37">
        <v>3.5999999999999996</v>
      </c>
      <c r="V34" s="37">
        <v>0.3</v>
      </c>
      <c r="W34" s="33">
        <v>35.5</v>
      </c>
      <c r="X34" s="37">
        <v>4</v>
      </c>
      <c r="Y34" s="37">
        <v>0.3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382</v>
      </c>
      <c r="D35" s="35" t="str">
        <f>IF(E35="","",VLOOKUP(E35,'Coaching Points'!A:B,2,0))</f>
        <v>ON</v>
      </c>
      <c r="E35" s="35" t="s">
        <v>133</v>
      </c>
      <c r="F35" s="34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>R35+IF(OR(H35="Junior",H35="Senior"),0.0002,IF(OR(H35="L7",H35="L6"),0.0001,0))+MAX(Z35,AC35)*0.0000001</f>
        <v>34.6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MAX(T35-V35,W35-Y35,Z35-AB35,AC35-AE35)</f>
        <v>34.6</v>
      </c>
      <c r="S35" s="4">
        <f>IF(R35=T35-V35,MAX(W35-Y35,Z35-AB35,AC35-AE35),IF(R35=W35-Y35,MAX(T35-V35,Z35-AB35,AC35-AE35),IF(R35=Z35-AB35,MAX(T35-V35,W35-Y35,AC35-AE35),IF(R35=AC35-AE35,MAX(T35-V35,W35-Y35,Z35-AB35),0))))</f>
        <v>0</v>
      </c>
      <c r="T35" s="32">
        <v>34.6</v>
      </c>
      <c r="U35" s="37">
        <v>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228</v>
      </c>
      <c r="D36" s="35" t="str">
        <f>IF(E36="","",VLOOKUP(E36,'Coaching Points'!A:B,2,0))</f>
        <v>BC</v>
      </c>
      <c r="E36" s="35" t="s">
        <v>60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>R36+IF(OR(H36="Junior",H36="Senior"),0.0002,IF(OR(H36="L7",H36="L6"),0.0001,0))+MAX(Z36,AC36)*0.0000001</f>
        <v>34.5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MAX(T36-V36,W36-Y36,Z36-AB36,AC36-AE36)</f>
        <v>34.5</v>
      </c>
      <c r="S36" s="4">
        <f>IF(R36=T36-V36,MAX(W36-Y36,Z36-AB36,AC36-AE36),IF(R36=W36-Y36,MAX(T36-V36,Z36-AB36,AC36-AE36),IF(R36=Z36-AB36,MAX(T36-V36,W36-Y36,AC36-AE36),IF(R36=AC36-AE36,MAX(T36-V36,W36-Y36,Z36-AB36),0))))</f>
        <v>0</v>
      </c>
      <c r="T36" s="32">
        <v>34.5</v>
      </c>
      <c r="U36" s="37">
        <v>4.0999999999999996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114</v>
      </c>
      <c r="D37" s="35" t="str">
        <f>IF(E37="","",VLOOKUP(E37,'Coaching Points'!A:B,2,0))</f>
        <v>BC</v>
      </c>
      <c r="E37" s="35" t="s">
        <v>44</v>
      </c>
      <c r="F37" s="34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>R37+IF(OR(H37="Junior",H37="Senior"),0.0002,IF(OR(H37="L7",H37="L6"),0.0001,0))+MAX(Z37,AC37)*0.0000001</f>
        <v>34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MAX(T37-V37,W37-Y37,Z37-AB37,AC37-AE37)</f>
        <v>34</v>
      </c>
      <c r="S37" s="4">
        <f>IF(R37=T37-V37,MAX(W37-Y37,Z37-AB37,AC37-AE37),IF(R37=W37-Y37,MAX(T37-V37,Z37-AB37,AC37-AE37),IF(R37=Z37-AB37,MAX(T37-V37,W37-Y37,AC37-AE37),IF(R37=AC37-AE37,MAX(T37-V37,W37-Y37,Z37-AB37),0))))</f>
        <v>0</v>
      </c>
      <c r="T37" s="32">
        <v>34</v>
      </c>
      <c r="U37" s="37">
        <v>2.4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/>
      </c>
      <c r="C38" s="35" t="s">
        <v>191</v>
      </c>
      <c r="D38" s="35" t="str">
        <f>IF(E38="","",VLOOKUP(E38,'Coaching Points'!A:B,2,0))</f>
        <v>BC</v>
      </c>
      <c r="E38" s="35" t="s">
        <v>70</v>
      </c>
      <c r="F38" s="34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>R38+IF(OR(H38="Junior",H38="Senior"),0.0002,IF(OR(H38="L7",H38="L6"),0.0001,0))+MAX(Z38,AC38)*0.0000001</f>
        <v>33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MAX(T38-V38,W38-Y38,Z38-AB38,AC38-AE38)</f>
        <v>33</v>
      </c>
      <c r="S38" s="4">
        <f>IF(R38=T38-V38,MAX(W38-Y38,Z38-AB38,AC38-AE38),IF(R38=W38-Y38,MAX(T38-V38,Z38-AB38,AC38-AE38),IF(R38=Z38-AB38,MAX(T38-V38,W38-Y38,AC38-AE38),IF(R38=AC38-AE38,MAX(T38-V38,W38-Y38,Z38-AB38),0))))</f>
        <v>0</v>
      </c>
      <c r="T38" s="32">
        <v>33</v>
      </c>
      <c r="U38" s="37">
        <v>4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187</v>
      </c>
      <c r="D39" s="35" t="str">
        <f>IF(E39="","",VLOOKUP(E39,'Coaching Points'!A:B,2,0))</f>
        <v>ON</v>
      </c>
      <c r="E39" s="35" t="s">
        <v>45</v>
      </c>
      <c r="F39" s="34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64</v>
      </c>
      <c r="I39" s="40"/>
      <c r="J39" s="4">
        <f>R39+IF(OR(H39="Junior",H39="Senior"),0.0002,IF(OR(H39="L7",H39="L6"),0.0001,0))+MAX(Z39,AC39)*0.0000001</f>
        <v>32.9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MAX(T39-V39,W39-Y39,Z39-AB39,AC39-AE39)</f>
        <v>32.9</v>
      </c>
      <c r="S39" s="4">
        <f>IF(R39=T39-V39,MAX(W39-Y39,Z39-AB39,AC39-AE39),IF(R39=W39-Y39,MAX(T39-V39,Z39-AB39,AC39-AE39),IF(R39=Z39-AB39,MAX(T39-V39,W39-Y39,AC39-AE39),IF(R39=AC39-AE39,MAX(T39-V39,W39-Y39,Z39-AB39),0))))</f>
        <v>0</v>
      </c>
      <c r="T39" s="32">
        <v>32.9</v>
      </c>
      <c r="U39" s="37">
        <v>3.7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140</v>
      </c>
      <c r="D40" s="35" t="str">
        <f>IF(E40="","",VLOOKUP(E40,'Coaching Points'!A:B,2,0))</f>
        <v>BC</v>
      </c>
      <c r="E40" s="35" t="s">
        <v>55</v>
      </c>
      <c r="F40" s="34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66</v>
      </c>
      <c r="I40" s="40"/>
      <c r="J40" s="4">
        <f>R40+IF(OR(H40="Junior",H40="Senior"),0.0002,IF(OR(H40="L7",H40="L6"),0.0001,0))+MAX(Z40,AC40)*0.0000001</f>
        <v>32.8001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MAX(T40-V40,W40-Y40,Z40-AB40,AC40-AE40)</f>
        <v>32.799999999999997</v>
      </c>
      <c r="S40" s="4">
        <f>IF(R40=T40-V40,MAX(W40-Y40,Z40-AB40,AC40-AE40),IF(R40=W40-Y40,MAX(T40-V40,Z40-AB40,AC40-AE40),IF(R40=Z40-AB40,MAX(T40-V40,W40-Y40,AC40-AE40),IF(R40=AC40-AE40,MAX(T40-V40,W40-Y40,Z40-AB40),0))))</f>
        <v>0</v>
      </c>
      <c r="T40" s="32">
        <v>32.799999999999997</v>
      </c>
      <c r="U40" s="37">
        <v>4.2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192</v>
      </c>
      <c r="D41" s="35" t="str">
        <f>IF(E41="","",VLOOKUP(E41,'Coaching Points'!A:B,2,0))</f>
        <v>QC</v>
      </c>
      <c r="E41" s="35" t="s">
        <v>75</v>
      </c>
      <c r="F41" s="34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64</v>
      </c>
      <c r="I41" s="40"/>
      <c r="J41" s="4">
        <f>R41+IF(OR(H41="Junior",H41="Senior"),0.0002,IF(OR(H41="L7",H41="L6"),0.0001,0))+MAX(Z41,AC41)*0.0000001</f>
        <v>30.1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MAX(T41-V41,W41-Y41,Z41-AB41,AC41-AE41)</f>
        <v>30.1</v>
      </c>
      <c r="S41" s="4">
        <f>IF(R41=T41-V41,MAX(W41-Y41,Z41-AB41,AC41-AE41),IF(R41=W41-Y41,MAX(T41-V41,Z41-AB41,AC41-AE41),IF(R41=Z41-AB41,MAX(T41-V41,W41-Y41,AC41-AE41),IF(R41=AC41-AE41,MAX(T41-V41,W41-Y41,Z41-AB41),0))))</f>
        <v>0</v>
      </c>
      <c r="T41" s="32">
        <v>30.1</v>
      </c>
      <c r="U41" s="37">
        <v>2.8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371</v>
      </c>
      <c r="D42" s="35" t="str">
        <f>IF(E42="","",VLOOKUP(E42,'Coaching Points'!A:B,2,0))</f>
        <v>BC</v>
      </c>
      <c r="E42" s="35" t="s">
        <v>60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66</v>
      </c>
      <c r="I42" s="40"/>
      <c r="J42" s="4">
        <f>R42+IF(OR(H42="Junior",H42="Senior"),0.0002,IF(OR(H42="L7",H42="L6"),0.0001,0))+MAX(Z42,AC42)*0.0000001</f>
        <v>18.400099999999998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MAX(T42-V42,W42-Y42,Z42-AB42,AC42-AE42)</f>
        <v>18.399999999999999</v>
      </c>
      <c r="S42" s="4">
        <f>IF(R42=T42-V42,MAX(W42-Y42,Z42-AB42,AC42-AE42),IF(R42=W42-Y42,MAX(T42-V42,Z42-AB42,AC42-AE42),IF(R42=Z42-AB42,MAX(T42-V42,W42-Y42,AC42-AE42),IF(R42=AC42-AE42,MAX(T42-V42,W42-Y42,Z42-AB42),0))))</f>
        <v>0</v>
      </c>
      <c r="T42" s="32">
        <v>18.7</v>
      </c>
      <c r="U42" s="37">
        <v>2.6</v>
      </c>
      <c r="V42" s="37">
        <v>0.3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>1</v>
      </c>
      <c r="C43" s="35" t="s">
        <v>190</v>
      </c>
      <c r="D43" s="35" t="str">
        <f>IF(E43="","",VLOOKUP(E43,'Coaching Points'!A:B,2,0))</f>
        <v>AB</v>
      </c>
      <c r="E43" s="35" t="s">
        <v>56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63</v>
      </c>
      <c r="I43" s="40"/>
      <c r="J43" s="4">
        <f>R43+IF(OR(H43="Junior",H43="Senior"),0.0002,IF(OR(H43="L7",H43="L6"),0.0001,0))+MAX(Z43,AC43)*0.0000001</f>
        <v>43.600200000000001</v>
      </c>
      <c r="K43" s="3" t="str">
        <f>IF(G43="Not Age Eligible","",IF(MAX(T43,W43,Z43,AC43)&gt;=LOOKUP(G43,'Qualifying Scores'!$A$4:$A$7,'Qualifying Scores'!$I$4:$I$7),"P",""))</f>
        <v>P</v>
      </c>
      <c r="L43" s="3" t="str">
        <f>IF(G43="Not Age Eligible","",IF(MAX(U43,X43,AA43,AD43)&gt;=LOOKUP(G43,'Qualifying Scores'!$A$10:$A$13,'Qualifying Scores'!$I$10:$I$13),"P",""))</f>
        <v>P</v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>P</v>
      </c>
      <c r="N43" s="36">
        <v>1</v>
      </c>
      <c r="Q43" s="1" t="str">
        <f>IF(A43&lt;5,IF(_xlfn.MAXIFS(A:A,G:G,G43)&gt;3,5-A43,_xlfn.MAXIFS(A:A,G:G,G43)+1-A43),"")</f>
        <v/>
      </c>
      <c r="R43" s="4">
        <f>MAX(T43-V43,W43-Y43,Z43-AB43,AC43-AE43)</f>
        <v>43.6</v>
      </c>
      <c r="S43" s="4">
        <f>IF(R43=T43-V43,MAX(W43-Y43,Z43-AB43,AC43-AE43),IF(R43=W43-Y43,MAX(T43-V43,Z43-AB43,AC43-AE43),IF(R43=Z43-AB43,MAX(T43-V43,W43-Y43,AC43-AE43),IF(R43=AC43-AE43,MAX(T43-V43,W43-Y43,Z43-AB43),0))))</f>
        <v>38.5</v>
      </c>
      <c r="T43" s="32">
        <v>39.1</v>
      </c>
      <c r="U43" s="37">
        <v>8.6</v>
      </c>
      <c r="V43" s="37">
        <v>0.6</v>
      </c>
      <c r="W43" s="33">
        <v>43.9</v>
      </c>
      <c r="X43" s="37">
        <v>9.6999999999999993</v>
      </c>
      <c r="Y43" s="37">
        <v>0.3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373</v>
      </c>
      <c r="D44" s="35" t="str">
        <f>IF(E44="","",VLOOKUP(E44,'Coaching Points'!A:B,2,0))</f>
        <v>ON</v>
      </c>
      <c r="E44" s="35" t="s">
        <v>45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>R44+IF(OR(H44="Junior",H44="Senior"),0.0002,IF(OR(H44="L7",H44="L6"),0.0001,0))+MAX(Z44,AC44)*0.0000001</f>
        <v>39.6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MAX(T44-V44,W44-Y44,Z44-AB44,AC44-AE44)</f>
        <v>39.6</v>
      </c>
      <c r="S44" s="4">
        <f>IF(R44=T44-V44,MAX(W44-Y44,Z44-AB44,AC44-AE44),IF(R44=W44-Y44,MAX(T44-V44,Z44-AB44,AC44-AE44),IF(R44=Z44-AB44,MAX(T44-V44,W44-Y44,AC44-AE44),IF(R44=AC44-AE44,MAX(T44-V44,W44-Y44,Z44-AB44),0))))</f>
        <v>35.1</v>
      </c>
      <c r="T44" s="32">
        <v>35.1</v>
      </c>
      <c r="U44" s="37">
        <v>3.3</v>
      </c>
      <c r="V44" s="37">
        <v>0</v>
      </c>
      <c r="W44" s="33">
        <v>40.6</v>
      </c>
      <c r="X44" s="37">
        <v>5.3000000000000007</v>
      </c>
      <c r="Y44" s="37">
        <v>1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374</v>
      </c>
      <c r="D45" s="35" t="str">
        <f>IF(E45="","",VLOOKUP(E45,'Coaching Points'!A:B,2,0))</f>
        <v>QC</v>
      </c>
      <c r="E45" s="35" t="s">
        <v>85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64</v>
      </c>
      <c r="I45" s="40"/>
      <c r="J45" s="4">
        <f>R45+IF(OR(H45="Junior",H45="Senior"),0.0002,IF(OR(H45="L7",H45="L6"),0.0001,0))+MAX(Z45,AC45)*0.0000001</f>
        <v>38.5</v>
      </c>
      <c r="K45" s="3" t="str">
        <f>IF(G45="Not Age Eligible","",IF(MAX(T45,W45,Z45,AC45)&gt;=LOOKUP(G45,'Qualifying Scores'!$A$4:$A$7,'Qualifying Scores'!$I$4:$I$7),"P",""))</f>
        <v/>
      </c>
      <c r="L45" s="3" t="str">
        <f>IF(G45="Not Age Eligible","",IF(MAX(U45,X45,AA45,AD45)&gt;=LOOKUP(G45,'Qualifying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MAX(T45-V45,W45-Y45,Z45-AB45,AC45-AE45)</f>
        <v>38.5</v>
      </c>
      <c r="S45" s="4">
        <f>IF(R45=T45-V45,MAX(W45-Y45,Z45-AB45,AC45-AE45),IF(R45=W45-Y45,MAX(T45-V45,Z45-AB45,AC45-AE45),IF(R45=Z45-AB45,MAX(T45-V45,W45-Y45,AC45-AE45),IF(R45=AC45-AE45,MAX(T45-V45,W45-Y45,Z45-AB45),0))))</f>
        <v>36.5</v>
      </c>
      <c r="T45" s="32">
        <v>36.5</v>
      </c>
      <c r="U45" s="37">
        <v>4.2</v>
      </c>
      <c r="V45" s="37">
        <v>0</v>
      </c>
      <c r="W45" s="33">
        <v>38.5</v>
      </c>
      <c r="X45" s="37">
        <v>4.5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375</v>
      </c>
      <c r="D46" s="35" t="str">
        <f>IF(E46="","",VLOOKUP(E46,'Coaching Points'!A:B,2,0))</f>
        <v>ON</v>
      </c>
      <c r="E46" s="35" t="s">
        <v>138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64</v>
      </c>
      <c r="I46" s="40"/>
      <c r="J46" s="4">
        <f>R46+IF(OR(H46="Junior",H46="Senior"),0.0002,IF(OR(H46="L7",H46="L6"),0.0001,0))+MAX(Z46,AC46)*0.0000001</f>
        <v>38.299999999999997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MAX(T46-V46,W46-Y46,Z46-AB46,AC46-AE46)</f>
        <v>38.299999999999997</v>
      </c>
      <c r="S46" s="4">
        <f>IF(R46=T46-V46,MAX(W46-Y46,Z46-AB46,AC46-AE46),IF(R46=W46-Y46,MAX(T46-V46,Z46-AB46,AC46-AE46),IF(R46=Z46-AB46,MAX(T46-V46,W46-Y46,AC46-AE46),IF(R46=AC46-AE46,MAX(T46-V46,W46-Y46,Z46-AB46),0))))</f>
        <v>37.5</v>
      </c>
      <c r="T46" s="32">
        <v>37.5</v>
      </c>
      <c r="U46" s="37">
        <v>4.5999999999999996</v>
      </c>
      <c r="V46" s="37">
        <v>0</v>
      </c>
      <c r="W46" s="33">
        <v>38.299999999999997</v>
      </c>
      <c r="X46" s="37">
        <v>4.5999999999999996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$22&lt;&gt;"")*(G$3:G$22=G47)*(J$3:J$22&gt;J47)*(I$3:I$22="P"))+1,IF(O47&lt;&gt;"",SUMPRODUCT((O$3:O$22&lt;&gt;"")*(P$3:P$22="")*(G$3:G$22=G47)*(J$3:J$22&gt;J47)*(I$3:I$22="P"))+SUMPRODUCT((P$3:P$22&lt;&gt;"")*(G$3:G$22=G47)*(I$3:I$22="P"))+1,IF(N47&lt;&gt;"",SUMPRODUCT((N$3:N$22&lt;&gt;"")*(G$3:G$22=G47)*(J$3:J$22&gt;J47)*(I$3:I$22="P"))+1,IF(M47="P",SUMPRODUCT((O$3:O$22&lt;&gt;"")*(P$3:P$22="")*(G$3:G$22=G47)*(I$3:I$22="P"))+SUMPRODUCT((P$3:P$22&lt;&gt;"")*(G$3:G$22=G47)*(I$3:I$22="P"))+SUMPRODUCT((N$3:N$22&lt;&gt;"")*(G$3:G$22=G47)*(I$3:I$22="P"))+SUMPRODUCT((P$3:P$22="")*(O$3:O$22="")*(N$3:N$22="")*(M$3:M$22="P")*(G$3:G$22=G47)*(J$3:J$22&gt;J47)*(I$3:I$22="P"))+IF(H47="L5",SUMPRODUCT((P$3:P$22="")*(O$3:O$22="")*(N$3:N$22="")*(M$3:M$22="P")*(G$3:G$22=G47)*(J$3:J$22&lt;J47)*(H$3:H$22&lt;&gt;H47)*(I$3:I$22="P")),-1*SUMPRODUCT((P$3:P$22="")*(O$3:O$22="")*(N$3:N$22="")*(M$3:M$22="P")*(G$3:G$22=G47)*(J$3:J$22&gt;J47)*(H$3:H$22="L5")*(I$3:I$22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238</v>
      </c>
      <c r="D47" s="35" t="str">
        <f>IF(E47="","",VLOOKUP(E47,'Coaching Points'!A:B,2,0))</f>
        <v>ON</v>
      </c>
      <c r="E47" s="35" t="s">
        <v>45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64</v>
      </c>
      <c r="I47" s="40"/>
      <c r="J47" s="4">
        <f>R47+IF(OR(H47="Junior",H47="Senior"),0.0002,IF(OR(H47="L7",H47="L6"),0.0001,0))+MAX(Z47,AC47)*0.0000001</f>
        <v>38.200000000000003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MAX(T47-V47,W47-Y47,Z47-AB47,AC47-AE47)</f>
        <v>38.200000000000003</v>
      </c>
      <c r="S47" s="4">
        <f>IF(R47=T47-V47,MAX(W47-Y47,Z47-AB47,AC47-AE47),IF(R47=W47-Y47,MAX(T47-V47,Z47-AB47,AC47-AE47),IF(R47=Z47-AB47,MAX(T47-V47,W47-Y47,AC47-AE47),IF(R47=AC47-AE47,MAX(T47-V47,W47-Y47,Z47-AB47),0))))</f>
        <v>38</v>
      </c>
      <c r="T47" s="32">
        <v>38</v>
      </c>
      <c r="U47" s="37">
        <v>5.0999999999999996</v>
      </c>
      <c r="V47" s="37">
        <v>0</v>
      </c>
      <c r="W47" s="33">
        <v>38.200000000000003</v>
      </c>
      <c r="X47" s="37">
        <v>4.3000000000000007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$22&lt;&gt;"")*(G$3:G$22=G48)*(J$3:J$22&gt;J48)*(I$3:I$22="P"))+1,IF(O48&lt;&gt;"",SUMPRODUCT((O$3:O$22&lt;&gt;"")*(P$3:P$22="")*(G$3:G$22=G48)*(J$3:J$22&gt;J48)*(I$3:I$22="P"))+SUMPRODUCT((P$3:P$22&lt;&gt;"")*(G$3:G$22=G48)*(I$3:I$22="P"))+1,IF(N48&lt;&gt;"",SUMPRODUCT((N$3:N$22&lt;&gt;"")*(G$3:G$22=G48)*(J$3:J$22&gt;J48)*(I$3:I$22="P"))+1,IF(M48="P",SUMPRODUCT((O$3:O$22&lt;&gt;"")*(P$3:P$22="")*(G$3:G$22=G48)*(I$3:I$22="P"))+SUMPRODUCT((P$3:P$22&lt;&gt;"")*(G$3:G$22=G48)*(I$3:I$22="P"))+SUMPRODUCT((N$3:N$22&lt;&gt;"")*(G$3:G$22=G48)*(I$3:I$22="P"))+SUMPRODUCT((P$3:P$22="")*(O$3:O$22="")*(N$3:N$22="")*(M$3:M$22="P")*(G$3:G$22=G48)*(J$3:J$22&gt;J48)*(I$3:I$22="P"))+IF(H48="L5",SUMPRODUCT((P$3:P$22="")*(O$3:O$22="")*(N$3:N$22="")*(M$3:M$22="P")*(G$3:G$22=G48)*(J$3:J$22&lt;J48)*(H$3:H$22&lt;&gt;H48)*(I$3:I$22="P")),-1*SUMPRODUCT((P$3:P$22="")*(O$3:O$22="")*(N$3:N$22="")*(M$3:M$22="P")*(G$3:G$22=G48)*(J$3:J$22&gt;J48)*(H$3:H$22="L5")*(I$3:I$22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211</v>
      </c>
      <c r="D48" s="35" t="str">
        <f>IF(E48="","",VLOOKUP(E48,'Coaching Points'!A:B,2,0))</f>
        <v>AB</v>
      </c>
      <c r="E48" s="35" t="s">
        <v>56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64</v>
      </c>
      <c r="I48" s="40"/>
      <c r="J48" s="4">
        <f>R48+IF(OR(H48="Junior",H48="Senior"),0.0002,IF(OR(H48="L7",H48="L6"),0.0001,0))+MAX(Z48,AC48)*0.0000001</f>
        <v>38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MAX(T48-V48,W48-Y48,Z48-AB48,AC48-AE48)</f>
        <v>38</v>
      </c>
      <c r="S48" s="4">
        <f>IF(R48=T48-V48,MAX(W48-Y48,Z48-AB48,AC48-AE48),IF(R48=W48-Y48,MAX(T48-V48,Z48-AB48,AC48-AE48),IF(R48=Z48-AB48,MAX(T48-V48,W48-Y48,AC48-AE48),IF(R48=AC48-AE48,MAX(T48-V48,W48-Y48,Z48-AB48),0))))</f>
        <v>35.200000000000003</v>
      </c>
      <c r="T48" s="32">
        <v>35.200000000000003</v>
      </c>
      <c r="U48" s="37">
        <v>4.3</v>
      </c>
      <c r="V48" s="37">
        <v>0</v>
      </c>
      <c r="W48" s="33">
        <v>39</v>
      </c>
      <c r="X48" s="37">
        <v>5.3000000000000007</v>
      </c>
      <c r="Y48" s="37">
        <v>1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$22&lt;&gt;"")*(G$3:G$22=G49)*(J$3:J$22&gt;J49)*(I$3:I$22="P"))+1,IF(O49&lt;&gt;"",SUMPRODUCT((O$3:O$22&lt;&gt;"")*(P$3:P$22="")*(G$3:G$22=G49)*(J$3:J$22&gt;J49)*(I$3:I$22="P"))+SUMPRODUCT((P$3:P$22&lt;&gt;"")*(G$3:G$22=G49)*(I$3:I$22="P"))+1,IF(N49&lt;&gt;"",SUMPRODUCT((N$3:N$22&lt;&gt;"")*(G$3:G$22=G49)*(J$3:J$22&gt;J49)*(I$3:I$22="P"))+1,IF(M49="P",SUMPRODUCT((O$3:O$22&lt;&gt;"")*(P$3:P$22="")*(G$3:G$22=G49)*(I$3:I$22="P"))+SUMPRODUCT((P$3:P$22&lt;&gt;"")*(G$3:G$22=G49)*(I$3:I$22="P"))+SUMPRODUCT((N$3:N$22&lt;&gt;"")*(G$3:G$22=G49)*(I$3:I$22="P"))+SUMPRODUCT((P$3:P$22="")*(O$3:O$22="")*(N$3:N$22="")*(M$3:M$22="P")*(G$3:G$22=G49)*(J$3:J$22&gt;J49)*(I$3:I$22="P"))+IF(H49="L5",SUMPRODUCT((P$3:P$22="")*(O$3:O$22="")*(N$3:N$22="")*(M$3:M$22="P")*(G$3:G$22=G49)*(J$3:J$22&lt;J49)*(H$3:H$22&lt;&gt;H49)*(I$3:I$22="P")),-1*SUMPRODUCT((P$3:P$22="")*(O$3:O$22="")*(N$3:N$22="")*(M$3:M$22="P")*(G$3:G$22=G49)*(J$3:J$22&gt;J49)*(H$3:H$22="L5")*(I$3:I$22="P")))+1,"")))))</f>
        <v/>
      </c>
      <c r="B49" s="1" t="str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/>
      </c>
      <c r="C49" s="35" t="s">
        <v>376</v>
      </c>
      <c r="D49" s="35" t="str">
        <f>IF(E49="","",VLOOKUP(E49,'Coaching Points'!A:B,2,0))</f>
        <v>QC</v>
      </c>
      <c r="E49" s="35" t="s">
        <v>156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64</v>
      </c>
      <c r="I49" s="40"/>
      <c r="J49" s="4">
        <f>R49+IF(OR(H49="Junior",H49="Senior"),0.0002,IF(OR(H49="L7",H49="L6"),0.0001,0))+MAX(Z49,AC49)*0.0000001</f>
        <v>37.6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MAX(T49-V49,W49-Y49,Z49-AB49,AC49-AE49)</f>
        <v>37.6</v>
      </c>
      <c r="S49" s="4">
        <f>IF(R49=T49-V49,MAX(W49-Y49,Z49-AB49,AC49-AE49),IF(R49=W49-Y49,MAX(T49-V49,Z49-AB49,AC49-AE49),IF(R49=Z49-AB49,MAX(T49-V49,W49-Y49,AC49-AE49),IF(R49=AC49-AE49,MAX(T49-V49,W49-Y49,Z49-AB49),0))))</f>
        <v>36.9</v>
      </c>
      <c r="T49" s="32">
        <v>37.6</v>
      </c>
      <c r="U49" s="37">
        <v>4.3000000000000007</v>
      </c>
      <c r="V49" s="37">
        <v>0</v>
      </c>
      <c r="W49" s="33">
        <v>36.9</v>
      </c>
      <c r="X49" s="37">
        <v>4.5999999999999996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$22&lt;&gt;"")*(G$3:G$22=G50)*(J$3:J$22&gt;J50)*(I$3:I$22="P"))+1,IF(O50&lt;&gt;"",SUMPRODUCT((O$3:O$22&lt;&gt;"")*(P$3:P$22="")*(G$3:G$22=G50)*(J$3:J$22&gt;J50)*(I$3:I$22="P"))+SUMPRODUCT((P$3:P$22&lt;&gt;"")*(G$3:G$22=G50)*(I$3:I$22="P"))+1,IF(N50&lt;&gt;"",SUMPRODUCT((N$3:N$22&lt;&gt;"")*(G$3:G$22=G50)*(J$3:J$22&gt;J50)*(I$3:I$22="P"))+1,IF(M50="P",SUMPRODUCT((O$3:O$22&lt;&gt;"")*(P$3:P$22="")*(G$3:G$22=G50)*(I$3:I$22="P"))+SUMPRODUCT((P$3:P$22&lt;&gt;"")*(G$3:G$22=G50)*(I$3:I$22="P"))+SUMPRODUCT((N$3:N$22&lt;&gt;"")*(G$3:G$22=G50)*(I$3:I$22="P"))+SUMPRODUCT((P$3:P$22="")*(O$3:O$22="")*(N$3:N$22="")*(M$3:M$22="P")*(G$3:G$22=G50)*(J$3:J$22&gt;J50)*(I$3:I$22="P"))+IF(H50="L5",SUMPRODUCT((P$3:P$22="")*(O$3:O$22="")*(N$3:N$22="")*(M$3:M$22="P")*(G$3:G$22=G50)*(J$3:J$22&lt;J50)*(H$3:H$22&lt;&gt;H50)*(I$3:I$22="P")),-1*SUMPRODUCT((P$3:P$22="")*(O$3:O$22="")*(N$3:N$22="")*(M$3:M$22="P")*(G$3:G$22=G50)*(J$3:J$22&gt;J50)*(H$3:H$22="L5")*(I$3:I$22="P")))+1,"")))))</f>
        <v/>
      </c>
      <c r="B50" s="1" t="str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/>
      </c>
      <c r="C50" s="35" t="s">
        <v>307</v>
      </c>
      <c r="D50" s="35" t="str">
        <f>IF(E50="","",VLOOKUP(E50,'Coaching Points'!A:B,2,0))</f>
        <v>AB</v>
      </c>
      <c r="E50" s="35" t="s">
        <v>61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65</v>
      </c>
      <c r="I50" s="40"/>
      <c r="J50" s="4">
        <f>R50+IF(OR(H50="Junior",H50="Senior"),0.0002,IF(OR(H50="L7",H50="L6"),0.0001,0))+MAX(Z50,AC50)*0.0000001</f>
        <v>37.400100000000002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>P</v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MAX(T50-V50,W50-Y50,Z50-AB50,AC50-AE50)</f>
        <v>37.4</v>
      </c>
      <c r="S50" s="4">
        <f>IF(R50=T50-V50,MAX(W50-Y50,Z50-AB50,AC50-AE50),IF(R50=W50-Y50,MAX(T50-V50,Z50-AB50,AC50-AE50),IF(R50=Z50-AB50,MAX(T50-V50,W50-Y50,AC50-AE50),IF(R50=AC50-AE50,MAX(T50-V50,W50-Y50,Z50-AB50),0))))</f>
        <v>35.300000000000004</v>
      </c>
      <c r="T50" s="32">
        <v>36.200000000000003</v>
      </c>
      <c r="U50" s="37">
        <v>5.4</v>
      </c>
      <c r="V50" s="37">
        <v>0.89999999999999991</v>
      </c>
      <c r="W50" s="33">
        <v>38</v>
      </c>
      <c r="X50" s="37">
        <v>7.4</v>
      </c>
      <c r="Y50" s="37">
        <v>0.6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$22&lt;&gt;"")*(G$3:G$22=G51)*(J$3:J$22&gt;J51)*(I$3:I$22="P"))+1,IF(O51&lt;&gt;"",SUMPRODUCT((O$3:O$22&lt;&gt;"")*(P$3:P$22="")*(G$3:G$22=G51)*(J$3:J$22&gt;J51)*(I$3:I$22="P"))+SUMPRODUCT((P$3:P$22&lt;&gt;"")*(G$3:G$22=G51)*(I$3:I$22="P"))+1,IF(N51&lt;&gt;"",SUMPRODUCT((N$3:N$22&lt;&gt;"")*(G$3:G$22=G51)*(J$3:J$22&gt;J51)*(I$3:I$22="P"))+1,IF(M51="P",SUMPRODUCT((O$3:O$22&lt;&gt;"")*(P$3:P$22="")*(G$3:G$22=G51)*(I$3:I$22="P"))+SUMPRODUCT((P$3:P$22&lt;&gt;"")*(G$3:G$22=G51)*(I$3:I$22="P"))+SUMPRODUCT((N$3:N$22&lt;&gt;"")*(G$3:G$22=G51)*(I$3:I$22="P"))+SUMPRODUCT((P$3:P$22="")*(O$3:O$22="")*(N$3:N$22="")*(M$3:M$22="P")*(G$3:G$22=G51)*(J$3:J$22&gt;J51)*(I$3:I$22="P"))+IF(H51="L5",SUMPRODUCT((P$3:P$22="")*(O$3:O$22="")*(N$3:N$22="")*(M$3:M$22="P")*(G$3:G$22=G51)*(J$3:J$22&lt;J51)*(H$3:H$22&lt;&gt;H51)*(I$3:I$22="P")),-1*SUMPRODUCT((P$3:P$22="")*(O$3:O$22="")*(N$3:N$22="")*(M$3:M$22="P")*(G$3:G$22=G51)*(J$3:J$22&gt;J51)*(H$3:H$22="L5")*(I$3:I$22="P")))+1,"")))))</f>
        <v/>
      </c>
      <c r="B51" s="1" t="str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/>
      </c>
      <c r="C51" s="35" t="s">
        <v>212</v>
      </c>
      <c r="D51" s="35" t="str">
        <f>IF(E51="","",VLOOKUP(E51,'Coaching Points'!A:B,2,0))</f>
        <v>AB</v>
      </c>
      <c r="E51" s="35" t="s">
        <v>28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>R51+IF(OR(H51="Junior",H51="Senior"),0.0002,IF(OR(H51="L7",H51="L6"),0.0001,0))+MAX(Z51,AC51)*0.0000001</f>
        <v>35.6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IF(A51&lt;5,IF(_xlfn.MAXIFS(A:A,G:G,G51)&gt;3,5-A51,_xlfn.MAXIFS(A:A,G:G,G51)+1-A51),"")</f>
        <v/>
      </c>
      <c r="R51" s="4">
        <f>MAX(T51-V51,W51-Y51,Z51-AB51,AC51-AE51)</f>
        <v>35.6</v>
      </c>
      <c r="S51" s="4">
        <f>IF(R51=T51-V51,MAX(W51-Y51,Z51-AB51,AC51-AE51),IF(R51=W51-Y51,MAX(T51-V51,Z51-AB51,AC51-AE51),IF(R51=Z51-AB51,MAX(T51-V51,W51-Y51,AC51-AE51),IF(R51=AC51-AE51,MAX(T51-V51,W51-Y51,Z51-AB51),0))))</f>
        <v>35.4</v>
      </c>
      <c r="T51" s="32">
        <v>35.4</v>
      </c>
      <c r="U51" s="37">
        <v>3.3</v>
      </c>
      <c r="V51" s="37">
        <v>0</v>
      </c>
      <c r="W51" s="33">
        <v>35.6</v>
      </c>
      <c r="X51" s="37">
        <v>4.4000000000000004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$22&lt;&gt;"")*(G$3:G$22=G52)*(J$3:J$22&gt;J52)*(I$3:I$22="P"))+1,IF(O52&lt;&gt;"",SUMPRODUCT((O$3:O$22&lt;&gt;"")*(P$3:P$22="")*(G$3:G$22=G52)*(J$3:J$22&gt;J52)*(I$3:I$22="P"))+SUMPRODUCT((P$3:P$22&lt;&gt;"")*(G$3:G$22=G52)*(I$3:I$22="P"))+1,IF(N52&lt;&gt;"",SUMPRODUCT((N$3:N$22&lt;&gt;"")*(G$3:G$22=G52)*(J$3:J$22&gt;J52)*(I$3:I$22="P"))+1,IF(M52="P",SUMPRODUCT((O$3:O$22&lt;&gt;"")*(P$3:P$22="")*(G$3:G$22=G52)*(I$3:I$22="P"))+SUMPRODUCT((P$3:P$22&lt;&gt;"")*(G$3:G$22=G52)*(I$3:I$22="P"))+SUMPRODUCT((N$3:N$22&lt;&gt;"")*(G$3:G$22=G52)*(I$3:I$22="P"))+SUMPRODUCT((P$3:P$22="")*(O$3:O$22="")*(N$3:N$22="")*(M$3:M$22="P")*(G$3:G$22=G52)*(J$3:J$22&gt;J52)*(I$3:I$22="P"))+IF(H52="L5",SUMPRODUCT((P$3:P$22="")*(O$3:O$22="")*(N$3:N$22="")*(M$3:M$22="P")*(G$3:G$22=G52)*(J$3:J$22&lt;J52)*(H$3:H$22&lt;&gt;H52)*(I$3:I$22="P")),-1*SUMPRODUCT((P$3:P$22="")*(O$3:O$22="")*(N$3:N$22="")*(M$3:M$22="P")*(G$3:G$22=G52)*(J$3:J$22&gt;J52)*(H$3:H$22="L5")*(I$3:I$22="P")))+1,"")))))</f>
        <v/>
      </c>
      <c r="B52" s="1" t="str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/>
      </c>
      <c r="C52" s="35" t="s">
        <v>230</v>
      </c>
      <c r="D52" s="35" t="str">
        <f>IF(E52="","",VLOOKUP(E52,'Coaching Points'!A:B,2,0))</f>
        <v>AB</v>
      </c>
      <c r="E52" s="35" t="s">
        <v>28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64</v>
      </c>
      <c r="I52" s="40"/>
      <c r="J52" s="4">
        <f>R52+IF(OR(H52="Junior",H52="Senior"),0.0002,IF(OR(H52="L7",H52="L6"),0.0001,0))+MAX(Z52,AC52)*0.0000001</f>
        <v>34.700000000000003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MAX(T52-V52,W52-Y52,Z52-AB52,AC52-AE52)</f>
        <v>34.700000000000003</v>
      </c>
      <c r="S52" s="4">
        <f>IF(R52=T52-V52,MAX(W52-Y52,Z52-AB52,AC52-AE52),IF(R52=W52-Y52,MAX(T52-V52,Z52-AB52,AC52-AE52),IF(R52=Z52-AB52,MAX(T52-V52,W52-Y52,AC52-AE52),IF(R52=AC52-AE52,MAX(T52-V52,W52-Y52,Z52-AB52),0))))</f>
        <v>34.1</v>
      </c>
      <c r="T52" s="32">
        <v>34.700000000000003</v>
      </c>
      <c r="U52" s="37">
        <v>3.2</v>
      </c>
      <c r="V52" s="37">
        <v>0</v>
      </c>
      <c r="W52" s="33">
        <v>34.1</v>
      </c>
      <c r="X52" s="37">
        <v>4.9000000000000004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$22&lt;&gt;"")*(G$3:G$22=G53)*(J$3:J$22&gt;J53)*(I$3:I$22="P"))+1,IF(O53&lt;&gt;"",SUMPRODUCT((O$3:O$22&lt;&gt;"")*(P$3:P$22="")*(G$3:G$22=G53)*(J$3:J$22&gt;J53)*(I$3:I$22="P"))+SUMPRODUCT((P$3:P$22&lt;&gt;"")*(G$3:G$22=G53)*(I$3:I$22="P"))+1,IF(N53&lt;&gt;"",SUMPRODUCT((N$3:N$22&lt;&gt;"")*(G$3:G$22=G53)*(J$3:J$22&gt;J53)*(I$3:I$22="P"))+1,IF(M53="P",SUMPRODUCT((O$3:O$22&lt;&gt;"")*(P$3:P$22="")*(G$3:G$22=G53)*(I$3:I$22="P"))+SUMPRODUCT((P$3:P$22&lt;&gt;"")*(G$3:G$22=G53)*(I$3:I$22="P"))+SUMPRODUCT((N$3:N$22&lt;&gt;"")*(G$3:G$22=G53)*(I$3:I$22="P"))+SUMPRODUCT((P$3:P$22="")*(O$3:O$22="")*(N$3:N$22="")*(M$3:M$22="P")*(G$3:G$22=G53)*(J$3:J$22&gt;J53)*(I$3:I$22="P"))+IF(H53="L5",SUMPRODUCT((P$3:P$22="")*(O$3:O$22="")*(N$3:N$22="")*(M$3:M$22="P")*(G$3:G$22=G53)*(J$3:J$22&lt;J53)*(H$3:H$22&lt;&gt;H53)*(I$3:I$22="P")),-1*SUMPRODUCT((P$3:P$22="")*(O$3:O$22="")*(N$3:N$22="")*(M$3:M$22="P")*(G$3:G$22=G53)*(J$3:J$22&gt;J53)*(H$3:H$22="L5")*(I$3:I$22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285</v>
      </c>
      <c r="D53" s="35" t="str">
        <f>IF(E53="","",VLOOKUP(E53,'Coaching Points'!A:B,2,0))</f>
        <v>BC</v>
      </c>
      <c r="E53" s="35" t="s">
        <v>40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36" t="s">
        <v>64</v>
      </c>
      <c r="I53" s="40"/>
      <c r="J53" s="4">
        <f>R53+IF(OR(H53="Junior",H53="Senior"),0.0002,IF(OR(H53="L7",H53="L6"),0.0001,0))+MAX(Z53,AC53)*0.0000001</f>
        <v>37.200000000000003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MAX(T53-V53,W53-Y53,Z53-AB53,AC53-AE53)</f>
        <v>37.200000000000003</v>
      </c>
      <c r="S53" s="4">
        <f>IF(R53=T53-V53,MAX(W53-Y53,Z53-AB53,AC53-AE53),IF(R53=W53-Y53,MAX(T53-V53,Z53-AB53,AC53-AE53),IF(R53=Z53-AB53,MAX(T53-V53,W53-Y53,AC53-AE53),IF(R53=AC53-AE53,MAX(T53-V53,W53-Y53,Z53-AB53),0))))</f>
        <v>34</v>
      </c>
      <c r="T53" s="32">
        <v>34</v>
      </c>
      <c r="U53" s="37">
        <v>4.5999999999999996</v>
      </c>
      <c r="V53" s="37">
        <v>0</v>
      </c>
      <c r="W53" s="33">
        <v>37.200000000000003</v>
      </c>
      <c r="X53" s="37">
        <v>4.5999999999999996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$22&lt;&gt;"")*(G$3:G$22=G54)*(J$3:J$22&gt;J54)*(I$3:I$22="P"))+1,IF(O54&lt;&gt;"",SUMPRODUCT((O$3:O$22&lt;&gt;"")*(P$3:P$22="")*(G$3:G$22=G54)*(J$3:J$22&gt;J54)*(I$3:I$22="P"))+SUMPRODUCT((P$3:P$22&lt;&gt;"")*(G$3:G$22=G54)*(I$3:I$22="P"))+1,IF(N54&lt;&gt;"",SUMPRODUCT((N$3:N$22&lt;&gt;"")*(G$3:G$22=G54)*(J$3:J$22&gt;J54)*(I$3:I$22="P"))+1,IF(M54="P",SUMPRODUCT((O$3:O$22&lt;&gt;"")*(P$3:P$22="")*(G$3:G$22=G54)*(I$3:I$22="P"))+SUMPRODUCT((P$3:P$22&lt;&gt;"")*(G$3:G$22=G54)*(I$3:I$22="P"))+SUMPRODUCT((N$3:N$22&lt;&gt;"")*(G$3:G$22=G54)*(I$3:I$22="P"))+SUMPRODUCT((P$3:P$22="")*(O$3:O$22="")*(N$3:N$22="")*(M$3:M$22="P")*(G$3:G$22=G54)*(J$3:J$22&gt;J54)*(I$3:I$22="P"))+IF(H54="L5",SUMPRODUCT((P$3:P$22="")*(O$3:O$22="")*(N$3:N$22="")*(M$3:M$22="P")*(G$3:G$22=G54)*(J$3:J$22&lt;J54)*(H$3:H$22&lt;&gt;H54)*(I$3:I$22="P")),-1*SUMPRODUCT((P$3:P$22="")*(O$3:O$22="")*(N$3:N$22="")*(M$3:M$22="P")*(G$3:G$22=G54)*(J$3:J$22&gt;J54)*(H$3:H$22="L5")*(I$3:I$22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372</v>
      </c>
      <c r="D54" s="35" t="str">
        <f>IF(E54="","",VLOOKUP(E54,'Coaching Points'!A:B,2,0))</f>
        <v>ON</v>
      </c>
      <c r="E54" s="35" t="s">
        <v>131</v>
      </c>
      <c r="F54" s="34">
        <v>2010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13-14</v>
      </c>
      <c r="H54" s="36" t="s">
        <v>64</v>
      </c>
      <c r="I54" s="40"/>
      <c r="J54" s="4">
        <f>R54+IF(OR(H54="Junior",H54="Senior"),0.0002,IF(OR(H54="L7",H54="L6"),0.0001,0))+MAX(Z54,AC54)*0.0000001</f>
        <v>36.5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MAX(T54-V54,W54-Y54,Z54-AB54,AC54-AE54)</f>
        <v>36.5</v>
      </c>
      <c r="S54" s="4">
        <f>IF(R54=T54-V54,MAX(W54-Y54,Z54-AB54,AC54-AE54),IF(R54=W54-Y54,MAX(T54-V54,Z54-AB54,AC54-AE54),IF(R54=Z54-AB54,MAX(T54-V54,W54-Y54,AC54-AE54),IF(R54=AC54-AE54,MAX(T54-V54,W54-Y54,Z54-AB54),0))))</f>
        <v>30.5</v>
      </c>
      <c r="T54" s="32">
        <v>36.5</v>
      </c>
      <c r="U54" s="37">
        <v>4.4000000000000004</v>
      </c>
      <c r="V54" s="37">
        <v>0</v>
      </c>
      <c r="W54" s="33">
        <v>30.5</v>
      </c>
      <c r="X54" s="37">
        <v>3.6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$22&lt;&gt;"")*(G$3:G$22=G55)*(J$3:J$22&gt;J55)*(I$3:I$22="P"))+1,IF(O55&lt;&gt;"",SUMPRODUCT((O$3:O$22&lt;&gt;"")*(P$3:P$22="")*(G$3:G$22=G55)*(J$3:J$22&gt;J55)*(I$3:I$22="P"))+SUMPRODUCT((P$3:P$22&lt;&gt;"")*(G$3:G$22=G55)*(I$3:I$22="P"))+1,IF(N55&lt;&gt;"",SUMPRODUCT((N$3:N$22&lt;&gt;"")*(G$3:G$22=G55)*(J$3:J$22&gt;J55)*(I$3:I$22="P"))+1,IF(M55="P",SUMPRODUCT((O$3:O$22&lt;&gt;"")*(P$3:P$22="")*(G$3:G$22=G55)*(I$3:I$22="P"))+SUMPRODUCT((P$3:P$22&lt;&gt;"")*(G$3:G$22=G55)*(I$3:I$22="P"))+SUMPRODUCT((N$3:N$22&lt;&gt;"")*(G$3:G$22=G55)*(I$3:I$22="P"))+SUMPRODUCT((P$3:P$22="")*(O$3:O$22="")*(N$3:N$22="")*(M$3:M$22="P")*(G$3:G$22=G55)*(J$3:J$22&gt;J55)*(I$3:I$22="P"))+IF(H55="L5",SUMPRODUCT((P$3:P$22="")*(O$3:O$22="")*(N$3:N$22="")*(M$3:M$22="P")*(G$3:G$22=G55)*(J$3:J$22&lt;J55)*(H$3:H$22&lt;&gt;H55)*(I$3:I$22="P")),-1*SUMPRODUCT((P$3:P$22="")*(O$3:O$22="")*(N$3:N$22="")*(M$3:M$22="P")*(G$3:G$22=G55)*(J$3:J$22&gt;J55)*(H$3:H$22="L5")*(I$3:I$22="P")))+1,"")))))</f>
        <v/>
      </c>
      <c r="B55" s="1" t="str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/>
      </c>
      <c r="C55" s="35" t="s">
        <v>305</v>
      </c>
      <c r="D55" s="35" t="str">
        <f>IF(E55="","",VLOOKUP(E55,'Coaching Points'!A:B,2,0))</f>
        <v>AB</v>
      </c>
      <c r="E55" s="35" t="s">
        <v>56</v>
      </c>
      <c r="F55" s="34">
        <v>2011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64</v>
      </c>
      <c r="I55" s="40"/>
      <c r="J55" s="4">
        <f>R55+IF(OR(H55="Junior",H55="Senior"),0.0002,IF(OR(H55="L7",H55="L6"),0.0001,0))+MAX(Z55,AC55)*0.0000001</f>
        <v>36.4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MAX(T55-V55,W55-Y55,Z55-AB55,AC55-AE55)</f>
        <v>36.4</v>
      </c>
      <c r="S55" s="4">
        <f>IF(R55=T55-V55,MAX(W55-Y55,Z55-AB55,AC55-AE55),IF(R55=W55-Y55,MAX(T55-V55,Z55-AB55,AC55-AE55),IF(R55=Z55-AB55,MAX(T55-V55,W55-Y55,AC55-AE55),IF(R55=AC55-AE55,MAX(T55-V55,W55-Y55,Z55-AB55),0))))</f>
        <v>34.700000000000003</v>
      </c>
      <c r="T55" s="32">
        <v>37.4</v>
      </c>
      <c r="U55" s="37">
        <v>6.2</v>
      </c>
      <c r="V55" s="37">
        <v>1</v>
      </c>
      <c r="W55" s="33">
        <v>35.700000000000003</v>
      </c>
      <c r="X55" s="37">
        <v>6</v>
      </c>
      <c r="Y55" s="37">
        <v>1</v>
      </c>
      <c r="Z55" s="32"/>
      <c r="AA55" s="37"/>
      <c r="AB55" s="37"/>
      <c r="AC55" s="33"/>
      <c r="AD55" s="37"/>
      <c r="AE55" s="37"/>
    </row>
  </sheetData>
  <sheetProtection sheet="1" formatCells="0" formatColumns="0" formatRows="0"/>
  <autoFilter ref="A1:AE55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5">
      <sortCondition descending="1" ref="G1:G56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2024-04-14T00:47:52Z</dcterms:modified>
</cp:coreProperties>
</file>