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rampoline Canada Website/Ranking Lists/"/>
    </mc:Choice>
  </mc:AlternateContent>
  <xr:revisionPtr revIDLastSave="0" documentId="13_ncr:1_{9846C7E2-7924-9A45-A3C3-A822C7EECDC1}" xr6:coauthVersionLast="45" xr6:coauthVersionMax="45" xr10:uidLastSave="{00000000-0000-0000-0000-000000000000}"/>
  <bookViews>
    <workbookView xWindow="1000" yWindow="2640" windowWidth="28040" windowHeight="13940" xr2:uid="{15727105-E183-7848-AD27-3969DFF44B5A}"/>
  </bookViews>
  <sheets>
    <sheet name="Athletes" sheetId="1" r:id="rId1"/>
    <sheet name="Info" sheetId="2" r:id="rId2"/>
  </sheets>
  <definedNames>
    <definedName name="_xlnm._FilterDatabase" localSheetId="0" hidden="1">Athletes!$A$1:$T$1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" l="1"/>
  <c r="M3" i="1"/>
  <c r="N3" i="1"/>
  <c r="O3" i="1"/>
  <c r="P3" i="1"/>
  <c r="Q3" i="1"/>
  <c r="R3" i="1"/>
  <c r="S3" i="1"/>
  <c r="L4" i="1"/>
  <c r="M4" i="1"/>
  <c r="N4" i="1"/>
  <c r="O4" i="1"/>
  <c r="P4" i="1"/>
  <c r="Q4" i="1"/>
  <c r="R4" i="1"/>
  <c r="S4" i="1"/>
  <c r="L5" i="1"/>
  <c r="M5" i="1"/>
  <c r="N5" i="1"/>
  <c r="O5" i="1"/>
  <c r="P5" i="1"/>
  <c r="Q5" i="1"/>
  <c r="R5" i="1"/>
  <c r="S5" i="1"/>
  <c r="L6" i="1"/>
  <c r="M6" i="1"/>
  <c r="N6" i="1"/>
  <c r="O6" i="1"/>
  <c r="P6" i="1"/>
  <c r="Q6" i="1"/>
  <c r="R6" i="1"/>
  <c r="S6" i="1"/>
  <c r="L9" i="1"/>
  <c r="M9" i="1"/>
  <c r="N9" i="1"/>
  <c r="O9" i="1"/>
  <c r="P9" i="1"/>
  <c r="Q9" i="1"/>
  <c r="R9" i="1"/>
  <c r="S9" i="1"/>
  <c r="L7" i="1"/>
  <c r="M7" i="1"/>
  <c r="N7" i="1"/>
  <c r="O7" i="1"/>
  <c r="P7" i="1"/>
  <c r="Q7" i="1"/>
  <c r="R7" i="1"/>
  <c r="S7" i="1"/>
  <c r="L8" i="1"/>
  <c r="M8" i="1"/>
  <c r="N8" i="1"/>
  <c r="O8" i="1"/>
  <c r="P8" i="1"/>
  <c r="Q8" i="1"/>
  <c r="R8" i="1"/>
  <c r="S8" i="1"/>
  <c r="B4" i="1" l="1"/>
  <c r="B3" i="1"/>
  <c r="B9" i="1"/>
  <c r="B7" i="1"/>
  <c r="B8" i="1"/>
  <c r="B6" i="1"/>
  <c r="B5" i="1"/>
  <c r="S2" i="1"/>
  <c r="R2" i="1"/>
  <c r="L2" i="1"/>
  <c r="N2" i="1"/>
  <c r="O2" i="1"/>
  <c r="P2" i="1"/>
  <c r="Q2" i="1"/>
  <c r="M2" i="1"/>
  <c r="B2" i="1" l="1"/>
</calcChain>
</file>

<file path=xl/sharedStrings.xml><?xml version="1.0" encoding="utf-8"?>
<sst xmlns="http://schemas.openxmlformats.org/spreadsheetml/2006/main" count="46" uniqueCount="23">
  <si>
    <t>Worlds</t>
  </si>
  <si>
    <t>AZE</t>
  </si>
  <si>
    <t>RUS</t>
  </si>
  <si>
    <t>ESP</t>
  </si>
  <si>
    <t>ITA</t>
  </si>
  <si>
    <t>Nationals</t>
  </si>
  <si>
    <t>BLR</t>
  </si>
  <si>
    <t>-</t>
  </si>
  <si>
    <t>F</t>
  </si>
  <si>
    <t>M</t>
  </si>
  <si>
    <t>Gender</t>
  </si>
  <si>
    <t>Total</t>
  </si>
  <si>
    <t>Olympic Quotas</t>
  </si>
  <si>
    <t>Rosannagh MacLennan</t>
  </si>
  <si>
    <t>Samantha Smith</t>
  </si>
  <si>
    <t>Sarah Milette</t>
  </si>
  <si>
    <t>Sophiane Méthot</t>
  </si>
  <si>
    <t>Rachel Tam</t>
  </si>
  <si>
    <t>Jérémy Chartier</t>
  </si>
  <si>
    <t>Keegan Soehn</t>
  </si>
  <si>
    <t>Jason Burnett</t>
  </si>
  <si>
    <t>Male</t>
  </si>
  <si>
    <t>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</si>
</sst>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 applyBorder="1" applyAlignment="1">
      <alignment horizontal="center"/>
    </xf>
  </cellXfs>
  <cellStyles count="1">
    <cellStyle name="Normal" xfId="0" builtinId="0"/>
  </cellStyles>
  <dxfs count="2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BDFE6"/>
      <color rgb="FFFFC2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12700</xdr:rowOff>
        </xdr:from>
        <xdr:to>
          <xdr:col>0</xdr:col>
          <xdr:colOff>1066800</xdr:colOff>
          <xdr:row>0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F90-94F9-6841-A494-9890F2A4F360}">
  <sheetPr codeName="Sheet1"/>
  <dimension ref="A1:T9"/>
  <sheetViews>
    <sheetView tabSelected="1" zoomScaleNormal="100" workbookViewId="0"/>
  </sheetViews>
  <sheetFormatPr baseColWidth="10" defaultRowHeight="16" x14ac:dyDescent="0.2"/>
  <cols>
    <col min="1" max="1" width="20.1640625" bestFit="1" customWidth="1"/>
  </cols>
  <sheetData>
    <row r="1" spans="1:20" x14ac:dyDescent="0.2">
      <c r="A1" s="6"/>
      <c r="B1" s="7" t="s">
        <v>11</v>
      </c>
      <c r="C1" s="6" t="s">
        <v>10</v>
      </c>
      <c r="D1" s="6" t="s">
        <v>0</v>
      </c>
      <c r="E1" s="6" t="s">
        <v>1</v>
      </c>
      <c r="F1" s="6" t="s">
        <v>6</v>
      </c>
      <c r="G1" s="6" t="s">
        <v>2</v>
      </c>
      <c r="H1" s="6" t="s">
        <v>3</v>
      </c>
      <c r="I1" s="6" t="s">
        <v>1</v>
      </c>
      <c r="J1" s="6" t="s">
        <v>4</v>
      </c>
      <c r="K1" s="6" t="s">
        <v>5</v>
      </c>
      <c r="L1" s="6" t="s">
        <v>0</v>
      </c>
      <c r="M1" s="6" t="s">
        <v>1</v>
      </c>
      <c r="N1" s="6" t="s">
        <v>6</v>
      </c>
      <c r="O1" s="6" t="s">
        <v>2</v>
      </c>
      <c r="P1" s="6" t="s">
        <v>3</v>
      </c>
      <c r="Q1" s="6" t="s">
        <v>1</v>
      </c>
      <c r="R1" s="6" t="s">
        <v>4</v>
      </c>
      <c r="S1" s="6" t="s">
        <v>5</v>
      </c>
    </row>
    <row r="2" spans="1:20" x14ac:dyDescent="0.2">
      <c r="A2" s="1" t="s">
        <v>13</v>
      </c>
      <c r="B2" s="2">
        <f t="shared" ref="B2:B9" si="0">SUM(L2:S2)-SMALL(L2:S2,1)-SMALL(L2:S2,2)-SMALL(L2:S2,3)-SMALL(L2:S2,4)</f>
        <v>147</v>
      </c>
      <c r="C2" s="3" t="s">
        <v>8</v>
      </c>
      <c r="D2" s="3">
        <v>3</v>
      </c>
      <c r="E2" s="4">
        <v>2</v>
      </c>
      <c r="F2" s="4">
        <v>50</v>
      </c>
      <c r="G2" s="4">
        <v>16</v>
      </c>
      <c r="H2" s="4">
        <v>24</v>
      </c>
      <c r="I2" s="4">
        <v>14</v>
      </c>
      <c r="J2" s="4"/>
      <c r="K2" s="4"/>
      <c r="L2" s="3">
        <f t="shared" ref="L2:L9" si="1">IF(OR(D2="",D2&gt;30),0,IF(D2=1,70,IF(D2=2,65,IF(D2=3,60,IF(D2=4,54,IF(D2=5,48,IF(D2=6,42,IF(D2=7,38,IF(D2=8,35,IF(D2=9,22,IF(D2=10,21,IF(D2=11,20,IF(D2=12,19,IF(D2=13,18,IF(D2=14,17,IF(D2=15,16,IF(D2=16,15,IF(D2=17,14,IF(D2=18,13,IF(D2=19,12,IF(D2=20,11,IF(D2=21,10,IF(D2=22,9,IF(D2=23,8,IF(D2=24,7,IF(D2=25,6,IF(D2=26,5,IF(D2=27,4,IF(D2=28,3,IF(D2=29,2,IF(D2=30,1)))))))))))))))))))))))))))))))</f>
        <v>60</v>
      </c>
      <c r="M2" s="4">
        <f t="shared" ref="M2:R9" si="2">IF(OR(E2="",E2&gt;30),0,IF(E2=1,60,IF(E2=2,55,IF(E2=3,50,IF(E2=4,44,IF(E2=5,38,IF(E2=6,32,IF(E2=7,28,IF(E2=8,25,IF(E2=9,22,IF(E2=10,21,IF(E2=11,20,IF(E2=12,19,IF(E2=13,18,IF(E2=14,17,IF(E2=15,16,IF(E2=16,15,IF(E2=17,14,IF(E2=18,13,IF(E2=19,12,IF(E2=20,11,IF(E2=21,10,IF(E2=22,9,IF(E2=23,8,IF(E2=24,7,IF(E2=25,6,IF(E2=26,5,IF(E2=27,4,IF(E2=28,3,IF(E2=29,2,IF(E2=30,1)))))))))))))))))))))))))))))))</f>
        <v>55</v>
      </c>
      <c r="N2" s="4">
        <f t="shared" si="2"/>
        <v>0</v>
      </c>
      <c r="O2" s="4">
        <f t="shared" si="2"/>
        <v>15</v>
      </c>
      <c r="P2" s="4">
        <f t="shared" si="2"/>
        <v>7</v>
      </c>
      <c r="Q2" s="4">
        <f t="shared" si="2"/>
        <v>17</v>
      </c>
      <c r="R2" s="4">
        <f t="shared" si="2"/>
        <v>0</v>
      </c>
      <c r="S2" s="5">
        <f t="shared" ref="S2:S9" si="3">IF(OR(K2="",K2&gt;3),0,IF(K2=1,3,IF(K2=2,2,IF(K2=3,1))))</f>
        <v>0</v>
      </c>
      <c r="T2" s="11"/>
    </row>
    <row r="3" spans="1:20" x14ac:dyDescent="0.2">
      <c r="A3" s="1" t="s">
        <v>14</v>
      </c>
      <c r="B3" s="2">
        <f t="shared" si="0"/>
        <v>114</v>
      </c>
      <c r="C3" s="3" t="s">
        <v>8</v>
      </c>
      <c r="D3" s="3">
        <v>7</v>
      </c>
      <c r="E3" s="4">
        <v>15</v>
      </c>
      <c r="F3" s="4">
        <v>26</v>
      </c>
      <c r="G3" s="4">
        <v>21</v>
      </c>
      <c r="H3" s="4">
        <v>47</v>
      </c>
      <c r="I3" s="4">
        <v>3</v>
      </c>
      <c r="J3" s="4"/>
      <c r="K3" s="4"/>
      <c r="L3" s="3">
        <f t="shared" si="1"/>
        <v>38</v>
      </c>
      <c r="M3" s="4">
        <f t="shared" si="2"/>
        <v>16</v>
      </c>
      <c r="N3" s="4">
        <f t="shared" si="2"/>
        <v>5</v>
      </c>
      <c r="O3" s="4">
        <f t="shared" si="2"/>
        <v>10</v>
      </c>
      <c r="P3" s="4">
        <f t="shared" si="2"/>
        <v>0</v>
      </c>
      <c r="Q3" s="4">
        <f t="shared" si="2"/>
        <v>50</v>
      </c>
      <c r="R3" s="4">
        <f t="shared" si="2"/>
        <v>0</v>
      </c>
      <c r="S3" s="5">
        <f t="shared" si="3"/>
        <v>0</v>
      </c>
    </row>
    <row r="4" spans="1:20" x14ac:dyDescent="0.2">
      <c r="A4" s="1" t="s">
        <v>15</v>
      </c>
      <c r="B4" s="2">
        <f t="shared" si="0"/>
        <v>72</v>
      </c>
      <c r="C4" s="3" t="s">
        <v>8</v>
      </c>
      <c r="D4" s="3">
        <v>22</v>
      </c>
      <c r="E4" s="4">
        <v>31</v>
      </c>
      <c r="F4" s="4">
        <v>19</v>
      </c>
      <c r="G4" s="4">
        <v>40</v>
      </c>
      <c r="H4" s="4">
        <v>5</v>
      </c>
      <c r="I4" s="4">
        <v>18</v>
      </c>
      <c r="J4" s="4"/>
      <c r="K4" s="4"/>
      <c r="L4" s="3">
        <f t="shared" si="1"/>
        <v>9</v>
      </c>
      <c r="M4" s="4">
        <f t="shared" si="2"/>
        <v>0</v>
      </c>
      <c r="N4" s="4">
        <f t="shared" si="2"/>
        <v>12</v>
      </c>
      <c r="O4" s="4">
        <f t="shared" si="2"/>
        <v>0</v>
      </c>
      <c r="P4" s="4">
        <f t="shared" si="2"/>
        <v>38</v>
      </c>
      <c r="Q4" s="4">
        <f t="shared" si="2"/>
        <v>13</v>
      </c>
      <c r="R4" s="4">
        <f t="shared" si="2"/>
        <v>0</v>
      </c>
      <c r="S4" s="5">
        <f t="shared" si="3"/>
        <v>0</v>
      </c>
    </row>
    <row r="5" spans="1:20" x14ac:dyDescent="0.2">
      <c r="A5" s="4" t="s">
        <v>16</v>
      </c>
      <c r="B5" s="2">
        <f t="shared" si="0"/>
        <v>12</v>
      </c>
      <c r="C5" s="3" t="s">
        <v>8</v>
      </c>
      <c r="D5" s="3">
        <v>39</v>
      </c>
      <c r="E5" s="4">
        <v>23</v>
      </c>
      <c r="F5" s="4" t="s">
        <v>7</v>
      </c>
      <c r="G5" s="4" t="s">
        <v>7</v>
      </c>
      <c r="H5" s="4" t="s">
        <v>7</v>
      </c>
      <c r="I5" s="4">
        <v>27</v>
      </c>
      <c r="J5" s="4"/>
      <c r="K5" s="4"/>
      <c r="L5" s="3">
        <f t="shared" si="1"/>
        <v>0</v>
      </c>
      <c r="M5" s="4">
        <f t="shared" si="2"/>
        <v>8</v>
      </c>
      <c r="N5" s="4">
        <f t="shared" si="2"/>
        <v>0</v>
      </c>
      <c r="O5" s="4">
        <f t="shared" si="2"/>
        <v>0</v>
      </c>
      <c r="P5" s="4">
        <f t="shared" si="2"/>
        <v>0</v>
      </c>
      <c r="Q5" s="4">
        <f t="shared" si="2"/>
        <v>4</v>
      </c>
      <c r="R5" s="4">
        <f t="shared" si="2"/>
        <v>0</v>
      </c>
      <c r="S5" s="5">
        <f t="shared" si="3"/>
        <v>0</v>
      </c>
    </row>
    <row r="6" spans="1:20" x14ac:dyDescent="0.2">
      <c r="A6" s="6" t="s">
        <v>17</v>
      </c>
      <c r="B6" s="8">
        <f t="shared" si="0"/>
        <v>4</v>
      </c>
      <c r="C6" s="9" t="s">
        <v>8</v>
      </c>
      <c r="D6" s="9" t="s">
        <v>7</v>
      </c>
      <c r="E6" s="6" t="s">
        <v>7</v>
      </c>
      <c r="F6" s="6">
        <v>58</v>
      </c>
      <c r="G6" s="6" t="s">
        <v>7</v>
      </c>
      <c r="H6" s="6">
        <v>27</v>
      </c>
      <c r="I6" s="6" t="s">
        <v>7</v>
      </c>
      <c r="J6" s="6"/>
      <c r="K6" s="6"/>
      <c r="L6" s="9">
        <f t="shared" si="1"/>
        <v>0</v>
      </c>
      <c r="M6" s="6">
        <f t="shared" si="2"/>
        <v>0</v>
      </c>
      <c r="N6" s="6">
        <f t="shared" si="2"/>
        <v>0</v>
      </c>
      <c r="O6" s="6">
        <f t="shared" si="2"/>
        <v>0</v>
      </c>
      <c r="P6" s="6">
        <f t="shared" si="2"/>
        <v>4</v>
      </c>
      <c r="Q6" s="6">
        <f t="shared" si="2"/>
        <v>0</v>
      </c>
      <c r="R6" s="6">
        <f t="shared" si="2"/>
        <v>0</v>
      </c>
      <c r="S6" s="10">
        <f t="shared" si="3"/>
        <v>0</v>
      </c>
    </row>
    <row r="7" spans="1:20" x14ac:dyDescent="0.2">
      <c r="A7" s="1" t="s">
        <v>18</v>
      </c>
      <c r="B7" s="2">
        <f t="shared" si="0"/>
        <v>52</v>
      </c>
      <c r="C7" s="3" t="s">
        <v>9</v>
      </c>
      <c r="D7" s="3">
        <v>77</v>
      </c>
      <c r="E7" s="4">
        <v>22</v>
      </c>
      <c r="F7" s="4">
        <v>13</v>
      </c>
      <c r="G7" s="4">
        <v>14</v>
      </c>
      <c r="H7" s="4">
        <v>23</v>
      </c>
      <c r="I7" s="4">
        <v>38</v>
      </c>
      <c r="J7" s="4"/>
      <c r="K7" s="4"/>
      <c r="L7" s="3">
        <f t="shared" si="1"/>
        <v>0</v>
      </c>
      <c r="M7" s="4">
        <f t="shared" si="2"/>
        <v>9</v>
      </c>
      <c r="N7" s="4">
        <f t="shared" si="2"/>
        <v>18</v>
      </c>
      <c r="O7" s="4">
        <f t="shared" si="2"/>
        <v>17</v>
      </c>
      <c r="P7" s="4">
        <f t="shared" si="2"/>
        <v>8</v>
      </c>
      <c r="Q7" s="4">
        <f t="shared" si="2"/>
        <v>0</v>
      </c>
      <c r="R7" s="4">
        <f t="shared" si="2"/>
        <v>0</v>
      </c>
      <c r="S7" s="5">
        <f t="shared" si="3"/>
        <v>0</v>
      </c>
    </row>
    <row r="8" spans="1:20" x14ac:dyDescent="0.2">
      <c r="A8" s="4" t="s">
        <v>19</v>
      </c>
      <c r="B8" s="2">
        <f t="shared" si="0"/>
        <v>10</v>
      </c>
      <c r="C8" s="3" t="s">
        <v>9</v>
      </c>
      <c r="D8" s="3">
        <v>21</v>
      </c>
      <c r="E8" s="4">
        <v>67</v>
      </c>
      <c r="F8" s="4">
        <v>48</v>
      </c>
      <c r="G8" s="4">
        <v>51</v>
      </c>
      <c r="H8" s="4">
        <v>45</v>
      </c>
      <c r="I8" s="4">
        <v>35</v>
      </c>
      <c r="J8" s="4"/>
      <c r="K8" s="4"/>
      <c r="L8" s="3">
        <f t="shared" si="1"/>
        <v>10</v>
      </c>
      <c r="M8" s="4">
        <f t="shared" si="2"/>
        <v>0</v>
      </c>
      <c r="N8" s="4">
        <f t="shared" si="2"/>
        <v>0</v>
      </c>
      <c r="O8" s="4">
        <f t="shared" si="2"/>
        <v>0</v>
      </c>
      <c r="P8" s="4">
        <f t="shared" si="2"/>
        <v>0</v>
      </c>
      <c r="Q8" s="4">
        <f t="shared" si="2"/>
        <v>0</v>
      </c>
      <c r="R8" s="4">
        <f t="shared" si="2"/>
        <v>0</v>
      </c>
      <c r="S8" s="5">
        <f t="shared" si="3"/>
        <v>0</v>
      </c>
    </row>
    <row r="9" spans="1:20" x14ac:dyDescent="0.2">
      <c r="A9" s="6" t="s">
        <v>20</v>
      </c>
      <c r="B9" s="8">
        <f t="shared" si="0"/>
        <v>3</v>
      </c>
      <c r="C9" s="9" t="s">
        <v>9</v>
      </c>
      <c r="D9" s="9">
        <v>95</v>
      </c>
      <c r="E9" s="6">
        <v>28</v>
      </c>
      <c r="F9" s="6" t="s">
        <v>7</v>
      </c>
      <c r="G9" s="6">
        <v>31</v>
      </c>
      <c r="H9" s="6">
        <v>73</v>
      </c>
      <c r="I9" s="6" t="s">
        <v>7</v>
      </c>
      <c r="J9" s="6"/>
      <c r="K9" s="6"/>
      <c r="L9" s="9">
        <f t="shared" si="1"/>
        <v>0</v>
      </c>
      <c r="M9" s="6">
        <f t="shared" si="2"/>
        <v>3</v>
      </c>
      <c r="N9" s="6">
        <f t="shared" si="2"/>
        <v>0</v>
      </c>
      <c r="O9" s="6">
        <f t="shared" si="2"/>
        <v>0</v>
      </c>
      <c r="P9" s="6">
        <f t="shared" si="2"/>
        <v>0</v>
      </c>
      <c r="Q9" s="6">
        <f t="shared" si="2"/>
        <v>0</v>
      </c>
      <c r="R9" s="6">
        <f t="shared" si="2"/>
        <v>0</v>
      </c>
      <c r="S9" s="10">
        <f t="shared" si="3"/>
        <v>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664929A-18C3-F44D-825E-32DDABD04717}">
            <xm:f>IF($C2="F",IF(Info!$B$4&gt;0,IF(SUMPRODUCT(--($B$2:$B$100&gt;$B2),--($C$2:$C$100=$C2))+1&lt;=Info!$B$4,1,0),0),IF($C2="M",IF(Info!$B$3&gt;0,IF(SUMPRODUCT(--($B$2:$B$100&gt;$B2),--($C$2:$C$100=$C2))+1&lt;=Info!$B$3,1,0),0),0))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D6FDC063-EFA7-6349-B4B4-C6DD19B22D47}">
            <xm:f>IF($C2="F",IF(Info!$B$4&gt;0,IF(SUMPRODUCT(--($B$2:$B$100&gt;$B2),--($C$2:$C$100=$C2))+1&lt;=Info!$B$4+1,1,0),0),IF($C2="M",IF(Info!$B$3&gt;0,IF(SUMPRODUCT(--($B$2:$B$100&gt;$B2),--($C$2:$C$100=$C2))+1&lt;=Info!$B$3+1,1,0),0),0))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A2:S100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2510D-E5BD-2345-BCEB-D9DFDEB46EF8}">
  <sheetPr codeName="Sheet2"/>
  <dimension ref="A2:B4"/>
  <sheetViews>
    <sheetView zoomScaleNormal="100" workbookViewId="0">
      <selection activeCell="B6" sqref="B6"/>
    </sheetView>
  </sheetViews>
  <sheetFormatPr baseColWidth="10" defaultRowHeight="16" x14ac:dyDescent="0.2"/>
  <cols>
    <col min="1" max="1" width="14.1640625" bestFit="1" customWidth="1"/>
  </cols>
  <sheetData>
    <row r="2" spans="1:2" x14ac:dyDescent="0.2">
      <c r="A2" t="s">
        <v>12</v>
      </c>
    </row>
    <row r="3" spans="1:2" x14ac:dyDescent="0.2">
      <c r="A3" t="s">
        <v>21</v>
      </c>
      <c r="B3">
        <v>0</v>
      </c>
    </row>
    <row r="4" spans="1:2" x14ac:dyDescent="0.2">
      <c r="A4" t="s">
        <v>22</v>
      </c>
      <c r="B4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_xludf.Sort">
                <anchor moveWithCells="1" sizeWithCells="1">
                  <from>
                    <xdr:col>0</xdr:col>
                    <xdr:colOff>12700</xdr:colOff>
                    <xdr:row>0</xdr:row>
                    <xdr:rowOff>12700</xdr:rowOff>
                  </from>
                  <to>
                    <xdr:col>0</xdr:col>
                    <xdr:colOff>1066800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Athletes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2019-12-06T23:00:19Z</dcterms:created>
  <dcterms:modified xsi:type="dcterms:W3CDTF">2020-02-16T08:38:58Z</dcterms:modified>
</cp:coreProperties>
</file>