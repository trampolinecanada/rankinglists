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8" codeName="{4F8ACE45-EE9A-2D80-15BD-93BB759BF45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Desktop/"/>
    </mc:Choice>
  </mc:AlternateContent>
  <xr:revisionPtr revIDLastSave="0" documentId="13_ncr:1_{F3E90642-0BEF-F14B-935B-548CEAD40B5B}" xr6:coauthVersionLast="45" xr6:coauthVersionMax="45" xr10:uidLastSave="{00000000-0000-0000-0000-000000000000}"/>
  <bookViews>
    <workbookView xWindow="2780" yWindow="1560" windowWidth="28040" windowHeight="17440" xr2:uid="{15727105-E183-7848-AD27-3969DFF44B5A}"/>
  </bookViews>
  <sheets>
    <sheet name="Athletes" sheetId="1" r:id="rId1"/>
    <sheet name="Info" sheetId="2" r:id="rId2"/>
  </sheets>
  <definedNames>
    <definedName name="_xlnm._FilterDatabase" localSheetId="0" hidden="1">Athletes!$A$1:$T$1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3" i="1" l="1"/>
  <c r="M3" i="1"/>
  <c r="N3" i="1"/>
  <c r="O3" i="1"/>
  <c r="P3" i="1"/>
  <c r="Q3" i="1"/>
  <c r="R3" i="1"/>
  <c r="S3" i="1"/>
  <c r="L4" i="1"/>
  <c r="M4" i="1"/>
  <c r="N4" i="1"/>
  <c r="O4" i="1"/>
  <c r="P4" i="1"/>
  <c r="Q4" i="1"/>
  <c r="R4" i="1"/>
  <c r="S4" i="1"/>
  <c r="L5" i="1"/>
  <c r="M5" i="1"/>
  <c r="N5" i="1"/>
  <c r="O5" i="1"/>
  <c r="P5" i="1"/>
  <c r="Q5" i="1"/>
  <c r="R5" i="1"/>
  <c r="S5" i="1"/>
  <c r="L6" i="1"/>
  <c r="M6" i="1"/>
  <c r="N6" i="1"/>
  <c r="O6" i="1"/>
  <c r="P6" i="1"/>
  <c r="Q6" i="1"/>
  <c r="R6" i="1"/>
  <c r="S6" i="1"/>
  <c r="L9" i="1"/>
  <c r="M9" i="1"/>
  <c r="N9" i="1"/>
  <c r="O9" i="1"/>
  <c r="P9" i="1"/>
  <c r="Q9" i="1"/>
  <c r="R9" i="1"/>
  <c r="S9" i="1"/>
  <c r="L7" i="1"/>
  <c r="M7" i="1"/>
  <c r="N7" i="1"/>
  <c r="O7" i="1"/>
  <c r="P7" i="1"/>
  <c r="Q7" i="1"/>
  <c r="R7" i="1"/>
  <c r="S7" i="1"/>
  <c r="L8" i="1"/>
  <c r="M8" i="1"/>
  <c r="N8" i="1"/>
  <c r="O8" i="1"/>
  <c r="P8" i="1"/>
  <c r="Q8" i="1"/>
  <c r="R8" i="1"/>
  <c r="S8" i="1"/>
  <c r="B4" i="1" l="1"/>
  <c r="B3" i="1"/>
  <c r="B9" i="1"/>
  <c r="B7" i="1"/>
  <c r="B8" i="1"/>
  <c r="B6" i="1"/>
  <c r="B5" i="1"/>
  <c r="S2" i="1"/>
  <c r="R2" i="1"/>
  <c r="L2" i="1"/>
  <c r="N2" i="1"/>
  <c r="O2" i="1"/>
  <c r="P2" i="1"/>
  <c r="Q2" i="1"/>
  <c r="M2" i="1"/>
  <c r="B2" i="1" l="1"/>
</calcChain>
</file>

<file path=xl/sharedStrings.xml><?xml version="1.0" encoding="utf-8"?>
<sst xmlns="http://schemas.openxmlformats.org/spreadsheetml/2006/main" count="44" uniqueCount="23">
  <si>
    <t>Worlds</t>
  </si>
  <si>
    <t>AZE</t>
  </si>
  <si>
    <t>RUS</t>
  </si>
  <si>
    <t>ESP</t>
  </si>
  <si>
    <t>ITA</t>
  </si>
  <si>
    <t>Nationals</t>
  </si>
  <si>
    <t>BLR</t>
  </si>
  <si>
    <t>-</t>
  </si>
  <si>
    <t>F</t>
  </si>
  <si>
    <t>M</t>
  </si>
  <si>
    <t>Gender</t>
  </si>
  <si>
    <t>Total</t>
  </si>
  <si>
    <t>Olympic Quotas</t>
  </si>
  <si>
    <t>Rosannagh MacLennan</t>
  </si>
  <si>
    <t>Samantha Smith</t>
  </si>
  <si>
    <t>Sarah Milette</t>
  </si>
  <si>
    <t>Sophiane Méthot</t>
  </si>
  <si>
    <t>Rachel Tam</t>
  </si>
  <si>
    <t>Jérémy Chartier</t>
  </si>
  <si>
    <t>Keegan Soehn</t>
  </si>
  <si>
    <t>Jason Burnett</t>
  </si>
  <si>
    <t>Male</t>
  </si>
  <si>
    <t>Female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</si>
</sst>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Fill="1" applyBorder="1" applyAlignment="1">
      <alignment horizontal="center"/>
    </xf>
  </cellXfs>
  <cellStyles count="1">
    <cellStyle name="Normal" xfId="0" builtinId="0"/>
  </cellStyles>
  <dxfs count="2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BDFE6"/>
      <color rgb="FFFFC2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12700</xdr:rowOff>
        </xdr:from>
        <xdr:to>
          <xdr:col>0</xdr:col>
          <xdr:colOff>1062065</xdr:colOff>
          <xdr:row>0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5F46A996-9A9B-4846-869C-982B6F6353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CBF90-94F9-6841-A494-9890F2A4F360}">
  <sheetPr codeName="Sheet1"/>
  <dimension ref="A1:T9"/>
  <sheetViews>
    <sheetView tabSelected="1" workbookViewId="0"/>
  </sheetViews>
  <sheetFormatPr baseColWidth="10" defaultRowHeight="16" x14ac:dyDescent="0.2"/>
  <cols>
    <col min="1" max="1" width="20.1640625" bestFit="1" customWidth="1"/>
  </cols>
  <sheetData>
    <row r="1" spans="1:20" x14ac:dyDescent="0.2">
      <c r="A1" s="6"/>
      <c r="B1" s="7" t="s">
        <v>11</v>
      </c>
      <c r="C1" s="6" t="s">
        <v>10</v>
      </c>
      <c r="D1" s="6" t="s">
        <v>0</v>
      </c>
      <c r="E1" s="6" t="s">
        <v>1</v>
      </c>
      <c r="F1" s="6" t="s">
        <v>6</v>
      </c>
      <c r="G1" s="6" t="s">
        <v>2</v>
      </c>
      <c r="H1" s="6" t="s">
        <v>3</v>
      </c>
      <c r="I1" s="6" t="s">
        <v>1</v>
      </c>
      <c r="J1" s="6" t="s">
        <v>4</v>
      </c>
      <c r="K1" s="6" t="s">
        <v>5</v>
      </c>
      <c r="L1" s="6" t="s">
        <v>0</v>
      </c>
      <c r="M1" s="6" t="s">
        <v>1</v>
      </c>
      <c r="N1" s="6" t="s">
        <v>6</v>
      </c>
      <c r="O1" s="6" t="s">
        <v>2</v>
      </c>
      <c r="P1" s="6" t="s">
        <v>3</v>
      </c>
      <c r="Q1" s="6" t="s">
        <v>1</v>
      </c>
      <c r="R1" s="6" t="s">
        <v>4</v>
      </c>
      <c r="S1" s="6" t="s">
        <v>5</v>
      </c>
    </row>
    <row r="2" spans="1:20" x14ac:dyDescent="0.2">
      <c r="A2" s="1" t="s">
        <v>13</v>
      </c>
      <c r="B2" s="2">
        <f>SUM(L2:S2)-SMALL(L2:S2,1)-SMALL(L2:S2,2)-SMALL(L2:S2,3)-SMALL(L2:S2,4)</f>
        <v>137</v>
      </c>
      <c r="C2" s="3" t="s">
        <v>8</v>
      </c>
      <c r="D2" s="3">
        <v>3</v>
      </c>
      <c r="E2" s="4">
        <v>2</v>
      </c>
      <c r="F2" s="4">
        <v>50</v>
      </c>
      <c r="G2" s="4">
        <v>16</v>
      </c>
      <c r="H2" s="4">
        <v>24</v>
      </c>
      <c r="I2" s="4"/>
      <c r="J2" s="4"/>
      <c r="K2" s="4"/>
      <c r="L2" s="3">
        <f>IF(OR(D2="",D2&gt;30),0,IF(D2=1,70,IF(D2=2,65,IF(D2=3,60,IF(D2=4,54,IF(D2=5,48,IF(D2=6,42,IF(D2=7,38,IF(D2=8,35,IF(D2=9,22,IF(D2=10,21,IF(D2=11,20,IF(D2=12,19,IF(D2=13,18,IF(D2=14,17,IF(D2=15,16,IF(D2=16,15,IF(D2=17,14,IF(D2=18,13,IF(D2=19,12,IF(D2=20,11,IF(D2=21,10,IF(D2=22,9,IF(D2=23,8,IF(D2=24,7,IF(D2=25,6,IF(D2=26,5,IF(D2=27,4,IF(D2=28,3,IF(D2=29,2,IF(D2=30,1)))))))))))))))))))))))))))))))</f>
        <v>60</v>
      </c>
      <c r="M2" s="4">
        <f>IF(OR(E2="",E2&gt;30),0,IF(E2=1,60,IF(E2=2,55,IF(E2=3,50,IF(E2=4,44,IF(E2=5,38,IF(E2=6,32,IF(E2=7,28,IF(E2=8,25,IF(E2=9,22,IF(E2=10,21,IF(E2=11,20,IF(E2=12,19,IF(E2=13,18,IF(E2=14,17,IF(E2=15,16,IF(E2=16,15,IF(E2=17,14,IF(E2=18,13,IF(E2=19,12,IF(E2=20,11,IF(E2=21,10,IF(E2=22,9,IF(E2=23,8,IF(E2=24,7,IF(E2=25,6,IF(E2=26,5,IF(E2=27,4,IF(E2=28,3,IF(E2=29,2,IF(E2=30,1)))))))))))))))))))))))))))))))</f>
        <v>55</v>
      </c>
      <c r="N2" s="4">
        <f>IF(OR(F2="",F2&gt;30),0,IF(F2=1,60,IF(F2=2,55,IF(F2=3,50,IF(F2=4,44,IF(F2=5,38,IF(F2=6,32,IF(F2=7,28,IF(F2=8,25,IF(F2=9,22,IF(F2=10,21,IF(F2=11,20,IF(F2=12,19,IF(F2=13,18,IF(F2=14,17,IF(F2=15,16,IF(F2=16,15,IF(F2=17,14,IF(F2=18,13,IF(F2=19,12,IF(F2=20,11,IF(F2=21,10,IF(F2=22,9,IF(F2=23,8,IF(F2=24,7,IF(F2=25,6,IF(F2=26,5,IF(F2=27,4,IF(F2=28,3,IF(F2=29,2,IF(F2=30,1)))))))))))))))))))))))))))))))</f>
        <v>0</v>
      </c>
      <c r="O2" s="4">
        <f>IF(OR(G2="",G2&gt;30),0,IF(G2=1,60,IF(G2=2,55,IF(G2=3,50,IF(G2=4,44,IF(G2=5,38,IF(G2=6,32,IF(G2=7,28,IF(G2=8,25,IF(G2=9,22,IF(G2=10,21,IF(G2=11,20,IF(G2=12,19,IF(G2=13,18,IF(G2=14,17,IF(G2=15,16,IF(G2=16,15,IF(G2=17,14,IF(G2=18,13,IF(G2=19,12,IF(G2=20,11,IF(G2=21,10,IF(G2=22,9,IF(G2=23,8,IF(G2=24,7,IF(G2=25,6,IF(G2=26,5,IF(G2=27,4,IF(G2=28,3,IF(G2=29,2,IF(G2=30,1)))))))))))))))))))))))))))))))</f>
        <v>15</v>
      </c>
      <c r="P2" s="4">
        <f>IF(OR(H2="",H2&gt;30),0,IF(H2=1,60,IF(H2=2,55,IF(H2=3,50,IF(H2=4,44,IF(H2=5,38,IF(H2=6,32,IF(H2=7,28,IF(H2=8,25,IF(H2=9,22,IF(H2=10,21,IF(H2=11,20,IF(H2=12,19,IF(H2=13,18,IF(H2=14,17,IF(H2=15,16,IF(H2=16,15,IF(H2=17,14,IF(H2=18,13,IF(H2=19,12,IF(H2=20,11,IF(H2=21,10,IF(H2=22,9,IF(H2=23,8,IF(H2=24,7,IF(H2=25,6,IF(H2=26,5,IF(H2=27,4,IF(H2=28,3,IF(H2=29,2,IF(H2=30,1)))))))))))))))))))))))))))))))</f>
        <v>7</v>
      </c>
      <c r="Q2" s="4">
        <f>IF(OR(I2="",I2&gt;30),0,IF(I2=1,60,IF(I2=2,55,IF(I2=3,50,IF(I2=4,44,IF(I2=5,38,IF(I2=6,32,IF(I2=7,28,IF(I2=8,25,IF(I2=9,22,IF(I2=10,21,IF(I2=11,20,IF(I2=12,19,IF(I2=13,18,IF(I2=14,17,IF(I2=15,16,IF(I2=16,15,IF(I2=17,14,IF(I2=18,13,IF(I2=19,12,IF(I2=20,11,IF(I2=21,10,IF(I2=22,9,IF(I2=23,8,IF(I2=24,7,IF(I2=25,6,IF(I2=26,5,IF(I2=27,4,IF(I2=28,3,IF(I2=29,2,IF(I2=30,1)))))))))))))))))))))))))))))))</f>
        <v>0</v>
      </c>
      <c r="R2" s="4">
        <f>IF(OR(J2="",J2&gt;30),0,IF(J2=1,60,IF(J2=2,55,IF(J2=3,50,IF(J2=4,44,IF(J2=5,38,IF(J2=6,32,IF(J2=7,28,IF(J2=8,25,IF(J2=9,22,IF(J2=10,21,IF(J2=11,20,IF(J2=12,19,IF(J2=13,18,IF(J2=14,17,IF(J2=15,16,IF(J2=16,15,IF(J2=17,14,IF(J2=18,13,IF(J2=19,12,IF(J2=20,11,IF(J2=21,10,IF(J2=22,9,IF(J2=23,8,IF(J2=24,7,IF(J2=25,6,IF(J2=26,5,IF(J2=27,4,IF(J2=28,3,IF(J2=29,2,IF(J2=30,1)))))))))))))))))))))))))))))))</f>
        <v>0</v>
      </c>
      <c r="S2" s="5">
        <f>IF(OR(K2="",K2&gt;3),0,IF(K2=1,3,IF(K2=2,2,IF(K2=3,1))))</f>
        <v>0</v>
      </c>
      <c r="T2" s="11"/>
    </row>
    <row r="3" spans="1:20" x14ac:dyDescent="0.2">
      <c r="A3" s="1" t="s">
        <v>14</v>
      </c>
      <c r="B3" s="2">
        <f>SUM(L3:S3)-SMALL(L3:S3,1)-SMALL(L3:S3,2)-SMALL(L3:S3,3)-SMALL(L3:S3,4)</f>
        <v>69</v>
      </c>
      <c r="C3" s="3" t="s">
        <v>8</v>
      </c>
      <c r="D3" s="3">
        <v>7</v>
      </c>
      <c r="E3" s="4">
        <v>15</v>
      </c>
      <c r="F3" s="4">
        <v>26</v>
      </c>
      <c r="G3" s="4">
        <v>21</v>
      </c>
      <c r="H3" s="4">
        <v>47</v>
      </c>
      <c r="I3" s="4"/>
      <c r="J3" s="4"/>
      <c r="K3" s="4"/>
      <c r="L3" s="3">
        <f>IF(OR(D3="",D3&gt;30),0,IF(D3=1,70,IF(D3=2,65,IF(D3=3,60,IF(D3=4,54,IF(D3=5,48,IF(D3=6,42,IF(D3=7,38,IF(D3=8,35,IF(D3=9,22,IF(D3=10,21,IF(D3=11,20,IF(D3=12,19,IF(D3=13,18,IF(D3=14,17,IF(D3=15,16,IF(D3=16,15,IF(D3=17,14,IF(D3=18,13,IF(D3=19,12,IF(D3=20,11,IF(D3=21,10,IF(D3=22,9,IF(D3=23,8,IF(D3=24,7,IF(D3=25,6,IF(D3=26,5,IF(D3=27,4,IF(D3=28,3,IF(D3=29,2,IF(D3=30,1)))))))))))))))))))))))))))))))</f>
        <v>38</v>
      </c>
      <c r="M3" s="4">
        <f>IF(OR(E3="",E3&gt;30),0,IF(E3=1,60,IF(E3=2,55,IF(E3=3,50,IF(E3=4,44,IF(E3=5,38,IF(E3=6,32,IF(E3=7,28,IF(E3=8,25,IF(E3=9,22,IF(E3=10,21,IF(E3=11,20,IF(E3=12,19,IF(E3=13,18,IF(E3=14,17,IF(E3=15,16,IF(E3=16,15,IF(E3=17,14,IF(E3=18,13,IF(E3=19,12,IF(E3=20,11,IF(E3=21,10,IF(E3=22,9,IF(E3=23,8,IF(E3=24,7,IF(E3=25,6,IF(E3=26,5,IF(E3=27,4,IF(E3=28,3,IF(E3=29,2,IF(E3=30,1)))))))))))))))))))))))))))))))</f>
        <v>16</v>
      </c>
      <c r="N3" s="4">
        <f>IF(OR(F3="",F3&gt;30),0,IF(F3=1,60,IF(F3=2,55,IF(F3=3,50,IF(F3=4,44,IF(F3=5,38,IF(F3=6,32,IF(F3=7,28,IF(F3=8,25,IF(F3=9,22,IF(F3=10,21,IF(F3=11,20,IF(F3=12,19,IF(F3=13,18,IF(F3=14,17,IF(F3=15,16,IF(F3=16,15,IF(F3=17,14,IF(F3=18,13,IF(F3=19,12,IF(F3=20,11,IF(F3=21,10,IF(F3=22,9,IF(F3=23,8,IF(F3=24,7,IF(F3=25,6,IF(F3=26,5,IF(F3=27,4,IF(F3=28,3,IF(F3=29,2,IF(F3=30,1)))))))))))))))))))))))))))))))</f>
        <v>5</v>
      </c>
      <c r="O3" s="4">
        <f>IF(OR(G3="",G3&gt;30),0,IF(G3=1,60,IF(G3=2,55,IF(G3=3,50,IF(G3=4,44,IF(G3=5,38,IF(G3=6,32,IF(G3=7,28,IF(G3=8,25,IF(G3=9,22,IF(G3=10,21,IF(G3=11,20,IF(G3=12,19,IF(G3=13,18,IF(G3=14,17,IF(G3=15,16,IF(G3=16,15,IF(G3=17,14,IF(G3=18,13,IF(G3=19,12,IF(G3=20,11,IF(G3=21,10,IF(G3=22,9,IF(G3=23,8,IF(G3=24,7,IF(G3=25,6,IF(G3=26,5,IF(G3=27,4,IF(G3=28,3,IF(G3=29,2,IF(G3=30,1)))))))))))))))))))))))))))))))</f>
        <v>10</v>
      </c>
      <c r="P3" s="4">
        <f>IF(OR(H3="",H3&gt;30),0,IF(H3=1,60,IF(H3=2,55,IF(H3=3,50,IF(H3=4,44,IF(H3=5,38,IF(H3=6,32,IF(H3=7,28,IF(H3=8,25,IF(H3=9,22,IF(H3=10,21,IF(H3=11,20,IF(H3=12,19,IF(H3=13,18,IF(H3=14,17,IF(H3=15,16,IF(H3=16,15,IF(H3=17,14,IF(H3=18,13,IF(H3=19,12,IF(H3=20,11,IF(H3=21,10,IF(H3=22,9,IF(H3=23,8,IF(H3=24,7,IF(H3=25,6,IF(H3=26,5,IF(H3=27,4,IF(H3=28,3,IF(H3=29,2,IF(H3=30,1)))))))))))))))))))))))))))))))</f>
        <v>0</v>
      </c>
      <c r="Q3" s="4">
        <f>IF(OR(I3="",I3&gt;30),0,IF(I3=1,60,IF(I3=2,55,IF(I3=3,50,IF(I3=4,44,IF(I3=5,38,IF(I3=6,32,IF(I3=7,28,IF(I3=8,25,IF(I3=9,22,IF(I3=10,21,IF(I3=11,20,IF(I3=12,19,IF(I3=13,18,IF(I3=14,17,IF(I3=15,16,IF(I3=16,15,IF(I3=17,14,IF(I3=18,13,IF(I3=19,12,IF(I3=20,11,IF(I3=21,10,IF(I3=22,9,IF(I3=23,8,IF(I3=24,7,IF(I3=25,6,IF(I3=26,5,IF(I3=27,4,IF(I3=28,3,IF(I3=29,2,IF(I3=30,1)))))))))))))))))))))))))))))))</f>
        <v>0</v>
      </c>
      <c r="R3" s="4">
        <f>IF(OR(J3="",J3&gt;30),0,IF(J3=1,60,IF(J3=2,55,IF(J3=3,50,IF(J3=4,44,IF(J3=5,38,IF(J3=6,32,IF(J3=7,28,IF(J3=8,25,IF(J3=9,22,IF(J3=10,21,IF(J3=11,20,IF(J3=12,19,IF(J3=13,18,IF(J3=14,17,IF(J3=15,16,IF(J3=16,15,IF(J3=17,14,IF(J3=18,13,IF(J3=19,12,IF(J3=20,11,IF(J3=21,10,IF(J3=22,9,IF(J3=23,8,IF(J3=24,7,IF(J3=25,6,IF(J3=26,5,IF(J3=27,4,IF(J3=28,3,IF(J3=29,2,IF(J3=30,1)))))))))))))))))))))))))))))))</f>
        <v>0</v>
      </c>
      <c r="S3" s="5">
        <f>IF(OR(K3="",K3&gt;3),0,IF(K3=1,3,IF(K3=2,2,IF(K3=3,1))))</f>
        <v>0</v>
      </c>
    </row>
    <row r="4" spans="1:20" x14ac:dyDescent="0.2">
      <c r="A4" s="1" t="s">
        <v>15</v>
      </c>
      <c r="B4" s="2">
        <f>SUM(L4:S4)-SMALL(L4:S4,1)-SMALL(L4:S4,2)-SMALL(L4:S4,3)-SMALL(L4:S4,4)</f>
        <v>59</v>
      </c>
      <c r="C4" s="3" t="s">
        <v>8</v>
      </c>
      <c r="D4" s="3">
        <v>22</v>
      </c>
      <c r="E4" s="4">
        <v>31</v>
      </c>
      <c r="F4" s="4">
        <v>19</v>
      </c>
      <c r="G4" s="4">
        <v>40</v>
      </c>
      <c r="H4" s="4">
        <v>5</v>
      </c>
      <c r="I4" s="4"/>
      <c r="J4" s="4"/>
      <c r="K4" s="4"/>
      <c r="L4" s="3">
        <f>IF(OR(D4="",D4&gt;30),0,IF(D4=1,70,IF(D4=2,65,IF(D4=3,60,IF(D4=4,54,IF(D4=5,48,IF(D4=6,42,IF(D4=7,38,IF(D4=8,35,IF(D4=9,22,IF(D4=10,21,IF(D4=11,20,IF(D4=12,19,IF(D4=13,18,IF(D4=14,17,IF(D4=15,16,IF(D4=16,15,IF(D4=17,14,IF(D4=18,13,IF(D4=19,12,IF(D4=20,11,IF(D4=21,10,IF(D4=22,9,IF(D4=23,8,IF(D4=24,7,IF(D4=25,6,IF(D4=26,5,IF(D4=27,4,IF(D4=28,3,IF(D4=29,2,IF(D4=30,1)))))))))))))))))))))))))))))))</f>
        <v>9</v>
      </c>
      <c r="M4" s="4">
        <f>IF(OR(E4="",E4&gt;30),0,IF(E4=1,60,IF(E4=2,55,IF(E4=3,50,IF(E4=4,44,IF(E4=5,38,IF(E4=6,32,IF(E4=7,28,IF(E4=8,25,IF(E4=9,22,IF(E4=10,21,IF(E4=11,20,IF(E4=12,19,IF(E4=13,18,IF(E4=14,17,IF(E4=15,16,IF(E4=16,15,IF(E4=17,14,IF(E4=18,13,IF(E4=19,12,IF(E4=20,11,IF(E4=21,10,IF(E4=22,9,IF(E4=23,8,IF(E4=24,7,IF(E4=25,6,IF(E4=26,5,IF(E4=27,4,IF(E4=28,3,IF(E4=29,2,IF(E4=30,1)))))))))))))))))))))))))))))))</f>
        <v>0</v>
      </c>
      <c r="N4" s="4">
        <f>IF(OR(F4="",F4&gt;30),0,IF(F4=1,60,IF(F4=2,55,IF(F4=3,50,IF(F4=4,44,IF(F4=5,38,IF(F4=6,32,IF(F4=7,28,IF(F4=8,25,IF(F4=9,22,IF(F4=10,21,IF(F4=11,20,IF(F4=12,19,IF(F4=13,18,IF(F4=14,17,IF(F4=15,16,IF(F4=16,15,IF(F4=17,14,IF(F4=18,13,IF(F4=19,12,IF(F4=20,11,IF(F4=21,10,IF(F4=22,9,IF(F4=23,8,IF(F4=24,7,IF(F4=25,6,IF(F4=26,5,IF(F4=27,4,IF(F4=28,3,IF(F4=29,2,IF(F4=30,1)))))))))))))))))))))))))))))))</f>
        <v>12</v>
      </c>
      <c r="O4" s="4">
        <f>IF(OR(G4="",G4&gt;30),0,IF(G4=1,60,IF(G4=2,55,IF(G4=3,50,IF(G4=4,44,IF(G4=5,38,IF(G4=6,32,IF(G4=7,28,IF(G4=8,25,IF(G4=9,22,IF(G4=10,21,IF(G4=11,20,IF(G4=12,19,IF(G4=13,18,IF(G4=14,17,IF(G4=15,16,IF(G4=16,15,IF(G4=17,14,IF(G4=18,13,IF(G4=19,12,IF(G4=20,11,IF(G4=21,10,IF(G4=22,9,IF(G4=23,8,IF(G4=24,7,IF(G4=25,6,IF(G4=26,5,IF(G4=27,4,IF(G4=28,3,IF(G4=29,2,IF(G4=30,1)))))))))))))))))))))))))))))))</f>
        <v>0</v>
      </c>
      <c r="P4" s="4">
        <f>IF(OR(H4="",H4&gt;30),0,IF(H4=1,60,IF(H4=2,55,IF(H4=3,50,IF(H4=4,44,IF(H4=5,38,IF(H4=6,32,IF(H4=7,28,IF(H4=8,25,IF(H4=9,22,IF(H4=10,21,IF(H4=11,20,IF(H4=12,19,IF(H4=13,18,IF(H4=14,17,IF(H4=15,16,IF(H4=16,15,IF(H4=17,14,IF(H4=18,13,IF(H4=19,12,IF(H4=20,11,IF(H4=21,10,IF(H4=22,9,IF(H4=23,8,IF(H4=24,7,IF(H4=25,6,IF(H4=26,5,IF(H4=27,4,IF(H4=28,3,IF(H4=29,2,IF(H4=30,1)))))))))))))))))))))))))))))))</f>
        <v>38</v>
      </c>
      <c r="Q4" s="4">
        <f>IF(OR(I4="",I4&gt;30),0,IF(I4=1,60,IF(I4=2,55,IF(I4=3,50,IF(I4=4,44,IF(I4=5,38,IF(I4=6,32,IF(I4=7,28,IF(I4=8,25,IF(I4=9,22,IF(I4=10,21,IF(I4=11,20,IF(I4=12,19,IF(I4=13,18,IF(I4=14,17,IF(I4=15,16,IF(I4=16,15,IF(I4=17,14,IF(I4=18,13,IF(I4=19,12,IF(I4=20,11,IF(I4=21,10,IF(I4=22,9,IF(I4=23,8,IF(I4=24,7,IF(I4=25,6,IF(I4=26,5,IF(I4=27,4,IF(I4=28,3,IF(I4=29,2,IF(I4=30,1)))))))))))))))))))))))))))))))</f>
        <v>0</v>
      </c>
      <c r="R4" s="4">
        <f>IF(OR(J4="",J4&gt;30),0,IF(J4=1,60,IF(J4=2,55,IF(J4=3,50,IF(J4=4,44,IF(J4=5,38,IF(J4=6,32,IF(J4=7,28,IF(J4=8,25,IF(J4=9,22,IF(J4=10,21,IF(J4=11,20,IF(J4=12,19,IF(J4=13,18,IF(J4=14,17,IF(J4=15,16,IF(J4=16,15,IF(J4=17,14,IF(J4=18,13,IF(J4=19,12,IF(J4=20,11,IF(J4=21,10,IF(J4=22,9,IF(J4=23,8,IF(J4=24,7,IF(J4=25,6,IF(J4=26,5,IF(J4=27,4,IF(J4=28,3,IF(J4=29,2,IF(J4=30,1)))))))))))))))))))))))))))))))</f>
        <v>0</v>
      </c>
      <c r="S4" s="5">
        <f>IF(OR(K4="",K4&gt;3),0,IF(K4=1,3,IF(K4=2,2,IF(K4=3,1))))</f>
        <v>0</v>
      </c>
    </row>
    <row r="5" spans="1:20" x14ac:dyDescent="0.2">
      <c r="A5" s="1" t="s">
        <v>16</v>
      </c>
      <c r="B5" s="2">
        <f>SUM(L5:S5)-SMALL(L5:S5,1)-SMALL(L5:S5,2)-SMALL(L5:S5,3)-SMALL(L5:S5,4)</f>
        <v>8</v>
      </c>
      <c r="C5" s="3" t="s">
        <v>8</v>
      </c>
      <c r="D5" s="3">
        <v>39</v>
      </c>
      <c r="E5" s="4">
        <v>23</v>
      </c>
      <c r="F5" s="4" t="s">
        <v>7</v>
      </c>
      <c r="G5" s="4" t="s">
        <v>7</v>
      </c>
      <c r="H5" s="4" t="s">
        <v>7</v>
      </c>
      <c r="I5" s="4"/>
      <c r="J5" s="4"/>
      <c r="K5" s="4"/>
      <c r="L5" s="3">
        <f>IF(OR(D5="",D5&gt;30),0,IF(D5=1,70,IF(D5=2,65,IF(D5=3,60,IF(D5=4,54,IF(D5=5,48,IF(D5=6,42,IF(D5=7,38,IF(D5=8,35,IF(D5=9,22,IF(D5=10,21,IF(D5=11,20,IF(D5=12,19,IF(D5=13,18,IF(D5=14,17,IF(D5=15,16,IF(D5=16,15,IF(D5=17,14,IF(D5=18,13,IF(D5=19,12,IF(D5=20,11,IF(D5=21,10,IF(D5=22,9,IF(D5=23,8,IF(D5=24,7,IF(D5=25,6,IF(D5=26,5,IF(D5=27,4,IF(D5=28,3,IF(D5=29,2,IF(D5=30,1)))))))))))))))))))))))))))))))</f>
        <v>0</v>
      </c>
      <c r="M5" s="4">
        <f>IF(OR(E5="",E5&gt;30),0,IF(E5=1,60,IF(E5=2,55,IF(E5=3,50,IF(E5=4,44,IF(E5=5,38,IF(E5=6,32,IF(E5=7,28,IF(E5=8,25,IF(E5=9,22,IF(E5=10,21,IF(E5=11,20,IF(E5=12,19,IF(E5=13,18,IF(E5=14,17,IF(E5=15,16,IF(E5=16,15,IF(E5=17,14,IF(E5=18,13,IF(E5=19,12,IF(E5=20,11,IF(E5=21,10,IF(E5=22,9,IF(E5=23,8,IF(E5=24,7,IF(E5=25,6,IF(E5=26,5,IF(E5=27,4,IF(E5=28,3,IF(E5=29,2,IF(E5=30,1)))))))))))))))))))))))))))))))</f>
        <v>8</v>
      </c>
      <c r="N5" s="4">
        <f>IF(OR(F5="",F5&gt;30),0,IF(F5=1,60,IF(F5=2,55,IF(F5=3,50,IF(F5=4,44,IF(F5=5,38,IF(F5=6,32,IF(F5=7,28,IF(F5=8,25,IF(F5=9,22,IF(F5=10,21,IF(F5=11,20,IF(F5=12,19,IF(F5=13,18,IF(F5=14,17,IF(F5=15,16,IF(F5=16,15,IF(F5=17,14,IF(F5=18,13,IF(F5=19,12,IF(F5=20,11,IF(F5=21,10,IF(F5=22,9,IF(F5=23,8,IF(F5=24,7,IF(F5=25,6,IF(F5=26,5,IF(F5=27,4,IF(F5=28,3,IF(F5=29,2,IF(F5=30,1)))))))))))))))))))))))))))))))</f>
        <v>0</v>
      </c>
      <c r="O5" s="4">
        <f>IF(OR(G5="",G5&gt;30),0,IF(G5=1,60,IF(G5=2,55,IF(G5=3,50,IF(G5=4,44,IF(G5=5,38,IF(G5=6,32,IF(G5=7,28,IF(G5=8,25,IF(G5=9,22,IF(G5=10,21,IF(G5=11,20,IF(G5=12,19,IF(G5=13,18,IF(G5=14,17,IF(G5=15,16,IF(G5=16,15,IF(G5=17,14,IF(G5=18,13,IF(G5=19,12,IF(G5=20,11,IF(G5=21,10,IF(G5=22,9,IF(G5=23,8,IF(G5=24,7,IF(G5=25,6,IF(G5=26,5,IF(G5=27,4,IF(G5=28,3,IF(G5=29,2,IF(G5=30,1)))))))))))))))))))))))))))))))</f>
        <v>0</v>
      </c>
      <c r="P5" s="4">
        <f>IF(OR(H5="",H5&gt;30),0,IF(H5=1,60,IF(H5=2,55,IF(H5=3,50,IF(H5=4,44,IF(H5=5,38,IF(H5=6,32,IF(H5=7,28,IF(H5=8,25,IF(H5=9,22,IF(H5=10,21,IF(H5=11,20,IF(H5=12,19,IF(H5=13,18,IF(H5=14,17,IF(H5=15,16,IF(H5=16,15,IF(H5=17,14,IF(H5=18,13,IF(H5=19,12,IF(H5=20,11,IF(H5=21,10,IF(H5=22,9,IF(H5=23,8,IF(H5=24,7,IF(H5=25,6,IF(H5=26,5,IF(H5=27,4,IF(H5=28,3,IF(H5=29,2,IF(H5=30,1)))))))))))))))))))))))))))))))</f>
        <v>0</v>
      </c>
      <c r="Q5" s="4">
        <f>IF(OR(I5="",I5&gt;30),0,IF(I5=1,60,IF(I5=2,55,IF(I5=3,50,IF(I5=4,44,IF(I5=5,38,IF(I5=6,32,IF(I5=7,28,IF(I5=8,25,IF(I5=9,22,IF(I5=10,21,IF(I5=11,20,IF(I5=12,19,IF(I5=13,18,IF(I5=14,17,IF(I5=15,16,IF(I5=16,15,IF(I5=17,14,IF(I5=18,13,IF(I5=19,12,IF(I5=20,11,IF(I5=21,10,IF(I5=22,9,IF(I5=23,8,IF(I5=24,7,IF(I5=25,6,IF(I5=26,5,IF(I5=27,4,IF(I5=28,3,IF(I5=29,2,IF(I5=30,1)))))))))))))))))))))))))))))))</f>
        <v>0</v>
      </c>
      <c r="R5" s="4">
        <f>IF(OR(J5="",J5&gt;30),0,IF(J5=1,60,IF(J5=2,55,IF(J5=3,50,IF(J5=4,44,IF(J5=5,38,IF(J5=6,32,IF(J5=7,28,IF(J5=8,25,IF(J5=9,22,IF(J5=10,21,IF(J5=11,20,IF(J5=12,19,IF(J5=13,18,IF(J5=14,17,IF(J5=15,16,IF(J5=16,15,IF(J5=17,14,IF(J5=18,13,IF(J5=19,12,IF(J5=20,11,IF(J5=21,10,IF(J5=22,9,IF(J5=23,8,IF(J5=24,7,IF(J5=25,6,IF(J5=26,5,IF(J5=27,4,IF(J5=28,3,IF(J5=29,2,IF(J5=30,1)))))))))))))))))))))))))))))))</f>
        <v>0</v>
      </c>
      <c r="S5" s="5">
        <f>IF(OR(K5="",K5&gt;3),0,IF(K5=1,3,IF(K5=2,2,IF(K5=3,1))))</f>
        <v>0</v>
      </c>
    </row>
    <row r="6" spans="1:20" x14ac:dyDescent="0.2">
      <c r="A6" s="6" t="s">
        <v>17</v>
      </c>
      <c r="B6" s="8">
        <f>SUM(L6:S6)-SMALL(L6:S6,1)-SMALL(L6:S6,2)-SMALL(L6:S6,3)-SMALL(L6:S6,4)</f>
        <v>4</v>
      </c>
      <c r="C6" s="9" t="s">
        <v>8</v>
      </c>
      <c r="D6" s="9" t="s">
        <v>7</v>
      </c>
      <c r="E6" s="6" t="s">
        <v>7</v>
      </c>
      <c r="F6" s="6">
        <v>58</v>
      </c>
      <c r="G6" s="6" t="s">
        <v>7</v>
      </c>
      <c r="H6" s="6">
        <v>27</v>
      </c>
      <c r="I6" s="6"/>
      <c r="J6" s="6"/>
      <c r="K6" s="6"/>
      <c r="L6" s="9">
        <f>IF(OR(D6="",D6&gt;30),0,IF(D6=1,70,IF(D6=2,65,IF(D6=3,60,IF(D6=4,54,IF(D6=5,48,IF(D6=6,42,IF(D6=7,38,IF(D6=8,35,IF(D6=9,22,IF(D6=10,21,IF(D6=11,20,IF(D6=12,19,IF(D6=13,18,IF(D6=14,17,IF(D6=15,16,IF(D6=16,15,IF(D6=17,14,IF(D6=18,13,IF(D6=19,12,IF(D6=20,11,IF(D6=21,10,IF(D6=22,9,IF(D6=23,8,IF(D6=24,7,IF(D6=25,6,IF(D6=26,5,IF(D6=27,4,IF(D6=28,3,IF(D6=29,2,IF(D6=30,1)))))))))))))))))))))))))))))))</f>
        <v>0</v>
      </c>
      <c r="M6" s="6">
        <f>IF(OR(E6="",E6&gt;30),0,IF(E6=1,60,IF(E6=2,55,IF(E6=3,50,IF(E6=4,44,IF(E6=5,38,IF(E6=6,32,IF(E6=7,28,IF(E6=8,25,IF(E6=9,22,IF(E6=10,21,IF(E6=11,20,IF(E6=12,19,IF(E6=13,18,IF(E6=14,17,IF(E6=15,16,IF(E6=16,15,IF(E6=17,14,IF(E6=18,13,IF(E6=19,12,IF(E6=20,11,IF(E6=21,10,IF(E6=22,9,IF(E6=23,8,IF(E6=24,7,IF(E6=25,6,IF(E6=26,5,IF(E6=27,4,IF(E6=28,3,IF(E6=29,2,IF(E6=30,1)))))))))))))))))))))))))))))))</f>
        <v>0</v>
      </c>
      <c r="N6" s="6">
        <f>IF(OR(F6="",F6&gt;30),0,IF(F6=1,60,IF(F6=2,55,IF(F6=3,50,IF(F6=4,44,IF(F6=5,38,IF(F6=6,32,IF(F6=7,28,IF(F6=8,25,IF(F6=9,22,IF(F6=10,21,IF(F6=11,20,IF(F6=12,19,IF(F6=13,18,IF(F6=14,17,IF(F6=15,16,IF(F6=16,15,IF(F6=17,14,IF(F6=18,13,IF(F6=19,12,IF(F6=20,11,IF(F6=21,10,IF(F6=22,9,IF(F6=23,8,IF(F6=24,7,IF(F6=25,6,IF(F6=26,5,IF(F6=27,4,IF(F6=28,3,IF(F6=29,2,IF(F6=30,1)))))))))))))))))))))))))))))))</f>
        <v>0</v>
      </c>
      <c r="O6" s="6">
        <f>IF(OR(G6="",G6&gt;30),0,IF(G6=1,60,IF(G6=2,55,IF(G6=3,50,IF(G6=4,44,IF(G6=5,38,IF(G6=6,32,IF(G6=7,28,IF(G6=8,25,IF(G6=9,22,IF(G6=10,21,IF(G6=11,20,IF(G6=12,19,IF(G6=13,18,IF(G6=14,17,IF(G6=15,16,IF(G6=16,15,IF(G6=17,14,IF(G6=18,13,IF(G6=19,12,IF(G6=20,11,IF(G6=21,10,IF(G6=22,9,IF(G6=23,8,IF(G6=24,7,IF(G6=25,6,IF(G6=26,5,IF(G6=27,4,IF(G6=28,3,IF(G6=29,2,IF(G6=30,1)))))))))))))))))))))))))))))))</f>
        <v>0</v>
      </c>
      <c r="P6" s="6">
        <f>IF(OR(H6="",H6&gt;30),0,IF(H6=1,60,IF(H6=2,55,IF(H6=3,50,IF(H6=4,44,IF(H6=5,38,IF(H6=6,32,IF(H6=7,28,IF(H6=8,25,IF(H6=9,22,IF(H6=10,21,IF(H6=11,20,IF(H6=12,19,IF(H6=13,18,IF(H6=14,17,IF(H6=15,16,IF(H6=16,15,IF(H6=17,14,IF(H6=18,13,IF(H6=19,12,IF(H6=20,11,IF(H6=21,10,IF(H6=22,9,IF(H6=23,8,IF(H6=24,7,IF(H6=25,6,IF(H6=26,5,IF(H6=27,4,IF(H6=28,3,IF(H6=29,2,IF(H6=30,1)))))))))))))))))))))))))))))))</f>
        <v>4</v>
      </c>
      <c r="Q6" s="6">
        <f>IF(OR(I6="",I6&gt;30),0,IF(I6=1,60,IF(I6=2,55,IF(I6=3,50,IF(I6=4,44,IF(I6=5,38,IF(I6=6,32,IF(I6=7,28,IF(I6=8,25,IF(I6=9,22,IF(I6=10,21,IF(I6=11,20,IF(I6=12,19,IF(I6=13,18,IF(I6=14,17,IF(I6=15,16,IF(I6=16,15,IF(I6=17,14,IF(I6=18,13,IF(I6=19,12,IF(I6=20,11,IF(I6=21,10,IF(I6=22,9,IF(I6=23,8,IF(I6=24,7,IF(I6=25,6,IF(I6=26,5,IF(I6=27,4,IF(I6=28,3,IF(I6=29,2,IF(I6=30,1)))))))))))))))))))))))))))))))</f>
        <v>0</v>
      </c>
      <c r="R6" s="6">
        <f>IF(OR(J6="",J6&gt;30),0,IF(J6=1,60,IF(J6=2,55,IF(J6=3,50,IF(J6=4,44,IF(J6=5,38,IF(J6=6,32,IF(J6=7,28,IF(J6=8,25,IF(J6=9,22,IF(J6=10,21,IF(J6=11,20,IF(J6=12,19,IF(J6=13,18,IF(J6=14,17,IF(J6=15,16,IF(J6=16,15,IF(J6=17,14,IF(J6=18,13,IF(J6=19,12,IF(J6=20,11,IF(J6=21,10,IF(J6=22,9,IF(J6=23,8,IF(J6=24,7,IF(J6=25,6,IF(J6=26,5,IF(J6=27,4,IF(J6=28,3,IF(J6=29,2,IF(J6=30,1)))))))))))))))))))))))))))))))</f>
        <v>0</v>
      </c>
      <c r="S6" s="10">
        <f>IF(OR(K6="",K6&gt;3),0,IF(K6=1,3,IF(K6=2,2,IF(K6=3,1))))</f>
        <v>0</v>
      </c>
    </row>
    <row r="7" spans="1:20" x14ac:dyDescent="0.2">
      <c r="A7" s="1" t="s">
        <v>18</v>
      </c>
      <c r="B7" s="2">
        <f>SUM(L7:S7)-SMALL(L7:S7,1)-SMALL(L7:S7,2)-SMALL(L7:S7,3)-SMALL(L7:S7,4)</f>
        <v>52</v>
      </c>
      <c r="C7" s="3" t="s">
        <v>9</v>
      </c>
      <c r="D7" s="3">
        <v>77</v>
      </c>
      <c r="E7" s="4">
        <v>22</v>
      </c>
      <c r="F7" s="4">
        <v>13</v>
      </c>
      <c r="G7" s="4">
        <v>14</v>
      </c>
      <c r="H7" s="4">
        <v>23</v>
      </c>
      <c r="I7" s="4"/>
      <c r="J7" s="4"/>
      <c r="K7" s="4"/>
      <c r="L7" s="3">
        <f>IF(OR(D7="",D7&gt;30),0,IF(D7=1,70,IF(D7=2,65,IF(D7=3,60,IF(D7=4,54,IF(D7=5,48,IF(D7=6,42,IF(D7=7,38,IF(D7=8,35,IF(D7=9,22,IF(D7=10,21,IF(D7=11,20,IF(D7=12,19,IF(D7=13,18,IF(D7=14,17,IF(D7=15,16,IF(D7=16,15,IF(D7=17,14,IF(D7=18,13,IF(D7=19,12,IF(D7=20,11,IF(D7=21,10,IF(D7=22,9,IF(D7=23,8,IF(D7=24,7,IF(D7=25,6,IF(D7=26,5,IF(D7=27,4,IF(D7=28,3,IF(D7=29,2,IF(D7=30,1)))))))))))))))))))))))))))))))</f>
        <v>0</v>
      </c>
      <c r="M7" s="4">
        <f>IF(OR(E7="",E7&gt;30),0,IF(E7=1,60,IF(E7=2,55,IF(E7=3,50,IF(E7=4,44,IF(E7=5,38,IF(E7=6,32,IF(E7=7,28,IF(E7=8,25,IF(E7=9,22,IF(E7=10,21,IF(E7=11,20,IF(E7=12,19,IF(E7=13,18,IF(E7=14,17,IF(E7=15,16,IF(E7=16,15,IF(E7=17,14,IF(E7=18,13,IF(E7=19,12,IF(E7=20,11,IF(E7=21,10,IF(E7=22,9,IF(E7=23,8,IF(E7=24,7,IF(E7=25,6,IF(E7=26,5,IF(E7=27,4,IF(E7=28,3,IF(E7=29,2,IF(E7=30,1)))))))))))))))))))))))))))))))</f>
        <v>9</v>
      </c>
      <c r="N7" s="4">
        <f>IF(OR(F7="",F7&gt;30),0,IF(F7=1,60,IF(F7=2,55,IF(F7=3,50,IF(F7=4,44,IF(F7=5,38,IF(F7=6,32,IF(F7=7,28,IF(F7=8,25,IF(F7=9,22,IF(F7=10,21,IF(F7=11,20,IF(F7=12,19,IF(F7=13,18,IF(F7=14,17,IF(F7=15,16,IF(F7=16,15,IF(F7=17,14,IF(F7=18,13,IF(F7=19,12,IF(F7=20,11,IF(F7=21,10,IF(F7=22,9,IF(F7=23,8,IF(F7=24,7,IF(F7=25,6,IF(F7=26,5,IF(F7=27,4,IF(F7=28,3,IF(F7=29,2,IF(F7=30,1)))))))))))))))))))))))))))))))</f>
        <v>18</v>
      </c>
      <c r="O7" s="4">
        <f>IF(OR(G7="",G7&gt;30),0,IF(G7=1,60,IF(G7=2,55,IF(G7=3,50,IF(G7=4,44,IF(G7=5,38,IF(G7=6,32,IF(G7=7,28,IF(G7=8,25,IF(G7=9,22,IF(G7=10,21,IF(G7=11,20,IF(G7=12,19,IF(G7=13,18,IF(G7=14,17,IF(G7=15,16,IF(G7=16,15,IF(G7=17,14,IF(G7=18,13,IF(G7=19,12,IF(G7=20,11,IF(G7=21,10,IF(G7=22,9,IF(G7=23,8,IF(G7=24,7,IF(G7=25,6,IF(G7=26,5,IF(G7=27,4,IF(G7=28,3,IF(G7=29,2,IF(G7=30,1)))))))))))))))))))))))))))))))</f>
        <v>17</v>
      </c>
      <c r="P7" s="4">
        <f>IF(OR(H7="",H7&gt;30),0,IF(H7=1,60,IF(H7=2,55,IF(H7=3,50,IF(H7=4,44,IF(H7=5,38,IF(H7=6,32,IF(H7=7,28,IF(H7=8,25,IF(H7=9,22,IF(H7=10,21,IF(H7=11,20,IF(H7=12,19,IF(H7=13,18,IF(H7=14,17,IF(H7=15,16,IF(H7=16,15,IF(H7=17,14,IF(H7=18,13,IF(H7=19,12,IF(H7=20,11,IF(H7=21,10,IF(H7=22,9,IF(H7=23,8,IF(H7=24,7,IF(H7=25,6,IF(H7=26,5,IF(H7=27,4,IF(H7=28,3,IF(H7=29,2,IF(H7=30,1)))))))))))))))))))))))))))))))</f>
        <v>8</v>
      </c>
      <c r="Q7" s="4">
        <f>IF(OR(I7="",I7&gt;30),0,IF(I7=1,60,IF(I7=2,55,IF(I7=3,50,IF(I7=4,44,IF(I7=5,38,IF(I7=6,32,IF(I7=7,28,IF(I7=8,25,IF(I7=9,22,IF(I7=10,21,IF(I7=11,20,IF(I7=12,19,IF(I7=13,18,IF(I7=14,17,IF(I7=15,16,IF(I7=16,15,IF(I7=17,14,IF(I7=18,13,IF(I7=19,12,IF(I7=20,11,IF(I7=21,10,IF(I7=22,9,IF(I7=23,8,IF(I7=24,7,IF(I7=25,6,IF(I7=26,5,IF(I7=27,4,IF(I7=28,3,IF(I7=29,2,IF(I7=30,1)))))))))))))))))))))))))))))))</f>
        <v>0</v>
      </c>
      <c r="R7" s="4">
        <f>IF(OR(J7="",J7&gt;30),0,IF(J7=1,60,IF(J7=2,55,IF(J7=3,50,IF(J7=4,44,IF(J7=5,38,IF(J7=6,32,IF(J7=7,28,IF(J7=8,25,IF(J7=9,22,IF(J7=10,21,IF(J7=11,20,IF(J7=12,19,IF(J7=13,18,IF(J7=14,17,IF(J7=15,16,IF(J7=16,15,IF(J7=17,14,IF(J7=18,13,IF(J7=19,12,IF(J7=20,11,IF(J7=21,10,IF(J7=22,9,IF(J7=23,8,IF(J7=24,7,IF(J7=25,6,IF(J7=26,5,IF(J7=27,4,IF(J7=28,3,IF(J7=29,2,IF(J7=30,1)))))))))))))))))))))))))))))))</f>
        <v>0</v>
      </c>
      <c r="S7" s="5">
        <f>IF(OR(K7="",K7&gt;3),0,IF(K7=1,3,IF(K7=2,2,IF(K7=3,1))))</f>
        <v>0</v>
      </c>
    </row>
    <row r="8" spans="1:20" x14ac:dyDescent="0.2">
      <c r="A8" s="4" t="s">
        <v>19</v>
      </c>
      <c r="B8" s="2">
        <f>SUM(L8:S8)-SMALL(L8:S8,1)-SMALL(L8:S8,2)-SMALL(L8:S8,3)-SMALL(L8:S8,4)</f>
        <v>10</v>
      </c>
      <c r="C8" s="3" t="s">
        <v>9</v>
      </c>
      <c r="D8" s="3">
        <v>21</v>
      </c>
      <c r="E8" s="4">
        <v>67</v>
      </c>
      <c r="F8" s="4">
        <v>48</v>
      </c>
      <c r="G8" s="4">
        <v>51</v>
      </c>
      <c r="H8" s="4">
        <v>45</v>
      </c>
      <c r="I8" s="4"/>
      <c r="J8" s="4"/>
      <c r="K8" s="4"/>
      <c r="L8" s="3">
        <f>IF(OR(D8="",D8&gt;30),0,IF(D8=1,70,IF(D8=2,65,IF(D8=3,60,IF(D8=4,54,IF(D8=5,48,IF(D8=6,42,IF(D8=7,38,IF(D8=8,35,IF(D8=9,22,IF(D8=10,21,IF(D8=11,20,IF(D8=12,19,IF(D8=13,18,IF(D8=14,17,IF(D8=15,16,IF(D8=16,15,IF(D8=17,14,IF(D8=18,13,IF(D8=19,12,IF(D8=20,11,IF(D8=21,10,IF(D8=22,9,IF(D8=23,8,IF(D8=24,7,IF(D8=25,6,IF(D8=26,5,IF(D8=27,4,IF(D8=28,3,IF(D8=29,2,IF(D8=30,1)))))))))))))))))))))))))))))))</f>
        <v>10</v>
      </c>
      <c r="M8" s="4">
        <f>IF(OR(E8="",E8&gt;30),0,IF(E8=1,60,IF(E8=2,55,IF(E8=3,50,IF(E8=4,44,IF(E8=5,38,IF(E8=6,32,IF(E8=7,28,IF(E8=8,25,IF(E8=9,22,IF(E8=10,21,IF(E8=11,20,IF(E8=12,19,IF(E8=13,18,IF(E8=14,17,IF(E8=15,16,IF(E8=16,15,IF(E8=17,14,IF(E8=18,13,IF(E8=19,12,IF(E8=20,11,IF(E8=21,10,IF(E8=22,9,IF(E8=23,8,IF(E8=24,7,IF(E8=25,6,IF(E8=26,5,IF(E8=27,4,IF(E8=28,3,IF(E8=29,2,IF(E8=30,1)))))))))))))))))))))))))))))))</f>
        <v>0</v>
      </c>
      <c r="N8" s="4">
        <f>IF(OR(F8="",F8&gt;30),0,IF(F8=1,60,IF(F8=2,55,IF(F8=3,50,IF(F8=4,44,IF(F8=5,38,IF(F8=6,32,IF(F8=7,28,IF(F8=8,25,IF(F8=9,22,IF(F8=10,21,IF(F8=11,20,IF(F8=12,19,IF(F8=13,18,IF(F8=14,17,IF(F8=15,16,IF(F8=16,15,IF(F8=17,14,IF(F8=18,13,IF(F8=19,12,IF(F8=20,11,IF(F8=21,10,IF(F8=22,9,IF(F8=23,8,IF(F8=24,7,IF(F8=25,6,IF(F8=26,5,IF(F8=27,4,IF(F8=28,3,IF(F8=29,2,IF(F8=30,1)))))))))))))))))))))))))))))))</f>
        <v>0</v>
      </c>
      <c r="O8" s="4">
        <f>IF(OR(G8="",G8&gt;30),0,IF(G8=1,60,IF(G8=2,55,IF(G8=3,50,IF(G8=4,44,IF(G8=5,38,IF(G8=6,32,IF(G8=7,28,IF(G8=8,25,IF(G8=9,22,IF(G8=10,21,IF(G8=11,20,IF(G8=12,19,IF(G8=13,18,IF(G8=14,17,IF(G8=15,16,IF(G8=16,15,IF(G8=17,14,IF(G8=18,13,IF(G8=19,12,IF(G8=20,11,IF(G8=21,10,IF(G8=22,9,IF(G8=23,8,IF(G8=24,7,IF(G8=25,6,IF(G8=26,5,IF(G8=27,4,IF(G8=28,3,IF(G8=29,2,IF(G8=30,1)))))))))))))))))))))))))))))))</f>
        <v>0</v>
      </c>
      <c r="P8" s="4">
        <f>IF(OR(H8="",H8&gt;30),0,IF(H8=1,60,IF(H8=2,55,IF(H8=3,50,IF(H8=4,44,IF(H8=5,38,IF(H8=6,32,IF(H8=7,28,IF(H8=8,25,IF(H8=9,22,IF(H8=10,21,IF(H8=11,20,IF(H8=12,19,IF(H8=13,18,IF(H8=14,17,IF(H8=15,16,IF(H8=16,15,IF(H8=17,14,IF(H8=18,13,IF(H8=19,12,IF(H8=20,11,IF(H8=21,10,IF(H8=22,9,IF(H8=23,8,IF(H8=24,7,IF(H8=25,6,IF(H8=26,5,IF(H8=27,4,IF(H8=28,3,IF(H8=29,2,IF(H8=30,1)))))))))))))))))))))))))))))))</f>
        <v>0</v>
      </c>
      <c r="Q8" s="4">
        <f>IF(OR(I8="",I8&gt;30),0,IF(I8=1,60,IF(I8=2,55,IF(I8=3,50,IF(I8=4,44,IF(I8=5,38,IF(I8=6,32,IF(I8=7,28,IF(I8=8,25,IF(I8=9,22,IF(I8=10,21,IF(I8=11,20,IF(I8=12,19,IF(I8=13,18,IF(I8=14,17,IF(I8=15,16,IF(I8=16,15,IF(I8=17,14,IF(I8=18,13,IF(I8=19,12,IF(I8=20,11,IF(I8=21,10,IF(I8=22,9,IF(I8=23,8,IF(I8=24,7,IF(I8=25,6,IF(I8=26,5,IF(I8=27,4,IF(I8=28,3,IF(I8=29,2,IF(I8=30,1)))))))))))))))))))))))))))))))</f>
        <v>0</v>
      </c>
      <c r="R8" s="4">
        <f>IF(OR(J8="",J8&gt;30),0,IF(J8=1,60,IF(J8=2,55,IF(J8=3,50,IF(J8=4,44,IF(J8=5,38,IF(J8=6,32,IF(J8=7,28,IF(J8=8,25,IF(J8=9,22,IF(J8=10,21,IF(J8=11,20,IF(J8=12,19,IF(J8=13,18,IF(J8=14,17,IF(J8=15,16,IF(J8=16,15,IF(J8=17,14,IF(J8=18,13,IF(J8=19,12,IF(J8=20,11,IF(J8=21,10,IF(J8=22,9,IF(J8=23,8,IF(J8=24,7,IF(J8=25,6,IF(J8=26,5,IF(J8=27,4,IF(J8=28,3,IF(J8=29,2,IF(J8=30,1)))))))))))))))))))))))))))))))</f>
        <v>0</v>
      </c>
      <c r="S8" s="5">
        <f>IF(OR(K8="",K8&gt;3),0,IF(K8=1,3,IF(K8=2,2,IF(K8=3,1))))</f>
        <v>0</v>
      </c>
    </row>
    <row r="9" spans="1:20" x14ac:dyDescent="0.2">
      <c r="A9" s="6" t="s">
        <v>20</v>
      </c>
      <c r="B9" s="8">
        <f>SUM(L9:S9)-SMALL(L9:S9,1)-SMALL(L9:S9,2)-SMALL(L9:S9,3)-SMALL(L9:S9,4)</f>
        <v>3</v>
      </c>
      <c r="C9" s="9" t="s">
        <v>9</v>
      </c>
      <c r="D9" s="9">
        <v>95</v>
      </c>
      <c r="E9" s="6">
        <v>28</v>
      </c>
      <c r="F9" s="6" t="s">
        <v>7</v>
      </c>
      <c r="G9" s="6">
        <v>31</v>
      </c>
      <c r="H9" s="6">
        <v>73</v>
      </c>
      <c r="I9" s="6"/>
      <c r="J9" s="6"/>
      <c r="K9" s="6"/>
      <c r="L9" s="9">
        <f>IF(OR(D9="",D9&gt;30),0,IF(D9=1,70,IF(D9=2,65,IF(D9=3,60,IF(D9=4,54,IF(D9=5,48,IF(D9=6,42,IF(D9=7,38,IF(D9=8,35,IF(D9=9,22,IF(D9=10,21,IF(D9=11,20,IF(D9=12,19,IF(D9=13,18,IF(D9=14,17,IF(D9=15,16,IF(D9=16,15,IF(D9=17,14,IF(D9=18,13,IF(D9=19,12,IF(D9=20,11,IF(D9=21,10,IF(D9=22,9,IF(D9=23,8,IF(D9=24,7,IF(D9=25,6,IF(D9=26,5,IF(D9=27,4,IF(D9=28,3,IF(D9=29,2,IF(D9=30,1)))))))))))))))))))))))))))))))</f>
        <v>0</v>
      </c>
      <c r="M9" s="6">
        <f>IF(OR(E9="",E9&gt;30),0,IF(E9=1,60,IF(E9=2,55,IF(E9=3,50,IF(E9=4,44,IF(E9=5,38,IF(E9=6,32,IF(E9=7,28,IF(E9=8,25,IF(E9=9,22,IF(E9=10,21,IF(E9=11,20,IF(E9=12,19,IF(E9=13,18,IF(E9=14,17,IF(E9=15,16,IF(E9=16,15,IF(E9=17,14,IF(E9=18,13,IF(E9=19,12,IF(E9=20,11,IF(E9=21,10,IF(E9=22,9,IF(E9=23,8,IF(E9=24,7,IF(E9=25,6,IF(E9=26,5,IF(E9=27,4,IF(E9=28,3,IF(E9=29,2,IF(E9=30,1)))))))))))))))))))))))))))))))</f>
        <v>3</v>
      </c>
      <c r="N9" s="6">
        <f>IF(OR(F9="",F9&gt;30),0,IF(F9=1,60,IF(F9=2,55,IF(F9=3,50,IF(F9=4,44,IF(F9=5,38,IF(F9=6,32,IF(F9=7,28,IF(F9=8,25,IF(F9=9,22,IF(F9=10,21,IF(F9=11,20,IF(F9=12,19,IF(F9=13,18,IF(F9=14,17,IF(F9=15,16,IF(F9=16,15,IF(F9=17,14,IF(F9=18,13,IF(F9=19,12,IF(F9=20,11,IF(F9=21,10,IF(F9=22,9,IF(F9=23,8,IF(F9=24,7,IF(F9=25,6,IF(F9=26,5,IF(F9=27,4,IF(F9=28,3,IF(F9=29,2,IF(F9=30,1)))))))))))))))))))))))))))))))</f>
        <v>0</v>
      </c>
      <c r="O9" s="6">
        <f>IF(OR(G9="",G9&gt;30),0,IF(G9=1,60,IF(G9=2,55,IF(G9=3,50,IF(G9=4,44,IF(G9=5,38,IF(G9=6,32,IF(G9=7,28,IF(G9=8,25,IF(G9=9,22,IF(G9=10,21,IF(G9=11,20,IF(G9=12,19,IF(G9=13,18,IF(G9=14,17,IF(G9=15,16,IF(G9=16,15,IF(G9=17,14,IF(G9=18,13,IF(G9=19,12,IF(G9=20,11,IF(G9=21,10,IF(G9=22,9,IF(G9=23,8,IF(G9=24,7,IF(G9=25,6,IF(G9=26,5,IF(G9=27,4,IF(G9=28,3,IF(G9=29,2,IF(G9=30,1)))))))))))))))))))))))))))))))</f>
        <v>0</v>
      </c>
      <c r="P9" s="6">
        <f>IF(OR(H9="",H9&gt;30),0,IF(H9=1,60,IF(H9=2,55,IF(H9=3,50,IF(H9=4,44,IF(H9=5,38,IF(H9=6,32,IF(H9=7,28,IF(H9=8,25,IF(H9=9,22,IF(H9=10,21,IF(H9=11,20,IF(H9=12,19,IF(H9=13,18,IF(H9=14,17,IF(H9=15,16,IF(H9=16,15,IF(H9=17,14,IF(H9=18,13,IF(H9=19,12,IF(H9=20,11,IF(H9=21,10,IF(H9=22,9,IF(H9=23,8,IF(H9=24,7,IF(H9=25,6,IF(H9=26,5,IF(H9=27,4,IF(H9=28,3,IF(H9=29,2,IF(H9=30,1)))))))))))))))))))))))))))))))</f>
        <v>0</v>
      </c>
      <c r="Q9" s="6">
        <f>IF(OR(I9="",I9&gt;30),0,IF(I9=1,60,IF(I9=2,55,IF(I9=3,50,IF(I9=4,44,IF(I9=5,38,IF(I9=6,32,IF(I9=7,28,IF(I9=8,25,IF(I9=9,22,IF(I9=10,21,IF(I9=11,20,IF(I9=12,19,IF(I9=13,18,IF(I9=14,17,IF(I9=15,16,IF(I9=16,15,IF(I9=17,14,IF(I9=18,13,IF(I9=19,12,IF(I9=20,11,IF(I9=21,10,IF(I9=22,9,IF(I9=23,8,IF(I9=24,7,IF(I9=25,6,IF(I9=26,5,IF(I9=27,4,IF(I9=28,3,IF(I9=29,2,IF(I9=30,1)))))))))))))))))))))))))))))))</f>
        <v>0</v>
      </c>
      <c r="R9" s="6">
        <f>IF(OR(J9="",J9&gt;30),0,IF(J9=1,60,IF(J9=2,55,IF(J9=3,50,IF(J9=4,44,IF(J9=5,38,IF(J9=6,32,IF(J9=7,28,IF(J9=8,25,IF(J9=9,22,IF(J9=10,21,IF(J9=11,20,IF(J9=12,19,IF(J9=13,18,IF(J9=14,17,IF(J9=15,16,IF(J9=16,15,IF(J9=17,14,IF(J9=18,13,IF(J9=19,12,IF(J9=20,11,IF(J9=21,10,IF(J9=22,9,IF(J9=23,8,IF(J9=24,7,IF(J9=25,6,IF(J9=26,5,IF(J9=27,4,IF(J9=28,3,IF(J9=29,2,IF(J9=30,1)))))))))))))))))))))))))))))))</f>
        <v>0</v>
      </c>
      <c r="S9" s="10">
        <f>IF(OR(K9="",K9&gt;3),0,IF(K9=1,3,IF(K9=2,2,IF(K9=3,1))))</f>
        <v>0</v>
      </c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664929A-18C3-F44D-825E-32DDABD04717}">
            <xm:f>IF($C2="F",IF(Info!$B$4&gt;0,IF(SUMPRODUCT(--($B$2:$B$100&gt;$B2),--($C$2:$C$100=$C2))+1&lt;=Info!$B$4,1,0),0),IF($C2="M",IF(Info!$B$3&gt;0,IF(SUMPRODUCT(--($B$2:$B$100&gt;$B2),--($C$2:$C$100=$C2))+1&lt;=Info!$B$3,1,0),0),0))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2" id="{D6FDC063-EFA7-6349-B4B4-C6DD19B22D47}">
            <xm:f>IF($C2="F",IF(Info!$B$4&gt;0,IF(SUMPRODUCT(--($B$2:$B$100&gt;$B2),--($C$2:$C$100=$C2))+1&lt;=Info!$B$4+1,1,0),0),IF($C2="M",IF(Info!$B$3&gt;0,IF(SUMPRODUCT(--($B$2:$B$100&gt;$B2),--($C$2:$C$100=$C2))+1&lt;=Info!$B$3+1,1,0),0),0))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A2:S100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2510D-E5BD-2345-BCEB-D9DFDEB46EF8}">
  <sheetPr codeName="Sheet2"/>
  <dimension ref="A2:B4"/>
  <sheetViews>
    <sheetView zoomScaleNormal="100" workbookViewId="0">
      <selection activeCell="B6" sqref="B6"/>
    </sheetView>
  </sheetViews>
  <sheetFormatPr baseColWidth="10" defaultRowHeight="16" x14ac:dyDescent="0.2"/>
  <cols>
    <col min="1" max="1" width="14.1640625" bestFit="1" customWidth="1"/>
  </cols>
  <sheetData>
    <row r="2" spans="1:2" x14ac:dyDescent="0.2">
      <c r="A2" t="s">
        <v>12</v>
      </c>
    </row>
    <row r="3" spans="1:2" x14ac:dyDescent="0.2">
      <c r="A3" t="s">
        <v>21</v>
      </c>
      <c r="B3">
        <v>0</v>
      </c>
    </row>
    <row r="4" spans="1:2" x14ac:dyDescent="0.2">
      <c r="A4" t="s">
        <v>22</v>
      </c>
      <c r="B4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_xludf.Sort">
                <anchor moveWithCells="1" sizeWithCells="1">
                  <from>
                    <xdr:col>0</xdr:col>
                    <xdr:colOff>12700</xdr:colOff>
                    <xdr:row>0</xdr:row>
                    <xdr:rowOff>12700</xdr:rowOff>
                  </from>
                  <to>
                    <xdr:col>0</xdr:col>
                    <xdr:colOff>1066800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Athletes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2019-12-06T23:00:19Z</dcterms:created>
  <dcterms:modified xsi:type="dcterms:W3CDTF">2019-12-11T02:41:28Z</dcterms:modified>
</cp:coreProperties>
</file>