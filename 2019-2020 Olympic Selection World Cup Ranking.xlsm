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GymCan Excel Sheets/Ranking Lists/2019-2020 World Cup Series/"/>
    </mc:Choice>
  </mc:AlternateContent>
  <xr:revisionPtr revIDLastSave="0" documentId="13_ncr:1_{8C0639E3-A0ED-8746-90C9-D181F8376968}" xr6:coauthVersionLast="44" xr6:coauthVersionMax="44" xr10:uidLastSave="{00000000-0000-0000-0000-000000000000}"/>
  <bookViews>
    <workbookView xWindow="0" yWindow="460" windowWidth="33600" windowHeight="20540" xr2:uid="{D2A48EEF-CA85-4F47-802C-95C803B4031C}"/>
  </bookViews>
  <sheets>
    <sheet name="Women" sheetId="1" r:id="rId1"/>
    <sheet name="Men" sheetId="6" r:id="rId2"/>
  </sheets>
  <definedNames>
    <definedName name="_xlnm._FilterDatabase" localSheetId="1" hidden="1">Men!$A$1:$AJ$2</definedName>
    <definedName name="_xlnm._FilterDatabase" localSheetId="0" hidden="1">Women!$A$1:$AJ$2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X4" i="6" l="1"/>
  <c r="X5" i="6"/>
  <c r="X6" i="6"/>
  <c r="X7" i="6"/>
  <c r="X8" i="6"/>
  <c r="X9" i="6"/>
  <c r="X10" i="6"/>
  <c r="X11" i="6"/>
  <c r="X12" i="6"/>
  <c r="X13" i="6"/>
  <c r="X14" i="6"/>
  <c r="X15" i="6"/>
  <c r="X16" i="6"/>
  <c r="X17" i="6"/>
  <c r="X18" i="6"/>
  <c r="X19" i="6"/>
  <c r="X20" i="6"/>
  <c r="X21" i="6"/>
  <c r="X22" i="6"/>
  <c r="X23" i="6"/>
  <c r="X24" i="6"/>
  <c r="X25" i="6"/>
  <c r="X26" i="6"/>
  <c r="X27" i="6"/>
  <c r="X28" i="6"/>
  <c r="X29" i="6"/>
  <c r="X30" i="6"/>
  <c r="X31" i="6"/>
  <c r="X32" i="6"/>
  <c r="X33" i="6"/>
  <c r="X34" i="6"/>
  <c r="X35" i="6"/>
  <c r="X36" i="6"/>
  <c r="X37" i="6"/>
  <c r="X38" i="6"/>
  <c r="X39" i="6"/>
  <c r="X40" i="6"/>
  <c r="X41" i="6"/>
  <c r="X42" i="6"/>
  <c r="X43" i="6"/>
  <c r="X44" i="6"/>
  <c r="X45" i="6"/>
  <c r="X46" i="6"/>
  <c r="X47" i="6"/>
  <c r="X48" i="6"/>
  <c r="X49" i="6"/>
  <c r="X50" i="6"/>
  <c r="X51" i="6"/>
  <c r="X52" i="6"/>
  <c r="X53" i="6"/>
  <c r="X54" i="6"/>
  <c r="X55" i="6"/>
  <c r="X56" i="6"/>
  <c r="X57" i="6"/>
  <c r="X3" i="6"/>
  <c r="L7" i="6" l="1"/>
  <c r="M7" i="6"/>
  <c r="N7" i="6"/>
  <c r="O7" i="6"/>
  <c r="P7" i="6"/>
  <c r="Q7" i="6"/>
  <c r="L9" i="6"/>
  <c r="M9" i="6"/>
  <c r="N9" i="6"/>
  <c r="O9" i="6"/>
  <c r="P9" i="6"/>
  <c r="Q9" i="6"/>
  <c r="L8" i="6"/>
  <c r="M8" i="6"/>
  <c r="N8" i="6"/>
  <c r="O8" i="6"/>
  <c r="P8" i="6"/>
  <c r="Q8" i="6"/>
  <c r="L5" i="6"/>
  <c r="M5" i="6"/>
  <c r="N5" i="6"/>
  <c r="O5" i="6"/>
  <c r="P5" i="6"/>
  <c r="Q5" i="6"/>
  <c r="L4" i="6"/>
  <c r="M4" i="6"/>
  <c r="N4" i="6"/>
  <c r="O4" i="6"/>
  <c r="P4" i="6"/>
  <c r="Q4" i="6"/>
  <c r="L15" i="6"/>
  <c r="M15" i="6"/>
  <c r="N15" i="6"/>
  <c r="O15" i="6"/>
  <c r="P15" i="6"/>
  <c r="Q15" i="6"/>
  <c r="L10" i="6"/>
  <c r="M10" i="6"/>
  <c r="N10" i="6"/>
  <c r="O10" i="6"/>
  <c r="P10" i="6"/>
  <c r="Q10" i="6"/>
  <c r="L18" i="6"/>
  <c r="M18" i="6"/>
  <c r="N18" i="6"/>
  <c r="O18" i="6"/>
  <c r="P18" i="6"/>
  <c r="Q18" i="6"/>
  <c r="L19" i="6"/>
  <c r="M19" i="6"/>
  <c r="N19" i="6"/>
  <c r="O19" i="6"/>
  <c r="P19" i="6"/>
  <c r="Q19" i="6"/>
  <c r="L21" i="6"/>
  <c r="M21" i="6"/>
  <c r="N21" i="6"/>
  <c r="O21" i="6"/>
  <c r="P21" i="6"/>
  <c r="Q21" i="6"/>
  <c r="L11" i="6"/>
  <c r="M11" i="6"/>
  <c r="N11" i="6"/>
  <c r="O11" i="6"/>
  <c r="P11" i="6"/>
  <c r="Q11" i="6"/>
  <c r="L24" i="6"/>
  <c r="M24" i="6"/>
  <c r="N24" i="6"/>
  <c r="O24" i="6"/>
  <c r="P24" i="6"/>
  <c r="Q24" i="6"/>
  <c r="L6" i="6"/>
  <c r="M6" i="6"/>
  <c r="N6" i="6"/>
  <c r="O6" i="6"/>
  <c r="P6" i="6"/>
  <c r="Q6" i="6"/>
  <c r="L12" i="6"/>
  <c r="M12" i="6"/>
  <c r="N12" i="6"/>
  <c r="O12" i="6"/>
  <c r="P12" i="6"/>
  <c r="Q12" i="6"/>
  <c r="L27" i="6"/>
  <c r="M27" i="6"/>
  <c r="N27" i="6"/>
  <c r="O27" i="6"/>
  <c r="P27" i="6"/>
  <c r="Q27" i="6"/>
  <c r="L28" i="6"/>
  <c r="M28" i="6"/>
  <c r="N28" i="6"/>
  <c r="O28" i="6"/>
  <c r="P28" i="6"/>
  <c r="Q28" i="6"/>
  <c r="L14" i="6"/>
  <c r="M14" i="6"/>
  <c r="N14" i="6"/>
  <c r="O14" i="6"/>
  <c r="P14" i="6"/>
  <c r="Q14" i="6"/>
  <c r="L30" i="6"/>
  <c r="M30" i="6"/>
  <c r="N30" i="6"/>
  <c r="O30" i="6"/>
  <c r="P30" i="6"/>
  <c r="Q30" i="6"/>
  <c r="L34" i="6"/>
  <c r="M34" i="6"/>
  <c r="N34" i="6"/>
  <c r="O34" i="6"/>
  <c r="P34" i="6"/>
  <c r="Q34" i="6"/>
  <c r="L23" i="6"/>
  <c r="M23" i="6"/>
  <c r="N23" i="6"/>
  <c r="O23" i="6"/>
  <c r="P23" i="6"/>
  <c r="Q23" i="6"/>
  <c r="L16" i="6"/>
  <c r="M16" i="6"/>
  <c r="N16" i="6"/>
  <c r="O16" i="6"/>
  <c r="P16" i="6"/>
  <c r="Q16" i="6"/>
  <c r="L31" i="6"/>
  <c r="M31" i="6"/>
  <c r="N31" i="6"/>
  <c r="O31" i="6"/>
  <c r="P31" i="6"/>
  <c r="Q31" i="6"/>
  <c r="L36" i="6"/>
  <c r="M36" i="6"/>
  <c r="N36" i="6"/>
  <c r="O36" i="6"/>
  <c r="P36" i="6"/>
  <c r="Q36" i="6"/>
  <c r="L17" i="6"/>
  <c r="M17" i="6"/>
  <c r="N17" i="6"/>
  <c r="O17" i="6"/>
  <c r="P17" i="6"/>
  <c r="Q17" i="6"/>
  <c r="L22" i="6"/>
  <c r="M22" i="6"/>
  <c r="N22" i="6"/>
  <c r="O22" i="6"/>
  <c r="P22" i="6"/>
  <c r="Q22" i="6"/>
  <c r="L40" i="6"/>
  <c r="M40" i="6"/>
  <c r="N40" i="6"/>
  <c r="O40" i="6"/>
  <c r="P40" i="6"/>
  <c r="Q40" i="6"/>
  <c r="L26" i="6"/>
  <c r="M26" i="6"/>
  <c r="N26" i="6"/>
  <c r="O26" i="6"/>
  <c r="P26" i="6"/>
  <c r="Q26" i="6"/>
  <c r="L25" i="6"/>
  <c r="M25" i="6"/>
  <c r="N25" i="6"/>
  <c r="O25" i="6"/>
  <c r="P25" i="6"/>
  <c r="Q25" i="6"/>
  <c r="L32" i="6"/>
  <c r="M32" i="6"/>
  <c r="N32" i="6"/>
  <c r="O32" i="6"/>
  <c r="P32" i="6"/>
  <c r="Q32" i="6"/>
  <c r="L44" i="6"/>
  <c r="M44" i="6"/>
  <c r="N44" i="6"/>
  <c r="O44" i="6"/>
  <c r="P44" i="6"/>
  <c r="Q44" i="6"/>
  <c r="L35" i="6"/>
  <c r="M35" i="6"/>
  <c r="N35" i="6"/>
  <c r="O35" i="6"/>
  <c r="P35" i="6"/>
  <c r="Q35" i="6"/>
  <c r="L45" i="6"/>
  <c r="M45" i="6"/>
  <c r="N45" i="6"/>
  <c r="O45" i="6"/>
  <c r="P45" i="6"/>
  <c r="Q45" i="6"/>
  <c r="L46" i="6"/>
  <c r="M46" i="6"/>
  <c r="N46" i="6"/>
  <c r="O46" i="6"/>
  <c r="P46" i="6"/>
  <c r="Q46" i="6"/>
  <c r="L47" i="6"/>
  <c r="M47" i="6"/>
  <c r="N47" i="6"/>
  <c r="O47" i="6"/>
  <c r="P47" i="6"/>
  <c r="Q47" i="6"/>
  <c r="L48" i="6"/>
  <c r="M48" i="6"/>
  <c r="N48" i="6"/>
  <c r="O48" i="6"/>
  <c r="P48" i="6"/>
  <c r="Q48" i="6"/>
  <c r="L49" i="6"/>
  <c r="M49" i="6"/>
  <c r="N49" i="6"/>
  <c r="O49" i="6"/>
  <c r="P49" i="6"/>
  <c r="Q49" i="6"/>
  <c r="L50" i="6"/>
  <c r="M50" i="6"/>
  <c r="N50" i="6"/>
  <c r="O50" i="6"/>
  <c r="P50" i="6"/>
  <c r="Q50" i="6"/>
  <c r="L13" i="6"/>
  <c r="M13" i="6"/>
  <c r="N13" i="6"/>
  <c r="O13" i="6"/>
  <c r="P13" i="6"/>
  <c r="Q13" i="6"/>
  <c r="L20" i="6"/>
  <c r="M20" i="6"/>
  <c r="N20" i="6"/>
  <c r="O20" i="6"/>
  <c r="P20" i="6"/>
  <c r="Q20" i="6"/>
  <c r="L29" i="6"/>
  <c r="M29" i="6"/>
  <c r="N29" i="6"/>
  <c r="O29" i="6"/>
  <c r="P29" i="6"/>
  <c r="Q29" i="6"/>
  <c r="L33" i="6"/>
  <c r="M33" i="6"/>
  <c r="N33" i="6"/>
  <c r="O33" i="6"/>
  <c r="P33" i="6"/>
  <c r="Q33" i="6"/>
  <c r="L37" i="6"/>
  <c r="M37" i="6"/>
  <c r="N37" i="6"/>
  <c r="O37" i="6"/>
  <c r="P37" i="6"/>
  <c r="Q37" i="6"/>
  <c r="L38" i="6"/>
  <c r="M38" i="6"/>
  <c r="N38" i="6"/>
  <c r="O38" i="6"/>
  <c r="P38" i="6"/>
  <c r="Q38" i="6"/>
  <c r="L39" i="6"/>
  <c r="M39" i="6"/>
  <c r="N39" i="6"/>
  <c r="O39" i="6"/>
  <c r="P39" i="6"/>
  <c r="Q39" i="6"/>
  <c r="L41" i="6"/>
  <c r="M41" i="6"/>
  <c r="N41" i="6"/>
  <c r="O41" i="6"/>
  <c r="P41" i="6"/>
  <c r="Q41" i="6"/>
  <c r="L42" i="6"/>
  <c r="M42" i="6"/>
  <c r="N42" i="6"/>
  <c r="O42" i="6"/>
  <c r="P42" i="6"/>
  <c r="Q42" i="6"/>
  <c r="L43" i="6"/>
  <c r="M43" i="6"/>
  <c r="N43" i="6"/>
  <c r="O43" i="6"/>
  <c r="P43" i="6"/>
  <c r="Q43" i="6"/>
  <c r="L51" i="6"/>
  <c r="M51" i="6"/>
  <c r="N51" i="6"/>
  <c r="O51" i="6"/>
  <c r="P51" i="6"/>
  <c r="Q51" i="6"/>
  <c r="L52" i="6"/>
  <c r="M52" i="6"/>
  <c r="N52" i="6"/>
  <c r="O52" i="6"/>
  <c r="P52" i="6"/>
  <c r="Q52" i="6"/>
  <c r="L53" i="6"/>
  <c r="M53" i="6"/>
  <c r="N53" i="6"/>
  <c r="O53" i="6"/>
  <c r="P53" i="6"/>
  <c r="Q53" i="6"/>
  <c r="L54" i="6"/>
  <c r="M54" i="6"/>
  <c r="N54" i="6"/>
  <c r="O54" i="6"/>
  <c r="P54" i="6"/>
  <c r="Q54" i="6"/>
  <c r="L55" i="6"/>
  <c r="M55" i="6"/>
  <c r="N55" i="6"/>
  <c r="O55" i="6"/>
  <c r="P55" i="6"/>
  <c r="Q55" i="6"/>
  <c r="L56" i="6"/>
  <c r="M56" i="6"/>
  <c r="N56" i="6"/>
  <c r="O56" i="6"/>
  <c r="P56" i="6"/>
  <c r="Q56" i="6"/>
  <c r="L57" i="6"/>
  <c r="M57" i="6"/>
  <c r="N57" i="6"/>
  <c r="O57" i="6"/>
  <c r="P57" i="6"/>
  <c r="Q57" i="6"/>
  <c r="M3" i="6"/>
  <c r="N3" i="6"/>
  <c r="O3" i="6"/>
  <c r="P3" i="6"/>
  <c r="Q3" i="6"/>
  <c r="L3" i="6"/>
  <c r="L10" i="1"/>
  <c r="M10" i="1"/>
  <c r="N10" i="1"/>
  <c r="O10" i="1"/>
  <c r="P10" i="1"/>
  <c r="Q10" i="1"/>
  <c r="L12" i="1"/>
  <c r="M12" i="1"/>
  <c r="N12" i="1"/>
  <c r="O12" i="1"/>
  <c r="P12" i="1"/>
  <c r="Q12" i="1"/>
  <c r="L5" i="1"/>
  <c r="M5" i="1"/>
  <c r="N5" i="1"/>
  <c r="O5" i="1"/>
  <c r="P5" i="1"/>
  <c r="Q5" i="1"/>
  <c r="L8" i="1"/>
  <c r="M8" i="1"/>
  <c r="N8" i="1"/>
  <c r="O8" i="1"/>
  <c r="P8" i="1"/>
  <c r="Q8" i="1"/>
  <c r="L11" i="1"/>
  <c r="M11" i="1"/>
  <c r="N11" i="1"/>
  <c r="O11" i="1"/>
  <c r="P11" i="1"/>
  <c r="Q11" i="1"/>
  <c r="L4" i="1"/>
  <c r="M4" i="1"/>
  <c r="N4" i="1"/>
  <c r="O4" i="1"/>
  <c r="P4" i="1"/>
  <c r="Q4" i="1"/>
  <c r="L13" i="1"/>
  <c r="M13" i="1"/>
  <c r="N13" i="1"/>
  <c r="O13" i="1"/>
  <c r="P13" i="1"/>
  <c r="Q13" i="1"/>
  <c r="L3" i="1"/>
  <c r="M3" i="1"/>
  <c r="N3" i="1"/>
  <c r="O3" i="1"/>
  <c r="P3" i="1"/>
  <c r="Q3" i="1"/>
  <c r="L22" i="1"/>
  <c r="M22" i="1"/>
  <c r="N22" i="1"/>
  <c r="O22" i="1"/>
  <c r="P22" i="1"/>
  <c r="Q22" i="1"/>
  <c r="L7" i="1"/>
  <c r="M7" i="1"/>
  <c r="N7" i="1"/>
  <c r="O7" i="1"/>
  <c r="P7" i="1"/>
  <c r="Q7" i="1"/>
  <c r="L23" i="1"/>
  <c r="M23" i="1"/>
  <c r="N23" i="1"/>
  <c r="O23" i="1"/>
  <c r="P23" i="1"/>
  <c r="Q23" i="1"/>
  <c r="L14" i="1"/>
  <c r="M14" i="1"/>
  <c r="N14" i="1"/>
  <c r="O14" i="1"/>
  <c r="P14" i="1"/>
  <c r="Q14" i="1"/>
  <c r="L26" i="1"/>
  <c r="M26" i="1"/>
  <c r="N26" i="1"/>
  <c r="O26" i="1"/>
  <c r="P26" i="1"/>
  <c r="Q26" i="1"/>
  <c r="L18" i="1"/>
  <c r="M18" i="1"/>
  <c r="N18" i="1"/>
  <c r="O18" i="1"/>
  <c r="P18" i="1"/>
  <c r="Q18" i="1"/>
  <c r="L24" i="1"/>
  <c r="M24" i="1"/>
  <c r="N24" i="1"/>
  <c r="O24" i="1"/>
  <c r="P24" i="1"/>
  <c r="Q24" i="1"/>
  <c r="L19" i="1"/>
  <c r="M19" i="1"/>
  <c r="N19" i="1"/>
  <c r="O19" i="1"/>
  <c r="P19" i="1"/>
  <c r="Q19" i="1"/>
  <c r="L17" i="1"/>
  <c r="M17" i="1"/>
  <c r="N17" i="1"/>
  <c r="O17" i="1"/>
  <c r="P17" i="1"/>
  <c r="Q17" i="1"/>
  <c r="L20" i="1"/>
  <c r="M20" i="1"/>
  <c r="N20" i="1"/>
  <c r="O20" i="1"/>
  <c r="P20" i="1"/>
  <c r="Q20" i="1"/>
  <c r="L16" i="1"/>
  <c r="M16" i="1"/>
  <c r="N16" i="1"/>
  <c r="O16" i="1"/>
  <c r="P16" i="1"/>
  <c r="Q16" i="1"/>
  <c r="L33" i="1"/>
  <c r="M33" i="1"/>
  <c r="N33" i="1"/>
  <c r="O33" i="1"/>
  <c r="P33" i="1"/>
  <c r="Q33" i="1"/>
  <c r="L34" i="1"/>
  <c r="M34" i="1"/>
  <c r="N34" i="1"/>
  <c r="O34" i="1"/>
  <c r="P34" i="1"/>
  <c r="Q34" i="1"/>
  <c r="L35" i="1"/>
  <c r="M35" i="1"/>
  <c r="N35" i="1"/>
  <c r="O35" i="1"/>
  <c r="P35" i="1"/>
  <c r="Q35" i="1"/>
  <c r="L39" i="1"/>
  <c r="M39" i="1"/>
  <c r="N39" i="1"/>
  <c r="O39" i="1"/>
  <c r="P39" i="1"/>
  <c r="Q39" i="1"/>
  <c r="L40" i="1"/>
  <c r="M40" i="1"/>
  <c r="N40" i="1"/>
  <c r="O40" i="1"/>
  <c r="P40" i="1"/>
  <c r="Q40" i="1"/>
  <c r="L29" i="1"/>
  <c r="M29" i="1"/>
  <c r="N29" i="1"/>
  <c r="O29" i="1"/>
  <c r="P29" i="1"/>
  <c r="Q29" i="1"/>
  <c r="L37" i="1"/>
  <c r="M37" i="1"/>
  <c r="N37" i="1"/>
  <c r="O37" i="1"/>
  <c r="P37" i="1"/>
  <c r="Q37" i="1"/>
  <c r="L36" i="1"/>
  <c r="M36" i="1"/>
  <c r="N36" i="1"/>
  <c r="O36" i="1"/>
  <c r="P36" i="1"/>
  <c r="Q36" i="1"/>
  <c r="L42" i="1"/>
  <c r="M42" i="1"/>
  <c r="N42" i="1"/>
  <c r="O42" i="1"/>
  <c r="P42" i="1"/>
  <c r="Q42" i="1"/>
  <c r="L44" i="1"/>
  <c r="M44" i="1"/>
  <c r="N44" i="1"/>
  <c r="O44" i="1"/>
  <c r="P44" i="1"/>
  <c r="Q44" i="1"/>
  <c r="L41" i="1"/>
  <c r="M41" i="1"/>
  <c r="N41" i="1"/>
  <c r="O41" i="1"/>
  <c r="P41" i="1"/>
  <c r="Q41" i="1"/>
  <c r="L30" i="1"/>
  <c r="M30" i="1"/>
  <c r="N30" i="1"/>
  <c r="O30" i="1"/>
  <c r="P30" i="1"/>
  <c r="Q30" i="1"/>
  <c r="L32" i="1"/>
  <c r="M32" i="1"/>
  <c r="N32" i="1"/>
  <c r="O32" i="1"/>
  <c r="P32" i="1"/>
  <c r="Q32" i="1"/>
  <c r="L27" i="1"/>
  <c r="M27" i="1"/>
  <c r="N27" i="1"/>
  <c r="O27" i="1"/>
  <c r="P27" i="1"/>
  <c r="Q27" i="1"/>
  <c r="L45" i="1"/>
  <c r="M45" i="1"/>
  <c r="N45" i="1"/>
  <c r="O45" i="1"/>
  <c r="P45" i="1"/>
  <c r="Q45" i="1"/>
  <c r="L46" i="1"/>
  <c r="M46" i="1"/>
  <c r="N46" i="1"/>
  <c r="O46" i="1"/>
  <c r="P46" i="1"/>
  <c r="Q46" i="1"/>
  <c r="L47" i="1"/>
  <c r="M47" i="1"/>
  <c r="N47" i="1"/>
  <c r="O47" i="1"/>
  <c r="P47" i="1"/>
  <c r="Q47" i="1"/>
  <c r="L48" i="1"/>
  <c r="M48" i="1"/>
  <c r="N48" i="1"/>
  <c r="O48" i="1"/>
  <c r="P48" i="1"/>
  <c r="Q48" i="1"/>
  <c r="L9" i="1"/>
  <c r="M9" i="1"/>
  <c r="N9" i="1"/>
  <c r="O9" i="1"/>
  <c r="P9" i="1"/>
  <c r="Q9" i="1"/>
  <c r="L15" i="1"/>
  <c r="M15" i="1"/>
  <c r="N15" i="1"/>
  <c r="O15" i="1"/>
  <c r="P15" i="1"/>
  <c r="Q15" i="1"/>
  <c r="L21" i="1"/>
  <c r="M21" i="1"/>
  <c r="N21" i="1"/>
  <c r="O21" i="1"/>
  <c r="P21" i="1"/>
  <c r="Q21" i="1"/>
  <c r="L25" i="1"/>
  <c r="M25" i="1"/>
  <c r="N25" i="1"/>
  <c r="O25" i="1"/>
  <c r="P25" i="1"/>
  <c r="Q25" i="1"/>
  <c r="L28" i="1"/>
  <c r="M28" i="1"/>
  <c r="N28" i="1"/>
  <c r="O28" i="1"/>
  <c r="P28" i="1"/>
  <c r="Q28" i="1"/>
  <c r="L31" i="1"/>
  <c r="M31" i="1"/>
  <c r="N31" i="1"/>
  <c r="O31" i="1"/>
  <c r="P31" i="1"/>
  <c r="Q31" i="1"/>
  <c r="L38" i="1"/>
  <c r="M38" i="1"/>
  <c r="N38" i="1"/>
  <c r="O38" i="1"/>
  <c r="P38" i="1"/>
  <c r="Q38" i="1"/>
  <c r="L43" i="1"/>
  <c r="M43" i="1"/>
  <c r="N43" i="1"/>
  <c r="O43" i="1"/>
  <c r="P43" i="1"/>
  <c r="Q43" i="1"/>
  <c r="L49" i="1"/>
  <c r="M49" i="1"/>
  <c r="N49" i="1"/>
  <c r="O49" i="1"/>
  <c r="P49" i="1"/>
  <c r="Q49" i="1"/>
  <c r="L50" i="1"/>
  <c r="M50" i="1"/>
  <c r="N50" i="1"/>
  <c r="O50" i="1"/>
  <c r="P50" i="1"/>
  <c r="Q50" i="1"/>
  <c r="L51" i="1"/>
  <c r="M51" i="1"/>
  <c r="N51" i="1"/>
  <c r="O51" i="1"/>
  <c r="P51" i="1"/>
  <c r="Q51" i="1"/>
  <c r="L52" i="1"/>
  <c r="M52" i="1"/>
  <c r="N52" i="1"/>
  <c r="O52" i="1"/>
  <c r="P52" i="1"/>
  <c r="Q52" i="1"/>
  <c r="L53" i="1"/>
  <c r="M53" i="1"/>
  <c r="N53" i="1"/>
  <c r="O53" i="1"/>
  <c r="P53" i="1"/>
  <c r="Q53" i="1"/>
  <c r="M6" i="1"/>
  <c r="N6" i="1"/>
  <c r="O6" i="1"/>
  <c r="P6" i="1"/>
  <c r="Q6" i="1"/>
  <c r="L6" i="1"/>
  <c r="AC46" i="1" l="1"/>
  <c r="AB46" i="1"/>
  <c r="AD46" i="1"/>
  <c r="AC39" i="1"/>
  <c r="AD39" i="1"/>
  <c r="AB39" i="1"/>
  <c r="AD16" i="1"/>
  <c r="AC16" i="1"/>
  <c r="AB16" i="1"/>
  <c r="AC24" i="1"/>
  <c r="AD24" i="1"/>
  <c r="AB24" i="1"/>
  <c r="AC23" i="1"/>
  <c r="AB23" i="1"/>
  <c r="AD23" i="1"/>
  <c r="AB13" i="1"/>
  <c r="AC13" i="1"/>
  <c r="AD13" i="1"/>
  <c r="AC5" i="1"/>
  <c r="AB5" i="1"/>
  <c r="AD5" i="1"/>
  <c r="AC31" i="1"/>
  <c r="AB31" i="1"/>
  <c r="AD31" i="1"/>
  <c r="AB36" i="1"/>
  <c r="AC36" i="1"/>
  <c r="AD36" i="1"/>
  <c r="AC15" i="1"/>
  <c r="AD15" i="1"/>
  <c r="AB15" i="1"/>
  <c r="AC30" i="1"/>
  <c r="AB30" i="1"/>
  <c r="AD30" i="1"/>
  <c r="AB51" i="1"/>
  <c r="AD51" i="1"/>
  <c r="AC51" i="1"/>
  <c r="AC38" i="1"/>
  <c r="AB38" i="1"/>
  <c r="AD38" i="1"/>
  <c r="AC21" i="1"/>
  <c r="AB21" i="1"/>
  <c r="AD21" i="1"/>
  <c r="AC47" i="1"/>
  <c r="AB47" i="1"/>
  <c r="AD47" i="1"/>
  <c r="AD32" i="1"/>
  <c r="AB32" i="1"/>
  <c r="AC32" i="1"/>
  <c r="AD42" i="1"/>
  <c r="AB42" i="1"/>
  <c r="AC42" i="1"/>
  <c r="AC40" i="1"/>
  <c r="AB40" i="1"/>
  <c r="AD40" i="1"/>
  <c r="AC33" i="1"/>
  <c r="AD33" i="1"/>
  <c r="AB33" i="1"/>
  <c r="AB19" i="1"/>
  <c r="AD19" i="1"/>
  <c r="AC19" i="1"/>
  <c r="AC14" i="1"/>
  <c r="AB14" i="1"/>
  <c r="AD14" i="1"/>
  <c r="AC3" i="1"/>
  <c r="AB3" i="1"/>
  <c r="AD3" i="1"/>
  <c r="AC8" i="1"/>
  <c r="AB8" i="1"/>
  <c r="AD8" i="1"/>
  <c r="AC6" i="1"/>
  <c r="AB6" i="1"/>
  <c r="AD6" i="1"/>
  <c r="AB52" i="1"/>
  <c r="AC52" i="1"/>
  <c r="AD52" i="1"/>
  <c r="AB43" i="1"/>
  <c r="AD43" i="1"/>
  <c r="AC43" i="1"/>
  <c r="AD25" i="1"/>
  <c r="AC25" i="1"/>
  <c r="AB25" i="1"/>
  <c r="AC48" i="1"/>
  <c r="AD48" i="1"/>
  <c r="AB48" i="1"/>
  <c r="AB27" i="1"/>
  <c r="AD27" i="1"/>
  <c r="AC27" i="1"/>
  <c r="AB44" i="1"/>
  <c r="AD44" i="1"/>
  <c r="AC44" i="1"/>
  <c r="AB29" i="1"/>
  <c r="AD29" i="1"/>
  <c r="AC29" i="1"/>
  <c r="AD34" i="1"/>
  <c r="AB34" i="1"/>
  <c r="AC34" i="1"/>
  <c r="AD17" i="1"/>
  <c r="AC17" i="1"/>
  <c r="AB17" i="1"/>
  <c r="AD26" i="1"/>
  <c r="AB26" i="1"/>
  <c r="AC26" i="1"/>
  <c r="AB22" i="1"/>
  <c r="AC22" i="1"/>
  <c r="AD22" i="1"/>
  <c r="AB11" i="1"/>
  <c r="AD11" i="1"/>
  <c r="AC11" i="1"/>
  <c r="AD10" i="1"/>
  <c r="AC10" i="1"/>
  <c r="AB10" i="1"/>
  <c r="AB50" i="1"/>
  <c r="AD50" i="1"/>
  <c r="AC50" i="1"/>
  <c r="AC53" i="1"/>
  <c r="AB53" i="1"/>
  <c r="AD53" i="1"/>
  <c r="AD49" i="1"/>
  <c r="AC49" i="1"/>
  <c r="AB49" i="1"/>
  <c r="AB28" i="1"/>
  <c r="AD28" i="1"/>
  <c r="AC28" i="1"/>
  <c r="AD9" i="1"/>
  <c r="AB9" i="1"/>
  <c r="AC9" i="1"/>
  <c r="AB45" i="1"/>
  <c r="AC45" i="1"/>
  <c r="AD45" i="1"/>
  <c r="AD41" i="1"/>
  <c r="AC41" i="1"/>
  <c r="AB41" i="1"/>
  <c r="AB37" i="1"/>
  <c r="AD37" i="1"/>
  <c r="AC37" i="1"/>
  <c r="AB35" i="1"/>
  <c r="AD35" i="1"/>
  <c r="AC35" i="1"/>
  <c r="AB20" i="1"/>
  <c r="AD20" i="1"/>
  <c r="AC20" i="1"/>
  <c r="AD18" i="1"/>
  <c r="AC18" i="1"/>
  <c r="AB18" i="1"/>
  <c r="AC7" i="1"/>
  <c r="AB7" i="1"/>
  <c r="AD7" i="1"/>
  <c r="AB4" i="1"/>
  <c r="AD4" i="1"/>
  <c r="AC4" i="1"/>
  <c r="AB12" i="1"/>
  <c r="AD12" i="1"/>
  <c r="AC12" i="1"/>
  <c r="AB37" i="6"/>
  <c r="AC37" i="6"/>
  <c r="AD37" i="6"/>
  <c r="AB44" i="6"/>
  <c r="AC44" i="6"/>
  <c r="AD44" i="6"/>
  <c r="AD21" i="6"/>
  <c r="AB21" i="6"/>
  <c r="AC21" i="6"/>
  <c r="AB9" i="6"/>
  <c r="AC9" i="6"/>
  <c r="AD9" i="6"/>
  <c r="AD53" i="6"/>
  <c r="AC53" i="6"/>
  <c r="AB53" i="6"/>
  <c r="AB30" i="6"/>
  <c r="AC30" i="6"/>
  <c r="AD30" i="6"/>
  <c r="AB43" i="6"/>
  <c r="AC43" i="6"/>
  <c r="AD43" i="6"/>
  <c r="AB20" i="6"/>
  <c r="AC20" i="6"/>
  <c r="AD20" i="6"/>
  <c r="AC48" i="6"/>
  <c r="AD48" i="6"/>
  <c r="AB48" i="6"/>
  <c r="AB35" i="6"/>
  <c r="AC35" i="6"/>
  <c r="AD35" i="6"/>
  <c r="AB26" i="6"/>
  <c r="AC26" i="6"/>
  <c r="AD26" i="6"/>
  <c r="AD36" i="6"/>
  <c r="AC36" i="6"/>
  <c r="AB36" i="6"/>
  <c r="AB34" i="6"/>
  <c r="AC34" i="6"/>
  <c r="AD34" i="6"/>
  <c r="AB27" i="6"/>
  <c r="AC27" i="6"/>
  <c r="AD27" i="6"/>
  <c r="AB11" i="6"/>
  <c r="AC11" i="6"/>
  <c r="AD11" i="6"/>
  <c r="AB10" i="6"/>
  <c r="AC10" i="6"/>
  <c r="AD10" i="6"/>
  <c r="AC8" i="6"/>
  <c r="AD8" i="6"/>
  <c r="AB8" i="6"/>
  <c r="AB57" i="6"/>
  <c r="AC57" i="6"/>
  <c r="AD57" i="6"/>
  <c r="AB42" i="6"/>
  <c r="AC42" i="6"/>
  <c r="AD42" i="6"/>
  <c r="AB12" i="6"/>
  <c r="AC12" i="6"/>
  <c r="AD12" i="6"/>
  <c r="AB54" i="6"/>
  <c r="AC54" i="6"/>
  <c r="AD54" i="6"/>
  <c r="AB47" i="6"/>
  <c r="AC47" i="6"/>
  <c r="AD47" i="6"/>
  <c r="AB49" i="6"/>
  <c r="AC49" i="6"/>
  <c r="AD49" i="6"/>
  <c r="AD45" i="6"/>
  <c r="AC45" i="6"/>
  <c r="AB45" i="6"/>
  <c r="AD25" i="6"/>
  <c r="AB25" i="6"/>
  <c r="AC25" i="6"/>
  <c r="AD17" i="6"/>
  <c r="AB17" i="6"/>
  <c r="AC17" i="6"/>
  <c r="AC23" i="6"/>
  <c r="AD23" i="6"/>
  <c r="AB23" i="6"/>
  <c r="AB28" i="6"/>
  <c r="AC28" i="6"/>
  <c r="AD28" i="6"/>
  <c r="AB24" i="6"/>
  <c r="AC24" i="6"/>
  <c r="AD24" i="6"/>
  <c r="AB18" i="6"/>
  <c r="AC18" i="6"/>
  <c r="AD18" i="6"/>
  <c r="AD5" i="6"/>
  <c r="AC5" i="6"/>
  <c r="AB5" i="6"/>
  <c r="AD13" i="6"/>
  <c r="AC13" i="6"/>
  <c r="AB13" i="6"/>
  <c r="AB31" i="6"/>
  <c r="AC31" i="6"/>
  <c r="AD31" i="6"/>
  <c r="AB15" i="6"/>
  <c r="AC15" i="6"/>
  <c r="AD15" i="6"/>
  <c r="AB38" i="6"/>
  <c r="AC38" i="6"/>
  <c r="AD38" i="6"/>
  <c r="AB55" i="6"/>
  <c r="AC55" i="6"/>
  <c r="AD55" i="6"/>
  <c r="AB51" i="6"/>
  <c r="AC51" i="6"/>
  <c r="AD51" i="6"/>
  <c r="AB39" i="6"/>
  <c r="AC39" i="6"/>
  <c r="AD39" i="6"/>
  <c r="AD29" i="6"/>
  <c r="AC29" i="6"/>
  <c r="AB29" i="6"/>
  <c r="AD3" i="6"/>
  <c r="AC3" i="6"/>
  <c r="AB3" i="6"/>
  <c r="AC40" i="6"/>
  <c r="AD40" i="6"/>
  <c r="AB40" i="6"/>
  <c r="AC56" i="6"/>
  <c r="AD56" i="6"/>
  <c r="AB56" i="6"/>
  <c r="AB52" i="6"/>
  <c r="AC52" i="6"/>
  <c r="AD52" i="6"/>
  <c r="AB41" i="6"/>
  <c r="AC41" i="6"/>
  <c r="AD41" i="6"/>
  <c r="AC33" i="6"/>
  <c r="AB33" i="6"/>
  <c r="AD33" i="6"/>
  <c r="AD50" i="6"/>
  <c r="AB50" i="6"/>
  <c r="AC50" i="6"/>
  <c r="AB46" i="6"/>
  <c r="AC46" i="6"/>
  <c r="AD46" i="6"/>
  <c r="AD32" i="6"/>
  <c r="AB32" i="6"/>
  <c r="AC32" i="6"/>
  <c r="AB22" i="6"/>
  <c r="AC22" i="6"/>
  <c r="AD22" i="6"/>
  <c r="AC16" i="6"/>
  <c r="AD16" i="6"/>
  <c r="AB16" i="6"/>
  <c r="AB14" i="6"/>
  <c r="AC14" i="6"/>
  <c r="AD14" i="6"/>
  <c r="AB6" i="6"/>
  <c r="AC6" i="6"/>
  <c r="AD6" i="6"/>
  <c r="AB19" i="6"/>
  <c r="AC19" i="6"/>
  <c r="AD19" i="6"/>
  <c r="AB4" i="6"/>
  <c r="AD4" i="6"/>
  <c r="AC4" i="6"/>
  <c r="AB7" i="6"/>
  <c r="AC7" i="6"/>
  <c r="AD7" i="6"/>
  <c r="T57" i="6"/>
  <c r="S57" i="6"/>
  <c r="W57" i="6"/>
  <c r="V57" i="6"/>
  <c r="U57" i="6"/>
  <c r="R57" i="6"/>
  <c r="W56" i="6"/>
  <c r="V56" i="6"/>
  <c r="U56" i="6"/>
  <c r="T56" i="6"/>
  <c r="S56" i="6"/>
  <c r="R56" i="6"/>
  <c r="W55" i="6"/>
  <c r="V55" i="6"/>
  <c r="U55" i="6"/>
  <c r="T55" i="6"/>
  <c r="S55" i="6"/>
  <c r="R55" i="6"/>
  <c r="W54" i="6"/>
  <c r="V54" i="6"/>
  <c r="U54" i="6"/>
  <c r="T54" i="6"/>
  <c r="S54" i="6"/>
  <c r="R54" i="6"/>
  <c r="U53" i="6"/>
  <c r="W53" i="6"/>
  <c r="V53" i="6"/>
  <c r="T53" i="6"/>
  <c r="S53" i="6"/>
  <c r="R53" i="6"/>
  <c r="R52" i="6"/>
  <c r="W52" i="6"/>
  <c r="V52" i="6"/>
  <c r="U52" i="6"/>
  <c r="T52" i="6"/>
  <c r="S52" i="6"/>
  <c r="S51" i="6"/>
  <c r="R51" i="6"/>
  <c r="W51" i="6"/>
  <c r="V51" i="6"/>
  <c r="U51" i="6"/>
  <c r="T51" i="6"/>
  <c r="T43" i="6"/>
  <c r="S43" i="6"/>
  <c r="W43" i="6"/>
  <c r="V43" i="6"/>
  <c r="U43" i="6"/>
  <c r="R43" i="6"/>
  <c r="U42" i="6"/>
  <c r="T42" i="6"/>
  <c r="W42" i="6"/>
  <c r="V42" i="6"/>
  <c r="S42" i="6"/>
  <c r="R42" i="6"/>
  <c r="W41" i="6"/>
  <c r="V41" i="6"/>
  <c r="U41" i="6"/>
  <c r="T41" i="6"/>
  <c r="S41" i="6"/>
  <c r="R41" i="6"/>
  <c r="W39" i="6"/>
  <c r="V39" i="6"/>
  <c r="U39" i="6"/>
  <c r="T39" i="6"/>
  <c r="S39" i="6"/>
  <c r="R39" i="6"/>
  <c r="T38" i="6"/>
  <c r="W38" i="6"/>
  <c r="V38" i="6"/>
  <c r="U38" i="6"/>
  <c r="S38" i="6"/>
  <c r="R38" i="6"/>
  <c r="T37" i="6"/>
  <c r="W37" i="6"/>
  <c r="V37" i="6"/>
  <c r="U37" i="6"/>
  <c r="S37" i="6"/>
  <c r="R37" i="6"/>
  <c r="R33" i="6"/>
  <c r="W33" i="6"/>
  <c r="V33" i="6"/>
  <c r="U33" i="6"/>
  <c r="T33" i="6"/>
  <c r="S33" i="6"/>
  <c r="W29" i="6"/>
  <c r="V29" i="6"/>
  <c r="U29" i="6"/>
  <c r="T29" i="6"/>
  <c r="S29" i="6"/>
  <c r="R29" i="6"/>
  <c r="W20" i="6"/>
  <c r="V20" i="6"/>
  <c r="U20" i="6"/>
  <c r="T20" i="6"/>
  <c r="S20" i="6"/>
  <c r="R20" i="6"/>
  <c r="S13" i="6"/>
  <c r="W13" i="6"/>
  <c r="V13" i="6"/>
  <c r="U13" i="6"/>
  <c r="T13" i="6"/>
  <c r="R13" i="6"/>
  <c r="W50" i="6"/>
  <c r="V50" i="6"/>
  <c r="U50" i="6"/>
  <c r="T50" i="6"/>
  <c r="S50" i="6"/>
  <c r="R50" i="6"/>
  <c r="U49" i="6"/>
  <c r="W49" i="6"/>
  <c r="V49" i="6"/>
  <c r="T49" i="6"/>
  <c r="S49" i="6"/>
  <c r="R49" i="6"/>
  <c r="W48" i="6"/>
  <c r="V48" i="6"/>
  <c r="U48" i="6"/>
  <c r="T48" i="6"/>
  <c r="S48" i="6"/>
  <c r="R48" i="6"/>
  <c r="W47" i="6"/>
  <c r="V47" i="6"/>
  <c r="U47" i="6"/>
  <c r="T47" i="6"/>
  <c r="S47" i="6"/>
  <c r="R47" i="6"/>
  <c r="W46" i="6"/>
  <c r="V46" i="6"/>
  <c r="U46" i="6"/>
  <c r="T46" i="6"/>
  <c r="S46" i="6"/>
  <c r="R46" i="6"/>
  <c r="V45" i="6"/>
  <c r="W45" i="6"/>
  <c r="U45" i="6"/>
  <c r="T45" i="6"/>
  <c r="S45" i="6"/>
  <c r="R45" i="6"/>
  <c r="W35" i="6"/>
  <c r="V35" i="6"/>
  <c r="U35" i="6"/>
  <c r="T35" i="6"/>
  <c r="S35" i="6"/>
  <c r="R35" i="6"/>
  <c r="W44" i="6"/>
  <c r="V44" i="6"/>
  <c r="U44" i="6"/>
  <c r="T44" i="6"/>
  <c r="S44" i="6"/>
  <c r="R44" i="6"/>
  <c r="U32" i="6"/>
  <c r="W32" i="6"/>
  <c r="V32" i="6"/>
  <c r="T32" i="6"/>
  <c r="S32" i="6"/>
  <c r="R32" i="6"/>
  <c r="W25" i="6"/>
  <c r="V25" i="6"/>
  <c r="U25" i="6"/>
  <c r="T25" i="6"/>
  <c r="S25" i="6"/>
  <c r="R25" i="6"/>
  <c r="W26" i="6"/>
  <c r="V26" i="6"/>
  <c r="U26" i="6"/>
  <c r="T26" i="6"/>
  <c r="S26" i="6"/>
  <c r="R26" i="6"/>
  <c r="W40" i="6"/>
  <c r="V40" i="6"/>
  <c r="U40" i="6"/>
  <c r="T40" i="6"/>
  <c r="S40" i="6"/>
  <c r="R40" i="6"/>
  <c r="U22" i="6"/>
  <c r="W22" i="6"/>
  <c r="V22" i="6"/>
  <c r="T22" i="6"/>
  <c r="S22" i="6"/>
  <c r="R22" i="6"/>
  <c r="V17" i="6"/>
  <c r="S17" i="6"/>
  <c r="W17" i="6"/>
  <c r="U17" i="6"/>
  <c r="T17" i="6"/>
  <c r="R17" i="6"/>
  <c r="W36" i="6"/>
  <c r="V36" i="6"/>
  <c r="U36" i="6"/>
  <c r="T36" i="6"/>
  <c r="S36" i="6"/>
  <c r="R36" i="6"/>
  <c r="S31" i="6"/>
  <c r="W31" i="6"/>
  <c r="V31" i="6"/>
  <c r="U31" i="6"/>
  <c r="T31" i="6"/>
  <c r="R31" i="6"/>
  <c r="V16" i="6"/>
  <c r="U16" i="6"/>
  <c r="T16" i="6"/>
  <c r="W16" i="6"/>
  <c r="S16" i="6"/>
  <c r="R16" i="6"/>
  <c r="W23" i="6"/>
  <c r="V23" i="6"/>
  <c r="U23" i="6"/>
  <c r="T23" i="6"/>
  <c r="S23" i="6"/>
  <c r="R23" i="6"/>
  <c r="W34" i="6"/>
  <c r="V34" i="6"/>
  <c r="U34" i="6"/>
  <c r="T34" i="6"/>
  <c r="S34" i="6"/>
  <c r="R34" i="6"/>
  <c r="W30" i="6"/>
  <c r="V30" i="6"/>
  <c r="U30" i="6"/>
  <c r="T30" i="6"/>
  <c r="S30" i="6"/>
  <c r="R30" i="6"/>
  <c r="U14" i="6"/>
  <c r="W14" i="6"/>
  <c r="V14" i="6"/>
  <c r="T14" i="6"/>
  <c r="S14" i="6"/>
  <c r="R14" i="6"/>
  <c r="W28" i="6"/>
  <c r="V28" i="6"/>
  <c r="U28" i="6"/>
  <c r="T28" i="6"/>
  <c r="S28" i="6"/>
  <c r="R28" i="6"/>
  <c r="S27" i="6"/>
  <c r="W27" i="6"/>
  <c r="V27" i="6"/>
  <c r="U27" i="6"/>
  <c r="T27" i="6"/>
  <c r="R27" i="6"/>
  <c r="T12" i="6"/>
  <c r="S12" i="6"/>
  <c r="W12" i="6"/>
  <c r="V12" i="6"/>
  <c r="U12" i="6"/>
  <c r="R12" i="6"/>
  <c r="V6" i="6"/>
  <c r="U6" i="6"/>
  <c r="T6" i="6"/>
  <c r="W6" i="6"/>
  <c r="S6" i="6"/>
  <c r="R6" i="6"/>
  <c r="U24" i="6"/>
  <c r="W24" i="6"/>
  <c r="V24" i="6"/>
  <c r="T24" i="6"/>
  <c r="S24" i="6"/>
  <c r="R24" i="6"/>
  <c r="W11" i="6"/>
  <c r="V11" i="6"/>
  <c r="U11" i="6"/>
  <c r="T11" i="6"/>
  <c r="S11" i="6"/>
  <c r="R11" i="6"/>
  <c r="W21" i="6"/>
  <c r="V21" i="6"/>
  <c r="U21" i="6"/>
  <c r="T21" i="6"/>
  <c r="S21" i="6"/>
  <c r="R21" i="6"/>
  <c r="W19" i="6"/>
  <c r="V19" i="6"/>
  <c r="U19" i="6"/>
  <c r="T19" i="6"/>
  <c r="S19" i="6"/>
  <c r="R19" i="6"/>
  <c r="W18" i="6"/>
  <c r="V18" i="6"/>
  <c r="U18" i="6"/>
  <c r="T18" i="6"/>
  <c r="S18" i="6"/>
  <c r="R18" i="6"/>
  <c r="W10" i="6"/>
  <c r="V10" i="6"/>
  <c r="U10" i="6"/>
  <c r="T10" i="6"/>
  <c r="S10" i="6"/>
  <c r="R10" i="6"/>
  <c r="W15" i="6"/>
  <c r="V15" i="6"/>
  <c r="U15" i="6"/>
  <c r="T15" i="6"/>
  <c r="S15" i="6"/>
  <c r="R15" i="6"/>
  <c r="W4" i="6"/>
  <c r="V4" i="6"/>
  <c r="U4" i="6"/>
  <c r="T4" i="6"/>
  <c r="S4" i="6"/>
  <c r="R4" i="6"/>
  <c r="U5" i="6"/>
  <c r="W5" i="6"/>
  <c r="V5" i="6"/>
  <c r="T5" i="6"/>
  <c r="S5" i="6"/>
  <c r="R5" i="6"/>
  <c r="W8" i="6"/>
  <c r="V8" i="6"/>
  <c r="U8" i="6"/>
  <c r="T8" i="6"/>
  <c r="S8" i="6"/>
  <c r="R8" i="6"/>
  <c r="W9" i="6"/>
  <c r="V9" i="6"/>
  <c r="U9" i="6"/>
  <c r="T9" i="6"/>
  <c r="S9" i="6"/>
  <c r="R9" i="6"/>
  <c r="W7" i="6"/>
  <c r="V7" i="6"/>
  <c r="U7" i="6"/>
  <c r="T7" i="6"/>
  <c r="S7" i="6"/>
  <c r="R7" i="6"/>
  <c r="W3" i="6"/>
  <c r="V3" i="6"/>
  <c r="U3" i="6"/>
  <c r="T3" i="6"/>
  <c r="S3" i="6"/>
  <c r="R3" i="6"/>
  <c r="Y48" i="6" l="1"/>
  <c r="Z20" i="6"/>
  <c r="Z43" i="6"/>
  <c r="Z33" i="6"/>
  <c r="Z12" i="6"/>
  <c r="Z40" i="6"/>
  <c r="Y47" i="6"/>
  <c r="Z37" i="6"/>
  <c r="Z42" i="6"/>
  <c r="Y57" i="6"/>
  <c r="Z7" i="6"/>
  <c r="Z6" i="6"/>
  <c r="Z14" i="6"/>
  <c r="Y45" i="6"/>
  <c r="Z22" i="6"/>
  <c r="Z32" i="6"/>
  <c r="Y50" i="6"/>
  <c r="Y56" i="6"/>
  <c r="Y49" i="6"/>
  <c r="Y55" i="6"/>
  <c r="Z29" i="6"/>
  <c r="Z10" i="6"/>
  <c r="U13" i="1"/>
  <c r="R19" i="1"/>
  <c r="T19" i="1"/>
  <c r="R9" i="1"/>
  <c r="S9" i="1"/>
  <c r="T9" i="1"/>
  <c r="V9" i="1"/>
  <c r="W9" i="1"/>
  <c r="R15" i="1"/>
  <c r="S15" i="1"/>
  <c r="T15" i="1"/>
  <c r="U15" i="1"/>
  <c r="V15" i="1"/>
  <c r="R21" i="1"/>
  <c r="T21" i="1"/>
  <c r="U21" i="1"/>
  <c r="V21" i="1"/>
  <c r="W21" i="1"/>
  <c r="R25" i="1"/>
  <c r="T25" i="1"/>
  <c r="U25" i="1"/>
  <c r="V25" i="1"/>
  <c r="W25" i="1"/>
  <c r="R28" i="1"/>
  <c r="S28" i="1"/>
  <c r="T28" i="1"/>
  <c r="V28" i="1"/>
  <c r="R31" i="1"/>
  <c r="S31" i="1"/>
  <c r="T31" i="1"/>
  <c r="U31" i="1"/>
  <c r="V31" i="1"/>
  <c r="R38" i="1"/>
  <c r="T38" i="1"/>
  <c r="U38" i="1"/>
  <c r="V38" i="1"/>
  <c r="W38" i="1"/>
  <c r="R43" i="1"/>
  <c r="T43" i="1"/>
  <c r="V43" i="1"/>
  <c r="W43" i="1"/>
  <c r="R49" i="1"/>
  <c r="X49" i="1" s="1"/>
  <c r="S49" i="1"/>
  <c r="T49" i="1"/>
  <c r="V49" i="1"/>
  <c r="W49" i="1"/>
  <c r="R50" i="1"/>
  <c r="S50" i="1"/>
  <c r="T50" i="1"/>
  <c r="U50" i="1"/>
  <c r="V50" i="1"/>
  <c r="R51" i="1"/>
  <c r="T51" i="1"/>
  <c r="V51" i="1"/>
  <c r="W51" i="1"/>
  <c r="R52" i="1"/>
  <c r="T52" i="1"/>
  <c r="V52" i="1"/>
  <c r="W52" i="1"/>
  <c r="R53" i="1"/>
  <c r="S53" i="1"/>
  <c r="T53" i="1"/>
  <c r="V53" i="1"/>
  <c r="U9" i="1"/>
  <c r="U28" i="1"/>
  <c r="U43" i="1"/>
  <c r="U49" i="1"/>
  <c r="U51" i="1"/>
  <c r="U52" i="1"/>
  <c r="W15" i="1"/>
  <c r="S21" i="1"/>
  <c r="S25" i="1"/>
  <c r="W28" i="1"/>
  <c r="W31" i="1"/>
  <c r="S38" i="1"/>
  <c r="S43" i="1"/>
  <c r="W50" i="1"/>
  <c r="S51" i="1"/>
  <c r="S52" i="1"/>
  <c r="W53" i="1"/>
  <c r="U53" i="1"/>
  <c r="X28" i="1" l="1"/>
  <c r="X50" i="1"/>
  <c r="X38" i="1"/>
  <c r="Z38" i="1" s="1"/>
  <c r="X15" i="1"/>
  <c r="X52" i="1"/>
  <c r="Y52" i="1" s="1"/>
  <c r="X43" i="1"/>
  <c r="X21" i="1"/>
  <c r="X51" i="1"/>
  <c r="Y51" i="1" s="1"/>
  <c r="X31" i="1"/>
  <c r="X9" i="1"/>
  <c r="X53" i="1"/>
  <c r="X25" i="1"/>
  <c r="Y52" i="6"/>
  <c r="Y54" i="6"/>
  <c r="Y46" i="6"/>
  <c r="Y44" i="6"/>
  <c r="Y53" i="6"/>
  <c r="Y51" i="6"/>
  <c r="Y49" i="1"/>
  <c r="Y53" i="1"/>
  <c r="Y9" i="6"/>
  <c r="Z50" i="6"/>
  <c r="Y25" i="6"/>
  <c r="Y11" i="6"/>
  <c r="Y19" i="6"/>
  <c r="Z19" i="6"/>
  <c r="Y30" i="6"/>
  <c r="Y35" i="6"/>
  <c r="Y23" i="6"/>
  <c r="Y42" i="6"/>
  <c r="Y28" i="6"/>
  <c r="Y6" i="6"/>
  <c r="Y31" i="6"/>
  <c r="Y12" i="6"/>
  <c r="Y43" i="6"/>
  <c r="Y4" i="6"/>
  <c r="Y7" i="6"/>
  <c r="Z45" i="6"/>
  <c r="Y39" i="6"/>
  <c r="Y24" i="6"/>
  <c r="Y37" i="6"/>
  <c r="Y32" i="6"/>
  <c r="Y26" i="6"/>
  <c r="Y41" i="6"/>
  <c r="Y10" i="6"/>
  <c r="Y29" i="6"/>
  <c r="Y18" i="6"/>
  <c r="Y15" i="6"/>
  <c r="Y22" i="6"/>
  <c r="Y40" i="6"/>
  <c r="Y33" i="6"/>
  <c r="Y17" i="6"/>
  <c r="Y3" i="6"/>
  <c r="Y36" i="6"/>
  <c r="Y16" i="6"/>
  <c r="Y21" i="6"/>
  <c r="Y38" i="6"/>
  <c r="Y27" i="6"/>
  <c r="Y5" i="6"/>
  <c r="Y13" i="6"/>
  <c r="Y8" i="6"/>
  <c r="Y14" i="6"/>
  <c r="Y20" i="6"/>
  <c r="Y34" i="6"/>
  <c r="Y50" i="1"/>
  <c r="Z53" i="6"/>
  <c r="Z13" i="6"/>
  <c r="Z46" i="6"/>
  <c r="Z38" i="6"/>
  <c r="Z4" i="6"/>
  <c r="Z51" i="6"/>
  <c r="Z48" i="6"/>
  <c r="Z35" i="6"/>
  <c r="Z21" i="6"/>
  <c r="Z57" i="6"/>
  <c r="Z15" i="6"/>
  <c r="Z5" i="6"/>
  <c r="Z55" i="6"/>
  <c r="Z18" i="6"/>
  <c r="Z39" i="6"/>
  <c r="Z49" i="6"/>
  <c r="Z23" i="6"/>
  <c r="Z26" i="6"/>
  <c r="Z8" i="6"/>
  <c r="Z52" i="6"/>
  <c r="Z34" i="6"/>
  <c r="Z3" i="6"/>
  <c r="Z41" i="6"/>
  <c r="Z24" i="6"/>
  <c r="Z25" i="6"/>
  <c r="Z54" i="6"/>
  <c r="Z30" i="6"/>
  <c r="Z36" i="6"/>
  <c r="Z28" i="6"/>
  <c r="Z47" i="6"/>
  <c r="Z44" i="6"/>
  <c r="Z16" i="6"/>
  <c r="Z31" i="6"/>
  <c r="Z56" i="6"/>
  <c r="Z9" i="6"/>
  <c r="Z27" i="6"/>
  <c r="Z11" i="6"/>
  <c r="Z17" i="6"/>
  <c r="AA55" i="6" l="1"/>
  <c r="AA54" i="6"/>
  <c r="AA57" i="6"/>
  <c r="AA8" i="6"/>
  <c r="AA52" i="6"/>
  <c r="AA46" i="6"/>
  <c r="AA50" i="6"/>
  <c r="E50" i="6" s="1"/>
  <c r="AA53" i="6"/>
  <c r="E53" i="6" s="1"/>
  <c r="AA45" i="6"/>
  <c r="E45" i="6" s="1"/>
  <c r="AA56" i="6"/>
  <c r="AA51" i="6"/>
  <c r="AA49" i="6"/>
  <c r="AA44" i="6"/>
  <c r="AA48" i="6"/>
  <c r="E48" i="6" s="1"/>
  <c r="AA47" i="6"/>
  <c r="E47" i="6" s="1"/>
  <c r="AA10" i="6"/>
  <c r="AA13" i="6"/>
  <c r="AA4" i="6"/>
  <c r="AA5" i="6"/>
  <c r="AA33" i="6"/>
  <c r="AA26" i="6"/>
  <c r="AA43" i="6"/>
  <c r="AA30" i="6"/>
  <c r="AA9" i="6"/>
  <c r="AA17" i="6"/>
  <c r="AA41" i="6"/>
  <c r="AA35" i="6"/>
  <c r="AA27" i="6"/>
  <c r="AA40" i="6"/>
  <c r="AA32" i="6"/>
  <c r="AA12" i="6"/>
  <c r="AA7" i="6"/>
  <c r="AA38" i="6"/>
  <c r="AA22" i="6"/>
  <c r="AA37" i="6"/>
  <c r="AA31" i="6"/>
  <c r="AA19" i="6"/>
  <c r="AA34" i="6"/>
  <c r="AA21" i="6"/>
  <c r="AA15" i="6"/>
  <c r="AA24" i="6"/>
  <c r="AA6" i="6"/>
  <c r="AA11" i="6"/>
  <c r="AA23" i="6"/>
  <c r="AA20" i="6"/>
  <c r="AA16" i="6"/>
  <c r="E16" i="6" s="1"/>
  <c r="AA18" i="6"/>
  <c r="E18" i="6" s="1"/>
  <c r="AA39" i="6"/>
  <c r="E39" i="6" s="1"/>
  <c r="AA28" i="6"/>
  <c r="E28" i="6" s="1"/>
  <c r="AA25" i="6"/>
  <c r="AA14" i="6"/>
  <c r="AA36" i="6"/>
  <c r="E36" i="6" s="1"/>
  <c r="AA29" i="6"/>
  <c r="E29" i="6" s="1"/>
  <c r="AA42" i="6"/>
  <c r="E42" i="6" s="1"/>
  <c r="Z50" i="1"/>
  <c r="Z9" i="1"/>
  <c r="E13" i="6"/>
  <c r="E52" i="6"/>
  <c r="E44" i="6"/>
  <c r="E54" i="6"/>
  <c r="AA3" i="6"/>
  <c r="E33" i="6"/>
  <c r="Z21" i="1"/>
  <c r="Z51" i="1"/>
  <c r="Z49" i="1"/>
  <c r="Z53" i="1"/>
  <c r="Z52" i="1"/>
  <c r="Z43" i="1"/>
  <c r="Z28" i="1"/>
  <c r="Z15" i="1"/>
  <c r="Z25" i="1"/>
  <c r="Z31" i="1"/>
  <c r="R6" i="1"/>
  <c r="U6" i="1"/>
  <c r="S10" i="1"/>
  <c r="U10" i="1"/>
  <c r="V10" i="1"/>
  <c r="S12" i="1"/>
  <c r="U12" i="1"/>
  <c r="W12" i="1"/>
  <c r="S5" i="1"/>
  <c r="T5" i="1"/>
  <c r="S8" i="1"/>
  <c r="U8" i="1"/>
  <c r="V8" i="1"/>
  <c r="W8" i="1"/>
  <c r="S4" i="1"/>
  <c r="T4" i="1"/>
  <c r="U4" i="1"/>
  <c r="W4" i="1"/>
  <c r="S13" i="1"/>
  <c r="S3" i="1"/>
  <c r="U3" i="1"/>
  <c r="S22" i="1"/>
  <c r="T22" i="1"/>
  <c r="U22" i="1"/>
  <c r="V22" i="1"/>
  <c r="S7" i="1"/>
  <c r="W7" i="1"/>
  <c r="S23" i="1"/>
  <c r="T23" i="1"/>
  <c r="V23" i="1"/>
  <c r="S14" i="1"/>
  <c r="U14" i="1"/>
  <c r="V14" i="1"/>
  <c r="W14" i="1"/>
  <c r="T26" i="1"/>
  <c r="V26" i="1"/>
  <c r="S18" i="1"/>
  <c r="T18" i="1"/>
  <c r="U18" i="1"/>
  <c r="S24" i="1"/>
  <c r="V24" i="1"/>
  <c r="W24" i="1"/>
  <c r="S19" i="1"/>
  <c r="S17" i="1"/>
  <c r="T17" i="1"/>
  <c r="U17" i="1"/>
  <c r="V17" i="1"/>
  <c r="S20" i="1"/>
  <c r="W20" i="1"/>
  <c r="S16" i="1"/>
  <c r="T16" i="1"/>
  <c r="V16" i="1"/>
  <c r="S33" i="1"/>
  <c r="W33" i="1"/>
  <c r="T34" i="1"/>
  <c r="V34" i="1"/>
  <c r="S35" i="1"/>
  <c r="T35" i="1"/>
  <c r="U35" i="1"/>
  <c r="S39" i="1"/>
  <c r="V39" i="1"/>
  <c r="W39" i="1"/>
  <c r="S40" i="1"/>
  <c r="S29" i="1"/>
  <c r="T29" i="1"/>
  <c r="U29" i="1"/>
  <c r="V29" i="1"/>
  <c r="S37" i="1"/>
  <c r="W37" i="1"/>
  <c r="S36" i="1"/>
  <c r="T36" i="1"/>
  <c r="S42" i="1"/>
  <c r="U42" i="1"/>
  <c r="V42" i="1"/>
  <c r="W42" i="1"/>
  <c r="S41" i="1"/>
  <c r="T41" i="1"/>
  <c r="U41" i="1"/>
  <c r="W41" i="1"/>
  <c r="S30" i="1"/>
  <c r="W30" i="1"/>
  <c r="S32" i="1"/>
  <c r="S27" i="1"/>
  <c r="T27" i="1"/>
  <c r="V27" i="1"/>
  <c r="S45" i="1"/>
  <c r="W45" i="1"/>
  <c r="S46" i="1"/>
  <c r="T46" i="1"/>
  <c r="S47" i="1"/>
  <c r="U47" i="1"/>
  <c r="V47" i="1"/>
  <c r="W47" i="1"/>
  <c r="R10" i="1"/>
  <c r="R12" i="1"/>
  <c r="R5" i="1"/>
  <c r="X5" i="1" s="1"/>
  <c r="R8" i="1"/>
  <c r="R11" i="1"/>
  <c r="R7" i="1"/>
  <c r="R23" i="1"/>
  <c r="R14" i="1"/>
  <c r="R26" i="1"/>
  <c r="X26" i="1" s="1"/>
  <c r="R24" i="1"/>
  <c r="R17" i="1"/>
  <c r="X17" i="1" s="1"/>
  <c r="R20" i="1"/>
  <c r="R16" i="1"/>
  <c r="R33" i="1"/>
  <c r="R34" i="1"/>
  <c r="R39" i="1"/>
  <c r="R29" i="1"/>
  <c r="R37" i="1"/>
  <c r="R36" i="1"/>
  <c r="X36" i="1" s="1"/>
  <c r="R42" i="1"/>
  <c r="R44" i="1"/>
  <c r="R41" i="1"/>
  <c r="R30" i="1"/>
  <c r="R32" i="1"/>
  <c r="R27" i="1"/>
  <c r="X27" i="1" s="1"/>
  <c r="R45" i="1"/>
  <c r="R46" i="1"/>
  <c r="X46" i="1" s="1"/>
  <c r="R47" i="1"/>
  <c r="R48" i="1"/>
  <c r="T6" i="1"/>
  <c r="V6" i="1"/>
  <c r="W6" i="1"/>
  <c r="T10" i="1"/>
  <c r="W10" i="1"/>
  <c r="T12" i="1"/>
  <c r="V12" i="1"/>
  <c r="U5" i="1"/>
  <c r="V5" i="1"/>
  <c r="W5" i="1"/>
  <c r="T8" i="1"/>
  <c r="S11" i="1"/>
  <c r="T11" i="1"/>
  <c r="U11" i="1"/>
  <c r="V11" i="1"/>
  <c r="W11" i="1"/>
  <c r="V4" i="1"/>
  <c r="T13" i="1"/>
  <c r="V13" i="1"/>
  <c r="W13" i="1"/>
  <c r="T3" i="1"/>
  <c r="V3" i="1"/>
  <c r="W3" i="1"/>
  <c r="W22" i="1"/>
  <c r="T7" i="1"/>
  <c r="U7" i="1"/>
  <c r="V7" i="1"/>
  <c r="U23" i="1"/>
  <c r="W23" i="1"/>
  <c r="T14" i="1"/>
  <c r="S26" i="1"/>
  <c r="U26" i="1"/>
  <c r="W26" i="1"/>
  <c r="V18" i="1"/>
  <c r="W18" i="1"/>
  <c r="T24" i="1"/>
  <c r="U24" i="1"/>
  <c r="U19" i="1"/>
  <c r="V19" i="1"/>
  <c r="W19" i="1"/>
  <c r="W17" i="1"/>
  <c r="T20" i="1"/>
  <c r="U20" i="1"/>
  <c r="V20" i="1"/>
  <c r="U16" i="1"/>
  <c r="W16" i="1"/>
  <c r="T33" i="1"/>
  <c r="U33" i="1"/>
  <c r="V33" i="1"/>
  <c r="S34" i="1"/>
  <c r="U34" i="1"/>
  <c r="W34" i="1"/>
  <c r="V35" i="1"/>
  <c r="W35" i="1"/>
  <c r="T39" i="1"/>
  <c r="U39" i="1"/>
  <c r="T40" i="1"/>
  <c r="U40" i="1"/>
  <c r="V40" i="1"/>
  <c r="W40" i="1"/>
  <c r="W29" i="1"/>
  <c r="T37" i="1"/>
  <c r="U37" i="1"/>
  <c r="V37" i="1"/>
  <c r="U36" i="1"/>
  <c r="V36" i="1"/>
  <c r="W36" i="1"/>
  <c r="T42" i="1"/>
  <c r="S44" i="1"/>
  <c r="T44" i="1"/>
  <c r="U44" i="1"/>
  <c r="V44" i="1"/>
  <c r="W44" i="1"/>
  <c r="V41" i="1"/>
  <c r="T30" i="1"/>
  <c r="U30" i="1"/>
  <c r="V30" i="1"/>
  <c r="T32" i="1"/>
  <c r="U32" i="1"/>
  <c r="V32" i="1"/>
  <c r="W32" i="1"/>
  <c r="U27" i="1"/>
  <c r="W27" i="1"/>
  <c r="T45" i="1"/>
  <c r="U45" i="1"/>
  <c r="V45" i="1"/>
  <c r="U46" i="1"/>
  <c r="V46" i="1"/>
  <c r="W46" i="1"/>
  <c r="T47" i="1"/>
  <c r="S48" i="1"/>
  <c r="T48" i="1"/>
  <c r="U48" i="1"/>
  <c r="V48" i="1"/>
  <c r="W48" i="1"/>
  <c r="R4" i="1"/>
  <c r="R13" i="1"/>
  <c r="R3" i="1"/>
  <c r="R22" i="1"/>
  <c r="R18" i="1"/>
  <c r="X18" i="1" s="1"/>
  <c r="R35" i="1"/>
  <c r="R40" i="1"/>
  <c r="X40" i="1" s="1"/>
  <c r="X3" i="1" l="1"/>
  <c r="X45" i="1"/>
  <c r="X24" i="1"/>
  <c r="X29" i="1"/>
  <c r="X10" i="1"/>
  <c r="X32" i="1"/>
  <c r="X39" i="1"/>
  <c r="X14" i="1"/>
  <c r="X12" i="1"/>
  <c r="X30" i="1"/>
  <c r="X34" i="1"/>
  <c r="X23" i="1"/>
  <c r="X35" i="1"/>
  <c r="Z35" i="1" s="1"/>
  <c r="X13" i="1"/>
  <c r="X41" i="1"/>
  <c r="X33" i="1"/>
  <c r="Z33" i="1" s="1"/>
  <c r="X7" i="1"/>
  <c r="Z7" i="1" s="1"/>
  <c r="X19" i="1"/>
  <c r="X22" i="1"/>
  <c r="X4" i="1"/>
  <c r="X48" i="1"/>
  <c r="Y48" i="1" s="1"/>
  <c r="X44" i="1"/>
  <c r="Z44" i="1" s="1"/>
  <c r="X16" i="1"/>
  <c r="Z16" i="1" s="1"/>
  <c r="X11" i="1"/>
  <c r="Z11" i="1" s="1"/>
  <c r="X37" i="1"/>
  <c r="Z37" i="1" s="1"/>
  <c r="X47" i="1"/>
  <c r="X42" i="1"/>
  <c r="X20" i="1"/>
  <c r="Z20" i="1" s="1"/>
  <c r="X8" i="1"/>
  <c r="Z8" i="1" s="1"/>
  <c r="Z26" i="1"/>
  <c r="Y45" i="1"/>
  <c r="Z3" i="1"/>
  <c r="E20" i="6"/>
  <c r="E10" i="6"/>
  <c r="E49" i="6"/>
  <c r="E51" i="6"/>
  <c r="E57" i="6"/>
  <c r="E55" i="6"/>
  <c r="E56" i="6"/>
  <c r="E46" i="6"/>
  <c r="Y46" i="1"/>
  <c r="Z24" i="1"/>
  <c r="Z18" i="1"/>
  <c r="Z29" i="1"/>
  <c r="Z22" i="1"/>
  <c r="Z23" i="1"/>
  <c r="Z34" i="1"/>
  <c r="Z4" i="1"/>
  <c r="Z14" i="1"/>
  <c r="Z13" i="1"/>
  <c r="Y47" i="1"/>
  <c r="Z42" i="1"/>
  <c r="Z40" i="1"/>
  <c r="Z36" i="1"/>
  <c r="Z17" i="1"/>
  <c r="E43" i="6"/>
  <c r="E41" i="6"/>
  <c r="E38" i="6"/>
  <c r="E37" i="6"/>
  <c r="E23" i="6"/>
  <c r="E35" i="6"/>
  <c r="E24" i="6"/>
  <c r="E27" i="6"/>
  <c r="E15" i="6"/>
  <c r="E5" i="6"/>
  <c r="E22" i="6"/>
  <c r="E17" i="6"/>
  <c r="E25" i="6"/>
  <c r="E30" i="6"/>
  <c r="E34" i="6"/>
  <c r="E40" i="6"/>
  <c r="E31" i="6"/>
  <c r="E26" i="6"/>
  <c r="E8" i="6"/>
  <c r="E11" i="6"/>
  <c r="E21" i="6"/>
  <c r="E19" i="6"/>
  <c r="E14" i="6"/>
  <c r="E12" i="6"/>
  <c r="E4" i="6"/>
  <c r="E9" i="6"/>
  <c r="E3" i="6"/>
  <c r="E32" i="6"/>
  <c r="E6" i="6"/>
  <c r="E7" i="6"/>
  <c r="Z10" i="1"/>
  <c r="Z12" i="1"/>
  <c r="Z39" i="1" l="1"/>
  <c r="Z5" i="1"/>
  <c r="Z48" i="1"/>
  <c r="Z32" i="1"/>
  <c r="Z47" i="1"/>
  <c r="Z41" i="1"/>
  <c r="Z46" i="1"/>
  <c r="Z30" i="1"/>
  <c r="Z45" i="1"/>
  <c r="Z27" i="1"/>
  <c r="Z19" i="1"/>
  <c r="S6" i="1" l="1"/>
  <c r="X6" i="1" s="1"/>
  <c r="Y6" i="1" l="1"/>
  <c r="Y37" i="1"/>
  <c r="Y26" i="1"/>
  <c r="Y35" i="1"/>
  <c r="Y12" i="1"/>
  <c r="Y10" i="1"/>
  <c r="Y22" i="1"/>
  <c r="Y13" i="1"/>
  <c r="Y28" i="1"/>
  <c r="Y33" i="1"/>
  <c r="Y39" i="1"/>
  <c r="Y8" i="1"/>
  <c r="Y4" i="1"/>
  <c r="Y25" i="1"/>
  <c r="Y43" i="1"/>
  <c r="Y32" i="1"/>
  <c r="Y20" i="1"/>
  <c r="Y36" i="1"/>
  <c r="Y31" i="1"/>
  <c r="Y30" i="1"/>
  <c r="Y44" i="1"/>
  <c r="Y3" i="1"/>
  <c r="Y19" i="1"/>
  <c r="Y14" i="1"/>
  <c r="Y11" i="1"/>
  <c r="Y7" i="1"/>
  <c r="Y41" i="1"/>
  <c r="Y9" i="1"/>
  <c r="Y24" i="1"/>
  <c r="Y18" i="1"/>
  <c r="Y16" i="1"/>
  <c r="Y34" i="1"/>
  <c r="Y21" i="1"/>
  <c r="Y5" i="1"/>
  <c r="Y17" i="1"/>
  <c r="Y23" i="1"/>
  <c r="Y38" i="1"/>
  <c r="Y27" i="1"/>
  <c r="Y42" i="1"/>
  <c r="Y15" i="1"/>
  <c r="Y29" i="1"/>
  <c r="Y40" i="1"/>
  <c r="Z6" i="1"/>
  <c r="AA6" i="1" l="1"/>
  <c r="AA33" i="1"/>
  <c r="AA24" i="1"/>
  <c r="AA11" i="1"/>
  <c r="AA53" i="1"/>
  <c r="E53" i="1" s="1"/>
  <c r="AA40" i="1"/>
  <c r="E40" i="1" s="1"/>
  <c r="AA46" i="1"/>
  <c r="E46" i="1" s="1"/>
  <c r="AA9" i="1"/>
  <c r="AA23" i="1"/>
  <c r="AA14" i="1"/>
  <c r="AA22" i="1"/>
  <c r="AA34" i="1"/>
  <c r="E34" i="1" s="1"/>
  <c r="AA21" i="1"/>
  <c r="E21" i="1" s="1"/>
  <c r="AA39" i="1"/>
  <c r="E39" i="1" s="1"/>
  <c r="AA52" i="1"/>
  <c r="AA20" i="1"/>
  <c r="AA36" i="1"/>
  <c r="AA27" i="1"/>
  <c r="AA42" i="1"/>
  <c r="E42" i="1" s="1"/>
  <c r="AA44" i="1"/>
  <c r="AA7" i="1"/>
  <c r="AA37" i="1"/>
  <c r="AA51" i="1"/>
  <c r="E51" i="1" s="1"/>
  <c r="AA35" i="1"/>
  <c r="AA17" i="1"/>
  <c r="AA29" i="1"/>
  <c r="AA3" i="1"/>
  <c r="AA16" i="1"/>
  <c r="AA5" i="1"/>
  <c r="AA50" i="1"/>
  <c r="AA10" i="1"/>
  <c r="AA28" i="1"/>
  <c r="AA4" i="1"/>
  <c r="AA30" i="1"/>
  <c r="AA48" i="1"/>
  <c r="E48" i="1" s="1"/>
  <c r="AA43" i="1"/>
  <c r="AA13" i="1"/>
  <c r="AA18" i="1"/>
  <c r="AA19" i="1"/>
  <c r="AA26" i="1"/>
  <c r="AA38" i="1"/>
  <c r="AA49" i="1"/>
  <c r="E49" i="1" s="1"/>
  <c r="AA32" i="1"/>
  <c r="E32" i="1" s="1"/>
  <c r="AA25" i="1"/>
  <c r="E25" i="1" s="1"/>
  <c r="AA47" i="1"/>
  <c r="AA15" i="1"/>
  <c r="E15" i="1" s="1"/>
  <c r="AA45" i="1"/>
  <c r="AA12" i="1"/>
  <c r="AA8" i="1"/>
  <c r="AA41" i="1"/>
  <c r="E41" i="1" s="1"/>
  <c r="AA31" i="1"/>
  <c r="E31" i="1" s="1"/>
  <c r="E20" i="1" l="1"/>
  <c r="E16" i="1"/>
  <c r="E52" i="1"/>
  <c r="E50" i="1"/>
  <c r="E43" i="1"/>
  <c r="E29" i="1"/>
  <c r="E38" i="1"/>
  <c r="E27" i="1"/>
  <c r="E9" i="1"/>
  <c r="E47" i="1"/>
  <c r="E3" i="1"/>
  <c r="E13" i="1"/>
  <c r="E14" i="1"/>
  <c r="E45" i="1"/>
  <c r="E8" i="1"/>
  <c r="E37" i="1"/>
  <c r="E10" i="1"/>
  <c r="E28" i="1"/>
  <c r="E4" i="1"/>
  <c r="E19" i="1"/>
  <c r="E33" i="1"/>
  <c r="E30" i="1"/>
  <c r="E12" i="1"/>
  <c r="E17" i="1"/>
  <c r="E11" i="1"/>
  <c r="E6" i="1"/>
  <c r="E18" i="1"/>
  <c r="E22" i="1"/>
  <c r="E7" i="1"/>
  <c r="E5" i="1"/>
  <c r="E26" i="1"/>
  <c r="E35" i="1"/>
  <c r="E36" i="1"/>
  <c r="E44" i="1"/>
  <c r="E23" i="1"/>
  <c r="E24" i="1"/>
</calcChain>
</file>

<file path=xl/sharedStrings.xml><?xml version="1.0" encoding="utf-8"?>
<sst xmlns="http://schemas.openxmlformats.org/spreadsheetml/2006/main" count="280" uniqueCount="157">
  <si>
    <t>Athlete</t>
  </si>
  <si>
    <t>AZE 2019</t>
  </si>
  <si>
    <t>BLR 2019</t>
  </si>
  <si>
    <t>RUS 2019</t>
  </si>
  <si>
    <t>ESP 2019</t>
  </si>
  <si>
    <t>AZE 2020</t>
  </si>
  <si>
    <t>ITA 2020</t>
  </si>
  <si>
    <t>Ranking</t>
  </si>
  <si>
    <t>Points</t>
  </si>
  <si>
    <t>Total</t>
  </si>
  <si>
    <t>Rosannagh MacLennan</t>
  </si>
  <si>
    <t>Chisato Doihata</t>
  </si>
  <si>
    <t>Maryia Makharynskaya</t>
  </si>
  <si>
    <t>Megu Uyama</t>
  </si>
  <si>
    <t>Susana Kochesok</t>
  </si>
  <si>
    <t>Country</t>
  </si>
  <si>
    <t>CHN</t>
  </si>
  <si>
    <t>CAN</t>
  </si>
  <si>
    <t>JPN</t>
  </si>
  <si>
    <t>BLR</t>
  </si>
  <si>
    <t>RUS</t>
  </si>
  <si>
    <t>Irina Kundius</t>
  </si>
  <si>
    <t>Lea Labrousse</t>
  </si>
  <si>
    <t>FRA</t>
  </si>
  <si>
    <t>Bryony Page</t>
  </si>
  <si>
    <t>GBR</t>
  </si>
  <si>
    <t>Alexa Kennedy</t>
  </si>
  <si>
    <t>Reina Satake</t>
  </si>
  <si>
    <t>Nicole Ashinger</t>
  </si>
  <si>
    <t>Camilla Gomes</t>
  </si>
  <si>
    <t>Samantha Smith</t>
  </si>
  <si>
    <t>Hanna Hancharova</t>
  </si>
  <si>
    <t>Dafne Navarro Loza</t>
  </si>
  <si>
    <t>Katherine Driscoll</t>
  </si>
  <si>
    <t>Laura Gallagher</t>
  </si>
  <si>
    <t>Alice Gomes</t>
  </si>
  <si>
    <t>Anhelina Khatsian</t>
  </si>
  <si>
    <t>Silva Mueller</t>
  </si>
  <si>
    <t>Madaline Davidson</t>
  </si>
  <si>
    <t>Sophiane Méthot</t>
  </si>
  <si>
    <t>Leone Adam</t>
  </si>
  <si>
    <t>Marine Jubert</t>
  </si>
  <si>
    <t>Farangiz Ruzieva</t>
  </si>
  <si>
    <t>Anais Breche</t>
  </si>
  <si>
    <t>Marina Chavarria</t>
  </si>
  <si>
    <t>Valiantsina Bahamolava</t>
  </si>
  <si>
    <t>Jessica Kate Pickering</t>
  </si>
  <si>
    <t>Sarah Milette</t>
  </si>
  <si>
    <t>Eva Kierath</t>
  </si>
  <si>
    <t>Lina Sjoberg</t>
  </si>
  <si>
    <t>Claire Arthur</t>
  </si>
  <si>
    <t>Luba Golovina</t>
  </si>
  <si>
    <t>Christina Sainz</t>
  </si>
  <si>
    <t>ESP</t>
  </si>
  <si>
    <t>GEO</t>
  </si>
  <si>
    <t>NZL</t>
  </si>
  <si>
    <t>USA</t>
  </si>
  <si>
    <t>BRA</t>
  </si>
  <si>
    <t>MEX</t>
  </si>
  <si>
    <t>GER</t>
  </si>
  <si>
    <t>UZB</t>
  </si>
  <si>
    <t>AUS</t>
  </si>
  <si>
    <t>SWE</t>
  </si>
  <si>
    <t>Overall Ranking</t>
  </si>
  <si>
    <t>Ranking After Removal of Qualified Athletes</t>
  </si>
  <si>
    <t>Top Ranked in Country</t>
  </si>
  <si>
    <t>Uladzislau Hancharou</t>
  </si>
  <si>
    <t>Dong Dong</t>
  </si>
  <si>
    <t>Daiki Kishi</t>
  </si>
  <si>
    <t>Dylan Schmidt</t>
  </si>
  <si>
    <t>Andrey Yudin</t>
  </si>
  <si>
    <t>Tetsuya Sotomura</t>
  </si>
  <si>
    <t>Aleh Rabtsau</t>
  </si>
  <si>
    <t>Xiao Jinyu</t>
  </si>
  <si>
    <t>Tu Xiao</t>
  </si>
  <si>
    <t>Liu Lingling</t>
  </si>
  <si>
    <t>Lin Qianqi</t>
  </si>
  <si>
    <t>Xueying Zhu</t>
  </si>
  <si>
    <t>Yasuhiro Ueyama</t>
  </si>
  <si>
    <t>Artsion Zhuk</t>
  </si>
  <si>
    <t>Diogo Ganchinho</t>
  </si>
  <si>
    <t>Lei Gao</t>
  </si>
  <si>
    <t>Mikhail Melnik</t>
  </si>
  <si>
    <t>Nikita Fedorenko</t>
  </si>
  <si>
    <t>POR</t>
  </si>
  <si>
    <t>Pedro Ferreira</t>
  </si>
  <si>
    <t>Sergei Azarian</t>
  </si>
  <si>
    <t>Dominic Clarke</t>
  </si>
  <si>
    <t>Allan Morante</t>
  </si>
  <si>
    <t>Luke Strong</t>
  </si>
  <si>
    <t>Sebastien Martiny</t>
  </si>
  <si>
    <t>Blake Rutherford</t>
  </si>
  <si>
    <t>Fabian Vogel</t>
  </si>
  <si>
    <t>Mikael Vivani</t>
  </si>
  <si>
    <t>Jérémy Chartier</t>
  </si>
  <si>
    <t>Tengizi Koshkadze</t>
  </si>
  <si>
    <t>Lars Fritzsche</t>
  </si>
  <si>
    <t>Matthais Pfleiderer</t>
  </si>
  <si>
    <t>Aliaksei Shostak</t>
  </si>
  <si>
    <t>Mykola Prostorov</t>
  </si>
  <si>
    <t>Jason Burnett</t>
  </si>
  <si>
    <t>Flavio Cannone</t>
  </si>
  <si>
    <t>Igor Grachyov</t>
  </si>
  <si>
    <t>Mariyan Mihalev</t>
  </si>
  <si>
    <t>Cody Gesuelli</t>
  </si>
  <si>
    <t>Aiden Thomas</t>
  </si>
  <si>
    <t>Redha Messatfa</t>
  </si>
  <si>
    <t>Brendan Renault</t>
  </si>
  <si>
    <t>UKR</t>
  </si>
  <si>
    <t>ITA</t>
  </si>
  <si>
    <t>KAZ</t>
  </si>
  <si>
    <t>BUL</t>
  </si>
  <si>
    <t>ALG</t>
  </si>
  <si>
    <t>Total of Eligible*</t>
  </si>
  <si>
    <t>*Eligible means: both the top ranked athlete in their country based on World Cups AND not more than the fourth country to earn a second spot.</t>
  </si>
  <si>
    <t>Qualified By Criteria 1 (Worlds)</t>
  </si>
  <si>
    <t>Qualified by Criteria 2 (Continental)</t>
  </si>
  <si>
    <t>Country Already Qualified</t>
  </si>
  <si>
    <t>Ryosuke Sakai</t>
  </si>
  <si>
    <t>Diogo Abreu</t>
  </si>
  <si>
    <t>Dmitrii Ushakov</t>
  </si>
  <si>
    <t>Kyrylo Sonn</t>
  </si>
  <si>
    <t>Danil Mussabayev</t>
  </si>
  <si>
    <t>Artur Zakrzewski</t>
  </si>
  <si>
    <t>POL</t>
  </si>
  <si>
    <t>Pierre Gouzou</t>
  </si>
  <si>
    <t>Benny Wizani</t>
  </si>
  <si>
    <t>AUT</t>
  </si>
  <si>
    <t>Corey Walkes</t>
  </si>
  <si>
    <t>Jorge Martin</t>
  </si>
  <si>
    <t>Angel Hernandez</t>
  </si>
  <si>
    <t>COL</t>
  </si>
  <si>
    <t>Tiago Lopes</t>
  </si>
  <si>
    <t>Mikita Ilyinykh</t>
  </si>
  <si>
    <t>Dario Aloi</t>
  </si>
  <si>
    <t>Benjamin Kjaer</t>
  </si>
  <si>
    <t>DEN</t>
  </si>
  <si>
    <t>Marios Grapsas</t>
  </si>
  <si>
    <t>GRE</t>
  </si>
  <si>
    <t>Mokhirbek Olimjonov</t>
  </si>
  <si>
    <t>Yana Pavlova</t>
  </si>
  <si>
    <t>Hikaru Mori</t>
  </si>
  <si>
    <t>Xinyi Fan</t>
  </si>
  <si>
    <t>Ayano Kishi</t>
  </si>
  <si>
    <t>Noemi Romero Rosario</t>
  </si>
  <si>
    <t>Kira Ward</t>
  </si>
  <si>
    <t>Maryna Kyiko</t>
  </si>
  <si>
    <t>Beatriz Martins</t>
  </si>
  <si>
    <t>Svitlana Malkova</t>
  </si>
  <si>
    <t>Fanny Chilo</t>
  </si>
  <si>
    <t>SUI</t>
  </si>
  <si>
    <t>Jessica Stevens</t>
  </si>
  <si>
    <t>Lila Kasapoglou</t>
  </si>
  <si>
    <t>Silvia Saiote</t>
  </si>
  <si>
    <t>Tie Break 1 (Low Wins)</t>
  </si>
  <si>
    <t>Tie Break 2 (High Wins)</t>
  </si>
  <si>
    <t>Tie Break 3 (Low Wins)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</si>
</sst>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Wingdings 2"/>
      <charset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/>
    <xf numFmtId="0" fontId="0" fillId="2" borderId="1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0" borderId="0" xfId="0" applyAlignment="1">
      <alignment wrapText="1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 wrapText="1"/>
    </xf>
    <xf numFmtId="0" fontId="0" fillId="2" borderId="0" xfId="0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" fillId="2" borderId="2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wrapText="1"/>
    </xf>
  </cellXfs>
  <cellStyles count="1">
    <cellStyle name="Normal" xfId="0" builtinId="0"/>
  </cellStyles>
  <dxfs count="14"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border>
        <right style="thin">
          <color auto="1"/>
        </right>
        <vertical/>
        <horizontal/>
      </border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border>
        <right style="thin">
          <color auto="1"/>
        </right>
        <vertical/>
        <horizontal/>
      </border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E7C78-F112-754D-B584-7E2AB3329687}">
  <sheetPr codeName="Sheet1"/>
  <dimension ref="A1:AJ102"/>
  <sheetViews>
    <sheetView tabSelected="1" workbookViewId="0">
      <pane xSplit="2" topLeftCell="C1" activePane="topRight" state="frozen"/>
      <selection pane="topRight" activeCell="C3" sqref="C3"/>
    </sheetView>
  </sheetViews>
  <sheetFormatPr baseColWidth="10" defaultRowHeight="16" x14ac:dyDescent="0.2"/>
  <cols>
    <col min="1" max="1" width="26.6640625" style="7" customWidth="1"/>
    <col min="2" max="2" width="7.33203125" style="6" bestFit="1" customWidth="1"/>
    <col min="3" max="3" width="16.5" style="5" bestFit="1" customWidth="1"/>
    <col min="4" max="4" width="17.6640625" style="5" bestFit="1" customWidth="1"/>
    <col min="5" max="5" width="10.83203125" style="4"/>
    <col min="6" max="11" width="10.83203125" style="7"/>
    <col min="25" max="25" width="10.83203125" style="2"/>
    <col min="26" max="26" width="14" style="2" bestFit="1" customWidth="1"/>
    <col min="27" max="27" width="10.83203125" style="15"/>
    <col min="28" max="30" width="10.83203125" hidden="1" customWidth="1"/>
  </cols>
  <sheetData>
    <row r="1" spans="1:36" s="10" customFormat="1" ht="16" customHeight="1" x14ac:dyDescent="0.2">
      <c r="A1" s="18" t="s">
        <v>0</v>
      </c>
      <c r="B1" s="18" t="s">
        <v>15</v>
      </c>
      <c r="C1" s="17" t="s">
        <v>115</v>
      </c>
      <c r="D1" s="17" t="s">
        <v>116</v>
      </c>
      <c r="E1" s="22" t="s">
        <v>63</v>
      </c>
      <c r="F1" s="19" t="s">
        <v>7</v>
      </c>
      <c r="G1" s="19"/>
      <c r="H1" s="19"/>
      <c r="I1" s="19"/>
      <c r="J1" s="19"/>
      <c r="K1" s="20"/>
      <c r="L1" s="21" t="s">
        <v>64</v>
      </c>
      <c r="M1" s="19"/>
      <c r="N1" s="19"/>
      <c r="O1" s="19"/>
      <c r="P1" s="19"/>
      <c r="Q1" s="20"/>
      <c r="R1" s="21" t="s">
        <v>8</v>
      </c>
      <c r="S1" s="19"/>
      <c r="T1" s="19"/>
      <c r="U1" s="19"/>
      <c r="V1" s="19"/>
      <c r="W1" s="20"/>
      <c r="X1" s="18" t="s">
        <v>9</v>
      </c>
      <c r="Y1" s="17" t="s">
        <v>65</v>
      </c>
      <c r="Z1" s="23" t="s">
        <v>117</v>
      </c>
      <c r="AA1" s="17" t="s">
        <v>113</v>
      </c>
      <c r="AB1" s="17" t="s">
        <v>154</v>
      </c>
      <c r="AC1" s="17" t="s">
        <v>155</v>
      </c>
      <c r="AD1" s="17" t="s">
        <v>156</v>
      </c>
      <c r="AE1" s="16" t="s">
        <v>114</v>
      </c>
      <c r="AF1" s="16"/>
      <c r="AG1" s="16"/>
      <c r="AH1" s="16"/>
      <c r="AI1" s="16"/>
      <c r="AJ1" s="16"/>
    </row>
    <row r="2" spans="1:36" s="10" customFormat="1" x14ac:dyDescent="0.2">
      <c r="A2" s="18"/>
      <c r="B2" s="18"/>
      <c r="C2" s="17"/>
      <c r="D2" s="17"/>
      <c r="E2" s="22"/>
      <c r="F2" s="12" t="s">
        <v>1</v>
      </c>
      <c r="G2" s="12" t="s">
        <v>2</v>
      </c>
      <c r="H2" s="12" t="s">
        <v>3</v>
      </c>
      <c r="I2" s="12" t="s">
        <v>4</v>
      </c>
      <c r="J2" s="12" t="s">
        <v>5</v>
      </c>
      <c r="K2" s="13" t="s">
        <v>6</v>
      </c>
      <c r="L2" s="11" t="s">
        <v>1</v>
      </c>
      <c r="M2" s="12" t="s">
        <v>2</v>
      </c>
      <c r="N2" s="12" t="s">
        <v>3</v>
      </c>
      <c r="O2" s="12" t="s">
        <v>4</v>
      </c>
      <c r="P2" s="12" t="s">
        <v>5</v>
      </c>
      <c r="Q2" s="13" t="s">
        <v>6</v>
      </c>
      <c r="R2" s="11" t="s">
        <v>1</v>
      </c>
      <c r="S2" s="12" t="s">
        <v>2</v>
      </c>
      <c r="T2" s="12" t="s">
        <v>3</v>
      </c>
      <c r="U2" s="12" t="s">
        <v>4</v>
      </c>
      <c r="V2" s="12" t="s">
        <v>5</v>
      </c>
      <c r="W2" s="13" t="s">
        <v>6</v>
      </c>
      <c r="X2" s="18"/>
      <c r="Y2" s="17"/>
      <c r="Z2" s="23"/>
      <c r="AA2" s="17"/>
      <c r="AB2" s="17"/>
      <c r="AC2" s="17"/>
      <c r="AD2" s="17"/>
      <c r="AE2" s="16"/>
      <c r="AF2" s="16"/>
      <c r="AG2" s="16"/>
      <c r="AH2" s="16"/>
      <c r="AI2" s="16"/>
      <c r="AJ2" s="16"/>
    </row>
    <row r="3" spans="1:36" x14ac:dyDescent="0.2">
      <c r="A3" s="7" t="s">
        <v>77</v>
      </c>
      <c r="B3" s="6" t="s">
        <v>16</v>
      </c>
      <c r="E3" s="3">
        <f t="shared" ref="E3:E34" si="0">IF(AA3="","",RANK(AA3,AA:AA))</f>
        <v>1</v>
      </c>
      <c r="F3" s="6">
        <v>9</v>
      </c>
      <c r="G3" s="6">
        <v>1</v>
      </c>
      <c r="H3" s="6"/>
      <c r="I3" s="6"/>
      <c r="J3" s="6"/>
      <c r="K3" s="6"/>
      <c r="L3" s="1">
        <f t="shared" ref="L3:L34" si="1">IF(OR($C3&lt;&gt;"",$D3&lt;&gt;"",F3=""),"",F3-SUMPRODUCT(--($C$3:$C$102="P"),--(F$3:F$102&lt;F3),--(F$3:F$102&lt;&gt;""))-SUMPRODUCT(--($D$3:$D$102="P"),--(F$3:F$102&lt;F3),--(F$3:F$102&lt;&gt;"")))</f>
        <v>9</v>
      </c>
      <c r="M3" s="9">
        <f t="shared" ref="M3:M34" si="2">IF(OR($C3&lt;&gt;"",$D3&lt;&gt;"",G3=""),"",G3-SUMPRODUCT(--($C$3:$C$102="P"),--(G$3:G$102&lt;G3),--(G$3:G$102&lt;&gt;""))-SUMPRODUCT(--($D$3:$D$102="P"),--(G$3:G$102&lt;G3),--(G$3:G$102&lt;&gt;"")))</f>
        <v>1</v>
      </c>
      <c r="N3" s="9" t="str">
        <f t="shared" ref="N3:N34" si="3">IF(OR($C3&lt;&gt;"",$D3&lt;&gt;"",H3=""),"",H3-SUMPRODUCT(--($C$3:$C$102="P"),--(H$3:H$102&lt;H3),--(H$3:H$102&lt;&gt;""))-SUMPRODUCT(--($D$3:$D$102="P"),--(H$3:H$102&lt;H3),--(H$3:H$102&lt;&gt;"")))</f>
        <v/>
      </c>
      <c r="O3" s="9" t="str">
        <f t="shared" ref="O3:O34" si="4">IF(OR($C3&lt;&gt;"",$D3&lt;&gt;"",I3=""),"",I3-SUMPRODUCT(--($C$3:$C$102="P"),--(I$3:I$102&lt;I3),--(I$3:I$102&lt;&gt;""))-SUMPRODUCT(--($D$3:$D$102="P"),--(I$3:I$102&lt;I3),--(I$3:I$102&lt;&gt;"")))</f>
        <v/>
      </c>
      <c r="P3" s="9" t="str">
        <f t="shared" ref="P3:P34" si="5">IF(OR($C3&lt;&gt;"",$D3&lt;&gt;"",J3=""),"",J3-SUMPRODUCT(--($C$3:$C$102="P"),--(J$3:J$102&lt;J3),--(J$3:J$102&lt;&gt;""))-SUMPRODUCT(--($D$3:$D$102="P"),--(J$3:J$102&lt;J3),--(J$3:J$102&lt;&gt;"")))</f>
        <v/>
      </c>
      <c r="Q3" s="9" t="str">
        <f t="shared" ref="Q3:Q34" si="6">IF(OR($C3&lt;&gt;"",$D3&lt;&gt;"",K3=""),"",K3-SUMPRODUCT(--($C$3:$C$102="P"),--(K$3:K$102&lt;K3),--(K$3:K$102&lt;&gt;""))-SUMPRODUCT(--($D$3:$D$102="P"),--(K$3:K$102&lt;K3),--(K$3:K$102&lt;&gt;"")))</f>
        <v/>
      </c>
      <c r="R3" s="1">
        <f t="shared" ref="R3:R34" si="7">IF(OR(L3="",L3&gt;30),"",IF(L3=1,60,IF(L3=2,55,IF(L3=3,50,IF(L3=4,44,IF(L3=5,38,IF(L3=6,32,IF(L3=7,28,IF(L3=8,25,IF(L3=9,22,IF(L3=10,21,IF(L3=11,20,IF(L3=12,19,IF(L3=13,18,IF(L3=14,17,IF(L3=15,16,IF(L3=16,15,IF(L3=17,14,IF(L3=18,13,IF(L3=19,12,IF(L3=20,11,IF(L3=21,10,IF(L3=22,9,IF(L3=23,8,IF(L3=24,7,IF(L3=25,6,IF(L3=26,5,IF(L3=27,4,IF(L3=28,3,IF(L3=29,2,IF(L3=30,1)))))))))))))))))))))))))))))))</f>
        <v>22</v>
      </c>
      <c r="S3" s="1">
        <f t="shared" ref="S3:S34" si="8">IF(OR(M3="",M3&gt;30),"",IF(M3=1,60,IF(M3=2,55,IF(M3=3,50,IF(M3=4,44,IF(M3=5,38,IF(M3=6,32,IF(M3=7,28,IF(M3=8,25,IF(M3=9,22,IF(M3=10,21,IF(M3=11,20,IF(M3=12,19,IF(M3=13,18,IF(M3=14,17,IF(M3=15,16,IF(M3=16,15,IF(M3=17,14,IF(M3=18,13,IF(M3=19,12,IF(M3=20,11,IF(M3=21,10,IF(M3=22,9,IF(M3=23,8,IF(M3=24,7,IF(M3=25,6,IF(M3=26,5,IF(M3=27,4,IF(M3=28,3,IF(M3=29,2,IF(M3=30,1)))))))))))))))))))))))))))))))</f>
        <v>60</v>
      </c>
      <c r="T3" s="1" t="str">
        <f t="shared" ref="T3:T34" si="9">IF(OR(N3="",N3&gt;30),"",IF(N3=1,60,IF(N3=2,55,IF(N3=3,50,IF(N3=4,44,IF(N3=5,38,IF(N3=6,32,IF(N3=7,28,IF(N3=8,25,IF(N3=9,22,IF(N3=10,21,IF(N3=11,20,IF(N3=12,19,IF(N3=13,18,IF(N3=14,17,IF(N3=15,16,IF(N3=16,15,IF(N3=17,14,IF(N3=18,13,IF(N3=19,12,IF(N3=20,11,IF(N3=21,10,IF(N3=22,9,IF(N3=23,8,IF(N3=24,7,IF(N3=25,6,IF(N3=26,5,IF(N3=27,4,IF(N3=28,3,IF(N3=29,2,IF(N3=30,1)))))))))))))))))))))))))))))))</f>
        <v/>
      </c>
      <c r="U3" s="1" t="str">
        <f t="shared" ref="U3:U34" si="10">IF(OR(O3="",O3&gt;30),"",IF(O3=1,60,IF(O3=2,55,IF(O3=3,50,IF(O3=4,44,IF(O3=5,38,IF(O3=6,32,IF(O3=7,28,IF(O3=8,25,IF(O3=9,22,IF(O3=10,21,IF(O3=11,20,IF(O3=12,19,IF(O3=13,18,IF(O3=14,17,IF(O3=15,16,IF(O3=16,15,IF(O3=17,14,IF(O3=18,13,IF(O3=19,12,IF(O3=20,11,IF(O3=21,10,IF(O3=22,9,IF(O3=23,8,IF(O3=24,7,IF(O3=25,6,IF(O3=26,5,IF(O3=27,4,IF(O3=28,3,IF(O3=29,2,IF(O3=30,1)))))))))))))))))))))))))))))))</f>
        <v/>
      </c>
      <c r="V3" s="1" t="str">
        <f t="shared" ref="V3:V34" si="11">IF(OR(P3="",P3&gt;30),"",IF(P3=1,60,IF(P3=2,55,IF(P3=3,50,IF(P3=4,44,IF(P3=5,38,IF(P3=6,32,IF(P3=7,28,IF(P3=8,25,IF(P3=9,22,IF(P3=10,21,IF(P3=11,20,IF(P3=12,19,IF(P3=13,18,IF(P3=14,17,IF(P3=15,16,IF(P3=16,15,IF(P3=17,14,IF(P3=18,13,IF(P3=19,12,IF(P3=20,11,IF(P3=21,10,IF(P3=22,9,IF(P3=23,8,IF(P3=24,7,IF(P3=25,6,IF(P3=26,5,IF(P3=27,4,IF(P3=28,3,IF(P3=29,2,IF(P3=30,1)))))))))))))))))))))))))))))))</f>
        <v/>
      </c>
      <c r="W3" s="1" t="str">
        <f t="shared" ref="W3:W34" si="12">IF(OR(Q3="",Q3&gt;30),"",IF(Q3=1,60,IF(Q3=2,55,IF(Q3=3,50,IF(Q3=4,44,IF(Q3=5,38,IF(Q3=6,32,IF(Q3=7,28,IF(Q3=8,25,IF(Q3=9,22,IF(Q3=10,21,IF(Q3=11,20,IF(Q3=12,19,IF(Q3=13,18,IF(Q3=14,17,IF(Q3=15,16,IF(Q3=16,15,IF(Q3=17,14,IF(Q3=18,13,IF(Q3=19,12,IF(Q3=20,11,IF(Q3=21,10,IF(Q3=22,9,IF(Q3=23,8,IF(Q3=24,7,IF(Q3=25,6,IF(Q3=26,5,IF(Q3=27,4,IF(Q3=28,3,IF(Q3=29,2,IF(Q3=30,1)))))))))))))))))))))))))))))))</f>
        <v/>
      </c>
      <c r="X3" s="15">
        <f>IF(A3="","",IF(OR(C3="P",D3="P"),"",IF(IF(COUNT(R3:W3)&lt;5,SUM(R3:W3),IF(COUNT(R3:W3)=5,SUM(R3:W3)-MIN(R3:W3),SUM(R3:W3)-MIN(R3:W3)-SMALL(R3:W3,2)))&gt;0,IF(COUNT(R3:W3)&lt;5,SUM(R3:W3)+(1000-AB3)*10^-4+AC3*10^-5+(1000-AD3)*10^-8,IF(COUNT(R3:W3)=5,SUM(R3:W3)-MIN(R3:W3)+(1000-AB3)*10^-4+AC3*10^-5+(1000-AD3)*10^-8,SUM(R3:W3)-MIN(R3:W3)-SMALL(R3:W3,2)+(1000-AB3)*10^-4+AC3*10^-5+(1000-AD3)*10^-8)),0)))</f>
        <v>82.099019990000002</v>
      </c>
      <c r="Y3" s="2" t="str">
        <f t="shared" ref="Y3:Y34" si="13">IF(OR(X3="",X3=0),"",IF(SUMPRODUCT(--(B$3:B$102=B3),--(X$3:X$102&gt;X3),--(X$3:X$102&lt;&gt;"")),"","P"))</f>
        <v>P</v>
      </c>
      <c r="Z3" s="2" t="str">
        <f t="shared" ref="Z3:Z34" si="14">IF(X3="","",IF(SUMPRODUCT(--(C$3:C$102="P"),--(B$3:B$102=B3)),"P",""))</f>
        <v/>
      </c>
      <c r="AA3" s="15">
        <f t="shared" ref="AA3:AA34" si="15">IF(AND(Y3&lt;&gt;"",OR(Z3="",SUMPRODUCT(--(X$3:X$102&gt;X3),--(Z$3:Z$102="P"),--(Y$3:Y$102="P"))&lt;4)),X3,"")</f>
        <v>82.099019990000002</v>
      </c>
      <c r="AB3" s="9">
        <f t="shared" ref="AB3:AB34" si="16">IF(A3="","",IF(OR(C3="P",D3="P"),"",IF(IF(COUNT(L3:Q3)&lt;5,SUM(L3:Q3),IF(COUNT(L3:Q3)=5,SUM(L3:Q3)-MIN(L3:Q3),SUM(L3:Q3)-MIN(L3:Q3)-SMALL(L3:Q3,2)))&gt;0,IF(COUNT(L3:Q3)&lt;5,SUM(L3:Q3),IF(COUNT(L3:Q3)=5,SUM(L3:Q3)-MIN(L3:Q3),SUM(L3:Q3)-MIN(L3:Q3)-SMALL(L3:Q3,2))),0)))</f>
        <v>10</v>
      </c>
      <c r="AC3" s="9">
        <f t="shared" ref="AC3:AC34" si="17">COUNTIF(L3:Q3,"&lt;=8")</f>
        <v>1</v>
      </c>
      <c r="AD3" s="9">
        <f t="shared" ref="AD3:AD34" si="18">MIN(L3:Q3)</f>
        <v>1</v>
      </c>
    </row>
    <row r="4" spans="1:36" x14ac:dyDescent="0.2">
      <c r="A4" s="7" t="s">
        <v>76</v>
      </c>
      <c r="B4" s="6" t="s">
        <v>16</v>
      </c>
      <c r="E4" s="3" t="str">
        <f t="shared" si="0"/>
        <v/>
      </c>
      <c r="F4" s="6">
        <v>7</v>
      </c>
      <c r="G4" s="6">
        <v>3</v>
      </c>
      <c r="H4" s="6"/>
      <c r="I4" s="6"/>
      <c r="J4" s="6"/>
      <c r="K4" s="6"/>
      <c r="L4" s="9">
        <f t="shared" si="1"/>
        <v>7</v>
      </c>
      <c r="M4" s="9">
        <f t="shared" si="2"/>
        <v>3</v>
      </c>
      <c r="N4" s="9" t="str">
        <f t="shared" si="3"/>
        <v/>
      </c>
      <c r="O4" s="9" t="str">
        <f t="shared" si="4"/>
        <v/>
      </c>
      <c r="P4" s="9" t="str">
        <f t="shared" si="5"/>
        <v/>
      </c>
      <c r="Q4" s="9" t="str">
        <f t="shared" si="6"/>
        <v/>
      </c>
      <c r="R4" s="1">
        <f t="shared" si="7"/>
        <v>28</v>
      </c>
      <c r="S4" s="1">
        <f t="shared" si="8"/>
        <v>50</v>
      </c>
      <c r="T4" s="1" t="str">
        <f t="shared" si="9"/>
        <v/>
      </c>
      <c r="U4" s="1" t="str">
        <f t="shared" si="10"/>
        <v/>
      </c>
      <c r="V4" s="1" t="str">
        <f t="shared" si="11"/>
        <v/>
      </c>
      <c r="W4" s="1" t="str">
        <f t="shared" si="12"/>
        <v/>
      </c>
      <c r="X4" s="15">
        <f t="shared" ref="X4:X53" si="19">IF(A4="","",IF(OR(C4="P",D4="P"),"",IF(IF(COUNT(R4:W4)&lt;5,SUM(R4:W4),IF(COUNT(R4:W4)=5,SUM(R4:W4)-MIN(R4:W4),SUM(R4:W4)-MIN(R4:W4)-SMALL(R4:W4,2)))&gt;0,IF(COUNT(R4:W4)&lt;5,SUM(R4:W4)+(1000-AB4)*10^-4+AC4*10^-5+(1000-AD4)*10^-8,IF(COUNT(R4:W4)=5,SUM(R4:W4)-MIN(R4:W4)+(1000-AB4)*10^-4+AC4*10^-5+(1000-AD4)*10^-8,SUM(R4:W4)-MIN(R4:W4)-SMALL(R4:W4,2)+(1000-AB4)*10^-4+AC4*10^-5+(1000-AD4)*10^-8)),0)))</f>
        <v>78.099029970000004</v>
      </c>
      <c r="Y4" s="2" t="str">
        <f t="shared" si="13"/>
        <v/>
      </c>
      <c r="Z4" s="2" t="str">
        <f t="shared" si="14"/>
        <v/>
      </c>
      <c r="AA4" s="15" t="str">
        <f t="shared" si="15"/>
        <v/>
      </c>
      <c r="AB4" s="9">
        <f t="shared" si="16"/>
        <v>10</v>
      </c>
      <c r="AC4" s="9">
        <f t="shared" si="17"/>
        <v>2</v>
      </c>
      <c r="AD4" s="9">
        <f t="shared" si="18"/>
        <v>3</v>
      </c>
    </row>
    <row r="5" spans="1:36" x14ac:dyDescent="0.2">
      <c r="A5" s="7" t="s">
        <v>12</v>
      </c>
      <c r="B5" s="6" t="s">
        <v>19</v>
      </c>
      <c r="E5" s="3">
        <f t="shared" si="0"/>
        <v>2</v>
      </c>
      <c r="F5" s="6">
        <v>4</v>
      </c>
      <c r="G5" s="6">
        <v>11</v>
      </c>
      <c r="H5" s="6"/>
      <c r="I5" s="6"/>
      <c r="J5" s="6"/>
      <c r="K5" s="6"/>
      <c r="L5" s="9">
        <f t="shared" si="1"/>
        <v>4</v>
      </c>
      <c r="M5" s="9">
        <f t="shared" si="2"/>
        <v>11</v>
      </c>
      <c r="N5" s="9" t="str">
        <f t="shared" si="3"/>
        <v/>
      </c>
      <c r="O5" s="9" t="str">
        <f t="shared" si="4"/>
        <v/>
      </c>
      <c r="P5" s="9" t="str">
        <f t="shared" si="5"/>
        <v/>
      </c>
      <c r="Q5" s="9" t="str">
        <f t="shared" si="6"/>
        <v/>
      </c>
      <c r="R5" s="1">
        <f t="shared" si="7"/>
        <v>44</v>
      </c>
      <c r="S5" s="1">
        <f t="shared" si="8"/>
        <v>20</v>
      </c>
      <c r="T5" s="1" t="str">
        <f t="shared" si="9"/>
        <v/>
      </c>
      <c r="U5" s="1" t="str">
        <f t="shared" si="10"/>
        <v/>
      </c>
      <c r="V5" s="1" t="str">
        <f t="shared" si="11"/>
        <v/>
      </c>
      <c r="W5" s="1" t="str">
        <f t="shared" si="12"/>
        <v/>
      </c>
      <c r="X5" s="15">
        <f t="shared" si="19"/>
        <v>64.098519960000004</v>
      </c>
      <c r="Y5" s="2" t="str">
        <f t="shared" si="13"/>
        <v>P</v>
      </c>
      <c r="Z5" s="2" t="str">
        <f t="shared" si="14"/>
        <v/>
      </c>
      <c r="AA5" s="15">
        <f t="shared" si="15"/>
        <v>64.098519960000004</v>
      </c>
      <c r="AB5" s="9">
        <f t="shared" si="16"/>
        <v>15</v>
      </c>
      <c r="AC5" s="9">
        <f t="shared" si="17"/>
        <v>1</v>
      </c>
      <c r="AD5" s="9">
        <f t="shared" si="18"/>
        <v>4</v>
      </c>
    </row>
    <row r="6" spans="1:36" x14ac:dyDescent="0.2">
      <c r="A6" s="7" t="s">
        <v>75</v>
      </c>
      <c r="B6" s="6" t="s">
        <v>16</v>
      </c>
      <c r="E6" s="3" t="str">
        <f t="shared" si="0"/>
        <v/>
      </c>
      <c r="F6" s="6">
        <v>1</v>
      </c>
      <c r="G6" s="6">
        <v>54</v>
      </c>
      <c r="H6" s="6"/>
      <c r="I6" s="6"/>
      <c r="J6" s="6"/>
      <c r="K6" s="6"/>
      <c r="L6" s="9">
        <f t="shared" si="1"/>
        <v>1</v>
      </c>
      <c r="M6" s="9">
        <f t="shared" si="2"/>
        <v>54</v>
      </c>
      <c r="N6" s="9" t="str">
        <f t="shared" si="3"/>
        <v/>
      </c>
      <c r="O6" s="9" t="str">
        <f t="shared" si="4"/>
        <v/>
      </c>
      <c r="P6" s="9" t="str">
        <f t="shared" si="5"/>
        <v/>
      </c>
      <c r="Q6" s="9" t="str">
        <f t="shared" si="6"/>
        <v/>
      </c>
      <c r="R6" s="1">
        <f t="shared" si="7"/>
        <v>60</v>
      </c>
      <c r="S6" s="1" t="str">
        <f t="shared" si="8"/>
        <v/>
      </c>
      <c r="T6" s="1" t="str">
        <f t="shared" si="9"/>
        <v/>
      </c>
      <c r="U6" s="1" t="str">
        <f t="shared" si="10"/>
        <v/>
      </c>
      <c r="V6" s="1" t="str">
        <f t="shared" si="11"/>
        <v/>
      </c>
      <c r="W6" s="1" t="str">
        <f t="shared" si="12"/>
        <v/>
      </c>
      <c r="X6" s="15">
        <f t="shared" si="19"/>
        <v>60.094519990000002</v>
      </c>
      <c r="Y6" s="2" t="str">
        <f t="shared" si="13"/>
        <v/>
      </c>
      <c r="Z6" s="2" t="str">
        <f t="shared" si="14"/>
        <v/>
      </c>
      <c r="AA6" s="15" t="str">
        <f t="shared" si="15"/>
        <v/>
      </c>
      <c r="AB6" s="9">
        <f t="shared" si="16"/>
        <v>55</v>
      </c>
      <c r="AC6" s="9">
        <f t="shared" si="17"/>
        <v>1</v>
      </c>
      <c r="AD6" s="9">
        <f t="shared" si="18"/>
        <v>1</v>
      </c>
    </row>
    <row r="7" spans="1:36" x14ac:dyDescent="0.2">
      <c r="A7" s="7" t="s">
        <v>24</v>
      </c>
      <c r="B7" s="6" t="s">
        <v>25</v>
      </c>
      <c r="E7" s="3">
        <f t="shared" si="0"/>
        <v>3</v>
      </c>
      <c r="F7" s="6">
        <v>11</v>
      </c>
      <c r="G7" s="6">
        <v>5</v>
      </c>
      <c r="H7" s="6"/>
      <c r="I7" s="6"/>
      <c r="J7" s="6"/>
      <c r="K7" s="6"/>
      <c r="L7" s="9">
        <f t="shared" si="1"/>
        <v>11</v>
      </c>
      <c r="M7" s="9">
        <f t="shared" si="2"/>
        <v>5</v>
      </c>
      <c r="N7" s="9" t="str">
        <f t="shared" si="3"/>
        <v/>
      </c>
      <c r="O7" s="9" t="str">
        <f t="shared" si="4"/>
        <v/>
      </c>
      <c r="P7" s="9" t="str">
        <f t="shared" si="5"/>
        <v/>
      </c>
      <c r="Q7" s="9" t="str">
        <f t="shared" si="6"/>
        <v/>
      </c>
      <c r="R7" s="1">
        <f t="shared" si="7"/>
        <v>20</v>
      </c>
      <c r="S7" s="1">
        <f t="shared" si="8"/>
        <v>38</v>
      </c>
      <c r="T7" s="1" t="str">
        <f t="shared" si="9"/>
        <v/>
      </c>
      <c r="U7" s="1" t="str">
        <f t="shared" si="10"/>
        <v/>
      </c>
      <c r="V7" s="1" t="str">
        <f t="shared" si="11"/>
        <v/>
      </c>
      <c r="W7" s="1" t="str">
        <f t="shared" si="12"/>
        <v/>
      </c>
      <c r="X7" s="15">
        <f t="shared" si="19"/>
        <v>58.09841995</v>
      </c>
      <c r="Y7" s="2" t="str">
        <f t="shared" si="13"/>
        <v>P</v>
      </c>
      <c r="Z7" s="2" t="str">
        <f t="shared" si="14"/>
        <v/>
      </c>
      <c r="AA7" s="15">
        <f t="shared" si="15"/>
        <v>58.09841995</v>
      </c>
      <c r="AB7" s="9">
        <f t="shared" si="16"/>
        <v>16</v>
      </c>
      <c r="AC7" s="9">
        <f t="shared" si="17"/>
        <v>1</v>
      </c>
      <c r="AD7" s="9">
        <f t="shared" si="18"/>
        <v>5</v>
      </c>
    </row>
    <row r="8" spans="1:36" x14ac:dyDescent="0.2">
      <c r="A8" s="7" t="s">
        <v>13</v>
      </c>
      <c r="B8" s="6" t="s">
        <v>18</v>
      </c>
      <c r="E8" s="3">
        <f t="shared" si="0"/>
        <v>4</v>
      </c>
      <c r="F8" s="6">
        <v>5</v>
      </c>
      <c r="G8" s="6">
        <v>13</v>
      </c>
      <c r="H8" s="6"/>
      <c r="I8" s="6"/>
      <c r="J8" s="6"/>
      <c r="K8" s="6"/>
      <c r="L8" s="9">
        <f t="shared" si="1"/>
        <v>5</v>
      </c>
      <c r="M8" s="9">
        <f t="shared" si="2"/>
        <v>13</v>
      </c>
      <c r="N8" s="9" t="str">
        <f t="shared" si="3"/>
        <v/>
      </c>
      <c r="O8" s="9" t="str">
        <f t="shared" si="4"/>
        <v/>
      </c>
      <c r="P8" s="9" t="str">
        <f t="shared" si="5"/>
        <v/>
      </c>
      <c r="Q8" s="9" t="str">
        <f t="shared" si="6"/>
        <v/>
      </c>
      <c r="R8" s="1">
        <f t="shared" si="7"/>
        <v>38</v>
      </c>
      <c r="S8" s="1">
        <f t="shared" si="8"/>
        <v>18</v>
      </c>
      <c r="T8" s="1" t="str">
        <f t="shared" si="9"/>
        <v/>
      </c>
      <c r="U8" s="1" t="str">
        <f t="shared" si="10"/>
        <v/>
      </c>
      <c r="V8" s="1" t="str">
        <f t="shared" si="11"/>
        <v/>
      </c>
      <c r="W8" s="1" t="str">
        <f t="shared" si="12"/>
        <v/>
      </c>
      <c r="X8" s="15">
        <f t="shared" si="19"/>
        <v>56.098219950000001</v>
      </c>
      <c r="Y8" s="2" t="str">
        <f t="shared" si="13"/>
        <v>P</v>
      </c>
      <c r="Z8" s="2" t="str">
        <f t="shared" si="14"/>
        <v/>
      </c>
      <c r="AA8" s="15">
        <f t="shared" si="15"/>
        <v>56.098219950000001</v>
      </c>
      <c r="AB8" s="9">
        <f t="shared" si="16"/>
        <v>18</v>
      </c>
      <c r="AC8" s="9">
        <f t="shared" si="17"/>
        <v>1</v>
      </c>
      <c r="AD8" s="9">
        <f t="shared" si="18"/>
        <v>5</v>
      </c>
    </row>
    <row r="9" spans="1:36" x14ac:dyDescent="0.2">
      <c r="A9" s="7" t="s">
        <v>140</v>
      </c>
      <c r="B9" s="6" t="s">
        <v>20</v>
      </c>
      <c r="E9" s="3">
        <f t="shared" si="0"/>
        <v>5</v>
      </c>
      <c r="F9" s="6"/>
      <c r="G9" s="6">
        <v>2</v>
      </c>
      <c r="H9" s="6"/>
      <c r="I9" s="6"/>
      <c r="J9" s="6"/>
      <c r="K9" s="6"/>
      <c r="L9" s="9" t="str">
        <f t="shared" si="1"/>
        <v/>
      </c>
      <c r="M9" s="9">
        <f t="shared" si="2"/>
        <v>2</v>
      </c>
      <c r="N9" s="9" t="str">
        <f t="shared" si="3"/>
        <v/>
      </c>
      <c r="O9" s="9" t="str">
        <f t="shared" si="4"/>
        <v/>
      </c>
      <c r="P9" s="9" t="str">
        <f t="shared" si="5"/>
        <v/>
      </c>
      <c r="Q9" s="9" t="str">
        <f t="shared" si="6"/>
        <v/>
      </c>
      <c r="R9" s="1" t="str">
        <f t="shared" si="7"/>
        <v/>
      </c>
      <c r="S9" s="1">
        <f t="shared" si="8"/>
        <v>55</v>
      </c>
      <c r="T9" s="1" t="str">
        <f t="shared" si="9"/>
        <v/>
      </c>
      <c r="U9" s="1" t="str">
        <f t="shared" si="10"/>
        <v/>
      </c>
      <c r="V9" s="1" t="str">
        <f t="shared" si="11"/>
        <v/>
      </c>
      <c r="W9" s="1" t="str">
        <f t="shared" si="12"/>
        <v/>
      </c>
      <c r="X9" s="15">
        <f t="shared" si="19"/>
        <v>55.099819980000007</v>
      </c>
      <c r="Y9" s="2" t="str">
        <f t="shared" si="13"/>
        <v>P</v>
      </c>
      <c r="Z9" s="2" t="str">
        <f t="shared" si="14"/>
        <v/>
      </c>
      <c r="AA9" s="15">
        <f t="shared" si="15"/>
        <v>55.099819980000007</v>
      </c>
      <c r="AB9" s="9">
        <f t="shared" si="16"/>
        <v>2</v>
      </c>
      <c r="AC9" s="9">
        <f t="shared" si="17"/>
        <v>1</v>
      </c>
      <c r="AD9" s="9">
        <f t="shared" si="18"/>
        <v>2</v>
      </c>
    </row>
    <row r="10" spans="1:36" x14ac:dyDescent="0.2">
      <c r="A10" s="7" t="s">
        <v>10</v>
      </c>
      <c r="B10" s="6" t="s">
        <v>17</v>
      </c>
      <c r="E10" s="3">
        <f t="shared" si="0"/>
        <v>6</v>
      </c>
      <c r="F10" s="6">
        <v>2</v>
      </c>
      <c r="G10" s="6">
        <v>52</v>
      </c>
      <c r="H10" s="6"/>
      <c r="I10" s="6"/>
      <c r="J10" s="6"/>
      <c r="K10" s="6"/>
      <c r="L10" s="9">
        <f t="shared" si="1"/>
        <v>2</v>
      </c>
      <c r="M10" s="9">
        <f t="shared" si="2"/>
        <v>52</v>
      </c>
      <c r="N10" s="9" t="str">
        <f t="shared" si="3"/>
        <v/>
      </c>
      <c r="O10" s="9" t="str">
        <f t="shared" si="4"/>
        <v/>
      </c>
      <c r="P10" s="9" t="str">
        <f t="shared" si="5"/>
        <v/>
      </c>
      <c r="Q10" s="9" t="str">
        <f t="shared" si="6"/>
        <v/>
      </c>
      <c r="R10" s="1">
        <f t="shared" si="7"/>
        <v>55</v>
      </c>
      <c r="S10" s="1" t="str">
        <f t="shared" si="8"/>
        <v/>
      </c>
      <c r="T10" s="1" t="str">
        <f t="shared" si="9"/>
        <v/>
      </c>
      <c r="U10" s="1" t="str">
        <f t="shared" si="10"/>
        <v/>
      </c>
      <c r="V10" s="1" t="str">
        <f t="shared" si="11"/>
        <v/>
      </c>
      <c r="W10" s="1" t="str">
        <f t="shared" si="12"/>
        <v/>
      </c>
      <c r="X10" s="15">
        <f t="shared" si="19"/>
        <v>55.094619980000004</v>
      </c>
      <c r="Y10" s="2" t="str">
        <f t="shared" si="13"/>
        <v>P</v>
      </c>
      <c r="Z10" s="2" t="str">
        <f t="shared" si="14"/>
        <v/>
      </c>
      <c r="AA10" s="15">
        <f t="shared" si="15"/>
        <v>55.094619980000004</v>
      </c>
      <c r="AB10" s="9">
        <f t="shared" si="16"/>
        <v>54</v>
      </c>
      <c r="AC10" s="9">
        <f t="shared" si="17"/>
        <v>1</v>
      </c>
      <c r="AD10" s="9">
        <f t="shared" si="18"/>
        <v>2</v>
      </c>
    </row>
    <row r="11" spans="1:36" x14ac:dyDescent="0.2">
      <c r="A11" s="7" t="s">
        <v>14</v>
      </c>
      <c r="B11" s="6" t="s">
        <v>20</v>
      </c>
      <c r="E11" s="3" t="str">
        <f t="shared" si="0"/>
        <v/>
      </c>
      <c r="F11" s="6">
        <v>6</v>
      </c>
      <c r="G11" s="6">
        <v>9</v>
      </c>
      <c r="H11" s="6"/>
      <c r="I11" s="6"/>
      <c r="J11" s="6"/>
      <c r="K11" s="6"/>
      <c r="L11" s="9">
        <f t="shared" si="1"/>
        <v>6</v>
      </c>
      <c r="M11" s="9">
        <f t="shared" si="2"/>
        <v>9</v>
      </c>
      <c r="N11" s="9" t="str">
        <f t="shared" si="3"/>
        <v/>
      </c>
      <c r="O11" s="9" t="str">
        <f t="shared" si="4"/>
        <v/>
      </c>
      <c r="P11" s="9" t="str">
        <f t="shared" si="5"/>
        <v/>
      </c>
      <c r="Q11" s="9" t="str">
        <f t="shared" si="6"/>
        <v/>
      </c>
      <c r="R11" s="1">
        <f t="shared" si="7"/>
        <v>32</v>
      </c>
      <c r="S11" s="1">
        <f t="shared" si="8"/>
        <v>22</v>
      </c>
      <c r="T11" s="1" t="str">
        <f t="shared" si="9"/>
        <v/>
      </c>
      <c r="U11" s="1" t="str">
        <f t="shared" si="10"/>
        <v/>
      </c>
      <c r="V11" s="1" t="str">
        <f t="shared" si="11"/>
        <v/>
      </c>
      <c r="W11" s="1" t="str">
        <f t="shared" si="12"/>
        <v/>
      </c>
      <c r="X11" s="15">
        <f t="shared" si="19"/>
        <v>54.098519940000003</v>
      </c>
      <c r="Y11" s="2" t="str">
        <f t="shared" si="13"/>
        <v/>
      </c>
      <c r="Z11" s="2" t="str">
        <f t="shared" si="14"/>
        <v/>
      </c>
      <c r="AA11" s="15" t="str">
        <f t="shared" si="15"/>
        <v/>
      </c>
      <c r="AB11" s="9">
        <f t="shared" si="16"/>
        <v>15</v>
      </c>
      <c r="AC11" s="9">
        <f t="shared" si="17"/>
        <v>1</v>
      </c>
      <c r="AD11" s="9">
        <f t="shared" si="18"/>
        <v>6</v>
      </c>
    </row>
    <row r="12" spans="1:36" x14ac:dyDescent="0.2">
      <c r="A12" s="7" t="s">
        <v>11</v>
      </c>
      <c r="B12" s="6" t="s">
        <v>18</v>
      </c>
      <c r="E12" s="3" t="str">
        <f t="shared" si="0"/>
        <v/>
      </c>
      <c r="F12" s="6">
        <v>3</v>
      </c>
      <c r="G12" s="6"/>
      <c r="H12" s="6"/>
      <c r="I12" s="6"/>
      <c r="J12" s="6"/>
      <c r="K12" s="6"/>
      <c r="L12" s="9">
        <f t="shared" si="1"/>
        <v>3</v>
      </c>
      <c r="M12" s="9" t="str">
        <f t="shared" si="2"/>
        <v/>
      </c>
      <c r="N12" s="9" t="str">
        <f t="shared" si="3"/>
        <v/>
      </c>
      <c r="O12" s="9" t="str">
        <f t="shared" si="4"/>
        <v/>
      </c>
      <c r="P12" s="9" t="str">
        <f t="shared" si="5"/>
        <v/>
      </c>
      <c r="Q12" s="9" t="str">
        <f t="shared" si="6"/>
        <v/>
      </c>
      <c r="R12" s="1">
        <f t="shared" si="7"/>
        <v>50</v>
      </c>
      <c r="S12" s="1" t="str">
        <f t="shared" si="8"/>
        <v/>
      </c>
      <c r="T12" s="1" t="str">
        <f t="shared" si="9"/>
        <v/>
      </c>
      <c r="U12" s="1" t="str">
        <f t="shared" si="10"/>
        <v/>
      </c>
      <c r="V12" s="1" t="str">
        <f t="shared" si="11"/>
        <v/>
      </c>
      <c r="W12" s="1" t="str">
        <f t="shared" si="12"/>
        <v/>
      </c>
      <c r="X12" s="15">
        <f t="shared" si="19"/>
        <v>50.099719970000002</v>
      </c>
      <c r="Y12" s="2" t="str">
        <f t="shared" si="13"/>
        <v/>
      </c>
      <c r="Z12" s="2" t="str">
        <f t="shared" si="14"/>
        <v/>
      </c>
      <c r="AA12" s="15" t="str">
        <f t="shared" si="15"/>
        <v/>
      </c>
      <c r="AB12" s="9">
        <f t="shared" si="16"/>
        <v>3</v>
      </c>
      <c r="AC12" s="9">
        <f t="shared" si="17"/>
        <v>1</v>
      </c>
      <c r="AD12" s="9">
        <f t="shared" si="18"/>
        <v>3</v>
      </c>
    </row>
    <row r="13" spans="1:36" x14ac:dyDescent="0.2">
      <c r="A13" s="7" t="s">
        <v>21</v>
      </c>
      <c r="B13" s="6" t="s">
        <v>20</v>
      </c>
      <c r="E13" s="3" t="str">
        <f t="shared" si="0"/>
        <v/>
      </c>
      <c r="F13" s="6">
        <v>8</v>
      </c>
      <c r="G13" s="6">
        <v>8</v>
      </c>
      <c r="H13" s="6"/>
      <c r="I13" s="6"/>
      <c r="J13" s="6"/>
      <c r="K13" s="6"/>
      <c r="L13" s="9">
        <f t="shared" si="1"/>
        <v>8</v>
      </c>
      <c r="M13" s="9">
        <f t="shared" si="2"/>
        <v>8</v>
      </c>
      <c r="N13" s="9" t="str">
        <f t="shared" si="3"/>
        <v/>
      </c>
      <c r="O13" s="9" t="str">
        <f t="shared" si="4"/>
        <v/>
      </c>
      <c r="P13" s="9" t="str">
        <f t="shared" si="5"/>
        <v/>
      </c>
      <c r="Q13" s="9" t="str">
        <f t="shared" si="6"/>
        <v/>
      </c>
      <c r="R13" s="1">
        <f t="shared" si="7"/>
        <v>25</v>
      </c>
      <c r="S13" s="1">
        <f t="shared" si="8"/>
        <v>25</v>
      </c>
      <c r="T13" s="1" t="str">
        <f t="shared" si="9"/>
        <v/>
      </c>
      <c r="U13" s="1" t="str">
        <f t="shared" si="10"/>
        <v/>
      </c>
      <c r="V13" s="1" t="str">
        <f t="shared" si="11"/>
        <v/>
      </c>
      <c r="W13" s="1" t="str">
        <f t="shared" si="12"/>
        <v/>
      </c>
      <c r="X13" s="15">
        <f t="shared" si="19"/>
        <v>50.098429919999994</v>
      </c>
      <c r="Y13" s="2" t="str">
        <f t="shared" si="13"/>
        <v/>
      </c>
      <c r="Z13" s="2" t="str">
        <f t="shared" si="14"/>
        <v/>
      </c>
      <c r="AA13" s="15" t="str">
        <f t="shared" si="15"/>
        <v/>
      </c>
      <c r="AB13" s="9">
        <f t="shared" si="16"/>
        <v>16</v>
      </c>
      <c r="AC13" s="9">
        <f t="shared" si="17"/>
        <v>2</v>
      </c>
      <c r="AD13" s="9">
        <f t="shared" si="18"/>
        <v>8</v>
      </c>
    </row>
    <row r="14" spans="1:36" x14ac:dyDescent="0.2">
      <c r="A14" s="7" t="s">
        <v>27</v>
      </c>
      <c r="B14" s="6" t="s">
        <v>18</v>
      </c>
      <c r="E14" s="3" t="str">
        <f t="shared" si="0"/>
        <v/>
      </c>
      <c r="F14" s="6">
        <v>13</v>
      </c>
      <c r="G14" s="6">
        <v>7</v>
      </c>
      <c r="H14" s="6"/>
      <c r="I14" s="6"/>
      <c r="J14" s="6"/>
      <c r="K14" s="6"/>
      <c r="L14" s="9">
        <f t="shared" si="1"/>
        <v>13</v>
      </c>
      <c r="M14" s="9">
        <f t="shared" si="2"/>
        <v>7</v>
      </c>
      <c r="N14" s="9" t="str">
        <f t="shared" si="3"/>
        <v/>
      </c>
      <c r="O14" s="9" t="str">
        <f t="shared" si="4"/>
        <v/>
      </c>
      <c r="P14" s="9" t="str">
        <f t="shared" si="5"/>
        <v/>
      </c>
      <c r="Q14" s="9" t="str">
        <f t="shared" si="6"/>
        <v/>
      </c>
      <c r="R14" s="1">
        <f t="shared" si="7"/>
        <v>18</v>
      </c>
      <c r="S14" s="1">
        <f t="shared" si="8"/>
        <v>28</v>
      </c>
      <c r="T14" s="1" t="str">
        <f t="shared" si="9"/>
        <v/>
      </c>
      <c r="U14" s="1" t="str">
        <f t="shared" si="10"/>
        <v/>
      </c>
      <c r="V14" s="1" t="str">
        <f t="shared" si="11"/>
        <v/>
      </c>
      <c r="W14" s="1" t="str">
        <f t="shared" si="12"/>
        <v/>
      </c>
      <c r="X14" s="15">
        <f t="shared" si="19"/>
        <v>46.09801993</v>
      </c>
      <c r="Y14" s="2" t="str">
        <f t="shared" si="13"/>
        <v/>
      </c>
      <c r="Z14" s="2" t="str">
        <f t="shared" si="14"/>
        <v/>
      </c>
      <c r="AA14" s="15" t="str">
        <f t="shared" si="15"/>
        <v/>
      </c>
      <c r="AB14" s="9">
        <f t="shared" si="16"/>
        <v>20</v>
      </c>
      <c r="AC14" s="9">
        <f t="shared" si="17"/>
        <v>1</v>
      </c>
      <c r="AD14" s="9">
        <f t="shared" si="18"/>
        <v>7</v>
      </c>
    </row>
    <row r="15" spans="1:36" x14ac:dyDescent="0.2">
      <c r="A15" s="7" t="s">
        <v>141</v>
      </c>
      <c r="B15" s="6" t="s">
        <v>18</v>
      </c>
      <c r="E15" s="3" t="str">
        <f t="shared" si="0"/>
        <v/>
      </c>
      <c r="F15" s="6">
        <v>59</v>
      </c>
      <c r="G15" s="6">
        <v>4</v>
      </c>
      <c r="H15" s="6"/>
      <c r="I15" s="6"/>
      <c r="J15" s="6"/>
      <c r="K15" s="6"/>
      <c r="L15" s="9">
        <f t="shared" si="1"/>
        <v>59</v>
      </c>
      <c r="M15" s="9">
        <f t="shared" si="2"/>
        <v>4</v>
      </c>
      <c r="N15" s="9" t="str">
        <f t="shared" si="3"/>
        <v/>
      </c>
      <c r="O15" s="9" t="str">
        <f t="shared" si="4"/>
        <v/>
      </c>
      <c r="P15" s="9" t="str">
        <f t="shared" si="5"/>
        <v/>
      </c>
      <c r="Q15" s="9" t="str">
        <f t="shared" si="6"/>
        <v/>
      </c>
      <c r="R15" s="1" t="str">
        <f t="shared" si="7"/>
        <v/>
      </c>
      <c r="S15" s="1">
        <f t="shared" si="8"/>
        <v>44</v>
      </c>
      <c r="T15" s="1" t="str">
        <f t="shared" si="9"/>
        <v/>
      </c>
      <c r="U15" s="1" t="str">
        <f t="shared" si="10"/>
        <v/>
      </c>
      <c r="V15" s="1" t="str">
        <f t="shared" si="11"/>
        <v/>
      </c>
      <c r="W15" s="1" t="str">
        <f t="shared" si="12"/>
        <v/>
      </c>
      <c r="X15" s="15">
        <f t="shared" si="19"/>
        <v>44.093719960000001</v>
      </c>
      <c r="Y15" s="2" t="str">
        <f t="shared" si="13"/>
        <v/>
      </c>
      <c r="Z15" s="2" t="str">
        <f t="shared" si="14"/>
        <v/>
      </c>
      <c r="AA15" s="15" t="str">
        <f t="shared" si="15"/>
        <v/>
      </c>
      <c r="AB15" s="9">
        <f t="shared" si="16"/>
        <v>63</v>
      </c>
      <c r="AC15" s="9">
        <f t="shared" si="17"/>
        <v>1</v>
      </c>
      <c r="AD15" s="9">
        <f t="shared" si="18"/>
        <v>4</v>
      </c>
    </row>
    <row r="16" spans="1:36" x14ac:dyDescent="0.2">
      <c r="A16" s="7" t="s">
        <v>34</v>
      </c>
      <c r="B16" s="6" t="s">
        <v>25</v>
      </c>
      <c r="E16" s="3" t="str">
        <f t="shared" si="0"/>
        <v/>
      </c>
      <c r="F16" s="6">
        <v>20</v>
      </c>
      <c r="G16" s="6">
        <v>6</v>
      </c>
      <c r="H16" s="6"/>
      <c r="I16" s="6"/>
      <c r="J16" s="6"/>
      <c r="K16" s="6"/>
      <c r="L16" s="9">
        <f t="shared" si="1"/>
        <v>20</v>
      </c>
      <c r="M16" s="9">
        <f t="shared" si="2"/>
        <v>6</v>
      </c>
      <c r="N16" s="9" t="str">
        <f t="shared" si="3"/>
        <v/>
      </c>
      <c r="O16" s="9" t="str">
        <f t="shared" si="4"/>
        <v/>
      </c>
      <c r="P16" s="9" t="str">
        <f t="shared" si="5"/>
        <v/>
      </c>
      <c r="Q16" s="9" t="str">
        <f t="shared" si="6"/>
        <v/>
      </c>
      <c r="R16" s="1">
        <f t="shared" si="7"/>
        <v>11</v>
      </c>
      <c r="S16" s="1">
        <f t="shared" si="8"/>
        <v>32</v>
      </c>
      <c r="T16" s="1" t="str">
        <f t="shared" si="9"/>
        <v/>
      </c>
      <c r="U16" s="1" t="str">
        <f t="shared" si="10"/>
        <v/>
      </c>
      <c r="V16" s="1" t="str">
        <f t="shared" si="11"/>
        <v/>
      </c>
      <c r="W16" s="1" t="str">
        <f t="shared" si="12"/>
        <v/>
      </c>
      <c r="X16" s="15">
        <f t="shared" si="19"/>
        <v>43.097419940000002</v>
      </c>
      <c r="Y16" s="2" t="str">
        <f t="shared" si="13"/>
        <v/>
      </c>
      <c r="Z16" s="2" t="str">
        <f t="shared" si="14"/>
        <v/>
      </c>
      <c r="AA16" s="15" t="str">
        <f t="shared" si="15"/>
        <v/>
      </c>
      <c r="AB16" s="9">
        <f t="shared" si="16"/>
        <v>26</v>
      </c>
      <c r="AC16" s="9">
        <f t="shared" si="17"/>
        <v>1</v>
      </c>
      <c r="AD16" s="9">
        <f t="shared" si="18"/>
        <v>6</v>
      </c>
    </row>
    <row r="17" spans="1:30" x14ac:dyDescent="0.2">
      <c r="A17" s="7" t="s">
        <v>32</v>
      </c>
      <c r="B17" s="6" t="s">
        <v>58</v>
      </c>
      <c r="E17" s="3">
        <f t="shared" si="0"/>
        <v>7</v>
      </c>
      <c r="F17" s="6">
        <v>18</v>
      </c>
      <c r="G17" s="6">
        <v>12</v>
      </c>
      <c r="H17" s="6"/>
      <c r="I17" s="6"/>
      <c r="J17" s="6"/>
      <c r="K17" s="6"/>
      <c r="L17" s="9">
        <f t="shared" si="1"/>
        <v>18</v>
      </c>
      <c r="M17" s="9">
        <f t="shared" si="2"/>
        <v>12</v>
      </c>
      <c r="N17" s="9" t="str">
        <f t="shared" si="3"/>
        <v/>
      </c>
      <c r="O17" s="9" t="str">
        <f t="shared" si="4"/>
        <v/>
      </c>
      <c r="P17" s="9" t="str">
        <f t="shared" si="5"/>
        <v/>
      </c>
      <c r="Q17" s="9" t="str">
        <f t="shared" si="6"/>
        <v/>
      </c>
      <c r="R17" s="1">
        <f t="shared" si="7"/>
        <v>13</v>
      </c>
      <c r="S17" s="1">
        <f t="shared" si="8"/>
        <v>19</v>
      </c>
      <c r="T17" s="1" t="str">
        <f t="shared" si="9"/>
        <v/>
      </c>
      <c r="U17" s="1" t="str">
        <f t="shared" si="10"/>
        <v/>
      </c>
      <c r="V17" s="1" t="str">
        <f t="shared" si="11"/>
        <v/>
      </c>
      <c r="W17" s="1" t="str">
        <f t="shared" si="12"/>
        <v/>
      </c>
      <c r="X17" s="15">
        <f t="shared" si="19"/>
        <v>32.097009880000002</v>
      </c>
      <c r="Y17" s="2" t="str">
        <f t="shared" si="13"/>
        <v>P</v>
      </c>
      <c r="Z17" s="2" t="str">
        <f t="shared" si="14"/>
        <v/>
      </c>
      <c r="AA17" s="15">
        <f t="shared" si="15"/>
        <v>32.097009880000002</v>
      </c>
      <c r="AB17" s="9">
        <f t="shared" si="16"/>
        <v>30</v>
      </c>
      <c r="AC17" s="9">
        <f t="shared" si="17"/>
        <v>0</v>
      </c>
      <c r="AD17" s="9">
        <f t="shared" si="18"/>
        <v>12</v>
      </c>
    </row>
    <row r="18" spans="1:30" x14ac:dyDescent="0.2">
      <c r="A18" s="7" t="s">
        <v>29</v>
      </c>
      <c r="B18" s="6" t="s">
        <v>57</v>
      </c>
      <c r="E18" s="3">
        <f t="shared" si="0"/>
        <v>8</v>
      </c>
      <c r="F18" s="6">
        <v>15</v>
      </c>
      <c r="G18" s="6">
        <v>17</v>
      </c>
      <c r="H18" s="6"/>
      <c r="I18" s="6"/>
      <c r="J18" s="6"/>
      <c r="K18" s="6"/>
      <c r="L18" s="9">
        <f t="shared" si="1"/>
        <v>15</v>
      </c>
      <c r="M18" s="9">
        <f t="shared" si="2"/>
        <v>17</v>
      </c>
      <c r="N18" s="9" t="str">
        <f t="shared" si="3"/>
        <v/>
      </c>
      <c r="O18" s="9" t="str">
        <f t="shared" si="4"/>
        <v/>
      </c>
      <c r="P18" s="9" t="str">
        <f t="shared" si="5"/>
        <v/>
      </c>
      <c r="Q18" s="9" t="str">
        <f t="shared" si="6"/>
        <v/>
      </c>
      <c r="R18" s="1">
        <f t="shared" si="7"/>
        <v>16</v>
      </c>
      <c r="S18" s="1">
        <f t="shared" si="8"/>
        <v>14</v>
      </c>
      <c r="T18" s="1" t="str">
        <f t="shared" si="9"/>
        <v/>
      </c>
      <c r="U18" s="1" t="str">
        <f t="shared" si="10"/>
        <v/>
      </c>
      <c r="V18" s="1" t="str">
        <f t="shared" si="11"/>
        <v/>
      </c>
      <c r="W18" s="1" t="str">
        <f t="shared" si="12"/>
        <v/>
      </c>
      <c r="X18" s="15">
        <f t="shared" si="19"/>
        <v>30.096809850000003</v>
      </c>
      <c r="Y18" s="2" t="str">
        <f t="shared" si="13"/>
        <v>P</v>
      </c>
      <c r="Z18" s="2" t="str">
        <f t="shared" si="14"/>
        <v/>
      </c>
      <c r="AA18" s="15">
        <f t="shared" si="15"/>
        <v>30.096809850000003</v>
      </c>
      <c r="AB18" s="9">
        <f t="shared" si="16"/>
        <v>32</v>
      </c>
      <c r="AC18" s="9">
        <f t="shared" si="17"/>
        <v>0</v>
      </c>
      <c r="AD18" s="9">
        <f t="shared" si="18"/>
        <v>15</v>
      </c>
    </row>
    <row r="19" spans="1:30" x14ac:dyDescent="0.2">
      <c r="A19" s="7" t="s">
        <v>31</v>
      </c>
      <c r="B19" s="6" t="s">
        <v>19</v>
      </c>
      <c r="E19" s="3" t="str">
        <f t="shared" si="0"/>
        <v/>
      </c>
      <c r="F19" s="6">
        <v>17</v>
      </c>
      <c r="G19" s="6">
        <v>18</v>
      </c>
      <c r="H19" s="6"/>
      <c r="I19" s="6"/>
      <c r="J19" s="6"/>
      <c r="K19" s="6"/>
      <c r="L19" s="9">
        <f t="shared" si="1"/>
        <v>17</v>
      </c>
      <c r="M19" s="9">
        <f t="shared" si="2"/>
        <v>18</v>
      </c>
      <c r="N19" s="9" t="str">
        <f t="shared" si="3"/>
        <v/>
      </c>
      <c r="O19" s="9" t="str">
        <f t="shared" si="4"/>
        <v/>
      </c>
      <c r="P19" s="9" t="str">
        <f t="shared" si="5"/>
        <v/>
      </c>
      <c r="Q19" s="9" t="str">
        <f t="shared" si="6"/>
        <v/>
      </c>
      <c r="R19" s="1">
        <f t="shared" si="7"/>
        <v>14</v>
      </c>
      <c r="S19" s="1">
        <f t="shared" si="8"/>
        <v>13</v>
      </c>
      <c r="T19" s="1" t="str">
        <f t="shared" si="9"/>
        <v/>
      </c>
      <c r="U19" s="1" t="str">
        <f t="shared" si="10"/>
        <v/>
      </c>
      <c r="V19" s="1" t="str">
        <f t="shared" si="11"/>
        <v/>
      </c>
      <c r="W19" s="1" t="str">
        <f t="shared" si="12"/>
        <v/>
      </c>
      <c r="X19" s="15">
        <f t="shared" si="19"/>
        <v>27.096509829999999</v>
      </c>
      <c r="Y19" s="2" t="str">
        <f t="shared" si="13"/>
        <v/>
      </c>
      <c r="Z19" s="2" t="str">
        <f t="shared" si="14"/>
        <v/>
      </c>
      <c r="AA19" s="15" t="str">
        <f t="shared" si="15"/>
        <v/>
      </c>
      <c r="AB19" s="9">
        <f t="shared" si="16"/>
        <v>35</v>
      </c>
      <c r="AC19" s="9">
        <f t="shared" si="17"/>
        <v>0</v>
      </c>
      <c r="AD19" s="9">
        <f t="shared" si="18"/>
        <v>17</v>
      </c>
    </row>
    <row r="20" spans="1:30" x14ac:dyDescent="0.2">
      <c r="A20" s="7" t="s">
        <v>33</v>
      </c>
      <c r="B20" s="6" t="s">
        <v>25</v>
      </c>
      <c r="E20" s="3" t="str">
        <f t="shared" si="0"/>
        <v/>
      </c>
      <c r="F20" s="6">
        <v>19</v>
      </c>
      <c r="G20" s="6">
        <v>22</v>
      </c>
      <c r="H20" s="6"/>
      <c r="I20" s="6"/>
      <c r="J20" s="6"/>
      <c r="K20" s="6"/>
      <c r="L20" s="9">
        <f t="shared" si="1"/>
        <v>19</v>
      </c>
      <c r="M20" s="9">
        <f t="shared" si="2"/>
        <v>22</v>
      </c>
      <c r="N20" s="9" t="str">
        <f t="shared" si="3"/>
        <v/>
      </c>
      <c r="O20" s="9" t="str">
        <f t="shared" si="4"/>
        <v/>
      </c>
      <c r="P20" s="9" t="str">
        <f t="shared" si="5"/>
        <v/>
      </c>
      <c r="Q20" s="9" t="str">
        <f t="shared" si="6"/>
        <v/>
      </c>
      <c r="R20" s="1">
        <f t="shared" si="7"/>
        <v>12</v>
      </c>
      <c r="S20" s="1">
        <f t="shared" si="8"/>
        <v>9</v>
      </c>
      <c r="T20" s="1" t="str">
        <f t="shared" si="9"/>
        <v/>
      </c>
      <c r="U20" s="1" t="str">
        <f t="shared" si="10"/>
        <v/>
      </c>
      <c r="V20" s="1" t="str">
        <f t="shared" si="11"/>
        <v/>
      </c>
      <c r="W20" s="1" t="str">
        <f t="shared" si="12"/>
        <v/>
      </c>
      <c r="X20" s="15">
        <f t="shared" si="19"/>
        <v>21.095909810000002</v>
      </c>
      <c r="Y20" s="2" t="str">
        <f t="shared" si="13"/>
        <v/>
      </c>
      <c r="Z20" s="2" t="str">
        <f t="shared" si="14"/>
        <v/>
      </c>
      <c r="AA20" s="15" t="str">
        <f t="shared" si="15"/>
        <v/>
      </c>
      <c r="AB20" s="9">
        <f t="shared" si="16"/>
        <v>41</v>
      </c>
      <c r="AC20" s="9">
        <f t="shared" si="17"/>
        <v>0</v>
      </c>
      <c r="AD20" s="9">
        <f t="shared" si="18"/>
        <v>19</v>
      </c>
    </row>
    <row r="21" spans="1:30" x14ac:dyDescent="0.2">
      <c r="A21" s="7" t="s">
        <v>142</v>
      </c>
      <c r="B21" s="6" t="s">
        <v>16</v>
      </c>
      <c r="E21" s="3" t="str">
        <f t="shared" si="0"/>
        <v/>
      </c>
      <c r="F21" s="6">
        <v>55</v>
      </c>
      <c r="G21" s="6">
        <v>10</v>
      </c>
      <c r="H21" s="6"/>
      <c r="I21" s="6"/>
      <c r="J21" s="6"/>
      <c r="K21" s="6"/>
      <c r="L21" s="9">
        <f t="shared" si="1"/>
        <v>55</v>
      </c>
      <c r="M21" s="9">
        <f t="shared" si="2"/>
        <v>10</v>
      </c>
      <c r="N21" s="9" t="str">
        <f t="shared" si="3"/>
        <v/>
      </c>
      <c r="O21" s="9" t="str">
        <f t="shared" si="4"/>
        <v/>
      </c>
      <c r="P21" s="9" t="str">
        <f t="shared" si="5"/>
        <v/>
      </c>
      <c r="Q21" s="9" t="str">
        <f t="shared" si="6"/>
        <v/>
      </c>
      <c r="R21" s="1" t="str">
        <f t="shared" si="7"/>
        <v/>
      </c>
      <c r="S21" s="1">
        <f t="shared" si="8"/>
        <v>21</v>
      </c>
      <c r="T21" s="1" t="str">
        <f t="shared" si="9"/>
        <v/>
      </c>
      <c r="U21" s="1" t="str">
        <f t="shared" si="10"/>
        <v/>
      </c>
      <c r="V21" s="1" t="str">
        <f t="shared" si="11"/>
        <v/>
      </c>
      <c r="W21" s="1" t="str">
        <f t="shared" si="12"/>
        <v/>
      </c>
      <c r="X21" s="15">
        <f t="shared" si="19"/>
        <v>21.093509899999997</v>
      </c>
      <c r="Y21" s="2" t="str">
        <f t="shared" si="13"/>
        <v/>
      </c>
      <c r="Z21" s="2" t="str">
        <f t="shared" si="14"/>
        <v/>
      </c>
      <c r="AA21" s="15" t="str">
        <f t="shared" si="15"/>
        <v/>
      </c>
      <c r="AB21" s="9">
        <f t="shared" si="16"/>
        <v>65</v>
      </c>
      <c r="AC21" s="9">
        <f t="shared" si="17"/>
        <v>0</v>
      </c>
      <c r="AD21" s="9">
        <f t="shared" si="18"/>
        <v>10</v>
      </c>
    </row>
    <row r="22" spans="1:30" x14ac:dyDescent="0.2">
      <c r="A22" s="7" t="s">
        <v>22</v>
      </c>
      <c r="B22" s="6" t="s">
        <v>23</v>
      </c>
      <c r="E22" s="3">
        <f t="shared" si="0"/>
        <v>9</v>
      </c>
      <c r="F22" s="6">
        <v>10</v>
      </c>
      <c r="G22" s="6">
        <v>63</v>
      </c>
      <c r="H22" s="6"/>
      <c r="I22" s="6"/>
      <c r="J22" s="6"/>
      <c r="K22" s="6"/>
      <c r="L22" s="9">
        <f t="shared" si="1"/>
        <v>10</v>
      </c>
      <c r="M22" s="9">
        <f t="shared" si="2"/>
        <v>63</v>
      </c>
      <c r="N22" s="9" t="str">
        <f t="shared" si="3"/>
        <v/>
      </c>
      <c r="O22" s="9" t="str">
        <f t="shared" si="4"/>
        <v/>
      </c>
      <c r="P22" s="9" t="str">
        <f t="shared" si="5"/>
        <v/>
      </c>
      <c r="Q22" s="9" t="str">
        <f t="shared" si="6"/>
        <v/>
      </c>
      <c r="R22" s="1">
        <f t="shared" si="7"/>
        <v>21</v>
      </c>
      <c r="S22" s="1" t="str">
        <f t="shared" si="8"/>
        <v/>
      </c>
      <c r="T22" s="1" t="str">
        <f t="shared" si="9"/>
        <v/>
      </c>
      <c r="U22" s="1" t="str">
        <f t="shared" si="10"/>
        <v/>
      </c>
      <c r="V22" s="1" t="str">
        <f t="shared" si="11"/>
        <v/>
      </c>
      <c r="W22" s="1" t="str">
        <f t="shared" si="12"/>
        <v/>
      </c>
      <c r="X22" s="15">
        <f t="shared" si="19"/>
        <v>21.092709899999999</v>
      </c>
      <c r="Y22" s="2" t="str">
        <f t="shared" si="13"/>
        <v>P</v>
      </c>
      <c r="Z22" s="2" t="str">
        <f t="shared" si="14"/>
        <v/>
      </c>
      <c r="AA22" s="15">
        <f t="shared" si="15"/>
        <v>21.092709899999999</v>
      </c>
      <c r="AB22" s="9">
        <f t="shared" si="16"/>
        <v>73</v>
      </c>
      <c r="AC22" s="9">
        <f t="shared" si="17"/>
        <v>0</v>
      </c>
      <c r="AD22" s="9">
        <f t="shared" si="18"/>
        <v>10</v>
      </c>
    </row>
    <row r="23" spans="1:30" x14ac:dyDescent="0.2">
      <c r="A23" s="7" t="s">
        <v>26</v>
      </c>
      <c r="B23" s="6" t="s">
        <v>55</v>
      </c>
      <c r="E23" s="3">
        <f t="shared" si="0"/>
        <v>10</v>
      </c>
      <c r="F23" s="6">
        <v>12</v>
      </c>
      <c r="G23" s="6">
        <v>50</v>
      </c>
      <c r="H23" s="6"/>
      <c r="I23" s="6"/>
      <c r="J23" s="6"/>
      <c r="K23" s="6"/>
      <c r="L23" s="9">
        <f t="shared" si="1"/>
        <v>12</v>
      </c>
      <c r="M23" s="9">
        <f t="shared" si="2"/>
        <v>50</v>
      </c>
      <c r="N23" s="9" t="str">
        <f t="shared" si="3"/>
        <v/>
      </c>
      <c r="O23" s="9" t="str">
        <f t="shared" si="4"/>
        <v/>
      </c>
      <c r="P23" s="9" t="str">
        <f t="shared" si="5"/>
        <v/>
      </c>
      <c r="Q23" s="9" t="str">
        <f t="shared" si="6"/>
        <v/>
      </c>
      <c r="R23" s="1">
        <f t="shared" si="7"/>
        <v>19</v>
      </c>
      <c r="S23" s="1" t="str">
        <f t="shared" si="8"/>
        <v/>
      </c>
      <c r="T23" s="1" t="str">
        <f t="shared" si="9"/>
        <v/>
      </c>
      <c r="U23" s="1" t="str">
        <f t="shared" si="10"/>
        <v/>
      </c>
      <c r="V23" s="1" t="str">
        <f t="shared" si="11"/>
        <v/>
      </c>
      <c r="W23" s="1" t="str">
        <f t="shared" si="12"/>
        <v/>
      </c>
      <c r="X23" s="15">
        <f t="shared" si="19"/>
        <v>19.093809880000002</v>
      </c>
      <c r="Y23" s="2" t="str">
        <f t="shared" si="13"/>
        <v>P</v>
      </c>
      <c r="Z23" s="2" t="str">
        <f t="shared" si="14"/>
        <v/>
      </c>
      <c r="AA23" s="15">
        <f t="shared" si="15"/>
        <v>19.093809880000002</v>
      </c>
      <c r="AB23" s="9">
        <f t="shared" si="16"/>
        <v>62</v>
      </c>
      <c r="AC23" s="9">
        <f t="shared" si="17"/>
        <v>0</v>
      </c>
      <c r="AD23" s="9">
        <f t="shared" si="18"/>
        <v>12</v>
      </c>
    </row>
    <row r="24" spans="1:30" x14ac:dyDescent="0.2">
      <c r="A24" s="7" t="s">
        <v>30</v>
      </c>
      <c r="B24" s="6" t="s">
        <v>17</v>
      </c>
      <c r="E24" s="3" t="str">
        <f t="shared" si="0"/>
        <v/>
      </c>
      <c r="F24" s="6">
        <v>16</v>
      </c>
      <c r="G24" s="6">
        <v>28</v>
      </c>
      <c r="H24" s="6"/>
      <c r="I24" s="6"/>
      <c r="J24" s="6"/>
      <c r="K24" s="6"/>
      <c r="L24" s="9">
        <f t="shared" si="1"/>
        <v>16</v>
      </c>
      <c r="M24" s="9">
        <f t="shared" si="2"/>
        <v>28</v>
      </c>
      <c r="N24" s="9" t="str">
        <f t="shared" si="3"/>
        <v/>
      </c>
      <c r="O24" s="9" t="str">
        <f t="shared" si="4"/>
        <v/>
      </c>
      <c r="P24" s="9" t="str">
        <f t="shared" si="5"/>
        <v/>
      </c>
      <c r="Q24" s="9" t="str">
        <f t="shared" si="6"/>
        <v/>
      </c>
      <c r="R24" s="1">
        <f t="shared" si="7"/>
        <v>15</v>
      </c>
      <c r="S24" s="1">
        <f t="shared" si="8"/>
        <v>3</v>
      </c>
      <c r="T24" s="1" t="str">
        <f t="shared" si="9"/>
        <v/>
      </c>
      <c r="U24" s="1" t="str">
        <f t="shared" si="10"/>
        <v/>
      </c>
      <c r="V24" s="1" t="str">
        <f t="shared" si="11"/>
        <v/>
      </c>
      <c r="W24" s="1" t="str">
        <f t="shared" si="12"/>
        <v/>
      </c>
      <c r="X24" s="15">
        <f t="shared" si="19"/>
        <v>18.095609840000002</v>
      </c>
      <c r="Y24" s="2" t="str">
        <f t="shared" si="13"/>
        <v/>
      </c>
      <c r="Z24" s="2" t="str">
        <f t="shared" si="14"/>
        <v/>
      </c>
      <c r="AA24" s="15" t="str">
        <f t="shared" si="15"/>
        <v/>
      </c>
      <c r="AB24" s="9">
        <f t="shared" si="16"/>
        <v>44</v>
      </c>
      <c r="AC24" s="9">
        <f t="shared" si="17"/>
        <v>0</v>
      </c>
      <c r="AD24" s="9">
        <f t="shared" si="18"/>
        <v>16</v>
      </c>
    </row>
    <row r="25" spans="1:30" x14ac:dyDescent="0.2">
      <c r="A25" s="7" t="s">
        <v>143</v>
      </c>
      <c r="B25" s="6" t="s">
        <v>18</v>
      </c>
      <c r="E25" s="3" t="str">
        <f t="shared" si="0"/>
        <v/>
      </c>
      <c r="F25" s="6"/>
      <c r="G25" s="6">
        <v>14</v>
      </c>
      <c r="H25" s="6"/>
      <c r="I25" s="6"/>
      <c r="J25" s="6"/>
      <c r="K25" s="6"/>
      <c r="L25" s="9" t="str">
        <f t="shared" si="1"/>
        <v/>
      </c>
      <c r="M25" s="9">
        <f t="shared" si="2"/>
        <v>14</v>
      </c>
      <c r="N25" s="9" t="str">
        <f t="shared" si="3"/>
        <v/>
      </c>
      <c r="O25" s="9" t="str">
        <f t="shared" si="4"/>
        <v/>
      </c>
      <c r="P25" s="9" t="str">
        <f t="shared" si="5"/>
        <v/>
      </c>
      <c r="Q25" s="9" t="str">
        <f t="shared" si="6"/>
        <v/>
      </c>
      <c r="R25" s="1" t="str">
        <f t="shared" si="7"/>
        <v/>
      </c>
      <c r="S25" s="1">
        <f t="shared" si="8"/>
        <v>17</v>
      </c>
      <c r="T25" s="1" t="str">
        <f t="shared" si="9"/>
        <v/>
      </c>
      <c r="U25" s="1" t="str">
        <f t="shared" si="10"/>
        <v/>
      </c>
      <c r="V25" s="1" t="str">
        <f t="shared" si="11"/>
        <v/>
      </c>
      <c r="W25" s="1" t="str">
        <f t="shared" si="12"/>
        <v/>
      </c>
      <c r="X25" s="15">
        <f t="shared" si="19"/>
        <v>17.09860986</v>
      </c>
      <c r="Y25" s="2" t="str">
        <f t="shared" si="13"/>
        <v/>
      </c>
      <c r="Z25" s="2" t="str">
        <f t="shared" si="14"/>
        <v/>
      </c>
      <c r="AA25" s="15" t="str">
        <f t="shared" si="15"/>
        <v/>
      </c>
      <c r="AB25" s="9">
        <f t="shared" si="16"/>
        <v>14</v>
      </c>
      <c r="AC25" s="9">
        <f t="shared" si="17"/>
        <v>0</v>
      </c>
      <c r="AD25" s="9">
        <f t="shared" si="18"/>
        <v>14</v>
      </c>
    </row>
    <row r="26" spans="1:30" x14ac:dyDescent="0.2">
      <c r="A26" s="7" t="s">
        <v>28</v>
      </c>
      <c r="B26" s="6" t="s">
        <v>56</v>
      </c>
      <c r="E26" s="3">
        <f t="shared" si="0"/>
        <v>11</v>
      </c>
      <c r="F26" s="6">
        <v>14</v>
      </c>
      <c r="G26" s="6">
        <v>31</v>
      </c>
      <c r="H26" s="6"/>
      <c r="I26" s="6"/>
      <c r="J26" s="6"/>
      <c r="K26" s="6"/>
      <c r="L26" s="9">
        <f t="shared" si="1"/>
        <v>14</v>
      </c>
      <c r="M26" s="9">
        <f t="shared" si="2"/>
        <v>31</v>
      </c>
      <c r="N26" s="9" t="str">
        <f t="shared" si="3"/>
        <v/>
      </c>
      <c r="O26" s="9" t="str">
        <f t="shared" si="4"/>
        <v/>
      </c>
      <c r="P26" s="9" t="str">
        <f t="shared" si="5"/>
        <v/>
      </c>
      <c r="Q26" s="9" t="str">
        <f t="shared" si="6"/>
        <v/>
      </c>
      <c r="R26" s="1">
        <f t="shared" si="7"/>
        <v>17</v>
      </c>
      <c r="S26" s="1" t="str">
        <f t="shared" si="8"/>
        <v/>
      </c>
      <c r="T26" s="1" t="str">
        <f t="shared" si="9"/>
        <v/>
      </c>
      <c r="U26" s="1" t="str">
        <f t="shared" si="10"/>
        <v/>
      </c>
      <c r="V26" s="1" t="str">
        <f t="shared" si="11"/>
        <v/>
      </c>
      <c r="W26" s="1" t="str">
        <f t="shared" si="12"/>
        <v/>
      </c>
      <c r="X26" s="15">
        <f t="shared" si="19"/>
        <v>17.09550986</v>
      </c>
      <c r="Y26" s="2" t="str">
        <f t="shared" si="13"/>
        <v>P</v>
      </c>
      <c r="Z26" s="2" t="str">
        <f t="shared" si="14"/>
        <v/>
      </c>
      <c r="AA26" s="15">
        <f t="shared" si="15"/>
        <v>17.09550986</v>
      </c>
      <c r="AB26" s="9">
        <f t="shared" si="16"/>
        <v>45</v>
      </c>
      <c r="AC26" s="9">
        <f t="shared" si="17"/>
        <v>0</v>
      </c>
      <c r="AD26" s="9">
        <f t="shared" si="18"/>
        <v>14</v>
      </c>
    </row>
    <row r="27" spans="1:30" x14ac:dyDescent="0.2">
      <c r="A27" s="7" t="s">
        <v>48</v>
      </c>
      <c r="B27" s="6" t="s">
        <v>61</v>
      </c>
      <c r="E27" s="3">
        <f t="shared" si="0"/>
        <v>12</v>
      </c>
      <c r="F27" s="6">
        <v>34</v>
      </c>
      <c r="G27" s="6">
        <v>15</v>
      </c>
      <c r="H27" s="6"/>
      <c r="I27" s="6"/>
      <c r="J27" s="6"/>
      <c r="K27" s="6"/>
      <c r="L27" s="9">
        <f t="shared" si="1"/>
        <v>34</v>
      </c>
      <c r="M27" s="9">
        <f t="shared" si="2"/>
        <v>15</v>
      </c>
      <c r="N27" s="9" t="str">
        <f t="shared" si="3"/>
        <v/>
      </c>
      <c r="O27" s="9" t="str">
        <f t="shared" si="4"/>
        <v/>
      </c>
      <c r="P27" s="9" t="str">
        <f t="shared" si="5"/>
        <v/>
      </c>
      <c r="Q27" s="9" t="str">
        <f t="shared" si="6"/>
        <v/>
      </c>
      <c r="R27" s="1" t="str">
        <f t="shared" si="7"/>
        <v/>
      </c>
      <c r="S27" s="1">
        <f t="shared" si="8"/>
        <v>16</v>
      </c>
      <c r="T27" s="1" t="str">
        <f t="shared" si="9"/>
        <v/>
      </c>
      <c r="U27" s="1" t="str">
        <f t="shared" si="10"/>
        <v/>
      </c>
      <c r="V27" s="1" t="str">
        <f t="shared" si="11"/>
        <v/>
      </c>
      <c r="W27" s="1" t="str">
        <f t="shared" si="12"/>
        <v/>
      </c>
      <c r="X27" s="15">
        <f t="shared" si="19"/>
        <v>16.09510985</v>
      </c>
      <c r="Y27" s="2" t="str">
        <f t="shared" si="13"/>
        <v>P</v>
      </c>
      <c r="Z27" s="2" t="str">
        <f t="shared" si="14"/>
        <v/>
      </c>
      <c r="AA27" s="15">
        <f t="shared" si="15"/>
        <v>16.09510985</v>
      </c>
      <c r="AB27" s="9">
        <f t="shared" si="16"/>
        <v>49</v>
      </c>
      <c r="AC27" s="9">
        <f t="shared" si="17"/>
        <v>0</v>
      </c>
      <c r="AD27" s="9">
        <f t="shared" si="18"/>
        <v>15</v>
      </c>
    </row>
    <row r="28" spans="1:30" x14ac:dyDescent="0.2">
      <c r="A28" s="7" t="s">
        <v>144</v>
      </c>
      <c r="B28" s="6" t="s">
        <v>53</v>
      </c>
      <c r="E28" s="3">
        <f t="shared" si="0"/>
        <v>13</v>
      </c>
      <c r="F28" s="6">
        <v>57</v>
      </c>
      <c r="G28" s="6">
        <v>16</v>
      </c>
      <c r="H28" s="6"/>
      <c r="I28" s="6"/>
      <c r="J28" s="6"/>
      <c r="K28" s="6"/>
      <c r="L28" s="9">
        <f t="shared" si="1"/>
        <v>57</v>
      </c>
      <c r="M28" s="9">
        <f t="shared" si="2"/>
        <v>16</v>
      </c>
      <c r="N28" s="9" t="str">
        <f t="shared" si="3"/>
        <v/>
      </c>
      <c r="O28" s="9" t="str">
        <f t="shared" si="4"/>
        <v/>
      </c>
      <c r="P28" s="9" t="str">
        <f t="shared" si="5"/>
        <v/>
      </c>
      <c r="Q28" s="9" t="str">
        <f t="shared" si="6"/>
        <v/>
      </c>
      <c r="R28" s="1" t="str">
        <f t="shared" si="7"/>
        <v/>
      </c>
      <c r="S28" s="1">
        <f t="shared" si="8"/>
        <v>15</v>
      </c>
      <c r="T28" s="1" t="str">
        <f t="shared" si="9"/>
        <v/>
      </c>
      <c r="U28" s="1" t="str">
        <f t="shared" si="10"/>
        <v/>
      </c>
      <c r="V28" s="1" t="str">
        <f t="shared" si="11"/>
        <v/>
      </c>
      <c r="W28" s="1" t="str">
        <f t="shared" si="12"/>
        <v/>
      </c>
      <c r="X28" s="15">
        <f t="shared" si="19"/>
        <v>15.092709840000001</v>
      </c>
      <c r="Y28" s="2" t="str">
        <f t="shared" si="13"/>
        <v>P</v>
      </c>
      <c r="Z28" s="2" t="str">
        <f t="shared" si="14"/>
        <v/>
      </c>
      <c r="AA28" s="15">
        <f t="shared" si="15"/>
        <v>15.092709840000001</v>
      </c>
      <c r="AB28" s="9">
        <f t="shared" si="16"/>
        <v>73</v>
      </c>
      <c r="AC28" s="9">
        <f t="shared" si="17"/>
        <v>0</v>
      </c>
      <c r="AD28" s="9">
        <f t="shared" si="18"/>
        <v>16</v>
      </c>
    </row>
    <row r="29" spans="1:30" x14ac:dyDescent="0.2">
      <c r="A29" s="7" t="s">
        <v>40</v>
      </c>
      <c r="B29" s="6" t="s">
        <v>59</v>
      </c>
      <c r="E29" s="3">
        <f t="shared" si="0"/>
        <v>14</v>
      </c>
      <c r="F29" s="6">
        <v>26</v>
      </c>
      <c r="G29" s="6">
        <v>24</v>
      </c>
      <c r="H29" s="6"/>
      <c r="I29" s="6"/>
      <c r="J29" s="6"/>
      <c r="K29" s="6"/>
      <c r="L29" s="9">
        <f t="shared" si="1"/>
        <v>26</v>
      </c>
      <c r="M29" s="9">
        <f t="shared" si="2"/>
        <v>24</v>
      </c>
      <c r="N29" s="9" t="str">
        <f t="shared" si="3"/>
        <v/>
      </c>
      <c r="O29" s="9" t="str">
        <f t="shared" si="4"/>
        <v/>
      </c>
      <c r="P29" s="9" t="str">
        <f t="shared" si="5"/>
        <v/>
      </c>
      <c r="Q29" s="9" t="str">
        <f t="shared" si="6"/>
        <v/>
      </c>
      <c r="R29" s="1">
        <f t="shared" si="7"/>
        <v>5</v>
      </c>
      <c r="S29" s="1">
        <f t="shared" si="8"/>
        <v>7</v>
      </c>
      <c r="T29" s="1" t="str">
        <f t="shared" si="9"/>
        <v/>
      </c>
      <c r="U29" s="1" t="str">
        <f t="shared" si="10"/>
        <v/>
      </c>
      <c r="V29" s="1" t="str">
        <f t="shared" si="11"/>
        <v/>
      </c>
      <c r="W29" s="1" t="str">
        <f t="shared" si="12"/>
        <v/>
      </c>
      <c r="X29" s="15">
        <f t="shared" si="19"/>
        <v>12.09500976</v>
      </c>
      <c r="Y29" s="2" t="str">
        <f t="shared" si="13"/>
        <v>P</v>
      </c>
      <c r="Z29" s="2" t="str">
        <f t="shared" si="14"/>
        <v/>
      </c>
      <c r="AA29" s="15">
        <f t="shared" si="15"/>
        <v>12.09500976</v>
      </c>
      <c r="AB29" s="9">
        <f t="shared" si="16"/>
        <v>50</v>
      </c>
      <c r="AC29" s="9">
        <f t="shared" si="17"/>
        <v>0</v>
      </c>
      <c r="AD29" s="9">
        <f t="shared" si="18"/>
        <v>24</v>
      </c>
    </row>
    <row r="30" spans="1:30" x14ac:dyDescent="0.2">
      <c r="A30" s="7" t="s">
        <v>46</v>
      </c>
      <c r="B30" s="6" t="s">
        <v>61</v>
      </c>
      <c r="E30" s="3" t="str">
        <f t="shared" si="0"/>
        <v/>
      </c>
      <c r="F30" s="6">
        <v>32</v>
      </c>
      <c r="G30" s="6">
        <v>19</v>
      </c>
      <c r="H30" s="6"/>
      <c r="I30" s="6"/>
      <c r="J30" s="6"/>
      <c r="K30" s="6"/>
      <c r="L30" s="9">
        <f t="shared" si="1"/>
        <v>32</v>
      </c>
      <c r="M30" s="9">
        <f t="shared" si="2"/>
        <v>19</v>
      </c>
      <c r="N30" s="9" t="str">
        <f t="shared" si="3"/>
        <v/>
      </c>
      <c r="O30" s="9" t="str">
        <f t="shared" si="4"/>
        <v/>
      </c>
      <c r="P30" s="9" t="str">
        <f t="shared" si="5"/>
        <v/>
      </c>
      <c r="Q30" s="9" t="str">
        <f t="shared" si="6"/>
        <v/>
      </c>
      <c r="R30" s="1" t="str">
        <f t="shared" si="7"/>
        <v/>
      </c>
      <c r="S30" s="1">
        <f t="shared" si="8"/>
        <v>12</v>
      </c>
      <c r="T30" s="1" t="str">
        <f t="shared" si="9"/>
        <v/>
      </c>
      <c r="U30" s="1" t="str">
        <f t="shared" si="10"/>
        <v/>
      </c>
      <c r="V30" s="1" t="str">
        <f t="shared" si="11"/>
        <v/>
      </c>
      <c r="W30" s="1" t="str">
        <f t="shared" si="12"/>
        <v/>
      </c>
      <c r="X30" s="15">
        <f t="shared" si="19"/>
        <v>12.094909810000001</v>
      </c>
      <c r="Y30" s="2" t="str">
        <f t="shared" si="13"/>
        <v/>
      </c>
      <c r="Z30" s="2" t="str">
        <f t="shared" si="14"/>
        <v/>
      </c>
      <c r="AA30" s="15" t="str">
        <f t="shared" si="15"/>
        <v/>
      </c>
      <c r="AB30" s="9">
        <f t="shared" si="16"/>
        <v>51</v>
      </c>
      <c r="AC30" s="9">
        <f t="shared" si="17"/>
        <v>0</v>
      </c>
      <c r="AD30" s="9">
        <f t="shared" si="18"/>
        <v>19</v>
      </c>
    </row>
    <row r="31" spans="1:30" x14ac:dyDescent="0.2">
      <c r="A31" s="7" t="s">
        <v>145</v>
      </c>
      <c r="B31" s="6" t="s">
        <v>61</v>
      </c>
      <c r="E31" s="3" t="str">
        <f t="shared" si="0"/>
        <v/>
      </c>
      <c r="F31" s="6">
        <v>41</v>
      </c>
      <c r="G31" s="6">
        <v>20</v>
      </c>
      <c r="H31" s="6"/>
      <c r="I31" s="6"/>
      <c r="J31" s="6"/>
      <c r="K31" s="6"/>
      <c r="L31" s="9">
        <f t="shared" si="1"/>
        <v>41</v>
      </c>
      <c r="M31" s="9">
        <f t="shared" si="2"/>
        <v>20</v>
      </c>
      <c r="N31" s="9" t="str">
        <f t="shared" si="3"/>
        <v/>
      </c>
      <c r="O31" s="9" t="str">
        <f t="shared" si="4"/>
        <v/>
      </c>
      <c r="P31" s="9" t="str">
        <f t="shared" si="5"/>
        <v/>
      </c>
      <c r="Q31" s="9" t="str">
        <f t="shared" si="6"/>
        <v/>
      </c>
      <c r="R31" s="1" t="str">
        <f t="shared" si="7"/>
        <v/>
      </c>
      <c r="S31" s="1">
        <f t="shared" si="8"/>
        <v>11</v>
      </c>
      <c r="T31" s="1" t="str">
        <f t="shared" si="9"/>
        <v/>
      </c>
      <c r="U31" s="1" t="str">
        <f t="shared" si="10"/>
        <v/>
      </c>
      <c r="V31" s="1" t="str">
        <f t="shared" si="11"/>
        <v/>
      </c>
      <c r="W31" s="1" t="str">
        <f t="shared" si="12"/>
        <v/>
      </c>
      <c r="X31" s="15">
        <f t="shared" si="19"/>
        <v>11.0939098</v>
      </c>
      <c r="Y31" s="2" t="str">
        <f t="shared" si="13"/>
        <v/>
      </c>
      <c r="Z31" s="2" t="str">
        <f t="shared" si="14"/>
        <v/>
      </c>
      <c r="AA31" s="15" t="str">
        <f t="shared" si="15"/>
        <v/>
      </c>
      <c r="AB31" s="9">
        <f t="shared" si="16"/>
        <v>61</v>
      </c>
      <c r="AC31" s="9">
        <f t="shared" si="17"/>
        <v>0</v>
      </c>
      <c r="AD31" s="9">
        <f t="shared" si="18"/>
        <v>20</v>
      </c>
    </row>
    <row r="32" spans="1:30" x14ac:dyDescent="0.2">
      <c r="A32" s="7" t="s">
        <v>47</v>
      </c>
      <c r="B32" s="6" t="s">
        <v>17</v>
      </c>
      <c r="E32" s="3" t="str">
        <f t="shared" si="0"/>
        <v/>
      </c>
      <c r="F32" s="6">
        <v>33</v>
      </c>
      <c r="G32" s="6">
        <v>21</v>
      </c>
      <c r="H32" s="6"/>
      <c r="I32" s="6"/>
      <c r="J32" s="6"/>
      <c r="K32" s="6"/>
      <c r="L32" s="9">
        <f t="shared" si="1"/>
        <v>33</v>
      </c>
      <c r="M32" s="9">
        <f t="shared" si="2"/>
        <v>21</v>
      </c>
      <c r="N32" s="9" t="str">
        <f t="shared" si="3"/>
        <v/>
      </c>
      <c r="O32" s="9" t="str">
        <f t="shared" si="4"/>
        <v/>
      </c>
      <c r="P32" s="9" t="str">
        <f t="shared" si="5"/>
        <v/>
      </c>
      <c r="Q32" s="9" t="str">
        <f t="shared" si="6"/>
        <v/>
      </c>
      <c r="R32" s="1" t="str">
        <f t="shared" si="7"/>
        <v/>
      </c>
      <c r="S32" s="1">
        <f t="shared" si="8"/>
        <v>10</v>
      </c>
      <c r="T32" s="1" t="str">
        <f t="shared" si="9"/>
        <v/>
      </c>
      <c r="U32" s="1" t="str">
        <f t="shared" si="10"/>
        <v/>
      </c>
      <c r="V32" s="1" t="str">
        <f t="shared" si="11"/>
        <v/>
      </c>
      <c r="W32" s="1" t="str">
        <f t="shared" si="12"/>
        <v/>
      </c>
      <c r="X32" s="15">
        <f t="shared" si="19"/>
        <v>10.09460979</v>
      </c>
      <c r="Y32" s="2" t="str">
        <f t="shared" si="13"/>
        <v/>
      </c>
      <c r="Z32" s="2" t="str">
        <f t="shared" si="14"/>
        <v/>
      </c>
      <c r="AA32" s="15" t="str">
        <f t="shared" si="15"/>
        <v/>
      </c>
      <c r="AB32" s="9">
        <f t="shared" si="16"/>
        <v>54</v>
      </c>
      <c r="AC32" s="9">
        <f t="shared" si="17"/>
        <v>0</v>
      </c>
      <c r="AD32" s="9">
        <f t="shared" si="18"/>
        <v>21</v>
      </c>
    </row>
    <row r="33" spans="1:30" x14ac:dyDescent="0.2">
      <c r="A33" s="7" t="s">
        <v>35</v>
      </c>
      <c r="B33" s="6" t="s">
        <v>57</v>
      </c>
      <c r="E33" s="3" t="str">
        <f t="shared" si="0"/>
        <v/>
      </c>
      <c r="F33" s="6">
        <v>21</v>
      </c>
      <c r="G33" s="6">
        <v>65</v>
      </c>
      <c r="H33" s="6"/>
      <c r="I33" s="6"/>
      <c r="J33" s="6"/>
      <c r="K33" s="6"/>
      <c r="L33" s="9">
        <f t="shared" si="1"/>
        <v>21</v>
      </c>
      <c r="M33" s="9">
        <f t="shared" si="2"/>
        <v>65</v>
      </c>
      <c r="N33" s="9" t="str">
        <f t="shared" si="3"/>
        <v/>
      </c>
      <c r="O33" s="9" t="str">
        <f t="shared" si="4"/>
        <v/>
      </c>
      <c r="P33" s="9" t="str">
        <f t="shared" si="5"/>
        <v/>
      </c>
      <c r="Q33" s="9" t="str">
        <f t="shared" si="6"/>
        <v/>
      </c>
      <c r="R33" s="1">
        <f t="shared" si="7"/>
        <v>10</v>
      </c>
      <c r="S33" s="1" t="str">
        <f t="shared" si="8"/>
        <v/>
      </c>
      <c r="T33" s="1" t="str">
        <f t="shared" si="9"/>
        <v/>
      </c>
      <c r="U33" s="1" t="str">
        <f t="shared" si="10"/>
        <v/>
      </c>
      <c r="V33" s="1" t="str">
        <f t="shared" si="11"/>
        <v/>
      </c>
      <c r="W33" s="1" t="str">
        <f t="shared" si="12"/>
        <v/>
      </c>
      <c r="X33" s="15">
        <f t="shared" si="19"/>
        <v>10.09140979</v>
      </c>
      <c r="Y33" s="2" t="str">
        <f t="shared" si="13"/>
        <v/>
      </c>
      <c r="Z33" s="2" t="str">
        <f t="shared" si="14"/>
        <v/>
      </c>
      <c r="AA33" s="15" t="str">
        <f t="shared" si="15"/>
        <v/>
      </c>
      <c r="AB33" s="9">
        <f t="shared" si="16"/>
        <v>86</v>
      </c>
      <c r="AC33" s="9">
        <f t="shared" si="17"/>
        <v>0</v>
      </c>
      <c r="AD33" s="9">
        <f t="shared" si="18"/>
        <v>21</v>
      </c>
    </row>
    <row r="34" spans="1:30" x14ac:dyDescent="0.2">
      <c r="A34" s="7" t="s">
        <v>36</v>
      </c>
      <c r="B34" s="6" t="s">
        <v>19</v>
      </c>
      <c r="E34" s="3" t="str">
        <f t="shared" si="0"/>
        <v/>
      </c>
      <c r="F34" s="6">
        <v>22</v>
      </c>
      <c r="G34" s="6"/>
      <c r="H34" s="6"/>
      <c r="I34" s="6"/>
      <c r="J34" s="6"/>
      <c r="K34" s="6"/>
      <c r="L34" s="9">
        <f t="shared" si="1"/>
        <v>22</v>
      </c>
      <c r="M34" s="9" t="str">
        <f t="shared" si="2"/>
        <v/>
      </c>
      <c r="N34" s="9" t="str">
        <f t="shared" si="3"/>
        <v/>
      </c>
      <c r="O34" s="9" t="str">
        <f t="shared" si="4"/>
        <v/>
      </c>
      <c r="P34" s="9" t="str">
        <f t="shared" si="5"/>
        <v/>
      </c>
      <c r="Q34" s="9" t="str">
        <f t="shared" si="6"/>
        <v/>
      </c>
      <c r="R34" s="1">
        <f t="shared" si="7"/>
        <v>9</v>
      </c>
      <c r="S34" s="1" t="str">
        <f t="shared" si="8"/>
        <v/>
      </c>
      <c r="T34" s="1" t="str">
        <f t="shared" si="9"/>
        <v/>
      </c>
      <c r="U34" s="1" t="str">
        <f t="shared" si="10"/>
        <v/>
      </c>
      <c r="V34" s="1" t="str">
        <f t="shared" si="11"/>
        <v/>
      </c>
      <c r="W34" s="1" t="str">
        <f t="shared" si="12"/>
        <v/>
      </c>
      <c r="X34" s="15">
        <f t="shared" si="19"/>
        <v>9.0978097799999986</v>
      </c>
      <c r="Y34" s="2" t="str">
        <f t="shared" si="13"/>
        <v/>
      </c>
      <c r="Z34" s="2" t="str">
        <f t="shared" si="14"/>
        <v/>
      </c>
      <c r="AA34" s="15" t="str">
        <f t="shared" si="15"/>
        <v/>
      </c>
      <c r="AB34" s="9">
        <f t="shared" si="16"/>
        <v>22</v>
      </c>
      <c r="AC34" s="9">
        <f t="shared" si="17"/>
        <v>0</v>
      </c>
      <c r="AD34" s="9">
        <f t="shared" si="18"/>
        <v>22</v>
      </c>
    </row>
    <row r="35" spans="1:30" x14ac:dyDescent="0.2">
      <c r="A35" s="7" t="s">
        <v>37</v>
      </c>
      <c r="B35" s="6" t="s">
        <v>59</v>
      </c>
      <c r="E35" s="3" t="str">
        <f t="shared" ref="E35:E53" si="20">IF(AA35="","",RANK(AA35,AA:AA))</f>
        <v/>
      </c>
      <c r="F35" s="6">
        <v>23</v>
      </c>
      <c r="G35" s="6">
        <v>30</v>
      </c>
      <c r="H35" s="6"/>
      <c r="I35" s="6"/>
      <c r="J35" s="6"/>
      <c r="K35" s="6"/>
      <c r="L35" s="9">
        <f t="shared" ref="L35:L53" si="21">IF(OR($C35&lt;&gt;"",$D35&lt;&gt;"",F35=""),"",F35-SUMPRODUCT(--($C$3:$C$102="P"),--(F$3:F$102&lt;F35),--(F$3:F$102&lt;&gt;""))-SUMPRODUCT(--($D$3:$D$102="P"),--(F$3:F$102&lt;F35),--(F$3:F$102&lt;&gt;"")))</f>
        <v>23</v>
      </c>
      <c r="M35" s="9">
        <f t="shared" ref="M35:M53" si="22">IF(OR($C35&lt;&gt;"",$D35&lt;&gt;"",G35=""),"",G35-SUMPRODUCT(--($C$3:$C$102="P"),--(G$3:G$102&lt;G35),--(G$3:G$102&lt;&gt;""))-SUMPRODUCT(--($D$3:$D$102="P"),--(G$3:G$102&lt;G35),--(G$3:G$102&lt;&gt;"")))</f>
        <v>30</v>
      </c>
      <c r="N35" s="9" t="str">
        <f t="shared" ref="N35:N53" si="23">IF(OR($C35&lt;&gt;"",$D35&lt;&gt;"",H35=""),"",H35-SUMPRODUCT(--($C$3:$C$102="P"),--(H$3:H$102&lt;H35),--(H$3:H$102&lt;&gt;""))-SUMPRODUCT(--($D$3:$D$102="P"),--(H$3:H$102&lt;H35),--(H$3:H$102&lt;&gt;"")))</f>
        <v/>
      </c>
      <c r="O35" s="9" t="str">
        <f t="shared" ref="O35:O53" si="24">IF(OR($C35&lt;&gt;"",$D35&lt;&gt;"",I35=""),"",I35-SUMPRODUCT(--($C$3:$C$102="P"),--(I$3:I$102&lt;I35),--(I$3:I$102&lt;&gt;""))-SUMPRODUCT(--($D$3:$D$102="P"),--(I$3:I$102&lt;I35),--(I$3:I$102&lt;&gt;"")))</f>
        <v/>
      </c>
      <c r="P35" s="9" t="str">
        <f t="shared" ref="P35:P53" si="25">IF(OR($C35&lt;&gt;"",$D35&lt;&gt;"",J35=""),"",J35-SUMPRODUCT(--($C$3:$C$102="P"),--(J$3:J$102&lt;J35),--(J$3:J$102&lt;&gt;""))-SUMPRODUCT(--($D$3:$D$102="P"),--(J$3:J$102&lt;J35),--(J$3:J$102&lt;&gt;"")))</f>
        <v/>
      </c>
      <c r="Q35" s="9" t="str">
        <f t="shared" ref="Q35:Q53" si="26">IF(OR($C35&lt;&gt;"",$D35&lt;&gt;"",K35=""),"",K35-SUMPRODUCT(--($C$3:$C$102="P"),--(K$3:K$102&lt;K35),--(K$3:K$102&lt;&gt;""))-SUMPRODUCT(--($D$3:$D$102="P"),--(K$3:K$102&lt;K35),--(K$3:K$102&lt;&gt;"")))</f>
        <v/>
      </c>
      <c r="R35" s="1">
        <f t="shared" ref="R35:R53" si="27">IF(OR(L35="",L35&gt;30),"",IF(L35=1,60,IF(L35=2,55,IF(L35=3,50,IF(L35=4,44,IF(L35=5,38,IF(L35=6,32,IF(L35=7,28,IF(L35=8,25,IF(L35=9,22,IF(L35=10,21,IF(L35=11,20,IF(L35=12,19,IF(L35=13,18,IF(L35=14,17,IF(L35=15,16,IF(L35=16,15,IF(L35=17,14,IF(L35=18,13,IF(L35=19,12,IF(L35=20,11,IF(L35=21,10,IF(L35=22,9,IF(L35=23,8,IF(L35=24,7,IF(L35=25,6,IF(L35=26,5,IF(L35=27,4,IF(L35=28,3,IF(L35=29,2,IF(L35=30,1)))))))))))))))))))))))))))))))</f>
        <v>8</v>
      </c>
      <c r="S35" s="1">
        <f t="shared" ref="S35:S53" si="28">IF(OR(M35="",M35&gt;30),"",IF(M35=1,60,IF(M35=2,55,IF(M35=3,50,IF(M35=4,44,IF(M35=5,38,IF(M35=6,32,IF(M35=7,28,IF(M35=8,25,IF(M35=9,22,IF(M35=10,21,IF(M35=11,20,IF(M35=12,19,IF(M35=13,18,IF(M35=14,17,IF(M35=15,16,IF(M35=16,15,IF(M35=17,14,IF(M35=18,13,IF(M35=19,12,IF(M35=20,11,IF(M35=21,10,IF(M35=22,9,IF(M35=23,8,IF(M35=24,7,IF(M35=25,6,IF(M35=26,5,IF(M35=27,4,IF(M35=28,3,IF(M35=29,2,IF(M35=30,1)))))))))))))))))))))))))))))))</f>
        <v>1</v>
      </c>
      <c r="T35" s="1" t="str">
        <f t="shared" ref="T35:T53" si="29">IF(OR(N35="",N35&gt;30),"",IF(N35=1,60,IF(N35=2,55,IF(N35=3,50,IF(N35=4,44,IF(N35=5,38,IF(N35=6,32,IF(N35=7,28,IF(N35=8,25,IF(N35=9,22,IF(N35=10,21,IF(N35=11,20,IF(N35=12,19,IF(N35=13,18,IF(N35=14,17,IF(N35=15,16,IF(N35=16,15,IF(N35=17,14,IF(N35=18,13,IF(N35=19,12,IF(N35=20,11,IF(N35=21,10,IF(N35=22,9,IF(N35=23,8,IF(N35=24,7,IF(N35=25,6,IF(N35=26,5,IF(N35=27,4,IF(N35=28,3,IF(N35=29,2,IF(N35=30,1)))))))))))))))))))))))))))))))</f>
        <v/>
      </c>
      <c r="U35" s="1" t="str">
        <f t="shared" ref="U35:U53" si="30">IF(OR(O35="",O35&gt;30),"",IF(O35=1,60,IF(O35=2,55,IF(O35=3,50,IF(O35=4,44,IF(O35=5,38,IF(O35=6,32,IF(O35=7,28,IF(O35=8,25,IF(O35=9,22,IF(O35=10,21,IF(O35=11,20,IF(O35=12,19,IF(O35=13,18,IF(O35=14,17,IF(O35=15,16,IF(O35=16,15,IF(O35=17,14,IF(O35=18,13,IF(O35=19,12,IF(O35=20,11,IF(O35=21,10,IF(O35=22,9,IF(O35=23,8,IF(O35=24,7,IF(O35=25,6,IF(O35=26,5,IF(O35=27,4,IF(O35=28,3,IF(O35=29,2,IF(O35=30,1)))))))))))))))))))))))))))))))</f>
        <v/>
      </c>
      <c r="V35" s="1" t="str">
        <f t="shared" ref="V35:V53" si="31">IF(OR(P35="",P35&gt;30),"",IF(P35=1,60,IF(P35=2,55,IF(P35=3,50,IF(P35=4,44,IF(P35=5,38,IF(P35=6,32,IF(P35=7,28,IF(P35=8,25,IF(P35=9,22,IF(P35=10,21,IF(P35=11,20,IF(P35=12,19,IF(P35=13,18,IF(P35=14,17,IF(P35=15,16,IF(P35=16,15,IF(P35=17,14,IF(P35=18,13,IF(P35=19,12,IF(P35=20,11,IF(P35=21,10,IF(P35=22,9,IF(P35=23,8,IF(P35=24,7,IF(P35=25,6,IF(P35=26,5,IF(P35=27,4,IF(P35=28,3,IF(P35=29,2,IF(P35=30,1)))))))))))))))))))))))))))))))</f>
        <v/>
      </c>
      <c r="W35" s="1" t="str">
        <f t="shared" ref="W35:W53" si="32">IF(OR(Q35="",Q35&gt;30),"",IF(Q35=1,60,IF(Q35=2,55,IF(Q35=3,50,IF(Q35=4,44,IF(Q35=5,38,IF(Q35=6,32,IF(Q35=7,28,IF(Q35=8,25,IF(Q35=9,22,IF(Q35=10,21,IF(Q35=11,20,IF(Q35=12,19,IF(Q35=13,18,IF(Q35=14,17,IF(Q35=15,16,IF(Q35=16,15,IF(Q35=17,14,IF(Q35=18,13,IF(Q35=19,12,IF(Q35=20,11,IF(Q35=21,10,IF(Q35=22,9,IF(Q35=23,8,IF(Q35=24,7,IF(Q35=25,6,IF(Q35=26,5,IF(Q35=27,4,IF(Q35=28,3,IF(Q35=29,2,IF(Q35=30,1)))))))))))))))))))))))))))))))</f>
        <v/>
      </c>
      <c r="X35" s="15">
        <f t="shared" si="19"/>
        <v>9.0947097699999997</v>
      </c>
      <c r="Y35" s="2" t="str">
        <f t="shared" ref="Y35:Y53" si="33">IF(OR(X35="",X35=0),"",IF(SUMPRODUCT(--(B$3:B$102=B35),--(X$3:X$102&gt;X35),--(X$3:X$102&lt;&gt;"")),"","P"))</f>
        <v/>
      </c>
      <c r="Z35" s="2" t="str">
        <f t="shared" ref="Z35:Z53" si="34">IF(X35="","",IF(SUMPRODUCT(--(C$3:C$102="P"),--(B$3:B$102=B35)),"P",""))</f>
        <v/>
      </c>
      <c r="AA35" s="15" t="str">
        <f t="shared" ref="AA35:AA53" si="35">IF(AND(Y35&lt;&gt;"",OR(Z35="",SUMPRODUCT(--(X$3:X$102&gt;X35),--(Z$3:Z$102="P"),--(Y$3:Y$102="P"))&lt;4)),X35,"")</f>
        <v/>
      </c>
      <c r="AB35" s="9">
        <f t="shared" ref="AB35:AB53" si="36">IF(A35="","",IF(OR(C35="P",D35="P"),"",IF(IF(COUNT(L35:Q35)&lt;5,SUM(L35:Q35),IF(COUNT(L35:Q35)=5,SUM(L35:Q35)-MIN(L35:Q35),SUM(L35:Q35)-MIN(L35:Q35)-SMALL(L35:Q35,2)))&gt;0,IF(COUNT(L35:Q35)&lt;5,SUM(L35:Q35),IF(COUNT(L35:Q35)=5,SUM(L35:Q35)-MIN(L35:Q35),SUM(L35:Q35)-MIN(L35:Q35)-SMALL(L35:Q35,2))),0)))</f>
        <v>53</v>
      </c>
      <c r="AC35" s="9">
        <f t="shared" ref="AC35:AC53" si="37">COUNTIF(L35:Q35,"&lt;=8")</f>
        <v>0</v>
      </c>
      <c r="AD35" s="9">
        <f t="shared" ref="AD35:AD53" si="38">MIN(L35:Q35)</f>
        <v>23</v>
      </c>
    </row>
    <row r="36" spans="1:30" x14ac:dyDescent="0.2">
      <c r="A36" s="7" t="s">
        <v>42</v>
      </c>
      <c r="B36" s="6" t="s">
        <v>60</v>
      </c>
      <c r="E36" s="3">
        <f t="shared" si="20"/>
        <v>15</v>
      </c>
      <c r="F36" s="6">
        <v>28</v>
      </c>
      <c r="G36" s="6">
        <v>26</v>
      </c>
      <c r="H36" s="6"/>
      <c r="I36" s="6"/>
      <c r="J36" s="6"/>
      <c r="K36" s="6"/>
      <c r="L36" s="9">
        <f t="shared" si="21"/>
        <v>28</v>
      </c>
      <c r="M36" s="9">
        <f t="shared" si="22"/>
        <v>26</v>
      </c>
      <c r="N36" s="9" t="str">
        <f t="shared" si="23"/>
        <v/>
      </c>
      <c r="O36" s="9" t="str">
        <f t="shared" si="24"/>
        <v/>
      </c>
      <c r="P36" s="9" t="str">
        <f t="shared" si="25"/>
        <v/>
      </c>
      <c r="Q36" s="9" t="str">
        <f t="shared" si="26"/>
        <v/>
      </c>
      <c r="R36" s="1">
        <f t="shared" si="27"/>
        <v>3</v>
      </c>
      <c r="S36" s="1">
        <f t="shared" si="28"/>
        <v>5</v>
      </c>
      <c r="T36" s="1" t="str">
        <f t="shared" si="29"/>
        <v/>
      </c>
      <c r="U36" s="1" t="str">
        <f t="shared" si="30"/>
        <v/>
      </c>
      <c r="V36" s="1" t="str">
        <f t="shared" si="31"/>
        <v/>
      </c>
      <c r="W36" s="1" t="str">
        <f t="shared" si="32"/>
        <v/>
      </c>
      <c r="X36" s="15">
        <f t="shared" si="19"/>
        <v>8.0946097399999992</v>
      </c>
      <c r="Y36" s="2" t="str">
        <f t="shared" si="33"/>
        <v>P</v>
      </c>
      <c r="Z36" s="2" t="str">
        <f t="shared" si="34"/>
        <v/>
      </c>
      <c r="AA36" s="15">
        <f t="shared" si="35"/>
        <v>8.0946097399999992</v>
      </c>
      <c r="AB36" s="9">
        <f t="shared" si="36"/>
        <v>54</v>
      </c>
      <c r="AC36" s="9">
        <f t="shared" si="37"/>
        <v>0</v>
      </c>
      <c r="AD36" s="9">
        <f t="shared" si="38"/>
        <v>26</v>
      </c>
    </row>
    <row r="37" spans="1:30" x14ac:dyDescent="0.2">
      <c r="A37" s="7" t="s">
        <v>41</v>
      </c>
      <c r="B37" s="6" t="s">
        <v>23</v>
      </c>
      <c r="E37" s="3" t="str">
        <f t="shared" si="20"/>
        <v/>
      </c>
      <c r="F37" s="6">
        <v>27</v>
      </c>
      <c r="G37" s="6">
        <v>27</v>
      </c>
      <c r="H37" s="6"/>
      <c r="I37" s="6"/>
      <c r="J37" s="6"/>
      <c r="K37" s="6"/>
      <c r="L37" s="9">
        <f t="shared" si="21"/>
        <v>27</v>
      </c>
      <c r="M37" s="9">
        <f t="shared" si="22"/>
        <v>27</v>
      </c>
      <c r="N37" s="9" t="str">
        <f t="shared" si="23"/>
        <v/>
      </c>
      <c r="O37" s="9" t="str">
        <f t="shared" si="24"/>
        <v/>
      </c>
      <c r="P37" s="9" t="str">
        <f t="shared" si="25"/>
        <v/>
      </c>
      <c r="Q37" s="9" t="str">
        <f t="shared" si="26"/>
        <v/>
      </c>
      <c r="R37" s="1">
        <f t="shared" si="27"/>
        <v>4</v>
      </c>
      <c r="S37" s="1">
        <f t="shared" si="28"/>
        <v>4</v>
      </c>
      <c r="T37" s="1" t="str">
        <f t="shared" si="29"/>
        <v/>
      </c>
      <c r="U37" s="1" t="str">
        <f t="shared" si="30"/>
        <v/>
      </c>
      <c r="V37" s="1" t="str">
        <f t="shared" si="31"/>
        <v/>
      </c>
      <c r="W37" s="1" t="str">
        <f t="shared" si="32"/>
        <v/>
      </c>
      <c r="X37" s="15">
        <f t="shared" si="19"/>
        <v>8.0946097300000002</v>
      </c>
      <c r="Y37" s="2" t="str">
        <f t="shared" si="33"/>
        <v/>
      </c>
      <c r="Z37" s="2" t="str">
        <f t="shared" si="34"/>
        <v/>
      </c>
      <c r="AA37" s="15" t="str">
        <f t="shared" si="35"/>
        <v/>
      </c>
      <c r="AB37" s="9">
        <f t="shared" si="36"/>
        <v>54</v>
      </c>
      <c r="AC37" s="9">
        <f t="shared" si="37"/>
        <v>0</v>
      </c>
      <c r="AD37" s="9">
        <f t="shared" si="38"/>
        <v>27</v>
      </c>
    </row>
    <row r="38" spans="1:30" x14ac:dyDescent="0.2">
      <c r="A38" s="7" t="s">
        <v>146</v>
      </c>
      <c r="B38" s="6" t="s">
        <v>108</v>
      </c>
      <c r="E38" s="3">
        <f t="shared" si="20"/>
        <v>16</v>
      </c>
      <c r="F38" s="6">
        <v>60</v>
      </c>
      <c r="G38" s="6">
        <v>23</v>
      </c>
      <c r="H38" s="6"/>
      <c r="I38" s="6"/>
      <c r="J38" s="6"/>
      <c r="K38" s="6"/>
      <c r="L38" s="9">
        <f t="shared" si="21"/>
        <v>60</v>
      </c>
      <c r="M38" s="9">
        <f t="shared" si="22"/>
        <v>23</v>
      </c>
      <c r="N38" s="9" t="str">
        <f t="shared" si="23"/>
        <v/>
      </c>
      <c r="O38" s="9" t="str">
        <f t="shared" si="24"/>
        <v/>
      </c>
      <c r="P38" s="9" t="str">
        <f t="shared" si="25"/>
        <v/>
      </c>
      <c r="Q38" s="9" t="str">
        <f t="shared" si="26"/>
        <v/>
      </c>
      <c r="R38" s="1" t="str">
        <f t="shared" si="27"/>
        <v/>
      </c>
      <c r="S38" s="1">
        <f t="shared" si="28"/>
        <v>8</v>
      </c>
      <c r="T38" s="1" t="str">
        <f t="shared" si="29"/>
        <v/>
      </c>
      <c r="U38" s="1" t="str">
        <f t="shared" si="30"/>
        <v/>
      </c>
      <c r="V38" s="1" t="str">
        <f t="shared" si="31"/>
        <v/>
      </c>
      <c r="W38" s="1" t="str">
        <f t="shared" si="32"/>
        <v/>
      </c>
      <c r="X38" s="15">
        <f t="shared" si="19"/>
        <v>8.0917097699999996</v>
      </c>
      <c r="Y38" s="2" t="str">
        <f t="shared" si="33"/>
        <v>P</v>
      </c>
      <c r="Z38" s="2" t="str">
        <f t="shared" si="34"/>
        <v/>
      </c>
      <c r="AA38" s="15">
        <f t="shared" si="35"/>
        <v>8.0917097699999996</v>
      </c>
      <c r="AB38" s="9">
        <f t="shared" si="36"/>
        <v>83</v>
      </c>
      <c r="AC38" s="9">
        <f t="shared" si="37"/>
        <v>0</v>
      </c>
      <c r="AD38" s="9">
        <f t="shared" si="38"/>
        <v>23</v>
      </c>
    </row>
    <row r="39" spans="1:30" x14ac:dyDescent="0.2">
      <c r="A39" s="7" t="s">
        <v>38</v>
      </c>
      <c r="B39" s="6" t="s">
        <v>55</v>
      </c>
      <c r="E39" s="3" t="str">
        <f t="shared" si="20"/>
        <v/>
      </c>
      <c r="F39" s="6">
        <v>24</v>
      </c>
      <c r="G39" s="6">
        <v>34</v>
      </c>
      <c r="H39" s="6"/>
      <c r="I39" s="6"/>
      <c r="J39" s="6"/>
      <c r="K39" s="6"/>
      <c r="L39" s="9">
        <f t="shared" si="21"/>
        <v>24</v>
      </c>
      <c r="M39" s="9">
        <f t="shared" si="22"/>
        <v>34</v>
      </c>
      <c r="N39" s="9" t="str">
        <f t="shared" si="23"/>
        <v/>
      </c>
      <c r="O39" s="9" t="str">
        <f t="shared" si="24"/>
        <v/>
      </c>
      <c r="P39" s="9" t="str">
        <f t="shared" si="25"/>
        <v/>
      </c>
      <c r="Q39" s="9" t="str">
        <f t="shared" si="26"/>
        <v/>
      </c>
      <c r="R39" s="1">
        <f t="shared" si="27"/>
        <v>7</v>
      </c>
      <c r="S39" s="1" t="str">
        <f t="shared" si="28"/>
        <v/>
      </c>
      <c r="T39" s="1" t="str">
        <f t="shared" si="29"/>
        <v/>
      </c>
      <c r="U39" s="1" t="str">
        <f t="shared" si="30"/>
        <v/>
      </c>
      <c r="V39" s="1" t="str">
        <f t="shared" si="31"/>
        <v/>
      </c>
      <c r="W39" s="1" t="str">
        <f t="shared" si="32"/>
        <v/>
      </c>
      <c r="X39" s="15">
        <f t="shared" si="19"/>
        <v>7.09420976</v>
      </c>
      <c r="Y39" s="2" t="str">
        <f t="shared" si="33"/>
        <v/>
      </c>
      <c r="Z39" s="2" t="str">
        <f t="shared" si="34"/>
        <v/>
      </c>
      <c r="AA39" s="15" t="str">
        <f t="shared" si="35"/>
        <v/>
      </c>
      <c r="AB39" s="9">
        <f t="shared" si="36"/>
        <v>58</v>
      </c>
      <c r="AC39" s="9">
        <f t="shared" si="37"/>
        <v>0</v>
      </c>
      <c r="AD39" s="9">
        <f t="shared" si="38"/>
        <v>24</v>
      </c>
    </row>
    <row r="40" spans="1:30" x14ac:dyDescent="0.2">
      <c r="A40" s="7" t="s">
        <v>39</v>
      </c>
      <c r="B40" s="6" t="s">
        <v>17</v>
      </c>
      <c r="E40" s="3" t="str">
        <f t="shared" si="20"/>
        <v/>
      </c>
      <c r="F40" s="6">
        <v>25</v>
      </c>
      <c r="G40" s="6"/>
      <c r="H40" s="6"/>
      <c r="I40" s="6"/>
      <c r="J40" s="6"/>
      <c r="K40" s="6"/>
      <c r="L40" s="9">
        <f t="shared" si="21"/>
        <v>25</v>
      </c>
      <c r="M40" s="9" t="str">
        <f t="shared" si="22"/>
        <v/>
      </c>
      <c r="N40" s="9" t="str">
        <f t="shared" si="23"/>
        <v/>
      </c>
      <c r="O40" s="9" t="str">
        <f t="shared" si="24"/>
        <v/>
      </c>
      <c r="P40" s="9" t="str">
        <f t="shared" si="25"/>
        <v/>
      </c>
      <c r="Q40" s="9" t="str">
        <f t="shared" si="26"/>
        <v/>
      </c>
      <c r="R40" s="1">
        <f t="shared" si="27"/>
        <v>6</v>
      </c>
      <c r="S40" s="1" t="str">
        <f t="shared" si="28"/>
        <v/>
      </c>
      <c r="T40" s="1" t="str">
        <f t="shared" si="29"/>
        <v/>
      </c>
      <c r="U40" s="1" t="str">
        <f t="shared" si="30"/>
        <v/>
      </c>
      <c r="V40" s="1" t="str">
        <f t="shared" si="31"/>
        <v/>
      </c>
      <c r="W40" s="1" t="str">
        <f t="shared" si="32"/>
        <v/>
      </c>
      <c r="X40" s="15">
        <f t="shared" si="19"/>
        <v>6.0975097500000004</v>
      </c>
      <c r="Y40" s="2" t="str">
        <f t="shared" si="33"/>
        <v/>
      </c>
      <c r="Z40" s="2" t="str">
        <f t="shared" si="34"/>
        <v/>
      </c>
      <c r="AA40" s="15" t="str">
        <f t="shared" si="35"/>
        <v/>
      </c>
      <c r="AB40" s="9">
        <f t="shared" si="36"/>
        <v>25</v>
      </c>
      <c r="AC40" s="9">
        <f t="shared" si="37"/>
        <v>0</v>
      </c>
      <c r="AD40" s="9">
        <f t="shared" si="38"/>
        <v>25</v>
      </c>
    </row>
    <row r="41" spans="1:30" x14ac:dyDescent="0.2">
      <c r="A41" s="7" t="s">
        <v>45</v>
      </c>
      <c r="B41" s="6" t="s">
        <v>19</v>
      </c>
      <c r="E41" s="3" t="str">
        <f t="shared" si="20"/>
        <v/>
      </c>
      <c r="F41" s="6">
        <v>31</v>
      </c>
      <c r="G41" s="6">
        <v>25</v>
      </c>
      <c r="H41" s="6"/>
      <c r="I41" s="6"/>
      <c r="J41" s="6"/>
      <c r="K41" s="6"/>
      <c r="L41" s="9">
        <f t="shared" si="21"/>
        <v>31</v>
      </c>
      <c r="M41" s="9">
        <f t="shared" si="22"/>
        <v>25</v>
      </c>
      <c r="N41" s="9" t="str">
        <f t="shared" si="23"/>
        <v/>
      </c>
      <c r="O41" s="9" t="str">
        <f t="shared" si="24"/>
        <v/>
      </c>
      <c r="P41" s="9" t="str">
        <f t="shared" si="25"/>
        <v/>
      </c>
      <c r="Q41" s="9" t="str">
        <f t="shared" si="26"/>
        <v/>
      </c>
      <c r="R41" s="8" t="str">
        <f t="shared" si="27"/>
        <v/>
      </c>
      <c r="S41" s="8">
        <f t="shared" si="28"/>
        <v>6</v>
      </c>
      <c r="T41" s="8" t="str">
        <f t="shared" si="29"/>
        <v/>
      </c>
      <c r="U41" s="8" t="str">
        <f t="shared" si="30"/>
        <v/>
      </c>
      <c r="V41" s="8" t="str">
        <f t="shared" si="31"/>
        <v/>
      </c>
      <c r="W41" s="8" t="str">
        <f t="shared" si="32"/>
        <v/>
      </c>
      <c r="X41" s="15">
        <f t="shared" si="19"/>
        <v>6.0944097500000005</v>
      </c>
      <c r="Y41" s="2" t="str">
        <f t="shared" si="33"/>
        <v/>
      </c>
      <c r="Z41" s="2" t="str">
        <f t="shared" si="34"/>
        <v/>
      </c>
      <c r="AA41" s="15" t="str">
        <f t="shared" si="35"/>
        <v/>
      </c>
      <c r="AB41" s="9">
        <f t="shared" si="36"/>
        <v>56</v>
      </c>
      <c r="AC41" s="9">
        <f t="shared" si="37"/>
        <v>0</v>
      </c>
      <c r="AD41" s="9">
        <f t="shared" si="38"/>
        <v>25</v>
      </c>
    </row>
    <row r="42" spans="1:30" x14ac:dyDescent="0.2">
      <c r="A42" s="7" t="s">
        <v>43</v>
      </c>
      <c r="B42" s="6" t="s">
        <v>23</v>
      </c>
      <c r="E42" s="3" t="str">
        <f t="shared" si="20"/>
        <v/>
      </c>
      <c r="F42" s="6">
        <v>29</v>
      </c>
      <c r="G42" s="6">
        <v>53</v>
      </c>
      <c r="H42" s="6"/>
      <c r="I42" s="6"/>
      <c r="J42" s="6"/>
      <c r="K42" s="6"/>
      <c r="L42" s="9">
        <f t="shared" si="21"/>
        <v>29</v>
      </c>
      <c r="M42" s="9">
        <f t="shared" si="22"/>
        <v>53</v>
      </c>
      <c r="N42" s="9" t="str">
        <f t="shared" si="23"/>
        <v/>
      </c>
      <c r="O42" s="9" t="str">
        <f t="shared" si="24"/>
        <v/>
      </c>
      <c r="P42" s="9" t="str">
        <f t="shared" si="25"/>
        <v/>
      </c>
      <c r="Q42" s="9" t="str">
        <f t="shared" si="26"/>
        <v/>
      </c>
      <c r="R42" s="8">
        <f t="shared" si="27"/>
        <v>2</v>
      </c>
      <c r="S42" s="8" t="str">
        <f t="shared" si="28"/>
        <v/>
      </c>
      <c r="T42" s="8" t="str">
        <f t="shared" si="29"/>
        <v/>
      </c>
      <c r="U42" s="8" t="str">
        <f t="shared" si="30"/>
        <v/>
      </c>
      <c r="V42" s="8" t="str">
        <f t="shared" si="31"/>
        <v/>
      </c>
      <c r="W42" s="8" t="str">
        <f t="shared" si="32"/>
        <v/>
      </c>
      <c r="X42" s="15">
        <f t="shared" si="19"/>
        <v>2.0918097100000002</v>
      </c>
      <c r="Y42" s="2" t="str">
        <f t="shared" si="33"/>
        <v/>
      </c>
      <c r="Z42" s="2" t="str">
        <f t="shared" si="34"/>
        <v/>
      </c>
      <c r="AA42" s="15" t="str">
        <f t="shared" si="35"/>
        <v/>
      </c>
      <c r="AB42" s="9">
        <f t="shared" si="36"/>
        <v>82</v>
      </c>
      <c r="AC42" s="9">
        <f t="shared" si="37"/>
        <v>0</v>
      </c>
      <c r="AD42" s="9">
        <f t="shared" si="38"/>
        <v>29</v>
      </c>
    </row>
    <row r="43" spans="1:30" x14ac:dyDescent="0.2">
      <c r="A43" s="7" t="s">
        <v>147</v>
      </c>
      <c r="B43" s="6" t="s">
        <v>84</v>
      </c>
      <c r="E43" s="3">
        <f t="shared" si="20"/>
        <v>17</v>
      </c>
      <c r="F43" s="6">
        <v>54</v>
      </c>
      <c r="G43" s="6">
        <v>29</v>
      </c>
      <c r="H43" s="6"/>
      <c r="I43" s="6"/>
      <c r="J43" s="6"/>
      <c r="K43" s="6"/>
      <c r="L43" s="9">
        <f t="shared" si="21"/>
        <v>54</v>
      </c>
      <c r="M43" s="9">
        <f t="shared" si="22"/>
        <v>29</v>
      </c>
      <c r="N43" s="9" t="str">
        <f t="shared" si="23"/>
        <v/>
      </c>
      <c r="O43" s="9" t="str">
        <f t="shared" si="24"/>
        <v/>
      </c>
      <c r="P43" s="9" t="str">
        <f t="shared" si="25"/>
        <v/>
      </c>
      <c r="Q43" s="9" t="str">
        <f t="shared" si="26"/>
        <v/>
      </c>
      <c r="R43" s="8" t="str">
        <f t="shared" si="27"/>
        <v/>
      </c>
      <c r="S43" s="8">
        <f t="shared" si="28"/>
        <v>2</v>
      </c>
      <c r="T43" s="8" t="str">
        <f t="shared" si="29"/>
        <v/>
      </c>
      <c r="U43" s="8" t="str">
        <f t="shared" si="30"/>
        <v/>
      </c>
      <c r="V43" s="8" t="str">
        <f t="shared" si="31"/>
        <v/>
      </c>
      <c r="W43" s="8" t="str">
        <f t="shared" si="32"/>
        <v/>
      </c>
      <c r="X43" s="15">
        <f t="shared" si="19"/>
        <v>2.0917097099999999</v>
      </c>
      <c r="Y43" s="2" t="str">
        <f t="shared" si="33"/>
        <v>P</v>
      </c>
      <c r="Z43" s="2" t="str">
        <f t="shared" si="34"/>
        <v/>
      </c>
      <c r="AA43" s="15">
        <f t="shared" si="35"/>
        <v>2.0917097099999999</v>
      </c>
      <c r="AB43" s="9">
        <f t="shared" si="36"/>
        <v>83</v>
      </c>
      <c r="AC43" s="9">
        <f t="shared" si="37"/>
        <v>0</v>
      </c>
      <c r="AD43" s="9">
        <f t="shared" si="38"/>
        <v>29</v>
      </c>
    </row>
    <row r="44" spans="1:30" x14ac:dyDescent="0.2">
      <c r="A44" s="7" t="s">
        <v>44</v>
      </c>
      <c r="B44" s="6" t="s">
        <v>53</v>
      </c>
      <c r="E44" s="3" t="str">
        <f t="shared" si="20"/>
        <v/>
      </c>
      <c r="F44" s="6">
        <v>30</v>
      </c>
      <c r="G44" s="6">
        <v>62</v>
      </c>
      <c r="H44" s="6"/>
      <c r="I44" s="6"/>
      <c r="J44" s="6"/>
      <c r="K44" s="6"/>
      <c r="L44" s="9">
        <f t="shared" si="21"/>
        <v>30</v>
      </c>
      <c r="M44" s="9">
        <f t="shared" si="22"/>
        <v>62</v>
      </c>
      <c r="N44" s="9" t="str">
        <f t="shared" si="23"/>
        <v/>
      </c>
      <c r="O44" s="9" t="str">
        <f t="shared" si="24"/>
        <v/>
      </c>
      <c r="P44" s="9" t="str">
        <f t="shared" si="25"/>
        <v/>
      </c>
      <c r="Q44" s="9" t="str">
        <f t="shared" si="26"/>
        <v/>
      </c>
      <c r="R44" s="8">
        <f t="shared" si="27"/>
        <v>1</v>
      </c>
      <c r="S44" s="8" t="str">
        <f t="shared" si="28"/>
        <v/>
      </c>
      <c r="T44" s="8" t="str">
        <f t="shared" si="29"/>
        <v/>
      </c>
      <c r="U44" s="8" t="str">
        <f t="shared" si="30"/>
        <v/>
      </c>
      <c r="V44" s="8" t="str">
        <f t="shared" si="31"/>
        <v/>
      </c>
      <c r="W44" s="8" t="str">
        <f t="shared" si="32"/>
        <v/>
      </c>
      <c r="X44" s="15">
        <f t="shared" si="19"/>
        <v>1.0908096999999999</v>
      </c>
      <c r="Y44" s="2" t="str">
        <f t="shared" si="33"/>
        <v/>
      </c>
      <c r="Z44" s="2" t="str">
        <f t="shared" si="34"/>
        <v/>
      </c>
      <c r="AA44" s="15" t="str">
        <f t="shared" si="35"/>
        <v/>
      </c>
      <c r="AB44" s="9">
        <f t="shared" si="36"/>
        <v>92</v>
      </c>
      <c r="AC44" s="9">
        <f t="shared" si="37"/>
        <v>0</v>
      </c>
      <c r="AD44" s="9">
        <f t="shared" si="38"/>
        <v>30</v>
      </c>
    </row>
    <row r="45" spans="1:30" x14ac:dyDescent="0.2">
      <c r="A45" s="7" t="s">
        <v>49</v>
      </c>
      <c r="B45" s="6" t="s">
        <v>62</v>
      </c>
      <c r="E45" s="3" t="str">
        <f t="shared" si="20"/>
        <v/>
      </c>
      <c r="F45" s="6">
        <v>35</v>
      </c>
      <c r="G45" s="6">
        <v>41</v>
      </c>
      <c r="H45" s="6"/>
      <c r="I45" s="6"/>
      <c r="J45" s="6"/>
      <c r="K45" s="6"/>
      <c r="L45" s="9">
        <f t="shared" si="21"/>
        <v>35</v>
      </c>
      <c r="M45" s="9">
        <f t="shared" si="22"/>
        <v>41</v>
      </c>
      <c r="N45" s="9" t="str">
        <f t="shared" si="23"/>
        <v/>
      </c>
      <c r="O45" s="9" t="str">
        <f t="shared" si="24"/>
        <v/>
      </c>
      <c r="P45" s="9" t="str">
        <f t="shared" si="25"/>
        <v/>
      </c>
      <c r="Q45" s="9" t="str">
        <f t="shared" si="26"/>
        <v/>
      </c>
      <c r="R45" s="8" t="str">
        <f t="shared" si="27"/>
        <v/>
      </c>
      <c r="S45" s="8" t="str">
        <f t="shared" si="28"/>
        <v/>
      </c>
      <c r="T45" s="8" t="str">
        <f t="shared" si="29"/>
        <v/>
      </c>
      <c r="U45" s="8" t="str">
        <f t="shared" si="30"/>
        <v/>
      </c>
      <c r="V45" s="8" t="str">
        <f t="shared" si="31"/>
        <v/>
      </c>
      <c r="W45" s="8" t="str">
        <f t="shared" si="32"/>
        <v/>
      </c>
      <c r="X45" s="15">
        <f t="shared" si="19"/>
        <v>0</v>
      </c>
      <c r="Y45" s="2" t="str">
        <f t="shared" si="33"/>
        <v/>
      </c>
      <c r="Z45" s="2" t="str">
        <f t="shared" si="34"/>
        <v/>
      </c>
      <c r="AA45" s="15" t="str">
        <f t="shared" si="35"/>
        <v/>
      </c>
      <c r="AB45" s="9">
        <f t="shared" si="36"/>
        <v>76</v>
      </c>
      <c r="AC45" s="9">
        <f t="shared" si="37"/>
        <v>0</v>
      </c>
      <c r="AD45" s="9">
        <f t="shared" si="38"/>
        <v>35</v>
      </c>
    </row>
    <row r="46" spans="1:30" x14ac:dyDescent="0.2">
      <c r="A46" s="7" t="s">
        <v>50</v>
      </c>
      <c r="B46" s="6" t="s">
        <v>61</v>
      </c>
      <c r="E46" s="3" t="str">
        <f t="shared" si="20"/>
        <v/>
      </c>
      <c r="F46" s="6">
        <v>36</v>
      </c>
      <c r="G46" s="6">
        <v>35</v>
      </c>
      <c r="H46" s="6"/>
      <c r="I46" s="6"/>
      <c r="J46" s="6"/>
      <c r="K46" s="6"/>
      <c r="L46" s="9">
        <f t="shared" si="21"/>
        <v>36</v>
      </c>
      <c r="M46" s="9">
        <f t="shared" si="22"/>
        <v>35</v>
      </c>
      <c r="N46" s="9" t="str">
        <f t="shared" si="23"/>
        <v/>
      </c>
      <c r="O46" s="9" t="str">
        <f t="shared" si="24"/>
        <v/>
      </c>
      <c r="P46" s="9" t="str">
        <f t="shared" si="25"/>
        <v/>
      </c>
      <c r="Q46" s="9" t="str">
        <f t="shared" si="26"/>
        <v/>
      </c>
      <c r="R46" s="8" t="str">
        <f t="shared" si="27"/>
        <v/>
      </c>
      <c r="S46" s="8" t="str">
        <f t="shared" si="28"/>
        <v/>
      </c>
      <c r="T46" s="8" t="str">
        <f t="shared" si="29"/>
        <v/>
      </c>
      <c r="U46" s="8" t="str">
        <f t="shared" si="30"/>
        <v/>
      </c>
      <c r="V46" s="8" t="str">
        <f t="shared" si="31"/>
        <v/>
      </c>
      <c r="W46" s="8" t="str">
        <f t="shared" si="32"/>
        <v/>
      </c>
      <c r="X46" s="15">
        <f t="shared" si="19"/>
        <v>0</v>
      </c>
      <c r="Y46" s="2" t="str">
        <f t="shared" si="33"/>
        <v/>
      </c>
      <c r="Z46" s="2" t="str">
        <f t="shared" si="34"/>
        <v/>
      </c>
      <c r="AA46" s="15" t="str">
        <f t="shared" si="35"/>
        <v/>
      </c>
      <c r="AB46" s="9">
        <f t="shared" si="36"/>
        <v>71</v>
      </c>
      <c r="AC46" s="9">
        <f t="shared" si="37"/>
        <v>0</v>
      </c>
      <c r="AD46" s="9">
        <f t="shared" si="38"/>
        <v>35</v>
      </c>
    </row>
    <row r="47" spans="1:30" x14ac:dyDescent="0.2">
      <c r="A47" s="7" t="s">
        <v>51</v>
      </c>
      <c r="B47" s="6" t="s">
        <v>54</v>
      </c>
      <c r="E47" s="3" t="str">
        <f t="shared" si="20"/>
        <v/>
      </c>
      <c r="F47" s="6">
        <v>37</v>
      </c>
      <c r="G47" s="6">
        <v>55</v>
      </c>
      <c r="H47" s="6"/>
      <c r="I47" s="6"/>
      <c r="J47" s="6"/>
      <c r="K47" s="6"/>
      <c r="L47" s="9">
        <f t="shared" si="21"/>
        <v>37</v>
      </c>
      <c r="M47" s="9">
        <f t="shared" si="22"/>
        <v>55</v>
      </c>
      <c r="N47" s="9" t="str">
        <f t="shared" si="23"/>
        <v/>
      </c>
      <c r="O47" s="9" t="str">
        <f t="shared" si="24"/>
        <v/>
      </c>
      <c r="P47" s="9" t="str">
        <f t="shared" si="25"/>
        <v/>
      </c>
      <c r="Q47" s="9" t="str">
        <f t="shared" si="26"/>
        <v/>
      </c>
      <c r="R47" s="8" t="str">
        <f t="shared" si="27"/>
        <v/>
      </c>
      <c r="S47" s="8" t="str">
        <f t="shared" si="28"/>
        <v/>
      </c>
      <c r="T47" s="8" t="str">
        <f t="shared" si="29"/>
        <v/>
      </c>
      <c r="U47" s="8" t="str">
        <f t="shared" si="30"/>
        <v/>
      </c>
      <c r="V47" s="8" t="str">
        <f t="shared" si="31"/>
        <v/>
      </c>
      <c r="W47" s="8" t="str">
        <f t="shared" si="32"/>
        <v/>
      </c>
      <c r="X47" s="15">
        <f t="shared" si="19"/>
        <v>0</v>
      </c>
      <c r="Y47" s="2" t="str">
        <f t="shared" si="33"/>
        <v/>
      </c>
      <c r="Z47" s="2" t="str">
        <f t="shared" si="34"/>
        <v/>
      </c>
      <c r="AA47" s="15" t="str">
        <f t="shared" si="35"/>
        <v/>
      </c>
      <c r="AB47" s="9">
        <f t="shared" si="36"/>
        <v>92</v>
      </c>
      <c r="AC47" s="9">
        <f t="shared" si="37"/>
        <v>0</v>
      </c>
      <c r="AD47" s="9">
        <f t="shared" si="38"/>
        <v>37</v>
      </c>
    </row>
    <row r="48" spans="1:30" x14ac:dyDescent="0.2">
      <c r="A48" s="7" t="s">
        <v>52</v>
      </c>
      <c r="B48" s="6" t="s">
        <v>53</v>
      </c>
      <c r="E48" s="3" t="str">
        <f t="shared" si="20"/>
        <v/>
      </c>
      <c r="F48" s="6">
        <v>38</v>
      </c>
      <c r="G48" s="6">
        <v>40</v>
      </c>
      <c r="H48" s="6"/>
      <c r="I48" s="6"/>
      <c r="J48" s="6"/>
      <c r="K48" s="6"/>
      <c r="L48" s="9">
        <f t="shared" si="21"/>
        <v>38</v>
      </c>
      <c r="M48" s="9">
        <f t="shared" si="22"/>
        <v>40</v>
      </c>
      <c r="N48" s="9" t="str">
        <f t="shared" si="23"/>
        <v/>
      </c>
      <c r="O48" s="9" t="str">
        <f t="shared" si="24"/>
        <v/>
      </c>
      <c r="P48" s="9" t="str">
        <f t="shared" si="25"/>
        <v/>
      </c>
      <c r="Q48" s="9" t="str">
        <f t="shared" si="26"/>
        <v/>
      </c>
      <c r="R48" s="8" t="str">
        <f t="shared" si="27"/>
        <v/>
      </c>
      <c r="S48" s="8" t="str">
        <f t="shared" si="28"/>
        <v/>
      </c>
      <c r="T48" s="8" t="str">
        <f t="shared" si="29"/>
        <v/>
      </c>
      <c r="U48" s="8" t="str">
        <f t="shared" si="30"/>
        <v/>
      </c>
      <c r="V48" s="8" t="str">
        <f t="shared" si="31"/>
        <v/>
      </c>
      <c r="W48" s="8" t="str">
        <f t="shared" si="32"/>
        <v/>
      </c>
      <c r="X48" s="15">
        <f t="shared" si="19"/>
        <v>0</v>
      </c>
      <c r="Y48" s="2" t="str">
        <f t="shared" si="33"/>
        <v/>
      </c>
      <c r="Z48" s="2" t="str">
        <f t="shared" si="34"/>
        <v/>
      </c>
      <c r="AA48" s="15" t="str">
        <f t="shared" si="35"/>
        <v/>
      </c>
      <c r="AB48" s="9">
        <f t="shared" si="36"/>
        <v>78</v>
      </c>
      <c r="AC48" s="9">
        <f t="shared" si="37"/>
        <v>0</v>
      </c>
      <c r="AD48" s="9">
        <f t="shared" si="38"/>
        <v>38</v>
      </c>
    </row>
    <row r="49" spans="1:30" x14ac:dyDescent="0.2">
      <c r="A49" s="7" t="s">
        <v>148</v>
      </c>
      <c r="B49" s="6" t="s">
        <v>108</v>
      </c>
      <c r="E49" s="3" t="str">
        <f t="shared" si="20"/>
        <v/>
      </c>
      <c r="F49" s="6">
        <v>39</v>
      </c>
      <c r="G49" s="6">
        <v>32</v>
      </c>
      <c r="H49" s="6"/>
      <c r="I49" s="6"/>
      <c r="J49" s="6"/>
      <c r="K49" s="6"/>
      <c r="L49" s="9">
        <f t="shared" si="21"/>
        <v>39</v>
      </c>
      <c r="M49" s="9">
        <f t="shared" si="22"/>
        <v>32</v>
      </c>
      <c r="N49" s="9" t="str">
        <f t="shared" si="23"/>
        <v/>
      </c>
      <c r="O49" s="9" t="str">
        <f t="shared" si="24"/>
        <v/>
      </c>
      <c r="P49" s="9" t="str">
        <f t="shared" si="25"/>
        <v/>
      </c>
      <c r="Q49" s="9" t="str">
        <f t="shared" si="26"/>
        <v/>
      </c>
      <c r="R49" s="8" t="str">
        <f t="shared" si="27"/>
        <v/>
      </c>
      <c r="S49" s="8" t="str">
        <f t="shared" si="28"/>
        <v/>
      </c>
      <c r="T49" s="8" t="str">
        <f t="shared" si="29"/>
        <v/>
      </c>
      <c r="U49" s="8" t="str">
        <f t="shared" si="30"/>
        <v/>
      </c>
      <c r="V49" s="8" t="str">
        <f t="shared" si="31"/>
        <v/>
      </c>
      <c r="W49" s="8" t="str">
        <f t="shared" si="32"/>
        <v/>
      </c>
      <c r="X49" s="15">
        <f t="shared" si="19"/>
        <v>0</v>
      </c>
      <c r="Y49" s="2" t="str">
        <f t="shared" si="33"/>
        <v/>
      </c>
      <c r="Z49" s="2" t="str">
        <f t="shared" si="34"/>
        <v/>
      </c>
      <c r="AA49" s="15" t="str">
        <f t="shared" si="35"/>
        <v/>
      </c>
      <c r="AB49" s="9">
        <f t="shared" si="36"/>
        <v>71</v>
      </c>
      <c r="AC49" s="9">
        <f t="shared" si="37"/>
        <v>0</v>
      </c>
      <c r="AD49" s="9">
        <f t="shared" si="38"/>
        <v>32</v>
      </c>
    </row>
    <row r="50" spans="1:30" x14ac:dyDescent="0.2">
      <c r="A50" s="7" t="s">
        <v>149</v>
      </c>
      <c r="B50" s="6" t="s">
        <v>150</v>
      </c>
      <c r="E50" s="3" t="str">
        <f t="shared" si="20"/>
        <v/>
      </c>
      <c r="F50" s="6">
        <v>61</v>
      </c>
      <c r="G50" s="6">
        <v>33</v>
      </c>
      <c r="H50" s="6"/>
      <c r="I50" s="6"/>
      <c r="J50" s="6"/>
      <c r="K50" s="6"/>
      <c r="L50" s="9">
        <f t="shared" si="21"/>
        <v>61</v>
      </c>
      <c r="M50" s="9">
        <f t="shared" si="22"/>
        <v>33</v>
      </c>
      <c r="N50" s="9" t="str">
        <f t="shared" si="23"/>
        <v/>
      </c>
      <c r="O50" s="9" t="str">
        <f t="shared" si="24"/>
        <v/>
      </c>
      <c r="P50" s="9" t="str">
        <f t="shared" si="25"/>
        <v/>
      </c>
      <c r="Q50" s="9" t="str">
        <f t="shared" si="26"/>
        <v/>
      </c>
      <c r="R50" s="8" t="str">
        <f t="shared" si="27"/>
        <v/>
      </c>
      <c r="S50" s="8" t="str">
        <f t="shared" si="28"/>
        <v/>
      </c>
      <c r="T50" s="8" t="str">
        <f t="shared" si="29"/>
        <v/>
      </c>
      <c r="U50" s="8" t="str">
        <f t="shared" si="30"/>
        <v/>
      </c>
      <c r="V50" s="8" t="str">
        <f t="shared" si="31"/>
        <v/>
      </c>
      <c r="W50" s="8" t="str">
        <f t="shared" si="32"/>
        <v/>
      </c>
      <c r="X50" s="15">
        <f t="shared" si="19"/>
        <v>0</v>
      </c>
      <c r="Y50" s="2" t="str">
        <f t="shared" si="33"/>
        <v/>
      </c>
      <c r="Z50" s="2" t="str">
        <f t="shared" si="34"/>
        <v/>
      </c>
      <c r="AA50" s="15" t="str">
        <f t="shared" si="35"/>
        <v/>
      </c>
      <c r="AB50" s="9">
        <f t="shared" si="36"/>
        <v>94</v>
      </c>
      <c r="AC50" s="9">
        <f t="shared" si="37"/>
        <v>0</v>
      </c>
      <c r="AD50" s="9">
        <f t="shared" si="38"/>
        <v>33</v>
      </c>
    </row>
    <row r="51" spans="1:30" x14ac:dyDescent="0.2">
      <c r="A51" s="7" t="s">
        <v>151</v>
      </c>
      <c r="B51" s="6" t="s">
        <v>56</v>
      </c>
      <c r="E51" s="3" t="str">
        <f t="shared" si="20"/>
        <v/>
      </c>
      <c r="F51" s="6">
        <v>51</v>
      </c>
      <c r="G51" s="6">
        <v>36</v>
      </c>
      <c r="H51" s="6"/>
      <c r="I51" s="6"/>
      <c r="J51" s="6"/>
      <c r="K51" s="6"/>
      <c r="L51" s="9">
        <f t="shared" si="21"/>
        <v>51</v>
      </c>
      <c r="M51" s="9">
        <f t="shared" si="22"/>
        <v>36</v>
      </c>
      <c r="N51" s="9" t="str">
        <f t="shared" si="23"/>
        <v/>
      </c>
      <c r="O51" s="9" t="str">
        <f t="shared" si="24"/>
        <v/>
      </c>
      <c r="P51" s="9" t="str">
        <f t="shared" si="25"/>
        <v/>
      </c>
      <c r="Q51" s="9" t="str">
        <f t="shared" si="26"/>
        <v/>
      </c>
      <c r="R51" s="8" t="str">
        <f t="shared" si="27"/>
        <v/>
      </c>
      <c r="S51" s="8" t="str">
        <f t="shared" si="28"/>
        <v/>
      </c>
      <c r="T51" s="8" t="str">
        <f t="shared" si="29"/>
        <v/>
      </c>
      <c r="U51" s="8" t="str">
        <f t="shared" si="30"/>
        <v/>
      </c>
      <c r="V51" s="8" t="str">
        <f t="shared" si="31"/>
        <v/>
      </c>
      <c r="W51" s="8" t="str">
        <f t="shared" si="32"/>
        <v/>
      </c>
      <c r="X51" s="15">
        <f t="shared" si="19"/>
        <v>0</v>
      </c>
      <c r="Y51" s="2" t="str">
        <f t="shared" si="33"/>
        <v/>
      </c>
      <c r="Z51" s="2" t="str">
        <f t="shared" si="34"/>
        <v/>
      </c>
      <c r="AA51" s="15" t="str">
        <f t="shared" si="35"/>
        <v/>
      </c>
      <c r="AB51" s="9">
        <f t="shared" si="36"/>
        <v>87</v>
      </c>
      <c r="AC51" s="9">
        <f t="shared" si="37"/>
        <v>0</v>
      </c>
      <c r="AD51" s="9">
        <f t="shared" si="38"/>
        <v>36</v>
      </c>
    </row>
    <row r="52" spans="1:30" x14ac:dyDescent="0.2">
      <c r="A52" s="7" t="s">
        <v>152</v>
      </c>
      <c r="B52" s="6" t="s">
        <v>138</v>
      </c>
      <c r="E52" s="3" t="str">
        <f t="shared" si="20"/>
        <v/>
      </c>
      <c r="F52" s="6">
        <v>52</v>
      </c>
      <c r="G52" s="6">
        <v>37</v>
      </c>
      <c r="H52" s="6"/>
      <c r="I52" s="6"/>
      <c r="J52" s="6"/>
      <c r="K52" s="6"/>
      <c r="L52" s="9">
        <f t="shared" si="21"/>
        <v>52</v>
      </c>
      <c r="M52" s="9">
        <f t="shared" si="22"/>
        <v>37</v>
      </c>
      <c r="N52" s="9" t="str">
        <f t="shared" si="23"/>
        <v/>
      </c>
      <c r="O52" s="9" t="str">
        <f t="shared" si="24"/>
        <v/>
      </c>
      <c r="P52" s="9" t="str">
        <f t="shared" si="25"/>
        <v/>
      </c>
      <c r="Q52" s="9" t="str">
        <f t="shared" si="26"/>
        <v/>
      </c>
      <c r="R52" s="8" t="str">
        <f t="shared" si="27"/>
        <v/>
      </c>
      <c r="S52" s="8" t="str">
        <f t="shared" si="28"/>
        <v/>
      </c>
      <c r="T52" s="8" t="str">
        <f t="shared" si="29"/>
        <v/>
      </c>
      <c r="U52" s="8" t="str">
        <f t="shared" si="30"/>
        <v/>
      </c>
      <c r="V52" s="8" t="str">
        <f t="shared" si="31"/>
        <v/>
      </c>
      <c r="W52" s="8" t="str">
        <f t="shared" si="32"/>
        <v/>
      </c>
      <c r="X52" s="15">
        <f t="shared" si="19"/>
        <v>0</v>
      </c>
      <c r="Y52" s="2" t="str">
        <f t="shared" si="33"/>
        <v/>
      </c>
      <c r="Z52" s="2" t="str">
        <f t="shared" si="34"/>
        <v/>
      </c>
      <c r="AA52" s="15" t="str">
        <f t="shared" si="35"/>
        <v/>
      </c>
      <c r="AB52" s="9">
        <f t="shared" si="36"/>
        <v>89</v>
      </c>
      <c r="AC52" s="9">
        <f t="shared" si="37"/>
        <v>0</v>
      </c>
      <c r="AD52" s="9">
        <f t="shared" si="38"/>
        <v>37</v>
      </c>
    </row>
    <row r="53" spans="1:30" x14ac:dyDescent="0.2">
      <c r="A53" s="7" t="s">
        <v>153</v>
      </c>
      <c r="B53" s="6" t="s">
        <v>84</v>
      </c>
      <c r="E53" s="3" t="str">
        <f t="shared" si="20"/>
        <v/>
      </c>
      <c r="F53" s="6"/>
      <c r="G53" s="6">
        <v>38</v>
      </c>
      <c r="H53" s="6"/>
      <c r="I53" s="6"/>
      <c r="J53" s="6"/>
      <c r="K53" s="6"/>
      <c r="L53" s="9" t="str">
        <f t="shared" si="21"/>
        <v/>
      </c>
      <c r="M53" s="9">
        <f t="shared" si="22"/>
        <v>38</v>
      </c>
      <c r="N53" s="9" t="str">
        <f t="shared" si="23"/>
        <v/>
      </c>
      <c r="O53" s="9" t="str">
        <f t="shared" si="24"/>
        <v/>
      </c>
      <c r="P53" s="9" t="str">
        <f t="shared" si="25"/>
        <v/>
      </c>
      <c r="Q53" s="9" t="str">
        <f t="shared" si="26"/>
        <v/>
      </c>
      <c r="R53" s="8" t="str">
        <f t="shared" si="27"/>
        <v/>
      </c>
      <c r="S53" s="8" t="str">
        <f t="shared" si="28"/>
        <v/>
      </c>
      <c r="T53" s="8" t="str">
        <f t="shared" si="29"/>
        <v/>
      </c>
      <c r="U53" s="8" t="str">
        <f t="shared" si="30"/>
        <v/>
      </c>
      <c r="V53" s="8" t="str">
        <f t="shared" si="31"/>
        <v/>
      </c>
      <c r="W53" s="8" t="str">
        <f t="shared" si="32"/>
        <v/>
      </c>
      <c r="X53" s="15">
        <f t="shared" si="19"/>
        <v>0</v>
      </c>
      <c r="Y53" s="2" t="str">
        <f t="shared" si="33"/>
        <v/>
      </c>
      <c r="Z53" s="2" t="str">
        <f t="shared" si="34"/>
        <v/>
      </c>
      <c r="AA53" s="15" t="str">
        <f t="shared" si="35"/>
        <v/>
      </c>
      <c r="AB53" s="9">
        <f t="shared" si="36"/>
        <v>38</v>
      </c>
      <c r="AC53" s="9">
        <f t="shared" si="37"/>
        <v>0</v>
      </c>
      <c r="AD53" s="9">
        <f t="shared" si="38"/>
        <v>38</v>
      </c>
    </row>
    <row r="54" spans="1:30" x14ac:dyDescent="0.2">
      <c r="E54" s="3"/>
      <c r="F54" s="6"/>
      <c r="G54" s="6"/>
      <c r="H54" s="6"/>
      <c r="I54" s="6"/>
      <c r="J54" s="6"/>
      <c r="K54" s="6"/>
      <c r="L54" s="9"/>
      <c r="M54" s="9"/>
      <c r="N54" s="9"/>
      <c r="O54" s="9"/>
      <c r="P54" s="9"/>
      <c r="Q54" s="9"/>
      <c r="R54" s="8"/>
      <c r="S54" s="8"/>
      <c r="T54" s="8"/>
      <c r="U54" s="8"/>
      <c r="V54" s="8"/>
      <c r="W54" s="8"/>
      <c r="X54" s="9"/>
    </row>
    <row r="55" spans="1:30" x14ac:dyDescent="0.2">
      <c r="E55" s="3"/>
      <c r="F55" s="6"/>
      <c r="G55" s="6"/>
      <c r="H55" s="6"/>
      <c r="I55" s="6"/>
      <c r="J55" s="6"/>
      <c r="K55" s="6"/>
      <c r="L55" s="9"/>
      <c r="M55" s="9"/>
      <c r="N55" s="9"/>
      <c r="O55" s="9"/>
      <c r="P55" s="9"/>
      <c r="Q55" s="9"/>
      <c r="R55" s="8"/>
      <c r="S55" s="8"/>
      <c r="T55" s="8"/>
      <c r="U55" s="8"/>
      <c r="V55" s="8"/>
      <c r="W55" s="8"/>
      <c r="X55" s="9"/>
    </row>
    <row r="56" spans="1:30" x14ac:dyDescent="0.2">
      <c r="E56" s="3"/>
      <c r="F56" s="6"/>
      <c r="G56" s="6"/>
      <c r="H56" s="6"/>
      <c r="I56" s="6"/>
      <c r="J56" s="6"/>
      <c r="K56" s="6"/>
      <c r="L56" s="9"/>
      <c r="M56" s="9"/>
      <c r="N56" s="9"/>
      <c r="O56" s="9"/>
      <c r="P56" s="9"/>
      <c r="Q56" s="9"/>
      <c r="R56" s="8"/>
      <c r="S56" s="8"/>
      <c r="T56" s="8"/>
      <c r="U56" s="8"/>
      <c r="V56" s="8"/>
      <c r="W56" s="8"/>
      <c r="X56" s="9"/>
    </row>
    <row r="57" spans="1:30" x14ac:dyDescent="0.2">
      <c r="E57" s="3"/>
      <c r="F57" s="6"/>
      <c r="G57" s="6"/>
      <c r="H57" s="6"/>
      <c r="I57" s="6"/>
      <c r="J57" s="6"/>
      <c r="K57" s="6"/>
      <c r="L57" s="9"/>
      <c r="M57" s="9"/>
      <c r="N57" s="9"/>
      <c r="O57" s="9"/>
      <c r="P57" s="9"/>
      <c r="Q57" s="9"/>
      <c r="R57" s="8"/>
      <c r="S57" s="8"/>
      <c r="T57" s="8"/>
      <c r="U57" s="8"/>
      <c r="V57" s="8"/>
      <c r="W57" s="8"/>
      <c r="X57" s="9"/>
    </row>
    <row r="58" spans="1:30" x14ac:dyDescent="0.2">
      <c r="E58" s="3"/>
      <c r="F58" s="6"/>
      <c r="G58" s="6"/>
      <c r="H58" s="6"/>
      <c r="I58" s="6"/>
      <c r="J58" s="6"/>
      <c r="K58" s="6"/>
      <c r="L58" s="9"/>
      <c r="M58" s="9"/>
      <c r="N58" s="9"/>
      <c r="O58" s="9"/>
      <c r="P58" s="9"/>
      <c r="Q58" s="9"/>
      <c r="R58" s="8"/>
      <c r="S58" s="8"/>
      <c r="T58" s="8"/>
      <c r="U58" s="8"/>
      <c r="V58" s="8"/>
      <c r="W58" s="8"/>
      <c r="X58" s="9"/>
    </row>
    <row r="59" spans="1:30" x14ac:dyDescent="0.2">
      <c r="E59" s="3"/>
      <c r="F59" s="6"/>
      <c r="G59" s="6"/>
      <c r="H59" s="6"/>
      <c r="I59" s="6"/>
      <c r="J59" s="6"/>
      <c r="K59" s="6"/>
      <c r="L59" s="9"/>
      <c r="M59" s="9"/>
      <c r="N59" s="9"/>
      <c r="O59" s="9"/>
      <c r="P59" s="9"/>
      <c r="Q59" s="9"/>
      <c r="R59" s="8"/>
      <c r="S59" s="8"/>
      <c r="T59" s="8"/>
      <c r="U59" s="8"/>
      <c r="V59" s="8"/>
      <c r="W59" s="8"/>
      <c r="X59" s="9"/>
    </row>
    <row r="60" spans="1:30" x14ac:dyDescent="0.2">
      <c r="E60" s="3"/>
      <c r="F60" s="6"/>
      <c r="G60" s="6"/>
      <c r="H60" s="6"/>
      <c r="I60" s="6"/>
      <c r="J60" s="6"/>
      <c r="K60" s="6"/>
      <c r="L60" s="9"/>
      <c r="M60" s="9"/>
      <c r="N60" s="9"/>
      <c r="O60" s="9"/>
      <c r="P60" s="9"/>
      <c r="Q60" s="9"/>
      <c r="R60" s="8"/>
      <c r="S60" s="8"/>
      <c r="T60" s="8"/>
      <c r="U60" s="8"/>
      <c r="V60" s="8"/>
      <c r="W60" s="8"/>
      <c r="X60" s="9"/>
    </row>
    <row r="61" spans="1:30" x14ac:dyDescent="0.2">
      <c r="E61" s="3"/>
      <c r="F61" s="6"/>
      <c r="G61" s="6"/>
      <c r="H61" s="6"/>
      <c r="I61" s="6"/>
      <c r="J61" s="6"/>
      <c r="K61" s="6"/>
      <c r="L61" s="9"/>
      <c r="M61" s="9"/>
      <c r="N61" s="9"/>
      <c r="O61" s="9"/>
      <c r="P61" s="9"/>
      <c r="Q61" s="9"/>
      <c r="R61" s="8"/>
      <c r="S61" s="8"/>
      <c r="T61" s="8"/>
      <c r="U61" s="8"/>
      <c r="V61" s="8"/>
      <c r="W61" s="8"/>
      <c r="X61" s="9"/>
    </row>
    <row r="62" spans="1:30" x14ac:dyDescent="0.2">
      <c r="E62" s="3"/>
      <c r="F62" s="6"/>
      <c r="G62" s="6"/>
      <c r="H62" s="6"/>
      <c r="I62" s="6"/>
      <c r="J62" s="6"/>
      <c r="K62" s="6"/>
      <c r="L62" s="9"/>
      <c r="M62" s="9"/>
      <c r="N62" s="9"/>
      <c r="O62" s="9"/>
      <c r="P62" s="9"/>
      <c r="Q62" s="9"/>
      <c r="R62" s="8"/>
      <c r="S62" s="8"/>
      <c r="T62" s="8"/>
      <c r="U62" s="8"/>
      <c r="V62" s="8"/>
      <c r="W62" s="8"/>
      <c r="X62" s="9"/>
    </row>
    <row r="63" spans="1:30" x14ac:dyDescent="0.2">
      <c r="E63" s="3"/>
      <c r="F63" s="6"/>
      <c r="G63" s="6"/>
      <c r="H63" s="6"/>
      <c r="I63" s="6"/>
      <c r="J63" s="6"/>
      <c r="K63" s="6"/>
      <c r="L63" s="9"/>
      <c r="M63" s="9"/>
      <c r="N63" s="9"/>
      <c r="O63" s="9"/>
      <c r="P63" s="9"/>
      <c r="Q63" s="9"/>
      <c r="R63" s="8"/>
      <c r="S63" s="8"/>
      <c r="T63" s="8"/>
      <c r="U63" s="8"/>
      <c r="V63" s="8"/>
      <c r="W63" s="8"/>
      <c r="X63" s="9"/>
    </row>
    <row r="64" spans="1:30" x14ac:dyDescent="0.2">
      <c r="E64" s="3"/>
      <c r="F64" s="6"/>
      <c r="G64" s="6"/>
      <c r="H64" s="6"/>
      <c r="I64" s="6"/>
      <c r="J64" s="6"/>
      <c r="K64" s="6"/>
      <c r="L64" s="9"/>
      <c r="M64" s="9"/>
      <c r="N64" s="9"/>
      <c r="O64" s="9"/>
      <c r="P64" s="9"/>
      <c r="Q64" s="9"/>
      <c r="R64" s="8"/>
      <c r="S64" s="8"/>
      <c r="T64" s="8"/>
      <c r="U64" s="8"/>
      <c r="V64" s="8"/>
      <c r="W64" s="8"/>
      <c r="X64" s="9"/>
    </row>
    <row r="65" spans="5:24" x14ac:dyDescent="0.2">
      <c r="E65" s="3"/>
      <c r="F65" s="6"/>
      <c r="G65" s="6"/>
      <c r="H65" s="6"/>
      <c r="I65" s="6"/>
      <c r="J65" s="6"/>
      <c r="K65" s="6"/>
      <c r="L65" s="9"/>
      <c r="M65" s="9"/>
      <c r="N65" s="9"/>
      <c r="O65" s="9"/>
      <c r="P65" s="9"/>
      <c r="Q65" s="9"/>
      <c r="R65" s="8"/>
      <c r="S65" s="8"/>
      <c r="T65" s="8"/>
      <c r="U65" s="8"/>
      <c r="V65" s="8"/>
      <c r="W65" s="8"/>
      <c r="X65" s="9"/>
    </row>
    <row r="66" spans="5:24" x14ac:dyDescent="0.2">
      <c r="E66" s="3"/>
      <c r="F66" s="6"/>
      <c r="G66" s="6"/>
      <c r="H66" s="6"/>
      <c r="I66" s="6"/>
      <c r="J66" s="6"/>
      <c r="K66" s="6"/>
      <c r="L66" s="9"/>
      <c r="M66" s="9"/>
      <c r="N66" s="9"/>
      <c r="O66" s="9"/>
      <c r="P66" s="9"/>
      <c r="Q66" s="9"/>
      <c r="R66" s="8"/>
      <c r="S66" s="8"/>
      <c r="T66" s="8"/>
      <c r="U66" s="8"/>
      <c r="V66" s="8"/>
      <c r="W66" s="8"/>
      <c r="X66" s="9"/>
    </row>
    <row r="67" spans="5:24" x14ac:dyDescent="0.2">
      <c r="E67" s="3"/>
      <c r="F67" s="6"/>
      <c r="G67" s="6"/>
      <c r="H67" s="6"/>
      <c r="I67" s="6"/>
      <c r="J67" s="6"/>
      <c r="K67" s="6"/>
      <c r="L67" s="9"/>
      <c r="M67" s="9"/>
      <c r="N67" s="9"/>
      <c r="O67" s="9"/>
      <c r="P67" s="9"/>
      <c r="Q67" s="9"/>
      <c r="R67" s="8"/>
      <c r="S67" s="8"/>
      <c r="T67" s="8"/>
      <c r="U67" s="8"/>
      <c r="V67" s="8"/>
      <c r="W67" s="8"/>
      <c r="X67" s="9"/>
    </row>
    <row r="68" spans="5:24" x14ac:dyDescent="0.2">
      <c r="E68" s="3"/>
      <c r="F68" s="6"/>
      <c r="G68" s="6"/>
      <c r="H68" s="6"/>
      <c r="I68" s="6"/>
      <c r="J68" s="6"/>
      <c r="K68" s="6"/>
      <c r="L68" s="9"/>
      <c r="M68" s="9"/>
      <c r="N68" s="9"/>
      <c r="O68" s="9"/>
      <c r="P68" s="9"/>
      <c r="Q68" s="9"/>
      <c r="R68" s="8"/>
      <c r="S68" s="8"/>
      <c r="T68" s="8"/>
      <c r="U68" s="8"/>
      <c r="V68" s="8"/>
      <c r="W68" s="8"/>
      <c r="X68" s="9"/>
    </row>
    <row r="69" spans="5:24" x14ac:dyDescent="0.2">
      <c r="E69" s="3"/>
      <c r="F69" s="6"/>
      <c r="G69" s="6"/>
      <c r="H69" s="6"/>
      <c r="I69" s="6"/>
      <c r="J69" s="6"/>
      <c r="K69" s="6"/>
      <c r="L69" s="9"/>
      <c r="M69" s="9"/>
      <c r="N69" s="9"/>
      <c r="O69" s="9"/>
      <c r="P69" s="9"/>
      <c r="Q69" s="9"/>
      <c r="R69" s="8"/>
      <c r="S69" s="8"/>
      <c r="T69" s="8"/>
      <c r="U69" s="8"/>
      <c r="V69" s="8"/>
      <c r="W69" s="8"/>
      <c r="X69" s="9"/>
    </row>
    <row r="70" spans="5:24" x14ac:dyDescent="0.2">
      <c r="E70" s="3"/>
      <c r="F70" s="6"/>
      <c r="G70" s="6"/>
      <c r="H70" s="6"/>
      <c r="I70" s="6"/>
      <c r="J70" s="6"/>
      <c r="K70" s="6"/>
      <c r="L70" s="9"/>
      <c r="M70" s="9"/>
      <c r="N70" s="9"/>
      <c r="O70" s="9"/>
      <c r="P70" s="9"/>
      <c r="Q70" s="9"/>
      <c r="R70" s="8"/>
      <c r="S70" s="8"/>
      <c r="T70" s="8"/>
      <c r="U70" s="8"/>
      <c r="V70" s="8"/>
      <c r="W70" s="8"/>
      <c r="X70" s="9"/>
    </row>
    <row r="71" spans="5:24" x14ac:dyDescent="0.2">
      <c r="E71" s="3"/>
      <c r="F71" s="6"/>
      <c r="G71" s="6"/>
      <c r="H71" s="6"/>
      <c r="I71" s="6"/>
      <c r="J71" s="6"/>
      <c r="K71" s="6"/>
      <c r="L71" s="9"/>
      <c r="M71" s="9"/>
      <c r="N71" s="9"/>
      <c r="O71" s="9"/>
      <c r="P71" s="9"/>
      <c r="Q71" s="9"/>
      <c r="R71" s="8"/>
      <c r="S71" s="8"/>
      <c r="T71" s="8"/>
      <c r="U71" s="8"/>
      <c r="V71" s="8"/>
      <c r="W71" s="8"/>
      <c r="X71" s="9"/>
    </row>
    <row r="72" spans="5:24" x14ac:dyDescent="0.2">
      <c r="E72" s="3"/>
      <c r="F72" s="6"/>
      <c r="G72" s="6"/>
      <c r="H72" s="6"/>
      <c r="I72" s="6"/>
      <c r="J72" s="6"/>
      <c r="K72" s="6"/>
      <c r="L72" s="9"/>
      <c r="M72" s="9"/>
      <c r="N72" s="9"/>
      <c r="O72" s="9"/>
      <c r="P72" s="9"/>
      <c r="Q72" s="9"/>
      <c r="R72" s="8"/>
      <c r="S72" s="8"/>
      <c r="T72" s="8"/>
      <c r="U72" s="8"/>
      <c r="V72" s="8"/>
      <c r="W72" s="8"/>
      <c r="X72" s="9"/>
    </row>
    <row r="73" spans="5:24" x14ac:dyDescent="0.2">
      <c r="E73" s="3"/>
      <c r="F73" s="6"/>
      <c r="G73" s="6"/>
      <c r="H73" s="6"/>
      <c r="I73" s="6"/>
      <c r="J73" s="6"/>
      <c r="K73" s="6"/>
      <c r="L73" s="9"/>
      <c r="M73" s="9"/>
      <c r="N73" s="9"/>
      <c r="O73" s="9"/>
      <c r="P73" s="9"/>
      <c r="Q73" s="9"/>
      <c r="R73" s="8"/>
      <c r="S73" s="8"/>
      <c r="T73" s="8"/>
      <c r="U73" s="8"/>
      <c r="V73" s="8"/>
      <c r="W73" s="8"/>
      <c r="X73" s="9"/>
    </row>
    <row r="74" spans="5:24" x14ac:dyDescent="0.2">
      <c r="E74" s="3"/>
      <c r="F74" s="6"/>
      <c r="G74" s="6"/>
      <c r="H74" s="6"/>
      <c r="I74" s="6"/>
      <c r="J74" s="6"/>
      <c r="K74" s="6"/>
      <c r="L74" s="9"/>
      <c r="M74" s="9"/>
      <c r="N74" s="9"/>
      <c r="O74" s="9"/>
      <c r="P74" s="9"/>
      <c r="Q74" s="9"/>
      <c r="R74" s="8"/>
      <c r="S74" s="8"/>
      <c r="T74" s="8"/>
      <c r="U74" s="8"/>
      <c r="V74" s="8"/>
      <c r="W74" s="8"/>
      <c r="X74" s="9"/>
    </row>
    <row r="75" spans="5:24" x14ac:dyDescent="0.2">
      <c r="E75" s="3"/>
      <c r="F75" s="6"/>
      <c r="G75" s="6"/>
      <c r="H75" s="6"/>
      <c r="I75" s="6"/>
      <c r="J75" s="6"/>
      <c r="K75" s="6"/>
      <c r="L75" s="9"/>
      <c r="M75" s="9"/>
      <c r="N75" s="9"/>
      <c r="O75" s="9"/>
      <c r="P75" s="9"/>
      <c r="Q75" s="9"/>
      <c r="R75" s="8"/>
      <c r="S75" s="8"/>
      <c r="T75" s="8"/>
      <c r="U75" s="8"/>
      <c r="V75" s="8"/>
      <c r="W75" s="8"/>
      <c r="X75" s="9"/>
    </row>
    <row r="76" spans="5:24" x14ac:dyDescent="0.2">
      <c r="E76" s="3"/>
      <c r="F76" s="6"/>
      <c r="G76" s="6"/>
      <c r="H76" s="6"/>
      <c r="I76" s="6"/>
      <c r="J76" s="6"/>
      <c r="K76" s="6"/>
      <c r="L76" s="9"/>
      <c r="M76" s="9"/>
      <c r="N76" s="9"/>
      <c r="O76" s="9"/>
      <c r="P76" s="9"/>
      <c r="Q76" s="9"/>
      <c r="R76" s="8"/>
      <c r="S76" s="8"/>
      <c r="T76" s="8"/>
      <c r="U76" s="8"/>
      <c r="V76" s="8"/>
      <c r="W76" s="8"/>
      <c r="X76" s="9"/>
    </row>
    <row r="77" spans="5:24" x14ac:dyDescent="0.2">
      <c r="E77" s="3"/>
      <c r="F77" s="6"/>
      <c r="G77" s="6"/>
      <c r="H77" s="6"/>
      <c r="I77" s="6"/>
      <c r="J77" s="6"/>
      <c r="K77" s="6"/>
      <c r="L77" s="9"/>
      <c r="M77" s="9"/>
      <c r="N77" s="9"/>
      <c r="O77" s="9"/>
      <c r="P77" s="9"/>
      <c r="Q77" s="9"/>
      <c r="R77" s="8"/>
      <c r="S77" s="8"/>
      <c r="T77" s="8"/>
      <c r="U77" s="8"/>
      <c r="V77" s="8"/>
      <c r="W77" s="8"/>
      <c r="X77" s="9"/>
    </row>
    <row r="78" spans="5:24" x14ac:dyDescent="0.2">
      <c r="E78" s="3"/>
      <c r="F78" s="6"/>
      <c r="G78" s="6"/>
      <c r="H78" s="6"/>
      <c r="I78" s="6"/>
      <c r="J78" s="6"/>
      <c r="K78" s="6"/>
      <c r="L78" s="9"/>
      <c r="M78" s="9"/>
      <c r="N78" s="9"/>
      <c r="O78" s="9"/>
      <c r="P78" s="9"/>
      <c r="Q78" s="9"/>
      <c r="R78" s="8"/>
      <c r="S78" s="8"/>
      <c r="T78" s="8"/>
      <c r="U78" s="8"/>
      <c r="V78" s="8"/>
      <c r="W78" s="8"/>
      <c r="X78" s="9"/>
    </row>
    <row r="79" spans="5:24" x14ac:dyDescent="0.2">
      <c r="E79" s="3"/>
      <c r="F79" s="6"/>
      <c r="G79" s="6"/>
      <c r="H79" s="6"/>
      <c r="I79" s="6"/>
      <c r="J79" s="6"/>
      <c r="K79" s="6"/>
      <c r="L79" s="9"/>
      <c r="M79" s="9"/>
      <c r="N79" s="9"/>
      <c r="O79" s="9"/>
      <c r="P79" s="9"/>
      <c r="Q79" s="9"/>
      <c r="R79" s="8"/>
      <c r="S79" s="8"/>
      <c r="T79" s="8"/>
      <c r="U79" s="8"/>
      <c r="V79" s="8"/>
      <c r="W79" s="8"/>
      <c r="X79" s="9"/>
    </row>
    <row r="80" spans="5:24" x14ac:dyDescent="0.2">
      <c r="E80" s="3"/>
      <c r="F80" s="6"/>
      <c r="G80" s="6"/>
      <c r="H80" s="6"/>
      <c r="I80" s="6"/>
      <c r="J80" s="6"/>
      <c r="K80" s="6"/>
      <c r="L80" s="9"/>
      <c r="M80" s="9"/>
      <c r="N80" s="9"/>
      <c r="O80" s="9"/>
      <c r="P80" s="9"/>
      <c r="Q80" s="9"/>
      <c r="R80" s="8"/>
      <c r="S80" s="8"/>
      <c r="T80" s="8"/>
      <c r="U80" s="8"/>
      <c r="V80" s="8"/>
      <c r="W80" s="8"/>
      <c r="X80" s="9"/>
    </row>
    <row r="81" spans="5:24" x14ac:dyDescent="0.2">
      <c r="E81" s="3"/>
      <c r="F81" s="6"/>
      <c r="G81" s="6"/>
      <c r="H81" s="6"/>
      <c r="I81" s="6"/>
      <c r="J81" s="6"/>
      <c r="K81" s="6"/>
      <c r="L81" s="9"/>
      <c r="M81" s="9"/>
      <c r="N81" s="9"/>
      <c r="O81" s="9"/>
      <c r="P81" s="9"/>
      <c r="Q81" s="9"/>
      <c r="R81" s="8"/>
      <c r="S81" s="8"/>
      <c r="T81" s="8"/>
      <c r="U81" s="8"/>
      <c r="V81" s="8"/>
      <c r="W81" s="8"/>
      <c r="X81" s="9"/>
    </row>
    <row r="82" spans="5:24" x14ac:dyDescent="0.2">
      <c r="E82" s="3"/>
      <c r="F82" s="6"/>
      <c r="G82" s="6"/>
      <c r="H82" s="6"/>
      <c r="I82" s="6"/>
      <c r="J82" s="6"/>
      <c r="K82" s="6"/>
      <c r="L82" s="9"/>
      <c r="M82" s="9"/>
      <c r="N82" s="9"/>
      <c r="O82" s="9"/>
      <c r="P82" s="9"/>
      <c r="Q82" s="9"/>
      <c r="R82" s="8"/>
      <c r="S82" s="8"/>
      <c r="T82" s="8"/>
      <c r="U82" s="8"/>
      <c r="V82" s="8"/>
      <c r="W82" s="8"/>
      <c r="X82" s="9"/>
    </row>
    <row r="83" spans="5:24" x14ac:dyDescent="0.2">
      <c r="E83" s="3"/>
      <c r="F83" s="6"/>
      <c r="G83" s="6"/>
      <c r="H83" s="6"/>
      <c r="I83" s="6"/>
      <c r="J83" s="6"/>
      <c r="K83" s="6"/>
      <c r="L83" s="9"/>
      <c r="M83" s="9"/>
      <c r="N83" s="9"/>
      <c r="O83" s="9"/>
      <c r="P83" s="9"/>
      <c r="Q83" s="9"/>
      <c r="R83" s="8"/>
      <c r="S83" s="8"/>
      <c r="T83" s="8"/>
      <c r="U83" s="8"/>
      <c r="V83" s="8"/>
      <c r="W83" s="8"/>
      <c r="X83" s="9"/>
    </row>
    <row r="84" spans="5:24" x14ac:dyDescent="0.2">
      <c r="E84" s="3"/>
      <c r="F84" s="6"/>
      <c r="G84" s="6"/>
      <c r="H84" s="6"/>
      <c r="I84" s="6"/>
      <c r="J84" s="6"/>
      <c r="K84" s="6"/>
      <c r="L84" s="9"/>
      <c r="M84" s="9"/>
      <c r="N84" s="9"/>
      <c r="O84" s="9"/>
      <c r="P84" s="9"/>
      <c r="Q84" s="9"/>
      <c r="R84" s="8"/>
      <c r="S84" s="8"/>
      <c r="T84" s="8"/>
      <c r="U84" s="8"/>
      <c r="V84" s="8"/>
      <c r="W84" s="8"/>
      <c r="X84" s="9"/>
    </row>
    <row r="85" spans="5:24" x14ac:dyDescent="0.2">
      <c r="E85" s="3"/>
      <c r="F85" s="6"/>
      <c r="G85" s="6"/>
      <c r="H85" s="6"/>
      <c r="I85" s="6"/>
      <c r="J85" s="6"/>
      <c r="K85" s="6"/>
      <c r="L85" s="9"/>
      <c r="M85" s="9"/>
      <c r="N85" s="9"/>
      <c r="O85" s="9"/>
      <c r="P85" s="9"/>
      <c r="Q85" s="9"/>
      <c r="R85" s="8"/>
      <c r="S85" s="8"/>
      <c r="T85" s="8"/>
      <c r="U85" s="8"/>
      <c r="V85" s="8"/>
      <c r="W85" s="8"/>
      <c r="X85" s="9"/>
    </row>
    <row r="86" spans="5:24" x14ac:dyDescent="0.2">
      <c r="E86" s="3"/>
      <c r="F86" s="6"/>
      <c r="G86" s="6"/>
      <c r="H86" s="6"/>
      <c r="I86" s="6"/>
      <c r="J86" s="6"/>
      <c r="K86" s="6"/>
      <c r="L86" s="9"/>
      <c r="M86" s="9"/>
      <c r="N86" s="9"/>
      <c r="O86" s="9"/>
      <c r="P86" s="9"/>
      <c r="Q86" s="9"/>
      <c r="R86" s="8"/>
      <c r="S86" s="8"/>
      <c r="T86" s="8"/>
      <c r="U86" s="8"/>
      <c r="V86" s="8"/>
      <c r="W86" s="8"/>
      <c r="X86" s="9"/>
    </row>
    <row r="87" spans="5:24" x14ac:dyDescent="0.2">
      <c r="E87" s="3"/>
      <c r="F87" s="6"/>
      <c r="G87" s="6"/>
      <c r="H87" s="6"/>
      <c r="I87" s="6"/>
      <c r="J87" s="6"/>
      <c r="K87" s="6"/>
      <c r="L87" s="9"/>
      <c r="M87" s="9"/>
      <c r="N87" s="9"/>
      <c r="O87" s="9"/>
      <c r="P87" s="9"/>
      <c r="Q87" s="9"/>
      <c r="R87" s="8"/>
      <c r="S87" s="8"/>
      <c r="T87" s="8"/>
      <c r="U87" s="8"/>
      <c r="V87" s="8"/>
      <c r="W87" s="8"/>
      <c r="X87" s="9"/>
    </row>
    <row r="88" spans="5:24" x14ac:dyDescent="0.2">
      <c r="E88" s="3"/>
      <c r="F88" s="6"/>
      <c r="G88" s="6"/>
      <c r="H88" s="6"/>
      <c r="I88" s="6"/>
      <c r="J88" s="6"/>
      <c r="K88" s="6"/>
      <c r="L88" s="9"/>
      <c r="M88" s="9"/>
      <c r="N88" s="9"/>
      <c r="O88" s="9"/>
      <c r="P88" s="9"/>
      <c r="Q88" s="9"/>
      <c r="R88" s="8"/>
      <c r="S88" s="8"/>
      <c r="T88" s="8"/>
      <c r="U88" s="8"/>
      <c r="V88" s="8"/>
      <c r="W88" s="8"/>
      <c r="X88" s="9"/>
    </row>
    <row r="89" spans="5:24" x14ac:dyDescent="0.2">
      <c r="E89" s="3"/>
      <c r="F89" s="6"/>
      <c r="G89" s="6"/>
      <c r="H89" s="6"/>
      <c r="I89" s="6"/>
      <c r="J89" s="6"/>
      <c r="K89" s="6"/>
      <c r="L89" s="9"/>
      <c r="M89" s="9"/>
      <c r="N89" s="9"/>
      <c r="O89" s="9"/>
      <c r="P89" s="9"/>
      <c r="Q89" s="9"/>
      <c r="R89" s="8"/>
      <c r="S89" s="8"/>
      <c r="T89" s="8"/>
      <c r="U89" s="8"/>
      <c r="V89" s="8"/>
      <c r="W89" s="8"/>
      <c r="X89" s="9"/>
    </row>
    <row r="90" spans="5:24" x14ac:dyDescent="0.2">
      <c r="E90" s="3"/>
      <c r="F90" s="6"/>
      <c r="G90" s="6"/>
      <c r="H90" s="6"/>
      <c r="I90" s="6"/>
      <c r="J90" s="6"/>
      <c r="K90" s="6"/>
      <c r="L90" s="9"/>
      <c r="M90" s="9"/>
      <c r="N90" s="9"/>
      <c r="O90" s="9"/>
      <c r="P90" s="9"/>
      <c r="Q90" s="9"/>
      <c r="R90" s="8"/>
      <c r="S90" s="8"/>
      <c r="T90" s="8"/>
      <c r="U90" s="8"/>
      <c r="V90" s="8"/>
      <c r="W90" s="8"/>
      <c r="X90" s="9"/>
    </row>
    <row r="91" spans="5:24" x14ac:dyDescent="0.2">
      <c r="E91" s="3"/>
      <c r="F91" s="6"/>
      <c r="G91" s="6"/>
      <c r="H91" s="6"/>
      <c r="I91" s="6"/>
      <c r="J91" s="6"/>
      <c r="K91" s="6"/>
      <c r="L91" s="9"/>
      <c r="M91" s="9"/>
      <c r="N91" s="9"/>
      <c r="O91" s="9"/>
      <c r="P91" s="9"/>
      <c r="Q91" s="9"/>
      <c r="R91" s="8"/>
      <c r="S91" s="8"/>
      <c r="T91" s="8"/>
      <c r="U91" s="8"/>
      <c r="V91" s="8"/>
      <c r="W91" s="8"/>
      <c r="X91" s="9"/>
    </row>
    <row r="92" spans="5:24" x14ac:dyDescent="0.2">
      <c r="E92" s="3"/>
      <c r="F92" s="6"/>
      <c r="G92" s="6"/>
      <c r="H92" s="6"/>
      <c r="I92" s="6"/>
      <c r="J92" s="6"/>
      <c r="K92" s="6"/>
      <c r="L92" s="9"/>
      <c r="M92" s="9"/>
      <c r="N92" s="9"/>
      <c r="O92" s="9"/>
      <c r="P92" s="9"/>
      <c r="Q92" s="9"/>
      <c r="R92" s="8"/>
      <c r="S92" s="8"/>
      <c r="T92" s="8"/>
      <c r="U92" s="8"/>
      <c r="V92" s="8"/>
      <c r="W92" s="8"/>
      <c r="X92" s="9"/>
    </row>
    <row r="93" spans="5:24" x14ac:dyDescent="0.2">
      <c r="E93" s="3"/>
      <c r="F93" s="6"/>
      <c r="G93" s="6"/>
      <c r="H93" s="6"/>
      <c r="I93" s="6"/>
      <c r="J93" s="6"/>
      <c r="K93" s="6"/>
      <c r="L93" s="9"/>
      <c r="M93" s="9"/>
      <c r="N93" s="9"/>
      <c r="O93" s="9"/>
      <c r="P93" s="9"/>
      <c r="Q93" s="9"/>
      <c r="R93" s="8"/>
      <c r="S93" s="8"/>
      <c r="T93" s="8"/>
      <c r="U93" s="8"/>
      <c r="V93" s="8"/>
      <c r="W93" s="8"/>
      <c r="X93" s="9"/>
    </row>
    <row r="94" spans="5:24" x14ac:dyDescent="0.2">
      <c r="E94" s="3"/>
      <c r="F94" s="6"/>
      <c r="G94" s="6"/>
      <c r="H94" s="6"/>
      <c r="I94" s="6"/>
      <c r="J94" s="6"/>
      <c r="K94" s="6"/>
      <c r="L94" s="9"/>
      <c r="M94" s="9"/>
      <c r="N94" s="9"/>
      <c r="O94" s="9"/>
      <c r="P94" s="9"/>
      <c r="Q94" s="9"/>
      <c r="R94" s="8"/>
      <c r="S94" s="8"/>
      <c r="T94" s="8"/>
      <c r="U94" s="8"/>
      <c r="V94" s="8"/>
      <c r="W94" s="8"/>
      <c r="X94" s="9"/>
    </row>
    <row r="95" spans="5:24" x14ac:dyDescent="0.2">
      <c r="E95" s="3"/>
      <c r="F95" s="6"/>
      <c r="G95" s="6"/>
      <c r="H95" s="6"/>
      <c r="I95" s="6"/>
      <c r="J95" s="6"/>
      <c r="K95" s="6"/>
      <c r="L95" s="9"/>
      <c r="M95" s="9"/>
      <c r="N95" s="9"/>
      <c r="O95" s="9"/>
      <c r="P95" s="9"/>
      <c r="Q95" s="9"/>
      <c r="R95" s="8"/>
      <c r="S95" s="8"/>
      <c r="T95" s="8"/>
      <c r="U95" s="8"/>
      <c r="V95" s="8"/>
      <c r="W95" s="8"/>
      <c r="X95" s="9"/>
    </row>
    <row r="96" spans="5:24" x14ac:dyDescent="0.2">
      <c r="E96" s="3"/>
      <c r="F96" s="6"/>
      <c r="G96" s="6"/>
      <c r="H96" s="6"/>
      <c r="I96" s="6"/>
      <c r="J96" s="6"/>
      <c r="K96" s="6"/>
      <c r="L96" s="9"/>
      <c r="M96" s="9"/>
      <c r="N96" s="9"/>
      <c r="O96" s="9"/>
      <c r="P96" s="9"/>
      <c r="Q96" s="9"/>
      <c r="R96" s="8"/>
      <c r="S96" s="8"/>
      <c r="T96" s="8"/>
      <c r="U96" s="8"/>
      <c r="V96" s="8"/>
      <c r="W96" s="8"/>
      <c r="X96" s="9"/>
    </row>
    <row r="97" spans="5:24" x14ac:dyDescent="0.2">
      <c r="E97" s="3"/>
      <c r="F97" s="6"/>
      <c r="G97" s="6"/>
      <c r="H97" s="6"/>
      <c r="I97" s="6"/>
      <c r="J97" s="6"/>
      <c r="K97" s="6"/>
      <c r="L97" s="9"/>
      <c r="M97" s="9"/>
      <c r="N97" s="9"/>
      <c r="O97" s="9"/>
      <c r="P97" s="9"/>
      <c r="Q97" s="9"/>
      <c r="R97" s="8"/>
      <c r="S97" s="8"/>
      <c r="T97" s="8"/>
      <c r="U97" s="8"/>
      <c r="V97" s="8"/>
      <c r="W97" s="8"/>
      <c r="X97" s="9"/>
    </row>
    <row r="98" spans="5:24" x14ac:dyDescent="0.2">
      <c r="E98" s="3"/>
      <c r="F98" s="6"/>
      <c r="G98" s="6"/>
      <c r="H98" s="6"/>
      <c r="I98" s="6"/>
      <c r="J98" s="6"/>
      <c r="K98" s="6"/>
      <c r="L98" s="9"/>
      <c r="M98" s="9"/>
      <c r="N98" s="9"/>
      <c r="O98" s="9"/>
      <c r="P98" s="9"/>
      <c r="Q98" s="9"/>
      <c r="R98" s="8"/>
      <c r="S98" s="8"/>
      <c r="T98" s="8"/>
      <c r="U98" s="8"/>
      <c r="V98" s="8"/>
      <c r="W98" s="8"/>
      <c r="X98" s="9"/>
    </row>
    <row r="99" spans="5:24" x14ac:dyDescent="0.2">
      <c r="E99" s="3"/>
      <c r="F99" s="6"/>
      <c r="G99" s="6"/>
      <c r="H99" s="6"/>
      <c r="I99" s="6"/>
      <c r="J99" s="6"/>
      <c r="K99" s="6"/>
      <c r="L99" s="9"/>
      <c r="M99" s="9"/>
      <c r="N99" s="9"/>
      <c r="O99" s="9"/>
      <c r="P99" s="9"/>
      <c r="Q99" s="9"/>
      <c r="R99" s="8"/>
      <c r="S99" s="8"/>
      <c r="T99" s="8"/>
      <c r="U99" s="8"/>
      <c r="V99" s="8"/>
      <c r="W99" s="8"/>
      <c r="X99" s="9"/>
    </row>
    <row r="100" spans="5:24" x14ac:dyDescent="0.2">
      <c r="E100" s="3"/>
      <c r="F100" s="6"/>
      <c r="G100" s="6"/>
      <c r="H100" s="6"/>
      <c r="I100" s="6"/>
      <c r="J100" s="6"/>
      <c r="K100" s="6"/>
      <c r="L100" s="9"/>
      <c r="M100" s="9"/>
      <c r="N100" s="9"/>
      <c r="O100" s="9"/>
      <c r="P100" s="9"/>
      <c r="Q100" s="9"/>
      <c r="R100" s="8"/>
      <c r="S100" s="8"/>
      <c r="T100" s="8"/>
      <c r="U100" s="8"/>
      <c r="V100" s="8"/>
      <c r="W100" s="8"/>
      <c r="X100" s="9"/>
    </row>
    <row r="101" spans="5:24" x14ac:dyDescent="0.2">
      <c r="E101" s="3"/>
      <c r="F101" s="6"/>
      <c r="G101" s="6"/>
      <c r="H101" s="6"/>
      <c r="I101" s="6"/>
      <c r="J101" s="6"/>
      <c r="K101" s="6"/>
      <c r="L101" s="9"/>
      <c r="M101" s="9"/>
      <c r="N101" s="9"/>
      <c r="O101" s="9"/>
      <c r="P101" s="9"/>
      <c r="Q101" s="9"/>
      <c r="R101" s="8"/>
      <c r="S101" s="8"/>
      <c r="T101" s="8"/>
      <c r="U101" s="8"/>
      <c r="V101" s="8"/>
      <c r="W101" s="8"/>
      <c r="X101" s="9"/>
    </row>
    <row r="102" spans="5:24" x14ac:dyDescent="0.2">
      <c r="E102" s="3"/>
      <c r="F102" s="6"/>
      <c r="G102" s="6"/>
      <c r="H102" s="6"/>
      <c r="I102" s="6"/>
      <c r="J102" s="6"/>
      <c r="K102" s="6"/>
      <c r="L102" s="9"/>
      <c r="M102" s="9"/>
      <c r="N102" s="9"/>
      <c r="O102" s="9"/>
      <c r="P102" s="9"/>
      <c r="Q102" s="9"/>
      <c r="R102" s="8"/>
      <c r="S102" s="8"/>
      <c r="T102" s="8"/>
      <c r="U102" s="8"/>
      <c r="V102" s="8"/>
      <c r="W102" s="8"/>
      <c r="X102" s="9"/>
    </row>
  </sheetData>
  <sheetProtection sheet="1" selectLockedCells="1"/>
  <mergeCells count="16">
    <mergeCell ref="AE1:AJ2"/>
    <mergeCell ref="AB1:AB2"/>
    <mergeCell ref="AC1:AC2"/>
    <mergeCell ref="AD1:AD2"/>
    <mergeCell ref="A1:A2"/>
    <mergeCell ref="F1:K1"/>
    <mergeCell ref="R1:W1"/>
    <mergeCell ref="X1:X2"/>
    <mergeCell ref="E1:E2"/>
    <mergeCell ref="B1:B2"/>
    <mergeCell ref="L1:Q1"/>
    <mergeCell ref="Z1:Z2"/>
    <mergeCell ref="Y1:Y2"/>
    <mergeCell ref="AA1:AA2"/>
    <mergeCell ref="C1:C2"/>
    <mergeCell ref="D1:D2"/>
  </mergeCells>
  <conditionalFormatting sqref="A1:B1048576">
    <cfRule type="expression" dxfId="13" priority="3">
      <formula>IF(OR($C1="P",$D1="P"),1,0)</formula>
    </cfRule>
    <cfRule type="expression" dxfId="12" priority="4">
      <formula>IF(AND($E1&lt;&gt;"",$E1&lt;=14-COUNTIF($C$3:$C$102,"P")-COUNTIF($D$3:$D$102,"P")),1,0)</formula>
    </cfRule>
    <cfRule type="expression" dxfId="11" priority="5">
      <formula>IF(AND($E1&lt;&gt;"",$E1&lt;=16-COUNTIF($C$3:$C$102,"P")-COUNTIF($D$3:$D$102,"P")),1,0)</formula>
    </cfRule>
  </conditionalFormatting>
  <conditionalFormatting sqref="AB3:AD53 C3:AA102">
    <cfRule type="expression" dxfId="10" priority="2">
      <formula>IF(AND($A3&lt;&gt;"",MOD(ROW(),2)=0),1,0)</formula>
    </cfRule>
    <cfRule type="expression" dxfId="9" priority="6">
      <formula>IF(AND($A3&lt;&gt;"",MOD(ROW(),2)=1),1,0)</formula>
    </cfRule>
  </conditionalFormatting>
  <conditionalFormatting sqref="E3:E102 K3:K102 W3:W102 Q3:Q102">
    <cfRule type="expression" dxfId="8" priority="1">
      <formula>IF($A3&lt;&gt;"",1,0)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A029A-4104-264B-9227-BEE5A454B7D6}">
  <sheetPr codeName="Sheet2"/>
  <dimension ref="A1:AJ102"/>
  <sheetViews>
    <sheetView workbookViewId="0">
      <pane xSplit="2" topLeftCell="C1" activePane="topRight" state="frozen"/>
      <selection pane="topRight" activeCell="A3" sqref="A3"/>
    </sheetView>
  </sheetViews>
  <sheetFormatPr baseColWidth="10" defaultRowHeight="16" x14ac:dyDescent="0.2"/>
  <cols>
    <col min="1" max="1" width="26.6640625" style="7" customWidth="1"/>
    <col min="2" max="2" width="7.33203125" style="6" bestFit="1" customWidth="1"/>
    <col min="3" max="3" width="16.5" style="5" bestFit="1" customWidth="1"/>
    <col min="4" max="4" width="17.6640625" style="5" bestFit="1" customWidth="1"/>
    <col min="5" max="5" width="10.83203125" style="4"/>
    <col min="6" max="11" width="10.83203125" style="7"/>
    <col min="25" max="25" width="10.83203125" style="2"/>
    <col min="26" max="26" width="14" style="2" bestFit="1" customWidth="1"/>
    <col min="27" max="27" width="10.83203125" style="9"/>
    <col min="28" max="30" width="0" hidden="1" customWidth="1"/>
  </cols>
  <sheetData>
    <row r="1" spans="1:36" s="10" customFormat="1" ht="16" customHeight="1" x14ac:dyDescent="0.2">
      <c r="A1" s="18" t="s">
        <v>0</v>
      </c>
      <c r="B1" s="18" t="s">
        <v>15</v>
      </c>
      <c r="C1" s="17" t="s">
        <v>115</v>
      </c>
      <c r="D1" s="17" t="s">
        <v>116</v>
      </c>
      <c r="E1" s="22" t="s">
        <v>63</v>
      </c>
      <c r="F1" s="19" t="s">
        <v>7</v>
      </c>
      <c r="G1" s="19"/>
      <c r="H1" s="19"/>
      <c r="I1" s="19"/>
      <c r="J1" s="19"/>
      <c r="K1" s="20"/>
      <c r="L1" s="21" t="s">
        <v>64</v>
      </c>
      <c r="M1" s="19"/>
      <c r="N1" s="19"/>
      <c r="O1" s="19"/>
      <c r="P1" s="19"/>
      <c r="Q1" s="20"/>
      <c r="R1" s="21" t="s">
        <v>8</v>
      </c>
      <c r="S1" s="19"/>
      <c r="T1" s="19"/>
      <c r="U1" s="19"/>
      <c r="V1" s="19"/>
      <c r="W1" s="20"/>
      <c r="X1" s="18" t="s">
        <v>9</v>
      </c>
      <c r="Y1" s="17" t="s">
        <v>65</v>
      </c>
      <c r="Z1" s="23" t="s">
        <v>117</v>
      </c>
      <c r="AA1" s="17" t="s">
        <v>113</v>
      </c>
      <c r="AB1" s="17" t="s">
        <v>154</v>
      </c>
      <c r="AC1" s="17" t="s">
        <v>155</v>
      </c>
      <c r="AD1" s="17" t="s">
        <v>156</v>
      </c>
      <c r="AE1" s="16" t="s">
        <v>114</v>
      </c>
      <c r="AF1" s="16"/>
      <c r="AG1" s="16"/>
      <c r="AH1" s="16"/>
      <c r="AI1" s="16"/>
      <c r="AJ1" s="16"/>
    </row>
    <row r="2" spans="1:36" s="10" customFormat="1" x14ac:dyDescent="0.2">
      <c r="A2" s="18"/>
      <c r="B2" s="18"/>
      <c r="C2" s="17"/>
      <c r="D2" s="17"/>
      <c r="E2" s="22"/>
      <c r="F2" s="12" t="s">
        <v>1</v>
      </c>
      <c r="G2" s="12" t="s">
        <v>2</v>
      </c>
      <c r="H2" s="12" t="s">
        <v>3</v>
      </c>
      <c r="I2" s="12" t="s">
        <v>4</v>
      </c>
      <c r="J2" s="12" t="s">
        <v>5</v>
      </c>
      <c r="K2" s="13" t="s">
        <v>6</v>
      </c>
      <c r="L2" s="11" t="s">
        <v>1</v>
      </c>
      <c r="M2" s="12" t="s">
        <v>2</v>
      </c>
      <c r="N2" s="12" t="s">
        <v>3</v>
      </c>
      <c r="O2" s="12" t="s">
        <v>4</v>
      </c>
      <c r="P2" s="12" t="s">
        <v>5</v>
      </c>
      <c r="Q2" s="13" t="s">
        <v>6</v>
      </c>
      <c r="R2" s="11" t="s">
        <v>1</v>
      </c>
      <c r="S2" s="12" t="s">
        <v>2</v>
      </c>
      <c r="T2" s="12" t="s">
        <v>3</v>
      </c>
      <c r="U2" s="12" t="s">
        <v>4</v>
      </c>
      <c r="V2" s="12" t="s">
        <v>5</v>
      </c>
      <c r="W2" s="13" t="s">
        <v>6</v>
      </c>
      <c r="X2" s="18"/>
      <c r="Y2" s="17"/>
      <c r="Z2" s="23"/>
      <c r="AA2" s="17"/>
      <c r="AB2" s="17"/>
      <c r="AC2" s="17"/>
      <c r="AD2" s="17"/>
      <c r="AE2" s="16"/>
      <c r="AF2" s="16"/>
      <c r="AG2" s="16"/>
      <c r="AH2" s="16"/>
      <c r="AI2" s="16"/>
      <c r="AJ2" s="16"/>
    </row>
    <row r="3" spans="1:36" x14ac:dyDescent="0.2">
      <c r="A3" s="7" t="s">
        <v>66</v>
      </c>
      <c r="B3" s="6" t="s">
        <v>19</v>
      </c>
      <c r="E3" s="3">
        <f t="shared" ref="E3:E34" si="0">IF(AA3="","",RANK(AA3,AA:AA))</f>
        <v>1</v>
      </c>
      <c r="F3" s="6">
        <v>1</v>
      </c>
      <c r="G3" s="6">
        <v>3</v>
      </c>
      <c r="H3" s="6"/>
      <c r="I3" s="6"/>
      <c r="J3" s="6"/>
      <c r="K3" s="6"/>
      <c r="L3" s="9">
        <f t="shared" ref="L3:L34" si="1">IF(OR($C3&lt;&gt;"",$D3&lt;&gt;"",F3=""),"",F3-SUMPRODUCT(--($C$3:$C$102="P"),--(F$3:F$102&lt;F3),--(F$3:F$102&lt;&gt;""))-SUMPRODUCT(--($D$3:$D$102="P"),--(F$3:F$102&lt;F3),--(F$3:F$102&lt;&gt;"")))</f>
        <v>1</v>
      </c>
      <c r="M3" s="9">
        <f t="shared" ref="M3:M34" si="2">IF(OR($C3&lt;&gt;"",$D3&lt;&gt;"",G3=""),"",G3-SUMPRODUCT(--($C$3:$C$102="P"),--(G$3:G$102&lt;G3),--(G$3:G$102&lt;&gt;""))-SUMPRODUCT(--($D$3:$D$102="P"),--(G$3:G$102&lt;G3),--(G$3:G$102&lt;&gt;"")))</f>
        <v>3</v>
      </c>
      <c r="N3" s="9" t="str">
        <f t="shared" ref="N3:N34" si="3">IF(OR($C3&lt;&gt;"",$D3&lt;&gt;"",H3=""),"",H3-SUMPRODUCT(--($C$3:$C$102="P"),--(H$3:H$102&lt;H3),--(H$3:H$102&lt;&gt;""))-SUMPRODUCT(--($D$3:$D$102="P"),--(H$3:H$102&lt;H3),--(H$3:H$102&lt;&gt;"")))</f>
        <v/>
      </c>
      <c r="O3" s="9" t="str">
        <f t="shared" ref="O3:O34" si="4">IF(OR($C3&lt;&gt;"",$D3&lt;&gt;"",I3=""),"",I3-SUMPRODUCT(--($C$3:$C$102="P"),--(I$3:I$102&lt;I3),--(I$3:I$102&lt;&gt;""))-SUMPRODUCT(--($D$3:$D$102="P"),--(I$3:I$102&lt;I3),--(I$3:I$102&lt;&gt;"")))</f>
        <v/>
      </c>
      <c r="P3" s="9" t="str">
        <f t="shared" ref="P3:P34" si="5">IF(OR($C3&lt;&gt;"",$D3&lt;&gt;"",J3=""),"",J3-SUMPRODUCT(--($C$3:$C$102="P"),--(J$3:J$102&lt;J3),--(J$3:J$102&lt;&gt;""))-SUMPRODUCT(--($D$3:$D$102="P"),--(J$3:J$102&lt;J3),--(J$3:J$102&lt;&gt;"")))</f>
        <v/>
      </c>
      <c r="Q3" s="9" t="str">
        <f t="shared" ref="Q3:Q34" si="6">IF(OR($C3&lt;&gt;"",$D3&lt;&gt;"",K3=""),"",K3-SUMPRODUCT(--($C$3:$C$102="P"),--(K$3:K$102&lt;K3),--(K$3:K$102&lt;&gt;""))-SUMPRODUCT(--($D$3:$D$102="P"),--(K$3:K$102&lt;K3),--(K$3:K$102&lt;&gt;"")))</f>
        <v/>
      </c>
      <c r="R3" s="9">
        <f t="shared" ref="R3:R34" si="7">IF(OR(L3="",L3&gt;30),"",IF(L3=1,60,IF(L3=2,55,IF(L3=3,50,IF(L3=4,44,IF(L3=5,38,IF(L3=6,32,IF(L3=7,28,IF(L3=8,25,IF(L3=9,22,IF(L3=10,21,IF(L3=11,20,IF(L3=12,19,IF(L3=13,18,IF(L3=14,17,IF(L3=15,16,IF(L3=16,15,IF(L3=17,14,IF(L3=18,13,IF(L3=19,12,IF(L3=20,11,IF(L3=21,10,IF(L3=22,9,IF(L3=23,8,IF(L3=24,7,IF(L3=25,6,IF(L3=26,5,IF(L3=27,4,IF(L3=28,3,IF(L3=29,2,IF(L3=30,1)))))))))))))))))))))))))))))))</f>
        <v>60</v>
      </c>
      <c r="S3" s="9">
        <f t="shared" ref="S3:S34" si="8">IF(OR(M3="",M3&gt;30),"",IF(M3=1,60,IF(M3=2,55,IF(M3=3,50,IF(M3=4,44,IF(M3=5,38,IF(M3=6,32,IF(M3=7,28,IF(M3=8,25,IF(M3=9,22,IF(M3=10,21,IF(M3=11,20,IF(M3=12,19,IF(M3=13,18,IF(M3=14,17,IF(M3=15,16,IF(M3=16,15,IF(M3=17,14,IF(M3=18,13,IF(M3=19,12,IF(M3=20,11,IF(M3=21,10,IF(M3=22,9,IF(M3=23,8,IF(M3=24,7,IF(M3=25,6,IF(M3=26,5,IF(M3=27,4,IF(M3=28,3,IF(M3=29,2,IF(M3=30,1)))))))))))))))))))))))))))))))</f>
        <v>50</v>
      </c>
      <c r="T3" s="9" t="str">
        <f t="shared" ref="T3:T34" si="9">IF(OR(N3="",N3&gt;30),"",IF(N3=1,60,IF(N3=2,55,IF(N3=3,50,IF(N3=4,44,IF(N3=5,38,IF(N3=6,32,IF(N3=7,28,IF(N3=8,25,IF(N3=9,22,IF(N3=10,21,IF(N3=11,20,IF(N3=12,19,IF(N3=13,18,IF(N3=14,17,IF(N3=15,16,IF(N3=16,15,IF(N3=17,14,IF(N3=18,13,IF(N3=19,12,IF(N3=20,11,IF(N3=21,10,IF(N3=22,9,IF(N3=23,8,IF(N3=24,7,IF(N3=25,6,IF(N3=26,5,IF(N3=27,4,IF(N3=28,3,IF(N3=29,2,IF(N3=30,1)))))))))))))))))))))))))))))))</f>
        <v/>
      </c>
      <c r="U3" s="9" t="str">
        <f t="shared" ref="U3:U34" si="10">IF(OR(O3="",O3&gt;30),"",IF(O3=1,60,IF(O3=2,55,IF(O3=3,50,IF(O3=4,44,IF(O3=5,38,IF(O3=6,32,IF(O3=7,28,IF(O3=8,25,IF(O3=9,22,IF(O3=10,21,IF(O3=11,20,IF(O3=12,19,IF(O3=13,18,IF(O3=14,17,IF(O3=15,16,IF(O3=16,15,IF(O3=17,14,IF(O3=18,13,IF(O3=19,12,IF(O3=20,11,IF(O3=21,10,IF(O3=22,9,IF(O3=23,8,IF(O3=24,7,IF(O3=25,6,IF(O3=26,5,IF(O3=27,4,IF(O3=28,3,IF(O3=29,2,IF(O3=30,1)))))))))))))))))))))))))))))))</f>
        <v/>
      </c>
      <c r="V3" s="9" t="str">
        <f t="shared" ref="V3:V34" si="11">IF(OR(P3="",P3&gt;30),"",IF(P3=1,60,IF(P3=2,55,IF(P3=3,50,IF(P3=4,44,IF(P3=5,38,IF(P3=6,32,IF(P3=7,28,IF(P3=8,25,IF(P3=9,22,IF(P3=10,21,IF(P3=11,20,IF(P3=12,19,IF(P3=13,18,IF(P3=14,17,IF(P3=15,16,IF(P3=16,15,IF(P3=17,14,IF(P3=18,13,IF(P3=19,12,IF(P3=20,11,IF(P3=21,10,IF(P3=22,9,IF(P3=23,8,IF(P3=24,7,IF(P3=25,6,IF(P3=26,5,IF(P3=27,4,IF(P3=28,3,IF(P3=29,2,IF(P3=30,1)))))))))))))))))))))))))))))))</f>
        <v/>
      </c>
      <c r="W3" s="9" t="str">
        <f t="shared" ref="W3:W34" si="12">IF(OR(Q3="",Q3&gt;30),"",IF(Q3=1,60,IF(Q3=2,55,IF(Q3=3,50,IF(Q3=4,44,IF(Q3=5,38,IF(Q3=6,32,IF(Q3=7,28,IF(Q3=8,25,IF(Q3=9,22,IF(Q3=10,21,IF(Q3=11,20,IF(Q3=12,19,IF(Q3=13,18,IF(Q3=14,17,IF(Q3=15,16,IF(Q3=16,15,IF(Q3=17,14,IF(Q3=18,13,IF(Q3=19,12,IF(Q3=20,11,IF(Q3=21,10,IF(Q3=22,9,IF(Q3=23,8,IF(Q3=24,7,IF(Q3=25,6,IF(Q3=26,5,IF(Q3=27,4,IF(Q3=28,3,IF(Q3=29,2,IF(Q3=30,1)))))))))))))))))))))))))))))))</f>
        <v/>
      </c>
      <c r="X3" s="15">
        <f>IF(A3="","",IF(OR(C3="P",D3="P"),"",IF(IF(COUNT(R3:W3)&lt;5,SUM(R3:W3),IF(COUNT(R3:W3)=5,SUM(R3:W3)-MIN(R3:W3),SUM(R3:W3)-MIN(R3:W3)-SMALL(R3:W3,2)))&gt;0,IF(COUNT(R3:W3)&lt;5,SUM(R3:W3)+(1000-AB3)*10^-4+AC3*10^-5+(1000-AD3)*10^-8,IF(COUNT(R3:W3)=5,SUM(R3:W3)-MIN(R3:W3)+(1000-AB3)*10^-4+AC3*10^-5+(1000-AD3)*10^-8,SUM(R3:W3)-MIN(R3:W3)-SMALL(R3:W3,2)+(1000-AB3)*10^-4+AC3*10^-5+(1000-AD3)*10^-8)),0)))</f>
        <v>110.09962999</v>
      </c>
      <c r="Y3" s="2" t="str">
        <f t="shared" ref="Y3:Y34" si="13">IF(OR(X3="",X3=0),"",IF(SUMPRODUCT(--(B$3:B$102=B3),--(X$3:X$102&gt;X3),--(X$3:X$102&lt;&gt;"")),"","P"))</f>
        <v>P</v>
      </c>
      <c r="Z3" s="2" t="str">
        <f t="shared" ref="Z3:Z34" si="14">IF(X3="","",IF(SUMPRODUCT(--(C$3:C$102="P"),--(B$3:B$102=B3)),"P",""))</f>
        <v/>
      </c>
      <c r="AA3" s="15">
        <f t="shared" ref="AA3:AA34" si="15">IF(AND(Y3&lt;&gt;"",OR(Z3="",SUMPRODUCT(--(X$3:X$102&gt;X3),--(Z$3:Z$102="P"),--(Y$3:Y$102="P"))&lt;4)),X3,"")</f>
        <v>110.09962999</v>
      </c>
      <c r="AB3" s="9">
        <f t="shared" ref="AB3:AB34" si="16">IF(A3="","",IF(OR(C3="P",D3="P"),"",IF(IF(COUNT(L3:Q3)&lt;5,SUM(L3:Q3),IF(COUNT(L3:Q3)=5,SUM(L3:Q3)-MIN(L3:Q3),SUM(L3:Q3)-MIN(L3:Q3)-SMALL(L3:Q3,2)))&gt;0,IF(COUNT(L3:Q3)&lt;5,SUM(L3:Q3),IF(COUNT(L3:Q3)=5,SUM(L3:Q3)-MIN(L3:Q3),SUM(L3:Q3)-MIN(L3:Q3)-SMALL(L3:Q3,2))),0)))</f>
        <v>4</v>
      </c>
      <c r="AC3" s="9">
        <f t="shared" ref="AC3:AC34" si="17">COUNTIF(L3:Q3,"&lt;=8")</f>
        <v>2</v>
      </c>
      <c r="AD3" s="9">
        <f t="shared" ref="AD3:AD34" si="18">MIN(L3:Q3)</f>
        <v>1</v>
      </c>
      <c r="AE3" s="14"/>
    </row>
    <row r="4" spans="1:36" x14ac:dyDescent="0.2">
      <c r="A4" s="7" t="s">
        <v>70</v>
      </c>
      <c r="B4" s="6" t="s">
        <v>20</v>
      </c>
      <c r="E4" s="3">
        <f t="shared" si="0"/>
        <v>2</v>
      </c>
      <c r="F4" s="6">
        <v>6</v>
      </c>
      <c r="G4" s="6">
        <v>2</v>
      </c>
      <c r="H4" s="6"/>
      <c r="I4" s="6"/>
      <c r="J4" s="6"/>
      <c r="K4" s="6"/>
      <c r="L4" s="9">
        <f t="shared" si="1"/>
        <v>6</v>
      </c>
      <c r="M4" s="9">
        <f t="shared" si="2"/>
        <v>2</v>
      </c>
      <c r="N4" s="9" t="str">
        <f t="shared" si="3"/>
        <v/>
      </c>
      <c r="O4" s="9" t="str">
        <f t="shared" si="4"/>
        <v/>
      </c>
      <c r="P4" s="9" t="str">
        <f t="shared" si="5"/>
        <v/>
      </c>
      <c r="Q4" s="9" t="str">
        <f t="shared" si="6"/>
        <v/>
      </c>
      <c r="R4" s="9">
        <f t="shared" si="7"/>
        <v>32</v>
      </c>
      <c r="S4" s="9">
        <f t="shared" si="8"/>
        <v>55</v>
      </c>
      <c r="T4" s="9" t="str">
        <f t="shared" si="9"/>
        <v/>
      </c>
      <c r="U4" s="9" t="str">
        <f t="shared" si="10"/>
        <v/>
      </c>
      <c r="V4" s="9" t="str">
        <f t="shared" si="11"/>
        <v/>
      </c>
      <c r="W4" s="9" t="str">
        <f t="shared" si="12"/>
        <v/>
      </c>
      <c r="X4" s="15">
        <f t="shared" ref="X4:X57" si="19">IF(A4="","",IF(OR(C4="P",D4="P"),"",IF(IF(COUNT(R4:W4)&lt;5,SUM(R4:W4),IF(COUNT(R4:W4)=5,SUM(R4:W4)-MIN(R4:W4),SUM(R4:W4)-MIN(R4:W4)-SMALL(R4:W4,2)))&gt;0,IF(COUNT(R4:W4)&lt;5,SUM(R4:W4)+(1000-AB4)*10^-4+AC4*10^-5+(1000-AD4)*10^-8,IF(COUNT(R4:W4)=5,SUM(R4:W4)-MIN(R4:W4)+(1000-AB4)*10^-4+AC4*10^-5+(1000-AD4)*10^-8,SUM(R4:W4)-MIN(R4:W4)-SMALL(R4:W4,2)+(1000-AB4)*10^-4+AC4*10^-5+(1000-AD4)*10^-8)),0)))</f>
        <v>87.099229980000004</v>
      </c>
      <c r="Y4" s="2" t="str">
        <f t="shared" si="13"/>
        <v>P</v>
      </c>
      <c r="Z4" s="2" t="str">
        <f t="shared" si="14"/>
        <v/>
      </c>
      <c r="AA4" s="15">
        <f t="shared" si="15"/>
        <v>87.099229980000004</v>
      </c>
      <c r="AB4" s="9">
        <f t="shared" si="16"/>
        <v>8</v>
      </c>
      <c r="AC4" s="9">
        <f t="shared" si="17"/>
        <v>2</v>
      </c>
      <c r="AD4" s="9">
        <f t="shared" si="18"/>
        <v>2</v>
      </c>
    </row>
    <row r="5" spans="1:36" x14ac:dyDescent="0.2">
      <c r="A5" s="7" t="s">
        <v>69</v>
      </c>
      <c r="B5" s="6" t="s">
        <v>55</v>
      </c>
      <c r="E5" s="3">
        <f t="shared" si="0"/>
        <v>3</v>
      </c>
      <c r="F5" s="6">
        <v>5</v>
      </c>
      <c r="G5" s="6">
        <v>4</v>
      </c>
      <c r="H5" s="6"/>
      <c r="I5" s="6"/>
      <c r="J5" s="6"/>
      <c r="K5" s="6"/>
      <c r="L5" s="9">
        <f t="shared" si="1"/>
        <v>5</v>
      </c>
      <c r="M5" s="9">
        <f t="shared" si="2"/>
        <v>4</v>
      </c>
      <c r="N5" s="9" t="str">
        <f t="shared" si="3"/>
        <v/>
      </c>
      <c r="O5" s="9" t="str">
        <f t="shared" si="4"/>
        <v/>
      </c>
      <c r="P5" s="9" t="str">
        <f t="shared" si="5"/>
        <v/>
      </c>
      <c r="Q5" s="9" t="str">
        <f t="shared" si="6"/>
        <v/>
      </c>
      <c r="R5" s="9">
        <f t="shared" si="7"/>
        <v>38</v>
      </c>
      <c r="S5" s="9">
        <f t="shared" si="8"/>
        <v>44</v>
      </c>
      <c r="T5" s="9" t="str">
        <f t="shared" si="9"/>
        <v/>
      </c>
      <c r="U5" s="9" t="str">
        <f t="shared" si="10"/>
        <v/>
      </c>
      <c r="V5" s="9" t="str">
        <f t="shared" si="11"/>
        <v/>
      </c>
      <c r="W5" s="9" t="str">
        <f t="shared" si="12"/>
        <v/>
      </c>
      <c r="X5" s="15">
        <f t="shared" si="19"/>
        <v>82.099129960000013</v>
      </c>
      <c r="Y5" s="2" t="str">
        <f t="shared" si="13"/>
        <v>P</v>
      </c>
      <c r="Z5" s="2" t="str">
        <f t="shared" si="14"/>
        <v/>
      </c>
      <c r="AA5" s="15">
        <f t="shared" si="15"/>
        <v>82.099129960000013</v>
      </c>
      <c r="AB5" s="9">
        <f t="shared" si="16"/>
        <v>9</v>
      </c>
      <c r="AC5" s="9">
        <f t="shared" si="17"/>
        <v>2</v>
      </c>
      <c r="AD5" s="9">
        <f t="shared" si="18"/>
        <v>4</v>
      </c>
    </row>
    <row r="6" spans="1:36" x14ac:dyDescent="0.2">
      <c r="A6" s="7" t="s">
        <v>82</v>
      </c>
      <c r="B6" s="6" t="s">
        <v>20</v>
      </c>
      <c r="E6" s="3" t="str">
        <f t="shared" si="0"/>
        <v/>
      </c>
      <c r="F6" s="6">
        <v>14</v>
      </c>
      <c r="G6" s="6">
        <v>1</v>
      </c>
      <c r="H6" s="6"/>
      <c r="I6" s="6"/>
      <c r="J6" s="6"/>
      <c r="K6" s="6"/>
      <c r="L6" s="9">
        <f t="shared" si="1"/>
        <v>14</v>
      </c>
      <c r="M6" s="9">
        <f t="shared" si="2"/>
        <v>1</v>
      </c>
      <c r="N6" s="9" t="str">
        <f t="shared" si="3"/>
        <v/>
      </c>
      <c r="O6" s="9" t="str">
        <f t="shared" si="4"/>
        <v/>
      </c>
      <c r="P6" s="9" t="str">
        <f t="shared" si="5"/>
        <v/>
      </c>
      <c r="Q6" s="9" t="str">
        <f t="shared" si="6"/>
        <v/>
      </c>
      <c r="R6" s="9">
        <f t="shared" si="7"/>
        <v>17</v>
      </c>
      <c r="S6" s="9">
        <f t="shared" si="8"/>
        <v>60</v>
      </c>
      <c r="T6" s="9" t="str">
        <f t="shared" si="9"/>
        <v/>
      </c>
      <c r="U6" s="9" t="str">
        <f t="shared" si="10"/>
        <v/>
      </c>
      <c r="V6" s="9" t="str">
        <f t="shared" si="11"/>
        <v/>
      </c>
      <c r="W6" s="9" t="str">
        <f t="shared" si="12"/>
        <v/>
      </c>
      <c r="X6" s="15">
        <f t="shared" si="19"/>
        <v>77.09851999</v>
      </c>
      <c r="Y6" s="2" t="str">
        <f t="shared" si="13"/>
        <v/>
      </c>
      <c r="Z6" s="2" t="str">
        <f t="shared" si="14"/>
        <v/>
      </c>
      <c r="AA6" s="15" t="str">
        <f t="shared" si="15"/>
        <v/>
      </c>
      <c r="AB6" s="9">
        <f t="shared" si="16"/>
        <v>15</v>
      </c>
      <c r="AC6" s="9">
        <f t="shared" si="17"/>
        <v>1</v>
      </c>
      <c r="AD6" s="9">
        <f t="shared" si="18"/>
        <v>1</v>
      </c>
    </row>
    <row r="7" spans="1:36" x14ac:dyDescent="0.2">
      <c r="A7" s="7" t="s">
        <v>67</v>
      </c>
      <c r="B7" s="6" t="s">
        <v>16</v>
      </c>
      <c r="E7" s="3">
        <f t="shared" si="0"/>
        <v>4</v>
      </c>
      <c r="F7" s="6">
        <v>2</v>
      </c>
      <c r="G7" s="6">
        <v>11</v>
      </c>
      <c r="H7" s="6"/>
      <c r="I7" s="6"/>
      <c r="J7" s="6"/>
      <c r="K7" s="6"/>
      <c r="L7" s="9">
        <f t="shared" si="1"/>
        <v>2</v>
      </c>
      <c r="M7" s="9">
        <f t="shared" si="2"/>
        <v>11</v>
      </c>
      <c r="N7" s="9" t="str">
        <f t="shared" si="3"/>
        <v/>
      </c>
      <c r="O7" s="9" t="str">
        <f t="shared" si="4"/>
        <v/>
      </c>
      <c r="P7" s="9" t="str">
        <f t="shared" si="5"/>
        <v/>
      </c>
      <c r="Q7" s="9" t="str">
        <f t="shared" si="6"/>
        <v/>
      </c>
      <c r="R7" s="9">
        <f t="shared" si="7"/>
        <v>55</v>
      </c>
      <c r="S7" s="9">
        <f t="shared" si="8"/>
        <v>20</v>
      </c>
      <c r="T7" s="9" t="str">
        <f t="shared" si="9"/>
        <v/>
      </c>
      <c r="U7" s="9" t="str">
        <f t="shared" si="10"/>
        <v/>
      </c>
      <c r="V7" s="9" t="str">
        <f t="shared" si="11"/>
        <v/>
      </c>
      <c r="W7" s="9" t="str">
        <f t="shared" si="12"/>
        <v/>
      </c>
      <c r="X7" s="15">
        <f t="shared" si="19"/>
        <v>75.098719979999998</v>
      </c>
      <c r="Y7" s="2" t="str">
        <f t="shared" si="13"/>
        <v>P</v>
      </c>
      <c r="Z7" s="2" t="str">
        <f t="shared" si="14"/>
        <v/>
      </c>
      <c r="AA7" s="15">
        <f t="shared" si="15"/>
        <v>75.098719979999998</v>
      </c>
      <c r="AB7" s="9">
        <f t="shared" si="16"/>
        <v>13</v>
      </c>
      <c r="AC7" s="9">
        <f t="shared" si="17"/>
        <v>1</v>
      </c>
      <c r="AD7" s="9">
        <f t="shared" si="18"/>
        <v>2</v>
      </c>
      <c r="AE7" s="14"/>
    </row>
    <row r="8" spans="1:36" x14ac:dyDescent="0.2">
      <c r="A8" s="7" t="s">
        <v>74</v>
      </c>
      <c r="B8" s="6" t="s">
        <v>16</v>
      </c>
      <c r="E8" s="3" t="str">
        <f t="shared" si="0"/>
        <v/>
      </c>
      <c r="F8" s="6">
        <v>4</v>
      </c>
      <c r="G8" s="6">
        <v>8</v>
      </c>
      <c r="H8" s="6"/>
      <c r="I8" s="6"/>
      <c r="J8" s="6"/>
      <c r="K8" s="6"/>
      <c r="L8" s="9">
        <f t="shared" si="1"/>
        <v>4</v>
      </c>
      <c r="M8" s="9">
        <f t="shared" si="2"/>
        <v>8</v>
      </c>
      <c r="N8" s="9" t="str">
        <f t="shared" si="3"/>
        <v/>
      </c>
      <c r="O8" s="9" t="str">
        <f t="shared" si="4"/>
        <v/>
      </c>
      <c r="P8" s="9" t="str">
        <f t="shared" si="5"/>
        <v/>
      </c>
      <c r="Q8" s="9" t="str">
        <f t="shared" si="6"/>
        <v/>
      </c>
      <c r="R8" s="9">
        <f t="shared" si="7"/>
        <v>44</v>
      </c>
      <c r="S8" s="9">
        <f t="shared" si="8"/>
        <v>25</v>
      </c>
      <c r="T8" s="9" t="str">
        <f t="shared" si="9"/>
        <v/>
      </c>
      <c r="U8" s="9" t="str">
        <f t="shared" si="10"/>
        <v/>
      </c>
      <c r="V8" s="9" t="str">
        <f t="shared" si="11"/>
        <v/>
      </c>
      <c r="W8" s="9" t="str">
        <f t="shared" si="12"/>
        <v/>
      </c>
      <c r="X8" s="15">
        <f t="shared" si="19"/>
        <v>69.098829960000003</v>
      </c>
      <c r="Y8" s="2" t="str">
        <f t="shared" si="13"/>
        <v/>
      </c>
      <c r="Z8" s="2" t="str">
        <f t="shared" si="14"/>
        <v/>
      </c>
      <c r="AA8" s="15" t="str">
        <f t="shared" si="15"/>
        <v/>
      </c>
      <c r="AB8" s="9">
        <f t="shared" si="16"/>
        <v>12</v>
      </c>
      <c r="AC8" s="9">
        <f t="shared" si="17"/>
        <v>2</v>
      </c>
      <c r="AD8" s="9">
        <f t="shared" si="18"/>
        <v>4</v>
      </c>
    </row>
    <row r="9" spans="1:36" x14ac:dyDescent="0.2">
      <c r="A9" s="7" t="s">
        <v>68</v>
      </c>
      <c r="B9" s="6" t="s">
        <v>18</v>
      </c>
      <c r="E9" s="3">
        <f t="shared" si="0"/>
        <v>5</v>
      </c>
      <c r="F9" s="6">
        <v>3</v>
      </c>
      <c r="G9" s="6">
        <v>12</v>
      </c>
      <c r="H9" s="6"/>
      <c r="I9" s="6"/>
      <c r="J9" s="6"/>
      <c r="K9" s="6"/>
      <c r="L9" s="9">
        <f t="shared" si="1"/>
        <v>3</v>
      </c>
      <c r="M9" s="9">
        <f t="shared" si="2"/>
        <v>12</v>
      </c>
      <c r="N9" s="9" t="str">
        <f t="shared" si="3"/>
        <v/>
      </c>
      <c r="O9" s="9" t="str">
        <f t="shared" si="4"/>
        <v/>
      </c>
      <c r="P9" s="9" t="str">
        <f t="shared" si="5"/>
        <v/>
      </c>
      <c r="Q9" s="9" t="str">
        <f t="shared" si="6"/>
        <v/>
      </c>
      <c r="R9" s="9">
        <f t="shared" si="7"/>
        <v>50</v>
      </c>
      <c r="S9" s="9">
        <f t="shared" si="8"/>
        <v>19</v>
      </c>
      <c r="T9" s="9" t="str">
        <f t="shared" si="9"/>
        <v/>
      </c>
      <c r="U9" s="9" t="str">
        <f t="shared" si="10"/>
        <v/>
      </c>
      <c r="V9" s="9" t="str">
        <f t="shared" si="11"/>
        <v/>
      </c>
      <c r="W9" s="9" t="str">
        <f t="shared" si="12"/>
        <v/>
      </c>
      <c r="X9" s="15">
        <f t="shared" si="19"/>
        <v>69.098519969999998</v>
      </c>
      <c r="Y9" s="2" t="str">
        <f t="shared" si="13"/>
        <v>P</v>
      </c>
      <c r="Z9" s="2" t="str">
        <f t="shared" si="14"/>
        <v/>
      </c>
      <c r="AA9" s="15">
        <f t="shared" si="15"/>
        <v>69.098519969999998</v>
      </c>
      <c r="AB9" s="9">
        <f t="shared" si="16"/>
        <v>15</v>
      </c>
      <c r="AC9" s="9">
        <f t="shared" si="17"/>
        <v>1</v>
      </c>
      <c r="AD9" s="9">
        <f t="shared" si="18"/>
        <v>3</v>
      </c>
    </row>
    <row r="10" spans="1:36" x14ac:dyDescent="0.2">
      <c r="A10" s="7" t="s">
        <v>72</v>
      </c>
      <c r="B10" s="6" t="s">
        <v>19</v>
      </c>
      <c r="E10" s="3" t="str">
        <f t="shared" si="0"/>
        <v/>
      </c>
      <c r="F10" s="6">
        <v>8</v>
      </c>
      <c r="G10" s="6">
        <v>5</v>
      </c>
      <c r="H10" s="6"/>
      <c r="I10" s="6"/>
      <c r="J10" s="6"/>
      <c r="K10" s="6"/>
      <c r="L10" s="9">
        <f t="shared" si="1"/>
        <v>8</v>
      </c>
      <c r="M10" s="9">
        <f t="shared" si="2"/>
        <v>5</v>
      </c>
      <c r="N10" s="9" t="str">
        <f t="shared" si="3"/>
        <v/>
      </c>
      <c r="O10" s="9" t="str">
        <f t="shared" si="4"/>
        <v/>
      </c>
      <c r="P10" s="9" t="str">
        <f t="shared" si="5"/>
        <v/>
      </c>
      <c r="Q10" s="9" t="str">
        <f t="shared" si="6"/>
        <v/>
      </c>
      <c r="R10" s="9">
        <f t="shared" si="7"/>
        <v>25</v>
      </c>
      <c r="S10" s="9">
        <f t="shared" si="8"/>
        <v>38</v>
      </c>
      <c r="T10" s="9" t="str">
        <f t="shared" si="9"/>
        <v/>
      </c>
      <c r="U10" s="9" t="str">
        <f t="shared" si="10"/>
        <v/>
      </c>
      <c r="V10" s="9" t="str">
        <f t="shared" si="11"/>
        <v/>
      </c>
      <c r="W10" s="9" t="str">
        <f t="shared" si="12"/>
        <v/>
      </c>
      <c r="X10" s="15">
        <f t="shared" si="19"/>
        <v>63.098729949999999</v>
      </c>
      <c r="Y10" s="2" t="str">
        <f t="shared" si="13"/>
        <v/>
      </c>
      <c r="Z10" s="2" t="str">
        <f t="shared" si="14"/>
        <v/>
      </c>
      <c r="AA10" s="15" t="str">
        <f t="shared" si="15"/>
        <v/>
      </c>
      <c r="AB10" s="9">
        <f t="shared" si="16"/>
        <v>13</v>
      </c>
      <c r="AC10" s="9">
        <f t="shared" si="17"/>
        <v>2</v>
      </c>
      <c r="AD10" s="9">
        <f t="shared" si="18"/>
        <v>5</v>
      </c>
    </row>
    <row r="11" spans="1:36" x14ac:dyDescent="0.2">
      <c r="A11" s="7" t="s">
        <v>80</v>
      </c>
      <c r="B11" s="6" t="s">
        <v>84</v>
      </c>
      <c r="E11" s="3">
        <f t="shared" si="0"/>
        <v>6</v>
      </c>
      <c r="F11" s="6">
        <v>12</v>
      </c>
      <c r="G11" s="6">
        <v>7</v>
      </c>
      <c r="H11" s="6"/>
      <c r="I11" s="6"/>
      <c r="J11" s="6"/>
      <c r="K11" s="6"/>
      <c r="L11" s="9">
        <f t="shared" si="1"/>
        <v>12</v>
      </c>
      <c r="M11" s="9">
        <f t="shared" si="2"/>
        <v>7</v>
      </c>
      <c r="N11" s="9" t="str">
        <f t="shared" si="3"/>
        <v/>
      </c>
      <c r="O11" s="9" t="str">
        <f t="shared" si="4"/>
        <v/>
      </c>
      <c r="P11" s="9" t="str">
        <f t="shared" si="5"/>
        <v/>
      </c>
      <c r="Q11" s="9" t="str">
        <f t="shared" si="6"/>
        <v/>
      </c>
      <c r="R11" s="9">
        <f t="shared" si="7"/>
        <v>19</v>
      </c>
      <c r="S11" s="9">
        <f t="shared" si="8"/>
        <v>28</v>
      </c>
      <c r="T11" s="9" t="str">
        <f t="shared" si="9"/>
        <v/>
      </c>
      <c r="U11" s="9" t="str">
        <f t="shared" si="10"/>
        <v/>
      </c>
      <c r="V11" s="9" t="str">
        <f t="shared" si="11"/>
        <v/>
      </c>
      <c r="W11" s="9" t="str">
        <f t="shared" si="12"/>
        <v/>
      </c>
      <c r="X11" s="15">
        <f t="shared" si="19"/>
        <v>47.098119930000003</v>
      </c>
      <c r="Y11" s="2" t="str">
        <f t="shared" si="13"/>
        <v>P</v>
      </c>
      <c r="Z11" s="2" t="str">
        <f t="shared" si="14"/>
        <v/>
      </c>
      <c r="AA11" s="15">
        <f t="shared" si="15"/>
        <v>47.098119930000003</v>
      </c>
      <c r="AB11" s="9">
        <f t="shared" si="16"/>
        <v>19</v>
      </c>
      <c r="AC11" s="9">
        <f t="shared" si="17"/>
        <v>1</v>
      </c>
      <c r="AD11" s="9">
        <f t="shared" si="18"/>
        <v>7</v>
      </c>
    </row>
    <row r="12" spans="1:36" x14ac:dyDescent="0.2">
      <c r="A12" s="7" t="s">
        <v>83</v>
      </c>
      <c r="B12" s="6" t="s">
        <v>20</v>
      </c>
      <c r="E12" s="3" t="str">
        <f t="shared" si="0"/>
        <v/>
      </c>
      <c r="F12" s="6">
        <v>15</v>
      </c>
      <c r="G12" s="6">
        <v>9</v>
      </c>
      <c r="H12" s="6"/>
      <c r="I12" s="6"/>
      <c r="J12" s="6"/>
      <c r="K12" s="6"/>
      <c r="L12" s="9">
        <f t="shared" si="1"/>
        <v>15</v>
      </c>
      <c r="M12" s="9">
        <f t="shared" si="2"/>
        <v>9</v>
      </c>
      <c r="N12" s="9" t="str">
        <f t="shared" si="3"/>
        <v/>
      </c>
      <c r="O12" s="9" t="str">
        <f t="shared" si="4"/>
        <v/>
      </c>
      <c r="P12" s="9" t="str">
        <f t="shared" si="5"/>
        <v/>
      </c>
      <c r="Q12" s="9" t="str">
        <f t="shared" si="6"/>
        <v/>
      </c>
      <c r="R12" s="9">
        <f t="shared" si="7"/>
        <v>16</v>
      </c>
      <c r="S12" s="9">
        <f t="shared" si="8"/>
        <v>22</v>
      </c>
      <c r="T12" s="9" t="str">
        <f t="shared" si="9"/>
        <v/>
      </c>
      <c r="U12" s="9" t="str">
        <f t="shared" si="10"/>
        <v/>
      </c>
      <c r="V12" s="9" t="str">
        <f t="shared" si="11"/>
        <v/>
      </c>
      <c r="W12" s="9" t="str">
        <f t="shared" si="12"/>
        <v/>
      </c>
      <c r="X12" s="15">
        <f t="shared" si="19"/>
        <v>38.097609910000003</v>
      </c>
      <c r="Y12" s="2" t="str">
        <f t="shared" si="13"/>
        <v/>
      </c>
      <c r="Z12" s="2" t="str">
        <f t="shared" si="14"/>
        <v/>
      </c>
      <c r="AA12" s="15" t="str">
        <f t="shared" si="15"/>
        <v/>
      </c>
      <c r="AB12" s="9">
        <f t="shared" si="16"/>
        <v>24</v>
      </c>
      <c r="AC12" s="9">
        <f t="shared" si="17"/>
        <v>0</v>
      </c>
      <c r="AD12" s="9">
        <f t="shared" si="18"/>
        <v>9</v>
      </c>
    </row>
    <row r="13" spans="1:36" x14ac:dyDescent="0.2">
      <c r="A13" s="7" t="s">
        <v>118</v>
      </c>
      <c r="B13" s="6" t="s">
        <v>18</v>
      </c>
      <c r="E13" s="3" t="str">
        <f t="shared" si="0"/>
        <v/>
      </c>
      <c r="F13" s="6">
        <v>66</v>
      </c>
      <c r="G13" s="6">
        <v>6</v>
      </c>
      <c r="H13" s="6"/>
      <c r="I13" s="6"/>
      <c r="J13" s="6"/>
      <c r="K13" s="6"/>
      <c r="L13" s="9">
        <f t="shared" si="1"/>
        <v>66</v>
      </c>
      <c r="M13" s="9">
        <f t="shared" si="2"/>
        <v>6</v>
      </c>
      <c r="N13" s="9" t="str">
        <f t="shared" si="3"/>
        <v/>
      </c>
      <c r="O13" s="9" t="str">
        <f t="shared" si="4"/>
        <v/>
      </c>
      <c r="P13" s="9" t="str">
        <f t="shared" si="5"/>
        <v/>
      </c>
      <c r="Q13" s="9" t="str">
        <f t="shared" si="6"/>
        <v/>
      </c>
      <c r="R13" s="9" t="str">
        <f t="shared" si="7"/>
        <v/>
      </c>
      <c r="S13" s="9">
        <f t="shared" si="8"/>
        <v>32</v>
      </c>
      <c r="T13" s="9" t="str">
        <f t="shared" si="9"/>
        <v/>
      </c>
      <c r="U13" s="9" t="str">
        <f t="shared" si="10"/>
        <v/>
      </c>
      <c r="V13" s="9" t="str">
        <f t="shared" si="11"/>
        <v/>
      </c>
      <c r="W13" s="9" t="str">
        <f t="shared" si="12"/>
        <v/>
      </c>
      <c r="X13" s="15">
        <f t="shared" si="19"/>
        <v>32.092819939999998</v>
      </c>
      <c r="Y13" s="2" t="str">
        <f t="shared" si="13"/>
        <v/>
      </c>
      <c r="Z13" s="2" t="str">
        <f t="shared" si="14"/>
        <v/>
      </c>
      <c r="AA13" s="15" t="str">
        <f t="shared" si="15"/>
        <v/>
      </c>
      <c r="AB13" s="9">
        <f t="shared" si="16"/>
        <v>72</v>
      </c>
      <c r="AC13" s="9">
        <f t="shared" si="17"/>
        <v>1</v>
      </c>
      <c r="AD13" s="9">
        <f t="shared" si="18"/>
        <v>6</v>
      </c>
    </row>
    <row r="14" spans="1:36" x14ac:dyDescent="0.2">
      <c r="A14" s="7" t="s">
        <v>87</v>
      </c>
      <c r="B14" s="6" t="s">
        <v>61</v>
      </c>
      <c r="E14" s="3">
        <f t="shared" si="0"/>
        <v>7</v>
      </c>
      <c r="F14" s="6">
        <v>18</v>
      </c>
      <c r="G14" s="6">
        <v>13</v>
      </c>
      <c r="H14" s="6"/>
      <c r="I14" s="6"/>
      <c r="J14" s="6"/>
      <c r="K14" s="6"/>
      <c r="L14" s="9">
        <f t="shared" si="1"/>
        <v>18</v>
      </c>
      <c r="M14" s="9">
        <f t="shared" si="2"/>
        <v>13</v>
      </c>
      <c r="N14" s="9" t="str">
        <f t="shared" si="3"/>
        <v/>
      </c>
      <c r="O14" s="9" t="str">
        <f t="shared" si="4"/>
        <v/>
      </c>
      <c r="P14" s="9" t="str">
        <f t="shared" si="5"/>
        <v/>
      </c>
      <c r="Q14" s="9" t="str">
        <f t="shared" si="6"/>
        <v/>
      </c>
      <c r="R14" s="9">
        <f t="shared" si="7"/>
        <v>13</v>
      </c>
      <c r="S14" s="9">
        <f t="shared" si="8"/>
        <v>18</v>
      </c>
      <c r="T14" s="9" t="str">
        <f t="shared" si="9"/>
        <v/>
      </c>
      <c r="U14" s="9" t="str">
        <f t="shared" si="10"/>
        <v/>
      </c>
      <c r="V14" s="9" t="str">
        <f t="shared" si="11"/>
        <v/>
      </c>
      <c r="W14" s="9" t="str">
        <f t="shared" si="12"/>
        <v/>
      </c>
      <c r="X14" s="15">
        <f t="shared" si="19"/>
        <v>31.096909870000001</v>
      </c>
      <c r="Y14" s="2" t="str">
        <f t="shared" si="13"/>
        <v>P</v>
      </c>
      <c r="Z14" s="2" t="str">
        <f t="shared" si="14"/>
        <v/>
      </c>
      <c r="AA14" s="15">
        <f t="shared" si="15"/>
        <v>31.096909870000001</v>
      </c>
      <c r="AB14" s="9">
        <f t="shared" si="16"/>
        <v>31</v>
      </c>
      <c r="AC14" s="9">
        <f t="shared" si="17"/>
        <v>0</v>
      </c>
      <c r="AD14" s="9">
        <f t="shared" si="18"/>
        <v>13</v>
      </c>
    </row>
    <row r="15" spans="1:36" x14ac:dyDescent="0.2">
      <c r="A15" s="7" t="s">
        <v>71</v>
      </c>
      <c r="B15" s="6" t="s">
        <v>18</v>
      </c>
      <c r="E15" s="3" t="str">
        <f t="shared" si="0"/>
        <v/>
      </c>
      <c r="F15" s="6">
        <v>7</v>
      </c>
      <c r="G15" s="6">
        <v>52</v>
      </c>
      <c r="H15" s="6"/>
      <c r="I15" s="6"/>
      <c r="J15" s="6"/>
      <c r="K15" s="6"/>
      <c r="L15" s="9">
        <f t="shared" si="1"/>
        <v>7</v>
      </c>
      <c r="M15" s="9">
        <f t="shared" si="2"/>
        <v>52</v>
      </c>
      <c r="N15" s="9" t="str">
        <f t="shared" si="3"/>
        <v/>
      </c>
      <c r="O15" s="9" t="str">
        <f t="shared" si="4"/>
        <v/>
      </c>
      <c r="P15" s="9" t="str">
        <f t="shared" si="5"/>
        <v/>
      </c>
      <c r="Q15" s="9" t="str">
        <f t="shared" si="6"/>
        <v/>
      </c>
      <c r="R15" s="9">
        <f t="shared" si="7"/>
        <v>28</v>
      </c>
      <c r="S15" s="9" t="str">
        <f t="shared" si="8"/>
        <v/>
      </c>
      <c r="T15" s="9" t="str">
        <f t="shared" si="9"/>
        <v/>
      </c>
      <c r="U15" s="9" t="str">
        <f t="shared" si="10"/>
        <v/>
      </c>
      <c r="V15" s="9" t="str">
        <f t="shared" si="11"/>
        <v/>
      </c>
      <c r="W15" s="9" t="str">
        <f t="shared" si="12"/>
        <v/>
      </c>
      <c r="X15" s="15">
        <f t="shared" si="19"/>
        <v>28.094119930000002</v>
      </c>
      <c r="Y15" s="2" t="str">
        <f t="shared" si="13"/>
        <v/>
      </c>
      <c r="Z15" s="2" t="str">
        <f t="shared" si="14"/>
        <v/>
      </c>
      <c r="AA15" s="15" t="str">
        <f t="shared" si="15"/>
        <v/>
      </c>
      <c r="AB15" s="9">
        <f t="shared" si="16"/>
        <v>59</v>
      </c>
      <c r="AC15" s="9">
        <f t="shared" si="17"/>
        <v>1</v>
      </c>
      <c r="AD15" s="9">
        <f t="shared" si="18"/>
        <v>7</v>
      </c>
    </row>
    <row r="16" spans="1:36" x14ac:dyDescent="0.2">
      <c r="A16" s="7" t="s">
        <v>91</v>
      </c>
      <c r="B16" s="6" t="s">
        <v>61</v>
      </c>
      <c r="E16" s="3" t="str">
        <f t="shared" si="0"/>
        <v/>
      </c>
      <c r="F16" s="6">
        <v>22</v>
      </c>
      <c r="G16" s="6">
        <v>14</v>
      </c>
      <c r="H16" s="6"/>
      <c r="I16" s="6"/>
      <c r="J16" s="6"/>
      <c r="K16" s="6"/>
      <c r="L16" s="9">
        <f t="shared" si="1"/>
        <v>22</v>
      </c>
      <c r="M16" s="9">
        <f t="shared" si="2"/>
        <v>14</v>
      </c>
      <c r="N16" s="9" t="str">
        <f t="shared" si="3"/>
        <v/>
      </c>
      <c r="O16" s="9" t="str">
        <f t="shared" si="4"/>
        <v/>
      </c>
      <c r="P16" s="9" t="str">
        <f t="shared" si="5"/>
        <v/>
      </c>
      <c r="Q16" s="9" t="str">
        <f t="shared" si="6"/>
        <v/>
      </c>
      <c r="R16" s="9">
        <f t="shared" si="7"/>
        <v>9</v>
      </c>
      <c r="S16" s="9">
        <f t="shared" si="8"/>
        <v>17</v>
      </c>
      <c r="T16" s="9" t="str">
        <f t="shared" si="9"/>
        <v/>
      </c>
      <c r="U16" s="9" t="str">
        <f t="shared" si="10"/>
        <v/>
      </c>
      <c r="V16" s="9" t="str">
        <f t="shared" si="11"/>
        <v/>
      </c>
      <c r="W16" s="9" t="str">
        <f t="shared" si="12"/>
        <v/>
      </c>
      <c r="X16" s="15">
        <f t="shared" si="19"/>
        <v>26.096409859999998</v>
      </c>
      <c r="Y16" s="2" t="str">
        <f t="shared" si="13"/>
        <v/>
      </c>
      <c r="Z16" s="2" t="str">
        <f t="shared" si="14"/>
        <v/>
      </c>
      <c r="AA16" s="15" t="str">
        <f t="shared" si="15"/>
        <v/>
      </c>
      <c r="AB16" s="9">
        <f t="shared" si="16"/>
        <v>36</v>
      </c>
      <c r="AC16" s="9">
        <f t="shared" si="17"/>
        <v>0</v>
      </c>
      <c r="AD16" s="9">
        <f t="shared" si="18"/>
        <v>14</v>
      </c>
    </row>
    <row r="17" spans="1:30" x14ac:dyDescent="0.2">
      <c r="A17" s="7" t="s">
        <v>94</v>
      </c>
      <c r="B17" s="6" t="s">
        <v>17</v>
      </c>
      <c r="E17" s="3">
        <f t="shared" si="0"/>
        <v>8</v>
      </c>
      <c r="F17" s="6">
        <v>25</v>
      </c>
      <c r="G17" s="6">
        <v>15</v>
      </c>
      <c r="H17" s="6"/>
      <c r="I17" s="6"/>
      <c r="J17" s="6"/>
      <c r="K17" s="6"/>
      <c r="L17" s="9">
        <f t="shared" si="1"/>
        <v>25</v>
      </c>
      <c r="M17" s="9">
        <f t="shared" si="2"/>
        <v>15</v>
      </c>
      <c r="N17" s="9" t="str">
        <f t="shared" si="3"/>
        <v/>
      </c>
      <c r="O17" s="9" t="str">
        <f t="shared" si="4"/>
        <v/>
      </c>
      <c r="P17" s="9" t="str">
        <f t="shared" si="5"/>
        <v/>
      </c>
      <c r="Q17" s="9" t="str">
        <f t="shared" si="6"/>
        <v/>
      </c>
      <c r="R17" s="9">
        <f t="shared" si="7"/>
        <v>6</v>
      </c>
      <c r="S17" s="9">
        <f t="shared" si="8"/>
        <v>16</v>
      </c>
      <c r="T17" s="9" t="str">
        <f t="shared" si="9"/>
        <v/>
      </c>
      <c r="U17" s="9" t="str">
        <f t="shared" si="10"/>
        <v/>
      </c>
      <c r="V17" s="9" t="str">
        <f t="shared" si="11"/>
        <v/>
      </c>
      <c r="W17" s="9" t="str">
        <f t="shared" si="12"/>
        <v/>
      </c>
      <c r="X17" s="15">
        <f t="shared" si="19"/>
        <v>22.096009850000002</v>
      </c>
      <c r="Y17" s="2" t="str">
        <f t="shared" si="13"/>
        <v>P</v>
      </c>
      <c r="Z17" s="2" t="str">
        <f t="shared" si="14"/>
        <v/>
      </c>
      <c r="AA17" s="15">
        <f t="shared" si="15"/>
        <v>22.096009850000002</v>
      </c>
      <c r="AB17" s="9">
        <f t="shared" si="16"/>
        <v>40</v>
      </c>
      <c r="AC17" s="9">
        <f t="shared" si="17"/>
        <v>0</v>
      </c>
      <c r="AD17" s="9">
        <f t="shared" si="18"/>
        <v>15</v>
      </c>
    </row>
    <row r="18" spans="1:30" x14ac:dyDescent="0.2">
      <c r="A18" s="7" t="s">
        <v>73</v>
      </c>
      <c r="B18" s="6" t="s">
        <v>16</v>
      </c>
      <c r="E18" s="3" t="str">
        <f t="shared" si="0"/>
        <v/>
      </c>
      <c r="F18" s="6">
        <v>9</v>
      </c>
      <c r="G18" s="6">
        <v>56</v>
      </c>
      <c r="H18" s="6"/>
      <c r="I18" s="6"/>
      <c r="J18" s="6"/>
      <c r="K18" s="6"/>
      <c r="L18" s="9">
        <f t="shared" si="1"/>
        <v>9</v>
      </c>
      <c r="M18" s="9">
        <f t="shared" si="2"/>
        <v>56</v>
      </c>
      <c r="N18" s="9" t="str">
        <f t="shared" si="3"/>
        <v/>
      </c>
      <c r="O18" s="9" t="str">
        <f t="shared" si="4"/>
        <v/>
      </c>
      <c r="P18" s="9" t="str">
        <f t="shared" si="5"/>
        <v/>
      </c>
      <c r="Q18" s="9" t="str">
        <f t="shared" si="6"/>
        <v/>
      </c>
      <c r="R18" s="9">
        <f t="shared" si="7"/>
        <v>22</v>
      </c>
      <c r="S18" s="9" t="str">
        <f t="shared" si="8"/>
        <v/>
      </c>
      <c r="T18" s="9" t="str">
        <f t="shared" si="9"/>
        <v/>
      </c>
      <c r="U18" s="9" t="str">
        <f t="shared" si="10"/>
        <v/>
      </c>
      <c r="V18" s="9" t="str">
        <f t="shared" si="11"/>
        <v/>
      </c>
      <c r="W18" s="9" t="str">
        <f t="shared" si="12"/>
        <v/>
      </c>
      <c r="X18" s="15">
        <f t="shared" si="19"/>
        <v>22.093509909999998</v>
      </c>
      <c r="Y18" s="2" t="str">
        <f t="shared" si="13"/>
        <v/>
      </c>
      <c r="Z18" s="2" t="str">
        <f t="shared" si="14"/>
        <v/>
      </c>
      <c r="AA18" s="15" t="str">
        <f t="shared" si="15"/>
        <v/>
      </c>
      <c r="AB18" s="9">
        <f t="shared" si="16"/>
        <v>65</v>
      </c>
      <c r="AC18" s="9">
        <f t="shared" si="17"/>
        <v>0</v>
      </c>
      <c r="AD18" s="9">
        <f t="shared" si="18"/>
        <v>9</v>
      </c>
    </row>
    <row r="19" spans="1:30" x14ac:dyDescent="0.2">
      <c r="A19" s="7" t="s">
        <v>78</v>
      </c>
      <c r="B19" s="6" t="s">
        <v>18</v>
      </c>
      <c r="E19" s="3" t="str">
        <f t="shared" si="0"/>
        <v/>
      </c>
      <c r="F19" s="6">
        <v>10</v>
      </c>
      <c r="G19" s="6"/>
      <c r="H19" s="6"/>
      <c r="I19" s="6"/>
      <c r="J19" s="6"/>
      <c r="K19" s="6"/>
      <c r="L19" s="9">
        <f t="shared" si="1"/>
        <v>10</v>
      </c>
      <c r="M19" s="9" t="str">
        <f t="shared" si="2"/>
        <v/>
      </c>
      <c r="N19" s="9" t="str">
        <f t="shared" si="3"/>
        <v/>
      </c>
      <c r="O19" s="9" t="str">
        <f t="shared" si="4"/>
        <v/>
      </c>
      <c r="P19" s="9" t="str">
        <f t="shared" si="5"/>
        <v/>
      </c>
      <c r="Q19" s="9" t="str">
        <f t="shared" si="6"/>
        <v/>
      </c>
      <c r="R19" s="9">
        <f t="shared" si="7"/>
        <v>21</v>
      </c>
      <c r="S19" s="9" t="str">
        <f t="shared" si="8"/>
        <v/>
      </c>
      <c r="T19" s="9" t="str">
        <f t="shared" si="9"/>
        <v/>
      </c>
      <c r="U19" s="9" t="str">
        <f t="shared" si="10"/>
        <v/>
      </c>
      <c r="V19" s="9" t="str">
        <f t="shared" si="11"/>
        <v/>
      </c>
      <c r="W19" s="9" t="str">
        <f t="shared" si="12"/>
        <v/>
      </c>
      <c r="X19" s="15">
        <f t="shared" si="19"/>
        <v>21.099009899999999</v>
      </c>
      <c r="Y19" s="2" t="str">
        <f t="shared" si="13"/>
        <v/>
      </c>
      <c r="Z19" s="2" t="str">
        <f t="shared" si="14"/>
        <v/>
      </c>
      <c r="AA19" s="15" t="str">
        <f t="shared" si="15"/>
        <v/>
      </c>
      <c r="AB19" s="9">
        <f t="shared" si="16"/>
        <v>10</v>
      </c>
      <c r="AC19" s="9">
        <f t="shared" si="17"/>
        <v>0</v>
      </c>
      <c r="AD19" s="9">
        <f t="shared" si="18"/>
        <v>10</v>
      </c>
    </row>
    <row r="20" spans="1:30" x14ac:dyDescent="0.2">
      <c r="A20" s="7" t="s">
        <v>119</v>
      </c>
      <c r="B20" s="6" t="s">
        <v>84</v>
      </c>
      <c r="E20" s="3" t="str">
        <f t="shared" si="0"/>
        <v/>
      </c>
      <c r="F20" s="6">
        <v>41</v>
      </c>
      <c r="G20" s="6">
        <v>10</v>
      </c>
      <c r="H20" s="6"/>
      <c r="I20" s="6"/>
      <c r="J20" s="6"/>
      <c r="K20" s="6"/>
      <c r="L20" s="9">
        <f t="shared" si="1"/>
        <v>41</v>
      </c>
      <c r="M20" s="9">
        <f t="shared" si="2"/>
        <v>10</v>
      </c>
      <c r="N20" s="9" t="str">
        <f t="shared" si="3"/>
        <v/>
      </c>
      <c r="O20" s="9" t="str">
        <f t="shared" si="4"/>
        <v/>
      </c>
      <c r="P20" s="9" t="str">
        <f t="shared" si="5"/>
        <v/>
      </c>
      <c r="Q20" s="9" t="str">
        <f t="shared" si="6"/>
        <v/>
      </c>
      <c r="R20" s="9" t="str">
        <f t="shared" si="7"/>
        <v/>
      </c>
      <c r="S20" s="9">
        <f t="shared" si="8"/>
        <v>21</v>
      </c>
      <c r="T20" s="9" t="str">
        <f t="shared" si="9"/>
        <v/>
      </c>
      <c r="U20" s="9" t="str">
        <f t="shared" si="10"/>
        <v/>
      </c>
      <c r="V20" s="9" t="str">
        <f t="shared" si="11"/>
        <v/>
      </c>
      <c r="W20" s="9" t="str">
        <f t="shared" si="12"/>
        <v/>
      </c>
      <c r="X20" s="15">
        <f t="shared" si="19"/>
        <v>21.094909899999998</v>
      </c>
      <c r="Y20" s="2" t="str">
        <f t="shared" si="13"/>
        <v/>
      </c>
      <c r="Z20" s="2" t="str">
        <f t="shared" si="14"/>
        <v/>
      </c>
      <c r="AA20" s="15" t="str">
        <f t="shared" si="15"/>
        <v/>
      </c>
      <c r="AB20" s="9">
        <f t="shared" si="16"/>
        <v>51</v>
      </c>
      <c r="AC20" s="9">
        <f t="shared" si="17"/>
        <v>0</v>
      </c>
      <c r="AD20" s="9">
        <f t="shared" si="18"/>
        <v>10</v>
      </c>
    </row>
    <row r="21" spans="1:30" x14ac:dyDescent="0.2">
      <c r="A21" s="7" t="s">
        <v>79</v>
      </c>
      <c r="B21" s="6" t="s">
        <v>19</v>
      </c>
      <c r="E21" s="3" t="str">
        <f t="shared" si="0"/>
        <v/>
      </c>
      <c r="F21" s="6">
        <v>11</v>
      </c>
      <c r="G21" s="6"/>
      <c r="H21" s="6"/>
      <c r="I21" s="6"/>
      <c r="J21" s="6"/>
      <c r="K21" s="6"/>
      <c r="L21" s="9">
        <f t="shared" si="1"/>
        <v>11</v>
      </c>
      <c r="M21" s="9" t="str">
        <f t="shared" si="2"/>
        <v/>
      </c>
      <c r="N21" s="9" t="str">
        <f t="shared" si="3"/>
        <v/>
      </c>
      <c r="O21" s="9" t="str">
        <f t="shared" si="4"/>
        <v/>
      </c>
      <c r="P21" s="9" t="str">
        <f t="shared" si="5"/>
        <v/>
      </c>
      <c r="Q21" s="9" t="str">
        <f t="shared" si="6"/>
        <v/>
      </c>
      <c r="R21" s="9">
        <f t="shared" si="7"/>
        <v>20</v>
      </c>
      <c r="S21" s="9" t="str">
        <f t="shared" si="8"/>
        <v/>
      </c>
      <c r="T21" s="9" t="str">
        <f t="shared" si="9"/>
        <v/>
      </c>
      <c r="U21" s="9" t="str">
        <f t="shared" si="10"/>
        <v/>
      </c>
      <c r="V21" s="9" t="str">
        <f t="shared" si="11"/>
        <v/>
      </c>
      <c r="W21" s="9" t="str">
        <f t="shared" si="12"/>
        <v/>
      </c>
      <c r="X21" s="15">
        <f t="shared" si="19"/>
        <v>20.098909890000002</v>
      </c>
      <c r="Y21" s="2" t="str">
        <f t="shared" si="13"/>
        <v/>
      </c>
      <c r="Z21" s="2" t="str">
        <f t="shared" si="14"/>
        <v/>
      </c>
      <c r="AA21" s="15" t="str">
        <f t="shared" si="15"/>
        <v/>
      </c>
      <c r="AB21" s="9">
        <f t="shared" si="16"/>
        <v>11</v>
      </c>
      <c r="AC21" s="9">
        <f t="shared" si="17"/>
        <v>0</v>
      </c>
      <c r="AD21" s="9">
        <f t="shared" si="18"/>
        <v>11</v>
      </c>
    </row>
    <row r="22" spans="1:30" x14ac:dyDescent="0.2">
      <c r="A22" s="7" t="s">
        <v>95</v>
      </c>
      <c r="B22" s="6" t="s">
        <v>54</v>
      </c>
      <c r="E22" s="3">
        <f t="shared" si="0"/>
        <v>9</v>
      </c>
      <c r="F22" s="6">
        <v>26</v>
      </c>
      <c r="G22" s="6">
        <v>16</v>
      </c>
      <c r="H22" s="6"/>
      <c r="I22" s="6"/>
      <c r="J22" s="6"/>
      <c r="K22" s="6"/>
      <c r="L22" s="9">
        <f t="shared" si="1"/>
        <v>26</v>
      </c>
      <c r="M22" s="9">
        <f t="shared" si="2"/>
        <v>16</v>
      </c>
      <c r="N22" s="9" t="str">
        <f t="shared" si="3"/>
        <v/>
      </c>
      <c r="O22" s="9" t="str">
        <f t="shared" si="4"/>
        <v/>
      </c>
      <c r="P22" s="9" t="str">
        <f t="shared" si="5"/>
        <v/>
      </c>
      <c r="Q22" s="9" t="str">
        <f t="shared" si="6"/>
        <v/>
      </c>
      <c r="R22" s="9">
        <f t="shared" si="7"/>
        <v>5</v>
      </c>
      <c r="S22" s="9">
        <f t="shared" si="8"/>
        <v>15</v>
      </c>
      <c r="T22" s="9" t="str">
        <f t="shared" si="9"/>
        <v/>
      </c>
      <c r="U22" s="9" t="str">
        <f t="shared" si="10"/>
        <v/>
      </c>
      <c r="V22" s="9" t="str">
        <f t="shared" si="11"/>
        <v/>
      </c>
      <c r="W22" s="9" t="str">
        <f t="shared" si="12"/>
        <v/>
      </c>
      <c r="X22" s="15">
        <f t="shared" si="19"/>
        <v>20.095809840000001</v>
      </c>
      <c r="Y22" s="2" t="str">
        <f t="shared" si="13"/>
        <v>P</v>
      </c>
      <c r="Z22" s="2" t="str">
        <f t="shared" si="14"/>
        <v/>
      </c>
      <c r="AA22" s="15">
        <f t="shared" si="15"/>
        <v>20.095809840000001</v>
      </c>
      <c r="AB22" s="9">
        <f t="shared" si="16"/>
        <v>42</v>
      </c>
      <c r="AC22" s="9">
        <f t="shared" si="17"/>
        <v>0</v>
      </c>
      <c r="AD22" s="9">
        <f t="shared" si="18"/>
        <v>16</v>
      </c>
    </row>
    <row r="23" spans="1:30" x14ac:dyDescent="0.2">
      <c r="A23" s="7" t="s">
        <v>90</v>
      </c>
      <c r="B23" s="6" t="s">
        <v>23</v>
      </c>
      <c r="E23" s="3">
        <f t="shared" si="0"/>
        <v>10</v>
      </c>
      <c r="F23" s="6">
        <v>21</v>
      </c>
      <c r="G23" s="6">
        <v>23</v>
      </c>
      <c r="H23" s="6"/>
      <c r="I23" s="6"/>
      <c r="J23" s="6"/>
      <c r="K23" s="6"/>
      <c r="L23" s="9">
        <f t="shared" si="1"/>
        <v>21</v>
      </c>
      <c r="M23" s="9">
        <f t="shared" si="2"/>
        <v>23</v>
      </c>
      <c r="N23" s="9" t="str">
        <f t="shared" si="3"/>
        <v/>
      </c>
      <c r="O23" s="9" t="str">
        <f t="shared" si="4"/>
        <v/>
      </c>
      <c r="P23" s="9" t="str">
        <f t="shared" si="5"/>
        <v/>
      </c>
      <c r="Q23" s="9" t="str">
        <f t="shared" si="6"/>
        <v/>
      </c>
      <c r="R23" s="9">
        <f t="shared" si="7"/>
        <v>10</v>
      </c>
      <c r="S23" s="9">
        <f t="shared" si="8"/>
        <v>8</v>
      </c>
      <c r="T23" s="9" t="str">
        <f t="shared" si="9"/>
        <v/>
      </c>
      <c r="U23" s="9" t="str">
        <f t="shared" si="10"/>
        <v/>
      </c>
      <c r="V23" s="9" t="str">
        <f t="shared" si="11"/>
        <v/>
      </c>
      <c r="W23" s="9" t="str">
        <f t="shared" si="12"/>
        <v/>
      </c>
      <c r="X23" s="15">
        <f t="shared" si="19"/>
        <v>18.095609790000001</v>
      </c>
      <c r="Y23" s="2" t="str">
        <f t="shared" si="13"/>
        <v>P</v>
      </c>
      <c r="Z23" s="2" t="str">
        <f t="shared" si="14"/>
        <v/>
      </c>
      <c r="AA23" s="15">
        <f t="shared" si="15"/>
        <v>18.095609790000001</v>
      </c>
      <c r="AB23" s="9">
        <f t="shared" si="16"/>
        <v>44</v>
      </c>
      <c r="AC23" s="9">
        <f t="shared" si="17"/>
        <v>0</v>
      </c>
      <c r="AD23" s="9">
        <f t="shared" si="18"/>
        <v>21</v>
      </c>
    </row>
    <row r="24" spans="1:30" x14ac:dyDescent="0.2">
      <c r="A24" s="7" t="s">
        <v>81</v>
      </c>
      <c r="B24" s="6" t="s">
        <v>16</v>
      </c>
      <c r="E24" s="3" t="str">
        <f t="shared" si="0"/>
        <v/>
      </c>
      <c r="F24" s="6">
        <v>13</v>
      </c>
      <c r="G24" s="6">
        <v>70</v>
      </c>
      <c r="H24" s="6"/>
      <c r="I24" s="6"/>
      <c r="J24" s="6"/>
      <c r="K24" s="6"/>
      <c r="L24" s="9">
        <f t="shared" si="1"/>
        <v>13</v>
      </c>
      <c r="M24" s="9">
        <f t="shared" si="2"/>
        <v>70</v>
      </c>
      <c r="N24" s="9" t="str">
        <f t="shared" si="3"/>
        <v/>
      </c>
      <c r="O24" s="9" t="str">
        <f t="shared" si="4"/>
        <v/>
      </c>
      <c r="P24" s="9" t="str">
        <f t="shared" si="5"/>
        <v/>
      </c>
      <c r="Q24" s="9" t="str">
        <f t="shared" si="6"/>
        <v/>
      </c>
      <c r="R24" s="9">
        <f t="shared" si="7"/>
        <v>18</v>
      </c>
      <c r="S24" s="9" t="str">
        <f t="shared" si="8"/>
        <v/>
      </c>
      <c r="T24" s="9" t="str">
        <f t="shared" si="9"/>
        <v/>
      </c>
      <c r="U24" s="9" t="str">
        <f t="shared" si="10"/>
        <v/>
      </c>
      <c r="V24" s="9" t="str">
        <f t="shared" si="11"/>
        <v/>
      </c>
      <c r="W24" s="9" t="str">
        <f t="shared" si="12"/>
        <v/>
      </c>
      <c r="X24" s="15">
        <f t="shared" si="19"/>
        <v>18.091709869999999</v>
      </c>
      <c r="Y24" s="2" t="str">
        <f t="shared" si="13"/>
        <v/>
      </c>
      <c r="Z24" s="2" t="str">
        <f t="shared" si="14"/>
        <v/>
      </c>
      <c r="AA24" s="15" t="str">
        <f t="shared" si="15"/>
        <v/>
      </c>
      <c r="AB24" s="9">
        <f t="shared" si="16"/>
        <v>83</v>
      </c>
      <c r="AC24" s="9">
        <f t="shared" si="17"/>
        <v>0</v>
      </c>
      <c r="AD24" s="9">
        <f t="shared" si="18"/>
        <v>13</v>
      </c>
    </row>
    <row r="25" spans="1:30" x14ac:dyDescent="0.2">
      <c r="A25" s="7" t="s">
        <v>98</v>
      </c>
      <c r="B25" s="6" t="s">
        <v>56</v>
      </c>
      <c r="E25" s="3">
        <f t="shared" si="0"/>
        <v>11</v>
      </c>
      <c r="F25" s="6">
        <v>29</v>
      </c>
      <c r="G25" s="6">
        <v>17</v>
      </c>
      <c r="H25" s="6"/>
      <c r="I25" s="6"/>
      <c r="J25" s="6"/>
      <c r="K25" s="6"/>
      <c r="L25" s="9">
        <f t="shared" si="1"/>
        <v>29</v>
      </c>
      <c r="M25" s="9">
        <f t="shared" si="2"/>
        <v>17</v>
      </c>
      <c r="N25" s="9" t="str">
        <f t="shared" si="3"/>
        <v/>
      </c>
      <c r="O25" s="9" t="str">
        <f t="shared" si="4"/>
        <v/>
      </c>
      <c r="P25" s="9" t="str">
        <f t="shared" si="5"/>
        <v/>
      </c>
      <c r="Q25" s="9" t="str">
        <f t="shared" si="6"/>
        <v/>
      </c>
      <c r="R25" s="9">
        <f t="shared" si="7"/>
        <v>2</v>
      </c>
      <c r="S25" s="9">
        <f t="shared" si="8"/>
        <v>14</v>
      </c>
      <c r="T25" s="9" t="str">
        <f t="shared" si="9"/>
        <v/>
      </c>
      <c r="U25" s="9" t="str">
        <f t="shared" si="10"/>
        <v/>
      </c>
      <c r="V25" s="9" t="str">
        <f t="shared" si="11"/>
        <v/>
      </c>
      <c r="W25" s="9" t="str">
        <f t="shared" si="12"/>
        <v/>
      </c>
      <c r="X25" s="15">
        <f t="shared" si="19"/>
        <v>16.095409830000001</v>
      </c>
      <c r="Y25" s="2" t="str">
        <f t="shared" si="13"/>
        <v>P</v>
      </c>
      <c r="Z25" s="2" t="str">
        <f t="shared" si="14"/>
        <v/>
      </c>
      <c r="AA25" s="15">
        <f t="shared" si="15"/>
        <v>16.095409830000001</v>
      </c>
      <c r="AB25" s="9">
        <f t="shared" si="16"/>
        <v>46</v>
      </c>
      <c r="AC25" s="9">
        <f t="shared" si="17"/>
        <v>0</v>
      </c>
      <c r="AD25" s="9">
        <f t="shared" si="18"/>
        <v>17</v>
      </c>
    </row>
    <row r="26" spans="1:30" x14ac:dyDescent="0.2">
      <c r="A26" s="7" t="s">
        <v>97</v>
      </c>
      <c r="B26" s="6" t="s">
        <v>59</v>
      </c>
      <c r="E26" s="3">
        <f t="shared" si="0"/>
        <v>12</v>
      </c>
      <c r="F26" s="6">
        <v>28</v>
      </c>
      <c r="G26" s="6">
        <v>18</v>
      </c>
      <c r="H26" s="6"/>
      <c r="I26" s="6"/>
      <c r="J26" s="6"/>
      <c r="K26" s="6"/>
      <c r="L26" s="9">
        <f t="shared" si="1"/>
        <v>28</v>
      </c>
      <c r="M26" s="9">
        <f t="shared" si="2"/>
        <v>18</v>
      </c>
      <c r="N26" s="9" t="str">
        <f t="shared" si="3"/>
        <v/>
      </c>
      <c r="O26" s="9" t="str">
        <f t="shared" si="4"/>
        <v/>
      </c>
      <c r="P26" s="9" t="str">
        <f t="shared" si="5"/>
        <v/>
      </c>
      <c r="Q26" s="9" t="str">
        <f t="shared" si="6"/>
        <v/>
      </c>
      <c r="R26" s="9">
        <f t="shared" si="7"/>
        <v>3</v>
      </c>
      <c r="S26" s="9">
        <f t="shared" si="8"/>
        <v>13</v>
      </c>
      <c r="T26" s="9" t="str">
        <f t="shared" si="9"/>
        <v/>
      </c>
      <c r="U26" s="9" t="str">
        <f t="shared" si="10"/>
        <v/>
      </c>
      <c r="V26" s="9" t="str">
        <f t="shared" si="11"/>
        <v/>
      </c>
      <c r="W26" s="9" t="str">
        <f t="shared" si="12"/>
        <v/>
      </c>
      <c r="X26" s="15">
        <f t="shared" si="19"/>
        <v>16.09540982</v>
      </c>
      <c r="Y26" s="2" t="str">
        <f t="shared" si="13"/>
        <v>P</v>
      </c>
      <c r="Z26" s="2" t="str">
        <f t="shared" si="14"/>
        <v/>
      </c>
      <c r="AA26" s="15">
        <f t="shared" si="15"/>
        <v>16.09540982</v>
      </c>
      <c r="AB26" s="9">
        <f t="shared" si="16"/>
        <v>46</v>
      </c>
      <c r="AC26" s="9">
        <f t="shared" si="17"/>
        <v>0</v>
      </c>
      <c r="AD26" s="9">
        <f t="shared" si="18"/>
        <v>18</v>
      </c>
    </row>
    <row r="27" spans="1:30" x14ac:dyDescent="0.2">
      <c r="A27" s="7" t="s">
        <v>85</v>
      </c>
      <c r="B27" s="6" t="s">
        <v>84</v>
      </c>
      <c r="E27" s="3" t="str">
        <f t="shared" si="0"/>
        <v/>
      </c>
      <c r="F27" s="6">
        <v>16</v>
      </c>
      <c r="G27" s="6">
        <v>58</v>
      </c>
      <c r="H27" s="6"/>
      <c r="I27" s="6"/>
      <c r="J27" s="6"/>
      <c r="K27" s="6"/>
      <c r="L27" s="9">
        <f t="shared" si="1"/>
        <v>16</v>
      </c>
      <c r="M27" s="9">
        <f t="shared" si="2"/>
        <v>58</v>
      </c>
      <c r="N27" s="9" t="str">
        <f t="shared" si="3"/>
        <v/>
      </c>
      <c r="O27" s="9" t="str">
        <f t="shared" si="4"/>
        <v/>
      </c>
      <c r="P27" s="9" t="str">
        <f t="shared" si="5"/>
        <v/>
      </c>
      <c r="Q27" s="9" t="str">
        <f t="shared" si="6"/>
        <v/>
      </c>
      <c r="R27" s="9">
        <f t="shared" si="7"/>
        <v>15</v>
      </c>
      <c r="S27" s="9" t="str">
        <f t="shared" si="8"/>
        <v/>
      </c>
      <c r="T27" s="9" t="str">
        <f t="shared" si="9"/>
        <v/>
      </c>
      <c r="U27" s="9" t="str">
        <f t="shared" si="10"/>
        <v/>
      </c>
      <c r="V27" s="9" t="str">
        <f t="shared" si="11"/>
        <v/>
      </c>
      <c r="W27" s="9" t="str">
        <f t="shared" si="12"/>
        <v/>
      </c>
      <c r="X27" s="15">
        <f t="shared" si="19"/>
        <v>15.09260984</v>
      </c>
      <c r="Y27" s="2" t="str">
        <f t="shared" si="13"/>
        <v/>
      </c>
      <c r="Z27" s="2" t="str">
        <f t="shared" si="14"/>
        <v/>
      </c>
      <c r="AA27" s="15" t="str">
        <f t="shared" si="15"/>
        <v/>
      </c>
      <c r="AB27" s="9">
        <f t="shared" si="16"/>
        <v>74</v>
      </c>
      <c r="AC27" s="9">
        <f t="shared" si="17"/>
        <v>0</v>
      </c>
      <c r="AD27" s="9">
        <f t="shared" si="18"/>
        <v>16</v>
      </c>
    </row>
    <row r="28" spans="1:30" x14ac:dyDescent="0.2">
      <c r="A28" s="7" t="s">
        <v>86</v>
      </c>
      <c r="B28" s="6" t="s">
        <v>20</v>
      </c>
      <c r="E28" s="3" t="str">
        <f t="shared" si="0"/>
        <v/>
      </c>
      <c r="F28" s="6">
        <v>17</v>
      </c>
      <c r="G28" s="6"/>
      <c r="H28" s="6"/>
      <c r="I28" s="6"/>
      <c r="J28" s="6"/>
      <c r="K28" s="6"/>
      <c r="L28" s="9">
        <f t="shared" si="1"/>
        <v>17</v>
      </c>
      <c r="M28" s="9" t="str">
        <f t="shared" si="2"/>
        <v/>
      </c>
      <c r="N28" s="9" t="str">
        <f t="shared" si="3"/>
        <v/>
      </c>
      <c r="O28" s="9" t="str">
        <f t="shared" si="4"/>
        <v/>
      </c>
      <c r="P28" s="9" t="str">
        <f t="shared" si="5"/>
        <v/>
      </c>
      <c r="Q28" s="9" t="str">
        <f t="shared" si="6"/>
        <v/>
      </c>
      <c r="R28" s="9">
        <f t="shared" si="7"/>
        <v>14</v>
      </c>
      <c r="S28" s="9" t="str">
        <f t="shared" si="8"/>
        <v/>
      </c>
      <c r="T28" s="9" t="str">
        <f t="shared" si="9"/>
        <v/>
      </c>
      <c r="U28" s="9" t="str">
        <f t="shared" si="10"/>
        <v/>
      </c>
      <c r="V28" s="9" t="str">
        <f t="shared" si="11"/>
        <v/>
      </c>
      <c r="W28" s="9" t="str">
        <f t="shared" si="12"/>
        <v/>
      </c>
      <c r="X28" s="15">
        <f t="shared" si="19"/>
        <v>14.09830983</v>
      </c>
      <c r="Y28" s="2" t="str">
        <f t="shared" si="13"/>
        <v/>
      </c>
      <c r="Z28" s="2" t="str">
        <f t="shared" si="14"/>
        <v/>
      </c>
      <c r="AA28" s="15" t="str">
        <f t="shared" si="15"/>
        <v/>
      </c>
      <c r="AB28" s="9">
        <f t="shared" si="16"/>
        <v>17</v>
      </c>
      <c r="AC28" s="9">
        <f t="shared" si="17"/>
        <v>0</v>
      </c>
      <c r="AD28" s="9">
        <f t="shared" si="18"/>
        <v>17</v>
      </c>
    </row>
    <row r="29" spans="1:30" x14ac:dyDescent="0.2">
      <c r="A29" s="7" t="s">
        <v>120</v>
      </c>
      <c r="B29" s="6" t="s">
        <v>20</v>
      </c>
      <c r="E29" s="3" t="str">
        <f t="shared" si="0"/>
        <v/>
      </c>
      <c r="F29" s="6"/>
      <c r="G29" s="6">
        <v>19</v>
      </c>
      <c r="H29" s="6"/>
      <c r="I29" s="6"/>
      <c r="J29" s="6"/>
      <c r="K29" s="6"/>
      <c r="L29" s="9" t="str">
        <f t="shared" si="1"/>
        <v/>
      </c>
      <c r="M29" s="9">
        <f t="shared" si="2"/>
        <v>19</v>
      </c>
      <c r="N29" s="9" t="str">
        <f t="shared" si="3"/>
        <v/>
      </c>
      <c r="O29" s="9" t="str">
        <f t="shared" si="4"/>
        <v/>
      </c>
      <c r="P29" s="9" t="str">
        <f t="shared" si="5"/>
        <v/>
      </c>
      <c r="Q29" s="9" t="str">
        <f t="shared" si="6"/>
        <v/>
      </c>
      <c r="R29" s="9" t="str">
        <f t="shared" si="7"/>
        <v/>
      </c>
      <c r="S29" s="9">
        <f t="shared" si="8"/>
        <v>12</v>
      </c>
      <c r="T29" s="9" t="str">
        <f t="shared" si="9"/>
        <v/>
      </c>
      <c r="U29" s="9" t="str">
        <f t="shared" si="10"/>
        <v/>
      </c>
      <c r="V29" s="9" t="str">
        <f t="shared" si="11"/>
        <v/>
      </c>
      <c r="W29" s="9" t="str">
        <f t="shared" si="12"/>
        <v/>
      </c>
      <c r="X29" s="15">
        <f t="shared" si="19"/>
        <v>12.09810981</v>
      </c>
      <c r="Y29" s="2" t="str">
        <f t="shared" si="13"/>
        <v/>
      </c>
      <c r="Z29" s="2" t="str">
        <f t="shared" si="14"/>
        <v/>
      </c>
      <c r="AA29" s="15" t="str">
        <f t="shared" si="15"/>
        <v/>
      </c>
      <c r="AB29" s="9">
        <f t="shared" si="16"/>
        <v>19</v>
      </c>
      <c r="AC29" s="9">
        <f t="shared" si="17"/>
        <v>0</v>
      </c>
      <c r="AD29" s="9">
        <f t="shared" si="18"/>
        <v>19</v>
      </c>
    </row>
    <row r="30" spans="1:30" x14ac:dyDescent="0.2">
      <c r="A30" s="7" t="s">
        <v>88</v>
      </c>
      <c r="B30" s="6" t="s">
        <v>23</v>
      </c>
      <c r="E30" s="3" t="str">
        <f t="shared" si="0"/>
        <v/>
      </c>
      <c r="F30" s="6">
        <v>19</v>
      </c>
      <c r="G30" s="6"/>
      <c r="H30" s="6"/>
      <c r="I30" s="6"/>
      <c r="J30" s="6"/>
      <c r="K30" s="6"/>
      <c r="L30" s="9">
        <f t="shared" si="1"/>
        <v>19</v>
      </c>
      <c r="M30" s="9" t="str">
        <f t="shared" si="2"/>
        <v/>
      </c>
      <c r="N30" s="9" t="str">
        <f t="shared" si="3"/>
        <v/>
      </c>
      <c r="O30" s="9" t="str">
        <f t="shared" si="4"/>
        <v/>
      </c>
      <c r="P30" s="9" t="str">
        <f t="shared" si="5"/>
        <v/>
      </c>
      <c r="Q30" s="9" t="str">
        <f t="shared" si="6"/>
        <v/>
      </c>
      <c r="R30" s="9">
        <f t="shared" si="7"/>
        <v>12</v>
      </c>
      <c r="S30" s="9" t="str">
        <f t="shared" si="8"/>
        <v/>
      </c>
      <c r="T30" s="9" t="str">
        <f t="shared" si="9"/>
        <v/>
      </c>
      <c r="U30" s="9" t="str">
        <f t="shared" si="10"/>
        <v/>
      </c>
      <c r="V30" s="9" t="str">
        <f t="shared" si="11"/>
        <v/>
      </c>
      <c r="W30" s="9" t="str">
        <f t="shared" si="12"/>
        <v/>
      </c>
      <c r="X30" s="15">
        <f t="shared" si="19"/>
        <v>12.09810981</v>
      </c>
      <c r="Y30" s="2" t="str">
        <f t="shared" si="13"/>
        <v/>
      </c>
      <c r="Z30" s="2" t="str">
        <f t="shared" si="14"/>
        <v/>
      </c>
      <c r="AA30" s="15" t="str">
        <f t="shared" si="15"/>
        <v/>
      </c>
      <c r="AB30" s="9">
        <f t="shared" si="16"/>
        <v>19</v>
      </c>
      <c r="AC30" s="9">
        <f t="shared" si="17"/>
        <v>0</v>
      </c>
      <c r="AD30" s="9">
        <f t="shared" si="18"/>
        <v>19</v>
      </c>
    </row>
    <row r="31" spans="1:30" x14ac:dyDescent="0.2">
      <c r="A31" s="7" t="s">
        <v>92</v>
      </c>
      <c r="B31" s="6" t="s">
        <v>59</v>
      </c>
      <c r="E31" s="3" t="str">
        <f t="shared" si="0"/>
        <v/>
      </c>
      <c r="F31" s="6">
        <v>23</v>
      </c>
      <c r="G31" s="6">
        <v>27</v>
      </c>
      <c r="H31" s="6"/>
      <c r="I31" s="6"/>
      <c r="J31" s="6"/>
      <c r="K31" s="6"/>
      <c r="L31" s="9">
        <f t="shared" si="1"/>
        <v>23</v>
      </c>
      <c r="M31" s="9">
        <f t="shared" si="2"/>
        <v>27</v>
      </c>
      <c r="N31" s="9" t="str">
        <f t="shared" si="3"/>
        <v/>
      </c>
      <c r="O31" s="9" t="str">
        <f t="shared" si="4"/>
        <v/>
      </c>
      <c r="P31" s="9" t="str">
        <f t="shared" si="5"/>
        <v/>
      </c>
      <c r="Q31" s="9" t="str">
        <f t="shared" si="6"/>
        <v/>
      </c>
      <c r="R31" s="9">
        <f t="shared" si="7"/>
        <v>8</v>
      </c>
      <c r="S31" s="9">
        <f t="shared" si="8"/>
        <v>4</v>
      </c>
      <c r="T31" s="9" t="str">
        <f t="shared" si="9"/>
        <v/>
      </c>
      <c r="U31" s="9" t="str">
        <f t="shared" si="10"/>
        <v/>
      </c>
      <c r="V31" s="9" t="str">
        <f t="shared" si="11"/>
        <v/>
      </c>
      <c r="W31" s="9" t="str">
        <f t="shared" si="12"/>
        <v/>
      </c>
      <c r="X31" s="15">
        <f t="shared" si="19"/>
        <v>12.095009770000001</v>
      </c>
      <c r="Y31" s="2" t="str">
        <f t="shared" si="13"/>
        <v/>
      </c>
      <c r="Z31" s="2" t="str">
        <f t="shared" si="14"/>
        <v/>
      </c>
      <c r="AA31" s="15" t="str">
        <f t="shared" si="15"/>
        <v/>
      </c>
      <c r="AB31" s="9">
        <f t="shared" si="16"/>
        <v>50</v>
      </c>
      <c r="AC31" s="9">
        <f t="shared" si="17"/>
        <v>0</v>
      </c>
      <c r="AD31" s="9">
        <f t="shared" si="18"/>
        <v>23</v>
      </c>
    </row>
    <row r="32" spans="1:30" x14ac:dyDescent="0.2">
      <c r="A32" s="7" t="s">
        <v>99</v>
      </c>
      <c r="B32" s="6" t="s">
        <v>108</v>
      </c>
      <c r="E32" s="3">
        <f t="shared" si="0"/>
        <v>13</v>
      </c>
      <c r="F32" s="6">
        <v>30</v>
      </c>
      <c r="G32" s="6">
        <v>21</v>
      </c>
      <c r="H32" s="6"/>
      <c r="I32" s="6"/>
      <c r="J32" s="6"/>
      <c r="K32" s="6"/>
      <c r="L32" s="9">
        <f t="shared" si="1"/>
        <v>30</v>
      </c>
      <c r="M32" s="9">
        <f t="shared" si="2"/>
        <v>21</v>
      </c>
      <c r="N32" s="9" t="str">
        <f t="shared" si="3"/>
        <v/>
      </c>
      <c r="O32" s="9" t="str">
        <f t="shared" si="4"/>
        <v/>
      </c>
      <c r="P32" s="9" t="str">
        <f t="shared" si="5"/>
        <v/>
      </c>
      <c r="Q32" s="9" t="str">
        <f t="shared" si="6"/>
        <v/>
      </c>
      <c r="R32" s="9">
        <f t="shared" si="7"/>
        <v>1</v>
      </c>
      <c r="S32" s="9">
        <f t="shared" si="8"/>
        <v>10</v>
      </c>
      <c r="T32" s="9" t="str">
        <f t="shared" si="9"/>
        <v/>
      </c>
      <c r="U32" s="9" t="str">
        <f t="shared" si="10"/>
        <v/>
      </c>
      <c r="V32" s="9" t="str">
        <f t="shared" si="11"/>
        <v/>
      </c>
      <c r="W32" s="9" t="str">
        <f t="shared" si="12"/>
        <v/>
      </c>
      <c r="X32" s="15">
        <f t="shared" si="19"/>
        <v>11.094909790000001</v>
      </c>
      <c r="Y32" s="2" t="str">
        <f t="shared" si="13"/>
        <v>P</v>
      </c>
      <c r="Z32" s="2" t="str">
        <f t="shared" si="14"/>
        <v/>
      </c>
      <c r="AA32" s="15">
        <f t="shared" si="15"/>
        <v>11.094909790000001</v>
      </c>
      <c r="AB32" s="9">
        <f t="shared" si="16"/>
        <v>51</v>
      </c>
      <c r="AC32" s="9">
        <f t="shared" si="17"/>
        <v>0</v>
      </c>
      <c r="AD32" s="9">
        <f t="shared" si="18"/>
        <v>21</v>
      </c>
    </row>
    <row r="33" spans="1:30" x14ac:dyDescent="0.2">
      <c r="A33" s="7" t="s">
        <v>121</v>
      </c>
      <c r="B33" s="6" t="s">
        <v>59</v>
      </c>
      <c r="E33" s="3" t="str">
        <f t="shared" si="0"/>
        <v/>
      </c>
      <c r="F33" s="6">
        <v>51</v>
      </c>
      <c r="G33" s="6">
        <v>20</v>
      </c>
      <c r="H33" s="6"/>
      <c r="I33" s="6"/>
      <c r="J33" s="6"/>
      <c r="K33" s="6"/>
      <c r="L33" s="9">
        <f t="shared" si="1"/>
        <v>51</v>
      </c>
      <c r="M33" s="9">
        <f t="shared" si="2"/>
        <v>20</v>
      </c>
      <c r="N33" s="9" t="str">
        <f t="shared" si="3"/>
        <v/>
      </c>
      <c r="O33" s="9" t="str">
        <f t="shared" si="4"/>
        <v/>
      </c>
      <c r="P33" s="9" t="str">
        <f t="shared" si="5"/>
        <v/>
      </c>
      <c r="Q33" s="9" t="str">
        <f t="shared" si="6"/>
        <v/>
      </c>
      <c r="R33" s="9" t="str">
        <f t="shared" si="7"/>
        <v/>
      </c>
      <c r="S33" s="9">
        <f t="shared" si="8"/>
        <v>11</v>
      </c>
      <c r="T33" s="9" t="str">
        <f t="shared" si="9"/>
        <v/>
      </c>
      <c r="U33" s="9" t="str">
        <f t="shared" si="10"/>
        <v/>
      </c>
      <c r="V33" s="9" t="str">
        <f t="shared" si="11"/>
        <v/>
      </c>
      <c r="W33" s="9" t="str">
        <f t="shared" si="12"/>
        <v/>
      </c>
      <c r="X33" s="15">
        <f t="shared" si="19"/>
        <v>11.092909800000001</v>
      </c>
      <c r="Y33" s="2" t="str">
        <f t="shared" si="13"/>
        <v/>
      </c>
      <c r="Z33" s="2" t="str">
        <f t="shared" si="14"/>
        <v/>
      </c>
      <c r="AA33" s="15" t="str">
        <f t="shared" si="15"/>
        <v/>
      </c>
      <c r="AB33" s="9">
        <f t="shared" si="16"/>
        <v>71</v>
      </c>
      <c r="AC33" s="9">
        <f t="shared" si="17"/>
        <v>0</v>
      </c>
      <c r="AD33" s="9">
        <f t="shared" si="18"/>
        <v>20</v>
      </c>
    </row>
    <row r="34" spans="1:30" x14ac:dyDescent="0.2">
      <c r="A34" s="7" t="s">
        <v>89</v>
      </c>
      <c r="B34" s="6" t="s">
        <v>25</v>
      </c>
      <c r="E34" s="3">
        <f t="shared" si="0"/>
        <v>14</v>
      </c>
      <c r="F34" s="6">
        <v>20</v>
      </c>
      <c r="G34" s="6">
        <v>90</v>
      </c>
      <c r="H34" s="6"/>
      <c r="I34" s="6"/>
      <c r="J34" s="6"/>
      <c r="K34" s="6"/>
      <c r="L34" s="9">
        <f t="shared" si="1"/>
        <v>20</v>
      </c>
      <c r="M34" s="9">
        <f t="shared" si="2"/>
        <v>90</v>
      </c>
      <c r="N34" s="9" t="str">
        <f t="shared" si="3"/>
        <v/>
      </c>
      <c r="O34" s="9" t="str">
        <f t="shared" si="4"/>
        <v/>
      </c>
      <c r="P34" s="9" t="str">
        <f t="shared" si="5"/>
        <v/>
      </c>
      <c r="Q34" s="9" t="str">
        <f t="shared" si="6"/>
        <v/>
      </c>
      <c r="R34" s="9">
        <f t="shared" si="7"/>
        <v>11</v>
      </c>
      <c r="S34" s="9" t="str">
        <f t="shared" si="8"/>
        <v/>
      </c>
      <c r="T34" s="9" t="str">
        <f t="shared" si="9"/>
        <v/>
      </c>
      <c r="U34" s="9" t="str">
        <f t="shared" si="10"/>
        <v/>
      </c>
      <c r="V34" s="9" t="str">
        <f t="shared" si="11"/>
        <v/>
      </c>
      <c r="W34" s="9" t="str">
        <f t="shared" si="12"/>
        <v/>
      </c>
      <c r="X34" s="15">
        <f t="shared" si="19"/>
        <v>11.089009800000001</v>
      </c>
      <c r="Y34" s="2" t="str">
        <f t="shared" si="13"/>
        <v>P</v>
      </c>
      <c r="Z34" s="2" t="str">
        <f t="shared" si="14"/>
        <v/>
      </c>
      <c r="AA34" s="15">
        <f t="shared" si="15"/>
        <v>11.089009800000001</v>
      </c>
      <c r="AB34" s="9">
        <f t="shared" si="16"/>
        <v>110</v>
      </c>
      <c r="AC34" s="9">
        <f t="shared" si="17"/>
        <v>0</v>
      </c>
      <c r="AD34" s="9">
        <f t="shared" si="18"/>
        <v>20</v>
      </c>
    </row>
    <row r="35" spans="1:30" x14ac:dyDescent="0.2">
      <c r="A35" s="7" t="s">
        <v>101</v>
      </c>
      <c r="B35" s="6" t="s">
        <v>109</v>
      </c>
      <c r="E35" s="3">
        <f t="shared" ref="E35:E57" si="20">IF(AA35="","",RANK(AA35,AA:AA))</f>
        <v>15</v>
      </c>
      <c r="F35" s="6">
        <v>32</v>
      </c>
      <c r="G35" s="6">
        <v>22</v>
      </c>
      <c r="H35" s="6"/>
      <c r="I35" s="6"/>
      <c r="J35" s="6"/>
      <c r="K35" s="6"/>
      <c r="L35" s="9">
        <f t="shared" ref="L35:L57" si="21">IF(OR($C35&lt;&gt;"",$D35&lt;&gt;"",F35=""),"",F35-SUMPRODUCT(--($C$3:$C$102="P"),--(F$3:F$102&lt;F35),--(F$3:F$102&lt;&gt;""))-SUMPRODUCT(--($D$3:$D$102="P"),--(F$3:F$102&lt;F35),--(F$3:F$102&lt;&gt;"")))</f>
        <v>32</v>
      </c>
      <c r="M35" s="9">
        <f t="shared" ref="M35:M57" si="22">IF(OR($C35&lt;&gt;"",$D35&lt;&gt;"",G35=""),"",G35-SUMPRODUCT(--($C$3:$C$102="P"),--(G$3:G$102&lt;G35),--(G$3:G$102&lt;&gt;""))-SUMPRODUCT(--($D$3:$D$102="P"),--(G$3:G$102&lt;G35),--(G$3:G$102&lt;&gt;"")))</f>
        <v>22</v>
      </c>
      <c r="N35" s="9" t="str">
        <f t="shared" ref="N35:N57" si="23">IF(OR($C35&lt;&gt;"",$D35&lt;&gt;"",H35=""),"",H35-SUMPRODUCT(--($C$3:$C$102="P"),--(H$3:H$102&lt;H35),--(H$3:H$102&lt;&gt;""))-SUMPRODUCT(--($D$3:$D$102="P"),--(H$3:H$102&lt;H35),--(H$3:H$102&lt;&gt;"")))</f>
        <v/>
      </c>
      <c r="O35" s="9" t="str">
        <f t="shared" ref="O35:O57" si="24">IF(OR($C35&lt;&gt;"",$D35&lt;&gt;"",I35=""),"",I35-SUMPRODUCT(--($C$3:$C$102="P"),--(I$3:I$102&lt;I35),--(I$3:I$102&lt;&gt;""))-SUMPRODUCT(--($D$3:$D$102="P"),--(I$3:I$102&lt;I35),--(I$3:I$102&lt;&gt;"")))</f>
        <v/>
      </c>
      <c r="P35" s="9" t="str">
        <f t="shared" ref="P35:P57" si="25">IF(OR($C35&lt;&gt;"",$D35&lt;&gt;"",J35=""),"",J35-SUMPRODUCT(--($C$3:$C$102="P"),--(J$3:J$102&lt;J35),--(J$3:J$102&lt;&gt;""))-SUMPRODUCT(--($D$3:$D$102="P"),--(J$3:J$102&lt;J35),--(J$3:J$102&lt;&gt;"")))</f>
        <v/>
      </c>
      <c r="Q35" s="9" t="str">
        <f t="shared" ref="Q35:Q57" si="26">IF(OR($C35&lt;&gt;"",$D35&lt;&gt;"",K35=""),"",K35-SUMPRODUCT(--($C$3:$C$102="P"),--(K$3:K$102&lt;K35),--(K$3:K$102&lt;&gt;""))-SUMPRODUCT(--($D$3:$D$102="P"),--(K$3:K$102&lt;K35),--(K$3:K$102&lt;&gt;"")))</f>
        <v/>
      </c>
      <c r="R35" s="9" t="str">
        <f t="shared" ref="R35:R57" si="27">IF(OR(L35="",L35&gt;30),"",IF(L35=1,60,IF(L35=2,55,IF(L35=3,50,IF(L35=4,44,IF(L35=5,38,IF(L35=6,32,IF(L35=7,28,IF(L35=8,25,IF(L35=9,22,IF(L35=10,21,IF(L35=11,20,IF(L35=12,19,IF(L35=13,18,IF(L35=14,17,IF(L35=15,16,IF(L35=16,15,IF(L35=17,14,IF(L35=18,13,IF(L35=19,12,IF(L35=20,11,IF(L35=21,10,IF(L35=22,9,IF(L35=23,8,IF(L35=24,7,IF(L35=25,6,IF(L35=26,5,IF(L35=27,4,IF(L35=28,3,IF(L35=29,2,IF(L35=30,1)))))))))))))))))))))))))))))))</f>
        <v/>
      </c>
      <c r="S35" s="9">
        <f t="shared" ref="S35:S57" si="28">IF(OR(M35="",M35&gt;30),"",IF(M35=1,60,IF(M35=2,55,IF(M35=3,50,IF(M35=4,44,IF(M35=5,38,IF(M35=6,32,IF(M35=7,28,IF(M35=8,25,IF(M35=9,22,IF(M35=10,21,IF(M35=11,20,IF(M35=12,19,IF(M35=13,18,IF(M35=14,17,IF(M35=15,16,IF(M35=16,15,IF(M35=17,14,IF(M35=18,13,IF(M35=19,12,IF(M35=20,11,IF(M35=21,10,IF(M35=22,9,IF(M35=23,8,IF(M35=24,7,IF(M35=25,6,IF(M35=26,5,IF(M35=27,4,IF(M35=28,3,IF(M35=29,2,IF(M35=30,1)))))))))))))))))))))))))))))))</f>
        <v>9</v>
      </c>
      <c r="T35" s="9" t="str">
        <f t="shared" ref="T35:T57" si="29">IF(OR(N35="",N35&gt;30),"",IF(N35=1,60,IF(N35=2,55,IF(N35=3,50,IF(N35=4,44,IF(N35=5,38,IF(N35=6,32,IF(N35=7,28,IF(N35=8,25,IF(N35=9,22,IF(N35=10,21,IF(N35=11,20,IF(N35=12,19,IF(N35=13,18,IF(N35=14,17,IF(N35=15,16,IF(N35=16,15,IF(N35=17,14,IF(N35=18,13,IF(N35=19,12,IF(N35=20,11,IF(N35=21,10,IF(N35=22,9,IF(N35=23,8,IF(N35=24,7,IF(N35=25,6,IF(N35=26,5,IF(N35=27,4,IF(N35=28,3,IF(N35=29,2,IF(N35=30,1)))))))))))))))))))))))))))))))</f>
        <v/>
      </c>
      <c r="U35" s="9" t="str">
        <f t="shared" ref="U35:U57" si="30">IF(OR(O35="",O35&gt;30),"",IF(O35=1,60,IF(O35=2,55,IF(O35=3,50,IF(O35=4,44,IF(O35=5,38,IF(O35=6,32,IF(O35=7,28,IF(O35=8,25,IF(O35=9,22,IF(O35=10,21,IF(O35=11,20,IF(O35=12,19,IF(O35=13,18,IF(O35=14,17,IF(O35=15,16,IF(O35=16,15,IF(O35=17,14,IF(O35=18,13,IF(O35=19,12,IF(O35=20,11,IF(O35=21,10,IF(O35=22,9,IF(O35=23,8,IF(O35=24,7,IF(O35=25,6,IF(O35=26,5,IF(O35=27,4,IF(O35=28,3,IF(O35=29,2,IF(O35=30,1)))))))))))))))))))))))))))))))</f>
        <v/>
      </c>
      <c r="V35" s="9" t="str">
        <f t="shared" ref="V35:V57" si="31">IF(OR(P35="",P35&gt;30),"",IF(P35=1,60,IF(P35=2,55,IF(P35=3,50,IF(P35=4,44,IF(P35=5,38,IF(P35=6,32,IF(P35=7,28,IF(P35=8,25,IF(P35=9,22,IF(P35=10,21,IF(P35=11,20,IF(P35=12,19,IF(P35=13,18,IF(P35=14,17,IF(P35=15,16,IF(P35=16,15,IF(P35=17,14,IF(P35=18,13,IF(P35=19,12,IF(P35=20,11,IF(P35=21,10,IF(P35=22,9,IF(P35=23,8,IF(P35=24,7,IF(P35=25,6,IF(P35=26,5,IF(P35=27,4,IF(P35=28,3,IF(P35=29,2,IF(P35=30,1)))))))))))))))))))))))))))))))</f>
        <v/>
      </c>
      <c r="W35" s="9" t="str">
        <f t="shared" ref="W35:W57" si="32">IF(OR(Q35="",Q35&gt;30),"",IF(Q35=1,60,IF(Q35=2,55,IF(Q35=3,50,IF(Q35=4,44,IF(Q35=5,38,IF(Q35=6,32,IF(Q35=7,28,IF(Q35=8,25,IF(Q35=9,22,IF(Q35=10,21,IF(Q35=11,20,IF(Q35=12,19,IF(Q35=13,18,IF(Q35=14,17,IF(Q35=15,16,IF(Q35=16,15,IF(Q35=17,14,IF(Q35=18,13,IF(Q35=19,12,IF(Q35=20,11,IF(Q35=21,10,IF(Q35=22,9,IF(Q35=23,8,IF(Q35=24,7,IF(Q35=25,6,IF(Q35=26,5,IF(Q35=27,4,IF(Q35=28,3,IF(Q35=29,2,IF(Q35=30,1)))))))))))))))))))))))))))))))</f>
        <v/>
      </c>
      <c r="X35" s="15">
        <f t="shared" si="19"/>
        <v>9.094609779999999</v>
      </c>
      <c r="Y35" s="2" t="str">
        <f t="shared" ref="Y35:Y57" si="33">IF(OR(X35="",X35=0),"",IF(SUMPRODUCT(--(B$3:B$102=B35),--(X$3:X$102&gt;X35),--(X$3:X$102&lt;&gt;"")),"","P"))</f>
        <v>P</v>
      </c>
      <c r="Z35" s="2" t="str">
        <f t="shared" ref="Z35:Z57" si="34">IF(X35="","",IF(SUMPRODUCT(--(C$3:C$102="P"),--(B$3:B$102=B35)),"P",""))</f>
        <v/>
      </c>
      <c r="AA35" s="15">
        <f t="shared" ref="AA35:AA57" si="35">IF(AND(Y35&lt;&gt;"",OR(Z35="",SUMPRODUCT(--(X$3:X$102&gt;X35),--(Z$3:Z$102="P"),--(Y$3:Y$102="P"))&lt;4)),X35,"")</f>
        <v>9.094609779999999</v>
      </c>
      <c r="AB35" s="9">
        <f t="shared" ref="AB35:AB57" si="36">IF(A35="","",IF(OR(C35="P",D35="P"),"",IF(IF(COUNT(L35:Q35)&lt;5,SUM(L35:Q35),IF(COUNT(L35:Q35)=5,SUM(L35:Q35)-MIN(L35:Q35),SUM(L35:Q35)-MIN(L35:Q35)-SMALL(L35:Q35,2)))&gt;0,IF(COUNT(L35:Q35)&lt;5,SUM(L35:Q35),IF(COUNT(L35:Q35)=5,SUM(L35:Q35)-MIN(L35:Q35),SUM(L35:Q35)-MIN(L35:Q35)-SMALL(L35:Q35,2))),0)))</f>
        <v>54</v>
      </c>
      <c r="AC35" s="9">
        <f t="shared" ref="AC35:AC57" si="37">COUNTIF(L35:Q35,"&lt;=8")</f>
        <v>0</v>
      </c>
      <c r="AD35" s="9">
        <f t="shared" ref="AD35:AD57" si="38">MIN(L35:Q35)</f>
        <v>22</v>
      </c>
    </row>
    <row r="36" spans="1:30" x14ac:dyDescent="0.2">
      <c r="A36" s="7" t="s">
        <v>93</v>
      </c>
      <c r="B36" s="6" t="s">
        <v>23</v>
      </c>
      <c r="E36" s="3" t="str">
        <f t="shared" si="20"/>
        <v/>
      </c>
      <c r="F36" s="6">
        <v>24</v>
      </c>
      <c r="G36" s="6"/>
      <c r="H36" s="6"/>
      <c r="I36" s="6"/>
      <c r="J36" s="6"/>
      <c r="K36" s="6"/>
      <c r="L36" s="9">
        <f t="shared" si="21"/>
        <v>24</v>
      </c>
      <c r="M36" s="9" t="str">
        <f t="shared" si="22"/>
        <v/>
      </c>
      <c r="N36" s="9" t="str">
        <f t="shared" si="23"/>
        <v/>
      </c>
      <c r="O36" s="9" t="str">
        <f t="shared" si="24"/>
        <v/>
      </c>
      <c r="P36" s="9" t="str">
        <f t="shared" si="25"/>
        <v/>
      </c>
      <c r="Q36" s="9" t="str">
        <f t="shared" si="26"/>
        <v/>
      </c>
      <c r="R36" s="9">
        <f t="shared" si="27"/>
        <v>7</v>
      </c>
      <c r="S36" s="9" t="str">
        <f t="shared" si="28"/>
        <v/>
      </c>
      <c r="T36" s="9" t="str">
        <f t="shared" si="29"/>
        <v/>
      </c>
      <c r="U36" s="9" t="str">
        <f t="shared" si="30"/>
        <v/>
      </c>
      <c r="V36" s="9" t="str">
        <f t="shared" si="31"/>
        <v/>
      </c>
      <c r="W36" s="9" t="str">
        <f t="shared" si="32"/>
        <v/>
      </c>
      <c r="X36" s="15">
        <f t="shared" si="19"/>
        <v>7.0976097600000001</v>
      </c>
      <c r="Y36" s="2" t="str">
        <f t="shared" si="33"/>
        <v/>
      </c>
      <c r="Z36" s="2" t="str">
        <f t="shared" si="34"/>
        <v/>
      </c>
      <c r="AA36" s="15" t="str">
        <f t="shared" si="35"/>
        <v/>
      </c>
      <c r="AB36" s="9">
        <f t="shared" si="36"/>
        <v>24</v>
      </c>
      <c r="AC36" s="9">
        <f t="shared" si="37"/>
        <v>0</v>
      </c>
      <c r="AD36" s="9">
        <f t="shared" si="38"/>
        <v>24</v>
      </c>
    </row>
    <row r="37" spans="1:30" x14ac:dyDescent="0.2">
      <c r="A37" s="7" t="s">
        <v>122</v>
      </c>
      <c r="B37" s="6" t="s">
        <v>110</v>
      </c>
      <c r="E37" s="3">
        <f t="shared" si="20"/>
        <v>16</v>
      </c>
      <c r="F37" s="6">
        <v>68</v>
      </c>
      <c r="G37" s="6">
        <v>24</v>
      </c>
      <c r="H37" s="6"/>
      <c r="I37" s="6"/>
      <c r="J37" s="6"/>
      <c r="K37" s="6"/>
      <c r="L37" s="9">
        <f t="shared" si="21"/>
        <v>68</v>
      </c>
      <c r="M37" s="9">
        <f t="shared" si="22"/>
        <v>24</v>
      </c>
      <c r="N37" s="9" t="str">
        <f t="shared" si="23"/>
        <v/>
      </c>
      <c r="O37" s="9" t="str">
        <f t="shared" si="24"/>
        <v/>
      </c>
      <c r="P37" s="9" t="str">
        <f t="shared" si="25"/>
        <v/>
      </c>
      <c r="Q37" s="9" t="str">
        <f t="shared" si="26"/>
        <v/>
      </c>
      <c r="R37" s="9" t="str">
        <f t="shared" si="27"/>
        <v/>
      </c>
      <c r="S37" s="9">
        <f t="shared" si="28"/>
        <v>7</v>
      </c>
      <c r="T37" s="9" t="str">
        <f t="shared" si="29"/>
        <v/>
      </c>
      <c r="U37" s="9" t="str">
        <f t="shared" si="30"/>
        <v/>
      </c>
      <c r="V37" s="9" t="str">
        <f t="shared" si="31"/>
        <v/>
      </c>
      <c r="W37" s="9" t="str">
        <f t="shared" si="32"/>
        <v/>
      </c>
      <c r="X37" s="15">
        <f t="shared" si="19"/>
        <v>7.09080976</v>
      </c>
      <c r="Y37" s="2" t="str">
        <f t="shared" si="33"/>
        <v>P</v>
      </c>
      <c r="Z37" s="2" t="str">
        <f t="shared" si="34"/>
        <v/>
      </c>
      <c r="AA37" s="15">
        <f t="shared" si="35"/>
        <v>7.09080976</v>
      </c>
      <c r="AB37" s="9">
        <f t="shared" si="36"/>
        <v>92</v>
      </c>
      <c r="AC37" s="9">
        <f t="shared" si="37"/>
        <v>0</v>
      </c>
      <c r="AD37" s="9">
        <f t="shared" si="38"/>
        <v>24</v>
      </c>
    </row>
    <row r="38" spans="1:30" x14ac:dyDescent="0.2">
      <c r="A38" s="7" t="s">
        <v>123</v>
      </c>
      <c r="B38" s="6" t="s">
        <v>124</v>
      </c>
      <c r="E38" s="3">
        <f t="shared" si="20"/>
        <v>17</v>
      </c>
      <c r="F38" s="6">
        <v>70</v>
      </c>
      <c r="G38" s="6">
        <v>25</v>
      </c>
      <c r="H38" s="6"/>
      <c r="I38" s="6"/>
      <c r="J38" s="6"/>
      <c r="K38" s="6"/>
      <c r="L38" s="9">
        <f t="shared" si="21"/>
        <v>70</v>
      </c>
      <c r="M38" s="9">
        <f t="shared" si="22"/>
        <v>25</v>
      </c>
      <c r="N38" s="9" t="str">
        <f t="shared" si="23"/>
        <v/>
      </c>
      <c r="O38" s="9" t="str">
        <f t="shared" si="24"/>
        <v/>
      </c>
      <c r="P38" s="9" t="str">
        <f t="shared" si="25"/>
        <v/>
      </c>
      <c r="Q38" s="9" t="str">
        <f t="shared" si="26"/>
        <v/>
      </c>
      <c r="R38" s="9" t="str">
        <f t="shared" si="27"/>
        <v/>
      </c>
      <c r="S38" s="9">
        <f t="shared" si="28"/>
        <v>6</v>
      </c>
      <c r="T38" s="9" t="str">
        <f t="shared" si="29"/>
        <v/>
      </c>
      <c r="U38" s="9" t="str">
        <f t="shared" si="30"/>
        <v/>
      </c>
      <c r="V38" s="9" t="str">
        <f t="shared" si="31"/>
        <v/>
      </c>
      <c r="W38" s="9" t="str">
        <f t="shared" si="32"/>
        <v/>
      </c>
      <c r="X38" s="15">
        <f t="shared" si="19"/>
        <v>6.0905097499999998</v>
      </c>
      <c r="Y38" s="2" t="str">
        <f t="shared" si="33"/>
        <v>P</v>
      </c>
      <c r="Z38" s="2" t="str">
        <f t="shared" si="34"/>
        <v/>
      </c>
      <c r="AA38" s="15">
        <f t="shared" si="35"/>
        <v>6.0905097499999998</v>
      </c>
      <c r="AB38" s="9">
        <f t="shared" si="36"/>
        <v>95</v>
      </c>
      <c r="AC38" s="9">
        <f t="shared" si="37"/>
        <v>0</v>
      </c>
      <c r="AD38" s="9">
        <f t="shared" si="38"/>
        <v>25</v>
      </c>
    </row>
    <row r="39" spans="1:30" x14ac:dyDescent="0.2">
      <c r="A39" s="7" t="s">
        <v>125</v>
      </c>
      <c r="B39" s="6" t="s">
        <v>23</v>
      </c>
      <c r="E39" s="3" t="str">
        <f t="shared" si="20"/>
        <v/>
      </c>
      <c r="F39" s="6"/>
      <c r="G39" s="6">
        <v>26</v>
      </c>
      <c r="H39" s="6"/>
      <c r="I39" s="6"/>
      <c r="J39" s="6"/>
      <c r="K39" s="6"/>
      <c r="L39" s="9" t="str">
        <f t="shared" si="21"/>
        <v/>
      </c>
      <c r="M39" s="9">
        <f t="shared" si="22"/>
        <v>26</v>
      </c>
      <c r="N39" s="9" t="str">
        <f t="shared" si="23"/>
        <v/>
      </c>
      <c r="O39" s="9" t="str">
        <f t="shared" si="24"/>
        <v/>
      </c>
      <c r="P39" s="9" t="str">
        <f t="shared" si="25"/>
        <v/>
      </c>
      <c r="Q39" s="9" t="str">
        <f t="shared" si="26"/>
        <v/>
      </c>
      <c r="R39" s="9" t="str">
        <f t="shared" si="27"/>
        <v/>
      </c>
      <c r="S39" s="9">
        <f t="shared" si="28"/>
        <v>5</v>
      </c>
      <c r="T39" s="9" t="str">
        <f t="shared" si="29"/>
        <v/>
      </c>
      <c r="U39" s="9" t="str">
        <f t="shared" si="30"/>
        <v/>
      </c>
      <c r="V39" s="9" t="str">
        <f t="shared" si="31"/>
        <v/>
      </c>
      <c r="W39" s="9" t="str">
        <f t="shared" si="32"/>
        <v/>
      </c>
      <c r="X39" s="15">
        <f t="shared" si="19"/>
        <v>5.0974097400000007</v>
      </c>
      <c r="Y39" s="2" t="str">
        <f t="shared" si="33"/>
        <v/>
      </c>
      <c r="Z39" s="2" t="str">
        <f t="shared" si="34"/>
        <v/>
      </c>
      <c r="AA39" s="15" t="str">
        <f t="shared" si="35"/>
        <v/>
      </c>
      <c r="AB39" s="9">
        <f t="shared" si="36"/>
        <v>26</v>
      </c>
      <c r="AC39" s="9">
        <f t="shared" si="37"/>
        <v>0</v>
      </c>
      <c r="AD39" s="9">
        <f t="shared" si="38"/>
        <v>26</v>
      </c>
    </row>
    <row r="40" spans="1:30" x14ac:dyDescent="0.2">
      <c r="A40" s="7" t="s">
        <v>96</v>
      </c>
      <c r="B40" s="6" t="s">
        <v>59</v>
      </c>
      <c r="E40" s="3" t="str">
        <f t="shared" si="20"/>
        <v/>
      </c>
      <c r="F40" s="6">
        <v>27</v>
      </c>
      <c r="G40" s="6">
        <v>84</v>
      </c>
      <c r="H40" s="6"/>
      <c r="I40" s="6"/>
      <c r="J40" s="6"/>
      <c r="K40" s="6"/>
      <c r="L40" s="9">
        <f t="shared" si="21"/>
        <v>27</v>
      </c>
      <c r="M40" s="9">
        <f t="shared" si="22"/>
        <v>84</v>
      </c>
      <c r="N40" s="9" t="str">
        <f t="shared" si="23"/>
        <v/>
      </c>
      <c r="O40" s="9" t="str">
        <f t="shared" si="24"/>
        <v/>
      </c>
      <c r="P40" s="9" t="str">
        <f t="shared" si="25"/>
        <v/>
      </c>
      <c r="Q40" s="9" t="str">
        <f t="shared" si="26"/>
        <v/>
      </c>
      <c r="R40" s="9">
        <f t="shared" si="27"/>
        <v>4</v>
      </c>
      <c r="S40" s="9" t="str">
        <f t="shared" si="28"/>
        <v/>
      </c>
      <c r="T40" s="9" t="str">
        <f t="shared" si="29"/>
        <v/>
      </c>
      <c r="U40" s="9" t="str">
        <f t="shared" si="30"/>
        <v/>
      </c>
      <c r="V40" s="9" t="str">
        <f t="shared" si="31"/>
        <v/>
      </c>
      <c r="W40" s="9" t="str">
        <f t="shared" si="32"/>
        <v/>
      </c>
      <c r="X40" s="15">
        <f t="shared" si="19"/>
        <v>4.0889097300000001</v>
      </c>
      <c r="Y40" s="2" t="str">
        <f t="shared" si="33"/>
        <v/>
      </c>
      <c r="Z40" s="2" t="str">
        <f t="shared" si="34"/>
        <v/>
      </c>
      <c r="AA40" s="15" t="str">
        <f t="shared" si="35"/>
        <v/>
      </c>
      <c r="AB40" s="9">
        <f t="shared" si="36"/>
        <v>111</v>
      </c>
      <c r="AC40" s="9">
        <f t="shared" si="37"/>
        <v>0</v>
      </c>
      <c r="AD40" s="9">
        <f t="shared" si="38"/>
        <v>27</v>
      </c>
    </row>
    <row r="41" spans="1:30" x14ac:dyDescent="0.2">
      <c r="A41" s="7" t="s">
        <v>126</v>
      </c>
      <c r="B41" s="6" t="s">
        <v>127</v>
      </c>
      <c r="E41" s="3">
        <f t="shared" si="20"/>
        <v>18</v>
      </c>
      <c r="F41" s="6"/>
      <c r="G41" s="6">
        <v>28</v>
      </c>
      <c r="H41" s="6"/>
      <c r="I41" s="6"/>
      <c r="J41" s="6"/>
      <c r="K41" s="6"/>
      <c r="L41" s="9" t="str">
        <f t="shared" si="21"/>
        <v/>
      </c>
      <c r="M41" s="9">
        <f t="shared" si="22"/>
        <v>28</v>
      </c>
      <c r="N41" s="9" t="str">
        <f t="shared" si="23"/>
        <v/>
      </c>
      <c r="O41" s="9" t="str">
        <f t="shared" si="24"/>
        <v/>
      </c>
      <c r="P41" s="9" t="str">
        <f t="shared" si="25"/>
        <v/>
      </c>
      <c r="Q41" s="9" t="str">
        <f t="shared" si="26"/>
        <v/>
      </c>
      <c r="R41" s="9" t="str">
        <f t="shared" si="27"/>
        <v/>
      </c>
      <c r="S41" s="9">
        <f t="shared" si="28"/>
        <v>3</v>
      </c>
      <c r="T41" s="9" t="str">
        <f t="shared" si="29"/>
        <v/>
      </c>
      <c r="U41" s="9" t="str">
        <f t="shared" si="30"/>
        <v/>
      </c>
      <c r="V41" s="9" t="str">
        <f t="shared" si="31"/>
        <v/>
      </c>
      <c r="W41" s="9" t="str">
        <f t="shared" si="32"/>
        <v/>
      </c>
      <c r="X41" s="15">
        <f t="shared" si="19"/>
        <v>3.0972097199999999</v>
      </c>
      <c r="Y41" s="2" t="str">
        <f t="shared" si="33"/>
        <v>P</v>
      </c>
      <c r="Z41" s="2" t="str">
        <f t="shared" si="34"/>
        <v/>
      </c>
      <c r="AA41" s="15">
        <f t="shared" si="35"/>
        <v>3.0972097199999999</v>
      </c>
      <c r="AB41" s="9">
        <f t="shared" si="36"/>
        <v>28</v>
      </c>
      <c r="AC41" s="9">
        <f t="shared" si="37"/>
        <v>0</v>
      </c>
      <c r="AD41" s="9">
        <f t="shared" si="38"/>
        <v>28</v>
      </c>
    </row>
    <row r="42" spans="1:30" x14ac:dyDescent="0.2">
      <c r="A42" s="7" t="s">
        <v>128</v>
      </c>
      <c r="B42" s="6" t="s">
        <v>25</v>
      </c>
      <c r="E42" s="3" t="str">
        <f t="shared" si="20"/>
        <v/>
      </c>
      <c r="F42" s="6"/>
      <c r="G42" s="6">
        <v>29</v>
      </c>
      <c r="H42" s="6"/>
      <c r="I42" s="6"/>
      <c r="J42" s="6"/>
      <c r="K42" s="6"/>
      <c r="L42" s="9" t="str">
        <f t="shared" si="21"/>
        <v/>
      </c>
      <c r="M42" s="9">
        <f t="shared" si="22"/>
        <v>29</v>
      </c>
      <c r="N42" s="9" t="str">
        <f t="shared" si="23"/>
        <v/>
      </c>
      <c r="O42" s="9" t="str">
        <f t="shared" si="24"/>
        <v/>
      </c>
      <c r="P42" s="9" t="str">
        <f t="shared" si="25"/>
        <v/>
      </c>
      <c r="Q42" s="9" t="str">
        <f t="shared" si="26"/>
        <v/>
      </c>
      <c r="R42" s="9" t="str">
        <f t="shared" si="27"/>
        <v/>
      </c>
      <c r="S42" s="9">
        <f t="shared" si="28"/>
        <v>2</v>
      </c>
      <c r="T42" s="9" t="str">
        <f t="shared" si="29"/>
        <v/>
      </c>
      <c r="U42" s="9" t="str">
        <f t="shared" si="30"/>
        <v/>
      </c>
      <c r="V42" s="9" t="str">
        <f t="shared" si="31"/>
        <v/>
      </c>
      <c r="W42" s="9" t="str">
        <f t="shared" si="32"/>
        <v/>
      </c>
      <c r="X42" s="15">
        <f t="shared" si="19"/>
        <v>2.0971097100000002</v>
      </c>
      <c r="Y42" s="2" t="str">
        <f t="shared" si="33"/>
        <v/>
      </c>
      <c r="Z42" s="2" t="str">
        <f t="shared" si="34"/>
        <v/>
      </c>
      <c r="AA42" s="15" t="str">
        <f t="shared" si="35"/>
        <v/>
      </c>
      <c r="AB42" s="9">
        <f t="shared" si="36"/>
        <v>29</v>
      </c>
      <c r="AC42" s="9">
        <f t="shared" si="37"/>
        <v>0</v>
      </c>
      <c r="AD42" s="9">
        <f t="shared" si="38"/>
        <v>29</v>
      </c>
    </row>
    <row r="43" spans="1:30" x14ac:dyDescent="0.2">
      <c r="A43" s="7" t="s">
        <v>129</v>
      </c>
      <c r="B43" s="6" t="s">
        <v>53</v>
      </c>
      <c r="E43" s="3">
        <f t="shared" si="20"/>
        <v>19</v>
      </c>
      <c r="F43" s="6">
        <v>64</v>
      </c>
      <c r="G43" s="6">
        <v>30</v>
      </c>
      <c r="H43" s="6"/>
      <c r="I43" s="6"/>
      <c r="J43" s="6"/>
      <c r="K43" s="6"/>
      <c r="L43" s="9">
        <f t="shared" si="21"/>
        <v>64</v>
      </c>
      <c r="M43" s="9">
        <f t="shared" si="22"/>
        <v>30</v>
      </c>
      <c r="N43" s="9" t="str">
        <f t="shared" si="23"/>
        <v/>
      </c>
      <c r="O43" s="9" t="str">
        <f t="shared" si="24"/>
        <v/>
      </c>
      <c r="P43" s="9" t="str">
        <f t="shared" si="25"/>
        <v/>
      </c>
      <c r="Q43" s="9" t="str">
        <f t="shared" si="26"/>
        <v/>
      </c>
      <c r="R43" s="9" t="str">
        <f t="shared" si="27"/>
        <v/>
      </c>
      <c r="S43" s="9">
        <f t="shared" si="28"/>
        <v>1</v>
      </c>
      <c r="T43" s="9" t="str">
        <f t="shared" si="29"/>
        <v/>
      </c>
      <c r="U43" s="9" t="str">
        <f t="shared" si="30"/>
        <v/>
      </c>
      <c r="V43" s="9" t="str">
        <f t="shared" si="31"/>
        <v/>
      </c>
      <c r="W43" s="9" t="str">
        <f t="shared" si="32"/>
        <v/>
      </c>
      <c r="X43" s="15">
        <f t="shared" si="19"/>
        <v>1.0906096999999999</v>
      </c>
      <c r="Y43" s="2" t="str">
        <f t="shared" si="33"/>
        <v>P</v>
      </c>
      <c r="Z43" s="2" t="str">
        <f t="shared" si="34"/>
        <v/>
      </c>
      <c r="AA43" s="15">
        <f t="shared" si="35"/>
        <v>1.0906096999999999</v>
      </c>
      <c r="AB43" s="9">
        <f t="shared" si="36"/>
        <v>94</v>
      </c>
      <c r="AC43" s="9">
        <f t="shared" si="37"/>
        <v>0</v>
      </c>
      <c r="AD43" s="9">
        <f t="shared" si="38"/>
        <v>30</v>
      </c>
    </row>
    <row r="44" spans="1:30" x14ac:dyDescent="0.2">
      <c r="A44" s="7" t="s">
        <v>100</v>
      </c>
      <c r="B44" s="6" t="s">
        <v>17</v>
      </c>
      <c r="E44" s="3" t="str">
        <f t="shared" si="20"/>
        <v/>
      </c>
      <c r="F44" s="6">
        <v>31</v>
      </c>
      <c r="G44" s="6"/>
      <c r="H44" s="6"/>
      <c r="I44" s="6"/>
      <c r="J44" s="6"/>
      <c r="K44" s="6"/>
      <c r="L44" s="9">
        <f t="shared" si="21"/>
        <v>31</v>
      </c>
      <c r="M44" s="9" t="str">
        <f t="shared" si="22"/>
        <v/>
      </c>
      <c r="N44" s="9" t="str">
        <f t="shared" si="23"/>
        <v/>
      </c>
      <c r="O44" s="9" t="str">
        <f t="shared" si="24"/>
        <v/>
      </c>
      <c r="P44" s="9" t="str">
        <f t="shared" si="25"/>
        <v/>
      </c>
      <c r="Q44" s="9" t="str">
        <f t="shared" si="26"/>
        <v/>
      </c>
      <c r="R44" s="9" t="str">
        <f t="shared" si="27"/>
        <v/>
      </c>
      <c r="S44" s="9" t="str">
        <f t="shared" si="28"/>
        <v/>
      </c>
      <c r="T44" s="9" t="str">
        <f t="shared" si="29"/>
        <v/>
      </c>
      <c r="U44" s="9" t="str">
        <f t="shared" si="30"/>
        <v/>
      </c>
      <c r="V44" s="9" t="str">
        <f t="shared" si="31"/>
        <v/>
      </c>
      <c r="W44" s="9" t="str">
        <f t="shared" si="32"/>
        <v/>
      </c>
      <c r="X44" s="15">
        <f t="shared" si="19"/>
        <v>0</v>
      </c>
      <c r="Y44" s="2" t="str">
        <f t="shared" si="33"/>
        <v/>
      </c>
      <c r="Z44" s="2" t="str">
        <f t="shared" si="34"/>
        <v/>
      </c>
      <c r="AA44" s="15" t="str">
        <f t="shared" si="35"/>
        <v/>
      </c>
      <c r="AB44" s="9">
        <f t="shared" si="36"/>
        <v>31</v>
      </c>
      <c r="AC44" s="9">
        <f t="shared" si="37"/>
        <v>0</v>
      </c>
      <c r="AD44" s="9">
        <f t="shared" si="38"/>
        <v>31</v>
      </c>
    </row>
    <row r="45" spans="1:30" x14ac:dyDescent="0.2">
      <c r="A45" s="7" t="s">
        <v>102</v>
      </c>
      <c r="B45" s="6" t="s">
        <v>110</v>
      </c>
      <c r="E45" s="3" t="str">
        <f t="shared" si="20"/>
        <v/>
      </c>
      <c r="F45" s="6">
        <v>33</v>
      </c>
      <c r="G45" s="6">
        <v>44</v>
      </c>
      <c r="H45" s="6"/>
      <c r="I45" s="6"/>
      <c r="J45" s="6"/>
      <c r="K45" s="6"/>
      <c r="L45" s="9">
        <f t="shared" si="21"/>
        <v>33</v>
      </c>
      <c r="M45" s="9">
        <f t="shared" si="22"/>
        <v>44</v>
      </c>
      <c r="N45" s="9" t="str">
        <f t="shared" si="23"/>
        <v/>
      </c>
      <c r="O45" s="9" t="str">
        <f t="shared" si="24"/>
        <v/>
      </c>
      <c r="P45" s="9" t="str">
        <f t="shared" si="25"/>
        <v/>
      </c>
      <c r="Q45" s="9" t="str">
        <f t="shared" si="26"/>
        <v/>
      </c>
      <c r="R45" s="9" t="str">
        <f t="shared" si="27"/>
        <v/>
      </c>
      <c r="S45" s="9" t="str">
        <f t="shared" si="28"/>
        <v/>
      </c>
      <c r="T45" s="9" t="str">
        <f t="shared" si="29"/>
        <v/>
      </c>
      <c r="U45" s="9" t="str">
        <f t="shared" si="30"/>
        <v/>
      </c>
      <c r="V45" s="9" t="str">
        <f t="shared" si="31"/>
        <v/>
      </c>
      <c r="W45" s="9" t="str">
        <f t="shared" si="32"/>
        <v/>
      </c>
      <c r="X45" s="15">
        <f t="shared" si="19"/>
        <v>0</v>
      </c>
      <c r="Y45" s="2" t="str">
        <f t="shared" si="33"/>
        <v/>
      </c>
      <c r="Z45" s="2" t="str">
        <f t="shared" si="34"/>
        <v/>
      </c>
      <c r="AA45" s="15" t="str">
        <f t="shared" si="35"/>
        <v/>
      </c>
      <c r="AB45" s="9">
        <f t="shared" si="36"/>
        <v>77</v>
      </c>
      <c r="AC45" s="9">
        <f t="shared" si="37"/>
        <v>0</v>
      </c>
      <c r="AD45" s="9">
        <f t="shared" si="38"/>
        <v>33</v>
      </c>
    </row>
    <row r="46" spans="1:30" x14ac:dyDescent="0.2">
      <c r="A46" s="7" t="s">
        <v>103</v>
      </c>
      <c r="B46" s="6" t="s">
        <v>111</v>
      </c>
      <c r="E46" s="3" t="str">
        <f t="shared" si="20"/>
        <v/>
      </c>
      <c r="F46" s="6">
        <v>34</v>
      </c>
      <c r="G46" s="6">
        <v>57</v>
      </c>
      <c r="H46" s="6"/>
      <c r="I46" s="6"/>
      <c r="J46" s="6"/>
      <c r="K46" s="6"/>
      <c r="L46" s="9">
        <f t="shared" si="21"/>
        <v>34</v>
      </c>
      <c r="M46" s="9">
        <f t="shared" si="22"/>
        <v>57</v>
      </c>
      <c r="N46" s="9" t="str">
        <f t="shared" si="23"/>
        <v/>
      </c>
      <c r="O46" s="9" t="str">
        <f t="shared" si="24"/>
        <v/>
      </c>
      <c r="P46" s="9" t="str">
        <f t="shared" si="25"/>
        <v/>
      </c>
      <c r="Q46" s="9" t="str">
        <f t="shared" si="26"/>
        <v/>
      </c>
      <c r="R46" s="9" t="str">
        <f t="shared" si="27"/>
        <v/>
      </c>
      <c r="S46" s="9" t="str">
        <f t="shared" si="28"/>
        <v/>
      </c>
      <c r="T46" s="9" t="str">
        <f t="shared" si="29"/>
        <v/>
      </c>
      <c r="U46" s="9" t="str">
        <f t="shared" si="30"/>
        <v/>
      </c>
      <c r="V46" s="9" t="str">
        <f t="shared" si="31"/>
        <v/>
      </c>
      <c r="W46" s="9" t="str">
        <f t="shared" si="32"/>
        <v/>
      </c>
      <c r="X46" s="15">
        <f t="shared" si="19"/>
        <v>0</v>
      </c>
      <c r="Y46" s="2" t="str">
        <f t="shared" si="33"/>
        <v/>
      </c>
      <c r="Z46" s="2" t="str">
        <f t="shared" si="34"/>
        <v/>
      </c>
      <c r="AA46" s="15" t="str">
        <f t="shared" si="35"/>
        <v/>
      </c>
      <c r="AB46" s="9">
        <f t="shared" si="36"/>
        <v>91</v>
      </c>
      <c r="AC46" s="9">
        <f t="shared" si="37"/>
        <v>0</v>
      </c>
      <c r="AD46" s="9">
        <f t="shared" si="38"/>
        <v>34</v>
      </c>
    </row>
    <row r="47" spans="1:30" x14ac:dyDescent="0.2">
      <c r="A47" s="7" t="s">
        <v>104</v>
      </c>
      <c r="B47" s="6" t="s">
        <v>56</v>
      </c>
      <c r="E47" s="3" t="str">
        <f t="shared" si="20"/>
        <v/>
      </c>
      <c r="F47" s="6">
        <v>35</v>
      </c>
      <c r="G47" s="6">
        <v>36</v>
      </c>
      <c r="H47" s="6"/>
      <c r="I47" s="6"/>
      <c r="J47" s="6"/>
      <c r="K47" s="6"/>
      <c r="L47" s="9">
        <f t="shared" si="21"/>
        <v>35</v>
      </c>
      <c r="M47" s="9">
        <f t="shared" si="22"/>
        <v>36</v>
      </c>
      <c r="N47" s="9" t="str">
        <f t="shared" si="23"/>
        <v/>
      </c>
      <c r="O47" s="9" t="str">
        <f t="shared" si="24"/>
        <v/>
      </c>
      <c r="P47" s="9" t="str">
        <f t="shared" si="25"/>
        <v/>
      </c>
      <c r="Q47" s="9" t="str">
        <f t="shared" si="26"/>
        <v/>
      </c>
      <c r="R47" s="9" t="str">
        <f t="shared" si="27"/>
        <v/>
      </c>
      <c r="S47" s="9" t="str">
        <f t="shared" si="28"/>
        <v/>
      </c>
      <c r="T47" s="9" t="str">
        <f t="shared" si="29"/>
        <v/>
      </c>
      <c r="U47" s="9" t="str">
        <f t="shared" si="30"/>
        <v/>
      </c>
      <c r="V47" s="9" t="str">
        <f t="shared" si="31"/>
        <v/>
      </c>
      <c r="W47" s="9" t="str">
        <f t="shared" si="32"/>
        <v/>
      </c>
      <c r="X47" s="15">
        <f t="shared" si="19"/>
        <v>0</v>
      </c>
      <c r="Y47" s="2" t="str">
        <f t="shared" si="33"/>
        <v/>
      </c>
      <c r="Z47" s="2" t="str">
        <f t="shared" si="34"/>
        <v/>
      </c>
      <c r="AA47" s="15" t="str">
        <f t="shared" si="35"/>
        <v/>
      </c>
      <c r="AB47" s="9">
        <f t="shared" si="36"/>
        <v>71</v>
      </c>
      <c r="AC47" s="9">
        <f t="shared" si="37"/>
        <v>0</v>
      </c>
      <c r="AD47" s="9">
        <f t="shared" si="38"/>
        <v>35</v>
      </c>
    </row>
    <row r="48" spans="1:30" x14ac:dyDescent="0.2">
      <c r="A48" s="7" t="s">
        <v>105</v>
      </c>
      <c r="B48" s="6" t="s">
        <v>61</v>
      </c>
      <c r="E48" s="3" t="str">
        <f t="shared" si="20"/>
        <v/>
      </c>
      <c r="F48" s="6">
        <v>36</v>
      </c>
      <c r="G48" s="6">
        <v>40</v>
      </c>
      <c r="H48" s="6"/>
      <c r="I48" s="6"/>
      <c r="J48" s="6"/>
      <c r="K48" s="6"/>
      <c r="L48" s="9">
        <f t="shared" si="21"/>
        <v>36</v>
      </c>
      <c r="M48" s="9">
        <f t="shared" si="22"/>
        <v>40</v>
      </c>
      <c r="N48" s="9" t="str">
        <f t="shared" si="23"/>
        <v/>
      </c>
      <c r="O48" s="9" t="str">
        <f t="shared" si="24"/>
        <v/>
      </c>
      <c r="P48" s="9" t="str">
        <f t="shared" si="25"/>
        <v/>
      </c>
      <c r="Q48" s="9" t="str">
        <f t="shared" si="26"/>
        <v/>
      </c>
      <c r="R48" s="9" t="str">
        <f t="shared" si="27"/>
        <v/>
      </c>
      <c r="S48" s="9" t="str">
        <f t="shared" si="28"/>
        <v/>
      </c>
      <c r="T48" s="9" t="str">
        <f t="shared" si="29"/>
        <v/>
      </c>
      <c r="U48" s="9" t="str">
        <f t="shared" si="30"/>
        <v/>
      </c>
      <c r="V48" s="9" t="str">
        <f t="shared" si="31"/>
        <v/>
      </c>
      <c r="W48" s="9" t="str">
        <f t="shared" si="32"/>
        <v/>
      </c>
      <c r="X48" s="15">
        <f t="shared" si="19"/>
        <v>0</v>
      </c>
      <c r="Y48" s="2" t="str">
        <f t="shared" si="33"/>
        <v/>
      </c>
      <c r="Z48" s="2" t="str">
        <f t="shared" si="34"/>
        <v/>
      </c>
      <c r="AA48" s="15" t="str">
        <f t="shared" si="35"/>
        <v/>
      </c>
      <c r="AB48" s="9">
        <f t="shared" si="36"/>
        <v>76</v>
      </c>
      <c r="AC48" s="9">
        <f t="shared" si="37"/>
        <v>0</v>
      </c>
      <c r="AD48" s="9">
        <f t="shared" si="38"/>
        <v>36</v>
      </c>
    </row>
    <row r="49" spans="1:30" x14ac:dyDescent="0.2">
      <c r="A49" s="7" t="s">
        <v>106</v>
      </c>
      <c r="B49" s="6" t="s">
        <v>112</v>
      </c>
      <c r="E49" s="3" t="str">
        <f t="shared" si="20"/>
        <v/>
      </c>
      <c r="F49" s="6">
        <v>37</v>
      </c>
      <c r="G49" s="6">
        <v>64</v>
      </c>
      <c r="H49" s="6"/>
      <c r="I49" s="6"/>
      <c r="J49" s="6"/>
      <c r="K49" s="6"/>
      <c r="L49" s="9">
        <f t="shared" si="21"/>
        <v>37</v>
      </c>
      <c r="M49" s="9">
        <f t="shared" si="22"/>
        <v>64</v>
      </c>
      <c r="N49" s="9" t="str">
        <f t="shared" si="23"/>
        <v/>
      </c>
      <c r="O49" s="9" t="str">
        <f t="shared" si="24"/>
        <v/>
      </c>
      <c r="P49" s="9" t="str">
        <f t="shared" si="25"/>
        <v/>
      </c>
      <c r="Q49" s="9" t="str">
        <f t="shared" si="26"/>
        <v/>
      </c>
      <c r="R49" s="9" t="str">
        <f t="shared" si="27"/>
        <v/>
      </c>
      <c r="S49" s="9" t="str">
        <f t="shared" si="28"/>
        <v/>
      </c>
      <c r="T49" s="9" t="str">
        <f t="shared" si="29"/>
        <v/>
      </c>
      <c r="U49" s="9" t="str">
        <f t="shared" si="30"/>
        <v/>
      </c>
      <c r="V49" s="9" t="str">
        <f t="shared" si="31"/>
        <v/>
      </c>
      <c r="W49" s="9" t="str">
        <f t="shared" si="32"/>
        <v/>
      </c>
      <c r="X49" s="15">
        <f t="shared" si="19"/>
        <v>0</v>
      </c>
      <c r="Y49" s="2" t="str">
        <f t="shared" si="33"/>
        <v/>
      </c>
      <c r="Z49" s="2" t="str">
        <f t="shared" si="34"/>
        <v/>
      </c>
      <c r="AA49" s="15" t="str">
        <f t="shared" si="35"/>
        <v/>
      </c>
      <c r="AB49" s="9">
        <f t="shared" si="36"/>
        <v>101</v>
      </c>
      <c r="AC49" s="9">
        <f t="shared" si="37"/>
        <v>0</v>
      </c>
      <c r="AD49" s="9">
        <f t="shared" si="38"/>
        <v>37</v>
      </c>
    </row>
    <row r="50" spans="1:30" x14ac:dyDescent="0.2">
      <c r="A50" s="7" t="s">
        <v>107</v>
      </c>
      <c r="B50" s="6" t="s">
        <v>23</v>
      </c>
      <c r="E50" s="3" t="str">
        <f t="shared" si="20"/>
        <v/>
      </c>
      <c r="F50" s="6">
        <v>38</v>
      </c>
      <c r="G50" s="6"/>
      <c r="H50" s="6"/>
      <c r="I50" s="6"/>
      <c r="J50" s="6"/>
      <c r="K50" s="6"/>
      <c r="L50" s="9">
        <f t="shared" si="21"/>
        <v>38</v>
      </c>
      <c r="M50" s="9" t="str">
        <f t="shared" si="22"/>
        <v/>
      </c>
      <c r="N50" s="9" t="str">
        <f t="shared" si="23"/>
        <v/>
      </c>
      <c r="O50" s="9" t="str">
        <f t="shared" si="24"/>
        <v/>
      </c>
      <c r="P50" s="9" t="str">
        <f t="shared" si="25"/>
        <v/>
      </c>
      <c r="Q50" s="9" t="str">
        <f t="shared" si="26"/>
        <v/>
      </c>
      <c r="R50" s="9" t="str">
        <f t="shared" si="27"/>
        <v/>
      </c>
      <c r="S50" s="9" t="str">
        <f t="shared" si="28"/>
        <v/>
      </c>
      <c r="T50" s="9" t="str">
        <f t="shared" si="29"/>
        <v/>
      </c>
      <c r="U50" s="9" t="str">
        <f t="shared" si="30"/>
        <v/>
      </c>
      <c r="V50" s="9" t="str">
        <f t="shared" si="31"/>
        <v/>
      </c>
      <c r="W50" s="9" t="str">
        <f t="shared" si="32"/>
        <v/>
      </c>
      <c r="X50" s="15">
        <f t="shared" si="19"/>
        <v>0</v>
      </c>
      <c r="Y50" s="2" t="str">
        <f t="shared" si="33"/>
        <v/>
      </c>
      <c r="Z50" s="2" t="str">
        <f t="shared" si="34"/>
        <v/>
      </c>
      <c r="AA50" s="15" t="str">
        <f t="shared" si="35"/>
        <v/>
      </c>
      <c r="AB50" s="9">
        <f t="shared" si="36"/>
        <v>38</v>
      </c>
      <c r="AC50" s="9">
        <f t="shared" si="37"/>
        <v>0</v>
      </c>
      <c r="AD50" s="9">
        <f t="shared" si="38"/>
        <v>38</v>
      </c>
    </row>
    <row r="51" spans="1:30" x14ac:dyDescent="0.2">
      <c r="A51" s="7" t="s">
        <v>130</v>
      </c>
      <c r="B51" s="6" t="s">
        <v>131</v>
      </c>
      <c r="E51" s="3" t="str">
        <f t="shared" si="20"/>
        <v/>
      </c>
      <c r="F51" s="6"/>
      <c r="G51" s="6">
        <v>31</v>
      </c>
      <c r="H51" s="6"/>
      <c r="I51" s="6"/>
      <c r="J51" s="6"/>
      <c r="K51" s="6"/>
      <c r="L51" s="9" t="str">
        <f t="shared" si="21"/>
        <v/>
      </c>
      <c r="M51" s="9">
        <f t="shared" si="22"/>
        <v>31</v>
      </c>
      <c r="N51" s="9" t="str">
        <f t="shared" si="23"/>
        <v/>
      </c>
      <c r="O51" s="9" t="str">
        <f t="shared" si="24"/>
        <v/>
      </c>
      <c r="P51" s="9" t="str">
        <f t="shared" si="25"/>
        <v/>
      </c>
      <c r="Q51" s="9" t="str">
        <f t="shared" si="26"/>
        <v/>
      </c>
      <c r="R51" s="9" t="str">
        <f t="shared" si="27"/>
        <v/>
      </c>
      <c r="S51" s="9" t="str">
        <f t="shared" si="28"/>
        <v/>
      </c>
      <c r="T51" s="9" t="str">
        <f t="shared" si="29"/>
        <v/>
      </c>
      <c r="U51" s="9" t="str">
        <f t="shared" si="30"/>
        <v/>
      </c>
      <c r="V51" s="9" t="str">
        <f t="shared" si="31"/>
        <v/>
      </c>
      <c r="W51" s="9" t="str">
        <f t="shared" si="32"/>
        <v/>
      </c>
      <c r="X51" s="15">
        <f t="shared" si="19"/>
        <v>0</v>
      </c>
      <c r="Y51" s="2" t="str">
        <f t="shared" si="33"/>
        <v/>
      </c>
      <c r="Z51" s="2" t="str">
        <f t="shared" si="34"/>
        <v/>
      </c>
      <c r="AA51" s="15" t="str">
        <f t="shared" si="35"/>
        <v/>
      </c>
      <c r="AB51" s="9">
        <f t="shared" si="36"/>
        <v>31</v>
      </c>
      <c r="AC51" s="9">
        <f t="shared" si="37"/>
        <v>0</v>
      </c>
      <c r="AD51" s="9">
        <f t="shared" si="38"/>
        <v>31</v>
      </c>
    </row>
    <row r="52" spans="1:30" x14ac:dyDescent="0.2">
      <c r="A52" s="7" t="s">
        <v>132</v>
      </c>
      <c r="B52" s="6" t="s">
        <v>84</v>
      </c>
      <c r="E52" s="3" t="str">
        <f t="shared" si="20"/>
        <v/>
      </c>
      <c r="F52" s="6"/>
      <c r="G52" s="6">
        <v>32</v>
      </c>
      <c r="H52" s="6"/>
      <c r="I52" s="6"/>
      <c r="J52" s="6"/>
      <c r="K52" s="6"/>
      <c r="L52" s="9" t="str">
        <f t="shared" si="21"/>
        <v/>
      </c>
      <c r="M52" s="9">
        <f t="shared" si="22"/>
        <v>32</v>
      </c>
      <c r="N52" s="9" t="str">
        <f t="shared" si="23"/>
        <v/>
      </c>
      <c r="O52" s="9" t="str">
        <f t="shared" si="24"/>
        <v/>
      </c>
      <c r="P52" s="9" t="str">
        <f t="shared" si="25"/>
        <v/>
      </c>
      <c r="Q52" s="9" t="str">
        <f t="shared" si="26"/>
        <v/>
      </c>
      <c r="R52" s="9" t="str">
        <f t="shared" si="27"/>
        <v/>
      </c>
      <c r="S52" s="9" t="str">
        <f t="shared" si="28"/>
        <v/>
      </c>
      <c r="T52" s="9" t="str">
        <f t="shared" si="29"/>
        <v/>
      </c>
      <c r="U52" s="9" t="str">
        <f t="shared" si="30"/>
        <v/>
      </c>
      <c r="V52" s="9" t="str">
        <f t="shared" si="31"/>
        <v/>
      </c>
      <c r="W52" s="9" t="str">
        <f t="shared" si="32"/>
        <v/>
      </c>
      <c r="X52" s="15">
        <f t="shared" si="19"/>
        <v>0</v>
      </c>
      <c r="Y52" s="2" t="str">
        <f t="shared" si="33"/>
        <v/>
      </c>
      <c r="Z52" s="2" t="str">
        <f t="shared" si="34"/>
        <v/>
      </c>
      <c r="AA52" s="15" t="str">
        <f t="shared" si="35"/>
        <v/>
      </c>
      <c r="AB52" s="9">
        <f t="shared" si="36"/>
        <v>32</v>
      </c>
      <c r="AC52" s="9">
        <f t="shared" si="37"/>
        <v>0</v>
      </c>
      <c r="AD52" s="9">
        <f t="shared" si="38"/>
        <v>32</v>
      </c>
    </row>
    <row r="53" spans="1:30" x14ac:dyDescent="0.2">
      <c r="A53" s="7" t="s">
        <v>133</v>
      </c>
      <c r="B53" s="6" t="s">
        <v>19</v>
      </c>
      <c r="E53" s="3" t="str">
        <f t="shared" si="20"/>
        <v/>
      </c>
      <c r="F53" s="6"/>
      <c r="G53" s="6">
        <v>33</v>
      </c>
      <c r="H53" s="6"/>
      <c r="I53" s="6"/>
      <c r="J53" s="6"/>
      <c r="K53" s="6"/>
      <c r="L53" s="9" t="str">
        <f t="shared" si="21"/>
        <v/>
      </c>
      <c r="M53" s="9">
        <f t="shared" si="22"/>
        <v>33</v>
      </c>
      <c r="N53" s="9" t="str">
        <f t="shared" si="23"/>
        <v/>
      </c>
      <c r="O53" s="9" t="str">
        <f t="shared" si="24"/>
        <v/>
      </c>
      <c r="P53" s="9" t="str">
        <f t="shared" si="25"/>
        <v/>
      </c>
      <c r="Q53" s="9" t="str">
        <f t="shared" si="26"/>
        <v/>
      </c>
      <c r="R53" s="9" t="str">
        <f t="shared" si="27"/>
        <v/>
      </c>
      <c r="S53" s="9" t="str">
        <f t="shared" si="28"/>
        <v/>
      </c>
      <c r="T53" s="9" t="str">
        <f t="shared" si="29"/>
        <v/>
      </c>
      <c r="U53" s="9" t="str">
        <f t="shared" si="30"/>
        <v/>
      </c>
      <c r="V53" s="9" t="str">
        <f t="shared" si="31"/>
        <v/>
      </c>
      <c r="W53" s="9" t="str">
        <f t="shared" si="32"/>
        <v/>
      </c>
      <c r="X53" s="15">
        <f t="shared" si="19"/>
        <v>0</v>
      </c>
      <c r="Y53" s="2" t="str">
        <f t="shared" si="33"/>
        <v/>
      </c>
      <c r="Z53" s="2" t="str">
        <f t="shared" si="34"/>
        <v/>
      </c>
      <c r="AA53" s="15" t="str">
        <f t="shared" si="35"/>
        <v/>
      </c>
      <c r="AB53" s="9">
        <f t="shared" si="36"/>
        <v>33</v>
      </c>
      <c r="AC53" s="9">
        <f t="shared" si="37"/>
        <v>0</v>
      </c>
      <c r="AD53" s="9">
        <f t="shared" si="38"/>
        <v>33</v>
      </c>
    </row>
    <row r="54" spans="1:30" x14ac:dyDescent="0.2">
      <c r="A54" s="7" t="s">
        <v>134</v>
      </c>
      <c r="B54" s="6" t="s">
        <v>109</v>
      </c>
      <c r="E54" s="3" t="str">
        <f t="shared" si="20"/>
        <v/>
      </c>
      <c r="F54" s="6">
        <v>53</v>
      </c>
      <c r="G54" s="6">
        <v>34</v>
      </c>
      <c r="H54" s="6"/>
      <c r="I54" s="6"/>
      <c r="J54" s="6"/>
      <c r="K54" s="6"/>
      <c r="L54" s="9">
        <f t="shared" si="21"/>
        <v>53</v>
      </c>
      <c r="M54" s="9">
        <f t="shared" si="22"/>
        <v>34</v>
      </c>
      <c r="N54" s="9" t="str">
        <f t="shared" si="23"/>
        <v/>
      </c>
      <c r="O54" s="9" t="str">
        <f t="shared" si="24"/>
        <v/>
      </c>
      <c r="P54" s="9" t="str">
        <f t="shared" si="25"/>
        <v/>
      </c>
      <c r="Q54" s="9" t="str">
        <f t="shared" si="26"/>
        <v/>
      </c>
      <c r="R54" s="9" t="str">
        <f t="shared" si="27"/>
        <v/>
      </c>
      <c r="S54" s="9" t="str">
        <f t="shared" si="28"/>
        <v/>
      </c>
      <c r="T54" s="9" t="str">
        <f t="shared" si="29"/>
        <v/>
      </c>
      <c r="U54" s="9" t="str">
        <f t="shared" si="30"/>
        <v/>
      </c>
      <c r="V54" s="9" t="str">
        <f t="shared" si="31"/>
        <v/>
      </c>
      <c r="W54" s="9" t="str">
        <f t="shared" si="32"/>
        <v/>
      </c>
      <c r="X54" s="15">
        <f t="shared" si="19"/>
        <v>0</v>
      </c>
      <c r="Y54" s="2" t="str">
        <f t="shared" si="33"/>
        <v/>
      </c>
      <c r="Z54" s="2" t="str">
        <f t="shared" si="34"/>
        <v/>
      </c>
      <c r="AA54" s="15" t="str">
        <f t="shared" si="35"/>
        <v/>
      </c>
      <c r="AB54" s="9">
        <f t="shared" si="36"/>
        <v>87</v>
      </c>
      <c r="AC54" s="9">
        <f t="shared" si="37"/>
        <v>0</v>
      </c>
      <c r="AD54" s="9">
        <f t="shared" si="38"/>
        <v>34</v>
      </c>
    </row>
    <row r="55" spans="1:30" x14ac:dyDescent="0.2">
      <c r="A55" s="7" t="s">
        <v>135</v>
      </c>
      <c r="B55" s="6" t="s">
        <v>136</v>
      </c>
      <c r="E55" s="3" t="str">
        <f t="shared" si="20"/>
        <v/>
      </c>
      <c r="F55" s="6">
        <v>46</v>
      </c>
      <c r="G55" s="6">
        <v>35</v>
      </c>
      <c r="H55" s="6"/>
      <c r="I55" s="6"/>
      <c r="J55" s="6"/>
      <c r="K55" s="6"/>
      <c r="L55" s="9">
        <f t="shared" si="21"/>
        <v>46</v>
      </c>
      <c r="M55" s="9">
        <f t="shared" si="22"/>
        <v>35</v>
      </c>
      <c r="N55" s="9" t="str">
        <f t="shared" si="23"/>
        <v/>
      </c>
      <c r="O55" s="9" t="str">
        <f t="shared" si="24"/>
        <v/>
      </c>
      <c r="P55" s="9" t="str">
        <f t="shared" si="25"/>
        <v/>
      </c>
      <c r="Q55" s="9" t="str">
        <f t="shared" si="26"/>
        <v/>
      </c>
      <c r="R55" s="9" t="str">
        <f t="shared" si="27"/>
        <v/>
      </c>
      <c r="S55" s="9" t="str">
        <f t="shared" si="28"/>
        <v/>
      </c>
      <c r="T55" s="9" t="str">
        <f t="shared" si="29"/>
        <v/>
      </c>
      <c r="U55" s="9" t="str">
        <f t="shared" si="30"/>
        <v/>
      </c>
      <c r="V55" s="9" t="str">
        <f t="shared" si="31"/>
        <v/>
      </c>
      <c r="W55" s="9" t="str">
        <f t="shared" si="32"/>
        <v/>
      </c>
      <c r="X55" s="15">
        <f t="shared" si="19"/>
        <v>0</v>
      </c>
      <c r="Y55" s="2" t="str">
        <f t="shared" si="33"/>
        <v/>
      </c>
      <c r="Z55" s="2" t="str">
        <f t="shared" si="34"/>
        <v/>
      </c>
      <c r="AA55" s="15" t="str">
        <f t="shared" si="35"/>
        <v/>
      </c>
      <c r="AB55" s="9">
        <f t="shared" si="36"/>
        <v>81</v>
      </c>
      <c r="AC55" s="9">
        <f t="shared" si="37"/>
        <v>0</v>
      </c>
      <c r="AD55" s="9">
        <f t="shared" si="38"/>
        <v>35</v>
      </c>
    </row>
    <row r="56" spans="1:30" x14ac:dyDescent="0.2">
      <c r="A56" s="7" t="s">
        <v>137</v>
      </c>
      <c r="B56" s="6" t="s">
        <v>138</v>
      </c>
      <c r="E56" s="3" t="str">
        <f t="shared" si="20"/>
        <v/>
      </c>
      <c r="F56" s="6"/>
      <c r="G56" s="6">
        <v>37</v>
      </c>
      <c r="H56" s="6"/>
      <c r="I56" s="6"/>
      <c r="J56" s="6"/>
      <c r="K56" s="6"/>
      <c r="L56" s="9" t="str">
        <f t="shared" si="21"/>
        <v/>
      </c>
      <c r="M56" s="9">
        <f t="shared" si="22"/>
        <v>37</v>
      </c>
      <c r="N56" s="9" t="str">
        <f t="shared" si="23"/>
        <v/>
      </c>
      <c r="O56" s="9" t="str">
        <f t="shared" si="24"/>
        <v/>
      </c>
      <c r="P56" s="9" t="str">
        <f t="shared" si="25"/>
        <v/>
      </c>
      <c r="Q56" s="9" t="str">
        <f t="shared" si="26"/>
        <v/>
      </c>
      <c r="R56" s="9" t="str">
        <f t="shared" si="27"/>
        <v/>
      </c>
      <c r="S56" s="9" t="str">
        <f t="shared" si="28"/>
        <v/>
      </c>
      <c r="T56" s="9" t="str">
        <f t="shared" si="29"/>
        <v/>
      </c>
      <c r="U56" s="9" t="str">
        <f t="shared" si="30"/>
        <v/>
      </c>
      <c r="V56" s="9" t="str">
        <f t="shared" si="31"/>
        <v/>
      </c>
      <c r="W56" s="9" t="str">
        <f t="shared" si="32"/>
        <v/>
      </c>
      <c r="X56" s="15">
        <f t="shared" si="19"/>
        <v>0</v>
      </c>
      <c r="Y56" s="2" t="str">
        <f t="shared" si="33"/>
        <v/>
      </c>
      <c r="Z56" s="2" t="str">
        <f t="shared" si="34"/>
        <v/>
      </c>
      <c r="AA56" s="15" t="str">
        <f t="shared" si="35"/>
        <v/>
      </c>
      <c r="AB56" s="9">
        <f t="shared" si="36"/>
        <v>37</v>
      </c>
      <c r="AC56" s="9">
        <f t="shared" si="37"/>
        <v>0</v>
      </c>
      <c r="AD56" s="9">
        <f t="shared" si="38"/>
        <v>37</v>
      </c>
    </row>
    <row r="57" spans="1:30" x14ac:dyDescent="0.2">
      <c r="A57" s="7" t="s">
        <v>139</v>
      </c>
      <c r="B57" s="6" t="s">
        <v>60</v>
      </c>
      <c r="E57" s="3" t="str">
        <f t="shared" si="20"/>
        <v/>
      </c>
      <c r="F57" s="6">
        <v>63</v>
      </c>
      <c r="G57" s="6">
        <v>38</v>
      </c>
      <c r="H57" s="6"/>
      <c r="I57" s="6"/>
      <c r="J57" s="6"/>
      <c r="K57" s="6"/>
      <c r="L57" s="9">
        <f t="shared" si="21"/>
        <v>63</v>
      </c>
      <c r="M57" s="9">
        <f t="shared" si="22"/>
        <v>38</v>
      </c>
      <c r="N57" s="9" t="str">
        <f t="shared" si="23"/>
        <v/>
      </c>
      <c r="O57" s="9" t="str">
        <f t="shared" si="24"/>
        <v/>
      </c>
      <c r="P57" s="9" t="str">
        <f t="shared" si="25"/>
        <v/>
      </c>
      <c r="Q57" s="9" t="str">
        <f t="shared" si="26"/>
        <v/>
      </c>
      <c r="R57" s="9" t="str">
        <f t="shared" si="27"/>
        <v/>
      </c>
      <c r="S57" s="9" t="str">
        <f t="shared" si="28"/>
        <v/>
      </c>
      <c r="T57" s="9" t="str">
        <f t="shared" si="29"/>
        <v/>
      </c>
      <c r="U57" s="9" t="str">
        <f t="shared" si="30"/>
        <v/>
      </c>
      <c r="V57" s="9" t="str">
        <f t="shared" si="31"/>
        <v/>
      </c>
      <c r="W57" s="9" t="str">
        <f t="shared" si="32"/>
        <v/>
      </c>
      <c r="X57" s="15">
        <f t="shared" si="19"/>
        <v>0</v>
      </c>
      <c r="Y57" s="2" t="str">
        <f t="shared" si="33"/>
        <v/>
      </c>
      <c r="Z57" s="2" t="str">
        <f t="shared" si="34"/>
        <v/>
      </c>
      <c r="AA57" s="15" t="str">
        <f t="shared" si="35"/>
        <v/>
      </c>
      <c r="AB57" s="9">
        <f t="shared" si="36"/>
        <v>101</v>
      </c>
      <c r="AC57" s="9">
        <f t="shared" si="37"/>
        <v>0</v>
      </c>
      <c r="AD57" s="9">
        <f t="shared" si="38"/>
        <v>38</v>
      </c>
    </row>
    <row r="58" spans="1:30" x14ac:dyDescent="0.2">
      <c r="E58" s="3"/>
      <c r="F58" s="6"/>
      <c r="G58" s="6"/>
      <c r="H58" s="6"/>
      <c r="I58" s="6"/>
      <c r="J58" s="6"/>
      <c r="K58" s="6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</row>
    <row r="59" spans="1:30" x14ac:dyDescent="0.2">
      <c r="E59" s="3"/>
      <c r="F59" s="6"/>
      <c r="G59" s="6"/>
      <c r="H59" s="6"/>
      <c r="I59" s="6"/>
      <c r="J59" s="6"/>
      <c r="K59" s="6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</row>
    <row r="60" spans="1:30" x14ac:dyDescent="0.2">
      <c r="E60" s="3"/>
      <c r="F60" s="6"/>
      <c r="G60" s="6"/>
      <c r="H60" s="6"/>
      <c r="I60" s="6"/>
      <c r="J60" s="6"/>
      <c r="K60" s="6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</row>
    <row r="61" spans="1:30" x14ac:dyDescent="0.2">
      <c r="E61" s="3"/>
      <c r="F61" s="6"/>
      <c r="G61" s="6"/>
      <c r="H61" s="6"/>
      <c r="I61" s="6"/>
      <c r="J61" s="6"/>
      <c r="K61" s="6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</row>
    <row r="62" spans="1:30" x14ac:dyDescent="0.2">
      <c r="E62" s="3"/>
      <c r="F62" s="6"/>
      <c r="G62" s="6"/>
      <c r="H62" s="6"/>
      <c r="I62" s="6"/>
      <c r="J62" s="6"/>
      <c r="K62" s="6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</row>
    <row r="63" spans="1:30" x14ac:dyDescent="0.2">
      <c r="E63" s="3"/>
      <c r="F63" s="6"/>
      <c r="G63" s="6"/>
      <c r="H63" s="6"/>
      <c r="I63" s="6"/>
      <c r="J63" s="6"/>
      <c r="K63" s="6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</row>
    <row r="64" spans="1:30" x14ac:dyDescent="0.2">
      <c r="E64" s="3"/>
      <c r="F64" s="6"/>
      <c r="G64" s="6"/>
      <c r="H64" s="6"/>
      <c r="I64" s="6"/>
      <c r="J64" s="6"/>
      <c r="K64" s="6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</row>
    <row r="65" spans="5:24" x14ac:dyDescent="0.2">
      <c r="E65" s="3"/>
      <c r="F65" s="6"/>
      <c r="G65" s="6"/>
      <c r="H65" s="6"/>
      <c r="I65" s="6"/>
      <c r="J65" s="6"/>
      <c r="K65" s="6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</row>
    <row r="66" spans="5:24" x14ac:dyDescent="0.2">
      <c r="E66" s="3"/>
      <c r="F66" s="6"/>
      <c r="G66" s="6"/>
      <c r="H66" s="6"/>
      <c r="I66" s="6"/>
      <c r="J66" s="6"/>
      <c r="K66" s="6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</row>
    <row r="67" spans="5:24" x14ac:dyDescent="0.2">
      <c r="E67" s="3"/>
      <c r="F67" s="6"/>
      <c r="G67" s="6"/>
      <c r="H67" s="6"/>
      <c r="I67" s="6"/>
      <c r="J67" s="6"/>
      <c r="K67" s="6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</row>
    <row r="68" spans="5:24" x14ac:dyDescent="0.2">
      <c r="E68" s="3"/>
      <c r="F68" s="6"/>
      <c r="G68" s="6"/>
      <c r="H68" s="6"/>
      <c r="I68" s="6"/>
      <c r="J68" s="6"/>
      <c r="K68" s="6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</row>
    <row r="69" spans="5:24" x14ac:dyDescent="0.2">
      <c r="E69" s="3"/>
      <c r="F69" s="6"/>
      <c r="G69" s="6"/>
      <c r="H69" s="6"/>
      <c r="I69" s="6"/>
      <c r="J69" s="6"/>
      <c r="K69" s="6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</row>
    <row r="70" spans="5:24" x14ac:dyDescent="0.2">
      <c r="E70" s="3"/>
      <c r="F70" s="6"/>
      <c r="G70" s="6"/>
      <c r="H70" s="6"/>
      <c r="I70" s="6"/>
      <c r="J70" s="6"/>
      <c r="K70" s="6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</row>
    <row r="71" spans="5:24" x14ac:dyDescent="0.2">
      <c r="E71" s="3"/>
      <c r="F71" s="6"/>
      <c r="G71" s="6"/>
      <c r="H71" s="6"/>
      <c r="I71" s="6"/>
      <c r="J71" s="6"/>
      <c r="K71" s="6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</row>
    <row r="72" spans="5:24" x14ac:dyDescent="0.2">
      <c r="E72" s="3"/>
      <c r="F72" s="6"/>
      <c r="G72" s="6"/>
      <c r="H72" s="6"/>
      <c r="I72" s="6"/>
      <c r="J72" s="6"/>
      <c r="K72" s="6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</row>
    <row r="73" spans="5:24" x14ac:dyDescent="0.2">
      <c r="E73" s="3"/>
      <c r="F73" s="6"/>
      <c r="G73" s="6"/>
      <c r="H73" s="6"/>
      <c r="I73" s="6"/>
      <c r="J73" s="6"/>
      <c r="K73" s="6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</row>
    <row r="74" spans="5:24" x14ac:dyDescent="0.2">
      <c r="E74" s="3"/>
      <c r="F74" s="6"/>
      <c r="G74" s="6"/>
      <c r="H74" s="6"/>
      <c r="I74" s="6"/>
      <c r="J74" s="6"/>
      <c r="K74" s="6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</row>
    <row r="75" spans="5:24" x14ac:dyDescent="0.2">
      <c r="E75" s="3"/>
      <c r="F75" s="6"/>
      <c r="G75" s="6"/>
      <c r="H75" s="6"/>
      <c r="I75" s="6"/>
      <c r="J75" s="6"/>
      <c r="K75" s="6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</row>
    <row r="76" spans="5:24" x14ac:dyDescent="0.2">
      <c r="E76" s="3"/>
      <c r="F76" s="6"/>
      <c r="G76" s="6"/>
      <c r="H76" s="6"/>
      <c r="I76" s="6"/>
      <c r="J76" s="6"/>
      <c r="K76" s="6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</row>
    <row r="77" spans="5:24" x14ac:dyDescent="0.2">
      <c r="E77" s="3"/>
      <c r="F77" s="6"/>
      <c r="G77" s="6"/>
      <c r="H77" s="6"/>
      <c r="I77" s="6"/>
      <c r="J77" s="6"/>
      <c r="K77" s="6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</row>
    <row r="78" spans="5:24" x14ac:dyDescent="0.2">
      <c r="E78" s="3"/>
      <c r="F78" s="6"/>
      <c r="G78" s="6"/>
      <c r="H78" s="6"/>
      <c r="I78" s="6"/>
      <c r="J78" s="6"/>
      <c r="K78" s="6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</row>
    <row r="79" spans="5:24" x14ac:dyDescent="0.2">
      <c r="E79" s="3"/>
      <c r="F79" s="6"/>
      <c r="G79" s="6"/>
      <c r="H79" s="6"/>
      <c r="I79" s="6"/>
      <c r="J79" s="6"/>
      <c r="K79" s="6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</row>
    <row r="80" spans="5:24" x14ac:dyDescent="0.2">
      <c r="E80" s="3"/>
      <c r="F80" s="6"/>
      <c r="G80" s="6"/>
      <c r="H80" s="6"/>
      <c r="I80" s="6"/>
      <c r="J80" s="6"/>
      <c r="K80" s="6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</row>
    <row r="81" spans="5:24" x14ac:dyDescent="0.2">
      <c r="E81" s="3"/>
      <c r="F81" s="6"/>
      <c r="G81" s="6"/>
      <c r="H81" s="6"/>
      <c r="I81" s="6"/>
      <c r="J81" s="6"/>
      <c r="K81" s="6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</row>
    <row r="82" spans="5:24" x14ac:dyDescent="0.2">
      <c r="E82" s="3"/>
      <c r="F82" s="6"/>
      <c r="G82" s="6"/>
      <c r="H82" s="6"/>
      <c r="I82" s="6"/>
      <c r="J82" s="6"/>
      <c r="K82" s="6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</row>
    <row r="83" spans="5:24" x14ac:dyDescent="0.2">
      <c r="E83" s="3"/>
      <c r="F83" s="6"/>
      <c r="G83" s="6"/>
      <c r="H83" s="6"/>
      <c r="I83" s="6"/>
      <c r="J83" s="6"/>
      <c r="K83" s="6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</row>
    <row r="84" spans="5:24" x14ac:dyDescent="0.2">
      <c r="E84" s="3"/>
      <c r="F84" s="6"/>
      <c r="G84" s="6"/>
      <c r="H84" s="6"/>
      <c r="I84" s="6"/>
      <c r="J84" s="6"/>
      <c r="K84" s="6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</row>
    <row r="85" spans="5:24" x14ac:dyDescent="0.2">
      <c r="E85" s="3"/>
      <c r="F85" s="6"/>
      <c r="G85" s="6"/>
      <c r="H85" s="6"/>
      <c r="I85" s="6"/>
      <c r="J85" s="6"/>
      <c r="K85" s="6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</row>
    <row r="86" spans="5:24" x14ac:dyDescent="0.2">
      <c r="E86" s="3"/>
      <c r="F86" s="6"/>
      <c r="G86" s="6"/>
      <c r="H86" s="6"/>
      <c r="I86" s="6"/>
      <c r="J86" s="6"/>
      <c r="K86" s="6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</row>
    <row r="87" spans="5:24" x14ac:dyDescent="0.2">
      <c r="E87" s="3"/>
      <c r="F87" s="6"/>
      <c r="G87" s="6"/>
      <c r="H87" s="6"/>
      <c r="I87" s="6"/>
      <c r="J87" s="6"/>
      <c r="K87" s="6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</row>
    <row r="88" spans="5:24" x14ac:dyDescent="0.2">
      <c r="E88" s="3"/>
      <c r="F88" s="6"/>
      <c r="G88" s="6"/>
      <c r="H88" s="6"/>
      <c r="I88" s="6"/>
      <c r="J88" s="6"/>
      <c r="K88" s="6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</row>
    <row r="89" spans="5:24" x14ac:dyDescent="0.2">
      <c r="E89" s="3"/>
      <c r="F89" s="6"/>
      <c r="G89" s="6"/>
      <c r="H89" s="6"/>
      <c r="I89" s="6"/>
      <c r="J89" s="6"/>
      <c r="K89" s="6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</row>
    <row r="90" spans="5:24" x14ac:dyDescent="0.2">
      <c r="E90" s="3"/>
      <c r="F90" s="6"/>
      <c r="G90" s="6"/>
      <c r="H90" s="6"/>
      <c r="I90" s="6"/>
      <c r="J90" s="6"/>
      <c r="K90" s="6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</row>
    <row r="91" spans="5:24" x14ac:dyDescent="0.2">
      <c r="E91" s="3"/>
      <c r="F91" s="6"/>
      <c r="G91" s="6"/>
      <c r="H91" s="6"/>
      <c r="I91" s="6"/>
      <c r="J91" s="6"/>
      <c r="K91" s="6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</row>
    <row r="92" spans="5:24" x14ac:dyDescent="0.2">
      <c r="E92" s="3"/>
      <c r="F92" s="6"/>
      <c r="G92" s="6"/>
      <c r="H92" s="6"/>
      <c r="I92" s="6"/>
      <c r="J92" s="6"/>
      <c r="K92" s="6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</row>
    <row r="93" spans="5:24" x14ac:dyDescent="0.2">
      <c r="E93" s="3"/>
      <c r="F93" s="6"/>
      <c r="G93" s="6"/>
      <c r="H93" s="6"/>
      <c r="I93" s="6"/>
      <c r="J93" s="6"/>
      <c r="K93" s="6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</row>
    <row r="94" spans="5:24" x14ac:dyDescent="0.2">
      <c r="E94" s="3"/>
      <c r="F94" s="6"/>
      <c r="G94" s="6"/>
      <c r="H94" s="6"/>
      <c r="I94" s="6"/>
      <c r="J94" s="6"/>
      <c r="K94" s="6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</row>
    <row r="95" spans="5:24" x14ac:dyDescent="0.2">
      <c r="E95" s="3"/>
      <c r="F95" s="6"/>
      <c r="G95" s="6"/>
      <c r="H95" s="6"/>
      <c r="I95" s="6"/>
      <c r="J95" s="6"/>
      <c r="K95" s="6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</row>
    <row r="96" spans="5:24" x14ac:dyDescent="0.2">
      <c r="E96" s="3"/>
      <c r="F96" s="6"/>
      <c r="G96" s="6"/>
      <c r="H96" s="6"/>
      <c r="I96" s="6"/>
      <c r="J96" s="6"/>
      <c r="K96" s="6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</row>
    <row r="97" spans="5:24" x14ac:dyDescent="0.2">
      <c r="E97" s="3"/>
      <c r="F97" s="6"/>
      <c r="G97" s="6"/>
      <c r="H97" s="6"/>
      <c r="I97" s="6"/>
      <c r="J97" s="6"/>
      <c r="K97" s="6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</row>
    <row r="98" spans="5:24" x14ac:dyDescent="0.2">
      <c r="E98" s="3"/>
      <c r="F98" s="6"/>
      <c r="G98" s="6"/>
      <c r="H98" s="6"/>
      <c r="I98" s="6"/>
      <c r="J98" s="6"/>
      <c r="K98" s="6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</row>
    <row r="99" spans="5:24" x14ac:dyDescent="0.2">
      <c r="E99" s="3"/>
      <c r="F99" s="6"/>
      <c r="G99" s="6"/>
      <c r="H99" s="6"/>
      <c r="I99" s="6"/>
      <c r="J99" s="6"/>
      <c r="K99" s="6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</row>
    <row r="100" spans="5:24" x14ac:dyDescent="0.2">
      <c r="E100" s="3"/>
      <c r="F100" s="6"/>
      <c r="G100" s="6"/>
      <c r="H100" s="6"/>
      <c r="I100" s="6"/>
      <c r="J100" s="6"/>
      <c r="K100" s="6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</row>
    <row r="101" spans="5:24" x14ac:dyDescent="0.2">
      <c r="E101" s="3"/>
      <c r="F101" s="6"/>
      <c r="G101" s="6"/>
      <c r="H101" s="6"/>
      <c r="I101" s="6"/>
      <c r="J101" s="6"/>
      <c r="K101" s="6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</row>
    <row r="102" spans="5:24" x14ac:dyDescent="0.2">
      <c r="E102" s="3"/>
      <c r="F102" s="6"/>
      <c r="G102" s="6"/>
      <c r="H102" s="6"/>
      <c r="I102" s="6"/>
      <c r="J102" s="6"/>
      <c r="K102" s="6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</row>
  </sheetData>
  <sheetProtection sheet="1" selectLockedCells="1"/>
  <mergeCells count="16">
    <mergeCell ref="AE1:AJ2"/>
    <mergeCell ref="AB1:AB2"/>
    <mergeCell ref="AC1:AC2"/>
    <mergeCell ref="AD1:AD2"/>
    <mergeCell ref="AA1:AA2"/>
    <mergeCell ref="F1:K1"/>
    <mergeCell ref="A1:A2"/>
    <mergeCell ref="B1:B2"/>
    <mergeCell ref="C1:C2"/>
    <mergeCell ref="D1:D2"/>
    <mergeCell ref="E1:E2"/>
    <mergeCell ref="L1:Q1"/>
    <mergeCell ref="R1:W1"/>
    <mergeCell ref="X1:X2"/>
    <mergeCell ref="Y1:Y2"/>
    <mergeCell ref="Z1:Z2"/>
  </mergeCells>
  <conditionalFormatting sqref="A1:B1048576">
    <cfRule type="expression" dxfId="7" priority="5">
      <formula>IF(OR($C1="P",$D1="P"),1,0)</formula>
    </cfRule>
    <cfRule type="expression" dxfId="6" priority="6">
      <formula>IF(AND($E1&lt;&gt;"",$E1&lt;=14-COUNTIF($C$3:$C$102,"P")-COUNTIF($D$3:$D$102,"P")),1,0)</formula>
    </cfRule>
    <cfRule type="expression" dxfId="5" priority="7">
      <formula>IF(AND($E1&lt;&gt;"",$E1&lt;=16-COUNTIF($C$3:$C$102,"P")-COUNTIF($D$3:$D$102,"P")),1,0)</formula>
    </cfRule>
  </conditionalFormatting>
  <conditionalFormatting sqref="C3:AA102">
    <cfRule type="expression" dxfId="4" priority="4">
      <formula>IF(AND($A3&lt;&gt;"",MOD(ROW(),2)=0),1,0)</formula>
    </cfRule>
    <cfRule type="expression" dxfId="3" priority="8">
      <formula>IF(AND($A3&lt;&gt;"",MOD(ROW(),2)=1),1,0)</formula>
    </cfRule>
  </conditionalFormatting>
  <conditionalFormatting sqref="E3:E102 K3:K102 W3:W102 Q3:Q102">
    <cfRule type="expression" dxfId="2" priority="3">
      <formula>IF($A3&lt;&gt;"",1,0)</formula>
    </cfRule>
  </conditionalFormatting>
  <conditionalFormatting sqref="AB3:AD57">
    <cfRule type="expression" dxfId="1" priority="1">
      <formula>IF(AND($A3&lt;&gt;"",MOD(ROW(),2)=0),1,0)</formula>
    </cfRule>
    <cfRule type="expression" dxfId="0" priority="2">
      <formula>IF(AND($A3&lt;&gt;"",MOD(ROW(),2)=1),1,0)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Women</vt:lpstr>
      <vt:lpstr>Men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2019-02-17T15:04:16Z</dcterms:created>
  <dcterms:modified xsi:type="dcterms:W3CDTF">2019-08-20T22:34:12Z</dcterms:modified>
</cp:coreProperties>
</file>