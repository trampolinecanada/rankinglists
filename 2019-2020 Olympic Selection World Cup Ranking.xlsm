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Ranking Lists/"/>
    </mc:Choice>
  </mc:AlternateContent>
  <xr:revisionPtr revIDLastSave="0" documentId="13_ncr:1_{955CE7BF-966D-EA41-BAB3-238AA329FF08}" xr6:coauthVersionLast="45" xr6:coauthVersionMax="45" xr10:uidLastSave="{00000000-0000-0000-0000-000000000000}"/>
  <bookViews>
    <workbookView xWindow="0" yWindow="460" windowWidth="33600" windowHeight="20540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Men!$A$1:$AJ$2</definedName>
    <definedName name="_xlnm._FilterDatabase" localSheetId="0" hidden="1">Women!$A$1:$AJ$2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7" i="6" l="1"/>
  <c r="M57" i="6"/>
  <c r="N57" i="6"/>
  <c r="T57" i="6" s="1"/>
  <c r="O57" i="6"/>
  <c r="U57" i="6" s="1"/>
  <c r="P57" i="6"/>
  <c r="V57" i="6" s="1"/>
  <c r="Q57" i="6"/>
  <c r="W57" i="6" s="1"/>
  <c r="R57" i="6"/>
  <c r="S57" i="6"/>
  <c r="L55" i="6"/>
  <c r="R55" i="6" s="1"/>
  <c r="M55" i="6"/>
  <c r="S55" i="6" s="1"/>
  <c r="N55" i="6"/>
  <c r="T55" i="6" s="1"/>
  <c r="O55" i="6"/>
  <c r="U55" i="6" s="1"/>
  <c r="P55" i="6"/>
  <c r="V55" i="6" s="1"/>
  <c r="Q55" i="6"/>
  <c r="W55" i="6" s="1"/>
  <c r="L15" i="6"/>
  <c r="M15" i="6"/>
  <c r="S15" i="6" s="1"/>
  <c r="N15" i="6"/>
  <c r="T15" i="6" s="1"/>
  <c r="O15" i="6"/>
  <c r="U15" i="6" s="1"/>
  <c r="P15" i="6"/>
  <c r="V15" i="6" s="1"/>
  <c r="Q15" i="6"/>
  <c r="W15" i="6" s="1"/>
  <c r="L71" i="6"/>
  <c r="R71" i="6" s="1"/>
  <c r="M71" i="6"/>
  <c r="S71" i="6" s="1"/>
  <c r="N71" i="6"/>
  <c r="T71" i="6" s="1"/>
  <c r="O71" i="6"/>
  <c r="U71" i="6" s="1"/>
  <c r="P71" i="6"/>
  <c r="V71" i="6" s="1"/>
  <c r="Q71" i="6"/>
  <c r="W71" i="6" s="1"/>
  <c r="L72" i="6"/>
  <c r="R72" i="6" s="1"/>
  <c r="M72" i="6"/>
  <c r="S72" i="6" s="1"/>
  <c r="N72" i="6"/>
  <c r="T72" i="6" s="1"/>
  <c r="O72" i="6"/>
  <c r="U72" i="6" s="1"/>
  <c r="P72" i="6"/>
  <c r="V72" i="6" s="1"/>
  <c r="Q72" i="6"/>
  <c r="W72" i="6" s="1"/>
  <c r="L35" i="6"/>
  <c r="M35" i="6"/>
  <c r="S35" i="6" s="1"/>
  <c r="N35" i="6"/>
  <c r="T35" i="6" s="1"/>
  <c r="O35" i="6"/>
  <c r="U35" i="6" s="1"/>
  <c r="P35" i="6"/>
  <c r="V35" i="6" s="1"/>
  <c r="Q35" i="6"/>
  <c r="W35" i="6" s="1"/>
  <c r="L22" i="6"/>
  <c r="R22" i="6" s="1"/>
  <c r="M22" i="6"/>
  <c r="S22" i="6" s="1"/>
  <c r="N22" i="6"/>
  <c r="T22" i="6" s="1"/>
  <c r="O22" i="6"/>
  <c r="U22" i="6" s="1"/>
  <c r="P22" i="6"/>
  <c r="V22" i="6" s="1"/>
  <c r="Q22" i="6"/>
  <c r="W22" i="6" s="1"/>
  <c r="L60" i="6"/>
  <c r="R60" i="6" s="1"/>
  <c r="M60" i="6"/>
  <c r="S60" i="6" s="1"/>
  <c r="N60" i="6"/>
  <c r="T60" i="6" s="1"/>
  <c r="O60" i="6"/>
  <c r="U60" i="6" s="1"/>
  <c r="P60" i="6"/>
  <c r="V60" i="6" s="1"/>
  <c r="Q60" i="6"/>
  <c r="W60" i="6" s="1"/>
  <c r="L13" i="6"/>
  <c r="M13" i="6"/>
  <c r="S13" i="6" s="1"/>
  <c r="N13" i="6"/>
  <c r="T13" i="6" s="1"/>
  <c r="O13" i="6"/>
  <c r="U13" i="6" s="1"/>
  <c r="P13" i="6"/>
  <c r="V13" i="6" s="1"/>
  <c r="Q13" i="6"/>
  <c r="W13" i="6" s="1"/>
  <c r="L62" i="6"/>
  <c r="R62" i="6" s="1"/>
  <c r="M62" i="6"/>
  <c r="S62" i="6" s="1"/>
  <c r="N62" i="6"/>
  <c r="T62" i="6" s="1"/>
  <c r="O62" i="6"/>
  <c r="U62" i="6" s="1"/>
  <c r="P62" i="6"/>
  <c r="V62" i="6" s="1"/>
  <c r="Q62" i="6"/>
  <c r="W62" i="6" s="1"/>
  <c r="L23" i="6"/>
  <c r="R23" i="6" s="1"/>
  <c r="M23" i="6"/>
  <c r="S23" i="6" s="1"/>
  <c r="N23" i="6"/>
  <c r="T23" i="6" s="1"/>
  <c r="O23" i="6"/>
  <c r="U23" i="6" s="1"/>
  <c r="P23" i="6"/>
  <c r="V23" i="6" s="1"/>
  <c r="Q23" i="6"/>
  <c r="W23" i="6" s="1"/>
  <c r="L41" i="6"/>
  <c r="R41" i="6" s="1"/>
  <c r="M41" i="6"/>
  <c r="S41" i="6" s="1"/>
  <c r="N41" i="6"/>
  <c r="T41" i="6" s="1"/>
  <c r="O41" i="6"/>
  <c r="U41" i="6" s="1"/>
  <c r="P41" i="6"/>
  <c r="V41" i="6" s="1"/>
  <c r="Q41" i="6"/>
  <c r="W41" i="6" s="1"/>
  <c r="L49" i="6"/>
  <c r="R49" i="6" s="1"/>
  <c r="M49" i="6"/>
  <c r="S49" i="6" s="1"/>
  <c r="N49" i="6"/>
  <c r="T49" i="6" s="1"/>
  <c r="O49" i="6"/>
  <c r="U49" i="6" s="1"/>
  <c r="P49" i="6"/>
  <c r="V49" i="6" s="1"/>
  <c r="Q49" i="6"/>
  <c r="W49" i="6" s="1"/>
  <c r="L33" i="6"/>
  <c r="M33" i="6"/>
  <c r="S33" i="6" s="1"/>
  <c r="N33" i="6"/>
  <c r="T33" i="6" s="1"/>
  <c r="O33" i="6"/>
  <c r="U33" i="6" s="1"/>
  <c r="P33" i="6"/>
  <c r="V33" i="6" s="1"/>
  <c r="Q33" i="6"/>
  <c r="W33" i="6" s="1"/>
  <c r="L73" i="6"/>
  <c r="R73" i="6" s="1"/>
  <c r="M73" i="6"/>
  <c r="S73" i="6" s="1"/>
  <c r="N73" i="6"/>
  <c r="T73" i="6" s="1"/>
  <c r="O73" i="6"/>
  <c r="U73" i="6" s="1"/>
  <c r="P73" i="6"/>
  <c r="V73" i="6" s="1"/>
  <c r="Q73" i="6"/>
  <c r="W73" i="6" s="1"/>
  <c r="L36" i="6"/>
  <c r="R36" i="6" s="1"/>
  <c r="M36" i="6"/>
  <c r="S36" i="6" s="1"/>
  <c r="N36" i="6"/>
  <c r="T36" i="6" s="1"/>
  <c r="O36" i="6"/>
  <c r="U36" i="6" s="1"/>
  <c r="P36" i="6"/>
  <c r="V36" i="6" s="1"/>
  <c r="Q36" i="6"/>
  <c r="W36" i="6" s="1"/>
  <c r="L74" i="6"/>
  <c r="M74" i="6"/>
  <c r="S74" i="6" s="1"/>
  <c r="N74" i="6"/>
  <c r="T74" i="6" s="1"/>
  <c r="O74" i="6"/>
  <c r="U74" i="6" s="1"/>
  <c r="P74" i="6"/>
  <c r="V74" i="6" s="1"/>
  <c r="Q74" i="6"/>
  <c r="W74" i="6" s="1"/>
  <c r="L7" i="6"/>
  <c r="R7" i="6" s="1"/>
  <c r="M7" i="6"/>
  <c r="S7" i="6" s="1"/>
  <c r="N7" i="6"/>
  <c r="T7" i="6" s="1"/>
  <c r="O7" i="6"/>
  <c r="U7" i="6" s="1"/>
  <c r="P7" i="6"/>
  <c r="V7" i="6" s="1"/>
  <c r="Q7" i="6"/>
  <c r="W7" i="6" s="1"/>
  <c r="X7" i="6"/>
  <c r="Z7" i="6" s="1"/>
  <c r="AB7" i="6"/>
  <c r="L54" i="6"/>
  <c r="R54" i="6" s="1"/>
  <c r="M54" i="6"/>
  <c r="N54" i="6"/>
  <c r="T54" i="6" s="1"/>
  <c r="O54" i="6"/>
  <c r="U54" i="6" s="1"/>
  <c r="P54" i="6"/>
  <c r="V54" i="6" s="1"/>
  <c r="Q54" i="6"/>
  <c r="W54" i="6" s="1"/>
  <c r="L34" i="6"/>
  <c r="R34" i="6" s="1"/>
  <c r="M34" i="6"/>
  <c r="S34" i="6" s="1"/>
  <c r="N34" i="6"/>
  <c r="T34" i="6" s="1"/>
  <c r="O34" i="6"/>
  <c r="U34" i="6" s="1"/>
  <c r="P34" i="6"/>
  <c r="V34" i="6" s="1"/>
  <c r="Q34" i="6"/>
  <c r="W34" i="6" s="1"/>
  <c r="L48" i="6"/>
  <c r="M48" i="6"/>
  <c r="N48" i="6"/>
  <c r="T48" i="6" s="1"/>
  <c r="O48" i="6"/>
  <c r="U48" i="6" s="1"/>
  <c r="P48" i="6"/>
  <c r="V48" i="6" s="1"/>
  <c r="Q48" i="6"/>
  <c r="W48" i="6" s="1"/>
  <c r="L24" i="6"/>
  <c r="R24" i="6" s="1"/>
  <c r="M24" i="6"/>
  <c r="N24" i="6"/>
  <c r="T24" i="6" s="1"/>
  <c r="O24" i="6"/>
  <c r="U24" i="6" s="1"/>
  <c r="P24" i="6"/>
  <c r="V24" i="6" s="1"/>
  <c r="Q24" i="6"/>
  <c r="W24" i="6" s="1"/>
  <c r="L16" i="6"/>
  <c r="R16" i="6" s="1"/>
  <c r="M16" i="6"/>
  <c r="S16" i="6" s="1"/>
  <c r="N16" i="6"/>
  <c r="T16" i="6" s="1"/>
  <c r="O16" i="6"/>
  <c r="U16" i="6" s="1"/>
  <c r="P16" i="6"/>
  <c r="V16" i="6" s="1"/>
  <c r="Q16" i="6"/>
  <c r="W16" i="6" s="1"/>
  <c r="L63" i="6"/>
  <c r="R63" i="6" s="1"/>
  <c r="M63" i="6"/>
  <c r="N63" i="6"/>
  <c r="T63" i="6" s="1"/>
  <c r="O63" i="6"/>
  <c r="U63" i="6" s="1"/>
  <c r="P63" i="6"/>
  <c r="V63" i="6" s="1"/>
  <c r="Q63" i="6"/>
  <c r="W63" i="6" s="1"/>
  <c r="S63" i="6"/>
  <c r="L14" i="6"/>
  <c r="M14" i="6"/>
  <c r="S14" i="6" s="1"/>
  <c r="N14" i="6"/>
  <c r="O14" i="6"/>
  <c r="U14" i="6" s="1"/>
  <c r="P14" i="6"/>
  <c r="V14" i="6" s="1"/>
  <c r="Q14" i="6"/>
  <c r="W14" i="6" s="1"/>
  <c r="L8" i="6"/>
  <c r="R8" i="6" s="1"/>
  <c r="M8" i="6"/>
  <c r="S8" i="6" s="1"/>
  <c r="N8" i="6"/>
  <c r="T8" i="6" s="1"/>
  <c r="O8" i="6"/>
  <c r="U8" i="6" s="1"/>
  <c r="P8" i="6"/>
  <c r="V8" i="6" s="1"/>
  <c r="Q8" i="6"/>
  <c r="W8" i="6" s="1"/>
  <c r="L37" i="6"/>
  <c r="R37" i="6" s="1"/>
  <c r="M37" i="6"/>
  <c r="N37" i="6"/>
  <c r="T37" i="6" s="1"/>
  <c r="O37" i="6"/>
  <c r="U37" i="6" s="1"/>
  <c r="P37" i="6"/>
  <c r="V37" i="6" s="1"/>
  <c r="Q37" i="6"/>
  <c r="W37" i="6" s="1"/>
  <c r="L39" i="6"/>
  <c r="M39" i="6"/>
  <c r="S39" i="6" s="1"/>
  <c r="N39" i="6"/>
  <c r="T39" i="6" s="1"/>
  <c r="O39" i="6"/>
  <c r="U39" i="6" s="1"/>
  <c r="P39" i="6"/>
  <c r="V39" i="6" s="1"/>
  <c r="Q39" i="6"/>
  <c r="W39" i="6" s="1"/>
  <c r="L44" i="6"/>
  <c r="M44" i="6"/>
  <c r="S44" i="6" s="1"/>
  <c r="N44" i="6"/>
  <c r="T44" i="6" s="1"/>
  <c r="O44" i="6"/>
  <c r="P44" i="6"/>
  <c r="V44" i="6" s="1"/>
  <c r="Q44" i="6"/>
  <c r="W44" i="6" s="1"/>
  <c r="U44" i="6"/>
  <c r="L75" i="6"/>
  <c r="M75" i="6"/>
  <c r="S75" i="6" s="1"/>
  <c r="N75" i="6"/>
  <c r="O75" i="6"/>
  <c r="U75" i="6" s="1"/>
  <c r="P75" i="6"/>
  <c r="V75" i="6" s="1"/>
  <c r="Q75" i="6"/>
  <c r="W75" i="6" s="1"/>
  <c r="R75" i="6"/>
  <c r="L76" i="6"/>
  <c r="R76" i="6" s="1"/>
  <c r="M76" i="6"/>
  <c r="S76" i="6" s="1"/>
  <c r="N76" i="6"/>
  <c r="T76" i="6" s="1"/>
  <c r="O76" i="6"/>
  <c r="U76" i="6" s="1"/>
  <c r="P76" i="6"/>
  <c r="V76" i="6" s="1"/>
  <c r="Q76" i="6"/>
  <c r="W76" i="6" s="1"/>
  <c r="L77" i="6"/>
  <c r="M77" i="6"/>
  <c r="S77" i="6" s="1"/>
  <c r="N77" i="6"/>
  <c r="T77" i="6" s="1"/>
  <c r="O77" i="6"/>
  <c r="U77" i="6" s="1"/>
  <c r="P77" i="6"/>
  <c r="V77" i="6" s="1"/>
  <c r="Q77" i="6"/>
  <c r="W77" i="6" s="1"/>
  <c r="L10" i="6"/>
  <c r="M10" i="6"/>
  <c r="S10" i="6" s="1"/>
  <c r="N10" i="6"/>
  <c r="T10" i="6" s="1"/>
  <c r="O10" i="6"/>
  <c r="U10" i="6" s="1"/>
  <c r="P10" i="6"/>
  <c r="Q10" i="6"/>
  <c r="W10" i="6" s="1"/>
  <c r="L43" i="6"/>
  <c r="R43" i="6" s="1"/>
  <c r="M43" i="6"/>
  <c r="S43" i="6" s="1"/>
  <c r="N43" i="6"/>
  <c r="T43" i="6" s="1"/>
  <c r="O43" i="6"/>
  <c r="U43" i="6" s="1"/>
  <c r="P43" i="6"/>
  <c r="V43" i="6" s="1"/>
  <c r="Q43" i="6"/>
  <c r="W43" i="6"/>
  <c r="L3" i="6"/>
  <c r="R3" i="6" s="1"/>
  <c r="M3" i="6"/>
  <c r="S3" i="6" s="1"/>
  <c r="N3" i="6"/>
  <c r="T3" i="6" s="1"/>
  <c r="O3" i="6"/>
  <c r="U3" i="6" s="1"/>
  <c r="P3" i="6"/>
  <c r="V3" i="6" s="1"/>
  <c r="Q3" i="6"/>
  <c r="W3" i="6" s="1"/>
  <c r="X3" i="6"/>
  <c r="Y3" i="6" s="1"/>
  <c r="AB3" i="6"/>
  <c r="L45" i="6"/>
  <c r="R45" i="6" s="1"/>
  <c r="M45" i="6"/>
  <c r="S45" i="6" s="1"/>
  <c r="N45" i="6"/>
  <c r="T45" i="6" s="1"/>
  <c r="O45" i="6"/>
  <c r="U45" i="6" s="1"/>
  <c r="P45" i="6"/>
  <c r="V45" i="6" s="1"/>
  <c r="Q45" i="6"/>
  <c r="W45" i="6" s="1"/>
  <c r="L4" i="6"/>
  <c r="R4" i="6" s="1"/>
  <c r="M4" i="6"/>
  <c r="S4" i="6" s="1"/>
  <c r="N4" i="6"/>
  <c r="T4" i="6" s="1"/>
  <c r="O4" i="6"/>
  <c r="U4" i="6" s="1"/>
  <c r="P4" i="6"/>
  <c r="V4" i="6" s="1"/>
  <c r="Q4" i="6"/>
  <c r="W4" i="6" s="1"/>
  <c r="X4" i="6"/>
  <c r="Y4" i="6" s="1"/>
  <c r="AB4" i="6"/>
  <c r="L51" i="6"/>
  <c r="R51" i="6" s="1"/>
  <c r="M51" i="6"/>
  <c r="N51" i="6"/>
  <c r="T51" i="6" s="1"/>
  <c r="O51" i="6"/>
  <c r="U51" i="6" s="1"/>
  <c r="P51" i="6"/>
  <c r="Q51" i="6"/>
  <c r="W51" i="6" s="1"/>
  <c r="L40" i="6"/>
  <c r="R40" i="6" s="1"/>
  <c r="M40" i="6"/>
  <c r="S40" i="6" s="1"/>
  <c r="N40" i="6"/>
  <c r="T40" i="6" s="1"/>
  <c r="O40" i="6"/>
  <c r="U40" i="6" s="1"/>
  <c r="P40" i="6"/>
  <c r="V40" i="6" s="1"/>
  <c r="Q40" i="6"/>
  <c r="W40" i="6" s="1"/>
  <c r="L56" i="6"/>
  <c r="R56" i="6" s="1"/>
  <c r="M56" i="6"/>
  <c r="S56" i="6" s="1"/>
  <c r="N56" i="6"/>
  <c r="T56" i="6" s="1"/>
  <c r="O56" i="6"/>
  <c r="U56" i="6" s="1"/>
  <c r="P56" i="6"/>
  <c r="V56" i="6" s="1"/>
  <c r="Q56" i="6"/>
  <c r="W56" i="6" s="1"/>
  <c r="L47" i="6"/>
  <c r="M47" i="6"/>
  <c r="N47" i="6"/>
  <c r="T47" i="6" s="1"/>
  <c r="O47" i="6"/>
  <c r="U47" i="6" s="1"/>
  <c r="P47" i="6"/>
  <c r="V47" i="6" s="1"/>
  <c r="Q47" i="6"/>
  <c r="W47" i="6" s="1"/>
  <c r="L46" i="6"/>
  <c r="R46" i="6" s="1"/>
  <c r="M46" i="6"/>
  <c r="S46" i="6" s="1"/>
  <c r="N46" i="6"/>
  <c r="T46" i="6" s="1"/>
  <c r="O46" i="6"/>
  <c r="P46" i="6"/>
  <c r="V46" i="6" s="1"/>
  <c r="Q46" i="6"/>
  <c r="W46" i="6" s="1"/>
  <c r="U46" i="6"/>
  <c r="L32" i="6"/>
  <c r="M32" i="6"/>
  <c r="S32" i="6" s="1"/>
  <c r="N32" i="6"/>
  <c r="T32" i="6" s="1"/>
  <c r="O32" i="6"/>
  <c r="P32" i="6"/>
  <c r="V32" i="6" s="1"/>
  <c r="Q32" i="6"/>
  <c r="W32" i="6" s="1"/>
  <c r="L66" i="6"/>
  <c r="M66" i="6"/>
  <c r="S66" i="6" s="1"/>
  <c r="N66" i="6"/>
  <c r="O66" i="6"/>
  <c r="U66" i="6" s="1"/>
  <c r="P66" i="6"/>
  <c r="V66" i="6" s="1"/>
  <c r="Q66" i="6"/>
  <c r="W66" i="6" s="1"/>
  <c r="T66" i="6"/>
  <c r="L58" i="6"/>
  <c r="R58" i="6" s="1"/>
  <c r="M58" i="6"/>
  <c r="S58" i="6" s="1"/>
  <c r="N58" i="6"/>
  <c r="T58" i="6" s="1"/>
  <c r="O58" i="6"/>
  <c r="U58" i="6" s="1"/>
  <c r="P58" i="6"/>
  <c r="V58" i="6" s="1"/>
  <c r="Q58" i="6"/>
  <c r="W58" i="6" s="1"/>
  <c r="L50" i="6"/>
  <c r="R50" i="6" s="1"/>
  <c r="M50" i="6"/>
  <c r="S50" i="6" s="1"/>
  <c r="N50" i="6"/>
  <c r="O50" i="6"/>
  <c r="U50" i="6" s="1"/>
  <c r="P50" i="6"/>
  <c r="V50" i="6" s="1"/>
  <c r="Q50" i="6"/>
  <c r="W50" i="6" s="1"/>
  <c r="L12" i="6"/>
  <c r="M12" i="6"/>
  <c r="N12" i="6"/>
  <c r="T12" i="6" s="1"/>
  <c r="O12" i="6"/>
  <c r="U12" i="6" s="1"/>
  <c r="P12" i="6"/>
  <c r="V12" i="6" s="1"/>
  <c r="Q12" i="6"/>
  <c r="W12" i="6" s="1"/>
  <c r="S12" i="6"/>
  <c r="L26" i="6"/>
  <c r="R26" i="6" s="1"/>
  <c r="M26" i="6"/>
  <c r="S26" i="6" s="1"/>
  <c r="N26" i="6"/>
  <c r="T26" i="6" s="1"/>
  <c r="O26" i="6"/>
  <c r="U26" i="6" s="1"/>
  <c r="P26" i="6"/>
  <c r="Q26" i="6"/>
  <c r="W26" i="6" s="1"/>
  <c r="L67" i="6"/>
  <c r="M67" i="6"/>
  <c r="N67" i="6"/>
  <c r="T67" i="6" s="1"/>
  <c r="O67" i="6"/>
  <c r="U67" i="6" s="1"/>
  <c r="P67" i="6"/>
  <c r="V67" i="6" s="1"/>
  <c r="Q67" i="6"/>
  <c r="W67" i="6" s="1"/>
  <c r="L21" i="6"/>
  <c r="R21" i="6" s="1"/>
  <c r="M21" i="6"/>
  <c r="S21" i="6" s="1"/>
  <c r="N21" i="6"/>
  <c r="T21" i="6" s="1"/>
  <c r="O21" i="6"/>
  <c r="U21" i="6" s="1"/>
  <c r="P21" i="6"/>
  <c r="V21" i="6" s="1"/>
  <c r="Q21" i="6"/>
  <c r="W21" i="6" s="1"/>
  <c r="L18" i="6"/>
  <c r="M18" i="6"/>
  <c r="S18" i="6" s="1"/>
  <c r="N18" i="6"/>
  <c r="T18" i="6" s="1"/>
  <c r="O18" i="6"/>
  <c r="P18" i="6"/>
  <c r="V18" i="6" s="1"/>
  <c r="Q18" i="6"/>
  <c r="W18" i="6" s="1"/>
  <c r="L20" i="6"/>
  <c r="M20" i="6"/>
  <c r="S20" i="6" s="1"/>
  <c r="N20" i="6"/>
  <c r="T20" i="6" s="1"/>
  <c r="O20" i="6"/>
  <c r="U20" i="6" s="1"/>
  <c r="P20" i="6"/>
  <c r="V20" i="6" s="1"/>
  <c r="Q20" i="6"/>
  <c r="W20" i="6" s="1"/>
  <c r="L19" i="6"/>
  <c r="R19" i="6" s="1"/>
  <c r="M19" i="6"/>
  <c r="S19" i="6" s="1"/>
  <c r="N19" i="6"/>
  <c r="T19" i="6" s="1"/>
  <c r="O19" i="6"/>
  <c r="U19" i="6" s="1"/>
  <c r="P19" i="6"/>
  <c r="V19" i="6" s="1"/>
  <c r="Q19" i="6"/>
  <c r="W19" i="6" s="1"/>
  <c r="L9" i="6"/>
  <c r="M9" i="6"/>
  <c r="N9" i="6"/>
  <c r="T9" i="6" s="1"/>
  <c r="O9" i="6"/>
  <c r="U9" i="6" s="1"/>
  <c r="P9" i="6"/>
  <c r="V9" i="6" s="1"/>
  <c r="Q9" i="6"/>
  <c r="W9" i="6" s="1"/>
  <c r="L11" i="6"/>
  <c r="R11" i="6" s="1"/>
  <c r="M11" i="6"/>
  <c r="S11" i="6" s="1"/>
  <c r="N11" i="6"/>
  <c r="T11" i="6" s="1"/>
  <c r="O11" i="6"/>
  <c r="U11" i="6" s="1"/>
  <c r="P11" i="6"/>
  <c r="V11" i="6" s="1"/>
  <c r="Q11" i="6"/>
  <c r="W11" i="6" s="1"/>
  <c r="L30" i="6"/>
  <c r="R30" i="6" s="1"/>
  <c r="M30" i="6"/>
  <c r="S30" i="6" s="1"/>
  <c r="N30" i="6"/>
  <c r="T30" i="6" s="1"/>
  <c r="O30" i="6"/>
  <c r="U30" i="6" s="1"/>
  <c r="P30" i="6"/>
  <c r="V30" i="6" s="1"/>
  <c r="Q30" i="6"/>
  <c r="W30" i="6" s="1"/>
  <c r="L38" i="6"/>
  <c r="M38" i="6"/>
  <c r="S38" i="6" s="1"/>
  <c r="N38" i="6"/>
  <c r="T38" i="6" s="1"/>
  <c r="O38" i="6"/>
  <c r="U38" i="6" s="1"/>
  <c r="P38" i="6"/>
  <c r="V38" i="6" s="1"/>
  <c r="Q38" i="6"/>
  <c r="W38" i="6" s="1"/>
  <c r="L52" i="6"/>
  <c r="M52" i="6"/>
  <c r="S52" i="6" s="1"/>
  <c r="N52" i="6"/>
  <c r="T52" i="6" s="1"/>
  <c r="O52" i="6"/>
  <c r="U52" i="6" s="1"/>
  <c r="P52" i="6"/>
  <c r="V52" i="6" s="1"/>
  <c r="Q52" i="6"/>
  <c r="W52" i="6" s="1"/>
  <c r="L64" i="6"/>
  <c r="M64" i="6"/>
  <c r="S64" i="6" s="1"/>
  <c r="N64" i="6"/>
  <c r="T64" i="6" s="1"/>
  <c r="O64" i="6"/>
  <c r="U64" i="6" s="1"/>
  <c r="P64" i="6"/>
  <c r="V64" i="6" s="1"/>
  <c r="Q64" i="6"/>
  <c r="W64" i="6" s="1"/>
  <c r="L5" i="6"/>
  <c r="M5" i="6"/>
  <c r="S5" i="6" s="1"/>
  <c r="N5" i="6"/>
  <c r="T5" i="6" s="1"/>
  <c r="O5" i="6"/>
  <c r="U5" i="6" s="1"/>
  <c r="P5" i="6"/>
  <c r="V5" i="6" s="1"/>
  <c r="Q5" i="6"/>
  <c r="W5" i="6" s="1"/>
  <c r="X5" i="6"/>
  <c r="Y5" i="6" s="1"/>
  <c r="AB5" i="6"/>
  <c r="L61" i="6"/>
  <c r="R61" i="6" s="1"/>
  <c r="M61" i="6"/>
  <c r="S61" i="6" s="1"/>
  <c r="N61" i="6"/>
  <c r="T61" i="6" s="1"/>
  <c r="O61" i="6"/>
  <c r="U61" i="6" s="1"/>
  <c r="P61" i="6"/>
  <c r="V61" i="6" s="1"/>
  <c r="Q61" i="6"/>
  <c r="W61" i="6" s="1"/>
  <c r="L27" i="6"/>
  <c r="R27" i="6" s="1"/>
  <c r="M27" i="6"/>
  <c r="N27" i="6"/>
  <c r="T27" i="6" s="1"/>
  <c r="O27" i="6"/>
  <c r="U27" i="6" s="1"/>
  <c r="P27" i="6"/>
  <c r="V27" i="6" s="1"/>
  <c r="Q27" i="6"/>
  <c r="W27" i="6" s="1"/>
  <c r="L25" i="6"/>
  <c r="R25" i="6" s="1"/>
  <c r="M25" i="6"/>
  <c r="S25" i="6" s="1"/>
  <c r="N25" i="6"/>
  <c r="T25" i="6" s="1"/>
  <c r="O25" i="6"/>
  <c r="U25" i="6" s="1"/>
  <c r="P25" i="6"/>
  <c r="V25" i="6" s="1"/>
  <c r="Q25" i="6"/>
  <c r="W25" i="6" s="1"/>
  <c r="L31" i="6"/>
  <c r="R31" i="6" s="1"/>
  <c r="M31" i="6"/>
  <c r="S31" i="6" s="1"/>
  <c r="N31" i="6"/>
  <c r="T31" i="6" s="1"/>
  <c r="O31" i="6"/>
  <c r="U31" i="6" s="1"/>
  <c r="P31" i="6"/>
  <c r="V31" i="6" s="1"/>
  <c r="Q31" i="6"/>
  <c r="W31" i="6" s="1"/>
  <c r="L68" i="6"/>
  <c r="M68" i="6"/>
  <c r="S68" i="6" s="1"/>
  <c r="N68" i="6"/>
  <c r="T68" i="6" s="1"/>
  <c r="O68" i="6"/>
  <c r="U68" i="6" s="1"/>
  <c r="P68" i="6"/>
  <c r="V68" i="6" s="1"/>
  <c r="Q68" i="6"/>
  <c r="W68" i="6" s="1"/>
  <c r="L53" i="6"/>
  <c r="R53" i="6" s="1"/>
  <c r="M53" i="6"/>
  <c r="S53" i="6" s="1"/>
  <c r="N53" i="6"/>
  <c r="T53" i="6" s="1"/>
  <c r="O53" i="6"/>
  <c r="P53" i="6"/>
  <c r="V53" i="6" s="1"/>
  <c r="Q53" i="6"/>
  <c r="W53" i="6" s="1"/>
  <c r="L17" i="6"/>
  <c r="R17" i="6" s="1"/>
  <c r="M17" i="6"/>
  <c r="S17" i="6" s="1"/>
  <c r="N17" i="6"/>
  <c r="O17" i="6"/>
  <c r="U17" i="6" s="1"/>
  <c r="P17" i="6"/>
  <c r="V17" i="6" s="1"/>
  <c r="Q17" i="6"/>
  <c r="W17" i="6" s="1"/>
  <c r="L29" i="6"/>
  <c r="M29" i="6"/>
  <c r="S29" i="6" s="1"/>
  <c r="N29" i="6"/>
  <c r="T29" i="6" s="1"/>
  <c r="O29" i="6"/>
  <c r="U29" i="6" s="1"/>
  <c r="P29" i="6"/>
  <c r="V29" i="6" s="1"/>
  <c r="Q29" i="6"/>
  <c r="W29" i="6" s="1"/>
  <c r="L6" i="6"/>
  <c r="R6" i="6" s="1"/>
  <c r="M6" i="6"/>
  <c r="S6" i="6" s="1"/>
  <c r="N6" i="6"/>
  <c r="T6" i="6" s="1"/>
  <c r="O6" i="6"/>
  <c r="U6" i="6" s="1"/>
  <c r="P6" i="6"/>
  <c r="V6" i="6" s="1"/>
  <c r="Q6" i="6"/>
  <c r="W6" i="6" s="1"/>
  <c r="X6" i="6"/>
  <c r="Y6" i="6" s="1"/>
  <c r="AB6" i="6"/>
  <c r="L69" i="6"/>
  <c r="R69" i="6" s="1"/>
  <c r="M69" i="6"/>
  <c r="S69" i="6" s="1"/>
  <c r="N69" i="6"/>
  <c r="T69" i="6" s="1"/>
  <c r="O69" i="6"/>
  <c r="U69" i="6" s="1"/>
  <c r="P69" i="6"/>
  <c r="V69" i="6" s="1"/>
  <c r="Q69" i="6"/>
  <c r="W69" i="6" s="1"/>
  <c r="L28" i="6"/>
  <c r="R28" i="6" s="1"/>
  <c r="M28" i="6"/>
  <c r="S28" i="6" s="1"/>
  <c r="N28" i="6"/>
  <c r="T28" i="6" s="1"/>
  <c r="O28" i="6"/>
  <c r="U28" i="6" s="1"/>
  <c r="P28" i="6"/>
  <c r="V28" i="6" s="1"/>
  <c r="Q28" i="6"/>
  <c r="W28" i="6" s="1"/>
  <c r="L70" i="6"/>
  <c r="R70" i="6" s="1"/>
  <c r="M70" i="6"/>
  <c r="S70" i="6" s="1"/>
  <c r="N70" i="6"/>
  <c r="T70" i="6" s="1"/>
  <c r="O70" i="6"/>
  <c r="U70" i="6" s="1"/>
  <c r="P70" i="6"/>
  <c r="Q70" i="6"/>
  <c r="W70" i="6" s="1"/>
  <c r="L59" i="6"/>
  <c r="M59" i="6"/>
  <c r="S59" i="6" s="1"/>
  <c r="N59" i="6"/>
  <c r="T59" i="6" s="1"/>
  <c r="O59" i="6"/>
  <c r="U59" i="6" s="1"/>
  <c r="P59" i="6"/>
  <c r="V59" i="6" s="1"/>
  <c r="Q59" i="6"/>
  <c r="W59" i="6" s="1"/>
  <c r="L42" i="6"/>
  <c r="R42" i="6" s="1"/>
  <c r="M42" i="6"/>
  <c r="S42" i="6" s="1"/>
  <c r="N42" i="6"/>
  <c r="T42" i="6" s="1"/>
  <c r="O42" i="6"/>
  <c r="U42" i="6" s="1"/>
  <c r="P42" i="6"/>
  <c r="V42" i="6" s="1"/>
  <c r="Q42" i="6"/>
  <c r="W42" i="6" s="1"/>
  <c r="L17" i="1"/>
  <c r="M17" i="1"/>
  <c r="S17" i="1" s="1"/>
  <c r="N17" i="1"/>
  <c r="T17" i="1" s="1"/>
  <c r="O17" i="1"/>
  <c r="U17" i="1" s="1"/>
  <c r="P17" i="1"/>
  <c r="Q17" i="1"/>
  <c r="W17" i="1" s="1"/>
  <c r="L60" i="1"/>
  <c r="R60" i="1" s="1"/>
  <c r="M60" i="1"/>
  <c r="S60" i="1" s="1"/>
  <c r="N60" i="1"/>
  <c r="T60" i="1" s="1"/>
  <c r="O60" i="1"/>
  <c r="U60" i="1" s="1"/>
  <c r="P60" i="1"/>
  <c r="V60" i="1" s="1"/>
  <c r="Q60" i="1"/>
  <c r="W60" i="1" s="1"/>
  <c r="L9" i="1"/>
  <c r="R9" i="1" s="1"/>
  <c r="M9" i="1"/>
  <c r="S9" i="1" s="1"/>
  <c r="N9" i="1"/>
  <c r="T9" i="1" s="1"/>
  <c r="O9" i="1"/>
  <c r="U9" i="1" s="1"/>
  <c r="P9" i="1"/>
  <c r="V9" i="1" s="1"/>
  <c r="Q9" i="1"/>
  <c r="W9" i="1" s="1"/>
  <c r="L47" i="1"/>
  <c r="M47" i="1"/>
  <c r="S47" i="1" s="1"/>
  <c r="N47" i="1"/>
  <c r="T47" i="1" s="1"/>
  <c r="O47" i="1"/>
  <c r="U47" i="1" s="1"/>
  <c r="P47" i="1"/>
  <c r="V47" i="1" s="1"/>
  <c r="Q47" i="1"/>
  <c r="W47" i="1" s="1"/>
  <c r="L25" i="1"/>
  <c r="R25" i="1" s="1"/>
  <c r="M25" i="1"/>
  <c r="S25" i="1" s="1"/>
  <c r="N25" i="1"/>
  <c r="T25" i="1" s="1"/>
  <c r="O25" i="1"/>
  <c r="U25" i="1" s="1"/>
  <c r="P25" i="1"/>
  <c r="V25" i="1" s="1"/>
  <c r="Q25" i="1"/>
  <c r="L54" i="1"/>
  <c r="M54" i="1"/>
  <c r="S54" i="1" s="1"/>
  <c r="N54" i="1"/>
  <c r="T54" i="1" s="1"/>
  <c r="O54" i="1"/>
  <c r="U54" i="1" s="1"/>
  <c r="P54" i="1"/>
  <c r="V54" i="1" s="1"/>
  <c r="Q54" i="1"/>
  <c r="W54" i="1" s="1"/>
  <c r="L31" i="1"/>
  <c r="R31" i="1" s="1"/>
  <c r="M31" i="1"/>
  <c r="S31" i="1" s="1"/>
  <c r="N31" i="1"/>
  <c r="T31" i="1" s="1"/>
  <c r="O31" i="1"/>
  <c r="U31" i="1" s="1"/>
  <c r="P31" i="1"/>
  <c r="V31" i="1" s="1"/>
  <c r="Q31" i="1"/>
  <c r="W31" i="1" s="1"/>
  <c r="L23" i="1"/>
  <c r="R23" i="1" s="1"/>
  <c r="M23" i="1"/>
  <c r="S23" i="1" s="1"/>
  <c r="N23" i="1"/>
  <c r="T23" i="1" s="1"/>
  <c r="O23" i="1"/>
  <c r="U23" i="1" s="1"/>
  <c r="P23" i="1"/>
  <c r="V23" i="1" s="1"/>
  <c r="Q23" i="1"/>
  <c r="W23" i="1" s="1"/>
  <c r="L53" i="1"/>
  <c r="M53" i="1"/>
  <c r="S53" i="1" s="1"/>
  <c r="N53" i="1"/>
  <c r="T53" i="1" s="1"/>
  <c r="O53" i="1"/>
  <c r="U53" i="1" s="1"/>
  <c r="P53" i="1"/>
  <c r="Q53" i="1"/>
  <c r="W53" i="1" s="1"/>
  <c r="L11" i="1"/>
  <c r="R11" i="1" s="1"/>
  <c r="M11" i="1"/>
  <c r="S11" i="1" s="1"/>
  <c r="N11" i="1"/>
  <c r="T11" i="1" s="1"/>
  <c r="O11" i="1"/>
  <c r="U11" i="1" s="1"/>
  <c r="P11" i="1"/>
  <c r="V11" i="1" s="1"/>
  <c r="Q11" i="1"/>
  <c r="W11" i="1" s="1"/>
  <c r="L69" i="1"/>
  <c r="M69" i="1"/>
  <c r="S69" i="1" s="1"/>
  <c r="N69" i="1"/>
  <c r="T69" i="1" s="1"/>
  <c r="O69" i="1"/>
  <c r="U69" i="1" s="1"/>
  <c r="P69" i="1"/>
  <c r="V69" i="1" s="1"/>
  <c r="Q69" i="1"/>
  <c r="W69" i="1" s="1"/>
  <c r="L26" i="1"/>
  <c r="M26" i="1"/>
  <c r="S26" i="1" s="1"/>
  <c r="N26" i="1"/>
  <c r="T26" i="1" s="1"/>
  <c r="O26" i="1"/>
  <c r="P26" i="1"/>
  <c r="V26" i="1" s="1"/>
  <c r="Q26" i="1"/>
  <c r="W26" i="1" s="1"/>
  <c r="L35" i="1"/>
  <c r="R35" i="1" s="1"/>
  <c r="M35" i="1"/>
  <c r="S35" i="1" s="1"/>
  <c r="N35" i="1"/>
  <c r="T35" i="1" s="1"/>
  <c r="O35" i="1"/>
  <c r="U35" i="1" s="1"/>
  <c r="P35" i="1"/>
  <c r="V35" i="1" s="1"/>
  <c r="Q35" i="1"/>
  <c r="W35" i="1" s="1"/>
  <c r="L52" i="1"/>
  <c r="M52" i="1"/>
  <c r="S52" i="1" s="1"/>
  <c r="N52" i="1"/>
  <c r="T52" i="1" s="1"/>
  <c r="O52" i="1"/>
  <c r="U52" i="1" s="1"/>
  <c r="P52" i="1"/>
  <c r="V52" i="1" s="1"/>
  <c r="Q52" i="1"/>
  <c r="L58" i="1"/>
  <c r="R58" i="1" s="1"/>
  <c r="M58" i="1"/>
  <c r="S58" i="1" s="1"/>
  <c r="N58" i="1"/>
  <c r="T58" i="1" s="1"/>
  <c r="O58" i="1"/>
  <c r="U58" i="1" s="1"/>
  <c r="P58" i="1"/>
  <c r="V58" i="1" s="1"/>
  <c r="Q58" i="1"/>
  <c r="W58" i="1" s="1"/>
  <c r="L18" i="1"/>
  <c r="R18" i="1" s="1"/>
  <c r="M18" i="1"/>
  <c r="S18" i="1" s="1"/>
  <c r="N18" i="1"/>
  <c r="T18" i="1" s="1"/>
  <c r="O18" i="1"/>
  <c r="U18" i="1" s="1"/>
  <c r="P18" i="1"/>
  <c r="V18" i="1" s="1"/>
  <c r="Q18" i="1"/>
  <c r="W18" i="1" s="1"/>
  <c r="L56" i="1"/>
  <c r="R56" i="1" s="1"/>
  <c r="M56" i="1"/>
  <c r="N56" i="1"/>
  <c r="T56" i="1" s="1"/>
  <c r="O56" i="1"/>
  <c r="U56" i="1" s="1"/>
  <c r="P56" i="1"/>
  <c r="Q56" i="1"/>
  <c r="W56" i="1" s="1"/>
  <c r="L7" i="1"/>
  <c r="R7" i="1" s="1"/>
  <c r="M7" i="1"/>
  <c r="S7" i="1" s="1"/>
  <c r="N7" i="1"/>
  <c r="T7" i="1" s="1"/>
  <c r="O7" i="1"/>
  <c r="U7" i="1" s="1"/>
  <c r="P7" i="1"/>
  <c r="V7" i="1" s="1"/>
  <c r="Q7" i="1"/>
  <c r="W7" i="1" s="1"/>
  <c r="X7" i="1"/>
  <c r="Y7" i="1" s="1"/>
  <c r="AB7" i="1"/>
  <c r="L19" i="1"/>
  <c r="R19" i="1" s="1"/>
  <c r="M19" i="1"/>
  <c r="S19" i="1" s="1"/>
  <c r="N19" i="1"/>
  <c r="T19" i="1" s="1"/>
  <c r="O19" i="1"/>
  <c r="P19" i="1"/>
  <c r="V19" i="1" s="1"/>
  <c r="Q19" i="1"/>
  <c r="W19" i="1" s="1"/>
  <c r="L24" i="1"/>
  <c r="M24" i="1"/>
  <c r="S24" i="1" s="1"/>
  <c r="N24" i="1"/>
  <c r="T24" i="1" s="1"/>
  <c r="O24" i="1"/>
  <c r="U24" i="1" s="1"/>
  <c r="P24" i="1"/>
  <c r="Q24" i="1"/>
  <c r="W24" i="1" s="1"/>
  <c r="L61" i="1"/>
  <c r="R61" i="1" s="1"/>
  <c r="M61" i="1"/>
  <c r="S61" i="1" s="1"/>
  <c r="N61" i="1"/>
  <c r="T61" i="1" s="1"/>
  <c r="O61" i="1"/>
  <c r="U61" i="1" s="1"/>
  <c r="P61" i="1"/>
  <c r="V61" i="1" s="1"/>
  <c r="Q61" i="1"/>
  <c r="W61" i="1" s="1"/>
  <c r="L40" i="1"/>
  <c r="R40" i="1" s="1"/>
  <c r="M40" i="1"/>
  <c r="S40" i="1" s="1"/>
  <c r="N40" i="1"/>
  <c r="O40" i="1"/>
  <c r="U40" i="1" s="1"/>
  <c r="P40" i="1"/>
  <c r="V40" i="1" s="1"/>
  <c r="Q40" i="1"/>
  <c r="W40" i="1" s="1"/>
  <c r="L62" i="1"/>
  <c r="R62" i="1" s="1"/>
  <c r="M62" i="1"/>
  <c r="S62" i="1" s="1"/>
  <c r="N62" i="1"/>
  <c r="T62" i="1" s="1"/>
  <c r="O62" i="1"/>
  <c r="U62" i="1" s="1"/>
  <c r="P62" i="1"/>
  <c r="V62" i="1" s="1"/>
  <c r="Q62" i="1"/>
  <c r="W62" i="1" s="1"/>
  <c r="L46" i="1"/>
  <c r="M46" i="1"/>
  <c r="S46" i="1" s="1"/>
  <c r="N46" i="1"/>
  <c r="T46" i="1" s="1"/>
  <c r="O46" i="1"/>
  <c r="U46" i="1" s="1"/>
  <c r="P46" i="1"/>
  <c r="V46" i="1" s="1"/>
  <c r="Q46" i="1"/>
  <c r="W46" i="1" s="1"/>
  <c r="L70" i="1"/>
  <c r="M70" i="1"/>
  <c r="N70" i="1"/>
  <c r="T70" i="1" s="1"/>
  <c r="O70" i="1"/>
  <c r="U70" i="1" s="1"/>
  <c r="P70" i="1"/>
  <c r="V70" i="1" s="1"/>
  <c r="Q70" i="1"/>
  <c r="W70" i="1" s="1"/>
  <c r="L14" i="1"/>
  <c r="R14" i="1" s="1"/>
  <c r="M14" i="1"/>
  <c r="S14" i="1" s="1"/>
  <c r="N14" i="1"/>
  <c r="T14" i="1" s="1"/>
  <c r="O14" i="1"/>
  <c r="U14" i="1" s="1"/>
  <c r="P14" i="1"/>
  <c r="V14" i="1" s="1"/>
  <c r="Q14" i="1"/>
  <c r="W14" i="1" s="1"/>
  <c r="L63" i="1"/>
  <c r="R63" i="1" s="1"/>
  <c r="M63" i="1"/>
  <c r="S63" i="1" s="1"/>
  <c r="N63" i="1"/>
  <c r="T63" i="1" s="1"/>
  <c r="O63" i="1"/>
  <c r="P63" i="1"/>
  <c r="V63" i="1" s="1"/>
  <c r="Q63" i="1"/>
  <c r="W63" i="1" s="1"/>
  <c r="L51" i="1"/>
  <c r="M51" i="1"/>
  <c r="S51" i="1" s="1"/>
  <c r="N51" i="1"/>
  <c r="T51" i="1" s="1"/>
  <c r="O51" i="1"/>
  <c r="U51" i="1" s="1"/>
  <c r="P51" i="1"/>
  <c r="V51" i="1" s="1"/>
  <c r="Q51" i="1"/>
  <c r="W51" i="1" s="1"/>
  <c r="L42" i="1"/>
  <c r="R42" i="1" s="1"/>
  <c r="M42" i="1"/>
  <c r="S42" i="1" s="1"/>
  <c r="N42" i="1"/>
  <c r="T42" i="1" s="1"/>
  <c r="O42" i="1"/>
  <c r="U42" i="1" s="1"/>
  <c r="P42" i="1"/>
  <c r="V42" i="1" s="1"/>
  <c r="Q42" i="1"/>
  <c r="W42" i="1" s="1"/>
  <c r="L41" i="1"/>
  <c r="R41" i="1" s="1"/>
  <c r="M41" i="1"/>
  <c r="S41" i="1" s="1"/>
  <c r="N41" i="1"/>
  <c r="O41" i="1"/>
  <c r="U41" i="1" s="1"/>
  <c r="P41" i="1"/>
  <c r="V41" i="1" s="1"/>
  <c r="Q41" i="1"/>
  <c r="W41" i="1" s="1"/>
  <c r="L10" i="1"/>
  <c r="R10" i="1" s="1"/>
  <c r="M10" i="1"/>
  <c r="N10" i="1"/>
  <c r="T10" i="1" s="1"/>
  <c r="O10" i="1"/>
  <c r="U10" i="1" s="1"/>
  <c r="P10" i="1"/>
  <c r="V10" i="1" s="1"/>
  <c r="Q10" i="1"/>
  <c r="W10" i="1" s="1"/>
  <c r="S10" i="1"/>
  <c r="L15" i="1"/>
  <c r="R15" i="1" s="1"/>
  <c r="M15" i="1"/>
  <c r="S15" i="1" s="1"/>
  <c r="N15" i="1"/>
  <c r="T15" i="1" s="1"/>
  <c r="O15" i="1"/>
  <c r="U15" i="1" s="1"/>
  <c r="P15" i="1"/>
  <c r="V15" i="1" s="1"/>
  <c r="Q15" i="1"/>
  <c r="W15" i="1" s="1"/>
  <c r="L8" i="1"/>
  <c r="M8" i="1"/>
  <c r="S8" i="1" s="1"/>
  <c r="N8" i="1"/>
  <c r="T8" i="1" s="1"/>
  <c r="O8" i="1"/>
  <c r="U8" i="1" s="1"/>
  <c r="P8" i="1"/>
  <c r="V8" i="1" s="1"/>
  <c r="Q8" i="1"/>
  <c r="W8" i="1" s="1"/>
  <c r="X8" i="1"/>
  <c r="Y8" i="1" s="1"/>
  <c r="AB8" i="1"/>
  <c r="L29" i="1"/>
  <c r="M29" i="1"/>
  <c r="S29" i="1" s="1"/>
  <c r="N29" i="1"/>
  <c r="T29" i="1" s="1"/>
  <c r="O29" i="1"/>
  <c r="U29" i="1" s="1"/>
  <c r="P29" i="1"/>
  <c r="V29" i="1" s="1"/>
  <c r="Q29" i="1"/>
  <c r="W29" i="1" s="1"/>
  <c r="L39" i="1"/>
  <c r="R39" i="1" s="1"/>
  <c r="M39" i="1"/>
  <c r="S39" i="1" s="1"/>
  <c r="N39" i="1"/>
  <c r="T39" i="1" s="1"/>
  <c r="O39" i="1"/>
  <c r="U39" i="1" s="1"/>
  <c r="P39" i="1"/>
  <c r="V39" i="1" s="1"/>
  <c r="Q39" i="1"/>
  <c r="W39" i="1" s="1"/>
  <c r="L64" i="1"/>
  <c r="R64" i="1" s="1"/>
  <c r="M64" i="1"/>
  <c r="S64" i="1" s="1"/>
  <c r="N64" i="1"/>
  <c r="T64" i="1" s="1"/>
  <c r="O64" i="1"/>
  <c r="U64" i="1" s="1"/>
  <c r="P64" i="1"/>
  <c r="V64" i="1" s="1"/>
  <c r="Q64" i="1"/>
  <c r="W64" i="1" s="1"/>
  <c r="L55" i="1"/>
  <c r="M55" i="1"/>
  <c r="S55" i="1" s="1"/>
  <c r="N55" i="1"/>
  <c r="T55" i="1" s="1"/>
  <c r="O55" i="1"/>
  <c r="U55" i="1" s="1"/>
  <c r="P55" i="1"/>
  <c r="V55" i="1" s="1"/>
  <c r="Q55" i="1"/>
  <c r="W55" i="1" s="1"/>
  <c r="L49" i="1"/>
  <c r="R49" i="1" s="1"/>
  <c r="M49" i="1"/>
  <c r="S49" i="1" s="1"/>
  <c r="N49" i="1"/>
  <c r="T49" i="1" s="1"/>
  <c r="O49" i="1"/>
  <c r="U49" i="1" s="1"/>
  <c r="P49" i="1"/>
  <c r="V49" i="1" s="1"/>
  <c r="Q49" i="1"/>
  <c r="W49" i="1" s="1"/>
  <c r="L30" i="1"/>
  <c r="R30" i="1" s="1"/>
  <c r="M30" i="1"/>
  <c r="N30" i="1"/>
  <c r="T30" i="1" s="1"/>
  <c r="O30" i="1"/>
  <c r="U30" i="1" s="1"/>
  <c r="P30" i="1"/>
  <c r="V30" i="1" s="1"/>
  <c r="Q30" i="1"/>
  <c r="W30" i="1" s="1"/>
  <c r="L50" i="1"/>
  <c r="R50" i="1" s="1"/>
  <c r="M50" i="1"/>
  <c r="S50" i="1" s="1"/>
  <c r="N50" i="1"/>
  <c r="T50" i="1" s="1"/>
  <c r="O50" i="1"/>
  <c r="U50" i="1" s="1"/>
  <c r="P50" i="1"/>
  <c r="V50" i="1" s="1"/>
  <c r="Q50" i="1"/>
  <c r="W50" i="1" s="1"/>
  <c r="L12" i="1"/>
  <c r="R12" i="1" s="1"/>
  <c r="M12" i="1"/>
  <c r="S12" i="1" s="1"/>
  <c r="N12" i="1"/>
  <c r="T12" i="1" s="1"/>
  <c r="O12" i="1"/>
  <c r="P12" i="1"/>
  <c r="V12" i="1" s="1"/>
  <c r="Q12" i="1"/>
  <c r="W12" i="1" s="1"/>
  <c r="L28" i="1"/>
  <c r="M28" i="1"/>
  <c r="S28" i="1" s="1"/>
  <c r="N28" i="1"/>
  <c r="T28" i="1" s="1"/>
  <c r="O28" i="1"/>
  <c r="U28" i="1" s="1"/>
  <c r="P28" i="1"/>
  <c r="V28" i="1" s="1"/>
  <c r="Q28" i="1"/>
  <c r="W28" i="1" s="1"/>
  <c r="L36" i="1"/>
  <c r="R36" i="1" s="1"/>
  <c r="M36" i="1"/>
  <c r="S36" i="1" s="1"/>
  <c r="N36" i="1"/>
  <c r="T36" i="1" s="1"/>
  <c r="O36" i="1"/>
  <c r="U36" i="1" s="1"/>
  <c r="P36" i="1"/>
  <c r="V36" i="1" s="1"/>
  <c r="Q36" i="1"/>
  <c r="L16" i="1"/>
  <c r="M16" i="1"/>
  <c r="S16" i="1" s="1"/>
  <c r="N16" i="1"/>
  <c r="T16" i="1" s="1"/>
  <c r="O16" i="1"/>
  <c r="U16" i="1" s="1"/>
  <c r="P16" i="1"/>
  <c r="V16" i="1" s="1"/>
  <c r="Q16" i="1"/>
  <c r="W16" i="1" s="1"/>
  <c r="L65" i="1"/>
  <c r="M65" i="1"/>
  <c r="S65" i="1" s="1"/>
  <c r="N65" i="1"/>
  <c r="T65" i="1" s="1"/>
  <c r="O65" i="1"/>
  <c r="U65" i="1" s="1"/>
  <c r="P65" i="1"/>
  <c r="V65" i="1" s="1"/>
  <c r="Q65" i="1"/>
  <c r="W65" i="1" s="1"/>
  <c r="L34" i="1"/>
  <c r="R34" i="1" s="1"/>
  <c r="M34" i="1"/>
  <c r="S34" i="1" s="1"/>
  <c r="N34" i="1"/>
  <c r="T34" i="1" s="1"/>
  <c r="O34" i="1"/>
  <c r="U34" i="1" s="1"/>
  <c r="P34" i="1"/>
  <c r="Q34" i="1"/>
  <c r="W34" i="1" s="1"/>
  <c r="L21" i="1"/>
  <c r="M21" i="1"/>
  <c r="N21" i="1"/>
  <c r="T21" i="1" s="1"/>
  <c r="O21" i="1"/>
  <c r="U21" i="1" s="1"/>
  <c r="P21" i="1"/>
  <c r="V21" i="1" s="1"/>
  <c r="Q21" i="1"/>
  <c r="W21" i="1" s="1"/>
  <c r="L22" i="1"/>
  <c r="M22" i="1"/>
  <c r="S22" i="1" s="1"/>
  <c r="N22" i="1"/>
  <c r="T22" i="1" s="1"/>
  <c r="O22" i="1"/>
  <c r="U22" i="1" s="1"/>
  <c r="P22" i="1"/>
  <c r="V22" i="1" s="1"/>
  <c r="Q22" i="1"/>
  <c r="W22" i="1" s="1"/>
  <c r="L66" i="1"/>
  <c r="R66" i="1" s="1"/>
  <c r="M66" i="1"/>
  <c r="S66" i="1" s="1"/>
  <c r="N66" i="1"/>
  <c r="T66" i="1" s="1"/>
  <c r="O66" i="1"/>
  <c r="P66" i="1"/>
  <c r="V66" i="1" s="1"/>
  <c r="Q66" i="1"/>
  <c r="W66" i="1" s="1"/>
  <c r="L43" i="1"/>
  <c r="M43" i="1"/>
  <c r="S43" i="1" s="1"/>
  <c r="N43" i="1"/>
  <c r="T43" i="1" s="1"/>
  <c r="O43" i="1"/>
  <c r="U43" i="1" s="1"/>
  <c r="P43" i="1"/>
  <c r="V43" i="1" s="1"/>
  <c r="Q43" i="1"/>
  <c r="W43" i="1" s="1"/>
  <c r="L67" i="1"/>
  <c r="R67" i="1" s="1"/>
  <c r="M67" i="1"/>
  <c r="S67" i="1" s="1"/>
  <c r="N67" i="1"/>
  <c r="T67" i="1" s="1"/>
  <c r="O67" i="1"/>
  <c r="U67" i="1" s="1"/>
  <c r="P67" i="1"/>
  <c r="V67" i="1" s="1"/>
  <c r="Q67" i="1"/>
  <c r="W67" i="1" s="1"/>
  <c r="L45" i="1"/>
  <c r="M45" i="1"/>
  <c r="N45" i="1"/>
  <c r="T45" i="1" s="1"/>
  <c r="O45" i="1"/>
  <c r="U45" i="1" s="1"/>
  <c r="P45" i="1"/>
  <c r="V45" i="1" s="1"/>
  <c r="Q45" i="1"/>
  <c r="W45" i="1" s="1"/>
  <c r="R45" i="1"/>
  <c r="L37" i="1"/>
  <c r="M37" i="1"/>
  <c r="S37" i="1" s="1"/>
  <c r="N37" i="1"/>
  <c r="T37" i="1" s="1"/>
  <c r="O37" i="1"/>
  <c r="U37" i="1" s="1"/>
  <c r="P37" i="1"/>
  <c r="V37" i="1" s="1"/>
  <c r="Q37" i="1"/>
  <c r="W37" i="1" s="1"/>
  <c r="L3" i="1"/>
  <c r="R3" i="1" s="1"/>
  <c r="M3" i="1"/>
  <c r="S3" i="1" s="1"/>
  <c r="N3" i="1"/>
  <c r="T3" i="1" s="1"/>
  <c r="O3" i="1"/>
  <c r="U3" i="1" s="1"/>
  <c r="P3" i="1"/>
  <c r="V3" i="1" s="1"/>
  <c r="Q3" i="1"/>
  <c r="W3" i="1" s="1"/>
  <c r="X3" i="1"/>
  <c r="Y3" i="1" s="1"/>
  <c r="AB3" i="1"/>
  <c r="L4" i="1"/>
  <c r="R4" i="1" s="1"/>
  <c r="M4" i="1"/>
  <c r="N4" i="1"/>
  <c r="T4" i="1" s="1"/>
  <c r="O4" i="1"/>
  <c r="U4" i="1" s="1"/>
  <c r="P4" i="1"/>
  <c r="V4" i="1" s="1"/>
  <c r="Q4" i="1"/>
  <c r="W4" i="1" s="1"/>
  <c r="X4" i="1"/>
  <c r="Z4" i="1" s="1"/>
  <c r="AB4" i="1"/>
  <c r="L13" i="1"/>
  <c r="M13" i="1"/>
  <c r="S13" i="1" s="1"/>
  <c r="N13" i="1"/>
  <c r="T13" i="1" s="1"/>
  <c r="O13" i="1"/>
  <c r="U13" i="1" s="1"/>
  <c r="P13" i="1"/>
  <c r="V13" i="1" s="1"/>
  <c r="Q13" i="1"/>
  <c r="W13" i="1" s="1"/>
  <c r="L48" i="1"/>
  <c r="R48" i="1" s="1"/>
  <c r="M48" i="1"/>
  <c r="S48" i="1" s="1"/>
  <c r="N48" i="1"/>
  <c r="T48" i="1" s="1"/>
  <c r="O48" i="1"/>
  <c r="P48" i="1"/>
  <c r="V48" i="1" s="1"/>
  <c r="Q48" i="1"/>
  <c r="W48" i="1" s="1"/>
  <c r="L27" i="1"/>
  <c r="M27" i="1"/>
  <c r="S27" i="1" s="1"/>
  <c r="N27" i="1"/>
  <c r="T27" i="1" s="1"/>
  <c r="O27" i="1"/>
  <c r="U27" i="1" s="1"/>
  <c r="P27" i="1"/>
  <c r="V27" i="1" s="1"/>
  <c r="Q27" i="1"/>
  <c r="W27" i="1" s="1"/>
  <c r="L32" i="1"/>
  <c r="R32" i="1" s="1"/>
  <c r="M32" i="1"/>
  <c r="S32" i="1" s="1"/>
  <c r="N32" i="1"/>
  <c r="T32" i="1" s="1"/>
  <c r="O32" i="1"/>
  <c r="U32" i="1" s="1"/>
  <c r="P32" i="1"/>
  <c r="V32" i="1" s="1"/>
  <c r="Q32" i="1"/>
  <c r="W32" i="1" s="1"/>
  <c r="L20" i="1"/>
  <c r="R20" i="1" s="1"/>
  <c r="M20" i="1"/>
  <c r="S20" i="1" s="1"/>
  <c r="N20" i="1"/>
  <c r="O20" i="1"/>
  <c r="U20" i="1" s="1"/>
  <c r="P20" i="1"/>
  <c r="V20" i="1" s="1"/>
  <c r="Q20" i="1"/>
  <c r="W20" i="1" s="1"/>
  <c r="L68" i="1"/>
  <c r="M68" i="1"/>
  <c r="S68" i="1" s="1"/>
  <c r="N68" i="1"/>
  <c r="T68" i="1" s="1"/>
  <c r="O68" i="1"/>
  <c r="P68" i="1"/>
  <c r="V68" i="1" s="1"/>
  <c r="Q68" i="1"/>
  <c r="W68" i="1" s="1"/>
  <c r="L57" i="1"/>
  <c r="R57" i="1" s="1"/>
  <c r="M57" i="1"/>
  <c r="S57" i="1" s="1"/>
  <c r="N57" i="1"/>
  <c r="O57" i="1"/>
  <c r="U57" i="1" s="1"/>
  <c r="P57" i="1"/>
  <c r="V57" i="1" s="1"/>
  <c r="Q57" i="1"/>
  <c r="W57" i="1" s="1"/>
  <c r="T57" i="1"/>
  <c r="L38" i="1"/>
  <c r="R38" i="1" s="1"/>
  <c r="M38" i="1"/>
  <c r="N38" i="1"/>
  <c r="T38" i="1" s="1"/>
  <c r="O38" i="1"/>
  <c r="U38" i="1" s="1"/>
  <c r="P38" i="1"/>
  <c r="V38" i="1" s="1"/>
  <c r="Q38" i="1"/>
  <c r="W38" i="1" s="1"/>
  <c r="L5" i="1"/>
  <c r="M5" i="1"/>
  <c r="S5" i="1" s="1"/>
  <c r="N5" i="1"/>
  <c r="T5" i="1" s="1"/>
  <c r="O5" i="1"/>
  <c r="U5" i="1" s="1"/>
  <c r="P5" i="1"/>
  <c r="V5" i="1" s="1"/>
  <c r="Q5" i="1"/>
  <c r="W5" i="1" s="1"/>
  <c r="X5" i="1"/>
  <c r="Y5" i="1" s="1"/>
  <c r="AB5" i="1"/>
  <c r="L6" i="1"/>
  <c r="R6" i="1" s="1"/>
  <c r="M6" i="1"/>
  <c r="S6" i="1" s="1"/>
  <c r="N6" i="1"/>
  <c r="T6" i="1" s="1"/>
  <c r="O6" i="1"/>
  <c r="U6" i="1" s="1"/>
  <c r="P6" i="1"/>
  <c r="V6" i="1" s="1"/>
  <c r="Q6" i="1"/>
  <c r="W6" i="1" s="1"/>
  <c r="X6" i="1"/>
  <c r="Z6" i="1" s="1"/>
  <c r="AB6" i="1"/>
  <c r="L33" i="1"/>
  <c r="M33" i="1"/>
  <c r="S33" i="1" s="1"/>
  <c r="N33" i="1"/>
  <c r="T33" i="1" s="1"/>
  <c r="O33" i="1"/>
  <c r="U33" i="1" s="1"/>
  <c r="P33" i="1"/>
  <c r="V33" i="1" s="1"/>
  <c r="Q33" i="1"/>
  <c r="W33" i="1" s="1"/>
  <c r="L59" i="1"/>
  <c r="M59" i="1"/>
  <c r="N59" i="1"/>
  <c r="T59" i="1" s="1"/>
  <c r="O59" i="1"/>
  <c r="U59" i="1" s="1"/>
  <c r="P59" i="1"/>
  <c r="V59" i="1" s="1"/>
  <c r="Q59" i="1"/>
  <c r="W59" i="1" s="1"/>
  <c r="AD13" i="6" l="1"/>
  <c r="Z7" i="1"/>
  <c r="AC48" i="6"/>
  <c r="AD32" i="6"/>
  <c r="AD25" i="1"/>
  <c r="AD65" i="1"/>
  <c r="AD64" i="6"/>
  <c r="AC9" i="6"/>
  <c r="AD50" i="6"/>
  <c r="AC77" i="6"/>
  <c r="AC44" i="6"/>
  <c r="AB39" i="6"/>
  <c r="X72" i="6"/>
  <c r="Y72" i="6" s="1"/>
  <c r="AD52" i="6"/>
  <c r="AB30" i="6"/>
  <c r="AB22" i="6"/>
  <c r="AD12" i="6"/>
  <c r="R64" i="6"/>
  <c r="AB19" i="6"/>
  <c r="AC68" i="6"/>
  <c r="R52" i="6"/>
  <c r="R9" i="6"/>
  <c r="AB26" i="6"/>
  <c r="R44" i="6"/>
  <c r="AC41" i="6"/>
  <c r="AB62" i="6"/>
  <c r="AC5" i="6"/>
  <c r="AC14" i="6"/>
  <c r="AD47" i="6"/>
  <c r="AB10" i="6"/>
  <c r="Z3" i="6"/>
  <c r="AC51" i="6"/>
  <c r="AC53" i="6"/>
  <c r="AC35" i="6"/>
  <c r="W25" i="1"/>
  <c r="Y4" i="1"/>
  <c r="AB26" i="1"/>
  <c r="Y6" i="1"/>
  <c r="AC21" i="1"/>
  <c r="AC53" i="1"/>
  <c r="AD5" i="1"/>
  <c r="AD70" i="1"/>
  <c r="AB46" i="1"/>
  <c r="AD13" i="1"/>
  <c r="AC22" i="1"/>
  <c r="AB54" i="1"/>
  <c r="AB56" i="1"/>
  <c r="AB37" i="1"/>
  <c r="AC52" i="1"/>
  <c r="AB9" i="1"/>
  <c r="AD55" i="1"/>
  <c r="Z8" i="1"/>
  <c r="AD63" i="1"/>
  <c r="AB17" i="1"/>
  <c r="AC4" i="1"/>
  <c r="AD45" i="1"/>
  <c r="AD64" i="1"/>
  <c r="AC8" i="1"/>
  <c r="AC32" i="1"/>
  <c r="AC27" i="1"/>
  <c r="AD59" i="1"/>
  <c r="AC33" i="1"/>
  <c r="AB68" i="1"/>
  <c r="S45" i="1"/>
  <c r="AC67" i="1"/>
  <c r="AB66" i="1"/>
  <c r="R22" i="1"/>
  <c r="AD21" i="1"/>
  <c r="AC30" i="1"/>
  <c r="AD30" i="1"/>
  <c r="AD39" i="1"/>
  <c r="AC41" i="1"/>
  <c r="AC40" i="1"/>
  <c r="AB24" i="1"/>
  <c r="AD7" i="1"/>
  <c r="AB18" i="1"/>
  <c r="R52" i="1"/>
  <c r="R53" i="1"/>
  <c r="AC60" i="1"/>
  <c r="AC16" i="1"/>
  <c r="AB12" i="1"/>
  <c r="AD41" i="1"/>
  <c r="AD40" i="1"/>
  <c r="AD52" i="1"/>
  <c r="AC26" i="1"/>
  <c r="AB47" i="1"/>
  <c r="AD38" i="1"/>
  <c r="AC5" i="1"/>
  <c r="AC13" i="1"/>
  <c r="AB43" i="1"/>
  <c r="AC43" i="1"/>
  <c r="AC65" i="1"/>
  <c r="AB49" i="1"/>
  <c r="AB29" i="1"/>
  <c r="AC29" i="1"/>
  <c r="AC51" i="1"/>
  <c r="AB69" i="1"/>
  <c r="AB53" i="1"/>
  <c r="AD31" i="1"/>
  <c r="AC47" i="1"/>
  <c r="AC17" i="1"/>
  <c r="R59" i="1"/>
  <c r="AD20" i="1"/>
  <c r="AB57" i="1"/>
  <c r="AC68" i="1"/>
  <c r="R21" i="1"/>
  <c r="AB65" i="1"/>
  <c r="R16" i="1"/>
  <c r="AB28" i="1"/>
  <c r="AC28" i="1"/>
  <c r="AC55" i="1"/>
  <c r="AB63" i="1"/>
  <c r="AC61" i="1"/>
  <c r="AC56" i="1"/>
  <c r="AB58" i="1"/>
  <c r="AC31" i="1"/>
  <c r="AC9" i="1"/>
  <c r="AC6" i="1"/>
  <c r="AC20" i="1"/>
  <c r="AB48" i="1"/>
  <c r="R13" i="1"/>
  <c r="AC37" i="1"/>
  <c r="AD22" i="1"/>
  <c r="AB55" i="1"/>
  <c r="AB70" i="1"/>
  <c r="AC24" i="1"/>
  <c r="AB19" i="1"/>
  <c r="AD69" i="1"/>
  <c r="AB34" i="1"/>
  <c r="AC36" i="1"/>
  <c r="AD50" i="1"/>
  <c r="AC54" i="1"/>
  <c r="AB59" i="1"/>
  <c r="Z5" i="1"/>
  <c r="AD4" i="1"/>
  <c r="AC45" i="1"/>
  <c r="AD16" i="1"/>
  <c r="AD8" i="1"/>
  <c r="AB10" i="1"/>
  <c r="AB62" i="1"/>
  <c r="AD19" i="1"/>
  <c r="AD56" i="1"/>
  <c r="AB35" i="1"/>
  <c r="AC23" i="1"/>
  <c r="AB25" i="1"/>
  <c r="AD9" i="1"/>
  <c r="U53" i="6"/>
  <c r="AD53" i="6"/>
  <c r="AC52" i="6"/>
  <c r="AD9" i="6"/>
  <c r="AD18" i="6"/>
  <c r="AC66" i="6"/>
  <c r="AB32" i="6"/>
  <c r="AD40" i="6"/>
  <c r="AD51" i="6"/>
  <c r="AD39" i="6"/>
  <c r="AB37" i="6"/>
  <c r="AB48" i="6"/>
  <c r="AD74" i="6"/>
  <c r="AD71" i="6"/>
  <c r="AD21" i="6"/>
  <c r="AB14" i="6"/>
  <c r="AD48" i="6"/>
  <c r="AB54" i="6"/>
  <c r="AC74" i="6"/>
  <c r="AB28" i="6"/>
  <c r="AC29" i="6"/>
  <c r="AD17" i="6"/>
  <c r="AD68" i="6"/>
  <c r="AB38" i="6"/>
  <c r="AC38" i="6"/>
  <c r="AC19" i="6"/>
  <c r="AC21" i="6"/>
  <c r="AC12" i="6"/>
  <c r="AC50" i="6"/>
  <c r="AC76" i="6"/>
  <c r="AC75" i="6"/>
  <c r="S37" i="6"/>
  <c r="S48" i="6"/>
  <c r="AC15" i="6"/>
  <c r="AD15" i="6"/>
  <c r="R77" i="6"/>
  <c r="X77" i="6" s="1"/>
  <c r="Y77" i="6" s="1"/>
  <c r="R48" i="6"/>
  <c r="S54" i="6"/>
  <c r="AC36" i="6"/>
  <c r="AC13" i="6"/>
  <c r="AB55" i="6"/>
  <c r="AC17" i="6"/>
  <c r="R68" i="6"/>
  <c r="X68" i="6" s="1"/>
  <c r="AB25" i="6"/>
  <c r="AB67" i="6"/>
  <c r="R12" i="6"/>
  <c r="AC46" i="6"/>
  <c r="AB47" i="6"/>
  <c r="AD3" i="6"/>
  <c r="AC63" i="6"/>
  <c r="Y7" i="6"/>
  <c r="AB73" i="6"/>
  <c r="AD69" i="6"/>
  <c r="AD27" i="6"/>
  <c r="AD11" i="6"/>
  <c r="AB20" i="6"/>
  <c r="AB18" i="6"/>
  <c r="AC67" i="6"/>
  <c r="AD67" i="6"/>
  <c r="AB58" i="6"/>
  <c r="R32" i="6"/>
  <c r="AC43" i="6"/>
  <c r="AD24" i="6"/>
  <c r="AD25" i="6"/>
  <c r="Z6" i="6"/>
  <c r="AD28" i="6"/>
  <c r="AC27" i="6"/>
  <c r="AC64" i="6"/>
  <c r="AC20" i="6"/>
  <c r="AB56" i="6"/>
  <c r="AC45" i="6"/>
  <c r="AB44" i="6"/>
  <c r="AD33" i="6"/>
  <c r="AB49" i="6"/>
  <c r="AC28" i="6"/>
  <c r="AB61" i="6"/>
  <c r="AC11" i="6"/>
  <c r="AB66" i="6"/>
  <c r="AC10" i="6"/>
  <c r="AD44" i="6"/>
  <c r="AC57" i="6"/>
  <c r="X71" i="6"/>
  <c r="X76" i="6"/>
  <c r="X73" i="6"/>
  <c r="T14" i="6"/>
  <c r="AD77" i="6"/>
  <c r="AB75" i="6"/>
  <c r="T75" i="6"/>
  <c r="X75" i="6" s="1"/>
  <c r="R39" i="6"/>
  <c r="AC37" i="6"/>
  <c r="AD63" i="6"/>
  <c r="AB24" i="6"/>
  <c r="AC54" i="6"/>
  <c r="AD36" i="6"/>
  <c r="AB33" i="6"/>
  <c r="AC23" i="6"/>
  <c r="AD60" i="6"/>
  <c r="AB35" i="6"/>
  <c r="R14" i="6"/>
  <c r="S24" i="6"/>
  <c r="R74" i="6"/>
  <c r="X74" i="6" s="1"/>
  <c r="AD49" i="6"/>
  <c r="AB23" i="6"/>
  <c r="R13" i="6"/>
  <c r="AC60" i="6"/>
  <c r="AD72" i="6"/>
  <c r="AB15" i="6"/>
  <c r="AD14" i="6"/>
  <c r="AB77" i="6"/>
  <c r="AD8" i="6"/>
  <c r="AB63" i="6"/>
  <c r="AD7" i="6"/>
  <c r="AB36" i="6"/>
  <c r="R33" i="6"/>
  <c r="AC49" i="6"/>
  <c r="AD62" i="6"/>
  <c r="AB60" i="6"/>
  <c r="R35" i="6"/>
  <c r="AC72" i="6"/>
  <c r="AD55" i="6"/>
  <c r="AC39" i="6"/>
  <c r="AD76" i="6"/>
  <c r="AC8" i="6"/>
  <c r="AD16" i="6"/>
  <c r="AC7" i="6"/>
  <c r="AD73" i="6"/>
  <c r="AC62" i="6"/>
  <c r="AD22" i="6"/>
  <c r="AB72" i="6"/>
  <c r="R15" i="6"/>
  <c r="AC55" i="6"/>
  <c r="AC16" i="6"/>
  <c r="AD34" i="6"/>
  <c r="AC73" i="6"/>
  <c r="AD41" i="6"/>
  <c r="AC22" i="6"/>
  <c r="AB8" i="6"/>
  <c r="AB76" i="6"/>
  <c r="AC71" i="6"/>
  <c r="AD57" i="6"/>
  <c r="AC34" i="6"/>
  <c r="AB34" i="6"/>
  <c r="AB41" i="6"/>
  <c r="X41" i="6" s="1"/>
  <c r="AD35" i="6"/>
  <c r="AB71" i="6"/>
  <c r="AB16" i="6"/>
  <c r="AD75" i="6"/>
  <c r="AD37" i="6"/>
  <c r="AC24" i="6"/>
  <c r="AD54" i="6"/>
  <c r="AB74" i="6"/>
  <c r="AC33" i="6"/>
  <c r="AD23" i="6"/>
  <c r="AB13" i="6"/>
  <c r="AB57" i="6"/>
  <c r="AB70" i="6"/>
  <c r="V70" i="6"/>
  <c r="X70" i="6" s="1"/>
  <c r="AD42" i="6"/>
  <c r="X69" i="6"/>
  <c r="AC42" i="6"/>
  <c r="AB42" i="6"/>
  <c r="AC59" i="6"/>
  <c r="AC70" i="6"/>
  <c r="AD59" i="6"/>
  <c r="AB59" i="6"/>
  <c r="AB29" i="6"/>
  <c r="AC69" i="6"/>
  <c r="AB68" i="6"/>
  <c r="AD70" i="6"/>
  <c r="AB69" i="6"/>
  <c r="R29" i="6"/>
  <c r="AD31" i="6"/>
  <c r="AB27" i="6"/>
  <c r="Z5" i="6"/>
  <c r="R5" i="6"/>
  <c r="AD30" i="6"/>
  <c r="AB9" i="6"/>
  <c r="R20" i="6"/>
  <c r="AC18" i="6"/>
  <c r="U18" i="6"/>
  <c r="S67" i="6"/>
  <c r="AD26" i="6"/>
  <c r="V26" i="6"/>
  <c r="AB50" i="6"/>
  <c r="T50" i="6"/>
  <c r="R66" i="6"/>
  <c r="X66" i="6" s="1"/>
  <c r="AC32" i="6"/>
  <c r="U32" i="6"/>
  <c r="S47" i="6"/>
  <c r="AD56" i="6"/>
  <c r="AB51" i="6"/>
  <c r="AC3" i="6"/>
  <c r="R59" i="6"/>
  <c r="AD6" i="6"/>
  <c r="AB17" i="6"/>
  <c r="T17" i="6"/>
  <c r="AC31" i="6"/>
  <c r="S27" i="6"/>
  <c r="AD61" i="6"/>
  <c r="AB64" i="6"/>
  <c r="R38" i="6"/>
  <c r="AC30" i="6"/>
  <c r="S9" i="6"/>
  <c r="AD19" i="6"/>
  <c r="X19" i="6" s="1"/>
  <c r="R67" i="6"/>
  <c r="X67" i="6" s="1"/>
  <c r="AC26" i="6"/>
  <c r="AD58" i="6"/>
  <c r="R47" i="6"/>
  <c r="AC56" i="6"/>
  <c r="S51" i="6"/>
  <c r="AD4" i="6"/>
  <c r="R10" i="6"/>
  <c r="AC6" i="6"/>
  <c r="AB31" i="6"/>
  <c r="AC61" i="6"/>
  <c r="AC58" i="6"/>
  <c r="AD46" i="6"/>
  <c r="AC4" i="6"/>
  <c r="AD43" i="6"/>
  <c r="R18" i="6"/>
  <c r="AD29" i="6"/>
  <c r="AB53" i="6"/>
  <c r="X53" i="6" s="1"/>
  <c r="AC25" i="6"/>
  <c r="AD5" i="6"/>
  <c r="AB52" i="6"/>
  <c r="X52" i="6" s="1"/>
  <c r="AD20" i="6"/>
  <c r="AB21" i="6"/>
  <c r="X21" i="6" s="1"/>
  <c r="AD66" i="6"/>
  <c r="AB46" i="6"/>
  <c r="AC40" i="6"/>
  <c r="AD45" i="6"/>
  <c r="AB43" i="6"/>
  <c r="AD38" i="6"/>
  <c r="AB11" i="6"/>
  <c r="AB12" i="6"/>
  <c r="X12" i="6" s="1"/>
  <c r="AB40" i="6"/>
  <c r="Z4" i="6"/>
  <c r="AD10" i="6"/>
  <c r="V10" i="6"/>
  <c r="AC47" i="6"/>
  <c r="V51" i="6"/>
  <c r="AB45" i="6"/>
  <c r="AB41" i="1"/>
  <c r="T41" i="1"/>
  <c r="R51" i="1"/>
  <c r="AC63" i="1"/>
  <c r="U63" i="1"/>
  <c r="S70" i="1"/>
  <c r="AD46" i="1"/>
  <c r="AB40" i="1"/>
  <c r="T40" i="1"/>
  <c r="R24" i="1"/>
  <c r="AC19" i="1"/>
  <c r="U19" i="1"/>
  <c r="S56" i="1"/>
  <c r="AD18" i="1"/>
  <c r="AB52" i="1"/>
  <c r="R26" i="1"/>
  <c r="AC69" i="1"/>
  <c r="AD23" i="1"/>
  <c r="R47" i="1"/>
  <c r="AC70" i="1"/>
  <c r="AD15" i="1"/>
  <c r="R8" i="1"/>
  <c r="AC15" i="1"/>
  <c r="AD42" i="1"/>
  <c r="R70" i="1"/>
  <c r="AC46" i="1"/>
  <c r="AD61" i="1"/>
  <c r="AC18" i="1"/>
  <c r="AD35" i="1"/>
  <c r="R17" i="1"/>
  <c r="AD14" i="1"/>
  <c r="AC35" i="1"/>
  <c r="AD11" i="1"/>
  <c r="AB23" i="1"/>
  <c r="R54" i="1"/>
  <c r="AC25" i="1"/>
  <c r="AD60" i="1"/>
  <c r="AC42" i="1"/>
  <c r="AC14" i="1"/>
  <c r="AD62" i="1"/>
  <c r="AB61" i="1"/>
  <c r="AC7" i="1"/>
  <c r="AD58" i="1"/>
  <c r="R69" i="1"/>
  <c r="X69" i="1" s="1"/>
  <c r="AC11" i="1"/>
  <c r="AB15" i="1"/>
  <c r="AB42" i="1"/>
  <c r="AC10" i="1"/>
  <c r="AD51" i="1"/>
  <c r="AB14" i="1"/>
  <c r="R46" i="1"/>
  <c r="AC62" i="1"/>
  <c r="AD24" i="1"/>
  <c r="V24" i="1"/>
  <c r="AC58" i="1"/>
  <c r="AD26" i="1"/>
  <c r="AB11" i="1"/>
  <c r="AD47" i="1"/>
  <c r="AB60" i="1"/>
  <c r="AB51" i="1"/>
  <c r="AD10" i="1"/>
  <c r="V56" i="1"/>
  <c r="W52" i="1"/>
  <c r="U26" i="1"/>
  <c r="AD53" i="1"/>
  <c r="V53" i="1"/>
  <c r="AB31" i="1"/>
  <c r="AD17" i="1"/>
  <c r="V17" i="1"/>
  <c r="AD54" i="1"/>
  <c r="X67" i="1"/>
  <c r="X64" i="1"/>
  <c r="R5" i="1"/>
  <c r="AC38" i="1"/>
  <c r="AD6" i="1"/>
  <c r="AB38" i="1"/>
  <c r="R68" i="1"/>
  <c r="AD48" i="1"/>
  <c r="R37" i="1"/>
  <c r="AD66" i="1"/>
  <c r="AB21" i="1"/>
  <c r="R65" i="1"/>
  <c r="X65" i="1" s="1"/>
  <c r="AD12" i="1"/>
  <c r="AB30" i="1"/>
  <c r="R55" i="1"/>
  <c r="AC64" i="1"/>
  <c r="AB33" i="1"/>
  <c r="AB27" i="1"/>
  <c r="R33" i="1"/>
  <c r="S38" i="1"/>
  <c r="AD57" i="1"/>
  <c r="AB20" i="1"/>
  <c r="T20" i="1"/>
  <c r="R27" i="1"/>
  <c r="AC48" i="1"/>
  <c r="U48" i="1"/>
  <c r="S4" i="1"/>
  <c r="AD3" i="1"/>
  <c r="AB45" i="1"/>
  <c r="R43" i="1"/>
  <c r="AC66" i="1"/>
  <c r="U66" i="1"/>
  <c r="X66" i="1" s="1"/>
  <c r="S21" i="1"/>
  <c r="AD34" i="1"/>
  <c r="V34" i="1"/>
  <c r="AB16" i="1"/>
  <c r="W36" i="1"/>
  <c r="R28" i="1"/>
  <c r="AC12" i="1"/>
  <c r="U12" i="1"/>
  <c r="S30" i="1"/>
  <c r="AD49" i="1"/>
  <c r="AB64" i="1"/>
  <c r="R29" i="1"/>
  <c r="AC59" i="1"/>
  <c r="S59" i="1"/>
  <c r="AC57" i="1"/>
  <c r="AD32" i="1"/>
  <c r="AC3" i="1"/>
  <c r="AD67" i="1"/>
  <c r="AC34" i="1"/>
  <c r="AD36" i="1"/>
  <c r="AC49" i="1"/>
  <c r="AC39" i="1"/>
  <c r="AD68" i="1"/>
  <c r="AB32" i="1"/>
  <c r="X32" i="1" s="1"/>
  <c r="AD37" i="1"/>
  <c r="AB67" i="1"/>
  <c r="AB36" i="1"/>
  <c r="AC50" i="1"/>
  <c r="AB39" i="1"/>
  <c r="U68" i="1"/>
  <c r="AD27" i="1"/>
  <c r="AB13" i="1"/>
  <c r="Z3" i="1"/>
  <c r="AD43" i="1"/>
  <c r="AB22" i="1"/>
  <c r="AD28" i="1"/>
  <c r="AB50" i="1"/>
  <c r="AD29" i="1"/>
  <c r="AD33" i="1"/>
  <c r="Z72" i="6" l="1"/>
  <c r="X28" i="6"/>
  <c r="X58" i="6"/>
  <c r="X64" i="6"/>
  <c r="X22" i="6"/>
  <c r="X25" i="6"/>
  <c r="X61" i="6"/>
  <c r="Z61" i="6" s="1"/>
  <c r="X48" i="6"/>
  <c r="Z48" i="6" s="1"/>
  <c r="X37" i="6"/>
  <c r="Z37" i="6" s="1"/>
  <c r="X16" i="6"/>
  <c r="Z77" i="6"/>
  <c r="X9" i="6"/>
  <c r="X11" i="6"/>
  <c r="X13" i="1"/>
  <c r="Z13" i="1" s="1"/>
  <c r="X9" i="1"/>
  <c r="X16" i="1"/>
  <c r="X50" i="1"/>
  <c r="X49" i="1"/>
  <c r="X45" i="1"/>
  <c r="X31" i="1"/>
  <c r="X19" i="1"/>
  <c r="Z19" i="1" s="1"/>
  <c r="X50" i="6"/>
  <c r="X44" i="6"/>
  <c r="Z44" i="6" s="1"/>
  <c r="X34" i="6"/>
  <c r="Z34" i="6" s="1"/>
  <c r="X68" i="1"/>
  <c r="X57" i="6"/>
  <c r="Z57" i="6" s="1"/>
  <c r="X31" i="6"/>
  <c r="X27" i="6"/>
  <c r="Z27" i="6" s="1"/>
  <c r="X8" i="6"/>
  <c r="X36" i="6"/>
  <c r="Z36" i="6" s="1"/>
  <c r="X60" i="6"/>
  <c r="Z60" i="6" s="1"/>
  <c r="X43" i="6"/>
  <c r="Z43" i="6" s="1"/>
  <c r="X49" i="6"/>
  <c r="Z49" i="6" s="1"/>
  <c r="X13" i="6"/>
  <c r="Z13" i="6" s="1"/>
  <c r="X18" i="6"/>
  <c r="X62" i="6"/>
  <c r="Z62" i="6" s="1"/>
  <c r="X63" i="6"/>
  <c r="Z63" i="6" s="1"/>
  <c r="X27" i="1"/>
  <c r="Z27" i="1" s="1"/>
  <c r="X15" i="1"/>
  <c r="X18" i="1"/>
  <c r="Z18" i="1" s="1"/>
  <c r="X25" i="1"/>
  <c r="Z25" i="1" s="1"/>
  <c r="X22" i="1"/>
  <c r="X34" i="1"/>
  <c r="X30" i="1"/>
  <c r="X52" i="1"/>
  <c r="Z52" i="1" s="1"/>
  <c r="X58" i="1"/>
  <c r="Z58" i="1" s="1"/>
  <c r="X12" i="1"/>
  <c r="Z12" i="1" s="1"/>
  <c r="X57" i="1"/>
  <c r="Z57" i="1" s="1"/>
  <c r="X20" i="1"/>
  <c r="Z20" i="1" s="1"/>
  <c r="X55" i="1"/>
  <c r="X63" i="1"/>
  <c r="Z63" i="1" s="1"/>
  <c r="X17" i="1"/>
  <c r="Z17" i="1" s="1"/>
  <c r="X39" i="1"/>
  <c r="Z39" i="1" s="1"/>
  <c r="X59" i="1"/>
  <c r="Z59" i="1" s="1"/>
  <c r="X36" i="1"/>
  <c r="Z36" i="1" s="1"/>
  <c r="X60" i="1"/>
  <c r="Z60" i="1" s="1"/>
  <c r="X29" i="1"/>
  <c r="Z29" i="1" s="1"/>
  <c r="X38" i="1"/>
  <c r="X53" i="1"/>
  <c r="Z53" i="1" s="1"/>
  <c r="X14" i="1"/>
  <c r="Z14" i="1" s="1"/>
  <c r="X23" i="1"/>
  <c r="Z23" i="1" s="1"/>
  <c r="X24" i="1"/>
  <c r="Z24" i="1" s="1"/>
  <c r="X41" i="1"/>
  <c r="Z41" i="1" s="1"/>
  <c r="X33" i="1"/>
  <c r="Z33" i="1" s="1"/>
  <c r="X11" i="1"/>
  <c r="Z11" i="1" s="1"/>
  <c r="X61" i="1"/>
  <c r="Z61" i="1" s="1"/>
  <c r="X70" i="1"/>
  <c r="Z70" i="1" s="1"/>
  <c r="X40" i="1"/>
  <c r="Z40" i="1" s="1"/>
  <c r="X48" i="1"/>
  <c r="Z48" i="1" s="1"/>
  <c r="X10" i="1"/>
  <c r="Z10" i="1" s="1"/>
  <c r="X62" i="1"/>
  <c r="Z62" i="1" s="1"/>
  <c r="X35" i="1"/>
  <c r="Z35" i="1" s="1"/>
  <c r="X42" i="1"/>
  <c r="Z42" i="1" s="1"/>
  <c r="X39" i="6"/>
  <c r="Z39" i="6" s="1"/>
  <c r="X23" i="6"/>
  <c r="Z23" i="6" s="1"/>
  <c r="X26" i="6"/>
  <c r="Z26" i="6" s="1"/>
  <c r="X56" i="6"/>
  <c r="X40" i="6"/>
  <c r="X46" i="6"/>
  <c r="Z46" i="6" s="1"/>
  <c r="X42" i="6"/>
  <c r="Z42" i="6" s="1"/>
  <c r="X54" i="6"/>
  <c r="Z54" i="6" s="1"/>
  <c r="X17" i="6"/>
  <c r="Z17" i="6" s="1"/>
  <c r="X32" i="6"/>
  <c r="X24" i="6"/>
  <c r="Z24" i="6" s="1"/>
  <c r="X55" i="6"/>
  <c r="Z55" i="6" s="1"/>
  <c r="X45" i="6"/>
  <c r="Z45" i="6" s="1"/>
  <c r="X51" i="6"/>
  <c r="Z51" i="6" s="1"/>
  <c r="X30" i="6"/>
  <c r="Z30" i="6" s="1"/>
  <c r="Z41" i="6"/>
  <c r="Z8" i="6"/>
  <c r="Z22" i="6"/>
  <c r="Y75" i="6"/>
  <c r="Z75" i="6"/>
  <c r="Z16" i="6"/>
  <c r="Z76" i="6"/>
  <c r="Y76" i="6"/>
  <c r="Z73" i="6"/>
  <c r="Y73" i="6"/>
  <c r="X35" i="6"/>
  <c r="Y74" i="6"/>
  <c r="Z74" i="6"/>
  <c r="Y71" i="6"/>
  <c r="Z71" i="6"/>
  <c r="X14" i="6"/>
  <c r="X15" i="6"/>
  <c r="X33" i="6"/>
  <c r="Z53" i="6"/>
  <c r="Z19" i="6"/>
  <c r="Z40" i="6"/>
  <c r="Z31" i="6"/>
  <c r="Z56" i="6"/>
  <c r="Z12" i="6"/>
  <c r="Z11" i="6"/>
  <c r="Z52" i="6"/>
  <c r="Z58" i="6"/>
  <c r="Z32" i="6"/>
  <c r="Z9" i="6"/>
  <c r="Z18" i="6"/>
  <c r="X10" i="6"/>
  <c r="X29" i="6"/>
  <c r="Z64" i="6"/>
  <c r="X38" i="6"/>
  <c r="X59" i="6"/>
  <c r="Y67" i="6"/>
  <c r="Z67" i="6"/>
  <c r="Z21" i="6"/>
  <c r="Y66" i="6"/>
  <c r="Z66" i="6"/>
  <c r="Z25" i="6"/>
  <c r="X47" i="6"/>
  <c r="Y68" i="6"/>
  <c r="Z68" i="6"/>
  <c r="Y69" i="6"/>
  <c r="Z69" i="6"/>
  <c r="Z70" i="6"/>
  <c r="Y70" i="6"/>
  <c r="X20" i="6"/>
  <c r="Z28" i="6"/>
  <c r="Z50" i="6"/>
  <c r="Z15" i="1"/>
  <c r="Y70" i="1"/>
  <c r="X56" i="1"/>
  <c r="Y69" i="1"/>
  <c r="Z69" i="1"/>
  <c r="X26" i="1"/>
  <c r="X46" i="1"/>
  <c r="X54" i="1"/>
  <c r="X47" i="1"/>
  <c r="X51" i="1"/>
  <c r="Z9" i="1"/>
  <c r="Z31" i="1"/>
  <c r="Y66" i="1"/>
  <c r="Z66" i="1"/>
  <c r="Z49" i="1"/>
  <c r="Z32" i="1"/>
  <c r="Z50" i="1"/>
  <c r="Z45" i="1"/>
  <c r="Z16" i="1"/>
  <c r="Z22" i="1"/>
  <c r="Z34" i="1"/>
  <c r="Z38" i="1"/>
  <c r="Y65" i="1"/>
  <c r="Z65" i="1"/>
  <c r="Z30" i="1"/>
  <c r="X37" i="1"/>
  <c r="Y64" i="1"/>
  <c r="Z64" i="1"/>
  <c r="Z55" i="1"/>
  <c r="Y67" i="1"/>
  <c r="Z67" i="1"/>
  <c r="X21" i="1"/>
  <c r="Y68" i="1"/>
  <c r="Z68" i="1"/>
  <c r="X28" i="1"/>
  <c r="X43" i="1"/>
  <c r="Z33" i="6" l="1"/>
  <c r="Z14" i="6"/>
  <c r="Z15" i="6"/>
  <c r="Z35" i="6"/>
  <c r="Z59" i="6"/>
  <c r="Z38" i="6"/>
  <c r="Z20" i="6"/>
  <c r="Z29" i="6"/>
  <c r="Z10" i="6"/>
  <c r="Z47" i="6"/>
  <c r="Z46" i="1"/>
  <c r="Z56" i="1"/>
  <c r="Z26" i="1"/>
  <c r="Z51" i="1"/>
  <c r="Z47" i="1"/>
  <c r="Z54" i="1"/>
  <c r="Z21" i="1"/>
  <c r="Z37" i="1"/>
  <c r="Z28" i="1"/>
  <c r="Z43" i="1"/>
  <c r="L44" i="1" l="1"/>
  <c r="R44" i="1" s="1"/>
  <c r="M44" i="1"/>
  <c r="S44" i="1" s="1"/>
  <c r="N44" i="1"/>
  <c r="T44" i="1" s="1"/>
  <c r="O44" i="1"/>
  <c r="U44" i="1" s="1"/>
  <c r="P44" i="1"/>
  <c r="V44" i="1" s="1"/>
  <c r="Q44" i="1"/>
  <c r="W44" i="1" s="1"/>
  <c r="AC44" i="1" l="1"/>
  <c r="AD44" i="1"/>
  <c r="AB44" i="1"/>
  <c r="L65" i="6"/>
  <c r="M65" i="6"/>
  <c r="N65" i="6"/>
  <c r="O65" i="6"/>
  <c r="P65" i="6"/>
  <c r="Q65" i="6"/>
  <c r="X44" i="1" l="1"/>
  <c r="AC65" i="6"/>
  <c r="AD65" i="6"/>
  <c r="AB65" i="6"/>
  <c r="W65" i="6"/>
  <c r="V65" i="6"/>
  <c r="U65" i="6"/>
  <c r="T65" i="6"/>
  <c r="S65" i="6"/>
  <c r="R65" i="6"/>
  <c r="Z44" i="1" l="1"/>
  <c r="Y18" i="1"/>
  <c r="Y24" i="1"/>
  <c r="Y41" i="1"/>
  <c r="Y42" i="1"/>
  <c r="Y29" i="1"/>
  <c r="Y59" i="1"/>
  <c r="Y57" i="1"/>
  <c r="Y15" i="1"/>
  <c r="Y56" i="1"/>
  <c r="Y53" i="1"/>
  <c r="Y58" i="1"/>
  <c r="Y9" i="1"/>
  <c r="Y45" i="1"/>
  <c r="Y36" i="1"/>
  <c r="Y38" i="1"/>
  <c r="Y49" i="1"/>
  <c r="Y62" i="1"/>
  <c r="Y51" i="1"/>
  <c r="Y54" i="1"/>
  <c r="Y20" i="1"/>
  <c r="Y12" i="1"/>
  <c r="Y28" i="1"/>
  <c r="Y52" i="1"/>
  <c r="Y19" i="1"/>
  <c r="Y60" i="1"/>
  <c r="Y21" i="1"/>
  <c r="Y33" i="1"/>
  <c r="Y43" i="1"/>
  <c r="Y17" i="1"/>
  <c r="Y14" i="1"/>
  <c r="Y11" i="1"/>
  <c r="Y47" i="1"/>
  <c r="Y25" i="1"/>
  <c r="Y50" i="1"/>
  <c r="Y39" i="1"/>
  <c r="Y61" i="1"/>
  <c r="Y26" i="1"/>
  <c r="Y35" i="1"/>
  <c r="Y27" i="1"/>
  <c r="Y13" i="1"/>
  <c r="Y16" i="1"/>
  <c r="Y10" i="1"/>
  <c r="Y23" i="1"/>
  <c r="Y48" i="1"/>
  <c r="Y34" i="1"/>
  <c r="Y30" i="1"/>
  <c r="Y55" i="1"/>
  <c r="Y46" i="1"/>
  <c r="Y31" i="1"/>
  <c r="Y63" i="1"/>
  <c r="Y40" i="1"/>
  <c r="Y32" i="1"/>
  <c r="Y22" i="1"/>
  <c r="Y37" i="1"/>
  <c r="X65" i="6"/>
  <c r="Y25" i="6" l="1"/>
  <c r="Y43" i="6"/>
  <c r="Y41" i="6"/>
  <c r="Y14" i="6"/>
  <c r="Y36" i="6"/>
  <c r="Y38" i="6"/>
  <c r="Y50" i="6"/>
  <c r="Y21" i="6"/>
  <c r="Y51" i="6"/>
  <c r="Y27" i="6"/>
  <c r="Y11" i="6"/>
  <c r="Y8" i="6"/>
  <c r="Y16" i="6"/>
  <c r="Y30" i="6"/>
  <c r="Y10" i="6"/>
  <c r="Y53" i="6"/>
  <c r="Y42" i="6"/>
  <c r="Y48" i="6"/>
  <c r="Y15" i="6"/>
  <c r="Y32" i="6"/>
  <c r="Y22" i="6"/>
  <c r="Y9" i="6"/>
  <c r="Y17" i="6"/>
  <c r="Y47" i="6"/>
  <c r="Y37" i="6"/>
  <c r="Y62" i="6"/>
  <c r="Y60" i="6"/>
  <c r="Y46" i="6"/>
  <c r="Y64" i="6"/>
  <c r="Y26" i="6"/>
  <c r="Y18" i="6"/>
  <c r="Y49" i="6"/>
  <c r="Y39" i="6"/>
  <c r="Y44" i="6"/>
  <c r="Y23" i="6"/>
  <c r="Y52" i="6"/>
  <c r="Y20" i="6"/>
  <c r="Y61" i="6"/>
  <c r="Y55" i="6"/>
  <c r="Y63" i="6"/>
  <c r="Y24" i="6"/>
  <c r="Y57" i="6"/>
  <c r="Y31" i="6"/>
  <c r="Y56" i="6"/>
  <c r="Y58" i="6"/>
  <c r="Y33" i="6"/>
  <c r="Y54" i="6"/>
  <c r="Y13" i="6"/>
  <c r="Y59" i="6"/>
  <c r="Y12" i="6"/>
  <c r="Y29" i="6"/>
  <c r="Y19" i="6"/>
  <c r="Y34" i="6"/>
  <c r="Y35" i="6"/>
  <c r="Y40" i="6"/>
  <c r="Y28" i="6"/>
  <c r="Y45" i="6"/>
  <c r="Y65" i="6"/>
  <c r="Z65" i="6"/>
  <c r="AA73" i="6" l="1"/>
  <c r="AA74" i="6"/>
  <c r="E74" i="6" s="1"/>
  <c r="AA7" i="6"/>
  <c r="AA60" i="6"/>
  <c r="AA36" i="6"/>
  <c r="E36" i="6" s="1"/>
  <c r="AA22" i="6"/>
  <c r="AA63" i="6"/>
  <c r="AA39" i="6"/>
  <c r="E39" i="6" s="1"/>
  <c r="AA44" i="6"/>
  <c r="AA41" i="6"/>
  <c r="AA75" i="6"/>
  <c r="AA33" i="6"/>
  <c r="AA49" i="6"/>
  <c r="E49" i="6" s="1"/>
  <c r="AA71" i="6"/>
  <c r="AA34" i="6"/>
  <c r="AA35" i="6"/>
  <c r="E35" i="6" s="1"/>
  <c r="AA23" i="6"/>
  <c r="AA15" i="6"/>
  <c r="AA14" i="6"/>
  <c r="AA76" i="6"/>
  <c r="E76" i="6" s="1"/>
  <c r="AA24" i="6"/>
  <c r="AA48" i="6"/>
  <c r="AA16" i="6"/>
  <c r="AA55" i="6"/>
  <c r="E55" i="6" s="1"/>
  <c r="AA8" i="6"/>
  <c r="AA62" i="6"/>
  <c r="AA72" i="6"/>
  <c r="AA57" i="6"/>
  <c r="E57" i="6" s="1"/>
  <c r="AA77" i="6"/>
  <c r="E77" i="6" s="1"/>
  <c r="AA54" i="6"/>
  <c r="AA13" i="6"/>
  <c r="AA37" i="6"/>
  <c r="E37" i="6" s="1"/>
  <c r="AA67" i="6"/>
  <c r="E67" i="6" s="1"/>
  <c r="AA68" i="6"/>
  <c r="E68" i="6" s="1"/>
  <c r="AA3" i="6"/>
  <c r="E3" i="6" s="1"/>
  <c r="AA18" i="6"/>
  <c r="AA12" i="6"/>
  <c r="AA29" i="6"/>
  <c r="AA46" i="6"/>
  <c r="AA5" i="6"/>
  <c r="E5" i="6" s="1"/>
  <c r="AA20" i="6"/>
  <c r="E20" i="6" s="1"/>
  <c r="AA19" i="6"/>
  <c r="AA59" i="6"/>
  <c r="AA52" i="6"/>
  <c r="AA32" i="6"/>
  <c r="E32" i="6" s="1"/>
  <c r="AA40" i="6"/>
  <c r="E40" i="6" s="1"/>
  <c r="AA10" i="6"/>
  <c r="E10" i="6" s="1"/>
  <c r="AA61" i="6"/>
  <c r="E61" i="6" s="1"/>
  <c r="AA11" i="6"/>
  <c r="AA45" i="6"/>
  <c r="E45" i="6" s="1"/>
  <c r="AA42" i="6"/>
  <c r="E42" i="6" s="1"/>
  <c r="AA43" i="6"/>
  <c r="E43" i="6" s="1"/>
  <c r="AA30" i="6"/>
  <c r="E30" i="6" s="1"/>
  <c r="AA27" i="6"/>
  <c r="AA50" i="6"/>
  <c r="E50" i="6" s="1"/>
  <c r="AA28" i="6"/>
  <c r="AA70" i="6"/>
  <c r="E70" i="6" s="1"/>
  <c r="AA31" i="6"/>
  <c r="AA53" i="6"/>
  <c r="E53" i="6" s="1"/>
  <c r="AA9" i="6"/>
  <c r="AA64" i="6"/>
  <c r="E64" i="6" s="1"/>
  <c r="AA56" i="6"/>
  <c r="AA25" i="6"/>
  <c r="AA6" i="6"/>
  <c r="E6" i="6" s="1"/>
  <c r="AA58" i="6"/>
  <c r="E58" i="6" s="1"/>
  <c r="AA4" i="6"/>
  <c r="E4" i="6" s="1"/>
  <c r="AA21" i="6"/>
  <c r="E21" i="6" s="1"/>
  <c r="AA47" i="6"/>
  <c r="AA69" i="6"/>
  <c r="E69" i="6" s="1"/>
  <c r="AA51" i="6"/>
  <c r="AA38" i="6"/>
  <c r="AA17" i="6"/>
  <c r="E17" i="6" s="1"/>
  <c r="AA26" i="6"/>
  <c r="AA66" i="6"/>
  <c r="E66" i="6" s="1"/>
  <c r="E75" i="6"/>
  <c r="E44" i="6"/>
  <c r="E60" i="6"/>
  <c r="E54" i="6"/>
  <c r="E72" i="6"/>
  <c r="E14" i="6"/>
  <c r="E63" i="6"/>
  <c r="E71" i="6"/>
  <c r="E73" i="6"/>
  <c r="AA65" i="6"/>
  <c r="E65" i="6" s="1"/>
  <c r="E7" i="6"/>
  <c r="E23" i="6"/>
  <c r="E16" i="6"/>
  <c r="E34" i="6"/>
  <c r="E41" i="6"/>
  <c r="E48" i="6"/>
  <c r="E15" i="6" l="1"/>
  <c r="E13" i="6"/>
  <c r="E28" i="6"/>
  <c r="E22" i="6"/>
  <c r="E33" i="6"/>
  <c r="E38" i="6"/>
  <c r="E25" i="6"/>
  <c r="E46" i="6"/>
  <c r="E51" i="6"/>
  <c r="E56" i="6"/>
  <c r="E27" i="6"/>
  <c r="E29" i="6"/>
  <c r="E12" i="6"/>
  <c r="E47" i="6"/>
  <c r="E9" i="6"/>
  <c r="E52" i="6"/>
  <c r="E18" i="6"/>
  <c r="E59" i="6"/>
  <c r="E8" i="6"/>
  <c r="E62" i="6"/>
  <c r="E31" i="6"/>
  <c r="E19" i="6"/>
  <c r="E24" i="6"/>
  <c r="E26" i="6"/>
  <c r="E11" i="6"/>
  <c r="Y44" i="1"/>
  <c r="AA15" i="1" l="1"/>
  <c r="AA17" i="1"/>
  <c r="AA46" i="1"/>
  <c r="AA18" i="1"/>
  <c r="AA19" i="1"/>
  <c r="AA69" i="1"/>
  <c r="E69" i="1" s="1"/>
  <c r="AA56" i="1"/>
  <c r="AA54" i="1"/>
  <c r="AA42" i="1"/>
  <c r="AA14" i="1"/>
  <c r="AA7" i="1"/>
  <c r="AA35" i="1"/>
  <c r="AA11" i="1"/>
  <c r="AA51" i="1"/>
  <c r="AA40" i="1"/>
  <c r="AA23" i="1"/>
  <c r="AA25" i="1"/>
  <c r="AA10" i="1"/>
  <c r="AA62" i="1"/>
  <c r="AA58" i="1"/>
  <c r="AA41" i="1"/>
  <c r="AA8" i="1"/>
  <c r="AA52" i="1"/>
  <c r="E52" i="1" s="1"/>
  <c r="AA24" i="1"/>
  <c r="E24" i="1" s="1"/>
  <c r="AA47" i="1"/>
  <c r="AA9" i="1"/>
  <c r="AA70" i="1"/>
  <c r="E70" i="1" s="1"/>
  <c r="AA26" i="1"/>
  <c r="AA60" i="1"/>
  <c r="AA53" i="1"/>
  <c r="AA63" i="1"/>
  <c r="AA31" i="1"/>
  <c r="E31" i="1" s="1"/>
  <c r="AA61" i="1"/>
  <c r="AA5" i="1"/>
  <c r="E5" i="1" s="1"/>
  <c r="AA66" i="1"/>
  <c r="E66" i="1" s="1"/>
  <c r="AA68" i="1"/>
  <c r="E68" i="1" s="1"/>
  <c r="AA4" i="1"/>
  <c r="E4" i="1" s="1"/>
  <c r="AA43" i="1"/>
  <c r="E43" i="1" s="1"/>
  <c r="AA13" i="1"/>
  <c r="AA33" i="1"/>
  <c r="AA37" i="1"/>
  <c r="E37" i="1" s="1"/>
  <c r="AA3" i="1"/>
  <c r="E3" i="1" s="1"/>
  <c r="AA34" i="1"/>
  <c r="E34" i="1" s="1"/>
  <c r="AA64" i="1"/>
  <c r="E64" i="1" s="1"/>
  <c r="AA28" i="1"/>
  <c r="AA49" i="1"/>
  <c r="E49" i="1" s="1"/>
  <c r="AA59" i="1"/>
  <c r="AA32" i="1"/>
  <c r="AA65" i="1"/>
  <c r="E65" i="1" s="1"/>
  <c r="AA55" i="1"/>
  <c r="E55" i="1" s="1"/>
  <c r="AA45" i="1"/>
  <c r="AA57" i="1"/>
  <c r="E57" i="1" s="1"/>
  <c r="AA16" i="1"/>
  <c r="E16" i="1" s="1"/>
  <c r="AA12" i="1"/>
  <c r="AA39" i="1"/>
  <c r="E39" i="1" s="1"/>
  <c r="AA50" i="1"/>
  <c r="AA67" i="1"/>
  <c r="E67" i="1" s="1"/>
  <c r="AA30" i="1"/>
  <c r="E30" i="1" s="1"/>
  <c r="AA27" i="1"/>
  <c r="AA21" i="1"/>
  <c r="AA36" i="1"/>
  <c r="E36" i="1" s="1"/>
  <c r="AA22" i="1"/>
  <c r="E22" i="1" s="1"/>
  <c r="AA48" i="1"/>
  <c r="E48" i="1" s="1"/>
  <c r="AA20" i="1"/>
  <c r="E20" i="1" s="1"/>
  <c r="AA29" i="1"/>
  <c r="AA38" i="1"/>
  <c r="E38" i="1" s="1"/>
  <c r="AA6" i="1"/>
  <c r="E6" i="1" s="1"/>
  <c r="E18" i="1"/>
  <c r="E63" i="1"/>
  <c r="E40" i="1"/>
  <c r="AA44" i="1"/>
  <c r="E44" i="1" s="1"/>
  <c r="E62" i="1"/>
  <c r="E46" i="1"/>
  <c r="E41" i="1"/>
  <c r="E54" i="1"/>
  <c r="E42" i="1"/>
  <c r="E7" i="1"/>
  <c r="E14" i="1"/>
  <c r="E10" i="1"/>
  <c r="E8" i="1"/>
  <c r="E51" i="1"/>
  <c r="E58" i="1"/>
  <c r="E15" i="1"/>
  <c r="E17" i="1"/>
  <c r="E19" i="1"/>
  <c r="E26" i="1" l="1"/>
  <c r="E25" i="1"/>
  <c r="E61" i="1"/>
  <c r="E29" i="1"/>
  <c r="E50" i="1"/>
  <c r="E32" i="1"/>
  <c r="E33" i="1"/>
  <c r="E47" i="1"/>
  <c r="E9" i="1"/>
  <c r="E59" i="1"/>
  <c r="E13" i="1"/>
  <c r="E35" i="1"/>
  <c r="E12" i="1"/>
  <c r="E60" i="1"/>
  <c r="E23" i="1"/>
  <c r="E28" i="1"/>
  <c r="E11" i="1"/>
  <c r="E53" i="1"/>
  <c r="E21" i="1"/>
  <c r="E56" i="1"/>
  <c r="E27" i="1"/>
  <c r="E45" i="1"/>
</calcChain>
</file>

<file path=xl/sharedStrings.xml><?xml version="1.0" encoding="utf-8"?>
<sst xmlns="http://schemas.openxmlformats.org/spreadsheetml/2006/main" count="367" uniqueCount="200">
  <si>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</si>
  <si>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</si>
  <si>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</si>
  <si>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</si>
  <si>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</si>
  <si>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</si>
  <si>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</si>
  <si>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</si>
  <si>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</si>
  <si>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</si>
  <si>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</si>
  <si>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</si>
  <si>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</si>
  <si>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</si>
  <si>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</si>
  <si>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</si>
  <si>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</si>
  <si>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</si>
  <si>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</si>
  <si>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</si>
  <si>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</si>
  <si>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</si>
  <si>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</si>
  <si>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</si>
  <si>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</si>
  <si>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</si>
  <si>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</si>
  <si>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</si>
  <si>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</si>
  <si>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</si>
  <si>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</si>
  <si>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</si>
  <si>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</si>
  <si>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</si>
  <si>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</si>
  <si>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</si>
  <si>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</si>
  <si>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</si>
  <si>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</si>
  <si>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</si>
  <si>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</si>
  <si>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</si>
  <si>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</si>
  <si>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</si>
  <si>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</si>
  <si>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</si>
  <si>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</si>
  <si>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</si>
  <si>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</si>
  <si>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</si>
  <si>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</si>
  <si>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</si>
  <si>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</si>
  <si>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</si>
  <si>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</si>
  <si>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</si>
  <si>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</si>
  <si>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</si>
  <si>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</si>
  <si>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</si>
  <si>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</si>
  <si>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</si>
  <si>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</si>
  <si>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</si>
  <si>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</si>
  <si>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</si>
  <si>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</si>
  <si>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</si>
  <si>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</si>
  <si>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</si>
  <si>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</si>
  <si>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</si>
  <si>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</si>
  <si>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</si>
  <si>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</si>
  <si>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</si>
  <si>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</si>
  <si>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</si>
  <si>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</si>
  <si>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</si>
  <si>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</si>
  <si>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</si>
  <si>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</si>
  <si>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</si>
  <si>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</si>
  <si>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</si>
  <si>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</si>
  <si>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</si>
  <si>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</si>
  <si>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</si>
  <si>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</si>
  <si>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</si>
  <si>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</si>
  <si>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</si>
  <si>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</si>
  <si>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</si>
  <si>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</si>
  <si>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</si>
  <si>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</si>
  <si>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</si>
  <si>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</si>
  <si>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</si>
  <si>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</si>
  <si>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</si>
  <si>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</si>
  <si>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</si>
  <si>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</si>
  <si>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</si>
  <si>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</si>
  <si>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</si>
  <si>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</si>
  <si>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</si>
  <si>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</si>
  <si>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</si>
  <si>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</si>
  <si>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</si>
  <si>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</si>
  <si>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</si>
  <si>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</si>
  <si>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</si>
  <si>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</si>
  <si>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</si>
  <si>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</si>
  <si>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</si>
  <si>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</si>
  <si>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</si>
  <si>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</si>
  <si>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</si>
  <si>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</si>
  <si>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</si>
  <si>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</si>
  <si>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</si>
  <si>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</si>
  <si>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</si>
  <si>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</si>
  <si>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</si>
  <si>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</si>
  <si>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</si>
  <si>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</si>
  <si>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</si>
  <si>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</si>
  <si>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</si>
  <si>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</si>
  <si>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</si>
  <si>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</si>
  <si>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</si>
  <si>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</si>
  <si>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</si>
  <si>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</si>
  <si>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</si>
  <si>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</si>
  <si>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</si>
  <si>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</si>
  <si>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</si>
  <si>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</si>
  <si>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</si>
  <si>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</si>
  <si>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</si>
  <si>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</si>
  <si>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</si>
  <si>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</si>
  <si>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</si>
  <si>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</si>
  <si>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</si>
  <si>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</si>
  <si>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</si>
  <si>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</si>
  <si>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</si>
  <si>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</si>
  <si>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Ricardo Santos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</si>
  <si>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</si>
  <si>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</si>
  <si>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</si>
  <si>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</si>
  <si>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</si>
  <si>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</si>
  <si>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</si>
  <si>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</si>
  <si>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</si>
  <si>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</si>
  <si>
    <t>Vera Beliankina</t>
  </si>
  <si>
    <t>Rachel Tam</t>
  </si>
  <si>
    <t>Melania Rodriguez</t>
  </si>
  <si>
    <t>Alyssa Oh</t>
  </si>
  <si>
    <t>Andrew Stamp</t>
  </si>
  <si>
    <t>Morgan Demiro-O-Demiro</t>
  </si>
  <si>
    <t>Luis Loria</t>
  </si>
  <si>
    <t>Ruben Padilla</t>
  </si>
  <si>
    <t>Pirmammad Aliyev</t>
  </si>
  <si>
    <t>P</t>
  </si>
  <si>
    <t>Iana Lebedeva</t>
  </si>
  <si>
    <t>Charlotte Drury</t>
  </si>
  <si>
    <t>Palina Shadzko</t>
  </si>
  <si>
    <t>Katsiaryna Yarshova</t>
  </si>
  <si>
    <t>Setjan Mahsudova</t>
  </si>
  <si>
    <t>AZE</t>
  </si>
  <si>
    <t>Allaksai Dudarau</t>
  </si>
  <si>
    <t>Keegan Soehn</t>
  </si>
  <si>
    <t>Maans Aaberg</t>
  </si>
  <si>
    <t>Anton Davydenko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</si>
</sst>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J102"/>
  <sheetViews>
    <sheetView tabSelected="1" zoomScaleNormal="100"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14"/>
    <col min="28" max="30" width="10.83203125" hidden="1" customWidth="1"/>
  </cols>
  <sheetData>
    <row r="1" spans="1:36" s="10" customFormat="1" ht="16" customHeight="1" x14ac:dyDescent="0.2">
      <c r="A1" s="17" t="s">
        <v>0</v>
      </c>
      <c r="B1" s="17" t="s">
        <v>15</v>
      </c>
      <c r="C1" s="16" t="s">
        <v>113</v>
      </c>
      <c r="D1" s="16" t="s">
        <v>114</v>
      </c>
      <c r="E1" s="21" t="s">
        <v>61</v>
      </c>
      <c r="F1" s="18" t="s">
        <v>7</v>
      </c>
      <c r="G1" s="18"/>
      <c r="H1" s="18"/>
      <c r="I1" s="18"/>
      <c r="J1" s="18"/>
      <c r="K1" s="19"/>
      <c r="L1" s="20" t="s">
        <v>62</v>
      </c>
      <c r="M1" s="18"/>
      <c r="N1" s="18"/>
      <c r="O1" s="18"/>
      <c r="P1" s="18"/>
      <c r="Q1" s="19"/>
      <c r="R1" s="20" t="s">
        <v>8</v>
      </c>
      <c r="S1" s="18"/>
      <c r="T1" s="18"/>
      <c r="U1" s="18"/>
      <c r="V1" s="18"/>
      <c r="W1" s="19"/>
      <c r="X1" s="17" t="s">
        <v>9</v>
      </c>
      <c r="Y1" s="16" t="s">
        <v>63</v>
      </c>
      <c r="Z1" s="22" t="s">
        <v>115</v>
      </c>
      <c r="AA1" s="16" t="s">
        <v>111</v>
      </c>
      <c r="AB1" s="16" t="s">
        <v>152</v>
      </c>
      <c r="AC1" s="16" t="s">
        <v>153</v>
      </c>
      <c r="AD1" s="16" t="s">
        <v>154</v>
      </c>
      <c r="AE1" s="15" t="s">
        <v>112</v>
      </c>
      <c r="AF1" s="15"/>
      <c r="AG1" s="15"/>
      <c r="AH1" s="15"/>
      <c r="AI1" s="15"/>
      <c r="AJ1" s="15"/>
    </row>
    <row r="2" spans="1:36" s="10" customFormat="1" x14ac:dyDescent="0.2">
      <c r="A2" s="17"/>
      <c r="B2" s="17"/>
      <c r="C2" s="16"/>
      <c r="D2" s="16"/>
      <c r="E2" s="21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7"/>
      <c r="Y2" s="16"/>
      <c r="Z2" s="22"/>
      <c r="AA2" s="16"/>
      <c r="AB2" s="16"/>
      <c r="AC2" s="16"/>
      <c r="AD2" s="16"/>
      <c r="AE2" s="15"/>
      <c r="AF2" s="15"/>
      <c r="AG2" s="15"/>
      <c r="AH2" s="15"/>
      <c r="AI2" s="15"/>
      <c r="AJ2" s="15"/>
    </row>
    <row r="3" spans="1:36" x14ac:dyDescent="0.2">
      <c r="A3" s="7" t="s">
        <v>139</v>
      </c>
      <c r="B3" s="6" t="s">
        <v>18</v>
      </c>
      <c r="C3" s="5" t="s">
        <v>189</v>
      </c>
      <c r="E3" s="3" t="str">
        <f>IF(AA3="","",RANK(AA3,AA:AA))</f>
        <v/>
      </c>
      <c r="F3" s="6">
        <v>59</v>
      </c>
      <c r="G3" s="6">
        <v>4</v>
      </c>
      <c r="H3" s="6">
        <v>2</v>
      </c>
      <c r="I3" s="6">
        <v>3</v>
      </c>
      <c r="J3" s="6"/>
      <c r="K3" s="6"/>
      <c r="L3" s="1" t="str">
        <f>IF(OR($C3&lt;&gt;"",$D3&lt;&gt;"",F3=""),"",F3-SUMPRODUCT(--($C$3:$C$102="P"),--(F$3:F$102&lt;F3),--(F$3:F$102&lt;&gt;""))-SUMPRODUCT(--($D$3:$D$102="P"),--(F$3:F$102&lt;F3),--(F$3:F$102&lt;&gt;"")))</f>
        <v/>
      </c>
      <c r="M3" s="9" t="str">
        <f>IF(OR($C3&lt;&gt;"",$D3&lt;&gt;"",G3=""),"",G3-SUMPRODUCT(--($C$3:$C$102="P"),--(G$3:G$102&lt;G3),--(G$3:G$102&lt;&gt;""))-SUMPRODUCT(--($D$3:$D$102="P"),--(G$3:G$102&lt;G3),--(G$3:G$102&lt;&gt;"")))</f>
        <v/>
      </c>
      <c r="N3" s="9" t="str">
        <f>IF(OR($C3&lt;&gt;"",$D3&lt;&gt;"",H3=""),"",H3-SUMPRODUCT(--($C$3:$C$102="P"),--(H$3:H$102&lt;H3),--(H$3:H$102&lt;&gt;""))-SUMPRODUCT(--($D$3:$D$102="P"),--(H$3:H$102&lt;H3),--(H$3:H$102&lt;&gt;"")))</f>
        <v/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S3" s="1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1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1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4" t="str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/>
      </c>
      <c r="Y3" s="2" t="str">
        <f>IF(OR(X3="",X3=0),"",IF(SUMPRODUCT(--(B$3:B$102=B3),--(X$3:X$102&gt;X3),--(X$3:X$102&lt;&gt;"")),"","P"))</f>
        <v/>
      </c>
      <c r="Z3" s="2" t="str">
        <f>IF(X3="","",IF(SUMPRODUCT(--(C$3:C$102="P"),--(B$3:B$102=B3)),"P",""))</f>
        <v/>
      </c>
      <c r="AA3" s="14" t="str">
        <f>IF(AND(Y3&lt;&gt;"",OR(Z3="",SUMPRODUCT(--(X$3:X$102&gt;X3),--(Z$3:Z$102="P"),--(Y$3:Y$102="P"))&lt;4)),X3,"")</f>
        <v/>
      </c>
      <c r="AB3" s="9" t="str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/>
      </c>
      <c r="AC3" s="9">
        <f>COUNTIF(L3:Q3,"&lt;=8")</f>
        <v>0</v>
      </c>
      <c r="AD3" s="9">
        <f>MIN(L3:Q3)</f>
        <v>0</v>
      </c>
    </row>
    <row r="4" spans="1:36" x14ac:dyDescent="0.2">
      <c r="A4" s="7" t="s">
        <v>190</v>
      </c>
      <c r="B4" s="6" t="s">
        <v>20</v>
      </c>
      <c r="C4" s="5" t="s">
        <v>189</v>
      </c>
      <c r="E4" s="3" t="str">
        <f>IF(AA4="","",RANK(AA4,AA:AA))</f>
        <v/>
      </c>
      <c r="F4" s="6"/>
      <c r="G4" s="6"/>
      <c r="H4" s="6"/>
      <c r="I4" s="6"/>
      <c r="J4" s="6">
        <v>49</v>
      </c>
      <c r="K4" s="6"/>
      <c r="L4" s="9" t="str">
        <f>IF(OR($C4&lt;&gt;"",$D4&lt;&gt;"",F4=""),"",F4-SUMPRODUCT(--($C$3:$C$102="P"),--(F$3:F$102&lt;F4),--(F$3:F$102&lt;&gt;""))-SUMPRODUCT(--($D$3:$D$102="P"),--(F$3:F$102&lt;F4),--(F$3:F$102&lt;&gt;"")))</f>
        <v/>
      </c>
      <c r="M4" s="9" t="str">
        <f>IF(OR($C4&lt;&gt;"",$D4&lt;&gt;"",G4=""),"",G4-SUMPRODUCT(--($C$3:$C$102="P"),--(G$3:G$102&lt;G4),--(G$3:G$102&lt;&gt;""))-SUMPRODUCT(--($D$3:$D$102="P"),--(G$3:G$102&lt;G4),--(G$3:G$102&lt;&gt;"")))</f>
        <v/>
      </c>
      <c r="N4" s="9" t="str">
        <f>IF(OR($C4&lt;&gt;"",$D4&lt;&gt;"",H4=""),"",H4-SUMPRODUCT(--($C$3:$C$102="P"),--(H$3:H$102&lt;H4),--(H$3:H$102&lt;&gt;""))-SUMPRODUCT(--($D$3:$D$102="P"),--(H$3:H$102&lt;H4),--(H$3:H$102&lt;&gt;"")))</f>
        <v/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9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S4" s="9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9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4" t="str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/>
      </c>
      <c r="Y4" s="2" t="str">
        <f>IF(OR(X4="",X4=0),"",IF(SUMPRODUCT(--(B$3:B$102=B4),--(X$3:X$102&gt;X4),--(X$3:X$102&lt;&gt;"")),"","P"))</f>
        <v/>
      </c>
      <c r="Z4" s="2" t="str">
        <f>IF(X4="","",IF(SUMPRODUCT(--(C$3:C$102="P"),--(B$3:B$102=B4)),"P",""))</f>
        <v/>
      </c>
      <c r="AA4" s="14" t="str">
        <f>IF(AND(Y4&lt;&gt;"",OR(Z4="",SUMPRODUCT(--(X$3:X$102&gt;X4),--(Z$3:Z$102="P"),--(Y$3:Y$102="P"))&lt;4)),X4,"")</f>
        <v/>
      </c>
      <c r="AB4" s="9" t="str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/>
      </c>
      <c r="AC4" s="9">
        <f>COUNTIF(L4:Q4,"&lt;=8")</f>
        <v>0</v>
      </c>
      <c r="AD4" s="9">
        <f>MIN(L4:Q4)</f>
        <v>0</v>
      </c>
    </row>
    <row r="5" spans="1:36" x14ac:dyDescent="0.2">
      <c r="A5" s="7" t="s">
        <v>33</v>
      </c>
      <c r="B5" s="6" t="s">
        <v>24</v>
      </c>
      <c r="C5" s="5" t="s">
        <v>189</v>
      </c>
      <c r="E5" s="3" t="str">
        <f>IF(AA5="","",RANK(AA5,AA:AA))</f>
        <v/>
      </c>
      <c r="F5" s="6">
        <v>20</v>
      </c>
      <c r="G5" s="6">
        <v>6</v>
      </c>
      <c r="H5" s="6">
        <v>24</v>
      </c>
      <c r="I5" s="6">
        <v>17</v>
      </c>
      <c r="J5" s="6">
        <v>42</v>
      </c>
      <c r="K5" s="6"/>
      <c r="L5" s="9" t="str">
        <f>IF(OR($C5&lt;&gt;"",$D5&lt;&gt;"",F5=""),"",F5-SUMPRODUCT(--($C$3:$C$102="P"),--(F$3:F$102&lt;F5),--(F$3:F$102&lt;&gt;""))-SUMPRODUCT(--($D$3:$D$102="P"),--(F$3:F$102&lt;F5),--(F$3:F$102&lt;&gt;"")))</f>
        <v/>
      </c>
      <c r="M5" s="9" t="str">
        <f>IF(OR($C5&lt;&gt;"",$D5&lt;&gt;"",G5=""),"",G5-SUMPRODUCT(--($C$3:$C$102="P"),--(G$3:G$102&lt;G5),--(G$3:G$102&lt;&gt;""))-SUMPRODUCT(--($D$3:$D$102="P"),--(G$3:G$102&lt;G5),--(G$3:G$102&lt;&gt;"")))</f>
        <v/>
      </c>
      <c r="N5" s="9" t="str">
        <f>IF(OR($C5&lt;&gt;"",$D5&lt;&gt;"",H5=""),"",H5-SUMPRODUCT(--($C$3:$C$102="P"),--(H$3:H$102&lt;H5),--(H$3:H$102&lt;&gt;""))-SUMPRODUCT(--($D$3:$D$102="P"),--(H$3:H$102&lt;H5),--(H$3:H$102&lt;&gt;"")))</f>
        <v/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9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S5" s="9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9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4" t="str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/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4" t="str">
        <f>IF(AND(Y5&lt;&gt;"",OR(Z5="",SUMPRODUCT(--(X$3:X$102&gt;X5),--(Z$3:Z$102="P"),--(Y$3:Y$102="P"))&lt;4)),X5,"")</f>
        <v/>
      </c>
      <c r="AB5" s="9" t="str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/>
      </c>
      <c r="AC5" s="9">
        <f>COUNTIF(L5:Q5,"&lt;=8")</f>
        <v>0</v>
      </c>
      <c r="AD5" s="9">
        <f>MIN(L5:Q5)</f>
        <v>0</v>
      </c>
    </row>
    <row r="6" spans="1:36" x14ac:dyDescent="0.2">
      <c r="A6" s="7" t="s">
        <v>166</v>
      </c>
      <c r="B6" s="6" t="s">
        <v>22</v>
      </c>
      <c r="C6" s="5" t="s">
        <v>189</v>
      </c>
      <c r="E6" s="3" t="str">
        <f>IF(AA6="","",RANK(AA6,AA:AA))</f>
        <v/>
      </c>
      <c r="F6" s="6">
        <v>10</v>
      </c>
      <c r="G6" s="6">
        <v>63</v>
      </c>
      <c r="H6" s="6">
        <v>41</v>
      </c>
      <c r="I6" s="6">
        <v>12</v>
      </c>
      <c r="J6" s="6">
        <v>13</v>
      </c>
      <c r="K6" s="6"/>
      <c r="L6" s="9" t="str">
        <f>IF(OR($C6&lt;&gt;"",$D6&lt;&gt;"",F6=""),"",F6-SUMPRODUCT(--($C$3:$C$102="P"),--(F$3:F$102&lt;F6),--(F$3:F$102&lt;&gt;""))-SUMPRODUCT(--($D$3:$D$102="P"),--(F$3:F$102&lt;F6),--(F$3:F$102&lt;&gt;"")))</f>
        <v/>
      </c>
      <c r="M6" s="9" t="str">
        <f>IF(OR($C6&lt;&gt;"",$D6&lt;&gt;"",G6=""),"",G6-SUMPRODUCT(--($C$3:$C$102="P"),--(G$3:G$102&lt;G6),--(G$3:G$102&lt;&gt;""))-SUMPRODUCT(--($D$3:$D$102="P"),--(G$3:G$102&lt;G6),--(G$3:G$102&lt;&gt;"")))</f>
        <v/>
      </c>
      <c r="N6" s="9" t="str">
        <f>IF(OR($C6&lt;&gt;"",$D6&lt;&gt;"",H6=""),"",H6-SUMPRODUCT(--($C$3:$C$102="P"),--(H$3:H$102&lt;H6),--(H$3:H$102&lt;&gt;""))-SUMPRODUCT(--($D$3:$D$102="P"),--(H$3:H$102&lt;H6),--(H$3:H$102&lt;&gt;"")))</f>
        <v/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9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S6" s="9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9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4" t="str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/>
      </c>
      <c r="Y6" s="2" t="str">
        <f>IF(OR(X6="",X6=0),"",IF(SUMPRODUCT(--(B$3:B$102=B6),--(X$3:X$102&gt;X6),--(X$3:X$102&lt;&gt;"")),"","P"))</f>
        <v/>
      </c>
      <c r="Z6" s="2" t="str">
        <f>IF(X6="","",IF(SUMPRODUCT(--(C$3:C$102="P"),--(B$3:B$102=B6)),"P",""))</f>
        <v/>
      </c>
      <c r="AA6" s="14" t="str">
        <f>IF(AND(Y6&lt;&gt;"",OR(Z6="",SUMPRODUCT(--(X$3:X$102&gt;X6),--(Z$3:Z$102="P"),--(Y$3:Y$102="P"))&lt;4)),X6,"")</f>
        <v/>
      </c>
      <c r="AB6" s="9" t="str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/>
      </c>
      <c r="AC6" s="9">
        <f>COUNTIF(L6:Q6,"&lt;=8")</f>
        <v>0</v>
      </c>
      <c r="AD6" s="9">
        <f>MIN(L6:Q6)</f>
        <v>0</v>
      </c>
    </row>
    <row r="7" spans="1:36" x14ac:dyDescent="0.2">
      <c r="A7" s="7" t="s">
        <v>10</v>
      </c>
      <c r="B7" s="6" t="s">
        <v>17</v>
      </c>
      <c r="C7" s="5" t="s">
        <v>189</v>
      </c>
      <c r="E7" s="3" t="str">
        <f>IF(AA7="","",RANK(AA7,AA:AA))</f>
        <v/>
      </c>
      <c r="F7" s="6">
        <v>2</v>
      </c>
      <c r="G7" s="6">
        <v>52</v>
      </c>
      <c r="H7" s="6">
        <v>18</v>
      </c>
      <c r="I7" s="6">
        <v>27</v>
      </c>
      <c r="J7" s="6">
        <v>14</v>
      </c>
      <c r="K7" s="6"/>
      <c r="L7" s="9" t="str">
        <f>IF(OR($C7&lt;&gt;"",$D7&lt;&gt;"",F7=""),"",F7-SUMPRODUCT(--($C$3:$C$102="P"),--(F$3:F$102&lt;F7),--(F$3:F$102&lt;&gt;""))-SUMPRODUCT(--($D$3:$D$102="P"),--(F$3:F$102&lt;F7),--(F$3:F$102&lt;&gt;"")))</f>
        <v/>
      </c>
      <c r="M7" s="9" t="str">
        <f>IF(OR($C7&lt;&gt;"",$D7&lt;&gt;"",G7=""),"",G7-SUMPRODUCT(--($C$3:$C$102="P"),--(G$3:G$102&lt;G7),--(G$3:G$102&lt;&gt;""))-SUMPRODUCT(--($D$3:$D$102="P"),--(G$3:G$102&lt;G7),--(G$3:G$102&lt;&gt;"")))</f>
        <v/>
      </c>
      <c r="N7" s="9" t="str">
        <f>IF(OR($C7&lt;&gt;"",$D7&lt;&gt;"",H7=""),"",H7-SUMPRODUCT(--($C$3:$C$102="P"),--(H$3:H$102&lt;H7),--(H$3:H$102&lt;&gt;""))-SUMPRODUCT(--($D$3:$D$102="P"),--(H$3:H$102&lt;H7),--(H$3:H$102&lt;&gt;"")))</f>
        <v/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9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S7" s="9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9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4" t="str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/>
      </c>
      <c r="Y7" s="2" t="str">
        <f>IF(OR(X7="",X7=0),"",IF(SUMPRODUCT(--(B$3:B$102=B7),--(X$3:X$102&gt;X7),--(X$3:X$102&lt;&gt;"")),"","P"))</f>
        <v/>
      </c>
      <c r="Z7" s="2" t="str">
        <f>IF(X7="","",IF(SUMPRODUCT(--(C$3:C$102="P"),--(B$3:B$102=B7)),"P",""))</f>
        <v/>
      </c>
      <c r="AA7" s="14" t="str">
        <f>IF(AND(Y7&lt;&gt;"",OR(Z7="",SUMPRODUCT(--(X$3:X$102&gt;X7),--(Z$3:Z$102="P"),--(Y$3:Y$102="P"))&lt;4)),X7,"")</f>
        <v/>
      </c>
      <c r="AB7" s="9" t="str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/>
      </c>
      <c r="AC7" s="9">
        <f>COUNTIF(L7:Q7,"&lt;=8")</f>
        <v>0</v>
      </c>
      <c r="AD7" s="9">
        <f>MIN(L7:Q7)</f>
        <v>0</v>
      </c>
    </row>
    <row r="8" spans="1:36" x14ac:dyDescent="0.2">
      <c r="A8" s="7" t="s">
        <v>156</v>
      </c>
      <c r="B8" s="6" t="s">
        <v>16</v>
      </c>
      <c r="C8" s="5" t="s">
        <v>189</v>
      </c>
      <c r="E8" s="3" t="str">
        <f>IF(AA8="","",RANK(AA8,AA:AA))</f>
        <v/>
      </c>
      <c r="F8" s="6"/>
      <c r="G8" s="6"/>
      <c r="H8" s="6">
        <v>12</v>
      </c>
      <c r="I8" s="6">
        <v>33</v>
      </c>
      <c r="J8" s="6"/>
      <c r="K8" s="6"/>
      <c r="L8" s="9" t="str">
        <f>IF(OR($C8&lt;&gt;"",$D8&lt;&gt;"",F8=""),"",F8-SUMPRODUCT(--($C$3:$C$102="P"),--(F$3:F$102&lt;F8),--(F$3:F$102&lt;&gt;""))-SUMPRODUCT(--($D$3:$D$102="P"),--(F$3:F$102&lt;F8),--(F$3:F$102&lt;&gt;"")))</f>
        <v/>
      </c>
      <c r="M8" s="9" t="str">
        <f>IF(OR($C8&lt;&gt;"",$D8&lt;&gt;"",G8=""),"",G8-SUMPRODUCT(--($C$3:$C$102="P"),--(G$3:G$102&lt;G8),--(G$3:G$102&lt;&gt;""))-SUMPRODUCT(--($D$3:$D$102="P"),--(G$3:G$102&lt;G8),--(G$3:G$102&lt;&gt;"")))</f>
        <v/>
      </c>
      <c r="N8" s="9" t="str">
        <f>IF(OR($C8&lt;&gt;"",$D8&lt;&gt;"",H8=""),"",H8-SUMPRODUCT(--($C$3:$C$102="P"),--(H$3:H$102&lt;H8),--(H$3:H$102&lt;&gt;""))-SUMPRODUCT(--($D$3:$D$102="P"),--(H$3:H$102&lt;H8),--(H$3:H$102&lt;&gt;"")))</f>
        <v/>
      </c>
      <c r="O8" s="9" t="str">
        <f>IF(OR($C8&lt;&gt;"",$D8&lt;&gt;"",I8=""),"",I8-SUMPRODUCT(--($C$3:$C$102="P"),--(I$3:I$102&lt;I8),--(I$3:I$102&lt;&gt;""))-SUMPRODUCT(--($D$3:$D$102="P"),--(I$3:I$102&lt;I8),--(I$3:I$102&lt;&gt;"")))</f>
        <v/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9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S8" s="9" t="str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/>
      </c>
      <c r="T8" s="9" t="str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/>
      </c>
      <c r="U8" s="9" t="str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/>
      </c>
      <c r="V8" s="9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4" t="str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/>
      </c>
      <c r="Y8" s="2" t="str">
        <f>IF(OR(X8="",X8=0),"",IF(SUMPRODUCT(--(B$3:B$102=B8),--(X$3:X$102&gt;X8),--(X$3:X$102&lt;&gt;"")),"","P"))</f>
        <v/>
      </c>
      <c r="Z8" s="2" t="str">
        <f>IF(X8="","",IF(SUMPRODUCT(--(C$3:C$102="P"),--(B$3:B$102=B8)),"P",""))</f>
        <v/>
      </c>
      <c r="AA8" s="14" t="str">
        <f>IF(AND(Y8&lt;&gt;"",OR(Z8="",SUMPRODUCT(--(X$3:X$102&gt;X8),--(Z$3:Z$102="P"),--(Y$3:Y$102="P"))&lt;4)),X8,"")</f>
        <v/>
      </c>
      <c r="AB8" s="9" t="str">
        <f>IF(A8="","",IF(OR(C8="P",D8="P"),"",IF(IF(COUNT(L8:Q8)&lt;5,SUM(L8:Q8),IF(COUNT(L8:Q8)=5,SUM(L8:Q8)-MIN(L8:Q8),SUM(L8:Q8)-MIN(L8:Q8)-SMALL(L8:Q8,2)))&gt;0,IF(COUNT(L8:Q8)&lt;5,SUM(L8:Q8),IF(COUNT(L8:Q8)=5,SUM(L8:Q8)-MIN(L8:Q8),SUM(L8:Q8)-MIN(L8:Q8)-SMALL(L8:Q8,2))),0)))</f>
        <v/>
      </c>
      <c r="AC8" s="9">
        <f>COUNTIF(L8:Q8,"&lt;=8")</f>
        <v>0</v>
      </c>
      <c r="AD8" s="9">
        <f>MIN(L8:Q8)</f>
        <v>0</v>
      </c>
    </row>
    <row r="9" spans="1:36" x14ac:dyDescent="0.2">
      <c r="A9" s="7" t="s">
        <v>73</v>
      </c>
      <c r="B9" s="6" t="s">
        <v>16</v>
      </c>
      <c r="E9" s="3">
        <f>IF(AA9="","",RANK(AA9,AA:AA))</f>
        <v>1</v>
      </c>
      <c r="F9" s="6">
        <v>1</v>
      </c>
      <c r="G9" s="6">
        <v>54</v>
      </c>
      <c r="H9" s="6">
        <v>3</v>
      </c>
      <c r="I9" s="6">
        <v>1</v>
      </c>
      <c r="J9" s="6">
        <v>2</v>
      </c>
      <c r="K9" s="6"/>
      <c r="L9" s="9">
        <f>IF(OR($C9&lt;&gt;"",$D9&lt;&gt;"",F9=""),"",F9-SUMPRODUCT(--($C$3:$C$102="P"),--(F$3:F$102&lt;F9),--(F$3:F$102&lt;&gt;""))-SUMPRODUCT(--($D$3:$D$102="P"),--(F$3:F$102&lt;F9),--(F$3:F$102&lt;&gt;"")))</f>
        <v>1</v>
      </c>
      <c r="M9" s="9">
        <f>IF(OR($C9&lt;&gt;"",$D9&lt;&gt;"",G9=""),"",G9-SUMPRODUCT(--($C$3:$C$102="P"),--(G$3:G$102&lt;G9),--(G$3:G$102&lt;&gt;""))-SUMPRODUCT(--($D$3:$D$102="P"),--(G$3:G$102&lt;G9),--(G$3:G$102&lt;&gt;"")))</f>
        <v>51</v>
      </c>
      <c r="N9" s="9">
        <f>IF(OR($C9&lt;&gt;"",$D9&lt;&gt;"",H9=""),"",H9-SUMPRODUCT(--($C$3:$C$102="P"),--(H$3:H$102&lt;H9),--(H$3:H$102&lt;&gt;""))-SUMPRODUCT(--($D$3:$D$102="P"),--(H$3:H$102&lt;H9),--(H$3:H$102&lt;&gt;"")))</f>
        <v>2</v>
      </c>
      <c r="O9" s="9">
        <f>IF(OR($C9&lt;&gt;"",$D9&lt;&gt;"",I9=""),"",I9-SUMPRODUCT(--($C$3:$C$102="P"),--(I$3:I$102&lt;I9),--(I$3:I$102&lt;&gt;""))-SUMPRODUCT(--($D$3:$D$102="P"),--(I$3:I$102&lt;I9),--(I$3:I$102&lt;&gt;"")))</f>
        <v>1</v>
      </c>
      <c r="P9" s="9">
        <f>IF(OR($C9&lt;&gt;"",$D9&lt;&gt;"",J9=""),"",J9-SUMPRODUCT(--($C$3:$C$102="P"),--(J$3:J$102&lt;J9),--(J$3:J$102&lt;&gt;""))-SUMPRODUCT(--($D$3:$D$102="P"),--(J$3:J$102&lt;J9),--(J$3:J$102&lt;&gt;"")))</f>
        <v>2</v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9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60</v>
      </c>
      <c r="S9" s="9" t="str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/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55</v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60</v>
      </c>
      <c r="V9" s="9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>55</v>
      </c>
      <c r="W9" s="9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4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230.09444999000002</v>
      </c>
      <c r="Y9" s="2" t="str">
        <f>IF(OR(X9="",X9=0),"",IF(SUMPRODUCT(--(B$3:B$102=B9),--(X$3:X$102&gt;X9),--(X$3:X$102&lt;&gt;"")),"","P"))</f>
        <v>P</v>
      </c>
      <c r="Z9" s="2" t="str">
        <f>IF(X9="","",IF(SUMPRODUCT(--(C$3:C$102="P"),--(B$3:B$102=B9)),"P",""))</f>
        <v>P</v>
      </c>
      <c r="AA9" s="14">
        <f>IF(AND(Y9&lt;&gt;"",OR(Z9="",SUMPRODUCT(--(X$3:X$102&gt;X9),--(Z$3:Z$102="P"),--(Y$3:Y$102="P"))&lt;4)),X9,"")</f>
        <v>230.09444999000002</v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56</v>
      </c>
      <c r="AC9" s="9">
        <f>COUNTIF(L9:Q9,"&lt;=8")</f>
        <v>4</v>
      </c>
      <c r="AD9" s="9">
        <f>MIN(L9:Q9)</f>
        <v>1</v>
      </c>
    </row>
    <row r="10" spans="1:36" x14ac:dyDescent="0.2">
      <c r="A10" s="7" t="s">
        <v>75</v>
      </c>
      <c r="B10" s="6" t="s">
        <v>16</v>
      </c>
      <c r="E10" s="3" t="str">
        <f>IF(AA10="","",RANK(AA10,AA:AA))</f>
        <v/>
      </c>
      <c r="F10" s="6">
        <v>9</v>
      </c>
      <c r="G10" s="6">
        <v>1</v>
      </c>
      <c r="H10" s="6">
        <v>8</v>
      </c>
      <c r="I10" s="6">
        <v>2</v>
      </c>
      <c r="J10" s="6">
        <v>1</v>
      </c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8</v>
      </c>
      <c r="M10" s="9">
        <f>IF(OR($C10&lt;&gt;"",$D10&lt;&gt;"",G10=""),"",G10-SUMPRODUCT(--($C$3:$C$102="P"),--(G$3:G$102&lt;G10),--(G$3:G$102&lt;&gt;""))-SUMPRODUCT(--($D$3:$D$102="P"),--(G$3:G$102&lt;G10),--(G$3:G$102&lt;&gt;"")))</f>
        <v>1</v>
      </c>
      <c r="N10" s="9">
        <f>IF(OR($C10&lt;&gt;"",$D10&lt;&gt;"",H10=""),"",H10-SUMPRODUCT(--($C$3:$C$102="P"),--(H$3:H$102&lt;H10),--(H$3:H$102&lt;&gt;""))-SUMPRODUCT(--($D$3:$D$102="P"),--(H$3:H$102&lt;H10),--(H$3:H$102&lt;&gt;"")))</f>
        <v>7</v>
      </c>
      <c r="O10" s="9">
        <f>IF(OR($C10&lt;&gt;"",$D10&lt;&gt;"",I10=""),"",I10-SUMPRODUCT(--($C$3:$C$102="P"),--(I$3:I$102&lt;I10),--(I$3:I$102&lt;&gt;""))-SUMPRODUCT(--($D$3:$D$102="P"),--(I$3:I$102&lt;I10),--(I$3:I$102&lt;&gt;"")))</f>
        <v>2</v>
      </c>
      <c r="P10" s="9">
        <f>IF(OR($C10&lt;&gt;"",$D10&lt;&gt;"",J10=""),"",J10-SUMPRODUCT(--($C$3:$C$102="P"),--(J$3:J$102&lt;J10),--(J$3:J$102&lt;&gt;""))-SUMPRODUCT(--($D$3:$D$102="P"),--(J$3:J$102&lt;J10),--(J$3:J$102&lt;&gt;"")))</f>
        <v>1</v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9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25</v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60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28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55</v>
      </c>
      <c r="V10" s="9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>60</v>
      </c>
      <c r="W10" s="9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4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203.09825998999997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>P</v>
      </c>
      <c r="AA10" s="14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18</v>
      </c>
      <c r="AC10" s="9">
        <f>COUNTIF(L10:Q10,"&lt;=8")</f>
        <v>5</v>
      </c>
      <c r="AD10" s="9">
        <f>MIN(L10:Q10)</f>
        <v>1</v>
      </c>
    </row>
    <row r="11" spans="1:36" x14ac:dyDescent="0.2">
      <c r="A11" s="7" t="s">
        <v>13</v>
      </c>
      <c r="B11" s="6" t="s">
        <v>18</v>
      </c>
      <c r="E11" s="3">
        <f>IF(AA11="","",RANK(AA11,AA:AA))</f>
        <v>2</v>
      </c>
      <c r="F11" s="6">
        <v>5</v>
      </c>
      <c r="G11" s="6">
        <v>13</v>
      </c>
      <c r="H11" s="6">
        <v>5</v>
      </c>
      <c r="I11" s="6">
        <v>8</v>
      </c>
      <c r="J11" s="6">
        <v>4</v>
      </c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4</v>
      </c>
      <c r="M11" s="9">
        <f>IF(OR($C11&lt;&gt;"",$D11&lt;&gt;"",G11=""),"",G11-SUMPRODUCT(--($C$3:$C$102="P"),--(G$3:G$102&lt;G11),--(G$3:G$102&lt;&gt;""))-SUMPRODUCT(--($D$3:$D$102="P"),--(G$3:G$102&lt;G11),--(G$3:G$102&lt;&gt;"")))</f>
        <v>11</v>
      </c>
      <c r="N11" s="9">
        <f>IF(OR($C11&lt;&gt;"",$D11&lt;&gt;"",H11=""),"",H11-SUMPRODUCT(--($C$3:$C$102="P"),--(H$3:H$102&lt;H11),--(H$3:H$102&lt;&gt;""))-SUMPRODUCT(--($D$3:$D$102="P"),--(H$3:H$102&lt;H11),--(H$3:H$102&lt;&gt;"")))</f>
        <v>4</v>
      </c>
      <c r="O11" s="9">
        <f>IF(OR($C11&lt;&gt;"",$D11&lt;&gt;"",I11=""),"",I11-SUMPRODUCT(--($C$3:$C$102="P"),--(I$3:I$102&lt;I11),--(I$3:I$102&lt;&gt;""))-SUMPRODUCT(--($D$3:$D$102="P"),--(I$3:I$102&lt;I11),--(I$3:I$102&lt;&gt;"")))</f>
        <v>7</v>
      </c>
      <c r="P11" s="9">
        <f>IF(OR($C11&lt;&gt;"",$D11&lt;&gt;"",J11=""),"",J11-SUMPRODUCT(--($C$3:$C$102="P"),--(J$3:J$102&lt;J11),--(J$3:J$102&lt;&gt;""))-SUMPRODUCT(--($D$3:$D$102="P"),--(J$3:J$102&lt;J11),--(J$3:J$102&lt;&gt;"")))</f>
        <v>4</v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9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44</v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20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44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28</v>
      </c>
      <c r="V11" s="9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>44</v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4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160.09744996000001</v>
      </c>
      <c r="Y11" s="2" t="str">
        <f>IF(OR(X11="",X11=0),"",IF(SUMPRODUCT(--(B$3:B$102=B11),--(X$3:X$102&gt;X11),--(X$3:X$102&lt;&gt;"")),"","P"))</f>
        <v>P</v>
      </c>
      <c r="Z11" s="2" t="str">
        <f>IF(X11="","",IF(SUMPRODUCT(--(C$3:C$102="P"),--(B$3:B$102=B11)),"P",""))</f>
        <v>P</v>
      </c>
      <c r="AA11" s="14">
        <f>IF(AND(Y11&lt;&gt;"",OR(Z11="",SUMPRODUCT(--(X$3:X$102&gt;X11),--(Z$3:Z$102="P"),--(Y$3:Y$102="P"))&lt;4)),X11,"")</f>
        <v>160.09744996000001</v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26</v>
      </c>
      <c r="AC11" s="9">
        <f>COUNTIF(L11:Q11,"&lt;=8")</f>
        <v>4</v>
      </c>
      <c r="AD11" s="9">
        <f>MIN(L11:Q11)</f>
        <v>4</v>
      </c>
    </row>
    <row r="12" spans="1:36" x14ac:dyDescent="0.2">
      <c r="A12" s="7" t="s">
        <v>23</v>
      </c>
      <c r="B12" s="6" t="s">
        <v>24</v>
      </c>
      <c r="E12" s="3">
        <f>IF(AA12="","",RANK(AA12,AA:AA))</f>
        <v>3</v>
      </c>
      <c r="F12" s="6">
        <v>11</v>
      </c>
      <c r="G12" s="6">
        <v>5</v>
      </c>
      <c r="H12" s="6">
        <v>4</v>
      </c>
      <c r="I12" s="6">
        <v>7</v>
      </c>
      <c r="J12" s="6">
        <v>16</v>
      </c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9</v>
      </c>
      <c r="M12" s="9">
        <f>IF(OR($C12&lt;&gt;"",$D12&lt;&gt;"",G12=""),"",G12-SUMPRODUCT(--($C$3:$C$102="P"),--(G$3:G$102&lt;G12),--(G$3:G$102&lt;&gt;""))-SUMPRODUCT(--($D$3:$D$102="P"),--(G$3:G$102&lt;G12),--(G$3:G$102&lt;&gt;"")))</f>
        <v>4</v>
      </c>
      <c r="N12" s="9">
        <f>IF(OR($C12&lt;&gt;"",$D12&lt;&gt;"",H12=""),"",H12-SUMPRODUCT(--($C$3:$C$102="P"),--(H$3:H$102&lt;H12),--(H$3:H$102&lt;&gt;""))-SUMPRODUCT(--($D$3:$D$102="P"),--(H$3:H$102&lt;H12),--(H$3:H$102&lt;&gt;"")))</f>
        <v>3</v>
      </c>
      <c r="O12" s="9">
        <f>IF(OR($C12&lt;&gt;"",$D12&lt;&gt;"",I12=""),"",I12-SUMPRODUCT(--($C$3:$C$102="P"),--(I$3:I$102&lt;I12),--(I$3:I$102&lt;&gt;""))-SUMPRODUCT(--($D$3:$D$102="P"),--(I$3:I$102&lt;I12),--(I$3:I$102&lt;&gt;"")))</f>
        <v>6</v>
      </c>
      <c r="P12" s="9">
        <f>IF(OR($C12&lt;&gt;"",$D12&lt;&gt;"",J12=""),"",J12-SUMPRODUCT(--($C$3:$C$102="P"),--(J$3:J$102&lt;J12),--(J$3:J$102&lt;&gt;""))-SUMPRODUCT(--($D$3:$D$102="P"),--(J$3:J$102&lt;J12),--(J$3:J$102&lt;&gt;"")))</f>
        <v>14</v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9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22</v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44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50</v>
      </c>
      <c r="U12" s="9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32</v>
      </c>
      <c r="V12" s="9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>17</v>
      </c>
      <c r="W12" s="9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4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148.09673997000002</v>
      </c>
      <c r="Y12" s="2" t="str">
        <f>IF(OR(X12="",X12=0),"",IF(SUMPRODUCT(--(B$3:B$102=B12),--(X$3:X$102&gt;X12),--(X$3:X$102&lt;&gt;"")),"","P"))</f>
        <v>P</v>
      </c>
      <c r="Z12" s="2" t="str">
        <f>IF(X12="","",IF(SUMPRODUCT(--(C$3:C$102="P"),--(B$3:B$102=B12)),"P",""))</f>
        <v>P</v>
      </c>
      <c r="AA12" s="14">
        <f>IF(AND(Y12&lt;&gt;"",OR(Z12="",SUMPRODUCT(--(X$3:X$102&gt;X12),--(Z$3:Z$102="P"),--(Y$3:Y$102="P"))&lt;4)),X12,"")</f>
        <v>148.09673997000002</v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33</v>
      </c>
      <c r="AC12" s="9">
        <f>COUNTIF(L12:Q12,"&lt;=8")</f>
        <v>3</v>
      </c>
      <c r="AD12" s="9">
        <f>MIN(L12:Q12)</f>
        <v>3</v>
      </c>
    </row>
    <row r="13" spans="1:36" x14ac:dyDescent="0.2">
      <c r="A13" s="7" t="s">
        <v>21</v>
      </c>
      <c r="B13" s="6" t="s">
        <v>20</v>
      </c>
      <c r="E13" s="3">
        <f>IF(AA13="","",RANK(AA13,AA:AA))</f>
        <v>4</v>
      </c>
      <c r="F13" s="6">
        <v>8</v>
      </c>
      <c r="G13" s="6">
        <v>8</v>
      </c>
      <c r="H13" s="6">
        <v>6</v>
      </c>
      <c r="I13" s="6">
        <v>5</v>
      </c>
      <c r="J13" s="6">
        <v>24</v>
      </c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7</v>
      </c>
      <c r="M13" s="9">
        <f>IF(OR($C13&lt;&gt;"",$D13&lt;&gt;"",G13=""),"",G13-SUMPRODUCT(--($C$3:$C$102="P"),--(G$3:G$102&lt;G13),--(G$3:G$102&lt;&gt;""))-SUMPRODUCT(--($D$3:$D$102="P"),--(G$3:G$102&lt;G13),--(G$3:G$102&lt;&gt;"")))</f>
        <v>6</v>
      </c>
      <c r="N13" s="9">
        <f>IF(OR($C13&lt;&gt;"",$D13&lt;&gt;"",H13=""),"",H13-SUMPRODUCT(--($C$3:$C$102="P"),--(H$3:H$102&lt;H13),--(H$3:H$102&lt;&gt;""))-SUMPRODUCT(--($D$3:$D$102="P"),--(H$3:H$102&lt;H13),--(H$3:H$102&lt;&gt;"")))</f>
        <v>5</v>
      </c>
      <c r="O13" s="9">
        <f>IF(OR($C13&lt;&gt;"",$D13&lt;&gt;"",I13=""),"",I13-SUMPRODUCT(--($C$3:$C$102="P"),--(I$3:I$102&lt;I13),--(I$3:I$102&lt;&gt;""))-SUMPRODUCT(--($D$3:$D$102="P"),--(I$3:I$102&lt;I13),--(I$3:I$102&lt;&gt;"")))</f>
        <v>4</v>
      </c>
      <c r="P13" s="9">
        <f>IF(OR($C13&lt;&gt;"",$D13&lt;&gt;"",J13=""),"",J13-SUMPRODUCT(--($C$3:$C$102="P"),--(J$3:J$102&lt;J13),--(J$3:J$102&lt;&gt;""))-SUMPRODUCT(--($D$3:$D$102="P"),--(J$3:J$102&lt;J13),--(J$3:J$102&lt;&gt;"")))</f>
        <v>22</v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9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28</v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32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38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44</v>
      </c>
      <c r="V13" s="9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>9</v>
      </c>
      <c r="W13" s="9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4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142.09604996000002</v>
      </c>
      <c r="Y13" s="2" t="str">
        <f>IF(OR(X13="",X13=0),"",IF(SUMPRODUCT(--(B$3:B$102=B13),--(X$3:X$102&gt;X13),--(X$3:X$102&lt;&gt;"")),"","P"))</f>
        <v>P</v>
      </c>
      <c r="Z13" s="2" t="str">
        <f>IF(X13="","",IF(SUMPRODUCT(--(C$3:C$102="P"),--(B$3:B$102=B13)),"P",""))</f>
        <v>P</v>
      </c>
      <c r="AA13" s="14">
        <f>IF(AND(Y13&lt;&gt;"",OR(Z13="",SUMPRODUCT(--(X$3:X$102&gt;X13),--(Z$3:Z$102="P"),--(Y$3:Y$102="P"))&lt;4)),X13,"")</f>
        <v>142.09604996000002</v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40</v>
      </c>
      <c r="AC13" s="9">
        <f>COUNTIF(L13:Q13,"&lt;=8")</f>
        <v>4</v>
      </c>
      <c r="AD13" s="9">
        <f>MIN(L13:Q13)</f>
        <v>4</v>
      </c>
    </row>
    <row r="14" spans="1:36" x14ac:dyDescent="0.2">
      <c r="A14" s="7" t="s">
        <v>14</v>
      </c>
      <c r="B14" s="6" t="s">
        <v>20</v>
      </c>
      <c r="E14" s="3" t="str">
        <f>IF(AA14="","",RANK(AA14,AA:AA))</f>
        <v/>
      </c>
      <c r="F14" s="6">
        <v>6</v>
      </c>
      <c r="G14" s="6">
        <v>9</v>
      </c>
      <c r="H14" s="6">
        <v>11</v>
      </c>
      <c r="I14" s="6">
        <v>4</v>
      </c>
      <c r="J14" s="6">
        <v>36</v>
      </c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5</v>
      </c>
      <c r="M14" s="9">
        <f>IF(OR($C14&lt;&gt;"",$D14&lt;&gt;"",G14=""),"",G14-SUMPRODUCT(--($C$3:$C$102="P"),--(G$3:G$102&lt;G14),--(G$3:G$102&lt;&gt;""))-SUMPRODUCT(--($D$3:$D$102="P"),--(G$3:G$102&lt;G14),--(G$3:G$102&lt;&gt;"")))</f>
        <v>7</v>
      </c>
      <c r="N14" s="9">
        <f>IF(OR($C14&lt;&gt;"",$D14&lt;&gt;"",H14=""),"",H14-SUMPRODUCT(--($C$3:$C$102="P"),--(H$3:H$102&lt;H14),--(H$3:H$102&lt;&gt;""))-SUMPRODUCT(--($D$3:$D$102="P"),--(H$3:H$102&lt;H14),--(H$3:H$102&lt;&gt;"")))</f>
        <v>10</v>
      </c>
      <c r="O14" s="9">
        <f>IF(OR($C14&lt;&gt;"",$D14&lt;&gt;"",I14=""),"",I14-SUMPRODUCT(--($C$3:$C$102="P"),--(I$3:I$102&lt;I14),--(I$3:I$102&lt;&gt;""))-SUMPRODUCT(--($D$3:$D$102="P"),--(I$3:I$102&lt;I14),--(I$3:I$102&lt;&gt;"")))</f>
        <v>3</v>
      </c>
      <c r="P14" s="9">
        <f>IF(OR($C14&lt;&gt;"",$D14&lt;&gt;"",J14=""),"",J14-SUMPRODUCT(--($C$3:$C$102="P"),--(J$3:J$102&lt;J14),--(J$3:J$102&lt;&gt;""))-SUMPRODUCT(--($D$3:$D$102="P"),--(J$3:J$102&lt;J14),--(J$3:J$102&lt;&gt;"")))</f>
        <v>34</v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9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38</v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28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21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50</v>
      </c>
      <c r="V14" s="9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4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137.09443997000002</v>
      </c>
      <c r="Y14" s="2" t="str">
        <f>IF(OR(X14="",X14=0),"",IF(SUMPRODUCT(--(B$3:B$102=B14),--(X$3:X$102&gt;X14),--(X$3:X$102&lt;&gt;"")),"","P"))</f>
        <v/>
      </c>
      <c r="Z14" s="2" t="str">
        <f>IF(X14="","",IF(SUMPRODUCT(--(C$3:C$102="P"),--(B$3:B$102=B14)),"P",""))</f>
        <v>P</v>
      </c>
      <c r="AA14" s="14" t="str">
        <f>IF(AND(Y14&lt;&gt;"",OR(Z14="",SUMPRODUCT(--(X$3:X$102&gt;X14),--(Z$3:Z$102="P"),--(Y$3:Y$102="P"))&lt;4)),X14,"")</f>
        <v/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56</v>
      </c>
      <c r="AC14" s="9">
        <f>COUNTIF(L14:Q14,"&lt;=8")</f>
        <v>3</v>
      </c>
      <c r="AD14" s="9">
        <f>MIN(L14:Q14)</f>
        <v>3</v>
      </c>
    </row>
    <row r="15" spans="1:36" x14ac:dyDescent="0.2">
      <c r="A15" s="7" t="s">
        <v>138</v>
      </c>
      <c r="B15" s="6" t="s">
        <v>20</v>
      </c>
      <c r="E15" s="3" t="str">
        <f>IF(AA15="","",RANK(AA15,AA:AA))</f>
        <v/>
      </c>
      <c r="F15" s="6"/>
      <c r="G15" s="6">
        <v>2</v>
      </c>
      <c r="H15" s="6">
        <v>1</v>
      </c>
      <c r="I15" s="6">
        <v>55</v>
      </c>
      <c r="J15" s="6"/>
      <c r="K15" s="6"/>
      <c r="L15" s="9" t="str">
        <f>IF(OR($C15&lt;&gt;"",$D15&lt;&gt;"",F15=""),"",F15-SUMPRODUCT(--($C$3:$C$102="P"),--(F$3:F$102&lt;F15),--(F$3:F$102&lt;&gt;""))-SUMPRODUCT(--($D$3:$D$102="P"),--(F$3:F$102&lt;F15),--(F$3:F$102&lt;&gt;"")))</f>
        <v/>
      </c>
      <c r="M15" s="9">
        <f>IF(OR($C15&lt;&gt;"",$D15&lt;&gt;"",G15=""),"",G15-SUMPRODUCT(--($C$3:$C$102="P"),--(G$3:G$102&lt;G15),--(G$3:G$102&lt;&gt;""))-SUMPRODUCT(--($D$3:$D$102="P"),--(G$3:G$102&lt;G15),--(G$3:G$102&lt;&gt;"")))</f>
        <v>2</v>
      </c>
      <c r="N15" s="9">
        <f>IF(OR($C15&lt;&gt;"",$D15&lt;&gt;"",H15=""),"",H15-SUMPRODUCT(--($C$3:$C$102="P"),--(H$3:H$102&lt;H15),--(H$3:H$102&lt;&gt;""))-SUMPRODUCT(--($D$3:$D$102="P"),--(H$3:H$102&lt;H15),--(H$3:H$102&lt;&gt;"")))</f>
        <v>1</v>
      </c>
      <c r="O15" s="9">
        <f>IF(OR($C15&lt;&gt;"",$D15&lt;&gt;"",I15=""),"",I15-SUMPRODUCT(--($C$3:$C$102="P"),--(I$3:I$102&lt;I15),--(I$3:I$102&lt;&gt;""))-SUMPRODUCT(--($D$3:$D$102="P"),--(I$3:I$102&lt;I15),--(I$3:I$102&lt;&gt;"")))</f>
        <v>50</v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9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S15" s="9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55</v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60</v>
      </c>
      <c r="U15" s="9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9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4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115.09472999</v>
      </c>
      <c r="Y15" s="2" t="str">
        <f>IF(OR(X15="",X15=0),"",IF(SUMPRODUCT(--(B$3:B$102=B15),--(X$3:X$102&gt;X15),--(X$3:X$102&lt;&gt;"")),"","P"))</f>
        <v/>
      </c>
      <c r="Z15" s="2" t="str">
        <f>IF(X15="","",IF(SUMPRODUCT(--(C$3:C$102="P"),--(B$3:B$102=B15)),"P",""))</f>
        <v>P</v>
      </c>
      <c r="AA15" s="14" t="str">
        <f>IF(AND(Y15&lt;&gt;"",OR(Z15="",SUMPRODUCT(--(X$3:X$102&gt;X15),--(Z$3:Z$102="P"),--(Y$3:Y$102="P"))&lt;4)),X15,"")</f>
        <v/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53</v>
      </c>
      <c r="AC15" s="9">
        <f>COUNTIF(L15:Q15,"&lt;=8")</f>
        <v>2</v>
      </c>
      <c r="AD15" s="9">
        <f>MIN(L15:Q15)</f>
        <v>1</v>
      </c>
    </row>
    <row r="16" spans="1:36" x14ac:dyDescent="0.2">
      <c r="A16" s="7" t="s">
        <v>11</v>
      </c>
      <c r="B16" s="6" t="s">
        <v>18</v>
      </c>
      <c r="E16" s="3" t="str">
        <f>IF(AA16="","",RANK(AA16,AA:AA))</f>
        <v/>
      </c>
      <c r="F16" s="6">
        <v>3</v>
      </c>
      <c r="G16" s="6"/>
      <c r="H16" s="6">
        <v>16</v>
      </c>
      <c r="I16" s="6">
        <v>11</v>
      </c>
      <c r="J16" s="6">
        <v>12</v>
      </c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2</v>
      </c>
      <c r="M16" s="9" t="str">
        <f>IF(OR($C16&lt;&gt;"",$D16&lt;&gt;"",G16=""),"",G16-SUMPRODUCT(--($C$3:$C$102="P"),--(G$3:G$102&lt;G16),--(G$3:G$102&lt;&gt;""))-SUMPRODUCT(--($D$3:$D$102="P"),--(G$3:G$102&lt;G16),--(G$3:G$102&lt;&gt;"")))</f>
        <v/>
      </c>
      <c r="N16" s="9">
        <f>IF(OR($C16&lt;&gt;"",$D16&lt;&gt;"",H16=""),"",H16-SUMPRODUCT(--($C$3:$C$102="P"),--(H$3:H$102&lt;H16),--(H$3:H$102&lt;&gt;""))-SUMPRODUCT(--($D$3:$D$102="P"),--(H$3:H$102&lt;H16),--(H$3:H$102&lt;&gt;"")))</f>
        <v>14</v>
      </c>
      <c r="O16" s="9">
        <f>IF(OR($C16&lt;&gt;"",$D16&lt;&gt;"",I16=""),"",I16-SUMPRODUCT(--($C$3:$C$102="P"),--(I$3:I$102&lt;I16),--(I$3:I$102&lt;&gt;""))-SUMPRODUCT(--($D$3:$D$102="P"),--(I$3:I$102&lt;I16),--(I$3:I$102&lt;&gt;"")))</f>
        <v>10</v>
      </c>
      <c r="P16" s="9">
        <f>IF(OR($C16&lt;&gt;"",$D16&lt;&gt;"",J16=""),"",J16-SUMPRODUCT(--($C$3:$C$102="P"),--(J$3:J$102&lt;J16),--(J$3:J$102&lt;&gt;""))-SUMPRODUCT(--($D$3:$D$102="P"),--(J$3:J$102&lt;J16),--(J$3:J$102&lt;&gt;"")))</f>
        <v>12</v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9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55</v>
      </c>
      <c r="S16" s="9" t="str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/>
      </c>
      <c r="T16" s="9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17</v>
      </c>
      <c r="U16" s="9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21</v>
      </c>
      <c r="V16" s="9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>19</v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4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112.09621998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>P</v>
      </c>
      <c r="AA16" s="14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38</v>
      </c>
      <c r="AC16" s="9">
        <f>COUNTIF(L16:Q16,"&lt;=8")</f>
        <v>1</v>
      </c>
      <c r="AD16" s="9">
        <f>MIN(L16:Q16)</f>
        <v>2</v>
      </c>
    </row>
    <row r="17" spans="1:30" x14ac:dyDescent="0.2">
      <c r="A17" s="7" t="s">
        <v>74</v>
      </c>
      <c r="B17" s="6" t="s">
        <v>16</v>
      </c>
      <c r="E17" s="3" t="str">
        <f>IF(AA17="","",RANK(AA17,AA:AA))</f>
        <v/>
      </c>
      <c r="F17" s="6">
        <v>7</v>
      </c>
      <c r="G17" s="6">
        <v>3</v>
      </c>
      <c r="H17" s="6"/>
      <c r="I17" s="6"/>
      <c r="J17" s="6">
        <v>10</v>
      </c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6</v>
      </c>
      <c r="M17" s="9">
        <f>IF(OR($C17&lt;&gt;"",$D17&lt;&gt;"",G17=""),"",G17-SUMPRODUCT(--($C$3:$C$102="P"),--(G$3:G$102&lt;G17),--(G$3:G$102&lt;&gt;""))-SUMPRODUCT(--($D$3:$D$102="P"),--(G$3:G$102&lt;G17),--(G$3:G$102&lt;&gt;"")))</f>
        <v>3</v>
      </c>
      <c r="N17" s="9" t="str">
        <f>IF(OR($C17&lt;&gt;"",$D17&lt;&gt;"",H17=""),"",H17-SUMPRODUCT(--($C$3:$C$102="P"),--(H$3:H$102&lt;H17),--(H$3:H$102&lt;&gt;""))-SUMPRODUCT(--($D$3:$D$102="P"),--(H$3:H$102&lt;H17),--(H$3:H$102&lt;&gt;"")))</f>
        <v/>
      </c>
      <c r="O17" s="9" t="str">
        <f>IF(OR($C17&lt;&gt;"",$D17&lt;&gt;"",I17=""),"",I17-SUMPRODUCT(--($C$3:$C$102="P"),--(I$3:I$102&lt;I17),--(I$3:I$102&lt;&gt;""))-SUMPRODUCT(--($D$3:$D$102="P"),--(I$3:I$102&lt;I17),--(I$3:I$102&lt;&gt;"")))</f>
        <v/>
      </c>
      <c r="P17" s="9">
        <f>IF(OR($C17&lt;&gt;"",$D17&lt;&gt;"",J17=""),"",J17-SUMPRODUCT(--($C$3:$C$102="P"),--(J$3:J$102&lt;J17),--(J$3:J$102&lt;&gt;""))-SUMPRODUCT(--($D$3:$D$102="P"),--(J$3:J$102&lt;J17),--(J$3:J$102&lt;&gt;"")))</f>
        <v>10</v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9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>32</v>
      </c>
      <c r="S17" s="9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50</v>
      </c>
      <c r="T17" s="9" t="str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/>
      </c>
      <c r="U17" s="9" t="str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/>
      </c>
      <c r="V17" s="9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>21</v>
      </c>
      <c r="W17" s="9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4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103.09812997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>P</v>
      </c>
      <c r="AA17" s="14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19</v>
      </c>
      <c r="AC17" s="9">
        <f>COUNTIF(L17:Q17,"&lt;=8")</f>
        <v>2</v>
      </c>
      <c r="AD17" s="9">
        <f>MIN(L17:Q17)</f>
        <v>3</v>
      </c>
    </row>
    <row r="18" spans="1:30" x14ac:dyDescent="0.2">
      <c r="A18" s="7" t="s">
        <v>26</v>
      </c>
      <c r="B18" s="6" t="s">
        <v>18</v>
      </c>
      <c r="E18" s="3" t="str">
        <f>IF(AA18="","",RANK(AA18,AA:AA))</f>
        <v/>
      </c>
      <c r="F18" s="6">
        <v>13</v>
      </c>
      <c r="G18" s="6">
        <v>7</v>
      </c>
      <c r="H18" s="6">
        <v>20</v>
      </c>
      <c r="I18" s="6">
        <v>10</v>
      </c>
      <c r="J18" s="6">
        <v>11</v>
      </c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11</v>
      </c>
      <c r="M18" s="9">
        <f>IF(OR($C18&lt;&gt;"",$D18&lt;&gt;"",G18=""),"",G18-SUMPRODUCT(--($C$3:$C$102="P"),--(G$3:G$102&lt;G18),--(G$3:G$102&lt;&gt;""))-SUMPRODUCT(--($D$3:$D$102="P"),--(G$3:G$102&lt;G18),--(G$3:G$102&lt;&gt;"")))</f>
        <v>5</v>
      </c>
      <c r="N18" s="9">
        <f>IF(OR($C18&lt;&gt;"",$D18&lt;&gt;"",H18=""),"",H18-SUMPRODUCT(--($C$3:$C$102="P"),--(H$3:H$102&lt;H18),--(H$3:H$102&lt;&gt;""))-SUMPRODUCT(--($D$3:$D$102="P"),--(H$3:H$102&lt;H18),--(H$3:H$102&lt;&gt;"")))</f>
        <v>17</v>
      </c>
      <c r="O18" s="9">
        <f>IF(OR($C18&lt;&gt;"",$D18&lt;&gt;"",I18=""),"",I18-SUMPRODUCT(--($C$3:$C$102="P"),--(I$3:I$102&lt;I18),--(I$3:I$102&lt;&gt;""))-SUMPRODUCT(--($D$3:$D$102="P"),--(I$3:I$102&lt;I18),--(I$3:I$102&lt;&gt;"")))</f>
        <v>9</v>
      </c>
      <c r="P18" s="9">
        <f>IF(OR($C18&lt;&gt;"",$D18&lt;&gt;"",J18=""),"",J18-SUMPRODUCT(--($C$3:$C$102="P"),--(J$3:J$102&lt;J18),--(J$3:J$102&lt;&gt;""))-SUMPRODUCT(--($D$3:$D$102="P"),--(J$3:J$102&lt;J18),--(J$3:J$102&lt;&gt;"")))</f>
        <v>11</v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9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20</v>
      </c>
      <c r="S18" s="9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38</v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14</v>
      </c>
      <c r="U18" s="9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>22</v>
      </c>
      <c r="V18" s="9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>20</v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4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100.09521995000001</v>
      </c>
      <c r="Y18" s="2" t="str">
        <f>IF(OR(X18="",X18=0),"",IF(SUMPRODUCT(--(B$3:B$102=B18),--(X$3:X$102&gt;X18),--(X$3:X$102&lt;&gt;"")),"","P"))</f>
        <v/>
      </c>
      <c r="Z18" s="2" t="str">
        <f>IF(X18="","",IF(SUMPRODUCT(--(C$3:C$102="P"),--(B$3:B$102=B18)),"P",""))</f>
        <v>P</v>
      </c>
      <c r="AA18" s="14" t="str">
        <f>IF(AND(Y18&lt;&gt;"",OR(Z18="",SUMPRODUCT(--(X$3:X$102&gt;X18),--(Z$3:Z$102="P"),--(Y$3:Y$102="P"))&lt;4)),X18,"")</f>
        <v/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48</v>
      </c>
      <c r="AC18" s="9">
        <f>COUNTIF(L18:Q18,"&lt;=8")</f>
        <v>1</v>
      </c>
      <c r="AD18" s="9">
        <f>MIN(L18:Q18)</f>
        <v>5</v>
      </c>
    </row>
    <row r="19" spans="1:30" x14ac:dyDescent="0.2">
      <c r="A19" s="7" t="s">
        <v>29</v>
      </c>
      <c r="B19" s="6" t="s">
        <v>17</v>
      </c>
      <c r="E19" s="3" t="str">
        <f>IF(AA19="","",RANK(AA19,AA:AA))</f>
        <v/>
      </c>
      <c r="F19" s="6">
        <v>16</v>
      </c>
      <c r="G19" s="6">
        <v>28</v>
      </c>
      <c r="H19" s="6">
        <v>23</v>
      </c>
      <c r="I19" s="6">
        <v>51</v>
      </c>
      <c r="J19" s="6">
        <v>3</v>
      </c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14</v>
      </c>
      <c r="M19" s="9">
        <f>IF(OR($C19&lt;&gt;"",$D19&lt;&gt;"",G19=""),"",G19-SUMPRODUCT(--($C$3:$C$102="P"),--(G$3:G$102&lt;G19),--(G$3:G$102&lt;&gt;""))-SUMPRODUCT(--($D$3:$D$102="P"),--(G$3:G$102&lt;G19),--(G$3:G$102&lt;&gt;"")))</f>
        <v>26</v>
      </c>
      <c r="N19" s="9">
        <f>IF(OR($C19&lt;&gt;"",$D19&lt;&gt;"",H19=""),"",H19-SUMPRODUCT(--($C$3:$C$102="P"),--(H$3:H$102&lt;H19),--(H$3:H$102&lt;&gt;""))-SUMPRODUCT(--($D$3:$D$102="P"),--(H$3:H$102&lt;H19),--(H$3:H$102&lt;&gt;"")))</f>
        <v>20</v>
      </c>
      <c r="O19" s="9">
        <f>IF(OR($C19&lt;&gt;"",$D19&lt;&gt;"",I19=""),"",I19-SUMPRODUCT(--($C$3:$C$102="P"),--(I$3:I$102&lt;I19),--(I$3:I$102&lt;&gt;""))-SUMPRODUCT(--($D$3:$D$102="P"),--(I$3:I$102&lt;I19),--(I$3:I$102&lt;&gt;"")))</f>
        <v>46</v>
      </c>
      <c r="P19" s="9">
        <f>IF(OR($C19&lt;&gt;"",$D19&lt;&gt;"",J19=""),"",J19-SUMPRODUCT(--($C$3:$C$102="P"),--(J$3:J$102&lt;J19),--(J$3:J$102&lt;&gt;""))-SUMPRODUCT(--($D$3:$D$102="P"),--(J$3:J$102&lt;J19),--(J$3:J$102&lt;&gt;"")))</f>
        <v>3</v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9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17</v>
      </c>
      <c r="S19" s="9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5</v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11</v>
      </c>
      <c r="U19" s="9" t="str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/>
      </c>
      <c r="V19" s="9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>50</v>
      </c>
      <c r="W19" s="9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4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83.089419969999994</v>
      </c>
      <c r="Y19" s="2" t="str">
        <f>IF(OR(X19="",X19=0),"",IF(SUMPRODUCT(--(B$3:B$102=B19),--(X$3:X$102&gt;X19),--(X$3:X$102&lt;&gt;"")),"","P"))</f>
        <v>P</v>
      </c>
      <c r="Z19" s="2" t="str">
        <f>IF(X19="","",IF(SUMPRODUCT(--(C$3:C$102="P"),--(B$3:B$102=B19)),"P",""))</f>
        <v>P</v>
      </c>
      <c r="AA19" s="14" t="str">
        <f>IF(AND(Y19&lt;&gt;"",OR(Z19="",SUMPRODUCT(--(X$3:X$102&gt;X19),--(Z$3:Z$102="P"),--(Y$3:Y$102="P"))&lt;4)),X19,"")</f>
        <v/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106</v>
      </c>
      <c r="AC19" s="9">
        <f>COUNTIF(L19:Q19,"&lt;=8")</f>
        <v>1</v>
      </c>
      <c r="AD19" s="9">
        <f>MIN(L19:Q19)</f>
        <v>3</v>
      </c>
    </row>
    <row r="20" spans="1:30" x14ac:dyDescent="0.2">
      <c r="A20" s="7" t="s">
        <v>32</v>
      </c>
      <c r="B20" s="6" t="s">
        <v>24</v>
      </c>
      <c r="E20" s="3" t="str">
        <f>IF(AA20="","",RANK(AA20,AA:AA))</f>
        <v/>
      </c>
      <c r="F20" s="6">
        <v>19</v>
      </c>
      <c r="G20" s="6">
        <v>22</v>
      </c>
      <c r="H20" s="6">
        <v>13</v>
      </c>
      <c r="I20" s="6">
        <v>63</v>
      </c>
      <c r="J20" s="6">
        <v>5</v>
      </c>
      <c r="K20" s="6"/>
      <c r="L20" s="9">
        <f>IF(OR($C20&lt;&gt;"",$D20&lt;&gt;"",F20=""),"",F20-SUMPRODUCT(--($C$3:$C$102="P"),--(F$3:F$102&lt;F20),--(F$3:F$102&lt;&gt;""))-SUMPRODUCT(--($D$3:$D$102="P"),--(F$3:F$102&lt;F20),--(F$3:F$102&lt;&gt;"")))</f>
        <v>17</v>
      </c>
      <c r="M20" s="9">
        <f>IF(OR($C20&lt;&gt;"",$D20&lt;&gt;"",G20=""),"",G20-SUMPRODUCT(--($C$3:$C$102="P"),--(G$3:G$102&lt;G20),--(G$3:G$102&lt;&gt;""))-SUMPRODUCT(--($D$3:$D$102="P"),--(G$3:G$102&lt;G20),--(G$3:G$102&lt;&gt;"")))</f>
        <v>20</v>
      </c>
      <c r="N20" s="9">
        <f>IF(OR($C20&lt;&gt;"",$D20&lt;&gt;"",H20=""),"",H20-SUMPRODUCT(--($C$3:$C$102="P"),--(H$3:H$102&lt;H20),--(H$3:H$102&lt;&gt;""))-SUMPRODUCT(--($D$3:$D$102="P"),--(H$3:H$102&lt;H20),--(H$3:H$102&lt;&gt;"")))</f>
        <v>11</v>
      </c>
      <c r="O20" s="9">
        <f>IF(OR($C20&lt;&gt;"",$D20&lt;&gt;"",I20=""),"",I20-SUMPRODUCT(--($C$3:$C$102="P"),--(I$3:I$102&lt;I20),--(I$3:I$102&lt;&gt;""))-SUMPRODUCT(--($D$3:$D$102="P"),--(I$3:I$102&lt;I20),--(I$3:I$102&lt;&gt;"")))</f>
        <v>58</v>
      </c>
      <c r="P20" s="9">
        <f>IF(OR($C20&lt;&gt;"",$D20&lt;&gt;"",J20=""),"",J20-SUMPRODUCT(--($C$3:$C$102="P"),--(J$3:J$102&lt;J20),--(J$3:J$102&lt;&gt;""))-SUMPRODUCT(--($D$3:$D$102="P"),--(J$3:J$102&lt;J20),--(J$3:J$102&lt;&gt;"")))</f>
        <v>5</v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9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14</v>
      </c>
      <c r="S20" s="9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11</v>
      </c>
      <c r="T20" s="9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20</v>
      </c>
      <c r="U20" s="9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9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>38</v>
      </c>
      <c r="W20" s="9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4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83.089419950000007</v>
      </c>
      <c r="Y20" s="2" t="str">
        <f>IF(OR(X20="",X20=0),"",IF(SUMPRODUCT(--(B$3:B$102=B20),--(X$3:X$102&gt;X20),--(X$3:X$102&lt;&gt;"")),"","P"))</f>
        <v/>
      </c>
      <c r="Z20" s="2" t="str">
        <f>IF(X20="","",IF(SUMPRODUCT(--(C$3:C$102="P"),--(B$3:B$102=B20)),"P",""))</f>
        <v>P</v>
      </c>
      <c r="AA20" s="14" t="str">
        <f>IF(AND(Y20&lt;&gt;"",OR(Z20="",SUMPRODUCT(--(X$3:X$102&gt;X20),--(Z$3:Z$102="P"),--(Y$3:Y$102="P"))&lt;4)),X20,"")</f>
        <v/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106</v>
      </c>
      <c r="AC20" s="9">
        <f>COUNTIF(L20:Q20,"&lt;=8")</f>
        <v>1</v>
      </c>
      <c r="AD20" s="9">
        <f>MIN(L20:Q20)</f>
        <v>5</v>
      </c>
    </row>
    <row r="21" spans="1:30" x14ac:dyDescent="0.2">
      <c r="A21" s="7" t="s">
        <v>31</v>
      </c>
      <c r="B21" s="6" t="s">
        <v>56</v>
      </c>
      <c r="E21" s="3">
        <f>IF(AA21="","",RANK(AA21,AA:AA))</f>
        <v>5</v>
      </c>
      <c r="F21" s="6">
        <v>18</v>
      </c>
      <c r="G21" s="6">
        <v>12</v>
      </c>
      <c r="H21" s="6">
        <v>7</v>
      </c>
      <c r="I21" s="6">
        <v>22</v>
      </c>
      <c r="J21" s="6">
        <v>21</v>
      </c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16</v>
      </c>
      <c r="M21" s="9">
        <f>IF(OR($C21&lt;&gt;"",$D21&lt;&gt;"",G21=""),"",G21-SUMPRODUCT(--($C$3:$C$102="P"),--(G$3:G$102&lt;G21),--(G$3:G$102&lt;&gt;""))-SUMPRODUCT(--($D$3:$D$102="P"),--(G$3:G$102&lt;G21),--(G$3:G$102&lt;&gt;"")))</f>
        <v>10</v>
      </c>
      <c r="N21" s="9">
        <f>IF(OR($C21&lt;&gt;"",$D21&lt;&gt;"",H21=""),"",H21-SUMPRODUCT(--($C$3:$C$102="P"),--(H$3:H$102&lt;H21),--(H$3:H$102&lt;&gt;""))-SUMPRODUCT(--($D$3:$D$102="P"),--(H$3:H$102&lt;H21),--(H$3:H$102&lt;&gt;"")))</f>
        <v>6</v>
      </c>
      <c r="O21" s="9">
        <f>IF(OR($C21&lt;&gt;"",$D21&lt;&gt;"",I21=""),"",I21-SUMPRODUCT(--($C$3:$C$102="P"),--(I$3:I$102&lt;I21),--(I$3:I$102&lt;&gt;""))-SUMPRODUCT(--($D$3:$D$102="P"),--(I$3:I$102&lt;I21),--(I$3:I$102&lt;&gt;"")))</f>
        <v>19</v>
      </c>
      <c r="P21" s="9">
        <f>IF(OR($C21&lt;&gt;"",$D21&lt;&gt;"",J21=""),"",J21-SUMPRODUCT(--($C$3:$C$102="P"),--(J$3:J$102&lt;J21),--(J$3:J$102&lt;&gt;""))-SUMPRODUCT(--($D$3:$D$102="P"),--(J$3:J$102&lt;J21),--(J$3:J$102&lt;&gt;"")))</f>
        <v>19</v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9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15</v>
      </c>
      <c r="S21" s="9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>21</v>
      </c>
      <c r="T21" s="9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>32</v>
      </c>
      <c r="U21" s="9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12</v>
      </c>
      <c r="V21" s="9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>12</v>
      </c>
      <c r="W21" s="9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4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80.093619939999996</v>
      </c>
      <c r="Y21" s="2" t="str">
        <f>IF(OR(X21="",X21=0),"",IF(SUMPRODUCT(--(B$3:B$102=B21),--(X$3:X$102&gt;X21),--(X$3:X$102&lt;&gt;"")),"","P"))</f>
        <v>P</v>
      </c>
      <c r="Z21" s="2" t="str">
        <f>IF(X21="","",IF(SUMPRODUCT(--(C$3:C$102="P"),--(B$3:B$102=B21)),"P",""))</f>
        <v/>
      </c>
      <c r="AA21" s="14">
        <f>IF(AND(Y21&lt;&gt;"",OR(Z21="",SUMPRODUCT(--(X$3:X$102&gt;X21),--(Z$3:Z$102="P"),--(Y$3:Y$102="P"))&lt;4)),X21,"")</f>
        <v>80.093619939999996</v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64</v>
      </c>
      <c r="AC21" s="9">
        <f>COUNTIF(L21:Q21,"&lt;=8")</f>
        <v>1</v>
      </c>
      <c r="AD21" s="9">
        <f>MIN(L21:Q21)</f>
        <v>6</v>
      </c>
    </row>
    <row r="22" spans="1:30" x14ac:dyDescent="0.2">
      <c r="A22" s="7" t="s">
        <v>155</v>
      </c>
      <c r="B22" s="6" t="s">
        <v>16</v>
      </c>
      <c r="E22" s="3" t="str">
        <f>IF(AA22="","",RANK(AA22,AA:AA))</f>
        <v/>
      </c>
      <c r="F22" s="6"/>
      <c r="G22" s="6"/>
      <c r="H22" s="6">
        <v>9</v>
      </c>
      <c r="I22" s="6">
        <v>9</v>
      </c>
      <c r="J22" s="6">
        <v>9</v>
      </c>
      <c r="K22" s="6"/>
      <c r="L22" s="9" t="str">
        <f>IF(OR($C22&lt;&gt;"",$D22&lt;&gt;"",F22=""),"",F22-SUMPRODUCT(--($C$3:$C$102="P"),--(F$3:F$102&lt;F22),--(F$3:F$102&lt;&gt;""))-SUMPRODUCT(--($D$3:$D$102="P"),--(F$3:F$102&lt;F22),--(F$3:F$102&lt;&gt;"")))</f>
        <v/>
      </c>
      <c r="M22" s="9" t="str">
        <f>IF(OR($C22&lt;&gt;"",$D22&lt;&gt;"",G22=""),"",G22-SUMPRODUCT(--($C$3:$C$102="P"),--(G$3:G$102&lt;G22),--(G$3:G$102&lt;&gt;""))-SUMPRODUCT(--($D$3:$D$102="P"),--(G$3:G$102&lt;G22),--(G$3:G$102&lt;&gt;"")))</f>
        <v/>
      </c>
      <c r="N22" s="9">
        <f>IF(OR($C22&lt;&gt;"",$D22&lt;&gt;"",H22=""),"",H22-SUMPRODUCT(--($C$3:$C$102="P"),--(H$3:H$102&lt;H22),--(H$3:H$102&lt;&gt;""))-SUMPRODUCT(--($D$3:$D$102="P"),--(H$3:H$102&lt;H22),--(H$3:H$102&lt;&gt;"")))</f>
        <v>8</v>
      </c>
      <c r="O22" s="9">
        <f>IF(OR($C22&lt;&gt;"",$D22&lt;&gt;"",I22=""),"",I22-SUMPRODUCT(--($C$3:$C$102="P"),--(I$3:I$102&lt;I22),--(I$3:I$102&lt;&gt;""))-SUMPRODUCT(--($D$3:$D$102="P"),--(I$3:I$102&lt;I22),--(I$3:I$102&lt;&gt;"")))</f>
        <v>8</v>
      </c>
      <c r="P22" s="9">
        <f>IF(OR($C22&lt;&gt;"",$D22&lt;&gt;"",J22=""),"",J22-SUMPRODUCT(--($C$3:$C$102="P"),--(J$3:J$102&lt;J22),--(J$3:J$102&lt;&gt;""))-SUMPRODUCT(--($D$3:$D$102="P"),--(J$3:J$102&lt;J22),--(J$3:J$102&lt;&gt;"")))</f>
        <v>9</v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9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S22" s="9" t="str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/>
      </c>
      <c r="T22" s="9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>25</v>
      </c>
      <c r="U22" s="9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>25</v>
      </c>
      <c r="V22" s="9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>22</v>
      </c>
      <c r="W22" s="9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4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72.097529919999999</v>
      </c>
      <c r="Y22" s="2" t="str">
        <f>IF(OR(X22="",X22=0),"",IF(SUMPRODUCT(--(B$3:B$102=B22),--(X$3:X$102&gt;X22),--(X$3:X$102&lt;&gt;"")),"","P"))</f>
        <v/>
      </c>
      <c r="Z22" s="2" t="str">
        <f>IF(X22="","",IF(SUMPRODUCT(--(C$3:C$102="P"),--(B$3:B$102=B22)),"P",""))</f>
        <v>P</v>
      </c>
      <c r="AA22" s="14" t="str">
        <f>IF(AND(Y22&lt;&gt;"",OR(Z22="",SUMPRODUCT(--(X$3:X$102&gt;X22),--(Z$3:Z$102="P"),--(Y$3:Y$102="P"))&lt;4)),X22,"")</f>
        <v/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25</v>
      </c>
      <c r="AC22" s="9">
        <f>COUNTIF(L22:Q22,"&lt;=8")</f>
        <v>2</v>
      </c>
      <c r="AD22" s="9">
        <f>MIN(L22:Q22)</f>
        <v>8</v>
      </c>
    </row>
    <row r="23" spans="1:30" x14ac:dyDescent="0.2">
      <c r="A23" s="7" t="s">
        <v>12</v>
      </c>
      <c r="B23" s="6" t="s">
        <v>19</v>
      </c>
      <c r="E23" s="3">
        <f>IF(AA23="","",RANK(AA23,AA:AA))</f>
        <v>6</v>
      </c>
      <c r="F23" s="6">
        <v>4</v>
      </c>
      <c r="G23" s="6">
        <v>11</v>
      </c>
      <c r="H23" s="6"/>
      <c r="I23" s="6"/>
      <c r="J23" s="6">
        <v>50</v>
      </c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3</v>
      </c>
      <c r="M23" s="9">
        <f>IF(OR($C23&lt;&gt;"",$D23&lt;&gt;"",G23=""),"",G23-SUMPRODUCT(--($C$3:$C$102="P"),--(G$3:G$102&lt;G23),--(G$3:G$102&lt;&gt;""))-SUMPRODUCT(--($D$3:$D$102="P"),--(G$3:G$102&lt;G23),--(G$3:G$102&lt;&gt;"")))</f>
        <v>9</v>
      </c>
      <c r="N23" s="9" t="str">
        <f>IF(OR($C23&lt;&gt;"",$D23&lt;&gt;"",H23=""),"",H23-SUMPRODUCT(--($C$3:$C$102="P"),--(H$3:H$102&lt;H23),--(H$3:H$102&lt;&gt;""))-SUMPRODUCT(--($D$3:$D$102="P"),--(H$3:H$102&lt;H23),--(H$3:H$102&lt;&gt;"")))</f>
        <v/>
      </c>
      <c r="O23" s="9" t="str">
        <f>IF(OR($C23&lt;&gt;"",$D23&lt;&gt;"",I23=""),"",I23-SUMPRODUCT(--($C$3:$C$102="P"),--(I$3:I$102&lt;I23),--(I$3:I$102&lt;&gt;""))-SUMPRODUCT(--($D$3:$D$102="P"),--(I$3:I$102&lt;I23),--(I$3:I$102&lt;&gt;"")))</f>
        <v/>
      </c>
      <c r="P23" s="9">
        <f>IF(OR($C23&lt;&gt;"",$D23&lt;&gt;"",J23=""),"",J23-SUMPRODUCT(--($C$3:$C$102="P"),--(J$3:J$102&lt;J23),--(J$3:J$102&lt;&gt;""))-SUMPRODUCT(--($D$3:$D$102="P"),--(J$3:J$102&lt;J23),--(J$3:J$102&lt;&gt;"")))</f>
        <v>46</v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9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50</v>
      </c>
      <c r="S23" s="9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22</v>
      </c>
      <c r="T23" s="9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9" t="str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/>
      </c>
      <c r="V23" s="9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4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72.094219969999997</v>
      </c>
      <c r="Y23" s="2" t="str">
        <f>IF(OR(X23="",X23=0),"",IF(SUMPRODUCT(--(B$3:B$102=B23),--(X$3:X$102&gt;X23),--(X$3:X$102&lt;&gt;"")),"","P"))</f>
        <v>P</v>
      </c>
      <c r="Z23" s="2" t="str">
        <f>IF(X23="","",IF(SUMPRODUCT(--(C$3:C$102="P"),--(B$3:B$102=B23)),"P",""))</f>
        <v/>
      </c>
      <c r="AA23" s="14">
        <f>IF(AND(Y23&lt;&gt;"",OR(Z23="",SUMPRODUCT(--(X$3:X$102&gt;X23),--(Z$3:Z$102="P"),--(Y$3:Y$102="P"))&lt;4)),X23,"")</f>
        <v>72.094219969999997</v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58</v>
      </c>
      <c r="AC23" s="9">
        <f>COUNTIF(L23:Q23,"&lt;=8")</f>
        <v>1</v>
      </c>
      <c r="AD23" s="9">
        <f>MIN(L23:Q23)</f>
        <v>3</v>
      </c>
    </row>
    <row r="24" spans="1:30" x14ac:dyDescent="0.2">
      <c r="A24" s="7" t="s">
        <v>45</v>
      </c>
      <c r="B24" s="6" t="s">
        <v>17</v>
      </c>
      <c r="E24" s="3" t="str">
        <f>IF(AA24="","",RANK(AA24,AA:AA))</f>
        <v/>
      </c>
      <c r="F24" s="6">
        <v>33</v>
      </c>
      <c r="G24" s="6">
        <v>21</v>
      </c>
      <c r="H24" s="6">
        <v>44</v>
      </c>
      <c r="I24" s="6">
        <v>6</v>
      </c>
      <c r="J24" s="6">
        <v>18</v>
      </c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30</v>
      </c>
      <c r="M24" s="9">
        <f>IF(OR($C24&lt;&gt;"",$D24&lt;&gt;"",G24=""),"",G24-SUMPRODUCT(--($C$3:$C$102="P"),--(G$3:G$102&lt;G24),--(G$3:G$102&lt;&gt;""))-SUMPRODUCT(--($D$3:$D$102="P"),--(G$3:G$102&lt;G24),--(G$3:G$102&lt;&gt;"")))</f>
        <v>19</v>
      </c>
      <c r="N24" s="9">
        <f>IF(OR($C24&lt;&gt;"",$D24&lt;&gt;"",H24=""),"",H24-SUMPRODUCT(--($C$3:$C$102="P"),--(H$3:H$102&lt;H24),--(H$3:H$102&lt;&gt;""))-SUMPRODUCT(--($D$3:$D$102="P"),--(H$3:H$102&lt;H24),--(H$3:H$102&lt;&gt;"")))</f>
        <v>39</v>
      </c>
      <c r="O24" s="9">
        <f>IF(OR($C24&lt;&gt;"",$D24&lt;&gt;"",I24=""),"",I24-SUMPRODUCT(--($C$3:$C$102="P"),--(I$3:I$102&lt;I24),--(I$3:I$102&lt;&gt;""))-SUMPRODUCT(--($D$3:$D$102="P"),--(I$3:I$102&lt;I24),--(I$3:I$102&lt;&gt;"")))</f>
        <v>5</v>
      </c>
      <c r="P24" s="9">
        <f>IF(OR($C24&lt;&gt;"",$D24&lt;&gt;"",J24=""),"",J24-SUMPRODUCT(--($C$3:$C$102="P"),--(J$3:J$102&lt;J24),--(J$3:J$102&lt;&gt;""))-SUMPRODUCT(--($D$3:$D$102="P"),--(J$3:J$102&lt;J24),--(J$3:J$102&lt;&gt;"")))</f>
        <v>16</v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9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1</v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12</v>
      </c>
      <c r="T24" s="9" t="str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/>
      </c>
      <c r="U24" s="9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>38</v>
      </c>
      <c r="V24" s="9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>15</v>
      </c>
      <c r="W24" s="9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4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66.089619950000014</v>
      </c>
      <c r="Y24" s="2" t="str">
        <f>IF(OR(X24="",X24=0),"",IF(SUMPRODUCT(--(B$3:B$102=B24),--(X$3:X$102&gt;X24),--(X$3:X$102&lt;&gt;"")),"","P"))</f>
        <v/>
      </c>
      <c r="Z24" s="2" t="str">
        <f>IF(X24="","",IF(SUMPRODUCT(--(C$3:C$102="P"),--(B$3:B$102=B24)),"P",""))</f>
        <v>P</v>
      </c>
      <c r="AA24" s="14" t="str">
        <f>IF(AND(Y24&lt;&gt;"",OR(Z24="",SUMPRODUCT(--(X$3:X$102&gt;X24),--(Z$3:Z$102="P"),--(Y$3:Y$102="P"))&lt;4)),X24,"")</f>
        <v/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104</v>
      </c>
      <c r="AC24" s="9">
        <f>COUNTIF(L24:Q24,"&lt;=8")</f>
        <v>1</v>
      </c>
      <c r="AD24" s="9">
        <f>MIN(L24:Q24)</f>
        <v>5</v>
      </c>
    </row>
    <row r="25" spans="1:30" x14ac:dyDescent="0.2">
      <c r="A25" s="7" t="s">
        <v>37</v>
      </c>
      <c r="B25" s="6" t="s">
        <v>53</v>
      </c>
      <c r="E25" s="3">
        <f>IF(AA25="","",RANK(AA25,AA:AA))</f>
        <v>7</v>
      </c>
      <c r="F25" s="6">
        <v>24</v>
      </c>
      <c r="G25" s="6">
        <v>34</v>
      </c>
      <c r="H25" s="6">
        <v>10</v>
      </c>
      <c r="I25" s="6">
        <v>19</v>
      </c>
      <c r="J25" s="6">
        <v>15</v>
      </c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21</v>
      </c>
      <c r="M25" s="9">
        <f>IF(OR($C25&lt;&gt;"",$D25&lt;&gt;"",G25=""),"",G25-SUMPRODUCT(--($C$3:$C$102="P"),--(G$3:G$102&lt;G25),--(G$3:G$102&lt;&gt;""))-SUMPRODUCT(--($D$3:$D$102="P"),--(G$3:G$102&lt;G25),--(G$3:G$102&lt;&gt;"")))</f>
        <v>32</v>
      </c>
      <c r="N25" s="9">
        <f>IF(OR($C25&lt;&gt;"",$D25&lt;&gt;"",H25=""),"",H25-SUMPRODUCT(--($C$3:$C$102="P"),--(H$3:H$102&lt;H25),--(H$3:H$102&lt;&gt;""))-SUMPRODUCT(--($D$3:$D$102="P"),--(H$3:H$102&lt;H25),--(H$3:H$102&lt;&gt;"")))</f>
        <v>9</v>
      </c>
      <c r="O25" s="9">
        <f>IF(OR($C25&lt;&gt;"",$D25&lt;&gt;"",I25=""),"",I25-SUMPRODUCT(--($C$3:$C$102="P"),--(I$3:I$102&lt;I25),--(I$3:I$102&lt;&gt;""))-SUMPRODUCT(--($D$3:$D$102="P"),--(I$3:I$102&lt;I25),--(I$3:I$102&lt;&gt;"")))</f>
        <v>16</v>
      </c>
      <c r="P25" s="9">
        <f>IF(OR($C25&lt;&gt;"",$D25&lt;&gt;"",J25=""),"",J25-SUMPRODUCT(--($C$3:$C$102="P"),--(J$3:J$102&lt;J25),--(J$3:J$102&lt;&gt;""))-SUMPRODUCT(--($D$3:$D$102="P"),--(J$3:J$102&lt;J25),--(J$3:J$102&lt;&gt;"")))</f>
        <v>13</v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9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10</v>
      </c>
      <c r="S25" s="9" t="str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/>
      </c>
      <c r="T25" s="9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22</v>
      </c>
      <c r="U25" s="9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15</v>
      </c>
      <c r="V25" s="9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>18</v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4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65.091809910000009</v>
      </c>
      <c r="Y25" s="2" t="str">
        <f>IF(OR(X25="",X25=0),"",IF(SUMPRODUCT(--(B$3:B$102=B25),--(X$3:X$102&gt;X25),--(X$3:X$102&lt;&gt;"")),"","P"))</f>
        <v>P</v>
      </c>
      <c r="Z25" s="2" t="str">
        <f>IF(X25="","",IF(SUMPRODUCT(--(C$3:C$102="P"),--(B$3:B$102=B25)),"P",""))</f>
        <v/>
      </c>
      <c r="AA25" s="14">
        <f>IF(AND(Y25&lt;&gt;"",OR(Z25="",SUMPRODUCT(--(X$3:X$102&gt;X25),--(Z$3:Z$102="P"),--(Y$3:Y$102="P"))&lt;4)),X25,"")</f>
        <v>65.091809910000009</v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82</v>
      </c>
      <c r="AC25" s="9">
        <f>COUNTIF(L25:Q25,"&lt;=8")</f>
        <v>0</v>
      </c>
      <c r="AD25" s="9">
        <f>MIN(L25:Q25)</f>
        <v>9</v>
      </c>
    </row>
    <row r="26" spans="1:30" x14ac:dyDescent="0.2">
      <c r="A26" s="7" t="s">
        <v>27</v>
      </c>
      <c r="B26" s="6" t="s">
        <v>54</v>
      </c>
      <c r="E26" s="3">
        <f>IF(AA26="","",RANK(AA26,AA:AA))</f>
        <v>8</v>
      </c>
      <c r="F26" s="6">
        <v>14</v>
      </c>
      <c r="G26" s="6">
        <v>31</v>
      </c>
      <c r="H26" s="6">
        <v>26</v>
      </c>
      <c r="I26" s="6">
        <v>16</v>
      </c>
      <c r="J26" s="6">
        <v>17</v>
      </c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12</v>
      </c>
      <c r="M26" s="9">
        <f>IF(OR($C26&lt;&gt;"",$D26&lt;&gt;"",G26=""),"",G26-SUMPRODUCT(--($C$3:$C$102="P"),--(G$3:G$102&lt;G26),--(G$3:G$102&lt;&gt;""))-SUMPRODUCT(--($D$3:$D$102="P"),--(G$3:G$102&lt;G26),--(G$3:G$102&lt;&gt;"")))</f>
        <v>29</v>
      </c>
      <c r="N26" s="9">
        <f>IF(OR($C26&lt;&gt;"",$D26&lt;&gt;"",H26=""),"",H26-SUMPRODUCT(--($C$3:$C$102="P"),--(H$3:H$102&lt;H26),--(H$3:H$102&lt;&gt;""))-SUMPRODUCT(--($D$3:$D$102="P"),--(H$3:H$102&lt;H26),--(H$3:H$102&lt;&gt;"")))</f>
        <v>22</v>
      </c>
      <c r="O26" s="9">
        <f>IF(OR($C26&lt;&gt;"",$D26&lt;&gt;"",I26=""),"",I26-SUMPRODUCT(--($C$3:$C$102="P"),--(I$3:I$102&lt;I26),--(I$3:I$102&lt;&gt;""))-SUMPRODUCT(--($D$3:$D$102="P"),--(I$3:I$102&lt;I26),--(I$3:I$102&lt;&gt;"")))</f>
        <v>14</v>
      </c>
      <c r="P26" s="9">
        <f>IF(OR($C26&lt;&gt;"",$D26&lt;&gt;"",J26=""),"",J26-SUMPRODUCT(--($C$3:$C$102="P"),--(J$3:J$102&lt;J26),--(J$3:J$102&lt;&gt;""))-SUMPRODUCT(--($D$3:$D$102="P"),--(J$3:J$102&lt;J26),--(J$3:J$102&lt;&gt;"")))</f>
        <v>15</v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9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19</v>
      </c>
      <c r="S26" s="9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>2</v>
      </c>
      <c r="T26" s="9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9</v>
      </c>
      <c r="U26" s="9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17</v>
      </c>
      <c r="V26" s="9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>16</v>
      </c>
      <c r="W26" s="9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4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61.092009879999999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/>
      </c>
      <c r="AA26" s="14">
        <f>IF(AND(Y26&lt;&gt;"",OR(Z26="",SUMPRODUCT(--(X$3:X$102&gt;X26),--(Z$3:Z$102="P"),--(Y$3:Y$102="P"))&lt;4)),X26,"")</f>
        <v>61.092009879999999</v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80</v>
      </c>
      <c r="AC26" s="9">
        <f>COUNTIF(L26:Q26,"&lt;=8")</f>
        <v>0</v>
      </c>
      <c r="AD26" s="9">
        <f>MIN(L26:Q26)</f>
        <v>12</v>
      </c>
    </row>
    <row r="27" spans="1:30" x14ac:dyDescent="0.2">
      <c r="A27" s="7" t="s">
        <v>158</v>
      </c>
      <c r="B27" s="6" t="s">
        <v>59</v>
      </c>
      <c r="E27" s="3">
        <f>IF(AA27="","",RANK(AA27,AA:AA))</f>
        <v>9</v>
      </c>
      <c r="F27" s="6">
        <v>32</v>
      </c>
      <c r="G27" s="6">
        <v>19</v>
      </c>
      <c r="H27" s="6">
        <v>27</v>
      </c>
      <c r="I27" s="6">
        <v>23</v>
      </c>
      <c r="J27" s="6">
        <v>8</v>
      </c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29</v>
      </c>
      <c r="M27" s="9">
        <f>IF(OR($C27&lt;&gt;"",$D27&lt;&gt;"",G27=""),"",G27-SUMPRODUCT(--($C$3:$C$102="P"),--(G$3:G$102&lt;G27),--(G$3:G$102&lt;&gt;""))-SUMPRODUCT(--($D$3:$D$102="P"),--(G$3:G$102&lt;G27),--(G$3:G$102&lt;&gt;"")))</f>
        <v>17</v>
      </c>
      <c r="N27" s="9">
        <f>IF(OR($C27&lt;&gt;"",$D27&lt;&gt;"",H27=""),"",H27-SUMPRODUCT(--($C$3:$C$102="P"),--(H$3:H$102&lt;H27),--(H$3:H$102&lt;&gt;""))-SUMPRODUCT(--($D$3:$D$102="P"),--(H$3:H$102&lt;H27),--(H$3:H$102&lt;&gt;"")))</f>
        <v>23</v>
      </c>
      <c r="O27" s="9">
        <f>IF(OR($C27&lt;&gt;"",$D27&lt;&gt;"",I27=""),"",I27-SUMPRODUCT(--($C$3:$C$102="P"),--(I$3:I$102&lt;I27),--(I$3:I$102&lt;&gt;""))-SUMPRODUCT(--($D$3:$D$102="P"),--(I$3:I$102&lt;I27),--(I$3:I$102&lt;&gt;"")))</f>
        <v>20</v>
      </c>
      <c r="P27" s="9">
        <f>IF(OR($C27&lt;&gt;"",$D27&lt;&gt;"",J27=""),"",J27-SUMPRODUCT(--($C$3:$C$102="P"),--(J$3:J$102&lt;J27),--(J$3:J$102&lt;&gt;""))-SUMPRODUCT(--($D$3:$D$102="P"),--(J$3:J$102&lt;J27),--(J$3:J$102&lt;&gt;"")))</f>
        <v>8</v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9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>2</v>
      </c>
      <c r="S27" s="9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>14</v>
      </c>
      <c r="T27" s="9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8</v>
      </c>
      <c r="U27" s="9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>11</v>
      </c>
      <c r="V27" s="9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>25</v>
      </c>
      <c r="W27" s="9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4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58.091119919999997</v>
      </c>
      <c r="Y27" s="2" t="str">
        <f>IF(OR(X27="",X27=0),"",IF(SUMPRODUCT(--(B$3:B$102=B27),--(X$3:X$102&gt;X27),--(X$3:X$102&lt;&gt;"")),"","P"))</f>
        <v>P</v>
      </c>
      <c r="Z27" s="2" t="str">
        <f>IF(X27="","",IF(SUMPRODUCT(--(C$3:C$102="P"),--(B$3:B$102=B27)),"P",""))</f>
        <v/>
      </c>
      <c r="AA27" s="14">
        <f>IF(AND(Y27&lt;&gt;"",OR(Z27="",SUMPRODUCT(--(X$3:X$102&gt;X27),--(Z$3:Z$102="P"),--(Y$3:Y$102="P"))&lt;4)),X27,"")</f>
        <v>58.091119919999997</v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89</v>
      </c>
      <c r="AC27" s="9">
        <f>COUNTIF(L27:Q27,"&lt;=8")</f>
        <v>1</v>
      </c>
      <c r="AD27" s="9">
        <f>MIN(L27:Q27)</f>
        <v>8</v>
      </c>
    </row>
    <row r="28" spans="1:30" x14ac:dyDescent="0.2">
      <c r="A28" s="7" t="s">
        <v>28</v>
      </c>
      <c r="B28" s="6" t="s">
        <v>55</v>
      </c>
      <c r="E28" s="3">
        <f>IF(AA28="","",RANK(AA28,AA:AA))</f>
        <v>10</v>
      </c>
      <c r="F28" s="6">
        <v>15</v>
      </c>
      <c r="G28" s="6">
        <v>17</v>
      </c>
      <c r="H28" s="6">
        <v>14</v>
      </c>
      <c r="I28" s="6">
        <v>64</v>
      </c>
      <c r="J28" s="6">
        <v>29</v>
      </c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13</v>
      </c>
      <c r="M28" s="9">
        <f>IF(OR($C28&lt;&gt;"",$D28&lt;&gt;"",G28=""),"",G28-SUMPRODUCT(--($C$3:$C$102="P"),--(G$3:G$102&lt;G28),--(G$3:G$102&lt;&gt;""))-SUMPRODUCT(--($D$3:$D$102="P"),--(G$3:G$102&lt;G28),--(G$3:G$102&lt;&gt;"")))</f>
        <v>15</v>
      </c>
      <c r="N28" s="9">
        <f>IF(OR($C28&lt;&gt;"",$D28&lt;&gt;"",H28=""),"",H28-SUMPRODUCT(--($C$3:$C$102="P"),--(H$3:H$102&lt;H28),--(H$3:H$102&lt;&gt;""))-SUMPRODUCT(--($D$3:$D$102="P"),--(H$3:H$102&lt;H28),--(H$3:H$102&lt;&gt;"")))</f>
        <v>12</v>
      </c>
      <c r="O28" s="9">
        <f>IF(OR($C28&lt;&gt;"",$D28&lt;&gt;"",I28=""),"",I28-SUMPRODUCT(--($C$3:$C$102="P"),--(I$3:I$102&lt;I28),--(I$3:I$102&lt;&gt;""))-SUMPRODUCT(--($D$3:$D$102="P"),--(I$3:I$102&lt;I28),--(I$3:I$102&lt;&gt;"")))</f>
        <v>59</v>
      </c>
      <c r="P28" s="9">
        <f>IF(OR($C28&lt;&gt;"",$D28&lt;&gt;"",J28=""),"",J28-SUMPRODUCT(--($C$3:$C$102="P"),--(J$3:J$102&lt;J28),--(J$3:J$102&lt;&gt;""))-SUMPRODUCT(--($D$3:$D$102="P"),--(J$3:J$102&lt;J28),--(J$3:J$102&lt;&gt;"")))</f>
        <v>27</v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9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18</v>
      </c>
      <c r="S28" s="9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16</v>
      </c>
      <c r="T28" s="9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19</v>
      </c>
      <c r="U28" s="9" t="str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/>
      </c>
      <c r="V28" s="9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>4</v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4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57.08860988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/>
      </c>
      <c r="AA28" s="14">
        <f>IF(AND(Y28&lt;&gt;"",OR(Z28="",SUMPRODUCT(--(X$3:X$102&gt;X28),--(Z$3:Z$102="P"),--(Y$3:Y$102="P"))&lt;4)),X28,"")</f>
        <v>57.08860988</v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114</v>
      </c>
      <c r="AC28" s="9">
        <f>COUNTIF(L28:Q28,"&lt;=8")</f>
        <v>0</v>
      </c>
      <c r="AD28" s="9">
        <f>MIN(L28:Q28)</f>
        <v>12</v>
      </c>
    </row>
    <row r="29" spans="1:30" x14ac:dyDescent="0.2">
      <c r="A29" s="7" t="s">
        <v>25</v>
      </c>
      <c r="B29" s="6" t="s">
        <v>53</v>
      </c>
      <c r="E29" s="3" t="str">
        <f>IF(AA29="","",RANK(AA29,AA:AA))</f>
        <v/>
      </c>
      <c r="F29" s="6">
        <v>12</v>
      </c>
      <c r="G29" s="6">
        <v>50</v>
      </c>
      <c r="H29" s="6">
        <v>15</v>
      </c>
      <c r="I29" s="6">
        <v>20</v>
      </c>
      <c r="J29" s="6"/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10</v>
      </c>
      <c r="M29" s="9">
        <f>IF(OR($C29&lt;&gt;"",$D29&lt;&gt;"",G29=""),"",G29-SUMPRODUCT(--($C$3:$C$102="P"),--(G$3:G$102&lt;G29),--(G$3:G$102&lt;&gt;""))-SUMPRODUCT(--($D$3:$D$102="P"),--(G$3:G$102&lt;G29),--(G$3:G$102&lt;&gt;"")))</f>
        <v>48</v>
      </c>
      <c r="N29" s="9">
        <f>IF(OR($C29&lt;&gt;"",$D29&lt;&gt;"",H29=""),"",H29-SUMPRODUCT(--($C$3:$C$102="P"),--(H$3:H$102&lt;H29),--(H$3:H$102&lt;&gt;""))-SUMPRODUCT(--($D$3:$D$102="P"),--(H$3:H$102&lt;H29),--(H$3:H$102&lt;&gt;"")))</f>
        <v>13</v>
      </c>
      <c r="O29" s="9">
        <f>IF(OR($C29&lt;&gt;"",$D29&lt;&gt;"",I29=""),"",I29-SUMPRODUCT(--($C$3:$C$102="P"),--(I$3:I$102&lt;I29),--(I$3:I$102&lt;&gt;""))-SUMPRODUCT(--($D$3:$D$102="P"),--(I$3:I$102&lt;I29),--(I$3:I$102&lt;&gt;"")))</f>
        <v>17</v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9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21</v>
      </c>
      <c r="S29" s="9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9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>18</v>
      </c>
      <c r="U29" s="9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14</v>
      </c>
      <c r="V29" s="9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4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53.091209900000003</v>
      </c>
      <c r="Y29" s="2" t="str">
        <f>IF(OR(X29="",X29=0),"",IF(SUMPRODUCT(--(B$3:B$102=B29),--(X$3:X$102&gt;X29),--(X$3:X$102&lt;&gt;"")),"","P"))</f>
        <v/>
      </c>
      <c r="Z29" s="2" t="str">
        <f>IF(X29="","",IF(SUMPRODUCT(--(C$3:C$102="P"),--(B$3:B$102=B29)),"P",""))</f>
        <v/>
      </c>
      <c r="AA29" s="14" t="str">
        <f>IF(AND(Y29&lt;&gt;"",OR(Z29="",SUMPRODUCT(--(X$3:X$102&gt;X29),--(Z$3:Z$102="P"),--(Y$3:Y$102="P"))&lt;4)),X29,"")</f>
        <v/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88</v>
      </c>
      <c r="AC29" s="9">
        <f>COUNTIF(L29:Q29,"&lt;=8")</f>
        <v>0</v>
      </c>
      <c r="AD29" s="9">
        <f>MIN(L29:Q29)</f>
        <v>10</v>
      </c>
    </row>
    <row r="30" spans="1:30" x14ac:dyDescent="0.2">
      <c r="A30" s="7" t="s">
        <v>141</v>
      </c>
      <c r="B30" s="6" t="s">
        <v>18</v>
      </c>
      <c r="E30" s="3" t="str">
        <f>IF(AA30="","",RANK(AA30,AA:AA))</f>
        <v/>
      </c>
      <c r="F30" s="6"/>
      <c r="G30" s="6">
        <v>14</v>
      </c>
      <c r="H30" s="6"/>
      <c r="I30" s="6"/>
      <c r="J30" s="6">
        <v>7</v>
      </c>
      <c r="K30" s="6"/>
      <c r="L30" s="9" t="str">
        <f>IF(OR($C30&lt;&gt;"",$D30&lt;&gt;"",F30=""),"",F30-SUMPRODUCT(--($C$3:$C$102="P"),--(F$3:F$102&lt;F30),--(F$3:F$102&lt;&gt;""))-SUMPRODUCT(--($D$3:$D$102="P"),--(F$3:F$102&lt;F30),--(F$3:F$102&lt;&gt;"")))</f>
        <v/>
      </c>
      <c r="M30" s="9">
        <f>IF(OR($C30&lt;&gt;"",$D30&lt;&gt;"",G30=""),"",G30-SUMPRODUCT(--($C$3:$C$102="P"),--(G$3:G$102&lt;G30),--(G$3:G$102&lt;&gt;""))-SUMPRODUCT(--($D$3:$D$102="P"),--(G$3:G$102&lt;G30),--(G$3:G$102&lt;&gt;"")))</f>
        <v>12</v>
      </c>
      <c r="N30" s="9" t="str">
        <f>IF(OR($C30&lt;&gt;"",$D30&lt;&gt;"",H30=""),"",H30-SUMPRODUCT(--($C$3:$C$102="P"),--(H$3:H$102&lt;H30),--(H$3:H$102&lt;&gt;""))-SUMPRODUCT(--($D$3:$D$102="P"),--(H$3:H$102&lt;H30),--(H$3:H$102&lt;&gt;"")))</f>
        <v/>
      </c>
      <c r="O30" s="9" t="str">
        <f>IF(OR($C30&lt;&gt;"",$D30&lt;&gt;"",I30=""),"",I30-SUMPRODUCT(--($C$3:$C$102="P"),--(I$3:I$102&lt;I30),--(I$3:I$102&lt;&gt;""))-SUMPRODUCT(--($D$3:$D$102="P"),--(I$3:I$102&lt;I30),--(I$3:I$102&lt;&gt;"")))</f>
        <v/>
      </c>
      <c r="P30" s="9">
        <f>IF(OR($C30&lt;&gt;"",$D30&lt;&gt;"",J30=""),"",J30-SUMPRODUCT(--($C$3:$C$102="P"),--(J$3:J$102&lt;J30),--(J$3:J$102&lt;&gt;""))-SUMPRODUCT(--($D$3:$D$102="P"),--(J$3:J$102&lt;J30),--(J$3:J$102&lt;&gt;"")))</f>
        <v>7</v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9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S30" s="9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19</v>
      </c>
      <c r="T30" s="9" t="str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/>
      </c>
      <c r="U30" s="9" t="str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/>
      </c>
      <c r="V30" s="9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>28</v>
      </c>
      <c r="W30" s="9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4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47.098119930000003</v>
      </c>
      <c r="Y30" s="2" t="str">
        <f>IF(OR(X30="",X30=0),"",IF(SUMPRODUCT(--(B$3:B$102=B30),--(X$3:X$102&gt;X30),--(X$3:X$102&lt;&gt;"")),"","P"))</f>
        <v/>
      </c>
      <c r="Z30" s="2" t="str">
        <f>IF(X30="","",IF(SUMPRODUCT(--(C$3:C$102="P"),--(B$3:B$102=B30)),"P",""))</f>
        <v>P</v>
      </c>
      <c r="AA30" s="14" t="str">
        <f>IF(AND(Y30&lt;&gt;"",OR(Z30="",SUMPRODUCT(--(X$3:X$102&gt;X30),--(Z$3:Z$102="P"),--(Y$3:Y$102="P"))&lt;4)),X30,"")</f>
        <v/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19</v>
      </c>
      <c r="AC30" s="9">
        <f>COUNTIF(L30:Q30,"&lt;=8")</f>
        <v>1</v>
      </c>
      <c r="AD30" s="9">
        <f>MIN(L30:Q30)</f>
        <v>7</v>
      </c>
    </row>
    <row r="31" spans="1:30" x14ac:dyDescent="0.2">
      <c r="A31" s="7" t="s">
        <v>40</v>
      </c>
      <c r="B31" s="6" t="s">
        <v>22</v>
      </c>
      <c r="E31" s="3" t="str">
        <f>IF(AA31="","",RANK(AA31,AA:AA))</f>
        <v/>
      </c>
      <c r="F31" s="6">
        <v>27</v>
      </c>
      <c r="G31" s="6">
        <v>27</v>
      </c>
      <c r="H31" s="6">
        <v>28</v>
      </c>
      <c r="I31" s="6">
        <v>15</v>
      </c>
      <c r="J31" s="6">
        <v>20</v>
      </c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24</v>
      </c>
      <c r="M31" s="9">
        <f>IF(OR($C31&lt;&gt;"",$D31&lt;&gt;"",G31=""),"",G31-SUMPRODUCT(--($C$3:$C$102="P"),--(G$3:G$102&lt;G31),--(G$3:G$102&lt;&gt;""))-SUMPRODUCT(--($D$3:$D$102="P"),--(G$3:G$102&lt;G31),--(G$3:G$102&lt;&gt;"")))</f>
        <v>25</v>
      </c>
      <c r="N31" s="9">
        <f>IF(OR($C31&lt;&gt;"",$D31&lt;&gt;"",H31=""),"",H31-SUMPRODUCT(--($C$3:$C$102="P"),--(H$3:H$102&lt;H31),--(H$3:H$102&lt;&gt;""))-SUMPRODUCT(--($D$3:$D$102="P"),--(H$3:H$102&lt;H31),--(H$3:H$102&lt;&gt;"")))</f>
        <v>24</v>
      </c>
      <c r="O31" s="9">
        <f>IF(OR($C31&lt;&gt;"",$D31&lt;&gt;"",I31=""),"",I31-SUMPRODUCT(--($C$3:$C$102="P"),--(I$3:I$102&lt;I31),--(I$3:I$102&lt;&gt;""))-SUMPRODUCT(--($D$3:$D$102="P"),--(I$3:I$102&lt;I31),--(I$3:I$102&lt;&gt;"")))</f>
        <v>13</v>
      </c>
      <c r="P31" s="9">
        <f>IF(OR($C31&lt;&gt;"",$D31&lt;&gt;"",J31=""),"",J31-SUMPRODUCT(--($C$3:$C$102="P"),--(J$3:J$102&lt;J31),--(J$3:J$102&lt;&gt;""))-SUMPRODUCT(--($D$3:$D$102="P"),--(J$3:J$102&lt;J31),--(J$3:J$102&lt;&gt;"")))</f>
        <v>18</v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9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>7</v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6</v>
      </c>
      <c r="T31" s="9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>7</v>
      </c>
      <c r="U31" s="9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18</v>
      </c>
      <c r="V31" s="9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>13</v>
      </c>
      <c r="W31" s="9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4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45.090909869999997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>P</v>
      </c>
      <c r="AA31" s="14" t="str">
        <f>IF(AND(Y31&lt;&gt;"",OR(Z31="",SUMPRODUCT(--(X$3:X$102&gt;X31),--(Z$3:Z$102="P"),--(Y$3:Y$102="P"))&lt;4)),X31,"")</f>
        <v/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91</v>
      </c>
      <c r="AC31" s="9">
        <f>COUNTIF(L31:Q31,"&lt;=8")</f>
        <v>0</v>
      </c>
      <c r="AD31" s="9">
        <f>MIN(L31:Q31)</f>
        <v>13</v>
      </c>
    </row>
    <row r="32" spans="1:30" x14ac:dyDescent="0.2">
      <c r="A32" s="7" t="s">
        <v>149</v>
      </c>
      <c r="B32" s="6" t="s">
        <v>54</v>
      </c>
      <c r="E32" s="3" t="str">
        <f>IF(AA32="","",RANK(AA32,AA:AA))</f>
        <v/>
      </c>
      <c r="F32" s="6">
        <v>51</v>
      </c>
      <c r="G32" s="6">
        <v>36</v>
      </c>
      <c r="H32" s="6">
        <v>22</v>
      </c>
      <c r="I32" s="6">
        <v>13</v>
      </c>
      <c r="J32" s="6">
        <v>25</v>
      </c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48</v>
      </c>
      <c r="M32" s="9">
        <f>IF(OR($C32&lt;&gt;"",$D32&lt;&gt;"",G32=""),"",G32-SUMPRODUCT(--($C$3:$C$102="P"),--(G$3:G$102&lt;G32),--(G$3:G$102&lt;&gt;""))-SUMPRODUCT(--($D$3:$D$102="P"),--(G$3:G$102&lt;G32),--(G$3:G$102&lt;&gt;"")))</f>
        <v>34</v>
      </c>
      <c r="N32" s="9">
        <f>IF(OR($C32&lt;&gt;"",$D32&lt;&gt;"",H32=""),"",H32-SUMPRODUCT(--($C$3:$C$102="P"),--(H$3:H$102&lt;H32),--(H$3:H$102&lt;&gt;""))-SUMPRODUCT(--($D$3:$D$102="P"),--(H$3:H$102&lt;H32),--(H$3:H$102&lt;&gt;"")))</f>
        <v>19</v>
      </c>
      <c r="O32" s="9">
        <f>IF(OR($C32&lt;&gt;"",$D32&lt;&gt;"",I32=""),"",I32-SUMPRODUCT(--($C$3:$C$102="P"),--(I$3:I$102&lt;I32),--(I$3:I$102&lt;&gt;""))-SUMPRODUCT(--($D$3:$D$102="P"),--(I$3:I$102&lt;I32),--(I$3:I$102&lt;&gt;"")))</f>
        <v>11</v>
      </c>
      <c r="P32" s="9">
        <f>IF(OR($C32&lt;&gt;"",$D32&lt;&gt;"",J32=""),"",J32-SUMPRODUCT(--($C$3:$C$102="P"),--(J$3:J$102&lt;J32),--(J$3:J$102&lt;&gt;""))-SUMPRODUCT(--($D$3:$D$102="P"),--(J$3:J$102&lt;J32),--(J$3:J$102&lt;&gt;"")))</f>
        <v>23</v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9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S32" s="9" t="str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/>
      </c>
      <c r="T32" s="9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>12</v>
      </c>
      <c r="U32" s="9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>20</v>
      </c>
      <c r="V32" s="9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>8</v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4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40.087609890000003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4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124</v>
      </c>
      <c r="AC32" s="9">
        <f>COUNTIF(L32:Q32,"&lt;=8")</f>
        <v>0</v>
      </c>
      <c r="AD32" s="9">
        <f>MIN(L32:Q32)</f>
        <v>11</v>
      </c>
    </row>
    <row r="33" spans="1:30" x14ac:dyDescent="0.2">
      <c r="A33" s="7" t="s">
        <v>39</v>
      </c>
      <c r="B33" s="6" t="s">
        <v>57</v>
      </c>
      <c r="E33" s="3">
        <f>IF(AA33="","",RANK(AA33,AA:AA))</f>
        <v>11</v>
      </c>
      <c r="F33" s="6">
        <v>26</v>
      </c>
      <c r="G33" s="6">
        <v>24</v>
      </c>
      <c r="H33" s="6">
        <v>43</v>
      </c>
      <c r="I33" s="6">
        <v>14</v>
      </c>
      <c r="J33" s="6">
        <v>47</v>
      </c>
      <c r="K33" s="6"/>
      <c r="L33" s="9">
        <f>IF(OR($C33&lt;&gt;"",$D33&lt;&gt;"",F33=""),"",F33-SUMPRODUCT(--($C$3:$C$102="P"),--(F$3:F$102&lt;F33),--(F$3:F$102&lt;&gt;""))-SUMPRODUCT(--($D$3:$D$102="P"),--(F$3:F$102&lt;F33),--(F$3:F$102&lt;&gt;"")))</f>
        <v>23</v>
      </c>
      <c r="M33" s="9">
        <f>IF(OR($C33&lt;&gt;"",$D33&lt;&gt;"",G33=""),"",G33-SUMPRODUCT(--($C$3:$C$102="P"),--(G$3:G$102&lt;G33),--(G$3:G$102&lt;&gt;""))-SUMPRODUCT(--($D$3:$D$102="P"),--(G$3:G$102&lt;G33),--(G$3:G$102&lt;&gt;"")))</f>
        <v>22</v>
      </c>
      <c r="N33" s="9">
        <f>IF(OR($C33&lt;&gt;"",$D33&lt;&gt;"",H33=""),"",H33-SUMPRODUCT(--($C$3:$C$102="P"),--(H$3:H$102&lt;H33),--(H$3:H$102&lt;&gt;""))-SUMPRODUCT(--($D$3:$D$102="P"),--(H$3:H$102&lt;H33),--(H$3:H$102&lt;&gt;"")))</f>
        <v>38</v>
      </c>
      <c r="O33" s="9">
        <f>IF(OR($C33&lt;&gt;"",$D33&lt;&gt;"",I33=""),"",I33-SUMPRODUCT(--($C$3:$C$102="P"),--(I$3:I$102&lt;I33),--(I$3:I$102&lt;&gt;""))-SUMPRODUCT(--($D$3:$D$102="P"),--(I$3:I$102&lt;I33),--(I$3:I$102&lt;&gt;"")))</f>
        <v>12</v>
      </c>
      <c r="P33" s="9">
        <f>IF(OR($C33&lt;&gt;"",$D33&lt;&gt;"",J33=""),"",J33-SUMPRODUCT(--($C$3:$C$102="P"),--(J$3:J$102&lt;J33),--(J$3:J$102&lt;&gt;""))-SUMPRODUCT(--($D$3:$D$102="P"),--(J$3:J$102&lt;J33),--(J$3:J$102&lt;&gt;"")))</f>
        <v>44</v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9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8</v>
      </c>
      <c r="S33" s="9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>9</v>
      </c>
      <c r="T33" s="9" t="str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/>
      </c>
      <c r="U33" s="9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>19</v>
      </c>
      <c r="V33" s="9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4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36.087309879999999</v>
      </c>
      <c r="Y33" s="2" t="str">
        <f>IF(OR(X33="",X33=0),"",IF(SUMPRODUCT(--(B$3:B$102=B33),--(X$3:X$102&gt;X33),--(X$3:X$102&lt;&gt;"")),"","P"))</f>
        <v>P</v>
      </c>
      <c r="Z33" s="2" t="str">
        <f>IF(X33="","",IF(SUMPRODUCT(--(C$3:C$102="P"),--(B$3:B$102=B33)),"P",""))</f>
        <v/>
      </c>
      <c r="AA33" s="14">
        <f>IF(AND(Y33&lt;&gt;"",OR(Z33="",SUMPRODUCT(--(X$3:X$102&gt;X33),--(Z$3:Z$102="P"),--(Y$3:Y$102="P"))&lt;4)),X33,"")</f>
        <v>36.087309879999999</v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127</v>
      </c>
      <c r="AC33" s="9">
        <f>COUNTIF(L33:Q33,"&lt;=8")</f>
        <v>0</v>
      </c>
      <c r="AD33" s="9">
        <f>MIN(L33:Q33)</f>
        <v>12</v>
      </c>
    </row>
    <row r="34" spans="1:30" x14ac:dyDescent="0.2">
      <c r="A34" s="7" t="s">
        <v>48</v>
      </c>
      <c r="B34" s="6" t="s">
        <v>59</v>
      </c>
      <c r="E34" s="3" t="str">
        <f>IF(AA34="","",RANK(AA34,AA:AA))</f>
        <v/>
      </c>
      <c r="F34" s="6">
        <v>36</v>
      </c>
      <c r="G34" s="6">
        <v>35</v>
      </c>
      <c r="H34" s="6">
        <v>19</v>
      </c>
      <c r="I34" s="6">
        <v>18</v>
      </c>
      <c r="J34" s="6">
        <v>31</v>
      </c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33</v>
      </c>
      <c r="M34" s="9">
        <f>IF(OR($C34&lt;&gt;"",$D34&lt;&gt;"",G34=""),"",G34-SUMPRODUCT(--($C$3:$C$102="P"),--(G$3:G$102&lt;G34),--(G$3:G$102&lt;&gt;""))-SUMPRODUCT(--($D$3:$D$102="P"),--(G$3:G$102&lt;G34),--(G$3:G$102&lt;&gt;"")))</f>
        <v>33</v>
      </c>
      <c r="N34" s="9">
        <f>IF(OR($C34&lt;&gt;"",$D34&lt;&gt;"",H34=""),"",H34-SUMPRODUCT(--($C$3:$C$102="P"),--(H$3:H$102&lt;H34),--(H$3:H$102&lt;&gt;""))-SUMPRODUCT(--($D$3:$D$102="P"),--(H$3:H$102&lt;H34),--(H$3:H$102&lt;&gt;"")))</f>
        <v>16</v>
      </c>
      <c r="O34" s="9">
        <f>IF(OR($C34&lt;&gt;"",$D34&lt;&gt;"",I34=""),"",I34-SUMPRODUCT(--($C$3:$C$102="P"),--(I$3:I$102&lt;I34),--(I$3:I$102&lt;&gt;""))-SUMPRODUCT(--($D$3:$D$102="P"),--(I$3:I$102&lt;I34),--(I$3:I$102&lt;&gt;"")))</f>
        <v>15</v>
      </c>
      <c r="P34" s="9">
        <f>IF(OR($C34&lt;&gt;"",$D34&lt;&gt;"",J34=""),"",J34-SUMPRODUCT(--($C$3:$C$102="P"),--(J$3:J$102&lt;J34),--(J$3:J$102&lt;&gt;""))-SUMPRODUCT(--($D$3:$D$102="P"),--(J$3:J$102&lt;J34),--(J$3:J$102&lt;&gt;"")))</f>
        <v>29</v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9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S34" s="9" t="str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/>
      </c>
      <c r="T34" s="9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>15</v>
      </c>
      <c r="U34" s="9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>16</v>
      </c>
      <c r="V34" s="9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>2</v>
      </c>
      <c r="W34" s="9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4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33.08890985</v>
      </c>
      <c r="Y34" s="2" t="str">
        <f>IF(OR(X34="",X34=0),"",IF(SUMPRODUCT(--(B$3:B$102=B34),--(X$3:X$102&gt;X34),--(X$3:X$102&lt;&gt;"")),"","P"))</f>
        <v/>
      </c>
      <c r="Z34" s="2" t="str">
        <f>IF(X34="","",IF(SUMPRODUCT(--(C$3:C$102="P"),--(B$3:B$102=B34)),"P",""))</f>
        <v/>
      </c>
      <c r="AA34" s="14" t="str">
        <f>IF(AND(Y34&lt;&gt;"",OR(Z34="",SUMPRODUCT(--(X$3:X$102&gt;X34),--(Z$3:Z$102="P"),--(Y$3:Y$102="P"))&lt;4)),X34,"")</f>
        <v/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111</v>
      </c>
      <c r="AC34" s="9">
        <f>COUNTIF(L34:Q34,"&lt;=8")</f>
        <v>0</v>
      </c>
      <c r="AD34" s="9">
        <f>MIN(L34:Q34)</f>
        <v>15</v>
      </c>
    </row>
    <row r="35" spans="1:30" x14ac:dyDescent="0.2">
      <c r="A35" s="7" t="s">
        <v>142</v>
      </c>
      <c r="B35" s="6" t="s">
        <v>51</v>
      </c>
      <c r="E35" s="3">
        <f>IF(AA35="","",RANK(AA35,AA:AA))</f>
        <v>12</v>
      </c>
      <c r="F35" s="6">
        <v>57</v>
      </c>
      <c r="G35" s="6">
        <v>16</v>
      </c>
      <c r="H35" s="6"/>
      <c r="I35" s="6">
        <v>25</v>
      </c>
      <c r="J35" s="6">
        <v>26</v>
      </c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54</v>
      </c>
      <c r="M35" s="9">
        <f>IF(OR($C35&lt;&gt;"",$D35&lt;&gt;"",G35=""),"",G35-SUMPRODUCT(--($C$3:$C$102="P"),--(G$3:G$102&lt;G35),--(G$3:G$102&lt;&gt;""))-SUMPRODUCT(--($D$3:$D$102="P"),--(G$3:G$102&lt;G35),--(G$3:G$102&lt;&gt;"")))</f>
        <v>14</v>
      </c>
      <c r="N35" s="9" t="str">
        <f>IF(OR($C35&lt;&gt;"",$D35&lt;&gt;"",H35=""),"",H35-SUMPRODUCT(--($C$3:$C$102="P"),--(H$3:H$102&lt;H35),--(H$3:H$102&lt;&gt;""))-SUMPRODUCT(--($D$3:$D$102="P"),--(H$3:H$102&lt;H35),--(H$3:H$102&lt;&gt;"")))</f>
        <v/>
      </c>
      <c r="O35" s="9">
        <f>IF(OR($C35&lt;&gt;"",$D35&lt;&gt;"",I35=""),"",I35-SUMPRODUCT(--($C$3:$C$102="P"),--(I$3:I$102&lt;I35),--(I$3:I$102&lt;&gt;""))-SUMPRODUCT(--($D$3:$D$102="P"),--(I$3:I$102&lt;I35),--(I$3:I$102&lt;&gt;"")))</f>
        <v>22</v>
      </c>
      <c r="P35" s="9">
        <f>IF(OR($C35&lt;&gt;"",$D35&lt;&gt;"",J35=""),"",J35-SUMPRODUCT(--($C$3:$C$102="P"),--(J$3:J$102&lt;J35),--(J$3:J$102&lt;&gt;""))-SUMPRODUCT(--($D$3:$D$102="P"),--(J$3:J$102&lt;J35),--(J$3:J$102&lt;&gt;"")))</f>
        <v>24</v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9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9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17</v>
      </c>
      <c r="T35" s="9" t="str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9</v>
      </c>
      <c r="V35" s="9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7</v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4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33.088609859999998</v>
      </c>
      <c r="Y35" s="2" t="str">
        <f>IF(OR(X35="",X35=0),"",IF(SUMPRODUCT(--(B$3:B$102=B35),--(X$3:X$102&gt;X35),--(X$3:X$102&lt;&gt;"")),"","P"))</f>
        <v>P</v>
      </c>
      <c r="Z35" s="2" t="str">
        <f>IF(X35="","",IF(SUMPRODUCT(--(C$3:C$102="P"),--(B$3:B$102=B35)),"P",""))</f>
        <v/>
      </c>
      <c r="AA35" s="14">
        <f>IF(AND(Y35&lt;&gt;"",OR(Z35="",SUMPRODUCT(--(X$3:X$102&gt;X35),--(Z$3:Z$102="P"),--(Y$3:Y$102="P"))&lt;4)),X35,"")</f>
        <v>33.088609859999998</v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114</v>
      </c>
      <c r="AC35" s="9">
        <f>COUNTIF(L35:Q35,"&lt;=8")</f>
        <v>0</v>
      </c>
      <c r="AD35" s="9">
        <f>MIN(L35:Q35)</f>
        <v>14</v>
      </c>
    </row>
    <row r="36" spans="1:30" x14ac:dyDescent="0.2">
      <c r="A36" s="7" t="s">
        <v>191</v>
      </c>
      <c r="B36" s="6" t="s">
        <v>54</v>
      </c>
      <c r="E36" s="3" t="str">
        <f>IF(AA36="","",RANK(AA36,AA:AA))</f>
        <v/>
      </c>
      <c r="F36" s="6"/>
      <c r="G36" s="6"/>
      <c r="H36" s="6"/>
      <c r="I36" s="6"/>
      <c r="J36" s="6">
        <v>6</v>
      </c>
      <c r="K36" s="6"/>
      <c r="L36" s="9" t="str">
        <f>IF(OR($C36&lt;&gt;"",$D36&lt;&gt;"",F36=""),"",F36-SUMPRODUCT(--($C$3:$C$102="P"),--(F$3:F$102&lt;F36),--(F$3:F$102&lt;&gt;""))-SUMPRODUCT(--($D$3:$D$102="P"),--(F$3:F$102&lt;F36),--(F$3:F$102&lt;&gt;"")))</f>
        <v/>
      </c>
      <c r="M36" s="9" t="str">
        <f>IF(OR($C36&lt;&gt;"",$D36&lt;&gt;"",G36=""),"",G36-SUMPRODUCT(--($C$3:$C$102="P"),--(G$3:G$102&lt;G36),--(G$3:G$102&lt;&gt;""))-SUMPRODUCT(--($D$3:$D$102="P"),--(G$3:G$102&lt;G36),--(G$3:G$102&lt;&gt;"")))</f>
        <v/>
      </c>
      <c r="N36" s="9" t="str">
        <f>IF(OR($C36&lt;&gt;"",$D36&lt;&gt;"",H36=""),"",H36-SUMPRODUCT(--($C$3:$C$102="P"),--(H$3:H$102&lt;H36),--(H$3:H$102&lt;&gt;""))-SUMPRODUCT(--($D$3:$D$102="P"),--(H$3:H$102&lt;H36),--(H$3:H$102&lt;&gt;"")))</f>
        <v/>
      </c>
      <c r="O36" s="9" t="str">
        <f>IF(OR($C36&lt;&gt;"",$D36&lt;&gt;"",I36=""),"",I36-SUMPRODUCT(--($C$3:$C$102="P"),--(I$3:I$102&lt;I36),--(I$3:I$102&lt;&gt;""))-SUMPRODUCT(--($D$3:$D$102="P"),--(I$3:I$102&lt;I36),--(I$3:I$102&lt;&gt;"")))</f>
        <v/>
      </c>
      <c r="P36" s="9">
        <f>IF(OR($C36&lt;&gt;"",$D36&lt;&gt;"",J36=""),"",J36-SUMPRODUCT(--($C$3:$C$102="P"),--(J$3:J$102&lt;J36),--(J$3:J$102&lt;&gt;""))-SUMPRODUCT(--($D$3:$D$102="P"),--(J$3:J$102&lt;J36),--(J$3:J$102&lt;&gt;"")))</f>
        <v>6</v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9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S36" s="9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9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>32</v>
      </c>
      <c r="W36" s="9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4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32.099419940000004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4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6</v>
      </c>
      <c r="AC36" s="9">
        <f>COUNTIF(L36:Q36,"&lt;=8")</f>
        <v>1</v>
      </c>
      <c r="AD36" s="9">
        <f>MIN(L36:Q36)</f>
        <v>6</v>
      </c>
    </row>
    <row r="37" spans="1:30" x14ac:dyDescent="0.2">
      <c r="A37" s="7" t="s">
        <v>30</v>
      </c>
      <c r="B37" s="6" t="s">
        <v>19</v>
      </c>
      <c r="E37" s="3" t="str">
        <f>IF(AA37="","",RANK(AA37,AA:AA))</f>
        <v/>
      </c>
      <c r="F37" s="6">
        <v>17</v>
      </c>
      <c r="G37" s="6">
        <v>18</v>
      </c>
      <c r="H37" s="6"/>
      <c r="I37" s="6"/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15</v>
      </c>
      <c r="M37" s="9">
        <f>IF(OR($C37&lt;&gt;"",$D37&lt;&gt;"",G37=""),"",G37-SUMPRODUCT(--($C$3:$C$102="P"),--(G$3:G$102&lt;G37),--(G$3:G$102&lt;&gt;""))-SUMPRODUCT(--($D$3:$D$102="P"),--(G$3:G$102&lt;G37),--(G$3:G$102&lt;&gt;"")))</f>
        <v>16</v>
      </c>
      <c r="N37" s="9" t="str">
        <f>IF(OR($C37&lt;&gt;"",$D37&lt;&gt;"",H37=""),"",H37-SUMPRODUCT(--($C$3:$C$102="P"),--(H$3:H$102&lt;H37),--(H$3:H$102&lt;&gt;""))-SUMPRODUCT(--($D$3:$D$102="P"),--(H$3:H$102&lt;H37),--(H$3:H$102&lt;&gt;"")))</f>
        <v/>
      </c>
      <c r="O37" s="9" t="str">
        <f>IF(OR($C37&lt;&gt;"",$D37&lt;&gt;"",I37=""),"",I37-SUMPRODUCT(--($C$3:$C$102="P"),--(I$3:I$102&lt;I37),--(I$3:I$102&lt;&gt;""))-SUMPRODUCT(--($D$3:$D$102="P"),--(I$3:I$102&lt;I37),--(I$3:I$102&lt;&gt;"")))</f>
        <v/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9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16</v>
      </c>
      <c r="S37" s="9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15</v>
      </c>
      <c r="T37" s="9" t="str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/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4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31.096909850000003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/>
      </c>
      <c r="AA37" s="14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31</v>
      </c>
      <c r="AC37" s="9">
        <f>COUNTIF(L37:Q37,"&lt;=8")</f>
        <v>0</v>
      </c>
      <c r="AD37" s="9">
        <f>MIN(L37:Q37)</f>
        <v>15</v>
      </c>
    </row>
    <row r="38" spans="1:30" x14ac:dyDescent="0.2">
      <c r="A38" s="7" t="s">
        <v>143</v>
      </c>
      <c r="B38" s="6" t="s">
        <v>59</v>
      </c>
      <c r="E38" s="3" t="str">
        <f>IF(AA38="","",RANK(AA38,AA:AA))</f>
        <v/>
      </c>
      <c r="F38" s="6">
        <v>41</v>
      </c>
      <c r="G38" s="6">
        <v>20</v>
      </c>
      <c r="H38" s="6">
        <v>17</v>
      </c>
      <c r="I38" s="6">
        <v>45</v>
      </c>
      <c r="J38" s="6">
        <v>33</v>
      </c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38</v>
      </c>
      <c r="M38" s="9">
        <f>IF(OR($C38&lt;&gt;"",$D38&lt;&gt;"",G38=""),"",G38-SUMPRODUCT(--($C$3:$C$102="P"),--(G$3:G$102&lt;G38),--(G$3:G$102&lt;&gt;""))-SUMPRODUCT(--($D$3:$D$102="P"),--(G$3:G$102&lt;G38),--(G$3:G$102&lt;&gt;"")))</f>
        <v>18</v>
      </c>
      <c r="N38" s="9">
        <f>IF(OR($C38&lt;&gt;"",$D38&lt;&gt;"",H38=""),"",H38-SUMPRODUCT(--($C$3:$C$102="P"),--(H$3:H$102&lt;H38),--(H$3:H$102&lt;&gt;""))-SUMPRODUCT(--($D$3:$D$102="P"),--(H$3:H$102&lt;H38),--(H$3:H$102&lt;&gt;"")))</f>
        <v>15</v>
      </c>
      <c r="O38" s="9">
        <f>IF(OR($C38&lt;&gt;"",$D38&lt;&gt;"",I38=""),"",I38-SUMPRODUCT(--($C$3:$C$102="P"),--(I$3:I$102&lt;I38),--(I$3:I$102&lt;&gt;""))-SUMPRODUCT(--($D$3:$D$102="P"),--(I$3:I$102&lt;I38),--(I$3:I$102&lt;&gt;"")))</f>
        <v>40</v>
      </c>
      <c r="P38" s="9">
        <f>IF(OR($C38&lt;&gt;"",$D38&lt;&gt;"",J38=""),"",J38-SUMPRODUCT(--($C$3:$C$102="P"),--(J$3:J$102&lt;J38),--(J$3:J$102&lt;&gt;""))-SUMPRODUCT(--($D$3:$D$102="P"),--(J$3:J$102&lt;J38),--(J$3:J$102&lt;&gt;"")))</f>
        <v>31</v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9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13</v>
      </c>
      <c r="T38" s="9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16</v>
      </c>
      <c r="U38" s="9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9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9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4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29.08730985</v>
      </c>
      <c r="Y38" s="2" t="str">
        <f>IF(OR(X38="",X38=0),"",IF(SUMPRODUCT(--(B$3:B$102=B38),--(X$3:X$102&gt;X38),--(X$3:X$102&lt;&gt;"")),"","P"))</f>
        <v/>
      </c>
      <c r="Z38" s="2" t="str">
        <f>IF(X38="","",IF(SUMPRODUCT(--(C$3:C$102="P"),--(B$3:B$102=B38)),"P",""))</f>
        <v/>
      </c>
      <c r="AA38" s="14" t="str">
        <f>IF(AND(Y38&lt;&gt;"",OR(Z38="",SUMPRODUCT(--(X$3:X$102&gt;X38),--(Z$3:Z$102="P"),--(Y$3:Y$102="P"))&lt;4)),X38,"")</f>
        <v/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127</v>
      </c>
      <c r="AC38" s="9">
        <f>COUNTIF(L38:Q38,"&lt;=8")</f>
        <v>0</v>
      </c>
      <c r="AD38" s="9">
        <f>MIN(L38:Q38)</f>
        <v>15</v>
      </c>
    </row>
    <row r="39" spans="1:30" x14ac:dyDescent="0.2">
      <c r="A39" s="7" t="s">
        <v>34</v>
      </c>
      <c r="B39" s="6" t="s">
        <v>55</v>
      </c>
      <c r="E39" s="3" t="str">
        <f>IF(AA39="","",RANK(AA39,AA:AA))</f>
        <v/>
      </c>
      <c r="F39" s="6">
        <v>21</v>
      </c>
      <c r="G39" s="6">
        <v>65</v>
      </c>
      <c r="H39" s="6">
        <v>25</v>
      </c>
      <c r="I39" s="6">
        <v>32</v>
      </c>
      <c r="J39" s="6">
        <v>30</v>
      </c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18</v>
      </c>
      <c r="M39" s="9">
        <f>IF(OR($C39&lt;&gt;"",$D39&lt;&gt;"",G39=""),"",G39-SUMPRODUCT(--($C$3:$C$102="P"),--(G$3:G$102&lt;G39),--(G$3:G$102&lt;&gt;""))-SUMPRODUCT(--($D$3:$D$102="P"),--(G$3:G$102&lt;G39),--(G$3:G$102&lt;&gt;"")))</f>
        <v>61</v>
      </c>
      <c r="N39" s="9">
        <f>IF(OR($C39&lt;&gt;"",$D39&lt;&gt;"",H39=""),"",H39-SUMPRODUCT(--($C$3:$C$102="P"),--(H$3:H$102&lt;H39),--(H$3:H$102&lt;&gt;""))-SUMPRODUCT(--($D$3:$D$102="P"),--(H$3:H$102&lt;H39),--(H$3:H$102&lt;&gt;"")))</f>
        <v>21</v>
      </c>
      <c r="O39" s="9">
        <f>IF(OR($C39&lt;&gt;"",$D39&lt;&gt;"",I39=""),"",I39-SUMPRODUCT(--($C$3:$C$102="P"),--(I$3:I$102&lt;I39),--(I$3:I$102&lt;&gt;""))-SUMPRODUCT(--($D$3:$D$102="P"),--(I$3:I$102&lt;I39),--(I$3:I$102&lt;&gt;"")))</f>
        <v>28</v>
      </c>
      <c r="P39" s="9">
        <f>IF(OR($C39&lt;&gt;"",$D39&lt;&gt;"",J39=""),"",J39-SUMPRODUCT(--($C$3:$C$102="P"),--(J$3:J$102&lt;J39),--(J$3:J$102&lt;&gt;""))-SUMPRODUCT(--($D$3:$D$102="P"),--(J$3:J$102&lt;J39),--(J$3:J$102&lt;&gt;"")))</f>
        <v>28</v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9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>13</v>
      </c>
      <c r="S39" s="9" t="str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/>
      </c>
      <c r="T39" s="9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>10</v>
      </c>
      <c r="U39" s="9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>3</v>
      </c>
      <c r="V39" s="9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>3</v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4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29.086209820000001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/>
      </c>
      <c r="AA39" s="14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138</v>
      </c>
      <c r="AC39" s="9">
        <f>COUNTIF(L39:Q39,"&lt;=8")</f>
        <v>0</v>
      </c>
      <c r="AD39" s="9">
        <f>MIN(L39:Q39)</f>
        <v>18</v>
      </c>
    </row>
    <row r="40" spans="1:30" x14ac:dyDescent="0.2">
      <c r="A40" s="7" t="s">
        <v>36</v>
      </c>
      <c r="B40" s="6" t="s">
        <v>57</v>
      </c>
      <c r="E40" s="3" t="str">
        <f>IF(AA40="","",RANK(AA40,AA:AA))</f>
        <v/>
      </c>
      <c r="F40" s="6">
        <v>23</v>
      </c>
      <c r="G40" s="6">
        <v>30</v>
      </c>
      <c r="H40" s="6">
        <v>30</v>
      </c>
      <c r="I40" s="6">
        <v>28</v>
      </c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20</v>
      </c>
      <c r="M40" s="9">
        <f>IF(OR($C40&lt;&gt;"",$D40&lt;&gt;"",G40=""),"",G40-SUMPRODUCT(--($C$3:$C$102="P"),--(G$3:G$102&lt;G40),--(G$3:G$102&lt;&gt;""))-SUMPRODUCT(--($D$3:$D$102="P"),--(G$3:G$102&lt;G40),--(G$3:G$102&lt;&gt;"")))</f>
        <v>28</v>
      </c>
      <c r="N40" s="9">
        <f>IF(OR($C40&lt;&gt;"",$D40&lt;&gt;"",H40=""),"",H40-SUMPRODUCT(--($C$3:$C$102="P"),--(H$3:H$102&lt;H40),--(H$3:H$102&lt;&gt;""))-SUMPRODUCT(--($D$3:$D$102="P"),--(H$3:H$102&lt;H40),--(H$3:H$102&lt;&gt;"")))</f>
        <v>26</v>
      </c>
      <c r="O40" s="9">
        <f>IF(OR($C40&lt;&gt;"",$D40&lt;&gt;"",I40=""),"",I40-SUMPRODUCT(--($C$3:$C$102="P"),--(I$3:I$102&lt;I40),--(I$3:I$102&lt;&gt;""))-SUMPRODUCT(--($D$3:$D$102="P"),--(I$3:I$102&lt;I40),--(I$3:I$102&lt;&gt;"")))</f>
        <v>24</v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9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>11</v>
      </c>
      <c r="S40" s="9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>3</v>
      </c>
      <c r="T40" s="9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>5</v>
      </c>
      <c r="U40" s="9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>7</v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4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26.0902098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/>
      </c>
      <c r="AA40" s="14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98</v>
      </c>
      <c r="AC40" s="9">
        <f>COUNTIF(L40:Q40,"&lt;=8")</f>
        <v>0</v>
      </c>
      <c r="AD40" s="9">
        <f>MIN(L40:Q40)</f>
        <v>20</v>
      </c>
    </row>
    <row r="41" spans="1:30" x14ac:dyDescent="0.2">
      <c r="A41" s="7" t="s">
        <v>140</v>
      </c>
      <c r="B41" s="6" t="s">
        <v>16</v>
      </c>
      <c r="E41" s="3" t="str">
        <f>IF(AA41="","",RANK(AA41,AA:AA))</f>
        <v/>
      </c>
      <c r="F41" s="6">
        <v>55</v>
      </c>
      <c r="G41" s="6">
        <v>10</v>
      </c>
      <c r="H41" s="6"/>
      <c r="I41" s="6"/>
      <c r="J41" s="6"/>
      <c r="K41" s="6"/>
      <c r="L41" s="9">
        <f>IF(OR($C41&lt;&gt;"",$D41&lt;&gt;"",F41=""),"",F41-SUMPRODUCT(--($C$3:$C$102="P"),--(F$3:F$102&lt;F41),--(F$3:F$102&lt;&gt;""))-SUMPRODUCT(--($D$3:$D$102="P"),--(F$3:F$102&lt;F41),--(F$3:F$102&lt;&gt;"")))</f>
        <v>52</v>
      </c>
      <c r="M41" s="9">
        <f>IF(OR($C41&lt;&gt;"",$D41&lt;&gt;"",G41=""),"",G41-SUMPRODUCT(--($C$3:$C$102="P"),--(G$3:G$102&lt;G41),--(G$3:G$102&lt;&gt;""))-SUMPRODUCT(--($D$3:$D$102="P"),--(G$3:G$102&lt;G41),--(G$3:G$102&lt;&gt;"")))</f>
        <v>8</v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 t="str">
        <f>IF(OR($C41&lt;&gt;"",$D41&lt;&gt;"",I41=""),"",I41-SUMPRODUCT(--($C$3:$C$102="P"),--(I$3:I$102&lt;I41),--(I$3:I$102&lt;&gt;""))-SUMPRODUCT(--($D$3:$D$102="P"),--(I$3:I$102&lt;I41),--(I$3:I$102&lt;&gt;"")))</f>
        <v/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9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9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25</v>
      </c>
      <c r="T41" s="9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9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9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4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25.094019920000001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>P</v>
      </c>
      <c r="AA41" s="14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60</v>
      </c>
      <c r="AC41" s="9">
        <f>COUNTIF(L41:Q41,"&lt;=8")</f>
        <v>1</v>
      </c>
      <c r="AD41" s="9">
        <f>MIN(L41:Q41)</f>
        <v>8</v>
      </c>
    </row>
    <row r="42" spans="1:30" x14ac:dyDescent="0.2">
      <c r="A42" s="7" t="s">
        <v>180</v>
      </c>
      <c r="B42" s="6" t="s">
        <v>20</v>
      </c>
      <c r="E42" s="3" t="str">
        <f>IF(AA42="","",RANK(AA42,AA:AA))</f>
        <v/>
      </c>
      <c r="F42" s="6">
        <v>42</v>
      </c>
      <c r="G42" s="6">
        <v>56</v>
      </c>
      <c r="H42" s="6">
        <v>48</v>
      </c>
      <c r="I42" s="6">
        <v>21</v>
      </c>
      <c r="J42" s="6">
        <v>22</v>
      </c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39</v>
      </c>
      <c r="M42" s="9">
        <f>IF(OR($C42&lt;&gt;"",$D42&lt;&gt;"",G42=""),"",G42-SUMPRODUCT(--($C$3:$C$102="P"),--(G$3:G$102&lt;G42),--(G$3:G$102&lt;&gt;""))-SUMPRODUCT(--($D$3:$D$102="P"),--(G$3:G$102&lt;G42),--(G$3:G$102&lt;&gt;"")))</f>
        <v>53</v>
      </c>
      <c r="N42" s="9">
        <f>IF(OR($C42&lt;&gt;"",$D42&lt;&gt;"",H42=""),"",H42-SUMPRODUCT(--($C$3:$C$102="P"),--(H$3:H$102&lt;H42),--(H$3:H$102&lt;&gt;""))-SUMPRODUCT(--($D$3:$D$102="P"),--(H$3:H$102&lt;H42),--(H$3:H$102&lt;&gt;"")))</f>
        <v>43</v>
      </c>
      <c r="O42" s="9">
        <f>IF(OR($C42&lt;&gt;"",$D42&lt;&gt;"",I42=""),"",I42-SUMPRODUCT(--($C$3:$C$102="P"),--(I$3:I$102&lt;I42),--(I$3:I$102&lt;&gt;""))-SUMPRODUCT(--($D$3:$D$102="P"),--(I$3:I$102&lt;I42),--(I$3:I$102&lt;&gt;"")))</f>
        <v>18</v>
      </c>
      <c r="P42" s="9">
        <f>IF(OR($C42&lt;&gt;"",$D42&lt;&gt;"",J42=""),"",J42-SUMPRODUCT(--($C$3:$C$102="P"),--(J$3:J$102&lt;J42),--(J$3:J$102&lt;&gt;""))-SUMPRODUCT(--($D$3:$D$102="P"),--(J$3:J$102&lt;J42),--(J$3:J$102&lt;&gt;"")))</f>
        <v>20</v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9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S42" s="9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9" t="str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/>
      </c>
      <c r="U42" s="9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>13</v>
      </c>
      <c r="V42" s="9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>11</v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4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24.084509819999997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>P</v>
      </c>
      <c r="AA42" s="14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155</v>
      </c>
      <c r="AC42" s="9">
        <f>COUNTIF(L42:Q42,"&lt;=8")</f>
        <v>0</v>
      </c>
      <c r="AD42" s="9">
        <f>MIN(L42:Q42)</f>
        <v>18</v>
      </c>
    </row>
    <row r="43" spans="1:30" x14ac:dyDescent="0.2">
      <c r="A43" s="7" t="s">
        <v>46</v>
      </c>
      <c r="B43" s="6" t="s">
        <v>59</v>
      </c>
      <c r="E43" s="3" t="str">
        <f>IF(AA43="","",RANK(AA43,AA:AA))</f>
        <v/>
      </c>
      <c r="F43" s="6">
        <v>34</v>
      </c>
      <c r="G43" s="6">
        <v>15</v>
      </c>
      <c r="H43" s="6"/>
      <c r="I43" s="6"/>
      <c r="J43" s="6">
        <v>35</v>
      </c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31</v>
      </c>
      <c r="M43" s="9">
        <f>IF(OR($C43&lt;&gt;"",$D43&lt;&gt;"",G43=""),"",G43-SUMPRODUCT(--($C$3:$C$102="P"),--(G$3:G$102&lt;G43),--(G$3:G$102&lt;&gt;""))-SUMPRODUCT(--($D$3:$D$102="P"),--(G$3:G$102&lt;G43),--(G$3:G$102&lt;&gt;"")))</f>
        <v>13</v>
      </c>
      <c r="N43" s="9" t="str">
        <f>IF(OR($C43&lt;&gt;"",$D43&lt;&gt;"",H43=""),"",H43-SUMPRODUCT(--($C$3:$C$102="P"),--(H$3:H$102&lt;H43),--(H$3:H$102&lt;&gt;""))-SUMPRODUCT(--($D$3:$D$102="P"),--(H$3:H$102&lt;H43),--(H$3:H$102&lt;&gt;"")))</f>
        <v/>
      </c>
      <c r="O43" s="9" t="str">
        <f>IF(OR($C43&lt;&gt;"",$D43&lt;&gt;"",I43=""),"",I43-SUMPRODUCT(--($C$3:$C$102="P"),--(I$3:I$102&lt;I43),--(I$3:I$102&lt;&gt;""))-SUMPRODUCT(--($D$3:$D$102="P"),--(I$3:I$102&lt;I43),--(I$3:I$102&lt;&gt;"")))</f>
        <v/>
      </c>
      <c r="P43" s="9">
        <f>IF(OR($C43&lt;&gt;"",$D43&lt;&gt;"",J43=""),"",J43-SUMPRODUCT(--($C$3:$C$102="P"),--(J$3:J$102&lt;J43),--(J$3:J$102&lt;&gt;""))-SUMPRODUCT(--($D$3:$D$102="P"),--(J$3:J$102&lt;J43),--(J$3:J$102&lt;&gt;"")))</f>
        <v>33</v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9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S43" s="9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18</v>
      </c>
      <c r="T43" s="9" t="str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/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4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18.092309870000001</v>
      </c>
      <c r="Y43" s="2" t="str">
        <f>IF(OR(X43="",X43=0),"",IF(SUMPRODUCT(--(B$3:B$102=B43),--(X$3:X$102&gt;X43),--(X$3:X$102&lt;&gt;"")),"","P"))</f>
        <v/>
      </c>
      <c r="Z43" s="2" t="str">
        <f>IF(X43="","",IF(SUMPRODUCT(--(C$3:C$102="P"),--(B$3:B$102=B43)),"P",""))</f>
        <v/>
      </c>
      <c r="AA43" s="14" t="str">
        <f>IF(AND(Y43&lt;&gt;"",OR(Z43="",SUMPRODUCT(--(X$3:X$102&gt;X43),--(Z$3:Z$102="P"),--(Y$3:Y$102="P"))&lt;4)),X43,"")</f>
        <v/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77</v>
      </c>
      <c r="AC43" s="9">
        <f>COUNTIF(L43:Q43,"&lt;=8")</f>
        <v>0</v>
      </c>
      <c r="AD43" s="9">
        <f>MIN(L43:Q43)</f>
        <v>13</v>
      </c>
    </row>
    <row r="44" spans="1:30" x14ac:dyDescent="0.2">
      <c r="A44" s="7" t="s">
        <v>159</v>
      </c>
      <c r="B44" s="6" t="s">
        <v>57</v>
      </c>
      <c r="E44" s="3" t="str">
        <f>IF(AA44="","",RANK(AA44,AA:AA))</f>
        <v/>
      </c>
      <c r="F44" s="6"/>
      <c r="G44" s="6"/>
      <c r="H44" s="6">
        <v>29</v>
      </c>
      <c r="I44" s="6">
        <v>24</v>
      </c>
      <c r="J44" s="6">
        <v>34</v>
      </c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 t="str">
        <f>IF(OR($C44&lt;&gt;"",$D44&lt;&gt;"",G44=""),"",G44-SUMPRODUCT(--($C$3:$C$102="P"),--(G$3:G$102&lt;G44),--(G$3:G$102&lt;&gt;""))-SUMPRODUCT(--($D$3:$D$102="P"),--(G$3:G$102&lt;G44),--(G$3:G$102&lt;&gt;"")))</f>
        <v/>
      </c>
      <c r="N44" s="9">
        <f>IF(OR($C44&lt;&gt;"",$D44&lt;&gt;"",H44=""),"",H44-SUMPRODUCT(--($C$3:$C$102="P"),--(H$3:H$102&lt;H44),--(H$3:H$102&lt;&gt;""))-SUMPRODUCT(--($D$3:$D$102="P"),--(H$3:H$102&lt;H44),--(H$3:H$102&lt;&gt;"")))</f>
        <v>25</v>
      </c>
      <c r="O44" s="9">
        <f>IF(OR($C44&lt;&gt;"",$D44&lt;&gt;"",I44=""),"",I44-SUMPRODUCT(--($C$3:$C$102="P"),--(I$3:I$102&lt;I44),--(I$3:I$102&lt;&gt;""))-SUMPRODUCT(--($D$3:$D$102="P"),--(I$3:I$102&lt;I44),--(I$3:I$102&lt;&gt;"")))</f>
        <v>21</v>
      </c>
      <c r="P44" s="9">
        <f>IF(OR($C44&lt;&gt;"",$D44&lt;&gt;"",J44=""),"",J44-SUMPRODUCT(--($C$3:$C$102="P"),--(J$3:J$102&lt;J44),--(J$3:J$102&lt;&gt;""))-SUMPRODUCT(--($D$3:$D$102="P"),--(J$3:J$102&lt;J44),--(J$3:J$102&lt;&gt;"")))</f>
        <v>32</v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9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9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9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>6</v>
      </c>
      <c r="U44" s="9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>10</v>
      </c>
      <c r="V44" s="9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4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16.092209789999998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/>
      </c>
      <c r="AA44" s="14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78</v>
      </c>
      <c r="AC44" s="9">
        <f>COUNTIF(L44:Q44,"&lt;=8")</f>
        <v>0</v>
      </c>
      <c r="AD44" s="9">
        <f>MIN(L44:Q44)</f>
        <v>21</v>
      </c>
    </row>
    <row r="45" spans="1:30" x14ac:dyDescent="0.2">
      <c r="A45" s="7" t="s">
        <v>41</v>
      </c>
      <c r="B45" s="6" t="s">
        <v>58</v>
      </c>
      <c r="E45" s="3">
        <f>IF(AA45="","",RANK(AA45,AA:AA))</f>
        <v>13</v>
      </c>
      <c r="F45" s="6">
        <v>28</v>
      </c>
      <c r="G45" s="6">
        <v>26</v>
      </c>
      <c r="H45" s="6">
        <v>32</v>
      </c>
      <c r="I45" s="6">
        <v>43</v>
      </c>
      <c r="J45" s="6">
        <v>40</v>
      </c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25</v>
      </c>
      <c r="M45" s="9">
        <f>IF(OR($C45&lt;&gt;"",$D45&lt;&gt;"",G45=""),"",G45-SUMPRODUCT(--($C$3:$C$102="P"),--(G$3:G$102&lt;G45),--(G$3:G$102&lt;&gt;""))-SUMPRODUCT(--($D$3:$D$102="P"),--(G$3:G$102&lt;G45),--(G$3:G$102&lt;&gt;"")))</f>
        <v>24</v>
      </c>
      <c r="N45" s="9">
        <f>IF(OR($C45&lt;&gt;"",$D45&lt;&gt;"",H45=""),"",H45-SUMPRODUCT(--($C$3:$C$102="P"),--(H$3:H$102&lt;H45),--(H$3:H$102&lt;&gt;""))-SUMPRODUCT(--($D$3:$D$102="P"),--(H$3:H$102&lt;H45),--(H$3:H$102&lt;&gt;"")))</f>
        <v>28</v>
      </c>
      <c r="O45" s="9">
        <f>IF(OR($C45&lt;&gt;"",$D45&lt;&gt;"",I45=""),"",I45-SUMPRODUCT(--($C$3:$C$102="P"),--(I$3:I$102&lt;I45),--(I$3:I$102&lt;&gt;""))-SUMPRODUCT(--($D$3:$D$102="P"),--(I$3:I$102&lt;I45),--(I$3:I$102&lt;&gt;"")))</f>
        <v>38</v>
      </c>
      <c r="P45" s="9">
        <f>IF(OR($C45&lt;&gt;"",$D45&lt;&gt;"",J45=""),"",J45-SUMPRODUCT(--($C$3:$C$102="P"),--(J$3:J$102&lt;J45),--(J$3:J$102&lt;&gt;""))-SUMPRODUCT(--($D$3:$D$102="P"),--(J$3:J$102&lt;J45),--(J$3:J$102&lt;&gt;"")))</f>
        <v>38</v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9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>6</v>
      </c>
      <c r="S45" s="9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>7</v>
      </c>
      <c r="T45" s="9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>3</v>
      </c>
      <c r="U45" s="9" t="str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/>
      </c>
      <c r="V45" s="9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4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16.087109760000001</v>
      </c>
      <c r="Y45" s="2" t="str">
        <f>IF(OR(X45="",X45=0),"",IF(SUMPRODUCT(--(B$3:B$102=B45),--(X$3:X$102&gt;X45),--(X$3:X$102&lt;&gt;"")),"","P"))</f>
        <v>P</v>
      </c>
      <c r="Z45" s="2" t="str">
        <f>IF(X45="","",IF(SUMPRODUCT(--(C$3:C$102="P"),--(B$3:B$102=B45)),"P",""))</f>
        <v/>
      </c>
      <c r="AA45" s="14">
        <f>IF(AND(Y45&lt;&gt;"",OR(Z45="",SUMPRODUCT(--(X$3:X$102&gt;X45),--(Z$3:Z$102="P"),--(Y$3:Y$102="P"))&lt;4)),X45,"")</f>
        <v>16.087109760000001</v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129</v>
      </c>
      <c r="AC45" s="9">
        <f>COUNTIF(L45:Q45,"&lt;=8")</f>
        <v>0</v>
      </c>
      <c r="AD45" s="9">
        <f>MIN(L45:Q45)</f>
        <v>24</v>
      </c>
    </row>
    <row r="46" spans="1:30" x14ac:dyDescent="0.2">
      <c r="A46" s="7" t="s">
        <v>38</v>
      </c>
      <c r="B46" s="6" t="s">
        <v>17</v>
      </c>
      <c r="E46" s="3" t="str">
        <f>IF(AA46="","",RANK(AA46,AA:AA))</f>
        <v/>
      </c>
      <c r="F46" s="6">
        <v>25</v>
      </c>
      <c r="G46" s="6"/>
      <c r="H46" s="6"/>
      <c r="I46" s="6"/>
      <c r="J46" s="6">
        <v>27</v>
      </c>
      <c r="K46" s="6"/>
      <c r="L46" s="9">
        <f>IF(OR($C46&lt;&gt;"",$D46&lt;&gt;"",F46=""),"",F46-SUMPRODUCT(--($C$3:$C$102="P"),--(F$3:F$102&lt;F46),--(F$3:F$102&lt;&gt;""))-SUMPRODUCT(--($D$3:$D$102="P"),--(F$3:F$102&lt;F46),--(F$3:F$102&lt;&gt;"")))</f>
        <v>22</v>
      </c>
      <c r="M46" s="9" t="str">
        <f>IF(OR($C46&lt;&gt;"",$D46&lt;&gt;"",G46=""),"",G46-SUMPRODUCT(--($C$3:$C$102="P"),--(G$3:G$102&lt;G46),--(G$3:G$102&lt;&gt;""))-SUMPRODUCT(--($D$3:$D$102="P"),--(G$3:G$102&lt;G46),--(G$3:G$102&lt;&gt;"")))</f>
        <v/>
      </c>
      <c r="N46" s="9" t="str">
        <f>IF(OR($C46&lt;&gt;"",$D46&lt;&gt;"",H46=""),"",H46-SUMPRODUCT(--($C$3:$C$102="P"),--(H$3:H$102&lt;H46),--(H$3:H$102&lt;&gt;""))-SUMPRODUCT(--($D$3:$D$102="P"),--(H$3:H$102&lt;H46),--(H$3:H$102&lt;&gt;"")))</f>
        <v/>
      </c>
      <c r="O46" s="9" t="str">
        <f>IF(OR($C46&lt;&gt;"",$D46&lt;&gt;"",I46=""),"",I46-SUMPRODUCT(--($C$3:$C$102="P"),--(I$3:I$102&lt;I46),--(I$3:I$102&lt;&gt;""))-SUMPRODUCT(--($D$3:$D$102="P"),--(I$3:I$102&lt;I46),--(I$3:I$102&lt;&gt;"")))</f>
        <v/>
      </c>
      <c r="P46" s="9">
        <f>IF(OR($C46&lt;&gt;"",$D46&lt;&gt;"",J46=""),"",J46-SUMPRODUCT(--($C$3:$C$102="P"),--(J$3:J$102&lt;J46),--(J$3:J$102&lt;&gt;""))-SUMPRODUCT(--($D$3:$D$102="P"),--(J$3:J$102&lt;J46),--(J$3:J$102&lt;&gt;"")))</f>
        <v>25</v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9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>9</v>
      </c>
      <c r="S46" s="9" t="str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/>
      </c>
      <c r="T46" s="9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>6</v>
      </c>
      <c r="W46" s="9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4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15.095309779999999</v>
      </c>
      <c r="Y46" s="2" t="str">
        <f>IF(OR(X46="",X46=0),"",IF(SUMPRODUCT(--(B$3:B$102=B46),--(X$3:X$102&gt;X46),--(X$3:X$102&lt;&gt;"")),"","P"))</f>
        <v/>
      </c>
      <c r="Z46" s="2" t="str">
        <f>IF(X46="","",IF(SUMPRODUCT(--(C$3:C$102="P"),--(B$3:B$102=B46)),"P",""))</f>
        <v>P</v>
      </c>
      <c r="AA46" s="14" t="str">
        <f>IF(AND(Y46&lt;&gt;"",OR(Z46="",SUMPRODUCT(--(X$3:X$102&gt;X46),--(Z$3:Z$102="P"),--(Y$3:Y$102="P"))&lt;4)),X46,"")</f>
        <v/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47</v>
      </c>
      <c r="AC46" s="9">
        <f>COUNTIF(L46:Q46,"&lt;=8")</f>
        <v>0</v>
      </c>
      <c r="AD46" s="9">
        <f>MIN(L46:Q46)</f>
        <v>22</v>
      </c>
    </row>
    <row r="47" spans="1:30" x14ac:dyDescent="0.2">
      <c r="A47" s="7" t="s">
        <v>49</v>
      </c>
      <c r="B47" s="6" t="s">
        <v>52</v>
      </c>
      <c r="E47" s="3">
        <f>IF(AA47="","",RANK(AA47,AA:AA))</f>
        <v>14</v>
      </c>
      <c r="F47" s="6">
        <v>37</v>
      </c>
      <c r="G47" s="6">
        <v>55</v>
      </c>
      <c r="H47" s="6"/>
      <c r="I47" s="6"/>
      <c r="J47" s="6">
        <v>19</v>
      </c>
      <c r="K47" s="6"/>
      <c r="L47" s="9">
        <f>IF(OR($C47&lt;&gt;"",$D47&lt;&gt;"",F47=""),"",F47-SUMPRODUCT(--($C$3:$C$102="P"),--(F$3:F$102&lt;F47),--(F$3:F$102&lt;&gt;""))-SUMPRODUCT(--($D$3:$D$102="P"),--(F$3:F$102&lt;F47),--(F$3:F$102&lt;&gt;"")))</f>
        <v>34</v>
      </c>
      <c r="M47" s="9">
        <f>IF(OR($C47&lt;&gt;"",$D47&lt;&gt;"",G47=""),"",G47-SUMPRODUCT(--($C$3:$C$102="P"),--(G$3:G$102&lt;G47),--(G$3:G$102&lt;&gt;""))-SUMPRODUCT(--($D$3:$D$102="P"),--(G$3:G$102&lt;G47),--(G$3:G$102&lt;&gt;"")))</f>
        <v>52</v>
      </c>
      <c r="N47" s="9" t="str">
        <f>IF(OR($C47&lt;&gt;"",$D47&lt;&gt;"",H47=""),"",H47-SUMPRODUCT(--($C$3:$C$102="P"),--(H$3:H$102&lt;H47),--(H$3:H$102&lt;&gt;""))-SUMPRODUCT(--($D$3:$D$102="P"),--(H$3:H$102&lt;H47),--(H$3:H$102&lt;&gt;"")))</f>
        <v/>
      </c>
      <c r="O47" s="9" t="str">
        <f>IF(OR($C47&lt;&gt;"",$D47&lt;&gt;"",I47=""),"",I47-SUMPRODUCT(--($C$3:$C$102="P"),--(I$3:I$102&lt;I47),--(I$3:I$102&lt;&gt;""))-SUMPRODUCT(--($D$3:$D$102="P"),--(I$3:I$102&lt;I47),--(I$3:I$102&lt;&gt;"")))</f>
        <v/>
      </c>
      <c r="P47" s="9">
        <f>IF(OR($C47&lt;&gt;"",$D47&lt;&gt;"",J47=""),"",J47-SUMPRODUCT(--($C$3:$C$102="P"),--(J$3:J$102&lt;J47),--(J$3:J$102&lt;&gt;""))-SUMPRODUCT(--($D$3:$D$102="P"),--(J$3:J$102&lt;J47),--(J$3:J$102&lt;&gt;"")))</f>
        <v>17</v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9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 t="str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/>
      </c>
      <c r="V47" s="9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>14</v>
      </c>
      <c r="W47" s="9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4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14.08970983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4">
        <f>IF(AND(Y47&lt;&gt;"",OR(Z47="",SUMPRODUCT(--(X$3:X$102&gt;X47),--(Z$3:Z$102="P"),--(Y$3:Y$102="P"))&lt;4)),X47,"")</f>
        <v>14.08970983</v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103</v>
      </c>
      <c r="AC47" s="9">
        <f>COUNTIF(L47:Q47,"&lt;=8")</f>
        <v>0</v>
      </c>
      <c r="AD47" s="9">
        <f>MIN(L47:Q47)</f>
        <v>17</v>
      </c>
    </row>
    <row r="48" spans="1:30" x14ac:dyDescent="0.2">
      <c r="A48" s="7" t="s">
        <v>157</v>
      </c>
      <c r="B48" s="6" t="s">
        <v>24</v>
      </c>
      <c r="E48" s="3" t="str">
        <f>IF(AA48="","",RANK(AA48,AA:AA))</f>
        <v/>
      </c>
      <c r="F48" s="6"/>
      <c r="G48" s="6"/>
      <c r="H48" s="6">
        <v>21</v>
      </c>
      <c r="I48" s="6">
        <v>44</v>
      </c>
      <c r="J48" s="6">
        <v>51</v>
      </c>
      <c r="K48" s="6"/>
      <c r="L48" s="9" t="str">
        <f>IF(OR($C48&lt;&gt;"",$D48&lt;&gt;"",F48=""),"",F48-SUMPRODUCT(--($C$3:$C$102="P"),--(F$3:F$102&lt;F48),--(F$3:F$102&lt;&gt;""))-SUMPRODUCT(--($D$3:$D$102="P"),--(F$3:F$102&lt;F48),--(F$3:F$102&lt;&gt;"")))</f>
        <v/>
      </c>
      <c r="M48" s="9" t="str">
        <f>IF(OR($C48&lt;&gt;"",$D48&lt;&gt;"",G48=""),"",G48-SUMPRODUCT(--($C$3:$C$102="P"),--(G$3:G$102&lt;G48),--(G$3:G$102&lt;&gt;""))-SUMPRODUCT(--($D$3:$D$102="P"),--(G$3:G$102&lt;G48),--(G$3:G$102&lt;&gt;"")))</f>
        <v/>
      </c>
      <c r="N48" s="9">
        <f>IF(OR($C48&lt;&gt;"",$D48&lt;&gt;"",H48=""),"",H48-SUMPRODUCT(--($C$3:$C$102="P"),--(H$3:H$102&lt;H48),--(H$3:H$102&lt;&gt;""))-SUMPRODUCT(--($D$3:$D$102="P"),--(H$3:H$102&lt;H48),--(H$3:H$102&lt;&gt;"")))</f>
        <v>18</v>
      </c>
      <c r="O48" s="9">
        <f>IF(OR($C48&lt;&gt;"",$D48&lt;&gt;"",I48=""),"",I48-SUMPRODUCT(--($C$3:$C$102="P"),--(I$3:I$102&lt;I48),--(I$3:I$102&lt;&gt;""))-SUMPRODUCT(--($D$3:$D$102="P"),--(I$3:I$102&lt;I48),--(I$3:I$102&lt;&gt;"")))</f>
        <v>39</v>
      </c>
      <c r="P48" s="9">
        <f>IF(OR($C48&lt;&gt;"",$D48&lt;&gt;"",J48=""),"",J48-SUMPRODUCT(--($C$3:$C$102="P"),--(J$3:J$102&lt;J48),--(J$3:J$102&lt;&gt;""))-SUMPRODUCT(--($D$3:$D$102="P"),--(J$3:J$102&lt;J48),--(J$3:J$102&lt;&gt;"")))</f>
        <v>47</v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9" t="str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/>
      </c>
      <c r="S48" s="9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9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>13</v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4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13.089609820000002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>P</v>
      </c>
      <c r="AA48" s="14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104</v>
      </c>
      <c r="AC48" s="9">
        <f>COUNTIF(L48:Q48,"&lt;=8")</f>
        <v>0</v>
      </c>
      <c r="AD48" s="9">
        <f>MIN(L48:Q48)</f>
        <v>18</v>
      </c>
    </row>
    <row r="49" spans="1:30" x14ac:dyDescent="0.2">
      <c r="A49" s="7" t="s">
        <v>35</v>
      </c>
      <c r="B49" s="6" t="s">
        <v>19</v>
      </c>
      <c r="E49" s="3" t="str">
        <f>IF(AA49="","",RANK(AA49,AA:AA))</f>
        <v/>
      </c>
      <c r="F49" s="6">
        <v>22</v>
      </c>
      <c r="G49" s="6"/>
      <c r="H49" s="6"/>
      <c r="I49" s="6"/>
      <c r="J49" s="6">
        <v>54</v>
      </c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19</v>
      </c>
      <c r="M49" s="9" t="str">
        <f>IF(OR($C49&lt;&gt;"",$D49&lt;&gt;"",G49=""),"",G49-SUMPRODUCT(--($C$3:$C$102="P"),--(G$3:G$102&lt;G49),--(G$3:G$102&lt;&gt;""))-SUMPRODUCT(--($D$3:$D$102="P"),--(G$3:G$102&lt;G49),--(G$3:G$102&lt;&gt;"")))</f>
        <v/>
      </c>
      <c r="N49" s="9" t="str">
        <f>IF(OR($C49&lt;&gt;"",$D49&lt;&gt;"",H49=""),"",H49-SUMPRODUCT(--($C$3:$C$102="P"),--(H$3:H$102&lt;H49),--(H$3:H$102&lt;&gt;""))-SUMPRODUCT(--($D$3:$D$102="P"),--(H$3:H$102&lt;H49),--(H$3:H$102&lt;&gt;"")))</f>
        <v/>
      </c>
      <c r="O49" s="9" t="str">
        <f>IF(OR($C49&lt;&gt;"",$D49&lt;&gt;"",I49=""),"",I49-SUMPRODUCT(--($C$3:$C$102="P"),--(I$3:I$102&lt;I49),--(I$3:I$102&lt;&gt;""))-SUMPRODUCT(--($D$3:$D$102="P"),--(I$3:I$102&lt;I49),--(I$3:I$102&lt;&gt;"")))</f>
        <v/>
      </c>
      <c r="P49" s="9">
        <f>IF(OR($C49&lt;&gt;"",$D49&lt;&gt;"",J49=""),"",J49-SUMPRODUCT(--($C$3:$C$102="P"),--(J$3:J$102&lt;J49),--(J$3:J$102&lt;&gt;""))-SUMPRODUCT(--($D$3:$D$102="P"),--(J$3:J$102&lt;J49),--(J$3:J$102&lt;&gt;"")))</f>
        <v>50</v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9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>12</v>
      </c>
      <c r="S49" s="9" t="str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/>
      </c>
      <c r="T49" s="9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9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4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12.09310981</v>
      </c>
      <c r="Y49" s="2" t="str">
        <f>IF(OR(X49="",X49=0),"",IF(SUMPRODUCT(--(B$3:B$102=B49),--(X$3:X$102&gt;X49),--(X$3:X$102&lt;&gt;"")),"","P"))</f>
        <v/>
      </c>
      <c r="Z49" s="2" t="str">
        <f>IF(X49="","",IF(SUMPRODUCT(--(C$3:C$102="P"),--(B$3:B$102=B49)),"P",""))</f>
        <v/>
      </c>
      <c r="AA49" s="14" t="str">
        <f>IF(AND(Y49&lt;&gt;"",OR(Z49="",SUMPRODUCT(--(X$3:X$102&gt;X49),--(Z$3:Z$102="P"),--(Y$3:Y$102="P"))&lt;4)),X49,"")</f>
        <v/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69</v>
      </c>
      <c r="AC49" s="9">
        <f>COUNTIF(L49:Q49,"&lt;=8")</f>
        <v>0</v>
      </c>
      <c r="AD49" s="9">
        <f>MIN(L49:Q49)</f>
        <v>19</v>
      </c>
    </row>
    <row r="50" spans="1:30" x14ac:dyDescent="0.2">
      <c r="A50" s="7" t="s">
        <v>145</v>
      </c>
      <c r="B50" s="6" t="s">
        <v>82</v>
      </c>
      <c r="E50" s="3">
        <f>IF(AA50="","",RANK(AA50,AA:AA))</f>
        <v>15</v>
      </c>
      <c r="F50" s="6">
        <v>54</v>
      </c>
      <c r="G50" s="6">
        <v>29</v>
      </c>
      <c r="H50" s="6">
        <v>45</v>
      </c>
      <c r="I50" s="6">
        <v>26</v>
      </c>
      <c r="J50" s="6">
        <v>41</v>
      </c>
      <c r="K50" s="6"/>
      <c r="L50" s="9">
        <f>IF(OR($C50&lt;&gt;"",$D50&lt;&gt;"",F50=""),"",F50-SUMPRODUCT(--($C$3:$C$102="P"),--(F$3:F$102&lt;F50),--(F$3:F$102&lt;&gt;""))-SUMPRODUCT(--($D$3:$D$102="P"),--(F$3:F$102&lt;F50),--(F$3:F$102&lt;&gt;"")))</f>
        <v>51</v>
      </c>
      <c r="M50" s="9">
        <f>IF(OR($C50&lt;&gt;"",$D50&lt;&gt;"",G50=""),"",G50-SUMPRODUCT(--($C$3:$C$102="P"),--(G$3:G$102&lt;G50),--(G$3:G$102&lt;&gt;""))-SUMPRODUCT(--($D$3:$D$102="P"),--(G$3:G$102&lt;G50),--(G$3:G$102&lt;&gt;"")))</f>
        <v>27</v>
      </c>
      <c r="N50" s="9">
        <f>IF(OR($C50&lt;&gt;"",$D50&lt;&gt;"",H50=""),"",H50-SUMPRODUCT(--($C$3:$C$102="P"),--(H$3:H$102&lt;H50),--(H$3:H$102&lt;&gt;""))-SUMPRODUCT(--($D$3:$D$102="P"),--(H$3:H$102&lt;H50),--(H$3:H$102&lt;&gt;"")))</f>
        <v>40</v>
      </c>
      <c r="O50" s="9">
        <f>IF(OR($C50&lt;&gt;"",$D50&lt;&gt;"",I50=""),"",I50-SUMPRODUCT(--($C$3:$C$102="P"),--(I$3:I$102&lt;I50),--(I$3:I$102&lt;&gt;""))-SUMPRODUCT(--($D$3:$D$102="P"),--(I$3:I$102&lt;I50),--(I$3:I$102&lt;&gt;"")))</f>
        <v>23</v>
      </c>
      <c r="P50" s="9">
        <f>IF(OR($C50&lt;&gt;"",$D50&lt;&gt;"",J50=""),"",J50-SUMPRODUCT(--($C$3:$C$102="P"),--(J$3:J$102&lt;J50),--(J$3:J$102&lt;&gt;""))-SUMPRODUCT(--($D$3:$D$102="P"),--(J$3:J$102&lt;J50),--(J$3:J$102&lt;&gt;"")))</f>
        <v>39</v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9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S50" s="9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>4</v>
      </c>
      <c r="T50" s="9" t="str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/>
      </c>
      <c r="U50" s="9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>8</v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4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12.084309770000001</v>
      </c>
      <c r="Y50" s="2" t="str">
        <f>IF(OR(X50="",X50=0),"",IF(SUMPRODUCT(--(B$3:B$102=B50),--(X$3:X$102&gt;X50),--(X$3:X$102&lt;&gt;"")),"","P"))</f>
        <v>P</v>
      </c>
      <c r="Z50" s="2" t="str">
        <f>IF(X50="","",IF(SUMPRODUCT(--(C$3:C$102="P"),--(B$3:B$102=B50)),"P",""))</f>
        <v/>
      </c>
      <c r="AA50" s="14">
        <f>IF(AND(Y50&lt;&gt;"",OR(Z50="",SUMPRODUCT(--(X$3:X$102&gt;X50),--(Z$3:Z$102="P"),--(Y$3:Y$102="P"))&lt;4)),X50,"")</f>
        <v>12.084309770000001</v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157</v>
      </c>
      <c r="AC50" s="9">
        <f>COUNTIF(L50:Q50,"&lt;=8")</f>
        <v>0</v>
      </c>
      <c r="AD50" s="9">
        <f>MIN(L50:Q50)</f>
        <v>23</v>
      </c>
    </row>
    <row r="51" spans="1:30" x14ac:dyDescent="0.2">
      <c r="A51" s="7" t="s">
        <v>44</v>
      </c>
      <c r="B51" s="6" t="s">
        <v>19</v>
      </c>
      <c r="E51" s="3" t="str">
        <f>IF(AA51="","",RANK(AA51,AA:AA))</f>
        <v/>
      </c>
      <c r="F51" s="6">
        <v>31</v>
      </c>
      <c r="G51" s="6">
        <v>25</v>
      </c>
      <c r="H51" s="6"/>
      <c r="I51" s="6"/>
      <c r="J51" s="6"/>
      <c r="K51" s="6"/>
      <c r="L51" s="9">
        <f>IF(OR($C51&lt;&gt;"",$D51&lt;&gt;"",F51=""),"",F51-SUMPRODUCT(--($C$3:$C$102="P"),--(F$3:F$102&lt;F51),--(F$3:F$102&lt;&gt;""))-SUMPRODUCT(--($D$3:$D$102="P"),--(F$3:F$102&lt;F51),--(F$3:F$102&lt;&gt;"")))</f>
        <v>28</v>
      </c>
      <c r="M51" s="9">
        <f>IF(OR($C51&lt;&gt;"",$D51&lt;&gt;"",G51=""),"",G51-SUMPRODUCT(--($C$3:$C$102="P"),--(G$3:G$102&lt;G51),--(G$3:G$102&lt;&gt;""))-SUMPRODUCT(--($D$3:$D$102="P"),--(G$3:G$102&lt;G51),--(G$3:G$102&lt;&gt;"")))</f>
        <v>23</v>
      </c>
      <c r="N51" s="9" t="str">
        <f>IF(OR($C51&lt;&gt;"",$D51&lt;&gt;"",H51=""),"",H51-SUMPRODUCT(--($C$3:$C$102="P"),--(H$3:H$102&lt;H51),--(H$3:H$102&lt;&gt;""))-SUMPRODUCT(--($D$3:$D$102="P"),--(H$3:H$102&lt;H51),--(H$3:H$102&lt;&gt;"")))</f>
        <v/>
      </c>
      <c r="O51" s="9" t="str">
        <f>IF(OR($C51&lt;&gt;"",$D51&lt;&gt;"",I51=""),"",I51-SUMPRODUCT(--($C$3:$C$102="P"),--(I$3:I$102&lt;I51),--(I$3:I$102&lt;&gt;""))-SUMPRODUCT(--($D$3:$D$102="P"),--(I$3:I$102&lt;I51),--(I$3:I$102&lt;&gt;"")))</f>
        <v/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9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>3</v>
      </c>
      <c r="S51" s="9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>8</v>
      </c>
      <c r="T51" s="9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9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4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11.094909770000001</v>
      </c>
      <c r="Y51" s="2" t="str">
        <f>IF(OR(X51="",X51=0),"",IF(SUMPRODUCT(--(B$3:B$102=B51),--(X$3:X$102&gt;X51),--(X$3:X$102&lt;&gt;"")),"","P"))</f>
        <v/>
      </c>
      <c r="Z51" s="2" t="str">
        <f>IF(X51="","",IF(SUMPRODUCT(--(C$3:C$102="P"),--(B$3:B$102=B51)),"P",""))</f>
        <v/>
      </c>
      <c r="AA51" s="14" t="str">
        <f>IF(AND(Y51&lt;&gt;"",OR(Z51="",SUMPRODUCT(--(X$3:X$102&gt;X51),--(Z$3:Z$102="P"),--(Y$3:Y$102="P"))&lt;4)),X51,"")</f>
        <v/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51</v>
      </c>
      <c r="AC51" s="9">
        <f>COUNTIF(L51:Q51,"&lt;=8")</f>
        <v>0</v>
      </c>
      <c r="AD51" s="9">
        <f>MIN(L51:Q51)</f>
        <v>23</v>
      </c>
    </row>
    <row r="52" spans="1:30" x14ac:dyDescent="0.2">
      <c r="A52" s="7" t="s">
        <v>192</v>
      </c>
      <c r="B52" s="6" t="s">
        <v>19</v>
      </c>
      <c r="E52" s="3" t="str">
        <f>IF(AA52="","",RANK(AA52,AA:AA))</f>
        <v/>
      </c>
      <c r="F52" s="6"/>
      <c r="G52" s="6"/>
      <c r="H52" s="6"/>
      <c r="I52" s="6"/>
      <c r="J52" s="6">
        <v>23</v>
      </c>
      <c r="K52" s="6"/>
      <c r="L52" s="9" t="str">
        <f>IF(OR($C52&lt;&gt;"",$D52&lt;&gt;"",F52=""),"",F52-SUMPRODUCT(--($C$3:$C$102="P"),--(F$3:F$102&lt;F52),--(F$3:F$102&lt;&gt;""))-SUMPRODUCT(--($D$3:$D$102="P"),--(F$3:F$102&lt;F52),--(F$3:F$102&lt;&gt;"")))</f>
        <v/>
      </c>
      <c r="M52" s="9" t="str">
        <f>IF(OR($C52&lt;&gt;"",$D52&lt;&gt;"",G52=""),"",G52-SUMPRODUCT(--($C$3:$C$102="P"),--(G$3:G$102&lt;G52),--(G$3:G$102&lt;&gt;""))-SUMPRODUCT(--($D$3:$D$102="P"),--(G$3:G$102&lt;G52),--(G$3:G$102&lt;&gt;"")))</f>
        <v/>
      </c>
      <c r="N52" s="9" t="str">
        <f>IF(OR($C52&lt;&gt;"",$D52&lt;&gt;"",H52=""),"",H52-SUMPRODUCT(--($C$3:$C$102="P"),--(H$3:H$102&lt;H52),--(H$3:H$102&lt;&gt;""))-SUMPRODUCT(--($D$3:$D$102="P"),--(H$3:H$102&lt;H52),--(H$3:H$102&lt;&gt;"")))</f>
        <v/>
      </c>
      <c r="O52" s="9" t="str">
        <f>IF(OR($C52&lt;&gt;"",$D52&lt;&gt;"",I52=""),"",I52-SUMPRODUCT(--($C$3:$C$102="P"),--(I$3:I$102&lt;I52),--(I$3:I$102&lt;&gt;""))-SUMPRODUCT(--($D$3:$D$102="P"),--(I$3:I$102&lt;I52),--(I$3:I$102&lt;&gt;"")))</f>
        <v/>
      </c>
      <c r="P52" s="9">
        <f>IF(OR($C52&lt;&gt;"",$D52&lt;&gt;"",J52=""),"",J52-SUMPRODUCT(--($C$3:$C$102="P"),--(J$3:J$102&lt;J52),--(J$3:J$102&lt;&gt;""))-SUMPRODUCT(--($D$3:$D$102="P"),--(J$3:J$102&lt;J52),--(J$3:J$102&lt;&gt;"")))</f>
        <v>21</v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9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9" t="str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/>
      </c>
      <c r="V52" s="9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>10</v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4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10.097909789999999</v>
      </c>
      <c r="Y52" s="2" t="str">
        <f>IF(OR(X52="",X52=0),"",IF(SUMPRODUCT(--(B$3:B$102=B52),--(X$3:X$102&gt;X52),--(X$3:X$102&lt;&gt;"")),"","P"))</f>
        <v/>
      </c>
      <c r="Z52" s="2" t="str">
        <f>IF(X52="","",IF(SUMPRODUCT(--(C$3:C$102="P"),--(B$3:B$102=B52)),"P",""))</f>
        <v/>
      </c>
      <c r="AA52" s="14" t="str">
        <f>IF(AND(Y52&lt;&gt;"",OR(Z52="",SUMPRODUCT(--(X$3:X$102&gt;X52),--(Z$3:Z$102="P"),--(Y$3:Y$102="P"))&lt;4)),X52,"")</f>
        <v/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21</v>
      </c>
      <c r="AC52" s="9">
        <f>COUNTIF(L52:Q52,"&lt;=8")</f>
        <v>0</v>
      </c>
      <c r="AD52" s="9">
        <f>MIN(L52:Q52)</f>
        <v>21</v>
      </c>
    </row>
    <row r="53" spans="1:30" x14ac:dyDescent="0.2">
      <c r="A53" s="7" t="s">
        <v>144</v>
      </c>
      <c r="B53" s="6" t="s">
        <v>106</v>
      </c>
      <c r="E53" s="3">
        <f>IF(AA53="","",RANK(AA53,AA:AA))</f>
        <v>16</v>
      </c>
      <c r="F53" s="6">
        <v>60</v>
      </c>
      <c r="G53" s="6">
        <v>23</v>
      </c>
      <c r="H53" s="6"/>
      <c r="I53" s="6">
        <v>61</v>
      </c>
      <c r="J53" s="6">
        <v>46</v>
      </c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56</v>
      </c>
      <c r="M53" s="9">
        <f>IF(OR($C53&lt;&gt;"",$D53&lt;&gt;"",G53=""),"",G53-SUMPRODUCT(--($C$3:$C$102="P"),--(G$3:G$102&lt;G53),--(G$3:G$102&lt;&gt;""))-SUMPRODUCT(--($D$3:$D$102="P"),--(G$3:G$102&lt;G53),--(G$3:G$102&lt;&gt;"")))</f>
        <v>21</v>
      </c>
      <c r="N53" s="9" t="str">
        <f>IF(OR($C53&lt;&gt;"",$D53&lt;&gt;"",H53=""),"",H53-SUMPRODUCT(--($C$3:$C$102="P"),--(H$3:H$102&lt;H53),--(H$3:H$102&lt;&gt;""))-SUMPRODUCT(--($D$3:$D$102="P"),--(H$3:H$102&lt;H53),--(H$3:H$102&lt;&gt;"")))</f>
        <v/>
      </c>
      <c r="O53" s="9">
        <f>IF(OR($C53&lt;&gt;"",$D53&lt;&gt;"",I53=""),"",I53-SUMPRODUCT(--($C$3:$C$102="P"),--(I$3:I$102&lt;I53),--(I$3:I$102&lt;&gt;""))-SUMPRODUCT(--($D$3:$D$102="P"),--(I$3:I$102&lt;I53),--(I$3:I$102&lt;&gt;"")))</f>
        <v>56</v>
      </c>
      <c r="P53" s="9">
        <f>IF(OR($C53&lt;&gt;"",$D53&lt;&gt;"",J53=""),"",J53-SUMPRODUCT(--($C$3:$C$102="P"),--(J$3:J$102&lt;J53),--(J$3:J$102&lt;&gt;""))-SUMPRODUCT(--($D$3:$D$102="P"),--(J$3:J$102&lt;J53),--(J$3:J$102&lt;&gt;"")))</f>
        <v>43</v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9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9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>10</v>
      </c>
      <c r="T53" s="9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4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10.08240979</v>
      </c>
      <c r="Y53" s="2" t="str">
        <f>IF(OR(X53="",X53=0),"",IF(SUMPRODUCT(--(B$3:B$102=B53),--(X$3:X$102&gt;X53),--(X$3:X$102&lt;&gt;"")),"","P"))</f>
        <v>P</v>
      </c>
      <c r="Z53" s="2" t="str">
        <f>IF(X53="","",IF(SUMPRODUCT(--(C$3:C$102="P"),--(B$3:B$102=B53)),"P",""))</f>
        <v/>
      </c>
      <c r="AA53" s="14">
        <f>IF(AND(Y53&lt;&gt;"",OR(Z53="",SUMPRODUCT(--(X$3:X$102&gt;X53),--(Z$3:Z$102="P"),--(Y$3:Y$102="P"))&lt;4)),X53,"")</f>
        <v>10.08240979</v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176</v>
      </c>
      <c r="AC53" s="9">
        <f>COUNTIF(L53:Q53,"&lt;=8")</f>
        <v>0</v>
      </c>
      <c r="AD53" s="9">
        <f>MIN(L53:Q53)</f>
        <v>21</v>
      </c>
    </row>
    <row r="54" spans="1:30" x14ac:dyDescent="0.2">
      <c r="A54" s="7" t="s">
        <v>43</v>
      </c>
      <c r="B54" s="6" t="s">
        <v>51</v>
      </c>
      <c r="E54" s="3" t="str">
        <f>IF(AA54="","",RANK(AA54,AA:AA))</f>
        <v/>
      </c>
      <c r="F54" s="6">
        <v>30</v>
      </c>
      <c r="G54" s="6">
        <v>62</v>
      </c>
      <c r="H54" s="6"/>
      <c r="I54" s="6">
        <v>31</v>
      </c>
      <c r="J54" s="6"/>
      <c r="K54" s="6"/>
      <c r="L54" s="9">
        <f>IF(OR($C54&lt;&gt;"",$D54&lt;&gt;"",F54=""),"",F54-SUMPRODUCT(--($C$3:$C$102="P"),--(F$3:F$102&lt;F54),--(F$3:F$102&lt;&gt;""))-SUMPRODUCT(--($D$3:$D$102="P"),--(F$3:F$102&lt;F54),--(F$3:F$102&lt;&gt;"")))</f>
        <v>27</v>
      </c>
      <c r="M54" s="9">
        <f>IF(OR($C54&lt;&gt;"",$D54&lt;&gt;"",G54=""),"",G54-SUMPRODUCT(--($C$3:$C$102="P"),--(G$3:G$102&lt;G54),--(G$3:G$102&lt;&gt;""))-SUMPRODUCT(--($D$3:$D$102="P"),--(G$3:G$102&lt;G54),--(G$3:G$102&lt;&gt;"")))</f>
        <v>59</v>
      </c>
      <c r="N54" s="9" t="str">
        <f>IF(OR($C54&lt;&gt;"",$D54&lt;&gt;"",H54=""),"",H54-SUMPRODUCT(--($C$3:$C$102="P"),--(H$3:H$102&lt;H54),--(H$3:H$102&lt;&gt;""))-SUMPRODUCT(--($D$3:$D$102="P"),--(H$3:H$102&lt;H54),--(H$3:H$102&lt;&gt;"")))</f>
        <v/>
      </c>
      <c r="O54" s="9">
        <f>IF(OR($C54&lt;&gt;"",$D54&lt;&gt;"",I54=""),"",I54-SUMPRODUCT(--($C$3:$C$102="P"),--(I$3:I$102&lt;I54),--(I$3:I$102&lt;&gt;""))-SUMPRODUCT(--($D$3:$D$102="P"),--(I$3:I$102&lt;I54),--(I$3:I$102&lt;&gt;"")))</f>
        <v>27</v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>4</v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>4</v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4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8.0887097299999997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/>
      </c>
      <c r="AA54" s="14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113</v>
      </c>
      <c r="AC54" s="9">
        <f>COUNTIF(L54:Q54,"&lt;=8")</f>
        <v>0</v>
      </c>
      <c r="AD54" s="9">
        <f>MIN(L54:Q54)</f>
        <v>27</v>
      </c>
    </row>
    <row r="55" spans="1:30" x14ac:dyDescent="0.2">
      <c r="A55" s="7" t="s">
        <v>42</v>
      </c>
      <c r="B55" s="6" t="s">
        <v>22</v>
      </c>
      <c r="E55" s="3" t="str">
        <f>IF(AA55="","",RANK(AA55,AA:AA))</f>
        <v/>
      </c>
      <c r="F55" s="6">
        <v>29</v>
      </c>
      <c r="G55" s="6">
        <v>53</v>
      </c>
      <c r="H55" s="6"/>
      <c r="I55" s="6">
        <v>34</v>
      </c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26</v>
      </c>
      <c r="M55" s="9">
        <f>IF(OR($C55&lt;&gt;"",$D55&lt;&gt;"",G55=""),"",G55-SUMPRODUCT(--($C$3:$C$102="P"),--(G$3:G$102&lt;G55),--(G$3:G$102&lt;&gt;""))-SUMPRODUCT(--($D$3:$D$102="P"),--(G$3:G$102&lt;G55),--(G$3:G$102&lt;&gt;"")))</f>
        <v>50</v>
      </c>
      <c r="N55" s="9" t="str">
        <f>IF(OR($C55&lt;&gt;"",$D55&lt;&gt;"",H55=""),"",H55-SUMPRODUCT(--($C$3:$C$102="P"),--(H$3:H$102&lt;H55),--(H$3:H$102&lt;&gt;""))-SUMPRODUCT(--($D$3:$D$102="P"),--(H$3:H$102&lt;H55),--(H$3:H$102&lt;&gt;"")))</f>
        <v/>
      </c>
      <c r="O55" s="9">
        <f>IF(OR($C55&lt;&gt;"",$D55&lt;&gt;"",I55=""),"",I55-SUMPRODUCT(--($C$3:$C$102="P"),--(I$3:I$102&lt;I55),--(I$3:I$102&lt;&gt;""))-SUMPRODUCT(--($D$3:$D$102="P"),--(I$3:I$102&lt;I55),--(I$3:I$102&lt;&gt;"")))</f>
        <v>29</v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>5</v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>2</v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4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7.0895097400000004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>P</v>
      </c>
      <c r="AA55" s="14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105</v>
      </c>
      <c r="AC55" s="9">
        <f>COUNTIF(L55:Q55,"&lt;=8")</f>
        <v>0</v>
      </c>
      <c r="AD55" s="9">
        <f>MIN(L55:Q55)</f>
        <v>26</v>
      </c>
    </row>
    <row r="56" spans="1:30" x14ac:dyDescent="0.2">
      <c r="A56" s="7" t="s">
        <v>161</v>
      </c>
      <c r="B56" s="6" t="s">
        <v>160</v>
      </c>
      <c r="E56" s="3">
        <f>IF(AA56="","",RANK(AA56,AA:AA))</f>
        <v>17</v>
      </c>
      <c r="F56" s="6"/>
      <c r="G56" s="6">
        <v>47</v>
      </c>
      <c r="H56" s="6">
        <v>34</v>
      </c>
      <c r="I56" s="6">
        <v>29</v>
      </c>
      <c r="J56" s="6">
        <v>39</v>
      </c>
      <c r="K56" s="6"/>
      <c r="L56" s="9" t="str">
        <f>IF(OR($C56&lt;&gt;"",$D56&lt;&gt;"",F56=""),"",F56-SUMPRODUCT(--($C$3:$C$102="P"),--(F$3:F$102&lt;F56),--(F$3:F$102&lt;&gt;""))-SUMPRODUCT(--($D$3:$D$102="P"),--(F$3:F$102&lt;F56),--(F$3:F$102&lt;&gt;"")))</f>
        <v/>
      </c>
      <c r="M56" s="9">
        <f>IF(OR($C56&lt;&gt;"",$D56&lt;&gt;"",G56=""),"",G56-SUMPRODUCT(--($C$3:$C$102="P"),--(G$3:G$102&lt;G56),--(G$3:G$102&lt;&gt;""))-SUMPRODUCT(--($D$3:$D$102="P"),--(G$3:G$102&lt;G56),--(G$3:G$102&lt;&gt;"")))</f>
        <v>45</v>
      </c>
      <c r="N56" s="9">
        <f>IF(OR($C56&lt;&gt;"",$D56&lt;&gt;"",H56=""),"",H56-SUMPRODUCT(--($C$3:$C$102="P"),--(H$3:H$102&lt;H56),--(H$3:H$102&lt;&gt;""))-SUMPRODUCT(--($D$3:$D$102="P"),--(H$3:H$102&lt;H56),--(H$3:H$102&lt;&gt;"")))</f>
        <v>30</v>
      </c>
      <c r="O56" s="9">
        <f>IF(OR($C56&lt;&gt;"",$D56&lt;&gt;"",I56=""),"",I56-SUMPRODUCT(--($C$3:$C$102="P"),--(I$3:I$102&lt;I56),--(I$3:I$102&lt;&gt;""))-SUMPRODUCT(--($D$3:$D$102="P"),--(I$3:I$102&lt;I56),--(I$3:I$102&lt;&gt;"")))</f>
        <v>25</v>
      </c>
      <c r="P56" s="9">
        <f>IF(OR($C56&lt;&gt;"",$D56&lt;&gt;"",J56=""),"",J56-SUMPRODUCT(--($C$3:$C$102="P"),--(J$3:J$102&lt;J56),--(J$3:J$102&lt;&gt;""))-SUMPRODUCT(--($D$3:$D$102="P"),--(J$3:J$102&lt;J56),--(J$3:J$102&lt;&gt;"")))</f>
        <v>37</v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>1</v>
      </c>
      <c r="U56" s="9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>6</v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4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7.0863097499999999</v>
      </c>
      <c r="Y56" s="2" t="str">
        <f>IF(OR(X56="",X56=0),"",IF(SUMPRODUCT(--(B$3:B$102=B56),--(X$3:X$102&gt;X56),--(X$3:X$102&lt;&gt;"")),"","P"))</f>
        <v>P</v>
      </c>
      <c r="Z56" s="2" t="str">
        <f>IF(X56="","",IF(SUMPRODUCT(--(C$3:C$102="P"),--(B$3:B$102=B56)),"P",""))</f>
        <v/>
      </c>
      <c r="AA56" s="14">
        <f>IF(AND(Y56&lt;&gt;"",OR(Z56="",SUMPRODUCT(--(X$3:X$102&gt;X56),--(Z$3:Z$102="P"),--(Y$3:Y$102="P"))&lt;4)),X56,"")</f>
        <v>7.0863097499999999</v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137</v>
      </c>
      <c r="AC56" s="9">
        <f>COUNTIF(L56:Q56,"&lt;=8")</f>
        <v>0</v>
      </c>
      <c r="AD56" s="9">
        <f>MIN(L56:Q56)</f>
        <v>25</v>
      </c>
    </row>
    <row r="57" spans="1:30" x14ac:dyDescent="0.2">
      <c r="A57" s="7" t="s">
        <v>193</v>
      </c>
      <c r="B57" s="6" t="s">
        <v>19</v>
      </c>
      <c r="E57" s="3" t="str">
        <f>IF(AA57="","",RANK(AA57,AA:AA))</f>
        <v/>
      </c>
      <c r="F57" s="6"/>
      <c r="G57" s="6"/>
      <c r="H57" s="6"/>
      <c r="I57" s="6"/>
      <c r="J57" s="6">
        <v>28</v>
      </c>
      <c r="K57" s="6"/>
      <c r="L57" s="9" t="str">
        <f>IF(OR($C57&lt;&gt;"",$D57&lt;&gt;"",F57=""),"",F57-SUMPRODUCT(--($C$3:$C$102="P"),--(F$3:F$102&lt;F57),--(F$3:F$102&lt;&gt;""))-SUMPRODUCT(--($D$3:$D$102="P"),--(F$3:F$102&lt;F57),--(F$3:F$102&lt;&gt;"")))</f>
        <v/>
      </c>
      <c r="M57" s="9" t="str">
        <f>IF(OR($C57&lt;&gt;"",$D57&lt;&gt;"",G57=""),"",G57-SUMPRODUCT(--($C$3:$C$102="P"),--(G$3:G$102&lt;G57),--(G$3:G$102&lt;&gt;""))-SUMPRODUCT(--($D$3:$D$102="P"),--(G$3:G$102&lt;G57),--(G$3:G$102&lt;&gt;"")))</f>
        <v/>
      </c>
      <c r="N57" s="9" t="str">
        <f>IF(OR($C57&lt;&gt;"",$D57&lt;&gt;"",H57=""),"",H57-SUMPRODUCT(--($C$3:$C$102="P"),--(H$3:H$102&lt;H57),--(H$3:H$102&lt;&gt;""))-SUMPRODUCT(--($D$3:$D$102="P"),--(H$3:H$102&lt;H57),--(H$3:H$102&lt;&gt;"")))</f>
        <v/>
      </c>
      <c r="O57" s="9" t="str">
        <f>IF(OR($C57&lt;&gt;"",$D57&lt;&gt;"",I57=""),"",I57-SUMPRODUCT(--($C$3:$C$102="P"),--(I$3:I$102&lt;I57),--(I$3:I$102&lt;&gt;""))-SUMPRODUCT(--($D$3:$D$102="P"),--(I$3:I$102&lt;I57),--(I$3:I$102&lt;&gt;"")))</f>
        <v/>
      </c>
      <c r="P57" s="9">
        <f>IF(OR($C57&lt;&gt;"",$D57&lt;&gt;"",J57=""),"",J57-SUMPRODUCT(--($C$3:$C$102="P"),--(J$3:J$102&lt;J57),--(J$3:J$102&lt;&gt;""))-SUMPRODUCT(--($D$3:$D$102="P"),--(J$3:J$102&lt;J57),--(J$3:J$102&lt;&gt;"")))</f>
        <v>26</v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>5</v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4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5.0974097400000007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4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26</v>
      </c>
      <c r="AC57" s="9">
        <f>COUNTIF(L57:Q57,"&lt;=8")</f>
        <v>0</v>
      </c>
      <c r="AD57" s="9">
        <f>MIN(L57:Q57)</f>
        <v>26</v>
      </c>
    </row>
    <row r="58" spans="1:30" x14ac:dyDescent="0.2">
      <c r="A58" s="7" t="s">
        <v>181</v>
      </c>
      <c r="B58" s="6" t="s">
        <v>17</v>
      </c>
      <c r="E58" s="3" t="str">
        <f>IF(AA58="","",RANK(AA58,AA:AA))</f>
        <v/>
      </c>
      <c r="F58" s="6"/>
      <c r="G58" s="6">
        <v>60</v>
      </c>
      <c r="H58" s="6"/>
      <c r="I58" s="6">
        <v>30</v>
      </c>
      <c r="J58" s="6"/>
      <c r="K58" s="6"/>
      <c r="L58" s="9" t="str">
        <f>IF(OR($C58&lt;&gt;"",$D58&lt;&gt;"",F58=""),"",F58-SUMPRODUCT(--($C$3:$C$102="P"),--(F$3:F$102&lt;F58),--(F$3:F$102&lt;&gt;""))-SUMPRODUCT(--($D$3:$D$102="P"),--(F$3:F$102&lt;F58),--(F$3:F$102&lt;&gt;"")))</f>
        <v/>
      </c>
      <c r="M58" s="9">
        <f>IF(OR($C58&lt;&gt;"",$D58&lt;&gt;"",G58=""),"",G58-SUMPRODUCT(--($C$3:$C$102="P"),--(G$3:G$102&lt;G58),--(G$3:G$102&lt;&gt;""))-SUMPRODUCT(--($D$3:$D$102="P"),--(G$3:G$102&lt;G58),--(G$3:G$102&lt;&gt;"")))</f>
        <v>57</v>
      </c>
      <c r="N58" s="9" t="str">
        <f>IF(OR($C58&lt;&gt;"",$D58&lt;&gt;"",H58=""),"",H58-SUMPRODUCT(--($C$3:$C$102="P"),--(H$3:H$102&lt;H58),--(H$3:H$102&lt;&gt;""))-SUMPRODUCT(--($D$3:$D$102="P"),--(H$3:H$102&lt;H58),--(H$3:H$102&lt;&gt;"")))</f>
        <v/>
      </c>
      <c r="O58" s="9">
        <f>IF(OR($C58&lt;&gt;"",$D58&lt;&gt;"",I58=""),"",I58-SUMPRODUCT(--($C$3:$C$102="P"),--(I$3:I$102&lt;I58),--(I$3:I$102&lt;&gt;""))-SUMPRODUCT(--($D$3:$D$102="P"),--(I$3:I$102&lt;I58),--(I$3:I$102&lt;&gt;"")))</f>
        <v>26</v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>5</v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4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5.0917097400000007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>P</v>
      </c>
      <c r="AA58" s="14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83</v>
      </c>
      <c r="AC58" s="9">
        <f>COUNTIF(L58:Q58,"&lt;=8")</f>
        <v>0</v>
      </c>
      <c r="AD58" s="9">
        <f>MIN(L58:Q58)</f>
        <v>26</v>
      </c>
    </row>
    <row r="59" spans="1:30" x14ac:dyDescent="0.2">
      <c r="A59" s="7" t="s">
        <v>150</v>
      </c>
      <c r="B59" s="6" t="s">
        <v>136</v>
      </c>
      <c r="E59" s="3">
        <f>IF(AA59="","",RANK(AA59,AA:AA))</f>
        <v>18</v>
      </c>
      <c r="F59" s="6">
        <v>52</v>
      </c>
      <c r="G59" s="6">
        <v>37</v>
      </c>
      <c r="H59" s="6">
        <v>31</v>
      </c>
      <c r="I59" s="6">
        <v>39</v>
      </c>
      <c r="J59" s="6">
        <v>48</v>
      </c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49</v>
      </c>
      <c r="M59" s="9">
        <f>IF(OR($C59&lt;&gt;"",$D59&lt;&gt;"",G59=""),"",G59-SUMPRODUCT(--($C$3:$C$102="P"),--(G$3:G$102&lt;G59),--(G$3:G$102&lt;&gt;""))-SUMPRODUCT(--($D$3:$D$102="P"),--(G$3:G$102&lt;G59),--(G$3:G$102&lt;&gt;"")))</f>
        <v>35</v>
      </c>
      <c r="N59" s="9">
        <f>IF(OR($C59&lt;&gt;"",$D59&lt;&gt;"",H59=""),"",H59-SUMPRODUCT(--($C$3:$C$102="P"),--(H$3:H$102&lt;H59),--(H$3:H$102&lt;&gt;""))-SUMPRODUCT(--($D$3:$D$102="P"),--(H$3:H$102&lt;H59),--(H$3:H$102&lt;&gt;"")))</f>
        <v>27</v>
      </c>
      <c r="O59" s="9">
        <f>IF(OR($C59&lt;&gt;"",$D59&lt;&gt;"",I59=""),"",I59-SUMPRODUCT(--($C$3:$C$102="P"),--(I$3:I$102&lt;I59),--(I$3:I$102&lt;&gt;""))-SUMPRODUCT(--($D$3:$D$102="P"),--(I$3:I$102&lt;I59),--(I$3:I$102&lt;&gt;"")))</f>
        <v>34</v>
      </c>
      <c r="P59" s="9">
        <f>IF(OR($C59&lt;&gt;"",$D59&lt;&gt;"",J59=""),"",J59-SUMPRODUCT(--($C$3:$C$102="P"),--(J$3:J$102&lt;J59),--(J$3:J$102&lt;&gt;""))-SUMPRODUCT(--($D$3:$D$102="P"),--(J$3:J$102&lt;J59),--(J$3:J$102&lt;&gt;"")))</f>
        <v>45</v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>4</v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4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4.0837097300000007</v>
      </c>
      <c r="Y59" s="2" t="str">
        <f>IF(OR(X59="",X59=0),"",IF(SUMPRODUCT(--(B$3:B$102=B59),--(X$3:X$102&gt;X59),--(X$3:X$102&lt;&gt;"")),"","P"))</f>
        <v>P</v>
      </c>
      <c r="Z59" s="2" t="str">
        <f>IF(X59="","",IF(SUMPRODUCT(--(C$3:C$102="P"),--(B$3:B$102=B59)),"P",""))</f>
        <v/>
      </c>
      <c r="AA59" s="14">
        <f>IF(AND(Y59&lt;&gt;"",OR(Z59="",SUMPRODUCT(--(X$3:X$102&gt;X59),--(Z$3:Z$102="P"),--(Y$3:Y$102="P"))&lt;4)),X59,"")</f>
        <v>4.0837097300000007</v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163</v>
      </c>
      <c r="AC59" s="9">
        <f>COUNTIF(L59:Q59,"&lt;=8")</f>
        <v>0</v>
      </c>
      <c r="AD59" s="9">
        <f>MIN(L59:Q59)</f>
        <v>27</v>
      </c>
    </row>
    <row r="60" spans="1:30" x14ac:dyDescent="0.2">
      <c r="A60" s="7" t="s">
        <v>47</v>
      </c>
      <c r="B60" s="6" t="s">
        <v>60</v>
      </c>
      <c r="E60" s="3">
        <f>IF(AA60="","",RANK(AA60,AA:AA))</f>
        <v>19</v>
      </c>
      <c r="F60" s="6">
        <v>35</v>
      </c>
      <c r="G60" s="6">
        <v>41</v>
      </c>
      <c r="H60" s="6">
        <v>33</v>
      </c>
      <c r="I60" s="6">
        <v>37</v>
      </c>
      <c r="J60" s="6">
        <v>43</v>
      </c>
      <c r="K60" s="6"/>
      <c r="L60" s="9">
        <f>IF(OR($C60&lt;&gt;"",$D60&lt;&gt;"",F60=""),"",F60-SUMPRODUCT(--($C$3:$C$102="P"),--(F$3:F$102&lt;F60),--(F$3:F$102&lt;&gt;""))-SUMPRODUCT(--($D$3:$D$102="P"),--(F$3:F$102&lt;F60),--(F$3:F$102&lt;&gt;"")))</f>
        <v>32</v>
      </c>
      <c r="M60" s="9">
        <f>IF(OR($C60&lt;&gt;"",$D60&lt;&gt;"",G60=""),"",G60-SUMPRODUCT(--($C$3:$C$102="P"),--(G$3:G$102&lt;G60),--(G$3:G$102&lt;&gt;""))-SUMPRODUCT(--($D$3:$D$102="P"),--(G$3:G$102&lt;G60),--(G$3:G$102&lt;&gt;"")))</f>
        <v>39</v>
      </c>
      <c r="N60" s="9">
        <f>IF(OR($C60&lt;&gt;"",$D60&lt;&gt;"",H60=""),"",H60-SUMPRODUCT(--($C$3:$C$102="P"),--(H$3:H$102&lt;H60),--(H$3:H$102&lt;&gt;""))-SUMPRODUCT(--($D$3:$D$102="P"),--(H$3:H$102&lt;H60),--(H$3:H$102&lt;&gt;"")))</f>
        <v>29</v>
      </c>
      <c r="O60" s="9">
        <f>IF(OR($C60&lt;&gt;"",$D60&lt;&gt;"",I60=""),"",I60-SUMPRODUCT(--($C$3:$C$102="P"),--(I$3:I$102&lt;I60),--(I$3:I$102&lt;&gt;""))-SUMPRODUCT(--($D$3:$D$102="P"),--(I$3:I$102&lt;I60),--(I$3:I$102&lt;&gt;"")))</f>
        <v>32</v>
      </c>
      <c r="P60" s="9">
        <f>IF(OR($C60&lt;&gt;"",$D60&lt;&gt;"",J60=""),"",J60-SUMPRODUCT(--($C$3:$C$102="P"),--(J$3:J$102&lt;J60),--(J$3:J$102&lt;&gt;""))-SUMPRODUCT(--($D$3:$D$102="P"),--(J$3:J$102&lt;J60),--(J$3:J$102&lt;&gt;"")))</f>
        <v>40</v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>2</v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4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2.0857097100000002</v>
      </c>
      <c r="Y60" s="2" t="str">
        <f>IF(OR(X60="",X60=0),"",IF(SUMPRODUCT(--(B$3:B$102=B60),--(X$3:X$102&gt;X60),--(X$3:X$102&lt;&gt;"")),"","P"))</f>
        <v>P</v>
      </c>
      <c r="Z60" s="2" t="str">
        <f>IF(X60="","",IF(SUMPRODUCT(--(C$3:C$102="P"),--(B$3:B$102=B60)),"P",""))</f>
        <v/>
      </c>
      <c r="AA60" s="14">
        <f>IF(AND(Y60&lt;&gt;"",OR(Z60="",SUMPRODUCT(--(X$3:X$102&gt;X60),--(Z$3:Z$102="P"),--(Y$3:Y$102="P"))&lt;4)),X60,"")</f>
        <v>2.0857097100000002</v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143</v>
      </c>
      <c r="AC60" s="9">
        <f>COUNTIF(L60:Q60,"&lt;=8")</f>
        <v>0</v>
      </c>
      <c r="AD60" s="9">
        <f>MIN(L60:Q60)</f>
        <v>29</v>
      </c>
    </row>
    <row r="61" spans="1:30" x14ac:dyDescent="0.2">
      <c r="A61" s="7" t="s">
        <v>194</v>
      </c>
      <c r="B61" s="6" t="s">
        <v>195</v>
      </c>
      <c r="E61" s="3">
        <f>IF(AA61="","",RANK(AA61,AA:AA))</f>
        <v>20</v>
      </c>
      <c r="F61" s="6"/>
      <c r="G61" s="6"/>
      <c r="H61" s="6"/>
      <c r="I61" s="6"/>
      <c r="J61" s="6">
        <v>32</v>
      </c>
      <c r="K61" s="6"/>
      <c r="L61" s="9" t="str">
        <f>IF(OR($C61&lt;&gt;"",$D61&lt;&gt;"",F61=""),"",F61-SUMPRODUCT(--($C$3:$C$102="P"),--(F$3:F$102&lt;F61),--(F$3:F$102&lt;&gt;""))-SUMPRODUCT(--($D$3:$D$102="P"),--(F$3:F$102&lt;F61),--(F$3:F$102&lt;&gt;"")))</f>
        <v/>
      </c>
      <c r="M61" s="9" t="str">
        <f>IF(OR($C61&lt;&gt;"",$D61&lt;&gt;"",G61=""),"",G61-SUMPRODUCT(--($C$3:$C$102="P"),--(G$3:G$102&lt;G61),--(G$3:G$102&lt;&gt;""))-SUMPRODUCT(--($D$3:$D$102="P"),--(G$3:G$102&lt;G61),--(G$3:G$102&lt;&gt;"")))</f>
        <v/>
      </c>
      <c r="N61" s="9" t="str">
        <f>IF(OR($C61&lt;&gt;"",$D61&lt;&gt;"",H61=""),"",H61-SUMPRODUCT(--($C$3:$C$102="P"),--(H$3:H$102&lt;H61),--(H$3:H$102&lt;&gt;""))-SUMPRODUCT(--($D$3:$D$102="P"),--(H$3:H$102&lt;H61),--(H$3:H$102&lt;&gt;"")))</f>
        <v/>
      </c>
      <c r="O61" s="9" t="str">
        <f>IF(OR($C61&lt;&gt;"",$D61&lt;&gt;"",I61=""),"",I61-SUMPRODUCT(--($C$3:$C$102="P"),--(I$3:I$102&lt;I61),--(I$3:I$102&lt;&gt;""))-SUMPRODUCT(--($D$3:$D$102="P"),--(I$3:I$102&lt;I61),--(I$3:I$102&lt;&gt;"")))</f>
        <v/>
      </c>
      <c r="P61" s="9">
        <f>IF(OR($C61&lt;&gt;"",$D61&lt;&gt;"",J61=""),"",J61-SUMPRODUCT(--($C$3:$C$102="P"),--(J$3:J$102&lt;J61),--(J$3:J$102&lt;&gt;""))-SUMPRODUCT(--($D$3:$D$102="P"),--(J$3:J$102&lt;J61),--(J$3:J$102&lt;&gt;"")))</f>
        <v>30</v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 t="str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>1</v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4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1.0970096999999999</v>
      </c>
      <c r="Y61" s="2" t="str">
        <f>IF(OR(X61="",X61=0),"",IF(SUMPRODUCT(--(B$3:B$102=B61),--(X$3:X$102&gt;X61),--(X$3:X$102&lt;&gt;"")),"","P"))</f>
        <v>P</v>
      </c>
      <c r="Z61" s="2" t="str">
        <f>IF(X61="","",IF(SUMPRODUCT(--(C$3:C$102="P"),--(B$3:B$102=B61)),"P",""))</f>
        <v/>
      </c>
      <c r="AA61" s="14">
        <f>IF(AND(Y61&lt;&gt;"",OR(Z61="",SUMPRODUCT(--(X$3:X$102&gt;X61),--(Z$3:Z$102="P"),--(Y$3:Y$102="P"))&lt;4)),X61,"")</f>
        <v>1.0970096999999999</v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30</v>
      </c>
      <c r="AC61" s="9">
        <f>COUNTIF(L61:Q61,"&lt;=8")</f>
        <v>0</v>
      </c>
      <c r="AD61" s="9">
        <f>MIN(L61:Q61)</f>
        <v>30</v>
      </c>
    </row>
    <row r="62" spans="1:30" x14ac:dyDescent="0.2">
      <c r="A62" s="7" t="s">
        <v>151</v>
      </c>
      <c r="B62" s="6" t="s">
        <v>82</v>
      </c>
      <c r="E62" s="3" t="str">
        <f>IF(AA62="","",RANK(AA62,AA:AA))</f>
        <v/>
      </c>
      <c r="F62" s="6"/>
      <c r="G62" s="6">
        <v>38</v>
      </c>
      <c r="H62" s="6">
        <v>35</v>
      </c>
      <c r="I62" s="6">
        <v>35</v>
      </c>
      <c r="J62" s="6"/>
      <c r="K62" s="6"/>
      <c r="L62" s="9" t="str">
        <f>IF(OR($C62&lt;&gt;"",$D62&lt;&gt;"",F62=""),"",F62-SUMPRODUCT(--($C$3:$C$102="P"),--(F$3:F$102&lt;F62),--(F$3:F$102&lt;&gt;""))-SUMPRODUCT(--($D$3:$D$102="P"),--(F$3:F$102&lt;F62),--(F$3:F$102&lt;&gt;"")))</f>
        <v/>
      </c>
      <c r="M62" s="9">
        <f>IF(OR($C62&lt;&gt;"",$D62&lt;&gt;"",G62=""),"",G62-SUMPRODUCT(--($C$3:$C$102="P"),--(G$3:G$102&lt;G62),--(G$3:G$102&lt;&gt;""))-SUMPRODUCT(--($D$3:$D$102="P"),--(G$3:G$102&lt;G62),--(G$3:G$102&lt;&gt;"")))</f>
        <v>36</v>
      </c>
      <c r="N62" s="9">
        <f>IF(OR($C62&lt;&gt;"",$D62&lt;&gt;"",H62=""),"",H62-SUMPRODUCT(--($C$3:$C$102="P"),--(H$3:H$102&lt;H62),--(H$3:H$102&lt;&gt;""))-SUMPRODUCT(--($D$3:$D$102="P"),--(H$3:H$102&lt;H62),--(H$3:H$102&lt;&gt;"")))</f>
        <v>31</v>
      </c>
      <c r="O62" s="9">
        <f>IF(OR($C62&lt;&gt;"",$D62&lt;&gt;"",I62=""),"",I62-SUMPRODUCT(--($C$3:$C$102="P"),--(I$3:I$102&lt;I62),--(I$3:I$102&lt;&gt;""))-SUMPRODUCT(--($D$3:$D$102="P"),--(I$3:I$102&lt;I62),--(I$3:I$102&lt;&gt;"")))</f>
        <v>30</v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>1</v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4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1.0903096999999999</v>
      </c>
      <c r="Y62" s="2" t="str">
        <f>IF(OR(X62="",X62=0),"",IF(SUMPRODUCT(--(B$3:B$102=B62),--(X$3:X$102&gt;X62),--(X$3:X$102&lt;&gt;"")),"","P"))</f>
        <v/>
      </c>
      <c r="Z62" s="2" t="str">
        <f>IF(X62="","",IF(SUMPRODUCT(--(C$3:C$102="P"),--(B$3:B$102=B62)),"P",""))</f>
        <v/>
      </c>
      <c r="AA62" s="14" t="str">
        <f>IF(AND(Y62&lt;&gt;"",OR(Z62="",SUMPRODUCT(--(X$3:X$102&gt;X62),--(Z$3:Z$102="P"),--(Y$3:Y$102="P"))&lt;4)),X62,"")</f>
        <v/>
      </c>
      <c r="AB62" s="9">
        <f>IF(A62="","",IF(OR(C62="P",D62="P"),"",IF(IF(COUNT(L62:Q62)&lt;5,SUM(L62:Q62),IF(COUNT(L62:Q62)=5,SUM(L62:Q62)-MIN(L62:Q62),SUM(L62:Q62)-MIN(L62:Q62)-SMALL(L62:Q62,2)))&gt;0,IF(COUNT(L62:Q62)&lt;5,SUM(L62:Q62),IF(COUNT(L62:Q62)=5,SUM(L62:Q62)-MIN(L62:Q62),SUM(L62:Q62)-MIN(L62:Q62)-SMALL(L62:Q62,2))),0)))</f>
        <v>97</v>
      </c>
      <c r="AC62" s="9">
        <f>COUNTIF(L62:Q62,"&lt;=8")</f>
        <v>0</v>
      </c>
      <c r="AD62" s="9">
        <f>MIN(L62:Q62)</f>
        <v>30</v>
      </c>
    </row>
    <row r="63" spans="1:30" x14ac:dyDescent="0.2">
      <c r="A63" s="7" t="s">
        <v>146</v>
      </c>
      <c r="B63" s="6" t="s">
        <v>106</v>
      </c>
      <c r="E63" s="3" t="str">
        <f>IF(AA63="","",RANK(AA63,AA:AA))</f>
        <v/>
      </c>
      <c r="F63" s="6">
        <v>39</v>
      </c>
      <c r="G63" s="6">
        <v>32</v>
      </c>
      <c r="H63" s="6"/>
      <c r="I63" s="6">
        <v>47</v>
      </c>
      <c r="J63" s="6">
        <v>37</v>
      </c>
      <c r="K63" s="6"/>
      <c r="L63" s="9">
        <f>IF(OR($C63&lt;&gt;"",$D63&lt;&gt;"",F63=""),"",F63-SUMPRODUCT(--($C$3:$C$102="P"),--(F$3:F$102&lt;F63),--(F$3:F$102&lt;&gt;""))-SUMPRODUCT(--($D$3:$D$102="P"),--(F$3:F$102&lt;F63),--(F$3:F$102&lt;&gt;"")))</f>
        <v>36</v>
      </c>
      <c r="M63" s="9">
        <f>IF(OR($C63&lt;&gt;"",$D63&lt;&gt;"",G63=""),"",G63-SUMPRODUCT(--($C$3:$C$102="P"),--(G$3:G$102&lt;G63),--(G$3:G$102&lt;&gt;""))-SUMPRODUCT(--($D$3:$D$102="P"),--(G$3:G$102&lt;G63),--(G$3:G$102&lt;&gt;"")))</f>
        <v>30</v>
      </c>
      <c r="N63" s="9" t="str">
        <f>IF(OR($C63&lt;&gt;"",$D63&lt;&gt;"",H63=""),"",H63-SUMPRODUCT(--($C$3:$C$102="P"),--(H$3:H$102&lt;H63),--(H$3:H$102&lt;&gt;""))-SUMPRODUCT(--($D$3:$D$102="P"),--(H$3:H$102&lt;H63),--(H$3:H$102&lt;&gt;"")))</f>
        <v/>
      </c>
      <c r="O63" s="9">
        <f>IF(OR($C63&lt;&gt;"",$D63&lt;&gt;"",I63=""),"",I63-SUMPRODUCT(--($C$3:$C$102="P"),--(I$3:I$102&lt;I63),--(I$3:I$102&lt;&gt;""))-SUMPRODUCT(--($D$3:$D$102="P"),--(I$3:I$102&lt;I63),--(I$3:I$102&lt;&gt;"")))</f>
        <v>42</v>
      </c>
      <c r="P63" s="9">
        <f>IF(OR($C63&lt;&gt;"",$D63&lt;&gt;"",J63=""),"",J63-SUMPRODUCT(--($C$3:$C$102="P"),--(J$3:J$102&lt;J63),--(J$3:J$102&lt;&gt;""))-SUMPRODUCT(--($D$3:$D$102="P"),--(J$3:J$102&lt;J63),--(J$3:J$102&lt;&gt;"")))</f>
        <v>35</v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>1</v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4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1.0857097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4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IN(L63:Q63),SUM(L63:Q63)-MIN(L63:Q63)-SMALL(L63:Q63,2)))&gt;0,IF(COUNT(L63:Q63)&lt;5,SUM(L63:Q63),IF(COUNT(L63:Q63)=5,SUM(L63:Q63)-MIN(L63:Q63),SUM(L63:Q63)-MIN(L63:Q63)-SMALL(L63:Q63,2))),0)))</f>
        <v>143</v>
      </c>
      <c r="AC63" s="9">
        <f>COUNTIF(L63:Q63,"&lt;=8")</f>
        <v>0</v>
      </c>
      <c r="AD63" s="9">
        <f>MIN(L63:Q63)</f>
        <v>30</v>
      </c>
    </row>
    <row r="64" spans="1:30" x14ac:dyDescent="0.2">
      <c r="A64" s="7" t="s">
        <v>183</v>
      </c>
      <c r="B64" s="6" t="s">
        <v>54</v>
      </c>
      <c r="E64" s="3" t="str">
        <f>IF(AA64="","",RANK(AA64,AA:AA))</f>
        <v/>
      </c>
      <c r="F64" s="6"/>
      <c r="G64" s="6"/>
      <c r="H64" s="6">
        <v>42</v>
      </c>
      <c r="I64" s="6">
        <v>38</v>
      </c>
      <c r="J64" s="6">
        <v>38</v>
      </c>
      <c r="K64" s="6"/>
      <c r="L64" s="9" t="str">
        <f>IF(OR($C64&lt;&gt;"",$D64&lt;&gt;"",F64=""),"",F64-SUMPRODUCT(--($C$3:$C$102="P"),--(F$3:F$102&lt;F64),--(F$3:F$102&lt;&gt;""))-SUMPRODUCT(--($D$3:$D$102="P"),--(F$3:F$102&lt;F64),--(F$3:F$102&lt;&gt;"")))</f>
        <v/>
      </c>
      <c r="M64" s="9" t="str">
        <f>IF(OR($C64&lt;&gt;"",$D64&lt;&gt;"",G64=""),"",G64-SUMPRODUCT(--($C$3:$C$102="P"),--(G$3:G$102&lt;G64),--(G$3:G$102&lt;&gt;""))-SUMPRODUCT(--($D$3:$D$102="P"),--(G$3:G$102&lt;G64),--(G$3:G$102&lt;&gt;"")))</f>
        <v/>
      </c>
      <c r="N64" s="9">
        <f>IF(OR($C64&lt;&gt;"",$D64&lt;&gt;"",H64=""),"",H64-SUMPRODUCT(--($C$3:$C$102="P"),--(H$3:H$102&lt;H64),--(H$3:H$102&lt;&gt;""))-SUMPRODUCT(--($D$3:$D$102="P"),--(H$3:H$102&lt;H64),--(H$3:H$102&lt;&gt;"")))</f>
        <v>37</v>
      </c>
      <c r="O64" s="9">
        <f>IF(OR($C64&lt;&gt;"",$D64&lt;&gt;"",I64=""),"",I64-SUMPRODUCT(--($C$3:$C$102="P"),--(I$3:I$102&lt;I64),--(I$3:I$102&lt;&gt;""))-SUMPRODUCT(--($D$3:$D$102="P"),--(I$3:I$102&lt;I64),--(I$3:I$102&lt;&gt;"")))</f>
        <v>33</v>
      </c>
      <c r="P64" s="9">
        <f>IF(OR($C64&lt;&gt;"",$D64&lt;&gt;"",J64=""),"",J64-SUMPRODUCT(--($C$3:$C$102="P"),--(J$3:J$102&lt;J64),--(J$3:J$102&lt;&gt;""))-SUMPRODUCT(--($D$3:$D$102="P"),--(J$3:J$102&lt;J64),--(J$3:J$102&lt;&gt;"")))</f>
        <v>36</v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 t="str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4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0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4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IN(L64:Q64),SUM(L64:Q64)-MIN(L64:Q64)-SMALL(L64:Q64,2)))&gt;0,IF(COUNT(L64:Q64)&lt;5,SUM(L64:Q64),IF(COUNT(L64:Q64)=5,SUM(L64:Q64)-MIN(L64:Q64),SUM(L64:Q64)-MIN(L64:Q64)-SMALL(L64:Q64,2))),0)))</f>
        <v>106</v>
      </c>
      <c r="AC64" s="9">
        <f>COUNTIF(L64:Q64,"&lt;=8")</f>
        <v>0</v>
      </c>
      <c r="AD64" s="9">
        <f>MIN(L64:Q64)</f>
        <v>33</v>
      </c>
    </row>
    <row r="65" spans="1:30" x14ac:dyDescent="0.2">
      <c r="A65" s="7" t="s">
        <v>50</v>
      </c>
      <c r="B65" s="6" t="s">
        <v>51</v>
      </c>
      <c r="E65" s="3" t="str">
        <f>IF(AA65="","",RANK(AA65,AA:AA))</f>
        <v/>
      </c>
      <c r="F65" s="6">
        <v>38</v>
      </c>
      <c r="G65" s="6">
        <v>40</v>
      </c>
      <c r="H65" s="6"/>
      <c r="I65" s="6">
        <v>42</v>
      </c>
      <c r="J65" s="6"/>
      <c r="K65" s="6"/>
      <c r="L65" s="9">
        <f>IF(OR($C65&lt;&gt;"",$D65&lt;&gt;"",F65=""),"",F65-SUMPRODUCT(--($C$3:$C$102="P"),--(F$3:F$102&lt;F65),--(F$3:F$102&lt;&gt;""))-SUMPRODUCT(--($D$3:$D$102="P"),--(F$3:F$102&lt;F65),--(F$3:F$102&lt;&gt;"")))</f>
        <v>35</v>
      </c>
      <c r="M65" s="9">
        <f>IF(OR($C65&lt;&gt;"",$D65&lt;&gt;"",G65=""),"",G65-SUMPRODUCT(--($C$3:$C$102="P"),--(G$3:G$102&lt;G65),--(G$3:G$102&lt;&gt;""))-SUMPRODUCT(--($D$3:$D$102="P"),--(G$3:G$102&lt;G65),--(G$3:G$102&lt;&gt;"")))</f>
        <v>38</v>
      </c>
      <c r="N65" s="9" t="str">
        <f>IF(OR($C65&lt;&gt;"",$D65&lt;&gt;"",H65=""),"",H65-SUMPRODUCT(--($C$3:$C$102="P"),--(H$3:H$102&lt;H65),--(H$3:H$102&lt;&gt;""))-SUMPRODUCT(--($D$3:$D$102="P"),--(H$3:H$102&lt;H65),--(H$3:H$102&lt;&gt;"")))</f>
        <v/>
      </c>
      <c r="O65" s="9">
        <f>IF(OR($C65&lt;&gt;"",$D65&lt;&gt;"",I65=""),"",I65-SUMPRODUCT(--($C$3:$C$102="P"),--(I$3:I$102&lt;I65),--(I$3:I$102&lt;&gt;""))-SUMPRODUCT(--($D$3:$D$102="P"),--(I$3:I$102&lt;I65),--(I$3:I$102&lt;&gt;"")))</f>
        <v>37</v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4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4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IN(L65:Q65),SUM(L65:Q65)-MIN(L65:Q65)-SMALL(L65:Q65,2)))&gt;0,IF(COUNT(L65:Q65)&lt;5,SUM(L65:Q65),IF(COUNT(L65:Q65)=5,SUM(L65:Q65)-MIN(L65:Q65),SUM(L65:Q65)-MIN(L65:Q65)-SMALL(L65:Q65,2))),0)))</f>
        <v>110</v>
      </c>
      <c r="AC65" s="9">
        <f>COUNTIF(L65:Q65,"&lt;=8")</f>
        <v>0</v>
      </c>
      <c r="AD65" s="9">
        <f>MIN(L65:Q65)</f>
        <v>35</v>
      </c>
    </row>
    <row r="66" spans="1:30" x14ac:dyDescent="0.2">
      <c r="A66" s="7" t="s">
        <v>162</v>
      </c>
      <c r="B66" s="6" t="s">
        <v>54</v>
      </c>
      <c r="E66" s="3" t="str">
        <f>IF(AA66="","",RANK(AA66,AA:AA))</f>
        <v/>
      </c>
      <c r="F66" s="6"/>
      <c r="G66" s="6"/>
      <c r="H66" s="6">
        <v>36</v>
      </c>
      <c r="I66" s="6"/>
      <c r="J66" s="6"/>
      <c r="K66" s="6"/>
      <c r="L66" s="9" t="str">
        <f>IF(OR($C66&lt;&gt;"",$D66&lt;&gt;"",F66=""),"",F66-SUMPRODUCT(--($C$3:$C$102="P"),--(F$3:F$102&lt;F66),--(F$3:F$102&lt;&gt;""))-SUMPRODUCT(--($D$3:$D$102="P"),--(F$3:F$102&lt;F66),--(F$3:F$102&lt;&gt;"")))</f>
        <v/>
      </c>
      <c r="M66" s="9" t="str">
        <f>IF(OR($C66&lt;&gt;"",$D66&lt;&gt;"",G66=""),"",G66-SUMPRODUCT(--($C$3:$C$102="P"),--(G$3:G$102&lt;G66),--(G$3:G$102&lt;&gt;""))-SUMPRODUCT(--($D$3:$D$102="P"),--(G$3:G$102&lt;G66),--(G$3:G$102&lt;&gt;"")))</f>
        <v/>
      </c>
      <c r="N66" s="9">
        <f>IF(OR($C66&lt;&gt;"",$D66&lt;&gt;"",H66=""),"",H66-SUMPRODUCT(--($C$3:$C$102="P"),--(H$3:H$102&lt;H66),--(H$3:H$102&lt;&gt;""))-SUMPRODUCT(--($D$3:$D$102="P"),--(H$3:H$102&lt;H66),--(H$3:H$102&lt;&gt;"")))</f>
        <v>32</v>
      </c>
      <c r="O66" s="9" t="str">
        <f>IF(OR($C66&lt;&gt;"",$D66&lt;&gt;"",I66=""),"",I66-SUMPRODUCT(--($C$3:$C$102="P"),--(I$3:I$102&lt;I66),--(I$3:I$102&lt;&gt;""))-SUMPRODUCT(--($D$3:$D$102="P"),--(I$3:I$102&lt;I66),--(I$3:I$102&lt;&gt;"")))</f>
        <v/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4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/>
      </c>
      <c r="AA66" s="14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IN(L66:Q66),SUM(L66:Q66)-MIN(L66:Q66)-SMALL(L66:Q66,2)))&gt;0,IF(COUNT(L66:Q66)&lt;5,SUM(L66:Q66),IF(COUNT(L66:Q66)=5,SUM(L66:Q66)-MIN(L66:Q66),SUM(L66:Q66)-MIN(L66:Q66)-SMALL(L66:Q66,2))),0)))</f>
        <v>32</v>
      </c>
      <c r="AC66" s="9">
        <f>COUNTIF(L66:Q66,"&lt;=8")</f>
        <v>0</v>
      </c>
      <c r="AD66" s="9">
        <f>MIN(L66:Q66)</f>
        <v>32</v>
      </c>
    </row>
    <row r="67" spans="1:30" x14ac:dyDescent="0.2">
      <c r="A67" s="7" t="s">
        <v>147</v>
      </c>
      <c r="B67" s="6" t="s">
        <v>148</v>
      </c>
      <c r="E67" s="3" t="str">
        <f>IF(AA67="","",RANK(AA67,AA:AA))</f>
        <v/>
      </c>
      <c r="F67" s="6">
        <v>61</v>
      </c>
      <c r="G67" s="6">
        <v>33</v>
      </c>
      <c r="H67" s="6">
        <v>47</v>
      </c>
      <c r="I67" s="6">
        <v>49</v>
      </c>
      <c r="J67" s="6"/>
      <c r="K67" s="6"/>
      <c r="L67" s="9">
        <f>IF(OR($C67&lt;&gt;"",$D67&lt;&gt;"",F67=""),"",F67-SUMPRODUCT(--($C$3:$C$102="P"),--(F$3:F$102&lt;F67),--(F$3:F$102&lt;&gt;""))-SUMPRODUCT(--($D$3:$D$102="P"),--(F$3:F$102&lt;F67),--(F$3:F$102&lt;&gt;"")))</f>
        <v>57</v>
      </c>
      <c r="M67" s="9">
        <f>IF(OR($C67&lt;&gt;"",$D67&lt;&gt;"",G67=""),"",G67-SUMPRODUCT(--($C$3:$C$102="P"),--(G$3:G$102&lt;G67),--(G$3:G$102&lt;&gt;""))-SUMPRODUCT(--($D$3:$D$102="P"),--(G$3:G$102&lt;G67),--(G$3:G$102&lt;&gt;"")))</f>
        <v>31</v>
      </c>
      <c r="N67" s="9">
        <f>IF(OR($C67&lt;&gt;"",$D67&lt;&gt;"",H67=""),"",H67-SUMPRODUCT(--($C$3:$C$102="P"),--(H$3:H$102&lt;H67),--(H$3:H$102&lt;&gt;""))-SUMPRODUCT(--($D$3:$D$102="P"),--(H$3:H$102&lt;H67),--(H$3:H$102&lt;&gt;"")))</f>
        <v>42</v>
      </c>
      <c r="O67" s="9">
        <f>IF(OR($C67&lt;&gt;"",$D67&lt;&gt;"",I67=""),"",I67-SUMPRODUCT(--($C$3:$C$102="P"),--(I$3:I$102&lt;I67),--(I$3:I$102&lt;&gt;""))-SUMPRODUCT(--($D$3:$D$102="P"),--(I$3:I$102&lt;I67),--(I$3:I$102&lt;&gt;"")))</f>
        <v>44</v>
      </c>
      <c r="P67" s="9" t="str">
        <f>IF(OR($C67&lt;&gt;"",$D67&lt;&gt;"",J67=""),"",J67-SUMPRODUCT(--($C$3:$C$102="P"),--(J$3:J$102&lt;J67),--(J$3:J$102&lt;&gt;""))-SUMPRODUCT(--($D$3:$D$102="P"),--(J$3:J$102&lt;J67),--(J$3:J$102&lt;&gt;"")))</f>
        <v/>
      </c>
      <c r="Q67" s="9" t="str">
        <f>IF(OR($C67&lt;&gt;"",$D67&lt;&gt;"",K67=""),"",K67-SUMPRODUCT(--($C$3:$C$102="P"),--(K$3:K$102&lt;K67),--(K$3:K$102&lt;&gt;""))-SUMPRODUCT(--($D$3:$D$102="P"),--(K$3:K$102&lt;K67),--(K$3:K$102&lt;&gt;"")))</f>
        <v/>
      </c>
      <c r="R67" s="9" t="str">
        <f>IF(OR(L67="",L67&gt;30),"",IF(L67=1,60,IF(L67=2,55,IF(L67=3,50,IF(L67=4,44,IF(L67=5,38,IF(L67=6,32,IF(L67=7,28,IF(L67=8,25,IF(L67=9,22,IF(L67=10,21,IF(L67=11,20,IF(L67=12,19,IF(L67=13,18,IF(L67=14,17,IF(L67=15,16,IF(L67=16,15,IF(L67=17,14,IF(L67=18,13,IF(L67=19,12,IF(L67=20,11,IF(L67=21,10,IF(L67=22,9,IF(L67=23,8,IF(L67=24,7,IF(L67=25,6,IF(L67=26,5,IF(L67=27,4,IF(L67=28,3,IF(L67=29,2,IF(L67=30,1))))))))))))))))))))))))))))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14">
        <f>IF(A67="","",IF(OR(C67="P",D67="P"),"",IF(IF(COUNT(R67:W67)&lt;5,SUM(R67:W67),IF(COUNT(R67:W67)=5,SUM(R67:W67)-MIN(R67:W67),SUM(R67:W67)-MIN(R67:W67)-SMALL(R67:W67,2)))&gt;0,IF(COUNT(R67:W67)&lt;5,SUM(R67:W67)+(1000-AB67)*10^-4+AC67*10^-5+(1000-AD67)*10^-8,IF(COUNT(R67:W67)=5,SUM(R67:W67)-MIN(R67:W67)+(1000-AB67)*10^-4+AC67*10^-5+(1000-AD67)*10^-8,SUM(R67:W67)-MIN(R67:W67)-SMALL(R67:W67,2)+(1000-AB67)*10^-4+AC67*10^-5+(1000-AD67)*10^-8)),0)))</f>
        <v>0</v>
      </c>
      <c r="Y67" s="2" t="str">
        <f>IF(OR(X67="",X67=0),"",IF(SUMPRODUCT(--(B$3:B$102=B67),--(X$3:X$102&gt;X67),--(X$3:X$102&lt;&gt;"")),"","P"))</f>
        <v/>
      </c>
      <c r="Z67" s="2" t="str">
        <f>IF(X67="","",IF(SUMPRODUCT(--(C$3:C$102="P"),--(B$3:B$102=B67)),"P",""))</f>
        <v/>
      </c>
      <c r="AA67" s="14" t="str">
        <f>IF(AND(Y67&lt;&gt;"",OR(Z67="",SUMPRODUCT(--(X$3:X$102&gt;X67),--(Z$3:Z$102="P"),--(Y$3:Y$102="P"))&lt;4)),X67,"")</f>
        <v/>
      </c>
      <c r="AB67" s="9">
        <f>IF(A67="","",IF(OR(C67="P",D67="P"),"",IF(IF(COUNT(L67:Q67)&lt;5,SUM(L67:Q67),IF(COUNT(L67:Q67)=5,SUM(L67:Q67)-MIN(L67:Q67),SUM(L67:Q67)-MIN(L67:Q67)-SMALL(L67:Q67,2)))&gt;0,IF(COUNT(L67:Q67)&lt;5,SUM(L67:Q67),IF(COUNT(L67:Q67)=5,SUM(L67:Q67)-MIN(L67:Q67),SUM(L67:Q67)-MIN(L67:Q67)-SMALL(L67:Q67,2))),0)))</f>
        <v>174</v>
      </c>
      <c r="AC67" s="9">
        <f>COUNTIF(L67:Q67,"&lt;=8")</f>
        <v>0</v>
      </c>
      <c r="AD67" s="9">
        <f>MIN(L67:Q67)</f>
        <v>31</v>
      </c>
    </row>
    <row r="68" spans="1:30" x14ac:dyDescent="0.2">
      <c r="A68" s="7" t="s">
        <v>165</v>
      </c>
      <c r="B68" s="6" t="s">
        <v>129</v>
      </c>
      <c r="E68" s="3" t="str">
        <f>IF(AA68="","",RANK(AA68,AA:AA))</f>
        <v/>
      </c>
      <c r="F68" s="6"/>
      <c r="G68" s="6"/>
      <c r="H68" s="6">
        <v>38</v>
      </c>
      <c r="I68" s="6">
        <v>65</v>
      </c>
      <c r="J68" s="6"/>
      <c r="K68" s="6"/>
      <c r="L68" s="9" t="str">
        <f>IF(OR($C68&lt;&gt;"",$D68&lt;&gt;"",F68=""),"",F68-SUMPRODUCT(--($C$3:$C$102="P"),--(F$3:F$102&lt;F68),--(F$3:F$102&lt;&gt;""))-SUMPRODUCT(--($D$3:$D$102="P"),--(F$3:F$102&lt;F68),--(F$3:F$102&lt;&gt;"")))</f>
        <v/>
      </c>
      <c r="M68" s="9" t="str">
        <f>IF(OR($C68&lt;&gt;"",$D68&lt;&gt;"",G68=""),"",G68-SUMPRODUCT(--($C$3:$C$102="P"),--(G$3:G$102&lt;G68),--(G$3:G$102&lt;&gt;""))-SUMPRODUCT(--($D$3:$D$102="P"),--(G$3:G$102&lt;G68),--(G$3:G$102&lt;&gt;"")))</f>
        <v/>
      </c>
      <c r="N68" s="9">
        <f>IF(OR($C68&lt;&gt;"",$D68&lt;&gt;"",H68=""),"",H68-SUMPRODUCT(--($C$3:$C$102="P"),--(H$3:H$102&lt;H68),--(H$3:H$102&lt;&gt;""))-SUMPRODUCT(--($D$3:$D$102="P"),--(H$3:H$102&lt;H68),--(H$3:H$102&lt;&gt;"")))</f>
        <v>34</v>
      </c>
      <c r="O68" s="9">
        <f>IF(OR($C68&lt;&gt;"",$D68&lt;&gt;"",I68=""),"",I68-SUMPRODUCT(--($C$3:$C$102="P"),--(I$3:I$102&lt;I68),--(I$3:I$102&lt;&gt;""))-SUMPRODUCT(--($D$3:$D$102="P"),--(I$3:I$102&lt;I68),--(I$3:I$102&lt;&gt;"")))</f>
        <v>60</v>
      </c>
      <c r="P68" s="9" t="str">
        <f>IF(OR($C68&lt;&gt;"",$D68&lt;&gt;"",J68=""),"",J68-SUMPRODUCT(--($C$3:$C$102="P"),--(J$3:J$102&lt;J68),--(J$3:J$102&lt;&gt;""))-SUMPRODUCT(--($D$3:$D$102="P"),--(J$3:J$102&lt;J68),--(J$3:J$102&lt;&gt;"")))</f>
        <v/>
      </c>
      <c r="Q68" s="9" t="str">
        <f>IF(OR($C68&lt;&gt;"",$D68&lt;&gt;"",K68=""),"",K68-SUMPRODUCT(--($C$3:$C$102="P"),--(K$3:K$102&lt;K68),--(K$3:K$102&lt;&gt;""))-SUMPRODUCT(--($D$3:$D$102="P"),--(K$3:K$102&lt;K68),--(K$3:K$102&lt;&gt;"")))</f>
        <v/>
      </c>
      <c r="R68" s="9" t="str">
        <f>IF(OR(L68="",L68&gt;30),"",IF(L68=1,60,IF(L68=2,55,IF(L68=3,50,IF(L68=4,44,IF(L68=5,38,IF(L68=6,32,IF(L68=7,28,IF(L68=8,25,IF(L68=9,22,IF(L68=10,21,IF(L68=11,20,IF(L68=12,19,IF(L68=13,18,IF(L68=14,17,IF(L68=15,16,IF(L68=16,15,IF(L68=17,14,IF(L68=18,13,IF(L68=19,12,IF(L68=20,11,IF(L68=21,10,IF(L68=22,9,IF(L68=23,8,IF(L68=24,7,IF(L68=25,6,IF(L68=26,5,IF(L68=27,4,IF(L68=28,3,IF(L68=29,2,IF(L68=30,1))))))))))))))))))))))))))))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14">
        <f>IF(A68="","",IF(OR(C68="P",D68="P"),"",IF(IF(COUNT(R68:W68)&lt;5,SUM(R68:W68),IF(COUNT(R68:W68)=5,SUM(R68:W68)-MIN(R68:W68),SUM(R68:W68)-MIN(R68:W68)-SMALL(R68:W68,2)))&gt;0,IF(COUNT(R68:W68)&lt;5,SUM(R68:W68)+(1000-AB68)*10^-4+AC68*10^-5+(1000-AD68)*10^-8,IF(COUNT(R68:W68)=5,SUM(R68:W68)-MIN(R68:W68)+(1000-AB68)*10^-4+AC68*10^-5+(1000-AD68)*10^-8,SUM(R68:W68)-MIN(R68:W68)-SMALL(R68:W68,2)+(1000-AB68)*10^-4+AC68*10^-5+(1000-AD68)*10^-8)),0)))</f>
        <v>0</v>
      </c>
      <c r="Y68" s="2" t="str">
        <f>IF(OR(X68="",X68=0),"",IF(SUMPRODUCT(--(B$3:B$102=B68),--(X$3:X$102&gt;X68),--(X$3:X$102&lt;&gt;"")),"","P"))</f>
        <v/>
      </c>
      <c r="Z68" s="2" t="str">
        <f>IF(X68="","",IF(SUMPRODUCT(--(C$3:C$102="P"),--(B$3:B$102=B68)),"P",""))</f>
        <v/>
      </c>
      <c r="AA68" s="14" t="str">
        <f>IF(AND(Y68&lt;&gt;"",OR(Z68="",SUMPRODUCT(--(X$3:X$102&gt;X68),--(Z$3:Z$102="P"),--(Y$3:Y$102="P"))&lt;4)),X68,"")</f>
        <v/>
      </c>
      <c r="AB68" s="9">
        <f>IF(A68="","",IF(OR(C68="P",D68="P"),"",IF(IF(COUNT(L68:Q68)&lt;5,SUM(L68:Q68),IF(COUNT(L68:Q68)=5,SUM(L68:Q68)-MIN(L68:Q68),SUM(L68:Q68)-MIN(L68:Q68)-SMALL(L68:Q68,2)))&gt;0,IF(COUNT(L68:Q68)&lt;5,SUM(L68:Q68),IF(COUNT(L68:Q68)=5,SUM(L68:Q68)-MIN(L68:Q68),SUM(L68:Q68)-MIN(L68:Q68)-SMALL(L68:Q68,2))),0)))</f>
        <v>94</v>
      </c>
      <c r="AC68" s="9">
        <f>COUNTIF(L68:Q68,"&lt;=8")</f>
        <v>0</v>
      </c>
      <c r="AD68" s="9">
        <f>MIN(L68:Q68)</f>
        <v>34</v>
      </c>
    </row>
    <row r="69" spans="1:30" x14ac:dyDescent="0.2">
      <c r="A69" s="7" t="s">
        <v>182</v>
      </c>
      <c r="B69" s="6" t="s">
        <v>51</v>
      </c>
      <c r="E69" s="3" t="str">
        <f>IF(AA69="","",RANK(AA69,AA:AA))</f>
        <v/>
      </c>
      <c r="F69" s="6"/>
      <c r="G69" s="6"/>
      <c r="H69" s="6"/>
      <c r="I69" s="6">
        <v>36</v>
      </c>
      <c r="J69" s="6"/>
      <c r="K69" s="6"/>
      <c r="L69" s="9" t="str">
        <f>IF(OR($C69&lt;&gt;"",$D69&lt;&gt;"",F69=""),"",F69-SUMPRODUCT(--($C$3:$C$102="P"),--(F$3:F$102&lt;F69),--(F$3:F$102&lt;&gt;""))-SUMPRODUCT(--($D$3:$D$102="P"),--(F$3:F$102&lt;F69),--(F$3:F$102&lt;&gt;"")))</f>
        <v/>
      </c>
      <c r="M69" s="9" t="str">
        <f>IF(OR($C69&lt;&gt;"",$D69&lt;&gt;"",G69=""),"",G69-SUMPRODUCT(--($C$3:$C$102="P"),--(G$3:G$102&lt;G69),--(G$3:G$102&lt;&gt;""))-SUMPRODUCT(--($D$3:$D$102="P"),--(G$3:G$102&lt;G69),--(G$3:G$102&lt;&gt;"")))</f>
        <v/>
      </c>
      <c r="N69" s="9" t="str">
        <f>IF(OR($C69&lt;&gt;"",$D69&lt;&gt;"",H69=""),"",H69-SUMPRODUCT(--($C$3:$C$102="P"),--(H$3:H$102&lt;H69),--(H$3:H$102&lt;&gt;""))-SUMPRODUCT(--($D$3:$D$102="P"),--(H$3:H$102&lt;H69),--(H$3:H$102&lt;&gt;"")))</f>
        <v/>
      </c>
      <c r="O69" s="9">
        <f>IF(OR($C69&lt;&gt;"",$D69&lt;&gt;"",I69=""),"",I69-SUMPRODUCT(--($C$3:$C$102="P"),--(I$3:I$102&lt;I69),--(I$3:I$102&lt;&gt;""))-SUMPRODUCT(--($D$3:$D$102="P"),--(I$3:I$102&lt;I69),--(I$3:I$102&lt;&gt;"")))</f>
        <v>31</v>
      </c>
      <c r="P69" s="9" t="str">
        <f>IF(OR($C69&lt;&gt;"",$D69&lt;&gt;"",J69=""),"",J69-SUMPRODUCT(--($C$3:$C$102="P"),--(J$3:J$102&lt;J69),--(J$3:J$102&lt;&gt;""))-SUMPRODUCT(--($D$3:$D$102="P"),--(J$3:J$102&lt;J69),--(J$3:J$102&lt;&gt;"")))</f>
        <v/>
      </c>
      <c r="Q69" s="9" t="str">
        <f>IF(OR($C69&lt;&gt;"",$D69&lt;&gt;"",K69=""),"",K69-SUMPRODUCT(--($C$3:$C$102="P"),--(K$3:K$102&lt;K69),--(K$3:K$102&lt;&gt;""))-SUMPRODUCT(--($D$3:$D$102="P"),--(K$3:K$102&lt;K69),--(K$3:K$102&lt;&gt;"")))</f>
        <v/>
      </c>
      <c r="R69" s="9" t="str">
        <f>IF(OR(L69="",L69&gt;30),"",IF(L69=1,60,IF(L69=2,55,IF(L69=3,50,IF(L69=4,44,IF(L69=5,38,IF(L69=6,32,IF(L69=7,28,IF(L69=8,25,IF(L69=9,22,IF(L69=10,21,IF(L69=11,20,IF(L69=12,19,IF(L69=13,18,IF(L69=14,17,IF(L69=15,16,IF(L69=16,15,IF(L69=17,14,IF(L69=18,13,IF(L69=19,12,IF(L69=20,11,IF(L69=21,10,IF(L69=22,9,IF(L69=23,8,IF(L69=24,7,IF(L69=25,6,IF(L69=26,5,IF(L69=27,4,IF(L69=28,3,IF(L69=29,2,IF(L69=30,1))))))))))))))))))))))))))))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14">
        <f>IF(A69="","",IF(OR(C69="P",D69="P"),"",IF(IF(COUNT(R69:W69)&lt;5,SUM(R69:W69),IF(COUNT(R69:W69)=5,SUM(R69:W69)-MIN(R69:W69),SUM(R69:W69)-MIN(R69:W69)-SMALL(R69:W69,2)))&gt;0,IF(COUNT(R69:W69)&lt;5,SUM(R69:W69)+(1000-AB69)*10^-4+AC69*10^-5+(1000-AD69)*10^-8,IF(COUNT(R69:W69)=5,SUM(R69:W69)-MIN(R69:W69)+(1000-AB69)*10^-4+AC69*10^-5+(1000-AD69)*10^-8,SUM(R69:W69)-MIN(R69:W69)-SMALL(R69:W69,2)+(1000-AB69)*10^-4+AC69*10^-5+(1000-AD69)*10^-8)),0)))</f>
        <v>0</v>
      </c>
      <c r="Y69" s="2" t="str">
        <f>IF(OR(X69="",X69=0),"",IF(SUMPRODUCT(--(B$3:B$102=B69),--(X$3:X$102&gt;X69),--(X$3:X$102&lt;&gt;"")),"","P"))</f>
        <v/>
      </c>
      <c r="Z69" s="2" t="str">
        <f>IF(X69="","",IF(SUMPRODUCT(--(C$3:C$102="P"),--(B$3:B$102=B69)),"P",""))</f>
        <v/>
      </c>
      <c r="AA69" s="14" t="str">
        <f>IF(AND(Y69&lt;&gt;"",OR(Z69="",SUMPRODUCT(--(X$3:X$102&gt;X69),--(Z$3:Z$102="P"),--(Y$3:Y$102="P"))&lt;4)),X69,"")</f>
        <v/>
      </c>
      <c r="AB69" s="9">
        <f>IF(A69="","",IF(OR(C69="P",D69="P"),"",IF(IF(COUNT(L69:Q69)&lt;5,SUM(L69:Q69),IF(COUNT(L69:Q69)=5,SUM(L69:Q69)-MIN(L69:Q69),SUM(L69:Q69)-MIN(L69:Q69)-SMALL(L69:Q69,2)))&gt;0,IF(COUNT(L69:Q69)&lt;5,SUM(L69:Q69),IF(COUNT(L69:Q69)=5,SUM(L69:Q69)-MIN(L69:Q69),SUM(L69:Q69)-MIN(L69:Q69)-SMALL(L69:Q69,2))),0)))</f>
        <v>31</v>
      </c>
      <c r="AC69" s="9">
        <f>COUNTIF(L69:Q69,"&lt;=8")</f>
        <v>0</v>
      </c>
      <c r="AD69" s="9">
        <f>MIN(L69:Q69)</f>
        <v>31</v>
      </c>
    </row>
    <row r="70" spans="1:30" x14ac:dyDescent="0.2">
      <c r="A70" s="7" t="s">
        <v>163</v>
      </c>
      <c r="B70" s="6" t="s">
        <v>164</v>
      </c>
      <c r="E70" s="3" t="str">
        <f>IF(AA70="","",RANK(AA70,AA:AA))</f>
        <v/>
      </c>
      <c r="F70" s="6">
        <v>62</v>
      </c>
      <c r="G70" s="6">
        <v>48</v>
      </c>
      <c r="H70" s="6">
        <v>37</v>
      </c>
      <c r="I70" s="6">
        <v>62</v>
      </c>
      <c r="J70" s="6"/>
      <c r="K70" s="6"/>
      <c r="L70" s="9">
        <f>IF(OR($C70&lt;&gt;"",$D70&lt;&gt;"",F70=""),"",F70-SUMPRODUCT(--($C$3:$C$102="P"),--(F$3:F$102&lt;F70),--(F$3:F$102&lt;&gt;""))-SUMPRODUCT(--($D$3:$D$102="P"),--(F$3:F$102&lt;F70),--(F$3:F$102&lt;&gt;"")))</f>
        <v>58</v>
      </c>
      <c r="M70" s="9">
        <f>IF(OR($C70&lt;&gt;"",$D70&lt;&gt;"",G70=""),"",G70-SUMPRODUCT(--($C$3:$C$102="P"),--(G$3:G$102&lt;G70),--(G$3:G$102&lt;&gt;""))-SUMPRODUCT(--($D$3:$D$102="P"),--(G$3:G$102&lt;G70),--(G$3:G$102&lt;&gt;"")))</f>
        <v>46</v>
      </c>
      <c r="N70" s="9">
        <f>IF(OR($C70&lt;&gt;"",$D70&lt;&gt;"",H70=""),"",H70-SUMPRODUCT(--($C$3:$C$102="P"),--(H$3:H$102&lt;H70),--(H$3:H$102&lt;&gt;""))-SUMPRODUCT(--($D$3:$D$102="P"),--(H$3:H$102&lt;H70),--(H$3:H$102&lt;&gt;"")))</f>
        <v>33</v>
      </c>
      <c r="O70" s="9">
        <f>IF(OR($C70&lt;&gt;"",$D70&lt;&gt;"",I70=""),"",I70-SUMPRODUCT(--($C$3:$C$102="P"),--(I$3:I$102&lt;I70),--(I$3:I$102&lt;&gt;""))-SUMPRODUCT(--($D$3:$D$102="P"),--(I$3:I$102&lt;I70),--(I$3:I$102&lt;&gt;"")))</f>
        <v>57</v>
      </c>
      <c r="P70" s="9" t="str">
        <f>IF(OR($C70&lt;&gt;"",$D70&lt;&gt;"",J70=""),"",J70-SUMPRODUCT(--($C$3:$C$102="P"),--(J$3:J$102&lt;J70),--(J$3:J$102&lt;&gt;""))-SUMPRODUCT(--($D$3:$D$102="P"),--(J$3:J$102&lt;J70),--(J$3:J$102&lt;&gt;"")))</f>
        <v/>
      </c>
      <c r="Q70" s="9" t="str">
        <f>IF(OR($C70&lt;&gt;"",$D70&lt;&gt;"",K70=""),"",K70-SUMPRODUCT(--($C$3:$C$102="P"),--(K$3:K$102&lt;K70),--(K$3:K$102&lt;&gt;""))-SUMPRODUCT(--($D$3:$D$102="P"),--(K$3:K$102&lt;K70),--(K$3:K$102&lt;&gt;"")))</f>
        <v/>
      </c>
      <c r="R70" s="9" t="str">
        <f>IF(OR(L70="",L70&gt;30),"",IF(L70=1,60,IF(L70=2,55,IF(L70=3,50,IF(L70=4,44,IF(L70=5,38,IF(L70=6,32,IF(L70=7,28,IF(L70=8,25,IF(L70=9,22,IF(L70=10,21,IF(L70=11,20,IF(L70=12,19,IF(L70=13,18,IF(L70=14,17,IF(L70=15,16,IF(L70=16,15,IF(L70=17,14,IF(L70=18,13,IF(L70=19,12,IF(L70=20,11,IF(L70=21,10,IF(L70=22,9,IF(L70=23,8,IF(L70=24,7,IF(L70=25,6,IF(L70=26,5,IF(L70=27,4,IF(L70=28,3,IF(L70=29,2,IF(L70=30,1))))))))))))))))))))))))))))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14">
        <f>IF(A70="","",IF(OR(C70="P",D70="P"),"",IF(IF(COUNT(R70:W70)&lt;5,SUM(R70:W70),IF(COUNT(R70:W70)=5,SUM(R70:W70)-MIN(R70:W70),SUM(R70:W70)-MIN(R70:W70)-SMALL(R70:W70,2)))&gt;0,IF(COUNT(R70:W70)&lt;5,SUM(R70:W70)+(1000-AB70)*10^-4+AC70*10^-5+(1000-AD70)*10^-8,IF(COUNT(R70:W70)=5,SUM(R70:W70)-MIN(R70:W70)+(1000-AB70)*10^-4+AC70*10^-5+(1000-AD70)*10^-8,SUM(R70:W70)-MIN(R70:W70)-SMALL(R70:W70,2)+(1000-AB70)*10^-4+AC70*10^-5+(1000-AD70)*10^-8)),0)))</f>
        <v>0</v>
      </c>
      <c r="Y70" s="2" t="str">
        <f>IF(OR(X70="",X70=0),"",IF(SUMPRODUCT(--(B$3:B$102=B70),--(X$3:X$102&gt;X70),--(X$3:X$102&lt;&gt;"")),"","P"))</f>
        <v/>
      </c>
      <c r="Z70" s="2" t="str">
        <f>IF(X70="","",IF(SUMPRODUCT(--(C$3:C$102="P"),--(B$3:B$102=B70)),"P",""))</f>
        <v/>
      </c>
      <c r="AA70" s="14" t="str">
        <f>IF(AND(Y70&lt;&gt;"",OR(Z70="",SUMPRODUCT(--(X$3:X$102&gt;X70),--(Z$3:Z$102="P"),--(Y$3:Y$102="P"))&lt;4)),X70,"")</f>
        <v/>
      </c>
      <c r="AB70" s="9">
        <f>IF(A70="","",IF(OR(C70="P",D70="P"),"",IF(IF(COUNT(L70:Q70)&lt;5,SUM(L70:Q70),IF(COUNT(L70:Q70)=5,SUM(L70:Q70)-MIN(L70:Q70),SUM(L70:Q70)-MIN(L70:Q70)-SMALL(L70:Q70,2)))&gt;0,IF(COUNT(L70:Q70)&lt;5,SUM(L70:Q70),IF(COUNT(L70:Q70)=5,SUM(L70:Q70)-MIN(L70:Q70),SUM(L70:Q70)-MIN(L70:Q70)-SMALL(L70:Q70,2))),0)))</f>
        <v>194</v>
      </c>
      <c r="AC70" s="9">
        <f>COUNTIF(L70:Q70,"&lt;=8")</f>
        <v>0</v>
      </c>
      <c r="AD70" s="9">
        <f>MIN(L70:Q70)</f>
        <v>33</v>
      </c>
    </row>
    <row r="71" spans="1:30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8"/>
      <c r="S71" s="8"/>
      <c r="T71" s="8"/>
      <c r="U71" s="8"/>
      <c r="V71" s="8"/>
      <c r="W71" s="8"/>
      <c r="X71" s="9"/>
    </row>
    <row r="72" spans="1:30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8"/>
      <c r="S72" s="8"/>
      <c r="T72" s="8"/>
      <c r="U72" s="8"/>
      <c r="V72" s="8"/>
      <c r="W72" s="8"/>
      <c r="X72" s="9"/>
    </row>
    <row r="73" spans="1:30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8"/>
      <c r="S73" s="8"/>
      <c r="T73" s="8"/>
      <c r="U73" s="8"/>
      <c r="V73" s="8"/>
      <c r="W73" s="8"/>
      <c r="X73" s="9"/>
    </row>
    <row r="74" spans="1:30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8"/>
      <c r="S74" s="8"/>
      <c r="T74" s="8"/>
      <c r="U74" s="8"/>
      <c r="V74" s="8"/>
      <c r="W74" s="8"/>
      <c r="X74" s="9"/>
    </row>
    <row r="75" spans="1:30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8"/>
      <c r="S75" s="8"/>
      <c r="T75" s="8"/>
      <c r="U75" s="8"/>
      <c r="V75" s="8"/>
      <c r="W75" s="8"/>
      <c r="X75" s="9"/>
    </row>
    <row r="76" spans="1:30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8"/>
      <c r="S76" s="8"/>
      <c r="T76" s="8"/>
      <c r="U76" s="8"/>
      <c r="V76" s="8"/>
      <c r="W76" s="8"/>
      <c r="X76" s="9"/>
    </row>
    <row r="77" spans="1:30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8"/>
      <c r="S77" s="8"/>
      <c r="T77" s="8"/>
      <c r="U77" s="8"/>
      <c r="V77" s="8"/>
      <c r="W77" s="8"/>
      <c r="X77" s="9"/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8"/>
      <c r="S78" s="8"/>
      <c r="T78" s="8"/>
      <c r="U78" s="8"/>
      <c r="V78" s="8"/>
      <c r="W78" s="8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8"/>
      <c r="S79" s="8"/>
      <c r="T79" s="8"/>
      <c r="U79" s="8"/>
      <c r="V79" s="8"/>
      <c r="W79" s="8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8"/>
      <c r="S80" s="8"/>
      <c r="T80" s="8"/>
      <c r="U80" s="8"/>
      <c r="V80" s="8"/>
      <c r="W80" s="8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8"/>
      <c r="S81" s="8"/>
      <c r="T81" s="8"/>
      <c r="U81" s="8"/>
      <c r="V81" s="8"/>
      <c r="W81" s="8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8"/>
      <c r="S82" s="8"/>
      <c r="T82" s="8"/>
      <c r="U82" s="8"/>
      <c r="V82" s="8"/>
      <c r="W82" s="8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8"/>
      <c r="S83" s="8"/>
      <c r="T83" s="8"/>
      <c r="U83" s="8"/>
      <c r="V83" s="8"/>
      <c r="W83" s="8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8"/>
      <c r="S84" s="8"/>
      <c r="T84" s="8"/>
      <c r="U84" s="8"/>
      <c r="V84" s="8"/>
      <c r="W84" s="8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8"/>
      <c r="S85" s="8"/>
      <c r="T85" s="8"/>
      <c r="U85" s="8"/>
      <c r="V85" s="8"/>
      <c r="W85" s="8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8"/>
      <c r="S86" s="8"/>
      <c r="T86" s="8"/>
      <c r="U86" s="8"/>
      <c r="V86" s="8"/>
      <c r="W86" s="8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8"/>
      <c r="S87" s="8"/>
      <c r="T87" s="8"/>
      <c r="U87" s="8"/>
      <c r="V87" s="8"/>
      <c r="W87" s="8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8"/>
      <c r="S88" s="8"/>
      <c r="T88" s="8"/>
      <c r="U88" s="8"/>
      <c r="V88" s="8"/>
      <c r="W88" s="8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8"/>
      <c r="S89" s="8"/>
      <c r="T89" s="8"/>
      <c r="U89" s="8"/>
      <c r="V89" s="8"/>
      <c r="W89" s="8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8"/>
      <c r="S90" s="8"/>
      <c r="T90" s="8"/>
      <c r="U90" s="8"/>
      <c r="V90" s="8"/>
      <c r="W90" s="8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8"/>
      <c r="S91" s="8"/>
      <c r="T91" s="8"/>
      <c r="U91" s="8"/>
      <c r="V91" s="8"/>
      <c r="W91" s="8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8"/>
      <c r="S92" s="8"/>
      <c r="T92" s="8"/>
      <c r="U92" s="8"/>
      <c r="V92" s="8"/>
      <c r="W92" s="8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8"/>
      <c r="S93" s="8"/>
      <c r="T93" s="8"/>
      <c r="U93" s="8"/>
      <c r="V93" s="8"/>
      <c r="W93" s="8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8"/>
      <c r="S94" s="8"/>
      <c r="T94" s="8"/>
      <c r="U94" s="8"/>
      <c r="V94" s="8"/>
      <c r="W94" s="8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8"/>
      <c r="S95" s="8"/>
      <c r="T95" s="8"/>
      <c r="U95" s="8"/>
      <c r="V95" s="8"/>
      <c r="W95" s="8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8"/>
      <c r="S96" s="8"/>
      <c r="T96" s="8"/>
      <c r="U96" s="8"/>
      <c r="V96" s="8"/>
      <c r="W96" s="8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8"/>
      <c r="S97" s="8"/>
      <c r="T97" s="8"/>
      <c r="U97" s="8"/>
      <c r="V97" s="8"/>
      <c r="W97" s="8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8"/>
      <c r="S98" s="8"/>
      <c r="T98" s="8"/>
      <c r="U98" s="8"/>
      <c r="V98" s="8"/>
      <c r="W98" s="8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8"/>
      <c r="S99" s="8"/>
      <c r="T99" s="8"/>
      <c r="U99" s="8"/>
      <c r="V99" s="8"/>
      <c r="W99" s="8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8"/>
      <c r="S100" s="8"/>
      <c r="T100" s="8"/>
      <c r="U100" s="8"/>
      <c r="V100" s="8"/>
      <c r="W100" s="8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8"/>
      <c r="S101" s="8"/>
      <c r="T101" s="8"/>
      <c r="U101" s="8"/>
      <c r="V101" s="8"/>
      <c r="W101" s="8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8"/>
      <c r="S102" s="8"/>
      <c r="T102" s="8"/>
      <c r="U102" s="8"/>
      <c r="V102" s="8"/>
      <c r="W102" s="8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1:A2"/>
    <mergeCell ref="F1:K1"/>
    <mergeCell ref="R1:W1"/>
    <mergeCell ref="X1:X2"/>
    <mergeCell ref="E1:E2"/>
    <mergeCell ref="B1:B2"/>
    <mergeCell ref="L1:Q1"/>
    <mergeCell ref="Z1:Z2"/>
    <mergeCell ref="Y1:Y2"/>
    <mergeCell ref="AA1:AA2"/>
    <mergeCell ref="C1:C2"/>
    <mergeCell ref="D1:D2"/>
  </mergeCells>
  <conditionalFormatting sqref="A1:B1048576">
    <cfRule type="expression" dxfId="13" priority="3">
      <formula>IF(OR($C1="P",$D1="P"),1,0)</formula>
    </cfRule>
    <cfRule type="expression" dxfId="12" priority="4">
      <formula>IF(AND($E1&lt;&gt;"",$E1&lt;=14-COUNTIF($C$3:$C$102,"P")-COUNTIF($D$3:$D$102,"P")),1,0)</formula>
    </cfRule>
    <cfRule type="expression" dxfId="11" priority="5">
      <formula>IF(AND($E1&lt;&gt;"",$E1&lt;=16-COUNTIF($C$3:$C$102,"P")-COUNTIF($D$3:$D$102,"P")),1,0)</formula>
    </cfRule>
  </conditionalFormatting>
  <conditionalFormatting sqref="C71:AA102 C3:AD70">
    <cfRule type="expression" dxfId="10" priority="2">
      <formula>IF(AND($A3&lt;&gt;"",MOD(ROW(),2)=0),1,0)</formula>
    </cfRule>
    <cfRule type="expression" dxfId="9" priority="6">
      <formula>IF(AND($A3&lt;&gt;"",MOD(ROW(),2)=1),1,0)</formula>
    </cfRule>
  </conditionalFormatting>
  <conditionalFormatting sqref="K3:K102 E3:E102 W3:W102 Q3:Q102">
    <cfRule type="expression" dxfId="8" priority="1">
      <formula>IF($A3&lt;&gt;"",1,0)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J102"/>
  <sheetViews>
    <sheetView zoomScaleNormal="100"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9"/>
    <col min="28" max="30" width="0" hidden="1" customWidth="1"/>
  </cols>
  <sheetData>
    <row r="1" spans="1:36" s="10" customFormat="1" ht="16" customHeight="1" x14ac:dyDescent="0.2">
      <c r="A1" s="17" t="s">
        <v>0</v>
      </c>
      <c r="B1" s="17" t="s">
        <v>15</v>
      </c>
      <c r="C1" s="16" t="s">
        <v>113</v>
      </c>
      <c r="D1" s="16" t="s">
        <v>114</v>
      </c>
      <c r="E1" s="21" t="s">
        <v>61</v>
      </c>
      <c r="F1" s="18" t="s">
        <v>7</v>
      </c>
      <c r="G1" s="18"/>
      <c r="H1" s="18"/>
      <c r="I1" s="18"/>
      <c r="J1" s="18"/>
      <c r="K1" s="19"/>
      <c r="L1" s="20" t="s">
        <v>62</v>
      </c>
      <c r="M1" s="18"/>
      <c r="N1" s="18"/>
      <c r="O1" s="18"/>
      <c r="P1" s="18"/>
      <c r="Q1" s="19"/>
      <c r="R1" s="20" t="s">
        <v>8</v>
      </c>
      <c r="S1" s="18"/>
      <c r="T1" s="18"/>
      <c r="U1" s="18"/>
      <c r="V1" s="18"/>
      <c r="W1" s="19"/>
      <c r="X1" s="17" t="s">
        <v>9</v>
      </c>
      <c r="Y1" s="16" t="s">
        <v>63</v>
      </c>
      <c r="Z1" s="22" t="s">
        <v>115</v>
      </c>
      <c r="AA1" s="16" t="s">
        <v>111</v>
      </c>
      <c r="AB1" s="16" t="s">
        <v>152</v>
      </c>
      <c r="AC1" s="16" t="s">
        <v>153</v>
      </c>
      <c r="AD1" s="16" t="s">
        <v>154</v>
      </c>
      <c r="AE1" s="15" t="s">
        <v>112</v>
      </c>
      <c r="AF1" s="15"/>
      <c r="AG1" s="15"/>
      <c r="AH1" s="15"/>
      <c r="AI1" s="15"/>
      <c r="AJ1" s="15"/>
    </row>
    <row r="2" spans="1:36" s="10" customFormat="1" x14ac:dyDescent="0.2">
      <c r="A2" s="17"/>
      <c r="B2" s="17"/>
      <c r="C2" s="16"/>
      <c r="D2" s="16"/>
      <c r="E2" s="21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7"/>
      <c r="Y2" s="16"/>
      <c r="Z2" s="22"/>
      <c r="AA2" s="16"/>
      <c r="AB2" s="16"/>
      <c r="AC2" s="16"/>
      <c r="AD2" s="16"/>
      <c r="AE2" s="15"/>
      <c r="AF2" s="15"/>
      <c r="AG2" s="15"/>
      <c r="AH2" s="15"/>
      <c r="AI2" s="15"/>
      <c r="AJ2" s="15"/>
    </row>
    <row r="3" spans="1:36" x14ac:dyDescent="0.2">
      <c r="A3" s="7" t="s">
        <v>86</v>
      </c>
      <c r="B3" s="6" t="s">
        <v>22</v>
      </c>
      <c r="C3" s="5" t="s">
        <v>189</v>
      </c>
      <c r="E3" s="3" t="str">
        <f>IF(AA3="","",RANK(AA3,AA:AA))</f>
        <v/>
      </c>
      <c r="F3" s="6">
        <v>19</v>
      </c>
      <c r="G3" s="6"/>
      <c r="H3" s="6">
        <v>15</v>
      </c>
      <c r="I3" s="6">
        <v>17</v>
      </c>
      <c r="J3" s="6">
        <v>49</v>
      </c>
      <c r="K3" s="6"/>
      <c r="L3" s="9" t="str">
        <f>IF(OR($C3&lt;&gt;"",$D3&lt;&gt;"",F3=""),"",F3-SUMPRODUCT(--($C$3:$C$102="P"),--(F$3:F$102&lt;F3),--(F$3:F$102&lt;&gt;""))-SUMPRODUCT(--($D$3:$D$102="P"),--(F$3:F$102&lt;F3),--(F$3:F$102&lt;&gt;"")))</f>
        <v/>
      </c>
      <c r="M3" s="9" t="str">
        <f>IF(OR($C3&lt;&gt;"",$D3&lt;&gt;"",G3=""),"",G3-SUMPRODUCT(--($C$3:$C$102="P"),--(G$3:G$102&lt;G3),--(G$3:G$102&lt;&gt;""))-SUMPRODUCT(--($D$3:$D$102="P"),--(G$3:G$102&lt;G3),--(G$3:G$102&lt;&gt;"")))</f>
        <v/>
      </c>
      <c r="N3" s="9" t="str">
        <f>IF(OR($C3&lt;&gt;"",$D3&lt;&gt;"",H3=""),"",H3-SUMPRODUCT(--($C$3:$C$102="P"),--(H$3:H$102&lt;H3),--(H$3:H$102&lt;&gt;""))-SUMPRODUCT(--($D$3:$D$102="P"),--(H$3:H$102&lt;H3),--(H$3:H$102&lt;&gt;"")))</f>
        <v/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9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S3" s="9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9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9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4" t="str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/>
      </c>
      <c r="Y3" s="2" t="str">
        <f>IF(OR(X3="",X3=0),"",IF(SUMPRODUCT(--(B$3:B$102=B3),--(X$3:X$102&gt;X3),--(X$3:X$102&lt;&gt;"")),"","P"))</f>
        <v/>
      </c>
      <c r="Z3" s="2" t="str">
        <f>IF(X3="","",IF(SUMPRODUCT(--(C$3:C$102="P"),--(B$3:B$102=B3)),"P",""))</f>
        <v/>
      </c>
      <c r="AA3" s="14" t="str">
        <f>IF(AND(Y3&lt;&gt;"",OR(Z3="",SUMPRODUCT(--(X$3:X$102&gt;X3),--(Z$3:Z$102="P"),--(Y$3:Y$102="P"))&lt;4)),X3,"")</f>
        <v/>
      </c>
      <c r="AB3" s="9" t="str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/>
      </c>
      <c r="AC3" s="9">
        <f>COUNTIF(L3:Q3,"&lt;=8")</f>
        <v>0</v>
      </c>
      <c r="AD3" s="9">
        <f>MIN(L3:Q3)</f>
        <v>0</v>
      </c>
    </row>
    <row r="4" spans="1:36" x14ac:dyDescent="0.2">
      <c r="A4" s="7" t="s">
        <v>68</v>
      </c>
      <c r="B4" s="6" t="s">
        <v>20</v>
      </c>
      <c r="C4" s="5" t="s">
        <v>189</v>
      </c>
      <c r="E4" s="3" t="str">
        <f>IF(AA4="","",RANK(AA4,AA:AA))</f>
        <v/>
      </c>
      <c r="F4" s="6">
        <v>6</v>
      </c>
      <c r="G4" s="6">
        <v>2</v>
      </c>
      <c r="H4" s="6">
        <v>4</v>
      </c>
      <c r="I4" s="6">
        <v>3</v>
      </c>
      <c r="J4" s="6">
        <v>53</v>
      </c>
      <c r="K4" s="6"/>
      <c r="L4" s="9" t="str">
        <f>IF(OR($C4&lt;&gt;"",$D4&lt;&gt;"",F4=""),"",F4-SUMPRODUCT(--($C$3:$C$102="P"),--(F$3:F$102&lt;F4),--(F$3:F$102&lt;&gt;""))-SUMPRODUCT(--($D$3:$D$102="P"),--(F$3:F$102&lt;F4),--(F$3:F$102&lt;&gt;"")))</f>
        <v/>
      </c>
      <c r="M4" s="9" t="str">
        <f>IF(OR($C4&lt;&gt;"",$D4&lt;&gt;"",G4=""),"",G4-SUMPRODUCT(--($C$3:$C$102="P"),--(G$3:G$102&lt;G4),--(G$3:G$102&lt;&gt;""))-SUMPRODUCT(--($D$3:$D$102="P"),--(G$3:G$102&lt;G4),--(G$3:G$102&lt;&gt;"")))</f>
        <v/>
      </c>
      <c r="N4" s="9" t="str">
        <f>IF(OR($C4&lt;&gt;"",$D4&lt;&gt;"",H4=""),"",H4-SUMPRODUCT(--($C$3:$C$102="P"),--(H$3:H$102&lt;H4),--(H$3:H$102&lt;&gt;""))-SUMPRODUCT(--($D$3:$D$102="P"),--(H$3:H$102&lt;H4),--(H$3:H$102&lt;&gt;"")))</f>
        <v/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9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S4" s="9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9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4" t="str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/>
      </c>
      <c r="Y4" s="2" t="str">
        <f>IF(OR(X4="",X4=0),"",IF(SUMPRODUCT(--(B$3:B$102=B4),--(X$3:X$102&gt;X4),--(X$3:X$102&lt;&gt;"")),"","P"))</f>
        <v/>
      </c>
      <c r="Z4" s="2" t="str">
        <f>IF(X4="","",IF(SUMPRODUCT(--(C$3:C$102="P"),--(B$3:B$102=B4)),"P",""))</f>
        <v/>
      </c>
      <c r="AA4" s="14" t="str">
        <f>IF(AND(Y4&lt;&gt;"",OR(Z4="",SUMPRODUCT(--(X$3:X$102&gt;X4),--(Z$3:Z$102="P"),--(Y$3:Y$102="P"))&lt;4)),X4,"")</f>
        <v/>
      </c>
      <c r="AB4" s="9" t="str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/>
      </c>
      <c r="AC4" s="9">
        <f>COUNTIF(L4:Q4,"&lt;=8")</f>
        <v>0</v>
      </c>
      <c r="AD4" s="9">
        <f>MIN(L4:Q4)</f>
        <v>0</v>
      </c>
    </row>
    <row r="5" spans="1:36" x14ac:dyDescent="0.2">
      <c r="A5" s="7" t="s">
        <v>168</v>
      </c>
      <c r="B5" s="6" t="s">
        <v>19</v>
      </c>
      <c r="C5" s="5" t="s">
        <v>189</v>
      </c>
      <c r="E5" s="3" t="str">
        <f>IF(AA5="","",RANK(AA5,AA:AA))</f>
        <v/>
      </c>
      <c r="F5" s="6">
        <v>61</v>
      </c>
      <c r="G5" s="6">
        <v>74</v>
      </c>
      <c r="H5" s="6">
        <v>16</v>
      </c>
      <c r="I5" s="6">
        <v>10</v>
      </c>
      <c r="J5" s="6">
        <v>2</v>
      </c>
      <c r="K5" s="6"/>
      <c r="L5" s="9" t="str">
        <f>IF(OR($C5&lt;&gt;"",$D5&lt;&gt;"",F5=""),"",F5-SUMPRODUCT(--($C$3:$C$102="P"),--(F$3:F$102&lt;F5),--(F$3:F$102&lt;&gt;""))-SUMPRODUCT(--($D$3:$D$102="P"),--(F$3:F$102&lt;F5),--(F$3:F$102&lt;&gt;"")))</f>
        <v/>
      </c>
      <c r="M5" s="9" t="str">
        <f>IF(OR($C5&lt;&gt;"",$D5&lt;&gt;"",G5=""),"",G5-SUMPRODUCT(--($C$3:$C$102="P"),--(G$3:G$102&lt;G5),--(G$3:G$102&lt;&gt;""))-SUMPRODUCT(--($D$3:$D$102="P"),--(G$3:G$102&lt;G5),--(G$3:G$102&lt;&gt;"")))</f>
        <v/>
      </c>
      <c r="N5" s="9" t="str">
        <f>IF(OR($C5&lt;&gt;"",$D5&lt;&gt;"",H5=""),"",H5-SUMPRODUCT(--($C$3:$C$102="P"),--(H$3:H$102&lt;H5),--(H$3:H$102&lt;&gt;""))-SUMPRODUCT(--($D$3:$D$102="P"),--(H$3:H$102&lt;H5),--(H$3:H$102&lt;&gt;"")))</f>
        <v/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9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S5" s="9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9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4" t="str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/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4" t="str">
        <f>IF(AND(Y5&lt;&gt;"",OR(Z5="",SUMPRODUCT(--(X$3:X$102&gt;X5),--(Z$3:Z$102="P"),--(Y$3:Y$102="P"))&lt;4)),X5,"")</f>
        <v/>
      </c>
      <c r="AB5" s="9" t="str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/>
      </c>
      <c r="AC5" s="9">
        <f>COUNTIF(L5:Q5,"&lt;=8")</f>
        <v>0</v>
      </c>
      <c r="AD5" s="9">
        <f>MIN(L5:Q5)</f>
        <v>0</v>
      </c>
    </row>
    <row r="6" spans="1:36" x14ac:dyDescent="0.2">
      <c r="A6" s="7" t="s">
        <v>79</v>
      </c>
      <c r="B6" s="6" t="s">
        <v>16</v>
      </c>
      <c r="C6" s="5" t="s">
        <v>189</v>
      </c>
      <c r="E6" s="3" t="str">
        <f>IF(AA6="","",RANK(AA6,AA:AA))</f>
        <v/>
      </c>
      <c r="F6" s="6">
        <v>13</v>
      </c>
      <c r="G6" s="6">
        <v>70</v>
      </c>
      <c r="H6" s="6">
        <v>1</v>
      </c>
      <c r="I6" s="6">
        <v>2</v>
      </c>
      <c r="J6" s="6">
        <v>1</v>
      </c>
      <c r="K6" s="6"/>
      <c r="L6" s="9" t="str">
        <f>IF(OR($C6&lt;&gt;"",$D6&lt;&gt;"",F6=""),"",F6-SUMPRODUCT(--($C$3:$C$102="P"),--(F$3:F$102&lt;F6),--(F$3:F$102&lt;&gt;""))-SUMPRODUCT(--($D$3:$D$102="P"),--(F$3:F$102&lt;F6),--(F$3:F$102&lt;&gt;"")))</f>
        <v/>
      </c>
      <c r="M6" s="9" t="str">
        <f>IF(OR($C6&lt;&gt;"",$D6&lt;&gt;"",G6=""),"",G6-SUMPRODUCT(--($C$3:$C$102="P"),--(G$3:G$102&lt;G6),--(G$3:G$102&lt;&gt;""))-SUMPRODUCT(--($D$3:$D$102="P"),--(G$3:G$102&lt;G6),--(G$3:G$102&lt;&gt;"")))</f>
        <v/>
      </c>
      <c r="N6" s="9" t="str">
        <f>IF(OR($C6&lt;&gt;"",$D6&lt;&gt;"",H6=""),"",H6-SUMPRODUCT(--($C$3:$C$102="P"),--(H$3:H$102&lt;H6),--(H$3:H$102&lt;&gt;""))-SUMPRODUCT(--($D$3:$D$102="P"),--(H$3:H$102&lt;H6),--(H$3:H$102&lt;&gt;"")))</f>
        <v/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9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S6" s="9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9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4" t="str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/>
      </c>
      <c r="Y6" s="2" t="str">
        <f>IF(OR(X6="",X6=0),"",IF(SUMPRODUCT(--(B$3:B$102=B6),--(X$3:X$102&gt;X6),--(X$3:X$102&lt;&gt;"")),"","P"))</f>
        <v/>
      </c>
      <c r="Z6" s="2" t="str">
        <f>IF(X6="","",IF(SUMPRODUCT(--(C$3:C$102="P"),--(B$3:B$102=B6)),"P",""))</f>
        <v/>
      </c>
      <c r="AA6" s="14" t="str">
        <f>IF(AND(Y6&lt;&gt;"",OR(Z6="",SUMPRODUCT(--(X$3:X$102&gt;X6),--(Z$3:Z$102="P"),--(Y$3:Y$102="P"))&lt;4)),X6,"")</f>
        <v/>
      </c>
      <c r="AB6" s="9" t="str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/>
      </c>
      <c r="AC6" s="9">
        <f>COUNTIF(L6:Q6,"&lt;=8")</f>
        <v>0</v>
      </c>
      <c r="AD6" s="9">
        <f>MIN(L6:Q6)</f>
        <v>0</v>
      </c>
    </row>
    <row r="7" spans="1:36" x14ac:dyDescent="0.2">
      <c r="A7" s="7" t="s">
        <v>116</v>
      </c>
      <c r="B7" s="6" t="s">
        <v>18</v>
      </c>
      <c r="C7" s="5" t="s">
        <v>189</v>
      </c>
      <c r="E7" s="3" t="str">
        <f>IF(AA7="","",RANK(AA7,AA:AA))</f>
        <v/>
      </c>
      <c r="F7" s="6">
        <v>66</v>
      </c>
      <c r="G7" s="6">
        <v>6</v>
      </c>
      <c r="H7" s="6">
        <v>65</v>
      </c>
      <c r="I7" s="6">
        <v>19</v>
      </c>
      <c r="J7" s="6"/>
      <c r="K7" s="6"/>
      <c r="L7" s="9" t="str">
        <f>IF(OR($C7&lt;&gt;"",$D7&lt;&gt;"",F7=""),"",F7-SUMPRODUCT(--($C$3:$C$102="P"),--(F$3:F$102&lt;F7),--(F$3:F$102&lt;&gt;""))-SUMPRODUCT(--($D$3:$D$102="P"),--(F$3:F$102&lt;F7),--(F$3:F$102&lt;&gt;"")))</f>
        <v/>
      </c>
      <c r="M7" s="9" t="str">
        <f>IF(OR($C7&lt;&gt;"",$D7&lt;&gt;"",G7=""),"",G7-SUMPRODUCT(--($C$3:$C$102="P"),--(G$3:G$102&lt;G7),--(G$3:G$102&lt;&gt;""))-SUMPRODUCT(--($D$3:$D$102="P"),--(G$3:G$102&lt;G7),--(G$3:G$102&lt;&gt;"")))</f>
        <v/>
      </c>
      <c r="N7" s="9" t="str">
        <f>IF(OR($C7&lt;&gt;"",$D7&lt;&gt;"",H7=""),"",H7-SUMPRODUCT(--($C$3:$C$102="P"),--(H$3:H$102&lt;H7),--(H$3:H$102&lt;&gt;""))-SUMPRODUCT(--($D$3:$D$102="P"),--(H$3:H$102&lt;H7),--(H$3:H$102&lt;&gt;"")))</f>
        <v/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9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S7" s="9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9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4" t="str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/>
      </c>
      <c r="Y7" s="2" t="str">
        <f>IF(OR(X7="",X7=0),"",IF(SUMPRODUCT(--(B$3:B$102=B7),--(X$3:X$102&gt;X7),--(X$3:X$102&lt;&gt;"")),"","P"))</f>
        <v/>
      </c>
      <c r="Z7" s="2" t="str">
        <f>IF(X7="","",IF(SUMPRODUCT(--(C$3:C$102="P"),--(B$3:B$102=B7)),"P",""))</f>
        <v/>
      </c>
      <c r="AA7" s="14" t="str">
        <f>IF(AND(Y7&lt;&gt;"",OR(Z7="",SUMPRODUCT(--(X$3:X$102&gt;X7),--(Z$3:Z$102="P"),--(Y$3:Y$102="P"))&lt;4)),X7,"")</f>
        <v/>
      </c>
      <c r="AB7" s="9" t="str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/>
      </c>
      <c r="AC7" s="9">
        <f>COUNTIF(L7:Q7,"&lt;=8")</f>
        <v>0</v>
      </c>
      <c r="AD7" s="9">
        <f>MIN(L7:Q7)</f>
        <v>0</v>
      </c>
    </row>
    <row r="8" spans="1:36" x14ac:dyDescent="0.2">
      <c r="A8" s="7" t="s">
        <v>64</v>
      </c>
      <c r="B8" s="6" t="s">
        <v>19</v>
      </c>
      <c r="E8" s="3">
        <f>IF(AA8="","",RANK(AA8,AA:AA))</f>
        <v>1</v>
      </c>
      <c r="F8" s="6">
        <v>1</v>
      </c>
      <c r="G8" s="6">
        <v>3</v>
      </c>
      <c r="H8" s="6">
        <v>2</v>
      </c>
      <c r="I8" s="6">
        <v>1</v>
      </c>
      <c r="J8" s="6">
        <v>7</v>
      </c>
      <c r="K8" s="6"/>
      <c r="L8" s="9">
        <f>IF(OR($C8&lt;&gt;"",$D8&lt;&gt;"",F8=""),"",F8-SUMPRODUCT(--($C$3:$C$102="P"),--(F$3:F$102&lt;F8),--(F$3:F$102&lt;&gt;""))-SUMPRODUCT(--($D$3:$D$102="P"),--(F$3:F$102&lt;F8),--(F$3:F$102&lt;&gt;"")))</f>
        <v>1</v>
      </c>
      <c r="M8" s="9">
        <f>IF(OR($C8&lt;&gt;"",$D8&lt;&gt;"",G8=""),"",G8-SUMPRODUCT(--($C$3:$C$102="P"),--(G$3:G$102&lt;G8),--(G$3:G$102&lt;&gt;""))-SUMPRODUCT(--($D$3:$D$102="P"),--(G$3:G$102&lt;G8),--(G$3:G$102&lt;&gt;"")))</f>
        <v>2</v>
      </c>
      <c r="N8" s="9">
        <f>IF(OR($C8&lt;&gt;"",$D8&lt;&gt;"",H8=""),"",H8-SUMPRODUCT(--($C$3:$C$102="P"),--(H$3:H$102&lt;H8),--(H$3:H$102&lt;&gt;""))-SUMPRODUCT(--($D$3:$D$102="P"),--(H$3:H$102&lt;H8),--(H$3:H$102&lt;&gt;"")))</f>
        <v>1</v>
      </c>
      <c r="O8" s="9">
        <f>IF(OR($C8&lt;&gt;"",$D8&lt;&gt;"",I8=""),"",I8-SUMPRODUCT(--($C$3:$C$102="P"),--(I$3:I$102&lt;I8),--(I$3:I$102&lt;&gt;""))-SUMPRODUCT(--($D$3:$D$102="P"),--(I$3:I$102&lt;I8),--(I$3:I$102&lt;&gt;"")))</f>
        <v>1</v>
      </c>
      <c r="P8" s="9">
        <f>IF(OR($C8&lt;&gt;"",$D8&lt;&gt;"",J8=""),"",J8-SUMPRODUCT(--($C$3:$C$102="P"),--(J$3:J$102&lt;J8),--(J$3:J$102&lt;&gt;""))-SUMPRODUCT(--($D$3:$D$102="P"),--(J$3:J$102&lt;J8),--(J$3:J$102&lt;&gt;"")))</f>
        <v>5</v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9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60</v>
      </c>
      <c r="S8" s="9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>55</v>
      </c>
      <c r="T8" s="9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60</v>
      </c>
      <c r="U8" s="9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>60</v>
      </c>
      <c r="V8" s="9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>38</v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4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>235.09915998999998</v>
      </c>
      <c r="Y8" s="2" t="str">
        <f>IF(OR(X8="",X8=0),"",IF(SUMPRODUCT(--(B$3:B$102=B8),--(X$3:X$102&gt;X8),--(X$3:X$102&lt;&gt;"")),"","P"))</f>
        <v>P</v>
      </c>
      <c r="Z8" s="2" t="str">
        <f>IF(X8="","",IF(SUMPRODUCT(--(C$3:C$102="P"),--(B$3:B$102=B8)),"P",""))</f>
        <v>P</v>
      </c>
      <c r="AA8" s="14">
        <f>IF(AND(Y8&lt;&gt;"",OR(Z8="",SUMPRODUCT(--(X$3:X$102&gt;X8),--(Z$3:Z$102="P"),--(Y$3:Y$102="P"))&lt;4)),X8,"")</f>
        <v>235.09915998999998</v>
      </c>
      <c r="AB8" s="9">
        <f>IF(A8="","",IF(OR(C8="P",D8="P"),"",IF(IF(COUNT(L8:Q8)&lt;5,SUM(L8:Q8),IF(COUNT(L8:Q8)=5,SUM(L8:Q8)-MIN(L8:Q8),SUM(L8:Q8)-MIN(L8:Q8)-SMALL(L8:Q8,2)))&gt;0,IF(COUNT(L8:Q8)&lt;5,SUM(L8:Q8),IF(COUNT(L8:Q8)=5,SUM(L8:Q8)-MIN(L8:Q8),SUM(L8:Q8)-MIN(L8:Q8)-SMALL(L8:Q8,2))),0)))</f>
        <v>9</v>
      </c>
      <c r="AC8" s="9">
        <f>COUNTIF(L8:Q8,"&lt;=8")</f>
        <v>5</v>
      </c>
      <c r="AD8" s="9">
        <f>MIN(L8:Q8)</f>
        <v>1</v>
      </c>
    </row>
    <row r="9" spans="1:36" x14ac:dyDescent="0.2">
      <c r="A9" s="7" t="s">
        <v>65</v>
      </c>
      <c r="B9" s="6" t="s">
        <v>16</v>
      </c>
      <c r="E9" s="3">
        <f>IF(AA9="","",RANK(AA9,AA:AA))</f>
        <v>2</v>
      </c>
      <c r="F9" s="6">
        <v>2</v>
      </c>
      <c r="G9" s="6">
        <v>11</v>
      </c>
      <c r="H9" s="6">
        <v>5</v>
      </c>
      <c r="I9" s="6">
        <v>9</v>
      </c>
      <c r="J9" s="6">
        <v>3</v>
      </c>
      <c r="K9" s="6"/>
      <c r="L9" s="9">
        <f>IF(OR($C9&lt;&gt;"",$D9&lt;&gt;"",F9=""),"",F9-SUMPRODUCT(--($C$3:$C$102="P"),--(F$3:F$102&lt;F9),--(F$3:F$102&lt;&gt;""))-SUMPRODUCT(--($D$3:$D$102="P"),--(F$3:F$102&lt;F9),--(F$3:F$102&lt;&gt;"")))</f>
        <v>2</v>
      </c>
      <c r="M9" s="9">
        <f>IF(OR($C9&lt;&gt;"",$D9&lt;&gt;"",G9=""),"",G9-SUMPRODUCT(--($C$3:$C$102="P"),--(G$3:G$102&lt;G9),--(G$3:G$102&lt;&gt;""))-SUMPRODUCT(--($D$3:$D$102="P"),--(G$3:G$102&lt;G9),--(G$3:G$102&lt;&gt;"")))</f>
        <v>9</v>
      </c>
      <c r="N9" s="9">
        <f>IF(OR($C9&lt;&gt;"",$D9&lt;&gt;"",H9=""),"",H9-SUMPRODUCT(--($C$3:$C$102="P"),--(H$3:H$102&lt;H9),--(H$3:H$102&lt;&gt;""))-SUMPRODUCT(--($D$3:$D$102="P"),--(H$3:H$102&lt;H9),--(H$3:H$102&lt;&gt;"")))</f>
        <v>3</v>
      </c>
      <c r="O9" s="9">
        <f>IF(OR($C9&lt;&gt;"",$D9&lt;&gt;"",I9=""),"",I9-SUMPRODUCT(--($C$3:$C$102="P"),--(I$3:I$102&lt;I9),--(I$3:I$102&lt;&gt;""))-SUMPRODUCT(--($D$3:$D$102="P"),--(I$3:I$102&lt;I9),--(I$3:I$102&lt;&gt;"")))</f>
        <v>7</v>
      </c>
      <c r="P9" s="9">
        <f>IF(OR($C9&lt;&gt;"",$D9&lt;&gt;"",J9=""),"",J9-SUMPRODUCT(--($C$3:$C$102="P"),--(J$3:J$102&lt;J9),--(J$3:J$102&lt;&gt;""))-SUMPRODUCT(--($D$3:$D$102="P"),--(J$3:J$102&lt;J9),--(J$3:J$102&lt;&gt;"")))</f>
        <v>1</v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9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55</v>
      </c>
      <c r="S9" s="9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22</v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50</v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28</v>
      </c>
      <c r="V9" s="9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>60</v>
      </c>
      <c r="W9" s="9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4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193.09794999000002</v>
      </c>
      <c r="Y9" s="2" t="str">
        <f>IF(OR(X9="",X9=0),"",IF(SUMPRODUCT(--(B$3:B$102=B9),--(X$3:X$102&gt;X9),--(X$3:X$102&lt;&gt;"")),"","P"))</f>
        <v>P</v>
      </c>
      <c r="Z9" s="2" t="str">
        <f>IF(X9="","",IF(SUMPRODUCT(--(C$3:C$102="P"),--(B$3:B$102=B9)),"P",""))</f>
        <v>P</v>
      </c>
      <c r="AA9" s="14">
        <f>IF(AND(Y9&lt;&gt;"",OR(Z9="",SUMPRODUCT(--(X$3:X$102&gt;X9),--(Z$3:Z$102="P"),--(Y$3:Y$102="P"))&lt;4)),X9,"")</f>
        <v>193.09794999000002</v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21</v>
      </c>
      <c r="AC9" s="9">
        <f>COUNTIF(L9:Q9,"&lt;=8")</f>
        <v>4</v>
      </c>
      <c r="AD9" s="9">
        <f>MIN(L9:Q9)</f>
        <v>1</v>
      </c>
    </row>
    <row r="10" spans="1:36" x14ac:dyDescent="0.2">
      <c r="A10" s="7" t="s">
        <v>70</v>
      </c>
      <c r="B10" s="6" t="s">
        <v>19</v>
      </c>
      <c r="E10" s="3" t="str">
        <f>IF(AA10="","",RANK(AA10,AA:AA))</f>
        <v/>
      </c>
      <c r="F10" s="6">
        <v>8</v>
      </c>
      <c r="G10" s="6">
        <v>5</v>
      </c>
      <c r="H10" s="6">
        <v>6</v>
      </c>
      <c r="I10" s="6">
        <v>4</v>
      </c>
      <c r="J10" s="6">
        <v>10</v>
      </c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7</v>
      </c>
      <c r="M10" s="9">
        <f>IF(OR($C10&lt;&gt;"",$D10&lt;&gt;"",G10=""),"",G10-SUMPRODUCT(--($C$3:$C$102="P"),--(G$3:G$102&lt;G10),--(G$3:G$102&lt;&gt;""))-SUMPRODUCT(--($D$3:$D$102="P"),--(G$3:G$102&lt;G10),--(G$3:G$102&lt;&gt;"")))</f>
        <v>4</v>
      </c>
      <c r="N10" s="9">
        <f>IF(OR($C10&lt;&gt;"",$D10&lt;&gt;"",H10=""),"",H10-SUMPRODUCT(--($C$3:$C$102="P"),--(H$3:H$102&lt;H10),--(H$3:H$102&lt;&gt;""))-SUMPRODUCT(--($D$3:$D$102="P"),--(H$3:H$102&lt;H10),--(H$3:H$102&lt;&gt;"")))</f>
        <v>4</v>
      </c>
      <c r="O10" s="9">
        <f>IF(OR($C10&lt;&gt;"",$D10&lt;&gt;"",I10=""),"",I10-SUMPRODUCT(--($C$3:$C$102="P"),--(I$3:I$102&lt;I10),--(I$3:I$102&lt;&gt;""))-SUMPRODUCT(--($D$3:$D$102="P"),--(I$3:I$102&lt;I10),--(I$3:I$102&lt;&gt;"")))</f>
        <v>2</v>
      </c>
      <c r="P10" s="9">
        <f>IF(OR($C10&lt;&gt;"",$D10&lt;&gt;"",J10=""),"",J10-SUMPRODUCT(--($C$3:$C$102="P"),--(J$3:J$102&lt;J10),--(J$3:J$102&lt;&gt;""))-SUMPRODUCT(--($D$3:$D$102="P"),--(J$3:J$102&lt;J10),--(J$3:J$102&lt;&gt;"")))</f>
        <v>8</v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9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28</v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44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44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55</v>
      </c>
      <c r="V10" s="9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>25</v>
      </c>
      <c r="W10" s="9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4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171.09775997999998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>P</v>
      </c>
      <c r="AA10" s="14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23</v>
      </c>
      <c r="AC10" s="9">
        <f>COUNTIF(L10:Q10,"&lt;=8")</f>
        <v>5</v>
      </c>
      <c r="AD10" s="9">
        <f>MIN(L10:Q10)</f>
        <v>2</v>
      </c>
    </row>
    <row r="11" spans="1:36" x14ac:dyDescent="0.2">
      <c r="A11" s="7" t="s">
        <v>67</v>
      </c>
      <c r="B11" s="6" t="s">
        <v>53</v>
      </c>
      <c r="E11" s="3">
        <f>IF(AA11="","",RANK(AA11,AA:AA))</f>
        <v>3</v>
      </c>
      <c r="F11" s="6">
        <v>5</v>
      </c>
      <c r="G11" s="6">
        <v>4</v>
      </c>
      <c r="H11" s="6">
        <v>7</v>
      </c>
      <c r="I11" s="6">
        <v>8</v>
      </c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5</v>
      </c>
      <c r="M11" s="9">
        <f>IF(OR($C11&lt;&gt;"",$D11&lt;&gt;"",G11=""),"",G11-SUMPRODUCT(--($C$3:$C$102="P"),--(G$3:G$102&lt;G11),--(G$3:G$102&lt;&gt;""))-SUMPRODUCT(--($D$3:$D$102="P"),--(G$3:G$102&lt;G11),--(G$3:G$102&lt;&gt;"")))</f>
        <v>3</v>
      </c>
      <c r="N11" s="9">
        <f>IF(OR($C11&lt;&gt;"",$D11&lt;&gt;"",H11=""),"",H11-SUMPRODUCT(--($C$3:$C$102="P"),--(H$3:H$102&lt;H11),--(H$3:H$102&lt;&gt;""))-SUMPRODUCT(--($D$3:$D$102="P"),--(H$3:H$102&lt;H11),--(H$3:H$102&lt;&gt;"")))</f>
        <v>5</v>
      </c>
      <c r="O11" s="9">
        <f>IF(OR($C11&lt;&gt;"",$D11&lt;&gt;"",I11=""),"",I11-SUMPRODUCT(--($C$3:$C$102="P"),--(I$3:I$102&lt;I11),--(I$3:I$102&lt;&gt;""))-SUMPRODUCT(--($D$3:$D$102="P"),--(I$3:I$102&lt;I11),--(I$3:I$102&lt;&gt;"")))</f>
        <v>6</v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9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38</v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50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38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32</v>
      </c>
      <c r="V11" s="9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4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158.09814997000001</v>
      </c>
      <c r="Y11" s="2" t="str">
        <f>IF(OR(X11="",X11=0),"",IF(SUMPRODUCT(--(B$3:B$102=B11),--(X$3:X$102&gt;X11),--(X$3:X$102&lt;&gt;"")),"","P"))</f>
        <v>P</v>
      </c>
      <c r="Z11" s="2" t="str">
        <f>IF(X11="","",IF(SUMPRODUCT(--(C$3:C$102="P"),--(B$3:B$102=B11)),"P",""))</f>
        <v/>
      </c>
      <c r="AA11" s="14">
        <f>IF(AND(Y11&lt;&gt;"",OR(Z11="",SUMPRODUCT(--(X$3:X$102&gt;X11),--(Z$3:Z$102="P"),--(Y$3:Y$102="P"))&lt;4)),X11,"")</f>
        <v>158.09814997000001</v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19</v>
      </c>
      <c r="AC11" s="9">
        <f>COUNTIF(L11:Q11,"&lt;=8")</f>
        <v>4</v>
      </c>
      <c r="AD11" s="9">
        <f>MIN(L11:Q11)</f>
        <v>3</v>
      </c>
    </row>
    <row r="12" spans="1:36" x14ac:dyDescent="0.2">
      <c r="A12" s="7" t="s">
        <v>66</v>
      </c>
      <c r="B12" s="6" t="s">
        <v>18</v>
      </c>
      <c r="E12" s="3">
        <f>IF(AA12="","",RANK(AA12,AA:AA))</f>
        <v>4</v>
      </c>
      <c r="F12" s="6">
        <v>3</v>
      </c>
      <c r="G12" s="6">
        <v>12</v>
      </c>
      <c r="H12" s="6">
        <v>10</v>
      </c>
      <c r="I12" s="6">
        <v>5</v>
      </c>
      <c r="J12" s="6">
        <v>8</v>
      </c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3</v>
      </c>
      <c r="M12" s="9">
        <f>IF(OR($C12&lt;&gt;"",$D12&lt;&gt;"",G12=""),"",G12-SUMPRODUCT(--($C$3:$C$102="P"),--(G$3:G$102&lt;G12),--(G$3:G$102&lt;&gt;""))-SUMPRODUCT(--($D$3:$D$102="P"),--(G$3:G$102&lt;G12),--(G$3:G$102&lt;&gt;"")))</f>
        <v>10</v>
      </c>
      <c r="N12" s="9">
        <f>IF(OR($C12&lt;&gt;"",$D12&lt;&gt;"",H12=""),"",H12-SUMPRODUCT(--($C$3:$C$102="P"),--(H$3:H$102&lt;H12),--(H$3:H$102&lt;&gt;""))-SUMPRODUCT(--($D$3:$D$102="P"),--(H$3:H$102&lt;H12),--(H$3:H$102&lt;&gt;"")))</f>
        <v>8</v>
      </c>
      <c r="O12" s="9">
        <f>IF(OR($C12&lt;&gt;"",$D12&lt;&gt;"",I12=""),"",I12-SUMPRODUCT(--($C$3:$C$102="P"),--(I$3:I$102&lt;I12),--(I$3:I$102&lt;&gt;""))-SUMPRODUCT(--($D$3:$D$102="P"),--(I$3:I$102&lt;I12),--(I$3:I$102&lt;&gt;"")))</f>
        <v>3</v>
      </c>
      <c r="P12" s="9">
        <f>IF(OR($C12&lt;&gt;"",$D12&lt;&gt;"",J12=""),"",J12-SUMPRODUCT(--($C$3:$C$102="P"),--(J$3:J$102&lt;J12),--(J$3:J$102&lt;&gt;""))-SUMPRODUCT(--($D$3:$D$102="P"),--(J$3:J$102&lt;J12),--(J$3:J$102&lt;&gt;"")))</f>
        <v>6</v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9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50</v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21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25</v>
      </c>
      <c r="U12" s="9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50</v>
      </c>
      <c r="V12" s="9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>32</v>
      </c>
      <c r="W12" s="9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4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157.09734997000001</v>
      </c>
      <c r="Y12" s="2" t="str">
        <f>IF(OR(X12="",X12=0),"",IF(SUMPRODUCT(--(B$3:B$102=B12),--(X$3:X$102&gt;X12),--(X$3:X$102&lt;&gt;"")),"","P"))</f>
        <v>P</v>
      </c>
      <c r="Z12" s="2" t="str">
        <f>IF(X12="","",IF(SUMPRODUCT(--(C$3:C$102="P"),--(B$3:B$102=B12)),"P",""))</f>
        <v>P</v>
      </c>
      <c r="AA12" s="14">
        <f>IF(AND(Y12&lt;&gt;"",OR(Z12="",SUMPRODUCT(--(X$3:X$102&gt;X12),--(Z$3:Z$102="P"),--(Y$3:Y$102="P"))&lt;4)),X12,"")</f>
        <v>157.09734997000001</v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27</v>
      </c>
      <c r="AC12" s="9">
        <f>COUNTIF(L12:Q12,"&lt;=8")</f>
        <v>4</v>
      </c>
      <c r="AD12" s="9">
        <f>MIN(L12:Q12)</f>
        <v>3</v>
      </c>
    </row>
    <row r="13" spans="1:36" x14ac:dyDescent="0.2">
      <c r="A13" s="7" t="s">
        <v>81</v>
      </c>
      <c r="B13" s="6" t="s">
        <v>20</v>
      </c>
      <c r="E13" s="3">
        <f>IF(AA13="","",RANK(AA13,AA:AA))</f>
        <v>5</v>
      </c>
      <c r="F13" s="6">
        <v>15</v>
      </c>
      <c r="G13" s="6">
        <v>9</v>
      </c>
      <c r="H13" s="6">
        <v>3</v>
      </c>
      <c r="I13" s="6">
        <v>16</v>
      </c>
      <c r="J13" s="6">
        <v>5</v>
      </c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13</v>
      </c>
      <c r="M13" s="9">
        <f>IF(OR($C13&lt;&gt;"",$D13&lt;&gt;"",G13=""),"",G13-SUMPRODUCT(--($C$3:$C$102="P"),--(G$3:G$102&lt;G13),--(G$3:G$102&lt;&gt;""))-SUMPRODUCT(--($D$3:$D$102="P"),--(G$3:G$102&lt;G13),--(G$3:G$102&lt;&gt;"")))</f>
        <v>7</v>
      </c>
      <c r="N13" s="9">
        <f>IF(OR($C13&lt;&gt;"",$D13&lt;&gt;"",H13=""),"",H13-SUMPRODUCT(--($C$3:$C$102="P"),--(H$3:H$102&lt;H13),--(H$3:H$102&lt;&gt;""))-SUMPRODUCT(--($D$3:$D$102="P"),--(H$3:H$102&lt;H13),--(H$3:H$102&lt;&gt;"")))</f>
        <v>2</v>
      </c>
      <c r="O13" s="9">
        <f>IF(OR($C13&lt;&gt;"",$D13&lt;&gt;"",I13=""),"",I13-SUMPRODUCT(--($C$3:$C$102="P"),--(I$3:I$102&lt;I13),--(I$3:I$102&lt;&gt;""))-SUMPRODUCT(--($D$3:$D$102="P"),--(I$3:I$102&lt;I13),--(I$3:I$102&lt;&gt;"")))</f>
        <v>13</v>
      </c>
      <c r="P13" s="9">
        <f>IF(OR($C13&lt;&gt;"",$D13&lt;&gt;"",J13=""),"",J13-SUMPRODUCT(--($C$3:$C$102="P"),--(J$3:J$102&lt;J13),--(J$3:J$102&lt;&gt;""))-SUMPRODUCT(--($D$3:$D$102="P"),--(J$3:J$102&lt;J13),--(J$3:J$102&lt;&gt;"")))</f>
        <v>3</v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9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18</v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28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55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18</v>
      </c>
      <c r="V13" s="9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>50</v>
      </c>
      <c r="W13" s="9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4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151.09643997999999</v>
      </c>
      <c r="Y13" s="2" t="str">
        <f>IF(OR(X13="",X13=0),"",IF(SUMPRODUCT(--(B$3:B$102=B13),--(X$3:X$102&gt;X13),--(X$3:X$102&lt;&gt;"")),"","P"))</f>
        <v>P</v>
      </c>
      <c r="Z13" s="2" t="str">
        <f>IF(X13="","",IF(SUMPRODUCT(--(C$3:C$102="P"),--(B$3:B$102=B13)),"P",""))</f>
        <v>P</v>
      </c>
      <c r="AA13" s="14">
        <f>IF(AND(Y13&lt;&gt;"",OR(Z13="",SUMPRODUCT(--(X$3:X$102&gt;X13),--(Z$3:Z$102="P"),--(Y$3:Y$102="P"))&lt;4)),X13,"")</f>
        <v>151.09643997999999</v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36</v>
      </c>
      <c r="AC13" s="9">
        <f>COUNTIF(L13:Q13,"&lt;=8")</f>
        <v>3</v>
      </c>
      <c r="AD13" s="9">
        <f>MIN(L13:Q13)</f>
        <v>2</v>
      </c>
    </row>
    <row r="14" spans="1:36" x14ac:dyDescent="0.2">
      <c r="A14" s="7" t="s">
        <v>72</v>
      </c>
      <c r="B14" s="6" t="s">
        <v>16</v>
      </c>
      <c r="E14" s="3" t="str">
        <f>IF(AA14="","",RANK(AA14,AA:AA))</f>
        <v/>
      </c>
      <c r="F14" s="6">
        <v>4</v>
      </c>
      <c r="G14" s="6">
        <v>8</v>
      </c>
      <c r="H14" s="6">
        <v>9</v>
      </c>
      <c r="I14" s="6">
        <v>11</v>
      </c>
      <c r="J14" s="6">
        <v>11</v>
      </c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4</v>
      </c>
      <c r="M14" s="9">
        <f>IF(OR($C14&lt;&gt;"",$D14&lt;&gt;"",G14=""),"",G14-SUMPRODUCT(--($C$3:$C$102="P"),--(G$3:G$102&lt;G14),--(G$3:G$102&lt;&gt;""))-SUMPRODUCT(--($D$3:$D$102="P"),--(G$3:G$102&lt;G14),--(G$3:G$102&lt;&gt;"")))</f>
        <v>6</v>
      </c>
      <c r="N14" s="9">
        <f>IF(OR($C14&lt;&gt;"",$D14&lt;&gt;"",H14=""),"",H14-SUMPRODUCT(--($C$3:$C$102="P"),--(H$3:H$102&lt;H14),--(H$3:H$102&lt;&gt;""))-SUMPRODUCT(--($D$3:$D$102="P"),--(H$3:H$102&lt;H14),--(H$3:H$102&lt;&gt;"")))</f>
        <v>7</v>
      </c>
      <c r="O14" s="9">
        <f>IF(OR($C14&lt;&gt;"",$D14&lt;&gt;"",I14=""),"",I14-SUMPRODUCT(--($C$3:$C$102="P"),--(I$3:I$102&lt;I14),--(I$3:I$102&lt;&gt;""))-SUMPRODUCT(--($D$3:$D$102="P"),--(I$3:I$102&lt;I14),--(I$3:I$102&lt;&gt;"")))</f>
        <v>8</v>
      </c>
      <c r="P14" s="9">
        <f>IF(OR($C14&lt;&gt;"",$D14&lt;&gt;"",J14=""),"",J14-SUMPRODUCT(--($C$3:$C$102="P"),--(J$3:J$102&lt;J14),--(J$3:J$102&lt;&gt;""))-SUMPRODUCT(--($D$3:$D$102="P"),--(J$3:J$102&lt;J14),--(J$3:J$102&lt;&gt;"")))</f>
        <v>9</v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9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44</v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32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28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25</v>
      </c>
      <c r="V14" s="9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>22</v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4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129.09704996000002</v>
      </c>
      <c r="Y14" s="2" t="str">
        <f>IF(OR(X14="",X14=0),"",IF(SUMPRODUCT(--(B$3:B$102=B14),--(X$3:X$102&gt;X14),--(X$3:X$102&lt;&gt;"")),"","P"))</f>
        <v/>
      </c>
      <c r="Z14" s="2" t="str">
        <f>IF(X14="","",IF(SUMPRODUCT(--(C$3:C$102="P"),--(B$3:B$102=B14)),"P",""))</f>
        <v>P</v>
      </c>
      <c r="AA14" s="14" t="str">
        <f>IF(AND(Y14&lt;&gt;"",OR(Z14="",SUMPRODUCT(--(X$3:X$102&gt;X14),--(Z$3:Z$102="P"),--(Y$3:Y$102="P"))&lt;4)),X14,"")</f>
        <v/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30</v>
      </c>
      <c r="AC14" s="9">
        <f>COUNTIF(L14:Q14,"&lt;=8")</f>
        <v>4</v>
      </c>
      <c r="AD14" s="9">
        <f>MIN(L14:Q14)</f>
        <v>4</v>
      </c>
    </row>
    <row r="15" spans="1:36" x14ac:dyDescent="0.2">
      <c r="A15" s="7" t="s">
        <v>80</v>
      </c>
      <c r="B15" s="6" t="s">
        <v>20</v>
      </c>
      <c r="E15" s="3" t="str">
        <f>IF(AA15="","",RANK(AA15,AA:AA))</f>
        <v/>
      </c>
      <c r="F15" s="6">
        <v>14</v>
      </c>
      <c r="G15" s="6">
        <v>1</v>
      </c>
      <c r="H15" s="6">
        <v>11</v>
      </c>
      <c r="I15" s="6">
        <v>81</v>
      </c>
      <c r="J15" s="6">
        <v>12</v>
      </c>
      <c r="K15" s="6"/>
      <c r="L15" s="9">
        <f>IF(OR($C15&lt;&gt;"",$D15&lt;&gt;"",F15=""),"",F15-SUMPRODUCT(--($C$3:$C$102="P"),--(F$3:F$102&lt;F15),--(F$3:F$102&lt;&gt;""))-SUMPRODUCT(--($D$3:$D$102="P"),--(F$3:F$102&lt;F15),--(F$3:F$102&lt;&gt;"")))</f>
        <v>12</v>
      </c>
      <c r="M15" s="9">
        <f>IF(OR($C15&lt;&gt;"",$D15&lt;&gt;"",G15=""),"",G15-SUMPRODUCT(--($C$3:$C$102="P"),--(G$3:G$102&lt;G15),--(G$3:G$102&lt;&gt;""))-SUMPRODUCT(--($D$3:$D$102="P"),--(G$3:G$102&lt;G15),--(G$3:G$102&lt;&gt;"")))</f>
        <v>1</v>
      </c>
      <c r="N15" s="9">
        <f>IF(OR($C15&lt;&gt;"",$D15&lt;&gt;"",H15=""),"",H15-SUMPRODUCT(--($C$3:$C$102="P"),--(H$3:H$102&lt;H15),--(H$3:H$102&lt;&gt;""))-SUMPRODUCT(--($D$3:$D$102="P"),--(H$3:H$102&lt;H15),--(H$3:H$102&lt;&gt;"")))</f>
        <v>9</v>
      </c>
      <c r="O15" s="9">
        <f>IF(OR($C15&lt;&gt;"",$D15&lt;&gt;"",I15=""),"",I15-SUMPRODUCT(--($C$3:$C$102="P"),--(I$3:I$102&lt;I15),--(I$3:I$102&lt;&gt;""))-SUMPRODUCT(--($D$3:$D$102="P"),--(I$3:I$102&lt;I15),--(I$3:I$102&lt;&gt;"")))</f>
        <v>76</v>
      </c>
      <c r="P15" s="9">
        <f>IF(OR($C15&lt;&gt;"",$D15&lt;&gt;"",J15=""),"",J15-SUMPRODUCT(--($C$3:$C$102="P"),--(J$3:J$102&lt;J15),--(J$3:J$102&lt;&gt;""))-SUMPRODUCT(--($D$3:$D$102="P"),--(J$3:J$102&lt;J15),--(J$3:J$102&lt;&gt;"")))</f>
        <v>10</v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9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19</v>
      </c>
      <c r="S15" s="9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60</v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22</v>
      </c>
      <c r="U15" s="9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9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>21</v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4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122.08931998999999</v>
      </c>
      <c r="Y15" s="2" t="str">
        <f>IF(OR(X15="",X15=0),"",IF(SUMPRODUCT(--(B$3:B$102=B15),--(X$3:X$102&gt;X15),--(X$3:X$102&lt;&gt;"")),"","P"))</f>
        <v/>
      </c>
      <c r="Z15" s="2" t="str">
        <f>IF(X15="","",IF(SUMPRODUCT(--(C$3:C$102="P"),--(B$3:B$102=B15)),"P",""))</f>
        <v>P</v>
      </c>
      <c r="AA15" s="14" t="str">
        <f>IF(AND(Y15&lt;&gt;"",OR(Z15="",SUMPRODUCT(--(X$3:X$102&gt;X15),--(Z$3:Z$102="P"),--(Y$3:Y$102="P"))&lt;4)),X15,"")</f>
        <v/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107</v>
      </c>
      <c r="AC15" s="9">
        <f>COUNTIF(L15:Q15,"&lt;=8")</f>
        <v>1</v>
      </c>
      <c r="AD15" s="9">
        <f>MIN(L15:Q15)</f>
        <v>1</v>
      </c>
    </row>
    <row r="16" spans="1:36" x14ac:dyDescent="0.2">
      <c r="A16" s="7" t="s">
        <v>69</v>
      </c>
      <c r="B16" s="6" t="s">
        <v>18</v>
      </c>
      <c r="E16" s="3" t="str">
        <f>IF(AA16="","",RANK(AA16,AA:AA))</f>
        <v/>
      </c>
      <c r="F16" s="6">
        <v>7</v>
      </c>
      <c r="G16" s="6">
        <v>52</v>
      </c>
      <c r="H16" s="6">
        <v>8</v>
      </c>
      <c r="I16" s="6">
        <v>7</v>
      </c>
      <c r="J16" s="6">
        <v>48</v>
      </c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6</v>
      </c>
      <c r="M16" s="9">
        <f>IF(OR($C16&lt;&gt;"",$D16&lt;&gt;"",G16=""),"",G16-SUMPRODUCT(--($C$3:$C$102="P"),--(G$3:G$102&lt;G16),--(G$3:G$102&lt;&gt;""))-SUMPRODUCT(--($D$3:$D$102="P"),--(G$3:G$102&lt;G16),--(G$3:G$102&lt;&gt;"")))</f>
        <v>50</v>
      </c>
      <c r="N16" s="9">
        <f>IF(OR($C16&lt;&gt;"",$D16&lt;&gt;"",H16=""),"",H16-SUMPRODUCT(--($C$3:$C$102="P"),--(H$3:H$102&lt;H16),--(H$3:H$102&lt;&gt;""))-SUMPRODUCT(--($D$3:$D$102="P"),--(H$3:H$102&lt;H16),--(H$3:H$102&lt;&gt;"")))</f>
        <v>6</v>
      </c>
      <c r="O16" s="9">
        <f>IF(OR($C16&lt;&gt;"",$D16&lt;&gt;"",I16=""),"",I16-SUMPRODUCT(--($C$3:$C$102="P"),--(I$3:I$102&lt;I16),--(I$3:I$102&lt;&gt;""))-SUMPRODUCT(--($D$3:$D$102="P"),--(I$3:I$102&lt;I16),--(I$3:I$102&lt;&gt;"")))</f>
        <v>5</v>
      </c>
      <c r="P16" s="9">
        <f>IF(OR($C16&lt;&gt;"",$D16&lt;&gt;"",J16=""),"",J16-SUMPRODUCT(--($C$3:$C$102="P"),--(J$3:J$102&lt;J16),--(J$3:J$102&lt;&gt;""))-SUMPRODUCT(--($D$3:$D$102="P"),--(J$3:J$102&lt;J16),--(J$3:J$102&lt;&gt;"")))</f>
        <v>46</v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9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32</v>
      </c>
      <c r="S16" s="9" t="str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/>
      </c>
      <c r="T16" s="9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32</v>
      </c>
      <c r="U16" s="9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38</v>
      </c>
      <c r="V16" s="9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4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102.08923995000001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>P</v>
      </c>
      <c r="AA16" s="14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108</v>
      </c>
      <c r="AC16" s="9">
        <f>COUNTIF(L16:Q16,"&lt;=8")</f>
        <v>3</v>
      </c>
      <c r="AD16" s="9">
        <f>MIN(L16:Q16)</f>
        <v>5</v>
      </c>
    </row>
    <row r="17" spans="1:30" x14ac:dyDescent="0.2">
      <c r="A17" s="7" t="s">
        <v>167</v>
      </c>
      <c r="B17" s="6" t="s">
        <v>16</v>
      </c>
      <c r="E17" s="3" t="str">
        <f>IF(AA17="","",RANK(AA17,AA:AA))</f>
        <v/>
      </c>
      <c r="F17" s="6"/>
      <c r="G17" s="6"/>
      <c r="H17" s="6">
        <v>13</v>
      </c>
      <c r="I17" s="6">
        <v>6</v>
      </c>
      <c r="J17" s="6">
        <v>9</v>
      </c>
      <c r="K17" s="6"/>
      <c r="L17" s="9" t="str">
        <f>IF(OR($C17&lt;&gt;"",$D17&lt;&gt;"",F17=""),"",F17-SUMPRODUCT(--($C$3:$C$102="P"),--(F$3:F$102&lt;F17),--(F$3:F$102&lt;&gt;""))-SUMPRODUCT(--($D$3:$D$102="P"),--(F$3:F$102&lt;F17),--(F$3:F$102&lt;&gt;"")))</f>
        <v/>
      </c>
      <c r="M17" s="9" t="str">
        <f>IF(OR($C17&lt;&gt;"",$D17&lt;&gt;"",G17=""),"",G17-SUMPRODUCT(--($C$3:$C$102="P"),--(G$3:G$102&lt;G17),--(G$3:G$102&lt;&gt;""))-SUMPRODUCT(--($D$3:$D$102="P"),--(G$3:G$102&lt;G17),--(G$3:G$102&lt;&gt;"")))</f>
        <v/>
      </c>
      <c r="N17" s="9">
        <f>IF(OR($C17&lt;&gt;"",$D17&lt;&gt;"",H17=""),"",H17-SUMPRODUCT(--($C$3:$C$102="P"),--(H$3:H$102&lt;H17),--(H$3:H$102&lt;&gt;""))-SUMPRODUCT(--($D$3:$D$102="P"),--(H$3:H$102&lt;H17),--(H$3:H$102&lt;&gt;"")))</f>
        <v>11</v>
      </c>
      <c r="O17" s="9">
        <f>IF(OR($C17&lt;&gt;"",$D17&lt;&gt;"",I17=""),"",I17-SUMPRODUCT(--($C$3:$C$102="P"),--(I$3:I$102&lt;I17),--(I$3:I$102&lt;&gt;""))-SUMPRODUCT(--($D$3:$D$102="P"),--(I$3:I$102&lt;I17),--(I$3:I$102&lt;&gt;"")))</f>
        <v>4</v>
      </c>
      <c r="P17" s="9">
        <f>IF(OR($C17&lt;&gt;"",$D17&lt;&gt;"",J17=""),"",J17-SUMPRODUCT(--($C$3:$C$102="P"),--(J$3:J$102&lt;J17),--(J$3:J$102&lt;&gt;""))-SUMPRODUCT(--($D$3:$D$102="P"),--(J$3:J$102&lt;J17),--(J$3:J$102&lt;&gt;"")))</f>
        <v>7</v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9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S17" s="9" t="str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/>
      </c>
      <c r="T17" s="9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>20</v>
      </c>
      <c r="U17" s="9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>44</v>
      </c>
      <c r="V17" s="9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>28</v>
      </c>
      <c r="W17" s="9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4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92.097829960000013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>P</v>
      </c>
      <c r="AA17" s="14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22</v>
      </c>
      <c r="AC17" s="9">
        <f>COUNTIF(L17:Q17,"&lt;=8")</f>
        <v>2</v>
      </c>
      <c r="AD17" s="9">
        <f>MIN(L17:Q17)</f>
        <v>4</v>
      </c>
    </row>
    <row r="18" spans="1:30" x14ac:dyDescent="0.2">
      <c r="A18" s="7" t="s">
        <v>78</v>
      </c>
      <c r="B18" s="6" t="s">
        <v>82</v>
      </c>
      <c r="E18" s="3">
        <f>IF(AA18="","",RANK(AA18,AA:AA))</f>
        <v>6</v>
      </c>
      <c r="F18" s="6">
        <v>12</v>
      </c>
      <c r="G18" s="6">
        <v>7</v>
      </c>
      <c r="H18" s="6">
        <v>12</v>
      </c>
      <c r="I18" s="6">
        <v>80</v>
      </c>
      <c r="J18" s="6">
        <v>50</v>
      </c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11</v>
      </c>
      <c r="M18" s="9">
        <f>IF(OR($C18&lt;&gt;"",$D18&lt;&gt;"",G18=""),"",G18-SUMPRODUCT(--($C$3:$C$102="P"),--(G$3:G$102&lt;G18),--(G$3:G$102&lt;&gt;""))-SUMPRODUCT(--($D$3:$D$102="P"),--(G$3:G$102&lt;G18),--(G$3:G$102&lt;&gt;"")))</f>
        <v>5</v>
      </c>
      <c r="N18" s="9">
        <f>IF(OR($C18&lt;&gt;"",$D18&lt;&gt;"",H18=""),"",H18-SUMPRODUCT(--($C$3:$C$102="P"),--(H$3:H$102&lt;H18),--(H$3:H$102&lt;&gt;""))-SUMPRODUCT(--($D$3:$D$102="P"),--(H$3:H$102&lt;H18),--(H$3:H$102&lt;&gt;"")))</f>
        <v>10</v>
      </c>
      <c r="O18" s="9">
        <f>IF(OR($C18&lt;&gt;"",$D18&lt;&gt;"",I18=""),"",I18-SUMPRODUCT(--($C$3:$C$102="P"),--(I$3:I$102&lt;I18),--(I$3:I$102&lt;&gt;""))-SUMPRODUCT(--($D$3:$D$102="P"),--(I$3:I$102&lt;I18),--(I$3:I$102&lt;&gt;"")))</f>
        <v>75</v>
      </c>
      <c r="P18" s="9">
        <f>IF(OR($C18&lt;&gt;"",$D18&lt;&gt;"",J18=""),"",J18-SUMPRODUCT(--($C$3:$C$102="P"),--(J$3:J$102&lt;J18),--(J$3:J$102&lt;&gt;""))-SUMPRODUCT(--($D$3:$D$102="P"),--(J$3:J$102&lt;J18),--(J$3:J$102&lt;&gt;"")))</f>
        <v>47</v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9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20</v>
      </c>
      <c r="S18" s="9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38</v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21</v>
      </c>
      <c r="U18" s="9" t="str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/>
      </c>
      <c r="V18" s="9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4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79.085719950000012</v>
      </c>
      <c r="Y18" s="2" t="str">
        <f>IF(OR(X18="",X18=0),"",IF(SUMPRODUCT(--(B$3:B$102=B18),--(X$3:X$102&gt;X18),--(X$3:X$102&lt;&gt;"")),"","P"))</f>
        <v>P</v>
      </c>
      <c r="Z18" s="2" t="str">
        <f>IF(X18="","",IF(SUMPRODUCT(--(C$3:C$102="P"),--(B$3:B$102=B18)),"P",""))</f>
        <v/>
      </c>
      <c r="AA18" s="14">
        <f>IF(AND(Y18&lt;&gt;"",OR(Z18="",SUMPRODUCT(--(X$3:X$102&gt;X18),--(Z$3:Z$102="P"),--(Y$3:Y$102="P"))&lt;4)),X18,"")</f>
        <v>79.085719950000012</v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143</v>
      </c>
      <c r="AC18" s="9">
        <f>COUNTIF(L18:Q18,"&lt;=8")</f>
        <v>1</v>
      </c>
      <c r="AD18" s="9">
        <f>MIN(L18:Q18)</f>
        <v>5</v>
      </c>
    </row>
    <row r="19" spans="1:30" x14ac:dyDescent="0.2">
      <c r="A19" s="7" t="s">
        <v>85</v>
      </c>
      <c r="B19" s="6" t="s">
        <v>59</v>
      </c>
      <c r="E19" s="3">
        <f>IF(AA19="","",RANK(AA19,AA:AA))</f>
        <v>7</v>
      </c>
      <c r="F19" s="6">
        <v>18</v>
      </c>
      <c r="G19" s="6">
        <v>13</v>
      </c>
      <c r="H19" s="6">
        <v>14</v>
      </c>
      <c r="I19" s="6">
        <v>12</v>
      </c>
      <c r="J19" s="6">
        <v>16</v>
      </c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16</v>
      </c>
      <c r="M19" s="9">
        <f>IF(OR($C19&lt;&gt;"",$D19&lt;&gt;"",G19=""),"",G19-SUMPRODUCT(--($C$3:$C$102="P"),--(G$3:G$102&lt;G19),--(G$3:G$102&lt;&gt;""))-SUMPRODUCT(--($D$3:$D$102="P"),--(G$3:G$102&lt;G19),--(G$3:G$102&lt;&gt;"")))</f>
        <v>11</v>
      </c>
      <c r="N19" s="9">
        <f>IF(OR($C19&lt;&gt;"",$D19&lt;&gt;"",H19=""),"",H19-SUMPRODUCT(--($C$3:$C$102="P"),--(H$3:H$102&lt;H19),--(H$3:H$102&lt;&gt;""))-SUMPRODUCT(--($D$3:$D$102="P"),--(H$3:H$102&lt;H19),--(H$3:H$102&lt;&gt;"")))</f>
        <v>12</v>
      </c>
      <c r="O19" s="9">
        <f>IF(OR($C19&lt;&gt;"",$D19&lt;&gt;"",I19=""),"",I19-SUMPRODUCT(--($C$3:$C$102="P"),--(I$3:I$102&lt;I19),--(I$3:I$102&lt;&gt;""))-SUMPRODUCT(--($D$3:$D$102="P"),--(I$3:I$102&lt;I19),--(I$3:I$102&lt;&gt;"")))</f>
        <v>9</v>
      </c>
      <c r="P19" s="9">
        <f>IF(OR($C19&lt;&gt;"",$D19&lt;&gt;"",J19=""),"",J19-SUMPRODUCT(--($C$3:$C$102="P"),--(J$3:J$102&lt;J19),--(J$3:J$102&lt;&gt;""))-SUMPRODUCT(--($D$3:$D$102="P"),--(J$3:J$102&lt;J19),--(J$3:J$102&lt;&gt;"")))</f>
        <v>14</v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9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15</v>
      </c>
      <c r="S19" s="9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20</v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19</v>
      </c>
      <c r="U19" s="9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22</v>
      </c>
      <c r="V19" s="9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>17</v>
      </c>
      <c r="W19" s="9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4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78.094709910000006</v>
      </c>
      <c r="Y19" s="2" t="str">
        <f>IF(OR(X19="",X19=0),"",IF(SUMPRODUCT(--(B$3:B$102=B19),--(X$3:X$102&gt;X19),--(X$3:X$102&lt;&gt;"")),"","P"))</f>
        <v>P</v>
      </c>
      <c r="Z19" s="2" t="str">
        <f>IF(X19="","",IF(SUMPRODUCT(--(C$3:C$102="P"),--(B$3:B$102=B19)),"P",""))</f>
        <v/>
      </c>
      <c r="AA19" s="14">
        <f>IF(AND(Y19&lt;&gt;"",OR(Z19="",SUMPRODUCT(--(X$3:X$102&gt;X19),--(Z$3:Z$102="P"),--(Y$3:Y$102="P"))&lt;4)),X19,"")</f>
        <v>78.094709910000006</v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53</v>
      </c>
      <c r="AC19" s="9">
        <f>COUNTIF(L19:Q19,"&lt;=8")</f>
        <v>0</v>
      </c>
      <c r="AD19" s="9">
        <f>MIN(L19:Q19)</f>
        <v>9</v>
      </c>
    </row>
    <row r="20" spans="1:30" x14ac:dyDescent="0.2">
      <c r="A20" s="7" t="s">
        <v>118</v>
      </c>
      <c r="B20" s="6" t="s">
        <v>20</v>
      </c>
      <c r="E20" s="3" t="str">
        <f>IF(AA20="","",RANK(AA20,AA:AA))</f>
        <v/>
      </c>
      <c r="F20" s="6"/>
      <c r="G20" s="6">
        <v>19</v>
      </c>
      <c r="H20" s="6">
        <v>62</v>
      </c>
      <c r="I20" s="6">
        <v>86</v>
      </c>
      <c r="J20" s="6">
        <v>4</v>
      </c>
      <c r="K20" s="6"/>
      <c r="L20" s="9" t="str">
        <f>IF(OR($C20&lt;&gt;"",$D20&lt;&gt;"",F20=""),"",F20-SUMPRODUCT(--($C$3:$C$102="P"),--(F$3:F$102&lt;F20),--(F$3:F$102&lt;&gt;""))-SUMPRODUCT(--($D$3:$D$102="P"),--(F$3:F$102&lt;F20),--(F$3:F$102&lt;&gt;"")))</f>
        <v/>
      </c>
      <c r="M20" s="9">
        <f>IF(OR($C20&lt;&gt;"",$D20&lt;&gt;"",G20=""),"",G20-SUMPRODUCT(--($C$3:$C$102="P"),--(G$3:G$102&lt;G20),--(G$3:G$102&lt;&gt;""))-SUMPRODUCT(--($D$3:$D$102="P"),--(G$3:G$102&lt;G20),--(G$3:G$102&lt;&gt;"")))</f>
        <v>17</v>
      </c>
      <c r="N20" s="9">
        <f>IF(OR($C20&lt;&gt;"",$D20&lt;&gt;"",H20=""),"",H20-SUMPRODUCT(--($C$3:$C$102="P"),--(H$3:H$102&lt;H20),--(H$3:H$102&lt;&gt;""))-SUMPRODUCT(--($D$3:$D$102="P"),--(H$3:H$102&lt;H20),--(H$3:H$102&lt;&gt;"")))</f>
        <v>58</v>
      </c>
      <c r="O20" s="9">
        <f>IF(OR($C20&lt;&gt;"",$D20&lt;&gt;"",I20=""),"",I20-SUMPRODUCT(--($C$3:$C$102="P"),--(I$3:I$102&lt;I20),--(I$3:I$102&lt;&gt;""))-SUMPRODUCT(--($D$3:$D$102="P"),--(I$3:I$102&lt;I20),--(I$3:I$102&lt;&gt;"")))</f>
        <v>81</v>
      </c>
      <c r="P20" s="9">
        <f>IF(OR($C20&lt;&gt;"",$D20&lt;&gt;"",J20=""),"",J20-SUMPRODUCT(--($C$3:$C$102="P"),--(J$3:J$102&lt;J20),--(J$3:J$102&lt;&gt;""))-SUMPRODUCT(--($D$3:$D$102="P"),--(J$3:J$102&lt;J20),--(J$3:J$102&lt;&gt;"")))</f>
        <v>2</v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9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S20" s="9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14</v>
      </c>
      <c r="T20" s="9" t="str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/>
      </c>
      <c r="U20" s="9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9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>55</v>
      </c>
      <c r="W20" s="9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4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69.08421998</v>
      </c>
      <c r="Y20" s="2" t="str">
        <f>IF(OR(X20="",X20=0),"",IF(SUMPRODUCT(--(B$3:B$102=B20),--(X$3:X$102&gt;X20),--(X$3:X$102&lt;&gt;"")),"","P"))</f>
        <v/>
      </c>
      <c r="Z20" s="2" t="str">
        <f>IF(X20="","",IF(SUMPRODUCT(--(C$3:C$102="P"),--(B$3:B$102=B20)),"P",""))</f>
        <v>P</v>
      </c>
      <c r="AA20" s="14" t="str">
        <f>IF(AND(Y20&lt;&gt;"",OR(Z20="",SUMPRODUCT(--(X$3:X$102&gt;X20),--(Z$3:Z$102="P"),--(Y$3:Y$102="P"))&lt;4)),X20,"")</f>
        <v/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158</v>
      </c>
      <c r="AC20" s="9">
        <f>COUNTIF(L20:Q20,"&lt;=8")</f>
        <v>1</v>
      </c>
      <c r="AD20" s="9">
        <f>MIN(L20:Q20)</f>
        <v>2</v>
      </c>
    </row>
    <row r="21" spans="1:30" x14ac:dyDescent="0.2">
      <c r="A21" s="7" t="s">
        <v>117</v>
      </c>
      <c r="B21" s="6" t="s">
        <v>82</v>
      </c>
      <c r="E21" s="3" t="str">
        <f>IF(AA21="","",RANK(AA21,AA:AA))</f>
        <v/>
      </c>
      <c r="F21" s="6">
        <v>41</v>
      </c>
      <c r="G21" s="6">
        <v>10</v>
      </c>
      <c r="H21" s="6">
        <v>58</v>
      </c>
      <c r="I21" s="6">
        <v>14</v>
      </c>
      <c r="J21" s="6">
        <v>17</v>
      </c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38</v>
      </c>
      <c r="M21" s="9">
        <f>IF(OR($C21&lt;&gt;"",$D21&lt;&gt;"",G21=""),"",G21-SUMPRODUCT(--($C$3:$C$102="P"),--(G$3:G$102&lt;G21),--(G$3:G$102&lt;&gt;""))-SUMPRODUCT(--($D$3:$D$102="P"),--(G$3:G$102&lt;G21),--(G$3:G$102&lt;&gt;"")))</f>
        <v>8</v>
      </c>
      <c r="N21" s="9">
        <f>IF(OR($C21&lt;&gt;"",$D21&lt;&gt;"",H21=""),"",H21-SUMPRODUCT(--($C$3:$C$102="P"),--(H$3:H$102&lt;H21),--(H$3:H$102&lt;&gt;""))-SUMPRODUCT(--($D$3:$D$102="P"),--(H$3:H$102&lt;H21),--(H$3:H$102&lt;&gt;"")))</f>
        <v>54</v>
      </c>
      <c r="O21" s="9">
        <f>IF(OR($C21&lt;&gt;"",$D21&lt;&gt;"",I21=""),"",I21-SUMPRODUCT(--($C$3:$C$102="P"),--(I$3:I$102&lt;I21),--(I$3:I$102&lt;&gt;""))-SUMPRODUCT(--($D$3:$D$102="P"),--(I$3:I$102&lt;I21),--(I$3:I$102&lt;&gt;"")))</f>
        <v>11</v>
      </c>
      <c r="P21" s="9">
        <f>IF(OR($C21&lt;&gt;"",$D21&lt;&gt;"",J21=""),"",J21-SUMPRODUCT(--($C$3:$C$102="P"),--(J$3:J$102&lt;J21),--(J$3:J$102&lt;&gt;""))-SUMPRODUCT(--($D$3:$D$102="P"),--(J$3:J$102&lt;J21),--(J$3:J$102&lt;&gt;"")))</f>
        <v>15</v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9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S21" s="9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>25</v>
      </c>
      <c r="T21" s="9" t="str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/>
      </c>
      <c r="U21" s="9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20</v>
      </c>
      <c r="V21" s="9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>16</v>
      </c>
      <c r="W21" s="9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4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61.08821992</v>
      </c>
      <c r="Y21" s="2" t="str">
        <f>IF(OR(X21="",X21=0),"",IF(SUMPRODUCT(--(B$3:B$102=B21),--(X$3:X$102&gt;X21),--(X$3:X$102&lt;&gt;"")),"","P"))</f>
        <v/>
      </c>
      <c r="Z21" s="2" t="str">
        <f>IF(X21="","",IF(SUMPRODUCT(--(C$3:C$102="P"),--(B$3:B$102=B21)),"P",""))</f>
        <v/>
      </c>
      <c r="AA21" s="14" t="str">
        <f>IF(AND(Y21&lt;&gt;"",OR(Z21="",SUMPRODUCT(--(X$3:X$102&gt;X21),--(Z$3:Z$102="P"),--(Y$3:Y$102="P"))&lt;4)),X21,"")</f>
        <v/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118</v>
      </c>
      <c r="AC21" s="9">
        <f>COUNTIF(L21:Q21,"&lt;=8")</f>
        <v>1</v>
      </c>
      <c r="AD21" s="9">
        <f>MIN(L21:Q21)</f>
        <v>8</v>
      </c>
    </row>
    <row r="22" spans="1:30" x14ac:dyDescent="0.2">
      <c r="A22" s="7" t="s">
        <v>97</v>
      </c>
      <c r="B22" s="6" t="s">
        <v>106</v>
      </c>
      <c r="E22" s="3">
        <f>IF(AA22="","",RANK(AA22,AA:AA))</f>
        <v>8</v>
      </c>
      <c r="F22" s="6">
        <v>30</v>
      </c>
      <c r="G22" s="6">
        <v>21</v>
      </c>
      <c r="H22" s="6"/>
      <c r="I22" s="6">
        <v>58</v>
      </c>
      <c r="J22" s="6">
        <v>6</v>
      </c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27</v>
      </c>
      <c r="M22" s="9">
        <f>IF(OR($C22&lt;&gt;"",$D22&lt;&gt;"",G22=""),"",G22-SUMPRODUCT(--($C$3:$C$102="P"),--(G$3:G$102&lt;G22),--(G$3:G$102&lt;&gt;""))-SUMPRODUCT(--($D$3:$D$102="P"),--(G$3:G$102&lt;G22),--(G$3:G$102&lt;&gt;"")))</f>
        <v>19</v>
      </c>
      <c r="N22" s="9" t="str">
        <f>IF(OR($C22&lt;&gt;"",$D22&lt;&gt;"",H22=""),"",H22-SUMPRODUCT(--($C$3:$C$102="P"),--(H$3:H$102&lt;H22),--(H$3:H$102&lt;&gt;""))-SUMPRODUCT(--($D$3:$D$102="P"),--(H$3:H$102&lt;H22),--(H$3:H$102&lt;&gt;"")))</f>
        <v/>
      </c>
      <c r="O22" s="9">
        <f>IF(OR($C22&lt;&gt;"",$D22&lt;&gt;"",I22=""),"",I22-SUMPRODUCT(--($C$3:$C$102="P"),--(I$3:I$102&lt;I22),--(I$3:I$102&lt;&gt;""))-SUMPRODUCT(--($D$3:$D$102="P"),--(I$3:I$102&lt;I22),--(I$3:I$102&lt;&gt;"")))</f>
        <v>53</v>
      </c>
      <c r="P22" s="9">
        <f>IF(OR($C22&lt;&gt;"",$D22&lt;&gt;"",J22=""),"",J22-SUMPRODUCT(--($C$3:$C$102="P"),--(J$3:J$102&lt;J22),--(J$3:J$102&lt;&gt;""))-SUMPRODUCT(--($D$3:$D$102="P"),--(J$3:J$102&lt;J22),--(J$3:J$102&lt;&gt;"")))</f>
        <v>4</v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9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4</v>
      </c>
      <c r="S22" s="9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>12</v>
      </c>
      <c r="T22" s="9" t="str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/>
      </c>
      <c r="U22" s="9" t="str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/>
      </c>
      <c r="V22" s="9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>44</v>
      </c>
      <c r="W22" s="9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4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60.089719960000004</v>
      </c>
      <c r="Y22" s="2" t="str">
        <f>IF(OR(X22="",X22=0),"",IF(SUMPRODUCT(--(B$3:B$102=B22),--(X$3:X$102&gt;X22),--(X$3:X$102&lt;&gt;"")),"","P"))</f>
        <v>P</v>
      </c>
      <c r="Z22" s="2" t="str">
        <f>IF(X22="","",IF(SUMPRODUCT(--(C$3:C$102="P"),--(B$3:B$102=B22)),"P",""))</f>
        <v/>
      </c>
      <c r="AA22" s="14">
        <f>IF(AND(Y22&lt;&gt;"",OR(Z22="",SUMPRODUCT(--(X$3:X$102&gt;X22),--(Z$3:Z$102="P"),--(Y$3:Y$102="P"))&lt;4)),X22,"")</f>
        <v>60.089719960000004</v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103</v>
      </c>
      <c r="AC22" s="9">
        <f>COUNTIF(L22:Q22,"&lt;=8")</f>
        <v>1</v>
      </c>
      <c r="AD22" s="9">
        <f>MIN(L22:Q22)</f>
        <v>4</v>
      </c>
    </row>
    <row r="23" spans="1:30" x14ac:dyDescent="0.2">
      <c r="A23" s="7" t="s">
        <v>83</v>
      </c>
      <c r="B23" s="6" t="s">
        <v>82</v>
      </c>
      <c r="E23" s="3" t="str">
        <f>IF(AA23="","",RANK(AA23,AA:AA))</f>
        <v/>
      </c>
      <c r="F23" s="6">
        <v>16</v>
      </c>
      <c r="G23" s="6">
        <v>58</v>
      </c>
      <c r="H23" s="6">
        <v>20</v>
      </c>
      <c r="I23" s="6">
        <v>15</v>
      </c>
      <c r="J23" s="6">
        <v>26</v>
      </c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14</v>
      </c>
      <c r="M23" s="9">
        <f>IF(OR($C23&lt;&gt;"",$D23&lt;&gt;"",G23=""),"",G23-SUMPRODUCT(--($C$3:$C$102="P"),--(G$3:G$102&lt;G23),--(G$3:G$102&lt;&gt;""))-SUMPRODUCT(--($D$3:$D$102="P"),--(G$3:G$102&lt;G23),--(G$3:G$102&lt;&gt;"")))</f>
        <v>56</v>
      </c>
      <c r="N23" s="9">
        <f>IF(OR($C23&lt;&gt;"",$D23&lt;&gt;"",H23=""),"",H23-SUMPRODUCT(--($C$3:$C$102="P"),--(H$3:H$102&lt;H23),--(H$3:H$102&lt;&gt;""))-SUMPRODUCT(--($D$3:$D$102="P"),--(H$3:H$102&lt;H23),--(H$3:H$102&lt;&gt;"")))</f>
        <v>16</v>
      </c>
      <c r="O23" s="9">
        <f>IF(OR($C23&lt;&gt;"",$D23&lt;&gt;"",I23=""),"",I23-SUMPRODUCT(--($C$3:$C$102="P"),--(I$3:I$102&lt;I23),--(I$3:I$102&lt;&gt;""))-SUMPRODUCT(--($D$3:$D$102="P"),--(I$3:I$102&lt;I23),--(I$3:I$102&lt;&gt;"")))</f>
        <v>12</v>
      </c>
      <c r="P23" s="9">
        <f>IF(OR($C23&lt;&gt;"",$D23&lt;&gt;"",J23=""),"",J23-SUMPRODUCT(--($C$3:$C$102="P"),--(J$3:J$102&lt;J23),--(J$3:J$102&lt;&gt;""))-SUMPRODUCT(--($D$3:$D$102="P"),--(J$3:J$102&lt;J23),--(J$3:J$102&lt;&gt;"")))</f>
        <v>24</v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9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17</v>
      </c>
      <c r="S23" s="9" t="str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/>
      </c>
      <c r="T23" s="9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>15</v>
      </c>
      <c r="U23" s="9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>19</v>
      </c>
      <c r="V23" s="9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>7</v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4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58.089009879999999</v>
      </c>
      <c r="Y23" s="2" t="str">
        <f>IF(OR(X23="",X23=0),"",IF(SUMPRODUCT(--(B$3:B$102=B23),--(X$3:X$102&gt;X23),--(X$3:X$102&lt;&gt;"")),"","P"))</f>
        <v/>
      </c>
      <c r="Z23" s="2" t="str">
        <f>IF(X23="","",IF(SUMPRODUCT(--(C$3:C$102="P"),--(B$3:B$102=B23)),"P",""))</f>
        <v/>
      </c>
      <c r="AA23" s="14" t="str">
        <f>IF(AND(Y23&lt;&gt;"",OR(Z23="",SUMPRODUCT(--(X$3:X$102&gt;X23),--(Z$3:Z$102="P"),--(Y$3:Y$102="P"))&lt;4)),X23,"")</f>
        <v/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110</v>
      </c>
      <c r="AC23" s="9">
        <f>COUNTIF(L23:Q23,"&lt;=8")</f>
        <v>0</v>
      </c>
      <c r="AD23" s="9">
        <f>MIN(L23:Q23)</f>
        <v>12</v>
      </c>
    </row>
    <row r="24" spans="1:30" x14ac:dyDescent="0.2">
      <c r="A24" s="7" t="s">
        <v>93</v>
      </c>
      <c r="B24" s="6" t="s">
        <v>52</v>
      </c>
      <c r="E24" s="3">
        <f>IF(AA24="","",RANK(AA24,AA:AA))</f>
        <v>9</v>
      </c>
      <c r="F24" s="6">
        <v>26</v>
      </c>
      <c r="G24" s="6">
        <v>16</v>
      </c>
      <c r="H24" s="6">
        <v>68</v>
      </c>
      <c r="I24" s="6">
        <v>18</v>
      </c>
      <c r="J24" s="6">
        <v>18</v>
      </c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23</v>
      </c>
      <c r="M24" s="9">
        <f>IF(OR($C24&lt;&gt;"",$D24&lt;&gt;"",G24=""),"",G24-SUMPRODUCT(--($C$3:$C$102="P"),--(G$3:G$102&lt;G24),--(G$3:G$102&lt;&gt;""))-SUMPRODUCT(--($D$3:$D$102="P"),--(G$3:G$102&lt;G24),--(G$3:G$102&lt;&gt;"")))</f>
        <v>14</v>
      </c>
      <c r="N24" s="9">
        <f>IF(OR($C24&lt;&gt;"",$D24&lt;&gt;"",H24=""),"",H24-SUMPRODUCT(--($C$3:$C$102="P"),--(H$3:H$102&lt;H24),--(H$3:H$102&lt;&gt;""))-SUMPRODUCT(--($D$3:$D$102="P"),--(H$3:H$102&lt;H24),--(H$3:H$102&lt;&gt;"")))</f>
        <v>63</v>
      </c>
      <c r="O24" s="9">
        <f>IF(OR($C24&lt;&gt;"",$D24&lt;&gt;"",I24=""),"",I24-SUMPRODUCT(--($C$3:$C$102="P"),--(I$3:I$102&lt;I24),--(I$3:I$102&lt;&gt;""))-SUMPRODUCT(--($D$3:$D$102="P"),--(I$3:I$102&lt;I24),--(I$3:I$102&lt;&gt;"")))</f>
        <v>14</v>
      </c>
      <c r="P24" s="9">
        <f>IF(OR($C24&lt;&gt;"",$D24&lt;&gt;"",J24=""),"",J24-SUMPRODUCT(--($C$3:$C$102="P"),--(J$3:J$102&lt;J24),--(J$3:J$102&lt;&gt;""))-SUMPRODUCT(--($D$3:$D$102="P"),--(J$3:J$102&lt;J24),--(J$3:J$102&lt;&gt;"")))</f>
        <v>16</v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9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8</v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17</v>
      </c>
      <c r="T24" s="9" t="str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/>
      </c>
      <c r="U24" s="9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>17</v>
      </c>
      <c r="V24" s="9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>15</v>
      </c>
      <c r="W24" s="9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4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57.088409859999999</v>
      </c>
      <c r="Y24" s="2" t="str">
        <f>IF(OR(X24="",X24=0),"",IF(SUMPRODUCT(--(B$3:B$102=B24),--(X$3:X$102&gt;X24),--(X$3:X$102&lt;&gt;"")),"","P"))</f>
        <v>P</v>
      </c>
      <c r="Z24" s="2" t="str">
        <f>IF(X24="","",IF(SUMPRODUCT(--(C$3:C$102="P"),--(B$3:B$102=B24)),"P",""))</f>
        <v/>
      </c>
      <c r="AA24" s="14">
        <f>IF(AND(Y24&lt;&gt;"",OR(Z24="",SUMPRODUCT(--(X$3:X$102&gt;X24),--(Z$3:Z$102="P"),--(Y$3:Y$102="P"))&lt;4)),X24,"")</f>
        <v>57.088409859999999</v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116</v>
      </c>
      <c r="AC24" s="9">
        <f>COUNTIF(L24:Q24,"&lt;=8")</f>
        <v>0</v>
      </c>
      <c r="AD24" s="9">
        <f>MIN(L24:Q24)</f>
        <v>14</v>
      </c>
    </row>
    <row r="25" spans="1:30" x14ac:dyDescent="0.2">
      <c r="A25" s="7" t="s">
        <v>92</v>
      </c>
      <c r="B25" s="6" t="s">
        <v>17</v>
      </c>
      <c r="E25" s="3">
        <f>IF(AA25="","",RANK(AA25,AA:AA))</f>
        <v>10</v>
      </c>
      <c r="F25" s="6">
        <v>25</v>
      </c>
      <c r="G25" s="6">
        <v>15</v>
      </c>
      <c r="H25" s="6">
        <v>18</v>
      </c>
      <c r="I25" s="6">
        <v>28</v>
      </c>
      <c r="J25" s="6">
        <v>38</v>
      </c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22</v>
      </c>
      <c r="M25" s="9">
        <f>IF(OR($C25&lt;&gt;"",$D25&lt;&gt;"",G25=""),"",G25-SUMPRODUCT(--($C$3:$C$102="P"),--(G$3:G$102&lt;G25),--(G$3:G$102&lt;&gt;""))-SUMPRODUCT(--($D$3:$D$102="P"),--(G$3:G$102&lt;G25),--(G$3:G$102&lt;&gt;"")))</f>
        <v>13</v>
      </c>
      <c r="N25" s="9">
        <f>IF(OR($C25&lt;&gt;"",$D25&lt;&gt;"",H25=""),"",H25-SUMPRODUCT(--($C$3:$C$102="P"),--(H$3:H$102&lt;H25),--(H$3:H$102&lt;&gt;""))-SUMPRODUCT(--($D$3:$D$102="P"),--(H$3:H$102&lt;H25),--(H$3:H$102&lt;&gt;"")))</f>
        <v>14</v>
      </c>
      <c r="O25" s="9">
        <f>IF(OR($C25&lt;&gt;"",$D25&lt;&gt;"",I25=""),"",I25-SUMPRODUCT(--($C$3:$C$102="P"),--(I$3:I$102&lt;I25),--(I$3:I$102&lt;&gt;""))-SUMPRODUCT(--($D$3:$D$102="P"),--(I$3:I$102&lt;I25),--(I$3:I$102&lt;&gt;"")))</f>
        <v>23</v>
      </c>
      <c r="P25" s="9">
        <f>IF(OR($C25&lt;&gt;"",$D25&lt;&gt;"",J25=""),"",J25-SUMPRODUCT(--($C$3:$C$102="P"),--(J$3:J$102&lt;J25),--(J$3:J$102&lt;&gt;""))-SUMPRODUCT(--($D$3:$D$102="P"),--(J$3:J$102&lt;J25),--(J$3:J$102&lt;&gt;"")))</f>
        <v>36</v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9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9</v>
      </c>
      <c r="S25" s="9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>18</v>
      </c>
      <c r="T25" s="9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17</v>
      </c>
      <c r="U25" s="9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8</v>
      </c>
      <c r="V25" s="9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4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52.090509869999998</v>
      </c>
      <c r="Y25" s="2" t="str">
        <f>IF(OR(X25="",X25=0),"",IF(SUMPRODUCT(--(B$3:B$102=B25),--(X$3:X$102&gt;X25),--(X$3:X$102&lt;&gt;"")),"","P"))</f>
        <v>P</v>
      </c>
      <c r="Z25" s="2" t="str">
        <f>IF(X25="","",IF(SUMPRODUCT(--(C$3:C$102="P"),--(B$3:B$102=B25)),"P",""))</f>
        <v/>
      </c>
      <c r="AA25" s="14">
        <f>IF(AND(Y25&lt;&gt;"",OR(Z25="",SUMPRODUCT(--(X$3:X$102&gt;X25),--(Z$3:Z$102="P"),--(Y$3:Y$102="P"))&lt;4)),X25,"")</f>
        <v>52.090509869999998</v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95</v>
      </c>
      <c r="AC25" s="9">
        <f>COUNTIF(L25:Q25,"&lt;=8")</f>
        <v>0</v>
      </c>
      <c r="AD25" s="9">
        <f>MIN(L25:Q25)</f>
        <v>13</v>
      </c>
    </row>
    <row r="26" spans="1:30" x14ac:dyDescent="0.2">
      <c r="A26" s="7" t="s">
        <v>120</v>
      </c>
      <c r="B26" s="6" t="s">
        <v>108</v>
      </c>
      <c r="E26" s="3">
        <f>IF(AA26="","",RANK(AA26,AA:AA))</f>
        <v>11</v>
      </c>
      <c r="F26" s="6">
        <v>68</v>
      </c>
      <c r="G26" s="6">
        <v>24</v>
      </c>
      <c r="H26" s="6">
        <v>17</v>
      </c>
      <c r="I26" s="6">
        <v>35</v>
      </c>
      <c r="J26" s="6">
        <v>15</v>
      </c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63</v>
      </c>
      <c r="M26" s="9">
        <f>IF(OR($C26&lt;&gt;"",$D26&lt;&gt;"",G26=""),"",G26-SUMPRODUCT(--($C$3:$C$102="P"),--(G$3:G$102&lt;G26),--(G$3:G$102&lt;&gt;""))-SUMPRODUCT(--($D$3:$D$102="P"),--(G$3:G$102&lt;G26),--(G$3:G$102&lt;&gt;"")))</f>
        <v>22</v>
      </c>
      <c r="N26" s="9">
        <f>IF(OR($C26&lt;&gt;"",$D26&lt;&gt;"",H26=""),"",H26-SUMPRODUCT(--($C$3:$C$102="P"),--(H$3:H$102&lt;H26),--(H$3:H$102&lt;&gt;""))-SUMPRODUCT(--($D$3:$D$102="P"),--(H$3:H$102&lt;H26),--(H$3:H$102&lt;&gt;"")))</f>
        <v>13</v>
      </c>
      <c r="O26" s="9">
        <f>IF(OR($C26&lt;&gt;"",$D26&lt;&gt;"",I26=""),"",I26-SUMPRODUCT(--($C$3:$C$102="P"),--(I$3:I$102&lt;I26),--(I$3:I$102&lt;&gt;""))-SUMPRODUCT(--($D$3:$D$102="P"),--(I$3:I$102&lt;I26),--(I$3:I$102&lt;&gt;"")))</f>
        <v>30</v>
      </c>
      <c r="P26" s="9">
        <f>IF(OR($C26&lt;&gt;"",$D26&lt;&gt;"",J26=""),"",J26-SUMPRODUCT(--($C$3:$C$102="P"),--(J$3:J$102&lt;J26),--(J$3:J$102&lt;&gt;""))-SUMPRODUCT(--($D$3:$D$102="P"),--(J$3:J$102&lt;J26),--(J$3:J$102&lt;&gt;"")))</f>
        <v>13</v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9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S26" s="9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>9</v>
      </c>
      <c r="T26" s="9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18</v>
      </c>
      <c r="U26" s="9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</v>
      </c>
      <c r="V26" s="9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>18</v>
      </c>
      <c r="W26" s="9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4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46.087209870000002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/>
      </c>
      <c r="AA26" s="14">
        <f>IF(AND(Y26&lt;&gt;"",OR(Z26="",SUMPRODUCT(--(X$3:X$102&gt;X26),--(Z$3:Z$102="P"),--(Y$3:Y$102="P"))&lt;4)),X26,"")</f>
        <v>46.087209870000002</v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128</v>
      </c>
      <c r="AC26" s="9">
        <f>COUNTIF(L26:Q26,"&lt;=8")</f>
        <v>0</v>
      </c>
      <c r="AD26" s="9">
        <f>MIN(L26:Q26)</f>
        <v>13</v>
      </c>
    </row>
    <row r="27" spans="1:30" x14ac:dyDescent="0.2">
      <c r="A27" s="7" t="s">
        <v>171</v>
      </c>
      <c r="B27" s="6" t="s">
        <v>54</v>
      </c>
      <c r="E27" s="3">
        <f>IF(AA27="","",RANK(AA27,AA:AA))</f>
        <v>12</v>
      </c>
      <c r="F27" s="6">
        <v>56</v>
      </c>
      <c r="G27" s="6">
        <v>76</v>
      </c>
      <c r="H27" s="6">
        <v>27</v>
      </c>
      <c r="I27" s="6">
        <v>26</v>
      </c>
      <c r="J27" s="6">
        <v>14</v>
      </c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53</v>
      </c>
      <c r="M27" s="9">
        <f>IF(OR($C27&lt;&gt;"",$D27&lt;&gt;"",G27=""),"",G27-SUMPRODUCT(--($C$3:$C$102="P"),--(G$3:G$102&lt;G27),--(G$3:G$102&lt;&gt;""))-SUMPRODUCT(--($D$3:$D$102="P"),--(G$3:G$102&lt;G27),--(G$3:G$102&lt;&gt;"")))</f>
        <v>72</v>
      </c>
      <c r="N27" s="9">
        <f>IF(OR($C27&lt;&gt;"",$D27&lt;&gt;"",H27=""),"",H27-SUMPRODUCT(--($C$3:$C$102="P"),--(H$3:H$102&lt;H27),--(H$3:H$102&lt;&gt;""))-SUMPRODUCT(--($D$3:$D$102="P"),--(H$3:H$102&lt;H27),--(H$3:H$102&lt;&gt;"")))</f>
        <v>23</v>
      </c>
      <c r="O27" s="9">
        <f>IF(OR($C27&lt;&gt;"",$D27&lt;&gt;"",I27=""),"",I27-SUMPRODUCT(--($C$3:$C$102="P"),--(I$3:I$102&lt;I27),--(I$3:I$102&lt;&gt;""))-SUMPRODUCT(--($D$3:$D$102="P"),--(I$3:I$102&lt;I27),--(I$3:I$102&lt;&gt;"")))</f>
        <v>21</v>
      </c>
      <c r="P27" s="9">
        <f>IF(OR($C27&lt;&gt;"",$D27&lt;&gt;"",J27=""),"",J27-SUMPRODUCT(--($C$3:$C$102="P"),--(J$3:J$102&lt;J27),--(J$3:J$102&lt;&gt;""))-SUMPRODUCT(--($D$3:$D$102="P"),--(J$3:J$102&lt;J27),--(J$3:J$102&lt;&gt;"")))</f>
        <v>12</v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9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S27" s="9" t="str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/>
      </c>
      <c r="T27" s="9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8</v>
      </c>
      <c r="U27" s="9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>10</v>
      </c>
      <c r="V27" s="9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>19</v>
      </c>
      <c r="W27" s="9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4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37.083109880000002</v>
      </c>
      <c r="Y27" s="2" t="str">
        <f>IF(OR(X27="",X27=0),"",IF(SUMPRODUCT(--(B$3:B$102=B27),--(X$3:X$102&gt;X27),--(X$3:X$102&lt;&gt;"")),"","P"))</f>
        <v>P</v>
      </c>
      <c r="Z27" s="2" t="str">
        <f>IF(X27="","",IF(SUMPRODUCT(--(C$3:C$102="P"),--(B$3:B$102=B27)),"P",""))</f>
        <v/>
      </c>
      <c r="AA27" s="14">
        <f>IF(AND(Y27&lt;&gt;"",OR(Z27="",SUMPRODUCT(--(X$3:X$102&gt;X27),--(Z$3:Z$102="P"),--(Y$3:Y$102="P"))&lt;4)),X27,"")</f>
        <v>37.083109880000002</v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169</v>
      </c>
      <c r="AC27" s="9">
        <f>COUNTIF(L27:Q27,"&lt;=8")</f>
        <v>0</v>
      </c>
      <c r="AD27" s="9">
        <f>MIN(L27:Q27)</f>
        <v>12</v>
      </c>
    </row>
    <row r="28" spans="1:30" x14ac:dyDescent="0.2">
      <c r="A28" s="7" t="s">
        <v>87</v>
      </c>
      <c r="B28" s="6" t="s">
        <v>24</v>
      </c>
      <c r="E28" s="3">
        <f>IF(AA28="","",RANK(AA28,AA:AA))</f>
        <v>13</v>
      </c>
      <c r="F28" s="6">
        <v>20</v>
      </c>
      <c r="G28" s="6">
        <v>90</v>
      </c>
      <c r="H28" s="6">
        <v>25</v>
      </c>
      <c r="I28" s="6">
        <v>24</v>
      </c>
      <c r="J28" s="6"/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17</v>
      </c>
      <c r="M28" s="9">
        <f>IF(OR($C28&lt;&gt;"",$D28&lt;&gt;"",G28=""),"",G28-SUMPRODUCT(--($C$3:$C$102="P"),--(G$3:G$102&lt;G28),--(G$3:G$102&lt;&gt;""))-SUMPRODUCT(--($D$3:$D$102="P"),--(G$3:G$102&lt;G28),--(G$3:G$102&lt;&gt;"")))</f>
        <v>86</v>
      </c>
      <c r="N28" s="9">
        <f>IF(OR($C28&lt;&gt;"",$D28&lt;&gt;"",H28=""),"",H28-SUMPRODUCT(--($C$3:$C$102="P"),--(H$3:H$102&lt;H28),--(H$3:H$102&lt;&gt;""))-SUMPRODUCT(--($D$3:$D$102="P"),--(H$3:H$102&lt;H28),--(H$3:H$102&lt;&gt;"")))</f>
        <v>21</v>
      </c>
      <c r="O28" s="9">
        <f>IF(OR($C28&lt;&gt;"",$D28&lt;&gt;"",I28=""),"",I28-SUMPRODUCT(--($C$3:$C$102="P"),--(I$3:I$102&lt;I28),--(I$3:I$102&lt;&gt;""))-SUMPRODUCT(--($D$3:$D$102="P"),--(I$3:I$102&lt;I28),--(I$3:I$102&lt;&gt;"")))</f>
        <v>19</v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9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14</v>
      </c>
      <c r="S28" s="9" t="str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/>
      </c>
      <c r="T28" s="9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10</v>
      </c>
      <c r="U28" s="9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>12</v>
      </c>
      <c r="V28" s="9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4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36.085709830000006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/>
      </c>
      <c r="AA28" s="14">
        <f>IF(AND(Y28&lt;&gt;"",OR(Z28="",SUMPRODUCT(--(X$3:X$102&gt;X28),--(Z$3:Z$102="P"),--(Y$3:Y$102="P"))&lt;4)),X28,"")</f>
        <v>36.085709830000006</v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143</v>
      </c>
      <c r="AC28" s="9">
        <f>COUNTIF(L28:Q28,"&lt;=8")</f>
        <v>0</v>
      </c>
      <c r="AD28" s="9">
        <f>MIN(L28:Q28)</f>
        <v>17</v>
      </c>
    </row>
    <row r="29" spans="1:30" x14ac:dyDescent="0.2">
      <c r="A29" s="7" t="s">
        <v>94</v>
      </c>
      <c r="B29" s="6" t="s">
        <v>57</v>
      </c>
      <c r="E29" s="3">
        <f>IF(AA29="","",RANK(AA29,AA:AA))</f>
        <v>14</v>
      </c>
      <c r="F29" s="6">
        <v>27</v>
      </c>
      <c r="G29" s="6">
        <v>84</v>
      </c>
      <c r="H29" s="6">
        <v>28</v>
      </c>
      <c r="I29" s="6">
        <v>29</v>
      </c>
      <c r="J29" s="6">
        <v>20</v>
      </c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24</v>
      </c>
      <c r="M29" s="9">
        <f>IF(OR($C29&lt;&gt;"",$D29&lt;&gt;"",G29=""),"",G29-SUMPRODUCT(--($C$3:$C$102="P"),--(G$3:G$102&lt;G29),--(G$3:G$102&lt;&gt;""))-SUMPRODUCT(--($D$3:$D$102="P"),--(G$3:G$102&lt;G29),--(G$3:G$102&lt;&gt;"")))</f>
        <v>80</v>
      </c>
      <c r="N29" s="9">
        <f>IF(OR($C29&lt;&gt;"",$D29&lt;&gt;"",H29=""),"",H29-SUMPRODUCT(--($C$3:$C$102="P"),--(H$3:H$102&lt;H29),--(H$3:H$102&lt;&gt;""))-SUMPRODUCT(--($D$3:$D$102="P"),--(H$3:H$102&lt;H29),--(H$3:H$102&lt;&gt;"")))</f>
        <v>24</v>
      </c>
      <c r="O29" s="9">
        <f>IF(OR($C29&lt;&gt;"",$D29&lt;&gt;"",I29=""),"",I29-SUMPRODUCT(--($C$3:$C$102="P"),--(I$3:I$102&lt;I29),--(I$3:I$102&lt;&gt;""))-SUMPRODUCT(--($D$3:$D$102="P"),--(I$3:I$102&lt;I29),--(I$3:I$102&lt;&gt;"")))</f>
        <v>24</v>
      </c>
      <c r="P29" s="9">
        <f>IF(OR($C29&lt;&gt;"",$D29&lt;&gt;"",J29=""),"",J29-SUMPRODUCT(--($C$3:$C$102="P"),--(J$3:J$102&lt;J29),--(J$3:J$102&lt;&gt;""))-SUMPRODUCT(--($D$3:$D$102="P"),--(J$3:J$102&lt;J29),--(J$3:J$102&lt;&gt;"")))</f>
        <v>18</v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9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7</v>
      </c>
      <c r="S29" s="9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9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>7</v>
      </c>
      <c r="U29" s="9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7</v>
      </c>
      <c r="V29" s="9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>13</v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4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34.084809820000004</v>
      </c>
      <c r="Y29" s="2" t="str">
        <f>IF(OR(X29="",X29=0),"",IF(SUMPRODUCT(--(B$3:B$102=B29),--(X$3:X$102&gt;X29),--(X$3:X$102&lt;&gt;"")),"","P"))</f>
        <v>P</v>
      </c>
      <c r="Z29" s="2" t="str">
        <f>IF(X29="","",IF(SUMPRODUCT(--(C$3:C$102="P"),--(B$3:B$102=B29)),"P",""))</f>
        <v/>
      </c>
      <c r="AA29" s="14">
        <f>IF(AND(Y29&lt;&gt;"",OR(Z29="",SUMPRODUCT(--(X$3:X$102&gt;X29),--(Z$3:Z$102="P"),--(Y$3:Y$102="P"))&lt;4)),X29,"")</f>
        <v>34.084809820000004</v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152</v>
      </c>
      <c r="AC29" s="9">
        <f>COUNTIF(L29:Q29,"&lt;=8")</f>
        <v>0</v>
      </c>
      <c r="AD29" s="9">
        <f>MIN(L29:Q29)</f>
        <v>18</v>
      </c>
    </row>
    <row r="30" spans="1:30" x14ac:dyDescent="0.2">
      <c r="A30" s="7" t="s">
        <v>90</v>
      </c>
      <c r="B30" s="6" t="s">
        <v>57</v>
      </c>
      <c r="E30" s="3" t="str">
        <f>IF(AA30="","",RANK(AA30,AA:AA))</f>
        <v/>
      </c>
      <c r="F30" s="6">
        <v>23</v>
      </c>
      <c r="G30" s="6">
        <v>27</v>
      </c>
      <c r="H30" s="6">
        <v>30</v>
      </c>
      <c r="I30" s="6">
        <v>34</v>
      </c>
      <c r="J30" s="6">
        <v>22</v>
      </c>
      <c r="K30" s="6"/>
      <c r="L30" s="9">
        <f>IF(OR($C30&lt;&gt;"",$D30&lt;&gt;"",F30=""),"",F30-SUMPRODUCT(--($C$3:$C$102="P"),--(F$3:F$102&lt;F30),--(F$3:F$102&lt;&gt;""))-SUMPRODUCT(--($D$3:$D$102="P"),--(F$3:F$102&lt;F30),--(F$3:F$102&lt;&gt;"")))</f>
        <v>20</v>
      </c>
      <c r="M30" s="9">
        <f>IF(OR($C30&lt;&gt;"",$D30&lt;&gt;"",G30=""),"",G30-SUMPRODUCT(--($C$3:$C$102="P"),--(G$3:G$102&lt;G30),--(G$3:G$102&lt;&gt;""))-SUMPRODUCT(--($D$3:$D$102="P"),--(G$3:G$102&lt;G30),--(G$3:G$102&lt;&gt;"")))</f>
        <v>25</v>
      </c>
      <c r="N30" s="9">
        <f>IF(OR($C30&lt;&gt;"",$D30&lt;&gt;"",H30=""),"",H30-SUMPRODUCT(--($C$3:$C$102="P"),--(H$3:H$102&lt;H30),--(H$3:H$102&lt;&gt;""))-SUMPRODUCT(--($D$3:$D$102="P"),--(H$3:H$102&lt;H30),--(H$3:H$102&lt;&gt;"")))</f>
        <v>26</v>
      </c>
      <c r="O30" s="9">
        <f>IF(OR($C30&lt;&gt;"",$D30&lt;&gt;"",I30=""),"",I30-SUMPRODUCT(--($C$3:$C$102="P"),--(I$3:I$102&lt;I30),--(I$3:I$102&lt;&gt;""))-SUMPRODUCT(--($D$3:$D$102="P"),--(I$3:I$102&lt;I30),--(I$3:I$102&lt;&gt;"")))</f>
        <v>29</v>
      </c>
      <c r="P30" s="9">
        <f>IF(OR($C30&lt;&gt;"",$D30&lt;&gt;"",J30=""),"",J30-SUMPRODUCT(--($C$3:$C$102="P"),--(J$3:J$102&lt;J30),--(J$3:J$102&lt;&gt;""))-SUMPRODUCT(--($D$3:$D$102="P"),--(J$3:J$102&lt;J30),--(J$3:J$102&lt;&gt;"")))</f>
        <v>20</v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9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>11</v>
      </c>
      <c r="S30" s="9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6</v>
      </c>
      <c r="T30" s="9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>5</v>
      </c>
      <c r="U30" s="9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>2</v>
      </c>
      <c r="V30" s="9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>11</v>
      </c>
      <c r="W30" s="9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4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33.090009800000004</v>
      </c>
      <c r="Y30" s="2" t="str">
        <f>IF(OR(X30="",X30=0),"",IF(SUMPRODUCT(--(B$3:B$102=B30),--(X$3:X$102&gt;X30),--(X$3:X$102&lt;&gt;"")),"","P"))</f>
        <v/>
      </c>
      <c r="Z30" s="2" t="str">
        <f>IF(X30="","",IF(SUMPRODUCT(--(C$3:C$102="P"),--(B$3:B$102=B30)),"P",""))</f>
        <v/>
      </c>
      <c r="AA30" s="14" t="str">
        <f>IF(AND(Y30&lt;&gt;"",OR(Z30="",SUMPRODUCT(--(X$3:X$102&gt;X30),--(Z$3:Z$102="P"),--(Y$3:Y$102="P"))&lt;4)),X30,"")</f>
        <v/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100</v>
      </c>
      <c r="AC30" s="9">
        <f>COUNTIF(L30:Q30,"&lt;=8")</f>
        <v>0</v>
      </c>
      <c r="AD30" s="9">
        <f>MIN(L30:Q30)</f>
        <v>20</v>
      </c>
    </row>
    <row r="31" spans="1:30" x14ac:dyDescent="0.2">
      <c r="A31" s="7" t="s">
        <v>127</v>
      </c>
      <c r="B31" s="6" t="s">
        <v>51</v>
      </c>
      <c r="E31" s="3">
        <f>IF(AA31="","",RANK(AA31,AA:AA))</f>
        <v>15</v>
      </c>
      <c r="F31" s="6">
        <v>64</v>
      </c>
      <c r="G31" s="6">
        <v>30</v>
      </c>
      <c r="H31" s="6"/>
      <c r="I31" s="6">
        <v>13</v>
      </c>
      <c r="J31" s="6">
        <v>24</v>
      </c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60</v>
      </c>
      <c r="M31" s="9">
        <f>IF(OR($C31&lt;&gt;"",$D31&lt;&gt;"",G31=""),"",G31-SUMPRODUCT(--($C$3:$C$102="P"),--(G$3:G$102&lt;G31),--(G$3:G$102&lt;&gt;""))-SUMPRODUCT(--($D$3:$D$102="P"),--(G$3:G$102&lt;G31),--(G$3:G$102&lt;&gt;"")))</f>
        <v>28</v>
      </c>
      <c r="N31" s="9" t="str">
        <f>IF(OR($C31&lt;&gt;"",$D31&lt;&gt;"",H31=""),"",H31-SUMPRODUCT(--($C$3:$C$102="P"),--(H$3:H$102&lt;H31),--(H$3:H$102&lt;&gt;""))-SUMPRODUCT(--($D$3:$D$102="P"),--(H$3:H$102&lt;H31),--(H$3:H$102&lt;&gt;"")))</f>
        <v/>
      </c>
      <c r="O31" s="9">
        <f>IF(OR($C31&lt;&gt;"",$D31&lt;&gt;"",I31=""),"",I31-SUMPRODUCT(--($C$3:$C$102="P"),--(I$3:I$102&lt;I31),--(I$3:I$102&lt;&gt;""))-SUMPRODUCT(--($D$3:$D$102="P"),--(I$3:I$102&lt;I31),--(I$3:I$102&lt;&gt;"")))</f>
        <v>10</v>
      </c>
      <c r="P31" s="9">
        <f>IF(OR($C31&lt;&gt;"",$D31&lt;&gt;"",J31=""),"",J31-SUMPRODUCT(--($C$3:$C$102="P"),--(J$3:J$102&lt;J31),--(J$3:J$102&lt;&gt;""))-SUMPRODUCT(--($D$3:$D$102="P"),--(J$3:J$102&lt;J31),--(J$3:J$102&lt;&gt;"")))</f>
        <v>22</v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9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3</v>
      </c>
      <c r="T31" s="9" t="str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/>
      </c>
      <c r="U31" s="9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21</v>
      </c>
      <c r="V31" s="9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>9</v>
      </c>
      <c r="W31" s="9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4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33.088009900000003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/>
      </c>
      <c r="AA31" s="14">
        <f>IF(AND(Y31&lt;&gt;"",OR(Z31="",SUMPRODUCT(--(X$3:X$102&gt;X31),--(Z$3:Z$102="P"),--(Y$3:Y$102="P"))&lt;4)),X31,"")</f>
        <v>33.088009900000003</v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120</v>
      </c>
      <c r="AC31" s="9">
        <f>COUNTIF(L31:Q31,"&lt;=8")</f>
        <v>0</v>
      </c>
      <c r="AD31" s="9">
        <f>MIN(L31:Q31)</f>
        <v>10</v>
      </c>
    </row>
    <row r="32" spans="1:30" x14ac:dyDescent="0.2">
      <c r="A32" s="7" t="s">
        <v>89</v>
      </c>
      <c r="B32" s="6" t="s">
        <v>59</v>
      </c>
      <c r="E32" s="3" t="str">
        <f>IF(AA32="","",RANK(AA32,AA:AA))</f>
        <v/>
      </c>
      <c r="F32" s="6">
        <v>22</v>
      </c>
      <c r="G32" s="6">
        <v>14</v>
      </c>
      <c r="H32" s="6">
        <v>49</v>
      </c>
      <c r="I32" s="6">
        <v>77</v>
      </c>
      <c r="J32" s="6">
        <v>52</v>
      </c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19</v>
      </c>
      <c r="M32" s="9">
        <f>IF(OR($C32&lt;&gt;"",$D32&lt;&gt;"",G32=""),"",G32-SUMPRODUCT(--($C$3:$C$102="P"),--(G$3:G$102&lt;G32),--(G$3:G$102&lt;&gt;""))-SUMPRODUCT(--($D$3:$D$102="P"),--(G$3:G$102&lt;G32),--(G$3:G$102&lt;&gt;"")))</f>
        <v>12</v>
      </c>
      <c r="N32" s="9">
        <f>IF(OR($C32&lt;&gt;"",$D32&lt;&gt;"",H32=""),"",H32-SUMPRODUCT(--($C$3:$C$102="P"),--(H$3:H$102&lt;H32),--(H$3:H$102&lt;&gt;""))-SUMPRODUCT(--($D$3:$D$102="P"),--(H$3:H$102&lt;H32),--(H$3:H$102&lt;&gt;"")))</f>
        <v>45</v>
      </c>
      <c r="O32" s="9">
        <f>IF(OR($C32&lt;&gt;"",$D32&lt;&gt;"",I32=""),"",I32-SUMPRODUCT(--($C$3:$C$102="P"),--(I$3:I$102&lt;I32),--(I$3:I$102&lt;&gt;""))-SUMPRODUCT(--($D$3:$D$102="P"),--(I$3:I$102&lt;I32),--(I$3:I$102&lt;&gt;"")))</f>
        <v>72</v>
      </c>
      <c r="P32" s="9">
        <f>IF(OR($C32&lt;&gt;"",$D32&lt;&gt;"",J32=""),"",J32-SUMPRODUCT(--($C$3:$C$102="P"),--(J$3:J$102&lt;J32),--(J$3:J$102&lt;&gt;""))-SUMPRODUCT(--($D$3:$D$102="P"),--(J$3:J$102&lt;J32),--(J$3:J$102&lt;&gt;"")))</f>
        <v>49</v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9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>12</v>
      </c>
      <c r="S32" s="9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>19</v>
      </c>
      <c r="T32" s="9" t="str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/>
      </c>
      <c r="U32" s="9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9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4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31.081509879999999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4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185</v>
      </c>
      <c r="AC32" s="9">
        <f>COUNTIF(L32:Q32,"&lt;=8")</f>
        <v>0</v>
      </c>
      <c r="AD32" s="9">
        <f>MIN(L32:Q32)</f>
        <v>12</v>
      </c>
    </row>
    <row r="33" spans="1:30" x14ac:dyDescent="0.2">
      <c r="A33" s="7" t="s">
        <v>170</v>
      </c>
      <c r="B33" s="6" t="s">
        <v>55</v>
      </c>
      <c r="E33" s="3">
        <f>IF(AA33="","",RANK(AA33,AA:AA))</f>
        <v>16</v>
      </c>
      <c r="F33" s="6"/>
      <c r="G33" s="6"/>
      <c r="H33" s="6">
        <v>23</v>
      </c>
      <c r="I33" s="6">
        <v>22</v>
      </c>
      <c r="J33" s="6">
        <v>31</v>
      </c>
      <c r="K33" s="6"/>
      <c r="L33" s="9" t="str">
        <f>IF(OR($C33&lt;&gt;"",$D33&lt;&gt;"",F33=""),"",F33-SUMPRODUCT(--($C$3:$C$102="P"),--(F$3:F$102&lt;F33),--(F$3:F$102&lt;&gt;""))-SUMPRODUCT(--($D$3:$D$102="P"),--(F$3:F$102&lt;F33),--(F$3:F$102&lt;&gt;"")))</f>
        <v/>
      </c>
      <c r="M33" s="9" t="str">
        <f>IF(OR($C33&lt;&gt;"",$D33&lt;&gt;"",G33=""),"",G33-SUMPRODUCT(--($C$3:$C$102="P"),--(G$3:G$102&lt;G33),--(G$3:G$102&lt;&gt;""))-SUMPRODUCT(--($D$3:$D$102="P"),--(G$3:G$102&lt;G33),--(G$3:G$102&lt;&gt;"")))</f>
        <v/>
      </c>
      <c r="N33" s="9">
        <f>IF(OR($C33&lt;&gt;"",$D33&lt;&gt;"",H33=""),"",H33-SUMPRODUCT(--($C$3:$C$102="P"),--(H$3:H$102&lt;H33),--(H$3:H$102&lt;&gt;""))-SUMPRODUCT(--($D$3:$D$102="P"),--(H$3:H$102&lt;H33),--(H$3:H$102&lt;&gt;"")))</f>
        <v>19</v>
      </c>
      <c r="O33" s="9">
        <f>IF(OR($C33&lt;&gt;"",$D33&lt;&gt;"",I33=""),"",I33-SUMPRODUCT(--($C$3:$C$102="P"),--(I$3:I$102&lt;I33),--(I$3:I$102&lt;&gt;""))-SUMPRODUCT(--($D$3:$D$102="P"),--(I$3:I$102&lt;I33),--(I$3:I$102&lt;&gt;"")))</f>
        <v>17</v>
      </c>
      <c r="P33" s="9">
        <f>IF(OR($C33&lt;&gt;"",$D33&lt;&gt;"",J33=""),"",J33-SUMPRODUCT(--($C$3:$C$102="P"),--(J$3:J$102&lt;J33),--(J$3:J$102&lt;&gt;""))-SUMPRODUCT(--($D$3:$D$102="P"),--(J$3:J$102&lt;J33),--(J$3:J$102&lt;&gt;"")))</f>
        <v>29</v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9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S33" s="9" t="str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/>
      </c>
      <c r="T33" s="9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>12</v>
      </c>
      <c r="U33" s="9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>14</v>
      </c>
      <c r="V33" s="9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>2</v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4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28.093509829999999</v>
      </c>
      <c r="Y33" s="2" t="str">
        <f>IF(OR(X33="",X33=0),"",IF(SUMPRODUCT(--(B$3:B$102=B33),--(X$3:X$102&gt;X33),--(X$3:X$102&lt;&gt;"")),"","P"))</f>
        <v>P</v>
      </c>
      <c r="Z33" s="2" t="str">
        <f>IF(X33="","",IF(SUMPRODUCT(--(C$3:C$102="P"),--(B$3:B$102=B33)),"P",""))</f>
        <v/>
      </c>
      <c r="AA33" s="14">
        <f>IF(AND(Y33&lt;&gt;"",OR(Z33="",SUMPRODUCT(--(X$3:X$102&gt;X33),--(Z$3:Z$102="P"),--(Y$3:Y$102="P"))&lt;4)),X33,"")</f>
        <v>28.093509829999999</v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65</v>
      </c>
      <c r="AC33" s="9">
        <f>COUNTIF(L33:Q33,"&lt;=8")</f>
        <v>0</v>
      </c>
      <c r="AD33" s="9">
        <f>MIN(L33:Q33)</f>
        <v>17</v>
      </c>
    </row>
    <row r="34" spans="1:30" x14ac:dyDescent="0.2">
      <c r="A34" s="7" t="s">
        <v>88</v>
      </c>
      <c r="B34" s="6" t="s">
        <v>22</v>
      </c>
      <c r="E34" s="3" t="str">
        <f>IF(AA34="","",RANK(AA34,AA:AA))</f>
        <v/>
      </c>
      <c r="F34" s="6">
        <v>21</v>
      </c>
      <c r="G34" s="6">
        <v>23</v>
      </c>
      <c r="H34" s="6"/>
      <c r="I34" s="6"/>
      <c r="J34" s="6">
        <v>28</v>
      </c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18</v>
      </c>
      <c r="M34" s="9">
        <f>IF(OR($C34&lt;&gt;"",$D34&lt;&gt;"",G34=""),"",G34-SUMPRODUCT(--($C$3:$C$102="P"),--(G$3:G$102&lt;G34),--(G$3:G$102&lt;&gt;""))-SUMPRODUCT(--($D$3:$D$102="P"),--(G$3:G$102&lt;G34),--(G$3:G$102&lt;&gt;"")))</f>
        <v>21</v>
      </c>
      <c r="N34" s="9" t="str">
        <f>IF(OR($C34&lt;&gt;"",$D34&lt;&gt;"",H34=""),"",H34-SUMPRODUCT(--($C$3:$C$102="P"),--(H$3:H$102&lt;H34),--(H$3:H$102&lt;&gt;""))-SUMPRODUCT(--($D$3:$D$102="P"),--(H$3:H$102&lt;H34),--(H$3:H$102&lt;&gt;"")))</f>
        <v/>
      </c>
      <c r="O34" s="9" t="str">
        <f>IF(OR($C34&lt;&gt;"",$D34&lt;&gt;"",I34=""),"",I34-SUMPRODUCT(--($C$3:$C$102="P"),--(I$3:I$102&lt;I34),--(I$3:I$102&lt;&gt;""))-SUMPRODUCT(--($D$3:$D$102="P"),--(I$3:I$102&lt;I34),--(I$3:I$102&lt;&gt;"")))</f>
        <v/>
      </c>
      <c r="P34" s="9">
        <f>IF(OR($C34&lt;&gt;"",$D34&lt;&gt;"",J34=""),"",J34-SUMPRODUCT(--($C$3:$C$102="P"),--(J$3:J$102&lt;J34),--(J$3:J$102&lt;&gt;""))-SUMPRODUCT(--($D$3:$D$102="P"),--(J$3:J$102&lt;J34),--(J$3:J$102&lt;&gt;"")))</f>
        <v>26</v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9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>13</v>
      </c>
      <c r="S34" s="9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10</v>
      </c>
      <c r="T34" s="9" t="str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/>
      </c>
      <c r="U34" s="9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9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>5</v>
      </c>
      <c r="W34" s="9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4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28.093509819999998</v>
      </c>
      <c r="Y34" s="2" t="str">
        <f>IF(OR(X34="",X34=0),"",IF(SUMPRODUCT(--(B$3:B$102=B34),--(X$3:X$102&gt;X34),--(X$3:X$102&lt;&gt;"")),"","P"))</f>
        <v>P</v>
      </c>
      <c r="Z34" s="2" t="str">
        <f>IF(X34="","",IF(SUMPRODUCT(--(C$3:C$102="P"),--(B$3:B$102=B34)),"P",""))</f>
        <v>P</v>
      </c>
      <c r="AA34" s="14" t="str">
        <f>IF(AND(Y34&lt;&gt;"",OR(Z34="",SUMPRODUCT(--(X$3:X$102&gt;X34),--(Z$3:Z$102="P"),--(Y$3:Y$102="P"))&lt;4)),X34,"")</f>
        <v/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65</v>
      </c>
      <c r="AC34" s="9">
        <f>COUNTIF(L34:Q34,"&lt;=8")</f>
        <v>0</v>
      </c>
      <c r="AD34" s="9">
        <f>MIN(L34:Q34)</f>
        <v>18</v>
      </c>
    </row>
    <row r="35" spans="1:30" x14ac:dyDescent="0.2">
      <c r="A35" s="7" t="s">
        <v>185</v>
      </c>
      <c r="B35" s="6" t="s">
        <v>22</v>
      </c>
      <c r="E35" s="3" t="str">
        <f>IF(AA35="","",RANK(AA35,AA:AA))</f>
        <v/>
      </c>
      <c r="F35" s="6"/>
      <c r="G35" s="6">
        <v>51</v>
      </c>
      <c r="H35" s="6">
        <v>22</v>
      </c>
      <c r="I35" s="6">
        <v>21</v>
      </c>
      <c r="J35" s="6"/>
      <c r="K35" s="6"/>
      <c r="L35" s="9" t="str">
        <f>IF(OR($C35&lt;&gt;"",$D35&lt;&gt;"",F35=""),"",F35-SUMPRODUCT(--($C$3:$C$102="P"),--(F$3:F$102&lt;F35),--(F$3:F$102&lt;&gt;""))-SUMPRODUCT(--($D$3:$D$102="P"),--(F$3:F$102&lt;F35),--(F$3:F$102&lt;&gt;"")))</f>
        <v/>
      </c>
      <c r="M35" s="9">
        <f>IF(OR($C35&lt;&gt;"",$D35&lt;&gt;"",G35=""),"",G35-SUMPRODUCT(--($C$3:$C$102="P"),--(G$3:G$102&lt;G35),--(G$3:G$102&lt;&gt;""))-SUMPRODUCT(--($D$3:$D$102="P"),--(G$3:G$102&lt;G35),--(G$3:G$102&lt;&gt;"")))</f>
        <v>49</v>
      </c>
      <c r="N35" s="9">
        <f>IF(OR($C35&lt;&gt;"",$D35&lt;&gt;"",H35=""),"",H35-SUMPRODUCT(--($C$3:$C$102="P"),--(H$3:H$102&lt;H35),--(H$3:H$102&lt;&gt;""))-SUMPRODUCT(--($D$3:$D$102="P"),--(H$3:H$102&lt;H35),--(H$3:H$102&lt;&gt;"")))</f>
        <v>18</v>
      </c>
      <c r="O35" s="9">
        <f>IF(OR($C35&lt;&gt;"",$D35&lt;&gt;"",I35=""),"",I35-SUMPRODUCT(--($C$3:$C$102="P"),--(I$3:I$102&lt;I35),--(I$3:I$102&lt;&gt;""))-SUMPRODUCT(--($D$3:$D$102="P"),--(I$3:I$102&lt;I35),--(I$3:I$102&lt;&gt;"")))</f>
        <v>16</v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9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9" t="str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13</v>
      </c>
      <c r="U35" s="9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15</v>
      </c>
      <c r="V35" s="9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4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28.09170984</v>
      </c>
      <c r="Y35" s="2" t="str">
        <f>IF(OR(X35="",X35=0),"",IF(SUMPRODUCT(--(B$3:B$102=B35),--(X$3:X$102&gt;X35),--(X$3:X$102&lt;&gt;"")),"","P"))</f>
        <v/>
      </c>
      <c r="Z35" s="2" t="str">
        <f>IF(X35="","",IF(SUMPRODUCT(--(C$3:C$102="P"),--(B$3:B$102=B35)),"P",""))</f>
        <v>P</v>
      </c>
      <c r="AA35" s="14" t="str">
        <f>IF(AND(Y35&lt;&gt;"",OR(Z35="",SUMPRODUCT(--(X$3:X$102&gt;X35),--(Z$3:Z$102="P"),--(Y$3:Y$102="P"))&lt;4)),X35,"")</f>
        <v/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83</v>
      </c>
      <c r="AC35" s="9">
        <f>COUNTIF(L35:Q35,"&lt;=8")</f>
        <v>0</v>
      </c>
      <c r="AD35" s="9">
        <f>MIN(L35:Q35)</f>
        <v>16</v>
      </c>
    </row>
    <row r="36" spans="1:30" x14ac:dyDescent="0.2">
      <c r="A36" s="7" t="s">
        <v>169</v>
      </c>
      <c r="B36" s="6" t="s">
        <v>82</v>
      </c>
      <c r="E36" s="3" t="str">
        <f>IF(AA36="","",RANK(AA36,AA:AA))</f>
        <v/>
      </c>
      <c r="F36" s="6">
        <v>54</v>
      </c>
      <c r="G36" s="6"/>
      <c r="H36" s="6">
        <v>21</v>
      </c>
      <c r="I36" s="6">
        <v>64</v>
      </c>
      <c r="J36" s="6">
        <v>21</v>
      </c>
      <c r="K36" s="6"/>
      <c r="L36" s="9">
        <f>IF(OR($C36&lt;&gt;"",$D36&lt;&gt;"",F36=""),"",F36-SUMPRODUCT(--($C$3:$C$102="P"),--(F$3:F$102&lt;F36),--(F$3:F$102&lt;&gt;""))-SUMPRODUCT(--($D$3:$D$102="P"),--(F$3:F$102&lt;F36),--(F$3:F$102&lt;&gt;"")))</f>
        <v>51</v>
      </c>
      <c r="M36" s="9" t="str">
        <f>IF(OR($C36&lt;&gt;"",$D36&lt;&gt;"",G36=""),"",G36-SUMPRODUCT(--($C$3:$C$102="P"),--(G$3:G$102&lt;G36),--(G$3:G$102&lt;&gt;""))-SUMPRODUCT(--($D$3:$D$102="P"),--(G$3:G$102&lt;G36),--(G$3:G$102&lt;&gt;"")))</f>
        <v/>
      </c>
      <c r="N36" s="9">
        <f>IF(OR($C36&lt;&gt;"",$D36&lt;&gt;"",H36=""),"",H36-SUMPRODUCT(--($C$3:$C$102="P"),--(H$3:H$102&lt;H36),--(H$3:H$102&lt;&gt;""))-SUMPRODUCT(--($D$3:$D$102="P"),--(H$3:H$102&lt;H36),--(H$3:H$102&lt;&gt;"")))</f>
        <v>17</v>
      </c>
      <c r="O36" s="9">
        <f>IF(OR($C36&lt;&gt;"",$D36&lt;&gt;"",I36=""),"",I36-SUMPRODUCT(--($C$3:$C$102="P"),--(I$3:I$102&lt;I36),--(I$3:I$102&lt;&gt;""))-SUMPRODUCT(--($D$3:$D$102="P"),--(I$3:I$102&lt;I36),--(I$3:I$102&lt;&gt;"")))</f>
        <v>59</v>
      </c>
      <c r="P36" s="9">
        <f>IF(OR($C36&lt;&gt;"",$D36&lt;&gt;"",J36=""),"",J36-SUMPRODUCT(--($C$3:$C$102="P"),--(J$3:J$102&lt;J36),--(J$3:J$102&lt;&gt;""))-SUMPRODUCT(--($D$3:$D$102="P"),--(J$3:J$102&lt;J36),--(J$3:J$102&lt;&gt;"")))</f>
        <v>19</v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9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S36" s="9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9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>14</v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>12</v>
      </c>
      <c r="W36" s="9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4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26.08540983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4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146</v>
      </c>
      <c r="AC36" s="9">
        <f>COUNTIF(L36:Q36,"&lt;=8")</f>
        <v>0</v>
      </c>
      <c r="AD36" s="9">
        <f>MIN(L36:Q36)</f>
        <v>17</v>
      </c>
    </row>
    <row r="37" spans="1:30" x14ac:dyDescent="0.2">
      <c r="A37" s="7" t="s">
        <v>71</v>
      </c>
      <c r="B37" s="6" t="s">
        <v>16</v>
      </c>
      <c r="E37" s="3" t="str">
        <f>IF(AA37="","",RANK(AA37,AA:AA))</f>
        <v/>
      </c>
      <c r="F37" s="6">
        <v>9</v>
      </c>
      <c r="G37" s="6">
        <v>56</v>
      </c>
      <c r="H37" s="6"/>
      <c r="I37" s="6"/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8</v>
      </c>
      <c r="M37" s="9">
        <f>IF(OR($C37&lt;&gt;"",$D37&lt;&gt;"",G37=""),"",G37-SUMPRODUCT(--($C$3:$C$102="P"),--(G$3:G$102&lt;G37),--(G$3:G$102&lt;&gt;""))-SUMPRODUCT(--($D$3:$D$102="P"),--(G$3:G$102&lt;G37),--(G$3:G$102&lt;&gt;"")))</f>
        <v>54</v>
      </c>
      <c r="N37" s="9" t="str">
        <f>IF(OR($C37&lt;&gt;"",$D37&lt;&gt;"",H37=""),"",H37-SUMPRODUCT(--($C$3:$C$102="P"),--(H$3:H$102&lt;H37),--(H$3:H$102&lt;&gt;""))-SUMPRODUCT(--($D$3:$D$102="P"),--(H$3:H$102&lt;H37),--(H$3:H$102&lt;&gt;"")))</f>
        <v/>
      </c>
      <c r="O37" s="9" t="str">
        <f>IF(OR($C37&lt;&gt;"",$D37&lt;&gt;"",I37=""),"",I37-SUMPRODUCT(--($C$3:$C$102="P"),--(I$3:I$102&lt;I37),--(I$3:I$102&lt;&gt;""))-SUMPRODUCT(--($D$3:$D$102="P"),--(I$3:I$102&lt;I37),--(I$3:I$102&lt;&gt;"")))</f>
        <v/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9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25</v>
      </c>
      <c r="S37" s="9" t="str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/>
      </c>
      <c r="T37" s="9" t="str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/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4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25.093819920000001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>P</v>
      </c>
      <c r="AA37" s="14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62</v>
      </c>
      <c r="AC37" s="9">
        <f>COUNTIF(L37:Q37,"&lt;=8")</f>
        <v>1</v>
      </c>
      <c r="AD37" s="9">
        <f>MIN(L37:Q37)</f>
        <v>8</v>
      </c>
    </row>
    <row r="38" spans="1:30" x14ac:dyDescent="0.2">
      <c r="A38" s="7" t="s">
        <v>99</v>
      </c>
      <c r="B38" s="6" t="s">
        <v>107</v>
      </c>
      <c r="E38" s="3">
        <f>IF(AA38="","",RANK(AA38,AA:AA))</f>
        <v>17</v>
      </c>
      <c r="F38" s="6">
        <v>32</v>
      </c>
      <c r="G38" s="6">
        <v>22</v>
      </c>
      <c r="H38" s="6">
        <v>26</v>
      </c>
      <c r="I38" s="6">
        <v>76</v>
      </c>
      <c r="J38" s="6">
        <v>32</v>
      </c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29</v>
      </c>
      <c r="M38" s="9">
        <f>IF(OR($C38&lt;&gt;"",$D38&lt;&gt;"",G38=""),"",G38-SUMPRODUCT(--($C$3:$C$102="P"),--(G$3:G$102&lt;G38),--(G$3:G$102&lt;&gt;""))-SUMPRODUCT(--($D$3:$D$102="P"),--(G$3:G$102&lt;G38),--(G$3:G$102&lt;&gt;"")))</f>
        <v>20</v>
      </c>
      <c r="N38" s="9">
        <f>IF(OR($C38&lt;&gt;"",$D38&lt;&gt;"",H38=""),"",H38-SUMPRODUCT(--($C$3:$C$102="P"),--(H$3:H$102&lt;H38),--(H$3:H$102&lt;&gt;""))-SUMPRODUCT(--($D$3:$D$102="P"),--(H$3:H$102&lt;H38),--(H$3:H$102&lt;&gt;"")))</f>
        <v>22</v>
      </c>
      <c r="O38" s="9">
        <f>IF(OR($C38&lt;&gt;"",$D38&lt;&gt;"",I38=""),"",I38-SUMPRODUCT(--($C$3:$C$102="P"),--(I$3:I$102&lt;I38),--(I$3:I$102&lt;&gt;""))-SUMPRODUCT(--($D$3:$D$102="P"),--(I$3:I$102&lt;I38),--(I$3:I$102&lt;&gt;"")))</f>
        <v>71</v>
      </c>
      <c r="P38" s="9">
        <f>IF(OR($C38&lt;&gt;"",$D38&lt;&gt;"",J38=""),"",J38-SUMPRODUCT(--($C$3:$C$102="P"),--(J$3:J$102&lt;J38),--(J$3:J$102&lt;&gt;""))-SUMPRODUCT(--($D$3:$D$102="P"),--(J$3:J$102&lt;J38),--(J$3:J$102&lt;&gt;"")))</f>
        <v>30</v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9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2</v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11</v>
      </c>
      <c r="T38" s="9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9</v>
      </c>
      <c r="U38" s="9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9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>1</v>
      </c>
      <c r="W38" s="9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4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23.084809800000002</v>
      </c>
      <c r="Y38" s="2" t="str">
        <f>IF(OR(X38="",X38=0),"",IF(SUMPRODUCT(--(B$3:B$102=B38),--(X$3:X$102&gt;X38),--(X$3:X$102&lt;&gt;"")),"","P"))</f>
        <v>P</v>
      </c>
      <c r="Z38" s="2" t="str">
        <f>IF(X38="","",IF(SUMPRODUCT(--(C$3:C$102="P"),--(B$3:B$102=B38)),"P",""))</f>
        <v/>
      </c>
      <c r="AA38" s="14">
        <f>IF(AND(Y38&lt;&gt;"",OR(Z38="",SUMPRODUCT(--(X$3:X$102&gt;X38),--(Z$3:Z$102="P"),--(Y$3:Y$102="P"))&lt;4)),X38,"")</f>
        <v>23.084809800000002</v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152</v>
      </c>
      <c r="AC38" s="9">
        <f>COUNTIF(L38:Q38,"&lt;=8")</f>
        <v>0</v>
      </c>
      <c r="AD38" s="9">
        <f>MIN(L38:Q38)</f>
        <v>20</v>
      </c>
    </row>
    <row r="39" spans="1:30" x14ac:dyDescent="0.2">
      <c r="A39" s="7" t="s">
        <v>76</v>
      </c>
      <c r="B39" s="6" t="s">
        <v>18</v>
      </c>
      <c r="E39" s="3" t="str">
        <f>IF(AA39="","",RANK(AA39,AA:AA))</f>
        <v/>
      </c>
      <c r="F39" s="6">
        <v>10</v>
      </c>
      <c r="G39" s="6"/>
      <c r="H39" s="6"/>
      <c r="I39" s="6"/>
      <c r="J39" s="6">
        <v>54</v>
      </c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9</v>
      </c>
      <c r="M39" s="9" t="str">
        <f>IF(OR($C39&lt;&gt;"",$D39&lt;&gt;"",G39=""),"",G39-SUMPRODUCT(--($C$3:$C$102="P"),--(G$3:G$102&lt;G39),--(G$3:G$102&lt;&gt;""))-SUMPRODUCT(--($D$3:$D$102="P"),--(G$3:G$102&lt;G39),--(G$3:G$102&lt;&gt;"")))</f>
        <v/>
      </c>
      <c r="N39" s="9" t="str">
        <f>IF(OR($C39&lt;&gt;"",$D39&lt;&gt;"",H39=""),"",H39-SUMPRODUCT(--($C$3:$C$102="P"),--(H$3:H$102&lt;H39),--(H$3:H$102&lt;&gt;""))-SUMPRODUCT(--($D$3:$D$102="P"),--(H$3:H$102&lt;H39),--(H$3:H$102&lt;&gt;"")))</f>
        <v/>
      </c>
      <c r="O39" s="9" t="str">
        <f>IF(OR($C39&lt;&gt;"",$D39&lt;&gt;"",I39=""),"",I39-SUMPRODUCT(--($C$3:$C$102="P"),--(I$3:I$102&lt;I39),--(I$3:I$102&lt;&gt;""))-SUMPRODUCT(--($D$3:$D$102="P"),--(I$3:I$102&lt;I39),--(I$3:I$102&lt;&gt;"")))</f>
        <v/>
      </c>
      <c r="P39" s="9">
        <f>IF(OR($C39&lt;&gt;"",$D39&lt;&gt;"",J39=""),"",J39-SUMPRODUCT(--($C$3:$C$102="P"),--(J$3:J$102&lt;J39),--(J$3:J$102&lt;&gt;""))-SUMPRODUCT(--($D$3:$D$102="P"),--(J$3:J$102&lt;J39),--(J$3:J$102&lt;&gt;"")))</f>
        <v>50</v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9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>22</v>
      </c>
      <c r="S39" s="9" t="str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/>
      </c>
      <c r="T39" s="9" t="str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/>
      </c>
      <c r="U39" s="9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4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22.09410991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>P</v>
      </c>
      <c r="AA39" s="14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59</v>
      </c>
      <c r="AC39" s="9">
        <f>COUNTIF(L39:Q39,"&lt;=8")</f>
        <v>0</v>
      </c>
      <c r="AD39" s="9">
        <f>MIN(L39:Q39)</f>
        <v>9</v>
      </c>
    </row>
    <row r="40" spans="1:30" x14ac:dyDescent="0.2">
      <c r="A40" s="7" t="s">
        <v>77</v>
      </c>
      <c r="B40" s="6" t="s">
        <v>19</v>
      </c>
      <c r="E40" s="3" t="str">
        <f>IF(AA40="","",RANK(AA40,AA:AA))</f>
        <v/>
      </c>
      <c r="F40" s="6">
        <v>11</v>
      </c>
      <c r="G40" s="6"/>
      <c r="H40" s="6"/>
      <c r="I40" s="6"/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10</v>
      </c>
      <c r="M40" s="9" t="str">
        <f>IF(OR($C40&lt;&gt;"",$D40&lt;&gt;"",G40=""),"",G40-SUMPRODUCT(--($C$3:$C$102="P"),--(G$3:G$102&lt;G40),--(G$3:G$102&lt;&gt;""))-SUMPRODUCT(--($D$3:$D$102="P"),--(G$3:G$102&lt;G40),--(G$3:G$102&lt;&gt;"")))</f>
        <v/>
      </c>
      <c r="N40" s="9" t="str">
        <f>IF(OR($C40&lt;&gt;"",$D40&lt;&gt;"",H40=""),"",H40-SUMPRODUCT(--($C$3:$C$102="P"),--(H$3:H$102&lt;H40),--(H$3:H$102&lt;&gt;""))-SUMPRODUCT(--($D$3:$D$102="P"),--(H$3:H$102&lt;H40),--(H$3:H$102&lt;&gt;"")))</f>
        <v/>
      </c>
      <c r="O40" s="9" t="str">
        <f>IF(OR($C40&lt;&gt;"",$D40&lt;&gt;"",I40=""),"",I40-SUMPRODUCT(--($C$3:$C$102="P"),--(I$3:I$102&lt;I40),--(I$3:I$102&lt;&gt;""))-SUMPRODUCT(--($D$3:$D$102="P"),--(I$3:I$102&lt;I40),--(I$3:I$102&lt;&gt;"")))</f>
        <v/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9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>21</v>
      </c>
      <c r="S40" s="9" t="str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/>
      </c>
      <c r="T40" s="9" t="str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/>
      </c>
      <c r="U40" s="9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4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21.099009899999999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>P</v>
      </c>
      <c r="AA40" s="14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10</v>
      </c>
      <c r="AC40" s="9">
        <f>COUNTIF(L40:Q40,"&lt;=8")</f>
        <v>0</v>
      </c>
      <c r="AD40" s="9">
        <f>MIN(L40:Q40)</f>
        <v>10</v>
      </c>
    </row>
    <row r="41" spans="1:30" x14ac:dyDescent="0.2">
      <c r="A41" s="7" t="s">
        <v>123</v>
      </c>
      <c r="B41" s="6" t="s">
        <v>22</v>
      </c>
      <c r="E41" s="3" t="str">
        <f>IF(AA41="","",RANK(AA41,AA:AA))</f>
        <v/>
      </c>
      <c r="F41" s="6"/>
      <c r="G41" s="6">
        <v>26</v>
      </c>
      <c r="H41" s="6"/>
      <c r="I41" s="6">
        <v>32</v>
      </c>
      <c r="J41" s="6">
        <v>23</v>
      </c>
      <c r="K41" s="6"/>
      <c r="L41" s="9" t="str">
        <f>IF(OR($C41&lt;&gt;"",$D41&lt;&gt;"",F41=""),"",F41-SUMPRODUCT(--($C$3:$C$102="P"),--(F$3:F$102&lt;F41),--(F$3:F$102&lt;&gt;""))-SUMPRODUCT(--($D$3:$D$102="P"),--(F$3:F$102&lt;F41),--(F$3:F$102&lt;&gt;"")))</f>
        <v/>
      </c>
      <c r="M41" s="9">
        <f>IF(OR($C41&lt;&gt;"",$D41&lt;&gt;"",G41=""),"",G41-SUMPRODUCT(--($C$3:$C$102="P"),--(G$3:G$102&lt;G41),--(G$3:G$102&lt;&gt;""))-SUMPRODUCT(--($D$3:$D$102="P"),--(G$3:G$102&lt;G41),--(G$3:G$102&lt;&gt;"")))</f>
        <v>24</v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>
        <f>IF(OR($C41&lt;&gt;"",$D41&lt;&gt;"",I41=""),"",I41-SUMPRODUCT(--($C$3:$C$102="P"),--(I$3:I$102&lt;I41),--(I$3:I$102&lt;&gt;""))-SUMPRODUCT(--($D$3:$D$102="P"),--(I$3:I$102&lt;I41),--(I$3:I$102&lt;&gt;"")))</f>
        <v>27</v>
      </c>
      <c r="P41" s="9">
        <f>IF(OR($C41&lt;&gt;"",$D41&lt;&gt;"",J41=""),"",J41-SUMPRODUCT(--($C$3:$C$102="P"),--(J$3:J$102&lt;J41),--(J$3:J$102&lt;&gt;""))-SUMPRODUCT(--($D$3:$D$102="P"),--(J$3:J$102&lt;J41),--(J$3:J$102&lt;&gt;"")))</f>
        <v>21</v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9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9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7</v>
      </c>
      <c r="T41" s="9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9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>4</v>
      </c>
      <c r="V41" s="9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>10</v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4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21.09280979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>P</v>
      </c>
      <c r="AA41" s="14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72</v>
      </c>
      <c r="AC41" s="9">
        <f>COUNTIF(L41:Q41,"&lt;=8")</f>
        <v>0</v>
      </c>
      <c r="AD41" s="9">
        <f>MIN(L41:Q41)</f>
        <v>21</v>
      </c>
    </row>
    <row r="42" spans="1:30" x14ac:dyDescent="0.2">
      <c r="A42" s="7" t="s">
        <v>95</v>
      </c>
      <c r="B42" s="6" t="s">
        <v>57</v>
      </c>
      <c r="E42" s="3" t="str">
        <f>IF(AA42="","",RANK(AA42,AA:AA))</f>
        <v/>
      </c>
      <c r="F42" s="6">
        <v>28</v>
      </c>
      <c r="G42" s="6">
        <v>18</v>
      </c>
      <c r="H42" s="6">
        <v>61</v>
      </c>
      <c r="I42" s="6">
        <v>36</v>
      </c>
      <c r="J42" s="6">
        <v>34</v>
      </c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25</v>
      </c>
      <c r="M42" s="9">
        <f>IF(OR($C42&lt;&gt;"",$D42&lt;&gt;"",G42=""),"",G42-SUMPRODUCT(--($C$3:$C$102="P"),--(G$3:G$102&lt;G42),--(G$3:G$102&lt;&gt;""))-SUMPRODUCT(--($D$3:$D$102="P"),--(G$3:G$102&lt;G42),--(G$3:G$102&lt;&gt;"")))</f>
        <v>16</v>
      </c>
      <c r="N42" s="9">
        <f>IF(OR($C42&lt;&gt;"",$D42&lt;&gt;"",H42=""),"",H42-SUMPRODUCT(--($C$3:$C$102="P"),--(H$3:H$102&lt;H42),--(H$3:H$102&lt;&gt;""))-SUMPRODUCT(--($D$3:$D$102="P"),--(H$3:H$102&lt;H42),--(H$3:H$102&lt;&gt;"")))</f>
        <v>57</v>
      </c>
      <c r="O42" s="9">
        <f>IF(OR($C42&lt;&gt;"",$D42&lt;&gt;"",I42=""),"",I42-SUMPRODUCT(--($C$3:$C$102="P"),--(I$3:I$102&lt;I42),--(I$3:I$102&lt;&gt;""))-SUMPRODUCT(--($D$3:$D$102="P"),--(I$3:I$102&lt;I42),--(I$3:I$102&lt;&gt;"")))</f>
        <v>31</v>
      </c>
      <c r="P42" s="9">
        <f>IF(OR($C42&lt;&gt;"",$D42&lt;&gt;"",J42=""),"",J42-SUMPRODUCT(--($C$3:$C$102="P"),--(J$3:J$102&lt;J42),--(J$3:J$102&lt;&gt;""))-SUMPRODUCT(--($D$3:$D$102="P"),--(J$3:J$102&lt;J42),--(J$3:J$102&lt;&gt;"")))</f>
        <v>32</v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9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>6</v>
      </c>
      <c r="S42" s="9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>15</v>
      </c>
      <c r="T42" s="9" t="str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/>
      </c>
      <c r="U42" s="9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9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4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21.08550984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/>
      </c>
      <c r="AA42" s="14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145</v>
      </c>
      <c r="AC42" s="9">
        <f>COUNTIF(L42:Q42,"&lt;=8")</f>
        <v>0</v>
      </c>
      <c r="AD42" s="9">
        <f>MIN(L42:Q42)</f>
        <v>16</v>
      </c>
    </row>
    <row r="43" spans="1:30" x14ac:dyDescent="0.2">
      <c r="A43" s="7" t="s">
        <v>96</v>
      </c>
      <c r="B43" s="6" t="s">
        <v>54</v>
      </c>
      <c r="E43" s="3" t="str">
        <f>IF(AA43="","",RANK(AA43,AA:AA))</f>
        <v/>
      </c>
      <c r="F43" s="6">
        <v>29</v>
      </c>
      <c r="G43" s="6">
        <v>17</v>
      </c>
      <c r="H43" s="6">
        <v>64</v>
      </c>
      <c r="I43" s="6">
        <v>67</v>
      </c>
      <c r="J43" s="6">
        <v>45</v>
      </c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26</v>
      </c>
      <c r="M43" s="9">
        <f>IF(OR($C43&lt;&gt;"",$D43&lt;&gt;"",G43=""),"",G43-SUMPRODUCT(--($C$3:$C$102="P"),--(G$3:G$102&lt;G43),--(G$3:G$102&lt;&gt;""))-SUMPRODUCT(--($D$3:$D$102="P"),--(G$3:G$102&lt;G43),--(G$3:G$102&lt;&gt;"")))</f>
        <v>15</v>
      </c>
      <c r="N43" s="9">
        <f>IF(OR($C43&lt;&gt;"",$D43&lt;&gt;"",H43=""),"",H43-SUMPRODUCT(--($C$3:$C$102="P"),--(H$3:H$102&lt;H43),--(H$3:H$102&lt;&gt;""))-SUMPRODUCT(--($D$3:$D$102="P"),--(H$3:H$102&lt;H43),--(H$3:H$102&lt;&gt;"")))</f>
        <v>60</v>
      </c>
      <c r="O43" s="9">
        <f>IF(OR($C43&lt;&gt;"",$D43&lt;&gt;"",I43=""),"",I43-SUMPRODUCT(--($C$3:$C$102="P"),--(I$3:I$102&lt;I43),--(I$3:I$102&lt;&gt;""))-SUMPRODUCT(--($D$3:$D$102="P"),--(I$3:I$102&lt;I43),--(I$3:I$102&lt;&gt;"")))</f>
        <v>62</v>
      </c>
      <c r="P43" s="9">
        <f>IF(OR($C43&lt;&gt;"",$D43&lt;&gt;"",J43=""),"",J43-SUMPRODUCT(--($C$3:$C$102="P"),--(J$3:J$102&lt;J43),--(J$3:J$102&lt;&gt;""))-SUMPRODUCT(--($D$3:$D$102="P"),--(J$3:J$102&lt;J43),--(J$3:J$102&lt;&gt;"")))</f>
        <v>43</v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9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>5</v>
      </c>
      <c r="S43" s="9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16</v>
      </c>
      <c r="T43" s="9" t="str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/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4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21.080909850000001</v>
      </c>
      <c r="Y43" s="2" t="str">
        <f>IF(OR(X43="",X43=0),"",IF(SUMPRODUCT(--(B$3:B$102=B43),--(X$3:X$102&gt;X43),--(X$3:X$102&lt;&gt;"")),"","P"))</f>
        <v/>
      </c>
      <c r="Z43" s="2" t="str">
        <f>IF(X43="","",IF(SUMPRODUCT(--(C$3:C$102="P"),--(B$3:B$102=B43)),"P",""))</f>
        <v/>
      </c>
      <c r="AA43" s="14" t="str">
        <f>IF(AND(Y43&lt;&gt;"",OR(Z43="",SUMPRODUCT(--(X$3:X$102&gt;X43),--(Z$3:Z$102="P"),--(Y$3:Y$102="P"))&lt;4)),X43,"")</f>
        <v/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191</v>
      </c>
      <c r="AC43" s="9">
        <f>COUNTIF(L43:Q43,"&lt;=8")</f>
        <v>0</v>
      </c>
      <c r="AD43" s="9">
        <f>MIN(L43:Q43)</f>
        <v>15</v>
      </c>
    </row>
    <row r="44" spans="1:30" x14ac:dyDescent="0.2">
      <c r="A44" s="7" t="s">
        <v>196</v>
      </c>
      <c r="B44" s="6" t="s">
        <v>19</v>
      </c>
      <c r="E44" s="3" t="str">
        <f>IF(AA44="","",RANK(AA44,AA:AA))</f>
        <v/>
      </c>
      <c r="F44" s="6"/>
      <c r="G44" s="6"/>
      <c r="H44" s="6"/>
      <c r="I44" s="6"/>
      <c r="J44" s="6">
        <v>13</v>
      </c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 t="str">
        <f>IF(OR($C44&lt;&gt;"",$D44&lt;&gt;"",G44=""),"",G44-SUMPRODUCT(--($C$3:$C$102="P"),--(G$3:G$102&lt;G44),--(G$3:G$102&lt;&gt;""))-SUMPRODUCT(--($D$3:$D$102="P"),--(G$3:G$102&lt;G44),--(G$3:G$102&lt;&gt;"")))</f>
        <v/>
      </c>
      <c r="N44" s="9" t="str">
        <f>IF(OR($C44&lt;&gt;"",$D44&lt;&gt;"",H44=""),"",H44-SUMPRODUCT(--($C$3:$C$102="P"),--(H$3:H$102&lt;H44),--(H$3:H$102&lt;&gt;""))-SUMPRODUCT(--($D$3:$D$102="P"),--(H$3:H$102&lt;H44),--(H$3:H$102&lt;&gt;"")))</f>
        <v/>
      </c>
      <c r="O44" s="9" t="str">
        <f>IF(OR($C44&lt;&gt;"",$D44&lt;&gt;"",I44=""),"",I44-SUMPRODUCT(--($C$3:$C$102="P"),--(I$3:I$102&lt;I44),--(I$3:I$102&lt;&gt;""))-SUMPRODUCT(--($D$3:$D$102="P"),--(I$3:I$102&lt;I44),--(I$3:I$102&lt;&gt;"")))</f>
        <v/>
      </c>
      <c r="P44" s="9">
        <f>IF(OR($C44&lt;&gt;"",$D44&lt;&gt;"",J44=""),"",J44-SUMPRODUCT(--($C$3:$C$102="P"),--(J$3:J$102&lt;J44),--(J$3:J$102&lt;&gt;""))-SUMPRODUCT(--($D$3:$D$102="P"),--(J$3:J$102&lt;J44),--(J$3:J$102&lt;&gt;"")))</f>
        <v>11</v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9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9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9" t="str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/>
      </c>
      <c r="U44" s="9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9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>20</v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4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20.098909890000002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>P</v>
      </c>
      <c r="AA44" s="14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11</v>
      </c>
      <c r="AC44" s="9">
        <f>COUNTIF(L44:Q44,"&lt;=8")</f>
        <v>0</v>
      </c>
      <c r="AD44" s="9">
        <f>MIN(L44:Q44)</f>
        <v>11</v>
      </c>
    </row>
    <row r="45" spans="1:30" x14ac:dyDescent="0.2">
      <c r="A45" s="7" t="s">
        <v>184</v>
      </c>
      <c r="B45" s="6" t="s">
        <v>24</v>
      </c>
      <c r="E45" s="3" t="str">
        <f>IF(AA45="","",RANK(AA45,AA:AA))</f>
        <v/>
      </c>
      <c r="F45" s="6"/>
      <c r="G45" s="6"/>
      <c r="H45" s="6"/>
      <c r="I45" s="6">
        <v>20</v>
      </c>
      <c r="J45" s="6">
        <v>30</v>
      </c>
      <c r="K45" s="6"/>
      <c r="L45" s="9" t="str">
        <f>IF(OR($C45&lt;&gt;"",$D45&lt;&gt;"",F45=""),"",F45-SUMPRODUCT(--($C$3:$C$102="P"),--(F$3:F$102&lt;F45),--(F$3:F$102&lt;&gt;""))-SUMPRODUCT(--($D$3:$D$102="P"),--(F$3:F$102&lt;F45),--(F$3:F$102&lt;&gt;"")))</f>
        <v/>
      </c>
      <c r="M45" s="9" t="str">
        <f>IF(OR($C45&lt;&gt;"",$D45&lt;&gt;"",G45=""),"",G45-SUMPRODUCT(--($C$3:$C$102="P"),--(G$3:G$102&lt;G45),--(G$3:G$102&lt;&gt;""))-SUMPRODUCT(--($D$3:$D$102="P"),--(G$3:G$102&lt;G45),--(G$3:G$102&lt;&gt;"")))</f>
        <v/>
      </c>
      <c r="N45" s="9" t="str">
        <f>IF(OR($C45&lt;&gt;"",$D45&lt;&gt;"",H45=""),"",H45-SUMPRODUCT(--($C$3:$C$102="P"),--(H$3:H$102&lt;H45),--(H$3:H$102&lt;&gt;""))-SUMPRODUCT(--($D$3:$D$102="P"),--(H$3:H$102&lt;H45),--(H$3:H$102&lt;&gt;"")))</f>
        <v/>
      </c>
      <c r="O45" s="9">
        <f>IF(OR($C45&lt;&gt;"",$D45&lt;&gt;"",I45=""),"",I45-SUMPRODUCT(--($C$3:$C$102="P"),--(I$3:I$102&lt;I45),--(I$3:I$102&lt;&gt;""))-SUMPRODUCT(--($D$3:$D$102="P"),--(I$3:I$102&lt;I45),--(I$3:I$102&lt;&gt;"")))</f>
        <v>15</v>
      </c>
      <c r="P45" s="9">
        <f>IF(OR($C45&lt;&gt;"",$D45&lt;&gt;"",J45=""),"",J45-SUMPRODUCT(--($C$3:$C$102="P"),--(J$3:J$102&lt;J45),--(J$3:J$102&lt;&gt;""))-SUMPRODUCT(--($D$3:$D$102="P"),--(J$3:J$102&lt;J45),--(J$3:J$102&lt;&gt;"")))</f>
        <v>28</v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9" t="str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/>
      </c>
      <c r="S45" s="9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9" t="str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/>
      </c>
      <c r="U45" s="9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>16</v>
      </c>
      <c r="V45" s="9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>3</v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4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19.095709850000002</v>
      </c>
      <c r="Y45" s="2" t="str">
        <f>IF(OR(X45="",X45=0),"",IF(SUMPRODUCT(--(B$3:B$102=B45),--(X$3:X$102&gt;X45),--(X$3:X$102&lt;&gt;"")),"","P"))</f>
        <v/>
      </c>
      <c r="Z45" s="2" t="str">
        <f>IF(X45="","",IF(SUMPRODUCT(--(C$3:C$102="P"),--(B$3:B$102=B45)),"P",""))</f>
        <v/>
      </c>
      <c r="AA45" s="14" t="str">
        <f>IF(AND(Y45&lt;&gt;"",OR(Z45="",SUMPRODUCT(--(X$3:X$102&gt;X45),--(Z$3:Z$102="P"),--(Y$3:Y$102="P"))&lt;4)),X45,"")</f>
        <v/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43</v>
      </c>
      <c r="AC45" s="9">
        <f>COUNTIF(L45:Q45,"&lt;=8")</f>
        <v>0</v>
      </c>
      <c r="AD45" s="9">
        <f>MIN(L45:Q45)</f>
        <v>15</v>
      </c>
    </row>
    <row r="46" spans="1:30" x14ac:dyDescent="0.2">
      <c r="A46" s="7" t="s">
        <v>124</v>
      </c>
      <c r="B46" s="6" t="s">
        <v>125</v>
      </c>
      <c r="E46" s="3">
        <f>IF(AA46="","",RANK(AA46,AA:AA))</f>
        <v>18</v>
      </c>
      <c r="F46" s="6"/>
      <c r="G46" s="6">
        <v>28</v>
      </c>
      <c r="H46" s="6">
        <v>55</v>
      </c>
      <c r="I46" s="6">
        <v>89</v>
      </c>
      <c r="J46" s="6">
        <v>19</v>
      </c>
      <c r="K46" s="6"/>
      <c r="L46" s="9" t="str">
        <f>IF(OR($C46&lt;&gt;"",$D46&lt;&gt;"",F46=""),"",F46-SUMPRODUCT(--($C$3:$C$102="P"),--(F$3:F$102&lt;F46),--(F$3:F$102&lt;&gt;""))-SUMPRODUCT(--($D$3:$D$102="P"),--(F$3:F$102&lt;F46),--(F$3:F$102&lt;&gt;"")))</f>
        <v/>
      </c>
      <c r="M46" s="9">
        <f>IF(OR($C46&lt;&gt;"",$D46&lt;&gt;"",G46=""),"",G46-SUMPRODUCT(--($C$3:$C$102="P"),--(G$3:G$102&lt;G46),--(G$3:G$102&lt;&gt;""))-SUMPRODUCT(--($D$3:$D$102="P"),--(G$3:G$102&lt;G46),--(G$3:G$102&lt;&gt;"")))</f>
        <v>26</v>
      </c>
      <c r="N46" s="9">
        <f>IF(OR($C46&lt;&gt;"",$D46&lt;&gt;"",H46=""),"",H46-SUMPRODUCT(--($C$3:$C$102="P"),--(H$3:H$102&lt;H46),--(H$3:H$102&lt;&gt;""))-SUMPRODUCT(--($D$3:$D$102="P"),--(H$3:H$102&lt;H46),--(H$3:H$102&lt;&gt;"")))</f>
        <v>51</v>
      </c>
      <c r="O46" s="9">
        <f>IF(OR($C46&lt;&gt;"",$D46&lt;&gt;"",I46=""),"",I46-SUMPRODUCT(--($C$3:$C$102="P"),--(I$3:I$102&lt;I46),--(I$3:I$102&lt;&gt;""))-SUMPRODUCT(--($D$3:$D$102="P"),--(I$3:I$102&lt;I46),--(I$3:I$102&lt;&gt;"")))</f>
        <v>84</v>
      </c>
      <c r="P46" s="9">
        <f>IF(OR($C46&lt;&gt;"",$D46&lt;&gt;"",J46=""),"",J46-SUMPRODUCT(--($C$3:$C$102="P"),--(J$3:J$102&lt;J46),--(J$3:J$102&lt;&gt;""))-SUMPRODUCT(--($D$3:$D$102="P"),--(J$3:J$102&lt;J46),--(J$3:J$102&lt;&gt;"")))</f>
        <v>17</v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9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S46" s="9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>5</v>
      </c>
      <c r="T46" s="9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>14</v>
      </c>
      <c r="W46" s="9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4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19.08220983</v>
      </c>
      <c r="Y46" s="2" t="str">
        <f>IF(OR(X46="",X46=0),"",IF(SUMPRODUCT(--(B$3:B$102=B46),--(X$3:X$102&gt;X46),--(X$3:X$102&lt;&gt;"")),"","P"))</f>
        <v>P</v>
      </c>
      <c r="Z46" s="2" t="str">
        <f>IF(X46="","",IF(SUMPRODUCT(--(C$3:C$102="P"),--(B$3:B$102=B46)),"P",""))</f>
        <v/>
      </c>
      <c r="AA46" s="14">
        <f>IF(AND(Y46&lt;&gt;"",OR(Z46="",SUMPRODUCT(--(X$3:X$102&gt;X46),--(Z$3:Z$102="P"),--(Y$3:Y$102="P"))&lt;4)),X46,"")</f>
        <v>19.08220983</v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178</v>
      </c>
      <c r="AC46" s="9">
        <f>COUNTIF(L46:Q46,"&lt;=8")</f>
        <v>0</v>
      </c>
      <c r="AD46" s="9">
        <f>MIN(L46:Q46)</f>
        <v>17</v>
      </c>
    </row>
    <row r="47" spans="1:30" x14ac:dyDescent="0.2">
      <c r="A47" s="7" t="s">
        <v>133</v>
      </c>
      <c r="B47" s="6" t="s">
        <v>134</v>
      </c>
      <c r="E47" s="3">
        <f>IF(AA47="","",RANK(AA47,AA:AA))</f>
        <v>19</v>
      </c>
      <c r="F47" s="6">
        <v>46</v>
      </c>
      <c r="G47" s="6">
        <v>35</v>
      </c>
      <c r="H47" s="6"/>
      <c r="I47" s="6">
        <v>27</v>
      </c>
      <c r="J47" s="6">
        <v>25</v>
      </c>
      <c r="K47" s="6"/>
      <c r="L47" s="9">
        <f>IF(OR($C47&lt;&gt;"",$D47&lt;&gt;"",F47=""),"",F47-SUMPRODUCT(--($C$3:$C$102="P"),--(F$3:F$102&lt;F47),--(F$3:F$102&lt;&gt;""))-SUMPRODUCT(--($D$3:$D$102="P"),--(F$3:F$102&lt;F47),--(F$3:F$102&lt;&gt;"")))</f>
        <v>43</v>
      </c>
      <c r="M47" s="9">
        <f>IF(OR($C47&lt;&gt;"",$D47&lt;&gt;"",G47=""),"",G47-SUMPRODUCT(--($C$3:$C$102="P"),--(G$3:G$102&lt;G47),--(G$3:G$102&lt;&gt;""))-SUMPRODUCT(--($D$3:$D$102="P"),--(G$3:G$102&lt;G47),--(G$3:G$102&lt;&gt;"")))</f>
        <v>33</v>
      </c>
      <c r="N47" s="9" t="str">
        <f>IF(OR($C47&lt;&gt;"",$D47&lt;&gt;"",H47=""),"",H47-SUMPRODUCT(--($C$3:$C$102="P"),--(H$3:H$102&lt;H47),--(H$3:H$102&lt;&gt;""))-SUMPRODUCT(--($D$3:$D$102="P"),--(H$3:H$102&lt;H47),--(H$3:H$102&lt;&gt;"")))</f>
        <v/>
      </c>
      <c r="O47" s="9">
        <f>IF(OR($C47&lt;&gt;"",$D47&lt;&gt;"",I47=""),"",I47-SUMPRODUCT(--($C$3:$C$102="P"),--(I$3:I$102&lt;I47),--(I$3:I$102&lt;&gt;""))-SUMPRODUCT(--($D$3:$D$102="P"),--(I$3:I$102&lt;I47),--(I$3:I$102&lt;&gt;"")))</f>
        <v>22</v>
      </c>
      <c r="P47" s="9">
        <f>IF(OR($C47&lt;&gt;"",$D47&lt;&gt;"",J47=""),"",J47-SUMPRODUCT(--($C$3:$C$102="P"),--(J$3:J$102&lt;J47),--(J$3:J$102&lt;&gt;""))-SUMPRODUCT(--($D$3:$D$102="P"),--(J$3:J$102&lt;J47),--(J$3:J$102&lt;&gt;"")))</f>
        <v>23</v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9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>9</v>
      </c>
      <c r="V47" s="9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>8</v>
      </c>
      <c r="W47" s="9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4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17.08790978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4">
        <f>IF(AND(Y47&lt;&gt;"",OR(Z47="",SUMPRODUCT(--(X$3:X$102&gt;X47),--(Z$3:Z$102="P"),--(Y$3:Y$102="P"))&lt;4)),X47,"")</f>
        <v>17.08790978</v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121</v>
      </c>
      <c r="AC47" s="9">
        <f>COUNTIF(L47:Q47,"&lt;=8")</f>
        <v>0</v>
      </c>
      <c r="AD47" s="9">
        <f>MIN(L47:Q47)</f>
        <v>22</v>
      </c>
    </row>
    <row r="48" spans="1:30" x14ac:dyDescent="0.2">
      <c r="A48" s="7" t="s">
        <v>84</v>
      </c>
      <c r="B48" s="6" t="s">
        <v>20</v>
      </c>
      <c r="E48" s="3" t="str">
        <f>IF(AA48="","",RANK(AA48,AA:AA))</f>
        <v/>
      </c>
      <c r="F48" s="6">
        <v>17</v>
      </c>
      <c r="G48" s="6"/>
      <c r="H48" s="6"/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15</v>
      </c>
      <c r="M48" s="9" t="str">
        <f>IF(OR($C48&lt;&gt;"",$D48&lt;&gt;"",G48=""),"",G48-SUMPRODUCT(--($C$3:$C$102="P"),--(G$3:G$102&lt;G48),--(G$3:G$102&lt;&gt;""))-SUMPRODUCT(--($D$3:$D$102="P"),--(G$3:G$102&lt;G48),--(G$3:G$102&lt;&gt;"")))</f>
        <v/>
      </c>
      <c r="N48" s="9" t="str">
        <f>IF(OR($C48&lt;&gt;"",$D48&lt;&gt;"",H48=""),"",H48-SUMPRODUCT(--($C$3:$C$102="P"),--(H$3:H$102&lt;H48),--(H$3:H$102&lt;&gt;""))-SUMPRODUCT(--($D$3:$D$102="P"),--(H$3:H$102&lt;H48),--(H$3:H$102&lt;&gt;"")))</f>
        <v/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9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>16</v>
      </c>
      <c r="S48" s="9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9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4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16.098509850000003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>P</v>
      </c>
      <c r="AA48" s="14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15</v>
      </c>
      <c r="AC48" s="9">
        <f>COUNTIF(L48:Q48,"&lt;=8")</f>
        <v>0</v>
      </c>
      <c r="AD48" s="9">
        <f>MIN(L48:Q48)</f>
        <v>15</v>
      </c>
    </row>
    <row r="49" spans="1:30" x14ac:dyDescent="0.2">
      <c r="A49" s="7" t="s">
        <v>188</v>
      </c>
      <c r="B49" s="6" t="s">
        <v>108</v>
      </c>
      <c r="E49" s="3" t="str">
        <f>IF(AA49="","",RANK(AA49,AA:AA))</f>
        <v/>
      </c>
      <c r="F49" s="6">
        <v>62</v>
      </c>
      <c r="G49" s="6">
        <v>48</v>
      </c>
      <c r="H49" s="6">
        <v>19</v>
      </c>
      <c r="I49" s="6">
        <v>68</v>
      </c>
      <c r="J49" s="6">
        <v>46</v>
      </c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58</v>
      </c>
      <c r="M49" s="9">
        <f>IF(OR($C49&lt;&gt;"",$D49&lt;&gt;"",G49=""),"",G49-SUMPRODUCT(--($C$3:$C$102="P"),--(G$3:G$102&lt;G49),--(G$3:G$102&lt;&gt;""))-SUMPRODUCT(--($D$3:$D$102="P"),--(G$3:G$102&lt;G49),--(G$3:G$102&lt;&gt;"")))</f>
        <v>46</v>
      </c>
      <c r="N49" s="9">
        <f>IF(OR($C49&lt;&gt;"",$D49&lt;&gt;"",H49=""),"",H49-SUMPRODUCT(--($C$3:$C$102="P"),--(H$3:H$102&lt;H49),--(H$3:H$102&lt;&gt;""))-SUMPRODUCT(--($D$3:$D$102="P"),--(H$3:H$102&lt;H49),--(H$3:H$102&lt;&gt;"")))</f>
        <v>15</v>
      </c>
      <c r="O49" s="9">
        <f>IF(OR($C49&lt;&gt;"",$D49&lt;&gt;"",I49=""),"",I49-SUMPRODUCT(--($C$3:$C$102="P"),--(I$3:I$102&lt;I49),--(I$3:I$102&lt;&gt;""))-SUMPRODUCT(--($D$3:$D$102="P"),--(I$3:I$102&lt;I49),--(I$3:I$102&lt;&gt;"")))</f>
        <v>63</v>
      </c>
      <c r="P49" s="9">
        <f>IF(OR($C49&lt;&gt;"",$D49&lt;&gt;"",J49=""),"",J49-SUMPRODUCT(--($C$3:$C$102="P"),--(J$3:J$102&lt;J49),--(J$3:J$102&lt;&gt;""))-SUMPRODUCT(--($D$3:$D$102="P"),--(J$3:J$102&lt;J49),--(J$3:J$102&lt;&gt;"")))</f>
        <v>44</v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9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9" t="str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/>
      </c>
      <c r="T49" s="9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>16</v>
      </c>
      <c r="U49" s="9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4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16.078909850000002</v>
      </c>
      <c r="Y49" s="2" t="str">
        <f>IF(OR(X49="",X49=0),"",IF(SUMPRODUCT(--(B$3:B$102=B49),--(X$3:X$102&gt;X49),--(X$3:X$102&lt;&gt;"")),"","P"))</f>
        <v/>
      </c>
      <c r="Z49" s="2" t="str">
        <f>IF(X49="","",IF(SUMPRODUCT(--(C$3:C$102="P"),--(B$3:B$102=B49)),"P",""))</f>
        <v/>
      </c>
      <c r="AA49" s="14" t="str">
        <f>IF(AND(Y49&lt;&gt;"",OR(Z49="",SUMPRODUCT(--(X$3:X$102&gt;X49),--(Z$3:Z$102="P"),--(Y$3:Y$102="P"))&lt;4)),X49,"")</f>
        <v/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211</v>
      </c>
      <c r="AC49" s="9">
        <f>COUNTIF(L49:Q49,"&lt;=8")</f>
        <v>0</v>
      </c>
      <c r="AD49" s="9">
        <f>MIN(L49:Q49)</f>
        <v>15</v>
      </c>
    </row>
    <row r="50" spans="1:30" x14ac:dyDescent="0.2">
      <c r="A50" s="7" t="s">
        <v>126</v>
      </c>
      <c r="B50" s="6" t="s">
        <v>24</v>
      </c>
      <c r="E50" s="3" t="str">
        <f>IF(AA50="","",RANK(AA50,AA:AA))</f>
        <v/>
      </c>
      <c r="F50" s="6"/>
      <c r="G50" s="6">
        <v>29</v>
      </c>
      <c r="H50" s="6">
        <v>24</v>
      </c>
      <c r="I50" s="6">
        <v>73</v>
      </c>
      <c r="J50" s="6"/>
      <c r="K50" s="6"/>
      <c r="L50" s="9" t="str">
        <f>IF(OR($C50&lt;&gt;"",$D50&lt;&gt;"",F50=""),"",F50-SUMPRODUCT(--($C$3:$C$102="P"),--(F$3:F$102&lt;F50),--(F$3:F$102&lt;&gt;""))-SUMPRODUCT(--($D$3:$D$102="P"),--(F$3:F$102&lt;F50),--(F$3:F$102&lt;&gt;"")))</f>
        <v/>
      </c>
      <c r="M50" s="9">
        <f>IF(OR($C50&lt;&gt;"",$D50&lt;&gt;"",G50=""),"",G50-SUMPRODUCT(--($C$3:$C$102="P"),--(G$3:G$102&lt;G50),--(G$3:G$102&lt;&gt;""))-SUMPRODUCT(--($D$3:$D$102="P"),--(G$3:G$102&lt;G50),--(G$3:G$102&lt;&gt;"")))</f>
        <v>27</v>
      </c>
      <c r="N50" s="9">
        <f>IF(OR($C50&lt;&gt;"",$D50&lt;&gt;"",H50=""),"",H50-SUMPRODUCT(--($C$3:$C$102="P"),--(H$3:H$102&lt;H50),--(H$3:H$102&lt;&gt;""))-SUMPRODUCT(--($D$3:$D$102="P"),--(H$3:H$102&lt;H50),--(H$3:H$102&lt;&gt;"")))</f>
        <v>20</v>
      </c>
      <c r="O50" s="9">
        <f>IF(OR($C50&lt;&gt;"",$D50&lt;&gt;"",I50=""),"",I50-SUMPRODUCT(--($C$3:$C$102="P"),--(I$3:I$102&lt;I50),--(I$3:I$102&lt;&gt;""))-SUMPRODUCT(--($D$3:$D$102="P"),--(I$3:I$102&lt;I50),--(I$3:I$102&lt;&gt;"")))</f>
        <v>68</v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9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S50" s="9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>4</v>
      </c>
      <c r="T50" s="9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>11</v>
      </c>
      <c r="U50" s="9" t="str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/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4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15.088509800000001</v>
      </c>
      <c r="Y50" s="2" t="str">
        <f>IF(OR(X50="",X50=0),"",IF(SUMPRODUCT(--(B$3:B$102=B50),--(X$3:X$102&gt;X50),--(X$3:X$102&lt;&gt;"")),"","P"))</f>
        <v/>
      </c>
      <c r="Z50" s="2" t="str">
        <f>IF(X50="","",IF(SUMPRODUCT(--(C$3:C$102="P"),--(B$3:B$102=B50)),"P",""))</f>
        <v/>
      </c>
      <c r="AA50" s="14" t="str">
        <f>IF(AND(Y50&lt;&gt;"",OR(Z50="",SUMPRODUCT(--(X$3:X$102&gt;X50),--(Z$3:Z$102="P"),--(Y$3:Y$102="P"))&lt;4)),X50,"")</f>
        <v/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115</v>
      </c>
      <c r="AC50" s="9">
        <f>COUNTIF(L50:Q50,"&lt;=8")</f>
        <v>0</v>
      </c>
      <c r="AD50" s="9">
        <f>MIN(L50:Q50)</f>
        <v>20</v>
      </c>
    </row>
    <row r="51" spans="1:30" x14ac:dyDescent="0.2">
      <c r="A51" s="7" t="s">
        <v>128</v>
      </c>
      <c r="B51" s="6" t="s">
        <v>129</v>
      </c>
      <c r="E51" s="3">
        <f>IF(AA51="","",RANK(AA51,AA:AA))</f>
        <v>20</v>
      </c>
      <c r="F51" s="6"/>
      <c r="G51" s="6">
        <v>31</v>
      </c>
      <c r="H51" s="6">
        <v>45</v>
      </c>
      <c r="I51" s="6">
        <v>23</v>
      </c>
      <c r="J51" s="6">
        <v>58</v>
      </c>
      <c r="K51" s="6"/>
      <c r="L51" s="9" t="str">
        <f>IF(OR($C51&lt;&gt;"",$D51&lt;&gt;"",F51=""),"",F51-SUMPRODUCT(--($C$3:$C$102="P"),--(F$3:F$102&lt;F51),--(F$3:F$102&lt;&gt;""))-SUMPRODUCT(--($D$3:$D$102="P"),--(F$3:F$102&lt;F51),--(F$3:F$102&lt;&gt;"")))</f>
        <v/>
      </c>
      <c r="M51" s="9">
        <f>IF(OR($C51&lt;&gt;"",$D51&lt;&gt;"",G51=""),"",G51-SUMPRODUCT(--($C$3:$C$102="P"),--(G$3:G$102&lt;G51),--(G$3:G$102&lt;&gt;""))-SUMPRODUCT(--($D$3:$D$102="P"),--(G$3:G$102&lt;G51),--(G$3:G$102&lt;&gt;"")))</f>
        <v>29</v>
      </c>
      <c r="N51" s="9">
        <f>IF(OR($C51&lt;&gt;"",$D51&lt;&gt;"",H51=""),"",H51-SUMPRODUCT(--($C$3:$C$102="P"),--(H$3:H$102&lt;H51),--(H$3:H$102&lt;&gt;""))-SUMPRODUCT(--($D$3:$D$102="P"),--(H$3:H$102&lt;H51),--(H$3:H$102&lt;&gt;"")))</f>
        <v>41</v>
      </c>
      <c r="O51" s="9">
        <f>IF(OR($C51&lt;&gt;"",$D51&lt;&gt;"",I51=""),"",I51-SUMPRODUCT(--($C$3:$C$102="P"),--(I$3:I$102&lt;I51),--(I$3:I$102&lt;&gt;""))-SUMPRODUCT(--($D$3:$D$102="P"),--(I$3:I$102&lt;I51),--(I$3:I$102&lt;&gt;"")))</f>
        <v>18</v>
      </c>
      <c r="P51" s="9">
        <f>IF(OR($C51&lt;&gt;"",$D51&lt;&gt;"",J51=""),"",J51-SUMPRODUCT(--($C$3:$C$102="P"),--(J$3:J$102&lt;J51),--(J$3:J$102&lt;&gt;""))-SUMPRODUCT(--($D$3:$D$102="P"),--(J$3:J$102&lt;J51),--(J$3:J$102&lt;&gt;"")))</f>
        <v>54</v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9" t="str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/>
      </c>
      <c r="S51" s="9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>2</v>
      </c>
      <c r="T51" s="9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9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>13</v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4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15.085809820000001</v>
      </c>
      <c r="Y51" s="2" t="str">
        <f>IF(OR(X51="",X51=0),"",IF(SUMPRODUCT(--(B$3:B$102=B51),--(X$3:X$102&gt;X51),--(X$3:X$102&lt;&gt;"")),"","P"))</f>
        <v>P</v>
      </c>
      <c r="Z51" s="2" t="str">
        <f>IF(X51="","",IF(SUMPRODUCT(--(C$3:C$102="P"),--(B$3:B$102=B51)),"P",""))</f>
        <v/>
      </c>
      <c r="AA51" s="14">
        <f>IF(AND(Y51&lt;&gt;"",OR(Z51="",SUMPRODUCT(--(X$3:X$102&gt;X51),--(Z$3:Z$102="P"),--(Y$3:Y$102="P"))&lt;4)),X51,"")</f>
        <v>15.085809820000001</v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142</v>
      </c>
      <c r="AC51" s="9">
        <f>COUNTIF(L51:Q51,"&lt;=8")</f>
        <v>0</v>
      </c>
      <c r="AD51" s="9">
        <f>MIN(L51:Q51)</f>
        <v>18</v>
      </c>
    </row>
    <row r="52" spans="1:30" x14ac:dyDescent="0.2">
      <c r="A52" s="7" t="s">
        <v>174</v>
      </c>
      <c r="B52" s="6" t="s">
        <v>164</v>
      </c>
      <c r="E52" s="3">
        <f>IF(AA52="","",RANK(AA52,AA:AA))</f>
        <v>21</v>
      </c>
      <c r="F52" s="6">
        <v>75</v>
      </c>
      <c r="G52" s="6">
        <v>83</v>
      </c>
      <c r="H52" s="6">
        <v>32</v>
      </c>
      <c r="I52" s="6">
        <v>25</v>
      </c>
      <c r="J52" s="6"/>
      <c r="K52" s="6"/>
      <c r="L52" s="9">
        <f>IF(OR($C52&lt;&gt;"",$D52&lt;&gt;"",F52=""),"",F52-SUMPRODUCT(--($C$3:$C$102="P"),--(F$3:F$102&lt;F52),--(F$3:F$102&lt;&gt;""))-SUMPRODUCT(--($D$3:$D$102="P"),--(F$3:F$102&lt;F52),--(F$3:F$102&lt;&gt;"")))</f>
        <v>70</v>
      </c>
      <c r="M52" s="9">
        <f>IF(OR($C52&lt;&gt;"",$D52&lt;&gt;"",G52=""),"",G52-SUMPRODUCT(--($C$3:$C$102="P"),--(G$3:G$102&lt;G52),--(G$3:G$102&lt;&gt;""))-SUMPRODUCT(--($D$3:$D$102="P"),--(G$3:G$102&lt;G52),--(G$3:G$102&lt;&gt;"")))</f>
        <v>79</v>
      </c>
      <c r="N52" s="9">
        <f>IF(OR($C52&lt;&gt;"",$D52&lt;&gt;"",H52=""),"",H52-SUMPRODUCT(--($C$3:$C$102="P"),--(H$3:H$102&lt;H52),--(H$3:H$102&lt;&gt;""))-SUMPRODUCT(--($D$3:$D$102="P"),--(H$3:H$102&lt;H52),--(H$3:H$102&lt;&gt;"")))</f>
        <v>28</v>
      </c>
      <c r="O52" s="9">
        <f>IF(OR($C52&lt;&gt;"",$D52&lt;&gt;"",I52=""),"",I52-SUMPRODUCT(--($C$3:$C$102="P"),--(I$3:I$102&lt;I52),--(I$3:I$102&lt;&gt;""))-SUMPRODUCT(--($D$3:$D$102="P"),--(I$3:I$102&lt;I52),--(I$3:I$102&lt;&gt;"")))</f>
        <v>20</v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9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>3</v>
      </c>
      <c r="U52" s="9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>11</v>
      </c>
      <c r="V52" s="9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4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14.0803098</v>
      </c>
      <c r="Y52" s="2" t="str">
        <f>IF(OR(X52="",X52=0),"",IF(SUMPRODUCT(--(B$3:B$102=B52),--(X$3:X$102&gt;X52),--(X$3:X$102&lt;&gt;"")),"","P"))</f>
        <v>P</v>
      </c>
      <c r="Z52" s="2" t="str">
        <f>IF(X52="","",IF(SUMPRODUCT(--(C$3:C$102="P"),--(B$3:B$102=B52)),"P",""))</f>
        <v/>
      </c>
      <c r="AA52" s="14">
        <f>IF(AND(Y52&lt;&gt;"",OR(Z52="",SUMPRODUCT(--(X$3:X$102&gt;X52),--(Z$3:Z$102="P"),--(Y$3:Y$102="P"))&lt;4)),X52,"")</f>
        <v>14.0803098</v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197</v>
      </c>
      <c r="AC52" s="9">
        <f>COUNTIF(L52:Q52,"&lt;=8")</f>
        <v>0</v>
      </c>
      <c r="AD52" s="9">
        <f>MIN(L52:Q52)</f>
        <v>20</v>
      </c>
    </row>
    <row r="53" spans="1:30" x14ac:dyDescent="0.2">
      <c r="A53" s="7" t="s">
        <v>119</v>
      </c>
      <c r="B53" s="6" t="s">
        <v>57</v>
      </c>
      <c r="E53" s="3" t="str">
        <f>IF(AA53="","",RANK(AA53,AA:AA))</f>
        <v/>
      </c>
      <c r="F53" s="6">
        <v>51</v>
      </c>
      <c r="G53" s="6">
        <v>20</v>
      </c>
      <c r="H53" s="6"/>
      <c r="I53" s="6"/>
      <c r="J53" s="6"/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48</v>
      </c>
      <c r="M53" s="9">
        <f>IF(OR($C53&lt;&gt;"",$D53&lt;&gt;"",G53=""),"",G53-SUMPRODUCT(--($C$3:$C$102="P"),--(G$3:G$102&lt;G53),--(G$3:G$102&lt;&gt;""))-SUMPRODUCT(--($D$3:$D$102="P"),--(G$3:G$102&lt;G53),--(G$3:G$102&lt;&gt;"")))</f>
        <v>18</v>
      </c>
      <c r="N53" s="9" t="str">
        <f>IF(OR($C53&lt;&gt;"",$D53&lt;&gt;"",H53=""),"",H53-SUMPRODUCT(--($C$3:$C$102="P"),--(H$3:H$102&lt;H53),--(H$3:H$102&lt;&gt;""))-SUMPRODUCT(--($D$3:$D$102="P"),--(H$3:H$102&lt;H53),--(H$3:H$102&lt;&gt;"")))</f>
        <v/>
      </c>
      <c r="O53" s="9" t="str">
        <f>IF(OR($C53&lt;&gt;"",$D53&lt;&gt;"",I53=""),"",I53-SUMPRODUCT(--($C$3:$C$102="P"),--(I$3:I$102&lt;I53),--(I$3:I$102&lt;&gt;""))-SUMPRODUCT(--($D$3:$D$102="P"),--(I$3:I$102&lt;I53),--(I$3:I$102&lt;&gt;"")))</f>
        <v/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9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9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>13</v>
      </c>
      <c r="T53" s="9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4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13.093409820000002</v>
      </c>
      <c r="Y53" s="2" t="str">
        <f>IF(OR(X53="",X53=0),"",IF(SUMPRODUCT(--(B$3:B$102=B53),--(X$3:X$102&gt;X53),--(X$3:X$102&lt;&gt;"")),"","P"))</f>
        <v/>
      </c>
      <c r="Z53" s="2" t="str">
        <f>IF(X53="","",IF(SUMPRODUCT(--(C$3:C$102="P"),--(B$3:B$102=B53)),"P",""))</f>
        <v/>
      </c>
      <c r="AA53" s="14" t="str">
        <f>IF(AND(Y53&lt;&gt;"",OR(Z53="",SUMPRODUCT(--(X$3:X$102&gt;X53),--(Z$3:Z$102="P"),--(Y$3:Y$102="P"))&lt;4)),X53,"")</f>
        <v/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66</v>
      </c>
      <c r="AC53" s="9">
        <f>COUNTIF(L53:Q53,"&lt;=8")</f>
        <v>0</v>
      </c>
      <c r="AD53" s="9">
        <f>MIN(L53:Q53)</f>
        <v>18</v>
      </c>
    </row>
    <row r="54" spans="1:30" x14ac:dyDescent="0.2">
      <c r="A54" s="7" t="s">
        <v>172</v>
      </c>
      <c r="B54" s="6" t="s">
        <v>18</v>
      </c>
      <c r="E54" s="3" t="str">
        <f>IF(AA54="","",RANK(AA54,AA:AA))</f>
        <v/>
      </c>
      <c r="F54" s="6"/>
      <c r="G54" s="6"/>
      <c r="H54" s="6">
        <v>29</v>
      </c>
      <c r="I54" s="6">
        <v>33</v>
      </c>
      <c r="J54" s="6">
        <v>29</v>
      </c>
      <c r="K54" s="6"/>
      <c r="L54" s="9" t="str">
        <f>IF(OR($C54&lt;&gt;"",$D54&lt;&gt;"",F54=""),"",F54-SUMPRODUCT(--($C$3:$C$102="P"),--(F$3:F$102&lt;F54),--(F$3:F$102&lt;&gt;""))-SUMPRODUCT(--($D$3:$D$102="P"),--(F$3:F$102&lt;F54),--(F$3:F$102&lt;&gt;"")))</f>
        <v/>
      </c>
      <c r="M54" s="9" t="str">
        <f>IF(OR($C54&lt;&gt;"",$D54&lt;&gt;"",G54=""),"",G54-SUMPRODUCT(--($C$3:$C$102="P"),--(G$3:G$102&lt;G54),--(G$3:G$102&lt;&gt;""))-SUMPRODUCT(--($D$3:$D$102="P"),--(G$3:G$102&lt;G54),--(G$3:G$102&lt;&gt;"")))</f>
        <v/>
      </c>
      <c r="N54" s="9">
        <f>IF(OR($C54&lt;&gt;"",$D54&lt;&gt;"",H54=""),"",H54-SUMPRODUCT(--($C$3:$C$102="P"),--(H$3:H$102&lt;H54),--(H$3:H$102&lt;&gt;""))-SUMPRODUCT(--($D$3:$D$102="P"),--(H$3:H$102&lt;H54),--(H$3:H$102&lt;&gt;"")))</f>
        <v>25</v>
      </c>
      <c r="O54" s="9">
        <f>IF(OR($C54&lt;&gt;"",$D54&lt;&gt;"",I54=""),"",I54-SUMPRODUCT(--($C$3:$C$102="P"),--(I$3:I$102&lt;I54),--(I$3:I$102&lt;&gt;""))-SUMPRODUCT(--($D$3:$D$102="P"),--(I$3:I$102&lt;I54),--(I$3:I$102&lt;&gt;"")))</f>
        <v>28</v>
      </c>
      <c r="P54" s="9">
        <f>IF(OR($C54&lt;&gt;"",$D54&lt;&gt;"",J54=""),"",J54-SUMPRODUCT(--($C$3:$C$102="P"),--(J$3:J$102&lt;J54),--(J$3:J$102&lt;&gt;""))-SUMPRODUCT(--($D$3:$D$102="P"),--(J$3:J$102&lt;J54),--(J$3:J$102&lt;&gt;"")))</f>
        <v>27</v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>6</v>
      </c>
      <c r="U54" s="9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>3</v>
      </c>
      <c r="V54" s="9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>4</v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4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13.092009750000001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>P</v>
      </c>
      <c r="AA54" s="14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80</v>
      </c>
      <c r="AC54" s="9">
        <f>COUNTIF(L54:Q54,"&lt;=8")</f>
        <v>0</v>
      </c>
      <c r="AD54" s="9">
        <f>MIN(L54:Q54)</f>
        <v>25</v>
      </c>
    </row>
    <row r="55" spans="1:30" x14ac:dyDescent="0.2">
      <c r="A55" s="7" t="s">
        <v>91</v>
      </c>
      <c r="B55" s="6" t="s">
        <v>22</v>
      </c>
      <c r="E55" s="3" t="str">
        <f>IF(AA55="","",RANK(AA55,AA:AA))</f>
        <v/>
      </c>
      <c r="F55" s="6">
        <v>24</v>
      </c>
      <c r="G55" s="6"/>
      <c r="H55" s="6"/>
      <c r="I55" s="6"/>
      <c r="J55" s="6">
        <v>59</v>
      </c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21</v>
      </c>
      <c r="M55" s="9" t="str">
        <f>IF(OR($C55&lt;&gt;"",$D55&lt;&gt;"",G55=""),"",G55-SUMPRODUCT(--($C$3:$C$102="P"),--(G$3:G$102&lt;G55),--(G$3:G$102&lt;&gt;""))-SUMPRODUCT(--($D$3:$D$102="P"),--(G$3:G$102&lt;G55),--(G$3:G$102&lt;&gt;"")))</f>
        <v/>
      </c>
      <c r="N55" s="9" t="str">
        <f>IF(OR($C55&lt;&gt;"",$D55&lt;&gt;"",H55=""),"",H55-SUMPRODUCT(--($C$3:$C$102="P"),--(H$3:H$102&lt;H55),--(H$3:H$102&lt;&gt;""))-SUMPRODUCT(--($D$3:$D$102="P"),--(H$3:H$102&lt;H55),--(H$3:H$102&lt;&gt;"")))</f>
        <v/>
      </c>
      <c r="O55" s="9" t="str">
        <f>IF(OR($C55&lt;&gt;"",$D55&lt;&gt;"",I55=""),"",I55-SUMPRODUCT(--($C$3:$C$102="P"),--(I$3:I$102&lt;I55),--(I$3:I$102&lt;&gt;""))-SUMPRODUCT(--($D$3:$D$102="P"),--(I$3:I$102&lt;I55),--(I$3:I$102&lt;&gt;"")))</f>
        <v/>
      </c>
      <c r="P55" s="9">
        <f>IF(OR($C55&lt;&gt;"",$D55&lt;&gt;"",J55=""),"",J55-SUMPRODUCT(--($C$3:$C$102="P"),--(J$3:J$102&lt;J55),--(J$3:J$102&lt;&gt;""))-SUMPRODUCT(--($D$3:$D$102="P"),--(J$3:J$102&lt;J55),--(J$3:J$102&lt;&gt;"")))</f>
        <v>55</v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>10</v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4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10.09240979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>P</v>
      </c>
      <c r="AA55" s="14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76</v>
      </c>
      <c r="AC55" s="9">
        <f>COUNTIF(L55:Q55,"&lt;=8")</f>
        <v>0</v>
      </c>
      <c r="AD55" s="9">
        <f>MIN(L55:Q55)</f>
        <v>21</v>
      </c>
    </row>
    <row r="56" spans="1:30" x14ac:dyDescent="0.2">
      <c r="A56" s="7" t="s">
        <v>121</v>
      </c>
      <c r="B56" s="6" t="s">
        <v>122</v>
      </c>
      <c r="E56" s="3">
        <f>IF(AA56="","",RANK(AA56,AA:AA))</f>
        <v>22</v>
      </c>
      <c r="F56" s="6">
        <v>70</v>
      </c>
      <c r="G56" s="6">
        <v>25</v>
      </c>
      <c r="H56" s="6">
        <v>54</v>
      </c>
      <c r="I56" s="6"/>
      <c r="J56" s="6">
        <v>57</v>
      </c>
      <c r="K56" s="6"/>
      <c r="L56" s="9">
        <f>IF(OR($C56&lt;&gt;"",$D56&lt;&gt;"",F56=""),"",F56-SUMPRODUCT(--($C$3:$C$102="P"),--(F$3:F$102&lt;F56),--(F$3:F$102&lt;&gt;""))-SUMPRODUCT(--($D$3:$D$102="P"),--(F$3:F$102&lt;F56),--(F$3:F$102&lt;&gt;"")))</f>
        <v>65</v>
      </c>
      <c r="M56" s="9">
        <f>IF(OR($C56&lt;&gt;"",$D56&lt;&gt;"",G56=""),"",G56-SUMPRODUCT(--($C$3:$C$102="P"),--(G$3:G$102&lt;G56),--(G$3:G$102&lt;&gt;""))-SUMPRODUCT(--($D$3:$D$102="P"),--(G$3:G$102&lt;G56),--(G$3:G$102&lt;&gt;"")))</f>
        <v>23</v>
      </c>
      <c r="N56" s="9">
        <f>IF(OR($C56&lt;&gt;"",$D56&lt;&gt;"",H56=""),"",H56-SUMPRODUCT(--($C$3:$C$102="P"),--(H$3:H$102&lt;H56),--(H$3:H$102&lt;&gt;""))-SUMPRODUCT(--($D$3:$D$102="P"),--(H$3:H$102&lt;H56),--(H$3:H$102&lt;&gt;"")))</f>
        <v>50</v>
      </c>
      <c r="O56" s="9" t="str">
        <f>IF(OR($C56&lt;&gt;"",$D56&lt;&gt;"",I56=""),"",I56-SUMPRODUCT(--($C$3:$C$102="P"),--(I$3:I$102&lt;I56),--(I$3:I$102&lt;&gt;""))-SUMPRODUCT(--($D$3:$D$102="P"),--(I$3:I$102&lt;I56),--(I$3:I$102&lt;&gt;"")))</f>
        <v/>
      </c>
      <c r="P56" s="9">
        <f>IF(OR($C56&lt;&gt;"",$D56&lt;&gt;"",J56=""),"",J56-SUMPRODUCT(--($C$3:$C$102="P"),--(J$3:J$102&lt;J56),--(J$3:J$102&lt;&gt;""))-SUMPRODUCT(--($D$3:$D$102="P"),--(J$3:J$102&lt;J56),--(J$3:J$102&lt;&gt;"")))</f>
        <v>53</v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>8</v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4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8.0809097699999999</v>
      </c>
      <c r="Y56" s="2" t="str">
        <f>IF(OR(X56="",X56=0),"",IF(SUMPRODUCT(--(B$3:B$102=B56),--(X$3:X$102&gt;X56),--(X$3:X$102&lt;&gt;"")),"","P"))</f>
        <v>P</v>
      </c>
      <c r="Z56" s="2" t="str">
        <f>IF(X56="","",IF(SUMPRODUCT(--(C$3:C$102="P"),--(B$3:B$102=B56)),"P",""))</f>
        <v/>
      </c>
      <c r="AA56" s="14">
        <f>IF(AND(Y56&lt;&gt;"",OR(Z56="",SUMPRODUCT(--(X$3:X$102&gt;X56),--(Z$3:Z$102="P"),--(Y$3:Y$102="P"))&lt;4)),X56,"")</f>
        <v>8.0809097699999999</v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191</v>
      </c>
      <c r="AC56" s="9">
        <f>COUNTIF(L56:Q56,"&lt;=8")</f>
        <v>0</v>
      </c>
      <c r="AD56" s="9">
        <f>MIN(L56:Q56)</f>
        <v>23</v>
      </c>
    </row>
    <row r="57" spans="1:30" x14ac:dyDescent="0.2">
      <c r="A57" s="7" t="s">
        <v>176</v>
      </c>
      <c r="B57" s="6" t="s">
        <v>57</v>
      </c>
      <c r="E57" s="3" t="str">
        <f>IF(AA57="","",RANK(AA57,AA:AA))</f>
        <v/>
      </c>
      <c r="F57" s="6"/>
      <c r="G57" s="6"/>
      <c r="H57" s="6">
        <v>34</v>
      </c>
      <c r="I57" s="6">
        <v>31</v>
      </c>
      <c r="J57" s="6"/>
      <c r="K57" s="6"/>
      <c r="L57" s="9" t="str">
        <f>IF(OR($C57&lt;&gt;"",$D57&lt;&gt;"",F57=""),"",F57-SUMPRODUCT(--($C$3:$C$102="P"),--(F$3:F$102&lt;F57),--(F$3:F$102&lt;&gt;""))-SUMPRODUCT(--($D$3:$D$102="P"),--(F$3:F$102&lt;F57),--(F$3:F$102&lt;&gt;"")))</f>
        <v/>
      </c>
      <c r="M57" s="9" t="str">
        <f>IF(OR($C57&lt;&gt;"",$D57&lt;&gt;"",G57=""),"",G57-SUMPRODUCT(--($C$3:$C$102="P"),--(G$3:G$102&lt;G57),--(G$3:G$102&lt;&gt;""))-SUMPRODUCT(--($D$3:$D$102="P"),--(G$3:G$102&lt;G57),--(G$3:G$102&lt;&gt;"")))</f>
        <v/>
      </c>
      <c r="N57" s="9">
        <f>IF(OR($C57&lt;&gt;"",$D57&lt;&gt;"",H57=""),"",H57-SUMPRODUCT(--($C$3:$C$102="P"),--(H$3:H$102&lt;H57),--(H$3:H$102&lt;&gt;""))-SUMPRODUCT(--($D$3:$D$102="P"),--(H$3:H$102&lt;H57),--(H$3:H$102&lt;&gt;"")))</f>
        <v>30</v>
      </c>
      <c r="O57" s="9">
        <f>IF(OR($C57&lt;&gt;"",$D57&lt;&gt;"",I57=""),"",I57-SUMPRODUCT(--($C$3:$C$102="P"),--(I$3:I$102&lt;I57),--(I$3:I$102&lt;&gt;""))-SUMPRODUCT(--($D$3:$D$102="P"),--(I$3:I$102&lt;I57),--(I$3:I$102&lt;&gt;"")))</f>
        <v>26</v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>1</v>
      </c>
      <c r="U57" s="9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>5</v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4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6.0944097400000006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4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56</v>
      </c>
      <c r="AC57" s="9">
        <f>COUNTIF(L57:Q57,"&lt;=8")</f>
        <v>0</v>
      </c>
      <c r="AD57" s="9">
        <f>MIN(L57:Q57)</f>
        <v>26</v>
      </c>
    </row>
    <row r="58" spans="1:30" x14ac:dyDescent="0.2">
      <c r="A58" s="7" t="s">
        <v>102</v>
      </c>
      <c r="B58" s="6" t="s">
        <v>54</v>
      </c>
      <c r="E58" s="3" t="str">
        <f>IF(AA58="","",RANK(AA58,AA:AA))</f>
        <v/>
      </c>
      <c r="F58" s="6">
        <v>35</v>
      </c>
      <c r="G58" s="6">
        <v>36</v>
      </c>
      <c r="H58" s="6">
        <v>37</v>
      </c>
      <c r="I58" s="6">
        <v>30</v>
      </c>
      <c r="J58" s="6">
        <v>33</v>
      </c>
      <c r="K58" s="6"/>
      <c r="L58" s="9">
        <f>IF(OR($C58&lt;&gt;"",$D58&lt;&gt;"",F58=""),"",F58-SUMPRODUCT(--($C$3:$C$102="P"),--(F$3:F$102&lt;F58),--(F$3:F$102&lt;&gt;""))-SUMPRODUCT(--($D$3:$D$102="P"),--(F$3:F$102&lt;F58),--(F$3:F$102&lt;&gt;"")))</f>
        <v>32</v>
      </c>
      <c r="M58" s="9">
        <f>IF(OR($C58&lt;&gt;"",$D58&lt;&gt;"",G58=""),"",G58-SUMPRODUCT(--($C$3:$C$102="P"),--(G$3:G$102&lt;G58),--(G$3:G$102&lt;&gt;""))-SUMPRODUCT(--($D$3:$D$102="P"),--(G$3:G$102&lt;G58),--(G$3:G$102&lt;&gt;"")))</f>
        <v>34</v>
      </c>
      <c r="N58" s="9">
        <f>IF(OR($C58&lt;&gt;"",$D58&lt;&gt;"",H58=""),"",H58-SUMPRODUCT(--($C$3:$C$102="P"),--(H$3:H$102&lt;H58),--(H$3:H$102&lt;&gt;""))-SUMPRODUCT(--($D$3:$D$102="P"),--(H$3:H$102&lt;H58),--(H$3:H$102&lt;&gt;"")))</f>
        <v>33</v>
      </c>
      <c r="O58" s="9">
        <f>IF(OR($C58&lt;&gt;"",$D58&lt;&gt;"",I58=""),"",I58-SUMPRODUCT(--($C$3:$C$102="P"),--(I$3:I$102&lt;I58),--(I$3:I$102&lt;&gt;""))-SUMPRODUCT(--($D$3:$D$102="P"),--(I$3:I$102&lt;I58),--(I$3:I$102&lt;&gt;"")))</f>
        <v>25</v>
      </c>
      <c r="P58" s="9">
        <f>IF(OR($C58&lt;&gt;"",$D58&lt;&gt;"",J58=""),"",J58-SUMPRODUCT(--($C$3:$C$102="P"),--(J$3:J$102&lt;J58),--(J$3:J$102&lt;&gt;""))-SUMPRODUCT(--($D$3:$D$102="P"),--(J$3:J$102&lt;J58),--(J$3:J$102&lt;&gt;"")))</f>
        <v>31</v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>6</v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4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6.08700975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4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130</v>
      </c>
      <c r="AC58" s="9">
        <f>COUNTIF(L58:Q58,"&lt;=8")</f>
        <v>0</v>
      </c>
      <c r="AD58" s="9">
        <f>MIN(L58:Q58)</f>
        <v>25</v>
      </c>
    </row>
    <row r="59" spans="1:30" x14ac:dyDescent="0.2">
      <c r="A59" s="7" t="s">
        <v>101</v>
      </c>
      <c r="B59" s="6" t="s">
        <v>109</v>
      </c>
      <c r="E59" s="3">
        <f>IF(AA59="","",RANK(AA59,AA:AA))</f>
        <v>23</v>
      </c>
      <c r="F59" s="6">
        <v>34</v>
      </c>
      <c r="G59" s="6">
        <v>57</v>
      </c>
      <c r="H59" s="6">
        <v>43</v>
      </c>
      <c r="I59" s="6">
        <v>39</v>
      </c>
      <c r="J59" s="6">
        <v>27</v>
      </c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31</v>
      </c>
      <c r="M59" s="9">
        <f>IF(OR($C59&lt;&gt;"",$D59&lt;&gt;"",G59=""),"",G59-SUMPRODUCT(--($C$3:$C$102="P"),--(G$3:G$102&lt;G59),--(G$3:G$102&lt;&gt;""))-SUMPRODUCT(--($D$3:$D$102="P"),--(G$3:G$102&lt;G59),--(G$3:G$102&lt;&gt;"")))</f>
        <v>55</v>
      </c>
      <c r="N59" s="9">
        <f>IF(OR($C59&lt;&gt;"",$D59&lt;&gt;"",H59=""),"",H59-SUMPRODUCT(--($C$3:$C$102="P"),--(H$3:H$102&lt;H59),--(H$3:H$102&lt;&gt;""))-SUMPRODUCT(--($D$3:$D$102="P"),--(H$3:H$102&lt;H59),--(H$3:H$102&lt;&gt;"")))</f>
        <v>39</v>
      </c>
      <c r="O59" s="9">
        <f>IF(OR($C59&lt;&gt;"",$D59&lt;&gt;"",I59=""),"",I59-SUMPRODUCT(--($C$3:$C$102="P"),--(I$3:I$102&lt;I59),--(I$3:I$102&lt;&gt;""))-SUMPRODUCT(--($D$3:$D$102="P"),--(I$3:I$102&lt;I59),--(I$3:I$102&lt;&gt;"")))</f>
        <v>34</v>
      </c>
      <c r="P59" s="9">
        <f>IF(OR($C59&lt;&gt;"",$D59&lt;&gt;"",J59=""),"",J59-SUMPRODUCT(--($C$3:$C$102="P"),--(J$3:J$102&lt;J59),--(J$3:J$102&lt;&gt;""))-SUMPRODUCT(--($D$3:$D$102="P"),--(J$3:J$102&lt;J59),--(J$3:J$102&lt;&gt;"")))</f>
        <v>25</v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>6</v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4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6.0841097500000005</v>
      </c>
      <c r="Y59" s="2" t="str">
        <f>IF(OR(X59="",X59=0),"",IF(SUMPRODUCT(--(B$3:B$102=B59),--(X$3:X$102&gt;X59),--(X$3:X$102&lt;&gt;"")),"","P"))</f>
        <v>P</v>
      </c>
      <c r="Z59" s="2" t="str">
        <f>IF(X59="","",IF(SUMPRODUCT(--(C$3:C$102="P"),--(B$3:B$102=B59)),"P",""))</f>
        <v/>
      </c>
      <c r="AA59" s="14">
        <f>IF(AND(Y59&lt;&gt;"",OR(Z59="",SUMPRODUCT(--(X$3:X$102&gt;X59),--(Z$3:Z$102="P"),--(Y$3:Y$102="P"))&lt;4)),X59,"")</f>
        <v>6.0841097500000005</v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159</v>
      </c>
      <c r="AC59" s="9">
        <f>COUNTIF(L59:Q59,"&lt;=8")</f>
        <v>0</v>
      </c>
      <c r="AD59" s="9">
        <f>MIN(L59:Q59)</f>
        <v>25</v>
      </c>
    </row>
    <row r="60" spans="1:30" x14ac:dyDescent="0.2">
      <c r="A60" s="7" t="s">
        <v>173</v>
      </c>
      <c r="B60" s="6" t="s">
        <v>24</v>
      </c>
      <c r="E60" s="3" t="str">
        <f>IF(AA60="","",RANK(AA60,AA:AA))</f>
        <v/>
      </c>
      <c r="F60" s="6"/>
      <c r="G60" s="6">
        <v>80</v>
      </c>
      <c r="H60" s="6">
        <v>31</v>
      </c>
      <c r="I60" s="6">
        <v>92</v>
      </c>
      <c r="J60" s="6"/>
      <c r="K60" s="6"/>
      <c r="L60" s="9" t="str">
        <f>IF(OR($C60&lt;&gt;"",$D60&lt;&gt;"",F60=""),"",F60-SUMPRODUCT(--($C$3:$C$102="P"),--(F$3:F$102&lt;F60),--(F$3:F$102&lt;&gt;""))-SUMPRODUCT(--($D$3:$D$102="P"),--(F$3:F$102&lt;F60),--(F$3:F$102&lt;&gt;"")))</f>
        <v/>
      </c>
      <c r="M60" s="9">
        <f>IF(OR($C60&lt;&gt;"",$D60&lt;&gt;"",G60=""),"",G60-SUMPRODUCT(--($C$3:$C$102="P"),--(G$3:G$102&lt;G60),--(G$3:G$102&lt;&gt;""))-SUMPRODUCT(--($D$3:$D$102="P"),--(G$3:G$102&lt;G60),--(G$3:G$102&lt;&gt;"")))</f>
        <v>76</v>
      </c>
      <c r="N60" s="9">
        <f>IF(OR($C60&lt;&gt;"",$D60&lt;&gt;"",H60=""),"",H60-SUMPRODUCT(--($C$3:$C$102="P"),--(H$3:H$102&lt;H60),--(H$3:H$102&lt;&gt;""))-SUMPRODUCT(--($D$3:$D$102="P"),--(H$3:H$102&lt;H60),--(H$3:H$102&lt;&gt;"")))</f>
        <v>27</v>
      </c>
      <c r="O60" s="9">
        <f>IF(OR($C60&lt;&gt;"",$D60&lt;&gt;"",I60=""),"",I60-SUMPRODUCT(--($C$3:$C$102="P"),--(I$3:I$102&lt;I60),--(I$3:I$102&lt;&gt;""))-SUMPRODUCT(--($D$3:$D$102="P"),--(I$3:I$102&lt;I60),--(I$3:I$102&lt;&gt;"")))</f>
        <v>87</v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>4</v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4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4.0810097300000008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4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190</v>
      </c>
      <c r="AC60" s="9">
        <f>COUNTIF(L60:Q60,"&lt;=8")</f>
        <v>0</v>
      </c>
      <c r="AD60" s="9">
        <f>MIN(L60:Q60)</f>
        <v>27</v>
      </c>
    </row>
    <row r="61" spans="1:30" x14ac:dyDescent="0.2">
      <c r="A61" s="7" t="s">
        <v>98</v>
      </c>
      <c r="B61" s="6" t="s">
        <v>17</v>
      </c>
      <c r="E61" s="3" t="str">
        <f>IF(AA61="","",RANK(AA61,AA:AA))</f>
        <v/>
      </c>
      <c r="F61" s="6">
        <v>31</v>
      </c>
      <c r="G61" s="6"/>
      <c r="H61" s="6">
        <v>35</v>
      </c>
      <c r="I61" s="6">
        <v>78</v>
      </c>
      <c r="J61" s="6"/>
      <c r="K61" s="6"/>
      <c r="L61" s="9">
        <f>IF(OR($C61&lt;&gt;"",$D61&lt;&gt;"",F61=""),"",F61-SUMPRODUCT(--($C$3:$C$102="P"),--(F$3:F$102&lt;F61),--(F$3:F$102&lt;&gt;""))-SUMPRODUCT(--($D$3:$D$102="P"),--(F$3:F$102&lt;F61),--(F$3:F$102&lt;&gt;"")))</f>
        <v>28</v>
      </c>
      <c r="M61" s="9" t="str">
        <f>IF(OR($C61&lt;&gt;"",$D61&lt;&gt;"",G61=""),"",G61-SUMPRODUCT(--($C$3:$C$102="P"),--(G$3:G$102&lt;G61),--(G$3:G$102&lt;&gt;""))-SUMPRODUCT(--($D$3:$D$102="P"),--(G$3:G$102&lt;G61),--(G$3:G$102&lt;&gt;"")))</f>
        <v/>
      </c>
      <c r="N61" s="9">
        <f>IF(OR($C61&lt;&gt;"",$D61&lt;&gt;"",H61=""),"",H61-SUMPRODUCT(--($C$3:$C$102="P"),--(H$3:H$102&lt;H61),--(H$3:H$102&lt;&gt;""))-SUMPRODUCT(--($D$3:$D$102="P"),--(H$3:H$102&lt;H61),--(H$3:H$102&lt;&gt;"")))</f>
        <v>31</v>
      </c>
      <c r="O61" s="9">
        <f>IF(OR($C61&lt;&gt;"",$D61&lt;&gt;"",I61=""),"",I61-SUMPRODUCT(--($C$3:$C$102="P"),--(I$3:I$102&lt;I61),--(I$3:I$102&lt;&gt;""))-SUMPRODUCT(--($D$3:$D$102="P"),--(I$3:I$102&lt;I61),--(I$3:I$102&lt;&gt;"")))</f>
        <v>73</v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>3</v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4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3.0868097200000002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4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132</v>
      </c>
      <c r="AC61" s="9">
        <f>COUNTIF(L61:Q61,"&lt;=8")</f>
        <v>0</v>
      </c>
      <c r="AD61" s="9">
        <f>MIN(L61:Q61)</f>
        <v>28</v>
      </c>
    </row>
    <row r="62" spans="1:30" x14ac:dyDescent="0.2">
      <c r="A62" s="7" t="s">
        <v>175</v>
      </c>
      <c r="B62" s="6" t="s">
        <v>60</v>
      </c>
      <c r="E62" s="3">
        <f>IF(AA62="","",RANK(AA62,AA:AA))</f>
        <v>24</v>
      </c>
      <c r="F62" s="6">
        <v>74</v>
      </c>
      <c r="G62" s="6">
        <v>63</v>
      </c>
      <c r="H62" s="6">
        <v>33</v>
      </c>
      <c r="I62" s="6"/>
      <c r="J62" s="6"/>
      <c r="K62" s="6"/>
      <c r="L62" s="9">
        <f>IF(OR($C62&lt;&gt;"",$D62&lt;&gt;"",F62=""),"",F62-SUMPRODUCT(--($C$3:$C$102="P"),--(F$3:F$102&lt;F62),--(F$3:F$102&lt;&gt;""))-SUMPRODUCT(--($D$3:$D$102="P"),--(F$3:F$102&lt;F62),--(F$3:F$102&lt;&gt;"")))</f>
        <v>69</v>
      </c>
      <c r="M62" s="9">
        <f>IF(OR($C62&lt;&gt;"",$D62&lt;&gt;"",G62=""),"",G62-SUMPRODUCT(--($C$3:$C$102="P"),--(G$3:G$102&lt;G62),--(G$3:G$102&lt;&gt;""))-SUMPRODUCT(--($D$3:$D$102="P"),--(G$3:G$102&lt;G62),--(G$3:G$102&lt;&gt;"")))</f>
        <v>61</v>
      </c>
      <c r="N62" s="9">
        <f>IF(OR($C62&lt;&gt;"",$D62&lt;&gt;"",H62=""),"",H62-SUMPRODUCT(--($C$3:$C$102="P"),--(H$3:H$102&lt;H62),--(H$3:H$102&lt;&gt;""))-SUMPRODUCT(--($D$3:$D$102="P"),--(H$3:H$102&lt;H62),--(H$3:H$102&lt;&gt;"")))</f>
        <v>29</v>
      </c>
      <c r="O62" s="9" t="str">
        <f>IF(OR($C62&lt;&gt;"",$D62&lt;&gt;"",I62=""),"",I62-SUMPRODUCT(--($C$3:$C$102="P"),--(I$3:I$102&lt;I62),--(I$3:I$102&lt;&gt;""))-SUMPRODUCT(--($D$3:$D$102="P"),--(I$3:I$102&lt;I62),--(I$3:I$102&lt;&gt;"")))</f>
        <v/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>2</v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4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2.0841097099999999</v>
      </c>
      <c r="Y62" s="2" t="str">
        <f>IF(OR(X62="",X62=0),"",IF(SUMPRODUCT(--(B$3:B$102=B62),--(X$3:X$102&gt;X62),--(X$3:X$102&lt;&gt;"")),"","P"))</f>
        <v>P</v>
      </c>
      <c r="Z62" s="2" t="str">
        <f>IF(X62="","",IF(SUMPRODUCT(--(C$3:C$102="P"),--(B$3:B$102=B62)),"P",""))</f>
        <v/>
      </c>
      <c r="AA62" s="14">
        <f>IF(AND(Y62&lt;&gt;"",OR(Z62="",SUMPRODUCT(--(X$3:X$102&gt;X62),--(Z$3:Z$102="P"),--(Y$3:Y$102="P"))&lt;4)),X62,"")</f>
        <v>2.0841097099999999</v>
      </c>
      <c r="AB62" s="9">
        <f>IF(A62="","",IF(OR(C62="P",D62="P"),"",IF(IF(COUNT(L62:Q62)&lt;5,SUM(L62:Q62),IF(COUNT(L62:Q62)=5,SUM(L62:Q62)-MIN(L62:Q62),SUM(L62:Q62)-MIN(L62:Q62)-SMALL(L62:Q62,2)))&gt;0,IF(COUNT(L62:Q62)&lt;5,SUM(L62:Q62),IF(COUNT(L62:Q62)=5,SUM(L62:Q62)-MIN(L62:Q62),SUM(L62:Q62)-MIN(L62:Q62)-SMALL(L62:Q62,2))),0)))</f>
        <v>159</v>
      </c>
      <c r="AC62" s="9">
        <f>COUNTIF(L62:Q62,"&lt;=8")</f>
        <v>0</v>
      </c>
      <c r="AD62" s="9">
        <f>MIN(L62:Q62)</f>
        <v>29</v>
      </c>
    </row>
    <row r="63" spans="1:30" x14ac:dyDescent="0.2">
      <c r="A63" s="7" t="s">
        <v>130</v>
      </c>
      <c r="B63" s="6" t="s">
        <v>82</v>
      </c>
      <c r="E63" s="3" t="str">
        <f>IF(AA63="","",RANK(AA63,AA:AA))</f>
        <v/>
      </c>
      <c r="F63" s="6"/>
      <c r="G63" s="6">
        <v>32</v>
      </c>
      <c r="H63" s="6"/>
      <c r="I63" s="6"/>
      <c r="J63" s="6"/>
      <c r="K63" s="6"/>
      <c r="L63" s="9" t="str">
        <f>IF(OR($C63&lt;&gt;"",$D63&lt;&gt;"",F63=""),"",F63-SUMPRODUCT(--($C$3:$C$102="P"),--(F$3:F$102&lt;F63),--(F$3:F$102&lt;&gt;""))-SUMPRODUCT(--($D$3:$D$102="P"),--(F$3:F$102&lt;F63),--(F$3:F$102&lt;&gt;"")))</f>
        <v/>
      </c>
      <c r="M63" s="9">
        <f>IF(OR($C63&lt;&gt;"",$D63&lt;&gt;"",G63=""),"",G63-SUMPRODUCT(--($C$3:$C$102="P"),--(G$3:G$102&lt;G63),--(G$3:G$102&lt;&gt;""))-SUMPRODUCT(--($D$3:$D$102="P"),--(G$3:G$102&lt;G63),--(G$3:G$102&lt;&gt;"")))</f>
        <v>30</v>
      </c>
      <c r="N63" s="9" t="str">
        <f>IF(OR($C63&lt;&gt;"",$D63&lt;&gt;"",H63=""),"",H63-SUMPRODUCT(--($C$3:$C$102="P"),--(H$3:H$102&lt;H63),--(H$3:H$102&lt;&gt;""))-SUMPRODUCT(--($D$3:$D$102="P"),--(H$3:H$102&lt;H63),--(H$3:H$102&lt;&gt;"")))</f>
        <v/>
      </c>
      <c r="O63" s="9" t="str">
        <f>IF(OR($C63&lt;&gt;"",$D63&lt;&gt;"",I63=""),"",I63-SUMPRODUCT(--($C$3:$C$102="P"),--(I$3:I$102&lt;I63),--(I$3:I$102&lt;&gt;""))-SUMPRODUCT(--($D$3:$D$102="P"),--(I$3:I$102&lt;I63),--(I$3:I$102&lt;&gt;"")))</f>
        <v/>
      </c>
      <c r="P63" s="9" t="str">
        <f>IF(OR($C63&lt;&gt;"",$D63&lt;&gt;"",J63=""),"",J63-SUMPRODUCT(--($C$3:$C$102="P"),--(J$3:J$102&lt;J63),--(J$3:J$102&lt;&gt;""))-SUMPRODUCT(--($D$3:$D$102="P"),--(J$3:J$102&lt;J63),--(J$3:J$102&lt;&gt;"")))</f>
        <v/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>1</v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4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1.0970096999999999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4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IN(L63:Q63),SUM(L63:Q63)-MIN(L63:Q63)-SMALL(L63:Q63,2)))&gt;0,IF(COUNT(L63:Q63)&lt;5,SUM(L63:Q63),IF(COUNT(L63:Q63)=5,SUM(L63:Q63)-MIN(L63:Q63),SUM(L63:Q63)-MIN(L63:Q63)-SMALL(L63:Q63,2))),0)))</f>
        <v>30</v>
      </c>
      <c r="AC63" s="9">
        <f>COUNTIF(L63:Q63,"&lt;=8")</f>
        <v>0</v>
      </c>
      <c r="AD63" s="9">
        <f>MIN(L63:Q63)</f>
        <v>30</v>
      </c>
    </row>
    <row r="64" spans="1:30" x14ac:dyDescent="0.2">
      <c r="A64" s="7" t="s">
        <v>100</v>
      </c>
      <c r="B64" s="6" t="s">
        <v>108</v>
      </c>
      <c r="E64" s="3" t="str">
        <f>IF(AA64="","",RANK(AA64,AA:AA))</f>
        <v/>
      </c>
      <c r="F64" s="6">
        <v>33</v>
      </c>
      <c r="G64" s="6">
        <v>44</v>
      </c>
      <c r="H64" s="6">
        <v>38</v>
      </c>
      <c r="I64" s="6">
        <v>42</v>
      </c>
      <c r="J64" s="6"/>
      <c r="K64" s="6"/>
      <c r="L64" s="9">
        <f>IF(OR($C64&lt;&gt;"",$D64&lt;&gt;"",F64=""),"",F64-SUMPRODUCT(--($C$3:$C$102="P"),--(F$3:F$102&lt;F64),--(F$3:F$102&lt;&gt;""))-SUMPRODUCT(--($D$3:$D$102="P"),--(F$3:F$102&lt;F64),--(F$3:F$102&lt;&gt;"")))</f>
        <v>30</v>
      </c>
      <c r="M64" s="9">
        <f>IF(OR($C64&lt;&gt;"",$D64&lt;&gt;"",G64=""),"",G64-SUMPRODUCT(--($C$3:$C$102="P"),--(G$3:G$102&lt;G64),--(G$3:G$102&lt;&gt;""))-SUMPRODUCT(--($D$3:$D$102="P"),--(G$3:G$102&lt;G64),--(G$3:G$102&lt;&gt;"")))</f>
        <v>42</v>
      </c>
      <c r="N64" s="9">
        <f>IF(OR($C64&lt;&gt;"",$D64&lt;&gt;"",H64=""),"",H64-SUMPRODUCT(--($C$3:$C$102="P"),--(H$3:H$102&lt;H64),--(H$3:H$102&lt;&gt;""))-SUMPRODUCT(--($D$3:$D$102="P"),--(H$3:H$102&lt;H64),--(H$3:H$102&lt;&gt;"")))</f>
        <v>34</v>
      </c>
      <c r="O64" s="9">
        <f>IF(OR($C64&lt;&gt;"",$D64&lt;&gt;"",I64=""),"",I64-SUMPRODUCT(--($C$3:$C$102="P"),--(I$3:I$102&lt;I64),--(I$3:I$102&lt;&gt;""))-SUMPRODUCT(--($D$3:$D$102="P"),--(I$3:I$102&lt;I64),--(I$3:I$102&lt;&gt;"")))</f>
        <v>37</v>
      </c>
      <c r="P64" s="9" t="str">
        <f>IF(OR($C64&lt;&gt;"",$D64&lt;&gt;"",J64=""),"",J64-SUMPRODUCT(--($C$3:$C$102="P"),--(J$3:J$102&lt;J64),--(J$3:J$102&lt;&gt;""))-SUMPRODUCT(--($D$3:$D$102="P"),--(J$3:J$102&lt;J64),--(J$3:J$102&lt;&gt;"")))</f>
        <v/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>1</v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4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1.0857097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4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IN(L64:Q64),SUM(L64:Q64)-MIN(L64:Q64)-SMALL(L64:Q64,2)))&gt;0,IF(COUNT(L64:Q64)&lt;5,SUM(L64:Q64),IF(COUNT(L64:Q64)=5,SUM(L64:Q64)-MIN(L64:Q64),SUM(L64:Q64)-MIN(L64:Q64)-SMALL(L64:Q64,2))),0)))</f>
        <v>143</v>
      </c>
      <c r="AC64" s="9">
        <f>COUNTIF(L64:Q64,"&lt;=8")</f>
        <v>0</v>
      </c>
      <c r="AD64" s="9">
        <f>MIN(L64:Q64)</f>
        <v>30</v>
      </c>
    </row>
    <row r="65" spans="1:30" x14ac:dyDescent="0.2">
      <c r="A65" s="7" t="s">
        <v>103</v>
      </c>
      <c r="B65" s="6" t="s">
        <v>59</v>
      </c>
      <c r="E65" s="3" t="str">
        <f>IF(AA65="","",RANK(AA65,AA:AA))</f>
        <v/>
      </c>
      <c r="F65" s="6">
        <v>36</v>
      </c>
      <c r="G65" s="6">
        <v>40</v>
      </c>
      <c r="H65" s="6">
        <v>39</v>
      </c>
      <c r="I65" s="6">
        <v>63</v>
      </c>
      <c r="J65" s="6"/>
      <c r="K65" s="6"/>
      <c r="L65" s="9">
        <f>IF(OR($C65&lt;&gt;"",$D65&lt;&gt;"",F65=""),"",F65-SUMPRODUCT(--($C$3:$C$102="P"),--(F$3:F$102&lt;F65),--(F$3:F$102&lt;&gt;""))-SUMPRODUCT(--($D$3:$D$102="P"),--(F$3:F$102&lt;F65),--(F$3:F$102&lt;&gt;"")))</f>
        <v>33</v>
      </c>
      <c r="M65" s="9">
        <f>IF(OR($C65&lt;&gt;"",$D65&lt;&gt;"",G65=""),"",G65-SUMPRODUCT(--($C$3:$C$102="P"),--(G$3:G$102&lt;G65),--(G$3:G$102&lt;&gt;""))-SUMPRODUCT(--($D$3:$D$102="P"),--(G$3:G$102&lt;G65),--(G$3:G$102&lt;&gt;"")))</f>
        <v>38</v>
      </c>
      <c r="N65" s="9">
        <f>IF(OR($C65&lt;&gt;"",$D65&lt;&gt;"",H65=""),"",H65-SUMPRODUCT(--($C$3:$C$102="P"),--(H$3:H$102&lt;H65),--(H$3:H$102&lt;&gt;""))-SUMPRODUCT(--($D$3:$D$102="P"),--(H$3:H$102&lt;H65),--(H$3:H$102&lt;&gt;"")))</f>
        <v>35</v>
      </c>
      <c r="O65" s="9">
        <f>IF(OR($C65&lt;&gt;"",$D65&lt;&gt;"",I65=""),"",I65-SUMPRODUCT(--($C$3:$C$102="P"),--(I$3:I$102&lt;I65),--(I$3:I$102&lt;&gt;""))-SUMPRODUCT(--($D$3:$D$102="P"),--(I$3:I$102&lt;I65),--(I$3:I$102&lt;&gt;"")))</f>
        <v>58</v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4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4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IN(L65:Q65),SUM(L65:Q65)-MIN(L65:Q65)-SMALL(L65:Q65,2)))&gt;0,IF(COUNT(L65:Q65)&lt;5,SUM(L65:Q65),IF(COUNT(L65:Q65)=5,SUM(L65:Q65)-MIN(L65:Q65),SUM(L65:Q65)-MIN(L65:Q65)-SMALL(L65:Q65,2))),0)))</f>
        <v>164</v>
      </c>
      <c r="AC65" s="9">
        <f>COUNTIF(L65:Q65,"&lt;=8")</f>
        <v>0</v>
      </c>
      <c r="AD65" s="9">
        <f>MIN(L65:Q65)</f>
        <v>33</v>
      </c>
    </row>
    <row r="66" spans="1:30" x14ac:dyDescent="0.2">
      <c r="A66" s="7" t="s">
        <v>105</v>
      </c>
      <c r="B66" s="6" t="s">
        <v>22</v>
      </c>
      <c r="E66" s="3" t="str">
        <f>IF(AA66="","",RANK(AA66,AA:AA))</f>
        <v/>
      </c>
      <c r="F66" s="6">
        <v>38</v>
      </c>
      <c r="G66" s="6"/>
      <c r="H66" s="6"/>
      <c r="I66" s="6"/>
      <c r="J66" s="6"/>
      <c r="K66" s="6"/>
      <c r="L66" s="9">
        <f>IF(OR($C66&lt;&gt;"",$D66&lt;&gt;"",F66=""),"",F66-SUMPRODUCT(--($C$3:$C$102="P"),--(F$3:F$102&lt;F66),--(F$3:F$102&lt;&gt;""))-SUMPRODUCT(--($D$3:$D$102="P"),--(F$3:F$102&lt;F66),--(F$3:F$102&lt;&gt;"")))</f>
        <v>35</v>
      </c>
      <c r="M66" s="9" t="str">
        <f>IF(OR($C66&lt;&gt;"",$D66&lt;&gt;"",G66=""),"",G66-SUMPRODUCT(--($C$3:$C$102="P"),--(G$3:G$102&lt;G66),--(G$3:G$102&lt;&gt;""))-SUMPRODUCT(--($D$3:$D$102="P"),--(G$3:G$102&lt;G66),--(G$3:G$102&lt;&gt;"")))</f>
        <v/>
      </c>
      <c r="N66" s="9" t="str">
        <f>IF(OR($C66&lt;&gt;"",$D66&lt;&gt;"",H66=""),"",H66-SUMPRODUCT(--($C$3:$C$102="P"),--(H$3:H$102&lt;H66),--(H$3:H$102&lt;&gt;""))-SUMPRODUCT(--($D$3:$D$102="P"),--(H$3:H$102&lt;H66),--(H$3:H$102&lt;&gt;"")))</f>
        <v/>
      </c>
      <c r="O66" s="9" t="str">
        <f>IF(OR($C66&lt;&gt;"",$D66&lt;&gt;"",I66=""),"",I66-SUMPRODUCT(--($C$3:$C$102="P"),--(I$3:I$102&lt;I66),--(I$3:I$102&lt;&gt;""))-SUMPRODUCT(--($D$3:$D$102="P"),--(I$3:I$102&lt;I66),--(I$3:I$102&lt;&gt;"")))</f>
        <v/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4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>P</v>
      </c>
      <c r="AA66" s="14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IN(L66:Q66),SUM(L66:Q66)-MIN(L66:Q66)-SMALL(L66:Q66,2)))&gt;0,IF(COUNT(L66:Q66)&lt;5,SUM(L66:Q66),IF(COUNT(L66:Q66)=5,SUM(L66:Q66)-MIN(L66:Q66),SUM(L66:Q66)-MIN(L66:Q66)-SMALL(L66:Q66,2))),0)))</f>
        <v>35</v>
      </c>
      <c r="AC66" s="9">
        <f>COUNTIF(L66:Q66,"&lt;=8")</f>
        <v>0</v>
      </c>
      <c r="AD66" s="9">
        <f>MIN(L66:Q66)</f>
        <v>35</v>
      </c>
    </row>
    <row r="67" spans="1:30" x14ac:dyDescent="0.2">
      <c r="A67" s="7" t="s">
        <v>132</v>
      </c>
      <c r="B67" s="6" t="s">
        <v>107</v>
      </c>
      <c r="E67" s="3" t="str">
        <f>IF(AA67="","",RANK(AA67,AA:AA))</f>
        <v/>
      </c>
      <c r="F67" s="6">
        <v>53</v>
      </c>
      <c r="G67" s="6">
        <v>34</v>
      </c>
      <c r="H67" s="6">
        <v>53</v>
      </c>
      <c r="I67" s="6">
        <v>59</v>
      </c>
      <c r="J67" s="6"/>
      <c r="K67" s="6"/>
      <c r="L67" s="9">
        <f>IF(OR($C67&lt;&gt;"",$D67&lt;&gt;"",F67=""),"",F67-SUMPRODUCT(--($C$3:$C$102="P"),--(F$3:F$102&lt;F67),--(F$3:F$102&lt;&gt;""))-SUMPRODUCT(--($D$3:$D$102="P"),--(F$3:F$102&lt;F67),--(F$3:F$102&lt;&gt;"")))</f>
        <v>50</v>
      </c>
      <c r="M67" s="9">
        <f>IF(OR($C67&lt;&gt;"",$D67&lt;&gt;"",G67=""),"",G67-SUMPRODUCT(--($C$3:$C$102="P"),--(G$3:G$102&lt;G67),--(G$3:G$102&lt;&gt;""))-SUMPRODUCT(--($D$3:$D$102="P"),--(G$3:G$102&lt;G67),--(G$3:G$102&lt;&gt;"")))</f>
        <v>32</v>
      </c>
      <c r="N67" s="9">
        <f>IF(OR($C67&lt;&gt;"",$D67&lt;&gt;"",H67=""),"",H67-SUMPRODUCT(--($C$3:$C$102="P"),--(H$3:H$102&lt;H67),--(H$3:H$102&lt;&gt;""))-SUMPRODUCT(--($D$3:$D$102="P"),--(H$3:H$102&lt;H67),--(H$3:H$102&lt;&gt;"")))</f>
        <v>49</v>
      </c>
      <c r="O67" s="9">
        <f>IF(OR($C67&lt;&gt;"",$D67&lt;&gt;"",I67=""),"",I67-SUMPRODUCT(--($C$3:$C$102="P"),--(I$3:I$102&lt;I67),--(I$3:I$102&lt;&gt;""))-SUMPRODUCT(--($D$3:$D$102="P"),--(I$3:I$102&lt;I67),--(I$3:I$102&lt;&gt;"")))</f>
        <v>54</v>
      </c>
      <c r="P67" s="9" t="str">
        <f>IF(OR($C67&lt;&gt;"",$D67&lt;&gt;"",J67=""),"",J67-SUMPRODUCT(--($C$3:$C$102="P"),--(J$3:J$102&lt;J67),--(J$3:J$102&lt;&gt;""))-SUMPRODUCT(--($D$3:$D$102="P"),--(J$3:J$102&lt;J67),--(J$3:J$102&lt;&gt;"")))</f>
        <v/>
      </c>
      <c r="Q67" s="9" t="str">
        <f>IF(OR($C67&lt;&gt;"",$D67&lt;&gt;"",K67=""),"",K67-SUMPRODUCT(--($C$3:$C$102="P"),--(K$3:K$102&lt;K67),--(K$3:K$102&lt;&gt;""))-SUMPRODUCT(--($D$3:$D$102="P"),--(K$3:K$102&lt;K67),--(K$3:K$102&lt;&gt;"")))</f>
        <v/>
      </c>
      <c r="R67" s="9" t="str">
        <f>IF(OR(L67="",L67&gt;30),"",IF(L67=1,60,IF(L67=2,55,IF(L67=3,50,IF(L67=4,44,IF(L67=5,38,IF(L67=6,32,IF(L67=7,28,IF(L67=8,25,IF(L67=9,22,IF(L67=10,21,IF(L67=11,20,IF(L67=12,19,IF(L67=13,18,IF(L67=14,17,IF(L67=15,16,IF(L67=16,15,IF(L67=17,14,IF(L67=18,13,IF(L67=19,12,IF(L67=20,11,IF(L67=21,10,IF(L67=22,9,IF(L67=23,8,IF(L67=24,7,IF(L67=25,6,IF(L67=26,5,IF(L67=27,4,IF(L67=28,3,IF(L67=29,2,IF(L67=30,1))))))))))))))))))))))))))))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14">
        <f>IF(A67="","",IF(OR(C67="P",D67="P"),"",IF(IF(COUNT(R67:W67)&lt;5,SUM(R67:W67),IF(COUNT(R67:W67)=5,SUM(R67:W67)-MIN(R67:W67),SUM(R67:W67)-MIN(R67:W67)-SMALL(R67:W67,2)))&gt;0,IF(COUNT(R67:W67)&lt;5,SUM(R67:W67)+(1000-AB67)*10^-4+AC67*10^-5+(1000-AD67)*10^-8,IF(COUNT(R67:W67)=5,SUM(R67:W67)-MIN(R67:W67)+(1000-AB67)*10^-4+AC67*10^-5+(1000-AD67)*10^-8,SUM(R67:W67)-MIN(R67:W67)-SMALL(R67:W67,2)+(1000-AB67)*10^-4+AC67*10^-5+(1000-AD67)*10^-8)),0)))</f>
        <v>0</v>
      </c>
      <c r="Y67" s="2" t="str">
        <f>IF(OR(X67="",X67=0),"",IF(SUMPRODUCT(--(B$3:B$102=B67),--(X$3:X$102&gt;X67),--(X$3:X$102&lt;&gt;"")),"","P"))</f>
        <v/>
      </c>
      <c r="Z67" s="2" t="str">
        <f>IF(X67="","",IF(SUMPRODUCT(--(C$3:C$102="P"),--(B$3:B$102=B67)),"P",""))</f>
        <v/>
      </c>
      <c r="AA67" s="14" t="str">
        <f>IF(AND(Y67&lt;&gt;"",OR(Z67="",SUMPRODUCT(--(X$3:X$102&gt;X67),--(Z$3:Z$102="P"),--(Y$3:Y$102="P"))&lt;4)),X67,"")</f>
        <v/>
      </c>
      <c r="AB67" s="9">
        <f>IF(A67="","",IF(OR(C67="P",D67="P"),"",IF(IF(COUNT(L67:Q67)&lt;5,SUM(L67:Q67),IF(COUNT(L67:Q67)=5,SUM(L67:Q67)-MIN(L67:Q67),SUM(L67:Q67)-MIN(L67:Q67)-SMALL(L67:Q67,2)))&gt;0,IF(COUNT(L67:Q67)&lt;5,SUM(L67:Q67),IF(COUNT(L67:Q67)=5,SUM(L67:Q67)-MIN(L67:Q67),SUM(L67:Q67)-MIN(L67:Q67)-SMALL(L67:Q67,2))),0)))</f>
        <v>185</v>
      </c>
      <c r="AC67" s="9">
        <f>COUNTIF(L67:Q67,"&lt;=8")</f>
        <v>0</v>
      </c>
      <c r="AD67" s="9">
        <f>MIN(L67:Q67)</f>
        <v>32</v>
      </c>
    </row>
    <row r="68" spans="1:30" x14ac:dyDescent="0.2">
      <c r="A68" s="7" t="s">
        <v>177</v>
      </c>
      <c r="B68" s="6" t="s">
        <v>22</v>
      </c>
      <c r="E68" s="3" t="str">
        <f>IF(AA68="","",RANK(AA68,AA:AA))</f>
        <v/>
      </c>
      <c r="F68" s="6"/>
      <c r="G68" s="6">
        <v>91</v>
      </c>
      <c r="H68" s="6">
        <v>36</v>
      </c>
      <c r="I68" s="6">
        <v>72</v>
      </c>
      <c r="J68" s="6"/>
      <c r="K68" s="6"/>
      <c r="L68" s="9" t="str">
        <f>IF(OR($C68&lt;&gt;"",$D68&lt;&gt;"",F68=""),"",F68-SUMPRODUCT(--($C$3:$C$102="P"),--(F$3:F$102&lt;F68),--(F$3:F$102&lt;&gt;""))-SUMPRODUCT(--($D$3:$D$102="P"),--(F$3:F$102&lt;F68),--(F$3:F$102&lt;&gt;"")))</f>
        <v/>
      </c>
      <c r="M68" s="9">
        <f>IF(OR($C68&lt;&gt;"",$D68&lt;&gt;"",G68=""),"",G68-SUMPRODUCT(--($C$3:$C$102="P"),--(G$3:G$102&lt;G68),--(G$3:G$102&lt;&gt;""))-SUMPRODUCT(--($D$3:$D$102="P"),--(G$3:G$102&lt;G68),--(G$3:G$102&lt;&gt;"")))</f>
        <v>87</v>
      </c>
      <c r="N68" s="9">
        <f>IF(OR($C68&lt;&gt;"",$D68&lt;&gt;"",H68=""),"",H68-SUMPRODUCT(--($C$3:$C$102="P"),--(H$3:H$102&lt;H68),--(H$3:H$102&lt;&gt;""))-SUMPRODUCT(--($D$3:$D$102="P"),--(H$3:H$102&lt;H68),--(H$3:H$102&lt;&gt;"")))</f>
        <v>32</v>
      </c>
      <c r="O68" s="9">
        <f>IF(OR($C68&lt;&gt;"",$D68&lt;&gt;"",I68=""),"",I68-SUMPRODUCT(--($C$3:$C$102="P"),--(I$3:I$102&lt;I68),--(I$3:I$102&lt;&gt;""))-SUMPRODUCT(--($D$3:$D$102="P"),--(I$3:I$102&lt;I68),--(I$3:I$102&lt;&gt;"")))</f>
        <v>67</v>
      </c>
      <c r="P68" s="9" t="str">
        <f>IF(OR($C68&lt;&gt;"",$D68&lt;&gt;"",J68=""),"",J68-SUMPRODUCT(--($C$3:$C$102="P"),--(J$3:J$102&lt;J68),--(J$3:J$102&lt;&gt;""))-SUMPRODUCT(--($D$3:$D$102="P"),--(J$3:J$102&lt;J68),--(J$3:J$102&lt;&gt;"")))</f>
        <v/>
      </c>
      <c r="Q68" s="9" t="str">
        <f>IF(OR($C68&lt;&gt;"",$D68&lt;&gt;"",K68=""),"",K68-SUMPRODUCT(--($C$3:$C$102="P"),--(K$3:K$102&lt;K68),--(K$3:K$102&lt;&gt;""))-SUMPRODUCT(--($D$3:$D$102="P"),--(K$3:K$102&lt;K68),--(K$3:K$102&lt;&gt;"")))</f>
        <v/>
      </c>
      <c r="R68" s="9" t="str">
        <f>IF(OR(L68="",L68&gt;30),"",IF(L68=1,60,IF(L68=2,55,IF(L68=3,50,IF(L68=4,44,IF(L68=5,38,IF(L68=6,32,IF(L68=7,28,IF(L68=8,25,IF(L68=9,22,IF(L68=10,21,IF(L68=11,20,IF(L68=12,19,IF(L68=13,18,IF(L68=14,17,IF(L68=15,16,IF(L68=16,15,IF(L68=17,14,IF(L68=18,13,IF(L68=19,12,IF(L68=20,11,IF(L68=21,10,IF(L68=22,9,IF(L68=23,8,IF(L68=24,7,IF(L68=25,6,IF(L68=26,5,IF(L68=27,4,IF(L68=28,3,IF(L68=29,2,IF(L68=30,1))))))))))))))))))))))))))))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14">
        <f>IF(A68="","",IF(OR(C68="P",D68="P"),"",IF(IF(COUNT(R68:W68)&lt;5,SUM(R68:W68),IF(COUNT(R68:W68)=5,SUM(R68:W68)-MIN(R68:W68),SUM(R68:W68)-MIN(R68:W68)-SMALL(R68:W68,2)))&gt;0,IF(COUNT(R68:W68)&lt;5,SUM(R68:W68)+(1000-AB68)*10^-4+AC68*10^-5+(1000-AD68)*10^-8,IF(COUNT(R68:W68)=5,SUM(R68:W68)-MIN(R68:W68)+(1000-AB68)*10^-4+AC68*10^-5+(1000-AD68)*10^-8,SUM(R68:W68)-MIN(R68:W68)-SMALL(R68:W68,2)+(1000-AB68)*10^-4+AC68*10^-5+(1000-AD68)*10^-8)),0)))</f>
        <v>0</v>
      </c>
      <c r="Y68" s="2" t="str">
        <f>IF(OR(X68="",X68=0),"",IF(SUMPRODUCT(--(B$3:B$102=B68),--(X$3:X$102&gt;X68),--(X$3:X$102&lt;&gt;"")),"","P"))</f>
        <v/>
      </c>
      <c r="Z68" s="2" t="str">
        <f>IF(X68="","",IF(SUMPRODUCT(--(C$3:C$102="P"),--(B$3:B$102=B68)),"P",""))</f>
        <v>P</v>
      </c>
      <c r="AA68" s="14" t="str">
        <f>IF(AND(Y68&lt;&gt;"",OR(Z68="",SUMPRODUCT(--(X$3:X$102&gt;X68),--(Z$3:Z$102="P"),--(Y$3:Y$102="P"))&lt;4)),X68,"")</f>
        <v/>
      </c>
      <c r="AB68" s="9">
        <f>IF(A68="","",IF(OR(C68="P",D68="P"),"",IF(IF(COUNT(L68:Q68)&lt;5,SUM(L68:Q68),IF(COUNT(L68:Q68)=5,SUM(L68:Q68)-MIN(L68:Q68),SUM(L68:Q68)-MIN(L68:Q68)-SMALL(L68:Q68,2)))&gt;0,IF(COUNT(L68:Q68)&lt;5,SUM(L68:Q68),IF(COUNT(L68:Q68)=5,SUM(L68:Q68)-MIN(L68:Q68),SUM(L68:Q68)-MIN(L68:Q68)-SMALL(L68:Q68,2))),0)))</f>
        <v>186</v>
      </c>
      <c r="AC68" s="9">
        <f>COUNTIF(L68:Q68,"&lt;=8")</f>
        <v>0</v>
      </c>
      <c r="AD68" s="9">
        <f>MIN(L68:Q68)</f>
        <v>32</v>
      </c>
    </row>
    <row r="69" spans="1:30" x14ac:dyDescent="0.2">
      <c r="A69" s="7" t="s">
        <v>186</v>
      </c>
      <c r="B69" s="6" t="s">
        <v>56</v>
      </c>
      <c r="E69" s="3" t="str">
        <f>IF(AA69="","",RANK(AA69,AA:AA))</f>
        <v/>
      </c>
      <c r="F69" s="6"/>
      <c r="G69" s="6">
        <v>69</v>
      </c>
      <c r="H69" s="6"/>
      <c r="I69" s="6">
        <v>37</v>
      </c>
      <c r="J69" s="6"/>
      <c r="K69" s="6"/>
      <c r="L69" s="9" t="str">
        <f>IF(OR($C69&lt;&gt;"",$D69&lt;&gt;"",F69=""),"",F69-SUMPRODUCT(--($C$3:$C$102="P"),--(F$3:F$102&lt;F69),--(F$3:F$102&lt;&gt;""))-SUMPRODUCT(--($D$3:$D$102="P"),--(F$3:F$102&lt;F69),--(F$3:F$102&lt;&gt;"")))</f>
        <v/>
      </c>
      <c r="M69" s="9">
        <f>IF(OR($C69&lt;&gt;"",$D69&lt;&gt;"",G69=""),"",G69-SUMPRODUCT(--($C$3:$C$102="P"),--(G$3:G$102&lt;G69),--(G$3:G$102&lt;&gt;""))-SUMPRODUCT(--($D$3:$D$102="P"),--(G$3:G$102&lt;G69),--(G$3:G$102&lt;&gt;"")))</f>
        <v>67</v>
      </c>
      <c r="N69" s="9" t="str">
        <f>IF(OR($C69&lt;&gt;"",$D69&lt;&gt;"",H69=""),"",H69-SUMPRODUCT(--($C$3:$C$102="P"),--(H$3:H$102&lt;H69),--(H$3:H$102&lt;&gt;""))-SUMPRODUCT(--($D$3:$D$102="P"),--(H$3:H$102&lt;H69),--(H$3:H$102&lt;&gt;"")))</f>
        <v/>
      </c>
      <c r="O69" s="9">
        <f>IF(OR($C69&lt;&gt;"",$D69&lt;&gt;"",I69=""),"",I69-SUMPRODUCT(--($C$3:$C$102="P"),--(I$3:I$102&lt;I69),--(I$3:I$102&lt;&gt;""))-SUMPRODUCT(--($D$3:$D$102="P"),--(I$3:I$102&lt;I69),--(I$3:I$102&lt;&gt;"")))</f>
        <v>32</v>
      </c>
      <c r="P69" s="9" t="str">
        <f>IF(OR($C69&lt;&gt;"",$D69&lt;&gt;"",J69=""),"",J69-SUMPRODUCT(--($C$3:$C$102="P"),--(J$3:J$102&lt;J69),--(J$3:J$102&lt;&gt;""))-SUMPRODUCT(--($D$3:$D$102="P"),--(J$3:J$102&lt;J69),--(J$3:J$102&lt;&gt;"")))</f>
        <v/>
      </c>
      <c r="Q69" s="9" t="str">
        <f>IF(OR($C69&lt;&gt;"",$D69&lt;&gt;"",K69=""),"",K69-SUMPRODUCT(--($C$3:$C$102="P"),--(K$3:K$102&lt;K69),--(K$3:K$102&lt;&gt;""))-SUMPRODUCT(--($D$3:$D$102="P"),--(K$3:K$102&lt;K69),--(K$3:K$102&lt;&gt;"")))</f>
        <v/>
      </c>
      <c r="R69" s="9" t="str">
        <f>IF(OR(L69="",L69&gt;30),"",IF(L69=1,60,IF(L69=2,55,IF(L69=3,50,IF(L69=4,44,IF(L69=5,38,IF(L69=6,32,IF(L69=7,28,IF(L69=8,25,IF(L69=9,22,IF(L69=10,21,IF(L69=11,20,IF(L69=12,19,IF(L69=13,18,IF(L69=14,17,IF(L69=15,16,IF(L69=16,15,IF(L69=17,14,IF(L69=18,13,IF(L69=19,12,IF(L69=20,11,IF(L69=21,10,IF(L69=22,9,IF(L69=23,8,IF(L69=24,7,IF(L69=25,6,IF(L69=26,5,IF(L69=27,4,IF(L69=28,3,IF(L69=29,2,IF(L69=30,1))))))))))))))))))))))))))))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14">
        <f>IF(A69="","",IF(OR(C69="P",D69="P"),"",IF(IF(COUNT(R69:W69)&lt;5,SUM(R69:W69),IF(COUNT(R69:W69)=5,SUM(R69:W69)-MIN(R69:W69),SUM(R69:W69)-MIN(R69:W69)-SMALL(R69:W69,2)))&gt;0,IF(COUNT(R69:W69)&lt;5,SUM(R69:W69)+(1000-AB69)*10^-4+AC69*10^-5+(1000-AD69)*10^-8,IF(COUNT(R69:W69)=5,SUM(R69:W69)-MIN(R69:W69)+(1000-AB69)*10^-4+AC69*10^-5+(1000-AD69)*10^-8,SUM(R69:W69)-MIN(R69:W69)-SMALL(R69:W69,2)+(1000-AB69)*10^-4+AC69*10^-5+(1000-AD69)*10^-8)),0)))</f>
        <v>0</v>
      </c>
      <c r="Y69" s="2" t="str">
        <f>IF(OR(X69="",X69=0),"",IF(SUMPRODUCT(--(B$3:B$102=B69),--(X$3:X$102&gt;X69),--(X$3:X$102&lt;&gt;"")),"","P"))</f>
        <v/>
      </c>
      <c r="Z69" s="2" t="str">
        <f>IF(X69="","",IF(SUMPRODUCT(--(C$3:C$102="P"),--(B$3:B$102=B69)),"P",""))</f>
        <v/>
      </c>
      <c r="AA69" s="14" t="str">
        <f>IF(AND(Y69&lt;&gt;"",OR(Z69="",SUMPRODUCT(--(X$3:X$102&gt;X69),--(Z$3:Z$102="P"),--(Y$3:Y$102="P"))&lt;4)),X69,"")</f>
        <v/>
      </c>
      <c r="AB69" s="9">
        <f>IF(A69="","",IF(OR(C69="P",D69="P"),"",IF(IF(COUNT(L69:Q69)&lt;5,SUM(L69:Q69),IF(COUNT(L69:Q69)=5,SUM(L69:Q69)-MIN(L69:Q69),SUM(L69:Q69)-MIN(L69:Q69)-SMALL(L69:Q69,2)))&gt;0,IF(COUNT(L69:Q69)&lt;5,SUM(L69:Q69),IF(COUNT(L69:Q69)=5,SUM(L69:Q69)-MIN(L69:Q69),SUM(L69:Q69)-MIN(L69:Q69)-SMALL(L69:Q69,2))),0)))</f>
        <v>99</v>
      </c>
      <c r="AC69" s="9">
        <f>COUNTIF(L69:Q69,"&lt;=8")</f>
        <v>0</v>
      </c>
      <c r="AD69" s="9">
        <f>MIN(L69:Q69)</f>
        <v>32</v>
      </c>
    </row>
    <row r="70" spans="1:30" x14ac:dyDescent="0.2">
      <c r="A70" s="7" t="s">
        <v>135</v>
      </c>
      <c r="B70" s="6" t="s">
        <v>136</v>
      </c>
      <c r="E70" s="3" t="str">
        <f>IF(AA70="","",RANK(AA70,AA:AA))</f>
        <v/>
      </c>
      <c r="F70" s="6"/>
      <c r="G70" s="6">
        <v>37</v>
      </c>
      <c r="H70" s="6"/>
      <c r="I70" s="6"/>
      <c r="J70" s="6"/>
      <c r="K70" s="6"/>
      <c r="L70" s="9" t="str">
        <f>IF(OR($C70&lt;&gt;"",$D70&lt;&gt;"",F70=""),"",F70-SUMPRODUCT(--($C$3:$C$102="P"),--(F$3:F$102&lt;F70),--(F$3:F$102&lt;&gt;""))-SUMPRODUCT(--($D$3:$D$102="P"),--(F$3:F$102&lt;F70),--(F$3:F$102&lt;&gt;"")))</f>
        <v/>
      </c>
      <c r="M70" s="9">
        <f>IF(OR($C70&lt;&gt;"",$D70&lt;&gt;"",G70=""),"",G70-SUMPRODUCT(--($C$3:$C$102="P"),--(G$3:G$102&lt;G70),--(G$3:G$102&lt;&gt;""))-SUMPRODUCT(--($D$3:$D$102="P"),--(G$3:G$102&lt;G70),--(G$3:G$102&lt;&gt;"")))</f>
        <v>35</v>
      </c>
      <c r="N70" s="9" t="str">
        <f>IF(OR($C70&lt;&gt;"",$D70&lt;&gt;"",H70=""),"",H70-SUMPRODUCT(--($C$3:$C$102="P"),--(H$3:H$102&lt;H70),--(H$3:H$102&lt;&gt;""))-SUMPRODUCT(--($D$3:$D$102="P"),--(H$3:H$102&lt;H70),--(H$3:H$102&lt;&gt;"")))</f>
        <v/>
      </c>
      <c r="O70" s="9" t="str">
        <f>IF(OR($C70&lt;&gt;"",$D70&lt;&gt;"",I70=""),"",I70-SUMPRODUCT(--($C$3:$C$102="P"),--(I$3:I$102&lt;I70),--(I$3:I$102&lt;&gt;""))-SUMPRODUCT(--($D$3:$D$102="P"),--(I$3:I$102&lt;I70),--(I$3:I$102&lt;&gt;"")))</f>
        <v/>
      </c>
      <c r="P70" s="9" t="str">
        <f>IF(OR($C70&lt;&gt;"",$D70&lt;&gt;"",J70=""),"",J70-SUMPRODUCT(--($C$3:$C$102="P"),--(J$3:J$102&lt;J70),--(J$3:J$102&lt;&gt;""))-SUMPRODUCT(--($D$3:$D$102="P"),--(J$3:J$102&lt;J70),--(J$3:J$102&lt;&gt;"")))</f>
        <v/>
      </c>
      <c r="Q70" s="9" t="str">
        <f>IF(OR($C70&lt;&gt;"",$D70&lt;&gt;"",K70=""),"",K70-SUMPRODUCT(--($C$3:$C$102="P"),--(K$3:K$102&lt;K70),--(K$3:K$102&lt;&gt;""))-SUMPRODUCT(--($D$3:$D$102="P"),--(K$3:K$102&lt;K70),--(K$3:K$102&lt;&gt;"")))</f>
        <v/>
      </c>
      <c r="R70" s="9" t="str">
        <f>IF(OR(L70="",L70&gt;30),"",IF(L70=1,60,IF(L70=2,55,IF(L70=3,50,IF(L70=4,44,IF(L70=5,38,IF(L70=6,32,IF(L70=7,28,IF(L70=8,25,IF(L70=9,22,IF(L70=10,21,IF(L70=11,20,IF(L70=12,19,IF(L70=13,18,IF(L70=14,17,IF(L70=15,16,IF(L70=16,15,IF(L70=17,14,IF(L70=18,13,IF(L70=19,12,IF(L70=20,11,IF(L70=21,10,IF(L70=22,9,IF(L70=23,8,IF(L70=24,7,IF(L70=25,6,IF(L70=26,5,IF(L70=27,4,IF(L70=28,3,IF(L70=29,2,IF(L70=30,1))))))))))))))))))))))))))))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14">
        <f>IF(A70="","",IF(OR(C70="P",D70="P"),"",IF(IF(COUNT(R70:W70)&lt;5,SUM(R70:W70),IF(COUNT(R70:W70)=5,SUM(R70:W70)-MIN(R70:W70),SUM(R70:W70)-MIN(R70:W70)-SMALL(R70:W70,2)))&gt;0,IF(COUNT(R70:W70)&lt;5,SUM(R70:W70)+(1000-AB70)*10^-4+AC70*10^-5+(1000-AD70)*10^-8,IF(COUNT(R70:W70)=5,SUM(R70:W70)-MIN(R70:W70)+(1000-AB70)*10^-4+AC70*10^-5+(1000-AD70)*10^-8,SUM(R70:W70)-MIN(R70:W70)-SMALL(R70:W70,2)+(1000-AB70)*10^-4+AC70*10^-5+(1000-AD70)*10^-8)),0)))</f>
        <v>0</v>
      </c>
      <c r="Y70" s="2" t="str">
        <f>IF(OR(X70="",X70=0),"",IF(SUMPRODUCT(--(B$3:B$102=B70),--(X$3:X$102&gt;X70),--(X$3:X$102&lt;&gt;"")),"","P"))</f>
        <v/>
      </c>
      <c r="Z70" s="2" t="str">
        <f>IF(X70="","",IF(SUMPRODUCT(--(C$3:C$102="P"),--(B$3:B$102=B70)),"P",""))</f>
        <v/>
      </c>
      <c r="AA70" s="14" t="str">
        <f>IF(AND(Y70&lt;&gt;"",OR(Z70="",SUMPRODUCT(--(X$3:X$102&gt;X70),--(Z$3:Z$102="P"),--(Y$3:Y$102="P"))&lt;4)),X70,"")</f>
        <v/>
      </c>
      <c r="AB70" s="9">
        <f>IF(A70="","",IF(OR(C70="P",D70="P"),"",IF(IF(COUNT(L70:Q70)&lt;5,SUM(L70:Q70),IF(COUNT(L70:Q70)=5,SUM(L70:Q70)-MIN(L70:Q70),SUM(L70:Q70)-MIN(L70:Q70)-SMALL(L70:Q70,2)))&gt;0,IF(COUNT(L70:Q70)&lt;5,SUM(L70:Q70),IF(COUNT(L70:Q70)=5,SUM(L70:Q70)-MIN(L70:Q70),SUM(L70:Q70)-MIN(L70:Q70)-SMALL(L70:Q70,2))),0)))</f>
        <v>35</v>
      </c>
      <c r="AC70" s="9">
        <f>COUNTIF(L70:Q70,"&lt;=8")</f>
        <v>0</v>
      </c>
      <c r="AD70" s="9">
        <f>MIN(L70:Q70)</f>
        <v>35</v>
      </c>
    </row>
    <row r="71" spans="1:30" x14ac:dyDescent="0.2">
      <c r="A71" s="7" t="s">
        <v>131</v>
      </c>
      <c r="B71" s="6" t="s">
        <v>19</v>
      </c>
      <c r="E71" s="3" t="str">
        <f>IF(AA71="","",RANK(AA71,AA:AA))</f>
        <v/>
      </c>
      <c r="F71" s="6"/>
      <c r="G71" s="6">
        <v>33</v>
      </c>
      <c r="H71" s="6">
        <v>63</v>
      </c>
      <c r="I71" s="6"/>
      <c r="J71" s="6"/>
      <c r="K71" s="6"/>
      <c r="L71" s="9" t="str">
        <f>IF(OR($C71&lt;&gt;"",$D71&lt;&gt;"",F71=""),"",F71-SUMPRODUCT(--($C$3:$C$102="P"),--(F$3:F$102&lt;F71),--(F$3:F$102&lt;&gt;""))-SUMPRODUCT(--($D$3:$D$102="P"),--(F$3:F$102&lt;F71),--(F$3:F$102&lt;&gt;"")))</f>
        <v/>
      </c>
      <c r="M71" s="9">
        <f>IF(OR($C71&lt;&gt;"",$D71&lt;&gt;"",G71=""),"",G71-SUMPRODUCT(--($C$3:$C$102="P"),--(G$3:G$102&lt;G71),--(G$3:G$102&lt;&gt;""))-SUMPRODUCT(--($D$3:$D$102="P"),--(G$3:G$102&lt;G71),--(G$3:G$102&lt;&gt;"")))</f>
        <v>31</v>
      </c>
      <c r="N71" s="9">
        <f>IF(OR($C71&lt;&gt;"",$D71&lt;&gt;"",H71=""),"",H71-SUMPRODUCT(--($C$3:$C$102="P"),--(H$3:H$102&lt;H71),--(H$3:H$102&lt;&gt;""))-SUMPRODUCT(--($D$3:$D$102="P"),--(H$3:H$102&lt;H71),--(H$3:H$102&lt;&gt;"")))</f>
        <v>59</v>
      </c>
      <c r="O71" s="9" t="str">
        <f>IF(OR($C71&lt;&gt;"",$D71&lt;&gt;"",I71=""),"",I71-SUMPRODUCT(--($C$3:$C$102="P"),--(I$3:I$102&lt;I71),--(I$3:I$102&lt;&gt;""))-SUMPRODUCT(--($D$3:$D$102="P"),--(I$3:I$102&lt;I71),--(I$3:I$102&lt;&gt;"")))</f>
        <v/>
      </c>
      <c r="P71" s="9" t="str">
        <f>IF(OR($C71&lt;&gt;"",$D71&lt;&gt;"",J71=""),"",J71-SUMPRODUCT(--($C$3:$C$102="P"),--(J$3:J$102&lt;J71),--(J$3:J$102&lt;&gt;""))-SUMPRODUCT(--($D$3:$D$102="P"),--(J$3:J$102&lt;J71),--(J$3:J$102&lt;&gt;"")))</f>
        <v/>
      </c>
      <c r="Q71" s="9" t="str">
        <f>IF(OR($C71&lt;&gt;"",$D71&lt;&gt;"",K71=""),"",K71-SUMPRODUCT(--($C$3:$C$102="P"),--(K$3:K$102&lt;K71),--(K$3:K$102&lt;&gt;""))-SUMPRODUCT(--($D$3:$D$102="P"),--(K$3:K$102&lt;K71),--(K$3:K$102&lt;&gt;"")))</f>
        <v/>
      </c>
      <c r="R71" s="9" t="str">
        <f>IF(OR(L71="",L71&gt;30),"",IF(L71=1,60,IF(L71=2,55,IF(L71=3,50,IF(L71=4,44,IF(L71=5,38,IF(L71=6,32,IF(L71=7,28,IF(L71=8,25,IF(L71=9,22,IF(L71=10,21,IF(L71=11,20,IF(L71=12,19,IF(L71=13,18,IF(L71=14,17,IF(L71=15,16,IF(L71=16,15,IF(L71=17,14,IF(L71=18,13,IF(L71=19,12,IF(L71=20,11,IF(L71=21,10,IF(L71=22,9,IF(L71=23,8,IF(L71=24,7,IF(L71=25,6,IF(L71=26,5,IF(L71=27,4,IF(L71=28,3,IF(L71=29,2,IF(L71=30,1)))))))))))))))))))))))))))))))</f>
        <v/>
      </c>
      <c r="S71" s="9" t="str">
        <f>IF(OR(M71="",M71&gt;30),"",IF(M71=1,60,IF(M71=2,55,IF(M71=3,50,IF(M71=4,44,IF(M71=5,38,IF(M71=6,32,IF(M71=7,28,IF(M71=8,25,IF(M71=9,22,IF(M71=10,21,IF(M71=11,20,IF(M71=12,19,IF(M71=13,18,IF(M71=14,17,IF(M71=15,16,IF(M71=16,15,IF(M71=17,14,IF(M71=18,13,IF(M71=19,12,IF(M71=20,11,IF(M71=21,10,IF(M71=22,9,IF(M71=23,8,IF(M71=24,7,IF(M71=25,6,IF(M71=26,5,IF(M71=27,4,IF(M71=28,3,IF(M71=29,2,IF(M71=30,1)))))))))))))))))))))))))))))))</f>
        <v/>
      </c>
      <c r="T71" s="9" t="str">
        <f>IF(OR(N71="",N71&gt;30),"",IF(N71=1,60,IF(N71=2,55,IF(N71=3,50,IF(N71=4,44,IF(N71=5,38,IF(N71=6,32,IF(N71=7,28,IF(N71=8,25,IF(N71=9,22,IF(N71=10,21,IF(N71=11,20,IF(N71=12,19,IF(N71=13,18,IF(N71=14,17,IF(N71=15,16,IF(N71=16,15,IF(N71=17,14,IF(N71=18,13,IF(N71=19,12,IF(N71=20,11,IF(N71=21,10,IF(N71=22,9,IF(N71=23,8,IF(N71=24,7,IF(N71=25,6,IF(N71=26,5,IF(N71=27,4,IF(N71=28,3,IF(N71=29,2,IF(N71=30,1)))))))))))))))))))))))))))))))</f>
        <v/>
      </c>
      <c r="U71" s="9" t="str">
        <f>IF(OR(O71="",O71&gt;30),"",IF(O71=1,60,IF(O71=2,55,IF(O71=3,50,IF(O71=4,44,IF(O71=5,38,IF(O71=6,32,IF(O71=7,28,IF(O71=8,25,IF(O71=9,22,IF(O71=10,21,IF(O71=11,20,IF(O71=12,19,IF(O71=13,18,IF(O71=14,17,IF(O71=15,16,IF(O71=16,15,IF(O71=17,14,IF(O71=18,13,IF(O71=19,12,IF(O71=20,11,IF(O71=21,10,IF(O71=22,9,IF(O71=23,8,IF(O71=24,7,IF(O71=25,6,IF(O71=26,5,IF(O71=27,4,IF(O71=28,3,IF(O71=29,2,IF(O71=30,1)))))))))))))))))))))))))))))))</f>
        <v/>
      </c>
      <c r="V71" s="9" t="str">
        <f>IF(OR(P71="",P71&gt;30),"",IF(P71=1,60,IF(P71=2,55,IF(P71=3,50,IF(P71=4,44,IF(P71=5,38,IF(P71=6,32,IF(P71=7,28,IF(P71=8,25,IF(P71=9,22,IF(P71=10,21,IF(P71=11,20,IF(P71=12,19,IF(P71=13,18,IF(P71=14,17,IF(P71=15,16,IF(P71=16,15,IF(P71=17,14,IF(P71=18,13,IF(P71=19,12,IF(P71=20,11,IF(P71=21,10,IF(P71=22,9,IF(P71=23,8,IF(P71=24,7,IF(P71=25,6,IF(P71=26,5,IF(P71=27,4,IF(P71=28,3,IF(P71=29,2,IF(P71=30,1)))))))))))))))))))))))))))))))</f>
        <v/>
      </c>
      <c r="W71" s="9" t="str">
        <f>IF(OR(Q71="",Q71&gt;30),"",IF(Q71=1,60,IF(Q71=2,55,IF(Q71=3,50,IF(Q71=4,44,IF(Q71=5,38,IF(Q71=6,32,IF(Q71=7,28,IF(Q71=8,25,IF(Q71=9,22,IF(Q71=10,21,IF(Q71=11,20,IF(Q71=12,19,IF(Q71=13,18,IF(Q71=14,17,IF(Q71=15,16,IF(Q71=16,15,IF(Q71=17,14,IF(Q71=18,13,IF(Q71=19,12,IF(Q71=20,11,IF(Q71=21,10,IF(Q71=22,9,IF(Q71=23,8,IF(Q71=24,7,IF(Q71=25,6,IF(Q71=26,5,IF(Q71=27,4,IF(Q71=28,3,IF(Q71=29,2,IF(Q71=30,1)))))))))))))))))))))))))))))))</f>
        <v/>
      </c>
      <c r="X71" s="14">
        <f>IF(A71="","",IF(OR(C71="P",D71="P"),"",IF(IF(COUNT(R71:W71)&lt;5,SUM(R71:W71),IF(COUNT(R71:W71)=5,SUM(R71:W71)-MIN(R71:W71),SUM(R71:W71)-MIN(R71:W71)-SMALL(R71:W71,2)))&gt;0,IF(COUNT(R71:W71)&lt;5,SUM(R71:W71)+(1000-AB71)*10^-4+AC71*10^-5+(1000-AD71)*10^-8,IF(COUNT(R71:W71)=5,SUM(R71:W71)-MIN(R71:W71)+(1000-AB71)*10^-4+AC71*10^-5+(1000-AD71)*10^-8,SUM(R71:W71)-MIN(R71:W71)-SMALL(R71:W71,2)+(1000-AB71)*10^-4+AC71*10^-5+(1000-AD71)*10^-8)),0)))</f>
        <v>0</v>
      </c>
      <c r="Y71" s="2" t="str">
        <f>IF(OR(X71="",X71=0),"",IF(SUMPRODUCT(--(B$3:B$102=B71),--(X$3:X$102&gt;X71),--(X$3:X$102&lt;&gt;"")),"","P"))</f>
        <v/>
      </c>
      <c r="Z71" s="2" t="str">
        <f>IF(X71="","",IF(SUMPRODUCT(--(C$3:C$102="P"),--(B$3:B$102=B71)),"P",""))</f>
        <v>P</v>
      </c>
      <c r="AA71" s="14" t="str">
        <f>IF(AND(Y71&lt;&gt;"",OR(Z71="",SUMPRODUCT(--(X$3:X$102&gt;X71),--(Z$3:Z$102="P"),--(Y$3:Y$102="P"))&lt;4)),X71,"")</f>
        <v/>
      </c>
      <c r="AB71" s="9">
        <f>IF(A71="","",IF(OR(C71="P",D71="P"),"",IF(IF(COUNT(L71:Q71)&lt;5,SUM(L71:Q71),IF(COUNT(L71:Q71)=5,SUM(L71:Q71)-MIN(L71:Q71),SUM(L71:Q71)-MIN(L71:Q71)-SMALL(L71:Q71,2)))&gt;0,IF(COUNT(L71:Q71)&lt;5,SUM(L71:Q71),IF(COUNT(L71:Q71)=5,SUM(L71:Q71)-MIN(L71:Q71),SUM(L71:Q71)-MIN(L71:Q71)-SMALL(L71:Q71,2))),0)))</f>
        <v>90</v>
      </c>
      <c r="AC71" s="9">
        <f>COUNTIF(L71:Q71,"&lt;=8")</f>
        <v>0</v>
      </c>
      <c r="AD71" s="9">
        <f>MIN(L71:Q71)</f>
        <v>31</v>
      </c>
    </row>
    <row r="72" spans="1:30" x14ac:dyDescent="0.2">
      <c r="A72" s="7" t="s">
        <v>137</v>
      </c>
      <c r="B72" s="6" t="s">
        <v>58</v>
      </c>
      <c r="E72" s="3" t="str">
        <f>IF(AA72="","",RANK(AA72,AA:AA))</f>
        <v/>
      </c>
      <c r="F72" s="6">
        <v>63</v>
      </c>
      <c r="G72" s="6">
        <v>38</v>
      </c>
      <c r="H72" s="6"/>
      <c r="I72" s="6"/>
      <c r="J72" s="6"/>
      <c r="K72" s="6"/>
      <c r="L72" s="9">
        <f>IF(OR($C72&lt;&gt;"",$D72&lt;&gt;"",F72=""),"",F72-SUMPRODUCT(--($C$3:$C$102="P"),--(F$3:F$102&lt;F72),--(F$3:F$102&lt;&gt;""))-SUMPRODUCT(--($D$3:$D$102="P"),--(F$3:F$102&lt;F72),--(F$3:F$102&lt;&gt;"")))</f>
        <v>59</v>
      </c>
      <c r="M72" s="9">
        <f>IF(OR($C72&lt;&gt;"",$D72&lt;&gt;"",G72=""),"",G72-SUMPRODUCT(--($C$3:$C$102="P"),--(G$3:G$102&lt;G72),--(G$3:G$102&lt;&gt;""))-SUMPRODUCT(--($D$3:$D$102="P"),--(G$3:G$102&lt;G72),--(G$3:G$102&lt;&gt;"")))</f>
        <v>36</v>
      </c>
      <c r="N72" s="9" t="str">
        <f>IF(OR($C72&lt;&gt;"",$D72&lt;&gt;"",H72=""),"",H72-SUMPRODUCT(--($C$3:$C$102="P"),--(H$3:H$102&lt;H72),--(H$3:H$102&lt;&gt;""))-SUMPRODUCT(--($D$3:$D$102="P"),--(H$3:H$102&lt;H72),--(H$3:H$102&lt;&gt;"")))</f>
        <v/>
      </c>
      <c r="O72" s="9" t="str">
        <f>IF(OR($C72&lt;&gt;"",$D72&lt;&gt;"",I72=""),"",I72-SUMPRODUCT(--($C$3:$C$102="P"),--(I$3:I$102&lt;I72),--(I$3:I$102&lt;&gt;""))-SUMPRODUCT(--($D$3:$D$102="P"),--(I$3:I$102&lt;I72),--(I$3:I$102&lt;&gt;"")))</f>
        <v/>
      </c>
      <c r="P72" s="9" t="str">
        <f>IF(OR($C72&lt;&gt;"",$D72&lt;&gt;"",J72=""),"",J72-SUMPRODUCT(--($C$3:$C$102="P"),--(J$3:J$102&lt;J72),--(J$3:J$102&lt;&gt;""))-SUMPRODUCT(--($D$3:$D$102="P"),--(J$3:J$102&lt;J72),--(J$3:J$102&lt;&gt;"")))</f>
        <v/>
      </c>
      <c r="Q72" s="9" t="str">
        <f>IF(OR($C72&lt;&gt;"",$D72&lt;&gt;"",K72=""),"",K72-SUMPRODUCT(--($C$3:$C$102="P"),--(K$3:K$102&lt;K72),--(K$3:K$102&lt;&gt;""))-SUMPRODUCT(--($D$3:$D$102="P"),--(K$3:K$102&lt;K72),--(K$3:K$102&lt;&gt;"")))</f>
        <v/>
      </c>
      <c r="R72" s="9" t="str">
        <f>IF(OR(L72="",L72&gt;30),"",IF(L72=1,60,IF(L72=2,55,IF(L72=3,50,IF(L72=4,44,IF(L72=5,38,IF(L72=6,32,IF(L72=7,28,IF(L72=8,25,IF(L72=9,22,IF(L72=10,21,IF(L72=11,20,IF(L72=12,19,IF(L72=13,18,IF(L72=14,17,IF(L72=15,16,IF(L72=16,15,IF(L72=17,14,IF(L72=18,13,IF(L72=19,12,IF(L72=20,11,IF(L72=21,10,IF(L72=22,9,IF(L72=23,8,IF(L72=24,7,IF(L72=25,6,IF(L72=26,5,IF(L72=27,4,IF(L72=28,3,IF(L72=29,2,IF(L72=30,1)))))))))))))))))))))))))))))))</f>
        <v/>
      </c>
      <c r="S72" s="9" t="str">
        <f>IF(OR(M72="",M72&gt;30),"",IF(M72=1,60,IF(M72=2,55,IF(M72=3,50,IF(M72=4,44,IF(M72=5,38,IF(M72=6,32,IF(M72=7,28,IF(M72=8,25,IF(M72=9,22,IF(M72=10,21,IF(M72=11,20,IF(M72=12,19,IF(M72=13,18,IF(M72=14,17,IF(M72=15,16,IF(M72=16,15,IF(M72=17,14,IF(M72=18,13,IF(M72=19,12,IF(M72=20,11,IF(M72=21,10,IF(M72=22,9,IF(M72=23,8,IF(M72=24,7,IF(M72=25,6,IF(M72=26,5,IF(M72=27,4,IF(M72=28,3,IF(M72=29,2,IF(M72=30,1)))))))))))))))))))))))))))))))</f>
        <v/>
      </c>
      <c r="T72" s="9" t="str">
        <f>IF(OR(N72="",N72&gt;30),"",IF(N72=1,60,IF(N72=2,55,IF(N72=3,50,IF(N72=4,44,IF(N72=5,38,IF(N72=6,32,IF(N72=7,28,IF(N72=8,25,IF(N72=9,22,IF(N72=10,21,IF(N72=11,20,IF(N72=12,19,IF(N72=13,18,IF(N72=14,17,IF(N72=15,16,IF(N72=16,15,IF(N72=17,14,IF(N72=18,13,IF(N72=19,12,IF(N72=20,11,IF(N72=21,10,IF(N72=22,9,IF(N72=23,8,IF(N72=24,7,IF(N72=25,6,IF(N72=26,5,IF(N72=27,4,IF(N72=28,3,IF(N72=29,2,IF(N72=30,1)))))))))))))))))))))))))))))))</f>
        <v/>
      </c>
      <c r="U72" s="9" t="str">
        <f>IF(OR(O72="",O72&gt;30),"",IF(O72=1,60,IF(O72=2,55,IF(O72=3,50,IF(O72=4,44,IF(O72=5,38,IF(O72=6,32,IF(O72=7,28,IF(O72=8,25,IF(O72=9,22,IF(O72=10,21,IF(O72=11,20,IF(O72=12,19,IF(O72=13,18,IF(O72=14,17,IF(O72=15,16,IF(O72=16,15,IF(O72=17,14,IF(O72=18,13,IF(O72=19,12,IF(O72=20,11,IF(O72=21,10,IF(O72=22,9,IF(O72=23,8,IF(O72=24,7,IF(O72=25,6,IF(O72=26,5,IF(O72=27,4,IF(O72=28,3,IF(O72=29,2,IF(O72=30,1)))))))))))))))))))))))))))))))</f>
        <v/>
      </c>
      <c r="V72" s="9" t="str">
        <f>IF(OR(P72="",P72&gt;30),"",IF(P72=1,60,IF(P72=2,55,IF(P72=3,50,IF(P72=4,44,IF(P72=5,38,IF(P72=6,32,IF(P72=7,28,IF(P72=8,25,IF(P72=9,22,IF(P72=10,21,IF(P72=11,20,IF(P72=12,19,IF(P72=13,18,IF(P72=14,17,IF(P72=15,16,IF(P72=16,15,IF(P72=17,14,IF(P72=18,13,IF(P72=19,12,IF(P72=20,11,IF(P72=21,10,IF(P72=22,9,IF(P72=23,8,IF(P72=24,7,IF(P72=25,6,IF(P72=26,5,IF(P72=27,4,IF(P72=28,3,IF(P72=29,2,IF(P72=30,1)))))))))))))))))))))))))))))))</f>
        <v/>
      </c>
      <c r="W72" s="9" t="str">
        <f>IF(OR(Q72="",Q72&gt;30),"",IF(Q72=1,60,IF(Q72=2,55,IF(Q72=3,50,IF(Q72=4,44,IF(Q72=5,38,IF(Q72=6,32,IF(Q72=7,28,IF(Q72=8,25,IF(Q72=9,22,IF(Q72=10,21,IF(Q72=11,20,IF(Q72=12,19,IF(Q72=13,18,IF(Q72=14,17,IF(Q72=15,16,IF(Q72=16,15,IF(Q72=17,14,IF(Q72=18,13,IF(Q72=19,12,IF(Q72=20,11,IF(Q72=21,10,IF(Q72=22,9,IF(Q72=23,8,IF(Q72=24,7,IF(Q72=25,6,IF(Q72=26,5,IF(Q72=27,4,IF(Q72=28,3,IF(Q72=29,2,IF(Q72=30,1)))))))))))))))))))))))))))))))</f>
        <v/>
      </c>
      <c r="X72" s="14">
        <f>IF(A72="","",IF(OR(C72="P",D72="P"),"",IF(IF(COUNT(R72:W72)&lt;5,SUM(R72:W72),IF(COUNT(R72:W72)=5,SUM(R72:W72)-MIN(R72:W72),SUM(R72:W72)-MIN(R72:W72)-SMALL(R72:W72,2)))&gt;0,IF(COUNT(R72:W72)&lt;5,SUM(R72:W72)+(1000-AB72)*10^-4+AC72*10^-5+(1000-AD72)*10^-8,IF(COUNT(R72:W72)=5,SUM(R72:W72)-MIN(R72:W72)+(1000-AB72)*10^-4+AC72*10^-5+(1000-AD72)*10^-8,SUM(R72:W72)-MIN(R72:W72)-SMALL(R72:W72,2)+(1000-AB72)*10^-4+AC72*10^-5+(1000-AD72)*10^-8)),0)))</f>
        <v>0</v>
      </c>
      <c r="Y72" s="2" t="str">
        <f>IF(OR(X72="",X72=0),"",IF(SUMPRODUCT(--(B$3:B$102=B72),--(X$3:X$102&gt;X72),--(X$3:X$102&lt;&gt;"")),"","P"))</f>
        <v/>
      </c>
      <c r="Z72" s="2" t="str">
        <f>IF(X72="","",IF(SUMPRODUCT(--(C$3:C$102="P"),--(B$3:B$102=B72)),"P",""))</f>
        <v/>
      </c>
      <c r="AA72" s="14" t="str">
        <f>IF(AND(Y72&lt;&gt;"",OR(Z72="",SUMPRODUCT(--(X$3:X$102&gt;X72),--(Z$3:Z$102="P"),--(Y$3:Y$102="P"))&lt;4)),X72,"")</f>
        <v/>
      </c>
      <c r="AB72" s="9">
        <f>IF(A72="","",IF(OR(C72="P",D72="P"),"",IF(IF(COUNT(L72:Q72)&lt;5,SUM(L72:Q72),IF(COUNT(L72:Q72)=5,SUM(L72:Q72)-MIN(L72:Q72),SUM(L72:Q72)-MIN(L72:Q72)-SMALL(L72:Q72,2)))&gt;0,IF(COUNT(L72:Q72)&lt;5,SUM(L72:Q72),IF(COUNT(L72:Q72)=5,SUM(L72:Q72)-MIN(L72:Q72),SUM(L72:Q72)-MIN(L72:Q72)-SMALL(L72:Q72,2))),0)))</f>
        <v>95</v>
      </c>
      <c r="AC72" s="9">
        <f>COUNTIF(L72:Q72,"&lt;=8")</f>
        <v>0</v>
      </c>
      <c r="AD72" s="9">
        <f>MIN(L72:Q72)</f>
        <v>36</v>
      </c>
    </row>
    <row r="73" spans="1:30" x14ac:dyDescent="0.2">
      <c r="A73" s="7" t="s">
        <v>104</v>
      </c>
      <c r="B73" s="6" t="s">
        <v>110</v>
      </c>
      <c r="E73" s="3" t="str">
        <f>IF(AA73="","",RANK(AA73,AA:AA))</f>
        <v/>
      </c>
      <c r="F73" s="6">
        <v>37</v>
      </c>
      <c r="G73" s="6">
        <v>64</v>
      </c>
      <c r="H73" s="6">
        <v>42</v>
      </c>
      <c r="I73" s="6">
        <v>50</v>
      </c>
      <c r="J73" s="6"/>
      <c r="K73" s="6"/>
      <c r="L73" s="9">
        <f>IF(OR($C73&lt;&gt;"",$D73&lt;&gt;"",F73=""),"",F73-SUMPRODUCT(--($C$3:$C$102="P"),--(F$3:F$102&lt;F73),--(F$3:F$102&lt;&gt;""))-SUMPRODUCT(--($D$3:$D$102="P"),--(F$3:F$102&lt;F73),--(F$3:F$102&lt;&gt;"")))</f>
        <v>34</v>
      </c>
      <c r="M73" s="9">
        <f>IF(OR($C73&lt;&gt;"",$D73&lt;&gt;"",G73=""),"",G73-SUMPRODUCT(--($C$3:$C$102="P"),--(G$3:G$102&lt;G73),--(G$3:G$102&lt;&gt;""))-SUMPRODUCT(--($D$3:$D$102="P"),--(G$3:G$102&lt;G73),--(G$3:G$102&lt;&gt;"")))</f>
        <v>62</v>
      </c>
      <c r="N73" s="9">
        <f>IF(OR($C73&lt;&gt;"",$D73&lt;&gt;"",H73=""),"",H73-SUMPRODUCT(--($C$3:$C$102="P"),--(H$3:H$102&lt;H73),--(H$3:H$102&lt;&gt;""))-SUMPRODUCT(--($D$3:$D$102="P"),--(H$3:H$102&lt;H73),--(H$3:H$102&lt;&gt;"")))</f>
        <v>38</v>
      </c>
      <c r="O73" s="9">
        <f>IF(OR($C73&lt;&gt;"",$D73&lt;&gt;"",I73=""),"",I73-SUMPRODUCT(--($C$3:$C$102="P"),--(I$3:I$102&lt;I73),--(I$3:I$102&lt;&gt;""))-SUMPRODUCT(--($D$3:$D$102="P"),--(I$3:I$102&lt;I73),--(I$3:I$102&lt;&gt;"")))</f>
        <v>45</v>
      </c>
      <c r="P73" s="9" t="str">
        <f>IF(OR($C73&lt;&gt;"",$D73&lt;&gt;"",J73=""),"",J73-SUMPRODUCT(--($C$3:$C$102="P"),--(J$3:J$102&lt;J73),--(J$3:J$102&lt;&gt;""))-SUMPRODUCT(--($D$3:$D$102="P"),--(J$3:J$102&lt;J73),--(J$3:J$102&lt;&gt;"")))</f>
        <v/>
      </c>
      <c r="Q73" s="9" t="str">
        <f>IF(OR($C73&lt;&gt;"",$D73&lt;&gt;"",K73=""),"",K73-SUMPRODUCT(--($C$3:$C$102="P"),--(K$3:K$102&lt;K73),--(K$3:K$102&lt;&gt;""))-SUMPRODUCT(--($D$3:$D$102="P"),--(K$3:K$102&lt;K73),--(K$3:K$102&lt;&gt;"")))</f>
        <v/>
      </c>
      <c r="R73" s="9" t="str">
        <f>IF(OR(L73="",L73&gt;30),"",IF(L73=1,60,IF(L73=2,55,IF(L73=3,50,IF(L73=4,44,IF(L73=5,38,IF(L73=6,32,IF(L73=7,28,IF(L73=8,25,IF(L73=9,22,IF(L73=10,21,IF(L73=11,20,IF(L73=12,19,IF(L73=13,18,IF(L73=14,17,IF(L73=15,16,IF(L73=16,15,IF(L73=17,14,IF(L73=18,13,IF(L73=19,12,IF(L73=20,11,IF(L73=21,10,IF(L73=22,9,IF(L73=23,8,IF(L73=24,7,IF(L73=25,6,IF(L73=26,5,IF(L73=27,4,IF(L73=28,3,IF(L73=29,2,IF(L73=30,1)))))))))))))))))))))))))))))))</f>
        <v/>
      </c>
      <c r="S73" s="9" t="str">
        <f>IF(OR(M73="",M73&gt;30),"",IF(M73=1,60,IF(M73=2,55,IF(M73=3,50,IF(M73=4,44,IF(M73=5,38,IF(M73=6,32,IF(M73=7,28,IF(M73=8,25,IF(M73=9,22,IF(M73=10,21,IF(M73=11,20,IF(M73=12,19,IF(M73=13,18,IF(M73=14,17,IF(M73=15,16,IF(M73=16,15,IF(M73=17,14,IF(M73=18,13,IF(M73=19,12,IF(M73=20,11,IF(M73=21,10,IF(M73=22,9,IF(M73=23,8,IF(M73=24,7,IF(M73=25,6,IF(M73=26,5,IF(M73=27,4,IF(M73=28,3,IF(M73=29,2,IF(M73=30,1)))))))))))))))))))))))))))))))</f>
        <v/>
      </c>
      <c r="T73" s="9" t="str">
        <f>IF(OR(N73="",N73&gt;30),"",IF(N73=1,60,IF(N73=2,55,IF(N73=3,50,IF(N73=4,44,IF(N73=5,38,IF(N73=6,32,IF(N73=7,28,IF(N73=8,25,IF(N73=9,22,IF(N73=10,21,IF(N73=11,20,IF(N73=12,19,IF(N73=13,18,IF(N73=14,17,IF(N73=15,16,IF(N73=16,15,IF(N73=17,14,IF(N73=18,13,IF(N73=19,12,IF(N73=20,11,IF(N73=21,10,IF(N73=22,9,IF(N73=23,8,IF(N73=24,7,IF(N73=25,6,IF(N73=26,5,IF(N73=27,4,IF(N73=28,3,IF(N73=29,2,IF(N73=30,1)))))))))))))))))))))))))))))))</f>
        <v/>
      </c>
      <c r="U73" s="9" t="str">
        <f>IF(OR(O73="",O73&gt;30),"",IF(O73=1,60,IF(O73=2,55,IF(O73=3,50,IF(O73=4,44,IF(O73=5,38,IF(O73=6,32,IF(O73=7,28,IF(O73=8,25,IF(O73=9,22,IF(O73=10,21,IF(O73=11,20,IF(O73=12,19,IF(O73=13,18,IF(O73=14,17,IF(O73=15,16,IF(O73=16,15,IF(O73=17,14,IF(O73=18,13,IF(O73=19,12,IF(O73=20,11,IF(O73=21,10,IF(O73=22,9,IF(O73=23,8,IF(O73=24,7,IF(O73=25,6,IF(O73=26,5,IF(O73=27,4,IF(O73=28,3,IF(O73=29,2,IF(O73=30,1)))))))))))))))))))))))))))))))</f>
        <v/>
      </c>
      <c r="V73" s="9" t="str">
        <f>IF(OR(P73="",P73&gt;30),"",IF(P73=1,60,IF(P73=2,55,IF(P73=3,50,IF(P73=4,44,IF(P73=5,38,IF(P73=6,32,IF(P73=7,28,IF(P73=8,25,IF(P73=9,22,IF(P73=10,21,IF(P73=11,20,IF(P73=12,19,IF(P73=13,18,IF(P73=14,17,IF(P73=15,16,IF(P73=16,15,IF(P73=17,14,IF(P73=18,13,IF(P73=19,12,IF(P73=20,11,IF(P73=21,10,IF(P73=22,9,IF(P73=23,8,IF(P73=24,7,IF(P73=25,6,IF(P73=26,5,IF(P73=27,4,IF(P73=28,3,IF(P73=29,2,IF(P73=30,1)))))))))))))))))))))))))))))))</f>
        <v/>
      </c>
      <c r="W73" s="9" t="str">
        <f>IF(OR(Q73="",Q73&gt;30),"",IF(Q73=1,60,IF(Q73=2,55,IF(Q73=3,50,IF(Q73=4,44,IF(Q73=5,38,IF(Q73=6,32,IF(Q73=7,28,IF(Q73=8,25,IF(Q73=9,22,IF(Q73=10,21,IF(Q73=11,20,IF(Q73=12,19,IF(Q73=13,18,IF(Q73=14,17,IF(Q73=15,16,IF(Q73=16,15,IF(Q73=17,14,IF(Q73=18,13,IF(Q73=19,12,IF(Q73=20,11,IF(Q73=21,10,IF(Q73=22,9,IF(Q73=23,8,IF(Q73=24,7,IF(Q73=25,6,IF(Q73=26,5,IF(Q73=27,4,IF(Q73=28,3,IF(Q73=29,2,IF(Q73=30,1)))))))))))))))))))))))))))))))</f>
        <v/>
      </c>
      <c r="X73" s="14">
        <f>IF(A73="","",IF(OR(C73="P",D73="P"),"",IF(IF(COUNT(R73:W73)&lt;5,SUM(R73:W73),IF(COUNT(R73:W73)=5,SUM(R73:W73)-MIN(R73:W73),SUM(R73:W73)-MIN(R73:W73)-SMALL(R73:W73,2)))&gt;0,IF(COUNT(R73:W73)&lt;5,SUM(R73:W73)+(1000-AB73)*10^-4+AC73*10^-5+(1000-AD73)*10^-8,IF(COUNT(R73:W73)=5,SUM(R73:W73)-MIN(R73:W73)+(1000-AB73)*10^-4+AC73*10^-5+(1000-AD73)*10^-8,SUM(R73:W73)-MIN(R73:W73)-SMALL(R73:W73,2)+(1000-AB73)*10^-4+AC73*10^-5+(1000-AD73)*10^-8)),0)))</f>
        <v>0</v>
      </c>
      <c r="Y73" s="2" t="str">
        <f>IF(OR(X73="",X73=0),"",IF(SUMPRODUCT(--(B$3:B$102=B73),--(X$3:X$102&gt;X73),--(X$3:X$102&lt;&gt;"")),"","P"))</f>
        <v/>
      </c>
      <c r="Z73" s="2" t="str">
        <f>IF(X73="","",IF(SUMPRODUCT(--(C$3:C$102="P"),--(B$3:B$102=B73)),"P",""))</f>
        <v/>
      </c>
      <c r="AA73" s="14" t="str">
        <f>IF(AND(Y73&lt;&gt;"",OR(Z73="",SUMPRODUCT(--(X$3:X$102&gt;X73),--(Z$3:Z$102="P"),--(Y$3:Y$102="P"))&lt;4)),X73,"")</f>
        <v/>
      </c>
      <c r="AB73" s="9">
        <f>IF(A73="","",IF(OR(C73="P",D73="P"),"",IF(IF(COUNT(L73:Q73)&lt;5,SUM(L73:Q73),IF(COUNT(L73:Q73)=5,SUM(L73:Q73)-MIN(L73:Q73),SUM(L73:Q73)-MIN(L73:Q73)-SMALL(L73:Q73,2)))&gt;0,IF(COUNT(L73:Q73)&lt;5,SUM(L73:Q73),IF(COUNT(L73:Q73)=5,SUM(L73:Q73)-MIN(L73:Q73),SUM(L73:Q73)-MIN(L73:Q73)-SMALL(L73:Q73,2))),0)))</f>
        <v>179</v>
      </c>
      <c r="AC73" s="9">
        <f>COUNTIF(L73:Q73,"&lt;=8")</f>
        <v>0</v>
      </c>
      <c r="AD73" s="9">
        <f>MIN(L73:Q73)</f>
        <v>34</v>
      </c>
    </row>
    <row r="74" spans="1:30" x14ac:dyDescent="0.2">
      <c r="A74" s="7" t="s">
        <v>187</v>
      </c>
      <c r="B74" s="6" t="s">
        <v>54</v>
      </c>
      <c r="E74" s="3" t="str">
        <f>IF(AA74="","",RANK(AA74,AA:AA))</f>
        <v/>
      </c>
      <c r="F74" s="6"/>
      <c r="G74" s="6"/>
      <c r="H74" s="6">
        <v>46</v>
      </c>
      <c r="I74" s="6">
        <v>38</v>
      </c>
      <c r="J74" s="6">
        <v>55</v>
      </c>
      <c r="K74" s="6"/>
      <c r="L74" s="9" t="str">
        <f>IF(OR($C74&lt;&gt;"",$D74&lt;&gt;"",F74=""),"",F74-SUMPRODUCT(--($C$3:$C$102="P"),--(F$3:F$102&lt;F74),--(F$3:F$102&lt;&gt;""))-SUMPRODUCT(--($D$3:$D$102="P"),--(F$3:F$102&lt;F74),--(F$3:F$102&lt;&gt;"")))</f>
        <v/>
      </c>
      <c r="M74" s="9" t="str">
        <f>IF(OR($C74&lt;&gt;"",$D74&lt;&gt;"",G74=""),"",G74-SUMPRODUCT(--($C$3:$C$102="P"),--(G$3:G$102&lt;G74),--(G$3:G$102&lt;&gt;""))-SUMPRODUCT(--($D$3:$D$102="P"),--(G$3:G$102&lt;G74),--(G$3:G$102&lt;&gt;"")))</f>
        <v/>
      </c>
      <c r="N74" s="9">
        <f>IF(OR($C74&lt;&gt;"",$D74&lt;&gt;"",H74=""),"",H74-SUMPRODUCT(--($C$3:$C$102="P"),--(H$3:H$102&lt;H74),--(H$3:H$102&lt;&gt;""))-SUMPRODUCT(--($D$3:$D$102="P"),--(H$3:H$102&lt;H74),--(H$3:H$102&lt;&gt;"")))</f>
        <v>42</v>
      </c>
      <c r="O74" s="9">
        <f>IF(OR($C74&lt;&gt;"",$D74&lt;&gt;"",I74=""),"",I74-SUMPRODUCT(--($C$3:$C$102="P"),--(I$3:I$102&lt;I74),--(I$3:I$102&lt;&gt;""))-SUMPRODUCT(--($D$3:$D$102="P"),--(I$3:I$102&lt;I74),--(I$3:I$102&lt;&gt;"")))</f>
        <v>33</v>
      </c>
      <c r="P74" s="9">
        <f>IF(OR($C74&lt;&gt;"",$D74&lt;&gt;"",J74=""),"",J74-SUMPRODUCT(--($C$3:$C$102="P"),--(J$3:J$102&lt;J74),--(J$3:J$102&lt;&gt;""))-SUMPRODUCT(--($D$3:$D$102="P"),--(J$3:J$102&lt;J74),--(J$3:J$102&lt;&gt;"")))</f>
        <v>51</v>
      </c>
      <c r="Q74" s="9" t="str">
        <f>IF(OR($C74&lt;&gt;"",$D74&lt;&gt;"",K74=""),"",K74-SUMPRODUCT(--($C$3:$C$102="P"),--(K$3:K$102&lt;K74),--(K$3:K$102&lt;&gt;""))-SUMPRODUCT(--($D$3:$D$102="P"),--(K$3:K$102&lt;K74),--(K$3:K$102&lt;&gt;"")))</f>
        <v/>
      </c>
      <c r="R74" s="9" t="str">
        <f>IF(OR(L74="",L74&gt;30),"",IF(L74=1,60,IF(L74=2,55,IF(L74=3,50,IF(L74=4,44,IF(L74=5,38,IF(L74=6,32,IF(L74=7,28,IF(L74=8,25,IF(L74=9,22,IF(L74=10,21,IF(L74=11,20,IF(L74=12,19,IF(L74=13,18,IF(L74=14,17,IF(L74=15,16,IF(L74=16,15,IF(L74=17,14,IF(L74=18,13,IF(L74=19,12,IF(L74=20,11,IF(L74=21,10,IF(L74=22,9,IF(L74=23,8,IF(L74=24,7,IF(L74=25,6,IF(L74=26,5,IF(L74=27,4,IF(L74=28,3,IF(L74=29,2,IF(L74=30,1)))))))))))))))))))))))))))))))</f>
        <v/>
      </c>
      <c r="S74" s="9" t="str">
        <f>IF(OR(M74="",M74&gt;30),"",IF(M74=1,60,IF(M74=2,55,IF(M74=3,50,IF(M74=4,44,IF(M74=5,38,IF(M74=6,32,IF(M74=7,28,IF(M74=8,25,IF(M74=9,22,IF(M74=10,21,IF(M74=11,20,IF(M74=12,19,IF(M74=13,18,IF(M74=14,17,IF(M74=15,16,IF(M74=16,15,IF(M74=17,14,IF(M74=18,13,IF(M74=19,12,IF(M74=20,11,IF(M74=21,10,IF(M74=22,9,IF(M74=23,8,IF(M74=24,7,IF(M74=25,6,IF(M74=26,5,IF(M74=27,4,IF(M74=28,3,IF(M74=29,2,IF(M74=30,1)))))))))))))))))))))))))))))))</f>
        <v/>
      </c>
      <c r="T74" s="9" t="str">
        <f>IF(OR(N74="",N74&gt;30),"",IF(N74=1,60,IF(N74=2,55,IF(N74=3,50,IF(N74=4,44,IF(N74=5,38,IF(N74=6,32,IF(N74=7,28,IF(N74=8,25,IF(N74=9,22,IF(N74=10,21,IF(N74=11,20,IF(N74=12,19,IF(N74=13,18,IF(N74=14,17,IF(N74=15,16,IF(N74=16,15,IF(N74=17,14,IF(N74=18,13,IF(N74=19,12,IF(N74=20,11,IF(N74=21,10,IF(N74=22,9,IF(N74=23,8,IF(N74=24,7,IF(N74=25,6,IF(N74=26,5,IF(N74=27,4,IF(N74=28,3,IF(N74=29,2,IF(N74=30,1)))))))))))))))))))))))))))))))</f>
        <v/>
      </c>
      <c r="U74" s="9" t="str">
        <f>IF(OR(O74="",O74&gt;30),"",IF(O74=1,60,IF(O74=2,55,IF(O74=3,50,IF(O74=4,44,IF(O74=5,38,IF(O74=6,32,IF(O74=7,28,IF(O74=8,25,IF(O74=9,22,IF(O74=10,21,IF(O74=11,20,IF(O74=12,19,IF(O74=13,18,IF(O74=14,17,IF(O74=15,16,IF(O74=16,15,IF(O74=17,14,IF(O74=18,13,IF(O74=19,12,IF(O74=20,11,IF(O74=21,10,IF(O74=22,9,IF(O74=23,8,IF(O74=24,7,IF(O74=25,6,IF(O74=26,5,IF(O74=27,4,IF(O74=28,3,IF(O74=29,2,IF(O74=30,1)))))))))))))))))))))))))))))))</f>
        <v/>
      </c>
      <c r="V74" s="9" t="str">
        <f>IF(OR(P74="",P74&gt;30),"",IF(P74=1,60,IF(P74=2,55,IF(P74=3,50,IF(P74=4,44,IF(P74=5,38,IF(P74=6,32,IF(P74=7,28,IF(P74=8,25,IF(P74=9,22,IF(P74=10,21,IF(P74=11,20,IF(P74=12,19,IF(P74=13,18,IF(P74=14,17,IF(P74=15,16,IF(P74=16,15,IF(P74=17,14,IF(P74=18,13,IF(P74=19,12,IF(P74=20,11,IF(P74=21,10,IF(P74=22,9,IF(P74=23,8,IF(P74=24,7,IF(P74=25,6,IF(P74=26,5,IF(P74=27,4,IF(P74=28,3,IF(P74=29,2,IF(P74=30,1)))))))))))))))))))))))))))))))</f>
        <v/>
      </c>
      <c r="W74" s="9" t="str">
        <f>IF(OR(Q74="",Q74&gt;30),"",IF(Q74=1,60,IF(Q74=2,55,IF(Q74=3,50,IF(Q74=4,44,IF(Q74=5,38,IF(Q74=6,32,IF(Q74=7,28,IF(Q74=8,25,IF(Q74=9,22,IF(Q74=10,21,IF(Q74=11,20,IF(Q74=12,19,IF(Q74=13,18,IF(Q74=14,17,IF(Q74=15,16,IF(Q74=16,15,IF(Q74=17,14,IF(Q74=18,13,IF(Q74=19,12,IF(Q74=20,11,IF(Q74=21,10,IF(Q74=22,9,IF(Q74=23,8,IF(Q74=24,7,IF(Q74=25,6,IF(Q74=26,5,IF(Q74=27,4,IF(Q74=28,3,IF(Q74=29,2,IF(Q74=30,1)))))))))))))))))))))))))))))))</f>
        <v/>
      </c>
      <c r="X74" s="14">
        <f>IF(A74="","",IF(OR(C74="P",D74="P"),"",IF(IF(COUNT(R74:W74)&lt;5,SUM(R74:W74),IF(COUNT(R74:W74)=5,SUM(R74:W74)-MIN(R74:W74),SUM(R74:W74)-MIN(R74:W74)-SMALL(R74:W74,2)))&gt;0,IF(COUNT(R74:W74)&lt;5,SUM(R74:W74)+(1000-AB74)*10^-4+AC74*10^-5+(1000-AD74)*10^-8,IF(COUNT(R74:W74)=5,SUM(R74:W74)-MIN(R74:W74)+(1000-AB74)*10^-4+AC74*10^-5+(1000-AD74)*10^-8,SUM(R74:W74)-MIN(R74:W74)-SMALL(R74:W74,2)+(1000-AB74)*10^-4+AC74*10^-5+(1000-AD74)*10^-8)),0)))</f>
        <v>0</v>
      </c>
      <c r="Y74" s="2" t="str">
        <f>IF(OR(X74="",X74=0),"",IF(SUMPRODUCT(--(B$3:B$102=B74),--(X$3:X$102&gt;X74),--(X$3:X$102&lt;&gt;"")),"","P"))</f>
        <v/>
      </c>
      <c r="Z74" s="2" t="str">
        <f>IF(X74="","",IF(SUMPRODUCT(--(C$3:C$102="P"),--(B$3:B$102=B74)),"P",""))</f>
        <v/>
      </c>
      <c r="AA74" s="14" t="str">
        <f>IF(AND(Y74&lt;&gt;"",OR(Z74="",SUMPRODUCT(--(X$3:X$102&gt;X74),--(Z$3:Z$102="P"),--(Y$3:Y$102="P"))&lt;4)),X74,"")</f>
        <v/>
      </c>
      <c r="AB74" s="9">
        <f>IF(A74="","",IF(OR(C74="P",D74="P"),"",IF(IF(COUNT(L74:Q74)&lt;5,SUM(L74:Q74),IF(COUNT(L74:Q74)=5,SUM(L74:Q74)-MIN(L74:Q74),SUM(L74:Q74)-MIN(L74:Q74)-SMALL(L74:Q74,2)))&gt;0,IF(COUNT(L74:Q74)&lt;5,SUM(L74:Q74),IF(COUNT(L74:Q74)=5,SUM(L74:Q74)-MIN(L74:Q74),SUM(L74:Q74)-MIN(L74:Q74)-SMALL(L74:Q74,2))),0)))</f>
        <v>126</v>
      </c>
      <c r="AC74" s="9">
        <f>COUNTIF(L74:Q74,"&lt;=8")</f>
        <v>0</v>
      </c>
      <c r="AD74" s="9">
        <f>MIN(L74:Q74)</f>
        <v>33</v>
      </c>
    </row>
    <row r="75" spans="1:30" x14ac:dyDescent="0.2">
      <c r="A75" s="7" t="s">
        <v>197</v>
      </c>
      <c r="B75" s="6" t="s">
        <v>17</v>
      </c>
      <c r="E75" s="3" t="str">
        <f>IF(AA75="","",RANK(AA75,AA:AA))</f>
        <v/>
      </c>
      <c r="F75" s="6"/>
      <c r="G75" s="6"/>
      <c r="H75" s="6"/>
      <c r="I75" s="6"/>
      <c r="J75" s="6">
        <v>35</v>
      </c>
      <c r="K75" s="6"/>
      <c r="L75" s="9" t="str">
        <f>IF(OR($C75&lt;&gt;"",$D75&lt;&gt;"",F75=""),"",F75-SUMPRODUCT(--($C$3:$C$102="P"),--(F$3:F$102&lt;F75),--(F$3:F$102&lt;&gt;""))-SUMPRODUCT(--($D$3:$D$102="P"),--(F$3:F$102&lt;F75),--(F$3:F$102&lt;&gt;"")))</f>
        <v/>
      </c>
      <c r="M75" s="9" t="str">
        <f>IF(OR($C75&lt;&gt;"",$D75&lt;&gt;"",G75=""),"",G75-SUMPRODUCT(--($C$3:$C$102="P"),--(G$3:G$102&lt;G75),--(G$3:G$102&lt;&gt;""))-SUMPRODUCT(--($D$3:$D$102="P"),--(G$3:G$102&lt;G75),--(G$3:G$102&lt;&gt;"")))</f>
        <v/>
      </c>
      <c r="N75" s="9" t="str">
        <f>IF(OR($C75&lt;&gt;"",$D75&lt;&gt;"",H75=""),"",H75-SUMPRODUCT(--($C$3:$C$102="P"),--(H$3:H$102&lt;H75),--(H$3:H$102&lt;&gt;""))-SUMPRODUCT(--($D$3:$D$102="P"),--(H$3:H$102&lt;H75),--(H$3:H$102&lt;&gt;"")))</f>
        <v/>
      </c>
      <c r="O75" s="9" t="str">
        <f>IF(OR($C75&lt;&gt;"",$D75&lt;&gt;"",I75=""),"",I75-SUMPRODUCT(--($C$3:$C$102="P"),--(I$3:I$102&lt;I75),--(I$3:I$102&lt;&gt;""))-SUMPRODUCT(--($D$3:$D$102="P"),--(I$3:I$102&lt;I75),--(I$3:I$102&lt;&gt;"")))</f>
        <v/>
      </c>
      <c r="P75" s="9">
        <f>IF(OR($C75&lt;&gt;"",$D75&lt;&gt;"",J75=""),"",J75-SUMPRODUCT(--($C$3:$C$102="P"),--(J$3:J$102&lt;J75),--(J$3:J$102&lt;&gt;""))-SUMPRODUCT(--($D$3:$D$102="P"),--(J$3:J$102&lt;J75),--(J$3:J$102&lt;&gt;"")))</f>
        <v>33</v>
      </c>
      <c r="Q75" s="9" t="str">
        <f>IF(OR($C75&lt;&gt;"",$D75&lt;&gt;"",K75=""),"",K75-SUMPRODUCT(--($C$3:$C$102="P"),--(K$3:K$102&lt;K75),--(K$3:K$102&lt;&gt;""))-SUMPRODUCT(--($D$3:$D$102="P"),--(K$3:K$102&lt;K75),--(K$3:K$102&lt;&gt;"")))</f>
        <v/>
      </c>
      <c r="R75" s="9" t="str">
        <f>IF(OR(L75="",L75&gt;30),"",IF(L75=1,60,IF(L75=2,55,IF(L75=3,50,IF(L75=4,44,IF(L75=5,38,IF(L75=6,32,IF(L75=7,28,IF(L75=8,25,IF(L75=9,22,IF(L75=10,21,IF(L75=11,20,IF(L75=12,19,IF(L75=13,18,IF(L75=14,17,IF(L75=15,16,IF(L75=16,15,IF(L75=17,14,IF(L75=18,13,IF(L75=19,12,IF(L75=20,11,IF(L75=21,10,IF(L75=22,9,IF(L75=23,8,IF(L75=24,7,IF(L75=25,6,IF(L75=26,5,IF(L75=27,4,IF(L75=28,3,IF(L75=29,2,IF(L75=30,1)))))))))))))))))))))))))))))))</f>
        <v/>
      </c>
      <c r="S75" s="9" t="str">
        <f>IF(OR(M75="",M75&gt;30),"",IF(M75=1,60,IF(M75=2,55,IF(M75=3,50,IF(M75=4,44,IF(M75=5,38,IF(M75=6,32,IF(M75=7,28,IF(M75=8,25,IF(M75=9,22,IF(M75=10,21,IF(M75=11,20,IF(M75=12,19,IF(M75=13,18,IF(M75=14,17,IF(M75=15,16,IF(M75=16,15,IF(M75=17,14,IF(M75=18,13,IF(M75=19,12,IF(M75=20,11,IF(M75=21,10,IF(M75=22,9,IF(M75=23,8,IF(M75=24,7,IF(M75=25,6,IF(M75=26,5,IF(M75=27,4,IF(M75=28,3,IF(M75=29,2,IF(M75=30,1)))))))))))))))))))))))))))))))</f>
        <v/>
      </c>
      <c r="T75" s="9" t="str">
        <f>IF(OR(N75="",N75&gt;30),"",IF(N75=1,60,IF(N75=2,55,IF(N75=3,50,IF(N75=4,44,IF(N75=5,38,IF(N75=6,32,IF(N75=7,28,IF(N75=8,25,IF(N75=9,22,IF(N75=10,21,IF(N75=11,20,IF(N75=12,19,IF(N75=13,18,IF(N75=14,17,IF(N75=15,16,IF(N75=16,15,IF(N75=17,14,IF(N75=18,13,IF(N75=19,12,IF(N75=20,11,IF(N75=21,10,IF(N75=22,9,IF(N75=23,8,IF(N75=24,7,IF(N75=25,6,IF(N75=26,5,IF(N75=27,4,IF(N75=28,3,IF(N75=29,2,IF(N75=30,1)))))))))))))))))))))))))))))))</f>
        <v/>
      </c>
      <c r="U75" s="9" t="str">
        <f>IF(OR(O75="",O75&gt;30),"",IF(O75=1,60,IF(O75=2,55,IF(O75=3,50,IF(O75=4,44,IF(O75=5,38,IF(O75=6,32,IF(O75=7,28,IF(O75=8,25,IF(O75=9,22,IF(O75=10,21,IF(O75=11,20,IF(O75=12,19,IF(O75=13,18,IF(O75=14,17,IF(O75=15,16,IF(O75=16,15,IF(O75=17,14,IF(O75=18,13,IF(O75=19,12,IF(O75=20,11,IF(O75=21,10,IF(O75=22,9,IF(O75=23,8,IF(O75=24,7,IF(O75=25,6,IF(O75=26,5,IF(O75=27,4,IF(O75=28,3,IF(O75=29,2,IF(O75=30,1)))))))))))))))))))))))))))))))</f>
        <v/>
      </c>
      <c r="V75" s="9" t="str">
        <f>IF(OR(P75="",P75&gt;30),"",IF(P75=1,60,IF(P75=2,55,IF(P75=3,50,IF(P75=4,44,IF(P75=5,38,IF(P75=6,32,IF(P75=7,28,IF(P75=8,25,IF(P75=9,22,IF(P75=10,21,IF(P75=11,20,IF(P75=12,19,IF(P75=13,18,IF(P75=14,17,IF(P75=15,16,IF(P75=16,15,IF(P75=17,14,IF(P75=18,13,IF(P75=19,12,IF(P75=20,11,IF(P75=21,10,IF(P75=22,9,IF(P75=23,8,IF(P75=24,7,IF(P75=25,6,IF(P75=26,5,IF(P75=27,4,IF(P75=28,3,IF(P75=29,2,IF(P75=30,1)))))))))))))))))))))))))))))))</f>
        <v/>
      </c>
      <c r="W75" s="9" t="str">
        <f>IF(OR(Q75="",Q75&gt;30),"",IF(Q75=1,60,IF(Q75=2,55,IF(Q75=3,50,IF(Q75=4,44,IF(Q75=5,38,IF(Q75=6,32,IF(Q75=7,28,IF(Q75=8,25,IF(Q75=9,22,IF(Q75=10,21,IF(Q75=11,20,IF(Q75=12,19,IF(Q75=13,18,IF(Q75=14,17,IF(Q75=15,16,IF(Q75=16,15,IF(Q75=17,14,IF(Q75=18,13,IF(Q75=19,12,IF(Q75=20,11,IF(Q75=21,10,IF(Q75=22,9,IF(Q75=23,8,IF(Q75=24,7,IF(Q75=25,6,IF(Q75=26,5,IF(Q75=27,4,IF(Q75=28,3,IF(Q75=29,2,IF(Q75=30,1)))))))))))))))))))))))))))))))</f>
        <v/>
      </c>
      <c r="X75" s="14">
        <f>IF(A75="","",IF(OR(C75="P",D75="P"),"",IF(IF(COUNT(R75:W75)&lt;5,SUM(R75:W75),IF(COUNT(R75:W75)=5,SUM(R75:W75)-MIN(R75:W75),SUM(R75:W75)-MIN(R75:W75)-SMALL(R75:W75,2)))&gt;0,IF(COUNT(R75:W75)&lt;5,SUM(R75:W75)+(1000-AB75)*10^-4+AC75*10^-5+(1000-AD75)*10^-8,IF(COUNT(R75:W75)=5,SUM(R75:W75)-MIN(R75:W75)+(1000-AB75)*10^-4+AC75*10^-5+(1000-AD75)*10^-8,SUM(R75:W75)-MIN(R75:W75)-SMALL(R75:W75,2)+(1000-AB75)*10^-4+AC75*10^-5+(1000-AD75)*10^-8)),0)))</f>
        <v>0</v>
      </c>
      <c r="Y75" s="2" t="str">
        <f>IF(OR(X75="",X75=0),"",IF(SUMPRODUCT(--(B$3:B$102=B75),--(X$3:X$102&gt;X75),--(X$3:X$102&lt;&gt;"")),"","P"))</f>
        <v/>
      </c>
      <c r="Z75" s="2" t="str">
        <f>IF(X75="","",IF(SUMPRODUCT(--(C$3:C$102="P"),--(B$3:B$102=B75)),"P",""))</f>
        <v/>
      </c>
      <c r="AA75" s="14" t="str">
        <f>IF(AND(Y75&lt;&gt;"",OR(Z75="",SUMPRODUCT(--(X$3:X$102&gt;X75),--(Z$3:Z$102="P"),--(Y$3:Y$102="P"))&lt;4)),X75,"")</f>
        <v/>
      </c>
      <c r="AB75" s="9">
        <f>IF(A75="","",IF(OR(C75="P",D75="P"),"",IF(IF(COUNT(L75:Q75)&lt;5,SUM(L75:Q75),IF(COUNT(L75:Q75)=5,SUM(L75:Q75)-MIN(L75:Q75),SUM(L75:Q75)-MIN(L75:Q75)-SMALL(L75:Q75,2)))&gt;0,IF(COUNT(L75:Q75)&lt;5,SUM(L75:Q75),IF(COUNT(L75:Q75)=5,SUM(L75:Q75)-MIN(L75:Q75),SUM(L75:Q75)-MIN(L75:Q75)-SMALL(L75:Q75,2))),0)))</f>
        <v>33</v>
      </c>
      <c r="AC75" s="9">
        <f>COUNTIF(L75:Q75,"&lt;=8")</f>
        <v>0</v>
      </c>
      <c r="AD75" s="9">
        <f>MIN(L75:Q75)</f>
        <v>33</v>
      </c>
    </row>
    <row r="76" spans="1:30" x14ac:dyDescent="0.2">
      <c r="A76" s="7" t="s">
        <v>198</v>
      </c>
      <c r="B76" s="6" t="s">
        <v>60</v>
      </c>
      <c r="E76" s="3" t="str">
        <f>IF(AA76="","",RANK(AA76,AA:AA))</f>
        <v/>
      </c>
      <c r="F76" s="6"/>
      <c r="G76" s="6"/>
      <c r="H76" s="6"/>
      <c r="I76" s="6"/>
      <c r="J76" s="6">
        <v>36</v>
      </c>
      <c r="K76" s="6"/>
      <c r="L76" s="9" t="str">
        <f>IF(OR($C76&lt;&gt;"",$D76&lt;&gt;"",F76=""),"",F76-SUMPRODUCT(--($C$3:$C$102="P"),--(F$3:F$102&lt;F76),--(F$3:F$102&lt;&gt;""))-SUMPRODUCT(--($D$3:$D$102="P"),--(F$3:F$102&lt;F76),--(F$3:F$102&lt;&gt;"")))</f>
        <v/>
      </c>
      <c r="M76" s="9" t="str">
        <f>IF(OR($C76&lt;&gt;"",$D76&lt;&gt;"",G76=""),"",G76-SUMPRODUCT(--($C$3:$C$102="P"),--(G$3:G$102&lt;G76),--(G$3:G$102&lt;&gt;""))-SUMPRODUCT(--($D$3:$D$102="P"),--(G$3:G$102&lt;G76),--(G$3:G$102&lt;&gt;"")))</f>
        <v/>
      </c>
      <c r="N76" s="9" t="str">
        <f>IF(OR($C76&lt;&gt;"",$D76&lt;&gt;"",H76=""),"",H76-SUMPRODUCT(--($C$3:$C$102="P"),--(H$3:H$102&lt;H76),--(H$3:H$102&lt;&gt;""))-SUMPRODUCT(--($D$3:$D$102="P"),--(H$3:H$102&lt;H76),--(H$3:H$102&lt;&gt;"")))</f>
        <v/>
      </c>
      <c r="O76" s="9" t="str">
        <f>IF(OR($C76&lt;&gt;"",$D76&lt;&gt;"",I76=""),"",I76-SUMPRODUCT(--($C$3:$C$102="P"),--(I$3:I$102&lt;I76),--(I$3:I$102&lt;&gt;""))-SUMPRODUCT(--($D$3:$D$102="P"),--(I$3:I$102&lt;I76),--(I$3:I$102&lt;&gt;"")))</f>
        <v/>
      </c>
      <c r="P76" s="9">
        <f>IF(OR($C76&lt;&gt;"",$D76&lt;&gt;"",J76=""),"",J76-SUMPRODUCT(--($C$3:$C$102="P"),--(J$3:J$102&lt;J76),--(J$3:J$102&lt;&gt;""))-SUMPRODUCT(--($D$3:$D$102="P"),--(J$3:J$102&lt;J76),--(J$3:J$102&lt;&gt;"")))</f>
        <v>34</v>
      </c>
      <c r="Q76" s="9" t="str">
        <f>IF(OR($C76&lt;&gt;"",$D76&lt;&gt;"",K76=""),"",K76-SUMPRODUCT(--($C$3:$C$102="P"),--(K$3:K$102&lt;K76),--(K$3:K$102&lt;&gt;""))-SUMPRODUCT(--($D$3:$D$102="P"),--(K$3:K$102&lt;K76),--(K$3:K$102&lt;&gt;"")))</f>
        <v/>
      </c>
      <c r="R76" s="9" t="str">
        <f>IF(OR(L76="",L76&gt;30),"",IF(L76=1,60,IF(L76=2,55,IF(L76=3,50,IF(L76=4,44,IF(L76=5,38,IF(L76=6,32,IF(L76=7,28,IF(L76=8,25,IF(L76=9,22,IF(L76=10,21,IF(L76=11,20,IF(L76=12,19,IF(L76=13,18,IF(L76=14,17,IF(L76=15,16,IF(L76=16,15,IF(L76=17,14,IF(L76=18,13,IF(L76=19,12,IF(L76=20,11,IF(L76=21,10,IF(L76=22,9,IF(L76=23,8,IF(L76=24,7,IF(L76=25,6,IF(L76=26,5,IF(L76=27,4,IF(L76=28,3,IF(L76=29,2,IF(L76=30,1)))))))))))))))))))))))))))))))</f>
        <v/>
      </c>
      <c r="S76" s="9" t="str">
        <f>IF(OR(M76="",M76&gt;30),"",IF(M76=1,60,IF(M76=2,55,IF(M76=3,50,IF(M76=4,44,IF(M76=5,38,IF(M76=6,32,IF(M76=7,28,IF(M76=8,25,IF(M76=9,22,IF(M76=10,21,IF(M76=11,20,IF(M76=12,19,IF(M76=13,18,IF(M76=14,17,IF(M76=15,16,IF(M76=16,15,IF(M76=17,14,IF(M76=18,13,IF(M76=19,12,IF(M76=20,11,IF(M76=21,10,IF(M76=22,9,IF(M76=23,8,IF(M76=24,7,IF(M76=25,6,IF(M76=26,5,IF(M76=27,4,IF(M76=28,3,IF(M76=29,2,IF(M76=30,1)))))))))))))))))))))))))))))))</f>
        <v/>
      </c>
      <c r="T76" s="9" t="str">
        <f>IF(OR(N76="",N76&gt;30),"",IF(N76=1,60,IF(N76=2,55,IF(N76=3,50,IF(N76=4,44,IF(N76=5,38,IF(N76=6,32,IF(N76=7,28,IF(N76=8,25,IF(N76=9,22,IF(N76=10,21,IF(N76=11,20,IF(N76=12,19,IF(N76=13,18,IF(N76=14,17,IF(N76=15,16,IF(N76=16,15,IF(N76=17,14,IF(N76=18,13,IF(N76=19,12,IF(N76=20,11,IF(N76=21,10,IF(N76=22,9,IF(N76=23,8,IF(N76=24,7,IF(N76=25,6,IF(N76=26,5,IF(N76=27,4,IF(N76=28,3,IF(N76=29,2,IF(N76=30,1)))))))))))))))))))))))))))))))</f>
        <v/>
      </c>
      <c r="U76" s="9" t="str">
        <f>IF(OR(O76="",O76&gt;30),"",IF(O76=1,60,IF(O76=2,55,IF(O76=3,50,IF(O76=4,44,IF(O76=5,38,IF(O76=6,32,IF(O76=7,28,IF(O76=8,25,IF(O76=9,22,IF(O76=10,21,IF(O76=11,20,IF(O76=12,19,IF(O76=13,18,IF(O76=14,17,IF(O76=15,16,IF(O76=16,15,IF(O76=17,14,IF(O76=18,13,IF(O76=19,12,IF(O76=20,11,IF(O76=21,10,IF(O76=22,9,IF(O76=23,8,IF(O76=24,7,IF(O76=25,6,IF(O76=26,5,IF(O76=27,4,IF(O76=28,3,IF(O76=29,2,IF(O76=30,1)))))))))))))))))))))))))))))))</f>
        <v/>
      </c>
      <c r="V76" s="9" t="str">
        <f>IF(OR(P76="",P76&gt;30),"",IF(P76=1,60,IF(P76=2,55,IF(P76=3,50,IF(P76=4,44,IF(P76=5,38,IF(P76=6,32,IF(P76=7,28,IF(P76=8,25,IF(P76=9,22,IF(P76=10,21,IF(P76=11,20,IF(P76=12,19,IF(P76=13,18,IF(P76=14,17,IF(P76=15,16,IF(P76=16,15,IF(P76=17,14,IF(P76=18,13,IF(P76=19,12,IF(P76=20,11,IF(P76=21,10,IF(P76=22,9,IF(P76=23,8,IF(P76=24,7,IF(P76=25,6,IF(P76=26,5,IF(P76=27,4,IF(P76=28,3,IF(P76=29,2,IF(P76=30,1)))))))))))))))))))))))))))))))</f>
        <v/>
      </c>
      <c r="W76" s="9" t="str">
        <f>IF(OR(Q76="",Q76&gt;30),"",IF(Q76=1,60,IF(Q76=2,55,IF(Q76=3,50,IF(Q76=4,44,IF(Q76=5,38,IF(Q76=6,32,IF(Q76=7,28,IF(Q76=8,25,IF(Q76=9,22,IF(Q76=10,21,IF(Q76=11,20,IF(Q76=12,19,IF(Q76=13,18,IF(Q76=14,17,IF(Q76=15,16,IF(Q76=16,15,IF(Q76=17,14,IF(Q76=18,13,IF(Q76=19,12,IF(Q76=20,11,IF(Q76=21,10,IF(Q76=22,9,IF(Q76=23,8,IF(Q76=24,7,IF(Q76=25,6,IF(Q76=26,5,IF(Q76=27,4,IF(Q76=28,3,IF(Q76=29,2,IF(Q76=30,1)))))))))))))))))))))))))))))))</f>
        <v/>
      </c>
      <c r="X76" s="14">
        <f>IF(A76="","",IF(OR(C76="P",D76="P"),"",IF(IF(COUNT(R76:W76)&lt;5,SUM(R76:W76),IF(COUNT(R76:W76)=5,SUM(R76:W76)-MIN(R76:W76),SUM(R76:W76)-MIN(R76:W76)-SMALL(R76:W76,2)))&gt;0,IF(COUNT(R76:W76)&lt;5,SUM(R76:W76)+(1000-AB76)*10^-4+AC76*10^-5+(1000-AD76)*10^-8,IF(COUNT(R76:W76)=5,SUM(R76:W76)-MIN(R76:W76)+(1000-AB76)*10^-4+AC76*10^-5+(1000-AD76)*10^-8,SUM(R76:W76)-MIN(R76:W76)-SMALL(R76:W76,2)+(1000-AB76)*10^-4+AC76*10^-5+(1000-AD76)*10^-8)),0)))</f>
        <v>0</v>
      </c>
      <c r="Y76" s="2" t="str">
        <f>IF(OR(X76="",X76=0),"",IF(SUMPRODUCT(--(B$3:B$102=B76),--(X$3:X$102&gt;X76),--(X$3:X$102&lt;&gt;"")),"","P"))</f>
        <v/>
      </c>
      <c r="Z76" s="2" t="str">
        <f>IF(X76="","",IF(SUMPRODUCT(--(C$3:C$102="P"),--(B$3:B$102=B76)),"P",""))</f>
        <v/>
      </c>
      <c r="AA76" s="14" t="str">
        <f>IF(AND(Y76&lt;&gt;"",OR(Z76="",SUMPRODUCT(--(X$3:X$102&gt;X76),--(Z$3:Z$102="P"),--(Y$3:Y$102="P"))&lt;4)),X76,"")</f>
        <v/>
      </c>
      <c r="AB76" s="9">
        <f>IF(A76="","",IF(OR(C76="P",D76="P"),"",IF(IF(COUNT(L76:Q76)&lt;5,SUM(L76:Q76),IF(COUNT(L76:Q76)=5,SUM(L76:Q76)-MIN(L76:Q76),SUM(L76:Q76)-MIN(L76:Q76)-SMALL(L76:Q76,2)))&gt;0,IF(COUNT(L76:Q76)&lt;5,SUM(L76:Q76),IF(COUNT(L76:Q76)=5,SUM(L76:Q76)-MIN(L76:Q76),SUM(L76:Q76)-MIN(L76:Q76)-SMALL(L76:Q76,2))),0)))</f>
        <v>34</v>
      </c>
      <c r="AC76" s="9">
        <f>COUNTIF(L76:Q76,"&lt;=8")</f>
        <v>0</v>
      </c>
      <c r="AD76" s="9">
        <f>MIN(L76:Q76)</f>
        <v>34</v>
      </c>
    </row>
    <row r="77" spans="1:30" x14ac:dyDescent="0.2">
      <c r="A77" s="7" t="s">
        <v>199</v>
      </c>
      <c r="B77" s="6" t="s">
        <v>106</v>
      </c>
      <c r="E77" s="3" t="str">
        <f>IF(AA77="","",RANK(AA77,AA:AA))</f>
        <v/>
      </c>
      <c r="F77" s="6"/>
      <c r="G77" s="6"/>
      <c r="H77" s="6"/>
      <c r="I77" s="6"/>
      <c r="J77" s="6">
        <v>37</v>
      </c>
      <c r="K77" s="6"/>
      <c r="L77" s="9" t="str">
        <f>IF(OR($C77&lt;&gt;"",$D77&lt;&gt;"",F77=""),"",F77-SUMPRODUCT(--($C$3:$C$102="P"),--(F$3:F$102&lt;F77),--(F$3:F$102&lt;&gt;""))-SUMPRODUCT(--($D$3:$D$102="P"),--(F$3:F$102&lt;F77),--(F$3:F$102&lt;&gt;"")))</f>
        <v/>
      </c>
      <c r="M77" s="9" t="str">
        <f>IF(OR($C77&lt;&gt;"",$D77&lt;&gt;"",G77=""),"",G77-SUMPRODUCT(--($C$3:$C$102="P"),--(G$3:G$102&lt;G77),--(G$3:G$102&lt;&gt;""))-SUMPRODUCT(--($D$3:$D$102="P"),--(G$3:G$102&lt;G77),--(G$3:G$102&lt;&gt;"")))</f>
        <v/>
      </c>
      <c r="N77" s="9" t="str">
        <f>IF(OR($C77&lt;&gt;"",$D77&lt;&gt;"",H77=""),"",H77-SUMPRODUCT(--($C$3:$C$102="P"),--(H$3:H$102&lt;H77),--(H$3:H$102&lt;&gt;""))-SUMPRODUCT(--($D$3:$D$102="P"),--(H$3:H$102&lt;H77),--(H$3:H$102&lt;&gt;"")))</f>
        <v/>
      </c>
      <c r="O77" s="9" t="str">
        <f>IF(OR($C77&lt;&gt;"",$D77&lt;&gt;"",I77=""),"",I77-SUMPRODUCT(--($C$3:$C$102="P"),--(I$3:I$102&lt;I77),--(I$3:I$102&lt;&gt;""))-SUMPRODUCT(--($D$3:$D$102="P"),--(I$3:I$102&lt;I77),--(I$3:I$102&lt;&gt;"")))</f>
        <v/>
      </c>
      <c r="P77" s="9">
        <f>IF(OR($C77&lt;&gt;"",$D77&lt;&gt;"",J77=""),"",J77-SUMPRODUCT(--($C$3:$C$102="P"),--(J$3:J$102&lt;J77),--(J$3:J$102&lt;&gt;""))-SUMPRODUCT(--($D$3:$D$102="P"),--(J$3:J$102&lt;J77),--(J$3:J$102&lt;&gt;"")))</f>
        <v>35</v>
      </c>
      <c r="Q77" s="9" t="str">
        <f>IF(OR($C77&lt;&gt;"",$D77&lt;&gt;"",K77=""),"",K77-SUMPRODUCT(--($C$3:$C$102="P"),--(K$3:K$102&lt;K77),--(K$3:K$102&lt;&gt;""))-SUMPRODUCT(--($D$3:$D$102="P"),--(K$3:K$102&lt;K77),--(K$3:K$102&lt;&gt;"")))</f>
        <v/>
      </c>
      <c r="R77" s="9" t="str">
        <f>IF(OR(L77="",L77&gt;30),"",IF(L77=1,60,IF(L77=2,55,IF(L77=3,50,IF(L77=4,44,IF(L77=5,38,IF(L77=6,32,IF(L77=7,28,IF(L77=8,25,IF(L77=9,22,IF(L77=10,21,IF(L77=11,20,IF(L77=12,19,IF(L77=13,18,IF(L77=14,17,IF(L77=15,16,IF(L77=16,15,IF(L77=17,14,IF(L77=18,13,IF(L77=19,12,IF(L77=20,11,IF(L77=21,10,IF(L77=22,9,IF(L77=23,8,IF(L77=24,7,IF(L77=25,6,IF(L77=26,5,IF(L77=27,4,IF(L77=28,3,IF(L77=29,2,IF(L77=30,1)))))))))))))))))))))))))))))))</f>
        <v/>
      </c>
      <c r="S77" s="9" t="str">
        <f>IF(OR(M77="",M77&gt;30),"",IF(M77=1,60,IF(M77=2,55,IF(M77=3,50,IF(M77=4,44,IF(M77=5,38,IF(M77=6,32,IF(M77=7,28,IF(M77=8,25,IF(M77=9,22,IF(M77=10,21,IF(M77=11,20,IF(M77=12,19,IF(M77=13,18,IF(M77=14,17,IF(M77=15,16,IF(M77=16,15,IF(M77=17,14,IF(M77=18,13,IF(M77=19,12,IF(M77=20,11,IF(M77=21,10,IF(M77=22,9,IF(M77=23,8,IF(M77=24,7,IF(M77=25,6,IF(M77=26,5,IF(M77=27,4,IF(M77=28,3,IF(M77=29,2,IF(M77=30,1)))))))))))))))))))))))))))))))</f>
        <v/>
      </c>
      <c r="T77" s="9" t="str">
        <f>IF(OR(N77="",N77&gt;30),"",IF(N77=1,60,IF(N77=2,55,IF(N77=3,50,IF(N77=4,44,IF(N77=5,38,IF(N77=6,32,IF(N77=7,28,IF(N77=8,25,IF(N77=9,22,IF(N77=10,21,IF(N77=11,20,IF(N77=12,19,IF(N77=13,18,IF(N77=14,17,IF(N77=15,16,IF(N77=16,15,IF(N77=17,14,IF(N77=18,13,IF(N77=19,12,IF(N77=20,11,IF(N77=21,10,IF(N77=22,9,IF(N77=23,8,IF(N77=24,7,IF(N77=25,6,IF(N77=26,5,IF(N77=27,4,IF(N77=28,3,IF(N77=29,2,IF(N77=30,1)))))))))))))))))))))))))))))))</f>
        <v/>
      </c>
      <c r="U77" s="9" t="str">
        <f>IF(OR(O77="",O77&gt;30),"",IF(O77=1,60,IF(O77=2,55,IF(O77=3,50,IF(O77=4,44,IF(O77=5,38,IF(O77=6,32,IF(O77=7,28,IF(O77=8,25,IF(O77=9,22,IF(O77=10,21,IF(O77=11,20,IF(O77=12,19,IF(O77=13,18,IF(O77=14,17,IF(O77=15,16,IF(O77=16,15,IF(O77=17,14,IF(O77=18,13,IF(O77=19,12,IF(O77=20,11,IF(O77=21,10,IF(O77=22,9,IF(O77=23,8,IF(O77=24,7,IF(O77=25,6,IF(O77=26,5,IF(O77=27,4,IF(O77=28,3,IF(O77=29,2,IF(O77=30,1)))))))))))))))))))))))))))))))</f>
        <v/>
      </c>
      <c r="V77" s="9" t="str">
        <f>IF(OR(P77="",P77&gt;30),"",IF(P77=1,60,IF(P77=2,55,IF(P77=3,50,IF(P77=4,44,IF(P77=5,38,IF(P77=6,32,IF(P77=7,28,IF(P77=8,25,IF(P77=9,22,IF(P77=10,21,IF(P77=11,20,IF(P77=12,19,IF(P77=13,18,IF(P77=14,17,IF(P77=15,16,IF(P77=16,15,IF(P77=17,14,IF(P77=18,13,IF(P77=19,12,IF(P77=20,11,IF(P77=21,10,IF(P77=22,9,IF(P77=23,8,IF(P77=24,7,IF(P77=25,6,IF(P77=26,5,IF(P77=27,4,IF(P77=28,3,IF(P77=29,2,IF(P77=30,1)))))))))))))))))))))))))))))))</f>
        <v/>
      </c>
      <c r="W77" s="9" t="str">
        <f>IF(OR(Q77="",Q77&gt;30),"",IF(Q77=1,60,IF(Q77=2,55,IF(Q77=3,50,IF(Q77=4,44,IF(Q77=5,38,IF(Q77=6,32,IF(Q77=7,28,IF(Q77=8,25,IF(Q77=9,22,IF(Q77=10,21,IF(Q77=11,20,IF(Q77=12,19,IF(Q77=13,18,IF(Q77=14,17,IF(Q77=15,16,IF(Q77=16,15,IF(Q77=17,14,IF(Q77=18,13,IF(Q77=19,12,IF(Q77=20,11,IF(Q77=21,10,IF(Q77=22,9,IF(Q77=23,8,IF(Q77=24,7,IF(Q77=25,6,IF(Q77=26,5,IF(Q77=27,4,IF(Q77=28,3,IF(Q77=29,2,IF(Q77=30,1)))))))))))))))))))))))))))))))</f>
        <v/>
      </c>
      <c r="X77" s="14">
        <f>IF(A77="","",IF(OR(C77="P",D77="P"),"",IF(IF(COUNT(R77:W77)&lt;5,SUM(R77:W77),IF(COUNT(R77:W77)=5,SUM(R77:W77)-MIN(R77:W77),SUM(R77:W77)-MIN(R77:W77)-SMALL(R77:W77,2)))&gt;0,IF(COUNT(R77:W77)&lt;5,SUM(R77:W77)+(1000-AB77)*10^-4+AC77*10^-5+(1000-AD77)*10^-8,IF(COUNT(R77:W77)=5,SUM(R77:W77)-MIN(R77:W77)+(1000-AB77)*10^-4+AC77*10^-5+(1000-AD77)*10^-8,SUM(R77:W77)-MIN(R77:W77)-SMALL(R77:W77,2)+(1000-AB77)*10^-4+AC77*10^-5+(1000-AD77)*10^-8)),0)))</f>
        <v>0</v>
      </c>
      <c r="Y77" s="2" t="str">
        <f>IF(OR(X77="",X77=0),"",IF(SUMPRODUCT(--(B$3:B$102=B77),--(X$3:X$102&gt;X77),--(X$3:X$102&lt;&gt;"")),"","P"))</f>
        <v/>
      </c>
      <c r="Z77" s="2" t="str">
        <f>IF(X77="","",IF(SUMPRODUCT(--(C$3:C$102="P"),--(B$3:B$102=B77)),"P",""))</f>
        <v/>
      </c>
      <c r="AA77" s="14" t="str">
        <f>IF(AND(Y77&lt;&gt;"",OR(Z77="",SUMPRODUCT(--(X$3:X$102&gt;X77),--(Z$3:Z$102="P"),--(Y$3:Y$102="P"))&lt;4)),X77,"")</f>
        <v/>
      </c>
      <c r="AB77" s="9">
        <f>IF(A77="","",IF(OR(C77="P",D77="P"),"",IF(IF(COUNT(L77:Q77)&lt;5,SUM(L77:Q77),IF(COUNT(L77:Q77)=5,SUM(L77:Q77)-MIN(L77:Q77),SUM(L77:Q77)-MIN(L77:Q77)-SMALL(L77:Q77,2)))&gt;0,IF(COUNT(L77:Q77)&lt;5,SUM(L77:Q77),IF(COUNT(L77:Q77)=5,SUM(L77:Q77)-MIN(L77:Q77),SUM(L77:Q77)-MIN(L77:Q77)-SMALL(L77:Q77,2))),0)))</f>
        <v>35</v>
      </c>
      <c r="AC77" s="9">
        <f>COUNTIF(L77:Q77,"&lt;=8")</f>
        <v>0</v>
      </c>
      <c r="AD77" s="9">
        <f>MIN(L77:Q77)</f>
        <v>35</v>
      </c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</sheetData>
  <sheetProtection sheet="1" selectLockedCells="1"/>
  <mergeCells count="16">
    <mergeCell ref="L1:Q1"/>
    <mergeCell ref="R1:W1"/>
    <mergeCell ref="X1:X2"/>
    <mergeCell ref="Y1:Y2"/>
    <mergeCell ref="Z1:Z2"/>
    <mergeCell ref="F1:K1"/>
    <mergeCell ref="A1:A2"/>
    <mergeCell ref="B1:B2"/>
    <mergeCell ref="C1:C2"/>
    <mergeCell ref="D1:D2"/>
    <mergeCell ref="E1:E2"/>
    <mergeCell ref="AE1:AJ2"/>
    <mergeCell ref="AB1:AB2"/>
    <mergeCell ref="AC1:AC2"/>
    <mergeCell ref="AD1:AD2"/>
    <mergeCell ref="AA1:AA2"/>
  </mergeCells>
  <conditionalFormatting sqref="A1:B1048576">
    <cfRule type="expression" dxfId="7" priority="5">
      <formula>IF(OR($C1="P",$D1="P"),1,0)</formula>
    </cfRule>
    <cfRule type="expression" dxfId="6" priority="6">
      <formula>IF(AND($E1&lt;&gt;"",$E1&lt;=14-COUNTIF($C$3:$C$102,"P")-COUNTIF($D$3:$D$102,"P")),1,0)</formula>
    </cfRule>
    <cfRule type="expression" dxfId="5" priority="7">
      <formula>IF(AND($E1&lt;&gt;"",$E1&lt;=16-COUNTIF($C$3:$C$102,"P")-COUNTIF($D$3:$D$102,"P")),1,0)</formula>
    </cfRule>
  </conditionalFormatting>
  <conditionalFormatting sqref="C3:AA102">
    <cfRule type="expression" dxfId="4" priority="4">
      <formula>IF(AND($A3&lt;&gt;"",MOD(ROW(),2)=0),1,0)</formula>
    </cfRule>
    <cfRule type="expression" dxfId="3" priority="8">
      <formula>IF(AND($A3&lt;&gt;"",MOD(ROW(),2)=1),1,0)</formula>
    </cfRule>
  </conditionalFormatting>
  <conditionalFormatting sqref="K3:K102 E3:E102 W3:W102 Q3:Q102">
    <cfRule type="expression" dxfId="2" priority="3">
      <formula>IF($A3&lt;&gt;"",1,0)</formula>
    </cfRule>
  </conditionalFormatting>
  <conditionalFormatting sqref="AB3:AD77">
    <cfRule type="expression" dxfId="1" priority="1">
      <formula>IF(AND($A3&lt;&gt;"",MOD(ROW(),2)=0),1,0)</formula>
    </cfRule>
    <cfRule type="expression" dxfId="0" priority="2">
      <formula>IF(AND($A3&lt;&gt;"",MOD(ROW(),2)=1),1,0)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B1:B2"/>
  <sheetViews>
    <sheetView zoomScaleNormal="100" workbookViewId="0"/>
  </sheetViews>
  <sheetFormatPr baseColWidth="10" defaultRowHeight="16" x14ac:dyDescent="0.2"/>
  <cols>
    <col min="1" max="1" width="11.33203125" customWidth="1"/>
  </cols>
  <sheetData>
    <row r="1" spans="2:2" x14ac:dyDescent="0.2">
      <c r="B1" t="s">
        <v>178</v>
      </c>
    </row>
    <row r="2" spans="2:2" x14ac:dyDescent="0.2">
      <c r="B2" t="s">
        <v>179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2020-02-16T08:56:32Z</dcterms:modified>
</cp:coreProperties>
</file>