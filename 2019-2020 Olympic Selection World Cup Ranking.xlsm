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CD98A760-42B4-E641-860F-F3A0083556D7}" xr6:coauthVersionLast="46" xr6:coauthVersionMax="46" xr10:uidLastSave="{00000000-0000-0000-0000-000000000000}"/>
  <bookViews>
    <workbookView xWindow="0" yWindow="460" windowWidth="33600" windowHeight="20540" xr2:uid="{D2A48EEF-CA85-4F47-802C-95C803B4031C}"/>
  </bookViews>
  <sheets>
    <sheet name="Women" sheetId="1" r:id="rId1"/>
    <sheet name="Men" sheetId="6" r:id="rId2"/>
    <sheet name="Macros" sheetId="7" r:id="rId3"/>
  </sheets>
  <definedNames>
    <definedName name="_xlnm._FilterDatabase" localSheetId="1" hidden="1">Men!$A$1:$AK$2</definedName>
    <definedName name="_xlnm._FilterDatabase" localSheetId="0" hidden="1">Women!$A$1:$AK$2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" i="6" l="1"/>
  <c r="AC5" i="6"/>
  <c r="AC6" i="6"/>
  <c r="AC7" i="6"/>
  <c r="AC3" i="6"/>
  <c r="AC4" i="1"/>
  <c r="AC5" i="1"/>
  <c r="AC6" i="1"/>
  <c r="AC8" i="1"/>
  <c r="AC3" i="1"/>
  <c r="M57" i="6" l="1"/>
  <c r="S57" i="6" s="1"/>
  <c r="N57" i="6"/>
  <c r="T57" i="6" s="1"/>
  <c r="O57" i="6"/>
  <c r="U57" i="6" s="1"/>
  <c r="P57" i="6"/>
  <c r="V57" i="6" s="1"/>
  <c r="Q57" i="6"/>
  <c r="W57" i="6" s="1"/>
  <c r="R57" i="6"/>
  <c r="X57" i="6" s="1"/>
  <c r="M55" i="6"/>
  <c r="N55" i="6"/>
  <c r="T55" i="6" s="1"/>
  <c r="O55" i="6"/>
  <c r="U55" i="6" s="1"/>
  <c r="P55" i="6"/>
  <c r="V55" i="6" s="1"/>
  <c r="Q55" i="6"/>
  <c r="W55" i="6" s="1"/>
  <c r="R55" i="6"/>
  <c r="X55" i="6" s="1"/>
  <c r="M15" i="6"/>
  <c r="N15" i="6"/>
  <c r="T15" i="6" s="1"/>
  <c r="O15" i="6"/>
  <c r="U15" i="6" s="1"/>
  <c r="P15" i="6"/>
  <c r="V15" i="6" s="1"/>
  <c r="Q15" i="6"/>
  <c r="W15" i="6" s="1"/>
  <c r="R15" i="6"/>
  <c r="X15" i="6" s="1"/>
  <c r="M74" i="6"/>
  <c r="N74" i="6"/>
  <c r="T74" i="6" s="1"/>
  <c r="O74" i="6"/>
  <c r="U74" i="6" s="1"/>
  <c r="P74" i="6"/>
  <c r="V74" i="6" s="1"/>
  <c r="Q74" i="6"/>
  <c r="W74" i="6" s="1"/>
  <c r="R74" i="6"/>
  <c r="X74" i="6" s="1"/>
  <c r="M75" i="6"/>
  <c r="N75" i="6"/>
  <c r="T75" i="6" s="1"/>
  <c r="O75" i="6"/>
  <c r="U75" i="6" s="1"/>
  <c r="P75" i="6"/>
  <c r="V75" i="6" s="1"/>
  <c r="Q75" i="6"/>
  <c r="W75" i="6" s="1"/>
  <c r="R75" i="6"/>
  <c r="X75" i="6" s="1"/>
  <c r="M35" i="6"/>
  <c r="N35" i="6"/>
  <c r="T35" i="6" s="1"/>
  <c r="O35" i="6"/>
  <c r="U35" i="6" s="1"/>
  <c r="P35" i="6"/>
  <c r="V35" i="6" s="1"/>
  <c r="Q35" i="6"/>
  <c r="W35" i="6" s="1"/>
  <c r="R35" i="6"/>
  <c r="X35" i="6" s="1"/>
  <c r="M22" i="6"/>
  <c r="N22" i="6"/>
  <c r="T22" i="6" s="1"/>
  <c r="O22" i="6"/>
  <c r="U22" i="6" s="1"/>
  <c r="P22" i="6"/>
  <c r="V22" i="6" s="1"/>
  <c r="Q22" i="6"/>
  <c r="W22" i="6" s="1"/>
  <c r="R22" i="6"/>
  <c r="X22" i="6" s="1"/>
  <c r="M60" i="6"/>
  <c r="N60" i="6"/>
  <c r="T60" i="6" s="1"/>
  <c r="O60" i="6"/>
  <c r="U60" i="6" s="1"/>
  <c r="P60" i="6"/>
  <c r="V60" i="6" s="1"/>
  <c r="Q60" i="6"/>
  <c r="W60" i="6" s="1"/>
  <c r="R60" i="6"/>
  <c r="X60" i="6" s="1"/>
  <c r="M13" i="6"/>
  <c r="N13" i="6"/>
  <c r="T13" i="6" s="1"/>
  <c r="O13" i="6"/>
  <c r="U13" i="6" s="1"/>
  <c r="P13" i="6"/>
  <c r="V13" i="6" s="1"/>
  <c r="Q13" i="6"/>
  <c r="W13" i="6" s="1"/>
  <c r="R13" i="6"/>
  <c r="X13" i="6" s="1"/>
  <c r="M62" i="6"/>
  <c r="N62" i="6"/>
  <c r="T62" i="6" s="1"/>
  <c r="O62" i="6"/>
  <c r="U62" i="6" s="1"/>
  <c r="P62" i="6"/>
  <c r="V62" i="6" s="1"/>
  <c r="Q62" i="6"/>
  <c r="W62" i="6" s="1"/>
  <c r="R62" i="6"/>
  <c r="X62" i="6" s="1"/>
  <c r="M23" i="6"/>
  <c r="N23" i="6"/>
  <c r="T23" i="6" s="1"/>
  <c r="O23" i="6"/>
  <c r="U23" i="6" s="1"/>
  <c r="P23" i="6"/>
  <c r="V23" i="6" s="1"/>
  <c r="Q23" i="6"/>
  <c r="W23" i="6" s="1"/>
  <c r="R23" i="6"/>
  <c r="X23" i="6" s="1"/>
  <c r="M41" i="6"/>
  <c r="N41" i="6"/>
  <c r="T41" i="6" s="1"/>
  <c r="O41" i="6"/>
  <c r="U41" i="6" s="1"/>
  <c r="P41" i="6"/>
  <c r="V41" i="6" s="1"/>
  <c r="Q41" i="6"/>
  <c r="W41" i="6" s="1"/>
  <c r="R41" i="6"/>
  <c r="X41" i="6" s="1"/>
  <c r="M49" i="6"/>
  <c r="N49" i="6"/>
  <c r="T49" i="6" s="1"/>
  <c r="O49" i="6"/>
  <c r="U49" i="6" s="1"/>
  <c r="P49" i="6"/>
  <c r="V49" i="6" s="1"/>
  <c r="Q49" i="6"/>
  <c r="W49" i="6" s="1"/>
  <c r="R49" i="6"/>
  <c r="X49" i="6" s="1"/>
  <c r="M33" i="6"/>
  <c r="N33" i="6"/>
  <c r="T33" i="6" s="1"/>
  <c r="O33" i="6"/>
  <c r="U33" i="6" s="1"/>
  <c r="P33" i="6"/>
  <c r="V33" i="6" s="1"/>
  <c r="Q33" i="6"/>
  <c r="W33" i="6" s="1"/>
  <c r="R33" i="6"/>
  <c r="X33" i="6" s="1"/>
  <c r="M76" i="6"/>
  <c r="N76" i="6"/>
  <c r="T76" i="6" s="1"/>
  <c r="O76" i="6"/>
  <c r="U76" i="6" s="1"/>
  <c r="P76" i="6"/>
  <c r="V76" i="6" s="1"/>
  <c r="Q76" i="6"/>
  <c r="W76" i="6" s="1"/>
  <c r="R76" i="6"/>
  <c r="X76" i="6" s="1"/>
  <c r="M36" i="6"/>
  <c r="N36" i="6"/>
  <c r="T36" i="6" s="1"/>
  <c r="O36" i="6"/>
  <c r="U36" i="6" s="1"/>
  <c r="P36" i="6"/>
  <c r="V36" i="6" s="1"/>
  <c r="Q36" i="6"/>
  <c r="W36" i="6" s="1"/>
  <c r="R36" i="6"/>
  <c r="X36" i="6" s="1"/>
  <c r="M77" i="6"/>
  <c r="N77" i="6"/>
  <c r="T77" i="6" s="1"/>
  <c r="O77" i="6"/>
  <c r="U77" i="6" s="1"/>
  <c r="P77" i="6"/>
  <c r="V77" i="6" s="1"/>
  <c r="Q77" i="6"/>
  <c r="W77" i="6" s="1"/>
  <c r="R77" i="6"/>
  <c r="X77" i="6" s="1"/>
  <c r="M7" i="6"/>
  <c r="S7" i="6" s="1"/>
  <c r="N7" i="6"/>
  <c r="T7" i="6" s="1"/>
  <c r="O7" i="6"/>
  <c r="U7" i="6" s="1"/>
  <c r="P7" i="6"/>
  <c r="V7" i="6" s="1"/>
  <c r="Q7" i="6"/>
  <c r="W7" i="6" s="1"/>
  <c r="R7" i="6"/>
  <c r="X7" i="6" s="1"/>
  <c r="Y7" i="6"/>
  <c r="AA7" i="6" s="1"/>
  <c r="M54" i="6"/>
  <c r="N54" i="6"/>
  <c r="O54" i="6"/>
  <c r="U54" i="6" s="1"/>
  <c r="P54" i="6"/>
  <c r="V54" i="6" s="1"/>
  <c r="Q54" i="6"/>
  <c r="W54" i="6" s="1"/>
  <c r="R54" i="6"/>
  <c r="X54" i="6" s="1"/>
  <c r="M34" i="6"/>
  <c r="N34" i="6"/>
  <c r="T34" i="6" s="1"/>
  <c r="O34" i="6"/>
  <c r="U34" i="6" s="1"/>
  <c r="P34" i="6"/>
  <c r="V34" i="6" s="1"/>
  <c r="Q34" i="6"/>
  <c r="W34" i="6" s="1"/>
  <c r="R34" i="6"/>
  <c r="X34" i="6" s="1"/>
  <c r="M48" i="6"/>
  <c r="N48" i="6"/>
  <c r="O48" i="6"/>
  <c r="U48" i="6" s="1"/>
  <c r="P48" i="6"/>
  <c r="V48" i="6" s="1"/>
  <c r="Q48" i="6"/>
  <c r="W48" i="6" s="1"/>
  <c r="R48" i="6"/>
  <c r="X48" i="6" s="1"/>
  <c r="M24" i="6"/>
  <c r="N24" i="6"/>
  <c r="O24" i="6"/>
  <c r="U24" i="6" s="1"/>
  <c r="P24" i="6"/>
  <c r="V24" i="6" s="1"/>
  <c r="Q24" i="6"/>
  <c r="W24" i="6" s="1"/>
  <c r="R24" i="6"/>
  <c r="X24" i="6" s="1"/>
  <c r="M16" i="6"/>
  <c r="N16" i="6"/>
  <c r="T16" i="6" s="1"/>
  <c r="O16" i="6"/>
  <c r="U16" i="6" s="1"/>
  <c r="P16" i="6"/>
  <c r="V16" i="6" s="1"/>
  <c r="Q16" i="6"/>
  <c r="W16" i="6" s="1"/>
  <c r="R16" i="6"/>
  <c r="X16" i="6" s="1"/>
  <c r="M63" i="6"/>
  <c r="N63" i="6"/>
  <c r="T63" i="6" s="1"/>
  <c r="O63" i="6"/>
  <c r="U63" i="6" s="1"/>
  <c r="P63" i="6"/>
  <c r="V63" i="6" s="1"/>
  <c r="Q63" i="6"/>
  <c r="W63" i="6" s="1"/>
  <c r="R63" i="6"/>
  <c r="X63" i="6" s="1"/>
  <c r="M14" i="6"/>
  <c r="N14" i="6"/>
  <c r="T14" i="6" s="1"/>
  <c r="O14" i="6"/>
  <c r="P14" i="6"/>
  <c r="V14" i="6" s="1"/>
  <c r="Q14" i="6"/>
  <c r="W14" i="6" s="1"/>
  <c r="R14" i="6"/>
  <c r="X14" i="6" s="1"/>
  <c r="M8" i="6"/>
  <c r="N8" i="6"/>
  <c r="T8" i="6" s="1"/>
  <c r="O8" i="6"/>
  <c r="U8" i="6" s="1"/>
  <c r="P8" i="6"/>
  <c r="V8" i="6" s="1"/>
  <c r="Q8" i="6"/>
  <c r="W8" i="6" s="1"/>
  <c r="R8" i="6"/>
  <c r="X8" i="6" s="1"/>
  <c r="M37" i="6"/>
  <c r="N37" i="6"/>
  <c r="O37" i="6"/>
  <c r="U37" i="6" s="1"/>
  <c r="P37" i="6"/>
  <c r="V37" i="6" s="1"/>
  <c r="Q37" i="6"/>
  <c r="W37" i="6" s="1"/>
  <c r="R37" i="6"/>
  <c r="X37" i="6" s="1"/>
  <c r="M39" i="6"/>
  <c r="N39" i="6"/>
  <c r="T39" i="6" s="1"/>
  <c r="O39" i="6"/>
  <c r="U39" i="6" s="1"/>
  <c r="P39" i="6"/>
  <c r="V39" i="6" s="1"/>
  <c r="Q39" i="6"/>
  <c r="W39" i="6" s="1"/>
  <c r="R39" i="6"/>
  <c r="X39" i="6" s="1"/>
  <c r="M44" i="6"/>
  <c r="N44" i="6"/>
  <c r="T44" i="6" s="1"/>
  <c r="O44" i="6"/>
  <c r="U44" i="6" s="1"/>
  <c r="P44" i="6"/>
  <c r="V44" i="6" s="1"/>
  <c r="Q44" i="6"/>
  <c r="W44" i="6" s="1"/>
  <c r="R44" i="6"/>
  <c r="X44" i="6" s="1"/>
  <c r="M70" i="6"/>
  <c r="N70" i="6"/>
  <c r="T70" i="6" s="1"/>
  <c r="O70" i="6"/>
  <c r="P70" i="6"/>
  <c r="V70" i="6" s="1"/>
  <c r="Q70" i="6"/>
  <c r="W70" i="6" s="1"/>
  <c r="R70" i="6"/>
  <c r="X70" i="6" s="1"/>
  <c r="M72" i="6"/>
  <c r="N72" i="6"/>
  <c r="T72" i="6" s="1"/>
  <c r="O72" i="6"/>
  <c r="U72" i="6" s="1"/>
  <c r="P72" i="6"/>
  <c r="V72" i="6" s="1"/>
  <c r="Q72" i="6"/>
  <c r="W72" i="6" s="1"/>
  <c r="R72" i="6"/>
  <c r="X72" i="6" s="1"/>
  <c r="M66" i="6"/>
  <c r="N66" i="6"/>
  <c r="T66" i="6" s="1"/>
  <c r="O66" i="6"/>
  <c r="U66" i="6" s="1"/>
  <c r="P66" i="6"/>
  <c r="V66" i="6" s="1"/>
  <c r="Q66" i="6"/>
  <c r="W66" i="6" s="1"/>
  <c r="R66" i="6"/>
  <c r="X66" i="6" s="1"/>
  <c r="M10" i="6"/>
  <c r="N10" i="6"/>
  <c r="T10" i="6" s="1"/>
  <c r="O10" i="6"/>
  <c r="U10" i="6" s="1"/>
  <c r="P10" i="6"/>
  <c r="V10" i="6" s="1"/>
  <c r="Q10" i="6"/>
  <c r="R10" i="6"/>
  <c r="X10" i="6" s="1"/>
  <c r="M43" i="6"/>
  <c r="N43" i="6"/>
  <c r="T43" i="6" s="1"/>
  <c r="O43" i="6"/>
  <c r="U43" i="6" s="1"/>
  <c r="P43" i="6"/>
  <c r="V43" i="6" s="1"/>
  <c r="Q43" i="6"/>
  <c r="W43" i="6" s="1"/>
  <c r="R43" i="6"/>
  <c r="X43" i="6" s="1"/>
  <c r="M3" i="6"/>
  <c r="S3" i="6" s="1"/>
  <c r="N3" i="6"/>
  <c r="T3" i="6" s="1"/>
  <c r="O3" i="6"/>
  <c r="U3" i="6" s="1"/>
  <c r="P3" i="6"/>
  <c r="V3" i="6" s="1"/>
  <c r="Q3" i="6"/>
  <c r="W3" i="6" s="1"/>
  <c r="R3" i="6"/>
  <c r="X3" i="6" s="1"/>
  <c r="Y3" i="6"/>
  <c r="Z3" i="6" s="1"/>
  <c r="M45" i="6"/>
  <c r="N45" i="6"/>
  <c r="T45" i="6" s="1"/>
  <c r="O45" i="6"/>
  <c r="U45" i="6" s="1"/>
  <c r="P45" i="6"/>
  <c r="V45" i="6" s="1"/>
  <c r="Q45" i="6"/>
  <c r="W45" i="6" s="1"/>
  <c r="R45" i="6"/>
  <c r="X45" i="6" s="1"/>
  <c r="M4" i="6"/>
  <c r="S4" i="6" s="1"/>
  <c r="N4" i="6"/>
  <c r="T4" i="6" s="1"/>
  <c r="O4" i="6"/>
  <c r="U4" i="6" s="1"/>
  <c r="P4" i="6"/>
  <c r="V4" i="6" s="1"/>
  <c r="Q4" i="6"/>
  <c r="W4" i="6" s="1"/>
  <c r="R4" i="6"/>
  <c r="X4" i="6" s="1"/>
  <c r="Y4" i="6"/>
  <c r="Z4" i="6" s="1"/>
  <c r="M51" i="6"/>
  <c r="N51" i="6"/>
  <c r="O51" i="6"/>
  <c r="U51" i="6" s="1"/>
  <c r="P51" i="6"/>
  <c r="V51" i="6" s="1"/>
  <c r="Q51" i="6"/>
  <c r="R51" i="6"/>
  <c r="X51" i="6" s="1"/>
  <c r="M40" i="6"/>
  <c r="N40" i="6"/>
  <c r="T40" i="6" s="1"/>
  <c r="O40" i="6"/>
  <c r="U40" i="6" s="1"/>
  <c r="P40" i="6"/>
  <c r="V40" i="6" s="1"/>
  <c r="Q40" i="6"/>
  <c r="W40" i="6" s="1"/>
  <c r="R40" i="6"/>
  <c r="X40" i="6" s="1"/>
  <c r="M56" i="6"/>
  <c r="N56" i="6"/>
  <c r="T56" i="6" s="1"/>
  <c r="O56" i="6"/>
  <c r="U56" i="6" s="1"/>
  <c r="P56" i="6"/>
  <c r="V56" i="6" s="1"/>
  <c r="Q56" i="6"/>
  <c r="W56" i="6" s="1"/>
  <c r="R56" i="6"/>
  <c r="X56" i="6" s="1"/>
  <c r="M47" i="6"/>
  <c r="N47" i="6"/>
  <c r="O47" i="6"/>
  <c r="U47" i="6" s="1"/>
  <c r="P47" i="6"/>
  <c r="V47" i="6" s="1"/>
  <c r="Q47" i="6"/>
  <c r="W47" i="6" s="1"/>
  <c r="R47" i="6"/>
  <c r="X47" i="6" s="1"/>
  <c r="M46" i="6"/>
  <c r="N46" i="6"/>
  <c r="T46" i="6" s="1"/>
  <c r="O46" i="6"/>
  <c r="U46" i="6" s="1"/>
  <c r="P46" i="6"/>
  <c r="V46" i="6" s="1"/>
  <c r="Q46" i="6"/>
  <c r="W46" i="6" s="1"/>
  <c r="R46" i="6"/>
  <c r="X46" i="6" s="1"/>
  <c r="M32" i="6"/>
  <c r="N32" i="6"/>
  <c r="T32" i="6" s="1"/>
  <c r="O32" i="6"/>
  <c r="U32" i="6" s="1"/>
  <c r="P32" i="6"/>
  <c r="Q32" i="6"/>
  <c r="W32" i="6" s="1"/>
  <c r="R32" i="6"/>
  <c r="X32" i="6" s="1"/>
  <c r="M67" i="6"/>
  <c r="N67" i="6"/>
  <c r="T67" i="6" s="1"/>
  <c r="O67" i="6"/>
  <c r="U67" i="6" s="1"/>
  <c r="P67" i="6"/>
  <c r="V67" i="6" s="1"/>
  <c r="Q67" i="6"/>
  <c r="W67" i="6" s="1"/>
  <c r="R67" i="6"/>
  <c r="X67" i="6" s="1"/>
  <c r="M58" i="6"/>
  <c r="N58" i="6"/>
  <c r="T58" i="6" s="1"/>
  <c r="O58" i="6"/>
  <c r="U58" i="6" s="1"/>
  <c r="P58" i="6"/>
  <c r="V58" i="6" s="1"/>
  <c r="Q58" i="6"/>
  <c r="W58" i="6" s="1"/>
  <c r="R58" i="6"/>
  <c r="X58" i="6" s="1"/>
  <c r="M50" i="6"/>
  <c r="N50" i="6"/>
  <c r="T50" i="6" s="1"/>
  <c r="O50" i="6"/>
  <c r="P50" i="6"/>
  <c r="V50" i="6" s="1"/>
  <c r="Q50" i="6"/>
  <c r="W50" i="6" s="1"/>
  <c r="R50" i="6"/>
  <c r="X50" i="6" s="1"/>
  <c r="M12" i="6"/>
  <c r="N12" i="6"/>
  <c r="T12" i="6" s="1"/>
  <c r="O12" i="6"/>
  <c r="U12" i="6" s="1"/>
  <c r="P12" i="6"/>
  <c r="V12" i="6" s="1"/>
  <c r="Q12" i="6"/>
  <c r="W12" i="6" s="1"/>
  <c r="R12" i="6"/>
  <c r="X12" i="6" s="1"/>
  <c r="M26" i="6"/>
  <c r="N26" i="6"/>
  <c r="T26" i="6" s="1"/>
  <c r="O26" i="6"/>
  <c r="U26" i="6" s="1"/>
  <c r="P26" i="6"/>
  <c r="V26" i="6" s="1"/>
  <c r="Q26" i="6"/>
  <c r="R26" i="6"/>
  <c r="X26" i="6" s="1"/>
  <c r="M68" i="6"/>
  <c r="N68" i="6"/>
  <c r="O68" i="6"/>
  <c r="U68" i="6" s="1"/>
  <c r="P68" i="6"/>
  <c r="V68" i="6" s="1"/>
  <c r="Q68" i="6"/>
  <c r="W68" i="6" s="1"/>
  <c r="R68" i="6"/>
  <c r="X68" i="6" s="1"/>
  <c r="M21" i="6"/>
  <c r="N21" i="6"/>
  <c r="T21" i="6" s="1"/>
  <c r="O21" i="6"/>
  <c r="U21" i="6" s="1"/>
  <c r="P21" i="6"/>
  <c r="V21" i="6" s="1"/>
  <c r="Q21" i="6"/>
  <c r="W21" i="6" s="1"/>
  <c r="R21" i="6"/>
  <c r="X21" i="6" s="1"/>
  <c r="M18" i="6"/>
  <c r="N18" i="6"/>
  <c r="T18" i="6" s="1"/>
  <c r="O18" i="6"/>
  <c r="U18" i="6" s="1"/>
  <c r="P18" i="6"/>
  <c r="Q18" i="6"/>
  <c r="W18" i="6" s="1"/>
  <c r="R18" i="6"/>
  <c r="X18" i="6" s="1"/>
  <c r="M20" i="6"/>
  <c r="N20" i="6"/>
  <c r="T20" i="6" s="1"/>
  <c r="O20" i="6"/>
  <c r="U20" i="6" s="1"/>
  <c r="P20" i="6"/>
  <c r="V20" i="6" s="1"/>
  <c r="Q20" i="6"/>
  <c r="W20" i="6" s="1"/>
  <c r="R20" i="6"/>
  <c r="X20" i="6" s="1"/>
  <c r="M19" i="6"/>
  <c r="N19" i="6"/>
  <c r="T19" i="6" s="1"/>
  <c r="O19" i="6"/>
  <c r="U19" i="6" s="1"/>
  <c r="P19" i="6"/>
  <c r="V19" i="6" s="1"/>
  <c r="Q19" i="6"/>
  <c r="W19" i="6" s="1"/>
  <c r="R19" i="6"/>
  <c r="X19" i="6" s="1"/>
  <c r="M9" i="6"/>
  <c r="N9" i="6"/>
  <c r="O9" i="6"/>
  <c r="U9" i="6" s="1"/>
  <c r="P9" i="6"/>
  <c r="V9" i="6" s="1"/>
  <c r="Q9" i="6"/>
  <c r="W9" i="6" s="1"/>
  <c r="R9" i="6"/>
  <c r="X9" i="6" s="1"/>
  <c r="M11" i="6"/>
  <c r="N11" i="6"/>
  <c r="T11" i="6" s="1"/>
  <c r="O11" i="6"/>
  <c r="U11" i="6" s="1"/>
  <c r="P11" i="6"/>
  <c r="V11" i="6" s="1"/>
  <c r="Q11" i="6"/>
  <c r="W11" i="6" s="1"/>
  <c r="R11" i="6"/>
  <c r="X11" i="6" s="1"/>
  <c r="M30" i="6"/>
  <c r="N30" i="6"/>
  <c r="T30" i="6" s="1"/>
  <c r="O30" i="6"/>
  <c r="U30" i="6" s="1"/>
  <c r="P30" i="6"/>
  <c r="V30" i="6" s="1"/>
  <c r="Q30" i="6"/>
  <c r="W30" i="6" s="1"/>
  <c r="R30" i="6"/>
  <c r="X30" i="6" s="1"/>
  <c r="M38" i="6"/>
  <c r="N38" i="6"/>
  <c r="T38" i="6" s="1"/>
  <c r="O38" i="6"/>
  <c r="U38" i="6" s="1"/>
  <c r="P38" i="6"/>
  <c r="V38" i="6" s="1"/>
  <c r="Q38" i="6"/>
  <c r="W38" i="6" s="1"/>
  <c r="R38" i="6"/>
  <c r="X38" i="6" s="1"/>
  <c r="M52" i="6"/>
  <c r="N52" i="6"/>
  <c r="T52" i="6" s="1"/>
  <c r="O52" i="6"/>
  <c r="U52" i="6" s="1"/>
  <c r="P52" i="6"/>
  <c r="V52" i="6" s="1"/>
  <c r="Q52" i="6"/>
  <c r="W52" i="6" s="1"/>
  <c r="R52" i="6"/>
  <c r="X52" i="6" s="1"/>
  <c r="M64" i="6"/>
  <c r="N64" i="6"/>
  <c r="T64" i="6" s="1"/>
  <c r="O64" i="6"/>
  <c r="U64" i="6" s="1"/>
  <c r="P64" i="6"/>
  <c r="V64" i="6" s="1"/>
  <c r="Q64" i="6"/>
  <c r="W64" i="6" s="1"/>
  <c r="R64" i="6"/>
  <c r="X64" i="6" s="1"/>
  <c r="M5" i="6"/>
  <c r="N5" i="6"/>
  <c r="T5" i="6" s="1"/>
  <c r="O5" i="6"/>
  <c r="U5" i="6" s="1"/>
  <c r="P5" i="6"/>
  <c r="V5" i="6" s="1"/>
  <c r="Q5" i="6"/>
  <c r="W5" i="6" s="1"/>
  <c r="R5" i="6"/>
  <c r="X5" i="6" s="1"/>
  <c r="Y5" i="6"/>
  <c r="Z5" i="6" s="1"/>
  <c r="M61" i="6"/>
  <c r="N61" i="6"/>
  <c r="T61" i="6" s="1"/>
  <c r="O61" i="6"/>
  <c r="U61" i="6" s="1"/>
  <c r="P61" i="6"/>
  <c r="V61" i="6" s="1"/>
  <c r="Q61" i="6"/>
  <c r="W61" i="6" s="1"/>
  <c r="R61" i="6"/>
  <c r="X61" i="6" s="1"/>
  <c r="M27" i="6"/>
  <c r="N27" i="6"/>
  <c r="O27" i="6"/>
  <c r="U27" i="6" s="1"/>
  <c r="P27" i="6"/>
  <c r="V27" i="6" s="1"/>
  <c r="Q27" i="6"/>
  <c r="W27" i="6" s="1"/>
  <c r="R27" i="6"/>
  <c r="X27" i="6" s="1"/>
  <c r="M25" i="6"/>
  <c r="N25" i="6"/>
  <c r="T25" i="6" s="1"/>
  <c r="O25" i="6"/>
  <c r="U25" i="6" s="1"/>
  <c r="P25" i="6"/>
  <c r="V25" i="6" s="1"/>
  <c r="Q25" i="6"/>
  <c r="W25" i="6" s="1"/>
  <c r="R25" i="6"/>
  <c r="X25" i="6" s="1"/>
  <c r="M31" i="6"/>
  <c r="N31" i="6"/>
  <c r="T31" i="6" s="1"/>
  <c r="O31" i="6"/>
  <c r="U31" i="6" s="1"/>
  <c r="P31" i="6"/>
  <c r="V31" i="6" s="1"/>
  <c r="Q31" i="6"/>
  <c r="W31" i="6" s="1"/>
  <c r="R31" i="6"/>
  <c r="X31" i="6" s="1"/>
  <c r="M69" i="6"/>
  <c r="N69" i="6"/>
  <c r="T69" i="6" s="1"/>
  <c r="O69" i="6"/>
  <c r="U69" i="6" s="1"/>
  <c r="P69" i="6"/>
  <c r="V69" i="6" s="1"/>
  <c r="Q69" i="6"/>
  <c r="W69" i="6" s="1"/>
  <c r="R69" i="6"/>
  <c r="X69" i="6" s="1"/>
  <c r="M53" i="6"/>
  <c r="N53" i="6"/>
  <c r="T53" i="6" s="1"/>
  <c r="O53" i="6"/>
  <c r="U53" i="6" s="1"/>
  <c r="P53" i="6"/>
  <c r="Q53" i="6"/>
  <c r="W53" i="6" s="1"/>
  <c r="R53" i="6"/>
  <c r="X53" i="6" s="1"/>
  <c r="M17" i="6"/>
  <c r="N17" i="6"/>
  <c r="T17" i="6" s="1"/>
  <c r="O17" i="6"/>
  <c r="P17" i="6"/>
  <c r="V17" i="6" s="1"/>
  <c r="Q17" i="6"/>
  <c r="W17" i="6" s="1"/>
  <c r="R17" i="6"/>
  <c r="X17" i="6" s="1"/>
  <c r="M29" i="6"/>
  <c r="N29" i="6"/>
  <c r="T29" i="6" s="1"/>
  <c r="O29" i="6"/>
  <c r="U29" i="6" s="1"/>
  <c r="P29" i="6"/>
  <c r="V29" i="6" s="1"/>
  <c r="Q29" i="6"/>
  <c r="W29" i="6" s="1"/>
  <c r="R29" i="6"/>
  <c r="X29" i="6" s="1"/>
  <c r="M6" i="6"/>
  <c r="S6" i="6" s="1"/>
  <c r="N6" i="6"/>
  <c r="T6" i="6" s="1"/>
  <c r="O6" i="6"/>
  <c r="U6" i="6" s="1"/>
  <c r="P6" i="6"/>
  <c r="V6" i="6" s="1"/>
  <c r="Q6" i="6"/>
  <c r="W6" i="6" s="1"/>
  <c r="R6" i="6"/>
  <c r="X6" i="6" s="1"/>
  <c r="Y6" i="6"/>
  <c r="Z6" i="6" s="1"/>
  <c r="M71" i="6"/>
  <c r="N71" i="6"/>
  <c r="T71" i="6" s="1"/>
  <c r="O71" i="6"/>
  <c r="U71" i="6" s="1"/>
  <c r="P71" i="6"/>
  <c r="V71" i="6" s="1"/>
  <c r="Q71" i="6"/>
  <c r="W71" i="6" s="1"/>
  <c r="R71" i="6"/>
  <c r="X71" i="6" s="1"/>
  <c r="M28" i="6"/>
  <c r="N28" i="6"/>
  <c r="T28" i="6" s="1"/>
  <c r="O28" i="6"/>
  <c r="U28" i="6" s="1"/>
  <c r="P28" i="6"/>
  <c r="V28" i="6" s="1"/>
  <c r="Q28" i="6"/>
  <c r="W28" i="6" s="1"/>
  <c r="R28" i="6"/>
  <c r="X28" i="6" s="1"/>
  <c r="M73" i="6"/>
  <c r="N73" i="6"/>
  <c r="T73" i="6" s="1"/>
  <c r="O73" i="6"/>
  <c r="U73" i="6" s="1"/>
  <c r="P73" i="6"/>
  <c r="V73" i="6" s="1"/>
  <c r="Q73" i="6"/>
  <c r="R73" i="6"/>
  <c r="X73" i="6" s="1"/>
  <c r="M59" i="6"/>
  <c r="N59" i="6"/>
  <c r="T59" i="6" s="1"/>
  <c r="O59" i="6"/>
  <c r="U59" i="6" s="1"/>
  <c r="P59" i="6"/>
  <c r="V59" i="6" s="1"/>
  <c r="Q59" i="6"/>
  <c r="W59" i="6" s="1"/>
  <c r="R59" i="6"/>
  <c r="X59" i="6" s="1"/>
  <c r="M42" i="6"/>
  <c r="N42" i="6"/>
  <c r="T42" i="6" s="1"/>
  <c r="O42" i="6"/>
  <c r="U42" i="6" s="1"/>
  <c r="P42" i="6"/>
  <c r="V42" i="6" s="1"/>
  <c r="Q42" i="6"/>
  <c r="W42" i="6" s="1"/>
  <c r="R42" i="6"/>
  <c r="X42" i="6" s="1"/>
  <c r="M17" i="1"/>
  <c r="N17" i="1"/>
  <c r="T17" i="1" s="1"/>
  <c r="O17" i="1"/>
  <c r="U17" i="1" s="1"/>
  <c r="P17" i="1"/>
  <c r="V17" i="1" s="1"/>
  <c r="Q17" i="1"/>
  <c r="R17" i="1"/>
  <c r="X17" i="1" s="1"/>
  <c r="M60" i="1"/>
  <c r="N60" i="1"/>
  <c r="T60" i="1" s="1"/>
  <c r="O60" i="1"/>
  <c r="U60" i="1" s="1"/>
  <c r="P60" i="1"/>
  <c r="V60" i="1" s="1"/>
  <c r="Q60" i="1"/>
  <c r="W60" i="1" s="1"/>
  <c r="R60" i="1"/>
  <c r="X60" i="1" s="1"/>
  <c r="M9" i="1"/>
  <c r="N9" i="1"/>
  <c r="T9" i="1" s="1"/>
  <c r="O9" i="1"/>
  <c r="U9" i="1" s="1"/>
  <c r="P9" i="1"/>
  <c r="V9" i="1" s="1"/>
  <c r="Q9" i="1"/>
  <c r="W9" i="1" s="1"/>
  <c r="R9" i="1"/>
  <c r="X9" i="1" s="1"/>
  <c r="M47" i="1"/>
  <c r="N47" i="1"/>
  <c r="T47" i="1" s="1"/>
  <c r="O47" i="1"/>
  <c r="U47" i="1" s="1"/>
  <c r="P47" i="1"/>
  <c r="V47" i="1" s="1"/>
  <c r="Q47" i="1"/>
  <c r="W47" i="1" s="1"/>
  <c r="R47" i="1"/>
  <c r="X47" i="1" s="1"/>
  <c r="M25" i="1"/>
  <c r="N25" i="1"/>
  <c r="T25" i="1" s="1"/>
  <c r="O25" i="1"/>
  <c r="U25" i="1" s="1"/>
  <c r="P25" i="1"/>
  <c r="V25" i="1" s="1"/>
  <c r="Q25" i="1"/>
  <c r="W25" i="1" s="1"/>
  <c r="R25" i="1"/>
  <c r="M54" i="1"/>
  <c r="N54" i="1"/>
  <c r="T54" i="1" s="1"/>
  <c r="O54" i="1"/>
  <c r="U54" i="1" s="1"/>
  <c r="P54" i="1"/>
  <c r="V54" i="1" s="1"/>
  <c r="Q54" i="1"/>
  <c r="W54" i="1" s="1"/>
  <c r="R54" i="1"/>
  <c r="X54" i="1" s="1"/>
  <c r="M31" i="1"/>
  <c r="N31" i="1"/>
  <c r="T31" i="1" s="1"/>
  <c r="O31" i="1"/>
  <c r="U31" i="1" s="1"/>
  <c r="P31" i="1"/>
  <c r="V31" i="1" s="1"/>
  <c r="Q31" i="1"/>
  <c r="W31" i="1" s="1"/>
  <c r="R31" i="1"/>
  <c r="X31" i="1" s="1"/>
  <c r="M23" i="1"/>
  <c r="N23" i="1"/>
  <c r="T23" i="1" s="1"/>
  <c r="O23" i="1"/>
  <c r="U23" i="1" s="1"/>
  <c r="P23" i="1"/>
  <c r="V23" i="1" s="1"/>
  <c r="Q23" i="1"/>
  <c r="W23" i="1" s="1"/>
  <c r="R23" i="1"/>
  <c r="X23" i="1" s="1"/>
  <c r="M53" i="1"/>
  <c r="N53" i="1"/>
  <c r="T53" i="1" s="1"/>
  <c r="O53" i="1"/>
  <c r="U53" i="1" s="1"/>
  <c r="P53" i="1"/>
  <c r="V53" i="1" s="1"/>
  <c r="Q53" i="1"/>
  <c r="R53" i="1"/>
  <c r="X53" i="1" s="1"/>
  <c r="M11" i="1"/>
  <c r="N11" i="1"/>
  <c r="T11" i="1" s="1"/>
  <c r="O11" i="1"/>
  <c r="U11" i="1" s="1"/>
  <c r="P11" i="1"/>
  <c r="V11" i="1" s="1"/>
  <c r="Q11" i="1"/>
  <c r="W11" i="1" s="1"/>
  <c r="R11" i="1"/>
  <c r="X11" i="1" s="1"/>
  <c r="M69" i="1"/>
  <c r="N69" i="1"/>
  <c r="T69" i="1" s="1"/>
  <c r="O69" i="1"/>
  <c r="U69" i="1" s="1"/>
  <c r="P69" i="1"/>
  <c r="V69" i="1" s="1"/>
  <c r="Q69" i="1"/>
  <c r="W69" i="1" s="1"/>
  <c r="R69" i="1"/>
  <c r="X69" i="1" s="1"/>
  <c r="M26" i="1"/>
  <c r="N26" i="1"/>
  <c r="T26" i="1" s="1"/>
  <c r="O26" i="1"/>
  <c r="U26" i="1" s="1"/>
  <c r="P26" i="1"/>
  <c r="Q26" i="1"/>
  <c r="W26" i="1" s="1"/>
  <c r="R26" i="1"/>
  <c r="X26" i="1" s="1"/>
  <c r="M35" i="1"/>
  <c r="N35" i="1"/>
  <c r="T35" i="1" s="1"/>
  <c r="O35" i="1"/>
  <c r="U35" i="1" s="1"/>
  <c r="P35" i="1"/>
  <c r="V35" i="1" s="1"/>
  <c r="Q35" i="1"/>
  <c r="W35" i="1" s="1"/>
  <c r="R35" i="1"/>
  <c r="X35" i="1" s="1"/>
  <c r="M52" i="1"/>
  <c r="N52" i="1"/>
  <c r="T52" i="1" s="1"/>
  <c r="O52" i="1"/>
  <c r="U52" i="1" s="1"/>
  <c r="P52" i="1"/>
  <c r="V52" i="1" s="1"/>
  <c r="Q52" i="1"/>
  <c r="W52" i="1" s="1"/>
  <c r="R52" i="1"/>
  <c r="M58" i="1"/>
  <c r="N58" i="1"/>
  <c r="T58" i="1" s="1"/>
  <c r="O58" i="1"/>
  <c r="U58" i="1" s="1"/>
  <c r="P58" i="1"/>
  <c r="V58" i="1" s="1"/>
  <c r="Q58" i="1"/>
  <c r="W58" i="1" s="1"/>
  <c r="R58" i="1"/>
  <c r="X58" i="1" s="1"/>
  <c r="M18" i="1"/>
  <c r="N18" i="1"/>
  <c r="T18" i="1" s="1"/>
  <c r="O18" i="1"/>
  <c r="U18" i="1" s="1"/>
  <c r="P18" i="1"/>
  <c r="V18" i="1" s="1"/>
  <c r="Q18" i="1"/>
  <c r="W18" i="1" s="1"/>
  <c r="R18" i="1"/>
  <c r="X18" i="1" s="1"/>
  <c r="M56" i="1"/>
  <c r="N56" i="1"/>
  <c r="O56" i="1"/>
  <c r="U56" i="1" s="1"/>
  <c r="P56" i="1"/>
  <c r="V56" i="1" s="1"/>
  <c r="Q56" i="1"/>
  <c r="R56" i="1"/>
  <c r="X56" i="1" s="1"/>
  <c r="M7" i="1"/>
  <c r="N7" i="1"/>
  <c r="T7" i="1" s="1"/>
  <c r="O7" i="1"/>
  <c r="U7" i="1" s="1"/>
  <c r="P7" i="1"/>
  <c r="V7" i="1" s="1"/>
  <c r="Q7" i="1"/>
  <c r="W7" i="1" s="1"/>
  <c r="R7" i="1"/>
  <c r="X7" i="1" s="1"/>
  <c r="M20" i="1"/>
  <c r="N20" i="1"/>
  <c r="T20" i="1" s="1"/>
  <c r="O20" i="1"/>
  <c r="U20" i="1" s="1"/>
  <c r="P20" i="1"/>
  <c r="Q20" i="1"/>
  <c r="W20" i="1" s="1"/>
  <c r="R20" i="1"/>
  <c r="X20" i="1" s="1"/>
  <c r="M24" i="1"/>
  <c r="N24" i="1"/>
  <c r="T24" i="1" s="1"/>
  <c r="O24" i="1"/>
  <c r="U24" i="1" s="1"/>
  <c r="P24" i="1"/>
  <c r="V24" i="1" s="1"/>
  <c r="Q24" i="1"/>
  <c r="R24" i="1"/>
  <c r="X24" i="1" s="1"/>
  <c r="M61" i="1"/>
  <c r="N61" i="1"/>
  <c r="T61" i="1" s="1"/>
  <c r="O61" i="1"/>
  <c r="U61" i="1" s="1"/>
  <c r="P61" i="1"/>
  <c r="V61" i="1" s="1"/>
  <c r="Q61" i="1"/>
  <c r="W61" i="1" s="1"/>
  <c r="R61" i="1"/>
  <c r="X61" i="1" s="1"/>
  <c r="M40" i="1"/>
  <c r="N40" i="1"/>
  <c r="T40" i="1" s="1"/>
  <c r="O40" i="1"/>
  <c r="P40" i="1"/>
  <c r="V40" i="1" s="1"/>
  <c r="Q40" i="1"/>
  <c r="W40" i="1" s="1"/>
  <c r="R40" i="1"/>
  <c r="X40" i="1" s="1"/>
  <c r="M62" i="1"/>
  <c r="N62" i="1"/>
  <c r="T62" i="1" s="1"/>
  <c r="O62" i="1"/>
  <c r="U62" i="1" s="1"/>
  <c r="P62" i="1"/>
  <c r="V62" i="1" s="1"/>
  <c r="Q62" i="1"/>
  <c r="W62" i="1" s="1"/>
  <c r="R62" i="1"/>
  <c r="X62" i="1" s="1"/>
  <c r="M46" i="1"/>
  <c r="N46" i="1"/>
  <c r="T46" i="1" s="1"/>
  <c r="O46" i="1"/>
  <c r="U46" i="1" s="1"/>
  <c r="P46" i="1"/>
  <c r="V46" i="1" s="1"/>
  <c r="Q46" i="1"/>
  <c r="W46" i="1" s="1"/>
  <c r="R46" i="1"/>
  <c r="X46" i="1" s="1"/>
  <c r="M70" i="1"/>
  <c r="N70" i="1"/>
  <c r="O70" i="1"/>
  <c r="U70" i="1" s="1"/>
  <c r="P70" i="1"/>
  <c r="V70" i="1" s="1"/>
  <c r="Q70" i="1"/>
  <c r="W70" i="1" s="1"/>
  <c r="R70" i="1"/>
  <c r="X70" i="1" s="1"/>
  <c r="M14" i="1"/>
  <c r="N14" i="1"/>
  <c r="T14" i="1" s="1"/>
  <c r="O14" i="1"/>
  <c r="U14" i="1" s="1"/>
  <c r="P14" i="1"/>
  <c r="V14" i="1" s="1"/>
  <c r="Q14" i="1"/>
  <c r="W14" i="1" s="1"/>
  <c r="R14" i="1"/>
  <c r="X14" i="1" s="1"/>
  <c r="M63" i="1"/>
  <c r="N63" i="1"/>
  <c r="T63" i="1" s="1"/>
  <c r="O63" i="1"/>
  <c r="U63" i="1" s="1"/>
  <c r="P63" i="1"/>
  <c r="Q63" i="1"/>
  <c r="W63" i="1" s="1"/>
  <c r="R63" i="1"/>
  <c r="X63" i="1" s="1"/>
  <c r="M51" i="1"/>
  <c r="N51" i="1"/>
  <c r="T51" i="1" s="1"/>
  <c r="O51" i="1"/>
  <c r="U51" i="1" s="1"/>
  <c r="P51" i="1"/>
  <c r="V51" i="1" s="1"/>
  <c r="Q51" i="1"/>
  <c r="W51" i="1" s="1"/>
  <c r="R51" i="1"/>
  <c r="X51" i="1" s="1"/>
  <c r="M42" i="1"/>
  <c r="N42" i="1"/>
  <c r="T42" i="1" s="1"/>
  <c r="O42" i="1"/>
  <c r="U42" i="1" s="1"/>
  <c r="P42" i="1"/>
  <c r="V42" i="1" s="1"/>
  <c r="Q42" i="1"/>
  <c r="W42" i="1" s="1"/>
  <c r="R42" i="1"/>
  <c r="X42" i="1" s="1"/>
  <c r="M41" i="1"/>
  <c r="N41" i="1"/>
  <c r="T41" i="1" s="1"/>
  <c r="O41" i="1"/>
  <c r="P41" i="1"/>
  <c r="V41" i="1" s="1"/>
  <c r="Q41" i="1"/>
  <c r="W41" i="1" s="1"/>
  <c r="R41" i="1"/>
  <c r="X41" i="1" s="1"/>
  <c r="M10" i="1"/>
  <c r="N10" i="1"/>
  <c r="T10" i="1" s="1"/>
  <c r="O10" i="1"/>
  <c r="U10" i="1" s="1"/>
  <c r="P10" i="1"/>
  <c r="V10" i="1" s="1"/>
  <c r="Q10" i="1"/>
  <c r="W10" i="1" s="1"/>
  <c r="R10" i="1"/>
  <c r="X10" i="1" s="1"/>
  <c r="M15" i="1"/>
  <c r="N15" i="1"/>
  <c r="T15" i="1" s="1"/>
  <c r="O15" i="1"/>
  <c r="U15" i="1" s="1"/>
  <c r="P15" i="1"/>
  <c r="V15" i="1" s="1"/>
  <c r="Q15" i="1"/>
  <c r="W15" i="1" s="1"/>
  <c r="R15" i="1"/>
  <c r="X15" i="1" s="1"/>
  <c r="M8" i="1"/>
  <c r="N8" i="1"/>
  <c r="T8" i="1" s="1"/>
  <c r="O8" i="1"/>
  <c r="U8" i="1" s="1"/>
  <c r="P8" i="1"/>
  <c r="V8" i="1" s="1"/>
  <c r="Q8" i="1"/>
  <c r="W8" i="1" s="1"/>
  <c r="R8" i="1"/>
  <c r="X8" i="1" s="1"/>
  <c r="Y8" i="1"/>
  <c r="Z8" i="1" s="1"/>
  <c r="M29" i="1"/>
  <c r="N29" i="1"/>
  <c r="T29" i="1" s="1"/>
  <c r="O29" i="1"/>
  <c r="U29" i="1" s="1"/>
  <c r="P29" i="1"/>
  <c r="V29" i="1" s="1"/>
  <c r="Q29" i="1"/>
  <c r="W29" i="1" s="1"/>
  <c r="R29" i="1"/>
  <c r="X29" i="1" s="1"/>
  <c r="M38" i="1"/>
  <c r="N38" i="1"/>
  <c r="T38" i="1" s="1"/>
  <c r="O38" i="1"/>
  <c r="U38" i="1" s="1"/>
  <c r="P38" i="1"/>
  <c r="V38" i="1" s="1"/>
  <c r="Q38" i="1"/>
  <c r="W38" i="1" s="1"/>
  <c r="R38" i="1"/>
  <c r="X38" i="1" s="1"/>
  <c r="M64" i="1"/>
  <c r="N64" i="1"/>
  <c r="T64" i="1" s="1"/>
  <c r="O64" i="1"/>
  <c r="U64" i="1" s="1"/>
  <c r="P64" i="1"/>
  <c r="V64" i="1" s="1"/>
  <c r="Q64" i="1"/>
  <c r="W64" i="1" s="1"/>
  <c r="R64" i="1"/>
  <c r="X64" i="1" s="1"/>
  <c r="M55" i="1"/>
  <c r="N55" i="1"/>
  <c r="T55" i="1" s="1"/>
  <c r="O55" i="1"/>
  <c r="U55" i="1" s="1"/>
  <c r="P55" i="1"/>
  <c r="V55" i="1" s="1"/>
  <c r="Q55" i="1"/>
  <c r="W55" i="1" s="1"/>
  <c r="R55" i="1"/>
  <c r="X55" i="1" s="1"/>
  <c r="M49" i="1"/>
  <c r="N49" i="1"/>
  <c r="T49" i="1" s="1"/>
  <c r="O49" i="1"/>
  <c r="U49" i="1" s="1"/>
  <c r="P49" i="1"/>
  <c r="V49" i="1" s="1"/>
  <c r="Q49" i="1"/>
  <c r="W49" i="1" s="1"/>
  <c r="R49" i="1"/>
  <c r="X49" i="1" s="1"/>
  <c r="M30" i="1"/>
  <c r="N30" i="1"/>
  <c r="O30" i="1"/>
  <c r="U30" i="1" s="1"/>
  <c r="P30" i="1"/>
  <c r="V30" i="1" s="1"/>
  <c r="Q30" i="1"/>
  <c r="W30" i="1" s="1"/>
  <c r="R30" i="1"/>
  <c r="X30" i="1" s="1"/>
  <c r="M50" i="1"/>
  <c r="N50" i="1"/>
  <c r="T50" i="1" s="1"/>
  <c r="O50" i="1"/>
  <c r="U50" i="1" s="1"/>
  <c r="P50" i="1"/>
  <c r="V50" i="1" s="1"/>
  <c r="Q50" i="1"/>
  <c r="W50" i="1" s="1"/>
  <c r="R50" i="1"/>
  <c r="X50" i="1" s="1"/>
  <c r="M12" i="1"/>
  <c r="N12" i="1"/>
  <c r="T12" i="1" s="1"/>
  <c r="O12" i="1"/>
  <c r="U12" i="1" s="1"/>
  <c r="P12" i="1"/>
  <c r="Q12" i="1"/>
  <c r="W12" i="1" s="1"/>
  <c r="R12" i="1"/>
  <c r="X12" i="1" s="1"/>
  <c r="M28" i="1"/>
  <c r="N28" i="1"/>
  <c r="T28" i="1" s="1"/>
  <c r="O28" i="1"/>
  <c r="U28" i="1" s="1"/>
  <c r="P28" i="1"/>
  <c r="V28" i="1" s="1"/>
  <c r="Q28" i="1"/>
  <c r="W28" i="1" s="1"/>
  <c r="R28" i="1"/>
  <c r="X28" i="1" s="1"/>
  <c r="M36" i="1"/>
  <c r="N36" i="1"/>
  <c r="T36" i="1" s="1"/>
  <c r="O36" i="1"/>
  <c r="U36" i="1" s="1"/>
  <c r="P36" i="1"/>
  <c r="V36" i="1" s="1"/>
  <c r="Q36" i="1"/>
  <c r="W36" i="1" s="1"/>
  <c r="R36" i="1"/>
  <c r="M16" i="1"/>
  <c r="N16" i="1"/>
  <c r="T16" i="1" s="1"/>
  <c r="O16" i="1"/>
  <c r="U16" i="1" s="1"/>
  <c r="P16" i="1"/>
  <c r="V16" i="1" s="1"/>
  <c r="Q16" i="1"/>
  <c r="W16" i="1" s="1"/>
  <c r="R16" i="1"/>
  <c r="X16" i="1" s="1"/>
  <c r="M65" i="1"/>
  <c r="N65" i="1"/>
  <c r="T65" i="1" s="1"/>
  <c r="O65" i="1"/>
  <c r="U65" i="1" s="1"/>
  <c r="P65" i="1"/>
  <c r="V65" i="1" s="1"/>
  <c r="Q65" i="1"/>
  <c r="W65" i="1" s="1"/>
  <c r="R65" i="1"/>
  <c r="X65" i="1" s="1"/>
  <c r="M34" i="1"/>
  <c r="N34" i="1"/>
  <c r="T34" i="1" s="1"/>
  <c r="O34" i="1"/>
  <c r="U34" i="1" s="1"/>
  <c r="P34" i="1"/>
  <c r="V34" i="1" s="1"/>
  <c r="Q34" i="1"/>
  <c r="R34" i="1"/>
  <c r="X34" i="1" s="1"/>
  <c r="M21" i="1"/>
  <c r="N21" i="1"/>
  <c r="O21" i="1"/>
  <c r="U21" i="1" s="1"/>
  <c r="P21" i="1"/>
  <c r="V21" i="1" s="1"/>
  <c r="Q21" i="1"/>
  <c r="W21" i="1" s="1"/>
  <c r="R21" i="1"/>
  <c r="X21" i="1" s="1"/>
  <c r="M22" i="1"/>
  <c r="N22" i="1"/>
  <c r="T22" i="1" s="1"/>
  <c r="O22" i="1"/>
  <c r="U22" i="1" s="1"/>
  <c r="P22" i="1"/>
  <c r="V22" i="1" s="1"/>
  <c r="Q22" i="1"/>
  <c r="W22" i="1" s="1"/>
  <c r="R22" i="1"/>
  <c r="X22" i="1" s="1"/>
  <c r="M66" i="1"/>
  <c r="N66" i="1"/>
  <c r="T66" i="1" s="1"/>
  <c r="O66" i="1"/>
  <c r="U66" i="1" s="1"/>
  <c r="P66" i="1"/>
  <c r="Q66" i="1"/>
  <c r="W66" i="1" s="1"/>
  <c r="R66" i="1"/>
  <c r="X66" i="1" s="1"/>
  <c r="M43" i="1"/>
  <c r="N43" i="1"/>
  <c r="T43" i="1" s="1"/>
  <c r="O43" i="1"/>
  <c r="U43" i="1" s="1"/>
  <c r="P43" i="1"/>
  <c r="V43" i="1" s="1"/>
  <c r="Q43" i="1"/>
  <c r="W43" i="1" s="1"/>
  <c r="R43" i="1"/>
  <c r="X43" i="1" s="1"/>
  <c r="M67" i="1"/>
  <c r="N67" i="1"/>
  <c r="T67" i="1" s="1"/>
  <c r="O67" i="1"/>
  <c r="U67" i="1" s="1"/>
  <c r="P67" i="1"/>
  <c r="V67" i="1" s="1"/>
  <c r="Q67" i="1"/>
  <c r="W67" i="1" s="1"/>
  <c r="R67" i="1"/>
  <c r="X67" i="1" s="1"/>
  <c r="M45" i="1"/>
  <c r="N45" i="1"/>
  <c r="O45" i="1"/>
  <c r="U45" i="1" s="1"/>
  <c r="P45" i="1"/>
  <c r="V45" i="1" s="1"/>
  <c r="Q45" i="1"/>
  <c r="W45" i="1" s="1"/>
  <c r="R45" i="1"/>
  <c r="X45" i="1" s="1"/>
  <c r="M37" i="1"/>
  <c r="N37" i="1"/>
  <c r="T37" i="1" s="1"/>
  <c r="O37" i="1"/>
  <c r="U37" i="1" s="1"/>
  <c r="P37" i="1"/>
  <c r="V37" i="1" s="1"/>
  <c r="Q37" i="1"/>
  <c r="W37" i="1" s="1"/>
  <c r="R37" i="1"/>
  <c r="X37" i="1" s="1"/>
  <c r="M3" i="1"/>
  <c r="S3" i="1" s="1"/>
  <c r="N3" i="1"/>
  <c r="T3" i="1" s="1"/>
  <c r="O3" i="1"/>
  <c r="U3" i="1" s="1"/>
  <c r="P3" i="1"/>
  <c r="V3" i="1" s="1"/>
  <c r="Q3" i="1"/>
  <c r="W3" i="1" s="1"/>
  <c r="R3" i="1"/>
  <c r="X3" i="1" s="1"/>
  <c r="Y3" i="1"/>
  <c r="Z3" i="1" s="1"/>
  <c r="M4" i="1"/>
  <c r="S4" i="1" s="1"/>
  <c r="N4" i="1"/>
  <c r="O4" i="1"/>
  <c r="U4" i="1" s="1"/>
  <c r="P4" i="1"/>
  <c r="V4" i="1" s="1"/>
  <c r="Q4" i="1"/>
  <c r="W4" i="1" s="1"/>
  <c r="R4" i="1"/>
  <c r="X4" i="1" s="1"/>
  <c r="Y4" i="1"/>
  <c r="AA4" i="1" s="1"/>
  <c r="M13" i="1"/>
  <c r="N13" i="1"/>
  <c r="T13" i="1" s="1"/>
  <c r="O13" i="1"/>
  <c r="U13" i="1" s="1"/>
  <c r="P13" i="1"/>
  <c r="V13" i="1" s="1"/>
  <c r="Q13" i="1"/>
  <c r="W13" i="1" s="1"/>
  <c r="R13" i="1"/>
  <c r="X13" i="1" s="1"/>
  <c r="M48" i="1"/>
  <c r="N48" i="1"/>
  <c r="T48" i="1" s="1"/>
  <c r="O48" i="1"/>
  <c r="U48" i="1" s="1"/>
  <c r="P48" i="1"/>
  <c r="Q48" i="1"/>
  <c r="W48" i="1" s="1"/>
  <c r="R48" i="1"/>
  <c r="X48" i="1" s="1"/>
  <c r="M27" i="1"/>
  <c r="N27" i="1"/>
  <c r="T27" i="1" s="1"/>
  <c r="O27" i="1"/>
  <c r="U27" i="1" s="1"/>
  <c r="P27" i="1"/>
  <c r="V27" i="1" s="1"/>
  <c r="Q27" i="1"/>
  <c r="W27" i="1" s="1"/>
  <c r="R27" i="1"/>
  <c r="X27" i="1" s="1"/>
  <c r="M32" i="1"/>
  <c r="N32" i="1"/>
  <c r="T32" i="1" s="1"/>
  <c r="O32" i="1"/>
  <c r="U32" i="1" s="1"/>
  <c r="P32" i="1"/>
  <c r="V32" i="1" s="1"/>
  <c r="Q32" i="1"/>
  <c r="W32" i="1" s="1"/>
  <c r="R32" i="1"/>
  <c r="X32" i="1" s="1"/>
  <c r="M19" i="1"/>
  <c r="N19" i="1"/>
  <c r="T19" i="1" s="1"/>
  <c r="O19" i="1"/>
  <c r="P19" i="1"/>
  <c r="V19" i="1" s="1"/>
  <c r="Q19" i="1"/>
  <c r="W19" i="1" s="1"/>
  <c r="R19" i="1"/>
  <c r="X19" i="1" s="1"/>
  <c r="M68" i="1"/>
  <c r="N68" i="1"/>
  <c r="T68" i="1" s="1"/>
  <c r="O68" i="1"/>
  <c r="U68" i="1" s="1"/>
  <c r="P68" i="1"/>
  <c r="Q68" i="1"/>
  <c r="W68" i="1" s="1"/>
  <c r="R68" i="1"/>
  <c r="X68" i="1" s="1"/>
  <c r="M57" i="1"/>
  <c r="N57" i="1"/>
  <c r="T57" i="1" s="1"/>
  <c r="O57" i="1"/>
  <c r="U57" i="1" s="1"/>
  <c r="P57" i="1"/>
  <c r="V57" i="1" s="1"/>
  <c r="Q57" i="1"/>
  <c r="W57" i="1" s="1"/>
  <c r="R57" i="1"/>
  <c r="X57" i="1" s="1"/>
  <c r="M39" i="1"/>
  <c r="N39" i="1"/>
  <c r="O39" i="1"/>
  <c r="U39" i="1" s="1"/>
  <c r="P39" i="1"/>
  <c r="V39" i="1" s="1"/>
  <c r="Q39" i="1"/>
  <c r="W39" i="1" s="1"/>
  <c r="R39" i="1"/>
  <c r="X39" i="1" s="1"/>
  <c r="M5" i="1"/>
  <c r="N5" i="1"/>
  <c r="T5" i="1" s="1"/>
  <c r="O5" i="1"/>
  <c r="U5" i="1" s="1"/>
  <c r="P5" i="1"/>
  <c r="V5" i="1" s="1"/>
  <c r="Q5" i="1"/>
  <c r="W5" i="1" s="1"/>
  <c r="R5" i="1"/>
  <c r="X5" i="1" s="1"/>
  <c r="Y5" i="1"/>
  <c r="Z5" i="1" s="1"/>
  <c r="M6" i="1"/>
  <c r="S6" i="1" s="1"/>
  <c r="N6" i="1"/>
  <c r="T6" i="1" s="1"/>
  <c r="O6" i="1"/>
  <c r="U6" i="1" s="1"/>
  <c r="P6" i="1"/>
  <c r="V6" i="1" s="1"/>
  <c r="Q6" i="1"/>
  <c r="W6" i="1" s="1"/>
  <c r="R6" i="1"/>
  <c r="X6" i="1" s="1"/>
  <c r="Y6" i="1"/>
  <c r="AA6" i="1" s="1"/>
  <c r="M33" i="1"/>
  <c r="N33" i="1"/>
  <c r="T33" i="1" s="1"/>
  <c r="O33" i="1"/>
  <c r="U33" i="1" s="1"/>
  <c r="P33" i="1"/>
  <c r="V33" i="1" s="1"/>
  <c r="Q33" i="1"/>
  <c r="W33" i="1" s="1"/>
  <c r="R33" i="1"/>
  <c r="X33" i="1" s="1"/>
  <c r="M59" i="1"/>
  <c r="N59" i="1"/>
  <c r="O59" i="1"/>
  <c r="U59" i="1" s="1"/>
  <c r="P59" i="1"/>
  <c r="V59" i="1" s="1"/>
  <c r="Q59" i="1"/>
  <c r="W59" i="1" s="1"/>
  <c r="R59" i="1"/>
  <c r="X59" i="1" s="1"/>
  <c r="S7" i="1" l="1"/>
  <c r="AC7" i="1"/>
  <c r="AC18" i="6"/>
  <c r="AC64" i="6"/>
  <c r="AC12" i="6"/>
  <c r="S46" i="6"/>
  <c r="AC46" i="6"/>
  <c r="S51" i="6"/>
  <c r="AC51" i="6"/>
  <c r="S16" i="6"/>
  <c r="AC16" i="6"/>
  <c r="S54" i="6"/>
  <c r="AC54" i="6"/>
  <c r="S11" i="6"/>
  <c r="AC11" i="6"/>
  <c r="AC29" i="6"/>
  <c r="AC59" i="6"/>
  <c r="S30" i="6"/>
  <c r="AC30" i="6"/>
  <c r="AC20" i="6"/>
  <c r="S26" i="6"/>
  <c r="AC26" i="6"/>
  <c r="AC32" i="6"/>
  <c r="AC10" i="6"/>
  <c r="AC39" i="6"/>
  <c r="S76" i="6"/>
  <c r="Y76" i="6" s="1"/>
  <c r="AC76" i="6"/>
  <c r="S23" i="6"/>
  <c r="AC23" i="6"/>
  <c r="S22" i="6"/>
  <c r="AC22" i="6"/>
  <c r="AC15" i="6"/>
  <c r="S31" i="6"/>
  <c r="AC31" i="6"/>
  <c r="AC69" i="6"/>
  <c r="S61" i="6"/>
  <c r="AC61" i="6"/>
  <c r="S40" i="6"/>
  <c r="AC40" i="6"/>
  <c r="S63" i="6"/>
  <c r="AC63" i="6"/>
  <c r="S34" i="6"/>
  <c r="AC34" i="6"/>
  <c r="S42" i="6"/>
  <c r="AC42" i="6"/>
  <c r="S71" i="6"/>
  <c r="AC71" i="6"/>
  <c r="AC38" i="6"/>
  <c r="S19" i="6"/>
  <c r="AC19" i="6"/>
  <c r="AC68" i="6"/>
  <c r="AC67" i="6"/>
  <c r="S43" i="6"/>
  <c r="AC43" i="6"/>
  <c r="AC44" i="6"/>
  <c r="AC14" i="6"/>
  <c r="S36" i="6"/>
  <c r="AC36" i="6"/>
  <c r="S41" i="6"/>
  <c r="AC41" i="6"/>
  <c r="S60" i="6"/>
  <c r="AC60" i="6"/>
  <c r="S74" i="6"/>
  <c r="AC74" i="6"/>
  <c r="S53" i="6"/>
  <c r="AC53" i="6"/>
  <c r="S27" i="6"/>
  <c r="AC27" i="6"/>
  <c r="S58" i="6"/>
  <c r="AC58" i="6"/>
  <c r="S56" i="6"/>
  <c r="AC56" i="6"/>
  <c r="AC70" i="6"/>
  <c r="AC48" i="6"/>
  <c r="AC52" i="6"/>
  <c r="AC9" i="6"/>
  <c r="S21" i="6"/>
  <c r="AC21" i="6"/>
  <c r="S45" i="6"/>
  <c r="AC45" i="6"/>
  <c r="S72" i="6"/>
  <c r="Y72" i="6" s="1"/>
  <c r="AC72" i="6"/>
  <c r="S8" i="6"/>
  <c r="AE8" i="6"/>
  <c r="AC8" i="6"/>
  <c r="AC77" i="6"/>
  <c r="S49" i="6"/>
  <c r="AC49" i="6"/>
  <c r="AC13" i="6"/>
  <c r="S75" i="6"/>
  <c r="Y75" i="6" s="1"/>
  <c r="Z75" i="6" s="1"/>
  <c r="AC75" i="6"/>
  <c r="S73" i="6"/>
  <c r="AC73" i="6"/>
  <c r="S28" i="6"/>
  <c r="AC28" i="6"/>
  <c r="S17" i="6"/>
  <c r="AC17" i="6"/>
  <c r="S25" i="6"/>
  <c r="AC25" i="6"/>
  <c r="S50" i="6"/>
  <c r="AC50" i="6"/>
  <c r="AC47" i="6"/>
  <c r="S70" i="6"/>
  <c r="S24" i="6"/>
  <c r="AC24" i="6"/>
  <c r="AC66" i="6"/>
  <c r="S37" i="6"/>
  <c r="AC37" i="6"/>
  <c r="AC33" i="6"/>
  <c r="S62" i="6"/>
  <c r="AC62" i="6"/>
  <c r="AC35" i="6"/>
  <c r="S55" i="6"/>
  <c r="AC55" i="6"/>
  <c r="AC57" i="6"/>
  <c r="AC52" i="1"/>
  <c r="AC45" i="1"/>
  <c r="AC22" i="1"/>
  <c r="AC16" i="1"/>
  <c r="AC59" i="1"/>
  <c r="S25" i="1"/>
  <c r="AC25" i="1"/>
  <c r="AC54" i="1"/>
  <c r="S10" i="1"/>
  <c r="AC10" i="1"/>
  <c r="S57" i="1"/>
  <c r="AC57" i="1"/>
  <c r="AC27" i="1"/>
  <c r="AC37" i="1"/>
  <c r="S15" i="1"/>
  <c r="AC15" i="1"/>
  <c r="S58" i="1"/>
  <c r="AC58" i="1"/>
  <c r="AC69" i="1"/>
  <c r="S31" i="1"/>
  <c r="AC31" i="1"/>
  <c r="S9" i="1"/>
  <c r="AC9" i="1"/>
  <c r="S63" i="1"/>
  <c r="AC63" i="1"/>
  <c r="S62" i="1"/>
  <c r="AC62" i="1"/>
  <c r="S20" i="1"/>
  <c r="AC20" i="1"/>
  <c r="S39" i="1"/>
  <c r="AC39" i="1"/>
  <c r="S45" i="1"/>
  <c r="S66" i="1"/>
  <c r="AC66" i="1"/>
  <c r="AC65" i="1"/>
  <c r="S12" i="1"/>
  <c r="AC12" i="1"/>
  <c r="AC55" i="1"/>
  <c r="AC51" i="1"/>
  <c r="AC46" i="1"/>
  <c r="AC24" i="1"/>
  <c r="S32" i="1"/>
  <c r="AC32" i="1"/>
  <c r="S18" i="1"/>
  <c r="AC18" i="1"/>
  <c r="AC26" i="1"/>
  <c r="S23" i="1"/>
  <c r="AC23" i="1"/>
  <c r="AC47" i="1"/>
  <c r="AC43" i="1"/>
  <c r="S34" i="1"/>
  <c r="AC34" i="1"/>
  <c r="AC28" i="1"/>
  <c r="S49" i="1"/>
  <c r="AC49" i="1"/>
  <c r="AC29" i="1"/>
  <c r="S42" i="1"/>
  <c r="AC42" i="1"/>
  <c r="AC70" i="1"/>
  <c r="S61" i="1"/>
  <c r="AC61" i="1"/>
  <c r="S64" i="1"/>
  <c r="Y64" i="1" s="1"/>
  <c r="AC64" i="1"/>
  <c r="S19" i="1"/>
  <c r="AC19" i="1"/>
  <c r="AC13" i="1"/>
  <c r="S56" i="1"/>
  <c r="AC56" i="1"/>
  <c r="S35" i="1"/>
  <c r="AC35" i="1"/>
  <c r="AC53" i="1"/>
  <c r="AC17" i="1"/>
  <c r="S50" i="1"/>
  <c r="AC50" i="1"/>
  <c r="S67" i="1"/>
  <c r="AC67" i="1"/>
  <c r="AC21" i="1"/>
  <c r="S36" i="1"/>
  <c r="AC36" i="1"/>
  <c r="S30" i="1"/>
  <c r="AC30" i="1"/>
  <c r="S38" i="1"/>
  <c r="AC38" i="1"/>
  <c r="S41" i="1"/>
  <c r="AC41" i="1"/>
  <c r="S14" i="1"/>
  <c r="AC14" i="1"/>
  <c r="S40" i="1"/>
  <c r="AC40" i="1"/>
  <c r="AC33" i="1"/>
  <c r="AC68" i="1"/>
  <c r="S48" i="1"/>
  <c r="AC48" i="1"/>
  <c r="S11" i="1"/>
  <c r="AC11" i="1"/>
  <c r="S60" i="1"/>
  <c r="AC60" i="1"/>
  <c r="AE13" i="6"/>
  <c r="AD48" i="6"/>
  <c r="AE32" i="6"/>
  <c r="AE25" i="1"/>
  <c r="AE65" i="1"/>
  <c r="AE64" i="6"/>
  <c r="AD9" i="6"/>
  <c r="AE50" i="6"/>
  <c r="AD66" i="6"/>
  <c r="AD44" i="6"/>
  <c r="AE52" i="6"/>
  <c r="AE12" i="6"/>
  <c r="S64" i="6"/>
  <c r="AD69" i="6"/>
  <c r="S52" i="6"/>
  <c r="S9" i="6"/>
  <c r="S44" i="6"/>
  <c r="AD41" i="6"/>
  <c r="AD5" i="6"/>
  <c r="AD14" i="6"/>
  <c r="AE47" i="6"/>
  <c r="AA3" i="6"/>
  <c r="AD51" i="6"/>
  <c r="AD53" i="6"/>
  <c r="AD35" i="6"/>
  <c r="X25" i="1"/>
  <c r="Z4" i="1"/>
  <c r="Z6" i="1"/>
  <c r="AD21" i="1"/>
  <c r="AD53" i="1"/>
  <c r="AE5" i="1"/>
  <c r="AE70" i="1"/>
  <c r="AE13" i="1"/>
  <c r="AD22" i="1"/>
  <c r="AD52" i="1"/>
  <c r="AE55" i="1"/>
  <c r="AA8" i="1"/>
  <c r="AE63" i="1"/>
  <c r="AD4" i="1"/>
  <c r="AE45" i="1"/>
  <c r="AE64" i="1"/>
  <c r="AD8" i="1"/>
  <c r="AD32" i="1"/>
  <c r="AD27" i="1"/>
  <c r="AE59" i="1"/>
  <c r="AD33" i="1"/>
  <c r="T45" i="1"/>
  <c r="AD67" i="1"/>
  <c r="S22" i="1"/>
  <c r="AE21" i="1"/>
  <c r="AD30" i="1"/>
  <c r="AE30" i="1"/>
  <c r="AE38" i="1"/>
  <c r="AD41" i="1"/>
  <c r="AD40" i="1"/>
  <c r="AE7" i="1"/>
  <c r="S52" i="1"/>
  <c r="S53" i="1"/>
  <c r="AD60" i="1"/>
  <c r="AD16" i="1"/>
  <c r="AE41" i="1"/>
  <c r="AE40" i="1"/>
  <c r="AE52" i="1"/>
  <c r="AD26" i="1"/>
  <c r="AE39" i="1"/>
  <c r="AD5" i="1"/>
  <c r="AD13" i="1"/>
  <c r="AD43" i="1"/>
  <c r="AD65" i="1"/>
  <c r="AD29" i="1"/>
  <c r="AD51" i="1"/>
  <c r="AE31" i="1"/>
  <c r="AD47" i="1"/>
  <c r="AD17" i="1"/>
  <c r="S59" i="1"/>
  <c r="AE19" i="1"/>
  <c r="AD68" i="1"/>
  <c r="S21" i="1"/>
  <c r="S16" i="1"/>
  <c r="AD28" i="1"/>
  <c r="AD55" i="1"/>
  <c r="AD61" i="1"/>
  <c r="AD56" i="1"/>
  <c r="AD31" i="1"/>
  <c r="AD9" i="1"/>
  <c r="AD6" i="1"/>
  <c r="AD19" i="1"/>
  <c r="S13" i="1"/>
  <c r="AD37" i="1"/>
  <c r="AE22" i="1"/>
  <c r="AD24" i="1"/>
  <c r="AE69" i="1"/>
  <c r="AD36" i="1"/>
  <c r="AE50" i="1"/>
  <c r="AD54" i="1"/>
  <c r="AA5" i="1"/>
  <c r="AE4" i="1"/>
  <c r="AD45" i="1"/>
  <c r="AE16" i="1"/>
  <c r="AE8" i="1"/>
  <c r="AE20" i="1"/>
  <c r="AE56" i="1"/>
  <c r="AD23" i="1"/>
  <c r="AE9" i="1"/>
  <c r="V53" i="6"/>
  <c r="AE53" i="6"/>
  <c r="AD52" i="6"/>
  <c r="AE9" i="6"/>
  <c r="AE18" i="6"/>
  <c r="AD67" i="6"/>
  <c r="AE40" i="6"/>
  <c r="AE51" i="6"/>
  <c r="AE39" i="6"/>
  <c r="AE77" i="6"/>
  <c r="AE74" i="6"/>
  <c r="AE21" i="6"/>
  <c r="AE48" i="6"/>
  <c r="AD77" i="6"/>
  <c r="AD29" i="6"/>
  <c r="AE17" i="6"/>
  <c r="AE69" i="6"/>
  <c r="AD38" i="6"/>
  <c r="AD19" i="6"/>
  <c r="AD21" i="6"/>
  <c r="Y21" i="6" s="1"/>
  <c r="AD12" i="6"/>
  <c r="AD50" i="6"/>
  <c r="AD72" i="6"/>
  <c r="AD70" i="6"/>
  <c r="T37" i="6"/>
  <c r="T48" i="6"/>
  <c r="AD15" i="6"/>
  <c r="AE15" i="6"/>
  <c r="S66" i="6"/>
  <c r="Y66" i="6" s="1"/>
  <c r="Z66" i="6" s="1"/>
  <c r="S48" i="6"/>
  <c r="T54" i="6"/>
  <c r="AD36" i="6"/>
  <c r="AD13" i="6"/>
  <c r="AD17" i="6"/>
  <c r="S69" i="6"/>
  <c r="Y69" i="6" s="1"/>
  <c r="S12" i="6"/>
  <c r="AD46" i="6"/>
  <c r="AE3" i="6"/>
  <c r="AD63" i="6"/>
  <c r="Z7" i="6"/>
  <c r="AE71" i="6"/>
  <c r="AE27" i="6"/>
  <c r="AE11" i="6"/>
  <c r="AD68" i="6"/>
  <c r="AE68" i="6"/>
  <c r="S32" i="6"/>
  <c r="AD43" i="6"/>
  <c r="AE24" i="6"/>
  <c r="AE25" i="6"/>
  <c r="AA6" i="6"/>
  <c r="AE28" i="6"/>
  <c r="AD27" i="6"/>
  <c r="AD64" i="6"/>
  <c r="AD20" i="6"/>
  <c r="AD45" i="6"/>
  <c r="AE33" i="6"/>
  <c r="AD28" i="6"/>
  <c r="AD11" i="6"/>
  <c r="AD10" i="6"/>
  <c r="AE44" i="6"/>
  <c r="AD57" i="6"/>
  <c r="U14" i="6"/>
  <c r="AE66" i="6"/>
  <c r="U70" i="6"/>
  <c r="S39" i="6"/>
  <c r="AD37" i="6"/>
  <c r="AE63" i="6"/>
  <c r="AD54" i="6"/>
  <c r="AE36" i="6"/>
  <c r="AD23" i="6"/>
  <c r="AE60" i="6"/>
  <c r="S14" i="6"/>
  <c r="T24" i="6"/>
  <c r="S77" i="6"/>
  <c r="Y77" i="6" s="1"/>
  <c r="AE49" i="6"/>
  <c r="S13" i="6"/>
  <c r="AD60" i="6"/>
  <c r="AE75" i="6"/>
  <c r="AE14" i="6"/>
  <c r="AE7" i="6"/>
  <c r="S33" i="6"/>
  <c r="AD49" i="6"/>
  <c r="AE62" i="6"/>
  <c r="S35" i="6"/>
  <c r="AD75" i="6"/>
  <c r="AE55" i="6"/>
  <c r="AD39" i="6"/>
  <c r="AE72" i="6"/>
  <c r="AD8" i="6"/>
  <c r="AE16" i="6"/>
  <c r="AD7" i="6"/>
  <c r="AE76" i="6"/>
  <c r="AD62" i="6"/>
  <c r="AE22" i="6"/>
  <c r="S15" i="6"/>
  <c r="AD55" i="6"/>
  <c r="AD16" i="6"/>
  <c r="AE34" i="6"/>
  <c r="AD76" i="6"/>
  <c r="AE41" i="6"/>
  <c r="AD22" i="6"/>
  <c r="AD74" i="6"/>
  <c r="Y74" i="6" s="1"/>
  <c r="AE57" i="6"/>
  <c r="AD34" i="6"/>
  <c r="AE35" i="6"/>
  <c r="AE70" i="6"/>
  <c r="AE37" i="6"/>
  <c r="AD24" i="6"/>
  <c r="AE54" i="6"/>
  <c r="AD33" i="6"/>
  <c r="AE23" i="6"/>
  <c r="W73" i="6"/>
  <c r="AE42" i="6"/>
  <c r="Y71" i="6"/>
  <c r="AD42" i="6"/>
  <c r="AD59" i="6"/>
  <c r="AD73" i="6"/>
  <c r="AE59" i="6"/>
  <c r="AD71" i="6"/>
  <c r="AE73" i="6"/>
  <c r="S29" i="6"/>
  <c r="AE31" i="6"/>
  <c r="AA5" i="6"/>
  <c r="S5" i="6"/>
  <c r="AE30" i="6"/>
  <c r="S20" i="6"/>
  <c r="AD18" i="6"/>
  <c r="V18" i="6"/>
  <c r="T68" i="6"/>
  <c r="AE26" i="6"/>
  <c r="W26" i="6"/>
  <c r="U50" i="6"/>
  <c r="S67" i="6"/>
  <c r="Y67" i="6" s="1"/>
  <c r="AD32" i="6"/>
  <c r="V32" i="6"/>
  <c r="T47" i="6"/>
  <c r="AE56" i="6"/>
  <c r="AD3" i="6"/>
  <c r="S59" i="6"/>
  <c r="AE6" i="6"/>
  <c r="U17" i="6"/>
  <c r="AD31" i="6"/>
  <c r="T27" i="6"/>
  <c r="AE61" i="6"/>
  <c r="S38" i="6"/>
  <c r="AD30" i="6"/>
  <c r="T9" i="6"/>
  <c r="AE19" i="6"/>
  <c r="S68" i="6"/>
  <c r="AD26" i="6"/>
  <c r="AE58" i="6"/>
  <c r="S47" i="6"/>
  <c r="AD56" i="6"/>
  <c r="T51" i="6"/>
  <c r="AE4" i="6"/>
  <c r="S10" i="6"/>
  <c r="AD6" i="6"/>
  <c r="AD61" i="6"/>
  <c r="AD58" i="6"/>
  <c r="AE46" i="6"/>
  <c r="AD4" i="6"/>
  <c r="AE43" i="6"/>
  <c r="S18" i="6"/>
  <c r="AE29" i="6"/>
  <c r="AD25" i="6"/>
  <c r="AE5" i="6"/>
  <c r="AE20" i="6"/>
  <c r="AE67" i="6"/>
  <c r="AD40" i="6"/>
  <c r="AE45" i="6"/>
  <c r="AE38" i="6"/>
  <c r="AA4" i="6"/>
  <c r="AE10" i="6"/>
  <c r="W10" i="6"/>
  <c r="AD47" i="6"/>
  <c r="W51" i="6"/>
  <c r="U41" i="1"/>
  <c r="S51" i="1"/>
  <c r="AD63" i="1"/>
  <c r="V63" i="1"/>
  <c r="T70" i="1"/>
  <c r="AE46" i="1"/>
  <c r="U40" i="1"/>
  <c r="S24" i="1"/>
  <c r="AD20" i="1"/>
  <c r="V20" i="1"/>
  <c r="T56" i="1"/>
  <c r="AE18" i="1"/>
  <c r="S26" i="1"/>
  <c r="AD69" i="1"/>
  <c r="AE23" i="1"/>
  <c r="S47" i="1"/>
  <c r="AD70" i="1"/>
  <c r="AE15" i="1"/>
  <c r="S8" i="1"/>
  <c r="AD15" i="1"/>
  <c r="AE42" i="1"/>
  <c r="S70" i="1"/>
  <c r="AD46" i="1"/>
  <c r="AE61" i="1"/>
  <c r="AD18" i="1"/>
  <c r="AE35" i="1"/>
  <c r="S17" i="1"/>
  <c r="AE14" i="1"/>
  <c r="AD35" i="1"/>
  <c r="AE11" i="1"/>
  <c r="S54" i="1"/>
  <c r="AD25" i="1"/>
  <c r="AE60" i="1"/>
  <c r="AD42" i="1"/>
  <c r="AD14" i="1"/>
  <c r="AE62" i="1"/>
  <c r="AD7" i="1"/>
  <c r="AE58" i="1"/>
  <c r="S69" i="1"/>
  <c r="AD11" i="1"/>
  <c r="AD10" i="1"/>
  <c r="AE51" i="1"/>
  <c r="S46" i="1"/>
  <c r="AD62" i="1"/>
  <c r="AE24" i="1"/>
  <c r="W24" i="1"/>
  <c r="AD58" i="1"/>
  <c r="AE26" i="1"/>
  <c r="AE47" i="1"/>
  <c r="AE10" i="1"/>
  <c r="W56" i="1"/>
  <c r="X52" i="1"/>
  <c r="V26" i="1"/>
  <c r="AE53" i="1"/>
  <c r="W53" i="1"/>
  <c r="AE17" i="1"/>
  <c r="W17" i="1"/>
  <c r="AE54" i="1"/>
  <c r="S5" i="1"/>
  <c r="AD39" i="1"/>
  <c r="AE6" i="1"/>
  <c r="S68" i="1"/>
  <c r="AE48" i="1"/>
  <c r="S37" i="1"/>
  <c r="AE66" i="1"/>
  <c r="S65" i="1"/>
  <c r="Y65" i="1" s="1"/>
  <c r="AE12" i="1"/>
  <c r="S55" i="1"/>
  <c r="AD64" i="1"/>
  <c r="S33" i="1"/>
  <c r="T39" i="1"/>
  <c r="AE57" i="1"/>
  <c r="U19" i="1"/>
  <c r="S27" i="1"/>
  <c r="AD48" i="1"/>
  <c r="V48" i="1"/>
  <c r="T4" i="1"/>
  <c r="AE3" i="1"/>
  <c r="S43" i="1"/>
  <c r="AD66" i="1"/>
  <c r="V66" i="1"/>
  <c r="Y66" i="1" s="1"/>
  <c r="T21" i="1"/>
  <c r="AE34" i="1"/>
  <c r="W34" i="1"/>
  <c r="X36" i="1"/>
  <c r="S28" i="1"/>
  <c r="AD12" i="1"/>
  <c r="V12" i="1"/>
  <c r="T30" i="1"/>
  <c r="AE49" i="1"/>
  <c r="S29" i="1"/>
  <c r="AD59" i="1"/>
  <c r="T59" i="1"/>
  <c r="AD57" i="1"/>
  <c r="AE32" i="1"/>
  <c r="AD3" i="1"/>
  <c r="AE67" i="1"/>
  <c r="AD34" i="1"/>
  <c r="AE36" i="1"/>
  <c r="AD49" i="1"/>
  <c r="AD38" i="1"/>
  <c r="AE68" i="1"/>
  <c r="AE37" i="1"/>
  <c r="AD50" i="1"/>
  <c r="V68" i="1"/>
  <c r="AE27" i="1"/>
  <c r="AA3" i="1"/>
  <c r="AE43" i="1"/>
  <c r="AE28" i="1"/>
  <c r="AE29" i="1"/>
  <c r="AE33" i="1"/>
  <c r="Y67" i="1" l="1"/>
  <c r="Y7" i="1"/>
  <c r="Y70" i="6"/>
  <c r="Y53" i="6"/>
  <c r="Y52" i="6"/>
  <c r="Y12" i="6"/>
  <c r="Y19" i="6"/>
  <c r="Y41" i="6"/>
  <c r="Y73" i="6"/>
  <c r="Y68" i="6"/>
  <c r="AA68" i="6" s="1"/>
  <c r="Y69" i="1"/>
  <c r="Y32" i="1"/>
  <c r="AA75" i="6"/>
  <c r="Y28" i="6"/>
  <c r="Y58" i="6"/>
  <c r="Y64" i="6"/>
  <c r="AA64" i="6" s="1"/>
  <c r="Y22" i="6"/>
  <c r="AA22" i="6" s="1"/>
  <c r="Y25" i="6"/>
  <c r="AA25" i="6" s="1"/>
  <c r="Y61" i="6"/>
  <c r="AA61" i="6" s="1"/>
  <c r="Y48" i="6"/>
  <c r="AA48" i="6" s="1"/>
  <c r="Y37" i="6"/>
  <c r="AA37" i="6" s="1"/>
  <c r="Y16" i="6"/>
  <c r="AA66" i="6"/>
  <c r="Y9" i="6"/>
  <c r="AA9" i="6" s="1"/>
  <c r="Y11" i="6"/>
  <c r="Y13" i="1"/>
  <c r="AA13" i="1" s="1"/>
  <c r="Y9" i="1"/>
  <c r="AA9" i="1" s="1"/>
  <c r="Y16" i="1"/>
  <c r="AA16" i="1" s="1"/>
  <c r="Y50" i="1"/>
  <c r="AA50" i="1" s="1"/>
  <c r="Y49" i="1"/>
  <c r="Y45" i="1"/>
  <c r="Y31" i="1"/>
  <c r="AA31" i="1" s="1"/>
  <c r="Y20" i="1"/>
  <c r="AA20" i="1" s="1"/>
  <c r="Y50" i="6"/>
  <c r="AA50" i="6" s="1"/>
  <c r="Y44" i="6"/>
  <c r="AA44" i="6" s="1"/>
  <c r="Y34" i="6"/>
  <c r="AA34" i="6" s="1"/>
  <c r="Y68" i="1"/>
  <c r="Z68" i="1" s="1"/>
  <c r="Y57" i="6"/>
  <c r="AA57" i="6" s="1"/>
  <c r="Y31" i="6"/>
  <c r="Y27" i="6"/>
  <c r="AA27" i="6" s="1"/>
  <c r="Y8" i="6"/>
  <c r="AA8" i="6" s="1"/>
  <c r="Y36" i="6"/>
  <c r="AA36" i="6" s="1"/>
  <c r="Y60" i="6"/>
  <c r="AA60" i="6" s="1"/>
  <c r="Y43" i="6"/>
  <c r="AA43" i="6" s="1"/>
  <c r="Y49" i="6"/>
  <c r="AA49" i="6" s="1"/>
  <c r="Y13" i="6"/>
  <c r="AA13" i="6" s="1"/>
  <c r="Y18" i="6"/>
  <c r="Y62" i="6"/>
  <c r="AA62" i="6" s="1"/>
  <c r="Y63" i="6"/>
  <c r="AA63" i="6" s="1"/>
  <c r="Y27" i="1"/>
  <c r="AA27" i="1" s="1"/>
  <c r="Y15" i="1"/>
  <c r="AA15" i="1" s="1"/>
  <c r="Y18" i="1"/>
  <c r="AA18" i="1" s="1"/>
  <c r="Y25" i="1"/>
  <c r="AA25" i="1" s="1"/>
  <c r="Y22" i="1"/>
  <c r="Y34" i="1"/>
  <c r="Y30" i="1"/>
  <c r="Y52" i="1"/>
  <c r="AA52" i="1" s="1"/>
  <c r="Y58" i="1"/>
  <c r="AA58" i="1" s="1"/>
  <c r="Y12" i="1"/>
  <c r="AA12" i="1" s="1"/>
  <c r="Y57" i="1"/>
  <c r="AA57" i="1" s="1"/>
  <c r="Y19" i="1"/>
  <c r="AA19" i="1" s="1"/>
  <c r="Y55" i="1"/>
  <c r="Y63" i="1"/>
  <c r="AA63" i="1" s="1"/>
  <c r="Y17" i="1"/>
  <c r="AA17" i="1" s="1"/>
  <c r="Y38" i="1"/>
  <c r="AA38" i="1" s="1"/>
  <c r="Y59" i="1"/>
  <c r="AA59" i="1" s="1"/>
  <c r="Y36" i="1"/>
  <c r="AA36" i="1" s="1"/>
  <c r="Y60" i="1"/>
  <c r="AA60" i="1" s="1"/>
  <c r="Y29" i="1"/>
  <c r="AA29" i="1" s="1"/>
  <c r="Y39" i="1"/>
  <c r="Y53" i="1"/>
  <c r="AA53" i="1" s="1"/>
  <c r="Y14" i="1"/>
  <c r="AA14" i="1" s="1"/>
  <c r="Y23" i="1"/>
  <c r="AA23" i="1" s="1"/>
  <c r="Y24" i="1"/>
  <c r="AA24" i="1" s="1"/>
  <c r="Y41" i="1"/>
  <c r="AA41" i="1" s="1"/>
  <c r="Y33" i="1"/>
  <c r="AA33" i="1" s="1"/>
  <c r="Y11" i="1"/>
  <c r="AA11" i="1" s="1"/>
  <c r="Y61" i="1"/>
  <c r="AA61" i="1" s="1"/>
  <c r="Y70" i="1"/>
  <c r="AA70" i="1" s="1"/>
  <c r="Y40" i="1"/>
  <c r="AA40" i="1" s="1"/>
  <c r="Y48" i="1"/>
  <c r="AA48" i="1" s="1"/>
  <c r="Y10" i="1"/>
  <c r="AA10" i="1" s="1"/>
  <c r="Y62" i="1"/>
  <c r="AA62" i="1" s="1"/>
  <c r="Y35" i="1"/>
  <c r="AA35" i="1" s="1"/>
  <c r="Y42" i="1"/>
  <c r="AA42" i="1" s="1"/>
  <c r="Y39" i="6"/>
  <c r="AA39" i="6" s="1"/>
  <c r="Y23" i="6"/>
  <c r="AA23" i="6" s="1"/>
  <c r="Y26" i="6"/>
  <c r="AA26" i="6" s="1"/>
  <c r="Y56" i="6"/>
  <c r="AA56" i="6" s="1"/>
  <c r="Y40" i="6"/>
  <c r="AA40" i="6" s="1"/>
  <c r="Y46" i="6"/>
  <c r="AA46" i="6" s="1"/>
  <c r="Y42" i="6"/>
  <c r="AA42" i="6" s="1"/>
  <c r="Y54" i="6"/>
  <c r="AA54" i="6" s="1"/>
  <c r="Y17" i="6"/>
  <c r="AA17" i="6" s="1"/>
  <c r="Y32" i="6"/>
  <c r="Y24" i="6"/>
  <c r="AA24" i="6" s="1"/>
  <c r="Y55" i="6"/>
  <c r="AA55" i="6" s="1"/>
  <c r="Y45" i="6"/>
  <c r="AA45" i="6" s="1"/>
  <c r="Y51" i="6"/>
  <c r="AA51" i="6" s="1"/>
  <c r="Y30" i="6"/>
  <c r="AA30" i="6" s="1"/>
  <c r="AA41" i="6"/>
  <c r="Z70" i="6"/>
  <c r="AA70" i="6"/>
  <c r="AA16" i="6"/>
  <c r="AA72" i="6"/>
  <c r="Z72" i="6"/>
  <c r="AA76" i="6"/>
  <c r="Z76" i="6"/>
  <c r="Y35" i="6"/>
  <c r="Z77" i="6"/>
  <c r="AA77" i="6"/>
  <c r="AA74" i="6"/>
  <c r="Y14" i="6"/>
  <c r="Y15" i="6"/>
  <c r="Y33" i="6"/>
  <c r="AA53" i="6"/>
  <c r="AA19" i="6"/>
  <c r="AA31" i="6"/>
  <c r="AA12" i="6"/>
  <c r="AA11" i="6"/>
  <c r="AA52" i="6"/>
  <c r="AA58" i="6"/>
  <c r="AA32" i="6"/>
  <c r="AA18" i="6"/>
  <c r="Y10" i="6"/>
  <c r="Y29" i="6"/>
  <c r="Y38" i="6"/>
  <c r="Y59" i="6"/>
  <c r="Z68" i="6"/>
  <c r="AA21" i="6"/>
  <c r="Z67" i="6"/>
  <c r="AA67" i="6"/>
  <c r="Y47" i="6"/>
  <c r="Z69" i="6"/>
  <c r="AA69" i="6"/>
  <c r="Z71" i="6"/>
  <c r="AA71" i="6"/>
  <c r="AA73" i="6"/>
  <c r="Z73" i="6"/>
  <c r="Y20" i="6"/>
  <c r="AA28" i="6"/>
  <c r="Y56" i="1"/>
  <c r="AA69" i="1"/>
  <c r="Y26" i="1"/>
  <c r="Y46" i="1"/>
  <c r="Y54" i="1"/>
  <c r="Y47" i="1"/>
  <c r="Y51" i="1"/>
  <c r="Z66" i="1"/>
  <c r="AA66" i="1"/>
  <c r="AA49" i="1"/>
  <c r="AA32" i="1"/>
  <c r="AA45" i="1"/>
  <c r="AA22" i="1"/>
  <c r="AA34" i="1"/>
  <c r="AA39" i="1"/>
  <c r="Z65" i="1"/>
  <c r="AA65" i="1"/>
  <c r="AA30" i="1"/>
  <c r="Y37" i="1"/>
  <c r="Z64" i="1"/>
  <c r="AA64" i="1"/>
  <c r="AA55" i="1"/>
  <c r="AA67" i="1"/>
  <c r="Y21" i="1"/>
  <c r="Y28" i="1"/>
  <c r="Y43" i="1"/>
  <c r="AA7" i="1" l="1"/>
  <c r="Z70" i="1"/>
  <c r="AA68" i="1"/>
  <c r="AA33" i="6"/>
  <c r="AA14" i="6"/>
  <c r="AA15" i="6"/>
  <c r="AA35" i="6"/>
  <c r="AA59" i="6"/>
  <c r="AA38" i="6"/>
  <c r="AA20" i="6"/>
  <c r="AA29" i="6"/>
  <c r="AA10" i="6"/>
  <c r="AA47" i="6"/>
  <c r="AA46" i="1"/>
  <c r="AA56" i="1"/>
  <c r="AA26" i="1"/>
  <c r="AA51" i="1"/>
  <c r="AA47" i="1"/>
  <c r="AA54" i="1"/>
  <c r="AA21" i="1"/>
  <c r="AA37" i="1"/>
  <c r="AA28" i="1"/>
  <c r="AA43" i="1"/>
  <c r="M44" i="1" l="1"/>
  <c r="N44" i="1"/>
  <c r="T44" i="1" s="1"/>
  <c r="O44" i="1"/>
  <c r="U44" i="1" s="1"/>
  <c r="P44" i="1"/>
  <c r="V44" i="1" s="1"/>
  <c r="Q44" i="1"/>
  <c r="W44" i="1" s="1"/>
  <c r="R44" i="1"/>
  <c r="X44" i="1" s="1"/>
  <c r="S44" i="1" l="1"/>
  <c r="AC44" i="1"/>
  <c r="AD44" i="1"/>
  <c r="AE44" i="1"/>
  <c r="M65" i="6"/>
  <c r="N65" i="6"/>
  <c r="O65" i="6"/>
  <c r="P65" i="6"/>
  <c r="Q65" i="6"/>
  <c r="R65" i="6"/>
  <c r="AC65" i="6" l="1"/>
  <c r="Y44" i="1"/>
  <c r="Z7" i="1" s="1"/>
  <c r="AD65" i="6"/>
  <c r="AE65" i="6"/>
  <c r="X65" i="6"/>
  <c r="W65" i="6"/>
  <c r="V65" i="6"/>
  <c r="U65" i="6"/>
  <c r="T65" i="6"/>
  <c r="S65" i="6"/>
  <c r="Z69" i="1" l="1"/>
  <c r="Z67" i="1"/>
  <c r="AA44" i="1"/>
  <c r="Z18" i="1"/>
  <c r="Z24" i="1"/>
  <c r="Z41" i="1"/>
  <c r="Z42" i="1"/>
  <c r="Z29" i="1"/>
  <c r="Z59" i="1"/>
  <c r="Z57" i="1"/>
  <c r="Z15" i="1"/>
  <c r="Z56" i="1"/>
  <c r="Z53" i="1"/>
  <c r="Z58" i="1"/>
  <c r="Z9" i="1"/>
  <c r="Z45" i="1"/>
  <c r="Z36" i="1"/>
  <c r="Z39" i="1"/>
  <c r="Z49" i="1"/>
  <c r="Z62" i="1"/>
  <c r="Z51" i="1"/>
  <c r="Z54" i="1"/>
  <c r="Z19" i="1"/>
  <c r="Z12" i="1"/>
  <c r="Z28" i="1"/>
  <c r="Z52" i="1"/>
  <c r="Z20" i="1"/>
  <c r="Z60" i="1"/>
  <c r="Z21" i="1"/>
  <c r="Z33" i="1"/>
  <c r="Z43" i="1"/>
  <c r="Z17" i="1"/>
  <c r="Z14" i="1"/>
  <c r="Z11" i="1"/>
  <c r="Z47" i="1"/>
  <c r="Z25" i="1"/>
  <c r="Z50" i="1"/>
  <c r="Z38" i="1"/>
  <c r="Z61" i="1"/>
  <c r="Z26" i="1"/>
  <c r="Z35" i="1"/>
  <c r="Z27" i="1"/>
  <c r="Z13" i="1"/>
  <c r="Z16" i="1"/>
  <c r="Z10" i="1"/>
  <c r="Z23" i="1"/>
  <c r="Z48" i="1"/>
  <c r="Z34" i="1"/>
  <c r="Z30" i="1"/>
  <c r="Z55" i="1"/>
  <c r="Z46" i="1"/>
  <c r="Z31" i="1"/>
  <c r="Z63" i="1"/>
  <c r="Z40" i="1"/>
  <c r="Z32" i="1"/>
  <c r="Z22" i="1"/>
  <c r="Z37" i="1"/>
  <c r="Y65" i="6"/>
  <c r="Z74" i="6" s="1"/>
  <c r="Z25" i="6" l="1"/>
  <c r="Z43" i="6"/>
  <c r="Z41" i="6"/>
  <c r="Z14" i="6"/>
  <c r="Z36" i="6"/>
  <c r="Z38" i="6"/>
  <c r="Z50" i="6"/>
  <c r="Z21" i="6"/>
  <c r="Z51" i="6"/>
  <c r="Z27" i="6"/>
  <c r="Z11" i="6"/>
  <c r="Z8" i="6"/>
  <c r="Z16" i="6"/>
  <c r="Z30" i="6"/>
  <c r="Z10" i="6"/>
  <c r="Z53" i="6"/>
  <c r="Z42" i="6"/>
  <c r="Z48" i="6"/>
  <c r="Z15" i="6"/>
  <c r="Z32" i="6"/>
  <c r="Z22" i="6"/>
  <c r="Z9" i="6"/>
  <c r="Z17" i="6"/>
  <c r="Z47" i="6"/>
  <c r="Z37" i="6"/>
  <c r="Z62" i="6"/>
  <c r="Z60" i="6"/>
  <c r="Z46" i="6"/>
  <c r="Z64" i="6"/>
  <c r="Z26" i="6"/>
  <c r="Z18" i="6"/>
  <c r="Z49" i="6"/>
  <c r="Z39" i="6"/>
  <c r="Z44" i="6"/>
  <c r="Z23" i="6"/>
  <c r="Z52" i="6"/>
  <c r="Z20" i="6"/>
  <c r="Z61" i="6"/>
  <c r="Z55" i="6"/>
  <c r="Z63" i="6"/>
  <c r="Z24" i="6"/>
  <c r="Z57" i="6"/>
  <c r="Z31" i="6"/>
  <c r="Z56" i="6"/>
  <c r="Z58" i="6"/>
  <c r="Z33" i="6"/>
  <c r="Z54" i="6"/>
  <c r="Z13" i="6"/>
  <c r="Z59" i="6"/>
  <c r="Z12" i="6"/>
  <c r="Z29" i="6"/>
  <c r="Z19" i="6"/>
  <c r="Z34" i="6"/>
  <c r="Z35" i="6"/>
  <c r="Z40" i="6"/>
  <c r="Z28" i="6"/>
  <c r="Z45" i="6"/>
  <c r="Z65" i="6"/>
  <c r="AA65" i="6"/>
  <c r="AB76" i="6" l="1"/>
  <c r="F76" i="6" s="1"/>
  <c r="AB77" i="6"/>
  <c r="F77" i="6" s="1"/>
  <c r="AB7" i="6"/>
  <c r="F7" i="6" s="1"/>
  <c r="AB60" i="6"/>
  <c r="F60" i="6" s="1"/>
  <c r="AB36" i="6"/>
  <c r="F36" i="6" s="1"/>
  <c r="AB22" i="6"/>
  <c r="AB63" i="6"/>
  <c r="F63" i="6" s="1"/>
  <c r="AB39" i="6"/>
  <c r="F39" i="6" s="1"/>
  <c r="AB44" i="6"/>
  <c r="F44" i="6" s="1"/>
  <c r="AB41" i="6"/>
  <c r="F41" i="6" s="1"/>
  <c r="AB70" i="6"/>
  <c r="F70" i="6" s="1"/>
  <c r="AB33" i="6"/>
  <c r="AB49" i="6"/>
  <c r="F49" i="6" s="1"/>
  <c r="AB74" i="6"/>
  <c r="F74" i="6" s="1"/>
  <c r="AB34" i="6"/>
  <c r="F34" i="6" s="1"/>
  <c r="AB35" i="6"/>
  <c r="F35" i="6" s="1"/>
  <c r="AB23" i="6"/>
  <c r="F23" i="6" s="1"/>
  <c r="AB15" i="6"/>
  <c r="F15" i="6" s="1"/>
  <c r="AB14" i="6"/>
  <c r="F14" i="6" s="1"/>
  <c r="AB72" i="6"/>
  <c r="F72" i="6" s="1"/>
  <c r="AB24" i="6"/>
  <c r="AB48" i="6"/>
  <c r="F48" i="6" s="1"/>
  <c r="AB16" i="6"/>
  <c r="F16" i="6" s="1"/>
  <c r="AB55" i="6"/>
  <c r="F55" i="6" s="1"/>
  <c r="AB8" i="6"/>
  <c r="AB62" i="6"/>
  <c r="AB75" i="6"/>
  <c r="F75" i="6" s="1"/>
  <c r="AB57" i="6"/>
  <c r="F57" i="6" s="1"/>
  <c r="AB66" i="6"/>
  <c r="F66" i="6" s="1"/>
  <c r="AB54" i="6"/>
  <c r="F54" i="6" s="1"/>
  <c r="AB13" i="6"/>
  <c r="AB37" i="6"/>
  <c r="F37" i="6" s="1"/>
  <c r="AB68" i="6"/>
  <c r="F68" i="6" s="1"/>
  <c r="AB69" i="6"/>
  <c r="F69" i="6" s="1"/>
  <c r="AB3" i="6"/>
  <c r="F3" i="6" s="1"/>
  <c r="AB18" i="6"/>
  <c r="AB12" i="6"/>
  <c r="AB29" i="6"/>
  <c r="AB46" i="6"/>
  <c r="AB5" i="6"/>
  <c r="F5" i="6" s="1"/>
  <c r="AB20" i="6"/>
  <c r="F20" i="6" s="1"/>
  <c r="AB19" i="6"/>
  <c r="AB59" i="6"/>
  <c r="AB52" i="6"/>
  <c r="AB32" i="6"/>
  <c r="F32" i="6" s="1"/>
  <c r="AB40" i="6"/>
  <c r="F40" i="6" s="1"/>
  <c r="AB10" i="6"/>
  <c r="F10" i="6" s="1"/>
  <c r="AB61" i="6"/>
  <c r="F61" i="6" s="1"/>
  <c r="AB11" i="6"/>
  <c r="AB45" i="6"/>
  <c r="AB42" i="6"/>
  <c r="F42" i="6" s="1"/>
  <c r="AB43" i="6"/>
  <c r="F43" i="6" s="1"/>
  <c r="AB30" i="6"/>
  <c r="F30" i="6" s="1"/>
  <c r="AB27" i="6"/>
  <c r="AB50" i="6"/>
  <c r="F50" i="6" s="1"/>
  <c r="AB28" i="6"/>
  <c r="AB73" i="6"/>
  <c r="F73" i="6" s="1"/>
  <c r="AB31" i="6"/>
  <c r="AB53" i="6"/>
  <c r="F53" i="6" s="1"/>
  <c r="AB9" i="6"/>
  <c r="AB64" i="6"/>
  <c r="F64" i="6" s="1"/>
  <c r="AB56" i="6"/>
  <c r="AB25" i="6"/>
  <c r="AB6" i="6"/>
  <c r="F6" i="6" s="1"/>
  <c r="AB58" i="6"/>
  <c r="F58" i="6" s="1"/>
  <c r="AB4" i="6"/>
  <c r="F4" i="6" s="1"/>
  <c r="AB21" i="6"/>
  <c r="F21" i="6" s="1"/>
  <c r="AB47" i="6"/>
  <c r="AB71" i="6"/>
  <c r="F71" i="6" s="1"/>
  <c r="AB51" i="6"/>
  <c r="AB38" i="6"/>
  <c r="AB17" i="6"/>
  <c r="F17" i="6" s="1"/>
  <c r="AB26" i="6"/>
  <c r="AB67" i="6"/>
  <c r="F67" i="6" s="1"/>
  <c r="AB65" i="6"/>
  <c r="F65" i="6" s="1"/>
  <c r="F26" i="6" l="1"/>
  <c r="F28" i="6"/>
  <c r="F38" i="6"/>
  <c r="F25" i="6"/>
  <c r="F46" i="6"/>
  <c r="F13" i="6"/>
  <c r="F56" i="6"/>
  <c r="F27" i="6"/>
  <c r="F29" i="6"/>
  <c r="F22" i="6"/>
  <c r="F51" i="6"/>
  <c r="F12" i="6"/>
  <c r="F24" i="6"/>
  <c r="F47" i="6"/>
  <c r="F9" i="6"/>
  <c r="F52" i="6"/>
  <c r="F18" i="6"/>
  <c r="F33" i="6"/>
  <c r="F59" i="6"/>
  <c r="F31" i="6"/>
  <c r="F45" i="6"/>
  <c r="F19" i="6"/>
  <c r="F62" i="6"/>
  <c r="F11" i="6"/>
  <c r="F8" i="6"/>
  <c r="C6" i="7"/>
  <c r="D6" i="7"/>
  <c r="E6" i="7"/>
  <c r="F6" i="7"/>
  <c r="B6" i="7"/>
  <c r="Z44" i="1"/>
  <c r="H6" i="7" l="1"/>
  <c r="I6" i="7"/>
  <c r="J6" i="7"/>
  <c r="K6" i="7"/>
  <c r="G6" i="7"/>
  <c r="AB15" i="1"/>
  <c r="F15" i="1" s="1"/>
  <c r="AB17" i="1"/>
  <c r="F17" i="1" s="1"/>
  <c r="AB46" i="1"/>
  <c r="F46" i="1" s="1"/>
  <c r="AB18" i="1"/>
  <c r="F18" i="1" s="1"/>
  <c r="AB20" i="1"/>
  <c r="F20" i="1" s="1"/>
  <c r="AB69" i="1"/>
  <c r="F69" i="1" s="1"/>
  <c r="AB56" i="1"/>
  <c r="AB54" i="1"/>
  <c r="F54" i="1" s="1"/>
  <c r="AB42" i="1"/>
  <c r="F42" i="1" s="1"/>
  <c r="AB14" i="1"/>
  <c r="AB7" i="1"/>
  <c r="AB35" i="1"/>
  <c r="AB11" i="1"/>
  <c r="AB51" i="1"/>
  <c r="F51" i="1" s="1"/>
  <c r="AB40" i="1"/>
  <c r="F40" i="1" s="1"/>
  <c r="AB23" i="1"/>
  <c r="AB25" i="1"/>
  <c r="AB10" i="1"/>
  <c r="F10" i="1" s="1"/>
  <c r="AB62" i="1"/>
  <c r="F62" i="1" s="1"/>
  <c r="AB58" i="1"/>
  <c r="F58" i="1" s="1"/>
  <c r="AB41" i="1"/>
  <c r="F41" i="1" s="1"/>
  <c r="AB8" i="1"/>
  <c r="F8" i="1" s="1"/>
  <c r="AB52" i="1"/>
  <c r="F52" i="1" s="1"/>
  <c r="AB24" i="1"/>
  <c r="F24" i="1" s="1"/>
  <c r="AB47" i="1"/>
  <c r="AB9" i="1"/>
  <c r="AB70" i="1"/>
  <c r="F70" i="1" s="1"/>
  <c r="AB26" i="1"/>
  <c r="AB60" i="1"/>
  <c r="AB53" i="1"/>
  <c r="AB63" i="1"/>
  <c r="F63" i="1" s="1"/>
  <c r="AB31" i="1"/>
  <c r="F31" i="1" s="1"/>
  <c r="AB61" i="1"/>
  <c r="AB5" i="1"/>
  <c r="F5" i="1" s="1"/>
  <c r="AB66" i="1"/>
  <c r="F66" i="1" s="1"/>
  <c r="AB68" i="1"/>
  <c r="F68" i="1" s="1"/>
  <c r="AB4" i="1"/>
  <c r="F4" i="1" s="1"/>
  <c r="AB43" i="1"/>
  <c r="F43" i="1" s="1"/>
  <c r="AB13" i="1"/>
  <c r="AB33" i="1"/>
  <c r="AB37" i="1"/>
  <c r="F37" i="1" s="1"/>
  <c r="AB3" i="1"/>
  <c r="F3" i="1" s="1"/>
  <c r="AB34" i="1"/>
  <c r="F34" i="1" s="1"/>
  <c r="AB64" i="1"/>
  <c r="F64" i="1" s="1"/>
  <c r="AB28" i="1"/>
  <c r="AB49" i="1"/>
  <c r="F49" i="1" s="1"/>
  <c r="AB59" i="1"/>
  <c r="AB32" i="1"/>
  <c r="F32" i="1" s="1"/>
  <c r="AB65" i="1"/>
  <c r="F65" i="1" s="1"/>
  <c r="AB55" i="1"/>
  <c r="F55" i="1" s="1"/>
  <c r="AB45" i="1"/>
  <c r="AB57" i="1"/>
  <c r="F57" i="1" s="1"/>
  <c r="AB16" i="1"/>
  <c r="F16" i="1" s="1"/>
  <c r="AB12" i="1"/>
  <c r="AB38" i="1"/>
  <c r="F38" i="1" s="1"/>
  <c r="AB50" i="1"/>
  <c r="AB67" i="1"/>
  <c r="AB30" i="1"/>
  <c r="F30" i="1" s="1"/>
  <c r="AB27" i="1"/>
  <c r="AB21" i="1"/>
  <c r="AB36" i="1"/>
  <c r="AB22" i="1"/>
  <c r="F22" i="1" s="1"/>
  <c r="AB48" i="1"/>
  <c r="F48" i="1" s="1"/>
  <c r="AB19" i="1"/>
  <c r="F19" i="1" s="1"/>
  <c r="AB29" i="1"/>
  <c r="F29" i="1" s="1"/>
  <c r="AB39" i="1"/>
  <c r="F39" i="1" s="1"/>
  <c r="AB6" i="1"/>
  <c r="F6" i="1" s="1"/>
  <c r="AB44" i="1"/>
  <c r="F44" i="1" s="1"/>
  <c r="F36" i="1" l="1"/>
  <c r="F7" i="1"/>
  <c r="B5" i="7"/>
  <c r="F13" i="1"/>
  <c r="F50" i="1"/>
  <c r="F33" i="1"/>
  <c r="F23" i="1"/>
  <c r="F59" i="1"/>
  <c r="F56" i="1"/>
  <c r="F12" i="1"/>
  <c r="F53" i="1"/>
  <c r="F28" i="1"/>
  <c r="F60" i="1"/>
  <c r="F11" i="1"/>
  <c r="F21" i="1"/>
  <c r="F26" i="1"/>
  <c r="F35" i="1"/>
  <c r="F27" i="1"/>
  <c r="F45" i="1"/>
  <c r="F5" i="7"/>
  <c r="C5" i="7"/>
  <c r="D5" i="7"/>
  <c r="E5" i="7"/>
  <c r="F9" i="1"/>
  <c r="F14" i="1"/>
  <c r="F67" i="1"/>
  <c r="F61" i="1"/>
  <c r="F47" i="1"/>
  <c r="F25" i="1"/>
  <c r="G5" i="7" l="1"/>
  <c r="H5" i="7"/>
  <c r="I5" i="7"/>
  <c r="J5" i="7"/>
  <c r="K5" i="7"/>
</calcChain>
</file>

<file path=xl/sharedStrings.xml><?xml version="1.0" encoding="utf-8"?>
<sst xmlns="http://schemas.openxmlformats.org/spreadsheetml/2006/main" count="527" uniqueCount="211">
  <si>
    <t>Athlete</t>
  </si>
  <si>
    <t>AZE 2019</t>
  </si>
  <si>
    <t>BLR 2019</t>
  </si>
  <si>
    <t>RUS 2019</t>
  </si>
  <si>
    <t>ESP 2019</t>
  </si>
  <si>
    <t>AZE 2020</t>
  </si>
  <si>
    <t>ITA 2020</t>
  </si>
  <si>
    <t>Ranking</t>
  </si>
  <si>
    <t>Points</t>
  </si>
  <si>
    <t>Total</t>
  </si>
  <si>
    <t>Rosannagh MacLennan</t>
  </si>
  <si>
    <t>Chisato Doihata</t>
  </si>
  <si>
    <t>Maryia Makharynskaya</t>
  </si>
  <si>
    <t>Megu Uyama</t>
  </si>
  <si>
    <t>Susana Kochesok</t>
  </si>
  <si>
    <t>Country</t>
  </si>
  <si>
    <t>CHN</t>
  </si>
  <si>
    <t>CAN</t>
  </si>
  <si>
    <t>JPN</t>
  </si>
  <si>
    <t>BLR</t>
  </si>
  <si>
    <t>RUS</t>
  </si>
  <si>
    <t>Irina Kundius</t>
  </si>
  <si>
    <t>FRA</t>
  </si>
  <si>
    <t>Bryony Page</t>
  </si>
  <si>
    <t>GBR</t>
  </si>
  <si>
    <t>Alexa Kennedy</t>
  </si>
  <si>
    <t>Reina Satake</t>
  </si>
  <si>
    <t>Nicole Ashinger</t>
  </si>
  <si>
    <t>Camilla Gomes</t>
  </si>
  <si>
    <t>Samantha Smith</t>
  </si>
  <si>
    <t>Hanna Hancharova</t>
  </si>
  <si>
    <t>Dafne Navarro Loza</t>
  </si>
  <si>
    <t>Katherine Driscoll</t>
  </si>
  <si>
    <t>Laura Gallagher</t>
  </si>
  <si>
    <t>Alice Gomes</t>
  </si>
  <si>
    <t>Anhelina Khatsian</t>
  </si>
  <si>
    <t>Silva Mueller</t>
  </si>
  <si>
    <t>Madaline Davidson</t>
  </si>
  <si>
    <t>Sophiane Méthot</t>
  </si>
  <si>
    <t>Leone Adam</t>
  </si>
  <si>
    <t>Marine Jubert</t>
  </si>
  <si>
    <t>Farangiz Ruzieva</t>
  </si>
  <si>
    <t>Anais Breche</t>
  </si>
  <si>
    <t>Marina Chavarria</t>
  </si>
  <si>
    <t>Valiantsina Bahamolava</t>
  </si>
  <si>
    <t>Sarah Milette</t>
  </si>
  <si>
    <t>Eva Kierath</t>
  </si>
  <si>
    <t>Lina Sjoberg</t>
  </si>
  <si>
    <t>Claire Arthur</t>
  </si>
  <si>
    <t>Luba Golovina</t>
  </si>
  <si>
    <t>Christina Sainz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</si>
  <si>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</si>
  <si>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</si>
  <si>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</si>
  <si>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</si>
  <si>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</si>
  <si>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</si>
  <si>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</si>
  <si>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</si>
  <si>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</si>
  <si>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</si>
  <si>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</si>
  <si>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Ranking After Removal of Qualified Athletes</t>
  </si>
  <si>
    <t>Top Ranked in Country</t>
  </si>
  <si>
    <t>Uladzislau Hancharou</t>
  </si>
  <si>
    <t>Dong Dong</t>
  </si>
  <si>
    <t>Daiki Kishi</t>
  </si>
  <si>
    <t>Dylan Schmidt</t>
  </si>
  <si>
    <t>Andrey Yudin</t>
  </si>
  <si>
    <t>Tetsuya Sotomura</t>
  </si>
  <si>
    <t>Aleh Rabtsau</t>
  </si>
  <si>
    <t>Xiao Jinyu</t>
  </si>
  <si>
    <t>Tu Xiao</t>
  </si>
  <si>
    <t>Liu Lingling</t>
  </si>
  <si>
    <t>Lin Qianqi</t>
  </si>
  <si>
    <t>Xueying Zhu</t>
  </si>
  <si>
    <t>Yasuhiro Ueyama</t>
  </si>
  <si>
    <t>Artsion Zhuk</t>
  </si>
  <si>
    <t>Diogo Ganchinho</t>
  </si>
  <si>
    <t>Lei Gao</t>
  </si>
  <si>
    <t>Mikhail Melnik</t>
  </si>
  <si>
    <t>Nikita Fedorenko</t>
  </si>
  <si>
    <t>POR</t>
  </si>
  <si>
    <t>Pedro Ferreira</t>
  </si>
  <si>
    <t>Sergei Azarian</t>
  </si>
  <si>
    <t>Dominic Clarke</t>
  </si>
  <si>
    <t>Allan Morante</t>
  </si>
  <si>
    <t>Luke Strong</t>
  </si>
  <si>
    <t>Sebastien Martiny</t>
  </si>
  <si>
    <t>Blake Rutherford</t>
  </si>
  <si>
    <t>Fabian Vogel</t>
  </si>
  <si>
    <t>Mikael Vivani</t>
  </si>
  <si>
    <t>Jérémy Chartier</t>
  </si>
  <si>
    <t>Tengizi Koshkadze</t>
  </si>
  <si>
    <t>Lars Fritzsche</t>
  </si>
  <si>
    <t>Matthais Pfleiderer</t>
  </si>
  <si>
    <t>Aliaksei Shostak</t>
  </si>
  <si>
    <t>Mykola Prostorov</t>
  </si>
  <si>
    <t>Jason Burnett</t>
  </si>
  <si>
    <t>Flavio Cannone</t>
  </si>
  <si>
    <t>Igor Grachyov</t>
  </si>
  <si>
    <t>Mariyan Mihalev</t>
  </si>
  <si>
    <t>Cody Gesuelli</t>
  </si>
  <si>
    <t>Aiden Thomas</t>
  </si>
  <si>
    <t>Redha Messatfa</t>
  </si>
  <si>
    <t>Brendan Renault</t>
  </si>
  <si>
    <t>UKR</t>
  </si>
  <si>
    <t>ITA</t>
  </si>
  <si>
    <t>KAZ</t>
  </si>
  <si>
    <t>BUL</t>
  </si>
  <si>
    <t>ALG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</si>
  <si>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</si>
  <si>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</si>
  <si>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</si>
  <si>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Qualified by Criteria 2 (Continental)</t>
  </si>
  <si>
    <t>Country Already Qualified</t>
  </si>
  <si>
    <t>Ryosuke Sakai</t>
  </si>
  <si>
    <t>Diogo Abreu</t>
  </si>
  <si>
    <t>Dmitrii Ushakov</t>
  </si>
  <si>
    <t>Kyrylo Sonn</t>
  </si>
  <si>
    <t>Danil Mussabayev</t>
  </si>
  <si>
    <t>Artur Zakrzewski</t>
  </si>
  <si>
    <t>POL</t>
  </si>
  <si>
    <t>Pierre Gouzou</t>
  </si>
  <si>
    <t>Benny Wizani</t>
  </si>
  <si>
    <t>AUT</t>
  </si>
  <si>
    <t>Corey Walkes</t>
  </si>
  <si>
    <t>Jorge Martin</t>
  </si>
  <si>
    <t>Angel Hernandez</t>
  </si>
  <si>
    <t>COL</t>
  </si>
  <si>
    <t>Tiago Lopes</t>
  </si>
  <si>
    <t>Mikita Ilyinykh</t>
  </si>
  <si>
    <t>Dario Aloi</t>
  </si>
  <si>
    <t>Benjamin Kjaer</t>
  </si>
  <si>
    <t>DEN</t>
  </si>
  <si>
    <t>Marios Grapsas</t>
  </si>
  <si>
    <t>GRE</t>
  </si>
  <si>
    <t>Mokhirbek Olimjonov</t>
  </si>
  <si>
    <t>Yana Pavlova</t>
  </si>
  <si>
    <t>Hikaru Mori</t>
  </si>
  <si>
    <t>Xinyi Fan</t>
  </si>
  <si>
    <t>Ayano Kishi</t>
  </si>
  <si>
    <t>Noemi Romero Rosario</t>
  </si>
  <si>
    <t>Kira Ward</t>
  </si>
  <si>
    <t>Maryna Kyiko</t>
  </si>
  <si>
    <t>Beatriz Martins</t>
  </si>
  <si>
    <t>Svitlana Malkova</t>
  </si>
  <si>
    <t>Fanny Chilo</t>
  </si>
  <si>
    <t>SUI</t>
  </si>
  <si>
    <t>Jessica Stevens</t>
  </si>
  <si>
    <t>Lila Kasapoglou</t>
  </si>
  <si>
    <t>Silvia Saiote</t>
  </si>
  <si>
    <t>Tie Break 1 (Low Wins)</t>
  </si>
  <si>
    <t>Tie Break 2 (High Wins)</t>
  </si>
  <si>
    <t>Tie Break 3 (Low Wins)</t>
  </si>
  <si>
    <t>Dan Li</t>
  </si>
  <si>
    <t>Yanfei Huang</t>
  </si>
  <si>
    <t>Isabelle Songhurst</t>
  </si>
  <si>
    <t>Jessica Pickering</t>
  </si>
  <si>
    <t>Aileen Roeler</t>
  </si>
  <si>
    <t>NED</t>
  </si>
  <si>
    <t>Romana Schuring</t>
  </si>
  <si>
    <t>Ellen Heinen</t>
  </si>
  <si>
    <t>Sude Aydin</t>
  </si>
  <si>
    <t>TUR</t>
  </si>
  <si>
    <t>Katish Hernandez</t>
  </si>
  <si>
    <t>Léa Labrousse</t>
  </si>
  <si>
    <t>Langyu Yan</t>
  </si>
  <si>
    <t>Ivan Litvinovich</t>
  </si>
  <si>
    <t>Ricardo Santos</t>
  </si>
  <si>
    <t>Rayan Dutra</t>
  </si>
  <si>
    <t>Jeffrey Gluckstein</t>
  </si>
  <si>
    <t>Ryunosuke Fujita</t>
  </si>
  <si>
    <t>Nathan Bailey</t>
  </si>
  <si>
    <t>Gurkan Mutlu</t>
  </si>
  <si>
    <t>Oscar Smith</t>
  </si>
  <si>
    <t>Matthias Schuldt</t>
  </si>
  <si>
    <t>Julian Chartier</t>
  </si>
  <si>
    <t>Sort Athletes Into Ranking Order</t>
  </si>
  <si>
    <t>Sort Athletes Alphabetically for Data Entry</t>
  </si>
  <si>
    <t>Vera Beliankina</t>
  </si>
  <si>
    <t>Rachel Tam</t>
  </si>
  <si>
    <t>Melania Rodriguez</t>
  </si>
  <si>
    <t>Alyssa Oh</t>
  </si>
  <si>
    <t>Andrew Stamp</t>
  </si>
  <si>
    <t>Morgan Demiro-O-Demiro</t>
  </si>
  <si>
    <t>Luis Loria</t>
  </si>
  <si>
    <t>Ruben Padilla</t>
  </si>
  <si>
    <t>Pirmammad Aliyev</t>
  </si>
  <si>
    <t>P</t>
  </si>
  <si>
    <t>Iana Lebedeva</t>
  </si>
  <si>
    <t>Charlotte Drury</t>
  </si>
  <si>
    <t>Palina Shadzko</t>
  </si>
  <si>
    <t>Katsiaryna Yarshova</t>
  </si>
  <si>
    <t>Setjan Mahsudova</t>
  </si>
  <si>
    <t>AZE</t>
  </si>
  <si>
    <t>Allaksai Dudarau</t>
  </si>
  <si>
    <t>Keegan Soehn</t>
  </si>
  <si>
    <t>Maans Aaberg</t>
  </si>
  <si>
    <t>Anton Davydenko</t>
  </si>
  <si>
    <t>Continent</t>
  </si>
  <si>
    <t>Asia</t>
  </si>
  <si>
    <t>Europe</t>
  </si>
  <si>
    <t>Americas</t>
  </si>
  <si>
    <t>Oceana</t>
  </si>
  <si>
    <t>Africa</t>
  </si>
  <si>
    <t>Men</t>
  </si>
  <si>
    <t>Women</t>
  </si>
  <si>
    <t>Confirmed from Worlds/Continental Championships</t>
  </si>
  <si>
    <t>In Qualifying Position</t>
  </si>
  <si>
    <t>Will be Displaced for Continental Representation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</si>
</sst>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8"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K102"/>
  <sheetViews>
    <sheetView tabSelected="1"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10.83203125" style="4"/>
    <col min="7" max="12" width="10.83203125" style="7"/>
    <col min="26" max="26" width="10.83203125" style="2"/>
    <col min="27" max="27" width="14" style="2" bestFit="1" customWidth="1"/>
    <col min="28" max="28" width="10.83203125" style="14"/>
    <col min="29" max="31" width="10.83203125" hidden="1" customWidth="1"/>
  </cols>
  <sheetData>
    <row r="1" spans="1:37" s="10" customFormat="1" ht="16" customHeight="1" x14ac:dyDescent="0.2">
      <c r="A1" s="19" t="s">
        <v>0</v>
      </c>
      <c r="B1" s="19" t="s">
        <v>15</v>
      </c>
      <c r="C1" s="19" t="s">
        <v>200</v>
      </c>
      <c r="D1" s="16" t="s">
        <v>113</v>
      </c>
      <c r="E1" s="16" t="s">
        <v>114</v>
      </c>
      <c r="F1" s="23" t="s">
        <v>61</v>
      </c>
      <c r="G1" s="20" t="s">
        <v>7</v>
      </c>
      <c r="H1" s="20"/>
      <c r="I1" s="20"/>
      <c r="J1" s="20"/>
      <c r="K1" s="20"/>
      <c r="L1" s="21"/>
      <c r="M1" s="22" t="s">
        <v>62</v>
      </c>
      <c r="N1" s="20"/>
      <c r="O1" s="20"/>
      <c r="P1" s="20"/>
      <c r="Q1" s="20"/>
      <c r="R1" s="21"/>
      <c r="S1" s="22" t="s">
        <v>8</v>
      </c>
      <c r="T1" s="20"/>
      <c r="U1" s="20"/>
      <c r="V1" s="20"/>
      <c r="W1" s="20"/>
      <c r="X1" s="21"/>
      <c r="Y1" s="19" t="s">
        <v>9</v>
      </c>
      <c r="Z1" s="16" t="s">
        <v>63</v>
      </c>
      <c r="AA1" s="18" t="s">
        <v>115</v>
      </c>
      <c r="AB1" s="16" t="s">
        <v>111</v>
      </c>
      <c r="AC1" s="16" t="s">
        <v>152</v>
      </c>
      <c r="AD1" s="16" t="s">
        <v>153</v>
      </c>
      <c r="AE1" s="16" t="s">
        <v>154</v>
      </c>
      <c r="AF1" s="17" t="s">
        <v>112</v>
      </c>
      <c r="AG1" s="17"/>
      <c r="AH1" s="17"/>
      <c r="AI1" s="17"/>
      <c r="AJ1" s="17"/>
      <c r="AK1" s="17"/>
    </row>
    <row r="2" spans="1:37" s="10" customFormat="1" x14ac:dyDescent="0.2">
      <c r="A2" s="19"/>
      <c r="B2" s="19"/>
      <c r="C2" s="19"/>
      <c r="D2" s="16"/>
      <c r="E2" s="16"/>
      <c r="F2" s="23"/>
      <c r="G2" s="12" t="s">
        <v>1</v>
      </c>
      <c r="H2" s="12" t="s">
        <v>2</v>
      </c>
      <c r="I2" s="12" t="s">
        <v>3</v>
      </c>
      <c r="J2" s="12" t="s">
        <v>4</v>
      </c>
      <c r="K2" s="12" t="s">
        <v>5</v>
      </c>
      <c r="L2" s="13" t="s">
        <v>6</v>
      </c>
      <c r="M2" s="11" t="s">
        <v>1</v>
      </c>
      <c r="N2" s="12" t="s">
        <v>2</v>
      </c>
      <c r="O2" s="12" t="s">
        <v>3</v>
      </c>
      <c r="P2" s="12" t="s">
        <v>4</v>
      </c>
      <c r="Q2" s="12" t="s">
        <v>5</v>
      </c>
      <c r="R2" s="13" t="s">
        <v>6</v>
      </c>
      <c r="S2" s="11" t="s">
        <v>1</v>
      </c>
      <c r="T2" s="12" t="s">
        <v>2</v>
      </c>
      <c r="U2" s="12" t="s">
        <v>3</v>
      </c>
      <c r="V2" s="12" t="s">
        <v>4</v>
      </c>
      <c r="W2" s="12" t="s">
        <v>5</v>
      </c>
      <c r="X2" s="13" t="s">
        <v>6</v>
      </c>
      <c r="Y2" s="19"/>
      <c r="Z2" s="16"/>
      <c r="AA2" s="18"/>
      <c r="AB2" s="16"/>
      <c r="AC2" s="16"/>
      <c r="AD2" s="16"/>
      <c r="AE2" s="16"/>
      <c r="AF2" s="17"/>
      <c r="AG2" s="17"/>
      <c r="AH2" s="17"/>
      <c r="AI2" s="17"/>
      <c r="AJ2" s="17"/>
      <c r="AK2" s="17"/>
    </row>
    <row r="3" spans="1:37" x14ac:dyDescent="0.2">
      <c r="A3" s="7" t="s">
        <v>139</v>
      </c>
      <c r="B3" s="6" t="s">
        <v>18</v>
      </c>
      <c r="C3" s="6" t="s">
        <v>201</v>
      </c>
      <c r="D3" s="5" t="s">
        <v>189</v>
      </c>
      <c r="F3" s="3" t="str">
        <f t="shared" ref="F3:F34" si="0">IF(AB3="","",RANK(AB3,AB:AB)+COUNTIF(D:E,"P"))</f>
        <v/>
      </c>
      <c r="G3" s="6">
        <v>59</v>
      </c>
      <c r="H3" s="6">
        <v>4</v>
      </c>
      <c r="I3" s="6">
        <v>2</v>
      </c>
      <c r="J3" s="6">
        <v>3</v>
      </c>
      <c r="K3" s="6"/>
      <c r="L3" s="6"/>
      <c r="M3" s="1" t="str">
        <f t="shared" ref="M3:M34" si="1">IF(OR($D3&lt;&gt;"",$E3&lt;&gt;"",G3=""),"",G3-SUMPRODUCT(--($D$3:$D$102="P"),--(G$3:G$102&lt;G3),--(G$3:G$102&lt;&gt;""))-SUMPRODUCT(--($E$3:$E$102="P"),--(G$3:G$102&lt;G3),--(G$3:G$102&lt;&gt;"")))</f>
        <v/>
      </c>
      <c r="N3" s="9" t="str">
        <f t="shared" ref="N3:N34" si="2">IF(OR($D3&lt;&gt;"",$E3&lt;&gt;"",H3=""),"",H3-SUMPRODUCT(--($D$3:$D$102="P"),--(H$3:H$102&lt;H3),--(H$3:H$102&lt;&gt;""))-SUMPRODUCT(--($E$3:$E$102="P"),--(H$3:H$102&lt;H3),--(H$3:H$102&lt;&gt;"")))</f>
        <v/>
      </c>
      <c r="O3" s="9" t="str">
        <f t="shared" ref="O3:O34" si="3">IF(OR($D3&lt;&gt;"",$E3&lt;&gt;"",I3=""),"",I3-SUMPRODUCT(--($D$3:$D$102="P"),--(I$3:I$102&lt;I3),--(I$3:I$102&lt;&gt;""))-SUMPRODUCT(--($E$3:$E$102="P"),--(I$3:I$102&lt;I3),--(I$3:I$102&lt;&gt;"")))</f>
        <v/>
      </c>
      <c r="P3" s="9" t="str">
        <f t="shared" ref="P3:P34" si="4">IF(OR($D3&lt;&gt;"",$E3&lt;&gt;"",J3=""),"",J3-SUMPRODUCT(--($D$3:$D$102="P"),--(J$3:J$102&lt;J3),--(J$3:J$102&lt;&gt;""))-SUMPRODUCT(--($E$3:$E$102="P"),--(J$3:J$102&lt;J3),--(J$3:J$102&lt;&gt;"")))</f>
        <v/>
      </c>
      <c r="Q3" s="9" t="str">
        <f t="shared" ref="Q3:Q34" si="5">IF(OR($D3&lt;&gt;"",$E3&lt;&gt;"",K3=""),"",K3-SUMPRODUCT(--($D$3:$D$102="P"),--(K$3:K$102&lt;K3),--(K$3:K$102&lt;&gt;""))-SUMPRODUCT(--($E$3:$E$102="P"),--(K$3:K$102&lt;K3),--(K$3:K$102&lt;&gt;"")))</f>
        <v/>
      </c>
      <c r="R3" s="9" t="str">
        <f t="shared" ref="R3:R34" si="6">IF(OR($D3&lt;&gt;"",$E3&lt;&gt;"",L3=""),"",L3-SUMPRODUCT(--($D$3:$D$102="P"),--(L$3:L$102&lt;L3),--(L$3:L$102&lt;&gt;""))-SUMPRODUCT(--($E$3:$E$102="P"),--(L$3:L$102&lt;L3),--(L$3:L$102&lt;&gt;"")))</f>
        <v/>
      </c>
      <c r="S3" s="1" t="str">
        <f t="shared" ref="S3:S34" si="7"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1" t="str">
        <f t="shared" ref="T3:T34" si="8"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1" t="str">
        <f t="shared" ref="U3:U34" si="9"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1" t="str">
        <f t="shared" ref="V3:V34" si="10"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1" t="str">
        <f t="shared" ref="W3:W34" si="11"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" t="str">
        <f t="shared" ref="X3:X34" si="12">IF(OR(R3="",R3&gt;30),"",IF(R3=1,60,IF(R3=2,55,IF(R3=3,50,IF(R3=4,44,IF(R3=5,38,IF(R3=6,32,IF(R3=7,28,IF(R3=8,25,IF(R3=9,22,IF(R3=10,21,IF(R3=11,20,IF(R3=12,19,IF(R3=13,18,IF(R3=14,17,IF(R3=15,16,IF(R3=16,15,IF(R3=17,14,IF(R3=18,13,IF(R3=19,12,IF(R3=20,11,IF(R3=21,10,IF(R3=22,9,IF(R3=23,8,IF(R3=24,7,IF(R3=25,6,IF(R3=26,5,IF(R3=27,4,IF(R3=28,3,IF(R3=29,2,IF(R3=30,1)))))))))))))))))))))))))))))))</f>
        <v/>
      </c>
      <c r="Y3" s="14" t="str">
        <f t="shared" ref="Y3:Y34" si="13">IF(A3="","",IF(OR(D3="P",E3="P"),"",IF(IF(COUNT(S3:X3)&lt;5,SUM(S3:X3),IF(COUNT(S3:X3)=5,SUM(S3:X3)-MIN(S3:X3),SUM(S3:X3)-MIN(S3:X3)-SMALL(S3:X3,2)))&gt;0,IF(COUNT(S3:X3)&lt;5,SUM(S3:X3)+(1000-AC3)*10^-4+AD3*10^-5+(1000-AE3)*10^-8,IF(COUNT(S3:X3)=5,SUM(S3:X3)-MIN(S3:X3)+(1000-AC3)*10^-4+AD3*10^-5+(1000-AE3)*10^-8,SUM(S3:X3)-MIN(S3:X3)-SMALL(S3:X3,2)+(1000-AC3)*10^-4+AD3*10^-5+(1000-AE3)*10^-8)),0)))</f>
        <v/>
      </c>
      <c r="Z3" s="2" t="str">
        <f t="shared" ref="Z3:Z34" si="14">IF(OR(Y3="",Y3=0),"",IF(SUMPRODUCT(--(B$3:B$102=B3),--(Y$3:Y$102&gt;Y3),--(Y$3:Y$102&lt;&gt;"")),"","P"))</f>
        <v/>
      </c>
      <c r="AA3" s="2" t="str">
        <f t="shared" ref="AA3:AA34" si="15">IF(Y3="","",IF(SUMPRODUCT(--(D$3:D$102="P"),--(B$3:B$102=B3)),"P",""))</f>
        <v/>
      </c>
      <c r="AB3" s="14" t="str">
        <f t="shared" ref="AB3:AB34" si="16">IF(AND(Z3&lt;&gt;"",OR(AA3="",SUMPRODUCT(--(Y$3:Y$102&gt;Y3),--(AA$3:AA$102="P"),--(Z$3:Z$102="P"))&lt;4)),Y3,"")</f>
        <v/>
      </c>
      <c r="AC3" s="9" t="str">
        <f t="shared" ref="AC3:AC34" si="17">IF(A3="","",IF(OR(D3="P",E3="P"),"",IF(IF(COUNT(M3:R3)&lt;5,SUM(M3:R3),IF(COUNT(M3:R3)=5,SUM(M3:R3)-MAX(M3:R3),SUM(M3:R3)-MAX(M3:R3)-LARGE(M3:R3,2)))&gt;0,IF(COUNT(M3:R3)&lt;5,SUM(M3:R3),IF(COUNT(M3:R3)=5,SUM(M3:R3)-MAX(M3:R3),SUM(M3:R3)-MAX(M3:R3)-LARGE(M3:R3,2))),0)))</f>
        <v/>
      </c>
      <c r="AD3" s="9">
        <f t="shared" ref="AD3:AD34" si="18">COUNTIF(M3:R3,"&lt;=8")</f>
        <v>0</v>
      </c>
      <c r="AE3" s="9">
        <f t="shared" ref="AE3:AE34" si="19">MIN(M3:R3)</f>
        <v>0</v>
      </c>
    </row>
    <row r="4" spans="1:37" x14ac:dyDescent="0.2">
      <c r="A4" s="7" t="s">
        <v>190</v>
      </c>
      <c r="B4" s="6" t="s">
        <v>20</v>
      </c>
      <c r="C4" s="6" t="s">
        <v>202</v>
      </c>
      <c r="D4" s="5" t="s">
        <v>189</v>
      </c>
      <c r="F4" s="3" t="str">
        <f t="shared" si="0"/>
        <v/>
      </c>
      <c r="G4" s="6"/>
      <c r="H4" s="6"/>
      <c r="I4" s="6"/>
      <c r="J4" s="6"/>
      <c r="K4" s="6">
        <v>49</v>
      </c>
      <c r="L4" s="6"/>
      <c r="M4" s="9" t="str">
        <f t="shared" si="1"/>
        <v/>
      </c>
      <c r="N4" s="9" t="str">
        <f t="shared" si="2"/>
        <v/>
      </c>
      <c r="O4" s="9" t="str">
        <f t="shared" si="3"/>
        <v/>
      </c>
      <c r="P4" s="9" t="str">
        <f t="shared" si="4"/>
        <v/>
      </c>
      <c r="Q4" s="9" t="str">
        <f t="shared" si="5"/>
        <v/>
      </c>
      <c r="R4" s="9" t="str">
        <f t="shared" si="6"/>
        <v/>
      </c>
      <c r="S4" s="9" t="str">
        <f t="shared" si="7"/>
        <v/>
      </c>
      <c r="T4" s="9" t="str">
        <f t="shared" si="8"/>
        <v/>
      </c>
      <c r="U4" s="9" t="str">
        <f t="shared" si="9"/>
        <v/>
      </c>
      <c r="V4" s="9" t="str">
        <f t="shared" si="10"/>
        <v/>
      </c>
      <c r="W4" s="9" t="str">
        <f t="shared" si="11"/>
        <v/>
      </c>
      <c r="X4" s="9" t="str">
        <f t="shared" si="12"/>
        <v/>
      </c>
      <c r="Y4" s="14" t="str">
        <f t="shared" si="13"/>
        <v/>
      </c>
      <c r="Z4" s="2" t="str">
        <f t="shared" si="14"/>
        <v/>
      </c>
      <c r="AA4" s="2" t="str">
        <f t="shared" si="15"/>
        <v/>
      </c>
      <c r="AB4" s="14" t="str">
        <f t="shared" si="16"/>
        <v/>
      </c>
      <c r="AC4" s="9" t="str">
        <f t="shared" si="17"/>
        <v/>
      </c>
      <c r="AD4" s="9">
        <f t="shared" si="18"/>
        <v>0</v>
      </c>
      <c r="AE4" s="9">
        <f t="shared" si="19"/>
        <v>0</v>
      </c>
    </row>
    <row r="5" spans="1:37" x14ac:dyDescent="0.2">
      <c r="A5" s="7" t="s">
        <v>33</v>
      </c>
      <c r="B5" s="6" t="s">
        <v>24</v>
      </c>
      <c r="C5" s="6" t="s">
        <v>202</v>
      </c>
      <c r="D5" s="5" t="s">
        <v>189</v>
      </c>
      <c r="F5" s="3" t="str">
        <f t="shared" si="0"/>
        <v/>
      </c>
      <c r="G5" s="6">
        <v>20</v>
      </c>
      <c r="H5" s="6">
        <v>6</v>
      </c>
      <c r="I5" s="6">
        <v>24</v>
      </c>
      <c r="J5" s="6">
        <v>17</v>
      </c>
      <c r="K5" s="6">
        <v>42</v>
      </c>
      <c r="L5" s="6"/>
      <c r="M5" s="9" t="str">
        <f t="shared" si="1"/>
        <v/>
      </c>
      <c r="N5" s="9" t="str">
        <f t="shared" si="2"/>
        <v/>
      </c>
      <c r="O5" s="9" t="str">
        <f t="shared" si="3"/>
        <v/>
      </c>
      <c r="P5" s="9" t="str">
        <f t="shared" si="4"/>
        <v/>
      </c>
      <c r="Q5" s="9" t="str">
        <f t="shared" si="5"/>
        <v/>
      </c>
      <c r="R5" s="9" t="str">
        <f t="shared" si="6"/>
        <v/>
      </c>
      <c r="S5" s="9" t="str">
        <f t="shared" si="7"/>
        <v/>
      </c>
      <c r="T5" s="9" t="str">
        <f t="shared" si="8"/>
        <v/>
      </c>
      <c r="U5" s="9" t="str">
        <f t="shared" si="9"/>
        <v/>
      </c>
      <c r="V5" s="9" t="str">
        <f t="shared" si="10"/>
        <v/>
      </c>
      <c r="W5" s="9" t="str">
        <f t="shared" si="11"/>
        <v/>
      </c>
      <c r="X5" s="9" t="str">
        <f t="shared" si="12"/>
        <v/>
      </c>
      <c r="Y5" s="14" t="str">
        <f t="shared" si="13"/>
        <v/>
      </c>
      <c r="Z5" s="2" t="str">
        <f t="shared" si="14"/>
        <v/>
      </c>
      <c r="AA5" s="2" t="str">
        <f t="shared" si="15"/>
        <v/>
      </c>
      <c r="AB5" s="14" t="str">
        <f t="shared" si="16"/>
        <v/>
      </c>
      <c r="AC5" s="9" t="str">
        <f t="shared" si="17"/>
        <v/>
      </c>
      <c r="AD5" s="9">
        <f t="shared" si="18"/>
        <v>0</v>
      </c>
      <c r="AE5" s="9">
        <f t="shared" si="19"/>
        <v>0</v>
      </c>
    </row>
    <row r="6" spans="1:37" x14ac:dyDescent="0.2">
      <c r="A6" s="7" t="s">
        <v>166</v>
      </c>
      <c r="B6" s="6" t="s">
        <v>22</v>
      </c>
      <c r="C6" s="6" t="s">
        <v>202</v>
      </c>
      <c r="D6" s="5" t="s">
        <v>189</v>
      </c>
      <c r="F6" s="3" t="str">
        <f t="shared" si="0"/>
        <v/>
      </c>
      <c r="G6" s="6">
        <v>10</v>
      </c>
      <c r="H6" s="6">
        <v>63</v>
      </c>
      <c r="I6" s="6">
        <v>41</v>
      </c>
      <c r="J6" s="6">
        <v>12</v>
      </c>
      <c r="K6" s="6">
        <v>13</v>
      </c>
      <c r="L6" s="6"/>
      <c r="M6" s="9" t="str">
        <f t="shared" si="1"/>
        <v/>
      </c>
      <c r="N6" s="9" t="str">
        <f t="shared" si="2"/>
        <v/>
      </c>
      <c r="O6" s="9" t="str">
        <f t="shared" si="3"/>
        <v/>
      </c>
      <c r="P6" s="9" t="str">
        <f t="shared" si="4"/>
        <v/>
      </c>
      <c r="Q6" s="9" t="str">
        <f t="shared" si="5"/>
        <v/>
      </c>
      <c r="R6" s="9" t="str">
        <f t="shared" si="6"/>
        <v/>
      </c>
      <c r="S6" s="9" t="str">
        <f t="shared" si="7"/>
        <v/>
      </c>
      <c r="T6" s="9" t="str">
        <f t="shared" si="8"/>
        <v/>
      </c>
      <c r="U6" s="9" t="str">
        <f t="shared" si="9"/>
        <v/>
      </c>
      <c r="V6" s="9" t="str">
        <f t="shared" si="10"/>
        <v/>
      </c>
      <c r="W6" s="9" t="str">
        <f t="shared" si="11"/>
        <v/>
      </c>
      <c r="X6" s="9" t="str">
        <f t="shared" si="12"/>
        <v/>
      </c>
      <c r="Y6" s="14" t="str">
        <f t="shared" si="13"/>
        <v/>
      </c>
      <c r="Z6" s="2" t="str">
        <f t="shared" si="14"/>
        <v/>
      </c>
      <c r="AA6" s="2" t="str">
        <f t="shared" si="15"/>
        <v/>
      </c>
      <c r="AB6" s="14" t="str">
        <f t="shared" si="16"/>
        <v/>
      </c>
      <c r="AC6" s="9" t="str">
        <f t="shared" si="17"/>
        <v/>
      </c>
      <c r="AD6" s="9">
        <f t="shared" si="18"/>
        <v>0</v>
      </c>
      <c r="AE6" s="9">
        <f t="shared" si="19"/>
        <v>0</v>
      </c>
    </row>
    <row r="7" spans="1:37" x14ac:dyDescent="0.2">
      <c r="A7" s="7" t="s">
        <v>10</v>
      </c>
      <c r="B7" s="6" t="s">
        <v>17</v>
      </c>
      <c r="C7" s="6" t="s">
        <v>203</v>
      </c>
      <c r="D7" s="5" t="s">
        <v>189</v>
      </c>
      <c r="F7" s="3" t="str">
        <f t="shared" si="0"/>
        <v/>
      </c>
      <c r="G7" s="6">
        <v>2</v>
      </c>
      <c r="H7" s="6">
        <v>52</v>
      </c>
      <c r="I7" s="6">
        <v>18</v>
      </c>
      <c r="J7" s="6">
        <v>27</v>
      </c>
      <c r="K7" s="6">
        <v>14</v>
      </c>
      <c r="L7" s="6"/>
      <c r="M7" s="9" t="str">
        <f t="shared" si="1"/>
        <v/>
      </c>
      <c r="N7" s="9" t="str">
        <f t="shared" si="2"/>
        <v/>
      </c>
      <c r="O7" s="9" t="str">
        <f t="shared" si="3"/>
        <v/>
      </c>
      <c r="P7" s="9" t="str">
        <f t="shared" si="4"/>
        <v/>
      </c>
      <c r="Q7" s="9" t="str">
        <f t="shared" si="5"/>
        <v/>
      </c>
      <c r="R7" s="9" t="str">
        <f t="shared" si="6"/>
        <v/>
      </c>
      <c r="S7" s="9" t="str">
        <f t="shared" si="7"/>
        <v/>
      </c>
      <c r="T7" s="9" t="str">
        <f t="shared" si="8"/>
        <v/>
      </c>
      <c r="U7" s="9" t="str">
        <f t="shared" si="9"/>
        <v/>
      </c>
      <c r="V7" s="9" t="str">
        <f t="shared" si="10"/>
        <v/>
      </c>
      <c r="W7" s="9" t="str">
        <f t="shared" si="11"/>
        <v/>
      </c>
      <c r="X7" s="9" t="str">
        <f t="shared" si="12"/>
        <v/>
      </c>
      <c r="Y7" s="14" t="str">
        <f t="shared" si="13"/>
        <v/>
      </c>
      <c r="Z7" s="2" t="str">
        <f t="shared" si="14"/>
        <v/>
      </c>
      <c r="AA7" s="2" t="str">
        <f t="shared" si="15"/>
        <v/>
      </c>
      <c r="AB7" s="14" t="str">
        <f t="shared" si="16"/>
        <v/>
      </c>
      <c r="AC7" s="9" t="str">
        <f t="shared" si="17"/>
        <v/>
      </c>
      <c r="AD7" s="9">
        <f t="shared" si="18"/>
        <v>0</v>
      </c>
      <c r="AE7" s="9">
        <f t="shared" si="19"/>
        <v>0</v>
      </c>
    </row>
    <row r="8" spans="1:37" x14ac:dyDescent="0.2">
      <c r="A8" s="7" t="s">
        <v>156</v>
      </c>
      <c r="B8" s="6" t="s">
        <v>16</v>
      </c>
      <c r="C8" s="6" t="s">
        <v>201</v>
      </c>
      <c r="D8" s="5" t="s">
        <v>189</v>
      </c>
      <c r="F8" s="3" t="str">
        <f t="shared" si="0"/>
        <v/>
      </c>
      <c r="G8" s="6"/>
      <c r="H8" s="6"/>
      <c r="I8" s="6">
        <v>12</v>
      </c>
      <c r="J8" s="6">
        <v>33</v>
      </c>
      <c r="K8" s="6"/>
      <c r="L8" s="6"/>
      <c r="M8" s="9" t="str">
        <f t="shared" si="1"/>
        <v/>
      </c>
      <c r="N8" s="9" t="str">
        <f t="shared" si="2"/>
        <v/>
      </c>
      <c r="O8" s="9" t="str">
        <f t="shared" si="3"/>
        <v/>
      </c>
      <c r="P8" s="9" t="str">
        <f t="shared" si="4"/>
        <v/>
      </c>
      <c r="Q8" s="9" t="str">
        <f t="shared" si="5"/>
        <v/>
      </c>
      <c r="R8" s="9" t="str">
        <f t="shared" si="6"/>
        <v/>
      </c>
      <c r="S8" s="9" t="str">
        <f t="shared" si="7"/>
        <v/>
      </c>
      <c r="T8" s="9" t="str">
        <f t="shared" si="8"/>
        <v/>
      </c>
      <c r="U8" s="9" t="str">
        <f t="shared" si="9"/>
        <v/>
      </c>
      <c r="V8" s="9" t="str">
        <f t="shared" si="10"/>
        <v/>
      </c>
      <c r="W8" s="9" t="str">
        <f t="shared" si="11"/>
        <v/>
      </c>
      <c r="X8" s="9" t="str">
        <f t="shared" si="12"/>
        <v/>
      </c>
      <c r="Y8" s="14" t="str">
        <f t="shared" si="13"/>
        <v/>
      </c>
      <c r="Z8" s="2" t="str">
        <f t="shared" si="14"/>
        <v/>
      </c>
      <c r="AA8" s="2" t="str">
        <f t="shared" si="15"/>
        <v/>
      </c>
      <c r="AB8" s="14" t="str">
        <f t="shared" si="16"/>
        <v/>
      </c>
      <c r="AC8" s="9" t="str">
        <f t="shared" si="17"/>
        <v/>
      </c>
      <c r="AD8" s="9">
        <f t="shared" si="18"/>
        <v>0</v>
      </c>
      <c r="AE8" s="9">
        <f t="shared" si="19"/>
        <v>0</v>
      </c>
    </row>
    <row r="9" spans="1:37" x14ac:dyDescent="0.2">
      <c r="A9" s="7" t="s">
        <v>73</v>
      </c>
      <c r="B9" s="6" t="s">
        <v>16</v>
      </c>
      <c r="C9" s="6" t="s">
        <v>201</v>
      </c>
      <c r="F9" s="3">
        <f t="shared" si="0"/>
        <v>7</v>
      </c>
      <c r="G9" s="6">
        <v>1</v>
      </c>
      <c r="H9" s="6">
        <v>54</v>
      </c>
      <c r="I9" s="6">
        <v>3</v>
      </c>
      <c r="J9" s="6">
        <v>1</v>
      </c>
      <c r="K9" s="6">
        <v>2</v>
      </c>
      <c r="L9" s="6"/>
      <c r="M9" s="9">
        <f t="shared" si="1"/>
        <v>1</v>
      </c>
      <c r="N9" s="9">
        <f t="shared" si="2"/>
        <v>51</v>
      </c>
      <c r="O9" s="9">
        <f t="shared" si="3"/>
        <v>2</v>
      </c>
      <c r="P9" s="9">
        <f t="shared" si="4"/>
        <v>1</v>
      </c>
      <c r="Q9" s="9">
        <f t="shared" si="5"/>
        <v>2</v>
      </c>
      <c r="R9" s="9" t="str">
        <f t="shared" si="6"/>
        <v/>
      </c>
      <c r="S9" s="9">
        <f t="shared" si="7"/>
        <v>60</v>
      </c>
      <c r="T9" s="9" t="str">
        <f t="shared" si="8"/>
        <v/>
      </c>
      <c r="U9" s="9">
        <f t="shared" si="9"/>
        <v>55</v>
      </c>
      <c r="V9" s="9">
        <f t="shared" si="10"/>
        <v>60</v>
      </c>
      <c r="W9" s="9">
        <f t="shared" si="11"/>
        <v>55</v>
      </c>
      <c r="X9" s="9" t="str">
        <f t="shared" si="12"/>
        <v/>
      </c>
      <c r="Y9" s="14">
        <f t="shared" si="13"/>
        <v>230.09944999000001</v>
      </c>
      <c r="Z9" s="2" t="str">
        <f t="shared" si="14"/>
        <v>P</v>
      </c>
      <c r="AA9" s="2" t="str">
        <f t="shared" si="15"/>
        <v>P</v>
      </c>
      <c r="AB9" s="14">
        <f t="shared" si="16"/>
        <v>230.09944999000001</v>
      </c>
      <c r="AC9" s="9">
        <f t="shared" si="17"/>
        <v>6</v>
      </c>
      <c r="AD9" s="9">
        <f t="shared" si="18"/>
        <v>4</v>
      </c>
      <c r="AE9" s="9">
        <f t="shared" si="19"/>
        <v>1</v>
      </c>
    </row>
    <row r="10" spans="1:37" x14ac:dyDescent="0.2">
      <c r="A10" s="7" t="s">
        <v>75</v>
      </c>
      <c r="B10" s="6" t="s">
        <v>16</v>
      </c>
      <c r="C10" s="6" t="s">
        <v>201</v>
      </c>
      <c r="F10" s="3" t="str">
        <f t="shared" si="0"/>
        <v/>
      </c>
      <c r="G10" s="6">
        <v>9</v>
      </c>
      <c r="H10" s="6">
        <v>1</v>
      </c>
      <c r="I10" s="6">
        <v>8</v>
      </c>
      <c r="J10" s="6">
        <v>2</v>
      </c>
      <c r="K10" s="6">
        <v>1</v>
      </c>
      <c r="L10" s="6"/>
      <c r="M10" s="9">
        <f t="shared" si="1"/>
        <v>8</v>
      </c>
      <c r="N10" s="9">
        <f t="shared" si="2"/>
        <v>1</v>
      </c>
      <c r="O10" s="9">
        <f t="shared" si="3"/>
        <v>7</v>
      </c>
      <c r="P10" s="9">
        <f t="shared" si="4"/>
        <v>2</v>
      </c>
      <c r="Q10" s="9">
        <f t="shared" si="5"/>
        <v>1</v>
      </c>
      <c r="R10" s="9" t="str">
        <f t="shared" si="6"/>
        <v/>
      </c>
      <c r="S10" s="9">
        <f t="shared" si="7"/>
        <v>25</v>
      </c>
      <c r="T10" s="9">
        <f t="shared" si="8"/>
        <v>60</v>
      </c>
      <c r="U10" s="9">
        <f t="shared" si="9"/>
        <v>28</v>
      </c>
      <c r="V10" s="9">
        <f t="shared" si="10"/>
        <v>55</v>
      </c>
      <c r="W10" s="9">
        <f t="shared" si="11"/>
        <v>60</v>
      </c>
      <c r="X10" s="9" t="str">
        <f t="shared" si="12"/>
        <v/>
      </c>
      <c r="Y10" s="14">
        <f t="shared" si="13"/>
        <v>203.09895998999997</v>
      </c>
      <c r="Z10" s="2" t="str">
        <f t="shared" si="14"/>
        <v/>
      </c>
      <c r="AA10" s="2" t="str">
        <f t="shared" si="15"/>
        <v>P</v>
      </c>
      <c r="AB10" s="14" t="str">
        <f t="shared" si="16"/>
        <v/>
      </c>
      <c r="AC10" s="9">
        <f t="shared" si="17"/>
        <v>11</v>
      </c>
      <c r="AD10" s="9">
        <f t="shared" si="18"/>
        <v>5</v>
      </c>
      <c r="AE10" s="9">
        <f t="shared" si="19"/>
        <v>1</v>
      </c>
    </row>
    <row r="11" spans="1:37" x14ac:dyDescent="0.2">
      <c r="A11" s="7" t="s">
        <v>13</v>
      </c>
      <c r="B11" s="6" t="s">
        <v>18</v>
      </c>
      <c r="C11" s="6" t="s">
        <v>201</v>
      </c>
      <c r="F11" s="3">
        <f t="shared" si="0"/>
        <v>8</v>
      </c>
      <c r="G11" s="6">
        <v>5</v>
      </c>
      <c r="H11" s="6">
        <v>13</v>
      </c>
      <c r="I11" s="6">
        <v>5</v>
      </c>
      <c r="J11" s="6">
        <v>8</v>
      </c>
      <c r="K11" s="6">
        <v>4</v>
      </c>
      <c r="L11" s="6"/>
      <c r="M11" s="9">
        <f t="shared" si="1"/>
        <v>4</v>
      </c>
      <c r="N11" s="9">
        <f t="shared" si="2"/>
        <v>11</v>
      </c>
      <c r="O11" s="9">
        <f t="shared" si="3"/>
        <v>4</v>
      </c>
      <c r="P11" s="9">
        <f t="shared" si="4"/>
        <v>7</v>
      </c>
      <c r="Q11" s="9">
        <f t="shared" si="5"/>
        <v>4</v>
      </c>
      <c r="R11" s="9" t="str">
        <f t="shared" si="6"/>
        <v/>
      </c>
      <c r="S11" s="9">
        <f t="shared" si="7"/>
        <v>44</v>
      </c>
      <c r="T11" s="9">
        <f t="shared" si="8"/>
        <v>20</v>
      </c>
      <c r="U11" s="9">
        <f t="shared" si="9"/>
        <v>44</v>
      </c>
      <c r="V11" s="9">
        <f t="shared" si="10"/>
        <v>28</v>
      </c>
      <c r="W11" s="9">
        <f t="shared" si="11"/>
        <v>44</v>
      </c>
      <c r="X11" s="9" t="str">
        <f t="shared" si="12"/>
        <v/>
      </c>
      <c r="Y11" s="14">
        <f t="shared" si="13"/>
        <v>160.09814996</v>
      </c>
      <c r="Z11" s="2" t="str">
        <f t="shared" si="14"/>
        <v>P</v>
      </c>
      <c r="AA11" s="2" t="str">
        <f t="shared" si="15"/>
        <v>P</v>
      </c>
      <c r="AB11" s="14">
        <f t="shared" si="16"/>
        <v>160.09814996</v>
      </c>
      <c r="AC11" s="9">
        <f t="shared" si="17"/>
        <v>19</v>
      </c>
      <c r="AD11" s="9">
        <f t="shared" si="18"/>
        <v>4</v>
      </c>
      <c r="AE11" s="9">
        <f t="shared" si="19"/>
        <v>4</v>
      </c>
    </row>
    <row r="12" spans="1:37" x14ac:dyDescent="0.2">
      <c r="A12" s="7" t="s">
        <v>23</v>
      </c>
      <c r="B12" s="6" t="s">
        <v>24</v>
      </c>
      <c r="C12" s="6" t="s">
        <v>202</v>
      </c>
      <c r="F12" s="3">
        <f t="shared" si="0"/>
        <v>9</v>
      </c>
      <c r="G12" s="6">
        <v>11</v>
      </c>
      <c r="H12" s="6">
        <v>5</v>
      </c>
      <c r="I12" s="6">
        <v>4</v>
      </c>
      <c r="J12" s="6">
        <v>7</v>
      </c>
      <c r="K12" s="6">
        <v>16</v>
      </c>
      <c r="L12" s="6"/>
      <c r="M12" s="9">
        <f t="shared" si="1"/>
        <v>9</v>
      </c>
      <c r="N12" s="9">
        <f t="shared" si="2"/>
        <v>4</v>
      </c>
      <c r="O12" s="9">
        <f t="shared" si="3"/>
        <v>3</v>
      </c>
      <c r="P12" s="9">
        <f t="shared" si="4"/>
        <v>6</v>
      </c>
      <c r="Q12" s="9">
        <f t="shared" si="5"/>
        <v>14</v>
      </c>
      <c r="R12" s="9" t="str">
        <f t="shared" si="6"/>
        <v/>
      </c>
      <c r="S12" s="9">
        <f t="shared" si="7"/>
        <v>22</v>
      </c>
      <c r="T12" s="9">
        <f t="shared" si="8"/>
        <v>44</v>
      </c>
      <c r="U12" s="9">
        <f t="shared" si="9"/>
        <v>50</v>
      </c>
      <c r="V12" s="9">
        <f t="shared" si="10"/>
        <v>32</v>
      </c>
      <c r="W12" s="9">
        <f t="shared" si="11"/>
        <v>17</v>
      </c>
      <c r="X12" s="9" t="str">
        <f t="shared" si="12"/>
        <v/>
      </c>
      <c r="Y12" s="14">
        <f t="shared" si="13"/>
        <v>148.09783997000002</v>
      </c>
      <c r="Z12" s="2" t="str">
        <f t="shared" si="14"/>
        <v>P</v>
      </c>
      <c r="AA12" s="2" t="str">
        <f t="shared" si="15"/>
        <v>P</v>
      </c>
      <c r="AB12" s="14">
        <f t="shared" si="16"/>
        <v>148.09783997000002</v>
      </c>
      <c r="AC12" s="9">
        <f t="shared" si="17"/>
        <v>22</v>
      </c>
      <c r="AD12" s="9">
        <f t="shared" si="18"/>
        <v>3</v>
      </c>
      <c r="AE12" s="9">
        <f t="shared" si="19"/>
        <v>3</v>
      </c>
    </row>
    <row r="13" spans="1:37" x14ac:dyDescent="0.2">
      <c r="A13" s="7" t="s">
        <v>21</v>
      </c>
      <c r="B13" s="6" t="s">
        <v>20</v>
      </c>
      <c r="C13" s="6" t="s">
        <v>202</v>
      </c>
      <c r="F13" s="3">
        <f t="shared" si="0"/>
        <v>10</v>
      </c>
      <c r="G13" s="6">
        <v>8</v>
      </c>
      <c r="H13" s="6">
        <v>8</v>
      </c>
      <c r="I13" s="6">
        <v>6</v>
      </c>
      <c r="J13" s="6">
        <v>5</v>
      </c>
      <c r="K13" s="6">
        <v>24</v>
      </c>
      <c r="L13" s="6"/>
      <c r="M13" s="9">
        <f t="shared" si="1"/>
        <v>7</v>
      </c>
      <c r="N13" s="9">
        <f t="shared" si="2"/>
        <v>6</v>
      </c>
      <c r="O13" s="9">
        <f t="shared" si="3"/>
        <v>5</v>
      </c>
      <c r="P13" s="9">
        <f t="shared" si="4"/>
        <v>4</v>
      </c>
      <c r="Q13" s="9">
        <f t="shared" si="5"/>
        <v>22</v>
      </c>
      <c r="R13" s="9" t="str">
        <f t="shared" si="6"/>
        <v/>
      </c>
      <c r="S13" s="9">
        <f t="shared" si="7"/>
        <v>28</v>
      </c>
      <c r="T13" s="9">
        <f t="shared" si="8"/>
        <v>32</v>
      </c>
      <c r="U13" s="9">
        <f t="shared" si="9"/>
        <v>38</v>
      </c>
      <c r="V13" s="9">
        <f t="shared" si="10"/>
        <v>44</v>
      </c>
      <c r="W13" s="9">
        <f t="shared" si="11"/>
        <v>9</v>
      </c>
      <c r="X13" s="9" t="str">
        <f t="shared" si="12"/>
        <v/>
      </c>
      <c r="Y13" s="14">
        <f t="shared" si="13"/>
        <v>142.09784996000002</v>
      </c>
      <c r="Z13" s="2" t="str">
        <f t="shared" si="14"/>
        <v>P</v>
      </c>
      <c r="AA13" s="2" t="str">
        <f t="shared" si="15"/>
        <v>P</v>
      </c>
      <c r="AB13" s="14">
        <f t="shared" si="16"/>
        <v>142.09784996000002</v>
      </c>
      <c r="AC13" s="9">
        <f t="shared" si="17"/>
        <v>22</v>
      </c>
      <c r="AD13" s="9">
        <f t="shared" si="18"/>
        <v>4</v>
      </c>
      <c r="AE13" s="9">
        <f t="shared" si="19"/>
        <v>4</v>
      </c>
    </row>
    <row r="14" spans="1:37" x14ac:dyDescent="0.2">
      <c r="A14" s="7" t="s">
        <v>14</v>
      </c>
      <c r="B14" s="6" t="s">
        <v>20</v>
      </c>
      <c r="C14" s="6" t="s">
        <v>202</v>
      </c>
      <c r="F14" s="3" t="str">
        <f t="shared" si="0"/>
        <v/>
      </c>
      <c r="G14" s="6">
        <v>6</v>
      </c>
      <c r="H14" s="6">
        <v>9</v>
      </c>
      <c r="I14" s="6">
        <v>11</v>
      </c>
      <c r="J14" s="6">
        <v>4</v>
      </c>
      <c r="K14" s="6">
        <v>36</v>
      </c>
      <c r="L14" s="6"/>
      <c r="M14" s="9">
        <f t="shared" si="1"/>
        <v>5</v>
      </c>
      <c r="N14" s="9">
        <f t="shared" si="2"/>
        <v>7</v>
      </c>
      <c r="O14" s="9">
        <f t="shared" si="3"/>
        <v>10</v>
      </c>
      <c r="P14" s="9">
        <f t="shared" si="4"/>
        <v>3</v>
      </c>
      <c r="Q14" s="9">
        <f t="shared" si="5"/>
        <v>34</v>
      </c>
      <c r="R14" s="9" t="str">
        <f t="shared" si="6"/>
        <v/>
      </c>
      <c r="S14" s="9">
        <f t="shared" si="7"/>
        <v>38</v>
      </c>
      <c r="T14" s="9">
        <f t="shared" si="8"/>
        <v>28</v>
      </c>
      <c r="U14" s="9">
        <f t="shared" si="9"/>
        <v>21</v>
      </c>
      <c r="V14" s="9">
        <f t="shared" si="10"/>
        <v>50</v>
      </c>
      <c r="W14" s="9" t="str">
        <f t="shared" si="11"/>
        <v/>
      </c>
      <c r="X14" s="9" t="str">
        <f t="shared" si="12"/>
        <v/>
      </c>
      <c r="Y14" s="14">
        <f t="shared" si="13"/>
        <v>137.09753997000001</v>
      </c>
      <c r="Z14" s="2" t="str">
        <f t="shared" si="14"/>
        <v/>
      </c>
      <c r="AA14" s="2" t="str">
        <f t="shared" si="15"/>
        <v>P</v>
      </c>
      <c r="AB14" s="14" t="str">
        <f t="shared" si="16"/>
        <v/>
      </c>
      <c r="AC14" s="9">
        <f t="shared" si="17"/>
        <v>25</v>
      </c>
      <c r="AD14" s="9">
        <f t="shared" si="18"/>
        <v>3</v>
      </c>
      <c r="AE14" s="9">
        <f t="shared" si="19"/>
        <v>3</v>
      </c>
    </row>
    <row r="15" spans="1:37" x14ac:dyDescent="0.2">
      <c r="A15" s="7" t="s">
        <v>138</v>
      </c>
      <c r="B15" s="6" t="s">
        <v>20</v>
      </c>
      <c r="C15" s="6" t="s">
        <v>202</v>
      </c>
      <c r="F15" s="3" t="str">
        <f t="shared" si="0"/>
        <v/>
      </c>
      <c r="G15" s="6"/>
      <c r="H15" s="6">
        <v>2</v>
      </c>
      <c r="I15" s="6">
        <v>1</v>
      </c>
      <c r="J15" s="6">
        <v>55</v>
      </c>
      <c r="K15" s="6"/>
      <c r="L15" s="6"/>
      <c r="M15" s="9" t="str">
        <f t="shared" si="1"/>
        <v/>
      </c>
      <c r="N15" s="9">
        <f t="shared" si="2"/>
        <v>2</v>
      </c>
      <c r="O15" s="9">
        <f t="shared" si="3"/>
        <v>1</v>
      </c>
      <c r="P15" s="9">
        <f t="shared" si="4"/>
        <v>50</v>
      </c>
      <c r="Q15" s="9" t="str">
        <f t="shared" si="5"/>
        <v/>
      </c>
      <c r="R15" s="9" t="str">
        <f t="shared" si="6"/>
        <v/>
      </c>
      <c r="S15" s="9" t="str">
        <f t="shared" si="7"/>
        <v/>
      </c>
      <c r="T15" s="9">
        <f t="shared" si="8"/>
        <v>55</v>
      </c>
      <c r="U15" s="9">
        <f t="shared" si="9"/>
        <v>60</v>
      </c>
      <c r="V15" s="9" t="str">
        <f t="shared" si="10"/>
        <v/>
      </c>
      <c r="W15" s="9" t="str">
        <f t="shared" si="11"/>
        <v/>
      </c>
      <c r="X15" s="9" t="str">
        <f t="shared" si="12"/>
        <v/>
      </c>
      <c r="Y15" s="14">
        <f t="shared" si="13"/>
        <v>115.09472999</v>
      </c>
      <c r="Z15" s="2" t="str">
        <f t="shared" si="14"/>
        <v/>
      </c>
      <c r="AA15" s="2" t="str">
        <f t="shared" si="15"/>
        <v>P</v>
      </c>
      <c r="AB15" s="14" t="str">
        <f t="shared" si="16"/>
        <v/>
      </c>
      <c r="AC15" s="9">
        <f t="shared" si="17"/>
        <v>53</v>
      </c>
      <c r="AD15" s="9">
        <f t="shared" si="18"/>
        <v>2</v>
      </c>
      <c r="AE15" s="9">
        <f t="shared" si="19"/>
        <v>1</v>
      </c>
    </row>
    <row r="16" spans="1:37" x14ac:dyDescent="0.2">
      <c r="A16" s="7" t="s">
        <v>11</v>
      </c>
      <c r="B16" s="6" t="s">
        <v>18</v>
      </c>
      <c r="C16" s="6" t="s">
        <v>201</v>
      </c>
      <c r="F16" s="3" t="str">
        <f t="shared" si="0"/>
        <v/>
      </c>
      <c r="G16" s="6">
        <v>3</v>
      </c>
      <c r="H16" s="6"/>
      <c r="I16" s="6">
        <v>16</v>
      </c>
      <c r="J16" s="6">
        <v>11</v>
      </c>
      <c r="K16" s="6">
        <v>12</v>
      </c>
      <c r="L16" s="6"/>
      <c r="M16" s="9">
        <f t="shared" si="1"/>
        <v>2</v>
      </c>
      <c r="N16" s="9" t="str">
        <f t="shared" si="2"/>
        <v/>
      </c>
      <c r="O16" s="9">
        <f t="shared" si="3"/>
        <v>14</v>
      </c>
      <c r="P16" s="9">
        <f t="shared" si="4"/>
        <v>10</v>
      </c>
      <c r="Q16" s="9">
        <f t="shared" si="5"/>
        <v>12</v>
      </c>
      <c r="R16" s="9" t="str">
        <f t="shared" si="6"/>
        <v/>
      </c>
      <c r="S16" s="9">
        <f t="shared" si="7"/>
        <v>55</v>
      </c>
      <c r="T16" s="9" t="str">
        <f t="shared" si="8"/>
        <v/>
      </c>
      <c r="U16" s="9">
        <f t="shared" si="9"/>
        <v>17</v>
      </c>
      <c r="V16" s="9">
        <f t="shared" si="10"/>
        <v>21</v>
      </c>
      <c r="W16" s="9">
        <f t="shared" si="11"/>
        <v>19</v>
      </c>
      <c r="X16" s="9" t="str">
        <f t="shared" si="12"/>
        <v/>
      </c>
      <c r="Y16" s="14">
        <f t="shared" si="13"/>
        <v>112.09621998</v>
      </c>
      <c r="Z16" s="2" t="str">
        <f t="shared" si="14"/>
        <v/>
      </c>
      <c r="AA16" s="2" t="str">
        <f t="shared" si="15"/>
        <v>P</v>
      </c>
      <c r="AB16" s="14" t="str">
        <f t="shared" si="16"/>
        <v/>
      </c>
      <c r="AC16" s="9">
        <f t="shared" si="17"/>
        <v>38</v>
      </c>
      <c r="AD16" s="9">
        <f t="shared" si="18"/>
        <v>1</v>
      </c>
      <c r="AE16" s="9">
        <f t="shared" si="19"/>
        <v>2</v>
      </c>
    </row>
    <row r="17" spans="1:31" x14ac:dyDescent="0.2">
      <c r="A17" s="7" t="s">
        <v>74</v>
      </c>
      <c r="B17" s="6" t="s">
        <v>16</v>
      </c>
      <c r="C17" s="6" t="s">
        <v>201</v>
      </c>
      <c r="F17" s="3" t="str">
        <f t="shared" si="0"/>
        <v/>
      </c>
      <c r="G17" s="6">
        <v>7</v>
      </c>
      <c r="H17" s="6">
        <v>3</v>
      </c>
      <c r="I17" s="6"/>
      <c r="J17" s="6"/>
      <c r="K17" s="6">
        <v>10</v>
      </c>
      <c r="L17" s="6"/>
      <c r="M17" s="9">
        <f t="shared" si="1"/>
        <v>6</v>
      </c>
      <c r="N17" s="9">
        <f t="shared" si="2"/>
        <v>3</v>
      </c>
      <c r="O17" s="9" t="str">
        <f t="shared" si="3"/>
        <v/>
      </c>
      <c r="P17" s="9" t="str">
        <f t="shared" si="4"/>
        <v/>
      </c>
      <c r="Q17" s="9">
        <f t="shared" si="5"/>
        <v>10</v>
      </c>
      <c r="R17" s="9" t="str">
        <f t="shared" si="6"/>
        <v/>
      </c>
      <c r="S17" s="9">
        <f t="shared" si="7"/>
        <v>32</v>
      </c>
      <c r="T17" s="9">
        <f t="shared" si="8"/>
        <v>50</v>
      </c>
      <c r="U17" s="9" t="str">
        <f t="shared" si="9"/>
        <v/>
      </c>
      <c r="V17" s="9" t="str">
        <f t="shared" si="10"/>
        <v/>
      </c>
      <c r="W17" s="9">
        <f t="shared" si="11"/>
        <v>21</v>
      </c>
      <c r="X17" s="9" t="str">
        <f t="shared" si="12"/>
        <v/>
      </c>
      <c r="Y17" s="14">
        <f t="shared" si="13"/>
        <v>103.09812997</v>
      </c>
      <c r="Z17" s="2" t="str">
        <f t="shared" si="14"/>
        <v/>
      </c>
      <c r="AA17" s="2" t="str">
        <f t="shared" si="15"/>
        <v>P</v>
      </c>
      <c r="AB17" s="14" t="str">
        <f t="shared" si="16"/>
        <v/>
      </c>
      <c r="AC17" s="9">
        <f t="shared" si="17"/>
        <v>19</v>
      </c>
      <c r="AD17" s="9">
        <f t="shared" si="18"/>
        <v>2</v>
      </c>
      <c r="AE17" s="9">
        <f t="shared" si="19"/>
        <v>3</v>
      </c>
    </row>
    <row r="18" spans="1:31" x14ac:dyDescent="0.2">
      <c r="A18" s="7" t="s">
        <v>26</v>
      </c>
      <c r="B18" s="6" t="s">
        <v>18</v>
      </c>
      <c r="C18" s="6" t="s">
        <v>201</v>
      </c>
      <c r="F18" s="3" t="str">
        <f t="shared" si="0"/>
        <v/>
      </c>
      <c r="G18" s="6">
        <v>13</v>
      </c>
      <c r="H18" s="6">
        <v>7</v>
      </c>
      <c r="I18" s="6">
        <v>20</v>
      </c>
      <c r="J18" s="6">
        <v>10</v>
      </c>
      <c r="K18" s="6">
        <v>11</v>
      </c>
      <c r="L18" s="6"/>
      <c r="M18" s="9">
        <f t="shared" si="1"/>
        <v>11</v>
      </c>
      <c r="N18" s="9">
        <f t="shared" si="2"/>
        <v>5</v>
      </c>
      <c r="O18" s="9">
        <f t="shared" si="3"/>
        <v>17</v>
      </c>
      <c r="P18" s="9">
        <f t="shared" si="4"/>
        <v>9</v>
      </c>
      <c r="Q18" s="9">
        <f t="shared" si="5"/>
        <v>11</v>
      </c>
      <c r="R18" s="9" t="str">
        <f t="shared" si="6"/>
        <v/>
      </c>
      <c r="S18" s="9">
        <f t="shared" si="7"/>
        <v>20</v>
      </c>
      <c r="T18" s="9">
        <f t="shared" si="8"/>
        <v>38</v>
      </c>
      <c r="U18" s="9">
        <f t="shared" si="9"/>
        <v>14</v>
      </c>
      <c r="V18" s="9">
        <f t="shared" si="10"/>
        <v>22</v>
      </c>
      <c r="W18" s="9">
        <f t="shared" si="11"/>
        <v>20</v>
      </c>
      <c r="X18" s="9" t="str">
        <f t="shared" si="12"/>
        <v/>
      </c>
      <c r="Y18" s="14">
        <f t="shared" si="13"/>
        <v>100.09641995000001</v>
      </c>
      <c r="Z18" s="2" t="str">
        <f t="shared" si="14"/>
        <v/>
      </c>
      <c r="AA18" s="2" t="str">
        <f t="shared" si="15"/>
        <v>P</v>
      </c>
      <c r="AB18" s="14" t="str">
        <f t="shared" si="16"/>
        <v/>
      </c>
      <c r="AC18" s="9">
        <f t="shared" si="17"/>
        <v>36</v>
      </c>
      <c r="AD18" s="9">
        <f t="shared" si="18"/>
        <v>1</v>
      </c>
      <c r="AE18" s="9">
        <f t="shared" si="19"/>
        <v>5</v>
      </c>
    </row>
    <row r="19" spans="1:31" x14ac:dyDescent="0.2">
      <c r="A19" s="7" t="s">
        <v>32</v>
      </c>
      <c r="B19" s="6" t="s">
        <v>24</v>
      </c>
      <c r="C19" s="6" t="s">
        <v>202</v>
      </c>
      <c r="F19" s="3" t="str">
        <f t="shared" si="0"/>
        <v/>
      </c>
      <c r="G19" s="6">
        <v>19</v>
      </c>
      <c r="H19" s="6">
        <v>22</v>
      </c>
      <c r="I19" s="6">
        <v>13</v>
      </c>
      <c r="J19" s="6">
        <v>63</v>
      </c>
      <c r="K19" s="6">
        <v>5</v>
      </c>
      <c r="L19" s="6"/>
      <c r="M19" s="9">
        <f t="shared" si="1"/>
        <v>17</v>
      </c>
      <c r="N19" s="9">
        <f t="shared" si="2"/>
        <v>20</v>
      </c>
      <c r="O19" s="9">
        <f t="shared" si="3"/>
        <v>11</v>
      </c>
      <c r="P19" s="9">
        <f t="shared" si="4"/>
        <v>58</v>
      </c>
      <c r="Q19" s="9">
        <f t="shared" si="5"/>
        <v>5</v>
      </c>
      <c r="R19" s="9" t="str">
        <f t="shared" si="6"/>
        <v/>
      </c>
      <c r="S19" s="9">
        <f t="shared" si="7"/>
        <v>14</v>
      </c>
      <c r="T19" s="9">
        <f t="shared" si="8"/>
        <v>11</v>
      </c>
      <c r="U19" s="9">
        <f t="shared" si="9"/>
        <v>20</v>
      </c>
      <c r="V19" s="9" t="str">
        <f t="shared" si="10"/>
        <v/>
      </c>
      <c r="W19" s="9">
        <f t="shared" si="11"/>
        <v>38</v>
      </c>
      <c r="X19" s="9" t="str">
        <f t="shared" si="12"/>
        <v/>
      </c>
      <c r="Y19" s="14">
        <f t="shared" si="13"/>
        <v>83.094719950000012</v>
      </c>
      <c r="Z19" s="2" t="str">
        <f t="shared" si="14"/>
        <v/>
      </c>
      <c r="AA19" s="2" t="str">
        <f t="shared" si="15"/>
        <v>P</v>
      </c>
      <c r="AB19" s="14" t="str">
        <f t="shared" si="16"/>
        <v/>
      </c>
      <c r="AC19" s="9">
        <f t="shared" si="17"/>
        <v>53</v>
      </c>
      <c r="AD19" s="9">
        <f t="shared" si="18"/>
        <v>1</v>
      </c>
      <c r="AE19" s="9">
        <f t="shared" si="19"/>
        <v>5</v>
      </c>
    </row>
    <row r="20" spans="1:31" x14ac:dyDescent="0.2">
      <c r="A20" s="7" t="s">
        <v>29</v>
      </c>
      <c r="B20" s="6" t="s">
        <v>17</v>
      </c>
      <c r="C20" s="6" t="s">
        <v>203</v>
      </c>
      <c r="F20" s="3" t="str">
        <f t="shared" si="0"/>
        <v/>
      </c>
      <c r="G20" s="6">
        <v>16</v>
      </c>
      <c r="H20" s="6">
        <v>28</v>
      </c>
      <c r="I20" s="6">
        <v>23</v>
      </c>
      <c r="J20" s="6">
        <v>51</v>
      </c>
      <c r="K20" s="6">
        <v>3</v>
      </c>
      <c r="L20" s="6"/>
      <c r="M20" s="9">
        <f t="shared" si="1"/>
        <v>14</v>
      </c>
      <c r="N20" s="9">
        <f t="shared" si="2"/>
        <v>26</v>
      </c>
      <c r="O20" s="9">
        <f t="shared" si="3"/>
        <v>20</v>
      </c>
      <c r="P20" s="9">
        <f t="shared" si="4"/>
        <v>46</v>
      </c>
      <c r="Q20" s="9">
        <f t="shared" si="5"/>
        <v>3</v>
      </c>
      <c r="R20" s="9" t="str">
        <f t="shared" si="6"/>
        <v/>
      </c>
      <c r="S20" s="9">
        <f t="shared" si="7"/>
        <v>17</v>
      </c>
      <c r="T20" s="9">
        <f t="shared" si="8"/>
        <v>5</v>
      </c>
      <c r="U20" s="9">
        <f t="shared" si="9"/>
        <v>11</v>
      </c>
      <c r="V20" s="9" t="str">
        <f t="shared" si="10"/>
        <v/>
      </c>
      <c r="W20" s="9">
        <f t="shared" si="11"/>
        <v>50</v>
      </c>
      <c r="X20" s="9" t="str">
        <f t="shared" si="12"/>
        <v/>
      </c>
      <c r="Y20" s="14">
        <f t="shared" si="13"/>
        <v>83.093719969999995</v>
      </c>
      <c r="Z20" s="2" t="str">
        <f t="shared" si="14"/>
        <v>P</v>
      </c>
      <c r="AA20" s="2" t="str">
        <f t="shared" si="15"/>
        <v>P</v>
      </c>
      <c r="AB20" s="14" t="str">
        <f t="shared" si="16"/>
        <v/>
      </c>
      <c r="AC20" s="9">
        <f t="shared" si="17"/>
        <v>63</v>
      </c>
      <c r="AD20" s="9">
        <f t="shared" si="18"/>
        <v>1</v>
      </c>
      <c r="AE20" s="9">
        <f t="shared" si="19"/>
        <v>3</v>
      </c>
    </row>
    <row r="21" spans="1:31" x14ac:dyDescent="0.2">
      <c r="A21" s="7" t="s">
        <v>31</v>
      </c>
      <c r="B21" s="6" t="s">
        <v>56</v>
      </c>
      <c r="C21" s="6" t="s">
        <v>203</v>
      </c>
      <c r="F21" s="3">
        <f t="shared" si="0"/>
        <v>11</v>
      </c>
      <c r="G21" s="6">
        <v>18</v>
      </c>
      <c r="H21" s="6">
        <v>12</v>
      </c>
      <c r="I21" s="6">
        <v>7</v>
      </c>
      <c r="J21" s="6">
        <v>22</v>
      </c>
      <c r="K21" s="6">
        <v>21</v>
      </c>
      <c r="L21" s="6"/>
      <c r="M21" s="9">
        <f t="shared" si="1"/>
        <v>16</v>
      </c>
      <c r="N21" s="9">
        <f t="shared" si="2"/>
        <v>10</v>
      </c>
      <c r="O21" s="9">
        <f t="shared" si="3"/>
        <v>6</v>
      </c>
      <c r="P21" s="9">
        <f t="shared" si="4"/>
        <v>19</v>
      </c>
      <c r="Q21" s="9">
        <f t="shared" si="5"/>
        <v>19</v>
      </c>
      <c r="R21" s="9" t="str">
        <f t="shared" si="6"/>
        <v/>
      </c>
      <c r="S21" s="9">
        <f t="shared" si="7"/>
        <v>15</v>
      </c>
      <c r="T21" s="9">
        <f t="shared" si="8"/>
        <v>21</v>
      </c>
      <c r="U21" s="9">
        <f t="shared" si="9"/>
        <v>32</v>
      </c>
      <c r="V21" s="9">
        <f t="shared" si="10"/>
        <v>12</v>
      </c>
      <c r="W21" s="9">
        <f t="shared" si="11"/>
        <v>12</v>
      </c>
      <c r="X21" s="9" t="str">
        <f t="shared" si="12"/>
        <v/>
      </c>
      <c r="Y21" s="14">
        <f t="shared" si="13"/>
        <v>80.094919939999997</v>
      </c>
      <c r="Z21" s="2" t="str">
        <f t="shared" si="14"/>
        <v>P</v>
      </c>
      <c r="AA21" s="2" t="str">
        <f t="shared" si="15"/>
        <v/>
      </c>
      <c r="AB21" s="14">
        <f t="shared" si="16"/>
        <v>80.094919939999997</v>
      </c>
      <c r="AC21" s="9">
        <f t="shared" si="17"/>
        <v>51</v>
      </c>
      <c r="AD21" s="9">
        <f t="shared" si="18"/>
        <v>1</v>
      </c>
      <c r="AE21" s="9">
        <f t="shared" si="19"/>
        <v>6</v>
      </c>
    </row>
    <row r="22" spans="1:31" x14ac:dyDescent="0.2">
      <c r="A22" s="7" t="s">
        <v>155</v>
      </c>
      <c r="B22" s="6" t="s">
        <v>16</v>
      </c>
      <c r="C22" s="6" t="s">
        <v>201</v>
      </c>
      <c r="F22" s="3" t="str">
        <f t="shared" si="0"/>
        <v/>
      </c>
      <c r="G22" s="6"/>
      <c r="H22" s="6"/>
      <c r="I22" s="6">
        <v>9</v>
      </c>
      <c r="J22" s="6">
        <v>9</v>
      </c>
      <c r="K22" s="6">
        <v>9</v>
      </c>
      <c r="L22" s="6"/>
      <c r="M22" s="9" t="str">
        <f t="shared" si="1"/>
        <v/>
      </c>
      <c r="N22" s="9" t="str">
        <f t="shared" si="2"/>
        <v/>
      </c>
      <c r="O22" s="9">
        <f t="shared" si="3"/>
        <v>8</v>
      </c>
      <c r="P22" s="9">
        <f t="shared" si="4"/>
        <v>8</v>
      </c>
      <c r="Q22" s="9">
        <f t="shared" si="5"/>
        <v>9</v>
      </c>
      <c r="R22" s="9" t="str">
        <f t="shared" si="6"/>
        <v/>
      </c>
      <c r="S22" s="9" t="str">
        <f t="shared" si="7"/>
        <v/>
      </c>
      <c r="T22" s="9" t="str">
        <f t="shared" si="8"/>
        <v/>
      </c>
      <c r="U22" s="9">
        <f t="shared" si="9"/>
        <v>25</v>
      </c>
      <c r="V22" s="9">
        <f t="shared" si="10"/>
        <v>25</v>
      </c>
      <c r="W22" s="9">
        <f t="shared" si="11"/>
        <v>22</v>
      </c>
      <c r="X22" s="9" t="str">
        <f t="shared" si="12"/>
        <v/>
      </c>
      <c r="Y22" s="14">
        <f t="shared" si="13"/>
        <v>72.097529919999999</v>
      </c>
      <c r="Z22" s="2" t="str">
        <f t="shared" si="14"/>
        <v/>
      </c>
      <c r="AA22" s="2" t="str">
        <f t="shared" si="15"/>
        <v>P</v>
      </c>
      <c r="AB22" s="14" t="str">
        <f t="shared" si="16"/>
        <v/>
      </c>
      <c r="AC22" s="9">
        <f t="shared" si="17"/>
        <v>25</v>
      </c>
      <c r="AD22" s="9">
        <f t="shared" si="18"/>
        <v>2</v>
      </c>
      <c r="AE22" s="9">
        <f t="shared" si="19"/>
        <v>8</v>
      </c>
    </row>
    <row r="23" spans="1:31" x14ac:dyDescent="0.2">
      <c r="A23" s="7" t="s">
        <v>12</v>
      </c>
      <c r="B23" s="6" t="s">
        <v>19</v>
      </c>
      <c r="C23" s="6" t="s">
        <v>202</v>
      </c>
      <c r="F23" s="3">
        <f t="shared" si="0"/>
        <v>12</v>
      </c>
      <c r="G23" s="6">
        <v>4</v>
      </c>
      <c r="H23" s="6">
        <v>11</v>
      </c>
      <c r="I23" s="6"/>
      <c r="J23" s="6"/>
      <c r="K23" s="6">
        <v>50</v>
      </c>
      <c r="L23" s="6"/>
      <c r="M23" s="9">
        <f t="shared" si="1"/>
        <v>3</v>
      </c>
      <c r="N23" s="9">
        <f t="shared" si="2"/>
        <v>9</v>
      </c>
      <c r="O23" s="9" t="str">
        <f t="shared" si="3"/>
        <v/>
      </c>
      <c r="P23" s="9" t="str">
        <f t="shared" si="4"/>
        <v/>
      </c>
      <c r="Q23" s="9">
        <f t="shared" si="5"/>
        <v>46</v>
      </c>
      <c r="R23" s="9" t="str">
        <f t="shared" si="6"/>
        <v/>
      </c>
      <c r="S23" s="9">
        <f t="shared" si="7"/>
        <v>50</v>
      </c>
      <c r="T23" s="9">
        <f t="shared" si="8"/>
        <v>22</v>
      </c>
      <c r="U23" s="9" t="str">
        <f t="shared" si="9"/>
        <v/>
      </c>
      <c r="V23" s="9" t="str">
        <f t="shared" si="10"/>
        <v/>
      </c>
      <c r="W23" s="9" t="str">
        <f t="shared" si="11"/>
        <v/>
      </c>
      <c r="X23" s="9" t="str">
        <f t="shared" si="12"/>
        <v/>
      </c>
      <c r="Y23" s="14">
        <f t="shared" si="13"/>
        <v>72.094219969999997</v>
      </c>
      <c r="Z23" s="2" t="str">
        <f t="shared" si="14"/>
        <v>P</v>
      </c>
      <c r="AA23" s="2" t="str">
        <f t="shared" si="15"/>
        <v/>
      </c>
      <c r="AB23" s="14">
        <f t="shared" si="16"/>
        <v>72.094219969999997</v>
      </c>
      <c r="AC23" s="9">
        <f t="shared" si="17"/>
        <v>58</v>
      </c>
      <c r="AD23" s="9">
        <f t="shared" si="18"/>
        <v>1</v>
      </c>
      <c r="AE23" s="9">
        <f t="shared" si="19"/>
        <v>3</v>
      </c>
    </row>
    <row r="24" spans="1:31" x14ac:dyDescent="0.2">
      <c r="A24" s="7" t="s">
        <v>45</v>
      </c>
      <c r="B24" s="6" t="s">
        <v>17</v>
      </c>
      <c r="C24" s="6" t="s">
        <v>203</v>
      </c>
      <c r="F24" s="3" t="str">
        <f t="shared" si="0"/>
        <v/>
      </c>
      <c r="G24" s="6">
        <v>33</v>
      </c>
      <c r="H24" s="6">
        <v>21</v>
      </c>
      <c r="I24" s="6">
        <v>44</v>
      </c>
      <c r="J24" s="6">
        <v>6</v>
      </c>
      <c r="K24" s="6">
        <v>18</v>
      </c>
      <c r="L24" s="6"/>
      <c r="M24" s="9">
        <f t="shared" si="1"/>
        <v>30</v>
      </c>
      <c r="N24" s="9">
        <f t="shared" si="2"/>
        <v>19</v>
      </c>
      <c r="O24" s="9">
        <f t="shared" si="3"/>
        <v>39</v>
      </c>
      <c r="P24" s="9">
        <f t="shared" si="4"/>
        <v>5</v>
      </c>
      <c r="Q24" s="9">
        <f t="shared" si="5"/>
        <v>16</v>
      </c>
      <c r="R24" s="9" t="str">
        <f t="shared" si="6"/>
        <v/>
      </c>
      <c r="S24" s="9">
        <f t="shared" si="7"/>
        <v>1</v>
      </c>
      <c r="T24" s="9">
        <f t="shared" si="8"/>
        <v>12</v>
      </c>
      <c r="U24" s="9" t="str">
        <f t="shared" si="9"/>
        <v/>
      </c>
      <c r="V24" s="9">
        <f t="shared" si="10"/>
        <v>38</v>
      </c>
      <c r="W24" s="9">
        <f t="shared" si="11"/>
        <v>15</v>
      </c>
      <c r="X24" s="9" t="str">
        <f t="shared" si="12"/>
        <v/>
      </c>
      <c r="Y24" s="14">
        <f t="shared" si="13"/>
        <v>66.093019950000013</v>
      </c>
      <c r="Z24" s="2" t="str">
        <f t="shared" si="14"/>
        <v/>
      </c>
      <c r="AA24" s="2" t="str">
        <f t="shared" si="15"/>
        <v>P</v>
      </c>
      <c r="AB24" s="14" t="str">
        <f t="shared" si="16"/>
        <v/>
      </c>
      <c r="AC24" s="9">
        <f t="shared" si="17"/>
        <v>70</v>
      </c>
      <c r="AD24" s="9">
        <f t="shared" si="18"/>
        <v>1</v>
      </c>
      <c r="AE24" s="9">
        <f t="shared" si="19"/>
        <v>5</v>
      </c>
    </row>
    <row r="25" spans="1:31" x14ac:dyDescent="0.2">
      <c r="A25" s="7" t="s">
        <v>37</v>
      </c>
      <c r="B25" s="6" t="s">
        <v>53</v>
      </c>
      <c r="C25" s="6" t="s">
        <v>204</v>
      </c>
      <c r="F25" s="3">
        <f t="shared" si="0"/>
        <v>13</v>
      </c>
      <c r="G25" s="6">
        <v>24</v>
      </c>
      <c r="H25" s="6">
        <v>34</v>
      </c>
      <c r="I25" s="6">
        <v>10</v>
      </c>
      <c r="J25" s="6">
        <v>19</v>
      </c>
      <c r="K25" s="6">
        <v>15</v>
      </c>
      <c r="L25" s="6"/>
      <c r="M25" s="9">
        <f t="shared" si="1"/>
        <v>21</v>
      </c>
      <c r="N25" s="9">
        <f t="shared" si="2"/>
        <v>32</v>
      </c>
      <c r="O25" s="9">
        <f t="shared" si="3"/>
        <v>9</v>
      </c>
      <c r="P25" s="9">
        <f t="shared" si="4"/>
        <v>16</v>
      </c>
      <c r="Q25" s="9">
        <f t="shared" si="5"/>
        <v>13</v>
      </c>
      <c r="R25" s="9" t="str">
        <f t="shared" si="6"/>
        <v/>
      </c>
      <c r="S25" s="9">
        <f t="shared" si="7"/>
        <v>10</v>
      </c>
      <c r="T25" s="9" t="str">
        <f t="shared" si="8"/>
        <v/>
      </c>
      <c r="U25" s="9">
        <f t="shared" si="9"/>
        <v>22</v>
      </c>
      <c r="V25" s="9">
        <f t="shared" si="10"/>
        <v>15</v>
      </c>
      <c r="W25" s="9">
        <f t="shared" si="11"/>
        <v>18</v>
      </c>
      <c r="X25" s="9" t="str">
        <f t="shared" si="12"/>
        <v/>
      </c>
      <c r="Y25" s="14">
        <f t="shared" si="13"/>
        <v>65.09410991</v>
      </c>
      <c r="Z25" s="2" t="str">
        <f t="shared" si="14"/>
        <v>P</v>
      </c>
      <c r="AA25" s="2" t="str">
        <f t="shared" si="15"/>
        <v/>
      </c>
      <c r="AB25" s="14">
        <f t="shared" si="16"/>
        <v>65.09410991</v>
      </c>
      <c r="AC25" s="9">
        <f t="shared" si="17"/>
        <v>59</v>
      </c>
      <c r="AD25" s="9">
        <f t="shared" si="18"/>
        <v>0</v>
      </c>
      <c r="AE25" s="9">
        <f t="shared" si="19"/>
        <v>9</v>
      </c>
    </row>
    <row r="26" spans="1:31" x14ac:dyDescent="0.2">
      <c r="A26" s="7" t="s">
        <v>27</v>
      </c>
      <c r="B26" s="6" t="s">
        <v>54</v>
      </c>
      <c r="C26" s="6" t="s">
        <v>203</v>
      </c>
      <c r="F26" s="3">
        <f t="shared" si="0"/>
        <v>14</v>
      </c>
      <c r="G26" s="6">
        <v>14</v>
      </c>
      <c r="H26" s="6">
        <v>31</v>
      </c>
      <c r="I26" s="6">
        <v>26</v>
      </c>
      <c r="J26" s="6">
        <v>16</v>
      </c>
      <c r="K26" s="6">
        <v>17</v>
      </c>
      <c r="L26" s="6"/>
      <c r="M26" s="9">
        <f t="shared" si="1"/>
        <v>12</v>
      </c>
      <c r="N26" s="9">
        <f t="shared" si="2"/>
        <v>29</v>
      </c>
      <c r="O26" s="9">
        <f t="shared" si="3"/>
        <v>22</v>
      </c>
      <c r="P26" s="9">
        <f t="shared" si="4"/>
        <v>14</v>
      </c>
      <c r="Q26" s="9">
        <f t="shared" si="5"/>
        <v>15</v>
      </c>
      <c r="R26" s="9" t="str">
        <f t="shared" si="6"/>
        <v/>
      </c>
      <c r="S26" s="9">
        <f t="shared" si="7"/>
        <v>19</v>
      </c>
      <c r="T26" s="9">
        <f t="shared" si="8"/>
        <v>2</v>
      </c>
      <c r="U26" s="9">
        <f t="shared" si="9"/>
        <v>9</v>
      </c>
      <c r="V26" s="9">
        <f t="shared" si="10"/>
        <v>17</v>
      </c>
      <c r="W26" s="9">
        <f t="shared" si="11"/>
        <v>16</v>
      </c>
      <c r="X26" s="9" t="str">
        <f t="shared" si="12"/>
        <v/>
      </c>
      <c r="Y26" s="14">
        <f t="shared" si="13"/>
        <v>61.093709879999999</v>
      </c>
      <c r="Z26" s="2" t="str">
        <f t="shared" si="14"/>
        <v>P</v>
      </c>
      <c r="AA26" s="2" t="str">
        <f t="shared" si="15"/>
        <v/>
      </c>
      <c r="AB26" s="14">
        <f t="shared" si="16"/>
        <v>61.093709879999999</v>
      </c>
      <c r="AC26" s="9">
        <f t="shared" si="17"/>
        <v>63</v>
      </c>
      <c r="AD26" s="9">
        <f t="shared" si="18"/>
        <v>0</v>
      </c>
      <c r="AE26" s="9">
        <f t="shared" si="19"/>
        <v>12</v>
      </c>
    </row>
    <row r="27" spans="1:31" x14ac:dyDescent="0.2">
      <c r="A27" s="7" t="s">
        <v>158</v>
      </c>
      <c r="B27" s="6" t="s">
        <v>59</v>
      </c>
      <c r="C27" s="6" t="s">
        <v>204</v>
      </c>
      <c r="F27" s="3">
        <f t="shared" si="0"/>
        <v>15</v>
      </c>
      <c r="G27" s="6">
        <v>32</v>
      </c>
      <c r="H27" s="6">
        <v>19</v>
      </c>
      <c r="I27" s="6">
        <v>27</v>
      </c>
      <c r="J27" s="6">
        <v>23</v>
      </c>
      <c r="K27" s="6">
        <v>8</v>
      </c>
      <c r="L27" s="6"/>
      <c r="M27" s="9">
        <f t="shared" si="1"/>
        <v>29</v>
      </c>
      <c r="N27" s="9">
        <f t="shared" si="2"/>
        <v>17</v>
      </c>
      <c r="O27" s="9">
        <f t="shared" si="3"/>
        <v>23</v>
      </c>
      <c r="P27" s="9">
        <f t="shared" si="4"/>
        <v>20</v>
      </c>
      <c r="Q27" s="9">
        <f t="shared" si="5"/>
        <v>8</v>
      </c>
      <c r="R27" s="9" t="str">
        <f t="shared" si="6"/>
        <v/>
      </c>
      <c r="S27" s="9">
        <f t="shared" si="7"/>
        <v>2</v>
      </c>
      <c r="T27" s="9">
        <f t="shared" si="8"/>
        <v>14</v>
      </c>
      <c r="U27" s="9">
        <f t="shared" si="9"/>
        <v>8</v>
      </c>
      <c r="V27" s="9">
        <f t="shared" si="10"/>
        <v>11</v>
      </c>
      <c r="W27" s="9">
        <f t="shared" si="11"/>
        <v>25</v>
      </c>
      <c r="X27" s="9" t="str">
        <f t="shared" si="12"/>
        <v/>
      </c>
      <c r="Y27" s="14">
        <f t="shared" si="13"/>
        <v>58.093219920000003</v>
      </c>
      <c r="Z27" s="2" t="str">
        <f t="shared" si="14"/>
        <v>P</v>
      </c>
      <c r="AA27" s="2" t="str">
        <f t="shared" si="15"/>
        <v/>
      </c>
      <c r="AB27" s="14">
        <f t="shared" si="16"/>
        <v>58.093219920000003</v>
      </c>
      <c r="AC27" s="9">
        <f t="shared" si="17"/>
        <v>68</v>
      </c>
      <c r="AD27" s="9">
        <f t="shared" si="18"/>
        <v>1</v>
      </c>
      <c r="AE27" s="9">
        <f t="shared" si="19"/>
        <v>8</v>
      </c>
    </row>
    <row r="28" spans="1:31" x14ac:dyDescent="0.2">
      <c r="A28" s="7" t="s">
        <v>28</v>
      </c>
      <c r="B28" s="6" t="s">
        <v>55</v>
      </c>
      <c r="C28" s="6" t="s">
        <v>203</v>
      </c>
      <c r="F28" s="3">
        <f t="shared" si="0"/>
        <v>16</v>
      </c>
      <c r="G28" s="6">
        <v>15</v>
      </c>
      <c r="H28" s="6">
        <v>17</v>
      </c>
      <c r="I28" s="6">
        <v>14</v>
      </c>
      <c r="J28" s="6">
        <v>64</v>
      </c>
      <c r="K28" s="6">
        <v>29</v>
      </c>
      <c r="L28" s="6"/>
      <c r="M28" s="9">
        <f t="shared" si="1"/>
        <v>13</v>
      </c>
      <c r="N28" s="9">
        <f t="shared" si="2"/>
        <v>15</v>
      </c>
      <c r="O28" s="9">
        <f t="shared" si="3"/>
        <v>12</v>
      </c>
      <c r="P28" s="9">
        <f t="shared" si="4"/>
        <v>59</v>
      </c>
      <c r="Q28" s="9">
        <f t="shared" si="5"/>
        <v>27</v>
      </c>
      <c r="R28" s="9" t="str">
        <f t="shared" si="6"/>
        <v/>
      </c>
      <c r="S28" s="9">
        <f t="shared" si="7"/>
        <v>18</v>
      </c>
      <c r="T28" s="9">
        <f t="shared" si="8"/>
        <v>16</v>
      </c>
      <c r="U28" s="9">
        <f t="shared" si="9"/>
        <v>19</v>
      </c>
      <c r="V28" s="9" t="str">
        <f t="shared" si="10"/>
        <v/>
      </c>
      <c r="W28" s="9">
        <f t="shared" si="11"/>
        <v>4</v>
      </c>
      <c r="X28" s="9" t="str">
        <f t="shared" si="12"/>
        <v/>
      </c>
      <c r="Y28" s="14">
        <f t="shared" si="13"/>
        <v>57.09330988</v>
      </c>
      <c r="Z28" s="2" t="str">
        <f t="shared" si="14"/>
        <v>P</v>
      </c>
      <c r="AA28" s="2" t="str">
        <f t="shared" si="15"/>
        <v/>
      </c>
      <c r="AB28" s="14">
        <f t="shared" si="16"/>
        <v>57.09330988</v>
      </c>
      <c r="AC28" s="9">
        <f t="shared" si="17"/>
        <v>67</v>
      </c>
      <c r="AD28" s="9">
        <f t="shared" si="18"/>
        <v>0</v>
      </c>
      <c r="AE28" s="9">
        <f t="shared" si="19"/>
        <v>12</v>
      </c>
    </row>
    <row r="29" spans="1:31" x14ac:dyDescent="0.2">
      <c r="A29" s="7" t="s">
        <v>25</v>
      </c>
      <c r="B29" s="6" t="s">
        <v>53</v>
      </c>
      <c r="C29" s="6" t="s">
        <v>204</v>
      </c>
      <c r="F29" s="3" t="str">
        <f t="shared" si="0"/>
        <v/>
      </c>
      <c r="G29" s="6">
        <v>12</v>
      </c>
      <c r="H29" s="6">
        <v>50</v>
      </c>
      <c r="I29" s="6">
        <v>15</v>
      </c>
      <c r="J29" s="6">
        <v>20</v>
      </c>
      <c r="K29" s="6"/>
      <c r="L29" s="6"/>
      <c r="M29" s="9">
        <f t="shared" si="1"/>
        <v>10</v>
      </c>
      <c r="N29" s="9">
        <f t="shared" si="2"/>
        <v>48</v>
      </c>
      <c r="O29" s="9">
        <f t="shared" si="3"/>
        <v>13</v>
      </c>
      <c r="P29" s="9">
        <f t="shared" si="4"/>
        <v>17</v>
      </c>
      <c r="Q29" s="9" t="str">
        <f t="shared" si="5"/>
        <v/>
      </c>
      <c r="R29" s="9" t="str">
        <f t="shared" si="6"/>
        <v/>
      </c>
      <c r="S29" s="9">
        <f t="shared" si="7"/>
        <v>21</v>
      </c>
      <c r="T29" s="9" t="str">
        <f t="shared" si="8"/>
        <v/>
      </c>
      <c r="U29" s="9">
        <f t="shared" si="9"/>
        <v>18</v>
      </c>
      <c r="V29" s="9">
        <f t="shared" si="10"/>
        <v>14</v>
      </c>
      <c r="W29" s="9" t="str">
        <f t="shared" si="11"/>
        <v/>
      </c>
      <c r="X29" s="9" t="str">
        <f t="shared" si="12"/>
        <v/>
      </c>
      <c r="Y29" s="14">
        <f t="shared" si="13"/>
        <v>53.091209900000003</v>
      </c>
      <c r="Z29" s="2" t="str">
        <f t="shared" si="14"/>
        <v/>
      </c>
      <c r="AA29" s="2" t="str">
        <f t="shared" si="15"/>
        <v/>
      </c>
      <c r="AB29" s="14" t="str">
        <f t="shared" si="16"/>
        <v/>
      </c>
      <c r="AC29" s="9">
        <f t="shared" si="17"/>
        <v>88</v>
      </c>
      <c r="AD29" s="9">
        <f t="shared" si="18"/>
        <v>0</v>
      </c>
      <c r="AE29" s="9">
        <f t="shared" si="19"/>
        <v>10</v>
      </c>
    </row>
    <row r="30" spans="1:31" x14ac:dyDescent="0.2">
      <c r="A30" s="7" t="s">
        <v>141</v>
      </c>
      <c r="B30" s="6" t="s">
        <v>18</v>
      </c>
      <c r="C30" s="6" t="s">
        <v>201</v>
      </c>
      <c r="F30" s="3" t="str">
        <f t="shared" si="0"/>
        <v/>
      </c>
      <c r="G30" s="6"/>
      <c r="H30" s="6">
        <v>14</v>
      </c>
      <c r="I30" s="6"/>
      <c r="J30" s="6"/>
      <c r="K30" s="6">
        <v>7</v>
      </c>
      <c r="L30" s="6"/>
      <c r="M30" s="9" t="str">
        <f t="shared" si="1"/>
        <v/>
      </c>
      <c r="N30" s="9">
        <f t="shared" si="2"/>
        <v>12</v>
      </c>
      <c r="O30" s="9" t="str">
        <f t="shared" si="3"/>
        <v/>
      </c>
      <c r="P30" s="9" t="str">
        <f t="shared" si="4"/>
        <v/>
      </c>
      <c r="Q30" s="9">
        <f t="shared" si="5"/>
        <v>7</v>
      </c>
      <c r="R30" s="9" t="str">
        <f t="shared" si="6"/>
        <v/>
      </c>
      <c r="S30" s="9" t="str">
        <f t="shared" si="7"/>
        <v/>
      </c>
      <c r="T30" s="9">
        <f t="shared" si="8"/>
        <v>19</v>
      </c>
      <c r="U30" s="9" t="str">
        <f t="shared" si="9"/>
        <v/>
      </c>
      <c r="V30" s="9" t="str">
        <f t="shared" si="10"/>
        <v/>
      </c>
      <c r="W30" s="9">
        <f t="shared" si="11"/>
        <v>28</v>
      </c>
      <c r="X30" s="9" t="str">
        <f t="shared" si="12"/>
        <v/>
      </c>
      <c r="Y30" s="14">
        <f t="shared" si="13"/>
        <v>47.098119930000003</v>
      </c>
      <c r="Z30" s="2" t="str">
        <f t="shared" si="14"/>
        <v/>
      </c>
      <c r="AA30" s="2" t="str">
        <f t="shared" si="15"/>
        <v>P</v>
      </c>
      <c r="AB30" s="14" t="str">
        <f t="shared" si="16"/>
        <v/>
      </c>
      <c r="AC30" s="9">
        <f t="shared" si="17"/>
        <v>19</v>
      </c>
      <c r="AD30" s="9">
        <f t="shared" si="18"/>
        <v>1</v>
      </c>
      <c r="AE30" s="9">
        <f t="shared" si="19"/>
        <v>7</v>
      </c>
    </row>
    <row r="31" spans="1:31" x14ac:dyDescent="0.2">
      <c r="A31" s="7" t="s">
        <v>40</v>
      </c>
      <c r="B31" s="6" t="s">
        <v>22</v>
      </c>
      <c r="C31" s="6" t="s">
        <v>202</v>
      </c>
      <c r="F31" s="3" t="str">
        <f t="shared" si="0"/>
        <v/>
      </c>
      <c r="G31" s="6">
        <v>27</v>
      </c>
      <c r="H31" s="6">
        <v>27</v>
      </c>
      <c r="I31" s="6">
        <v>28</v>
      </c>
      <c r="J31" s="6">
        <v>15</v>
      </c>
      <c r="K31" s="6">
        <v>20</v>
      </c>
      <c r="L31" s="6"/>
      <c r="M31" s="9">
        <f t="shared" si="1"/>
        <v>24</v>
      </c>
      <c r="N31" s="9">
        <f t="shared" si="2"/>
        <v>25</v>
      </c>
      <c r="O31" s="9">
        <f t="shared" si="3"/>
        <v>24</v>
      </c>
      <c r="P31" s="9">
        <f t="shared" si="4"/>
        <v>13</v>
      </c>
      <c r="Q31" s="9">
        <f t="shared" si="5"/>
        <v>18</v>
      </c>
      <c r="R31" s="9" t="str">
        <f t="shared" si="6"/>
        <v/>
      </c>
      <c r="S31" s="9">
        <f t="shared" si="7"/>
        <v>7</v>
      </c>
      <c r="T31" s="9">
        <f t="shared" si="8"/>
        <v>6</v>
      </c>
      <c r="U31" s="9">
        <f t="shared" si="9"/>
        <v>7</v>
      </c>
      <c r="V31" s="9">
        <f t="shared" si="10"/>
        <v>18</v>
      </c>
      <c r="W31" s="9">
        <f t="shared" si="11"/>
        <v>13</v>
      </c>
      <c r="X31" s="9" t="str">
        <f t="shared" si="12"/>
        <v/>
      </c>
      <c r="Y31" s="14">
        <f t="shared" si="13"/>
        <v>45.092109870000002</v>
      </c>
      <c r="Z31" s="2" t="str">
        <f t="shared" si="14"/>
        <v>P</v>
      </c>
      <c r="AA31" s="2" t="str">
        <f t="shared" si="15"/>
        <v>P</v>
      </c>
      <c r="AB31" s="14" t="str">
        <f t="shared" si="16"/>
        <v/>
      </c>
      <c r="AC31" s="9">
        <f t="shared" si="17"/>
        <v>79</v>
      </c>
      <c r="AD31" s="9">
        <f t="shared" si="18"/>
        <v>0</v>
      </c>
      <c r="AE31" s="9">
        <f t="shared" si="19"/>
        <v>13</v>
      </c>
    </row>
    <row r="32" spans="1:31" x14ac:dyDescent="0.2">
      <c r="A32" s="7" t="s">
        <v>149</v>
      </c>
      <c r="B32" s="6" t="s">
        <v>54</v>
      </c>
      <c r="C32" s="6" t="s">
        <v>203</v>
      </c>
      <c r="F32" s="3" t="str">
        <f t="shared" si="0"/>
        <v/>
      </c>
      <c r="G32" s="6">
        <v>51</v>
      </c>
      <c r="H32" s="6">
        <v>36</v>
      </c>
      <c r="I32" s="6">
        <v>22</v>
      </c>
      <c r="J32" s="6">
        <v>13</v>
      </c>
      <c r="K32" s="6">
        <v>25</v>
      </c>
      <c r="L32" s="6"/>
      <c r="M32" s="9">
        <f t="shared" si="1"/>
        <v>48</v>
      </c>
      <c r="N32" s="9">
        <f t="shared" si="2"/>
        <v>34</v>
      </c>
      <c r="O32" s="9">
        <f t="shared" si="3"/>
        <v>19</v>
      </c>
      <c r="P32" s="9">
        <f t="shared" si="4"/>
        <v>11</v>
      </c>
      <c r="Q32" s="9">
        <f t="shared" si="5"/>
        <v>23</v>
      </c>
      <c r="R32" s="9" t="str">
        <f t="shared" si="6"/>
        <v/>
      </c>
      <c r="S32" s="9" t="str">
        <f t="shared" si="7"/>
        <v/>
      </c>
      <c r="T32" s="9" t="str">
        <f t="shared" si="8"/>
        <v/>
      </c>
      <c r="U32" s="9">
        <f t="shared" si="9"/>
        <v>12</v>
      </c>
      <c r="V32" s="9">
        <f t="shared" si="10"/>
        <v>20</v>
      </c>
      <c r="W32" s="9">
        <f t="shared" si="11"/>
        <v>8</v>
      </c>
      <c r="X32" s="9" t="str">
        <f t="shared" si="12"/>
        <v/>
      </c>
      <c r="Y32" s="14">
        <f t="shared" si="13"/>
        <v>40.091309889999998</v>
      </c>
      <c r="Z32" s="2" t="str">
        <f t="shared" si="14"/>
        <v/>
      </c>
      <c r="AA32" s="2" t="str">
        <f t="shared" si="15"/>
        <v/>
      </c>
      <c r="AB32" s="14" t="str">
        <f t="shared" si="16"/>
        <v/>
      </c>
      <c r="AC32" s="9">
        <f t="shared" si="17"/>
        <v>87</v>
      </c>
      <c r="AD32" s="9">
        <f t="shared" si="18"/>
        <v>0</v>
      </c>
      <c r="AE32" s="9">
        <f t="shared" si="19"/>
        <v>11</v>
      </c>
    </row>
    <row r="33" spans="1:31" x14ac:dyDescent="0.2">
      <c r="A33" s="7" t="s">
        <v>39</v>
      </c>
      <c r="B33" s="6" t="s">
        <v>57</v>
      </c>
      <c r="C33" s="6" t="s">
        <v>202</v>
      </c>
      <c r="F33" s="3">
        <f t="shared" si="0"/>
        <v>17</v>
      </c>
      <c r="G33" s="6">
        <v>26</v>
      </c>
      <c r="H33" s="6">
        <v>24</v>
      </c>
      <c r="I33" s="6">
        <v>43</v>
      </c>
      <c r="J33" s="6">
        <v>14</v>
      </c>
      <c r="K33" s="6">
        <v>47</v>
      </c>
      <c r="L33" s="6"/>
      <c r="M33" s="9">
        <f t="shared" si="1"/>
        <v>23</v>
      </c>
      <c r="N33" s="9">
        <f t="shared" si="2"/>
        <v>22</v>
      </c>
      <c r="O33" s="9">
        <f t="shared" si="3"/>
        <v>38</v>
      </c>
      <c r="P33" s="9">
        <f t="shared" si="4"/>
        <v>12</v>
      </c>
      <c r="Q33" s="9">
        <f t="shared" si="5"/>
        <v>44</v>
      </c>
      <c r="R33" s="9" t="str">
        <f t="shared" si="6"/>
        <v/>
      </c>
      <c r="S33" s="9">
        <f t="shared" si="7"/>
        <v>8</v>
      </c>
      <c r="T33" s="9">
        <f t="shared" si="8"/>
        <v>9</v>
      </c>
      <c r="U33" s="9" t="str">
        <f t="shared" si="9"/>
        <v/>
      </c>
      <c r="V33" s="9">
        <f t="shared" si="10"/>
        <v>19</v>
      </c>
      <c r="W33" s="9" t="str">
        <f t="shared" si="11"/>
        <v/>
      </c>
      <c r="X33" s="9" t="str">
        <f t="shared" si="12"/>
        <v/>
      </c>
      <c r="Y33" s="14">
        <f t="shared" si="13"/>
        <v>36.090509879999999</v>
      </c>
      <c r="Z33" s="2" t="str">
        <f t="shared" si="14"/>
        <v>P</v>
      </c>
      <c r="AA33" s="2" t="str">
        <f t="shared" si="15"/>
        <v/>
      </c>
      <c r="AB33" s="14">
        <f t="shared" si="16"/>
        <v>36.090509879999999</v>
      </c>
      <c r="AC33" s="9">
        <f t="shared" si="17"/>
        <v>95</v>
      </c>
      <c r="AD33" s="9">
        <f t="shared" si="18"/>
        <v>0</v>
      </c>
      <c r="AE33" s="9">
        <f t="shared" si="19"/>
        <v>12</v>
      </c>
    </row>
    <row r="34" spans="1:31" x14ac:dyDescent="0.2">
      <c r="A34" s="7" t="s">
        <v>48</v>
      </c>
      <c r="B34" s="6" t="s">
        <v>59</v>
      </c>
      <c r="C34" s="6" t="s">
        <v>204</v>
      </c>
      <c r="F34" s="3" t="str">
        <f t="shared" si="0"/>
        <v/>
      </c>
      <c r="G34" s="6">
        <v>36</v>
      </c>
      <c r="H34" s="6">
        <v>35</v>
      </c>
      <c r="I34" s="6">
        <v>19</v>
      </c>
      <c r="J34" s="6">
        <v>18</v>
      </c>
      <c r="K34" s="6">
        <v>31</v>
      </c>
      <c r="L34" s="6"/>
      <c r="M34" s="9">
        <f t="shared" si="1"/>
        <v>33</v>
      </c>
      <c r="N34" s="9">
        <f t="shared" si="2"/>
        <v>33</v>
      </c>
      <c r="O34" s="9">
        <f t="shared" si="3"/>
        <v>16</v>
      </c>
      <c r="P34" s="9">
        <f t="shared" si="4"/>
        <v>15</v>
      </c>
      <c r="Q34" s="9">
        <f t="shared" si="5"/>
        <v>29</v>
      </c>
      <c r="R34" s="9" t="str">
        <f t="shared" si="6"/>
        <v/>
      </c>
      <c r="S34" s="9" t="str">
        <f t="shared" si="7"/>
        <v/>
      </c>
      <c r="T34" s="9" t="str">
        <f t="shared" si="8"/>
        <v/>
      </c>
      <c r="U34" s="9">
        <f t="shared" si="9"/>
        <v>15</v>
      </c>
      <c r="V34" s="9">
        <f t="shared" si="10"/>
        <v>16</v>
      </c>
      <c r="W34" s="9">
        <f t="shared" si="11"/>
        <v>2</v>
      </c>
      <c r="X34" s="9" t="str">
        <f t="shared" si="12"/>
        <v/>
      </c>
      <c r="Y34" s="14">
        <f t="shared" si="13"/>
        <v>33.090709849999996</v>
      </c>
      <c r="Z34" s="2" t="str">
        <f t="shared" si="14"/>
        <v/>
      </c>
      <c r="AA34" s="2" t="str">
        <f t="shared" si="15"/>
        <v/>
      </c>
      <c r="AB34" s="14" t="str">
        <f t="shared" si="16"/>
        <v/>
      </c>
      <c r="AC34" s="9">
        <f t="shared" si="17"/>
        <v>93</v>
      </c>
      <c r="AD34" s="9">
        <f t="shared" si="18"/>
        <v>0</v>
      </c>
      <c r="AE34" s="9">
        <f t="shared" si="19"/>
        <v>15</v>
      </c>
    </row>
    <row r="35" spans="1:31" x14ac:dyDescent="0.2">
      <c r="A35" s="7" t="s">
        <v>142</v>
      </c>
      <c r="B35" s="6" t="s">
        <v>51</v>
      </c>
      <c r="C35" s="6" t="s">
        <v>202</v>
      </c>
      <c r="F35" s="3">
        <f t="shared" ref="F35:F66" si="20">IF(AB35="","",RANK(AB35,AB:AB)+COUNTIF(D:E,"P"))</f>
        <v>18</v>
      </c>
      <c r="G35" s="6">
        <v>57</v>
      </c>
      <c r="H35" s="6">
        <v>16</v>
      </c>
      <c r="I35" s="6"/>
      <c r="J35" s="6">
        <v>25</v>
      </c>
      <c r="K35" s="6">
        <v>26</v>
      </c>
      <c r="L35" s="6"/>
      <c r="M35" s="9">
        <f t="shared" ref="M35:M70" si="21">IF(OR($D35&lt;&gt;"",$E35&lt;&gt;"",G35=""),"",G35-SUMPRODUCT(--($D$3:$D$102="P"),--(G$3:G$102&lt;G35),--(G$3:G$102&lt;&gt;""))-SUMPRODUCT(--($E$3:$E$102="P"),--(G$3:G$102&lt;G35),--(G$3:G$102&lt;&gt;"")))</f>
        <v>54</v>
      </c>
      <c r="N35" s="9">
        <f t="shared" ref="N35:N70" si="22">IF(OR($D35&lt;&gt;"",$E35&lt;&gt;"",H35=""),"",H35-SUMPRODUCT(--($D$3:$D$102="P"),--(H$3:H$102&lt;H35),--(H$3:H$102&lt;&gt;""))-SUMPRODUCT(--($E$3:$E$102="P"),--(H$3:H$102&lt;H35),--(H$3:H$102&lt;&gt;"")))</f>
        <v>14</v>
      </c>
      <c r="O35" s="9" t="str">
        <f t="shared" ref="O35:O70" si="23">IF(OR($D35&lt;&gt;"",$E35&lt;&gt;"",I35=""),"",I35-SUMPRODUCT(--($D$3:$D$102="P"),--(I$3:I$102&lt;I35),--(I$3:I$102&lt;&gt;""))-SUMPRODUCT(--($E$3:$E$102="P"),--(I$3:I$102&lt;I35),--(I$3:I$102&lt;&gt;"")))</f>
        <v/>
      </c>
      <c r="P35" s="9">
        <f t="shared" ref="P35:P70" si="24">IF(OR($D35&lt;&gt;"",$E35&lt;&gt;"",J35=""),"",J35-SUMPRODUCT(--($D$3:$D$102="P"),--(J$3:J$102&lt;J35),--(J$3:J$102&lt;&gt;""))-SUMPRODUCT(--($E$3:$E$102="P"),--(J$3:J$102&lt;J35),--(J$3:J$102&lt;&gt;"")))</f>
        <v>22</v>
      </c>
      <c r="Q35" s="9">
        <f t="shared" ref="Q35:Q70" si="25">IF(OR($D35&lt;&gt;"",$E35&lt;&gt;"",K35=""),"",K35-SUMPRODUCT(--($D$3:$D$102="P"),--(K$3:K$102&lt;K35),--(K$3:K$102&lt;&gt;""))-SUMPRODUCT(--($E$3:$E$102="P"),--(K$3:K$102&lt;K35),--(K$3:K$102&lt;&gt;"")))</f>
        <v>24</v>
      </c>
      <c r="R35" s="9" t="str">
        <f t="shared" ref="R35:R70" si="26">IF(OR($D35&lt;&gt;"",$E35&lt;&gt;"",L35=""),"",L35-SUMPRODUCT(--($D$3:$D$102="P"),--(L$3:L$102&lt;L35),--(L$3:L$102&lt;&gt;""))-SUMPRODUCT(--($E$3:$E$102="P"),--(L$3:L$102&lt;L35),--(L$3:L$102&lt;&gt;"")))</f>
        <v/>
      </c>
      <c r="S35" s="9" t="str">
        <f t="shared" ref="S35:S70" si="27"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9">
        <f t="shared" ref="T35:T70" si="28"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>17</v>
      </c>
      <c r="U35" s="9" t="str">
        <f t="shared" ref="U35:U70" si="29"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9">
        <f t="shared" ref="V35:V70" si="30"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>9</v>
      </c>
      <c r="W35" s="9">
        <f t="shared" ref="W35:W70" si="31"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>7</v>
      </c>
      <c r="X35" s="9" t="str">
        <f t="shared" ref="X35:X70" si="32">IF(OR(R35="",R35&gt;30),"",IF(R35=1,60,IF(R35=2,55,IF(R35=3,50,IF(R35=4,44,IF(R35=5,38,IF(R35=6,32,IF(R35=7,28,IF(R35=8,25,IF(R35=9,22,IF(R35=10,21,IF(R35=11,20,IF(R35=12,19,IF(R35=13,18,IF(R35=14,17,IF(R35=15,16,IF(R35=16,15,IF(R35=17,14,IF(R35=18,13,IF(R35=19,12,IF(R35=20,11,IF(R35=21,10,IF(R35=22,9,IF(R35=23,8,IF(R35=24,7,IF(R35=25,6,IF(R35=26,5,IF(R35=27,4,IF(R35=28,3,IF(R35=29,2,IF(R35=30,1)))))))))))))))))))))))))))))))</f>
        <v/>
      </c>
      <c r="Y35" s="14">
        <f t="shared" ref="Y35:Y66" si="33">IF(A35="","",IF(OR(D35="P",E35="P"),"",IF(IF(COUNT(S35:X35)&lt;5,SUM(S35:X35),IF(COUNT(S35:X35)=5,SUM(S35:X35)-MIN(S35:X35),SUM(S35:X35)-MIN(S35:X35)-SMALL(S35:X35,2)))&gt;0,IF(COUNT(S35:X35)&lt;5,SUM(S35:X35)+(1000-AC35)*10^-4+AD35*10^-5+(1000-AE35)*10^-8,IF(COUNT(S35:X35)=5,SUM(S35:X35)-MIN(S35:X35)+(1000-AC35)*10^-4+AD35*10^-5+(1000-AE35)*10^-8,SUM(S35:X35)-MIN(S35:X35)-SMALL(S35:X35,2)+(1000-AC35)*10^-4+AD35*10^-5+(1000-AE35)*10^-8)),0)))</f>
        <v>33.088609859999998</v>
      </c>
      <c r="Z35" s="2" t="str">
        <f t="shared" ref="Z35:Z66" si="34">IF(OR(Y35="",Y35=0),"",IF(SUMPRODUCT(--(B$3:B$102=B35),--(Y$3:Y$102&gt;Y35),--(Y$3:Y$102&lt;&gt;"")),"","P"))</f>
        <v>P</v>
      </c>
      <c r="AA35" s="2" t="str">
        <f t="shared" ref="AA35:AA70" si="35">IF(Y35="","",IF(SUMPRODUCT(--(D$3:D$102="P"),--(B$3:B$102=B35)),"P",""))</f>
        <v/>
      </c>
      <c r="AB35" s="14">
        <f t="shared" ref="AB35:AB66" si="36">IF(AND(Z35&lt;&gt;"",OR(AA35="",SUMPRODUCT(--(Y$3:Y$102&gt;Y35),--(AA$3:AA$102="P"),--(Z$3:Z$102="P"))&lt;4)),Y35,"")</f>
        <v>33.088609859999998</v>
      </c>
      <c r="AC35" s="9">
        <f t="shared" ref="AC35:AC70" si="37">IF(A35="","",IF(OR(D35="P",E35="P"),"",IF(IF(COUNT(M35:R35)&lt;5,SUM(M35:R35),IF(COUNT(M35:R35)=5,SUM(M35:R35)-MAX(M35:R35),SUM(M35:R35)-MAX(M35:R35)-LARGE(M35:R35,2)))&gt;0,IF(COUNT(M35:R35)&lt;5,SUM(M35:R35),IF(COUNT(M35:R35)=5,SUM(M35:R35)-MAX(M35:R35),SUM(M35:R35)-MAX(M35:R35)-LARGE(M35:R35,2))),0)))</f>
        <v>114</v>
      </c>
      <c r="AD35" s="9">
        <f t="shared" ref="AD35:AD70" si="38">COUNTIF(M35:R35,"&lt;=8")</f>
        <v>0</v>
      </c>
      <c r="AE35" s="9">
        <f t="shared" ref="AE35:AE70" si="39">MIN(M35:R35)</f>
        <v>14</v>
      </c>
    </row>
    <row r="36" spans="1:31" x14ac:dyDescent="0.2">
      <c r="A36" s="7" t="s">
        <v>191</v>
      </c>
      <c r="B36" s="6" t="s">
        <v>54</v>
      </c>
      <c r="C36" s="6" t="s">
        <v>203</v>
      </c>
      <c r="F36" s="3" t="str">
        <f t="shared" si="20"/>
        <v/>
      </c>
      <c r="G36" s="6"/>
      <c r="H36" s="6"/>
      <c r="I36" s="6"/>
      <c r="J36" s="6"/>
      <c r="K36" s="6">
        <v>6</v>
      </c>
      <c r="L36" s="6"/>
      <c r="M36" s="9" t="str">
        <f t="shared" si="21"/>
        <v/>
      </c>
      <c r="N36" s="9" t="str">
        <f t="shared" si="22"/>
        <v/>
      </c>
      <c r="O36" s="9" t="str">
        <f t="shared" si="23"/>
        <v/>
      </c>
      <c r="P36" s="9" t="str">
        <f t="shared" si="24"/>
        <v/>
      </c>
      <c r="Q36" s="9">
        <f t="shared" si="25"/>
        <v>6</v>
      </c>
      <c r="R36" s="9" t="str">
        <f t="shared" si="26"/>
        <v/>
      </c>
      <c r="S36" s="9" t="str">
        <f t="shared" si="27"/>
        <v/>
      </c>
      <c r="T36" s="9" t="str">
        <f t="shared" si="28"/>
        <v/>
      </c>
      <c r="U36" s="9" t="str">
        <f t="shared" si="29"/>
        <v/>
      </c>
      <c r="V36" s="9" t="str">
        <f t="shared" si="30"/>
        <v/>
      </c>
      <c r="W36" s="9">
        <f t="shared" si="31"/>
        <v>32</v>
      </c>
      <c r="X36" s="9" t="str">
        <f t="shared" si="32"/>
        <v/>
      </c>
      <c r="Y36" s="14">
        <f t="shared" si="33"/>
        <v>32.099419940000004</v>
      </c>
      <c r="Z36" s="2" t="str">
        <f t="shared" si="34"/>
        <v/>
      </c>
      <c r="AA36" s="2" t="str">
        <f t="shared" si="35"/>
        <v/>
      </c>
      <c r="AB36" s="14" t="str">
        <f t="shared" si="36"/>
        <v/>
      </c>
      <c r="AC36" s="9">
        <f t="shared" si="37"/>
        <v>6</v>
      </c>
      <c r="AD36" s="9">
        <f t="shared" si="38"/>
        <v>1</v>
      </c>
      <c r="AE36" s="9">
        <f t="shared" si="39"/>
        <v>6</v>
      </c>
    </row>
    <row r="37" spans="1:31" x14ac:dyDescent="0.2">
      <c r="A37" s="7" t="s">
        <v>30</v>
      </c>
      <c r="B37" s="6" t="s">
        <v>19</v>
      </c>
      <c r="C37" s="6" t="s">
        <v>202</v>
      </c>
      <c r="F37" s="3" t="str">
        <f t="shared" si="20"/>
        <v/>
      </c>
      <c r="G37" s="6">
        <v>17</v>
      </c>
      <c r="H37" s="6">
        <v>18</v>
      </c>
      <c r="I37" s="6"/>
      <c r="J37" s="6"/>
      <c r="K37" s="6"/>
      <c r="L37" s="6"/>
      <c r="M37" s="9">
        <f t="shared" si="21"/>
        <v>15</v>
      </c>
      <c r="N37" s="9">
        <f t="shared" si="22"/>
        <v>16</v>
      </c>
      <c r="O37" s="9" t="str">
        <f t="shared" si="23"/>
        <v/>
      </c>
      <c r="P37" s="9" t="str">
        <f t="shared" si="24"/>
        <v/>
      </c>
      <c r="Q37" s="9" t="str">
        <f t="shared" si="25"/>
        <v/>
      </c>
      <c r="R37" s="9" t="str">
        <f t="shared" si="26"/>
        <v/>
      </c>
      <c r="S37" s="9">
        <f t="shared" si="27"/>
        <v>16</v>
      </c>
      <c r="T37" s="9">
        <f t="shared" si="28"/>
        <v>15</v>
      </c>
      <c r="U37" s="9" t="str">
        <f t="shared" si="29"/>
        <v/>
      </c>
      <c r="V37" s="9" t="str">
        <f t="shared" si="30"/>
        <v/>
      </c>
      <c r="W37" s="9" t="str">
        <f t="shared" si="31"/>
        <v/>
      </c>
      <c r="X37" s="9" t="str">
        <f t="shared" si="32"/>
        <v/>
      </c>
      <c r="Y37" s="14">
        <f t="shared" si="33"/>
        <v>31.096909850000003</v>
      </c>
      <c r="Z37" s="2" t="str">
        <f t="shared" si="34"/>
        <v/>
      </c>
      <c r="AA37" s="2" t="str">
        <f t="shared" si="35"/>
        <v/>
      </c>
      <c r="AB37" s="14" t="str">
        <f t="shared" si="36"/>
        <v/>
      </c>
      <c r="AC37" s="9">
        <f t="shared" si="37"/>
        <v>31</v>
      </c>
      <c r="AD37" s="9">
        <f t="shared" si="38"/>
        <v>0</v>
      </c>
      <c r="AE37" s="9">
        <f t="shared" si="39"/>
        <v>15</v>
      </c>
    </row>
    <row r="38" spans="1:31" x14ac:dyDescent="0.2">
      <c r="A38" s="7" t="s">
        <v>34</v>
      </c>
      <c r="B38" s="6" t="s">
        <v>55</v>
      </c>
      <c r="C38" s="6" t="s">
        <v>203</v>
      </c>
      <c r="F38" s="3" t="str">
        <f t="shared" si="20"/>
        <v/>
      </c>
      <c r="G38" s="6">
        <v>21</v>
      </c>
      <c r="H38" s="6">
        <v>65</v>
      </c>
      <c r="I38" s="6">
        <v>25</v>
      </c>
      <c r="J38" s="6">
        <v>32</v>
      </c>
      <c r="K38" s="6">
        <v>30</v>
      </c>
      <c r="L38" s="6"/>
      <c r="M38" s="9">
        <f t="shared" si="21"/>
        <v>18</v>
      </c>
      <c r="N38" s="9">
        <f t="shared" si="22"/>
        <v>61</v>
      </c>
      <c r="O38" s="9">
        <f t="shared" si="23"/>
        <v>21</v>
      </c>
      <c r="P38" s="9">
        <f t="shared" si="24"/>
        <v>28</v>
      </c>
      <c r="Q38" s="9">
        <f t="shared" si="25"/>
        <v>28</v>
      </c>
      <c r="R38" s="9" t="str">
        <f t="shared" si="26"/>
        <v/>
      </c>
      <c r="S38" s="9">
        <f t="shared" si="27"/>
        <v>13</v>
      </c>
      <c r="T38" s="9" t="str">
        <f t="shared" si="28"/>
        <v/>
      </c>
      <c r="U38" s="9">
        <f t="shared" si="29"/>
        <v>10</v>
      </c>
      <c r="V38" s="9">
        <f t="shared" si="30"/>
        <v>3</v>
      </c>
      <c r="W38" s="9">
        <f t="shared" si="31"/>
        <v>3</v>
      </c>
      <c r="X38" s="9" t="str">
        <f t="shared" si="32"/>
        <v/>
      </c>
      <c r="Y38" s="14">
        <f t="shared" si="33"/>
        <v>29.090509819999998</v>
      </c>
      <c r="Z38" s="2" t="str">
        <f t="shared" si="34"/>
        <v/>
      </c>
      <c r="AA38" s="2" t="str">
        <f t="shared" si="35"/>
        <v/>
      </c>
      <c r="AB38" s="14" t="str">
        <f t="shared" si="36"/>
        <v/>
      </c>
      <c r="AC38" s="9">
        <f t="shared" si="37"/>
        <v>95</v>
      </c>
      <c r="AD38" s="9">
        <f t="shared" si="38"/>
        <v>0</v>
      </c>
      <c r="AE38" s="9">
        <f t="shared" si="39"/>
        <v>18</v>
      </c>
    </row>
    <row r="39" spans="1:31" x14ac:dyDescent="0.2">
      <c r="A39" s="7" t="s">
        <v>143</v>
      </c>
      <c r="B39" s="6" t="s">
        <v>59</v>
      </c>
      <c r="C39" s="6" t="s">
        <v>204</v>
      </c>
      <c r="F39" s="3" t="str">
        <f t="shared" si="20"/>
        <v/>
      </c>
      <c r="G39" s="6">
        <v>41</v>
      </c>
      <c r="H39" s="6">
        <v>20</v>
      </c>
      <c r="I39" s="6">
        <v>17</v>
      </c>
      <c r="J39" s="6">
        <v>45</v>
      </c>
      <c r="K39" s="6">
        <v>33</v>
      </c>
      <c r="L39" s="6"/>
      <c r="M39" s="9">
        <f t="shared" si="21"/>
        <v>38</v>
      </c>
      <c r="N39" s="9">
        <f t="shared" si="22"/>
        <v>18</v>
      </c>
      <c r="O39" s="9">
        <f t="shared" si="23"/>
        <v>15</v>
      </c>
      <c r="P39" s="9">
        <f t="shared" si="24"/>
        <v>40</v>
      </c>
      <c r="Q39" s="9">
        <f t="shared" si="25"/>
        <v>31</v>
      </c>
      <c r="R39" s="9" t="str">
        <f t="shared" si="26"/>
        <v/>
      </c>
      <c r="S39" s="9" t="str">
        <f t="shared" si="27"/>
        <v/>
      </c>
      <c r="T39" s="9">
        <f t="shared" si="28"/>
        <v>13</v>
      </c>
      <c r="U39" s="9">
        <f t="shared" si="29"/>
        <v>16</v>
      </c>
      <c r="V39" s="9" t="str">
        <f t="shared" si="30"/>
        <v/>
      </c>
      <c r="W39" s="9" t="str">
        <f t="shared" si="31"/>
        <v/>
      </c>
      <c r="X39" s="9" t="str">
        <f t="shared" si="32"/>
        <v/>
      </c>
      <c r="Y39" s="14">
        <f t="shared" si="33"/>
        <v>29.089809850000002</v>
      </c>
      <c r="Z39" s="2" t="str">
        <f t="shared" si="34"/>
        <v/>
      </c>
      <c r="AA39" s="2" t="str">
        <f t="shared" si="35"/>
        <v/>
      </c>
      <c r="AB39" s="14" t="str">
        <f t="shared" si="36"/>
        <v/>
      </c>
      <c r="AC39" s="9">
        <f t="shared" si="37"/>
        <v>102</v>
      </c>
      <c r="AD39" s="9">
        <f t="shared" si="38"/>
        <v>0</v>
      </c>
      <c r="AE39" s="9">
        <f t="shared" si="39"/>
        <v>15</v>
      </c>
    </row>
    <row r="40" spans="1:31" x14ac:dyDescent="0.2">
      <c r="A40" s="7" t="s">
        <v>36</v>
      </c>
      <c r="B40" s="6" t="s">
        <v>57</v>
      </c>
      <c r="C40" s="6" t="s">
        <v>202</v>
      </c>
      <c r="F40" s="3" t="str">
        <f t="shared" si="20"/>
        <v/>
      </c>
      <c r="G40" s="6">
        <v>23</v>
      </c>
      <c r="H40" s="6">
        <v>30</v>
      </c>
      <c r="I40" s="6">
        <v>30</v>
      </c>
      <c r="J40" s="6">
        <v>28</v>
      </c>
      <c r="K40" s="6"/>
      <c r="L40" s="6"/>
      <c r="M40" s="9">
        <f t="shared" si="21"/>
        <v>20</v>
      </c>
      <c r="N40" s="9">
        <f t="shared" si="22"/>
        <v>28</v>
      </c>
      <c r="O40" s="9">
        <f t="shared" si="23"/>
        <v>26</v>
      </c>
      <c r="P40" s="9">
        <f t="shared" si="24"/>
        <v>24</v>
      </c>
      <c r="Q40" s="9" t="str">
        <f t="shared" si="25"/>
        <v/>
      </c>
      <c r="R40" s="9" t="str">
        <f t="shared" si="26"/>
        <v/>
      </c>
      <c r="S40" s="9">
        <f t="shared" si="27"/>
        <v>11</v>
      </c>
      <c r="T40" s="9">
        <f t="shared" si="28"/>
        <v>3</v>
      </c>
      <c r="U40" s="9">
        <f t="shared" si="29"/>
        <v>5</v>
      </c>
      <c r="V40" s="9">
        <f t="shared" si="30"/>
        <v>7</v>
      </c>
      <c r="W40" s="9" t="str">
        <f t="shared" si="31"/>
        <v/>
      </c>
      <c r="X40" s="9" t="str">
        <f t="shared" si="32"/>
        <v/>
      </c>
      <c r="Y40" s="14">
        <f t="shared" si="33"/>
        <v>26.0902098</v>
      </c>
      <c r="Z40" s="2" t="str">
        <f t="shared" si="34"/>
        <v/>
      </c>
      <c r="AA40" s="2" t="str">
        <f t="shared" si="35"/>
        <v/>
      </c>
      <c r="AB40" s="14" t="str">
        <f t="shared" si="36"/>
        <v/>
      </c>
      <c r="AC40" s="9">
        <f t="shared" si="37"/>
        <v>98</v>
      </c>
      <c r="AD40" s="9">
        <f t="shared" si="38"/>
        <v>0</v>
      </c>
      <c r="AE40" s="9">
        <f t="shared" si="39"/>
        <v>20</v>
      </c>
    </row>
    <row r="41" spans="1:31" x14ac:dyDescent="0.2">
      <c r="A41" s="7" t="s">
        <v>140</v>
      </c>
      <c r="B41" s="6" t="s">
        <v>16</v>
      </c>
      <c r="C41" s="6" t="s">
        <v>201</v>
      </c>
      <c r="F41" s="3" t="str">
        <f t="shared" si="20"/>
        <v/>
      </c>
      <c r="G41" s="6">
        <v>55</v>
      </c>
      <c r="H41" s="6">
        <v>10</v>
      </c>
      <c r="I41" s="6"/>
      <c r="J41" s="6"/>
      <c r="K41" s="6"/>
      <c r="L41" s="6"/>
      <c r="M41" s="9">
        <f t="shared" si="21"/>
        <v>52</v>
      </c>
      <c r="N41" s="9">
        <f t="shared" si="22"/>
        <v>8</v>
      </c>
      <c r="O41" s="9" t="str">
        <f t="shared" si="23"/>
        <v/>
      </c>
      <c r="P41" s="9" t="str">
        <f t="shared" si="24"/>
        <v/>
      </c>
      <c r="Q41" s="9" t="str">
        <f t="shared" si="25"/>
        <v/>
      </c>
      <c r="R41" s="9" t="str">
        <f t="shared" si="26"/>
        <v/>
      </c>
      <c r="S41" s="9" t="str">
        <f t="shared" si="27"/>
        <v/>
      </c>
      <c r="T41" s="9">
        <f t="shared" si="28"/>
        <v>25</v>
      </c>
      <c r="U41" s="9" t="str">
        <f t="shared" si="29"/>
        <v/>
      </c>
      <c r="V41" s="9" t="str">
        <f t="shared" si="30"/>
        <v/>
      </c>
      <c r="W41" s="9" t="str">
        <f t="shared" si="31"/>
        <v/>
      </c>
      <c r="X41" s="9" t="str">
        <f t="shared" si="32"/>
        <v/>
      </c>
      <c r="Y41" s="14">
        <f t="shared" si="33"/>
        <v>25.094019920000001</v>
      </c>
      <c r="Z41" s="2" t="str">
        <f t="shared" si="34"/>
        <v/>
      </c>
      <c r="AA41" s="2" t="str">
        <f t="shared" si="35"/>
        <v>P</v>
      </c>
      <c r="AB41" s="14" t="str">
        <f t="shared" si="36"/>
        <v/>
      </c>
      <c r="AC41" s="9">
        <f t="shared" si="37"/>
        <v>60</v>
      </c>
      <c r="AD41" s="9">
        <f t="shared" si="38"/>
        <v>1</v>
      </c>
      <c r="AE41" s="9">
        <f t="shared" si="39"/>
        <v>8</v>
      </c>
    </row>
    <row r="42" spans="1:31" x14ac:dyDescent="0.2">
      <c r="A42" s="7" t="s">
        <v>180</v>
      </c>
      <c r="B42" s="6" t="s">
        <v>20</v>
      </c>
      <c r="C42" s="6" t="s">
        <v>202</v>
      </c>
      <c r="F42" s="3" t="str">
        <f t="shared" si="20"/>
        <v/>
      </c>
      <c r="G42" s="6">
        <v>42</v>
      </c>
      <c r="H42" s="6">
        <v>56</v>
      </c>
      <c r="I42" s="6">
        <v>48</v>
      </c>
      <c r="J42" s="6">
        <v>21</v>
      </c>
      <c r="K42" s="6">
        <v>22</v>
      </c>
      <c r="L42" s="6"/>
      <c r="M42" s="9">
        <f t="shared" si="21"/>
        <v>39</v>
      </c>
      <c r="N42" s="9">
        <f t="shared" si="22"/>
        <v>53</v>
      </c>
      <c r="O42" s="9">
        <f t="shared" si="23"/>
        <v>43</v>
      </c>
      <c r="P42" s="9">
        <f t="shared" si="24"/>
        <v>18</v>
      </c>
      <c r="Q42" s="9">
        <f t="shared" si="25"/>
        <v>20</v>
      </c>
      <c r="R42" s="9" t="str">
        <f t="shared" si="26"/>
        <v/>
      </c>
      <c r="S42" s="9" t="str">
        <f t="shared" si="27"/>
        <v/>
      </c>
      <c r="T42" s="9" t="str">
        <f t="shared" si="28"/>
        <v/>
      </c>
      <c r="U42" s="9" t="str">
        <f t="shared" si="29"/>
        <v/>
      </c>
      <c r="V42" s="9">
        <f t="shared" si="30"/>
        <v>13</v>
      </c>
      <c r="W42" s="9">
        <f t="shared" si="31"/>
        <v>11</v>
      </c>
      <c r="X42" s="9" t="str">
        <f t="shared" si="32"/>
        <v/>
      </c>
      <c r="Y42" s="14">
        <f t="shared" si="33"/>
        <v>24.08800982</v>
      </c>
      <c r="Z42" s="2" t="str">
        <f t="shared" si="34"/>
        <v/>
      </c>
      <c r="AA42" s="2" t="str">
        <f t="shared" si="35"/>
        <v>P</v>
      </c>
      <c r="AB42" s="14" t="str">
        <f t="shared" si="36"/>
        <v/>
      </c>
      <c r="AC42" s="9">
        <f t="shared" si="37"/>
        <v>120</v>
      </c>
      <c r="AD42" s="9">
        <f t="shared" si="38"/>
        <v>0</v>
      </c>
      <c r="AE42" s="9">
        <f t="shared" si="39"/>
        <v>18</v>
      </c>
    </row>
    <row r="43" spans="1:31" x14ac:dyDescent="0.2">
      <c r="A43" s="7" t="s">
        <v>46</v>
      </c>
      <c r="B43" s="6" t="s">
        <v>59</v>
      </c>
      <c r="C43" s="6" t="s">
        <v>204</v>
      </c>
      <c r="F43" s="3" t="str">
        <f t="shared" si="20"/>
        <v/>
      </c>
      <c r="G43" s="6">
        <v>34</v>
      </c>
      <c r="H43" s="6">
        <v>15</v>
      </c>
      <c r="I43" s="6"/>
      <c r="J43" s="6"/>
      <c r="K43" s="6">
        <v>35</v>
      </c>
      <c r="L43" s="6"/>
      <c r="M43" s="9">
        <f t="shared" si="21"/>
        <v>31</v>
      </c>
      <c r="N43" s="9">
        <f t="shared" si="22"/>
        <v>13</v>
      </c>
      <c r="O43" s="9" t="str">
        <f t="shared" si="23"/>
        <v/>
      </c>
      <c r="P43" s="9" t="str">
        <f t="shared" si="24"/>
        <v/>
      </c>
      <c r="Q43" s="9">
        <f t="shared" si="25"/>
        <v>33</v>
      </c>
      <c r="R43" s="9" t="str">
        <f t="shared" si="26"/>
        <v/>
      </c>
      <c r="S43" s="9" t="str">
        <f t="shared" si="27"/>
        <v/>
      </c>
      <c r="T43" s="9">
        <f t="shared" si="28"/>
        <v>18</v>
      </c>
      <c r="U43" s="9" t="str">
        <f t="shared" si="29"/>
        <v/>
      </c>
      <c r="V43" s="9" t="str">
        <f t="shared" si="30"/>
        <v/>
      </c>
      <c r="W43" s="9" t="str">
        <f t="shared" si="31"/>
        <v/>
      </c>
      <c r="X43" s="9" t="str">
        <f t="shared" si="32"/>
        <v/>
      </c>
      <c r="Y43" s="14">
        <f t="shared" si="33"/>
        <v>18.092309870000001</v>
      </c>
      <c r="Z43" s="2" t="str">
        <f t="shared" si="34"/>
        <v/>
      </c>
      <c r="AA43" s="2" t="str">
        <f t="shared" si="35"/>
        <v/>
      </c>
      <c r="AB43" s="14" t="str">
        <f t="shared" si="36"/>
        <v/>
      </c>
      <c r="AC43" s="9">
        <f t="shared" si="37"/>
        <v>77</v>
      </c>
      <c r="AD43" s="9">
        <f t="shared" si="38"/>
        <v>0</v>
      </c>
      <c r="AE43" s="9">
        <f t="shared" si="39"/>
        <v>13</v>
      </c>
    </row>
    <row r="44" spans="1:31" x14ac:dyDescent="0.2">
      <c r="A44" s="7" t="s">
        <v>159</v>
      </c>
      <c r="B44" s="6" t="s">
        <v>57</v>
      </c>
      <c r="C44" s="6" t="s">
        <v>202</v>
      </c>
      <c r="F44" s="3" t="str">
        <f t="shared" si="20"/>
        <v/>
      </c>
      <c r="G44" s="6"/>
      <c r="H44" s="6"/>
      <c r="I44" s="6">
        <v>29</v>
      </c>
      <c r="J44" s="6">
        <v>24</v>
      </c>
      <c r="K44" s="6">
        <v>34</v>
      </c>
      <c r="L44" s="6"/>
      <c r="M44" s="9" t="str">
        <f t="shared" si="21"/>
        <v/>
      </c>
      <c r="N44" s="9" t="str">
        <f t="shared" si="22"/>
        <v/>
      </c>
      <c r="O44" s="9">
        <f t="shared" si="23"/>
        <v>25</v>
      </c>
      <c r="P44" s="9">
        <f t="shared" si="24"/>
        <v>21</v>
      </c>
      <c r="Q44" s="9">
        <f t="shared" si="25"/>
        <v>32</v>
      </c>
      <c r="R44" s="9" t="str">
        <f t="shared" si="26"/>
        <v/>
      </c>
      <c r="S44" s="9" t="str">
        <f t="shared" si="27"/>
        <v/>
      </c>
      <c r="T44" s="9" t="str">
        <f t="shared" si="28"/>
        <v/>
      </c>
      <c r="U44" s="9">
        <f t="shared" si="29"/>
        <v>6</v>
      </c>
      <c r="V44" s="9">
        <f t="shared" si="30"/>
        <v>10</v>
      </c>
      <c r="W44" s="9" t="str">
        <f t="shared" si="31"/>
        <v/>
      </c>
      <c r="X44" s="9" t="str">
        <f t="shared" si="32"/>
        <v/>
      </c>
      <c r="Y44" s="14">
        <f t="shared" si="33"/>
        <v>16.092209789999998</v>
      </c>
      <c r="Z44" s="2" t="str">
        <f t="shared" si="34"/>
        <v/>
      </c>
      <c r="AA44" s="2" t="str">
        <f t="shared" si="35"/>
        <v/>
      </c>
      <c r="AB44" s="14" t="str">
        <f t="shared" si="36"/>
        <v/>
      </c>
      <c r="AC44" s="9">
        <f t="shared" si="37"/>
        <v>78</v>
      </c>
      <c r="AD44" s="9">
        <f t="shared" si="38"/>
        <v>0</v>
      </c>
      <c r="AE44" s="9">
        <f t="shared" si="39"/>
        <v>21</v>
      </c>
    </row>
    <row r="45" spans="1:31" x14ac:dyDescent="0.2">
      <c r="A45" s="7" t="s">
        <v>41</v>
      </c>
      <c r="B45" s="6" t="s">
        <v>58</v>
      </c>
      <c r="C45" s="6" t="s">
        <v>201</v>
      </c>
      <c r="F45" s="3">
        <f t="shared" si="20"/>
        <v>19</v>
      </c>
      <c r="G45" s="6">
        <v>28</v>
      </c>
      <c r="H45" s="6">
        <v>26</v>
      </c>
      <c r="I45" s="6">
        <v>32</v>
      </c>
      <c r="J45" s="6">
        <v>43</v>
      </c>
      <c r="K45" s="6">
        <v>40</v>
      </c>
      <c r="L45" s="6"/>
      <c r="M45" s="9">
        <f t="shared" si="21"/>
        <v>25</v>
      </c>
      <c r="N45" s="9">
        <f t="shared" si="22"/>
        <v>24</v>
      </c>
      <c r="O45" s="9">
        <f t="shared" si="23"/>
        <v>28</v>
      </c>
      <c r="P45" s="9">
        <f t="shared" si="24"/>
        <v>38</v>
      </c>
      <c r="Q45" s="9">
        <f t="shared" si="25"/>
        <v>38</v>
      </c>
      <c r="R45" s="9" t="str">
        <f t="shared" si="26"/>
        <v/>
      </c>
      <c r="S45" s="9">
        <f t="shared" si="27"/>
        <v>6</v>
      </c>
      <c r="T45" s="9">
        <f t="shared" si="28"/>
        <v>7</v>
      </c>
      <c r="U45" s="9">
        <f t="shared" si="29"/>
        <v>3</v>
      </c>
      <c r="V45" s="9" t="str">
        <f t="shared" si="30"/>
        <v/>
      </c>
      <c r="W45" s="9" t="str">
        <f t="shared" si="31"/>
        <v/>
      </c>
      <c r="X45" s="9" t="str">
        <f t="shared" si="32"/>
        <v/>
      </c>
      <c r="Y45" s="14">
        <f t="shared" si="33"/>
        <v>16.088509760000001</v>
      </c>
      <c r="Z45" s="2" t="str">
        <f t="shared" si="34"/>
        <v>P</v>
      </c>
      <c r="AA45" s="2" t="str">
        <f t="shared" si="35"/>
        <v/>
      </c>
      <c r="AB45" s="14">
        <f t="shared" si="36"/>
        <v>16.088509760000001</v>
      </c>
      <c r="AC45" s="9">
        <f t="shared" si="37"/>
        <v>115</v>
      </c>
      <c r="AD45" s="9">
        <f t="shared" si="38"/>
        <v>0</v>
      </c>
      <c r="AE45" s="9">
        <f t="shared" si="39"/>
        <v>24</v>
      </c>
    </row>
    <row r="46" spans="1:31" x14ac:dyDescent="0.2">
      <c r="A46" s="7" t="s">
        <v>38</v>
      </c>
      <c r="B46" s="6" t="s">
        <v>17</v>
      </c>
      <c r="C46" s="6" t="s">
        <v>203</v>
      </c>
      <c r="F46" s="3" t="str">
        <f t="shared" si="20"/>
        <v/>
      </c>
      <c r="G46" s="6">
        <v>25</v>
      </c>
      <c r="H46" s="6"/>
      <c r="I46" s="6"/>
      <c r="J46" s="6"/>
      <c r="K46" s="6">
        <v>27</v>
      </c>
      <c r="L46" s="6"/>
      <c r="M46" s="9">
        <f t="shared" si="21"/>
        <v>22</v>
      </c>
      <c r="N46" s="9" t="str">
        <f t="shared" si="22"/>
        <v/>
      </c>
      <c r="O46" s="9" t="str">
        <f t="shared" si="23"/>
        <v/>
      </c>
      <c r="P46" s="9" t="str">
        <f t="shared" si="24"/>
        <v/>
      </c>
      <c r="Q46" s="9">
        <f t="shared" si="25"/>
        <v>25</v>
      </c>
      <c r="R46" s="9" t="str">
        <f t="shared" si="26"/>
        <v/>
      </c>
      <c r="S46" s="9">
        <f t="shared" si="27"/>
        <v>9</v>
      </c>
      <c r="T46" s="9" t="str">
        <f t="shared" si="28"/>
        <v/>
      </c>
      <c r="U46" s="9" t="str">
        <f t="shared" si="29"/>
        <v/>
      </c>
      <c r="V46" s="9" t="str">
        <f t="shared" si="30"/>
        <v/>
      </c>
      <c r="W46" s="9">
        <f t="shared" si="31"/>
        <v>6</v>
      </c>
      <c r="X46" s="9" t="str">
        <f t="shared" si="32"/>
        <v/>
      </c>
      <c r="Y46" s="14">
        <f t="shared" si="33"/>
        <v>15.095309779999999</v>
      </c>
      <c r="Z46" s="2" t="str">
        <f t="shared" si="34"/>
        <v/>
      </c>
      <c r="AA46" s="2" t="str">
        <f t="shared" si="35"/>
        <v>P</v>
      </c>
      <c r="AB46" s="14" t="str">
        <f t="shared" si="36"/>
        <v/>
      </c>
      <c r="AC46" s="9">
        <f t="shared" si="37"/>
        <v>47</v>
      </c>
      <c r="AD46" s="9">
        <f t="shared" si="38"/>
        <v>0</v>
      </c>
      <c r="AE46" s="9">
        <f t="shared" si="39"/>
        <v>22</v>
      </c>
    </row>
    <row r="47" spans="1:31" x14ac:dyDescent="0.2">
      <c r="A47" s="7" t="s">
        <v>49</v>
      </c>
      <c r="B47" s="6" t="s">
        <v>52</v>
      </c>
      <c r="C47" s="6" t="s">
        <v>202</v>
      </c>
      <c r="F47" s="3">
        <f t="shared" si="20"/>
        <v>20</v>
      </c>
      <c r="G47" s="6">
        <v>37</v>
      </c>
      <c r="H47" s="6">
        <v>55</v>
      </c>
      <c r="I47" s="6"/>
      <c r="J47" s="6"/>
      <c r="K47" s="6">
        <v>19</v>
      </c>
      <c r="L47" s="6"/>
      <c r="M47" s="9">
        <f t="shared" si="21"/>
        <v>34</v>
      </c>
      <c r="N47" s="9">
        <f t="shared" si="22"/>
        <v>52</v>
      </c>
      <c r="O47" s="9" t="str">
        <f t="shared" si="23"/>
        <v/>
      </c>
      <c r="P47" s="9" t="str">
        <f t="shared" si="24"/>
        <v/>
      </c>
      <c r="Q47" s="9">
        <f t="shared" si="25"/>
        <v>17</v>
      </c>
      <c r="R47" s="9" t="str">
        <f t="shared" si="26"/>
        <v/>
      </c>
      <c r="S47" s="9" t="str">
        <f t="shared" si="27"/>
        <v/>
      </c>
      <c r="T47" s="9" t="str">
        <f t="shared" si="28"/>
        <v/>
      </c>
      <c r="U47" s="9" t="str">
        <f t="shared" si="29"/>
        <v/>
      </c>
      <c r="V47" s="9" t="str">
        <f t="shared" si="30"/>
        <v/>
      </c>
      <c r="W47" s="9">
        <f t="shared" si="31"/>
        <v>14</v>
      </c>
      <c r="X47" s="9" t="str">
        <f t="shared" si="32"/>
        <v/>
      </c>
      <c r="Y47" s="14">
        <f t="shared" si="33"/>
        <v>14.08970983</v>
      </c>
      <c r="Z47" s="2" t="str">
        <f t="shared" si="34"/>
        <v>P</v>
      </c>
      <c r="AA47" s="2" t="str">
        <f t="shared" si="35"/>
        <v/>
      </c>
      <c r="AB47" s="14">
        <f t="shared" si="36"/>
        <v>14.08970983</v>
      </c>
      <c r="AC47" s="9">
        <f t="shared" si="37"/>
        <v>103</v>
      </c>
      <c r="AD47" s="9">
        <f t="shared" si="38"/>
        <v>0</v>
      </c>
      <c r="AE47" s="9">
        <f t="shared" si="39"/>
        <v>17</v>
      </c>
    </row>
    <row r="48" spans="1:31" x14ac:dyDescent="0.2">
      <c r="A48" s="7" t="s">
        <v>157</v>
      </c>
      <c r="B48" s="6" t="s">
        <v>24</v>
      </c>
      <c r="C48" s="6" t="s">
        <v>202</v>
      </c>
      <c r="F48" s="3" t="str">
        <f t="shared" si="20"/>
        <v/>
      </c>
      <c r="G48" s="6"/>
      <c r="H48" s="6"/>
      <c r="I48" s="6">
        <v>21</v>
      </c>
      <c r="J48" s="6">
        <v>44</v>
      </c>
      <c r="K48" s="6">
        <v>51</v>
      </c>
      <c r="L48" s="6"/>
      <c r="M48" s="9" t="str">
        <f t="shared" si="21"/>
        <v/>
      </c>
      <c r="N48" s="9" t="str">
        <f t="shared" si="22"/>
        <v/>
      </c>
      <c r="O48" s="9">
        <f t="shared" si="23"/>
        <v>18</v>
      </c>
      <c r="P48" s="9">
        <f t="shared" si="24"/>
        <v>39</v>
      </c>
      <c r="Q48" s="9">
        <f t="shared" si="25"/>
        <v>47</v>
      </c>
      <c r="R48" s="9" t="str">
        <f t="shared" si="26"/>
        <v/>
      </c>
      <c r="S48" s="9" t="str">
        <f t="shared" si="27"/>
        <v/>
      </c>
      <c r="T48" s="9" t="str">
        <f t="shared" si="28"/>
        <v/>
      </c>
      <c r="U48" s="9">
        <f t="shared" si="29"/>
        <v>13</v>
      </c>
      <c r="V48" s="9" t="str">
        <f t="shared" si="30"/>
        <v/>
      </c>
      <c r="W48" s="9" t="str">
        <f t="shared" si="31"/>
        <v/>
      </c>
      <c r="X48" s="9" t="str">
        <f t="shared" si="32"/>
        <v/>
      </c>
      <c r="Y48" s="14">
        <f t="shared" si="33"/>
        <v>13.089609820000002</v>
      </c>
      <c r="Z48" s="2" t="str">
        <f t="shared" si="34"/>
        <v/>
      </c>
      <c r="AA48" s="2" t="str">
        <f t="shared" si="35"/>
        <v>P</v>
      </c>
      <c r="AB48" s="14" t="str">
        <f t="shared" si="36"/>
        <v/>
      </c>
      <c r="AC48" s="9">
        <f t="shared" si="37"/>
        <v>104</v>
      </c>
      <c r="AD48" s="9">
        <f t="shared" si="38"/>
        <v>0</v>
      </c>
      <c r="AE48" s="9">
        <f t="shared" si="39"/>
        <v>18</v>
      </c>
    </row>
    <row r="49" spans="1:31" x14ac:dyDescent="0.2">
      <c r="A49" s="7" t="s">
        <v>35</v>
      </c>
      <c r="B49" s="6" t="s">
        <v>19</v>
      </c>
      <c r="C49" s="6" t="s">
        <v>202</v>
      </c>
      <c r="F49" s="3" t="str">
        <f t="shared" si="20"/>
        <v/>
      </c>
      <c r="G49" s="6">
        <v>22</v>
      </c>
      <c r="H49" s="6"/>
      <c r="I49" s="6"/>
      <c r="J49" s="6"/>
      <c r="K49" s="6">
        <v>54</v>
      </c>
      <c r="L49" s="6"/>
      <c r="M49" s="9">
        <f t="shared" si="21"/>
        <v>19</v>
      </c>
      <c r="N49" s="9" t="str">
        <f t="shared" si="22"/>
        <v/>
      </c>
      <c r="O49" s="9" t="str">
        <f t="shared" si="23"/>
        <v/>
      </c>
      <c r="P49" s="9" t="str">
        <f t="shared" si="24"/>
        <v/>
      </c>
      <c r="Q49" s="9">
        <f t="shared" si="25"/>
        <v>50</v>
      </c>
      <c r="R49" s="9" t="str">
        <f t="shared" si="26"/>
        <v/>
      </c>
      <c r="S49" s="9">
        <f t="shared" si="27"/>
        <v>12</v>
      </c>
      <c r="T49" s="9" t="str">
        <f t="shared" si="28"/>
        <v/>
      </c>
      <c r="U49" s="9" t="str">
        <f t="shared" si="29"/>
        <v/>
      </c>
      <c r="V49" s="9" t="str">
        <f t="shared" si="30"/>
        <v/>
      </c>
      <c r="W49" s="9" t="str">
        <f t="shared" si="31"/>
        <v/>
      </c>
      <c r="X49" s="9" t="str">
        <f t="shared" si="32"/>
        <v/>
      </c>
      <c r="Y49" s="14">
        <f t="shared" si="33"/>
        <v>12.09310981</v>
      </c>
      <c r="Z49" s="2" t="str">
        <f t="shared" si="34"/>
        <v/>
      </c>
      <c r="AA49" s="2" t="str">
        <f t="shared" si="35"/>
        <v/>
      </c>
      <c r="AB49" s="14" t="str">
        <f t="shared" si="36"/>
        <v/>
      </c>
      <c r="AC49" s="9">
        <f t="shared" si="37"/>
        <v>69</v>
      </c>
      <c r="AD49" s="9">
        <f t="shared" si="38"/>
        <v>0</v>
      </c>
      <c r="AE49" s="9">
        <f t="shared" si="39"/>
        <v>19</v>
      </c>
    </row>
    <row r="50" spans="1:31" x14ac:dyDescent="0.2">
      <c r="A50" s="7" t="s">
        <v>145</v>
      </c>
      <c r="B50" s="6" t="s">
        <v>82</v>
      </c>
      <c r="C50" s="6" t="s">
        <v>202</v>
      </c>
      <c r="F50" s="3">
        <f t="shared" si="20"/>
        <v>21</v>
      </c>
      <c r="G50" s="6">
        <v>54</v>
      </c>
      <c r="H50" s="6">
        <v>29</v>
      </c>
      <c r="I50" s="6">
        <v>45</v>
      </c>
      <c r="J50" s="6">
        <v>26</v>
      </c>
      <c r="K50" s="6">
        <v>41</v>
      </c>
      <c r="L50" s="6"/>
      <c r="M50" s="9">
        <f t="shared" si="21"/>
        <v>51</v>
      </c>
      <c r="N50" s="9">
        <f t="shared" si="22"/>
        <v>27</v>
      </c>
      <c r="O50" s="9">
        <f t="shared" si="23"/>
        <v>40</v>
      </c>
      <c r="P50" s="9">
        <f t="shared" si="24"/>
        <v>23</v>
      </c>
      <c r="Q50" s="9">
        <f t="shared" si="25"/>
        <v>39</v>
      </c>
      <c r="R50" s="9" t="str">
        <f t="shared" si="26"/>
        <v/>
      </c>
      <c r="S50" s="9" t="str">
        <f t="shared" si="27"/>
        <v/>
      </c>
      <c r="T50" s="9">
        <f t="shared" si="28"/>
        <v>4</v>
      </c>
      <c r="U50" s="9" t="str">
        <f t="shared" si="29"/>
        <v/>
      </c>
      <c r="V50" s="9">
        <f t="shared" si="30"/>
        <v>8</v>
      </c>
      <c r="W50" s="9" t="str">
        <f t="shared" si="31"/>
        <v/>
      </c>
      <c r="X50" s="9" t="str">
        <f t="shared" si="32"/>
        <v/>
      </c>
      <c r="Y50" s="14">
        <f t="shared" si="33"/>
        <v>12.08710977</v>
      </c>
      <c r="Z50" s="2" t="str">
        <f t="shared" si="34"/>
        <v>P</v>
      </c>
      <c r="AA50" s="2" t="str">
        <f t="shared" si="35"/>
        <v/>
      </c>
      <c r="AB50" s="14">
        <f t="shared" si="36"/>
        <v>12.08710977</v>
      </c>
      <c r="AC50" s="9">
        <f t="shared" si="37"/>
        <v>129</v>
      </c>
      <c r="AD50" s="9">
        <f t="shared" si="38"/>
        <v>0</v>
      </c>
      <c r="AE50" s="9">
        <f t="shared" si="39"/>
        <v>23</v>
      </c>
    </row>
    <row r="51" spans="1:31" x14ac:dyDescent="0.2">
      <c r="A51" s="7" t="s">
        <v>44</v>
      </c>
      <c r="B51" s="6" t="s">
        <v>19</v>
      </c>
      <c r="C51" s="6" t="s">
        <v>202</v>
      </c>
      <c r="F51" s="3" t="str">
        <f t="shared" si="20"/>
        <v/>
      </c>
      <c r="G51" s="6">
        <v>31</v>
      </c>
      <c r="H51" s="6">
        <v>25</v>
      </c>
      <c r="I51" s="6"/>
      <c r="J51" s="6"/>
      <c r="K51" s="6"/>
      <c r="L51" s="6"/>
      <c r="M51" s="9">
        <f t="shared" si="21"/>
        <v>28</v>
      </c>
      <c r="N51" s="9">
        <f t="shared" si="22"/>
        <v>23</v>
      </c>
      <c r="O51" s="9" t="str">
        <f t="shared" si="23"/>
        <v/>
      </c>
      <c r="P51" s="9" t="str">
        <f t="shared" si="24"/>
        <v/>
      </c>
      <c r="Q51" s="9" t="str">
        <f t="shared" si="25"/>
        <v/>
      </c>
      <c r="R51" s="9" t="str">
        <f t="shared" si="26"/>
        <v/>
      </c>
      <c r="S51" s="9">
        <f t="shared" si="27"/>
        <v>3</v>
      </c>
      <c r="T51" s="9">
        <f t="shared" si="28"/>
        <v>8</v>
      </c>
      <c r="U51" s="9" t="str">
        <f t="shared" si="29"/>
        <v/>
      </c>
      <c r="V51" s="9" t="str">
        <f t="shared" si="30"/>
        <v/>
      </c>
      <c r="W51" s="9" t="str">
        <f t="shared" si="31"/>
        <v/>
      </c>
      <c r="X51" s="9" t="str">
        <f t="shared" si="32"/>
        <v/>
      </c>
      <c r="Y51" s="14">
        <f t="shared" si="33"/>
        <v>11.094909770000001</v>
      </c>
      <c r="Z51" s="2" t="str">
        <f t="shared" si="34"/>
        <v/>
      </c>
      <c r="AA51" s="2" t="str">
        <f t="shared" si="35"/>
        <v/>
      </c>
      <c r="AB51" s="14" t="str">
        <f t="shared" si="36"/>
        <v/>
      </c>
      <c r="AC51" s="9">
        <f t="shared" si="37"/>
        <v>51</v>
      </c>
      <c r="AD51" s="9">
        <f t="shared" si="38"/>
        <v>0</v>
      </c>
      <c r="AE51" s="9">
        <f t="shared" si="39"/>
        <v>23</v>
      </c>
    </row>
    <row r="52" spans="1:31" x14ac:dyDescent="0.2">
      <c r="A52" s="7" t="s">
        <v>192</v>
      </c>
      <c r="B52" s="6" t="s">
        <v>19</v>
      </c>
      <c r="C52" s="6" t="s">
        <v>202</v>
      </c>
      <c r="F52" s="3" t="str">
        <f t="shared" si="20"/>
        <v/>
      </c>
      <c r="G52" s="6"/>
      <c r="H52" s="6"/>
      <c r="I52" s="6"/>
      <c r="J52" s="6"/>
      <c r="K52" s="6">
        <v>23</v>
      </c>
      <c r="L52" s="6"/>
      <c r="M52" s="9" t="str">
        <f t="shared" si="21"/>
        <v/>
      </c>
      <c r="N52" s="9" t="str">
        <f t="shared" si="22"/>
        <v/>
      </c>
      <c r="O52" s="9" t="str">
        <f t="shared" si="23"/>
        <v/>
      </c>
      <c r="P52" s="9" t="str">
        <f t="shared" si="24"/>
        <v/>
      </c>
      <c r="Q52" s="9">
        <f t="shared" si="25"/>
        <v>21</v>
      </c>
      <c r="R52" s="9" t="str">
        <f t="shared" si="26"/>
        <v/>
      </c>
      <c r="S52" s="9" t="str">
        <f t="shared" si="27"/>
        <v/>
      </c>
      <c r="T52" s="9" t="str">
        <f t="shared" si="28"/>
        <v/>
      </c>
      <c r="U52" s="9" t="str">
        <f t="shared" si="29"/>
        <v/>
      </c>
      <c r="V52" s="9" t="str">
        <f t="shared" si="30"/>
        <v/>
      </c>
      <c r="W52" s="9">
        <f t="shared" si="31"/>
        <v>10</v>
      </c>
      <c r="X52" s="9" t="str">
        <f t="shared" si="32"/>
        <v/>
      </c>
      <c r="Y52" s="14">
        <f t="shared" si="33"/>
        <v>10.097909789999999</v>
      </c>
      <c r="Z52" s="2" t="str">
        <f t="shared" si="34"/>
        <v/>
      </c>
      <c r="AA52" s="2" t="str">
        <f t="shared" si="35"/>
        <v/>
      </c>
      <c r="AB52" s="14" t="str">
        <f t="shared" si="36"/>
        <v/>
      </c>
      <c r="AC52" s="9">
        <f t="shared" si="37"/>
        <v>21</v>
      </c>
      <c r="AD52" s="9">
        <f t="shared" si="38"/>
        <v>0</v>
      </c>
      <c r="AE52" s="9">
        <f t="shared" si="39"/>
        <v>21</v>
      </c>
    </row>
    <row r="53" spans="1:31" x14ac:dyDescent="0.2">
      <c r="A53" s="7" t="s">
        <v>144</v>
      </c>
      <c r="B53" s="6" t="s">
        <v>106</v>
      </c>
      <c r="C53" s="6" t="s">
        <v>202</v>
      </c>
      <c r="F53" s="3">
        <f t="shared" si="20"/>
        <v>22</v>
      </c>
      <c r="G53" s="6">
        <v>60</v>
      </c>
      <c r="H53" s="6">
        <v>23</v>
      </c>
      <c r="I53" s="6"/>
      <c r="J53" s="6">
        <v>61</v>
      </c>
      <c r="K53" s="6">
        <v>46</v>
      </c>
      <c r="L53" s="6"/>
      <c r="M53" s="9">
        <f t="shared" si="21"/>
        <v>56</v>
      </c>
      <c r="N53" s="9">
        <f t="shared" si="22"/>
        <v>21</v>
      </c>
      <c r="O53" s="9" t="str">
        <f t="shared" si="23"/>
        <v/>
      </c>
      <c r="P53" s="9">
        <f t="shared" si="24"/>
        <v>56</v>
      </c>
      <c r="Q53" s="9">
        <f t="shared" si="25"/>
        <v>43</v>
      </c>
      <c r="R53" s="9" t="str">
        <f t="shared" si="26"/>
        <v/>
      </c>
      <c r="S53" s="9" t="str">
        <f t="shared" si="27"/>
        <v/>
      </c>
      <c r="T53" s="9">
        <f t="shared" si="28"/>
        <v>10</v>
      </c>
      <c r="U53" s="9" t="str">
        <f t="shared" si="29"/>
        <v/>
      </c>
      <c r="V53" s="9" t="str">
        <f t="shared" si="30"/>
        <v/>
      </c>
      <c r="W53" s="9" t="str">
        <f t="shared" si="31"/>
        <v/>
      </c>
      <c r="X53" s="9" t="str">
        <f t="shared" si="32"/>
        <v/>
      </c>
      <c r="Y53" s="14">
        <f t="shared" si="33"/>
        <v>10.08240979</v>
      </c>
      <c r="Z53" s="2" t="str">
        <f t="shared" si="34"/>
        <v>P</v>
      </c>
      <c r="AA53" s="2" t="str">
        <f t="shared" si="35"/>
        <v/>
      </c>
      <c r="AB53" s="14">
        <f t="shared" si="36"/>
        <v>10.08240979</v>
      </c>
      <c r="AC53" s="9">
        <f t="shared" si="37"/>
        <v>176</v>
      </c>
      <c r="AD53" s="9">
        <f t="shared" si="38"/>
        <v>0</v>
      </c>
      <c r="AE53" s="9">
        <f t="shared" si="39"/>
        <v>21</v>
      </c>
    </row>
    <row r="54" spans="1:31" x14ac:dyDescent="0.2">
      <c r="A54" s="7" t="s">
        <v>43</v>
      </c>
      <c r="B54" s="6" t="s">
        <v>51</v>
      </c>
      <c r="C54" s="6" t="s">
        <v>202</v>
      </c>
      <c r="F54" s="3" t="str">
        <f t="shared" si="20"/>
        <v/>
      </c>
      <c r="G54" s="6">
        <v>30</v>
      </c>
      <c r="H54" s="6">
        <v>62</v>
      </c>
      <c r="I54" s="6"/>
      <c r="J54" s="6">
        <v>31</v>
      </c>
      <c r="K54" s="6"/>
      <c r="L54" s="6"/>
      <c r="M54" s="9">
        <f t="shared" si="21"/>
        <v>27</v>
      </c>
      <c r="N54" s="9">
        <f t="shared" si="22"/>
        <v>59</v>
      </c>
      <c r="O54" s="9" t="str">
        <f t="shared" si="23"/>
        <v/>
      </c>
      <c r="P54" s="9">
        <f t="shared" si="24"/>
        <v>27</v>
      </c>
      <c r="Q54" s="9" t="str">
        <f t="shared" si="25"/>
        <v/>
      </c>
      <c r="R54" s="9" t="str">
        <f t="shared" si="26"/>
        <v/>
      </c>
      <c r="S54" s="9">
        <f t="shared" si="27"/>
        <v>4</v>
      </c>
      <c r="T54" s="9" t="str">
        <f t="shared" si="28"/>
        <v/>
      </c>
      <c r="U54" s="9" t="str">
        <f t="shared" si="29"/>
        <v/>
      </c>
      <c r="V54" s="9">
        <f t="shared" si="30"/>
        <v>4</v>
      </c>
      <c r="W54" s="9" t="str">
        <f t="shared" si="31"/>
        <v/>
      </c>
      <c r="X54" s="9" t="str">
        <f t="shared" si="32"/>
        <v/>
      </c>
      <c r="Y54" s="14">
        <f t="shared" si="33"/>
        <v>8.0887097299999997</v>
      </c>
      <c r="Z54" s="2" t="str">
        <f t="shared" si="34"/>
        <v/>
      </c>
      <c r="AA54" s="2" t="str">
        <f t="shared" si="35"/>
        <v/>
      </c>
      <c r="AB54" s="14" t="str">
        <f t="shared" si="36"/>
        <v/>
      </c>
      <c r="AC54" s="9">
        <f t="shared" si="37"/>
        <v>113</v>
      </c>
      <c r="AD54" s="9">
        <f t="shared" si="38"/>
        <v>0</v>
      </c>
      <c r="AE54" s="9">
        <f t="shared" si="39"/>
        <v>27</v>
      </c>
    </row>
    <row r="55" spans="1:31" x14ac:dyDescent="0.2">
      <c r="A55" s="7" t="s">
        <v>42</v>
      </c>
      <c r="B55" s="6" t="s">
        <v>22</v>
      </c>
      <c r="C55" s="6" t="s">
        <v>202</v>
      </c>
      <c r="F55" s="3" t="str">
        <f t="shared" si="20"/>
        <v/>
      </c>
      <c r="G55" s="6">
        <v>29</v>
      </c>
      <c r="H55" s="6">
        <v>53</v>
      </c>
      <c r="I55" s="6"/>
      <c r="J55" s="6">
        <v>34</v>
      </c>
      <c r="K55" s="6"/>
      <c r="L55" s="6"/>
      <c r="M55" s="9">
        <f t="shared" si="21"/>
        <v>26</v>
      </c>
      <c r="N55" s="9">
        <f t="shared" si="22"/>
        <v>50</v>
      </c>
      <c r="O55" s="9" t="str">
        <f t="shared" si="23"/>
        <v/>
      </c>
      <c r="P55" s="9">
        <f t="shared" si="24"/>
        <v>29</v>
      </c>
      <c r="Q55" s="9" t="str">
        <f t="shared" si="25"/>
        <v/>
      </c>
      <c r="R55" s="9" t="str">
        <f t="shared" si="26"/>
        <v/>
      </c>
      <c r="S55" s="9">
        <f t="shared" si="27"/>
        <v>5</v>
      </c>
      <c r="T55" s="9" t="str">
        <f t="shared" si="28"/>
        <v/>
      </c>
      <c r="U55" s="9" t="str">
        <f t="shared" si="29"/>
        <v/>
      </c>
      <c r="V55" s="9">
        <f t="shared" si="30"/>
        <v>2</v>
      </c>
      <c r="W55" s="9" t="str">
        <f t="shared" si="31"/>
        <v/>
      </c>
      <c r="X55" s="9" t="str">
        <f t="shared" si="32"/>
        <v/>
      </c>
      <c r="Y55" s="14">
        <f t="shared" si="33"/>
        <v>7.0895097400000004</v>
      </c>
      <c r="Z55" s="2" t="str">
        <f t="shared" si="34"/>
        <v/>
      </c>
      <c r="AA55" s="2" t="str">
        <f t="shared" si="35"/>
        <v>P</v>
      </c>
      <c r="AB55" s="14" t="str">
        <f t="shared" si="36"/>
        <v/>
      </c>
      <c r="AC55" s="9">
        <f t="shared" si="37"/>
        <v>105</v>
      </c>
      <c r="AD55" s="9">
        <f t="shared" si="38"/>
        <v>0</v>
      </c>
      <c r="AE55" s="9">
        <f t="shared" si="39"/>
        <v>26</v>
      </c>
    </row>
    <row r="56" spans="1:31" x14ac:dyDescent="0.2">
      <c r="A56" s="7" t="s">
        <v>161</v>
      </c>
      <c r="B56" s="6" t="s">
        <v>160</v>
      </c>
      <c r="C56" s="6" t="s">
        <v>202</v>
      </c>
      <c r="F56" s="3">
        <f t="shared" si="20"/>
        <v>23</v>
      </c>
      <c r="G56" s="6"/>
      <c r="H56" s="6">
        <v>47</v>
      </c>
      <c r="I56" s="6">
        <v>34</v>
      </c>
      <c r="J56" s="6">
        <v>29</v>
      </c>
      <c r="K56" s="6">
        <v>39</v>
      </c>
      <c r="L56" s="6"/>
      <c r="M56" s="9" t="str">
        <f t="shared" si="21"/>
        <v/>
      </c>
      <c r="N56" s="9">
        <f t="shared" si="22"/>
        <v>45</v>
      </c>
      <c r="O56" s="9">
        <f t="shared" si="23"/>
        <v>30</v>
      </c>
      <c r="P56" s="9">
        <f t="shared" si="24"/>
        <v>25</v>
      </c>
      <c r="Q56" s="9">
        <f t="shared" si="25"/>
        <v>37</v>
      </c>
      <c r="R56" s="9" t="str">
        <f t="shared" si="26"/>
        <v/>
      </c>
      <c r="S56" s="9" t="str">
        <f t="shared" si="27"/>
        <v/>
      </c>
      <c r="T56" s="9" t="str">
        <f t="shared" si="28"/>
        <v/>
      </c>
      <c r="U56" s="9">
        <f t="shared" si="29"/>
        <v>1</v>
      </c>
      <c r="V56" s="9">
        <f t="shared" si="30"/>
        <v>6</v>
      </c>
      <c r="W56" s="9" t="str">
        <f t="shared" si="31"/>
        <v/>
      </c>
      <c r="X56" s="9" t="str">
        <f t="shared" si="32"/>
        <v/>
      </c>
      <c r="Y56" s="14">
        <f t="shared" si="33"/>
        <v>7.0863097499999999</v>
      </c>
      <c r="Z56" s="2" t="str">
        <f t="shared" si="34"/>
        <v>P</v>
      </c>
      <c r="AA56" s="2" t="str">
        <f t="shared" si="35"/>
        <v/>
      </c>
      <c r="AB56" s="14">
        <f t="shared" si="36"/>
        <v>7.0863097499999999</v>
      </c>
      <c r="AC56" s="9">
        <f t="shared" si="37"/>
        <v>137</v>
      </c>
      <c r="AD56" s="9">
        <f t="shared" si="38"/>
        <v>0</v>
      </c>
      <c r="AE56" s="9">
        <f t="shared" si="39"/>
        <v>25</v>
      </c>
    </row>
    <row r="57" spans="1:31" x14ac:dyDescent="0.2">
      <c r="A57" s="7" t="s">
        <v>193</v>
      </c>
      <c r="B57" s="6" t="s">
        <v>19</v>
      </c>
      <c r="C57" s="6" t="s">
        <v>202</v>
      </c>
      <c r="F57" s="3" t="str">
        <f t="shared" si="20"/>
        <v/>
      </c>
      <c r="G57" s="6"/>
      <c r="H57" s="6"/>
      <c r="I57" s="6"/>
      <c r="J57" s="6"/>
      <c r="K57" s="6">
        <v>28</v>
      </c>
      <c r="L57" s="6"/>
      <c r="M57" s="9" t="str">
        <f t="shared" si="21"/>
        <v/>
      </c>
      <c r="N57" s="9" t="str">
        <f t="shared" si="22"/>
        <v/>
      </c>
      <c r="O57" s="9" t="str">
        <f t="shared" si="23"/>
        <v/>
      </c>
      <c r="P57" s="9" t="str">
        <f t="shared" si="24"/>
        <v/>
      </c>
      <c r="Q57" s="9">
        <f t="shared" si="25"/>
        <v>26</v>
      </c>
      <c r="R57" s="9" t="str">
        <f t="shared" si="26"/>
        <v/>
      </c>
      <c r="S57" s="9" t="str">
        <f t="shared" si="27"/>
        <v/>
      </c>
      <c r="T57" s="9" t="str">
        <f t="shared" si="28"/>
        <v/>
      </c>
      <c r="U57" s="9" t="str">
        <f t="shared" si="29"/>
        <v/>
      </c>
      <c r="V57" s="9" t="str">
        <f t="shared" si="30"/>
        <v/>
      </c>
      <c r="W57" s="9">
        <f t="shared" si="31"/>
        <v>5</v>
      </c>
      <c r="X57" s="9" t="str">
        <f t="shared" si="32"/>
        <v/>
      </c>
      <c r="Y57" s="14">
        <f t="shared" si="33"/>
        <v>5.0974097400000007</v>
      </c>
      <c r="Z57" s="2" t="str">
        <f t="shared" si="34"/>
        <v/>
      </c>
      <c r="AA57" s="2" t="str">
        <f t="shared" si="35"/>
        <v/>
      </c>
      <c r="AB57" s="14" t="str">
        <f t="shared" si="36"/>
        <v/>
      </c>
      <c r="AC57" s="9">
        <f t="shared" si="37"/>
        <v>26</v>
      </c>
      <c r="AD57" s="9">
        <f t="shared" si="38"/>
        <v>0</v>
      </c>
      <c r="AE57" s="9">
        <f t="shared" si="39"/>
        <v>26</v>
      </c>
    </row>
    <row r="58" spans="1:31" x14ac:dyDescent="0.2">
      <c r="A58" s="7" t="s">
        <v>181</v>
      </c>
      <c r="B58" s="6" t="s">
        <v>17</v>
      </c>
      <c r="C58" s="6" t="s">
        <v>203</v>
      </c>
      <c r="F58" s="3" t="str">
        <f t="shared" si="20"/>
        <v/>
      </c>
      <c r="G58" s="6"/>
      <c r="H58" s="6">
        <v>60</v>
      </c>
      <c r="I58" s="6"/>
      <c r="J58" s="6">
        <v>30</v>
      </c>
      <c r="K58" s="6"/>
      <c r="L58" s="6"/>
      <c r="M58" s="9" t="str">
        <f t="shared" si="21"/>
        <v/>
      </c>
      <c r="N58" s="9">
        <f t="shared" si="22"/>
        <v>57</v>
      </c>
      <c r="O58" s="9" t="str">
        <f t="shared" si="23"/>
        <v/>
      </c>
      <c r="P58" s="9">
        <f t="shared" si="24"/>
        <v>26</v>
      </c>
      <c r="Q58" s="9" t="str">
        <f t="shared" si="25"/>
        <v/>
      </c>
      <c r="R58" s="9" t="str">
        <f t="shared" si="26"/>
        <v/>
      </c>
      <c r="S58" s="9" t="str">
        <f t="shared" si="27"/>
        <v/>
      </c>
      <c r="T58" s="9" t="str">
        <f t="shared" si="28"/>
        <v/>
      </c>
      <c r="U58" s="9" t="str">
        <f t="shared" si="29"/>
        <v/>
      </c>
      <c r="V58" s="9">
        <f t="shared" si="30"/>
        <v>5</v>
      </c>
      <c r="W58" s="9" t="str">
        <f t="shared" si="31"/>
        <v/>
      </c>
      <c r="X58" s="9" t="str">
        <f t="shared" si="32"/>
        <v/>
      </c>
      <c r="Y58" s="14">
        <f t="shared" si="33"/>
        <v>5.0917097400000007</v>
      </c>
      <c r="Z58" s="2" t="str">
        <f t="shared" si="34"/>
        <v/>
      </c>
      <c r="AA58" s="2" t="str">
        <f t="shared" si="35"/>
        <v>P</v>
      </c>
      <c r="AB58" s="14" t="str">
        <f t="shared" si="36"/>
        <v/>
      </c>
      <c r="AC58" s="9">
        <f t="shared" si="37"/>
        <v>83</v>
      </c>
      <c r="AD58" s="9">
        <f t="shared" si="38"/>
        <v>0</v>
      </c>
      <c r="AE58" s="9">
        <f t="shared" si="39"/>
        <v>26</v>
      </c>
    </row>
    <row r="59" spans="1:31" x14ac:dyDescent="0.2">
      <c r="A59" s="7" t="s">
        <v>150</v>
      </c>
      <c r="B59" s="6" t="s">
        <v>136</v>
      </c>
      <c r="C59" s="6" t="s">
        <v>202</v>
      </c>
      <c r="F59" s="3">
        <f t="shared" si="20"/>
        <v>24</v>
      </c>
      <c r="G59" s="6">
        <v>52</v>
      </c>
      <c r="H59" s="6">
        <v>37</v>
      </c>
      <c r="I59" s="6">
        <v>31</v>
      </c>
      <c r="J59" s="6">
        <v>39</v>
      </c>
      <c r="K59" s="6">
        <v>48</v>
      </c>
      <c r="L59" s="6"/>
      <c r="M59" s="9">
        <f t="shared" si="21"/>
        <v>49</v>
      </c>
      <c r="N59" s="9">
        <f t="shared" si="22"/>
        <v>35</v>
      </c>
      <c r="O59" s="9">
        <f t="shared" si="23"/>
        <v>27</v>
      </c>
      <c r="P59" s="9">
        <f t="shared" si="24"/>
        <v>34</v>
      </c>
      <c r="Q59" s="9">
        <f t="shared" si="25"/>
        <v>45</v>
      </c>
      <c r="R59" s="9" t="str">
        <f t="shared" si="26"/>
        <v/>
      </c>
      <c r="S59" s="9" t="str">
        <f t="shared" si="27"/>
        <v/>
      </c>
      <c r="T59" s="9" t="str">
        <f t="shared" si="28"/>
        <v/>
      </c>
      <c r="U59" s="9">
        <f t="shared" si="29"/>
        <v>4</v>
      </c>
      <c r="V59" s="9" t="str">
        <f t="shared" si="30"/>
        <v/>
      </c>
      <c r="W59" s="9" t="str">
        <f t="shared" si="31"/>
        <v/>
      </c>
      <c r="X59" s="9" t="str">
        <f t="shared" si="32"/>
        <v/>
      </c>
      <c r="Y59" s="14">
        <f t="shared" si="33"/>
        <v>4.08590973</v>
      </c>
      <c r="Z59" s="2" t="str">
        <f t="shared" si="34"/>
        <v>P</v>
      </c>
      <c r="AA59" s="2" t="str">
        <f t="shared" si="35"/>
        <v/>
      </c>
      <c r="AB59" s="14">
        <f t="shared" si="36"/>
        <v>4.08590973</v>
      </c>
      <c r="AC59" s="9">
        <f t="shared" si="37"/>
        <v>141</v>
      </c>
      <c r="AD59" s="9">
        <f t="shared" si="38"/>
        <v>0</v>
      </c>
      <c r="AE59" s="9">
        <f t="shared" si="39"/>
        <v>27</v>
      </c>
    </row>
    <row r="60" spans="1:31" x14ac:dyDescent="0.2">
      <c r="A60" s="7" t="s">
        <v>47</v>
      </c>
      <c r="B60" s="6" t="s">
        <v>60</v>
      </c>
      <c r="C60" s="6" t="s">
        <v>202</v>
      </c>
      <c r="F60" s="3">
        <f t="shared" si="20"/>
        <v>25</v>
      </c>
      <c r="G60" s="6">
        <v>35</v>
      </c>
      <c r="H60" s="6">
        <v>41</v>
      </c>
      <c r="I60" s="6">
        <v>33</v>
      </c>
      <c r="J60" s="6">
        <v>37</v>
      </c>
      <c r="K60" s="6">
        <v>43</v>
      </c>
      <c r="L60" s="6"/>
      <c r="M60" s="9">
        <f t="shared" si="21"/>
        <v>32</v>
      </c>
      <c r="N60" s="9">
        <f t="shared" si="22"/>
        <v>39</v>
      </c>
      <c r="O60" s="9">
        <f t="shared" si="23"/>
        <v>29</v>
      </c>
      <c r="P60" s="9">
        <f t="shared" si="24"/>
        <v>32</v>
      </c>
      <c r="Q60" s="9">
        <f t="shared" si="25"/>
        <v>40</v>
      </c>
      <c r="R60" s="9" t="str">
        <f t="shared" si="26"/>
        <v/>
      </c>
      <c r="S60" s="9" t="str">
        <f t="shared" si="27"/>
        <v/>
      </c>
      <c r="T60" s="9" t="str">
        <f t="shared" si="28"/>
        <v/>
      </c>
      <c r="U60" s="9">
        <f t="shared" si="29"/>
        <v>2</v>
      </c>
      <c r="V60" s="9" t="str">
        <f t="shared" si="30"/>
        <v/>
      </c>
      <c r="W60" s="9" t="str">
        <f t="shared" si="31"/>
        <v/>
      </c>
      <c r="X60" s="9" t="str">
        <f t="shared" si="32"/>
        <v/>
      </c>
      <c r="Y60" s="14">
        <f t="shared" si="33"/>
        <v>2.0868097100000003</v>
      </c>
      <c r="Z60" s="2" t="str">
        <f t="shared" si="34"/>
        <v>P</v>
      </c>
      <c r="AA60" s="2" t="str">
        <f t="shared" si="35"/>
        <v/>
      </c>
      <c r="AB60" s="14">
        <f t="shared" si="36"/>
        <v>2.0868097100000003</v>
      </c>
      <c r="AC60" s="9">
        <f t="shared" si="37"/>
        <v>132</v>
      </c>
      <c r="AD60" s="9">
        <f t="shared" si="38"/>
        <v>0</v>
      </c>
      <c r="AE60" s="9">
        <f t="shared" si="39"/>
        <v>29</v>
      </c>
    </row>
    <row r="61" spans="1:31" x14ac:dyDescent="0.2">
      <c r="A61" s="7" t="s">
        <v>194</v>
      </c>
      <c r="B61" s="6" t="s">
        <v>195</v>
      </c>
      <c r="C61" s="6" t="s">
        <v>202</v>
      </c>
      <c r="F61" s="3">
        <f t="shared" si="20"/>
        <v>26</v>
      </c>
      <c r="G61" s="6"/>
      <c r="H61" s="6"/>
      <c r="I61" s="6"/>
      <c r="J61" s="6"/>
      <c r="K61" s="6">
        <v>32</v>
      </c>
      <c r="L61" s="6"/>
      <c r="M61" s="9" t="str">
        <f t="shared" si="21"/>
        <v/>
      </c>
      <c r="N61" s="9" t="str">
        <f t="shared" si="22"/>
        <v/>
      </c>
      <c r="O61" s="9" t="str">
        <f t="shared" si="23"/>
        <v/>
      </c>
      <c r="P61" s="9" t="str">
        <f t="shared" si="24"/>
        <v/>
      </c>
      <c r="Q61" s="9">
        <f t="shared" si="25"/>
        <v>30</v>
      </c>
      <c r="R61" s="9" t="str">
        <f t="shared" si="26"/>
        <v/>
      </c>
      <c r="S61" s="9" t="str">
        <f t="shared" si="27"/>
        <v/>
      </c>
      <c r="T61" s="9" t="str">
        <f t="shared" si="28"/>
        <v/>
      </c>
      <c r="U61" s="9" t="str">
        <f t="shared" si="29"/>
        <v/>
      </c>
      <c r="V61" s="9" t="str">
        <f t="shared" si="30"/>
        <v/>
      </c>
      <c r="W61" s="9">
        <f t="shared" si="31"/>
        <v>1</v>
      </c>
      <c r="X61" s="9" t="str">
        <f t="shared" si="32"/>
        <v/>
      </c>
      <c r="Y61" s="14">
        <f t="shared" si="33"/>
        <v>1.0970096999999999</v>
      </c>
      <c r="Z61" s="2" t="str">
        <f t="shared" si="34"/>
        <v>P</v>
      </c>
      <c r="AA61" s="2" t="str">
        <f t="shared" si="35"/>
        <v/>
      </c>
      <c r="AB61" s="14">
        <f t="shared" si="36"/>
        <v>1.0970096999999999</v>
      </c>
      <c r="AC61" s="9">
        <f t="shared" si="37"/>
        <v>30</v>
      </c>
      <c r="AD61" s="9">
        <f t="shared" si="38"/>
        <v>0</v>
      </c>
      <c r="AE61" s="9">
        <f t="shared" si="39"/>
        <v>30</v>
      </c>
    </row>
    <row r="62" spans="1:31" x14ac:dyDescent="0.2">
      <c r="A62" s="7" t="s">
        <v>151</v>
      </c>
      <c r="B62" s="6" t="s">
        <v>82</v>
      </c>
      <c r="C62" s="6" t="s">
        <v>202</v>
      </c>
      <c r="F62" s="3" t="str">
        <f t="shared" si="20"/>
        <v/>
      </c>
      <c r="G62" s="6"/>
      <c r="H62" s="6">
        <v>38</v>
      </c>
      <c r="I62" s="6">
        <v>35</v>
      </c>
      <c r="J62" s="6">
        <v>35</v>
      </c>
      <c r="K62" s="6"/>
      <c r="L62" s="6"/>
      <c r="M62" s="9" t="str">
        <f t="shared" si="21"/>
        <v/>
      </c>
      <c r="N62" s="9">
        <f t="shared" si="22"/>
        <v>36</v>
      </c>
      <c r="O62" s="9">
        <f t="shared" si="23"/>
        <v>31</v>
      </c>
      <c r="P62" s="9">
        <f t="shared" si="24"/>
        <v>30</v>
      </c>
      <c r="Q62" s="9" t="str">
        <f t="shared" si="25"/>
        <v/>
      </c>
      <c r="R62" s="9" t="str">
        <f t="shared" si="26"/>
        <v/>
      </c>
      <c r="S62" s="9" t="str">
        <f t="shared" si="27"/>
        <v/>
      </c>
      <c r="T62" s="9" t="str">
        <f t="shared" si="28"/>
        <v/>
      </c>
      <c r="U62" s="9" t="str">
        <f t="shared" si="29"/>
        <v/>
      </c>
      <c r="V62" s="9">
        <f t="shared" si="30"/>
        <v>1</v>
      </c>
      <c r="W62" s="9" t="str">
        <f t="shared" si="31"/>
        <v/>
      </c>
      <c r="X62" s="9" t="str">
        <f t="shared" si="32"/>
        <v/>
      </c>
      <c r="Y62" s="14">
        <f t="shared" si="33"/>
        <v>1.0903096999999999</v>
      </c>
      <c r="Z62" s="2" t="str">
        <f t="shared" si="34"/>
        <v/>
      </c>
      <c r="AA62" s="2" t="str">
        <f t="shared" si="35"/>
        <v/>
      </c>
      <c r="AB62" s="14" t="str">
        <f t="shared" si="36"/>
        <v/>
      </c>
      <c r="AC62" s="9">
        <f t="shared" si="37"/>
        <v>97</v>
      </c>
      <c r="AD62" s="9">
        <f t="shared" si="38"/>
        <v>0</v>
      </c>
      <c r="AE62" s="9">
        <f t="shared" si="39"/>
        <v>30</v>
      </c>
    </row>
    <row r="63" spans="1:31" x14ac:dyDescent="0.2">
      <c r="A63" s="7" t="s">
        <v>146</v>
      </c>
      <c r="B63" s="6" t="s">
        <v>106</v>
      </c>
      <c r="C63" s="6" t="s">
        <v>202</v>
      </c>
      <c r="F63" s="3" t="str">
        <f t="shared" si="20"/>
        <v/>
      </c>
      <c r="G63" s="6">
        <v>39</v>
      </c>
      <c r="H63" s="6">
        <v>32</v>
      </c>
      <c r="I63" s="6"/>
      <c r="J63" s="6">
        <v>47</v>
      </c>
      <c r="K63" s="6">
        <v>37</v>
      </c>
      <c r="L63" s="6"/>
      <c r="M63" s="9">
        <f t="shared" si="21"/>
        <v>36</v>
      </c>
      <c r="N63" s="9">
        <f t="shared" si="22"/>
        <v>30</v>
      </c>
      <c r="O63" s="9" t="str">
        <f t="shared" si="23"/>
        <v/>
      </c>
      <c r="P63" s="9">
        <f t="shared" si="24"/>
        <v>42</v>
      </c>
      <c r="Q63" s="9">
        <f t="shared" si="25"/>
        <v>35</v>
      </c>
      <c r="R63" s="9" t="str">
        <f t="shared" si="26"/>
        <v/>
      </c>
      <c r="S63" s="9" t="str">
        <f t="shared" si="27"/>
        <v/>
      </c>
      <c r="T63" s="9">
        <f t="shared" si="28"/>
        <v>1</v>
      </c>
      <c r="U63" s="9" t="str">
        <f t="shared" si="29"/>
        <v/>
      </c>
      <c r="V63" s="9" t="str">
        <f t="shared" si="30"/>
        <v/>
      </c>
      <c r="W63" s="9" t="str">
        <f t="shared" si="31"/>
        <v/>
      </c>
      <c r="X63" s="9" t="str">
        <f t="shared" si="32"/>
        <v/>
      </c>
      <c r="Y63" s="14">
        <f t="shared" si="33"/>
        <v>1.0857097</v>
      </c>
      <c r="Z63" s="2" t="str">
        <f t="shared" si="34"/>
        <v/>
      </c>
      <c r="AA63" s="2" t="str">
        <f t="shared" si="35"/>
        <v/>
      </c>
      <c r="AB63" s="14" t="str">
        <f t="shared" si="36"/>
        <v/>
      </c>
      <c r="AC63" s="9">
        <f t="shared" si="37"/>
        <v>143</v>
      </c>
      <c r="AD63" s="9">
        <f t="shared" si="38"/>
        <v>0</v>
      </c>
      <c r="AE63" s="9">
        <f t="shared" si="39"/>
        <v>30</v>
      </c>
    </row>
    <row r="64" spans="1:31" x14ac:dyDescent="0.2">
      <c r="A64" s="7" t="s">
        <v>183</v>
      </c>
      <c r="B64" s="6" t="s">
        <v>54</v>
      </c>
      <c r="C64" s="6" t="s">
        <v>203</v>
      </c>
      <c r="F64" s="3" t="str">
        <f t="shared" si="20"/>
        <v/>
      </c>
      <c r="G64" s="6"/>
      <c r="H64" s="6"/>
      <c r="I64" s="6">
        <v>42</v>
      </c>
      <c r="J64" s="6">
        <v>38</v>
      </c>
      <c r="K64" s="6">
        <v>38</v>
      </c>
      <c r="L64" s="6"/>
      <c r="M64" s="9" t="str">
        <f t="shared" si="21"/>
        <v/>
      </c>
      <c r="N64" s="9" t="str">
        <f t="shared" si="22"/>
        <v/>
      </c>
      <c r="O64" s="9">
        <f t="shared" si="23"/>
        <v>37</v>
      </c>
      <c r="P64" s="9">
        <f t="shared" si="24"/>
        <v>33</v>
      </c>
      <c r="Q64" s="9">
        <f t="shared" si="25"/>
        <v>36</v>
      </c>
      <c r="R64" s="9" t="str">
        <f t="shared" si="26"/>
        <v/>
      </c>
      <c r="S64" s="9" t="str">
        <f t="shared" si="27"/>
        <v/>
      </c>
      <c r="T64" s="9" t="str">
        <f t="shared" si="28"/>
        <v/>
      </c>
      <c r="U64" s="9" t="str">
        <f t="shared" si="29"/>
        <v/>
      </c>
      <c r="V64" s="9" t="str">
        <f t="shared" si="30"/>
        <v/>
      </c>
      <c r="W64" s="9" t="str">
        <f t="shared" si="31"/>
        <v/>
      </c>
      <c r="X64" s="9" t="str">
        <f t="shared" si="32"/>
        <v/>
      </c>
      <c r="Y64" s="14">
        <f t="shared" si="33"/>
        <v>0</v>
      </c>
      <c r="Z64" s="2" t="str">
        <f t="shared" si="34"/>
        <v/>
      </c>
      <c r="AA64" s="2" t="str">
        <f t="shared" si="35"/>
        <v/>
      </c>
      <c r="AB64" s="14" t="str">
        <f t="shared" si="36"/>
        <v/>
      </c>
      <c r="AC64" s="9">
        <f t="shared" si="37"/>
        <v>106</v>
      </c>
      <c r="AD64" s="9">
        <f t="shared" si="38"/>
        <v>0</v>
      </c>
      <c r="AE64" s="9">
        <f t="shared" si="39"/>
        <v>33</v>
      </c>
    </row>
    <row r="65" spans="1:31" x14ac:dyDescent="0.2">
      <c r="A65" s="7" t="s">
        <v>50</v>
      </c>
      <c r="B65" s="6" t="s">
        <v>51</v>
      </c>
      <c r="C65" s="6" t="s">
        <v>202</v>
      </c>
      <c r="F65" s="3" t="str">
        <f t="shared" si="20"/>
        <v/>
      </c>
      <c r="G65" s="6">
        <v>38</v>
      </c>
      <c r="H65" s="6">
        <v>40</v>
      </c>
      <c r="I65" s="6"/>
      <c r="J65" s="6">
        <v>42</v>
      </c>
      <c r="K65" s="6"/>
      <c r="L65" s="6"/>
      <c r="M65" s="9">
        <f t="shared" si="21"/>
        <v>35</v>
      </c>
      <c r="N65" s="9">
        <f t="shared" si="22"/>
        <v>38</v>
      </c>
      <c r="O65" s="9" t="str">
        <f t="shared" si="23"/>
        <v/>
      </c>
      <c r="P65" s="9">
        <f t="shared" si="24"/>
        <v>37</v>
      </c>
      <c r="Q65" s="9" t="str">
        <f t="shared" si="25"/>
        <v/>
      </c>
      <c r="R65" s="9" t="str">
        <f t="shared" si="26"/>
        <v/>
      </c>
      <c r="S65" s="9" t="str">
        <f t="shared" si="27"/>
        <v/>
      </c>
      <c r="T65" s="9" t="str">
        <f t="shared" si="28"/>
        <v/>
      </c>
      <c r="U65" s="9" t="str">
        <f t="shared" si="29"/>
        <v/>
      </c>
      <c r="V65" s="9" t="str">
        <f t="shared" si="30"/>
        <v/>
      </c>
      <c r="W65" s="9" t="str">
        <f t="shared" si="31"/>
        <v/>
      </c>
      <c r="X65" s="9" t="str">
        <f t="shared" si="32"/>
        <v/>
      </c>
      <c r="Y65" s="14">
        <f t="shared" si="33"/>
        <v>0</v>
      </c>
      <c r="Z65" s="2" t="str">
        <f t="shared" si="34"/>
        <v/>
      </c>
      <c r="AA65" s="2" t="str">
        <f t="shared" si="35"/>
        <v/>
      </c>
      <c r="AB65" s="14" t="str">
        <f t="shared" si="36"/>
        <v/>
      </c>
      <c r="AC65" s="9">
        <f t="shared" si="37"/>
        <v>110</v>
      </c>
      <c r="AD65" s="9">
        <f t="shared" si="38"/>
        <v>0</v>
      </c>
      <c r="AE65" s="9">
        <f t="shared" si="39"/>
        <v>35</v>
      </c>
    </row>
    <row r="66" spans="1:31" x14ac:dyDescent="0.2">
      <c r="A66" s="7" t="s">
        <v>162</v>
      </c>
      <c r="B66" s="6" t="s">
        <v>54</v>
      </c>
      <c r="C66" s="6" t="s">
        <v>203</v>
      </c>
      <c r="F66" s="3" t="str">
        <f t="shared" si="20"/>
        <v/>
      </c>
      <c r="G66" s="6"/>
      <c r="H66" s="6"/>
      <c r="I66" s="6">
        <v>36</v>
      </c>
      <c r="J66" s="6"/>
      <c r="K66" s="6"/>
      <c r="L66" s="6"/>
      <c r="M66" s="9" t="str">
        <f t="shared" si="21"/>
        <v/>
      </c>
      <c r="N66" s="9" t="str">
        <f t="shared" si="22"/>
        <v/>
      </c>
      <c r="O66" s="9">
        <f t="shared" si="23"/>
        <v>32</v>
      </c>
      <c r="P66" s="9" t="str">
        <f t="shared" si="24"/>
        <v/>
      </c>
      <c r="Q66" s="9" t="str">
        <f t="shared" si="25"/>
        <v/>
      </c>
      <c r="R66" s="9" t="str">
        <f t="shared" si="26"/>
        <v/>
      </c>
      <c r="S66" s="9" t="str">
        <f t="shared" si="27"/>
        <v/>
      </c>
      <c r="T66" s="9" t="str">
        <f t="shared" si="28"/>
        <v/>
      </c>
      <c r="U66" s="9" t="str">
        <f t="shared" si="29"/>
        <v/>
      </c>
      <c r="V66" s="9" t="str">
        <f t="shared" si="30"/>
        <v/>
      </c>
      <c r="W66" s="9" t="str">
        <f t="shared" si="31"/>
        <v/>
      </c>
      <c r="X66" s="9" t="str">
        <f t="shared" si="32"/>
        <v/>
      </c>
      <c r="Y66" s="14">
        <f t="shared" si="33"/>
        <v>0</v>
      </c>
      <c r="Z66" s="2" t="str">
        <f t="shared" si="34"/>
        <v/>
      </c>
      <c r="AA66" s="2" t="str">
        <f t="shared" si="35"/>
        <v/>
      </c>
      <c r="AB66" s="14" t="str">
        <f t="shared" si="36"/>
        <v/>
      </c>
      <c r="AC66" s="9">
        <f t="shared" si="37"/>
        <v>32</v>
      </c>
      <c r="AD66" s="9">
        <f t="shared" si="38"/>
        <v>0</v>
      </c>
      <c r="AE66" s="9">
        <f t="shared" si="39"/>
        <v>32</v>
      </c>
    </row>
    <row r="67" spans="1:31" x14ac:dyDescent="0.2">
      <c r="A67" s="7" t="s">
        <v>147</v>
      </c>
      <c r="B67" s="6" t="s">
        <v>148</v>
      </c>
      <c r="C67" s="6" t="s">
        <v>202</v>
      </c>
      <c r="F67" s="3" t="str">
        <f t="shared" ref="F67:F70" si="40">IF(AB67="","",RANK(AB67,AB:AB)+COUNTIF(D:E,"P"))</f>
        <v/>
      </c>
      <c r="G67" s="6">
        <v>61</v>
      </c>
      <c r="H67" s="6">
        <v>33</v>
      </c>
      <c r="I67" s="6">
        <v>47</v>
      </c>
      <c r="J67" s="6">
        <v>49</v>
      </c>
      <c r="K67" s="6"/>
      <c r="L67" s="6"/>
      <c r="M67" s="9">
        <f t="shared" si="21"/>
        <v>57</v>
      </c>
      <c r="N67" s="9">
        <f t="shared" si="22"/>
        <v>31</v>
      </c>
      <c r="O67" s="9">
        <f t="shared" si="23"/>
        <v>42</v>
      </c>
      <c r="P67" s="9">
        <f t="shared" si="24"/>
        <v>44</v>
      </c>
      <c r="Q67" s="9" t="str">
        <f t="shared" si="25"/>
        <v/>
      </c>
      <c r="R67" s="9" t="str">
        <f t="shared" si="26"/>
        <v/>
      </c>
      <c r="S67" s="9" t="str">
        <f t="shared" si="27"/>
        <v/>
      </c>
      <c r="T67" s="9" t="str">
        <f t="shared" si="28"/>
        <v/>
      </c>
      <c r="U67" s="9" t="str">
        <f t="shared" si="29"/>
        <v/>
      </c>
      <c r="V67" s="9" t="str">
        <f t="shared" si="30"/>
        <v/>
      </c>
      <c r="W67" s="9" t="str">
        <f t="shared" si="31"/>
        <v/>
      </c>
      <c r="X67" s="9" t="str">
        <f t="shared" si="32"/>
        <v/>
      </c>
      <c r="Y67" s="14">
        <f t="shared" ref="Y67:Y70" si="41">IF(A67="","",IF(OR(D67="P",E67="P"),"",IF(IF(COUNT(S67:X67)&lt;5,SUM(S67:X67),IF(COUNT(S67:X67)=5,SUM(S67:X67)-MIN(S67:X67),SUM(S67:X67)-MIN(S67:X67)-SMALL(S67:X67,2)))&gt;0,IF(COUNT(S67:X67)&lt;5,SUM(S67:X67)+(1000-AC67)*10^-4+AD67*10^-5+(1000-AE67)*10^-8,IF(COUNT(S67:X67)=5,SUM(S67:X67)-MIN(S67:X67)+(1000-AC67)*10^-4+AD67*10^-5+(1000-AE67)*10^-8,SUM(S67:X67)-MIN(S67:X67)-SMALL(S67:X67,2)+(1000-AC67)*10^-4+AD67*10^-5+(1000-AE67)*10^-8)),0)))</f>
        <v>0</v>
      </c>
      <c r="Z67" s="2" t="str">
        <f t="shared" ref="Z67:Z70" si="42">IF(OR(Y67="",Y67=0),"",IF(SUMPRODUCT(--(B$3:B$102=B67),--(Y$3:Y$102&gt;Y67),--(Y$3:Y$102&lt;&gt;"")),"","P"))</f>
        <v/>
      </c>
      <c r="AA67" s="2" t="str">
        <f t="shared" si="35"/>
        <v/>
      </c>
      <c r="AB67" s="14" t="str">
        <f t="shared" ref="AB67:AB70" si="43">IF(AND(Z67&lt;&gt;"",OR(AA67="",SUMPRODUCT(--(Y$3:Y$102&gt;Y67),--(AA$3:AA$102="P"),--(Z$3:Z$102="P"))&lt;4)),Y67,"")</f>
        <v/>
      </c>
      <c r="AC67" s="9">
        <f t="shared" si="37"/>
        <v>174</v>
      </c>
      <c r="AD67" s="9">
        <f t="shared" si="38"/>
        <v>0</v>
      </c>
      <c r="AE67" s="9">
        <f t="shared" si="39"/>
        <v>31</v>
      </c>
    </row>
    <row r="68" spans="1:31" x14ac:dyDescent="0.2">
      <c r="A68" s="7" t="s">
        <v>165</v>
      </c>
      <c r="B68" s="6" t="s">
        <v>129</v>
      </c>
      <c r="C68" s="6" t="s">
        <v>203</v>
      </c>
      <c r="F68" s="3" t="str">
        <f t="shared" si="40"/>
        <v/>
      </c>
      <c r="G68" s="6"/>
      <c r="H68" s="6"/>
      <c r="I68" s="6">
        <v>38</v>
      </c>
      <c r="J68" s="6">
        <v>65</v>
      </c>
      <c r="K68" s="6"/>
      <c r="L68" s="6"/>
      <c r="M68" s="9" t="str">
        <f t="shared" si="21"/>
        <v/>
      </c>
      <c r="N68" s="9" t="str">
        <f t="shared" si="22"/>
        <v/>
      </c>
      <c r="O68" s="9">
        <f t="shared" si="23"/>
        <v>34</v>
      </c>
      <c r="P68" s="9">
        <f t="shared" si="24"/>
        <v>60</v>
      </c>
      <c r="Q68" s="9" t="str">
        <f t="shared" si="25"/>
        <v/>
      </c>
      <c r="R68" s="9" t="str">
        <f t="shared" si="26"/>
        <v/>
      </c>
      <c r="S68" s="9" t="str">
        <f t="shared" si="27"/>
        <v/>
      </c>
      <c r="T68" s="9" t="str">
        <f t="shared" si="28"/>
        <v/>
      </c>
      <c r="U68" s="9" t="str">
        <f t="shared" si="29"/>
        <v/>
      </c>
      <c r="V68" s="9" t="str">
        <f t="shared" si="30"/>
        <v/>
      </c>
      <c r="W68" s="9" t="str">
        <f t="shared" si="31"/>
        <v/>
      </c>
      <c r="X68" s="9" t="str">
        <f t="shared" si="32"/>
        <v/>
      </c>
      <c r="Y68" s="14">
        <f t="shared" si="41"/>
        <v>0</v>
      </c>
      <c r="Z68" s="2" t="str">
        <f t="shared" si="42"/>
        <v/>
      </c>
      <c r="AA68" s="2" t="str">
        <f t="shared" si="35"/>
        <v/>
      </c>
      <c r="AB68" s="14" t="str">
        <f t="shared" si="43"/>
        <v/>
      </c>
      <c r="AC68" s="9">
        <f t="shared" si="37"/>
        <v>94</v>
      </c>
      <c r="AD68" s="9">
        <f t="shared" si="38"/>
        <v>0</v>
      </c>
      <c r="AE68" s="9">
        <f t="shared" si="39"/>
        <v>34</v>
      </c>
    </row>
    <row r="69" spans="1:31" x14ac:dyDescent="0.2">
      <c r="A69" s="7" t="s">
        <v>182</v>
      </c>
      <c r="B69" s="6" t="s">
        <v>51</v>
      </c>
      <c r="C69" s="6" t="s">
        <v>202</v>
      </c>
      <c r="F69" s="3" t="str">
        <f t="shared" si="40"/>
        <v/>
      </c>
      <c r="G69" s="6"/>
      <c r="H69" s="6"/>
      <c r="I69" s="6"/>
      <c r="J69" s="6">
        <v>36</v>
      </c>
      <c r="K69" s="6"/>
      <c r="L69" s="6"/>
      <c r="M69" s="9" t="str">
        <f t="shared" si="21"/>
        <v/>
      </c>
      <c r="N69" s="9" t="str">
        <f t="shared" si="22"/>
        <v/>
      </c>
      <c r="O69" s="9" t="str">
        <f t="shared" si="23"/>
        <v/>
      </c>
      <c r="P69" s="9">
        <f t="shared" si="24"/>
        <v>31</v>
      </c>
      <c r="Q69" s="9" t="str">
        <f t="shared" si="25"/>
        <v/>
      </c>
      <c r="R69" s="9" t="str">
        <f t="shared" si="26"/>
        <v/>
      </c>
      <c r="S69" s="9" t="str">
        <f t="shared" si="27"/>
        <v/>
      </c>
      <c r="T69" s="9" t="str">
        <f t="shared" si="28"/>
        <v/>
      </c>
      <c r="U69" s="9" t="str">
        <f t="shared" si="29"/>
        <v/>
      </c>
      <c r="V69" s="9" t="str">
        <f t="shared" si="30"/>
        <v/>
      </c>
      <c r="W69" s="9" t="str">
        <f t="shared" si="31"/>
        <v/>
      </c>
      <c r="X69" s="9" t="str">
        <f t="shared" si="32"/>
        <v/>
      </c>
      <c r="Y69" s="14">
        <f t="shared" si="41"/>
        <v>0</v>
      </c>
      <c r="Z69" s="2" t="str">
        <f t="shared" si="42"/>
        <v/>
      </c>
      <c r="AA69" s="2" t="str">
        <f t="shared" si="35"/>
        <v/>
      </c>
      <c r="AB69" s="14" t="str">
        <f t="shared" si="43"/>
        <v/>
      </c>
      <c r="AC69" s="9">
        <f t="shared" si="37"/>
        <v>31</v>
      </c>
      <c r="AD69" s="9">
        <f t="shared" si="38"/>
        <v>0</v>
      </c>
      <c r="AE69" s="9">
        <f t="shared" si="39"/>
        <v>31</v>
      </c>
    </row>
    <row r="70" spans="1:31" x14ac:dyDescent="0.2">
      <c r="A70" s="7" t="s">
        <v>163</v>
      </c>
      <c r="B70" s="6" t="s">
        <v>164</v>
      </c>
      <c r="C70" s="6" t="s">
        <v>202</v>
      </c>
      <c r="F70" s="3" t="str">
        <f t="shared" si="40"/>
        <v/>
      </c>
      <c r="G70" s="6">
        <v>62</v>
      </c>
      <c r="H70" s="6">
        <v>48</v>
      </c>
      <c r="I70" s="6">
        <v>37</v>
      </c>
      <c r="J70" s="6">
        <v>62</v>
      </c>
      <c r="K70" s="6"/>
      <c r="L70" s="6"/>
      <c r="M70" s="9">
        <f t="shared" si="21"/>
        <v>58</v>
      </c>
      <c r="N70" s="9">
        <f t="shared" si="22"/>
        <v>46</v>
      </c>
      <c r="O70" s="9">
        <f t="shared" si="23"/>
        <v>33</v>
      </c>
      <c r="P70" s="9">
        <f t="shared" si="24"/>
        <v>57</v>
      </c>
      <c r="Q70" s="9" t="str">
        <f t="shared" si="25"/>
        <v/>
      </c>
      <c r="R70" s="9" t="str">
        <f t="shared" si="26"/>
        <v/>
      </c>
      <c r="S70" s="9" t="str">
        <f t="shared" si="27"/>
        <v/>
      </c>
      <c r="T70" s="9" t="str">
        <f t="shared" si="28"/>
        <v/>
      </c>
      <c r="U70" s="9" t="str">
        <f t="shared" si="29"/>
        <v/>
      </c>
      <c r="V70" s="9" t="str">
        <f t="shared" si="30"/>
        <v/>
      </c>
      <c r="W70" s="9" t="str">
        <f t="shared" si="31"/>
        <v/>
      </c>
      <c r="X70" s="9" t="str">
        <f t="shared" si="32"/>
        <v/>
      </c>
      <c r="Y70" s="14">
        <f t="shared" si="41"/>
        <v>0</v>
      </c>
      <c r="Z70" s="2" t="str">
        <f t="shared" si="42"/>
        <v/>
      </c>
      <c r="AA70" s="2" t="str">
        <f t="shared" si="35"/>
        <v/>
      </c>
      <c r="AB70" s="14" t="str">
        <f t="shared" si="43"/>
        <v/>
      </c>
      <c r="AC70" s="9">
        <f t="shared" si="37"/>
        <v>194</v>
      </c>
      <c r="AD70" s="9">
        <f t="shared" si="38"/>
        <v>0</v>
      </c>
      <c r="AE70" s="9">
        <f t="shared" si="39"/>
        <v>33</v>
      </c>
    </row>
    <row r="71" spans="1:31" x14ac:dyDescent="0.2">
      <c r="F71" s="3"/>
      <c r="G71" s="6"/>
      <c r="H71" s="6"/>
      <c r="I71" s="6"/>
      <c r="J71" s="6"/>
      <c r="K71" s="6"/>
      <c r="L71" s="6"/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9"/>
    </row>
    <row r="72" spans="1:31" x14ac:dyDescent="0.2">
      <c r="F72" s="3"/>
      <c r="G72" s="6"/>
      <c r="H72" s="6"/>
      <c r="I72" s="6"/>
      <c r="J72" s="6"/>
      <c r="K72" s="6"/>
      <c r="L72" s="6"/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9"/>
    </row>
    <row r="73" spans="1:31" x14ac:dyDescent="0.2">
      <c r="F73" s="3"/>
      <c r="G73" s="6"/>
      <c r="H73" s="6"/>
      <c r="I73" s="6"/>
      <c r="J73" s="6"/>
      <c r="K73" s="6"/>
      <c r="L73" s="6"/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9"/>
    </row>
    <row r="74" spans="1:31" x14ac:dyDescent="0.2">
      <c r="F74" s="3"/>
      <c r="G74" s="6"/>
      <c r="H74" s="6"/>
      <c r="I74" s="6"/>
      <c r="J74" s="6"/>
      <c r="K74" s="6"/>
      <c r="L74" s="6"/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9"/>
    </row>
    <row r="75" spans="1:31" x14ac:dyDescent="0.2">
      <c r="F75" s="3"/>
      <c r="G75" s="6"/>
      <c r="H75" s="6"/>
      <c r="I75" s="6"/>
      <c r="J75" s="6"/>
      <c r="K75" s="6"/>
      <c r="L75" s="6"/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9"/>
    </row>
    <row r="76" spans="1:31" x14ac:dyDescent="0.2">
      <c r="F76" s="3"/>
      <c r="G76" s="6"/>
      <c r="H76" s="6"/>
      <c r="I76" s="6"/>
      <c r="J76" s="6"/>
      <c r="K76" s="6"/>
      <c r="L76" s="6"/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9"/>
    </row>
    <row r="77" spans="1:31" x14ac:dyDescent="0.2">
      <c r="F77" s="3"/>
      <c r="G77" s="6"/>
      <c r="H77" s="6"/>
      <c r="I77" s="6"/>
      <c r="J77" s="6"/>
      <c r="K77" s="6"/>
      <c r="L77" s="6"/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9"/>
    </row>
    <row r="78" spans="1:31" x14ac:dyDescent="0.2">
      <c r="F78" s="3"/>
      <c r="G78" s="6"/>
      <c r="H78" s="6"/>
      <c r="I78" s="6"/>
      <c r="J78" s="6"/>
      <c r="K78" s="6"/>
      <c r="L78" s="6"/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9"/>
    </row>
    <row r="79" spans="1:31" x14ac:dyDescent="0.2">
      <c r="F79" s="3"/>
      <c r="G79" s="6"/>
      <c r="H79" s="6"/>
      <c r="I79" s="6"/>
      <c r="J79" s="6"/>
      <c r="K79" s="6"/>
      <c r="L79" s="6"/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9"/>
    </row>
    <row r="80" spans="1:31" x14ac:dyDescent="0.2">
      <c r="F80" s="3"/>
      <c r="G80" s="6"/>
      <c r="H80" s="6"/>
      <c r="I80" s="6"/>
      <c r="J80" s="6"/>
      <c r="K80" s="6"/>
      <c r="L80" s="6"/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9"/>
    </row>
    <row r="81" spans="6:25" x14ac:dyDescent="0.2">
      <c r="F81" s="3"/>
      <c r="G81" s="6"/>
      <c r="H81" s="6"/>
      <c r="I81" s="6"/>
      <c r="J81" s="6"/>
      <c r="K81" s="6"/>
      <c r="L81" s="6"/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9"/>
    </row>
    <row r="82" spans="6:25" x14ac:dyDescent="0.2">
      <c r="F82" s="3"/>
      <c r="G82" s="6"/>
      <c r="H82" s="6"/>
      <c r="I82" s="6"/>
      <c r="J82" s="6"/>
      <c r="K82" s="6"/>
      <c r="L82" s="6"/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9"/>
    </row>
    <row r="83" spans="6:25" x14ac:dyDescent="0.2">
      <c r="F83" s="3"/>
      <c r="G83" s="6"/>
      <c r="H83" s="6"/>
      <c r="I83" s="6"/>
      <c r="J83" s="6"/>
      <c r="K83" s="6"/>
      <c r="L83" s="6"/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9"/>
    </row>
    <row r="84" spans="6:25" x14ac:dyDescent="0.2">
      <c r="F84" s="3"/>
      <c r="G84" s="6"/>
      <c r="H84" s="6"/>
      <c r="I84" s="6"/>
      <c r="J84" s="6"/>
      <c r="K84" s="6"/>
      <c r="L84" s="6"/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9"/>
    </row>
    <row r="85" spans="6:25" x14ac:dyDescent="0.2">
      <c r="F85" s="3"/>
      <c r="G85" s="6"/>
      <c r="H85" s="6"/>
      <c r="I85" s="6"/>
      <c r="J85" s="6"/>
      <c r="K85" s="6"/>
      <c r="L85" s="6"/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9"/>
    </row>
    <row r="86" spans="6:25" x14ac:dyDescent="0.2">
      <c r="F86" s="3"/>
      <c r="G86" s="6"/>
      <c r="H86" s="6"/>
      <c r="I86" s="6"/>
      <c r="J86" s="6"/>
      <c r="K86" s="6"/>
      <c r="L86" s="6"/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9"/>
    </row>
    <row r="87" spans="6:25" x14ac:dyDescent="0.2">
      <c r="F87" s="3"/>
      <c r="G87" s="6"/>
      <c r="H87" s="6"/>
      <c r="I87" s="6"/>
      <c r="J87" s="6"/>
      <c r="K87" s="6"/>
      <c r="L87" s="6"/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9"/>
    </row>
    <row r="88" spans="6:25" x14ac:dyDescent="0.2">
      <c r="F88" s="3"/>
      <c r="G88" s="6"/>
      <c r="H88" s="6"/>
      <c r="I88" s="6"/>
      <c r="J88" s="6"/>
      <c r="K88" s="6"/>
      <c r="L88" s="6"/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9"/>
    </row>
    <row r="89" spans="6:25" x14ac:dyDescent="0.2">
      <c r="F89" s="3"/>
      <c r="G89" s="6"/>
      <c r="H89" s="6"/>
      <c r="I89" s="6"/>
      <c r="J89" s="6"/>
      <c r="K89" s="6"/>
      <c r="L89" s="6"/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9"/>
    </row>
    <row r="90" spans="6:25" x14ac:dyDescent="0.2">
      <c r="F90" s="3"/>
      <c r="G90" s="6"/>
      <c r="H90" s="6"/>
      <c r="I90" s="6"/>
      <c r="J90" s="6"/>
      <c r="K90" s="6"/>
      <c r="L90" s="6"/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9"/>
    </row>
    <row r="91" spans="6:25" x14ac:dyDescent="0.2">
      <c r="F91" s="3"/>
      <c r="G91" s="6"/>
      <c r="H91" s="6"/>
      <c r="I91" s="6"/>
      <c r="J91" s="6"/>
      <c r="K91" s="6"/>
      <c r="L91" s="6"/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9"/>
    </row>
    <row r="92" spans="6:25" x14ac:dyDescent="0.2">
      <c r="F92" s="3"/>
      <c r="G92" s="6"/>
      <c r="H92" s="6"/>
      <c r="I92" s="6"/>
      <c r="J92" s="6"/>
      <c r="K92" s="6"/>
      <c r="L92" s="6"/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9"/>
    </row>
    <row r="93" spans="6:25" x14ac:dyDescent="0.2">
      <c r="F93" s="3"/>
      <c r="G93" s="6"/>
      <c r="H93" s="6"/>
      <c r="I93" s="6"/>
      <c r="J93" s="6"/>
      <c r="K93" s="6"/>
      <c r="L93" s="6"/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9"/>
    </row>
    <row r="94" spans="6:25" x14ac:dyDescent="0.2">
      <c r="F94" s="3"/>
      <c r="G94" s="6"/>
      <c r="H94" s="6"/>
      <c r="I94" s="6"/>
      <c r="J94" s="6"/>
      <c r="K94" s="6"/>
      <c r="L94" s="6"/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9"/>
    </row>
    <row r="95" spans="6:25" x14ac:dyDescent="0.2">
      <c r="F95" s="3"/>
      <c r="G95" s="6"/>
      <c r="H95" s="6"/>
      <c r="I95" s="6"/>
      <c r="J95" s="6"/>
      <c r="K95" s="6"/>
      <c r="L95" s="6"/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9"/>
    </row>
    <row r="96" spans="6:25" x14ac:dyDescent="0.2">
      <c r="F96" s="3"/>
      <c r="G96" s="6"/>
      <c r="H96" s="6"/>
      <c r="I96" s="6"/>
      <c r="J96" s="6"/>
      <c r="K96" s="6"/>
      <c r="L96" s="6"/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9"/>
    </row>
    <row r="97" spans="6:25" x14ac:dyDescent="0.2">
      <c r="F97" s="3"/>
      <c r="G97" s="6"/>
      <c r="H97" s="6"/>
      <c r="I97" s="6"/>
      <c r="J97" s="6"/>
      <c r="K97" s="6"/>
      <c r="L97" s="6"/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9"/>
    </row>
    <row r="98" spans="6:25" x14ac:dyDescent="0.2">
      <c r="F98" s="3"/>
      <c r="G98" s="6"/>
      <c r="H98" s="6"/>
      <c r="I98" s="6"/>
      <c r="J98" s="6"/>
      <c r="K98" s="6"/>
      <c r="L98" s="6"/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9"/>
    </row>
    <row r="99" spans="6:25" x14ac:dyDescent="0.2">
      <c r="F99" s="3"/>
      <c r="G99" s="6"/>
      <c r="H99" s="6"/>
      <c r="I99" s="6"/>
      <c r="J99" s="6"/>
      <c r="K99" s="6"/>
      <c r="L99" s="6"/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9"/>
    </row>
    <row r="100" spans="6:25" x14ac:dyDescent="0.2">
      <c r="F100" s="3"/>
      <c r="G100" s="6"/>
      <c r="H100" s="6"/>
      <c r="I100" s="6"/>
      <c r="J100" s="6"/>
      <c r="K100" s="6"/>
      <c r="L100" s="6"/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9"/>
    </row>
    <row r="101" spans="6:25" x14ac:dyDescent="0.2">
      <c r="F101" s="3"/>
      <c r="G101" s="6"/>
      <c r="H101" s="6"/>
      <c r="I101" s="6"/>
      <c r="J101" s="6"/>
      <c r="K101" s="6"/>
      <c r="L101" s="6"/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9"/>
    </row>
    <row r="102" spans="6:25" x14ac:dyDescent="0.2">
      <c r="F102" s="3"/>
      <c r="G102" s="6"/>
      <c r="H102" s="6"/>
      <c r="I102" s="6"/>
      <c r="J102" s="6"/>
      <c r="K102" s="6"/>
      <c r="L102" s="6"/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9"/>
    </row>
  </sheetData>
  <sheetProtection sheet="1" selectLockedCells="1"/>
  <mergeCells count="17">
    <mergeCell ref="A1:A2"/>
    <mergeCell ref="G1:L1"/>
    <mergeCell ref="S1:X1"/>
    <mergeCell ref="Y1:Y2"/>
    <mergeCell ref="F1:F2"/>
    <mergeCell ref="B1:B2"/>
    <mergeCell ref="M1:R1"/>
    <mergeCell ref="D1:D2"/>
    <mergeCell ref="E1:E2"/>
    <mergeCell ref="C1:C2"/>
    <mergeCell ref="Z1:Z2"/>
    <mergeCell ref="AB1:AB2"/>
    <mergeCell ref="AF1:AK2"/>
    <mergeCell ref="AC1:AC2"/>
    <mergeCell ref="AD1:AD2"/>
    <mergeCell ref="AE1:AE2"/>
    <mergeCell ref="AA1:AA2"/>
  </mergeCells>
  <conditionalFormatting sqref="A1:C1 A3:C1048576 A2:B2">
    <cfRule type="expression" dxfId="17" priority="3">
      <formula>IF(OR($D1="P",$E1="P"),1,0)</formula>
    </cfRule>
    <cfRule type="expression" dxfId="16" priority="5">
      <formula>IF(AND($F1&lt;&gt;"",$F1&lt;=14),1,0)</formula>
    </cfRule>
  </conditionalFormatting>
  <conditionalFormatting sqref="D71:AB102 D3:AE70">
    <cfRule type="expression" dxfId="15" priority="2">
      <formula>IF(AND($A3&lt;&gt;"",MOD(ROW(),2)=0),1,0)</formula>
    </cfRule>
    <cfRule type="expression" dxfId="14" priority="6">
      <formula>IF(AND($A3&lt;&gt;"",MOD(ROW(),2)=1),1,0)</formula>
    </cfRule>
  </conditionalFormatting>
  <conditionalFormatting sqref="L3:L102 X3:X102 R3:R102 F3:F102">
    <cfRule type="expression" dxfId="13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0000000-000E-0000-0000-000004000000}">
            <xm:f>IF(AND($F1&lt;&gt;"",$F1&lt;=14-COUNTIF(Macros!$G$5:$K$5,"=0")),1,0)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A3:C1048576 A2:B2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029A-4104-264B-9227-BEE5A454B7D6}">
  <sheetPr codeName="Sheet2"/>
  <dimension ref="A1:AK102"/>
  <sheetViews>
    <sheetView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10.83203125" style="4"/>
    <col min="7" max="12" width="10.83203125" style="7"/>
    <col min="26" max="26" width="10.83203125" style="2"/>
    <col min="27" max="27" width="14" style="2" bestFit="1" customWidth="1"/>
    <col min="28" max="28" width="10.83203125" style="9"/>
    <col min="29" max="31" width="10.83203125" hidden="1" customWidth="1"/>
  </cols>
  <sheetData>
    <row r="1" spans="1:37" s="10" customFormat="1" ht="16" customHeight="1" x14ac:dyDescent="0.2">
      <c r="A1" s="19" t="s">
        <v>0</v>
      </c>
      <c r="B1" s="19" t="s">
        <v>15</v>
      </c>
      <c r="C1" s="19" t="s">
        <v>200</v>
      </c>
      <c r="D1" s="16" t="s">
        <v>113</v>
      </c>
      <c r="E1" s="16" t="s">
        <v>114</v>
      </c>
      <c r="F1" s="23" t="s">
        <v>61</v>
      </c>
      <c r="G1" s="20" t="s">
        <v>7</v>
      </c>
      <c r="H1" s="20"/>
      <c r="I1" s="20"/>
      <c r="J1" s="20"/>
      <c r="K1" s="20"/>
      <c r="L1" s="21"/>
      <c r="M1" s="22" t="s">
        <v>62</v>
      </c>
      <c r="N1" s="20"/>
      <c r="O1" s="20"/>
      <c r="P1" s="20"/>
      <c r="Q1" s="20"/>
      <c r="R1" s="21"/>
      <c r="S1" s="22" t="s">
        <v>8</v>
      </c>
      <c r="T1" s="20"/>
      <c r="U1" s="20"/>
      <c r="V1" s="20"/>
      <c r="W1" s="20"/>
      <c r="X1" s="21"/>
      <c r="Y1" s="19" t="s">
        <v>9</v>
      </c>
      <c r="Z1" s="16" t="s">
        <v>63</v>
      </c>
      <c r="AA1" s="18" t="s">
        <v>115</v>
      </c>
      <c r="AB1" s="16" t="s">
        <v>111</v>
      </c>
      <c r="AC1" s="16" t="s">
        <v>152</v>
      </c>
      <c r="AD1" s="16" t="s">
        <v>153</v>
      </c>
      <c r="AE1" s="16" t="s">
        <v>154</v>
      </c>
      <c r="AF1" s="17" t="s">
        <v>112</v>
      </c>
      <c r="AG1" s="17"/>
      <c r="AH1" s="17"/>
      <c r="AI1" s="17"/>
      <c r="AJ1" s="17"/>
      <c r="AK1" s="17"/>
    </row>
    <row r="2" spans="1:37" s="10" customFormat="1" x14ac:dyDescent="0.2">
      <c r="A2" s="19"/>
      <c r="B2" s="19"/>
      <c r="C2" s="19"/>
      <c r="D2" s="16"/>
      <c r="E2" s="16"/>
      <c r="F2" s="23"/>
      <c r="G2" s="12" t="s">
        <v>1</v>
      </c>
      <c r="H2" s="12" t="s">
        <v>2</v>
      </c>
      <c r="I2" s="12" t="s">
        <v>3</v>
      </c>
      <c r="J2" s="12" t="s">
        <v>4</v>
      </c>
      <c r="K2" s="12" t="s">
        <v>5</v>
      </c>
      <c r="L2" s="13" t="s">
        <v>6</v>
      </c>
      <c r="M2" s="11" t="s">
        <v>1</v>
      </c>
      <c r="N2" s="12" t="s">
        <v>2</v>
      </c>
      <c r="O2" s="12" t="s">
        <v>3</v>
      </c>
      <c r="P2" s="12" t="s">
        <v>4</v>
      </c>
      <c r="Q2" s="12" t="s">
        <v>5</v>
      </c>
      <c r="R2" s="13" t="s">
        <v>6</v>
      </c>
      <c r="S2" s="11" t="s">
        <v>1</v>
      </c>
      <c r="T2" s="12" t="s">
        <v>2</v>
      </c>
      <c r="U2" s="12" t="s">
        <v>3</v>
      </c>
      <c r="V2" s="12" t="s">
        <v>4</v>
      </c>
      <c r="W2" s="12" t="s">
        <v>5</v>
      </c>
      <c r="X2" s="13" t="s">
        <v>6</v>
      </c>
      <c r="Y2" s="19"/>
      <c r="Z2" s="16"/>
      <c r="AA2" s="18"/>
      <c r="AB2" s="16"/>
      <c r="AC2" s="16"/>
      <c r="AD2" s="16"/>
      <c r="AE2" s="16"/>
      <c r="AF2" s="17"/>
      <c r="AG2" s="17"/>
      <c r="AH2" s="17"/>
      <c r="AI2" s="17"/>
      <c r="AJ2" s="17"/>
      <c r="AK2" s="17"/>
    </row>
    <row r="3" spans="1:37" x14ac:dyDescent="0.2">
      <c r="A3" s="7" t="s">
        <v>86</v>
      </c>
      <c r="B3" s="6" t="s">
        <v>22</v>
      </c>
      <c r="C3" s="6" t="s">
        <v>202</v>
      </c>
      <c r="D3" s="5" t="s">
        <v>189</v>
      </c>
      <c r="F3" s="3" t="str">
        <f t="shared" ref="F3:F34" si="0">IF(AB3="","",RANK(AB3,AB:AB)+COUNTIF(D:E,"P"))</f>
        <v/>
      </c>
      <c r="G3" s="6">
        <v>19</v>
      </c>
      <c r="H3" s="6"/>
      <c r="I3" s="6">
        <v>15</v>
      </c>
      <c r="J3" s="6">
        <v>17</v>
      </c>
      <c r="K3" s="6">
        <v>49</v>
      </c>
      <c r="L3" s="6"/>
      <c r="M3" s="9" t="str">
        <f t="shared" ref="M3:M34" si="1">IF(OR($D3&lt;&gt;"",$E3&lt;&gt;"",G3=""),"",G3-SUMPRODUCT(--($D$3:$D$102="P"),--(G$3:G$102&lt;G3),--(G$3:G$102&lt;&gt;""))-SUMPRODUCT(--($E$3:$E$102="P"),--(G$3:G$102&lt;G3),--(G$3:G$102&lt;&gt;"")))</f>
        <v/>
      </c>
      <c r="N3" s="9" t="str">
        <f t="shared" ref="N3:N34" si="2">IF(OR($D3&lt;&gt;"",$E3&lt;&gt;"",H3=""),"",H3-SUMPRODUCT(--($D$3:$D$102="P"),--(H$3:H$102&lt;H3),--(H$3:H$102&lt;&gt;""))-SUMPRODUCT(--($E$3:$E$102="P"),--(H$3:H$102&lt;H3),--(H$3:H$102&lt;&gt;"")))</f>
        <v/>
      </c>
      <c r="O3" s="9" t="str">
        <f t="shared" ref="O3:O34" si="3">IF(OR($D3&lt;&gt;"",$E3&lt;&gt;"",I3=""),"",I3-SUMPRODUCT(--($D$3:$D$102="P"),--(I$3:I$102&lt;I3),--(I$3:I$102&lt;&gt;""))-SUMPRODUCT(--($E$3:$E$102="P"),--(I$3:I$102&lt;I3),--(I$3:I$102&lt;&gt;"")))</f>
        <v/>
      </c>
      <c r="P3" s="9" t="str">
        <f t="shared" ref="P3:P34" si="4">IF(OR($D3&lt;&gt;"",$E3&lt;&gt;"",J3=""),"",J3-SUMPRODUCT(--($D$3:$D$102="P"),--(J$3:J$102&lt;J3),--(J$3:J$102&lt;&gt;""))-SUMPRODUCT(--($E$3:$E$102="P"),--(J$3:J$102&lt;J3),--(J$3:J$102&lt;&gt;"")))</f>
        <v/>
      </c>
      <c r="Q3" s="9" t="str">
        <f t="shared" ref="Q3:Q34" si="5">IF(OR($D3&lt;&gt;"",$E3&lt;&gt;"",K3=""),"",K3-SUMPRODUCT(--($D$3:$D$102="P"),--(K$3:K$102&lt;K3),--(K$3:K$102&lt;&gt;""))-SUMPRODUCT(--($E$3:$E$102="P"),--(K$3:K$102&lt;K3),--(K$3:K$102&lt;&gt;"")))</f>
        <v/>
      </c>
      <c r="R3" s="9" t="str">
        <f t="shared" ref="R3:R34" si="6">IF(OR($D3&lt;&gt;"",$E3&lt;&gt;"",L3=""),"",L3-SUMPRODUCT(--($D$3:$D$102="P"),--(L$3:L$102&lt;L3),--(L$3:L$102&lt;&gt;""))-SUMPRODUCT(--($E$3:$E$102="P"),--(L$3:L$102&lt;L3),--(L$3:L$102&lt;&gt;"")))</f>
        <v/>
      </c>
      <c r="S3" s="9" t="str">
        <f t="shared" ref="S3:S34" si="7"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9" t="str">
        <f t="shared" ref="T3:T34" si="8"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9" t="str">
        <f t="shared" ref="U3:U34" si="9"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9" t="str">
        <f t="shared" ref="V3:V34" si="10"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9" t="str">
        <f t="shared" ref="W3:W34" si="11"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9" t="str">
        <f t="shared" ref="X3:X34" si="12">IF(OR(R3="",R3&gt;30),"",IF(R3=1,60,IF(R3=2,55,IF(R3=3,50,IF(R3=4,44,IF(R3=5,38,IF(R3=6,32,IF(R3=7,28,IF(R3=8,25,IF(R3=9,22,IF(R3=10,21,IF(R3=11,20,IF(R3=12,19,IF(R3=13,18,IF(R3=14,17,IF(R3=15,16,IF(R3=16,15,IF(R3=17,14,IF(R3=18,13,IF(R3=19,12,IF(R3=20,11,IF(R3=21,10,IF(R3=22,9,IF(R3=23,8,IF(R3=24,7,IF(R3=25,6,IF(R3=26,5,IF(R3=27,4,IF(R3=28,3,IF(R3=29,2,IF(R3=30,1)))))))))))))))))))))))))))))))</f>
        <v/>
      </c>
      <c r="Y3" s="14" t="str">
        <f t="shared" ref="Y3:Y34" si="13">IF(A3="","",IF(OR(D3="P",E3="P"),"",IF(IF(COUNT(S3:X3)&lt;5,SUM(S3:X3),IF(COUNT(S3:X3)=5,SUM(S3:X3)-MIN(S3:X3),SUM(S3:X3)-MIN(S3:X3)-SMALL(S3:X3,2)))&gt;0,IF(COUNT(S3:X3)&lt;5,SUM(S3:X3)+(1000-AC3)*10^-4+AD3*10^-5+(1000-AE3)*10^-8,IF(COUNT(S3:X3)=5,SUM(S3:X3)-MIN(S3:X3)+(1000-AC3)*10^-4+AD3*10^-5+(1000-AE3)*10^-8,SUM(S3:X3)-MIN(S3:X3)-SMALL(S3:X3,2)+(1000-AC3)*10^-4+AD3*10^-5+(1000-AE3)*10^-8)),0)))</f>
        <v/>
      </c>
      <c r="Z3" s="2" t="str">
        <f t="shared" ref="Z3:Z34" si="14">IF(OR(Y3="",Y3=0),"",IF(SUMPRODUCT(--(B$3:B$102=B3),--(Y$3:Y$102&gt;Y3),--(Y$3:Y$102&lt;&gt;"")),"","P"))</f>
        <v/>
      </c>
      <c r="AA3" s="2" t="str">
        <f t="shared" ref="AA3:AA34" si="15">IF(Y3="","",IF(SUMPRODUCT(--(D$3:D$102="P"),--(B$3:B$102=B3)),"P",""))</f>
        <v/>
      </c>
      <c r="AB3" s="14" t="str">
        <f t="shared" ref="AB3:AB34" si="16">IF(AND(Z3&lt;&gt;"",OR(AA3="",SUMPRODUCT(--(Y$3:Y$102&gt;Y3),--(AA$3:AA$102="P"),--(Z$3:Z$102="P"))&lt;4)),Y3,"")</f>
        <v/>
      </c>
      <c r="AC3" s="9" t="str">
        <f t="shared" ref="AC3:AC34" si="17">IF(A3="","",IF(OR(D3="P",E3="P"),"",IF(IF(COUNT(M3:R3)&lt;5,SUM(M3:R3),IF(COUNT(M3:R3)=5,SUM(M3:R3)-MAX(M3:R3),SUM(M3:R3)-MAX(M3:R3)-LARGE(M3:R3,2)))&gt;0,IF(COUNT(M3:R3)&lt;5,SUM(M3:R3),IF(COUNT(M3:R3)=5,SUM(M3:R3)-MAX(M3:R3),SUM(M3:R3)-MAX(M3:R3)-LARGE(M3:R3,2))),0)))</f>
        <v/>
      </c>
      <c r="AD3" s="9">
        <f t="shared" ref="AD3:AD34" si="18">COUNTIF(M3:R3,"&lt;=8")</f>
        <v>0</v>
      </c>
      <c r="AE3" s="9">
        <f t="shared" ref="AE3:AE34" si="19">MIN(M3:R3)</f>
        <v>0</v>
      </c>
    </row>
    <row r="4" spans="1:37" x14ac:dyDescent="0.2">
      <c r="A4" s="7" t="s">
        <v>68</v>
      </c>
      <c r="B4" s="6" t="s">
        <v>20</v>
      </c>
      <c r="C4" s="6" t="s">
        <v>202</v>
      </c>
      <c r="D4" s="5" t="s">
        <v>189</v>
      </c>
      <c r="F4" s="3" t="str">
        <f t="shared" si="0"/>
        <v/>
      </c>
      <c r="G4" s="6">
        <v>6</v>
      </c>
      <c r="H4" s="6">
        <v>2</v>
      </c>
      <c r="I4" s="6">
        <v>4</v>
      </c>
      <c r="J4" s="6">
        <v>3</v>
      </c>
      <c r="K4" s="6">
        <v>53</v>
      </c>
      <c r="L4" s="6"/>
      <c r="M4" s="9" t="str">
        <f t="shared" si="1"/>
        <v/>
      </c>
      <c r="N4" s="9" t="str">
        <f t="shared" si="2"/>
        <v/>
      </c>
      <c r="O4" s="9" t="str">
        <f t="shared" si="3"/>
        <v/>
      </c>
      <c r="P4" s="9" t="str">
        <f t="shared" si="4"/>
        <v/>
      </c>
      <c r="Q4" s="9" t="str">
        <f t="shared" si="5"/>
        <v/>
      </c>
      <c r="R4" s="9" t="str">
        <f t="shared" si="6"/>
        <v/>
      </c>
      <c r="S4" s="9" t="str">
        <f t="shared" si="7"/>
        <v/>
      </c>
      <c r="T4" s="9" t="str">
        <f t="shared" si="8"/>
        <v/>
      </c>
      <c r="U4" s="9" t="str">
        <f t="shared" si="9"/>
        <v/>
      </c>
      <c r="V4" s="9" t="str">
        <f t="shared" si="10"/>
        <v/>
      </c>
      <c r="W4" s="9" t="str">
        <f t="shared" si="11"/>
        <v/>
      </c>
      <c r="X4" s="9" t="str">
        <f t="shared" si="12"/>
        <v/>
      </c>
      <c r="Y4" s="14" t="str">
        <f t="shared" si="13"/>
        <v/>
      </c>
      <c r="Z4" s="2" t="str">
        <f t="shared" si="14"/>
        <v/>
      </c>
      <c r="AA4" s="2" t="str">
        <f t="shared" si="15"/>
        <v/>
      </c>
      <c r="AB4" s="14" t="str">
        <f t="shared" si="16"/>
        <v/>
      </c>
      <c r="AC4" s="9" t="str">
        <f t="shared" si="17"/>
        <v/>
      </c>
      <c r="AD4" s="9">
        <f t="shared" si="18"/>
        <v>0</v>
      </c>
      <c r="AE4" s="9">
        <f t="shared" si="19"/>
        <v>0</v>
      </c>
    </row>
    <row r="5" spans="1:37" x14ac:dyDescent="0.2">
      <c r="A5" s="7" t="s">
        <v>168</v>
      </c>
      <c r="B5" s="6" t="s">
        <v>19</v>
      </c>
      <c r="C5" s="6" t="s">
        <v>202</v>
      </c>
      <c r="D5" s="5" t="s">
        <v>189</v>
      </c>
      <c r="F5" s="3" t="str">
        <f t="shared" si="0"/>
        <v/>
      </c>
      <c r="G5" s="6">
        <v>61</v>
      </c>
      <c r="H5" s="6">
        <v>74</v>
      </c>
      <c r="I5" s="6">
        <v>16</v>
      </c>
      <c r="J5" s="6">
        <v>10</v>
      </c>
      <c r="K5" s="6">
        <v>2</v>
      </c>
      <c r="L5" s="6"/>
      <c r="M5" s="9" t="str">
        <f t="shared" si="1"/>
        <v/>
      </c>
      <c r="N5" s="9" t="str">
        <f t="shared" si="2"/>
        <v/>
      </c>
      <c r="O5" s="9" t="str">
        <f t="shared" si="3"/>
        <v/>
      </c>
      <c r="P5" s="9" t="str">
        <f t="shared" si="4"/>
        <v/>
      </c>
      <c r="Q5" s="9" t="str">
        <f t="shared" si="5"/>
        <v/>
      </c>
      <c r="R5" s="9" t="str">
        <f t="shared" si="6"/>
        <v/>
      </c>
      <c r="S5" s="9" t="str">
        <f t="shared" si="7"/>
        <v/>
      </c>
      <c r="T5" s="9" t="str">
        <f t="shared" si="8"/>
        <v/>
      </c>
      <c r="U5" s="9" t="str">
        <f t="shared" si="9"/>
        <v/>
      </c>
      <c r="V5" s="9" t="str">
        <f t="shared" si="10"/>
        <v/>
      </c>
      <c r="W5" s="9" t="str">
        <f t="shared" si="11"/>
        <v/>
      </c>
      <c r="X5" s="9" t="str">
        <f t="shared" si="12"/>
        <v/>
      </c>
      <c r="Y5" s="14" t="str">
        <f t="shared" si="13"/>
        <v/>
      </c>
      <c r="Z5" s="2" t="str">
        <f t="shared" si="14"/>
        <v/>
      </c>
      <c r="AA5" s="2" t="str">
        <f t="shared" si="15"/>
        <v/>
      </c>
      <c r="AB5" s="14" t="str">
        <f t="shared" si="16"/>
        <v/>
      </c>
      <c r="AC5" s="9" t="str">
        <f t="shared" si="17"/>
        <v/>
      </c>
      <c r="AD5" s="9">
        <f t="shared" si="18"/>
        <v>0</v>
      </c>
      <c r="AE5" s="9">
        <f t="shared" si="19"/>
        <v>0</v>
      </c>
    </row>
    <row r="6" spans="1:37" x14ac:dyDescent="0.2">
      <c r="A6" s="7" t="s">
        <v>79</v>
      </c>
      <c r="B6" s="6" t="s">
        <v>16</v>
      </c>
      <c r="C6" s="6" t="s">
        <v>201</v>
      </c>
      <c r="D6" s="5" t="s">
        <v>189</v>
      </c>
      <c r="F6" s="3" t="str">
        <f t="shared" si="0"/>
        <v/>
      </c>
      <c r="G6" s="6">
        <v>13</v>
      </c>
      <c r="H6" s="6">
        <v>70</v>
      </c>
      <c r="I6" s="6">
        <v>1</v>
      </c>
      <c r="J6" s="6">
        <v>2</v>
      </c>
      <c r="K6" s="6">
        <v>1</v>
      </c>
      <c r="L6" s="6"/>
      <c r="M6" s="9" t="str">
        <f t="shared" si="1"/>
        <v/>
      </c>
      <c r="N6" s="9" t="str">
        <f t="shared" si="2"/>
        <v/>
      </c>
      <c r="O6" s="9" t="str">
        <f t="shared" si="3"/>
        <v/>
      </c>
      <c r="P6" s="9" t="str">
        <f t="shared" si="4"/>
        <v/>
      </c>
      <c r="Q6" s="9" t="str">
        <f t="shared" si="5"/>
        <v/>
      </c>
      <c r="R6" s="9" t="str">
        <f t="shared" si="6"/>
        <v/>
      </c>
      <c r="S6" s="9" t="str">
        <f t="shared" si="7"/>
        <v/>
      </c>
      <c r="T6" s="9" t="str">
        <f t="shared" si="8"/>
        <v/>
      </c>
      <c r="U6" s="9" t="str">
        <f t="shared" si="9"/>
        <v/>
      </c>
      <c r="V6" s="9" t="str">
        <f t="shared" si="10"/>
        <v/>
      </c>
      <c r="W6" s="9" t="str">
        <f t="shared" si="11"/>
        <v/>
      </c>
      <c r="X6" s="9" t="str">
        <f t="shared" si="12"/>
        <v/>
      </c>
      <c r="Y6" s="14" t="str">
        <f t="shared" si="13"/>
        <v/>
      </c>
      <c r="Z6" s="2" t="str">
        <f t="shared" si="14"/>
        <v/>
      </c>
      <c r="AA6" s="2" t="str">
        <f t="shared" si="15"/>
        <v/>
      </c>
      <c r="AB6" s="14" t="str">
        <f t="shared" si="16"/>
        <v/>
      </c>
      <c r="AC6" s="9" t="str">
        <f t="shared" si="17"/>
        <v/>
      </c>
      <c r="AD6" s="9">
        <f t="shared" si="18"/>
        <v>0</v>
      </c>
      <c r="AE6" s="9">
        <f t="shared" si="19"/>
        <v>0</v>
      </c>
    </row>
    <row r="7" spans="1:37" x14ac:dyDescent="0.2">
      <c r="A7" s="7" t="s">
        <v>116</v>
      </c>
      <c r="B7" s="6" t="s">
        <v>18</v>
      </c>
      <c r="C7" s="6" t="s">
        <v>201</v>
      </c>
      <c r="D7" s="5" t="s">
        <v>189</v>
      </c>
      <c r="F7" s="3" t="str">
        <f t="shared" si="0"/>
        <v/>
      </c>
      <c r="G7" s="6">
        <v>66</v>
      </c>
      <c r="H7" s="6">
        <v>6</v>
      </c>
      <c r="I7" s="6">
        <v>65</v>
      </c>
      <c r="J7" s="6">
        <v>19</v>
      </c>
      <c r="K7" s="6"/>
      <c r="L7" s="6"/>
      <c r="M7" s="9" t="str">
        <f t="shared" si="1"/>
        <v/>
      </c>
      <c r="N7" s="9" t="str">
        <f t="shared" si="2"/>
        <v/>
      </c>
      <c r="O7" s="9" t="str">
        <f t="shared" si="3"/>
        <v/>
      </c>
      <c r="P7" s="9" t="str">
        <f t="shared" si="4"/>
        <v/>
      </c>
      <c r="Q7" s="9" t="str">
        <f t="shared" si="5"/>
        <v/>
      </c>
      <c r="R7" s="9" t="str">
        <f t="shared" si="6"/>
        <v/>
      </c>
      <c r="S7" s="9" t="str">
        <f t="shared" si="7"/>
        <v/>
      </c>
      <c r="T7" s="9" t="str">
        <f t="shared" si="8"/>
        <v/>
      </c>
      <c r="U7" s="9" t="str">
        <f t="shared" si="9"/>
        <v/>
      </c>
      <c r="V7" s="9" t="str">
        <f t="shared" si="10"/>
        <v/>
      </c>
      <c r="W7" s="9" t="str">
        <f t="shared" si="11"/>
        <v/>
      </c>
      <c r="X7" s="9" t="str">
        <f t="shared" si="12"/>
        <v/>
      </c>
      <c r="Y7" s="14" t="str">
        <f t="shared" si="13"/>
        <v/>
      </c>
      <c r="Z7" s="2" t="str">
        <f t="shared" si="14"/>
        <v/>
      </c>
      <c r="AA7" s="2" t="str">
        <f t="shared" si="15"/>
        <v/>
      </c>
      <c r="AB7" s="14" t="str">
        <f t="shared" si="16"/>
        <v/>
      </c>
      <c r="AC7" s="9" t="str">
        <f t="shared" si="17"/>
        <v/>
      </c>
      <c r="AD7" s="9">
        <f t="shared" si="18"/>
        <v>0</v>
      </c>
      <c r="AE7" s="9">
        <f t="shared" si="19"/>
        <v>0</v>
      </c>
    </row>
    <row r="8" spans="1:37" x14ac:dyDescent="0.2">
      <c r="A8" s="7" t="s">
        <v>64</v>
      </c>
      <c r="B8" s="6" t="s">
        <v>19</v>
      </c>
      <c r="C8" s="6" t="s">
        <v>202</v>
      </c>
      <c r="F8" s="3">
        <f t="shared" si="0"/>
        <v>6</v>
      </c>
      <c r="G8" s="6">
        <v>1</v>
      </c>
      <c r="H8" s="6">
        <v>3</v>
      </c>
      <c r="I8" s="6">
        <v>2</v>
      </c>
      <c r="J8" s="6">
        <v>1</v>
      </c>
      <c r="K8" s="6">
        <v>7</v>
      </c>
      <c r="L8" s="6"/>
      <c r="M8" s="9">
        <f t="shared" si="1"/>
        <v>1</v>
      </c>
      <c r="N8" s="9">
        <f t="shared" si="2"/>
        <v>2</v>
      </c>
      <c r="O8" s="9">
        <f t="shared" si="3"/>
        <v>1</v>
      </c>
      <c r="P8" s="9">
        <f t="shared" si="4"/>
        <v>1</v>
      </c>
      <c r="Q8" s="9">
        <f t="shared" si="5"/>
        <v>5</v>
      </c>
      <c r="R8" s="9" t="str">
        <f t="shared" si="6"/>
        <v/>
      </c>
      <c r="S8" s="9">
        <f t="shared" si="7"/>
        <v>60</v>
      </c>
      <c r="T8" s="9">
        <f t="shared" si="8"/>
        <v>55</v>
      </c>
      <c r="U8" s="9">
        <f t="shared" si="9"/>
        <v>60</v>
      </c>
      <c r="V8" s="9">
        <f t="shared" si="10"/>
        <v>60</v>
      </c>
      <c r="W8" s="9">
        <f t="shared" si="11"/>
        <v>38</v>
      </c>
      <c r="X8" s="9" t="str">
        <f t="shared" si="12"/>
        <v/>
      </c>
      <c r="Y8" s="14">
        <f t="shared" si="13"/>
        <v>235.09955998999999</v>
      </c>
      <c r="Z8" s="2" t="str">
        <f t="shared" si="14"/>
        <v>P</v>
      </c>
      <c r="AA8" s="2" t="str">
        <f t="shared" si="15"/>
        <v>P</v>
      </c>
      <c r="AB8" s="14">
        <f t="shared" si="16"/>
        <v>235.09955998999999</v>
      </c>
      <c r="AC8" s="9">
        <f t="shared" si="17"/>
        <v>5</v>
      </c>
      <c r="AD8" s="9">
        <f t="shared" si="18"/>
        <v>5</v>
      </c>
      <c r="AE8" s="9">
        <f t="shared" si="19"/>
        <v>1</v>
      </c>
    </row>
    <row r="9" spans="1:37" x14ac:dyDescent="0.2">
      <c r="A9" s="7" t="s">
        <v>65</v>
      </c>
      <c r="B9" s="6" t="s">
        <v>16</v>
      </c>
      <c r="C9" s="6" t="s">
        <v>201</v>
      </c>
      <c r="F9" s="3">
        <f t="shared" si="0"/>
        <v>7</v>
      </c>
      <c r="G9" s="6">
        <v>2</v>
      </c>
      <c r="H9" s="6">
        <v>11</v>
      </c>
      <c r="I9" s="6">
        <v>5</v>
      </c>
      <c r="J9" s="6">
        <v>9</v>
      </c>
      <c r="K9" s="6">
        <v>3</v>
      </c>
      <c r="L9" s="6"/>
      <c r="M9" s="9">
        <f t="shared" si="1"/>
        <v>2</v>
      </c>
      <c r="N9" s="9">
        <f t="shared" si="2"/>
        <v>9</v>
      </c>
      <c r="O9" s="9">
        <f t="shared" si="3"/>
        <v>3</v>
      </c>
      <c r="P9" s="9">
        <f t="shared" si="4"/>
        <v>7</v>
      </c>
      <c r="Q9" s="9">
        <f t="shared" si="5"/>
        <v>1</v>
      </c>
      <c r="R9" s="9" t="str">
        <f t="shared" si="6"/>
        <v/>
      </c>
      <c r="S9" s="9">
        <f t="shared" si="7"/>
        <v>55</v>
      </c>
      <c r="T9" s="9">
        <f t="shared" si="8"/>
        <v>22</v>
      </c>
      <c r="U9" s="9">
        <f t="shared" si="9"/>
        <v>50</v>
      </c>
      <c r="V9" s="9">
        <f t="shared" si="10"/>
        <v>28</v>
      </c>
      <c r="W9" s="9">
        <f t="shared" si="11"/>
        <v>60</v>
      </c>
      <c r="X9" s="9" t="str">
        <f t="shared" si="12"/>
        <v/>
      </c>
      <c r="Y9" s="14">
        <f t="shared" si="13"/>
        <v>193.09874999000002</v>
      </c>
      <c r="Z9" s="2" t="str">
        <f t="shared" si="14"/>
        <v>P</v>
      </c>
      <c r="AA9" s="2" t="str">
        <f t="shared" si="15"/>
        <v>P</v>
      </c>
      <c r="AB9" s="14">
        <f t="shared" si="16"/>
        <v>193.09874999000002</v>
      </c>
      <c r="AC9" s="9">
        <f t="shared" si="17"/>
        <v>13</v>
      </c>
      <c r="AD9" s="9">
        <f t="shared" si="18"/>
        <v>4</v>
      </c>
      <c r="AE9" s="9">
        <f t="shared" si="19"/>
        <v>1</v>
      </c>
    </row>
    <row r="10" spans="1:37" x14ac:dyDescent="0.2">
      <c r="A10" s="7" t="s">
        <v>70</v>
      </c>
      <c r="B10" s="6" t="s">
        <v>19</v>
      </c>
      <c r="C10" s="6" t="s">
        <v>202</v>
      </c>
      <c r="F10" s="3" t="str">
        <f t="shared" si="0"/>
        <v/>
      </c>
      <c r="G10" s="6">
        <v>8</v>
      </c>
      <c r="H10" s="6">
        <v>5</v>
      </c>
      <c r="I10" s="6">
        <v>6</v>
      </c>
      <c r="J10" s="6">
        <v>4</v>
      </c>
      <c r="K10" s="6">
        <v>10</v>
      </c>
      <c r="L10" s="6"/>
      <c r="M10" s="9">
        <f t="shared" si="1"/>
        <v>7</v>
      </c>
      <c r="N10" s="9">
        <f t="shared" si="2"/>
        <v>4</v>
      </c>
      <c r="O10" s="9">
        <f t="shared" si="3"/>
        <v>4</v>
      </c>
      <c r="P10" s="9">
        <f t="shared" si="4"/>
        <v>2</v>
      </c>
      <c r="Q10" s="9">
        <f t="shared" si="5"/>
        <v>8</v>
      </c>
      <c r="R10" s="9" t="str">
        <f t="shared" si="6"/>
        <v/>
      </c>
      <c r="S10" s="9">
        <f t="shared" si="7"/>
        <v>28</v>
      </c>
      <c r="T10" s="9">
        <f t="shared" si="8"/>
        <v>44</v>
      </c>
      <c r="U10" s="9">
        <f t="shared" si="9"/>
        <v>44</v>
      </c>
      <c r="V10" s="9">
        <f t="shared" si="10"/>
        <v>55</v>
      </c>
      <c r="W10" s="9">
        <f t="shared" si="11"/>
        <v>25</v>
      </c>
      <c r="X10" s="9" t="str">
        <f t="shared" si="12"/>
        <v/>
      </c>
      <c r="Y10" s="14">
        <f t="shared" si="13"/>
        <v>171.09835997999997</v>
      </c>
      <c r="Z10" s="2" t="str">
        <f t="shared" si="14"/>
        <v/>
      </c>
      <c r="AA10" s="2" t="str">
        <f t="shared" si="15"/>
        <v>P</v>
      </c>
      <c r="AB10" s="14" t="str">
        <f t="shared" si="16"/>
        <v/>
      </c>
      <c r="AC10" s="9">
        <f t="shared" si="17"/>
        <v>17</v>
      </c>
      <c r="AD10" s="9">
        <f t="shared" si="18"/>
        <v>5</v>
      </c>
      <c r="AE10" s="9">
        <f t="shared" si="19"/>
        <v>2</v>
      </c>
    </row>
    <row r="11" spans="1:37" x14ac:dyDescent="0.2">
      <c r="A11" s="7" t="s">
        <v>67</v>
      </c>
      <c r="B11" s="6" t="s">
        <v>53</v>
      </c>
      <c r="C11" s="6" t="s">
        <v>204</v>
      </c>
      <c r="F11" s="3">
        <f t="shared" si="0"/>
        <v>8</v>
      </c>
      <c r="G11" s="6">
        <v>5</v>
      </c>
      <c r="H11" s="6">
        <v>4</v>
      </c>
      <c r="I11" s="6">
        <v>7</v>
      </c>
      <c r="J11" s="6">
        <v>8</v>
      </c>
      <c r="K11" s="6"/>
      <c r="L11" s="6"/>
      <c r="M11" s="9">
        <f t="shared" si="1"/>
        <v>5</v>
      </c>
      <c r="N11" s="9">
        <f t="shared" si="2"/>
        <v>3</v>
      </c>
      <c r="O11" s="9">
        <f t="shared" si="3"/>
        <v>5</v>
      </c>
      <c r="P11" s="9">
        <f t="shared" si="4"/>
        <v>6</v>
      </c>
      <c r="Q11" s="9" t="str">
        <f t="shared" si="5"/>
        <v/>
      </c>
      <c r="R11" s="9" t="str">
        <f t="shared" si="6"/>
        <v/>
      </c>
      <c r="S11" s="9">
        <f t="shared" si="7"/>
        <v>38</v>
      </c>
      <c r="T11" s="9">
        <f t="shared" si="8"/>
        <v>50</v>
      </c>
      <c r="U11" s="9">
        <f t="shared" si="9"/>
        <v>38</v>
      </c>
      <c r="V11" s="9">
        <f t="shared" si="10"/>
        <v>32</v>
      </c>
      <c r="W11" s="9" t="str">
        <f t="shared" si="11"/>
        <v/>
      </c>
      <c r="X11" s="9" t="str">
        <f t="shared" si="12"/>
        <v/>
      </c>
      <c r="Y11" s="14">
        <f t="shared" si="13"/>
        <v>158.09814997000001</v>
      </c>
      <c r="Z11" s="2" t="str">
        <f t="shared" si="14"/>
        <v>P</v>
      </c>
      <c r="AA11" s="2" t="str">
        <f t="shared" si="15"/>
        <v/>
      </c>
      <c r="AB11" s="14">
        <f t="shared" si="16"/>
        <v>158.09814997000001</v>
      </c>
      <c r="AC11" s="9">
        <f t="shared" si="17"/>
        <v>19</v>
      </c>
      <c r="AD11" s="9">
        <f t="shared" si="18"/>
        <v>4</v>
      </c>
      <c r="AE11" s="9">
        <f t="shared" si="19"/>
        <v>3</v>
      </c>
    </row>
    <row r="12" spans="1:37" x14ac:dyDescent="0.2">
      <c r="A12" s="7" t="s">
        <v>66</v>
      </c>
      <c r="B12" s="6" t="s">
        <v>18</v>
      </c>
      <c r="C12" s="6" t="s">
        <v>201</v>
      </c>
      <c r="F12" s="3">
        <f t="shared" si="0"/>
        <v>9</v>
      </c>
      <c r="G12" s="6">
        <v>3</v>
      </c>
      <c r="H12" s="6">
        <v>12</v>
      </c>
      <c r="I12" s="6">
        <v>10</v>
      </c>
      <c r="J12" s="6">
        <v>5</v>
      </c>
      <c r="K12" s="6">
        <v>8</v>
      </c>
      <c r="L12" s="6"/>
      <c r="M12" s="9">
        <f t="shared" si="1"/>
        <v>3</v>
      </c>
      <c r="N12" s="9">
        <f t="shared" si="2"/>
        <v>10</v>
      </c>
      <c r="O12" s="9">
        <f t="shared" si="3"/>
        <v>8</v>
      </c>
      <c r="P12" s="9">
        <f t="shared" si="4"/>
        <v>3</v>
      </c>
      <c r="Q12" s="9">
        <f t="shared" si="5"/>
        <v>6</v>
      </c>
      <c r="R12" s="9" t="str">
        <f t="shared" si="6"/>
        <v/>
      </c>
      <c r="S12" s="9">
        <f t="shared" si="7"/>
        <v>50</v>
      </c>
      <c r="T12" s="9">
        <f t="shared" si="8"/>
        <v>21</v>
      </c>
      <c r="U12" s="9">
        <f t="shared" si="9"/>
        <v>25</v>
      </c>
      <c r="V12" s="9">
        <f t="shared" si="10"/>
        <v>50</v>
      </c>
      <c r="W12" s="9">
        <f t="shared" si="11"/>
        <v>32</v>
      </c>
      <c r="X12" s="9" t="str">
        <f t="shared" si="12"/>
        <v/>
      </c>
      <c r="Y12" s="14">
        <f t="shared" si="13"/>
        <v>157.09804997000003</v>
      </c>
      <c r="Z12" s="2" t="str">
        <f t="shared" si="14"/>
        <v>P</v>
      </c>
      <c r="AA12" s="2" t="str">
        <f t="shared" si="15"/>
        <v>P</v>
      </c>
      <c r="AB12" s="14">
        <f t="shared" si="16"/>
        <v>157.09804997000003</v>
      </c>
      <c r="AC12" s="9">
        <f t="shared" si="17"/>
        <v>20</v>
      </c>
      <c r="AD12" s="9">
        <f t="shared" si="18"/>
        <v>4</v>
      </c>
      <c r="AE12" s="9">
        <f t="shared" si="19"/>
        <v>3</v>
      </c>
    </row>
    <row r="13" spans="1:37" x14ac:dyDescent="0.2">
      <c r="A13" s="7" t="s">
        <v>81</v>
      </c>
      <c r="B13" s="6" t="s">
        <v>20</v>
      </c>
      <c r="C13" s="6" t="s">
        <v>201</v>
      </c>
      <c r="F13" s="3">
        <f t="shared" si="0"/>
        <v>10</v>
      </c>
      <c r="G13" s="6">
        <v>15</v>
      </c>
      <c r="H13" s="6">
        <v>9</v>
      </c>
      <c r="I13" s="6">
        <v>3</v>
      </c>
      <c r="J13" s="6">
        <v>16</v>
      </c>
      <c r="K13" s="6">
        <v>5</v>
      </c>
      <c r="L13" s="6"/>
      <c r="M13" s="9">
        <f t="shared" si="1"/>
        <v>13</v>
      </c>
      <c r="N13" s="9">
        <f t="shared" si="2"/>
        <v>7</v>
      </c>
      <c r="O13" s="9">
        <f t="shared" si="3"/>
        <v>2</v>
      </c>
      <c r="P13" s="9">
        <f t="shared" si="4"/>
        <v>13</v>
      </c>
      <c r="Q13" s="9">
        <f t="shared" si="5"/>
        <v>3</v>
      </c>
      <c r="R13" s="9" t="str">
        <f t="shared" si="6"/>
        <v/>
      </c>
      <c r="S13" s="9">
        <f t="shared" si="7"/>
        <v>18</v>
      </c>
      <c r="T13" s="9">
        <f t="shared" si="8"/>
        <v>28</v>
      </c>
      <c r="U13" s="9">
        <f t="shared" si="9"/>
        <v>55</v>
      </c>
      <c r="V13" s="9">
        <f t="shared" si="10"/>
        <v>18</v>
      </c>
      <c r="W13" s="9">
        <f t="shared" si="11"/>
        <v>50</v>
      </c>
      <c r="X13" s="9" t="str">
        <f t="shared" si="12"/>
        <v/>
      </c>
      <c r="Y13" s="14">
        <f t="shared" si="13"/>
        <v>151.09753997999999</v>
      </c>
      <c r="Z13" s="2" t="str">
        <f t="shared" si="14"/>
        <v>P</v>
      </c>
      <c r="AA13" s="2" t="str">
        <f t="shared" si="15"/>
        <v>P</v>
      </c>
      <c r="AB13" s="14">
        <f t="shared" si="16"/>
        <v>151.09753997999999</v>
      </c>
      <c r="AC13" s="9">
        <f t="shared" si="17"/>
        <v>25</v>
      </c>
      <c r="AD13" s="9">
        <f t="shared" si="18"/>
        <v>3</v>
      </c>
      <c r="AE13" s="9">
        <f t="shared" si="19"/>
        <v>2</v>
      </c>
    </row>
    <row r="14" spans="1:37" x14ac:dyDescent="0.2">
      <c r="A14" s="7" t="s">
        <v>72</v>
      </c>
      <c r="B14" s="6" t="s">
        <v>16</v>
      </c>
      <c r="C14" s="6" t="s">
        <v>201</v>
      </c>
      <c r="F14" s="3" t="str">
        <f t="shared" si="0"/>
        <v/>
      </c>
      <c r="G14" s="6">
        <v>4</v>
      </c>
      <c r="H14" s="6">
        <v>8</v>
      </c>
      <c r="I14" s="6">
        <v>9</v>
      </c>
      <c r="J14" s="6">
        <v>11</v>
      </c>
      <c r="K14" s="6">
        <v>11</v>
      </c>
      <c r="L14" s="6"/>
      <c r="M14" s="9">
        <f t="shared" si="1"/>
        <v>4</v>
      </c>
      <c r="N14" s="9">
        <f t="shared" si="2"/>
        <v>6</v>
      </c>
      <c r="O14" s="9">
        <f t="shared" si="3"/>
        <v>7</v>
      </c>
      <c r="P14" s="9">
        <f t="shared" si="4"/>
        <v>8</v>
      </c>
      <c r="Q14" s="9">
        <f t="shared" si="5"/>
        <v>9</v>
      </c>
      <c r="R14" s="9" t="str">
        <f t="shared" si="6"/>
        <v/>
      </c>
      <c r="S14" s="9">
        <f t="shared" si="7"/>
        <v>44</v>
      </c>
      <c r="T14" s="9">
        <f t="shared" si="8"/>
        <v>32</v>
      </c>
      <c r="U14" s="9">
        <f t="shared" si="9"/>
        <v>28</v>
      </c>
      <c r="V14" s="9">
        <f t="shared" si="10"/>
        <v>25</v>
      </c>
      <c r="W14" s="9">
        <f t="shared" si="11"/>
        <v>22</v>
      </c>
      <c r="X14" s="9" t="str">
        <f t="shared" si="12"/>
        <v/>
      </c>
      <c r="Y14" s="14">
        <f t="shared" si="13"/>
        <v>129.09754996000001</v>
      </c>
      <c r="Z14" s="2" t="str">
        <f t="shared" si="14"/>
        <v/>
      </c>
      <c r="AA14" s="2" t="str">
        <f t="shared" si="15"/>
        <v>P</v>
      </c>
      <c r="AB14" s="14" t="str">
        <f t="shared" si="16"/>
        <v/>
      </c>
      <c r="AC14" s="9">
        <f t="shared" si="17"/>
        <v>25</v>
      </c>
      <c r="AD14" s="9">
        <f t="shared" si="18"/>
        <v>4</v>
      </c>
      <c r="AE14" s="9">
        <f t="shared" si="19"/>
        <v>4</v>
      </c>
    </row>
    <row r="15" spans="1:37" x14ac:dyDescent="0.2">
      <c r="A15" s="7" t="s">
        <v>80</v>
      </c>
      <c r="B15" s="6" t="s">
        <v>20</v>
      </c>
      <c r="C15" s="6" t="s">
        <v>201</v>
      </c>
      <c r="F15" s="3" t="str">
        <f t="shared" si="0"/>
        <v/>
      </c>
      <c r="G15" s="6">
        <v>14</v>
      </c>
      <c r="H15" s="6">
        <v>1</v>
      </c>
      <c r="I15" s="6">
        <v>11</v>
      </c>
      <c r="J15" s="6">
        <v>81</v>
      </c>
      <c r="K15" s="6">
        <v>12</v>
      </c>
      <c r="L15" s="6"/>
      <c r="M15" s="9">
        <f t="shared" si="1"/>
        <v>12</v>
      </c>
      <c r="N15" s="9">
        <f t="shared" si="2"/>
        <v>1</v>
      </c>
      <c r="O15" s="9">
        <f t="shared" si="3"/>
        <v>9</v>
      </c>
      <c r="P15" s="9">
        <f t="shared" si="4"/>
        <v>76</v>
      </c>
      <c r="Q15" s="9">
        <f t="shared" si="5"/>
        <v>10</v>
      </c>
      <c r="R15" s="9" t="str">
        <f t="shared" si="6"/>
        <v/>
      </c>
      <c r="S15" s="9">
        <f t="shared" si="7"/>
        <v>19</v>
      </c>
      <c r="T15" s="9">
        <f t="shared" si="8"/>
        <v>60</v>
      </c>
      <c r="U15" s="9">
        <f t="shared" si="9"/>
        <v>22</v>
      </c>
      <c r="V15" s="9" t="str">
        <f t="shared" si="10"/>
        <v/>
      </c>
      <c r="W15" s="9">
        <f t="shared" si="11"/>
        <v>21</v>
      </c>
      <c r="X15" s="9" t="str">
        <f t="shared" si="12"/>
        <v/>
      </c>
      <c r="Y15" s="14">
        <f t="shared" si="13"/>
        <v>122.09681999</v>
      </c>
      <c r="Z15" s="2" t="str">
        <f t="shared" si="14"/>
        <v/>
      </c>
      <c r="AA15" s="2" t="str">
        <f t="shared" si="15"/>
        <v>P</v>
      </c>
      <c r="AB15" s="14" t="str">
        <f t="shared" si="16"/>
        <v/>
      </c>
      <c r="AC15" s="9">
        <f t="shared" si="17"/>
        <v>32</v>
      </c>
      <c r="AD15" s="9">
        <f t="shared" si="18"/>
        <v>1</v>
      </c>
      <c r="AE15" s="9">
        <f t="shared" si="19"/>
        <v>1</v>
      </c>
    </row>
    <row r="16" spans="1:37" x14ac:dyDescent="0.2">
      <c r="A16" s="7" t="s">
        <v>69</v>
      </c>
      <c r="B16" s="6" t="s">
        <v>18</v>
      </c>
      <c r="C16" s="6" t="s">
        <v>201</v>
      </c>
      <c r="F16" s="3" t="str">
        <f t="shared" si="0"/>
        <v/>
      </c>
      <c r="G16" s="6">
        <v>7</v>
      </c>
      <c r="H16" s="6">
        <v>52</v>
      </c>
      <c r="I16" s="6">
        <v>8</v>
      </c>
      <c r="J16" s="6">
        <v>7</v>
      </c>
      <c r="K16" s="6">
        <v>48</v>
      </c>
      <c r="L16" s="6"/>
      <c r="M16" s="9">
        <f t="shared" si="1"/>
        <v>6</v>
      </c>
      <c r="N16" s="9">
        <f t="shared" si="2"/>
        <v>50</v>
      </c>
      <c r="O16" s="9">
        <f t="shared" si="3"/>
        <v>6</v>
      </c>
      <c r="P16" s="9">
        <f t="shared" si="4"/>
        <v>5</v>
      </c>
      <c r="Q16" s="9">
        <f t="shared" si="5"/>
        <v>46</v>
      </c>
      <c r="R16" s="9" t="str">
        <f t="shared" si="6"/>
        <v/>
      </c>
      <c r="S16" s="9">
        <f t="shared" si="7"/>
        <v>32</v>
      </c>
      <c r="T16" s="9" t="str">
        <f t="shared" si="8"/>
        <v/>
      </c>
      <c r="U16" s="9">
        <f t="shared" si="9"/>
        <v>32</v>
      </c>
      <c r="V16" s="9">
        <f t="shared" si="10"/>
        <v>38</v>
      </c>
      <c r="W16" s="9" t="str">
        <f t="shared" si="11"/>
        <v/>
      </c>
      <c r="X16" s="9" t="str">
        <f t="shared" si="12"/>
        <v/>
      </c>
      <c r="Y16" s="14">
        <f t="shared" si="13"/>
        <v>102.09373995</v>
      </c>
      <c r="Z16" s="2" t="str">
        <f t="shared" si="14"/>
        <v/>
      </c>
      <c r="AA16" s="2" t="str">
        <f t="shared" si="15"/>
        <v>P</v>
      </c>
      <c r="AB16" s="14" t="str">
        <f t="shared" si="16"/>
        <v/>
      </c>
      <c r="AC16" s="9">
        <f t="shared" si="17"/>
        <v>63</v>
      </c>
      <c r="AD16" s="9">
        <f t="shared" si="18"/>
        <v>3</v>
      </c>
      <c r="AE16" s="9">
        <f t="shared" si="19"/>
        <v>5</v>
      </c>
    </row>
    <row r="17" spans="1:31" x14ac:dyDescent="0.2">
      <c r="A17" s="7" t="s">
        <v>167</v>
      </c>
      <c r="B17" s="6" t="s">
        <v>16</v>
      </c>
      <c r="C17" s="6" t="s">
        <v>201</v>
      </c>
      <c r="F17" s="3" t="str">
        <f t="shared" si="0"/>
        <v/>
      </c>
      <c r="G17" s="6"/>
      <c r="H17" s="6"/>
      <c r="I17" s="6">
        <v>13</v>
      </c>
      <c r="J17" s="6">
        <v>6</v>
      </c>
      <c r="K17" s="6">
        <v>9</v>
      </c>
      <c r="L17" s="6"/>
      <c r="M17" s="9" t="str">
        <f t="shared" si="1"/>
        <v/>
      </c>
      <c r="N17" s="9" t="str">
        <f t="shared" si="2"/>
        <v/>
      </c>
      <c r="O17" s="9">
        <f t="shared" si="3"/>
        <v>11</v>
      </c>
      <c r="P17" s="9">
        <f t="shared" si="4"/>
        <v>4</v>
      </c>
      <c r="Q17" s="9">
        <f t="shared" si="5"/>
        <v>7</v>
      </c>
      <c r="R17" s="9" t="str">
        <f t="shared" si="6"/>
        <v/>
      </c>
      <c r="S17" s="9" t="str">
        <f t="shared" si="7"/>
        <v/>
      </c>
      <c r="T17" s="9" t="str">
        <f t="shared" si="8"/>
        <v/>
      </c>
      <c r="U17" s="9">
        <f t="shared" si="9"/>
        <v>20</v>
      </c>
      <c r="V17" s="9">
        <f t="shared" si="10"/>
        <v>44</v>
      </c>
      <c r="W17" s="9">
        <f t="shared" si="11"/>
        <v>28</v>
      </c>
      <c r="X17" s="9" t="str">
        <f t="shared" si="12"/>
        <v/>
      </c>
      <c r="Y17" s="14">
        <f t="shared" si="13"/>
        <v>92.097829960000013</v>
      </c>
      <c r="Z17" s="2" t="str">
        <f t="shared" si="14"/>
        <v/>
      </c>
      <c r="AA17" s="2" t="str">
        <f t="shared" si="15"/>
        <v>P</v>
      </c>
      <c r="AB17" s="14" t="str">
        <f t="shared" si="16"/>
        <v/>
      </c>
      <c r="AC17" s="9">
        <f t="shared" si="17"/>
        <v>22</v>
      </c>
      <c r="AD17" s="9">
        <f t="shared" si="18"/>
        <v>2</v>
      </c>
      <c r="AE17" s="9">
        <f t="shared" si="19"/>
        <v>4</v>
      </c>
    </row>
    <row r="18" spans="1:31" x14ac:dyDescent="0.2">
      <c r="A18" s="7" t="s">
        <v>78</v>
      </c>
      <c r="B18" s="6" t="s">
        <v>82</v>
      </c>
      <c r="C18" s="6" t="s">
        <v>202</v>
      </c>
      <c r="F18" s="3">
        <f t="shared" si="0"/>
        <v>11</v>
      </c>
      <c r="G18" s="6">
        <v>12</v>
      </c>
      <c r="H18" s="6">
        <v>7</v>
      </c>
      <c r="I18" s="6">
        <v>12</v>
      </c>
      <c r="J18" s="6">
        <v>80</v>
      </c>
      <c r="K18" s="6">
        <v>50</v>
      </c>
      <c r="L18" s="6"/>
      <c r="M18" s="9">
        <f t="shared" si="1"/>
        <v>11</v>
      </c>
      <c r="N18" s="9">
        <f t="shared" si="2"/>
        <v>5</v>
      </c>
      <c r="O18" s="9">
        <f t="shared" si="3"/>
        <v>10</v>
      </c>
      <c r="P18" s="9">
        <f t="shared" si="4"/>
        <v>75</v>
      </c>
      <c r="Q18" s="9">
        <f t="shared" si="5"/>
        <v>47</v>
      </c>
      <c r="R18" s="9" t="str">
        <f t="shared" si="6"/>
        <v/>
      </c>
      <c r="S18" s="9">
        <f t="shared" si="7"/>
        <v>20</v>
      </c>
      <c r="T18" s="9">
        <f t="shared" si="8"/>
        <v>38</v>
      </c>
      <c r="U18" s="9">
        <f t="shared" si="9"/>
        <v>21</v>
      </c>
      <c r="V18" s="9" t="str">
        <f t="shared" si="10"/>
        <v/>
      </c>
      <c r="W18" s="9" t="str">
        <f t="shared" si="11"/>
        <v/>
      </c>
      <c r="X18" s="9" t="str">
        <f t="shared" si="12"/>
        <v/>
      </c>
      <c r="Y18" s="14">
        <f t="shared" si="13"/>
        <v>79.092719950000003</v>
      </c>
      <c r="Z18" s="2" t="str">
        <f t="shared" si="14"/>
        <v>P</v>
      </c>
      <c r="AA18" s="2" t="str">
        <f t="shared" si="15"/>
        <v/>
      </c>
      <c r="AB18" s="14">
        <f t="shared" si="16"/>
        <v>79.092719950000003</v>
      </c>
      <c r="AC18" s="9">
        <f t="shared" si="17"/>
        <v>73</v>
      </c>
      <c r="AD18" s="9">
        <f t="shared" si="18"/>
        <v>1</v>
      </c>
      <c r="AE18" s="9">
        <f t="shared" si="19"/>
        <v>5</v>
      </c>
    </row>
    <row r="19" spans="1:31" x14ac:dyDescent="0.2">
      <c r="A19" s="7" t="s">
        <v>85</v>
      </c>
      <c r="B19" s="6" t="s">
        <v>59</v>
      </c>
      <c r="C19" s="6" t="s">
        <v>204</v>
      </c>
      <c r="F19" s="3">
        <f t="shared" si="0"/>
        <v>12</v>
      </c>
      <c r="G19" s="6">
        <v>18</v>
      </c>
      <c r="H19" s="6">
        <v>13</v>
      </c>
      <c r="I19" s="6">
        <v>14</v>
      </c>
      <c r="J19" s="6">
        <v>12</v>
      </c>
      <c r="K19" s="6">
        <v>16</v>
      </c>
      <c r="L19" s="6"/>
      <c r="M19" s="9">
        <f t="shared" si="1"/>
        <v>16</v>
      </c>
      <c r="N19" s="9">
        <f t="shared" si="2"/>
        <v>11</v>
      </c>
      <c r="O19" s="9">
        <f t="shared" si="3"/>
        <v>12</v>
      </c>
      <c r="P19" s="9">
        <f t="shared" si="4"/>
        <v>9</v>
      </c>
      <c r="Q19" s="9">
        <f t="shared" si="5"/>
        <v>14</v>
      </c>
      <c r="R19" s="9" t="str">
        <f t="shared" si="6"/>
        <v/>
      </c>
      <c r="S19" s="9">
        <f t="shared" si="7"/>
        <v>15</v>
      </c>
      <c r="T19" s="9">
        <f t="shared" si="8"/>
        <v>20</v>
      </c>
      <c r="U19" s="9">
        <f t="shared" si="9"/>
        <v>19</v>
      </c>
      <c r="V19" s="9">
        <f t="shared" si="10"/>
        <v>22</v>
      </c>
      <c r="W19" s="9">
        <f t="shared" si="11"/>
        <v>17</v>
      </c>
      <c r="X19" s="9" t="str">
        <f t="shared" si="12"/>
        <v/>
      </c>
      <c r="Y19" s="14">
        <f t="shared" si="13"/>
        <v>78.095409910000001</v>
      </c>
      <c r="Z19" s="2" t="str">
        <f t="shared" si="14"/>
        <v>P</v>
      </c>
      <c r="AA19" s="2" t="str">
        <f t="shared" si="15"/>
        <v/>
      </c>
      <c r="AB19" s="14">
        <f t="shared" si="16"/>
        <v>78.095409910000001</v>
      </c>
      <c r="AC19" s="9">
        <f t="shared" si="17"/>
        <v>46</v>
      </c>
      <c r="AD19" s="9">
        <f t="shared" si="18"/>
        <v>0</v>
      </c>
      <c r="AE19" s="9">
        <f t="shared" si="19"/>
        <v>9</v>
      </c>
    </row>
    <row r="20" spans="1:31" x14ac:dyDescent="0.2">
      <c r="A20" s="7" t="s">
        <v>118</v>
      </c>
      <c r="B20" s="6" t="s">
        <v>20</v>
      </c>
      <c r="C20" s="6" t="s">
        <v>201</v>
      </c>
      <c r="F20" s="3" t="str">
        <f t="shared" si="0"/>
        <v/>
      </c>
      <c r="G20" s="6"/>
      <c r="H20" s="6">
        <v>19</v>
      </c>
      <c r="I20" s="6">
        <v>62</v>
      </c>
      <c r="J20" s="6">
        <v>86</v>
      </c>
      <c r="K20" s="6">
        <v>4</v>
      </c>
      <c r="L20" s="6"/>
      <c r="M20" s="9" t="str">
        <f t="shared" si="1"/>
        <v/>
      </c>
      <c r="N20" s="9">
        <f t="shared" si="2"/>
        <v>17</v>
      </c>
      <c r="O20" s="9">
        <f t="shared" si="3"/>
        <v>58</v>
      </c>
      <c r="P20" s="9">
        <f t="shared" si="4"/>
        <v>81</v>
      </c>
      <c r="Q20" s="9">
        <f t="shared" si="5"/>
        <v>2</v>
      </c>
      <c r="R20" s="9" t="str">
        <f t="shared" si="6"/>
        <v/>
      </c>
      <c r="S20" s="9" t="str">
        <f t="shared" si="7"/>
        <v/>
      </c>
      <c r="T20" s="9">
        <f t="shared" si="8"/>
        <v>14</v>
      </c>
      <c r="U20" s="9" t="str">
        <f t="shared" si="9"/>
        <v/>
      </c>
      <c r="V20" s="9" t="str">
        <f t="shared" si="10"/>
        <v/>
      </c>
      <c r="W20" s="9">
        <f t="shared" si="11"/>
        <v>55</v>
      </c>
      <c r="X20" s="9" t="str">
        <f t="shared" si="12"/>
        <v/>
      </c>
      <c r="Y20" s="14">
        <f t="shared" si="13"/>
        <v>69.08421998</v>
      </c>
      <c r="Z20" s="2" t="str">
        <f t="shared" si="14"/>
        <v/>
      </c>
      <c r="AA20" s="2" t="str">
        <f t="shared" si="15"/>
        <v>P</v>
      </c>
      <c r="AB20" s="14" t="str">
        <f t="shared" si="16"/>
        <v/>
      </c>
      <c r="AC20" s="9">
        <f t="shared" si="17"/>
        <v>158</v>
      </c>
      <c r="AD20" s="9">
        <f t="shared" si="18"/>
        <v>1</v>
      </c>
      <c r="AE20" s="9">
        <f t="shared" si="19"/>
        <v>2</v>
      </c>
    </row>
    <row r="21" spans="1:31" x14ac:dyDescent="0.2">
      <c r="A21" s="7" t="s">
        <v>117</v>
      </c>
      <c r="B21" s="6" t="s">
        <v>82</v>
      </c>
      <c r="C21" s="6" t="s">
        <v>202</v>
      </c>
      <c r="F21" s="3" t="str">
        <f t="shared" si="0"/>
        <v/>
      </c>
      <c r="G21" s="6">
        <v>41</v>
      </c>
      <c r="H21" s="6">
        <v>10</v>
      </c>
      <c r="I21" s="6">
        <v>58</v>
      </c>
      <c r="J21" s="6">
        <v>14</v>
      </c>
      <c r="K21" s="6">
        <v>17</v>
      </c>
      <c r="L21" s="6"/>
      <c r="M21" s="9">
        <f t="shared" si="1"/>
        <v>38</v>
      </c>
      <c r="N21" s="9">
        <f t="shared" si="2"/>
        <v>8</v>
      </c>
      <c r="O21" s="9">
        <f t="shared" si="3"/>
        <v>54</v>
      </c>
      <c r="P21" s="9">
        <f t="shared" si="4"/>
        <v>11</v>
      </c>
      <c r="Q21" s="9">
        <f t="shared" si="5"/>
        <v>15</v>
      </c>
      <c r="R21" s="9" t="str">
        <f t="shared" si="6"/>
        <v/>
      </c>
      <c r="S21" s="9" t="str">
        <f t="shared" si="7"/>
        <v/>
      </c>
      <c r="T21" s="9">
        <f t="shared" si="8"/>
        <v>25</v>
      </c>
      <c r="U21" s="9" t="str">
        <f t="shared" si="9"/>
        <v/>
      </c>
      <c r="V21" s="9">
        <f t="shared" si="10"/>
        <v>20</v>
      </c>
      <c r="W21" s="9">
        <f t="shared" si="11"/>
        <v>16</v>
      </c>
      <c r="X21" s="9" t="str">
        <f t="shared" si="12"/>
        <v/>
      </c>
      <c r="Y21" s="14">
        <f t="shared" si="13"/>
        <v>61.092819919999997</v>
      </c>
      <c r="Z21" s="2" t="str">
        <f t="shared" si="14"/>
        <v/>
      </c>
      <c r="AA21" s="2" t="str">
        <f t="shared" si="15"/>
        <v/>
      </c>
      <c r="AB21" s="14" t="str">
        <f t="shared" si="16"/>
        <v/>
      </c>
      <c r="AC21" s="9">
        <f t="shared" si="17"/>
        <v>72</v>
      </c>
      <c r="AD21" s="9">
        <f t="shared" si="18"/>
        <v>1</v>
      </c>
      <c r="AE21" s="9">
        <f t="shared" si="19"/>
        <v>8</v>
      </c>
    </row>
    <row r="22" spans="1:31" x14ac:dyDescent="0.2">
      <c r="A22" s="7" t="s">
        <v>97</v>
      </c>
      <c r="B22" s="6" t="s">
        <v>106</v>
      </c>
      <c r="C22" s="6" t="s">
        <v>202</v>
      </c>
      <c r="F22" s="3">
        <f t="shared" si="0"/>
        <v>13</v>
      </c>
      <c r="G22" s="6">
        <v>30</v>
      </c>
      <c r="H22" s="6">
        <v>21</v>
      </c>
      <c r="I22" s="6"/>
      <c r="J22" s="6">
        <v>58</v>
      </c>
      <c r="K22" s="6">
        <v>6</v>
      </c>
      <c r="L22" s="6"/>
      <c r="M22" s="9">
        <f t="shared" si="1"/>
        <v>27</v>
      </c>
      <c r="N22" s="9">
        <f t="shared" si="2"/>
        <v>19</v>
      </c>
      <c r="O22" s="9" t="str">
        <f t="shared" si="3"/>
        <v/>
      </c>
      <c r="P22" s="9">
        <f t="shared" si="4"/>
        <v>53</v>
      </c>
      <c r="Q22" s="9">
        <f t="shared" si="5"/>
        <v>4</v>
      </c>
      <c r="R22" s="9" t="str">
        <f t="shared" si="6"/>
        <v/>
      </c>
      <c r="S22" s="9">
        <f t="shared" si="7"/>
        <v>4</v>
      </c>
      <c r="T22" s="9">
        <f t="shared" si="8"/>
        <v>12</v>
      </c>
      <c r="U22" s="9" t="str">
        <f t="shared" si="9"/>
        <v/>
      </c>
      <c r="V22" s="9" t="str">
        <f t="shared" si="10"/>
        <v/>
      </c>
      <c r="W22" s="9">
        <f t="shared" si="11"/>
        <v>44</v>
      </c>
      <c r="X22" s="9" t="str">
        <f t="shared" si="12"/>
        <v/>
      </c>
      <c r="Y22" s="14">
        <f t="shared" si="13"/>
        <v>60.089719960000004</v>
      </c>
      <c r="Z22" s="2" t="str">
        <f t="shared" si="14"/>
        <v>P</v>
      </c>
      <c r="AA22" s="2" t="str">
        <f t="shared" si="15"/>
        <v/>
      </c>
      <c r="AB22" s="14">
        <f t="shared" si="16"/>
        <v>60.089719960000004</v>
      </c>
      <c r="AC22" s="9">
        <f t="shared" si="17"/>
        <v>103</v>
      </c>
      <c r="AD22" s="9">
        <f t="shared" si="18"/>
        <v>1</v>
      </c>
      <c r="AE22" s="9">
        <f t="shared" si="19"/>
        <v>4</v>
      </c>
    </row>
    <row r="23" spans="1:31" x14ac:dyDescent="0.2">
      <c r="A23" s="7" t="s">
        <v>83</v>
      </c>
      <c r="B23" s="6" t="s">
        <v>82</v>
      </c>
      <c r="C23" s="6" t="s">
        <v>202</v>
      </c>
      <c r="F23" s="3" t="str">
        <f t="shared" si="0"/>
        <v/>
      </c>
      <c r="G23" s="6">
        <v>16</v>
      </c>
      <c r="H23" s="6">
        <v>58</v>
      </c>
      <c r="I23" s="6">
        <v>20</v>
      </c>
      <c r="J23" s="6">
        <v>15</v>
      </c>
      <c r="K23" s="6">
        <v>26</v>
      </c>
      <c r="L23" s="6"/>
      <c r="M23" s="9">
        <f t="shared" si="1"/>
        <v>14</v>
      </c>
      <c r="N23" s="9">
        <f t="shared" si="2"/>
        <v>56</v>
      </c>
      <c r="O23" s="9">
        <f t="shared" si="3"/>
        <v>16</v>
      </c>
      <c r="P23" s="9">
        <f t="shared" si="4"/>
        <v>12</v>
      </c>
      <c r="Q23" s="9">
        <f t="shared" si="5"/>
        <v>24</v>
      </c>
      <c r="R23" s="9" t="str">
        <f t="shared" si="6"/>
        <v/>
      </c>
      <c r="S23" s="9">
        <f t="shared" si="7"/>
        <v>17</v>
      </c>
      <c r="T23" s="9" t="str">
        <f t="shared" si="8"/>
        <v/>
      </c>
      <c r="U23" s="9">
        <f t="shared" si="9"/>
        <v>15</v>
      </c>
      <c r="V23" s="9">
        <f t="shared" si="10"/>
        <v>19</v>
      </c>
      <c r="W23" s="9">
        <f t="shared" si="11"/>
        <v>7</v>
      </c>
      <c r="X23" s="9" t="str">
        <f t="shared" si="12"/>
        <v/>
      </c>
      <c r="Y23" s="14">
        <f t="shared" si="13"/>
        <v>58.093409880000003</v>
      </c>
      <c r="Z23" s="2" t="str">
        <f t="shared" si="14"/>
        <v/>
      </c>
      <c r="AA23" s="2" t="str">
        <f t="shared" si="15"/>
        <v/>
      </c>
      <c r="AB23" s="14" t="str">
        <f t="shared" si="16"/>
        <v/>
      </c>
      <c r="AC23" s="9">
        <f t="shared" si="17"/>
        <v>66</v>
      </c>
      <c r="AD23" s="9">
        <f t="shared" si="18"/>
        <v>0</v>
      </c>
      <c r="AE23" s="9">
        <f t="shared" si="19"/>
        <v>12</v>
      </c>
    </row>
    <row r="24" spans="1:31" x14ac:dyDescent="0.2">
      <c r="A24" s="7" t="s">
        <v>93</v>
      </c>
      <c r="B24" s="6" t="s">
        <v>52</v>
      </c>
      <c r="C24" s="6" t="s">
        <v>202</v>
      </c>
      <c r="F24" s="3">
        <f t="shared" si="0"/>
        <v>14</v>
      </c>
      <c r="G24" s="6">
        <v>26</v>
      </c>
      <c r="H24" s="6">
        <v>16</v>
      </c>
      <c r="I24" s="6">
        <v>68</v>
      </c>
      <c r="J24" s="6">
        <v>18</v>
      </c>
      <c r="K24" s="6">
        <v>18</v>
      </c>
      <c r="L24" s="6"/>
      <c r="M24" s="9">
        <f t="shared" si="1"/>
        <v>23</v>
      </c>
      <c r="N24" s="9">
        <f t="shared" si="2"/>
        <v>14</v>
      </c>
      <c r="O24" s="9">
        <f t="shared" si="3"/>
        <v>63</v>
      </c>
      <c r="P24" s="9">
        <f t="shared" si="4"/>
        <v>14</v>
      </c>
      <c r="Q24" s="9">
        <f t="shared" si="5"/>
        <v>16</v>
      </c>
      <c r="R24" s="9" t="str">
        <f t="shared" si="6"/>
        <v/>
      </c>
      <c r="S24" s="9">
        <f t="shared" si="7"/>
        <v>8</v>
      </c>
      <c r="T24" s="9">
        <f t="shared" si="8"/>
        <v>17</v>
      </c>
      <c r="U24" s="9" t="str">
        <f t="shared" si="9"/>
        <v/>
      </c>
      <c r="V24" s="9">
        <f t="shared" si="10"/>
        <v>17</v>
      </c>
      <c r="W24" s="9">
        <f t="shared" si="11"/>
        <v>15</v>
      </c>
      <c r="X24" s="9" t="str">
        <f t="shared" si="12"/>
        <v/>
      </c>
      <c r="Y24" s="14">
        <f t="shared" si="13"/>
        <v>57.093309859999998</v>
      </c>
      <c r="Z24" s="2" t="str">
        <f t="shared" si="14"/>
        <v>P</v>
      </c>
      <c r="AA24" s="2" t="str">
        <f t="shared" si="15"/>
        <v/>
      </c>
      <c r="AB24" s="14">
        <f t="shared" si="16"/>
        <v>57.093309859999998</v>
      </c>
      <c r="AC24" s="9">
        <f t="shared" si="17"/>
        <v>67</v>
      </c>
      <c r="AD24" s="9">
        <f t="shared" si="18"/>
        <v>0</v>
      </c>
      <c r="AE24" s="9">
        <f t="shared" si="19"/>
        <v>14</v>
      </c>
    </row>
    <row r="25" spans="1:31" x14ac:dyDescent="0.2">
      <c r="A25" s="7" t="s">
        <v>92</v>
      </c>
      <c r="B25" s="6" t="s">
        <v>17</v>
      </c>
      <c r="C25" s="6" t="s">
        <v>203</v>
      </c>
      <c r="F25" s="3">
        <f t="shared" si="0"/>
        <v>15</v>
      </c>
      <c r="G25" s="6">
        <v>25</v>
      </c>
      <c r="H25" s="6">
        <v>15</v>
      </c>
      <c r="I25" s="6">
        <v>18</v>
      </c>
      <c r="J25" s="6">
        <v>28</v>
      </c>
      <c r="K25" s="6">
        <v>38</v>
      </c>
      <c r="L25" s="6"/>
      <c r="M25" s="9">
        <f t="shared" si="1"/>
        <v>22</v>
      </c>
      <c r="N25" s="9">
        <f t="shared" si="2"/>
        <v>13</v>
      </c>
      <c r="O25" s="9">
        <f t="shared" si="3"/>
        <v>14</v>
      </c>
      <c r="P25" s="9">
        <f t="shared" si="4"/>
        <v>23</v>
      </c>
      <c r="Q25" s="9">
        <f t="shared" si="5"/>
        <v>36</v>
      </c>
      <c r="R25" s="9" t="str">
        <f t="shared" si="6"/>
        <v/>
      </c>
      <c r="S25" s="9">
        <f t="shared" si="7"/>
        <v>9</v>
      </c>
      <c r="T25" s="9">
        <f t="shared" si="8"/>
        <v>18</v>
      </c>
      <c r="U25" s="9">
        <f t="shared" si="9"/>
        <v>17</v>
      </c>
      <c r="V25" s="9">
        <f t="shared" si="10"/>
        <v>8</v>
      </c>
      <c r="W25" s="9" t="str">
        <f t="shared" si="11"/>
        <v/>
      </c>
      <c r="X25" s="9" t="str">
        <f t="shared" si="12"/>
        <v/>
      </c>
      <c r="Y25" s="14">
        <f t="shared" si="13"/>
        <v>52.092809869999996</v>
      </c>
      <c r="Z25" s="2" t="str">
        <f t="shared" si="14"/>
        <v>P</v>
      </c>
      <c r="AA25" s="2" t="str">
        <f t="shared" si="15"/>
        <v/>
      </c>
      <c r="AB25" s="14">
        <f t="shared" si="16"/>
        <v>52.092809869999996</v>
      </c>
      <c r="AC25" s="9">
        <f t="shared" si="17"/>
        <v>72</v>
      </c>
      <c r="AD25" s="9">
        <f t="shared" si="18"/>
        <v>0</v>
      </c>
      <c r="AE25" s="9">
        <f t="shared" si="19"/>
        <v>13</v>
      </c>
    </row>
    <row r="26" spans="1:31" x14ac:dyDescent="0.2">
      <c r="A26" s="7" t="s">
        <v>120</v>
      </c>
      <c r="B26" s="6" t="s">
        <v>108</v>
      </c>
      <c r="C26" s="6" t="s">
        <v>201</v>
      </c>
      <c r="F26" s="3">
        <f t="shared" si="0"/>
        <v>16</v>
      </c>
      <c r="G26" s="6">
        <v>68</v>
      </c>
      <c r="H26" s="6">
        <v>24</v>
      </c>
      <c r="I26" s="6">
        <v>17</v>
      </c>
      <c r="J26" s="6">
        <v>35</v>
      </c>
      <c r="K26" s="6">
        <v>15</v>
      </c>
      <c r="L26" s="6"/>
      <c r="M26" s="9">
        <f t="shared" si="1"/>
        <v>63</v>
      </c>
      <c r="N26" s="9">
        <f t="shared" si="2"/>
        <v>22</v>
      </c>
      <c r="O26" s="9">
        <f t="shared" si="3"/>
        <v>13</v>
      </c>
      <c r="P26" s="9">
        <f t="shared" si="4"/>
        <v>30</v>
      </c>
      <c r="Q26" s="9">
        <f t="shared" si="5"/>
        <v>13</v>
      </c>
      <c r="R26" s="9" t="str">
        <f t="shared" si="6"/>
        <v/>
      </c>
      <c r="S26" s="9" t="str">
        <f t="shared" si="7"/>
        <v/>
      </c>
      <c r="T26" s="9">
        <f t="shared" si="8"/>
        <v>9</v>
      </c>
      <c r="U26" s="9">
        <f t="shared" si="9"/>
        <v>18</v>
      </c>
      <c r="V26" s="9">
        <f t="shared" si="10"/>
        <v>1</v>
      </c>
      <c r="W26" s="9">
        <f t="shared" si="11"/>
        <v>18</v>
      </c>
      <c r="X26" s="9" t="str">
        <f t="shared" si="12"/>
        <v/>
      </c>
      <c r="Y26" s="14">
        <f t="shared" si="13"/>
        <v>46.092209869999998</v>
      </c>
      <c r="Z26" s="2" t="str">
        <f t="shared" si="14"/>
        <v>P</v>
      </c>
      <c r="AA26" s="2" t="str">
        <f t="shared" si="15"/>
        <v/>
      </c>
      <c r="AB26" s="14">
        <f t="shared" si="16"/>
        <v>46.092209869999998</v>
      </c>
      <c r="AC26" s="9">
        <f t="shared" si="17"/>
        <v>78</v>
      </c>
      <c r="AD26" s="9">
        <f t="shared" si="18"/>
        <v>0</v>
      </c>
      <c r="AE26" s="9">
        <f t="shared" si="19"/>
        <v>13</v>
      </c>
    </row>
    <row r="27" spans="1:31" x14ac:dyDescent="0.2">
      <c r="A27" s="7" t="s">
        <v>171</v>
      </c>
      <c r="B27" s="6" t="s">
        <v>54</v>
      </c>
      <c r="C27" s="6" t="s">
        <v>203</v>
      </c>
      <c r="F27" s="3">
        <f t="shared" si="0"/>
        <v>17</v>
      </c>
      <c r="G27" s="6">
        <v>56</v>
      </c>
      <c r="H27" s="6">
        <v>76</v>
      </c>
      <c r="I27" s="6">
        <v>27</v>
      </c>
      <c r="J27" s="6">
        <v>26</v>
      </c>
      <c r="K27" s="6">
        <v>14</v>
      </c>
      <c r="L27" s="6"/>
      <c r="M27" s="9">
        <f t="shared" si="1"/>
        <v>53</v>
      </c>
      <c r="N27" s="9">
        <f t="shared" si="2"/>
        <v>72</v>
      </c>
      <c r="O27" s="9">
        <f t="shared" si="3"/>
        <v>23</v>
      </c>
      <c r="P27" s="9">
        <f t="shared" si="4"/>
        <v>21</v>
      </c>
      <c r="Q27" s="9">
        <f t="shared" si="5"/>
        <v>12</v>
      </c>
      <c r="R27" s="9" t="str">
        <f t="shared" si="6"/>
        <v/>
      </c>
      <c r="S27" s="9" t="str">
        <f t="shared" si="7"/>
        <v/>
      </c>
      <c r="T27" s="9" t="str">
        <f t="shared" si="8"/>
        <v/>
      </c>
      <c r="U27" s="9">
        <f t="shared" si="9"/>
        <v>8</v>
      </c>
      <c r="V27" s="9">
        <f t="shared" si="10"/>
        <v>10</v>
      </c>
      <c r="W27" s="9">
        <f t="shared" si="11"/>
        <v>19</v>
      </c>
      <c r="X27" s="9" t="str">
        <f t="shared" si="12"/>
        <v/>
      </c>
      <c r="Y27" s="14">
        <f t="shared" si="13"/>
        <v>37.089109880000002</v>
      </c>
      <c r="Z27" s="2" t="str">
        <f t="shared" si="14"/>
        <v>P</v>
      </c>
      <c r="AA27" s="2" t="str">
        <f t="shared" si="15"/>
        <v/>
      </c>
      <c r="AB27" s="14">
        <f t="shared" si="16"/>
        <v>37.089109880000002</v>
      </c>
      <c r="AC27" s="9">
        <f t="shared" si="17"/>
        <v>109</v>
      </c>
      <c r="AD27" s="9">
        <f t="shared" si="18"/>
        <v>0</v>
      </c>
      <c r="AE27" s="9">
        <f t="shared" si="19"/>
        <v>12</v>
      </c>
    </row>
    <row r="28" spans="1:31" x14ac:dyDescent="0.2">
      <c r="A28" s="7" t="s">
        <v>87</v>
      </c>
      <c r="B28" s="6" t="s">
        <v>24</v>
      </c>
      <c r="C28" s="6" t="s">
        <v>202</v>
      </c>
      <c r="F28" s="3">
        <f t="shared" si="0"/>
        <v>18</v>
      </c>
      <c r="G28" s="6">
        <v>20</v>
      </c>
      <c r="H28" s="6">
        <v>90</v>
      </c>
      <c r="I28" s="6">
        <v>25</v>
      </c>
      <c r="J28" s="6">
        <v>24</v>
      </c>
      <c r="K28" s="6"/>
      <c r="L28" s="6"/>
      <c r="M28" s="9">
        <f t="shared" si="1"/>
        <v>17</v>
      </c>
      <c r="N28" s="9">
        <f t="shared" si="2"/>
        <v>86</v>
      </c>
      <c r="O28" s="9">
        <f t="shared" si="3"/>
        <v>21</v>
      </c>
      <c r="P28" s="9">
        <f t="shared" si="4"/>
        <v>19</v>
      </c>
      <c r="Q28" s="9" t="str">
        <f t="shared" si="5"/>
        <v/>
      </c>
      <c r="R28" s="9" t="str">
        <f t="shared" si="6"/>
        <v/>
      </c>
      <c r="S28" s="9">
        <f t="shared" si="7"/>
        <v>14</v>
      </c>
      <c r="T28" s="9" t="str">
        <f t="shared" si="8"/>
        <v/>
      </c>
      <c r="U28" s="9">
        <f t="shared" si="9"/>
        <v>10</v>
      </c>
      <c r="V28" s="9">
        <f t="shared" si="10"/>
        <v>12</v>
      </c>
      <c r="W28" s="9" t="str">
        <f t="shared" si="11"/>
        <v/>
      </c>
      <c r="X28" s="9" t="str">
        <f t="shared" si="12"/>
        <v/>
      </c>
      <c r="Y28" s="14">
        <f t="shared" si="13"/>
        <v>36.085709830000006</v>
      </c>
      <c r="Z28" s="2" t="str">
        <f t="shared" si="14"/>
        <v>P</v>
      </c>
      <c r="AA28" s="2" t="str">
        <f t="shared" si="15"/>
        <v/>
      </c>
      <c r="AB28" s="14">
        <f t="shared" si="16"/>
        <v>36.085709830000006</v>
      </c>
      <c r="AC28" s="9">
        <f t="shared" si="17"/>
        <v>143</v>
      </c>
      <c r="AD28" s="9">
        <f t="shared" si="18"/>
        <v>0</v>
      </c>
      <c r="AE28" s="9">
        <f t="shared" si="19"/>
        <v>17</v>
      </c>
    </row>
    <row r="29" spans="1:31" x14ac:dyDescent="0.2">
      <c r="A29" s="7" t="s">
        <v>94</v>
      </c>
      <c r="B29" s="6" t="s">
        <v>57</v>
      </c>
      <c r="C29" s="6" t="s">
        <v>202</v>
      </c>
      <c r="F29" s="3">
        <f t="shared" si="0"/>
        <v>19</v>
      </c>
      <c r="G29" s="6">
        <v>27</v>
      </c>
      <c r="H29" s="6">
        <v>84</v>
      </c>
      <c r="I29" s="6">
        <v>28</v>
      </c>
      <c r="J29" s="6">
        <v>29</v>
      </c>
      <c r="K29" s="6">
        <v>20</v>
      </c>
      <c r="L29" s="6"/>
      <c r="M29" s="9">
        <f t="shared" si="1"/>
        <v>24</v>
      </c>
      <c r="N29" s="9">
        <f t="shared" si="2"/>
        <v>80</v>
      </c>
      <c r="O29" s="9">
        <f t="shared" si="3"/>
        <v>24</v>
      </c>
      <c r="P29" s="9">
        <f t="shared" si="4"/>
        <v>24</v>
      </c>
      <c r="Q29" s="9">
        <f t="shared" si="5"/>
        <v>18</v>
      </c>
      <c r="R29" s="9" t="str">
        <f t="shared" si="6"/>
        <v/>
      </c>
      <c r="S29" s="9">
        <f t="shared" si="7"/>
        <v>7</v>
      </c>
      <c r="T29" s="9" t="str">
        <f t="shared" si="8"/>
        <v/>
      </c>
      <c r="U29" s="9">
        <f t="shared" si="9"/>
        <v>7</v>
      </c>
      <c r="V29" s="9">
        <f t="shared" si="10"/>
        <v>7</v>
      </c>
      <c r="W29" s="9">
        <f t="shared" si="11"/>
        <v>13</v>
      </c>
      <c r="X29" s="9" t="str">
        <f t="shared" si="12"/>
        <v/>
      </c>
      <c r="Y29" s="14">
        <f t="shared" si="13"/>
        <v>34.091009820000004</v>
      </c>
      <c r="Z29" s="2" t="str">
        <f t="shared" si="14"/>
        <v>P</v>
      </c>
      <c r="AA29" s="2" t="str">
        <f t="shared" si="15"/>
        <v/>
      </c>
      <c r="AB29" s="14">
        <f t="shared" si="16"/>
        <v>34.091009820000004</v>
      </c>
      <c r="AC29" s="9">
        <f t="shared" si="17"/>
        <v>90</v>
      </c>
      <c r="AD29" s="9">
        <f t="shared" si="18"/>
        <v>0</v>
      </c>
      <c r="AE29" s="9">
        <f t="shared" si="19"/>
        <v>18</v>
      </c>
    </row>
    <row r="30" spans="1:31" x14ac:dyDescent="0.2">
      <c r="A30" s="7" t="s">
        <v>90</v>
      </c>
      <c r="B30" s="6" t="s">
        <v>57</v>
      </c>
      <c r="C30" s="6" t="s">
        <v>202</v>
      </c>
      <c r="F30" s="3" t="str">
        <f t="shared" si="0"/>
        <v/>
      </c>
      <c r="G30" s="6">
        <v>23</v>
      </c>
      <c r="H30" s="6">
        <v>27</v>
      </c>
      <c r="I30" s="6">
        <v>30</v>
      </c>
      <c r="J30" s="6">
        <v>34</v>
      </c>
      <c r="K30" s="6">
        <v>22</v>
      </c>
      <c r="L30" s="6"/>
      <c r="M30" s="9">
        <f t="shared" si="1"/>
        <v>20</v>
      </c>
      <c r="N30" s="9">
        <f t="shared" si="2"/>
        <v>25</v>
      </c>
      <c r="O30" s="9">
        <f t="shared" si="3"/>
        <v>26</v>
      </c>
      <c r="P30" s="9">
        <f t="shared" si="4"/>
        <v>29</v>
      </c>
      <c r="Q30" s="9">
        <f t="shared" si="5"/>
        <v>20</v>
      </c>
      <c r="R30" s="9" t="str">
        <f t="shared" si="6"/>
        <v/>
      </c>
      <c r="S30" s="9">
        <f t="shared" si="7"/>
        <v>11</v>
      </c>
      <c r="T30" s="9">
        <f t="shared" si="8"/>
        <v>6</v>
      </c>
      <c r="U30" s="9">
        <f t="shared" si="9"/>
        <v>5</v>
      </c>
      <c r="V30" s="9">
        <f t="shared" si="10"/>
        <v>2</v>
      </c>
      <c r="W30" s="9">
        <f t="shared" si="11"/>
        <v>11</v>
      </c>
      <c r="X30" s="9" t="str">
        <f t="shared" si="12"/>
        <v/>
      </c>
      <c r="Y30" s="14">
        <f t="shared" si="13"/>
        <v>33.090909799999999</v>
      </c>
      <c r="Z30" s="2" t="str">
        <f t="shared" si="14"/>
        <v/>
      </c>
      <c r="AA30" s="2" t="str">
        <f t="shared" si="15"/>
        <v/>
      </c>
      <c r="AB30" s="14" t="str">
        <f t="shared" si="16"/>
        <v/>
      </c>
      <c r="AC30" s="9">
        <f t="shared" si="17"/>
        <v>91</v>
      </c>
      <c r="AD30" s="9">
        <f t="shared" si="18"/>
        <v>0</v>
      </c>
      <c r="AE30" s="9">
        <f t="shared" si="19"/>
        <v>20</v>
      </c>
    </row>
    <row r="31" spans="1:31" x14ac:dyDescent="0.2">
      <c r="A31" s="7" t="s">
        <v>127</v>
      </c>
      <c r="B31" s="6" t="s">
        <v>51</v>
      </c>
      <c r="C31" s="6" t="s">
        <v>202</v>
      </c>
      <c r="F31" s="3">
        <f t="shared" si="0"/>
        <v>20</v>
      </c>
      <c r="G31" s="6">
        <v>64</v>
      </c>
      <c r="H31" s="6">
        <v>30</v>
      </c>
      <c r="I31" s="6"/>
      <c r="J31" s="6">
        <v>13</v>
      </c>
      <c r="K31" s="6">
        <v>24</v>
      </c>
      <c r="L31" s="6"/>
      <c r="M31" s="9">
        <f t="shared" si="1"/>
        <v>60</v>
      </c>
      <c r="N31" s="9">
        <f t="shared" si="2"/>
        <v>28</v>
      </c>
      <c r="O31" s="9" t="str">
        <f t="shared" si="3"/>
        <v/>
      </c>
      <c r="P31" s="9">
        <f t="shared" si="4"/>
        <v>10</v>
      </c>
      <c r="Q31" s="9">
        <f t="shared" si="5"/>
        <v>22</v>
      </c>
      <c r="R31" s="9" t="str">
        <f t="shared" si="6"/>
        <v/>
      </c>
      <c r="S31" s="9" t="str">
        <f t="shared" si="7"/>
        <v/>
      </c>
      <c r="T31" s="9">
        <f t="shared" si="8"/>
        <v>3</v>
      </c>
      <c r="U31" s="9" t="str">
        <f t="shared" si="9"/>
        <v/>
      </c>
      <c r="V31" s="9">
        <f t="shared" si="10"/>
        <v>21</v>
      </c>
      <c r="W31" s="9">
        <f t="shared" si="11"/>
        <v>9</v>
      </c>
      <c r="X31" s="9" t="str">
        <f t="shared" si="12"/>
        <v/>
      </c>
      <c r="Y31" s="14">
        <f t="shared" si="13"/>
        <v>33.088009900000003</v>
      </c>
      <c r="Z31" s="2" t="str">
        <f t="shared" si="14"/>
        <v>P</v>
      </c>
      <c r="AA31" s="2" t="str">
        <f t="shared" si="15"/>
        <v/>
      </c>
      <c r="AB31" s="14">
        <f t="shared" si="16"/>
        <v>33.088009900000003</v>
      </c>
      <c r="AC31" s="9">
        <f t="shared" si="17"/>
        <v>120</v>
      </c>
      <c r="AD31" s="9">
        <f t="shared" si="18"/>
        <v>0</v>
      </c>
      <c r="AE31" s="9">
        <f t="shared" si="19"/>
        <v>10</v>
      </c>
    </row>
    <row r="32" spans="1:31" x14ac:dyDescent="0.2">
      <c r="A32" s="7" t="s">
        <v>89</v>
      </c>
      <c r="B32" s="6" t="s">
        <v>59</v>
      </c>
      <c r="C32" s="6" t="s">
        <v>204</v>
      </c>
      <c r="F32" s="3" t="str">
        <f t="shared" si="0"/>
        <v/>
      </c>
      <c r="G32" s="6">
        <v>22</v>
      </c>
      <c r="H32" s="6">
        <v>14</v>
      </c>
      <c r="I32" s="6">
        <v>49</v>
      </c>
      <c r="J32" s="6">
        <v>77</v>
      </c>
      <c r="K32" s="6">
        <v>52</v>
      </c>
      <c r="L32" s="6"/>
      <c r="M32" s="9">
        <f t="shared" si="1"/>
        <v>19</v>
      </c>
      <c r="N32" s="9">
        <f t="shared" si="2"/>
        <v>12</v>
      </c>
      <c r="O32" s="9">
        <f t="shared" si="3"/>
        <v>45</v>
      </c>
      <c r="P32" s="9">
        <f t="shared" si="4"/>
        <v>72</v>
      </c>
      <c r="Q32" s="9">
        <f t="shared" si="5"/>
        <v>49</v>
      </c>
      <c r="R32" s="9" t="str">
        <f t="shared" si="6"/>
        <v/>
      </c>
      <c r="S32" s="9">
        <f t="shared" si="7"/>
        <v>12</v>
      </c>
      <c r="T32" s="9">
        <f t="shared" si="8"/>
        <v>19</v>
      </c>
      <c r="U32" s="9" t="str">
        <f t="shared" si="9"/>
        <v/>
      </c>
      <c r="V32" s="9" t="str">
        <f t="shared" si="10"/>
        <v/>
      </c>
      <c r="W32" s="9" t="str">
        <f t="shared" si="11"/>
        <v/>
      </c>
      <c r="X32" s="9" t="str">
        <f t="shared" si="12"/>
        <v/>
      </c>
      <c r="Y32" s="14">
        <f t="shared" si="13"/>
        <v>31.087509879999999</v>
      </c>
      <c r="Z32" s="2" t="str">
        <f t="shared" si="14"/>
        <v/>
      </c>
      <c r="AA32" s="2" t="str">
        <f t="shared" si="15"/>
        <v/>
      </c>
      <c r="AB32" s="14" t="str">
        <f t="shared" si="16"/>
        <v/>
      </c>
      <c r="AC32" s="9">
        <f t="shared" si="17"/>
        <v>125</v>
      </c>
      <c r="AD32" s="9">
        <f t="shared" si="18"/>
        <v>0</v>
      </c>
      <c r="AE32" s="9">
        <f t="shared" si="19"/>
        <v>12</v>
      </c>
    </row>
    <row r="33" spans="1:31" x14ac:dyDescent="0.2">
      <c r="A33" s="7" t="s">
        <v>170</v>
      </c>
      <c r="B33" s="6" t="s">
        <v>55</v>
      </c>
      <c r="C33" s="6" t="s">
        <v>203</v>
      </c>
      <c r="F33" s="3">
        <f t="shared" si="0"/>
        <v>21</v>
      </c>
      <c r="G33" s="6"/>
      <c r="H33" s="6"/>
      <c r="I33" s="6">
        <v>23</v>
      </c>
      <c r="J33" s="6">
        <v>22</v>
      </c>
      <c r="K33" s="6">
        <v>31</v>
      </c>
      <c r="L33" s="6"/>
      <c r="M33" s="9" t="str">
        <f t="shared" si="1"/>
        <v/>
      </c>
      <c r="N33" s="9" t="str">
        <f t="shared" si="2"/>
        <v/>
      </c>
      <c r="O33" s="9">
        <f t="shared" si="3"/>
        <v>19</v>
      </c>
      <c r="P33" s="9">
        <f t="shared" si="4"/>
        <v>17</v>
      </c>
      <c r="Q33" s="9">
        <f t="shared" si="5"/>
        <v>29</v>
      </c>
      <c r="R33" s="9" t="str">
        <f t="shared" si="6"/>
        <v/>
      </c>
      <c r="S33" s="9" t="str">
        <f t="shared" si="7"/>
        <v/>
      </c>
      <c r="T33" s="9" t="str">
        <f t="shared" si="8"/>
        <v/>
      </c>
      <c r="U33" s="9">
        <f t="shared" si="9"/>
        <v>12</v>
      </c>
      <c r="V33" s="9">
        <f t="shared" si="10"/>
        <v>14</v>
      </c>
      <c r="W33" s="9">
        <f t="shared" si="11"/>
        <v>2</v>
      </c>
      <c r="X33" s="9" t="str">
        <f t="shared" si="12"/>
        <v/>
      </c>
      <c r="Y33" s="14">
        <f t="shared" si="13"/>
        <v>28.093509829999999</v>
      </c>
      <c r="Z33" s="2" t="str">
        <f t="shared" si="14"/>
        <v>P</v>
      </c>
      <c r="AA33" s="2" t="str">
        <f t="shared" si="15"/>
        <v/>
      </c>
      <c r="AB33" s="14">
        <f t="shared" si="16"/>
        <v>28.093509829999999</v>
      </c>
      <c r="AC33" s="9">
        <f t="shared" si="17"/>
        <v>65</v>
      </c>
      <c r="AD33" s="9">
        <f t="shared" si="18"/>
        <v>0</v>
      </c>
      <c r="AE33" s="9">
        <f t="shared" si="19"/>
        <v>17</v>
      </c>
    </row>
    <row r="34" spans="1:31" x14ac:dyDescent="0.2">
      <c r="A34" s="7" t="s">
        <v>88</v>
      </c>
      <c r="B34" s="6" t="s">
        <v>22</v>
      </c>
      <c r="C34" s="6" t="s">
        <v>202</v>
      </c>
      <c r="F34" s="3" t="str">
        <f t="shared" si="0"/>
        <v/>
      </c>
      <c r="G34" s="6">
        <v>21</v>
      </c>
      <c r="H34" s="6">
        <v>23</v>
      </c>
      <c r="I34" s="6"/>
      <c r="J34" s="6"/>
      <c r="K34" s="6">
        <v>28</v>
      </c>
      <c r="L34" s="6"/>
      <c r="M34" s="9">
        <f t="shared" si="1"/>
        <v>18</v>
      </c>
      <c r="N34" s="9">
        <f t="shared" si="2"/>
        <v>21</v>
      </c>
      <c r="O34" s="9" t="str">
        <f t="shared" si="3"/>
        <v/>
      </c>
      <c r="P34" s="9" t="str">
        <f t="shared" si="4"/>
        <v/>
      </c>
      <c r="Q34" s="9">
        <f t="shared" si="5"/>
        <v>26</v>
      </c>
      <c r="R34" s="9" t="str">
        <f t="shared" si="6"/>
        <v/>
      </c>
      <c r="S34" s="9">
        <f t="shared" si="7"/>
        <v>13</v>
      </c>
      <c r="T34" s="9">
        <f t="shared" si="8"/>
        <v>10</v>
      </c>
      <c r="U34" s="9" t="str">
        <f t="shared" si="9"/>
        <v/>
      </c>
      <c r="V34" s="9" t="str">
        <f t="shared" si="10"/>
        <v/>
      </c>
      <c r="W34" s="9">
        <f t="shared" si="11"/>
        <v>5</v>
      </c>
      <c r="X34" s="9" t="str">
        <f t="shared" si="12"/>
        <v/>
      </c>
      <c r="Y34" s="14">
        <f t="shared" si="13"/>
        <v>28.093509819999998</v>
      </c>
      <c r="Z34" s="2" t="str">
        <f t="shared" si="14"/>
        <v>P</v>
      </c>
      <c r="AA34" s="2" t="str">
        <f t="shared" si="15"/>
        <v>P</v>
      </c>
      <c r="AB34" s="14" t="str">
        <f t="shared" si="16"/>
        <v/>
      </c>
      <c r="AC34" s="9">
        <f t="shared" si="17"/>
        <v>65</v>
      </c>
      <c r="AD34" s="9">
        <f t="shared" si="18"/>
        <v>0</v>
      </c>
      <c r="AE34" s="9">
        <f t="shared" si="19"/>
        <v>18</v>
      </c>
    </row>
    <row r="35" spans="1:31" x14ac:dyDescent="0.2">
      <c r="A35" s="7" t="s">
        <v>185</v>
      </c>
      <c r="B35" s="6" t="s">
        <v>22</v>
      </c>
      <c r="C35" s="6" t="s">
        <v>202</v>
      </c>
      <c r="F35" s="3" t="str">
        <f t="shared" ref="F35:F66" si="20">IF(AB35="","",RANK(AB35,AB:AB)+COUNTIF(D:E,"P"))</f>
        <v/>
      </c>
      <c r="G35" s="6"/>
      <c r="H35" s="6">
        <v>51</v>
      </c>
      <c r="I35" s="6">
        <v>22</v>
      </c>
      <c r="J35" s="6">
        <v>21</v>
      </c>
      <c r="K35" s="6"/>
      <c r="L35" s="6"/>
      <c r="M35" s="9" t="str">
        <f t="shared" ref="M35:M66" si="21">IF(OR($D35&lt;&gt;"",$E35&lt;&gt;"",G35=""),"",G35-SUMPRODUCT(--($D$3:$D$102="P"),--(G$3:G$102&lt;G35),--(G$3:G$102&lt;&gt;""))-SUMPRODUCT(--($E$3:$E$102="P"),--(G$3:G$102&lt;G35),--(G$3:G$102&lt;&gt;"")))</f>
        <v/>
      </c>
      <c r="N35" s="9">
        <f t="shared" ref="N35:N66" si="22">IF(OR($D35&lt;&gt;"",$E35&lt;&gt;"",H35=""),"",H35-SUMPRODUCT(--($D$3:$D$102="P"),--(H$3:H$102&lt;H35),--(H$3:H$102&lt;&gt;""))-SUMPRODUCT(--($E$3:$E$102="P"),--(H$3:H$102&lt;H35),--(H$3:H$102&lt;&gt;"")))</f>
        <v>49</v>
      </c>
      <c r="O35" s="9">
        <f t="shared" ref="O35:O66" si="23">IF(OR($D35&lt;&gt;"",$E35&lt;&gt;"",I35=""),"",I35-SUMPRODUCT(--($D$3:$D$102="P"),--(I$3:I$102&lt;I35),--(I$3:I$102&lt;&gt;""))-SUMPRODUCT(--($E$3:$E$102="P"),--(I$3:I$102&lt;I35),--(I$3:I$102&lt;&gt;"")))</f>
        <v>18</v>
      </c>
      <c r="P35" s="9">
        <f t="shared" ref="P35:P66" si="24">IF(OR($D35&lt;&gt;"",$E35&lt;&gt;"",J35=""),"",J35-SUMPRODUCT(--($D$3:$D$102="P"),--(J$3:J$102&lt;J35),--(J$3:J$102&lt;&gt;""))-SUMPRODUCT(--($E$3:$E$102="P"),--(J$3:J$102&lt;J35),--(J$3:J$102&lt;&gt;"")))</f>
        <v>16</v>
      </c>
      <c r="Q35" s="9" t="str">
        <f t="shared" ref="Q35:Q66" si="25">IF(OR($D35&lt;&gt;"",$E35&lt;&gt;"",K35=""),"",K35-SUMPRODUCT(--($D$3:$D$102="P"),--(K$3:K$102&lt;K35),--(K$3:K$102&lt;&gt;""))-SUMPRODUCT(--($E$3:$E$102="P"),--(K$3:K$102&lt;K35),--(K$3:K$102&lt;&gt;"")))</f>
        <v/>
      </c>
      <c r="R35" s="9" t="str">
        <f t="shared" ref="R35:R66" si="26">IF(OR($D35&lt;&gt;"",$E35&lt;&gt;"",L35=""),"",L35-SUMPRODUCT(--($D$3:$D$102="P"),--(L$3:L$102&lt;L35),--(L$3:L$102&lt;&gt;""))-SUMPRODUCT(--($E$3:$E$102="P"),--(L$3:L$102&lt;L35),--(L$3:L$102&lt;&gt;"")))</f>
        <v/>
      </c>
      <c r="S35" s="9" t="str">
        <f t="shared" ref="S35:S66" si="27"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9" t="str">
        <f t="shared" ref="T35:T66" si="28"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9">
        <f t="shared" ref="U35:U66" si="29"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>13</v>
      </c>
      <c r="V35" s="9">
        <f t="shared" ref="V35:V66" si="30"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>15</v>
      </c>
      <c r="W35" s="9" t="str">
        <f t="shared" ref="W35:W66" si="31"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9" t="str">
        <f t="shared" ref="X35:X66" si="32">IF(OR(R35="",R35&gt;30),"",IF(R35=1,60,IF(R35=2,55,IF(R35=3,50,IF(R35=4,44,IF(R35=5,38,IF(R35=6,32,IF(R35=7,28,IF(R35=8,25,IF(R35=9,22,IF(R35=10,21,IF(R35=11,20,IF(R35=12,19,IF(R35=13,18,IF(R35=14,17,IF(R35=15,16,IF(R35=16,15,IF(R35=17,14,IF(R35=18,13,IF(R35=19,12,IF(R35=20,11,IF(R35=21,10,IF(R35=22,9,IF(R35=23,8,IF(R35=24,7,IF(R35=25,6,IF(R35=26,5,IF(R35=27,4,IF(R35=28,3,IF(R35=29,2,IF(R35=30,1)))))))))))))))))))))))))))))))</f>
        <v/>
      </c>
      <c r="Y35" s="14">
        <f t="shared" ref="Y35:Y66" si="33">IF(A35="","",IF(OR(D35="P",E35="P"),"",IF(IF(COUNT(S35:X35)&lt;5,SUM(S35:X35),IF(COUNT(S35:X35)=5,SUM(S35:X35)-MIN(S35:X35),SUM(S35:X35)-MIN(S35:X35)-SMALL(S35:X35,2)))&gt;0,IF(COUNT(S35:X35)&lt;5,SUM(S35:X35)+(1000-AC35)*10^-4+AD35*10^-5+(1000-AE35)*10^-8,IF(COUNT(S35:X35)=5,SUM(S35:X35)-MIN(S35:X35)+(1000-AC35)*10^-4+AD35*10^-5+(1000-AE35)*10^-8,SUM(S35:X35)-MIN(S35:X35)-SMALL(S35:X35,2)+(1000-AC35)*10^-4+AD35*10^-5+(1000-AE35)*10^-8)),0)))</f>
        <v>28.09170984</v>
      </c>
      <c r="Z35" s="2" t="str">
        <f t="shared" ref="Z35:Z66" si="34">IF(OR(Y35="",Y35=0),"",IF(SUMPRODUCT(--(B$3:B$102=B35),--(Y$3:Y$102&gt;Y35),--(Y$3:Y$102&lt;&gt;"")),"","P"))</f>
        <v/>
      </c>
      <c r="AA35" s="2" t="str">
        <f t="shared" ref="AA35:AA66" si="35">IF(Y35="","",IF(SUMPRODUCT(--(D$3:D$102="P"),--(B$3:B$102=B35)),"P",""))</f>
        <v>P</v>
      </c>
      <c r="AB35" s="14" t="str">
        <f t="shared" ref="AB35:AB66" si="36">IF(AND(Z35&lt;&gt;"",OR(AA35="",SUMPRODUCT(--(Y$3:Y$102&gt;Y35),--(AA$3:AA$102="P"),--(Z$3:Z$102="P"))&lt;4)),Y35,"")</f>
        <v/>
      </c>
      <c r="AC35" s="9">
        <f t="shared" ref="AC35:AC66" si="37">IF(A35="","",IF(OR(D35="P",E35="P"),"",IF(IF(COUNT(M35:R35)&lt;5,SUM(M35:R35),IF(COUNT(M35:R35)=5,SUM(M35:R35)-MAX(M35:R35),SUM(M35:R35)-MAX(M35:R35)-LARGE(M35:R35,2)))&gt;0,IF(COUNT(M35:R35)&lt;5,SUM(M35:R35),IF(COUNT(M35:R35)=5,SUM(M35:R35)-MAX(M35:R35),SUM(M35:R35)-MAX(M35:R35)-LARGE(M35:R35,2))),0)))</f>
        <v>83</v>
      </c>
      <c r="AD35" s="9">
        <f t="shared" ref="AD35:AD66" si="38">COUNTIF(M35:R35,"&lt;=8")</f>
        <v>0</v>
      </c>
      <c r="AE35" s="9">
        <f t="shared" ref="AE35:AE66" si="39">MIN(M35:R35)</f>
        <v>16</v>
      </c>
    </row>
    <row r="36" spans="1:31" x14ac:dyDescent="0.2">
      <c r="A36" s="7" t="s">
        <v>169</v>
      </c>
      <c r="B36" s="6" t="s">
        <v>82</v>
      </c>
      <c r="C36" s="6" t="s">
        <v>202</v>
      </c>
      <c r="F36" s="3" t="str">
        <f t="shared" si="20"/>
        <v/>
      </c>
      <c r="G36" s="6">
        <v>54</v>
      </c>
      <c r="H36" s="6"/>
      <c r="I36" s="6">
        <v>21</v>
      </c>
      <c r="J36" s="6">
        <v>64</v>
      </c>
      <c r="K36" s="6">
        <v>21</v>
      </c>
      <c r="L36" s="6"/>
      <c r="M36" s="9">
        <f t="shared" si="21"/>
        <v>51</v>
      </c>
      <c r="N36" s="9" t="str">
        <f t="shared" si="22"/>
        <v/>
      </c>
      <c r="O36" s="9">
        <f t="shared" si="23"/>
        <v>17</v>
      </c>
      <c r="P36" s="9">
        <f t="shared" si="24"/>
        <v>59</v>
      </c>
      <c r="Q36" s="9">
        <f t="shared" si="25"/>
        <v>19</v>
      </c>
      <c r="R36" s="9" t="str">
        <f t="shared" si="26"/>
        <v/>
      </c>
      <c r="S36" s="9" t="str">
        <f t="shared" si="27"/>
        <v/>
      </c>
      <c r="T36" s="9" t="str">
        <f t="shared" si="28"/>
        <v/>
      </c>
      <c r="U36" s="9">
        <f t="shared" si="29"/>
        <v>14</v>
      </c>
      <c r="V36" s="9" t="str">
        <f t="shared" si="30"/>
        <v/>
      </c>
      <c r="W36" s="9">
        <f t="shared" si="31"/>
        <v>12</v>
      </c>
      <c r="X36" s="9" t="str">
        <f t="shared" si="32"/>
        <v/>
      </c>
      <c r="Y36" s="14">
        <f t="shared" si="33"/>
        <v>26.08540983</v>
      </c>
      <c r="Z36" s="2" t="str">
        <f t="shared" si="34"/>
        <v/>
      </c>
      <c r="AA36" s="2" t="str">
        <f t="shared" si="35"/>
        <v/>
      </c>
      <c r="AB36" s="14" t="str">
        <f t="shared" si="36"/>
        <v/>
      </c>
      <c r="AC36" s="9">
        <f t="shared" si="37"/>
        <v>146</v>
      </c>
      <c r="AD36" s="9">
        <f t="shared" si="38"/>
        <v>0</v>
      </c>
      <c r="AE36" s="9">
        <f t="shared" si="39"/>
        <v>17</v>
      </c>
    </row>
    <row r="37" spans="1:31" x14ac:dyDescent="0.2">
      <c r="A37" s="7" t="s">
        <v>71</v>
      </c>
      <c r="B37" s="6" t="s">
        <v>16</v>
      </c>
      <c r="C37" s="6" t="s">
        <v>201</v>
      </c>
      <c r="F37" s="3" t="str">
        <f t="shared" si="20"/>
        <v/>
      </c>
      <c r="G37" s="6">
        <v>9</v>
      </c>
      <c r="H37" s="6">
        <v>56</v>
      </c>
      <c r="I37" s="6"/>
      <c r="J37" s="6"/>
      <c r="K37" s="6"/>
      <c r="L37" s="6"/>
      <c r="M37" s="9">
        <f t="shared" si="21"/>
        <v>8</v>
      </c>
      <c r="N37" s="9">
        <f t="shared" si="22"/>
        <v>54</v>
      </c>
      <c r="O37" s="9" t="str">
        <f t="shared" si="23"/>
        <v/>
      </c>
      <c r="P37" s="9" t="str">
        <f t="shared" si="24"/>
        <v/>
      </c>
      <c r="Q37" s="9" t="str">
        <f t="shared" si="25"/>
        <v/>
      </c>
      <c r="R37" s="9" t="str">
        <f t="shared" si="26"/>
        <v/>
      </c>
      <c r="S37" s="9">
        <f t="shared" si="27"/>
        <v>25</v>
      </c>
      <c r="T37" s="9" t="str">
        <f t="shared" si="28"/>
        <v/>
      </c>
      <c r="U37" s="9" t="str">
        <f t="shared" si="29"/>
        <v/>
      </c>
      <c r="V37" s="9" t="str">
        <f t="shared" si="30"/>
        <v/>
      </c>
      <c r="W37" s="9" t="str">
        <f t="shared" si="31"/>
        <v/>
      </c>
      <c r="X37" s="9" t="str">
        <f t="shared" si="32"/>
        <v/>
      </c>
      <c r="Y37" s="14">
        <f t="shared" si="33"/>
        <v>25.093819920000001</v>
      </c>
      <c r="Z37" s="2" t="str">
        <f t="shared" si="34"/>
        <v/>
      </c>
      <c r="AA37" s="2" t="str">
        <f t="shared" si="35"/>
        <v>P</v>
      </c>
      <c r="AB37" s="14" t="str">
        <f t="shared" si="36"/>
        <v/>
      </c>
      <c r="AC37" s="9">
        <f t="shared" si="37"/>
        <v>62</v>
      </c>
      <c r="AD37" s="9">
        <f t="shared" si="38"/>
        <v>1</v>
      </c>
      <c r="AE37" s="9">
        <f t="shared" si="39"/>
        <v>8</v>
      </c>
    </row>
    <row r="38" spans="1:31" x14ac:dyDescent="0.2">
      <c r="A38" s="7" t="s">
        <v>99</v>
      </c>
      <c r="B38" s="6" t="s">
        <v>107</v>
      </c>
      <c r="C38" s="6" t="s">
        <v>202</v>
      </c>
      <c r="F38" s="3">
        <f t="shared" si="20"/>
        <v>22</v>
      </c>
      <c r="G38" s="6">
        <v>32</v>
      </c>
      <c r="H38" s="6">
        <v>22</v>
      </c>
      <c r="I38" s="6">
        <v>26</v>
      </c>
      <c r="J38" s="6">
        <v>76</v>
      </c>
      <c r="K38" s="6">
        <v>32</v>
      </c>
      <c r="L38" s="6"/>
      <c r="M38" s="9">
        <f t="shared" si="21"/>
        <v>29</v>
      </c>
      <c r="N38" s="9">
        <f t="shared" si="22"/>
        <v>20</v>
      </c>
      <c r="O38" s="9">
        <f t="shared" si="23"/>
        <v>22</v>
      </c>
      <c r="P38" s="9">
        <f t="shared" si="24"/>
        <v>71</v>
      </c>
      <c r="Q38" s="9">
        <f t="shared" si="25"/>
        <v>30</v>
      </c>
      <c r="R38" s="9" t="str">
        <f t="shared" si="26"/>
        <v/>
      </c>
      <c r="S38" s="9">
        <f t="shared" si="27"/>
        <v>2</v>
      </c>
      <c r="T38" s="9">
        <f t="shared" si="28"/>
        <v>11</v>
      </c>
      <c r="U38" s="9">
        <f t="shared" si="29"/>
        <v>9</v>
      </c>
      <c r="V38" s="9" t="str">
        <f t="shared" si="30"/>
        <v/>
      </c>
      <c r="W38" s="9">
        <f t="shared" si="31"/>
        <v>1</v>
      </c>
      <c r="X38" s="9" t="str">
        <f t="shared" si="32"/>
        <v/>
      </c>
      <c r="Y38" s="14">
        <f t="shared" si="33"/>
        <v>23.089909800000001</v>
      </c>
      <c r="Z38" s="2" t="str">
        <f t="shared" si="34"/>
        <v>P</v>
      </c>
      <c r="AA38" s="2" t="str">
        <f t="shared" si="35"/>
        <v/>
      </c>
      <c r="AB38" s="14">
        <f t="shared" si="36"/>
        <v>23.089909800000001</v>
      </c>
      <c r="AC38" s="9">
        <f t="shared" si="37"/>
        <v>101</v>
      </c>
      <c r="AD38" s="9">
        <f t="shared" si="38"/>
        <v>0</v>
      </c>
      <c r="AE38" s="9">
        <f t="shared" si="39"/>
        <v>20</v>
      </c>
    </row>
    <row r="39" spans="1:31" x14ac:dyDescent="0.2">
      <c r="A39" s="7" t="s">
        <v>76</v>
      </c>
      <c r="B39" s="6" t="s">
        <v>18</v>
      </c>
      <c r="C39" s="6" t="s">
        <v>201</v>
      </c>
      <c r="F39" s="3" t="str">
        <f t="shared" si="20"/>
        <v/>
      </c>
      <c r="G39" s="6">
        <v>10</v>
      </c>
      <c r="H39" s="6"/>
      <c r="I39" s="6"/>
      <c r="J39" s="6"/>
      <c r="K39" s="6">
        <v>54</v>
      </c>
      <c r="L39" s="6"/>
      <c r="M39" s="9">
        <f t="shared" si="21"/>
        <v>9</v>
      </c>
      <c r="N39" s="9" t="str">
        <f t="shared" si="22"/>
        <v/>
      </c>
      <c r="O39" s="9" t="str">
        <f t="shared" si="23"/>
        <v/>
      </c>
      <c r="P39" s="9" t="str">
        <f t="shared" si="24"/>
        <v/>
      </c>
      <c r="Q39" s="9">
        <f t="shared" si="25"/>
        <v>50</v>
      </c>
      <c r="R39" s="9" t="str">
        <f t="shared" si="26"/>
        <v/>
      </c>
      <c r="S39" s="9">
        <f t="shared" si="27"/>
        <v>22</v>
      </c>
      <c r="T39" s="9" t="str">
        <f t="shared" si="28"/>
        <v/>
      </c>
      <c r="U39" s="9" t="str">
        <f t="shared" si="29"/>
        <v/>
      </c>
      <c r="V39" s="9" t="str">
        <f t="shared" si="30"/>
        <v/>
      </c>
      <c r="W39" s="9" t="str">
        <f t="shared" si="31"/>
        <v/>
      </c>
      <c r="X39" s="9" t="str">
        <f t="shared" si="32"/>
        <v/>
      </c>
      <c r="Y39" s="14">
        <f t="shared" si="33"/>
        <v>22.09410991</v>
      </c>
      <c r="Z39" s="2" t="str">
        <f t="shared" si="34"/>
        <v/>
      </c>
      <c r="AA39" s="2" t="str">
        <f t="shared" si="35"/>
        <v>P</v>
      </c>
      <c r="AB39" s="14" t="str">
        <f t="shared" si="36"/>
        <v/>
      </c>
      <c r="AC39" s="9">
        <f t="shared" si="37"/>
        <v>59</v>
      </c>
      <c r="AD39" s="9">
        <f t="shared" si="38"/>
        <v>0</v>
      </c>
      <c r="AE39" s="9">
        <f t="shared" si="39"/>
        <v>9</v>
      </c>
    </row>
    <row r="40" spans="1:31" x14ac:dyDescent="0.2">
      <c r="A40" s="7" t="s">
        <v>77</v>
      </c>
      <c r="B40" s="6" t="s">
        <v>19</v>
      </c>
      <c r="C40" s="6" t="s">
        <v>202</v>
      </c>
      <c r="F40" s="3" t="str">
        <f t="shared" si="20"/>
        <v/>
      </c>
      <c r="G40" s="6">
        <v>11</v>
      </c>
      <c r="H40" s="6"/>
      <c r="I40" s="6"/>
      <c r="J40" s="6"/>
      <c r="K40" s="6"/>
      <c r="L40" s="6"/>
      <c r="M40" s="9">
        <f t="shared" si="21"/>
        <v>10</v>
      </c>
      <c r="N40" s="9" t="str">
        <f t="shared" si="22"/>
        <v/>
      </c>
      <c r="O40" s="9" t="str">
        <f t="shared" si="23"/>
        <v/>
      </c>
      <c r="P40" s="9" t="str">
        <f t="shared" si="24"/>
        <v/>
      </c>
      <c r="Q40" s="9" t="str">
        <f t="shared" si="25"/>
        <v/>
      </c>
      <c r="R40" s="9" t="str">
        <f t="shared" si="26"/>
        <v/>
      </c>
      <c r="S40" s="9">
        <f t="shared" si="27"/>
        <v>21</v>
      </c>
      <c r="T40" s="9" t="str">
        <f t="shared" si="28"/>
        <v/>
      </c>
      <c r="U40" s="9" t="str">
        <f t="shared" si="29"/>
        <v/>
      </c>
      <c r="V40" s="9" t="str">
        <f t="shared" si="30"/>
        <v/>
      </c>
      <c r="W40" s="9" t="str">
        <f t="shared" si="31"/>
        <v/>
      </c>
      <c r="X40" s="9" t="str">
        <f t="shared" si="32"/>
        <v/>
      </c>
      <c r="Y40" s="14">
        <f t="shared" si="33"/>
        <v>21.099009899999999</v>
      </c>
      <c r="Z40" s="2" t="str">
        <f t="shared" si="34"/>
        <v/>
      </c>
      <c r="AA40" s="2" t="str">
        <f t="shared" si="35"/>
        <v>P</v>
      </c>
      <c r="AB40" s="14" t="str">
        <f t="shared" si="36"/>
        <v/>
      </c>
      <c r="AC40" s="9">
        <f t="shared" si="37"/>
        <v>10</v>
      </c>
      <c r="AD40" s="9">
        <f t="shared" si="38"/>
        <v>0</v>
      </c>
      <c r="AE40" s="9">
        <f t="shared" si="39"/>
        <v>10</v>
      </c>
    </row>
    <row r="41" spans="1:31" x14ac:dyDescent="0.2">
      <c r="A41" s="7" t="s">
        <v>123</v>
      </c>
      <c r="B41" s="6" t="s">
        <v>22</v>
      </c>
      <c r="C41" s="6" t="s">
        <v>202</v>
      </c>
      <c r="F41" s="3" t="str">
        <f t="shared" si="20"/>
        <v/>
      </c>
      <c r="G41" s="6"/>
      <c r="H41" s="6">
        <v>26</v>
      </c>
      <c r="I41" s="6"/>
      <c r="J41" s="6">
        <v>32</v>
      </c>
      <c r="K41" s="6">
        <v>23</v>
      </c>
      <c r="L41" s="6"/>
      <c r="M41" s="9" t="str">
        <f t="shared" si="21"/>
        <v/>
      </c>
      <c r="N41" s="9">
        <f t="shared" si="22"/>
        <v>24</v>
      </c>
      <c r="O41" s="9" t="str">
        <f t="shared" si="23"/>
        <v/>
      </c>
      <c r="P41" s="9">
        <f t="shared" si="24"/>
        <v>27</v>
      </c>
      <c r="Q41" s="9">
        <f t="shared" si="25"/>
        <v>21</v>
      </c>
      <c r="R41" s="9" t="str">
        <f t="shared" si="26"/>
        <v/>
      </c>
      <c r="S41" s="9" t="str">
        <f t="shared" si="27"/>
        <v/>
      </c>
      <c r="T41" s="9">
        <f t="shared" si="28"/>
        <v>7</v>
      </c>
      <c r="U41" s="9" t="str">
        <f t="shared" si="29"/>
        <v/>
      </c>
      <c r="V41" s="9">
        <f t="shared" si="30"/>
        <v>4</v>
      </c>
      <c r="W41" s="9">
        <f t="shared" si="31"/>
        <v>10</v>
      </c>
      <c r="X41" s="9" t="str">
        <f t="shared" si="32"/>
        <v/>
      </c>
      <c r="Y41" s="14">
        <f t="shared" si="33"/>
        <v>21.09280979</v>
      </c>
      <c r="Z41" s="2" t="str">
        <f t="shared" si="34"/>
        <v/>
      </c>
      <c r="AA41" s="2" t="str">
        <f t="shared" si="35"/>
        <v>P</v>
      </c>
      <c r="AB41" s="14" t="str">
        <f t="shared" si="36"/>
        <v/>
      </c>
      <c r="AC41" s="9">
        <f t="shared" si="37"/>
        <v>72</v>
      </c>
      <c r="AD41" s="9">
        <f t="shared" si="38"/>
        <v>0</v>
      </c>
      <c r="AE41" s="9">
        <f t="shared" si="39"/>
        <v>21</v>
      </c>
    </row>
    <row r="42" spans="1:31" x14ac:dyDescent="0.2">
      <c r="A42" s="7" t="s">
        <v>95</v>
      </c>
      <c r="B42" s="6" t="s">
        <v>57</v>
      </c>
      <c r="C42" s="6" t="s">
        <v>202</v>
      </c>
      <c r="F42" s="3" t="str">
        <f t="shared" si="20"/>
        <v/>
      </c>
      <c r="G42" s="6">
        <v>28</v>
      </c>
      <c r="H42" s="6">
        <v>18</v>
      </c>
      <c r="I42" s="6">
        <v>61</v>
      </c>
      <c r="J42" s="6">
        <v>36</v>
      </c>
      <c r="K42" s="6">
        <v>34</v>
      </c>
      <c r="L42" s="6"/>
      <c r="M42" s="9">
        <f t="shared" si="21"/>
        <v>25</v>
      </c>
      <c r="N42" s="9">
        <f t="shared" si="22"/>
        <v>16</v>
      </c>
      <c r="O42" s="9">
        <f t="shared" si="23"/>
        <v>57</v>
      </c>
      <c r="P42" s="9">
        <f t="shared" si="24"/>
        <v>31</v>
      </c>
      <c r="Q42" s="9">
        <f t="shared" si="25"/>
        <v>32</v>
      </c>
      <c r="R42" s="9" t="str">
        <f t="shared" si="26"/>
        <v/>
      </c>
      <c r="S42" s="9">
        <f t="shared" si="27"/>
        <v>6</v>
      </c>
      <c r="T42" s="9">
        <f t="shared" si="28"/>
        <v>15</v>
      </c>
      <c r="U42" s="9" t="str">
        <f t="shared" si="29"/>
        <v/>
      </c>
      <c r="V42" s="9" t="str">
        <f t="shared" si="30"/>
        <v/>
      </c>
      <c r="W42" s="9" t="str">
        <f t="shared" si="31"/>
        <v/>
      </c>
      <c r="X42" s="9" t="str">
        <f t="shared" si="32"/>
        <v/>
      </c>
      <c r="Y42" s="14">
        <f t="shared" si="33"/>
        <v>21.089609840000001</v>
      </c>
      <c r="Z42" s="2" t="str">
        <f t="shared" si="34"/>
        <v/>
      </c>
      <c r="AA42" s="2" t="str">
        <f t="shared" si="35"/>
        <v/>
      </c>
      <c r="AB42" s="14" t="str">
        <f t="shared" si="36"/>
        <v/>
      </c>
      <c r="AC42" s="9">
        <f t="shared" si="37"/>
        <v>104</v>
      </c>
      <c r="AD42" s="9">
        <f t="shared" si="38"/>
        <v>0</v>
      </c>
      <c r="AE42" s="9">
        <f t="shared" si="39"/>
        <v>16</v>
      </c>
    </row>
    <row r="43" spans="1:31" x14ac:dyDescent="0.2">
      <c r="A43" s="7" t="s">
        <v>96</v>
      </c>
      <c r="B43" s="6" t="s">
        <v>54</v>
      </c>
      <c r="C43" s="6" t="s">
        <v>203</v>
      </c>
      <c r="F43" s="3" t="str">
        <f t="shared" si="20"/>
        <v/>
      </c>
      <c r="G43" s="6">
        <v>29</v>
      </c>
      <c r="H43" s="6">
        <v>17</v>
      </c>
      <c r="I43" s="6">
        <v>64</v>
      </c>
      <c r="J43" s="6">
        <v>67</v>
      </c>
      <c r="K43" s="6">
        <v>45</v>
      </c>
      <c r="L43" s="6"/>
      <c r="M43" s="9">
        <f t="shared" si="21"/>
        <v>26</v>
      </c>
      <c r="N43" s="9">
        <f t="shared" si="22"/>
        <v>15</v>
      </c>
      <c r="O43" s="9">
        <f t="shared" si="23"/>
        <v>60</v>
      </c>
      <c r="P43" s="9">
        <f t="shared" si="24"/>
        <v>62</v>
      </c>
      <c r="Q43" s="9">
        <f t="shared" si="25"/>
        <v>43</v>
      </c>
      <c r="R43" s="9" t="str">
        <f t="shared" si="26"/>
        <v/>
      </c>
      <c r="S43" s="9">
        <f t="shared" si="27"/>
        <v>5</v>
      </c>
      <c r="T43" s="9">
        <f t="shared" si="28"/>
        <v>16</v>
      </c>
      <c r="U43" s="9" t="str">
        <f t="shared" si="29"/>
        <v/>
      </c>
      <c r="V43" s="9" t="str">
        <f t="shared" si="30"/>
        <v/>
      </c>
      <c r="W43" s="9" t="str">
        <f t="shared" si="31"/>
        <v/>
      </c>
      <c r="X43" s="9" t="str">
        <f t="shared" si="32"/>
        <v/>
      </c>
      <c r="Y43" s="14">
        <f t="shared" si="33"/>
        <v>21.085609850000001</v>
      </c>
      <c r="Z43" s="2" t="str">
        <f t="shared" si="34"/>
        <v/>
      </c>
      <c r="AA43" s="2" t="str">
        <f t="shared" si="35"/>
        <v/>
      </c>
      <c r="AB43" s="14" t="str">
        <f t="shared" si="36"/>
        <v/>
      </c>
      <c r="AC43" s="9">
        <f t="shared" si="37"/>
        <v>144</v>
      </c>
      <c r="AD43" s="9">
        <f t="shared" si="38"/>
        <v>0</v>
      </c>
      <c r="AE43" s="9">
        <f t="shared" si="39"/>
        <v>15</v>
      </c>
    </row>
    <row r="44" spans="1:31" x14ac:dyDescent="0.2">
      <c r="A44" s="7" t="s">
        <v>196</v>
      </c>
      <c r="B44" s="6" t="s">
        <v>19</v>
      </c>
      <c r="C44" s="6" t="s">
        <v>202</v>
      </c>
      <c r="F44" s="3" t="str">
        <f t="shared" si="20"/>
        <v/>
      </c>
      <c r="G44" s="6"/>
      <c r="H44" s="6"/>
      <c r="I44" s="6"/>
      <c r="J44" s="6"/>
      <c r="K44" s="6">
        <v>13</v>
      </c>
      <c r="L44" s="6"/>
      <c r="M44" s="9" t="str">
        <f t="shared" si="21"/>
        <v/>
      </c>
      <c r="N44" s="9" t="str">
        <f t="shared" si="22"/>
        <v/>
      </c>
      <c r="O44" s="9" t="str">
        <f t="shared" si="23"/>
        <v/>
      </c>
      <c r="P44" s="9" t="str">
        <f t="shared" si="24"/>
        <v/>
      </c>
      <c r="Q44" s="9">
        <f t="shared" si="25"/>
        <v>11</v>
      </c>
      <c r="R44" s="9" t="str">
        <f t="shared" si="26"/>
        <v/>
      </c>
      <c r="S44" s="9" t="str">
        <f t="shared" si="27"/>
        <v/>
      </c>
      <c r="T44" s="9" t="str">
        <f t="shared" si="28"/>
        <v/>
      </c>
      <c r="U44" s="9" t="str">
        <f t="shared" si="29"/>
        <v/>
      </c>
      <c r="V44" s="9" t="str">
        <f t="shared" si="30"/>
        <v/>
      </c>
      <c r="W44" s="9">
        <f t="shared" si="31"/>
        <v>20</v>
      </c>
      <c r="X44" s="9" t="str">
        <f t="shared" si="32"/>
        <v/>
      </c>
      <c r="Y44" s="14">
        <f t="shared" si="33"/>
        <v>20.098909890000002</v>
      </c>
      <c r="Z44" s="2" t="str">
        <f t="shared" si="34"/>
        <v/>
      </c>
      <c r="AA44" s="2" t="str">
        <f t="shared" si="35"/>
        <v>P</v>
      </c>
      <c r="AB44" s="14" t="str">
        <f t="shared" si="36"/>
        <v/>
      </c>
      <c r="AC44" s="9">
        <f t="shared" si="37"/>
        <v>11</v>
      </c>
      <c r="AD44" s="9">
        <f t="shared" si="38"/>
        <v>0</v>
      </c>
      <c r="AE44" s="9">
        <f t="shared" si="39"/>
        <v>11</v>
      </c>
    </row>
    <row r="45" spans="1:31" x14ac:dyDescent="0.2">
      <c r="A45" s="7" t="s">
        <v>184</v>
      </c>
      <c r="B45" s="6" t="s">
        <v>24</v>
      </c>
      <c r="C45" s="6" t="s">
        <v>202</v>
      </c>
      <c r="F45" s="3" t="str">
        <f t="shared" si="20"/>
        <v/>
      </c>
      <c r="G45" s="6"/>
      <c r="H45" s="6"/>
      <c r="I45" s="6"/>
      <c r="J45" s="6">
        <v>20</v>
      </c>
      <c r="K45" s="6">
        <v>30</v>
      </c>
      <c r="L45" s="6"/>
      <c r="M45" s="9" t="str">
        <f t="shared" si="21"/>
        <v/>
      </c>
      <c r="N45" s="9" t="str">
        <f t="shared" si="22"/>
        <v/>
      </c>
      <c r="O45" s="9" t="str">
        <f t="shared" si="23"/>
        <v/>
      </c>
      <c r="P45" s="9">
        <f t="shared" si="24"/>
        <v>15</v>
      </c>
      <c r="Q45" s="9">
        <f t="shared" si="25"/>
        <v>28</v>
      </c>
      <c r="R45" s="9" t="str">
        <f t="shared" si="26"/>
        <v/>
      </c>
      <c r="S45" s="9" t="str">
        <f t="shared" si="27"/>
        <v/>
      </c>
      <c r="T45" s="9" t="str">
        <f t="shared" si="28"/>
        <v/>
      </c>
      <c r="U45" s="9" t="str">
        <f t="shared" si="29"/>
        <v/>
      </c>
      <c r="V45" s="9">
        <f t="shared" si="30"/>
        <v>16</v>
      </c>
      <c r="W45" s="9">
        <f t="shared" si="31"/>
        <v>3</v>
      </c>
      <c r="X45" s="9" t="str">
        <f t="shared" si="32"/>
        <v/>
      </c>
      <c r="Y45" s="14">
        <f t="shared" si="33"/>
        <v>19.095709850000002</v>
      </c>
      <c r="Z45" s="2" t="str">
        <f t="shared" si="34"/>
        <v/>
      </c>
      <c r="AA45" s="2" t="str">
        <f t="shared" si="35"/>
        <v/>
      </c>
      <c r="AB45" s="14" t="str">
        <f t="shared" si="36"/>
        <v/>
      </c>
      <c r="AC45" s="9">
        <f t="shared" si="37"/>
        <v>43</v>
      </c>
      <c r="AD45" s="9">
        <f t="shared" si="38"/>
        <v>0</v>
      </c>
      <c r="AE45" s="9">
        <f t="shared" si="39"/>
        <v>15</v>
      </c>
    </row>
    <row r="46" spans="1:31" x14ac:dyDescent="0.2">
      <c r="A46" s="7" t="s">
        <v>124</v>
      </c>
      <c r="B46" s="6" t="s">
        <v>125</v>
      </c>
      <c r="C46" s="6" t="s">
        <v>202</v>
      </c>
      <c r="F46" s="3">
        <f t="shared" si="20"/>
        <v>23</v>
      </c>
      <c r="G46" s="6"/>
      <c r="H46" s="6">
        <v>28</v>
      </c>
      <c r="I46" s="6">
        <v>55</v>
      </c>
      <c r="J46" s="6">
        <v>89</v>
      </c>
      <c r="K46" s="6">
        <v>19</v>
      </c>
      <c r="L46" s="6"/>
      <c r="M46" s="9" t="str">
        <f t="shared" si="21"/>
        <v/>
      </c>
      <c r="N46" s="9">
        <f t="shared" si="22"/>
        <v>26</v>
      </c>
      <c r="O46" s="9">
        <f t="shared" si="23"/>
        <v>51</v>
      </c>
      <c r="P46" s="9">
        <f t="shared" si="24"/>
        <v>84</v>
      </c>
      <c r="Q46" s="9">
        <f t="shared" si="25"/>
        <v>17</v>
      </c>
      <c r="R46" s="9" t="str">
        <f t="shared" si="26"/>
        <v/>
      </c>
      <c r="S46" s="9" t="str">
        <f t="shared" si="27"/>
        <v/>
      </c>
      <c r="T46" s="9">
        <f t="shared" si="28"/>
        <v>5</v>
      </c>
      <c r="U46" s="9" t="str">
        <f t="shared" si="29"/>
        <v/>
      </c>
      <c r="V46" s="9" t="str">
        <f t="shared" si="30"/>
        <v/>
      </c>
      <c r="W46" s="9">
        <f t="shared" si="31"/>
        <v>14</v>
      </c>
      <c r="X46" s="9" t="str">
        <f t="shared" si="32"/>
        <v/>
      </c>
      <c r="Y46" s="14">
        <f t="shared" si="33"/>
        <v>19.08220983</v>
      </c>
      <c r="Z46" s="2" t="str">
        <f t="shared" si="34"/>
        <v>P</v>
      </c>
      <c r="AA46" s="2" t="str">
        <f t="shared" si="35"/>
        <v/>
      </c>
      <c r="AB46" s="14">
        <f t="shared" si="36"/>
        <v>19.08220983</v>
      </c>
      <c r="AC46" s="9">
        <f t="shared" si="37"/>
        <v>178</v>
      </c>
      <c r="AD46" s="9">
        <f t="shared" si="38"/>
        <v>0</v>
      </c>
      <c r="AE46" s="9">
        <f t="shared" si="39"/>
        <v>17</v>
      </c>
    </row>
    <row r="47" spans="1:31" x14ac:dyDescent="0.2">
      <c r="A47" s="7" t="s">
        <v>133</v>
      </c>
      <c r="B47" s="6" t="s">
        <v>134</v>
      </c>
      <c r="C47" s="6" t="s">
        <v>202</v>
      </c>
      <c r="F47" s="3">
        <f t="shared" si="20"/>
        <v>24</v>
      </c>
      <c r="G47" s="6">
        <v>46</v>
      </c>
      <c r="H47" s="6">
        <v>35</v>
      </c>
      <c r="I47" s="6"/>
      <c r="J47" s="6">
        <v>27</v>
      </c>
      <c r="K47" s="6">
        <v>25</v>
      </c>
      <c r="L47" s="6"/>
      <c r="M47" s="9">
        <f t="shared" si="21"/>
        <v>43</v>
      </c>
      <c r="N47" s="9">
        <f t="shared" si="22"/>
        <v>33</v>
      </c>
      <c r="O47" s="9" t="str">
        <f t="shared" si="23"/>
        <v/>
      </c>
      <c r="P47" s="9">
        <f t="shared" si="24"/>
        <v>22</v>
      </c>
      <c r="Q47" s="9">
        <f t="shared" si="25"/>
        <v>23</v>
      </c>
      <c r="R47" s="9" t="str">
        <f t="shared" si="26"/>
        <v/>
      </c>
      <c r="S47" s="9" t="str">
        <f t="shared" si="27"/>
        <v/>
      </c>
      <c r="T47" s="9" t="str">
        <f t="shared" si="28"/>
        <v/>
      </c>
      <c r="U47" s="9" t="str">
        <f t="shared" si="29"/>
        <v/>
      </c>
      <c r="V47" s="9">
        <f t="shared" si="30"/>
        <v>9</v>
      </c>
      <c r="W47" s="9">
        <f t="shared" si="31"/>
        <v>8</v>
      </c>
      <c r="X47" s="9" t="str">
        <f t="shared" si="32"/>
        <v/>
      </c>
      <c r="Y47" s="14">
        <f t="shared" si="33"/>
        <v>17.08790978</v>
      </c>
      <c r="Z47" s="2" t="str">
        <f t="shared" si="34"/>
        <v>P</v>
      </c>
      <c r="AA47" s="2" t="str">
        <f t="shared" si="35"/>
        <v/>
      </c>
      <c r="AB47" s="14">
        <f t="shared" si="36"/>
        <v>17.08790978</v>
      </c>
      <c r="AC47" s="9">
        <f t="shared" si="37"/>
        <v>121</v>
      </c>
      <c r="AD47" s="9">
        <f t="shared" si="38"/>
        <v>0</v>
      </c>
      <c r="AE47" s="9">
        <f t="shared" si="39"/>
        <v>22</v>
      </c>
    </row>
    <row r="48" spans="1:31" x14ac:dyDescent="0.2">
      <c r="A48" s="7" t="s">
        <v>84</v>
      </c>
      <c r="B48" s="6" t="s">
        <v>20</v>
      </c>
      <c r="C48" s="6" t="s">
        <v>202</v>
      </c>
      <c r="F48" s="3" t="str">
        <f t="shared" si="20"/>
        <v/>
      </c>
      <c r="G48" s="6">
        <v>17</v>
      </c>
      <c r="H48" s="6"/>
      <c r="I48" s="6"/>
      <c r="J48" s="6"/>
      <c r="K48" s="6"/>
      <c r="L48" s="6"/>
      <c r="M48" s="9">
        <f t="shared" si="21"/>
        <v>15</v>
      </c>
      <c r="N48" s="9" t="str">
        <f t="shared" si="22"/>
        <v/>
      </c>
      <c r="O48" s="9" t="str">
        <f t="shared" si="23"/>
        <v/>
      </c>
      <c r="P48" s="9" t="str">
        <f t="shared" si="24"/>
        <v/>
      </c>
      <c r="Q48" s="9" t="str">
        <f t="shared" si="25"/>
        <v/>
      </c>
      <c r="R48" s="9" t="str">
        <f t="shared" si="26"/>
        <v/>
      </c>
      <c r="S48" s="9">
        <f t="shared" si="27"/>
        <v>16</v>
      </c>
      <c r="T48" s="9" t="str">
        <f t="shared" si="28"/>
        <v/>
      </c>
      <c r="U48" s="9" t="str">
        <f t="shared" si="29"/>
        <v/>
      </c>
      <c r="V48" s="9" t="str">
        <f t="shared" si="30"/>
        <v/>
      </c>
      <c r="W48" s="9" t="str">
        <f t="shared" si="31"/>
        <v/>
      </c>
      <c r="X48" s="9" t="str">
        <f t="shared" si="32"/>
        <v/>
      </c>
      <c r="Y48" s="14">
        <f t="shared" si="33"/>
        <v>16.098509850000003</v>
      </c>
      <c r="Z48" s="2" t="str">
        <f t="shared" si="34"/>
        <v/>
      </c>
      <c r="AA48" s="2" t="str">
        <f t="shared" si="35"/>
        <v>P</v>
      </c>
      <c r="AB48" s="14" t="str">
        <f t="shared" si="36"/>
        <v/>
      </c>
      <c r="AC48" s="9">
        <f t="shared" si="37"/>
        <v>15</v>
      </c>
      <c r="AD48" s="9">
        <f t="shared" si="38"/>
        <v>0</v>
      </c>
      <c r="AE48" s="9">
        <f t="shared" si="39"/>
        <v>15</v>
      </c>
    </row>
    <row r="49" spans="1:31" x14ac:dyDescent="0.2">
      <c r="A49" s="7" t="s">
        <v>188</v>
      </c>
      <c r="B49" s="6" t="s">
        <v>108</v>
      </c>
      <c r="C49" s="6" t="s">
        <v>201</v>
      </c>
      <c r="F49" s="3" t="str">
        <f t="shared" si="20"/>
        <v/>
      </c>
      <c r="G49" s="6">
        <v>62</v>
      </c>
      <c r="H49" s="6">
        <v>48</v>
      </c>
      <c r="I49" s="6">
        <v>19</v>
      </c>
      <c r="J49" s="6">
        <v>68</v>
      </c>
      <c r="K49" s="6">
        <v>46</v>
      </c>
      <c r="L49" s="6"/>
      <c r="M49" s="9">
        <f t="shared" si="21"/>
        <v>58</v>
      </c>
      <c r="N49" s="9">
        <f t="shared" si="22"/>
        <v>46</v>
      </c>
      <c r="O49" s="9">
        <f t="shared" si="23"/>
        <v>15</v>
      </c>
      <c r="P49" s="9">
        <f t="shared" si="24"/>
        <v>63</v>
      </c>
      <c r="Q49" s="9">
        <f t="shared" si="25"/>
        <v>44</v>
      </c>
      <c r="R49" s="9" t="str">
        <f t="shared" si="26"/>
        <v/>
      </c>
      <c r="S49" s="9" t="str">
        <f t="shared" si="27"/>
        <v/>
      </c>
      <c r="T49" s="9" t="str">
        <f t="shared" si="28"/>
        <v/>
      </c>
      <c r="U49" s="9">
        <f t="shared" si="29"/>
        <v>16</v>
      </c>
      <c r="V49" s="9" t="str">
        <f t="shared" si="30"/>
        <v/>
      </c>
      <c r="W49" s="9" t="str">
        <f t="shared" si="31"/>
        <v/>
      </c>
      <c r="X49" s="9" t="str">
        <f t="shared" si="32"/>
        <v/>
      </c>
      <c r="Y49" s="14">
        <f t="shared" si="33"/>
        <v>16.083709850000002</v>
      </c>
      <c r="Z49" s="2" t="str">
        <f t="shared" si="34"/>
        <v/>
      </c>
      <c r="AA49" s="2" t="str">
        <f t="shared" si="35"/>
        <v/>
      </c>
      <c r="AB49" s="14" t="str">
        <f t="shared" si="36"/>
        <v/>
      </c>
      <c r="AC49" s="9">
        <f t="shared" si="37"/>
        <v>163</v>
      </c>
      <c r="AD49" s="9">
        <f t="shared" si="38"/>
        <v>0</v>
      </c>
      <c r="AE49" s="9">
        <f t="shared" si="39"/>
        <v>15</v>
      </c>
    </row>
    <row r="50" spans="1:31" x14ac:dyDescent="0.2">
      <c r="A50" s="7" t="s">
        <v>126</v>
      </c>
      <c r="B50" s="6" t="s">
        <v>24</v>
      </c>
      <c r="C50" s="6" t="s">
        <v>202</v>
      </c>
      <c r="F50" s="3" t="str">
        <f t="shared" si="20"/>
        <v/>
      </c>
      <c r="G50" s="6"/>
      <c r="H50" s="6">
        <v>29</v>
      </c>
      <c r="I50" s="6">
        <v>24</v>
      </c>
      <c r="J50" s="6">
        <v>73</v>
      </c>
      <c r="K50" s="6"/>
      <c r="L50" s="6"/>
      <c r="M50" s="9" t="str">
        <f t="shared" si="21"/>
        <v/>
      </c>
      <c r="N50" s="9">
        <f t="shared" si="22"/>
        <v>27</v>
      </c>
      <c r="O50" s="9">
        <f t="shared" si="23"/>
        <v>20</v>
      </c>
      <c r="P50" s="9">
        <f t="shared" si="24"/>
        <v>68</v>
      </c>
      <c r="Q50" s="9" t="str">
        <f t="shared" si="25"/>
        <v/>
      </c>
      <c r="R50" s="9" t="str">
        <f t="shared" si="26"/>
        <v/>
      </c>
      <c r="S50" s="9" t="str">
        <f t="shared" si="27"/>
        <v/>
      </c>
      <c r="T50" s="9">
        <f t="shared" si="28"/>
        <v>4</v>
      </c>
      <c r="U50" s="9">
        <f t="shared" si="29"/>
        <v>11</v>
      </c>
      <c r="V50" s="9" t="str">
        <f t="shared" si="30"/>
        <v/>
      </c>
      <c r="W50" s="9" t="str">
        <f t="shared" si="31"/>
        <v/>
      </c>
      <c r="X50" s="9" t="str">
        <f t="shared" si="32"/>
        <v/>
      </c>
      <c r="Y50" s="14">
        <f t="shared" si="33"/>
        <v>15.088509800000001</v>
      </c>
      <c r="Z50" s="2" t="str">
        <f t="shared" si="34"/>
        <v/>
      </c>
      <c r="AA50" s="2" t="str">
        <f t="shared" si="35"/>
        <v/>
      </c>
      <c r="AB50" s="14" t="str">
        <f t="shared" si="36"/>
        <v/>
      </c>
      <c r="AC50" s="9">
        <f t="shared" si="37"/>
        <v>115</v>
      </c>
      <c r="AD50" s="9">
        <f t="shared" si="38"/>
        <v>0</v>
      </c>
      <c r="AE50" s="9">
        <f t="shared" si="39"/>
        <v>20</v>
      </c>
    </row>
    <row r="51" spans="1:31" x14ac:dyDescent="0.2">
      <c r="A51" s="7" t="s">
        <v>128</v>
      </c>
      <c r="B51" s="6" t="s">
        <v>129</v>
      </c>
      <c r="C51" s="6" t="s">
        <v>203</v>
      </c>
      <c r="F51" s="3">
        <f t="shared" si="20"/>
        <v>25</v>
      </c>
      <c r="G51" s="6"/>
      <c r="H51" s="6">
        <v>31</v>
      </c>
      <c r="I51" s="6">
        <v>45</v>
      </c>
      <c r="J51" s="6">
        <v>23</v>
      </c>
      <c r="K51" s="6">
        <v>58</v>
      </c>
      <c r="L51" s="6"/>
      <c r="M51" s="9" t="str">
        <f t="shared" si="21"/>
        <v/>
      </c>
      <c r="N51" s="9">
        <f t="shared" si="22"/>
        <v>29</v>
      </c>
      <c r="O51" s="9">
        <f t="shared" si="23"/>
        <v>41</v>
      </c>
      <c r="P51" s="9">
        <f t="shared" si="24"/>
        <v>18</v>
      </c>
      <c r="Q51" s="9">
        <f t="shared" si="25"/>
        <v>54</v>
      </c>
      <c r="R51" s="9" t="str">
        <f t="shared" si="26"/>
        <v/>
      </c>
      <c r="S51" s="9" t="str">
        <f t="shared" si="27"/>
        <v/>
      </c>
      <c r="T51" s="9">
        <f t="shared" si="28"/>
        <v>2</v>
      </c>
      <c r="U51" s="9" t="str">
        <f t="shared" si="29"/>
        <v/>
      </c>
      <c r="V51" s="9">
        <f t="shared" si="30"/>
        <v>13</v>
      </c>
      <c r="W51" s="9" t="str">
        <f t="shared" si="31"/>
        <v/>
      </c>
      <c r="X51" s="9" t="str">
        <f t="shared" si="32"/>
        <v/>
      </c>
      <c r="Y51" s="14">
        <f t="shared" si="33"/>
        <v>15.085809820000001</v>
      </c>
      <c r="Z51" s="2" t="str">
        <f t="shared" si="34"/>
        <v>P</v>
      </c>
      <c r="AA51" s="2" t="str">
        <f t="shared" si="35"/>
        <v/>
      </c>
      <c r="AB51" s="14">
        <f t="shared" si="36"/>
        <v>15.085809820000001</v>
      </c>
      <c r="AC51" s="9">
        <f t="shared" si="37"/>
        <v>142</v>
      </c>
      <c r="AD51" s="9">
        <f t="shared" si="38"/>
        <v>0</v>
      </c>
      <c r="AE51" s="9">
        <f t="shared" si="39"/>
        <v>18</v>
      </c>
    </row>
    <row r="52" spans="1:31" x14ac:dyDescent="0.2">
      <c r="A52" s="7" t="s">
        <v>174</v>
      </c>
      <c r="B52" s="6" t="s">
        <v>164</v>
      </c>
      <c r="C52" s="6" t="s">
        <v>202</v>
      </c>
      <c r="F52" s="3">
        <f t="shared" si="20"/>
        <v>26</v>
      </c>
      <c r="G52" s="6">
        <v>75</v>
      </c>
      <c r="H52" s="6">
        <v>83</v>
      </c>
      <c r="I52" s="6">
        <v>32</v>
      </c>
      <c r="J52" s="6">
        <v>25</v>
      </c>
      <c r="K52" s="6"/>
      <c r="L52" s="6"/>
      <c r="M52" s="9">
        <f t="shared" si="21"/>
        <v>70</v>
      </c>
      <c r="N52" s="9">
        <f t="shared" si="22"/>
        <v>79</v>
      </c>
      <c r="O52" s="9">
        <f t="shared" si="23"/>
        <v>28</v>
      </c>
      <c r="P52" s="9">
        <f t="shared" si="24"/>
        <v>20</v>
      </c>
      <c r="Q52" s="9" t="str">
        <f t="shared" si="25"/>
        <v/>
      </c>
      <c r="R52" s="9" t="str">
        <f t="shared" si="26"/>
        <v/>
      </c>
      <c r="S52" s="9" t="str">
        <f t="shared" si="27"/>
        <v/>
      </c>
      <c r="T52" s="9" t="str">
        <f t="shared" si="28"/>
        <v/>
      </c>
      <c r="U52" s="9">
        <f t="shared" si="29"/>
        <v>3</v>
      </c>
      <c r="V52" s="9">
        <f t="shared" si="30"/>
        <v>11</v>
      </c>
      <c r="W52" s="9" t="str">
        <f t="shared" si="31"/>
        <v/>
      </c>
      <c r="X52" s="9" t="str">
        <f t="shared" si="32"/>
        <v/>
      </c>
      <c r="Y52" s="14">
        <f t="shared" si="33"/>
        <v>14.0803098</v>
      </c>
      <c r="Z52" s="2" t="str">
        <f t="shared" si="34"/>
        <v>P</v>
      </c>
      <c r="AA52" s="2" t="str">
        <f t="shared" si="35"/>
        <v/>
      </c>
      <c r="AB52" s="14">
        <f t="shared" si="36"/>
        <v>14.0803098</v>
      </c>
      <c r="AC52" s="9">
        <f t="shared" si="37"/>
        <v>197</v>
      </c>
      <c r="AD52" s="9">
        <f t="shared" si="38"/>
        <v>0</v>
      </c>
      <c r="AE52" s="9">
        <f t="shared" si="39"/>
        <v>20</v>
      </c>
    </row>
    <row r="53" spans="1:31" x14ac:dyDescent="0.2">
      <c r="A53" s="7" t="s">
        <v>119</v>
      </c>
      <c r="B53" s="6" t="s">
        <v>57</v>
      </c>
      <c r="C53" s="6" t="s">
        <v>202</v>
      </c>
      <c r="F53" s="3" t="str">
        <f t="shared" si="20"/>
        <v/>
      </c>
      <c r="G53" s="6">
        <v>51</v>
      </c>
      <c r="H53" s="6">
        <v>20</v>
      </c>
      <c r="I53" s="6"/>
      <c r="J53" s="6"/>
      <c r="K53" s="6"/>
      <c r="L53" s="6"/>
      <c r="M53" s="9">
        <f t="shared" si="21"/>
        <v>48</v>
      </c>
      <c r="N53" s="9">
        <f t="shared" si="22"/>
        <v>18</v>
      </c>
      <c r="O53" s="9" t="str">
        <f t="shared" si="23"/>
        <v/>
      </c>
      <c r="P53" s="9" t="str">
        <f t="shared" si="24"/>
        <v/>
      </c>
      <c r="Q53" s="9" t="str">
        <f t="shared" si="25"/>
        <v/>
      </c>
      <c r="R53" s="9" t="str">
        <f t="shared" si="26"/>
        <v/>
      </c>
      <c r="S53" s="9" t="str">
        <f t="shared" si="27"/>
        <v/>
      </c>
      <c r="T53" s="9">
        <f t="shared" si="28"/>
        <v>13</v>
      </c>
      <c r="U53" s="9" t="str">
        <f t="shared" si="29"/>
        <v/>
      </c>
      <c r="V53" s="9" t="str">
        <f t="shared" si="30"/>
        <v/>
      </c>
      <c r="W53" s="9" t="str">
        <f t="shared" si="31"/>
        <v/>
      </c>
      <c r="X53" s="9" t="str">
        <f t="shared" si="32"/>
        <v/>
      </c>
      <c r="Y53" s="14">
        <f t="shared" si="33"/>
        <v>13.093409820000002</v>
      </c>
      <c r="Z53" s="2" t="str">
        <f t="shared" si="34"/>
        <v/>
      </c>
      <c r="AA53" s="2" t="str">
        <f t="shared" si="35"/>
        <v/>
      </c>
      <c r="AB53" s="14" t="str">
        <f t="shared" si="36"/>
        <v/>
      </c>
      <c r="AC53" s="9">
        <f t="shared" si="37"/>
        <v>66</v>
      </c>
      <c r="AD53" s="9">
        <f t="shared" si="38"/>
        <v>0</v>
      </c>
      <c r="AE53" s="9">
        <f t="shared" si="39"/>
        <v>18</v>
      </c>
    </row>
    <row r="54" spans="1:31" x14ac:dyDescent="0.2">
      <c r="A54" s="7" t="s">
        <v>172</v>
      </c>
      <c r="B54" s="6" t="s">
        <v>18</v>
      </c>
      <c r="C54" s="6" t="s">
        <v>201</v>
      </c>
      <c r="F54" s="3" t="str">
        <f t="shared" si="20"/>
        <v/>
      </c>
      <c r="G54" s="6"/>
      <c r="H54" s="6"/>
      <c r="I54" s="6">
        <v>29</v>
      </c>
      <c r="J54" s="6">
        <v>33</v>
      </c>
      <c r="K54" s="6">
        <v>29</v>
      </c>
      <c r="L54" s="6"/>
      <c r="M54" s="9" t="str">
        <f t="shared" si="21"/>
        <v/>
      </c>
      <c r="N54" s="9" t="str">
        <f t="shared" si="22"/>
        <v/>
      </c>
      <c r="O54" s="9">
        <f t="shared" si="23"/>
        <v>25</v>
      </c>
      <c r="P54" s="9">
        <f t="shared" si="24"/>
        <v>28</v>
      </c>
      <c r="Q54" s="9">
        <f t="shared" si="25"/>
        <v>27</v>
      </c>
      <c r="R54" s="9" t="str">
        <f t="shared" si="26"/>
        <v/>
      </c>
      <c r="S54" s="9" t="str">
        <f t="shared" si="27"/>
        <v/>
      </c>
      <c r="T54" s="9" t="str">
        <f t="shared" si="28"/>
        <v/>
      </c>
      <c r="U54" s="9">
        <f t="shared" si="29"/>
        <v>6</v>
      </c>
      <c r="V54" s="9">
        <f t="shared" si="30"/>
        <v>3</v>
      </c>
      <c r="W54" s="9">
        <f t="shared" si="31"/>
        <v>4</v>
      </c>
      <c r="X54" s="9" t="str">
        <f t="shared" si="32"/>
        <v/>
      </c>
      <c r="Y54" s="14">
        <f t="shared" si="33"/>
        <v>13.092009750000001</v>
      </c>
      <c r="Z54" s="2" t="str">
        <f t="shared" si="34"/>
        <v/>
      </c>
      <c r="AA54" s="2" t="str">
        <f t="shared" si="35"/>
        <v>P</v>
      </c>
      <c r="AB54" s="14" t="str">
        <f t="shared" si="36"/>
        <v/>
      </c>
      <c r="AC54" s="9">
        <f t="shared" si="37"/>
        <v>80</v>
      </c>
      <c r="AD54" s="9">
        <f t="shared" si="38"/>
        <v>0</v>
      </c>
      <c r="AE54" s="9">
        <f t="shared" si="39"/>
        <v>25</v>
      </c>
    </row>
    <row r="55" spans="1:31" x14ac:dyDescent="0.2">
      <c r="A55" s="7" t="s">
        <v>91</v>
      </c>
      <c r="B55" s="6" t="s">
        <v>22</v>
      </c>
      <c r="C55" s="6" t="s">
        <v>202</v>
      </c>
      <c r="F55" s="3" t="str">
        <f t="shared" si="20"/>
        <v/>
      </c>
      <c r="G55" s="6">
        <v>24</v>
      </c>
      <c r="H55" s="6"/>
      <c r="I55" s="6"/>
      <c r="J55" s="6"/>
      <c r="K55" s="6">
        <v>59</v>
      </c>
      <c r="L55" s="6"/>
      <c r="M55" s="9">
        <f t="shared" si="21"/>
        <v>21</v>
      </c>
      <c r="N55" s="9" t="str">
        <f t="shared" si="22"/>
        <v/>
      </c>
      <c r="O55" s="9" t="str">
        <f t="shared" si="23"/>
        <v/>
      </c>
      <c r="P55" s="9" t="str">
        <f t="shared" si="24"/>
        <v/>
      </c>
      <c r="Q55" s="9">
        <f t="shared" si="25"/>
        <v>55</v>
      </c>
      <c r="R55" s="9" t="str">
        <f t="shared" si="26"/>
        <v/>
      </c>
      <c r="S55" s="9">
        <f t="shared" si="27"/>
        <v>10</v>
      </c>
      <c r="T55" s="9" t="str">
        <f t="shared" si="28"/>
        <v/>
      </c>
      <c r="U55" s="9" t="str">
        <f t="shared" si="29"/>
        <v/>
      </c>
      <c r="V55" s="9" t="str">
        <f t="shared" si="30"/>
        <v/>
      </c>
      <c r="W55" s="9" t="str">
        <f t="shared" si="31"/>
        <v/>
      </c>
      <c r="X55" s="9" t="str">
        <f t="shared" si="32"/>
        <v/>
      </c>
      <c r="Y55" s="14">
        <f t="shared" si="33"/>
        <v>10.09240979</v>
      </c>
      <c r="Z55" s="2" t="str">
        <f t="shared" si="34"/>
        <v/>
      </c>
      <c r="AA55" s="2" t="str">
        <f t="shared" si="35"/>
        <v>P</v>
      </c>
      <c r="AB55" s="14" t="str">
        <f t="shared" si="36"/>
        <v/>
      </c>
      <c r="AC55" s="9">
        <f t="shared" si="37"/>
        <v>76</v>
      </c>
      <c r="AD55" s="9">
        <f t="shared" si="38"/>
        <v>0</v>
      </c>
      <c r="AE55" s="9">
        <f t="shared" si="39"/>
        <v>21</v>
      </c>
    </row>
    <row r="56" spans="1:31" x14ac:dyDescent="0.2">
      <c r="A56" s="7" t="s">
        <v>121</v>
      </c>
      <c r="B56" s="6" t="s">
        <v>122</v>
      </c>
      <c r="C56" s="6" t="s">
        <v>202</v>
      </c>
      <c r="F56" s="3">
        <f t="shared" si="20"/>
        <v>27</v>
      </c>
      <c r="G56" s="6">
        <v>70</v>
      </c>
      <c r="H56" s="6">
        <v>25</v>
      </c>
      <c r="I56" s="6">
        <v>54</v>
      </c>
      <c r="J56" s="6"/>
      <c r="K56" s="6">
        <v>57</v>
      </c>
      <c r="L56" s="6"/>
      <c r="M56" s="9">
        <f t="shared" si="21"/>
        <v>65</v>
      </c>
      <c r="N56" s="9">
        <f t="shared" si="22"/>
        <v>23</v>
      </c>
      <c r="O56" s="9">
        <f t="shared" si="23"/>
        <v>50</v>
      </c>
      <c r="P56" s="9" t="str">
        <f t="shared" si="24"/>
        <v/>
      </c>
      <c r="Q56" s="9">
        <f t="shared" si="25"/>
        <v>53</v>
      </c>
      <c r="R56" s="9" t="str">
        <f t="shared" si="26"/>
        <v/>
      </c>
      <c r="S56" s="9" t="str">
        <f t="shared" si="27"/>
        <v/>
      </c>
      <c r="T56" s="9">
        <f t="shared" si="28"/>
        <v>8</v>
      </c>
      <c r="U56" s="9" t="str">
        <f t="shared" si="29"/>
        <v/>
      </c>
      <c r="V56" s="9" t="str">
        <f t="shared" si="30"/>
        <v/>
      </c>
      <c r="W56" s="9" t="str">
        <f t="shared" si="31"/>
        <v/>
      </c>
      <c r="X56" s="9" t="str">
        <f t="shared" si="32"/>
        <v/>
      </c>
      <c r="Y56" s="14">
        <f t="shared" si="33"/>
        <v>8.0809097699999999</v>
      </c>
      <c r="Z56" s="2" t="str">
        <f t="shared" si="34"/>
        <v>P</v>
      </c>
      <c r="AA56" s="2" t="str">
        <f t="shared" si="35"/>
        <v/>
      </c>
      <c r="AB56" s="14">
        <f t="shared" si="36"/>
        <v>8.0809097699999999</v>
      </c>
      <c r="AC56" s="9">
        <f t="shared" si="37"/>
        <v>191</v>
      </c>
      <c r="AD56" s="9">
        <f t="shared" si="38"/>
        <v>0</v>
      </c>
      <c r="AE56" s="9">
        <f t="shared" si="39"/>
        <v>23</v>
      </c>
    </row>
    <row r="57" spans="1:31" x14ac:dyDescent="0.2">
      <c r="A57" s="7" t="s">
        <v>176</v>
      </c>
      <c r="B57" s="6" t="s">
        <v>57</v>
      </c>
      <c r="C57" s="6" t="s">
        <v>202</v>
      </c>
      <c r="F57" s="3" t="str">
        <f t="shared" si="20"/>
        <v/>
      </c>
      <c r="G57" s="6"/>
      <c r="H57" s="6"/>
      <c r="I57" s="6">
        <v>34</v>
      </c>
      <c r="J57" s="6">
        <v>31</v>
      </c>
      <c r="K57" s="6"/>
      <c r="L57" s="6"/>
      <c r="M57" s="9" t="str">
        <f t="shared" si="21"/>
        <v/>
      </c>
      <c r="N57" s="9" t="str">
        <f t="shared" si="22"/>
        <v/>
      </c>
      <c r="O57" s="9">
        <f t="shared" si="23"/>
        <v>30</v>
      </c>
      <c r="P57" s="9">
        <f t="shared" si="24"/>
        <v>26</v>
      </c>
      <c r="Q57" s="9" t="str">
        <f t="shared" si="25"/>
        <v/>
      </c>
      <c r="R57" s="9" t="str">
        <f t="shared" si="26"/>
        <v/>
      </c>
      <c r="S57" s="9" t="str">
        <f t="shared" si="27"/>
        <v/>
      </c>
      <c r="T57" s="9" t="str">
        <f t="shared" si="28"/>
        <v/>
      </c>
      <c r="U57" s="9">
        <f t="shared" si="29"/>
        <v>1</v>
      </c>
      <c r="V57" s="9">
        <f t="shared" si="30"/>
        <v>5</v>
      </c>
      <c r="W57" s="9" t="str">
        <f t="shared" si="31"/>
        <v/>
      </c>
      <c r="X57" s="9" t="str">
        <f t="shared" si="32"/>
        <v/>
      </c>
      <c r="Y57" s="14">
        <f t="shared" si="33"/>
        <v>6.0944097400000006</v>
      </c>
      <c r="Z57" s="2" t="str">
        <f t="shared" si="34"/>
        <v/>
      </c>
      <c r="AA57" s="2" t="str">
        <f t="shared" si="35"/>
        <v/>
      </c>
      <c r="AB57" s="14" t="str">
        <f t="shared" si="36"/>
        <v/>
      </c>
      <c r="AC57" s="9">
        <f t="shared" si="37"/>
        <v>56</v>
      </c>
      <c r="AD57" s="9">
        <f t="shared" si="38"/>
        <v>0</v>
      </c>
      <c r="AE57" s="9">
        <f t="shared" si="39"/>
        <v>26</v>
      </c>
    </row>
    <row r="58" spans="1:31" x14ac:dyDescent="0.2">
      <c r="A58" s="7" t="s">
        <v>102</v>
      </c>
      <c r="B58" s="6" t="s">
        <v>54</v>
      </c>
      <c r="C58" s="6" t="s">
        <v>203</v>
      </c>
      <c r="F58" s="3" t="str">
        <f t="shared" si="20"/>
        <v/>
      </c>
      <c r="G58" s="6">
        <v>35</v>
      </c>
      <c r="H58" s="6">
        <v>36</v>
      </c>
      <c r="I58" s="6">
        <v>37</v>
      </c>
      <c r="J58" s="6">
        <v>30</v>
      </c>
      <c r="K58" s="6">
        <v>33</v>
      </c>
      <c r="L58" s="6"/>
      <c r="M58" s="9">
        <f t="shared" si="21"/>
        <v>32</v>
      </c>
      <c r="N58" s="9">
        <f t="shared" si="22"/>
        <v>34</v>
      </c>
      <c r="O58" s="9">
        <f t="shared" si="23"/>
        <v>33</v>
      </c>
      <c r="P58" s="9">
        <f t="shared" si="24"/>
        <v>25</v>
      </c>
      <c r="Q58" s="9">
        <f t="shared" si="25"/>
        <v>31</v>
      </c>
      <c r="R58" s="9" t="str">
        <f t="shared" si="26"/>
        <v/>
      </c>
      <c r="S58" s="9" t="str">
        <f t="shared" si="27"/>
        <v/>
      </c>
      <c r="T58" s="9" t="str">
        <f t="shared" si="28"/>
        <v/>
      </c>
      <c r="U58" s="9" t="str">
        <f t="shared" si="29"/>
        <v/>
      </c>
      <c r="V58" s="9">
        <f t="shared" si="30"/>
        <v>6</v>
      </c>
      <c r="W58" s="9" t="str">
        <f t="shared" si="31"/>
        <v/>
      </c>
      <c r="X58" s="9" t="str">
        <f t="shared" si="32"/>
        <v/>
      </c>
      <c r="Y58" s="14">
        <f t="shared" si="33"/>
        <v>6.0879097500000006</v>
      </c>
      <c r="Z58" s="2" t="str">
        <f t="shared" si="34"/>
        <v/>
      </c>
      <c r="AA58" s="2" t="str">
        <f t="shared" si="35"/>
        <v/>
      </c>
      <c r="AB58" s="14" t="str">
        <f t="shared" si="36"/>
        <v/>
      </c>
      <c r="AC58" s="9">
        <f t="shared" si="37"/>
        <v>121</v>
      </c>
      <c r="AD58" s="9">
        <f t="shared" si="38"/>
        <v>0</v>
      </c>
      <c r="AE58" s="9">
        <f t="shared" si="39"/>
        <v>25</v>
      </c>
    </row>
    <row r="59" spans="1:31" x14ac:dyDescent="0.2">
      <c r="A59" s="7" t="s">
        <v>101</v>
      </c>
      <c r="B59" s="6" t="s">
        <v>109</v>
      </c>
      <c r="C59" s="6" t="s">
        <v>202</v>
      </c>
      <c r="F59" s="3">
        <f t="shared" si="20"/>
        <v>28</v>
      </c>
      <c r="G59" s="6">
        <v>34</v>
      </c>
      <c r="H59" s="6">
        <v>57</v>
      </c>
      <c r="I59" s="6">
        <v>43</v>
      </c>
      <c r="J59" s="6">
        <v>39</v>
      </c>
      <c r="K59" s="6">
        <v>27</v>
      </c>
      <c r="L59" s="6"/>
      <c r="M59" s="9">
        <f t="shared" si="21"/>
        <v>31</v>
      </c>
      <c r="N59" s="9">
        <f t="shared" si="22"/>
        <v>55</v>
      </c>
      <c r="O59" s="9">
        <f t="shared" si="23"/>
        <v>39</v>
      </c>
      <c r="P59" s="9">
        <f t="shared" si="24"/>
        <v>34</v>
      </c>
      <c r="Q59" s="9">
        <f t="shared" si="25"/>
        <v>25</v>
      </c>
      <c r="R59" s="9" t="str">
        <f t="shared" si="26"/>
        <v/>
      </c>
      <c r="S59" s="9" t="str">
        <f t="shared" si="27"/>
        <v/>
      </c>
      <c r="T59" s="9" t="str">
        <f t="shared" si="28"/>
        <v/>
      </c>
      <c r="U59" s="9" t="str">
        <f t="shared" si="29"/>
        <v/>
      </c>
      <c r="V59" s="9" t="str">
        <f t="shared" si="30"/>
        <v/>
      </c>
      <c r="W59" s="9">
        <f t="shared" si="31"/>
        <v>6</v>
      </c>
      <c r="X59" s="9" t="str">
        <f t="shared" si="32"/>
        <v/>
      </c>
      <c r="Y59" s="14">
        <f t="shared" si="33"/>
        <v>6.0871097500000007</v>
      </c>
      <c r="Z59" s="2" t="str">
        <f t="shared" si="34"/>
        <v>P</v>
      </c>
      <c r="AA59" s="2" t="str">
        <f t="shared" si="35"/>
        <v/>
      </c>
      <c r="AB59" s="14">
        <f t="shared" si="36"/>
        <v>6.0871097500000007</v>
      </c>
      <c r="AC59" s="9">
        <f t="shared" si="37"/>
        <v>129</v>
      </c>
      <c r="AD59" s="9">
        <f t="shared" si="38"/>
        <v>0</v>
      </c>
      <c r="AE59" s="9">
        <f t="shared" si="39"/>
        <v>25</v>
      </c>
    </row>
    <row r="60" spans="1:31" x14ac:dyDescent="0.2">
      <c r="A60" s="7" t="s">
        <v>173</v>
      </c>
      <c r="B60" s="6" t="s">
        <v>24</v>
      </c>
      <c r="C60" s="6" t="s">
        <v>202</v>
      </c>
      <c r="F60" s="3" t="str">
        <f t="shared" si="20"/>
        <v/>
      </c>
      <c r="G60" s="6"/>
      <c r="H60" s="6">
        <v>80</v>
      </c>
      <c r="I60" s="6">
        <v>31</v>
      </c>
      <c r="J60" s="6">
        <v>92</v>
      </c>
      <c r="K60" s="6"/>
      <c r="L60" s="6"/>
      <c r="M60" s="9" t="str">
        <f t="shared" si="21"/>
        <v/>
      </c>
      <c r="N60" s="9">
        <f t="shared" si="22"/>
        <v>76</v>
      </c>
      <c r="O60" s="9">
        <f t="shared" si="23"/>
        <v>27</v>
      </c>
      <c r="P60" s="9">
        <f t="shared" si="24"/>
        <v>87</v>
      </c>
      <c r="Q60" s="9" t="str">
        <f t="shared" si="25"/>
        <v/>
      </c>
      <c r="R60" s="9" t="str">
        <f t="shared" si="26"/>
        <v/>
      </c>
      <c r="S60" s="9" t="str">
        <f t="shared" si="27"/>
        <v/>
      </c>
      <c r="T60" s="9" t="str">
        <f t="shared" si="28"/>
        <v/>
      </c>
      <c r="U60" s="9">
        <f t="shared" si="29"/>
        <v>4</v>
      </c>
      <c r="V60" s="9" t="str">
        <f t="shared" si="30"/>
        <v/>
      </c>
      <c r="W60" s="9" t="str">
        <f t="shared" si="31"/>
        <v/>
      </c>
      <c r="X60" s="9" t="str">
        <f t="shared" si="32"/>
        <v/>
      </c>
      <c r="Y60" s="14">
        <f t="shared" si="33"/>
        <v>4.0810097300000008</v>
      </c>
      <c r="Z60" s="2" t="str">
        <f t="shared" si="34"/>
        <v/>
      </c>
      <c r="AA60" s="2" t="str">
        <f t="shared" si="35"/>
        <v/>
      </c>
      <c r="AB60" s="14" t="str">
        <f t="shared" si="36"/>
        <v/>
      </c>
      <c r="AC60" s="9">
        <f t="shared" si="37"/>
        <v>190</v>
      </c>
      <c r="AD60" s="9">
        <f t="shared" si="38"/>
        <v>0</v>
      </c>
      <c r="AE60" s="9">
        <f t="shared" si="39"/>
        <v>27</v>
      </c>
    </row>
    <row r="61" spans="1:31" x14ac:dyDescent="0.2">
      <c r="A61" s="7" t="s">
        <v>98</v>
      </c>
      <c r="B61" s="6" t="s">
        <v>17</v>
      </c>
      <c r="C61" s="6" t="s">
        <v>203</v>
      </c>
      <c r="F61" s="3" t="str">
        <f t="shared" si="20"/>
        <v/>
      </c>
      <c r="G61" s="6">
        <v>31</v>
      </c>
      <c r="H61" s="6"/>
      <c r="I61" s="6">
        <v>35</v>
      </c>
      <c r="J61" s="6">
        <v>78</v>
      </c>
      <c r="K61" s="6"/>
      <c r="L61" s="6"/>
      <c r="M61" s="9">
        <f t="shared" si="21"/>
        <v>28</v>
      </c>
      <c r="N61" s="9" t="str">
        <f t="shared" si="22"/>
        <v/>
      </c>
      <c r="O61" s="9">
        <f t="shared" si="23"/>
        <v>31</v>
      </c>
      <c r="P61" s="9">
        <f t="shared" si="24"/>
        <v>73</v>
      </c>
      <c r="Q61" s="9" t="str">
        <f t="shared" si="25"/>
        <v/>
      </c>
      <c r="R61" s="9" t="str">
        <f t="shared" si="26"/>
        <v/>
      </c>
      <c r="S61" s="9">
        <f t="shared" si="27"/>
        <v>3</v>
      </c>
      <c r="T61" s="9" t="str">
        <f t="shared" si="28"/>
        <v/>
      </c>
      <c r="U61" s="9" t="str">
        <f t="shared" si="29"/>
        <v/>
      </c>
      <c r="V61" s="9" t="str">
        <f t="shared" si="30"/>
        <v/>
      </c>
      <c r="W61" s="9" t="str">
        <f t="shared" si="31"/>
        <v/>
      </c>
      <c r="X61" s="9" t="str">
        <f t="shared" si="32"/>
        <v/>
      </c>
      <c r="Y61" s="14">
        <f t="shared" si="33"/>
        <v>3.0868097200000002</v>
      </c>
      <c r="Z61" s="2" t="str">
        <f t="shared" si="34"/>
        <v/>
      </c>
      <c r="AA61" s="2" t="str">
        <f t="shared" si="35"/>
        <v/>
      </c>
      <c r="AB61" s="14" t="str">
        <f t="shared" si="36"/>
        <v/>
      </c>
      <c r="AC61" s="9">
        <f t="shared" si="37"/>
        <v>132</v>
      </c>
      <c r="AD61" s="9">
        <f t="shared" si="38"/>
        <v>0</v>
      </c>
      <c r="AE61" s="9">
        <f t="shared" si="39"/>
        <v>28</v>
      </c>
    </row>
    <row r="62" spans="1:31" x14ac:dyDescent="0.2">
      <c r="A62" s="7" t="s">
        <v>175</v>
      </c>
      <c r="B62" s="6" t="s">
        <v>60</v>
      </c>
      <c r="C62" s="6" t="s">
        <v>202</v>
      </c>
      <c r="F62" s="3">
        <f t="shared" si="20"/>
        <v>29</v>
      </c>
      <c r="G62" s="6">
        <v>74</v>
      </c>
      <c r="H62" s="6">
        <v>63</v>
      </c>
      <c r="I62" s="6">
        <v>33</v>
      </c>
      <c r="J62" s="6"/>
      <c r="K62" s="6"/>
      <c r="L62" s="6"/>
      <c r="M62" s="9">
        <f t="shared" si="21"/>
        <v>69</v>
      </c>
      <c r="N62" s="9">
        <f t="shared" si="22"/>
        <v>61</v>
      </c>
      <c r="O62" s="9">
        <f t="shared" si="23"/>
        <v>29</v>
      </c>
      <c r="P62" s="9" t="str">
        <f t="shared" si="24"/>
        <v/>
      </c>
      <c r="Q62" s="9" t="str">
        <f t="shared" si="25"/>
        <v/>
      </c>
      <c r="R62" s="9" t="str">
        <f t="shared" si="26"/>
        <v/>
      </c>
      <c r="S62" s="9" t="str">
        <f t="shared" si="27"/>
        <v/>
      </c>
      <c r="T62" s="9" t="str">
        <f t="shared" si="28"/>
        <v/>
      </c>
      <c r="U62" s="9">
        <f t="shared" si="29"/>
        <v>2</v>
      </c>
      <c r="V62" s="9" t="str">
        <f t="shared" si="30"/>
        <v/>
      </c>
      <c r="W62" s="9" t="str">
        <f t="shared" si="31"/>
        <v/>
      </c>
      <c r="X62" s="9" t="str">
        <f t="shared" si="32"/>
        <v/>
      </c>
      <c r="Y62" s="14">
        <f t="shared" si="33"/>
        <v>2.0841097099999999</v>
      </c>
      <c r="Z62" s="2" t="str">
        <f t="shared" si="34"/>
        <v>P</v>
      </c>
      <c r="AA62" s="2" t="str">
        <f t="shared" si="35"/>
        <v/>
      </c>
      <c r="AB62" s="14">
        <f t="shared" si="36"/>
        <v>2.0841097099999999</v>
      </c>
      <c r="AC62" s="9">
        <f t="shared" si="37"/>
        <v>159</v>
      </c>
      <c r="AD62" s="9">
        <f t="shared" si="38"/>
        <v>0</v>
      </c>
      <c r="AE62" s="9">
        <f t="shared" si="39"/>
        <v>29</v>
      </c>
    </row>
    <row r="63" spans="1:31" x14ac:dyDescent="0.2">
      <c r="A63" s="7" t="s">
        <v>130</v>
      </c>
      <c r="B63" s="6" t="s">
        <v>82</v>
      </c>
      <c r="C63" s="6" t="s">
        <v>202</v>
      </c>
      <c r="F63" s="3" t="str">
        <f t="shared" si="20"/>
        <v/>
      </c>
      <c r="G63" s="6"/>
      <c r="H63" s="6">
        <v>32</v>
      </c>
      <c r="I63" s="6"/>
      <c r="J63" s="6"/>
      <c r="K63" s="6"/>
      <c r="L63" s="6"/>
      <c r="M63" s="9" t="str">
        <f t="shared" si="21"/>
        <v/>
      </c>
      <c r="N63" s="9">
        <f t="shared" si="22"/>
        <v>30</v>
      </c>
      <c r="O63" s="9" t="str">
        <f t="shared" si="23"/>
        <v/>
      </c>
      <c r="P63" s="9" t="str">
        <f t="shared" si="24"/>
        <v/>
      </c>
      <c r="Q63" s="9" t="str">
        <f t="shared" si="25"/>
        <v/>
      </c>
      <c r="R63" s="9" t="str">
        <f t="shared" si="26"/>
        <v/>
      </c>
      <c r="S63" s="9" t="str">
        <f t="shared" si="27"/>
        <v/>
      </c>
      <c r="T63" s="9">
        <f t="shared" si="28"/>
        <v>1</v>
      </c>
      <c r="U63" s="9" t="str">
        <f t="shared" si="29"/>
        <v/>
      </c>
      <c r="V63" s="9" t="str">
        <f t="shared" si="30"/>
        <v/>
      </c>
      <c r="W63" s="9" t="str">
        <f t="shared" si="31"/>
        <v/>
      </c>
      <c r="X63" s="9" t="str">
        <f t="shared" si="32"/>
        <v/>
      </c>
      <c r="Y63" s="14">
        <f t="shared" si="33"/>
        <v>1.0970096999999999</v>
      </c>
      <c r="Z63" s="2" t="str">
        <f t="shared" si="34"/>
        <v/>
      </c>
      <c r="AA63" s="2" t="str">
        <f t="shared" si="35"/>
        <v/>
      </c>
      <c r="AB63" s="14" t="str">
        <f t="shared" si="36"/>
        <v/>
      </c>
      <c r="AC63" s="9">
        <f t="shared" si="37"/>
        <v>30</v>
      </c>
      <c r="AD63" s="9">
        <f t="shared" si="38"/>
        <v>0</v>
      </c>
      <c r="AE63" s="9">
        <f t="shared" si="39"/>
        <v>30</v>
      </c>
    </row>
    <row r="64" spans="1:31" x14ac:dyDescent="0.2">
      <c r="A64" s="7" t="s">
        <v>100</v>
      </c>
      <c r="B64" s="6" t="s">
        <v>108</v>
      </c>
      <c r="C64" s="6" t="s">
        <v>201</v>
      </c>
      <c r="F64" s="3" t="str">
        <f t="shared" si="20"/>
        <v/>
      </c>
      <c r="G64" s="6">
        <v>33</v>
      </c>
      <c r="H64" s="6">
        <v>44</v>
      </c>
      <c r="I64" s="6">
        <v>38</v>
      </c>
      <c r="J64" s="6">
        <v>42</v>
      </c>
      <c r="K64" s="6"/>
      <c r="L64" s="6"/>
      <c r="M64" s="9">
        <f t="shared" si="21"/>
        <v>30</v>
      </c>
      <c r="N64" s="9">
        <f t="shared" si="22"/>
        <v>42</v>
      </c>
      <c r="O64" s="9">
        <f t="shared" si="23"/>
        <v>34</v>
      </c>
      <c r="P64" s="9">
        <f t="shared" si="24"/>
        <v>37</v>
      </c>
      <c r="Q64" s="9" t="str">
        <f t="shared" si="25"/>
        <v/>
      </c>
      <c r="R64" s="9" t="str">
        <f t="shared" si="26"/>
        <v/>
      </c>
      <c r="S64" s="9">
        <f t="shared" si="27"/>
        <v>1</v>
      </c>
      <c r="T64" s="9" t="str">
        <f t="shared" si="28"/>
        <v/>
      </c>
      <c r="U64" s="9" t="str">
        <f t="shared" si="29"/>
        <v/>
      </c>
      <c r="V64" s="9" t="str">
        <f t="shared" si="30"/>
        <v/>
      </c>
      <c r="W64" s="9" t="str">
        <f t="shared" si="31"/>
        <v/>
      </c>
      <c r="X64" s="9" t="str">
        <f t="shared" si="32"/>
        <v/>
      </c>
      <c r="Y64" s="14">
        <f t="shared" si="33"/>
        <v>1.0857097</v>
      </c>
      <c r="Z64" s="2" t="str">
        <f t="shared" si="34"/>
        <v/>
      </c>
      <c r="AA64" s="2" t="str">
        <f t="shared" si="35"/>
        <v/>
      </c>
      <c r="AB64" s="14" t="str">
        <f t="shared" si="36"/>
        <v/>
      </c>
      <c r="AC64" s="9">
        <f t="shared" si="37"/>
        <v>143</v>
      </c>
      <c r="AD64" s="9">
        <f t="shared" si="38"/>
        <v>0</v>
      </c>
      <c r="AE64" s="9">
        <f t="shared" si="39"/>
        <v>30</v>
      </c>
    </row>
    <row r="65" spans="1:31" x14ac:dyDescent="0.2">
      <c r="A65" s="7" t="s">
        <v>103</v>
      </c>
      <c r="B65" s="6" t="s">
        <v>59</v>
      </c>
      <c r="C65" s="6" t="s">
        <v>204</v>
      </c>
      <c r="F65" s="3" t="str">
        <f t="shared" si="20"/>
        <v/>
      </c>
      <c r="G65" s="6">
        <v>36</v>
      </c>
      <c r="H65" s="6">
        <v>40</v>
      </c>
      <c r="I65" s="6">
        <v>39</v>
      </c>
      <c r="J65" s="6">
        <v>63</v>
      </c>
      <c r="K65" s="6"/>
      <c r="L65" s="6"/>
      <c r="M65" s="9">
        <f t="shared" si="21"/>
        <v>33</v>
      </c>
      <c r="N65" s="9">
        <f t="shared" si="22"/>
        <v>38</v>
      </c>
      <c r="O65" s="9">
        <f t="shared" si="23"/>
        <v>35</v>
      </c>
      <c r="P65" s="9">
        <f t="shared" si="24"/>
        <v>58</v>
      </c>
      <c r="Q65" s="9" t="str">
        <f t="shared" si="25"/>
        <v/>
      </c>
      <c r="R65" s="9" t="str">
        <f t="shared" si="26"/>
        <v/>
      </c>
      <c r="S65" s="9" t="str">
        <f t="shared" si="27"/>
        <v/>
      </c>
      <c r="T65" s="9" t="str">
        <f t="shared" si="28"/>
        <v/>
      </c>
      <c r="U65" s="9" t="str">
        <f t="shared" si="29"/>
        <v/>
      </c>
      <c r="V65" s="9" t="str">
        <f t="shared" si="30"/>
        <v/>
      </c>
      <c r="W65" s="9" t="str">
        <f t="shared" si="31"/>
        <v/>
      </c>
      <c r="X65" s="9" t="str">
        <f t="shared" si="32"/>
        <v/>
      </c>
      <c r="Y65" s="14">
        <f t="shared" si="33"/>
        <v>0</v>
      </c>
      <c r="Z65" s="2" t="str">
        <f t="shared" si="34"/>
        <v/>
      </c>
      <c r="AA65" s="2" t="str">
        <f t="shared" si="35"/>
        <v/>
      </c>
      <c r="AB65" s="14" t="str">
        <f t="shared" si="36"/>
        <v/>
      </c>
      <c r="AC65" s="9">
        <f t="shared" si="37"/>
        <v>164</v>
      </c>
      <c r="AD65" s="9">
        <f t="shared" si="38"/>
        <v>0</v>
      </c>
      <c r="AE65" s="9">
        <f t="shared" si="39"/>
        <v>33</v>
      </c>
    </row>
    <row r="66" spans="1:31" x14ac:dyDescent="0.2">
      <c r="A66" s="7" t="s">
        <v>199</v>
      </c>
      <c r="B66" s="6" t="s">
        <v>106</v>
      </c>
      <c r="C66" s="6" t="s">
        <v>202</v>
      </c>
      <c r="F66" s="3" t="str">
        <f t="shared" si="20"/>
        <v/>
      </c>
      <c r="G66" s="6"/>
      <c r="H66" s="6"/>
      <c r="I66" s="6"/>
      <c r="J66" s="6"/>
      <c r="K66" s="6">
        <v>37</v>
      </c>
      <c r="L66" s="6"/>
      <c r="M66" s="9" t="str">
        <f t="shared" si="21"/>
        <v/>
      </c>
      <c r="N66" s="9" t="str">
        <f t="shared" si="22"/>
        <v/>
      </c>
      <c r="O66" s="9" t="str">
        <f t="shared" si="23"/>
        <v/>
      </c>
      <c r="P66" s="9" t="str">
        <f t="shared" si="24"/>
        <v/>
      </c>
      <c r="Q66" s="9">
        <f t="shared" si="25"/>
        <v>35</v>
      </c>
      <c r="R66" s="9" t="str">
        <f t="shared" si="26"/>
        <v/>
      </c>
      <c r="S66" s="9" t="str">
        <f t="shared" si="27"/>
        <v/>
      </c>
      <c r="T66" s="9" t="str">
        <f t="shared" si="28"/>
        <v/>
      </c>
      <c r="U66" s="9" t="str">
        <f t="shared" si="29"/>
        <v/>
      </c>
      <c r="V66" s="9" t="str">
        <f t="shared" si="30"/>
        <v/>
      </c>
      <c r="W66" s="9" t="str">
        <f t="shared" si="31"/>
        <v/>
      </c>
      <c r="X66" s="9" t="str">
        <f t="shared" si="32"/>
        <v/>
      </c>
      <c r="Y66" s="14">
        <f t="shared" si="33"/>
        <v>0</v>
      </c>
      <c r="Z66" s="2" t="str">
        <f t="shared" si="34"/>
        <v/>
      </c>
      <c r="AA66" s="2" t="str">
        <f t="shared" si="35"/>
        <v/>
      </c>
      <c r="AB66" s="14" t="str">
        <f t="shared" si="36"/>
        <v/>
      </c>
      <c r="AC66" s="9">
        <f t="shared" si="37"/>
        <v>35</v>
      </c>
      <c r="AD66" s="9">
        <f t="shared" si="38"/>
        <v>0</v>
      </c>
      <c r="AE66" s="9">
        <f t="shared" si="39"/>
        <v>35</v>
      </c>
    </row>
    <row r="67" spans="1:31" x14ac:dyDescent="0.2">
      <c r="A67" s="7" t="s">
        <v>105</v>
      </c>
      <c r="B67" s="6" t="s">
        <v>22</v>
      </c>
      <c r="C67" s="6" t="s">
        <v>202</v>
      </c>
      <c r="F67" s="3" t="str">
        <f t="shared" ref="F67:F77" si="40">IF(AB67="","",RANK(AB67,AB:AB)+COUNTIF(D:E,"P"))</f>
        <v/>
      </c>
      <c r="G67" s="6">
        <v>38</v>
      </c>
      <c r="H67" s="6"/>
      <c r="I67" s="6"/>
      <c r="J67" s="6"/>
      <c r="K67" s="6"/>
      <c r="L67" s="6"/>
      <c r="M67" s="9">
        <f t="shared" ref="M67:M77" si="41">IF(OR($D67&lt;&gt;"",$E67&lt;&gt;"",G67=""),"",G67-SUMPRODUCT(--($D$3:$D$102="P"),--(G$3:G$102&lt;G67),--(G$3:G$102&lt;&gt;""))-SUMPRODUCT(--($E$3:$E$102="P"),--(G$3:G$102&lt;G67),--(G$3:G$102&lt;&gt;"")))</f>
        <v>35</v>
      </c>
      <c r="N67" s="9" t="str">
        <f t="shared" ref="N67:N77" si="42">IF(OR($D67&lt;&gt;"",$E67&lt;&gt;"",H67=""),"",H67-SUMPRODUCT(--($D$3:$D$102="P"),--(H$3:H$102&lt;H67),--(H$3:H$102&lt;&gt;""))-SUMPRODUCT(--($E$3:$E$102="P"),--(H$3:H$102&lt;H67),--(H$3:H$102&lt;&gt;"")))</f>
        <v/>
      </c>
      <c r="O67" s="9" t="str">
        <f t="shared" ref="O67:O77" si="43">IF(OR($D67&lt;&gt;"",$E67&lt;&gt;"",I67=""),"",I67-SUMPRODUCT(--($D$3:$D$102="P"),--(I$3:I$102&lt;I67),--(I$3:I$102&lt;&gt;""))-SUMPRODUCT(--($E$3:$E$102="P"),--(I$3:I$102&lt;I67),--(I$3:I$102&lt;&gt;"")))</f>
        <v/>
      </c>
      <c r="P67" s="9" t="str">
        <f t="shared" ref="P67:P77" si="44">IF(OR($D67&lt;&gt;"",$E67&lt;&gt;"",J67=""),"",J67-SUMPRODUCT(--($D$3:$D$102="P"),--(J$3:J$102&lt;J67),--(J$3:J$102&lt;&gt;""))-SUMPRODUCT(--($E$3:$E$102="P"),--(J$3:J$102&lt;J67),--(J$3:J$102&lt;&gt;"")))</f>
        <v/>
      </c>
      <c r="Q67" s="9" t="str">
        <f t="shared" ref="Q67:Q77" si="45">IF(OR($D67&lt;&gt;"",$E67&lt;&gt;"",K67=""),"",K67-SUMPRODUCT(--($D$3:$D$102="P"),--(K$3:K$102&lt;K67),--(K$3:K$102&lt;&gt;""))-SUMPRODUCT(--($E$3:$E$102="P"),--(K$3:K$102&lt;K67),--(K$3:K$102&lt;&gt;"")))</f>
        <v/>
      </c>
      <c r="R67" s="9" t="str">
        <f t="shared" ref="R67:R77" si="46">IF(OR($D67&lt;&gt;"",$E67&lt;&gt;"",L67=""),"",L67-SUMPRODUCT(--($D$3:$D$102="P"),--(L$3:L$102&lt;L67),--(L$3:L$102&lt;&gt;""))-SUMPRODUCT(--($E$3:$E$102="P"),--(L$3:L$102&lt;L67),--(L$3:L$102&lt;&gt;"")))</f>
        <v/>
      </c>
      <c r="S67" s="9" t="str">
        <f t="shared" ref="S67:S77" si="47"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 t="shared" ref="T67:T77" si="48"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 t="shared" ref="U67:U77" si="49"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 t="shared" ref="V67:V77" si="50"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 t="shared" ref="W67:W77" si="51"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9" t="str">
        <f t="shared" ref="X67:X77" si="52">IF(OR(R67="",R67&gt;30),"",IF(R67=1,60,IF(R67=2,55,IF(R67=3,50,IF(R67=4,44,IF(R67=5,38,IF(R67=6,32,IF(R67=7,28,IF(R67=8,25,IF(R67=9,22,IF(R67=10,21,IF(R67=11,20,IF(R67=12,19,IF(R67=13,18,IF(R67=14,17,IF(R67=15,16,IF(R67=16,15,IF(R67=17,14,IF(R67=18,13,IF(R67=19,12,IF(R67=20,11,IF(R67=21,10,IF(R67=22,9,IF(R67=23,8,IF(R67=24,7,IF(R67=25,6,IF(R67=26,5,IF(R67=27,4,IF(R67=28,3,IF(R67=29,2,IF(R67=30,1)))))))))))))))))))))))))))))))</f>
        <v/>
      </c>
      <c r="Y67" s="14">
        <f t="shared" ref="Y67:Y77" si="53">IF(A67="","",IF(OR(D67="P",E67="P"),"",IF(IF(COUNT(S67:X67)&lt;5,SUM(S67:X67),IF(COUNT(S67:X67)=5,SUM(S67:X67)-MIN(S67:X67),SUM(S67:X67)-MIN(S67:X67)-SMALL(S67:X67,2)))&gt;0,IF(COUNT(S67:X67)&lt;5,SUM(S67:X67)+(1000-AC67)*10^-4+AD67*10^-5+(1000-AE67)*10^-8,IF(COUNT(S67:X67)=5,SUM(S67:X67)-MIN(S67:X67)+(1000-AC67)*10^-4+AD67*10^-5+(1000-AE67)*10^-8,SUM(S67:X67)-MIN(S67:X67)-SMALL(S67:X67,2)+(1000-AC67)*10^-4+AD67*10^-5+(1000-AE67)*10^-8)),0)))</f>
        <v>0</v>
      </c>
      <c r="Z67" s="2" t="str">
        <f t="shared" ref="Z67:Z77" si="54">IF(OR(Y67="",Y67=0),"",IF(SUMPRODUCT(--(B$3:B$102=B67),--(Y$3:Y$102&gt;Y67),--(Y$3:Y$102&lt;&gt;"")),"","P"))</f>
        <v/>
      </c>
      <c r="AA67" s="2" t="str">
        <f t="shared" ref="AA67:AA77" si="55">IF(Y67="","",IF(SUMPRODUCT(--(D$3:D$102="P"),--(B$3:B$102=B67)),"P",""))</f>
        <v>P</v>
      </c>
      <c r="AB67" s="14" t="str">
        <f t="shared" ref="AB67:AB77" si="56">IF(AND(Z67&lt;&gt;"",OR(AA67="",SUMPRODUCT(--(Y$3:Y$102&gt;Y67),--(AA$3:AA$102="P"),--(Z$3:Z$102="P"))&lt;4)),Y67,"")</f>
        <v/>
      </c>
      <c r="AC67" s="9">
        <f t="shared" ref="AC67:AC77" si="57">IF(A67="","",IF(OR(D67="P",E67="P"),"",IF(IF(COUNT(M67:R67)&lt;5,SUM(M67:R67),IF(COUNT(M67:R67)=5,SUM(M67:R67)-MAX(M67:R67),SUM(M67:R67)-MAX(M67:R67)-LARGE(M67:R67,2)))&gt;0,IF(COUNT(M67:R67)&lt;5,SUM(M67:R67),IF(COUNT(M67:R67)=5,SUM(M67:R67)-MAX(M67:R67),SUM(M67:R67)-MAX(M67:R67)-LARGE(M67:R67,2))),0)))</f>
        <v>35</v>
      </c>
      <c r="AD67" s="9">
        <f t="shared" ref="AD67:AD77" si="58">COUNTIF(M67:R67,"&lt;=8")</f>
        <v>0</v>
      </c>
      <c r="AE67" s="9">
        <f t="shared" ref="AE67:AE77" si="59">MIN(M67:R67)</f>
        <v>35</v>
      </c>
    </row>
    <row r="68" spans="1:31" x14ac:dyDescent="0.2">
      <c r="A68" s="7" t="s">
        <v>132</v>
      </c>
      <c r="B68" s="6" t="s">
        <v>107</v>
      </c>
      <c r="C68" s="6" t="s">
        <v>202</v>
      </c>
      <c r="F68" s="3" t="str">
        <f t="shared" si="40"/>
        <v/>
      </c>
      <c r="G68" s="6">
        <v>53</v>
      </c>
      <c r="H68" s="6">
        <v>34</v>
      </c>
      <c r="I68" s="6">
        <v>53</v>
      </c>
      <c r="J68" s="6">
        <v>59</v>
      </c>
      <c r="K68" s="6"/>
      <c r="L68" s="6"/>
      <c r="M68" s="9">
        <f t="shared" si="41"/>
        <v>50</v>
      </c>
      <c r="N68" s="9">
        <f t="shared" si="42"/>
        <v>32</v>
      </c>
      <c r="O68" s="9">
        <f t="shared" si="43"/>
        <v>49</v>
      </c>
      <c r="P68" s="9">
        <f t="shared" si="44"/>
        <v>54</v>
      </c>
      <c r="Q68" s="9" t="str">
        <f t="shared" si="45"/>
        <v/>
      </c>
      <c r="R68" s="9" t="str">
        <f t="shared" si="46"/>
        <v/>
      </c>
      <c r="S68" s="9" t="str">
        <f t="shared" si="47"/>
        <v/>
      </c>
      <c r="T68" s="9" t="str">
        <f t="shared" si="48"/>
        <v/>
      </c>
      <c r="U68" s="9" t="str">
        <f t="shared" si="49"/>
        <v/>
      </c>
      <c r="V68" s="9" t="str">
        <f t="shared" si="50"/>
        <v/>
      </c>
      <c r="W68" s="9" t="str">
        <f t="shared" si="51"/>
        <v/>
      </c>
      <c r="X68" s="9" t="str">
        <f t="shared" si="52"/>
        <v/>
      </c>
      <c r="Y68" s="14">
        <f t="shared" si="53"/>
        <v>0</v>
      </c>
      <c r="Z68" s="2" t="str">
        <f t="shared" si="54"/>
        <v/>
      </c>
      <c r="AA68" s="2" t="str">
        <f t="shared" si="55"/>
        <v/>
      </c>
      <c r="AB68" s="14" t="str">
        <f t="shared" si="56"/>
        <v/>
      </c>
      <c r="AC68" s="9">
        <f t="shared" si="57"/>
        <v>185</v>
      </c>
      <c r="AD68" s="9">
        <f t="shared" si="58"/>
        <v>0</v>
      </c>
      <c r="AE68" s="9">
        <f t="shared" si="59"/>
        <v>32</v>
      </c>
    </row>
    <row r="69" spans="1:31" x14ac:dyDescent="0.2">
      <c r="A69" s="7" t="s">
        <v>177</v>
      </c>
      <c r="B69" s="6" t="s">
        <v>22</v>
      </c>
      <c r="C69" s="6" t="s">
        <v>202</v>
      </c>
      <c r="F69" s="3" t="str">
        <f t="shared" si="40"/>
        <v/>
      </c>
      <c r="G69" s="6"/>
      <c r="H69" s="6">
        <v>91</v>
      </c>
      <c r="I69" s="6">
        <v>36</v>
      </c>
      <c r="J69" s="6">
        <v>72</v>
      </c>
      <c r="K69" s="6"/>
      <c r="L69" s="6"/>
      <c r="M69" s="9" t="str">
        <f t="shared" si="41"/>
        <v/>
      </c>
      <c r="N69" s="9">
        <f t="shared" si="42"/>
        <v>87</v>
      </c>
      <c r="O69" s="9">
        <f t="shared" si="43"/>
        <v>32</v>
      </c>
      <c r="P69" s="9">
        <f t="shared" si="44"/>
        <v>67</v>
      </c>
      <c r="Q69" s="9" t="str">
        <f t="shared" si="45"/>
        <v/>
      </c>
      <c r="R69" s="9" t="str">
        <f t="shared" si="46"/>
        <v/>
      </c>
      <c r="S69" s="9" t="str">
        <f t="shared" si="47"/>
        <v/>
      </c>
      <c r="T69" s="9" t="str">
        <f t="shared" si="48"/>
        <v/>
      </c>
      <c r="U69" s="9" t="str">
        <f t="shared" si="49"/>
        <v/>
      </c>
      <c r="V69" s="9" t="str">
        <f t="shared" si="50"/>
        <v/>
      </c>
      <c r="W69" s="9" t="str">
        <f t="shared" si="51"/>
        <v/>
      </c>
      <c r="X69" s="9" t="str">
        <f t="shared" si="52"/>
        <v/>
      </c>
      <c r="Y69" s="14">
        <f t="shared" si="53"/>
        <v>0</v>
      </c>
      <c r="Z69" s="2" t="str">
        <f t="shared" si="54"/>
        <v/>
      </c>
      <c r="AA69" s="2" t="str">
        <f t="shared" si="55"/>
        <v>P</v>
      </c>
      <c r="AB69" s="14" t="str">
        <f t="shared" si="56"/>
        <v/>
      </c>
      <c r="AC69" s="9">
        <f t="shared" si="57"/>
        <v>186</v>
      </c>
      <c r="AD69" s="9">
        <f t="shared" si="58"/>
        <v>0</v>
      </c>
      <c r="AE69" s="9">
        <f t="shared" si="59"/>
        <v>32</v>
      </c>
    </row>
    <row r="70" spans="1:31" x14ac:dyDescent="0.2">
      <c r="A70" s="7" t="s">
        <v>197</v>
      </c>
      <c r="B70" s="6" t="s">
        <v>17</v>
      </c>
      <c r="C70" s="6" t="s">
        <v>203</v>
      </c>
      <c r="F70" s="3" t="str">
        <f t="shared" si="40"/>
        <v/>
      </c>
      <c r="G70" s="6"/>
      <c r="H70" s="6"/>
      <c r="I70" s="6"/>
      <c r="J70" s="6"/>
      <c r="K70" s="6">
        <v>35</v>
      </c>
      <c r="L70" s="6"/>
      <c r="M70" s="9" t="str">
        <f t="shared" si="41"/>
        <v/>
      </c>
      <c r="N70" s="9" t="str">
        <f t="shared" si="42"/>
        <v/>
      </c>
      <c r="O70" s="9" t="str">
        <f t="shared" si="43"/>
        <v/>
      </c>
      <c r="P70" s="9" t="str">
        <f t="shared" si="44"/>
        <v/>
      </c>
      <c r="Q70" s="9">
        <f t="shared" si="45"/>
        <v>33</v>
      </c>
      <c r="R70" s="9" t="str">
        <f t="shared" si="46"/>
        <v/>
      </c>
      <c r="S70" s="9" t="str">
        <f t="shared" si="47"/>
        <v/>
      </c>
      <c r="T70" s="9" t="str">
        <f t="shared" si="48"/>
        <v/>
      </c>
      <c r="U70" s="9" t="str">
        <f t="shared" si="49"/>
        <v/>
      </c>
      <c r="V70" s="9" t="str">
        <f t="shared" si="50"/>
        <v/>
      </c>
      <c r="W70" s="9" t="str">
        <f t="shared" si="51"/>
        <v/>
      </c>
      <c r="X70" s="9" t="str">
        <f t="shared" si="52"/>
        <v/>
      </c>
      <c r="Y70" s="14">
        <f t="shared" si="53"/>
        <v>0</v>
      </c>
      <c r="Z70" s="2" t="str">
        <f t="shared" si="54"/>
        <v/>
      </c>
      <c r="AA70" s="2" t="str">
        <f t="shared" si="55"/>
        <v/>
      </c>
      <c r="AB70" s="14" t="str">
        <f t="shared" si="56"/>
        <v/>
      </c>
      <c r="AC70" s="9">
        <f t="shared" si="57"/>
        <v>33</v>
      </c>
      <c r="AD70" s="9">
        <f t="shared" si="58"/>
        <v>0</v>
      </c>
      <c r="AE70" s="9">
        <f t="shared" si="59"/>
        <v>33</v>
      </c>
    </row>
    <row r="71" spans="1:31" x14ac:dyDescent="0.2">
      <c r="A71" s="7" t="s">
        <v>186</v>
      </c>
      <c r="B71" s="6" t="s">
        <v>56</v>
      </c>
      <c r="C71" s="6" t="s">
        <v>203</v>
      </c>
      <c r="F71" s="3" t="str">
        <f t="shared" si="40"/>
        <v/>
      </c>
      <c r="G71" s="6"/>
      <c r="H71" s="6">
        <v>69</v>
      </c>
      <c r="I71" s="6"/>
      <c r="J71" s="6">
        <v>37</v>
      </c>
      <c r="K71" s="6"/>
      <c r="L71" s="6"/>
      <c r="M71" s="9" t="str">
        <f t="shared" si="41"/>
        <v/>
      </c>
      <c r="N71" s="9">
        <f t="shared" si="42"/>
        <v>67</v>
      </c>
      <c r="O71" s="9" t="str">
        <f t="shared" si="43"/>
        <v/>
      </c>
      <c r="P71" s="9">
        <f t="shared" si="44"/>
        <v>32</v>
      </c>
      <c r="Q71" s="9" t="str">
        <f t="shared" si="45"/>
        <v/>
      </c>
      <c r="R71" s="9" t="str">
        <f t="shared" si="46"/>
        <v/>
      </c>
      <c r="S71" s="9" t="str">
        <f t="shared" si="47"/>
        <v/>
      </c>
      <c r="T71" s="9" t="str">
        <f t="shared" si="48"/>
        <v/>
      </c>
      <c r="U71" s="9" t="str">
        <f t="shared" si="49"/>
        <v/>
      </c>
      <c r="V71" s="9" t="str">
        <f t="shared" si="50"/>
        <v/>
      </c>
      <c r="W71" s="9" t="str">
        <f t="shared" si="51"/>
        <v/>
      </c>
      <c r="X71" s="9" t="str">
        <f t="shared" si="52"/>
        <v/>
      </c>
      <c r="Y71" s="14">
        <f t="shared" si="53"/>
        <v>0</v>
      </c>
      <c r="Z71" s="2" t="str">
        <f t="shared" si="54"/>
        <v/>
      </c>
      <c r="AA71" s="2" t="str">
        <f t="shared" si="55"/>
        <v/>
      </c>
      <c r="AB71" s="14" t="str">
        <f t="shared" si="56"/>
        <v/>
      </c>
      <c r="AC71" s="9">
        <f t="shared" si="57"/>
        <v>99</v>
      </c>
      <c r="AD71" s="9">
        <f t="shared" si="58"/>
        <v>0</v>
      </c>
      <c r="AE71" s="9">
        <f t="shared" si="59"/>
        <v>32</v>
      </c>
    </row>
    <row r="72" spans="1:31" x14ac:dyDescent="0.2">
      <c r="A72" s="7" t="s">
        <v>198</v>
      </c>
      <c r="B72" s="6" t="s">
        <v>60</v>
      </c>
      <c r="C72" s="6" t="s">
        <v>202</v>
      </c>
      <c r="F72" s="3" t="str">
        <f t="shared" si="40"/>
        <v/>
      </c>
      <c r="G72" s="6"/>
      <c r="H72" s="6"/>
      <c r="I72" s="6"/>
      <c r="J72" s="6"/>
      <c r="K72" s="6">
        <v>36</v>
      </c>
      <c r="L72" s="6"/>
      <c r="M72" s="9" t="str">
        <f t="shared" si="41"/>
        <v/>
      </c>
      <c r="N72" s="9" t="str">
        <f t="shared" si="42"/>
        <v/>
      </c>
      <c r="O72" s="9" t="str">
        <f t="shared" si="43"/>
        <v/>
      </c>
      <c r="P72" s="9" t="str">
        <f t="shared" si="44"/>
        <v/>
      </c>
      <c r="Q72" s="9">
        <f t="shared" si="45"/>
        <v>34</v>
      </c>
      <c r="R72" s="9" t="str">
        <f t="shared" si="46"/>
        <v/>
      </c>
      <c r="S72" s="9" t="str">
        <f t="shared" si="47"/>
        <v/>
      </c>
      <c r="T72" s="9" t="str">
        <f t="shared" si="48"/>
        <v/>
      </c>
      <c r="U72" s="9" t="str">
        <f t="shared" si="49"/>
        <v/>
      </c>
      <c r="V72" s="9" t="str">
        <f t="shared" si="50"/>
        <v/>
      </c>
      <c r="W72" s="9" t="str">
        <f t="shared" si="51"/>
        <v/>
      </c>
      <c r="X72" s="9" t="str">
        <f t="shared" si="52"/>
        <v/>
      </c>
      <c r="Y72" s="14">
        <f t="shared" si="53"/>
        <v>0</v>
      </c>
      <c r="Z72" s="2" t="str">
        <f t="shared" si="54"/>
        <v/>
      </c>
      <c r="AA72" s="2" t="str">
        <f t="shared" si="55"/>
        <v/>
      </c>
      <c r="AB72" s="14" t="str">
        <f t="shared" si="56"/>
        <v/>
      </c>
      <c r="AC72" s="9">
        <f t="shared" si="57"/>
        <v>34</v>
      </c>
      <c r="AD72" s="9">
        <f t="shared" si="58"/>
        <v>0</v>
      </c>
      <c r="AE72" s="9">
        <f t="shared" si="59"/>
        <v>34</v>
      </c>
    </row>
    <row r="73" spans="1:31" x14ac:dyDescent="0.2">
      <c r="A73" s="7" t="s">
        <v>135</v>
      </c>
      <c r="B73" s="6" t="s">
        <v>136</v>
      </c>
      <c r="C73" s="6" t="s">
        <v>202</v>
      </c>
      <c r="F73" s="3" t="str">
        <f t="shared" si="40"/>
        <v/>
      </c>
      <c r="G73" s="6"/>
      <c r="H73" s="6">
        <v>37</v>
      </c>
      <c r="I73" s="6"/>
      <c r="J73" s="6"/>
      <c r="K73" s="6"/>
      <c r="L73" s="6"/>
      <c r="M73" s="9" t="str">
        <f t="shared" si="41"/>
        <v/>
      </c>
      <c r="N73" s="9">
        <f t="shared" si="42"/>
        <v>35</v>
      </c>
      <c r="O73" s="9" t="str">
        <f t="shared" si="43"/>
        <v/>
      </c>
      <c r="P73" s="9" t="str">
        <f t="shared" si="44"/>
        <v/>
      </c>
      <c r="Q73" s="9" t="str">
        <f t="shared" si="45"/>
        <v/>
      </c>
      <c r="R73" s="9" t="str">
        <f t="shared" si="46"/>
        <v/>
      </c>
      <c r="S73" s="9" t="str">
        <f t="shared" si="47"/>
        <v/>
      </c>
      <c r="T73" s="9" t="str">
        <f t="shared" si="48"/>
        <v/>
      </c>
      <c r="U73" s="9" t="str">
        <f t="shared" si="49"/>
        <v/>
      </c>
      <c r="V73" s="9" t="str">
        <f t="shared" si="50"/>
        <v/>
      </c>
      <c r="W73" s="9" t="str">
        <f t="shared" si="51"/>
        <v/>
      </c>
      <c r="X73" s="9" t="str">
        <f t="shared" si="52"/>
        <v/>
      </c>
      <c r="Y73" s="14">
        <f t="shared" si="53"/>
        <v>0</v>
      </c>
      <c r="Z73" s="2" t="str">
        <f t="shared" si="54"/>
        <v/>
      </c>
      <c r="AA73" s="2" t="str">
        <f t="shared" si="55"/>
        <v/>
      </c>
      <c r="AB73" s="14" t="str">
        <f t="shared" si="56"/>
        <v/>
      </c>
      <c r="AC73" s="9">
        <f t="shared" si="57"/>
        <v>35</v>
      </c>
      <c r="AD73" s="9">
        <f t="shared" si="58"/>
        <v>0</v>
      </c>
      <c r="AE73" s="9">
        <f t="shared" si="59"/>
        <v>35</v>
      </c>
    </row>
    <row r="74" spans="1:31" x14ac:dyDescent="0.2">
      <c r="A74" s="7" t="s">
        <v>131</v>
      </c>
      <c r="B74" s="6" t="s">
        <v>19</v>
      </c>
      <c r="C74" s="6" t="s">
        <v>202</v>
      </c>
      <c r="F74" s="3" t="str">
        <f t="shared" si="40"/>
        <v/>
      </c>
      <c r="G74" s="6"/>
      <c r="H74" s="6">
        <v>33</v>
      </c>
      <c r="I74" s="6">
        <v>63</v>
      </c>
      <c r="J74" s="6"/>
      <c r="K74" s="6"/>
      <c r="L74" s="6"/>
      <c r="M74" s="9" t="str">
        <f t="shared" si="41"/>
        <v/>
      </c>
      <c r="N74" s="9">
        <f t="shared" si="42"/>
        <v>31</v>
      </c>
      <c r="O74" s="9">
        <f t="shared" si="43"/>
        <v>59</v>
      </c>
      <c r="P74" s="9" t="str">
        <f t="shared" si="44"/>
        <v/>
      </c>
      <c r="Q74" s="9" t="str">
        <f t="shared" si="45"/>
        <v/>
      </c>
      <c r="R74" s="9" t="str">
        <f t="shared" si="46"/>
        <v/>
      </c>
      <c r="S74" s="9" t="str">
        <f t="shared" si="47"/>
        <v/>
      </c>
      <c r="T74" s="9" t="str">
        <f t="shared" si="48"/>
        <v/>
      </c>
      <c r="U74" s="9" t="str">
        <f t="shared" si="49"/>
        <v/>
      </c>
      <c r="V74" s="9" t="str">
        <f t="shared" si="50"/>
        <v/>
      </c>
      <c r="W74" s="9" t="str">
        <f t="shared" si="51"/>
        <v/>
      </c>
      <c r="X74" s="9" t="str">
        <f t="shared" si="52"/>
        <v/>
      </c>
      <c r="Y74" s="14">
        <f t="shared" si="53"/>
        <v>0</v>
      </c>
      <c r="Z74" s="2" t="str">
        <f t="shared" si="54"/>
        <v/>
      </c>
      <c r="AA74" s="2" t="str">
        <f t="shared" si="55"/>
        <v>P</v>
      </c>
      <c r="AB74" s="14" t="str">
        <f t="shared" si="56"/>
        <v/>
      </c>
      <c r="AC74" s="9">
        <f t="shared" si="57"/>
        <v>90</v>
      </c>
      <c r="AD74" s="9">
        <f t="shared" si="58"/>
        <v>0</v>
      </c>
      <c r="AE74" s="9">
        <f t="shared" si="59"/>
        <v>31</v>
      </c>
    </row>
    <row r="75" spans="1:31" x14ac:dyDescent="0.2">
      <c r="A75" s="7" t="s">
        <v>137</v>
      </c>
      <c r="B75" s="6" t="s">
        <v>58</v>
      </c>
      <c r="C75" s="6" t="s">
        <v>201</v>
      </c>
      <c r="F75" s="3" t="str">
        <f t="shared" si="40"/>
        <v/>
      </c>
      <c r="G75" s="6">
        <v>63</v>
      </c>
      <c r="H75" s="6">
        <v>38</v>
      </c>
      <c r="I75" s="6"/>
      <c r="J75" s="6"/>
      <c r="K75" s="6"/>
      <c r="L75" s="6"/>
      <c r="M75" s="9">
        <f t="shared" si="41"/>
        <v>59</v>
      </c>
      <c r="N75" s="9">
        <f t="shared" si="42"/>
        <v>36</v>
      </c>
      <c r="O75" s="9" t="str">
        <f t="shared" si="43"/>
        <v/>
      </c>
      <c r="P75" s="9" t="str">
        <f t="shared" si="44"/>
        <v/>
      </c>
      <c r="Q75" s="9" t="str">
        <f t="shared" si="45"/>
        <v/>
      </c>
      <c r="R75" s="9" t="str">
        <f t="shared" si="46"/>
        <v/>
      </c>
      <c r="S75" s="9" t="str">
        <f t="shared" si="47"/>
        <v/>
      </c>
      <c r="T75" s="9" t="str">
        <f t="shared" si="48"/>
        <v/>
      </c>
      <c r="U75" s="9" t="str">
        <f t="shared" si="49"/>
        <v/>
      </c>
      <c r="V75" s="9" t="str">
        <f t="shared" si="50"/>
        <v/>
      </c>
      <c r="W75" s="9" t="str">
        <f t="shared" si="51"/>
        <v/>
      </c>
      <c r="X75" s="9" t="str">
        <f t="shared" si="52"/>
        <v/>
      </c>
      <c r="Y75" s="14">
        <f t="shared" si="53"/>
        <v>0</v>
      </c>
      <c r="Z75" s="2" t="str">
        <f t="shared" si="54"/>
        <v/>
      </c>
      <c r="AA75" s="2" t="str">
        <f t="shared" si="55"/>
        <v/>
      </c>
      <c r="AB75" s="14" t="str">
        <f t="shared" si="56"/>
        <v/>
      </c>
      <c r="AC75" s="9">
        <f t="shared" si="57"/>
        <v>95</v>
      </c>
      <c r="AD75" s="9">
        <f t="shared" si="58"/>
        <v>0</v>
      </c>
      <c r="AE75" s="9">
        <f t="shared" si="59"/>
        <v>36</v>
      </c>
    </row>
    <row r="76" spans="1:31" x14ac:dyDescent="0.2">
      <c r="A76" s="7" t="s">
        <v>104</v>
      </c>
      <c r="B76" s="6" t="s">
        <v>110</v>
      </c>
      <c r="C76" s="6" t="s">
        <v>205</v>
      </c>
      <c r="F76" s="3" t="str">
        <f t="shared" si="40"/>
        <v/>
      </c>
      <c r="G76" s="6">
        <v>37</v>
      </c>
      <c r="H76" s="6">
        <v>64</v>
      </c>
      <c r="I76" s="6">
        <v>42</v>
      </c>
      <c r="J76" s="6">
        <v>50</v>
      </c>
      <c r="K76" s="6"/>
      <c r="L76" s="6"/>
      <c r="M76" s="9">
        <f t="shared" si="41"/>
        <v>34</v>
      </c>
      <c r="N76" s="9">
        <f t="shared" si="42"/>
        <v>62</v>
      </c>
      <c r="O76" s="9">
        <f t="shared" si="43"/>
        <v>38</v>
      </c>
      <c r="P76" s="9">
        <f t="shared" si="44"/>
        <v>45</v>
      </c>
      <c r="Q76" s="9" t="str">
        <f t="shared" si="45"/>
        <v/>
      </c>
      <c r="R76" s="9" t="str">
        <f t="shared" si="46"/>
        <v/>
      </c>
      <c r="S76" s="9" t="str">
        <f t="shared" si="47"/>
        <v/>
      </c>
      <c r="T76" s="9" t="str">
        <f t="shared" si="48"/>
        <v/>
      </c>
      <c r="U76" s="9" t="str">
        <f t="shared" si="49"/>
        <v/>
      </c>
      <c r="V76" s="9" t="str">
        <f t="shared" si="50"/>
        <v/>
      </c>
      <c r="W76" s="9" t="str">
        <f t="shared" si="51"/>
        <v/>
      </c>
      <c r="X76" s="9" t="str">
        <f t="shared" si="52"/>
        <v/>
      </c>
      <c r="Y76" s="14">
        <f t="shared" si="53"/>
        <v>0</v>
      </c>
      <c r="Z76" s="2" t="str">
        <f t="shared" si="54"/>
        <v/>
      </c>
      <c r="AA76" s="2" t="str">
        <f t="shared" si="55"/>
        <v/>
      </c>
      <c r="AB76" s="14" t="str">
        <f t="shared" si="56"/>
        <v/>
      </c>
      <c r="AC76" s="9">
        <f t="shared" si="57"/>
        <v>179</v>
      </c>
      <c r="AD76" s="9">
        <f t="shared" si="58"/>
        <v>0</v>
      </c>
      <c r="AE76" s="9">
        <f t="shared" si="59"/>
        <v>34</v>
      </c>
    </row>
    <row r="77" spans="1:31" x14ac:dyDescent="0.2">
      <c r="A77" s="7" t="s">
        <v>187</v>
      </c>
      <c r="B77" s="6" t="s">
        <v>54</v>
      </c>
      <c r="C77" s="6" t="s">
        <v>203</v>
      </c>
      <c r="F77" s="3" t="str">
        <f t="shared" si="40"/>
        <v/>
      </c>
      <c r="G77" s="6"/>
      <c r="H77" s="6"/>
      <c r="I77" s="6">
        <v>46</v>
      </c>
      <c r="J77" s="6">
        <v>38</v>
      </c>
      <c r="K77" s="6">
        <v>55</v>
      </c>
      <c r="L77" s="6"/>
      <c r="M77" s="9" t="str">
        <f t="shared" si="41"/>
        <v/>
      </c>
      <c r="N77" s="9" t="str">
        <f t="shared" si="42"/>
        <v/>
      </c>
      <c r="O77" s="9">
        <f t="shared" si="43"/>
        <v>42</v>
      </c>
      <c r="P77" s="9">
        <f t="shared" si="44"/>
        <v>33</v>
      </c>
      <c r="Q77" s="9">
        <f t="shared" si="45"/>
        <v>51</v>
      </c>
      <c r="R77" s="9" t="str">
        <f t="shared" si="46"/>
        <v/>
      </c>
      <c r="S77" s="9" t="str">
        <f t="shared" si="47"/>
        <v/>
      </c>
      <c r="T77" s="9" t="str">
        <f t="shared" si="48"/>
        <v/>
      </c>
      <c r="U77" s="9" t="str">
        <f t="shared" si="49"/>
        <v/>
      </c>
      <c r="V77" s="9" t="str">
        <f t="shared" si="50"/>
        <v/>
      </c>
      <c r="W77" s="9" t="str">
        <f t="shared" si="51"/>
        <v/>
      </c>
      <c r="X77" s="9" t="str">
        <f t="shared" si="52"/>
        <v/>
      </c>
      <c r="Y77" s="14">
        <f t="shared" si="53"/>
        <v>0</v>
      </c>
      <c r="Z77" s="2" t="str">
        <f t="shared" si="54"/>
        <v/>
      </c>
      <c r="AA77" s="2" t="str">
        <f t="shared" si="55"/>
        <v/>
      </c>
      <c r="AB77" s="14" t="str">
        <f t="shared" si="56"/>
        <v/>
      </c>
      <c r="AC77" s="9">
        <f t="shared" si="57"/>
        <v>126</v>
      </c>
      <c r="AD77" s="9">
        <f t="shared" si="58"/>
        <v>0</v>
      </c>
      <c r="AE77" s="9">
        <f t="shared" si="59"/>
        <v>33</v>
      </c>
    </row>
    <row r="78" spans="1:31" x14ac:dyDescent="0.2">
      <c r="F78" s="3"/>
      <c r="G78" s="6"/>
      <c r="H78" s="6"/>
      <c r="I78" s="6"/>
      <c r="J78" s="6"/>
      <c r="K78" s="6"/>
      <c r="L78" s="6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</row>
    <row r="79" spans="1:31" x14ac:dyDescent="0.2">
      <c r="F79" s="3"/>
      <c r="G79" s="6"/>
      <c r="H79" s="6"/>
      <c r="I79" s="6"/>
      <c r="J79" s="6"/>
      <c r="K79" s="6"/>
      <c r="L79" s="6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</row>
    <row r="80" spans="1:31" x14ac:dyDescent="0.2">
      <c r="F80" s="3"/>
      <c r="G80" s="6"/>
      <c r="H80" s="6"/>
      <c r="I80" s="6"/>
      <c r="J80" s="6"/>
      <c r="K80" s="6"/>
      <c r="L80" s="6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</row>
    <row r="81" spans="6:25" x14ac:dyDescent="0.2">
      <c r="F81" s="3"/>
      <c r="G81" s="6"/>
      <c r="H81" s="6"/>
      <c r="I81" s="6"/>
      <c r="J81" s="6"/>
      <c r="K81" s="6"/>
      <c r="L81" s="6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</row>
    <row r="82" spans="6:25" x14ac:dyDescent="0.2">
      <c r="F82" s="3"/>
      <c r="G82" s="6"/>
      <c r="H82" s="6"/>
      <c r="I82" s="6"/>
      <c r="J82" s="6"/>
      <c r="K82" s="6"/>
      <c r="L82" s="6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</row>
    <row r="83" spans="6:25" x14ac:dyDescent="0.2">
      <c r="F83" s="3"/>
      <c r="G83" s="6"/>
      <c r="H83" s="6"/>
      <c r="I83" s="6"/>
      <c r="J83" s="6"/>
      <c r="K83" s="6"/>
      <c r="L83" s="6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</row>
    <row r="84" spans="6:25" x14ac:dyDescent="0.2">
      <c r="F84" s="3"/>
      <c r="G84" s="6"/>
      <c r="H84" s="6"/>
      <c r="I84" s="6"/>
      <c r="J84" s="6"/>
      <c r="K84" s="6"/>
      <c r="L84" s="6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</row>
    <row r="85" spans="6:25" x14ac:dyDescent="0.2">
      <c r="F85" s="3"/>
      <c r="G85" s="6"/>
      <c r="H85" s="6"/>
      <c r="I85" s="6"/>
      <c r="J85" s="6"/>
      <c r="K85" s="6"/>
      <c r="L85" s="6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</row>
    <row r="86" spans="6:25" x14ac:dyDescent="0.2">
      <c r="F86" s="3"/>
      <c r="G86" s="6"/>
      <c r="H86" s="6"/>
      <c r="I86" s="6"/>
      <c r="J86" s="6"/>
      <c r="K86" s="6"/>
      <c r="L86" s="6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</row>
    <row r="87" spans="6:25" x14ac:dyDescent="0.2">
      <c r="F87" s="3"/>
      <c r="G87" s="6"/>
      <c r="H87" s="6"/>
      <c r="I87" s="6"/>
      <c r="J87" s="6"/>
      <c r="K87" s="6"/>
      <c r="L87" s="6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</row>
    <row r="88" spans="6:25" x14ac:dyDescent="0.2">
      <c r="F88" s="3"/>
      <c r="G88" s="6"/>
      <c r="H88" s="6"/>
      <c r="I88" s="6"/>
      <c r="J88" s="6"/>
      <c r="K88" s="6"/>
      <c r="L88" s="6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</row>
    <row r="89" spans="6:25" x14ac:dyDescent="0.2">
      <c r="F89" s="3"/>
      <c r="G89" s="6"/>
      <c r="H89" s="6"/>
      <c r="I89" s="6"/>
      <c r="J89" s="6"/>
      <c r="K89" s="6"/>
      <c r="L89" s="6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</row>
    <row r="90" spans="6:25" x14ac:dyDescent="0.2">
      <c r="F90" s="3"/>
      <c r="G90" s="6"/>
      <c r="H90" s="6"/>
      <c r="I90" s="6"/>
      <c r="J90" s="6"/>
      <c r="K90" s="6"/>
      <c r="L90" s="6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6:25" x14ac:dyDescent="0.2">
      <c r="F91" s="3"/>
      <c r="G91" s="6"/>
      <c r="H91" s="6"/>
      <c r="I91" s="6"/>
      <c r="J91" s="6"/>
      <c r="K91" s="6"/>
      <c r="L91" s="6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6:25" x14ac:dyDescent="0.2">
      <c r="F92" s="3"/>
      <c r="G92" s="6"/>
      <c r="H92" s="6"/>
      <c r="I92" s="6"/>
      <c r="J92" s="6"/>
      <c r="K92" s="6"/>
      <c r="L92" s="6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6:25" x14ac:dyDescent="0.2">
      <c r="F93" s="3"/>
      <c r="G93" s="6"/>
      <c r="H93" s="6"/>
      <c r="I93" s="6"/>
      <c r="J93" s="6"/>
      <c r="K93" s="6"/>
      <c r="L93" s="6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6:25" x14ac:dyDescent="0.2">
      <c r="F94" s="3"/>
      <c r="G94" s="6"/>
      <c r="H94" s="6"/>
      <c r="I94" s="6"/>
      <c r="J94" s="6"/>
      <c r="K94" s="6"/>
      <c r="L94" s="6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6:25" x14ac:dyDescent="0.2">
      <c r="F95" s="3"/>
      <c r="G95" s="6"/>
      <c r="H95" s="6"/>
      <c r="I95" s="6"/>
      <c r="J95" s="6"/>
      <c r="K95" s="6"/>
      <c r="L95" s="6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6:25" x14ac:dyDescent="0.2">
      <c r="F96" s="3"/>
      <c r="G96" s="6"/>
      <c r="H96" s="6"/>
      <c r="I96" s="6"/>
      <c r="J96" s="6"/>
      <c r="K96" s="6"/>
      <c r="L96" s="6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</row>
    <row r="97" spans="6:25" x14ac:dyDescent="0.2">
      <c r="F97" s="3"/>
      <c r="G97" s="6"/>
      <c r="H97" s="6"/>
      <c r="I97" s="6"/>
      <c r="J97" s="6"/>
      <c r="K97" s="6"/>
      <c r="L97" s="6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</row>
    <row r="98" spans="6:25" x14ac:dyDescent="0.2">
      <c r="F98" s="3"/>
      <c r="G98" s="6"/>
      <c r="H98" s="6"/>
      <c r="I98" s="6"/>
      <c r="J98" s="6"/>
      <c r="K98" s="6"/>
      <c r="L98" s="6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</row>
    <row r="99" spans="6:25" x14ac:dyDescent="0.2">
      <c r="F99" s="3"/>
      <c r="G99" s="6"/>
      <c r="H99" s="6"/>
      <c r="I99" s="6"/>
      <c r="J99" s="6"/>
      <c r="K99" s="6"/>
      <c r="L99" s="6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</row>
    <row r="100" spans="6:25" x14ac:dyDescent="0.2">
      <c r="F100" s="3"/>
      <c r="G100" s="6"/>
      <c r="H100" s="6"/>
      <c r="I100" s="6"/>
      <c r="J100" s="6"/>
      <c r="K100" s="6"/>
      <c r="L100" s="6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</row>
    <row r="101" spans="6:25" x14ac:dyDescent="0.2">
      <c r="F101" s="3"/>
      <c r="G101" s="6"/>
      <c r="H101" s="6"/>
      <c r="I101" s="6"/>
      <c r="J101" s="6"/>
      <c r="K101" s="6"/>
      <c r="L101" s="6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</row>
    <row r="102" spans="6:25" x14ac:dyDescent="0.2">
      <c r="F102" s="3"/>
      <c r="G102" s="6"/>
      <c r="H102" s="6"/>
      <c r="I102" s="6"/>
      <c r="J102" s="6"/>
      <c r="K102" s="6"/>
      <c r="L102" s="6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</row>
  </sheetData>
  <sheetProtection sheet="1" selectLockedCells="1"/>
  <mergeCells count="17">
    <mergeCell ref="AF1:AK2"/>
    <mergeCell ref="AC1:AC2"/>
    <mergeCell ref="AD1:AD2"/>
    <mergeCell ref="AE1:AE2"/>
    <mergeCell ref="AB1:AB2"/>
    <mergeCell ref="G1:L1"/>
    <mergeCell ref="A1:A2"/>
    <mergeCell ref="B1:B2"/>
    <mergeCell ref="D1:D2"/>
    <mergeCell ref="E1:E2"/>
    <mergeCell ref="F1:F2"/>
    <mergeCell ref="C1:C2"/>
    <mergeCell ref="M1:R1"/>
    <mergeCell ref="S1:X1"/>
    <mergeCell ref="Y1:Y2"/>
    <mergeCell ref="Z1:Z2"/>
    <mergeCell ref="AA1:AA2"/>
  </mergeCells>
  <conditionalFormatting sqref="A1:C1 A3:C1048576 A2:B2">
    <cfRule type="expression" dxfId="11" priority="5">
      <formula>IF(OR($D1="P",$E1="P"),1,0)</formula>
    </cfRule>
    <cfRule type="expression" dxfId="10" priority="7">
      <formula>IF(AND($F1&lt;&gt;"",$F1&lt;=14),1,0)</formula>
    </cfRule>
  </conditionalFormatting>
  <conditionalFormatting sqref="D3:AB102">
    <cfRule type="expression" dxfId="9" priority="4">
      <formula>IF(AND($A3&lt;&gt;"",MOD(ROW(),2)=0),1,0)</formula>
    </cfRule>
    <cfRule type="expression" dxfId="8" priority="8">
      <formula>IF(AND($A3&lt;&gt;"",MOD(ROW(),2)=1),1,0)</formula>
    </cfRule>
  </conditionalFormatting>
  <conditionalFormatting sqref="L3:L102 X3:X102 R3:R102 F3:F102">
    <cfRule type="expression" dxfId="7" priority="3">
      <formula>IF($A3&lt;&gt;"",1,0)</formula>
    </cfRule>
  </conditionalFormatting>
  <conditionalFormatting sqref="AC3:AE77">
    <cfRule type="expression" dxfId="6" priority="1">
      <formula>IF(AND($A3&lt;&gt;"",MOD(ROW(),2)=0),1,0)</formula>
    </cfRule>
    <cfRule type="expression" dxfId="5" priority="2">
      <formula>IF(AND($A3&lt;&gt;"",MOD(ROW(),2)=1),1,0)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00000000-000E-0000-0100-000006000000}">
            <xm:f>IF(AND($F1&lt;&gt;"",$F1&lt;=14-COUNTIF(Macros!$G$6:$K$6,"=0")),1,0)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A3:C1048576 A2:B2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A1:L13"/>
  <sheetViews>
    <sheetView zoomScaleNormal="100" workbookViewId="0"/>
  </sheetViews>
  <sheetFormatPr baseColWidth="10" defaultRowHeight="16" x14ac:dyDescent="0.2"/>
  <cols>
    <col min="1" max="1" width="11.33203125" customWidth="1"/>
    <col min="7" max="11" width="0" hidden="1" customWidth="1"/>
  </cols>
  <sheetData>
    <row r="1" spans="1:12" x14ac:dyDescent="0.2">
      <c r="B1" t="s">
        <v>178</v>
      </c>
    </row>
    <row r="2" spans="1:12" x14ac:dyDescent="0.2">
      <c r="B2" t="s">
        <v>179</v>
      </c>
    </row>
    <row r="4" spans="1:12" x14ac:dyDescent="0.2">
      <c r="A4" s="9"/>
      <c r="B4" s="9" t="s">
        <v>205</v>
      </c>
      <c r="C4" s="9" t="s">
        <v>203</v>
      </c>
      <c r="D4" s="9" t="s">
        <v>201</v>
      </c>
      <c r="E4" s="9" t="s">
        <v>202</v>
      </c>
      <c r="F4" s="9" t="s">
        <v>204</v>
      </c>
      <c r="G4" s="15" t="s">
        <v>205</v>
      </c>
      <c r="H4" s="15" t="s">
        <v>203</v>
      </c>
      <c r="I4" s="15" t="s">
        <v>201</v>
      </c>
      <c r="J4" s="15" t="s">
        <v>202</v>
      </c>
      <c r="K4" s="15" t="s">
        <v>204</v>
      </c>
    </row>
    <row r="5" spans="1:12" x14ac:dyDescent="0.2">
      <c r="A5" s="9" t="s">
        <v>207</v>
      </c>
      <c r="B5" s="9">
        <f>COUNTIFS(Women!$D:$D,"P",Women!$C:$C,Macros!B$4)+COUNTIFS(Women!$E:$E,"P",Women!$C:$C,Macros!B$4)+COUNTIFS(Women!$F:$F,"&lt;=14",Women!$C:$C,Macros!B$4)</f>
        <v>0</v>
      </c>
      <c r="C5" s="9">
        <f>COUNTIFS(Women!$D:$D,"P",Women!$C:$C,Macros!C$4)+COUNTIFS(Women!$E:$E,"P",Women!$C:$C,Macros!C$4)+COUNTIFS(Women!$F:$F,"&lt;=14",Women!$C:$C,Macros!C$4)</f>
        <v>3</v>
      </c>
      <c r="D5" s="9">
        <f>COUNTIFS(Women!$D:$D,"P",Women!$C:$C,Macros!D$4)+COUNTIFS(Women!$E:$E,"P",Women!$C:$C,Macros!D$4)+COUNTIFS(Women!$F:$F,"&lt;=14",Women!$C:$C,Macros!D$4)</f>
        <v>4</v>
      </c>
      <c r="E5" s="9">
        <f>COUNTIFS(Women!$D:$D,"P",Women!$C:$C,Macros!E$4)+COUNTIFS(Women!$E:$E,"P",Women!$C:$C,Macros!E$4)+COUNTIFS(Women!$F:$F,"&lt;=14",Women!$C:$C,Macros!E$4)</f>
        <v>6</v>
      </c>
      <c r="F5" s="9">
        <f>COUNTIFS(Women!$D:$D,"P",Women!$C:$C,Macros!F$4)+COUNTIFS(Women!$E:$E,"P",Women!$C:$C,Macros!F$4)+COUNTIFS(Women!$F:$F,"&lt;=14",Women!$C:$C,Macros!F$4)</f>
        <v>1</v>
      </c>
      <c r="G5" s="15">
        <f>COUNTIFS(Women!$D:$D,"P",Women!$C:$C,Macros!G$4)+COUNTIFS(Women!$E:$E,"P",Women!$C:$C,Macros!G$4)+COUNTIFS(Women!$F:$F,"&lt;="&amp;14-COUNTIF($B5:$F5,0),Women!$C:$C,Macros!G$4)</f>
        <v>0</v>
      </c>
      <c r="H5" s="15">
        <f>COUNTIFS(Women!$D:$D,"P",Women!$C:$C,Macros!H$4)+COUNTIFS(Women!$E:$E,"P",Women!$C:$C,Macros!H$4)+COUNTIFS(Women!$F:$F,"&lt;="&amp;14-COUNTIF($B5:$F5,0),Women!$C:$C,Macros!H$4)</f>
        <v>2</v>
      </c>
      <c r="I5" s="15">
        <f>COUNTIFS(Women!$D:$D,"P",Women!$C:$C,Macros!I$4)+COUNTIFS(Women!$E:$E,"P",Women!$C:$C,Macros!I$4)+COUNTIFS(Women!$F:$F,"&lt;="&amp;14-COUNTIF($B5:$F5,0),Women!$C:$C,Macros!I$4)</f>
        <v>4</v>
      </c>
      <c r="J5" s="15">
        <f>COUNTIFS(Women!$D:$D,"P",Women!$C:$C,Macros!J$4)+COUNTIFS(Women!$E:$E,"P",Women!$C:$C,Macros!J$4)+COUNTIFS(Women!$F:$F,"&lt;="&amp;14-COUNTIF($B5:$F5,0),Women!$C:$C,Macros!J$4)</f>
        <v>6</v>
      </c>
      <c r="K5" s="15">
        <f>COUNTIFS(Women!$D:$D,"P",Women!$C:$C,Macros!K$4)+COUNTIFS(Women!$E:$E,"P",Women!$C:$C,Macros!K$4)+COUNTIFS(Women!$F:$F,"&lt;="&amp;14-COUNTIF($B5:$F5,0),Women!$C:$C,Macros!K$4)</f>
        <v>1</v>
      </c>
    </row>
    <row r="6" spans="1:12" x14ac:dyDescent="0.2">
      <c r="A6" s="9" t="s">
        <v>206</v>
      </c>
      <c r="B6" s="9">
        <f>COUNTIFS(Men!$D:$D,"P",Men!$C:$C,Macros!B$4)+COUNTIFS(Men!$E:$E,"P",Men!$C:$C,Macros!B$4)+COUNTIFS(Men!$F:$F,"&lt;=14",Men!$C:$C,Macros!B$4)</f>
        <v>0</v>
      </c>
      <c r="C6" s="9">
        <f>COUNTIFS(Men!$D:$D,"P",Men!$C:$C,Macros!C$4)+COUNTIFS(Men!$E:$E,"P",Men!$C:$C,Macros!C$4)+COUNTIFS(Men!$F:$F,"&lt;=14",Men!$C:$C,Macros!C$4)</f>
        <v>0</v>
      </c>
      <c r="D6" s="9">
        <f>COUNTIFS(Men!$D:$D,"P",Men!$C:$C,Macros!D$4)+COUNTIFS(Men!$E:$E,"P",Men!$C:$C,Macros!D$4)+COUNTIFS(Men!$F:$F,"&lt;=14",Men!$C:$C,Macros!D$4)</f>
        <v>5</v>
      </c>
      <c r="E6" s="9">
        <f>COUNTIFS(Men!$D:$D,"P",Men!$C:$C,Macros!E$4)+COUNTIFS(Men!$E:$E,"P",Men!$C:$C,Macros!E$4)+COUNTIFS(Men!$F:$F,"&lt;=14",Men!$C:$C,Macros!E$4)</f>
        <v>7</v>
      </c>
      <c r="F6" s="9">
        <f>COUNTIFS(Men!$D:$D,"P",Men!$C:$C,Macros!F$4)+COUNTIFS(Men!$E:$E,"P",Men!$C:$C,Macros!F$4)+COUNTIFS(Men!$F:$F,"&lt;=14",Men!$C:$C,Macros!F$4)</f>
        <v>2</v>
      </c>
      <c r="G6" s="15">
        <f>COUNTIFS(Men!$D:$D,"P",Men!$C:$C,Macros!G$4)+COUNTIFS(Men!$E:$E,"P",Men!$C:$C,Macros!G$4)+COUNTIFS(Men!$F:$F,"&lt;="&amp;14-COUNTIF($B6:$F6,0),Men!$C:$C,Macros!G$4)</f>
        <v>0</v>
      </c>
      <c r="H6" s="15">
        <f>COUNTIFS(Men!$D:$D,"P",Men!$C:$C,Macros!H$4)+COUNTIFS(Men!$E:$E,"P",Men!$C:$C,Macros!H$4)+COUNTIFS(Men!$F:$F,"&lt;="&amp;14-COUNTIF($B6:$F6,0),Men!$C:$C,Macros!H$4)</f>
        <v>0</v>
      </c>
      <c r="I6" s="15">
        <f>COUNTIFS(Men!$D:$D,"P",Men!$C:$C,Macros!I$4)+COUNTIFS(Men!$E:$E,"P",Men!$C:$C,Macros!I$4)+COUNTIFS(Men!$F:$F,"&lt;="&amp;14-COUNTIF($B6:$F6,0),Men!$C:$C,Macros!I$4)</f>
        <v>5</v>
      </c>
      <c r="J6" s="15">
        <f>COUNTIFS(Men!$D:$D,"P",Men!$C:$C,Macros!J$4)+COUNTIFS(Men!$E:$E,"P",Men!$C:$C,Macros!J$4)+COUNTIFS(Men!$F:$F,"&lt;="&amp;14-COUNTIF($B6:$F6,0),Men!$C:$C,Macros!J$4)</f>
        <v>5</v>
      </c>
      <c r="K6" s="15">
        <f>COUNTIFS(Men!$D:$D,"P",Men!$C:$C,Macros!K$4)+COUNTIFS(Men!$E:$E,"P",Men!$C:$C,Macros!K$4)+COUNTIFS(Men!$F:$F,"&lt;="&amp;14-COUNTIF($B6:$F6,0),Men!$C:$C,Macros!K$4)</f>
        <v>2</v>
      </c>
    </row>
    <row r="8" spans="1:12" x14ac:dyDescent="0.2">
      <c r="A8" s="24" t="s">
        <v>208</v>
      </c>
      <c r="B8" s="24"/>
      <c r="C8" s="24"/>
      <c r="D8" s="24"/>
    </row>
    <row r="9" spans="1:12" x14ac:dyDescent="0.2">
      <c r="A9" s="24" t="s">
        <v>209</v>
      </c>
      <c r="B9" s="24"/>
      <c r="C9" s="24"/>
      <c r="D9" s="24"/>
    </row>
    <row r="10" spans="1:12" x14ac:dyDescent="0.2">
      <c r="A10" s="24" t="s">
        <v>210</v>
      </c>
      <c r="B10" s="24"/>
      <c r="C10" s="24"/>
      <c r="D10" s="24"/>
    </row>
    <row r="13" spans="1:12" x14ac:dyDescent="0.2">
      <c r="L13" s="7"/>
    </row>
  </sheetData>
  <sheetProtection sheet="1" objects="1" scenarios="1"/>
  <mergeCells count="3">
    <mergeCell ref="A8:D8"/>
    <mergeCell ref="A9:D9"/>
    <mergeCell ref="A10:D10"/>
  </mergeCells>
  <conditionalFormatting sqref="A8:D8">
    <cfRule type="expression" dxfId="3" priority="4">
      <formula>1</formula>
    </cfRule>
  </conditionalFormatting>
  <conditionalFormatting sqref="A9:D9">
    <cfRule type="expression" dxfId="2" priority="3">
      <formula>1</formula>
    </cfRule>
  </conditionalFormatting>
  <conditionalFormatting sqref="A10:D10">
    <cfRule type="expression" dxfId="1" priority="2">
      <formula>1</formula>
    </cfRule>
  </conditionalFormatting>
  <conditionalFormatting sqref="B5:F6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Women</vt:lpstr>
      <vt:lpstr>Men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2021-03-10T20:27:23Z</dcterms:modified>
</cp:coreProperties>
</file>