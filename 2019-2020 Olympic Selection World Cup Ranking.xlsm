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"/>
    </mc:Choice>
  </mc:AlternateContent>
  <xr:revisionPtr revIDLastSave="0" documentId="13_ncr:1_{C4073E55-212F-EB49-BDA5-24046F9471D5}" xr6:coauthVersionLast="45" xr6:coauthVersionMax="45" xr10:uidLastSave="{00000000-0000-0000-0000-000000000000}"/>
  <bookViews>
    <workbookView xWindow="0" yWindow="460" windowWidth="25600" windowHeight="13940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Men!$A$1:$AJ$2</definedName>
    <definedName name="_xlnm._FilterDatabase" localSheetId="0" hidden="1">Women!$A$1:$AJ$2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8" i="1" l="1"/>
  <c r="R8" i="1" s="1"/>
  <c r="M8" i="1"/>
  <c r="S8" i="1" s="1"/>
  <c r="N8" i="1"/>
  <c r="T8" i="1" s="1"/>
  <c r="O8" i="1"/>
  <c r="U8" i="1" s="1"/>
  <c r="P8" i="1"/>
  <c r="V8" i="1" s="1"/>
  <c r="Q8" i="1"/>
  <c r="W8" i="1" s="1"/>
  <c r="X8" i="1" l="1"/>
  <c r="Y8" i="1" s="1"/>
  <c r="L45" i="1"/>
  <c r="M45" i="1"/>
  <c r="S45" i="1" s="1"/>
  <c r="N45" i="1"/>
  <c r="T45" i="1" s="1"/>
  <c r="O45" i="1"/>
  <c r="U45" i="1" s="1"/>
  <c r="P45" i="1"/>
  <c r="V45" i="1" s="1"/>
  <c r="Q45" i="1"/>
  <c r="W45" i="1" s="1"/>
  <c r="L54" i="1"/>
  <c r="R54" i="1" s="1"/>
  <c r="M54" i="1"/>
  <c r="S54" i="1" s="1"/>
  <c r="N54" i="1"/>
  <c r="T54" i="1" s="1"/>
  <c r="O54" i="1"/>
  <c r="P54" i="1"/>
  <c r="V54" i="1" s="1"/>
  <c r="Q54" i="1"/>
  <c r="W54" i="1" s="1"/>
  <c r="L65" i="1"/>
  <c r="R65" i="1" s="1"/>
  <c r="M65" i="1"/>
  <c r="S65" i="1" s="1"/>
  <c r="N65" i="1"/>
  <c r="T65" i="1" s="1"/>
  <c r="O65" i="1"/>
  <c r="U65" i="1" s="1"/>
  <c r="P65" i="1"/>
  <c r="V65" i="1" s="1"/>
  <c r="Q65" i="1"/>
  <c r="W65" i="1" s="1"/>
  <c r="L60" i="1"/>
  <c r="M60" i="1"/>
  <c r="S60" i="1" s="1"/>
  <c r="N60" i="1"/>
  <c r="T60" i="1" s="1"/>
  <c r="O60" i="1"/>
  <c r="U60" i="1" s="1"/>
  <c r="P60" i="1"/>
  <c r="V60" i="1" s="1"/>
  <c r="Q60" i="1"/>
  <c r="W60" i="1" s="1"/>
  <c r="Z8" i="1" l="1"/>
  <c r="AB54" i="1"/>
  <c r="AC60" i="1"/>
  <c r="AD54" i="1"/>
  <c r="X65" i="1"/>
  <c r="Z65" i="1" s="1"/>
  <c r="AC45" i="1"/>
  <c r="AD65" i="1"/>
  <c r="AB45" i="1"/>
  <c r="R60" i="1"/>
  <c r="X60" i="1" s="1"/>
  <c r="AC65" i="1"/>
  <c r="AB65" i="1"/>
  <c r="AB60" i="1"/>
  <c r="R45" i="1"/>
  <c r="AC54" i="1"/>
  <c r="U54" i="1"/>
  <c r="AD60" i="1"/>
  <c r="AD45" i="1"/>
  <c r="L19" i="6"/>
  <c r="R19" i="6" s="1"/>
  <c r="M19" i="6"/>
  <c r="S19" i="6" s="1"/>
  <c r="N19" i="6"/>
  <c r="T19" i="6" s="1"/>
  <c r="O19" i="6"/>
  <c r="U19" i="6" s="1"/>
  <c r="P19" i="6"/>
  <c r="V19" i="6" s="1"/>
  <c r="Q19" i="6"/>
  <c r="W19" i="6" s="1"/>
  <c r="L7" i="6"/>
  <c r="R7" i="6" s="1"/>
  <c r="M7" i="6"/>
  <c r="S7" i="6" s="1"/>
  <c r="N7" i="6"/>
  <c r="T7" i="6" s="1"/>
  <c r="O7" i="6"/>
  <c r="U7" i="6" s="1"/>
  <c r="P7" i="6"/>
  <c r="V7" i="6" s="1"/>
  <c r="Q7" i="6"/>
  <c r="W7" i="6" s="1"/>
  <c r="L42" i="6"/>
  <c r="M42" i="6"/>
  <c r="N42" i="6"/>
  <c r="T42" i="6" s="1"/>
  <c r="O42" i="6"/>
  <c r="U42" i="6" s="1"/>
  <c r="P42" i="6"/>
  <c r="V42" i="6" s="1"/>
  <c r="Q42" i="6"/>
  <c r="W42" i="6" s="1"/>
  <c r="L45" i="6"/>
  <c r="R45" i="6" s="1"/>
  <c r="M45" i="6"/>
  <c r="S45" i="6" s="1"/>
  <c r="N45" i="6"/>
  <c r="T45" i="6" s="1"/>
  <c r="O45" i="6"/>
  <c r="U45" i="6" s="1"/>
  <c r="P45" i="6"/>
  <c r="V45" i="6" s="1"/>
  <c r="Q45" i="6"/>
  <c r="W45" i="6" s="1"/>
  <c r="L26" i="6"/>
  <c r="R26" i="6" s="1"/>
  <c r="M26" i="6"/>
  <c r="S26" i="6" s="1"/>
  <c r="N26" i="6"/>
  <c r="T26" i="6" s="1"/>
  <c r="O26" i="6"/>
  <c r="U26" i="6" s="1"/>
  <c r="P26" i="6"/>
  <c r="V26" i="6" s="1"/>
  <c r="Q26" i="6"/>
  <c r="W26" i="6" s="1"/>
  <c r="L28" i="6"/>
  <c r="M28" i="6"/>
  <c r="S28" i="6" s="1"/>
  <c r="N28" i="6"/>
  <c r="T28" i="6" s="1"/>
  <c r="O28" i="6"/>
  <c r="U28" i="6" s="1"/>
  <c r="P28" i="6"/>
  <c r="V28" i="6" s="1"/>
  <c r="Q28" i="6"/>
  <c r="W28" i="6" s="1"/>
  <c r="L39" i="6"/>
  <c r="R39" i="6" s="1"/>
  <c r="M39" i="6"/>
  <c r="N39" i="6"/>
  <c r="T39" i="6" s="1"/>
  <c r="O39" i="6"/>
  <c r="U39" i="6" s="1"/>
  <c r="P39" i="6"/>
  <c r="V39" i="6" s="1"/>
  <c r="Q39" i="6"/>
  <c r="W39" i="6" s="1"/>
  <c r="L51" i="6"/>
  <c r="R51" i="6" s="1"/>
  <c r="M51" i="6"/>
  <c r="S51" i="6" s="1"/>
  <c r="N51" i="6"/>
  <c r="O51" i="6"/>
  <c r="U51" i="6" s="1"/>
  <c r="P51" i="6"/>
  <c r="V51" i="6" s="1"/>
  <c r="Q51" i="6"/>
  <c r="W51" i="6" s="1"/>
  <c r="L57" i="6"/>
  <c r="R57" i="6" s="1"/>
  <c r="M57" i="6"/>
  <c r="N57" i="6"/>
  <c r="T57" i="6" s="1"/>
  <c r="O57" i="6"/>
  <c r="U57" i="6" s="1"/>
  <c r="P57" i="6"/>
  <c r="V57" i="6" s="1"/>
  <c r="Q57" i="6"/>
  <c r="W57" i="6" s="1"/>
  <c r="L47" i="6"/>
  <c r="R47" i="6" s="1"/>
  <c r="M47" i="6"/>
  <c r="S47" i="6" s="1"/>
  <c r="N47" i="6"/>
  <c r="T47" i="6" s="1"/>
  <c r="O47" i="6"/>
  <c r="U47" i="6" s="1"/>
  <c r="P47" i="6"/>
  <c r="V47" i="6" s="1"/>
  <c r="Q47" i="6"/>
  <c r="W47" i="6" s="1"/>
  <c r="L59" i="6"/>
  <c r="M59" i="6"/>
  <c r="S59" i="6" s="1"/>
  <c r="N59" i="6"/>
  <c r="T59" i="6" s="1"/>
  <c r="O59" i="6"/>
  <c r="U59" i="6" s="1"/>
  <c r="P59" i="6"/>
  <c r="V59" i="6" s="1"/>
  <c r="Q59" i="6"/>
  <c r="W59" i="6" s="1"/>
  <c r="L54" i="6"/>
  <c r="R54" i="6" s="1"/>
  <c r="M54" i="6"/>
  <c r="S54" i="6" s="1"/>
  <c r="N54" i="6"/>
  <c r="T54" i="6" s="1"/>
  <c r="O54" i="6"/>
  <c r="U54" i="6" s="1"/>
  <c r="P54" i="6"/>
  <c r="V54" i="6" s="1"/>
  <c r="Q54" i="6"/>
  <c r="W54" i="6" s="1"/>
  <c r="L65" i="6"/>
  <c r="R65" i="6" s="1"/>
  <c r="M65" i="6"/>
  <c r="S65" i="6" s="1"/>
  <c r="N65" i="6"/>
  <c r="T65" i="6" s="1"/>
  <c r="O65" i="6"/>
  <c r="U65" i="6" s="1"/>
  <c r="P65" i="6"/>
  <c r="V65" i="6" s="1"/>
  <c r="Q65" i="6"/>
  <c r="W65" i="6" s="1"/>
  <c r="L24" i="1"/>
  <c r="M24" i="1"/>
  <c r="S24" i="1" s="1"/>
  <c r="N24" i="1"/>
  <c r="T24" i="1" s="1"/>
  <c r="O24" i="1"/>
  <c r="U24" i="1" s="1"/>
  <c r="P24" i="1"/>
  <c r="V24" i="1" s="1"/>
  <c r="Q24" i="1"/>
  <c r="W24" i="1" s="1"/>
  <c r="L7" i="1"/>
  <c r="R7" i="1" s="1"/>
  <c r="M7" i="1"/>
  <c r="S7" i="1" s="1"/>
  <c r="N7" i="1"/>
  <c r="T7" i="1" s="1"/>
  <c r="O7" i="1"/>
  <c r="U7" i="1" s="1"/>
  <c r="P7" i="1"/>
  <c r="V7" i="1" s="1"/>
  <c r="Q7" i="1"/>
  <c r="W7" i="1" s="1"/>
  <c r="L44" i="1"/>
  <c r="R44" i="1" s="1"/>
  <c r="M44" i="1"/>
  <c r="N44" i="1"/>
  <c r="T44" i="1" s="1"/>
  <c r="O44" i="1"/>
  <c r="U44" i="1" s="1"/>
  <c r="P44" i="1"/>
  <c r="V44" i="1" s="1"/>
  <c r="Q44" i="1"/>
  <c r="W44" i="1" s="1"/>
  <c r="L42" i="1"/>
  <c r="R42" i="1" s="1"/>
  <c r="M42" i="1"/>
  <c r="S42" i="1" s="1"/>
  <c r="N42" i="1"/>
  <c r="T42" i="1" s="1"/>
  <c r="O42" i="1"/>
  <c r="U42" i="1" s="1"/>
  <c r="P42" i="1"/>
  <c r="V42" i="1" s="1"/>
  <c r="Q42" i="1"/>
  <c r="W42" i="1" s="1"/>
  <c r="L52" i="1"/>
  <c r="R52" i="1" s="1"/>
  <c r="M52" i="1"/>
  <c r="S52" i="1" s="1"/>
  <c r="N52" i="1"/>
  <c r="T52" i="1" s="1"/>
  <c r="O52" i="1"/>
  <c r="U52" i="1" s="1"/>
  <c r="P52" i="1"/>
  <c r="V52" i="1" s="1"/>
  <c r="Q52" i="1"/>
  <c r="W52" i="1" s="1"/>
  <c r="L62" i="1"/>
  <c r="M62" i="1"/>
  <c r="S62" i="1" s="1"/>
  <c r="N62" i="1"/>
  <c r="T62" i="1" s="1"/>
  <c r="O62" i="1"/>
  <c r="U62" i="1" s="1"/>
  <c r="P62" i="1"/>
  <c r="V62" i="1" s="1"/>
  <c r="Q62" i="1"/>
  <c r="W62" i="1" s="1"/>
  <c r="L66" i="1"/>
  <c r="R66" i="1" s="1"/>
  <c r="M66" i="1"/>
  <c r="S66" i="1" s="1"/>
  <c r="N66" i="1"/>
  <c r="T66" i="1" s="1"/>
  <c r="O66" i="1"/>
  <c r="U66" i="1" s="1"/>
  <c r="P66" i="1"/>
  <c r="V66" i="1" s="1"/>
  <c r="Q66" i="1"/>
  <c r="W66" i="1" s="1"/>
  <c r="L63" i="1"/>
  <c r="R63" i="1" s="1"/>
  <c r="M63" i="1"/>
  <c r="N63" i="1"/>
  <c r="T63" i="1" s="1"/>
  <c r="O63" i="1"/>
  <c r="U63" i="1" s="1"/>
  <c r="P63" i="1"/>
  <c r="V63" i="1" s="1"/>
  <c r="Q63" i="1"/>
  <c r="W63" i="1" s="1"/>
  <c r="Y65" i="1" l="1"/>
  <c r="X45" i="1"/>
  <c r="Z45" i="1" s="1"/>
  <c r="X54" i="1"/>
  <c r="Z54" i="1" s="1"/>
  <c r="Y60" i="1"/>
  <c r="Z60" i="1"/>
  <c r="AD24" i="1"/>
  <c r="AC28" i="6"/>
  <c r="AD19" i="6"/>
  <c r="AB62" i="1"/>
  <c r="AC62" i="1"/>
  <c r="R24" i="1"/>
  <c r="AB63" i="1"/>
  <c r="AC42" i="1"/>
  <c r="AD44" i="1"/>
  <c r="AC44" i="1"/>
  <c r="AC42" i="6"/>
  <c r="AB57" i="6"/>
  <c r="AD42" i="6"/>
  <c r="AD59" i="6"/>
  <c r="AD51" i="6"/>
  <c r="AC39" i="6"/>
  <c r="AD45" i="6"/>
  <c r="S57" i="6"/>
  <c r="AB28" i="6"/>
  <c r="X65" i="6"/>
  <c r="AC51" i="6"/>
  <c r="AD26" i="6"/>
  <c r="AB42" i="6"/>
  <c r="AB51" i="6"/>
  <c r="T51" i="6"/>
  <c r="R28" i="6"/>
  <c r="AC26" i="6"/>
  <c r="S42" i="6"/>
  <c r="AD7" i="6"/>
  <c r="AC59" i="6"/>
  <c r="AC65" i="6"/>
  <c r="AD47" i="6"/>
  <c r="AB65" i="6"/>
  <c r="R59" i="6"/>
  <c r="AD39" i="6"/>
  <c r="AB26" i="6"/>
  <c r="R42" i="6"/>
  <c r="AC7" i="6"/>
  <c r="AB47" i="6"/>
  <c r="AB7" i="6"/>
  <c r="AD65" i="6"/>
  <c r="AB59" i="6"/>
  <c r="AB39" i="6"/>
  <c r="AC45" i="6"/>
  <c r="AC47" i="6"/>
  <c r="AD54" i="6"/>
  <c r="S39" i="6"/>
  <c r="AD28" i="6"/>
  <c r="AB45" i="6"/>
  <c r="AC19" i="6"/>
  <c r="AC54" i="6"/>
  <c r="AD57" i="6"/>
  <c r="AB54" i="6"/>
  <c r="AC57" i="6"/>
  <c r="AB19" i="6"/>
  <c r="X66" i="1"/>
  <c r="AB44" i="1"/>
  <c r="S44" i="1"/>
  <c r="AD7" i="1"/>
  <c r="AD52" i="1"/>
  <c r="AC52" i="1"/>
  <c r="S63" i="1"/>
  <c r="X63" i="1" s="1"/>
  <c r="AD66" i="1"/>
  <c r="AB52" i="1"/>
  <c r="AC7" i="1"/>
  <c r="AD42" i="1"/>
  <c r="AB7" i="1"/>
  <c r="AD63" i="1"/>
  <c r="AC63" i="1"/>
  <c r="AC66" i="1"/>
  <c r="AD62" i="1"/>
  <c r="AB42" i="1"/>
  <c r="AC24" i="1"/>
  <c r="R62" i="1"/>
  <c r="X62" i="1" s="1"/>
  <c r="AB66" i="1"/>
  <c r="AB24" i="1"/>
  <c r="L11" i="6"/>
  <c r="M11" i="6"/>
  <c r="N11" i="6"/>
  <c r="O11" i="6"/>
  <c r="P11" i="6"/>
  <c r="Q11" i="6"/>
  <c r="L12" i="6"/>
  <c r="M12" i="6"/>
  <c r="N12" i="6"/>
  <c r="O12" i="6"/>
  <c r="P12" i="6"/>
  <c r="Q12" i="6"/>
  <c r="L13" i="6"/>
  <c r="M13" i="6"/>
  <c r="N13" i="6"/>
  <c r="O13" i="6"/>
  <c r="P13" i="6"/>
  <c r="Q13" i="6"/>
  <c r="L10" i="6"/>
  <c r="M10" i="6"/>
  <c r="N10" i="6"/>
  <c r="O10" i="6"/>
  <c r="P10" i="6"/>
  <c r="Q10" i="6"/>
  <c r="L3" i="6"/>
  <c r="M3" i="6"/>
  <c r="N3" i="6"/>
  <c r="O3" i="6"/>
  <c r="P3" i="6"/>
  <c r="Q3" i="6"/>
  <c r="L15" i="6"/>
  <c r="M15" i="6"/>
  <c r="N15" i="6"/>
  <c r="O15" i="6"/>
  <c r="P15" i="6"/>
  <c r="Q15" i="6"/>
  <c r="L9" i="6"/>
  <c r="M9" i="6"/>
  <c r="N9" i="6"/>
  <c r="O9" i="6"/>
  <c r="P9" i="6"/>
  <c r="Q9" i="6"/>
  <c r="L29" i="6"/>
  <c r="M29" i="6"/>
  <c r="N29" i="6"/>
  <c r="O29" i="6"/>
  <c r="P29" i="6"/>
  <c r="Q29" i="6"/>
  <c r="L33" i="6"/>
  <c r="M33" i="6"/>
  <c r="N33" i="6"/>
  <c r="O33" i="6"/>
  <c r="P33" i="6"/>
  <c r="Q33" i="6"/>
  <c r="L35" i="6"/>
  <c r="M35" i="6"/>
  <c r="N35" i="6"/>
  <c r="O35" i="6"/>
  <c r="P35" i="6"/>
  <c r="Q35" i="6"/>
  <c r="L17" i="6"/>
  <c r="M17" i="6"/>
  <c r="N17" i="6"/>
  <c r="O17" i="6"/>
  <c r="P17" i="6"/>
  <c r="Q17" i="6"/>
  <c r="L4" i="6"/>
  <c r="M4" i="6"/>
  <c r="N4" i="6"/>
  <c r="O4" i="6"/>
  <c r="P4" i="6"/>
  <c r="Q4" i="6"/>
  <c r="L16" i="6"/>
  <c r="M16" i="6"/>
  <c r="N16" i="6"/>
  <c r="O16" i="6"/>
  <c r="P16" i="6"/>
  <c r="Q16" i="6"/>
  <c r="L14" i="6"/>
  <c r="M14" i="6"/>
  <c r="N14" i="6"/>
  <c r="O14" i="6"/>
  <c r="P14" i="6"/>
  <c r="Q14" i="6"/>
  <c r="L21" i="6"/>
  <c r="M21" i="6"/>
  <c r="N21" i="6"/>
  <c r="O21" i="6"/>
  <c r="P21" i="6"/>
  <c r="Q21" i="6"/>
  <c r="L40" i="6"/>
  <c r="M40" i="6"/>
  <c r="N40" i="6"/>
  <c r="O40" i="6"/>
  <c r="P40" i="6"/>
  <c r="Q40" i="6"/>
  <c r="L18" i="6"/>
  <c r="M18" i="6"/>
  <c r="N18" i="6"/>
  <c r="O18" i="6"/>
  <c r="P18" i="6"/>
  <c r="Q18" i="6"/>
  <c r="L6" i="6"/>
  <c r="M6" i="6"/>
  <c r="N6" i="6"/>
  <c r="O6" i="6"/>
  <c r="P6" i="6"/>
  <c r="Q6" i="6"/>
  <c r="L24" i="6"/>
  <c r="M24" i="6"/>
  <c r="N24" i="6"/>
  <c r="O24" i="6"/>
  <c r="P24" i="6"/>
  <c r="Q24" i="6"/>
  <c r="L32" i="6"/>
  <c r="M32" i="6"/>
  <c r="N32" i="6"/>
  <c r="O32" i="6"/>
  <c r="P32" i="6"/>
  <c r="Q32" i="6"/>
  <c r="L25" i="6"/>
  <c r="M25" i="6"/>
  <c r="N25" i="6"/>
  <c r="O25" i="6"/>
  <c r="P25" i="6"/>
  <c r="Q25" i="6"/>
  <c r="L31" i="6"/>
  <c r="M31" i="6"/>
  <c r="N31" i="6"/>
  <c r="O31" i="6"/>
  <c r="P31" i="6"/>
  <c r="Q31" i="6"/>
  <c r="L50" i="6"/>
  <c r="M50" i="6"/>
  <c r="N50" i="6"/>
  <c r="O50" i="6"/>
  <c r="P50" i="6"/>
  <c r="Q50" i="6"/>
  <c r="L20" i="6"/>
  <c r="M20" i="6"/>
  <c r="N20" i="6"/>
  <c r="O20" i="6"/>
  <c r="P20" i="6"/>
  <c r="Q20" i="6"/>
  <c r="L23" i="6"/>
  <c r="M23" i="6"/>
  <c r="N23" i="6"/>
  <c r="O23" i="6"/>
  <c r="P23" i="6"/>
  <c r="Q23" i="6"/>
  <c r="L37" i="6"/>
  <c r="M37" i="6"/>
  <c r="N37" i="6"/>
  <c r="O37" i="6"/>
  <c r="P37" i="6"/>
  <c r="Q37" i="6"/>
  <c r="L36" i="6"/>
  <c r="M36" i="6"/>
  <c r="N36" i="6"/>
  <c r="O36" i="6"/>
  <c r="P36" i="6"/>
  <c r="Q36" i="6"/>
  <c r="L38" i="6"/>
  <c r="M38" i="6"/>
  <c r="N38" i="6"/>
  <c r="O38" i="6"/>
  <c r="P38" i="6"/>
  <c r="Q38" i="6"/>
  <c r="L41" i="6"/>
  <c r="M41" i="6"/>
  <c r="N41" i="6"/>
  <c r="O41" i="6"/>
  <c r="P41" i="6"/>
  <c r="Q41" i="6"/>
  <c r="L58" i="6"/>
  <c r="M58" i="6"/>
  <c r="N58" i="6"/>
  <c r="O58" i="6"/>
  <c r="P58" i="6"/>
  <c r="Q58" i="6"/>
  <c r="L34" i="6"/>
  <c r="M34" i="6"/>
  <c r="N34" i="6"/>
  <c r="O34" i="6"/>
  <c r="P34" i="6"/>
  <c r="Q34" i="6"/>
  <c r="L61" i="6"/>
  <c r="M61" i="6"/>
  <c r="N61" i="6"/>
  <c r="O61" i="6"/>
  <c r="P61" i="6"/>
  <c r="Q61" i="6"/>
  <c r="L67" i="6"/>
  <c r="M67" i="6"/>
  <c r="N67" i="6"/>
  <c r="O67" i="6"/>
  <c r="P67" i="6"/>
  <c r="Q67" i="6"/>
  <c r="L55" i="6"/>
  <c r="M55" i="6"/>
  <c r="N55" i="6"/>
  <c r="O55" i="6"/>
  <c r="P55" i="6"/>
  <c r="Q55" i="6"/>
  <c r="L62" i="6"/>
  <c r="M62" i="6"/>
  <c r="N62" i="6"/>
  <c r="O62" i="6"/>
  <c r="P62" i="6"/>
  <c r="Q62" i="6"/>
  <c r="L70" i="6"/>
  <c r="M70" i="6"/>
  <c r="N70" i="6"/>
  <c r="O70" i="6"/>
  <c r="P70" i="6"/>
  <c r="Q70" i="6"/>
  <c r="L63" i="6"/>
  <c r="M63" i="6"/>
  <c r="N63" i="6"/>
  <c r="O63" i="6"/>
  <c r="P63" i="6"/>
  <c r="Q63" i="6"/>
  <c r="L5" i="6"/>
  <c r="M5" i="6"/>
  <c r="N5" i="6"/>
  <c r="O5" i="6"/>
  <c r="P5" i="6"/>
  <c r="Q5" i="6"/>
  <c r="L22" i="6"/>
  <c r="M22" i="6"/>
  <c r="N22" i="6"/>
  <c r="O22" i="6"/>
  <c r="P22" i="6"/>
  <c r="Q22" i="6"/>
  <c r="L46" i="6"/>
  <c r="M46" i="6"/>
  <c r="N46" i="6"/>
  <c r="O46" i="6"/>
  <c r="P46" i="6"/>
  <c r="Q46" i="6"/>
  <c r="L48" i="6"/>
  <c r="M48" i="6"/>
  <c r="N48" i="6"/>
  <c r="O48" i="6"/>
  <c r="P48" i="6"/>
  <c r="Q48" i="6"/>
  <c r="L27" i="6"/>
  <c r="M27" i="6"/>
  <c r="N27" i="6"/>
  <c r="O27" i="6"/>
  <c r="P27" i="6"/>
  <c r="Q27" i="6"/>
  <c r="L53" i="6"/>
  <c r="M53" i="6"/>
  <c r="N53" i="6"/>
  <c r="O53" i="6"/>
  <c r="P53" i="6"/>
  <c r="Q53" i="6"/>
  <c r="L49" i="6"/>
  <c r="M49" i="6"/>
  <c r="N49" i="6"/>
  <c r="O49" i="6"/>
  <c r="P49" i="6"/>
  <c r="Q49" i="6"/>
  <c r="L56" i="6"/>
  <c r="M56" i="6"/>
  <c r="N56" i="6"/>
  <c r="O56" i="6"/>
  <c r="P56" i="6"/>
  <c r="Q56" i="6"/>
  <c r="L44" i="6"/>
  <c r="M44" i="6"/>
  <c r="N44" i="6"/>
  <c r="O44" i="6"/>
  <c r="P44" i="6"/>
  <c r="Q44" i="6"/>
  <c r="L30" i="6"/>
  <c r="M30" i="6"/>
  <c r="N30" i="6"/>
  <c r="O30" i="6"/>
  <c r="P30" i="6"/>
  <c r="Q30" i="6"/>
  <c r="L43" i="6"/>
  <c r="M43" i="6"/>
  <c r="N43" i="6"/>
  <c r="O43" i="6"/>
  <c r="P43" i="6"/>
  <c r="Q43" i="6"/>
  <c r="L60" i="6"/>
  <c r="M60" i="6"/>
  <c r="N60" i="6"/>
  <c r="O60" i="6"/>
  <c r="P60" i="6"/>
  <c r="Q60" i="6"/>
  <c r="L68" i="6"/>
  <c r="M68" i="6"/>
  <c r="N68" i="6"/>
  <c r="O68" i="6"/>
  <c r="P68" i="6"/>
  <c r="Q68" i="6"/>
  <c r="L64" i="6"/>
  <c r="M64" i="6"/>
  <c r="N64" i="6"/>
  <c r="O64" i="6"/>
  <c r="P64" i="6"/>
  <c r="Q64" i="6"/>
  <c r="L52" i="6"/>
  <c r="M52" i="6"/>
  <c r="N52" i="6"/>
  <c r="O52" i="6"/>
  <c r="P52" i="6"/>
  <c r="Q52" i="6"/>
  <c r="L66" i="6"/>
  <c r="M66" i="6"/>
  <c r="N66" i="6"/>
  <c r="O66" i="6"/>
  <c r="P66" i="6"/>
  <c r="Q66" i="6"/>
  <c r="L69" i="6"/>
  <c r="M69" i="6"/>
  <c r="N69" i="6"/>
  <c r="O69" i="6"/>
  <c r="P69" i="6"/>
  <c r="Q69" i="6"/>
  <c r="M8" i="6"/>
  <c r="N8" i="6"/>
  <c r="O8" i="6"/>
  <c r="P8" i="6"/>
  <c r="Q8" i="6"/>
  <c r="L8" i="6"/>
  <c r="L4" i="1"/>
  <c r="M4" i="1"/>
  <c r="N4" i="1"/>
  <c r="O4" i="1"/>
  <c r="P4" i="1"/>
  <c r="Q4" i="1"/>
  <c r="L17" i="1"/>
  <c r="M17" i="1"/>
  <c r="N17" i="1"/>
  <c r="O17" i="1"/>
  <c r="P17" i="1"/>
  <c r="Q17" i="1"/>
  <c r="L20" i="1"/>
  <c r="M20" i="1"/>
  <c r="N20" i="1"/>
  <c r="O20" i="1"/>
  <c r="P20" i="1"/>
  <c r="Q20" i="1"/>
  <c r="L14" i="1"/>
  <c r="M14" i="1"/>
  <c r="N14" i="1"/>
  <c r="O14" i="1"/>
  <c r="P14" i="1"/>
  <c r="Q14" i="1"/>
  <c r="L13" i="1"/>
  <c r="M13" i="1"/>
  <c r="N13" i="1"/>
  <c r="O13" i="1"/>
  <c r="P13" i="1"/>
  <c r="Q13" i="1"/>
  <c r="L18" i="1"/>
  <c r="M18" i="1"/>
  <c r="N18" i="1"/>
  <c r="O18" i="1"/>
  <c r="P18" i="1"/>
  <c r="Q18" i="1"/>
  <c r="L12" i="1"/>
  <c r="M12" i="1"/>
  <c r="N12" i="1"/>
  <c r="O12" i="1"/>
  <c r="P12" i="1"/>
  <c r="Q12" i="1"/>
  <c r="L10" i="1"/>
  <c r="M10" i="1"/>
  <c r="N10" i="1"/>
  <c r="O10" i="1"/>
  <c r="P10" i="1"/>
  <c r="Q10" i="1"/>
  <c r="L6" i="1"/>
  <c r="M6" i="1"/>
  <c r="N6" i="1"/>
  <c r="O6" i="1"/>
  <c r="P6" i="1"/>
  <c r="Q6" i="1"/>
  <c r="L11" i="1"/>
  <c r="M11" i="1"/>
  <c r="N11" i="1"/>
  <c r="O11" i="1"/>
  <c r="P11" i="1"/>
  <c r="Q11" i="1"/>
  <c r="L21" i="1"/>
  <c r="M21" i="1"/>
  <c r="N21" i="1"/>
  <c r="O21" i="1"/>
  <c r="P21" i="1"/>
  <c r="Q21" i="1"/>
  <c r="L16" i="1"/>
  <c r="M16" i="1"/>
  <c r="N16" i="1"/>
  <c r="O16" i="1"/>
  <c r="P16" i="1"/>
  <c r="Q16" i="1"/>
  <c r="L25" i="1"/>
  <c r="M25" i="1"/>
  <c r="N25" i="1"/>
  <c r="O25" i="1"/>
  <c r="P25" i="1"/>
  <c r="Q25" i="1"/>
  <c r="L22" i="1"/>
  <c r="M22" i="1"/>
  <c r="N22" i="1"/>
  <c r="O22" i="1"/>
  <c r="P22" i="1"/>
  <c r="Q22" i="1"/>
  <c r="L31" i="1"/>
  <c r="M31" i="1"/>
  <c r="N31" i="1"/>
  <c r="O31" i="1"/>
  <c r="P31" i="1"/>
  <c r="Q31" i="1"/>
  <c r="L33" i="1"/>
  <c r="M33" i="1"/>
  <c r="N33" i="1"/>
  <c r="O33" i="1"/>
  <c r="P33" i="1"/>
  <c r="Q33" i="1"/>
  <c r="L19" i="1"/>
  <c r="M19" i="1"/>
  <c r="N19" i="1"/>
  <c r="O19" i="1"/>
  <c r="P19" i="1"/>
  <c r="Q19" i="1"/>
  <c r="L27" i="1"/>
  <c r="M27" i="1"/>
  <c r="N27" i="1"/>
  <c r="O27" i="1"/>
  <c r="P27" i="1"/>
  <c r="Q27" i="1"/>
  <c r="L5" i="1"/>
  <c r="M5" i="1"/>
  <c r="N5" i="1"/>
  <c r="O5" i="1"/>
  <c r="P5" i="1"/>
  <c r="Q5" i="1"/>
  <c r="L38" i="1"/>
  <c r="M38" i="1"/>
  <c r="N38" i="1"/>
  <c r="O38" i="1"/>
  <c r="P38" i="1"/>
  <c r="Q38" i="1"/>
  <c r="L46" i="1"/>
  <c r="M46" i="1"/>
  <c r="N46" i="1"/>
  <c r="O46" i="1"/>
  <c r="P46" i="1"/>
  <c r="Q46" i="1"/>
  <c r="L37" i="1"/>
  <c r="M37" i="1"/>
  <c r="N37" i="1"/>
  <c r="O37" i="1"/>
  <c r="P37" i="1"/>
  <c r="Q37" i="1"/>
  <c r="L26" i="1"/>
  <c r="M26" i="1"/>
  <c r="N26" i="1"/>
  <c r="O26" i="1"/>
  <c r="P26" i="1"/>
  <c r="Q26" i="1"/>
  <c r="L50" i="1"/>
  <c r="M50" i="1"/>
  <c r="N50" i="1"/>
  <c r="O50" i="1"/>
  <c r="P50" i="1"/>
  <c r="Q50" i="1"/>
  <c r="L29" i="1"/>
  <c r="M29" i="1"/>
  <c r="N29" i="1"/>
  <c r="O29" i="1"/>
  <c r="P29" i="1"/>
  <c r="Q29" i="1"/>
  <c r="L28" i="1"/>
  <c r="M28" i="1"/>
  <c r="N28" i="1"/>
  <c r="O28" i="1"/>
  <c r="P28" i="1"/>
  <c r="Q28" i="1"/>
  <c r="L43" i="1"/>
  <c r="M43" i="1"/>
  <c r="N43" i="1"/>
  <c r="O43" i="1"/>
  <c r="P43" i="1"/>
  <c r="Q43" i="1"/>
  <c r="L53" i="1"/>
  <c r="M53" i="1"/>
  <c r="N53" i="1"/>
  <c r="O53" i="1"/>
  <c r="P53" i="1"/>
  <c r="Q53" i="1"/>
  <c r="L51" i="1"/>
  <c r="M51" i="1"/>
  <c r="N51" i="1"/>
  <c r="O51" i="1"/>
  <c r="P51" i="1"/>
  <c r="Q51" i="1"/>
  <c r="L48" i="1"/>
  <c r="M48" i="1"/>
  <c r="N48" i="1"/>
  <c r="O48" i="1"/>
  <c r="P48" i="1"/>
  <c r="Q48" i="1"/>
  <c r="L30" i="1"/>
  <c r="M30" i="1"/>
  <c r="N30" i="1"/>
  <c r="O30" i="1"/>
  <c r="P30" i="1"/>
  <c r="Q30" i="1"/>
  <c r="L23" i="1"/>
  <c r="M23" i="1"/>
  <c r="N23" i="1"/>
  <c r="O23" i="1"/>
  <c r="P23" i="1"/>
  <c r="Q23" i="1"/>
  <c r="L41" i="1"/>
  <c r="M41" i="1"/>
  <c r="N41" i="1"/>
  <c r="O41" i="1"/>
  <c r="P41" i="1"/>
  <c r="Q41" i="1"/>
  <c r="L56" i="1"/>
  <c r="M56" i="1"/>
  <c r="N56" i="1"/>
  <c r="O56" i="1"/>
  <c r="P56" i="1"/>
  <c r="Q56" i="1"/>
  <c r="L34" i="1"/>
  <c r="M34" i="1"/>
  <c r="N34" i="1"/>
  <c r="O34" i="1"/>
  <c r="P34" i="1"/>
  <c r="Q34" i="1"/>
  <c r="L64" i="1"/>
  <c r="M64" i="1"/>
  <c r="N64" i="1"/>
  <c r="O64" i="1"/>
  <c r="P64" i="1"/>
  <c r="Q64" i="1"/>
  <c r="L61" i="1"/>
  <c r="M61" i="1"/>
  <c r="N61" i="1"/>
  <c r="O61" i="1"/>
  <c r="P61" i="1"/>
  <c r="Q61" i="1"/>
  <c r="L15" i="1"/>
  <c r="M15" i="1"/>
  <c r="N15" i="1"/>
  <c r="O15" i="1"/>
  <c r="P15" i="1"/>
  <c r="Q15" i="1"/>
  <c r="L3" i="1"/>
  <c r="M3" i="1"/>
  <c r="N3" i="1"/>
  <c r="O3" i="1"/>
  <c r="P3" i="1"/>
  <c r="Q3" i="1"/>
  <c r="L39" i="1"/>
  <c r="M39" i="1"/>
  <c r="N39" i="1"/>
  <c r="O39" i="1"/>
  <c r="P39" i="1"/>
  <c r="Q39" i="1"/>
  <c r="L40" i="1"/>
  <c r="M40" i="1"/>
  <c r="N40" i="1"/>
  <c r="O40" i="1"/>
  <c r="P40" i="1"/>
  <c r="Q40" i="1"/>
  <c r="L36" i="1"/>
  <c r="M36" i="1"/>
  <c r="N36" i="1"/>
  <c r="O36" i="1"/>
  <c r="P36" i="1"/>
  <c r="Q36" i="1"/>
  <c r="L35" i="1"/>
  <c r="M35" i="1"/>
  <c r="N35" i="1"/>
  <c r="O35" i="1"/>
  <c r="P35" i="1"/>
  <c r="Q35" i="1"/>
  <c r="L49" i="1"/>
  <c r="M49" i="1"/>
  <c r="N49" i="1"/>
  <c r="O49" i="1"/>
  <c r="P49" i="1"/>
  <c r="Q49" i="1"/>
  <c r="L47" i="1"/>
  <c r="M47" i="1"/>
  <c r="N47" i="1"/>
  <c r="O47" i="1"/>
  <c r="P47" i="1"/>
  <c r="Q47" i="1"/>
  <c r="L58" i="1"/>
  <c r="M58" i="1"/>
  <c r="N58" i="1"/>
  <c r="O58" i="1"/>
  <c r="P58" i="1"/>
  <c r="Q58" i="1"/>
  <c r="L59" i="1"/>
  <c r="M59" i="1"/>
  <c r="N59" i="1"/>
  <c r="O59" i="1"/>
  <c r="P59" i="1"/>
  <c r="Q59" i="1"/>
  <c r="L32" i="1"/>
  <c r="M32" i="1"/>
  <c r="N32" i="1"/>
  <c r="O32" i="1"/>
  <c r="P32" i="1"/>
  <c r="Q32" i="1"/>
  <c r="L55" i="1"/>
  <c r="M55" i="1"/>
  <c r="N55" i="1"/>
  <c r="O55" i="1"/>
  <c r="P55" i="1"/>
  <c r="Q55" i="1"/>
  <c r="L57" i="1"/>
  <c r="M57" i="1"/>
  <c r="N57" i="1"/>
  <c r="O57" i="1"/>
  <c r="P57" i="1"/>
  <c r="Q57" i="1"/>
  <c r="M9" i="1"/>
  <c r="N9" i="1"/>
  <c r="O9" i="1"/>
  <c r="P9" i="1"/>
  <c r="Q9" i="1"/>
  <c r="L9" i="1"/>
  <c r="X59" i="6" l="1"/>
  <c r="Z59" i="6" s="1"/>
  <c r="X57" i="6"/>
  <c r="Z57" i="6" s="1"/>
  <c r="X54" i="6"/>
  <c r="Z54" i="6" s="1"/>
  <c r="X47" i="6"/>
  <c r="Z47" i="6" s="1"/>
  <c r="X52" i="1"/>
  <c r="Z52" i="1" s="1"/>
  <c r="X24" i="1"/>
  <c r="Z24" i="1" s="1"/>
  <c r="X7" i="1"/>
  <c r="Z7" i="1" s="1"/>
  <c r="X19" i="6"/>
  <c r="Z19" i="6" s="1"/>
  <c r="X39" i="6"/>
  <c r="X45" i="6"/>
  <c r="Z45" i="6" s="1"/>
  <c r="X51" i="6"/>
  <c r="Z51" i="6" s="1"/>
  <c r="X44" i="1"/>
  <c r="Z44" i="1" s="1"/>
  <c r="X42" i="1"/>
  <c r="Z42" i="1" s="1"/>
  <c r="X26" i="6"/>
  <c r="Z26" i="6" s="1"/>
  <c r="X28" i="6"/>
  <c r="Z28" i="6" s="1"/>
  <c r="X7" i="6"/>
  <c r="Z7" i="6" s="1"/>
  <c r="Z39" i="6"/>
  <c r="Y65" i="6"/>
  <c r="Z65" i="6"/>
  <c r="X42" i="6"/>
  <c r="Z63" i="1"/>
  <c r="Y63" i="1"/>
  <c r="Z66" i="1"/>
  <c r="Y66" i="1"/>
  <c r="Z62" i="1"/>
  <c r="AC34" i="1"/>
  <c r="AB34" i="1"/>
  <c r="AD34" i="1"/>
  <c r="AC26" i="1"/>
  <c r="AD26" i="1"/>
  <c r="AB26" i="1"/>
  <c r="AD5" i="1"/>
  <c r="AC5" i="1"/>
  <c r="AB5" i="1"/>
  <c r="AC31" i="1"/>
  <c r="AD31" i="1"/>
  <c r="AB31" i="1"/>
  <c r="AC21" i="1"/>
  <c r="AB21" i="1"/>
  <c r="AD21" i="1"/>
  <c r="AB12" i="1"/>
  <c r="AC12" i="1"/>
  <c r="AD12" i="1"/>
  <c r="AC20" i="1"/>
  <c r="AB20" i="1"/>
  <c r="AD20" i="1"/>
  <c r="AC35" i="1"/>
  <c r="AB35" i="1"/>
  <c r="AD35" i="1"/>
  <c r="AB43" i="1"/>
  <c r="AC43" i="1"/>
  <c r="AD43" i="1"/>
  <c r="AC3" i="1"/>
  <c r="AD3" i="1"/>
  <c r="AB3" i="1"/>
  <c r="AC30" i="1"/>
  <c r="AB30" i="1"/>
  <c r="AD30" i="1"/>
  <c r="AB32" i="1"/>
  <c r="AD32" i="1"/>
  <c r="AC32" i="1"/>
  <c r="AC49" i="1"/>
  <c r="AB49" i="1"/>
  <c r="AD49" i="1"/>
  <c r="AC39" i="1"/>
  <c r="AB39" i="1"/>
  <c r="AD39" i="1"/>
  <c r="AC64" i="1"/>
  <c r="AB64" i="1"/>
  <c r="AD64" i="1"/>
  <c r="AD23" i="1"/>
  <c r="AB23" i="1"/>
  <c r="AC23" i="1"/>
  <c r="AD53" i="1"/>
  <c r="AB53" i="1"/>
  <c r="AC53" i="1"/>
  <c r="AC50" i="1"/>
  <c r="AB50" i="1"/>
  <c r="AD50" i="1"/>
  <c r="AC38" i="1"/>
  <c r="AD38" i="1"/>
  <c r="AB38" i="1"/>
  <c r="AB33" i="1"/>
  <c r="AD33" i="1"/>
  <c r="AC33" i="1"/>
  <c r="AC16" i="1"/>
  <c r="AB16" i="1"/>
  <c r="AD16" i="1"/>
  <c r="AC10" i="1"/>
  <c r="AB10" i="1"/>
  <c r="AD10" i="1"/>
  <c r="AC14" i="1"/>
  <c r="AB14" i="1"/>
  <c r="AD14" i="1"/>
  <c r="AC9" i="1"/>
  <c r="AB9" i="1"/>
  <c r="AD9" i="1"/>
  <c r="AB55" i="1"/>
  <c r="AC55" i="1"/>
  <c r="AD55" i="1"/>
  <c r="AB47" i="1"/>
  <c r="AD47" i="1"/>
  <c r="AC47" i="1"/>
  <c r="AD40" i="1"/>
  <c r="AC40" i="1"/>
  <c r="AB40" i="1"/>
  <c r="AC61" i="1"/>
  <c r="AD61" i="1"/>
  <c r="AB61" i="1"/>
  <c r="AB41" i="1"/>
  <c r="AD41" i="1"/>
  <c r="AC41" i="1"/>
  <c r="AB51" i="1"/>
  <c r="AD51" i="1"/>
  <c r="AC51" i="1"/>
  <c r="AB29" i="1"/>
  <c r="AD29" i="1"/>
  <c r="AC29" i="1"/>
  <c r="AD46" i="1"/>
  <c r="AB46" i="1"/>
  <c r="AC46" i="1"/>
  <c r="AD19" i="1"/>
  <c r="AC19" i="1"/>
  <c r="AB19" i="1"/>
  <c r="AD25" i="1"/>
  <c r="AB25" i="1"/>
  <c r="AC25" i="1"/>
  <c r="AB6" i="1"/>
  <c r="AC6" i="1"/>
  <c r="AD6" i="1"/>
  <c r="AB13" i="1"/>
  <c r="AD13" i="1"/>
  <c r="AC13" i="1"/>
  <c r="AD4" i="1"/>
  <c r="AC4" i="1"/>
  <c r="AB4" i="1"/>
  <c r="AB59" i="1"/>
  <c r="AD59" i="1"/>
  <c r="AC59" i="1"/>
  <c r="AC57" i="1"/>
  <c r="AB57" i="1"/>
  <c r="AD57" i="1"/>
  <c r="AD58" i="1"/>
  <c r="AC58" i="1"/>
  <c r="AB58" i="1"/>
  <c r="AB36" i="1"/>
  <c r="AD36" i="1"/>
  <c r="AC36" i="1"/>
  <c r="AD15" i="1"/>
  <c r="AB15" i="1"/>
  <c r="AC15" i="1"/>
  <c r="AB56" i="1"/>
  <c r="AC56" i="1"/>
  <c r="AD56" i="1"/>
  <c r="AD48" i="1"/>
  <c r="AC48" i="1"/>
  <c r="AB48" i="1"/>
  <c r="AB28" i="1"/>
  <c r="AD28" i="1"/>
  <c r="AC28" i="1"/>
  <c r="AB37" i="1"/>
  <c r="AD37" i="1"/>
  <c r="AC37" i="1"/>
  <c r="AB27" i="1"/>
  <c r="AD27" i="1"/>
  <c r="AC27" i="1"/>
  <c r="AD22" i="1"/>
  <c r="AC22" i="1"/>
  <c r="AB22" i="1"/>
  <c r="AC11" i="1"/>
  <c r="AB11" i="1"/>
  <c r="AD11" i="1"/>
  <c r="AB18" i="1"/>
  <c r="AD18" i="1"/>
  <c r="AC18" i="1"/>
  <c r="AB17" i="1"/>
  <c r="AD17" i="1"/>
  <c r="AC17" i="1"/>
  <c r="AB27" i="6"/>
  <c r="AC27" i="6"/>
  <c r="AD27" i="6"/>
  <c r="AB58" i="6"/>
  <c r="AC58" i="6"/>
  <c r="AD58" i="6"/>
  <c r="AD35" i="6"/>
  <c r="AB35" i="6"/>
  <c r="AC35" i="6"/>
  <c r="AB12" i="6"/>
  <c r="AC12" i="6"/>
  <c r="AD12" i="6"/>
  <c r="AD68" i="6"/>
  <c r="AC68" i="6"/>
  <c r="AB68" i="6"/>
  <c r="AB6" i="6"/>
  <c r="AC6" i="6"/>
  <c r="AD6" i="6"/>
  <c r="AB30" i="6"/>
  <c r="AC30" i="6"/>
  <c r="AD30" i="6"/>
  <c r="AB22" i="6"/>
  <c r="AC22" i="6"/>
  <c r="AD22" i="6"/>
  <c r="AC62" i="6"/>
  <c r="AD62" i="6"/>
  <c r="AB62" i="6"/>
  <c r="AB34" i="6"/>
  <c r="AC34" i="6"/>
  <c r="AD34" i="6"/>
  <c r="AB36" i="6"/>
  <c r="AC36" i="6"/>
  <c r="AD36" i="6"/>
  <c r="AD50" i="6"/>
  <c r="AC50" i="6"/>
  <c r="AB50" i="6"/>
  <c r="AB24" i="6"/>
  <c r="AC24" i="6"/>
  <c r="AD24" i="6"/>
  <c r="AB21" i="6"/>
  <c r="AC21" i="6"/>
  <c r="AD21" i="6"/>
  <c r="AB17" i="6"/>
  <c r="AC17" i="6"/>
  <c r="AD17" i="6"/>
  <c r="AB9" i="6"/>
  <c r="AC9" i="6"/>
  <c r="AD9" i="6"/>
  <c r="AC13" i="6"/>
  <c r="AD13" i="6"/>
  <c r="AB13" i="6"/>
  <c r="AB69" i="6"/>
  <c r="AC69" i="6"/>
  <c r="AD69" i="6"/>
  <c r="AB44" i="6"/>
  <c r="AC44" i="6"/>
  <c r="AD44" i="6"/>
  <c r="AB14" i="6"/>
  <c r="AC14" i="6"/>
  <c r="AD14" i="6"/>
  <c r="AB64" i="6"/>
  <c r="AC64" i="6"/>
  <c r="AD64" i="6"/>
  <c r="AB55" i="6"/>
  <c r="AC55" i="6"/>
  <c r="AD55" i="6"/>
  <c r="AB70" i="6"/>
  <c r="AC70" i="6"/>
  <c r="AD70" i="6"/>
  <c r="AD61" i="6"/>
  <c r="AC61" i="6"/>
  <c r="AB61" i="6"/>
  <c r="AD38" i="6"/>
  <c r="AB38" i="6"/>
  <c r="AC38" i="6"/>
  <c r="AD20" i="6"/>
  <c r="AB20" i="6"/>
  <c r="AC20" i="6"/>
  <c r="AC32" i="6"/>
  <c r="AD32" i="6"/>
  <c r="AB32" i="6"/>
  <c r="AB40" i="6"/>
  <c r="AC40" i="6"/>
  <c r="AD40" i="6"/>
  <c r="AB4" i="6"/>
  <c r="AC4" i="6"/>
  <c r="AD4" i="6"/>
  <c r="AB29" i="6"/>
  <c r="AC29" i="6"/>
  <c r="AD29" i="6"/>
  <c r="AD10" i="6"/>
  <c r="AC10" i="6"/>
  <c r="AB10" i="6"/>
  <c r="AD5" i="6"/>
  <c r="AC5" i="6"/>
  <c r="AB5" i="6"/>
  <c r="AB31" i="6"/>
  <c r="AC31" i="6"/>
  <c r="AD31" i="6"/>
  <c r="AB15" i="6"/>
  <c r="AC15" i="6"/>
  <c r="AD15" i="6"/>
  <c r="AB53" i="6"/>
  <c r="AC53" i="6"/>
  <c r="AD53" i="6"/>
  <c r="AB52" i="6"/>
  <c r="AC52" i="6"/>
  <c r="AD52" i="6"/>
  <c r="AB43" i="6"/>
  <c r="AC43" i="6"/>
  <c r="AD43" i="6"/>
  <c r="AB49" i="6"/>
  <c r="AC49" i="6"/>
  <c r="AD49" i="6"/>
  <c r="AD46" i="6"/>
  <c r="AC46" i="6"/>
  <c r="AB46" i="6"/>
  <c r="AD8" i="6"/>
  <c r="AC8" i="6"/>
  <c r="AB8" i="6"/>
  <c r="AC37" i="6"/>
  <c r="AD37" i="6"/>
  <c r="AB37" i="6"/>
  <c r="AC66" i="6"/>
  <c r="AD66" i="6"/>
  <c r="AB66" i="6"/>
  <c r="AB60" i="6"/>
  <c r="AC60" i="6"/>
  <c r="AD60" i="6"/>
  <c r="AB56" i="6"/>
  <c r="AC56" i="6"/>
  <c r="AD56" i="6"/>
  <c r="AC48" i="6"/>
  <c r="AB48" i="6"/>
  <c r="AD48" i="6"/>
  <c r="AD63" i="6"/>
  <c r="AB63" i="6"/>
  <c r="AC63" i="6"/>
  <c r="AB67" i="6"/>
  <c r="AC67" i="6"/>
  <c r="AD67" i="6"/>
  <c r="AD41" i="6"/>
  <c r="AB41" i="6"/>
  <c r="AC41" i="6"/>
  <c r="AB23" i="6"/>
  <c r="AC23" i="6"/>
  <c r="AD23" i="6"/>
  <c r="AC25" i="6"/>
  <c r="AD25" i="6"/>
  <c r="AB25" i="6"/>
  <c r="AB18" i="6"/>
  <c r="AC18" i="6"/>
  <c r="AD18" i="6"/>
  <c r="AB16" i="6"/>
  <c r="AC16" i="6"/>
  <c r="AD16" i="6"/>
  <c r="AB33" i="6"/>
  <c r="AC33" i="6"/>
  <c r="AD33" i="6"/>
  <c r="AB3" i="6"/>
  <c r="AD3" i="6"/>
  <c r="AC3" i="6"/>
  <c r="AB11" i="6"/>
  <c r="AC11" i="6"/>
  <c r="AD11" i="6"/>
  <c r="T69" i="6"/>
  <c r="S69" i="6"/>
  <c r="W69" i="6"/>
  <c r="V69" i="6"/>
  <c r="U69" i="6"/>
  <c r="R69" i="6"/>
  <c r="W66" i="6"/>
  <c r="V66" i="6"/>
  <c r="U66" i="6"/>
  <c r="T66" i="6"/>
  <c r="S66" i="6"/>
  <c r="R66" i="6"/>
  <c r="W52" i="6"/>
  <c r="V52" i="6"/>
  <c r="U52" i="6"/>
  <c r="T52" i="6"/>
  <c r="S52" i="6"/>
  <c r="R52" i="6"/>
  <c r="W64" i="6"/>
  <c r="V64" i="6"/>
  <c r="U64" i="6"/>
  <c r="T64" i="6"/>
  <c r="S64" i="6"/>
  <c r="R64" i="6"/>
  <c r="U68" i="6"/>
  <c r="W68" i="6"/>
  <c r="V68" i="6"/>
  <c r="T68" i="6"/>
  <c r="S68" i="6"/>
  <c r="R68" i="6"/>
  <c r="R60" i="6"/>
  <c r="W60" i="6"/>
  <c r="V60" i="6"/>
  <c r="U60" i="6"/>
  <c r="T60" i="6"/>
  <c r="S60" i="6"/>
  <c r="S43" i="6"/>
  <c r="R43" i="6"/>
  <c r="W43" i="6"/>
  <c r="V43" i="6"/>
  <c r="U43" i="6"/>
  <c r="T43" i="6"/>
  <c r="T30" i="6"/>
  <c r="S30" i="6"/>
  <c r="W30" i="6"/>
  <c r="V30" i="6"/>
  <c r="U30" i="6"/>
  <c r="R30" i="6"/>
  <c r="U44" i="6"/>
  <c r="T44" i="6"/>
  <c r="W44" i="6"/>
  <c r="V44" i="6"/>
  <c r="S44" i="6"/>
  <c r="R44" i="6"/>
  <c r="W56" i="6"/>
  <c r="V56" i="6"/>
  <c r="U56" i="6"/>
  <c r="T56" i="6"/>
  <c r="S56" i="6"/>
  <c r="R56" i="6"/>
  <c r="W49" i="6"/>
  <c r="V49" i="6"/>
  <c r="U49" i="6"/>
  <c r="T49" i="6"/>
  <c r="S49" i="6"/>
  <c r="R49" i="6"/>
  <c r="T53" i="6"/>
  <c r="W53" i="6"/>
  <c r="V53" i="6"/>
  <c r="U53" i="6"/>
  <c r="S53" i="6"/>
  <c r="R53" i="6"/>
  <c r="T27" i="6"/>
  <c r="W27" i="6"/>
  <c r="V27" i="6"/>
  <c r="U27" i="6"/>
  <c r="S27" i="6"/>
  <c r="R27" i="6"/>
  <c r="R48" i="6"/>
  <c r="W48" i="6"/>
  <c r="V48" i="6"/>
  <c r="U48" i="6"/>
  <c r="T48" i="6"/>
  <c r="S48" i="6"/>
  <c r="W46" i="6"/>
  <c r="V46" i="6"/>
  <c r="U46" i="6"/>
  <c r="T46" i="6"/>
  <c r="S46" i="6"/>
  <c r="R46" i="6"/>
  <c r="W22" i="6"/>
  <c r="V22" i="6"/>
  <c r="U22" i="6"/>
  <c r="T22" i="6"/>
  <c r="S22" i="6"/>
  <c r="R22" i="6"/>
  <c r="S5" i="6"/>
  <c r="W5" i="6"/>
  <c r="V5" i="6"/>
  <c r="U5" i="6"/>
  <c r="T5" i="6"/>
  <c r="R5" i="6"/>
  <c r="W63" i="6"/>
  <c r="V63" i="6"/>
  <c r="U63" i="6"/>
  <c r="T63" i="6"/>
  <c r="S63" i="6"/>
  <c r="R63" i="6"/>
  <c r="U70" i="6"/>
  <c r="W70" i="6"/>
  <c r="V70" i="6"/>
  <c r="T70" i="6"/>
  <c r="S70" i="6"/>
  <c r="R70" i="6"/>
  <c r="W62" i="6"/>
  <c r="V62" i="6"/>
  <c r="U62" i="6"/>
  <c r="T62" i="6"/>
  <c r="S62" i="6"/>
  <c r="R62" i="6"/>
  <c r="W55" i="6"/>
  <c r="V55" i="6"/>
  <c r="U55" i="6"/>
  <c r="T55" i="6"/>
  <c r="S55" i="6"/>
  <c r="R55" i="6"/>
  <c r="W67" i="6"/>
  <c r="V67" i="6"/>
  <c r="U67" i="6"/>
  <c r="T67" i="6"/>
  <c r="S67" i="6"/>
  <c r="R67" i="6"/>
  <c r="V61" i="6"/>
  <c r="W61" i="6"/>
  <c r="U61" i="6"/>
  <c r="T61" i="6"/>
  <c r="S61" i="6"/>
  <c r="R61" i="6"/>
  <c r="W34" i="6"/>
  <c r="V34" i="6"/>
  <c r="U34" i="6"/>
  <c r="T34" i="6"/>
  <c r="S34" i="6"/>
  <c r="R34" i="6"/>
  <c r="W58" i="6"/>
  <c r="V58" i="6"/>
  <c r="U58" i="6"/>
  <c r="T58" i="6"/>
  <c r="S58" i="6"/>
  <c r="R58" i="6"/>
  <c r="U41" i="6"/>
  <c r="W41" i="6"/>
  <c r="V41" i="6"/>
  <c r="T41" i="6"/>
  <c r="S41" i="6"/>
  <c r="R41" i="6"/>
  <c r="W38" i="6"/>
  <c r="V38" i="6"/>
  <c r="U38" i="6"/>
  <c r="T38" i="6"/>
  <c r="S38" i="6"/>
  <c r="R38" i="6"/>
  <c r="W36" i="6"/>
  <c r="V36" i="6"/>
  <c r="U36" i="6"/>
  <c r="T36" i="6"/>
  <c r="S36" i="6"/>
  <c r="R36" i="6"/>
  <c r="W37" i="6"/>
  <c r="V37" i="6"/>
  <c r="U37" i="6"/>
  <c r="T37" i="6"/>
  <c r="S37" i="6"/>
  <c r="R37" i="6"/>
  <c r="U23" i="6"/>
  <c r="W23" i="6"/>
  <c r="V23" i="6"/>
  <c r="T23" i="6"/>
  <c r="S23" i="6"/>
  <c r="R23" i="6"/>
  <c r="V20" i="6"/>
  <c r="S20" i="6"/>
  <c r="W20" i="6"/>
  <c r="U20" i="6"/>
  <c r="T20" i="6"/>
  <c r="R20" i="6"/>
  <c r="W50" i="6"/>
  <c r="V50" i="6"/>
  <c r="U50" i="6"/>
  <c r="T50" i="6"/>
  <c r="S50" i="6"/>
  <c r="R50" i="6"/>
  <c r="S31" i="6"/>
  <c r="W31" i="6"/>
  <c r="V31" i="6"/>
  <c r="U31" i="6"/>
  <c r="T31" i="6"/>
  <c r="R31" i="6"/>
  <c r="V25" i="6"/>
  <c r="U25" i="6"/>
  <c r="T25" i="6"/>
  <c r="W25" i="6"/>
  <c r="S25" i="6"/>
  <c r="R25" i="6"/>
  <c r="W32" i="6"/>
  <c r="V32" i="6"/>
  <c r="U32" i="6"/>
  <c r="T32" i="6"/>
  <c r="S32" i="6"/>
  <c r="R32" i="6"/>
  <c r="W24" i="6"/>
  <c r="V24" i="6"/>
  <c r="U24" i="6"/>
  <c r="T24" i="6"/>
  <c r="S24" i="6"/>
  <c r="R24" i="6"/>
  <c r="W6" i="6"/>
  <c r="V6" i="6"/>
  <c r="U6" i="6"/>
  <c r="T6" i="6"/>
  <c r="S6" i="6"/>
  <c r="R6" i="6"/>
  <c r="U18" i="6"/>
  <c r="W18" i="6"/>
  <c r="V18" i="6"/>
  <c r="T18" i="6"/>
  <c r="S18" i="6"/>
  <c r="R18" i="6"/>
  <c r="W40" i="6"/>
  <c r="V40" i="6"/>
  <c r="U40" i="6"/>
  <c r="T40" i="6"/>
  <c r="S40" i="6"/>
  <c r="R40" i="6"/>
  <c r="S21" i="6"/>
  <c r="W21" i="6"/>
  <c r="V21" i="6"/>
  <c r="U21" i="6"/>
  <c r="T21" i="6"/>
  <c r="R21" i="6"/>
  <c r="T14" i="6"/>
  <c r="S14" i="6"/>
  <c r="W14" i="6"/>
  <c r="V14" i="6"/>
  <c r="U14" i="6"/>
  <c r="R14" i="6"/>
  <c r="V16" i="6"/>
  <c r="U16" i="6"/>
  <c r="T16" i="6"/>
  <c r="W16" i="6"/>
  <c r="S16" i="6"/>
  <c r="R16" i="6"/>
  <c r="U4" i="6"/>
  <c r="W4" i="6"/>
  <c r="V4" i="6"/>
  <c r="T4" i="6"/>
  <c r="S4" i="6"/>
  <c r="R4" i="6"/>
  <c r="W17" i="6"/>
  <c r="V17" i="6"/>
  <c r="U17" i="6"/>
  <c r="T17" i="6"/>
  <c r="S17" i="6"/>
  <c r="R17" i="6"/>
  <c r="W35" i="6"/>
  <c r="V35" i="6"/>
  <c r="U35" i="6"/>
  <c r="T35" i="6"/>
  <c r="S35" i="6"/>
  <c r="R35" i="6"/>
  <c r="W33" i="6"/>
  <c r="V33" i="6"/>
  <c r="U33" i="6"/>
  <c r="T33" i="6"/>
  <c r="S33" i="6"/>
  <c r="R33" i="6"/>
  <c r="W29" i="6"/>
  <c r="V29" i="6"/>
  <c r="U29" i="6"/>
  <c r="T29" i="6"/>
  <c r="S29" i="6"/>
  <c r="R29" i="6"/>
  <c r="W9" i="6"/>
  <c r="V9" i="6"/>
  <c r="U9" i="6"/>
  <c r="T9" i="6"/>
  <c r="S9" i="6"/>
  <c r="R9" i="6"/>
  <c r="W15" i="6"/>
  <c r="V15" i="6"/>
  <c r="U15" i="6"/>
  <c r="T15" i="6"/>
  <c r="S15" i="6"/>
  <c r="R15" i="6"/>
  <c r="W3" i="6"/>
  <c r="V3" i="6"/>
  <c r="U3" i="6"/>
  <c r="T3" i="6"/>
  <c r="S3" i="6"/>
  <c r="R3" i="6"/>
  <c r="U10" i="6"/>
  <c r="W10" i="6"/>
  <c r="V10" i="6"/>
  <c r="T10" i="6"/>
  <c r="S10" i="6"/>
  <c r="R10" i="6"/>
  <c r="W13" i="6"/>
  <c r="V13" i="6"/>
  <c r="U13" i="6"/>
  <c r="T13" i="6"/>
  <c r="S13" i="6"/>
  <c r="R13" i="6"/>
  <c r="W12" i="6"/>
  <c r="V12" i="6"/>
  <c r="U12" i="6"/>
  <c r="T12" i="6"/>
  <c r="S12" i="6"/>
  <c r="R12" i="6"/>
  <c r="W11" i="6"/>
  <c r="V11" i="6"/>
  <c r="U11" i="6"/>
  <c r="T11" i="6"/>
  <c r="S11" i="6"/>
  <c r="R11" i="6"/>
  <c r="W8" i="6"/>
  <c r="V8" i="6"/>
  <c r="U8" i="6"/>
  <c r="T8" i="6"/>
  <c r="S8" i="6"/>
  <c r="R8" i="6"/>
  <c r="Z42" i="6" l="1"/>
  <c r="X52" i="6"/>
  <c r="X58" i="6"/>
  <c r="X55" i="6"/>
  <c r="X68" i="6"/>
  <c r="X33" i="6"/>
  <c r="X23" i="6"/>
  <c r="Z23" i="6" s="1"/>
  <c r="X41" i="6"/>
  <c r="Z41" i="6" s="1"/>
  <c r="X67" i="6"/>
  <c r="X63" i="6"/>
  <c r="X56" i="6"/>
  <c r="X44" i="6"/>
  <c r="Z44" i="6" s="1"/>
  <c r="X43" i="6"/>
  <c r="X66" i="6"/>
  <c r="Y66" i="6" s="1"/>
  <c r="X25" i="6"/>
  <c r="X20" i="6"/>
  <c r="X69" i="6"/>
  <c r="Y69" i="6" s="1"/>
  <c r="X10" i="6"/>
  <c r="X61" i="6"/>
  <c r="X70" i="6"/>
  <c r="Y70" i="6" s="1"/>
  <c r="X11" i="6"/>
  <c r="Z11" i="6" s="1"/>
  <c r="X62" i="6"/>
  <c r="X64" i="6"/>
  <c r="X60" i="6"/>
  <c r="X30" i="6"/>
  <c r="Z30" i="6" s="1"/>
  <c r="X16" i="6"/>
  <c r="Z16" i="6" s="1"/>
  <c r="X14" i="6"/>
  <c r="Z14" i="6" s="1"/>
  <c r="X40" i="6"/>
  <c r="X13" i="6"/>
  <c r="X12" i="6"/>
  <c r="X6" i="6"/>
  <c r="X46" i="6"/>
  <c r="Z46" i="6" s="1"/>
  <c r="X50" i="6"/>
  <c r="X17" i="6"/>
  <c r="X34" i="6"/>
  <c r="X18" i="6"/>
  <c r="Z18" i="6" s="1"/>
  <c r="X3" i="6"/>
  <c r="X27" i="6"/>
  <c r="Z27" i="6" s="1"/>
  <c r="X49" i="6"/>
  <c r="X38" i="6"/>
  <c r="X21" i="6"/>
  <c r="X29" i="6"/>
  <c r="X31" i="6"/>
  <c r="X9" i="6"/>
  <c r="Z9" i="6" s="1"/>
  <c r="X36" i="6"/>
  <c r="X32" i="6"/>
  <c r="X22" i="6"/>
  <c r="Z22" i="6" s="1"/>
  <c r="X5" i="6"/>
  <c r="X8" i="6"/>
  <c r="X24" i="6"/>
  <c r="X15" i="6"/>
  <c r="X35" i="6"/>
  <c r="X37" i="6"/>
  <c r="Z37" i="6" s="1"/>
  <c r="X4" i="6"/>
  <c r="X48" i="6"/>
  <c r="Z48" i="6" s="1"/>
  <c r="X53" i="6"/>
  <c r="Y63" i="6"/>
  <c r="U12" i="1"/>
  <c r="R33" i="1"/>
  <c r="T33" i="1"/>
  <c r="R15" i="1"/>
  <c r="S15" i="1"/>
  <c r="T15" i="1"/>
  <c r="V15" i="1"/>
  <c r="W15" i="1"/>
  <c r="R3" i="1"/>
  <c r="S3" i="1"/>
  <c r="T3" i="1"/>
  <c r="U3" i="1"/>
  <c r="V3" i="1"/>
  <c r="R39" i="1"/>
  <c r="T39" i="1"/>
  <c r="U39" i="1"/>
  <c r="V39" i="1"/>
  <c r="W39" i="1"/>
  <c r="R40" i="1"/>
  <c r="T40" i="1"/>
  <c r="U40" i="1"/>
  <c r="V40" i="1"/>
  <c r="W40" i="1"/>
  <c r="R36" i="1"/>
  <c r="S36" i="1"/>
  <c r="T36" i="1"/>
  <c r="V36" i="1"/>
  <c r="R35" i="1"/>
  <c r="S35" i="1"/>
  <c r="T35" i="1"/>
  <c r="U35" i="1"/>
  <c r="V35" i="1"/>
  <c r="R49" i="1"/>
  <c r="T49" i="1"/>
  <c r="U49" i="1"/>
  <c r="V49" i="1"/>
  <c r="W49" i="1"/>
  <c r="R47" i="1"/>
  <c r="T47" i="1"/>
  <c r="V47" i="1"/>
  <c r="W47" i="1"/>
  <c r="R58" i="1"/>
  <c r="S58" i="1"/>
  <c r="T58" i="1"/>
  <c r="V58" i="1"/>
  <c r="W58" i="1"/>
  <c r="R59" i="1"/>
  <c r="S59" i="1"/>
  <c r="T59" i="1"/>
  <c r="U59" i="1"/>
  <c r="V59" i="1"/>
  <c r="R32" i="1"/>
  <c r="T32" i="1"/>
  <c r="V32" i="1"/>
  <c r="W32" i="1"/>
  <c r="R55" i="1"/>
  <c r="T55" i="1"/>
  <c r="V55" i="1"/>
  <c r="W55" i="1"/>
  <c r="R57" i="1"/>
  <c r="S57" i="1"/>
  <c r="T57" i="1"/>
  <c r="V57" i="1"/>
  <c r="U15" i="1"/>
  <c r="U36" i="1"/>
  <c r="U47" i="1"/>
  <c r="U58" i="1"/>
  <c r="U32" i="1"/>
  <c r="U55" i="1"/>
  <c r="W3" i="1"/>
  <c r="S39" i="1"/>
  <c r="S40" i="1"/>
  <c r="W36" i="1"/>
  <c r="W35" i="1"/>
  <c r="S49" i="1"/>
  <c r="S47" i="1"/>
  <c r="W59" i="1"/>
  <c r="S32" i="1"/>
  <c r="S55" i="1"/>
  <c r="W57" i="1"/>
  <c r="U57" i="1"/>
  <c r="Y61" i="6" l="1"/>
  <c r="Y59" i="6"/>
  <c r="Y54" i="6"/>
  <c r="Y57" i="6"/>
  <c r="Y62" i="6"/>
  <c r="Y47" i="6"/>
  <c r="Y55" i="6"/>
  <c r="Y52" i="6"/>
  <c r="Y39" i="6"/>
  <c r="Y42" i="6"/>
  <c r="Y51" i="6"/>
  <c r="Y45" i="6"/>
  <c r="Y19" i="6"/>
  <c r="Y26" i="6"/>
  <c r="Y28" i="6"/>
  <c r="Y7" i="6"/>
  <c r="X58" i="1"/>
  <c r="X36" i="1"/>
  <c r="X59" i="1"/>
  <c r="X49" i="1"/>
  <c r="Z49" i="1" s="1"/>
  <c r="X3" i="1"/>
  <c r="X55" i="1"/>
  <c r="X47" i="1"/>
  <c r="X39" i="1"/>
  <c r="X32" i="1"/>
  <c r="X35" i="1"/>
  <c r="X15" i="1"/>
  <c r="X57" i="1"/>
  <c r="X40" i="1"/>
  <c r="Y60" i="6"/>
  <c r="Y64" i="6"/>
  <c r="Y67" i="6"/>
  <c r="Y58" i="6"/>
  <c r="Y68" i="6"/>
  <c r="Y43" i="6"/>
  <c r="Y12" i="6"/>
  <c r="Z63" i="6"/>
  <c r="Y38" i="6"/>
  <c r="Y17" i="6"/>
  <c r="Y33" i="6"/>
  <c r="Z33" i="6"/>
  <c r="Y6" i="6"/>
  <c r="Y34" i="6"/>
  <c r="Y32" i="6"/>
  <c r="Y44" i="6"/>
  <c r="Y40" i="6"/>
  <c r="Y16" i="6"/>
  <c r="Y31" i="6"/>
  <c r="Y14" i="6"/>
  <c r="Y30" i="6"/>
  <c r="Y3" i="6"/>
  <c r="Y11" i="6"/>
  <c r="Z61" i="6"/>
  <c r="Y49" i="6"/>
  <c r="Y4" i="6"/>
  <c r="Y27" i="6"/>
  <c r="Y41" i="6"/>
  <c r="Y36" i="6"/>
  <c r="Y56" i="6"/>
  <c r="Y9" i="6"/>
  <c r="Y46" i="6"/>
  <c r="Y29" i="6"/>
  <c r="Y15" i="6"/>
  <c r="Y23" i="6"/>
  <c r="Y37" i="6"/>
  <c r="Y48" i="6"/>
  <c r="Y20" i="6"/>
  <c r="Y8" i="6"/>
  <c r="Y50" i="6"/>
  <c r="Y25" i="6"/>
  <c r="Y35" i="6"/>
  <c r="Y53" i="6"/>
  <c r="Y21" i="6"/>
  <c r="Y10" i="6"/>
  <c r="Y5" i="6"/>
  <c r="Y13" i="6"/>
  <c r="Y18" i="6"/>
  <c r="Y22" i="6"/>
  <c r="Y24" i="6"/>
  <c r="Z68" i="6"/>
  <c r="Z5" i="6"/>
  <c r="Z67" i="6"/>
  <c r="Z53" i="6"/>
  <c r="Z3" i="6"/>
  <c r="Z43" i="6"/>
  <c r="Z62" i="6"/>
  <c r="Z34" i="6"/>
  <c r="Z35" i="6"/>
  <c r="Z69" i="6"/>
  <c r="Z15" i="6"/>
  <c r="Z10" i="6"/>
  <c r="Z52" i="6"/>
  <c r="Z29" i="6"/>
  <c r="Z49" i="6"/>
  <c r="Z70" i="6"/>
  <c r="Z32" i="6"/>
  <c r="Z36" i="6"/>
  <c r="Z13" i="6"/>
  <c r="Z60" i="6"/>
  <c r="Z24" i="6"/>
  <c r="Z8" i="6"/>
  <c r="Z56" i="6"/>
  <c r="Z4" i="6"/>
  <c r="Z38" i="6"/>
  <c r="Z64" i="6"/>
  <c r="Z6" i="6"/>
  <c r="Z50" i="6"/>
  <c r="Z40" i="6"/>
  <c r="Z55" i="6"/>
  <c r="Z58" i="6"/>
  <c r="Z25" i="6"/>
  <c r="Z31" i="6"/>
  <c r="Z66" i="6"/>
  <c r="Z12" i="6"/>
  <c r="Z21" i="6"/>
  <c r="Z17" i="6"/>
  <c r="Z20" i="6"/>
  <c r="AA65" i="6" l="1"/>
  <c r="AA28" i="6"/>
  <c r="AA26" i="6"/>
  <c r="AA54" i="6"/>
  <c r="AA59" i="6"/>
  <c r="AA47" i="6"/>
  <c r="AA7" i="6"/>
  <c r="AA45" i="6"/>
  <c r="AA19" i="6"/>
  <c r="AA57" i="6"/>
  <c r="AA51" i="6"/>
  <c r="AA42" i="6"/>
  <c r="AA39" i="6"/>
  <c r="AA52" i="6"/>
  <c r="AA64" i="6"/>
  <c r="AA69" i="6"/>
  <c r="AA13" i="6"/>
  <c r="AA60" i="6"/>
  <c r="E60" i="6" s="1"/>
  <c r="AA67" i="6"/>
  <c r="AA63" i="6"/>
  <c r="E63" i="6" s="1"/>
  <c r="AA68" i="6"/>
  <c r="E68" i="6" s="1"/>
  <c r="AA61" i="6"/>
  <c r="E61" i="6" s="1"/>
  <c r="AA66" i="6"/>
  <c r="AA43" i="6"/>
  <c r="AA70" i="6"/>
  <c r="AA58" i="6"/>
  <c r="E58" i="6" s="1"/>
  <c r="AA62" i="6"/>
  <c r="E62" i="6" s="1"/>
  <c r="AA55" i="6"/>
  <c r="E55" i="6" s="1"/>
  <c r="AA9" i="6"/>
  <c r="AA5" i="6"/>
  <c r="AA3" i="6"/>
  <c r="AA10" i="6"/>
  <c r="AA48" i="6"/>
  <c r="AA36" i="6"/>
  <c r="AA30" i="6"/>
  <c r="AA6" i="6"/>
  <c r="AA12" i="6"/>
  <c r="AA20" i="6"/>
  <c r="AA56" i="6"/>
  <c r="AA34" i="6"/>
  <c r="AA21" i="6"/>
  <c r="AA37" i="6"/>
  <c r="AA41" i="6"/>
  <c r="AA14" i="6"/>
  <c r="AA11" i="6"/>
  <c r="AA53" i="6"/>
  <c r="AA23" i="6"/>
  <c r="AA27" i="6"/>
  <c r="AA31" i="6"/>
  <c r="AA33" i="6"/>
  <c r="AA24" i="6"/>
  <c r="AA35" i="6"/>
  <c r="AA15" i="6"/>
  <c r="AA4" i="6"/>
  <c r="AA16" i="6"/>
  <c r="AA17" i="6"/>
  <c r="AA32" i="6"/>
  <c r="AA22" i="6"/>
  <c r="AA25" i="6"/>
  <c r="E25" i="6" s="1"/>
  <c r="AA29" i="6"/>
  <c r="E29" i="6" s="1"/>
  <c r="AA49" i="6"/>
  <c r="E49" i="6" s="1"/>
  <c r="AA40" i="6"/>
  <c r="E40" i="6" s="1"/>
  <c r="AA38" i="6"/>
  <c r="AA18" i="6"/>
  <c r="AA50" i="6"/>
  <c r="E50" i="6" s="1"/>
  <c r="AA46" i="6"/>
  <c r="E46" i="6" s="1"/>
  <c r="AA44" i="6"/>
  <c r="E44" i="6" s="1"/>
  <c r="Z59" i="1"/>
  <c r="Z15" i="1"/>
  <c r="E5" i="6"/>
  <c r="E64" i="6"/>
  <c r="AA8" i="6"/>
  <c r="E48" i="6"/>
  <c r="Z39" i="1"/>
  <c r="Z32" i="1"/>
  <c r="Z58" i="1"/>
  <c r="Z57" i="1"/>
  <c r="Z55" i="1"/>
  <c r="Z47" i="1"/>
  <c r="Z36" i="1"/>
  <c r="Z3" i="1"/>
  <c r="Z40" i="1"/>
  <c r="Z35" i="1"/>
  <c r="R9" i="1"/>
  <c r="U9" i="1"/>
  <c r="S4" i="1"/>
  <c r="U4" i="1"/>
  <c r="V4" i="1"/>
  <c r="S17" i="1"/>
  <c r="U17" i="1"/>
  <c r="W17" i="1"/>
  <c r="S20" i="1"/>
  <c r="T20" i="1"/>
  <c r="S14" i="1"/>
  <c r="U14" i="1"/>
  <c r="V14" i="1"/>
  <c r="W14" i="1"/>
  <c r="S18" i="1"/>
  <c r="T18" i="1"/>
  <c r="U18" i="1"/>
  <c r="W18" i="1"/>
  <c r="S12" i="1"/>
  <c r="S10" i="1"/>
  <c r="U10" i="1"/>
  <c r="S6" i="1"/>
  <c r="T6" i="1"/>
  <c r="U6" i="1"/>
  <c r="V6" i="1"/>
  <c r="S11" i="1"/>
  <c r="W11" i="1"/>
  <c r="S21" i="1"/>
  <c r="T21" i="1"/>
  <c r="V21" i="1"/>
  <c r="S16" i="1"/>
  <c r="U16" i="1"/>
  <c r="V16" i="1"/>
  <c r="W16" i="1"/>
  <c r="T25" i="1"/>
  <c r="V25" i="1"/>
  <c r="S22" i="1"/>
  <c r="T22" i="1"/>
  <c r="U22" i="1"/>
  <c r="S31" i="1"/>
  <c r="V31" i="1"/>
  <c r="W31" i="1"/>
  <c r="S33" i="1"/>
  <c r="S19" i="1"/>
  <c r="T19" i="1"/>
  <c r="U19" i="1"/>
  <c r="V19" i="1"/>
  <c r="S27" i="1"/>
  <c r="W27" i="1"/>
  <c r="S5" i="1"/>
  <c r="T5" i="1"/>
  <c r="V5" i="1"/>
  <c r="S38" i="1"/>
  <c r="W38" i="1"/>
  <c r="T46" i="1"/>
  <c r="V46" i="1"/>
  <c r="S37" i="1"/>
  <c r="T37" i="1"/>
  <c r="U37" i="1"/>
  <c r="S26" i="1"/>
  <c r="V26" i="1"/>
  <c r="W26" i="1"/>
  <c r="S50" i="1"/>
  <c r="S29" i="1"/>
  <c r="T29" i="1"/>
  <c r="U29" i="1"/>
  <c r="V29" i="1"/>
  <c r="S28" i="1"/>
  <c r="W28" i="1"/>
  <c r="S43" i="1"/>
  <c r="T43" i="1"/>
  <c r="S53" i="1"/>
  <c r="U53" i="1"/>
  <c r="V53" i="1"/>
  <c r="W53" i="1"/>
  <c r="S48" i="1"/>
  <c r="T48" i="1"/>
  <c r="U48" i="1"/>
  <c r="W48" i="1"/>
  <c r="S30" i="1"/>
  <c r="W30" i="1"/>
  <c r="S23" i="1"/>
  <c r="S41" i="1"/>
  <c r="T41" i="1"/>
  <c r="V41" i="1"/>
  <c r="S56" i="1"/>
  <c r="W56" i="1"/>
  <c r="S34" i="1"/>
  <c r="T34" i="1"/>
  <c r="S64" i="1"/>
  <c r="U64" i="1"/>
  <c r="V64" i="1"/>
  <c r="W64" i="1"/>
  <c r="R4" i="1"/>
  <c r="R17" i="1"/>
  <c r="R20" i="1"/>
  <c r="R14" i="1"/>
  <c r="R13" i="1"/>
  <c r="R11" i="1"/>
  <c r="R21" i="1"/>
  <c r="R16" i="1"/>
  <c r="R25" i="1"/>
  <c r="R31" i="1"/>
  <c r="R19" i="1"/>
  <c r="R27" i="1"/>
  <c r="R5" i="1"/>
  <c r="R38" i="1"/>
  <c r="R46" i="1"/>
  <c r="R26" i="1"/>
  <c r="R29" i="1"/>
  <c r="R28" i="1"/>
  <c r="R43" i="1"/>
  <c r="R53" i="1"/>
  <c r="R51" i="1"/>
  <c r="R48" i="1"/>
  <c r="R30" i="1"/>
  <c r="R23" i="1"/>
  <c r="R41" i="1"/>
  <c r="R56" i="1"/>
  <c r="R34" i="1"/>
  <c r="R64" i="1"/>
  <c r="R61" i="1"/>
  <c r="T9" i="1"/>
  <c r="V9" i="1"/>
  <c r="W9" i="1"/>
  <c r="T4" i="1"/>
  <c r="W4" i="1"/>
  <c r="T17" i="1"/>
  <c r="V17" i="1"/>
  <c r="U20" i="1"/>
  <c r="V20" i="1"/>
  <c r="W20" i="1"/>
  <c r="T14" i="1"/>
  <c r="S13" i="1"/>
  <c r="T13" i="1"/>
  <c r="U13" i="1"/>
  <c r="V13" i="1"/>
  <c r="W13" i="1"/>
  <c r="V18" i="1"/>
  <c r="T12" i="1"/>
  <c r="V12" i="1"/>
  <c r="W12" i="1"/>
  <c r="T10" i="1"/>
  <c r="V10" i="1"/>
  <c r="W10" i="1"/>
  <c r="W6" i="1"/>
  <c r="T11" i="1"/>
  <c r="U11" i="1"/>
  <c r="V11" i="1"/>
  <c r="U21" i="1"/>
  <c r="W21" i="1"/>
  <c r="T16" i="1"/>
  <c r="S25" i="1"/>
  <c r="U25" i="1"/>
  <c r="W25" i="1"/>
  <c r="V22" i="1"/>
  <c r="W22" i="1"/>
  <c r="T31" i="1"/>
  <c r="U31" i="1"/>
  <c r="U33" i="1"/>
  <c r="V33" i="1"/>
  <c r="W33" i="1"/>
  <c r="W19" i="1"/>
  <c r="T27" i="1"/>
  <c r="U27" i="1"/>
  <c r="V27" i="1"/>
  <c r="U5" i="1"/>
  <c r="W5" i="1"/>
  <c r="T38" i="1"/>
  <c r="U38" i="1"/>
  <c r="V38" i="1"/>
  <c r="S46" i="1"/>
  <c r="U46" i="1"/>
  <c r="W46" i="1"/>
  <c r="V37" i="1"/>
  <c r="W37" i="1"/>
  <c r="T26" i="1"/>
  <c r="U26" i="1"/>
  <c r="T50" i="1"/>
  <c r="U50" i="1"/>
  <c r="V50" i="1"/>
  <c r="W50" i="1"/>
  <c r="W29" i="1"/>
  <c r="T28" i="1"/>
  <c r="U28" i="1"/>
  <c r="V28" i="1"/>
  <c r="U43" i="1"/>
  <c r="V43" i="1"/>
  <c r="W43" i="1"/>
  <c r="T53" i="1"/>
  <c r="S51" i="1"/>
  <c r="T51" i="1"/>
  <c r="U51" i="1"/>
  <c r="V51" i="1"/>
  <c r="W51" i="1"/>
  <c r="V48" i="1"/>
  <c r="T30" i="1"/>
  <c r="U30" i="1"/>
  <c r="V30" i="1"/>
  <c r="T23" i="1"/>
  <c r="U23" i="1"/>
  <c r="V23" i="1"/>
  <c r="W23" i="1"/>
  <c r="U41" i="1"/>
  <c r="W41" i="1"/>
  <c r="T56" i="1"/>
  <c r="U56" i="1"/>
  <c r="V56" i="1"/>
  <c r="U34" i="1"/>
  <c r="V34" i="1"/>
  <c r="W34" i="1"/>
  <c r="T64" i="1"/>
  <c r="S61" i="1"/>
  <c r="T61" i="1"/>
  <c r="U61" i="1"/>
  <c r="V61" i="1"/>
  <c r="W61" i="1"/>
  <c r="R18" i="1"/>
  <c r="R12" i="1"/>
  <c r="R10" i="1"/>
  <c r="R6" i="1"/>
  <c r="R22" i="1"/>
  <c r="R37" i="1"/>
  <c r="R50" i="1"/>
  <c r="X50" i="1" l="1"/>
  <c r="Z50" i="1" s="1"/>
  <c r="X20" i="1"/>
  <c r="X34" i="1"/>
  <c r="X19" i="1"/>
  <c r="Z19" i="1" s="1"/>
  <c r="X43" i="1"/>
  <c r="Z43" i="1" s="1"/>
  <c r="X22" i="1"/>
  <c r="Z22" i="1" s="1"/>
  <c r="X41" i="1"/>
  <c r="X25" i="1"/>
  <c r="Z25" i="1" s="1"/>
  <c r="X10" i="1"/>
  <c r="X56" i="1"/>
  <c r="X31" i="1"/>
  <c r="Z31" i="1" s="1"/>
  <c r="X29" i="1"/>
  <c r="Z29" i="1" s="1"/>
  <c r="X4" i="1"/>
  <c r="Z4" i="1" s="1"/>
  <c r="X23" i="1"/>
  <c r="X26" i="1"/>
  <c r="X16" i="1"/>
  <c r="Z16" i="1" s="1"/>
  <c r="X17" i="1"/>
  <c r="Z17" i="1" s="1"/>
  <c r="X30" i="1"/>
  <c r="X46" i="1"/>
  <c r="Z46" i="1" s="1"/>
  <c r="X21" i="1"/>
  <c r="Z21" i="1" s="1"/>
  <c r="X37" i="1"/>
  <c r="Z37" i="1" s="1"/>
  <c r="X12" i="1"/>
  <c r="Z12" i="1" s="1"/>
  <c r="X48" i="1"/>
  <c r="X38" i="1"/>
  <c r="Z38" i="1" s="1"/>
  <c r="X11" i="1"/>
  <c r="Z11" i="1" s="1"/>
  <c r="X33" i="1"/>
  <c r="X6" i="1"/>
  <c r="Z6" i="1" s="1"/>
  <c r="X18" i="1"/>
  <c r="Z18" i="1" s="1"/>
  <c r="X61" i="1"/>
  <c r="Y61" i="1" s="1"/>
  <c r="X51" i="1"/>
  <c r="Z51" i="1" s="1"/>
  <c r="X5" i="1"/>
  <c r="Z5" i="1" s="1"/>
  <c r="X13" i="1"/>
  <c r="Z13" i="1" s="1"/>
  <c r="X28" i="1"/>
  <c r="Z28" i="1" s="1"/>
  <c r="X64" i="1"/>
  <c r="X53" i="1"/>
  <c r="Z53" i="1" s="1"/>
  <c r="X27" i="1"/>
  <c r="Z27" i="1" s="1"/>
  <c r="X14" i="1"/>
  <c r="Z14" i="1" s="1"/>
  <c r="E22" i="6"/>
  <c r="E9" i="6"/>
  <c r="E70" i="6"/>
  <c r="E43" i="6"/>
  <c r="E69" i="6"/>
  <c r="E52" i="6"/>
  <c r="E66" i="6"/>
  <c r="E67" i="6"/>
  <c r="E30" i="6"/>
  <c r="E56" i="6"/>
  <c r="E53" i="6"/>
  <c r="E27" i="6"/>
  <c r="E32" i="6"/>
  <c r="E34" i="6"/>
  <c r="E4" i="6"/>
  <c r="E21" i="6"/>
  <c r="E15" i="6"/>
  <c r="E10" i="6"/>
  <c r="E23" i="6"/>
  <c r="E20" i="6"/>
  <c r="E38" i="6"/>
  <c r="E6" i="6"/>
  <c r="E24" i="6"/>
  <c r="E37" i="6"/>
  <c r="E31" i="6"/>
  <c r="E36" i="6"/>
  <c r="E13" i="6"/>
  <c r="E17" i="6"/>
  <c r="E35" i="6"/>
  <c r="E33" i="6"/>
  <c r="E18" i="6"/>
  <c r="E14" i="6"/>
  <c r="E3" i="6"/>
  <c r="E12" i="6"/>
  <c r="E8" i="6"/>
  <c r="E41" i="6"/>
  <c r="E16" i="6"/>
  <c r="E11" i="6"/>
  <c r="Y64" i="1" l="1"/>
  <c r="Z10" i="1"/>
  <c r="Z26" i="1"/>
  <c r="Z20" i="1"/>
  <c r="Z61" i="1"/>
  <c r="Z23" i="1"/>
  <c r="Z64" i="1"/>
  <c r="Z48" i="1"/>
  <c r="Z34" i="1"/>
  <c r="Z30" i="1"/>
  <c r="Z56" i="1"/>
  <c r="Z41" i="1"/>
  <c r="Z33" i="1"/>
  <c r="S9" i="1" l="1"/>
  <c r="X9" i="1" s="1"/>
  <c r="Y62" i="1" l="1"/>
  <c r="Y57" i="1"/>
  <c r="Y54" i="1"/>
  <c r="Y45" i="1"/>
  <c r="Y52" i="1"/>
  <c r="Y59" i="1"/>
  <c r="Y55" i="1"/>
  <c r="Y56" i="1"/>
  <c r="Y58" i="1"/>
  <c r="Y7" i="1"/>
  <c r="Y42" i="1"/>
  <c r="Y24" i="1"/>
  <c r="Y44" i="1"/>
  <c r="Y34" i="1"/>
  <c r="Y32" i="1"/>
  <c r="Y9" i="1"/>
  <c r="Y28" i="1"/>
  <c r="Y25" i="1"/>
  <c r="Y37" i="1"/>
  <c r="Y17" i="1"/>
  <c r="Y4" i="1"/>
  <c r="Y6" i="1"/>
  <c r="Y12" i="1"/>
  <c r="Y36" i="1"/>
  <c r="Y38" i="1"/>
  <c r="Y26" i="1"/>
  <c r="Y14" i="1"/>
  <c r="Y18" i="1"/>
  <c r="Y40" i="1"/>
  <c r="Y47" i="1"/>
  <c r="Y23" i="1"/>
  <c r="Y27" i="1"/>
  <c r="Y43" i="1"/>
  <c r="Y35" i="1"/>
  <c r="Y30" i="1"/>
  <c r="Y51" i="1"/>
  <c r="Y10" i="1"/>
  <c r="Y33" i="1"/>
  <c r="Y16" i="1"/>
  <c r="Y13" i="1"/>
  <c r="Y11" i="1"/>
  <c r="Y48" i="1"/>
  <c r="Y15" i="1"/>
  <c r="Y31" i="1"/>
  <c r="Y22" i="1"/>
  <c r="Y5" i="1"/>
  <c r="Y46" i="1"/>
  <c r="Y39" i="1"/>
  <c r="Y20" i="1"/>
  <c r="Y19" i="1"/>
  <c r="Y21" i="1"/>
  <c r="Y49" i="1"/>
  <c r="Y41" i="1"/>
  <c r="Y53" i="1"/>
  <c r="Y3" i="1"/>
  <c r="Y29" i="1"/>
  <c r="Y50" i="1"/>
  <c r="Z9" i="1"/>
  <c r="AA8" i="1" l="1"/>
  <c r="E8" i="1" s="1"/>
  <c r="AA65" i="1"/>
  <c r="E65" i="1" s="1"/>
  <c r="AA45" i="1"/>
  <c r="E45" i="1" s="1"/>
  <c r="AA60" i="1"/>
  <c r="E60" i="1" s="1"/>
  <c r="AA54" i="1"/>
  <c r="E54" i="1" s="1"/>
  <c r="AA62" i="1"/>
  <c r="E62" i="1" s="1"/>
  <c r="AA42" i="1"/>
  <c r="E42" i="1" s="1"/>
  <c r="AA7" i="1"/>
  <c r="E7" i="1" s="1"/>
  <c r="AA24" i="1"/>
  <c r="E24" i="1" s="1"/>
  <c r="AA63" i="1"/>
  <c r="E63" i="1" s="1"/>
  <c r="AA44" i="1"/>
  <c r="E44" i="1" s="1"/>
  <c r="AA52" i="1"/>
  <c r="AA66" i="1"/>
  <c r="E66" i="1" s="1"/>
  <c r="AA9" i="1"/>
  <c r="AA38" i="1"/>
  <c r="E38" i="1" s="1"/>
  <c r="AA31" i="1"/>
  <c r="AA13" i="1"/>
  <c r="AA57" i="1"/>
  <c r="E57" i="1" s="1"/>
  <c r="AA50" i="1"/>
  <c r="E50" i="1" s="1"/>
  <c r="AA34" i="1"/>
  <c r="AA15" i="1"/>
  <c r="AA21" i="1"/>
  <c r="AA16" i="1"/>
  <c r="E16" i="1" s="1"/>
  <c r="AA6" i="1"/>
  <c r="AA46" i="1"/>
  <c r="E46" i="1" s="1"/>
  <c r="AA39" i="1"/>
  <c r="E39" i="1" s="1"/>
  <c r="AA26" i="1"/>
  <c r="AA55" i="1"/>
  <c r="AA27" i="1"/>
  <c r="E27" i="1" s="1"/>
  <c r="AA43" i="1"/>
  <c r="AA41" i="1"/>
  <c r="E41" i="1" s="1"/>
  <c r="AA53" i="1"/>
  <c r="E53" i="1" s="1"/>
  <c r="AA51" i="1"/>
  <c r="E51" i="1" s="1"/>
  <c r="AA11" i="1"/>
  <c r="AA28" i="1"/>
  <c r="AA32" i="1"/>
  <c r="E32" i="1" s="1"/>
  <c r="AA37" i="1"/>
  <c r="E37" i="1" s="1"/>
  <c r="AA19" i="1"/>
  <c r="AA29" i="1"/>
  <c r="AA10" i="1"/>
  <c r="AA5" i="1"/>
  <c r="AA20" i="1"/>
  <c r="AA59" i="1"/>
  <c r="AA4" i="1"/>
  <c r="AA36" i="1"/>
  <c r="AA18" i="1"/>
  <c r="E18" i="1" s="1"/>
  <c r="AA30" i="1"/>
  <c r="AA61" i="1"/>
  <c r="E61" i="1" s="1"/>
  <c r="AA47" i="1"/>
  <c r="AA12" i="1"/>
  <c r="AA22" i="1"/>
  <c r="AA33" i="1"/>
  <c r="E33" i="1" s="1"/>
  <c r="AA25" i="1"/>
  <c r="AA49" i="1"/>
  <c r="AA58" i="1"/>
  <c r="E58" i="1" s="1"/>
  <c r="AA23" i="1"/>
  <c r="AA40" i="1"/>
  <c r="E40" i="1" s="1"/>
  <c r="AA64" i="1"/>
  <c r="E64" i="1" s="1"/>
  <c r="AA3" i="1"/>
  <c r="AA56" i="1"/>
  <c r="AA17" i="1"/>
  <c r="E17" i="1" s="1"/>
  <c r="AA14" i="1"/>
  <c r="AA48" i="1"/>
  <c r="E48" i="1" s="1"/>
  <c r="AA35" i="1"/>
  <c r="E35" i="1" s="1"/>
  <c r="E31" i="1" l="1"/>
  <c r="E28" i="1"/>
  <c r="E15" i="1"/>
  <c r="E26" i="1"/>
  <c r="E12" i="1"/>
  <c r="E5" i="1"/>
  <c r="E59" i="1"/>
  <c r="E56" i="1"/>
  <c r="E14" i="1"/>
  <c r="E30" i="1"/>
  <c r="E9" i="1"/>
  <c r="E23" i="1"/>
  <c r="E55" i="1"/>
  <c r="E47" i="1"/>
  <c r="E13" i="1"/>
  <c r="E6" i="1"/>
  <c r="E29" i="1"/>
  <c r="E49" i="1"/>
  <c r="E19" i="1"/>
  <c r="E43" i="1"/>
  <c r="E21" i="1"/>
  <c r="E25" i="1"/>
  <c r="E36" i="1"/>
  <c r="E4" i="1"/>
  <c r="E34" i="1"/>
  <c r="E52" i="1"/>
  <c r="E3" i="1"/>
  <c r="E22" i="1"/>
  <c r="E20" i="1"/>
  <c r="E11" i="1"/>
  <c r="E10" i="1"/>
</calcChain>
</file>

<file path=xl/sharedStrings.xml><?xml version="1.0" encoding="utf-8"?>
<sst xmlns="http://schemas.openxmlformats.org/spreadsheetml/2006/main" count="351" uniqueCount="191">
  <si>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</si>
  <si>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</si>
  <si>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</si>
  <si>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</si>
  <si>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</si>
  <si>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</si>
  <si>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</si>
  <si>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</si>
  <si>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</si>
  <si>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</si>
  <si>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</si>
  <si>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</si>
  <si>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</si>
  <si>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</si>
  <si>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</si>
  <si>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</si>
  <si>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</si>
  <si>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</si>
  <si>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</si>
  <si>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</si>
  <si>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</si>
  <si>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</si>
  <si>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</si>
  <si>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</si>
  <si>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</si>
  <si>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</si>
  <si>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</si>
  <si>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</si>
  <si>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</si>
  <si>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</si>
  <si>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</si>
  <si>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</si>
  <si>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</si>
  <si>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</si>
  <si>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</si>
  <si>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</si>
  <si>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</si>
  <si>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</si>
  <si>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</si>
  <si>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</si>
  <si>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</si>
  <si>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</si>
  <si>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</si>
  <si>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</si>
  <si>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</si>
  <si>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</si>
  <si>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</si>
  <si>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</si>
  <si>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</si>
  <si>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</si>
  <si>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</si>
  <si>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</si>
  <si>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</si>
  <si>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</si>
  <si>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</si>
  <si>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</si>
  <si>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</si>
  <si>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</si>
  <si>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</si>
  <si>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</si>
  <si>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</si>
  <si>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</si>
  <si>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</si>
  <si>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</si>
  <si>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</si>
  <si>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</si>
  <si>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</si>
  <si>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</si>
  <si>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</si>
  <si>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</si>
  <si>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</si>
  <si>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</si>
  <si>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</si>
  <si>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</si>
  <si>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</si>
  <si>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</si>
  <si>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</si>
  <si>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</si>
  <si>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</si>
  <si>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</si>
  <si>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</si>
  <si>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</si>
  <si>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</si>
  <si>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</si>
  <si>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</si>
  <si>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</si>
  <si>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</si>
  <si>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</si>
  <si>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</si>
  <si>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</si>
  <si>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</si>
  <si>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</si>
  <si>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</si>
  <si>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</si>
  <si>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</si>
  <si>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</si>
  <si>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</si>
  <si>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</si>
  <si>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</si>
  <si>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</si>
  <si>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</si>
  <si>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</si>
  <si>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</si>
  <si>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</si>
  <si>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</si>
  <si>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</si>
  <si>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</si>
  <si>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</si>
  <si>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</si>
  <si>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</si>
  <si>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</si>
  <si>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</si>
  <si>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</si>
  <si>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</si>
  <si>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</si>
  <si>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</si>
  <si>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</si>
  <si>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</si>
  <si>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</si>
  <si>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</si>
  <si>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</si>
  <si>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</si>
  <si>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</si>
  <si>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</si>
  <si>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</si>
  <si>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</si>
  <si>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</si>
  <si>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</si>
  <si>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</si>
  <si>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</si>
  <si>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</si>
  <si>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</si>
  <si>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</si>
  <si>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</si>
  <si>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</si>
  <si>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</si>
  <si>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</si>
  <si>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</si>
  <si>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</si>
  <si>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</si>
  <si>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</si>
  <si>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</si>
  <si>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</si>
  <si>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</si>
  <si>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</si>
  <si>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</si>
  <si>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</si>
  <si>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</si>
  <si>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</si>
  <si>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</si>
  <si>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</si>
  <si>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</si>
  <si>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</si>
  <si>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</si>
  <si>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</si>
  <si>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</si>
  <si>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</si>
  <si>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</si>
  <si>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</si>
  <si>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</si>
  <si>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</si>
  <si>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</si>
  <si>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</si>
  <si>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</si>
  <si>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</si>
  <si>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</si>
  <si>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</si>
  <si>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</si>
  <si>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</si>
  <si>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Ricardo Santos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</si>
  <si>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</si>
  <si>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</si>
  <si>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</si>
  <si>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</si>
  <si>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</si>
  <si>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</si>
  <si>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</si>
  <si>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</si>
  <si>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</si>
  <si>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</si>
  <si>
    <t>Vera Beliankina</t>
  </si>
  <si>
    <t>Rachel Tam</t>
  </si>
  <si>
    <t>Melania Rodriguez</t>
  </si>
  <si>
    <t>Alyssa Oh</t>
  </si>
  <si>
    <t>Andrew Stamp</t>
  </si>
  <si>
    <t>Morgan Demiro-O-Demiro</t>
  </si>
  <si>
    <t>Luis Loria</t>
  </si>
  <si>
    <t>Ruben Padilla</t>
  </si>
  <si>
    <t>Pirmammad Aliyev</t>
  </si>
  <si>
    <t>P</t>
  </si>
  <si>
    <t>Iana Lebedeva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</si>
</sst>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J102"/>
  <sheetViews>
    <sheetView tabSelected="1" zoomScaleNormal="100"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15"/>
    <col min="28" max="30" width="10.83203125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113</v>
      </c>
      <c r="D1" s="17" t="s">
        <v>114</v>
      </c>
      <c r="E1" s="22" t="s">
        <v>61</v>
      </c>
      <c r="F1" s="19" t="s">
        <v>7</v>
      </c>
      <c r="G1" s="19"/>
      <c r="H1" s="19"/>
      <c r="I1" s="19"/>
      <c r="J1" s="19"/>
      <c r="K1" s="20"/>
      <c r="L1" s="21" t="s">
        <v>62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63</v>
      </c>
      <c r="Z1" s="23" t="s">
        <v>115</v>
      </c>
      <c r="AA1" s="17" t="s">
        <v>111</v>
      </c>
      <c r="AB1" s="17" t="s">
        <v>152</v>
      </c>
      <c r="AC1" s="17" t="s">
        <v>153</v>
      </c>
      <c r="AD1" s="17" t="s">
        <v>154</v>
      </c>
      <c r="AE1" s="16" t="s">
        <v>112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139</v>
      </c>
      <c r="B3" s="6" t="s">
        <v>18</v>
      </c>
      <c r="C3" s="5" t="s">
        <v>189</v>
      </c>
      <c r="E3" s="3" t="str">
        <f>IF(AA3="","",RANK(AA3,AA:AA))</f>
        <v/>
      </c>
      <c r="F3" s="6">
        <v>59</v>
      </c>
      <c r="G3" s="6">
        <v>4</v>
      </c>
      <c r="H3" s="6">
        <v>2</v>
      </c>
      <c r="I3" s="6">
        <v>3</v>
      </c>
      <c r="J3" s="6"/>
      <c r="K3" s="6"/>
      <c r="L3" s="1" t="str">
        <f>IF(OR($C3&lt;&gt;"",$D3&lt;&gt;"",F3=""),"",F3-SUMPRODUCT(--($C$3:$C$102="P"),--(F$3:F$102&lt;F3),--(F$3:F$102&lt;&gt;""))-SUMPRODUCT(--($D$3:$D$102="P"),--(F$3:F$102&lt;F3),--(F$3:F$102&lt;&gt;"")))</f>
        <v/>
      </c>
      <c r="M3" s="9" t="str">
        <f>IF(OR($C3&lt;&gt;"",$D3&lt;&gt;"",G3=""),"",G3-SUMPRODUCT(--($C$3:$C$102="P"),--(G$3:G$102&lt;G3),--(G$3:G$102&lt;&gt;""))-SUMPRODUCT(--($D$3:$D$102="P"),--(G$3:G$102&lt;G3),--(G$3:G$102&lt;&gt;"")))</f>
        <v/>
      </c>
      <c r="N3" s="9" t="str">
        <f>IF(OR($C3&lt;&gt;"",$D3&lt;&gt;"",H3=""),"",H3-SUMPRODUCT(--($C$3:$C$102="P"),--(H$3:H$102&lt;H3),--(H$3:H$102&lt;&gt;""))-SUMPRODUCT(--($D$3:$D$102="P"),--(H$3:H$102&lt;H3),--(H$3:H$102&lt;&gt;"")))</f>
        <v/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S3" s="1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1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1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 t="str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/>
      </c>
      <c r="Y3" s="2" t="str">
        <f>IF(OR(X3="",X3=0),"",IF(SUMPRODUCT(--(B$3:B$102=B3),--(X$3:X$102&gt;X3),--(X$3:X$102&lt;&gt;"")),"","P"))</f>
        <v/>
      </c>
      <c r="Z3" s="2" t="str">
        <f>IF(X3="","",IF(SUMPRODUCT(--(C$3:C$102="P"),--(B$3:B$102=B3)),"P",""))</f>
        <v/>
      </c>
      <c r="AA3" s="15" t="str">
        <f>IF(AND(Y3&lt;&gt;"",OR(Z3="",SUMPRODUCT(--(X$3:X$102&gt;X3),--(Z$3:Z$102="P"),--(Y$3:Y$102="P"))&lt;4)),X3,"")</f>
        <v/>
      </c>
      <c r="AB3" s="9" t="str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/>
      </c>
      <c r="AC3" s="9">
        <f>COUNTIF(L3:Q3,"&lt;=8")</f>
        <v>0</v>
      </c>
      <c r="AD3" s="9">
        <f>MIN(L3:Q3)</f>
        <v>0</v>
      </c>
    </row>
    <row r="4" spans="1:36" x14ac:dyDescent="0.2">
      <c r="A4" s="7" t="s">
        <v>10</v>
      </c>
      <c r="B4" s="6" t="s">
        <v>17</v>
      </c>
      <c r="C4" s="5" t="s">
        <v>189</v>
      </c>
      <c r="E4" s="3" t="str">
        <f>IF(AA4="","",RANK(AA4,AA:AA))</f>
        <v/>
      </c>
      <c r="F4" s="6">
        <v>2</v>
      </c>
      <c r="G4" s="6">
        <v>52</v>
      </c>
      <c r="H4" s="6">
        <v>18</v>
      </c>
      <c r="I4" s="6">
        <v>27</v>
      </c>
      <c r="J4" s="6"/>
      <c r="K4" s="6"/>
      <c r="L4" s="9" t="str">
        <f>IF(OR($C4&lt;&gt;"",$D4&lt;&gt;"",F4=""),"",F4-SUMPRODUCT(--($C$3:$C$102="P"),--(F$3:F$102&lt;F4),--(F$3:F$102&lt;&gt;""))-SUMPRODUCT(--($D$3:$D$102="P"),--(F$3:F$102&lt;F4),--(F$3:F$102&lt;&gt;"")))</f>
        <v/>
      </c>
      <c r="M4" s="9" t="str">
        <f>IF(OR($C4&lt;&gt;"",$D4&lt;&gt;"",G4=""),"",G4-SUMPRODUCT(--($C$3:$C$102="P"),--(G$3:G$102&lt;G4),--(G$3:G$102&lt;&gt;""))-SUMPRODUCT(--($D$3:$D$102="P"),--(G$3:G$102&lt;G4),--(G$3:G$102&lt;&gt;"")))</f>
        <v/>
      </c>
      <c r="N4" s="9" t="str">
        <f>IF(OR($C4&lt;&gt;"",$D4&lt;&gt;"",H4=""),"",H4-SUMPRODUCT(--($C$3:$C$102="P"),--(H$3:H$102&lt;H4),--(H$3:H$102&lt;&gt;""))-SUMPRODUCT(--($D$3:$D$102="P"),--(H$3:H$102&lt;H4),--(H$3:H$102&lt;&gt;"")))</f>
        <v/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S4" s="1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1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1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1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1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5" t="str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/>
      </c>
      <c r="Y4" s="2" t="str">
        <f>IF(OR(X4="",X4=0),"",IF(SUMPRODUCT(--(B$3:B$102=B4),--(X$3:X$102&gt;X4),--(X$3:X$102&lt;&gt;"")),"","P"))</f>
        <v/>
      </c>
      <c r="Z4" s="2" t="str">
        <f>IF(X4="","",IF(SUMPRODUCT(--(C$3:C$102="P"),--(B$3:B$102=B4)),"P",""))</f>
        <v/>
      </c>
      <c r="AA4" s="15" t="str">
        <f>IF(AND(Y4&lt;&gt;"",OR(Z4="",SUMPRODUCT(--(X$3:X$102&gt;X4),--(Z$3:Z$102="P"),--(Y$3:Y$102="P"))&lt;4)),X4,"")</f>
        <v/>
      </c>
      <c r="AB4" s="9" t="str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/>
      </c>
      <c r="AC4" s="9">
        <f>COUNTIF(L4:Q4,"&lt;=8")</f>
        <v>0</v>
      </c>
      <c r="AD4" s="9">
        <f>MIN(L4:Q4)</f>
        <v>0</v>
      </c>
    </row>
    <row r="5" spans="1:36" x14ac:dyDescent="0.2">
      <c r="A5" s="7" t="s">
        <v>33</v>
      </c>
      <c r="B5" s="6" t="s">
        <v>24</v>
      </c>
      <c r="C5" s="5" t="s">
        <v>189</v>
      </c>
      <c r="E5" s="3" t="str">
        <f>IF(AA5="","",RANK(AA5,AA:AA))</f>
        <v/>
      </c>
      <c r="F5" s="6">
        <v>20</v>
      </c>
      <c r="G5" s="6">
        <v>6</v>
      </c>
      <c r="H5" s="6">
        <v>24</v>
      </c>
      <c r="I5" s="6">
        <v>17</v>
      </c>
      <c r="J5" s="6"/>
      <c r="K5" s="6"/>
      <c r="L5" s="9" t="str">
        <f>IF(OR($C5&lt;&gt;"",$D5&lt;&gt;"",F5=""),"",F5-SUMPRODUCT(--($C$3:$C$102="P"),--(F$3:F$102&lt;F5),--(F$3:F$102&lt;&gt;""))-SUMPRODUCT(--($D$3:$D$102="P"),--(F$3:F$102&lt;F5),--(F$3:F$102&lt;&gt;"")))</f>
        <v/>
      </c>
      <c r="M5" s="9" t="str">
        <f>IF(OR($C5&lt;&gt;"",$D5&lt;&gt;"",G5=""),"",G5-SUMPRODUCT(--($C$3:$C$102="P"),--(G$3:G$102&lt;G5),--(G$3:G$102&lt;&gt;""))-SUMPRODUCT(--($D$3:$D$102="P"),--(G$3:G$102&lt;G5),--(G$3:G$102&lt;&gt;"")))</f>
        <v/>
      </c>
      <c r="N5" s="9" t="str">
        <f>IF(OR($C5&lt;&gt;"",$D5&lt;&gt;"",H5=""),"",H5-SUMPRODUCT(--($C$3:$C$102="P"),--(H$3:H$102&lt;H5),--(H$3:H$102&lt;&gt;""))-SUMPRODUCT(--($D$3:$D$102="P"),--(H$3:H$102&lt;H5),--(H$3:H$102&lt;&gt;"")))</f>
        <v/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S5" s="1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1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1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1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1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5" t="str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/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5" t="str">
        <f>IF(AND(Y5&lt;&gt;"",OR(Z5="",SUMPRODUCT(--(X$3:X$102&gt;X5),--(Z$3:Z$102="P"),--(Y$3:Y$102="P"))&lt;4)),X5,"")</f>
        <v/>
      </c>
      <c r="AB5" s="9" t="str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/>
      </c>
      <c r="AC5" s="9">
        <f>COUNTIF(L5:Q5,"&lt;=8")</f>
        <v>0</v>
      </c>
      <c r="AD5" s="9">
        <f>MIN(L5:Q5)</f>
        <v>0</v>
      </c>
    </row>
    <row r="6" spans="1:36" x14ac:dyDescent="0.2">
      <c r="A6" s="7" t="s">
        <v>166</v>
      </c>
      <c r="B6" s="6" t="s">
        <v>22</v>
      </c>
      <c r="C6" s="5" t="s">
        <v>189</v>
      </c>
      <c r="E6" s="3" t="str">
        <f>IF(AA6="","",RANK(AA6,AA:AA))</f>
        <v/>
      </c>
      <c r="F6" s="6">
        <v>10</v>
      </c>
      <c r="G6" s="6">
        <v>63</v>
      </c>
      <c r="H6" s="6">
        <v>41</v>
      </c>
      <c r="I6" s="6">
        <v>12</v>
      </c>
      <c r="J6" s="6"/>
      <c r="K6" s="6"/>
      <c r="L6" s="9" t="str">
        <f>IF(OR($C6&lt;&gt;"",$D6&lt;&gt;"",F6=""),"",F6-SUMPRODUCT(--($C$3:$C$102="P"),--(F$3:F$102&lt;F6),--(F$3:F$102&lt;&gt;""))-SUMPRODUCT(--($D$3:$D$102="P"),--(F$3:F$102&lt;F6),--(F$3:F$102&lt;&gt;"")))</f>
        <v/>
      </c>
      <c r="M6" s="9" t="str">
        <f>IF(OR($C6&lt;&gt;"",$D6&lt;&gt;"",G6=""),"",G6-SUMPRODUCT(--($C$3:$C$102="P"),--(G$3:G$102&lt;G6),--(G$3:G$102&lt;&gt;""))-SUMPRODUCT(--($D$3:$D$102="P"),--(G$3:G$102&lt;G6),--(G$3:G$102&lt;&gt;"")))</f>
        <v/>
      </c>
      <c r="N6" s="9" t="str">
        <f>IF(OR($C6&lt;&gt;"",$D6&lt;&gt;"",H6=""),"",H6-SUMPRODUCT(--($C$3:$C$102="P"),--(H$3:H$102&lt;H6),--(H$3:H$102&lt;&gt;""))-SUMPRODUCT(--($D$3:$D$102="P"),--(H$3:H$102&lt;H6),--(H$3:H$102&lt;&gt;"")))</f>
        <v/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1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S6" s="1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1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1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1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1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5" t="str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/>
      </c>
      <c r="Y6" s="2" t="str">
        <f>IF(OR(X6="",X6=0),"",IF(SUMPRODUCT(--(B$3:B$102=B6),--(X$3:X$102&gt;X6),--(X$3:X$102&lt;&gt;"")),"","P"))</f>
        <v/>
      </c>
      <c r="Z6" s="2" t="str">
        <f>IF(X6="","",IF(SUMPRODUCT(--(C$3:C$102="P"),--(B$3:B$102=B6)),"P",""))</f>
        <v/>
      </c>
      <c r="AA6" s="15" t="str">
        <f>IF(AND(Y6&lt;&gt;"",OR(Z6="",SUMPRODUCT(--(X$3:X$102&gt;X6),--(Z$3:Z$102="P"),--(Y$3:Y$102="P"))&lt;4)),X6,"")</f>
        <v/>
      </c>
      <c r="AB6" s="9" t="str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/>
      </c>
      <c r="AC6" s="9">
        <f>COUNTIF(L6:Q6,"&lt;=8")</f>
        <v>0</v>
      </c>
      <c r="AD6" s="9">
        <f>MIN(L6:Q6)</f>
        <v>0</v>
      </c>
    </row>
    <row r="7" spans="1:36" x14ac:dyDescent="0.2">
      <c r="A7" s="7" t="s">
        <v>156</v>
      </c>
      <c r="B7" s="6" t="s">
        <v>16</v>
      </c>
      <c r="C7" s="5" t="s">
        <v>189</v>
      </c>
      <c r="E7" s="3" t="str">
        <f>IF(AA7="","",RANK(AA7,AA:AA))</f>
        <v/>
      </c>
      <c r="F7" s="6"/>
      <c r="G7" s="6"/>
      <c r="H7" s="6">
        <v>12</v>
      </c>
      <c r="I7" s="6">
        <v>33</v>
      </c>
      <c r="J7" s="6"/>
      <c r="K7" s="6"/>
      <c r="L7" s="9" t="str">
        <f>IF(OR($C7&lt;&gt;"",$D7&lt;&gt;"",F7=""),"",F7-SUMPRODUCT(--($C$3:$C$102="P"),--(F$3:F$102&lt;F7),--(F$3:F$102&lt;&gt;""))-SUMPRODUCT(--($D$3:$D$102="P"),--(F$3:F$102&lt;F7),--(F$3:F$102&lt;&gt;"")))</f>
        <v/>
      </c>
      <c r="M7" s="9" t="str">
        <f>IF(OR($C7&lt;&gt;"",$D7&lt;&gt;"",G7=""),"",G7-SUMPRODUCT(--($C$3:$C$102="P"),--(G$3:G$102&lt;G7),--(G$3:G$102&lt;&gt;""))-SUMPRODUCT(--($D$3:$D$102="P"),--(G$3:G$102&lt;G7),--(G$3:G$102&lt;&gt;"")))</f>
        <v/>
      </c>
      <c r="N7" s="9" t="str">
        <f>IF(OR($C7&lt;&gt;"",$D7&lt;&gt;"",H7=""),"",H7-SUMPRODUCT(--($C$3:$C$102="P"),--(H$3:H$102&lt;H7),--(H$3:H$102&lt;&gt;""))-SUMPRODUCT(--($D$3:$D$102="P"),--(H$3:H$102&lt;H7),--(H$3:H$102&lt;&gt;"")))</f>
        <v/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S7" s="1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1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1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1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1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5" t="str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/>
      </c>
      <c r="Y7" s="2" t="str">
        <f>IF(OR(X7="",X7=0),"",IF(SUMPRODUCT(--(B$3:B$102=B7),--(X$3:X$102&gt;X7),--(X$3:X$102&lt;&gt;"")),"","P"))</f>
        <v/>
      </c>
      <c r="Z7" s="2" t="str">
        <f>IF(X7="","",IF(SUMPRODUCT(--(C$3:C$102="P"),--(B$3:B$102=B7)),"P",""))</f>
        <v/>
      </c>
      <c r="AA7" s="15" t="str">
        <f>IF(AND(Y7&lt;&gt;"",OR(Z7="",SUMPRODUCT(--(X$3:X$102&gt;X7),--(Z$3:Z$102="P"),--(Y$3:Y$102="P"))&lt;4)),X7,"")</f>
        <v/>
      </c>
      <c r="AB7" s="9" t="str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/>
      </c>
      <c r="AC7" s="9">
        <f>COUNTIF(L7:Q7,"&lt;=8")</f>
        <v>0</v>
      </c>
      <c r="AD7" s="9">
        <f>MIN(L7:Q7)</f>
        <v>0</v>
      </c>
    </row>
    <row r="8" spans="1:36" x14ac:dyDescent="0.2">
      <c r="A8" s="7" t="s">
        <v>190</v>
      </c>
      <c r="B8" s="6" t="s">
        <v>20</v>
      </c>
      <c r="C8" s="5" t="s">
        <v>189</v>
      </c>
      <c r="E8" s="3" t="str">
        <f>IF(AA8="","",RANK(AA8,AA:AA))</f>
        <v/>
      </c>
      <c r="F8" s="6"/>
      <c r="G8" s="6"/>
      <c r="H8" s="6"/>
      <c r="I8" s="6"/>
      <c r="J8" s="6"/>
      <c r="K8" s="6"/>
      <c r="L8" s="9" t="str">
        <f>IF(OR($C8&lt;&gt;"",$D8&lt;&gt;"",F8=""),"",F8-SUMPRODUCT(--($C$3:$C$102="P"),--(F$3:F$102&lt;F8),--(F$3:F$102&lt;&gt;""))-SUMPRODUCT(--($D$3:$D$102="P"),--(F$3:F$102&lt;F8),--(F$3:F$102&lt;&gt;"")))</f>
        <v/>
      </c>
      <c r="M8" s="9" t="str">
        <f>IF(OR($C8&lt;&gt;"",$D8&lt;&gt;"",G8=""),"",G8-SUMPRODUCT(--($C$3:$C$102="P"),--(G$3:G$102&lt;G8),--(G$3:G$102&lt;&gt;""))-SUMPRODUCT(--($D$3:$D$102="P"),--(G$3:G$102&lt;G8),--(G$3:G$102&lt;&gt;"")))</f>
        <v/>
      </c>
      <c r="N8" s="9" t="str">
        <f>IF(OR($C8&lt;&gt;"",$D8&lt;&gt;"",H8=""),"",H8-SUMPRODUCT(--($C$3:$C$102="P"),--(H$3:H$102&lt;H8),--(H$3:H$102&lt;&gt;""))-SUMPRODUCT(--($D$3:$D$102="P"),--(H$3:H$102&lt;H8),--(H$3:H$102&lt;&gt;"")))</f>
        <v/>
      </c>
      <c r="O8" s="9" t="str">
        <f>IF(OR($C8&lt;&gt;"",$D8&lt;&gt;"",I8=""),"",I8-SUMPRODUCT(--($C$3:$C$102="P"),--(I$3:I$102&lt;I8),--(I$3:I$102&lt;&gt;""))-SUMPRODUCT(--($D$3:$D$102="P"),--(I$3:I$102&lt;I8),--(I$3:I$102&lt;&gt;"")))</f>
        <v/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1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S8" s="1" t="str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/>
      </c>
      <c r="T8" s="1" t="str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/>
      </c>
      <c r="U8" s="1" t="str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/>
      </c>
      <c r="V8" s="1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1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5" t="str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/>
      </c>
      <c r="Y8" s="2" t="str">
        <f>IF(OR(X8="",X8=0),"",IF(SUMPRODUCT(--(B$3:B$102=B8),--(X$3:X$102&gt;X8),--(X$3:X$102&lt;&gt;"")),"","P"))</f>
        <v/>
      </c>
      <c r="Z8" s="2" t="str">
        <f>IF(X8="","",IF(SUMPRODUCT(--(C$3:C$102="P"),--(B$3:B$102=B8)),"P",""))</f>
        <v/>
      </c>
      <c r="AA8" s="15" t="str">
        <f>IF(AND(Y8&lt;&gt;"",OR(Z8="",SUMPRODUCT(--(X$3:X$102&gt;X8),--(Z$3:Z$102="P"),--(Y$3:Y$102="P"))&lt;4)),X8,"")</f>
        <v/>
      </c>
    </row>
    <row r="9" spans="1:36" x14ac:dyDescent="0.2">
      <c r="A9" s="7" t="s">
        <v>73</v>
      </c>
      <c r="B9" s="6" t="s">
        <v>16</v>
      </c>
      <c r="E9" s="3">
        <f>IF(AA9="","",RANK(AA9,AA:AA))</f>
        <v>1</v>
      </c>
      <c r="F9" s="6">
        <v>1</v>
      </c>
      <c r="G9" s="6">
        <v>54</v>
      </c>
      <c r="H9" s="6">
        <v>3</v>
      </c>
      <c r="I9" s="6">
        <v>1</v>
      </c>
      <c r="J9" s="6"/>
      <c r="K9" s="6"/>
      <c r="L9" s="9">
        <f>IF(OR($C9&lt;&gt;"",$D9&lt;&gt;"",F9=""),"",F9-SUMPRODUCT(--($C$3:$C$102="P"),--(F$3:F$102&lt;F9),--(F$3:F$102&lt;&gt;""))-SUMPRODUCT(--($D$3:$D$102="P"),--(F$3:F$102&lt;F9),--(F$3:F$102&lt;&gt;"")))</f>
        <v>1</v>
      </c>
      <c r="M9" s="9">
        <f>IF(OR($C9&lt;&gt;"",$D9&lt;&gt;"",G9=""),"",G9-SUMPRODUCT(--($C$3:$C$102="P"),--(G$3:G$102&lt;G9),--(G$3:G$102&lt;&gt;""))-SUMPRODUCT(--($D$3:$D$102="P"),--(G$3:G$102&lt;G9),--(G$3:G$102&lt;&gt;"")))</f>
        <v>51</v>
      </c>
      <c r="N9" s="9">
        <f>IF(OR($C9&lt;&gt;"",$D9&lt;&gt;"",H9=""),"",H9-SUMPRODUCT(--($C$3:$C$102="P"),--(H$3:H$102&lt;H9),--(H$3:H$102&lt;&gt;""))-SUMPRODUCT(--($D$3:$D$102="P"),--(H$3:H$102&lt;H9),--(H$3:H$102&lt;&gt;"")))</f>
        <v>2</v>
      </c>
      <c r="O9" s="9">
        <f>IF(OR($C9&lt;&gt;"",$D9&lt;&gt;"",I9=""),"",I9-SUMPRODUCT(--($C$3:$C$102="P"),--(I$3:I$102&lt;I9),--(I$3:I$102&lt;&gt;""))-SUMPRODUCT(--($D$3:$D$102="P"),--(I$3:I$102&lt;I9),--(I$3:I$102&lt;&gt;"")))</f>
        <v>1</v>
      </c>
      <c r="P9" s="9" t="str">
        <f>IF(OR($C9&lt;&gt;"",$D9&lt;&gt;"",J9=""),"",J9-SUMPRODUCT(--($C$3:$C$102="P"),--(J$3:J$102&lt;J9),--(J$3:J$102&lt;&gt;""))-SUMPRODUCT(--($D$3:$D$102="P"),--(J$3:J$102&lt;J9),--(J$3:J$102&lt;&gt;"")))</f>
        <v/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1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60</v>
      </c>
      <c r="S9" s="1" t="str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/>
      </c>
      <c r="T9" s="1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55</v>
      </c>
      <c r="U9" s="1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60</v>
      </c>
      <c r="V9" s="1" t="str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/>
      </c>
      <c r="W9" s="1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5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175.09453999000002</v>
      </c>
      <c r="Y9" s="2" t="str">
        <f>IF(OR(X9="",X9=0),"",IF(SUMPRODUCT(--(B$3:B$102=B9),--(X$3:X$102&gt;X9),--(X$3:X$102&lt;&gt;"")),"","P"))</f>
        <v>P</v>
      </c>
      <c r="Z9" s="2" t="str">
        <f>IF(X9="","",IF(SUMPRODUCT(--(C$3:C$102="P"),--(B$3:B$102=B9)),"P",""))</f>
        <v>P</v>
      </c>
      <c r="AA9" s="15">
        <f>IF(AND(Y9&lt;&gt;"",OR(Z9="",SUMPRODUCT(--(X$3:X$102&gt;X9),--(Z$3:Z$102="P"),--(Y$3:Y$102="P"))&lt;4)),X9,"")</f>
        <v>175.09453999000002</v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55</v>
      </c>
      <c r="AC9" s="9">
        <f>COUNTIF(L9:Q9,"&lt;=8")</f>
        <v>3</v>
      </c>
      <c r="AD9" s="9">
        <f>MIN(L9:Q9)</f>
        <v>1</v>
      </c>
    </row>
    <row r="10" spans="1:36" x14ac:dyDescent="0.2">
      <c r="A10" s="7" t="s">
        <v>75</v>
      </c>
      <c r="B10" s="6" t="s">
        <v>16</v>
      </c>
      <c r="E10" s="3" t="str">
        <f>IF(AA10="","",RANK(AA10,AA:AA))</f>
        <v/>
      </c>
      <c r="F10" s="6">
        <v>9</v>
      </c>
      <c r="G10" s="6">
        <v>1</v>
      </c>
      <c r="H10" s="6">
        <v>8</v>
      </c>
      <c r="I10" s="6">
        <v>2</v>
      </c>
      <c r="J10" s="6"/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8</v>
      </c>
      <c r="M10" s="9">
        <f>IF(OR($C10&lt;&gt;"",$D10&lt;&gt;"",G10=""),"",G10-SUMPRODUCT(--($C$3:$C$102="P"),--(G$3:G$102&lt;G10),--(G$3:G$102&lt;&gt;""))-SUMPRODUCT(--($D$3:$D$102="P"),--(G$3:G$102&lt;G10),--(G$3:G$102&lt;&gt;"")))</f>
        <v>1</v>
      </c>
      <c r="N10" s="9">
        <f>IF(OR($C10&lt;&gt;"",$D10&lt;&gt;"",H10=""),"",H10-SUMPRODUCT(--($C$3:$C$102="P"),--(H$3:H$102&lt;H10),--(H$3:H$102&lt;&gt;""))-SUMPRODUCT(--($D$3:$D$102="P"),--(H$3:H$102&lt;H10),--(H$3:H$102&lt;&gt;"")))</f>
        <v>7</v>
      </c>
      <c r="O10" s="9">
        <f>IF(OR($C10&lt;&gt;"",$D10&lt;&gt;"",I10=""),"",I10-SUMPRODUCT(--($C$3:$C$102="P"),--(I$3:I$102&lt;I10),--(I$3:I$102&lt;&gt;""))-SUMPRODUCT(--($D$3:$D$102="P"),--(I$3:I$102&lt;I10),--(I$3:I$102&lt;&gt;"")))</f>
        <v>2</v>
      </c>
      <c r="P10" s="9" t="str">
        <f>IF(OR($C10&lt;&gt;"",$D10&lt;&gt;"",J10=""),"",J10-SUMPRODUCT(--($C$3:$C$102="P"),--(J$3:J$102&lt;J10),--(J$3:J$102&lt;&gt;""))-SUMPRODUCT(--($D$3:$D$102="P"),--(J$3:J$102&lt;J10),--(J$3:J$102&lt;&gt;"")))</f>
        <v/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1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25</v>
      </c>
      <c r="S10" s="1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60</v>
      </c>
      <c r="T10" s="1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28</v>
      </c>
      <c r="U10" s="1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55</v>
      </c>
      <c r="V10" s="1" t="str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/>
      </c>
      <c r="W10" s="1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5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168.09824999</v>
      </c>
      <c r="Y10" s="2" t="str">
        <f>IF(OR(X10="",X10=0),"",IF(SUMPRODUCT(--(B$3:B$102=B10),--(X$3:X$102&gt;X10),--(X$3:X$102&lt;&gt;"")),"","P"))</f>
        <v/>
      </c>
      <c r="Z10" s="2" t="str">
        <f>IF(X10="","",IF(SUMPRODUCT(--(C$3:C$102="P"),--(B$3:B$102=B10)),"P",""))</f>
        <v>P</v>
      </c>
      <c r="AA10" s="15" t="str">
        <f>IF(AND(Y10&lt;&gt;"",OR(Z10="",SUMPRODUCT(--(X$3:X$102&gt;X10),--(Z$3:Z$102="P"),--(Y$3:Y$102="P"))&lt;4)),X10,"")</f>
        <v/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18</v>
      </c>
      <c r="AC10" s="9">
        <f>COUNTIF(L10:Q10,"&lt;=8")</f>
        <v>4</v>
      </c>
      <c r="AD10" s="9">
        <f>MIN(L10:Q10)</f>
        <v>1</v>
      </c>
    </row>
    <row r="11" spans="1:36" x14ac:dyDescent="0.2">
      <c r="A11" s="7" t="s">
        <v>23</v>
      </c>
      <c r="B11" s="6" t="s">
        <v>24</v>
      </c>
      <c r="E11" s="3">
        <f>IF(AA11="","",RANK(AA11,AA:AA))</f>
        <v>2</v>
      </c>
      <c r="F11" s="6">
        <v>11</v>
      </c>
      <c r="G11" s="6">
        <v>5</v>
      </c>
      <c r="H11" s="6">
        <v>4</v>
      </c>
      <c r="I11" s="6">
        <v>7</v>
      </c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9</v>
      </c>
      <c r="M11" s="9">
        <f>IF(OR($C11&lt;&gt;"",$D11&lt;&gt;"",G11=""),"",G11-SUMPRODUCT(--($C$3:$C$102="P"),--(G$3:G$102&lt;G11),--(G$3:G$102&lt;&gt;""))-SUMPRODUCT(--($D$3:$D$102="P"),--(G$3:G$102&lt;G11),--(G$3:G$102&lt;&gt;"")))</f>
        <v>4</v>
      </c>
      <c r="N11" s="9">
        <f>IF(OR($C11&lt;&gt;"",$D11&lt;&gt;"",H11=""),"",H11-SUMPRODUCT(--($C$3:$C$102="P"),--(H$3:H$102&lt;H11),--(H$3:H$102&lt;&gt;""))-SUMPRODUCT(--($D$3:$D$102="P"),--(H$3:H$102&lt;H11),--(H$3:H$102&lt;&gt;"")))</f>
        <v>3</v>
      </c>
      <c r="O11" s="9">
        <f>IF(OR($C11&lt;&gt;"",$D11&lt;&gt;"",I11=""),"",I11-SUMPRODUCT(--($C$3:$C$102="P"),--(I$3:I$102&lt;I11),--(I$3:I$102&lt;&gt;""))-SUMPRODUCT(--($D$3:$D$102="P"),--(I$3:I$102&lt;I11),--(I$3:I$102&lt;&gt;"")))</f>
        <v>6</v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1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22</v>
      </c>
      <c r="S11" s="1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44</v>
      </c>
      <c r="T11" s="1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50</v>
      </c>
      <c r="U11" s="1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32</v>
      </c>
      <c r="V11" s="1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1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5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148.09783997000002</v>
      </c>
      <c r="Y11" s="2" t="str">
        <f>IF(OR(X11="",X11=0),"",IF(SUMPRODUCT(--(B$3:B$102=B11),--(X$3:X$102&gt;X11),--(X$3:X$102&lt;&gt;"")),"","P"))</f>
        <v>P</v>
      </c>
      <c r="Z11" s="2" t="str">
        <f>IF(X11="","",IF(SUMPRODUCT(--(C$3:C$102="P"),--(B$3:B$102=B11)),"P",""))</f>
        <v>P</v>
      </c>
      <c r="AA11" s="15">
        <f>IF(AND(Y11&lt;&gt;"",OR(Z11="",SUMPRODUCT(--(X$3:X$102&gt;X11),--(Z$3:Z$102="P"),--(Y$3:Y$102="P"))&lt;4)),X11,"")</f>
        <v>148.09783997000002</v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22</v>
      </c>
      <c r="AC11" s="9">
        <f>COUNTIF(L11:Q11,"&lt;=8")</f>
        <v>3</v>
      </c>
      <c r="AD11" s="9">
        <f>MIN(L11:Q11)</f>
        <v>3</v>
      </c>
    </row>
    <row r="12" spans="1:36" x14ac:dyDescent="0.2">
      <c r="A12" s="7" t="s">
        <v>21</v>
      </c>
      <c r="B12" s="6" t="s">
        <v>20</v>
      </c>
      <c r="E12" s="3">
        <f>IF(AA12="","",RANK(AA12,AA:AA))</f>
        <v>3</v>
      </c>
      <c r="F12" s="6">
        <v>8</v>
      </c>
      <c r="G12" s="6">
        <v>8</v>
      </c>
      <c r="H12" s="6">
        <v>6</v>
      </c>
      <c r="I12" s="6">
        <v>5</v>
      </c>
      <c r="J12" s="6"/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7</v>
      </c>
      <c r="M12" s="9">
        <f>IF(OR($C12&lt;&gt;"",$D12&lt;&gt;"",G12=""),"",G12-SUMPRODUCT(--($C$3:$C$102="P"),--(G$3:G$102&lt;G12),--(G$3:G$102&lt;&gt;""))-SUMPRODUCT(--($D$3:$D$102="P"),--(G$3:G$102&lt;G12),--(G$3:G$102&lt;&gt;"")))</f>
        <v>6</v>
      </c>
      <c r="N12" s="9">
        <f>IF(OR($C12&lt;&gt;"",$D12&lt;&gt;"",H12=""),"",H12-SUMPRODUCT(--($C$3:$C$102="P"),--(H$3:H$102&lt;H12),--(H$3:H$102&lt;&gt;""))-SUMPRODUCT(--($D$3:$D$102="P"),--(H$3:H$102&lt;H12),--(H$3:H$102&lt;&gt;"")))</f>
        <v>5</v>
      </c>
      <c r="O12" s="9">
        <f>IF(OR($C12&lt;&gt;"",$D12&lt;&gt;"",I12=""),"",I12-SUMPRODUCT(--($C$3:$C$102="P"),--(I$3:I$102&lt;I12),--(I$3:I$102&lt;&gt;""))-SUMPRODUCT(--($D$3:$D$102="P"),--(I$3:I$102&lt;I12),--(I$3:I$102&lt;&gt;"")))</f>
        <v>4</v>
      </c>
      <c r="P12" s="9" t="str">
        <f>IF(OR($C12&lt;&gt;"",$D12&lt;&gt;"",J12=""),"",J12-SUMPRODUCT(--($C$3:$C$102="P"),--(J$3:J$102&lt;J12),--(J$3:J$102&lt;&gt;""))-SUMPRODUCT(--($D$3:$D$102="P"),--(J$3:J$102&lt;J12),--(J$3:J$102&lt;&gt;"")))</f>
        <v/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1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28</v>
      </c>
      <c r="S12" s="1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32</v>
      </c>
      <c r="T12" s="1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38</v>
      </c>
      <c r="U12" s="1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44</v>
      </c>
      <c r="V12" s="1" t="str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/>
      </c>
      <c r="W12" s="1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5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142.09784996000002</v>
      </c>
      <c r="Y12" s="2" t="str">
        <f>IF(OR(X12="",X12=0),"",IF(SUMPRODUCT(--(B$3:B$102=B12),--(X$3:X$102&gt;X12),--(X$3:X$102&lt;&gt;"")),"","P"))</f>
        <v>P</v>
      </c>
      <c r="Z12" s="2" t="str">
        <f>IF(X12="","",IF(SUMPRODUCT(--(C$3:C$102="P"),--(B$3:B$102=B12)),"P",""))</f>
        <v>P</v>
      </c>
      <c r="AA12" s="15">
        <f>IF(AND(Y12&lt;&gt;"",OR(Z12="",SUMPRODUCT(--(X$3:X$102&gt;X12),--(Z$3:Z$102="P"),--(Y$3:Y$102="P"))&lt;4)),X12,"")</f>
        <v>142.09784996000002</v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22</v>
      </c>
      <c r="AC12" s="9">
        <f>COUNTIF(L12:Q12,"&lt;=8")</f>
        <v>4</v>
      </c>
      <c r="AD12" s="9">
        <f>MIN(L12:Q12)</f>
        <v>4</v>
      </c>
    </row>
    <row r="13" spans="1:36" x14ac:dyDescent="0.2">
      <c r="A13" s="7" t="s">
        <v>14</v>
      </c>
      <c r="B13" s="6" t="s">
        <v>20</v>
      </c>
      <c r="E13" s="3" t="str">
        <f>IF(AA13="","",RANK(AA13,AA:AA))</f>
        <v/>
      </c>
      <c r="F13" s="6">
        <v>6</v>
      </c>
      <c r="G13" s="6">
        <v>9</v>
      </c>
      <c r="H13" s="6">
        <v>11</v>
      </c>
      <c r="I13" s="6">
        <v>4</v>
      </c>
      <c r="J13" s="6"/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5</v>
      </c>
      <c r="M13" s="9">
        <f>IF(OR($C13&lt;&gt;"",$D13&lt;&gt;"",G13=""),"",G13-SUMPRODUCT(--($C$3:$C$102="P"),--(G$3:G$102&lt;G13),--(G$3:G$102&lt;&gt;""))-SUMPRODUCT(--($D$3:$D$102="P"),--(G$3:G$102&lt;G13),--(G$3:G$102&lt;&gt;"")))</f>
        <v>7</v>
      </c>
      <c r="N13" s="9">
        <f>IF(OR($C13&lt;&gt;"",$D13&lt;&gt;"",H13=""),"",H13-SUMPRODUCT(--($C$3:$C$102="P"),--(H$3:H$102&lt;H13),--(H$3:H$102&lt;&gt;""))-SUMPRODUCT(--($D$3:$D$102="P"),--(H$3:H$102&lt;H13),--(H$3:H$102&lt;&gt;"")))</f>
        <v>10</v>
      </c>
      <c r="O13" s="9">
        <f>IF(OR($C13&lt;&gt;"",$D13&lt;&gt;"",I13=""),"",I13-SUMPRODUCT(--($C$3:$C$102="P"),--(I$3:I$102&lt;I13),--(I$3:I$102&lt;&gt;""))-SUMPRODUCT(--($D$3:$D$102="P"),--(I$3:I$102&lt;I13),--(I$3:I$102&lt;&gt;"")))</f>
        <v>3</v>
      </c>
      <c r="P13" s="9" t="str">
        <f>IF(OR($C13&lt;&gt;"",$D13&lt;&gt;"",J13=""),"",J13-SUMPRODUCT(--($C$3:$C$102="P"),--(J$3:J$102&lt;J13),--(J$3:J$102&lt;&gt;""))-SUMPRODUCT(--($D$3:$D$102="P"),--(J$3:J$102&lt;J13),--(J$3:J$102&lt;&gt;"")))</f>
        <v/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1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38</v>
      </c>
      <c r="S13" s="1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28</v>
      </c>
      <c r="T13" s="1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21</v>
      </c>
      <c r="U13" s="1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50</v>
      </c>
      <c r="V13" s="1" t="str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/>
      </c>
      <c r="W13" s="1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5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137.09753997000001</v>
      </c>
      <c r="Y13" s="2" t="str">
        <f>IF(OR(X13="",X13=0),"",IF(SUMPRODUCT(--(B$3:B$102=B13),--(X$3:X$102&gt;X13),--(X$3:X$102&lt;&gt;"")),"","P"))</f>
        <v/>
      </c>
      <c r="Z13" s="2" t="str">
        <f>IF(X13="","",IF(SUMPRODUCT(--(C$3:C$102="P"),--(B$3:B$102=B13)),"P",""))</f>
        <v>P</v>
      </c>
      <c r="AA13" s="15" t="str">
        <f>IF(AND(Y13&lt;&gt;"",OR(Z13="",SUMPRODUCT(--(X$3:X$102&gt;X13),--(Z$3:Z$102="P"),--(Y$3:Y$102="P"))&lt;4)),X13,"")</f>
        <v/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25</v>
      </c>
      <c r="AC13" s="9">
        <f>COUNTIF(L13:Q13,"&lt;=8")</f>
        <v>3</v>
      </c>
      <c r="AD13" s="9">
        <f>MIN(L13:Q13)</f>
        <v>3</v>
      </c>
    </row>
    <row r="14" spans="1:36" x14ac:dyDescent="0.2">
      <c r="A14" s="7" t="s">
        <v>13</v>
      </c>
      <c r="B14" s="6" t="s">
        <v>18</v>
      </c>
      <c r="E14" s="3">
        <f>IF(AA14="","",RANK(AA14,AA:AA))</f>
        <v>4</v>
      </c>
      <c r="F14" s="6">
        <v>5</v>
      </c>
      <c r="G14" s="6">
        <v>13</v>
      </c>
      <c r="H14" s="6">
        <v>5</v>
      </c>
      <c r="I14" s="6">
        <v>8</v>
      </c>
      <c r="J14" s="6"/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4</v>
      </c>
      <c r="M14" s="9">
        <f>IF(OR($C14&lt;&gt;"",$D14&lt;&gt;"",G14=""),"",G14-SUMPRODUCT(--($C$3:$C$102="P"),--(G$3:G$102&lt;G14),--(G$3:G$102&lt;&gt;""))-SUMPRODUCT(--($D$3:$D$102="P"),--(G$3:G$102&lt;G14),--(G$3:G$102&lt;&gt;"")))</f>
        <v>11</v>
      </c>
      <c r="N14" s="9">
        <f>IF(OR($C14&lt;&gt;"",$D14&lt;&gt;"",H14=""),"",H14-SUMPRODUCT(--($C$3:$C$102="P"),--(H$3:H$102&lt;H14),--(H$3:H$102&lt;&gt;""))-SUMPRODUCT(--($D$3:$D$102="P"),--(H$3:H$102&lt;H14),--(H$3:H$102&lt;&gt;"")))</f>
        <v>4</v>
      </c>
      <c r="O14" s="9">
        <f>IF(OR($C14&lt;&gt;"",$D14&lt;&gt;"",I14=""),"",I14-SUMPRODUCT(--($C$3:$C$102="P"),--(I$3:I$102&lt;I14),--(I$3:I$102&lt;&gt;""))-SUMPRODUCT(--($D$3:$D$102="P"),--(I$3:I$102&lt;I14),--(I$3:I$102&lt;&gt;"")))</f>
        <v>7</v>
      </c>
      <c r="P14" s="9" t="str">
        <f>IF(OR($C14&lt;&gt;"",$D14&lt;&gt;"",J14=""),"",J14-SUMPRODUCT(--($C$3:$C$102="P"),--(J$3:J$102&lt;J14),--(J$3:J$102&lt;&gt;""))-SUMPRODUCT(--($D$3:$D$102="P"),--(J$3:J$102&lt;J14),--(J$3:J$102&lt;&gt;"")))</f>
        <v/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1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44</v>
      </c>
      <c r="S14" s="1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20</v>
      </c>
      <c r="T14" s="1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44</v>
      </c>
      <c r="U14" s="1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28</v>
      </c>
      <c r="V14" s="1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1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5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136.09743996</v>
      </c>
      <c r="Y14" s="2" t="str">
        <f>IF(OR(X14="",X14=0),"",IF(SUMPRODUCT(--(B$3:B$102=B14),--(X$3:X$102&gt;X14),--(X$3:X$102&lt;&gt;"")),"","P"))</f>
        <v>P</v>
      </c>
      <c r="Z14" s="2" t="str">
        <f>IF(X14="","",IF(SUMPRODUCT(--(C$3:C$102="P"),--(B$3:B$102=B14)),"P",""))</f>
        <v>P</v>
      </c>
      <c r="AA14" s="15">
        <f>IF(AND(Y14&lt;&gt;"",OR(Z14="",SUMPRODUCT(--(X$3:X$102&gt;X14),--(Z$3:Z$102="P"),--(Y$3:Y$102="P"))&lt;4)),X14,"")</f>
        <v>136.09743996</v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26</v>
      </c>
      <c r="AC14" s="9">
        <f>COUNTIF(L14:Q14,"&lt;=8")</f>
        <v>3</v>
      </c>
      <c r="AD14" s="9">
        <f>MIN(L14:Q14)</f>
        <v>4</v>
      </c>
    </row>
    <row r="15" spans="1:36" x14ac:dyDescent="0.2">
      <c r="A15" s="7" t="s">
        <v>138</v>
      </c>
      <c r="B15" s="6" t="s">
        <v>20</v>
      </c>
      <c r="E15" s="3" t="str">
        <f>IF(AA15="","",RANK(AA15,AA:AA))</f>
        <v/>
      </c>
      <c r="F15" s="6"/>
      <c r="G15" s="6">
        <v>2</v>
      </c>
      <c r="H15" s="6">
        <v>1</v>
      </c>
      <c r="I15" s="6">
        <v>55</v>
      </c>
      <c r="J15" s="6"/>
      <c r="K15" s="6"/>
      <c r="L15" s="9" t="str">
        <f>IF(OR($C15&lt;&gt;"",$D15&lt;&gt;"",F15=""),"",F15-SUMPRODUCT(--($C$3:$C$102="P"),--(F$3:F$102&lt;F15),--(F$3:F$102&lt;&gt;""))-SUMPRODUCT(--($D$3:$D$102="P"),--(F$3:F$102&lt;F15),--(F$3:F$102&lt;&gt;"")))</f>
        <v/>
      </c>
      <c r="M15" s="9">
        <f>IF(OR($C15&lt;&gt;"",$D15&lt;&gt;"",G15=""),"",G15-SUMPRODUCT(--($C$3:$C$102="P"),--(G$3:G$102&lt;G15),--(G$3:G$102&lt;&gt;""))-SUMPRODUCT(--($D$3:$D$102="P"),--(G$3:G$102&lt;G15),--(G$3:G$102&lt;&gt;"")))</f>
        <v>2</v>
      </c>
      <c r="N15" s="9">
        <f>IF(OR($C15&lt;&gt;"",$D15&lt;&gt;"",H15=""),"",H15-SUMPRODUCT(--($C$3:$C$102="P"),--(H$3:H$102&lt;H15),--(H$3:H$102&lt;&gt;""))-SUMPRODUCT(--($D$3:$D$102="P"),--(H$3:H$102&lt;H15),--(H$3:H$102&lt;&gt;"")))</f>
        <v>1</v>
      </c>
      <c r="O15" s="9">
        <f>IF(OR($C15&lt;&gt;"",$D15&lt;&gt;"",I15=""),"",I15-SUMPRODUCT(--($C$3:$C$102="P"),--(I$3:I$102&lt;I15),--(I$3:I$102&lt;&gt;""))-SUMPRODUCT(--($D$3:$D$102="P"),--(I$3:I$102&lt;I15),--(I$3:I$102&lt;&gt;"")))</f>
        <v>50</v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1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S15" s="1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>55</v>
      </c>
      <c r="T15" s="1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60</v>
      </c>
      <c r="U15" s="1" t="str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/>
      </c>
      <c r="V15" s="1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1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5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115.09472999</v>
      </c>
      <c r="Y15" s="2" t="str">
        <f>IF(OR(X15="",X15=0),"",IF(SUMPRODUCT(--(B$3:B$102=B15),--(X$3:X$102&gt;X15),--(X$3:X$102&lt;&gt;"")),"","P"))</f>
        <v/>
      </c>
      <c r="Z15" s="2" t="str">
        <f>IF(X15="","",IF(SUMPRODUCT(--(C$3:C$102="P"),--(B$3:B$102=B15)),"P",""))</f>
        <v>P</v>
      </c>
      <c r="AA15" s="15" t="str">
        <f>IF(AND(Y15&lt;&gt;"",OR(Z15="",SUMPRODUCT(--(X$3:X$102&gt;X15),--(Z$3:Z$102="P"),--(Y$3:Y$102="P"))&lt;4)),X15,"")</f>
        <v/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53</v>
      </c>
      <c r="AC15" s="9">
        <f>COUNTIF(L15:Q15,"&lt;=8")</f>
        <v>2</v>
      </c>
      <c r="AD15" s="9">
        <f>MIN(L15:Q15)</f>
        <v>1</v>
      </c>
    </row>
    <row r="16" spans="1:36" x14ac:dyDescent="0.2">
      <c r="A16" s="7" t="s">
        <v>26</v>
      </c>
      <c r="B16" s="6" t="s">
        <v>18</v>
      </c>
      <c r="E16" s="3" t="str">
        <f>IF(AA16="","",RANK(AA16,AA:AA))</f>
        <v/>
      </c>
      <c r="F16" s="6">
        <v>13</v>
      </c>
      <c r="G16" s="6">
        <v>7</v>
      </c>
      <c r="H16" s="6">
        <v>20</v>
      </c>
      <c r="I16" s="6">
        <v>10</v>
      </c>
      <c r="J16" s="6"/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11</v>
      </c>
      <c r="M16" s="9">
        <f>IF(OR($C16&lt;&gt;"",$D16&lt;&gt;"",G16=""),"",G16-SUMPRODUCT(--($C$3:$C$102="P"),--(G$3:G$102&lt;G16),--(G$3:G$102&lt;&gt;""))-SUMPRODUCT(--($D$3:$D$102="P"),--(G$3:G$102&lt;G16),--(G$3:G$102&lt;&gt;"")))</f>
        <v>5</v>
      </c>
      <c r="N16" s="9">
        <f>IF(OR($C16&lt;&gt;"",$D16&lt;&gt;"",H16=""),"",H16-SUMPRODUCT(--($C$3:$C$102="P"),--(H$3:H$102&lt;H16),--(H$3:H$102&lt;&gt;""))-SUMPRODUCT(--($D$3:$D$102="P"),--(H$3:H$102&lt;H16),--(H$3:H$102&lt;&gt;"")))</f>
        <v>17</v>
      </c>
      <c r="O16" s="9">
        <f>IF(OR($C16&lt;&gt;"",$D16&lt;&gt;"",I16=""),"",I16-SUMPRODUCT(--($C$3:$C$102="P"),--(I$3:I$102&lt;I16),--(I$3:I$102&lt;&gt;""))-SUMPRODUCT(--($D$3:$D$102="P"),--(I$3:I$102&lt;I16),--(I$3:I$102&lt;&gt;"")))</f>
        <v>9</v>
      </c>
      <c r="P16" s="9" t="str">
        <f>IF(OR($C16&lt;&gt;"",$D16&lt;&gt;"",J16=""),"",J16-SUMPRODUCT(--($C$3:$C$102="P"),--(J$3:J$102&lt;J16),--(J$3:J$102&lt;&gt;""))-SUMPRODUCT(--($D$3:$D$102="P"),--(J$3:J$102&lt;J16),--(J$3:J$102&lt;&gt;"")))</f>
        <v/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1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20</v>
      </c>
      <c r="S16" s="1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>38</v>
      </c>
      <c r="T16" s="1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14</v>
      </c>
      <c r="U16" s="1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>22</v>
      </c>
      <c r="V16" s="1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1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5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94.095819950000006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>P</v>
      </c>
      <c r="AA16" s="15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42</v>
      </c>
      <c r="AC16" s="9">
        <f>COUNTIF(L16:Q16,"&lt;=8")</f>
        <v>1</v>
      </c>
      <c r="AD16" s="9">
        <f>MIN(L16:Q16)</f>
        <v>5</v>
      </c>
    </row>
    <row r="17" spans="1:30" x14ac:dyDescent="0.2">
      <c r="A17" s="7" t="s">
        <v>11</v>
      </c>
      <c r="B17" s="6" t="s">
        <v>18</v>
      </c>
      <c r="E17" s="3" t="str">
        <f>IF(AA17="","",RANK(AA17,AA:AA))</f>
        <v/>
      </c>
      <c r="F17" s="6">
        <v>3</v>
      </c>
      <c r="G17" s="6"/>
      <c r="H17" s="6">
        <v>16</v>
      </c>
      <c r="I17" s="6">
        <v>11</v>
      </c>
      <c r="J17" s="6"/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2</v>
      </c>
      <c r="M17" s="9" t="str">
        <f>IF(OR($C17&lt;&gt;"",$D17&lt;&gt;"",G17=""),"",G17-SUMPRODUCT(--($C$3:$C$102="P"),--(G$3:G$102&lt;G17),--(G$3:G$102&lt;&gt;""))-SUMPRODUCT(--($D$3:$D$102="P"),--(G$3:G$102&lt;G17),--(G$3:G$102&lt;&gt;"")))</f>
        <v/>
      </c>
      <c r="N17" s="9">
        <f>IF(OR($C17&lt;&gt;"",$D17&lt;&gt;"",H17=""),"",H17-SUMPRODUCT(--($C$3:$C$102="P"),--(H$3:H$102&lt;H17),--(H$3:H$102&lt;&gt;""))-SUMPRODUCT(--($D$3:$D$102="P"),--(H$3:H$102&lt;H17),--(H$3:H$102&lt;&gt;"")))</f>
        <v>14</v>
      </c>
      <c r="O17" s="9">
        <f>IF(OR($C17&lt;&gt;"",$D17&lt;&gt;"",I17=""),"",I17-SUMPRODUCT(--($C$3:$C$102="P"),--(I$3:I$102&lt;I17),--(I$3:I$102&lt;&gt;""))-SUMPRODUCT(--($D$3:$D$102="P"),--(I$3:I$102&lt;I17),--(I$3:I$102&lt;&gt;"")))</f>
        <v>10</v>
      </c>
      <c r="P17" s="9" t="str">
        <f>IF(OR($C17&lt;&gt;"",$D17&lt;&gt;"",J17=""),"",J17-SUMPRODUCT(--($C$3:$C$102="P"),--(J$3:J$102&lt;J17),--(J$3:J$102&lt;&gt;""))-SUMPRODUCT(--($D$3:$D$102="P"),--(J$3:J$102&lt;J17),--(J$3:J$102&lt;&gt;"")))</f>
        <v/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1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>55</v>
      </c>
      <c r="S17" s="1" t="str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/>
      </c>
      <c r="T17" s="1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>17</v>
      </c>
      <c r="U17" s="1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>21</v>
      </c>
      <c r="V17" s="1" t="str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/>
      </c>
      <c r="W17" s="1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5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93.097419979999998</v>
      </c>
      <c r="Y17" s="2" t="str">
        <f>IF(OR(X17="",X17=0),"",IF(SUMPRODUCT(--(B$3:B$102=B17),--(X$3:X$102&gt;X17),--(X$3:X$102&lt;&gt;"")),"","P"))</f>
        <v/>
      </c>
      <c r="Z17" s="2" t="str">
        <f>IF(X17="","",IF(SUMPRODUCT(--(C$3:C$102="P"),--(B$3:B$102=B17)),"P",""))</f>
        <v>P</v>
      </c>
      <c r="AA17" s="15" t="str">
        <f>IF(AND(Y17&lt;&gt;"",OR(Z17="",SUMPRODUCT(--(X$3:X$102&gt;X17),--(Z$3:Z$102="P"),--(Y$3:Y$102="P"))&lt;4)),X17,"")</f>
        <v/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26</v>
      </c>
      <c r="AC17" s="9">
        <f>COUNTIF(L17:Q17,"&lt;=8")</f>
        <v>1</v>
      </c>
      <c r="AD17" s="9">
        <f>MIN(L17:Q17)</f>
        <v>2</v>
      </c>
    </row>
    <row r="18" spans="1:30" x14ac:dyDescent="0.2">
      <c r="A18" s="7" t="s">
        <v>74</v>
      </c>
      <c r="B18" s="6" t="s">
        <v>16</v>
      </c>
      <c r="E18" s="3" t="str">
        <f>IF(AA18="","",RANK(AA18,AA:AA))</f>
        <v/>
      </c>
      <c r="F18" s="6">
        <v>7</v>
      </c>
      <c r="G18" s="6">
        <v>3</v>
      </c>
      <c r="H18" s="6"/>
      <c r="I18" s="6"/>
      <c r="J18" s="6"/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6</v>
      </c>
      <c r="M18" s="9">
        <f>IF(OR($C18&lt;&gt;"",$D18&lt;&gt;"",G18=""),"",G18-SUMPRODUCT(--($C$3:$C$102="P"),--(G$3:G$102&lt;G18),--(G$3:G$102&lt;&gt;""))-SUMPRODUCT(--($D$3:$D$102="P"),--(G$3:G$102&lt;G18),--(G$3:G$102&lt;&gt;"")))</f>
        <v>3</v>
      </c>
      <c r="N18" s="9" t="str">
        <f>IF(OR($C18&lt;&gt;"",$D18&lt;&gt;"",H18=""),"",H18-SUMPRODUCT(--($C$3:$C$102="P"),--(H$3:H$102&lt;H18),--(H$3:H$102&lt;&gt;""))-SUMPRODUCT(--($D$3:$D$102="P"),--(H$3:H$102&lt;H18),--(H$3:H$102&lt;&gt;"")))</f>
        <v/>
      </c>
      <c r="O18" s="9" t="str">
        <f>IF(OR($C18&lt;&gt;"",$D18&lt;&gt;"",I18=""),"",I18-SUMPRODUCT(--($C$3:$C$102="P"),--(I$3:I$102&lt;I18),--(I$3:I$102&lt;&gt;""))-SUMPRODUCT(--($D$3:$D$102="P"),--(I$3:I$102&lt;I18),--(I$3:I$102&lt;&gt;"")))</f>
        <v/>
      </c>
      <c r="P18" s="9" t="str">
        <f>IF(OR($C18&lt;&gt;"",$D18&lt;&gt;"",J18=""),"",J18-SUMPRODUCT(--($C$3:$C$102="P"),--(J$3:J$102&lt;J18),--(J$3:J$102&lt;&gt;""))-SUMPRODUCT(--($D$3:$D$102="P"),--(J$3:J$102&lt;J18),--(J$3:J$102&lt;&gt;"")))</f>
        <v/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1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32</v>
      </c>
      <c r="S18" s="1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50</v>
      </c>
      <c r="T18" s="1" t="str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/>
      </c>
      <c r="U18" s="1" t="str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/>
      </c>
      <c r="V18" s="1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1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5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82.099129970000007</v>
      </c>
      <c r="Y18" s="2" t="str">
        <f>IF(OR(X18="",X18=0),"",IF(SUMPRODUCT(--(B$3:B$102=B18),--(X$3:X$102&gt;X18),--(X$3:X$102&lt;&gt;"")),"","P"))</f>
        <v/>
      </c>
      <c r="Z18" s="2" t="str">
        <f>IF(X18="","",IF(SUMPRODUCT(--(C$3:C$102="P"),--(B$3:B$102=B18)),"P",""))</f>
        <v>P</v>
      </c>
      <c r="AA18" s="15" t="str">
        <f>IF(AND(Y18&lt;&gt;"",OR(Z18="",SUMPRODUCT(--(X$3:X$102&gt;X18),--(Z$3:Z$102="P"),--(Y$3:Y$102="P"))&lt;4)),X18,"")</f>
        <v/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9</v>
      </c>
      <c r="AC18" s="9">
        <f>COUNTIF(L18:Q18,"&lt;=8")</f>
        <v>2</v>
      </c>
      <c r="AD18" s="9">
        <f>MIN(L18:Q18)</f>
        <v>3</v>
      </c>
    </row>
    <row r="19" spans="1:30" x14ac:dyDescent="0.2">
      <c r="A19" s="7" t="s">
        <v>31</v>
      </c>
      <c r="B19" s="6" t="s">
        <v>56</v>
      </c>
      <c r="E19" s="3">
        <f>IF(AA19="","",RANK(AA19,AA:AA))</f>
        <v>5</v>
      </c>
      <c r="F19" s="6">
        <v>18</v>
      </c>
      <c r="G19" s="6">
        <v>12</v>
      </c>
      <c r="H19" s="6">
        <v>7</v>
      </c>
      <c r="I19" s="6">
        <v>22</v>
      </c>
      <c r="J19" s="6"/>
      <c r="K19" s="6"/>
      <c r="L19" s="9">
        <f>IF(OR($C19&lt;&gt;"",$D19&lt;&gt;"",F19=""),"",F19-SUMPRODUCT(--($C$3:$C$102="P"),--(F$3:F$102&lt;F19),--(F$3:F$102&lt;&gt;""))-SUMPRODUCT(--($D$3:$D$102="P"),--(F$3:F$102&lt;F19),--(F$3:F$102&lt;&gt;"")))</f>
        <v>16</v>
      </c>
      <c r="M19" s="9">
        <f>IF(OR($C19&lt;&gt;"",$D19&lt;&gt;"",G19=""),"",G19-SUMPRODUCT(--($C$3:$C$102="P"),--(G$3:G$102&lt;G19),--(G$3:G$102&lt;&gt;""))-SUMPRODUCT(--($D$3:$D$102="P"),--(G$3:G$102&lt;G19),--(G$3:G$102&lt;&gt;"")))</f>
        <v>10</v>
      </c>
      <c r="N19" s="9">
        <f>IF(OR($C19&lt;&gt;"",$D19&lt;&gt;"",H19=""),"",H19-SUMPRODUCT(--($C$3:$C$102="P"),--(H$3:H$102&lt;H19),--(H$3:H$102&lt;&gt;""))-SUMPRODUCT(--($D$3:$D$102="P"),--(H$3:H$102&lt;H19),--(H$3:H$102&lt;&gt;"")))</f>
        <v>6</v>
      </c>
      <c r="O19" s="9">
        <f>IF(OR($C19&lt;&gt;"",$D19&lt;&gt;"",I19=""),"",I19-SUMPRODUCT(--($C$3:$C$102="P"),--(I$3:I$102&lt;I19),--(I$3:I$102&lt;&gt;""))-SUMPRODUCT(--($D$3:$D$102="P"),--(I$3:I$102&lt;I19),--(I$3:I$102&lt;&gt;"")))</f>
        <v>19</v>
      </c>
      <c r="P19" s="9" t="str">
        <f>IF(OR($C19&lt;&gt;"",$D19&lt;&gt;"",J19=""),"",J19-SUMPRODUCT(--($C$3:$C$102="P"),--(J$3:J$102&lt;J19),--(J$3:J$102&lt;&gt;""))-SUMPRODUCT(--($D$3:$D$102="P"),--(J$3:J$102&lt;J19),--(J$3:J$102&lt;&gt;"")))</f>
        <v/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1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>15</v>
      </c>
      <c r="S19" s="1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>21</v>
      </c>
      <c r="T19" s="1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32</v>
      </c>
      <c r="U19" s="1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12</v>
      </c>
      <c r="V19" s="1" t="str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/>
      </c>
      <c r="W19" s="1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5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80.094919939999997</v>
      </c>
      <c r="Y19" s="2" t="str">
        <f>IF(OR(X19="",X19=0),"",IF(SUMPRODUCT(--(B$3:B$102=B19),--(X$3:X$102&gt;X19),--(X$3:X$102&lt;&gt;"")),"","P"))</f>
        <v>P</v>
      </c>
      <c r="Z19" s="2" t="str">
        <f>IF(X19="","",IF(SUMPRODUCT(--(C$3:C$102="P"),--(B$3:B$102=B19)),"P",""))</f>
        <v/>
      </c>
      <c r="AA19" s="15">
        <f>IF(AND(Y19&lt;&gt;"",OR(Z19="",SUMPRODUCT(--(X$3:X$102&gt;X19),--(Z$3:Z$102="P"),--(Y$3:Y$102="P"))&lt;4)),X19,"")</f>
        <v>80.094919939999997</v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51</v>
      </c>
      <c r="AC19" s="9">
        <f>COUNTIF(L19:Q19,"&lt;=8")</f>
        <v>1</v>
      </c>
      <c r="AD19" s="9">
        <f>MIN(L19:Q19)</f>
        <v>6</v>
      </c>
    </row>
    <row r="20" spans="1:30" x14ac:dyDescent="0.2">
      <c r="A20" s="7" t="s">
        <v>12</v>
      </c>
      <c r="B20" s="6" t="s">
        <v>19</v>
      </c>
      <c r="E20" s="3">
        <f>IF(AA20="","",RANK(AA20,AA:AA))</f>
        <v>6</v>
      </c>
      <c r="F20" s="6">
        <v>4</v>
      </c>
      <c r="G20" s="6">
        <v>11</v>
      </c>
      <c r="H20" s="6"/>
      <c r="I20" s="6"/>
      <c r="J20" s="6"/>
      <c r="K20" s="6"/>
      <c r="L20" s="9">
        <f>IF(OR($C20&lt;&gt;"",$D20&lt;&gt;"",F20=""),"",F20-SUMPRODUCT(--($C$3:$C$102="P"),--(F$3:F$102&lt;F20),--(F$3:F$102&lt;&gt;""))-SUMPRODUCT(--($D$3:$D$102="P"),--(F$3:F$102&lt;F20),--(F$3:F$102&lt;&gt;"")))</f>
        <v>3</v>
      </c>
      <c r="M20" s="9">
        <f>IF(OR($C20&lt;&gt;"",$D20&lt;&gt;"",G20=""),"",G20-SUMPRODUCT(--($C$3:$C$102="P"),--(G$3:G$102&lt;G20),--(G$3:G$102&lt;&gt;""))-SUMPRODUCT(--($D$3:$D$102="P"),--(G$3:G$102&lt;G20),--(G$3:G$102&lt;&gt;"")))</f>
        <v>9</v>
      </c>
      <c r="N20" s="9" t="str">
        <f>IF(OR($C20&lt;&gt;"",$D20&lt;&gt;"",H20=""),"",H20-SUMPRODUCT(--($C$3:$C$102="P"),--(H$3:H$102&lt;H20),--(H$3:H$102&lt;&gt;""))-SUMPRODUCT(--($D$3:$D$102="P"),--(H$3:H$102&lt;H20),--(H$3:H$102&lt;&gt;"")))</f>
        <v/>
      </c>
      <c r="O20" s="9" t="str">
        <f>IF(OR($C20&lt;&gt;"",$D20&lt;&gt;"",I20=""),"",I20-SUMPRODUCT(--($C$3:$C$102="P"),--(I$3:I$102&lt;I20),--(I$3:I$102&lt;&gt;""))-SUMPRODUCT(--($D$3:$D$102="P"),--(I$3:I$102&lt;I20),--(I$3:I$102&lt;&gt;"")))</f>
        <v/>
      </c>
      <c r="P20" s="9" t="str">
        <f>IF(OR($C20&lt;&gt;"",$D20&lt;&gt;"",J20=""),"",J20-SUMPRODUCT(--($C$3:$C$102="P"),--(J$3:J$102&lt;J20),--(J$3:J$102&lt;&gt;""))-SUMPRODUCT(--($D$3:$D$102="P"),--(J$3:J$102&lt;J20),--(J$3:J$102&lt;&gt;"")))</f>
        <v/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1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50</v>
      </c>
      <c r="S20" s="1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22</v>
      </c>
      <c r="T20" s="1" t="str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/>
      </c>
      <c r="U20" s="1" t="str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/>
      </c>
      <c r="V20" s="1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1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5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72.098819969999994</v>
      </c>
      <c r="Y20" s="2" t="str">
        <f>IF(OR(X20="",X20=0),"",IF(SUMPRODUCT(--(B$3:B$102=B20),--(X$3:X$102&gt;X20),--(X$3:X$102&lt;&gt;"")),"","P"))</f>
        <v>P</v>
      </c>
      <c r="Z20" s="2" t="str">
        <f>IF(X20="","",IF(SUMPRODUCT(--(C$3:C$102="P"),--(B$3:B$102=B20)),"P",""))</f>
        <v/>
      </c>
      <c r="AA20" s="15">
        <f>IF(AND(Y20&lt;&gt;"",OR(Z20="",SUMPRODUCT(--(X$3:X$102&gt;X20),--(Z$3:Z$102="P"),--(Y$3:Y$102="P"))&lt;4)),X20,"")</f>
        <v>72.098819969999994</v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12</v>
      </c>
      <c r="AC20" s="9">
        <f>COUNTIF(L20:Q20,"&lt;=8")</f>
        <v>1</v>
      </c>
      <c r="AD20" s="9">
        <f>MIN(L20:Q20)</f>
        <v>3</v>
      </c>
    </row>
    <row r="21" spans="1:30" x14ac:dyDescent="0.2">
      <c r="A21" s="7" t="s">
        <v>25</v>
      </c>
      <c r="B21" s="6" t="s">
        <v>53</v>
      </c>
      <c r="E21" s="3">
        <f>IF(AA21="","",RANK(AA21,AA:AA))</f>
        <v>7</v>
      </c>
      <c r="F21" s="6">
        <v>12</v>
      </c>
      <c r="G21" s="6">
        <v>50</v>
      </c>
      <c r="H21" s="6">
        <v>15</v>
      </c>
      <c r="I21" s="6">
        <v>20</v>
      </c>
      <c r="J21" s="6"/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10</v>
      </c>
      <c r="M21" s="9">
        <f>IF(OR($C21&lt;&gt;"",$D21&lt;&gt;"",G21=""),"",G21-SUMPRODUCT(--($C$3:$C$102="P"),--(G$3:G$102&lt;G21),--(G$3:G$102&lt;&gt;""))-SUMPRODUCT(--($D$3:$D$102="P"),--(G$3:G$102&lt;G21),--(G$3:G$102&lt;&gt;"")))</f>
        <v>48</v>
      </c>
      <c r="N21" s="9">
        <f>IF(OR($C21&lt;&gt;"",$D21&lt;&gt;"",H21=""),"",H21-SUMPRODUCT(--($C$3:$C$102="P"),--(H$3:H$102&lt;H21),--(H$3:H$102&lt;&gt;""))-SUMPRODUCT(--($D$3:$D$102="P"),--(H$3:H$102&lt;H21),--(H$3:H$102&lt;&gt;"")))</f>
        <v>13</v>
      </c>
      <c r="O21" s="9">
        <f>IF(OR($C21&lt;&gt;"",$D21&lt;&gt;"",I21=""),"",I21-SUMPRODUCT(--($C$3:$C$102="P"),--(I$3:I$102&lt;I21),--(I$3:I$102&lt;&gt;""))-SUMPRODUCT(--($D$3:$D$102="P"),--(I$3:I$102&lt;I21),--(I$3:I$102&lt;&gt;"")))</f>
        <v>17</v>
      </c>
      <c r="P21" s="9" t="str">
        <f>IF(OR($C21&lt;&gt;"",$D21&lt;&gt;"",J21=""),"",J21-SUMPRODUCT(--($C$3:$C$102="P"),--(J$3:J$102&lt;J21),--(J$3:J$102&lt;&gt;""))-SUMPRODUCT(--($D$3:$D$102="P"),--(J$3:J$102&lt;J21),--(J$3:J$102&lt;&gt;"")))</f>
        <v/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1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21</v>
      </c>
      <c r="S21" s="1" t="str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/>
      </c>
      <c r="T21" s="1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>18</v>
      </c>
      <c r="U21" s="1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14</v>
      </c>
      <c r="V21" s="1" t="str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/>
      </c>
      <c r="W21" s="1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5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53.091209900000003</v>
      </c>
      <c r="Y21" s="2" t="str">
        <f>IF(OR(X21="",X21=0),"",IF(SUMPRODUCT(--(B$3:B$102=B21),--(X$3:X$102&gt;X21),--(X$3:X$102&lt;&gt;"")),"","P"))</f>
        <v>P</v>
      </c>
      <c r="Z21" s="2" t="str">
        <f>IF(X21="","",IF(SUMPRODUCT(--(C$3:C$102="P"),--(B$3:B$102=B21)),"P",""))</f>
        <v/>
      </c>
      <c r="AA21" s="15">
        <f>IF(AND(Y21&lt;&gt;"",OR(Z21="",SUMPRODUCT(--(X$3:X$102&gt;X21),--(Z$3:Z$102="P"),--(Y$3:Y$102="P"))&lt;4)),X21,"")</f>
        <v>53.091209900000003</v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88</v>
      </c>
      <c r="AC21" s="9">
        <f>COUNTIF(L21:Q21,"&lt;=8")</f>
        <v>0</v>
      </c>
      <c r="AD21" s="9">
        <f>MIN(L21:Q21)</f>
        <v>10</v>
      </c>
    </row>
    <row r="22" spans="1:30" x14ac:dyDescent="0.2">
      <c r="A22" s="7" t="s">
        <v>28</v>
      </c>
      <c r="B22" s="6" t="s">
        <v>55</v>
      </c>
      <c r="E22" s="3">
        <f>IF(AA22="","",RANK(AA22,AA:AA))</f>
        <v>8</v>
      </c>
      <c r="F22" s="6">
        <v>15</v>
      </c>
      <c r="G22" s="6">
        <v>17</v>
      </c>
      <c r="H22" s="6">
        <v>14</v>
      </c>
      <c r="I22" s="6">
        <v>64</v>
      </c>
      <c r="J22" s="6"/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13</v>
      </c>
      <c r="M22" s="9">
        <f>IF(OR($C22&lt;&gt;"",$D22&lt;&gt;"",G22=""),"",G22-SUMPRODUCT(--($C$3:$C$102="P"),--(G$3:G$102&lt;G22),--(G$3:G$102&lt;&gt;""))-SUMPRODUCT(--($D$3:$D$102="P"),--(G$3:G$102&lt;G22),--(G$3:G$102&lt;&gt;"")))</f>
        <v>15</v>
      </c>
      <c r="N22" s="9">
        <f>IF(OR($C22&lt;&gt;"",$D22&lt;&gt;"",H22=""),"",H22-SUMPRODUCT(--($C$3:$C$102="P"),--(H$3:H$102&lt;H22),--(H$3:H$102&lt;&gt;""))-SUMPRODUCT(--($D$3:$D$102="P"),--(H$3:H$102&lt;H22),--(H$3:H$102&lt;&gt;"")))</f>
        <v>12</v>
      </c>
      <c r="O22" s="9">
        <f>IF(OR($C22&lt;&gt;"",$D22&lt;&gt;"",I22=""),"",I22-SUMPRODUCT(--($C$3:$C$102="P"),--(I$3:I$102&lt;I22),--(I$3:I$102&lt;&gt;""))-SUMPRODUCT(--($D$3:$D$102="P"),--(I$3:I$102&lt;I22),--(I$3:I$102&lt;&gt;"")))</f>
        <v>59</v>
      </c>
      <c r="P22" s="9" t="str">
        <f>IF(OR($C22&lt;&gt;"",$D22&lt;&gt;"",J22=""),"",J22-SUMPRODUCT(--($C$3:$C$102="P"),--(J$3:J$102&lt;J22),--(J$3:J$102&lt;&gt;""))-SUMPRODUCT(--($D$3:$D$102="P"),--(J$3:J$102&lt;J22),--(J$3:J$102&lt;&gt;"")))</f>
        <v/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1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>18</v>
      </c>
      <c r="S22" s="1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>16</v>
      </c>
      <c r="T22" s="1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>19</v>
      </c>
      <c r="U22" s="1" t="str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/>
      </c>
      <c r="V22" s="1" t="str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/>
      </c>
      <c r="W22" s="1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5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53.09010988</v>
      </c>
      <c r="Y22" s="2" t="str">
        <f>IF(OR(X22="",X22=0),"",IF(SUMPRODUCT(--(B$3:B$102=B22),--(X$3:X$102&gt;X22),--(X$3:X$102&lt;&gt;"")),"","P"))</f>
        <v>P</v>
      </c>
      <c r="Z22" s="2" t="str">
        <f>IF(X22="","",IF(SUMPRODUCT(--(C$3:C$102="P"),--(B$3:B$102=B22)),"P",""))</f>
        <v/>
      </c>
      <c r="AA22" s="15">
        <f>IF(AND(Y22&lt;&gt;"",OR(Z22="",SUMPRODUCT(--(X$3:X$102&gt;X22),--(Z$3:Z$102="P"),--(Y$3:Y$102="P"))&lt;4)),X22,"")</f>
        <v>53.09010988</v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99</v>
      </c>
      <c r="AC22" s="9">
        <f>COUNTIF(L22:Q22,"&lt;=8")</f>
        <v>0</v>
      </c>
      <c r="AD22" s="9">
        <f>MIN(L22:Q22)</f>
        <v>12</v>
      </c>
    </row>
    <row r="23" spans="1:30" x14ac:dyDescent="0.2">
      <c r="A23" s="7" t="s">
        <v>45</v>
      </c>
      <c r="B23" s="6" t="s">
        <v>17</v>
      </c>
      <c r="E23" s="3" t="str">
        <f>IF(AA23="","",RANK(AA23,AA:AA))</f>
        <v/>
      </c>
      <c r="F23" s="6">
        <v>33</v>
      </c>
      <c r="G23" s="6">
        <v>21</v>
      </c>
      <c r="H23" s="6">
        <v>44</v>
      </c>
      <c r="I23" s="6">
        <v>6</v>
      </c>
      <c r="J23" s="6"/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30</v>
      </c>
      <c r="M23" s="9">
        <f>IF(OR($C23&lt;&gt;"",$D23&lt;&gt;"",G23=""),"",G23-SUMPRODUCT(--($C$3:$C$102="P"),--(G$3:G$102&lt;G23),--(G$3:G$102&lt;&gt;""))-SUMPRODUCT(--($D$3:$D$102="P"),--(G$3:G$102&lt;G23),--(G$3:G$102&lt;&gt;"")))</f>
        <v>19</v>
      </c>
      <c r="N23" s="9">
        <f>IF(OR($C23&lt;&gt;"",$D23&lt;&gt;"",H23=""),"",H23-SUMPRODUCT(--($C$3:$C$102="P"),--(H$3:H$102&lt;H23),--(H$3:H$102&lt;&gt;""))-SUMPRODUCT(--($D$3:$D$102="P"),--(H$3:H$102&lt;H23),--(H$3:H$102&lt;&gt;"")))</f>
        <v>39</v>
      </c>
      <c r="O23" s="9">
        <f>IF(OR($C23&lt;&gt;"",$D23&lt;&gt;"",I23=""),"",I23-SUMPRODUCT(--($C$3:$C$102="P"),--(I$3:I$102&lt;I23),--(I$3:I$102&lt;&gt;""))-SUMPRODUCT(--($D$3:$D$102="P"),--(I$3:I$102&lt;I23),--(I$3:I$102&lt;&gt;"")))</f>
        <v>5</v>
      </c>
      <c r="P23" s="9" t="str">
        <f>IF(OR($C23&lt;&gt;"",$D23&lt;&gt;"",J23=""),"",J23-SUMPRODUCT(--($C$3:$C$102="P"),--(J$3:J$102&lt;J23),--(J$3:J$102&lt;&gt;""))-SUMPRODUCT(--($D$3:$D$102="P"),--(J$3:J$102&lt;J23),--(J$3:J$102&lt;&gt;"")))</f>
        <v/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1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1</v>
      </c>
      <c r="S23" s="1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12</v>
      </c>
      <c r="T23" s="1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1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>38</v>
      </c>
      <c r="V23" s="1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1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5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51.09071995</v>
      </c>
      <c r="Y23" s="2" t="str">
        <f>IF(OR(X23="",X23=0),"",IF(SUMPRODUCT(--(B$3:B$102=B23),--(X$3:X$102&gt;X23),--(X$3:X$102&lt;&gt;"")),"","P"))</f>
        <v>P</v>
      </c>
      <c r="Z23" s="2" t="str">
        <f>IF(X23="","",IF(SUMPRODUCT(--(C$3:C$102="P"),--(B$3:B$102=B23)),"P",""))</f>
        <v>P</v>
      </c>
      <c r="AA23" s="15" t="str">
        <f>IF(AND(Y23&lt;&gt;"",OR(Z23="",SUMPRODUCT(--(X$3:X$102&gt;X23),--(Z$3:Z$102="P"),--(Y$3:Y$102="P"))&lt;4)),X23,"")</f>
        <v/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93</v>
      </c>
      <c r="AC23" s="9">
        <f>COUNTIF(L23:Q23,"&lt;=8")</f>
        <v>1</v>
      </c>
      <c r="AD23" s="9">
        <f>MIN(L23:Q23)</f>
        <v>5</v>
      </c>
    </row>
    <row r="24" spans="1:30" x14ac:dyDescent="0.2">
      <c r="A24" s="7" t="s">
        <v>155</v>
      </c>
      <c r="B24" s="6" t="s">
        <v>16</v>
      </c>
      <c r="E24" s="3" t="str">
        <f>IF(AA24="","",RANK(AA24,AA:AA))</f>
        <v/>
      </c>
      <c r="F24" s="6"/>
      <c r="G24" s="6"/>
      <c r="H24" s="6">
        <v>9</v>
      </c>
      <c r="I24" s="6">
        <v>9</v>
      </c>
      <c r="J24" s="6"/>
      <c r="K24" s="6"/>
      <c r="L24" s="9" t="str">
        <f>IF(OR($C24&lt;&gt;"",$D24&lt;&gt;"",F24=""),"",F24-SUMPRODUCT(--($C$3:$C$102="P"),--(F$3:F$102&lt;F24),--(F$3:F$102&lt;&gt;""))-SUMPRODUCT(--($D$3:$D$102="P"),--(F$3:F$102&lt;F24),--(F$3:F$102&lt;&gt;"")))</f>
        <v/>
      </c>
      <c r="M24" s="9" t="str">
        <f>IF(OR($C24&lt;&gt;"",$D24&lt;&gt;"",G24=""),"",G24-SUMPRODUCT(--($C$3:$C$102="P"),--(G$3:G$102&lt;G24),--(G$3:G$102&lt;&gt;""))-SUMPRODUCT(--($D$3:$D$102="P"),--(G$3:G$102&lt;G24),--(G$3:G$102&lt;&gt;"")))</f>
        <v/>
      </c>
      <c r="N24" s="9">
        <f>IF(OR($C24&lt;&gt;"",$D24&lt;&gt;"",H24=""),"",H24-SUMPRODUCT(--($C$3:$C$102="P"),--(H$3:H$102&lt;H24),--(H$3:H$102&lt;&gt;""))-SUMPRODUCT(--($D$3:$D$102="P"),--(H$3:H$102&lt;H24),--(H$3:H$102&lt;&gt;"")))</f>
        <v>8</v>
      </c>
      <c r="O24" s="9">
        <f>IF(OR($C24&lt;&gt;"",$D24&lt;&gt;"",I24=""),"",I24-SUMPRODUCT(--($C$3:$C$102="P"),--(I$3:I$102&lt;I24),--(I$3:I$102&lt;&gt;""))-SUMPRODUCT(--($D$3:$D$102="P"),--(I$3:I$102&lt;I24),--(I$3:I$102&lt;&gt;"")))</f>
        <v>8</v>
      </c>
      <c r="P24" s="9" t="str">
        <f>IF(OR($C24&lt;&gt;"",$D24&lt;&gt;"",J24=""),"",J24-SUMPRODUCT(--($C$3:$C$102="P"),--(J$3:J$102&lt;J24),--(J$3:J$102&lt;&gt;""))-SUMPRODUCT(--($D$3:$D$102="P"),--(J$3:J$102&lt;J24),--(J$3:J$102&lt;&gt;"")))</f>
        <v/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S24" s="1" t="str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/>
      </c>
      <c r="T24" s="1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>25</v>
      </c>
      <c r="U24" s="1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>25</v>
      </c>
      <c r="V24" s="1" t="str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/>
      </c>
      <c r="W24" s="1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5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50.098429919999994</v>
      </c>
      <c r="Y24" s="2" t="str">
        <f>IF(OR(X24="",X24=0),"",IF(SUMPRODUCT(--(B$3:B$102=B24),--(X$3:X$102&gt;X24),--(X$3:X$102&lt;&gt;"")),"","P"))</f>
        <v/>
      </c>
      <c r="Z24" s="2" t="str">
        <f>IF(X24="","",IF(SUMPRODUCT(--(C$3:C$102="P"),--(B$3:B$102=B24)),"P",""))</f>
        <v>P</v>
      </c>
      <c r="AA24" s="15" t="str">
        <f>IF(AND(Y24&lt;&gt;"",OR(Z24="",SUMPRODUCT(--(X$3:X$102&gt;X24),--(Z$3:Z$102="P"),--(Y$3:Y$102="P"))&lt;4)),X24,"")</f>
        <v/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16</v>
      </c>
      <c r="AC24" s="9">
        <f>COUNTIF(L24:Q24,"&lt;=8")</f>
        <v>2</v>
      </c>
      <c r="AD24" s="9">
        <f>MIN(L24:Q24)</f>
        <v>8</v>
      </c>
    </row>
    <row r="25" spans="1:30" x14ac:dyDescent="0.2">
      <c r="A25" s="7" t="s">
        <v>27</v>
      </c>
      <c r="B25" s="6" t="s">
        <v>54</v>
      </c>
      <c r="E25" s="3">
        <f>IF(AA25="","",RANK(AA25,AA:AA))</f>
        <v>9</v>
      </c>
      <c r="F25" s="6">
        <v>14</v>
      </c>
      <c r="G25" s="6">
        <v>31</v>
      </c>
      <c r="H25" s="6">
        <v>26</v>
      </c>
      <c r="I25" s="6">
        <v>16</v>
      </c>
      <c r="J25" s="6"/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12</v>
      </c>
      <c r="M25" s="9">
        <f>IF(OR($C25&lt;&gt;"",$D25&lt;&gt;"",G25=""),"",G25-SUMPRODUCT(--($C$3:$C$102="P"),--(G$3:G$102&lt;G25),--(G$3:G$102&lt;&gt;""))-SUMPRODUCT(--($D$3:$D$102="P"),--(G$3:G$102&lt;G25),--(G$3:G$102&lt;&gt;"")))</f>
        <v>29</v>
      </c>
      <c r="N25" s="9">
        <f>IF(OR($C25&lt;&gt;"",$D25&lt;&gt;"",H25=""),"",H25-SUMPRODUCT(--($C$3:$C$102="P"),--(H$3:H$102&lt;H25),--(H$3:H$102&lt;&gt;""))-SUMPRODUCT(--($D$3:$D$102="P"),--(H$3:H$102&lt;H25),--(H$3:H$102&lt;&gt;"")))</f>
        <v>22</v>
      </c>
      <c r="O25" s="9">
        <f>IF(OR($C25&lt;&gt;"",$D25&lt;&gt;"",I25=""),"",I25-SUMPRODUCT(--($C$3:$C$102="P"),--(I$3:I$102&lt;I25),--(I$3:I$102&lt;&gt;""))-SUMPRODUCT(--($D$3:$D$102="P"),--(I$3:I$102&lt;I25),--(I$3:I$102&lt;&gt;"")))</f>
        <v>14</v>
      </c>
      <c r="P25" s="9" t="str">
        <f>IF(OR($C25&lt;&gt;"",$D25&lt;&gt;"",J25=""),"",J25-SUMPRODUCT(--($C$3:$C$102="P"),--(J$3:J$102&lt;J25),--(J$3:J$102&lt;&gt;""))-SUMPRODUCT(--($D$3:$D$102="P"),--(J$3:J$102&lt;J25),--(J$3:J$102&lt;&gt;"")))</f>
        <v/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1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19</v>
      </c>
      <c r="S25" s="1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>2</v>
      </c>
      <c r="T25" s="1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>9</v>
      </c>
      <c r="U25" s="1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>17</v>
      </c>
      <c r="V25" s="1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1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5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47.092309880000002</v>
      </c>
      <c r="Y25" s="2" t="str">
        <f>IF(OR(X25="",X25=0),"",IF(SUMPRODUCT(--(B$3:B$102=B25),--(X$3:X$102&gt;X25),--(X$3:X$102&lt;&gt;"")),"","P"))</f>
        <v>P</v>
      </c>
      <c r="Z25" s="2" t="str">
        <f>IF(X25="","",IF(SUMPRODUCT(--(C$3:C$102="P"),--(B$3:B$102=B25)),"P",""))</f>
        <v/>
      </c>
      <c r="AA25" s="15">
        <f>IF(AND(Y25&lt;&gt;"",OR(Z25="",SUMPRODUCT(--(X$3:X$102&gt;X25),--(Z$3:Z$102="P"),--(Y$3:Y$102="P"))&lt;4)),X25,"")</f>
        <v>47.092309880000002</v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77</v>
      </c>
      <c r="AC25" s="9">
        <f>COUNTIF(L25:Q25,"&lt;=8")</f>
        <v>0</v>
      </c>
      <c r="AD25" s="9">
        <f>MIN(L25:Q25)</f>
        <v>12</v>
      </c>
    </row>
    <row r="26" spans="1:30" x14ac:dyDescent="0.2">
      <c r="A26" s="7" t="s">
        <v>37</v>
      </c>
      <c r="B26" s="6" t="s">
        <v>53</v>
      </c>
      <c r="E26" s="3" t="str">
        <f>IF(AA26="","",RANK(AA26,AA:AA))</f>
        <v/>
      </c>
      <c r="F26" s="6">
        <v>24</v>
      </c>
      <c r="G26" s="6">
        <v>34</v>
      </c>
      <c r="H26" s="6">
        <v>10</v>
      </c>
      <c r="I26" s="6">
        <v>19</v>
      </c>
      <c r="J26" s="6"/>
      <c r="K26" s="6"/>
      <c r="L26" s="9">
        <f>IF(OR($C26&lt;&gt;"",$D26&lt;&gt;"",F26=""),"",F26-SUMPRODUCT(--($C$3:$C$102="P"),--(F$3:F$102&lt;F26),--(F$3:F$102&lt;&gt;""))-SUMPRODUCT(--($D$3:$D$102="P"),--(F$3:F$102&lt;F26),--(F$3:F$102&lt;&gt;"")))</f>
        <v>21</v>
      </c>
      <c r="M26" s="9">
        <f>IF(OR($C26&lt;&gt;"",$D26&lt;&gt;"",G26=""),"",G26-SUMPRODUCT(--($C$3:$C$102="P"),--(G$3:G$102&lt;G26),--(G$3:G$102&lt;&gt;""))-SUMPRODUCT(--($D$3:$D$102="P"),--(G$3:G$102&lt;G26),--(G$3:G$102&lt;&gt;"")))</f>
        <v>32</v>
      </c>
      <c r="N26" s="9">
        <f>IF(OR($C26&lt;&gt;"",$D26&lt;&gt;"",H26=""),"",H26-SUMPRODUCT(--($C$3:$C$102="P"),--(H$3:H$102&lt;H26),--(H$3:H$102&lt;&gt;""))-SUMPRODUCT(--($D$3:$D$102="P"),--(H$3:H$102&lt;H26),--(H$3:H$102&lt;&gt;"")))</f>
        <v>9</v>
      </c>
      <c r="O26" s="9">
        <f>IF(OR($C26&lt;&gt;"",$D26&lt;&gt;"",I26=""),"",I26-SUMPRODUCT(--($C$3:$C$102="P"),--(I$3:I$102&lt;I26),--(I$3:I$102&lt;&gt;""))-SUMPRODUCT(--($D$3:$D$102="P"),--(I$3:I$102&lt;I26),--(I$3:I$102&lt;&gt;"")))</f>
        <v>16</v>
      </c>
      <c r="P26" s="9" t="str">
        <f>IF(OR($C26&lt;&gt;"",$D26&lt;&gt;"",J26=""),"",J26-SUMPRODUCT(--($C$3:$C$102="P"),--(J$3:J$102&lt;J26),--(J$3:J$102&lt;&gt;""))-SUMPRODUCT(--($D$3:$D$102="P"),--(J$3:J$102&lt;J26),--(J$3:J$102&lt;&gt;"")))</f>
        <v/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1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>10</v>
      </c>
      <c r="S26" s="1" t="str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/>
      </c>
      <c r="T26" s="1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22</v>
      </c>
      <c r="U26" s="1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15</v>
      </c>
      <c r="V26" s="1" t="str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/>
      </c>
      <c r="W26" s="1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5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47.092209910000001</v>
      </c>
      <c r="Y26" s="2" t="str">
        <f>IF(OR(X26="",X26=0),"",IF(SUMPRODUCT(--(B$3:B$102=B26),--(X$3:X$102&gt;X26),--(X$3:X$102&lt;&gt;"")),"","P"))</f>
        <v/>
      </c>
      <c r="Z26" s="2" t="str">
        <f>IF(X26="","",IF(SUMPRODUCT(--(C$3:C$102="P"),--(B$3:B$102=B26)),"P",""))</f>
        <v/>
      </c>
      <c r="AA26" s="15" t="str">
        <f>IF(AND(Y26&lt;&gt;"",OR(Z26="",SUMPRODUCT(--(X$3:X$102&gt;X26),--(Z$3:Z$102="P"),--(Y$3:Y$102="P"))&lt;4)),X26,"")</f>
        <v/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78</v>
      </c>
      <c r="AC26" s="9">
        <f>COUNTIF(L26:Q26,"&lt;=8")</f>
        <v>0</v>
      </c>
      <c r="AD26" s="9">
        <f>MIN(L26:Q26)</f>
        <v>9</v>
      </c>
    </row>
    <row r="27" spans="1:30" x14ac:dyDescent="0.2">
      <c r="A27" s="7" t="s">
        <v>32</v>
      </c>
      <c r="B27" s="6" t="s">
        <v>24</v>
      </c>
      <c r="E27" s="3" t="str">
        <f>IF(AA27="","",RANK(AA27,AA:AA))</f>
        <v/>
      </c>
      <c r="F27" s="6">
        <v>19</v>
      </c>
      <c r="G27" s="6">
        <v>22</v>
      </c>
      <c r="H27" s="6">
        <v>13</v>
      </c>
      <c r="I27" s="6">
        <v>63</v>
      </c>
      <c r="J27" s="6"/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17</v>
      </c>
      <c r="M27" s="9">
        <f>IF(OR($C27&lt;&gt;"",$D27&lt;&gt;"",G27=""),"",G27-SUMPRODUCT(--($C$3:$C$102="P"),--(G$3:G$102&lt;G27),--(G$3:G$102&lt;&gt;""))-SUMPRODUCT(--($D$3:$D$102="P"),--(G$3:G$102&lt;G27),--(G$3:G$102&lt;&gt;"")))</f>
        <v>20</v>
      </c>
      <c r="N27" s="9">
        <f>IF(OR($C27&lt;&gt;"",$D27&lt;&gt;"",H27=""),"",H27-SUMPRODUCT(--($C$3:$C$102="P"),--(H$3:H$102&lt;H27),--(H$3:H$102&lt;&gt;""))-SUMPRODUCT(--($D$3:$D$102="P"),--(H$3:H$102&lt;H27),--(H$3:H$102&lt;&gt;"")))</f>
        <v>11</v>
      </c>
      <c r="O27" s="9">
        <f>IF(OR($C27&lt;&gt;"",$D27&lt;&gt;"",I27=""),"",I27-SUMPRODUCT(--($C$3:$C$102="P"),--(I$3:I$102&lt;I27),--(I$3:I$102&lt;&gt;""))-SUMPRODUCT(--($D$3:$D$102="P"),--(I$3:I$102&lt;I27),--(I$3:I$102&lt;&gt;"")))</f>
        <v>58</v>
      </c>
      <c r="P27" s="9" t="str">
        <f>IF(OR($C27&lt;&gt;"",$D27&lt;&gt;"",J27=""),"",J27-SUMPRODUCT(--($C$3:$C$102="P"),--(J$3:J$102&lt;J27),--(J$3:J$102&lt;&gt;""))-SUMPRODUCT(--($D$3:$D$102="P"),--(J$3:J$102&lt;J27),--(J$3:J$102&lt;&gt;"")))</f>
        <v/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1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>14</v>
      </c>
      <c r="S27" s="1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>11</v>
      </c>
      <c r="T27" s="1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20</v>
      </c>
      <c r="U27" s="1" t="str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/>
      </c>
      <c r="V27" s="1" t="str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/>
      </c>
      <c r="W27" s="1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5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45.089409889999999</v>
      </c>
      <c r="Y27" s="2" t="str">
        <f>IF(OR(X27="",X27=0),"",IF(SUMPRODUCT(--(B$3:B$102=B27),--(X$3:X$102&gt;X27),--(X$3:X$102&lt;&gt;"")),"","P"))</f>
        <v/>
      </c>
      <c r="Z27" s="2" t="str">
        <f>IF(X27="","",IF(SUMPRODUCT(--(C$3:C$102="P"),--(B$3:B$102=B27)),"P",""))</f>
        <v>P</v>
      </c>
      <c r="AA27" s="15" t="str">
        <f>IF(AND(Y27&lt;&gt;"",OR(Z27="",SUMPRODUCT(--(X$3:X$102&gt;X27),--(Z$3:Z$102="P"),--(Y$3:Y$102="P"))&lt;4)),X27,"")</f>
        <v/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106</v>
      </c>
      <c r="AC27" s="9">
        <f>COUNTIF(L27:Q27,"&lt;=8")</f>
        <v>0</v>
      </c>
      <c r="AD27" s="9">
        <f>MIN(L27:Q27)</f>
        <v>11</v>
      </c>
    </row>
    <row r="28" spans="1:30" x14ac:dyDescent="0.2">
      <c r="A28" s="7" t="s">
        <v>40</v>
      </c>
      <c r="B28" s="6" t="s">
        <v>22</v>
      </c>
      <c r="E28" s="3" t="str">
        <f>IF(AA28="","",RANK(AA28,AA:AA))</f>
        <v/>
      </c>
      <c r="F28" s="6">
        <v>27</v>
      </c>
      <c r="G28" s="6">
        <v>27</v>
      </c>
      <c r="H28" s="6">
        <v>28</v>
      </c>
      <c r="I28" s="6">
        <v>15</v>
      </c>
      <c r="J28" s="6"/>
      <c r="K28" s="6"/>
      <c r="L28" s="9">
        <f>IF(OR($C28&lt;&gt;"",$D28&lt;&gt;"",F28=""),"",F28-SUMPRODUCT(--($C$3:$C$102="P"),--(F$3:F$102&lt;F28),--(F$3:F$102&lt;&gt;""))-SUMPRODUCT(--($D$3:$D$102="P"),--(F$3:F$102&lt;F28),--(F$3:F$102&lt;&gt;"")))</f>
        <v>24</v>
      </c>
      <c r="M28" s="9">
        <f>IF(OR($C28&lt;&gt;"",$D28&lt;&gt;"",G28=""),"",G28-SUMPRODUCT(--($C$3:$C$102="P"),--(G$3:G$102&lt;G28),--(G$3:G$102&lt;&gt;""))-SUMPRODUCT(--($D$3:$D$102="P"),--(G$3:G$102&lt;G28),--(G$3:G$102&lt;&gt;"")))</f>
        <v>25</v>
      </c>
      <c r="N28" s="9">
        <f>IF(OR($C28&lt;&gt;"",$D28&lt;&gt;"",H28=""),"",H28-SUMPRODUCT(--($C$3:$C$102="P"),--(H$3:H$102&lt;H28),--(H$3:H$102&lt;&gt;""))-SUMPRODUCT(--($D$3:$D$102="P"),--(H$3:H$102&lt;H28),--(H$3:H$102&lt;&gt;"")))</f>
        <v>24</v>
      </c>
      <c r="O28" s="9">
        <f>IF(OR($C28&lt;&gt;"",$D28&lt;&gt;"",I28=""),"",I28-SUMPRODUCT(--($C$3:$C$102="P"),--(I$3:I$102&lt;I28),--(I$3:I$102&lt;&gt;""))-SUMPRODUCT(--($D$3:$D$102="P"),--(I$3:I$102&lt;I28),--(I$3:I$102&lt;&gt;"")))</f>
        <v>13</v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1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>7</v>
      </c>
      <c r="S28" s="1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>6</v>
      </c>
      <c r="T28" s="1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7</v>
      </c>
      <c r="U28" s="1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>18</v>
      </c>
      <c r="V28" s="1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1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5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38.09140987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>P</v>
      </c>
      <c r="AA28" s="15" t="str">
        <f>IF(AND(Y28&lt;&gt;"",OR(Z28="",SUMPRODUCT(--(X$3:X$102&gt;X28),--(Z$3:Z$102="P"),--(Y$3:Y$102="P"))&lt;4)),X28,"")</f>
        <v/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86</v>
      </c>
      <c r="AC28" s="9">
        <f>COUNTIF(L28:Q28,"&lt;=8")</f>
        <v>0</v>
      </c>
      <c r="AD28" s="9">
        <f>MIN(L28:Q28)</f>
        <v>13</v>
      </c>
    </row>
    <row r="29" spans="1:30" x14ac:dyDescent="0.2">
      <c r="A29" s="7" t="s">
        <v>39</v>
      </c>
      <c r="B29" s="6" t="s">
        <v>57</v>
      </c>
      <c r="E29" s="3">
        <f>IF(AA29="","",RANK(AA29,AA:AA))</f>
        <v>10</v>
      </c>
      <c r="F29" s="6">
        <v>26</v>
      </c>
      <c r="G29" s="6">
        <v>24</v>
      </c>
      <c r="H29" s="6">
        <v>43</v>
      </c>
      <c r="I29" s="6">
        <v>14</v>
      </c>
      <c r="J29" s="6"/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23</v>
      </c>
      <c r="M29" s="9">
        <f>IF(OR($C29&lt;&gt;"",$D29&lt;&gt;"",G29=""),"",G29-SUMPRODUCT(--($C$3:$C$102="P"),--(G$3:G$102&lt;G29),--(G$3:G$102&lt;&gt;""))-SUMPRODUCT(--($D$3:$D$102="P"),--(G$3:G$102&lt;G29),--(G$3:G$102&lt;&gt;"")))</f>
        <v>22</v>
      </c>
      <c r="N29" s="9">
        <f>IF(OR($C29&lt;&gt;"",$D29&lt;&gt;"",H29=""),"",H29-SUMPRODUCT(--($C$3:$C$102="P"),--(H$3:H$102&lt;H29),--(H$3:H$102&lt;&gt;""))-SUMPRODUCT(--($D$3:$D$102="P"),--(H$3:H$102&lt;H29),--(H$3:H$102&lt;&gt;"")))</f>
        <v>38</v>
      </c>
      <c r="O29" s="9">
        <f>IF(OR($C29&lt;&gt;"",$D29&lt;&gt;"",I29=""),"",I29-SUMPRODUCT(--($C$3:$C$102="P"),--(I$3:I$102&lt;I29),--(I$3:I$102&lt;&gt;""))-SUMPRODUCT(--($D$3:$D$102="P"),--(I$3:I$102&lt;I29),--(I$3:I$102&lt;&gt;"")))</f>
        <v>12</v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1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8</v>
      </c>
      <c r="S29" s="1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>9</v>
      </c>
      <c r="T29" s="1" t="str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/>
      </c>
      <c r="U29" s="1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>19</v>
      </c>
      <c r="V29" s="1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1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5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36.090509879999999</v>
      </c>
      <c r="Y29" s="2" t="str">
        <f>IF(OR(X29="",X29=0),"",IF(SUMPRODUCT(--(B$3:B$102=B29),--(X$3:X$102&gt;X29),--(X$3:X$102&lt;&gt;"")),"","P"))</f>
        <v>P</v>
      </c>
      <c r="Z29" s="2" t="str">
        <f>IF(X29="","",IF(SUMPRODUCT(--(C$3:C$102="P"),--(B$3:B$102=B29)),"P",""))</f>
        <v/>
      </c>
      <c r="AA29" s="15">
        <f>IF(AND(Y29&lt;&gt;"",OR(Z29="",SUMPRODUCT(--(X$3:X$102&gt;X29),--(Z$3:Z$102="P"),--(Y$3:Y$102="P"))&lt;4)),X29,"")</f>
        <v>36.090509879999999</v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95</v>
      </c>
      <c r="AC29" s="9">
        <f>COUNTIF(L29:Q29,"&lt;=8")</f>
        <v>0</v>
      </c>
      <c r="AD29" s="9">
        <f>MIN(L29:Q29)</f>
        <v>12</v>
      </c>
    </row>
    <row r="30" spans="1:30" x14ac:dyDescent="0.2">
      <c r="A30" s="7" t="s">
        <v>158</v>
      </c>
      <c r="B30" s="6" t="s">
        <v>59</v>
      </c>
      <c r="E30" s="3">
        <f>IF(AA30="","",RANK(AA30,AA:AA))</f>
        <v>11</v>
      </c>
      <c r="F30" s="6">
        <v>32</v>
      </c>
      <c r="G30" s="6">
        <v>19</v>
      </c>
      <c r="H30" s="6">
        <v>27</v>
      </c>
      <c r="I30" s="6">
        <v>23</v>
      </c>
      <c r="J30" s="6"/>
      <c r="K30" s="6"/>
      <c r="L30" s="9">
        <f>IF(OR($C30&lt;&gt;"",$D30&lt;&gt;"",F30=""),"",F30-SUMPRODUCT(--($C$3:$C$102="P"),--(F$3:F$102&lt;F30),--(F$3:F$102&lt;&gt;""))-SUMPRODUCT(--($D$3:$D$102="P"),--(F$3:F$102&lt;F30),--(F$3:F$102&lt;&gt;"")))</f>
        <v>29</v>
      </c>
      <c r="M30" s="9">
        <f>IF(OR($C30&lt;&gt;"",$D30&lt;&gt;"",G30=""),"",G30-SUMPRODUCT(--($C$3:$C$102="P"),--(G$3:G$102&lt;G30),--(G$3:G$102&lt;&gt;""))-SUMPRODUCT(--($D$3:$D$102="P"),--(G$3:G$102&lt;G30),--(G$3:G$102&lt;&gt;"")))</f>
        <v>17</v>
      </c>
      <c r="N30" s="9">
        <f>IF(OR($C30&lt;&gt;"",$D30&lt;&gt;"",H30=""),"",H30-SUMPRODUCT(--($C$3:$C$102="P"),--(H$3:H$102&lt;H30),--(H$3:H$102&lt;&gt;""))-SUMPRODUCT(--($D$3:$D$102="P"),--(H$3:H$102&lt;H30),--(H$3:H$102&lt;&gt;"")))</f>
        <v>23</v>
      </c>
      <c r="O30" s="9">
        <f>IF(OR($C30&lt;&gt;"",$D30&lt;&gt;"",I30=""),"",I30-SUMPRODUCT(--($C$3:$C$102="P"),--(I$3:I$102&lt;I30),--(I$3:I$102&lt;&gt;""))-SUMPRODUCT(--($D$3:$D$102="P"),--(I$3:I$102&lt;I30),--(I$3:I$102&lt;&gt;"")))</f>
        <v>20</v>
      </c>
      <c r="P30" s="9" t="str">
        <f>IF(OR($C30&lt;&gt;"",$D30&lt;&gt;"",J30=""),"",J30-SUMPRODUCT(--($C$3:$C$102="P"),--(J$3:J$102&lt;J30),--(J$3:J$102&lt;&gt;""))-SUMPRODUCT(--($D$3:$D$102="P"),--(J$3:J$102&lt;J30),--(J$3:J$102&lt;&gt;"")))</f>
        <v/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1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>2</v>
      </c>
      <c r="S30" s="1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14</v>
      </c>
      <c r="T30" s="1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>8</v>
      </c>
      <c r="U30" s="1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>11</v>
      </c>
      <c r="V30" s="1" t="str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/>
      </c>
      <c r="W30" s="1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5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35.091109830000001</v>
      </c>
      <c r="Y30" s="2" t="str">
        <f>IF(OR(X30="",X30=0),"",IF(SUMPRODUCT(--(B$3:B$102=B30),--(X$3:X$102&gt;X30),--(X$3:X$102&lt;&gt;"")),"","P"))</f>
        <v>P</v>
      </c>
      <c r="Z30" s="2" t="str">
        <f>IF(X30="","",IF(SUMPRODUCT(--(C$3:C$102="P"),--(B$3:B$102=B30)),"P",""))</f>
        <v/>
      </c>
      <c r="AA30" s="15">
        <f>IF(AND(Y30&lt;&gt;"",OR(Z30="",SUMPRODUCT(--(X$3:X$102&gt;X30),--(Z$3:Z$102="P"),--(Y$3:Y$102="P"))&lt;4)),X30,"")</f>
        <v>35.091109830000001</v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89</v>
      </c>
      <c r="AC30" s="9">
        <f>COUNTIF(L30:Q30,"&lt;=8")</f>
        <v>0</v>
      </c>
      <c r="AD30" s="9">
        <f>MIN(L30:Q30)</f>
        <v>17</v>
      </c>
    </row>
    <row r="31" spans="1:30" x14ac:dyDescent="0.2">
      <c r="A31" s="7" t="s">
        <v>29</v>
      </c>
      <c r="B31" s="6" t="s">
        <v>17</v>
      </c>
      <c r="E31" s="3" t="str">
        <f>IF(AA31="","",RANK(AA31,AA:AA))</f>
        <v/>
      </c>
      <c r="F31" s="6">
        <v>16</v>
      </c>
      <c r="G31" s="6">
        <v>28</v>
      </c>
      <c r="H31" s="6">
        <v>23</v>
      </c>
      <c r="I31" s="6">
        <v>51</v>
      </c>
      <c r="J31" s="6"/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14</v>
      </c>
      <c r="M31" s="9">
        <f>IF(OR($C31&lt;&gt;"",$D31&lt;&gt;"",G31=""),"",G31-SUMPRODUCT(--($C$3:$C$102="P"),--(G$3:G$102&lt;G31),--(G$3:G$102&lt;&gt;""))-SUMPRODUCT(--($D$3:$D$102="P"),--(G$3:G$102&lt;G31),--(G$3:G$102&lt;&gt;"")))</f>
        <v>26</v>
      </c>
      <c r="N31" s="9">
        <f>IF(OR($C31&lt;&gt;"",$D31&lt;&gt;"",H31=""),"",H31-SUMPRODUCT(--($C$3:$C$102="P"),--(H$3:H$102&lt;H31),--(H$3:H$102&lt;&gt;""))-SUMPRODUCT(--($D$3:$D$102="P"),--(H$3:H$102&lt;H31),--(H$3:H$102&lt;&gt;"")))</f>
        <v>20</v>
      </c>
      <c r="O31" s="9">
        <f>IF(OR($C31&lt;&gt;"",$D31&lt;&gt;"",I31=""),"",I31-SUMPRODUCT(--($C$3:$C$102="P"),--(I$3:I$102&lt;I31),--(I$3:I$102&lt;&gt;""))-SUMPRODUCT(--($D$3:$D$102="P"),--(I$3:I$102&lt;I31),--(I$3:I$102&lt;&gt;"")))</f>
        <v>46</v>
      </c>
      <c r="P31" s="9" t="str">
        <f>IF(OR($C31&lt;&gt;"",$D31&lt;&gt;"",J31=""),"",J31-SUMPRODUCT(--($C$3:$C$102="P"),--(J$3:J$102&lt;J31),--(J$3:J$102&lt;&gt;""))-SUMPRODUCT(--($D$3:$D$102="P"),--(J$3:J$102&lt;J31),--(J$3:J$102&lt;&gt;"")))</f>
        <v/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1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>17</v>
      </c>
      <c r="S31" s="1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5</v>
      </c>
      <c r="T31" s="1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>11</v>
      </c>
      <c r="U31" s="1" t="str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/>
      </c>
      <c r="V31" s="1" t="str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/>
      </c>
      <c r="W31" s="1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5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33.089409859999996</v>
      </c>
      <c r="Y31" s="2" t="str">
        <f>IF(OR(X31="",X31=0),"",IF(SUMPRODUCT(--(B$3:B$102=B31),--(X$3:X$102&gt;X31),--(X$3:X$102&lt;&gt;"")),"","P"))</f>
        <v/>
      </c>
      <c r="Z31" s="2" t="str">
        <f>IF(X31="","",IF(SUMPRODUCT(--(C$3:C$102="P"),--(B$3:B$102=B31)),"P",""))</f>
        <v>P</v>
      </c>
      <c r="AA31" s="15" t="str">
        <f>IF(AND(Y31&lt;&gt;"",OR(Z31="",SUMPRODUCT(--(X$3:X$102&gt;X31),--(Z$3:Z$102="P"),--(Y$3:Y$102="P"))&lt;4)),X31,"")</f>
        <v/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106</v>
      </c>
      <c r="AC31" s="9">
        <f>COUNTIF(L31:Q31,"&lt;=8")</f>
        <v>0</v>
      </c>
      <c r="AD31" s="9">
        <f>MIN(L31:Q31)</f>
        <v>14</v>
      </c>
    </row>
    <row r="32" spans="1:30" x14ac:dyDescent="0.2">
      <c r="A32" s="7" t="s">
        <v>149</v>
      </c>
      <c r="B32" s="6" t="s">
        <v>54</v>
      </c>
      <c r="E32" s="3" t="str">
        <f>IF(AA32="","",RANK(AA32,AA:AA))</f>
        <v/>
      </c>
      <c r="F32" s="6">
        <v>51</v>
      </c>
      <c r="G32" s="6">
        <v>36</v>
      </c>
      <c r="H32" s="6">
        <v>22</v>
      </c>
      <c r="I32" s="6">
        <v>13</v>
      </c>
      <c r="J32" s="6"/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48</v>
      </c>
      <c r="M32" s="9">
        <f>IF(OR($C32&lt;&gt;"",$D32&lt;&gt;"",G32=""),"",G32-SUMPRODUCT(--($C$3:$C$102="P"),--(G$3:G$102&lt;G32),--(G$3:G$102&lt;&gt;""))-SUMPRODUCT(--($D$3:$D$102="P"),--(G$3:G$102&lt;G32),--(G$3:G$102&lt;&gt;"")))</f>
        <v>34</v>
      </c>
      <c r="N32" s="9">
        <f>IF(OR($C32&lt;&gt;"",$D32&lt;&gt;"",H32=""),"",H32-SUMPRODUCT(--($C$3:$C$102="P"),--(H$3:H$102&lt;H32),--(H$3:H$102&lt;&gt;""))-SUMPRODUCT(--($D$3:$D$102="P"),--(H$3:H$102&lt;H32),--(H$3:H$102&lt;&gt;"")))</f>
        <v>19</v>
      </c>
      <c r="O32" s="9">
        <f>IF(OR($C32&lt;&gt;"",$D32&lt;&gt;"",I32=""),"",I32-SUMPRODUCT(--($C$3:$C$102="P"),--(I$3:I$102&lt;I32),--(I$3:I$102&lt;&gt;""))-SUMPRODUCT(--($D$3:$D$102="P"),--(I$3:I$102&lt;I32),--(I$3:I$102&lt;&gt;"")))</f>
        <v>11</v>
      </c>
      <c r="P32" s="9" t="str">
        <f>IF(OR($C32&lt;&gt;"",$D32&lt;&gt;"",J32=""),"",J32-SUMPRODUCT(--($C$3:$C$102="P"),--(J$3:J$102&lt;J32),--(J$3:J$102&lt;&gt;""))-SUMPRODUCT(--($D$3:$D$102="P"),--(J$3:J$102&lt;J32),--(J$3:J$102&lt;&gt;"")))</f>
        <v/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S32" s="1" t="str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/>
      </c>
      <c r="T32" s="1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>12</v>
      </c>
      <c r="U32" s="1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>20</v>
      </c>
      <c r="V32" s="1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1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5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32.08880989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/>
      </c>
      <c r="AA32" s="15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112</v>
      </c>
      <c r="AC32" s="9">
        <f>COUNTIF(L32:Q32,"&lt;=8")</f>
        <v>0</v>
      </c>
      <c r="AD32" s="9">
        <f>MIN(L32:Q32)</f>
        <v>11</v>
      </c>
    </row>
    <row r="33" spans="1:30" x14ac:dyDescent="0.2">
      <c r="A33" s="7" t="s">
        <v>30</v>
      </c>
      <c r="B33" s="6" t="s">
        <v>19</v>
      </c>
      <c r="E33" s="3" t="str">
        <f>IF(AA33="","",RANK(AA33,AA:AA))</f>
        <v/>
      </c>
      <c r="F33" s="6">
        <v>17</v>
      </c>
      <c r="G33" s="6">
        <v>18</v>
      </c>
      <c r="H33" s="6"/>
      <c r="I33" s="6"/>
      <c r="J33" s="6"/>
      <c r="K33" s="6"/>
      <c r="L33" s="9">
        <f>IF(OR($C33&lt;&gt;"",$D33&lt;&gt;"",F33=""),"",F33-SUMPRODUCT(--($C$3:$C$102="P"),--(F$3:F$102&lt;F33),--(F$3:F$102&lt;&gt;""))-SUMPRODUCT(--($D$3:$D$102="P"),--(F$3:F$102&lt;F33),--(F$3:F$102&lt;&gt;"")))</f>
        <v>15</v>
      </c>
      <c r="M33" s="9">
        <f>IF(OR($C33&lt;&gt;"",$D33&lt;&gt;"",G33=""),"",G33-SUMPRODUCT(--($C$3:$C$102="P"),--(G$3:G$102&lt;G33),--(G$3:G$102&lt;&gt;""))-SUMPRODUCT(--($D$3:$D$102="P"),--(G$3:G$102&lt;G33),--(G$3:G$102&lt;&gt;"")))</f>
        <v>16</v>
      </c>
      <c r="N33" s="9" t="str">
        <f>IF(OR($C33&lt;&gt;"",$D33&lt;&gt;"",H33=""),"",H33-SUMPRODUCT(--($C$3:$C$102="P"),--(H$3:H$102&lt;H33),--(H$3:H$102&lt;&gt;""))-SUMPRODUCT(--($D$3:$D$102="P"),--(H$3:H$102&lt;H33),--(H$3:H$102&lt;&gt;"")))</f>
        <v/>
      </c>
      <c r="O33" s="9" t="str">
        <f>IF(OR($C33&lt;&gt;"",$D33&lt;&gt;"",I33=""),"",I33-SUMPRODUCT(--($C$3:$C$102="P"),--(I$3:I$102&lt;I33),--(I$3:I$102&lt;&gt;""))-SUMPRODUCT(--($D$3:$D$102="P"),--(I$3:I$102&lt;I33),--(I$3:I$102&lt;&gt;"")))</f>
        <v/>
      </c>
      <c r="P33" s="9" t="str">
        <f>IF(OR($C33&lt;&gt;"",$D33&lt;&gt;"",J33=""),"",J33-SUMPRODUCT(--($C$3:$C$102="P"),--(J$3:J$102&lt;J33),--(J$3:J$102&lt;&gt;""))-SUMPRODUCT(--($D$3:$D$102="P"),--(J$3:J$102&lt;J33),--(J$3:J$102&lt;&gt;"")))</f>
        <v/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1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16</v>
      </c>
      <c r="S33" s="1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>15</v>
      </c>
      <c r="T33" s="1" t="str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/>
      </c>
      <c r="U33" s="1" t="str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/>
      </c>
      <c r="V33" s="1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1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5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31.096909850000003</v>
      </c>
      <c r="Y33" s="2" t="str">
        <f>IF(OR(X33="",X33=0),"",IF(SUMPRODUCT(--(B$3:B$102=B33),--(X$3:X$102&gt;X33),--(X$3:X$102&lt;&gt;"")),"","P"))</f>
        <v/>
      </c>
      <c r="Z33" s="2" t="str">
        <f>IF(X33="","",IF(SUMPRODUCT(--(C$3:C$102="P"),--(B$3:B$102=B33)),"P",""))</f>
        <v/>
      </c>
      <c r="AA33" s="15" t="str">
        <f>IF(AND(Y33&lt;&gt;"",OR(Z33="",SUMPRODUCT(--(X$3:X$102&gt;X33),--(Z$3:Z$102="P"),--(Y$3:Y$102="P"))&lt;4)),X33,"")</f>
        <v/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31</v>
      </c>
      <c r="AC33" s="9">
        <f>COUNTIF(L33:Q33,"&lt;=8")</f>
        <v>0</v>
      </c>
      <c r="AD33" s="9">
        <f>MIN(L33:Q33)</f>
        <v>15</v>
      </c>
    </row>
    <row r="34" spans="1:30" x14ac:dyDescent="0.2">
      <c r="A34" s="7" t="s">
        <v>48</v>
      </c>
      <c r="B34" s="6" t="s">
        <v>59</v>
      </c>
      <c r="E34" s="3" t="str">
        <f>IF(AA34="","",RANK(AA34,AA:AA))</f>
        <v/>
      </c>
      <c r="F34" s="6">
        <v>36</v>
      </c>
      <c r="G34" s="6">
        <v>35</v>
      </c>
      <c r="H34" s="6">
        <v>19</v>
      </c>
      <c r="I34" s="6">
        <v>18</v>
      </c>
      <c r="J34" s="6"/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33</v>
      </c>
      <c r="M34" s="9">
        <f>IF(OR($C34&lt;&gt;"",$D34&lt;&gt;"",G34=""),"",G34-SUMPRODUCT(--($C$3:$C$102="P"),--(G$3:G$102&lt;G34),--(G$3:G$102&lt;&gt;""))-SUMPRODUCT(--($D$3:$D$102="P"),--(G$3:G$102&lt;G34),--(G$3:G$102&lt;&gt;"")))</f>
        <v>33</v>
      </c>
      <c r="N34" s="9">
        <f>IF(OR($C34&lt;&gt;"",$D34&lt;&gt;"",H34=""),"",H34-SUMPRODUCT(--($C$3:$C$102="P"),--(H$3:H$102&lt;H34),--(H$3:H$102&lt;&gt;""))-SUMPRODUCT(--($D$3:$D$102="P"),--(H$3:H$102&lt;H34),--(H$3:H$102&lt;&gt;"")))</f>
        <v>16</v>
      </c>
      <c r="O34" s="9">
        <f>IF(OR($C34&lt;&gt;"",$D34&lt;&gt;"",I34=""),"",I34-SUMPRODUCT(--($C$3:$C$102="P"),--(I$3:I$102&lt;I34),--(I$3:I$102&lt;&gt;""))-SUMPRODUCT(--($D$3:$D$102="P"),--(I$3:I$102&lt;I34),--(I$3:I$102&lt;&gt;"")))</f>
        <v>15</v>
      </c>
      <c r="P34" s="9" t="str">
        <f>IF(OR($C34&lt;&gt;"",$D34&lt;&gt;"",J34=""),"",J34-SUMPRODUCT(--($C$3:$C$102="P"),--(J$3:J$102&lt;J34),--(J$3:J$102&lt;&gt;""))-SUMPRODUCT(--($D$3:$D$102="P"),--(J$3:J$102&lt;J34),--(J$3:J$102&lt;&gt;"")))</f>
        <v/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S34" s="1" t="str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/>
      </c>
      <c r="T34" s="1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>15</v>
      </c>
      <c r="U34" s="1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>16</v>
      </c>
      <c r="V34" s="1" t="str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/>
      </c>
      <c r="W34" s="1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5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31.090309850000001</v>
      </c>
      <c r="Y34" s="2" t="str">
        <f>IF(OR(X34="",X34=0),"",IF(SUMPRODUCT(--(B$3:B$102=B34),--(X$3:X$102&gt;X34),--(X$3:X$102&lt;&gt;"")),"","P"))</f>
        <v/>
      </c>
      <c r="Z34" s="2" t="str">
        <f>IF(X34="","",IF(SUMPRODUCT(--(C$3:C$102="P"),--(B$3:B$102=B34)),"P",""))</f>
        <v/>
      </c>
      <c r="AA34" s="15" t="str">
        <f>IF(AND(Y34&lt;&gt;"",OR(Z34="",SUMPRODUCT(--(X$3:X$102&gt;X34),--(Z$3:Z$102="P"),--(Y$3:Y$102="P"))&lt;4)),X34,"")</f>
        <v/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97</v>
      </c>
      <c r="AC34" s="9">
        <f>COUNTIF(L34:Q34,"&lt;=8")</f>
        <v>0</v>
      </c>
      <c r="AD34" s="9">
        <f>MIN(L34:Q34)</f>
        <v>15</v>
      </c>
    </row>
    <row r="35" spans="1:30" x14ac:dyDescent="0.2">
      <c r="A35" s="7" t="s">
        <v>143</v>
      </c>
      <c r="B35" s="6" t="s">
        <v>59</v>
      </c>
      <c r="E35" s="3" t="str">
        <f>IF(AA35="","",RANK(AA35,AA:AA))</f>
        <v/>
      </c>
      <c r="F35" s="6">
        <v>41</v>
      </c>
      <c r="G35" s="6">
        <v>20</v>
      </c>
      <c r="H35" s="6">
        <v>17</v>
      </c>
      <c r="I35" s="6">
        <v>45</v>
      </c>
      <c r="J35" s="6"/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38</v>
      </c>
      <c r="M35" s="9">
        <f>IF(OR($C35&lt;&gt;"",$D35&lt;&gt;"",G35=""),"",G35-SUMPRODUCT(--($C$3:$C$102="P"),--(G$3:G$102&lt;G35),--(G$3:G$102&lt;&gt;""))-SUMPRODUCT(--($D$3:$D$102="P"),--(G$3:G$102&lt;G35),--(G$3:G$102&lt;&gt;"")))</f>
        <v>18</v>
      </c>
      <c r="N35" s="9">
        <f>IF(OR($C35&lt;&gt;"",$D35&lt;&gt;"",H35=""),"",H35-SUMPRODUCT(--($C$3:$C$102="P"),--(H$3:H$102&lt;H35),--(H$3:H$102&lt;&gt;""))-SUMPRODUCT(--($D$3:$D$102="P"),--(H$3:H$102&lt;H35),--(H$3:H$102&lt;&gt;"")))</f>
        <v>15</v>
      </c>
      <c r="O35" s="9">
        <f>IF(OR($C35&lt;&gt;"",$D35&lt;&gt;"",I35=""),"",I35-SUMPRODUCT(--($C$3:$C$102="P"),--(I$3:I$102&lt;I35),--(I$3:I$102&lt;&gt;""))-SUMPRODUCT(--($D$3:$D$102="P"),--(I$3:I$102&lt;I35),--(I$3:I$102&lt;&gt;"")))</f>
        <v>40</v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1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13</v>
      </c>
      <c r="T35" s="1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16</v>
      </c>
      <c r="U35" s="1" t="str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1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1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29.08890985</v>
      </c>
      <c r="Y35" s="2" t="str">
        <f>IF(OR(X35="",X35=0),"",IF(SUMPRODUCT(--(B$3:B$102=B35),--(X$3:X$102&gt;X35),--(X$3:X$102&lt;&gt;"")),"","P"))</f>
        <v/>
      </c>
      <c r="Z35" s="2" t="str">
        <f>IF(X35="","",IF(SUMPRODUCT(--(C$3:C$102="P"),--(B$3:B$102=B35)),"P",""))</f>
        <v/>
      </c>
      <c r="AA35" s="15" t="str">
        <f>IF(AND(Y35&lt;&gt;"",OR(Z35="",SUMPRODUCT(--(X$3:X$102&gt;X35),--(Z$3:Z$102="P"),--(Y$3:Y$102="P"))&lt;4)),X35,"")</f>
        <v/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111</v>
      </c>
      <c r="AC35" s="9">
        <f>COUNTIF(L35:Q35,"&lt;=8")</f>
        <v>0</v>
      </c>
      <c r="AD35" s="9">
        <f>MIN(L35:Q35)</f>
        <v>15</v>
      </c>
    </row>
    <row r="36" spans="1:30" x14ac:dyDescent="0.2">
      <c r="A36" s="7" t="s">
        <v>142</v>
      </c>
      <c r="B36" s="6" t="s">
        <v>51</v>
      </c>
      <c r="E36" s="3">
        <f>IF(AA36="","",RANK(AA36,AA:AA))</f>
        <v>12</v>
      </c>
      <c r="F36" s="6">
        <v>57</v>
      </c>
      <c r="G36" s="6">
        <v>16</v>
      </c>
      <c r="H36" s="6"/>
      <c r="I36" s="6">
        <v>25</v>
      </c>
      <c r="J36" s="6"/>
      <c r="K36" s="6"/>
      <c r="L36" s="9">
        <f>IF(OR($C36&lt;&gt;"",$D36&lt;&gt;"",F36=""),"",F36-SUMPRODUCT(--($C$3:$C$102="P"),--(F$3:F$102&lt;F36),--(F$3:F$102&lt;&gt;""))-SUMPRODUCT(--($D$3:$D$102="P"),--(F$3:F$102&lt;F36),--(F$3:F$102&lt;&gt;"")))</f>
        <v>54</v>
      </c>
      <c r="M36" s="9">
        <f>IF(OR($C36&lt;&gt;"",$D36&lt;&gt;"",G36=""),"",G36-SUMPRODUCT(--($C$3:$C$102="P"),--(G$3:G$102&lt;G36),--(G$3:G$102&lt;&gt;""))-SUMPRODUCT(--($D$3:$D$102="P"),--(G$3:G$102&lt;G36),--(G$3:G$102&lt;&gt;"")))</f>
        <v>14</v>
      </c>
      <c r="N36" s="9" t="str">
        <f>IF(OR($C36&lt;&gt;"",$D36&lt;&gt;"",H36=""),"",H36-SUMPRODUCT(--($C$3:$C$102="P"),--(H$3:H$102&lt;H36),--(H$3:H$102&lt;&gt;""))-SUMPRODUCT(--($D$3:$D$102="P"),--(H$3:H$102&lt;H36),--(H$3:H$102&lt;&gt;"")))</f>
        <v/>
      </c>
      <c r="O36" s="9">
        <f>IF(OR($C36&lt;&gt;"",$D36&lt;&gt;"",I36=""),"",I36-SUMPRODUCT(--($C$3:$C$102="P"),--(I$3:I$102&lt;I36),--(I$3:I$102&lt;&gt;""))-SUMPRODUCT(--($D$3:$D$102="P"),--(I$3:I$102&lt;I36),--(I$3:I$102&lt;&gt;"")))</f>
        <v>22</v>
      </c>
      <c r="P36" s="9" t="str">
        <f>IF(OR($C36&lt;&gt;"",$D36&lt;&gt;"",J36=""),"",J36-SUMPRODUCT(--($C$3:$C$102="P"),--(J$3:J$102&lt;J36),--(J$3:J$102&lt;&gt;""))-SUMPRODUCT(--($D$3:$D$102="P"),--(J$3:J$102&lt;J36),--(J$3:J$102&lt;&gt;"")))</f>
        <v/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S36" s="1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>17</v>
      </c>
      <c r="T36" s="1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1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>9</v>
      </c>
      <c r="V36" s="1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1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5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26.09100986</v>
      </c>
      <c r="Y36" s="2" t="str">
        <f>IF(OR(X36="",X36=0),"",IF(SUMPRODUCT(--(B$3:B$102=B36),--(X$3:X$102&gt;X36),--(X$3:X$102&lt;&gt;"")),"","P"))</f>
        <v>P</v>
      </c>
      <c r="Z36" s="2" t="str">
        <f>IF(X36="","",IF(SUMPRODUCT(--(C$3:C$102="P"),--(B$3:B$102=B36)),"P",""))</f>
        <v/>
      </c>
      <c r="AA36" s="15">
        <f>IF(AND(Y36&lt;&gt;"",OR(Z36="",SUMPRODUCT(--(X$3:X$102&gt;X36),--(Z$3:Z$102="P"),--(Y$3:Y$102="P"))&lt;4)),X36,"")</f>
        <v>26.09100986</v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90</v>
      </c>
      <c r="AC36" s="9">
        <f>COUNTIF(L36:Q36,"&lt;=8")</f>
        <v>0</v>
      </c>
      <c r="AD36" s="9">
        <f>MIN(L36:Q36)</f>
        <v>14</v>
      </c>
    </row>
    <row r="37" spans="1:30" x14ac:dyDescent="0.2">
      <c r="A37" s="7" t="s">
        <v>36</v>
      </c>
      <c r="B37" s="6" t="s">
        <v>57</v>
      </c>
      <c r="E37" s="3" t="str">
        <f>IF(AA37="","",RANK(AA37,AA:AA))</f>
        <v/>
      </c>
      <c r="F37" s="6">
        <v>23</v>
      </c>
      <c r="G37" s="6">
        <v>30</v>
      </c>
      <c r="H37" s="6">
        <v>30</v>
      </c>
      <c r="I37" s="6">
        <v>28</v>
      </c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20</v>
      </c>
      <c r="M37" s="9">
        <f>IF(OR($C37&lt;&gt;"",$D37&lt;&gt;"",G37=""),"",G37-SUMPRODUCT(--($C$3:$C$102="P"),--(G$3:G$102&lt;G37),--(G$3:G$102&lt;&gt;""))-SUMPRODUCT(--($D$3:$D$102="P"),--(G$3:G$102&lt;G37),--(G$3:G$102&lt;&gt;"")))</f>
        <v>28</v>
      </c>
      <c r="N37" s="9">
        <f>IF(OR($C37&lt;&gt;"",$D37&lt;&gt;"",H37=""),"",H37-SUMPRODUCT(--($C$3:$C$102="P"),--(H$3:H$102&lt;H37),--(H$3:H$102&lt;&gt;""))-SUMPRODUCT(--($D$3:$D$102="P"),--(H$3:H$102&lt;H37),--(H$3:H$102&lt;&gt;"")))</f>
        <v>26</v>
      </c>
      <c r="O37" s="9">
        <f>IF(OR($C37&lt;&gt;"",$D37&lt;&gt;"",I37=""),"",I37-SUMPRODUCT(--($C$3:$C$102="P"),--(I$3:I$102&lt;I37),--(I$3:I$102&lt;&gt;""))-SUMPRODUCT(--($D$3:$D$102="P"),--(I$3:I$102&lt;I37),--(I$3:I$102&lt;&gt;"")))</f>
        <v>24</v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1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11</v>
      </c>
      <c r="S37" s="1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>3</v>
      </c>
      <c r="T37" s="1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>5</v>
      </c>
      <c r="U37" s="1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>7</v>
      </c>
      <c r="V37" s="1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1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5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26.0902098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/>
      </c>
      <c r="AA37" s="15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98</v>
      </c>
      <c r="AC37" s="9">
        <f>COUNTIF(L37:Q37,"&lt;=8")</f>
        <v>0</v>
      </c>
      <c r="AD37" s="9">
        <f>MIN(L37:Q37)</f>
        <v>20</v>
      </c>
    </row>
    <row r="38" spans="1:30" x14ac:dyDescent="0.2">
      <c r="A38" s="7" t="s">
        <v>34</v>
      </c>
      <c r="B38" s="6" t="s">
        <v>55</v>
      </c>
      <c r="E38" s="3" t="str">
        <f>IF(AA38="","",RANK(AA38,AA:AA))</f>
        <v/>
      </c>
      <c r="F38" s="6">
        <v>21</v>
      </c>
      <c r="G38" s="6">
        <v>65</v>
      </c>
      <c r="H38" s="6">
        <v>25</v>
      </c>
      <c r="I38" s="6">
        <v>32</v>
      </c>
      <c r="J38" s="6"/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18</v>
      </c>
      <c r="M38" s="9">
        <f>IF(OR($C38&lt;&gt;"",$D38&lt;&gt;"",G38=""),"",G38-SUMPRODUCT(--($C$3:$C$102="P"),--(G$3:G$102&lt;G38),--(G$3:G$102&lt;&gt;""))-SUMPRODUCT(--($D$3:$D$102="P"),--(G$3:G$102&lt;G38),--(G$3:G$102&lt;&gt;"")))</f>
        <v>61</v>
      </c>
      <c r="N38" s="9">
        <f>IF(OR($C38&lt;&gt;"",$D38&lt;&gt;"",H38=""),"",H38-SUMPRODUCT(--($C$3:$C$102="P"),--(H$3:H$102&lt;H38),--(H$3:H$102&lt;&gt;""))-SUMPRODUCT(--($D$3:$D$102="P"),--(H$3:H$102&lt;H38),--(H$3:H$102&lt;&gt;"")))</f>
        <v>21</v>
      </c>
      <c r="O38" s="9">
        <f>IF(OR($C38&lt;&gt;"",$D38&lt;&gt;"",I38=""),"",I38-SUMPRODUCT(--($C$3:$C$102="P"),--(I$3:I$102&lt;I38),--(I$3:I$102&lt;&gt;""))-SUMPRODUCT(--($D$3:$D$102="P"),--(I$3:I$102&lt;I38),--(I$3:I$102&lt;&gt;"")))</f>
        <v>28</v>
      </c>
      <c r="P38" s="9" t="str">
        <f>IF(OR($C38&lt;&gt;"",$D38&lt;&gt;"",J38=""),"",J38-SUMPRODUCT(--($C$3:$C$102="P"),--(J$3:J$102&lt;J38),--(J$3:J$102&lt;&gt;""))-SUMPRODUCT(--($D$3:$D$102="P"),--(J$3:J$102&lt;J38),--(J$3:J$102&lt;&gt;"")))</f>
        <v/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1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13</v>
      </c>
      <c r="S38" s="1" t="str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/>
      </c>
      <c r="T38" s="1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>10</v>
      </c>
      <c r="U38" s="1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>3</v>
      </c>
      <c r="V38" s="1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1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5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26.087209819999998</v>
      </c>
      <c r="Y38" s="2" t="str">
        <f>IF(OR(X38="",X38=0),"",IF(SUMPRODUCT(--(B$3:B$102=B38),--(X$3:X$102&gt;X38),--(X$3:X$102&lt;&gt;"")),"","P"))</f>
        <v/>
      </c>
      <c r="Z38" s="2" t="str">
        <f>IF(X38="","",IF(SUMPRODUCT(--(C$3:C$102="P"),--(B$3:B$102=B38)),"P",""))</f>
        <v/>
      </c>
      <c r="AA38" s="15" t="str">
        <f>IF(AND(Y38&lt;&gt;"",OR(Z38="",SUMPRODUCT(--(X$3:X$102&gt;X38),--(Z$3:Z$102="P"),--(Y$3:Y$102="P"))&lt;4)),X38,"")</f>
        <v/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128</v>
      </c>
      <c r="AC38" s="9">
        <f>COUNTIF(L38:Q38,"&lt;=8")</f>
        <v>0</v>
      </c>
      <c r="AD38" s="9">
        <f>MIN(L38:Q38)</f>
        <v>18</v>
      </c>
    </row>
    <row r="39" spans="1:30" x14ac:dyDescent="0.2">
      <c r="A39" s="7" t="s">
        <v>140</v>
      </c>
      <c r="B39" s="6" t="s">
        <v>16</v>
      </c>
      <c r="E39" s="3" t="str">
        <f>IF(AA39="","",RANK(AA39,AA:AA))</f>
        <v/>
      </c>
      <c r="F39" s="6">
        <v>55</v>
      </c>
      <c r="G39" s="6">
        <v>10</v>
      </c>
      <c r="H39" s="6"/>
      <c r="I39" s="6"/>
      <c r="J39" s="6"/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52</v>
      </c>
      <c r="M39" s="9">
        <f>IF(OR($C39&lt;&gt;"",$D39&lt;&gt;"",G39=""),"",G39-SUMPRODUCT(--($C$3:$C$102="P"),--(G$3:G$102&lt;G39),--(G$3:G$102&lt;&gt;""))-SUMPRODUCT(--($D$3:$D$102="P"),--(G$3:G$102&lt;G39),--(G$3:G$102&lt;&gt;"")))</f>
        <v>8</v>
      </c>
      <c r="N39" s="9" t="str">
        <f>IF(OR($C39&lt;&gt;"",$D39&lt;&gt;"",H39=""),"",H39-SUMPRODUCT(--($C$3:$C$102="P"),--(H$3:H$102&lt;H39),--(H$3:H$102&lt;&gt;""))-SUMPRODUCT(--($D$3:$D$102="P"),--(H$3:H$102&lt;H39),--(H$3:H$102&lt;&gt;"")))</f>
        <v/>
      </c>
      <c r="O39" s="9" t="str">
        <f>IF(OR($C39&lt;&gt;"",$D39&lt;&gt;"",I39=""),"",I39-SUMPRODUCT(--($C$3:$C$102="P"),--(I$3:I$102&lt;I39),--(I$3:I$102&lt;&gt;""))-SUMPRODUCT(--($D$3:$D$102="P"),--(I$3:I$102&lt;I39),--(I$3:I$102&lt;&gt;"")))</f>
        <v/>
      </c>
      <c r="P39" s="9" t="str">
        <f>IF(OR($C39&lt;&gt;"",$D39&lt;&gt;"",J39=""),"",J39-SUMPRODUCT(--($C$3:$C$102="P"),--(J$3:J$102&lt;J39),--(J$3:J$102&lt;&gt;""))-SUMPRODUCT(--($D$3:$D$102="P"),--(J$3:J$102&lt;J39),--(J$3:J$102&lt;&gt;"")))</f>
        <v/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1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S39" s="1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>25</v>
      </c>
      <c r="T39" s="1" t="str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/>
      </c>
      <c r="U39" s="1" t="str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/>
      </c>
      <c r="V39" s="1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1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5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25.094019920000001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>P</v>
      </c>
      <c r="AA39" s="15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60</v>
      </c>
      <c r="AC39" s="9">
        <f>COUNTIF(L39:Q39,"&lt;=8")</f>
        <v>1</v>
      </c>
      <c r="AD39" s="9">
        <f>MIN(L39:Q39)</f>
        <v>8</v>
      </c>
    </row>
    <row r="40" spans="1:30" x14ac:dyDescent="0.2">
      <c r="A40" s="7" t="s">
        <v>141</v>
      </c>
      <c r="B40" s="6" t="s">
        <v>18</v>
      </c>
      <c r="E40" s="3" t="str">
        <f>IF(AA40="","",RANK(AA40,AA:AA))</f>
        <v/>
      </c>
      <c r="F40" s="6"/>
      <c r="G40" s="6">
        <v>14</v>
      </c>
      <c r="H40" s="6"/>
      <c r="I40" s="6"/>
      <c r="J40" s="6"/>
      <c r="K40" s="6"/>
      <c r="L40" s="9" t="str">
        <f>IF(OR($C40&lt;&gt;"",$D40&lt;&gt;"",F40=""),"",F40-SUMPRODUCT(--($C$3:$C$102="P"),--(F$3:F$102&lt;F40),--(F$3:F$102&lt;&gt;""))-SUMPRODUCT(--($D$3:$D$102="P"),--(F$3:F$102&lt;F40),--(F$3:F$102&lt;&gt;"")))</f>
        <v/>
      </c>
      <c r="M40" s="9">
        <f>IF(OR($C40&lt;&gt;"",$D40&lt;&gt;"",G40=""),"",G40-SUMPRODUCT(--($C$3:$C$102="P"),--(G$3:G$102&lt;G40),--(G$3:G$102&lt;&gt;""))-SUMPRODUCT(--($D$3:$D$102="P"),--(G$3:G$102&lt;G40),--(G$3:G$102&lt;&gt;"")))</f>
        <v>12</v>
      </c>
      <c r="N40" s="9" t="str">
        <f>IF(OR($C40&lt;&gt;"",$D40&lt;&gt;"",H40=""),"",H40-SUMPRODUCT(--($C$3:$C$102="P"),--(H$3:H$102&lt;H40),--(H$3:H$102&lt;&gt;""))-SUMPRODUCT(--($D$3:$D$102="P"),--(H$3:H$102&lt;H40),--(H$3:H$102&lt;&gt;"")))</f>
        <v/>
      </c>
      <c r="O40" s="9" t="str">
        <f>IF(OR($C40&lt;&gt;"",$D40&lt;&gt;"",I40=""),"",I40-SUMPRODUCT(--($C$3:$C$102="P"),--(I$3:I$102&lt;I40),--(I$3:I$102&lt;&gt;""))-SUMPRODUCT(--($D$3:$D$102="P"),--(I$3:I$102&lt;I40),--(I$3:I$102&lt;&gt;"")))</f>
        <v/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1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S40" s="1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>19</v>
      </c>
      <c r="T40" s="1" t="str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/>
      </c>
      <c r="U40" s="1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1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1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5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19.098809880000001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>P</v>
      </c>
      <c r="AA40" s="15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12</v>
      </c>
      <c r="AC40" s="9">
        <f>COUNTIF(L40:Q40,"&lt;=8")</f>
        <v>0</v>
      </c>
      <c r="AD40" s="9">
        <f>MIN(L40:Q40)</f>
        <v>12</v>
      </c>
    </row>
    <row r="41" spans="1:30" x14ac:dyDescent="0.2">
      <c r="A41" s="7" t="s">
        <v>46</v>
      </c>
      <c r="B41" s="6" t="s">
        <v>59</v>
      </c>
      <c r="E41" s="3" t="str">
        <f>IF(AA41="","",RANK(AA41,AA:AA))</f>
        <v/>
      </c>
      <c r="F41" s="6">
        <v>34</v>
      </c>
      <c r="G41" s="6">
        <v>15</v>
      </c>
      <c r="H41" s="6"/>
      <c r="I41" s="6"/>
      <c r="J41" s="6"/>
      <c r="K41" s="6"/>
      <c r="L41" s="9">
        <f>IF(OR($C41&lt;&gt;"",$D41&lt;&gt;"",F41=""),"",F41-SUMPRODUCT(--($C$3:$C$102="P"),--(F$3:F$102&lt;F41),--(F$3:F$102&lt;&gt;""))-SUMPRODUCT(--($D$3:$D$102="P"),--(F$3:F$102&lt;F41),--(F$3:F$102&lt;&gt;"")))</f>
        <v>31</v>
      </c>
      <c r="M41" s="9">
        <f>IF(OR($C41&lt;&gt;"",$D41&lt;&gt;"",G41=""),"",G41-SUMPRODUCT(--($C$3:$C$102="P"),--(G$3:G$102&lt;G41),--(G$3:G$102&lt;&gt;""))-SUMPRODUCT(--($D$3:$D$102="P"),--(G$3:G$102&lt;G41),--(G$3:G$102&lt;&gt;"")))</f>
        <v>13</v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 t="str">
        <f>IF(OR($C41&lt;&gt;"",$D41&lt;&gt;"",I41=""),"",I41-SUMPRODUCT(--($C$3:$C$102="P"),--(I$3:I$102&lt;I41),--(I$3:I$102&lt;&gt;""))-SUMPRODUCT(--($D$3:$D$102="P"),--(I$3:I$102&lt;I41),--(I$3:I$102&lt;&gt;"")))</f>
        <v/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8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S41" s="8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18</v>
      </c>
      <c r="T41" s="8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8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8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8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5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18.095609870000001</v>
      </c>
      <c r="Y41" s="2" t="str">
        <f>IF(OR(X41="",X41=0),"",IF(SUMPRODUCT(--(B$3:B$102=B41),--(X$3:X$102&gt;X41),--(X$3:X$102&lt;&gt;"")),"","P"))</f>
        <v/>
      </c>
      <c r="Z41" s="2" t="str">
        <f>IF(X41="","",IF(SUMPRODUCT(--(C$3:C$102="P"),--(B$3:B$102=B41)),"P",""))</f>
        <v/>
      </c>
      <c r="AA41" s="15" t="str">
        <f>IF(AND(Y41&lt;&gt;"",OR(Z41="",SUMPRODUCT(--(X$3:X$102&gt;X41),--(Z$3:Z$102="P"),--(Y$3:Y$102="P"))&lt;4)),X41,"")</f>
        <v/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44</v>
      </c>
      <c r="AC41" s="9">
        <f>COUNTIF(L41:Q41,"&lt;=8")</f>
        <v>0</v>
      </c>
      <c r="AD41" s="9">
        <f>MIN(L41:Q41)</f>
        <v>13</v>
      </c>
    </row>
    <row r="42" spans="1:30" x14ac:dyDescent="0.2">
      <c r="A42" s="7" t="s">
        <v>159</v>
      </c>
      <c r="B42" s="6" t="s">
        <v>57</v>
      </c>
      <c r="E42" s="3" t="str">
        <f>IF(AA42="","",RANK(AA42,AA:AA))</f>
        <v/>
      </c>
      <c r="F42" s="6"/>
      <c r="G42" s="6"/>
      <c r="H42" s="6">
        <v>29</v>
      </c>
      <c r="I42" s="6">
        <v>24</v>
      </c>
      <c r="J42" s="6"/>
      <c r="K42" s="6"/>
      <c r="L42" s="9" t="str">
        <f>IF(OR($C42&lt;&gt;"",$D42&lt;&gt;"",F42=""),"",F42-SUMPRODUCT(--($C$3:$C$102="P"),--(F$3:F$102&lt;F42),--(F$3:F$102&lt;&gt;""))-SUMPRODUCT(--($D$3:$D$102="P"),--(F$3:F$102&lt;F42),--(F$3:F$102&lt;&gt;"")))</f>
        <v/>
      </c>
      <c r="M42" s="9" t="str">
        <f>IF(OR($C42&lt;&gt;"",$D42&lt;&gt;"",G42=""),"",G42-SUMPRODUCT(--($C$3:$C$102="P"),--(G$3:G$102&lt;G42),--(G$3:G$102&lt;&gt;""))-SUMPRODUCT(--($D$3:$D$102="P"),--(G$3:G$102&lt;G42),--(G$3:G$102&lt;&gt;"")))</f>
        <v/>
      </c>
      <c r="N42" s="9">
        <f>IF(OR($C42&lt;&gt;"",$D42&lt;&gt;"",H42=""),"",H42-SUMPRODUCT(--($C$3:$C$102="P"),--(H$3:H$102&lt;H42),--(H$3:H$102&lt;&gt;""))-SUMPRODUCT(--($D$3:$D$102="P"),--(H$3:H$102&lt;H42),--(H$3:H$102&lt;&gt;"")))</f>
        <v>25</v>
      </c>
      <c r="O42" s="9">
        <f>IF(OR($C42&lt;&gt;"",$D42&lt;&gt;"",I42=""),"",I42-SUMPRODUCT(--($C$3:$C$102="P"),--(I$3:I$102&lt;I42),--(I$3:I$102&lt;&gt;""))-SUMPRODUCT(--($D$3:$D$102="P"),--(I$3:I$102&lt;I42),--(I$3:I$102&lt;&gt;"")))</f>
        <v>21</v>
      </c>
      <c r="P42" s="9" t="str">
        <f>IF(OR($C42&lt;&gt;"",$D42&lt;&gt;"",J42=""),"",J42-SUMPRODUCT(--($C$3:$C$102="P"),--(J$3:J$102&lt;J42),--(J$3:J$102&lt;&gt;""))-SUMPRODUCT(--($D$3:$D$102="P"),--(J$3:J$102&lt;J42),--(J$3:J$102&lt;&gt;"")))</f>
        <v/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8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S42" s="8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8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>6</v>
      </c>
      <c r="U42" s="8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>10</v>
      </c>
      <c r="V42" s="8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8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5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16.095409790000001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/>
      </c>
      <c r="AA42" s="15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46</v>
      </c>
      <c r="AC42" s="9">
        <f>COUNTIF(L42:Q42,"&lt;=8")</f>
        <v>0</v>
      </c>
      <c r="AD42" s="9">
        <f>MIN(L42:Q42)</f>
        <v>21</v>
      </c>
    </row>
    <row r="43" spans="1:30" x14ac:dyDescent="0.2">
      <c r="A43" s="7" t="s">
        <v>41</v>
      </c>
      <c r="B43" s="6" t="s">
        <v>58</v>
      </c>
      <c r="E43" s="3">
        <f>IF(AA43="","",RANK(AA43,AA:AA))</f>
        <v>13</v>
      </c>
      <c r="F43" s="6">
        <v>28</v>
      </c>
      <c r="G43" s="6">
        <v>26</v>
      </c>
      <c r="H43" s="6">
        <v>32</v>
      </c>
      <c r="I43" s="6">
        <v>43</v>
      </c>
      <c r="J43" s="6"/>
      <c r="K43" s="6"/>
      <c r="L43" s="9">
        <f>IF(OR($C43&lt;&gt;"",$D43&lt;&gt;"",F43=""),"",F43-SUMPRODUCT(--($C$3:$C$102="P"),--(F$3:F$102&lt;F43),--(F$3:F$102&lt;&gt;""))-SUMPRODUCT(--($D$3:$D$102="P"),--(F$3:F$102&lt;F43),--(F$3:F$102&lt;&gt;"")))</f>
        <v>25</v>
      </c>
      <c r="M43" s="9">
        <f>IF(OR($C43&lt;&gt;"",$D43&lt;&gt;"",G43=""),"",G43-SUMPRODUCT(--($C$3:$C$102="P"),--(G$3:G$102&lt;G43),--(G$3:G$102&lt;&gt;""))-SUMPRODUCT(--($D$3:$D$102="P"),--(G$3:G$102&lt;G43),--(G$3:G$102&lt;&gt;"")))</f>
        <v>24</v>
      </c>
      <c r="N43" s="9">
        <f>IF(OR($C43&lt;&gt;"",$D43&lt;&gt;"",H43=""),"",H43-SUMPRODUCT(--($C$3:$C$102="P"),--(H$3:H$102&lt;H43),--(H$3:H$102&lt;&gt;""))-SUMPRODUCT(--($D$3:$D$102="P"),--(H$3:H$102&lt;H43),--(H$3:H$102&lt;&gt;"")))</f>
        <v>28</v>
      </c>
      <c r="O43" s="9">
        <f>IF(OR($C43&lt;&gt;"",$D43&lt;&gt;"",I43=""),"",I43-SUMPRODUCT(--($C$3:$C$102="P"),--(I$3:I$102&lt;I43),--(I$3:I$102&lt;&gt;""))-SUMPRODUCT(--($D$3:$D$102="P"),--(I$3:I$102&lt;I43),--(I$3:I$102&lt;&gt;"")))</f>
        <v>38</v>
      </c>
      <c r="P43" s="9" t="str">
        <f>IF(OR($C43&lt;&gt;"",$D43&lt;&gt;"",J43=""),"",J43-SUMPRODUCT(--($C$3:$C$102="P"),--(J$3:J$102&lt;J43),--(J$3:J$102&lt;&gt;""))-SUMPRODUCT(--($D$3:$D$102="P"),--(J$3:J$102&lt;J43),--(J$3:J$102&lt;&gt;"")))</f>
        <v/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8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>6</v>
      </c>
      <c r="S43" s="8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7</v>
      </c>
      <c r="T43" s="8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>3</v>
      </c>
      <c r="U43" s="8" t="str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/>
      </c>
      <c r="V43" s="8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8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5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16.088509760000001</v>
      </c>
      <c r="Y43" s="2" t="str">
        <f>IF(OR(X43="",X43=0),"",IF(SUMPRODUCT(--(B$3:B$102=B43),--(X$3:X$102&gt;X43),--(X$3:X$102&lt;&gt;"")),"","P"))</f>
        <v>P</v>
      </c>
      <c r="Z43" s="2" t="str">
        <f>IF(X43="","",IF(SUMPRODUCT(--(C$3:C$102="P"),--(B$3:B$102=B43)),"P",""))</f>
        <v/>
      </c>
      <c r="AA43" s="15">
        <f>IF(AND(Y43&lt;&gt;"",OR(Z43="",SUMPRODUCT(--(X$3:X$102&gt;X43),--(Z$3:Z$102="P"),--(Y$3:Y$102="P"))&lt;4)),X43,"")</f>
        <v>16.088509760000001</v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115</v>
      </c>
      <c r="AC43" s="9">
        <f>COUNTIF(L43:Q43,"&lt;=8")</f>
        <v>0</v>
      </c>
      <c r="AD43" s="9">
        <f>MIN(L43:Q43)</f>
        <v>24</v>
      </c>
    </row>
    <row r="44" spans="1:30" x14ac:dyDescent="0.2">
      <c r="A44" s="7" t="s">
        <v>157</v>
      </c>
      <c r="B44" s="6" t="s">
        <v>24</v>
      </c>
      <c r="E44" s="3" t="str">
        <f>IF(AA44="","",RANK(AA44,AA:AA))</f>
        <v/>
      </c>
      <c r="F44" s="6"/>
      <c r="G44" s="6"/>
      <c r="H44" s="6">
        <v>21</v>
      </c>
      <c r="I44" s="6">
        <v>44</v>
      </c>
      <c r="J44" s="6"/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 t="str">
        <f>IF(OR($C44&lt;&gt;"",$D44&lt;&gt;"",G44=""),"",G44-SUMPRODUCT(--($C$3:$C$102="P"),--(G$3:G$102&lt;G44),--(G$3:G$102&lt;&gt;""))-SUMPRODUCT(--($D$3:$D$102="P"),--(G$3:G$102&lt;G44),--(G$3:G$102&lt;&gt;"")))</f>
        <v/>
      </c>
      <c r="N44" s="9">
        <f>IF(OR($C44&lt;&gt;"",$D44&lt;&gt;"",H44=""),"",H44-SUMPRODUCT(--($C$3:$C$102="P"),--(H$3:H$102&lt;H44),--(H$3:H$102&lt;&gt;""))-SUMPRODUCT(--($D$3:$D$102="P"),--(H$3:H$102&lt;H44),--(H$3:H$102&lt;&gt;"")))</f>
        <v>18</v>
      </c>
      <c r="O44" s="9">
        <f>IF(OR($C44&lt;&gt;"",$D44&lt;&gt;"",I44=""),"",I44-SUMPRODUCT(--($C$3:$C$102="P"),--(I$3:I$102&lt;I44),--(I$3:I$102&lt;&gt;""))-SUMPRODUCT(--($D$3:$D$102="P"),--(I$3:I$102&lt;I44),--(I$3:I$102&lt;&gt;"")))</f>
        <v>39</v>
      </c>
      <c r="P44" s="9" t="str">
        <f>IF(OR($C44&lt;&gt;"",$D44&lt;&gt;"",J44=""),"",J44-SUMPRODUCT(--($C$3:$C$102="P"),--(J$3:J$102&lt;J44),--(J$3:J$102&lt;&gt;""))-SUMPRODUCT(--($D$3:$D$102="P"),--(J$3:J$102&lt;J44),--(J$3:J$102&lt;&gt;"")))</f>
        <v/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8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8" t="str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/>
      </c>
      <c r="T44" s="8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>13</v>
      </c>
      <c r="U44" s="8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8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8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5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13.094309820000001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>P</v>
      </c>
      <c r="AA44" s="15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57</v>
      </c>
      <c r="AC44" s="9">
        <f>COUNTIF(L44:Q44,"&lt;=8")</f>
        <v>0</v>
      </c>
      <c r="AD44" s="9">
        <f>MIN(L44:Q44)</f>
        <v>18</v>
      </c>
    </row>
    <row r="45" spans="1:30" x14ac:dyDescent="0.2">
      <c r="A45" s="7" t="s">
        <v>180</v>
      </c>
      <c r="B45" s="6" t="s">
        <v>20</v>
      </c>
      <c r="E45" s="3" t="str">
        <f>IF(AA45="","",RANK(AA45,AA:AA))</f>
        <v/>
      </c>
      <c r="F45" s="6">
        <v>42</v>
      </c>
      <c r="G45" s="6">
        <v>56</v>
      </c>
      <c r="H45" s="6">
        <v>48</v>
      </c>
      <c r="I45" s="6">
        <v>21</v>
      </c>
      <c r="J45" s="6"/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39</v>
      </c>
      <c r="M45" s="9">
        <f>IF(OR($C45&lt;&gt;"",$D45&lt;&gt;"",G45=""),"",G45-SUMPRODUCT(--($C$3:$C$102="P"),--(G$3:G$102&lt;G45),--(G$3:G$102&lt;&gt;""))-SUMPRODUCT(--($D$3:$D$102="P"),--(G$3:G$102&lt;G45),--(G$3:G$102&lt;&gt;"")))</f>
        <v>53</v>
      </c>
      <c r="N45" s="9">
        <f>IF(OR($C45&lt;&gt;"",$D45&lt;&gt;"",H45=""),"",H45-SUMPRODUCT(--($C$3:$C$102="P"),--(H$3:H$102&lt;H45),--(H$3:H$102&lt;&gt;""))-SUMPRODUCT(--($D$3:$D$102="P"),--(H$3:H$102&lt;H45),--(H$3:H$102&lt;&gt;"")))</f>
        <v>43</v>
      </c>
      <c r="O45" s="9">
        <f>IF(OR($C45&lt;&gt;"",$D45&lt;&gt;"",I45=""),"",I45-SUMPRODUCT(--($C$3:$C$102="P"),--(I$3:I$102&lt;I45),--(I$3:I$102&lt;&gt;""))-SUMPRODUCT(--($D$3:$D$102="P"),--(I$3:I$102&lt;I45),--(I$3:I$102&lt;&gt;"")))</f>
        <v>18</v>
      </c>
      <c r="P45" s="9" t="str">
        <f>IF(OR($C45&lt;&gt;"",$D45&lt;&gt;"",J45=""),"",J45-SUMPRODUCT(--($C$3:$C$102="P"),--(J$3:J$102&lt;J45),--(J$3:J$102&lt;&gt;""))-SUMPRODUCT(--($D$3:$D$102="P"),--(J$3:J$102&lt;J45),--(J$3:J$102&lt;&gt;"")))</f>
        <v/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8" t="str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/>
      </c>
      <c r="S45" s="8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8" t="str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/>
      </c>
      <c r="U45" s="8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>13</v>
      </c>
      <c r="V45" s="8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8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5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13.08470982</v>
      </c>
      <c r="Y45" s="2" t="str">
        <f>IF(OR(X45="",X45=0),"",IF(SUMPRODUCT(--(B$3:B$102=B45),--(X$3:X$102&gt;X45),--(X$3:X$102&lt;&gt;"")),"","P"))</f>
        <v/>
      </c>
      <c r="Z45" s="2" t="str">
        <f>IF(X45="","",IF(SUMPRODUCT(--(C$3:C$102="P"),--(B$3:B$102=B45)),"P",""))</f>
        <v>P</v>
      </c>
      <c r="AA45" s="15" t="str">
        <f>IF(AND(Y45&lt;&gt;"",OR(Z45="",SUMPRODUCT(--(X$3:X$102&gt;X45),--(Z$3:Z$102="P"),--(Y$3:Y$102="P"))&lt;4)),X45,"")</f>
        <v/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153</v>
      </c>
      <c r="AC45" s="9">
        <f>COUNTIF(L45:Q45,"&lt;=8")</f>
        <v>0</v>
      </c>
      <c r="AD45" s="9">
        <f>MIN(L45:Q45)</f>
        <v>18</v>
      </c>
    </row>
    <row r="46" spans="1:30" x14ac:dyDescent="0.2">
      <c r="A46" s="7" t="s">
        <v>35</v>
      </c>
      <c r="B46" s="6" t="s">
        <v>19</v>
      </c>
      <c r="E46" s="3" t="str">
        <f>IF(AA46="","",RANK(AA46,AA:AA))</f>
        <v/>
      </c>
      <c r="F46" s="6">
        <v>22</v>
      </c>
      <c r="G46" s="6"/>
      <c r="H46" s="6"/>
      <c r="I46" s="6"/>
      <c r="J46" s="6"/>
      <c r="K46" s="6"/>
      <c r="L46" s="9">
        <f>IF(OR($C46&lt;&gt;"",$D46&lt;&gt;"",F46=""),"",F46-SUMPRODUCT(--($C$3:$C$102="P"),--(F$3:F$102&lt;F46),--(F$3:F$102&lt;&gt;""))-SUMPRODUCT(--($D$3:$D$102="P"),--(F$3:F$102&lt;F46),--(F$3:F$102&lt;&gt;"")))</f>
        <v>19</v>
      </c>
      <c r="M46" s="9" t="str">
        <f>IF(OR($C46&lt;&gt;"",$D46&lt;&gt;"",G46=""),"",G46-SUMPRODUCT(--($C$3:$C$102="P"),--(G$3:G$102&lt;G46),--(G$3:G$102&lt;&gt;""))-SUMPRODUCT(--($D$3:$D$102="P"),--(G$3:G$102&lt;G46),--(G$3:G$102&lt;&gt;"")))</f>
        <v/>
      </c>
      <c r="N46" s="9" t="str">
        <f>IF(OR($C46&lt;&gt;"",$D46&lt;&gt;"",H46=""),"",H46-SUMPRODUCT(--($C$3:$C$102="P"),--(H$3:H$102&lt;H46),--(H$3:H$102&lt;&gt;""))-SUMPRODUCT(--($D$3:$D$102="P"),--(H$3:H$102&lt;H46),--(H$3:H$102&lt;&gt;"")))</f>
        <v/>
      </c>
      <c r="O46" s="9" t="str">
        <f>IF(OR($C46&lt;&gt;"",$D46&lt;&gt;"",I46=""),"",I46-SUMPRODUCT(--($C$3:$C$102="P"),--(I$3:I$102&lt;I46),--(I$3:I$102&lt;&gt;""))-SUMPRODUCT(--($D$3:$D$102="P"),--(I$3:I$102&lt;I46),--(I$3:I$102&lt;&gt;"")))</f>
        <v/>
      </c>
      <c r="P46" s="9" t="str">
        <f>IF(OR($C46&lt;&gt;"",$D46&lt;&gt;"",J46=""),"",J46-SUMPRODUCT(--($C$3:$C$102="P"),--(J$3:J$102&lt;J46),--(J$3:J$102&lt;&gt;""))-SUMPRODUCT(--($D$3:$D$102="P"),--(J$3:J$102&lt;J46),--(J$3:J$102&lt;&gt;"")))</f>
        <v/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8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>12</v>
      </c>
      <c r="S46" s="8" t="str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/>
      </c>
      <c r="T46" s="8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8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8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8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5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12.09810981</v>
      </c>
      <c r="Y46" s="2" t="str">
        <f>IF(OR(X46="",X46=0),"",IF(SUMPRODUCT(--(B$3:B$102=B46),--(X$3:X$102&gt;X46),--(X$3:X$102&lt;&gt;"")),"","P"))</f>
        <v/>
      </c>
      <c r="Z46" s="2" t="str">
        <f>IF(X46="","",IF(SUMPRODUCT(--(C$3:C$102="P"),--(B$3:B$102=B46)),"P",""))</f>
        <v/>
      </c>
      <c r="AA46" s="15" t="str">
        <f>IF(AND(Y46&lt;&gt;"",OR(Z46="",SUMPRODUCT(--(X$3:X$102&gt;X46),--(Z$3:Z$102="P"),--(Y$3:Y$102="P"))&lt;4)),X46,"")</f>
        <v/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19</v>
      </c>
      <c r="AC46" s="9">
        <f>COUNTIF(L46:Q46,"&lt;=8")</f>
        <v>0</v>
      </c>
      <c r="AD46" s="9">
        <f>MIN(L46:Q46)</f>
        <v>19</v>
      </c>
    </row>
    <row r="47" spans="1:30" x14ac:dyDescent="0.2">
      <c r="A47" s="7" t="s">
        <v>145</v>
      </c>
      <c r="B47" s="6" t="s">
        <v>82</v>
      </c>
      <c r="E47" s="3">
        <f>IF(AA47="","",RANK(AA47,AA:AA))</f>
        <v>14</v>
      </c>
      <c r="F47" s="6">
        <v>54</v>
      </c>
      <c r="G47" s="6">
        <v>29</v>
      </c>
      <c r="H47" s="6">
        <v>45</v>
      </c>
      <c r="I47" s="6">
        <v>26</v>
      </c>
      <c r="J47" s="6"/>
      <c r="K47" s="6"/>
      <c r="L47" s="9">
        <f>IF(OR($C47&lt;&gt;"",$D47&lt;&gt;"",F47=""),"",F47-SUMPRODUCT(--($C$3:$C$102="P"),--(F$3:F$102&lt;F47),--(F$3:F$102&lt;&gt;""))-SUMPRODUCT(--($D$3:$D$102="P"),--(F$3:F$102&lt;F47),--(F$3:F$102&lt;&gt;"")))</f>
        <v>51</v>
      </c>
      <c r="M47" s="9">
        <f>IF(OR($C47&lt;&gt;"",$D47&lt;&gt;"",G47=""),"",G47-SUMPRODUCT(--($C$3:$C$102="P"),--(G$3:G$102&lt;G47),--(G$3:G$102&lt;&gt;""))-SUMPRODUCT(--($D$3:$D$102="P"),--(G$3:G$102&lt;G47),--(G$3:G$102&lt;&gt;"")))</f>
        <v>27</v>
      </c>
      <c r="N47" s="9">
        <f>IF(OR($C47&lt;&gt;"",$D47&lt;&gt;"",H47=""),"",H47-SUMPRODUCT(--($C$3:$C$102="P"),--(H$3:H$102&lt;H47),--(H$3:H$102&lt;&gt;""))-SUMPRODUCT(--($D$3:$D$102="P"),--(H$3:H$102&lt;H47),--(H$3:H$102&lt;&gt;"")))</f>
        <v>40</v>
      </c>
      <c r="O47" s="9">
        <f>IF(OR($C47&lt;&gt;"",$D47&lt;&gt;"",I47=""),"",I47-SUMPRODUCT(--($C$3:$C$102="P"),--(I$3:I$102&lt;I47),--(I$3:I$102&lt;&gt;""))-SUMPRODUCT(--($D$3:$D$102="P"),--(I$3:I$102&lt;I47),--(I$3:I$102&lt;&gt;"")))</f>
        <v>23</v>
      </c>
      <c r="P47" s="9" t="str">
        <f>IF(OR($C47&lt;&gt;"",$D47&lt;&gt;"",J47=""),"",J47-SUMPRODUCT(--($C$3:$C$102="P"),--(J$3:J$102&lt;J47),--(J$3:J$102&lt;&gt;""))-SUMPRODUCT(--($D$3:$D$102="P"),--(J$3:J$102&lt;J47),--(J$3:J$102&lt;&gt;"")))</f>
        <v/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8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8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>4</v>
      </c>
      <c r="T47" s="8" t="str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/>
      </c>
      <c r="U47" s="8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>8</v>
      </c>
      <c r="V47" s="8" t="str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/>
      </c>
      <c r="W47" s="8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5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12.085909770000001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5">
        <f>IF(AND(Y47&lt;&gt;"",OR(Z47="",SUMPRODUCT(--(X$3:X$102&gt;X47),--(Z$3:Z$102="P"),--(Y$3:Y$102="P"))&lt;4)),X47,"")</f>
        <v>12.085909770000001</v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141</v>
      </c>
      <c r="AC47" s="9">
        <f>COUNTIF(L47:Q47,"&lt;=8")</f>
        <v>0</v>
      </c>
      <c r="AD47" s="9">
        <f>MIN(L47:Q47)</f>
        <v>23</v>
      </c>
    </row>
    <row r="48" spans="1:30" x14ac:dyDescent="0.2">
      <c r="A48" s="7" t="s">
        <v>44</v>
      </c>
      <c r="B48" s="6" t="s">
        <v>19</v>
      </c>
      <c r="E48" s="3" t="str">
        <f>IF(AA48="","",RANK(AA48,AA:AA))</f>
        <v/>
      </c>
      <c r="F48" s="6">
        <v>31</v>
      </c>
      <c r="G48" s="6">
        <v>25</v>
      </c>
      <c r="H48" s="6"/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28</v>
      </c>
      <c r="M48" s="9">
        <f>IF(OR($C48&lt;&gt;"",$D48&lt;&gt;"",G48=""),"",G48-SUMPRODUCT(--($C$3:$C$102="P"),--(G$3:G$102&lt;G48),--(G$3:G$102&lt;&gt;""))-SUMPRODUCT(--($D$3:$D$102="P"),--(G$3:G$102&lt;G48),--(G$3:G$102&lt;&gt;"")))</f>
        <v>23</v>
      </c>
      <c r="N48" s="9" t="str">
        <f>IF(OR($C48&lt;&gt;"",$D48&lt;&gt;"",H48=""),"",H48-SUMPRODUCT(--($C$3:$C$102="P"),--(H$3:H$102&lt;H48),--(H$3:H$102&lt;&gt;""))-SUMPRODUCT(--($D$3:$D$102="P"),--(H$3:H$102&lt;H48),--(H$3:H$102&lt;&gt;"")))</f>
        <v/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8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>3</v>
      </c>
      <c r="S48" s="8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>8</v>
      </c>
      <c r="T48" s="8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8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8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8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5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11.094909770000001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/>
      </c>
      <c r="AA48" s="15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51</v>
      </c>
      <c r="AC48" s="9">
        <f>COUNTIF(L48:Q48,"&lt;=8")</f>
        <v>0</v>
      </c>
      <c r="AD48" s="9">
        <f>MIN(L48:Q48)</f>
        <v>23</v>
      </c>
    </row>
    <row r="49" spans="1:30" x14ac:dyDescent="0.2">
      <c r="A49" s="7" t="s">
        <v>144</v>
      </c>
      <c r="B49" s="6" t="s">
        <v>106</v>
      </c>
      <c r="E49" s="3">
        <f>IF(AA49="","",RANK(AA49,AA:AA))</f>
        <v>15</v>
      </c>
      <c r="F49" s="6">
        <v>60</v>
      </c>
      <c r="G49" s="6">
        <v>23</v>
      </c>
      <c r="H49" s="6"/>
      <c r="I49" s="6">
        <v>61</v>
      </c>
      <c r="J49" s="6"/>
      <c r="K49" s="6"/>
      <c r="L49" s="9">
        <f>IF(OR($C49&lt;&gt;"",$D49&lt;&gt;"",F49=""),"",F49-SUMPRODUCT(--($C$3:$C$102="P"),--(F$3:F$102&lt;F49),--(F$3:F$102&lt;&gt;""))-SUMPRODUCT(--($D$3:$D$102="P"),--(F$3:F$102&lt;F49),--(F$3:F$102&lt;&gt;"")))</f>
        <v>56</v>
      </c>
      <c r="M49" s="9">
        <f>IF(OR($C49&lt;&gt;"",$D49&lt;&gt;"",G49=""),"",G49-SUMPRODUCT(--($C$3:$C$102="P"),--(G$3:G$102&lt;G49),--(G$3:G$102&lt;&gt;""))-SUMPRODUCT(--($D$3:$D$102="P"),--(G$3:G$102&lt;G49),--(G$3:G$102&lt;&gt;"")))</f>
        <v>21</v>
      </c>
      <c r="N49" s="9" t="str">
        <f>IF(OR($C49&lt;&gt;"",$D49&lt;&gt;"",H49=""),"",H49-SUMPRODUCT(--($C$3:$C$102="P"),--(H$3:H$102&lt;H49),--(H$3:H$102&lt;&gt;""))-SUMPRODUCT(--($D$3:$D$102="P"),--(H$3:H$102&lt;H49),--(H$3:H$102&lt;&gt;"")))</f>
        <v/>
      </c>
      <c r="O49" s="9">
        <f>IF(OR($C49&lt;&gt;"",$D49&lt;&gt;"",I49=""),"",I49-SUMPRODUCT(--($C$3:$C$102="P"),--(I$3:I$102&lt;I49),--(I$3:I$102&lt;&gt;""))-SUMPRODUCT(--($D$3:$D$102="P"),--(I$3:I$102&lt;I49),--(I$3:I$102&lt;&gt;"")))</f>
        <v>56</v>
      </c>
      <c r="P49" s="9" t="str">
        <f>IF(OR($C49&lt;&gt;"",$D49&lt;&gt;"",J49=""),"",J49-SUMPRODUCT(--($C$3:$C$102="P"),--(J$3:J$102&lt;J49),--(J$3:J$102&lt;&gt;""))-SUMPRODUCT(--($D$3:$D$102="P"),--(J$3:J$102&lt;J49),--(J$3:J$102&lt;&gt;"")))</f>
        <v/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8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8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>10</v>
      </c>
      <c r="T49" s="8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8" t="str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/>
      </c>
      <c r="V49" s="8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8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5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10.08670979</v>
      </c>
      <c r="Y49" s="2" t="str">
        <f>IF(OR(X49="",X49=0),"",IF(SUMPRODUCT(--(B$3:B$102=B49),--(X$3:X$102&gt;X49),--(X$3:X$102&lt;&gt;"")),"","P"))</f>
        <v>P</v>
      </c>
      <c r="Z49" s="2" t="str">
        <f>IF(X49="","",IF(SUMPRODUCT(--(C$3:C$102="P"),--(B$3:B$102=B49)),"P",""))</f>
        <v/>
      </c>
      <c r="AA49" s="15">
        <f>IF(AND(Y49&lt;&gt;"",OR(Z49="",SUMPRODUCT(--(X$3:X$102&gt;X49),--(Z$3:Z$102="P"),--(Y$3:Y$102="P"))&lt;4)),X49,"")</f>
        <v>10.08670979</v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133</v>
      </c>
      <c r="AC49" s="9">
        <f>COUNTIF(L49:Q49,"&lt;=8")</f>
        <v>0</v>
      </c>
      <c r="AD49" s="9">
        <f>MIN(L49:Q49)</f>
        <v>21</v>
      </c>
    </row>
    <row r="50" spans="1:30" x14ac:dyDescent="0.2">
      <c r="A50" s="7" t="s">
        <v>38</v>
      </c>
      <c r="B50" s="6" t="s">
        <v>17</v>
      </c>
      <c r="E50" s="3" t="str">
        <f>IF(AA50="","",RANK(AA50,AA:AA))</f>
        <v/>
      </c>
      <c r="F50" s="6">
        <v>25</v>
      </c>
      <c r="G50" s="6"/>
      <c r="H50" s="6"/>
      <c r="I50" s="6"/>
      <c r="J50" s="6"/>
      <c r="K50" s="6"/>
      <c r="L50" s="9">
        <f>IF(OR($C50&lt;&gt;"",$D50&lt;&gt;"",F50=""),"",F50-SUMPRODUCT(--($C$3:$C$102="P"),--(F$3:F$102&lt;F50),--(F$3:F$102&lt;&gt;""))-SUMPRODUCT(--($D$3:$D$102="P"),--(F$3:F$102&lt;F50),--(F$3:F$102&lt;&gt;"")))</f>
        <v>22</v>
      </c>
      <c r="M50" s="9" t="str">
        <f>IF(OR($C50&lt;&gt;"",$D50&lt;&gt;"",G50=""),"",G50-SUMPRODUCT(--($C$3:$C$102="P"),--(G$3:G$102&lt;G50),--(G$3:G$102&lt;&gt;""))-SUMPRODUCT(--($D$3:$D$102="P"),--(G$3:G$102&lt;G50),--(G$3:G$102&lt;&gt;"")))</f>
        <v/>
      </c>
      <c r="N50" s="9" t="str">
        <f>IF(OR($C50&lt;&gt;"",$D50&lt;&gt;"",H50=""),"",H50-SUMPRODUCT(--($C$3:$C$102="P"),--(H$3:H$102&lt;H50),--(H$3:H$102&lt;&gt;""))-SUMPRODUCT(--($D$3:$D$102="P"),--(H$3:H$102&lt;H50),--(H$3:H$102&lt;&gt;"")))</f>
        <v/>
      </c>
      <c r="O50" s="9" t="str">
        <f>IF(OR($C50&lt;&gt;"",$D50&lt;&gt;"",I50=""),"",I50-SUMPRODUCT(--($C$3:$C$102="P"),--(I$3:I$102&lt;I50),--(I$3:I$102&lt;&gt;""))-SUMPRODUCT(--($D$3:$D$102="P"),--(I$3:I$102&lt;I50),--(I$3:I$102&lt;&gt;"")))</f>
        <v/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8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>9</v>
      </c>
      <c r="S50" s="8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8" t="str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/>
      </c>
      <c r="U50" s="8" t="str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/>
      </c>
      <c r="V50" s="8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8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5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9.0978097799999986</v>
      </c>
      <c r="Y50" s="2" t="str">
        <f>IF(OR(X50="",X50=0),"",IF(SUMPRODUCT(--(B$3:B$102=B50),--(X$3:X$102&gt;X50),--(X$3:X$102&lt;&gt;"")),"","P"))</f>
        <v/>
      </c>
      <c r="Z50" s="2" t="str">
        <f>IF(X50="","",IF(SUMPRODUCT(--(C$3:C$102="P"),--(B$3:B$102=B50)),"P",""))</f>
        <v>P</v>
      </c>
      <c r="AA50" s="15" t="str">
        <f>IF(AND(Y50&lt;&gt;"",OR(Z50="",SUMPRODUCT(--(X$3:X$102&gt;X50),--(Z$3:Z$102="P"),--(Y$3:Y$102="P"))&lt;4)),X50,"")</f>
        <v/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22</v>
      </c>
      <c r="AC50" s="9">
        <f>COUNTIF(L50:Q50,"&lt;=8")</f>
        <v>0</v>
      </c>
      <c r="AD50" s="9">
        <f>MIN(L50:Q50)</f>
        <v>22</v>
      </c>
    </row>
    <row r="51" spans="1:30" x14ac:dyDescent="0.2">
      <c r="A51" s="7" t="s">
        <v>43</v>
      </c>
      <c r="B51" s="6" t="s">
        <v>51</v>
      </c>
      <c r="E51" s="3" t="str">
        <f>IF(AA51="","",RANK(AA51,AA:AA))</f>
        <v/>
      </c>
      <c r="F51" s="6">
        <v>30</v>
      </c>
      <c r="G51" s="6">
        <v>62</v>
      </c>
      <c r="H51" s="6"/>
      <c r="I51" s="6">
        <v>31</v>
      </c>
      <c r="J51" s="6"/>
      <c r="K51" s="6"/>
      <c r="L51" s="9">
        <f>IF(OR($C51&lt;&gt;"",$D51&lt;&gt;"",F51=""),"",F51-SUMPRODUCT(--($C$3:$C$102="P"),--(F$3:F$102&lt;F51),--(F$3:F$102&lt;&gt;""))-SUMPRODUCT(--($D$3:$D$102="P"),--(F$3:F$102&lt;F51),--(F$3:F$102&lt;&gt;"")))</f>
        <v>27</v>
      </c>
      <c r="M51" s="9">
        <f>IF(OR($C51&lt;&gt;"",$D51&lt;&gt;"",G51=""),"",G51-SUMPRODUCT(--($C$3:$C$102="P"),--(G$3:G$102&lt;G51),--(G$3:G$102&lt;&gt;""))-SUMPRODUCT(--($D$3:$D$102="P"),--(G$3:G$102&lt;G51),--(G$3:G$102&lt;&gt;"")))</f>
        <v>59</v>
      </c>
      <c r="N51" s="9" t="str">
        <f>IF(OR($C51&lt;&gt;"",$D51&lt;&gt;"",H51=""),"",H51-SUMPRODUCT(--($C$3:$C$102="P"),--(H$3:H$102&lt;H51),--(H$3:H$102&lt;&gt;""))-SUMPRODUCT(--($D$3:$D$102="P"),--(H$3:H$102&lt;H51),--(H$3:H$102&lt;&gt;"")))</f>
        <v/>
      </c>
      <c r="O51" s="9">
        <f>IF(OR($C51&lt;&gt;"",$D51&lt;&gt;"",I51=""),"",I51-SUMPRODUCT(--($C$3:$C$102="P"),--(I$3:I$102&lt;I51),--(I$3:I$102&lt;&gt;""))-SUMPRODUCT(--($D$3:$D$102="P"),--(I$3:I$102&lt;I51),--(I$3:I$102&lt;&gt;"")))</f>
        <v>27</v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8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>4</v>
      </c>
      <c r="S51" s="8" t="str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/>
      </c>
      <c r="T51" s="8" t="str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/>
      </c>
      <c r="U51" s="8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>4</v>
      </c>
      <c r="V51" s="8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8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5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8.0887097299999997</v>
      </c>
      <c r="Y51" s="2" t="str">
        <f>IF(OR(X51="",X51=0),"",IF(SUMPRODUCT(--(B$3:B$102=B51),--(X$3:X$102&gt;X51),--(X$3:X$102&lt;&gt;"")),"","P"))</f>
        <v/>
      </c>
      <c r="Z51" s="2" t="str">
        <f>IF(X51="","",IF(SUMPRODUCT(--(C$3:C$102="P"),--(B$3:B$102=B51)),"P",""))</f>
        <v/>
      </c>
      <c r="AA51" s="15" t="str">
        <f>IF(AND(Y51&lt;&gt;"",OR(Z51="",SUMPRODUCT(--(X$3:X$102&gt;X51),--(Z$3:Z$102="P"),--(Y$3:Y$102="P"))&lt;4)),X51,"")</f>
        <v/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113</v>
      </c>
      <c r="AC51" s="9">
        <f>COUNTIF(L51:Q51,"&lt;=8")</f>
        <v>0</v>
      </c>
      <c r="AD51" s="9">
        <f>MIN(L51:Q51)</f>
        <v>27</v>
      </c>
    </row>
    <row r="52" spans="1:30" x14ac:dyDescent="0.2">
      <c r="A52" s="7" t="s">
        <v>161</v>
      </c>
      <c r="B52" s="6" t="s">
        <v>160</v>
      </c>
      <c r="E52" s="3">
        <f>IF(AA52="","",RANK(AA52,AA:AA))</f>
        <v>16</v>
      </c>
      <c r="F52" s="6"/>
      <c r="G52" s="6">
        <v>47</v>
      </c>
      <c r="H52" s="6">
        <v>34</v>
      </c>
      <c r="I52" s="6">
        <v>29</v>
      </c>
      <c r="J52" s="6"/>
      <c r="K52" s="6"/>
      <c r="L52" s="9" t="str">
        <f>IF(OR($C52&lt;&gt;"",$D52&lt;&gt;"",F52=""),"",F52-SUMPRODUCT(--($C$3:$C$102="P"),--(F$3:F$102&lt;F52),--(F$3:F$102&lt;&gt;""))-SUMPRODUCT(--($D$3:$D$102="P"),--(F$3:F$102&lt;F52),--(F$3:F$102&lt;&gt;"")))</f>
        <v/>
      </c>
      <c r="M52" s="9">
        <f>IF(OR($C52&lt;&gt;"",$D52&lt;&gt;"",G52=""),"",G52-SUMPRODUCT(--($C$3:$C$102="P"),--(G$3:G$102&lt;G52),--(G$3:G$102&lt;&gt;""))-SUMPRODUCT(--($D$3:$D$102="P"),--(G$3:G$102&lt;G52),--(G$3:G$102&lt;&gt;"")))</f>
        <v>45</v>
      </c>
      <c r="N52" s="9">
        <f>IF(OR($C52&lt;&gt;"",$D52&lt;&gt;"",H52=""),"",H52-SUMPRODUCT(--($C$3:$C$102="P"),--(H$3:H$102&lt;H52),--(H$3:H$102&lt;&gt;""))-SUMPRODUCT(--($D$3:$D$102="P"),--(H$3:H$102&lt;H52),--(H$3:H$102&lt;&gt;"")))</f>
        <v>30</v>
      </c>
      <c r="O52" s="9">
        <f>IF(OR($C52&lt;&gt;"",$D52&lt;&gt;"",I52=""),"",I52-SUMPRODUCT(--($C$3:$C$102="P"),--(I$3:I$102&lt;I52),--(I$3:I$102&lt;&gt;""))-SUMPRODUCT(--($D$3:$D$102="P"),--(I$3:I$102&lt;I52),--(I$3:I$102&lt;&gt;"")))</f>
        <v>25</v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8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8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8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>1</v>
      </c>
      <c r="U52" s="8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>6</v>
      </c>
      <c r="V52" s="8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8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5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7.0900097500000001</v>
      </c>
      <c r="Y52" s="2" t="str">
        <f>IF(OR(X52="",X52=0),"",IF(SUMPRODUCT(--(B$3:B$102=B52),--(X$3:X$102&gt;X52),--(X$3:X$102&lt;&gt;"")),"","P"))</f>
        <v>P</v>
      </c>
      <c r="Z52" s="2" t="str">
        <f>IF(X52="","",IF(SUMPRODUCT(--(C$3:C$102="P"),--(B$3:B$102=B52)),"P",""))</f>
        <v/>
      </c>
      <c r="AA52" s="15">
        <f>IF(AND(Y52&lt;&gt;"",OR(Z52="",SUMPRODUCT(--(X$3:X$102&gt;X52),--(Z$3:Z$102="P"),--(Y$3:Y$102="P"))&lt;4)),X52,"")</f>
        <v>7.0900097500000001</v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100</v>
      </c>
      <c r="AC52" s="9">
        <f>COUNTIF(L52:Q52,"&lt;=8")</f>
        <v>0</v>
      </c>
      <c r="AD52" s="9">
        <f>MIN(L52:Q52)</f>
        <v>25</v>
      </c>
    </row>
    <row r="53" spans="1:30" x14ac:dyDescent="0.2">
      <c r="A53" s="7" t="s">
        <v>42</v>
      </c>
      <c r="B53" s="6" t="s">
        <v>22</v>
      </c>
      <c r="E53" s="3" t="str">
        <f>IF(AA53="","",RANK(AA53,AA:AA))</f>
        <v/>
      </c>
      <c r="F53" s="6">
        <v>29</v>
      </c>
      <c r="G53" s="6">
        <v>53</v>
      </c>
      <c r="H53" s="6"/>
      <c r="I53" s="6">
        <v>34</v>
      </c>
      <c r="J53" s="6"/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26</v>
      </c>
      <c r="M53" s="9">
        <f>IF(OR($C53&lt;&gt;"",$D53&lt;&gt;"",G53=""),"",G53-SUMPRODUCT(--($C$3:$C$102="P"),--(G$3:G$102&lt;G53),--(G$3:G$102&lt;&gt;""))-SUMPRODUCT(--($D$3:$D$102="P"),--(G$3:G$102&lt;G53),--(G$3:G$102&lt;&gt;"")))</f>
        <v>50</v>
      </c>
      <c r="N53" s="9" t="str">
        <f>IF(OR($C53&lt;&gt;"",$D53&lt;&gt;"",H53=""),"",H53-SUMPRODUCT(--($C$3:$C$102="P"),--(H$3:H$102&lt;H53),--(H$3:H$102&lt;&gt;""))-SUMPRODUCT(--($D$3:$D$102="P"),--(H$3:H$102&lt;H53),--(H$3:H$102&lt;&gt;"")))</f>
        <v/>
      </c>
      <c r="O53" s="9">
        <f>IF(OR($C53&lt;&gt;"",$D53&lt;&gt;"",I53=""),"",I53-SUMPRODUCT(--($C$3:$C$102="P"),--(I$3:I$102&lt;I53),--(I$3:I$102&lt;&gt;""))-SUMPRODUCT(--($D$3:$D$102="P"),--(I$3:I$102&lt;I53),--(I$3:I$102&lt;&gt;"")))</f>
        <v>29</v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8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>5</v>
      </c>
      <c r="S53" s="8" t="str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/>
      </c>
      <c r="T53" s="8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8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>2</v>
      </c>
      <c r="V53" s="8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8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5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7.0895097400000004</v>
      </c>
      <c r="Y53" s="2" t="str">
        <f>IF(OR(X53="",X53=0),"",IF(SUMPRODUCT(--(B$3:B$102=B53),--(X$3:X$102&gt;X53),--(X$3:X$102&lt;&gt;"")),"","P"))</f>
        <v/>
      </c>
      <c r="Z53" s="2" t="str">
        <f>IF(X53="","",IF(SUMPRODUCT(--(C$3:C$102="P"),--(B$3:B$102=B53)),"P",""))</f>
        <v>P</v>
      </c>
      <c r="AA53" s="15" t="str">
        <f>IF(AND(Y53&lt;&gt;"",OR(Z53="",SUMPRODUCT(--(X$3:X$102&gt;X53),--(Z$3:Z$102="P"),--(Y$3:Y$102="P"))&lt;4)),X53,"")</f>
        <v/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105</v>
      </c>
      <c r="AC53" s="9">
        <f>COUNTIF(L53:Q53,"&lt;=8")</f>
        <v>0</v>
      </c>
      <c r="AD53" s="9">
        <f>MIN(L53:Q53)</f>
        <v>26</v>
      </c>
    </row>
    <row r="54" spans="1:30" x14ac:dyDescent="0.2">
      <c r="A54" s="7" t="s">
        <v>181</v>
      </c>
      <c r="B54" s="6" t="s">
        <v>17</v>
      </c>
      <c r="E54" s="3" t="str">
        <f>IF(AA54="","",RANK(AA54,AA:AA))</f>
        <v/>
      </c>
      <c r="F54" s="6"/>
      <c r="G54" s="6">
        <v>60</v>
      </c>
      <c r="H54" s="6"/>
      <c r="I54" s="6">
        <v>30</v>
      </c>
      <c r="J54" s="6"/>
      <c r="K54" s="6"/>
      <c r="L54" s="9" t="str">
        <f>IF(OR($C54&lt;&gt;"",$D54&lt;&gt;"",F54=""),"",F54-SUMPRODUCT(--($C$3:$C$102="P"),--(F$3:F$102&lt;F54),--(F$3:F$102&lt;&gt;""))-SUMPRODUCT(--($D$3:$D$102="P"),--(F$3:F$102&lt;F54),--(F$3:F$102&lt;&gt;"")))</f>
        <v/>
      </c>
      <c r="M54" s="9">
        <f>IF(OR($C54&lt;&gt;"",$D54&lt;&gt;"",G54=""),"",G54-SUMPRODUCT(--($C$3:$C$102="P"),--(G$3:G$102&lt;G54),--(G$3:G$102&lt;&gt;""))-SUMPRODUCT(--($D$3:$D$102="P"),--(G$3:G$102&lt;G54),--(G$3:G$102&lt;&gt;"")))</f>
        <v>57</v>
      </c>
      <c r="N54" s="9" t="str">
        <f>IF(OR($C54&lt;&gt;"",$D54&lt;&gt;"",H54=""),"",H54-SUMPRODUCT(--($C$3:$C$102="P"),--(H$3:H$102&lt;H54),--(H$3:H$102&lt;&gt;""))-SUMPRODUCT(--($D$3:$D$102="P"),--(H$3:H$102&lt;H54),--(H$3:H$102&lt;&gt;"")))</f>
        <v/>
      </c>
      <c r="O54" s="9">
        <f>IF(OR($C54&lt;&gt;"",$D54&lt;&gt;"",I54=""),"",I54-SUMPRODUCT(--($C$3:$C$102="P"),--(I$3:I$102&lt;I54),--(I$3:I$102&lt;&gt;""))-SUMPRODUCT(--($D$3:$D$102="P"),--(I$3:I$102&lt;I54),--(I$3:I$102&lt;&gt;"")))</f>
        <v>26</v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 t="str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/>
      </c>
      <c r="U54" s="9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>5</v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5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5.0917097400000007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>P</v>
      </c>
      <c r="AA54" s="15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83</v>
      </c>
      <c r="AC54" s="9">
        <f>COUNTIF(L54:Q54,"&lt;=8")</f>
        <v>0</v>
      </c>
      <c r="AD54" s="9">
        <f>MIN(L54:Q54)</f>
        <v>26</v>
      </c>
    </row>
    <row r="55" spans="1:30" x14ac:dyDescent="0.2">
      <c r="A55" s="7" t="s">
        <v>150</v>
      </c>
      <c r="B55" s="6" t="s">
        <v>136</v>
      </c>
      <c r="E55" s="3">
        <f>IF(AA55="","",RANK(AA55,AA:AA))</f>
        <v>17</v>
      </c>
      <c r="F55" s="6">
        <v>52</v>
      </c>
      <c r="G55" s="6">
        <v>37</v>
      </c>
      <c r="H55" s="6">
        <v>31</v>
      </c>
      <c r="I55" s="6">
        <v>39</v>
      </c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49</v>
      </c>
      <c r="M55" s="9">
        <f>IF(OR($C55&lt;&gt;"",$D55&lt;&gt;"",G55=""),"",G55-SUMPRODUCT(--($C$3:$C$102="P"),--(G$3:G$102&lt;G55),--(G$3:G$102&lt;&gt;""))-SUMPRODUCT(--($D$3:$D$102="P"),--(G$3:G$102&lt;G55),--(G$3:G$102&lt;&gt;"")))</f>
        <v>35</v>
      </c>
      <c r="N55" s="9">
        <f>IF(OR($C55&lt;&gt;"",$D55&lt;&gt;"",H55=""),"",H55-SUMPRODUCT(--($C$3:$C$102="P"),--(H$3:H$102&lt;H55),--(H$3:H$102&lt;&gt;""))-SUMPRODUCT(--($D$3:$D$102="P"),--(H$3:H$102&lt;H55),--(H$3:H$102&lt;&gt;"")))</f>
        <v>27</v>
      </c>
      <c r="O55" s="9">
        <f>IF(OR($C55&lt;&gt;"",$D55&lt;&gt;"",I55=""),"",I55-SUMPRODUCT(--($C$3:$C$102="P"),--(I$3:I$102&lt;I55),--(I$3:I$102&lt;&gt;""))-SUMPRODUCT(--($D$3:$D$102="P"),--(I$3:I$102&lt;I55),--(I$3:I$102&lt;&gt;"")))</f>
        <v>34</v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 t="str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/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>4</v>
      </c>
      <c r="U55" s="9" t="str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/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5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4.0855097300000001</v>
      </c>
      <c r="Y55" s="2" t="str">
        <f>IF(OR(X55="",X55=0),"",IF(SUMPRODUCT(--(B$3:B$102=B55),--(X$3:X$102&gt;X55),--(X$3:X$102&lt;&gt;"")),"","P"))</f>
        <v>P</v>
      </c>
      <c r="Z55" s="2" t="str">
        <f>IF(X55="","",IF(SUMPRODUCT(--(C$3:C$102="P"),--(B$3:B$102=B55)),"P",""))</f>
        <v/>
      </c>
      <c r="AA55" s="15">
        <f>IF(AND(Y55&lt;&gt;"",OR(Z55="",SUMPRODUCT(--(X$3:X$102&gt;X55),--(Z$3:Z$102="P"),--(Y$3:Y$102="P"))&lt;4)),X55,"")</f>
        <v>4.0855097300000001</v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145</v>
      </c>
      <c r="AC55" s="9">
        <f>COUNTIF(L55:Q55,"&lt;=8")</f>
        <v>0</v>
      </c>
      <c r="AD55" s="9">
        <f>MIN(L55:Q55)</f>
        <v>27</v>
      </c>
    </row>
    <row r="56" spans="1:30" x14ac:dyDescent="0.2">
      <c r="A56" s="7" t="s">
        <v>47</v>
      </c>
      <c r="B56" s="6" t="s">
        <v>60</v>
      </c>
      <c r="E56" s="3">
        <f>IF(AA56="","",RANK(AA56,AA:AA))</f>
        <v>18</v>
      </c>
      <c r="F56" s="6">
        <v>35</v>
      </c>
      <c r="G56" s="6">
        <v>41</v>
      </c>
      <c r="H56" s="6">
        <v>33</v>
      </c>
      <c r="I56" s="6">
        <v>37</v>
      </c>
      <c r="J56" s="6"/>
      <c r="K56" s="6"/>
      <c r="L56" s="9">
        <f>IF(OR($C56&lt;&gt;"",$D56&lt;&gt;"",F56=""),"",F56-SUMPRODUCT(--($C$3:$C$102="P"),--(F$3:F$102&lt;F56),--(F$3:F$102&lt;&gt;""))-SUMPRODUCT(--($D$3:$D$102="P"),--(F$3:F$102&lt;F56),--(F$3:F$102&lt;&gt;"")))</f>
        <v>32</v>
      </c>
      <c r="M56" s="9">
        <f>IF(OR($C56&lt;&gt;"",$D56&lt;&gt;"",G56=""),"",G56-SUMPRODUCT(--($C$3:$C$102="P"),--(G$3:G$102&lt;G56),--(G$3:G$102&lt;&gt;""))-SUMPRODUCT(--($D$3:$D$102="P"),--(G$3:G$102&lt;G56),--(G$3:G$102&lt;&gt;"")))</f>
        <v>39</v>
      </c>
      <c r="N56" s="9">
        <f>IF(OR($C56&lt;&gt;"",$D56&lt;&gt;"",H56=""),"",H56-SUMPRODUCT(--($C$3:$C$102="P"),--(H$3:H$102&lt;H56),--(H$3:H$102&lt;&gt;""))-SUMPRODUCT(--($D$3:$D$102="P"),--(H$3:H$102&lt;H56),--(H$3:H$102&lt;&gt;"")))</f>
        <v>29</v>
      </c>
      <c r="O56" s="9">
        <f>IF(OR($C56&lt;&gt;"",$D56&lt;&gt;"",I56=""),"",I56-SUMPRODUCT(--($C$3:$C$102="P"),--(I$3:I$102&lt;I56),--(I$3:I$102&lt;&gt;""))-SUMPRODUCT(--($D$3:$D$102="P"),--(I$3:I$102&lt;I56),--(I$3:I$102&lt;&gt;"")))</f>
        <v>32</v>
      </c>
      <c r="P56" s="9" t="str">
        <f>IF(OR($C56&lt;&gt;"",$D56&lt;&gt;"",J56=""),"",J56-SUMPRODUCT(--($C$3:$C$102="P"),--(J$3:J$102&lt;J56),--(J$3:J$102&lt;&gt;""))-SUMPRODUCT(--($D$3:$D$102="P"),--(J$3:J$102&lt;J56),--(J$3:J$102&lt;&gt;"")))</f>
        <v/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 t="str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/>
      </c>
      <c r="T56" s="9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>2</v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5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2.0868097100000003</v>
      </c>
      <c r="Y56" s="2" t="str">
        <f>IF(OR(X56="",X56=0),"",IF(SUMPRODUCT(--(B$3:B$102=B56),--(X$3:X$102&gt;X56),--(X$3:X$102&lt;&gt;"")),"","P"))</f>
        <v>P</v>
      </c>
      <c r="Z56" s="2" t="str">
        <f>IF(X56="","",IF(SUMPRODUCT(--(C$3:C$102="P"),--(B$3:B$102=B56)),"P",""))</f>
        <v/>
      </c>
      <c r="AA56" s="15">
        <f>IF(AND(Y56&lt;&gt;"",OR(Z56="",SUMPRODUCT(--(X$3:X$102&gt;X56),--(Z$3:Z$102="P"),--(Y$3:Y$102="P"))&lt;4)),X56,"")</f>
        <v>2.0868097100000003</v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132</v>
      </c>
      <c r="AC56" s="9">
        <f>COUNTIF(L56:Q56,"&lt;=8")</f>
        <v>0</v>
      </c>
      <c r="AD56" s="9">
        <f>MIN(L56:Q56)</f>
        <v>29</v>
      </c>
    </row>
    <row r="57" spans="1:30" x14ac:dyDescent="0.2">
      <c r="A57" s="7" t="s">
        <v>151</v>
      </c>
      <c r="B57" s="6" t="s">
        <v>82</v>
      </c>
      <c r="E57" s="3" t="str">
        <f>IF(AA57="","",RANK(AA57,AA:AA))</f>
        <v/>
      </c>
      <c r="F57" s="6"/>
      <c r="G57" s="6">
        <v>38</v>
      </c>
      <c r="H57" s="6">
        <v>35</v>
      </c>
      <c r="I57" s="6">
        <v>35</v>
      </c>
      <c r="J57" s="6"/>
      <c r="K57" s="6"/>
      <c r="L57" s="9" t="str">
        <f>IF(OR($C57&lt;&gt;"",$D57&lt;&gt;"",F57=""),"",F57-SUMPRODUCT(--($C$3:$C$102="P"),--(F$3:F$102&lt;F57),--(F$3:F$102&lt;&gt;""))-SUMPRODUCT(--($D$3:$D$102="P"),--(F$3:F$102&lt;F57),--(F$3:F$102&lt;&gt;"")))</f>
        <v/>
      </c>
      <c r="M57" s="9">
        <f>IF(OR($C57&lt;&gt;"",$D57&lt;&gt;"",G57=""),"",G57-SUMPRODUCT(--($C$3:$C$102="P"),--(G$3:G$102&lt;G57),--(G$3:G$102&lt;&gt;""))-SUMPRODUCT(--($D$3:$D$102="P"),--(G$3:G$102&lt;G57),--(G$3:G$102&lt;&gt;"")))</f>
        <v>36</v>
      </c>
      <c r="N57" s="9">
        <f>IF(OR($C57&lt;&gt;"",$D57&lt;&gt;"",H57=""),"",H57-SUMPRODUCT(--($C$3:$C$102="P"),--(H$3:H$102&lt;H57),--(H$3:H$102&lt;&gt;""))-SUMPRODUCT(--($D$3:$D$102="P"),--(H$3:H$102&lt;H57),--(H$3:H$102&lt;&gt;"")))</f>
        <v>31</v>
      </c>
      <c r="O57" s="9">
        <f>IF(OR($C57&lt;&gt;"",$D57&lt;&gt;"",I57=""),"",I57-SUMPRODUCT(--($C$3:$C$102="P"),--(I$3:I$102&lt;I57),--(I$3:I$102&lt;&gt;""))-SUMPRODUCT(--($D$3:$D$102="P"),--(I$3:I$102&lt;I57),--(I$3:I$102&lt;&gt;"")))</f>
        <v>30</v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 t="str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/>
      </c>
      <c r="U57" s="9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>1</v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5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1.0903096999999999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5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97</v>
      </c>
      <c r="AC57" s="9">
        <f>COUNTIF(L57:Q57,"&lt;=8")</f>
        <v>0</v>
      </c>
      <c r="AD57" s="9">
        <f>MIN(L57:Q57)</f>
        <v>30</v>
      </c>
    </row>
    <row r="58" spans="1:30" x14ac:dyDescent="0.2">
      <c r="A58" s="7" t="s">
        <v>146</v>
      </c>
      <c r="B58" s="6" t="s">
        <v>106</v>
      </c>
      <c r="E58" s="3" t="str">
        <f>IF(AA58="","",RANK(AA58,AA:AA))</f>
        <v/>
      </c>
      <c r="F58" s="6">
        <v>39</v>
      </c>
      <c r="G58" s="6">
        <v>32</v>
      </c>
      <c r="H58" s="6"/>
      <c r="I58" s="6">
        <v>47</v>
      </c>
      <c r="J58" s="6"/>
      <c r="K58" s="6"/>
      <c r="L58" s="9">
        <f>IF(OR($C58&lt;&gt;"",$D58&lt;&gt;"",F58=""),"",F58-SUMPRODUCT(--($C$3:$C$102="P"),--(F$3:F$102&lt;F58),--(F$3:F$102&lt;&gt;""))-SUMPRODUCT(--($D$3:$D$102="P"),--(F$3:F$102&lt;F58),--(F$3:F$102&lt;&gt;"")))</f>
        <v>36</v>
      </c>
      <c r="M58" s="9">
        <f>IF(OR($C58&lt;&gt;"",$D58&lt;&gt;"",G58=""),"",G58-SUMPRODUCT(--($C$3:$C$102="P"),--(G$3:G$102&lt;G58),--(G$3:G$102&lt;&gt;""))-SUMPRODUCT(--($D$3:$D$102="P"),--(G$3:G$102&lt;G58),--(G$3:G$102&lt;&gt;"")))</f>
        <v>30</v>
      </c>
      <c r="N58" s="9" t="str">
        <f>IF(OR($C58&lt;&gt;"",$D58&lt;&gt;"",H58=""),"",H58-SUMPRODUCT(--($C$3:$C$102="P"),--(H$3:H$102&lt;H58),--(H$3:H$102&lt;&gt;""))-SUMPRODUCT(--($D$3:$D$102="P"),--(H$3:H$102&lt;H58),--(H$3:H$102&lt;&gt;"")))</f>
        <v/>
      </c>
      <c r="O58" s="9">
        <f>IF(OR($C58&lt;&gt;"",$D58&lt;&gt;"",I58=""),"",I58-SUMPRODUCT(--($C$3:$C$102="P"),--(I$3:I$102&lt;I58),--(I$3:I$102&lt;&gt;""))-SUMPRODUCT(--($D$3:$D$102="P"),--(I$3:I$102&lt;I58),--(I$3:I$102&lt;&gt;"")))</f>
        <v>42</v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 t="str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/>
      </c>
      <c r="S58" s="9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>1</v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5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1.0892096999999998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5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108</v>
      </c>
      <c r="AC58" s="9">
        <f>COUNTIF(L58:Q58,"&lt;=8")</f>
        <v>0</v>
      </c>
      <c r="AD58" s="9">
        <f>MIN(L58:Q58)</f>
        <v>30</v>
      </c>
    </row>
    <row r="59" spans="1:30" x14ac:dyDescent="0.2">
      <c r="A59" s="7" t="s">
        <v>147</v>
      </c>
      <c r="B59" s="6" t="s">
        <v>148</v>
      </c>
      <c r="E59" s="3" t="str">
        <f>IF(AA59="","",RANK(AA59,AA:AA))</f>
        <v/>
      </c>
      <c r="F59" s="6">
        <v>61</v>
      </c>
      <c r="G59" s="6">
        <v>33</v>
      </c>
      <c r="H59" s="6">
        <v>47</v>
      </c>
      <c r="I59" s="6">
        <v>49</v>
      </c>
      <c r="J59" s="6"/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57</v>
      </c>
      <c r="M59" s="9">
        <f>IF(OR($C59&lt;&gt;"",$D59&lt;&gt;"",G59=""),"",G59-SUMPRODUCT(--($C$3:$C$102="P"),--(G$3:G$102&lt;G59),--(G$3:G$102&lt;&gt;""))-SUMPRODUCT(--($D$3:$D$102="P"),--(G$3:G$102&lt;G59),--(G$3:G$102&lt;&gt;"")))</f>
        <v>31</v>
      </c>
      <c r="N59" s="9">
        <f>IF(OR($C59&lt;&gt;"",$D59&lt;&gt;"",H59=""),"",H59-SUMPRODUCT(--($C$3:$C$102="P"),--(H$3:H$102&lt;H59),--(H$3:H$102&lt;&gt;""))-SUMPRODUCT(--($D$3:$D$102="P"),--(H$3:H$102&lt;H59),--(H$3:H$102&lt;&gt;"")))</f>
        <v>42</v>
      </c>
      <c r="O59" s="9">
        <f>IF(OR($C59&lt;&gt;"",$D59&lt;&gt;"",I59=""),"",I59-SUMPRODUCT(--($C$3:$C$102="P"),--(I$3:I$102&lt;I59),--(I$3:I$102&lt;&gt;""))-SUMPRODUCT(--($D$3:$D$102="P"),--(I$3:I$102&lt;I59),--(I$3:I$102&lt;&gt;"")))</f>
        <v>44</v>
      </c>
      <c r="P59" s="9" t="str">
        <f>IF(OR($C59&lt;&gt;"",$D59&lt;&gt;"",J59=""),"",J59-SUMPRODUCT(--($C$3:$C$102="P"),--(J$3:J$102&lt;J59),--(J$3:J$102&lt;&gt;""))-SUMPRODUCT(--($D$3:$D$102="P"),--(J$3:J$102&lt;J59),--(J$3:J$102&lt;&gt;"")))</f>
        <v/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 t="str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/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5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0</v>
      </c>
      <c r="Y59" s="2" t="str">
        <f>IF(OR(X59="",X59=0),"",IF(SUMPRODUCT(--(B$3:B$102=B59),--(X$3:X$102&gt;X59),--(X$3:X$102&lt;&gt;"")),"","P"))</f>
        <v/>
      </c>
      <c r="Z59" s="2" t="str">
        <f>IF(X59="","",IF(SUMPRODUCT(--(C$3:C$102="P"),--(B$3:B$102=B59)),"P",""))</f>
        <v/>
      </c>
      <c r="AA59" s="15" t="str">
        <f>IF(AND(Y59&lt;&gt;"",OR(Z59="",SUMPRODUCT(--(X$3:X$102&gt;X59),--(Z$3:Z$102="P"),--(Y$3:Y$102="P"))&lt;4)),X59,"")</f>
        <v/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174</v>
      </c>
      <c r="AC59" s="9">
        <f>COUNTIF(L59:Q59,"&lt;=8")</f>
        <v>0</v>
      </c>
      <c r="AD59" s="9">
        <f>MIN(L59:Q59)</f>
        <v>31</v>
      </c>
    </row>
    <row r="60" spans="1:30" x14ac:dyDescent="0.2">
      <c r="A60" s="7" t="s">
        <v>183</v>
      </c>
      <c r="B60" s="6" t="s">
        <v>54</v>
      </c>
      <c r="E60" s="3" t="str">
        <f>IF(AA60="","",RANK(AA60,AA:AA))</f>
        <v/>
      </c>
      <c r="F60" s="6"/>
      <c r="G60" s="6"/>
      <c r="H60" s="6">
        <v>42</v>
      </c>
      <c r="I60" s="6">
        <v>38</v>
      </c>
      <c r="J60" s="6"/>
      <c r="K60" s="6"/>
      <c r="L60" s="9" t="str">
        <f>IF(OR($C60&lt;&gt;"",$D60&lt;&gt;"",F60=""),"",F60-SUMPRODUCT(--($C$3:$C$102="P"),--(F$3:F$102&lt;F60),--(F$3:F$102&lt;&gt;""))-SUMPRODUCT(--($D$3:$D$102="P"),--(F$3:F$102&lt;F60),--(F$3:F$102&lt;&gt;"")))</f>
        <v/>
      </c>
      <c r="M60" s="9" t="str">
        <f>IF(OR($C60&lt;&gt;"",$D60&lt;&gt;"",G60=""),"",G60-SUMPRODUCT(--($C$3:$C$102="P"),--(G$3:G$102&lt;G60),--(G$3:G$102&lt;&gt;""))-SUMPRODUCT(--($D$3:$D$102="P"),--(G$3:G$102&lt;G60),--(G$3:G$102&lt;&gt;"")))</f>
        <v/>
      </c>
      <c r="N60" s="9">
        <f>IF(OR($C60&lt;&gt;"",$D60&lt;&gt;"",H60=""),"",H60-SUMPRODUCT(--($C$3:$C$102="P"),--(H$3:H$102&lt;H60),--(H$3:H$102&lt;&gt;""))-SUMPRODUCT(--($D$3:$D$102="P"),--(H$3:H$102&lt;H60),--(H$3:H$102&lt;&gt;"")))</f>
        <v>37</v>
      </c>
      <c r="O60" s="9">
        <f>IF(OR($C60&lt;&gt;"",$D60&lt;&gt;"",I60=""),"",I60-SUMPRODUCT(--($C$3:$C$102="P"),--(I$3:I$102&lt;I60),--(I$3:I$102&lt;&gt;""))-SUMPRODUCT(--($D$3:$D$102="P"),--(I$3:I$102&lt;I60),--(I$3:I$102&lt;&gt;"")))</f>
        <v>33</v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 t="str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/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5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0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5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70</v>
      </c>
      <c r="AC60" s="9">
        <f>COUNTIF(L60:Q60,"&lt;=8")</f>
        <v>0</v>
      </c>
      <c r="AD60" s="9">
        <f>MIN(L60:Q60)</f>
        <v>33</v>
      </c>
    </row>
    <row r="61" spans="1:30" x14ac:dyDescent="0.2">
      <c r="A61" s="7" t="s">
        <v>50</v>
      </c>
      <c r="B61" s="6" t="s">
        <v>51</v>
      </c>
      <c r="E61" s="3" t="str">
        <f>IF(AA61="","",RANK(AA61,AA:AA))</f>
        <v/>
      </c>
      <c r="F61" s="6">
        <v>38</v>
      </c>
      <c r="G61" s="6">
        <v>40</v>
      </c>
      <c r="H61" s="6"/>
      <c r="I61" s="6">
        <v>42</v>
      </c>
      <c r="J61" s="6"/>
      <c r="K61" s="6"/>
      <c r="L61" s="9">
        <f>IF(OR($C61&lt;&gt;"",$D61&lt;&gt;"",F61=""),"",F61-SUMPRODUCT(--($C$3:$C$102="P"),--(F$3:F$102&lt;F61),--(F$3:F$102&lt;&gt;""))-SUMPRODUCT(--($D$3:$D$102="P"),--(F$3:F$102&lt;F61),--(F$3:F$102&lt;&gt;"")))</f>
        <v>35</v>
      </c>
      <c r="M61" s="9">
        <f>IF(OR($C61&lt;&gt;"",$D61&lt;&gt;"",G61=""),"",G61-SUMPRODUCT(--($C$3:$C$102="P"),--(G$3:G$102&lt;G61),--(G$3:G$102&lt;&gt;""))-SUMPRODUCT(--($D$3:$D$102="P"),--(G$3:G$102&lt;G61),--(G$3:G$102&lt;&gt;"")))</f>
        <v>38</v>
      </c>
      <c r="N61" s="9" t="str">
        <f>IF(OR($C61&lt;&gt;"",$D61&lt;&gt;"",H61=""),"",H61-SUMPRODUCT(--($C$3:$C$102="P"),--(H$3:H$102&lt;H61),--(H$3:H$102&lt;&gt;""))-SUMPRODUCT(--($D$3:$D$102="P"),--(H$3:H$102&lt;H61),--(H$3:H$102&lt;&gt;"")))</f>
        <v/>
      </c>
      <c r="O61" s="9">
        <f>IF(OR($C61&lt;&gt;"",$D61&lt;&gt;"",I61=""),"",I61-SUMPRODUCT(--($C$3:$C$102="P"),--(I$3:I$102&lt;I61),--(I$3:I$102&lt;&gt;""))-SUMPRODUCT(--($D$3:$D$102="P"),--(I$3:I$102&lt;I61),--(I$3:I$102&lt;&gt;"")))</f>
        <v>37</v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 t="str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/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5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0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5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110</v>
      </c>
      <c r="AC61" s="9">
        <f>COUNTIF(L61:Q61,"&lt;=8")</f>
        <v>0</v>
      </c>
      <c r="AD61" s="9">
        <f>MIN(L61:Q61)</f>
        <v>35</v>
      </c>
    </row>
    <row r="62" spans="1:30" x14ac:dyDescent="0.2">
      <c r="A62" s="7" t="s">
        <v>162</v>
      </c>
      <c r="B62" s="6" t="s">
        <v>54</v>
      </c>
      <c r="E62" s="3" t="str">
        <f>IF(AA62="","",RANK(AA62,AA:AA))</f>
        <v/>
      </c>
      <c r="F62" s="6"/>
      <c r="G62" s="6"/>
      <c r="H62" s="6">
        <v>36</v>
      </c>
      <c r="I62" s="6"/>
      <c r="J62" s="6"/>
      <c r="K62" s="6"/>
      <c r="L62" s="9" t="str">
        <f>IF(OR($C62&lt;&gt;"",$D62&lt;&gt;"",F62=""),"",F62-SUMPRODUCT(--($C$3:$C$102="P"),--(F$3:F$102&lt;F62),--(F$3:F$102&lt;&gt;""))-SUMPRODUCT(--($D$3:$D$102="P"),--(F$3:F$102&lt;F62),--(F$3:F$102&lt;&gt;"")))</f>
        <v/>
      </c>
      <c r="M62" s="9" t="str">
        <f>IF(OR($C62&lt;&gt;"",$D62&lt;&gt;"",G62=""),"",G62-SUMPRODUCT(--($C$3:$C$102="P"),--(G$3:G$102&lt;G62),--(G$3:G$102&lt;&gt;""))-SUMPRODUCT(--($D$3:$D$102="P"),--(G$3:G$102&lt;G62),--(G$3:G$102&lt;&gt;"")))</f>
        <v/>
      </c>
      <c r="N62" s="9">
        <f>IF(OR($C62&lt;&gt;"",$D62&lt;&gt;"",H62=""),"",H62-SUMPRODUCT(--($C$3:$C$102="P"),--(H$3:H$102&lt;H62),--(H$3:H$102&lt;&gt;""))-SUMPRODUCT(--($D$3:$D$102="P"),--(H$3:H$102&lt;H62),--(H$3:H$102&lt;&gt;"")))</f>
        <v>32</v>
      </c>
      <c r="O62" s="9" t="str">
        <f>IF(OR($C62&lt;&gt;"",$D62&lt;&gt;"",I62=""),"",I62-SUMPRODUCT(--($C$3:$C$102="P"),--(I$3:I$102&lt;I62),--(I$3:I$102&lt;&gt;""))-SUMPRODUCT(--($D$3:$D$102="P"),--(I$3:I$102&lt;I62),--(I$3:I$102&lt;&gt;"")))</f>
        <v/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5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0</v>
      </c>
      <c r="Y62" s="2" t="str">
        <f>IF(OR(X62="",X62=0),"",IF(SUMPRODUCT(--(B$3:B$102=B62),--(X$3:X$102&gt;X62),--(X$3:X$102&lt;&gt;"")),"","P"))</f>
        <v/>
      </c>
      <c r="Z62" s="2" t="str">
        <f>IF(X62="","",IF(SUMPRODUCT(--(C$3:C$102="P"),--(B$3:B$102=B62)),"P",""))</f>
        <v/>
      </c>
      <c r="AA62" s="15" t="str">
        <f>IF(AND(Y62&lt;&gt;"",OR(Z62="",SUMPRODUCT(--(X$3:X$102&gt;X62),--(Z$3:Z$102="P"),--(Y$3:Y$102="P"))&lt;4)),X62,"")</f>
        <v/>
      </c>
      <c r="AB62" s="9">
        <f>IF(A62="","",IF(OR(C62="P",D62="P"),"",IF(IF(COUNT(L62:Q62)&lt;5,SUM(L62:Q62),IF(COUNT(L62:Q62)=5,SUM(L62:Q62)-MIN(L62:Q62),SUM(L62:Q62)-MIN(L62:Q62)-SMALL(L62:Q62,2)))&gt;0,IF(COUNT(L62:Q62)&lt;5,SUM(L62:Q62),IF(COUNT(L62:Q62)=5,SUM(L62:Q62)-MIN(L62:Q62),SUM(L62:Q62)-MIN(L62:Q62)-SMALL(L62:Q62,2))),0)))</f>
        <v>32</v>
      </c>
      <c r="AC62" s="9">
        <f>COUNTIF(L62:Q62,"&lt;=8")</f>
        <v>0</v>
      </c>
      <c r="AD62" s="9">
        <f>MIN(L62:Q62)</f>
        <v>32</v>
      </c>
    </row>
    <row r="63" spans="1:30" x14ac:dyDescent="0.2">
      <c r="A63" s="7" t="s">
        <v>165</v>
      </c>
      <c r="B63" s="6" t="s">
        <v>129</v>
      </c>
      <c r="E63" s="3" t="str">
        <f>IF(AA63="","",RANK(AA63,AA:AA))</f>
        <v/>
      </c>
      <c r="F63" s="6"/>
      <c r="G63" s="6"/>
      <c r="H63" s="6">
        <v>38</v>
      </c>
      <c r="I63" s="6">
        <v>65</v>
      </c>
      <c r="J63" s="6"/>
      <c r="K63" s="6"/>
      <c r="L63" s="9" t="str">
        <f>IF(OR($C63&lt;&gt;"",$D63&lt;&gt;"",F63=""),"",F63-SUMPRODUCT(--($C$3:$C$102="P"),--(F$3:F$102&lt;F63),--(F$3:F$102&lt;&gt;""))-SUMPRODUCT(--($D$3:$D$102="P"),--(F$3:F$102&lt;F63),--(F$3:F$102&lt;&gt;"")))</f>
        <v/>
      </c>
      <c r="M63" s="9" t="str">
        <f>IF(OR($C63&lt;&gt;"",$D63&lt;&gt;"",G63=""),"",G63-SUMPRODUCT(--($C$3:$C$102="P"),--(G$3:G$102&lt;G63),--(G$3:G$102&lt;&gt;""))-SUMPRODUCT(--($D$3:$D$102="P"),--(G$3:G$102&lt;G63),--(G$3:G$102&lt;&gt;"")))</f>
        <v/>
      </c>
      <c r="N63" s="9">
        <f>IF(OR($C63&lt;&gt;"",$D63&lt;&gt;"",H63=""),"",H63-SUMPRODUCT(--($C$3:$C$102="P"),--(H$3:H$102&lt;H63),--(H$3:H$102&lt;&gt;""))-SUMPRODUCT(--($D$3:$D$102="P"),--(H$3:H$102&lt;H63),--(H$3:H$102&lt;&gt;"")))</f>
        <v>34</v>
      </c>
      <c r="O63" s="9">
        <f>IF(OR($C63&lt;&gt;"",$D63&lt;&gt;"",I63=""),"",I63-SUMPRODUCT(--($C$3:$C$102="P"),--(I$3:I$102&lt;I63),--(I$3:I$102&lt;&gt;""))-SUMPRODUCT(--($D$3:$D$102="P"),--(I$3:I$102&lt;I63),--(I$3:I$102&lt;&gt;"")))</f>
        <v>60</v>
      </c>
      <c r="P63" s="9" t="str">
        <f>IF(OR($C63&lt;&gt;"",$D63&lt;&gt;"",J63=""),"",J63-SUMPRODUCT(--($C$3:$C$102="P"),--(J$3:J$102&lt;J63),--(J$3:J$102&lt;&gt;""))-SUMPRODUCT(--($D$3:$D$102="P"),--(J$3:J$102&lt;J63),--(J$3:J$102&lt;&gt;"")))</f>
        <v/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 t="str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/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5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0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/>
      </c>
      <c r="AA63" s="15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IN(L63:Q63),SUM(L63:Q63)-MIN(L63:Q63)-SMALL(L63:Q63,2)))&gt;0,IF(COUNT(L63:Q63)&lt;5,SUM(L63:Q63),IF(COUNT(L63:Q63)=5,SUM(L63:Q63)-MIN(L63:Q63),SUM(L63:Q63)-MIN(L63:Q63)-SMALL(L63:Q63,2))),0)))</f>
        <v>94</v>
      </c>
      <c r="AC63" s="9">
        <f>COUNTIF(L63:Q63,"&lt;=8")</f>
        <v>0</v>
      </c>
      <c r="AD63" s="9">
        <f>MIN(L63:Q63)</f>
        <v>34</v>
      </c>
    </row>
    <row r="64" spans="1:30" x14ac:dyDescent="0.2">
      <c r="A64" s="7" t="s">
        <v>49</v>
      </c>
      <c r="B64" s="6" t="s">
        <v>52</v>
      </c>
      <c r="E64" s="3" t="str">
        <f>IF(AA64="","",RANK(AA64,AA:AA))</f>
        <v/>
      </c>
      <c r="F64" s="6">
        <v>37</v>
      </c>
      <c r="G64" s="6">
        <v>55</v>
      </c>
      <c r="H64" s="6"/>
      <c r="I64" s="6"/>
      <c r="J64" s="6"/>
      <c r="K64" s="6"/>
      <c r="L64" s="9">
        <f>IF(OR($C64&lt;&gt;"",$D64&lt;&gt;"",F64=""),"",F64-SUMPRODUCT(--($C$3:$C$102="P"),--(F$3:F$102&lt;F64),--(F$3:F$102&lt;&gt;""))-SUMPRODUCT(--($D$3:$D$102="P"),--(F$3:F$102&lt;F64),--(F$3:F$102&lt;&gt;"")))</f>
        <v>34</v>
      </c>
      <c r="M64" s="9">
        <f>IF(OR($C64&lt;&gt;"",$D64&lt;&gt;"",G64=""),"",G64-SUMPRODUCT(--($C$3:$C$102="P"),--(G$3:G$102&lt;G64),--(G$3:G$102&lt;&gt;""))-SUMPRODUCT(--($D$3:$D$102="P"),--(G$3:G$102&lt;G64),--(G$3:G$102&lt;&gt;"")))</f>
        <v>52</v>
      </c>
      <c r="N64" s="9" t="str">
        <f>IF(OR($C64&lt;&gt;"",$D64&lt;&gt;"",H64=""),"",H64-SUMPRODUCT(--($C$3:$C$102="P"),--(H$3:H$102&lt;H64),--(H$3:H$102&lt;&gt;""))-SUMPRODUCT(--($D$3:$D$102="P"),--(H$3:H$102&lt;H64),--(H$3:H$102&lt;&gt;"")))</f>
        <v/>
      </c>
      <c r="O64" s="9" t="str">
        <f>IF(OR($C64&lt;&gt;"",$D64&lt;&gt;"",I64=""),"",I64-SUMPRODUCT(--($C$3:$C$102="P"),--(I$3:I$102&lt;I64),--(I$3:I$102&lt;&gt;""))-SUMPRODUCT(--($D$3:$D$102="P"),--(I$3:I$102&lt;I64),--(I$3:I$102&lt;&gt;"")))</f>
        <v/>
      </c>
      <c r="P64" s="9" t="str">
        <f>IF(OR($C64&lt;&gt;"",$D64&lt;&gt;"",J64=""),"",J64-SUMPRODUCT(--($C$3:$C$102="P"),--(J$3:J$102&lt;J64),--(J$3:J$102&lt;&gt;""))-SUMPRODUCT(--($D$3:$D$102="P"),--(J$3:J$102&lt;J64),--(J$3:J$102&lt;&gt;"")))</f>
        <v/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 t="str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5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0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5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IN(L64:Q64),SUM(L64:Q64)-MIN(L64:Q64)-SMALL(L64:Q64,2)))&gt;0,IF(COUNT(L64:Q64)&lt;5,SUM(L64:Q64),IF(COUNT(L64:Q64)=5,SUM(L64:Q64)-MIN(L64:Q64),SUM(L64:Q64)-MIN(L64:Q64)-SMALL(L64:Q64,2))),0)))</f>
        <v>86</v>
      </c>
      <c r="AC64" s="9">
        <f>COUNTIF(L64:Q64,"&lt;=8")</f>
        <v>0</v>
      </c>
      <c r="AD64" s="9">
        <f>MIN(L64:Q64)</f>
        <v>34</v>
      </c>
    </row>
    <row r="65" spans="1:30" x14ac:dyDescent="0.2">
      <c r="A65" s="7" t="s">
        <v>182</v>
      </c>
      <c r="B65" s="6" t="s">
        <v>51</v>
      </c>
      <c r="E65" s="3" t="str">
        <f>IF(AA65="","",RANK(AA65,AA:AA))</f>
        <v/>
      </c>
      <c r="F65" s="6"/>
      <c r="G65" s="6"/>
      <c r="H65" s="6"/>
      <c r="I65" s="6">
        <v>36</v>
      </c>
      <c r="J65" s="6"/>
      <c r="K65" s="6"/>
      <c r="L65" s="9" t="str">
        <f>IF(OR($C65&lt;&gt;"",$D65&lt;&gt;"",F65=""),"",F65-SUMPRODUCT(--($C$3:$C$102="P"),--(F$3:F$102&lt;F65),--(F$3:F$102&lt;&gt;""))-SUMPRODUCT(--($D$3:$D$102="P"),--(F$3:F$102&lt;F65),--(F$3:F$102&lt;&gt;"")))</f>
        <v/>
      </c>
      <c r="M65" s="9" t="str">
        <f>IF(OR($C65&lt;&gt;"",$D65&lt;&gt;"",G65=""),"",G65-SUMPRODUCT(--($C$3:$C$102="P"),--(G$3:G$102&lt;G65),--(G$3:G$102&lt;&gt;""))-SUMPRODUCT(--($D$3:$D$102="P"),--(G$3:G$102&lt;G65),--(G$3:G$102&lt;&gt;"")))</f>
        <v/>
      </c>
      <c r="N65" s="9" t="str">
        <f>IF(OR($C65&lt;&gt;"",$D65&lt;&gt;"",H65=""),"",H65-SUMPRODUCT(--($C$3:$C$102="P"),--(H$3:H$102&lt;H65),--(H$3:H$102&lt;&gt;""))-SUMPRODUCT(--($D$3:$D$102="P"),--(H$3:H$102&lt;H65),--(H$3:H$102&lt;&gt;"")))</f>
        <v/>
      </c>
      <c r="O65" s="9">
        <f>IF(OR($C65&lt;&gt;"",$D65&lt;&gt;"",I65=""),"",I65-SUMPRODUCT(--($C$3:$C$102="P"),--(I$3:I$102&lt;I65),--(I$3:I$102&lt;&gt;""))-SUMPRODUCT(--($D$3:$D$102="P"),--(I$3:I$102&lt;I65),--(I$3:I$102&lt;&gt;"")))</f>
        <v>31</v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5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/>
      </c>
      <c r="AA65" s="15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IN(L65:Q65),SUM(L65:Q65)-MIN(L65:Q65)-SMALL(L65:Q65,2)))&gt;0,IF(COUNT(L65:Q65)&lt;5,SUM(L65:Q65),IF(COUNT(L65:Q65)=5,SUM(L65:Q65)-MIN(L65:Q65),SUM(L65:Q65)-MIN(L65:Q65)-SMALL(L65:Q65,2))),0)))</f>
        <v>31</v>
      </c>
      <c r="AC65" s="9">
        <f>COUNTIF(L65:Q65,"&lt;=8")</f>
        <v>0</v>
      </c>
      <c r="AD65" s="9">
        <f>MIN(L65:Q65)</f>
        <v>31</v>
      </c>
    </row>
    <row r="66" spans="1:30" x14ac:dyDescent="0.2">
      <c r="A66" s="7" t="s">
        <v>163</v>
      </c>
      <c r="B66" s="6" t="s">
        <v>164</v>
      </c>
      <c r="E66" s="3" t="str">
        <f>IF(AA66="","",RANK(AA66,AA:AA))</f>
        <v/>
      </c>
      <c r="F66" s="6">
        <v>62</v>
      </c>
      <c r="G66" s="6">
        <v>48</v>
      </c>
      <c r="H66" s="6">
        <v>37</v>
      </c>
      <c r="I66" s="6">
        <v>62</v>
      </c>
      <c r="J66" s="6"/>
      <c r="K66" s="6"/>
      <c r="L66" s="9">
        <f>IF(OR($C66&lt;&gt;"",$D66&lt;&gt;"",F66=""),"",F66-SUMPRODUCT(--($C$3:$C$102="P"),--(F$3:F$102&lt;F66),--(F$3:F$102&lt;&gt;""))-SUMPRODUCT(--($D$3:$D$102="P"),--(F$3:F$102&lt;F66),--(F$3:F$102&lt;&gt;"")))</f>
        <v>58</v>
      </c>
      <c r="M66" s="9">
        <f>IF(OR($C66&lt;&gt;"",$D66&lt;&gt;"",G66=""),"",G66-SUMPRODUCT(--($C$3:$C$102="P"),--(G$3:G$102&lt;G66),--(G$3:G$102&lt;&gt;""))-SUMPRODUCT(--($D$3:$D$102="P"),--(G$3:G$102&lt;G66),--(G$3:G$102&lt;&gt;"")))</f>
        <v>46</v>
      </c>
      <c r="N66" s="9">
        <f>IF(OR($C66&lt;&gt;"",$D66&lt;&gt;"",H66=""),"",H66-SUMPRODUCT(--($C$3:$C$102="P"),--(H$3:H$102&lt;H66),--(H$3:H$102&lt;&gt;""))-SUMPRODUCT(--($D$3:$D$102="P"),--(H$3:H$102&lt;H66),--(H$3:H$102&lt;&gt;"")))</f>
        <v>33</v>
      </c>
      <c r="O66" s="9">
        <f>IF(OR($C66&lt;&gt;"",$D66&lt;&gt;"",I66=""),"",I66-SUMPRODUCT(--($C$3:$C$102="P"),--(I$3:I$102&lt;I66),--(I$3:I$102&lt;&gt;""))-SUMPRODUCT(--($D$3:$D$102="P"),--(I$3:I$102&lt;I66),--(I$3:I$102&lt;&gt;"")))</f>
        <v>57</v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5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/>
      </c>
      <c r="AA66" s="15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IN(L66:Q66),SUM(L66:Q66)-MIN(L66:Q66)-SMALL(L66:Q66,2)))&gt;0,IF(COUNT(L66:Q66)&lt;5,SUM(L66:Q66),IF(COUNT(L66:Q66)=5,SUM(L66:Q66)-MIN(L66:Q66),SUM(L66:Q66)-MIN(L66:Q66)-SMALL(L66:Q66,2))),0)))</f>
        <v>194</v>
      </c>
      <c r="AC66" s="9">
        <f>COUNTIF(L66:Q66,"&lt;=8")</f>
        <v>0</v>
      </c>
      <c r="AD66" s="9">
        <f>MIN(L66:Q66)</f>
        <v>33</v>
      </c>
    </row>
    <row r="67" spans="1:30" x14ac:dyDescent="0.2">
      <c r="E67" s="3"/>
      <c r="F67" s="6"/>
      <c r="G67" s="6"/>
      <c r="H67" s="6"/>
      <c r="I67" s="6"/>
      <c r="J67" s="6"/>
      <c r="K67" s="6"/>
      <c r="L67" s="9"/>
      <c r="M67" s="9"/>
      <c r="N67" s="9"/>
      <c r="O67" s="9"/>
      <c r="P67" s="9"/>
      <c r="Q67" s="9"/>
      <c r="R67" s="8"/>
      <c r="S67" s="8"/>
      <c r="T67" s="8"/>
      <c r="U67" s="8"/>
      <c r="V67" s="8"/>
      <c r="W67" s="8"/>
      <c r="X67" s="9"/>
    </row>
    <row r="68" spans="1:30" x14ac:dyDescent="0.2">
      <c r="E68" s="3"/>
      <c r="F68" s="6"/>
      <c r="G68" s="6"/>
      <c r="H68" s="6"/>
      <c r="I68" s="6"/>
      <c r="J68" s="6"/>
      <c r="K68" s="6"/>
      <c r="L68" s="9"/>
      <c r="M68" s="9"/>
      <c r="N68" s="9"/>
      <c r="O68" s="9"/>
      <c r="P68" s="9"/>
      <c r="Q68" s="9"/>
      <c r="R68" s="8"/>
      <c r="S68" s="8"/>
      <c r="T68" s="8"/>
      <c r="U68" s="8"/>
      <c r="V68" s="8"/>
      <c r="W68" s="8"/>
      <c r="X68" s="9"/>
    </row>
    <row r="69" spans="1:30" x14ac:dyDescent="0.2">
      <c r="E69" s="3"/>
      <c r="F69" s="6"/>
      <c r="G69" s="6"/>
      <c r="H69" s="6"/>
      <c r="I69" s="6"/>
      <c r="J69" s="6"/>
      <c r="K69" s="6"/>
      <c r="L69" s="9"/>
      <c r="M69" s="9"/>
      <c r="N69" s="9"/>
      <c r="O69" s="9"/>
      <c r="P69" s="9"/>
      <c r="Q69" s="9"/>
      <c r="R69" s="8"/>
      <c r="S69" s="8"/>
      <c r="T69" s="8"/>
      <c r="U69" s="8"/>
      <c r="V69" s="8"/>
      <c r="W69" s="8"/>
      <c r="X69" s="9"/>
    </row>
    <row r="70" spans="1:30" x14ac:dyDescent="0.2">
      <c r="E70" s="3"/>
      <c r="F70" s="6"/>
      <c r="G70" s="6"/>
      <c r="H70" s="6"/>
      <c r="I70" s="6"/>
      <c r="J70" s="6"/>
      <c r="K70" s="6"/>
      <c r="L70" s="9"/>
      <c r="M70" s="9"/>
      <c r="N70" s="9"/>
      <c r="O70" s="9"/>
      <c r="P70" s="9"/>
      <c r="Q70" s="9"/>
      <c r="R70" s="8"/>
      <c r="S70" s="8"/>
      <c r="T70" s="8"/>
      <c r="U70" s="8"/>
      <c r="V70" s="8"/>
      <c r="W70" s="8"/>
      <c r="X70" s="9"/>
    </row>
    <row r="71" spans="1:30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8"/>
      <c r="S71" s="8"/>
      <c r="T71" s="8"/>
      <c r="U71" s="8"/>
      <c r="V71" s="8"/>
      <c r="W71" s="8"/>
      <c r="X71" s="9"/>
    </row>
    <row r="72" spans="1:30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8"/>
      <c r="S72" s="8"/>
      <c r="T72" s="8"/>
      <c r="U72" s="8"/>
      <c r="V72" s="8"/>
      <c r="W72" s="8"/>
      <c r="X72" s="9"/>
    </row>
    <row r="73" spans="1:30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8"/>
      <c r="S73" s="8"/>
      <c r="T73" s="8"/>
      <c r="U73" s="8"/>
      <c r="V73" s="8"/>
      <c r="W73" s="8"/>
      <c r="X73" s="9"/>
    </row>
    <row r="74" spans="1:30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8"/>
      <c r="S74" s="8"/>
      <c r="T74" s="8"/>
      <c r="U74" s="8"/>
      <c r="V74" s="8"/>
      <c r="W74" s="8"/>
      <c r="X74" s="9"/>
    </row>
    <row r="75" spans="1:30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8"/>
      <c r="S75" s="8"/>
      <c r="T75" s="8"/>
      <c r="U75" s="8"/>
      <c r="V75" s="8"/>
      <c r="W75" s="8"/>
      <c r="X75" s="9"/>
    </row>
    <row r="76" spans="1:30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8"/>
      <c r="S76" s="8"/>
      <c r="T76" s="8"/>
      <c r="U76" s="8"/>
      <c r="V76" s="8"/>
      <c r="W76" s="8"/>
      <c r="X76" s="9"/>
    </row>
    <row r="77" spans="1:30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8"/>
      <c r="S77" s="8"/>
      <c r="T77" s="8"/>
      <c r="U77" s="8"/>
      <c r="V77" s="8"/>
      <c r="W77" s="8"/>
      <c r="X77" s="9"/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8"/>
      <c r="S78" s="8"/>
      <c r="T78" s="8"/>
      <c r="U78" s="8"/>
      <c r="V78" s="8"/>
      <c r="W78" s="8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8"/>
      <c r="S79" s="8"/>
      <c r="T79" s="8"/>
      <c r="U79" s="8"/>
      <c r="V79" s="8"/>
      <c r="W79" s="8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8"/>
      <c r="S80" s="8"/>
      <c r="T80" s="8"/>
      <c r="U80" s="8"/>
      <c r="V80" s="8"/>
      <c r="W80" s="8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8"/>
      <c r="S81" s="8"/>
      <c r="T81" s="8"/>
      <c r="U81" s="8"/>
      <c r="V81" s="8"/>
      <c r="W81" s="8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8"/>
      <c r="S82" s="8"/>
      <c r="T82" s="8"/>
      <c r="U82" s="8"/>
      <c r="V82" s="8"/>
      <c r="W82" s="8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8"/>
      <c r="S83" s="8"/>
      <c r="T83" s="8"/>
      <c r="U83" s="8"/>
      <c r="V83" s="8"/>
      <c r="W83" s="8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8"/>
      <c r="S84" s="8"/>
      <c r="T84" s="8"/>
      <c r="U84" s="8"/>
      <c r="V84" s="8"/>
      <c r="W84" s="8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8"/>
      <c r="S85" s="8"/>
      <c r="T85" s="8"/>
      <c r="U85" s="8"/>
      <c r="V85" s="8"/>
      <c r="W85" s="8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8"/>
      <c r="S86" s="8"/>
      <c r="T86" s="8"/>
      <c r="U86" s="8"/>
      <c r="V86" s="8"/>
      <c r="W86" s="8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8"/>
      <c r="S87" s="8"/>
      <c r="T87" s="8"/>
      <c r="U87" s="8"/>
      <c r="V87" s="8"/>
      <c r="W87" s="8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8"/>
      <c r="S88" s="8"/>
      <c r="T88" s="8"/>
      <c r="U88" s="8"/>
      <c r="V88" s="8"/>
      <c r="W88" s="8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8"/>
      <c r="S89" s="8"/>
      <c r="T89" s="8"/>
      <c r="U89" s="8"/>
      <c r="V89" s="8"/>
      <c r="W89" s="8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8"/>
      <c r="S90" s="8"/>
      <c r="T90" s="8"/>
      <c r="U90" s="8"/>
      <c r="V90" s="8"/>
      <c r="W90" s="8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8"/>
      <c r="S91" s="8"/>
      <c r="T91" s="8"/>
      <c r="U91" s="8"/>
      <c r="V91" s="8"/>
      <c r="W91" s="8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8"/>
      <c r="S92" s="8"/>
      <c r="T92" s="8"/>
      <c r="U92" s="8"/>
      <c r="V92" s="8"/>
      <c r="W92" s="8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8"/>
      <c r="S93" s="8"/>
      <c r="T93" s="8"/>
      <c r="U93" s="8"/>
      <c r="V93" s="8"/>
      <c r="W93" s="8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8"/>
      <c r="S94" s="8"/>
      <c r="T94" s="8"/>
      <c r="U94" s="8"/>
      <c r="V94" s="8"/>
      <c r="W94" s="8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8"/>
      <c r="S95" s="8"/>
      <c r="T95" s="8"/>
      <c r="U95" s="8"/>
      <c r="V95" s="8"/>
      <c r="W95" s="8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8"/>
      <c r="S96" s="8"/>
      <c r="T96" s="8"/>
      <c r="U96" s="8"/>
      <c r="V96" s="8"/>
      <c r="W96" s="8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8"/>
      <c r="S97" s="8"/>
      <c r="T97" s="8"/>
      <c r="U97" s="8"/>
      <c r="V97" s="8"/>
      <c r="W97" s="8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8"/>
      <c r="S98" s="8"/>
      <c r="T98" s="8"/>
      <c r="U98" s="8"/>
      <c r="V98" s="8"/>
      <c r="W98" s="8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8"/>
      <c r="S99" s="8"/>
      <c r="T99" s="8"/>
      <c r="U99" s="8"/>
      <c r="V99" s="8"/>
      <c r="W99" s="8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8"/>
      <c r="S100" s="8"/>
      <c r="T100" s="8"/>
      <c r="U100" s="8"/>
      <c r="V100" s="8"/>
      <c r="W100" s="8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8"/>
      <c r="S101" s="8"/>
      <c r="T101" s="8"/>
      <c r="U101" s="8"/>
      <c r="V101" s="8"/>
      <c r="W101" s="8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8"/>
      <c r="S102" s="8"/>
      <c r="T102" s="8"/>
      <c r="U102" s="8"/>
      <c r="V102" s="8"/>
      <c r="W102" s="8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1:A2"/>
    <mergeCell ref="F1:K1"/>
    <mergeCell ref="R1:W1"/>
    <mergeCell ref="X1:X2"/>
    <mergeCell ref="E1:E2"/>
    <mergeCell ref="B1:B2"/>
    <mergeCell ref="L1:Q1"/>
    <mergeCell ref="Z1:Z2"/>
    <mergeCell ref="Y1:Y2"/>
    <mergeCell ref="AA1:AA2"/>
    <mergeCell ref="C1:C2"/>
    <mergeCell ref="D1:D2"/>
  </mergeCells>
  <conditionalFormatting sqref="A1:B1048576">
    <cfRule type="expression" dxfId="13" priority="3">
      <formula>IF(OR($C1="P",$D1="P"),1,0)</formula>
    </cfRule>
    <cfRule type="expression" dxfId="12" priority="4">
      <formula>IF(AND($E1&lt;&gt;"",$E1&lt;=14-COUNTIF($C$3:$C$102,"P")-COUNTIF($D$3:$D$102,"P")),1,0)</formula>
    </cfRule>
    <cfRule type="expression" dxfId="11" priority="5">
      <formula>IF(AND($E1&lt;&gt;"",$E1&lt;=16-COUNTIF($C$3:$C$102,"P")-COUNTIF($D$3:$D$102,"P")),1,0)</formula>
    </cfRule>
  </conditionalFormatting>
  <conditionalFormatting sqref="C3:AD65 C66:AA102">
    <cfRule type="expression" dxfId="10" priority="2">
      <formula>IF(AND($A3&lt;&gt;"",MOD(ROW(),2)=0),1,0)</formula>
    </cfRule>
    <cfRule type="expression" dxfId="9" priority="6">
      <formula>IF(AND($A3&lt;&gt;"",MOD(ROW(),2)=1),1,0)</formula>
    </cfRule>
  </conditionalFormatting>
  <conditionalFormatting sqref="K3:K102 E3:E102 W3:W102 Q3:Q102">
    <cfRule type="expression" dxfId="8" priority="1">
      <formula>IF($A3&lt;&gt;"",1,0)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J102"/>
  <sheetViews>
    <sheetView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9"/>
    <col min="28" max="30" width="0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113</v>
      </c>
      <c r="D1" s="17" t="s">
        <v>114</v>
      </c>
      <c r="E1" s="22" t="s">
        <v>61</v>
      </c>
      <c r="F1" s="19" t="s">
        <v>7</v>
      </c>
      <c r="G1" s="19"/>
      <c r="H1" s="19"/>
      <c r="I1" s="19"/>
      <c r="J1" s="19"/>
      <c r="K1" s="20"/>
      <c r="L1" s="21" t="s">
        <v>62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63</v>
      </c>
      <c r="Z1" s="23" t="s">
        <v>115</v>
      </c>
      <c r="AA1" s="17" t="s">
        <v>111</v>
      </c>
      <c r="AB1" s="17" t="s">
        <v>152</v>
      </c>
      <c r="AC1" s="17" t="s">
        <v>153</v>
      </c>
      <c r="AD1" s="17" t="s">
        <v>154</v>
      </c>
      <c r="AE1" s="16" t="s">
        <v>112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68</v>
      </c>
      <c r="B3" s="6" t="s">
        <v>20</v>
      </c>
      <c r="C3" s="5" t="s">
        <v>189</v>
      </c>
      <c r="E3" s="3" t="str">
        <f>IF(AA3="","",RANK(AA3,AA:AA))</f>
        <v/>
      </c>
      <c r="F3" s="6">
        <v>6</v>
      </c>
      <c r="G3" s="6">
        <v>2</v>
      </c>
      <c r="H3" s="6">
        <v>4</v>
      </c>
      <c r="I3" s="6">
        <v>3</v>
      </c>
      <c r="J3" s="6"/>
      <c r="K3" s="6"/>
      <c r="L3" s="9" t="str">
        <f>IF(OR($C3&lt;&gt;"",$D3&lt;&gt;"",F3=""),"",F3-SUMPRODUCT(--($C$3:$C$102="P"),--(F$3:F$102&lt;F3),--(F$3:F$102&lt;&gt;""))-SUMPRODUCT(--($D$3:$D$102="P"),--(F$3:F$102&lt;F3),--(F$3:F$102&lt;&gt;"")))</f>
        <v/>
      </c>
      <c r="M3" s="9" t="str">
        <f>IF(OR($C3&lt;&gt;"",$D3&lt;&gt;"",G3=""),"",G3-SUMPRODUCT(--($C$3:$C$102="P"),--(G$3:G$102&lt;G3),--(G$3:G$102&lt;&gt;""))-SUMPRODUCT(--($D$3:$D$102="P"),--(G$3:G$102&lt;G3),--(G$3:G$102&lt;&gt;"")))</f>
        <v/>
      </c>
      <c r="N3" s="9" t="str">
        <f>IF(OR($C3&lt;&gt;"",$D3&lt;&gt;"",H3=""),"",H3-SUMPRODUCT(--($C$3:$C$102="P"),--(H$3:H$102&lt;H3),--(H$3:H$102&lt;&gt;""))-SUMPRODUCT(--($D$3:$D$102="P"),--(H$3:H$102&lt;H3),--(H$3:H$102&lt;&gt;"")))</f>
        <v/>
      </c>
      <c r="O3" s="9" t="str">
        <f>IF(OR($C3&lt;&gt;"",$D3&lt;&gt;"",I3=""),"",I3-SUMPRODUCT(--($C$3:$C$102="P"),--(I$3:I$102&lt;I3),--(I$3:I$102&lt;&gt;""))-SUMPRODUCT(--($D$3:$D$102="P"),--(I$3:I$102&lt;I3),--(I$3:I$102&lt;&gt;"")))</f>
        <v/>
      </c>
      <c r="P3" s="9" t="str">
        <f>IF(OR($C3&lt;&gt;"",$D3&lt;&gt;"",J3=""),"",J3-SUMPRODUCT(--($C$3:$C$102="P"),--(J$3:J$102&lt;J3),--(J$3:J$102&lt;&gt;""))-SUMPRODUCT(--($D$3:$D$102="P"),--(J$3:J$102&lt;J3),--(J$3:J$102&lt;&gt;"")))</f>
        <v/>
      </c>
      <c r="Q3" s="9" t="str">
        <f>IF(OR($C3&lt;&gt;"",$D3&lt;&gt;"",K3=""),"",K3-SUMPRODUCT(--($C$3:$C$102="P"),--(K$3:K$102&lt;K3),--(K$3:K$102&lt;&gt;""))-SUMPRODUCT(--($D$3:$D$102="P"),--(K$3:K$102&lt;K3),--(K$3:K$102&lt;&gt;"")))</f>
        <v/>
      </c>
      <c r="R3" s="9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S3" s="9" t="str">
        <f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9" t="str">
        <f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9" t="str">
        <f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 t="str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/>
      </c>
      <c r="Y3" s="2" t="str">
        <f>IF(OR(X3="",X3=0),"",IF(SUMPRODUCT(--(B$3:B$102=B3),--(X$3:X$102&gt;X3),--(X$3:X$102&lt;&gt;"")),"","P"))</f>
        <v/>
      </c>
      <c r="Z3" s="2" t="str">
        <f>IF(X3="","",IF(SUMPRODUCT(--(C$3:C$102="P"),--(B$3:B$102=B3)),"P",""))</f>
        <v/>
      </c>
      <c r="AA3" s="15" t="str">
        <f>IF(AND(Y3&lt;&gt;"",OR(Z3="",SUMPRODUCT(--(X$3:X$102&gt;X3),--(Z$3:Z$102="P"),--(Y$3:Y$102="P"))&lt;4)),X3,"")</f>
        <v/>
      </c>
      <c r="AB3" s="9" t="str">
        <f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/>
      </c>
      <c r="AC3" s="9">
        <f>COUNTIF(L3:Q3,"&lt;=8")</f>
        <v>0</v>
      </c>
      <c r="AD3" s="9">
        <f>MIN(L3:Q3)</f>
        <v>0</v>
      </c>
    </row>
    <row r="4" spans="1:36" x14ac:dyDescent="0.2">
      <c r="A4" s="7" t="s">
        <v>79</v>
      </c>
      <c r="B4" s="6" t="s">
        <v>16</v>
      </c>
      <c r="C4" s="5" t="s">
        <v>189</v>
      </c>
      <c r="E4" s="3" t="str">
        <f>IF(AA4="","",RANK(AA4,AA:AA))</f>
        <v/>
      </c>
      <c r="F4" s="6">
        <v>13</v>
      </c>
      <c r="G4" s="6">
        <v>70</v>
      </c>
      <c r="H4" s="6">
        <v>1</v>
      </c>
      <c r="I4" s="6">
        <v>2</v>
      </c>
      <c r="J4" s="6"/>
      <c r="K4" s="6"/>
      <c r="L4" s="9" t="str">
        <f>IF(OR($C4&lt;&gt;"",$D4&lt;&gt;"",F4=""),"",F4-SUMPRODUCT(--($C$3:$C$102="P"),--(F$3:F$102&lt;F4),--(F$3:F$102&lt;&gt;""))-SUMPRODUCT(--($D$3:$D$102="P"),--(F$3:F$102&lt;F4),--(F$3:F$102&lt;&gt;"")))</f>
        <v/>
      </c>
      <c r="M4" s="9" t="str">
        <f>IF(OR($C4&lt;&gt;"",$D4&lt;&gt;"",G4=""),"",G4-SUMPRODUCT(--($C$3:$C$102="P"),--(G$3:G$102&lt;G4),--(G$3:G$102&lt;&gt;""))-SUMPRODUCT(--($D$3:$D$102="P"),--(G$3:G$102&lt;G4),--(G$3:G$102&lt;&gt;"")))</f>
        <v/>
      </c>
      <c r="N4" s="9" t="str">
        <f>IF(OR($C4&lt;&gt;"",$D4&lt;&gt;"",H4=""),"",H4-SUMPRODUCT(--($C$3:$C$102="P"),--(H$3:H$102&lt;H4),--(H$3:H$102&lt;&gt;""))-SUMPRODUCT(--($D$3:$D$102="P"),--(H$3:H$102&lt;H4),--(H$3:H$102&lt;&gt;"")))</f>
        <v/>
      </c>
      <c r="O4" s="9" t="str">
        <f>IF(OR($C4&lt;&gt;"",$D4&lt;&gt;"",I4=""),"",I4-SUMPRODUCT(--($C$3:$C$102="P"),--(I$3:I$102&lt;I4),--(I$3:I$102&lt;&gt;""))-SUMPRODUCT(--($D$3:$D$102="P"),--(I$3:I$102&lt;I4),--(I$3:I$102&lt;&gt;"")))</f>
        <v/>
      </c>
      <c r="P4" s="9" t="str">
        <f>IF(OR($C4&lt;&gt;"",$D4&lt;&gt;"",J4=""),"",J4-SUMPRODUCT(--($C$3:$C$102="P"),--(J$3:J$102&lt;J4),--(J$3:J$102&lt;&gt;""))-SUMPRODUCT(--($D$3:$D$102="P"),--(J$3:J$102&lt;J4),--(J$3:J$102&lt;&gt;"")))</f>
        <v/>
      </c>
      <c r="Q4" s="9" t="str">
        <f>IF(OR($C4&lt;&gt;"",$D4&lt;&gt;"",K4=""),"",K4-SUMPRODUCT(--($C$3:$C$102="P"),--(K$3:K$102&lt;K4),--(K$3:K$102&lt;&gt;""))-SUMPRODUCT(--($D$3:$D$102="P"),--(K$3:K$102&lt;K4),--(K$3:K$102&lt;&gt;"")))</f>
        <v/>
      </c>
      <c r="R4" s="9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S4" s="9" t="str">
        <f>IF(OR(M4="",M4&gt;30),"",IF(M4=1,60,IF(M4=2,55,IF(M4=3,50,IF(M4=4,44,IF(M4=5,38,IF(M4=6,32,IF(M4=7,28,IF(M4=8,25,IF(M4=9,22,IF(M4=10,21,IF(M4=11,20,IF(M4=12,19,IF(M4=13,18,IF(M4=14,17,IF(M4=15,16,IF(M4=16,15,IF(M4=17,14,IF(M4=18,13,IF(M4=19,12,IF(M4=20,11,IF(M4=21,10,IF(M4=22,9,IF(M4=23,8,IF(M4=24,7,IF(M4=25,6,IF(M4=26,5,IF(M4=27,4,IF(M4=28,3,IF(M4=29,2,IF(M4=30,1)))))))))))))))))))))))))))))))</f>
        <v/>
      </c>
      <c r="T4" s="9" t="str">
        <f>IF(OR(N4="",N4&gt;30),"",IF(N4=1,60,IF(N4=2,55,IF(N4=3,50,IF(N4=4,44,IF(N4=5,38,IF(N4=6,32,IF(N4=7,28,IF(N4=8,25,IF(N4=9,22,IF(N4=10,21,IF(N4=11,20,IF(N4=12,19,IF(N4=13,18,IF(N4=14,17,IF(N4=15,16,IF(N4=16,15,IF(N4=17,14,IF(N4=18,13,IF(N4=19,12,IF(N4=20,11,IF(N4=21,10,IF(N4=22,9,IF(N4=23,8,IF(N4=24,7,IF(N4=25,6,IF(N4=26,5,IF(N4=27,4,IF(N4=28,3,IF(N4=29,2,IF(N4=30,1)))))))))))))))))))))))))))))))</f>
        <v/>
      </c>
      <c r="U4" s="9" t="str">
        <f>IF(OR(O4="",O4&gt;30),"",IF(O4=1,60,IF(O4=2,55,IF(O4=3,50,IF(O4=4,44,IF(O4=5,38,IF(O4=6,32,IF(O4=7,28,IF(O4=8,25,IF(O4=9,22,IF(O4=10,21,IF(O4=11,20,IF(O4=12,19,IF(O4=13,18,IF(O4=14,17,IF(O4=15,16,IF(O4=16,15,IF(O4=17,14,IF(O4=18,13,IF(O4=19,12,IF(O4=20,11,IF(O4=21,10,IF(O4=22,9,IF(O4=23,8,IF(O4=24,7,IF(O4=25,6,IF(O4=26,5,IF(O4=27,4,IF(O4=28,3,IF(O4=29,2,IF(O4=30,1)))))))))))))))))))))))))))))))</f>
        <v/>
      </c>
      <c r="V4" s="9" t="str">
        <f>IF(OR(P4="",P4&gt;30),"",IF(P4=1,60,IF(P4=2,55,IF(P4=3,50,IF(P4=4,44,IF(P4=5,38,IF(P4=6,32,IF(P4=7,28,IF(P4=8,25,IF(P4=9,22,IF(P4=10,21,IF(P4=11,20,IF(P4=12,19,IF(P4=13,18,IF(P4=14,17,IF(P4=15,16,IF(P4=16,15,IF(P4=17,14,IF(P4=18,13,IF(P4=19,12,IF(P4=20,11,IF(P4=21,10,IF(P4=22,9,IF(P4=23,8,IF(P4=24,7,IF(P4=25,6,IF(P4=26,5,IF(P4=27,4,IF(P4=28,3,IF(P4=29,2,IF(P4=30,1)))))))))))))))))))))))))))))))</f>
        <v/>
      </c>
      <c r="W4" s="9" t="str">
        <f>IF(OR(Q4="",Q4&gt;30),"",IF(Q4=1,60,IF(Q4=2,55,IF(Q4=3,50,IF(Q4=4,44,IF(Q4=5,38,IF(Q4=6,32,IF(Q4=7,28,IF(Q4=8,25,IF(Q4=9,22,IF(Q4=10,21,IF(Q4=11,20,IF(Q4=12,19,IF(Q4=13,18,IF(Q4=14,17,IF(Q4=15,16,IF(Q4=16,15,IF(Q4=17,14,IF(Q4=18,13,IF(Q4=19,12,IF(Q4=20,11,IF(Q4=21,10,IF(Q4=22,9,IF(Q4=23,8,IF(Q4=24,7,IF(Q4=25,6,IF(Q4=26,5,IF(Q4=27,4,IF(Q4=28,3,IF(Q4=29,2,IF(Q4=30,1)))))))))))))))))))))))))))))))</f>
        <v/>
      </c>
      <c r="X4" s="15" t="str">
        <f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/>
      </c>
      <c r="Y4" s="2" t="str">
        <f>IF(OR(X4="",X4=0),"",IF(SUMPRODUCT(--(B$3:B$102=B4),--(X$3:X$102&gt;X4),--(X$3:X$102&lt;&gt;"")),"","P"))</f>
        <v/>
      </c>
      <c r="Z4" s="2" t="str">
        <f>IF(X4="","",IF(SUMPRODUCT(--(C$3:C$102="P"),--(B$3:B$102=B4)),"P",""))</f>
        <v/>
      </c>
      <c r="AA4" s="15" t="str">
        <f>IF(AND(Y4&lt;&gt;"",OR(Z4="",SUMPRODUCT(--(X$3:X$102&gt;X4),--(Z$3:Z$102="P"),--(Y$3:Y$102="P"))&lt;4)),X4,"")</f>
        <v/>
      </c>
      <c r="AB4" s="9" t="str">
        <f>IF(A4="","",IF(OR(C4="P",D4="P"),"",IF(IF(COUNT(L4:Q4)&lt;5,SUM(L4:Q4),IF(COUNT(L4:Q4)=5,SUM(L4:Q4)-MIN(L4:Q4),SUM(L4:Q4)-MIN(L4:Q4)-SMALL(L4:Q4,2)))&gt;0,IF(COUNT(L4:Q4)&lt;5,SUM(L4:Q4),IF(COUNT(L4:Q4)=5,SUM(L4:Q4)-MIN(L4:Q4),SUM(L4:Q4)-MIN(L4:Q4)-SMALL(L4:Q4,2))),0)))</f>
        <v/>
      </c>
      <c r="AC4" s="9">
        <f>COUNTIF(L4:Q4,"&lt;=8")</f>
        <v>0</v>
      </c>
      <c r="AD4" s="9">
        <f>MIN(L4:Q4)</f>
        <v>0</v>
      </c>
    </row>
    <row r="5" spans="1:36" x14ac:dyDescent="0.2">
      <c r="A5" s="7" t="s">
        <v>116</v>
      </c>
      <c r="B5" s="6" t="s">
        <v>18</v>
      </c>
      <c r="C5" s="5" t="s">
        <v>189</v>
      </c>
      <c r="E5" s="3" t="str">
        <f>IF(AA5="","",RANK(AA5,AA:AA))</f>
        <v/>
      </c>
      <c r="F5" s="6">
        <v>66</v>
      </c>
      <c r="G5" s="6">
        <v>6</v>
      </c>
      <c r="H5" s="6">
        <v>65</v>
      </c>
      <c r="I5" s="6">
        <v>19</v>
      </c>
      <c r="J5" s="6"/>
      <c r="K5" s="6"/>
      <c r="L5" s="9" t="str">
        <f>IF(OR($C5&lt;&gt;"",$D5&lt;&gt;"",F5=""),"",F5-SUMPRODUCT(--($C$3:$C$102="P"),--(F$3:F$102&lt;F5),--(F$3:F$102&lt;&gt;""))-SUMPRODUCT(--($D$3:$D$102="P"),--(F$3:F$102&lt;F5),--(F$3:F$102&lt;&gt;"")))</f>
        <v/>
      </c>
      <c r="M5" s="9" t="str">
        <f>IF(OR($C5&lt;&gt;"",$D5&lt;&gt;"",G5=""),"",G5-SUMPRODUCT(--($C$3:$C$102="P"),--(G$3:G$102&lt;G5),--(G$3:G$102&lt;&gt;""))-SUMPRODUCT(--($D$3:$D$102="P"),--(G$3:G$102&lt;G5),--(G$3:G$102&lt;&gt;"")))</f>
        <v/>
      </c>
      <c r="N5" s="9" t="str">
        <f>IF(OR($C5&lt;&gt;"",$D5&lt;&gt;"",H5=""),"",H5-SUMPRODUCT(--($C$3:$C$102="P"),--(H$3:H$102&lt;H5),--(H$3:H$102&lt;&gt;""))-SUMPRODUCT(--($D$3:$D$102="P"),--(H$3:H$102&lt;H5),--(H$3:H$102&lt;&gt;"")))</f>
        <v/>
      </c>
      <c r="O5" s="9" t="str">
        <f>IF(OR($C5&lt;&gt;"",$D5&lt;&gt;"",I5=""),"",I5-SUMPRODUCT(--($C$3:$C$102="P"),--(I$3:I$102&lt;I5),--(I$3:I$102&lt;&gt;""))-SUMPRODUCT(--($D$3:$D$102="P"),--(I$3:I$102&lt;I5),--(I$3:I$102&lt;&gt;"")))</f>
        <v/>
      </c>
      <c r="P5" s="9" t="str">
        <f>IF(OR($C5&lt;&gt;"",$D5&lt;&gt;"",J5=""),"",J5-SUMPRODUCT(--($C$3:$C$102="P"),--(J$3:J$102&lt;J5),--(J$3:J$102&lt;&gt;""))-SUMPRODUCT(--($D$3:$D$102="P"),--(J$3:J$102&lt;J5),--(J$3:J$102&lt;&gt;"")))</f>
        <v/>
      </c>
      <c r="Q5" s="9" t="str">
        <f>IF(OR($C5&lt;&gt;"",$D5&lt;&gt;"",K5=""),"",K5-SUMPRODUCT(--($C$3:$C$102="P"),--(K$3:K$102&lt;K5),--(K$3:K$102&lt;&gt;""))-SUMPRODUCT(--($D$3:$D$102="P"),--(K$3:K$102&lt;K5),--(K$3:K$102&lt;&gt;"")))</f>
        <v/>
      </c>
      <c r="R5" s="9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S5" s="9" t="str">
        <f>IF(OR(M5="",M5&gt;30),"",IF(M5=1,60,IF(M5=2,55,IF(M5=3,50,IF(M5=4,44,IF(M5=5,38,IF(M5=6,32,IF(M5=7,28,IF(M5=8,25,IF(M5=9,22,IF(M5=10,21,IF(M5=11,20,IF(M5=12,19,IF(M5=13,18,IF(M5=14,17,IF(M5=15,16,IF(M5=16,15,IF(M5=17,14,IF(M5=18,13,IF(M5=19,12,IF(M5=20,11,IF(M5=21,10,IF(M5=22,9,IF(M5=23,8,IF(M5=24,7,IF(M5=25,6,IF(M5=26,5,IF(M5=27,4,IF(M5=28,3,IF(M5=29,2,IF(M5=30,1)))))))))))))))))))))))))))))))</f>
        <v/>
      </c>
      <c r="T5" s="9" t="str">
        <f>IF(OR(N5="",N5&gt;30),"",IF(N5=1,60,IF(N5=2,55,IF(N5=3,50,IF(N5=4,44,IF(N5=5,38,IF(N5=6,32,IF(N5=7,28,IF(N5=8,25,IF(N5=9,22,IF(N5=10,21,IF(N5=11,20,IF(N5=12,19,IF(N5=13,18,IF(N5=14,17,IF(N5=15,16,IF(N5=16,15,IF(N5=17,14,IF(N5=18,13,IF(N5=19,12,IF(N5=20,11,IF(N5=21,10,IF(N5=22,9,IF(N5=23,8,IF(N5=24,7,IF(N5=25,6,IF(N5=26,5,IF(N5=27,4,IF(N5=28,3,IF(N5=29,2,IF(N5=30,1)))))))))))))))))))))))))))))))</f>
        <v/>
      </c>
      <c r="U5" s="9" t="str">
        <f>IF(OR(O5="",O5&gt;30),"",IF(O5=1,60,IF(O5=2,55,IF(O5=3,50,IF(O5=4,44,IF(O5=5,38,IF(O5=6,32,IF(O5=7,28,IF(O5=8,25,IF(O5=9,22,IF(O5=10,21,IF(O5=11,20,IF(O5=12,19,IF(O5=13,18,IF(O5=14,17,IF(O5=15,16,IF(O5=16,15,IF(O5=17,14,IF(O5=18,13,IF(O5=19,12,IF(O5=20,11,IF(O5=21,10,IF(O5=22,9,IF(O5=23,8,IF(O5=24,7,IF(O5=25,6,IF(O5=26,5,IF(O5=27,4,IF(O5=28,3,IF(O5=29,2,IF(O5=30,1)))))))))))))))))))))))))))))))</f>
        <v/>
      </c>
      <c r="V5" s="9" t="str">
        <f>IF(OR(P5="",P5&gt;30),"",IF(P5=1,60,IF(P5=2,55,IF(P5=3,50,IF(P5=4,44,IF(P5=5,38,IF(P5=6,32,IF(P5=7,28,IF(P5=8,25,IF(P5=9,22,IF(P5=10,21,IF(P5=11,20,IF(P5=12,19,IF(P5=13,18,IF(P5=14,17,IF(P5=15,16,IF(P5=16,15,IF(P5=17,14,IF(P5=18,13,IF(P5=19,12,IF(P5=20,11,IF(P5=21,10,IF(P5=22,9,IF(P5=23,8,IF(P5=24,7,IF(P5=25,6,IF(P5=26,5,IF(P5=27,4,IF(P5=28,3,IF(P5=29,2,IF(P5=30,1)))))))))))))))))))))))))))))))</f>
        <v/>
      </c>
      <c r="W5" s="9" t="str">
        <f>IF(OR(Q5="",Q5&gt;30),"",IF(Q5=1,60,IF(Q5=2,55,IF(Q5=3,50,IF(Q5=4,44,IF(Q5=5,38,IF(Q5=6,32,IF(Q5=7,28,IF(Q5=8,25,IF(Q5=9,22,IF(Q5=10,21,IF(Q5=11,20,IF(Q5=12,19,IF(Q5=13,18,IF(Q5=14,17,IF(Q5=15,16,IF(Q5=16,15,IF(Q5=17,14,IF(Q5=18,13,IF(Q5=19,12,IF(Q5=20,11,IF(Q5=21,10,IF(Q5=22,9,IF(Q5=23,8,IF(Q5=24,7,IF(Q5=25,6,IF(Q5=26,5,IF(Q5=27,4,IF(Q5=28,3,IF(Q5=29,2,IF(Q5=30,1)))))))))))))))))))))))))))))))</f>
        <v/>
      </c>
      <c r="X5" s="15" t="str">
        <f>IF(A5="","",IF(OR(C5="P",D5="P"),"",IF(IF(COUNT(R5:W5)&lt;5,SUM(R5:W5),IF(COUNT(R5:W5)=5,SUM(R5:W5)-MIN(R5:W5),SUM(R5:W5)-MIN(R5:W5)-SMALL(R5:W5,2)))&gt;0,IF(COUNT(R5:W5)&lt;5,SUM(R5:W5)+(1000-AB5)*10^-4+AC5*10^-5+(1000-AD5)*10^-8,IF(COUNT(R5:W5)=5,SUM(R5:W5)-MIN(R5:W5)+(1000-AB5)*10^-4+AC5*10^-5+(1000-AD5)*10^-8,SUM(R5:W5)-MIN(R5:W5)-SMALL(R5:W5,2)+(1000-AB5)*10^-4+AC5*10^-5+(1000-AD5)*10^-8)),0)))</f>
        <v/>
      </c>
      <c r="Y5" s="2" t="str">
        <f>IF(OR(X5="",X5=0),"",IF(SUMPRODUCT(--(B$3:B$102=B5),--(X$3:X$102&gt;X5),--(X$3:X$102&lt;&gt;"")),"","P"))</f>
        <v/>
      </c>
      <c r="Z5" s="2" t="str">
        <f>IF(X5="","",IF(SUMPRODUCT(--(C$3:C$102="P"),--(B$3:B$102=B5)),"P",""))</f>
        <v/>
      </c>
      <c r="AA5" s="15" t="str">
        <f>IF(AND(Y5&lt;&gt;"",OR(Z5="",SUMPRODUCT(--(X$3:X$102&gt;X5),--(Z$3:Z$102="P"),--(Y$3:Y$102="P"))&lt;4)),X5,"")</f>
        <v/>
      </c>
      <c r="AB5" s="9" t="str">
        <f>IF(A5="","",IF(OR(C5="P",D5="P"),"",IF(IF(COUNT(L5:Q5)&lt;5,SUM(L5:Q5),IF(COUNT(L5:Q5)=5,SUM(L5:Q5)-MIN(L5:Q5),SUM(L5:Q5)-MIN(L5:Q5)-SMALL(L5:Q5,2)))&gt;0,IF(COUNT(L5:Q5)&lt;5,SUM(L5:Q5),IF(COUNT(L5:Q5)=5,SUM(L5:Q5)-MIN(L5:Q5),SUM(L5:Q5)-MIN(L5:Q5)-SMALL(L5:Q5,2))),0)))</f>
        <v/>
      </c>
      <c r="AC5" s="9">
        <f>COUNTIF(L5:Q5,"&lt;=8")</f>
        <v>0</v>
      </c>
      <c r="AD5" s="9">
        <f>MIN(L5:Q5)</f>
        <v>0</v>
      </c>
    </row>
    <row r="6" spans="1:36" x14ac:dyDescent="0.2">
      <c r="A6" s="7" t="s">
        <v>86</v>
      </c>
      <c r="B6" s="6" t="s">
        <v>22</v>
      </c>
      <c r="C6" s="5" t="s">
        <v>189</v>
      </c>
      <c r="E6" s="3" t="str">
        <f>IF(AA6="","",RANK(AA6,AA:AA))</f>
        <v/>
      </c>
      <c r="F6" s="6">
        <v>19</v>
      </c>
      <c r="G6" s="6"/>
      <c r="H6" s="6">
        <v>15</v>
      </c>
      <c r="I6" s="6">
        <v>17</v>
      </c>
      <c r="J6" s="6"/>
      <c r="K6" s="6"/>
      <c r="L6" s="9" t="str">
        <f>IF(OR($C6&lt;&gt;"",$D6&lt;&gt;"",F6=""),"",F6-SUMPRODUCT(--($C$3:$C$102="P"),--(F$3:F$102&lt;F6),--(F$3:F$102&lt;&gt;""))-SUMPRODUCT(--($D$3:$D$102="P"),--(F$3:F$102&lt;F6),--(F$3:F$102&lt;&gt;"")))</f>
        <v/>
      </c>
      <c r="M6" s="9" t="str">
        <f>IF(OR($C6&lt;&gt;"",$D6&lt;&gt;"",G6=""),"",G6-SUMPRODUCT(--($C$3:$C$102="P"),--(G$3:G$102&lt;G6),--(G$3:G$102&lt;&gt;""))-SUMPRODUCT(--($D$3:$D$102="P"),--(G$3:G$102&lt;G6),--(G$3:G$102&lt;&gt;"")))</f>
        <v/>
      </c>
      <c r="N6" s="9" t="str">
        <f>IF(OR($C6&lt;&gt;"",$D6&lt;&gt;"",H6=""),"",H6-SUMPRODUCT(--($C$3:$C$102="P"),--(H$3:H$102&lt;H6),--(H$3:H$102&lt;&gt;""))-SUMPRODUCT(--($D$3:$D$102="P"),--(H$3:H$102&lt;H6),--(H$3:H$102&lt;&gt;"")))</f>
        <v/>
      </c>
      <c r="O6" s="9" t="str">
        <f>IF(OR($C6&lt;&gt;"",$D6&lt;&gt;"",I6=""),"",I6-SUMPRODUCT(--($C$3:$C$102="P"),--(I$3:I$102&lt;I6),--(I$3:I$102&lt;&gt;""))-SUMPRODUCT(--($D$3:$D$102="P"),--(I$3:I$102&lt;I6),--(I$3:I$102&lt;&gt;"")))</f>
        <v/>
      </c>
      <c r="P6" s="9" t="str">
        <f>IF(OR($C6&lt;&gt;"",$D6&lt;&gt;"",J6=""),"",J6-SUMPRODUCT(--($C$3:$C$102="P"),--(J$3:J$102&lt;J6),--(J$3:J$102&lt;&gt;""))-SUMPRODUCT(--($D$3:$D$102="P"),--(J$3:J$102&lt;J6),--(J$3:J$102&lt;&gt;"")))</f>
        <v/>
      </c>
      <c r="Q6" s="9" t="str">
        <f>IF(OR($C6&lt;&gt;"",$D6&lt;&gt;"",K6=""),"",K6-SUMPRODUCT(--($C$3:$C$102="P"),--(K$3:K$102&lt;K6),--(K$3:K$102&lt;&gt;""))-SUMPRODUCT(--($D$3:$D$102="P"),--(K$3:K$102&lt;K6),--(K$3:K$102&lt;&gt;"")))</f>
        <v/>
      </c>
      <c r="R6" s="9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S6" s="9" t="str">
        <f>IF(OR(M6="",M6&gt;30),"",IF(M6=1,60,IF(M6=2,55,IF(M6=3,50,IF(M6=4,44,IF(M6=5,38,IF(M6=6,32,IF(M6=7,28,IF(M6=8,25,IF(M6=9,22,IF(M6=10,21,IF(M6=11,20,IF(M6=12,19,IF(M6=13,18,IF(M6=14,17,IF(M6=15,16,IF(M6=16,15,IF(M6=17,14,IF(M6=18,13,IF(M6=19,12,IF(M6=20,11,IF(M6=21,10,IF(M6=22,9,IF(M6=23,8,IF(M6=24,7,IF(M6=25,6,IF(M6=26,5,IF(M6=27,4,IF(M6=28,3,IF(M6=29,2,IF(M6=30,1)))))))))))))))))))))))))))))))</f>
        <v/>
      </c>
      <c r="T6" s="9" t="str">
        <f>IF(OR(N6="",N6&gt;30),"",IF(N6=1,60,IF(N6=2,55,IF(N6=3,50,IF(N6=4,44,IF(N6=5,38,IF(N6=6,32,IF(N6=7,28,IF(N6=8,25,IF(N6=9,22,IF(N6=10,21,IF(N6=11,20,IF(N6=12,19,IF(N6=13,18,IF(N6=14,17,IF(N6=15,16,IF(N6=16,15,IF(N6=17,14,IF(N6=18,13,IF(N6=19,12,IF(N6=20,11,IF(N6=21,10,IF(N6=22,9,IF(N6=23,8,IF(N6=24,7,IF(N6=25,6,IF(N6=26,5,IF(N6=27,4,IF(N6=28,3,IF(N6=29,2,IF(N6=30,1)))))))))))))))))))))))))))))))</f>
        <v/>
      </c>
      <c r="U6" s="9" t="str">
        <f>IF(OR(O6="",O6&gt;30),"",IF(O6=1,60,IF(O6=2,55,IF(O6=3,50,IF(O6=4,44,IF(O6=5,38,IF(O6=6,32,IF(O6=7,28,IF(O6=8,25,IF(O6=9,22,IF(O6=10,21,IF(O6=11,20,IF(O6=12,19,IF(O6=13,18,IF(O6=14,17,IF(O6=15,16,IF(O6=16,15,IF(O6=17,14,IF(O6=18,13,IF(O6=19,12,IF(O6=20,11,IF(O6=21,10,IF(O6=22,9,IF(O6=23,8,IF(O6=24,7,IF(O6=25,6,IF(O6=26,5,IF(O6=27,4,IF(O6=28,3,IF(O6=29,2,IF(O6=30,1)))))))))))))))))))))))))))))))</f>
        <v/>
      </c>
      <c r="V6" s="9" t="str">
        <f>IF(OR(P6="",P6&gt;30),"",IF(P6=1,60,IF(P6=2,55,IF(P6=3,50,IF(P6=4,44,IF(P6=5,38,IF(P6=6,32,IF(P6=7,28,IF(P6=8,25,IF(P6=9,22,IF(P6=10,21,IF(P6=11,20,IF(P6=12,19,IF(P6=13,18,IF(P6=14,17,IF(P6=15,16,IF(P6=16,15,IF(P6=17,14,IF(P6=18,13,IF(P6=19,12,IF(P6=20,11,IF(P6=21,10,IF(P6=22,9,IF(P6=23,8,IF(P6=24,7,IF(P6=25,6,IF(P6=26,5,IF(P6=27,4,IF(P6=28,3,IF(P6=29,2,IF(P6=30,1)))))))))))))))))))))))))))))))</f>
        <v/>
      </c>
      <c r="W6" s="9" t="str">
        <f>IF(OR(Q6="",Q6&gt;30),"",IF(Q6=1,60,IF(Q6=2,55,IF(Q6=3,50,IF(Q6=4,44,IF(Q6=5,38,IF(Q6=6,32,IF(Q6=7,28,IF(Q6=8,25,IF(Q6=9,22,IF(Q6=10,21,IF(Q6=11,20,IF(Q6=12,19,IF(Q6=13,18,IF(Q6=14,17,IF(Q6=15,16,IF(Q6=16,15,IF(Q6=17,14,IF(Q6=18,13,IF(Q6=19,12,IF(Q6=20,11,IF(Q6=21,10,IF(Q6=22,9,IF(Q6=23,8,IF(Q6=24,7,IF(Q6=25,6,IF(Q6=26,5,IF(Q6=27,4,IF(Q6=28,3,IF(Q6=29,2,IF(Q6=30,1)))))))))))))))))))))))))))))))</f>
        <v/>
      </c>
      <c r="X6" s="15" t="str">
        <f>IF(A6="","",IF(OR(C6="P",D6="P"),"",IF(IF(COUNT(R6:W6)&lt;5,SUM(R6:W6),IF(COUNT(R6:W6)=5,SUM(R6:W6)-MIN(R6:W6),SUM(R6:W6)-MIN(R6:W6)-SMALL(R6:W6,2)))&gt;0,IF(COUNT(R6:W6)&lt;5,SUM(R6:W6)+(1000-AB6)*10^-4+AC6*10^-5+(1000-AD6)*10^-8,IF(COUNT(R6:W6)=5,SUM(R6:W6)-MIN(R6:W6)+(1000-AB6)*10^-4+AC6*10^-5+(1000-AD6)*10^-8,SUM(R6:W6)-MIN(R6:W6)-SMALL(R6:W6,2)+(1000-AB6)*10^-4+AC6*10^-5+(1000-AD6)*10^-8)),0)))</f>
        <v/>
      </c>
      <c r="Y6" s="2" t="str">
        <f>IF(OR(X6="",X6=0),"",IF(SUMPRODUCT(--(B$3:B$102=B6),--(X$3:X$102&gt;X6),--(X$3:X$102&lt;&gt;"")),"","P"))</f>
        <v/>
      </c>
      <c r="Z6" s="2" t="str">
        <f>IF(X6="","",IF(SUMPRODUCT(--(C$3:C$102="P"),--(B$3:B$102=B6)),"P",""))</f>
        <v/>
      </c>
      <c r="AA6" s="15" t="str">
        <f>IF(AND(Y6&lt;&gt;"",OR(Z6="",SUMPRODUCT(--(X$3:X$102&gt;X6),--(Z$3:Z$102="P"),--(Y$3:Y$102="P"))&lt;4)),X6,"")</f>
        <v/>
      </c>
      <c r="AB6" s="9" t="str">
        <f>IF(A6="","",IF(OR(C6="P",D6="P"),"",IF(IF(COUNT(L6:Q6)&lt;5,SUM(L6:Q6),IF(COUNT(L6:Q6)=5,SUM(L6:Q6)-MIN(L6:Q6),SUM(L6:Q6)-MIN(L6:Q6)-SMALL(L6:Q6,2)))&gt;0,IF(COUNT(L6:Q6)&lt;5,SUM(L6:Q6),IF(COUNT(L6:Q6)=5,SUM(L6:Q6)-MIN(L6:Q6),SUM(L6:Q6)-MIN(L6:Q6)-SMALL(L6:Q6,2))),0)))</f>
        <v/>
      </c>
      <c r="AC6" s="9">
        <f>COUNTIF(L6:Q6,"&lt;=8")</f>
        <v>0</v>
      </c>
      <c r="AD6" s="9">
        <f>MIN(L6:Q6)</f>
        <v>0</v>
      </c>
    </row>
    <row r="7" spans="1:36" x14ac:dyDescent="0.2">
      <c r="A7" s="7" t="s">
        <v>168</v>
      </c>
      <c r="B7" s="6" t="s">
        <v>19</v>
      </c>
      <c r="C7" s="5" t="s">
        <v>189</v>
      </c>
      <c r="E7" s="3"/>
      <c r="F7" s="6">
        <v>61</v>
      </c>
      <c r="G7" s="6">
        <v>74</v>
      </c>
      <c r="H7" s="6">
        <v>16</v>
      </c>
      <c r="I7" s="6">
        <v>10</v>
      </c>
      <c r="J7" s="6"/>
      <c r="K7" s="6"/>
      <c r="L7" s="9" t="str">
        <f>IF(OR($C7&lt;&gt;"",$D7&lt;&gt;"",F7=""),"",F7-SUMPRODUCT(--($C$3:$C$102="P"),--(F$3:F$102&lt;F7),--(F$3:F$102&lt;&gt;""))-SUMPRODUCT(--($D$3:$D$102="P"),--(F$3:F$102&lt;F7),--(F$3:F$102&lt;&gt;"")))</f>
        <v/>
      </c>
      <c r="M7" s="9" t="str">
        <f>IF(OR($C7&lt;&gt;"",$D7&lt;&gt;"",G7=""),"",G7-SUMPRODUCT(--($C$3:$C$102="P"),--(G$3:G$102&lt;G7),--(G$3:G$102&lt;&gt;""))-SUMPRODUCT(--($D$3:$D$102="P"),--(G$3:G$102&lt;G7),--(G$3:G$102&lt;&gt;"")))</f>
        <v/>
      </c>
      <c r="N7" s="9" t="str">
        <f>IF(OR($C7&lt;&gt;"",$D7&lt;&gt;"",H7=""),"",H7-SUMPRODUCT(--($C$3:$C$102="P"),--(H$3:H$102&lt;H7),--(H$3:H$102&lt;&gt;""))-SUMPRODUCT(--($D$3:$D$102="P"),--(H$3:H$102&lt;H7),--(H$3:H$102&lt;&gt;"")))</f>
        <v/>
      </c>
      <c r="O7" s="9" t="str">
        <f>IF(OR($C7&lt;&gt;"",$D7&lt;&gt;"",I7=""),"",I7-SUMPRODUCT(--($C$3:$C$102="P"),--(I$3:I$102&lt;I7),--(I$3:I$102&lt;&gt;""))-SUMPRODUCT(--($D$3:$D$102="P"),--(I$3:I$102&lt;I7),--(I$3:I$102&lt;&gt;"")))</f>
        <v/>
      </c>
      <c r="P7" s="9" t="str">
        <f>IF(OR($C7&lt;&gt;"",$D7&lt;&gt;"",J7=""),"",J7-SUMPRODUCT(--($C$3:$C$102="P"),--(J$3:J$102&lt;J7),--(J$3:J$102&lt;&gt;""))-SUMPRODUCT(--($D$3:$D$102="P"),--(J$3:J$102&lt;J7),--(J$3:J$102&lt;&gt;"")))</f>
        <v/>
      </c>
      <c r="Q7" s="9" t="str">
        <f>IF(OR($C7&lt;&gt;"",$D7&lt;&gt;"",K7=""),"",K7-SUMPRODUCT(--($C$3:$C$102="P"),--(K$3:K$102&lt;K7),--(K$3:K$102&lt;&gt;""))-SUMPRODUCT(--($D$3:$D$102="P"),--(K$3:K$102&lt;K7),--(K$3:K$102&lt;&gt;"")))</f>
        <v/>
      </c>
      <c r="R7" s="9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S7" s="9" t="str">
        <f>IF(OR(M7="",M7&gt;30),"",IF(M7=1,60,IF(M7=2,55,IF(M7=3,50,IF(M7=4,44,IF(M7=5,38,IF(M7=6,32,IF(M7=7,28,IF(M7=8,25,IF(M7=9,22,IF(M7=10,21,IF(M7=11,20,IF(M7=12,19,IF(M7=13,18,IF(M7=14,17,IF(M7=15,16,IF(M7=16,15,IF(M7=17,14,IF(M7=18,13,IF(M7=19,12,IF(M7=20,11,IF(M7=21,10,IF(M7=22,9,IF(M7=23,8,IF(M7=24,7,IF(M7=25,6,IF(M7=26,5,IF(M7=27,4,IF(M7=28,3,IF(M7=29,2,IF(M7=30,1)))))))))))))))))))))))))))))))</f>
        <v/>
      </c>
      <c r="T7" s="9" t="str">
        <f>IF(OR(N7="",N7&gt;30),"",IF(N7=1,60,IF(N7=2,55,IF(N7=3,50,IF(N7=4,44,IF(N7=5,38,IF(N7=6,32,IF(N7=7,28,IF(N7=8,25,IF(N7=9,22,IF(N7=10,21,IF(N7=11,20,IF(N7=12,19,IF(N7=13,18,IF(N7=14,17,IF(N7=15,16,IF(N7=16,15,IF(N7=17,14,IF(N7=18,13,IF(N7=19,12,IF(N7=20,11,IF(N7=21,10,IF(N7=22,9,IF(N7=23,8,IF(N7=24,7,IF(N7=25,6,IF(N7=26,5,IF(N7=27,4,IF(N7=28,3,IF(N7=29,2,IF(N7=30,1)))))))))))))))))))))))))))))))</f>
        <v/>
      </c>
      <c r="U7" s="9" t="str">
        <f>IF(OR(O7="",O7&gt;30),"",IF(O7=1,60,IF(O7=2,55,IF(O7=3,50,IF(O7=4,44,IF(O7=5,38,IF(O7=6,32,IF(O7=7,28,IF(O7=8,25,IF(O7=9,22,IF(O7=10,21,IF(O7=11,20,IF(O7=12,19,IF(O7=13,18,IF(O7=14,17,IF(O7=15,16,IF(O7=16,15,IF(O7=17,14,IF(O7=18,13,IF(O7=19,12,IF(O7=20,11,IF(O7=21,10,IF(O7=22,9,IF(O7=23,8,IF(O7=24,7,IF(O7=25,6,IF(O7=26,5,IF(O7=27,4,IF(O7=28,3,IF(O7=29,2,IF(O7=30,1)))))))))))))))))))))))))))))))</f>
        <v/>
      </c>
      <c r="V7" s="9" t="str">
        <f>IF(OR(P7="",P7&gt;30),"",IF(P7=1,60,IF(P7=2,55,IF(P7=3,50,IF(P7=4,44,IF(P7=5,38,IF(P7=6,32,IF(P7=7,28,IF(P7=8,25,IF(P7=9,22,IF(P7=10,21,IF(P7=11,20,IF(P7=12,19,IF(P7=13,18,IF(P7=14,17,IF(P7=15,16,IF(P7=16,15,IF(P7=17,14,IF(P7=18,13,IF(P7=19,12,IF(P7=20,11,IF(P7=21,10,IF(P7=22,9,IF(P7=23,8,IF(P7=24,7,IF(P7=25,6,IF(P7=26,5,IF(P7=27,4,IF(P7=28,3,IF(P7=29,2,IF(P7=30,1)))))))))))))))))))))))))))))))</f>
        <v/>
      </c>
      <c r="W7" s="9" t="str">
        <f>IF(OR(Q7="",Q7&gt;30),"",IF(Q7=1,60,IF(Q7=2,55,IF(Q7=3,50,IF(Q7=4,44,IF(Q7=5,38,IF(Q7=6,32,IF(Q7=7,28,IF(Q7=8,25,IF(Q7=9,22,IF(Q7=10,21,IF(Q7=11,20,IF(Q7=12,19,IF(Q7=13,18,IF(Q7=14,17,IF(Q7=15,16,IF(Q7=16,15,IF(Q7=17,14,IF(Q7=18,13,IF(Q7=19,12,IF(Q7=20,11,IF(Q7=21,10,IF(Q7=22,9,IF(Q7=23,8,IF(Q7=24,7,IF(Q7=25,6,IF(Q7=26,5,IF(Q7=27,4,IF(Q7=28,3,IF(Q7=29,2,IF(Q7=30,1)))))))))))))))))))))))))))))))</f>
        <v/>
      </c>
      <c r="X7" s="15" t="str">
        <f>IF(A7="","",IF(OR(C7="P",D7="P"),"",IF(IF(COUNT(R7:W7)&lt;5,SUM(R7:W7),IF(COUNT(R7:W7)=5,SUM(R7:W7)-MIN(R7:W7),SUM(R7:W7)-MIN(R7:W7)-SMALL(R7:W7,2)))&gt;0,IF(COUNT(R7:W7)&lt;5,SUM(R7:W7)+(1000-AB7)*10^-4+AC7*10^-5+(1000-AD7)*10^-8,IF(COUNT(R7:W7)=5,SUM(R7:W7)-MIN(R7:W7)+(1000-AB7)*10^-4+AC7*10^-5+(1000-AD7)*10^-8,SUM(R7:W7)-MIN(R7:W7)-SMALL(R7:W7,2)+(1000-AB7)*10^-4+AC7*10^-5+(1000-AD7)*10^-8)),0)))</f>
        <v/>
      </c>
      <c r="Y7" s="2" t="str">
        <f>IF(OR(X7="",X7=0),"",IF(SUMPRODUCT(--(B$3:B$102=B7),--(X$3:X$102&gt;X7),--(X$3:X$102&lt;&gt;"")),"","P"))</f>
        <v/>
      </c>
      <c r="Z7" s="2" t="str">
        <f>IF(X7="","",IF(SUMPRODUCT(--(C$3:C$102="P"),--(B$3:B$102=B7)),"P",""))</f>
        <v/>
      </c>
      <c r="AA7" s="15" t="str">
        <f>IF(AND(Y7&lt;&gt;"",OR(Z7="",SUMPRODUCT(--(X$3:X$102&gt;X7),--(Z$3:Z$102="P"),--(Y$3:Y$102="P"))&lt;4)),X7,"")</f>
        <v/>
      </c>
      <c r="AB7" s="9" t="str">
        <f>IF(A7="","",IF(OR(C7="P",D7="P"),"",IF(IF(COUNT(L7:Q7)&lt;5,SUM(L7:Q7),IF(COUNT(L7:Q7)=5,SUM(L7:Q7)-MIN(L7:Q7),SUM(L7:Q7)-MIN(L7:Q7)-SMALL(L7:Q7,2)))&gt;0,IF(COUNT(L7:Q7)&lt;5,SUM(L7:Q7),IF(COUNT(L7:Q7)=5,SUM(L7:Q7)-MIN(L7:Q7),SUM(L7:Q7)-MIN(L7:Q7)-SMALL(L7:Q7,2))),0)))</f>
        <v/>
      </c>
      <c r="AC7" s="9">
        <f>COUNTIF(L7:Q7,"&lt;=8")</f>
        <v>0</v>
      </c>
      <c r="AD7" s="9">
        <f>MIN(L7:Q7)</f>
        <v>0</v>
      </c>
    </row>
    <row r="8" spans="1:36" x14ac:dyDescent="0.2">
      <c r="A8" s="7" t="s">
        <v>64</v>
      </c>
      <c r="B8" s="6" t="s">
        <v>19</v>
      </c>
      <c r="E8" s="3">
        <f>IF(AA8="","",RANK(AA8,AA:AA))</f>
        <v>1</v>
      </c>
      <c r="F8" s="6">
        <v>1</v>
      </c>
      <c r="G8" s="6">
        <v>3</v>
      </c>
      <c r="H8" s="6">
        <v>2</v>
      </c>
      <c r="I8" s="6">
        <v>1</v>
      </c>
      <c r="J8" s="6"/>
      <c r="K8" s="6"/>
      <c r="L8" s="9">
        <f>IF(OR($C8&lt;&gt;"",$D8&lt;&gt;"",F8=""),"",F8-SUMPRODUCT(--($C$3:$C$102="P"),--(F$3:F$102&lt;F8),--(F$3:F$102&lt;&gt;""))-SUMPRODUCT(--($D$3:$D$102="P"),--(F$3:F$102&lt;F8),--(F$3:F$102&lt;&gt;"")))</f>
        <v>1</v>
      </c>
      <c r="M8" s="9">
        <f>IF(OR($C8&lt;&gt;"",$D8&lt;&gt;"",G8=""),"",G8-SUMPRODUCT(--($C$3:$C$102="P"),--(G$3:G$102&lt;G8),--(G$3:G$102&lt;&gt;""))-SUMPRODUCT(--($D$3:$D$102="P"),--(G$3:G$102&lt;G8),--(G$3:G$102&lt;&gt;"")))</f>
        <v>2</v>
      </c>
      <c r="N8" s="9">
        <f>IF(OR($C8&lt;&gt;"",$D8&lt;&gt;"",H8=""),"",H8-SUMPRODUCT(--($C$3:$C$102="P"),--(H$3:H$102&lt;H8),--(H$3:H$102&lt;&gt;""))-SUMPRODUCT(--($D$3:$D$102="P"),--(H$3:H$102&lt;H8),--(H$3:H$102&lt;&gt;"")))</f>
        <v>1</v>
      </c>
      <c r="O8" s="9">
        <f>IF(OR($C8&lt;&gt;"",$D8&lt;&gt;"",I8=""),"",I8-SUMPRODUCT(--($C$3:$C$102="P"),--(I$3:I$102&lt;I8),--(I$3:I$102&lt;&gt;""))-SUMPRODUCT(--($D$3:$D$102="P"),--(I$3:I$102&lt;I8),--(I$3:I$102&lt;&gt;"")))</f>
        <v>1</v>
      </c>
      <c r="P8" s="9" t="str">
        <f>IF(OR($C8&lt;&gt;"",$D8&lt;&gt;"",J8=""),"",J8-SUMPRODUCT(--($C$3:$C$102="P"),--(J$3:J$102&lt;J8),--(J$3:J$102&lt;&gt;""))-SUMPRODUCT(--($D$3:$D$102="P"),--(J$3:J$102&lt;J8),--(J$3:J$102&lt;&gt;"")))</f>
        <v/>
      </c>
      <c r="Q8" s="9" t="str">
        <f>IF(OR($C8&lt;&gt;"",$D8&lt;&gt;"",K8=""),"",K8-SUMPRODUCT(--($C$3:$C$102="P"),--(K$3:K$102&lt;K8),--(K$3:K$102&lt;&gt;""))-SUMPRODUCT(--($D$3:$D$102="P"),--(K$3:K$102&lt;K8),--(K$3:K$102&lt;&gt;"")))</f>
        <v/>
      </c>
      <c r="R8" s="9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>60</v>
      </c>
      <c r="S8" s="9">
        <f>IF(OR(M8="",M8&gt;30),"",IF(M8=1,60,IF(M8=2,55,IF(M8=3,50,IF(M8=4,44,IF(M8=5,38,IF(M8=6,32,IF(M8=7,28,IF(M8=8,25,IF(M8=9,22,IF(M8=10,21,IF(M8=11,20,IF(M8=12,19,IF(M8=13,18,IF(M8=14,17,IF(M8=15,16,IF(M8=16,15,IF(M8=17,14,IF(M8=18,13,IF(M8=19,12,IF(M8=20,11,IF(M8=21,10,IF(M8=22,9,IF(M8=23,8,IF(M8=24,7,IF(M8=25,6,IF(M8=26,5,IF(M8=27,4,IF(M8=28,3,IF(M8=29,2,IF(M8=30,1)))))))))))))))))))))))))))))))</f>
        <v>55</v>
      </c>
      <c r="T8" s="9">
        <f>IF(OR(N8="",N8&gt;30),"",IF(N8=1,60,IF(N8=2,55,IF(N8=3,50,IF(N8=4,44,IF(N8=5,38,IF(N8=6,32,IF(N8=7,28,IF(N8=8,25,IF(N8=9,22,IF(N8=10,21,IF(N8=11,20,IF(N8=12,19,IF(N8=13,18,IF(N8=14,17,IF(N8=15,16,IF(N8=16,15,IF(N8=17,14,IF(N8=18,13,IF(N8=19,12,IF(N8=20,11,IF(N8=21,10,IF(N8=22,9,IF(N8=23,8,IF(N8=24,7,IF(N8=25,6,IF(N8=26,5,IF(N8=27,4,IF(N8=28,3,IF(N8=29,2,IF(N8=30,1)))))))))))))))))))))))))))))))</f>
        <v>60</v>
      </c>
      <c r="U8" s="9">
        <f>IF(OR(O8="",O8&gt;30),"",IF(O8=1,60,IF(O8=2,55,IF(O8=3,50,IF(O8=4,44,IF(O8=5,38,IF(O8=6,32,IF(O8=7,28,IF(O8=8,25,IF(O8=9,22,IF(O8=10,21,IF(O8=11,20,IF(O8=12,19,IF(O8=13,18,IF(O8=14,17,IF(O8=15,16,IF(O8=16,15,IF(O8=17,14,IF(O8=18,13,IF(O8=19,12,IF(O8=20,11,IF(O8=21,10,IF(O8=22,9,IF(O8=23,8,IF(O8=24,7,IF(O8=25,6,IF(O8=26,5,IF(O8=27,4,IF(O8=28,3,IF(O8=29,2,IF(O8=30,1)))))))))))))))))))))))))))))))</f>
        <v>60</v>
      </c>
      <c r="V8" s="9" t="str">
        <f>IF(OR(P8="",P8&gt;30),"",IF(P8=1,60,IF(P8=2,55,IF(P8=3,50,IF(P8=4,44,IF(P8=5,38,IF(P8=6,32,IF(P8=7,28,IF(P8=8,25,IF(P8=9,22,IF(P8=10,21,IF(P8=11,20,IF(P8=12,19,IF(P8=13,18,IF(P8=14,17,IF(P8=15,16,IF(P8=16,15,IF(P8=17,14,IF(P8=18,13,IF(P8=19,12,IF(P8=20,11,IF(P8=21,10,IF(P8=22,9,IF(P8=23,8,IF(P8=24,7,IF(P8=25,6,IF(P8=26,5,IF(P8=27,4,IF(P8=28,3,IF(P8=29,2,IF(P8=30,1)))))))))))))))))))))))))))))))</f>
        <v/>
      </c>
      <c r="W8" s="9" t="str">
        <f>IF(OR(Q8="",Q8&gt;30),"",IF(Q8=1,60,IF(Q8=2,55,IF(Q8=3,50,IF(Q8=4,44,IF(Q8=5,38,IF(Q8=6,32,IF(Q8=7,28,IF(Q8=8,25,IF(Q8=9,22,IF(Q8=10,21,IF(Q8=11,20,IF(Q8=12,19,IF(Q8=13,18,IF(Q8=14,17,IF(Q8=15,16,IF(Q8=16,15,IF(Q8=17,14,IF(Q8=18,13,IF(Q8=19,12,IF(Q8=20,11,IF(Q8=21,10,IF(Q8=22,9,IF(Q8=23,8,IF(Q8=24,7,IF(Q8=25,6,IF(Q8=26,5,IF(Q8=27,4,IF(Q8=28,3,IF(Q8=29,2,IF(Q8=30,1)))))))))))))))))))))))))))))))</f>
        <v/>
      </c>
      <c r="X8" s="15">
        <f>IF(A8="","",IF(OR(C8="P",D8="P"),"",IF(IF(COUNT(R8:W8)&lt;5,SUM(R8:W8),IF(COUNT(R8:W8)=5,SUM(R8:W8)-MIN(R8:W8),SUM(R8:W8)-MIN(R8:W8)-SMALL(R8:W8,2)))&gt;0,IF(COUNT(R8:W8)&lt;5,SUM(R8:W8)+(1000-AB8)*10^-4+AC8*10^-5+(1000-AD8)*10^-8,IF(COUNT(R8:W8)=5,SUM(R8:W8)-MIN(R8:W8)+(1000-AB8)*10^-4+AC8*10^-5+(1000-AD8)*10^-8,SUM(R8:W8)-MIN(R8:W8)-SMALL(R8:W8,2)+(1000-AB8)*10^-4+AC8*10^-5+(1000-AD8)*10^-8)),0)))</f>
        <v>235.09954999000001</v>
      </c>
      <c r="Y8" s="2" t="str">
        <f>IF(OR(X8="",X8=0),"",IF(SUMPRODUCT(--(B$3:B$102=B8),--(X$3:X$102&gt;X8),--(X$3:X$102&lt;&gt;"")),"","P"))</f>
        <v>P</v>
      </c>
      <c r="Z8" s="2" t="str">
        <f>IF(X8="","",IF(SUMPRODUCT(--(C$3:C$102="P"),--(B$3:B$102=B8)),"P",""))</f>
        <v>P</v>
      </c>
      <c r="AA8" s="15">
        <f>IF(AND(Y8&lt;&gt;"",OR(Z8="",SUMPRODUCT(--(X$3:X$102&gt;X8),--(Z$3:Z$102="P"),--(Y$3:Y$102="P"))&lt;4)),X8,"")</f>
        <v>235.09954999000001</v>
      </c>
      <c r="AB8" s="9">
        <f>IF(A8="","",IF(OR(C8="P",D8="P"),"",IF(IF(COUNT(L8:Q8)&lt;5,SUM(L8:Q8),IF(COUNT(L8:Q8)=5,SUM(L8:Q8)-MIN(L8:Q8),SUM(L8:Q8)-MIN(L8:Q8)-SMALL(L8:Q8,2)))&gt;0,IF(COUNT(L8:Q8)&lt;5,SUM(L8:Q8),IF(COUNT(L8:Q8)=5,SUM(L8:Q8)-MIN(L8:Q8),SUM(L8:Q8)-MIN(L8:Q8)-SMALL(L8:Q8,2))),0)))</f>
        <v>5</v>
      </c>
      <c r="AC8" s="9">
        <f>COUNTIF(L8:Q8,"&lt;=8")</f>
        <v>4</v>
      </c>
      <c r="AD8" s="9">
        <f>MIN(L8:Q8)</f>
        <v>1</v>
      </c>
      <c r="AE8" s="14"/>
    </row>
    <row r="9" spans="1:36" x14ac:dyDescent="0.2">
      <c r="A9" s="7" t="s">
        <v>70</v>
      </c>
      <c r="B9" s="6" t="s">
        <v>19</v>
      </c>
      <c r="E9" s="3" t="str">
        <f>IF(AA9="","",RANK(AA9,AA:AA))</f>
        <v/>
      </c>
      <c r="F9" s="6">
        <v>8</v>
      </c>
      <c r="G9" s="6">
        <v>5</v>
      </c>
      <c r="H9" s="6">
        <v>6</v>
      </c>
      <c r="I9" s="6">
        <v>4</v>
      </c>
      <c r="J9" s="6"/>
      <c r="K9" s="6"/>
      <c r="L9" s="9">
        <f>IF(OR($C9&lt;&gt;"",$D9&lt;&gt;"",F9=""),"",F9-SUMPRODUCT(--($C$3:$C$102="P"),--(F$3:F$102&lt;F9),--(F$3:F$102&lt;&gt;""))-SUMPRODUCT(--($D$3:$D$102="P"),--(F$3:F$102&lt;F9),--(F$3:F$102&lt;&gt;"")))</f>
        <v>7</v>
      </c>
      <c r="M9" s="9">
        <f>IF(OR($C9&lt;&gt;"",$D9&lt;&gt;"",G9=""),"",G9-SUMPRODUCT(--($C$3:$C$102="P"),--(G$3:G$102&lt;G9),--(G$3:G$102&lt;&gt;""))-SUMPRODUCT(--($D$3:$D$102="P"),--(G$3:G$102&lt;G9),--(G$3:G$102&lt;&gt;"")))</f>
        <v>4</v>
      </c>
      <c r="N9" s="9">
        <f>IF(OR($C9&lt;&gt;"",$D9&lt;&gt;"",H9=""),"",H9-SUMPRODUCT(--($C$3:$C$102="P"),--(H$3:H$102&lt;H9),--(H$3:H$102&lt;&gt;""))-SUMPRODUCT(--($D$3:$D$102="P"),--(H$3:H$102&lt;H9),--(H$3:H$102&lt;&gt;"")))</f>
        <v>4</v>
      </c>
      <c r="O9" s="9">
        <f>IF(OR($C9&lt;&gt;"",$D9&lt;&gt;"",I9=""),"",I9-SUMPRODUCT(--($C$3:$C$102="P"),--(I$3:I$102&lt;I9),--(I$3:I$102&lt;&gt;""))-SUMPRODUCT(--($D$3:$D$102="P"),--(I$3:I$102&lt;I9),--(I$3:I$102&lt;&gt;"")))</f>
        <v>2</v>
      </c>
      <c r="P9" s="9" t="str">
        <f>IF(OR($C9&lt;&gt;"",$D9&lt;&gt;"",J9=""),"",J9-SUMPRODUCT(--($C$3:$C$102="P"),--(J$3:J$102&lt;J9),--(J$3:J$102&lt;&gt;""))-SUMPRODUCT(--($D$3:$D$102="P"),--(J$3:J$102&lt;J9),--(J$3:J$102&lt;&gt;"")))</f>
        <v/>
      </c>
      <c r="Q9" s="9" t="str">
        <f>IF(OR($C9&lt;&gt;"",$D9&lt;&gt;"",K9=""),"",K9-SUMPRODUCT(--($C$3:$C$102="P"),--(K$3:K$102&lt;K9),--(K$3:K$102&lt;&gt;""))-SUMPRODUCT(--($D$3:$D$102="P"),--(K$3:K$102&lt;K9),--(K$3:K$102&lt;&gt;"")))</f>
        <v/>
      </c>
      <c r="R9" s="9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>28</v>
      </c>
      <c r="S9" s="9">
        <f>IF(OR(M9="",M9&gt;30),"",IF(M9=1,60,IF(M9=2,55,IF(M9=3,50,IF(M9=4,44,IF(M9=5,38,IF(M9=6,32,IF(M9=7,28,IF(M9=8,25,IF(M9=9,22,IF(M9=10,21,IF(M9=11,20,IF(M9=12,19,IF(M9=13,18,IF(M9=14,17,IF(M9=15,16,IF(M9=16,15,IF(M9=17,14,IF(M9=18,13,IF(M9=19,12,IF(M9=20,11,IF(M9=21,10,IF(M9=22,9,IF(M9=23,8,IF(M9=24,7,IF(M9=25,6,IF(M9=26,5,IF(M9=27,4,IF(M9=28,3,IF(M9=29,2,IF(M9=30,1)))))))))))))))))))))))))))))))</f>
        <v>44</v>
      </c>
      <c r="T9" s="9">
        <f>IF(OR(N9="",N9&gt;30),"",IF(N9=1,60,IF(N9=2,55,IF(N9=3,50,IF(N9=4,44,IF(N9=5,38,IF(N9=6,32,IF(N9=7,28,IF(N9=8,25,IF(N9=9,22,IF(N9=10,21,IF(N9=11,20,IF(N9=12,19,IF(N9=13,18,IF(N9=14,17,IF(N9=15,16,IF(N9=16,15,IF(N9=17,14,IF(N9=18,13,IF(N9=19,12,IF(N9=20,11,IF(N9=21,10,IF(N9=22,9,IF(N9=23,8,IF(N9=24,7,IF(N9=25,6,IF(N9=26,5,IF(N9=27,4,IF(N9=28,3,IF(N9=29,2,IF(N9=30,1)))))))))))))))))))))))))))))))</f>
        <v>44</v>
      </c>
      <c r="U9" s="9">
        <f>IF(OR(O9="",O9&gt;30),"",IF(O9=1,60,IF(O9=2,55,IF(O9=3,50,IF(O9=4,44,IF(O9=5,38,IF(O9=6,32,IF(O9=7,28,IF(O9=8,25,IF(O9=9,22,IF(O9=10,21,IF(O9=11,20,IF(O9=12,19,IF(O9=13,18,IF(O9=14,17,IF(O9=15,16,IF(O9=16,15,IF(O9=17,14,IF(O9=18,13,IF(O9=19,12,IF(O9=20,11,IF(O9=21,10,IF(O9=22,9,IF(O9=23,8,IF(O9=24,7,IF(O9=25,6,IF(O9=26,5,IF(O9=27,4,IF(O9=28,3,IF(O9=29,2,IF(O9=30,1)))))))))))))))))))))))))))))))</f>
        <v>55</v>
      </c>
      <c r="V9" s="9" t="str">
        <f>IF(OR(P9="",P9&gt;30),"",IF(P9=1,60,IF(P9=2,55,IF(P9=3,50,IF(P9=4,44,IF(P9=5,38,IF(P9=6,32,IF(P9=7,28,IF(P9=8,25,IF(P9=9,22,IF(P9=10,21,IF(P9=11,20,IF(P9=12,19,IF(P9=13,18,IF(P9=14,17,IF(P9=15,16,IF(P9=16,15,IF(P9=17,14,IF(P9=18,13,IF(P9=19,12,IF(P9=20,11,IF(P9=21,10,IF(P9=22,9,IF(P9=23,8,IF(P9=24,7,IF(P9=25,6,IF(P9=26,5,IF(P9=27,4,IF(P9=28,3,IF(P9=29,2,IF(P9=30,1)))))))))))))))))))))))))))))))</f>
        <v/>
      </c>
      <c r="W9" s="9" t="str">
        <f>IF(OR(Q9="",Q9&gt;30),"",IF(Q9=1,60,IF(Q9=2,55,IF(Q9=3,50,IF(Q9=4,44,IF(Q9=5,38,IF(Q9=6,32,IF(Q9=7,28,IF(Q9=8,25,IF(Q9=9,22,IF(Q9=10,21,IF(Q9=11,20,IF(Q9=12,19,IF(Q9=13,18,IF(Q9=14,17,IF(Q9=15,16,IF(Q9=16,15,IF(Q9=17,14,IF(Q9=18,13,IF(Q9=19,12,IF(Q9=20,11,IF(Q9=21,10,IF(Q9=22,9,IF(Q9=23,8,IF(Q9=24,7,IF(Q9=25,6,IF(Q9=26,5,IF(Q9=27,4,IF(Q9=28,3,IF(Q9=29,2,IF(Q9=30,1)))))))))))))))))))))))))))))))</f>
        <v/>
      </c>
      <c r="X9" s="15">
        <f>IF(A9="","",IF(OR(C9="P",D9="P"),"",IF(IF(COUNT(R9:W9)&lt;5,SUM(R9:W9),IF(COUNT(R9:W9)=5,SUM(R9:W9)-MIN(R9:W9),SUM(R9:W9)-MIN(R9:W9)-SMALL(R9:W9,2)))&gt;0,IF(COUNT(R9:W9)&lt;5,SUM(R9:W9)+(1000-AB9)*10^-4+AC9*10^-5+(1000-AD9)*10^-8,IF(COUNT(R9:W9)=5,SUM(R9:W9)-MIN(R9:W9)+(1000-AB9)*10^-4+AC9*10^-5+(1000-AD9)*10^-8,SUM(R9:W9)-MIN(R9:W9)-SMALL(R9:W9,2)+(1000-AB9)*10^-4+AC9*10^-5+(1000-AD9)*10^-8)),0)))</f>
        <v>171.09834997999999</v>
      </c>
      <c r="Y9" s="2" t="str">
        <f>IF(OR(X9="",X9=0),"",IF(SUMPRODUCT(--(B$3:B$102=B9),--(X$3:X$102&gt;X9),--(X$3:X$102&lt;&gt;"")),"","P"))</f>
        <v/>
      </c>
      <c r="Z9" s="2" t="str">
        <f>IF(X9="","",IF(SUMPRODUCT(--(C$3:C$102="P"),--(B$3:B$102=B9)),"P",""))</f>
        <v>P</v>
      </c>
      <c r="AA9" s="15" t="str">
        <f>IF(AND(Y9&lt;&gt;"",OR(Z9="",SUMPRODUCT(--(X$3:X$102&gt;X9),--(Z$3:Z$102="P"),--(Y$3:Y$102="P"))&lt;4)),X9,"")</f>
        <v/>
      </c>
      <c r="AB9" s="9">
        <f>IF(A9="","",IF(OR(C9="P",D9="P"),"",IF(IF(COUNT(L9:Q9)&lt;5,SUM(L9:Q9),IF(COUNT(L9:Q9)=5,SUM(L9:Q9)-MIN(L9:Q9),SUM(L9:Q9)-MIN(L9:Q9)-SMALL(L9:Q9,2)))&gt;0,IF(COUNT(L9:Q9)&lt;5,SUM(L9:Q9),IF(COUNT(L9:Q9)=5,SUM(L9:Q9)-MIN(L9:Q9),SUM(L9:Q9)-MIN(L9:Q9)-SMALL(L9:Q9,2))),0)))</f>
        <v>17</v>
      </c>
      <c r="AC9" s="9">
        <f>COUNTIF(L9:Q9,"&lt;=8")</f>
        <v>4</v>
      </c>
      <c r="AD9" s="9">
        <f>MIN(L9:Q9)</f>
        <v>2</v>
      </c>
    </row>
    <row r="10" spans="1:36" x14ac:dyDescent="0.2">
      <c r="A10" s="7" t="s">
        <v>67</v>
      </c>
      <c r="B10" s="6" t="s">
        <v>53</v>
      </c>
      <c r="E10" s="3">
        <f>IF(AA10="","",RANK(AA10,AA:AA))</f>
        <v>2</v>
      </c>
      <c r="F10" s="6">
        <v>5</v>
      </c>
      <c r="G10" s="6">
        <v>4</v>
      </c>
      <c r="H10" s="6">
        <v>7</v>
      </c>
      <c r="I10" s="6">
        <v>8</v>
      </c>
      <c r="J10" s="6"/>
      <c r="K10" s="6"/>
      <c r="L10" s="9">
        <f>IF(OR($C10&lt;&gt;"",$D10&lt;&gt;"",F10=""),"",F10-SUMPRODUCT(--($C$3:$C$102="P"),--(F$3:F$102&lt;F10),--(F$3:F$102&lt;&gt;""))-SUMPRODUCT(--($D$3:$D$102="P"),--(F$3:F$102&lt;F10),--(F$3:F$102&lt;&gt;"")))</f>
        <v>5</v>
      </c>
      <c r="M10" s="9">
        <f>IF(OR($C10&lt;&gt;"",$D10&lt;&gt;"",G10=""),"",G10-SUMPRODUCT(--($C$3:$C$102="P"),--(G$3:G$102&lt;G10),--(G$3:G$102&lt;&gt;""))-SUMPRODUCT(--($D$3:$D$102="P"),--(G$3:G$102&lt;G10),--(G$3:G$102&lt;&gt;"")))</f>
        <v>3</v>
      </c>
      <c r="N10" s="9">
        <f>IF(OR($C10&lt;&gt;"",$D10&lt;&gt;"",H10=""),"",H10-SUMPRODUCT(--($C$3:$C$102="P"),--(H$3:H$102&lt;H10),--(H$3:H$102&lt;&gt;""))-SUMPRODUCT(--($D$3:$D$102="P"),--(H$3:H$102&lt;H10),--(H$3:H$102&lt;&gt;"")))</f>
        <v>5</v>
      </c>
      <c r="O10" s="9">
        <f>IF(OR($C10&lt;&gt;"",$D10&lt;&gt;"",I10=""),"",I10-SUMPRODUCT(--($C$3:$C$102="P"),--(I$3:I$102&lt;I10),--(I$3:I$102&lt;&gt;""))-SUMPRODUCT(--($D$3:$D$102="P"),--(I$3:I$102&lt;I10),--(I$3:I$102&lt;&gt;"")))</f>
        <v>6</v>
      </c>
      <c r="P10" s="9" t="str">
        <f>IF(OR($C10&lt;&gt;"",$D10&lt;&gt;"",J10=""),"",J10-SUMPRODUCT(--($C$3:$C$102="P"),--(J$3:J$102&lt;J10),--(J$3:J$102&lt;&gt;""))-SUMPRODUCT(--($D$3:$D$102="P"),--(J$3:J$102&lt;J10),--(J$3:J$102&lt;&gt;"")))</f>
        <v/>
      </c>
      <c r="Q10" s="9" t="str">
        <f>IF(OR($C10&lt;&gt;"",$D10&lt;&gt;"",K10=""),"",K10-SUMPRODUCT(--($C$3:$C$102="P"),--(K$3:K$102&lt;K10),--(K$3:K$102&lt;&gt;""))-SUMPRODUCT(--($D$3:$D$102="P"),--(K$3:K$102&lt;K10),--(K$3:K$102&lt;&gt;"")))</f>
        <v/>
      </c>
      <c r="R10" s="9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>38</v>
      </c>
      <c r="S10" s="9">
        <f>IF(OR(M10="",M10&gt;30),"",IF(M10=1,60,IF(M10=2,55,IF(M10=3,50,IF(M10=4,44,IF(M10=5,38,IF(M10=6,32,IF(M10=7,28,IF(M10=8,25,IF(M10=9,22,IF(M10=10,21,IF(M10=11,20,IF(M10=12,19,IF(M10=13,18,IF(M10=14,17,IF(M10=15,16,IF(M10=16,15,IF(M10=17,14,IF(M10=18,13,IF(M10=19,12,IF(M10=20,11,IF(M10=21,10,IF(M10=22,9,IF(M10=23,8,IF(M10=24,7,IF(M10=25,6,IF(M10=26,5,IF(M10=27,4,IF(M10=28,3,IF(M10=29,2,IF(M10=30,1)))))))))))))))))))))))))))))))</f>
        <v>50</v>
      </c>
      <c r="T10" s="9">
        <f>IF(OR(N10="",N10&gt;30),"",IF(N10=1,60,IF(N10=2,55,IF(N10=3,50,IF(N10=4,44,IF(N10=5,38,IF(N10=6,32,IF(N10=7,28,IF(N10=8,25,IF(N10=9,22,IF(N10=10,21,IF(N10=11,20,IF(N10=12,19,IF(N10=13,18,IF(N10=14,17,IF(N10=15,16,IF(N10=16,15,IF(N10=17,14,IF(N10=18,13,IF(N10=19,12,IF(N10=20,11,IF(N10=21,10,IF(N10=22,9,IF(N10=23,8,IF(N10=24,7,IF(N10=25,6,IF(N10=26,5,IF(N10=27,4,IF(N10=28,3,IF(N10=29,2,IF(N10=30,1)))))))))))))))))))))))))))))))</f>
        <v>38</v>
      </c>
      <c r="U10" s="9">
        <f>IF(OR(O10="",O10&gt;30),"",IF(O10=1,60,IF(O10=2,55,IF(O10=3,50,IF(O10=4,44,IF(O10=5,38,IF(O10=6,32,IF(O10=7,28,IF(O10=8,25,IF(O10=9,22,IF(O10=10,21,IF(O10=11,20,IF(O10=12,19,IF(O10=13,18,IF(O10=14,17,IF(O10=15,16,IF(O10=16,15,IF(O10=17,14,IF(O10=18,13,IF(O10=19,12,IF(O10=20,11,IF(O10=21,10,IF(O10=22,9,IF(O10=23,8,IF(O10=24,7,IF(O10=25,6,IF(O10=26,5,IF(O10=27,4,IF(O10=28,3,IF(O10=29,2,IF(O10=30,1)))))))))))))))))))))))))))))))</f>
        <v>32</v>
      </c>
      <c r="V10" s="9" t="str">
        <f>IF(OR(P10="",P10&gt;30),"",IF(P10=1,60,IF(P10=2,55,IF(P10=3,50,IF(P10=4,44,IF(P10=5,38,IF(P10=6,32,IF(P10=7,28,IF(P10=8,25,IF(P10=9,22,IF(P10=10,21,IF(P10=11,20,IF(P10=12,19,IF(P10=13,18,IF(P10=14,17,IF(P10=15,16,IF(P10=16,15,IF(P10=17,14,IF(P10=18,13,IF(P10=19,12,IF(P10=20,11,IF(P10=21,10,IF(P10=22,9,IF(P10=23,8,IF(P10=24,7,IF(P10=25,6,IF(P10=26,5,IF(P10=27,4,IF(P10=28,3,IF(P10=29,2,IF(P10=30,1)))))))))))))))))))))))))))))))</f>
        <v/>
      </c>
      <c r="W10" s="9" t="str">
        <f>IF(OR(Q10="",Q10&gt;30),"",IF(Q10=1,60,IF(Q10=2,55,IF(Q10=3,50,IF(Q10=4,44,IF(Q10=5,38,IF(Q10=6,32,IF(Q10=7,28,IF(Q10=8,25,IF(Q10=9,22,IF(Q10=10,21,IF(Q10=11,20,IF(Q10=12,19,IF(Q10=13,18,IF(Q10=14,17,IF(Q10=15,16,IF(Q10=16,15,IF(Q10=17,14,IF(Q10=18,13,IF(Q10=19,12,IF(Q10=20,11,IF(Q10=21,10,IF(Q10=22,9,IF(Q10=23,8,IF(Q10=24,7,IF(Q10=25,6,IF(Q10=26,5,IF(Q10=27,4,IF(Q10=28,3,IF(Q10=29,2,IF(Q10=30,1)))))))))))))))))))))))))))))))</f>
        <v/>
      </c>
      <c r="X10" s="15">
        <f>IF(A10="","",IF(OR(C10="P",D10="P"),"",IF(IF(COUNT(R10:W10)&lt;5,SUM(R10:W10),IF(COUNT(R10:W10)=5,SUM(R10:W10)-MIN(R10:W10),SUM(R10:W10)-MIN(R10:W10)-SMALL(R10:W10,2)))&gt;0,IF(COUNT(R10:W10)&lt;5,SUM(R10:W10)+(1000-AB10)*10^-4+AC10*10^-5+(1000-AD10)*10^-8,IF(COUNT(R10:W10)=5,SUM(R10:W10)-MIN(R10:W10)+(1000-AB10)*10^-4+AC10*10^-5+(1000-AD10)*10^-8,SUM(R10:W10)-MIN(R10:W10)-SMALL(R10:W10,2)+(1000-AB10)*10^-4+AC10*10^-5+(1000-AD10)*10^-8)),0)))</f>
        <v>158.09814997000001</v>
      </c>
      <c r="Y10" s="2" t="str">
        <f>IF(OR(X10="",X10=0),"",IF(SUMPRODUCT(--(B$3:B$102=B10),--(X$3:X$102&gt;X10),--(X$3:X$102&lt;&gt;"")),"","P"))</f>
        <v>P</v>
      </c>
      <c r="Z10" s="2" t="str">
        <f>IF(X10="","",IF(SUMPRODUCT(--(C$3:C$102="P"),--(B$3:B$102=B10)),"P",""))</f>
        <v/>
      </c>
      <c r="AA10" s="15">
        <f>IF(AND(Y10&lt;&gt;"",OR(Z10="",SUMPRODUCT(--(X$3:X$102&gt;X10),--(Z$3:Z$102="P"),--(Y$3:Y$102="P"))&lt;4)),X10,"")</f>
        <v>158.09814997000001</v>
      </c>
      <c r="AB10" s="9">
        <f>IF(A10="","",IF(OR(C10="P",D10="P"),"",IF(IF(COUNT(L10:Q10)&lt;5,SUM(L10:Q10),IF(COUNT(L10:Q10)=5,SUM(L10:Q10)-MIN(L10:Q10),SUM(L10:Q10)-MIN(L10:Q10)-SMALL(L10:Q10,2)))&gt;0,IF(COUNT(L10:Q10)&lt;5,SUM(L10:Q10),IF(COUNT(L10:Q10)=5,SUM(L10:Q10)-MIN(L10:Q10),SUM(L10:Q10)-MIN(L10:Q10)-SMALL(L10:Q10,2))),0)))</f>
        <v>19</v>
      </c>
      <c r="AC10" s="9">
        <f>COUNTIF(L10:Q10,"&lt;=8")</f>
        <v>4</v>
      </c>
      <c r="AD10" s="9">
        <f>MIN(L10:Q10)</f>
        <v>3</v>
      </c>
    </row>
    <row r="11" spans="1:36" x14ac:dyDescent="0.2">
      <c r="A11" s="7" t="s">
        <v>65</v>
      </c>
      <c r="B11" s="6" t="s">
        <v>16</v>
      </c>
      <c r="E11" s="3">
        <f>IF(AA11="","",RANK(AA11,AA:AA))</f>
        <v>3</v>
      </c>
      <c r="F11" s="6">
        <v>2</v>
      </c>
      <c r="G11" s="6">
        <v>11</v>
      </c>
      <c r="H11" s="6">
        <v>5</v>
      </c>
      <c r="I11" s="6">
        <v>9</v>
      </c>
      <c r="J11" s="6"/>
      <c r="K11" s="6"/>
      <c r="L11" s="9">
        <f>IF(OR($C11&lt;&gt;"",$D11&lt;&gt;"",F11=""),"",F11-SUMPRODUCT(--($C$3:$C$102="P"),--(F$3:F$102&lt;F11),--(F$3:F$102&lt;&gt;""))-SUMPRODUCT(--($D$3:$D$102="P"),--(F$3:F$102&lt;F11),--(F$3:F$102&lt;&gt;"")))</f>
        <v>2</v>
      </c>
      <c r="M11" s="9">
        <f>IF(OR($C11&lt;&gt;"",$D11&lt;&gt;"",G11=""),"",G11-SUMPRODUCT(--($C$3:$C$102="P"),--(G$3:G$102&lt;G11),--(G$3:G$102&lt;&gt;""))-SUMPRODUCT(--($D$3:$D$102="P"),--(G$3:G$102&lt;G11),--(G$3:G$102&lt;&gt;"")))</f>
        <v>9</v>
      </c>
      <c r="N11" s="9">
        <f>IF(OR($C11&lt;&gt;"",$D11&lt;&gt;"",H11=""),"",H11-SUMPRODUCT(--($C$3:$C$102="P"),--(H$3:H$102&lt;H11),--(H$3:H$102&lt;&gt;""))-SUMPRODUCT(--($D$3:$D$102="P"),--(H$3:H$102&lt;H11),--(H$3:H$102&lt;&gt;"")))</f>
        <v>3</v>
      </c>
      <c r="O11" s="9">
        <f>IF(OR($C11&lt;&gt;"",$D11&lt;&gt;"",I11=""),"",I11-SUMPRODUCT(--($C$3:$C$102="P"),--(I$3:I$102&lt;I11),--(I$3:I$102&lt;&gt;""))-SUMPRODUCT(--($D$3:$D$102="P"),--(I$3:I$102&lt;I11),--(I$3:I$102&lt;&gt;"")))</f>
        <v>7</v>
      </c>
      <c r="P11" s="9" t="str">
        <f>IF(OR($C11&lt;&gt;"",$D11&lt;&gt;"",J11=""),"",J11-SUMPRODUCT(--($C$3:$C$102="P"),--(J$3:J$102&lt;J11),--(J$3:J$102&lt;&gt;""))-SUMPRODUCT(--($D$3:$D$102="P"),--(J$3:J$102&lt;J11),--(J$3:J$102&lt;&gt;"")))</f>
        <v/>
      </c>
      <c r="Q11" s="9" t="str">
        <f>IF(OR($C11&lt;&gt;"",$D11&lt;&gt;"",K11=""),"",K11-SUMPRODUCT(--($C$3:$C$102="P"),--(K$3:K$102&lt;K11),--(K$3:K$102&lt;&gt;""))-SUMPRODUCT(--($D$3:$D$102="P"),--(K$3:K$102&lt;K11),--(K$3:K$102&lt;&gt;"")))</f>
        <v/>
      </c>
      <c r="R11" s="9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>55</v>
      </c>
      <c r="S11" s="9">
        <f>IF(OR(M11="",M11&gt;30),"",IF(M11=1,60,IF(M11=2,55,IF(M11=3,50,IF(M11=4,44,IF(M11=5,38,IF(M11=6,32,IF(M11=7,28,IF(M11=8,25,IF(M11=9,22,IF(M11=10,21,IF(M11=11,20,IF(M11=12,19,IF(M11=13,18,IF(M11=14,17,IF(M11=15,16,IF(M11=16,15,IF(M11=17,14,IF(M11=18,13,IF(M11=19,12,IF(M11=20,11,IF(M11=21,10,IF(M11=22,9,IF(M11=23,8,IF(M11=24,7,IF(M11=25,6,IF(M11=26,5,IF(M11=27,4,IF(M11=28,3,IF(M11=29,2,IF(M11=30,1)))))))))))))))))))))))))))))))</f>
        <v>22</v>
      </c>
      <c r="T11" s="9">
        <f>IF(OR(N11="",N11&gt;30),"",IF(N11=1,60,IF(N11=2,55,IF(N11=3,50,IF(N11=4,44,IF(N11=5,38,IF(N11=6,32,IF(N11=7,28,IF(N11=8,25,IF(N11=9,22,IF(N11=10,21,IF(N11=11,20,IF(N11=12,19,IF(N11=13,18,IF(N11=14,17,IF(N11=15,16,IF(N11=16,15,IF(N11=17,14,IF(N11=18,13,IF(N11=19,12,IF(N11=20,11,IF(N11=21,10,IF(N11=22,9,IF(N11=23,8,IF(N11=24,7,IF(N11=25,6,IF(N11=26,5,IF(N11=27,4,IF(N11=28,3,IF(N11=29,2,IF(N11=30,1)))))))))))))))))))))))))))))))</f>
        <v>50</v>
      </c>
      <c r="U11" s="9">
        <f>IF(OR(O11="",O11&gt;30),"",IF(O11=1,60,IF(O11=2,55,IF(O11=3,50,IF(O11=4,44,IF(O11=5,38,IF(O11=6,32,IF(O11=7,28,IF(O11=8,25,IF(O11=9,22,IF(O11=10,21,IF(O11=11,20,IF(O11=12,19,IF(O11=13,18,IF(O11=14,17,IF(O11=15,16,IF(O11=16,15,IF(O11=17,14,IF(O11=18,13,IF(O11=19,12,IF(O11=20,11,IF(O11=21,10,IF(O11=22,9,IF(O11=23,8,IF(O11=24,7,IF(O11=25,6,IF(O11=26,5,IF(O11=27,4,IF(O11=28,3,IF(O11=29,2,IF(O11=30,1)))))))))))))))))))))))))))))))</f>
        <v>28</v>
      </c>
      <c r="V11" s="9" t="str">
        <f>IF(OR(P11="",P11&gt;30),"",IF(P11=1,60,IF(P11=2,55,IF(P11=3,50,IF(P11=4,44,IF(P11=5,38,IF(P11=6,32,IF(P11=7,28,IF(P11=8,25,IF(P11=9,22,IF(P11=10,21,IF(P11=11,20,IF(P11=12,19,IF(P11=13,18,IF(P11=14,17,IF(P11=15,16,IF(P11=16,15,IF(P11=17,14,IF(P11=18,13,IF(P11=19,12,IF(P11=20,11,IF(P11=21,10,IF(P11=22,9,IF(P11=23,8,IF(P11=24,7,IF(P11=25,6,IF(P11=26,5,IF(P11=27,4,IF(P11=28,3,IF(P11=29,2,IF(P11=30,1)))))))))))))))))))))))))))))))</f>
        <v/>
      </c>
      <c r="W11" s="9" t="str">
        <f>IF(OR(Q11="",Q11&gt;30),"",IF(Q11=1,60,IF(Q11=2,55,IF(Q11=3,50,IF(Q11=4,44,IF(Q11=5,38,IF(Q11=6,32,IF(Q11=7,28,IF(Q11=8,25,IF(Q11=9,22,IF(Q11=10,21,IF(Q11=11,20,IF(Q11=12,19,IF(Q11=13,18,IF(Q11=14,17,IF(Q11=15,16,IF(Q11=16,15,IF(Q11=17,14,IF(Q11=18,13,IF(Q11=19,12,IF(Q11=20,11,IF(Q11=21,10,IF(Q11=22,9,IF(Q11=23,8,IF(Q11=24,7,IF(Q11=25,6,IF(Q11=26,5,IF(Q11=27,4,IF(Q11=28,3,IF(Q11=29,2,IF(Q11=30,1)))))))))))))))))))))))))))))))</f>
        <v/>
      </c>
      <c r="X11" s="15">
        <f>IF(A11="","",IF(OR(C11="P",D11="P"),"",IF(IF(COUNT(R11:W11)&lt;5,SUM(R11:W11),IF(COUNT(R11:W11)=5,SUM(R11:W11)-MIN(R11:W11),SUM(R11:W11)-MIN(R11:W11)-SMALL(R11:W11,2)))&gt;0,IF(COUNT(R11:W11)&lt;5,SUM(R11:W11)+(1000-AB11)*10^-4+AC11*10^-5+(1000-AD11)*10^-8,IF(COUNT(R11:W11)=5,SUM(R11:W11)-MIN(R11:W11)+(1000-AB11)*10^-4+AC11*10^-5+(1000-AD11)*10^-8,SUM(R11:W11)-MIN(R11:W11)-SMALL(R11:W11,2)+(1000-AB11)*10^-4+AC11*10^-5+(1000-AD11)*10^-8)),0)))</f>
        <v>155.09793998000001</v>
      </c>
      <c r="Y11" s="2" t="str">
        <f>IF(OR(X11="",X11=0),"",IF(SUMPRODUCT(--(B$3:B$102=B11),--(X$3:X$102&gt;X11),--(X$3:X$102&lt;&gt;"")),"","P"))</f>
        <v>P</v>
      </c>
      <c r="Z11" s="2" t="str">
        <f>IF(X11="","",IF(SUMPRODUCT(--(C$3:C$102="P"),--(B$3:B$102=B11)),"P",""))</f>
        <v>P</v>
      </c>
      <c r="AA11" s="15">
        <f>IF(AND(Y11&lt;&gt;"",OR(Z11="",SUMPRODUCT(--(X$3:X$102&gt;X11),--(Z$3:Z$102="P"),--(Y$3:Y$102="P"))&lt;4)),X11,"")</f>
        <v>155.09793998000001</v>
      </c>
      <c r="AB11" s="9">
        <f>IF(A11="","",IF(OR(C11="P",D11="P"),"",IF(IF(COUNT(L11:Q11)&lt;5,SUM(L11:Q11),IF(COUNT(L11:Q11)=5,SUM(L11:Q11)-MIN(L11:Q11),SUM(L11:Q11)-MIN(L11:Q11)-SMALL(L11:Q11,2)))&gt;0,IF(COUNT(L11:Q11)&lt;5,SUM(L11:Q11),IF(COUNT(L11:Q11)=5,SUM(L11:Q11)-MIN(L11:Q11),SUM(L11:Q11)-MIN(L11:Q11)-SMALL(L11:Q11,2))),0)))</f>
        <v>21</v>
      </c>
      <c r="AC11" s="9">
        <f>COUNTIF(L11:Q11,"&lt;=8")</f>
        <v>3</v>
      </c>
      <c r="AD11" s="9">
        <f>MIN(L11:Q11)</f>
        <v>2</v>
      </c>
      <c r="AE11" s="14"/>
    </row>
    <row r="12" spans="1:36" x14ac:dyDescent="0.2">
      <c r="A12" s="7" t="s">
        <v>66</v>
      </c>
      <c r="B12" s="6" t="s">
        <v>18</v>
      </c>
      <c r="E12" s="3">
        <f>IF(AA12="","",RANK(AA12,AA:AA))</f>
        <v>4</v>
      </c>
      <c r="F12" s="6">
        <v>3</v>
      </c>
      <c r="G12" s="6">
        <v>12</v>
      </c>
      <c r="H12" s="6">
        <v>10</v>
      </c>
      <c r="I12" s="6">
        <v>5</v>
      </c>
      <c r="J12" s="6"/>
      <c r="K12" s="6"/>
      <c r="L12" s="9">
        <f>IF(OR($C12&lt;&gt;"",$D12&lt;&gt;"",F12=""),"",F12-SUMPRODUCT(--($C$3:$C$102="P"),--(F$3:F$102&lt;F12),--(F$3:F$102&lt;&gt;""))-SUMPRODUCT(--($D$3:$D$102="P"),--(F$3:F$102&lt;F12),--(F$3:F$102&lt;&gt;"")))</f>
        <v>3</v>
      </c>
      <c r="M12" s="9">
        <f>IF(OR($C12&lt;&gt;"",$D12&lt;&gt;"",G12=""),"",G12-SUMPRODUCT(--($C$3:$C$102="P"),--(G$3:G$102&lt;G12),--(G$3:G$102&lt;&gt;""))-SUMPRODUCT(--($D$3:$D$102="P"),--(G$3:G$102&lt;G12),--(G$3:G$102&lt;&gt;"")))</f>
        <v>10</v>
      </c>
      <c r="N12" s="9">
        <f>IF(OR($C12&lt;&gt;"",$D12&lt;&gt;"",H12=""),"",H12-SUMPRODUCT(--($C$3:$C$102="P"),--(H$3:H$102&lt;H12),--(H$3:H$102&lt;&gt;""))-SUMPRODUCT(--($D$3:$D$102="P"),--(H$3:H$102&lt;H12),--(H$3:H$102&lt;&gt;"")))</f>
        <v>8</v>
      </c>
      <c r="O12" s="9">
        <f>IF(OR($C12&lt;&gt;"",$D12&lt;&gt;"",I12=""),"",I12-SUMPRODUCT(--($C$3:$C$102="P"),--(I$3:I$102&lt;I12),--(I$3:I$102&lt;&gt;""))-SUMPRODUCT(--($D$3:$D$102="P"),--(I$3:I$102&lt;I12),--(I$3:I$102&lt;&gt;"")))</f>
        <v>3</v>
      </c>
      <c r="P12" s="9" t="str">
        <f>IF(OR($C12&lt;&gt;"",$D12&lt;&gt;"",J12=""),"",J12-SUMPRODUCT(--($C$3:$C$102="P"),--(J$3:J$102&lt;J12),--(J$3:J$102&lt;&gt;""))-SUMPRODUCT(--($D$3:$D$102="P"),--(J$3:J$102&lt;J12),--(J$3:J$102&lt;&gt;"")))</f>
        <v/>
      </c>
      <c r="Q12" s="9" t="str">
        <f>IF(OR($C12&lt;&gt;"",$D12&lt;&gt;"",K12=""),"",K12-SUMPRODUCT(--($C$3:$C$102="P"),--(K$3:K$102&lt;K12),--(K$3:K$102&lt;&gt;""))-SUMPRODUCT(--($D$3:$D$102="P"),--(K$3:K$102&lt;K12),--(K$3:K$102&lt;&gt;"")))</f>
        <v/>
      </c>
      <c r="R12" s="9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>50</v>
      </c>
      <c r="S12" s="9">
        <f>IF(OR(M12="",M12&gt;30),"",IF(M12=1,60,IF(M12=2,55,IF(M12=3,50,IF(M12=4,44,IF(M12=5,38,IF(M12=6,32,IF(M12=7,28,IF(M12=8,25,IF(M12=9,22,IF(M12=10,21,IF(M12=11,20,IF(M12=12,19,IF(M12=13,18,IF(M12=14,17,IF(M12=15,16,IF(M12=16,15,IF(M12=17,14,IF(M12=18,13,IF(M12=19,12,IF(M12=20,11,IF(M12=21,10,IF(M12=22,9,IF(M12=23,8,IF(M12=24,7,IF(M12=25,6,IF(M12=26,5,IF(M12=27,4,IF(M12=28,3,IF(M12=29,2,IF(M12=30,1)))))))))))))))))))))))))))))))</f>
        <v>21</v>
      </c>
      <c r="T12" s="9">
        <f>IF(OR(N12="",N12&gt;30),"",IF(N12=1,60,IF(N12=2,55,IF(N12=3,50,IF(N12=4,44,IF(N12=5,38,IF(N12=6,32,IF(N12=7,28,IF(N12=8,25,IF(N12=9,22,IF(N12=10,21,IF(N12=11,20,IF(N12=12,19,IF(N12=13,18,IF(N12=14,17,IF(N12=15,16,IF(N12=16,15,IF(N12=17,14,IF(N12=18,13,IF(N12=19,12,IF(N12=20,11,IF(N12=21,10,IF(N12=22,9,IF(N12=23,8,IF(N12=24,7,IF(N12=25,6,IF(N12=26,5,IF(N12=27,4,IF(N12=28,3,IF(N12=29,2,IF(N12=30,1)))))))))))))))))))))))))))))))</f>
        <v>25</v>
      </c>
      <c r="U12" s="9">
        <f>IF(OR(O12="",O12&gt;30),"",IF(O12=1,60,IF(O12=2,55,IF(O12=3,50,IF(O12=4,44,IF(O12=5,38,IF(O12=6,32,IF(O12=7,28,IF(O12=8,25,IF(O12=9,22,IF(O12=10,21,IF(O12=11,20,IF(O12=12,19,IF(O12=13,18,IF(O12=14,17,IF(O12=15,16,IF(O12=16,15,IF(O12=17,14,IF(O12=18,13,IF(O12=19,12,IF(O12=20,11,IF(O12=21,10,IF(O12=22,9,IF(O12=23,8,IF(O12=24,7,IF(O12=25,6,IF(O12=26,5,IF(O12=27,4,IF(O12=28,3,IF(O12=29,2,IF(O12=30,1)))))))))))))))))))))))))))))))</f>
        <v>50</v>
      </c>
      <c r="V12" s="9" t="str">
        <f>IF(OR(P12="",P12&gt;30),"",IF(P12=1,60,IF(P12=2,55,IF(P12=3,50,IF(P12=4,44,IF(P12=5,38,IF(P12=6,32,IF(P12=7,28,IF(P12=8,25,IF(P12=9,22,IF(P12=10,21,IF(P12=11,20,IF(P12=12,19,IF(P12=13,18,IF(P12=14,17,IF(P12=15,16,IF(P12=16,15,IF(P12=17,14,IF(P12=18,13,IF(P12=19,12,IF(P12=20,11,IF(P12=21,10,IF(P12=22,9,IF(P12=23,8,IF(P12=24,7,IF(P12=25,6,IF(P12=26,5,IF(P12=27,4,IF(P12=28,3,IF(P12=29,2,IF(P12=30,1)))))))))))))))))))))))))))))))</f>
        <v/>
      </c>
      <c r="W12" s="9" t="str">
        <f>IF(OR(Q12="",Q12&gt;30),"",IF(Q12=1,60,IF(Q12=2,55,IF(Q12=3,50,IF(Q12=4,44,IF(Q12=5,38,IF(Q12=6,32,IF(Q12=7,28,IF(Q12=8,25,IF(Q12=9,22,IF(Q12=10,21,IF(Q12=11,20,IF(Q12=12,19,IF(Q12=13,18,IF(Q12=14,17,IF(Q12=15,16,IF(Q12=16,15,IF(Q12=17,14,IF(Q12=18,13,IF(Q12=19,12,IF(Q12=20,11,IF(Q12=21,10,IF(Q12=22,9,IF(Q12=23,8,IF(Q12=24,7,IF(Q12=25,6,IF(Q12=26,5,IF(Q12=27,4,IF(Q12=28,3,IF(Q12=29,2,IF(Q12=30,1)))))))))))))))))))))))))))))))</f>
        <v/>
      </c>
      <c r="X12" s="15">
        <f>IF(A12="","",IF(OR(C12="P",D12="P"),"",IF(IF(COUNT(R12:W12)&lt;5,SUM(R12:W12),IF(COUNT(R12:W12)=5,SUM(R12:W12)-MIN(R12:W12),SUM(R12:W12)-MIN(R12:W12)-SMALL(R12:W12,2)))&gt;0,IF(COUNT(R12:W12)&lt;5,SUM(R12:W12)+(1000-AB12)*10^-4+AC12*10^-5+(1000-AD12)*10^-8,IF(COUNT(R12:W12)=5,SUM(R12:W12)-MIN(R12:W12)+(1000-AB12)*10^-4+AC12*10^-5+(1000-AD12)*10^-8,SUM(R12:W12)-MIN(R12:W12)-SMALL(R12:W12,2)+(1000-AB12)*10^-4+AC12*10^-5+(1000-AD12)*10^-8)),0)))</f>
        <v>146.09763997000002</v>
      </c>
      <c r="Y12" s="2" t="str">
        <f>IF(OR(X12="",X12=0),"",IF(SUMPRODUCT(--(B$3:B$102=B12),--(X$3:X$102&gt;X12),--(X$3:X$102&lt;&gt;"")),"","P"))</f>
        <v>P</v>
      </c>
      <c r="Z12" s="2" t="str">
        <f>IF(X12="","",IF(SUMPRODUCT(--(C$3:C$102="P"),--(B$3:B$102=B12)),"P",""))</f>
        <v>P</v>
      </c>
      <c r="AA12" s="15">
        <f>IF(AND(Y12&lt;&gt;"",OR(Z12="",SUMPRODUCT(--(X$3:X$102&gt;X12),--(Z$3:Z$102="P"),--(Y$3:Y$102="P"))&lt;4)),X12,"")</f>
        <v>146.09763997000002</v>
      </c>
      <c r="AB12" s="9">
        <f>IF(A12="","",IF(OR(C12="P",D12="P"),"",IF(IF(COUNT(L12:Q12)&lt;5,SUM(L12:Q12),IF(COUNT(L12:Q12)=5,SUM(L12:Q12)-MIN(L12:Q12),SUM(L12:Q12)-MIN(L12:Q12)-SMALL(L12:Q12,2)))&gt;0,IF(COUNT(L12:Q12)&lt;5,SUM(L12:Q12),IF(COUNT(L12:Q12)=5,SUM(L12:Q12)-MIN(L12:Q12),SUM(L12:Q12)-MIN(L12:Q12)-SMALL(L12:Q12,2))),0)))</f>
        <v>24</v>
      </c>
      <c r="AC12" s="9">
        <f>COUNTIF(L12:Q12,"&lt;=8")</f>
        <v>3</v>
      </c>
      <c r="AD12" s="9">
        <f>MIN(L12:Q12)</f>
        <v>3</v>
      </c>
    </row>
    <row r="13" spans="1:36" x14ac:dyDescent="0.2">
      <c r="A13" s="7" t="s">
        <v>72</v>
      </c>
      <c r="B13" s="6" t="s">
        <v>16</v>
      </c>
      <c r="E13" s="3" t="str">
        <f>IF(AA13="","",RANK(AA13,AA:AA))</f>
        <v/>
      </c>
      <c r="F13" s="6">
        <v>4</v>
      </c>
      <c r="G13" s="6">
        <v>8</v>
      </c>
      <c r="H13" s="6">
        <v>9</v>
      </c>
      <c r="I13" s="6">
        <v>11</v>
      </c>
      <c r="J13" s="6"/>
      <c r="K13" s="6"/>
      <c r="L13" s="9">
        <f>IF(OR($C13&lt;&gt;"",$D13&lt;&gt;"",F13=""),"",F13-SUMPRODUCT(--($C$3:$C$102="P"),--(F$3:F$102&lt;F13),--(F$3:F$102&lt;&gt;""))-SUMPRODUCT(--($D$3:$D$102="P"),--(F$3:F$102&lt;F13),--(F$3:F$102&lt;&gt;"")))</f>
        <v>4</v>
      </c>
      <c r="M13" s="9">
        <f>IF(OR($C13&lt;&gt;"",$D13&lt;&gt;"",G13=""),"",G13-SUMPRODUCT(--($C$3:$C$102="P"),--(G$3:G$102&lt;G13),--(G$3:G$102&lt;&gt;""))-SUMPRODUCT(--($D$3:$D$102="P"),--(G$3:G$102&lt;G13),--(G$3:G$102&lt;&gt;"")))</f>
        <v>6</v>
      </c>
      <c r="N13" s="9">
        <f>IF(OR($C13&lt;&gt;"",$D13&lt;&gt;"",H13=""),"",H13-SUMPRODUCT(--($C$3:$C$102="P"),--(H$3:H$102&lt;H13),--(H$3:H$102&lt;&gt;""))-SUMPRODUCT(--($D$3:$D$102="P"),--(H$3:H$102&lt;H13),--(H$3:H$102&lt;&gt;"")))</f>
        <v>7</v>
      </c>
      <c r="O13" s="9">
        <f>IF(OR($C13&lt;&gt;"",$D13&lt;&gt;"",I13=""),"",I13-SUMPRODUCT(--($C$3:$C$102="P"),--(I$3:I$102&lt;I13),--(I$3:I$102&lt;&gt;""))-SUMPRODUCT(--($D$3:$D$102="P"),--(I$3:I$102&lt;I13),--(I$3:I$102&lt;&gt;"")))</f>
        <v>8</v>
      </c>
      <c r="P13" s="9" t="str">
        <f>IF(OR($C13&lt;&gt;"",$D13&lt;&gt;"",J13=""),"",J13-SUMPRODUCT(--($C$3:$C$102="P"),--(J$3:J$102&lt;J13),--(J$3:J$102&lt;&gt;""))-SUMPRODUCT(--($D$3:$D$102="P"),--(J$3:J$102&lt;J13),--(J$3:J$102&lt;&gt;"")))</f>
        <v/>
      </c>
      <c r="Q13" s="9" t="str">
        <f>IF(OR($C13&lt;&gt;"",$D13&lt;&gt;"",K13=""),"",K13-SUMPRODUCT(--($C$3:$C$102="P"),--(K$3:K$102&lt;K13),--(K$3:K$102&lt;&gt;""))-SUMPRODUCT(--($D$3:$D$102="P"),--(K$3:K$102&lt;K13),--(K$3:K$102&lt;&gt;"")))</f>
        <v/>
      </c>
      <c r="R13" s="9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>44</v>
      </c>
      <c r="S13" s="9">
        <f>IF(OR(M13="",M13&gt;30),"",IF(M13=1,60,IF(M13=2,55,IF(M13=3,50,IF(M13=4,44,IF(M13=5,38,IF(M13=6,32,IF(M13=7,28,IF(M13=8,25,IF(M13=9,22,IF(M13=10,21,IF(M13=11,20,IF(M13=12,19,IF(M13=13,18,IF(M13=14,17,IF(M13=15,16,IF(M13=16,15,IF(M13=17,14,IF(M13=18,13,IF(M13=19,12,IF(M13=20,11,IF(M13=21,10,IF(M13=22,9,IF(M13=23,8,IF(M13=24,7,IF(M13=25,6,IF(M13=26,5,IF(M13=27,4,IF(M13=28,3,IF(M13=29,2,IF(M13=30,1)))))))))))))))))))))))))))))))</f>
        <v>32</v>
      </c>
      <c r="T13" s="9">
        <f>IF(OR(N13="",N13&gt;30),"",IF(N13=1,60,IF(N13=2,55,IF(N13=3,50,IF(N13=4,44,IF(N13=5,38,IF(N13=6,32,IF(N13=7,28,IF(N13=8,25,IF(N13=9,22,IF(N13=10,21,IF(N13=11,20,IF(N13=12,19,IF(N13=13,18,IF(N13=14,17,IF(N13=15,16,IF(N13=16,15,IF(N13=17,14,IF(N13=18,13,IF(N13=19,12,IF(N13=20,11,IF(N13=21,10,IF(N13=22,9,IF(N13=23,8,IF(N13=24,7,IF(N13=25,6,IF(N13=26,5,IF(N13=27,4,IF(N13=28,3,IF(N13=29,2,IF(N13=30,1)))))))))))))))))))))))))))))))</f>
        <v>28</v>
      </c>
      <c r="U13" s="9">
        <f>IF(OR(O13="",O13&gt;30),"",IF(O13=1,60,IF(O13=2,55,IF(O13=3,50,IF(O13=4,44,IF(O13=5,38,IF(O13=6,32,IF(O13=7,28,IF(O13=8,25,IF(O13=9,22,IF(O13=10,21,IF(O13=11,20,IF(O13=12,19,IF(O13=13,18,IF(O13=14,17,IF(O13=15,16,IF(O13=16,15,IF(O13=17,14,IF(O13=18,13,IF(O13=19,12,IF(O13=20,11,IF(O13=21,10,IF(O13=22,9,IF(O13=23,8,IF(O13=24,7,IF(O13=25,6,IF(O13=26,5,IF(O13=27,4,IF(O13=28,3,IF(O13=29,2,IF(O13=30,1)))))))))))))))))))))))))))))))</f>
        <v>25</v>
      </c>
      <c r="V13" s="9" t="str">
        <f>IF(OR(P13="",P13&gt;30),"",IF(P13=1,60,IF(P13=2,55,IF(P13=3,50,IF(P13=4,44,IF(P13=5,38,IF(P13=6,32,IF(P13=7,28,IF(P13=8,25,IF(P13=9,22,IF(P13=10,21,IF(P13=11,20,IF(P13=12,19,IF(P13=13,18,IF(P13=14,17,IF(P13=15,16,IF(P13=16,15,IF(P13=17,14,IF(P13=18,13,IF(P13=19,12,IF(P13=20,11,IF(P13=21,10,IF(P13=22,9,IF(P13=23,8,IF(P13=24,7,IF(P13=25,6,IF(P13=26,5,IF(P13=27,4,IF(P13=28,3,IF(P13=29,2,IF(P13=30,1)))))))))))))))))))))))))))))))</f>
        <v/>
      </c>
      <c r="W13" s="9" t="str">
        <f>IF(OR(Q13="",Q13&gt;30),"",IF(Q13=1,60,IF(Q13=2,55,IF(Q13=3,50,IF(Q13=4,44,IF(Q13=5,38,IF(Q13=6,32,IF(Q13=7,28,IF(Q13=8,25,IF(Q13=9,22,IF(Q13=10,21,IF(Q13=11,20,IF(Q13=12,19,IF(Q13=13,18,IF(Q13=14,17,IF(Q13=15,16,IF(Q13=16,15,IF(Q13=17,14,IF(Q13=18,13,IF(Q13=19,12,IF(Q13=20,11,IF(Q13=21,10,IF(Q13=22,9,IF(Q13=23,8,IF(Q13=24,7,IF(Q13=25,6,IF(Q13=26,5,IF(Q13=27,4,IF(Q13=28,3,IF(Q13=29,2,IF(Q13=30,1)))))))))))))))))))))))))))))))</f>
        <v/>
      </c>
      <c r="X13" s="15">
        <f>IF(A13="","",IF(OR(C13="P",D13="P"),"",IF(IF(COUNT(R13:W13)&lt;5,SUM(R13:W13),IF(COUNT(R13:W13)=5,SUM(R13:W13)-MIN(R13:W13),SUM(R13:W13)-MIN(R13:W13)-SMALL(R13:W13,2)))&gt;0,IF(COUNT(R13:W13)&lt;5,SUM(R13:W13)+(1000-AB13)*10^-4+AC13*10^-5+(1000-AD13)*10^-8,IF(COUNT(R13:W13)=5,SUM(R13:W13)-MIN(R13:W13)+(1000-AB13)*10^-4+AC13*10^-5+(1000-AD13)*10^-8,SUM(R13:W13)-MIN(R13:W13)-SMALL(R13:W13,2)+(1000-AB13)*10^-4+AC13*10^-5+(1000-AD13)*10^-8)),0)))</f>
        <v>129.09754996000001</v>
      </c>
      <c r="Y13" s="2" t="str">
        <f>IF(OR(X13="",X13=0),"",IF(SUMPRODUCT(--(B$3:B$102=B13),--(X$3:X$102&gt;X13),--(X$3:X$102&lt;&gt;"")),"","P"))</f>
        <v/>
      </c>
      <c r="Z13" s="2" t="str">
        <f>IF(X13="","",IF(SUMPRODUCT(--(C$3:C$102="P"),--(B$3:B$102=B13)),"P",""))</f>
        <v>P</v>
      </c>
      <c r="AA13" s="15" t="str">
        <f>IF(AND(Y13&lt;&gt;"",OR(Z13="",SUMPRODUCT(--(X$3:X$102&gt;X13),--(Z$3:Z$102="P"),--(Y$3:Y$102="P"))&lt;4)),X13,"")</f>
        <v/>
      </c>
      <c r="AB13" s="9">
        <f>IF(A13="","",IF(OR(C13="P",D13="P"),"",IF(IF(COUNT(L13:Q13)&lt;5,SUM(L13:Q13),IF(COUNT(L13:Q13)=5,SUM(L13:Q13)-MIN(L13:Q13),SUM(L13:Q13)-MIN(L13:Q13)-SMALL(L13:Q13,2)))&gt;0,IF(COUNT(L13:Q13)&lt;5,SUM(L13:Q13),IF(COUNT(L13:Q13)=5,SUM(L13:Q13)-MIN(L13:Q13),SUM(L13:Q13)-MIN(L13:Q13)-SMALL(L13:Q13,2))),0)))</f>
        <v>25</v>
      </c>
      <c r="AC13" s="9">
        <f>COUNTIF(L13:Q13,"&lt;=8")</f>
        <v>4</v>
      </c>
      <c r="AD13" s="9">
        <f>MIN(L13:Q13)</f>
        <v>4</v>
      </c>
    </row>
    <row r="14" spans="1:36" x14ac:dyDescent="0.2">
      <c r="A14" s="7" t="s">
        <v>81</v>
      </c>
      <c r="B14" s="6" t="s">
        <v>20</v>
      </c>
      <c r="E14" s="3">
        <f>IF(AA14="","",RANK(AA14,AA:AA))</f>
        <v>5</v>
      </c>
      <c r="F14" s="6">
        <v>15</v>
      </c>
      <c r="G14" s="6">
        <v>9</v>
      </c>
      <c r="H14" s="6">
        <v>3</v>
      </c>
      <c r="I14" s="6">
        <v>16</v>
      </c>
      <c r="J14" s="6"/>
      <c r="K14" s="6"/>
      <c r="L14" s="9">
        <f>IF(OR($C14&lt;&gt;"",$D14&lt;&gt;"",F14=""),"",F14-SUMPRODUCT(--($C$3:$C$102="P"),--(F$3:F$102&lt;F14),--(F$3:F$102&lt;&gt;""))-SUMPRODUCT(--($D$3:$D$102="P"),--(F$3:F$102&lt;F14),--(F$3:F$102&lt;&gt;"")))</f>
        <v>13</v>
      </c>
      <c r="M14" s="9">
        <f>IF(OR($C14&lt;&gt;"",$D14&lt;&gt;"",G14=""),"",G14-SUMPRODUCT(--($C$3:$C$102="P"),--(G$3:G$102&lt;G14),--(G$3:G$102&lt;&gt;""))-SUMPRODUCT(--($D$3:$D$102="P"),--(G$3:G$102&lt;G14),--(G$3:G$102&lt;&gt;"")))</f>
        <v>7</v>
      </c>
      <c r="N14" s="9">
        <f>IF(OR($C14&lt;&gt;"",$D14&lt;&gt;"",H14=""),"",H14-SUMPRODUCT(--($C$3:$C$102="P"),--(H$3:H$102&lt;H14),--(H$3:H$102&lt;&gt;""))-SUMPRODUCT(--($D$3:$D$102="P"),--(H$3:H$102&lt;H14),--(H$3:H$102&lt;&gt;"")))</f>
        <v>2</v>
      </c>
      <c r="O14" s="9">
        <f>IF(OR($C14&lt;&gt;"",$D14&lt;&gt;"",I14=""),"",I14-SUMPRODUCT(--($C$3:$C$102="P"),--(I$3:I$102&lt;I14),--(I$3:I$102&lt;&gt;""))-SUMPRODUCT(--($D$3:$D$102="P"),--(I$3:I$102&lt;I14),--(I$3:I$102&lt;&gt;"")))</f>
        <v>13</v>
      </c>
      <c r="P14" s="9" t="str">
        <f>IF(OR($C14&lt;&gt;"",$D14&lt;&gt;"",J14=""),"",J14-SUMPRODUCT(--($C$3:$C$102="P"),--(J$3:J$102&lt;J14),--(J$3:J$102&lt;&gt;""))-SUMPRODUCT(--($D$3:$D$102="P"),--(J$3:J$102&lt;J14),--(J$3:J$102&lt;&gt;"")))</f>
        <v/>
      </c>
      <c r="Q14" s="9" t="str">
        <f>IF(OR($C14&lt;&gt;"",$D14&lt;&gt;"",K14=""),"",K14-SUMPRODUCT(--($C$3:$C$102="P"),--(K$3:K$102&lt;K14),--(K$3:K$102&lt;&gt;""))-SUMPRODUCT(--($D$3:$D$102="P"),--(K$3:K$102&lt;K14),--(K$3:K$102&lt;&gt;"")))</f>
        <v/>
      </c>
      <c r="R14" s="9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>18</v>
      </c>
      <c r="S14" s="9">
        <f>IF(OR(M14="",M14&gt;30),"",IF(M14=1,60,IF(M14=2,55,IF(M14=3,50,IF(M14=4,44,IF(M14=5,38,IF(M14=6,32,IF(M14=7,28,IF(M14=8,25,IF(M14=9,22,IF(M14=10,21,IF(M14=11,20,IF(M14=12,19,IF(M14=13,18,IF(M14=14,17,IF(M14=15,16,IF(M14=16,15,IF(M14=17,14,IF(M14=18,13,IF(M14=19,12,IF(M14=20,11,IF(M14=21,10,IF(M14=22,9,IF(M14=23,8,IF(M14=24,7,IF(M14=25,6,IF(M14=26,5,IF(M14=27,4,IF(M14=28,3,IF(M14=29,2,IF(M14=30,1)))))))))))))))))))))))))))))))</f>
        <v>28</v>
      </c>
      <c r="T14" s="9">
        <f>IF(OR(N14="",N14&gt;30),"",IF(N14=1,60,IF(N14=2,55,IF(N14=3,50,IF(N14=4,44,IF(N14=5,38,IF(N14=6,32,IF(N14=7,28,IF(N14=8,25,IF(N14=9,22,IF(N14=10,21,IF(N14=11,20,IF(N14=12,19,IF(N14=13,18,IF(N14=14,17,IF(N14=15,16,IF(N14=16,15,IF(N14=17,14,IF(N14=18,13,IF(N14=19,12,IF(N14=20,11,IF(N14=21,10,IF(N14=22,9,IF(N14=23,8,IF(N14=24,7,IF(N14=25,6,IF(N14=26,5,IF(N14=27,4,IF(N14=28,3,IF(N14=29,2,IF(N14=30,1)))))))))))))))))))))))))))))))</f>
        <v>55</v>
      </c>
      <c r="U14" s="9">
        <f>IF(OR(O14="",O14&gt;30),"",IF(O14=1,60,IF(O14=2,55,IF(O14=3,50,IF(O14=4,44,IF(O14=5,38,IF(O14=6,32,IF(O14=7,28,IF(O14=8,25,IF(O14=9,22,IF(O14=10,21,IF(O14=11,20,IF(O14=12,19,IF(O14=13,18,IF(O14=14,17,IF(O14=15,16,IF(O14=16,15,IF(O14=17,14,IF(O14=18,13,IF(O14=19,12,IF(O14=20,11,IF(O14=21,10,IF(O14=22,9,IF(O14=23,8,IF(O14=24,7,IF(O14=25,6,IF(O14=26,5,IF(O14=27,4,IF(O14=28,3,IF(O14=29,2,IF(O14=30,1)))))))))))))))))))))))))))))))</f>
        <v>18</v>
      </c>
      <c r="V14" s="9" t="str">
        <f>IF(OR(P14="",P14&gt;30),"",IF(P14=1,60,IF(P14=2,55,IF(P14=3,50,IF(P14=4,44,IF(P14=5,38,IF(P14=6,32,IF(P14=7,28,IF(P14=8,25,IF(P14=9,22,IF(P14=10,21,IF(P14=11,20,IF(P14=12,19,IF(P14=13,18,IF(P14=14,17,IF(P14=15,16,IF(P14=16,15,IF(P14=17,14,IF(P14=18,13,IF(P14=19,12,IF(P14=20,11,IF(P14=21,10,IF(P14=22,9,IF(P14=23,8,IF(P14=24,7,IF(P14=25,6,IF(P14=26,5,IF(P14=27,4,IF(P14=28,3,IF(P14=29,2,IF(P14=30,1)))))))))))))))))))))))))))))))</f>
        <v/>
      </c>
      <c r="W14" s="9" t="str">
        <f>IF(OR(Q14="",Q14&gt;30),"",IF(Q14=1,60,IF(Q14=2,55,IF(Q14=3,50,IF(Q14=4,44,IF(Q14=5,38,IF(Q14=6,32,IF(Q14=7,28,IF(Q14=8,25,IF(Q14=9,22,IF(Q14=10,21,IF(Q14=11,20,IF(Q14=12,19,IF(Q14=13,18,IF(Q14=14,17,IF(Q14=15,16,IF(Q14=16,15,IF(Q14=17,14,IF(Q14=18,13,IF(Q14=19,12,IF(Q14=20,11,IF(Q14=21,10,IF(Q14=22,9,IF(Q14=23,8,IF(Q14=24,7,IF(Q14=25,6,IF(Q14=26,5,IF(Q14=27,4,IF(Q14=28,3,IF(Q14=29,2,IF(Q14=30,1)))))))))))))))))))))))))))))))</f>
        <v/>
      </c>
      <c r="X14" s="15">
        <f>IF(A14="","",IF(OR(C14="P",D14="P"),"",IF(IF(COUNT(R14:W14)&lt;5,SUM(R14:W14),IF(COUNT(R14:W14)=5,SUM(R14:W14)-MIN(R14:W14),SUM(R14:W14)-MIN(R14:W14)-SMALL(R14:W14,2)))&gt;0,IF(COUNT(R14:W14)&lt;5,SUM(R14:W14)+(1000-AB14)*10^-4+AC14*10^-5+(1000-AD14)*10^-8,IF(COUNT(R14:W14)=5,SUM(R14:W14)-MIN(R14:W14)+(1000-AB14)*10^-4+AC14*10^-5+(1000-AD14)*10^-8,SUM(R14:W14)-MIN(R14:W14)-SMALL(R14:W14,2)+(1000-AB14)*10^-4+AC14*10^-5+(1000-AD14)*10^-8)),0)))</f>
        <v>119.09652998000001</v>
      </c>
      <c r="Y14" s="2" t="str">
        <f>IF(OR(X14="",X14=0),"",IF(SUMPRODUCT(--(B$3:B$102=B14),--(X$3:X$102&gt;X14),--(X$3:X$102&lt;&gt;"")),"","P"))</f>
        <v>P</v>
      </c>
      <c r="Z14" s="2" t="str">
        <f>IF(X14="","",IF(SUMPRODUCT(--(C$3:C$102="P"),--(B$3:B$102=B14)),"P",""))</f>
        <v>P</v>
      </c>
      <c r="AA14" s="15">
        <f>IF(AND(Y14&lt;&gt;"",OR(Z14="",SUMPRODUCT(--(X$3:X$102&gt;X14),--(Z$3:Z$102="P"),--(Y$3:Y$102="P"))&lt;4)),X14,"")</f>
        <v>119.09652998000001</v>
      </c>
      <c r="AB14" s="9">
        <f>IF(A14="","",IF(OR(C14="P",D14="P"),"",IF(IF(COUNT(L14:Q14)&lt;5,SUM(L14:Q14),IF(COUNT(L14:Q14)=5,SUM(L14:Q14)-MIN(L14:Q14),SUM(L14:Q14)-MIN(L14:Q14)-SMALL(L14:Q14,2)))&gt;0,IF(COUNT(L14:Q14)&lt;5,SUM(L14:Q14),IF(COUNT(L14:Q14)=5,SUM(L14:Q14)-MIN(L14:Q14),SUM(L14:Q14)-MIN(L14:Q14)-SMALL(L14:Q14,2))),0)))</f>
        <v>35</v>
      </c>
      <c r="AC14" s="9">
        <f>COUNTIF(L14:Q14,"&lt;=8")</f>
        <v>2</v>
      </c>
      <c r="AD14" s="9">
        <f>MIN(L14:Q14)</f>
        <v>2</v>
      </c>
    </row>
    <row r="15" spans="1:36" x14ac:dyDescent="0.2">
      <c r="A15" s="7" t="s">
        <v>69</v>
      </c>
      <c r="B15" s="6" t="s">
        <v>18</v>
      </c>
      <c r="E15" s="3" t="str">
        <f>IF(AA15="","",RANK(AA15,AA:AA))</f>
        <v/>
      </c>
      <c r="F15" s="6">
        <v>7</v>
      </c>
      <c r="G15" s="6">
        <v>52</v>
      </c>
      <c r="H15" s="6">
        <v>8</v>
      </c>
      <c r="I15" s="6">
        <v>7</v>
      </c>
      <c r="J15" s="6"/>
      <c r="K15" s="6"/>
      <c r="L15" s="9">
        <f>IF(OR($C15&lt;&gt;"",$D15&lt;&gt;"",F15=""),"",F15-SUMPRODUCT(--($C$3:$C$102="P"),--(F$3:F$102&lt;F15),--(F$3:F$102&lt;&gt;""))-SUMPRODUCT(--($D$3:$D$102="P"),--(F$3:F$102&lt;F15),--(F$3:F$102&lt;&gt;"")))</f>
        <v>6</v>
      </c>
      <c r="M15" s="9">
        <f>IF(OR($C15&lt;&gt;"",$D15&lt;&gt;"",G15=""),"",G15-SUMPRODUCT(--($C$3:$C$102="P"),--(G$3:G$102&lt;G15),--(G$3:G$102&lt;&gt;""))-SUMPRODUCT(--($D$3:$D$102="P"),--(G$3:G$102&lt;G15),--(G$3:G$102&lt;&gt;"")))</f>
        <v>50</v>
      </c>
      <c r="N15" s="9">
        <f>IF(OR($C15&lt;&gt;"",$D15&lt;&gt;"",H15=""),"",H15-SUMPRODUCT(--($C$3:$C$102="P"),--(H$3:H$102&lt;H15),--(H$3:H$102&lt;&gt;""))-SUMPRODUCT(--($D$3:$D$102="P"),--(H$3:H$102&lt;H15),--(H$3:H$102&lt;&gt;"")))</f>
        <v>6</v>
      </c>
      <c r="O15" s="9">
        <f>IF(OR($C15&lt;&gt;"",$D15&lt;&gt;"",I15=""),"",I15-SUMPRODUCT(--($C$3:$C$102="P"),--(I$3:I$102&lt;I15),--(I$3:I$102&lt;&gt;""))-SUMPRODUCT(--($D$3:$D$102="P"),--(I$3:I$102&lt;I15),--(I$3:I$102&lt;&gt;"")))</f>
        <v>5</v>
      </c>
      <c r="P15" s="9" t="str">
        <f>IF(OR($C15&lt;&gt;"",$D15&lt;&gt;"",J15=""),"",J15-SUMPRODUCT(--($C$3:$C$102="P"),--(J$3:J$102&lt;J15),--(J$3:J$102&lt;&gt;""))-SUMPRODUCT(--($D$3:$D$102="P"),--(J$3:J$102&lt;J15),--(J$3:J$102&lt;&gt;"")))</f>
        <v/>
      </c>
      <c r="Q15" s="9" t="str">
        <f>IF(OR($C15&lt;&gt;"",$D15&lt;&gt;"",K15=""),"",K15-SUMPRODUCT(--($C$3:$C$102="P"),--(K$3:K$102&lt;K15),--(K$3:K$102&lt;&gt;""))-SUMPRODUCT(--($D$3:$D$102="P"),--(K$3:K$102&lt;K15),--(K$3:K$102&lt;&gt;"")))</f>
        <v/>
      </c>
      <c r="R15" s="9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>32</v>
      </c>
      <c r="S15" s="9" t="str">
        <f>IF(OR(M15="",M15&gt;30),"",IF(M15=1,60,IF(M15=2,55,IF(M15=3,50,IF(M15=4,44,IF(M15=5,38,IF(M15=6,32,IF(M15=7,28,IF(M15=8,25,IF(M15=9,22,IF(M15=10,21,IF(M15=11,20,IF(M15=12,19,IF(M15=13,18,IF(M15=14,17,IF(M15=15,16,IF(M15=16,15,IF(M15=17,14,IF(M15=18,13,IF(M15=19,12,IF(M15=20,11,IF(M15=21,10,IF(M15=22,9,IF(M15=23,8,IF(M15=24,7,IF(M15=25,6,IF(M15=26,5,IF(M15=27,4,IF(M15=28,3,IF(M15=29,2,IF(M15=30,1)))))))))))))))))))))))))))))))</f>
        <v/>
      </c>
      <c r="T15" s="9">
        <f>IF(OR(N15="",N15&gt;30),"",IF(N15=1,60,IF(N15=2,55,IF(N15=3,50,IF(N15=4,44,IF(N15=5,38,IF(N15=6,32,IF(N15=7,28,IF(N15=8,25,IF(N15=9,22,IF(N15=10,21,IF(N15=11,20,IF(N15=12,19,IF(N15=13,18,IF(N15=14,17,IF(N15=15,16,IF(N15=16,15,IF(N15=17,14,IF(N15=18,13,IF(N15=19,12,IF(N15=20,11,IF(N15=21,10,IF(N15=22,9,IF(N15=23,8,IF(N15=24,7,IF(N15=25,6,IF(N15=26,5,IF(N15=27,4,IF(N15=28,3,IF(N15=29,2,IF(N15=30,1)))))))))))))))))))))))))))))))</f>
        <v>32</v>
      </c>
      <c r="U15" s="9">
        <f>IF(OR(O15="",O15&gt;30),"",IF(O15=1,60,IF(O15=2,55,IF(O15=3,50,IF(O15=4,44,IF(O15=5,38,IF(O15=6,32,IF(O15=7,28,IF(O15=8,25,IF(O15=9,22,IF(O15=10,21,IF(O15=11,20,IF(O15=12,19,IF(O15=13,18,IF(O15=14,17,IF(O15=15,16,IF(O15=16,15,IF(O15=17,14,IF(O15=18,13,IF(O15=19,12,IF(O15=20,11,IF(O15=21,10,IF(O15=22,9,IF(O15=23,8,IF(O15=24,7,IF(O15=25,6,IF(O15=26,5,IF(O15=27,4,IF(O15=28,3,IF(O15=29,2,IF(O15=30,1)))))))))))))))))))))))))))))))</f>
        <v>38</v>
      </c>
      <c r="V15" s="9" t="str">
        <f>IF(OR(P15="",P15&gt;30),"",IF(P15=1,60,IF(P15=2,55,IF(P15=3,50,IF(P15=4,44,IF(P15=5,38,IF(P15=6,32,IF(P15=7,28,IF(P15=8,25,IF(P15=9,22,IF(P15=10,21,IF(P15=11,20,IF(P15=12,19,IF(P15=13,18,IF(P15=14,17,IF(P15=15,16,IF(P15=16,15,IF(P15=17,14,IF(P15=18,13,IF(P15=19,12,IF(P15=20,11,IF(P15=21,10,IF(P15=22,9,IF(P15=23,8,IF(P15=24,7,IF(P15=25,6,IF(P15=26,5,IF(P15=27,4,IF(P15=28,3,IF(P15=29,2,IF(P15=30,1)))))))))))))))))))))))))))))))</f>
        <v/>
      </c>
      <c r="W15" s="9" t="str">
        <f>IF(OR(Q15="",Q15&gt;30),"",IF(Q15=1,60,IF(Q15=2,55,IF(Q15=3,50,IF(Q15=4,44,IF(Q15=5,38,IF(Q15=6,32,IF(Q15=7,28,IF(Q15=8,25,IF(Q15=9,22,IF(Q15=10,21,IF(Q15=11,20,IF(Q15=12,19,IF(Q15=13,18,IF(Q15=14,17,IF(Q15=15,16,IF(Q15=16,15,IF(Q15=17,14,IF(Q15=18,13,IF(Q15=19,12,IF(Q15=20,11,IF(Q15=21,10,IF(Q15=22,9,IF(Q15=23,8,IF(Q15=24,7,IF(Q15=25,6,IF(Q15=26,5,IF(Q15=27,4,IF(Q15=28,3,IF(Q15=29,2,IF(Q15=30,1)))))))))))))))))))))))))))))))</f>
        <v/>
      </c>
      <c r="X15" s="15">
        <f>IF(A15="","",IF(OR(C15="P",D15="P"),"",IF(IF(COUNT(R15:W15)&lt;5,SUM(R15:W15),IF(COUNT(R15:W15)=5,SUM(R15:W15)-MIN(R15:W15),SUM(R15:W15)-MIN(R15:W15)-SMALL(R15:W15,2)))&gt;0,IF(COUNT(R15:W15)&lt;5,SUM(R15:W15)+(1000-AB15)*10^-4+AC15*10^-5+(1000-AD15)*10^-8,IF(COUNT(R15:W15)=5,SUM(R15:W15)-MIN(R15:W15)+(1000-AB15)*10^-4+AC15*10^-5+(1000-AD15)*10^-8,SUM(R15:W15)-MIN(R15:W15)-SMALL(R15:W15,2)+(1000-AB15)*10^-4+AC15*10^-5+(1000-AD15)*10^-8)),0)))</f>
        <v>102.09333995</v>
      </c>
      <c r="Y15" s="2" t="str">
        <f>IF(OR(X15="",X15=0),"",IF(SUMPRODUCT(--(B$3:B$102=B15),--(X$3:X$102&gt;X15),--(X$3:X$102&lt;&gt;"")),"","P"))</f>
        <v/>
      </c>
      <c r="Z15" s="2" t="str">
        <f>IF(X15="","",IF(SUMPRODUCT(--(C$3:C$102="P"),--(B$3:B$102=B15)),"P",""))</f>
        <v>P</v>
      </c>
      <c r="AA15" s="15" t="str">
        <f>IF(AND(Y15&lt;&gt;"",OR(Z15="",SUMPRODUCT(--(X$3:X$102&gt;X15),--(Z$3:Z$102="P"),--(Y$3:Y$102="P"))&lt;4)),X15,"")</f>
        <v/>
      </c>
      <c r="AB15" s="9">
        <f>IF(A15="","",IF(OR(C15="P",D15="P"),"",IF(IF(COUNT(L15:Q15)&lt;5,SUM(L15:Q15),IF(COUNT(L15:Q15)=5,SUM(L15:Q15)-MIN(L15:Q15),SUM(L15:Q15)-MIN(L15:Q15)-SMALL(L15:Q15,2)))&gt;0,IF(COUNT(L15:Q15)&lt;5,SUM(L15:Q15),IF(COUNT(L15:Q15)=5,SUM(L15:Q15)-MIN(L15:Q15),SUM(L15:Q15)-MIN(L15:Q15)-SMALL(L15:Q15,2))),0)))</f>
        <v>67</v>
      </c>
      <c r="AC15" s="9">
        <f>COUNTIF(L15:Q15,"&lt;=8")</f>
        <v>3</v>
      </c>
      <c r="AD15" s="9">
        <f>MIN(L15:Q15)</f>
        <v>5</v>
      </c>
    </row>
    <row r="16" spans="1:36" x14ac:dyDescent="0.2">
      <c r="A16" s="7" t="s">
        <v>80</v>
      </c>
      <c r="B16" s="6" t="s">
        <v>20</v>
      </c>
      <c r="E16" s="3" t="str">
        <f>IF(AA16="","",RANK(AA16,AA:AA))</f>
        <v/>
      </c>
      <c r="F16" s="6">
        <v>14</v>
      </c>
      <c r="G16" s="6">
        <v>1</v>
      </c>
      <c r="H16" s="6">
        <v>11</v>
      </c>
      <c r="I16" s="6">
        <v>81</v>
      </c>
      <c r="J16" s="6"/>
      <c r="K16" s="6"/>
      <c r="L16" s="9">
        <f>IF(OR($C16&lt;&gt;"",$D16&lt;&gt;"",F16=""),"",F16-SUMPRODUCT(--($C$3:$C$102="P"),--(F$3:F$102&lt;F16),--(F$3:F$102&lt;&gt;""))-SUMPRODUCT(--($D$3:$D$102="P"),--(F$3:F$102&lt;F16),--(F$3:F$102&lt;&gt;"")))</f>
        <v>12</v>
      </c>
      <c r="M16" s="9">
        <f>IF(OR($C16&lt;&gt;"",$D16&lt;&gt;"",G16=""),"",G16-SUMPRODUCT(--($C$3:$C$102="P"),--(G$3:G$102&lt;G16),--(G$3:G$102&lt;&gt;""))-SUMPRODUCT(--($D$3:$D$102="P"),--(G$3:G$102&lt;G16),--(G$3:G$102&lt;&gt;"")))</f>
        <v>1</v>
      </c>
      <c r="N16" s="9">
        <f>IF(OR($C16&lt;&gt;"",$D16&lt;&gt;"",H16=""),"",H16-SUMPRODUCT(--($C$3:$C$102="P"),--(H$3:H$102&lt;H16),--(H$3:H$102&lt;&gt;""))-SUMPRODUCT(--($D$3:$D$102="P"),--(H$3:H$102&lt;H16),--(H$3:H$102&lt;&gt;"")))</f>
        <v>9</v>
      </c>
      <c r="O16" s="9">
        <f>IF(OR($C16&lt;&gt;"",$D16&lt;&gt;"",I16=""),"",I16-SUMPRODUCT(--($C$3:$C$102="P"),--(I$3:I$102&lt;I16),--(I$3:I$102&lt;&gt;""))-SUMPRODUCT(--($D$3:$D$102="P"),--(I$3:I$102&lt;I16),--(I$3:I$102&lt;&gt;"")))</f>
        <v>76</v>
      </c>
      <c r="P16" s="9" t="str">
        <f>IF(OR($C16&lt;&gt;"",$D16&lt;&gt;"",J16=""),"",J16-SUMPRODUCT(--($C$3:$C$102="P"),--(J$3:J$102&lt;J16),--(J$3:J$102&lt;&gt;""))-SUMPRODUCT(--($D$3:$D$102="P"),--(J$3:J$102&lt;J16),--(J$3:J$102&lt;&gt;"")))</f>
        <v/>
      </c>
      <c r="Q16" s="9" t="str">
        <f>IF(OR($C16&lt;&gt;"",$D16&lt;&gt;"",K16=""),"",K16-SUMPRODUCT(--($C$3:$C$102="P"),--(K$3:K$102&lt;K16),--(K$3:K$102&lt;&gt;""))-SUMPRODUCT(--($D$3:$D$102="P"),--(K$3:K$102&lt;K16),--(K$3:K$102&lt;&gt;"")))</f>
        <v/>
      </c>
      <c r="R16" s="9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>19</v>
      </c>
      <c r="S16" s="9">
        <f>IF(OR(M16="",M16&gt;30),"",IF(M16=1,60,IF(M16=2,55,IF(M16=3,50,IF(M16=4,44,IF(M16=5,38,IF(M16=6,32,IF(M16=7,28,IF(M16=8,25,IF(M16=9,22,IF(M16=10,21,IF(M16=11,20,IF(M16=12,19,IF(M16=13,18,IF(M16=14,17,IF(M16=15,16,IF(M16=16,15,IF(M16=17,14,IF(M16=18,13,IF(M16=19,12,IF(M16=20,11,IF(M16=21,10,IF(M16=22,9,IF(M16=23,8,IF(M16=24,7,IF(M16=25,6,IF(M16=26,5,IF(M16=27,4,IF(M16=28,3,IF(M16=29,2,IF(M16=30,1)))))))))))))))))))))))))))))))</f>
        <v>60</v>
      </c>
      <c r="T16" s="9">
        <f>IF(OR(N16="",N16&gt;30),"",IF(N16=1,60,IF(N16=2,55,IF(N16=3,50,IF(N16=4,44,IF(N16=5,38,IF(N16=6,32,IF(N16=7,28,IF(N16=8,25,IF(N16=9,22,IF(N16=10,21,IF(N16=11,20,IF(N16=12,19,IF(N16=13,18,IF(N16=14,17,IF(N16=15,16,IF(N16=16,15,IF(N16=17,14,IF(N16=18,13,IF(N16=19,12,IF(N16=20,11,IF(N16=21,10,IF(N16=22,9,IF(N16=23,8,IF(N16=24,7,IF(N16=25,6,IF(N16=26,5,IF(N16=27,4,IF(N16=28,3,IF(N16=29,2,IF(N16=30,1)))))))))))))))))))))))))))))))</f>
        <v>22</v>
      </c>
      <c r="U16" s="9" t="str">
        <f>IF(OR(O16="",O16&gt;30),"",IF(O16=1,60,IF(O16=2,55,IF(O16=3,50,IF(O16=4,44,IF(O16=5,38,IF(O16=6,32,IF(O16=7,28,IF(O16=8,25,IF(O16=9,22,IF(O16=10,21,IF(O16=11,20,IF(O16=12,19,IF(O16=13,18,IF(O16=14,17,IF(O16=15,16,IF(O16=16,15,IF(O16=17,14,IF(O16=18,13,IF(O16=19,12,IF(O16=20,11,IF(O16=21,10,IF(O16=22,9,IF(O16=23,8,IF(O16=24,7,IF(O16=25,6,IF(O16=26,5,IF(O16=27,4,IF(O16=28,3,IF(O16=29,2,IF(O16=30,1)))))))))))))))))))))))))))))))</f>
        <v/>
      </c>
      <c r="V16" s="9" t="str">
        <f>IF(OR(P16="",P16&gt;30),"",IF(P16=1,60,IF(P16=2,55,IF(P16=3,50,IF(P16=4,44,IF(P16=5,38,IF(P16=6,32,IF(P16=7,28,IF(P16=8,25,IF(P16=9,22,IF(P16=10,21,IF(P16=11,20,IF(P16=12,19,IF(P16=13,18,IF(P16=14,17,IF(P16=15,16,IF(P16=16,15,IF(P16=17,14,IF(P16=18,13,IF(P16=19,12,IF(P16=20,11,IF(P16=21,10,IF(P16=22,9,IF(P16=23,8,IF(P16=24,7,IF(P16=25,6,IF(P16=26,5,IF(P16=27,4,IF(P16=28,3,IF(P16=29,2,IF(P16=30,1)))))))))))))))))))))))))))))))</f>
        <v/>
      </c>
      <c r="W16" s="9" t="str">
        <f>IF(OR(Q16="",Q16&gt;30),"",IF(Q16=1,60,IF(Q16=2,55,IF(Q16=3,50,IF(Q16=4,44,IF(Q16=5,38,IF(Q16=6,32,IF(Q16=7,28,IF(Q16=8,25,IF(Q16=9,22,IF(Q16=10,21,IF(Q16=11,20,IF(Q16=12,19,IF(Q16=13,18,IF(Q16=14,17,IF(Q16=15,16,IF(Q16=16,15,IF(Q16=17,14,IF(Q16=18,13,IF(Q16=19,12,IF(Q16=20,11,IF(Q16=21,10,IF(Q16=22,9,IF(Q16=23,8,IF(Q16=24,7,IF(Q16=25,6,IF(Q16=26,5,IF(Q16=27,4,IF(Q16=28,3,IF(Q16=29,2,IF(Q16=30,1)))))))))))))))))))))))))))))))</f>
        <v/>
      </c>
      <c r="X16" s="15">
        <f>IF(A16="","",IF(OR(C16="P",D16="P"),"",IF(IF(COUNT(R16:W16)&lt;5,SUM(R16:W16),IF(COUNT(R16:W16)=5,SUM(R16:W16)-MIN(R16:W16),SUM(R16:W16)-MIN(R16:W16)-SMALL(R16:W16,2)))&gt;0,IF(COUNT(R16:W16)&lt;5,SUM(R16:W16)+(1000-AB16)*10^-4+AC16*10^-5+(1000-AD16)*10^-8,IF(COUNT(R16:W16)=5,SUM(R16:W16)-MIN(R16:W16)+(1000-AB16)*10^-4+AC16*10^-5+(1000-AD16)*10^-8,SUM(R16:W16)-MIN(R16:W16)-SMALL(R16:W16,2)+(1000-AB16)*10^-4+AC16*10^-5+(1000-AD16)*10^-8)),0)))</f>
        <v>101.09021998999999</v>
      </c>
      <c r="Y16" s="2" t="str">
        <f>IF(OR(X16="",X16=0),"",IF(SUMPRODUCT(--(B$3:B$102=B16),--(X$3:X$102&gt;X16),--(X$3:X$102&lt;&gt;"")),"","P"))</f>
        <v/>
      </c>
      <c r="Z16" s="2" t="str">
        <f>IF(X16="","",IF(SUMPRODUCT(--(C$3:C$102="P"),--(B$3:B$102=B16)),"P",""))</f>
        <v>P</v>
      </c>
      <c r="AA16" s="15" t="str">
        <f>IF(AND(Y16&lt;&gt;"",OR(Z16="",SUMPRODUCT(--(X$3:X$102&gt;X16),--(Z$3:Z$102="P"),--(Y$3:Y$102="P"))&lt;4)),X16,"")</f>
        <v/>
      </c>
      <c r="AB16" s="9">
        <f>IF(A16="","",IF(OR(C16="P",D16="P"),"",IF(IF(COUNT(L16:Q16)&lt;5,SUM(L16:Q16),IF(COUNT(L16:Q16)=5,SUM(L16:Q16)-MIN(L16:Q16),SUM(L16:Q16)-MIN(L16:Q16)-SMALL(L16:Q16,2)))&gt;0,IF(COUNT(L16:Q16)&lt;5,SUM(L16:Q16),IF(COUNT(L16:Q16)=5,SUM(L16:Q16)-MIN(L16:Q16),SUM(L16:Q16)-MIN(L16:Q16)-SMALL(L16:Q16,2))),0)))</f>
        <v>98</v>
      </c>
      <c r="AC16" s="9">
        <f>COUNTIF(L16:Q16,"&lt;=8")</f>
        <v>1</v>
      </c>
      <c r="AD16" s="9">
        <f>MIN(L16:Q16)</f>
        <v>1</v>
      </c>
    </row>
    <row r="17" spans="1:30" x14ac:dyDescent="0.2">
      <c r="A17" s="7" t="s">
        <v>78</v>
      </c>
      <c r="B17" s="6" t="s">
        <v>82</v>
      </c>
      <c r="E17" s="3">
        <f>IF(AA17="","",RANK(AA17,AA:AA))</f>
        <v>6</v>
      </c>
      <c r="F17" s="6">
        <v>12</v>
      </c>
      <c r="G17" s="6">
        <v>7</v>
      </c>
      <c r="H17" s="6">
        <v>12</v>
      </c>
      <c r="I17" s="6">
        <v>80</v>
      </c>
      <c r="J17" s="6"/>
      <c r="K17" s="6"/>
      <c r="L17" s="9">
        <f>IF(OR($C17&lt;&gt;"",$D17&lt;&gt;"",F17=""),"",F17-SUMPRODUCT(--($C$3:$C$102="P"),--(F$3:F$102&lt;F17),--(F$3:F$102&lt;&gt;""))-SUMPRODUCT(--($D$3:$D$102="P"),--(F$3:F$102&lt;F17),--(F$3:F$102&lt;&gt;"")))</f>
        <v>11</v>
      </c>
      <c r="M17" s="9">
        <f>IF(OR($C17&lt;&gt;"",$D17&lt;&gt;"",G17=""),"",G17-SUMPRODUCT(--($C$3:$C$102="P"),--(G$3:G$102&lt;G17),--(G$3:G$102&lt;&gt;""))-SUMPRODUCT(--($D$3:$D$102="P"),--(G$3:G$102&lt;G17),--(G$3:G$102&lt;&gt;"")))</f>
        <v>5</v>
      </c>
      <c r="N17" s="9">
        <f>IF(OR($C17&lt;&gt;"",$D17&lt;&gt;"",H17=""),"",H17-SUMPRODUCT(--($C$3:$C$102="P"),--(H$3:H$102&lt;H17),--(H$3:H$102&lt;&gt;""))-SUMPRODUCT(--($D$3:$D$102="P"),--(H$3:H$102&lt;H17),--(H$3:H$102&lt;&gt;"")))</f>
        <v>10</v>
      </c>
      <c r="O17" s="9">
        <f>IF(OR($C17&lt;&gt;"",$D17&lt;&gt;"",I17=""),"",I17-SUMPRODUCT(--($C$3:$C$102="P"),--(I$3:I$102&lt;I17),--(I$3:I$102&lt;&gt;""))-SUMPRODUCT(--($D$3:$D$102="P"),--(I$3:I$102&lt;I17),--(I$3:I$102&lt;&gt;"")))</f>
        <v>75</v>
      </c>
      <c r="P17" s="9" t="str">
        <f>IF(OR($C17&lt;&gt;"",$D17&lt;&gt;"",J17=""),"",J17-SUMPRODUCT(--($C$3:$C$102="P"),--(J$3:J$102&lt;J17),--(J$3:J$102&lt;&gt;""))-SUMPRODUCT(--($D$3:$D$102="P"),--(J$3:J$102&lt;J17),--(J$3:J$102&lt;&gt;"")))</f>
        <v/>
      </c>
      <c r="Q17" s="9" t="str">
        <f>IF(OR($C17&lt;&gt;"",$D17&lt;&gt;"",K17=""),"",K17-SUMPRODUCT(--($C$3:$C$102="P"),--(K$3:K$102&lt;K17),--(K$3:K$102&lt;&gt;""))-SUMPRODUCT(--($D$3:$D$102="P"),--(K$3:K$102&lt;K17),--(K$3:K$102&lt;&gt;"")))</f>
        <v/>
      </c>
      <c r="R17" s="9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>20</v>
      </c>
      <c r="S17" s="9">
        <f>IF(OR(M17="",M17&gt;30),"",IF(M17=1,60,IF(M17=2,55,IF(M17=3,50,IF(M17=4,44,IF(M17=5,38,IF(M17=6,32,IF(M17=7,28,IF(M17=8,25,IF(M17=9,22,IF(M17=10,21,IF(M17=11,20,IF(M17=12,19,IF(M17=13,18,IF(M17=14,17,IF(M17=15,16,IF(M17=16,15,IF(M17=17,14,IF(M17=18,13,IF(M17=19,12,IF(M17=20,11,IF(M17=21,10,IF(M17=22,9,IF(M17=23,8,IF(M17=24,7,IF(M17=25,6,IF(M17=26,5,IF(M17=27,4,IF(M17=28,3,IF(M17=29,2,IF(M17=30,1)))))))))))))))))))))))))))))))</f>
        <v>38</v>
      </c>
      <c r="T17" s="9">
        <f>IF(OR(N17="",N17&gt;30),"",IF(N17=1,60,IF(N17=2,55,IF(N17=3,50,IF(N17=4,44,IF(N17=5,38,IF(N17=6,32,IF(N17=7,28,IF(N17=8,25,IF(N17=9,22,IF(N17=10,21,IF(N17=11,20,IF(N17=12,19,IF(N17=13,18,IF(N17=14,17,IF(N17=15,16,IF(N17=16,15,IF(N17=17,14,IF(N17=18,13,IF(N17=19,12,IF(N17=20,11,IF(N17=21,10,IF(N17=22,9,IF(N17=23,8,IF(N17=24,7,IF(N17=25,6,IF(N17=26,5,IF(N17=27,4,IF(N17=28,3,IF(N17=29,2,IF(N17=30,1)))))))))))))))))))))))))))))))</f>
        <v>21</v>
      </c>
      <c r="U17" s="9" t="str">
        <f>IF(OR(O17="",O17&gt;30),"",IF(O17=1,60,IF(O17=2,55,IF(O17=3,50,IF(O17=4,44,IF(O17=5,38,IF(O17=6,32,IF(O17=7,28,IF(O17=8,25,IF(O17=9,22,IF(O17=10,21,IF(O17=11,20,IF(O17=12,19,IF(O17=13,18,IF(O17=14,17,IF(O17=15,16,IF(O17=16,15,IF(O17=17,14,IF(O17=18,13,IF(O17=19,12,IF(O17=20,11,IF(O17=21,10,IF(O17=22,9,IF(O17=23,8,IF(O17=24,7,IF(O17=25,6,IF(O17=26,5,IF(O17=27,4,IF(O17=28,3,IF(O17=29,2,IF(O17=30,1)))))))))))))))))))))))))))))))</f>
        <v/>
      </c>
      <c r="V17" s="9" t="str">
        <f>IF(OR(P17="",P17&gt;30),"",IF(P17=1,60,IF(P17=2,55,IF(P17=3,50,IF(P17=4,44,IF(P17=5,38,IF(P17=6,32,IF(P17=7,28,IF(P17=8,25,IF(P17=9,22,IF(P17=10,21,IF(P17=11,20,IF(P17=12,19,IF(P17=13,18,IF(P17=14,17,IF(P17=15,16,IF(P17=16,15,IF(P17=17,14,IF(P17=18,13,IF(P17=19,12,IF(P17=20,11,IF(P17=21,10,IF(P17=22,9,IF(P17=23,8,IF(P17=24,7,IF(P17=25,6,IF(P17=26,5,IF(P17=27,4,IF(P17=28,3,IF(P17=29,2,IF(P17=30,1)))))))))))))))))))))))))))))))</f>
        <v/>
      </c>
      <c r="W17" s="9" t="str">
        <f>IF(OR(Q17="",Q17&gt;30),"",IF(Q17=1,60,IF(Q17=2,55,IF(Q17=3,50,IF(Q17=4,44,IF(Q17=5,38,IF(Q17=6,32,IF(Q17=7,28,IF(Q17=8,25,IF(Q17=9,22,IF(Q17=10,21,IF(Q17=11,20,IF(Q17=12,19,IF(Q17=13,18,IF(Q17=14,17,IF(Q17=15,16,IF(Q17=16,15,IF(Q17=17,14,IF(Q17=18,13,IF(Q17=19,12,IF(Q17=20,11,IF(Q17=21,10,IF(Q17=22,9,IF(Q17=23,8,IF(Q17=24,7,IF(Q17=25,6,IF(Q17=26,5,IF(Q17=27,4,IF(Q17=28,3,IF(Q17=29,2,IF(Q17=30,1)))))))))))))))))))))))))))))))</f>
        <v/>
      </c>
      <c r="X17" s="15">
        <f>IF(A17="","",IF(OR(C17="P",D17="P"),"",IF(IF(COUNT(R17:W17)&lt;5,SUM(R17:W17),IF(COUNT(R17:W17)=5,SUM(R17:W17)-MIN(R17:W17),SUM(R17:W17)-MIN(R17:W17)-SMALL(R17:W17,2)))&gt;0,IF(COUNT(R17:W17)&lt;5,SUM(R17:W17)+(1000-AB17)*10^-4+AC17*10^-5+(1000-AD17)*10^-8,IF(COUNT(R17:W17)=5,SUM(R17:W17)-MIN(R17:W17)+(1000-AB17)*10^-4+AC17*10^-5+(1000-AD17)*10^-8,SUM(R17:W17)-MIN(R17:W17)-SMALL(R17:W17,2)+(1000-AB17)*10^-4+AC17*10^-5+(1000-AD17)*10^-8)),0)))</f>
        <v>79.089919950000009</v>
      </c>
      <c r="Y17" s="2" t="str">
        <f>IF(OR(X17="",X17=0),"",IF(SUMPRODUCT(--(B$3:B$102=B17),--(X$3:X$102&gt;X17),--(X$3:X$102&lt;&gt;"")),"","P"))</f>
        <v>P</v>
      </c>
      <c r="Z17" s="2" t="str">
        <f>IF(X17="","",IF(SUMPRODUCT(--(C$3:C$102="P"),--(B$3:B$102=B17)),"P",""))</f>
        <v/>
      </c>
      <c r="AA17" s="15">
        <f>IF(AND(Y17&lt;&gt;"",OR(Z17="",SUMPRODUCT(--(X$3:X$102&gt;X17),--(Z$3:Z$102="P"),--(Y$3:Y$102="P"))&lt;4)),X17,"")</f>
        <v>79.089919950000009</v>
      </c>
      <c r="AB17" s="9">
        <f>IF(A17="","",IF(OR(C17="P",D17="P"),"",IF(IF(COUNT(L17:Q17)&lt;5,SUM(L17:Q17),IF(COUNT(L17:Q17)=5,SUM(L17:Q17)-MIN(L17:Q17),SUM(L17:Q17)-MIN(L17:Q17)-SMALL(L17:Q17,2)))&gt;0,IF(COUNT(L17:Q17)&lt;5,SUM(L17:Q17),IF(COUNT(L17:Q17)=5,SUM(L17:Q17)-MIN(L17:Q17),SUM(L17:Q17)-MIN(L17:Q17)-SMALL(L17:Q17,2))),0)))</f>
        <v>101</v>
      </c>
      <c r="AC17" s="9">
        <f>COUNTIF(L17:Q17,"&lt;=8")</f>
        <v>1</v>
      </c>
      <c r="AD17" s="9">
        <f>MIN(L17:Q17)</f>
        <v>5</v>
      </c>
    </row>
    <row r="18" spans="1:30" x14ac:dyDescent="0.2">
      <c r="A18" s="7" t="s">
        <v>85</v>
      </c>
      <c r="B18" s="6" t="s">
        <v>59</v>
      </c>
      <c r="E18" s="3">
        <f>IF(AA18="","",RANK(AA18,AA:AA))</f>
        <v>7</v>
      </c>
      <c r="F18" s="6">
        <v>18</v>
      </c>
      <c r="G18" s="6">
        <v>13</v>
      </c>
      <c r="H18" s="6">
        <v>14</v>
      </c>
      <c r="I18" s="6">
        <v>12</v>
      </c>
      <c r="J18" s="6"/>
      <c r="K18" s="6"/>
      <c r="L18" s="9">
        <f>IF(OR($C18&lt;&gt;"",$D18&lt;&gt;"",F18=""),"",F18-SUMPRODUCT(--($C$3:$C$102="P"),--(F$3:F$102&lt;F18),--(F$3:F$102&lt;&gt;""))-SUMPRODUCT(--($D$3:$D$102="P"),--(F$3:F$102&lt;F18),--(F$3:F$102&lt;&gt;"")))</f>
        <v>16</v>
      </c>
      <c r="M18" s="9">
        <f>IF(OR($C18&lt;&gt;"",$D18&lt;&gt;"",G18=""),"",G18-SUMPRODUCT(--($C$3:$C$102="P"),--(G$3:G$102&lt;G18),--(G$3:G$102&lt;&gt;""))-SUMPRODUCT(--($D$3:$D$102="P"),--(G$3:G$102&lt;G18),--(G$3:G$102&lt;&gt;"")))</f>
        <v>11</v>
      </c>
      <c r="N18" s="9">
        <f>IF(OR($C18&lt;&gt;"",$D18&lt;&gt;"",H18=""),"",H18-SUMPRODUCT(--($C$3:$C$102="P"),--(H$3:H$102&lt;H18),--(H$3:H$102&lt;&gt;""))-SUMPRODUCT(--($D$3:$D$102="P"),--(H$3:H$102&lt;H18),--(H$3:H$102&lt;&gt;"")))</f>
        <v>12</v>
      </c>
      <c r="O18" s="9">
        <f>IF(OR($C18&lt;&gt;"",$D18&lt;&gt;"",I18=""),"",I18-SUMPRODUCT(--($C$3:$C$102="P"),--(I$3:I$102&lt;I18),--(I$3:I$102&lt;&gt;""))-SUMPRODUCT(--($D$3:$D$102="P"),--(I$3:I$102&lt;I18),--(I$3:I$102&lt;&gt;"")))</f>
        <v>9</v>
      </c>
      <c r="P18" s="9" t="str">
        <f>IF(OR($C18&lt;&gt;"",$D18&lt;&gt;"",J18=""),"",J18-SUMPRODUCT(--($C$3:$C$102="P"),--(J$3:J$102&lt;J18),--(J$3:J$102&lt;&gt;""))-SUMPRODUCT(--($D$3:$D$102="P"),--(J$3:J$102&lt;J18),--(J$3:J$102&lt;&gt;"")))</f>
        <v/>
      </c>
      <c r="Q18" s="9" t="str">
        <f>IF(OR($C18&lt;&gt;"",$D18&lt;&gt;"",K18=""),"",K18-SUMPRODUCT(--($C$3:$C$102="P"),--(K$3:K$102&lt;K18),--(K$3:K$102&lt;&gt;""))-SUMPRODUCT(--($D$3:$D$102="P"),--(K$3:K$102&lt;K18),--(K$3:K$102&lt;&gt;"")))</f>
        <v/>
      </c>
      <c r="R18" s="9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>15</v>
      </c>
      <c r="S18" s="9">
        <f>IF(OR(M18="",M18&gt;30),"",IF(M18=1,60,IF(M18=2,55,IF(M18=3,50,IF(M18=4,44,IF(M18=5,38,IF(M18=6,32,IF(M18=7,28,IF(M18=8,25,IF(M18=9,22,IF(M18=10,21,IF(M18=11,20,IF(M18=12,19,IF(M18=13,18,IF(M18=14,17,IF(M18=15,16,IF(M18=16,15,IF(M18=17,14,IF(M18=18,13,IF(M18=19,12,IF(M18=20,11,IF(M18=21,10,IF(M18=22,9,IF(M18=23,8,IF(M18=24,7,IF(M18=25,6,IF(M18=26,5,IF(M18=27,4,IF(M18=28,3,IF(M18=29,2,IF(M18=30,1)))))))))))))))))))))))))))))))</f>
        <v>20</v>
      </c>
      <c r="T18" s="9">
        <f>IF(OR(N18="",N18&gt;30),"",IF(N18=1,60,IF(N18=2,55,IF(N18=3,50,IF(N18=4,44,IF(N18=5,38,IF(N18=6,32,IF(N18=7,28,IF(N18=8,25,IF(N18=9,22,IF(N18=10,21,IF(N18=11,20,IF(N18=12,19,IF(N18=13,18,IF(N18=14,17,IF(N18=15,16,IF(N18=16,15,IF(N18=17,14,IF(N18=18,13,IF(N18=19,12,IF(N18=20,11,IF(N18=21,10,IF(N18=22,9,IF(N18=23,8,IF(N18=24,7,IF(N18=25,6,IF(N18=26,5,IF(N18=27,4,IF(N18=28,3,IF(N18=29,2,IF(N18=30,1)))))))))))))))))))))))))))))))</f>
        <v>19</v>
      </c>
      <c r="U18" s="9">
        <f>IF(OR(O18="",O18&gt;30),"",IF(O18=1,60,IF(O18=2,55,IF(O18=3,50,IF(O18=4,44,IF(O18=5,38,IF(O18=6,32,IF(O18=7,28,IF(O18=8,25,IF(O18=9,22,IF(O18=10,21,IF(O18=11,20,IF(O18=12,19,IF(O18=13,18,IF(O18=14,17,IF(O18=15,16,IF(O18=16,15,IF(O18=17,14,IF(O18=18,13,IF(O18=19,12,IF(O18=20,11,IF(O18=21,10,IF(O18=22,9,IF(O18=23,8,IF(O18=24,7,IF(O18=25,6,IF(O18=26,5,IF(O18=27,4,IF(O18=28,3,IF(O18=29,2,IF(O18=30,1)))))))))))))))))))))))))))))))</f>
        <v>22</v>
      </c>
      <c r="V18" s="9" t="str">
        <f>IF(OR(P18="",P18&gt;30),"",IF(P18=1,60,IF(P18=2,55,IF(P18=3,50,IF(P18=4,44,IF(P18=5,38,IF(P18=6,32,IF(P18=7,28,IF(P18=8,25,IF(P18=9,22,IF(P18=10,21,IF(P18=11,20,IF(P18=12,19,IF(P18=13,18,IF(P18=14,17,IF(P18=15,16,IF(P18=16,15,IF(P18=17,14,IF(P18=18,13,IF(P18=19,12,IF(P18=20,11,IF(P18=21,10,IF(P18=22,9,IF(P18=23,8,IF(P18=24,7,IF(P18=25,6,IF(P18=26,5,IF(P18=27,4,IF(P18=28,3,IF(P18=29,2,IF(P18=30,1)))))))))))))))))))))))))))))))</f>
        <v/>
      </c>
      <c r="W18" s="9" t="str">
        <f>IF(OR(Q18="",Q18&gt;30),"",IF(Q18=1,60,IF(Q18=2,55,IF(Q18=3,50,IF(Q18=4,44,IF(Q18=5,38,IF(Q18=6,32,IF(Q18=7,28,IF(Q18=8,25,IF(Q18=9,22,IF(Q18=10,21,IF(Q18=11,20,IF(Q18=12,19,IF(Q18=13,18,IF(Q18=14,17,IF(Q18=15,16,IF(Q18=16,15,IF(Q18=17,14,IF(Q18=18,13,IF(Q18=19,12,IF(Q18=20,11,IF(Q18=21,10,IF(Q18=22,9,IF(Q18=23,8,IF(Q18=24,7,IF(Q18=25,6,IF(Q18=26,5,IF(Q18=27,4,IF(Q18=28,3,IF(Q18=29,2,IF(Q18=30,1)))))))))))))))))))))))))))))))</f>
        <v/>
      </c>
      <c r="X18" s="15">
        <f>IF(A18="","",IF(OR(C18="P",D18="P"),"",IF(IF(COUNT(R18:W18)&lt;5,SUM(R18:W18),IF(COUNT(R18:W18)=5,SUM(R18:W18)-MIN(R18:W18),SUM(R18:W18)-MIN(R18:W18)-SMALL(R18:W18,2)))&gt;0,IF(COUNT(R18:W18)&lt;5,SUM(R18:W18)+(1000-AB18)*10^-4+AC18*10^-5+(1000-AD18)*10^-8,IF(COUNT(R18:W18)=5,SUM(R18:W18)-MIN(R18:W18)+(1000-AB18)*10^-4+AC18*10^-5+(1000-AD18)*10^-8,SUM(R18:W18)-MIN(R18:W18)-SMALL(R18:W18,2)+(1000-AB18)*10^-4+AC18*10^-5+(1000-AD18)*10^-8)),0)))</f>
        <v>76.095209910000008</v>
      </c>
      <c r="Y18" s="2" t="str">
        <f>IF(OR(X18="",X18=0),"",IF(SUMPRODUCT(--(B$3:B$102=B18),--(X$3:X$102&gt;X18),--(X$3:X$102&lt;&gt;"")),"","P"))</f>
        <v>P</v>
      </c>
      <c r="Z18" s="2" t="str">
        <f>IF(X18="","",IF(SUMPRODUCT(--(C$3:C$102="P"),--(B$3:B$102=B18)),"P",""))</f>
        <v/>
      </c>
      <c r="AA18" s="15">
        <f>IF(AND(Y18&lt;&gt;"",OR(Z18="",SUMPRODUCT(--(X$3:X$102&gt;X18),--(Z$3:Z$102="P"),--(Y$3:Y$102="P"))&lt;4)),X18,"")</f>
        <v>76.095209910000008</v>
      </c>
      <c r="AB18" s="9">
        <f>IF(A18="","",IF(OR(C18="P",D18="P"),"",IF(IF(COUNT(L18:Q18)&lt;5,SUM(L18:Q18),IF(COUNT(L18:Q18)=5,SUM(L18:Q18)-MIN(L18:Q18),SUM(L18:Q18)-MIN(L18:Q18)-SMALL(L18:Q18,2)))&gt;0,IF(COUNT(L18:Q18)&lt;5,SUM(L18:Q18),IF(COUNT(L18:Q18)=5,SUM(L18:Q18)-MIN(L18:Q18),SUM(L18:Q18)-MIN(L18:Q18)-SMALL(L18:Q18,2))),0)))</f>
        <v>48</v>
      </c>
      <c r="AC18" s="9">
        <f>COUNTIF(L18:Q18,"&lt;=8")</f>
        <v>0</v>
      </c>
      <c r="AD18" s="9">
        <f>MIN(L18:Q18)</f>
        <v>9</v>
      </c>
    </row>
    <row r="19" spans="1:30" x14ac:dyDescent="0.2">
      <c r="A19" s="7" t="s">
        <v>167</v>
      </c>
      <c r="B19" s="6" t="s">
        <v>16</v>
      </c>
      <c r="E19" s="3"/>
      <c r="F19" s="6"/>
      <c r="G19" s="6"/>
      <c r="H19" s="6">
        <v>13</v>
      </c>
      <c r="I19" s="6">
        <v>6</v>
      </c>
      <c r="J19" s="6"/>
      <c r="K19" s="6"/>
      <c r="L19" s="9" t="str">
        <f>IF(OR($C19&lt;&gt;"",$D19&lt;&gt;"",F19=""),"",F19-SUMPRODUCT(--($C$3:$C$102="P"),--(F$3:F$102&lt;F19),--(F$3:F$102&lt;&gt;""))-SUMPRODUCT(--($D$3:$D$102="P"),--(F$3:F$102&lt;F19),--(F$3:F$102&lt;&gt;"")))</f>
        <v/>
      </c>
      <c r="M19" s="9" t="str">
        <f>IF(OR($C19&lt;&gt;"",$D19&lt;&gt;"",G19=""),"",G19-SUMPRODUCT(--($C$3:$C$102="P"),--(G$3:G$102&lt;G19),--(G$3:G$102&lt;&gt;""))-SUMPRODUCT(--($D$3:$D$102="P"),--(G$3:G$102&lt;G19),--(G$3:G$102&lt;&gt;"")))</f>
        <v/>
      </c>
      <c r="N19" s="9">
        <f>IF(OR($C19&lt;&gt;"",$D19&lt;&gt;"",H19=""),"",H19-SUMPRODUCT(--($C$3:$C$102="P"),--(H$3:H$102&lt;H19),--(H$3:H$102&lt;&gt;""))-SUMPRODUCT(--($D$3:$D$102="P"),--(H$3:H$102&lt;H19),--(H$3:H$102&lt;&gt;"")))</f>
        <v>11</v>
      </c>
      <c r="O19" s="9">
        <f>IF(OR($C19&lt;&gt;"",$D19&lt;&gt;"",I19=""),"",I19-SUMPRODUCT(--($C$3:$C$102="P"),--(I$3:I$102&lt;I19),--(I$3:I$102&lt;&gt;""))-SUMPRODUCT(--($D$3:$D$102="P"),--(I$3:I$102&lt;I19),--(I$3:I$102&lt;&gt;"")))</f>
        <v>4</v>
      </c>
      <c r="P19" s="9" t="str">
        <f>IF(OR($C19&lt;&gt;"",$D19&lt;&gt;"",J19=""),"",J19-SUMPRODUCT(--($C$3:$C$102="P"),--(J$3:J$102&lt;J19),--(J$3:J$102&lt;&gt;""))-SUMPRODUCT(--($D$3:$D$102="P"),--(J$3:J$102&lt;J19),--(J$3:J$102&lt;&gt;"")))</f>
        <v/>
      </c>
      <c r="Q19" s="9" t="str">
        <f>IF(OR($C19&lt;&gt;"",$D19&lt;&gt;"",K19=""),"",K19-SUMPRODUCT(--($C$3:$C$102="P"),--(K$3:K$102&lt;K19),--(K$3:K$102&lt;&gt;""))-SUMPRODUCT(--($D$3:$D$102="P"),--(K$3:K$102&lt;K19),--(K$3:K$102&lt;&gt;"")))</f>
        <v/>
      </c>
      <c r="R19" s="9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S19" s="9" t="str">
        <f>IF(OR(M19="",M19&gt;30),"",IF(M19=1,60,IF(M19=2,55,IF(M19=3,50,IF(M19=4,44,IF(M19=5,38,IF(M19=6,32,IF(M19=7,28,IF(M19=8,25,IF(M19=9,22,IF(M19=10,21,IF(M19=11,20,IF(M19=12,19,IF(M19=13,18,IF(M19=14,17,IF(M19=15,16,IF(M19=16,15,IF(M19=17,14,IF(M19=18,13,IF(M19=19,12,IF(M19=20,11,IF(M19=21,10,IF(M19=22,9,IF(M19=23,8,IF(M19=24,7,IF(M19=25,6,IF(M19=26,5,IF(M19=27,4,IF(M19=28,3,IF(M19=29,2,IF(M19=30,1)))))))))))))))))))))))))))))))</f>
        <v/>
      </c>
      <c r="T19" s="9">
        <f>IF(OR(N19="",N19&gt;30),"",IF(N19=1,60,IF(N19=2,55,IF(N19=3,50,IF(N19=4,44,IF(N19=5,38,IF(N19=6,32,IF(N19=7,28,IF(N19=8,25,IF(N19=9,22,IF(N19=10,21,IF(N19=11,20,IF(N19=12,19,IF(N19=13,18,IF(N19=14,17,IF(N19=15,16,IF(N19=16,15,IF(N19=17,14,IF(N19=18,13,IF(N19=19,12,IF(N19=20,11,IF(N19=21,10,IF(N19=22,9,IF(N19=23,8,IF(N19=24,7,IF(N19=25,6,IF(N19=26,5,IF(N19=27,4,IF(N19=28,3,IF(N19=29,2,IF(N19=30,1)))))))))))))))))))))))))))))))</f>
        <v>20</v>
      </c>
      <c r="U19" s="9">
        <f>IF(OR(O19="",O19&gt;30),"",IF(O19=1,60,IF(O19=2,55,IF(O19=3,50,IF(O19=4,44,IF(O19=5,38,IF(O19=6,32,IF(O19=7,28,IF(O19=8,25,IF(O19=9,22,IF(O19=10,21,IF(O19=11,20,IF(O19=12,19,IF(O19=13,18,IF(O19=14,17,IF(O19=15,16,IF(O19=16,15,IF(O19=17,14,IF(O19=18,13,IF(O19=19,12,IF(O19=20,11,IF(O19=21,10,IF(O19=22,9,IF(O19=23,8,IF(O19=24,7,IF(O19=25,6,IF(O19=26,5,IF(O19=27,4,IF(O19=28,3,IF(O19=29,2,IF(O19=30,1)))))))))))))))))))))))))))))))</f>
        <v>44</v>
      </c>
      <c r="V19" s="9" t="str">
        <f>IF(OR(P19="",P19&gt;30),"",IF(P19=1,60,IF(P19=2,55,IF(P19=3,50,IF(P19=4,44,IF(P19=5,38,IF(P19=6,32,IF(P19=7,28,IF(P19=8,25,IF(P19=9,22,IF(P19=10,21,IF(P19=11,20,IF(P19=12,19,IF(P19=13,18,IF(P19=14,17,IF(P19=15,16,IF(P19=16,15,IF(P19=17,14,IF(P19=18,13,IF(P19=19,12,IF(P19=20,11,IF(P19=21,10,IF(P19=22,9,IF(P19=23,8,IF(P19=24,7,IF(P19=25,6,IF(P19=26,5,IF(P19=27,4,IF(P19=28,3,IF(P19=29,2,IF(P19=30,1)))))))))))))))))))))))))))))))</f>
        <v/>
      </c>
      <c r="W19" s="9" t="str">
        <f>IF(OR(Q19="",Q19&gt;30),"",IF(Q19=1,60,IF(Q19=2,55,IF(Q19=3,50,IF(Q19=4,44,IF(Q19=5,38,IF(Q19=6,32,IF(Q19=7,28,IF(Q19=8,25,IF(Q19=9,22,IF(Q19=10,21,IF(Q19=11,20,IF(Q19=12,19,IF(Q19=13,18,IF(Q19=14,17,IF(Q19=15,16,IF(Q19=16,15,IF(Q19=17,14,IF(Q19=18,13,IF(Q19=19,12,IF(Q19=20,11,IF(Q19=21,10,IF(Q19=22,9,IF(Q19=23,8,IF(Q19=24,7,IF(Q19=25,6,IF(Q19=26,5,IF(Q19=27,4,IF(Q19=28,3,IF(Q19=29,2,IF(Q19=30,1)))))))))))))))))))))))))))))))</f>
        <v/>
      </c>
      <c r="X19" s="15">
        <f>IF(A19="","",IF(OR(C19="P",D19="P"),"",IF(IF(COUNT(R19:W19)&lt;5,SUM(R19:W19),IF(COUNT(R19:W19)=5,SUM(R19:W19)-MIN(R19:W19),SUM(R19:W19)-MIN(R19:W19)-SMALL(R19:W19,2)))&gt;0,IF(COUNT(R19:W19)&lt;5,SUM(R19:W19)+(1000-AB19)*10^-4+AC19*10^-5+(1000-AD19)*10^-8,IF(COUNT(R19:W19)=5,SUM(R19:W19)-MIN(R19:W19)+(1000-AB19)*10^-4+AC19*10^-5+(1000-AD19)*10^-8,SUM(R19:W19)-MIN(R19:W19)-SMALL(R19:W19,2)+(1000-AB19)*10^-4+AC19*10^-5+(1000-AD19)*10^-8)),0)))</f>
        <v>64.098519960000004</v>
      </c>
      <c r="Y19" s="2" t="str">
        <f>IF(OR(X19="",X19=0),"",IF(SUMPRODUCT(--(B$3:B$102=B19),--(X$3:X$102&gt;X19),--(X$3:X$102&lt;&gt;"")),"","P"))</f>
        <v/>
      </c>
      <c r="Z19" s="2" t="str">
        <f>IF(X19="","",IF(SUMPRODUCT(--(C$3:C$102="P"),--(B$3:B$102=B19)),"P",""))</f>
        <v>P</v>
      </c>
      <c r="AA19" s="15" t="str">
        <f>IF(AND(Y19&lt;&gt;"",OR(Z19="",SUMPRODUCT(--(X$3:X$102&gt;X19),--(Z$3:Z$102="P"),--(Y$3:Y$102="P"))&lt;4)),X19,"")</f>
        <v/>
      </c>
      <c r="AB19" s="9">
        <f>IF(A19="","",IF(OR(C19="P",D19="P"),"",IF(IF(COUNT(L19:Q19)&lt;5,SUM(L19:Q19),IF(COUNT(L19:Q19)=5,SUM(L19:Q19)-MIN(L19:Q19),SUM(L19:Q19)-MIN(L19:Q19)-SMALL(L19:Q19,2)))&gt;0,IF(COUNT(L19:Q19)&lt;5,SUM(L19:Q19),IF(COUNT(L19:Q19)=5,SUM(L19:Q19)-MIN(L19:Q19),SUM(L19:Q19)-MIN(L19:Q19)-SMALL(L19:Q19,2))),0)))</f>
        <v>15</v>
      </c>
      <c r="AC19" s="9">
        <f>COUNTIF(L19:Q19,"&lt;=8")</f>
        <v>1</v>
      </c>
      <c r="AD19" s="9">
        <f>MIN(L19:Q19)</f>
        <v>4</v>
      </c>
    </row>
    <row r="20" spans="1:30" x14ac:dyDescent="0.2">
      <c r="A20" s="7" t="s">
        <v>92</v>
      </c>
      <c r="B20" s="6" t="s">
        <v>17</v>
      </c>
      <c r="E20" s="3">
        <f>IF(AA20="","",RANK(AA20,AA:AA))</f>
        <v>8</v>
      </c>
      <c r="F20" s="6">
        <v>25</v>
      </c>
      <c r="G20" s="6">
        <v>15</v>
      </c>
      <c r="H20" s="6">
        <v>18</v>
      </c>
      <c r="I20" s="6">
        <v>28</v>
      </c>
      <c r="J20" s="6"/>
      <c r="K20" s="6"/>
      <c r="L20" s="9">
        <f>IF(OR($C20&lt;&gt;"",$D20&lt;&gt;"",F20=""),"",F20-SUMPRODUCT(--($C$3:$C$102="P"),--(F$3:F$102&lt;F20),--(F$3:F$102&lt;&gt;""))-SUMPRODUCT(--($D$3:$D$102="P"),--(F$3:F$102&lt;F20),--(F$3:F$102&lt;&gt;"")))</f>
        <v>22</v>
      </c>
      <c r="M20" s="9">
        <f>IF(OR($C20&lt;&gt;"",$D20&lt;&gt;"",G20=""),"",G20-SUMPRODUCT(--($C$3:$C$102="P"),--(G$3:G$102&lt;G20),--(G$3:G$102&lt;&gt;""))-SUMPRODUCT(--($D$3:$D$102="P"),--(G$3:G$102&lt;G20),--(G$3:G$102&lt;&gt;"")))</f>
        <v>13</v>
      </c>
      <c r="N20" s="9">
        <f>IF(OR($C20&lt;&gt;"",$D20&lt;&gt;"",H20=""),"",H20-SUMPRODUCT(--($C$3:$C$102="P"),--(H$3:H$102&lt;H20),--(H$3:H$102&lt;&gt;""))-SUMPRODUCT(--($D$3:$D$102="P"),--(H$3:H$102&lt;H20),--(H$3:H$102&lt;&gt;"")))</f>
        <v>14</v>
      </c>
      <c r="O20" s="9">
        <f>IF(OR($C20&lt;&gt;"",$D20&lt;&gt;"",I20=""),"",I20-SUMPRODUCT(--($C$3:$C$102="P"),--(I$3:I$102&lt;I20),--(I$3:I$102&lt;&gt;""))-SUMPRODUCT(--($D$3:$D$102="P"),--(I$3:I$102&lt;I20),--(I$3:I$102&lt;&gt;"")))</f>
        <v>23</v>
      </c>
      <c r="P20" s="9" t="str">
        <f>IF(OR($C20&lt;&gt;"",$D20&lt;&gt;"",J20=""),"",J20-SUMPRODUCT(--($C$3:$C$102="P"),--(J$3:J$102&lt;J20),--(J$3:J$102&lt;&gt;""))-SUMPRODUCT(--($D$3:$D$102="P"),--(J$3:J$102&lt;J20),--(J$3:J$102&lt;&gt;"")))</f>
        <v/>
      </c>
      <c r="Q20" s="9" t="str">
        <f>IF(OR($C20&lt;&gt;"",$D20&lt;&gt;"",K20=""),"",K20-SUMPRODUCT(--($C$3:$C$102="P"),--(K$3:K$102&lt;K20),--(K$3:K$102&lt;&gt;""))-SUMPRODUCT(--($D$3:$D$102="P"),--(K$3:K$102&lt;K20),--(K$3:K$102&lt;&gt;"")))</f>
        <v/>
      </c>
      <c r="R20" s="9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>9</v>
      </c>
      <c r="S20" s="9">
        <f>IF(OR(M20="",M20&gt;30),"",IF(M20=1,60,IF(M20=2,55,IF(M20=3,50,IF(M20=4,44,IF(M20=5,38,IF(M20=6,32,IF(M20=7,28,IF(M20=8,25,IF(M20=9,22,IF(M20=10,21,IF(M20=11,20,IF(M20=12,19,IF(M20=13,18,IF(M20=14,17,IF(M20=15,16,IF(M20=16,15,IF(M20=17,14,IF(M20=18,13,IF(M20=19,12,IF(M20=20,11,IF(M20=21,10,IF(M20=22,9,IF(M20=23,8,IF(M20=24,7,IF(M20=25,6,IF(M20=26,5,IF(M20=27,4,IF(M20=28,3,IF(M20=29,2,IF(M20=30,1)))))))))))))))))))))))))))))))</f>
        <v>18</v>
      </c>
      <c r="T20" s="9">
        <f>IF(OR(N20="",N20&gt;30),"",IF(N20=1,60,IF(N20=2,55,IF(N20=3,50,IF(N20=4,44,IF(N20=5,38,IF(N20=6,32,IF(N20=7,28,IF(N20=8,25,IF(N20=9,22,IF(N20=10,21,IF(N20=11,20,IF(N20=12,19,IF(N20=13,18,IF(N20=14,17,IF(N20=15,16,IF(N20=16,15,IF(N20=17,14,IF(N20=18,13,IF(N20=19,12,IF(N20=20,11,IF(N20=21,10,IF(N20=22,9,IF(N20=23,8,IF(N20=24,7,IF(N20=25,6,IF(N20=26,5,IF(N20=27,4,IF(N20=28,3,IF(N20=29,2,IF(N20=30,1)))))))))))))))))))))))))))))))</f>
        <v>17</v>
      </c>
      <c r="U20" s="9">
        <f>IF(OR(O20="",O20&gt;30),"",IF(O20=1,60,IF(O20=2,55,IF(O20=3,50,IF(O20=4,44,IF(O20=5,38,IF(O20=6,32,IF(O20=7,28,IF(O20=8,25,IF(O20=9,22,IF(O20=10,21,IF(O20=11,20,IF(O20=12,19,IF(O20=13,18,IF(O20=14,17,IF(O20=15,16,IF(O20=16,15,IF(O20=17,14,IF(O20=18,13,IF(O20=19,12,IF(O20=20,11,IF(O20=21,10,IF(O20=22,9,IF(O20=23,8,IF(O20=24,7,IF(O20=25,6,IF(O20=26,5,IF(O20=27,4,IF(O20=28,3,IF(O20=29,2,IF(O20=30,1)))))))))))))))))))))))))))))))</f>
        <v>8</v>
      </c>
      <c r="V20" s="9" t="str">
        <f>IF(OR(P20="",P20&gt;30),"",IF(P20=1,60,IF(P20=2,55,IF(P20=3,50,IF(P20=4,44,IF(P20=5,38,IF(P20=6,32,IF(P20=7,28,IF(P20=8,25,IF(P20=9,22,IF(P20=10,21,IF(P20=11,20,IF(P20=12,19,IF(P20=13,18,IF(P20=14,17,IF(P20=15,16,IF(P20=16,15,IF(P20=17,14,IF(P20=18,13,IF(P20=19,12,IF(P20=20,11,IF(P20=21,10,IF(P20=22,9,IF(P20=23,8,IF(P20=24,7,IF(P20=25,6,IF(P20=26,5,IF(P20=27,4,IF(P20=28,3,IF(P20=29,2,IF(P20=30,1)))))))))))))))))))))))))))))))</f>
        <v/>
      </c>
      <c r="W20" s="9" t="str">
        <f>IF(OR(Q20="",Q20&gt;30),"",IF(Q20=1,60,IF(Q20=2,55,IF(Q20=3,50,IF(Q20=4,44,IF(Q20=5,38,IF(Q20=6,32,IF(Q20=7,28,IF(Q20=8,25,IF(Q20=9,22,IF(Q20=10,21,IF(Q20=11,20,IF(Q20=12,19,IF(Q20=13,18,IF(Q20=14,17,IF(Q20=15,16,IF(Q20=16,15,IF(Q20=17,14,IF(Q20=18,13,IF(Q20=19,12,IF(Q20=20,11,IF(Q20=21,10,IF(Q20=22,9,IF(Q20=23,8,IF(Q20=24,7,IF(Q20=25,6,IF(Q20=26,5,IF(Q20=27,4,IF(Q20=28,3,IF(Q20=29,2,IF(Q20=30,1)))))))))))))))))))))))))))))))</f>
        <v/>
      </c>
      <c r="X20" s="15">
        <f>IF(A20="","",IF(OR(C20="P",D20="P"),"",IF(IF(COUNT(R20:W20)&lt;5,SUM(R20:W20),IF(COUNT(R20:W20)=5,SUM(R20:W20)-MIN(R20:W20),SUM(R20:W20)-MIN(R20:W20)-SMALL(R20:W20,2)))&gt;0,IF(COUNT(R20:W20)&lt;5,SUM(R20:W20)+(1000-AB20)*10^-4+AC20*10^-5+(1000-AD20)*10^-8,IF(COUNT(R20:W20)=5,SUM(R20:W20)-MIN(R20:W20)+(1000-AB20)*10^-4+AC20*10^-5+(1000-AD20)*10^-8,SUM(R20:W20)-MIN(R20:W20)-SMALL(R20:W20,2)+(1000-AB20)*10^-4+AC20*10^-5+(1000-AD20)*10^-8)),0)))</f>
        <v>52.092809869999996</v>
      </c>
      <c r="Y20" s="2" t="str">
        <f>IF(OR(X20="",X20=0),"",IF(SUMPRODUCT(--(B$3:B$102=B20),--(X$3:X$102&gt;X20),--(X$3:X$102&lt;&gt;"")),"","P"))</f>
        <v>P</v>
      </c>
      <c r="Z20" s="2" t="str">
        <f>IF(X20="","",IF(SUMPRODUCT(--(C$3:C$102="P"),--(B$3:B$102=B20)),"P",""))</f>
        <v/>
      </c>
      <c r="AA20" s="15">
        <f>IF(AND(Y20&lt;&gt;"",OR(Z20="",SUMPRODUCT(--(X$3:X$102&gt;X20),--(Z$3:Z$102="P"),--(Y$3:Y$102="P"))&lt;4)),X20,"")</f>
        <v>52.092809869999996</v>
      </c>
      <c r="AB20" s="9">
        <f>IF(A20="","",IF(OR(C20="P",D20="P"),"",IF(IF(COUNT(L20:Q20)&lt;5,SUM(L20:Q20),IF(COUNT(L20:Q20)=5,SUM(L20:Q20)-MIN(L20:Q20),SUM(L20:Q20)-MIN(L20:Q20)-SMALL(L20:Q20,2)))&gt;0,IF(COUNT(L20:Q20)&lt;5,SUM(L20:Q20),IF(COUNT(L20:Q20)=5,SUM(L20:Q20)-MIN(L20:Q20),SUM(L20:Q20)-MIN(L20:Q20)-SMALL(L20:Q20,2))),0)))</f>
        <v>72</v>
      </c>
      <c r="AC20" s="9">
        <f>COUNTIF(L20:Q20,"&lt;=8")</f>
        <v>0</v>
      </c>
      <c r="AD20" s="9">
        <f>MIN(L20:Q20)</f>
        <v>13</v>
      </c>
    </row>
    <row r="21" spans="1:30" x14ac:dyDescent="0.2">
      <c r="A21" s="7" t="s">
        <v>83</v>
      </c>
      <c r="B21" s="6" t="s">
        <v>82</v>
      </c>
      <c r="E21" s="3" t="str">
        <f>IF(AA21="","",RANK(AA21,AA:AA))</f>
        <v/>
      </c>
      <c r="F21" s="6">
        <v>16</v>
      </c>
      <c r="G21" s="6">
        <v>58</v>
      </c>
      <c r="H21" s="6">
        <v>20</v>
      </c>
      <c r="I21" s="6">
        <v>15</v>
      </c>
      <c r="J21" s="6"/>
      <c r="K21" s="6"/>
      <c r="L21" s="9">
        <f>IF(OR($C21&lt;&gt;"",$D21&lt;&gt;"",F21=""),"",F21-SUMPRODUCT(--($C$3:$C$102="P"),--(F$3:F$102&lt;F21),--(F$3:F$102&lt;&gt;""))-SUMPRODUCT(--($D$3:$D$102="P"),--(F$3:F$102&lt;F21),--(F$3:F$102&lt;&gt;"")))</f>
        <v>14</v>
      </c>
      <c r="M21" s="9">
        <f>IF(OR($C21&lt;&gt;"",$D21&lt;&gt;"",G21=""),"",G21-SUMPRODUCT(--($C$3:$C$102="P"),--(G$3:G$102&lt;G21),--(G$3:G$102&lt;&gt;""))-SUMPRODUCT(--($D$3:$D$102="P"),--(G$3:G$102&lt;G21),--(G$3:G$102&lt;&gt;"")))</f>
        <v>56</v>
      </c>
      <c r="N21" s="9">
        <f>IF(OR($C21&lt;&gt;"",$D21&lt;&gt;"",H21=""),"",H21-SUMPRODUCT(--($C$3:$C$102="P"),--(H$3:H$102&lt;H21),--(H$3:H$102&lt;&gt;""))-SUMPRODUCT(--($D$3:$D$102="P"),--(H$3:H$102&lt;H21),--(H$3:H$102&lt;&gt;"")))</f>
        <v>16</v>
      </c>
      <c r="O21" s="9">
        <f>IF(OR($C21&lt;&gt;"",$D21&lt;&gt;"",I21=""),"",I21-SUMPRODUCT(--($C$3:$C$102="P"),--(I$3:I$102&lt;I21),--(I$3:I$102&lt;&gt;""))-SUMPRODUCT(--($D$3:$D$102="P"),--(I$3:I$102&lt;I21),--(I$3:I$102&lt;&gt;"")))</f>
        <v>12</v>
      </c>
      <c r="P21" s="9" t="str">
        <f>IF(OR($C21&lt;&gt;"",$D21&lt;&gt;"",J21=""),"",J21-SUMPRODUCT(--($C$3:$C$102="P"),--(J$3:J$102&lt;J21),--(J$3:J$102&lt;&gt;""))-SUMPRODUCT(--($D$3:$D$102="P"),--(J$3:J$102&lt;J21),--(J$3:J$102&lt;&gt;"")))</f>
        <v/>
      </c>
      <c r="Q21" s="9" t="str">
        <f>IF(OR($C21&lt;&gt;"",$D21&lt;&gt;"",K21=""),"",K21-SUMPRODUCT(--($C$3:$C$102="P"),--(K$3:K$102&lt;K21),--(K$3:K$102&lt;&gt;""))-SUMPRODUCT(--($D$3:$D$102="P"),--(K$3:K$102&lt;K21),--(K$3:K$102&lt;&gt;"")))</f>
        <v/>
      </c>
      <c r="R21" s="9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>17</v>
      </c>
      <c r="S21" s="9" t="str">
        <f>IF(OR(M21="",M21&gt;30),"",IF(M21=1,60,IF(M21=2,55,IF(M21=3,50,IF(M21=4,44,IF(M21=5,38,IF(M21=6,32,IF(M21=7,28,IF(M21=8,25,IF(M21=9,22,IF(M21=10,21,IF(M21=11,20,IF(M21=12,19,IF(M21=13,18,IF(M21=14,17,IF(M21=15,16,IF(M21=16,15,IF(M21=17,14,IF(M21=18,13,IF(M21=19,12,IF(M21=20,11,IF(M21=21,10,IF(M21=22,9,IF(M21=23,8,IF(M21=24,7,IF(M21=25,6,IF(M21=26,5,IF(M21=27,4,IF(M21=28,3,IF(M21=29,2,IF(M21=30,1)))))))))))))))))))))))))))))))</f>
        <v/>
      </c>
      <c r="T21" s="9">
        <f>IF(OR(N21="",N21&gt;30),"",IF(N21=1,60,IF(N21=2,55,IF(N21=3,50,IF(N21=4,44,IF(N21=5,38,IF(N21=6,32,IF(N21=7,28,IF(N21=8,25,IF(N21=9,22,IF(N21=10,21,IF(N21=11,20,IF(N21=12,19,IF(N21=13,18,IF(N21=14,17,IF(N21=15,16,IF(N21=16,15,IF(N21=17,14,IF(N21=18,13,IF(N21=19,12,IF(N21=20,11,IF(N21=21,10,IF(N21=22,9,IF(N21=23,8,IF(N21=24,7,IF(N21=25,6,IF(N21=26,5,IF(N21=27,4,IF(N21=28,3,IF(N21=29,2,IF(N21=30,1)))))))))))))))))))))))))))))))</f>
        <v>15</v>
      </c>
      <c r="U21" s="9">
        <f>IF(OR(O21="",O21&gt;30),"",IF(O21=1,60,IF(O21=2,55,IF(O21=3,50,IF(O21=4,44,IF(O21=5,38,IF(O21=6,32,IF(O21=7,28,IF(O21=8,25,IF(O21=9,22,IF(O21=10,21,IF(O21=11,20,IF(O21=12,19,IF(O21=13,18,IF(O21=14,17,IF(O21=15,16,IF(O21=16,15,IF(O21=17,14,IF(O21=18,13,IF(O21=19,12,IF(O21=20,11,IF(O21=21,10,IF(O21=22,9,IF(O21=23,8,IF(O21=24,7,IF(O21=25,6,IF(O21=26,5,IF(O21=27,4,IF(O21=28,3,IF(O21=29,2,IF(O21=30,1)))))))))))))))))))))))))))))))</f>
        <v>19</v>
      </c>
      <c r="V21" s="9" t="str">
        <f>IF(OR(P21="",P21&gt;30),"",IF(P21=1,60,IF(P21=2,55,IF(P21=3,50,IF(P21=4,44,IF(P21=5,38,IF(P21=6,32,IF(P21=7,28,IF(P21=8,25,IF(P21=9,22,IF(P21=10,21,IF(P21=11,20,IF(P21=12,19,IF(P21=13,18,IF(P21=14,17,IF(P21=15,16,IF(P21=16,15,IF(P21=17,14,IF(P21=18,13,IF(P21=19,12,IF(P21=20,11,IF(P21=21,10,IF(P21=22,9,IF(P21=23,8,IF(P21=24,7,IF(P21=25,6,IF(P21=26,5,IF(P21=27,4,IF(P21=28,3,IF(P21=29,2,IF(P21=30,1)))))))))))))))))))))))))))))))</f>
        <v/>
      </c>
      <c r="W21" s="9" t="str">
        <f>IF(OR(Q21="",Q21&gt;30),"",IF(Q21=1,60,IF(Q21=2,55,IF(Q21=3,50,IF(Q21=4,44,IF(Q21=5,38,IF(Q21=6,32,IF(Q21=7,28,IF(Q21=8,25,IF(Q21=9,22,IF(Q21=10,21,IF(Q21=11,20,IF(Q21=12,19,IF(Q21=13,18,IF(Q21=14,17,IF(Q21=15,16,IF(Q21=16,15,IF(Q21=17,14,IF(Q21=18,13,IF(Q21=19,12,IF(Q21=20,11,IF(Q21=21,10,IF(Q21=22,9,IF(Q21=23,8,IF(Q21=24,7,IF(Q21=25,6,IF(Q21=26,5,IF(Q21=27,4,IF(Q21=28,3,IF(Q21=29,2,IF(Q21=30,1)))))))))))))))))))))))))))))))</f>
        <v/>
      </c>
      <c r="X21" s="15">
        <f>IF(A21="","",IF(OR(C21="P",D21="P"),"",IF(IF(COUNT(R21:W21)&lt;5,SUM(R21:W21),IF(COUNT(R21:W21)=5,SUM(R21:W21)-MIN(R21:W21),SUM(R21:W21)-MIN(R21:W21)-SMALL(R21:W21,2)))&gt;0,IF(COUNT(R21:W21)&lt;5,SUM(R21:W21)+(1000-AB21)*10^-4+AC21*10^-5+(1000-AD21)*10^-8,IF(COUNT(R21:W21)=5,SUM(R21:W21)-MIN(R21:W21)+(1000-AB21)*10^-4+AC21*10^-5+(1000-AD21)*10^-8,SUM(R21:W21)-MIN(R21:W21)-SMALL(R21:W21,2)+(1000-AB21)*10^-4+AC21*10^-5+(1000-AD21)*10^-8)),0)))</f>
        <v>51.090209880000003</v>
      </c>
      <c r="Y21" s="2" t="str">
        <f>IF(OR(X21="",X21=0),"",IF(SUMPRODUCT(--(B$3:B$102=B21),--(X$3:X$102&gt;X21),--(X$3:X$102&lt;&gt;"")),"","P"))</f>
        <v/>
      </c>
      <c r="Z21" s="2" t="str">
        <f>IF(X21="","",IF(SUMPRODUCT(--(C$3:C$102="P"),--(B$3:B$102=B21)),"P",""))</f>
        <v/>
      </c>
      <c r="AA21" s="15" t="str">
        <f>IF(AND(Y21&lt;&gt;"",OR(Z21="",SUMPRODUCT(--(X$3:X$102&gt;X21),--(Z$3:Z$102="P"),--(Y$3:Y$102="P"))&lt;4)),X21,"")</f>
        <v/>
      </c>
      <c r="AB21" s="9">
        <f>IF(A21="","",IF(OR(C21="P",D21="P"),"",IF(IF(COUNT(L21:Q21)&lt;5,SUM(L21:Q21),IF(COUNT(L21:Q21)=5,SUM(L21:Q21)-MIN(L21:Q21),SUM(L21:Q21)-MIN(L21:Q21)-SMALL(L21:Q21,2)))&gt;0,IF(COUNT(L21:Q21)&lt;5,SUM(L21:Q21),IF(COUNT(L21:Q21)=5,SUM(L21:Q21)-MIN(L21:Q21),SUM(L21:Q21)-MIN(L21:Q21)-SMALL(L21:Q21,2))),0)))</f>
        <v>98</v>
      </c>
      <c r="AC21" s="9">
        <f>COUNTIF(L21:Q21,"&lt;=8")</f>
        <v>0</v>
      </c>
      <c r="AD21" s="9">
        <f>MIN(L21:Q21)</f>
        <v>12</v>
      </c>
    </row>
    <row r="22" spans="1:30" x14ac:dyDescent="0.2">
      <c r="A22" s="7" t="s">
        <v>117</v>
      </c>
      <c r="B22" s="6" t="s">
        <v>82</v>
      </c>
      <c r="E22" s="3" t="str">
        <f>IF(AA22="","",RANK(AA22,AA:AA))</f>
        <v/>
      </c>
      <c r="F22" s="6">
        <v>41</v>
      </c>
      <c r="G22" s="6">
        <v>10</v>
      </c>
      <c r="H22" s="6">
        <v>58</v>
      </c>
      <c r="I22" s="6">
        <v>14</v>
      </c>
      <c r="J22" s="6"/>
      <c r="K22" s="6"/>
      <c r="L22" s="9">
        <f>IF(OR($C22&lt;&gt;"",$D22&lt;&gt;"",F22=""),"",F22-SUMPRODUCT(--($C$3:$C$102="P"),--(F$3:F$102&lt;F22),--(F$3:F$102&lt;&gt;""))-SUMPRODUCT(--($D$3:$D$102="P"),--(F$3:F$102&lt;F22),--(F$3:F$102&lt;&gt;"")))</f>
        <v>38</v>
      </c>
      <c r="M22" s="9">
        <f>IF(OR($C22&lt;&gt;"",$D22&lt;&gt;"",G22=""),"",G22-SUMPRODUCT(--($C$3:$C$102="P"),--(G$3:G$102&lt;G22),--(G$3:G$102&lt;&gt;""))-SUMPRODUCT(--($D$3:$D$102="P"),--(G$3:G$102&lt;G22),--(G$3:G$102&lt;&gt;"")))</f>
        <v>8</v>
      </c>
      <c r="N22" s="9">
        <f>IF(OR($C22&lt;&gt;"",$D22&lt;&gt;"",H22=""),"",H22-SUMPRODUCT(--($C$3:$C$102="P"),--(H$3:H$102&lt;H22),--(H$3:H$102&lt;&gt;""))-SUMPRODUCT(--($D$3:$D$102="P"),--(H$3:H$102&lt;H22),--(H$3:H$102&lt;&gt;"")))</f>
        <v>54</v>
      </c>
      <c r="O22" s="9">
        <f>IF(OR($C22&lt;&gt;"",$D22&lt;&gt;"",I22=""),"",I22-SUMPRODUCT(--($C$3:$C$102="P"),--(I$3:I$102&lt;I22),--(I$3:I$102&lt;&gt;""))-SUMPRODUCT(--($D$3:$D$102="P"),--(I$3:I$102&lt;I22),--(I$3:I$102&lt;&gt;"")))</f>
        <v>11</v>
      </c>
      <c r="P22" s="9" t="str">
        <f>IF(OR($C22&lt;&gt;"",$D22&lt;&gt;"",J22=""),"",J22-SUMPRODUCT(--($C$3:$C$102="P"),--(J$3:J$102&lt;J22),--(J$3:J$102&lt;&gt;""))-SUMPRODUCT(--($D$3:$D$102="P"),--(J$3:J$102&lt;J22),--(J$3:J$102&lt;&gt;"")))</f>
        <v/>
      </c>
      <c r="Q22" s="9" t="str">
        <f>IF(OR($C22&lt;&gt;"",$D22&lt;&gt;"",K22=""),"",K22-SUMPRODUCT(--($C$3:$C$102="P"),--(K$3:K$102&lt;K22),--(K$3:K$102&lt;&gt;""))-SUMPRODUCT(--($D$3:$D$102="P"),--(K$3:K$102&lt;K22),--(K$3:K$102&lt;&gt;"")))</f>
        <v/>
      </c>
      <c r="R22" s="9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S22" s="9">
        <f>IF(OR(M22="",M22&gt;30),"",IF(M22=1,60,IF(M22=2,55,IF(M22=3,50,IF(M22=4,44,IF(M22=5,38,IF(M22=6,32,IF(M22=7,28,IF(M22=8,25,IF(M22=9,22,IF(M22=10,21,IF(M22=11,20,IF(M22=12,19,IF(M22=13,18,IF(M22=14,17,IF(M22=15,16,IF(M22=16,15,IF(M22=17,14,IF(M22=18,13,IF(M22=19,12,IF(M22=20,11,IF(M22=21,10,IF(M22=22,9,IF(M22=23,8,IF(M22=24,7,IF(M22=25,6,IF(M22=26,5,IF(M22=27,4,IF(M22=28,3,IF(M22=29,2,IF(M22=30,1)))))))))))))))))))))))))))))))</f>
        <v>25</v>
      </c>
      <c r="T22" s="9" t="str">
        <f>IF(OR(N22="",N22&gt;30),"",IF(N22=1,60,IF(N22=2,55,IF(N22=3,50,IF(N22=4,44,IF(N22=5,38,IF(N22=6,32,IF(N22=7,28,IF(N22=8,25,IF(N22=9,22,IF(N22=10,21,IF(N22=11,20,IF(N22=12,19,IF(N22=13,18,IF(N22=14,17,IF(N22=15,16,IF(N22=16,15,IF(N22=17,14,IF(N22=18,13,IF(N22=19,12,IF(N22=20,11,IF(N22=21,10,IF(N22=22,9,IF(N22=23,8,IF(N22=24,7,IF(N22=25,6,IF(N22=26,5,IF(N22=27,4,IF(N22=28,3,IF(N22=29,2,IF(N22=30,1)))))))))))))))))))))))))))))))</f>
        <v/>
      </c>
      <c r="U22" s="9">
        <f>IF(OR(O22="",O22&gt;30),"",IF(O22=1,60,IF(O22=2,55,IF(O22=3,50,IF(O22=4,44,IF(O22=5,38,IF(O22=6,32,IF(O22=7,28,IF(O22=8,25,IF(O22=9,22,IF(O22=10,21,IF(O22=11,20,IF(O22=12,19,IF(O22=13,18,IF(O22=14,17,IF(O22=15,16,IF(O22=16,15,IF(O22=17,14,IF(O22=18,13,IF(O22=19,12,IF(O22=20,11,IF(O22=21,10,IF(O22=22,9,IF(O22=23,8,IF(O22=24,7,IF(O22=25,6,IF(O22=26,5,IF(O22=27,4,IF(O22=28,3,IF(O22=29,2,IF(O22=30,1)))))))))))))))))))))))))))))))</f>
        <v>20</v>
      </c>
      <c r="V22" s="9" t="str">
        <f>IF(OR(P22="",P22&gt;30),"",IF(P22=1,60,IF(P22=2,55,IF(P22=3,50,IF(P22=4,44,IF(P22=5,38,IF(P22=6,32,IF(P22=7,28,IF(P22=8,25,IF(P22=9,22,IF(P22=10,21,IF(P22=11,20,IF(P22=12,19,IF(P22=13,18,IF(P22=14,17,IF(P22=15,16,IF(P22=16,15,IF(P22=17,14,IF(P22=18,13,IF(P22=19,12,IF(P22=20,11,IF(P22=21,10,IF(P22=22,9,IF(P22=23,8,IF(P22=24,7,IF(P22=25,6,IF(P22=26,5,IF(P22=27,4,IF(P22=28,3,IF(P22=29,2,IF(P22=30,1)))))))))))))))))))))))))))))))</f>
        <v/>
      </c>
      <c r="W22" s="9" t="str">
        <f>IF(OR(Q22="",Q22&gt;30),"",IF(Q22=1,60,IF(Q22=2,55,IF(Q22=3,50,IF(Q22=4,44,IF(Q22=5,38,IF(Q22=6,32,IF(Q22=7,28,IF(Q22=8,25,IF(Q22=9,22,IF(Q22=10,21,IF(Q22=11,20,IF(Q22=12,19,IF(Q22=13,18,IF(Q22=14,17,IF(Q22=15,16,IF(Q22=16,15,IF(Q22=17,14,IF(Q22=18,13,IF(Q22=19,12,IF(Q22=20,11,IF(Q22=21,10,IF(Q22=22,9,IF(Q22=23,8,IF(Q22=24,7,IF(Q22=25,6,IF(Q22=26,5,IF(Q22=27,4,IF(Q22=28,3,IF(Q22=29,2,IF(Q22=30,1)))))))))))))))))))))))))))))))</f>
        <v/>
      </c>
      <c r="X22" s="15">
        <f>IF(A22="","",IF(OR(C22="P",D22="P"),"",IF(IF(COUNT(R22:W22)&lt;5,SUM(R22:W22),IF(COUNT(R22:W22)=5,SUM(R22:W22)-MIN(R22:W22),SUM(R22:W22)-MIN(R22:W22)-SMALL(R22:W22,2)))&gt;0,IF(COUNT(R22:W22)&lt;5,SUM(R22:W22)+(1000-AB22)*10^-4+AC22*10^-5+(1000-AD22)*10^-8,IF(COUNT(R22:W22)=5,SUM(R22:W22)-MIN(R22:W22)+(1000-AB22)*10^-4+AC22*10^-5+(1000-AD22)*10^-8,SUM(R22:W22)-MIN(R22:W22)-SMALL(R22:W22,2)+(1000-AB22)*10^-4+AC22*10^-5+(1000-AD22)*10^-8)),0)))</f>
        <v>45.088919920000002</v>
      </c>
      <c r="Y22" s="2" t="str">
        <f>IF(OR(X22="",X22=0),"",IF(SUMPRODUCT(--(B$3:B$102=B22),--(X$3:X$102&gt;X22),--(X$3:X$102&lt;&gt;"")),"","P"))</f>
        <v/>
      </c>
      <c r="Z22" s="2" t="str">
        <f>IF(X22="","",IF(SUMPRODUCT(--(C$3:C$102="P"),--(B$3:B$102=B22)),"P",""))</f>
        <v/>
      </c>
      <c r="AA22" s="15" t="str">
        <f>IF(AND(Y22&lt;&gt;"",OR(Z22="",SUMPRODUCT(--(X$3:X$102&gt;X22),--(Z$3:Z$102="P"),--(Y$3:Y$102="P"))&lt;4)),X22,"")</f>
        <v/>
      </c>
      <c r="AB22" s="9">
        <f>IF(A22="","",IF(OR(C22="P",D22="P"),"",IF(IF(COUNT(L22:Q22)&lt;5,SUM(L22:Q22),IF(COUNT(L22:Q22)=5,SUM(L22:Q22)-MIN(L22:Q22),SUM(L22:Q22)-MIN(L22:Q22)-SMALL(L22:Q22,2)))&gt;0,IF(COUNT(L22:Q22)&lt;5,SUM(L22:Q22),IF(COUNT(L22:Q22)=5,SUM(L22:Q22)-MIN(L22:Q22),SUM(L22:Q22)-MIN(L22:Q22)-SMALL(L22:Q22,2))),0)))</f>
        <v>111</v>
      </c>
      <c r="AC22" s="9">
        <f>COUNTIF(L22:Q22,"&lt;=8")</f>
        <v>1</v>
      </c>
      <c r="AD22" s="9">
        <f>MIN(L22:Q22)</f>
        <v>8</v>
      </c>
    </row>
    <row r="23" spans="1:30" x14ac:dyDescent="0.2">
      <c r="A23" s="7" t="s">
        <v>93</v>
      </c>
      <c r="B23" s="6" t="s">
        <v>52</v>
      </c>
      <c r="E23" s="3">
        <f>IF(AA23="","",RANK(AA23,AA:AA))</f>
        <v>9</v>
      </c>
      <c r="F23" s="6">
        <v>26</v>
      </c>
      <c r="G23" s="6">
        <v>16</v>
      </c>
      <c r="H23" s="6">
        <v>68</v>
      </c>
      <c r="I23" s="6">
        <v>18</v>
      </c>
      <c r="J23" s="6"/>
      <c r="K23" s="6"/>
      <c r="L23" s="9">
        <f>IF(OR($C23&lt;&gt;"",$D23&lt;&gt;"",F23=""),"",F23-SUMPRODUCT(--($C$3:$C$102="P"),--(F$3:F$102&lt;F23),--(F$3:F$102&lt;&gt;""))-SUMPRODUCT(--($D$3:$D$102="P"),--(F$3:F$102&lt;F23),--(F$3:F$102&lt;&gt;"")))</f>
        <v>23</v>
      </c>
      <c r="M23" s="9">
        <f>IF(OR($C23&lt;&gt;"",$D23&lt;&gt;"",G23=""),"",G23-SUMPRODUCT(--($C$3:$C$102="P"),--(G$3:G$102&lt;G23),--(G$3:G$102&lt;&gt;""))-SUMPRODUCT(--($D$3:$D$102="P"),--(G$3:G$102&lt;G23),--(G$3:G$102&lt;&gt;"")))</f>
        <v>14</v>
      </c>
      <c r="N23" s="9">
        <f>IF(OR($C23&lt;&gt;"",$D23&lt;&gt;"",H23=""),"",H23-SUMPRODUCT(--($C$3:$C$102="P"),--(H$3:H$102&lt;H23),--(H$3:H$102&lt;&gt;""))-SUMPRODUCT(--($D$3:$D$102="P"),--(H$3:H$102&lt;H23),--(H$3:H$102&lt;&gt;"")))</f>
        <v>63</v>
      </c>
      <c r="O23" s="9">
        <f>IF(OR($C23&lt;&gt;"",$D23&lt;&gt;"",I23=""),"",I23-SUMPRODUCT(--($C$3:$C$102="P"),--(I$3:I$102&lt;I23),--(I$3:I$102&lt;&gt;""))-SUMPRODUCT(--($D$3:$D$102="P"),--(I$3:I$102&lt;I23),--(I$3:I$102&lt;&gt;"")))</f>
        <v>14</v>
      </c>
      <c r="P23" s="9" t="str">
        <f>IF(OR($C23&lt;&gt;"",$D23&lt;&gt;"",J23=""),"",J23-SUMPRODUCT(--($C$3:$C$102="P"),--(J$3:J$102&lt;J23),--(J$3:J$102&lt;&gt;""))-SUMPRODUCT(--($D$3:$D$102="P"),--(J$3:J$102&lt;J23),--(J$3:J$102&lt;&gt;"")))</f>
        <v/>
      </c>
      <c r="Q23" s="9" t="str">
        <f>IF(OR($C23&lt;&gt;"",$D23&lt;&gt;"",K23=""),"",K23-SUMPRODUCT(--($C$3:$C$102="P"),--(K$3:K$102&lt;K23),--(K$3:K$102&lt;&gt;""))-SUMPRODUCT(--($D$3:$D$102="P"),--(K$3:K$102&lt;K23),--(K$3:K$102&lt;&gt;"")))</f>
        <v/>
      </c>
      <c r="R23" s="9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>8</v>
      </c>
      <c r="S23" s="9">
        <f>IF(OR(M23="",M23&gt;30),"",IF(M23=1,60,IF(M23=2,55,IF(M23=3,50,IF(M23=4,44,IF(M23=5,38,IF(M23=6,32,IF(M23=7,28,IF(M23=8,25,IF(M23=9,22,IF(M23=10,21,IF(M23=11,20,IF(M23=12,19,IF(M23=13,18,IF(M23=14,17,IF(M23=15,16,IF(M23=16,15,IF(M23=17,14,IF(M23=18,13,IF(M23=19,12,IF(M23=20,11,IF(M23=21,10,IF(M23=22,9,IF(M23=23,8,IF(M23=24,7,IF(M23=25,6,IF(M23=26,5,IF(M23=27,4,IF(M23=28,3,IF(M23=29,2,IF(M23=30,1)))))))))))))))))))))))))))))))</f>
        <v>17</v>
      </c>
      <c r="T23" s="9" t="str">
        <f>IF(OR(N23="",N23&gt;30),"",IF(N23=1,60,IF(N23=2,55,IF(N23=3,50,IF(N23=4,44,IF(N23=5,38,IF(N23=6,32,IF(N23=7,28,IF(N23=8,25,IF(N23=9,22,IF(N23=10,21,IF(N23=11,20,IF(N23=12,19,IF(N23=13,18,IF(N23=14,17,IF(N23=15,16,IF(N23=16,15,IF(N23=17,14,IF(N23=18,13,IF(N23=19,12,IF(N23=20,11,IF(N23=21,10,IF(N23=22,9,IF(N23=23,8,IF(N23=24,7,IF(N23=25,6,IF(N23=26,5,IF(N23=27,4,IF(N23=28,3,IF(N23=29,2,IF(N23=30,1)))))))))))))))))))))))))))))))</f>
        <v/>
      </c>
      <c r="U23" s="9">
        <f>IF(OR(O23="",O23&gt;30),"",IF(O23=1,60,IF(O23=2,55,IF(O23=3,50,IF(O23=4,44,IF(O23=5,38,IF(O23=6,32,IF(O23=7,28,IF(O23=8,25,IF(O23=9,22,IF(O23=10,21,IF(O23=11,20,IF(O23=12,19,IF(O23=13,18,IF(O23=14,17,IF(O23=15,16,IF(O23=16,15,IF(O23=17,14,IF(O23=18,13,IF(O23=19,12,IF(O23=20,11,IF(O23=21,10,IF(O23=22,9,IF(O23=23,8,IF(O23=24,7,IF(O23=25,6,IF(O23=26,5,IF(O23=27,4,IF(O23=28,3,IF(O23=29,2,IF(O23=30,1)))))))))))))))))))))))))))))))</f>
        <v>17</v>
      </c>
      <c r="V23" s="9" t="str">
        <f>IF(OR(P23="",P23&gt;30),"",IF(P23=1,60,IF(P23=2,55,IF(P23=3,50,IF(P23=4,44,IF(P23=5,38,IF(P23=6,32,IF(P23=7,28,IF(P23=8,25,IF(P23=9,22,IF(P23=10,21,IF(P23=11,20,IF(P23=12,19,IF(P23=13,18,IF(P23=14,17,IF(P23=15,16,IF(P23=16,15,IF(P23=17,14,IF(P23=18,13,IF(P23=19,12,IF(P23=20,11,IF(P23=21,10,IF(P23=22,9,IF(P23=23,8,IF(P23=24,7,IF(P23=25,6,IF(P23=26,5,IF(P23=27,4,IF(P23=28,3,IF(P23=29,2,IF(P23=30,1)))))))))))))))))))))))))))))))</f>
        <v/>
      </c>
      <c r="W23" s="9" t="str">
        <f>IF(OR(Q23="",Q23&gt;30),"",IF(Q23=1,60,IF(Q23=2,55,IF(Q23=3,50,IF(Q23=4,44,IF(Q23=5,38,IF(Q23=6,32,IF(Q23=7,28,IF(Q23=8,25,IF(Q23=9,22,IF(Q23=10,21,IF(Q23=11,20,IF(Q23=12,19,IF(Q23=13,18,IF(Q23=14,17,IF(Q23=15,16,IF(Q23=16,15,IF(Q23=17,14,IF(Q23=18,13,IF(Q23=19,12,IF(Q23=20,11,IF(Q23=21,10,IF(Q23=22,9,IF(Q23=23,8,IF(Q23=24,7,IF(Q23=25,6,IF(Q23=26,5,IF(Q23=27,4,IF(Q23=28,3,IF(Q23=29,2,IF(Q23=30,1)))))))))))))))))))))))))))))))</f>
        <v/>
      </c>
      <c r="X23" s="15">
        <f>IF(A23="","",IF(OR(C23="P",D23="P"),"",IF(IF(COUNT(R23:W23)&lt;5,SUM(R23:W23),IF(COUNT(R23:W23)=5,SUM(R23:W23)-MIN(R23:W23),SUM(R23:W23)-MIN(R23:W23)-SMALL(R23:W23,2)))&gt;0,IF(COUNT(R23:W23)&lt;5,SUM(R23:W23)+(1000-AB23)*10^-4+AC23*10^-5+(1000-AD23)*10^-8,IF(COUNT(R23:W23)=5,SUM(R23:W23)-MIN(R23:W23)+(1000-AB23)*10^-4+AC23*10^-5+(1000-AD23)*10^-8,SUM(R23:W23)-MIN(R23:W23)-SMALL(R23:W23,2)+(1000-AB23)*10^-4+AC23*10^-5+(1000-AD23)*10^-8)),0)))</f>
        <v>42.088609859999998</v>
      </c>
      <c r="Y23" s="2" t="str">
        <f>IF(OR(X23="",X23=0),"",IF(SUMPRODUCT(--(B$3:B$102=B23),--(X$3:X$102&gt;X23),--(X$3:X$102&lt;&gt;"")),"","P"))</f>
        <v>P</v>
      </c>
      <c r="Z23" s="2" t="str">
        <f>IF(X23="","",IF(SUMPRODUCT(--(C$3:C$102="P"),--(B$3:B$102=B23)),"P",""))</f>
        <v/>
      </c>
      <c r="AA23" s="15">
        <f>IF(AND(Y23&lt;&gt;"",OR(Z23="",SUMPRODUCT(--(X$3:X$102&gt;X23),--(Z$3:Z$102="P"),--(Y$3:Y$102="P"))&lt;4)),X23,"")</f>
        <v>42.088609859999998</v>
      </c>
      <c r="AB23" s="9">
        <f>IF(A23="","",IF(OR(C23="P",D23="P"),"",IF(IF(COUNT(L23:Q23)&lt;5,SUM(L23:Q23),IF(COUNT(L23:Q23)=5,SUM(L23:Q23)-MIN(L23:Q23),SUM(L23:Q23)-MIN(L23:Q23)-SMALL(L23:Q23,2)))&gt;0,IF(COUNT(L23:Q23)&lt;5,SUM(L23:Q23),IF(COUNT(L23:Q23)=5,SUM(L23:Q23)-MIN(L23:Q23),SUM(L23:Q23)-MIN(L23:Q23)-SMALL(L23:Q23,2))),0)))</f>
        <v>114</v>
      </c>
      <c r="AC23" s="9">
        <f>COUNTIF(L23:Q23,"&lt;=8")</f>
        <v>0</v>
      </c>
      <c r="AD23" s="9">
        <f>MIN(L23:Q23)</f>
        <v>14</v>
      </c>
    </row>
    <row r="24" spans="1:30" x14ac:dyDescent="0.2">
      <c r="A24" s="7" t="s">
        <v>87</v>
      </c>
      <c r="B24" s="6" t="s">
        <v>24</v>
      </c>
      <c r="E24" s="3">
        <f>IF(AA24="","",RANK(AA24,AA:AA))</f>
        <v>10</v>
      </c>
      <c r="F24" s="6">
        <v>20</v>
      </c>
      <c r="G24" s="6">
        <v>90</v>
      </c>
      <c r="H24" s="6">
        <v>25</v>
      </c>
      <c r="I24" s="6">
        <v>24</v>
      </c>
      <c r="J24" s="6"/>
      <c r="K24" s="6"/>
      <c r="L24" s="9">
        <f>IF(OR($C24&lt;&gt;"",$D24&lt;&gt;"",F24=""),"",F24-SUMPRODUCT(--($C$3:$C$102="P"),--(F$3:F$102&lt;F24),--(F$3:F$102&lt;&gt;""))-SUMPRODUCT(--($D$3:$D$102="P"),--(F$3:F$102&lt;F24),--(F$3:F$102&lt;&gt;"")))</f>
        <v>17</v>
      </c>
      <c r="M24" s="9">
        <f>IF(OR($C24&lt;&gt;"",$D24&lt;&gt;"",G24=""),"",G24-SUMPRODUCT(--($C$3:$C$102="P"),--(G$3:G$102&lt;G24),--(G$3:G$102&lt;&gt;""))-SUMPRODUCT(--($D$3:$D$102="P"),--(G$3:G$102&lt;G24),--(G$3:G$102&lt;&gt;"")))</f>
        <v>86</v>
      </c>
      <c r="N24" s="9">
        <f>IF(OR($C24&lt;&gt;"",$D24&lt;&gt;"",H24=""),"",H24-SUMPRODUCT(--($C$3:$C$102="P"),--(H$3:H$102&lt;H24),--(H$3:H$102&lt;&gt;""))-SUMPRODUCT(--($D$3:$D$102="P"),--(H$3:H$102&lt;H24),--(H$3:H$102&lt;&gt;"")))</f>
        <v>21</v>
      </c>
      <c r="O24" s="9">
        <f>IF(OR($C24&lt;&gt;"",$D24&lt;&gt;"",I24=""),"",I24-SUMPRODUCT(--($C$3:$C$102="P"),--(I$3:I$102&lt;I24),--(I$3:I$102&lt;&gt;""))-SUMPRODUCT(--($D$3:$D$102="P"),--(I$3:I$102&lt;I24),--(I$3:I$102&lt;&gt;"")))</f>
        <v>19</v>
      </c>
      <c r="P24" s="9" t="str">
        <f>IF(OR($C24&lt;&gt;"",$D24&lt;&gt;"",J24=""),"",J24-SUMPRODUCT(--($C$3:$C$102="P"),--(J$3:J$102&lt;J24),--(J$3:J$102&lt;&gt;""))-SUMPRODUCT(--($D$3:$D$102="P"),--(J$3:J$102&lt;J24),--(J$3:J$102&lt;&gt;"")))</f>
        <v/>
      </c>
      <c r="Q24" s="9" t="str">
        <f>IF(OR($C24&lt;&gt;"",$D24&lt;&gt;"",K24=""),"",K24-SUMPRODUCT(--($C$3:$C$102="P"),--(K$3:K$102&lt;K24),--(K$3:K$102&lt;&gt;""))-SUMPRODUCT(--($D$3:$D$102="P"),--(K$3:K$102&lt;K24),--(K$3:K$102&lt;&gt;"")))</f>
        <v/>
      </c>
      <c r="R24" s="9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>14</v>
      </c>
      <c r="S24" s="9" t="str">
        <f>IF(OR(M24="",M24&gt;30),"",IF(M24=1,60,IF(M24=2,55,IF(M24=3,50,IF(M24=4,44,IF(M24=5,38,IF(M24=6,32,IF(M24=7,28,IF(M24=8,25,IF(M24=9,22,IF(M24=10,21,IF(M24=11,20,IF(M24=12,19,IF(M24=13,18,IF(M24=14,17,IF(M24=15,16,IF(M24=16,15,IF(M24=17,14,IF(M24=18,13,IF(M24=19,12,IF(M24=20,11,IF(M24=21,10,IF(M24=22,9,IF(M24=23,8,IF(M24=24,7,IF(M24=25,6,IF(M24=26,5,IF(M24=27,4,IF(M24=28,3,IF(M24=29,2,IF(M24=30,1)))))))))))))))))))))))))))))))</f>
        <v/>
      </c>
      <c r="T24" s="9">
        <f>IF(OR(N24="",N24&gt;30),"",IF(N24=1,60,IF(N24=2,55,IF(N24=3,50,IF(N24=4,44,IF(N24=5,38,IF(N24=6,32,IF(N24=7,28,IF(N24=8,25,IF(N24=9,22,IF(N24=10,21,IF(N24=11,20,IF(N24=12,19,IF(N24=13,18,IF(N24=14,17,IF(N24=15,16,IF(N24=16,15,IF(N24=17,14,IF(N24=18,13,IF(N24=19,12,IF(N24=20,11,IF(N24=21,10,IF(N24=22,9,IF(N24=23,8,IF(N24=24,7,IF(N24=25,6,IF(N24=26,5,IF(N24=27,4,IF(N24=28,3,IF(N24=29,2,IF(N24=30,1)))))))))))))))))))))))))))))))</f>
        <v>10</v>
      </c>
      <c r="U24" s="9">
        <f>IF(OR(O24="",O24&gt;30),"",IF(O24=1,60,IF(O24=2,55,IF(O24=3,50,IF(O24=4,44,IF(O24=5,38,IF(O24=6,32,IF(O24=7,28,IF(O24=8,25,IF(O24=9,22,IF(O24=10,21,IF(O24=11,20,IF(O24=12,19,IF(O24=13,18,IF(O24=14,17,IF(O24=15,16,IF(O24=16,15,IF(O24=17,14,IF(O24=18,13,IF(O24=19,12,IF(O24=20,11,IF(O24=21,10,IF(O24=22,9,IF(O24=23,8,IF(O24=24,7,IF(O24=25,6,IF(O24=26,5,IF(O24=27,4,IF(O24=28,3,IF(O24=29,2,IF(O24=30,1)))))))))))))))))))))))))))))))</f>
        <v>12</v>
      </c>
      <c r="V24" s="9" t="str">
        <f>IF(OR(P24="",P24&gt;30),"",IF(P24=1,60,IF(P24=2,55,IF(P24=3,50,IF(P24=4,44,IF(P24=5,38,IF(P24=6,32,IF(P24=7,28,IF(P24=8,25,IF(P24=9,22,IF(P24=10,21,IF(P24=11,20,IF(P24=12,19,IF(P24=13,18,IF(P24=14,17,IF(P24=15,16,IF(P24=16,15,IF(P24=17,14,IF(P24=18,13,IF(P24=19,12,IF(P24=20,11,IF(P24=21,10,IF(P24=22,9,IF(P24=23,8,IF(P24=24,7,IF(P24=25,6,IF(P24=26,5,IF(P24=27,4,IF(P24=28,3,IF(P24=29,2,IF(P24=30,1)))))))))))))))))))))))))))))))</f>
        <v/>
      </c>
      <c r="W24" s="9" t="str">
        <f>IF(OR(Q24="",Q24&gt;30),"",IF(Q24=1,60,IF(Q24=2,55,IF(Q24=3,50,IF(Q24=4,44,IF(Q24=5,38,IF(Q24=6,32,IF(Q24=7,28,IF(Q24=8,25,IF(Q24=9,22,IF(Q24=10,21,IF(Q24=11,20,IF(Q24=12,19,IF(Q24=13,18,IF(Q24=14,17,IF(Q24=15,16,IF(Q24=16,15,IF(Q24=17,14,IF(Q24=18,13,IF(Q24=19,12,IF(Q24=20,11,IF(Q24=21,10,IF(Q24=22,9,IF(Q24=23,8,IF(Q24=24,7,IF(Q24=25,6,IF(Q24=26,5,IF(Q24=27,4,IF(Q24=28,3,IF(Q24=29,2,IF(Q24=30,1)))))))))))))))))))))))))))))))</f>
        <v/>
      </c>
      <c r="X24" s="15">
        <f>IF(A24="","",IF(OR(C24="P",D24="P"),"",IF(IF(COUNT(R24:W24)&lt;5,SUM(R24:W24),IF(COUNT(R24:W24)=5,SUM(R24:W24)-MIN(R24:W24),SUM(R24:W24)-MIN(R24:W24)-SMALL(R24:W24,2)))&gt;0,IF(COUNT(R24:W24)&lt;5,SUM(R24:W24)+(1000-AB24)*10^-4+AC24*10^-5+(1000-AD24)*10^-8,IF(COUNT(R24:W24)=5,SUM(R24:W24)-MIN(R24:W24)+(1000-AB24)*10^-4+AC24*10^-5+(1000-AD24)*10^-8,SUM(R24:W24)-MIN(R24:W24)-SMALL(R24:W24,2)+(1000-AB24)*10^-4+AC24*10^-5+(1000-AD24)*10^-8)),0)))</f>
        <v>36.085709830000006</v>
      </c>
      <c r="Y24" s="2" t="str">
        <f>IF(OR(X24="",X24=0),"",IF(SUMPRODUCT(--(B$3:B$102=B24),--(X$3:X$102&gt;X24),--(X$3:X$102&lt;&gt;"")),"","P"))</f>
        <v>P</v>
      </c>
      <c r="Z24" s="2" t="str">
        <f>IF(X24="","",IF(SUMPRODUCT(--(C$3:C$102="P"),--(B$3:B$102=B24)),"P",""))</f>
        <v/>
      </c>
      <c r="AA24" s="15">
        <f>IF(AND(Y24&lt;&gt;"",OR(Z24="",SUMPRODUCT(--(X$3:X$102&gt;X24),--(Z$3:Z$102="P"),--(Y$3:Y$102="P"))&lt;4)),X24,"")</f>
        <v>36.085709830000006</v>
      </c>
      <c r="AB24" s="9">
        <f>IF(A24="","",IF(OR(C24="P",D24="P"),"",IF(IF(COUNT(L24:Q24)&lt;5,SUM(L24:Q24),IF(COUNT(L24:Q24)=5,SUM(L24:Q24)-MIN(L24:Q24),SUM(L24:Q24)-MIN(L24:Q24)-SMALL(L24:Q24,2)))&gt;0,IF(COUNT(L24:Q24)&lt;5,SUM(L24:Q24),IF(COUNT(L24:Q24)=5,SUM(L24:Q24)-MIN(L24:Q24),SUM(L24:Q24)-MIN(L24:Q24)-SMALL(L24:Q24,2))),0)))</f>
        <v>143</v>
      </c>
      <c r="AC24" s="9">
        <f>COUNTIF(L24:Q24,"&lt;=8")</f>
        <v>0</v>
      </c>
      <c r="AD24" s="9">
        <f>MIN(L24:Q24)</f>
        <v>17</v>
      </c>
    </row>
    <row r="25" spans="1:30" x14ac:dyDescent="0.2">
      <c r="A25" s="7" t="s">
        <v>89</v>
      </c>
      <c r="B25" s="6" t="s">
        <v>59</v>
      </c>
      <c r="E25" s="3" t="str">
        <f>IF(AA25="","",RANK(AA25,AA:AA))</f>
        <v/>
      </c>
      <c r="F25" s="6">
        <v>22</v>
      </c>
      <c r="G25" s="6">
        <v>14</v>
      </c>
      <c r="H25" s="6">
        <v>49</v>
      </c>
      <c r="I25" s="6">
        <v>77</v>
      </c>
      <c r="J25" s="6"/>
      <c r="K25" s="6"/>
      <c r="L25" s="9">
        <f>IF(OR($C25&lt;&gt;"",$D25&lt;&gt;"",F25=""),"",F25-SUMPRODUCT(--($C$3:$C$102="P"),--(F$3:F$102&lt;F25),--(F$3:F$102&lt;&gt;""))-SUMPRODUCT(--($D$3:$D$102="P"),--(F$3:F$102&lt;F25),--(F$3:F$102&lt;&gt;"")))</f>
        <v>19</v>
      </c>
      <c r="M25" s="9">
        <f>IF(OR($C25&lt;&gt;"",$D25&lt;&gt;"",G25=""),"",G25-SUMPRODUCT(--($C$3:$C$102="P"),--(G$3:G$102&lt;G25),--(G$3:G$102&lt;&gt;""))-SUMPRODUCT(--($D$3:$D$102="P"),--(G$3:G$102&lt;G25),--(G$3:G$102&lt;&gt;"")))</f>
        <v>12</v>
      </c>
      <c r="N25" s="9">
        <f>IF(OR($C25&lt;&gt;"",$D25&lt;&gt;"",H25=""),"",H25-SUMPRODUCT(--($C$3:$C$102="P"),--(H$3:H$102&lt;H25),--(H$3:H$102&lt;&gt;""))-SUMPRODUCT(--($D$3:$D$102="P"),--(H$3:H$102&lt;H25),--(H$3:H$102&lt;&gt;"")))</f>
        <v>45</v>
      </c>
      <c r="O25" s="9">
        <f>IF(OR($C25&lt;&gt;"",$D25&lt;&gt;"",I25=""),"",I25-SUMPRODUCT(--($C$3:$C$102="P"),--(I$3:I$102&lt;I25),--(I$3:I$102&lt;&gt;""))-SUMPRODUCT(--($D$3:$D$102="P"),--(I$3:I$102&lt;I25),--(I$3:I$102&lt;&gt;"")))</f>
        <v>72</v>
      </c>
      <c r="P25" s="9" t="str">
        <f>IF(OR($C25&lt;&gt;"",$D25&lt;&gt;"",J25=""),"",J25-SUMPRODUCT(--($C$3:$C$102="P"),--(J$3:J$102&lt;J25),--(J$3:J$102&lt;&gt;""))-SUMPRODUCT(--($D$3:$D$102="P"),--(J$3:J$102&lt;J25),--(J$3:J$102&lt;&gt;"")))</f>
        <v/>
      </c>
      <c r="Q25" s="9" t="str">
        <f>IF(OR($C25&lt;&gt;"",$D25&lt;&gt;"",K25=""),"",K25-SUMPRODUCT(--($C$3:$C$102="P"),--(K$3:K$102&lt;K25),--(K$3:K$102&lt;&gt;""))-SUMPRODUCT(--($D$3:$D$102="P"),--(K$3:K$102&lt;K25),--(K$3:K$102&lt;&gt;"")))</f>
        <v/>
      </c>
      <c r="R25" s="9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>12</v>
      </c>
      <c r="S25" s="9">
        <f>IF(OR(M25="",M25&gt;30),"",IF(M25=1,60,IF(M25=2,55,IF(M25=3,50,IF(M25=4,44,IF(M25=5,38,IF(M25=6,32,IF(M25=7,28,IF(M25=8,25,IF(M25=9,22,IF(M25=10,21,IF(M25=11,20,IF(M25=12,19,IF(M25=13,18,IF(M25=14,17,IF(M25=15,16,IF(M25=16,15,IF(M25=17,14,IF(M25=18,13,IF(M25=19,12,IF(M25=20,11,IF(M25=21,10,IF(M25=22,9,IF(M25=23,8,IF(M25=24,7,IF(M25=25,6,IF(M25=26,5,IF(M25=27,4,IF(M25=28,3,IF(M25=29,2,IF(M25=30,1)))))))))))))))))))))))))))))))</f>
        <v>19</v>
      </c>
      <c r="T25" s="9" t="str">
        <f>IF(OR(N25="",N25&gt;30),"",IF(N25=1,60,IF(N25=2,55,IF(N25=3,50,IF(N25=4,44,IF(N25=5,38,IF(N25=6,32,IF(N25=7,28,IF(N25=8,25,IF(N25=9,22,IF(N25=10,21,IF(N25=11,20,IF(N25=12,19,IF(N25=13,18,IF(N25=14,17,IF(N25=15,16,IF(N25=16,15,IF(N25=17,14,IF(N25=18,13,IF(N25=19,12,IF(N25=20,11,IF(N25=21,10,IF(N25=22,9,IF(N25=23,8,IF(N25=24,7,IF(N25=25,6,IF(N25=26,5,IF(N25=27,4,IF(N25=28,3,IF(N25=29,2,IF(N25=30,1)))))))))))))))))))))))))))))))</f>
        <v/>
      </c>
      <c r="U25" s="9" t="str">
        <f>IF(OR(O25="",O25&gt;30),"",IF(O25=1,60,IF(O25=2,55,IF(O25=3,50,IF(O25=4,44,IF(O25=5,38,IF(O25=6,32,IF(O25=7,28,IF(O25=8,25,IF(O25=9,22,IF(O25=10,21,IF(O25=11,20,IF(O25=12,19,IF(O25=13,18,IF(O25=14,17,IF(O25=15,16,IF(O25=16,15,IF(O25=17,14,IF(O25=18,13,IF(O25=19,12,IF(O25=20,11,IF(O25=21,10,IF(O25=22,9,IF(O25=23,8,IF(O25=24,7,IF(O25=25,6,IF(O25=26,5,IF(O25=27,4,IF(O25=28,3,IF(O25=29,2,IF(O25=30,1)))))))))))))))))))))))))))))))</f>
        <v/>
      </c>
      <c r="V25" s="9" t="str">
        <f>IF(OR(P25="",P25&gt;30),"",IF(P25=1,60,IF(P25=2,55,IF(P25=3,50,IF(P25=4,44,IF(P25=5,38,IF(P25=6,32,IF(P25=7,28,IF(P25=8,25,IF(P25=9,22,IF(P25=10,21,IF(P25=11,20,IF(P25=12,19,IF(P25=13,18,IF(P25=14,17,IF(P25=15,16,IF(P25=16,15,IF(P25=17,14,IF(P25=18,13,IF(P25=19,12,IF(P25=20,11,IF(P25=21,10,IF(P25=22,9,IF(P25=23,8,IF(P25=24,7,IF(P25=25,6,IF(P25=26,5,IF(P25=27,4,IF(P25=28,3,IF(P25=29,2,IF(P25=30,1)))))))))))))))))))))))))))))))</f>
        <v/>
      </c>
      <c r="W25" s="9" t="str">
        <f>IF(OR(Q25="",Q25&gt;30),"",IF(Q25=1,60,IF(Q25=2,55,IF(Q25=3,50,IF(Q25=4,44,IF(Q25=5,38,IF(Q25=6,32,IF(Q25=7,28,IF(Q25=8,25,IF(Q25=9,22,IF(Q25=10,21,IF(Q25=11,20,IF(Q25=12,19,IF(Q25=13,18,IF(Q25=14,17,IF(Q25=15,16,IF(Q25=16,15,IF(Q25=17,14,IF(Q25=18,13,IF(Q25=19,12,IF(Q25=20,11,IF(Q25=21,10,IF(Q25=22,9,IF(Q25=23,8,IF(Q25=24,7,IF(Q25=25,6,IF(Q25=26,5,IF(Q25=27,4,IF(Q25=28,3,IF(Q25=29,2,IF(Q25=30,1)))))))))))))))))))))))))))))))</f>
        <v/>
      </c>
      <c r="X25" s="15">
        <f>IF(A25="","",IF(OR(C25="P",D25="P"),"",IF(IF(COUNT(R25:W25)&lt;5,SUM(R25:W25),IF(COUNT(R25:W25)=5,SUM(R25:W25)-MIN(R25:W25),SUM(R25:W25)-MIN(R25:W25)-SMALL(R25:W25,2)))&gt;0,IF(COUNT(R25:W25)&lt;5,SUM(R25:W25)+(1000-AB25)*10^-4+AC25*10^-5+(1000-AD25)*10^-8,IF(COUNT(R25:W25)=5,SUM(R25:W25)-MIN(R25:W25)+(1000-AB25)*10^-4+AC25*10^-5+(1000-AD25)*10^-8,SUM(R25:W25)-MIN(R25:W25)-SMALL(R25:W25,2)+(1000-AB25)*10^-4+AC25*10^-5+(1000-AD25)*10^-8)),0)))</f>
        <v>31.085209880000001</v>
      </c>
      <c r="Y25" s="2" t="str">
        <f>IF(OR(X25="",X25=0),"",IF(SUMPRODUCT(--(B$3:B$102=B25),--(X$3:X$102&gt;X25),--(X$3:X$102&lt;&gt;"")),"","P"))</f>
        <v/>
      </c>
      <c r="Z25" s="2" t="str">
        <f>IF(X25="","",IF(SUMPRODUCT(--(C$3:C$102="P"),--(B$3:B$102=B25)),"P",""))</f>
        <v/>
      </c>
      <c r="AA25" s="15" t="str">
        <f>IF(AND(Y25&lt;&gt;"",OR(Z25="",SUMPRODUCT(--(X$3:X$102&gt;X25),--(Z$3:Z$102="P"),--(Y$3:Y$102="P"))&lt;4)),X25,"")</f>
        <v/>
      </c>
      <c r="AB25" s="9">
        <f>IF(A25="","",IF(OR(C25="P",D25="P"),"",IF(IF(COUNT(L25:Q25)&lt;5,SUM(L25:Q25),IF(COUNT(L25:Q25)=5,SUM(L25:Q25)-MIN(L25:Q25),SUM(L25:Q25)-MIN(L25:Q25)-SMALL(L25:Q25,2)))&gt;0,IF(COUNT(L25:Q25)&lt;5,SUM(L25:Q25),IF(COUNT(L25:Q25)=5,SUM(L25:Q25)-MIN(L25:Q25),SUM(L25:Q25)-MIN(L25:Q25)-SMALL(L25:Q25,2))),0)))</f>
        <v>148</v>
      </c>
      <c r="AC25" s="9">
        <f>COUNTIF(L25:Q25,"&lt;=8")</f>
        <v>0</v>
      </c>
      <c r="AD25" s="9">
        <f>MIN(L25:Q25)</f>
        <v>12</v>
      </c>
    </row>
    <row r="26" spans="1:30" x14ac:dyDescent="0.2">
      <c r="A26" s="7" t="s">
        <v>185</v>
      </c>
      <c r="B26" s="6" t="s">
        <v>22</v>
      </c>
      <c r="E26" s="3"/>
      <c r="F26" s="6"/>
      <c r="G26" s="6">
        <v>51</v>
      </c>
      <c r="H26" s="6">
        <v>22</v>
      </c>
      <c r="I26" s="6">
        <v>21</v>
      </c>
      <c r="J26" s="6"/>
      <c r="K26" s="6"/>
      <c r="L26" s="9" t="str">
        <f>IF(OR($C26&lt;&gt;"",$D26&lt;&gt;"",F26=""),"",F26-SUMPRODUCT(--($C$3:$C$102="P"),--(F$3:F$102&lt;F26),--(F$3:F$102&lt;&gt;""))-SUMPRODUCT(--($D$3:$D$102="P"),--(F$3:F$102&lt;F26),--(F$3:F$102&lt;&gt;"")))</f>
        <v/>
      </c>
      <c r="M26" s="9">
        <f>IF(OR($C26&lt;&gt;"",$D26&lt;&gt;"",G26=""),"",G26-SUMPRODUCT(--($C$3:$C$102="P"),--(G$3:G$102&lt;G26),--(G$3:G$102&lt;&gt;""))-SUMPRODUCT(--($D$3:$D$102="P"),--(G$3:G$102&lt;G26),--(G$3:G$102&lt;&gt;"")))</f>
        <v>49</v>
      </c>
      <c r="N26" s="9">
        <f>IF(OR($C26&lt;&gt;"",$D26&lt;&gt;"",H26=""),"",H26-SUMPRODUCT(--($C$3:$C$102="P"),--(H$3:H$102&lt;H26),--(H$3:H$102&lt;&gt;""))-SUMPRODUCT(--($D$3:$D$102="P"),--(H$3:H$102&lt;H26),--(H$3:H$102&lt;&gt;"")))</f>
        <v>18</v>
      </c>
      <c r="O26" s="9">
        <f>IF(OR($C26&lt;&gt;"",$D26&lt;&gt;"",I26=""),"",I26-SUMPRODUCT(--($C$3:$C$102="P"),--(I$3:I$102&lt;I26),--(I$3:I$102&lt;&gt;""))-SUMPRODUCT(--($D$3:$D$102="P"),--(I$3:I$102&lt;I26),--(I$3:I$102&lt;&gt;"")))</f>
        <v>16</v>
      </c>
      <c r="P26" s="9" t="str">
        <f>IF(OR($C26&lt;&gt;"",$D26&lt;&gt;"",J26=""),"",J26-SUMPRODUCT(--($C$3:$C$102="P"),--(J$3:J$102&lt;J26),--(J$3:J$102&lt;&gt;""))-SUMPRODUCT(--($D$3:$D$102="P"),--(J$3:J$102&lt;J26),--(J$3:J$102&lt;&gt;"")))</f>
        <v/>
      </c>
      <c r="Q26" s="9" t="str">
        <f>IF(OR($C26&lt;&gt;"",$D26&lt;&gt;"",K26=""),"",K26-SUMPRODUCT(--($C$3:$C$102="P"),--(K$3:K$102&lt;K26),--(K$3:K$102&lt;&gt;""))-SUMPRODUCT(--($D$3:$D$102="P"),--(K$3:K$102&lt;K26),--(K$3:K$102&lt;&gt;"")))</f>
        <v/>
      </c>
      <c r="R26" s="9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S26" s="9" t="str">
        <f>IF(OR(M26="",M26&gt;30),"",IF(M26=1,60,IF(M26=2,55,IF(M26=3,50,IF(M26=4,44,IF(M26=5,38,IF(M26=6,32,IF(M26=7,28,IF(M26=8,25,IF(M26=9,22,IF(M26=10,21,IF(M26=11,20,IF(M26=12,19,IF(M26=13,18,IF(M26=14,17,IF(M26=15,16,IF(M26=16,15,IF(M26=17,14,IF(M26=18,13,IF(M26=19,12,IF(M26=20,11,IF(M26=21,10,IF(M26=22,9,IF(M26=23,8,IF(M26=24,7,IF(M26=25,6,IF(M26=26,5,IF(M26=27,4,IF(M26=28,3,IF(M26=29,2,IF(M26=30,1)))))))))))))))))))))))))))))))</f>
        <v/>
      </c>
      <c r="T26" s="9">
        <f>IF(OR(N26="",N26&gt;30),"",IF(N26=1,60,IF(N26=2,55,IF(N26=3,50,IF(N26=4,44,IF(N26=5,38,IF(N26=6,32,IF(N26=7,28,IF(N26=8,25,IF(N26=9,22,IF(N26=10,21,IF(N26=11,20,IF(N26=12,19,IF(N26=13,18,IF(N26=14,17,IF(N26=15,16,IF(N26=16,15,IF(N26=17,14,IF(N26=18,13,IF(N26=19,12,IF(N26=20,11,IF(N26=21,10,IF(N26=22,9,IF(N26=23,8,IF(N26=24,7,IF(N26=25,6,IF(N26=26,5,IF(N26=27,4,IF(N26=28,3,IF(N26=29,2,IF(N26=30,1)))))))))))))))))))))))))))))))</f>
        <v>13</v>
      </c>
      <c r="U26" s="9">
        <f>IF(OR(O26="",O26&gt;30),"",IF(O26=1,60,IF(O26=2,55,IF(O26=3,50,IF(O26=4,44,IF(O26=5,38,IF(O26=6,32,IF(O26=7,28,IF(O26=8,25,IF(O26=9,22,IF(O26=10,21,IF(O26=11,20,IF(O26=12,19,IF(O26=13,18,IF(O26=14,17,IF(O26=15,16,IF(O26=16,15,IF(O26=17,14,IF(O26=18,13,IF(O26=19,12,IF(O26=20,11,IF(O26=21,10,IF(O26=22,9,IF(O26=23,8,IF(O26=24,7,IF(O26=25,6,IF(O26=26,5,IF(O26=27,4,IF(O26=28,3,IF(O26=29,2,IF(O26=30,1)))))))))))))))))))))))))))))))</f>
        <v>15</v>
      </c>
      <c r="V26" s="9" t="str">
        <f>IF(OR(P26="",P26&gt;30),"",IF(P26=1,60,IF(P26=2,55,IF(P26=3,50,IF(P26=4,44,IF(P26=5,38,IF(P26=6,32,IF(P26=7,28,IF(P26=8,25,IF(P26=9,22,IF(P26=10,21,IF(P26=11,20,IF(P26=12,19,IF(P26=13,18,IF(P26=14,17,IF(P26=15,16,IF(P26=16,15,IF(P26=17,14,IF(P26=18,13,IF(P26=19,12,IF(P26=20,11,IF(P26=21,10,IF(P26=22,9,IF(P26=23,8,IF(P26=24,7,IF(P26=25,6,IF(P26=26,5,IF(P26=27,4,IF(P26=28,3,IF(P26=29,2,IF(P26=30,1)))))))))))))))))))))))))))))))</f>
        <v/>
      </c>
      <c r="W26" s="9" t="str">
        <f>IF(OR(Q26="",Q26&gt;30),"",IF(Q26=1,60,IF(Q26=2,55,IF(Q26=3,50,IF(Q26=4,44,IF(Q26=5,38,IF(Q26=6,32,IF(Q26=7,28,IF(Q26=8,25,IF(Q26=9,22,IF(Q26=10,21,IF(Q26=11,20,IF(Q26=12,19,IF(Q26=13,18,IF(Q26=14,17,IF(Q26=15,16,IF(Q26=16,15,IF(Q26=17,14,IF(Q26=18,13,IF(Q26=19,12,IF(Q26=20,11,IF(Q26=21,10,IF(Q26=22,9,IF(Q26=23,8,IF(Q26=24,7,IF(Q26=25,6,IF(Q26=26,5,IF(Q26=27,4,IF(Q26=28,3,IF(Q26=29,2,IF(Q26=30,1)))))))))))))))))))))))))))))))</f>
        <v/>
      </c>
      <c r="X26" s="15">
        <f>IF(A26="","",IF(OR(C26="P",D26="P"),"",IF(IF(COUNT(R26:W26)&lt;5,SUM(R26:W26),IF(COUNT(R26:W26)=5,SUM(R26:W26)-MIN(R26:W26),SUM(R26:W26)-MIN(R26:W26)-SMALL(R26:W26,2)))&gt;0,IF(COUNT(R26:W26)&lt;5,SUM(R26:W26)+(1000-AB26)*10^-4+AC26*10^-5+(1000-AD26)*10^-8,IF(COUNT(R26:W26)=5,SUM(R26:W26)-MIN(R26:W26)+(1000-AB26)*10^-4+AC26*10^-5+(1000-AD26)*10^-8,SUM(R26:W26)-MIN(R26:W26)-SMALL(R26:W26,2)+(1000-AB26)*10^-4+AC26*10^-5+(1000-AD26)*10^-8)),0)))</f>
        <v>28.09170984</v>
      </c>
      <c r="Y26" s="2" t="str">
        <f>IF(OR(X26="",X26=0),"",IF(SUMPRODUCT(--(B$3:B$102=B26),--(X$3:X$102&gt;X26),--(X$3:X$102&lt;&gt;"")),"","P"))</f>
        <v>P</v>
      </c>
      <c r="Z26" s="2" t="str">
        <f>IF(X26="","",IF(SUMPRODUCT(--(C$3:C$102="P"),--(B$3:B$102=B26)),"P",""))</f>
        <v>P</v>
      </c>
      <c r="AA26" s="15" t="str">
        <f>IF(AND(Y26&lt;&gt;"",OR(Z26="",SUMPRODUCT(--(X$3:X$102&gt;X26),--(Z$3:Z$102="P"),--(Y$3:Y$102="P"))&lt;4)),X26,"")</f>
        <v/>
      </c>
      <c r="AB26" s="9">
        <f>IF(A26="","",IF(OR(C26="P",D26="P"),"",IF(IF(COUNT(L26:Q26)&lt;5,SUM(L26:Q26),IF(COUNT(L26:Q26)=5,SUM(L26:Q26)-MIN(L26:Q26),SUM(L26:Q26)-MIN(L26:Q26)-SMALL(L26:Q26,2)))&gt;0,IF(COUNT(L26:Q26)&lt;5,SUM(L26:Q26),IF(COUNT(L26:Q26)=5,SUM(L26:Q26)-MIN(L26:Q26),SUM(L26:Q26)-MIN(L26:Q26)-SMALL(L26:Q26,2))),0)))</f>
        <v>83</v>
      </c>
      <c r="AC26" s="9">
        <f>COUNTIF(L26:Q26,"&lt;=8")</f>
        <v>0</v>
      </c>
      <c r="AD26" s="9">
        <f>MIN(L26:Q26)</f>
        <v>16</v>
      </c>
    </row>
    <row r="27" spans="1:30" x14ac:dyDescent="0.2">
      <c r="A27" s="7" t="s">
        <v>120</v>
      </c>
      <c r="B27" s="6" t="s">
        <v>108</v>
      </c>
      <c r="E27" s="3">
        <f>IF(AA27="","",RANK(AA27,AA:AA))</f>
        <v>11</v>
      </c>
      <c r="F27" s="6">
        <v>68</v>
      </c>
      <c r="G27" s="6">
        <v>24</v>
      </c>
      <c r="H27" s="6">
        <v>17</v>
      </c>
      <c r="I27" s="6">
        <v>35</v>
      </c>
      <c r="J27" s="6"/>
      <c r="K27" s="6"/>
      <c r="L27" s="9">
        <f>IF(OR($C27&lt;&gt;"",$D27&lt;&gt;"",F27=""),"",F27-SUMPRODUCT(--($C$3:$C$102="P"),--(F$3:F$102&lt;F27),--(F$3:F$102&lt;&gt;""))-SUMPRODUCT(--($D$3:$D$102="P"),--(F$3:F$102&lt;F27),--(F$3:F$102&lt;&gt;"")))</f>
        <v>63</v>
      </c>
      <c r="M27" s="9">
        <f>IF(OR($C27&lt;&gt;"",$D27&lt;&gt;"",G27=""),"",G27-SUMPRODUCT(--($C$3:$C$102="P"),--(G$3:G$102&lt;G27),--(G$3:G$102&lt;&gt;""))-SUMPRODUCT(--($D$3:$D$102="P"),--(G$3:G$102&lt;G27),--(G$3:G$102&lt;&gt;"")))</f>
        <v>22</v>
      </c>
      <c r="N27" s="9">
        <f>IF(OR($C27&lt;&gt;"",$D27&lt;&gt;"",H27=""),"",H27-SUMPRODUCT(--($C$3:$C$102="P"),--(H$3:H$102&lt;H27),--(H$3:H$102&lt;&gt;""))-SUMPRODUCT(--($D$3:$D$102="P"),--(H$3:H$102&lt;H27),--(H$3:H$102&lt;&gt;"")))</f>
        <v>13</v>
      </c>
      <c r="O27" s="9">
        <f>IF(OR($C27&lt;&gt;"",$D27&lt;&gt;"",I27=""),"",I27-SUMPRODUCT(--($C$3:$C$102="P"),--(I$3:I$102&lt;I27),--(I$3:I$102&lt;&gt;""))-SUMPRODUCT(--($D$3:$D$102="P"),--(I$3:I$102&lt;I27),--(I$3:I$102&lt;&gt;"")))</f>
        <v>30</v>
      </c>
      <c r="P27" s="9" t="str">
        <f>IF(OR($C27&lt;&gt;"",$D27&lt;&gt;"",J27=""),"",J27-SUMPRODUCT(--($C$3:$C$102="P"),--(J$3:J$102&lt;J27),--(J$3:J$102&lt;&gt;""))-SUMPRODUCT(--($D$3:$D$102="P"),--(J$3:J$102&lt;J27),--(J$3:J$102&lt;&gt;"")))</f>
        <v/>
      </c>
      <c r="Q27" s="9" t="str">
        <f>IF(OR($C27&lt;&gt;"",$D27&lt;&gt;"",K27=""),"",K27-SUMPRODUCT(--($C$3:$C$102="P"),--(K$3:K$102&lt;K27),--(K$3:K$102&lt;&gt;""))-SUMPRODUCT(--($D$3:$D$102="P"),--(K$3:K$102&lt;K27),--(K$3:K$102&lt;&gt;"")))</f>
        <v/>
      </c>
      <c r="R27" s="9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S27" s="9">
        <f>IF(OR(M27="",M27&gt;30),"",IF(M27=1,60,IF(M27=2,55,IF(M27=3,50,IF(M27=4,44,IF(M27=5,38,IF(M27=6,32,IF(M27=7,28,IF(M27=8,25,IF(M27=9,22,IF(M27=10,21,IF(M27=11,20,IF(M27=12,19,IF(M27=13,18,IF(M27=14,17,IF(M27=15,16,IF(M27=16,15,IF(M27=17,14,IF(M27=18,13,IF(M27=19,12,IF(M27=20,11,IF(M27=21,10,IF(M27=22,9,IF(M27=23,8,IF(M27=24,7,IF(M27=25,6,IF(M27=26,5,IF(M27=27,4,IF(M27=28,3,IF(M27=29,2,IF(M27=30,1)))))))))))))))))))))))))))))))</f>
        <v>9</v>
      </c>
      <c r="T27" s="9">
        <f>IF(OR(N27="",N27&gt;30),"",IF(N27=1,60,IF(N27=2,55,IF(N27=3,50,IF(N27=4,44,IF(N27=5,38,IF(N27=6,32,IF(N27=7,28,IF(N27=8,25,IF(N27=9,22,IF(N27=10,21,IF(N27=11,20,IF(N27=12,19,IF(N27=13,18,IF(N27=14,17,IF(N27=15,16,IF(N27=16,15,IF(N27=17,14,IF(N27=18,13,IF(N27=19,12,IF(N27=20,11,IF(N27=21,10,IF(N27=22,9,IF(N27=23,8,IF(N27=24,7,IF(N27=25,6,IF(N27=26,5,IF(N27=27,4,IF(N27=28,3,IF(N27=29,2,IF(N27=30,1)))))))))))))))))))))))))))))))</f>
        <v>18</v>
      </c>
      <c r="U27" s="9">
        <f>IF(OR(O27="",O27&gt;30),"",IF(O27=1,60,IF(O27=2,55,IF(O27=3,50,IF(O27=4,44,IF(O27=5,38,IF(O27=6,32,IF(O27=7,28,IF(O27=8,25,IF(O27=9,22,IF(O27=10,21,IF(O27=11,20,IF(O27=12,19,IF(O27=13,18,IF(O27=14,17,IF(O27=15,16,IF(O27=16,15,IF(O27=17,14,IF(O27=18,13,IF(O27=19,12,IF(O27=20,11,IF(O27=21,10,IF(O27=22,9,IF(O27=23,8,IF(O27=24,7,IF(O27=25,6,IF(O27=26,5,IF(O27=27,4,IF(O27=28,3,IF(O27=29,2,IF(O27=30,1)))))))))))))))))))))))))))))))</f>
        <v>1</v>
      </c>
      <c r="V27" s="9" t="str">
        <f>IF(OR(P27="",P27&gt;30),"",IF(P27=1,60,IF(P27=2,55,IF(P27=3,50,IF(P27=4,44,IF(P27=5,38,IF(P27=6,32,IF(P27=7,28,IF(P27=8,25,IF(P27=9,22,IF(P27=10,21,IF(P27=11,20,IF(P27=12,19,IF(P27=13,18,IF(P27=14,17,IF(P27=15,16,IF(P27=16,15,IF(P27=17,14,IF(P27=18,13,IF(P27=19,12,IF(P27=20,11,IF(P27=21,10,IF(P27=22,9,IF(P27=23,8,IF(P27=24,7,IF(P27=25,6,IF(P27=26,5,IF(P27=27,4,IF(P27=28,3,IF(P27=29,2,IF(P27=30,1)))))))))))))))))))))))))))))))</f>
        <v/>
      </c>
      <c r="W27" s="9" t="str">
        <f>IF(OR(Q27="",Q27&gt;30),"",IF(Q27=1,60,IF(Q27=2,55,IF(Q27=3,50,IF(Q27=4,44,IF(Q27=5,38,IF(Q27=6,32,IF(Q27=7,28,IF(Q27=8,25,IF(Q27=9,22,IF(Q27=10,21,IF(Q27=11,20,IF(Q27=12,19,IF(Q27=13,18,IF(Q27=14,17,IF(Q27=15,16,IF(Q27=16,15,IF(Q27=17,14,IF(Q27=18,13,IF(Q27=19,12,IF(Q27=20,11,IF(Q27=21,10,IF(Q27=22,9,IF(Q27=23,8,IF(Q27=24,7,IF(Q27=25,6,IF(Q27=26,5,IF(Q27=27,4,IF(Q27=28,3,IF(Q27=29,2,IF(Q27=30,1)))))))))))))))))))))))))))))))</f>
        <v/>
      </c>
      <c r="X27" s="15">
        <f>IF(A27="","",IF(OR(C27="P",D27="P"),"",IF(IF(COUNT(R27:W27)&lt;5,SUM(R27:W27),IF(COUNT(R27:W27)=5,SUM(R27:W27)-MIN(R27:W27),SUM(R27:W27)-MIN(R27:W27)-SMALL(R27:W27,2)))&gt;0,IF(COUNT(R27:W27)&lt;5,SUM(R27:W27)+(1000-AB27)*10^-4+AC27*10^-5+(1000-AD27)*10^-8,IF(COUNT(R27:W27)=5,SUM(R27:W27)-MIN(R27:W27)+(1000-AB27)*10^-4+AC27*10^-5+(1000-AD27)*10^-8,SUM(R27:W27)-MIN(R27:W27)-SMALL(R27:W27,2)+(1000-AB27)*10^-4+AC27*10^-5+(1000-AD27)*10^-8)),0)))</f>
        <v>28.087209869999999</v>
      </c>
      <c r="Y27" s="2" t="str">
        <f>IF(OR(X27="",X27=0),"",IF(SUMPRODUCT(--(B$3:B$102=B27),--(X$3:X$102&gt;X27),--(X$3:X$102&lt;&gt;"")),"","P"))</f>
        <v>P</v>
      </c>
      <c r="Z27" s="2" t="str">
        <f>IF(X27="","",IF(SUMPRODUCT(--(C$3:C$102="P"),--(B$3:B$102=B27)),"P",""))</f>
        <v/>
      </c>
      <c r="AA27" s="15">
        <f>IF(AND(Y27&lt;&gt;"",OR(Z27="",SUMPRODUCT(--(X$3:X$102&gt;X27),--(Z$3:Z$102="P"),--(Y$3:Y$102="P"))&lt;4)),X27,"")</f>
        <v>28.087209869999999</v>
      </c>
      <c r="AB27" s="9">
        <f>IF(A27="","",IF(OR(C27="P",D27="P"),"",IF(IF(COUNT(L27:Q27)&lt;5,SUM(L27:Q27),IF(COUNT(L27:Q27)=5,SUM(L27:Q27)-MIN(L27:Q27),SUM(L27:Q27)-MIN(L27:Q27)-SMALL(L27:Q27,2)))&gt;0,IF(COUNT(L27:Q27)&lt;5,SUM(L27:Q27),IF(COUNT(L27:Q27)=5,SUM(L27:Q27)-MIN(L27:Q27),SUM(L27:Q27)-MIN(L27:Q27)-SMALL(L27:Q27,2))),0)))</f>
        <v>128</v>
      </c>
      <c r="AC27" s="9">
        <f>COUNTIF(L27:Q27,"&lt;=8")</f>
        <v>0</v>
      </c>
      <c r="AD27" s="9">
        <f>MIN(L27:Q27)</f>
        <v>13</v>
      </c>
    </row>
    <row r="28" spans="1:30" x14ac:dyDescent="0.2">
      <c r="A28" s="7" t="s">
        <v>170</v>
      </c>
      <c r="B28" s="6" t="s">
        <v>55</v>
      </c>
      <c r="E28" s="3"/>
      <c r="F28" s="6"/>
      <c r="G28" s="6"/>
      <c r="H28" s="6">
        <v>23</v>
      </c>
      <c r="I28" s="6">
        <v>22</v>
      </c>
      <c r="J28" s="6"/>
      <c r="K28" s="6"/>
      <c r="L28" s="9" t="str">
        <f>IF(OR($C28&lt;&gt;"",$D28&lt;&gt;"",F28=""),"",F28-SUMPRODUCT(--($C$3:$C$102="P"),--(F$3:F$102&lt;F28),--(F$3:F$102&lt;&gt;""))-SUMPRODUCT(--($D$3:$D$102="P"),--(F$3:F$102&lt;F28),--(F$3:F$102&lt;&gt;"")))</f>
        <v/>
      </c>
      <c r="M28" s="9" t="str">
        <f>IF(OR($C28&lt;&gt;"",$D28&lt;&gt;"",G28=""),"",G28-SUMPRODUCT(--($C$3:$C$102="P"),--(G$3:G$102&lt;G28),--(G$3:G$102&lt;&gt;""))-SUMPRODUCT(--($D$3:$D$102="P"),--(G$3:G$102&lt;G28),--(G$3:G$102&lt;&gt;"")))</f>
        <v/>
      </c>
      <c r="N28" s="9">
        <f>IF(OR($C28&lt;&gt;"",$D28&lt;&gt;"",H28=""),"",H28-SUMPRODUCT(--($C$3:$C$102="P"),--(H$3:H$102&lt;H28),--(H$3:H$102&lt;&gt;""))-SUMPRODUCT(--($D$3:$D$102="P"),--(H$3:H$102&lt;H28),--(H$3:H$102&lt;&gt;"")))</f>
        <v>19</v>
      </c>
      <c r="O28" s="9">
        <f>IF(OR($C28&lt;&gt;"",$D28&lt;&gt;"",I28=""),"",I28-SUMPRODUCT(--($C$3:$C$102="P"),--(I$3:I$102&lt;I28),--(I$3:I$102&lt;&gt;""))-SUMPRODUCT(--($D$3:$D$102="P"),--(I$3:I$102&lt;I28),--(I$3:I$102&lt;&gt;"")))</f>
        <v>17</v>
      </c>
      <c r="P28" s="9" t="str">
        <f>IF(OR($C28&lt;&gt;"",$D28&lt;&gt;"",J28=""),"",J28-SUMPRODUCT(--($C$3:$C$102="P"),--(J$3:J$102&lt;J28),--(J$3:J$102&lt;&gt;""))-SUMPRODUCT(--($D$3:$D$102="P"),--(J$3:J$102&lt;J28),--(J$3:J$102&lt;&gt;"")))</f>
        <v/>
      </c>
      <c r="Q28" s="9" t="str">
        <f>IF(OR($C28&lt;&gt;"",$D28&lt;&gt;"",K28=""),"",K28-SUMPRODUCT(--($C$3:$C$102="P"),--(K$3:K$102&lt;K28),--(K$3:K$102&lt;&gt;""))-SUMPRODUCT(--($D$3:$D$102="P"),--(K$3:K$102&lt;K28),--(K$3:K$102&lt;&gt;"")))</f>
        <v/>
      </c>
      <c r="R28" s="9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S28" s="9" t="str">
        <f>IF(OR(M28="",M28&gt;30),"",IF(M28=1,60,IF(M28=2,55,IF(M28=3,50,IF(M28=4,44,IF(M28=5,38,IF(M28=6,32,IF(M28=7,28,IF(M28=8,25,IF(M28=9,22,IF(M28=10,21,IF(M28=11,20,IF(M28=12,19,IF(M28=13,18,IF(M28=14,17,IF(M28=15,16,IF(M28=16,15,IF(M28=17,14,IF(M28=18,13,IF(M28=19,12,IF(M28=20,11,IF(M28=21,10,IF(M28=22,9,IF(M28=23,8,IF(M28=24,7,IF(M28=25,6,IF(M28=26,5,IF(M28=27,4,IF(M28=28,3,IF(M28=29,2,IF(M28=30,1)))))))))))))))))))))))))))))))</f>
        <v/>
      </c>
      <c r="T28" s="9">
        <f>IF(OR(N28="",N28&gt;30),"",IF(N28=1,60,IF(N28=2,55,IF(N28=3,50,IF(N28=4,44,IF(N28=5,38,IF(N28=6,32,IF(N28=7,28,IF(N28=8,25,IF(N28=9,22,IF(N28=10,21,IF(N28=11,20,IF(N28=12,19,IF(N28=13,18,IF(N28=14,17,IF(N28=15,16,IF(N28=16,15,IF(N28=17,14,IF(N28=18,13,IF(N28=19,12,IF(N28=20,11,IF(N28=21,10,IF(N28=22,9,IF(N28=23,8,IF(N28=24,7,IF(N28=25,6,IF(N28=26,5,IF(N28=27,4,IF(N28=28,3,IF(N28=29,2,IF(N28=30,1)))))))))))))))))))))))))))))))</f>
        <v>12</v>
      </c>
      <c r="U28" s="9">
        <f>IF(OR(O28="",O28&gt;30),"",IF(O28=1,60,IF(O28=2,55,IF(O28=3,50,IF(O28=4,44,IF(O28=5,38,IF(O28=6,32,IF(O28=7,28,IF(O28=8,25,IF(O28=9,22,IF(O28=10,21,IF(O28=11,20,IF(O28=12,19,IF(O28=13,18,IF(O28=14,17,IF(O28=15,16,IF(O28=16,15,IF(O28=17,14,IF(O28=18,13,IF(O28=19,12,IF(O28=20,11,IF(O28=21,10,IF(O28=22,9,IF(O28=23,8,IF(O28=24,7,IF(O28=25,6,IF(O28=26,5,IF(O28=27,4,IF(O28=28,3,IF(O28=29,2,IF(O28=30,1)))))))))))))))))))))))))))))))</f>
        <v>14</v>
      </c>
      <c r="V28" s="9" t="str">
        <f>IF(OR(P28="",P28&gt;30),"",IF(P28=1,60,IF(P28=2,55,IF(P28=3,50,IF(P28=4,44,IF(P28=5,38,IF(P28=6,32,IF(P28=7,28,IF(P28=8,25,IF(P28=9,22,IF(P28=10,21,IF(P28=11,20,IF(P28=12,19,IF(P28=13,18,IF(P28=14,17,IF(P28=15,16,IF(P28=16,15,IF(P28=17,14,IF(P28=18,13,IF(P28=19,12,IF(P28=20,11,IF(P28=21,10,IF(P28=22,9,IF(P28=23,8,IF(P28=24,7,IF(P28=25,6,IF(P28=26,5,IF(P28=27,4,IF(P28=28,3,IF(P28=29,2,IF(P28=30,1)))))))))))))))))))))))))))))))</f>
        <v/>
      </c>
      <c r="W28" s="9" t="str">
        <f>IF(OR(Q28="",Q28&gt;30),"",IF(Q28=1,60,IF(Q28=2,55,IF(Q28=3,50,IF(Q28=4,44,IF(Q28=5,38,IF(Q28=6,32,IF(Q28=7,28,IF(Q28=8,25,IF(Q28=9,22,IF(Q28=10,21,IF(Q28=11,20,IF(Q28=12,19,IF(Q28=13,18,IF(Q28=14,17,IF(Q28=15,16,IF(Q28=16,15,IF(Q28=17,14,IF(Q28=18,13,IF(Q28=19,12,IF(Q28=20,11,IF(Q28=21,10,IF(Q28=22,9,IF(Q28=23,8,IF(Q28=24,7,IF(Q28=25,6,IF(Q28=26,5,IF(Q28=27,4,IF(Q28=28,3,IF(Q28=29,2,IF(Q28=30,1)))))))))))))))))))))))))))))))</f>
        <v/>
      </c>
      <c r="X28" s="15">
        <f>IF(A28="","",IF(OR(C28="P",D28="P"),"",IF(IF(COUNT(R28:W28)&lt;5,SUM(R28:W28),IF(COUNT(R28:W28)=5,SUM(R28:W28)-MIN(R28:W28),SUM(R28:W28)-MIN(R28:W28)-SMALL(R28:W28,2)))&gt;0,IF(COUNT(R28:W28)&lt;5,SUM(R28:W28)+(1000-AB28)*10^-4+AC28*10^-5+(1000-AD28)*10^-8,IF(COUNT(R28:W28)=5,SUM(R28:W28)-MIN(R28:W28)+(1000-AB28)*10^-4+AC28*10^-5+(1000-AD28)*10^-8,SUM(R28:W28)-MIN(R28:W28)-SMALL(R28:W28,2)+(1000-AB28)*10^-4+AC28*10^-5+(1000-AD28)*10^-8)),0)))</f>
        <v>26.096409829999999</v>
      </c>
      <c r="Y28" s="2" t="str">
        <f>IF(OR(X28="",X28=0),"",IF(SUMPRODUCT(--(B$3:B$102=B28),--(X$3:X$102&gt;X28),--(X$3:X$102&lt;&gt;"")),"","P"))</f>
        <v>P</v>
      </c>
      <c r="Z28" s="2" t="str">
        <f>IF(X28="","",IF(SUMPRODUCT(--(C$3:C$102="P"),--(B$3:B$102=B28)),"P",""))</f>
        <v/>
      </c>
      <c r="AA28" s="15">
        <f>IF(AND(Y28&lt;&gt;"",OR(Z28="",SUMPRODUCT(--(X$3:X$102&gt;X28),--(Z$3:Z$102="P"),--(Y$3:Y$102="P"))&lt;4)),X28,"")</f>
        <v>26.096409829999999</v>
      </c>
      <c r="AB28" s="9">
        <f>IF(A28="","",IF(OR(C28="P",D28="P"),"",IF(IF(COUNT(L28:Q28)&lt;5,SUM(L28:Q28),IF(COUNT(L28:Q28)=5,SUM(L28:Q28)-MIN(L28:Q28),SUM(L28:Q28)-MIN(L28:Q28)-SMALL(L28:Q28,2)))&gt;0,IF(COUNT(L28:Q28)&lt;5,SUM(L28:Q28),IF(COUNT(L28:Q28)=5,SUM(L28:Q28)-MIN(L28:Q28),SUM(L28:Q28)-MIN(L28:Q28)-SMALL(L28:Q28,2))),0)))</f>
        <v>36</v>
      </c>
      <c r="AC28" s="9">
        <f>COUNTIF(L28:Q28,"&lt;=8")</f>
        <v>0</v>
      </c>
      <c r="AD28" s="9">
        <f>MIN(L28:Q28)</f>
        <v>17</v>
      </c>
    </row>
    <row r="29" spans="1:30" x14ac:dyDescent="0.2">
      <c r="A29" s="7" t="s">
        <v>71</v>
      </c>
      <c r="B29" s="6" t="s">
        <v>16</v>
      </c>
      <c r="E29" s="3" t="str">
        <f>IF(AA29="","",RANK(AA29,AA:AA))</f>
        <v/>
      </c>
      <c r="F29" s="6">
        <v>9</v>
      </c>
      <c r="G29" s="6">
        <v>56</v>
      </c>
      <c r="H29" s="6"/>
      <c r="I29" s="6"/>
      <c r="J29" s="6"/>
      <c r="K29" s="6"/>
      <c r="L29" s="9">
        <f>IF(OR($C29&lt;&gt;"",$D29&lt;&gt;"",F29=""),"",F29-SUMPRODUCT(--($C$3:$C$102="P"),--(F$3:F$102&lt;F29),--(F$3:F$102&lt;&gt;""))-SUMPRODUCT(--($D$3:$D$102="P"),--(F$3:F$102&lt;F29),--(F$3:F$102&lt;&gt;"")))</f>
        <v>8</v>
      </c>
      <c r="M29" s="9">
        <f>IF(OR($C29&lt;&gt;"",$D29&lt;&gt;"",G29=""),"",G29-SUMPRODUCT(--($C$3:$C$102="P"),--(G$3:G$102&lt;G29),--(G$3:G$102&lt;&gt;""))-SUMPRODUCT(--($D$3:$D$102="P"),--(G$3:G$102&lt;G29),--(G$3:G$102&lt;&gt;"")))</f>
        <v>54</v>
      </c>
      <c r="N29" s="9" t="str">
        <f>IF(OR($C29&lt;&gt;"",$D29&lt;&gt;"",H29=""),"",H29-SUMPRODUCT(--($C$3:$C$102="P"),--(H$3:H$102&lt;H29),--(H$3:H$102&lt;&gt;""))-SUMPRODUCT(--($D$3:$D$102="P"),--(H$3:H$102&lt;H29),--(H$3:H$102&lt;&gt;"")))</f>
        <v/>
      </c>
      <c r="O29" s="9" t="str">
        <f>IF(OR($C29&lt;&gt;"",$D29&lt;&gt;"",I29=""),"",I29-SUMPRODUCT(--($C$3:$C$102="P"),--(I$3:I$102&lt;I29),--(I$3:I$102&lt;&gt;""))-SUMPRODUCT(--($D$3:$D$102="P"),--(I$3:I$102&lt;I29),--(I$3:I$102&lt;&gt;"")))</f>
        <v/>
      </c>
      <c r="P29" s="9" t="str">
        <f>IF(OR($C29&lt;&gt;"",$D29&lt;&gt;"",J29=""),"",J29-SUMPRODUCT(--($C$3:$C$102="P"),--(J$3:J$102&lt;J29),--(J$3:J$102&lt;&gt;""))-SUMPRODUCT(--($D$3:$D$102="P"),--(J$3:J$102&lt;J29),--(J$3:J$102&lt;&gt;"")))</f>
        <v/>
      </c>
      <c r="Q29" s="9" t="str">
        <f>IF(OR($C29&lt;&gt;"",$D29&lt;&gt;"",K29=""),"",K29-SUMPRODUCT(--($C$3:$C$102="P"),--(K$3:K$102&lt;K29),--(K$3:K$102&lt;&gt;""))-SUMPRODUCT(--($D$3:$D$102="P"),--(K$3:K$102&lt;K29),--(K$3:K$102&lt;&gt;"")))</f>
        <v/>
      </c>
      <c r="R29" s="9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>25</v>
      </c>
      <c r="S29" s="9" t="str">
        <f>IF(OR(M29="",M29&gt;30),"",IF(M29=1,60,IF(M29=2,55,IF(M29=3,50,IF(M29=4,44,IF(M29=5,38,IF(M29=6,32,IF(M29=7,28,IF(M29=8,25,IF(M29=9,22,IF(M29=10,21,IF(M29=11,20,IF(M29=12,19,IF(M29=13,18,IF(M29=14,17,IF(M29=15,16,IF(M29=16,15,IF(M29=17,14,IF(M29=18,13,IF(M29=19,12,IF(M29=20,11,IF(M29=21,10,IF(M29=22,9,IF(M29=23,8,IF(M29=24,7,IF(M29=25,6,IF(M29=26,5,IF(M29=27,4,IF(M29=28,3,IF(M29=29,2,IF(M29=30,1)))))))))))))))))))))))))))))))</f>
        <v/>
      </c>
      <c r="T29" s="9" t="str">
        <f>IF(OR(N29="",N29&gt;30),"",IF(N29=1,60,IF(N29=2,55,IF(N29=3,50,IF(N29=4,44,IF(N29=5,38,IF(N29=6,32,IF(N29=7,28,IF(N29=8,25,IF(N29=9,22,IF(N29=10,21,IF(N29=11,20,IF(N29=12,19,IF(N29=13,18,IF(N29=14,17,IF(N29=15,16,IF(N29=16,15,IF(N29=17,14,IF(N29=18,13,IF(N29=19,12,IF(N29=20,11,IF(N29=21,10,IF(N29=22,9,IF(N29=23,8,IF(N29=24,7,IF(N29=25,6,IF(N29=26,5,IF(N29=27,4,IF(N29=28,3,IF(N29=29,2,IF(N29=30,1)))))))))))))))))))))))))))))))</f>
        <v/>
      </c>
      <c r="U29" s="9" t="str">
        <f>IF(OR(O29="",O29&gt;30),"",IF(O29=1,60,IF(O29=2,55,IF(O29=3,50,IF(O29=4,44,IF(O29=5,38,IF(O29=6,32,IF(O29=7,28,IF(O29=8,25,IF(O29=9,22,IF(O29=10,21,IF(O29=11,20,IF(O29=12,19,IF(O29=13,18,IF(O29=14,17,IF(O29=15,16,IF(O29=16,15,IF(O29=17,14,IF(O29=18,13,IF(O29=19,12,IF(O29=20,11,IF(O29=21,10,IF(O29=22,9,IF(O29=23,8,IF(O29=24,7,IF(O29=25,6,IF(O29=26,5,IF(O29=27,4,IF(O29=28,3,IF(O29=29,2,IF(O29=30,1)))))))))))))))))))))))))))))))</f>
        <v/>
      </c>
      <c r="V29" s="9" t="str">
        <f>IF(OR(P29="",P29&gt;30),"",IF(P29=1,60,IF(P29=2,55,IF(P29=3,50,IF(P29=4,44,IF(P29=5,38,IF(P29=6,32,IF(P29=7,28,IF(P29=8,25,IF(P29=9,22,IF(P29=10,21,IF(P29=11,20,IF(P29=12,19,IF(P29=13,18,IF(P29=14,17,IF(P29=15,16,IF(P29=16,15,IF(P29=17,14,IF(P29=18,13,IF(P29=19,12,IF(P29=20,11,IF(P29=21,10,IF(P29=22,9,IF(P29=23,8,IF(P29=24,7,IF(P29=25,6,IF(P29=26,5,IF(P29=27,4,IF(P29=28,3,IF(P29=29,2,IF(P29=30,1)))))))))))))))))))))))))))))))</f>
        <v/>
      </c>
      <c r="W29" s="9" t="str">
        <f>IF(OR(Q29="",Q29&gt;30),"",IF(Q29=1,60,IF(Q29=2,55,IF(Q29=3,50,IF(Q29=4,44,IF(Q29=5,38,IF(Q29=6,32,IF(Q29=7,28,IF(Q29=8,25,IF(Q29=9,22,IF(Q29=10,21,IF(Q29=11,20,IF(Q29=12,19,IF(Q29=13,18,IF(Q29=14,17,IF(Q29=15,16,IF(Q29=16,15,IF(Q29=17,14,IF(Q29=18,13,IF(Q29=19,12,IF(Q29=20,11,IF(Q29=21,10,IF(Q29=22,9,IF(Q29=23,8,IF(Q29=24,7,IF(Q29=25,6,IF(Q29=26,5,IF(Q29=27,4,IF(Q29=28,3,IF(Q29=29,2,IF(Q29=30,1)))))))))))))))))))))))))))))))</f>
        <v/>
      </c>
      <c r="X29" s="15">
        <f>IF(A29="","",IF(OR(C29="P",D29="P"),"",IF(IF(COUNT(R29:W29)&lt;5,SUM(R29:W29),IF(COUNT(R29:W29)=5,SUM(R29:W29)-MIN(R29:W29),SUM(R29:W29)-MIN(R29:W29)-SMALL(R29:W29,2)))&gt;0,IF(COUNT(R29:W29)&lt;5,SUM(R29:W29)+(1000-AB29)*10^-4+AC29*10^-5+(1000-AD29)*10^-8,IF(COUNT(R29:W29)=5,SUM(R29:W29)-MIN(R29:W29)+(1000-AB29)*10^-4+AC29*10^-5+(1000-AD29)*10^-8,SUM(R29:W29)-MIN(R29:W29)-SMALL(R29:W29,2)+(1000-AB29)*10^-4+AC29*10^-5+(1000-AD29)*10^-8)),0)))</f>
        <v>25.093819920000001</v>
      </c>
      <c r="Y29" s="2" t="str">
        <f>IF(OR(X29="",X29=0),"",IF(SUMPRODUCT(--(B$3:B$102=B29),--(X$3:X$102&gt;X29),--(X$3:X$102&lt;&gt;"")),"","P"))</f>
        <v/>
      </c>
      <c r="Z29" s="2" t="str">
        <f>IF(X29="","",IF(SUMPRODUCT(--(C$3:C$102="P"),--(B$3:B$102=B29)),"P",""))</f>
        <v>P</v>
      </c>
      <c r="AA29" s="15" t="str">
        <f>IF(AND(Y29&lt;&gt;"",OR(Z29="",SUMPRODUCT(--(X$3:X$102&gt;X29),--(Z$3:Z$102="P"),--(Y$3:Y$102="P"))&lt;4)),X29,"")</f>
        <v/>
      </c>
      <c r="AB29" s="9">
        <f>IF(A29="","",IF(OR(C29="P",D29="P"),"",IF(IF(COUNT(L29:Q29)&lt;5,SUM(L29:Q29),IF(COUNT(L29:Q29)=5,SUM(L29:Q29)-MIN(L29:Q29),SUM(L29:Q29)-MIN(L29:Q29)-SMALL(L29:Q29,2)))&gt;0,IF(COUNT(L29:Q29)&lt;5,SUM(L29:Q29),IF(COUNT(L29:Q29)=5,SUM(L29:Q29)-MIN(L29:Q29),SUM(L29:Q29)-MIN(L29:Q29)-SMALL(L29:Q29,2))),0)))</f>
        <v>62</v>
      </c>
      <c r="AC29" s="9">
        <f>COUNTIF(L29:Q29,"&lt;=8")</f>
        <v>1</v>
      </c>
      <c r="AD29" s="9">
        <f>MIN(L29:Q29)</f>
        <v>8</v>
      </c>
    </row>
    <row r="30" spans="1:30" x14ac:dyDescent="0.2">
      <c r="A30" s="7" t="s">
        <v>127</v>
      </c>
      <c r="B30" s="6" t="s">
        <v>51</v>
      </c>
      <c r="E30" s="3">
        <f>IF(AA30="","",RANK(AA30,AA:AA))</f>
        <v>13</v>
      </c>
      <c r="F30" s="6">
        <v>64</v>
      </c>
      <c r="G30" s="6">
        <v>30</v>
      </c>
      <c r="H30" s="6"/>
      <c r="I30" s="6">
        <v>13</v>
      </c>
      <c r="J30" s="6"/>
      <c r="K30" s="6"/>
      <c r="L30" s="9">
        <f>IF(OR($C30&lt;&gt;"",$D30&lt;&gt;"",F30=""),"",F30-SUMPRODUCT(--($C$3:$C$102="P"),--(F$3:F$102&lt;F30),--(F$3:F$102&lt;&gt;""))-SUMPRODUCT(--($D$3:$D$102="P"),--(F$3:F$102&lt;F30),--(F$3:F$102&lt;&gt;"")))</f>
        <v>60</v>
      </c>
      <c r="M30" s="9">
        <f>IF(OR($C30&lt;&gt;"",$D30&lt;&gt;"",G30=""),"",G30-SUMPRODUCT(--($C$3:$C$102="P"),--(G$3:G$102&lt;G30),--(G$3:G$102&lt;&gt;""))-SUMPRODUCT(--($D$3:$D$102="P"),--(G$3:G$102&lt;G30),--(G$3:G$102&lt;&gt;"")))</f>
        <v>28</v>
      </c>
      <c r="N30" s="9" t="str">
        <f>IF(OR($C30&lt;&gt;"",$D30&lt;&gt;"",H30=""),"",H30-SUMPRODUCT(--($C$3:$C$102="P"),--(H$3:H$102&lt;H30),--(H$3:H$102&lt;&gt;""))-SUMPRODUCT(--($D$3:$D$102="P"),--(H$3:H$102&lt;H30),--(H$3:H$102&lt;&gt;"")))</f>
        <v/>
      </c>
      <c r="O30" s="9">
        <f>IF(OR($C30&lt;&gt;"",$D30&lt;&gt;"",I30=""),"",I30-SUMPRODUCT(--($C$3:$C$102="P"),--(I$3:I$102&lt;I30),--(I$3:I$102&lt;&gt;""))-SUMPRODUCT(--($D$3:$D$102="P"),--(I$3:I$102&lt;I30),--(I$3:I$102&lt;&gt;"")))</f>
        <v>10</v>
      </c>
      <c r="P30" s="9" t="str">
        <f>IF(OR($C30&lt;&gt;"",$D30&lt;&gt;"",J30=""),"",J30-SUMPRODUCT(--($C$3:$C$102="P"),--(J$3:J$102&lt;J30),--(J$3:J$102&lt;&gt;""))-SUMPRODUCT(--($D$3:$D$102="P"),--(J$3:J$102&lt;J30),--(J$3:J$102&lt;&gt;"")))</f>
        <v/>
      </c>
      <c r="Q30" s="9" t="str">
        <f>IF(OR($C30&lt;&gt;"",$D30&lt;&gt;"",K30=""),"",K30-SUMPRODUCT(--($C$3:$C$102="P"),--(K$3:K$102&lt;K30),--(K$3:K$102&lt;&gt;""))-SUMPRODUCT(--($D$3:$D$102="P"),--(K$3:K$102&lt;K30),--(K$3:K$102&lt;&gt;"")))</f>
        <v/>
      </c>
      <c r="R30" s="9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S30" s="9">
        <f>IF(OR(M30="",M30&gt;30),"",IF(M30=1,60,IF(M30=2,55,IF(M30=3,50,IF(M30=4,44,IF(M30=5,38,IF(M30=6,32,IF(M30=7,28,IF(M30=8,25,IF(M30=9,22,IF(M30=10,21,IF(M30=11,20,IF(M30=12,19,IF(M30=13,18,IF(M30=14,17,IF(M30=15,16,IF(M30=16,15,IF(M30=17,14,IF(M30=18,13,IF(M30=19,12,IF(M30=20,11,IF(M30=21,10,IF(M30=22,9,IF(M30=23,8,IF(M30=24,7,IF(M30=25,6,IF(M30=26,5,IF(M30=27,4,IF(M30=28,3,IF(M30=29,2,IF(M30=30,1)))))))))))))))))))))))))))))))</f>
        <v>3</v>
      </c>
      <c r="T30" s="9" t="str">
        <f>IF(OR(N30="",N30&gt;30),"",IF(N30=1,60,IF(N30=2,55,IF(N30=3,50,IF(N30=4,44,IF(N30=5,38,IF(N30=6,32,IF(N30=7,28,IF(N30=8,25,IF(N30=9,22,IF(N30=10,21,IF(N30=11,20,IF(N30=12,19,IF(N30=13,18,IF(N30=14,17,IF(N30=15,16,IF(N30=16,15,IF(N30=17,14,IF(N30=18,13,IF(N30=19,12,IF(N30=20,11,IF(N30=21,10,IF(N30=22,9,IF(N30=23,8,IF(N30=24,7,IF(N30=25,6,IF(N30=26,5,IF(N30=27,4,IF(N30=28,3,IF(N30=29,2,IF(N30=30,1)))))))))))))))))))))))))))))))</f>
        <v/>
      </c>
      <c r="U30" s="9">
        <f>IF(OR(O30="",O30&gt;30),"",IF(O30=1,60,IF(O30=2,55,IF(O30=3,50,IF(O30=4,44,IF(O30=5,38,IF(O30=6,32,IF(O30=7,28,IF(O30=8,25,IF(O30=9,22,IF(O30=10,21,IF(O30=11,20,IF(O30=12,19,IF(O30=13,18,IF(O30=14,17,IF(O30=15,16,IF(O30=16,15,IF(O30=17,14,IF(O30=18,13,IF(O30=19,12,IF(O30=20,11,IF(O30=21,10,IF(O30=22,9,IF(O30=23,8,IF(O30=24,7,IF(O30=25,6,IF(O30=26,5,IF(O30=27,4,IF(O30=28,3,IF(O30=29,2,IF(O30=30,1)))))))))))))))))))))))))))))))</f>
        <v>21</v>
      </c>
      <c r="V30" s="9" t="str">
        <f>IF(OR(P30="",P30&gt;30),"",IF(P30=1,60,IF(P30=2,55,IF(P30=3,50,IF(P30=4,44,IF(P30=5,38,IF(P30=6,32,IF(P30=7,28,IF(P30=8,25,IF(P30=9,22,IF(P30=10,21,IF(P30=11,20,IF(P30=12,19,IF(P30=13,18,IF(P30=14,17,IF(P30=15,16,IF(P30=16,15,IF(P30=17,14,IF(P30=18,13,IF(P30=19,12,IF(P30=20,11,IF(P30=21,10,IF(P30=22,9,IF(P30=23,8,IF(P30=24,7,IF(P30=25,6,IF(P30=26,5,IF(P30=27,4,IF(P30=28,3,IF(P30=29,2,IF(P30=30,1)))))))))))))))))))))))))))))))</f>
        <v/>
      </c>
      <c r="W30" s="9" t="str">
        <f>IF(OR(Q30="",Q30&gt;30),"",IF(Q30=1,60,IF(Q30=2,55,IF(Q30=3,50,IF(Q30=4,44,IF(Q30=5,38,IF(Q30=6,32,IF(Q30=7,28,IF(Q30=8,25,IF(Q30=9,22,IF(Q30=10,21,IF(Q30=11,20,IF(Q30=12,19,IF(Q30=13,18,IF(Q30=14,17,IF(Q30=15,16,IF(Q30=16,15,IF(Q30=17,14,IF(Q30=18,13,IF(Q30=19,12,IF(Q30=20,11,IF(Q30=21,10,IF(Q30=22,9,IF(Q30=23,8,IF(Q30=24,7,IF(Q30=25,6,IF(Q30=26,5,IF(Q30=27,4,IF(Q30=28,3,IF(Q30=29,2,IF(Q30=30,1)))))))))))))))))))))))))))))))</f>
        <v/>
      </c>
      <c r="X30" s="15">
        <f>IF(A30="","",IF(OR(C30="P",D30="P"),"",IF(IF(COUNT(R30:W30)&lt;5,SUM(R30:W30),IF(COUNT(R30:W30)=5,SUM(R30:W30)-MIN(R30:W30),SUM(R30:W30)-MIN(R30:W30)-SMALL(R30:W30,2)))&gt;0,IF(COUNT(R30:W30)&lt;5,SUM(R30:W30)+(1000-AB30)*10^-4+AC30*10^-5+(1000-AD30)*10^-8,IF(COUNT(R30:W30)=5,SUM(R30:W30)-MIN(R30:W30)+(1000-AB30)*10^-4+AC30*10^-5+(1000-AD30)*10^-8,SUM(R30:W30)-MIN(R30:W30)-SMALL(R30:W30,2)+(1000-AB30)*10^-4+AC30*10^-5+(1000-AD30)*10^-8)),0)))</f>
        <v>24.090209899999998</v>
      </c>
      <c r="Y30" s="2" t="str">
        <f>IF(OR(X30="",X30=0),"",IF(SUMPRODUCT(--(B$3:B$102=B30),--(X$3:X$102&gt;X30),--(X$3:X$102&lt;&gt;"")),"","P"))</f>
        <v>P</v>
      </c>
      <c r="Z30" s="2" t="str">
        <f>IF(X30="","",IF(SUMPRODUCT(--(C$3:C$102="P"),--(B$3:B$102=B30)),"P",""))</f>
        <v/>
      </c>
      <c r="AA30" s="15">
        <f>IF(AND(Y30&lt;&gt;"",OR(Z30="",SUMPRODUCT(--(X$3:X$102&gt;X30),--(Z$3:Z$102="P"),--(Y$3:Y$102="P"))&lt;4)),X30,"")</f>
        <v>24.090209899999998</v>
      </c>
      <c r="AB30" s="9">
        <f>IF(A30="","",IF(OR(C30="P",D30="P"),"",IF(IF(COUNT(L30:Q30)&lt;5,SUM(L30:Q30),IF(COUNT(L30:Q30)=5,SUM(L30:Q30)-MIN(L30:Q30),SUM(L30:Q30)-MIN(L30:Q30)-SMALL(L30:Q30,2)))&gt;0,IF(COUNT(L30:Q30)&lt;5,SUM(L30:Q30),IF(COUNT(L30:Q30)=5,SUM(L30:Q30)-MIN(L30:Q30),SUM(L30:Q30)-MIN(L30:Q30)-SMALL(L30:Q30,2))),0)))</f>
        <v>98</v>
      </c>
      <c r="AC30" s="9">
        <f>COUNTIF(L30:Q30,"&lt;=8")</f>
        <v>0</v>
      </c>
      <c r="AD30" s="9">
        <f>MIN(L30:Q30)</f>
        <v>10</v>
      </c>
    </row>
    <row r="31" spans="1:30" x14ac:dyDescent="0.2">
      <c r="A31" s="7" t="s">
        <v>90</v>
      </c>
      <c r="B31" s="6" t="s">
        <v>57</v>
      </c>
      <c r="E31" s="3">
        <f>IF(AA31="","",RANK(AA31,AA:AA))</f>
        <v>14</v>
      </c>
      <c r="F31" s="6">
        <v>23</v>
      </c>
      <c r="G31" s="6">
        <v>27</v>
      </c>
      <c r="H31" s="6">
        <v>30</v>
      </c>
      <c r="I31" s="6">
        <v>34</v>
      </c>
      <c r="J31" s="6"/>
      <c r="K31" s="6"/>
      <c r="L31" s="9">
        <f>IF(OR($C31&lt;&gt;"",$D31&lt;&gt;"",F31=""),"",F31-SUMPRODUCT(--($C$3:$C$102="P"),--(F$3:F$102&lt;F31),--(F$3:F$102&lt;&gt;""))-SUMPRODUCT(--($D$3:$D$102="P"),--(F$3:F$102&lt;F31),--(F$3:F$102&lt;&gt;"")))</f>
        <v>20</v>
      </c>
      <c r="M31" s="9">
        <f>IF(OR($C31&lt;&gt;"",$D31&lt;&gt;"",G31=""),"",G31-SUMPRODUCT(--($C$3:$C$102="P"),--(G$3:G$102&lt;G31),--(G$3:G$102&lt;&gt;""))-SUMPRODUCT(--($D$3:$D$102="P"),--(G$3:G$102&lt;G31),--(G$3:G$102&lt;&gt;"")))</f>
        <v>25</v>
      </c>
      <c r="N31" s="9">
        <f>IF(OR($C31&lt;&gt;"",$D31&lt;&gt;"",H31=""),"",H31-SUMPRODUCT(--($C$3:$C$102="P"),--(H$3:H$102&lt;H31),--(H$3:H$102&lt;&gt;""))-SUMPRODUCT(--($D$3:$D$102="P"),--(H$3:H$102&lt;H31),--(H$3:H$102&lt;&gt;"")))</f>
        <v>26</v>
      </c>
      <c r="O31" s="9">
        <f>IF(OR($C31&lt;&gt;"",$D31&lt;&gt;"",I31=""),"",I31-SUMPRODUCT(--($C$3:$C$102="P"),--(I$3:I$102&lt;I31),--(I$3:I$102&lt;&gt;""))-SUMPRODUCT(--($D$3:$D$102="P"),--(I$3:I$102&lt;I31),--(I$3:I$102&lt;&gt;"")))</f>
        <v>29</v>
      </c>
      <c r="P31" s="9" t="str">
        <f>IF(OR($C31&lt;&gt;"",$D31&lt;&gt;"",J31=""),"",J31-SUMPRODUCT(--($C$3:$C$102="P"),--(J$3:J$102&lt;J31),--(J$3:J$102&lt;&gt;""))-SUMPRODUCT(--($D$3:$D$102="P"),--(J$3:J$102&lt;J31),--(J$3:J$102&lt;&gt;"")))</f>
        <v/>
      </c>
      <c r="Q31" s="9" t="str">
        <f>IF(OR($C31&lt;&gt;"",$D31&lt;&gt;"",K31=""),"",K31-SUMPRODUCT(--($C$3:$C$102="P"),--(K$3:K$102&lt;K31),--(K$3:K$102&lt;&gt;""))-SUMPRODUCT(--($D$3:$D$102="P"),--(K$3:K$102&lt;K31),--(K$3:K$102&lt;&gt;"")))</f>
        <v/>
      </c>
      <c r="R31" s="9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>11</v>
      </c>
      <c r="S31" s="9">
        <f>IF(OR(M31="",M31&gt;30),"",IF(M31=1,60,IF(M31=2,55,IF(M31=3,50,IF(M31=4,44,IF(M31=5,38,IF(M31=6,32,IF(M31=7,28,IF(M31=8,25,IF(M31=9,22,IF(M31=10,21,IF(M31=11,20,IF(M31=12,19,IF(M31=13,18,IF(M31=14,17,IF(M31=15,16,IF(M31=16,15,IF(M31=17,14,IF(M31=18,13,IF(M31=19,12,IF(M31=20,11,IF(M31=21,10,IF(M31=22,9,IF(M31=23,8,IF(M31=24,7,IF(M31=25,6,IF(M31=26,5,IF(M31=27,4,IF(M31=28,3,IF(M31=29,2,IF(M31=30,1)))))))))))))))))))))))))))))))</f>
        <v>6</v>
      </c>
      <c r="T31" s="9">
        <f>IF(OR(N31="",N31&gt;30),"",IF(N31=1,60,IF(N31=2,55,IF(N31=3,50,IF(N31=4,44,IF(N31=5,38,IF(N31=6,32,IF(N31=7,28,IF(N31=8,25,IF(N31=9,22,IF(N31=10,21,IF(N31=11,20,IF(N31=12,19,IF(N31=13,18,IF(N31=14,17,IF(N31=15,16,IF(N31=16,15,IF(N31=17,14,IF(N31=18,13,IF(N31=19,12,IF(N31=20,11,IF(N31=21,10,IF(N31=22,9,IF(N31=23,8,IF(N31=24,7,IF(N31=25,6,IF(N31=26,5,IF(N31=27,4,IF(N31=28,3,IF(N31=29,2,IF(N31=30,1)))))))))))))))))))))))))))))))</f>
        <v>5</v>
      </c>
      <c r="U31" s="9">
        <f>IF(OR(O31="",O31&gt;30),"",IF(O31=1,60,IF(O31=2,55,IF(O31=3,50,IF(O31=4,44,IF(O31=5,38,IF(O31=6,32,IF(O31=7,28,IF(O31=8,25,IF(O31=9,22,IF(O31=10,21,IF(O31=11,20,IF(O31=12,19,IF(O31=13,18,IF(O31=14,17,IF(O31=15,16,IF(O31=16,15,IF(O31=17,14,IF(O31=18,13,IF(O31=19,12,IF(O31=20,11,IF(O31=21,10,IF(O31=22,9,IF(O31=23,8,IF(O31=24,7,IF(O31=25,6,IF(O31=26,5,IF(O31=27,4,IF(O31=28,3,IF(O31=29,2,IF(O31=30,1)))))))))))))))))))))))))))))))</f>
        <v>2</v>
      </c>
      <c r="V31" s="9" t="str">
        <f>IF(OR(P31="",P31&gt;30),"",IF(P31=1,60,IF(P31=2,55,IF(P31=3,50,IF(P31=4,44,IF(P31=5,38,IF(P31=6,32,IF(P31=7,28,IF(P31=8,25,IF(P31=9,22,IF(P31=10,21,IF(P31=11,20,IF(P31=12,19,IF(P31=13,18,IF(P31=14,17,IF(P31=15,16,IF(P31=16,15,IF(P31=17,14,IF(P31=18,13,IF(P31=19,12,IF(P31=20,11,IF(P31=21,10,IF(P31=22,9,IF(P31=23,8,IF(P31=24,7,IF(P31=25,6,IF(P31=26,5,IF(P31=27,4,IF(P31=28,3,IF(P31=29,2,IF(P31=30,1)))))))))))))))))))))))))))))))</f>
        <v/>
      </c>
      <c r="W31" s="9" t="str">
        <f>IF(OR(Q31="",Q31&gt;30),"",IF(Q31=1,60,IF(Q31=2,55,IF(Q31=3,50,IF(Q31=4,44,IF(Q31=5,38,IF(Q31=6,32,IF(Q31=7,28,IF(Q31=8,25,IF(Q31=9,22,IF(Q31=10,21,IF(Q31=11,20,IF(Q31=12,19,IF(Q31=13,18,IF(Q31=14,17,IF(Q31=15,16,IF(Q31=16,15,IF(Q31=17,14,IF(Q31=18,13,IF(Q31=19,12,IF(Q31=20,11,IF(Q31=21,10,IF(Q31=22,9,IF(Q31=23,8,IF(Q31=24,7,IF(Q31=25,6,IF(Q31=26,5,IF(Q31=27,4,IF(Q31=28,3,IF(Q31=29,2,IF(Q31=30,1)))))))))))))))))))))))))))))))</f>
        <v/>
      </c>
      <c r="X31" s="15">
        <f>IF(A31="","",IF(OR(C31="P",D31="P"),"",IF(IF(COUNT(R31:W31)&lt;5,SUM(R31:W31),IF(COUNT(R31:W31)=5,SUM(R31:W31)-MIN(R31:W31),SUM(R31:W31)-MIN(R31:W31)-SMALL(R31:W31,2)))&gt;0,IF(COUNT(R31:W31)&lt;5,SUM(R31:W31)+(1000-AB31)*10^-4+AC31*10^-5+(1000-AD31)*10^-8,IF(COUNT(R31:W31)=5,SUM(R31:W31)-MIN(R31:W31)+(1000-AB31)*10^-4+AC31*10^-5+(1000-AD31)*10^-8,SUM(R31:W31)-MIN(R31:W31)-SMALL(R31:W31,2)+(1000-AB31)*10^-4+AC31*10^-5+(1000-AD31)*10^-8)),0)))</f>
        <v>24.090009800000001</v>
      </c>
      <c r="Y31" s="2" t="str">
        <f>IF(OR(X31="",X31=0),"",IF(SUMPRODUCT(--(B$3:B$102=B31),--(X$3:X$102&gt;X31),--(X$3:X$102&lt;&gt;"")),"","P"))</f>
        <v>P</v>
      </c>
      <c r="Z31" s="2" t="str">
        <f>IF(X31="","",IF(SUMPRODUCT(--(C$3:C$102="P"),--(B$3:B$102=B31)),"P",""))</f>
        <v/>
      </c>
      <c r="AA31" s="15">
        <f>IF(AND(Y31&lt;&gt;"",OR(Z31="",SUMPRODUCT(--(X$3:X$102&gt;X31),--(Z$3:Z$102="P"),--(Y$3:Y$102="P"))&lt;4)),X31,"")</f>
        <v>24.090009800000001</v>
      </c>
      <c r="AB31" s="9">
        <f>IF(A31="","",IF(OR(C31="P",D31="P"),"",IF(IF(COUNT(L31:Q31)&lt;5,SUM(L31:Q31),IF(COUNT(L31:Q31)=5,SUM(L31:Q31)-MIN(L31:Q31),SUM(L31:Q31)-MIN(L31:Q31)-SMALL(L31:Q31,2)))&gt;0,IF(COUNT(L31:Q31)&lt;5,SUM(L31:Q31),IF(COUNT(L31:Q31)=5,SUM(L31:Q31)-MIN(L31:Q31),SUM(L31:Q31)-MIN(L31:Q31)-SMALL(L31:Q31,2))),0)))</f>
        <v>100</v>
      </c>
      <c r="AC31" s="9">
        <f>COUNTIF(L31:Q31,"&lt;=8")</f>
        <v>0</v>
      </c>
      <c r="AD31" s="9">
        <f>MIN(L31:Q31)</f>
        <v>20</v>
      </c>
    </row>
    <row r="32" spans="1:30" x14ac:dyDescent="0.2">
      <c r="A32" s="7" t="s">
        <v>88</v>
      </c>
      <c r="B32" s="6" t="s">
        <v>22</v>
      </c>
      <c r="E32" s="3" t="str">
        <f>IF(AA32="","",RANK(AA32,AA:AA))</f>
        <v/>
      </c>
      <c r="F32" s="6">
        <v>21</v>
      </c>
      <c r="G32" s="6">
        <v>23</v>
      </c>
      <c r="H32" s="6"/>
      <c r="I32" s="6"/>
      <c r="J32" s="6"/>
      <c r="K32" s="6"/>
      <c r="L32" s="9">
        <f>IF(OR($C32&lt;&gt;"",$D32&lt;&gt;"",F32=""),"",F32-SUMPRODUCT(--($C$3:$C$102="P"),--(F$3:F$102&lt;F32),--(F$3:F$102&lt;&gt;""))-SUMPRODUCT(--($D$3:$D$102="P"),--(F$3:F$102&lt;F32),--(F$3:F$102&lt;&gt;"")))</f>
        <v>18</v>
      </c>
      <c r="M32" s="9">
        <f>IF(OR($C32&lt;&gt;"",$D32&lt;&gt;"",G32=""),"",G32-SUMPRODUCT(--($C$3:$C$102="P"),--(G$3:G$102&lt;G32),--(G$3:G$102&lt;&gt;""))-SUMPRODUCT(--($D$3:$D$102="P"),--(G$3:G$102&lt;G32),--(G$3:G$102&lt;&gt;"")))</f>
        <v>21</v>
      </c>
      <c r="N32" s="9" t="str">
        <f>IF(OR($C32&lt;&gt;"",$D32&lt;&gt;"",H32=""),"",H32-SUMPRODUCT(--($C$3:$C$102="P"),--(H$3:H$102&lt;H32),--(H$3:H$102&lt;&gt;""))-SUMPRODUCT(--($D$3:$D$102="P"),--(H$3:H$102&lt;H32),--(H$3:H$102&lt;&gt;"")))</f>
        <v/>
      </c>
      <c r="O32" s="9" t="str">
        <f>IF(OR($C32&lt;&gt;"",$D32&lt;&gt;"",I32=""),"",I32-SUMPRODUCT(--($C$3:$C$102="P"),--(I$3:I$102&lt;I32),--(I$3:I$102&lt;&gt;""))-SUMPRODUCT(--($D$3:$D$102="P"),--(I$3:I$102&lt;I32),--(I$3:I$102&lt;&gt;"")))</f>
        <v/>
      </c>
      <c r="P32" s="9" t="str">
        <f>IF(OR($C32&lt;&gt;"",$D32&lt;&gt;"",J32=""),"",J32-SUMPRODUCT(--($C$3:$C$102="P"),--(J$3:J$102&lt;J32),--(J$3:J$102&lt;&gt;""))-SUMPRODUCT(--($D$3:$D$102="P"),--(J$3:J$102&lt;J32),--(J$3:J$102&lt;&gt;"")))</f>
        <v/>
      </c>
      <c r="Q32" s="9" t="str">
        <f>IF(OR($C32&lt;&gt;"",$D32&lt;&gt;"",K32=""),"",K32-SUMPRODUCT(--($C$3:$C$102="P"),--(K$3:K$102&lt;K32),--(K$3:K$102&lt;&gt;""))-SUMPRODUCT(--($D$3:$D$102="P"),--(K$3:K$102&lt;K32),--(K$3:K$102&lt;&gt;"")))</f>
        <v/>
      </c>
      <c r="R32" s="9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>13</v>
      </c>
      <c r="S32" s="9">
        <f>IF(OR(M32="",M32&gt;30),"",IF(M32=1,60,IF(M32=2,55,IF(M32=3,50,IF(M32=4,44,IF(M32=5,38,IF(M32=6,32,IF(M32=7,28,IF(M32=8,25,IF(M32=9,22,IF(M32=10,21,IF(M32=11,20,IF(M32=12,19,IF(M32=13,18,IF(M32=14,17,IF(M32=15,16,IF(M32=16,15,IF(M32=17,14,IF(M32=18,13,IF(M32=19,12,IF(M32=20,11,IF(M32=21,10,IF(M32=22,9,IF(M32=23,8,IF(M32=24,7,IF(M32=25,6,IF(M32=26,5,IF(M32=27,4,IF(M32=28,3,IF(M32=29,2,IF(M32=30,1)))))))))))))))))))))))))))))))</f>
        <v>10</v>
      </c>
      <c r="T32" s="9" t="str">
        <f>IF(OR(N32="",N32&gt;30),"",IF(N32=1,60,IF(N32=2,55,IF(N32=3,50,IF(N32=4,44,IF(N32=5,38,IF(N32=6,32,IF(N32=7,28,IF(N32=8,25,IF(N32=9,22,IF(N32=10,21,IF(N32=11,20,IF(N32=12,19,IF(N32=13,18,IF(N32=14,17,IF(N32=15,16,IF(N32=16,15,IF(N32=17,14,IF(N32=18,13,IF(N32=19,12,IF(N32=20,11,IF(N32=21,10,IF(N32=22,9,IF(N32=23,8,IF(N32=24,7,IF(N32=25,6,IF(N32=26,5,IF(N32=27,4,IF(N32=28,3,IF(N32=29,2,IF(N32=30,1)))))))))))))))))))))))))))))))</f>
        <v/>
      </c>
      <c r="U32" s="9" t="str">
        <f>IF(OR(O32="",O32&gt;30),"",IF(O32=1,60,IF(O32=2,55,IF(O32=3,50,IF(O32=4,44,IF(O32=5,38,IF(O32=6,32,IF(O32=7,28,IF(O32=8,25,IF(O32=9,22,IF(O32=10,21,IF(O32=11,20,IF(O32=12,19,IF(O32=13,18,IF(O32=14,17,IF(O32=15,16,IF(O32=16,15,IF(O32=17,14,IF(O32=18,13,IF(O32=19,12,IF(O32=20,11,IF(O32=21,10,IF(O32=22,9,IF(O32=23,8,IF(O32=24,7,IF(O32=25,6,IF(O32=26,5,IF(O32=27,4,IF(O32=28,3,IF(O32=29,2,IF(O32=30,1)))))))))))))))))))))))))))))))</f>
        <v/>
      </c>
      <c r="V32" s="9" t="str">
        <f>IF(OR(P32="",P32&gt;30),"",IF(P32=1,60,IF(P32=2,55,IF(P32=3,50,IF(P32=4,44,IF(P32=5,38,IF(P32=6,32,IF(P32=7,28,IF(P32=8,25,IF(P32=9,22,IF(P32=10,21,IF(P32=11,20,IF(P32=12,19,IF(P32=13,18,IF(P32=14,17,IF(P32=15,16,IF(P32=16,15,IF(P32=17,14,IF(P32=18,13,IF(P32=19,12,IF(P32=20,11,IF(P32=21,10,IF(P32=22,9,IF(P32=23,8,IF(P32=24,7,IF(P32=25,6,IF(P32=26,5,IF(P32=27,4,IF(P32=28,3,IF(P32=29,2,IF(P32=30,1)))))))))))))))))))))))))))))))</f>
        <v/>
      </c>
      <c r="W32" s="9" t="str">
        <f>IF(OR(Q32="",Q32&gt;30),"",IF(Q32=1,60,IF(Q32=2,55,IF(Q32=3,50,IF(Q32=4,44,IF(Q32=5,38,IF(Q32=6,32,IF(Q32=7,28,IF(Q32=8,25,IF(Q32=9,22,IF(Q32=10,21,IF(Q32=11,20,IF(Q32=12,19,IF(Q32=13,18,IF(Q32=14,17,IF(Q32=15,16,IF(Q32=16,15,IF(Q32=17,14,IF(Q32=18,13,IF(Q32=19,12,IF(Q32=20,11,IF(Q32=21,10,IF(Q32=22,9,IF(Q32=23,8,IF(Q32=24,7,IF(Q32=25,6,IF(Q32=26,5,IF(Q32=27,4,IF(Q32=28,3,IF(Q32=29,2,IF(Q32=30,1)))))))))))))))))))))))))))))))</f>
        <v/>
      </c>
      <c r="X32" s="15">
        <f>IF(A32="","",IF(OR(C32="P",D32="P"),"",IF(IF(COUNT(R32:W32)&lt;5,SUM(R32:W32),IF(COUNT(R32:W32)=5,SUM(R32:W32)-MIN(R32:W32),SUM(R32:W32)-MIN(R32:W32)-SMALL(R32:W32,2)))&gt;0,IF(COUNT(R32:W32)&lt;5,SUM(R32:W32)+(1000-AB32)*10^-4+AC32*10^-5+(1000-AD32)*10^-8,IF(COUNT(R32:W32)=5,SUM(R32:W32)-MIN(R32:W32)+(1000-AB32)*10^-4+AC32*10^-5+(1000-AD32)*10^-8,SUM(R32:W32)-MIN(R32:W32)-SMALL(R32:W32,2)+(1000-AB32)*10^-4+AC32*10^-5+(1000-AD32)*10^-8)),0)))</f>
        <v>23.096109819999999</v>
      </c>
      <c r="Y32" s="2" t="str">
        <f>IF(OR(X32="",X32=0),"",IF(SUMPRODUCT(--(B$3:B$102=B32),--(X$3:X$102&gt;X32),--(X$3:X$102&lt;&gt;"")),"","P"))</f>
        <v/>
      </c>
      <c r="Z32" s="2" t="str">
        <f>IF(X32="","",IF(SUMPRODUCT(--(C$3:C$102="P"),--(B$3:B$102=B32)),"P",""))</f>
        <v>P</v>
      </c>
      <c r="AA32" s="15" t="str">
        <f>IF(AND(Y32&lt;&gt;"",OR(Z32="",SUMPRODUCT(--(X$3:X$102&gt;X32),--(Z$3:Z$102="P"),--(Y$3:Y$102="P"))&lt;4)),X32,"")</f>
        <v/>
      </c>
      <c r="AB32" s="9">
        <f>IF(A32="","",IF(OR(C32="P",D32="P"),"",IF(IF(COUNT(L32:Q32)&lt;5,SUM(L32:Q32),IF(COUNT(L32:Q32)=5,SUM(L32:Q32)-MIN(L32:Q32),SUM(L32:Q32)-MIN(L32:Q32)-SMALL(L32:Q32,2)))&gt;0,IF(COUNT(L32:Q32)&lt;5,SUM(L32:Q32),IF(COUNT(L32:Q32)=5,SUM(L32:Q32)-MIN(L32:Q32),SUM(L32:Q32)-MIN(L32:Q32)-SMALL(L32:Q32,2))),0)))</f>
        <v>39</v>
      </c>
      <c r="AC32" s="9">
        <f>COUNTIF(L32:Q32,"&lt;=8")</f>
        <v>0</v>
      </c>
      <c r="AD32" s="9">
        <f>MIN(L32:Q32)</f>
        <v>18</v>
      </c>
    </row>
    <row r="33" spans="1:30" x14ac:dyDescent="0.2">
      <c r="A33" s="7" t="s">
        <v>76</v>
      </c>
      <c r="B33" s="6" t="s">
        <v>18</v>
      </c>
      <c r="E33" s="3" t="str">
        <f>IF(AA33="","",RANK(AA33,AA:AA))</f>
        <v/>
      </c>
      <c r="F33" s="6">
        <v>10</v>
      </c>
      <c r="G33" s="6"/>
      <c r="H33" s="6"/>
      <c r="I33" s="6"/>
      <c r="J33" s="6"/>
      <c r="K33" s="6"/>
      <c r="L33" s="9">
        <f>IF(OR($C33&lt;&gt;"",$D33&lt;&gt;"",F33=""),"",F33-SUMPRODUCT(--($C$3:$C$102="P"),--(F$3:F$102&lt;F33),--(F$3:F$102&lt;&gt;""))-SUMPRODUCT(--($D$3:$D$102="P"),--(F$3:F$102&lt;F33),--(F$3:F$102&lt;&gt;"")))</f>
        <v>9</v>
      </c>
      <c r="M33" s="9" t="str">
        <f>IF(OR($C33&lt;&gt;"",$D33&lt;&gt;"",G33=""),"",G33-SUMPRODUCT(--($C$3:$C$102="P"),--(G$3:G$102&lt;G33),--(G$3:G$102&lt;&gt;""))-SUMPRODUCT(--($D$3:$D$102="P"),--(G$3:G$102&lt;G33),--(G$3:G$102&lt;&gt;"")))</f>
        <v/>
      </c>
      <c r="N33" s="9" t="str">
        <f>IF(OR($C33&lt;&gt;"",$D33&lt;&gt;"",H33=""),"",H33-SUMPRODUCT(--($C$3:$C$102="P"),--(H$3:H$102&lt;H33),--(H$3:H$102&lt;&gt;""))-SUMPRODUCT(--($D$3:$D$102="P"),--(H$3:H$102&lt;H33),--(H$3:H$102&lt;&gt;"")))</f>
        <v/>
      </c>
      <c r="O33" s="9" t="str">
        <f>IF(OR($C33&lt;&gt;"",$D33&lt;&gt;"",I33=""),"",I33-SUMPRODUCT(--($C$3:$C$102="P"),--(I$3:I$102&lt;I33),--(I$3:I$102&lt;&gt;""))-SUMPRODUCT(--($D$3:$D$102="P"),--(I$3:I$102&lt;I33),--(I$3:I$102&lt;&gt;"")))</f>
        <v/>
      </c>
      <c r="P33" s="9" t="str">
        <f>IF(OR($C33&lt;&gt;"",$D33&lt;&gt;"",J33=""),"",J33-SUMPRODUCT(--($C$3:$C$102="P"),--(J$3:J$102&lt;J33),--(J$3:J$102&lt;&gt;""))-SUMPRODUCT(--($D$3:$D$102="P"),--(J$3:J$102&lt;J33),--(J$3:J$102&lt;&gt;"")))</f>
        <v/>
      </c>
      <c r="Q33" s="9" t="str">
        <f>IF(OR($C33&lt;&gt;"",$D33&lt;&gt;"",K33=""),"",K33-SUMPRODUCT(--($C$3:$C$102="P"),--(K$3:K$102&lt;K33),--(K$3:K$102&lt;&gt;""))-SUMPRODUCT(--($D$3:$D$102="P"),--(K$3:K$102&lt;K33),--(K$3:K$102&lt;&gt;"")))</f>
        <v/>
      </c>
      <c r="R33" s="9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>22</v>
      </c>
      <c r="S33" s="9" t="str">
        <f>IF(OR(M33="",M33&gt;30),"",IF(M33=1,60,IF(M33=2,55,IF(M33=3,50,IF(M33=4,44,IF(M33=5,38,IF(M33=6,32,IF(M33=7,28,IF(M33=8,25,IF(M33=9,22,IF(M33=10,21,IF(M33=11,20,IF(M33=12,19,IF(M33=13,18,IF(M33=14,17,IF(M33=15,16,IF(M33=16,15,IF(M33=17,14,IF(M33=18,13,IF(M33=19,12,IF(M33=20,11,IF(M33=21,10,IF(M33=22,9,IF(M33=23,8,IF(M33=24,7,IF(M33=25,6,IF(M33=26,5,IF(M33=27,4,IF(M33=28,3,IF(M33=29,2,IF(M33=30,1)))))))))))))))))))))))))))))))</f>
        <v/>
      </c>
      <c r="T33" s="9" t="str">
        <f>IF(OR(N33="",N33&gt;30),"",IF(N33=1,60,IF(N33=2,55,IF(N33=3,50,IF(N33=4,44,IF(N33=5,38,IF(N33=6,32,IF(N33=7,28,IF(N33=8,25,IF(N33=9,22,IF(N33=10,21,IF(N33=11,20,IF(N33=12,19,IF(N33=13,18,IF(N33=14,17,IF(N33=15,16,IF(N33=16,15,IF(N33=17,14,IF(N33=18,13,IF(N33=19,12,IF(N33=20,11,IF(N33=21,10,IF(N33=22,9,IF(N33=23,8,IF(N33=24,7,IF(N33=25,6,IF(N33=26,5,IF(N33=27,4,IF(N33=28,3,IF(N33=29,2,IF(N33=30,1)))))))))))))))))))))))))))))))</f>
        <v/>
      </c>
      <c r="U33" s="9" t="str">
        <f>IF(OR(O33="",O33&gt;30),"",IF(O33=1,60,IF(O33=2,55,IF(O33=3,50,IF(O33=4,44,IF(O33=5,38,IF(O33=6,32,IF(O33=7,28,IF(O33=8,25,IF(O33=9,22,IF(O33=10,21,IF(O33=11,20,IF(O33=12,19,IF(O33=13,18,IF(O33=14,17,IF(O33=15,16,IF(O33=16,15,IF(O33=17,14,IF(O33=18,13,IF(O33=19,12,IF(O33=20,11,IF(O33=21,10,IF(O33=22,9,IF(O33=23,8,IF(O33=24,7,IF(O33=25,6,IF(O33=26,5,IF(O33=27,4,IF(O33=28,3,IF(O33=29,2,IF(O33=30,1)))))))))))))))))))))))))))))))</f>
        <v/>
      </c>
      <c r="V33" s="9" t="str">
        <f>IF(OR(P33="",P33&gt;30),"",IF(P33=1,60,IF(P33=2,55,IF(P33=3,50,IF(P33=4,44,IF(P33=5,38,IF(P33=6,32,IF(P33=7,28,IF(P33=8,25,IF(P33=9,22,IF(P33=10,21,IF(P33=11,20,IF(P33=12,19,IF(P33=13,18,IF(P33=14,17,IF(P33=15,16,IF(P33=16,15,IF(P33=17,14,IF(P33=18,13,IF(P33=19,12,IF(P33=20,11,IF(P33=21,10,IF(P33=22,9,IF(P33=23,8,IF(P33=24,7,IF(P33=25,6,IF(P33=26,5,IF(P33=27,4,IF(P33=28,3,IF(P33=29,2,IF(P33=30,1)))))))))))))))))))))))))))))))</f>
        <v/>
      </c>
      <c r="W33" s="9" t="str">
        <f>IF(OR(Q33="",Q33&gt;30),"",IF(Q33=1,60,IF(Q33=2,55,IF(Q33=3,50,IF(Q33=4,44,IF(Q33=5,38,IF(Q33=6,32,IF(Q33=7,28,IF(Q33=8,25,IF(Q33=9,22,IF(Q33=10,21,IF(Q33=11,20,IF(Q33=12,19,IF(Q33=13,18,IF(Q33=14,17,IF(Q33=15,16,IF(Q33=16,15,IF(Q33=17,14,IF(Q33=18,13,IF(Q33=19,12,IF(Q33=20,11,IF(Q33=21,10,IF(Q33=22,9,IF(Q33=23,8,IF(Q33=24,7,IF(Q33=25,6,IF(Q33=26,5,IF(Q33=27,4,IF(Q33=28,3,IF(Q33=29,2,IF(Q33=30,1)))))))))))))))))))))))))))))))</f>
        <v/>
      </c>
      <c r="X33" s="15">
        <f>IF(A33="","",IF(OR(C33="P",D33="P"),"",IF(IF(COUNT(R33:W33)&lt;5,SUM(R33:W33),IF(COUNT(R33:W33)=5,SUM(R33:W33)-MIN(R33:W33),SUM(R33:W33)-MIN(R33:W33)-SMALL(R33:W33,2)))&gt;0,IF(COUNT(R33:W33)&lt;5,SUM(R33:W33)+(1000-AB33)*10^-4+AC33*10^-5+(1000-AD33)*10^-8,IF(COUNT(R33:W33)=5,SUM(R33:W33)-MIN(R33:W33)+(1000-AB33)*10^-4+AC33*10^-5+(1000-AD33)*10^-8,SUM(R33:W33)-MIN(R33:W33)-SMALL(R33:W33,2)+(1000-AB33)*10^-4+AC33*10^-5+(1000-AD33)*10^-8)),0)))</f>
        <v>22.099109909999999</v>
      </c>
      <c r="Y33" s="2" t="str">
        <f>IF(OR(X33="",X33=0),"",IF(SUMPRODUCT(--(B$3:B$102=B33),--(X$3:X$102&gt;X33),--(X$3:X$102&lt;&gt;"")),"","P"))</f>
        <v/>
      </c>
      <c r="Z33" s="2" t="str">
        <f>IF(X33="","",IF(SUMPRODUCT(--(C$3:C$102="P"),--(B$3:B$102=B33)),"P",""))</f>
        <v>P</v>
      </c>
      <c r="AA33" s="15" t="str">
        <f>IF(AND(Y33&lt;&gt;"",OR(Z33="",SUMPRODUCT(--(X$3:X$102&gt;X33),--(Z$3:Z$102="P"),--(Y$3:Y$102="P"))&lt;4)),X33,"")</f>
        <v/>
      </c>
      <c r="AB33" s="9">
        <f>IF(A33="","",IF(OR(C33="P",D33="P"),"",IF(IF(COUNT(L33:Q33)&lt;5,SUM(L33:Q33),IF(COUNT(L33:Q33)=5,SUM(L33:Q33)-MIN(L33:Q33),SUM(L33:Q33)-MIN(L33:Q33)-SMALL(L33:Q33,2)))&gt;0,IF(COUNT(L33:Q33)&lt;5,SUM(L33:Q33),IF(COUNT(L33:Q33)=5,SUM(L33:Q33)-MIN(L33:Q33),SUM(L33:Q33)-MIN(L33:Q33)-SMALL(L33:Q33,2))),0)))</f>
        <v>9</v>
      </c>
      <c r="AC33" s="9">
        <f>COUNTIF(L33:Q33,"&lt;=8")</f>
        <v>0</v>
      </c>
      <c r="AD33" s="9">
        <f>MIN(L33:Q33)</f>
        <v>9</v>
      </c>
    </row>
    <row r="34" spans="1:30" x14ac:dyDescent="0.2">
      <c r="A34" s="7" t="s">
        <v>99</v>
      </c>
      <c r="B34" s="6" t="s">
        <v>107</v>
      </c>
      <c r="E34" s="3">
        <f>IF(AA34="","",RANK(AA34,AA:AA))</f>
        <v>15</v>
      </c>
      <c r="F34" s="6">
        <v>32</v>
      </c>
      <c r="G34" s="6">
        <v>22</v>
      </c>
      <c r="H34" s="6">
        <v>26</v>
      </c>
      <c r="I34" s="6">
        <v>76</v>
      </c>
      <c r="J34" s="6"/>
      <c r="K34" s="6"/>
      <c r="L34" s="9">
        <f>IF(OR($C34&lt;&gt;"",$D34&lt;&gt;"",F34=""),"",F34-SUMPRODUCT(--($C$3:$C$102="P"),--(F$3:F$102&lt;F34),--(F$3:F$102&lt;&gt;""))-SUMPRODUCT(--($D$3:$D$102="P"),--(F$3:F$102&lt;F34),--(F$3:F$102&lt;&gt;"")))</f>
        <v>29</v>
      </c>
      <c r="M34" s="9">
        <f>IF(OR($C34&lt;&gt;"",$D34&lt;&gt;"",G34=""),"",G34-SUMPRODUCT(--($C$3:$C$102="P"),--(G$3:G$102&lt;G34),--(G$3:G$102&lt;&gt;""))-SUMPRODUCT(--($D$3:$D$102="P"),--(G$3:G$102&lt;G34),--(G$3:G$102&lt;&gt;"")))</f>
        <v>20</v>
      </c>
      <c r="N34" s="9">
        <f>IF(OR($C34&lt;&gt;"",$D34&lt;&gt;"",H34=""),"",H34-SUMPRODUCT(--($C$3:$C$102="P"),--(H$3:H$102&lt;H34),--(H$3:H$102&lt;&gt;""))-SUMPRODUCT(--($D$3:$D$102="P"),--(H$3:H$102&lt;H34),--(H$3:H$102&lt;&gt;"")))</f>
        <v>22</v>
      </c>
      <c r="O34" s="9">
        <f>IF(OR($C34&lt;&gt;"",$D34&lt;&gt;"",I34=""),"",I34-SUMPRODUCT(--($C$3:$C$102="P"),--(I$3:I$102&lt;I34),--(I$3:I$102&lt;&gt;""))-SUMPRODUCT(--($D$3:$D$102="P"),--(I$3:I$102&lt;I34),--(I$3:I$102&lt;&gt;"")))</f>
        <v>71</v>
      </c>
      <c r="P34" s="9" t="str">
        <f>IF(OR($C34&lt;&gt;"",$D34&lt;&gt;"",J34=""),"",J34-SUMPRODUCT(--($C$3:$C$102="P"),--(J$3:J$102&lt;J34),--(J$3:J$102&lt;&gt;""))-SUMPRODUCT(--($D$3:$D$102="P"),--(J$3:J$102&lt;J34),--(J$3:J$102&lt;&gt;"")))</f>
        <v/>
      </c>
      <c r="Q34" s="9" t="str">
        <f>IF(OR($C34&lt;&gt;"",$D34&lt;&gt;"",K34=""),"",K34-SUMPRODUCT(--($C$3:$C$102="P"),--(K$3:K$102&lt;K34),--(K$3:K$102&lt;&gt;""))-SUMPRODUCT(--($D$3:$D$102="P"),--(K$3:K$102&lt;K34),--(K$3:K$102&lt;&gt;"")))</f>
        <v/>
      </c>
      <c r="R34" s="9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>2</v>
      </c>
      <c r="S34" s="9">
        <f>IF(OR(M34="",M34&gt;30),"",IF(M34=1,60,IF(M34=2,55,IF(M34=3,50,IF(M34=4,44,IF(M34=5,38,IF(M34=6,32,IF(M34=7,28,IF(M34=8,25,IF(M34=9,22,IF(M34=10,21,IF(M34=11,20,IF(M34=12,19,IF(M34=13,18,IF(M34=14,17,IF(M34=15,16,IF(M34=16,15,IF(M34=17,14,IF(M34=18,13,IF(M34=19,12,IF(M34=20,11,IF(M34=21,10,IF(M34=22,9,IF(M34=23,8,IF(M34=24,7,IF(M34=25,6,IF(M34=26,5,IF(M34=27,4,IF(M34=28,3,IF(M34=29,2,IF(M34=30,1)))))))))))))))))))))))))))))))</f>
        <v>11</v>
      </c>
      <c r="T34" s="9">
        <f>IF(OR(N34="",N34&gt;30),"",IF(N34=1,60,IF(N34=2,55,IF(N34=3,50,IF(N34=4,44,IF(N34=5,38,IF(N34=6,32,IF(N34=7,28,IF(N34=8,25,IF(N34=9,22,IF(N34=10,21,IF(N34=11,20,IF(N34=12,19,IF(N34=13,18,IF(N34=14,17,IF(N34=15,16,IF(N34=16,15,IF(N34=17,14,IF(N34=18,13,IF(N34=19,12,IF(N34=20,11,IF(N34=21,10,IF(N34=22,9,IF(N34=23,8,IF(N34=24,7,IF(N34=25,6,IF(N34=26,5,IF(N34=27,4,IF(N34=28,3,IF(N34=29,2,IF(N34=30,1)))))))))))))))))))))))))))))))</f>
        <v>9</v>
      </c>
      <c r="U34" s="9" t="str">
        <f>IF(OR(O34="",O34&gt;30),"",IF(O34=1,60,IF(O34=2,55,IF(O34=3,50,IF(O34=4,44,IF(O34=5,38,IF(O34=6,32,IF(O34=7,28,IF(O34=8,25,IF(O34=9,22,IF(O34=10,21,IF(O34=11,20,IF(O34=12,19,IF(O34=13,18,IF(O34=14,17,IF(O34=15,16,IF(O34=16,15,IF(O34=17,14,IF(O34=18,13,IF(O34=19,12,IF(O34=20,11,IF(O34=21,10,IF(O34=22,9,IF(O34=23,8,IF(O34=24,7,IF(O34=25,6,IF(O34=26,5,IF(O34=27,4,IF(O34=28,3,IF(O34=29,2,IF(O34=30,1)))))))))))))))))))))))))))))))</f>
        <v/>
      </c>
      <c r="V34" s="9" t="str">
        <f>IF(OR(P34="",P34&gt;30),"",IF(P34=1,60,IF(P34=2,55,IF(P34=3,50,IF(P34=4,44,IF(P34=5,38,IF(P34=6,32,IF(P34=7,28,IF(P34=8,25,IF(P34=9,22,IF(P34=10,21,IF(P34=11,20,IF(P34=12,19,IF(P34=13,18,IF(P34=14,17,IF(P34=15,16,IF(P34=16,15,IF(P34=17,14,IF(P34=18,13,IF(P34=19,12,IF(P34=20,11,IF(P34=21,10,IF(P34=22,9,IF(P34=23,8,IF(P34=24,7,IF(P34=25,6,IF(P34=26,5,IF(P34=27,4,IF(P34=28,3,IF(P34=29,2,IF(P34=30,1)))))))))))))))))))))))))))))))</f>
        <v/>
      </c>
      <c r="W34" s="9" t="str">
        <f>IF(OR(Q34="",Q34&gt;30),"",IF(Q34=1,60,IF(Q34=2,55,IF(Q34=3,50,IF(Q34=4,44,IF(Q34=5,38,IF(Q34=6,32,IF(Q34=7,28,IF(Q34=8,25,IF(Q34=9,22,IF(Q34=10,21,IF(Q34=11,20,IF(Q34=12,19,IF(Q34=13,18,IF(Q34=14,17,IF(Q34=15,16,IF(Q34=16,15,IF(Q34=17,14,IF(Q34=18,13,IF(Q34=19,12,IF(Q34=20,11,IF(Q34=21,10,IF(Q34=22,9,IF(Q34=23,8,IF(Q34=24,7,IF(Q34=25,6,IF(Q34=26,5,IF(Q34=27,4,IF(Q34=28,3,IF(Q34=29,2,IF(Q34=30,1)))))))))))))))))))))))))))))))</f>
        <v/>
      </c>
      <c r="X34" s="15">
        <f>IF(A34="","",IF(OR(C34="P",D34="P"),"",IF(IF(COUNT(R34:W34)&lt;5,SUM(R34:W34),IF(COUNT(R34:W34)=5,SUM(R34:W34)-MIN(R34:W34),SUM(R34:W34)-MIN(R34:W34)-SMALL(R34:W34,2)))&gt;0,IF(COUNT(R34:W34)&lt;5,SUM(R34:W34)+(1000-AB34)*10^-4+AC34*10^-5+(1000-AD34)*10^-8,IF(COUNT(R34:W34)=5,SUM(R34:W34)-MIN(R34:W34)+(1000-AB34)*10^-4+AC34*10^-5+(1000-AD34)*10^-8,SUM(R34:W34)-MIN(R34:W34)-SMALL(R34:W34,2)+(1000-AB34)*10^-4+AC34*10^-5+(1000-AD34)*10^-8)),0)))</f>
        <v>22.0858098</v>
      </c>
      <c r="Y34" s="2" t="str">
        <f>IF(OR(X34="",X34=0),"",IF(SUMPRODUCT(--(B$3:B$102=B34),--(X$3:X$102&gt;X34),--(X$3:X$102&lt;&gt;"")),"","P"))</f>
        <v>P</v>
      </c>
      <c r="Z34" s="2" t="str">
        <f>IF(X34="","",IF(SUMPRODUCT(--(C$3:C$102="P"),--(B$3:B$102=B34)),"P",""))</f>
        <v/>
      </c>
      <c r="AA34" s="15">
        <f>IF(AND(Y34&lt;&gt;"",OR(Z34="",SUMPRODUCT(--(X$3:X$102&gt;X34),--(Z$3:Z$102="P"),--(Y$3:Y$102="P"))&lt;4)),X34,"")</f>
        <v>22.0858098</v>
      </c>
      <c r="AB34" s="9">
        <f>IF(A34="","",IF(OR(C34="P",D34="P"),"",IF(IF(COUNT(L34:Q34)&lt;5,SUM(L34:Q34),IF(COUNT(L34:Q34)=5,SUM(L34:Q34)-MIN(L34:Q34),SUM(L34:Q34)-MIN(L34:Q34)-SMALL(L34:Q34,2)))&gt;0,IF(COUNT(L34:Q34)&lt;5,SUM(L34:Q34),IF(COUNT(L34:Q34)=5,SUM(L34:Q34)-MIN(L34:Q34),SUM(L34:Q34)-MIN(L34:Q34)-SMALL(L34:Q34,2))),0)))</f>
        <v>142</v>
      </c>
      <c r="AC34" s="9">
        <f>COUNTIF(L34:Q34,"&lt;=8")</f>
        <v>0</v>
      </c>
      <c r="AD34" s="9">
        <f>MIN(L34:Q34)</f>
        <v>20</v>
      </c>
    </row>
    <row r="35" spans="1:30" x14ac:dyDescent="0.2">
      <c r="A35" s="7" t="s">
        <v>77</v>
      </c>
      <c r="B35" s="6" t="s">
        <v>19</v>
      </c>
      <c r="E35" s="3" t="str">
        <f>IF(AA35="","",RANK(AA35,AA:AA))</f>
        <v/>
      </c>
      <c r="F35" s="6">
        <v>11</v>
      </c>
      <c r="G35" s="6"/>
      <c r="H35" s="6"/>
      <c r="I35" s="6"/>
      <c r="J35" s="6"/>
      <c r="K35" s="6"/>
      <c r="L35" s="9">
        <f>IF(OR($C35&lt;&gt;"",$D35&lt;&gt;"",F35=""),"",F35-SUMPRODUCT(--($C$3:$C$102="P"),--(F$3:F$102&lt;F35),--(F$3:F$102&lt;&gt;""))-SUMPRODUCT(--($D$3:$D$102="P"),--(F$3:F$102&lt;F35),--(F$3:F$102&lt;&gt;"")))</f>
        <v>10</v>
      </c>
      <c r="M35" s="9" t="str">
        <f>IF(OR($C35&lt;&gt;"",$D35&lt;&gt;"",G35=""),"",G35-SUMPRODUCT(--($C$3:$C$102="P"),--(G$3:G$102&lt;G35),--(G$3:G$102&lt;&gt;""))-SUMPRODUCT(--($D$3:$D$102="P"),--(G$3:G$102&lt;G35),--(G$3:G$102&lt;&gt;"")))</f>
        <v/>
      </c>
      <c r="N35" s="9" t="str">
        <f>IF(OR($C35&lt;&gt;"",$D35&lt;&gt;"",H35=""),"",H35-SUMPRODUCT(--($C$3:$C$102="P"),--(H$3:H$102&lt;H35),--(H$3:H$102&lt;&gt;""))-SUMPRODUCT(--($D$3:$D$102="P"),--(H$3:H$102&lt;H35),--(H$3:H$102&lt;&gt;"")))</f>
        <v/>
      </c>
      <c r="O35" s="9" t="str">
        <f>IF(OR($C35&lt;&gt;"",$D35&lt;&gt;"",I35=""),"",I35-SUMPRODUCT(--($C$3:$C$102="P"),--(I$3:I$102&lt;I35),--(I$3:I$102&lt;&gt;""))-SUMPRODUCT(--($D$3:$D$102="P"),--(I$3:I$102&lt;I35),--(I$3:I$102&lt;&gt;"")))</f>
        <v/>
      </c>
      <c r="P35" s="9" t="str">
        <f>IF(OR($C35&lt;&gt;"",$D35&lt;&gt;"",J35=""),"",J35-SUMPRODUCT(--($C$3:$C$102="P"),--(J$3:J$102&lt;J35),--(J$3:J$102&lt;&gt;""))-SUMPRODUCT(--($D$3:$D$102="P"),--(J$3:J$102&lt;J35),--(J$3:J$102&lt;&gt;"")))</f>
        <v/>
      </c>
      <c r="Q35" s="9" t="str">
        <f>IF(OR($C35&lt;&gt;"",$D35&lt;&gt;"",K35=""),"",K35-SUMPRODUCT(--($C$3:$C$102="P"),--(K$3:K$102&lt;K35),--(K$3:K$102&lt;&gt;""))-SUMPRODUCT(--($D$3:$D$102="P"),--(K$3:K$102&lt;K35),--(K$3:K$102&lt;&gt;"")))</f>
        <v/>
      </c>
      <c r="R35" s="9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>21</v>
      </c>
      <c r="S35" s="9" t="str">
        <f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 t="str">
        <f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 t="str">
        <f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9" t="str">
        <f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9" t="str">
        <f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>IF(A35="","",IF(OR(C35="P",D35="P"),"",IF(IF(COUNT(R35:W35)&lt;5,SUM(R35:W35),IF(COUNT(R35:W35)=5,SUM(R35:W35)-MIN(R35:W35),SUM(R35:W35)-MIN(R35:W35)-SMALL(R35:W35,2)))&gt;0,IF(COUNT(R35:W35)&lt;5,SUM(R35:W35)+(1000-AB35)*10^-4+AC35*10^-5+(1000-AD35)*10^-8,IF(COUNT(R35:W35)=5,SUM(R35:W35)-MIN(R35:W35)+(1000-AB35)*10^-4+AC35*10^-5+(1000-AD35)*10^-8,SUM(R35:W35)-MIN(R35:W35)-SMALL(R35:W35,2)+(1000-AB35)*10^-4+AC35*10^-5+(1000-AD35)*10^-8)),0)))</f>
        <v>21.099009899999999</v>
      </c>
      <c r="Y35" s="2" t="str">
        <f>IF(OR(X35="",X35=0),"",IF(SUMPRODUCT(--(B$3:B$102=B35),--(X$3:X$102&gt;X35),--(X$3:X$102&lt;&gt;"")),"","P"))</f>
        <v/>
      </c>
      <c r="Z35" s="2" t="str">
        <f>IF(X35="","",IF(SUMPRODUCT(--(C$3:C$102="P"),--(B$3:B$102=B35)),"P",""))</f>
        <v>P</v>
      </c>
      <c r="AA35" s="15" t="str">
        <f>IF(AND(Y35&lt;&gt;"",OR(Z35="",SUMPRODUCT(--(X$3:X$102&gt;X35),--(Z$3:Z$102="P"),--(Y$3:Y$102="P"))&lt;4)),X35,"")</f>
        <v/>
      </c>
      <c r="AB35" s="9">
        <f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10</v>
      </c>
      <c r="AC35" s="9">
        <f>COUNTIF(L35:Q35,"&lt;=8")</f>
        <v>0</v>
      </c>
      <c r="AD35" s="9">
        <f>MIN(L35:Q35)</f>
        <v>10</v>
      </c>
    </row>
    <row r="36" spans="1:30" x14ac:dyDescent="0.2">
      <c r="A36" s="7" t="s">
        <v>95</v>
      </c>
      <c r="B36" s="6" t="s">
        <v>57</v>
      </c>
      <c r="E36" s="3" t="str">
        <f>IF(AA36="","",RANK(AA36,AA:AA))</f>
        <v/>
      </c>
      <c r="F36" s="6">
        <v>28</v>
      </c>
      <c r="G36" s="6">
        <v>18</v>
      </c>
      <c r="H36" s="6">
        <v>61</v>
      </c>
      <c r="I36" s="6">
        <v>36</v>
      </c>
      <c r="J36" s="6"/>
      <c r="K36" s="6"/>
      <c r="L36" s="9">
        <f>IF(OR($C36&lt;&gt;"",$D36&lt;&gt;"",F36=""),"",F36-SUMPRODUCT(--($C$3:$C$102="P"),--(F$3:F$102&lt;F36),--(F$3:F$102&lt;&gt;""))-SUMPRODUCT(--($D$3:$D$102="P"),--(F$3:F$102&lt;F36),--(F$3:F$102&lt;&gt;"")))</f>
        <v>25</v>
      </c>
      <c r="M36" s="9">
        <f>IF(OR($C36&lt;&gt;"",$D36&lt;&gt;"",G36=""),"",G36-SUMPRODUCT(--($C$3:$C$102="P"),--(G$3:G$102&lt;G36),--(G$3:G$102&lt;&gt;""))-SUMPRODUCT(--($D$3:$D$102="P"),--(G$3:G$102&lt;G36),--(G$3:G$102&lt;&gt;"")))</f>
        <v>16</v>
      </c>
      <c r="N36" s="9">
        <f>IF(OR($C36&lt;&gt;"",$D36&lt;&gt;"",H36=""),"",H36-SUMPRODUCT(--($C$3:$C$102="P"),--(H$3:H$102&lt;H36),--(H$3:H$102&lt;&gt;""))-SUMPRODUCT(--($D$3:$D$102="P"),--(H$3:H$102&lt;H36),--(H$3:H$102&lt;&gt;"")))</f>
        <v>57</v>
      </c>
      <c r="O36" s="9">
        <f>IF(OR($C36&lt;&gt;"",$D36&lt;&gt;"",I36=""),"",I36-SUMPRODUCT(--($C$3:$C$102="P"),--(I$3:I$102&lt;I36),--(I$3:I$102&lt;&gt;""))-SUMPRODUCT(--($D$3:$D$102="P"),--(I$3:I$102&lt;I36),--(I$3:I$102&lt;&gt;"")))</f>
        <v>31</v>
      </c>
      <c r="P36" s="9" t="str">
        <f>IF(OR($C36&lt;&gt;"",$D36&lt;&gt;"",J36=""),"",J36-SUMPRODUCT(--($C$3:$C$102="P"),--(J$3:J$102&lt;J36),--(J$3:J$102&lt;&gt;""))-SUMPRODUCT(--($D$3:$D$102="P"),--(J$3:J$102&lt;J36),--(J$3:J$102&lt;&gt;"")))</f>
        <v/>
      </c>
      <c r="Q36" s="9" t="str">
        <f>IF(OR($C36&lt;&gt;"",$D36&lt;&gt;"",K36=""),"",K36-SUMPRODUCT(--($C$3:$C$102="P"),--(K$3:K$102&lt;K36),--(K$3:K$102&lt;&gt;""))-SUMPRODUCT(--($D$3:$D$102="P"),--(K$3:K$102&lt;K36),--(K$3:K$102&lt;&gt;"")))</f>
        <v/>
      </c>
      <c r="R36" s="9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>6</v>
      </c>
      <c r="S36" s="9">
        <f>IF(OR(M36="",M36&gt;30),"",IF(M36=1,60,IF(M36=2,55,IF(M36=3,50,IF(M36=4,44,IF(M36=5,38,IF(M36=6,32,IF(M36=7,28,IF(M36=8,25,IF(M36=9,22,IF(M36=10,21,IF(M36=11,20,IF(M36=12,19,IF(M36=13,18,IF(M36=14,17,IF(M36=15,16,IF(M36=16,15,IF(M36=17,14,IF(M36=18,13,IF(M36=19,12,IF(M36=20,11,IF(M36=21,10,IF(M36=22,9,IF(M36=23,8,IF(M36=24,7,IF(M36=25,6,IF(M36=26,5,IF(M36=27,4,IF(M36=28,3,IF(M36=29,2,IF(M36=30,1)))))))))))))))))))))))))))))))</f>
        <v>15</v>
      </c>
      <c r="T36" s="9" t="str">
        <f>IF(OR(N36="",N36&gt;30),"",IF(N36=1,60,IF(N36=2,55,IF(N36=3,50,IF(N36=4,44,IF(N36=5,38,IF(N36=6,32,IF(N36=7,28,IF(N36=8,25,IF(N36=9,22,IF(N36=10,21,IF(N36=11,20,IF(N36=12,19,IF(N36=13,18,IF(N36=14,17,IF(N36=15,16,IF(N36=16,15,IF(N36=17,14,IF(N36=18,13,IF(N36=19,12,IF(N36=20,11,IF(N36=21,10,IF(N36=22,9,IF(N36=23,8,IF(N36=24,7,IF(N36=25,6,IF(N36=26,5,IF(N36=27,4,IF(N36=28,3,IF(N36=29,2,IF(N36=30,1)))))))))))))))))))))))))))))))</f>
        <v/>
      </c>
      <c r="U36" s="9" t="str">
        <f>IF(OR(O36="",O36&gt;30),"",IF(O36=1,60,IF(O36=2,55,IF(O36=3,50,IF(O36=4,44,IF(O36=5,38,IF(O36=6,32,IF(O36=7,28,IF(O36=8,25,IF(O36=9,22,IF(O36=10,21,IF(O36=11,20,IF(O36=12,19,IF(O36=13,18,IF(O36=14,17,IF(O36=15,16,IF(O36=16,15,IF(O36=17,14,IF(O36=18,13,IF(O36=19,12,IF(O36=20,11,IF(O36=21,10,IF(O36=22,9,IF(O36=23,8,IF(O36=24,7,IF(O36=25,6,IF(O36=26,5,IF(O36=27,4,IF(O36=28,3,IF(O36=29,2,IF(O36=30,1)))))))))))))))))))))))))))))))</f>
        <v/>
      </c>
      <c r="V36" s="9" t="str">
        <f>IF(OR(P36="",P36&gt;30),"",IF(P36=1,60,IF(P36=2,55,IF(P36=3,50,IF(P36=4,44,IF(P36=5,38,IF(P36=6,32,IF(P36=7,28,IF(P36=8,25,IF(P36=9,22,IF(P36=10,21,IF(P36=11,20,IF(P36=12,19,IF(P36=13,18,IF(P36=14,17,IF(P36=15,16,IF(P36=16,15,IF(P36=17,14,IF(P36=18,13,IF(P36=19,12,IF(P36=20,11,IF(P36=21,10,IF(P36=22,9,IF(P36=23,8,IF(P36=24,7,IF(P36=25,6,IF(P36=26,5,IF(P36=27,4,IF(P36=28,3,IF(P36=29,2,IF(P36=30,1)))))))))))))))))))))))))))))))</f>
        <v/>
      </c>
      <c r="W36" s="9" t="str">
        <f>IF(OR(Q36="",Q36&gt;30),"",IF(Q36=1,60,IF(Q36=2,55,IF(Q36=3,50,IF(Q36=4,44,IF(Q36=5,38,IF(Q36=6,32,IF(Q36=7,28,IF(Q36=8,25,IF(Q36=9,22,IF(Q36=10,21,IF(Q36=11,20,IF(Q36=12,19,IF(Q36=13,18,IF(Q36=14,17,IF(Q36=15,16,IF(Q36=16,15,IF(Q36=17,14,IF(Q36=18,13,IF(Q36=19,12,IF(Q36=20,11,IF(Q36=21,10,IF(Q36=22,9,IF(Q36=23,8,IF(Q36=24,7,IF(Q36=25,6,IF(Q36=26,5,IF(Q36=27,4,IF(Q36=28,3,IF(Q36=29,2,IF(Q36=30,1)))))))))))))))))))))))))))))))</f>
        <v/>
      </c>
      <c r="X36" s="15">
        <f>IF(A36="","",IF(OR(C36="P",D36="P"),"",IF(IF(COUNT(R36:W36)&lt;5,SUM(R36:W36),IF(COUNT(R36:W36)=5,SUM(R36:W36)-MIN(R36:W36),SUM(R36:W36)-MIN(R36:W36)-SMALL(R36:W36,2)))&gt;0,IF(COUNT(R36:W36)&lt;5,SUM(R36:W36)+(1000-AB36)*10^-4+AC36*10^-5+(1000-AD36)*10^-8,IF(COUNT(R36:W36)=5,SUM(R36:W36)-MIN(R36:W36)+(1000-AB36)*10^-4+AC36*10^-5+(1000-AD36)*10^-8,SUM(R36:W36)-MIN(R36:W36)-SMALL(R36:W36,2)+(1000-AB36)*10^-4+AC36*10^-5+(1000-AD36)*10^-8)),0)))</f>
        <v>21.08710984</v>
      </c>
      <c r="Y36" s="2" t="str">
        <f>IF(OR(X36="",X36=0),"",IF(SUMPRODUCT(--(B$3:B$102=B36),--(X$3:X$102&gt;X36),--(X$3:X$102&lt;&gt;"")),"","P"))</f>
        <v/>
      </c>
      <c r="Z36" s="2" t="str">
        <f>IF(X36="","",IF(SUMPRODUCT(--(C$3:C$102="P"),--(B$3:B$102=B36)),"P",""))</f>
        <v/>
      </c>
      <c r="AA36" s="15" t="str">
        <f>IF(AND(Y36&lt;&gt;"",OR(Z36="",SUMPRODUCT(--(X$3:X$102&gt;X36),--(Z$3:Z$102="P"),--(Y$3:Y$102="P"))&lt;4)),X36,"")</f>
        <v/>
      </c>
      <c r="AB36" s="9">
        <f>IF(A36="","",IF(OR(C36="P",D36="P"),"",IF(IF(COUNT(L36:Q36)&lt;5,SUM(L36:Q36),IF(COUNT(L36:Q36)=5,SUM(L36:Q36)-MIN(L36:Q36),SUM(L36:Q36)-MIN(L36:Q36)-SMALL(L36:Q36,2)))&gt;0,IF(COUNT(L36:Q36)&lt;5,SUM(L36:Q36),IF(COUNT(L36:Q36)=5,SUM(L36:Q36)-MIN(L36:Q36),SUM(L36:Q36)-MIN(L36:Q36)-SMALL(L36:Q36,2))),0)))</f>
        <v>129</v>
      </c>
      <c r="AC36" s="9">
        <f>COUNTIF(L36:Q36,"&lt;=8")</f>
        <v>0</v>
      </c>
      <c r="AD36" s="9">
        <f>MIN(L36:Q36)</f>
        <v>16</v>
      </c>
    </row>
    <row r="37" spans="1:30" x14ac:dyDescent="0.2">
      <c r="A37" s="7" t="s">
        <v>94</v>
      </c>
      <c r="B37" s="6" t="s">
        <v>57</v>
      </c>
      <c r="E37" s="3" t="str">
        <f>IF(AA37="","",RANK(AA37,AA:AA))</f>
        <v/>
      </c>
      <c r="F37" s="6">
        <v>27</v>
      </c>
      <c r="G37" s="6">
        <v>84</v>
      </c>
      <c r="H37" s="6">
        <v>28</v>
      </c>
      <c r="I37" s="6">
        <v>29</v>
      </c>
      <c r="J37" s="6"/>
      <c r="K37" s="6"/>
      <c r="L37" s="9">
        <f>IF(OR($C37&lt;&gt;"",$D37&lt;&gt;"",F37=""),"",F37-SUMPRODUCT(--($C$3:$C$102="P"),--(F$3:F$102&lt;F37),--(F$3:F$102&lt;&gt;""))-SUMPRODUCT(--($D$3:$D$102="P"),--(F$3:F$102&lt;F37),--(F$3:F$102&lt;&gt;"")))</f>
        <v>24</v>
      </c>
      <c r="M37" s="9">
        <f>IF(OR($C37&lt;&gt;"",$D37&lt;&gt;"",G37=""),"",G37-SUMPRODUCT(--($C$3:$C$102="P"),--(G$3:G$102&lt;G37),--(G$3:G$102&lt;&gt;""))-SUMPRODUCT(--($D$3:$D$102="P"),--(G$3:G$102&lt;G37),--(G$3:G$102&lt;&gt;"")))</f>
        <v>80</v>
      </c>
      <c r="N37" s="9">
        <f>IF(OR($C37&lt;&gt;"",$D37&lt;&gt;"",H37=""),"",H37-SUMPRODUCT(--($C$3:$C$102="P"),--(H$3:H$102&lt;H37),--(H$3:H$102&lt;&gt;""))-SUMPRODUCT(--($D$3:$D$102="P"),--(H$3:H$102&lt;H37),--(H$3:H$102&lt;&gt;"")))</f>
        <v>24</v>
      </c>
      <c r="O37" s="9">
        <f>IF(OR($C37&lt;&gt;"",$D37&lt;&gt;"",I37=""),"",I37-SUMPRODUCT(--($C$3:$C$102="P"),--(I$3:I$102&lt;I37),--(I$3:I$102&lt;&gt;""))-SUMPRODUCT(--($D$3:$D$102="P"),--(I$3:I$102&lt;I37),--(I$3:I$102&lt;&gt;"")))</f>
        <v>24</v>
      </c>
      <c r="P37" s="9" t="str">
        <f>IF(OR($C37&lt;&gt;"",$D37&lt;&gt;"",J37=""),"",J37-SUMPRODUCT(--($C$3:$C$102="P"),--(J$3:J$102&lt;J37),--(J$3:J$102&lt;&gt;""))-SUMPRODUCT(--($D$3:$D$102="P"),--(J$3:J$102&lt;J37),--(J$3:J$102&lt;&gt;"")))</f>
        <v/>
      </c>
      <c r="Q37" s="9" t="str">
        <f>IF(OR($C37&lt;&gt;"",$D37&lt;&gt;"",K37=""),"",K37-SUMPRODUCT(--($C$3:$C$102="P"),--(K$3:K$102&lt;K37),--(K$3:K$102&lt;&gt;""))-SUMPRODUCT(--($D$3:$D$102="P"),--(K$3:K$102&lt;K37),--(K$3:K$102&lt;&gt;"")))</f>
        <v/>
      </c>
      <c r="R37" s="9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>7</v>
      </c>
      <c r="S37" s="9" t="str">
        <f>IF(OR(M37="",M37&gt;30),"",IF(M37=1,60,IF(M37=2,55,IF(M37=3,50,IF(M37=4,44,IF(M37=5,38,IF(M37=6,32,IF(M37=7,28,IF(M37=8,25,IF(M37=9,22,IF(M37=10,21,IF(M37=11,20,IF(M37=12,19,IF(M37=13,18,IF(M37=14,17,IF(M37=15,16,IF(M37=16,15,IF(M37=17,14,IF(M37=18,13,IF(M37=19,12,IF(M37=20,11,IF(M37=21,10,IF(M37=22,9,IF(M37=23,8,IF(M37=24,7,IF(M37=25,6,IF(M37=26,5,IF(M37=27,4,IF(M37=28,3,IF(M37=29,2,IF(M37=30,1)))))))))))))))))))))))))))))))</f>
        <v/>
      </c>
      <c r="T37" s="9">
        <f>IF(OR(N37="",N37&gt;30),"",IF(N37=1,60,IF(N37=2,55,IF(N37=3,50,IF(N37=4,44,IF(N37=5,38,IF(N37=6,32,IF(N37=7,28,IF(N37=8,25,IF(N37=9,22,IF(N37=10,21,IF(N37=11,20,IF(N37=12,19,IF(N37=13,18,IF(N37=14,17,IF(N37=15,16,IF(N37=16,15,IF(N37=17,14,IF(N37=18,13,IF(N37=19,12,IF(N37=20,11,IF(N37=21,10,IF(N37=22,9,IF(N37=23,8,IF(N37=24,7,IF(N37=25,6,IF(N37=26,5,IF(N37=27,4,IF(N37=28,3,IF(N37=29,2,IF(N37=30,1)))))))))))))))))))))))))))))))</f>
        <v>7</v>
      </c>
      <c r="U37" s="9">
        <f>IF(OR(O37="",O37&gt;30),"",IF(O37=1,60,IF(O37=2,55,IF(O37=3,50,IF(O37=4,44,IF(O37=5,38,IF(O37=6,32,IF(O37=7,28,IF(O37=8,25,IF(O37=9,22,IF(O37=10,21,IF(O37=11,20,IF(O37=12,19,IF(O37=13,18,IF(O37=14,17,IF(O37=15,16,IF(O37=16,15,IF(O37=17,14,IF(O37=18,13,IF(O37=19,12,IF(O37=20,11,IF(O37=21,10,IF(O37=22,9,IF(O37=23,8,IF(O37=24,7,IF(O37=25,6,IF(O37=26,5,IF(O37=27,4,IF(O37=28,3,IF(O37=29,2,IF(O37=30,1)))))))))))))))))))))))))))))))</f>
        <v>7</v>
      </c>
      <c r="V37" s="9" t="str">
        <f>IF(OR(P37="",P37&gt;30),"",IF(P37=1,60,IF(P37=2,55,IF(P37=3,50,IF(P37=4,44,IF(P37=5,38,IF(P37=6,32,IF(P37=7,28,IF(P37=8,25,IF(P37=9,22,IF(P37=10,21,IF(P37=11,20,IF(P37=12,19,IF(P37=13,18,IF(P37=14,17,IF(P37=15,16,IF(P37=16,15,IF(P37=17,14,IF(P37=18,13,IF(P37=19,12,IF(P37=20,11,IF(P37=21,10,IF(P37=22,9,IF(P37=23,8,IF(P37=24,7,IF(P37=25,6,IF(P37=26,5,IF(P37=27,4,IF(P37=28,3,IF(P37=29,2,IF(P37=30,1)))))))))))))))))))))))))))))))</f>
        <v/>
      </c>
      <c r="W37" s="9" t="str">
        <f>IF(OR(Q37="",Q37&gt;30),"",IF(Q37=1,60,IF(Q37=2,55,IF(Q37=3,50,IF(Q37=4,44,IF(Q37=5,38,IF(Q37=6,32,IF(Q37=7,28,IF(Q37=8,25,IF(Q37=9,22,IF(Q37=10,21,IF(Q37=11,20,IF(Q37=12,19,IF(Q37=13,18,IF(Q37=14,17,IF(Q37=15,16,IF(Q37=16,15,IF(Q37=17,14,IF(Q37=18,13,IF(Q37=19,12,IF(Q37=20,11,IF(Q37=21,10,IF(Q37=22,9,IF(Q37=23,8,IF(Q37=24,7,IF(Q37=25,6,IF(Q37=26,5,IF(Q37=27,4,IF(Q37=28,3,IF(Q37=29,2,IF(Q37=30,1)))))))))))))))))))))))))))))))</f>
        <v/>
      </c>
      <c r="X37" s="15">
        <f>IF(A37="","",IF(OR(C37="P",D37="P"),"",IF(IF(COUNT(R37:W37)&lt;5,SUM(R37:W37),IF(COUNT(R37:W37)=5,SUM(R37:W37)-MIN(R37:W37),SUM(R37:W37)-MIN(R37:W37)-SMALL(R37:W37,2)))&gt;0,IF(COUNT(R37:W37)&lt;5,SUM(R37:W37)+(1000-AB37)*10^-4+AC37*10^-5+(1000-AD37)*10^-8,IF(COUNT(R37:W37)=5,SUM(R37:W37)-MIN(R37:W37)+(1000-AB37)*10^-4+AC37*10^-5+(1000-AD37)*10^-8,SUM(R37:W37)-MIN(R37:W37)-SMALL(R37:W37,2)+(1000-AB37)*10^-4+AC37*10^-5+(1000-AD37)*10^-8)),0)))</f>
        <v>21.084809760000002</v>
      </c>
      <c r="Y37" s="2" t="str">
        <f>IF(OR(X37="",X37=0),"",IF(SUMPRODUCT(--(B$3:B$102=B37),--(X$3:X$102&gt;X37),--(X$3:X$102&lt;&gt;"")),"","P"))</f>
        <v/>
      </c>
      <c r="Z37" s="2" t="str">
        <f>IF(X37="","",IF(SUMPRODUCT(--(C$3:C$102="P"),--(B$3:B$102=B37)),"P",""))</f>
        <v/>
      </c>
      <c r="AA37" s="15" t="str">
        <f>IF(AND(Y37&lt;&gt;"",OR(Z37="",SUMPRODUCT(--(X$3:X$102&gt;X37),--(Z$3:Z$102="P"),--(Y$3:Y$102="P"))&lt;4)),X37,"")</f>
        <v/>
      </c>
      <c r="AB37" s="9">
        <f>IF(A37="","",IF(OR(C37="P",D37="P"),"",IF(IF(COUNT(L37:Q37)&lt;5,SUM(L37:Q37),IF(COUNT(L37:Q37)=5,SUM(L37:Q37)-MIN(L37:Q37),SUM(L37:Q37)-MIN(L37:Q37)-SMALL(L37:Q37,2)))&gt;0,IF(COUNT(L37:Q37)&lt;5,SUM(L37:Q37),IF(COUNT(L37:Q37)=5,SUM(L37:Q37)-MIN(L37:Q37),SUM(L37:Q37)-MIN(L37:Q37)-SMALL(L37:Q37,2))),0)))</f>
        <v>152</v>
      </c>
      <c r="AC37" s="9">
        <f>COUNTIF(L37:Q37,"&lt;=8")</f>
        <v>0</v>
      </c>
      <c r="AD37" s="9">
        <f>MIN(L37:Q37)</f>
        <v>24</v>
      </c>
    </row>
    <row r="38" spans="1:30" x14ac:dyDescent="0.2">
      <c r="A38" s="7" t="s">
        <v>96</v>
      </c>
      <c r="B38" s="6" t="s">
        <v>54</v>
      </c>
      <c r="E38" s="3">
        <f>IF(AA38="","",RANK(AA38,AA:AA))</f>
        <v>16</v>
      </c>
      <c r="F38" s="6">
        <v>29</v>
      </c>
      <c r="G38" s="6">
        <v>17</v>
      </c>
      <c r="H38" s="6">
        <v>64</v>
      </c>
      <c r="I38" s="6">
        <v>67</v>
      </c>
      <c r="J38" s="6"/>
      <c r="K38" s="6"/>
      <c r="L38" s="9">
        <f>IF(OR($C38&lt;&gt;"",$D38&lt;&gt;"",F38=""),"",F38-SUMPRODUCT(--($C$3:$C$102="P"),--(F$3:F$102&lt;F38),--(F$3:F$102&lt;&gt;""))-SUMPRODUCT(--($D$3:$D$102="P"),--(F$3:F$102&lt;F38),--(F$3:F$102&lt;&gt;"")))</f>
        <v>26</v>
      </c>
      <c r="M38" s="9">
        <f>IF(OR($C38&lt;&gt;"",$D38&lt;&gt;"",G38=""),"",G38-SUMPRODUCT(--($C$3:$C$102="P"),--(G$3:G$102&lt;G38),--(G$3:G$102&lt;&gt;""))-SUMPRODUCT(--($D$3:$D$102="P"),--(G$3:G$102&lt;G38),--(G$3:G$102&lt;&gt;"")))</f>
        <v>15</v>
      </c>
      <c r="N38" s="9">
        <f>IF(OR($C38&lt;&gt;"",$D38&lt;&gt;"",H38=""),"",H38-SUMPRODUCT(--($C$3:$C$102="P"),--(H$3:H$102&lt;H38),--(H$3:H$102&lt;&gt;""))-SUMPRODUCT(--($D$3:$D$102="P"),--(H$3:H$102&lt;H38),--(H$3:H$102&lt;&gt;"")))</f>
        <v>60</v>
      </c>
      <c r="O38" s="9">
        <f>IF(OR($C38&lt;&gt;"",$D38&lt;&gt;"",I38=""),"",I38-SUMPRODUCT(--($C$3:$C$102="P"),--(I$3:I$102&lt;I38),--(I$3:I$102&lt;&gt;""))-SUMPRODUCT(--($D$3:$D$102="P"),--(I$3:I$102&lt;I38),--(I$3:I$102&lt;&gt;"")))</f>
        <v>62</v>
      </c>
      <c r="P38" s="9" t="str">
        <f>IF(OR($C38&lt;&gt;"",$D38&lt;&gt;"",J38=""),"",J38-SUMPRODUCT(--($C$3:$C$102="P"),--(J$3:J$102&lt;J38),--(J$3:J$102&lt;&gt;""))-SUMPRODUCT(--($D$3:$D$102="P"),--(J$3:J$102&lt;J38),--(J$3:J$102&lt;&gt;"")))</f>
        <v/>
      </c>
      <c r="Q38" s="9" t="str">
        <f>IF(OR($C38&lt;&gt;"",$D38&lt;&gt;"",K38=""),"",K38-SUMPRODUCT(--($C$3:$C$102="P"),--(K$3:K$102&lt;K38),--(K$3:K$102&lt;&gt;""))-SUMPRODUCT(--($D$3:$D$102="P"),--(K$3:K$102&lt;K38),--(K$3:K$102&lt;&gt;"")))</f>
        <v/>
      </c>
      <c r="R38" s="9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>5</v>
      </c>
      <c r="S38" s="9">
        <f>IF(OR(M38="",M38&gt;30),"",IF(M38=1,60,IF(M38=2,55,IF(M38=3,50,IF(M38=4,44,IF(M38=5,38,IF(M38=6,32,IF(M38=7,28,IF(M38=8,25,IF(M38=9,22,IF(M38=10,21,IF(M38=11,20,IF(M38=12,19,IF(M38=13,18,IF(M38=14,17,IF(M38=15,16,IF(M38=16,15,IF(M38=17,14,IF(M38=18,13,IF(M38=19,12,IF(M38=20,11,IF(M38=21,10,IF(M38=22,9,IF(M38=23,8,IF(M38=24,7,IF(M38=25,6,IF(M38=26,5,IF(M38=27,4,IF(M38=28,3,IF(M38=29,2,IF(M38=30,1)))))))))))))))))))))))))))))))</f>
        <v>16</v>
      </c>
      <c r="T38" s="9" t="str">
        <f>IF(OR(N38="",N38&gt;30),"",IF(N38=1,60,IF(N38=2,55,IF(N38=3,50,IF(N38=4,44,IF(N38=5,38,IF(N38=6,32,IF(N38=7,28,IF(N38=8,25,IF(N38=9,22,IF(N38=10,21,IF(N38=11,20,IF(N38=12,19,IF(N38=13,18,IF(N38=14,17,IF(N38=15,16,IF(N38=16,15,IF(N38=17,14,IF(N38=18,13,IF(N38=19,12,IF(N38=20,11,IF(N38=21,10,IF(N38=22,9,IF(N38=23,8,IF(N38=24,7,IF(N38=25,6,IF(N38=26,5,IF(N38=27,4,IF(N38=28,3,IF(N38=29,2,IF(N38=30,1)))))))))))))))))))))))))))))))</f>
        <v/>
      </c>
      <c r="U38" s="9" t="str">
        <f>IF(OR(O38="",O38&gt;30),"",IF(O38=1,60,IF(O38=2,55,IF(O38=3,50,IF(O38=4,44,IF(O38=5,38,IF(O38=6,32,IF(O38=7,28,IF(O38=8,25,IF(O38=9,22,IF(O38=10,21,IF(O38=11,20,IF(O38=12,19,IF(O38=13,18,IF(O38=14,17,IF(O38=15,16,IF(O38=16,15,IF(O38=17,14,IF(O38=18,13,IF(O38=19,12,IF(O38=20,11,IF(O38=21,10,IF(O38=22,9,IF(O38=23,8,IF(O38=24,7,IF(O38=25,6,IF(O38=26,5,IF(O38=27,4,IF(O38=28,3,IF(O38=29,2,IF(O38=30,1)))))))))))))))))))))))))))))))</f>
        <v/>
      </c>
      <c r="V38" s="9" t="str">
        <f>IF(OR(P38="",P38&gt;30),"",IF(P38=1,60,IF(P38=2,55,IF(P38=3,50,IF(P38=4,44,IF(P38=5,38,IF(P38=6,32,IF(P38=7,28,IF(P38=8,25,IF(P38=9,22,IF(P38=10,21,IF(P38=11,20,IF(P38=12,19,IF(P38=13,18,IF(P38=14,17,IF(P38=15,16,IF(P38=16,15,IF(P38=17,14,IF(P38=18,13,IF(P38=19,12,IF(P38=20,11,IF(P38=21,10,IF(P38=22,9,IF(P38=23,8,IF(P38=24,7,IF(P38=25,6,IF(P38=26,5,IF(P38=27,4,IF(P38=28,3,IF(P38=29,2,IF(P38=30,1)))))))))))))))))))))))))))))))</f>
        <v/>
      </c>
      <c r="W38" s="9" t="str">
        <f>IF(OR(Q38="",Q38&gt;30),"",IF(Q38=1,60,IF(Q38=2,55,IF(Q38=3,50,IF(Q38=4,44,IF(Q38=5,38,IF(Q38=6,32,IF(Q38=7,28,IF(Q38=8,25,IF(Q38=9,22,IF(Q38=10,21,IF(Q38=11,20,IF(Q38=12,19,IF(Q38=13,18,IF(Q38=14,17,IF(Q38=15,16,IF(Q38=16,15,IF(Q38=17,14,IF(Q38=18,13,IF(Q38=19,12,IF(Q38=20,11,IF(Q38=21,10,IF(Q38=22,9,IF(Q38=23,8,IF(Q38=24,7,IF(Q38=25,6,IF(Q38=26,5,IF(Q38=27,4,IF(Q38=28,3,IF(Q38=29,2,IF(Q38=30,1)))))))))))))))))))))))))))))))</f>
        <v/>
      </c>
      <c r="X38" s="15">
        <f>IF(A38="","",IF(OR(C38="P",D38="P"),"",IF(IF(COUNT(R38:W38)&lt;5,SUM(R38:W38),IF(COUNT(R38:W38)=5,SUM(R38:W38)-MIN(R38:W38),SUM(R38:W38)-MIN(R38:W38)-SMALL(R38:W38,2)))&gt;0,IF(COUNT(R38:W38)&lt;5,SUM(R38:W38)+(1000-AB38)*10^-4+AC38*10^-5+(1000-AD38)*10^-8,IF(COUNT(R38:W38)=5,SUM(R38:W38)-MIN(R38:W38)+(1000-AB38)*10^-4+AC38*10^-5+(1000-AD38)*10^-8,SUM(R38:W38)-MIN(R38:W38)-SMALL(R38:W38,2)+(1000-AB38)*10^-4+AC38*10^-5+(1000-AD38)*10^-8)),0)))</f>
        <v>21.083709850000002</v>
      </c>
      <c r="Y38" s="2" t="str">
        <f>IF(OR(X38="",X38=0),"",IF(SUMPRODUCT(--(B$3:B$102=B38),--(X$3:X$102&gt;X38),--(X$3:X$102&lt;&gt;"")),"","P"))</f>
        <v>P</v>
      </c>
      <c r="Z38" s="2" t="str">
        <f>IF(X38="","",IF(SUMPRODUCT(--(C$3:C$102="P"),--(B$3:B$102=B38)),"P",""))</f>
        <v/>
      </c>
      <c r="AA38" s="15">
        <f>IF(AND(Y38&lt;&gt;"",OR(Z38="",SUMPRODUCT(--(X$3:X$102&gt;X38),--(Z$3:Z$102="P"),--(Y$3:Y$102="P"))&lt;4)),X38,"")</f>
        <v>21.083709850000002</v>
      </c>
      <c r="AB38" s="9">
        <f>IF(A38="","",IF(OR(C38="P",D38="P"),"",IF(IF(COUNT(L38:Q38)&lt;5,SUM(L38:Q38),IF(COUNT(L38:Q38)=5,SUM(L38:Q38)-MIN(L38:Q38),SUM(L38:Q38)-MIN(L38:Q38)-SMALL(L38:Q38,2)))&gt;0,IF(COUNT(L38:Q38)&lt;5,SUM(L38:Q38),IF(COUNT(L38:Q38)=5,SUM(L38:Q38)-MIN(L38:Q38),SUM(L38:Q38)-MIN(L38:Q38)-SMALL(L38:Q38,2))),0)))</f>
        <v>163</v>
      </c>
      <c r="AC38" s="9">
        <f>COUNTIF(L38:Q38,"&lt;=8")</f>
        <v>0</v>
      </c>
      <c r="AD38" s="9">
        <f>MIN(L38:Q38)</f>
        <v>15</v>
      </c>
    </row>
    <row r="39" spans="1:30" x14ac:dyDescent="0.2">
      <c r="A39" s="7" t="s">
        <v>171</v>
      </c>
      <c r="B39" s="6" t="s">
        <v>54</v>
      </c>
      <c r="E39" s="3"/>
      <c r="F39" s="6">
        <v>56</v>
      </c>
      <c r="G39" s="6">
        <v>76</v>
      </c>
      <c r="H39" s="6">
        <v>27</v>
      </c>
      <c r="I39" s="6">
        <v>26</v>
      </c>
      <c r="J39" s="6"/>
      <c r="K39" s="6"/>
      <c r="L39" s="9">
        <f>IF(OR($C39&lt;&gt;"",$D39&lt;&gt;"",F39=""),"",F39-SUMPRODUCT(--($C$3:$C$102="P"),--(F$3:F$102&lt;F39),--(F$3:F$102&lt;&gt;""))-SUMPRODUCT(--($D$3:$D$102="P"),--(F$3:F$102&lt;F39),--(F$3:F$102&lt;&gt;"")))</f>
        <v>53</v>
      </c>
      <c r="M39" s="9">
        <f>IF(OR($C39&lt;&gt;"",$D39&lt;&gt;"",G39=""),"",G39-SUMPRODUCT(--($C$3:$C$102="P"),--(G$3:G$102&lt;G39),--(G$3:G$102&lt;&gt;""))-SUMPRODUCT(--($D$3:$D$102="P"),--(G$3:G$102&lt;G39),--(G$3:G$102&lt;&gt;"")))</f>
        <v>72</v>
      </c>
      <c r="N39" s="9">
        <f>IF(OR($C39&lt;&gt;"",$D39&lt;&gt;"",H39=""),"",H39-SUMPRODUCT(--($C$3:$C$102="P"),--(H$3:H$102&lt;H39),--(H$3:H$102&lt;&gt;""))-SUMPRODUCT(--($D$3:$D$102="P"),--(H$3:H$102&lt;H39),--(H$3:H$102&lt;&gt;"")))</f>
        <v>23</v>
      </c>
      <c r="O39" s="9">
        <f>IF(OR($C39&lt;&gt;"",$D39&lt;&gt;"",I39=""),"",I39-SUMPRODUCT(--($C$3:$C$102="P"),--(I$3:I$102&lt;I39),--(I$3:I$102&lt;&gt;""))-SUMPRODUCT(--($D$3:$D$102="P"),--(I$3:I$102&lt;I39),--(I$3:I$102&lt;&gt;"")))</f>
        <v>21</v>
      </c>
      <c r="P39" s="9" t="str">
        <f>IF(OR($C39&lt;&gt;"",$D39&lt;&gt;"",J39=""),"",J39-SUMPRODUCT(--($C$3:$C$102="P"),--(J$3:J$102&lt;J39),--(J$3:J$102&lt;&gt;""))-SUMPRODUCT(--($D$3:$D$102="P"),--(J$3:J$102&lt;J39),--(J$3:J$102&lt;&gt;"")))</f>
        <v/>
      </c>
      <c r="Q39" s="9" t="str">
        <f>IF(OR($C39&lt;&gt;"",$D39&lt;&gt;"",K39=""),"",K39-SUMPRODUCT(--($C$3:$C$102="P"),--(K$3:K$102&lt;K39),--(K$3:K$102&lt;&gt;""))-SUMPRODUCT(--($D$3:$D$102="P"),--(K$3:K$102&lt;K39),--(K$3:K$102&lt;&gt;"")))</f>
        <v/>
      </c>
      <c r="R39" s="9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S39" s="9" t="str">
        <f>IF(OR(M39="",M39&gt;30),"",IF(M39=1,60,IF(M39=2,55,IF(M39=3,50,IF(M39=4,44,IF(M39=5,38,IF(M39=6,32,IF(M39=7,28,IF(M39=8,25,IF(M39=9,22,IF(M39=10,21,IF(M39=11,20,IF(M39=12,19,IF(M39=13,18,IF(M39=14,17,IF(M39=15,16,IF(M39=16,15,IF(M39=17,14,IF(M39=18,13,IF(M39=19,12,IF(M39=20,11,IF(M39=21,10,IF(M39=22,9,IF(M39=23,8,IF(M39=24,7,IF(M39=25,6,IF(M39=26,5,IF(M39=27,4,IF(M39=28,3,IF(M39=29,2,IF(M39=30,1)))))))))))))))))))))))))))))))</f>
        <v/>
      </c>
      <c r="T39" s="9">
        <f>IF(OR(N39="",N39&gt;30),"",IF(N39=1,60,IF(N39=2,55,IF(N39=3,50,IF(N39=4,44,IF(N39=5,38,IF(N39=6,32,IF(N39=7,28,IF(N39=8,25,IF(N39=9,22,IF(N39=10,21,IF(N39=11,20,IF(N39=12,19,IF(N39=13,18,IF(N39=14,17,IF(N39=15,16,IF(N39=16,15,IF(N39=17,14,IF(N39=18,13,IF(N39=19,12,IF(N39=20,11,IF(N39=21,10,IF(N39=22,9,IF(N39=23,8,IF(N39=24,7,IF(N39=25,6,IF(N39=26,5,IF(N39=27,4,IF(N39=28,3,IF(N39=29,2,IF(N39=30,1)))))))))))))))))))))))))))))))</f>
        <v>8</v>
      </c>
      <c r="U39" s="9">
        <f>IF(OR(O39="",O39&gt;30),"",IF(O39=1,60,IF(O39=2,55,IF(O39=3,50,IF(O39=4,44,IF(O39=5,38,IF(O39=6,32,IF(O39=7,28,IF(O39=8,25,IF(O39=9,22,IF(O39=10,21,IF(O39=11,20,IF(O39=12,19,IF(O39=13,18,IF(O39=14,17,IF(O39=15,16,IF(O39=16,15,IF(O39=17,14,IF(O39=18,13,IF(O39=19,12,IF(O39=20,11,IF(O39=21,10,IF(O39=22,9,IF(O39=23,8,IF(O39=24,7,IF(O39=25,6,IF(O39=26,5,IF(O39=27,4,IF(O39=28,3,IF(O39=29,2,IF(O39=30,1)))))))))))))))))))))))))))))))</f>
        <v>10</v>
      </c>
      <c r="V39" s="9" t="str">
        <f>IF(OR(P39="",P39&gt;30),"",IF(P39=1,60,IF(P39=2,55,IF(P39=3,50,IF(P39=4,44,IF(P39=5,38,IF(P39=6,32,IF(P39=7,28,IF(P39=8,25,IF(P39=9,22,IF(P39=10,21,IF(P39=11,20,IF(P39=12,19,IF(P39=13,18,IF(P39=14,17,IF(P39=15,16,IF(P39=16,15,IF(P39=17,14,IF(P39=18,13,IF(P39=19,12,IF(P39=20,11,IF(P39=21,10,IF(P39=22,9,IF(P39=23,8,IF(P39=24,7,IF(P39=25,6,IF(P39=26,5,IF(P39=27,4,IF(P39=28,3,IF(P39=29,2,IF(P39=30,1)))))))))))))))))))))))))))))))</f>
        <v/>
      </c>
      <c r="W39" s="9" t="str">
        <f>IF(OR(Q39="",Q39&gt;30),"",IF(Q39=1,60,IF(Q39=2,55,IF(Q39=3,50,IF(Q39=4,44,IF(Q39=5,38,IF(Q39=6,32,IF(Q39=7,28,IF(Q39=8,25,IF(Q39=9,22,IF(Q39=10,21,IF(Q39=11,20,IF(Q39=12,19,IF(Q39=13,18,IF(Q39=14,17,IF(Q39=15,16,IF(Q39=16,15,IF(Q39=17,14,IF(Q39=18,13,IF(Q39=19,12,IF(Q39=20,11,IF(Q39=21,10,IF(Q39=22,9,IF(Q39=23,8,IF(Q39=24,7,IF(Q39=25,6,IF(Q39=26,5,IF(Q39=27,4,IF(Q39=28,3,IF(Q39=29,2,IF(Q39=30,1)))))))))))))))))))))))))))))))</f>
        <v/>
      </c>
      <c r="X39" s="15">
        <f>IF(A39="","",IF(OR(C39="P",D39="P"),"",IF(IF(COUNT(R39:W39)&lt;5,SUM(R39:W39),IF(COUNT(R39:W39)=5,SUM(R39:W39)-MIN(R39:W39),SUM(R39:W39)-MIN(R39:W39)-SMALL(R39:W39,2)))&gt;0,IF(COUNT(R39:W39)&lt;5,SUM(R39:W39)+(1000-AB39)*10^-4+AC39*10^-5+(1000-AD39)*10^-8,IF(COUNT(R39:W39)=5,SUM(R39:W39)-MIN(R39:W39)+(1000-AB39)*10^-4+AC39*10^-5+(1000-AD39)*10^-8,SUM(R39:W39)-MIN(R39:W39)-SMALL(R39:W39,2)+(1000-AB39)*10^-4+AC39*10^-5+(1000-AD39)*10^-8)),0)))</f>
        <v>18.083109790000002</v>
      </c>
      <c r="Y39" s="2" t="str">
        <f>IF(OR(X39="",X39=0),"",IF(SUMPRODUCT(--(B$3:B$102=B39),--(X$3:X$102&gt;X39),--(X$3:X$102&lt;&gt;"")),"","P"))</f>
        <v/>
      </c>
      <c r="Z39" s="2" t="str">
        <f>IF(X39="","",IF(SUMPRODUCT(--(C$3:C$102="P"),--(B$3:B$102=B39)),"P",""))</f>
        <v/>
      </c>
      <c r="AA39" s="15" t="str">
        <f>IF(AND(Y39&lt;&gt;"",OR(Z39="",SUMPRODUCT(--(X$3:X$102&gt;X39),--(Z$3:Z$102="P"),--(Y$3:Y$102="P"))&lt;4)),X39,"")</f>
        <v/>
      </c>
      <c r="AB39" s="9">
        <f>IF(A39="","",IF(OR(C39="P",D39="P"),"",IF(IF(COUNT(L39:Q39)&lt;5,SUM(L39:Q39),IF(COUNT(L39:Q39)=5,SUM(L39:Q39)-MIN(L39:Q39),SUM(L39:Q39)-MIN(L39:Q39)-SMALL(L39:Q39,2)))&gt;0,IF(COUNT(L39:Q39)&lt;5,SUM(L39:Q39),IF(COUNT(L39:Q39)=5,SUM(L39:Q39)-MIN(L39:Q39),SUM(L39:Q39)-MIN(L39:Q39)-SMALL(L39:Q39,2))),0)))</f>
        <v>169</v>
      </c>
      <c r="AC39" s="9">
        <f>COUNTIF(L39:Q39,"&lt;=8")</f>
        <v>0</v>
      </c>
      <c r="AD39" s="9">
        <f>MIN(L39:Q39)</f>
        <v>21</v>
      </c>
    </row>
    <row r="40" spans="1:30" x14ac:dyDescent="0.2">
      <c r="A40" s="7" t="s">
        <v>84</v>
      </c>
      <c r="B40" s="6" t="s">
        <v>20</v>
      </c>
      <c r="E40" s="3" t="str">
        <f>IF(AA40="","",RANK(AA40,AA:AA))</f>
        <v/>
      </c>
      <c r="F40" s="6">
        <v>17</v>
      </c>
      <c r="G40" s="6"/>
      <c r="H40" s="6"/>
      <c r="I40" s="6"/>
      <c r="J40" s="6"/>
      <c r="K40" s="6"/>
      <c r="L40" s="9">
        <f>IF(OR($C40&lt;&gt;"",$D40&lt;&gt;"",F40=""),"",F40-SUMPRODUCT(--($C$3:$C$102="P"),--(F$3:F$102&lt;F40),--(F$3:F$102&lt;&gt;""))-SUMPRODUCT(--($D$3:$D$102="P"),--(F$3:F$102&lt;F40),--(F$3:F$102&lt;&gt;"")))</f>
        <v>15</v>
      </c>
      <c r="M40" s="9" t="str">
        <f>IF(OR($C40&lt;&gt;"",$D40&lt;&gt;"",G40=""),"",G40-SUMPRODUCT(--($C$3:$C$102="P"),--(G$3:G$102&lt;G40),--(G$3:G$102&lt;&gt;""))-SUMPRODUCT(--($D$3:$D$102="P"),--(G$3:G$102&lt;G40),--(G$3:G$102&lt;&gt;"")))</f>
        <v/>
      </c>
      <c r="N40" s="9" t="str">
        <f>IF(OR($C40&lt;&gt;"",$D40&lt;&gt;"",H40=""),"",H40-SUMPRODUCT(--($C$3:$C$102="P"),--(H$3:H$102&lt;H40),--(H$3:H$102&lt;&gt;""))-SUMPRODUCT(--($D$3:$D$102="P"),--(H$3:H$102&lt;H40),--(H$3:H$102&lt;&gt;"")))</f>
        <v/>
      </c>
      <c r="O40" s="9" t="str">
        <f>IF(OR($C40&lt;&gt;"",$D40&lt;&gt;"",I40=""),"",I40-SUMPRODUCT(--($C$3:$C$102="P"),--(I$3:I$102&lt;I40),--(I$3:I$102&lt;&gt;""))-SUMPRODUCT(--($D$3:$D$102="P"),--(I$3:I$102&lt;I40),--(I$3:I$102&lt;&gt;"")))</f>
        <v/>
      </c>
      <c r="P40" s="9" t="str">
        <f>IF(OR($C40&lt;&gt;"",$D40&lt;&gt;"",J40=""),"",J40-SUMPRODUCT(--($C$3:$C$102="P"),--(J$3:J$102&lt;J40),--(J$3:J$102&lt;&gt;""))-SUMPRODUCT(--($D$3:$D$102="P"),--(J$3:J$102&lt;J40),--(J$3:J$102&lt;&gt;"")))</f>
        <v/>
      </c>
      <c r="Q40" s="9" t="str">
        <f>IF(OR($C40&lt;&gt;"",$D40&lt;&gt;"",K40=""),"",K40-SUMPRODUCT(--($C$3:$C$102="P"),--(K$3:K$102&lt;K40),--(K$3:K$102&lt;&gt;""))-SUMPRODUCT(--($D$3:$D$102="P"),--(K$3:K$102&lt;K40),--(K$3:K$102&lt;&gt;"")))</f>
        <v/>
      </c>
      <c r="R40" s="9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>16</v>
      </c>
      <c r="S40" s="9" t="str">
        <f>IF(OR(M40="",M40&gt;30),"",IF(M40=1,60,IF(M40=2,55,IF(M40=3,50,IF(M40=4,44,IF(M40=5,38,IF(M40=6,32,IF(M40=7,28,IF(M40=8,25,IF(M40=9,22,IF(M40=10,21,IF(M40=11,20,IF(M40=12,19,IF(M40=13,18,IF(M40=14,17,IF(M40=15,16,IF(M40=16,15,IF(M40=17,14,IF(M40=18,13,IF(M40=19,12,IF(M40=20,11,IF(M40=21,10,IF(M40=22,9,IF(M40=23,8,IF(M40=24,7,IF(M40=25,6,IF(M40=26,5,IF(M40=27,4,IF(M40=28,3,IF(M40=29,2,IF(M40=30,1)))))))))))))))))))))))))))))))</f>
        <v/>
      </c>
      <c r="T40" s="9" t="str">
        <f>IF(OR(N40="",N40&gt;30),"",IF(N40=1,60,IF(N40=2,55,IF(N40=3,50,IF(N40=4,44,IF(N40=5,38,IF(N40=6,32,IF(N40=7,28,IF(N40=8,25,IF(N40=9,22,IF(N40=10,21,IF(N40=11,20,IF(N40=12,19,IF(N40=13,18,IF(N40=14,17,IF(N40=15,16,IF(N40=16,15,IF(N40=17,14,IF(N40=18,13,IF(N40=19,12,IF(N40=20,11,IF(N40=21,10,IF(N40=22,9,IF(N40=23,8,IF(N40=24,7,IF(N40=25,6,IF(N40=26,5,IF(N40=27,4,IF(N40=28,3,IF(N40=29,2,IF(N40=30,1)))))))))))))))))))))))))))))))</f>
        <v/>
      </c>
      <c r="U40" s="9" t="str">
        <f>IF(OR(O40="",O40&gt;30),"",IF(O40=1,60,IF(O40=2,55,IF(O40=3,50,IF(O40=4,44,IF(O40=5,38,IF(O40=6,32,IF(O40=7,28,IF(O40=8,25,IF(O40=9,22,IF(O40=10,21,IF(O40=11,20,IF(O40=12,19,IF(O40=13,18,IF(O40=14,17,IF(O40=15,16,IF(O40=16,15,IF(O40=17,14,IF(O40=18,13,IF(O40=19,12,IF(O40=20,11,IF(O40=21,10,IF(O40=22,9,IF(O40=23,8,IF(O40=24,7,IF(O40=25,6,IF(O40=26,5,IF(O40=27,4,IF(O40=28,3,IF(O40=29,2,IF(O40=30,1)))))))))))))))))))))))))))))))</f>
        <v/>
      </c>
      <c r="V40" s="9" t="str">
        <f>IF(OR(P40="",P40&gt;30),"",IF(P40=1,60,IF(P40=2,55,IF(P40=3,50,IF(P40=4,44,IF(P40=5,38,IF(P40=6,32,IF(P40=7,28,IF(P40=8,25,IF(P40=9,22,IF(P40=10,21,IF(P40=11,20,IF(P40=12,19,IF(P40=13,18,IF(P40=14,17,IF(P40=15,16,IF(P40=16,15,IF(P40=17,14,IF(P40=18,13,IF(P40=19,12,IF(P40=20,11,IF(P40=21,10,IF(P40=22,9,IF(P40=23,8,IF(P40=24,7,IF(P40=25,6,IF(P40=26,5,IF(P40=27,4,IF(P40=28,3,IF(P40=29,2,IF(P40=30,1)))))))))))))))))))))))))))))))</f>
        <v/>
      </c>
      <c r="W40" s="9" t="str">
        <f>IF(OR(Q40="",Q40&gt;30),"",IF(Q40=1,60,IF(Q40=2,55,IF(Q40=3,50,IF(Q40=4,44,IF(Q40=5,38,IF(Q40=6,32,IF(Q40=7,28,IF(Q40=8,25,IF(Q40=9,22,IF(Q40=10,21,IF(Q40=11,20,IF(Q40=12,19,IF(Q40=13,18,IF(Q40=14,17,IF(Q40=15,16,IF(Q40=16,15,IF(Q40=17,14,IF(Q40=18,13,IF(Q40=19,12,IF(Q40=20,11,IF(Q40=21,10,IF(Q40=22,9,IF(Q40=23,8,IF(Q40=24,7,IF(Q40=25,6,IF(Q40=26,5,IF(Q40=27,4,IF(Q40=28,3,IF(Q40=29,2,IF(Q40=30,1)))))))))))))))))))))))))))))))</f>
        <v/>
      </c>
      <c r="X40" s="15">
        <f>IF(A40="","",IF(OR(C40="P",D40="P"),"",IF(IF(COUNT(R40:W40)&lt;5,SUM(R40:W40),IF(COUNT(R40:W40)=5,SUM(R40:W40)-MIN(R40:W40),SUM(R40:W40)-MIN(R40:W40)-SMALL(R40:W40,2)))&gt;0,IF(COUNT(R40:W40)&lt;5,SUM(R40:W40)+(1000-AB40)*10^-4+AC40*10^-5+(1000-AD40)*10^-8,IF(COUNT(R40:W40)=5,SUM(R40:W40)-MIN(R40:W40)+(1000-AB40)*10^-4+AC40*10^-5+(1000-AD40)*10^-8,SUM(R40:W40)-MIN(R40:W40)-SMALL(R40:W40,2)+(1000-AB40)*10^-4+AC40*10^-5+(1000-AD40)*10^-8)),0)))</f>
        <v>16.098509850000003</v>
      </c>
      <c r="Y40" s="2" t="str">
        <f>IF(OR(X40="",X40=0),"",IF(SUMPRODUCT(--(B$3:B$102=B40),--(X$3:X$102&gt;X40),--(X$3:X$102&lt;&gt;"")),"","P"))</f>
        <v/>
      </c>
      <c r="Z40" s="2" t="str">
        <f>IF(X40="","",IF(SUMPRODUCT(--(C$3:C$102="P"),--(B$3:B$102=B40)),"P",""))</f>
        <v>P</v>
      </c>
      <c r="AA40" s="15" t="str">
        <f>IF(AND(Y40&lt;&gt;"",OR(Z40="",SUMPRODUCT(--(X$3:X$102&gt;X40),--(Z$3:Z$102="P"),--(Y$3:Y$102="P"))&lt;4)),X40,"")</f>
        <v/>
      </c>
      <c r="AB40" s="9">
        <f>IF(A40="","",IF(OR(C40="P",D40="P"),"",IF(IF(COUNT(L40:Q40)&lt;5,SUM(L40:Q40),IF(COUNT(L40:Q40)=5,SUM(L40:Q40)-MIN(L40:Q40),SUM(L40:Q40)-MIN(L40:Q40)-SMALL(L40:Q40,2)))&gt;0,IF(COUNT(L40:Q40)&lt;5,SUM(L40:Q40),IF(COUNT(L40:Q40)=5,SUM(L40:Q40)-MIN(L40:Q40),SUM(L40:Q40)-MIN(L40:Q40)-SMALL(L40:Q40,2))),0)))</f>
        <v>15</v>
      </c>
      <c r="AC40" s="9">
        <f>COUNTIF(L40:Q40,"&lt;=8")</f>
        <v>0</v>
      </c>
      <c r="AD40" s="9">
        <f>MIN(L40:Q40)</f>
        <v>15</v>
      </c>
    </row>
    <row r="41" spans="1:30" x14ac:dyDescent="0.2">
      <c r="A41" s="7" t="s">
        <v>97</v>
      </c>
      <c r="B41" s="6" t="s">
        <v>106</v>
      </c>
      <c r="E41" s="3">
        <f>IF(AA41="","",RANK(AA41,AA:AA))</f>
        <v>17</v>
      </c>
      <c r="F41" s="6">
        <v>30</v>
      </c>
      <c r="G41" s="6">
        <v>21</v>
      </c>
      <c r="H41" s="6"/>
      <c r="I41" s="6">
        <v>58</v>
      </c>
      <c r="J41" s="6"/>
      <c r="K41" s="6"/>
      <c r="L41" s="9">
        <f>IF(OR($C41&lt;&gt;"",$D41&lt;&gt;"",F41=""),"",F41-SUMPRODUCT(--($C$3:$C$102="P"),--(F$3:F$102&lt;F41),--(F$3:F$102&lt;&gt;""))-SUMPRODUCT(--($D$3:$D$102="P"),--(F$3:F$102&lt;F41),--(F$3:F$102&lt;&gt;"")))</f>
        <v>27</v>
      </c>
      <c r="M41" s="9">
        <f>IF(OR($C41&lt;&gt;"",$D41&lt;&gt;"",G41=""),"",G41-SUMPRODUCT(--($C$3:$C$102="P"),--(G$3:G$102&lt;G41),--(G$3:G$102&lt;&gt;""))-SUMPRODUCT(--($D$3:$D$102="P"),--(G$3:G$102&lt;G41),--(G$3:G$102&lt;&gt;"")))</f>
        <v>19</v>
      </c>
      <c r="N41" s="9" t="str">
        <f>IF(OR($C41&lt;&gt;"",$D41&lt;&gt;"",H41=""),"",H41-SUMPRODUCT(--($C$3:$C$102="P"),--(H$3:H$102&lt;H41),--(H$3:H$102&lt;&gt;""))-SUMPRODUCT(--($D$3:$D$102="P"),--(H$3:H$102&lt;H41),--(H$3:H$102&lt;&gt;"")))</f>
        <v/>
      </c>
      <c r="O41" s="9">
        <f>IF(OR($C41&lt;&gt;"",$D41&lt;&gt;"",I41=""),"",I41-SUMPRODUCT(--($C$3:$C$102="P"),--(I$3:I$102&lt;I41),--(I$3:I$102&lt;&gt;""))-SUMPRODUCT(--($D$3:$D$102="P"),--(I$3:I$102&lt;I41),--(I$3:I$102&lt;&gt;"")))</f>
        <v>53</v>
      </c>
      <c r="P41" s="9" t="str">
        <f>IF(OR($C41&lt;&gt;"",$D41&lt;&gt;"",J41=""),"",J41-SUMPRODUCT(--($C$3:$C$102="P"),--(J$3:J$102&lt;J41),--(J$3:J$102&lt;&gt;""))-SUMPRODUCT(--($D$3:$D$102="P"),--(J$3:J$102&lt;J41),--(J$3:J$102&lt;&gt;"")))</f>
        <v/>
      </c>
      <c r="Q41" s="9" t="str">
        <f>IF(OR($C41&lt;&gt;"",$D41&lt;&gt;"",K41=""),"",K41-SUMPRODUCT(--($C$3:$C$102="P"),--(K$3:K$102&lt;K41),--(K$3:K$102&lt;&gt;""))-SUMPRODUCT(--($D$3:$D$102="P"),--(K$3:K$102&lt;K41),--(K$3:K$102&lt;&gt;"")))</f>
        <v/>
      </c>
      <c r="R41" s="9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>4</v>
      </c>
      <c r="S41" s="9">
        <f>IF(OR(M41="",M41&gt;30),"",IF(M41=1,60,IF(M41=2,55,IF(M41=3,50,IF(M41=4,44,IF(M41=5,38,IF(M41=6,32,IF(M41=7,28,IF(M41=8,25,IF(M41=9,22,IF(M41=10,21,IF(M41=11,20,IF(M41=12,19,IF(M41=13,18,IF(M41=14,17,IF(M41=15,16,IF(M41=16,15,IF(M41=17,14,IF(M41=18,13,IF(M41=19,12,IF(M41=20,11,IF(M41=21,10,IF(M41=22,9,IF(M41=23,8,IF(M41=24,7,IF(M41=25,6,IF(M41=26,5,IF(M41=27,4,IF(M41=28,3,IF(M41=29,2,IF(M41=30,1)))))))))))))))))))))))))))))))</f>
        <v>12</v>
      </c>
      <c r="T41" s="9" t="str">
        <f>IF(OR(N41="",N41&gt;30),"",IF(N41=1,60,IF(N41=2,55,IF(N41=3,50,IF(N41=4,44,IF(N41=5,38,IF(N41=6,32,IF(N41=7,28,IF(N41=8,25,IF(N41=9,22,IF(N41=10,21,IF(N41=11,20,IF(N41=12,19,IF(N41=13,18,IF(N41=14,17,IF(N41=15,16,IF(N41=16,15,IF(N41=17,14,IF(N41=18,13,IF(N41=19,12,IF(N41=20,11,IF(N41=21,10,IF(N41=22,9,IF(N41=23,8,IF(N41=24,7,IF(N41=25,6,IF(N41=26,5,IF(N41=27,4,IF(N41=28,3,IF(N41=29,2,IF(N41=30,1)))))))))))))))))))))))))))))))</f>
        <v/>
      </c>
      <c r="U41" s="9" t="str">
        <f>IF(OR(O41="",O41&gt;30),"",IF(O41=1,60,IF(O41=2,55,IF(O41=3,50,IF(O41=4,44,IF(O41=5,38,IF(O41=6,32,IF(O41=7,28,IF(O41=8,25,IF(O41=9,22,IF(O41=10,21,IF(O41=11,20,IF(O41=12,19,IF(O41=13,18,IF(O41=14,17,IF(O41=15,16,IF(O41=16,15,IF(O41=17,14,IF(O41=18,13,IF(O41=19,12,IF(O41=20,11,IF(O41=21,10,IF(O41=22,9,IF(O41=23,8,IF(O41=24,7,IF(O41=25,6,IF(O41=26,5,IF(O41=27,4,IF(O41=28,3,IF(O41=29,2,IF(O41=30,1)))))))))))))))))))))))))))))))</f>
        <v/>
      </c>
      <c r="V41" s="9" t="str">
        <f>IF(OR(P41="",P41&gt;30),"",IF(P41=1,60,IF(P41=2,55,IF(P41=3,50,IF(P41=4,44,IF(P41=5,38,IF(P41=6,32,IF(P41=7,28,IF(P41=8,25,IF(P41=9,22,IF(P41=10,21,IF(P41=11,20,IF(P41=12,19,IF(P41=13,18,IF(P41=14,17,IF(P41=15,16,IF(P41=16,15,IF(P41=17,14,IF(P41=18,13,IF(P41=19,12,IF(P41=20,11,IF(P41=21,10,IF(P41=22,9,IF(P41=23,8,IF(P41=24,7,IF(P41=25,6,IF(P41=26,5,IF(P41=27,4,IF(P41=28,3,IF(P41=29,2,IF(P41=30,1)))))))))))))))))))))))))))))))</f>
        <v/>
      </c>
      <c r="W41" s="9" t="str">
        <f>IF(OR(Q41="",Q41&gt;30),"",IF(Q41=1,60,IF(Q41=2,55,IF(Q41=3,50,IF(Q41=4,44,IF(Q41=5,38,IF(Q41=6,32,IF(Q41=7,28,IF(Q41=8,25,IF(Q41=9,22,IF(Q41=10,21,IF(Q41=11,20,IF(Q41=12,19,IF(Q41=13,18,IF(Q41=14,17,IF(Q41=15,16,IF(Q41=16,15,IF(Q41=17,14,IF(Q41=18,13,IF(Q41=19,12,IF(Q41=20,11,IF(Q41=21,10,IF(Q41=22,9,IF(Q41=23,8,IF(Q41=24,7,IF(Q41=25,6,IF(Q41=26,5,IF(Q41=27,4,IF(Q41=28,3,IF(Q41=29,2,IF(Q41=30,1)))))))))))))))))))))))))))))))</f>
        <v/>
      </c>
      <c r="X41" s="15">
        <f>IF(A41="","",IF(OR(C41="P",D41="P"),"",IF(IF(COUNT(R41:W41)&lt;5,SUM(R41:W41),IF(COUNT(R41:W41)=5,SUM(R41:W41)-MIN(R41:W41),SUM(R41:W41)-MIN(R41:W41)-SMALL(R41:W41,2)))&gt;0,IF(COUNT(R41:W41)&lt;5,SUM(R41:W41)+(1000-AB41)*10^-4+AC41*10^-5+(1000-AD41)*10^-8,IF(COUNT(R41:W41)=5,SUM(R41:W41)-MIN(R41:W41)+(1000-AB41)*10^-4+AC41*10^-5+(1000-AD41)*10^-8,SUM(R41:W41)-MIN(R41:W41)-SMALL(R41:W41,2)+(1000-AB41)*10^-4+AC41*10^-5+(1000-AD41)*10^-8)),0)))</f>
        <v>16.090109810000001</v>
      </c>
      <c r="Y41" s="2" t="str">
        <f>IF(OR(X41="",X41=0),"",IF(SUMPRODUCT(--(B$3:B$102=B41),--(X$3:X$102&gt;X41),--(X$3:X$102&lt;&gt;"")),"","P"))</f>
        <v>P</v>
      </c>
      <c r="Z41" s="2" t="str">
        <f>IF(X41="","",IF(SUMPRODUCT(--(C$3:C$102="P"),--(B$3:B$102=B41)),"P",""))</f>
        <v/>
      </c>
      <c r="AA41" s="15">
        <f>IF(AND(Y41&lt;&gt;"",OR(Z41="",SUMPRODUCT(--(X$3:X$102&gt;X41),--(Z$3:Z$102="P"),--(Y$3:Y$102="P"))&lt;4)),X41,"")</f>
        <v>16.090109810000001</v>
      </c>
      <c r="AB41" s="9">
        <f>IF(A41="","",IF(OR(C41="P",D41="P"),"",IF(IF(COUNT(L41:Q41)&lt;5,SUM(L41:Q41),IF(COUNT(L41:Q41)=5,SUM(L41:Q41)-MIN(L41:Q41),SUM(L41:Q41)-MIN(L41:Q41)-SMALL(L41:Q41,2)))&gt;0,IF(COUNT(L41:Q41)&lt;5,SUM(L41:Q41),IF(COUNT(L41:Q41)=5,SUM(L41:Q41)-MIN(L41:Q41),SUM(L41:Q41)-MIN(L41:Q41)-SMALL(L41:Q41,2))),0)))</f>
        <v>99</v>
      </c>
      <c r="AC41" s="9">
        <f>COUNTIF(L41:Q41,"&lt;=8")</f>
        <v>0</v>
      </c>
      <c r="AD41" s="9">
        <f>MIN(L41:Q41)</f>
        <v>19</v>
      </c>
    </row>
    <row r="42" spans="1:30" x14ac:dyDescent="0.2">
      <c r="A42" s="7" t="s">
        <v>188</v>
      </c>
      <c r="B42" s="6" t="s">
        <v>108</v>
      </c>
      <c r="E42" s="3"/>
      <c r="F42" s="6">
        <v>62</v>
      </c>
      <c r="G42" s="6">
        <v>48</v>
      </c>
      <c r="H42" s="6">
        <v>19</v>
      </c>
      <c r="I42" s="6">
        <v>68</v>
      </c>
      <c r="J42" s="6"/>
      <c r="K42" s="6"/>
      <c r="L42" s="9">
        <f>IF(OR($C42&lt;&gt;"",$D42&lt;&gt;"",F42=""),"",F42-SUMPRODUCT(--($C$3:$C$102="P"),--(F$3:F$102&lt;F42),--(F$3:F$102&lt;&gt;""))-SUMPRODUCT(--($D$3:$D$102="P"),--(F$3:F$102&lt;F42),--(F$3:F$102&lt;&gt;"")))</f>
        <v>58</v>
      </c>
      <c r="M42" s="9">
        <f>IF(OR($C42&lt;&gt;"",$D42&lt;&gt;"",G42=""),"",G42-SUMPRODUCT(--($C$3:$C$102="P"),--(G$3:G$102&lt;G42),--(G$3:G$102&lt;&gt;""))-SUMPRODUCT(--($D$3:$D$102="P"),--(G$3:G$102&lt;G42),--(G$3:G$102&lt;&gt;"")))</f>
        <v>46</v>
      </c>
      <c r="N42" s="9">
        <f>IF(OR($C42&lt;&gt;"",$D42&lt;&gt;"",H42=""),"",H42-SUMPRODUCT(--($C$3:$C$102="P"),--(H$3:H$102&lt;H42),--(H$3:H$102&lt;&gt;""))-SUMPRODUCT(--($D$3:$D$102="P"),--(H$3:H$102&lt;H42),--(H$3:H$102&lt;&gt;"")))</f>
        <v>15</v>
      </c>
      <c r="O42" s="9">
        <f>IF(OR($C42&lt;&gt;"",$D42&lt;&gt;"",I42=""),"",I42-SUMPRODUCT(--($C$3:$C$102="P"),--(I$3:I$102&lt;I42),--(I$3:I$102&lt;&gt;""))-SUMPRODUCT(--($D$3:$D$102="P"),--(I$3:I$102&lt;I42),--(I$3:I$102&lt;&gt;"")))</f>
        <v>63</v>
      </c>
      <c r="P42" s="9" t="str">
        <f>IF(OR($C42&lt;&gt;"",$D42&lt;&gt;"",J42=""),"",J42-SUMPRODUCT(--($C$3:$C$102="P"),--(J$3:J$102&lt;J42),--(J$3:J$102&lt;&gt;""))-SUMPRODUCT(--($D$3:$D$102="P"),--(J$3:J$102&lt;J42),--(J$3:J$102&lt;&gt;"")))</f>
        <v/>
      </c>
      <c r="Q42" s="9" t="str">
        <f>IF(OR($C42&lt;&gt;"",$D42&lt;&gt;"",K42=""),"",K42-SUMPRODUCT(--($C$3:$C$102="P"),--(K$3:K$102&lt;K42),--(K$3:K$102&lt;&gt;""))-SUMPRODUCT(--($D$3:$D$102="P"),--(K$3:K$102&lt;K42),--(K$3:K$102&lt;&gt;"")))</f>
        <v/>
      </c>
      <c r="R42" s="9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S42" s="9" t="str">
        <f>IF(OR(M42="",M42&gt;30),"",IF(M42=1,60,IF(M42=2,55,IF(M42=3,50,IF(M42=4,44,IF(M42=5,38,IF(M42=6,32,IF(M42=7,28,IF(M42=8,25,IF(M42=9,22,IF(M42=10,21,IF(M42=11,20,IF(M42=12,19,IF(M42=13,18,IF(M42=14,17,IF(M42=15,16,IF(M42=16,15,IF(M42=17,14,IF(M42=18,13,IF(M42=19,12,IF(M42=20,11,IF(M42=21,10,IF(M42=22,9,IF(M42=23,8,IF(M42=24,7,IF(M42=25,6,IF(M42=26,5,IF(M42=27,4,IF(M42=28,3,IF(M42=29,2,IF(M42=30,1)))))))))))))))))))))))))))))))</f>
        <v/>
      </c>
      <c r="T42" s="9">
        <f>IF(OR(N42="",N42&gt;30),"",IF(N42=1,60,IF(N42=2,55,IF(N42=3,50,IF(N42=4,44,IF(N42=5,38,IF(N42=6,32,IF(N42=7,28,IF(N42=8,25,IF(N42=9,22,IF(N42=10,21,IF(N42=11,20,IF(N42=12,19,IF(N42=13,18,IF(N42=14,17,IF(N42=15,16,IF(N42=16,15,IF(N42=17,14,IF(N42=18,13,IF(N42=19,12,IF(N42=20,11,IF(N42=21,10,IF(N42=22,9,IF(N42=23,8,IF(N42=24,7,IF(N42=25,6,IF(N42=26,5,IF(N42=27,4,IF(N42=28,3,IF(N42=29,2,IF(N42=30,1)))))))))))))))))))))))))))))))</f>
        <v>16</v>
      </c>
      <c r="U42" s="9" t="str">
        <f>IF(OR(O42="",O42&gt;30),"",IF(O42=1,60,IF(O42=2,55,IF(O42=3,50,IF(O42=4,44,IF(O42=5,38,IF(O42=6,32,IF(O42=7,28,IF(O42=8,25,IF(O42=9,22,IF(O42=10,21,IF(O42=11,20,IF(O42=12,19,IF(O42=13,18,IF(O42=14,17,IF(O42=15,16,IF(O42=16,15,IF(O42=17,14,IF(O42=18,13,IF(O42=19,12,IF(O42=20,11,IF(O42=21,10,IF(O42=22,9,IF(O42=23,8,IF(O42=24,7,IF(O42=25,6,IF(O42=26,5,IF(O42=27,4,IF(O42=28,3,IF(O42=29,2,IF(O42=30,1)))))))))))))))))))))))))))))))</f>
        <v/>
      </c>
      <c r="V42" s="9" t="str">
        <f>IF(OR(P42="",P42&gt;30),"",IF(P42=1,60,IF(P42=2,55,IF(P42=3,50,IF(P42=4,44,IF(P42=5,38,IF(P42=6,32,IF(P42=7,28,IF(P42=8,25,IF(P42=9,22,IF(P42=10,21,IF(P42=11,20,IF(P42=12,19,IF(P42=13,18,IF(P42=14,17,IF(P42=15,16,IF(P42=16,15,IF(P42=17,14,IF(P42=18,13,IF(P42=19,12,IF(P42=20,11,IF(P42=21,10,IF(P42=22,9,IF(P42=23,8,IF(P42=24,7,IF(P42=25,6,IF(P42=26,5,IF(P42=27,4,IF(P42=28,3,IF(P42=29,2,IF(P42=30,1)))))))))))))))))))))))))))))))</f>
        <v/>
      </c>
      <c r="W42" s="9" t="str">
        <f>IF(OR(Q42="",Q42&gt;30),"",IF(Q42=1,60,IF(Q42=2,55,IF(Q42=3,50,IF(Q42=4,44,IF(Q42=5,38,IF(Q42=6,32,IF(Q42=7,28,IF(Q42=8,25,IF(Q42=9,22,IF(Q42=10,21,IF(Q42=11,20,IF(Q42=12,19,IF(Q42=13,18,IF(Q42=14,17,IF(Q42=15,16,IF(Q42=16,15,IF(Q42=17,14,IF(Q42=18,13,IF(Q42=19,12,IF(Q42=20,11,IF(Q42=21,10,IF(Q42=22,9,IF(Q42=23,8,IF(Q42=24,7,IF(Q42=25,6,IF(Q42=26,5,IF(Q42=27,4,IF(Q42=28,3,IF(Q42=29,2,IF(Q42=30,1)))))))))))))))))))))))))))))))</f>
        <v/>
      </c>
      <c r="X42" s="15">
        <f>IF(A42="","",IF(OR(C42="P",D42="P"),"",IF(IF(COUNT(R42:W42)&lt;5,SUM(R42:W42),IF(COUNT(R42:W42)=5,SUM(R42:W42)-MIN(R42:W42),SUM(R42:W42)-MIN(R42:W42)-SMALL(R42:W42,2)))&gt;0,IF(COUNT(R42:W42)&lt;5,SUM(R42:W42)+(1000-AB42)*10^-4+AC42*10^-5+(1000-AD42)*10^-8,IF(COUNT(R42:W42)=5,SUM(R42:W42)-MIN(R42:W42)+(1000-AB42)*10^-4+AC42*10^-5+(1000-AD42)*10^-8,SUM(R42:W42)-MIN(R42:W42)-SMALL(R42:W42,2)+(1000-AB42)*10^-4+AC42*10^-5+(1000-AD42)*10^-8)),0)))</f>
        <v>16.081809850000003</v>
      </c>
      <c r="Y42" s="2" t="str">
        <f>IF(OR(X42="",X42=0),"",IF(SUMPRODUCT(--(B$3:B$102=B42),--(X$3:X$102&gt;X42),--(X$3:X$102&lt;&gt;"")),"","P"))</f>
        <v/>
      </c>
      <c r="Z42" s="2" t="str">
        <f>IF(X42="","",IF(SUMPRODUCT(--(C$3:C$102="P"),--(B$3:B$102=B42)),"P",""))</f>
        <v/>
      </c>
      <c r="AA42" s="15" t="str">
        <f>IF(AND(Y42&lt;&gt;"",OR(Z42="",SUMPRODUCT(--(X$3:X$102&gt;X42),--(Z$3:Z$102="P"),--(Y$3:Y$102="P"))&lt;4)),X42,"")</f>
        <v/>
      </c>
      <c r="AB42" s="9">
        <f>IF(A42="","",IF(OR(C42="P",D42="P"),"",IF(IF(COUNT(L42:Q42)&lt;5,SUM(L42:Q42),IF(COUNT(L42:Q42)=5,SUM(L42:Q42)-MIN(L42:Q42),SUM(L42:Q42)-MIN(L42:Q42)-SMALL(L42:Q42,2)))&gt;0,IF(COUNT(L42:Q42)&lt;5,SUM(L42:Q42),IF(COUNT(L42:Q42)=5,SUM(L42:Q42)-MIN(L42:Q42),SUM(L42:Q42)-MIN(L42:Q42)-SMALL(L42:Q42,2))),0)))</f>
        <v>182</v>
      </c>
      <c r="AC42" s="9">
        <f>COUNTIF(L42:Q42,"&lt;=8")</f>
        <v>0</v>
      </c>
      <c r="AD42" s="9">
        <f>MIN(L42:Q42)</f>
        <v>15</v>
      </c>
    </row>
    <row r="43" spans="1:30" x14ac:dyDescent="0.2">
      <c r="A43" s="7" t="s">
        <v>128</v>
      </c>
      <c r="B43" s="6" t="s">
        <v>129</v>
      </c>
      <c r="E43" s="3">
        <f>IF(AA43="","",RANK(AA43,AA:AA))</f>
        <v>18</v>
      </c>
      <c r="F43" s="6"/>
      <c r="G43" s="6">
        <v>31</v>
      </c>
      <c r="H43" s="6">
        <v>45</v>
      </c>
      <c r="I43" s="6">
        <v>23</v>
      </c>
      <c r="J43" s="6"/>
      <c r="K43" s="6"/>
      <c r="L43" s="9" t="str">
        <f>IF(OR($C43&lt;&gt;"",$D43&lt;&gt;"",F43=""),"",F43-SUMPRODUCT(--($C$3:$C$102="P"),--(F$3:F$102&lt;F43),--(F$3:F$102&lt;&gt;""))-SUMPRODUCT(--($D$3:$D$102="P"),--(F$3:F$102&lt;F43),--(F$3:F$102&lt;&gt;"")))</f>
        <v/>
      </c>
      <c r="M43" s="9">
        <f>IF(OR($C43&lt;&gt;"",$D43&lt;&gt;"",G43=""),"",G43-SUMPRODUCT(--($C$3:$C$102="P"),--(G$3:G$102&lt;G43),--(G$3:G$102&lt;&gt;""))-SUMPRODUCT(--($D$3:$D$102="P"),--(G$3:G$102&lt;G43),--(G$3:G$102&lt;&gt;"")))</f>
        <v>29</v>
      </c>
      <c r="N43" s="9">
        <f>IF(OR($C43&lt;&gt;"",$D43&lt;&gt;"",H43=""),"",H43-SUMPRODUCT(--($C$3:$C$102="P"),--(H$3:H$102&lt;H43),--(H$3:H$102&lt;&gt;""))-SUMPRODUCT(--($D$3:$D$102="P"),--(H$3:H$102&lt;H43),--(H$3:H$102&lt;&gt;"")))</f>
        <v>41</v>
      </c>
      <c r="O43" s="9">
        <f>IF(OR($C43&lt;&gt;"",$D43&lt;&gt;"",I43=""),"",I43-SUMPRODUCT(--($C$3:$C$102="P"),--(I$3:I$102&lt;I43),--(I$3:I$102&lt;&gt;""))-SUMPRODUCT(--($D$3:$D$102="P"),--(I$3:I$102&lt;I43),--(I$3:I$102&lt;&gt;"")))</f>
        <v>18</v>
      </c>
      <c r="P43" s="9" t="str">
        <f>IF(OR($C43&lt;&gt;"",$D43&lt;&gt;"",J43=""),"",J43-SUMPRODUCT(--($C$3:$C$102="P"),--(J$3:J$102&lt;J43),--(J$3:J$102&lt;&gt;""))-SUMPRODUCT(--($D$3:$D$102="P"),--(J$3:J$102&lt;J43),--(J$3:J$102&lt;&gt;"")))</f>
        <v/>
      </c>
      <c r="Q43" s="9" t="str">
        <f>IF(OR($C43&lt;&gt;"",$D43&lt;&gt;"",K43=""),"",K43-SUMPRODUCT(--($C$3:$C$102="P"),--(K$3:K$102&lt;K43),--(K$3:K$102&lt;&gt;""))-SUMPRODUCT(--($D$3:$D$102="P"),--(K$3:K$102&lt;K43),--(K$3:K$102&lt;&gt;"")))</f>
        <v/>
      </c>
      <c r="R43" s="9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S43" s="9">
        <f>IF(OR(M43="",M43&gt;30),"",IF(M43=1,60,IF(M43=2,55,IF(M43=3,50,IF(M43=4,44,IF(M43=5,38,IF(M43=6,32,IF(M43=7,28,IF(M43=8,25,IF(M43=9,22,IF(M43=10,21,IF(M43=11,20,IF(M43=12,19,IF(M43=13,18,IF(M43=14,17,IF(M43=15,16,IF(M43=16,15,IF(M43=17,14,IF(M43=18,13,IF(M43=19,12,IF(M43=20,11,IF(M43=21,10,IF(M43=22,9,IF(M43=23,8,IF(M43=24,7,IF(M43=25,6,IF(M43=26,5,IF(M43=27,4,IF(M43=28,3,IF(M43=29,2,IF(M43=30,1)))))))))))))))))))))))))))))))</f>
        <v>2</v>
      </c>
      <c r="T43" s="9" t="str">
        <f>IF(OR(N43="",N43&gt;30),"",IF(N43=1,60,IF(N43=2,55,IF(N43=3,50,IF(N43=4,44,IF(N43=5,38,IF(N43=6,32,IF(N43=7,28,IF(N43=8,25,IF(N43=9,22,IF(N43=10,21,IF(N43=11,20,IF(N43=12,19,IF(N43=13,18,IF(N43=14,17,IF(N43=15,16,IF(N43=16,15,IF(N43=17,14,IF(N43=18,13,IF(N43=19,12,IF(N43=20,11,IF(N43=21,10,IF(N43=22,9,IF(N43=23,8,IF(N43=24,7,IF(N43=25,6,IF(N43=26,5,IF(N43=27,4,IF(N43=28,3,IF(N43=29,2,IF(N43=30,1)))))))))))))))))))))))))))))))</f>
        <v/>
      </c>
      <c r="U43" s="9">
        <f>IF(OR(O43="",O43&gt;30),"",IF(O43=1,60,IF(O43=2,55,IF(O43=3,50,IF(O43=4,44,IF(O43=5,38,IF(O43=6,32,IF(O43=7,28,IF(O43=8,25,IF(O43=9,22,IF(O43=10,21,IF(O43=11,20,IF(O43=12,19,IF(O43=13,18,IF(O43=14,17,IF(O43=15,16,IF(O43=16,15,IF(O43=17,14,IF(O43=18,13,IF(O43=19,12,IF(O43=20,11,IF(O43=21,10,IF(O43=22,9,IF(O43=23,8,IF(O43=24,7,IF(O43=25,6,IF(O43=26,5,IF(O43=27,4,IF(O43=28,3,IF(O43=29,2,IF(O43=30,1)))))))))))))))))))))))))))))))</f>
        <v>13</v>
      </c>
      <c r="V43" s="9" t="str">
        <f>IF(OR(P43="",P43&gt;30),"",IF(P43=1,60,IF(P43=2,55,IF(P43=3,50,IF(P43=4,44,IF(P43=5,38,IF(P43=6,32,IF(P43=7,28,IF(P43=8,25,IF(P43=9,22,IF(P43=10,21,IF(P43=11,20,IF(P43=12,19,IF(P43=13,18,IF(P43=14,17,IF(P43=15,16,IF(P43=16,15,IF(P43=17,14,IF(P43=18,13,IF(P43=19,12,IF(P43=20,11,IF(P43=21,10,IF(P43=22,9,IF(P43=23,8,IF(P43=24,7,IF(P43=25,6,IF(P43=26,5,IF(P43=27,4,IF(P43=28,3,IF(P43=29,2,IF(P43=30,1)))))))))))))))))))))))))))))))</f>
        <v/>
      </c>
      <c r="W43" s="9" t="str">
        <f>IF(OR(Q43="",Q43&gt;30),"",IF(Q43=1,60,IF(Q43=2,55,IF(Q43=3,50,IF(Q43=4,44,IF(Q43=5,38,IF(Q43=6,32,IF(Q43=7,28,IF(Q43=8,25,IF(Q43=9,22,IF(Q43=10,21,IF(Q43=11,20,IF(Q43=12,19,IF(Q43=13,18,IF(Q43=14,17,IF(Q43=15,16,IF(Q43=16,15,IF(Q43=17,14,IF(Q43=18,13,IF(Q43=19,12,IF(Q43=20,11,IF(Q43=21,10,IF(Q43=22,9,IF(Q43=23,8,IF(Q43=24,7,IF(Q43=25,6,IF(Q43=26,5,IF(Q43=27,4,IF(Q43=28,3,IF(Q43=29,2,IF(Q43=30,1)))))))))))))))))))))))))))))))</f>
        <v/>
      </c>
      <c r="X43" s="15">
        <f>IF(A43="","",IF(OR(C43="P",D43="P"),"",IF(IF(COUNT(R43:W43)&lt;5,SUM(R43:W43),IF(COUNT(R43:W43)=5,SUM(R43:W43)-MIN(R43:W43),SUM(R43:W43)-MIN(R43:W43)-SMALL(R43:W43,2)))&gt;0,IF(COUNT(R43:W43)&lt;5,SUM(R43:W43)+(1000-AB43)*10^-4+AC43*10^-5+(1000-AD43)*10^-8,IF(COUNT(R43:W43)=5,SUM(R43:W43)-MIN(R43:W43)+(1000-AB43)*10^-4+AC43*10^-5+(1000-AD43)*10^-8,SUM(R43:W43)-MIN(R43:W43)-SMALL(R43:W43,2)+(1000-AB43)*10^-4+AC43*10^-5+(1000-AD43)*10^-8)),0)))</f>
        <v>15.091209820000001</v>
      </c>
      <c r="Y43" s="2" t="str">
        <f>IF(OR(X43="",X43=0),"",IF(SUMPRODUCT(--(B$3:B$102=B43),--(X$3:X$102&gt;X43),--(X$3:X$102&lt;&gt;"")),"","P"))</f>
        <v>P</v>
      </c>
      <c r="Z43" s="2" t="str">
        <f>IF(X43="","",IF(SUMPRODUCT(--(C$3:C$102="P"),--(B$3:B$102=B43)),"P",""))</f>
        <v/>
      </c>
      <c r="AA43" s="15">
        <f>IF(AND(Y43&lt;&gt;"",OR(Z43="",SUMPRODUCT(--(X$3:X$102&gt;X43),--(Z$3:Z$102="P"),--(Y$3:Y$102="P"))&lt;4)),X43,"")</f>
        <v>15.091209820000001</v>
      </c>
      <c r="AB43" s="9">
        <f>IF(A43="","",IF(OR(C43="P",D43="P"),"",IF(IF(COUNT(L43:Q43)&lt;5,SUM(L43:Q43),IF(COUNT(L43:Q43)=5,SUM(L43:Q43)-MIN(L43:Q43),SUM(L43:Q43)-MIN(L43:Q43)-SMALL(L43:Q43,2)))&gt;0,IF(COUNT(L43:Q43)&lt;5,SUM(L43:Q43),IF(COUNT(L43:Q43)=5,SUM(L43:Q43)-MIN(L43:Q43),SUM(L43:Q43)-MIN(L43:Q43)-SMALL(L43:Q43,2))),0)))</f>
        <v>88</v>
      </c>
      <c r="AC43" s="9">
        <f>COUNTIF(L43:Q43,"&lt;=8")</f>
        <v>0</v>
      </c>
      <c r="AD43" s="9">
        <f>MIN(L43:Q43)</f>
        <v>18</v>
      </c>
    </row>
    <row r="44" spans="1:30" x14ac:dyDescent="0.2">
      <c r="A44" s="7" t="s">
        <v>126</v>
      </c>
      <c r="B44" s="6" t="s">
        <v>24</v>
      </c>
      <c r="E44" s="3" t="str">
        <f>IF(AA44="","",RANK(AA44,AA:AA))</f>
        <v/>
      </c>
      <c r="F44" s="6"/>
      <c r="G44" s="6">
        <v>29</v>
      </c>
      <c r="H44" s="6">
        <v>24</v>
      </c>
      <c r="I44" s="6">
        <v>73</v>
      </c>
      <c r="J44" s="6"/>
      <c r="K44" s="6"/>
      <c r="L44" s="9" t="str">
        <f>IF(OR($C44&lt;&gt;"",$D44&lt;&gt;"",F44=""),"",F44-SUMPRODUCT(--($C$3:$C$102="P"),--(F$3:F$102&lt;F44),--(F$3:F$102&lt;&gt;""))-SUMPRODUCT(--($D$3:$D$102="P"),--(F$3:F$102&lt;F44),--(F$3:F$102&lt;&gt;"")))</f>
        <v/>
      </c>
      <c r="M44" s="9">
        <f>IF(OR($C44&lt;&gt;"",$D44&lt;&gt;"",G44=""),"",G44-SUMPRODUCT(--($C$3:$C$102="P"),--(G$3:G$102&lt;G44),--(G$3:G$102&lt;&gt;""))-SUMPRODUCT(--($D$3:$D$102="P"),--(G$3:G$102&lt;G44),--(G$3:G$102&lt;&gt;"")))</f>
        <v>27</v>
      </c>
      <c r="N44" s="9">
        <f>IF(OR($C44&lt;&gt;"",$D44&lt;&gt;"",H44=""),"",H44-SUMPRODUCT(--($C$3:$C$102="P"),--(H$3:H$102&lt;H44),--(H$3:H$102&lt;&gt;""))-SUMPRODUCT(--($D$3:$D$102="P"),--(H$3:H$102&lt;H44),--(H$3:H$102&lt;&gt;"")))</f>
        <v>20</v>
      </c>
      <c r="O44" s="9">
        <f>IF(OR($C44&lt;&gt;"",$D44&lt;&gt;"",I44=""),"",I44-SUMPRODUCT(--($C$3:$C$102="P"),--(I$3:I$102&lt;I44),--(I$3:I$102&lt;&gt;""))-SUMPRODUCT(--($D$3:$D$102="P"),--(I$3:I$102&lt;I44),--(I$3:I$102&lt;&gt;"")))</f>
        <v>68</v>
      </c>
      <c r="P44" s="9" t="str">
        <f>IF(OR($C44&lt;&gt;"",$D44&lt;&gt;"",J44=""),"",J44-SUMPRODUCT(--($C$3:$C$102="P"),--(J$3:J$102&lt;J44),--(J$3:J$102&lt;&gt;""))-SUMPRODUCT(--($D$3:$D$102="P"),--(J$3:J$102&lt;J44),--(J$3:J$102&lt;&gt;"")))</f>
        <v/>
      </c>
      <c r="Q44" s="9" t="str">
        <f>IF(OR($C44&lt;&gt;"",$D44&lt;&gt;"",K44=""),"",K44-SUMPRODUCT(--($C$3:$C$102="P"),--(K$3:K$102&lt;K44),--(K$3:K$102&lt;&gt;""))-SUMPRODUCT(--($D$3:$D$102="P"),--(K$3:K$102&lt;K44),--(K$3:K$102&lt;&gt;"")))</f>
        <v/>
      </c>
      <c r="R44" s="9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S44" s="9">
        <f>IF(OR(M44="",M44&gt;30),"",IF(M44=1,60,IF(M44=2,55,IF(M44=3,50,IF(M44=4,44,IF(M44=5,38,IF(M44=6,32,IF(M44=7,28,IF(M44=8,25,IF(M44=9,22,IF(M44=10,21,IF(M44=11,20,IF(M44=12,19,IF(M44=13,18,IF(M44=14,17,IF(M44=15,16,IF(M44=16,15,IF(M44=17,14,IF(M44=18,13,IF(M44=19,12,IF(M44=20,11,IF(M44=21,10,IF(M44=22,9,IF(M44=23,8,IF(M44=24,7,IF(M44=25,6,IF(M44=26,5,IF(M44=27,4,IF(M44=28,3,IF(M44=29,2,IF(M44=30,1)))))))))))))))))))))))))))))))</f>
        <v>4</v>
      </c>
      <c r="T44" s="9">
        <f>IF(OR(N44="",N44&gt;30),"",IF(N44=1,60,IF(N44=2,55,IF(N44=3,50,IF(N44=4,44,IF(N44=5,38,IF(N44=6,32,IF(N44=7,28,IF(N44=8,25,IF(N44=9,22,IF(N44=10,21,IF(N44=11,20,IF(N44=12,19,IF(N44=13,18,IF(N44=14,17,IF(N44=15,16,IF(N44=16,15,IF(N44=17,14,IF(N44=18,13,IF(N44=19,12,IF(N44=20,11,IF(N44=21,10,IF(N44=22,9,IF(N44=23,8,IF(N44=24,7,IF(N44=25,6,IF(N44=26,5,IF(N44=27,4,IF(N44=28,3,IF(N44=29,2,IF(N44=30,1)))))))))))))))))))))))))))))))</f>
        <v>11</v>
      </c>
      <c r="U44" s="9" t="str">
        <f>IF(OR(O44="",O44&gt;30),"",IF(O44=1,60,IF(O44=2,55,IF(O44=3,50,IF(O44=4,44,IF(O44=5,38,IF(O44=6,32,IF(O44=7,28,IF(O44=8,25,IF(O44=9,22,IF(O44=10,21,IF(O44=11,20,IF(O44=12,19,IF(O44=13,18,IF(O44=14,17,IF(O44=15,16,IF(O44=16,15,IF(O44=17,14,IF(O44=18,13,IF(O44=19,12,IF(O44=20,11,IF(O44=21,10,IF(O44=22,9,IF(O44=23,8,IF(O44=24,7,IF(O44=25,6,IF(O44=26,5,IF(O44=27,4,IF(O44=28,3,IF(O44=29,2,IF(O44=30,1)))))))))))))))))))))))))))))))</f>
        <v/>
      </c>
      <c r="V44" s="9" t="str">
        <f>IF(OR(P44="",P44&gt;30),"",IF(P44=1,60,IF(P44=2,55,IF(P44=3,50,IF(P44=4,44,IF(P44=5,38,IF(P44=6,32,IF(P44=7,28,IF(P44=8,25,IF(P44=9,22,IF(P44=10,21,IF(P44=11,20,IF(P44=12,19,IF(P44=13,18,IF(P44=14,17,IF(P44=15,16,IF(P44=16,15,IF(P44=17,14,IF(P44=18,13,IF(P44=19,12,IF(P44=20,11,IF(P44=21,10,IF(P44=22,9,IF(P44=23,8,IF(P44=24,7,IF(P44=25,6,IF(P44=26,5,IF(P44=27,4,IF(P44=28,3,IF(P44=29,2,IF(P44=30,1)))))))))))))))))))))))))))))))</f>
        <v/>
      </c>
      <c r="W44" s="9" t="str">
        <f>IF(OR(Q44="",Q44&gt;30),"",IF(Q44=1,60,IF(Q44=2,55,IF(Q44=3,50,IF(Q44=4,44,IF(Q44=5,38,IF(Q44=6,32,IF(Q44=7,28,IF(Q44=8,25,IF(Q44=9,22,IF(Q44=10,21,IF(Q44=11,20,IF(Q44=12,19,IF(Q44=13,18,IF(Q44=14,17,IF(Q44=15,16,IF(Q44=16,15,IF(Q44=17,14,IF(Q44=18,13,IF(Q44=19,12,IF(Q44=20,11,IF(Q44=21,10,IF(Q44=22,9,IF(Q44=23,8,IF(Q44=24,7,IF(Q44=25,6,IF(Q44=26,5,IF(Q44=27,4,IF(Q44=28,3,IF(Q44=29,2,IF(Q44=30,1)))))))))))))))))))))))))))))))</f>
        <v/>
      </c>
      <c r="X44" s="15">
        <f>IF(A44="","",IF(OR(C44="P",D44="P"),"",IF(IF(COUNT(R44:W44)&lt;5,SUM(R44:W44),IF(COUNT(R44:W44)=5,SUM(R44:W44)-MIN(R44:W44),SUM(R44:W44)-MIN(R44:W44)-SMALL(R44:W44,2)))&gt;0,IF(COUNT(R44:W44)&lt;5,SUM(R44:W44)+(1000-AB44)*10^-4+AC44*10^-5+(1000-AD44)*10^-8,IF(COUNT(R44:W44)=5,SUM(R44:W44)-MIN(R44:W44)+(1000-AB44)*10^-4+AC44*10^-5+(1000-AD44)*10^-8,SUM(R44:W44)-MIN(R44:W44)-SMALL(R44:W44,2)+(1000-AB44)*10^-4+AC44*10^-5+(1000-AD44)*10^-8)),0)))</f>
        <v>15.088509800000001</v>
      </c>
      <c r="Y44" s="2" t="str">
        <f>IF(OR(X44="",X44=0),"",IF(SUMPRODUCT(--(B$3:B$102=B44),--(X$3:X$102&gt;X44),--(X$3:X$102&lt;&gt;"")),"","P"))</f>
        <v/>
      </c>
      <c r="Z44" s="2" t="str">
        <f>IF(X44="","",IF(SUMPRODUCT(--(C$3:C$102="P"),--(B$3:B$102=B44)),"P",""))</f>
        <v/>
      </c>
      <c r="AA44" s="15" t="str">
        <f>IF(AND(Y44&lt;&gt;"",OR(Z44="",SUMPRODUCT(--(X$3:X$102&gt;X44),--(Z$3:Z$102="P"),--(Y$3:Y$102="P"))&lt;4)),X44,"")</f>
        <v/>
      </c>
      <c r="AB44" s="9">
        <f>IF(A44="","",IF(OR(C44="P",D44="P"),"",IF(IF(COUNT(L44:Q44)&lt;5,SUM(L44:Q44),IF(COUNT(L44:Q44)=5,SUM(L44:Q44)-MIN(L44:Q44),SUM(L44:Q44)-MIN(L44:Q44)-SMALL(L44:Q44,2)))&gt;0,IF(COUNT(L44:Q44)&lt;5,SUM(L44:Q44),IF(COUNT(L44:Q44)=5,SUM(L44:Q44)-MIN(L44:Q44),SUM(L44:Q44)-MIN(L44:Q44)-SMALL(L44:Q44,2))),0)))</f>
        <v>115</v>
      </c>
      <c r="AC44" s="9">
        <f>COUNTIF(L44:Q44,"&lt;=8")</f>
        <v>0</v>
      </c>
      <c r="AD44" s="9">
        <f>MIN(L44:Q44)</f>
        <v>20</v>
      </c>
    </row>
    <row r="45" spans="1:30" x14ac:dyDescent="0.2">
      <c r="A45" s="7" t="s">
        <v>169</v>
      </c>
      <c r="B45" s="6" t="s">
        <v>82</v>
      </c>
      <c r="E45" s="3"/>
      <c r="F45" s="6">
        <v>54</v>
      </c>
      <c r="G45" s="6"/>
      <c r="H45" s="6">
        <v>21</v>
      </c>
      <c r="I45" s="6">
        <v>64</v>
      </c>
      <c r="J45" s="6"/>
      <c r="K45" s="6"/>
      <c r="L45" s="9">
        <f>IF(OR($C45&lt;&gt;"",$D45&lt;&gt;"",F45=""),"",F45-SUMPRODUCT(--($C$3:$C$102="P"),--(F$3:F$102&lt;F45),--(F$3:F$102&lt;&gt;""))-SUMPRODUCT(--($D$3:$D$102="P"),--(F$3:F$102&lt;F45),--(F$3:F$102&lt;&gt;"")))</f>
        <v>51</v>
      </c>
      <c r="M45" s="9" t="str">
        <f>IF(OR($C45&lt;&gt;"",$D45&lt;&gt;"",G45=""),"",G45-SUMPRODUCT(--($C$3:$C$102="P"),--(G$3:G$102&lt;G45),--(G$3:G$102&lt;&gt;""))-SUMPRODUCT(--($D$3:$D$102="P"),--(G$3:G$102&lt;G45),--(G$3:G$102&lt;&gt;"")))</f>
        <v/>
      </c>
      <c r="N45" s="9">
        <f>IF(OR($C45&lt;&gt;"",$D45&lt;&gt;"",H45=""),"",H45-SUMPRODUCT(--($C$3:$C$102="P"),--(H$3:H$102&lt;H45),--(H$3:H$102&lt;&gt;""))-SUMPRODUCT(--($D$3:$D$102="P"),--(H$3:H$102&lt;H45),--(H$3:H$102&lt;&gt;"")))</f>
        <v>17</v>
      </c>
      <c r="O45" s="9">
        <f>IF(OR($C45&lt;&gt;"",$D45&lt;&gt;"",I45=""),"",I45-SUMPRODUCT(--($C$3:$C$102="P"),--(I$3:I$102&lt;I45),--(I$3:I$102&lt;&gt;""))-SUMPRODUCT(--($D$3:$D$102="P"),--(I$3:I$102&lt;I45),--(I$3:I$102&lt;&gt;"")))</f>
        <v>59</v>
      </c>
      <c r="P45" s="9" t="str">
        <f>IF(OR($C45&lt;&gt;"",$D45&lt;&gt;"",J45=""),"",J45-SUMPRODUCT(--($C$3:$C$102="P"),--(J$3:J$102&lt;J45),--(J$3:J$102&lt;&gt;""))-SUMPRODUCT(--($D$3:$D$102="P"),--(J$3:J$102&lt;J45),--(J$3:J$102&lt;&gt;"")))</f>
        <v/>
      </c>
      <c r="Q45" s="9" t="str">
        <f>IF(OR($C45&lt;&gt;"",$D45&lt;&gt;"",K45=""),"",K45-SUMPRODUCT(--($C$3:$C$102="P"),--(K$3:K$102&lt;K45),--(K$3:K$102&lt;&gt;""))-SUMPRODUCT(--($D$3:$D$102="P"),--(K$3:K$102&lt;K45),--(K$3:K$102&lt;&gt;"")))</f>
        <v/>
      </c>
      <c r="R45" s="9" t="str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/>
      </c>
      <c r="S45" s="9" t="str">
        <f>IF(OR(M45="",M45&gt;30),"",IF(M45=1,60,IF(M45=2,55,IF(M45=3,50,IF(M45=4,44,IF(M45=5,38,IF(M45=6,32,IF(M45=7,28,IF(M45=8,25,IF(M45=9,22,IF(M45=10,21,IF(M45=11,20,IF(M45=12,19,IF(M45=13,18,IF(M45=14,17,IF(M45=15,16,IF(M45=16,15,IF(M45=17,14,IF(M45=18,13,IF(M45=19,12,IF(M45=20,11,IF(M45=21,10,IF(M45=22,9,IF(M45=23,8,IF(M45=24,7,IF(M45=25,6,IF(M45=26,5,IF(M45=27,4,IF(M45=28,3,IF(M45=29,2,IF(M45=30,1)))))))))))))))))))))))))))))))</f>
        <v/>
      </c>
      <c r="T45" s="9">
        <f>IF(OR(N45="",N45&gt;30),"",IF(N45=1,60,IF(N45=2,55,IF(N45=3,50,IF(N45=4,44,IF(N45=5,38,IF(N45=6,32,IF(N45=7,28,IF(N45=8,25,IF(N45=9,22,IF(N45=10,21,IF(N45=11,20,IF(N45=12,19,IF(N45=13,18,IF(N45=14,17,IF(N45=15,16,IF(N45=16,15,IF(N45=17,14,IF(N45=18,13,IF(N45=19,12,IF(N45=20,11,IF(N45=21,10,IF(N45=22,9,IF(N45=23,8,IF(N45=24,7,IF(N45=25,6,IF(N45=26,5,IF(N45=27,4,IF(N45=28,3,IF(N45=29,2,IF(N45=30,1)))))))))))))))))))))))))))))))</f>
        <v>14</v>
      </c>
      <c r="U45" s="9" t="str">
        <f>IF(OR(O45="",O45&gt;30),"",IF(O45=1,60,IF(O45=2,55,IF(O45=3,50,IF(O45=4,44,IF(O45=5,38,IF(O45=6,32,IF(O45=7,28,IF(O45=8,25,IF(O45=9,22,IF(O45=10,21,IF(O45=11,20,IF(O45=12,19,IF(O45=13,18,IF(O45=14,17,IF(O45=15,16,IF(O45=16,15,IF(O45=17,14,IF(O45=18,13,IF(O45=19,12,IF(O45=20,11,IF(O45=21,10,IF(O45=22,9,IF(O45=23,8,IF(O45=24,7,IF(O45=25,6,IF(O45=26,5,IF(O45=27,4,IF(O45=28,3,IF(O45=29,2,IF(O45=30,1)))))))))))))))))))))))))))))))</f>
        <v/>
      </c>
      <c r="V45" s="9" t="str">
        <f>IF(OR(P45="",P45&gt;30),"",IF(P45=1,60,IF(P45=2,55,IF(P45=3,50,IF(P45=4,44,IF(P45=5,38,IF(P45=6,32,IF(P45=7,28,IF(P45=8,25,IF(P45=9,22,IF(P45=10,21,IF(P45=11,20,IF(P45=12,19,IF(P45=13,18,IF(P45=14,17,IF(P45=15,16,IF(P45=16,15,IF(P45=17,14,IF(P45=18,13,IF(P45=19,12,IF(P45=20,11,IF(P45=21,10,IF(P45=22,9,IF(P45=23,8,IF(P45=24,7,IF(P45=25,6,IF(P45=26,5,IF(P45=27,4,IF(P45=28,3,IF(P45=29,2,IF(P45=30,1)))))))))))))))))))))))))))))))</f>
        <v/>
      </c>
      <c r="W45" s="9" t="str">
        <f>IF(OR(Q45="",Q45&gt;30),"",IF(Q45=1,60,IF(Q45=2,55,IF(Q45=3,50,IF(Q45=4,44,IF(Q45=5,38,IF(Q45=6,32,IF(Q45=7,28,IF(Q45=8,25,IF(Q45=9,22,IF(Q45=10,21,IF(Q45=11,20,IF(Q45=12,19,IF(Q45=13,18,IF(Q45=14,17,IF(Q45=15,16,IF(Q45=16,15,IF(Q45=17,14,IF(Q45=18,13,IF(Q45=19,12,IF(Q45=20,11,IF(Q45=21,10,IF(Q45=22,9,IF(Q45=23,8,IF(Q45=24,7,IF(Q45=25,6,IF(Q45=26,5,IF(Q45=27,4,IF(Q45=28,3,IF(Q45=29,2,IF(Q45=30,1)))))))))))))))))))))))))))))))</f>
        <v/>
      </c>
      <c r="X45" s="15">
        <f>IF(A45="","",IF(OR(C45="P",D45="P"),"",IF(IF(COUNT(R45:W45)&lt;5,SUM(R45:W45),IF(COUNT(R45:W45)=5,SUM(R45:W45)-MIN(R45:W45),SUM(R45:W45)-MIN(R45:W45)-SMALL(R45:W45,2)))&gt;0,IF(COUNT(R45:W45)&lt;5,SUM(R45:W45)+(1000-AB45)*10^-4+AC45*10^-5+(1000-AD45)*10^-8,IF(COUNT(R45:W45)=5,SUM(R45:W45)-MIN(R45:W45)+(1000-AB45)*10^-4+AC45*10^-5+(1000-AD45)*10^-8,SUM(R45:W45)-MIN(R45:W45)-SMALL(R45:W45,2)+(1000-AB45)*10^-4+AC45*10^-5+(1000-AD45)*10^-8)),0)))</f>
        <v>14.087309830000001</v>
      </c>
      <c r="Y45" s="2" t="str">
        <f>IF(OR(X45="",X45=0),"",IF(SUMPRODUCT(--(B$3:B$102=B45),--(X$3:X$102&gt;X45),--(X$3:X$102&lt;&gt;"")),"","P"))</f>
        <v/>
      </c>
      <c r="Z45" s="2" t="str">
        <f>IF(X45="","",IF(SUMPRODUCT(--(C$3:C$102="P"),--(B$3:B$102=B45)),"P",""))</f>
        <v/>
      </c>
      <c r="AA45" s="15" t="str">
        <f>IF(AND(Y45&lt;&gt;"",OR(Z45="",SUMPRODUCT(--(X$3:X$102&gt;X45),--(Z$3:Z$102="P"),--(Y$3:Y$102="P"))&lt;4)),X45,"")</f>
        <v/>
      </c>
      <c r="AB45" s="9">
        <f>IF(A45="","",IF(OR(C45="P",D45="P"),"",IF(IF(COUNT(L45:Q45)&lt;5,SUM(L45:Q45),IF(COUNT(L45:Q45)=5,SUM(L45:Q45)-MIN(L45:Q45),SUM(L45:Q45)-MIN(L45:Q45)-SMALL(L45:Q45,2)))&gt;0,IF(COUNT(L45:Q45)&lt;5,SUM(L45:Q45),IF(COUNT(L45:Q45)=5,SUM(L45:Q45)-MIN(L45:Q45),SUM(L45:Q45)-MIN(L45:Q45)-SMALL(L45:Q45,2))),0)))</f>
        <v>127</v>
      </c>
      <c r="AC45" s="9">
        <f>COUNTIF(L45:Q45,"&lt;=8")</f>
        <v>0</v>
      </c>
      <c r="AD45" s="9">
        <f>MIN(L45:Q45)</f>
        <v>17</v>
      </c>
    </row>
    <row r="46" spans="1:30" x14ac:dyDescent="0.2">
      <c r="A46" s="7" t="s">
        <v>118</v>
      </c>
      <c r="B46" s="6" t="s">
        <v>20</v>
      </c>
      <c r="E46" s="3" t="str">
        <f>IF(AA46="","",RANK(AA46,AA:AA))</f>
        <v/>
      </c>
      <c r="F46" s="6"/>
      <c r="G46" s="6">
        <v>19</v>
      </c>
      <c r="H46" s="6">
        <v>62</v>
      </c>
      <c r="I46" s="6">
        <v>86</v>
      </c>
      <c r="J46" s="6"/>
      <c r="K46" s="6"/>
      <c r="L46" s="9" t="str">
        <f>IF(OR($C46&lt;&gt;"",$D46&lt;&gt;"",F46=""),"",F46-SUMPRODUCT(--($C$3:$C$102="P"),--(F$3:F$102&lt;F46),--(F$3:F$102&lt;&gt;""))-SUMPRODUCT(--($D$3:$D$102="P"),--(F$3:F$102&lt;F46),--(F$3:F$102&lt;&gt;"")))</f>
        <v/>
      </c>
      <c r="M46" s="9">
        <f>IF(OR($C46&lt;&gt;"",$D46&lt;&gt;"",G46=""),"",G46-SUMPRODUCT(--($C$3:$C$102="P"),--(G$3:G$102&lt;G46),--(G$3:G$102&lt;&gt;""))-SUMPRODUCT(--($D$3:$D$102="P"),--(G$3:G$102&lt;G46),--(G$3:G$102&lt;&gt;"")))</f>
        <v>17</v>
      </c>
      <c r="N46" s="9">
        <f>IF(OR($C46&lt;&gt;"",$D46&lt;&gt;"",H46=""),"",H46-SUMPRODUCT(--($C$3:$C$102="P"),--(H$3:H$102&lt;H46),--(H$3:H$102&lt;&gt;""))-SUMPRODUCT(--($D$3:$D$102="P"),--(H$3:H$102&lt;H46),--(H$3:H$102&lt;&gt;"")))</f>
        <v>58</v>
      </c>
      <c r="O46" s="9">
        <f>IF(OR($C46&lt;&gt;"",$D46&lt;&gt;"",I46=""),"",I46-SUMPRODUCT(--($C$3:$C$102="P"),--(I$3:I$102&lt;I46),--(I$3:I$102&lt;&gt;""))-SUMPRODUCT(--($D$3:$D$102="P"),--(I$3:I$102&lt;I46),--(I$3:I$102&lt;&gt;"")))</f>
        <v>81</v>
      </c>
      <c r="P46" s="9" t="str">
        <f>IF(OR($C46&lt;&gt;"",$D46&lt;&gt;"",J46=""),"",J46-SUMPRODUCT(--($C$3:$C$102="P"),--(J$3:J$102&lt;J46),--(J$3:J$102&lt;&gt;""))-SUMPRODUCT(--($D$3:$D$102="P"),--(J$3:J$102&lt;J46),--(J$3:J$102&lt;&gt;"")))</f>
        <v/>
      </c>
      <c r="Q46" s="9" t="str">
        <f>IF(OR($C46&lt;&gt;"",$D46&lt;&gt;"",K46=""),"",K46-SUMPRODUCT(--($C$3:$C$102="P"),--(K$3:K$102&lt;K46),--(K$3:K$102&lt;&gt;""))-SUMPRODUCT(--($D$3:$D$102="P"),--(K$3:K$102&lt;K46),--(K$3:K$102&lt;&gt;"")))</f>
        <v/>
      </c>
      <c r="R46" s="9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S46" s="9">
        <f>IF(OR(M46="",M46&gt;30),"",IF(M46=1,60,IF(M46=2,55,IF(M46=3,50,IF(M46=4,44,IF(M46=5,38,IF(M46=6,32,IF(M46=7,28,IF(M46=8,25,IF(M46=9,22,IF(M46=10,21,IF(M46=11,20,IF(M46=12,19,IF(M46=13,18,IF(M46=14,17,IF(M46=15,16,IF(M46=16,15,IF(M46=17,14,IF(M46=18,13,IF(M46=19,12,IF(M46=20,11,IF(M46=21,10,IF(M46=22,9,IF(M46=23,8,IF(M46=24,7,IF(M46=25,6,IF(M46=26,5,IF(M46=27,4,IF(M46=28,3,IF(M46=29,2,IF(M46=30,1)))))))))))))))))))))))))))))))</f>
        <v>14</v>
      </c>
      <c r="T46" s="9" t="str">
        <f>IF(OR(N46="",N46&gt;30),"",IF(N46=1,60,IF(N46=2,55,IF(N46=3,50,IF(N46=4,44,IF(N46=5,38,IF(N46=6,32,IF(N46=7,28,IF(N46=8,25,IF(N46=9,22,IF(N46=10,21,IF(N46=11,20,IF(N46=12,19,IF(N46=13,18,IF(N46=14,17,IF(N46=15,16,IF(N46=16,15,IF(N46=17,14,IF(N46=18,13,IF(N46=19,12,IF(N46=20,11,IF(N46=21,10,IF(N46=22,9,IF(N46=23,8,IF(N46=24,7,IF(N46=25,6,IF(N46=26,5,IF(N46=27,4,IF(N46=28,3,IF(N46=29,2,IF(N46=30,1)))))))))))))))))))))))))))))))</f>
        <v/>
      </c>
      <c r="U46" s="9" t="str">
        <f>IF(OR(O46="",O46&gt;30),"",IF(O46=1,60,IF(O46=2,55,IF(O46=3,50,IF(O46=4,44,IF(O46=5,38,IF(O46=6,32,IF(O46=7,28,IF(O46=8,25,IF(O46=9,22,IF(O46=10,21,IF(O46=11,20,IF(O46=12,19,IF(O46=13,18,IF(O46=14,17,IF(O46=15,16,IF(O46=16,15,IF(O46=17,14,IF(O46=18,13,IF(O46=19,12,IF(O46=20,11,IF(O46=21,10,IF(O46=22,9,IF(O46=23,8,IF(O46=24,7,IF(O46=25,6,IF(O46=26,5,IF(O46=27,4,IF(O46=28,3,IF(O46=29,2,IF(O46=30,1)))))))))))))))))))))))))))))))</f>
        <v/>
      </c>
      <c r="V46" s="9" t="str">
        <f>IF(OR(P46="",P46&gt;30),"",IF(P46=1,60,IF(P46=2,55,IF(P46=3,50,IF(P46=4,44,IF(P46=5,38,IF(P46=6,32,IF(P46=7,28,IF(P46=8,25,IF(P46=9,22,IF(P46=10,21,IF(P46=11,20,IF(P46=12,19,IF(P46=13,18,IF(P46=14,17,IF(P46=15,16,IF(P46=16,15,IF(P46=17,14,IF(P46=18,13,IF(P46=19,12,IF(P46=20,11,IF(P46=21,10,IF(P46=22,9,IF(P46=23,8,IF(P46=24,7,IF(P46=25,6,IF(P46=26,5,IF(P46=27,4,IF(P46=28,3,IF(P46=29,2,IF(P46=30,1)))))))))))))))))))))))))))))))</f>
        <v/>
      </c>
      <c r="W46" s="9" t="str">
        <f>IF(OR(Q46="",Q46&gt;30),"",IF(Q46=1,60,IF(Q46=2,55,IF(Q46=3,50,IF(Q46=4,44,IF(Q46=5,38,IF(Q46=6,32,IF(Q46=7,28,IF(Q46=8,25,IF(Q46=9,22,IF(Q46=10,21,IF(Q46=11,20,IF(Q46=12,19,IF(Q46=13,18,IF(Q46=14,17,IF(Q46=15,16,IF(Q46=16,15,IF(Q46=17,14,IF(Q46=18,13,IF(Q46=19,12,IF(Q46=20,11,IF(Q46=21,10,IF(Q46=22,9,IF(Q46=23,8,IF(Q46=24,7,IF(Q46=25,6,IF(Q46=26,5,IF(Q46=27,4,IF(Q46=28,3,IF(Q46=29,2,IF(Q46=30,1)))))))))))))))))))))))))))))))</f>
        <v/>
      </c>
      <c r="X46" s="15">
        <f>IF(A46="","",IF(OR(C46="P",D46="P"),"",IF(IF(COUNT(R46:W46)&lt;5,SUM(R46:W46),IF(COUNT(R46:W46)=5,SUM(R46:W46)-MIN(R46:W46),SUM(R46:W46)-MIN(R46:W46)-SMALL(R46:W46,2)))&gt;0,IF(COUNT(R46:W46)&lt;5,SUM(R46:W46)+(1000-AB46)*10^-4+AC46*10^-5+(1000-AD46)*10^-8,IF(COUNT(R46:W46)=5,SUM(R46:W46)-MIN(R46:W46)+(1000-AB46)*10^-4+AC46*10^-5+(1000-AD46)*10^-8,SUM(R46:W46)-MIN(R46:W46)-SMALL(R46:W46,2)+(1000-AB46)*10^-4+AC46*10^-5+(1000-AD46)*10^-8)),0)))</f>
        <v>14.08440983</v>
      </c>
      <c r="Y46" s="2" t="str">
        <f>IF(OR(X46="",X46=0),"",IF(SUMPRODUCT(--(B$3:B$102=B46),--(X$3:X$102&gt;X46),--(X$3:X$102&lt;&gt;"")),"","P"))</f>
        <v/>
      </c>
      <c r="Z46" s="2" t="str">
        <f>IF(X46="","",IF(SUMPRODUCT(--(C$3:C$102="P"),--(B$3:B$102=B46)),"P",""))</f>
        <v>P</v>
      </c>
      <c r="AA46" s="15" t="str">
        <f>IF(AND(Y46&lt;&gt;"",OR(Z46="",SUMPRODUCT(--(X$3:X$102&gt;X46),--(Z$3:Z$102="P"),--(Y$3:Y$102="P"))&lt;4)),X46,"")</f>
        <v/>
      </c>
      <c r="AB46" s="9">
        <f>IF(A46="","",IF(OR(C46="P",D46="P"),"",IF(IF(COUNT(L46:Q46)&lt;5,SUM(L46:Q46),IF(COUNT(L46:Q46)=5,SUM(L46:Q46)-MIN(L46:Q46),SUM(L46:Q46)-MIN(L46:Q46)-SMALL(L46:Q46,2)))&gt;0,IF(COUNT(L46:Q46)&lt;5,SUM(L46:Q46),IF(COUNT(L46:Q46)=5,SUM(L46:Q46)-MIN(L46:Q46),SUM(L46:Q46)-MIN(L46:Q46)-SMALL(L46:Q46,2))),0)))</f>
        <v>156</v>
      </c>
      <c r="AC46" s="9">
        <f>COUNTIF(L46:Q46,"&lt;=8")</f>
        <v>0</v>
      </c>
      <c r="AD46" s="9">
        <f>MIN(L46:Q46)</f>
        <v>17</v>
      </c>
    </row>
    <row r="47" spans="1:30" x14ac:dyDescent="0.2">
      <c r="A47" s="7" t="s">
        <v>174</v>
      </c>
      <c r="B47" s="6" t="s">
        <v>164</v>
      </c>
      <c r="E47" s="3"/>
      <c r="F47" s="6">
        <v>75</v>
      </c>
      <c r="G47" s="6">
        <v>83</v>
      </c>
      <c r="H47" s="6">
        <v>32</v>
      </c>
      <c r="I47" s="6">
        <v>25</v>
      </c>
      <c r="J47" s="6"/>
      <c r="K47" s="6"/>
      <c r="L47" s="9">
        <f>IF(OR($C47&lt;&gt;"",$D47&lt;&gt;"",F47=""),"",F47-SUMPRODUCT(--($C$3:$C$102="P"),--(F$3:F$102&lt;F47),--(F$3:F$102&lt;&gt;""))-SUMPRODUCT(--($D$3:$D$102="P"),--(F$3:F$102&lt;F47),--(F$3:F$102&lt;&gt;"")))</f>
        <v>70</v>
      </c>
      <c r="M47" s="9">
        <f>IF(OR($C47&lt;&gt;"",$D47&lt;&gt;"",G47=""),"",G47-SUMPRODUCT(--($C$3:$C$102="P"),--(G$3:G$102&lt;G47),--(G$3:G$102&lt;&gt;""))-SUMPRODUCT(--($D$3:$D$102="P"),--(G$3:G$102&lt;G47),--(G$3:G$102&lt;&gt;"")))</f>
        <v>79</v>
      </c>
      <c r="N47" s="9">
        <f>IF(OR($C47&lt;&gt;"",$D47&lt;&gt;"",H47=""),"",H47-SUMPRODUCT(--($C$3:$C$102="P"),--(H$3:H$102&lt;H47),--(H$3:H$102&lt;&gt;""))-SUMPRODUCT(--($D$3:$D$102="P"),--(H$3:H$102&lt;H47),--(H$3:H$102&lt;&gt;"")))</f>
        <v>28</v>
      </c>
      <c r="O47" s="9">
        <f>IF(OR($C47&lt;&gt;"",$D47&lt;&gt;"",I47=""),"",I47-SUMPRODUCT(--($C$3:$C$102="P"),--(I$3:I$102&lt;I47),--(I$3:I$102&lt;&gt;""))-SUMPRODUCT(--($D$3:$D$102="P"),--(I$3:I$102&lt;I47),--(I$3:I$102&lt;&gt;"")))</f>
        <v>20</v>
      </c>
      <c r="P47" s="9" t="str">
        <f>IF(OR($C47&lt;&gt;"",$D47&lt;&gt;"",J47=""),"",J47-SUMPRODUCT(--($C$3:$C$102="P"),--(J$3:J$102&lt;J47),--(J$3:J$102&lt;&gt;""))-SUMPRODUCT(--($D$3:$D$102="P"),--(J$3:J$102&lt;J47),--(J$3:J$102&lt;&gt;"")))</f>
        <v/>
      </c>
      <c r="Q47" s="9" t="str">
        <f>IF(OR($C47&lt;&gt;"",$D47&lt;&gt;"",K47=""),"",K47-SUMPRODUCT(--($C$3:$C$102="P"),--(K$3:K$102&lt;K47),--(K$3:K$102&lt;&gt;""))-SUMPRODUCT(--($D$3:$D$102="P"),--(K$3:K$102&lt;K47),--(K$3:K$102&lt;&gt;"")))</f>
        <v/>
      </c>
      <c r="R47" s="9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S47" s="9" t="str">
        <f>IF(OR(M47="",M47&gt;30),"",IF(M47=1,60,IF(M47=2,55,IF(M47=3,50,IF(M47=4,44,IF(M47=5,38,IF(M47=6,32,IF(M47=7,28,IF(M47=8,25,IF(M47=9,22,IF(M47=10,21,IF(M47=11,20,IF(M47=12,19,IF(M47=13,18,IF(M47=14,17,IF(M47=15,16,IF(M47=16,15,IF(M47=17,14,IF(M47=18,13,IF(M47=19,12,IF(M47=20,11,IF(M47=21,10,IF(M47=22,9,IF(M47=23,8,IF(M47=24,7,IF(M47=25,6,IF(M47=26,5,IF(M47=27,4,IF(M47=28,3,IF(M47=29,2,IF(M47=30,1)))))))))))))))))))))))))))))))</f>
        <v/>
      </c>
      <c r="T47" s="9">
        <f>IF(OR(N47="",N47&gt;30),"",IF(N47=1,60,IF(N47=2,55,IF(N47=3,50,IF(N47=4,44,IF(N47=5,38,IF(N47=6,32,IF(N47=7,28,IF(N47=8,25,IF(N47=9,22,IF(N47=10,21,IF(N47=11,20,IF(N47=12,19,IF(N47=13,18,IF(N47=14,17,IF(N47=15,16,IF(N47=16,15,IF(N47=17,14,IF(N47=18,13,IF(N47=19,12,IF(N47=20,11,IF(N47=21,10,IF(N47=22,9,IF(N47=23,8,IF(N47=24,7,IF(N47=25,6,IF(N47=26,5,IF(N47=27,4,IF(N47=28,3,IF(N47=29,2,IF(N47=30,1)))))))))))))))))))))))))))))))</f>
        <v>3</v>
      </c>
      <c r="U47" s="9">
        <f>IF(OR(O47="",O47&gt;30),"",IF(O47=1,60,IF(O47=2,55,IF(O47=3,50,IF(O47=4,44,IF(O47=5,38,IF(O47=6,32,IF(O47=7,28,IF(O47=8,25,IF(O47=9,22,IF(O47=10,21,IF(O47=11,20,IF(O47=12,19,IF(O47=13,18,IF(O47=14,17,IF(O47=15,16,IF(O47=16,15,IF(O47=17,14,IF(O47=18,13,IF(O47=19,12,IF(O47=20,11,IF(O47=21,10,IF(O47=22,9,IF(O47=23,8,IF(O47=24,7,IF(O47=25,6,IF(O47=26,5,IF(O47=27,4,IF(O47=28,3,IF(O47=29,2,IF(O47=30,1)))))))))))))))))))))))))))))))</f>
        <v>11</v>
      </c>
      <c r="V47" s="9" t="str">
        <f>IF(OR(P47="",P47&gt;30),"",IF(P47=1,60,IF(P47=2,55,IF(P47=3,50,IF(P47=4,44,IF(P47=5,38,IF(P47=6,32,IF(P47=7,28,IF(P47=8,25,IF(P47=9,22,IF(P47=10,21,IF(P47=11,20,IF(P47=12,19,IF(P47=13,18,IF(P47=14,17,IF(P47=15,16,IF(P47=16,15,IF(P47=17,14,IF(P47=18,13,IF(P47=19,12,IF(P47=20,11,IF(P47=21,10,IF(P47=22,9,IF(P47=23,8,IF(P47=24,7,IF(P47=25,6,IF(P47=26,5,IF(P47=27,4,IF(P47=28,3,IF(P47=29,2,IF(P47=30,1)))))))))))))))))))))))))))))))</f>
        <v/>
      </c>
      <c r="W47" s="9" t="str">
        <f>IF(OR(Q47="",Q47&gt;30),"",IF(Q47=1,60,IF(Q47=2,55,IF(Q47=3,50,IF(Q47=4,44,IF(Q47=5,38,IF(Q47=6,32,IF(Q47=7,28,IF(Q47=8,25,IF(Q47=9,22,IF(Q47=10,21,IF(Q47=11,20,IF(Q47=12,19,IF(Q47=13,18,IF(Q47=14,17,IF(Q47=15,16,IF(Q47=16,15,IF(Q47=17,14,IF(Q47=18,13,IF(Q47=19,12,IF(Q47=20,11,IF(Q47=21,10,IF(Q47=22,9,IF(Q47=23,8,IF(Q47=24,7,IF(Q47=25,6,IF(Q47=26,5,IF(Q47=27,4,IF(Q47=28,3,IF(Q47=29,2,IF(Q47=30,1)))))))))))))))))))))))))))))))</f>
        <v/>
      </c>
      <c r="X47" s="15">
        <f>IF(A47="","",IF(OR(C47="P",D47="P"),"",IF(IF(COUNT(R47:W47)&lt;5,SUM(R47:W47),IF(COUNT(R47:W47)=5,SUM(R47:W47)-MIN(R47:W47),SUM(R47:W47)-MIN(R47:W47)-SMALL(R47:W47,2)))&gt;0,IF(COUNT(R47:W47)&lt;5,SUM(R47:W47)+(1000-AB47)*10^-4+AC47*10^-5+(1000-AD47)*10^-8,IF(COUNT(R47:W47)=5,SUM(R47:W47)-MIN(R47:W47)+(1000-AB47)*10^-4+AC47*10^-5+(1000-AD47)*10^-8,SUM(R47:W47)-MIN(R47:W47)-SMALL(R47:W47,2)+(1000-AB47)*10^-4+AC47*10^-5+(1000-AD47)*10^-8)),0)))</f>
        <v>14.0803098</v>
      </c>
      <c r="Y47" s="2" t="str">
        <f>IF(OR(X47="",X47=0),"",IF(SUMPRODUCT(--(B$3:B$102=B47),--(X$3:X$102&gt;X47),--(X$3:X$102&lt;&gt;"")),"","P"))</f>
        <v>P</v>
      </c>
      <c r="Z47" s="2" t="str">
        <f>IF(X47="","",IF(SUMPRODUCT(--(C$3:C$102="P"),--(B$3:B$102=B47)),"P",""))</f>
        <v/>
      </c>
      <c r="AA47" s="15">
        <f>IF(AND(Y47&lt;&gt;"",OR(Z47="",SUMPRODUCT(--(X$3:X$102&gt;X47),--(Z$3:Z$102="P"),--(Y$3:Y$102="P"))&lt;4)),X47,"")</f>
        <v>14.0803098</v>
      </c>
      <c r="AB47" s="9">
        <f>IF(A47="","",IF(OR(C47="P",D47="P"),"",IF(IF(COUNT(L47:Q47)&lt;5,SUM(L47:Q47),IF(COUNT(L47:Q47)=5,SUM(L47:Q47)-MIN(L47:Q47),SUM(L47:Q47)-MIN(L47:Q47)-SMALL(L47:Q47,2)))&gt;0,IF(COUNT(L47:Q47)&lt;5,SUM(L47:Q47),IF(COUNT(L47:Q47)=5,SUM(L47:Q47)-MIN(L47:Q47),SUM(L47:Q47)-MIN(L47:Q47)-SMALL(L47:Q47,2))),0)))</f>
        <v>197</v>
      </c>
      <c r="AC47" s="9">
        <f>COUNTIF(L47:Q47,"&lt;=8")</f>
        <v>0</v>
      </c>
      <c r="AD47" s="9">
        <f>MIN(L47:Q47)</f>
        <v>20</v>
      </c>
    </row>
    <row r="48" spans="1:30" x14ac:dyDescent="0.2">
      <c r="A48" s="7" t="s">
        <v>119</v>
      </c>
      <c r="B48" s="6" t="s">
        <v>57</v>
      </c>
      <c r="E48" s="3" t="str">
        <f>IF(AA48="","",RANK(AA48,AA:AA))</f>
        <v/>
      </c>
      <c r="F48" s="6">
        <v>51</v>
      </c>
      <c r="G48" s="6">
        <v>20</v>
      </c>
      <c r="H48" s="6"/>
      <c r="I48" s="6"/>
      <c r="J48" s="6"/>
      <c r="K48" s="6"/>
      <c r="L48" s="9">
        <f>IF(OR($C48&lt;&gt;"",$D48&lt;&gt;"",F48=""),"",F48-SUMPRODUCT(--($C$3:$C$102="P"),--(F$3:F$102&lt;F48),--(F$3:F$102&lt;&gt;""))-SUMPRODUCT(--($D$3:$D$102="P"),--(F$3:F$102&lt;F48),--(F$3:F$102&lt;&gt;"")))</f>
        <v>48</v>
      </c>
      <c r="M48" s="9">
        <f>IF(OR($C48&lt;&gt;"",$D48&lt;&gt;"",G48=""),"",G48-SUMPRODUCT(--($C$3:$C$102="P"),--(G$3:G$102&lt;G48),--(G$3:G$102&lt;&gt;""))-SUMPRODUCT(--($D$3:$D$102="P"),--(G$3:G$102&lt;G48),--(G$3:G$102&lt;&gt;"")))</f>
        <v>18</v>
      </c>
      <c r="N48" s="9" t="str">
        <f>IF(OR($C48&lt;&gt;"",$D48&lt;&gt;"",H48=""),"",H48-SUMPRODUCT(--($C$3:$C$102="P"),--(H$3:H$102&lt;H48),--(H$3:H$102&lt;&gt;""))-SUMPRODUCT(--($D$3:$D$102="P"),--(H$3:H$102&lt;H48),--(H$3:H$102&lt;&gt;"")))</f>
        <v/>
      </c>
      <c r="O48" s="9" t="str">
        <f>IF(OR($C48&lt;&gt;"",$D48&lt;&gt;"",I48=""),"",I48-SUMPRODUCT(--($C$3:$C$102="P"),--(I$3:I$102&lt;I48),--(I$3:I$102&lt;&gt;""))-SUMPRODUCT(--($D$3:$D$102="P"),--(I$3:I$102&lt;I48),--(I$3:I$102&lt;&gt;"")))</f>
        <v/>
      </c>
      <c r="P48" s="9" t="str">
        <f>IF(OR($C48&lt;&gt;"",$D48&lt;&gt;"",J48=""),"",J48-SUMPRODUCT(--($C$3:$C$102="P"),--(J$3:J$102&lt;J48),--(J$3:J$102&lt;&gt;""))-SUMPRODUCT(--($D$3:$D$102="P"),--(J$3:J$102&lt;J48),--(J$3:J$102&lt;&gt;"")))</f>
        <v/>
      </c>
      <c r="Q48" s="9" t="str">
        <f>IF(OR($C48&lt;&gt;"",$D48&lt;&gt;"",K48=""),"",K48-SUMPRODUCT(--($C$3:$C$102="P"),--(K$3:K$102&lt;K48),--(K$3:K$102&lt;&gt;""))-SUMPRODUCT(--($D$3:$D$102="P"),--(K$3:K$102&lt;K48),--(K$3:K$102&lt;&gt;"")))</f>
        <v/>
      </c>
      <c r="R48" s="9" t="str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/>
      </c>
      <c r="S48" s="9">
        <f>IF(OR(M48="",M48&gt;30),"",IF(M48=1,60,IF(M48=2,55,IF(M48=3,50,IF(M48=4,44,IF(M48=5,38,IF(M48=6,32,IF(M48=7,28,IF(M48=8,25,IF(M48=9,22,IF(M48=10,21,IF(M48=11,20,IF(M48=12,19,IF(M48=13,18,IF(M48=14,17,IF(M48=15,16,IF(M48=16,15,IF(M48=17,14,IF(M48=18,13,IF(M48=19,12,IF(M48=20,11,IF(M48=21,10,IF(M48=22,9,IF(M48=23,8,IF(M48=24,7,IF(M48=25,6,IF(M48=26,5,IF(M48=27,4,IF(M48=28,3,IF(M48=29,2,IF(M48=30,1)))))))))))))))))))))))))))))))</f>
        <v>13</v>
      </c>
      <c r="T48" s="9" t="str">
        <f>IF(OR(N48="",N48&gt;30),"",IF(N48=1,60,IF(N48=2,55,IF(N48=3,50,IF(N48=4,44,IF(N48=5,38,IF(N48=6,32,IF(N48=7,28,IF(N48=8,25,IF(N48=9,22,IF(N48=10,21,IF(N48=11,20,IF(N48=12,19,IF(N48=13,18,IF(N48=14,17,IF(N48=15,16,IF(N48=16,15,IF(N48=17,14,IF(N48=18,13,IF(N48=19,12,IF(N48=20,11,IF(N48=21,10,IF(N48=22,9,IF(N48=23,8,IF(N48=24,7,IF(N48=25,6,IF(N48=26,5,IF(N48=27,4,IF(N48=28,3,IF(N48=29,2,IF(N48=30,1)))))))))))))))))))))))))))))))</f>
        <v/>
      </c>
      <c r="U48" s="9" t="str">
        <f>IF(OR(O48="",O48&gt;30),"",IF(O48=1,60,IF(O48=2,55,IF(O48=3,50,IF(O48=4,44,IF(O48=5,38,IF(O48=6,32,IF(O48=7,28,IF(O48=8,25,IF(O48=9,22,IF(O48=10,21,IF(O48=11,20,IF(O48=12,19,IF(O48=13,18,IF(O48=14,17,IF(O48=15,16,IF(O48=16,15,IF(O48=17,14,IF(O48=18,13,IF(O48=19,12,IF(O48=20,11,IF(O48=21,10,IF(O48=22,9,IF(O48=23,8,IF(O48=24,7,IF(O48=25,6,IF(O48=26,5,IF(O48=27,4,IF(O48=28,3,IF(O48=29,2,IF(O48=30,1)))))))))))))))))))))))))))))))</f>
        <v/>
      </c>
      <c r="V48" s="9" t="str">
        <f>IF(OR(P48="",P48&gt;30),"",IF(P48=1,60,IF(P48=2,55,IF(P48=3,50,IF(P48=4,44,IF(P48=5,38,IF(P48=6,32,IF(P48=7,28,IF(P48=8,25,IF(P48=9,22,IF(P48=10,21,IF(P48=11,20,IF(P48=12,19,IF(P48=13,18,IF(P48=14,17,IF(P48=15,16,IF(P48=16,15,IF(P48=17,14,IF(P48=18,13,IF(P48=19,12,IF(P48=20,11,IF(P48=21,10,IF(P48=22,9,IF(P48=23,8,IF(P48=24,7,IF(P48=25,6,IF(P48=26,5,IF(P48=27,4,IF(P48=28,3,IF(P48=29,2,IF(P48=30,1)))))))))))))))))))))))))))))))</f>
        <v/>
      </c>
      <c r="W48" s="9" t="str">
        <f>IF(OR(Q48="",Q48&gt;30),"",IF(Q48=1,60,IF(Q48=2,55,IF(Q48=3,50,IF(Q48=4,44,IF(Q48=5,38,IF(Q48=6,32,IF(Q48=7,28,IF(Q48=8,25,IF(Q48=9,22,IF(Q48=10,21,IF(Q48=11,20,IF(Q48=12,19,IF(Q48=13,18,IF(Q48=14,17,IF(Q48=15,16,IF(Q48=16,15,IF(Q48=17,14,IF(Q48=18,13,IF(Q48=19,12,IF(Q48=20,11,IF(Q48=21,10,IF(Q48=22,9,IF(Q48=23,8,IF(Q48=24,7,IF(Q48=25,6,IF(Q48=26,5,IF(Q48=27,4,IF(Q48=28,3,IF(Q48=29,2,IF(Q48=30,1)))))))))))))))))))))))))))))))</f>
        <v/>
      </c>
      <c r="X48" s="15">
        <f>IF(A48="","",IF(OR(C48="P",D48="P"),"",IF(IF(COUNT(R48:W48)&lt;5,SUM(R48:W48),IF(COUNT(R48:W48)=5,SUM(R48:W48)-MIN(R48:W48),SUM(R48:W48)-MIN(R48:W48)-SMALL(R48:W48,2)))&gt;0,IF(COUNT(R48:W48)&lt;5,SUM(R48:W48)+(1000-AB48)*10^-4+AC48*10^-5+(1000-AD48)*10^-8,IF(COUNT(R48:W48)=5,SUM(R48:W48)-MIN(R48:W48)+(1000-AB48)*10^-4+AC48*10^-5+(1000-AD48)*10^-8,SUM(R48:W48)-MIN(R48:W48)-SMALL(R48:W48,2)+(1000-AB48)*10^-4+AC48*10^-5+(1000-AD48)*10^-8)),0)))</f>
        <v>13.093409820000002</v>
      </c>
      <c r="Y48" s="2" t="str">
        <f>IF(OR(X48="",X48=0),"",IF(SUMPRODUCT(--(B$3:B$102=B48),--(X$3:X$102&gt;X48),--(X$3:X$102&lt;&gt;"")),"","P"))</f>
        <v/>
      </c>
      <c r="Z48" s="2" t="str">
        <f>IF(X48="","",IF(SUMPRODUCT(--(C$3:C$102="P"),--(B$3:B$102=B48)),"P",""))</f>
        <v/>
      </c>
      <c r="AA48" s="15" t="str">
        <f>IF(AND(Y48&lt;&gt;"",OR(Z48="",SUMPRODUCT(--(X$3:X$102&gt;X48),--(Z$3:Z$102="P"),--(Y$3:Y$102="P"))&lt;4)),X48,"")</f>
        <v/>
      </c>
      <c r="AB48" s="9">
        <f>IF(A48="","",IF(OR(C48="P",D48="P"),"",IF(IF(COUNT(L48:Q48)&lt;5,SUM(L48:Q48),IF(COUNT(L48:Q48)=5,SUM(L48:Q48)-MIN(L48:Q48),SUM(L48:Q48)-MIN(L48:Q48)-SMALL(L48:Q48,2)))&gt;0,IF(COUNT(L48:Q48)&lt;5,SUM(L48:Q48),IF(COUNT(L48:Q48)=5,SUM(L48:Q48)-MIN(L48:Q48),SUM(L48:Q48)-MIN(L48:Q48)-SMALL(L48:Q48,2))),0)))</f>
        <v>66</v>
      </c>
      <c r="AC48" s="9">
        <f>COUNTIF(L48:Q48,"&lt;=8")</f>
        <v>0</v>
      </c>
      <c r="AD48" s="9">
        <f>MIN(L48:Q48)</f>
        <v>18</v>
      </c>
    </row>
    <row r="49" spans="1:30" x14ac:dyDescent="0.2">
      <c r="A49" s="7" t="s">
        <v>123</v>
      </c>
      <c r="B49" s="6" t="s">
        <v>22</v>
      </c>
      <c r="E49" s="3" t="str">
        <f>IF(AA49="","",RANK(AA49,AA:AA))</f>
        <v/>
      </c>
      <c r="F49" s="6"/>
      <c r="G49" s="6">
        <v>26</v>
      </c>
      <c r="H49" s="6"/>
      <c r="I49" s="6">
        <v>32</v>
      </c>
      <c r="J49" s="6"/>
      <c r="K49" s="6"/>
      <c r="L49" s="9" t="str">
        <f>IF(OR($C49&lt;&gt;"",$D49&lt;&gt;"",F49=""),"",F49-SUMPRODUCT(--($C$3:$C$102="P"),--(F$3:F$102&lt;F49),--(F$3:F$102&lt;&gt;""))-SUMPRODUCT(--($D$3:$D$102="P"),--(F$3:F$102&lt;F49),--(F$3:F$102&lt;&gt;"")))</f>
        <v/>
      </c>
      <c r="M49" s="9">
        <f>IF(OR($C49&lt;&gt;"",$D49&lt;&gt;"",G49=""),"",G49-SUMPRODUCT(--($C$3:$C$102="P"),--(G$3:G$102&lt;G49),--(G$3:G$102&lt;&gt;""))-SUMPRODUCT(--($D$3:$D$102="P"),--(G$3:G$102&lt;G49),--(G$3:G$102&lt;&gt;"")))</f>
        <v>24</v>
      </c>
      <c r="N49" s="9" t="str">
        <f>IF(OR($C49&lt;&gt;"",$D49&lt;&gt;"",H49=""),"",H49-SUMPRODUCT(--($C$3:$C$102="P"),--(H$3:H$102&lt;H49),--(H$3:H$102&lt;&gt;""))-SUMPRODUCT(--($D$3:$D$102="P"),--(H$3:H$102&lt;H49),--(H$3:H$102&lt;&gt;"")))</f>
        <v/>
      </c>
      <c r="O49" s="9">
        <f>IF(OR($C49&lt;&gt;"",$D49&lt;&gt;"",I49=""),"",I49-SUMPRODUCT(--($C$3:$C$102="P"),--(I$3:I$102&lt;I49),--(I$3:I$102&lt;&gt;""))-SUMPRODUCT(--($D$3:$D$102="P"),--(I$3:I$102&lt;I49),--(I$3:I$102&lt;&gt;"")))</f>
        <v>27</v>
      </c>
      <c r="P49" s="9" t="str">
        <f>IF(OR($C49&lt;&gt;"",$D49&lt;&gt;"",J49=""),"",J49-SUMPRODUCT(--($C$3:$C$102="P"),--(J$3:J$102&lt;J49),--(J$3:J$102&lt;&gt;""))-SUMPRODUCT(--($D$3:$D$102="P"),--(J$3:J$102&lt;J49),--(J$3:J$102&lt;&gt;"")))</f>
        <v/>
      </c>
      <c r="Q49" s="9" t="str">
        <f>IF(OR($C49&lt;&gt;"",$D49&lt;&gt;"",K49=""),"",K49-SUMPRODUCT(--($C$3:$C$102="P"),--(K$3:K$102&lt;K49),--(K$3:K$102&lt;&gt;""))-SUMPRODUCT(--($D$3:$D$102="P"),--(K$3:K$102&lt;K49),--(K$3:K$102&lt;&gt;"")))</f>
        <v/>
      </c>
      <c r="R49" s="9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S49" s="9">
        <f>IF(OR(M49="",M49&gt;30),"",IF(M49=1,60,IF(M49=2,55,IF(M49=3,50,IF(M49=4,44,IF(M49=5,38,IF(M49=6,32,IF(M49=7,28,IF(M49=8,25,IF(M49=9,22,IF(M49=10,21,IF(M49=11,20,IF(M49=12,19,IF(M49=13,18,IF(M49=14,17,IF(M49=15,16,IF(M49=16,15,IF(M49=17,14,IF(M49=18,13,IF(M49=19,12,IF(M49=20,11,IF(M49=21,10,IF(M49=22,9,IF(M49=23,8,IF(M49=24,7,IF(M49=25,6,IF(M49=26,5,IF(M49=27,4,IF(M49=28,3,IF(M49=29,2,IF(M49=30,1)))))))))))))))))))))))))))))))</f>
        <v>7</v>
      </c>
      <c r="T49" s="9" t="str">
        <f>IF(OR(N49="",N49&gt;30),"",IF(N49=1,60,IF(N49=2,55,IF(N49=3,50,IF(N49=4,44,IF(N49=5,38,IF(N49=6,32,IF(N49=7,28,IF(N49=8,25,IF(N49=9,22,IF(N49=10,21,IF(N49=11,20,IF(N49=12,19,IF(N49=13,18,IF(N49=14,17,IF(N49=15,16,IF(N49=16,15,IF(N49=17,14,IF(N49=18,13,IF(N49=19,12,IF(N49=20,11,IF(N49=21,10,IF(N49=22,9,IF(N49=23,8,IF(N49=24,7,IF(N49=25,6,IF(N49=26,5,IF(N49=27,4,IF(N49=28,3,IF(N49=29,2,IF(N49=30,1)))))))))))))))))))))))))))))))</f>
        <v/>
      </c>
      <c r="U49" s="9">
        <f>IF(OR(O49="",O49&gt;30),"",IF(O49=1,60,IF(O49=2,55,IF(O49=3,50,IF(O49=4,44,IF(O49=5,38,IF(O49=6,32,IF(O49=7,28,IF(O49=8,25,IF(O49=9,22,IF(O49=10,21,IF(O49=11,20,IF(O49=12,19,IF(O49=13,18,IF(O49=14,17,IF(O49=15,16,IF(O49=16,15,IF(O49=17,14,IF(O49=18,13,IF(O49=19,12,IF(O49=20,11,IF(O49=21,10,IF(O49=22,9,IF(O49=23,8,IF(O49=24,7,IF(O49=25,6,IF(O49=26,5,IF(O49=27,4,IF(O49=28,3,IF(O49=29,2,IF(O49=30,1)))))))))))))))))))))))))))))))</f>
        <v>4</v>
      </c>
      <c r="V49" s="9" t="str">
        <f>IF(OR(P49="",P49&gt;30),"",IF(P49=1,60,IF(P49=2,55,IF(P49=3,50,IF(P49=4,44,IF(P49=5,38,IF(P49=6,32,IF(P49=7,28,IF(P49=8,25,IF(P49=9,22,IF(P49=10,21,IF(P49=11,20,IF(P49=12,19,IF(P49=13,18,IF(P49=14,17,IF(P49=15,16,IF(P49=16,15,IF(P49=17,14,IF(P49=18,13,IF(P49=19,12,IF(P49=20,11,IF(P49=21,10,IF(P49=22,9,IF(P49=23,8,IF(P49=24,7,IF(P49=25,6,IF(P49=26,5,IF(P49=27,4,IF(P49=28,3,IF(P49=29,2,IF(P49=30,1)))))))))))))))))))))))))))))))</f>
        <v/>
      </c>
      <c r="W49" s="9" t="str">
        <f>IF(OR(Q49="",Q49&gt;30),"",IF(Q49=1,60,IF(Q49=2,55,IF(Q49=3,50,IF(Q49=4,44,IF(Q49=5,38,IF(Q49=6,32,IF(Q49=7,28,IF(Q49=8,25,IF(Q49=9,22,IF(Q49=10,21,IF(Q49=11,20,IF(Q49=12,19,IF(Q49=13,18,IF(Q49=14,17,IF(Q49=15,16,IF(Q49=16,15,IF(Q49=17,14,IF(Q49=18,13,IF(Q49=19,12,IF(Q49=20,11,IF(Q49=21,10,IF(Q49=22,9,IF(Q49=23,8,IF(Q49=24,7,IF(Q49=25,6,IF(Q49=26,5,IF(Q49=27,4,IF(Q49=28,3,IF(Q49=29,2,IF(Q49=30,1)))))))))))))))))))))))))))))))</f>
        <v/>
      </c>
      <c r="X49" s="15">
        <f>IF(A49="","",IF(OR(C49="P",D49="P"),"",IF(IF(COUNT(R49:W49)&lt;5,SUM(R49:W49),IF(COUNT(R49:W49)=5,SUM(R49:W49)-MIN(R49:W49),SUM(R49:W49)-MIN(R49:W49)-SMALL(R49:W49,2)))&gt;0,IF(COUNT(R49:W49)&lt;5,SUM(R49:W49)+(1000-AB49)*10^-4+AC49*10^-5+(1000-AD49)*10^-8,IF(COUNT(R49:W49)=5,SUM(R49:W49)-MIN(R49:W49)+(1000-AB49)*10^-4+AC49*10^-5+(1000-AD49)*10^-8,SUM(R49:W49)-MIN(R49:W49)-SMALL(R49:W49,2)+(1000-AB49)*10^-4+AC49*10^-5+(1000-AD49)*10^-8)),0)))</f>
        <v>11.09490976</v>
      </c>
      <c r="Y49" s="2" t="str">
        <f>IF(OR(X49="",X49=0),"",IF(SUMPRODUCT(--(B$3:B$102=B49),--(X$3:X$102&gt;X49),--(X$3:X$102&lt;&gt;"")),"","P"))</f>
        <v/>
      </c>
      <c r="Z49" s="2" t="str">
        <f>IF(X49="","",IF(SUMPRODUCT(--(C$3:C$102="P"),--(B$3:B$102=B49)),"P",""))</f>
        <v>P</v>
      </c>
      <c r="AA49" s="15" t="str">
        <f>IF(AND(Y49&lt;&gt;"",OR(Z49="",SUMPRODUCT(--(X$3:X$102&gt;X49),--(Z$3:Z$102="P"),--(Y$3:Y$102="P"))&lt;4)),X49,"")</f>
        <v/>
      </c>
      <c r="AB49" s="9">
        <f>IF(A49="","",IF(OR(C49="P",D49="P"),"",IF(IF(COUNT(L49:Q49)&lt;5,SUM(L49:Q49),IF(COUNT(L49:Q49)=5,SUM(L49:Q49)-MIN(L49:Q49),SUM(L49:Q49)-MIN(L49:Q49)-SMALL(L49:Q49,2)))&gt;0,IF(COUNT(L49:Q49)&lt;5,SUM(L49:Q49),IF(COUNT(L49:Q49)=5,SUM(L49:Q49)-MIN(L49:Q49),SUM(L49:Q49)-MIN(L49:Q49)-SMALL(L49:Q49,2))),0)))</f>
        <v>51</v>
      </c>
      <c r="AC49" s="9">
        <f>COUNTIF(L49:Q49,"&lt;=8")</f>
        <v>0</v>
      </c>
      <c r="AD49" s="9">
        <f>MIN(L49:Q49)</f>
        <v>24</v>
      </c>
    </row>
    <row r="50" spans="1:30" x14ac:dyDescent="0.2">
      <c r="A50" s="7" t="s">
        <v>91</v>
      </c>
      <c r="B50" s="6" t="s">
        <v>22</v>
      </c>
      <c r="E50" s="3" t="str">
        <f>IF(AA50="","",RANK(AA50,AA:AA))</f>
        <v/>
      </c>
      <c r="F50" s="6">
        <v>24</v>
      </c>
      <c r="G50" s="6"/>
      <c r="H50" s="6"/>
      <c r="I50" s="6"/>
      <c r="J50" s="6"/>
      <c r="K50" s="6"/>
      <c r="L50" s="9">
        <f>IF(OR($C50&lt;&gt;"",$D50&lt;&gt;"",F50=""),"",F50-SUMPRODUCT(--($C$3:$C$102="P"),--(F$3:F$102&lt;F50),--(F$3:F$102&lt;&gt;""))-SUMPRODUCT(--($D$3:$D$102="P"),--(F$3:F$102&lt;F50),--(F$3:F$102&lt;&gt;"")))</f>
        <v>21</v>
      </c>
      <c r="M50" s="9" t="str">
        <f>IF(OR($C50&lt;&gt;"",$D50&lt;&gt;"",G50=""),"",G50-SUMPRODUCT(--($C$3:$C$102="P"),--(G$3:G$102&lt;G50),--(G$3:G$102&lt;&gt;""))-SUMPRODUCT(--($D$3:$D$102="P"),--(G$3:G$102&lt;G50),--(G$3:G$102&lt;&gt;"")))</f>
        <v/>
      </c>
      <c r="N50" s="9" t="str">
        <f>IF(OR($C50&lt;&gt;"",$D50&lt;&gt;"",H50=""),"",H50-SUMPRODUCT(--($C$3:$C$102="P"),--(H$3:H$102&lt;H50),--(H$3:H$102&lt;&gt;""))-SUMPRODUCT(--($D$3:$D$102="P"),--(H$3:H$102&lt;H50),--(H$3:H$102&lt;&gt;"")))</f>
        <v/>
      </c>
      <c r="O50" s="9" t="str">
        <f>IF(OR($C50&lt;&gt;"",$D50&lt;&gt;"",I50=""),"",I50-SUMPRODUCT(--($C$3:$C$102="P"),--(I$3:I$102&lt;I50),--(I$3:I$102&lt;&gt;""))-SUMPRODUCT(--($D$3:$D$102="P"),--(I$3:I$102&lt;I50),--(I$3:I$102&lt;&gt;"")))</f>
        <v/>
      </c>
      <c r="P50" s="9" t="str">
        <f>IF(OR($C50&lt;&gt;"",$D50&lt;&gt;"",J50=""),"",J50-SUMPRODUCT(--($C$3:$C$102="P"),--(J$3:J$102&lt;J50),--(J$3:J$102&lt;&gt;""))-SUMPRODUCT(--($D$3:$D$102="P"),--(J$3:J$102&lt;J50),--(J$3:J$102&lt;&gt;"")))</f>
        <v/>
      </c>
      <c r="Q50" s="9" t="str">
        <f>IF(OR($C50&lt;&gt;"",$D50&lt;&gt;"",K50=""),"",K50-SUMPRODUCT(--($C$3:$C$102="P"),--(K$3:K$102&lt;K50),--(K$3:K$102&lt;&gt;""))-SUMPRODUCT(--($D$3:$D$102="P"),--(K$3:K$102&lt;K50),--(K$3:K$102&lt;&gt;"")))</f>
        <v/>
      </c>
      <c r="R50" s="9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>10</v>
      </c>
      <c r="S50" s="9" t="str">
        <f>IF(OR(M50="",M50&gt;30),"",IF(M50=1,60,IF(M50=2,55,IF(M50=3,50,IF(M50=4,44,IF(M50=5,38,IF(M50=6,32,IF(M50=7,28,IF(M50=8,25,IF(M50=9,22,IF(M50=10,21,IF(M50=11,20,IF(M50=12,19,IF(M50=13,18,IF(M50=14,17,IF(M50=15,16,IF(M50=16,15,IF(M50=17,14,IF(M50=18,13,IF(M50=19,12,IF(M50=20,11,IF(M50=21,10,IF(M50=22,9,IF(M50=23,8,IF(M50=24,7,IF(M50=25,6,IF(M50=26,5,IF(M50=27,4,IF(M50=28,3,IF(M50=29,2,IF(M50=30,1)))))))))))))))))))))))))))))))</f>
        <v/>
      </c>
      <c r="T50" s="9" t="str">
        <f>IF(OR(N50="",N50&gt;30),"",IF(N50=1,60,IF(N50=2,55,IF(N50=3,50,IF(N50=4,44,IF(N50=5,38,IF(N50=6,32,IF(N50=7,28,IF(N50=8,25,IF(N50=9,22,IF(N50=10,21,IF(N50=11,20,IF(N50=12,19,IF(N50=13,18,IF(N50=14,17,IF(N50=15,16,IF(N50=16,15,IF(N50=17,14,IF(N50=18,13,IF(N50=19,12,IF(N50=20,11,IF(N50=21,10,IF(N50=22,9,IF(N50=23,8,IF(N50=24,7,IF(N50=25,6,IF(N50=26,5,IF(N50=27,4,IF(N50=28,3,IF(N50=29,2,IF(N50=30,1)))))))))))))))))))))))))))))))</f>
        <v/>
      </c>
      <c r="U50" s="9" t="str">
        <f>IF(OR(O50="",O50&gt;30),"",IF(O50=1,60,IF(O50=2,55,IF(O50=3,50,IF(O50=4,44,IF(O50=5,38,IF(O50=6,32,IF(O50=7,28,IF(O50=8,25,IF(O50=9,22,IF(O50=10,21,IF(O50=11,20,IF(O50=12,19,IF(O50=13,18,IF(O50=14,17,IF(O50=15,16,IF(O50=16,15,IF(O50=17,14,IF(O50=18,13,IF(O50=19,12,IF(O50=20,11,IF(O50=21,10,IF(O50=22,9,IF(O50=23,8,IF(O50=24,7,IF(O50=25,6,IF(O50=26,5,IF(O50=27,4,IF(O50=28,3,IF(O50=29,2,IF(O50=30,1)))))))))))))))))))))))))))))))</f>
        <v/>
      </c>
      <c r="V50" s="9" t="str">
        <f>IF(OR(P50="",P50&gt;30),"",IF(P50=1,60,IF(P50=2,55,IF(P50=3,50,IF(P50=4,44,IF(P50=5,38,IF(P50=6,32,IF(P50=7,28,IF(P50=8,25,IF(P50=9,22,IF(P50=10,21,IF(P50=11,20,IF(P50=12,19,IF(P50=13,18,IF(P50=14,17,IF(P50=15,16,IF(P50=16,15,IF(P50=17,14,IF(P50=18,13,IF(P50=19,12,IF(P50=20,11,IF(P50=21,10,IF(P50=22,9,IF(P50=23,8,IF(P50=24,7,IF(P50=25,6,IF(P50=26,5,IF(P50=27,4,IF(P50=28,3,IF(P50=29,2,IF(P50=30,1)))))))))))))))))))))))))))))))</f>
        <v/>
      </c>
      <c r="W50" s="9" t="str">
        <f>IF(OR(Q50="",Q50&gt;30),"",IF(Q50=1,60,IF(Q50=2,55,IF(Q50=3,50,IF(Q50=4,44,IF(Q50=5,38,IF(Q50=6,32,IF(Q50=7,28,IF(Q50=8,25,IF(Q50=9,22,IF(Q50=10,21,IF(Q50=11,20,IF(Q50=12,19,IF(Q50=13,18,IF(Q50=14,17,IF(Q50=15,16,IF(Q50=16,15,IF(Q50=17,14,IF(Q50=18,13,IF(Q50=19,12,IF(Q50=20,11,IF(Q50=21,10,IF(Q50=22,9,IF(Q50=23,8,IF(Q50=24,7,IF(Q50=25,6,IF(Q50=26,5,IF(Q50=27,4,IF(Q50=28,3,IF(Q50=29,2,IF(Q50=30,1)))))))))))))))))))))))))))))))</f>
        <v/>
      </c>
      <c r="X50" s="15">
        <f>IF(A50="","",IF(OR(C50="P",D50="P"),"",IF(IF(COUNT(R50:W50)&lt;5,SUM(R50:W50),IF(COUNT(R50:W50)=5,SUM(R50:W50)-MIN(R50:W50),SUM(R50:W50)-MIN(R50:W50)-SMALL(R50:W50,2)))&gt;0,IF(COUNT(R50:W50)&lt;5,SUM(R50:W50)+(1000-AB50)*10^-4+AC50*10^-5+(1000-AD50)*10^-8,IF(COUNT(R50:W50)=5,SUM(R50:W50)-MIN(R50:W50)+(1000-AB50)*10^-4+AC50*10^-5+(1000-AD50)*10^-8,SUM(R50:W50)-MIN(R50:W50)-SMALL(R50:W50,2)+(1000-AB50)*10^-4+AC50*10^-5+(1000-AD50)*10^-8)),0)))</f>
        <v>10.097909789999999</v>
      </c>
      <c r="Y50" s="2" t="str">
        <f>IF(OR(X50="",X50=0),"",IF(SUMPRODUCT(--(B$3:B$102=B50),--(X$3:X$102&gt;X50),--(X$3:X$102&lt;&gt;"")),"","P"))</f>
        <v/>
      </c>
      <c r="Z50" s="2" t="str">
        <f>IF(X50="","",IF(SUMPRODUCT(--(C$3:C$102="P"),--(B$3:B$102=B50)),"P",""))</f>
        <v>P</v>
      </c>
      <c r="AA50" s="15" t="str">
        <f>IF(AND(Y50&lt;&gt;"",OR(Z50="",SUMPRODUCT(--(X$3:X$102&gt;X50),--(Z$3:Z$102="P"),--(Y$3:Y$102="P"))&lt;4)),X50,"")</f>
        <v/>
      </c>
      <c r="AB50" s="9">
        <f>IF(A50="","",IF(OR(C50="P",D50="P"),"",IF(IF(COUNT(L50:Q50)&lt;5,SUM(L50:Q50),IF(COUNT(L50:Q50)=5,SUM(L50:Q50)-MIN(L50:Q50),SUM(L50:Q50)-MIN(L50:Q50)-SMALL(L50:Q50,2)))&gt;0,IF(COUNT(L50:Q50)&lt;5,SUM(L50:Q50),IF(COUNT(L50:Q50)=5,SUM(L50:Q50)-MIN(L50:Q50),SUM(L50:Q50)-MIN(L50:Q50)-SMALL(L50:Q50,2))),0)))</f>
        <v>21</v>
      </c>
      <c r="AC50" s="9">
        <f>COUNTIF(L50:Q50,"&lt;=8")</f>
        <v>0</v>
      </c>
      <c r="AD50" s="9">
        <f>MIN(L50:Q50)</f>
        <v>21</v>
      </c>
    </row>
    <row r="51" spans="1:30" x14ac:dyDescent="0.2">
      <c r="A51" s="7" t="s">
        <v>172</v>
      </c>
      <c r="B51" s="6" t="s">
        <v>18</v>
      </c>
      <c r="E51" s="3"/>
      <c r="F51" s="6"/>
      <c r="G51" s="6"/>
      <c r="H51" s="6">
        <v>29</v>
      </c>
      <c r="I51" s="6">
        <v>33</v>
      </c>
      <c r="J51" s="6"/>
      <c r="K51" s="6"/>
      <c r="L51" s="9" t="str">
        <f>IF(OR($C51&lt;&gt;"",$D51&lt;&gt;"",F51=""),"",F51-SUMPRODUCT(--($C$3:$C$102="P"),--(F$3:F$102&lt;F51),--(F$3:F$102&lt;&gt;""))-SUMPRODUCT(--($D$3:$D$102="P"),--(F$3:F$102&lt;F51),--(F$3:F$102&lt;&gt;"")))</f>
        <v/>
      </c>
      <c r="M51" s="9" t="str">
        <f>IF(OR($C51&lt;&gt;"",$D51&lt;&gt;"",G51=""),"",G51-SUMPRODUCT(--($C$3:$C$102="P"),--(G$3:G$102&lt;G51),--(G$3:G$102&lt;&gt;""))-SUMPRODUCT(--($D$3:$D$102="P"),--(G$3:G$102&lt;G51),--(G$3:G$102&lt;&gt;"")))</f>
        <v/>
      </c>
      <c r="N51" s="9">
        <f>IF(OR($C51&lt;&gt;"",$D51&lt;&gt;"",H51=""),"",H51-SUMPRODUCT(--($C$3:$C$102="P"),--(H$3:H$102&lt;H51),--(H$3:H$102&lt;&gt;""))-SUMPRODUCT(--($D$3:$D$102="P"),--(H$3:H$102&lt;H51),--(H$3:H$102&lt;&gt;"")))</f>
        <v>25</v>
      </c>
      <c r="O51" s="9">
        <f>IF(OR($C51&lt;&gt;"",$D51&lt;&gt;"",I51=""),"",I51-SUMPRODUCT(--($C$3:$C$102="P"),--(I$3:I$102&lt;I51),--(I$3:I$102&lt;&gt;""))-SUMPRODUCT(--($D$3:$D$102="P"),--(I$3:I$102&lt;I51),--(I$3:I$102&lt;&gt;"")))</f>
        <v>28</v>
      </c>
      <c r="P51" s="9" t="str">
        <f>IF(OR($C51&lt;&gt;"",$D51&lt;&gt;"",J51=""),"",J51-SUMPRODUCT(--($C$3:$C$102="P"),--(J$3:J$102&lt;J51),--(J$3:J$102&lt;&gt;""))-SUMPRODUCT(--($D$3:$D$102="P"),--(J$3:J$102&lt;J51),--(J$3:J$102&lt;&gt;"")))</f>
        <v/>
      </c>
      <c r="Q51" s="9" t="str">
        <f>IF(OR($C51&lt;&gt;"",$D51&lt;&gt;"",K51=""),"",K51-SUMPRODUCT(--($C$3:$C$102="P"),--(K$3:K$102&lt;K51),--(K$3:K$102&lt;&gt;""))-SUMPRODUCT(--($D$3:$D$102="P"),--(K$3:K$102&lt;K51),--(K$3:K$102&lt;&gt;"")))</f>
        <v/>
      </c>
      <c r="R51" s="9" t="str">
        <f>IF(OR(L51="",L51&gt;30),"",IF(L51=1,60,IF(L51=2,55,IF(L51=3,50,IF(L51=4,44,IF(L51=5,38,IF(L51=6,32,IF(L51=7,28,IF(L51=8,25,IF(L51=9,22,IF(L51=10,21,IF(L51=11,20,IF(L51=12,19,IF(L51=13,18,IF(L51=14,17,IF(L51=15,16,IF(L51=16,15,IF(L51=17,14,IF(L51=18,13,IF(L51=19,12,IF(L51=20,11,IF(L51=21,10,IF(L51=22,9,IF(L51=23,8,IF(L51=24,7,IF(L51=25,6,IF(L51=26,5,IF(L51=27,4,IF(L51=28,3,IF(L51=29,2,IF(L51=30,1)))))))))))))))))))))))))))))))</f>
        <v/>
      </c>
      <c r="S51" s="9" t="str">
        <f>IF(OR(M51="",M51&gt;30),"",IF(M51=1,60,IF(M51=2,55,IF(M51=3,50,IF(M51=4,44,IF(M51=5,38,IF(M51=6,32,IF(M51=7,28,IF(M51=8,25,IF(M51=9,22,IF(M51=10,21,IF(M51=11,20,IF(M51=12,19,IF(M51=13,18,IF(M51=14,17,IF(M51=15,16,IF(M51=16,15,IF(M51=17,14,IF(M51=18,13,IF(M51=19,12,IF(M51=20,11,IF(M51=21,10,IF(M51=22,9,IF(M51=23,8,IF(M51=24,7,IF(M51=25,6,IF(M51=26,5,IF(M51=27,4,IF(M51=28,3,IF(M51=29,2,IF(M51=30,1)))))))))))))))))))))))))))))))</f>
        <v/>
      </c>
      <c r="T51" s="9">
        <f>IF(OR(N51="",N51&gt;30),"",IF(N51=1,60,IF(N51=2,55,IF(N51=3,50,IF(N51=4,44,IF(N51=5,38,IF(N51=6,32,IF(N51=7,28,IF(N51=8,25,IF(N51=9,22,IF(N51=10,21,IF(N51=11,20,IF(N51=12,19,IF(N51=13,18,IF(N51=14,17,IF(N51=15,16,IF(N51=16,15,IF(N51=17,14,IF(N51=18,13,IF(N51=19,12,IF(N51=20,11,IF(N51=21,10,IF(N51=22,9,IF(N51=23,8,IF(N51=24,7,IF(N51=25,6,IF(N51=26,5,IF(N51=27,4,IF(N51=28,3,IF(N51=29,2,IF(N51=30,1)))))))))))))))))))))))))))))))</f>
        <v>6</v>
      </c>
      <c r="U51" s="9">
        <f>IF(OR(O51="",O51&gt;30),"",IF(O51=1,60,IF(O51=2,55,IF(O51=3,50,IF(O51=4,44,IF(O51=5,38,IF(O51=6,32,IF(O51=7,28,IF(O51=8,25,IF(O51=9,22,IF(O51=10,21,IF(O51=11,20,IF(O51=12,19,IF(O51=13,18,IF(O51=14,17,IF(O51=15,16,IF(O51=16,15,IF(O51=17,14,IF(O51=18,13,IF(O51=19,12,IF(O51=20,11,IF(O51=21,10,IF(O51=22,9,IF(O51=23,8,IF(O51=24,7,IF(O51=25,6,IF(O51=26,5,IF(O51=27,4,IF(O51=28,3,IF(O51=29,2,IF(O51=30,1)))))))))))))))))))))))))))))))</f>
        <v>3</v>
      </c>
      <c r="V51" s="9" t="str">
        <f>IF(OR(P51="",P51&gt;30),"",IF(P51=1,60,IF(P51=2,55,IF(P51=3,50,IF(P51=4,44,IF(P51=5,38,IF(P51=6,32,IF(P51=7,28,IF(P51=8,25,IF(P51=9,22,IF(P51=10,21,IF(P51=11,20,IF(P51=12,19,IF(P51=13,18,IF(P51=14,17,IF(P51=15,16,IF(P51=16,15,IF(P51=17,14,IF(P51=18,13,IF(P51=19,12,IF(P51=20,11,IF(P51=21,10,IF(P51=22,9,IF(P51=23,8,IF(P51=24,7,IF(P51=25,6,IF(P51=26,5,IF(P51=27,4,IF(P51=28,3,IF(P51=29,2,IF(P51=30,1)))))))))))))))))))))))))))))))</f>
        <v/>
      </c>
      <c r="W51" s="9" t="str">
        <f>IF(OR(Q51="",Q51&gt;30),"",IF(Q51=1,60,IF(Q51=2,55,IF(Q51=3,50,IF(Q51=4,44,IF(Q51=5,38,IF(Q51=6,32,IF(Q51=7,28,IF(Q51=8,25,IF(Q51=9,22,IF(Q51=10,21,IF(Q51=11,20,IF(Q51=12,19,IF(Q51=13,18,IF(Q51=14,17,IF(Q51=15,16,IF(Q51=16,15,IF(Q51=17,14,IF(Q51=18,13,IF(Q51=19,12,IF(Q51=20,11,IF(Q51=21,10,IF(Q51=22,9,IF(Q51=23,8,IF(Q51=24,7,IF(Q51=25,6,IF(Q51=26,5,IF(Q51=27,4,IF(Q51=28,3,IF(Q51=29,2,IF(Q51=30,1)))))))))))))))))))))))))))))))</f>
        <v/>
      </c>
      <c r="X51" s="15">
        <f>IF(A51="","",IF(OR(C51="P",D51="P"),"",IF(IF(COUNT(R51:W51)&lt;5,SUM(R51:W51),IF(COUNT(R51:W51)=5,SUM(R51:W51)-MIN(R51:W51),SUM(R51:W51)-MIN(R51:W51)-SMALL(R51:W51,2)))&gt;0,IF(COUNT(R51:W51)&lt;5,SUM(R51:W51)+(1000-AB51)*10^-4+AC51*10^-5+(1000-AD51)*10^-8,IF(COUNT(R51:W51)=5,SUM(R51:W51)-MIN(R51:W51)+(1000-AB51)*10^-4+AC51*10^-5+(1000-AD51)*10^-8,SUM(R51:W51)-MIN(R51:W51)-SMALL(R51:W51,2)+(1000-AB51)*10^-4+AC51*10^-5+(1000-AD51)*10^-8)),0)))</f>
        <v>9.0947097499999998</v>
      </c>
      <c r="Y51" s="2" t="str">
        <f>IF(OR(X51="",X51=0),"",IF(SUMPRODUCT(--(B$3:B$102=B51),--(X$3:X$102&gt;X51),--(X$3:X$102&lt;&gt;"")),"","P"))</f>
        <v/>
      </c>
      <c r="Z51" s="2" t="str">
        <f>IF(X51="","",IF(SUMPRODUCT(--(C$3:C$102="P"),--(B$3:B$102=B51)),"P",""))</f>
        <v>P</v>
      </c>
      <c r="AA51" s="15" t="str">
        <f>IF(AND(Y51&lt;&gt;"",OR(Z51="",SUMPRODUCT(--(X$3:X$102&gt;X51),--(Z$3:Z$102="P"),--(Y$3:Y$102="P"))&lt;4)),X51,"")</f>
        <v/>
      </c>
      <c r="AB51" s="9">
        <f>IF(A51="","",IF(OR(C51="P",D51="P"),"",IF(IF(COUNT(L51:Q51)&lt;5,SUM(L51:Q51),IF(COUNT(L51:Q51)=5,SUM(L51:Q51)-MIN(L51:Q51),SUM(L51:Q51)-MIN(L51:Q51)-SMALL(L51:Q51,2)))&gt;0,IF(COUNT(L51:Q51)&lt;5,SUM(L51:Q51),IF(COUNT(L51:Q51)=5,SUM(L51:Q51)-MIN(L51:Q51),SUM(L51:Q51)-MIN(L51:Q51)-SMALL(L51:Q51,2))),0)))</f>
        <v>53</v>
      </c>
      <c r="AC51" s="9">
        <f>COUNTIF(L51:Q51,"&lt;=8")</f>
        <v>0</v>
      </c>
      <c r="AD51" s="9">
        <f>MIN(L51:Q51)</f>
        <v>25</v>
      </c>
    </row>
    <row r="52" spans="1:30" x14ac:dyDescent="0.2">
      <c r="A52" s="7" t="s">
        <v>133</v>
      </c>
      <c r="B52" s="6" t="s">
        <v>134</v>
      </c>
      <c r="E52" s="3">
        <f>IF(AA52="","",RANK(AA52,AA:AA))</f>
        <v>20</v>
      </c>
      <c r="F52" s="6">
        <v>46</v>
      </c>
      <c r="G52" s="6">
        <v>35</v>
      </c>
      <c r="H52" s="6"/>
      <c r="I52" s="6">
        <v>27</v>
      </c>
      <c r="J52" s="6"/>
      <c r="K52" s="6"/>
      <c r="L52" s="9">
        <f>IF(OR($C52&lt;&gt;"",$D52&lt;&gt;"",F52=""),"",F52-SUMPRODUCT(--($C$3:$C$102="P"),--(F$3:F$102&lt;F52),--(F$3:F$102&lt;&gt;""))-SUMPRODUCT(--($D$3:$D$102="P"),--(F$3:F$102&lt;F52),--(F$3:F$102&lt;&gt;"")))</f>
        <v>43</v>
      </c>
      <c r="M52" s="9">
        <f>IF(OR($C52&lt;&gt;"",$D52&lt;&gt;"",G52=""),"",G52-SUMPRODUCT(--($C$3:$C$102="P"),--(G$3:G$102&lt;G52),--(G$3:G$102&lt;&gt;""))-SUMPRODUCT(--($D$3:$D$102="P"),--(G$3:G$102&lt;G52),--(G$3:G$102&lt;&gt;"")))</f>
        <v>33</v>
      </c>
      <c r="N52" s="9" t="str">
        <f>IF(OR($C52&lt;&gt;"",$D52&lt;&gt;"",H52=""),"",H52-SUMPRODUCT(--($C$3:$C$102="P"),--(H$3:H$102&lt;H52),--(H$3:H$102&lt;&gt;""))-SUMPRODUCT(--($D$3:$D$102="P"),--(H$3:H$102&lt;H52),--(H$3:H$102&lt;&gt;"")))</f>
        <v/>
      </c>
      <c r="O52" s="9">
        <f>IF(OR($C52&lt;&gt;"",$D52&lt;&gt;"",I52=""),"",I52-SUMPRODUCT(--($C$3:$C$102="P"),--(I$3:I$102&lt;I52),--(I$3:I$102&lt;&gt;""))-SUMPRODUCT(--($D$3:$D$102="P"),--(I$3:I$102&lt;I52),--(I$3:I$102&lt;&gt;"")))</f>
        <v>22</v>
      </c>
      <c r="P52" s="9" t="str">
        <f>IF(OR($C52&lt;&gt;"",$D52&lt;&gt;"",J52=""),"",J52-SUMPRODUCT(--($C$3:$C$102="P"),--(J$3:J$102&lt;J52),--(J$3:J$102&lt;&gt;""))-SUMPRODUCT(--($D$3:$D$102="P"),--(J$3:J$102&lt;J52),--(J$3:J$102&lt;&gt;"")))</f>
        <v/>
      </c>
      <c r="Q52" s="9" t="str">
        <f>IF(OR($C52&lt;&gt;"",$D52&lt;&gt;"",K52=""),"",K52-SUMPRODUCT(--($C$3:$C$102="P"),--(K$3:K$102&lt;K52),--(K$3:K$102&lt;&gt;""))-SUMPRODUCT(--($D$3:$D$102="P"),--(K$3:K$102&lt;K52),--(K$3:K$102&lt;&gt;"")))</f>
        <v/>
      </c>
      <c r="R52" s="9" t="str">
        <f>IF(OR(L52="",L52&gt;30),"",IF(L52=1,60,IF(L52=2,55,IF(L52=3,50,IF(L52=4,44,IF(L52=5,38,IF(L52=6,32,IF(L52=7,28,IF(L52=8,25,IF(L52=9,22,IF(L52=10,21,IF(L52=11,20,IF(L52=12,19,IF(L52=13,18,IF(L52=14,17,IF(L52=15,16,IF(L52=16,15,IF(L52=17,14,IF(L52=18,13,IF(L52=19,12,IF(L52=20,11,IF(L52=21,10,IF(L52=22,9,IF(L52=23,8,IF(L52=24,7,IF(L52=25,6,IF(L52=26,5,IF(L52=27,4,IF(L52=28,3,IF(L52=29,2,IF(L52=30,1)))))))))))))))))))))))))))))))</f>
        <v/>
      </c>
      <c r="S52" s="9" t="str">
        <f>IF(OR(M52="",M52&gt;30),"",IF(M52=1,60,IF(M52=2,55,IF(M52=3,50,IF(M52=4,44,IF(M52=5,38,IF(M52=6,32,IF(M52=7,28,IF(M52=8,25,IF(M52=9,22,IF(M52=10,21,IF(M52=11,20,IF(M52=12,19,IF(M52=13,18,IF(M52=14,17,IF(M52=15,16,IF(M52=16,15,IF(M52=17,14,IF(M52=18,13,IF(M52=19,12,IF(M52=20,11,IF(M52=21,10,IF(M52=22,9,IF(M52=23,8,IF(M52=24,7,IF(M52=25,6,IF(M52=26,5,IF(M52=27,4,IF(M52=28,3,IF(M52=29,2,IF(M52=30,1)))))))))))))))))))))))))))))))</f>
        <v/>
      </c>
      <c r="T52" s="9" t="str">
        <f>IF(OR(N52="",N52&gt;30),"",IF(N52=1,60,IF(N52=2,55,IF(N52=3,50,IF(N52=4,44,IF(N52=5,38,IF(N52=6,32,IF(N52=7,28,IF(N52=8,25,IF(N52=9,22,IF(N52=10,21,IF(N52=11,20,IF(N52=12,19,IF(N52=13,18,IF(N52=14,17,IF(N52=15,16,IF(N52=16,15,IF(N52=17,14,IF(N52=18,13,IF(N52=19,12,IF(N52=20,11,IF(N52=21,10,IF(N52=22,9,IF(N52=23,8,IF(N52=24,7,IF(N52=25,6,IF(N52=26,5,IF(N52=27,4,IF(N52=28,3,IF(N52=29,2,IF(N52=30,1)))))))))))))))))))))))))))))))</f>
        <v/>
      </c>
      <c r="U52" s="9">
        <f>IF(OR(O52="",O52&gt;30),"",IF(O52=1,60,IF(O52=2,55,IF(O52=3,50,IF(O52=4,44,IF(O52=5,38,IF(O52=6,32,IF(O52=7,28,IF(O52=8,25,IF(O52=9,22,IF(O52=10,21,IF(O52=11,20,IF(O52=12,19,IF(O52=13,18,IF(O52=14,17,IF(O52=15,16,IF(O52=16,15,IF(O52=17,14,IF(O52=18,13,IF(O52=19,12,IF(O52=20,11,IF(O52=21,10,IF(O52=22,9,IF(O52=23,8,IF(O52=24,7,IF(O52=25,6,IF(O52=26,5,IF(O52=27,4,IF(O52=28,3,IF(O52=29,2,IF(O52=30,1)))))))))))))))))))))))))))))))</f>
        <v>9</v>
      </c>
      <c r="V52" s="9" t="str">
        <f>IF(OR(P52="",P52&gt;30),"",IF(P52=1,60,IF(P52=2,55,IF(P52=3,50,IF(P52=4,44,IF(P52=5,38,IF(P52=6,32,IF(P52=7,28,IF(P52=8,25,IF(P52=9,22,IF(P52=10,21,IF(P52=11,20,IF(P52=12,19,IF(P52=13,18,IF(P52=14,17,IF(P52=15,16,IF(P52=16,15,IF(P52=17,14,IF(P52=18,13,IF(P52=19,12,IF(P52=20,11,IF(P52=21,10,IF(P52=22,9,IF(P52=23,8,IF(P52=24,7,IF(P52=25,6,IF(P52=26,5,IF(P52=27,4,IF(P52=28,3,IF(P52=29,2,IF(P52=30,1)))))))))))))))))))))))))))))))</f>
        <v/>
      </c>
      <c r="W52" s="9" t="str">
        <f>IF(OR(Q52="",Q52&gt;30),"",IF(Q52=1,60,IF(Q52=2,55,IF(Q52=3,50,IF(Q52=4,44,IF(Q52=5,38,IF(Q52=6,32,IF(Q52=7,28,IF(Q52=8,25,IF(Q52=9,22,IF(Q52=10,21,IF(Q52=11,20,IF(Q52=12,19,IF(Q52=13,18,IF(Q52=14,17,IF(Q52=15,16,IF(Q52=16,15,IF(Q52=17,14,IF(Q52=18,13,IF(Q52=19,12,IF(Q52=20,11,IF(Q52=21,10,IF(Q52=22,9,IF(Q52=23,8,IF(Q52=24,7,IF(Q52=25,6,IF(Q52=26,5,IF(Q52=27,4,IF(Q52=28,3,IF(Q52=29,2,IF(Q52=30,1)))))))))))))))))))))))))))))))</f>
        <v/>
      </c>
      <c r="X52" s="15">
        <f>IF(A52="","",IF(OR(C52="P",D52="P"),"",IF(IF(COUNT(R52:W52)&lt;5,SUM(R52:W52),IF(COUNT(R52:W52)=5,SUM(R52:W52)-MIN(R52:W52),SUM(R52:W52)-MIN(R52:W52)-SMALL(R52:W52,2)))&gt;0,IF(COUNT(R52:W52)&lt;5,SUM(R52:W52)+(1000-AB52)*10^-4+AC52*10^-5+(1000-AD52)*10^-8,IF(COUNT(R52:W52)=5,SUM(R52:W52)-MIN(R52:W52)+(1000-AB52)*10^-4+AC52*10^-5+(1000-AD52)*10^-8,SUM(R52:W52)-MIN(R52:W52)-SMALL(R52:W52,2)+(1000-AB52)*10^-4+AC52*10^-5+(1000-AD52)*10^-8)),0)))</f>
        <v>9.0902097799999986</v>
      </c>
      <c r="Y52" s="2" t="str">
        <f>IF(OR(X52="",X52=0),"",IF(SUMPRODUCT(--(B$3:B$102=B52),--(X$3:X$102&gt;X52),--(X$3:X$102&lt;&gt;"")),"","P"))</f>
        <v>P</v>
      </c>
      <c r="Z52" s="2" t="str">
        <f>IF(X52="","",IF(SUMPRODUCT(--(C$3:C$102="P"),--(B$3:B$102=B52)),"P",""))</f>
        <v/>
      </c>
      <c r="AA52" s="15">
        <f>IF(AND(Y52&lt;&gt;"",OR(Z52="",SUMPRODUCT(--(X$3:X$102&gt;X52),--(Z$3:Z$102="P"),--(Y$3:Y$102="P"))&lt;4)),X52,"")</f>
        <v>9.0902097799999986</v>
      </c>
      <c r="AB52" s="9">
        <f>IF(A52="","",IF(OR(C52="P",D52="P"),"",IF(IF(COUNT(L52:Q52)&lt;5,SUM(L52:Q52),IF(COUNT(L52:Q52)=5,SUM(L52:Q52)-MIN(L52:Q52),SUM(L52:Q52)-MIN(L52:Q52)-SMALL(L52:Q52,2)))&gt;0,IF(COUNT(L52:Q52)&lt;5,SUM(L52:Q52),IF(COUNT(L52:Q52)=5,SUM(L52:Q52)-MIN(L52:Q52),SUM(L52:Q52)-MIN(L52:Q52)-SMALL(L52:Q52,2))),0)))</f>
        <v>98</v>
      </c>
      <c r="AC52" s="9">
        <f>COUNTIF(L52:Q52,"&lt;=8")</f>
        <v>0</v>
      </c>
      <c r="AD52" s="9">
        <f>MIN(L52:Q52)</f>
        <v>22</v>
      </c>
    </row>
    <row r="53" spans="1:30" x14ac:dyDescent="0.2">
      <c r="A53" s="7" t="s">
        <v>121</v>
      </c>
      <c r="B53" s="6" t="s">
        <v>122</v>
      </c>
      <c r="E53" s="3">
        <f>IF(AA53="","",RANK(AA53,AA:AA))</f>
        <v>21</v>
      </c>
      <c r="F53" s="6">
        <v>70</v>
      </c>
      <c r="G53" s="6">
        <v>25</v>
      </c>
      <c r="H53" s="6">
        <v>54</v>
      </c>
      <c r="I53" s="6"/>
      <c r="J53" s="6"/>
      <c r="K53" s="6"/>
      <c r="L53" s="9">
        <f>IF(OR($C53&lt;&gt;"",$D53&lt;&gt;"",F53=""),"",F53-SUMPRODUCT(--($C$3:$C$102="P"),--(F$3:F$102&lt;F53),--(F$3:F$102&lt;&gt;""))-SUMPRODUCT(--($D$3:$D$102="P"),--(F$3:F$102&lt;F53),--(F$3:F$102&lt;&gt;"")))</f>
        <v>65</v>
      </c>
      <c r="M53" s="9">
        <f>IF(OR($C53&lt;&gt;"",$D53&lt;&gt;"",G53=""),"",G53-SUMPRODUCT(--($C$3:$C$102="P"),--(G$3:G$102&lt;G53),--(G$3:G$102&lt;&gt;""))-SUMPRODUCT(--($D$3:$D$102="P"),--(G$3:G$102&lt;G53),--(G$3:G$102&lt;&gt;"")))</f>
        <v>23</v>
      </c>
      <c r="N53" s="9">
        <f>IF(OR($C53&lt;&gt;"",$D53&lt;&gt;"",H53=""),"",H53-SUMPRODUCT(--($C$3:$C$102="P"),--(H$3:H$102&lt;H53),--(H$3:H$102&lt;&gt;""))-SUMPRODUCT(--($D$3:$D$102="P"),--(H$3:H$102&lt;H53),--(H$3:H$102&lt;&gt;"")))</f>
        <v>50</v>
      </c>
      <c r="O53" s="9" t="str">
        <f>IF(OR($C53&lt;&gt;"",$D53&lt;&gt;"",I53=""),"",I53-SUMPRODUCT(--($C$3:$C$102="P"),--(I$3:I$102&lt;I53),--(I$3:I$102&lt;&gt;""))-SUMPRODUCT(--($D$3:$D$102="P"),--(I$3:I$102&lt;I53),--(I$3:I$102&lt;&gt;"")))</f>
        <v/>
      </c>
      <c r="P53" s="9" t="str">
        <f>IF(OR($C53&lt;&gt;"",$D53&lt;&gt;"",J53=""),"",J53-SUMPRODUCT(--($C$3:$C$102="P"),--(J$3:J$102&lt;J53),--(J$3:J$102&lt;&gt;""))-SUMPRODUCT(--($D$3:$D$102="P"),--(J$3:J$102&lt;J53),--(J$3:J$102&lt;&gt;"")))</f>
        <v/>
      </c>
      <c r="Q53" s="9" t="str">
        <f>IF(OR($C53&lt;&gt;"",$D53&lt;&gt;"",K53=""),"",K53-SUMPRODUCT(--($C$3:$C$102="P"),--(K$3:K$102&lt;K53),--(K$3:K$102&lt;&gt;""))-SUMPRODUCT(--($D$3:$D$102="P"),--(K$3:K$102&lt;K53),--(K$3:K$102&lt;&gt;"")))</f>
        <v/>
      </c>
      <c r="R53" s="9" t="str">
        <f>IF(OR(L53="",L53&gt;30),"",IF(L53=1,60,IF(L53=2,55,IF(L53=3,50,IF(L53=4,44,IF(L53=5,38,IF(L53=6,32,IF(L53=7,28,IF(L53=8,25,IF(L53=9,22,IF(L53=10,21,IF(L53=11,20,IF(L53=12,19,IF(L53=13,18,IF(L53=14,17,IF(L53=15,16,IF(L53=16,15,IF(L53=17,14,IF(L53=18,13,IF(L53=19,12,IF(L53=20,11,IF(L53=21,10,IF(L53=22,9,IF(L53=23,8,IF(L53=24,7,IF(L53=25,6,IF(L53=26,5,IF(L53=27,4,IF(L53=28,3,IF(L53=29,2,IF(L53=30,1)))))))))))))))))))))))))))))))</f>
        <v/>
      </c>
      <c r="S53" s="9">
        <f>IF(OR(M53="",M53&gt;30),"",IF(M53=1,60,IF(M53=2,55,IF(M53=3,50,IF(M53=4,44,IF(M53=5,38,IF(M53=6,32,IF(M53=7,28,IF(M53=8,25,IF(M53=9,22,IF(M53=10,21,IF(M53=11,20,IF(M53=12,19,IF(M53=13,18,IF(M53=14,17,IF(M53=15,16,IF(M53=16,15,IF(M53=17,14,IF(M53=18,13,IF(M53=19,12,IF(M53=20,11,IF(M53=21,10,IF(M53=22,9,IF(M53=23,8,IF(M53=24,7,IF(M53=25,6,IF(M53=26,5,IF(M53=27,4,IF(M53=28,3,IF(M53=29,2,IF(M53=30,1)))))))))))))))))))))))))))))))</f>
        <v>8</v>
      </c>
      <c r="T53" s="9" t="str">
        <f>IF(OR(N53="",N53&gt;30),"",IF(N53=1,60,IF(N53=2,55,IF(N53=3,50,IF(N53=4,44,IF(N53=5,38,IF(N53=6,32,IF(N53=7,28,IF(N53=8,25,IF(N53=9,22,IF(N53=10,21,IF(N53=11,20,IF(N53=12,19,IF(N53=13,18,IF(N53=14,17,IF(N53=15,16,IF(N53=16,15,IF(N53=17,14,IF(N53=18,13,IF(N53=19,12,IF(N53=20,11,IF(N53=21,10,IF(N53=22,9,IF(N53=23,8,IF(N53=24,7,IF(N53=25,6,IF(N53=26,5,IF(N53=27,4,IF(N53=28,3,IF(N53=29,2,IF(N53=30,1)))))))))))))))))))))))))))))))</f>
        <v/>
      </c>
      <c r="U53" s="9" t="str">
        <f>IF(OR(O53="",O53&gt;30),"",IF(O53=1,60,IF(O53=2,55,IF(O53=3,50,IF(O53=4,44,IF(O53=5,38,IF(O53=6,32,IF(O53=7,28,IF(O53=8,25,IF(O53=9,22,IF(O53=10,21,IF(O53=11,20,IF(O53=12,19,IF(O53=13,18,IF(O53=14,17,IF(O53=15,16,IF(O53=16,15,IF(O53=17,14,IF(O53=18,13,IF(O53=19,12,IF(O53=20,11,IF(O53=21,10,IF(O53=22,9,IF(O53=23,8,IF(O53=24,7,IF(O53=25,6,IF(O53=26,5,IF(O53=27,4,IF(O53=28,3,IF(O53=29,2,IF(O53=30,1)))))))))))))))))))))))))))))))</f>
        <v/>
      </c>
      <c r="V53" s="9" t="str">
        <f>IF(OR(P53="",P53&gt;30),"",IF(P53=1,60,IF(P53=2,55,IF(P53=3,50,IF(P53=4,44,IF(P53=5,38,IF(P53=6,32,IF(P53=7,28,IF(P53=8,25,IF(P53=9,22,IF(P53=10,21,IF(P53=11,20,IF(P53=12,19,IF(P53=13,18,IF(P53=14,17,IF(P53=15,16,IF(P53=16,15,IF(P53=17,14,IF(P53=18,13,IF(P53=19,12,IF(P53=20,11,IF(P53=21,10,IF(P53=22,9,IF(P53=23,8,IF(P53=24,7,IF(P53=25,6,IF(P53=26,5,IF(P53=27,4,IF(P53=28,3,IF(P53=29,2,IF(P53=30,1)))))))))))))))))))))))))))))))</f>
        <v/>
      </c>
      <c r="W53" s="9" t="str">
        <f>IF(OR(Q53="",Q53&gt;30),"",IF(Q53=1,60,IF(Q53=2,55,IF(Q53=3,50,IF(Q53=4,44,IF(Q53=5,38,IF(Q53=6,32,IF(Q53=7,28,IF(Q53=8,25,IF(Q53=9,22,IF(Q53=10,21,IF(Q53=11,20,IF(Q53=12,19,IF(Q53=13,18,IF(Q53=14,17,IF(Q53=15,16,IF(Q53=16,15,IF(Q53=17,14,IF(Q53=18,13,IF(Q53=19,12,IF(Q53=20,11,IF(Q53=21,10,IF(Q53=22,9,IF(Q53=23,8,IF(Q53=24,7,IF(Q53=25,6,IF(Q53=26,5,IF(Q53=27,4,IF(Q53=28,3,IF(Q53=29,2,IF(Q53=30,1)))))))))))))))))))))))))))))))</f>
        <v/>
      </c>
      <c r="X53" s="15">
        <f>IF(A53="","",IF(OR(C53="P",D53="P"),"",IF(IF(COUNT(R53:W53)&lt;5,SUM(R53:W53),IF(COUNT(R53:W53)=5,SUM(R53:W53)-MIN(R53:W53),SUM(R53:W53)-MIN(R53:W53)-SMALL(R53:W53,2)))&gt;0,IF(COUNT(R53:W53)&lt;5,SUM(R53:W53)+(1000-AB53)*10^-4+AC53*10^-5+(1000-AD53)*10^-8,IF(COUNT(R53:W53)=5,SUM(R53:W53)-MIN(R53:W53)+(1000-AB53)*10^-4+AC53*10^-5+(1000-AD53)*10^-8,SUM(R53:W53)-MIN(R53:W53)-SMALL(R53:W53,2)+(1000-AB53)*10^-4+AC53*10^-5+(1000-AD53)*10^-8)),0)))</f>
        <v>8.08620977</v>
      </c>
      <c r="Y53" s="2" t="str">
        <f>IF(OR(X53="",X53=0),"",IF(SUMPRODUCT(--(B$3:B$102=B53),--(X$3:X$102&gt;X53),--(X$3:X$102&lt;&gt;"")),"","P"))</f>
        <v>P</v>
      </c>
      <c r="Z53" s="2" t="str">
        <f>IF(X53="","",IF(SUMPRODUCT(--(C$3:C$102="P"),--(B$3:B$102=B53)),"P",""))</f>
        <v/>
      </c>
      <c r="AA53" s="15">
        <f>IF(AND(Y53&lt;&gt;"",OR(Z53="",SUMPRODUCT(--(X$3:X$102&gt;X53),--(Z$3:Z$102="P"),--(Y$3:Y$102="P"))&lt;4)),X53,"")</f>
        <v>8.08620977</v>
      </c>
      <c r="AB53" s="9">
        <f>IF(A53="","",IF(OR(C53="P",D53="P"),"",IF(IF(COUNT(L53:Q53)&lt;5,SUM(L53:Q53),IF(COUNT(L53:Q53)=5,SUM(L53:Q53)-MIN(L53:Q53),SUM(L53:Q53)-MIN(L53:Q53)-SMALL(L53:Q53,2)))&gt;0,IF(COUNT(L53:Q53)&lt;5,SUM(L53:Q53),IF(COUNT(L53:Q53)=5,SUM(L53:Q53)-MIN(L53:Q53),SUM(L53:Q53)-MIN(L53:Q53)-SMALL(L53:Q53,2))),0)))</f>
        <v>138</v>
      </c>
      <c r="AC53" s="9">
        <f>COUNTIF(L53:Q53,"&lt;=8")</f>
        <v>0</v>
      </c>
      <c r="AD53" s="9">
        <f>MIN(L53:Q53)</f>
        <v>23</v>
      </c>
    </row>
    <row r="54" spans="1:30" x14ac:dyDescent="0.2">
      <c r="A54" s="7" t="s">
        <v>176</v>
      </c>
      <c r="B54" s="6" t="s">
        <v>57</v>
      </c>
      <c r="E54" s="3"/>
      <c r="F54" s="6"/>
      <c r="G54" s="6"/>
      <c r="H54" s="6">
        <v>34</v>
      </c>
      <c r="I54" s="6">
        <v>31</v>
      </c>
      <c r="J54" s="6"/>
      <c r="K54" s="6"/>
      <c r="L54" s="9" t="str">
        <f>IF(OR($C54&lt;&gt;"",$D54&lt;&gt;"",F54=""),"",F54-SUMPRODUCT(--($C$3:$C$102="P"),--(F$3:F$102&lt;F54),--(F$3:F$102&lt;&gt;""))-SUMPRODUCT(--($D$3:$D$102="P"),--(F$3:F$102&lt;F54),--(F$3:F$102&lt;&gt;"")))</f>
        <v/>
      </c>
      <c r="M54" s="9" t="str">
        <f>IF(OR($C54&lt;&gt;"",$D54&lt;&gt;"",G54=""),"",G54-SUMPRODUCT(--($C$3:$C$102="P"),--(G$3:G$102&lt;G54),--(G$3:G$102&lt;&gt;""))-SUMPRODUCT(--($D$3:$D$102="P"),--(G$3:G$102&lt;G54),--(G$3:G$102&lt;&gt;"")))</f>
        <v/>
      </c>
      <c r="N54" s="9">
        <f>IF(OR($C54&lt;&gt;"",$D54&lt;&gt;"",H54=""),"",H54-SUMPRODUCT(--($C$3:$C$102="P"),--(H$3:H$102&lt;H54),--(H$3:H$102&lt;&gt;""))-SUMPRODUCT(--($D$3:$D$102="P"),--(H$3:H$102&lt;H54),--(H$3:H$102&lt;&gt;"")))</f>
        <v>30</v>
      </c>
      <c r="O54" s="9">
        <f>IF(OR($C54&lt;&gt;"",$D54&lt;&gt;"",I54=""),"",I54-SUMPRODUCT(--($C$3:$C$102="P"),--(I$3:I$102&lt;I54),--(I$3:I$102&lt;&gt;""))-SUMPRODUCT(--($D$3:$D$102="P"),--(I$3:I$102&lt;I54),--(I$3:I$102&lt;&gt;"")))</f>
        <v>26</v>
      </c>
      <c r="P54" s="9" t="str">
        <f>IF(OR($C54&lt;&gt;"",$D54&lt;&gt;"",J54=""),"",J54-SUMPRODUCT(--($C$3:$C$102="P"),--(J$3:J$102&lt;J54),--(J$3:J$102&lt;&gt;""))-SUMPRODUCT(--($D$3:$D$102="P"),--(J$3:J$102&lt;J54),--(J$3:J$102&lt;&gt;"")))</f>
        <v/>
      </c>
      <c r="Q54" s="9" t="str">
        <f>IF(OR($C54&lt;&gt;"",$D54&lt;&gt;"",K54=""),"",K54-SUMPRODUCT(--($C$3:$C$102="P"),--(K$3:K$102&lt;K54),--(K$3:K$102&lt;&gt;""))-SUMPRODUCT(--($D$3:$D$102="P"),--(K$3:K$102&lt;K54),--(K$3:K$102&lt;&gt;"")))</f>
        <v/>
      </c>
      <c r="R54" s="9" t="str">
        <f>IF(OR(L54="",L54&gt;30),"",IF(L54=1,60,IF(L54=2,55,IF(L54=3,50,IF(L54=4,44,IF(L54=5,38,IF(L54=6,32,IF(L54=7,28,IF(L54=8,25,IF(L54=9,22,IF(L54=10,21,IF(L54=11,20,IF(L54=12,19,IF(L54=13,18,IF(L54=14,17,IF(L54=15,16,IF(L54=16,15,IF(L54=17,14,IF(L54=18,13,IF(L54=19,12,IF(L54=20,11,IF(L54=21,10,IF(L54=22,9,IF(L54=23,8,IF(L54=24,7,IF(L54=25,6,IF(L54=26,5,IF(L54=27,4,IF(L54=28,3,IF(L54=29,2,IF(L54=30,1)))))))))))))))))))))))))))))))</f>
        <v/>
      </c>
      <c r="S54" s="9" t="str">
        <f>IF(OR(M54="",M54&gt;30),"",IF(M54=1,60,IF(M54=2,55,IF(M54=3,50,IF(M54=4,44,IF(M54=5,38,IF(M54=6,32,IF(M54=7,28,IF(M54=8,25,IF(M54=9,22,IF(M54=10,21,IF(M54=11,20,IF(M54=12,19,IF(M54=13,18,IF(M54=14,17,IF(M54=15,16,IF(M54=16,15,IF(M54=17,14,IF(M54=18,13,IF(M54=19,12,IF(M54=20,11,IF(M54=21,10,IF(M54=22,9,IF(M54=23,8,IF(M54=24,7,IF(M54=25,6,IF(M54=26,5,IF(M54=27,4,IF(M54=28,3,IF(M54=29,2,IF(M54=30,1)))))))))))))))))))))))))))))))</f>
        <v/>
      </c>
      <c r="T54" s="9">
        <f>IF(OR(N54="",N54&gt;30),"",IF(N54=1,60,IF(N54=2,55,IF(N54=3,50,IF(N54=4,44,IF(N54=5,38,IF(N54=6,32,IF(N54=7,28,IF(N54=8,25,IF(N54=9,22,IF(N54=10,21,IF(N54=11,20,IF(N54=12,19,IF(N54=13,18,IF(N54=14,17,IF(N54=15,16,IF(N54=16,15,IF(N54=17,14,IF(N54=18,13,IF(N54=19,12,IF(N54=20,11,IF(N54=21,10,IF(N54=22,9,IF(N54=23,8,IF(N54=24,7,IF(N54=25,6,IF(N54=26,5,IF(N54=27,4,IF(N54=28,3,IF(N54=29,2,IF(N54=30,1)))))))))))))))))))))))))))))))</f>
        <v>1</v>
      </c>
      <c r="U54" s="9">
        <f>IF(OR(O54="",O54&gt;30),"",IF(O54=1,60,IF(O54=2,55,IF(O54=3,50,IF(O54=4,44,IF(O54=5,38,IF(O54=6,32,IF(O54=7,28,IF(O54=8,25,IF(O54=9,22,IF(O54=10,21,IF(O54=11,20,IF(O54=12,19,IF(O54=13,18,IF(O54=14,17,IF(O54=15,16,IF(O54=16,15,IF(O54=17,14,IF(O54=18,13,IF(O54=19,12,IF(O54=20,11,IF(O54=21,10,IF(O54=22,9,IF(O54=23,8,IF(O54=24,7,IF(O54=25,6,IF(O54=26,5,IF(O54=27,4,IF(O54=28,3,IF(O54=29,2,IF(O54=30,1)))))))))))))))))))))))))))))))</f>
        <v>5</v>
      </c>
      <c r="V54" s="9" t="str">
        <f>IF(OR(P54="",P54&gt;30),"",IF(P54=1,60,IF(P54=2,55,IF(P54=3,50,IF(P54=4,44,IF(P54=5,38,IF(P54=6,32,IF(P54=7,28,IF(P54=8,25,IF(P54=9,22,IF(P54=10,21,IF(P54=11,20,IF(P54=12,19,IF(P54=13,18,IF(P54=14,17,IF(P54=15,16,IF(P54=16,15,IF(P54=17,14,IF(P54=18,13,IF(P54=19,12,IF(P54=20,11,IF(P54=21,10,IF(P54=22,9,IF(P54=23,8,IF(P54=24,7,IF(P54=25,6,IF(P54=26,5,IF(P54=27,4,IF(P54=28,3,IF(P54=29,2,IF(P54=30,1)))))))))))))))))))))))))))))))</f>
        <v/>
      </c>
      <c r="W54" s="9" t="str">
        <f>IF(OR(Q54="",Q54&gt;30),"",IF(Q54=1,60,IF(Q54=2,55,IF(Q54=3,50,IF(Q54=4,44,IF(Q54=5,38,IF(Q54=6,32,IF(Q54=7,28,IF(Q54=8,25,IF(Q54=9,22,IF(Q54=10,21,IF(Q54=11,20,IF(Q54=12,19,IF(Q54=13,18,IF(Q54=14,17,IF(Q54=15,16,IF(Q54=16,15,IF(Q54=17,14,IF(Q54=18,13,IF(Q54=19,12,IF(Q54=20,11,IF(Q54=21,10,IF(Q54=22,9,IF(Q54=23,8,IF(Q54=24,7,IF(Q54=25,6,IF(Q54=26,5,IF(Q54=27,4,IF(Q54=28,3,IF(Q54=29,2,IF(Q54=30,1)))))))))))))))))))))))))))))))</f>
        <v/>
      </c>
      <c r="X54" s="15">
        <f>IF(A54="","",IF(OR(C54="P",D54="P"),"",IF(IF(COUNT(R54:W54)&lt;5,SUM(R54:W54),IF(COUNT(R54:W54)=5,SUM(R54:W54)-MIN(R54:W54),SUM(R54:W54)-MIN(R54:W54)-SMALL(R54:W54,2)))&gt;0,IF(COUNT(R54:W54)&lt;5,SUM(R54:W54)+(1000-AB54)*10^-4+AC54*10^-5+(1000-AD54)*10^-8,IF(COUNT(R54:W54)=5,SUM(R54:W54)-MIN(R54:W54)+(1000-AB54)*10^-4+AC54*10^-5+(1000-AD54)*10^-8,SUM(R54:W54)-MIN(R54:W54)-SMALL(R54:W54,2)+(1000-AB54)*10^-4+AC54*10^-5+(1000-AD54)*10^-8)),0)))</f>
        <v>6.0944097400000006</v>
      </c>
      <c r="Y54" s="2" t="str">
        <f>IF(OR(X54="",X54=0),"",IF(SUMPRODUCT(--(B$3:B$102=B54),--(X$3:X$102&gt;X54),--(X$3:X$102&lt;&gt;"")),"","P"))</f>
        <v/>
      </c>
      <c r="Z54" s="2" t="str">
        <f>IF(X54="","",IF(SUMPRODUCT(--(C$3:C$102="P"),--(B$3:B$102=B54)),"P",""))</f>
        <v/>
      </c>
      <c r="AA54" s="15" t="str">
        <f>IF(AND(Y54&lt;&gt;"",OR(Z54="",SUMPRODUCT(--(X$3:X$102&gt;X54),--(Z$3:Z$102="P"),--(Y$3:Y$102="P"))&lt;4)),X54,"")</f>
        <v/>
      </c>
      <c r="AB54" s="9">
        <f>IF(A54="","",IF(OR(C54="P",D54="P"),"",IF(IF(COUNT(L54:Q54)&lt;5,SUM(L54:Q54),IF(COUNT(L54:Q54)=5,SUM(L54:Q54)-MIN(L54:Q54),SUM(L54:Q54)-MIN(L54:Q54)-SMALL(L54:Q54,2)))&gt;0,IF(COUNT(L54:Q54)&lt;5,SUM(L54:Q54),IF(COUNT(L54:Q54)=5,SUM(L54:Q54)-MIN(L54:Q54),SUM(L54:Q54)-MIN(L54:Q54)-SMALL(L54:Q54,2))),0)))</f>
        <v>56</v>
      </c>
      <c r="AC54" s="9">
        <f>COUNTIF(L54:Q54,"&lt;=8")</f>
        <v>0</v>
      </c>
      <c r="AD54" s="9">
        <f>MIN(L54:Q54)</f>
        <v>26</v>
      </c>
    </row>
    <row r="55" spans="1:30" x14ac:dyDescent="0.2">
      <c r="A55" s="7" t="s">
        <v>102</v>
      </c>
      <c r="B55" s="6" t="s">
        <v>54</v>
      </c>
      <c r="E55" s="3" t="str">
        <f>IF(AA55="","",RANK(AA55,AA:AA))</f>
        <v/>
      </c>
      <c r="F55" s="6">
        <v>35</v>
      </c>
      <c r="G55" s="6">
        <v>36</v>
      </c>
      <c r="H55" s="6">
        <v>37</v>
      </c>
      <c r="I55" s="6">
        <v>30</v>
      </c>
      <c r="J55" s="6"/>
      <c r="K55" s="6"/>
      <c r="L55" s="9">
        <f>IF(OR($C55&lt;&gt;"",$D55&lt;&gt;"",F55=""),"",F55-SUMPRODUCT(--($C$3:$C$102="P"),--(F$3:F$102&lt;F55),--(F$3:F$102&lt;&gt;""))-SUMPRODUCT(--($D$3:$D$102="P"),--(F$3:F$102&lt;F55),--(F$3:F$102&lt;&gt;"")))</f>
        <v>32</v>
      </c>
      <c r="M55" s="9">
        <f>IF(OR($C55&lt;&gt;"",$D55&lt;&gt;"",G55=""),"",G55-SUMPRODUCT(--($C$3:$C$102="P"),--(G$3:G$102&lt;G55),--(G$3:G$102&lt;&gt;""))-SUMPRODUCT(--($D$3:$D$102="P"),--(G$3:G$102&lt;G55),--(G$3:G$102&lt;&gt;"")))</f>
        <v>34</v>
      </c>
      <c r="N55" s="9">
        <f>IF(OR($C55&lt;&gt;"",$D55&lt;&gt;"",H55=""),"",H55-SUMPRODUCT(--($C$3:$C$102="P"),--(H$3:H$102&lt;H55),--(H$3:H$102&lt;&gt;""))-SUMPRODUCT(--($D$3:$D$102="P"),--(H$3:H$102&lt;H55),--(H$3:H$102&lt;&gt;"")))</f>
        <v>33</v>
      </c>
      <c r="O55" s="9">
        <f>IF(OR($C55&lt;&gt;"",$D55&lt;&gt;"",I55=""),"",I55-SUMPRODUCT(--($C$3:$C$102="P"),--(I$3:I$102&lt;I55),--(I$3:I$102&lt;&gt;""))-SUMPRODUCT(--($D$3:$D$102="P"),--(I$3:I$102&lt;I55),--(I$3:I$102&lt;&gt;"")))</f>
        <v>25</v>
      </c>
      <c r="P55" s="9" t="str">
        <f>IF(OR($C55&lt;&gt;"",$D55&lt;&gt;"",J55=""),"",J55-SUMPRODUCT(--($C$3:$C$102="P"),--(J$3:J$102&lt;J55),--(J$3:J$102&lt;&gt;""))-SUMPRODUCT(--($D$3:$D$102="P"),--(J$3:J$102&lt;J55),--(J$3:J$102&lt;&gt;"")))</f>
        <v/>
      </c>
      <c r="Q55" s="9" t="str">
        <f>IF(OR($C55&lt;&gt;"",$D55&lt;&gt;"",K55=""),"",K55-SUMPRODUCT(--($C$3:$C$102="P"),--(K$3:K$102&lt;K55),--(K$3:K$102&lt;&gt;""))-SUMPRODUCT(--($D$3:$D$102="P"),--(K$3:K$102&lt;K55),--(K$3:K$102&lt;&gt;"")))</f>
        <v/>
      </c>
      <c r="R55" s="9" t="str">
        <f>IF(OR(L55="",L55&gt;30),"",IF(L55=1,60,IF(L55=2,55,IF(L55=3,50,IF(L55=4,44,IF(L55=5,38,IF(L55=6,32,IF(L55=7,28,IF(L55=8,25,IF(L55=9,22,IF(L55=10,21,IF(L55=11,20,IF(L55=12,19,IF(L55=13,18,IF(L55=14,17,IF(L55=15,16,IF(L55=16,15,IF(L55=17,14,IF(L55=18,13,IF(L55=19,12,IF(L55=20,11,IF(L55=21,10,IF(L55=22,9,IF(L55=23,8,IF(L55=24,7,IF(L55=25,6,IF(L55=26,5,IF(L55=27,4,IF(L55=28,3,IF(L55=29,2,IF(L55=30,1)))))))))))))))))))))))))))))))</f>
        <v/>
      </c>
      <c r="S55" s="9" t="str">
        <f>IF(OR(M55="",M55&gt;30),"",IF(M55=1,60,IF(M55=2,55,IF(M55=3,50,IF(M55=4,44,IF(M55=5,38,IF(M55=6,32,IF(M55=7,28,IF(M55=8,25,IF(M55=9,22,IF(M55=10,21,IF(M55=11,20,IF(M55=12,19,IF(M55=13,18,IF(M55=14,17,IF(M55=15,16,IF(M55=16,15,IF(M55=17,14,IF(M55=18,13,IF(M55=19,12,IF(M55=20,11,IF(M55=21,10,IF(M55=22,9,IF(M55=23,8,IF(M55=24,7,IF(M55=25,6,IF(M55=26,5,IF(M55=27,4,IF(M55=28,3,IF(M55=29,2,IF(M55=30,1)))))))))))))))))))))))))))))))</f>
        <v/>
      </c>
      <c r="T55" s="9" t="str">
        <f>IF(OR(N55="",N55&gt;30),"",IF(N55=1,60,IF(N55=2,55,IF(N55=3,50,IF(N55=4,44,IF(N55=5,38,IF(N55=6,32,IF(N55=7,28,IF(N55=8,25,IF(N55=9,22,IF(N55=10,21,IF(N55=11,20,IF(N55=12,19,IF(N55=13,18,IF(N55=14,17,IF(N55=15,16,IF(N55=16,15,IF(N55=17,14,IF(N55=18,13,IF(N55=19,12,IF(N55=20,11,IF(N55=21,10,IF(N55=22,9,IF(N55=23,8,IF(N55=24,7,IF(N55=25,6,IF(N55=26,5,IF(N55=27,4,IF(N55=28,3,IF(N55=29,2,IF(N55=30,1)))))))))))))))))))))))))))))))</f>
        <v/>
      </c>
      <c r="U55" s="9">
        <f>IF(OR(O55="",O55&gt;30),"",IF(O55=1,60,IF(O55=2,55,IF(O55=3,50,IF(O55=4,44,IF(O55=5,38,IF(O55=6,32,IF(O55=7,28,IF(O55=8,25,IF(O55=9,22,IF(O55=10,21,IF(O55=11,20,IF(O55=12,19,IF(O55=13,18,IF(O55=14,17,IF(O55=15,16,IF(O55=16,15,IF(O55=17,14,IF(O55=18,13,IF(O55=19,12,IF(O55=20,11,IF(O55=21,10,IF(O55=22,9,IF(O55=23,8,IF(O55=24,7,IF(O55=25,6,IF(O55=26,5,IF(O55=27,4,IF(O55=28,3,IF(O55=29,2,IF(O55=30,1)))))))))))))))))))))))))))))))</f>
        <v>6</v>
      </c>
      <c r="V55" s="9" t="str">
        <f>IF(OR(P55="",P55&gt;30),"",IF(P55=1,60,IF(P55=2,55,IF(P55=3,50,IF(P55=4,44,IF(P55=5,38,IF(P55=6,32,IF(P55=7,28,IF(P55=8,25,IF(P55=9,22,IF(P55=10,21,IF(P55=11,20,IF(P55=12,19,IF(P55=13,18,IF(P55=14,17,IF(P55=15,16,IF(P55=16,15,IF(P55=17,14,IF(P55=18,13,IF(P55=19,12,IF(P55=20,11,IF(P55=21,10,IF(P55=22,9,IF(P55=23,8,IF(P55=24,7,IF(P55=25,6,IF(P55=26,5,IF(P55=27,4,IF(P55=28,3,IF(P55=29,2,IF(P55=30,1)))))))))))))))))))))))))))))))</f>
        <v/>
      </c>
      <c r="W55" s="9" t="str">
        <f>IF(OR(Q55="",Q55&gt;30),"",IF(Q55=1,60,IF(Q55=2,55,IF(Q55=3,50,IF(Q55=4,44,IF(Q55=5,38,IF(Q55=6,32,IF(Q55=7,28,IF(Q55=8,25,IF(Q55=9,22,IF(Q55=10,21,IF(Q55=11,20,IF(Q55=12,19,IF(Q55=13,18,IF(Q55=14,17,IF(Q55=15,16,IF(Q55=16,15,IF(Q55=17,14,IF(Q55=18,13,IF(Q55=19,12,IF(Q55=20,11,IF(Q55=21,10,IF(Q55=22,9,IF(Q55=23,8,IF(Q55=24,7,IF(Q55=25,6,IF(Q55=26,5,IF(Q55=27,4,IF(Q55=28,3,IF(Q55=29,2,IF(Q55=30,1)))))))))))))))))))))))))))))))</f>
        <v/>
      </c>
      <c r="X55" s="15">
        <f>IF(A55="","",IF(OR(C55="P",D55="P"),"",IF(IF(COUNT(R55:W55)&lt;5,SUM(R55:W55),IF(COUNT(R55:W55)=5,SUM(R55:W55)-MIN(R55:W55),SUM(R55:W55)-MIN(R55:W55)-SMALL(R55:W55,2)))&gt;0,IF(COUNT(R55:W55)&lt;5,SUM(R55:W55)+(1000-AB55)*10^-4+AC55*10^-5+(1000-AD55)*10^-8,IF(COUNT(R55:W55)=5,SUM(R55:W55)-MIN(R55:W55)+(1000-AB55)*10^-4+AC55*10^-5+(1000-AD55)*10^-8,SUM(R55:W55)-MIN(R55:W55)-SMALL(R55:W55,2)+(1000-AB55)*10^-4+AC55*10^-5+(1000-AD55)*10^-8)),0)))</f>
        <v>6.0876097500000004</v>
      </c>
      <c r="Y55" s="2" t="str">
        <f>IF(OR(X55="",X55=0),"",IF(SUMPRODUCT(--(B$3:B$102=B55),--(X$3:X$102&gt;X55),--(X$3:X$102&lt;&gt;"")),"","P"))</f>
        <v/>
      </c>
      <c r="Z55" s="2" t="str">
        <f>IF(X55="","",IF(SUMPRODUCT(--(C$3:C$102="P"),--(B$3:B$102=B55)),"P",""))</f>
        <v/>
      </c>
      <c r="AA55" s="15" t="str">
        <f>IF(AND(Y55&lt;&gt;"",OR(Z55="",SUMPRODUCT(--(X$3:X$102&gt;X55),--(Z$3:Z$102="P"),--(Y$3:Y$102="P"))&lt;4)),X55,"")</f>
        <v/>
      </c>
      <c r="AB55" s="9">
        <f>IF(A55="","",IF(OR(C55="P",D55="P"),"",IF(IF(COUNT(L55:Q55)&lt;5,SUM(L55:Q55),IF(COUNT(L55:Q55)=5,SUM(L55:Q55)-MIN(L55:Q55),SUM(L55:Q55)-MIN(L55:Q55)-SMALL(L55:Q55,2)))&gt;0,IF(COUNT(L55:Q55)&lt;5,SUM(L55:Q55),IF(COUNT(L55:Q55)=5,SUM(L55:Q55)-MIN(L55:Q55),SUM(L55:Q55)-MIN(L55:Q55)-SMALL(L55:Q55,2))),0)))</f>
        <v>124</v>
      </c>
      <c r="AC55" s="9">
        <f>COUNTIF(L55:Q55,"&lt;=8")</f>
        <v>0</v>
      </c>
      <c r="AD55" s="9">
        <f>MIN(L55:Q55)</f>
        <v>25</v>
      </c>
    </row>
    <row r="56" spans="1:30" x14ac:dyDescent="0.2">
      <c r="A56" s="7" t="s">
        <v>124</v>
      </c>
      <c r="B56" s="6" t="s">
        <v>125</v>
      </c>
      <c r="E56" s="3">
        <f>IF(AA56="","",RANK(AA56,AA:AA))</f>
        <v>22</v>
      </c>
      <c r="F56" s="6"/>
      <c r="G56" s="6">
        <v>28</v>
      </c>
      <c r="H56" s="6">
        <v>55</v>
      </c>
      <c r="I56" s="6">
        <v>89</v>
      </c>
      <c r="J56" s="6"/>
      <c r="K56" s="6"/>
      <c r="L56" s="9" t="str">
        <f>IF(OR($C56&lt;&gt;"",$D56&lt;&gt;"",F56=""),"",F56-SUMPRODUCT(--($C$3:$C$102="P"),--(F$3:F$102&lt;F56),--(F$3:F$102&lt;&gt;""))-SUMPRODUCT(--($D$3:$D$102="P"),--(F$3:F$102&lt;F56),--(F$3:F$102&lt;&gt;"")))</f>
        <v/>
      </c>
      <c r="M56" s="9">
        <f>IF(OR($C56&lt;&gt;"",$D56&lt;&gt;"",G56=""),"",G56-SUMPRODUCT(--($C$3:$C$102="P"),--(G$3:G$102&lt;G56),--(G$3:G$102&lt;&gt;""))-SUMPRODUCT(--($D$3:$D$102="P"),--(G$3:G$102&lt;G56),--(G$3:G$102&lt;&gt;"")))</f>
        <v>26</v>
      </c>
      <c r="N56" s="9">
        <f>IF(OR($C56&lt;&gt;"",$D56&lt;&gt;"",H56=""),"",H56-SUMPRODUCT(--($C$3:$C$102="P"),--(H$3:H$102&lt;H56),--(H$3:H$102&lt;&gt;""))-SUMPRODUCT(--($D$3:$D$102="P"),--(H$3:H$102&lt;H56),--(H$3:H$102&lt;&gt;"")))</f>
        <v>51</v>
      </c>
      <c r="O56" s="9">
        <f>IF(OR($C56&lt;&gt;"",$D56&lt;&gt;"",I56=""),"",I56-SUMPRODUCT(--($C$3:$C$102="P"),--(I$3:I$102&lt;I56),--(I$3:I$102&lt;&gt;""))-SUMPRODUCT(--($D$3:$D$102="P"),--(I$3:I$102&lt;I56),--(I$3:I$102&lt;&gt;"")))</f>
        <v>84</v>
      </c>
      <c r="P56" s="9" t="str">
        <f>IF(OR($C56&lt;&gt;"",$D56&lt;&gt;"",J56=""),"",J56-SUMPRODUCT(--($C$3:$C$102="P"),--(J$3:J$102&lt;J56),--(J$3:J$102&lt;&gt;""))-SUMPRODUCT(--($D$3:$D$102="P"),--(J$3:J$102&lt;J56),--(J$3:J$102&lt;&gt;"")))</f>
        <v/>
      </c>
      <c r="Q56" s="9" t="str">
        <f>IF(OR($C56&lt;&gt;"",$D56&lt;&gt;"",K56=""),"",K56-SUMPRODUCT(--($C$3:$C$102="P"),--(K$3:K$102&lt;K56),--(K$3:K$102&lt;&gt;""))-SUMPRODUCT(--($D$3:$D$102="P"),--(K$3:K$102&lt;K56),--(K$3:K$102&lt;&gt;"")))</f>
        <v/>
      </c>
      <c r="R56" s="9" t="str">
        <f>IF(OR(L56="",L56&gt;30),"",IF(L56=1,60,IF(L56=2,55,IF(L56=3,50,IF(L56=4,44,IF(L56=5,38,IF(L56=6,32,IF(L56=7,28,IF(L56=8,25,IF(L56=9,22,IF(L56=10,21,IF(L56=11,20,IF(L56=12,19,IF(L56=13,18,IF(L56=14,17,IF(L56=15,16,IF(L56=16,15,IF(L56=17,14,IF(L56=18,13,IF(L56=19,12,IF(L56=20,11,IF(L56=21,10,IF(L56=22,9,IF(L56=23,8,IF(L56=24,7,IF(L56=25,6,IF(L56=26,5,IF(L56=27,4,IF(L56=28,3,IF(L56=29,2,IF(L56=30,1)))))))))))))))))))))))))))))))</f>
        <v/>
      </c>
      <c r="S56" s="9">
        <f>IF(OR(M56="",M56&gt;30),"",IF(M56=1,60,IF(M56=2,55,IF(M56=3,50,IF(M56=4,44,IF(M56=5,38,IF(M56=6,32,IF(M56=7,28,IF(M56=8,25,IF(M56=9,22,IF(M56=10,21,IF(M56=11,20,IF(M56=12,19,IF(M56=13,18,IF(M56=14,17,IF(M56=15,16,IF(M56=16,15,IF(M56=17,14,IF(M56=18,13,IF(M56=19,12,IF(M56=20,11,IF(M56=21,10,IF(M56=22,9,IF(M56=23,8,IF(M56=24,7,IF(M56=25,6,IF(M56=26,5,IF(M56=27,4,IF(M56=28,3,IF(M56=29,2,IF(M56=30,1)))))))))))))))))))))))))))))))</f>
        <v>5</v>
      </c>
      <c r="T56" s="9" t="str">
        <f>IF(OR(N56="",N56&gt;30),"",IF(N56=1,60,IF(N56=2,55,IF(N56=3,50,IF(N56=4,44,IF(N56=5,38,IF(N56=6,32,IF(N56=7,28,IF(N56=8,25,IF(N56=9,22,IF(N56=10,21,IF(N56=11,20,IF(N56=12,19,IF(N56=13,18,IF(N56=14,17,IF(N56=15,16,IF(N56=16,15,IF(N56=17,14,IF(N56=18,13,IF(N56=19,12,IF(N56=20,11,IF(N56=21,10,IF(N56=22,9,IF(N56=23,8,IF(N56=24,7,IF(N56=25,6,IF(N56=26,5,IF(N56=27,4,IF(N56=28,3,IF(N56=29,2,IF(N56=30,1)))))))))))))))))))))))))))))))</f>
        <v/>
      </c>
      <c r="U56" s="9" t="str">
        <f>IF(OR(O56="",O56&gt;30),"",IF(O56=1,60,IF(O56=2,55,IF(O56=3,50,IF(O56=4,44,IF(O56=5,38,IF(O56=6,32,IF(O56=7,28,IF(O56=8,25,IF(O56=9,22,IF(O56=10,21,IF(O56=11,20,IF(O56=12,19,IF(O56=13,18,IF(O56=14,17,IF(O56=15,16,IF(O56=16,15,IF(O56=17,14,IF(O56=18,13,IF(O56=19,12,IF(O56=20,11,IF(O56=21,10,IF(O56=22,9,IF(O56=23,8,IF(O56=24,7,IF(O56=25,6,IF(O56=26,5,IF(O56=27,4,IF(O56=28,3,IF(O56=29,2,IF(O56=30,1)))))))))))))))))))))))))))))))</f>
        <v/>
      </c>
      <c r="V56" s="9" t="str">
        <f>IF(OR(P56="",P56&gt;30),"",IF(P56=1,60,IF(P56=2,55,IF(P56=3,50,IF(P56=4,44,IF(P56=5,38,IF(P56=6,32,IF(P56=7,28,IF(P56=8,25,IF(P56=9,22,IF(P56=10,21,IF(P56=11,20,IF(P56=12,19,IF(P56=13,18,IF(P56=14,17,IF(P56=15,16,IF(P56=16,15,IF(P56=17,14,IF(P56=18,13,IF(P56=19,12,IF(P56=20,11,IF(P56=21,10,IF(P56=22,9,IF(P56=23,8,IF(P56=24,7,IF(P56=25,6,IF(P56=26,5,IF(P56=27,4,IF(P56=28,3,IF(P56=29,2,IF(P56=30,1)))))))))))))))))))))))))))))))</f>
        <v/>
      </c>
      <c r="W56" s="9" t="str">
        <f>IF(OR(Q56="",Q56&gt;30),"",IF(Q56=1,60,IF(Q56=2,55,IF(Q56=3,50,IF(Q56=4,44,IF(Q56=5,38,IF(Q56=6,32,IF(Q56=7,28,IF(Q56=8,25,IF(Q56=9,22,IF(Q56=10,21,IF(Q56=11,20,IF(Q56=12,19,IF(Q56=13,18,IF(Q56=14,17,IF(Q56=15,16,IF(Q56=16,15,IF(Q56=17,14,IF(Q56=18,13,IF(Q56=19,12,IF(Q56=20,11,IF(Q56=21,10,IF(Q56=22,9,IF(Q56=23,8,IF(Q56=24,7,IF(Q56=25,6,IF(Q56=26,5,IF(Q56=27,4,IF(Q56=28,3,IF(Q56=29,2,IF(Q56=30,1)))))))))))))))))))))))))))))))</f>
        <v/>
      </c>
      <c r="X56" s="15">
        <f>IF(A56="","",IF(OR(C56="P",D56="P"),"",IF(IF(COUNT(R56:W56)&lt;5,SUM(R56:W56),IF(COUNT(R56:W56)=5,SUM(R56:W56)-MIN(R56:W56),SUM(R56:W56)-MIN(R56:W56)-SMALL(R56:W56,2)))&gt;0,IF(COUNT(R56:W56)&lt;5,SUM(R56:W56)+(1000-AB56)*10^-4+AC56*10^-5+(1000-AD56)*10^-8,IF(COUNT(R56:W56)=5,SUM(R56:W56)-MIN(R56:W56)+(1000-AB56)*10^-4+AC56*10^-5+(1000-AD56)*10^-8,SUM(R56:W56)-MIN(R56:W56)-SMALL(R56:W56,2)+(1000-AB56)*10^-4+AC56*10^-5+(1000-AD56)*10^-8)),0)))</f>
        <v>5.0839097400000002</v>
      </c>
      <c r="Y56" s="2" t="str">
        <f>IF(OR(X56="",X56=0),"",IF(SUMPRODUCT(--(B$3:B$102=B56),--(X$3:X$102&gt;X56),--(X$3:X$102&lt;&gt;"")),"","P"))</f>
        <v>P</v>
      </c>
      <c r="Z56" s="2" t="str">
        <f>IF(X56="","",IF(SUMPRODUCT(--(C$3:C$102="P"),--(B$3:B$102=B56)),"P",""))</f>
        <v/>
      </c>
      <c r="AA56" s="15">
        <f>IF(AND(Y56&lt;&gt;"",OR(Z56="",SUMPRODUCT(--(X$3:X$102&gt;X56),--(Z$3:Z$102="P"),--(Y$3:Y$102="P"))&lt;4)),X56,"")</f>
        <v>5.0839097400000002</v>
      </c>
      <c r="AB56" s="9">
        <f>IF(A56="","",IF(OR(C56="P",D56="P"),"",IF(IF(COUNT(L56:Q56)&lt;5,SUM(L56:Q56),IF(COUNT(L56:Q56)=5,SUM(L56:Q56)-MIN(L56:Q56),SUM(L56:Q56)-MIN(L56:Q56)-SMALL(L56:Q56,2)))&gt;0,IF(COUNT(L56:Q56)&lt;5,SUM(L56:Q56),IF(COUNT(L56:Q56)=5,SUM(L56:Q56)-MIN(L56:Q56),SUM(L56:Q56)-MIN(L56:Q56)-SMALL(L56:Q56,2))),0)))</f>
        <v>161</v>
      </c>
      <c r="AC56" s="9">
        <f>COUNTIF(L56:Q56,"&lt;=8")</f>
        <v>0</v>
      </c>
      <c r="AD56" s="9">
        <f>MIN(L56:Q56)</f>
        <v>26</v>
      </c>
    </row>
    <row r="57" spans="1:30" x14ac:dyDescent="0.2">
      <c r="A57" s="7" t="s">
        <v>173</v>
      </c>
      <c r="B57" s="6" t="s">
        <v>24</v>
      </c>
      <c r="E57" s="3"/>
      <c r="F57" s="6"/>
      <c r="G57" s="6">
        <v>80</v>
      </c>
      <c r="H57" s="6">
        <v>31</v>
      </c>
      <c r="I57" s="6">
        <v>92</v>
      </c>
      <c r="J57" s="6"/>
      <c r="K57" s="6"/>
      <c r="L57" s="9" t="str">
        <f>IF(OR($C57&lt;&gt;"",$D57&lt;&gt;"",F57=""),"",F57-SUMPRODUCT(--($C$3:$C$102="P"),--(F$3:F$102&lt;F57),--(F$3:F$102&lt;&gt;""))-SUMPRODUCT(--($D$3:$D$102="P"),--(F$3:F$102&lt;F57),--(F$3:F$102&lt;&gt;"")))</f>
        <v/>
      </c>
      <c r="M57" s="9">
        <f>IF(OR($C57&lt;&gt;"",$D57&lt;&gt;"",G57=""),"",G57-SUMPRODUCT(--($C$3:$C$102="P"),--(G$3:G$102&lt;G57),--(G$3:G$102&lt;&gt;""))-SUMPRODUCT(--($D$3:$D$102="P"),--(G$3:G$102&lt;G57),--(G$3:G$102&lt;&gt;"")))</f>
        <v>76</v>
      </c>
      <c r="N57" s="9">
        <f>IF(OR($C57&lt;&gt;"",$D57&lt;&gt;"",H57=""),"",H57-SUMPRODUCT(--($C$3:$C$102="P"),--(H$3:H$102&lt;H57),--(H$3:H$102&lt;&gt;""))-SUMPRODUCT(--($D$3:$D$102="P"),--(H$3:H$102&lt;H57),--(H$3:H$102&lt;&gt;"")))</f>
        <v>27</v>
      </c>
      <c r="O57" s="9">
        <f>IF(OR($C57&lt;&gt;"",$D57&lt;&gt;"",I57=""),"",I57-SUMPRODUCT(--($C$3:$C$102="P"),--(I$3:I$102&lt;I57),--(I$3:I$102&lt;&gt;""))-SUMPRODUCT(--($D$3:$D$102="P"),--(I$3:I$102&lt;I57),--(I$3:I$102&lt;&gt;"")))</f>
        <v>87</v>
      </c>
      <c r="P57" s="9" t="str">
        <f>IF(OR($C57&lt;&gt;"",$D57&lt;&gt;"",J57=""),"",J57-SUMPRODUCT(--($C$3:$C$102="P"),--(J$3:J$102&lt;J57),--(J$3:J$102&lt;&gt;""))-SUMPRODUCT(--($D$3:$D$102="P"),--(J$3:J$102&lt;J57),--(J$3:J$102&lt;&gt;"")))</f>
        <v/>
      </c>
      <c r="Q57" s="9" t="str">
        <f>IF(OR($C57&lt;&gt;"",$D57&lt;&gt;"",K57=""),"",K57-SUMPRODUCT(--($C$3:$C$102="P"),--(K$3:K$102&lt;K57),--(K$3:K$102&lt;&gt;""))-SUMPRODUCT(--($D$3:$D$102="P"),--(K$3:K$102&lt;K57),--(K$3:K$102&lt;&gt;"")))</f>
        <v/>
      </c>
      <c r="R57" s="9" t="str">
        <f>IF(OR(L57="",L57&gt;30),"",IF(L57=1,60,IF(L57=2,55,IF(L57=3,50,IF(L57=4,44,IF(L57=5,38,IF(L57=6,32,IF(L57=7,28,IF(L57=8,25,IF(L57=9,22,IF(L57=10,21,IF(L57=11,20,IF(L57=12,19,IF(L57=13,18,IF(L57=14,17,IF(L57=15,16,IF(L57=16,15,IF(L57=17,14,IF(L57=18,13,IF(L57=19,12,IF(L57=20,11,IF(L57=21,10,IF(L57=22,9,IF(L57=23,8,IF(L57=24,7,IF(L57=25,6,IF(L57=26,5,IF(L57=27,4,IF(L57=28,3,IF(L57=29,2,IF(L57=30,1)))))))))))))))))))))))))))))))</f>
        <v/>
      </c>
      <c r="S57" s="9" t="str">
        <f>IF(OR(M57="",M57&gt;30),"",IF(M57=1,60,IF(M57=2,55,IF(M57=3,50,IF(M57=4,44,IF(M57=5,38,IF(M57=6,32,IF(M57=7,28,IF(M57=8,25,IF(M57=9,22,IF(M57=10,21,IF(M57=11,20,IF(M57=12,19,IF(M57=13,18,IF(M57=14,17,IF(M57=15,16,IF(M57=16,15,IF(M57=17,14,IF(M57=18,13,IF(M57=19,12,IF(M57=20,11,IF(M57=21,10,IF(M57=22,9,IF(M57=23,8,IF(M57=24,7,IF(M57=25,6,IF(M57=26,5,IF(M57=27,4,IF(M57=28,3,IF(M57=29,2,IF(M57=30,1)))))))))))))))))))))))))))))))</f>
        <v/>
      </c>
      <c r="T57" s="9">
        <f>IF(OR(N57="",N57&gt;30),"",IF(N57=1,60,IF(N57=2,55,IF(N57=3,50,IF(N57=4,44,IF(N57=5,38,IF(N57=6,32,IF(N57=7,28,IF(N57=8,25,IF(N57=9,22,IF(N57=10,21,IF(N57=11,20,IF(N57=12,19,IF(N57=13,18,IF(N57=14,17,IF(N57=15,16,IF(N57=16,15,IF(N57=17,14,IF(N57=18,13,IF(N57=19,12,IF(N57=20,11,IF(N57=21,10,IF(N57=22,9,IF(N57=23,8,IF(N57=24,7,IF(N57=25,6,IF(N57=26,5,IF(N57=27,4,IF(N57=28,3,IF(N57=29,2,IF(N57=30,1)))))))))))))))))))))))))))))))</f>
        <v>4</v>
      </c>
      <c r="U57" s="9" t="str">
        <f>IF(OR(O57="",O57&gt;30),"",IF(O57=1,60,IF(O57=2,55,IF(O57=3,50,IF(O57=4,44,IF(O57=5,38,IF(O57=6,32,IF(O57=7,28,IF(O57=8,25,IF(O57=9,22,IF(O57=10,21,IF(O57=11,20,IF(O57=12,19,IF(O57=13,18,IF(O57=14,17,IF(O57=15,16,IF(O57=16,15,IF(O57=17,14,IF(O57=18,13,IF(O57=19,12,IF(O57=20,11,IF(O57=21,10,IF(O57=22,9,IF(O57=23,8,IF(O57=24,7,IF(O57=25,6,IF(O57=26,5,IF(O57=27,4,IF(O57=28,3,IF(O57=29,2,IF(O57=30,1)))))))))))))))))))))))))))))))</f>
        <v/>
      </c>
      <c r="V57" s="9" t="str">
        <f>IF(OR(P57="",P57&gt;30),"",IF(P57=1,60,IF(P57=2,55,IF(P57=3,50,IF(P57=4,44,IF(P57=5,38,IF(P57=6,32,IF(P57=7,28,IF(P57=8,25,IF(P57=9,22,IF(P57=10,21,IF(P57=11,20,IF(P57=12,19,IF(P57=13,18,IF(P57=14,17,IF(P57=15,16,IF(P57=16,15,IF(P57=17,14,IF(P57=18,13,IF(P57=19,12,IF(P57=20,11,IF(P57=21,10,IF(P57=22,9,IF(P57=23,8,IF(P57=24,7,IF(P57=25,6,IF(P57=26,5,IF(P57=27,4,IF(P57=28,3,IF(P57=29,2,IF(P57=30,1)))))))))))))))))))))))))))))))</f>
        <v/>
      </c>
      <c r="W57" s="9" t="str">
        <f>IF(OR(Q57="",Q57&gt;30),"",IF(Q57=1,60,IF(Q57=2,55,IF(Q57=3,50,IF(Q57=4,44,IF(Q57=5,38,IF(Q57=6,32,IF(Q57=7,28,IF(Q57=8,25,IF(Q57=9,22,IF(Q57=10,21,IF(Q57=11,20,IF(Q57=12,19,IF(Q57=13,18,IF(Q57=14,17,IF(Q57=15,16,IF(Q57=16,15,IF(Q57=17,14,IF(Q57=18,13,IF(Q57=19,12,IF(Q57=20,11,IF(Q57=21,10,IF(Q57=22,9,IF(Q57=23,8,IF(Q57=24,7,IF(Q57=25,6,IF(Q57=26,5,IF(Q57=27,4,IF(Q57=28,3,IF(Q57=29,2,IF(Q57=30,1)))))))))))))))))))))))))))))))</f>
        <v/>
      </c>
      <c r="X57" s="15">
        <f>IF(A57="","",IF(OR(C57="P",D57="P"),"",IF(IF(COUNT(R57:W57)&lt;5,SUM(R57:W57),IF(COUNT(R57:W57)=5,SUM(R57:W57)-MIN(R57:W57),SUM(R57:W57)-MIN(R57:W57)-SMALL(R57:W57,2)))&gt;0,IF(COUNT(R57:W57)&lt;5,SUM(R57:W57)+(1000-AB57)*10^-4+AC57*10^-5+(1000-AD57)*10^-8,IF(COUNT(R57:W57)=5,SUM(R57:W57)-MIN(R57:W57)+(1000-AB57)*10^-4+AC57*10^-5+(1000-AD57)*10^-8,SUM(R57:W57)-MIN(R57:W57)-SMALL(R57:W57,2)+(1000-AB57)*10^-4+AC57*10^-5+(1000-AD57)*10^-8)),0)))</f>
        <v>4.0810097300000008</v>
      </c>
      <c r="Y57" s="2" t="str">
        <f>IF(OR(X57="",X57=0),"",IF(SUMPRODUCT(--(B$3:B$102=B57),--(X$3:X$102&gt;X57),--(X$3:X$102&lt;&gt;"")),"","P"))</f>
        <v/>
      </c>
      <c r="Z57" s="2" t="str">
        <f>IF(X57="","",IF(SUMPRODUCT(--(C$3:C$102="P"),--(B$3:B$102=B57)),"P",""))</f>
        <v/>
      </c>
      <c r="AA57" s="15" t="str">
        <f>IF(AND(Y57&lt;&gt;"",OR(Z57="",SUMPRODUCT(--(X$3:X$102&gt;X57),--(Z$3:Z$102="P"),--(Y$3:Y$102="P"))&lt;4)),X57,"")</f>
        <v/>
      </c>
      <c r="AB57" s="9">
        <f>IF(A57="","",IF(OR(C57="P",D57="P"),"",IF(IF(COUNT(L57:Q57)&lt;5,SUM(L57:Q57),IF(COUNT(L57:Q57)=5,SUM(L57:Q57)-MIN(L57:Q57),SUM(L57:Q57)-MIN(L57:Q57)-SMALL(L57:Q57,2)))&gt;0,IF(COUNT(L57:Q57)&lt;5,SUM(L57:Q57),IF(COUNT(L57:Q57)=5,SUM(L57:Q57)-MIN(L57:Q57),SUM(L57:Q57)-MIN(L57:Q57)-SMALL(L57:Q57,2))),0)))</f>
        <v>190</v>
      </c>
      <c r="AC57" s="9">
        <f>COUNTIF(L57:Q57,"&lt;=8")</f>
        <v>0</v>
      </c>
      <c r="AD57" s="9">
        <f>MIN(L57:Q57)</f>
        <v>27</v>
      </c>
    </row>
    <row r="58" spans="1:30" x14ac:dyDescent="0.2">
      <c r="A58" s="7" t="s">
        <v>98</v>
      </c>
      <c r="B58" s="6" t="s">
        <v>17</v>
      </c>
      <c r="E58" s="3" t="str">
        <f>IF(AA58="","",RANK(AA58,AA:AA))</f>
        <v/>
      </c>
      <c r="F58" s="6">
        <v>31</v>
      </c>
      <c r="G58" s="6"/>
      <c r="H58" s="6">
        <v>35</v>
      </c>
      <c r="I58" s="6">
        <v>78</v>
      </c>
      <c r="J58" s="6"/>
      <c r="K58" s="6"/>
      <c r="L58" s="9">
        <f>IF(OR($C58&lt;&gt;"",$D58&lt;&gt;"",F58=""),"",F58-SUMPRODUCT(--($C$3:$C$102="P"),--(F$3:F$102&lt;F58),--(F$3:F$102&lt;&gt;""))-SUMPRODUCT(--($D$3:$D$102="P"),--(F$3:F$102&lt;F58),--(F$3:F$102&lt;&gt;"")))</f>
        <v>28</v>
      </c>
      <c r="M58" s="9" t="str">
        <f>IF(OR($C58&lt;&gt;"",$D58&lt;&gt;"",G58=""),"",G58-SUMPRODUCT(--($C$3:$C$102="P"),--(G$3:G$102&lt;G58),--(G$3:G$102&lt;&gt;""))-SUMPRODUCT(--($D$3:$D$102="P"),--(G$3:G$102&lt;G58),--(G$3:G$102&lt;&gt;"")))</f>
        <v/>
      </c>
      <c r="N58" s="9">
        <f>IF(OR($C58&lt;&gt;"",$D58&lt;&gt;"",H58=""),"",H58-SUMPRODUCT(--($C$3:$C$102="P"),--(H$3:H$102&lt;H58),--(H$3:H$102&lt;&gt;""))-SUMPRODUCT(--($D$3:$D$102="P"),--(H$3:H$102&lt;H58),--(H$3:H$102&lt;&gt;"")))</f>
        <v>31</v>
      </c>
      <c r="O58" s="9">
        <f>IF(OR($C58&lt;&gt;"",$D58&lt;&gt;"",I58=""),"",I58-SUMPRODUCT(--($C$3:$C$102="P"),--(I$3:I$102&lt;I58),--(I$3:I$102&lt;&gt;""))-SUMPRODUCT(--($D$3:$D$102="P"),--(I$3:I$102&lt;I58),--(I$3:I$102&lt;&gt;"")))</f>
        <v>73</v>
      </c>
      <c r="P58" s="9" t="str">
        <f>IF(OR($C58&lt;&gt;"",$D58&lt;&gt;"",J58=""),"",J58-SUMPRODUCT(--($C$3:$C$102="P"),--(J$3:J$102&lt;J58),--(J$3:J$102&lt;&gt;""))-SUMPRODUCT(--($D$3:$D$102="P"),--(J$3:J$102&lt;J58),--(J$3:J$102&lt;&gt;"")))</f>
        <v/>
      </c>
      <c r="Q58" s="9" t="str">
        <f>IF(OR($C58&lt;&gt;"",$D58&lt;&gt;"",K58=""),"",K58-SUMPRODUCT(--($C$3:$C$102="P"),--(K$3:K$102&lt;K58),--(K$3:K$102&lt;&gt;""))-SUMPRODUCT(--($D$3:$D$102="P"),--(K$3:K$102&lt;K58),--(K$3:K$102&lt;&gt;"")))</f>
        <v/>
      </c>
      <c r="R58" s="9">
        <f>IF(OR(L58="",L58&gt;30),"",IF(L58=1,60,IF(L58=2,55,IF(L58=3,50,IF(L58=4,44,IF(L58=5,38,IF(L58=6,32,IF(L58=7,28,IF(L58=8,25,IF(L58=9,22,IF(L58=10,21,IF(L58=11,20,IF(L58=12,19,IF(L58=13,18,IF(L58=14,17,IF(L58=15,16,IF(L58=16,15,IF(L58=17,14,IF(L58=18,13,IF(L58=19,12,IF(L58=20,11,IF(L58=21,10,IF(L58=22,9,IF(L58=23,8,IF(L58=24,7,IF(L58=25,6,IF(L58=26,5,IF(L58=27,4,IF(L58=28,3,IF(L58=29,2,IF(L58=30,1)))))))))))))))))))))))))))))))</f>
        <v>3</v>
      </c>
      <c r="S58" s="9" t="str">
        <f>IF(OR(M58="",M58&gt;30),"",IF(M58=1,60,IF(M58=2,55,IF(M58=3,50,IF(M58=4,44,IF(M58=5,38,IF(M58=6,32,IF(M58=7,28,IF(M58=8,25,IF(M58=9,22,IF(M58=10,21,IF(M58=11,20,IF(M58=12,19,IF(M58=13,18,IF(M58=14,17,IF(M58=15,16,IF(M58=16,15,IF(M58=17,14,IF(M58=18,13,IF(M58=19,12,IF(M58=20,11,IF(M58=21,10,IF(M58=22,9,IF(M58=23,8,IF(M58=24,7,IF(M58=25,6,IF(M58=26,5,IF(M58=27,4,IF(M58=28,3,IF(M58=29,2,IF(M58=30,1)))))))))))))))))))))))))))))))</f>
        <v/>
      </c>
      <c r="T58" s="9" t="str">
        <f>IF(OR(N58="",N58&gt;30),"",IF(N58=1,60,IF(N58=2,55,IF(N58=3,50,IF(N58=4,44,IF(N58=5,38,IF(N58=6,32,IF(N58=7,28,IF(N58=8,25,IF(N58=9,22,IF(N58=10,21,IF(N58=11,20,IF(N58=12,19,IF(N58=13,18,IF(N58=14,17,IF(N58=15,16,IF(N58=16,15,IF(N58=17,14,IF(N58=18,13,IF(N58=19,12,IF(N58=20,11,IF(N58=21,10,IF(N58=22,9,IF(N58=23,8,IF(N58=24,7,IF(N58=25,6,IF(N58=26,5,IF(N58=27,4,IF(N58=28,3,IF(N58=29,2,IF(N58=30,1)))))))))))))))))))))))))))))))</f>
        <v/>
      </c>
      <c r="U58" s="9" t="str">
        <f>IF(OR(O58="",O58&gt;30),"",IF(O58=1,60,IF(O58=2,55,IF(O58=3,50,IF(O58=4,44,IF(O58=5,38,IF(O58=6,32,IF(O58=7,28,IF(O58=8,25,IF(O58=9,22,IF(O58=10,21,IF(O58=11,20,IF(O58=12,19,IF(O58=13,18,IF(O58=14,17,IF(O58=15,16,IF(O58=16,15,IF(O58=17,14,IF(O58=18,13,IF(O58=19,12,IF(O58=20,11,IF(O58=21,10,IF(O58=22,9,IF(O58=23,8,IF(O58=24,7,IF(O58=25,6,IF(O58=26,5,IF(O58=27,4,IF(O58=28,3,IF(O58=29,2,IF(O58=30,1)))))))))))))))))))))))))))))))</f>
        <v/>
      </c>
      <c r="V58" s="9" t="str">
        <f>IF(OR(P58="",P58&gt;30),"",IF(P58=1,60,IF(P58=2,55,IF(P58=3,50,IF(P58=4,44,IF(P58=5,38,IF(P58=6,32,IF(P58=7,28,IF(P58=8,25,IF(P58=9,22,IF(P58=10,21,IF(P58=11,20,IF(P58=12,19,IF(P58=13,18,IF(P58=14,17,IF(P58=15,16,IF(P58=16,15,IF(P58=17,14,IF(P58=18,13,IF(P58=19,12,IF(P58=20,11,IF(P58=21,10,IF(P58=22,9,IF(P58=23,8,IF(P58=24,7,IF(P58=25,6,IF(P58=26,5,IF(P58=27,4,IF(P58=28,3,IF(P58=29,2,IF(P58=30,1)))))))))))))))))))))))))))))))</f>
        <v/>
      </c>
      <c r="W58" s="9" t="str">
        <f>IF(OR(Q58="",Q58&gt;30),"",IF(Q58=1,60,IF(Q58=2,55,IF(Q58=3,50,IF(Q58=4,44,IF(Q58=5,38,IF(Q58=6,32,IF(Q58=7,28,IF(Q58=8,25,IF(Q58=9,22,IF(Q58=10,21,IF(Q58=11,20,IF(Q58=12,19,IF(Q58=13,18,IF(Q58=14,17,IF(Q58=15,16,IF(Q58=16,15,IF(Q58=17,14,IF(Q58=18,13,IF(Q58=19,12,IF(Q58=20,11,IF(Q58=21,10,IF(Q58=22,9,IF(Q58=23,8,IF(Q58=24,7,IF(Q58=25,6,IF(Q58=26,5,IF(Q58=27,4,IF(Q58=28,3,IF(Q58=29,2,IF(Q58=30,1)))))))))))))))))))))))))))))))</f>
        <v/>
      </c>
      <c r="X58" s="15">
        <f>IF(A58="","",IF(OR(C58="P",D58="P"),"",IF(IF(COUNT(R58:W58)&lt;5,SUM(R58:W58),IF(COUNT(R58:W58)=5,SUM(R58:W58)-MIN(R58:W58),SUM(R58:W58)-MIN(R58:W58)-SMALL(R58:W58,2)))&gt;0,IF(COUNT(R58:W58)&lt;5,SUM(R58:W58)+(1000-AB58)*10^-4+AC58*10^-5+(1000-AD58)*10^-8,IF(COUNT(R58:W58)=5,SUM(R58:W58)-MIN(R58:W58)+(1000-AB58)*10^-4+AC58*10^-5+(1000-AD58)*10^-8,SUM(R58:W58)-MIN(R58:W58)-SMALL(R58:W58,2)+(1000-AB58)*10^-4+AC58*10^-5+(1000-AD58)*10^-8)),0)))</f>
        <v>3.0868097200000002</v>
      </c>
      <c r="Y58" s="2" t="str">
        <f>IF(OR(X58="",X58=0),"",IF(SUMPRODUCT(--(B$3:B$102=B58),--(X$3:X$102&gt;X58),--(X$3:X$102&lt;&gt;"")),"","P"))</f>
        <v/>
      </c>
      <c r="Z58" s="2" t="str">
        <f>IF(X58="","",IF(SUMPRODUCT(--(C$3:C$102="P"),--(B$3:B$102=B58)),"P",""))</f>
        <v/>
      </c>
      <c r="AA58" s="15" t="str">
        <f>IF(AND(Y58&lt;&gt;"",OR(Z58="",SUMPRODUCT(--(X$3:X$102&gt;X58),--(Z$3:Z$102="P"),--(Y$3:Y$102="P"))&lt;4)),X58,"")</f>
        <v/>
      </c>
      <c r="AB58" s="9">
        <f>IF(A58="","",IF(OR(C58="P",D58="P"),"",IF(IF(COUNT(L58:Q58)&lt;5,SUM(L58:Q58),IF(COUNT(L58:Q58)=5,SUM(L58:Q58)-MIN(L58:Q58),SUM(L58:Q58)-MIN(L58:Q58)-SMALL(L58:Q58,2)))&gt;0,IF(COUNT(L58:Q58)&lt;5,SUM(L58:Q58),IF(COUNT(L58:Q58)=5,SUM(L58:Q58)-MIN(L58:Q58),SUM(L58:Q58)-MIN(L58:Q58)-SMALL(L58:Q58,2))),0)))</f>
        <v>132</v>
      </c>
      <c r="AC58" s="9">
        <f>COUNTIF(L58:Q58,"&lt;=8")</f>
        <v>0</v>
      </c>
      <c r="AD58" s="9">
        <f>MIN(L58:Q58)</f>
        <v>28</v>
      </c>
    </row>
    <row r="59" spans="1:30" x14ac:dyDescent="0.2">
      <c r="A59" s="7" t="s">
        <v>175</v>
      </c>
      <c r="B59" s="6" t="s">
        <v>60</v>
      </c>
      <c r="E59" s="3"/>
      <c r="F59" s="6">
        <v>74</v>
      </c>
      <c r="G59" s="6">
        <v>63</v>
      </c>
      <c r="H59" s="6">
        <v>33</v>
      </c>
      <c r="I59" s="6"/>
      <c r="J59" s="6"/>
      <c r="K59" s="6"/>
      <c r="L59" s="9">
        <f>IF(OR($C59&lt;&gt;"",$D59&lt;&gt;"",F59=""),"",F59-SUMPRODUCT(--($C$3:$C$102="P"),--(F$3:F$102&lt;F59),--(F$3:F$102&lt;&gt;""))-SUMPRODUCT(--($D$3:$D$102="P"),--(F$3:F$102&lt;F59),--(F$3:F$102&lt;&gt;"")))</f>
        <v>69</v>
      </c>
      <c r="M59" s="9">
        <f>IF(OR($C59&lt;&gt;"",$D59&lt;&gt;"",G59=""),"",G59-SUMPRODUCT(--($C$3:$C$102="P"),--(G$3:G$102&lt;G59),--(G$3:G$102&lt;&gt;""))-SUMPRODUCT(--($D$3:$D$102="P"),--(G$3:G$102&lt;G59),--(G$3:G$102&lt;&gt;"")))</f>
        <v>61</v>
      </c>
      <c r="N59" s="9">
        <f>IF(OR($C59&lt;&gt;"",$D59&lt;&gt;"",H59=""),"",H59-SUMPRODUCT(--($C$3:$C$102="P"),--(H$3:H$102&lt;H59),--(H$3:H$102&lt;&gt;""))-SUMPRODUCT(--($D$3:$D$102="P"),--(H$3:H$102&lt;H59),--(H$3:H$102&lt;&gt;"")))</f>
        <v>29</v>
      </c>
      <c r="O59" s="9" t="str">
        <f>IF(OR($C59&lt;&gt;"",$D59&lt;&gt;"",I59=""),"",I59-SUMPRODUCT(--($C$3:$C$102="P"),--(I$3:I$102&lt;I59),--(I$3:I$102&lt;&gt;""))-SUMPRODUCT(--($D$3:$D$102="P"),--(I$3:I$102&lt;I59),--(I$3:I$102&lt;&gt;"")))</f>
        <v/>
      </c>
      <c r="P59" s="9" t="str">
        <f>IF(OR($C59&lt;&gt;"",$D59&lt;&gt;"",J59=""),"",J59-SUMPRODUCT(--($C$3:$C$102="P"),--(J$3:J$102&lt;J59),--(J$3:J$102&lt;&gt;""))-SUMPRODUCT(--($D$3:$D$102="P"),--(J$3:J$102&lt;J59),--(J$3:J$102&lt;&gt;"")))</f>
        <v/>
      </c>
      <c r="Q59" s="9" t="str">
        <f>IF(OR($C59&lt;&gt;"",$D59&lt;&gt;"",K59=""),"",K59-SUMPRODUCT(--($C$3:$C$102="P"),--(K$3:K$102&lt;K59),--(K$3:K$102&lt;&gt;""))-SUMPRODUCT(--($D$3:$D$102="P"),--(K$3:K$102&lt;K59),--(K$3:K$102&lt;&gt;"")))</f>
        <v/>
      </c>
      <c r="R59" s="9" t="str">
        <f>IF(OR(L59="",L59&gt;30),"",IF(L59=1,60,IF(L59=2,55,IF(L59=3,50,IF(L59=4,44,IF(L59=5,38,IF(L59=6,32,IF(L59=7,28,IF(L59=8,25,IF(L59=9,22,IF(L59=10,21,IF(L59=11,20,IF(L59=12,19,IF(L59=13,18,IF(L59=14,17,IF(L59=15,16,IF(L59=16,15,IF(L59=17,14,IF(L59=18,13,IF(L59=19,12,IF(L59=20,11,IF(L59=21,10,IF(L59=22,9,IF(L59=23,8,IF(L59=24,7,IF(L59=25,6,IF(L59=26,5,IF(L59=27,4,IF(L59=28,3,IF(L59=29,2,IF(L59=30,1)))))))))))))))))))))))))))))))</f>
        <v/>
      </c>
      <c r="S59" s="9" t="str">
        <f>IF(OR(M59="",M59&gt;30),"",IF(M59=1,60,IF(M59=2,55,IF(M59=3,50,IF(M59=4,44,IF(M59=5,38,IF(M59=6,32,IF(M59=7,28,IF(M59=8,25,IF(M59=9,22,IF(M59=10,21,IF(M59=11,20,IF(M59=12,19,IF(M59=13,18,IF(M59=14,17,IF(M59=15,16,IF(M59=16,15,IF(M59=17,14,IF(M59=18,13,IF(M59=19,12,IF(M59=20,11,IF(M59=21,10,IF(M59=22,9,IF(M59=23,8,IF(M59=24,7,IF(M59=25,6,IF(M59=26,5,IF(M59=27,4,IF(M59=28,3,IF(M59=29,2,IF(M59=30,1)))))))))))))))))))))))))))))))</f>
        <v/>
      </c>
      <c r="T59" s="9">
        <f>IF(OR(N59="",N59&gt;30),"",IF(N59=1,60,IF(N59=2,55,IF(N59=3,50,IF(N59=4,44,IF(N59=5,38,IF(N59=6,32,IF(N59=7,28,IF(N59=8,25,IF(N59=9,22,IF(N59=10,21,IF(N59=11,20,IF(N59=12,19,IF(N59=13,18,IF(N59=14,17,IF(N59=15,16,IF(N59=16,15,IF(N59=17,14,IF(N59=18,13,IF(N59=19,12,IF(N59=20,11,IF(N59=21,10,IF(N59=22,9,IF(N59=23,8,IF(N59=24,7,IF(N59=25,6,IF(N59=26,5,IF(N59=27,4,IF(N59=28,3,IF(N59=29,2,IF(N59=30,1)))))))))))))))))))))))))))))))</f>
        <v>2</v>
      </c>
      <c r="U59" s="9" t="str">
        <f>IF(OR(O59="",O59&gt;30),"",IF(O59=1,60,IF(O59=2,55,IF(O59=3,50,IF(O59=4,44,IF(O59=5,38,IF(O59=6,32,IF(O59=7,28,IF(O59=8,25,IF(O59=9,22,IF(O59=10,21,IF(O59=11,20,IF(O59=12,19,IF(O59=13,18,IF(O59=14,17,IF(O59=15,16,IF(O59=16,15,IF(O59=17,14,IF(O59=18,13,IF(O59=19,12,IF(O59=20,11,IF(O59=21,10,IF(O59=22,9,IF(O59=23,8,IF(O59=24,7,IF(O59=25,6,IF(O59=26,5,IF(O59=27,4,IF(O59=28,3,IF(O59=29,2,IF(O59=30,1)))))))))))))))))))))))))))))))</f>
        <v/>
      </c>
      <c r="V59" s="9" t="str">
        <f>IF(OR(P59="",P59&gt;30),"",IF(P59=1,60,IF(P59=2,55,IF(P59=3,50,IF(P59=4,44,IF(P59=5,38,IF(P59=6,32,IF(P59=7,28,IF(P59=8,25,IF(P59=9,22,IF(P59=10,21,IF(P59=11,20,IF(P59=12,19,IF(P59=13,18,IF(P59=14,17,IF(P59=15,16,IF(P59=16,15,IF(P59=17,14,IF(P59=18,13,IF(P59=19,12,IF(P59=20,11,IF(P59=21,10,IF(P59=22,9,IF(P59=23,8,IF(P59=24,7,IF(P59=25,6,IF(P59=26,5,IF(P59=27,4,IF(P59=28,3,IF(P59=29,2,IF(P59=30,1)))))))))))))))))))))))))))))))</f>
        <v/>
      </c>
      <c r="W59" s="9" t="str">
        <f>IF(OR(Q59="",Q59&gt;30),"",IF(Q59=1,60,IF(Q59=2,55,IF(Q59=3,50,IF(Q59=4,44,IF(Q59=5,38,IF(Q59=6,32,IF(Q59=7,28,IF(Q59=8,25,IF(Q59=9,22,IF(Q59=10,21,IF(Q59=11,20,IF(Q59=12,19,IF(Q59=13,18,IF(Q59=14,17,IF(Q59=15,16,IF(Q59=16,15,IF(Q59=17,14,IF(Q59=18,13,IF(Q59=19,12,IF(Q59=20,11,IF(Q59=21,10,IF(Q59=22,9,IF(Q59=23,8,IF(Q59=24,7,IF(Q59=25,6,IF(Q59=26,5,IF(Q59=27,4,IF(Q59=28,3,IF(Q59=29,2,IF(Q59=30,1)))))))))))))))))))))))))))))))</f>
        <v/>
      </c>
      <c r="X59" s="15">
        <f>IF(A59="","",IF(OR(C59="P",D59="P"),"",IF(IF(COUNT(R59:W59)&lt;5,SUM(R59:W59),IF(COUNT(R59:W59)=5,SUM(R59:W59)-MIN(R59:W59),SUM(R59:W59)-MIN(R59:W59)-SMALL(R59:W59,2)))&gt;0,IF(COUNT(R59:W59)&lt;5,SUM(R59:W59)+(1000-AB59)*10^-4+AC59*10^-5+(1000-AD59)*10^-8,IF(COUNT(R59:W59)=5,SUM(R59:W59)-MIN(R59:W59)+(1000-AB59)*10^-4+AC59*10^-5+(1000-AD59)*10^-8,SUM(R59:W59)-MIN(R59:W59)-SMALL(R59:W59,2)+(1000-AB59)*10^-4+AC59*10^-5+(1000-AD59)*10^-8)),0)))</f>
        <v>2.0841097099999999</v>
      </c>
      <c r="Y59" s="2" t="str">
        <f>IF(OR(X59="",X59=0),"",IF(SUMPRODUCT(--(B$3:B$102=B59),--(X$3:X$102&gt;X59),--(X$3:X$102&lt;&gt;"")),"","P"))</f>
        <v>P</v>
      </c>
      <c r="Z59" s="2" t="str">
        <f>IF(X59="","",IF(SUMPRODUCT(--(C$3:C$102="P"),--(B$3:B$102=B59)),"P",""))</f>
        <v/>
      </c>
      <c r="AA59" s="15">
        <f>IF(AND(Y59&lt;&gt;"",OR(Z59="",SUMPRODUCT(--(X$3:X$102&gt;X59),--(Z$3:Z$102="P"),--(Y$3:Y$102="P"))&lt;4)),X59,"")</f>
        <v>2.0841097099999999</v>
      </c>
      <c r="AB59" s="9">
        <f>IF(A59="","",IF(OR(C59="P",D59="P"),"",IF(IF(COUNT(L59:Q59)&lt;5,SUM(L59:Q59),IF(COUNT(L59:Q59)=5,SUM(L59:Q59)-MIN(L59:Q59),SUM(L59:Q59)-MIN(L59:Q59)-SMALL(L59:Q59,2)))&gt;0,IF(COUNT(L59:Q59)&lt;5,SUM(L59:Q59),IF(COUNT(L59:Q59)=5,SUM(L59:Q59)-MIN(L59:Q59),SUM(L59:Q59)-MIN(L59:Q59)-SMALL(L59:Q59,2))),0)))</f>
        <v>159</v>
      </c>
      <c r="AC59" s="9">
        <f>COUNTIF(L59:Q59,"&lt;=8")</f>
        <v>0</v>
      </c>
      <c r="AD59" s="9">
        <f>MIN(L59:Q59)</f>
        <v>29</v>
      </c>
    </row>
    <row r="60" spans="1:30" x14ac:dyDescent="0.2">
      <c r="A60" s="7" t="s">
        <v>130</v>
      </c>
      <c r="B60" s="6" t="s">
        <v>82</v>
      </c>
      <c r="E60" s="3" t="str">
        <f>IF(AA60="","",RANK(AA60,AA:AA))</f>
        <v/>
      </c>
      <c r="F60" s="6"/>
      <c r="G60" s="6">
        <v>32</v>
      </c>
      <c r="H60" s="6"/>
      <c r="I60" s="6"/>
      <c r="J60" s="6"/>
      <c r="K60" s="6"/>
      <c r="L60" s="9" t="str">
        <f>IF(OR($C60&lt;&gt;"",$D60&lt;&gt;"",F60=""),"",F60-SUMPRODUCT(--($C$3:$C$102="P"),--(F$3:F$102&lt;F60),--(F$3:F$102&lt;&gt;""))-SUMPRODUCT(--($D$3:$D$102="P"),--(F$3:F$102&lt;F60),--(F$3:F$102&lt;&gt;"")))</f>
        <v/>
      </c>
      <c r="M60" s="9">
        <f>IF(OR($C60&lt;&gt;"",$D60&lt;&gt;"",G60=""),"",G60-SUMPRODUCT(--($C$3:$C$102="P"),--(G$3:G$102&lt;G60),--(G$3:G$102&lt;&gt;""))-SUMPRODUCT(--($D$3:$D$102="P"),--(G$3:G$102&lt;G60),--(G$3:G$102&lt;&gt;"")))</f>
        <v>30</v>
      </c>
      <c r="N60" s="9" t="str">
        <f>IF(OR($C60&lt;&gt;"",$D60&lt;&gt;"",H60=""),"",H60-SUMPRODUCT(--($C$3:$C$102="P"),--(H$3:H$102&lt;H60),--(H$3:H$102&lt;&gt;""))-SUMPRODUCT(--($D$3:$D$102="P"),--(H$3:H$102&lt;H60),--(H$3:H$102&lt;&gt;"")))</f>
        <v/>
      </c>
      <c r="O60" s="9" t="str">
        <f>IF(OR($C60&lt;&gt;"",$D60&lt;&gt;"",I60=""),"",I60-SUMPRODUCT(--($C$3:$C$102="P"),--(I$3:I$102&lt;I60),--(I$3:I$102&lt;&gt;""))-SUMPRODUCT(--($D$3:$D$102="P"),--(I$3:I$102&lt;I60),--(I$3:I$102&lt;&gt;"")))</f>
        <v/>
      </c>
      <c r="P60" s="9" t="str">
        <f>IF(OR($C60&lt;&gt;"",$D60&lt;&gt;"",J60=""),"",J60-SUMPRODUCT(--($C$3:$C$102="P"),--(J$3:J$102&lt;J60),--(J$3:J$102&lt;&gt;""))-SUMPRODUCT(--($D$3:$D$102="P"),--(J$3:J$102&lt;J60),--(J$3:J$102&lt;&gt;"")))</f>
        <v/>
      </c>
      <c r="Q60" s="9" t="str">
        <f>IF(OR($C60&lt;&gt;"",$D60&lt;&gt;"",K60=""),"",K60-SUMPRODUCT(--($C$3:$C$102="P"),--(K$3:K$102&lt;K60),--(K$3:K$102&lt;&gt;""))-SUMPRODUCT(--($D$3:$D$102="P"),--(K$3:K$102&lt;K60),--(K$3:K$102&lt;&gt;"")))</f>
        <v/>
      </c>
      <c r="R60" s="9" t="str">
        <f>IF(OR(L60="",L60&gt;30),"",IF(L60=1,60,IF(L60=2,55,IF(L60=3,50,IF(L60=4,44,IF(L60=5,38,IF(L60=6,32,IF(L60=7,28,IF(L60=8,25,IF(L60=9,22,IF(L60=10,21,IF(L60=11,20,IF(L60=12,19,IF(L60=13,18,IF(L60=14,17,IF(L60=15,16,IF(L60=16,15,IF(L60=17,14,IF(L60=18,13,IF(L60=19,12,IF(L60=20,11,IF(L60=21,10,IF(L60=22,9,IF(L60=23,8,IF(L60=24,7,IF(L60=25,6,IF(L60=26,5,IF(L60=27,4,IF(L60=28,3,IF(L60=29,2,IF(L60=30,1)))))))))))))))))))))))))))))))</f>
        <v/>
      </c>
      <c r="S60" s="9">
        <f>IF(OR(M60="",M60&gt;30),"",IF(M60=1,60,IF(M60=2,55,IF(M60=3,50,IF(M60=4,44,IF(M60=5,38,IF(M60=6,32,IF(M60=7,28,IF(M60=8,25,IF(M60=9,22,IF(M60=10,21,IF(M60=11,20,IF(M60=12,19,IF(M60=13,18,IF(M60=14,17,IF(M60=15,16,IF(M60=16,15,IF(M60=17,14,IF(M60=18,13,IF(M60=19,12,IF(M60=20,11,IF(M60=21,10,IF(M60=22,9,IF(M60=23,8,IF(M60=24,7,IF(M60=25,6,IF(M60=26,5,IF(M60=27,4,IF(M60=28,3,IF(M60=29,2,IF(M60=30,1)))))))))))))))))))))))))))))))</f>
        <v>1</v>
      </c>
      <c r="T60" s="9" t="str">
        <f>IF(OR(N60="",N60&gt;30),"",IF(N60=1,60,IF(N60=2,55,IF(N60=3,50,IF(N60=4,44,IF(N60=5,38,IF(N60=6,32,IF(N60=7,28,IF(N60=8,25,IF(N60=9,22,IF(N60=10,21,IF(N60=11,20,IF(N60=12,19,IF(N60=13,18,IF(N60=14,17,IF(N60=15,16,IF(N60=16,15,IF(N60=17,14,IF(N60=18,13,IF(N60=19,12,IF(N60=20,11,IF(N60=21,10,IF(N60=22,9,IF(N60=23,8,IF(N60=24,7,IF(N60=25,6,IF(N60=26,5,IF(N60=27,4,IF(N60=28,3,IF(N60=29,2,IF(N60=30,1)))))))))))))))))))))))))))))))</f>
        <v/>
      </c>
      <c r="U60" s="9" t="str">
        <f>IF(OR(O60="",O60&gt;30),"",IF(O60=1,60,IF(O60=2,55,IF(O60=3,50,IF(O60=4,44,IF(O60=5,38,IF(O60=6,32,IF(O60=7,28,IF(O60=8,25,IF(O60=9,22,IF(O60=10,21,IF(O60=11,20,IF(O60=12,19,IF(O60=13,18,IF(O60=14,17,IF(O60=15,16,IF(O60=16,15,IF(O60=17,14,IF(O60=18,13,IF(O60=19,12,IF(O60=20,11,IF(O60=21,10,IF(O60=22,9,IF(O60=23,8,IF(O60=24,7,IF(O60=25,6,IF(O60=26,5,IF(O60=27,4,IF(O60=28,3,IF(O60=29,2,IF(O60=30,1)))))))))))))))))))))))))))))))</f>
        <v/>
      </c>
      <c r="V60" s="9" t="str">
        <f>IF(OR(P60="",P60&gt;30),"",IF(P60=1,60,IF(P60=2,55,IF(P60=3,50,IF(P60=4,44,IF(P60=5,38,IF(P60=6,32,IF(P60=7,28,IF(P60=8,25,IF(P60=9,22,IF(P60=10,21,IF(P60=11,20,IF(P60=12,19,IF(P60=13,18,IF(P60=14,17,IF(P60=15,16,IF(P60=16,15,IF(P60=17,14,IF(P60=18,13,IF(P60=19,12,IF(P60=20,11,IF(P60=21,10,IF(P60=22,9,IF(P60=23,8,IF(P60=24,7,IF(P60=25,6,IF(P60=26,5,IF(P60=27,4,IF(P60=28,3,IF(P60=29,2,IF(P60=30,1)))))))))))))))))))))))))))))))</f>
        <v/>
      </c>
      <c r="W60" s="9" t="str">
        <f>IF(OR(Q60="",Q60&gt;30),"",IF(Q60=1,60,IF(Q60=2,55,IF(Q60=3,50,IF(Q60=4,44,IF(Q60=5,38,IF(Q60=6,32,IF(Q60=7,28,IF(Q60=8,25,IF(Q60=9,22,IF(Q60=10,21,IF(Q60=11,20,IF(Q60=12,19,IF(Q60=13,18,IF(Q60=14,17,IF(Q60=15,16,IF(Q60=16,15,IF(Q60=17,14,IF(Q60=18,13,IF(Q60=19,12,IF(Q60=20,11,IF(Q60=21,10,IF(Q60=22,9,IF(Q60=23,8,IF(Q60=24,7,IF(Q60=25,6,IF(Q60=26,5,IF(Q60=27,4,IF(Q60=28,3,IF(Q60=29,2,IF(Q60=30,1)))))))))))))))))))))))))))))))</f>
        <v/>
      </c>
      <c r="X60" s="15">
        <f>IF(A60="","",IF(OR(C60="P",D60="P"),"",IF(IF(COUNT(R60:W60)&lt;5,SUM(R60:W60),IF(COUNT(R60:W60)=5,SUM(R60:W60)-MIN(R60:W60),SUM(R60:W60)-MIN(R60:W60)-SMALL(R60:W60,2)))&gt;0,IF(COUNT(R60:W60)&lt;5,SUM(R60:W60)+(1000-AB60)*10^-4+AC60*10^-5+(1000-AD60)*10^-8,IF(COUNT(R60:W60)=5,SUM(R60:W60)-MIN(R60:W60)+(1000-AB60)*10^-4+AC60*10^-5+(1000-AD60)*10^-8,SUM(R60:W60)-MIN(R60:W60)-SMALL(R60:W60,2)+(1000-AB60)*10^-4+AC60*10^-5+(1000-AD60)*10^-8)),0)))</f>
        <v>1.0970096999999999</v>
      </c>
      <c r="Y60" s="2" t="str">
        <f>IF(OR(X60="",X60=0),"",IF(SUMPRODUCT(--(B$3:B$102=B60),--(X$3:X$102&gt;X60),--(X$3:X$102&lt;&gt;"")),"","P"))</f>
        <v/>
      </c>
      <c r="Z60" s="2" t="str">
        <f>IF(X60="","",IF(SUMPRODUCT(--(C$3:C$102="P"),--(B$3:B$102=B60)),"P",""))</f>
        <v/>
      </c>
      <c r="AA60" s="15" t="str">
        <f>IF(AND(Y60&lt;&gt;"",OR(Z60="",SUMPRODUCT(--(X$3:X$102&gt;X60),--(Z$3:Z$102="P"),--(Y$3:Y$102="P"))&lt;4)),X60,"")</f>
        <v/>
      </c>
      <c r="AB60" s="9">
        <f>IF(A60="","",IF(OR(C60="P",D60="P"),"",IF(IF(COUNT(L60:Q60)&lt;5,SUM(L60:Q60),IF(COUNT(L60:Q60)=5,SUM(L60:Q60)-MIN(L60:Q60),SUM(L60:Q60)-MIN(L60:Q60)-SMALL(L60:Q60,2)))&gt;0,IF(COUNT(L60:Q60)&lt;5,SUM(L60:Q60),IF(COUNT(L60:Q60)=5,SUM(L60:Q60)-MIN(L60:Q60),SUM(L60:Q60)-MIN(L60:Q60)-SMALL(L60:Q60,2))),0)))</f>
        <v>30</v>
      </c>
      <c r="AC60" s="9">
        <f>COUNTIF(L60:Q60,"&lt;=8")</f>
        <v>0</v>
      </c>
      <c r="AD60" s="9">
        <f>MIN(L60:Q60)</f>
        <v>30</v>
      </c>
    </row>
    <row r="61" spans="1:30" x14ac:dyDescent="0.2">
      <c r="A61" s="7" t="s">
        <v>100</v>
      </c>
      <c r="B61" s="6" t="s">
        <v>108</v>
      </c>
      <c r="E61" s="3" t="str">
        <f>IF(AA61="","",RANK(AA61,AA:AA))</f>
        <v/>
      </c>
      <c r="F61" s="6">
        <v>33</v>
      </c>
      <c r="G61" s="6">
        <v>44</v>
      </c>
      <c r="H61" s="6">
        <v>38</v>
      </c>
      <c r="I61" s="6">
        <v>42</v>
      </c>
      <c r="J61" s="6"/>
      <c r="K61" s="6"/>
      <c r="L61" s="9">
        <f>IF(OR($C61&lt;&gt;"",$D61&lt;&gt;"",F61=""),"",F61-SUMPRODUCT(--($C$3:$C$102="P"),--(F$3:F$102&lt;F61),--(F$3:F$102&lt;&gt;""))-SUMPRODUCT(--($D$3:$D$102="P"),--(F$3:F$102&lt;F61),--(F$3:F$102&lt;&gt;"")))</f>
        <v>30</v>
      </c>
      <c r="M61" s="9">
        <f>IF(OR($C61&lt;&gt;"",$D61&lt;&gt;"",G61=""),"",G61-SUMPRODUCT(--($C$3:$C$102="P"),--(G$3:G$102&lt;G61),--(G$3:G$102&lt;&gt;""))-SUMPRODUCT(--($D$3:$D$102="P"),--(G$3:G$102&lt;G61),--(G$3:G$102&lt;&gt;"")))</f>
        <v>42</v>
      </c>
      <c r="N61" s="9">
        <f>IF(OR($C61&lt;&gt;"",$D61&lt;&gt;"",H61=""),"",H61-SUMPRODUCT(--($C$3:$C$102="P"),--(H$3:H$102&lt;H61),--(H$3:H$102&lt;&gt;""))-SUMPRODUCT(--($D$3:$D$102="P"),--(H$3:H$102&lt;H61),--(H$3:H$102&lt;&gt;"")))</f>
        <v>34</v>
      </c>
      <c r="O61" s="9">
        <f>IF(OR($C61&lt;&gt;"",$D61&lt;&gt;"",I61=""),"",I61-SUMPRODUCT(--($C$3:$C$102="P"),--(I$3:I$102&lt;I61),--(I$3:I$102&lt;&gt;""))-SUMPRODUCT(--($D$3:$D$102="P"),--(I$3:I$102&lt;I61),--(I$3:I$102&lt;&gt;"")))</f>
        <v>37</v>
      </c>
      <c r="P61" s="9" t="str">
        <f>IF(OR($C61&lt;&gt;"",$D61&lt;&gt;"",J61=""),"",J61-SUMPRODUCT(--($C$3:$C$102="P"),--(J$3:J$102&lt;J61),--(J$3:J$102&lt;&gt;""))-SUMPRODUCT(--($D$3:$D$102="P"),--(J$3:J$102&lt;J61),--(J$3:J$102&lt;&gt;"")))</f>
        <v/>
      </c>
      <c r="Q61" s="9" t="str">
        <f>IF(OR($C61&lt;&gt;"",$D61&lt;&gt;"",K61=""),"",K61-SUMPRODUCT(--($C$3:$C$102="P"),--(K$3:K$102&lt;K61),--(K$3:K$102&lt;&gt;""))-SUMPRODUCT(--($D$3:$D$102="P"),--(K$3:K$102&lt;K61),--(K$3:K$102&lt;&gt;"")))</f>
        <v/>
      </c>
      <c r="R61" s="9">
        <f>IF(OR(L61="",L61&gt;30),"",IF(L61=1,60,IF(L61=2,55,IF(L61=3,50,IF(L61=4,44,IF(L61=5,38,IF(L61=6,32,IF(L61=7,28,IF(L61=8,25,IF(L61=9,22,IF(L61=10,21,IF(L61=11,20,IF(L61=12,19,IF(L61=13,18,IF(L61=14,17,IF(L61=15,16,IF(L61=16,15,IF(L61=17,14,IF(L61=18,13,IF(L61=19,12,IF(L61=20,11,IF(L61=21,10,IF(L61=22,9,IF(L61=23,8,IF(L61=24,7,IF(L61=25,6,IF(L61=26,5,IF(L61=27,4,IF(L61=28,3,IF(L61=29,2,IF(L61=30,1)))))))))))))))))))))))))))))))</f>
        <v>1</v>
      </c>
      <c r="S61" s="9" t="str">
        <f>IF(OR(M61="",M61&gt;30),"",IF(M61=1,60,IF(M61=2,55,IF(M61=3,50,IF(M61=4,44,IF(M61=5,38,IF(M61=6,32,IF(M61=7,28,IF(M61=8,25,IF(M61=9,22,IF(M61=10,21,IF(M61=11,20,IF(M61=12,19,IF(M61=13,18,IF(M61=14,17,IF(M61=15,16,IF(M61=16,15,IF(M61=17,14,IF(M61=18,13,IF(M61=19,12,IF(M61=20,11,IF(M61=21,10,IF(M61=22,9,IF(M61=23,8,IF(M61=24,7,IF(M61=25,6,IF(M61=26,5,IF(M61=27,4,IF(M61=28,3,IF(M61=29,2,IF(M61=30,1)))))))))))))))))))))))))))))))</f>
        <v/>
      </c>
      <c r="T61" s="9" t="str">
        <f>IF(OR(N61="",N61&gt;30),"",IF(N61=1,60,IF(N61=2,55,IF(N61=3,50,IF(N61=4,44,IF(N61=5,38,IF(N61=6,32,IF(N61=7,28,IF(N61=8,25,IF(N61=9,22,IF(N61=10,21,IF(N61=11,20,IF(N61=12,19,IF(N61=13,18,IF(N61=14,17,IF(N61=15,16,IF(N61=16,15,IF(N61=17,14,IF(N61=18,13,IF(N61=19,12,IF(N61=20,11,IF(N61=21,10,IF(N61=22,9,IF(N61=23,8,IF(N61=24,7,IF(N61=25,6,IF(N61=26,5,IF(N61=27,4,IF(N61=28,3,IF(N61=29,2,IF(N61=30,1)))))))))))))))))))))))))))))))</f>
        <v/>
      </c>
      <c r="U61" s="9" t="str">
        <f>IF(OR(O61="",O61&gt;30),"",IF(O61=1,60,IF(O61=2,55,IF(O61=3,50,IF(O61=4,44,IF(O61=5,38,IF(O61=6,32,IF(O61=7,28,IF(O61=8,25,IF(O61=9,22,IF(O61=10,21,IF(O61=11,20,IF(O61=12,19,IF(O61=13,18,IF(O61=14,17,IF(O61=15,16,IF(O61=16,15,IF(O61=17,14,IF(O61=18,13,IF(O61=19,12,IF(O61=20,11,IF(O61=21,10,IF(O61=22,9,IF(O61=23,8,IF(O61=24,7,IF(O61=25,6,IF(O61=26,5,IF(O61=27,4,IF(O61=28,3,IF(O61=29,2,IF(O61=30,1)))))))))))))))))))))))))))))))</f>
        <v/>
      </c>
      <c r="V61" s="9" t="str">
        <f>IF(OR(P61="",P61&gt;30),"",IF(P61=1,60,IF(P61=2,55,IF(P61=3,50,IF(P61=4,44,IF(P61=5,38,IF(P61=6,32,IF(P61=7,28,IF(P61=8,25,IF(P61=9,22,IF(P61=10,21,IF(P61=11,20,IF(P61=12,19,IF(P61=13,18,IF(P61=14,17,IF(P61=15,16,IF(P61=16,15,IF(P61=17,14,IF(P61=18,13,IF(P61=19,12,IF(P61=20,11,IF(P61=21,10,IF(P61=22,9,IF(P61=23,8,IF(P61=24,7,IF(P61=25,6,IF(P61=26,5,IF(P61=27,4,IF(P61=28,3,IF(P61=29,2,IF(P61=30,1)))))))))))))))))))))))))))))))</f>
        <v/>
      </c>
      <c r="W61" s="9" t="str">
        <f>IF(OR(Q61="",Q61&gt;30),"",IF(Q61=1,60,IF(Q61=2,55,IF(Q61=3,50,IF(Q61=4,44,IF(Q61=5,38,IF(Q61=6,32,IF(Q61=7,28,IF(Q61=8,25,IF(Q61=9,22,IF(Q61=10,21,IF(Q61=11,20,IF(Q61=12,19,IF(Q61=13,18,IF(Q61=14,17,IF(Q61=15,16,IF(Q61=16,15,IF(Q61=17,14,IF(Q61=18,13,IF(Q61=19,12,IF(Q61=20,11,IF(Q61=21,10,IF(Q61=22,9,IF(Q61=23,8,IF(Q61=24,7,IF(Q61=25,6,IF(Q61=26,5,IF(Q61=27,4,IF(Q61=28,3,IF(Q61=29,2,IF(Q61=30,1)))))))))))))))))))))))))))))))</f>
        <v/>
      </c>
      <c r="X61" s="15">
        <f>IF(A61="","",IF(OR(C61="P",D61="P"),"",IF(IF(COUNT(R61:W61)&lt;5,SUM(R61:W61),IF(COUNT(R61:W61)=5,SUM(R61:W61)-MIN(R61:W61),SUM(R61:W61)-MIN(R61:W61)-SMALL(R61:W61,2)))&gt;0,IF(COUNT(R61:W61)&lt;5,SUM(R61:W61)+(1000-AB61)*10^-4+AC61*10^-5+(1000-AD61)*10^-8,IF(COUNT(R61:W61)=5,SUM(R61:W61)-MIN(R61:W61)+(1000-AB61)*10^-4+AC61*10^-5+(1000-AD61)*10^-8,SUM(R61:W61)-MIN(R61:W61)-SMALL(R61:W61,2)+(1000-AB61)*10^-4+AC61*10^-5+(1000-AD61)*10^-8)),0)))</f>
        <v>1.0857097</v>
      </c>
      <c r="Y61" s="2" t="str">
        <f>IF(OR(X61="",X61=0),"",IF(SUMPRODUCT(--(B$3:B$102=B61),--(X$3:X$102&gt;X61),--(X$3:X$102&lt;&gt;"")),"","P"))</f>
        <v/>
      </c>
      <c r="Z61" s="2" t="str">
        <f>IF(X61="","",IF(SUMPRODUCT(--(C$3:C$102="P"),--(B$3:B$102=B61)),"P",""))</f>
        <v/>
      </c>
      <c r="AA61" s="15" t="str">
        <f>IF(AND(Y61&lt;&gt;"",OR(Z61="",SUMPRODUCT(--(X$3:X$102&gt;X61),--(Z$3:Z$102="P"),--(Y$3:Y$102="P"))&lt;4)),X61,"")</f>
        <v/>
      </c>
      <c r="AB61" s="9">
        <f>IF(A61="","",IF(OR(C61="P",D61="P"),"",IF(IF(COUNT(L61:Q61)&lt;5,SUM(L61:Q61),IF(COUNT(L61:Q61)=5,SUM(L61:Q61)-MIN(L61:Q61),SUM(L61:Q61)-MIN(L61:Q61)-SMALL(L61:Q61,2)))&gt;0,IF(COUNT(L61:Q61)&lt;5,SUM(L61:Q61),IF(COUNT(L61:Q61)=5,SUM(L61:Q61)-MIN(L61:Q61),SUM(L61:Q61)-MIN(L61:Q61)-SMALL(L61:Q61,2))),0)))</f>
        <v>143</v>
      </c>
      <c r="AC61" s="9">
        <f>COUNTIF(L61:Q61,"&lt;=8")</f>
        <v>0</v>
      </c>
      <c r="AD61" s="9">
        <f>MIN(L61:Q61)</f>
        <v>30</v>
      </c>
    </row>
    <row r="62" spans="1:30" x14ac:dyDescent="0.2">
      <c r="A62" s="7" t="s">
        <v>103</v>
      </c>
      <c r="B62" s="6" t="s">
        <v>59</v>
      </c>
      <c r="E62" s="3" t="str">
        <f>IF(AA62="","",RANK(AA62,AA:AA))</f>
        <v/>
      </c>
      <c r="F62" s="6">
        <v>36</v>
      </c>
      <c r="G62" s="6">
        <v>40</v>
      </c>
      <c r="H62" s="6">
        <v>39</v>
      </c>
      <c r="I62" s="6">
        <v>63</v>
      </c>
      <c r="J62" s="6"/>
      <c r="K62" s="6"/>
      <c r="L62" s="9">
        <f>IF(OR($C62&lt;&gt;"",$D62&lt;&gt;"",F62=""),"",F62-SUMPRODUCT(--($C$3:$C$102="P"),--(F$3:F$102&lt;F62),--(F$3:F$102&lt;&gt;""))-SUMPRODUCT(--($D$3:$D$102="P"),--(F$3:F$102&lt;F62),--(F$3:F$102&lt;&gt;"")))</f>
        <v>33</v>
      </c>
      <c r="M62" s="9">
        <f>IF(OR($C62&lt;&gt;"",$D62&lt;&gt;"",G62=""),"",G62-SUMPRODUCT(--($C$3:$C$102="P"),--(G$3:G$102&lt;G62),--(G$3:G$102&lt;&gt;""))-SUMPRODUCT(--($D$3:$D$102="P"),--(G$3:G$102&lt;G62),--(G$3:G$102&lt;&gt;"")))</f>
        <v>38</v>
      </c>
      <c r="N62" s="9">
        <f>IF(OR($C62&lt;&gt;"",$D62&lt;&gt;"",H62=""),"",H62-SUMPRODUCT(--($C$3:$C$102="P"),--(H$3:H$102&lt;H62),--(H$3:H$102&lt;&gt;""))-SUMPRODUCT(--($D$3:$D$102="P"),--(H$3:H$102&lt;H62),--(H$3:H$102&lt;&gt;"")))</f>
        <v>35</v>
      </c>
      <c r="O62" s="9">
        <f>IF(OR($C62&lt;&gt;"",$D62&lt;&gt;"",I62=""),"",I62-SUMPRODUCT(--($C$3:$C$102="P"),--(I$3:I$102&lt;I62),--(I$3:I$102&lt;&gt;""))-SUMPRODUCT(--($D$3:$D$102="P"),--(I$3:I$102&lt;I62),--(I$3:I$102&lt;&gt;"")))</f>
        <v>58</v>
      </c>
      <c r="P62" s="9" t="str">
        <f>IF(OR($C62&lt;&gt;"",$D62&lt;&gt;"",J62=""),"",J62-SUMPRODUCT(--($C$3:$C$102="P"),--(J$3:J$102&lt;J62),--(J$3:J$102&lt;&gt;""))-SUMPRODUCT(--($D$3:$D$102="P"),--(J$3:J$102&lt;J62),--(J$3:J$102&lt;&gt;"")))</f>
        <v/>
      </c>
      <c r="Q62" s="9" t="str">
        <f>IF(OR($C62&lt;&gt;"",$D62&lt;&gt;"",K62=""),"",K62-SUMPRODUCT(--($C$3:$C$102="P"),--(K$3:K$102&lt;K62),--(K$3:K$102&lt;&gt;""))-SUMPRODUCT(--($D$3:$D$102="P"),--(K$3:K$102&lt;K62),--(K$3:K$102&lt;&gt;"")))</f>
        <v/>
      </c>
      <c r="R62" s="9" t="str">
        <f>IF(OR(L62="",L62&gt;30),"",IF(L62=1,60,IF(L62=2,55,IF(L62=3,50,IF(L62=4,44,IF(L62=5,38,IF(L62=6,32,IF(L62=7,28,IF(L62=8,25,IF(L62=9,22,IF(L62=10,21,IF(L62=11,20,IF(L62=12,19,IF(L62=13,18,IF(L62=14,17,IF(L62=15,16,IF(L62=16,15,IF(L62=17,14,IF(L62=18,13,IF(L62=19,12,IF(L62=20,11,IF(L62=21,10,IF(L62=22,9,IF(L62=23,8,IF(L62=24,7,IF(L62=25,6,IF(L62=26,5,IF(L62=27,4,IF(L62=28,3,IF(L62=29,2,IF(L62=30,1)))))))))))))))))))))))))))))))</f>
        <v/>
      </c>
      <c r="S62" s="9" t="str">
        <f>IF(OR(M62="",M62&gt;30),"",IF(M62=1,60,IF(M62=2,55,IF(M62=3,50,IF(M62=4,44,IF(M62=5,38,IF(M62=6,32,IF(M62=7,28,IF(M62=8,25,IF(M62=9,22,IF(M62=10,21,IF(M62=11,20,IF(M62=12,19,IF(M62=13,18,IF(M62=14,17,IF(M62=15,16,IF(M62=16,15,IF(M62=17,14,IF(M62=18,13,IF(M62=19,12,IF(M62=20,11,IF(M62=21,10,IF(M62=22,9,IF(M62=23,8,IF(M62=24,7,IF(M62=25,6,IF(M62=26,5,IF(M62=27,4,IF(M62=28,3,IF(M62=29,2,IF(M62=30,1)))))))))))))))))))))))))))))))</f>
        <v/>
      </c>
      <c r="T62" s="9" t="str">
        <f>IF(OR(N62="",N62&gt;30),"",IF(N62=1,60,IF(N62=2,55,IF(N62=3,50,IF(N62=4,44,IF(N62=5,38,IF(N62=6,32,IF(N62=7,28,IF(N62=8,25,IF(N62=9,22,IF(N62=10,21,IF(N62=11,20,IF(N62=12,19,IF(N62=13,18,IF(N62=14,17,IF(N62=15,16,IF(N62=16,15,IF(N62=17,14,IF(N62=18,13,IF(N62=19,12,IF(N62=20,11,IF(N62=21,10,IF(N62=22,9,IF(N62=23,8,IF(N62=24,7,IF(N62=25,6,IF(N62=26,5,IF(N62=27,4,IF(N62=28,3,IF(N62=29,2,IF(N62=30,1)))))))))))))))))))))))))))))))</f>
        <v/>
      </c>
      <c r="U62" s="9" t="str">
        <f>IF(OR(O62="",O62&gt;30),"",IF(O62=1,60,IF(O62=2,55,IF(O62=3,50,IF(O62=4,44,IF(O62=5,38,IF(O62=6,32,IF(O62=7,28,IF(O62=8,25,IF(O62=9,22,IF(O62=10,21,IF(O62=11,20,IF(O62=12,19,IF(O62=13,18,IF(O62=14,17,IF(O62=15,16,IF(O62=16,15,IF(O62=17,14,IF(O62=18,13,IF(O62=19,12,IF(O62=20,11,IF(O62=21,10,IF(O62=22,9,IF(O62=23,8,IF(O62=24,7,IF(O62=25,6,IF(O62=26,5,IF(O62=27,4,IF(O62=28,3,IF(O62=29,2,IF(O62=30,1)))))))))))))))))))))))))))))))</f>
        <v/>
      </c>
      <c r="V62" s="9" t="str">
        <f>IF(OR(P62="",P62&gt;30),"",IF(P62=1,60,IF(P62=2,55,IF(P62=3,50,IF(P62=4,44,IF(P62=5,38,IF(P62=6,32,IF(P62=7,28,IF(P62=8,25,IF(P62=9,22,IF(P62=10,21,IF(P62=11,20,IF(P62=12,19,IF(P62=13,18,IF(P62=14,17,IF(P62=15,16,IF(P62=16,15,IF(P62=17,14,IF(P62=18,13,IF(P62=19,12,IF(P62=20,11,IF(P62=21,10,IF(P62=22,9,IF(P62=23,8,IF(P62=24,7,IF(P62=25,6,IF(P62=26,5,IF(P62=27,4,IF(P62=28,3,IF(P62=29,2,IF(P62=30,1)))))))))))))))))))))))))))))))</f>
        <v/>
      </c>
      <c r="W62" s="9" t="str">
        <f>IF(OR(Q62="",Q62&gt;30),"",IF(Q62=1,60,IF(Q62=2,55,IF(Q62=3,50,IF(Q62=4,44,IF(Q62=5,38,IF(Q62=6,32,IF(Q62=7,28,IF(Q62=8,25,IF(Q62=9,22,IF(Q62=10,21,IF(Q62=11,20,IF(Q62=12,19,IF(Q62=13,18,IF(Q62=14,17,IF(Q62=15,16,IF(Q62=16,15,IF(Q62=17,14,IF(Q62=18,13,IF(Q62=19,12,IF(Q62=20,11,IF(Q62=21,10,IF(Q62=22,9,IF(Q62=23,8,IF(Q62=24,7,IF(Q62=25,6,IF(Q62=26,5,IF(Q62=27,4,IF(Q62=28,3,IF(Q62=29,2,IF(Q62=30,1)))))))))))))))))))))))))))))))</f>
        <v/>
      </c>
      <c r="X62" s="15">
        <f>IF(A62="","",IF(OR(C62="P",D62="P"),"",IF(IF(COUNT(R62:W62)&lt;5,SUM(R62:W62),IF(COUNT(R62:W62)=5,SUM(R62:W62)-MIN(R62:W62),SUM(R62:W62)-MIN(R62:W62)-SMALL(R62:W62,2)))&gt;0,IF(COUNT(R62:W62)&lt;5,SUM(R62:W62)+(1000-AB62)*10^-4+AC62*10^-5+(1000-AD62)*10^-8,IF(COUNT(R62:W62)=5,SUM(R62:W62)-MIN(R62:W62)+(1000-AB62)*10^-4+AC62*10^-5+(1000-AD62)*10^-8,SUM(R62:W62)-MIN(R62:W62)-SMALL(R62:W62,2)+(1000-AB62)*10^-4+AC62*10^-5+(1000-AD62)*10^-8)),0)))</f>
        <v>0</v>
      </c>
      <c r="Y62" s="2" t="str">
        <f>IF(OR(X62="",X62=0),"",IF(SUMPRODUCT(--(B$3:B$102=B62),--(X$3:X$102&gt;X62),--(X$3:X$102&lt;&gt;"")),"","P"))</f>
        <v/>
      </c>
      <c r="Z62" s="2" t="str">
        <f>IF(X62="","",IF(SUMPRODUCT(--(C$3:C$102="P"),--(B$3:B$102=B62)),"P",""))</f>
        <v/>
      </c>
      <c r="AA62" s="15" t="str">
        <f>IF(AND(Y62&lt;&gt;"",OR(Z62="",SUMPRODUCT(--(X$3:X$102&gt;X62),--(Z$3:Z$102="P"),--(Y$3:Y$102="P"))&lt;4)),X62,"")</f>
        <v/>
      </c>
      <c r="AB62" s="9">
        <f>IF(A62="","",IF(OR(C62="P",D62="P"),"",IF(IF(COUNT(L62:Q62)&lt;5,SUM(L62:Q62),IF(COUNT(L62:Q62)=5,SUM(L62:Q62)-MIN(L62:Q62),SUM(L62:Q62)-MIN(L62:Q62)-SMALL(L62:Q62,2)))&gt;0,IF(COUNT(L62:Q62)&lt;5,SUM(L62:Q62),IF(COUNT(L62:Q62)=5,SUM(L62:Q62)-MIN(L62:Q62),SUM(L62:Q62)-MIN(L62:Q62)-SMALL(L62:Q62,2))),0)))</f>
        <v>164</v>
      </c>
      <c r="AC62" s="9">
        <f>COUNTIF(L62:Q62,"&lt;=8")</f>
        <v>0</v>
      </c>
      <c r="AD62" s="9">
        <f>MIN(L62:Q62)</f>
        <v>33</v>
      </c>
    </row>
    <row r="63" spans="1:30" x14ac:dyDescent="0.2">
      <c r="A63" s="7" t="s">
        <v>105</v>
      </c>
      <c r="B63" s="6" t="s">
        <v>22</v>
      </c>
      <c r="E63" s="3" t="str">
        <f>IF(AA63="","",RANK(AA63,AA:AA))</f>
        <v/>
      </c>
      <c r="F63" s="6">
        <v>38</v>
      </c>
      <c r="G63" s="6"/>
      <c r="H63" s="6"/>
      <c r="I63" s="6"/>
      <c r="J63" s="6"/>
      <c r="K63" s="6"/>
      <c r="L63" s="9">
        <f>IF(OR($C63&lt;&gt;"",$D63&lt;&gt;"",F63=""),"",F63-SUMPRODUCT(--($C$3:$C$102="P"),--(F$3:F$102&lt;F63),--(F$3:F$102&lt;&gt;""))-SUMPRODUCT(--($D$3:$D$102="P"),--(F$3:F$102&lt;F63),--(F$3:F$102&lt;&gt;"")))</f>
        <v>35</v>
      </c>
      <c r="M63" s="9" t="str">
        <f>IF(OR($C63&lt;&gt;"",$D63&lt;&gt;"",G63=""),"",G63-SUMPRODUCT(--($C$3:$C$102="P"),--(G$3:G$102&lt;G63),--(G$3:G$102&lt;&gt;""))-SUMPRODUCT(--($D$3:$D$102="P"),--(G$3:G$102&lt;G63),--(G$3:G$102&lt;&gt;"")))</f>
        <v/>
      </c>
      <c r="N63" s="9" t="str">
        <f>IF(OR($C63&lt;&gt;"",$D63&lt;&gt;"",H63=""),"",H63-SUMPRODUCT(--($C$3:$C$102="P"),--(H$3:H$102&lt;H63),--(H$3:H$102&lt;&gt;""))-SUMPRODUCT(--($D$3:$D$102="P"),--(H$3:H$102&lt;H63),--(H$3:H$102&lt;&gt;"")))</f>
        <v/>
      </c>
      <c r="O63" s="9" t="str">
        <f>IF(OR($C63&lt;&gt;"",$D63&lt;&gt;"",I63=""),"",I63-SUMPRODUCT(--($C$3:$C$102="P"),--(I$3:I$102&lt;I63),--(I$3:I$102&lt;&gt;""))-SUMPRODUCT(--($D$3:$D$102="P"),--(I$3:I$102&lt;I63),--(I$3:I$102&lt;&gt;"")))</f>
        <v/>
      </c>
      <c r="P63" s="9" t="str">
        <f>IF(OR($C63&lt;&gt;"",$D63&lt;&gt;"",J63=""),"",J63-SUMPRODUCT(--($C$3:$C$102="P"),--(J$3:J$102&lt;J63),--(J$3:J$102&lt;&gt;""))-SUMPRODUCT(--($D$3:$D$102="P"),--(J$3:J$102&lt;J63),--(J$3:J$102&lt;&gt;"")))</f>
        <v/>
      </c>
      <c r="Q63" s="9" t="str">
        <f>IF(OR($C63&lt;&gt;"",$D63&lt;&gt;"",K63=""),"",K63-SUMPRODUCT(--($C$3:$C$102="P"),--(K$3:K$102&lt;K63),--(K$3:K$102&lt;&gt;""))-SUMPRODUCT(--($D$3:$D$102="P"),--(K$3:K$102&lt;K63),--(K$3:K$102&lt;&gt;"")))</f>
        <v/>
      </c>
      <c r="R63" s="9" t="str">
        <f>IF(OR(L63="",L63&gt;30),"",IF(L63=1,60,IF(L63=2,55,IF(L63=3,50,IF(L63=4,44,IF(L63=5,38,IF(L63=6,32,IF(L63=7,28,IF(L63=8,25,IF(L63=9,22,IF(L63=10,21,IF(L63=11,20,IF(L63=12,19,IF(L63=13,18,IF(L63=14,17,IF(L63=15,16,IF(L63=16,15,IF(L63=17,14,IF(L63=18,13,IF(L63=19,12,IF(L63=20,11,IF(L63=21,10,IF(L63=22,9,IF(L63=23,8,IF(L63=24,7,IF(L63=25,6,IF(L63=26,5,IF(L63=27,4,IF(L63=28,3,IF(L63=29,2,IF(L63=30,1)))))))))))))))))))))))))))))))</f>
        <v/>
      </c>
      <c r="S63" s="9" t="str">
        <f>IF(OR(M63="",M63&gt;30),"",IF(M63=1,60,IF(M63=2,55,IF(M63=3,50,IF(M63=4,44,IF(M63=5,38,IF(M63=6,32,IF(M63=7,28,IF(M63=8,25,IF(M63=9,22,IF(M63=10,21,IF(M63=11,20,IF(M63=12,19,IF(M63=13,18,IF(M63=14,17,IF(M63=15,16,IF(M63=16,15,IF(M63=17,14,IF(M63=18,13,IF(M63=19,12,IF(M63=20,11,IF(M63=21,10,IF(M63=22,9,IF(M63=23,8,IF(M63=24,7,IF(M63=25,6,IF(M63=26,5,IF(M63=27,4,IF(M63=28,3,IF(M63=29,2,IF(M63=30,1)))))))))))))))))))))))))))))))</f>
        <v/>
      </c>
      <c r="T63" s="9" t="str">
        <f>IF(OR(N63="",N63&gt;30),"",IF(N63=1,60,IF(N63=2,55,IF(N63=3,50,IF(N63=4,44,IF(N63=5,38,IF(N63=6,32,IF(N63=7,28,IF(N63=8,25,IF(N63=9,22,IF(N63=10,21,IF(N63=11,20,IF(N63=12,19,IF(N63=13,18,IF(N63=14,17,IF(N63=15,16,IF(N63=16,15,IF(N63=17,14,IF(N63=18,13,IF(N63=19,12,IF(N63=20,11,IF(N63=21,10,IF(N63=22,9,IF(N63=23,8,IF(N63=24,7,IF(N63=25,6,IF(N63=26,5,IF(N63=27,4,IF(N63=28,3,IF(N63=29,2,IF(N63=30,1)))))))))))))))))))))))))))))))</f>
        <v/>
      </c>
      <c r="U63" s="9" t="str">
        <f>IF(OR(O63="",O63&gt;30),"",IF(O63=1,60,IF(O63=2,55,IF(O63=3,50,IF(O63=4,44,IF(O63=5,38,IF(O63=6,32,IF(O63=7,28,IF(O63=8,25,IF(O63=9,22,IF(O63=10,21,IF(O63=11,20,IF(O63=12,19,IF(O63=13,18,IF(O63=14,17,IF(O63=15,16,IF(O63=16,15,IF(O63=17,14,IF(O63=18,13,IF(O63=19,12,IF(O63=20,11,IF(O63=21,10,IF(O63=22,9,IF(O63=23,8,IF(O63=24,7,IF(O63=25,6,IF(O63=26,5,IF(O63=27,4,IF(O63=28,3,IF(O63=29,2,IF(O63=30,1)))))))))))))))))))))))))))))))</f>
        <v/>
      </c>
      <c r="V63" s="9" t="str">
        <f>IF(OR(P63="",P63&gt;30),"",IF(P63=1,60,IF(P63=2,55,IF(P63=3,50,IF(P63=4,44,IF(P63=5,38,IF(P63=6,32,IF(P63=7,28,IF(P63=8,25,IF(P63=9,22,IF(P63=10,21,IF(P63=11,20,IF(P63=12,19,IF(P63=13,18,IF(P63=14,17,IF(P63=15,16,IF(P63=16,15,IF(P63=17,14,IF(P63=18,13,IF(P63=19,12,IF(P63=20,11,IF(P63=21,10,IF(P63=22,9,IF(P63=23,8,IF(P63=24,7,IF(P63=25,6,IF(P63=26,5,IF(P63=27,4,IF(P63=28,3,IF(P63=29,2,IF(P63=30,1)))))))))))))))))))))))))))))))</f>
        <v/>
      </c>
      <c r="W63" s="9" t="str">
        <f>IF(OR(Q63="",Q63&gt;30),"",IF(Q63=1,60,IF(Q63=2,55,IF(Q63=3,50,IF(Q63=4,44,IF(Q63=5,38,IF(Q63=6,32,IF(Q63=7,28,IF(Q63=8,25,IF(Q63=9,22,IF(Q63=10,21,IF(Q63=11,20,IF(Q63=12,19,IF(Q63=13,18,IF(Q63=14,17,IF(Q63=15,16,IF(Q63=16,15,IF(Q63=17,14,IF(Q63=18,13,IF(Q63=19,12,IF(Q63=20,11,IF(Q63=21,10,IF(Q63=22,9,IF(Q63=23,8,IF(Q63=24,7,IF(Q63=25,6,IF(Q63=26,5,IF(Q63=27,4,IF(Q63=28,3,IF(Q63=29,2,IF(Q63=30,1)))))))))))))))))))))))))))))))</f>
        <v/>
      </c>
      <c r="X63" s="15">
        <f>IF(A63="","",IF(OR(C63="P",D63="P"),"",IF(IF(COUNT(R63:W63)&lt;5,SUM(R63:W63),IF(COUNT(R63:W63)=5,SUM(R63:W63)-MIN(R63:W63),SUM(R63:W63)-MIN(R63:W63)-SMALL(R63:W63,2)))&gt;0,IF(COUNT(R63:W63)&lt;5,SUM(R63:W63)+(1000-AB63)*10^-4+AC63*10^-5+(1000-AD63)*10^-8,IF(COUNT(R63:W63)=5,SUM(R63:W63)-MIN(R63:W63)+(1000-AB63)*10^-4+AC63*10^-5+(1000-AD63)*10^-8,SUM(R63:W63)-MIN(R63:W63)-SMALL(R63:W63,2)+(1000-AB63)*10^-4+AC63*10^-5+(1000-AD63)*10^-8)),0)))</f>
        <v>0</v>
      </c>
      <c r="Y63" s="2" t="str">
        <f>IF(OR(X63="",X63=0),"",IF(SUMPRODUCT(--(B$3:B$102=B63),--(X$3:X$102&gt;X63),--(X$3:X$102&lt;&gt;"")),"","P"))</f>
        <v/>
      </c>
      <c r="Z63" s="2" t="str">
        <f>IF(X63="","",IF(SUMPRODUCT(--(C$3:C$102="P"),--(B$3:B$102=B63)),"P",""))</f>
        <v>P</v>
      </c>
      <c r="AA63" s="15" t="str">
        <f>IF(AND(Y63&lt;&gt;"",OR(Z63="",SUMPRODUCT(--(X$3:X$102&gt;X63),--(Z$3:Z$102="P"),--(Y$3:Y$102="P"))&lt;4)),X63,"")</f>
        <v/>
      </c>
      <c r="AB63" s="9">
        <f>IF(A63="","",IF(OR(C63="P",D63="P"),"",IF(IF(COUNT(L63:Q63)&lt;5,SUM(L63:Q63),IF(COUNT(L63:Q63)=5,SUM(L63:Q63)-MIN(L63:Q63),SUM(L63:Q63)-MIN(L63:Q63)-SMALL(L63:Q63,2)))&gt;0,IF(COUNT(L63:Q63)&lt;5,SUM(L63:Q63),IF(COUNT(L63:Q63)=5,SUM(L63:Q63)-MIN(L63:Q63),SUM(L63:Q63)-MIN(L63:Q63)-SMALL(L63:Q63,2))),0)))</f>
        <v>35</v>
      </c>
      <c r="AC63" s="9">
        <f>COUNTIF(L63:Q63,"&lt;=8")</f>
        <v>0</v>
      </c>
      <c r="AD63" s="9">
        <f>MIN(L63:Q63)</f>
        <v>35</v>
      </c>
    </row>
    <row r="64" spans="1:30" x14ac:dyDescent="0.2">
      <c r="A64" s="7" t="s">
        <v>132</v>
      </c>
      <c r="B64" s="6" t="s">
        <v>107</v>
      </c>
      <c r="E64" s="3" t="str">
        <f>IF(AA64="","",RANK(AA64,AA:AA))</f>
        <v/>
      </c>
      <c r="F64" s="6">
        <v>53</v>
      </c>
      <c r="G64" s="6">
        <v>34</v>
      </c>
      <c r="H64" s="6">
        <v>53</v>
      </c>
      <c r="I64" s="6">
        <v>59</v>
      </c>
      <c r="J64" s="6"/>
      <c r="K64" s="6"/>
      <c r="L64" s="9">
        <f>IF(OR($C64&lt;&gt;"",$D64&lt;&gt;"",F64=""),"",F64-SUMPRODUCT(--($C$3:$C$102="P"),--(F$3:F$102&lt;F64),--(F$3:F$102&lt;&gt;""))-SUMPRODUCT(--($D$3:$D$102="P"),--(F$3:F$102&lt;F64),--(F$3:F$102&lt;&gt;"")))</f>
        <v>50</v>
      </c>
      <c r="M64" s="9">
        <f>IF(OR($C64&lt;&gt;"",$D64&lt;&gt;"",G64=""),"",G64-SUMPRODUCT(--($C$3:$C$102="P"),--(G$3:G$102&lt;G64),--(G$3:G$102&lt;&gt;""))-SUMPRODUCT(--($D$3:$D$102="P"),--(G$3:G$102&lt;G64),--(G$3:G$102&lt;&gt;"")))</f>
        <v>32</v>
      </c>
      <c r="N64" s="9">
        <f>IF(OR($C64&lt;&gt;"",$D64&lt;&gt;"",H64=""),"",H64-SUMPRODUCT(--($C$3:$C$102="P"),--(H$3:H$102&lt;H64),--(H$3:H$102&lt;&gt;""))-SUMPRODUCT(--($D$3:$D$102="P"),--(H$3:H$102&lt;H64),--(H$3:H$102&lt;&gt;"")))</f>
        <v>49</v>
      </c>
      <c r="O64" s="9">
        <f>IF(OR($C64&lt;&gt;"",$D64&lt;&gt;"",I64=""),"",I64-SUMPRODUCT(--($C$3:$C$102="P"),--(I$3:I$102&lt;I64),--(I$3:I$102&lt;&gt;""))-SUMPRODUCT(--($D$3:$D$102="P"),--(I$3:I$102&lt;I64),--(I$3:I$102&lt;&gt;"")))</f>
        <v>54</v>
      </c>
      <c r="P64" s="9" t="str">
        <f>IF(OR($C64&lt;&gt;"",$D64&lt;&gt;"",J64=""),"",J64-SUMPRODUCT(--($C$3:$C$102="P"),--(J$3:J$102&lt;J64),--(J$3:J$102&lt;&gt;""))-SUMPRODUCT(--($D$3:$D$102="P"),--(J$3:J$102&lt;J64),--(J$3:J$102&lt;&gt;"")))</f>
        <v/>
      </c>
      <c r="Q64" s="9" t="str">
        <f>IF(OR($C64&lt;&gt;"",$D64&lt;&gt;"",K64=""),"",K64-SUMPRODUCT(--($C$3:$C$102="P"),--(K$3:K$102&lt;K64),--(K$3:K$102&lt;&gt;""))-SUMPRODUCT(--($D$3:$D$102="P"),--(K$3:K$102&lt;K64),--(K$3:K$102&lt;&gt;"")))</f>
        <v/>
      </c>
      <c r="R64" s="9" t="str">
        <f>IF(OR(L64="",L64&gt;30),"",IF(L64=1,60,IF(L64=2,55,IF(L64=3,50,IF(L64=4,44,IF(L64=5,38,IF(L64=6,32,IF(L64=7,28,IF(L64=8,25,IF(L64=9,22,IF(L64=10,21,IF(L64=11,20,IF(L64=12,19,IF(L64=13,18,IF(L64=14,17,IF(L64=15,16,IF(L64=16,15,IF(L64=17,14,IF(L64=18,13,IF(L64=19,12,IF(L64=20,11,IF(L64=21,10,IF(L64=22,9,IF(L64=23,8,IF(L64=24,7,IF(L64=25,6,IF(L64=26,5,IF(L64=27,4,IF(L64=28,3,IF(L64=29,2,IF(L64=30,1)))))))))))))))))))))))))))))))</f>
        <v/>
      </c>
      <c r="S64" s="9" t="str">
        <f>IF(OR(M64="",M64&gt;30),"",IF(M64=1,60,IF(M64=2,55,IF(M64=3,50,IF(M64=4,44,IF(M64=5,38,IF(M64=6,32,IF(M64=7,28,IF(M64=8,25,IF(M64=9,22,IF(M64=10,21,IF(M64=11,20,IF(M64=12,19,IF(M64=13,18,IF(M64=14,17,IF(M64=15,16,IF(M64=16,15,IF(M64=17,14,IF(M64=18,13,IF(M64=19,12,IF(M64=20,11,IF(M64=21,10,IF(M64=22,9,IF(M64=23,8,IF(M64=24,7,IF(M64=25,6,IF(M64=26,5,IF(M64=27,4,IF(M64=28,3,IF(M64=29,2,IF(M64=30,1)))))))))))))))))))))))))))))))</f>
        <v/>
      </c>
      <c r="T64" s="9" t="str">
        <f>IF(OR(N64="",N64&gt;30),"",IF(N64=1,60,IF(N64=2,55,IF(N64=3,50,IF(N64=4,44,IF(N64=5,38,IF(N64=6,32,IF(N64=7,28,IF(N64=8,25,IF(N64=9,22,IF(N64=10,21,IF(N64=11,20,IF(N64=12,19,IF(N64=13,18,IF(N64=14,17,IF(N64=15,16,IF(N64=16,15,IF(N64=17,14,IF(N64=18,13,IF(N64=19,12,IF(N64=20,11,IF(N64=21,10,IF(N64=22,9,IF(N64=23,8,IF(N64=24,7,IF(N64=25,6,IF(N64=26,5,IF(N64=27,4,IF(N64=28,3,IF(N64=29,2,IF(N64=30,1)))))))))))))))))))))))))))))))</f>
        <v/>
      </c>
      <c r="U64" s="9" t="str">
        <f>IF(OR(O64="",O64&gt;30),"",IF(O64=1,60,IF(O64=2,55,IF(O64=3,50,IF(O64=4,44,IF(O64=5,38,IF(O64=6,32,IF(O64=7,28,IF(O64=8,25,IF(O64=9,22,IF(O64=10,21,IF(O64=11,20,IF(O64=12,19,IF(O64=13,18,IF(O64=14,17,IF(O64=15,16,IF(O64=16,15,IF(O64=17,14,IF(O64=18,13,IF(O64=19,12,IF(O64=20,11,IF(O64=21,10,IF(O64=22,9,IF(O64=23,8,IF(O64=24,7,IF(O64=25,6,IF(O64=26,5,IF(O64=27,4,IF(O64=28,3,IF(O64=29,2,IF(O64=30,1)))))))))))))))))))))))))))))))</f>
        <v/>
      </c>
      <c r="V64" s="9" t="str">
        <f>IF(OR(P64="",P64&gt;30),"",IF(P64=1,60,IF(P64=2,55,IF(P64=3,50,IF(P64=4,44,IF(P64=5,38,IF(P64=6,32,IF(P64=7,28,IF(P64=8,25,IF(P64=9,22,IF(P64=10,21,IF(P64=11,20,IF(P64=12,19,IF(P64=13,18,IF(P64=14,17,IF(P64=15,16,IF(P64=16,15,IF(P64=17,14,IF(P64=18,13,IF(P64=19,12,IF(P64=20,11,IF(P64=21,10,IF(P64=22,9,IF(P64=23,8,IF(P64=24,7,IF(P64=25,6,IF(P64=26,5,IF(P64=27,4,IF(P64=28,3,IF(P64=29,2,IF(P64=30,1)))))))))))))))))))))))))))))))</f>
        <v/>
      </c>
      <c r="W64" s="9" t="str">
        <f>IF(OR(Q64="",Q64&gt;30),"",IF(Q64=1,60,IF(Q64=2,55,IF(Q64=3,50,IF(Q64=4,44,IF(Q64=5,38,IF(Q64=6,32,IF(Q64=7,28,IF(Q64=8,25,IF(Q64=9,22,IF(Q64=10,21,IF(Q64=11,20,IF(Q64=12,19,IF(Q64=13,18,IF(Q64=14,17,IF(Q64=15,16,IF(Q64=16,15,IF(Q64=17,14,IF(Q64=18,13,IF(Q64=19,12,IF(Q64=20,11,IF(Q64=21,10,IF(Q64=22,9,IF(Q64=23,8,IF(Q64=24,7,IF(Q64=25,6,IF(Q64=26,5,IF(Q64=27,4,IF(Q64=28,3,IF(Q64=29,2,IF(Q64=30,1)))))))))))))))))))))))))))))))</f>
        <v/>
      </c>
      <c r="X64" s="15">
        <f>IF(A64="","",IF(OR(C64="P",D64="P"),"",IF(IF(COUNT(R64:W64)&lt;5,SUM(R64:W64),IF(COUNT(R64:W64)=5,SUM(R64:W64)-MIN(R64:W64),SUM(R64:W64)-MIN(R64:W64)-SMALL(R64:W64,2)))&gt;0,IF(COUNT(R64:W64)&lt;5,SUM(R64:W64)+(1000-AB64)*10^-4+AC64*10^-5+(1000-AD64)*10^-8,IF(COUNT(R64:W64)=5,SUM(R64:W64)-MIN(R64:W64)+(1000-AB64)*10^-4+AC64*10^-5+(1000-AD64)*10^-8,SUM(R64:W64)-MIN(R64:W64)-SMALL(R64:W64,2)+(1000-AB64)*10^-4+AC64*10^-5+(1000-AD64)*10^-8)),0)))</f>
        <v>0</v>
      </c>
      <c r="Y64" s="2" t="str">
        <f>IF(OR(X64="",X64=0),"",IF(SUMPRODUCT(--(B$3:B$102=B64),--(X$3:X$102&gt;X64),--(X$3:X$102&lt;&gt;"")),"","P"))</f>
        <v/>
      </c>
      <c r="Z64" s="2" t="str">
        <f>IF(X64="","",IF(SUMPRODUCT(--(C$3:C$102="P"),--(B$3:B$102=B64)),"P",""))</f>
        <v/>
      </c>
      <c r="AA64" s="15" t="str">
        <f>IF(AND(Y64&lt;&gt;"",OR(Z64="",SUMPRODUCT(--(X$3:X$102&gt;X64),--(Z$3:Z$102="P"),--(Y$3:Y$102="P"))&lt;4)),X64,"")</f>
        <v/>
      </c>
      <c r="AB64" s="9">
        <f>IF(A64="","",IF(OR(C64="P",D64="P"),"",IF(IF(COUNT(L64:Q64)&lt;5,SUM(L64:Q64),IF(COUNT(L64:Q64)=5,SUM(L64:Q64)-MIN(L64:Q64),SUM(L64:Q64)-MIN(L64:Q64)-SMALL(L64:Q64,2)))&gt;0,IF(COUNT(L64:Q64)&lt;5,SUM(L64:Q64),IF(COUNT(L64:Q64)=5,SUM(L64:Q64)-MIN(L64:Q64),SUM(L64:Q64)-MIN(L64:Q64)-SMALL(L64:Q64,2))),0)))</f>
        <v>185</v>
      </c>
      <c r="AC64" s="9">
        <f>COUNTIF(L64:Q64,"&lt;=8")</f>
        <v>0</v>
      </c>
      <c r="AD64" s="9">
        <f>MIN(L64:Q64)</f>
        <v>32</v>
      </c>
    </row>
    <row r="65" spans="1:30" x14ac:dyDescent="0.2">
      <c r="A65" s="7" t="s">
        <v>177</v>
      </c>
      <c r="B65" s="6" t="s">
        <v>22</v>
      </c>
      <c r="E65" s="3"/>
      <c r="F65" s="6"/>
      <c r="G65" s="6">
        <v>91</v>
      </c>
      <c r="H65" s="6">
        <v>36</v>
      </c>
      <c r="I65" s="6">
        <v>72</v>
      </c>
      <c r="J65" s="6"/>
      <c r="K65" s="6"/>
      <c r="L65" s="9" t="str">
        <f>IF(OR($C65&lt;&gt;"",$D65&lt;&gt;"",F65=""),"",F65-SUMPRODUCT(--($C$3:$C$102="P"),--(F$3:F$102&lt;F65),--(F$3:F$102&lt;&gt;""))-SUMPRODUCT(--($D$3:$D$102="P"),--(F$3:F$102&lt;F65),--(F$3:F$102&lt;&gt;"")))</f>
        <v/>
      </c>
      <c r="M65" s="9">
        <f>IF(OR($C65&lt;&gt;"",$D65&lt;&gt;"",G65=""),"",G65-SUMPRODUCT(--($C$3:$C$102="P"),--(G$3:G$102&lt;G65),--(G$3:G$102&lt;&gt;""))-SUMPRODUCT(--($D$3:$D$102="P"),--(G$3:G$102&lt;G65),--(G$3:G$102&lt;&gt;"")))</f>
        <v>87</v>
      </c>
      <c r="N65" s="9">
        <f>IF(OR($C65&lt;&gt;"",$D65&lt;&gt;"",H65=""),"",H65-SUMPRODUCT(--($C$3:$C$102="P"),--(H$3:H$102&lt;H65),--(H$3:H$102&lt;&gt;""))-SUMPRODUCT(--($D$3:$D$102="P"),--(H$3:H$102&lt;H65),--(H$3:H$102&lt;&gt;"")))</f>
        <v>32</v>
      </c>
      <c r="O65" s="9">
        <f>IF(OR($C65&lt;&gt;"",$D65&lt;&gt;"",I65=""),"",I65-SUMPRODUCT(--($C$3:$C$102="P"),--(I$3:I$102&lt;I65),--(I$3:I$102&lt;&gt;""))-SUMPRODUCT(--($D$3:$D$102="P"),--(I$3:I$102&lt;I65),--(I$3:I$102&lt;&gt;"")))</f>
        <v>67</v>
      </c>
      <c r="P65" s="9" t="str">
        <f>IF(OR($C65&lt;&gt;"",$D65&lt;&gt;"",J65=""),"",J65-SUMPRODUCT(--($C$3:$C$102="P"),--(J$3:J$102&lt;J65),--(J$3:J$102&lt;&gt;""))-SUMPRODUCT(--($D$3:$D$102="P"),--(J$3:J$102&lt;J65),--(J$3:J$102&lt;&gt;"")))</f>
        <v/>
      </c>
      <c r="Q65" s="9" t="str">
        <f>IF(OR($C65&lt;&gt;"",$D65&lt;&gt;"",K65=""),"",K65-SUMPRODUCT(--($C$3:$C$102="P"),--(K$3:K$102&lt;K65),--(K$3:K$102&lt;&gt;""))-SUMPRODUCT(--($D$3:$D$102="P"),--(K$3:K$102&lt;K65),--(K$3:K$102&lt;&gt;"")))</f>
        <v/>
      </c>
      <c r="R65" s="9" t="str">
        <f>IF(OR(L65="",L65&gt;30),"",IF(L65=1,60,IF(L65=2,55,IF(L65=3,50,IF(L65=4,44,IF(L65=5,38,IF(L65=6,32,IF(L65=7,28,IF(L65=8,25,IF(L65=9,22,IF(L65=10,21,IF(L65=11,20,IF(L65=12,19,IF(L65=13,18,IF(L65=14,17,IF(L65=15,16,IF(L65=16,15,IF(L65=17,14,IF(L65=18,13,IF(L65=19,12,IF(L65=20,11,IF(L65=21,10,IF(L65=22,9,IF(L65=23,8,IF(L65=24,7,IF(L65=25,6,IF(L65=26,5,IF(L65=27,4,IF(L65=28,3,IF(L65=29,2,IF(L65=30,1)))))))))))))))))))))))))))))))</f>
        <v/>
      </c>
      <c r="S65" s="9" t="str">
        <f>IF(OR(M65="",M65&gt;30),"",IF(M65=1,60,IF(M65=2,55,IF(M65=3,50,IF(M65=4,44,IF(M65=5,38,IF(M65=6,32,IF(M65=7,28,IF(M65=8,25,IF(M65=9,22,IF(M65=10,21,IF(M65=11,20,IF(M65=12,19,IF(M65=13,18,IF(M65=14,17,IF(M65=15,16,IF(M65=16,15,IF(M65=17,14,IF(M65=18,13,IF(M65=19,12,IF(M65=20,11,IF(M65=21,10,IF(M65=22,9,IF(M65=23,8,IF(M65=24,7,IF(M65=25,6,IF(M65=26,5,IF(M65=27,4,IF(M65=28,3,IF(M65=29,2,IF(M65=30,1)))))))))))))))))))))))))))))))</f>
        <v/>
      </c>
      <c r="T65" s="9" t="str">
        <f>IF(OR(N65="",N65&gt;30),"",IF(N65=1,60,IF(N65=2,55,IF(N65=3,50,IF(N65=4,44,IF(N65=5,38,IF(N65=6,32,IF(N65=7,28,IF(N65=8,25,IF(N65=9,22,IF(N65=10,21,IF(N65=11,20,IF(N65=12,19,IF(N65=13,18,IF(N65=14,17,IF(N65=15,16,IF(N65=16,15,IF(N65=17,14,IF(N65=18,13,IF(N65=19,12,IF(N65=20,11,IF(N65=21,10,IF(N65=22,9,IF(N65=23,8,IF(N65=24,7,IF(N65=25,6,IF(N65=26,5,IF(N65=27,4,IF(N65=28,3,IF(N65=29,2,IF(N65=30,1)))))))))))))))))))))))))))))))</f>
        <v/>
      </c>
      <c r="U65" s="9" t="str">
        <f>IF(OR(O65="",O65&gt;30),"",IF(O65=1,60,IF(O65=2,55,IF(O65=3,50,IF(O65=4,44,IF(O65=5,38,IF(O65=6,32,IF(O65=7,28,IF(O65=8,25,IF(O65=9,22,IF(O65=10,21,IF(O65=11,20,IF(O65=12,19,IF(O65=13,18,IF(O65=14,17,IF(O65=15,16,IF(O65=16,15,IF(O65=17,14,IF(O65=18,13,IF(O65=19,12,IF(O65=20,11,IF(O65=21,10,IF(O65=22,9,IF(O65=23,8,IF(O65=24,7,IF(O65=25,6,IF(O65=26,5,IF(O65=27,4,IF(O65=28,3,IF(O65=29,2,IF(O65=30,1)))))))))))))))))))))))))))))))</f>
        <v/>
      </c>
      <c r="V65" s="9" t="str">
        <f>IF(OR(P65="",P65&gt;30),"",IF(P65=1,60,IF(P65=2,55,IF(P65=3,50,IF(P65=4,44,IF(P65=5,38,IF(P65=6,32,IF(P65=7,28,IF(P65=8,25,IF(P65=9,22,IF(P65=10,21,IF(P65=11,20,IF(P65=12,19,IF(P65=13,18,IF(P65=14,17,IF(P65=15,16,IF(P65=16,15,IF(P65=17,14,IF(P65=18,13,IF(P65=19,12,IF(P65=20,11,IF(P65=21,10,IF(P65=22,9,IF(P65=23,8,IF(P65=24,7,IF(P65=25,6,IF(P65=26,5,IF(P65=27,4,IF(P65=28,3,IF(P65=29,2,IF(P65=30,1)))))))))))))))))))))))))))))))</f>
        <v/>
      </c>
      <c r="W65" s="9" t="str">
        <f>IF(OR(Q65="",Q65&gt;30),"",IF(Q65=1,60,IF(Q65=2,55,IF(Q65=3,50,IF(Q65=4,44,IF(Q65=5,38,IF(Q65=6,32,IF(Q65=7,28,IF(Q65=8,25,IF(Q65=9,22,IF(Q65=10,21,IF(Q65=11,20,IF(Q65=12,19,IF(Q65=13,18,IF(Q65=14,17,IF(Q65=15,16,IF(Q65=16,15,IF(Q65=17,14,IF(Q65=18,13,IF(Q65=19,12,IF(Q65=20,11,IF(Q65=21,10,IF(Q65=22,9,IF(Q65=23,8,IF(Q65=24,7,IF(Q65=25,6,IF(Q65=26,5,IF(Q65=27,4,IF(Q65=28,3,IF(Q65=29,2,IF(Q65=30,1)))))))))))))))))))))))))))))))</f>
        <v/>
      </c>
      <c r="X65" s="15">
        <f>IF(A65="","",IF(OR(C65="P",D65="P"),"",IF(IF(COUNT(R65:W65)&lt;5,SUM(R65:W65),IF(COUNT(R65:W65)=5,SUM(R65:W65)-MIN(R65:W65),SUM(R65:W65)-MIN(R65:W65)-SMALL(R65:W65,2)))&gt;0,IF(COUNT(R65:W65)&lt;5,SUM(R65:W65)+(1000-AB65)*10^-4+AC65*10^-5+(1000-AD65)*10^-8,IF(COUNT(R65:W65)=5,SUM(R65:W65)-MIN(R65:W65)+(1000-AB65)*10^-4+AC65*10^-5+(1000-AD65)*10^-8,SUM(R65:W65)-MIN(R65:W65)-SMALL(R65:W65,2)+(1000-AB65)*10^-4+AC65*10^-5+(1000-AD65)*10^-8)),0)))</f>
        <v>0</v>
      </c>
      <c r="Y65" s="2" t="str">
        <f>IF(OR(X65="",X65=0),"",IF(SUMPRODUCT(--(B$3:B$102=B65),--(X$3:X$102&gt;X65),--(X$3:X$102&lt;&gt;"")),"","P"))</f>
        <v/>
      </c>
      <c r="Z65" s="2" t="str">
        <f>IF(X65="","",IF(SUMPRODUCT(--(C$3:C$102="P"),--(B$3:B$102=B65)),"P",""))</f>
        <v>P</v>
      </c>
      <c r="AA65" s="15" t="str">
        <f>IF(AND(Y65&lt;&gt;"",OR(Z65="",SUMPRODUCT(--(X$3:X$102&gt;X65),--(Z$3:Z$102="P"),--(Y$3:Y$102="P"))&lt;4)),X65,"")</f>
        <v/>
      </c>
      <c r="AB65" s="9">
        <f>IF(A65="","",IF(OR(C65="P",D65="P"),"",IF(IF(COUNT(L65:Q65)&lt;5,SUM(L65:Q65),IF(COUNT(L65:Q65)=5,SUM(L65:Q65)-MIN(L65:Q65),SUM(L65:Q65)-MIN(L65:Q65)-SMALL(L65:Q65,2)))&gt;0,IF(COUNT(L65:Q65)&lt;5,SUM(L65:Q65),IF(COUNT(L65:Q65)=5,SUM(L65:Q65)-MIN(L65:Q65),SUM(L65:Q65)-MIN(L65:Q65)-SMALL(L65:Q65,2))),0)))</f>
        <v>186</v>
      </c>
      <c r="AC65" s="9">
        <f>COUNTIF(L65:Q65,"&lt;=8")</f>
        <v>0</v>
      </c>
      <c r="AD65" s="9">
        <f>MIN(L65:Q65)</f>
        <v>32</v>
      </c>
    </row>
    <row r="66" spans="1:30" x14ac:dyDescent="0.2">
      <c r="A66" s="7" t="s">
        <v>135</v>
      </c>
      <c r="B66" s="6" t="s">
        <v>136</v>
      </c>
      <c r="E66" s="3" t="str">
        <f>IF(AA66="","",RANK(AA66,AA:AA))</f>
        <v/>
      </c>
      <c r="F66" s="6"/>
      <c r="G66" s="6">
        <v>37</v>
      </c>
      <c r="H66" s="6"/>
      <c r="I66" s="6"/>
      <c r="J66" s="6"/>
      <c r="K66" s="6"/>
      <c r="L66" s="9" t="str">
        <f>IF(OR($C66&lt;&gt;"",$D66&lt;&gt;"",F66=""),"",F66-SUMPRODUCT(--($C$3:$C$102="P"),--(F$3:F$102&lt;F66),--(F$3:F$102&lt;&gt;""))-SUMPRODUCT(--($D$3:$D$102="P"),--(F$3:F$102&lt;F66),--(F$3:F$102&lt;&gt;"")))</f>
        <v/>
      </c>
      <c r="M66" s="9">
        <f>IF(OR($C66&lt;&gt;"",$D66&lt;&gt;"",G66=""),"",G66-SUMPRODUCT(--($C$3:$C$102="P"),--(G$3:G$102&lt;G66),--(G$3:G$102&lt;&gt;""))-SUMPRODUCT(--($D$3:$D$102="P"),--(G$3:G$102&lt;G66),--(G$3:G$102&lt;&gt;"")))</f>
        <v>35</v>
      </c>
      <c r="N66" s="9" t="str">
        <f>IF(OR($C66&lt;&gt;"",$D66&lt;&gt;"",H66=""),"",H66-SUMPRODUCT(--($C$3:$C$102="P"),--(H$3:H$102&lt;H66),--(H$3:H$102&lt;&gt;""))-SUMPRODUCT(--($D$3:$D$102="P"),--(H$3:H$102&lt;H66),--(H$3:H$102&lt;&gt;"")))</f>
        <v/>
      </c>
      <c r="O66" s="9" t="str">
        <f>IF(OR($C66&lt;&gt;"",$D66&lt;&gt;"",I66=""),"",I66-SUMPRODUCT(--($C$3:$C$102="P"),--(I$3:I$102&lt;I66),--(I$3:I$102&lt;&gt;""))-SUMPRODUCT(--($D$3:$D$102="P"),--(I$3:I$102&lt;I66),--(I$3:I$102&lt;&gt;"")))</f>
        <v/>
      </c>
      <c r="P66" s="9" t="str">
        <f>IF(OR($C66&lt;&gt;"",$D66&lt;&gt;"",J66=""),"",J66-SUMPRODUCT(--($C$3:$C$102="P"),--(J$3:J$102&lt;J66),--(J$3:J$102&lt;&gt;""))-SUMPRODUCT(--($D$3:$D$102="P"),--(J$3:J$102&lt;J66),--(J$3:J$102&lt;&gt;"")))</f>
        <v/>
      </c>
      <c r="Q66" s="9" t="str">
        <f>IF(OR($C66&lt;&gt;"",$D66&lt;&gt;"",K66=""),"",K66-SUMPRODUCT(--($C$3:$C$102="P"),--(K$3:K$102&lt;K66),--(K$3:K$102&lt;&gt;""))-SUMPRODUCT(--($D$3:$D$102="P"),--(K$3:K$102&lt;K66),--(K$3:K$102&lt;&gt;"")))</f>
        <v/>
      </c>
      <c r="R66" s="9" t="str">
        <f>IF(OR(L66="",L66&gt;30),"",IF(L66=1,60,IF(L66=2,55,IF(L66=3,50,IF(L66=4,44,IF(L66=5,38,IF(L66=6,32,IF(L66=7,28,IF(L66=8,25,IF(L66=9,22,IF(L66=10,21,IF(L66=11,20,IF(L66=12,19,IF(L66=13,18,IF(L66=14,17,IF(L66=15,16,IF(L66=16,15,IF(L66=17,14,IF(L66=18,13,IF(L66=19,12,IF(L66=20,11,IF(L66=21,10,IF(L66=22,9,IF(L66=23,8,IF(L66=24,7,IF(L66=25,6,IF(L66=26,5,IF(L66=27,4,IF(L66=28,3,IF(L66=29,2,IF(L66=30,1)))))))))))))))))))))))))))))))</f>
        <v/>
      </c>
      <c r="S66" s="9" t="str">
        <f>IF(OR(M66="",M66&gt;30),"",IF(M66=1,60,IF(M66=2,55,IF(M66=3,50,IF(M66=4,44,IF(M66=5,38,IF(M66=6,32,IF(M66=7,28,IF(M66=8,25,IF(M66=9,22,IF(M66=10,21,IF(M66=11,20,IF(M66=12,19,IF(M66=13,18,IF(M66=14,17,IF(M66=15,16,IF(M66=16,15,IF(M66=17,14,IF(M66=18,13,IF(M66=19,12,IF(M66=20,11,IF(M66=21,10,IF(M66=22,9,IF(M66=23,8,IF(M66=24,7,IF(M66=25,6,IF(M66=26,5,IF(M66=27,4,IF(M66=28,3,IF(M66=29,2,IF(M66=30,1)))))))))))))))))))))))))))))))</f>
        <v/>
      </c>
      <c r="T66" s="9" t="str">
        <f>IF(OR(N66="",N66&gt;30),"",IF(N66=1,60,IF(N66=2,55,IF(N66=3,50,IF(N66=4,44,IF(N66=5,38,IF(N66=6,32,IF(N66=7,28,IF(N66=8,25,IF(N66=9,22,IF(N66=10,21,IF(N66=11,20,IF(N66=12,19,IF(N66=13,18,IF(N66=14,17,IF(N66=15,16,IF(N66=16,15,IF(N66=17,14,IF(N66=18,13,IF(N66=19,12,IF(N66=20,11,IF(N66=21,10,IF(N66=22,9,IF(N66=23,8,IF(N66=24,7,IF(N66=25,6,IF(N66=26,5,IF(N66=27,4,IF(N66=28,3,IF(N66=29,2,IF(N66=30,1)))))))))))))))))))))))))))))))</f>
        <v/>
      </c>
      <c r="U66" s="9" t="str">
        <f>IF(OR(O66="",O66&gt;30),"",IF(O66=1,60,IF(O66=2,55,IF(O66=3,50,IF(O66=4,44,IF(O66=5,38,IF(O66=6,32,IF(O66=7,28,IF(O66=8,25,IF(O66=9,22,IF(O66=10,21,IF(O66=11,20,IF(O66=12,19,IF(O66=13,18,IF(O66=14,17,IF(O66=15,16,IF(O66=16,15,IF(O66=17,14,IF(O66=18,13,IF(O66=19,12,IF(O66=20,11,IF(O66=21,10,IF(O66=22,9,IF(O66=23,8,IF(O66=24,7,IF(O66=25,6,IF(O66=26,5,IF(O66=27,4,IF(O66=28,3,IF(O66=29,2,IF(O66=30,1)))))))))))))))))))))))))))))))</f>
        <v/>
      </c>
      <c r="V66" s="9" t="str">
        <f>IF(OR(P66="",P66&gt;30),"",IF(P66=1,60,IF(P66=2,55,IF(P66=3,50,IF(P66=4,44,IF(P66=5,38,IF(P66=6,32,IF(P66=7,28,IF(P66=8,25,IF(P66=9,22,IF(P66=10,21,IF(P66=11,20,IF(P66=12,19,IF(P66=13,18,IF(P66=14,17,IF(P66=15,16,IF(P66=16,15,IF(P66=17,14,IF(P66=18,13,IF(P66=19,12,IF(P66=20,11,IF(P66=21,10,IF(P66=22,9,IF(P66=23,8,IF(P66=24,7,IF(P66=25,6,IF(P66=26,5,IF(P66=27,4,IF(P66=28,3,IF(P66=29,2,IF(P66=30,1)))))))))))))))))))))))))))))))</f>
        <v/>
      </c>
      <c r="W66" s="9" t="str">
        <f>IF(OR(Q66="",Q66&gt;30),"",IF(Q66=1,60,IF(Q66=2,55,IF(Q66=3,50,IF(Q66=4,44,IF(Q66=5,38,IF(Q66=6,32,IF(Q66=7,28,IF(Q66=8,25,IF(Q66=9,22,IF(Q66=10,21,IF(Q66=11,20,IF(Q66=12,19,IF(Q66=13,18,IF(Q66=14,17,IF(Q66=15,16,IF(Q66=16,15,IF(Q66=17,14,IF(Q66=18,13,IF(Q66=19,12,IF(Q66=20,11,IF(Q66=21,10,IF(Q66=22,9,IF(Q66=23,8,IF(Q66=24,7,IF(Q66=25,6,IF(Q66=26,5,IF(Q66=27,4,IF(Q66=28,3,IF(Q66=29,2,IF(Q66=30,1)))))))))))))))))))))))))))))))</f>
        <v/>
      </c>
      <c r="X66" s="15">
        <f>IF(A66="","",IF(OR(C66="P",D66="P"),"",IF(IF(COUNT(R66:W66)&lt;5,SUM(R66:W66),IF(COUNT(R66:W66)=5,SUM(R66:W66)-MIN(R66:W66),SUM(R66:W66)-MIN(R66:W66)-SMALL(R66:W66,2)))&gt;0,IF(COUNT(R66:W66)&lt;5,SUM(R66:W66)+(1000-AB66)*10^-4+AC66*10^-5+(1000-AD66)*10^-8,IF(COUNT(R66:W66)=5,SUM(R66:W66)-MIN(R66:W66)+(1000-AB66)*10^-4+AC66*10^-5+(1000-AD66)*10^-8,SUM(R66:W66)-MIN(R66:W66)-SMALL(R66:W66,2)+(1000-AB66)*10^-4+AC66*10^-5+(1000-AD66)*10^-8)),0)))</f>
        <v>0</v>
      </c>
      <c r="Y66" s="2" t="str">
        <f>IF(OR(X66="",X66=0),"",IF(SUMPRODUCT(--(B$3:B$102=B66),--(X$3:X$102&gt;X66),--(X$3:X$102&lt;&gt;"")),"","P"))</f>
        <v/>
      </c>
      <c r="Z66" s="2" t="str">
        <f>IF(X66="","",IF(SUMPRODUCT(--(C$3:C$102="P"),--(B$3:B$102=B66)),"P",""))</f>
        <v/>
      </c>
      <c r="AA66" s="15" t="str">
        <f>IF(AND(Y66&lt;&gt;"",OR(Z66="",SUMPRODUCT(--(X$3:X$102&gt;X66),--(Z$3:Z$102="P"),--(Y$3:Y$102="P"))&lt;4)),X66,"")</f>
        <v/>
      </c>
      <c r="AB66" s="9">
        <f>IF(A66="","",IF(OR(C66="P",D66="P"),"",IF(IF(COUNT(L66:Q66)&lt;5,SUM(L66:Q66),IF(COUNT(L66:Q66)=5,SUM(L66:Q66)-MIN(L66:Q66),SUM(L66:Q66)-MIN(L66:Q66)-SMALL(L66:Q66,2)))&gt;0,IF(COUNT(L66:Q66)&lt;5,SUM(L66:Q66),IF(COUNT(L66:Q66)=5,SUM(L66:Q66)-MIN(L66:Q66),SUM(L66:Q66)-MIN(L66:Q66)-SMALL(L66:Q66,2))),0)))</f>
        <v>35</v>
      </c>
      <c r="AC66" s="9">
        <f>COUNTIF(L66:Q66,"&lt;=8")</f>
        <v>0</v>
      </c>
      <c r="AD66" s="9">
        <f>MIN(L66:Q66)</f>
        <v>35</v>
      </c>
    </row>
    <row r="67" spans="1:30" x14ac:dyDescent="0.2">
      <c r="A67" s="7" t="s">
        <v>101</v>
      </c>
      <c r="B67" s="6" t="s">
        <v>109</v>
      </c>
      <c r="E67" s="3" t="str">
        <f>IF(AA67="","",RANK(AA67,AA:AA))</f>
        <v/>
      </c>
      <c r="F67" s="6">
        <v>34</v>
      </c>
      <c r="G67" s="6">
        <v>57</v>
      </c>
      <c r="H67" s="6">
        <v>43</v>
      </c>
      <c r="I67" s="6">
        <v>39</v>
      </c>
      <c r="J67" s="6"/>
      <c r="K67" s="6"/>
      <c r="L67" s="9">
        <f>IF(OR($C67&lt;&gt;"",$D67&lt;&gt;"",F67=""),"",F67-SUMPRODUCT(--($C$3:$C$102="P"),--(F$3:F$102&lt;F67),--(F$3:F$102&lt;&gt;""))-SUMPRODUCT(--($D$3:$D$102="P"),--(F$3:F$102&lt;F67),--(F$3:F$102&lt;&gt;"")))</f>
        <v>31</v>
      </c>
      <c r="M67" s="9">
        <f>IF(OR($C67&lt;&gt;"",$D67&lt;&gt;"",G67=""),"",G67-SUMPRODUCT(--($C$3:$C$102="P"),--(G$3:G$102&lt;G67),--(G$3:G$102&lt;&gt;""))-SUMPRODUCT(--($D$3:$D$102="P"),--(G$3:G$102&lt;G67),--(G$3:G$102&lt;&gt;"")))</f>
        <v>55</v>
      </c>
      <c r="N67" s="9">
        <f>IF(OR($C67&lt;&gt;"",$D67&lt;&gt;"",H67=""),"",H67-SUMPRODUCT(--($C$3:$C$102="P"),--(H$3:H$102&lt;H67),--(H$3:H$102&lt;&gt;""))-SUMPRODUCT(--($D$3:$D$102="P"),--(H$3:H$102&lt;H67),--(H$3:H$102&lt;&gt;"")))</f>
        <v>39</v>
      </c>
      <c r="O67" s="9">
        <f>IF(OR($C67&lt;&gt;"",$D67&lt;&gt;"",I67=""),"",I67-SUMPRODUCT(--($C$3:$C$102="P"),--(I$3:I$102&lt;I67),--(I$3:I$102&lt;&gt;""))-SUMPRODUCT(--($D$3:$D$102="P"),--(I$3:I$102&lt;I67),--(I$3:I$102&lt;&gt;"")))</f>
        <v>34</v>
      </c>
      <c r="P67" s="9" t="str">
        <f>IF(OR($C67&lt;&gt;"",$D67&lt;&gt;"",J67=""),"",J67-SUMPRODUCT(--($C$3:$C$102="P"),--(J$3:J$102&lt;J67),--(J$3:J$102&lt;&gt;""))-SUMPRODUCT(--($D$3:$D$102="P"),--(J$3:J$102&lt;J67),--(J$3:J$102&lt;&gt;"")))</f>
        <v/>
      </c>
      <c r="Q67" s="9" t="str">
        <f>IF(OR($C67&lt;&gt;"",$D67&lt;&gt;"",K67=""),"",K67-SUMPRODUCT(--($C$3:$C$102="P"),--(K$3:K$102&lt;K67),--(K$3:K$102&lt;&gt;""))-SUMPRODUCT(--($D$3:$D$102="P"),--(K$3:K$102&lt;K67),--(K$3:K$102&lt;&gt;"")))</f>
        <v/>
      </c>
      <c r="R67" s="9" t="str">
        <f>IF(OR(L67="",L67&gt;30),"",IF(L67=1,60,IF(L67=2,55,IF(L67=3,50,IF(L67=4,44,IF(L67=5,38,IF(L67=6,32,IF(L67=7,28,IF(L67=8,25,IF(L67=9,22,IF(L67=10,21,IF(L67=11,20,IF(L67=12,19,IF(L67=13,18,IF(L67=14,17,IF(L67=15,16,IF(L67=16,15,IF(L67=17,14,IF(L67=18,13,IF(L67=19,12,IF(L67=20,11,IF(L67=21,10,IF(L67=22,9,IF(L67=23,8,IF(L67=24,7,IF(L67=25,6,IF(L67=26,5,IF(L67=27,4,IF(L67=28,3,IF(L67=29,2,IF(L67=30,1)))))))))))))))))))))))))))))))</f>
        <v/>
      </c>
      <c r="S67" s="9" t="str">
        <f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15">
        <f>IF(A67="","",IF(OR(C67="P",D67="P"),"",IF(IF(COUNT(R67:W67)&lt;5,SUM(R67:W67),IF(COUNT(R67:W67)=5,SUM(R67:W67)-MIN(R67:W67),SUM(R67:W67)-MIN(R67:W67)-SMALL(R67:W67,2)))&gt;0,IF(COUNT(R67:W67)&lt;5,SUM(R67:W67)+(1000-AB67)*10^-4+AC67*10^-5+(1000-AD67)*10^-8,IF(COUNT(R67:W67)=5,SUM(R67:W67)-MIN(R67:W67)+(1000-AB67)*10^-4+AC67*10^-5+(1000-AD67)*10^-8,SUM(R67:W67)-MIN(R67:W67)-SMALL(R67:W67,2)+(1000-AB67)*10^-4+AC67*10^-5+(1000-AD67)*10^-8)),0)))</f>
        <v>0</v>
      </c>
      <c r="Y67" s="2" t="str">
        <f>IF(OR(X67="",X67=0),"",IF(SUMPRODUCT(--(B$3:B$102=B67),--(X$3:X$102&gt;X67),--(X$3:X$102&lt;&gt;"")),"","P"))</f>
        <v/>
      </c>
      <c r="Z67" s="2" t="str">
        <f>IF(X67="","",IF(SUMPRODUCT(--(C$3:C$102="P"),--(B$3:B$102=B67)),"P",""))</f>
        <v/>
      </c>
      <c r="AA67" s="15" t="str">
        <f>IF(AND(Y67&lt;&gt;"",OR(Z67="",SUMPRODUCT(--(X$3:X$102&gt;X67),--(Z$3:Z$102="P"),--(Y$3:Y$102="P"))&lt;4)),X67,"")</f>
        <v/>
      </c>
      <c r="AB67" s="9">
        <f>IF(A67="","",IF(OR(C67="P",D67="P"),"",IF(IF(COUNT(L67:Q67)&lt;5,SUM(L67:Q67),IF(COUNT(L67:Q67)=5,SUM(L67:Q67)-MIN(L67:Q67),SUM(L67:Q67)-MIN(L67:Q67)-SMALL(L67:Q67,2)))&gt;0,IF(COUNT(L67:Q67)&lt;5,SUM(L67:Q67),IF(COUNT(L67:Q67)=5,SUM(L67:Q67)-MIN(L67:Q67),SUM(L67:Q67)-MIN(L67:Q67)-SMALL(L67:Q67,2))),0)))</f>
        <v>159</v>
      </c>
      <c r="AC67" s="9">
        <f>COUNTIF(L67:Q67,"&lt;=8")</f>
        <v>0</v>
      </c>
      <c r="AD67" s="9">
        <f>MIN(L67:Q67)</f>
        <v>31</v>
      </c>
    </row>
    <row r="68" spans="1:30" x14ac:dyDescent="0.2">
      <c r="A68" s="7" t="s">
        <v>131</v>
      </c>
      <c r="B68" s="6" t="s">
        <v>19</v>
      </c>
      <c r="E68" s="3" t="str">
        <f>IF(AA68="","",RANK(AA68,AA:AA))</f>
        <v/>
      </c>
      <c r="F68" s="6"/>
      <c r="G68" s="6">
        <v>33</v>
      </c>
      <c r="H68" s="6">
        <v>63</v>
      </c>
      <c r="I68" s="6"/>
      <c r="J68" s="6"/>
      <c r="K68" s="6"/>
      <c r="L68" s="9" t="str">
        <f>IF(OR($C68&lt;&gt;"",$D68&lt;&gt;"",F68=""),"",F68-SUMPRODUCT(--($C$3:$C$102="P"),--(F$3:F$102&lt;F68),--(F$3:F$102&lt;&gt;""))-SUMPRODUCT(--($D$3:$D$102="P"),--(F$3:F$102&lt;F68),--(F$3:F$102&lt;&gt;"")))</f>
        <v/>
      </c>
      <c r="M68" s="9">
        <f>IF(OR($C68&lt;&gt;"",$D68&lt;&gt;"",G68=""),"",G68-SUMPRODUCT(--($C$3:$C$102="P"),--(G$3:G$102&lt;G68),--(G$3:G$102&lt;&gt;""))-SUMPRODUCT(--($D$3:$D$102="P"),--(G$3:G$102&lt;G68),--(G$3:G$102&lt;&gt;"")))</f>
        <v>31</v>
      </c>
      <c r="N68" s="9">
        <f>IF(OR($C68&lt;&gt;"",$D68&lt;&gt;"",H68=""),"",H68-SUMPRODUCT(--($C$3:$C$102="P"),--(H$3:H$102&lt;H68),--(H$3:H$102&lt;&gt;""))-SUMPRODUCT(--($D$3:$D$102="P"),--(H$3:H$102&lt;H68),--(H$3:H$102&lt;&gt;"")))</f>
        <v>59</v>
      </c>
      <c r="O68" s="9" t="str">
        <f>IF(OR($C68&lt;&gt;"",$D68&lt;&gt;"",I68=""),"",I68-SUMPRODUCT(--($C$3:$C$102="P"),--(I$3:I$102&lt;I68),--(I$3:I$102&lt;&gt;""))-SUMPRODUCT(--($D$3:$D$102="P"),--(I$3:I$102&lt;I68),--(I$3:I$102&lt;&gt;"")))</f>
        <v/>
      </c>
      <c r="P68" s="9" t="str">
        <f>IF(OR($C68&lt;&gt;"",$D68&lt;&gt;"",J68=""),"",J68-SUMPRODUCT(--($C$3:$C$102="P"),--(J$3:J$102&lt;J68),--(J$3:J$102&lt;&gt;""))-SUMPRODUCT(--($D$3:$D$102="P"),--(J$3:J$102&lt;J68),--(J$3:J$102&lt;&gt;"")))</f>
        <v/>
      </c>
      <c r="Q68" s="9" t="str">
        <f>IF(OR($C68&lt;&gt;"",$D68&lt;&gt;"",K68=""),"",K68-SUMPRODUCT(--($C$3:$C$102="P"),--(K$3:K$102&lt;K68),--(K$3:K$102&lt;&gt;""))-SUMPRODUCT(--($D$3:$D$102="P"),--(K$3:K$102&lt;K68),--(K$3:K$102&lt;&gt;"")))</f>
        <v/>
      </c>
      <c r="R68" s="9" t="str">
        <f>IF(OR(L68="",L68&gt;30),"",IF(L68=1,60,IF(L68=2,55,IF(L68=3,50,IF(L68=4,44,IF(L68=5,38,IF(L68=6,32,IF(L68=7,28,IF(L68=8,25,IF(L68=9,22,IF(L68=10,21,IF(L68=11,20,IF(L68=12,19,IF(L68=13,18,IF(L68=14,17,IF(L68=15,16,IF(L68=16,15,IF(L68=17,14,IF(L68=18,13,IF(L68=19,12,IF(L68=20,11,IF(L68=21,10,IF(L68=22,9,IF(L68=23,8,IF(L68=24,7,IF(L68=25,6,IF(L68=26,5,IF(L68=27,4,IF(L68=28,3,IF(L68=29,2,IF(L68=30,1)))))))))))))))))))))))))))))))</f>
        <v/>
      </c>
      <c r="S68" s="9" t="str">
        <f>IF(OR(M68="",M68&gt;30),"",IF(M68=1,60,IF(M68=2,55,IF(M68=3,50,IF(M68=4,44,IF(M68=5,38,IF(M68=6,32,IF(M68=7,28,IF(M68=8,25,IF(M68=9,22,IF(M68=10,21,IF(M68=11,20,IF(M68=12,19,IF(M68=13,18,IF(M68=14,17,IF(M68=15,16,IF(M68=16,15,IF(M68=17,14,IF(M68=18,13,IF(M68=19,12,IF(M68=20,11,IF(M68=21,10,IF(M68=22,9,IF(M68=23,8,IF(M68=24,7,IF(M68=25,6,IF(M68=26,5,IF(M68=27,4,IF(M68=28,3,IF(M68=29,2,IF(M68=30,1)))))))))))))))))))))))))))))))</f>
        <v/>
      </c>
      <c r="T68" s="9" t="str">
        <f>IF(OR(N68="",N68&gt;30),"",IF(N68=1,60,IF(N68=2,55,IF(N68=3,50,IF(N68=4,44,IF(N68=5,38,IF(N68=6,32,IF(N68=7,28,IF(N68=8,25,IF(N68=9,22,IF(N68=10,21,IF(N68=11,20,IF(N68=12,19,IF(N68=13,18,IF(N68=14,17,IF(N68=15,16,IF(N68=16,15,IF(N68=17,14,IF(N68=18,13,IF(N68=19,12,IF(N68=20,11,IF(N68=21,10,IF(N68=22,9,IF(N68=23,8,IF(N68=24,7,IF(N68=25,6,IF(N68=26,5,IF(N68=27,4,IF(N68=28,3,IF(N68=29,2,IF(N68=30,1)))))))))))))))))))))))))))))))</f>
        <v/>
      </c>
      <c r="U68" s="9" t="str">
        <f>IF(OR(O68="",O68&gt;30),"",IF(O68=1,60,IF(O68=2,55,IF(O68=3,50,IF(O68=4,44,IF(O68=5,38,IF(O68=6,32,IF(O68=7,28,IF(O68=8,25,IF(O68=9,22,IF(O68=10,21,IF(O68=11,20,IF(O68=12,19,IF(O68=13,18,IF(O68=14,17,IF(O68=15,16,IF(O68=16,15,IF(O68=17,14,IF(O68=18,13,IF(O68=19,12,IF(O68=20,11,IF(O68=21,10,IF(O68=22,9,IF(O68=23,8,IF(O68=24,7,IF(O68=25,6,IF(O68=26,5,IF(O68=27,4,IF(O68=28,3,IF(O68=29,2,IF(O68=30,1)))))))))))))))))))))))))))))))</f>
        <v/>
      </c>
      <c r="V68" s="9" t="str">
        <f>IF(OR(P68="",P68&gt;30),"",IF(P68=1,60,IF(P68=2,55,IF(P68=3,50,IF(P68=4,44,IF(P68=5,38,IF(P68=6,32,IF(P68=7,28,IF(P68=8,25,IF(P68=9,22,IF(P68=10,21,IF(P68=11,20,IF(P68=12,19,IF(P68=13,18,IF(P68=14,17,IF(P68=15,16,IF(P68=16,15,IF(P68=17,14,IF(P68=18,13,IF(P68=19,12,IF(P68=20,11,IF(P68=21,10,IF(P68=22,9,IF(P68=23,8,IF(P68=24,7,IF(P68=25,6,IF(P68=26,5,IF(P68=27,4,IF(P68=28,3,IF(P68=29,2,IF(P68=30,1)))))))))))))))))))))))))))))))</f>
        <v/>
      </c>
      <c r="W68" s="9" t="str">
        <f>IF(OR(Q68="",Q68&gt;30),"",IF(Q68=1,60,IF(Q68=2,55,IF(Q68=3,50,IF(Q68=4,44,IF(Q68=5,38,IF(Q68=6,32,IF(Q68=7,28,IF(Q68=8,25,IF(Q68=9,22,IF(Q68=10,21,IF(Q68=11,20,IF(Q68=12,19,IF(Q68=13,18,IF(Q68=14,17,IF(Q68=15,16,IF(Q68=16,15,IF(Q68=17,14,IF(Q68=18,13,IF(Q68=19,12,IF(Q68=20,11,IF(Q68=21,10,IF(Q68=22,9,IF(Q68=23,8,IF(Q68=24,7,IF(Q68=25,6,IF(Q68=26,5,IF(Q68=27,4,IF(Q68=28,3,IF(Q68=29,2,IF(Q68=30,1)))))))))))))))))))))))))))))))</f>
        <v/>
      </c>
      <c r="X68" s="15">
        <f>IF(A68="","",IF(OR(C68="P",D68="P"),"",IF(IF(COUNT(R68:W68)&lt;5,SUM(R68:W68),IF(COUNT(R68:W68)=5,SUM(R68:W68)-MIN(R68:W68),SUM(R68:W68)-MIN(R68:W68)-SMALL(R68:W68,2)))&gt;0,IF(COUNT(R68:W68)&lt;5,SUM(R68:W68)+(1000-AB68)*10^-4+AC68*10^-5+(1000-AD68)*10^-8,IF(COUNT(R68:W68)=5,SUM(R68:W68)-MIN(R68:W68)+(1000-AB68)*10^-4+AC68*10^-5+(1000-AD68)*10^-8,SUM(R68:W68)-MIN(R68:W68)-SMALL(R68:W68,2)+(1000-AB68)*10^-4+AC68*10^-5+(1000-AD68)*10^-8)),0)))</f>
        <v>0</v>
      </c>
      <c r="Y68" s="2" t="str">
        <f>IF(OR(X68="",X68=0),"",IF(SUMPRODUCT(--(B$3:B$102=B68),--(X$3:X$102&gt;X68),--(X$3:X$102&lt;&gt;"")),"","P"))</f>
        <v/>
      </c>
      <c r="Z68" s="2" t="str">
        <f>IF(X68="","",IF(SUMPRODUCT(--(C$3:C$102="P"),--(B$3:B$102=B68)),"P",""))</f>
        <v>P</v>
      </c>
      <c r="AA68" s="15" t="str">
        <f>IF(AND(Y68&lt;&gt;"",OR(Z68="",SUMPRODUCT(--(X$3:X$102&gt;X68),--(Z$3:Z$102="P"),--(Y$3:Y$102="P"))&lt;4)),X68,"")</f>
        <v/>
      </c>
      <c r="AB68" s="9">
        <f>IF(A68="","",IF(OR(C68="P",D68="P"),"",IF(IF(COUNT(L68:Q68)&lt;5,SUM(L68:Q68),IF(COUNT(L68:Q68)=5,SUM(L68:Q68)-MIN(L68:Q68),SUM(L68:Q68)-MIN(L68:Q68)-SMALL(L68:Q68,2)))&gt;0,IF(COUNT(L68:Q68)&lt;5,SUM(L68:Q68),IF(COUNT(L68:Q68)=5,SUM(L68:Q68)-MIN(L68:Q68),SUM(L68:Q68)-MIN(L68:Q68)-SMALL(L68:Q68,2))),0)))</f>
        <v>90</v>
      </c>
      <c r="AC68" s="9">
        <f>COUNTIF(L68:Q68,"&lt;=8")</f>
        <v>0</v>
      </c>
      <c r="AD68" s="9">
        <f>MIN(L68:Q68)</f>
        <v>31</v>
      </c>
    </row>
    <row r="69" spans="1:30" x14ac:dyDescent="0.2">
      <c r="A69" s="7" t="s">
        <v>137</v>
      </c>
      <c r="B69" s="6" t="s">
        <v>58</v>
      </c>
      <c r="E69" s="3" t="str">
        <f>IF(AA69="","",RANK(AA69,AA:AA))</f>
        <v/>
      </c>
      <c r="F69" s="6">
        <v>63</v>
      </c>
      <c r="G69" s="6">
        <v>38</v>
      </c>
      <c r="H69" s="6"/>
      <c r="I69" s="6"/>
      <c r="J69" s="6"/>
      <c r="K69" s="6"/>
      <c r="L69" s="9">
        <f>IF(OR($C69&lt;&gt;"",$D69&lt;&gt;"",F69=""),"",F69-SUMPRODUCT(--($C$3:$C$102="P"),--(F$3:F$102&lt;F69),--(F$3:F$102&lt;&gt;""))-SUMPRODUCT(--($D$3:$D$102="P"),--(F$3:F$102&lt;F69),--(F$3:F$102&lt;&gt;"")))</f>
        <v>59</v>
      </c>
      <c r="M69" s="9">
        <f>IF(OR($C69&lt;&gt;"",$D69&lt;&gt;"",G69=""),"",G69-SUMPRODUCT(--($C$3:$C$102="P"),--(G$3:G$102&lt;G69),--(G$3:G$102&lt;&gt;""))-SUMPRODUCT(--($D$3:$D$102="P"),--(G$3:G$102&lt;G69),--(G$3:G$102&lt;&gt;"")))</f>
        <v>36</v>
      </c>
      <c r="N69" s="9" t="str">
        <f>IF(OR($C69&lt;&gt;"",$D69&lt;&gt;"",H69=""),"",H69-SUMPRODUCT(--($C$3:$C$102="P"),--(H$3:H$102&lt;H69),--(H$3:H$102&lt;&gt;""))-SUMPRODUCT(--($D$3:$D$102="P"),--(H$3:H$102&lt;H69),--(H$3:H$102&lt;&gt;"")))</f>
        <v/>
      </c>
      <c r="O69" s="9" t="str">
        <f>IF(OR($C69&lt;&gt;"",$D69&lt;&gt;"",I69=""),"",I69-SUMPRODUCT(--($C$3:$C$102="P"),--(I$3:I$102&lt;I69),--(I$3:I$102&lt;&gt;""))-SUMPRODUCT(--($D$3:$D$102="P"),--(I$3:I$102&lt;I69),--(I$3:I$102&lt;&gt;"")))</f>
        <v/>
      </c>
      <c r="P69" s="9" t="str">
        <f>IF(OR($C69&lt;&gt;"",$D69&lt;&gt;"",J69=""),"",J69-SUMPRODUCT(--($C$3:$C$102="P"),--(J$3:J$102&lt;J69),--(J$3:J$102&lt;&gt;""))-SUMPRODUCT(--($D$3:$D$102="P"),--(J$3:J$102&lt;J69),--(J$3:J$102&lt;&gt;"")))</f>
        <v/>
      </c>
      <c r="Q69" s="9" t="str">
        <f>IF(OR($C69&lt;&gt;"",$D69&lt;&gt;"",K69=""),"",K69-SUMPRODUCT(--($C$3:$C$102="P"),--(K$3:K$102&lt;K69),--(K$3:K$102&lt;&gt;""))-SUMPRODUCT(--($D$3:$D$102="P"),--(K$3:K$102&lt;K69),--(K$3:K$102&lt;&gt;"")))</f>
        <v/>
      </c>
      <c r="R69" s="9" t="str">
        <f>IF(OR(L69="",L69&gt;30),"",IF(L69=1,60,IF(L69=2,55,IF(L69=3,50,IF(L69=4,44,IF(L69=5,38,IF(L69=6,32,IF(L69=7,28,IF(L69=8,25,IF(L69=9,22,IF(L69=10,21,IF(L69=11,20,IF(L69=12,19,IF(L69=13,18,IF(L69=14,17,IF(L69=15,16,IF(L69=16,15,IF(L69=17,14,IF(L69=18,13,IF(L69=19,12,IF(L69=20,11,IF(L69=21,10,IF(L69=22,9,IF(L69=23,8,IF(L69=24,7,IF(L69=25,6,IF(L69=26,5,IF(L69=27,4,IF(L69=28,3,IF(L69=29,2,IF(L69=30,1)))))))))))))))))))))))))))))))</f>
        <v/>
      </c>
      <c r="S69" s="9" t="str">
        <f>IF(OR(M69="",M69&gt;30),"",IF(M69=1,60,IF(M69=2,55,IF(M69=3,50,IF(M69=4,44,IF(M69=5,38,IF(M69=6,32,IF(M69=7,28,IF(M69=8,25,IF(M69=9,22,IF(M69=10,21,IF(M69=11,20,IF(M69=12,19,IF(M69=13,18,IF(M69=14,17,IF(M69=15,16,IF(M69=16,15,IF(M69=17,14,IF(M69=18,13,IF(M69=19,12,IF(M69=20,11,IF(M69=21,10,IF(M69=22,9,IF(M69=23,8,IF(M69=24,7,IF(M69=25,6,IF(M69=26,5,IF(M69=27,4,IF(M69=28,3,IF(M69=29,2,IF(M69=30,1)))))))))))))))))))))))))))))))</f>
        <v/>
      </c>
      <c r="T69" s="9" t="str">
        <f>IF(OR(N69="",N69&gt;30),"",IF(N69=1,60,IF(N69=2,55,IF(N69=3,50,IF(N69=4,44,IF(N69=5,38,IF(N69=6,32,IF(N69=7,28,IF(N69=8,25,IF(N69=9,22,IF(N69=10,21,IF(N69=11,20,IF(N69=12,19,IF(N69=13,18,IF(N69=14,17,IF(N69=15,16,IF(N69=16,15,IF(N69=17,14,IF(N69=18,13,IF(N69=19,12,IF(N69=20,11,IF(N69=21,10,IF(N69=22,9,IF(N69=23,8,IF(N69=24,7,IF(N69=25,6,IF(N69=26,5,IF(N69=27,4,IF(N69=28,3,IF(N69=29,2,IF(N69=30,1)))))))))))))))))))))))))))))))</f>
        <v/>
      </c>
      <c r="U69" s="9" t="str">
        <f>IF(OR(O69="",O69&gt;30),"",IF(O69=1,60,IF(O69=2,55,IF(O69=3,50,IF(O69=4,44,IF(O69=5,38,IF(O69=6,32,IF(O69=7,28,IF(O69=8,25,IF(O69=9,22,IF(O69=10,21,IF(O69=11,20,IF(O69=12,19,IF(O69=13,18,IF(O69=14,17,IF(O69=15,16,IF(O69=16,15,IF(O69=17,14,IF(O69=18,13,IF(O69=19,12,IF(O69=20,11,IF(O69=21,10,IF(O69=22,9,IF(O69=23,8,IF(O69=24,7,IF(O69=25,6,IF(O69=26,5,IF(O69=27,4,IF(O69=28,3,IF(O69=29,2,IF(O69=30,1)))))))))))))))))))))))))))))))</f>
        <v/>
      </c>
      <c r="V69" s="9" t="str">
        <f>IF(OR(P69="",P69&gt;30),"",IF(P69=1,60,IF(P69=2,55,IF(P69=3,50,IF(P69=4,44,IF(P69=5,38,IF(P69=6,32,IF(P69=7,28,IF(P69=8,25,IF(P69=9,22,IF(P69=10,21,IF(P69=11,20,IF(P69=12,19,IF(P69=13,18,IF(P69=14,17,IF(P69=15,16,IF(P69=16,15,IF(P69=17,14,IF(P69=18,13,IF(P69=19,12,IF(P69=20,11,IF(P69=21,10,IF(P69=22,9,IF(P69=23,8,IF(P69=24,7,IF(P69=25,6,IF(P69=26,5,IF(P69=27,4,IF(P69=28,3,IF(P69=29,2,IF(P69=30,1)))))))))))))))))))))))))))))))</f>
        <v/>
      </c>
      <c r="W69" s="9" t="str">
        <f>IF(OR(Q69="",Q69&gt;30),"",IF(Q69=1,60,IF(Q69=2,55,IF(Q69=3,50,IF(Q69=4,44,IF(Q69=5,38,IF(Q69=6,32,IF(Q69=7,28,IF(Q69=8,25,IF(Q69=9,22,IF(Q69=10,21,IF(Q69=11,20,IF(Q69=12,19,IF(Q69=13,18,IF(Q69=14,17,IF(Q69=15,16,IF(Q69=16,15,IF(Q69=17,14,IF(Q69=18,13,IF(Q69=19,12,IF(Q69=20,11,IF(Q69=21,10,IF(Q69=22,9,IF(Q69=23,8,IF(Q69=24,7,IF(Q69=25,6,IF(Q69=26,5,IF(Q69=27,4,IF(Q69=28,3,IF(Q69=29,2,IF(Q69=30,1)))))))))))))))))))))))))))))))</f>
        <v/>
      </c>
      <c r="X69" s="15">
        <f>IF(A69="","",IF(OR(C69="P",D69="P"),"",IF(IF(COUNT(R69:W69)&lt;5,SUM(R69:W69),IF(COUNT(R69:W69)=5,SUM(R69:W69)-MIN(R69:W69),SUM(R69:W69)-MIN(R69:W69)-SMALL(R69:W69,2)))&gt;0,IF(COUNT(R69:W69)&lt;5,SUM(R69:W69)+(1000-AB69)*10^-4+AC69*10^-5+(1000-AD69)*10^-8,IF(COUNT(R69:W69)=5,SUM(R69:W69)-MIN(R69:W69)+(1000-AB69)*10^-4+AC69*10^-5+(1000-AD69)*10^-8,SUM(R69:W69)-MIN(R69:W69)-SMALL(R69:W69,2)+(1000-AB69)*10^-4+AC69*10^-5+(1000-AD69)*10^-8)),0)))</f>
        <v>0</v>
      </c>
      <c r="Y69" s="2" t="str">
        <f>IF(OR(X69="",X69=0),"",IF(SUMPRODUCT(--(B$3:B$102=B69),--(X$3:X$102&gt;X69),--(X$3:X$102&lt;&gt;"")),"","P"))</f>
        <v/>
      </c>
      <c r="Z69" s="2" t="str">
        <f>IF(X69="","",IF(SUMPRODUCT(--(C$3:C$102="P"),--(B$3:B$102=B69)),"P",""))</f>
        <v/>
      </c>
      <c r="AA69" s="15" t="str">
        <f>IF(AND(Y69&lt;&gt;"",OR(Z69="",SUMPRODUCT(--(X$3:X$102&gt;X69),--(Z$3:Z$102="P"),--(Y$3:Y$102="P"))&lt;4)),X69,"")</f>
        <v/>
      </c>
      <c r="AB69" s="9">
        <f>IF(A69="","",IF(OR(C69="P",D69="P"),"",IF(IF(COUNT(L69:Q69)&lt;5,SUM(L69:Q69),IF(COUNT(L69:Q69)=5,SUM(L69:Q69)-MIN(L69:Q69),SUM(L69:Q69)-MIN(L69:Q69)-SMALL(L69:Q69,2)))&gt;0,IF(COUNT(L69:Q69)&lt;5,SUM(L69:Q69),IF(COUNT(L69:Q69)=5,SUM(L69:Q69)-MIN(L69:Q69),SUM(L69:Q69)-MIN(L69:Q69)-SMALL(L69:Q69,2))),0)))</f>
        <v>95</v>
      </c>
      <c r="AC69" s="9">
        <f>COUNTIF(L69:Q69,"&lt;=8")</f>
        <v>0</v>
      </c>
      <c r="AD69" s="9">
        <f>MIN(L69:Q69)</f>
        <v>36</v>
      </c>
    </row>
    <row r="70" spans="1:30" x14ac:dyDescent="0.2">
      <c r="A70" s="7" t="s">
        <v>104</v>
      </c>
      <c r="B70" s="6" t="s">
        <v>110</v>
      </c>
      <c r="E70" s="3" t="str">
        <f>IF(AA70="","",RANK(AA70,AA:AA))</f>
        <v/>
      </c>
      <c r="F70" s="6">
        <v>37</v>
      </c>
      <c r="G70" s="6">
        <v>64</v>
      </c>
      <c r="H70" s="6">
        <v>42</v>
      </c>
      <c r="I70" s="6">
        <v>50</v>
      </c>
      <c r="J70" s="6"/>
      <c r="K70" s="6"/>
      <c r="L70" s="9">
        <f>IF(OR($C70&lt;&gt;"",$D70&lt;&gt;"",F70=""),"",F70-SUMPRODUCT(--($C$3:$C$102="P"),--(F$3:F$102&lt;F70),--(F$3:F$102&lt;&gt;""))-SUMPRODUCT(--($D$3:$D$102="P"),--(F$3:F$102&lt;F70),--(F$3:F$102&lt;&gt;"")))</f>
        <v>34</v>
      </c>
      <c r="M70" s="9">
        <f>IF(OR($C70&lt;&gt;"",$D70&lt;&gt;"",G70=""),"",G70-SUMPRODUCT(--($C$3:$C$102="P"),--(G$3:G$102&lt;G70),--(G$3:G$102&lt;&gt;""))-SUMPRODUCT(--($D$3:$D$102="P"),--(G$3:G$102&lt;G70),--(G$3:G$102&lt;&gt;"")))</f>
        <v>62</v>
      </c>
      <c r="N70" s="9">
        <f>IF(OR($C70&lt;&gt;"",$D70&lt;&gt;"",H70=""),"",H70-SUMPRODUCT(--($C$3:$C$102="P"),--(H$3:H$102&lt;H70),--(H$3:H$102&lt;&gt;""))-SUMPRODUCT(--($D$3:$D$102="P"),--(H$3:H$102&lt;H70),--(H$3:H$102&lt;&gt;"")))</f>
        <v>38</v>
      </c>
      <c r="O70" s="9">
        <f>IF(OR($C70&lt;&gt;"",$D70&lt;&gt;"",I70=""),"",I70-SUMPRODUCT(--($C$3:$C$102="P"),--(I$3:I$102&lt;I70),--(I$3:I$102&lt;&gt;""))-SUMPRODUCT(--($D$3:$D$102="P"),--(I$3:I$102&lt;I70),--(I$3:I$102&lt;&gt;"")))</f>
        <v>45</v>
      </c>
      <c r="P70" s="9" t="str">
        <f>IF(OR($C70&lt;&gt;"",$D70&lt;&gt;"",J70=""),"",J70-SUMPRODUCT(--($C$3:$C$102="P"),--(J$3:J$102&lt;J70),--(J$3:J$102&lt;&gt;""))-SUMPRODUCT(--($D$3:$D$102="P"),--(J$3:J$102&lt;J70),--(J$3:J$102&lt;&gt;"")))</f>
        <v/>
      </c>
      <c r="Q70" s="9" t="str">
        <f>IF(OR($C70&lt;&gt;"",$D70&lt;&gt;"",K70=""),"",K70-SUMPRODUCT(--($C$3:$C$102="P"),--(K$3:K$102&lt;K70),--(K$3:K$102&lt;&gt;""))-SUMPRODUCT(--($D$3:$D$102="P"),--(K$3:K$102&lt;K70),--(K$3:K$102&lt;&gt;"")))</f>
        <v/>
      </c>
      <c r="R70" s="9" t="str">
        <f>IF(OR(L70="",L70&gt;30),"",IF(L70=1,60,IF(L70=2,55,IF(L70=3,50,IF(L70=4,44,IF(L70=5,38,IF(L70=6,32,IF(L70=7,28,IF(L70=8,25,IF(L70=9,22,IF(L70=10,21,IF(L70=11,20,IF(L70=12,19,IF(L70=13,18,IF(L70=14,17,IF(L70=15,16,IF(L70=16,15,IF(L70=17,14,IF(L70=18,13,IF(L70=19,12,IF(L70=20,11,IF(L70=21,10,IF(L70=22,9,IF(L70=23,8,IF(L70=24,7,IF(L70=25,6,IF(L70=26,5,IF(L70=27,4,IF(L70=28,3,IF(L70=29,2,IF(L70=30,1)))))))))))))))))))))))))))))))</f>
        <v/>
      </c>
      <c r="S70" s="9" t="str">
        <f>IF(OR(M70="",M70&gt;30),"",IF(M70=1,60,IF(M70=2,55,IF(M70=3,50,IF(M70=4,44,IF(M70=5,38,IF(M70=6,32,IF(M70=7,28,IF(M70=8,25,IF(M70=9,22,IF(M70=10,21,IF(M70=11,20,IF(M70=12,19,IF(M70=13,18,IF(M70=14,17,IF(M70=15,16,IF(M70=16,15,IF(M70=17,14,IF(M70=18,13,IF(M70=19,12,IF(M70=20,11,IF(M70=21,10,IF(M70=22,9,IF(M70=23,8,IF(M70=24,7,IF(M70=25,6,IF(M70=26,5,IF(M70=27,4,IF(M70=28,3,IF(M70=29,2,IF(M70=30,1)))))))))))))))))))))))))))))))</f>
        <v/>
      </c>
      <c r="T70" s="9" t="str">
        <f>IF(OR(N70="",N70&gt;30),"",IF(N70=1,60,IF(N70=2,55,IF(N70=3,50,IF(N70=4,44,IF(N70=5,38,IF(N70=6,32,IF(N70=7,28,IF(N70=8,25,IF(N70=9,22,IF(N70=10,21,IF(N70=11,20,IF(N70=12,19,IF(N70=13,18,IF(N70=14,17,IF(N70=15,16,IF(N70=16,15,IF(N70=17,14,IF(N70=18,13,IF(N70=19,12,IF(N70=20,11,IF(N70=21,10,IF(N70=22,9,IF(N70=23,8,IF(N70=24,7,IF(N70=25,6,IF(N70=26,5,IF(N70=27,4,IF(N70=28,3,IF(N70=29,2,IF(N70=30,1)))))))))))))))))))))))))))))))</f>
        <v/>
      </c>
      <c r="U70" s="9" t="str">
        <f>IF(OR(O70="",O70&gt;30),"",IF(O70=1,60,IF(O70=2,55,IF(O70=3,50,IF(O70=4,44,IF(O70=5,38,IF(O70=6,32,IF(O70=7,28,IF(O70=8,25,IF(O70=9,22,IF(O70=10,21,IF(O70=11,20,IF(O70=12,19,IF(O70=13,18,IF(O70=14,17,IF(O70=15,16,IF(O70=16,15,IF(O70=17,14,IF(O70=18,13,IF(O70=19,12,IF(O70=20,11,IF(O70=21,10,IF(O70=22,9,IF(O70=23,8,IF(O70=24,7,IF(O70=25,6,IF(O70=26,5,IF(O70=27,4,IF(O70=28,3,IF(O70=29,2,IF(O70=30,1)))))))))))))))))))))))))))))))</f>
        <v/>
      </c>
      <c r="V70" s="9" t="str">
        <f>IF(OR(P70="",P70&gt;30),"",IF(P70=1,60,IF(P70=2,55,IF(P70=3,50,IF(P70=4,44,IF(P70=5,38,IF(P70=6,32,IF(P70=7,28,IF(P70=8,25,IF(P70=9,22,IF(P70=10,21,IF(P70=11,20,IF(P70=12,19,IF(P70=13,18,IF(P70=14,17,IF(P70=15,16,IF(P70=16,15,IF(P70=17,14,IF(P70=18,13,IF(P70=19,12,IF(P70=20,11,IF(P70=21,10,IF(P70=22,9,IF(P70=23,8,IF(P70=24,7,IF(P70=25,6,IF(P70=26,5,IF(P70=27,4,IF(P70=28,3,IF(P70=29,2,IF(P70=30,1)))))))))))))))))))))))))))))))</f>
        <v/>
      </c>
      <c r="W70" s="9" t="str">
        <f>IF(OR(Q70="",Q70&gt;30),"",IF(Q70=1,60,IF(Q70=2,55,IF(Q70=3,50,IF(Q70=4,44,IF(Q70=5,38,IF(Q70=6,32,IF(Q70=7,28,IF(Q70=8,25,IF(Q70=9,22,IF(Q70=10,21,IF(Q70=11,20,IF(Q70=12,19,IF(Q70=13,18,IF(Q70=14,17,IF(Q70=15,16,IF(Q70=16,15,IF(Q70=17,14,IF(Q70=18,13,IF(Q70=19,12,IF(Q70=20,11,IF(Q70=21,10,IF(Q70=22,9,IF(Q70=23,8,IF(Q70=24,7,IF(Q70=25,6,IF(Q70=26,5,IF(Q70=27,4,IF(Q70=28,3,IF(Q70=29,2,IF(Q70=30,1)))))))))))))))))))))))))))))))</f>
        <v/>
      </c>
      <c r="X70" s="15">
        <f>IF(A70="","",IF(OR(C70="P",D70="P"),"",IF(IF(COUNT(R70:W70)&lt;5,SUM(R70:W70),IF(COUNT(R70:W70)=5,SUM(R70:W70)-MIN(R70:W70),SUM(R70:W70)-MIN(R70:W70)-SMALL(R70:W70,2)))&gt;0,IF(COUNT(R70:W70)&lt;5,SUM(R70:W70)+(1000-AB70)*10^-4+AC70*10^-5+(1000-AD70)*10^-8,IF(COUNT(R70:W70)=5,SUM(R70:W70)-MIN(R70:W70)+(1000-AB70)*10^-4+AC70*10^-5+(1000-AD70)*10^-8,SUM(R70:W70)-MIN(R70:W70)-SMALL(R70:W70,2)+(1000-AB70)*10^-4+AC70*10^-5+(1000-AD70)*10^-8)),0)))</f>
        <v>0</v>
      </c>
      <c r="Y70" s="2" t="str">
        <f>IF(OR(X70="",X70=0),"",IF(SUMPRODUCT(--(B$3:B$102=B70),--(X$3:X$102&gt;X70),--(X$3:X$102&lt;&gt;"")),"","P"))</f>
        <v/>
      </c>
      <c r="Z70" s="2" t="str">
        <f>IF(X70="","",IF(SUMPRODUCT(--(C$3:C$102="P"),--(B$3:B$102=B70)),"P",""))</f>
        <v/>
      </c>
      <c r="AA70" s="15" t="str">
        <f>IF(AND(Y70&lt;&gt;"",OR(Z70="",SUMPRODUCT(--(X$3:X$102&gt;X70),--(Z$3:Z$102="P"),--(Y$3:Y$102="P"))&lt;4)),X70,"")</f>
        <v/>
      </c>
      <c r="AB70" s="9">
        <f>IF(A70="","",IF(OR(C70="P",D70="P"),"",IF(IF(COUNT(L70:Q70)&lt;5,SUM(L70:Q70),IF(COUNT(L70:Q70)=5,SUM(L70:Q70)-MIN(L70:Q70),SUM(L70:Q70)-MIN(L70:Q70)-SMALL(L70:Q70,2)))&gt;0,IF(COUNT(L70:Q70)&lt;5,SUM(L70:Q70),IF(COUNT(L70:Q70)=5,SUM(L70:Q70)-MIN(L70:Q70),SUM(L70:Q70)-MIN(L70:Q70)-SMALL(L70:Q70,2))),0)))</f>
        <v>179</v>
      </c>
      <c r="AC70" s="9">
        <f>COUNTIF(L70:Q70,"&lt;=8")</f>
        <v>0</v>
      </c>
      <c r="AD70" s="9">
        <f>MIN(L70:Q70)</f>
        <v>34</v>
      </c>
    </row>
    <row r="71" spans="1:30" x14ac:dyDescent="0.2">
      <c r="A71" s="7" t="s">
        <v>184</v>
      </c>
      <c r="B71" s="6" t="s">
        <v>24</v>
      </c>
      <c r="E71" s="3"/>
      <c r="F71" s="6"/>
      <c r="G71" s="6"/>
      <c r="H71" s="6"/>
      <c r="I71" s="6">
        <v>20</v>
      </c>
      <c r="J71" s="6"/>
      <c r="K71" s="6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30" x14ac:dyDescent="0.2">
      <c r="A72" s="7" t="s">
        <v>187</v>
      </c>
      <c r="B72" s="6" t="s">
        <v>54</v>
      </c>
      <c r="E72" s="3"/>
      <c r="F72" s="6"/>
      <c r="G72" s="6"/>
      <c r="H72" s="6">
        <v>46</v>
      </c>
      <c r="I72" s="6">
        <v>38</v>
      </c>
      <c r="J72" s="6"/>
      <c r="K72" s="6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1:30" x14ac:dyDescent="0.2">
      <c r="A73" s="7" t="s">
        <v>186</v>
      </c>
      <c r="B73" s="6" t="s">
        <v>56</v>
      </c>
      <c r="E73" s="3"/>
      <c r="F73" s="6"/>
      <c r="G73" s="6">
        <v>69</v>
      </c>
      <c r="H73" s="6"/>
      <c r="I73" s="6">
        <v>37</v>
      </c>
      <c r="J73" s="6"/>
      <c r="K73" s="6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1:30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1:30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1:30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1:30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1:30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30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30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</sheetData>
  <sheetProtection sheet="1" selectLockedCells="1"/>
  <mergeCells count="16">
    <mergeCell ref="L1:Q1"/>
    <mergeCell ref="R1:W1"/>
    <mergeCell ref="X1:X2"/>
    <mergeCell ref="Y1:Y2"/>
    <mergeCell ref="Z1:Z2"/>
    <mergeCell ref="F1:K1"/>
    <mergeCell ref="A1:A2"/>
    <mergeCell ref="B1:B2"/>
    <mergeCell ref="C1:C2"/>
    <mergeCell ref="D1:D2"/>
    <mergeCell ref="E1:E2"/>
    <mergeCell ref="AE1:AJ2"/>
    <mergeCell ref="AB1:AB2"/>
    <mergeCell ref="AC1:AC2"/>
    <mergeCell ref="AD1:AD2"/>
    <mergeCell ref="AA1:AA2"/>
  </mergeCells>
  <conditionalFormatting sqref="A1:B1048576">
    <cfRule type="expression" dxfId="7" priority="5">
      <formula>IF(OR($C1="P",$D1="P"),1,0)</formula>
    </cfRule>
    <cfRule type="expression" dxfId="6" priority="6">
      <formula>IF(AND($E1&lt;&gt;"",$E1&lt;=14-COUNTIF($C$3:$C$102,"P")-COUNTIF($D$3:$D$102,"P")),1,0)</formula>
    </cfRule>
    <cfRule type="expression" dxfId="5" priority="7">
      <formula>IF(AND($E1&lt;&gt;"",$E1&lt;=16-COUNTIF($C$3:$C$102,"P")-COUNTIF($D$3:$D$102,"P")),1,0)</formula>
    </cfRule>
  </conditionalFormatting>
  <conditionalFormatting sqref="C3:AA102">
    <cfRule type="expression" dxfId="4" priority="4">
      <formula>IF(AND($A3&lt;&gt;"",MOD(ROW(),2)=0),1,0)</formula>
    </cfRule>
    <cfRule type="expression" dxfId="3" priority="8">
      <formula>IF(AND($A3&lt;&gt;"",MOD(ROW(),2)=1),1,0)</formula>
    </cfRule>
  </conditionalFormatting>
  <conditionalFormatting sqref="E3:E102 K3:K102 W3:W102 Q3:Q102">
    <cfRule type="expression" dxfId="2" priority="3">
      <formula>IF($A3&lt;&gt;"",1,0)</formula>
    </cfRule>
  </conditionalFormatting>
  <conditionalFormatting sqref="AB3:AD70">
    <cfRule type="expression" dxfId="1" priority="1">
      <formula>IF(AND($A3&lt;&gt;"",MOD(ROW(),2)=0),1,0)</formula>
    </cfRule>
    <cfRule type="expression" dxfId="0" priority="2">
      <formula>IF(AND($A3&lt;&gt;"",MOD(ROW(),2)=1),1,0)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B1:B2"/>
  <sheetViews>
    <sheetView zoomScaleNormal="100" workbookViewId="0"/>
  </sheetViews>
  <sheetFormatPr baseColWidth="10" defaultRowHeight="16" x14ac:dyDescent="0.2"/>
  <cols>
    <col min="1" max="1" width="11.33203125" customWidth="1"/>
  </cols>
  <sheetData>
    <row r="1" spans="2:2" x14ac:dyDescent="0.2">
      <c r="B1" t="s">
        <v>178</v>
      </c>
    </row>
    <row r="2" spans="2:2" x14ac:dyDescent="0.2">
      <c r="B2" t="s">
        <v>179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2019-12-01T07:33:16Z</dcterms:modified>
</cp:coreProperties>
</file>