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2019-2020 World Cup Series/"/>
    </mc:Choice>
  </mc:AlternateContent>
  <xr:revisionPtr revIDLastSave="0" documentId="13_ncr:1_{FE107F12-B3B9-C146-A3BE-6A6074AF0D77}" xr6:coauthVersionLast="45" xr6:coauthVersionMax="45" xr10:uidLastSave="{00000000-0000-0000-0000-000000000000}"/>
  <bookViews>
    <workbookView xWindow="0" yWindow="460" windowWidth="33600" windowHeight="20540" activeTab="1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Men!$A$1:$AJ$2</definedName>
    <definedName name="_xlnm._FilterDatabase" localSheetId="0" hidden="1">Women!$A$1:$AJ$2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7" i="6" l="1"/>
  <c r="R27" i="6" s="1"/>
  <c r="M27" i="6"/>
  <c r="N27" i="6"/>
  <c r="T27" i="6" s="1"/>
  <c r="O27" i="6"/>
  <c r="P27" i="6"/>
  <c r="V27" i="6" s="1"/>
  <c r="Q27" i="6"/>
  <c r="W27" i="6" s="1"/>
  <c r="S27" i="6"/>
  <c r="U27" i="6"/>
  <c r="L32" i="6"/>
  <c r="R32" i="6" s="1"/>
  <c r="M32" i="6"/>
  <c r="S32" i="6" s="1"/>
  <c r="N32" i="6"/>
  <c r="T32" i="6" s="1"/>
  <c r="O32" i="6"/>
  <c r="U32" i="6" s="1"/>
  <c r="P32" i="6"/>
  <c r="V32" i="6" s="1"/>
  <c r="Q32" i="6"/>
  <c r="W32" i="6" s="1"/>
  <c r="L37" i="6"/>
  <c r="M37" i="6"/>
  <c r="N37" i="6"/>
  <c r="T37" i="6" s="1"/>
  <c r="O37" i="6"/>
  <c r="U37" i="6" s="1"/>
  <c r="P37" i="6"/>
  <c r="V37" i="6" s="1"/>
  <c r="Q37" i="6"/>
  <c r="W37" i="6" s="1"/>
  <c r="L40" i="6"/>
  <c r="R40" i="6" s="1"/>
  <c r="M40" i="6"/>
  <c r="S40" i="6" s="1"/>
  <c r="N40" i="6"/>
  <c r="T40" i="6" s="1"/>
  <c r="O40" i="6"/>
  <c r="U40" i="6" s="1"/>
  <c r="P40" i="6"/>
  <c r="V40" i="6" s="1"/>
  <c r="Q40" i="6"/>
  <c r="W40" i="6" s="1"/>
  <c r="L42" i="6"/>
  <c r="R42" i="6" s="1"/>
  <c r="M42" i="6"/>
  <c r="S42" i="6" s="1"/>
  <c r="N42" i="6"/>
  <c r="T42" i="6" s="1"/>
  <c r="O42" i="6"/>
  <c r="U42" i="6" s="1"/>
  <c r="P42" i="6"/>
  <c r="V42" i="6" s="1"/>
  <c r="Q42" i="6"/>
  <c r="W42" i="6" s="1"/>
  <c r="L43" i="6"/>
  <c r="M43" i="6"/>
  <c r="S43" i="6" s="1"/>
  <c r="N43" i="6"/>
  <c r="T43" i="6" s="1"/>
  <c r="O43" i="6"/>
  <c r="U43" i="6" s="1"/>
  <c r="P43" i="6"/>
  <c r="V43" i="6" s="1"/>
  <c r="Q43" i="6"/>
  <c r="W43" i="6" s="1"/>
  <c r="L48" i="6"/>
  <c r="R48" i="6" s="1"/>
  <c r="M48" i="6"/>
  <c r="N48" i="6"/>
  <c r="T48" i="6" s="1"/>
  <c r="O48" i="6"/>
  <c r="U48" i="6" s="1"/>
  <c r="P48" i="6"/>
  <c r="V48" i="6" s="1"/>
  <c r="Q48" i="6"/>
  <c r="W48" i="6" s="1"/>
  <c r="L50" i="6"/>
  <c r="R50" i="6" s="1"/>
  <c r="M50" i="6"/>
  <c r="S50" i="6" s="1"/>
  <c r="N50" i="6"/>
  <c r="O50" i="6"/>
  <c r="U50" i="6" s="1"/>
  <c r="P50" i="6"/>
  <c r="V50" i="6" s="1"/>
  <c r="Q50" i="6"/>
  <c r="W50" i="6" s="1"/>
  <c r="L67" i="6"/>
  <c r="R67" i="6" s="1"/>
  <c r="M67" i="6"/>
  <c r="N67" i="6"/>
  <c r="T67" i="6" s="1"/>
  <c r="O67" i="6"/>
  <c r="U67" i="6" s="1"/>
  <c r="P67" i="6"/>
  <c r="V67" i="6" s="1"/>
  <c r="Q67" i="6"/>
  <c r="W67" i="6" s="1"/>
  <c r="L58" i="6"/>
  <c r="R58" i="6" s="1"/>
  <c r="M58" i="6"/>
  <c r="S58" i="6" s="1"/>
  <c r="N58" i="6"/>
  <c r="T58" i="6" s="1"/>
  <c r="O58" i="6"/>
  <c r="U58" i="6" s="1"/>
  <c r="P58" i="6"/>
  <c r="V58" i="6" s="1"/>
  <c r="Q58" i="6"/>
  <c r="W58" i="6"/>
  <c r="L68" i="6"/>
  <c r="M68" i="6"/>
  <c r="S68" i="6" s="1"/>
  <c r="N68" i="6"/>
  <c r="T68" i="6" s="1"/>
  <c r="O68" i="6"/>
  <c r="U68" i="6" s="1"/>
  <c r="P68" i="6"/>
  <c r="V68" i="6" s="1"/>
  <c r="Q68" i="6"/>
  <c r="W68" i="6" s="1"/>
  <c r="L64" i="6"/>
  <c r="R64" i="6" s="1"/>
  <c r="M64" i="6"/>
  <c r="S64" i="6" s="1"/>
  <c r="N64" i="6"/>
  <c r="T64" i="6" s="1"/>
  <c r="O64" i="6"/>
  <c r="U64" i="6" s="1"/>
  <c r="P64" i="6"/>
  <c r="V64" i="6" s="1"/>
  <c r="Q64" i="6"/>
  <c r="W64" i="6" s="1"/>
  <c r="L61" i="6"/>
  <c r="R61" i="6" s="1"/>
  <c r="M61" i="6"/>
  <c r="S61" i="6" s="1"/>
  <c r="N61" i="6"/>
  <c r="T61" i="6" s="1"/>
  <c r="O61" i="6"/>
  <c r="U61" i="6" s="1"/>
  <c r="P61" i="6"/>
  <c r="V61" i="6" s="1"/>
  <c r="Q61" i="6"/>
  <c r="W61" i="6" s="1"/>
  <c r="L25" i="1"/>
  <c r="M25" i="1"/>
  <c r="S25" i="1" s="1"/>
  <c r="N25" i="1"/>
  <c r="T25" i="1" s="1"/>
  <c r="O25" i="1"/>
  <c r="U25" i="1" s="1"/>
  <c r="P25" i="1"/>
  <c r="V25" i="1" s="1"/>
  <c r="Q25" i="1"/>
  <c r="W25" i="1" s="1"/>
  <c r="L29" i="1"/>
  <c r="R29" i="1" s="1"/>
  <c r="M29" i="1"/>
  <c r="S29" i="1" s="1"/>
  <c r="N29" i="1"/>
  <c r="T29" i="1" s="1"/>
  <c r="O29" i="1"/>
  <c r="U29" i="1" s="1"/>
  <c r="P29" i="1"/>
  <c r="V29" i="1" s="1"/>
  <c r="Q29" i="1"/>
  <c r="W29" i="1" s="1"/>
  <c r="L38" i="1"/>
  <c r="R38" i="1" s="1"/>
  <c r="M38" i="1"/>
  <c r="N38" i="1"/>
  <c r="T38" i="1" s="1"/>
  <c r="O38" i="1"/>
  <c r="U38" i="1" s="1"/>
  <c r="P38" i="1"/>
  <c r="V38" i="1" s="1"/>
  <c r="Q38" i="1"/>
  <c r="W38" i="1" s="1"/>
  <c r="L47" i="1"/>
  <c r="R47" i="1" s="1"/>
  <c r="M47" i="1"/>
  <c r="S47" i="1" s="1"/>
  <c r="N47" i="1"/>
  <c r="T47" i="1" s="1"/>
  <c r="O47" i="1"/>
  <c r="U47" i="1" s="1"/>
  <c r="P47" i="1"/>
  <c r="V47" i="1" s="1"/>
  <c r="Q47" i="1"/>
  <c r="W47" i="1" s="1"/>
  <c r="L58" i="1"/>
  <c r="R58" i="1" s="1"/>
  <c r="M58" i="1"/>
  <c r="S58" i="1" s="1"/>
  <c r="N58" i="1"/>
  <c r="T58" i="1" s="1"/>
  <c r="O58" i="1"/>
  <c r="U58" i="1" s="1"/>
  <c r="P58" i="1"/>
  <c r="V58" i="1" s="1"/>
  <c r="Q58" i="1"/>
  <c r="W58" i="1" s="1"/>
  <c r="L52" i="1"/>
  <c r="M52" i="1"/>
  <c r="S52" i="1" s="1"/>
  <c r="N52" i="1"/>
  <c r="T52" i="1" s="1"/>
  <c r="O52" i="1"/>
  <c r="U52" i="1" s="1"/>
  <c r="P52" i="1"/>
  <c r="V52" i="1" s="1"/>
  <c r="Q52" i="1"/>
  <c r="W52" i="1" s="1"/>
  <c r="L60" i="1"/>
  <c r="R60" i="1" s="1"/>
  <c r="M60" i="1"/>
  <c r="S60" i="1" s="1"/>
  <c r="N60" i="1"/>
  <c r="T60" i="1" s="1"/>
  <c r="O60" i="1"/>
  <c r="U60" i="1" s="1"/>
  <c r="P60" i="1"/>
  <c r="V60" i="1" s="1"/>
  <c r="Q60" i="1"/>
  <c r="W60" i="1" s="1"/>
  <c r="L54" i="1"/>
  <c r="R54" i="1" s="1"/>
  <c r="M54" i="1"/>
  <c r="N54" i="1"/>
  <c r="T54" i="1" s="1"/>
  <c r="O54" i="1"/>
  <c r="U54" i="1" s="1"/>
  <c r="P54" i="1"/>
  <c r="V54" i="1" s="1"/>
  <c r="Q54" i="1"/>
  <c r="W54" i="1" s="1"/>
  <c r="AD25" i="1" l="1"/>
  <c r="AC43" i="6"/>
  <c r="AD27" i="6"/>
  <c r="AB52" i="1"/>
  <c r="AC52" i="1"/>
  <c r="R25" i="1"/>
  <c r="AB54" i="1"/>
  <c r="AC47" i="1"/>
  <c r="AD38" i="1"/>
  <c r="AC38" i="1"/>
  <c r="AC37" i="6"/>
  <c r="AB67" i="6"/>
  <c r="AD37" i="6"/>
  <c r="AD68" i="6"/>
  <c r="AD50" i="6"/>
  <c r="AC48" i="6"/>
  <c r="AD40" i="6"/>
  <c r="S67" i="6"/>
  <c r="X67" i="6" s="1"/>
  <c r="AB43" i="6"/>
  <c r="X64" i="6"/>
  <c r="X58" i="6"/>
  <c r="X61" i="6"/>
  <c r="AC50" i="6"/>
  <c r="AD42" i="6"/>
  <c r="AB37" i="6"/>
  <c r="AB50" i="6"/>
  <c r="T50" i="6"/>
  <c r="R43" i="6"/>
  <c r="AC42" i="6"/>
  <c r="S37" i="6"/>
  <c r="AD32" i="6"/>
  <c r="AC68" i="6"/>
  <c r="AC61" i="6"/>
  <c r="AD58" i="6"/>
  <c r="AB61" i="6"/>
  <c r="R68" i="6"/>
  <c r="X68" i="6" s="1"/>
  <c r="AD48" i="6"/>
  <c r="AB42" i="6"/>
  <c r="R37" i="6"/>
  <c r="AC32" i="6"/>
  <c r="AB58" i="6"/>
  <c r="AB32" i="6"/>
  <c r="AD61" i="6"/>
  <c r="AB68" i="6"/>
  <c r="AB48" i="6"/>
  <c r="AC40" i="6"/>
  <c r="AC58" i="6"/>
  <c r="AD64" i="6"/>
  <c r="S48" i="6"/>
  <c r="AD43" i="6"/>
  <c r="AB40" i="6"/>
  <c r="AC27" i="6"/>
  <c r="AC64" i="6"/>
  <c r="AD67" i="6"/>
  <c r="AB64" i="6"/>
  <c r="AC67" i="6"/>
  <c r="AB27" i="6"/>
  <c r="X60" i="1"/>
  <c r="AB38" i="1"/>
  <c r="S38" i="1"/>
  <c r="AD29" i="1"/>
  <c r="AD58" i="1"/>
  <c r="AC58" i="1"/>
  <c r="X58" i="1" s="1"/>
  <c r="S54" i="1"/>
  <c r="X54" i="1" s="1"/>
  <c r="AD60" i="1"/>
  <c r="AB58" i="1"/>
  <c r="AC29" i="1"/>
  <c r="AD47" i="1"/>
  <c r="AB29" i="1"/>
  <c r="AD54" i="1"/>
  <c r="AC54" i="1"/>
  <c r="AC60" i="1"/>
  <c r="AD52" i="1"/>
  <c r="AB47" i="1"/>
  <c r="AC25" i="1"/>
  <c r="R52" i="1"/>
  <c r="X52" i="1" s="1"/>
  <c r="AB60" i="1"/>
  <c r="AB25" i="1"/>
  <c r="L5" i="6"/>
  <c r="M5" i="6"/>
  <c r="N5" i="6"/>
  <c r="O5" i="6"/>
  <c r="P5" i="6"/>
  <c r="Q5" i="6"/>
  <c r="L10" i="6"/>
  <c r="M10" i="6"/>
  <c r="N10" i="6"/>
  <c r="O10" i="6"/>
  <c r="P10" i="6"/>
  <c r="Q10" i="6"/>
  <c r="L9" i="6"/>
  <c r="M9" i="6"/>
  <c r="N9" i="6"/>
  <c r="O9" i="6"/>
  <c r="P9" i="6"/>
  <c r="Q9" i="6"/>
  <c r="L6" i="6"/>
  <c r="M6" i="6"/>
  <c r="N6" i="6"/>
  <c r="O6" i="6"/>
  <c r="P6" i="6"/>
  <c r="Q6" i="6"/>
  <c r="L4" i="6"/>
  <c r="M4" i="6"/>
  <c r="N4" i="6"/>
  <c r="O4" i="6"/>
  <c r="P4" i="6"/>
  <c r="Q4" i="6"/>
  <c r="L14" i="6"/>
  <c r="M14" i="6"/>
  <c r="N14" i="6"/>
  <c r="O14" i="6"/>
  <c r="P14" i="6"/>
  <c r="Q14" i="6"/>
  <c r="L8" i="6"/>
  <c r="M8" i="6"/>
  <c r="N8" i="6"/>
  <c r="O8" i="6"/>
  <c r="P8" i="6"/>
  <c r="Q8" i="6"/>
  <c r="L21" i="6"/>
  <c r="M21" i="6"/>
  <c r="N21" i="6"/>
  <c r="O21" i="6"/>
  <c r="P21" i="6"/>
  <c r="Q21" i="6"/>
  <c r="L22" i="6"/>
  <c r="M22" i="6"/>
  <c r="N22" i="6"/>
  <c r="O22" i="6"/>
  <c r="P22" i="6"/>
  <c r="Q22" i="6"/>
  <c r="L25" i="6"/>
  <c r="M25" i="6"/>
  <c r="N25" i="6"/>
  <c r="O25" i="6"/>
  <c r="P25" i="6"/>
  <c r="Q25" i="6"/>
  <c r="L13" i="6"/>
  <c r="M13" i="6"/>
  <c r="N13" i="6"/>
  <c r="O13" i="6"/>
  <c r="P13" i="6"/>
  <c r="Q13" i="6"/>
  <c r="L12" i="6"/>
  <c r="M12" i="6"/>
  <c r="N12" i="6"/>
  <c r="O12" i="6"/>
  <c r="P12" i="6"/>
  <c r="Q12" i="6"/>
  <c r="L7" i="6"/>
  <c r="M7" i="6"/>
  <c r="N7" i="6"/>
  <c r="O7" i="6"/>
  <c r="P7" i="6"/>
  <c r="Q7" i="6"/>
  <c r="L11" i="6"/>
  <c r="M11" i="6"/>
  <c r="N11" i="6"/>
  <c r="O11" i="6"/>
  <c r="P11" i="6"/>
  <c r="Q11" i="6"/>
  <c r="L20" i="6"/>
  <c r="M20" i="6"/>
  <c r="N20" i="6"/>
  <c r="O20" i="6"/>
  <c r="P20" i="6"/>
  <c r="Q20" i="6"/>
  <c r="L33" i="6"/>
  <c r="M33" i="6"/>
  <c r="N33" i="6"/>
  <c r="O33" i="6"/>
  <c r="P33" i="6"/>
  <c r="Q33" i="6"/>
  <c r="L15" i="6"/>
  <c r="M15" i="6"/>
  <c r="N15" i="6"/>
  <c r="O15" i="6"/>
  <c r="P15" i="6"/>
  <c r="Q15" i="6"/>
  <c r="L18" i="6"/>
  <c r="M18" i="6"/>
  <c r="N18" i="6"/>
  <c r="O18" i="6"/>
  <c r="P18" i="6"/>
  <c r="Q18" i="6"/>
  <c r="L29" i="6"/>
  <c r="M29" i="6"/>
  <c r="N29" i="6"/>
  <c r="O29" i="6"/>
  <c r="P29" i="6"/>
  <c r="Q29" i="6"/>
  <c r="L28" i="6"/>
  <c r="M28" i="6"/>
  <c r="N28" i="6"/>
  <c r="O28" i="6"/>
  <c r="P28" i="6"/>
  <c r="Q28" i="6"/>
  <c r="L19" i="6"/>
  <c r="M19" i="6"/>
  <c r="N19" i="6"/>
  <c r="O19" i="6"/>
  <c r="P19" i="6"/>
  <c r="Q19" i="6"/>
  <c r="L35" i="6"/>
  <c r="M35" i="6"/>
  <c r="N35" i="6"/>
  <c r="O35" i="6"/>
  <c r="P35" i="6"/>
  <c r="Q35" i="6"/>
  <c r="L44" i="6"/>
  <c r="M44" i="6"/>
  <c r="N44" i="6"/>
  <c r="O44" i="6"/>
  <c r="P44" i="6"/>
  <c r="Q44" i="6"/>
  <c r="L16" i="6"/>
  <c r="M16" i="6"/>
  <c r="N16" i="6"/>
  <c r="O16" i="6"/>
  <c r="P16" i="6"/>
  <c r="Q16" i="6"/>
  <c r="L26" i="6"/>
  <c r="M26" i="6"/>
  <c r="N26" i="6"/>
  <c r="O26" i="6"/>
  <c r="P26" i="6"/>
  <c r="Q26" i="6"/>
  <c r="L45" i="6"/>
  <c r="M45" i="6"/>
  <c r="N45" i="6"/>
  <c r="O45" i="6"/>
  <c r="P45" i="6"/>
  <c r="Q45" i="6"/>
  <c r="L30" i="6"/>
  <c r="M30" i="6"/>
  <c r="N30" i="6"/>
  <c r="O30" i="6"/>
  <c r="P30" i="6"/>
  <c r="Q30" i="6"/>
  <c r="L31" i="6"/>
  <c r="M31" i="6"/>
  <c r="N31" i="6"/>
  <c r="O31" i="6"/>
  <c r="P31" i="6"/>
  <c r="Q31" i="6"/>
  <c r="L38" i="6"/>
  <c r="M38" i="6"/>
  <c r="N38" i="6"/>
  <c r="O38" i="6"/>
  <c r="P38" i="6"/>
  <c r="Q38" i="6"/>
  <c r="L60" i="6"/>
  <c r="M60" i="6"/>
  <c r="N60" i="6"/>
  <c r="O60" i="6"/>
  <c r="P60" i="6"/>
  <c r="Q60" i="6"/>
  <c r="L34" i="6"/>
  <c r="M34" i="6"/>
  <c r="N34" i="6"/>
  <c r="O34" i="6"/>
  <c r="P34" i="6"/>
  <c r="Q34" i="6"/>
  <c r="L59" i="6"/>
  <c r="M59" i="6"/>
  <c r="N59" i="6"/>
  <c r="O59" i="6"/>
  <c r="P59" i="6"/>
  <c r="Q59" i="6"/>
  <c r="L63" i="6"/>
  <c r="M63" i="6"/>
  <c r="N63" i="6"/>
  <c r="O63" i="6"/>
  <c r="P63" i="6"/>
  <c r="Q63" i="6"/>
  <c r="L56" i="6"/>
  <c r="M56" i="6"/>
  <c r="N56" i="6"/>
  <c r="O56" i="6"/>
  <c r="P56" i="6"/>
  <c r="Q56" i="6"/>
  <c r="L52" i="6"/>
  <c r="M52" i="6"/>
  <c r="N52" i="6"/>
  <c r="O52" i="6"/>
  <c r="P52" i="6"/>
  <c r="Q52" i="6"/>
  <c r="L69" i="6"/>
  <c r="M69" i="6"/>
  <c r="N69" i="6"/>
  <c r="O69" i="6"/>
  <c r="P69" i="6"/>
  <c r="Q69" i="6"/>
  <c r="L55" i="6"/>
  <c r="M55" i="6"/>
  <c r="N55" i="6"/>
  <c r="O55" i="6"/>
  <c r="P55" i="6"/>
  <c r="Q55" i="6"/>
  <c r="L17" i="6"/>
  <c r="M17" i="6"/>
  <c r="N17" i="6"/>
  <c r="O17" i="6"/>
  <c r="P17" i="6"/>
  <c r="Q17" i="6"/>
  <c r="L23" i="6"/>
  <c r="M23" i="6"/>
  <c r="N23" i="6"/>
  <c r="O23" i="6"/>
  <c r="P23" i="6"/>
  <c r="Q23" i="6"/>
  <c r="L36" i="6"/>
  <c r="M36" i="6"/>
  <c r="N36" i="6"/>
  <c r="O36" i="6"/>
  <c r="P36" i="6"/>
  <c r="Q36" i="6"/>
  <c r="L39" i="6"/>
  <c r="M39" i="6"/>
  <c r="N39" i="6"/>
  <c r="O39" i="6"/>
  <c r="P39" i="6"/>
  <c r="Q39" i="6"/>
  <c r="L24" i="6"/>
  <c r="M24" i="6"/>
  <c r="N24" i="6"/>
  <c r="O24" i="6"/>
  <c r="P24" i="6"/>
  <c r="Q24" i="6"/>
  <c r="L46" i="6"/>
  <c r="M46" i="6"/>
  <c r="N46" i="6"/>
  <c r="O46" i="6"/>
  <c r="P46" i="6"/>
  <c r="Q46" i="6"/>
  <c r="L47" i="6"/>
  <c r="M47" i="6"/>
  <c r="N47" i="6"/>
  <c r="O47" i="6"/>
  <c r="P47" i="6"/>
  <c r="Q47" i="6"/>
  <c r="L49" i="6"/>
  <c r="M49" i="6"/>
  <c r="N49" i="6"/>
  <c r="O49" i="6"/>
  <c r="P49" i="6"/>
  <c r="Q49" i="6"/>
  <c r="L41" i="6"/>
  <c r="M41" i="6"/>
  <c r="N41" i="6"/>
  <c r="O41" i="6"/>
  <c r="P41" i="6"/>
  <c r="Q41" i="6"/>
  <c r="L51" i="6"/>
  <c r="M51" i="6"/>
  <c r="N51" i="6"/>
  <c r="O51" i="6"/>
  <c r="P51" i="6"/>
  <c r="Q51" i="6"/>
  <c r="L53" i="6"/>
  <c r="M53" i="6"/>
  <c r="N53" i="6"/>
  <c r="O53" i="6"/>
  <c r="P53" i="6"/>
  <c r="Q53" i="6"/>
  <c r="L70" i="6"/>
  <c r="M70" i="6"/>
  <c r="N70" i="6"/>
  <c r="O70" i="6"/>
  <c r="P70" i="6"/>
  <c r="Q70" i="6"/>
  <c r="L65" i="6"/>
  <c r="M65" i="6"/>
  <c r="N65" i="6"/>
  <c r="O65" i="6"/>
  <c r="P65" i="6"/>
  <c r="Q65" i="6"/>
  <c r="L57" i="6"/>
  <c r="M57" i="6"/>
  <c r="N57" i="6"/>
  <c r="O57" i="6"/>
  <c r="P57" i="6"/>
  <c r="Q57" i="6"/>
  <c r="L54" i="6"/>
  <c r="M54" i="6"/>
  <c r="N54" i="6"/>
  <c r="O54" i="6"/>
  <c r="P54" i="6"/>
  <c r="Q54" i="6"/>
  <c r="L62" i="6"/>
  <c r="M62" i="6"/>
  <c r="N62" i="6"/>
  <c r="O62" i="6"/>
  <c r="P62" i="6"/>
  <c r="Q62" i="6"/>
  <c r="L66" i="6"/>
  <c r="M66" i="6"/>
  <c r="N66" i="6"/>
  <c r="O66" i="6"/>
  <c r="P66" i="6"/>
  <c r="Q66" i="6"/>
  <c r="M3" i="6"/>
  <c r="N3" i="6"/>
  <c r="O3" i="6"/>
  <c r="P3" i="6"/>
  <c r="Q3" i="6"/>
  <c r="L3" i="6"/>
  <c r="L12" i="1"/>
  <c r="M12" i="1"/>
  <c r="N12" i="1"/>
  <c r="O12" i="1"/>
  <c r="P12" i="1"/>
  <c r="Q12" i="1"/>
  <c r="L13" i="1"/>
  <c r="M13" i="1"/>
  <c r="N13" i="1"/>
  <c r="O13" i="1"/>
  <c r="P13" i="1"/>
  <c r="Q13" i="1"/>
  <c r="L14" i="1"/>
  <c r="M14" i="1"/>
  <c r="N14" i="1"/>
  <c r="O14" i="1"/>
  <c r="P14" i="1"/>
  <c r="Q14" i="1"/>
  <c r="L8" i="1"/>
  <c r="M8" i="1"/>
  <c r="N8" i="1"/>
  <c r="O8" i="1"/>
  <c r="P8" i="1"/>
  <c r="Q8" i="1"/>
  <c r="L11" i="1"/>
  <c r="M11" i="1"/>
  <c r="N11" i="1"/>
  <c r="O11" i="1"/>
  <c r="P11" i="1"/>
  <c r="Q11" i="1"/>
  <c r="L10" i="1"/>
  <c r="M10" i="1"/>
  <c r="N10" i="1"/>
  <c r="O10" i="1"/>
  <c r="P10" i="1"/>
  <c r="Q10" i="1"/>
  <c r="L9" i="1"/>
  <c r="M9" i="1"/>
  <c r="N9" i="1"/>
  <c r="O9" i="1"/>
  <c r="P9" i="1"/>
  <c r="Q9" i="1"/>
  <c r="L5" i="1"/>
  <c r="M5" i="1"/>
  <c r="N5" i="1"/>
  <c r="O5" i="1"/>
  <c r="P5" i="1"/>
  <c r="Q5" i="1"/>
  <c r="L28" i="1"/>
  <c r="M28" i="1"/>
  <c r="N28" i="1"/>
  <c r="O28" i="1"/>
  <c r="P28" i="1"/>
  <c r="Q28" i="1"/>
  <c r="L6" i="1"/>
  <c r="M6" i="1"/>
  <c r="N6" i="1"/>
  <c r="O6" i="1"/>
  <c r="P6" i="1"/>
  <c r="Q6" i="1"/>
  <c r="L20" i="1"/>
  <c r="M20" i="1"/>
  <c r="N20" i="1"/>
  <c r="O20" i="1"/>
  <c r="P20" i="1"/>
  <c r="Q20" i="1"/>
  <c r="L16" i="1"/>
  <c r="M16" i="1"/>
  <c r="N16" i="1"/>
  <c r="O16" i="1"/>
  <c r="P16" i="1"/>
  <c r="Q16" i="1"/>
  <c r="L26" i="1"/>
  <c r="M26" i="1"/>
  <c r="N26" i="1"/>
  <c r="O26" i="1"/>
  <c r="P26" i="1"/>
  <c r="Q26" i="1"/>
  <c r="L18" i="1"/>
  <c r="M18" i="1"/>
  <c r="N18" i="1"/>
  <c r="O18" i="1"/>
  <c r="P18" i="1"/>
  <c r="Q18" i="1"/>
  <c r="L23" i="1"/>
  <c r="M23" i="1"/>
  <c r="N23" i="1"/>
  <c r="O23" i="1"/>
  <c r="P23" i="1"/>
  <c r="Q23" i="1"/>
  <c r="L22" i="1"/>
  <c r="M22" i="1"/>
  <c r="N22" i="1"/>
  <c r="O22" i="1"/>
  <c r="P22" i="1"/>
  <c r="Q22" i="1"/>
  <c r="L15" i="1"/>
  <c r="M15" i="1"/>
  <c r="N15" i="1"/>
  <c r="O15" i="1"/>
  <c r="P15" i="1"/>
  <c r="Q15" i="1"/>
  <c r="L19" i="1"/>
  <c r="M19" i="1"/>
  <c r="N19" i="1"/>
  <c r="O19" i="1"/>
  <c r="P19" i="1"/>
  <c r="Q19" i="1"/>
  <c r="L17" i="1"/>
  <c r="M17" i="1"/>
  <c r="N17" i="1"/>
  <c r="O17" i="1"/>
  <c r="P17" i="1"/>
  <c r="Q17" i="1"/>
  <c r="L33" i="1"/>
  <c r="M33" i="1"/>
  <c r="N33" i="1"/>
  <c r="O33" i="1"/>
  <c r="P33" i="1"/>
  <c r="Q33" i="1"/>
  <c r="L41" i="1"/>
  <c r="M41" i="1"/>
  <c r="N41" i="1"/>
  <c r="O41" i="1"/>
  <c r="P41" i="1"/>
  <c r="Q41" i="1"/>
  <c r="L39" i="1"/>
  <c r="M39" i="1"/>
  <c r="N39" i="1"/>
  <c r="O39" i="1"/>
  <c r="P39" i="1"/>
  <c r="Q39" i="1"/>
  <c r="L21" i="1"/>
  <c r="M21" i="1"/>
  <c r="N21" i="1"/>
  <c r="O21" i="1"/>
  <c r="P21" i="1"/>
  <c r="Q21" i="1"/>
  <c r="L45" i="1"/>
  <c r="M45" i="1"/>
  <c r="N45" i="1"/>
  <c r="O45" i="1"/>
  <c r="P45" i="1"/>
  <c r="Q45" i="1"/>
  <c r="L36" i="1"/>
  <c r="M36" i="1"/>
  <c r="N36" i="1"/>
  <c r="O36" i="1"/>
  <c r="P36" i="1"/>
  <c r="Q36" i="1"/>
  <c r="L37" i="1"/>
  <c r="M37" i="1"/>
  <c r="N37" i="1"/>
  <c r="O37" i="1"/>
  <c r="P37" i="1"/>
  <c r="Q37" i="1"/>
  <c r="L44" i="1"/>
  <c r="M44" i="1"/>
  <c r="N44" i="1"/>
  <c r="O44" i="1"/>
  <c r="P44" i="1"/>
  <c r="Q44" i="1"/>
  <c r="L48" i="1"/>
  <c r="M48" i="1"/>
  <c r="N48" i="1"/>
  <c r="O48" i="1"/>
  <c r="P48" i="1"/>
  <c r="Q48" i="1"/>
  <c r="L50" i="1"/>
  <c r="M50" i="1"/>
  <c r="N50" i="1"/>
  <c r="O50" i="1"/>
  <c r="P50" i="1"/>
  <c r="Q50" i="1"/>
  <c r="L46" i="1"/>
  <c r="M46" i="1"/>
  <c r="N46" i="1"/>
  <c r="O46" i="1"/>
  <c r="P46" i="1"/>
  <c r="Q46" i="1"/>
  <c r="L32" i="1"/>
  <c r="M32" i="1"/>
  <c r="N32" i="1"/>
  <c r="O32" i="1"/>
  <c r="P32" i="1"/>
  <c r="Q32" i="1"/>
  <c r="L40" i="1"/>
  <c r="M40" i="1"/>
  <c r="N40" i="1"/>
  <c r="O40" i="1"/>
  <c r="P40" i="1"/>
  <c r="Q40" i="1"/>
  <c r="L31" i="1"/>
  <c r="M31" i="1"/>
  <c r="N31" i="1"/>
  <c r="O31" i="1"/>
  <c r="P31" i="1"/>
  <c r="Q31" i="1"/>
  <c r="L56" i="1"/>
  <c r="M56" i="1"/>
  <c r="N56" i="1"/>
  <c r="O56" i="1"/>
  <c r="P56" i="1"/>
  <c r="Q56" i="1"/>
  <c r="L35" i="1"/>
  <c r="M35" i="1"/>
  <c r="N35" i="1"/>
  <c r="O35" i="1"/>
  <c r="P35" i="1"/>
  <c r="Q35" i="1"/>
  <c r="L57" i="1"/>
  <c r="M57" i="1"/>
  <c r="N57" i="1"/>
  <c r="O57" i="1"/>
  <c r="P57" i="1"/>
  <c r="Q57" i="1"/>
  <c r="L51" i="1"/>
  <c r="M51" i="1"/>
  <c r="N51" i="1"/>
  <c r="O51" i="1"/>
  <c r="P51" i="1"/>
  <c r="Q51" i="1"/>
  <c r="L3" i="1"/>
  <c r="M3" i="1"/>
  <c r="N3" i="1"/>
  <c r="O3" i="1"/>
  <c r="P3" i="1"/>
  <c r="Q3" i="1"/>
  <c r="L7" i="1"/>
  <c r="M7" i="1"/>
  <c r="N7" i="1"/>
  <c r="O7" i="1"/>
  <c r="P7" i="1"/>
  <c r="Q7" i="1"/>
  <c r="L27" i="1"/>
  <c r="M27" i="1"/>
  <c r="N27" i="1"/>
  <c r="O27" i="1"/>
  <c r="P27" i="1"/>
  <c r="Q27" i="1"/>
  <c r="L30" i="1"/>
  <c r="M30" i="1"/>
  <c r="N30" i="1"/>
  <c r="O30" i="1"/>
  <c r="P30" i="1"/>
  <c r="Q30" i="1"/>
  <c r="L34" i="1"/>
  <c r="M34" i="1"/>
  <c r="N34" i="1"/>
  <c r="O34" i="1"/>
  <c r="P34" i="1"/>
  <c r="Q34" i="1"/>
  <c r="L24" i="1"/>
  <c r="M24" i="1"/>
  <c r="N24" i="1"/>
  <c r="O24" i="1"/>
  <c r="P24" i="1"/>
  <c r="Q24" i="1"/>
  <c r="L43" i="1"/>
  <c r="M43" i="1"/>
  <c r="N43" i="1"/>
  <c r="O43" i="1"/>
  <c r="P43" i="1"/>
  <c r="Q43" i="1"/>
  <c r="L49" i="1"/>
  <c r="M49" i="1"/>
  <c r="N49" i="1"/>
  <c r="O49" i="1"/>
  <c r="P49" i="1"/>
  <c r="Q49" i="1"/>
  <c r="L61" i="1"/>
  <c r="M61" i="1"/>
  <c r="N61" i="1"/>
  <c r="O61" i="1"/>
  <c r="P61" i="1"/>
  <c r="Q61" i="1"/>
  <c r="L53" i="1"/>
  <c r="M53" i="1"/>
  <c r="N53" i="1"/>
  <c r="O53" i="1"/>
  <c r="P53" i="1"/>
  <c r="Q53" i="1"/>
  <c r="L42" i="1"/>
  <c r="M42" i="1"/>
  <c r="N42" i="1"/>
  <c r="O42" i="1"/>
  <c r="P42" i="1"/>
  <c r="Q42" i="1"/>
  <c r="L55" i="1"/>
  <c r="M55" i="1"/>
  <c r="N55" i="1"/>
  <c r="O55" i="1"/>
  <c r="P55" i="1"/>
  <c r="Q55" i="1"/>
  <c r="L59" i="1"/>
  <c r="M59" i="1"/>
  <c r="N59" i="1"/>
  <c r="O59" i="1"/>
  <c r="P59" i="1"/>
  <c r="Q59" i="1"/>
  <c r="M4" i="1"/>
  <c r="N4" i="1"/>
  <c r="O4" i="1"/>
  <c r="P4" i="1"/>
  <c r="Q4" i="1"/>
  <c r="L4" i="1"/>
  <c r="X25" i="1" l="1"/>
  <c r="X29" i="1"/>
  <c r="Z29" i="1" s="1"/>
  <c r="X27" i="6"/>
  <c r="Z27" i="6" s="1"/>
  <c r="X48" i="6"/>
  <c r="X40" i="6"/>
  <c r="Z40" i="6" s="1"/>
  <c r="X50" i="6"/>
  <c r="Z50" i="6" s="1"/>
  <c r="X38" i="1"/>
  <c r="Z38" i="1" s="1"/>
  <c r="X47" i="1"/>
  <c r="Z47" i="1" s="1"/>
  <c r="X42" i="6"/>
  <c r="Z42" i="6" s="1"/>
  <c r="X43" i="6"/>
  <c r="Z43" i="6" s="1"/>
  <c r="X32" i="6"/>
  <c r="Z32" i="6" s="1"/>
  <c r="Z48" i="6"/>
  <c r="Y68" i="6"/>
  <c r="Z68" i="6"/>
  <c r="Y61" i="6"/>
  <c r="Z61" i="6"/>
  <c r="Y58" i="6"/>
  <c r="Z58" i="6"/>
  <c r="Y64" i="6"/>
  <c r="Z64" i="6"/>
  <c r="X37" i="6"/>
  <c r="Y67" i="6"/>
  <c r="Z67" i="6"/>
  <c r="Z25" i="1"/>
  <c r="Z54" i="1"/>
  <c r="Y54" i="1"/>
  <c r="Z60" i="1"/>
  <c r="Y60" i="1"/>
  <c r="Z58" i="1"/>
  <c r="Y52" i="1"/>
  <c r="Z52" i="1"/>
  <c r="AC35" i="1"/>
  <c r="AB35" i="1"/>
  <c r="AD35" i="1"/>
  <c r="AC21" i="1"/>
  <c r="AD21" i="1"/>
  <c r="AB21" i="1"/>
  <c r="AD17" i="1"/>
  <c r="AC17" i="1"/>
  <c r="AB17" i="1"/>
  <c r="AC23" i="1"/>
  <c r="AD23" i="1"/>
  <c r="AB23" i="1"/>
  <c r="AC20" i="1"/>
  <c r="AB20" i="1"/>
  <c r="AD20" i="1"/>
  <c r="AB9" i="1"/>
  <c r="AC9" i="1"/>
  <c r="AD9" i="1"/>
  <c r="AC14" i="1"/>
  <c r="AB14" i="1"/>
  <c r="AD14" i="1"/>
  <c r="AC24" i="1"/>
  <c r="AB24" i="1"/>
  <c r="AD24" i="1"/>
  <c r="AB44" i="1"/>
  <c r="AC44" i="1"/>
  <c r="AD44" i="1"/>
  <c r="AC7" i="1"/>
  <c r="AD7" i="1"/>
  <c r="AB7" i="1"/>
  <c r="AC32" i="1"/>
  <c r="AB32" i="1"/>
  <c r="AD32" i="1"/>
  <c r="AB42" i="1"/>
  <c r="AD42" i="1"/>
  <c r="AC42" i="1"/>
  <c r="AC43" i="1"/>
  <c r="AB43" i="1"/>
  <c r="AD43" i="1"/>
  <c r="AC27" i="1"/>
  <c r="AB27" i="1"/>
  <c r="AD27" i="1"/>
  <c r="AC57" i="1"/>
  <c r="AB57" i="1"/>
  <c r="AD57" i="1"/>
  <c r="AD40" i="1"/>
  <c r="AB40" i="1"/>
  <c r="AC40" i="1"/>
  <c r="AD48" i="1"/>
  <c r="AB48" i="1"/>
  <c r="AC48" i="1"/>
  <c r="AC45" i="1"/>
  <c r="AB45" i="1"/>
  <c r="AD45" i="1"/>
  <c r="AC33" i="1"/>
  <c r="AD33" i="1"/>
  <c r="AB33" i="1"/>
  <c r="AB22" i="1"/>
  <c r="AD22" i="1"/>
  <c r="AC22" i="1"/>
  <c r="AC16" i="1"/>
  <c r="AB16" i="1"/>
  <c r="AD16" i="1"/>
  <c r="AC5" i="1"/>
  <c r="AB5" i="1"/>
  <c r="AD5" i="1"/>
  <c r="AC8" i="1"/>
  <c r="AB8" i="1"/>
  <c r="AD8" i="1"/>
  <c r="AC4" i="1"/>
  <c r="AB4" i="1"/>
  <c r="AD4" i="1"/>
  <c r="AB55" i="1"/>
  <c r="AC55" i="1"/>
  <c r="AD55" i="1"/>
  <c r="AB49" i="1"/>
  <c r="AD49" i="1"/>
  <c r="AC49" i="1"/>
  <c r="AD30" i="1"/>
  <c r="AC30" i="1"/>
  <c r="AB30" i="1"/>
  <c r="AC51" i="1"/>
  <c r="AD51" i="1"/>
  <c r="AB51" i="1"/>
  <c r="AB31" i="1"/>
  <c r="AD31" i="1"/>
  <c r="AC31" i="1"/>
  <c r="AB50" i="1"/>
  <c r="AD50" i="1"/>
  <c r="AC50" i="1"/>
  <c r="AB36" i="1"/>
  <c r="AD36" i="1"/>
  <c r="AC36" i="1"/>
  <c r="AD41" i="1"/>
  <c r="AB41" i="1"/>
  <c r="AC41" i="1"/>
  <c r="AD15" i="1"/>
  <c r="AC15" i="1"/>
  <c r="AB15" i="1"/>
  <c r="AD26" i="1"/>
  <c r="AB26" i="1"/>
  <c r="AC26" i="1"/>
  <c r="AB28" i="1"/>
  <c r="AC28" i="1"/>
  <c r="AD28" i="1"/>
  <c r="AB11" i="1"/>
  <c r="AD11" i="1"/>
  <c r="AC11" i="1"/>
  <c r="AD12" i="1"/>
  <c r="AC12" i="1"/>
  <c r="AB12" i="1"/>
  <c r="AB53" i="1"/>
  <c r="AD53" i="1"/>
  <c r="AC53" i="1"/>
  <c r="AC59" i="1"/>
  <c r="AB59" i="1"/>
  <c r="AD59" i="1"/>
  <c r="AD61" i="1"/>
  <c r="AC61" i="1"/>
  <c r="AB61" i="1"/>
  <c r="AB34" i="1"/>
  <c r="AD34" i="1"/>
  <c r="AC34" i="1"/>
  <c r="AD3" i="1"/>
  <c r="AB3" i="1"/>
  <c r="AC3" i="1"/>
  <c r="AB56" i="1"/>
  <c r="AC56" i="1"/>
  <c r="AD56" i="1"/>
  <c r="AD46" i="1"/>
  <c r="AC46" i="1"/>
  <c r="AB46" i="1"/>
  <c r="AB37" i="1"/>
  <c r="AD37" i="1"/>
  <c r="AC37" i="1"/>
  <c r="AB39" i="1"/>
  <c r="AD39" i="1"/>
  <c r="AC39" i="1"/>
  <c r="AB19" i="1"/>
  <c r="AD19" i="1"/>
  <c r="AC19" i="1"/>
  <c r="AD18" i="1"/>
  <c r="AC18" i="1"/>
  <c r="AB18" i="1"/>
  <c r="AC6" i="1"/>
  <c r="AB6" i="1"/>
  <c r="AD6" i="1"/>
  <c r="AB10" i="1"/>
  <c r="AD10" i="1"/>
  <c r="AC10" i="1"/>
  <c r="AB13" i="1"/>
  <c r="AD13" i="1"/>
  <c r="AC13" i="1"/>
  <c r="AB24" i="6"/>
  <c r="AC24" i="6"/>
  <c r="AD24" i="6"/>
  <c r="AB60" i="6"/>
  <c r="AC60" i="6"/>
  <c r="AD60" i="6"/>
  <c r="AD25" i="6"/>
  <c r="AB25" i="6"/>
  <c r="AC25" i="6"/>
  <c r="AB10" i="6"/>
  <c r="AC10" i="6"/>
  <c r="AD10" i="6"/>
  <c r="AD65" i="6"/>
  <c r="AC65" i="6"/>
  <c r="AB65" i="6"/>
  <c r="AB18" i="6"/>
  <c r="AC18" i="6"/>
  <c r="AD18" i="6"/>
  <c r="AB51" i="6"/>
  <c r="AC51" i="6"/>
  <c r="AD51" i="6"/>
  <c r="AB23" i="6"/>
  <c r="AC23" i="6"/>
  <c r="AD23" i="6"/>
  <c r="AC52" i="6"/>
  <c r="AD52" i="6"/>
  <c r="AB52" i="6"/>
  <c r="AB34" i="6"/>
  <c r="AC34" i="6"/>
  <c r="AD34" i="6"/>
  <c r="AB30" i="6"/>
  <c r="AC30" i="6"/>
  <c r="AD30" i="6"/>
  <c r="AD44" i="6"/>
  <c r="AC44" i="6"/>
  <c r="AB44" i="6"/>
  <c r="AB29" i="6"/>
  <c r="AC29" i="6"/>
  <c r="AD29" i="6"/>
  <c r="AB20" i="6"/>
  <c r="AC20" i="6"/>
  <c r="AD20" i="6"/>
  <c r="AB13" i="6"/>
  <c r="AC13" i="6"/>
  <c r="AD13" i="6"/>
  <c r="AB8" i="6"/>
  <c r="AC8" i="6"/>
  <c r="AD8" i="6"/>
  <c r="AC9" i="6"/>
  <c r="AD9" i="6"/>
  <c r="AB9" i="6"/>
  <c r="AB66" i="6"/>
  <c r="AC66" i="6"/>
  <c r="AD66" i="6"/>
  <c r="AB41" i="6"/>
  <c r="AC41" i="6"/>
  <c r="AD41" i="6"/>
  <c r="AB11" i="6"/>
  <c r="AC11" i="6"/>
  <c r="AD11" i="6"/>
  <c r="AB57" i="6"/>
  <c r="AC57" i="6"/>
  <c r="AD57" i="6"/>
  <c r="AB56" i="6"/>
  <c r="AC56" i="6"/>
  <c r="AD56" i="6"/>
  <c r="AB69" i="6"/>
  <c r="AC69" i="6"/>
  <c r="AD69" i="6"/>
  <c r="AD59" i="6"/>
  <c r="AC59" i="6"/>
  <c r="AB59" i="6"/>
  <c r="AD31" i="6"/>
  <c r="AB31" i="6"/>
  <c r="AC31" i="6"/>
  <c r="AD16" i="6"/>
  <c r="AB16" i="6"/>
  <c r="AC16" i="6"/>
  <c r="AC28" i="6"/>
  <c r="AD28" i="6"/>
  <c r="AB28" i="6"/>
  <c r="AB33" i="6"/>
  <c r="AC33" i="6"/>
  <c r="AD33" i="6"/>
  <c r="AB12" i="6"/>
  <c r="AC12" i="6"/>
  <c r="AD12" i="6"/>
  <c r="AB21" i="6"/>
  <c r="AC21" i="6"/>
  <c r="AD21" i="6"/>
  <c r="AD6" i="6"/>
  <c r="AC6" i="6"/>
  <c r="AB6" i="6"/>
  <c r="AD17" i="6"/>
  <c r="AC17" i="6"/>
  <c r="AB17" i="6"/>
  <c r="AB35" i="6"/>
  <c r="AC35" i="6"/>
  <c r="AD35" i="6"/>
  <c r="AB14" i="6"/>
  <c r="AC14" i="6"/>
  <c r="AD14" i="6"/>
  <c r="AB46" i="6"/>
  <c r="AC46" i="6"/>
  <c r="AD46" i="6"/>
  <c r="AB54" i="6"/>
  <c r="AC54" i="6"/>
  <c r="AD54" i="6"/>
  <c r="AB53" i="6"/>
  <c r="AC53" i="6"/>
  <c r="AD53" i="6"/>
  <c r="AB47" i="6"/>
  <c r="AC47" i="6"/>
  <c r="AD47" i="6"/>
  <c r="AD36" i="6"/>
  <c r="AC36" i="6"/>
  <c r="AB36" i="6"/>
  <c r="AD3" i="6"/>
  <c r="AC3" i="6"/>
  <c r="AB3" i="6"/>
  <c r="AC45" i="6"/>
  <c r="AD45" i="6"/>
  <c r="AB45" i="6"/>
  <c r="AC62" i="6"/>
  <c r="AD62" i="6"/>
  <c r="AB62" i="6"/>
  <c r="AB70" i="6"/>
  <c r="AC70" i="6"/>
  <c r="AD70" i="6"/>
  <c r="AB49" i="6"/>
  <c r="AC49" i="6"/>
  <c r="AD49" i="6"/>
  <c r="AC39" i="6"/>
  <c r="AB39" i="6"/>
  <c r="AD39" i="6"/>
  <c r="AD55" i="6"/>
  <c r="AB55" i="6"/>
  <c r="AC55" i="6"/>
  <c r="AB63" i="6"/>
  <c r="AC63" i="6"/>
  <c r="AD63" i="6"/>
  <c r="AD38" i="6"/>
  <c r="AB38" i="6"/>
  <c r="AC38" i="6"/>
  <c r="AB26" i="6"/>
  <c r="AC26" i="6"/>
  <c r="AD26" i="6"/>
  <c r="AC19" i="6"/>
  <c r="AD19" i="6"/>
  <c r="AB19" i="6"/>
  <c r="AB15" i="6"/>
  <c r="AC15" i="6"/>
  <c r="AD15" i="6"/>
  <c r="AB7" i="6"/>
  <c r="AC7" i="6"/>
  <c r="AD7" i="6"/>
  <c r="AB22" i="6"/>
  <c r="AC22" i="6"/>
  <c r="AD22" i="6"/>
  <c r="AB4" i="6"/>
  <c r="AD4" i="6"/>
  <c r="AC4" i="6"/>
  <c r="AB5" i="6"/>
  <c r="AC5" i="6"/>
  <c r="AD5" i="6"/>
  <c r="T66" i="6"/>
  <c r="S66" i="6"/>
  <c r="W66" i="6"/>
  <c r="V66" i="6"/>
  <c r="U66" i="6"/>
  <c r="R66" i="6"/>
  <c r="W62" i="6"/>
  <c r="V62" i="6"/>
  <c r="U62" i="6"/>
  <c r="T62" i="6"/>
  <c r="S62" i="6"/>
  <c r="R62" i="6"/>
  <c r="W54" i="6"/>
  <c r="V54" i="6"/>
  <c r="U54" i="6"/>
  <c r="T54" i="6"/>
  <c r="S54" i="6"/>
  <c r="R54" i="6"/>
  <c r="W57" i="6"/>
  <c r="V57" i="6"/>
  <c r="U57" i="6"/>
  <c r="T57" i="6"/>
  <c r="S57" i="6"/>
  <c r="R57" i="6"/>
  <c r="U65" i="6"/>
  <c r="W65" i="6"/>
  <c r="V65" i="6"/>
  <c r="T65" i="6"/>
  <c r="S65" i="6"/>
  <c r="R65" i="6"/>
  <c r="R70" i="6"/>
  <c r="W70" i="6"/>
  <c r="V70" i="6"/>
  <c r="U70" i="6"/>
  <c r="T70" i="6"/>
  <c r="S70" i="6"/>
  <c r="S53" i="6"/>
  <c r="R53" i="6"/>
  <c r="W53" i="6"/>
  <c r="V53" i="6"/>
  <c r="U53" i="6"/>
  <c r="T53" i="6"/>
  <c r="T51" i="6"/>
  <c r="S51" i="6"/>
  <c r="W51" i="6"/>
  <c r="V51" i="6"/>
  <c r="U51" i="6"/>
  <c r="R51" i="6"/>
  <c r="U41" i="6"/>
  <c r="T41" i="6"/>
  <c r="W41" i="6"/>
  <c r="V41" i="6"/>
  <c r="S41" i="6"/>
  <c r="R41" i="6"/>
  <c r="W49" i="6"/>
  <c r="V49" i="6"/>
  <c r="U49" i="6"/>
  <c r="T49" i="6"/>
  <c r="S49" i="6"/>
  <c r="R49" i="6"/>
  <c r="W47" i="6"/>
  <c r="V47" i="6"/>
  <c r="U47" i="6"/>
  <c r="T47" i="6"/>
  <c r="S47" i="6"/>
  <c r="R47" i="6"/>
  <c r="T46" i="6"/>
  <c r="W46" i="6"/>
  <c r="V46" i="6"/>
  <c r="U46" i="6"/>
  <c r="S46" i="6"/>
  <c r="R46" i="6"/>
  <c r="T24" i="6"/>
  <c r="W24" i="6"/>
  <c r="V24" i="6"/>
  <c r="U24" i="6"/>
  <c r="S24" i="6"/>
  <c r="R24" i="6"/>
  <c r="R39" i="6"/>
  <c r="W39" i="6"/>
  <c r="V39" i="6"/>
  <c r="U39" i="6"/>
  <c r="T39" i="6"/>
  <c r="S39" i="6"/>
  <c r="W36" i="6"/>
  <c r="V36" i="6"/>
  <c r="U36" i="6"/>
  <c r="T36" i="6"/>
  <c r="S36" i="6"/>
  <c r="R36" i="6"/>
  <c r="W23" i="6"/>
  <c r="V23" i="6"/>
  <c r="U23" i="6"/>
  <c r="T23" i="6"/>
  <c r="S23" i="6"/>
  <c r="R23" i="6"/>
  <c r="S17" i="6"/>
  <c r="W17" i="6"/>
  <c r="V17" i="6"/>
  <c r="U17" i="6"/>
  <c r="T17" i="6"/>
  <c r="R17" i="6"/>
  <c r="W55" i="6"/>
  <c r="V55" i="6"/>
  <c r="U55" i="6"/>
  <c r="T55" i="6"/>
  <c r="S55" i="6"/>
  <c r="R55" i="6"/>
  <c r="U69" i="6"/>
  <c r="W69" i="6"/>
  <c r="V69" i="6"/>
  <c r="T69" i="6"/>
  <c r="S69" i="6"/>
  <c r="R69" i="6"/>
  <c r="W52" i="6"/>
  <c r="V52" i="6"/>
  <c r="U52" i="6"/>
  <c r="T52" i="6"/>
  <c r="S52" i="6"/>
  <c r="R52" i="6"/>
  <c r="W56" i="6"/>
  <c r="V56" i="6"/>
  <c r="U56" i="6"/>
  <c r="T56" i="6"/>
  <c r="S56" i="6"/>
  <c r="R56" i="6"/>
  <c r="W63" i="6"/>
  <c r="V63" i="6"/>
  <c r="U63" i="6"/>
  <c r="T63" i="6"/>
  <c r="S63" i="6"/>
  <c r="R63" i="6"/>
  <c r="V59" i="6"/>
  <c r="W59" i="6"/>
  <c r="U59" i="6"/>
  <c r="T59" i="6"/>
  <c r="S59" i="6"/>
  <c r="R59" i="6"/>
  <c r="W34" i="6"/>
  <c r="V34" i="6"/>
  <c r="U34" i="6"/>
  <c r="T34" i="6"/>
  <c r="S34" i="6"/>
  <c r="R34" i="6"/>
  <c r="W60" i="6"/>
  <c r="V60" i="6"/>
  <c r="U60" i="6"/>
  <c r="T60" i="6"/>
  <c r="S60" i="6"/>
  <c r="R60" i="6"/>
  <c r="U38" i="6"/>
  <c r="W38" i="6"/>
  <c r="V38" i="6"/>
  <c r="T38" i="6"/>
  <c r="S38" i="6"/>
  <c r="R38" i="6"/>
  <c r="W31" i="6"/>
  <c r="V31" i="6"/>
  <c r="U31" i="6"/>
  <c r="T31" i="6"/>
  <c r="S31" i="6"/>
  <c r="R31" i="6"/>
  <c r="W30" i="6"/>
  <c r="V30" i="6"/>
  <c r="U30" i="6"/>
  <c r="T30" i="6"/>
  <c r="S30" i="6"/>
  <c r="R30" i="6"/>
  <c r="W45" i="6"/>
  <c r="V45" i="6"/>
  <c r="U45" i="6"/>
  <c r="T45" i="6"/>
  <c r="S45" i="6"/>
  <c r="R45" i="6"/>
  <c r="U26" i="6"/>
  <c r="W26" i="6"/>
  <c r="V26" i="6"/>
  <c r="T26" i="6"/>
  <c r="S26" i="6"/>
  <c r="R26" i="6"/>
  <c r="V16" i="6"/>
  <c r="S16" i="6"/>
  <c r="W16" i="6"/>
  <c r="U16" i="6"/>
  <c r="T16" i="6"/>
  <c r="R16" i="6"/>
  <c r="W44" i="6"/>
  <c r="V44" i="6"/>
  <c r="U44" i="6"/>
  <c r="T44" i="6"/>
  <c r="S44" i="6"/>
  <c r="R44" i="6"/>
  <c r="S35" i="6"/>
  <c r="W35" i="6"/>
  <c r="V35" i="6"/>
  <c r="U35" i="6"/>
  <c r="T35" i="6"/>
  <c r="R35" i="6"/>
  <c r="V19" i="6"/>
  <c r="U19" i="6"/>
  <c r="T19" i="6"/>
  <c r="W19" i="6"/>
  <c r="S19" i="6"/>
  <c r="R19" i="6"/>
  <c r="W28" i="6"/>
  <c r="V28" i="6"/>
  <c r="U28" i="6"/>
  <c r="T28" i="6"/>
  <c r="S28" i="6"/>
  <c r="R28" i="6"/>
  <c r="W29" i="6"/>
  <c r="V29" i="6"/>
  <c r="U29" i="6"/>
  <c r="T29" i="6"/>
  <c r="S29" i="6"/>
  <c r="R29" i="6"/>
  <c r="W18" i="6"/>
  <c r="V18" i="6"/>
  <c r="U18" i="6"/>
  <c r="T18" i="6"/>
  <c r="S18" i="6"/>
  <c r="R18" i="6"/>
  <c r="U15" i="6"/>
  <c r="W15" i="6"/>
  <c r="V15" i="6"/>
  <c r="T15" i="6"/>
  <c r="S15" i="6"/>
  <c r="R15" i="6"/>
  <c r="W33" i="6"/>
  <c r="V33" i="6"/>
  <c r="U33" i="6"/>
  <c r="T33" i="6"/>
  <c r="S33" i="6"/>
  <c r="R33" i="6"/>
  <c r="S20" i="6"/>
  <c r="W20" i="6"/>
  <c r="V20" i="6"/>
  <c r="U20" i="6"/>
  <c r="T20" i="6"/>
  <c r="R20" i="6"/>
  <c r="T11" i="6"/>
  <c r="S11" i="6"/>
  <c r="W11" i="6"/>
  <c r="V11" i="6"/>
  <c r="U11" i="6"/>
  <c r="R11" i="6"/>
  <c r="V7" i="6"/>
  <c r="U7" i="6"/>
  <c r="T7" i="6"/>
  <c r="W7" i="6"/>
  <c r="S7" i="6"/>
  <c r="R7" i="6"/>
  <c r="U12" i="6"/>
  <c r="W12" i="6"/>
  <c r="V12" i="6"/>
  <c r="T12" i="6"/>
  <c r="S12" i="6"/>
  <c r="R12" i="6"/>
  <c r="W13" i="6"/>
  <c r="V13" i="6"/>
  <c r="U13" i="6"/>
  <c r="T13" i="6"/>
  <c r="S13" i="6"/>
  <c r="R13" i="6"/>
  <c r="W25" i="6"/>
  <c r="V25" i="6"/>
  <c r="U25" i="6"/>
  <c r="T25" i="6"/>
  <c r="S25" i="6"/>
  <c r="R25" i="6"/>
  <c r="W22" i="6"/>
  <c r="V22" i="6"/>
  <c r="U22" i="6"/>
  <c r="T22" i="6"/>
  <c r="S22" i="6"/>
  <c r="R22" i="6"/>
  <c r="W21" i="6"/>
  <c r="V21" i="6"/>
  <c r="U21" i="6"/>
  <c r="T21" i="6"/>
  <c r="S21" i="6"/>
  <c r="R21" i="6"/>
  <c r="W8" i="6"/>
  <c r="V8" i="6"/>
  <c r="U8" i="6"/>
  <c r="T8" i="6"/>
  <c r="S8" i="6"/>
  <c r="R8" i="6"/>
  <c r="W14" i="6"/>
  <c r="V14" i="6"/>
  <c r="U14" i="6"/>
  <c r="T14" i="6"/>
  <c r="S14" i="6"/>
  <c r="R14" i="6"/>
  <c r="W4" i="6"/>
  <c r="V4" i="6"/>
  <c r="U4" i="6"/>
  <c r="T4" i="6"/>
  <c r="S4" i="6"/>
  <c r="R4" i="6"/>
  <c r="U6" i="6"/>
  <c r="W6" i="6"/>
  <c r="V6" i="6"/>
  <c r="T6" i="6"/>
  <c r="S6" i="6"/>
  <c r="R6" i="6"/>
  <c r="W9" i="6"/>
  <c r="V9" i="6"/>
  <c r="U9" i="6"/>
  <c r="T9" i="6"/>
  <c r="S9" i="6"/>
  <c r="R9" i="6"/>
  <c r="W10" i="6"/>
  <c r="V10" i="6"/>
  <c r="U10" i="6"/>
  <c r="T10" i="6"/>
  <c r="S10" i="6"/>
  <c r="R10" i="6"/>
  <c r="W5" i="6"/>
  <c r="V5" i="6"/>
  <c r="U5" i="6"/>
  <c r="T5" i="6"/>
  <c r="S5" i="6"/>
  <c r="R5" i="6"/>
  <c r="W3" i="6"/>
  <c r="V3" i="6"/>
  <c r="U3" i="6"/>
  <c r="T3" i="6"/>
  <c r="S3" i="6"/>
  <c r="R3" i="6"/>
  <c r="Z37" i="6" l="1"/>
  <c r="X54" i="6"/>
  <c r="X60" i="6"/>
  <c r="X56" i="6"/>
  <c r="Y56" i="6" s="1"/>
  <c r="X65" i="6"/>
  <c r="X22" i="6"/>
  <c r="X26" i="6"/>
  <c r="Z26" i="6" s="1"/>
  <c r="X38" i="6"/>
  <c r="Z38" i="6" s="1"/>
  <c r="X63" i="6"/>
  <c r="X55" i="6"/>
  <c r="X49" i="6"/>
  <c r="X41" i="6"/>
  <c r="Z41" i="6" s="1"/>
  <c r="X53" i="6"/>
  <c r="X62" i="6"/>
  <c r="Y62" i="6" s="1"/>
  <c r="X19" i="6"/>
  <c r="X16" i="6"/>
  <c r="X66" i="6"/>
  <c r="Y66" i="6" s="1"/>
  <c r="X6" i="6"/>
  <c r="X59" i="6"/>
  <c r="Y59" i="6" s="1"/>
  <c r="X69" i="6"/>
  <c r="Y69" i="6" s="1"/>
  <c r="X5" i="6"/>
  <c r="Z5" i="6" s="1"/>
  <c r="X52" i="6"/>
  <c r="Y52" i="6" s="1"/>
  <c r="X57" i="6"/>
  <c r="X70" i="6"/>
  <c r="X51" i="6"/>
  <c r="Z51" i="6" s="1"/>
  <c r="X7" i="6"/>
  <c r="Z7" i="6" s="1"/>
  <c r="X11" i="6"/>
  <c r="Z11" i="6" s="1"/>
  <c r="X33" i="6"/>
  <c r="X9" i="6"/>
  <c r="X10" i="6"/>
  <c r="X18" i="6"/>
  <c r="X36" i="6"/>
  <c r="Z36" i="6" s="1"/>
  <c r="X44" i="6"/>
  <c r="X13" i="6"/>
  <c r="X34" i="6"/>
  <c r="X15" i="6"/>
  <c r="Z15" i="6" s="1"/>
  <c r="X4" i="6"/>
  <c r="X24" i="6"/>
  <c r="Z24" i="6" s="1"/>
  <c r="X47" i="6"/>
  <c r="X31" i="6"/>
  <c r="X20" i="6"/>
  <c r="X21" i="6"/>
  <c r="X35" i="6"/>
  <c r="X8" i="6"/>
  <c r="Z8" i="6" s="1"/>
  <c r="X30" i="6"/>
  <c r="X28" i="6"/>
  <c r="X23" i="6"/>
  <c r="Z23" i="6" s="1"/>
  <c r="X17" i="6"/>
  <c r="X3" i="6"/>
  <c r="X29" i="6"/>
  <c r="X14" i="6"/>
  <c r="X25" i="6"/>
  <c r="X45" i="6"/>
  <c r="Z45" i="6" s="1"/>
  <c r="X12" i="6"/>
  <c r="X39" i="6"/>
  <c r="Z39" i="6" s="1"/>
  <c r="X46" i="6"/>
  <c r="Y55" i="6"/>
  <c r="Y54" i="6"/>
  <c r="U9" i="1"/>
  <c r="R22" i="1"/>
  <c r="T22" i="1"/>
  <c r="R3" i="1"/>
  <c r="S3" i="1"/>
  <c r="T3" i="1"/>
  <c r="V3" i="1"/>
  <c r="W3" i="1"/>
  <c r="R7" i="1"/>
  <c r="S7" i="1"/>
  <c r="T7" i="1"/>
  <c r="U7" i="1"/>
  <c r="V7" i="1"/>
  <c r="R27" i="1"/>
  <c r="T27" i="1"/>
  <c r="U27" i="1"/>
  <c r="V27" i="1"/>
  <c r="W27" i="1"/>
  <c r="R30" i="1"/>
  <c r="T30" i="1"/>
  <c r="U30" i="1"/>
  <c r="V30" i="1"/>
  <c r="W30" i="1"/>
  <c r="R34" i="1"/>
  <c r="S34" i="1"/>
  <c r="T34" i="1"/>
  <c r="V34" i="1"/>
  <c r="R24" i="1"/>
  <c r="S24" i="1"/>
  <c r="T24" i="1"/>
  <c r="U24" i="1"/>
  <c r="V24" i="1"/>
  <c r="R43" i="1"/>
  <c r="T43" i="1"/>
  <c r="U43" i="1"/>
  <c r="V43" i="1"/>
  <c r="W43" i="1"/>
  <c r="R49" i="1"/>
  <c r="T49" i="1"/>
  <c r="V49" i="1"/>
  <c r="W49" i="1"/>
  <c r="R61" i="1"/>
  <c r="S61" i="1"/>
  <c r="T61" i="1"/>
  <c r="V61" i="1"/>
  <c r="W61" i="1"/>
  <c r="R53" i="1"/>
  <c r="S53" i="1"/>
  <c r="T53" i="1"/>
  <c r="U53" i="1"/>
  <c r="V53" i="1"/>
  <c r="R42" i="1"/>
  <c r="T42" i="1"/>
  <c r="V42" i="1"/>
  <c r="W42" i="1"/>
  <c r="R55" i="1"/>
  <c r="T55" i="1"/>
  <c r="V55" i="1"/>
  <c r="W55" i="1"/>
  <c r="R59" i="1"/>
  <c r="S59" i="1"/>
  <c r="T59" i="1"/>
  <c r="V59" i="1"/>
  <c r="U3" i="1"/>
  <c r="U34" i="1"/>
  <c r="U49" i="1"/>
  <c r="U61" i="1"/>
  <c r="U42" i="1"/>
  <c r="U55" i="1"/>
  <c r="W7" i="1"/>
  <c r="S27" i="1"/>
  <c r="S30" i="1"/>
  <c r="W34" i="1"/>
  <c r="W24" i="1"/>
  <c r="S43" i="1"/>
  <c r="S49" i="1"/>
  <c r="W53" i="1"/>
  <c r="S42" i="1"/>
  <c r="S55" i="1"/>
  <c r="W59" i="1"/>
  <c r="U59" i="1"/>
  <c r="Y48" i="6" l="1"/>
  <c r="Y37" i="6"/>
  <c r="Y50" i="6"/>
  <c r="Y40" i="6"/>
  <c r="Y27" i="6"/>
  <c r="Y42" i="6"/>
  <c r="Y43" i="6"/>
  <c r="Y32" i="6"/>
  <c r="X61" i="1"/>
  <c r="X34" i="1"/>
  <c r="X53" i="1"/>
  <c r="X43" i="1"/>
  <c r="Z43" i="1" s="1"/>
  <c r="X7" i="1"/>
  <c r="X55" i="1"/>
  <c r="X49" i="1"/>
  <c r="X27" i="1"/>
  <c r="X42" i="1"/>
  <c r="X24" i="1"/>
  <c r="X3" i="1"/>
  <c r="X59" i="1"/>
  <c r="X30" i="1"/>
  <c r="Y70" i="6"/>
  <c r="Y57" i="6"/>
  <c r="Y63" i="6"/>
  <c r="Y60" i="6"/>
  <c r="Y65" i="6"/>
  <c r="Y53" i="6"/>
  <c r="Y10" i="6"/>
  <c r="Z55" i="6"/>
  <c r="Y31" i="6"/>
  <c r="Y13" i="6"/>
  <c r="Y22" i="6"/>
  <c r="Z22" i="6"/>
  <c r="Y18" i="6"/>
  <c r="Y34" i="6"/>
  <c r="Y28" i="6"/>
  <c r="Y41" i="6"/>
  <c r="Y33" i="6"/>
  <c r="Y7" i="6"/>
  <c r="Y35" i="6"/>
  <c r="Y11" i="6"/>
  <c r="Y51" i="6"/>
  <c r="Y4" i="6"/>
  <c r="Y5" i="6"/>
  <c r="Z59" i="6"/>
  <c r="Y47" i="6"/>
  <c r="Y12" i="6"/>
  <c r="Y24" i="6"/>
  <c r="Y38" i="6"/>
  <c r="Y30" i="6"/>
  <c r="Y49" i="6"/>
  <c r="Y8" i="6"/>
  <c r="Y36" i="6"/>
  <c r="Y21" i="6"/>
  <c r="Y14" i="6"/>
  <c r="Y26" i="6"/>
  <c r="Y45" i="6"/>
  <c r="Y39" i="6"/>
  <c r="Y16" i="6"/>
  <c r="Y3" i="6"/>
  <c r="Y44" i="6"/>
  <c r="Y19" i="6"/>
  <c r="Y25" i="6"/>
  <c r="Y46" i="6"/>
  <c r="Y20" i="6"/>
  <c r="Y6" i="6"/>
  <c r="Y17" i="6"/>
  <c r="Y9" i="6"/>
  <c r="Y15" i="6"/>
  <c r="Y23" i="6"/>
  <c r="Y29" i="6"/>
  <c r="Z65" i="6"/>
  <c r="Z17" i="6"/>
  <c r="Z63" i="6"/>
  <c r="Z46" i="6"/>
  <c r="Z4" i="6"/>
  <c r="Z53" i="6"/>
  <c r="Z52" i="6"/>
  <c r="Z34" i="6"/>
  <c r="Z25" i="6"/>
  <c r="Z66" i="6"/>
  <c r="Z14" i="6"/>
  <c r="Z6" i="6"/>
  <c r="Z54" i="6"/>
  <c r="Z21" i="6"/>
  <c r="Z47" i="6"/>
  <c r="Z69" i="6"/>
  <c r="Z28" i="6"/>
  <c r="Z30" i="6"/>
  <c r="Z9" i="6"/>
  <c r="Z70" i="6"/>
  <c r="Z29" i="6"/>
  <c r="Z3" i="6"/>
  <c r="Z49" i="6"/>
  <c r="Z12" i="6"/>
  <c r="Z31" i="6"/>
  <c r="Z57" i="6"/>
  <c r="Z18" i="6"/>
  <c r="Z44" i="6"/>
  <c r="Z33" i="6"/>
  <c r="Z56" i="6"/>
  <c r="Z60" i="6"/>
  <c r="Z19" i="6"/>
  <c r="Z35" i="6"/>
  <c r="Z62" i="6"/>
  <c r="Z10" i="6"/>
  <c r="Z20" i="6"/>
  <c r="Z13" i="6"/>
  <c r="Z16" i="6"/>
  <c r="AA61" i="6" l="1"/>
  <c r="AA43" i="6"/>
  <c r="AA42" i="6"/>
  <c r="AA64" i="6"/>
  <c r="AA68" i="6"/>
  <c r="AA58" i="6"/>
  <c r="AA32" i="6"/>
  <c r="AA40" i="6"/>
  <c r="AA27" i="6"/>
  <c r="AA67" i="6"/>
  <c r="AA50" i="6"/>
  <c r="AA37" i="6"/>
  <c r="AA48" i="6"/>
  <c r="AA54" i="6"/>
  <c r="AA57" i="6"/>
  <c r="AA66" i="6"/>
  <c r="AA9" i="6"/>
  <c r="AA70" i="6"/>
  <c r="AA63" i="6"/>
  <c r="AA55" i="6"/>
  <c r="E55" i="6" s="1"/>
  <c r="AA65" i="6"/>
  <c r="E65" i="6" s="1"/>
  <c r="AA59" i="6"/>
  <c r="E59" i="6" s="1"/>
  <c r="AA62" i="6"/>
  <c r="AA53" i="6"/>
  <c r="AA69" i="6"/>
  <c r="AA60" i="6"/>
  <c r="E60" i="6" s="1"/>
  <c r="AA52" i="6"/>
  <c r="E52" i="6" s="1"/>
  <c r="AA56" i="6"/>
  <c r="E56" i="6" s="1"/>
  <c r="AA8" i="6"/>
  <c r="AA17" i="6"/>
  <c r="AA4" i="6"/>
  <c r="AA6" i="6"/>
  <c r="AA39" i="6"/>
  <c r="AA30" i="6"/>
  <c r="AA51" i="6"/>
  <c r="AA18" i="6"/>
  <c r="AA10" i="6"/>
  <c r="AA16" i="6"/>
  <c r="AA49" i="6"/>
  <c r="AA34" i="6"/>
  <c r="AA20" i="6"/>
  <c r="AA45" i="6"/>
  <c r="AA38" i="6"/>
  <c r="AA11" i="6"/>
  <c r="AA5" i="6"/>
  <c r="AA46" i="6"/>
  <c r="AA26" i="6"/>
  <c r="AA24" i="6"/>
  <c r="AA35" i="6"/>
  <c r="AA22" i="6"/>
  <c r="AA29" i="6"/>
  <c r="AA25" i="6"/>
  <c r="AA14" i="6"/>
  <c r="AA12" i="6"/>
  <c r="AA7" i="6"/>
  <c r="AA13" i="6"/>
  <c r="AA28" i="6"/>
  <c r="AA23" i="6"/>
  <c r="AA19" i="6"/>
  <c r="E19" i="6" s="1"/>
  <c r="AA21" i="6"/>
  <c r="E21" i="6" s="1"/>
  <c r="AA47" i="6"/>
  <c r="E47" i="6" s="1"/>
  <c r="AA33" i="6"/>
  <c r="E33" i="6" s="1"/>
  <c r="AA31" i="6"/>
  <c r="AA15" i="6"/>
  <c r="AA44" i="6"/>
  <c r="E44" i="6" s="1"/>
  <c r="AA36" i="6"/>
  <c r="E36" i="6" s="1"/>
  <c r="AA41" i="6"/>
  <c r="E41" i="6" s="1"/>
  <c r="Z53" i="1"/>
  <c r="Z3" i="1"/>
  <c r="E17" i="6"/>
  <c r="E70" i="6"/>
  <c r="E57" i="6"/>
  <c r="AA3" i="6"/>
  <c r="E39" i="6"/>
  <c r="Z27" i="1"/>
  <c r="Z42" i="1"/>
  <c r="Z61" i="1"/>
  <c r="Z59" i="1"/>
  <c r="Z55" i="1"/>
  <c r="Z49" i="1"/>
  <c r="Z34" i="1"/>
  <c r="Z7" i="1"/>
  <c r="Z30" i="1"/>
  <c r="Z24" i="1"/>
  <c r="R4" i="1"/>
  <c r="U4" i="1"/>
  <c r="S12" i="1"/>
  <c r="U12" i="1"/>
  <c r="V12" i="1"/>
  <c r="S13" i="1"/>
  <c r="U13" i="1"/>
  <c r="W13" i="1"/>
  <c r="S14" i="1"/>
  <c r="T14" i="1"/>
  <c r="S8" i="1"/>
  <c r="U8" i="1"/>
  <c r="V8" i="1"/>
  <c r="W8" i="1"/>
  <c r="S10" i="1"/>
  <c r="T10" i="1"/>
  <c r="U10" i="1"/>
  <c r="W10" i="1"/>
  <c r="S9" i="1"/>
  <c r="S5" i="1"/>
  <c r="U5" i="1"/>
  <c r="S28" i="1"/>
  <c r="T28" i="1"/>
  <c r="U28" i="1"/>
  <c r="V28" i="1"/>
  <c r="S6" i="1"/>
  <c r="W6" i="1"/>
  <c r="S20" i="1"/>
  <c r="T20" i="1"/>
  <c r="V20" i="1"/>
  <c r="S16" i="1"/>
  <c r="U16" i="1"/>
  <c r="V16" i="1"/>
  <c r="W16" i="1"/>
  <c r="T26" i="1"/>
  <c r="V26" i="1"/>
  <c r="S18" i="1"/>
  <c r="T18" i="1"/>
  <c r="U18" i="1"/>
  <c r="S23" i="1"/>
  <c r="V23" i="1"/>
  <c r="W23" i="1"/>
  <c r="S22" i="1"/>
  <c r="S15" i="1"/>
  <c r="T15" i="1"/>
  <c r="U15" i="1"/>
  <c r="V15" i="1"/>
  <c r="S19" i="1"/>
  <c r="W19" i="1"/>
  <c r="S17" i="1"/>
  <c r="T17" i="1"/>
  <c r="V17" i="1"/>
  <c r="S33" i="1"/>
  <c r="W33" i="1"/>
  <c r="T41" i="1"/>
  <c r="V41" i="1"/>
  <c r="S39" i="1"/>
  <c r="T39" i="1"/>
  <c r="U39" i="1"/>
  <c r="S21" i="1"/>
  <c r="V21" i="1"/>
  <c r="W21" i="1"/>
  <c r="S45" i="1"/>
  <c r="S36" i="1"/>
  <c r="T36" i="1"/>
  <c r="U36" i="1"/>
  <c r="V36" i="1"/>
  <c r="S37" i="1"/>
  <c r="W37" i="1"/>
  <c r="S44" i="1"/>
  <c r="T44" i="1"/>
  <c r="S48" i="1"/>
  <c r="U48" i="1"/>
  <c r="V48" i="1"/>
  <c r="W48" i="1"/>
  <c r="S46" i="1"/>
  <c r="T46" i="1"/>
  <c r="U46" i="1"/>
  <c r="W46" i="1"/>
  <c r="S32" i="1"/>
  <c r="W32" i="1"/>
  <c r="S40" i="1"/>
  <c r="S31" i="1"/>
  <c r="T31" i="1"/>
  <c r="V31" i="1"/>
  <c r="S56" i="1"/>
  <c r="W56" i="1"/>
  <c r="S35" i="1"/>
  <c r="T35" i="1"/>
  <c r="S57" i="1"/>
  <c r="U57" i="1"/>
  <c r="V57" i="1"/>
  <c r="W57" i="1"/>
  <c r="R12" i="1"/>
  <c r="R13" i="1"/>
  <c r="R14" i="1"/>
  <c r="R8" i="1"/>
  <c r="R11" i="1"/>
  <c r="R6" i="1"/>
  <c r="R20" i="1"/>
  <c r="R16" i="1"/>
  <c r="R26" i="1"/>
  <c r="R23" i="1"/>
  <c r="R15" i="1"/>
  <c r="R19" i="1"/>
  <c r="R17" i="1"/>
  <c r="R33" i="1"/>
  <c r="R41" i="1"/>
  <c r="R21" i="1"/>
  <c r="R36" i="1"/>
  <c r="R37" i="1"/>
  <c r="R44" i="1"/>
  <c r="R48" i="1"/>
  <c r="R50" i="1"/>
  <c r="R46" i="1"/>
  <c r="R32" i="1"/>
  <c r="R40" i="1"/>
  <c r="R31" i="1"/>
  <c r="R56" i="1"/>
  <c r="R35" i="1"/>
  <c r="R57" i="1"/>
  <c r="R51" i="1"/>
  <c r="T4" i="1"/>
  <c r="V4" i="1"/>
  <c r="W4" i="1"/>
  <c r="T12" i="1"/>
  <c r="W12" i="1"/>
  <c r="T13" i="1"/>
  <c r="V13" i="1"/>
  <c r="U14" i="1"/>
  <c r="V14" i="1"/>
  <c r="W14" i="1"/>
  <c r="T8" i="1"/>
  <c r="S11" i="1"/>
  <c r="T11" i="1"/>
  <c r="U11" i="1"/>
  <c r="V11" i="1"/>
  <c r="W11" i="1"/>
  <c r="V10" i="1"/>
  <c r="T9" i="1"/>
  <c r="V9" i="1"/>
  <c r="W9" i="1"/>
  <c r="T5" i="1"/>
  <c r="V5" i="1"/>
  <c r="W5" i="1"/>
  <c r="W28" i="1"/>
  <c r="T6" i="1"/>
  <c r="U6" i="1"/>
  <c r="V6" i="1"/>
  <c r="U20" i="1"/>
  <c r="W20" i="1"/>
  <c r="T16" i="1"/>
  <c r="S26" i="1"/>
  <c r="U26" i="1"/>
  <c r="W26" i="1"/>
  <c r="V18" i="1"/>
  <c r="W18" i="1"/>
  <c r="T23" i="1"/>
  <c r="U23" i="1"/>
  <c r="U22" i="1"/>
  <c r="V22" i="1"/>
  <c r="W22" i="1"/>
  <c r="W15" i="1"/>
  <c r="T19" i="1"/>
  <c r="U19" i="1"/>
  <c r="V19" i="1"/>
  <c r="U17" i="1"/>
  <c r="W17" i="1"/>
  <c r="T33" i="1"/>
  <c r="U33" i="1"/>
  <c r="V33" i="1"/>
  <c r="S41" i="1"/>
  <c r="U41" i="1"/>
  <c r="W41" i="1"/>
  <c r="V39" i="1"/>
  <c r="W39" i="1"/>
  <c r="T21" i="1"/>
  <c r="U21" i="1"/>
  <c r="T45" i="1"/>
  <c r="U45" i="1"/>
  <c r="V45" i="1"/>
  <c r="W45" i="1"/>
  <c r="W36" i="1"/>
  <c r="T37" i="1"/>
  <c r="U37" i="1"/>
  <c r="V37" i="1"/>
  <c r="U44" i="1"/>
  <c r="V44" i="1"/>
  <c r="W44" i="1"/>
  <c r="T48" i="1"/>
  <c r="S50" i="1"/>
  <c r="T50" i="1"/>
  <c r="U50" i="1"/>
  <c r="V50" i="1"/>
  <c r="W50" i="1"/>
  <c r="V46" i="1"/>
  <c r="T32" i="1"/>
  <c r="U32" i="1"/>
  <c r="V32" i="1"/>
  <c r="T40" i="1"/>
  <c r="U40" i="1"/>
  <c r="V40" i="1"/>
  <c r="W40" i="1"/>
  <c r="U31" i="1"/>
  <c r="W31" i="1"/>
  <c r="T56" i="1"/>
  <c r="U56" i="1"/>
  <c r="V56" i="1"/>
  <c r="U35" i="1"/>
  <c r="V35" i="1"/>
  <c r="W35" i="1"/>
  <c r="T57" i="1"/>
  <c r="S51" i="1"/>
  <c r="T51" i="1"/>
  <c r="U51" i="1"/>
  <c r="V51" i="1"/>
  <c r="W51" i="1"/>
  <c r="R10" i="1"/>
  <c r="R9" i="1"/>
  <c r="R5" i="1"/>
  <c r="R28" i="1"/>
  <c r="R18" i="1"/>
  <c r="R39" i="1"/>
  <c r="R45" i="1"/>
  <c r="X45" i="1" l="1"/>
  <c r="X14" i="1"/>
  <c r="X35" i="1"/>
  <c r="X15" i="1"/>
  <c r="X44" i="1"/>
  <c r="Z44" i="1" s="1"/>
  <c r="X18" i="1"/>
  <c r="Z18" i="1" s="1"/>
  <c r="X31" i="1"/>
  <c r="X26" i="1"/>
  <c r="Z26" i="1" s="1"/>
  <c r="X5" i="1"/>
  <c r="X56" i="1"/>
  <c r="X23" i="1"/>
  <c r="Z23" i="1" s="1"/>
  <c r="X36" i="1"/>
  <c r="Z36" i="1" s="1"/>
  <c r="X12" i="1"/>
  <c r="Z12" i="1" s="1"/>
  <c r="X40" i="1"/>
  <c r="X21" i="1"/>
  <c r="X16" i="1"/>
  <c r="Z16" i="1" s="1"/>
  <c r="X13" i="1"/>
  <c r="Z13" i="1" s="1"/>
  <c r="X32" i="1"/>
  <c r="X41" i="1"/>
  <c r="Z41" i="1" s="1"/>
  <c r="X20" i="1"/>
  <c r="Z20" i="1" s="1"/>
  <c r="X39" i="1"/>
  <c r="Z39" i="1" s="1"/>
  <c r="X9" i="1"/>
  <c r="Z9" i="1" s="1"/>
  <c r="X46" i="1"/>
  <c r="X33" i="1"/>
  <c r="Z33" i="1" s="1"/>
  <c r="X6" i="1"/>
  <c r="Z6" i="1" s="1"/>
  <c r="X22" i="1"/>
  <c r="X28" i="1"/>
  <c r="Z28" i="1" s="1"/>
  <c r="X10" i="1"/>
  <c r="Z10" i="1" s="1"/>
  <c r="X51" i="1"/>
  <c r="Y51" i="1" s="1"/>
  <c r="X50" i="1"/>
  <c r="Z50" i="1" s="1"/>
  <c r="X17" i="1"/>
  <c r="Z17" i="1" s="1"/>
  <c r="X11" i="1"/>
  <c r="Z11" i="1" s="1"/>
  <c r="X37" i="1"/>
  <c r="Z37" i="1" s="1"/>
  <c r="X57" i="1"/>
  <c r="Y57" i="1" s="1"/>
  <c r="X48" i="1"/>
  <c r="Z48" i="1" s="1"/>
  <c r="X19" i="1"/>
  <c r="Z19" i="1" s="1"/>
  <c r="X8" i="1"/>
  <c r="Z8" i="1" s="1"/>
  <c r="E23" i="6"/>
  <c r="E8" i="6"/>
  <c r="E69" i="6"/>
  <c r="E53" i="6"/>
  <c r="E66" i="6"/>
  <c r="E54" i="6"/>
  <c r="E62" i="6"/>
  <c r="E63" i="6"/>
  <c r="Z45" i="1"/>
  <c r="Z15" i="1"/>
  <c r="E51" i="6"/>
  <c r="E49" i="6"/>
  <c r="E46" i="6"/>
  <c r="E24" i="6"/>
  <c r="E28" i="6"/>
  <c r="E34" i="6"/>
  <c r="E12" i="6"/>
  <c r="E20" i="6"/>
  <c r="E14" i="6"/>
  <c r="E6" i="6"/>
  <c r="E26" i="6"/>
  <c r="E16" i="6"/>
  <c r="E31" i="6"/>
  <c r="E18" i="6"/>
  <c r="E29" i="6"/>
  <c r="E45" i="6"/>
  <c r="E35" i="6"/>
  <c r="E30" i="6"/>
  <c r="E9" i="6"/>
  <c r="E13" i="6"/>
  <c r="E25" i="6"/>
  <c r="E22" i="6"/>
  <c r="E15" i="6"/>
  <c r="E11" i="6"/>
  <c r="E4" i="6"/>
  <c r="E10" i="6"/>
  <c r="E3" i="6"/>
  <c r="E38" i="6"/>
  <c r="E7" i="6"/>
  <c r="E5" i="6"/>
  <c r="Z5" i="1" l="1"/>
  <c r="Z21" i="1"/>
  <c r="Z14" i="1"/>
  <c r="Z51" i="1"/>
  <c r="Z40" i="1"/>
  <c r="Z57" i="1"/>
  <c r="Z46" i="1"/>
  <c r="Z35" i="1"/>
  <c r="Z32" i="1"/>
  <c r="Z56" i="1"/>
  <c r="Z31" i="1"/>
  <c r="Z22" i="1"/>
  <c r="S4" i="1" l="1"/>
  <c r="X4" i="1" s="1"/>
  <c r="Y59" i="1" s="1"/>
  <c r="Y58" i="1" l="1"/>
  <c r="Y53" i="1"/>
  <c r="Y55" i="1"/>
  <c r="Y56" i="1"/>
  <c r="Y61" i="1"/>
  <c r="Y29" i="1"/>
  <c r="Y47" i="1"/>
  <c r="Y25" i="1"/>
  <c r="Y38" i="1"/>
  <c r="Y35" i="1"/>
  <c r="Y42" i="1"/>
  <c r="Y4" i="1"/>
  <c r="Y37" i="1"/>
  <c r="Y26" i="1"/>
  <c r="Y39" i="1"/>
  <c r="Y13" i="1"/>
  <c r="Y12" i="1"/>
  <c r="Y28" i="1"/>
  <c r="Y9" i="1"/>
  <c r="Y34" i="1"/>
  <c r="Y33" i="1"/>
  <c r="Y21" i="1"/>
  <c r="Y8" i="1"/>
  <c r="Y10" i="1"/>
  <c r="Y30" i="1"/>
  <c r="Y49" i="1"/>
  <c r="Y40" i="1"/>
  <c r="Y19" i="1"/>
  <c r="Y44" i="1"/>
  <c r="Y24" i="1"/>
  <c r="Y32" i="1"/>
  <c r="Y50" i="1"/>
  <c r="Y5" i="1"/>
  <c r="Y22" i="1"/>
  <c r="Y16" i="1"/>
  <c r="Y11" i="1"/>
  <c r="Y6" i="1"/>
  <c r="Y46" i="1"/>
  <c r="Y3" i="1"/>
  <c r="Y23" i="1"/>
  <c r="Y18" i="1"/>
  <c r="Y17" i="1"/>
  <c r="Y41" i="1"/>
  <c r="Y27" i="1"/>
  <c r="Y14" i="1"/>
  <c r="Y15" i="1"/>
  <c r="Y20" i="1"/>
  <c r="Y43" i="1"/>
  <c r="Y31" i="1"/>
  <c r="Y48" i="1"/>
  <c r="Y7" i="1"/>
  <c r="Y36" i="1"/>
  <c r="Y45" i="1"/>
  <c r="Z4" i="1"/>
  <c r="AA52" i="1" l="1"/>
  <c r="AA47" i="1"/>
  <c r="AA29" i="1"/>
  <c r="AA25" i="1"/>
  <c r="AA54" i="1"/>
  <c r="AA38" i="1"/>
  <c r="AA58" i="1"/>
  <c r="AA60" i="1"/>
  <c r="AA4" i="1"/>
  <c r="AA33" i="1"/>
  <c r="AA23" i="1"/>
  <c r="AA11" i="1"/>
  <c r="AA59" i="1"/>
  <c r="E59" i="1" s="1"/>
  <c r="AA45" i="1"/>
  <c r="E45" i="1" s="1"/>
  <c r="AA35" i="1"/>
  <c r="E35" i="1" s="1"/>
  <c r="AA3" i="1"/>
  <c r="AA20" i="1"/>
  <c r="AA16" i="1"/>
  <c r="AA28" i="1"/>
  <c r="AA41" i="1"/>
  <c r="E41" i="1" s="1"/>
  <c r="AA27" i="1"/>
  <c r="E27" i="1" s="1"/>
  <c r="AA21" i="1"/>
  <c r="AA55" i="1"/>
  <c r="AA19" i="1"/>
  <c r="AA44" i="1"/>
  <c r="AA31" i="1"/>
  <c r="AA48" i="1"/>
  <c r="E48" i="1" s="1"/>
  <c r="AA50" i="1"/>
  <c r="AA6" i="1"/>
  <c r="AA37" i="1"/>
  <c r="AA42" i="1"/>
  <c r="E42" i="1" s="1"/>
  <c r="AA39" i="1"/>
  <c r="AA15" i="1"/>
  <c r="AA36" i="1"/>
  <c r="AA5" i="1"/>
  <c r="AA17" i="1"/>
  <c r="AA14" i="1"/>
  <c r="AA53" i="1"/>
  <c r="AA12" i="1"/>
  <c r="AA34" i="1"/>
  <c r="AA10" i="1"/>
  <c r="AA32" i="1"/>
  <c r="AA51" i="1"/>
  <c r="E51" i="1" s="1"/>
  <c r="AA49" i="1"/>
  <c r="AA9" i="1"/>
  <c r="AA18" i="1"/>
  <c r="AA22" i="1"/>
  <c r="AA26" i="1"/>
  <c r="AA43" i="1"/>
  <c r="AA61" i="1"/>
  <c r="E61" i="1" s="1"/>
  <c r="AA40" i="1"/>
  <c r="E40" i="1" s="1"/>
  <c r="AA30" i="1"/>
  <c r="E30" i="1" s="1"/>
  <c r="AA57" i="1"/>
  <c r="AA7" i="1"/>
  <c r="AA56" i="1"/>
  <c r="AA13" i="1"/>
  <c r="AA8" i="1"/>
  <c r="AA46" i="1"/>
  <c r="E46" i="1" s="1"/>
  <c r="AA24" i="1"/>
  <c r="E7" i="1" l="1"/>
  <c r="E24" i="1"/>
  <c r="E21" i="1"/>
  <c r="E19" i="1"/>
  <c r="E17" i="1"/>
  <c r="E55" i="1"/>
  <c r="E53" i="1"/>
  <c r="E49" i="1"/>
  <c r="E36" i="1"/>
  <c r="E43" i="1"/>
  <c r="E31" i="1"/>
  <c r="E3" i="1"/>
  <c r="E57" i="1"/>
  <c r="E5" i="1"/>
  <c r="E9" i="1"/>
  <c r="E16" i="1"/>
  <c r="E56" i="1"/>
  <c r="E8" i="1"/>
  <c r="E37" i="1"/>
  <c r="E12" i="1"/>
  <c r="E34" i="1"/>
  <c r="E10" i="1"/>
  <c r="E22" i="1"/>
  <c r="E33" i="1"/>
  <c r="E32" i="1"/>
  <c r="E13" i="1"/>
  <c r="E15" i="1"/>
  <c r="E11" i="1"/>
  <c r="E4" i="1"/>
  <c r="E18" i="1"/>
  <c r="E28" i="1"/>
  <c r="E6" i="1"/>
  <c r="E14" i="1"/>
  <c r="E26" i="1"/>
  <c r="E39" i="1"/>
  <c r="E44" i="1"/>
  <c r="E50" i="1"/>
  <c r="E20" i="1"/>
  <c r="E23" i="1"/>
</calcChain>
</file>

<file path=xl/sharedStrings.xml><?xml version="1.0" encoding="utf-8"?>
<sst xmlns="http://schemas.openxmlformats.org/spreadsheetml/2006/main" count="324" uniqueCount="182">
  <si>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</si>
  <si>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</si>
  <si>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</si>
  <si>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</si>
  <si>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</si>
  <si>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</si>
  <si>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</si>
  <si>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</si>
  <si>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</si>
  <si>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</si>
  <si>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</si>
  <si>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</si>
  <si>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</si>
  <si>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</si>
  <si>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</si>
  <si>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</si>
  <si>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</si>
  <si>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</si>
  <si>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</si>
  <si>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</si>
  <si>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</si>
  <si>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</si>
  <si>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</si>
  <si>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</si>
  <si>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</si>
  <si>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</si>
  <si>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</si>
  <si>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</si>
  <si>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</si>
  <si>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</si>
  <si>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</si>
  <si>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</si>
  <si>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</si>
  <si>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</si>
  <si>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</si>
  <si>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</si>
  <si>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</si>
  <si>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</si>
  <si>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</si>
  <si>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</si>
  <si>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</si>
  <si>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</si>
  <si>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</si>
  <si>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</si>
  <si>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</si>
  <si>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</si>
  <si>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</si>
  <si>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</si>
  <si>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</si>
  <si>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</si>
  <si>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</si>
  <si>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</si>
  <si>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</si>
  <si>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</si>
  <si>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</si>
  <si>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</si>
  <si>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</si>
  <si>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</si>
  <si>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</si>
  <si>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</si>
  <si>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</si>
  <si>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</si>
  <si>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</si>
  <si>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</si>
  <si>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</si>
  <si>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</si>
  <si>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</si>
  <si>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</si>
  <si>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</si>
  <si>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</si>
  <si>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</si>
  <si>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</si>
  <si>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</si>
  <si>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</si>
  <si>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</si>
  <si>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</si>
  <si>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</si>
  <si>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</si>
  <si>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</si>
  <si>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</si>
  <si>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</si>
  <si>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</si>
  <si>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</si>
  <si>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</si>
  <si>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</si>
  <si>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</si>
  <si>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</si>
  <si>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</si>
  <si>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</si>
  <si>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</si>
  <si>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</si>
  <si>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</si>
  <si>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</si>
  <si>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</si>
  <si>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</si>
  <si>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</si>
  <si>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</si>
  <si>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</si>
  <si>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</si>
  <si>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</si>
  <si>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</si>
  <si>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</si>
  <si>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</si>
  <si>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</si>
  <si>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</si>
  <si>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</si>
  <si>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</si>
  <si>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</si>
  <si>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</si>
  <si>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</si>
  <si>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</si>
  <si>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</si>
  <si>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</si>
  <si>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</si>
  <si>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</si>
  <si>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</si>
  <si>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</si>
  <si>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</si>
  <si>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</si>
  <si>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</si>
  <si>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</si>
  <si>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</si>
  <si>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</si>
  <si>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</si>
  <si>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</si>
  <si>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</si>
  <si>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</si>
  <si>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</si>
  <si>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</si>
  <si>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</si>
  <si>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</si>
  <si>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</si>
  <si>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</si>
  <si>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</si>
  <si>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</si>
  <si>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</si>
  <si>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</si>
  <si>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</si>
  <si>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</si>
  <si>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</si>
  <si>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</si>
  <si>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</si>
  <si>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</si>
  <si>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</si>
  <si>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</si>
  <si>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</si>
  <si>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</si>
  <si>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</si>
  <si>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</si>
  <si>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</si>
  <si>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</si>
  <si>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</si>
  <si>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</si>
  <si>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</si>
  <si>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</si>
  <si>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</si>
  <si>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</si>
  <si>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</si>
  <si>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</si>
  <si>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</si>
  <si>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</si>
  <si>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</si>
  <si>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</si>
  <si>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</si>
  <si>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</si>
  <si>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</si>
  <si>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</si>
  <si>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</si>
  <si>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</si>
  <si>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Aliyev Pirmammad</t>
  </si>
  <si>
    <t>Ricardo Santos</t>
  </si>
  <si>
    <t>Morgan Demiro O Demiro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</si>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</sst>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0</xdr:col>
          <xdr:colOff>825500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J102"/>
  <sheetViews>
    <sheetView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15"/>
    <col min="28" max="30" width="10.83203125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113</v>
      </c>
      <c r="D1" s="17" t="s">
        <v>114</v>
      </c>
      <c r="E1" s="22" t="s">
        <v>61</v>
      </c>
      <c r="F1" s="19" t="s">
        <v>7</v>
      </c>
      <c r="G1" s="19"/>
      <c r="H1" s="19"/>
      <c r="I1" s="19"/>
      <c r="J1" s="19"/>
      <c r="K1" s="20"/>
      <c r="L1" s="21" t="s">
        <v>62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63</v>
      </c>
      <c r="Z1" s="23" t="s">
        <v>115</v>
      </c>
      <c r="AA1" s="17" t="s">
        <v>111</v>
      </c>
      <c r="AB1" s="17" t="s">
        <v>152</v>
      </c>
      <c r="AC1" s="17" t="s">
        <v>153</v>
      </c>
      <c r="AD1" s="17" t="s">
        <v>154</v>
      </c>
      <c r="AE1" s="16" t="s">
        <v>112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138</v>
      </c>
      <c r="B3" s="6" t="s">
        <v>20</v>
      </c>
      <c r="E3" s="3">
        <f>IF(AA3="","",RANK(AA3,AA:AA))</f>
        <v>1</v>
      </c>
      <c r="F3" s="6"/>
      <c r="G3" s="6">
        <v>2</v>
      </c>
      <c r="H3" s="6">
        <v>1</v>
      </c>
      <c r="I3" s="6"/>
      <c r="J3" s="6"/>
      <c r="K3" s="6"/>
      <c r="L3" s="1" t="str">
        <f>IF(OR($C3&lt;&gt;"",$D3&lt;&gt;"",F3=""),"",F3-SUMPRODUCT(--($C$3:$C$102="P"),--(F$3:F$102&lt;F3),--(F$3:F$102&lt;&gt;""))-SUMPRODUCT(--($D$3:$D$102="P"),--(F$3:F$102&lt;F3),--(F$3:F$102&lt;&gt;"")))</f>
        <v/>
      </c>
      <c r="M3" s="9">
        <f>IF(OR($C3&lt;&gt;"",$D3&lt;&gt;"",G3=""),"",G3-SUMPRODUCT(--($C$3:$C$102="P"),--(G$3:G$102&lt;G3),--(G$3:G$102&lt;&gt;""))-SUMPRODUCT(--($D$3:$D$102="P"),--(G$3:G$102&lt;G3),--(G$3:G$102&lt;&gt;"")))</f>
        <v>2</v>
      </c>
      <c r="N3" s="9">
        <f>IF(OR($C3&lt;&gt;"",$D3&lt;&gt;"",H3=""),"",H3-SUMPRODUCT(--($C$3:$C$102="P"),--(H$3:H$102&lt;H3),--(H$3:H$102&lt;&gt;""))-SUMPRODUCT(--($D$3:$D$102="P"),--(H$3:H$102&lt;H3),--(H$3:H$102&lt;&gt;"")))</f>
        <v>1</v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1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>55</v>
      </c>
      <c r="T3" s="1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>60</v>
      </c>
      <c r="U3" s="1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>115.09972999</v>
      </c>
      <c r="Y3" s="2" t="str">
        <f>IF(OR(X3="",X3=0),"",IF(SUMPRODUCT(--(B$3:B$102=B3),--(X$3:X$102&gt;X3),--(X$3:X$102&lt;&gt;"")),"","P"))</f>
        <v>P</v>
      </c>
      <c r="Z3" s="2" t="str">
        <f>IF(X3="","",IF(SUMPRODUCT(--(C$3:C$102="P"),--(B$3:B$102=B3)),"P",""))</f>
        <v/>
      </c>
      <c r="AA3" s="15">
        <f>IF(AND(Y3&lt;&gt;"",OR(Z3="",SUMPRODUCT(--(X$3:X$102&gt;X3),--(Z$3:Z$102="P"),--(Y$3:Y$102="P"))&lt;4)),X3,"")</f>
        <v>115.09972999</v>
      </c>
      <c r="AB3" s="9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>3</v>
      </c>
      <c r="AC3" s="9">
        <f>COUNTIF(L3:Q3,"&lt;=8")</f>
        <v>2</v>
      </c>
      <c r="AD3" s="9">
        <f>MIN(L3:Q3)</f>
        <v>1</v>
      </c>
    </row>
    <row r="4" spans="1:36" x14ac:dyDescent="0.2">
      <c r="A4" s="7" t="s">
        <v>73</v>
      </c>
      <c r="B4" s="6" t="s">
        <v>16</v>
      </c>
      <c r="E4" s="3">
        <f>IF(AA4="","",RANK(AA4,AA:AA))</f>
        <v>2</v>
      </c>
      <c r="F4" s="6">
        <v>1</v>
      </c>
      <c r="G4" s="6">
        <v>54</v>
      </c>
      <c r="H4" s="6">
        <v>3</v>
      </c>
      <c r="I4" s="6"/>
      <c r="J4" s="6"/>
      <c r="K4" s="6"/>
      <c r="L4" s="9">
        <f>IF(OR($C4&lt;&gt;"",$D4&lt;&gt;"",F4=""),"",F4-SUMPRODUCT(--($C$3:$C$102="P"),--(F$3:F$102&lt;F4),--(F$3:F$102&lt;&gt;""))-SUMPRODUCT(--($D$3:$D$102="P"),--(F$3:F$102&lt;F4),--(F$3:F$102&lt;&gt;"")))</f>
        <v>1</v>
      </c>
      <c r="M4" s="9">
        <f>IF(OR($C4&lt;&gt;"",$D4&lt;&gt;"",G4=""),"",G4-SUMPRODUCT(--($C$3:$C$102="P"),--(G$3:G$102&lt;G4),--(G$3:G$102&lt;&gt;""))-SUMPRODUCT(--($D$3:$D$102="P"),--(G$3:G$102&lt;G4),--(G$3:G$102&lt;&gt;"")))</f>
        <v>54</v>
      </c>
      <c r="N4" s="9">
        <f>IF(OR($C4&lt;&gt;"",$D4&lt;&gt;"",H4=""),"",H4-SUMPRODUCT(--($C$3:$C$102="P"),--(H$3:H$102&lt;H4),--(H$3:H$102&lt;&gt;""))-SUMPRODUCT(--($D$3:$D$102="P"),--(H$3:H$102&lt;H4),--(H$3:H$102&lt;&gt;"")))</f>
        <v>3</v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1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>60</v>
      </c>
      <c r="S4" s="1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1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>50</v>
      </c>
      <c r="U4" s="1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1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1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5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>110.09422999</v>
      </c>
      <c r="Y4" s="2" t="str">
        <f>IF(OR(X4="",X4=0),"",IF(SUMPRODUCT(--(B$3:B$102=B4),--(X$3:X$102&gt;X4),--(X$3:X$102&lt;&gt;"")),"","P"))</f>
        <v>P</v>
      </c>
      <c r="Z4" s="2" t="str">
        <f>IF(X4="","",IF(SUMPRODUCT(--(C$3:C$102="P"),--(B$3:B$102=B4)),"P",""))</f>
        <v/>
      </c>
      <c r="AA4" s="15">
        <f>IF(AND(Y4&lt;&gt;"",OR(Z4="",SUMPRODUCT(--(X$3:X$102&gt;X4),--(Z$3:Z$102="P"),--(Y$3:Y$102="P"))&lt;4)),X4,"")</f>
        <v>110.09422999</v>
      </c>
      <c r="AB4" s="9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>58</v>
      </c>
      <c r="AC4" s="9">
        <f>COUNTIF(L4:Q4,"&lt;=8")</f>
        <v>2</v>
      </c>
      <c r="AD4" s="9">
        <f>MIN(L4:Q4)</f>
        <v>1</v>
      </c>
    </row>
    <row r="5" spans="1:36" x14ac:dyDescent="0.2">
      <c r="A5" s="7" t="s">
        <v>75</v>
      </c>
      <c r="B5" s="6" t="s">
        <v>16</v>
      </c>
      <c r="E5" s="3" t="str">
        <f>IF(AA5="","",RANK(AA5,AA:AA))</f>
        <v/>
      </c>
      <c r="F5" s="6">
        <v>9</v>
      </c>
      <c r="G5" s="6">
        <v>1</v>
      </c>
      <c r="H5" s="6">
        <v>8</v>
      </c>
      <c r="I5" s="6"/>
      <c r="J5" s="6"/>
      <c r="K5" s="6"/>
      <c r="L5" s="9">
        <f>IF(OR($C5&lt;&gt;"",$D5&lt;&gt;"",F5=""),"",F5-SUMPRODUCT(--($C$3:$C$102="P"),--(F$3:F$102&lt;F5),--(F$3:F$102&lt;&gt;""))-SUMPRODUCT(--($D$3:$D$102="P"),--(F$3:F$102&lt;F5),--(F$3:F$102&lt;&gt;"")))</f>
        <v>9</v>
      </c>
      <c r="M5" s="9">
        <f>IF(OR($C5&lt;&gt;"",$D5&lt;&gt;"",G5=""),"",G5-SUMPRODUCT(--($C$3:$C$102="P"),--(G$3:G$102&lt;G5),--(G$3:G$102&lt;&gt;""))-SUMPRODUCT(--($D$3:$D$102="P"),--(G$3:G$102&lt;G5),--(G$3:G$102&lt;&gt;"")))</f>
        <v>1</v>
      </c>
      <c r="N5" s="9">
        <f>IF(OR($C5&lt;&gt;"",$D5&lt;&gt;"",H5=""),"",H5-SUMPRODUCT(--($C$3:$C$102="P"),--(H$3:H$102&lt;H5),--(H$3:H$102&lt;&gt;""))-SUMPRODUCT(--($D$3:$D$102="P"),--(H$3:H$102&lt;H5),--(H$3:H$102&lt;&gt;"")))</f>
        <v>8</v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1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>22</v>
      </c>
      <c r="S5" s="1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>60</v>
      </c>
      <c r="T5" s="1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>25</v>
      </c>
      <c r="U5" s="1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1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1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5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>107.09822999000001</v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5" t="str">
        <f>IF(AND(Y5&lt;&gt;"",OR(Z5="",SUMPRODUCT(--(X$3:X$102&gt;X5),--(Z$3:Z$102="P"),--(Y$3:Y$102="P"))&lt;4)),X5,"")</f>
        <v/>
      </c>
      <c r="AB5" s="9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>18</v>
      </c>
      <c r="AC5" s="9">
        <f>COUNTIF(L5:Q5,"&lt;=8")</f>
        <v>2</v>
      </c>
      <c r="AD5" s="9">
        <f>MIN(L5:Q5)</f>
        <v>1</v>
      </c>
    </row>
    <row r="6" spans="1:36" x14ac:dyDescent="0.2">
      <c r="A6" s="7" t="s">
        <v>23</v>
      </c>
      <c r="B6" s="6" t="s">
        <v>24</v>
      </c>
      <c r="E6" s="3">
        <f>IF(AA6="","",RANK(AA6,AA:AA))</f>
        <v>3</v>
      </c>
      <c r="F6" s="6">
        <v>11</v>
      </c>
      <c r="G6" s="6">
        <v>5</v>
      </c>
      <c r="H6" s="6">
        <v>4</v>
      </c>
      <c r="I6" s="6"/>
      <c r="J6" s="6"/>
      <c r="K6" s="6"/>
      <c r="L6" s="9">
        <f>IF(OR($C6&lt;&gt;"",$D6&lt;&gt;"",F6=""),"",F6-SUMPRODUCT(--($C$3:$C$102="P"),--(F$3:F$102&lt;F6),--(F$3:F$102&lt;&gt;""))-SUMPRODUCT(--($D$3:$D$102="P"),--(F$3:F$102&lt;F6),--(F$3:F$102&lt;&gt;"")))</f>
        <v>11</v>
      </c>
      <c r="M6" s="9">
        <f>IF(OR($C6&lt;&gt;"",$D6&lt;&gt;"",G6=""),"",G6-SUMPRODUCT(--($C$3:$C$102="P"),--(G$3:G$102&lt;G6),--(G$3:G$102&lt;&gt;""))-SUMPRODUCT(--($D$3:$D$102="P"),--(G$3:G$102&lt;G6),--(G$3:G$102&lt;&gt;"")))</f>
        <v>5</v>
      </c>
      <c r="N6" s="9">
        <f>IF(OR($C6&lt;&gt;"",$D6&lt;&gt;"",H6=""),"",H6-SUMPRODUCT(--($C$3:$C$102="P"),--(H$3:H$102&lt;H6),--(H$3:H$102&lt;&gt;""))-SUMPRODUCT(--($D$3:$D$102="P"),--(H$3:H$102&lt;H6),--(H$3:H$102&lt;&gt;"")))</f>
        <v>4</v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1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>20</v>
      </c>
      <c r="S6" s="1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>38</v>
      </c>
      <c r="T6" s="1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>44</v>
      </c>
      <c r="U6" s="1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1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1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5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>102.09802996000001</v>
      </c>
      <c r="Y6" s="2" t="str">
        <f>IF(OR(X6="",X6=0),"",IF(SUMPRODUCT(--(B$3:B$102=B6),--(X$3:X$102&gt;X6),--(X$3:X$102&lt;&gt;"")),"","P"))</f>
        <v>P</v>
      </c>
      <c r="Z6" s="2" t="str">
        <f>IF(X6="","",IF(SUMPRODUCT(--(C$3:C$102="P"),--(B$3:B$102=B6)),"P",""))</f>
        <v/>
      </c>
      <c r="AA6" s="15">
        <f>IF(AND(Y6&lt;&gt;"",OR(Z6="",SUMPRODUCT(--(X$3:X$102&gt;X6),--(Z$3:Z$102="P"),--(Y$3:Y$102="P"))&lt;4)),X6,"")</f>
        <v>102.09802996000001</v>
      </c>
      <c r="AB6" s="9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>20</v>
      </c>
      <c r="AC6" s="9">
        <f>COUNTIF(L6:Q6,"&lt;=8")</f>
        <v>2</v>
      </c>
      <c r="AD6" s="9">
        <f>MIN(L6:Q6)</f>
        <v>4</v>
      </c>
    </row>
    <row r="7" spans="1:36" x14ac:dyDescent="0.2">
      <c r="A7" s="7" t="s">
        <v>139</v>
      </c>
      <c r="B7" s="6" t="s">
        <v>18</v>
      </c>
      <c r="E7" s="3">
        <f>IF(AA7="","",RANK(AA7,AA:AA))</f>
        <v>4</v>
      </c>
      <c r="F7" s="6">
        <v>59</v>
      </c>
      <c r="G7" s="6">
        <v>4</v>
      </c>
      <c r="H7" s="6">
        <v>2</v>
      </c>
      <c r="I7" s="6"/>
      <c r="J7" s="6"/>
      <c r="K7" s="6"/>
      <c r="L7" s="9">
        <f>IF(OR($C7&lt;&gt;"",$D7&lt;&gt;"",F7=""),"",F7-SUMPRODUCT(--($C$3:$C$102="P"),--(F$3:F$102&lt;F7),--(F$3:F$102&lt;&gt;""))-SUMPRODUCT(--($D$3:$D$102="P"),--(F$3:F$102&lt;F7),--(F$3:F$102&lt;&gt;"")))</f>
        <v>59</v>
      </c>
      <c r="M7" s="9">
        <f>IF(OR($C7&lt;&gt;"",$D7&lt;&gt;"",G7=""),"",G7-SUMPRODUCT(--($C$3:$C$102="P"),--(G$3:G$102&lt;G7),--(G$3:G$102&lt;&gt;""))-SUMPRODUCT(--($D$3:$D$102="P"),--(G$3:G$102&lt;G7),--(G$3:G$102&lt;&gt;"")))</f>
        <v>4</v>
      </c>
      <c r="N7" s="9">
        <f>IF(OR($C7&lt;&gt;"",$D7&lt;&gt;"",H7=""),"",H7-SUMPRODUCT(--($C$3:$C$102="P"),--(H$3:H$102&lt;H7),--(H$3:H$102&lt;&gt;""))-SUMPRODUCT(--($D$3:$D$102="P"),--(H$3:H$102&lt;H7),--(H$3:H$102&lt;&gt;"")))</f>
        <v>2</v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1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>44</v>
      </c>
      <c r="T7" s="1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>55</v>
      </c>
      <c r="U7" s="1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1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1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5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>99.093529980000014</v>
      </c>
      <c r="Y7" s="2" t="str">
        <f>IF(OR(X7="",X7=0),"",IF(SUMPRODUCT(--(B$3:B$102=B7),--(X$3:X$102&gt;X7),--(X$3:X$102&lt;&gt;"")),"","P"))</f>
        <v>P</v>
      </c>
      <c r="Z7" s="2" t="str">
        <f>IF(X7="","",IF(SUMPRODUCT(--(C$3:C$102="P"),--(B$3:B$102=B7)),"P",""))</f>
        <v/>
      </c>
      <c r="AA7" s="15">
        <f>IF(AND(Y7&lt;&gt;"",OR(Z7="",SUMPRODUCT(--(X$3:X$102&gt;X7),--(Z$3:Z$102="P"),--(Y$3:Y$102="P"))&lt;4)),X7,"")</f>
        <v>99.093529980000014</v>
      </c>
      <c r="AB7" s="9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>65</v>
      </c>
      <c r="AC7" s="9">
        <f>COUNTIF(L7:Q7,"&lt;=8")</f>
        <v>2</v>
      </c>
      <c r="AD7" s="9">
        <f>MIN(L7:Q7)</f>
        <v>2</v>
      </c>
    </row>
    <row r="8" spans="1:36" x14ac:dyDescent="0.2">
      <c r="A8" s="7" t="s">
        <v>13</v>
      </c>
      <c r="B8" s="6" t="s">
        <v>18</v>
      </c>
      <c r="E8" s="3" t="str">
        <f>IF(AA8="","",RANK(AA8,AA:AA))</f>
        <v/>
      </c>
      <c r="F8" s="6">
        <v>5</v>
      </c>
      <c r="G8" s="6">
        <v>13</v>
      </c>
      <c r="H8" s="6">
        <v>5</v>
      </c>
      <c r="I8" s="6"/>
      <c r="J8" s="6"/>
      <c r="K8" s="6"/>
      <c r="L8" s="9">
        <f>IF(OR($C8&lt;&gt;"",$D8&lt;&gt;"",F8=""),"",F8-SUMPRODUCT(--($C$3:$C$102="P"),--(F$3:F$102&lt;F8),--(F$3:F$102&lt;&gt;""))-SUMPRODUCT(--($D$3:$D$102="P"),--(F$3:F$102&lt;F8),--(F$3:F$102&lt;&gt;"")))</f>
        <v>5</v>
      </c>
      <c r="M8" s="9">
        <f>IF(OR($C8&lt;&gt;"",$D8&lt;&gt;"",G8=""),"",G8-SUMPRODUCT(--($C$3:$C$102="P"),--(G$3:G$102&lt;G8),--(G$3:G$102&lt;&gt;""))-SUMPRODUCT(--($D$3:$D$102="P"),--(G$3:G$102&lt;G8),--(G$3:G$102&lt;&gt;"")))</f>
        <v>13</v>
      </c>
      <c r="N8" s="9">
        <f>IF(OR($C8&lt;&gt;"",$D8&lt;&gt;"",H8=""),"",H8-SUMPRODUCT(--($C$3:$C$102="P"),--(H$3:H$102&lt;H8),--(H$3:H$102&lt;&gt;""))-SUMPRODUCT(--($D$3:$D$102="P"),--(H$3:H$102&lt;H8),--(H$3:H$102&lt;&gt;"")))</f>
        <v>5</v>
      </c>
      <c r="O8" s="9" t="str">
        <f>IF(OR($C8&lt;&gt;"",$D8&lt;&gt;"",I8=""),"",I8-SUMPRODUCT(--($C$3:$C$102="P"),--(I$3:I$102&lt;I8),--(I$3:I$102&lt;&gt;""))-SUMPRODUCT(--($D$3:$D$102="P"),--(I$3:I$102&lt;I8),--(I$3:I$102&lt;&gt;"")))</f>
        <v/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1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38</v>
      </c>
      <c r="S8" s="1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18</v>
      </c>
      <c r="T8" s="1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38</v>
      </c>
      <c r="U8" s="1" t="str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/>
      </c>
      <c r="V8" s="1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1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5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94.097729950000016</v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5" t="str">
        <f>IF(AND(Y8&lt;&gt;"",OR(Z8="",SUMPRODUCT(--(X$3:X$102&gt;X8),--(Z$3:Z$102="P"),--(Y$3:Y$102="P"))&lt;4)),X8,"")</f>
        <v/>
      </c>
      <c r="AB8" s="9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>23</v>
      </c>
      <c r="AC8" s="9">
        <f>COUNTIF(L8:Q8,"&lt;=8")</f>
        <v>2</v>
      </c>
      <c r="AD8" s="9">
        <f>MIN(L8:Q8)</f>
        <v>5</v>
      </c>
    </row>
    <row r="9" spans="1:36" x14ac:dyDescent="0.2">
      <c r="A9" s="7" t="s">
        <v>21</v>
      </c>
      <c r="B9" s="6" t="s">
        <v>20</v>
      </c>
      <c r="E9" s="3" t="str">
        <f>IF(AA9="","",RANK(AA9,AA:AA))</f>
        <v/>
      </c>
      <c r="F9" s="6">
        <v>8</v>
      </c>
      <c r="G9" s="6">
        <v>8</v>
      </c>
      <c r="H9" s="6">
        <v>6</v>
      </c>
      <c r="I9" s="6"/>
      <c r="J9" s="6"/>
      <c r="K9" s="6"/>
      <c r="L9" s="9">
        <f>IF(OR($C9&lt;&gt;"",$D9&lt;&gt;"",F9=""),"",F9-SUMPRODUCT(--($C$3:$C$102="P"),--(F$3:F$102&lt;F9),--(F$3:F$102&lt;&gt;""))-SUMPRODUCT(--($D$3:$D$102="P"),--(F$3:F$102&lt;F9),--(F$3:F$102&lt;&gt;"")))</f>
        <v>8</v>
      </c>
      <c r="M9" s="9">
        <f>IF(OR($C9&lt;&gt;"",$D9&lt;&gt;"",G9=""),"",G9-SUMPRODUCT(--($C$3:$C$102="P"),--(G$3:G$102&lt;G9),--(G$3:G$102&lt;&gt;""))-SUMPRODUCT(--($D$3:$D$102="P"),--(G$3:G$102&lt;G9),--(G$3:G$102&lt;&gt;"")))</f>
        <v>8</v>
      </c>
      <c r="N9" s="9">
        <f>IF(OR($C9&lt;&gt;"",$D9&lt;&gt;"",H9=""),"",H9-SUMPRODUCT(--($C$3:$C$102="P"),--(H$3:H$102&lt;H9),--(H$3:H$102&lt;&gt;""))-SUMPRODUCT(--($D$3:$D$102="P"),--(H$3:H$102&lt;H9),--(H$3:H$102&lt;&gt;"")))</f>
        <v>6</v>
      </c>
      <c r="O9" s="9" t="str">
        <f>IF(OR($C9&lt;&gt;"",$D9&lt;&gt;"",I9=""),"",I9-SUMPRODUCT(--($C$3:$C$102="P"),--(I$3:I$102&lt;I9),--(I$3:I$102&lt;&gt;""))-SUMPRODUCT(--($D$3:$D$102="P"),--(I$3:I$102&lt;I9),--(I$3:I$102&lt;&gt;"")))</f>
        <v/>
      </c>
      <c r="P9" s="9" t="str">
        <f>IF(OR($C9&lt;&gt;"",$D9&lt;&gt;"",J9=""),"",J9-SUMPRODUCT(--($C$3:$C$102="P"),--(J$3:J$102&lt;J9),--(J$3:J$102&lt;&gt;""))-SUMPRODUCT(--($D$3:$D$102="P"),--(J$3:J$102&lt;J9),--(J$3:J$102&lt;&gt;"")))</f>
        <v/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1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25</v>
      </c>
      <c r="S9" s="1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25</v>
      </c>
      <c r="T9" s="1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32</v>
      </c>
      <c r="U9" s="1" t="str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/>
      </c>
      <c r="V9" s="1" t="str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/>
      </c>
      <c r="W9" s="1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5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82.09783994</v>
      </c>
      <c r="Y9" s="2" t="str">
        <f>IF(OR(X9="",X9=0),"",IF(SUMPRODUCT(--(B$3:B$102=B9),--(X$3:X$102&gt;X9),--(X$3:X$102&lt;&gt;"")),"","P"))</f>
        <v/>
      </c>
      <c r="Z9" s="2" t="str">
        <f>IF(X9="","",IF(SUMPRODUCT(--(C$3:C$102="P"),--(B$3:B$102=B9)),"P",""))</f>
        <v/>
      </c>
      <c r="AA9" s="15" t="str">
        <f>IF(AND(Y9&lt;&gt;"",OR(Z9="",SUMPRODUCT(--(X$3:X$102&gt;X9),--(Z$3:Z$102="P"),--(Y$3:Y$102="P"))&lt;4)),X9,"")</f>
        <v/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22</v>
      </c>
      <c r="AC9" s="9">
        <f>COUNTIF(L9:Q9,"&lt;=8")</f>
        <v>3</v>
      </c>
      <c r="AD9" s="9">
        <f>MIN(L9:Q9)</f>
        <v>6</v>
      </c>
    </row>
    <row r="10" spans="1:36" x14ac:dyDescent="0.2">
      <c r="A10" s="7" t="s">
        <v>74</v>
      </c>
      <c r="B10" s="6" t="s">
        <v>16</v>
      </c>
      <c r="E10" s="3" t="str">
        <f>IF(AA10="","",RANK(AA10,AA:AA))</f>
        <v/>
      </c>
      <c r="F10" s="6">
        <v>7</v>
      </c>
      <c r="G10" s="6">
        <v>3</v>
      </c>
      <c r="H10" s="6"/>
      <c r="I10" s="6"/>
      <c r="J10" s="6"/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7</v>
      </c>
      <c r="M10" s="9">
        <f>IF(OR($C10&lt;&gt;"",$D10&lt;&gt;"",G10=""),"",G10-SUMPRODUCT(--($C$3:$C$102="P"),--(G$3:G$102&lt;G10),--(G$3:G$102&lt;&gt;""))-SUMPRODUCT(--($D$3:$D$102="P"),--(G$3:G$102&lt;G10),--(G$3:G$102&lt;&gt;"")))</f>
        <v>3</v>
      </c>
      <c r="N10" s="9" t="str">
        <f>IF(OR($C10&lt;&gt;"",$D10&lt;&gt;"",H10=""),"",H10-SUMPRODUCT(--($C$3:$C$102="P"),--(H$3:H$102&lt;H10),--(H$3:H$102&lt;&gt;""))-SUMPRODUCT(--($D$3:$D$102="P"),--(H$3:H$102&lt;H10),--(H$3:H$102&lt;&gt;"")))</f>
        <v/>
      </c>
      <c r="O10" s="9" t="str">
        <f>IF(OR($C10&lt;&gt;"",$D10&lt;&gt;"",I10=""),"",I10-SUMPRODUCT(--($C$3:$C$102="P"),--(I$3:I$102&lt;I10),--(I$3:I$102&lt;&gt;""))-SUMPRODUCT(--($D$3:$D$102="P"),--(I$3:I$102&lt;I10),--(I$3:I$102&lt;&gt;"")))</f>
        <v/>
      </c>
      <c r="P10" s="9" t="str">
        <f>IF(OR($C10&lt;&gt;"",$D10&lt;&gt;"",J10=""),"",J10-SUMPRODUCT(--($C$3:$C$102="P"),--(J$3:J$102&lt;J10),--(J$3:J$102&lt;&gt;""))-SUMPRODUCT(--($D$3:$D$102="P"),--(J$3:J$102&lt;J10),--(J$3:J$102&lt;&gt;"")))</f>
        <v/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1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28</v>
      </c>
      <c r="S10" s="1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50</v>
      </c>
      <c r="T10" s="1" t="str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/>
      </c>
      <c r="U10" s="1" t="str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/>
      </c>
      <c r="V10" s="1" t="str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/>
      </c>
      <c r="W10" s="1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5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78.099029970000004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/>
      </c>
      <c r="AA10" s="15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10</v>
      </c>
      <c r="AC10" s="9">
        <f>COUNTIF(L10:Q10,"&lt;=8")</f>
        <v>2</v>
      </c>
      <c r="AD10" s="9">
        <f>MIN(L10:Q10)</f>
        <v>3</v>
      </c>
    </row>
    <row r="11" spans="1:36" x14ac:dyDescent="0.2">
      <c r="A11" s="7" t="s">
        <v>14</v>
      </c>
      <c r="B11" s="6" t="s">
        <v>20</v>
      </c>
      <c r="E11" s="3" t="str">
        <f>IF(AA11="","",RANK(AA11,AA:AA))</f>
        <v/>
      </c>
      <c r="F11" s="6">
        <v>6</v>
      </c>
      <c r="G11" s="6">
        <v>9</v>
      </c>
      <c r="H11" s="6">
        <v>11</v>
      </c>
      <c r="I11" s="6"/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6</v>
      </c>
      <c r="M11" s="9">
        <f>IF(OR($C11&lt;&gt;"",$D11&lt;&gt;"",G11=""),"",G11-SUMPRODUCT(--($C$3:$C$102="P"),--(G$3:G$102&lt;G11),--(G$3:G$102&lt;&gt;""))-SUMPRODUCT(--($D$3:$D$102="P"),--(G$3:G$102&lt;G11),--(G$3:G$102&lt;&gt;"")))</f>
        <v>9</v>
      </c>
      <c r="N11" s="9">
        <f>IF(OR($C11&lt;&gt;"",$D11&lt;&gt;"",H11=""),"",H11-SUMPRODUCT(--($C$3:$C$102="P"),--(H$3:H$102&lt;H11),--(H$3:H$102&lt;&gt;""))-SUMPRODUCT(--($D$3:$D$102="P"),--(H$3:H$102&lt;H11),--(H$3:H$102&lt;&gt;"")))</f>
        <v>11</v>
      </c>
      <c r="O11" s="9" t="str">
        <f>IF(OR($C11&lt;&gt;"",$D11&lt;&gt;"",I11=""),"",I11-SUMPRODUCT(--($C$3:$C$102="P"),--(I$3:I$102&lt;I11),--(I$3:I$102&lt;&gt;""))-SUMPRODUCT(--($D$3:$D$102="P"),--(I$3:I$102&lt;I11),--(I$3:I$102&lt;&gt;"")))</f>
        <v/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1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32</v>
      </c>
      <c r="S11" s="1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22</v>
      </c>
      <c r="T11" s="1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20</v>
      </c>
      <c r="U11" s="1" t="str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/>
      </c>
      <c r="V11" s="1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1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5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74.097419939999995</v>
      </c>
      <c r="Y11" s="2" t="str">
        <f>IF(OR(X11="",X11=0),"",IF(SUMPRODUCT(--(B$3:B$102=B11),--(X$3:X$102&gt;X11),--(X$3:X$102&lt;&gt;"")),"","P"))</f>
        <v/>
      </c>
      <c r="Z11" s="2" t="str">
        <f>IF(X11="","",IF(SUMPRODUCT(--(C$3:C$102="P"),--(B$3:B$102=B11)),"P",""))</f>
        <v/>
      </c>
      <c r="AA11" s="15" t="str">
        <f>IF(AND(Y11&lt;&gt;"",OR(Z11="",SUMPRODUCT(--(X$3:X$102&gt;X11),--(Z$3:Z$102="P"),--(Y$3:Y$102="P"))&lt;4)),X11,"")</f>
        <v/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26</v>
      </c>
      <c r="AC11" s="9">
        <f>COUNTIF(L11:Q11,"&lt;=8")</f>
        <v>1</v>
      </c>
      <c r="AD11" s="9">
        <f>MIN(L11:Q11)</f>
        <v>6</v>
      </c>
    </row>
    <row r="12" spans="1:36" x14ac:dyDescent="0.2">
      <c r="A12" s="7" t="s">
        <v>10</v>
      </c>
      <c r="B12" s="6" t="s">
        <v>17</v>
      </c>
      <c r="E12" s="3">
        <f>IF(AA12="","",RANK(AA12,AA:AA))</f>
        <v>5</v>
      </c>
      <c r="F12" s="6">
        <v>2</v>
      </c>
      <c r="G12" s="6">
        <v>52</v>
      </c>
      <c r="H12" s="6">
        <v>18</v>
      </c>
      <c r="I12" s="6"/>
      <c r="J12" s="6"/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2</v>
      </c>
      <c r="M12" s="9">
        <f>IF(OR($C12&lt;&gt;"",$D12&lt;&gt;"",G12=""),"",G12-SUMPRODUCT(--($C$3:$C$102="P"),--(G$3:G$102&lt;G12),--(G$3:G$102&lt;&gt;""))-SUMPRODUCT(--($D$3:$D$102="P"),--(G$3:G$102&lt;G12),--(G$3:G$102&lt;&gt;"")))</f>
        <v>52</v>
      </c>
      <c r="N12" s="9">
        <f>IF(OR($C12&lt;&gt;"",$D12&lt;&gt;"",H12=""),"",H12-SUMPRODUCT(--($C$3:$C$102="P"),--(H$3:H$102&lt;H12),--(H$3:H$102&lt;&gt;""))-SUMPRODUCT(--($D$3:$D$102="P"),--(H$3:H$102&lt;H12),--(H$3:H$102&lt;&gt;"")))</f>
        <v>18</v>
      </c>
      <c r="O12" s="9" t="str">
        <f>IF(OR($C12&lt;&gt;"",$D12&lt;&gt;"",I12=""),"",I12-SUMPRODUCT(--($C$3:$C$102="P"),--(I$3:I$102&lt;I12),--(I$3:I$102&lt;&gt;""))-SUMPRODUCT(--($D$3:$D$102="P"),--(I$3:I$102&lt;I12),--(I$3:I$102&lt;&gt;"")))</f>
        <v/>
      </c>
      <c r="P12" s="9" t="str">
        <f>IF(OR($C12&lt;&gt;"",$D12&lt;&gt;"",J12=""),"",J12-SUMPRODUCT(--($C$3:$C$102="P"),--(J$3:J$102&lt;J12),--(J$3:J$102&lt;&gt;""))-SUMPRODUCT(--($D$3:$D$102="P"),--(J$3:J$102&lt;J12),--(J$3:J$102&lt;&gt;"")))</f>
        <v/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1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55</v>
      </c>
      <c r="S12" s="1" t="str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/>
      </c>
      <c r="T12" s="1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13</v>
      </c>
      <c r="U12" s="1" t="str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/>
      </c>
      <c r="V12" s="1" t="str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/>
      </c>
      <c r="W12" s="1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5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68.092819980000002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/>
      </c>
      <c r="AA12" s="15">
        <f>IF(AND(Y12&lt;&gt;"",OR(Z12="",SUMPRODUCT(--(X$3:X$102&gt;X12),--(Z$3:Z$102="P"),--(Y$3:Y$102="P"))&lt;4)),X12,"")</f>
        <v>68.092819980000002</v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72</v>
      </c>
      <c r="AC12" s="9">
        <f>COUNTIF(L12:Q12,"&lt;=8")</f>
        <v>1</v>
      </c>
      <c r="AD12" s="9">
        <f>MIN(L12:Q12)</f>
        <v>2</v>
      </c>
    </row>
    <row r="13" spans="1:36" x14ac:dyDescent="0.2">
      <c r="A13" s="7" t="s">
        <v>11</v>
      </c>
      <c r="B13" s="6" t="s">
        <v>18</v>
      </c>
      <c r="E13" s="3" t="str">
        <f>IF(AA13="","",RANK(AA13,AA:AA))</f>
        <v/>
      </c>
      <c r="F13" s="6">
        <v>3</v>
      </c>
      <c r="G13" s="6"/>
      <c r="H13" s="6">
        <v>16</v>
      </c>
      <c r="I13" s="6"/>
      <c r="J13" s="6"/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3</v>
      </c>
      <c r="M13" s="9" t="str">
        <f>IF(OR($C13&lt;&gt;"",$D13&lt;&gt;"",G13=""),"",G13-SUMPRODUCT(--($C$3:$C$102="P"),--(G$3:G$102&lt;G13),--(G$3:G$102&lt;&gt;""))-SUMPRODUCT(--($D$3:$D$102="P"),--(G$3:G$102&lt;G13),--(G$3:G$102&lt;&gt;"")))</f>
        <v/>
      </c>
      <c r="N13" s="9">
        <f>IF(OR($C13&lt;&gt;"",$D13&lt;&gt;"",H13=""),"",H13-SUMPRODUCT(--($C$3:$C$102="P"),--(H$3:H$102&lt;H13),--(H$3:H$102&lt;&gt;""))-SUMPRODUCT(--($D$3:$D$102="P"),--(H$3:H$102&lt;H13),--(H$3:H$102&lt;&gt;"")))</f>
        <v>16</v>
      </c>
      <c r="O13" s="9" t="str">
        <f>IF(OR($C13&lt;&gt;"",$D13&lt;&gt;"",I13=""),"",I13-SUMPRODUCT(--($C$3:$C$102="P"),--(I$3:I$102&lt;I13),--(I$3:I$102&lt;&gt;""))-SUMPRODUCT(--($D$3:$D$102="P"),--(I$3:I$102&lt;I13),--(I$3:I$102&lt;&gt;"")))</f>
        <v/>
      </c>
      <c r="P13" s="9" t="str">
        <f>IF(OR($C13&lt;&gt;"",$D13&lt;&gt;"",J13=""),"",J13-SUMPRODUCT(--($C$3:$C$102="P"),--(J$3:J$102&lt;J13),--(J$3:J$102&lt;&gt;""))-SUMPRODUCT(--($D$3:$D$102="P"),--(J$3:J$102&lt;J13),--(J$3:J$102&lt;&gt;"")))</f>
        <v/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1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50</v>
      </c>
      <c r="S13" s="1" t="str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/>
      </c>
      <c r="T13" s="1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15</v>
      </c>
      <c r="U13" s="1" t="str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/>
      </c>
      <c r="V13" s="1" t="str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/>
      </c>
      <c r="W13" s="1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5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65.098119969999999</v>
      </c>
      <c r="Y13" s="2" t="str">
        <f>IF(OR(X13="",X13=0),"",IF(SUMPRODUCT(--(B$3:B$102=B13),--(X$3:X$102&gt;X13),--(X$3:X$102&lt;&gt;"")),"","P"))</f>
        <v/>
      </c>
      <c r="Z13" s="2" t="str">
        <f>IF(X13="","",IF(SUMPRODUCT(--(C$3:C$102="P"),--(B$3:B$102=B13)),"P",""))</f>
        <v/>
      </c>
      <c r="AA13" s="15" t="str">
        <f>IF(AND(Y13&lt;&gt;"",OR(Z13="",SUMPRODUCT(--(X$3:X$102&gt;X13),--(Z$3:Z$102="P"),--(Y$3:Y$102="P"))&lt;4)),X13,"")</f>
        <v/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19</v>
      </c>
      <c r="AC13" s="9">
        <f>COUNTIF(L13:Q13,"&lt;=8")</f>
        <v>1</v>
      </c>
      <c r="AD13" s="9">
        <f>MIN(L13:Q13)</f>
        <v>3</v>
      </c>
    </row>
    <row r="14" spans="1:36" x14ac:dyDescent="0.2">
      <c r="A14" s="7" t="s">
        <v>12</v>
      </c>
      <c r="B14" s="6" t="s">
        <v>19</v>
      </c>
      <c r="E14" s="3">
        <f>IF(AA14="","",RANK(AA14,AA:AA))</f>
        <v>6</v>
      </c>
      <c r="F14" s="6">
        <v>4</v>
      </c>
      <c r="G14" s="6">
        <v>11</v>
      </c>
      <c r="H14" s="6"/>
      <c r="I14" s="6"/>
      <c r="J14" s="6"/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4</v>
      </c>
      <c r="M14" s="9">
        <f>IF(OR($C14&lt;&gt;"",$D14&lt;&gt;"",G14=""),"",G14-SUMPRODUCT(--($C$3:$C$102="P"),--(G$3:G$102&lt;G14),--(G$3:G$102&lt;&gt;""))-SUMPRODUCT(--($D$3:$D$102="P"),--(G$3:G$102&lt;G14),--(G$3:G$102&lt;&gt;"")))</f>
        <v>11</v>
      </c>
      <c r="N14" s="9" t="str">
        <f>IF(OR($C14&lt;&gt;"",$D14&lt;&gt;"",H14=""),"",H14-SUMPRODUCT(--($C$3:$C$102="P"),--(H$3:H$102&lt;H14),--(H$3:H$102&lt;&gt;""))-SUMPRODUCT(--($D$3:$D$102="P"),--(H$3:H$102&lt;H14),--(H$3:H$102&lt;&gt;"")))</f>
        <v/>
      </c>
      <c r="O14" s="9" t="str">
        <f>IF(OR($C14&lt;&gt;"",$D14&lt;&gt;"",I14=""),"",I14-SUMPRODUCT(--($C$3:$C$102="P"),--(I$3:I$102&lt;I14),--(I$3:I$102&lt;&gt;""))-SUMPRODUCT(--($D$3:$D$102="P"),--(I$3:I$102&lt;I14),--(I$3:I$102&lt;&gt;"")))</f>
        <v/>
      </c>
      <c r="P14" s="9" t="str">
        <f>IF(OR($C14&lt;&gt;"",$D14&lt;&gt;"",J14=""),"",J14-SUMPRODUCT(--($C$3:$C$102="P"),--(J$3:J$102&lt;J14),--(J$3:J$102&lt;&gt;""))-SUMPRODUCT(--($D$3:$D$102="P"),--(J$3:J$102&lt;J14),--(J$3:J$102&lt;&gt;"")))</f>
        <v/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1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44</v>
      </c>
      <c r="S14" s="1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20</v>
      </c>
      <c r="T14" s="1" t="str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/>
      </c>
      <c r="U14" s="1" t="str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/>
      </c>
      <c r="V14" s="1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1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5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64.098519960000004</v>
      </c>
      <c r="Y14" s="2" t="str">
        <f>IF(OR(X14="",X14=0),"",IF(SUMPRODUCT(--(B$3:B$102=B14),--(X$3:X$102&gt;X14),--(X$3:X$102&lt;&gt;"")),"","P"))</f>
        <v>P</v>
      </c>
      <c r="Z14" s="2" t="str">
        <f>IF(X14="","",IF(SUMPRODUCT(--(C$3:C$102="P"),--(B$3:B$102=B14)),"P",""))</f>
        <v/>
      </c>
      <c r="AA14" s="15">
        <f>IF(AND(Y14&lt;&gt;"",OR(Z14="",SUMPRODUCT(--(X$3:X$102&gt;X14),--(Z$3:Z$102="P"),--(Y$3:Y$102="P"))&lt;4)),X14,"")</f>
        <v>64.098519960000004</v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15</v>
      </c>
      <c r="AC14" s="9">
        <f>COUNTIF(L14:Q14,"&lt;=8")</f>
        <v>1</v>
      </c>
      <c r="AD14" s="9">
        <f>MIN(L14:Q14)</f>
        <v>4</v>
      </c>
    </row>
    <row r="15" spans="1:36" x14ac:dyDescent="0.2">
      <c r="A15" s="7" t="s">
        <v>31</v>
      </c>
      <c r="B15" s="6" t="s">
        <v>56</v>
      </c>
      <c r="E15" s="3">
        <f>IF(AA15="","",RANK(AA15,AA:AA))</f>
        <v>7</v>
      </c>
      <c r="F15" s="6">
        <v>18</v>
      </c>
      <c r="G15" s="6">
        <v>12</v>
      </c>
      <c r="H15" s="6">
        <v>7</v>
      </c>
      <c r="I15" s="6"/>
      <c r="J15" s="6"/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18</v>
      </c>
      <c r="M15" s="9">
        <f>IF(OR($C15&lt;&gt;"",$D15&lt;&gt;"",G15=""),"",G15-SUMPRODUCT(--($C$3:$C$102="P"),--(G$3:G$102&lt;G15),--(G$3:G$102&lt;&gt;""))-SUMPRODUCT(--($D$3:$D$102="P"),--(G$3:G$102&lt;G15),--(G$3:G$102&lt;&gt;"")))</f>
        <v>12</v>
      </c>
      <c r="N15" s="9">
        <f>IF(OR($C15&lt;&gt;"",$D15&lt;&gt;"",H15=""),"",H15-SUMPRODUCT(--($C$3:$C$102="P"),--(H$3:H$102&lt;H15),--(H$3:H$102&lt;&gt;""))-SUMPRODUCT(--($D$3:$D$102="P"),--(H$3:H$102&lt;H15),--(H$3:H$102&lt;&gt;"")))</f>
        <v>7</v>
      </c>
      <c r="O15" s="9" t="str">
        <f>IF(OR($C15&lt;&gt;"",$D15&lt;&gt;"",I15=""),"",I15-SUMPRODUCT(--($C$3:$C$102="P"),--(I$3:I$102&lt;I15),--(I$3:I$102&lt;&gt;""))-SUMPRODUCT(--($D$3:$D$102="P"),--(I$3:I$102&lt;I15),--(I$3:I$102&lt;&gt;"")))</f>
        <v/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1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13</v>
      </c>
      <c r="S15" s="1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19</v>
      </c>
      <c r="T15" s="1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28</v>
      </c>
      <c r="U15" s="1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1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1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5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60.09631993</v>
      </c>
      <c r="Y15" s="2" t="str">
        <f>IF(OR(X15="",X15=0),"",IF(SUMPRODUCT(--(B$3:B$102=B15),--(X$3:X$102&gt;X15),--(X$3:X$102&lt;&gt;"")),"","P"))</f>
        <v>P</v>
      </c>
      <c r="Z15" s="2" t="str">
        <f>IF(X15="","",IF(SUMPRODUCT(--(C$3:C$102="P"),--(B$3:B$102=B15)),"P",""))</f>
        <v/>
      </c>
      <c r="AA15" s="15">
        <f>IF(AND(Y15&lt;&gt;"",OR(Z15="",SUMPRODUCT(--(X$3:X$102&gt;X15),--(Z$3:Z$102="P"),--(Y$3:Y$102="P"))&lt;4)),X15,"")</f>
        <v>60.09631993</v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37</v>
      </c>
      <c r="AC15" s="9">
        <f>COUNTIF(L15:Q15,"&lt;=8")</f>
        <v>1</v>
      </c>
      <c r="AD15" s="9">
        <f>MIN(L15:Q15)</f>
        <v>7</v>
      </c>
    </row>
    <row r="16" spans="1:36" x14ac:dyDescent="0.2">
      <c r="A16" s="7" t="s">
        <v>26</v>
      </c>
      <c r="B16" s="6" t="s">
        <v>18</v>
      </c>
      <c r="E16" s="3" t="str">
        <f>IF(AA16="","",RANK(AA16,AA:AA))</f>
        <v/>
      </c>
      <c r="F16" s="6">
        <v>13</v>
      </c>
      <c r="G16" s="6">
        <v>7</v>
      </c>
      <c r="H16" s="6">
        <v>20</v>
      </c>
      <c r="I16" s="6"/>
      <c r="J16" s="6"/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13</v>
      </c>
      <c r="M16" s="9">
        <f>IF(OR($C16&lt;&gt;"",$D16&lt;&gt;"",G16=""),"",G16-SUMPRODUCT(--($C$3:$C$102="P"),--(G$3:G$102&lt;G16),--(G$3:G$102&lt;&gt;""))-SUMPRODUCT(--($D$3:$D$102="P"),--(G$3:G$102&lt;G16),--(G$3:G$102&lt;&gt;"")))</f>
        <v>7</v>
      </c>
      <c r="N16" s="9">
        <f>IF(OR($C16&lt;&gt;"",$D16&lt;&gt;"",H16=""),"",H16-SUMPRODUCT(--($C$3:$C$102="P"),--(H$3:H$102&lt;H16),--(H$3:H$102&lt;&gt;""))-SUMPRODUCT(--($D$3:$D$102="P"),--(H$3:H$102&lt;H16),--(H$3:H$102&lt;&gt;"")))</f>
        <v>20</v>
      </c>
      <c r="O16" s="9" t="str">
        <f>IF(OR($C16&lt;&gt;"",$D16&lt;&gt;"",I16=""),"",I16-SUMPRODUCT(--($C$3:$C$102="P"),--(I$3:I$102&lt;I16),--(I$3:I$102&lt;&gt;""))-SUMPRODUCT(--($D$3:$D$102="P"),--(I$3:I$102&lt;I16),--(I$3:I$102&lt;&gt;"")))</f>
        <v/>
      </c>
      <c r="P16" s="9" t="str">
        <f>IF(OR($C16&lt;&gt;"",$D16&lt;&gt;"",J16=""),"",J16-SUMPRODUCT(--($C$3:$C$102="P"),--(J$3:J$102&lt;J16),--(J$3:J$102&lt;&gt;""))-SUMPRODUCT(--($D$3:$D$102="P"),--(J$3:J$102&lt;J16),--(J$3:J$102&lt;&gt;"")))</f>
        <v/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1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18</v>
      </c>
      <c r="S16" s="1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28</v>
      </c>
      <c r="T16" s="1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11</v>
      </c>
      <c r="U16" s="1" t="str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/>
      </c>
      <c r="V16" s="1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1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5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57.096019929999997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/>
      </c>
      <c r="AA16" s="15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40</v>
      </c>
      <c r="AC16" s="9">
        <f>COUNTIF(L16:Q16,"&lt;=8")</f>
        <v>1</v>
      </c>
      <c r="AD16" s="9">
        <f>MIN(L16:Q16)</f>
        <v>7</v>
      </c>
    </row>
    <row r="17" spans="1:30" x14ac:dyDescent="0.2">
      <c r="A17" s="7" t="s">
        <v>33</v>
      </c>
      <c r="B17" s="6" t="s">
        <v>24</v>
      </c>
      <c r="E17" s="3" t="str">
        <f>IF(AA17="","",RANK(AA17,AA:AA))</f>
        <v/>
      </c>
      <c r="F17" s="6">
        <v>20</v>
      </c>
      <c r="G17" s="6">
        <v>6</v>
      </c>
      <c r="H17" s="6">
        <v>24</v>
      </c>
      <c r="I17" s="6"/>
      <c r="J17" s="6"/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20</v>
      </c>
      <c r="M17" s="9">
        <f>IF(OR($C17&lt;&gt;"",$D17&lt;&gt;"",G17=""),"",G17-SUMPRODUCT(--($C$3:$C$102="P"),--(G$3:G$102&lt;G17),--(G$3:G$102&lt;&gt;""))-SUMPRODUCT(--($D$3:$D$102="P"),--(G$3:G$102&lt;G17),--(G$3:G$102&lt;&gt;"")))</f>
        <v>6</v>
      </c>
      <c r="N17" s="9">
        <f>IF(OR($C17&lt;&gt;"",$D17&lt;&gt;"",H17=""),"",H17-SUMPRODUCT(--($C$3:$C$102="P"),--(H$3:H$102&lt;H17),--(H$3:H$102&lt;&gt;""))-SUMPRODUCT(--($D$3:$D$102="P"),--(H$3:H$102&lt;H17),--(H$3:H$102&lt;&gt;"")))</f>
        <v>24</v>
      </c>
      <c r="O17" s="9" t="str">
        <f>IF(OR($C17&lt;&gt;"",$D17&lt;&gt;"",I17=""),"",I17-SUMPRODUCT(--($C$3:$C$102="P"),--(I$3:I$102&lt;I17),--(I$3:I$102&lt;&gt;""))-SUMPRODUCT(--($D$3:$D$102="P"),--(I$3:I$102&lt;I17),--(I$3:I$102&lt;&gt;"")))</f>
        <v/>
      </c>
      <c r="P17" s="9" t="str">
        <f>IF(OR($C17&lt;&gt;"",$D17&lt;&gt;"",J17=""),"",J17-SUMPRODUCT(--($C$3:$C$102="P"),--(J$3:J$102&lt;J17),--(J$3:J$102&lt;&gt;""))-SUMPRODUCT(--($D$3:$D$102="P"),--(J$3:J$102&lt;J17),--(J$3:J$102&lt;&gt;"")))</f>
        <v/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1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>11</v>
      </c>
      <c r="S17" s="1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32</v>
      </c>
      <c r="T17" s="1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7</v>
      </c>
      <c r="U17" s="1" t="str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/>
      </c>
      <c r="V17" s="1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1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5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50.09501994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/>
      </c>
      <c r="AA17" s="15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50</v>
      </c>
      <c r="AC17" s="9">
        <f>COUNTIF(L17:Q17,"&lt;=8")</f>
        <v>1</v>
      </c>
      <c r="AD17" s="9">
        <f>MIN(L17:Q17)</f>
        <v>6</v>
      </c>
    </row>
    <row r="18" spans="1:30" x14ac:dyDescent="0.2">
      <c r="A18" s="7" t="s">
        <v>28</v>
      </c>
      <c r="B18" s="6" t="s">
        <v>55</v>
      </c>
      <c r="E18" s="3">
        <f>IF(AA18="","",RANK(AA18,AA:AA))</f>
        <v>8</v>
      </c>
      <c r="F18" s="6">
        <v>15</v>
      </c>
      <c r="G18" s="6">
        <v>17</v>
      </c>
      <c r="H18" s="6">
        <v>14</v>
      </c>
      <c r="I18" s="6"/>
      <c r="J18" s="6"/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15</v>
      </c>
      <c r="M18" s="9">
        <f>IF(OR($C18&lt;&gt;"",$D18&lt;&gt;"",G18=""),"",G18-SUMPRODUCT(--($C$3:$C$102="P"),--(G$3:G$102&lt;G18),--(G$3:G$102&lt;&gt;""))-SUMPRODUCT(--($D$3:$D$102="P"),--(G$3:G$102&lt;G18),--(G$3:G$102&lt;&gt;"")))</f>
        <v>17</v>
      </c>
      <c r="N18" s="9">
        <f>IF(OR($C18&lt;&gt;"",$D18&lt;&gt;"",H18=""),"",H18-SUMPRODUCT(--($C$3:$C$102="P"),--(H$3:H$102&lt;H18),--(H$3:H$102&lt;&gt;""))-SUMPRODUCT(--($D$3:$D$102="P"),--(H$3:H$102&lt;H18),--(H$3:H$102&lt;&gt;"")))</f>
        <v>14</v>
      </c>
      <c r="O18" s="9" t="str">
        <f>IF(OR($C18&lt;&gt;"",$D18&lt;&gt;"",I18=""),"",I18-SUMPRODUCT(--($C$3:$C$102="P"),--(I$3:I$102&lt;I18),--(I$3:I$102&lt;&gt;""))-SUMPRODUCT(--($D$3:$D$102="P"),--(I$3:I$102&lt;I18),--(I$3:I$102&lt;&gt;"")))</f>
        <v/>
      </c>
      <c r="P18" s="9" t="str">
        <f>IF(OR($C18&lt;&gt;"",$D18&lt;&gt;"",J18=""),"",J18-SUMPRODUCT(--($C$3:$C$102="P"),--(J$3:J$102&lt;J18),--(J$3:J$102&lt;&gt;""))-SUMPRODUCT(--($D$3:$D$102="P"),--(J$3:J$102&lt;J18),--(J$3:J$102&lt;&gt;"")))</f>
        <v/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1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16</v>
      </c>
      <c r="S18" s="1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14</v>
      </c>
      <c r="T18" s="1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17</v>
      </c>
      <c r="U18" s="1" t="str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/>
      </c>
      <c r="V18" s="1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1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5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47.095409859999997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5">
        <f>IF(AND(Y18&lt;&gt;"",OR(Z18="",SUMPRODUCT(--(X$3:X$102&gt;X18),--(Z$3:Z$102="P"),--(Y$3:Y$102="P"))&lt;4)),X18,"")</f>
        <v>47.095409859999997</v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46</v>
      </c>
      <c r="AC18" s="9">
        <f>COUNTIF(L18:Q18,"&lt;=8")</f>
        <v>0</v>
      </c>
      <c r="AD18" s="9">
        <f>MIN(L18:Q18)</f>
        <v>14</v>
      </c>
    </row>
    <row r="19" spans="1:30" x14ac:dyDescent="0.2">
      <c r="A19" s="7" t="s">
        <v>32</v>
      </c>
      <c r="B19" s="6" t="s">
        <v>24</v>
      </c>
      <c r="E19" s="3" t="str">
        <f>IF(AA19="","",RANK(AA19,AA:AA))</f>
        <v/>
      </c>
      <c r="F19" s="6">
        <v>19</v>
      </c>
      <c r="G19" s="6">
        <v>22</v>
      </c>
      <c r="H19" s="6">
        <v>13</v>
      </c>
      <c r="I19" s="6"/>
      <c r="J19" s="6"/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19</v>
      </c>
      <c r="M19" s="9">
        <f>IF(OR($C19&lt;&gt;"",$D19&lt;&gt;"",G19=""),"",G19-SUMPRODUCT(--($C$3:$C$102="P"),--(G$3:G$102&lt;G19),--(G$3:G$102&lt;&gt;""))-SUMPRODUCT(--($D$3:$D$102="P"),--(G$3:G$102&lt;G19),--(G$3:G$102&lt;&gt;"")))</f>
        <v>22</v>
      </c>
      <c r="N19" s="9">
        <f>IF(OR($C19&lt;&gt;"",$D19&lt;&gt;"",H19=""),"",H19-SUMPRODUCT(--($C$3:$C$102="P"),--(H$3:H$102&lt;H19),--(H$3:H$102&lt;&gt;""))-SUMPRODUCT(--($D$3:$D$102="P"),--(H$3:H$102&lt;H19),--(H$3:H$102&lt;&gt;"")))</f>
        <v>13</v>
      </c>
      <c r="O19" s="9" t="str">
        <f>IF(OR($C19&lt;&gt;"",$D19&lt;&gt;"",I19=""),"",I19-SUMPRODUCT(--($C$3:$C$102="P"),--(I$3:I$102&lt;I19),--(I$3:I$102&lt;&gt;""))-SUMPRODUCT(--($D$3:$D$102="P"),--(I$3:I$102&lt;I19),--(I$3:I$102&lt;&gt;"")))</f>
        <v/>
      </c>
      <c r="P19" s="9" t="str">
        <f>IF(OR($C19&lt;&gt;"",$D19&lt;&gt;"",J19=""),"",J19-SUMPRODUCT(--($C$3:$C$102="P"),--(J$3:J$102&lt;J19),--(J$3:J$102&lt;&gt;""))-SUMPRODUCT(--($D$3:$D$102="P"),--(J$3:J$102&lt;J19),--(J$3:J$102&lt;&gt;"")))</f>
        <v/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1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12</v>
      </c>
      <c r="S19" s="1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9</v>
      </c>
      <c r="T19" s="1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18</v>
      </c>
      <c r="U19" s="1" t="str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/>
      </c>
      <c r="V19" s="1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1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5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39.094609869999999</v>
      </c>
      <c r="Y19" s="2" t="str">
        <f>IF(OR(X19="",X19=0),"",IF(SUMPRODUCT(--(B$3:B$102=B19),--(X$3:X$102&gt;X19),--(X$3:X$102&lt;&gt;"")),"","P"))</f>
        <v/>
      </c>
      <c r="Z19" s="2" t="str">
        <f>IF(X19="","",IF(SUMPRODUCT(--(C$3:C$102="P"),--(B$3:B$102=B19)),"P",""))</f>
        <v/>
      </c>
      <c r="AA19" s="15" t="str">
        <f>IF(AND(Y19&lt;&gt;"",OR(Z19="",SUMPRODUCT(--(X$3:X$102&gt;X19),--(Z$3:Z$102="P"),--(Y$3:Y$102="P"))&lt;4)),X19,"")</f>
        <v/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54</v>
      </c>
      <c r="AC19" s="9">
        <f>COUNTIF(L19:Q19,"&lt;=8")</f>
        <v>0</v>
      </c>
      <c r="AD19" s="9">
        <f>MIN(L19:Q19)</f>
        <v>13</v>
      </c>
    </row>
    <row r="20" spans="1:30" x14ac:dyDescent="0.2">
      <c r="A20" s="7" t="s">
        <v>25</v>
      </c>
      <c r="B20" s="6" t="s">
        <v>53</v>
      </c>
      <c r="E20" s="3">
        <f>IF(AA20="","",RANK(AA20,AA:AA))</f>
        <v>9</v>
      </c>
      <c r="F20" s="6">
        <v>12</v>
      </c>
      <c r="G20" s="6">
        <v>50</v>
      </c>
      <c r="H20" s="6">
        <v>15</v>
      </c>
      <c r="I20" s="6"/>
      <c r="J20" s="6"/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12</v>
      </c>
      <c r="M20" s="9">
        <f>IF(OR($C20&lt;&gt;"",$D20&lt;&gt;"",G20=""),"",G20-SUMPRODUCT(--($C$3:$C$102="P"),--(G$3:G$102&lt;G20),--(G$3:G$102&lt;&gt;""))-SUMPRODUCT(--($D$3:$D$102="P"),--(G$3:G$102&lt;G20),--(G$3:G$102&lt;&gt;"")))</f>
        <v>50</v>
      </c>
      <c r="N20" s="9">
        <f>IF(OR($C20&lt;&gt;"",$D20&lt;&gt;"",H20=""),"",H20-SUMPRODUCT(--($C$3:$C$102="P"),--(H$3:H$102&lt;H20),--(H$3:H$102&lt;&gt;""))-SUMPRODUCT(--($D$3:$D$102="P"),--(H$3:H$102&lt;H20),--(H$3:H$102&lt;&gt;"")))</f>
        <v>15</v>
      </c>
      <c r="O20" s="9" t="str">
        <f>IF(OR($C20&lt;&gt;"",$D20&lt;&gt;"",I20=""),"",I20-SUMPRODUCT(--($C$3:$C$102="P"),--(I$3:I$102&lt;I20),--(I$3:I$102&lt;&gt;""))-SUMPRODUCT(--($D$3:$D$102="P"),--(I$3:I$102&lt;I20),--(I$3:I$102&lt;&gt;"")))</f>
        <v/>
      </c>
      <c r="P20" s="9" t="str">
        <f>IF(OR($C20&lt;&gt;"",$D20&lt;&gt;"",J20=""),"",J20-SUMPRODUCT(--($C$3:$C$102="P"),--(J$3:J$102&lt;J20),--(J$3:J$102&lt;&gt;""))-SUMPRODUCT(--($D$3:$D$102="P"),--(J$3:J$102&lt;J20),--(J$3:J$102&lt;&gt;"")))</f>
        <v/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1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19</v>
      </c>
      <c r="S20" s="1" t="str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/>
      </c>
      <c r="T20" s="1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16</v>
      </c>
      <c r="U20" s="1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1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1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5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35.092309880000002</v>
      </c>
      <c r="Y20" s="2" t="str">
        <f>IF(OR(X20="",X20=0),"",IF(SUMPRODUCT(--(B$3:B$102=B20),--(X$3:X$102&gt;X20),--(X$3:X$102&lt;&gt;"")),"","P"))</f>
        <v>P</v>
      </c>
      <c r="Z20" s="2" t="str">
        <f>IF(X20="","",IF(SUMPRODUCT(--(C$3:C$102="P"),--(B$3:B$102=B20)),"P",""))</f>
        <v/>
      </c>
      <c r="AA20" s="15">
        <f>IF(AND(Y20&lt;&gt;"",OR(Z20="",SUMPRODUCT(--(X$3:X$102&gt;X20),--(Z$3:Z$102="P"),--(Y$3:Y$102="P"))&lt;4)),X20,"")</f>
        <v>35.092309880000002</v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77</v>
      </c>
      <c r="AC20" s="9">
        <f>COUNTIF(L20:Q20,"&lt;=8")</f>
        <v>0</v>
      </c>
      <c r="AD20" s="9">
        <f>MIN(L20:Q20)</f>
        <v>12</v>
      </c>
    </row>
    <row r="21" spans="1:30" x14ac:dyDescent="0.2">
      <c r="A21" s="7" t="s">
        <v>37</v>
      </c>
      <c r="B21" s="6" t="s">
        <v>53</v>
      </c>
      <c r="E21" s="3" t="str">
        <f>IF(AA21="","",RANK(AA21,AA:AA))</f>
        <v/>
      </c>
      <c r="F21" s="6">
        <v>24</v>
      </c>
      <c r="G21" s="6">
        <v>34</v>
      </c>
      <c r="H21" s="6">
        <v>10</v>
      </c>
      <c r="I21" s="6"/>
      <c r="J21" s="6"/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24</v>
      </c>
      <c r="M21" s="9">
        <f>IF(OR($C21&lt;&gt;"",$D21&lt;&gt;"",G21=""),"",G21-SUMPRODUCT(--($C$3:$C$102="P"),--(G$3:G$102&lt;G21),--(G$3:G$102&lt;&gt;""))-SUMPRODUCT(--($D$3:$D$102="P"),--(G$3:G$102&lt;G21),--(G$3:G$102&lt;&gt;"")))</f>
        <v>34</v>
      </c>
      <c r="N21" s="9">
        <f>IF(OR($C21&lt;&gt;"",$D21&lt;&gt;"",H21=""),"",H21-SUMPRODUCT(--($C$3:$C$102="P"),--(H$3:H$102&lt;H21),--(H$3:H$102&lt;&gt;""))-SUMPRODUCT(--($D$3:$D$102="P"),--(H$3:H$102&lt;H21),--(H$3:H$102&lt;&gt;"")))</f>
        <v>10</v>
      </c>
      <c r="O21" s="9" t="str">
        <f>IF(OR($C21&lt;&gt;"",$D21&lt;&gt;"",I21=""),"",I21-SUMPRODUCT(--($C$3:$C$102="P"),--(I$3:I$102&lt;I21),--(I$3:I$102&lt;&gt;""))-SUMPRODUCT(--($D$3:$D$102="P"),--(I$3:I$102&lt;I21),--(I$3:I$102&lt;&gt;"")))</f>
        <v/>
      </c>
      <c r="P21" s="9" t="str">
        <f>IF(OR($C21&lt;&gt;"",$D21&lt;&gt;"",J21=""),"",J21-SUMPRODUCT(--($C$3:$C$102="P"),--(J$3:J$102&lt;J21),--(J$3:J$102&lt;&gt;""))-SUMPRODUCT(--($D$3:$D$102="P"),--(J$3:J$102&lt;J21),--(J$3:J$102&lt;&gt;"")))</f>
        <v/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1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7</v>
      </c>
      <c r="S21" s="1" t="str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/>
      </c>
      <c r="T21" s="1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21</v>
      </c>
      <c r="U21" s="1" t="str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/>
      </c>
      <c r="V21" s="1" t="str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/>
      </c>
      <c r="W21" s="1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5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28.093209899999998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5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68</v>
      </c>
      <c r="AC21" s="9">
        <f>COUNTIF(L21:Q21,"&lt;=8")</f>
        <v>0</v>
      </c>
      <c r="AD21" s="9">
        <f>MIN(L21:Q21)</f>
        <v>10</v>
      </c>
    </row>
    <row r="22" spans="1:30" x14ac:dyDescent="0.2">
      <c r="A22" s="7" t="s">
        <v>30</v>
      </c>
      <c r="B22" s="6" t="s">
        <v>19</v>
      </c>
      <c r="E22" s="3" t="str">
        <f>IF(AA22="","",RANK(AA22,AA:AA))</f>
        <v/>
      </c>
      <c r="F22" s="6">
        <v>17</v>
      </c>
      <c r="G22" s="6">
        <v>18</v>
      </c>
      <c r="H22" s="6"/>
      <c r="I22" s="6"/>
      <c r="J22" s="6"/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17</v>
      </c>
      <c r="M22" s="9">
        <f>IF(OR($C22&lt;&gt;"",$D22&lt;&gt;"",G22=""),"",G22-SUMPRODUCT(--($C$3:$C$102="P"),--(G$3:G$102&lt;G22),--(G$3:G$102&lt;&gt;""))-SUMPRODUCT(--($D$3:$D$102="P"),--(G$3:G$102&lt;G22),--(G$3:G$102&lt;&gt;"")))</f>
        <v>18</v>
      </c>
      <c r="N22" s="9" t="str">
        <f>IF(OR($C22&lt;&gt;"",$D22&lt;&gt;"",H22=""),"",H22-SUMPRODUCT(--($C$3:$C$102="P"),--(H$3:H$102&lt;H22),--(H$3:H$102&lt;&gt;""))-SUMPRODUCT(--($D$3:$D$102="P"),--(H$3:H$102&lt;H22),--(H$3:H$102&lt;&gt;"")))</f>
        <v/>
      </c>
      <c r="O22" s="9" t="str">
        <f>IF(OR($C22&lt;&gt;"",$D22&lt;&gt;"",I22=""),"",I22-SUMPRODUCT(--($C$3:$C$102="P"),--(I$3:I$102&lt;I22),--(I$3:I$102&lt;&gt;""))-SUMPRODUCT(--($D$3:$D$102="P"),--(I$3:I$102&lt;I22),--(I$3:I$102&lt;&gt;"")))</f>
        <v/>
      </c>
      <c r="P22" s="9" t="str">
        <f>IF(OR($C22&lt;&gt;"",$D22&lt;&gt;"",J22=""),"",J22-SUMPRODUCT(--($C$3:$C$102="P"),--(J$3:J$102&lt;J22),--(J$3:J$102&lt;&gt;""))-SUMPRODUCT(--($D$3:$D$102="P"),--(J$3:J$102&lt;J22),--(J$3:J$102&lt;&gt;"")))</f>
        <v/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1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14</v>
      </c>
      <c r="S22" s="1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>13</v>
      </c>
      <c r="T22" s="1" t="str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/>
      </c>
      <c r="U22" s="1" t="str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/>
      </c>
      <c r="V22" s="1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1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5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27.096509829999999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/>
      </c>
      <c r="AA22" s="15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35</v>
      </c>
      <c r="AC22" s="9">
        <f>COUNTIF(L22:Q22,"&lt;=8")</f>
        <v>0</v>
      </c>
      <c r="AD22" s="9">
        <f>MIN(L22:Q22)</f>
        <v>17</v>
      </c>
    </row>
    <row r="23" spans="1:30" x14ac:dyDescent="0.2">
      <c r="A23" s="7" t="s">
        <v>29</v>
      </c>
      <c r="B23" s="6" t="s">
        <v>17</v>
      </c>
      <c r="E23" s="3" t="str">
        <f>IF(AA23="","",RANK(AA23,AA:AA))</f>
        <v/>
      </c>
      <c r="F23" s="6">
        <v>16</v>
      </c>
      <c r="G23" s="6">
        <v>28</v>
      </c>
      <c r="H23" s="6">
        <v>23</v>
      </c>
      <c r="I23" s="6"/>
      <c r="J23" s="6"/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16</v>
      </c>
      <c r="M23" s="9">
        <f>IF(OR($C23&lt;&gt;"",$D23&lt;&gt;"",G23=""),"",G23-SUMPRODUCT(--($C$3:$C$102="P"),--(G$3:G$102&lt;G23),--(G$3:G$102&lt;&gt;""))-SUMPRODUCT(--($D$3:$D$102="P"),--(G$3:G$102&lt;G23),--(G$3:G$102&lt;&gt;"")))</f>
        <v>28</v>
      </c>
      <c r="N23" s="9">
        <f>IF(OR($C23&lt;&gt;"",$D23&lt;&gt;"",H23=""),"",H23-SUMPRODUCT(--($C$3:$C$102="P"),--(H$3:H$102&lt;H23),--(H$3:H$102&lt;&gt;""))-SUMPRODUCT(--($D$3:$D$102="P"),--(H$3:H$102&lt;H23),--(H$3:H$102&lt;&gt;"")))</f>
        <v>23</v>
      </c>
      <c r="O23" s="9" t="str">
        <f>IF(OR($C23&lt;&gt;"",$D23&lt;&gt;"",I23=""),"",I23-SUMPRODUCT(--($C$3:$C$102="P"),--(I$3:I$102&lt;I23),--(I$3:I$102&lt;&gt;""))-SUMPRODUCT(--($D$3:$D$102="P"),--(I$3:I$102&lt;I23),--(I$3:I$102&lt;&gt;"")))</f>
        <v/>
      </c>
      <c r="P23" s="9" t="str">
        <f>IF(OR($C23&lt;&gt;"",$D23&lt;&gt;"",J23=""),"",J23-SUMPRODUCT(--($C$3:$C$102="P"),--(J$3:J$102&lt;J23),--(J$3:J$102&lt;&gt;""))-SUMPRODUCT(--($D$3:$D$102="P"),--(J$3:J$102&lt;J23),--(J$3:J$102&lt;&gt;"")))</f>
        <v/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1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15</v>
      </c>
      <c r="S23" s="1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3</v>
      </c>
      <c r="T23" s="1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>8</v>
      </c>
      <c r="U23" s="1" t="str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/>
      </c>
      <c r="V23" s="1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1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5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26.09330984</v>
      </c>
      <c r="Y23" s="2" t="str">
        <f>IF(OR(X23="",X23=0),"",IF(SUMPRODUCT(--(B$3:B$102=B23),--(X$3:X$102&gt;X23),--(X$3:X$102&lt;&gt;"")),"","P"))</f>
        <v/>
      </c>
      <c r="Z23" s="2" t="str">
        <f>IF(X23="","",IF(SUMPRODUCT(--(C$3:C$102="P"),--(B$3:B$102=B23)),"P",""))</f>
        <v/>
      </c>
      <c r="AA23" s="15" t="str">
        <f>IF(AND(Y23&lt;&gt;"",OR(Z23="",SUMPRODUCT(--(X$3:X$102&gt;X23),--(Z$3:Z$102="P"),--(Y$3:Y$102="P"))&lt;4)),X23,"")</f>
        <v/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67</v>
      </c>
      <c r="AC23" s="9">
        <f>COUNTIF(L23:Q23,"&lt;=8")</f>
        <v>0</v>
      </c>
      <c r="AD23" s="9">
        <f>MIN(L23:Q23)</f>
        <v>16</v>
      </c>
    </row>
    <row r="24" spans="1:30" x14ac:dyDescent="0.2">
      <c r="A24" s="7" t="s">
        <v>143</v>
      </c>
      <c r="B24" s="6" t="s">
        <v>59</v>
      </c>
      <c r="E24" s="3">
        <f>IF(AA24="","",RANK(AA24,AA:AA))</f>
        <v>10</v>
      </c>
      <c r="F24" s="6">
        <v>41</v>
      </c>
      <c r="G24" s="6">
        <v>20</v>
      </c>
      <c r="H24" s="6">
        <v>17</v>
      </c>
      <c r="I24" s="6"/>
      <c r="J24" s="6"/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41</v>
      </c>
      <c r="M24" s="9">
        <f>IF(OR($C24&lt;&gt;"",$D24&lt;&gt;"",G24=""),"",G24-SUMPRODUCT(--($C$3:$C$102="P"),--(G$3:G$102&lt;G24),--(G$3:G$102&lt;&gt;""))-SUMPRODUCT(--($D$3:$D$102="P"),--(G$3:G$102&lt;G24),--(G$3:G$102&lt;&gt;"")))</f>
        <v>20</v>
      </c>
      <c r="N24" s="9">
        <f>IF(OR($C24&lt;&gt;"",$D24&lt;&gt;"",H24=""),"",H24-SUMPRODUCT(--($C$3:$C$102="P"),--(H$3:H$102&lt;H24),--(H$3:H$102&lt;&gt;""))-SUMPRODUCT(--($D$3:$D$102="P"),--(H$3:H$102&lt;H24),--(H$3:H$102&lt;&gt;"")))</f>
        <v>17</v>
      </c>
      <c r="O24" s="9" t="str">
        <f>IF(OR($C24&lt;&gt;"",$D24&lt;&gt;"",I24=""),"",I24-SUMPRODUCT(--($C$3:$C$102="P"),--(I$3:I$102&lt;I24),--(I$3:I$102&lt;&gt;""))-SUMPRODUCT(--($D$3:$D$102="P"),--(I$3:I$102&lt;I24),--(I$3:I$102&lt;&gt;"")))</f>
        <v/>
      </c>
      <c r="P24" s="9" t="str">
        <f>IF(OR($C24&lt;&gt;"",$D24&lt;&gt;"",J24=""),"",J24-SUMPRODUCT(--($C$3:$C$102="P"),--(J$3:J$102&lt;J24),--(J$3:J$102&lt;&gt;""))-SUMPRODUCT(--($D$3:$D$102="P"),--(J$3:J$102&lt;J24),--(J$3:J$102&lt;&gt;"")))</f>
        <v/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S24" s="1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11</v>
      </c>
      <c r="T24" s="1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14</v>
      </c>
      <c r="U24" s="1" t="str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/>
      </c>
      <c r="V24" s="1" t="str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/>
      </c>
      <c r="W24" s="1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5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25.092209829999998</v>
      </c>
      <c r="Y24" s="2" t="str">
        <f>IF(OR(X24="",X24=0),"",IF(SUMPRODUCT(--(B$3:B$102=B24),--(X$3:X$102&gt;X24),--(X$3:X$102&lt;&gt;"")),"","P"))</f>
        <v>P</v>
      </c>
      <c r="Z24" s="2" t="str">
        <f>IF(X24="","",IF(SUMPRODUCT(--(C$3:C$102="P"),--(B$3:B$102=B24)),"P",""))</f>
        <v/>
      </c>
      <c r="AA24" s="15">
        <f>IF(AND(Y24&lt;&gt;"",OR(Z24="",SUMPRODUCT(--(X$3:X$102&gt;X24),--(Z$3:Z$102="P"),--(Y$3:Y$102="P"))&lt;4)),X24,"")</f>
        <v>25.092209829999998</v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78</v>
      </c>
      <c r="AC24" s="9">
        <f>COUNTIF(L24:Q24,"&lt;=8")</f>
        <v>0</v>
      </c>
      <c r="AD24" s="9">
        <f>MIN(L24:Q24)</f>
        <v>17</v>
      </c>
    </row>
    <row r="25" spans="1:30" x14ac:dyDescent="0.2">
      <c r="A25" s="7" t="s">
        <v>155</v>
      </c>
      <c r="B25" s="6" t="s">
        <v>16</v>
      </c>
      <c r="E25" s="3"/>
      <c r="F25" s="6"/>
      <c r="G25" s="6"/>
      <c r="H25" s="6">
        <v>9</v>
      </c>
      <c r="I25" s="6"/>
      <c r="J25" s="6"/>
      <c r="K25" s="6"/>
      <c r="L25" s="9" t="str">
        <f>IF(OR($C25&lt;&gt;"",$D25&lt;&gt;"",F25=""),"",F25-SUMPRODUCT(--($C$3:$C$102="P"),--(F$3:F$102&lt;F25),--(F$3:F$102&lt;&gt;""))-SUMPRODUCT(--($D$3:$D$102="P"),--(F$3:F$102&lt;F25),--(F$3:F$102&lt;&gt;"")))</f>
        <v/>
      </c>
      <c r="M25" s="9" t="str">
        <f>IF(OR($C25&lt;&gt;"",$D25&lt;&gt;"",G25=""),"",G25-SUMPRODUCT(--($C$3:$C$102="P"),--(G$3:G$102&lt;G25),--(G$3:G$102&lt;&gt;""))-SUMPRODUCT(--($D$3:$D$102="P"),--(G$3:G$102&lt;G25),--(G$3:G$102&lt;&gt;"")))</f>
        <v/>
      </c>
      <c r="N25" s="9">
        <f>IF(OR($C25&lt;&gt;"",$D25&lt;&gt;"",H25=""),"",H25-SUMPRODUCT(--($C$3:$C$102="P"),--(H$3:H$102&lt;H25),--(H$3:H$102&lt;&gt;""))-SUMPRODUCT(--($D$3:$D$102="P"),--(H$3:H$102&lt;H25),--(H$3:H$102&lt;&gt;"")))</f>
        <v>9</v>
      </c>
      <c r="O25" s="9" t="str">
        <f>IF(OR($C25&lt;&gt;"",$D25&lt;&gt;"",I25=""),"",I25-SUMPRODUCT(--($C$3:$C$102="P"),--(I$3:I$102&lt;I25),--(I$3:I$102&lt;&gt;""))-SUMPRODUCT(--($D$3:$D$102="P"),--(I$3:I$102&lt;I25),--(I$3:I$102&lt;&gt;"")))</f>
        <v/>
      </c>
      <c r="P25" s="9" t="str">
        <f>IF(OR($C25&lt;&gt;"",$D25&lt;&gt;"",J25=""),"",J25-SUMPRODUCT(--($C$3:$C$102="P"),--(J$3:J$102&lt;J25),--(J$3:J$102&lt;&gt;""))-SUMPRODUCT(--($D$3:$D$102="P"),--(J$3:J$102&lt;J25),--(J$3:J$102&lt;&gt;"")))</f>
        <v/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S25" s="1" t="str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/>
      </c>
      <c r="T25" s="1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22</v>
      </c>
      <c r="U25" s="1" t="str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/>
      </c>
      <c r="V25" s="1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1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5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22.099109909999999</v>
      </c>
      <c r="Y25" s="2" t="str">
        <f>IF(OR(X25="",X25=0),"",IF(SUMPRODUCT(--(B$3:B$102=B25),--(X$3:X$102&gt;X25),--(X$3:X$102&lt;&gt;"")),"","P"))</f>
        <v/>
      </c>
      <c r="Z25" s="2" t="str">
        <f>IF(X25="","",IF(SUMPRODUCT(--(C$3:C$102="P"),--(B$3:B$102=B25)),"P",""))</f>
        <v/>
      </c>
      <c r="AA25" s="15" t="str">
        <f>IF(AND(Y25&lt;&gt;"",OR(Z25="",SUMPRODUCT(--(X$3:X$102&gt;X25),--(Z$3:Z$102="P"),--(Y$3:Y$102="P"))&lt;4)),X25,"")</f>
        <v/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9</v>
      </c>
      <c r="AC25" s="9">
        <f>COUNTIF(L25:Q25,"&lt;=8")</f>
        <v>0</v>
      </c>
      <c r="AD25" s="9">
        <f>MIN(L25:Q25)</f>
        <v>9</v>
      </c>
    </row>
    <row r="26" spans="1:30" x14ac:dyDescent="0.2">
      <c r="A26" s="7" t="s">
        <v>27</v>
      </c>
      <c r="B26" s="6" t="s">
        <v>54</v>
      </c>
      <c r="E26" s="3">
        <f>IF(AA26="","",RANK(AA26,AA:AA))</f>
        <v>11</v>
      </c>
      <c r="F26" s="6">
        <v>14</v>
      </c>
      <c r="G26" s="6">
        <v>31</v>
      </c>
      <c r="H26" s="6">
        <v>26</v>
      </c>
      <c r="I26" s="6"/>
      <c r="J26" s="6"/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14</v>
      </c>
      <c r="M26" s="9">
        <f>IF(OR($C26&lt;&gt;"",$D26&lt;&gt;"",G26=""),"",G26-SUMPRODUCT(--($C$3:$C$102="P"),--(G$3:G$102&lt;G26),--(G$3:G$102&lt;&gt;""))-SUMPRODUCT(--($D$3:$D$102="P"),--(G$3:G$102&lt;G26),--(G$3:G$102&lt;&gt;"")))</f>
        <v>31</v>
      </c>
      <c r="N26" s="9">
        <f>IF(OR($C26&lt;&gt;"",$D26&lt;&gt;"",H26=""),"",H26-SUMPRODUCT(--($C$3:$C$102="P"),--(H$3:H$102&lt;H26),--(H$3:H$102&lt;&gt;""))-SUMPRODUCT(--($D$3:$D$102="P"),--(H$3:H$102&lt;H26),--(H$3:H$102&lt;&gt;"")))</f>
        <v>26</v>
      </c>
      <c r="O26" s="9" t="str">
        <f>IF(OR($C26&lt;&gt;"",$D26&lt;&gt;"",I26=""),"",I26-SUMPRODUCT(--($C$3:$C$102="P"),--(I$3:I$102&lt;I26),--(I$3:I$102&lt;&gt;""))-SUMPRODUCT(--($D$3:$D$102="P"),--(I$3:I$102&lt;I26),--(I$3:I$102&lt;&gt;"")))</f>
        <v/>
      </c>
      <c r="P26" s="9" t="str">
        <f>IF(OR($C26&lt;&gt;"",$D26&lt;&gt;"",J26=""),"",J26-SUMPRODUCT(--($C$3:$C$102="P"),--(J$3:J$102&lt;J26),--(J$3:J$102&lt;&gt;""))-SUMPRODUCT(--($D$3:$D$102="P"),--(J$3:J$102&lt;J26),--(J$3:J$102&lt;&gt;"")))</f>
        <v/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1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17</v>
      </c>
      <c r="S26" s="1" t="str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/>
      </c>
      <c r="T26" s="1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5</v>
      </c>
      <c r="U26" s="1" t="str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/>
      </c>
      <c r="V26" s="1" t="str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/>
      </c>
      <c r="W26" s="1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5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22.092909859999999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5">
        <f>IF(AND(Y26&lt;&gt;"",OR(Z26="",SUMPRODUCT(--(X$3:X$102&gt;X26),--(Z$3:Z$102="P"),--(Y$3:Y$102="P"))&lt;4)),X26,"")</f>
        <v>22.092909859999999</v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71</v>
      </c>
      <c r="AC26" s="9">
        <f>COUNTIF(L26:Q26,"&lt;=8")</f>
        <v>0</v>
      </c>
      <c r="AD26" s="9">
        <f>MIN(L26:Q26)</f>
        <v>14</v>
      </c>
    </row>
    <row r="27" spans="1:30" x14ac:dyDescent="0.2">
      <c r="A27" s="7" t="s">
        <v>140</v>
      </c>
      <c r="B27" s="6" t="s">
        <v>16</v>
      </c>
      <c r="E27" s="3" t="str">
        <f>IF(AA27="","",RANK(AA27,AA:AA))</f>
        <v/>
      </c>
      <c r="F27" s="6">
        <v>55</v>
      </c>
      <c r="G27" s="6">
        <v>10</v>
      </c>
      <c r="H27" s="6"/>
      <c r="I27" s="6"/>
      <c r="J27" s="6"/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55</v>
      </c>
      <c r="M27" s="9">
        <f>IF(OR($C27&lt;&gt;"",$D27&lt;&gt;"",G27=""),"",G27-SUMPRODUCT(--($C$3:$C$102="P"),--(G$3:G$102&lt;G27),--(G$3:G$102&lt;&gt;""))-SUMPRODUCT(--($D$3:$D$102="P"),--(G$3:G$102&lt;G27),--(G$3:G$102&lt;&gt;"")))</f>
        <v>10</v>
      </c>
      <c r="N27" s="9" t="str">
        <f>IF(OR($C27&lt;&gt;"",$D27&lt;&gt;"",H27=""),"",H27-SUMPRODUCT(--($C$3:$C$102="P"),--(H$3:H$102&lt;H27),--(H$3:H$102&lt;&gt;""))-SUMPRODUCT(--($D$3:$D$102="P"),--(H$3:H$102&lt;H27),--(H$3:H$102&lt;&gt;"")))</f>
        <v/>
      </c>
      <c r="O27" s="9" t="str">
        <f>IF(OR($C27&lt;&gt;"",$D27&lt;&gt;"",I27=""),"",I27-SUMPRODUCT(--($C$3:$C$102="P"),--(I$3:I$102&lt;I27),--(I$3:I$102&lt;&gt;""))-SUMPRODUCT(--($D$3:$D$102="P"),--(I$3:I$102&lt;I27),--(I$3:I$102&lt;&gt;"")))</f>
        <v/>
      </c>
      <c r="P27" s="9" t="str">
        <f>IF(OR($C27&lt;&gt;"",$D27&lt;&gt;"",J27=""),"",J27-SUMPRODUCT(--($C$3:$C$102="P"),--(J$3:J$102&lt;J27),--(J$3:J$102&lt;&gt;""))-SUMPRODUCT(--($D$3:$D$102="P"),--(J$3:J$102&lt;J27),--(J$3:J$102&lt;&gt;"")))</f>
        <v/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S27" s="1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21</v>
      </c>
      <c r="T27" s="1" t="str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/>
      </c>
      <c r="U27" s="1" t="str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/>
      </c>
      <c r="V27" s="1" t="str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/>
      </c>
      <c r="W27" s="1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5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21.093509899999997</v>
      </c>
      <c r="Y27" s="2" t="str">
        <f>IF(OR(X27="",X27=0),"",IF(SUMPRODUCT(--(B$3:B$102=B27),--(X$3:X$102&gt;X27),--(X$3:X$102&lt;&gt;"")),"","P"))</f>
        <v/>
      </c>
      <c r="Z27" s="2" t="str">
        <f>IF(X27="","",IF(SUMPRODUCT(--(C$3:C$102="P"),--(B$3:B$102=B27)),"P",""))</f>
        <v/>
      </c>
      <c r="AA27" s="15" t="str">
        <f>IF(AND(Y27&lt;&gt;"",OR(Z27="",SUMPRODUCT(--(X$3:X$102&gt;X27),--(Z$3:Z$102="P"),--(Y$3:Y$102="P"))&lt;4)),X27,"")</f>
        <v/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65</v>
      </c>
      <c r="AC27" s="9">
        <f>COUNTIF(L27:Q27,"&lt;=8")</f>
        <v>0</v>
      </c>
      <c r="AD27" s="9">
        <f>MIN(L27:Q27)</f>
        <v>10</v>
      </c>
    </row>
    <row r="28" spans="1:30" x14ac:dyDescent="0.2">
      <c r="A28" s="7" t="s">
        <v>166</v>
      </c>
      <c r="B28" s="6" t="s">
        <v>22</v>
      </c>
      <c r="E28" s="3">
        <f>IF(AA28="","",RANK(AA28,AA:AA))</f>
        <v>12</v>
      </c>
      <c r="F28" s="6">
        <v>10</v>
      </c>
      <c r="G28" s="6">
        <v>63</v>
      </c>
      <c r="H28" s="6">
        <v>41</v>
      </c>
      <c r="I28" s="6"/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10</v>
      </c>
      <c r="M28" s="9">
        <f>IF(OR($C28&lt;&gt;"",$D28&lt;&gt;"",G28=""),"",G28-SUMPRODUCT(--($C$3:$C$102="P"),--(G$3:G$102&lt;G28),--(G$3:G$102&lt;&gt;""))-SUMPRODUCT(--($D$3:$D$102="P"),--(G$3:G$102&lt;G28),--(G$3:G$102&lt;&gt;"")))</f>
        <v>63</v>
      </c>
      <c r="N28" s="9">
        <f>IF(OR($C28&lt;&gt;"",$D28&lt;&gt;"",H28=""),"",H28-SUMPRODUCT(--($C$3:$C$102="P"),--(H$3:H$102&lt;H28),--(H$3:H$102&lt;&gt;""))-SUMPRODUCT(--($D$3:$D$102="P"),--(H$3:H$102&lt;H28),--(H$3:H$102&lt;&gt;"")))</f>
        <v>41</v>
      </c>
      <c r="O28" s="9" t="str">
        <f>IF(OR($C28&lt;&gt;"",$D28&lt;&gt;"",I28=""),"",I28-SUMPRODUCT(--($C$3:$C$102="P"),--(I$3:I$102&lt;I28),--(I$3:I$102&lt;&gt;""))-SUMPRODUCT(--($D$3:$D$102="P"),--(I$3:I$102&lt;I28),--(I$3:I$102&lt;&gt;"")))</f>
        <v/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1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21</v>
      </c>
      <c r="S28" s="1" t="str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/>
      </c>
      <c r="T28" s="1" t="str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/>
      </c>
      <c r="U28" s="1" t="str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/>
      </c>
      <c r="V28" s="1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1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5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21.088609899999998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5">
        <f>IF(AND(Y28&lt;&gt;"",OR(Z28="",SUMPRODUCT(--(X$3:X$102&gt;X28),--(Z$3:Z$102="P"),--(Y$3:Y$102="P"))&lt;4)),X28,"")</f>
        <v>21.088609899999998</v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114</v>
      </c>
      <c r="AC28" s="9">
        <f>COUNTIF(L28:Q28,"&lt;=8")</f>
        <v>0</v>
      </c>
      <c r="AD28" s="9">
        <f>MIN(L28:Q28)</f>
        <v>10</v>
      </c>
    </row>
    <row r="29" spans="1:30" x14ac:dyDescent="0.2">
      <c r="A29" s="7" t="s">
        <v>156</v>
      </c>
      <c r="B29" s="6" t="s">
        <v>16</v>
      </c>
      <c r="E29" s="3"/>
      <c r="F29" s="6"/>
      <c r="G29" s="6"/>
      <c r="H29" s="6">
        <v>12</v>
      </c>
      <c r="I29" s="6"/>
      <c r="J29" s="6"/>
      <c r="K29" s="6"/>
      <c r="L29" s="9" t="str">
        <f>IF(OR($C29&lt;&gt;"",$D29&lt;&gt;"",F29=""),"",F29-SUMPRODUCT(--($C$3:$C$102="P"),--(F$3:F$102&lt;F29),--(F$3:F$102&lt;&gt;""))-SUMPRODUCT(--($D$3:$D$102="P"),--(F$3:F$102&lt;F29),--(F$3:F$102&lt;&gt;"")))</f>
        <v/>
      </c>
      <c r="M29" s="9" t="str">
        <f>IF(OR($C29&lt;&gt;"",$D29&lt;&gt;"",G29=""),"",G29-SUMPRODUCT(--($C$3:$C$102="P"),--(G$3:G$102&lt;G29),--(G$3:G$102&lt;&gt;""))-SUMPRODUCT(--($D$3:$D$102="P"),--(G$3:G$102&lt;G29),--(G$3:G$102&lt;&gt;"")))</f>
        <v/>
      </c>
      <c r="N29" s="9">
        <f>IF(OR($C29&lt;&gt;"",$D29&lt;&gt;"",H29=""),"",H29-SUMPRODUCT(--($C$3:$C$102="P"),--(H$3:H$102&lt;H29),--(H$3:H$102&lt;&gt;""))-SUMPRODUCT(--($D$3:$D$102="P"),--(H$3:H$102&lt;H29),--(H$3:H$102&lt;&gt;"")))</f>
        <v>12</v>
      </c>
      <c r="O29" s="9" t="str">
        <f>IF(OR($C29&lt;&gt;"",$D29&lt;&gt;"",I29=""),"",I29-SUMPRODUCT(--($C$3:$C$102="P"),--(I$3:I$102&lt;I29),--(I$3:I$102&lt;&gt;""))-SUMPRODUCT(--($D$3:$D$102="P"),--(I$3:I$102&lt;I29),--(I$3:I$102&lt;&gt;"")))</f>
        <v/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S29" s="1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1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19</v>
      </c>
      <c r="U29" s="1" t="str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/>
      </c>
      <c r="V29" s="1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1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5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19.098809880000001</v>
      </c>
      <c r="Y29" s="2" t="str">
        <f>IF(OR(X29="",X29=0),"",IF(SUMPRODUCT(--(B$3:B$102=B29),--(X$3:X$102&gt;X29),--(X$3:X$102&lt;&gt;"")),"","P"))</f>
        <v/>
      </c>
      <c r="Z29" s="2" t="str">
        <f>IF(X29="","",IF(SUMPRODUCT(--(C$3:C$102="P"),--(B$3:B$102=B29)),"P",""))</f>
        <v/>
      </c>
      <c r="AA29" s="15" t="str">
        <f>IF(AND(Y29&lt;&gt;"",OR(Z29="",SUMPRODUCT(--(X$3:X$102&gt;X29),--(Z$3:Z$102="P"),--(Y$3:Y$102="P"))&lt;4)),X29,"")</f>
        <v/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12</v>
      </c>
      <c r="AC29" s="9">
        <f>COUNTIF(L29:Q29,"&lt;=8")</f>
        <v>0</v>
      </c>
      <c r="AD29" s="9">
        <f>MIN(L29:Q29)</f>
        <v>12</v>
      </c>
    </row>
    <row r="30" spans="1:30" x14ac:dyDescent="0.2">
      <c r="A30" s="7" t="s">
        <v>141</v>
      </c>
      <c r="B30" s="6" t="s">
        <v>18</v>
      </c>
      <c r="E30" s="3" t="str">
        <f>IF(AA30="","",RANK(AA30,AA:AA))</f>
        <v/>
      </c>
      <c r="F30" s="6"/>
      <c r="G30" s="6">
        <v>14</v>
      </c>
      <c r="H30" s="6"/>
      <c r="I30" s="6"/>
      <c r="J30" s="6"/>
      <c r="K30" s="6"/>
      <c r="L30" s="9" t="str">
        <f>IF(OR($C30&lt;&gt;"",$D30&lt;&gt;"",F30=""),"",F30-SUMPRODUCT(--($C$3:$C$102="P"),--(F$3:F$102&lt;F30),--(F$3:F$102&lt;&gt;""))-SUMPRODUCT(--($D$3:$D$102="P"),--(F$3:F$102&lt;F30),--(F$3:F$102&lt;&gt;"")))</f>
        <v/>
      </c>
      <c r="M30" s="9">
        <f>IF(OR($C30&lt;&gt;"",$D30&lt;&gt;"",G30=""),"",G30-SUMPRODUCT(--($C$3:$C$102="P"),--(G$3:G$102&lt;G30),--(G$3:G$102&lt;&gt;""))-SUMPRODUCT(--($D$3:$D$102="P"),--(G$3:G$102&lt;G30),--(G$3:G$102&lt;&gt;"")))</f>
        <v>14</v>
      </c>
      <c r="N30" s="9" t="str">
        <f>IF(OR($C30&lt;&gt;"",$D30&lt;&gt;"",H30=""),"",H30-SUMPRODUCT(--($C$3:$C$102="P"),--(H$3:H$102&lt;H30),--(H$3:H$102&lt;&gt;""))-SUMPRODUCT(--($D$3:$D$102="P"),--(H$3:H$102&lt;H30),--(H$3:H$102&lt;&gt;"")))</f>
        <v/>
      </c>
      <c r="O30" s="9" t="str">
        <f>IF(OR($C30&lt;&gt;"",$D30&lt;&gt;"",I30=""),"",I30-SUMPRODUCT(--($C$3:$C$102="P"),--(I$3:I$102&lt;I30),--(I$3:I$102&lt;&gt;""))-SUMPRODUCT(--($D$3:$D$102="P"),--(I$3:I$102&lt;I30),--(I$3:I$102&lt;&gt;"")))</f>
        <v/>
      </c>
      <c r="P30" s="9" t="str">
        <f>IF(OR($C30&lt;&gt;"",$D30&lt;&gt;"",J30=""),"",J30-SUMPRODUCT(--($C$3:$C$102="P"),--(J$3:J$102&lt;J30),--(J$3:J$102&lt;&gt;""))-SUMPRODUCT(--($D$3:$D$102="P"),--(J$3:J$102&lt;J30),--(J$3:J$102&lt;&gt;"")))</f>
        <v/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S30" s="1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17</v>
      </c>
      <c r="T30" s="1" t="str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/>
      </c>
      <c r="U30" s="1" t="str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/>
      </c>
      <c r="V30" s="1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1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5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17.09860986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/>
      </c>
      <c r="AA30" s="15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14</v>
      </c>
      <c r="AC30" s="9">
        <f>COUNTIF(L30:Q30,"&lt;=8")</f>
        <v>0</v>
      </c>
      <c r="AD30" s="9">
        <f>MIN(L30:Q30)</f>
        <v>14</v>
      </c>
    </row>
    <row r="31" spans="1:30" x14ac:dyDescent="0.2">
      <c r="A31" s="7" t="s">
        <v>46</v>
      </c>
      <c r="B31" s="6" t="s">
        <v>59</v>
      </c>
      <c r="E31" s="3" t="str">
        <f>IF(AA31="","",RANK(AA31,AA:AA))</f>
        <v/>
      </c>
      <c r="F31" s="6">
        <v>34</v>
      </c>
      <c r="G31" s="6">
        <v>15</v>
      </c>
      <c r="H31" s="6"/>
      <c r="I31" s="6"/>
      <c r="J31" s="6"/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34</v>
      </c>
      <c r="M31" s="9">
        <f>IF(OR($C31&lt;&gt;"",$D31&lt;&gt;"",G31=""),"",G31-SUMPRODUCT(--($C$3:$C$102="P"),--(G$3:G$102&lt;G31),--(G$3:G$102&lt;&gt;""))-SUMPRODUCT(--($D$3:$D$102="P"),--(G$3:G$102&lt;G31),--(G$3:G$102&lt;&gt;"")))</f>
        <v>15</v>
      </c>
      <c r="N31" s="9" t="str">
        <f>IF(OR($C31&lt;&gt;"",$D31&lt;&gt;"",H31=""),"",H31-SUMPRODUCT(--($C$3:$C$102="P"),--(H$3:H$102&lt;H31),--(H$3:H$102&lt;&gt;""))-SUMPRODUCT(--($D$3:$D$102="P"),--(H$3:H$102&lt;H31),--(H$3:H$102&lt;&gt;"")))</f>
        <v/>
      </c>
      <c r="O31" s="9" t="str">
        <f>IF(OR($C31&lt;&gt;"",$D31&lt;&gt;"",I31=""),"",I31-SUMPRODUCT(--($C$3:$C$102="P"),--(I$3:I$102&lt;I31),--(I$3:I$102&lt;&gt;""))-SUMPRODUCT(--($D$3:$D$102="P"),--(I$3:I$102&lt;I31),--(I$3:I$102&lt;&gt;"")))</f>
        <v/>
      </c>
      <c r="P31" s="9" t="str">
        <f>IF(OR($C31&lt;&gt;"",$D31&lt;&gt;"",J31=""),"",J31-SUMPRODUCT(--($C$3:$C$102="P"),--(J$3:J$102&lt;J31),--(J$3:J$102&lt;&gt;""))-SUMPRODUCT(--($D$3:$D$102="P"),--(J$3:J$102&lt;J31),--(J$3:J$102&lt;&gt;"")))</f>
        <v/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S31" s="1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16</v>
      </c>
      <c r="T31" s="1" t="str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/>
      </c>
      <c r="U31" s="1" t="str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/>
      </c>
      <c r="V31" s="1" t="str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/>
      </c>
      <c r="W31" s="1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5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16.09510985</v>
      </c>
      <c r="Y31" s="2" t="str">
        <f>IF(OR(X31="",X31=0),"",IF(SUMPRODUCT(--(B$3:B$102=B31),--(X$3:X$102&gt;X31),--(X$3:X$102&lt;&gt;"")),"","P"))</f>
        <v/>
      </c>
      <c r="Z31" s="2" t="str">
        <f>IF(X31="","",IF(SUMPRODUCT(--(C$3:C$102="P"),--(B$3:B$102=B31)),"P",""))</f>
        <v/>
      </c>
      <c r="AA31" s="15" t="str">
        <f>IF(AND(Y31&lt;&gt;"",OR(Z31="",SUMPRODUCT(--(X$3:X$102&gt;X31),--(Z$3:Z$102="P"),--(Y$3:Y$102="P"))&lt;4)),X31,"")</f>
        <v/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49</v>
      </c>
      <c r="AC31" s="9">
        <f>COUNTIF(L31:Q31,"&lt;=8")</f>
        <v>0</v>
      </c>
      <c r="AD31" s="9">
        <f>MIN(L31:Q31)</f>
        <v>15</v>
      </c>
    </row>
    <row r="32" spans="1:30" x14ac:dyDescent="0.2">
      <c r="A32" s="7" t="s">
        <v>158</v>
      </c>
      <c r="B32" s="6" t="s">
        <v>59</v>
      </c>
      <c r="E32" s="3" t="str">
        <f>IF(AA32="","",RANK(AA32,AA:AA))</f>
        <v/>
      </c>
      <c r="F32" s="6">
        <v>32</v>
      </c>
      <c r="G32" s="6">
        <v>19</v>
      </c>
      <c r="H32" s="6">
        <v>27</v>
      </c>
      <c r="I32" s="6"/>
      <c r="J32" s="6"/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32</v>
      </c>
      <c r="M32" s="9">
        <f>IF(OR($C32&lt;&gt;"",$D32&lt;&gt;"",G32=""),"",G32-SUMPRODUCT(--($C$3:$C$102="P"),--(G$3:G$102&lt;G32),--(G$3:G$102&lt;&gt;""))-SUMPRODUCT(--($D$3:$D$102="P"),--(G$3:G$102&lt;G32),--(G$3:G$102&lt;&gt;"")))</f>
        <v>19</v>
      </c>
      <c r="N32" s="9">
        <f>IF(OR($C32&lt;&gt;"",$D32&lt;&gt;"",H32=""),"",H32-SUMPRODUCT(--($C$3:$C$102="P"),--(H$3:H$102&lt;H32),--(H$3:H$102&lt;&gt;""))-SUMPRODUCT(--($D$3:$D$102="P"),--(H$3:H$102&lt;H32),--(H$3:H$102&lt;&gt;"")))</f>
        <v>27</v>
      </c>
      <c r="O32" s="9" t="str">
        <f>IF(OR($C32&lt;&gt;"",$D32&lt;&gt;"",I32=""),"",I32-SUMPRODUCT(--($C$3:$C$102="P"),--(I$3:I$102&lt;I32),--(I$3:I$102&lt;&gt;""))-SUMPRODUCT(--($D$3:$D$102="P"),--(I$3:I$102&lt;I32),--(I$3:I$102&lt;&gt;"")))</f>
        <v/>
      </c>
      <c r="P32" s="9" t="str">
        <f>IF(OR($C32&lt;&gt;"",$D32&lt;&gt;"",J32=""),"",J32-SUMPRODUCT(--($C$3:$C$102="P"),--(J$3:J$102&lt;J32),--(J$3:J$102&lt;&gt;""))-SUMPRODUCT(--($D$3:$D$102="P"),--(J$3:J$102&lt;J32),--(J$3:J$102&lt;&gt;"")))</f>
        <v/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S32" s="1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12</v>
      </c>
      <c r="T32" s="1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4</v>
      </c>
      <c r="U32" s="1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1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1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5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16.09220981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5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78</v>
      </c>
      <c r="AC32" s="9">
        <f>COUNTIF(L32:Q32,"&lt;=8")</f>
        <v>0</v>
      </c>
      <c r="AD32" s="9">
        <f>MIN(L32:Q32)</f>
        <v>19</v>
      </c>
    </row>
    <row r="33" spans="1:30" x14ac:dyDescent="0.2">
      <c r="A33" s="7" t="s">
        <v>34</v>
      </c>
      <c r="B33" s="6" t="s">
        <v>55</v>
      </c>
      <c r="E33" s="3" t="str">
        <f>IF(AA33="","",RANK(AA33,AA:AA))</f>
        <v/>
      </c>
      <c r="F33" s="6">
        <v>21</v>
      </c>
      <c r="G33" s="6">
        <v>65</v>
      </c>
      <c r="H33" s="6">
        <v>25</v>
      </c>
      <c r="I33" s="6"/>
      <c r="J33" s="6"/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21</v>
      </c>
      <c r="M33" s="9">
        <f>IF(OR($C33&lt;&gt;"",$D33&lt;&gt;"",G33=""),"",G33-SUMPRODUCT(--($C$3:$C$102="P"),--(G$3:G$102&lt;G33),--(G$3:G$102&lt;&gt;""))-SUMPRODUCT(--($D$3:$D$102="P"),--(G$3:G$102&lt;G33),--(G$3:G$102&lt;&gt;"")))</f>
        <v>65</v>
      </c>
      <c r="N33" s="9">
        <f>IF(OR($C33&lt;&gt;"",$D33&lt;&gt;"",H33=""),"",H33-SUMPRODUCT(--($C$3:$C$102="P"),--(H$3:H$102&lt;H33),--(H$3:H$102&lt;&gt;""))-SUMPRODUCT(--($D$3:$D$102="P"),--(H$3:H$102&lt;H33),--(H$3:H$102&lt;&gt;"")))</f>
        <v>25</v>
      </c>
      <c r="O33" s="9" t="str">
        <f>IF(OR($C33&lt;&gt;"",$D33&lt;&gt;"",I33=""),"",I33-SUMPRODUCT(--($C$3:$C$102="P"),--(I$3:I$102&lt;I33),--(I$3:I$102&lt;&gt;""))-SUMPRODUCT(--($D$3:$D$102="P"),--(I$3:I$102&lt;I33),--(I$3:I$102&lt;&gt;"")))</f>
        <v/>
      </c>
      <c r="P33" s="9" t="str">
        <f>IF(OR($C33&lt;&gt;"",$D33&lt;&gt;"",J33=""),"",J33-SUMPRODUCT(--($C$3:$C$102="P"),--(J$3:J$102&lt;J33),--(J$3:J$102&lt;&gt;""))-SUMPRODUCT(--($D$3:$D$102="P"),--(J$3:J$102&lt;J33),--(J$3:J$102&lt;&gt;"")))</f>
        <v/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1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10</v>
      </c>
      <c r="S33" s="1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1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>6</v>
      </c>
      <c r="U33" s="1" t="str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/>
      </c>
      <c r="V33" s="1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1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5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16.088909789999999</v>
      </c>
      <c r="Y33" s="2" t="str">
        <f>IF(OR(X33="",X33=0),"",IF(SUMPRODUCT(--(B$3:B$102=B33),--(X$3:X$102&gt;X33),--(X$3:X$102&lt;&gt;"")),"","P"))</f>
        <v/>
      </c>
      <c r="Z33" s="2" t="str">
        <f>IF(X33="","",IF(SUMPRODUCT(--(C$3:C$102="P"),--(B$3:B$102=B33)),"P",""))</f>
        <v/>
      </c>
      <c r="AA33" s="15" t="str">
        <f>IF(AND(Y33&lt;&gt;"",OR(Z33="",SUMPRODUCT(--(X$3:X$102&gt;X33),--(Z$3:Z$102="P"),--(Y$3:Y$102="P"))&lt;4)),X33,"")</f>
        <v/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111</v>
      </c>
      <c r="AC33" s="9">
        <f>COUNTIF(L33:Q33,"&lt;=8")</f>
        <v>0</v>
      </c>
      <c r="AD33" s="9">
        <f>MIN(L33:Q33)</f>
        <v>21</v>
      </c>
    </row>
    <row r="34" spans="1:30" x14ac:dyDescent="0.2">
      <c r="A34" s="7" t="s">
        <v>142</v>
      </c>
      <c r="B34" s="6" t="s">
        <v>51</v>
      </c>
      <c r="E34" s="3">
        <f>IF(AA34="","",RANK(AA34,AA:AA))</f>
        <v>13</v>
      </c>
      <c r="F34" s="6">
        <v>57</v>
      </c>
      <c r="G34" s="6">
        <v>16</v>
      </c>
      <c r="H34" s="6"/>
      <c r="I34" s="6"/>
      <c r="J34" s="6"/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57</v>
      </c>
      <c r="M34" s="9">
        <f>IF(OR($C34&lt;&gt;"",$D34&lt;&gt;"",G34=""),"",G34-SUMPRODUCT(--($C$3:$C$102="P"),--(G$3:G$102&lt;G34),--(G$3:G$102&lt;&gt;""))-SUMPRODUCT(--($D$3:$D$102="P"),--(G$3:G$102&lt;G34),--(G$3:G$102&lt;&gt;"")))</f>
        <v>16</v>
      </c>
      <c r="N34" s="9" t="str">
        <f>IF(OR($C34&lt;&gt;"",$D34&lt;&gt;"",H34=""),"",H34-SUMPRODUCT(--($C$3:$C$102="P"),--(H$3:H$102&lt;H34),--(H$3:H$102&lt;&gt;""))-SUMPRODUCT(--($D$3:$D$102="P"),--(H$3:H$102&lt;H34),--(H$3:H$102&lt;&gt;"")))</f>
        <v/>
      </c>
      <c r="O34" s="9" t="str">
        <f>IF(OR($C34&lt;&gt;"",$D34&lt;&gt;"",I34=""),"",I34-SUMPRODUCT(--($C$3:$C$102="P"),--(I$3:I$102&lt;I34),--(I$3:I$102&lt;&gt;""))-SUMPRODUCT(--($D$3:$D$102="P"),--(I$3:I$102&lt;I34),--(I$3:I$102&lt;&gt;"")))</f>
        <v/>
      </c>
      <c r="P34" s="9" t="str">
        <f>IF(OR($C34&lt;&gt;"",$D34&lt;&gt;"",J34=""),"",J34-SUMPRODUCT(--($C$3:$C$102="P"),--(J$3:J$102&lt;J34),--(J$3:J$102&lt;&gt;""))-SUMPRODUCT(--($D$3:$D$102="P"),--(J$3:J$102&lt;J34),--(J$3:J$102&lt;&gt;"")))</f>
        <v/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S34" s="1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15</v>
      </c>
      <c r="T34" s="1" t="str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/>
      </c>
      <c r="U34" s="1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1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1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5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15.092709840000001</v>
      </c>
      <c r="Y34" s="2" t="str">
        <f>IF(OR(X34="",X34=0),"",IF(SUMPRODUCT(--(B$3:B$102=B34),--(X$3:X$102&gt;X34),--(X$3:X$102&lt;&gt;"")),"","P"))</f>
        <v>P</v>
      </c>
      <c r="Z34" s="2" t="str">
        <f>IF(X34="","",IF(SUMPRODUCT(--(C$3:C$102="P"),--(B$3:B$102=B34)),"P",""))</f>
        <v/>
      </c>
      <c r="AA34" s="15">
        <f>IF(AND(Y34&lt;&gt;"",OR(Z34="",SUMPRODUCT(--(X$3:X$102&gt;X34),--(Z$3:Z$102="P"),--(Y$3:Y$102="P"))&lt;4)),X34,"")</f>
        <v>15.092709840000001</v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73</v>
      </c>
      <c r="AC34" s="9">
        <f>COUNTIF(L34:Q34,"&lt;=8")</f>
        <v>0</v>
      </c>
      <c r="AD34" s="9">
        <f>MIN(L34:Q34)</f>
        <v>16</v>
      </c>
    </row>
    <row r="35" spans="1:30" x14ac:dyDescent="0.2">
      <c r="A35" s="7" t="s">
        <v>48</v>
      </c>
      <c r="B35" s="6" t="s">
        <v>59</v>
      </c>
      <c r="E35" s="3" t="str">
        <f>IF(AA35="","",RANK(AA35,AA:AA))</f>
        <v/>
      </c>
      <c r="F35" s="6">
        <v>36</v>
      </c>
      <c r="G35" s="6">
        <v>35</v>
      </c>
      <c r="H35" s="6">
        <v>19</v>
      </c>
      <c r="I35" s="6"/>
      <c r="J35" s="6"/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36</v>
      </c>
      <c r="M35" s="9">
        <f>IF(OR($C35&lt;&gt;"",$D35&lt;&gt;"",G35=""),"",G35-SUMPRODUCT(--($C$3:$C$102="P"),--(G$3:G$102&lt;G35),--(G$3:G$102&lt;&gt;""))-SUMPRODUCT(--($D$3:$D$102="P"),--(G$3:G$102&lt;G35),--(G$3:G$102&lt;&gt;"")))</f>
        <v>35</v>
      </c>
      <c r="N35" s="9">
        <f>IF(OR($C35&lt;&gt;"",$D35&lt;&gt;"",H35=""),"",H35-SUMPRODUCT(--($C$3:$C$102="P"),--(H$3:H$102&lt;H35),--(H$3:H$102&lt;&gt;""))-SUMPRODUCT(--($D$3:$D$102="P"),--(H$3:H$102&lt;H35),--(H$3:H$102&lt;&gt;"")))</f>
        <v>19</v>
      </c>
      <c r="O35" s="9" t="str">
        <f>IF(OR($C35&lt;&gt;"",$D35&lt;&gt;"",I35=""),"",I35-SUMPRODUCT(--($C$3:$C$102="P"),--(I$3:I$102&lt;I35),--(I$3:I$102&lt;&gt;""))-SUMPRODUCT(--($D$3:$D$102="P"),--(I$3:I$102&lt;I35),--(I$3:I$102&lt;&gt;"")))</f>
        <v/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1" t="str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1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12</v>
      </c>
      <c r="U35" s="1" t="str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1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1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12.091009809999999</v>
      </c>
      <c r="Y35" s="2" t="str">
        <f>IF(OR(X35="",X35=0),"",IF(SUMPRODUCT(--(B$3:B$102=B35),--(X$3:X$102&gt;X35),--(X$3:X$102&lt;&gt;"")),"","P"))</f>
        <v/>
      </c>
      <c r="Z35" s="2" t="str">
        <f>IF(X35="","",IF(SUMPRODUCT(--(C$3:C$102="P"),--(B$3:B$102=B35)),"P",""))</f>
        <v/>
      </c>
      <c r="AA35" s="15" t="str">
        <f>IF(AND(Y35&lt;&gt;"",OR(Z35="",SUMPRODUCT(--(X$3:X$102&gt;X35),--(Z$3:Z$102="P"),--(Y$3:Y$102="P"))&lt;4)),X35,"")</f>
        <v/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90</v>
      </c>
      <c r="AC35" s="9">
        <f>COUNTIF(L35:Q35,"&lt;=8")</f>
        <v>0</v>
      </c>
      <c r="AD35" s="9">
        <f>MIN(L35:Q35)</f>
        <v>19</v>
      </c>
    </row>
    <row r="36" spans="1:30" x14ac:dyDescent="0.2">
      <c r="A36" s="7" t="s">
        <v>39</v>
      </c>
      <c r="B36" s="6" t="s">
        <v>57</v>
      </c>
      <c r="E36" s="3">
        <f>IF(AA36="","",RANK(AA36,AA:AA))</f>
        <v>14</v>
      </c>
      <c r="F36" s="6">
        <v>26</v>
      </c>
      <c r="G36" s="6">
        <v>24</v>
      </c>
      <c r="H36" s="6">
        <v>43</v>
      </c>
      <c r="I36" s="6"/>
      <c r="J36" s="6"/>
      <c r="K36" s="6"/>
      <c r="L36" s="9">
        <f>IF(OR($C36&lt;&gt;"",$D36&lt;&gt;"",F36=""),"",F36-SUMPRODUCT(--($C$3:$C$102="P"),--(F$3:F$102&lt;F36),--(F$3:F$102&lt;&gt;""))-SUMPRODUCT(--($D$3:$D$102="P"),--(F$3:F$102&lt;F36),--(F$3:F$102&lt;&gt;"")))</f>
        <v>26</v>
      </c>
      <c r="M36" s="9">
        <f>IF(OR($C36&lt;&gt;"",$D36&lt;&gt;"",G36=""),"",G36-SUMPRODUCT(--($C$3:$C$102="P"),--(G$3:G$102&lt;G36),--(G$3:G$102&lt;&gt;""))-SUMPRODUCT(--($D$3:$D$102="P"),--(G$3:G$102&lt;G36),--(G$3:G$102&lt;&gt;"")))</f>
        <v>24</v>
      </c>
      <c r="N36" s="9">
        <f>IF(OR($C36&lt;&gt;"",$D36&lt;&gt;"",H36=""),"",H36-SUMPRODUCT(--($C$3:$C$102="P"),--(H$3:H$102&lt;H36),--(H$3:H$102&lt;&gt;""))-SUMPRODUCT(--($D$3:$D$102="P"),--(H$3:H$102&lt;H36),--(H$3:H$102&lt;&gt;"")))</f>
        <v>43</v>
      </c>
      <c r="O36" s="9" t="str">
        <f>IF(OR($C36&lt;&gt;"",$D36&lt;&gt;"",I36=""),"",I36-SUMPRODUCT(--($C$3:$C$102="P"),--(I$3:I$102&lt;I36),--(I$3:I$102&lt;&gt;""))-SUMPRODUCT(--($D$3:$D$102="P"),--(I$3:I$102&lt;I36),--(I$3:I$102&lt;&gt;"")))</f>
        <v/>
      </c>
      <c r="P36" s="9" t="str">
        <f>IF(OR($C36&lt;&gt;"",$D36&lt;&gt;"",J36=""),"",J36-SUMPRODUCT(--($C$3:$C$102="P"),--(J$3:J$102&lt;J36),--(J$3:J$102&lt;&gt;""))-SUMPRODUCT(--($D$3:$D$102="P"),--(J$3:J$102&lt;J36),--(J$3:J$102&lt;&gt;"")))</f>
        <v/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1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>5</v>
      </c>
      <c r="S36" s="1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>7</v>
      </c>
      <c r="T36" s="1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1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1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1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5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12.090709759999999</v>
      </c>
      <c r="Y36" s="2" t="str">
        <f>IF(OR(X36="",X36=0),"",IF(SUMPRODUCT(--(B$3:B$102=B36),--(X$3:X$102&gt;X36),--(X$3:X$102&lt;&gt;"")),"","P"))</f>
        <v>P</v>
      </c>
      <c r="Z36" s="2" t="str">
        <f>IF(X36="","",IF(SUMPRODUCT(--(C$3:C$102="P"),--(B$3:B$102=B36)),"P",""))</f>
        <v/>
      </c>
      <c r="AA36" s="15">
        <f>IF(AND(Y36&lt;&gt;"",OR(Z36="",SUMPRODUCT(--(X$3:X$102&gt;X36),--(Z$3:Z$102="P"),--(Y$3:Y$102="P"))&lt;4)),X36,"")</f>
        <v>12.090709759999999</v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93</v>
      </c>
      <c r="AC36" s="9">
        <f>COUNTIF(L36:Q36,"&lt;=8")</f>
        <v>0</v>
      </c>
      <c r="AD36" s="9">
        <f>MIN(L36:Q36)</f>
        <v>24</v>
      </c>
    </row>
    <row r="37" spans="1:30" x14ac:dyDescent="0.2">
      <c r="A37" s="7" t="s">
        <v>40</v>
      </c>
      <c r="B37" s="6" t="s">
        <v>22</v>
      </c>
      <c r="E37" s="3" t="str">
        <f>IF(AA37="","",RANK(AA37,AA:AA))</f>
        <v/>
      </c>
      <c r="F37" s="6">
        <v>27</v>
      </c>
      <c r="G37" s="6">
        <v>27</v>
      </c>
      <c r="H37" s="6">
        <v>28</v>
      </c>
      <c r="I37" s="6"/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27</v>
      </c>
      <c r="M37" s="9">
        <f>IF(OR($C37&lt;&gt;"",$D37&lt;&gt;"",G37=""),"",G37-SUMPRODUCT(--($C$3:$C$102="P"),--(G$3:G$102&lt;G37),--(G$3:G$102&lt;&gt;""))-SUMPRODUCT(--($D$3:$D$102="P"),--(G$3:G$102&lt;G37),--(G$3:G$102&lt;&gt;"")))</f>
        <v>27</v>
      </c>
      <c r="N37" s="9">
        <f>IF(OR($C37&lt;&gt;"",$D37&lt;&gt;"",H37=""),"",H37-SUMPRODUCT(--($C$3:$C$102="P"),--(H$3:H$102&lt;H37),--(H$3:H$102&lt;&gt;""))-SUMPRODUCT(--($D$3:$D$102="P"),--(H$3:H$102&lt;H37),--(H$3:H$102&lt;&gt;"")))</f>
        <v>28</v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1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4</v>
      </c>
      <c r="S37" s="1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4</v>
      </c>
      <c r="T37" s="1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>3</v>
      </c>
      <c r="U37" s="1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1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1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5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11.09180973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5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82</v>
      </c>
      <c r="AC37" s="9">
        <f>COUNTIF(L37:Q37,"&lt;=8")</f>
        <v>0</v>
      </c>
      <c r="AD37" s="9">
        <f>MIN(L37:Q37)</f>
        <v>27</v>
      </c>
    </row>
    <row r="38" spans="1:30" x14ac:dyDescent="0.2">
      <c r="A38" s="7" t="s">
        <v>157</v>
      </c>
      <c r="B38" s="6" t="s">
        <v>24</v>
      </c>
      <c r="E38" s="3"/>
      <c r="F38" s="6"/>
      <c r="G38" s="6"/>
      <c r="H38" s="6">
        <v>21</v>
      </c>
      <c r="I38" s="6"/>
      <c r="J38" s="6"/>
      <c r="K38" s="6"/>
      <c r="L38" s="9" t="str">
        <f>IF(OR($C38&lt;&gt;"",$D38&lt;&gt;"",F38=""),"",F38-SUMPRODUCT(--($C$3:$C$102="P"),--(F$3:F$102&lt;F38),--(F$3:F$102&lt;&gt;""))-SUMPRODUCT(--($D$3:$D$102="P"),--(F$3:F$102&lt;F38),--(F$3:F$102&lt;&gt;"")))</f>
        <v/>
      </c>
      <c r="M38" s="9" t="str">
        <f>IF(OR($C38&lt;&gt;"",$D38&lt;&gt;"",G38=""),"",G38-SUMPRODUCT(--($C$3:$C$102="P"),--(G$3:G$102&lt;G38),--(G$3:G$102&lt;&gt;""))-SUMPRODUCT(--($D$3:$D$102="P"),--(G$3:G$102&lt;G38),--(G$3:G$102&lt;&gt;"")))</f>
        <v/>
      </c>
      <c r="N38" s="9">
        <f>IF(OR($C38&lt;&gt;"",$D38&lt;&gt;"",H38=""),"",H38-SUMPRODUCT(--($C$3:$C$102="P"),--(H$3:H$102&lt;H38),--(H$3:H$102&lt;&gt;""))-SUMPRODUCT(--($D$3:$D$102="P"),--(H$3:H$102&lt;H38),--(H$3:H$102&lt;&gt;"")))</f>
        <v>21</v>
      </c>
      <c r="O38" s="9" t="str">
        <f>IF(OR($C38&lt;&gt;"",$D38&lt;&gt;"",I38=""),"",I38-SUMPRODUCT(--($C$3:$C$102="P"),--(I$3:I$102&lt;I38),--(I$3:I$102&lt;&gt;""))-SUMPRODUCT(--($D$3:$D$102="P"),--(I$3:I$102&lt;I38),--(I$3:I$102&lt;&gt;"")))</f>
        <v/>
      </c>
      <c r="P38" s="9" t="str">
        <f>IF(OR($C38&lt;&gt;"",$D38&lt;&gt;"",J38=""),"",J38-SUMPRODUCT(--($C$3:$C$102="P"),--(J$3:J$102&lt;J38),--(J$3:J$102&lt;&gt;""))-SUMPRODUCT(--($D$3:$D$102="P"),--(J$3:J$102&lt;J38),--(J$3:J$102&lt;&gt;"")))</f>
        <v/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S38" s="1" t="str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/>
      </c>
      <c r="T38" s="1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10</v>
      </c>
      <c r="U38" s="1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1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1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5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10.097909789999999</v>
      </c>
      <c r="Y38" s="2" t="str">
        <f>IF(OR(X38="",X38=0),"",IF(SUMPRODUCT(--(B$3:B$102=B38),--(X$3:X$102&gt;X38),--(X$3:X$102&lt;&gt;"")),"","P"))</f>
        <v/>
      </c>
      <c r="Z38" s="2" t="str">
        <f>IF(X38="","",IF(SUMPRODUCT(--(C$3:C$102="P"),--(B$3:B$102=B38)),"P",""))</f>
        <v/>
      </c>
      <c r="AA38" s="15" t="str">
        <f>IF(AND(Y38&lt;&gt;"",OR(Z38="",SUMPRODUCT(--(X$3:X$102&gt;X38),--(Z$3:Z$102="P"),--(Y$3:Y$102="P"))&lt;4)),X38,"")</f>
        <v/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21</v>
      </c>
      <c r="AC38" s="9">
        <f>COUNTIF(L38:Q38,"&lt;=8")</f>
        <v>0</v>
      </c>
      <c r="AD38" s="9">
        <f>MIN(L38:Q38)</f>
        <v>21</v>
      </c>
    </row>
    <row r="39" spans="1:30" x14ac:dyDescent="0.2">
      <c r="A39" s="7" t="s">
        <v>36</v>
      </c>
      <c r="B39" s="6" t="s">
        <v>57</v>
      </c>
      <c r="E39" s="3" t="str">
        <f>IF(AA39="","",RANK(AA39,AA:AA))</f>
        <v/>
      </c>
      <c r="F39" s="6">
        <v>23</v>
      </c>
      <c r="G39" s="6">
        <v>30</v>
      </c>
      <c r="H39" s="6">
        <v>30</v>
      </c>
      <c r="I39" s="6"/>
      <c r="J39" s="6"/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23</v>
      </c>
      <c r="M39" s="9">
        <f>IF(OR($C39&lt;&gt;"",$D39&lt;&gt;"",G39=""),"",G39-SUMPRODUCT(--($C$3:$C$102="P"),--(G$3:G$102&lt;G39),--(G$3:G$102&lt;&gt;""))-SUMPRODUCT(--($D$3:$D$102="P"),--(G$3:G$102&lt;G39),--(G$3:G$102&lt;&gt;"")))</f>
        <v>30</v>
      </c>
      <c r="N39" s="9">
        <f>IF(OR($C39&lt;&gt;"",$D39&lt;&gt;"",H39=""),"",H39-SUMPRODUCT(--($C$3:$C$102="P"),--(H$3:H$102&lt;H39),--(H$3:H$102&lt;&gt;""))-SUMPRODUCT(--($D$3:$D$102="P"),--(H$3:H$102&lt;H39),--(H$3:H$102&lt;&gt;"")))</f>
        <v>30</v>
      </c>
      <c r="O39" s="9" t="str">
        <f>IF(OR($C39&lt;&gt;"",$D39&lt;&gt;"",I39=""),"",I39-SUMPRODUCT(--($C$3:$C$102="P"),--(I$3:I$102&lt;I39),--(I$3:I$102&lt;&gt;""))-SUMPRODUCT(--($D$3:$D$102="P"),--(I$3:I$102&lt;I39),--(I$3:I$102&lt;&gt;"")))</f>
        <v/>
      </c>
      <c r="P39" s="9" t="str">
        <f>IF(OR($C39&lt;&gt;"",$D39&lt;&gt;"",J39=""),"",J39-SUMPRODUCT(--($C$3:$C$102="P"),--(J$3:J$102&lt;J39),--(J$3:J$102&lt;&gt;""))-SUMPRODUCT(--($D$3:$D$102="P"),--(J$3:J$102&lt;J39),--(J$3:J$102&lt;&gt;"")))</f>
        <v/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1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>8</v>
      </c>
      <c r="S39" s="1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>1</v>
      </c>
      <c r="T39" s="1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>1</v>
      </c>
      <c r="U39" s="1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1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1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5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10.09170977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5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83</v>
      </c>
      <c r="AC39" s="9">
        <f>COUNTIF(L39:Q39,"&lt;=8")</f>
        <v>0</v>
      </c>
      <c r="AD39" s="9">
        <f>MIN(L39:Q39)</f>
        <v>23</v>
      </c>
    </row>
    <row r="40" spans="1:30" x14ac:dyDescent="0.2">
      <c r="A40" s="7" t="s">
        <v>45</v>
      </c>
      <c r="B40" s="6" t="s">
        <v>17</v>
      </c>
      <c r="E40" s="3" t="str">
        <f>IF(AA40="","",RANK(AA40,AA:AA))</f>
        <v/>
      </c>
      <c r="F40" s="6">
        <v>33</v>
      </c>
      <c r="G40" s="6">
        <v>21</v>
      </c>
      <c r="H40" s="6">
        <v>44</v>
      </c>
      <c r="I40" s="6"/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33</v>
      </c>
      <c r="M40" s="9">
        <f>IF(OR($C40&lt;&gt;"",$D40&lt;&gt;"",G40=""),"",G40-SUMPRODUCT(--($C$3:$C$102="P"),--(G$3:G$102&lt;G40),--(G$3:G$102&lt;&gt;""))-SUMPRODUCT(--($D$3:$D$102="P"),--(G$3:G$102&lt;G40),--(G$3:G$102&lt;&gt;"")))</f>
        <v>21</v>
      </c>
      <c r="N40" s="9">
        <f>IF(OR($C40&lt;&gt;"",$D40&lt;&gt;"",H40=""),"",H40-SUMPRODUCT(--($C$3:$C$102="P"),--(H$3:H$102&lt;H40),--(H$3:H$102&lt;&gt;""))-SUMPRODUCT(--($D$3:$D$102="P"),--(H$3:H$102&lt;H40),--(H$3:H$102&lt;&gt;"")))</f>
        <v>44</v>
      </c>
      <c r="O40" s="9" t="str">
        <f>IF(OR($C40&lt;&gt;"",$D40&lt;&gt;"",I40=""),"",I40-SUMPRODUCT(--($C$3:$C$102="P"),--(I$3:I$102&lt;I40),--(I$3:I$102&lt;&gt;""))-SUMPRODUCT(--($D$3:$D$102="P"),--(I$3:I$102&lt;I40),--(I$3:I$102&lt;&gt;"")))</f>
        <v/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S40" s="1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10</v>
      </c>
      <c r="T40" s="1" t="str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/>
      </c>
      <c r="U40" s="1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1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1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5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10.090209789999999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/>
      </c>
      <c r="AA40" s="15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98</v>
      </c>
      <c r="AC40" s="9">
        <f>COUNTIF(L40:Q40,"&lt;=8")</f>
        <v>0</v>
      </c>
      <c r="AD40" s="9">
        <f>MIN(L40:Q40)</f>
        <v>21</v>
      </c>
    </row>
    <row r="41" spans="1:30" x14ac:dyDescent="0.2">
      <c r="A41" s="7" t="s">
        <v>35</v>
      </c>
      <c r="B41" s="6" t="s">
        <v>19</v>
      </c>
      <c r="E41" s="3" t="str">
        <f>IF(AA41="","",RANK(AA41,AA:AA))</f>
        <v/>
      </c>
      <c r="F41" s="6">
        <v>22</v>
      </c>
      <c r="G41" s="6"/>
      <c r="H41" s="6"/>
      <c r="I41" s="6"/>
      <c r="J41" s="6"/>
      <c r="K41" s="6"/>
      <c r="L41" s="9">
        <f>IF(OR($C41&lt;&gt;"",$D41&lt;&gt;"",F41=""),"",F41-SUMPRODUCT(--($C$3:$C$102="P"),--(F$3:F$102&lt;F41),--(F$3:F$102&lt;&gt;""))-SUMPRODUCT(--($D$3:$D$102="P"),--(F$3:F$102&lt;F41),--(F$3:F$102&lt;&gt;"")))</f>
        <v>22</v>
      </c>
      <c r="M41" s="9" t="str">
        <f>IF(OR($C41&lt;&gt;"",$D41&lt;&gt;"",G41=""),"",G41-SUMPRODUCT(--($C$3:$C$102="P"),--(G$3:G$102&lt;G41),--(G$3:G$102&lt;&gt;""))-SUMPRODUCT(--($D$3:$D$102="P"),--(G$3:G$102&lt;G41),--(G$3:G$102&lt;&gt;"")))</f>
        <v/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 t="str">
        <f>IF(OR($C41&lt;&gt;"",$D41&lt;&gt;"",I41=""),"",I41-SUMPRODUCT(--($C$3:$C$102="P"),--(I$3:I$102&lt;I41),--(I$3:I$102&lt;&gt;""))-SUMPRODUCT(--($D$3:$D$102="P"),--(I$3:I$102&lt;I41),--(I$3:I$102&lt;&gt;"")))</f>
        <v/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8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>9</v>
      </c>
      <c r="S41" s="8" t="str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/>
      </c>
      <c r="T41" s="8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8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8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8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5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9.0978097799999986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/>
      </c>
      <c r="AA41" s="15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22</v>
      </c>
      <c r="AC41" s="9">
        <f>COUNTIF(L41:Q41,"&lt;=8")</f>
        <v>0</v>
      </c>
      <c r="AD41" s="9">
        <f>MIN(L41:Q41)</f>
        <v>22</v>
      </c>
    </row>
    <row r="42" spans="1:30" x14ac:dyDescent="0.2">
      <c r="A42" s="7" t="s">
        <v>149</v>
      </c>
      <c r="B42" s="6" t="s">
        <v>54</v>
      </c>
      <c r="E42" s="3" t="str">
        <f>IF(AA42="","",RANK(AA42,AA:AA))</f>
        <v/>
      </c>
      <c r="F42" s="6">
        <v>51</v>
      </c>
      <c r="G42" s="6">
        <v>36</v>
      </c>
      <c r="H42" s="6">
        <v>22</v>
      </c>
      <c r="I42" s="6"/>
      <c r="J42" s="6"/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51</v>
      </c>
      <c r="M42" s="9">
        <f>IF(OR($C42&lt;&gt;"",$D42&lt;&gt;"",G42=""),"",G42-SUMPRODUCT(--($C$3:$C$102="P"),--(G$3:G$102&lt;G42),--(G$3:G$102&lt;&gt;""))-SUMPRODUCT(--($D$3:$D$102="P"),--(G$3:G$102&lt;G42),--(G$3:G$102&lt;&gt;"")))</f>
        <v>36</v>
      </c>
      <c r="N42" s="9">
        <f>IF(OR($C42&lt;&gt;"",$D42&lt;&gt;"",H42=""),"",H42-SUMPRODUCT(--($C$3:$C$102="P"),--(H$3:H$102&lt;H42),--(H$3:H$102&lt;&gt;""))-SUMPRODUCT(--($D$3:$D$102="P"),--(H$3:H$102&lt;H42),--(H$3:H$102&lt;&gt;"")))</f>
        <v>22</v>
      </c>
      <c r="O42" s="9" t="str">
        <f>IF(OR($C42&lt;&gt;"",$D42&lt;&gt;"",I42=""),"",I42-SUMPRODUCT(--($C$3:$C$102="P"),--(I$3:I$102&lt;I42),--(I$3:I$102&lt;&gt;""))-SUMPRODUCT(--($D$3:$D$102="P"),--(I$3:I$102&lt;I42),--(I$3:I$102&lt;&gt;"")))</f>
        <v/>
      </c>
      <c r="P42" s="9" t="str">
        <f>IF(OR($C42&lt;&gt;"",$D42&lt;&gt;"",J42=""),"",J42-SUMPRODUCT(--($C$3:$C$102="P"),--(J$3:J$102&lt;J42),--(J$3:J$102&lt;&gt;""))-SUMPRODUCT(--($D$3:$D$102="P"),--(J$3:J$102&lt;J42),--(J$3:J$102&lt;&gt;"")))</f>
        <v/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8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8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8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>9</v>
      </c>
      <c r="U42" s="8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8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8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5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9.0891097799999994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5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109</v>
      </c>
      <c r="AC42" s="9">
        <f>COUNTIF(L42:Q42,"&lt;=8")</f>
        <v>0</v>
      </c>
      <c r="AD42" s="9">
        <f>MIN(L42:Q42)</f>
        <v>22</v>
      </c>
    </row>
    <row r="43" spans="1:30" x14ac:dyDescent="0.2">
      <c r="A43" s="7" t="s">
        <v>144</v>
      </c>
      <c r="B43" s="6" t="s">
        <v>106</v>
      </c>
      <c r="E43" s="3">
        <f>IF(AA43="","",RANK(AA43,AA:AA))</f>
        <v>15</v>
      </c>
      <c r="F43" s="6">
        <v>60</v>
      </c>
      <c r="G43" s="6">
        <v>23</v>
      </c>
      <c r="H43" s="6"/>
      <c r="I43" s="6"/>
      <c r="J43" s="6"/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60</v>
      </c>
      <c r="M43" s="9">
        <f>IF(OR($C43&lt;&gt;"",$D43&lt;&gt;"",G43=""),"",G43-SUMPRODUCT(--($C$3:$C$102="P"),--(G$3:G$102&lt;G43),--(G$3:G$102&lt;&gt;""))-SUMPRODUCT(--($D$3:$D$102="P"),--(G$3:G$102&lt;G43),--(G$3:G$102&lt;&gt;"")))</f>
        <v>23</v>
      </c>
      <c r="N43" s="9" t="str">
        <f>IF(OR($C43&lt;&gt;"",$D43&lt;&gt;"",H43=""),"",H43-SUMPRODUCT(--($C$3:$C$102="P"),--(H$3:H$102&lt;H43),--(H$3:H$102&lt;&gt;""))-SUMPRODUCT(--($D$3:$D$102="P"),--(H$3:H$102&lt;H43),--(H$3:H$102&lt;&gt;"")))</f>
        <v/>
      </c>
      <c r="O43" s="9" t="str">
        <f>IF(OR($C43&lt;&gt;"",$D43&lt;&gt;"",I43=""),"",I43-SUMPRODUCT(--($C$3:$C$102="P"),--(I$3:I$102&lt;I43),--(I$3:I$102&lt;&gt;""))-SUMPRODUCT(--($D$3:$D$102="P"),--(I$3:I$102&lt;I43),--(I$3:I$102&lt;&gt;"")))</f>
        <v/>
      </c>
      <c r="P43" s="9" t="str">
        <f>IF(OR($C43&lt;&gt;"",$D43&lt;&gt;"",J43=""),"",J43-SUMPRODUCT(--($C$3:$C$102="P"),--(J$3:J$102&lt;J43),--(J$3:J$102&lt;&gt;""))-SUMPRODUCT(--($D$3:$D$102="P"),--(J$3:J$102&lt;J43),--(J$3:J$102&lt;&gt;"")))</f>
        <v/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8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S43" s="8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8</v>
      </c>
      <c r="T43" s="8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8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8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8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5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8.0917097699999996</v>
      </c>
      <c r="Y43" s="2" t="str">
        <f>IF(OR(X43="",X43=0),"",IF(SUMPRODUCT(--(B$3:B$102=B43),--(X$3:X$102&gt;X43),--(X$3:X$102&lt;&gt;"")),"","P"))</f>
        <v>P</v>
      </c>
      <c r="Z43" s="2" t="str">
        <f>IF(X43="","",IF(SUMPRODUCT(--(C$3:C$102="P"),--(B$3:B$102=B43)),"P",""))</f>
        <v/>
      </c>
      <c r="AA43" s="15">
        <f>IF(AND(Y43&lt;&gt;"",OR(Z43="",SUMPRODUCT(--(X$3:X$102&gt;X43),--(Z$3:Z$102="P"),--(Y$3:Y$102="P"))&lt;4)),X43,"")</f>
        <v>8.0917097699999996</v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83</v>
      </c>
      <c r="AC43" s="9">
        <f>COUNTIF(L43:Q43,"&lt;=8")</f>
        <v>0</v>
      </c>
      <c r="AD43" s="9">
        <f>MIN(L43:Q43)</f>
        <v>23</v>
      </c>
    </row>
    <row r="44" spans="1:30" x14ac:dyDescent="0.2">
      <c r="A44" s="7" t="s">
        <v>41</v>
      </c>
      <c r="B44" s="6" t="s">
        <v>58</v>
      </c>
      <c r="E44" s="3">
        <f>IF(AA44="","",RANK(AA44,AA:AA))</f>
        <v>16</v>
      </c>
      <c r="F44" s="6">
        <v>28</v>
      </c>
      <c r="G44" s="6">
        <v>26</v>
      </c>
      <c r="H44" s="6">
        <v>32</v>
      </c>
      <c r="I44" s="6"/>
      <c r="J44" s="6"/>
      <c r="K44" s="6"/>
      <c r="L44" s="9">
        <f>IF(OR($C44&lt;&gt;"",$D44&lt;&gt;"",F44=""),"",F44-SUMPRODUCT(--($C$3:$C$102="P"),--(F$3:F$102&lt;F44),--(F$3:F$102&lt;&gt;""))-SUMPRODUCT(--($D$3:$D$102="P"),--(F$3:F$102&lt;F44),--(F$3:F$102&lt;&gt;"")))</f>
        <v>28</v>
      </c>
      <c r="M44" s="9">
        <f>IF(OR($C44&lt;&gt;"",$D44&lt;&gt;"",G44=""),"",G44-SUMPRODUCT(--($C$3:$C$102="P"),--(G$3:G$102&lt;G44),--(G$3:G$102&lt;&gt;""))-SUMPRODUCT(--($D$3:$D$102="P"),--(G$3:G$102&lt;G44),--(G$3:G$102&lt;&gt;"")))</f>
        <v>26</v>
      </c>
      <c r="N44" s="9">
        <f>IF(OR($C44&lt;&gt;"",$D44&lt;&gt;"",H44=""),"",H44-SUMPRODUCT(--($C$3:$C$102="P"),--(H$3:H$102&lt;H44),--(H$3:H$102&lt;&gt;""))-SUMPRODUCT(--($D$3:$D$102="P"),--(H$3:H$102&lt;H44),--(H$3:H$102&lt;&gt;"")))</f>
        <v>32</v>
      </c>
      <c r="O44" s="9" t="str">
        <f>IF(OR($C44&lt;&gt;"",$D44&lt;&gt;"",I44=""),"",I44-SUMPRODUCT(--($C$3:$C$102="P"),--(I$3:I$102&lt;I44),--(I$3:I$102&lt;&gt;""))-SUMPRODUCT(--($D$3:$D$102="P"),--(I$3:I$102&lt;I44),--(I$3:I$102&lt;&gt;"")))</f>
        <v/>
      </c>
      <c r="P44" s="9" t="str">
        <f>IF(OR($C44&lt;&gt;"",$D44&lt;&gt;"",J44=""),"",J44-SUMPRODUCT(--($C$3:$C$102="P"),--(J$3:J$102&lt;J44),--(J$3:J$102&lt;&gt;""))-SUMPRODUCT(--($D$3:$D$102="P"),--(J$3:J$102&lt;J44),--(J$3:J$102&lt;&gt;"")))</f>
        <v/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8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>3</v>
      </c>
      <c r="S44" s="8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>5</v>
      </c>
      <c r="T44" s="8" t="str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/>
      </c>
      <c r="U44" s="8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8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8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5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8.0914097399999996</v>
      </c>
      <c r="Y44" s="2" t="str">
        <f>IF(OR(X44="",X44=0),"",IF(SUMPRODUCT(--(B$3:B$102=B44),--(X$3:X$102&gt;X44),--(X$3:X$102&lt;&gt;"")),"","P"))</f>
        <v>P</v>
      </c>
      <c r="Z44" s="2" t="str">
        <f>IF(X44="","",IF(SUMPRODUCT(--(C$3:C$102="P"),--(B$3:B$102=B44)),"P",""))</f>
        <v/>
      </c>
      <c r="AA44" s="15">
        <f>IF(AND(Y44&lt;&gt;"",OR(Z44="",SUMPRODUCT(--(X$3:X$102&gt;X44),--(Z$3:Z$102="P"),--(Y$3:Y$102="P"))&lt;4)),X44,"")</f>
        <v>8.0914097399999996</v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86</v>
      </c>
      <c r="AC44" s="9">
        <f>COUNTIF(L44:Q44,"&lt;=8")</f>
        <v>0</v>
      </c>
      <c r="AD44" s="9">
        <f>MIN(L44:Q44)</f>
        <v>26</v>
      </c>
    </row>
    <row r="45" spans="1:30" x14ac:dyDescent="0.2">
      <c r="A45" s="7" t="s">
        <v>38</v>
      </c>
      <c r="B45" s="6" t="s">
        <v>17</v>
      </c>
      <c r="E45" s="3" t="str">
        <f>IF(AA45="","",RANK(AA45,AA:AA))</f>
        <v/>
      </c>
      <c r="F45" s="6">
        <v>25</v>
      </c>
      <c r="G45" s="6"/>
      <c r="H45" s="6"/>
      <c r="I45" s="6"/>
      <c r="J45" s="6"/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25</v>
      </c>
      <c r="M45" s="9" t="str">
        <f>IF(OR($C45&lt;&gt;"",$D45&lt;&gt;"",G45=""),"",G45-SUMPRODUCT(--($C$3:$C$102="P"),--(G$3:G$102&lt;G45),--(G$3:G$102&lt;&gt;""))-SUMPRODUCT(--($D$3:$D$102="P"),--(G$3:G$102&lt;G45),--(G$3:G$102&lt;&gt;"")))</f>
        <v/>
      </c>
      <c r="N45" s="9" t="str">
        <f>IF(OR($C45&lt;&gt;"",$D45&lt;&gt;"",H45=""),"",H45-SUMPRODUCT(--($C$3:$C$102="P"),--(H$3:H$102&lt;H45),--(H$3:H$102&lt;&gt;""))-SUMPRODUCT(--($D$3:$D$102="P"),--(H$3:H$102&lt;H45),--(H$3:H$102&lt;&gt;"")))</f>
        <v/>
      </c>
      <c r="O45" s="9" t="str">
        <f>IF(OR($C45&lt;&gt;"",$D45&lt;&gt;"",I45=""),"",I45-SUMPRODUCT(--($C$3:$C$102="P"),--(I$3:I$102&lt;I45),--(I$3:I$102&lt;&gt;""))-SUMPRODUCT(--($D$3:$D$102="P"),--(I$3:I$102&lt;I45),--(I$3:I$102&lt;&gt;"")))</f>
        <v/>
      </c>
      <c r="P45" s="9" t="str">
        <f>IF(OR($C45&lt;&gt;"",$D45&lt;&gt;"",J45=""),"",J45-SUMPRODUCT(--($C$3:$C$102="P"),--(J$3:J$102&lt;J45),--(J$3:J$102&lt;&gt;""))-SUMPRODUCT(--($D$3:$D$102="P"),--(J$3:J$102&lt;J45),--(J$3:J$102&lt;&gt;"")))</f>
        <v/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8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6</v>
      </c>
      <c r="S45" s="8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8" t="str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/>
      </c>
      <c r="U45" s="8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8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8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5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6.0975097500000004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/>
      </c>
      <c r="AA45" s="15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25</v>
      </c>
      <c r="AC45" s="9">
        <f>COUNTIF(L45:Q45,"&lt;=8")</f>
        <v>0</v>
      </c>
      <c r="AD45" s="9">
        <f>MIN(L45:Q45)</f>
        <v>25</v>
      </c>
    </row>
    <row r="46" spans="1:30" x14ac:dyDescent="0.2">
      <c r="A46" s="7" t="s">
        <v>44</v>
      </c>
      <c r="B46" s="6" t="s">
        <v>19</v>
      </c>
      <c r="E46" s="3" t="str">
        <f>IF(AA46="","",RANK(AA46,AA:AA))</f>
        <v/>
      </c>
      <c r="F46" s="6">
        <v>31</v>
      </c>
      <c r="G46" s="6">
        <v>25</v>
      </c>
      <c r="H46" s="6"/>
      <c r="I46" s="6"/>
      <c r="J46" s="6"/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31</v>
      </c>
      <c r="M46" s="9">
        <f>IF(OR($C46&lt;&gt;"",$D46&lt;&gt;"",G46=""),"",G46-SUMPRODUCT(--($C$3:$C$102="P"),--(G$3:G$102&lt;G46),--(G$3:G$102&lt;&gt;""))-SUMPRODUCT(--($D$3:$D$102="P"),--(G$3:G$102&lt;G46),--(G$3:G$102&lt;&gt;"")))</f>
        <v>25</v>
      </c>
      <c r="N46" s="9" t="str">
        <f>IF(OR($C46&lt;&gt;"",$D46&lt;&gt;"",H46=""),"",H46-SUMPRODUCT(--($C$3:$C$102="P"),--(H$3:H$102&lt;H46),--(H$3:H$102&lt;&gt;""))-SUMPRODUCT(--($D$3:$D$102="P"),--(H$3:H$102&lt;H46),--(H$3:H$102&lt;&gt;"")))</f>
        <v/>
      </c>
      <c r="O46" s="9" t="str">
        <f>IF(OR($C46&lt;&gt;"",$D46&lt;&gt;"",I46=""),"",I46-SUMPRODUCT(--($C$3:$C$102="P"),--(I$3:I$102&lt;I46),--(I$3:I$102&lt;&gt;""))-SUMPRODUCT(--($D$3:$D$102="P"),--(I$3:I$102&lt;I46),--(I$3:I$102&lt;&gt;"")))</f>
        <v/>
      </c>
      <c r="P46" s="9" t="str">
        <f>IF(OR($C46&lt;&gt;"",$D46&lt;&gt;"",J46=""),"",J46-SUMPRODUCT(--($C$3:$C$102="P"),--(J$3:J$102&lt;J46),--(J$3:J$102&lt;&gt;""))-SUMPRODUCT(--($D$3:$D$102="P"),--(J$3:J$102&lt;J46),--(J$3:J$102&lt;&gt;"")))</f>
        <v/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8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8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6</v>
      </c>
      <c r="T46" s="8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8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8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8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5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6.0944097500000005</v>
      </c>
      <c r="Y46" s="2" t="str">
        <f>IF(OR(X46="",X46=0),"",IF(SUMPRODUCT(--(B$3:B$102=B46),--(X$3:X$102&gt;X46),--(X$3:X$102&lt;&gt;"")),"","P"))</f>
        <v/>
      </c>
      <c r="Z46" s="2" t="str">
        <f>IF(X46="","",IF(SUMPRODUCT(--(C$3:C$102="P"),--(B$3:B$102=B46)),"P",""))</f>
        <v/>
      </c>
      <c r="AA46" s="15" t="str">
        <f>IF(AND(Y46&lt;&gt;"",OR(Z46="",SUMPRODUCT(--(X$3:X$102&gt;X46),--(Z$3:Z$102="P"),--(Y$3:Y$102="P"))&lt;4)),X46,"")</f>
        <v/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56</v>
      </c>
      <c r="AC46" s="9">
        <f>COUNTIF(L46:Q46,"&lt;=8")</f>
        <v>0</v>
      </c>
      <c r="AD46" s="9">
        <f>MIN(L46:Q46)</f>
        <v>25</v>
      </c>
    </row>
    <row r="47" spans="1:30" x14ac:dyDescent="0.2">
      <c r="A47" s="7" t="s">
        <v>159</v>
      </c>
      <c r="B47" s="6" t="s">
        <v>57</v>
      </c>
      <c r="E47" s="3"/>
      <c r="F47" s="6"/>
      <c r="G47" s="6"/>
      <c r="H47" s="6">
        <v>29</v>
      </c>
      <c r="I47" s="6"/>
      <c r="J47" s="6"/>
      <c r="K47" s="6"/>
      <c r="L47" s="9" t="str">
        <f>IF(OR($C47&lt;&gt;"",$D47&lt;&gt;"",F47=""),"",F47-SUMPRODUCT(--($C$3:$C$102="P"),--(F$3:F$102&lt;F47),--(F$3:F$102&lt;&gt;""))-SUMPRODUCT(--($D$3:$D$102="P"),--(F$3:F$102&lt;F47),--(F$3:F$102&lt;&gt;"")))</f>
        <v/>
      </c>
      <c r="M47" s="9" t="str">
        <f>IF(OR($C47&lt;&gt;"",$D47&lt;&gt;"",G47=""),"",G47-SUMPRODUCT(--($C$3:$C$102="P"),--(G$3:G$102&lt;G47),--(G$3:G$102&lt;&gt;""))-SUMPRODUCT(--($D$3:$D$102="P"),--(G$3:G$102&lt;G47),--(G$3:G$102&lt;&gt;"")))</f>
        <v/>
      </c>
      <c r="N47" s="9">
        <f>IF(OR($C47&lt;&gt;"",$D47&lt;&gt;"",H47=""),"",H47-SUMPRODUCT(--($C$3:$C$102="P"),--(H$3:H$102&lt;H47),--(H$3:H$102&lt;&gt;""))-SUMPRODUCT(--($D$3:$D$102="P"),--(H$3:H$102&lt;H47),--(H$3:H$102&lt;&gt;"")))</f>
        <v>29</v>
      </c>
      <c r="O47" s="9" t="str">
        <f>IF(OR($C47&lt;&gt;"",$D47&lt;&gt;"",I47=""),"",I47-SUMPRODUCT(--($C$3:$C$102="P"),--(I$3:I$102&lt;I47),--(I$3:I$102&lt;&gt;""))-SUMPRODUCT(--($D$3:$D$102="P"),--(I$3:I$102&lt;I47),--(I$3:I$102&lt;&gt;"")))</f>
        <v/>
      </c>
      <c r="P47" s="9" t="str">
        <f>IF(OR($C47&lt;&gt;"",$D47&lt;&gt;"",J47=""),"",J47-SUMPRODUCT(--($C$3:$C$102="P"),--(J$3:J$102&lt;J47),--(J$3:J$102&lt;&gt;""))-SUMPRODUCT(--($D$3:$D$102="P"),--(J$3:J$102&lt;J47),--(J$3:J$102&lt;&gt;"")))</f>
        <v/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8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8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8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>2</v>
      </c>
      <c r="U47" s="8" t="str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/>
      </c>
      <c r="V47" s="8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8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5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2.0971097100000002</v>
      </c>
      <c r="Y47" s="2" t="str">
        <f>IF(OR(X47="",X47=0),"",IF(SUMPRODUCT(--(B$3:B$102=B47),--(X$3:X$102&gt;X47),--(X$3:X$102&lt;&gt;"")),"","P"))</f>
        <v/>
      </c>
      <c r="Z47" s="2" t="str">
        <f>IF(X47="","",IF(SUMPRODUCT(--(C$3:C$102="P"),--(B$3:B$102=B47)),"P",""))</f>
        <v/>
      </c>
      <c r="AA47" s="15" t="str">
        <f>IF(AND(Y47&lt;&gt;"",OR(Z47="",SUMPRODUCT(--(X$3:X$102&gt;X47),--(Z$3:Z$102="P"),--(Y$3:Y$102="P"))&lt;4)),X47,"")</f>
        <v/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29</v>
      </c>
      <c r="AC47" s="9">
        <f>COUNTIF(L47:Q47,"&lt;=8")</f>
        <v>0</v>
      </c>
      <c r="AD47" s="9">
        <f>MIN(L47:Q47)</f>
        <v>29</v>
      </c>
    </row>
    <row r="48" spans="1:30" x14ac:dyDescent="0.2">
      <c r="A48" s="7" t="s">
        <v>42</v>
      </c>
      <c r="B48" s="6" t="s">
        <v>22</v>
      </c>
      <c r="E48" s="3" t="str">
        <f>IF(AA48="","",RANK(AA48,AA:AA))</f>
        <v/>
      </c>
      <c r="F48" s="6">
        <v>29</v>
      </c>
      <c r="G48" s="6">
        <v>53</v>
      </c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29</v>
      </c>
      <c r="M48" s="9">
        <f>IF(OR($C48&lt;&gt;"",$D48&lt;&gt;"",G48=""),"",G48-SUMPRODUCT(--($C$3:$C$102="P"),--(G$3:G$102&lt;G48),--(G$3:G$102&lt;&gt;""))-SUMPRODUCT(--($D$3:$D$102="P"),--(G$3:G$102&lt;G48),--(G$3:G$102&lt;&gt;"")))</f>
        <v>53</v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8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2</v>
      </c>
      <c r="S48" s="8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8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8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8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8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5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2.0918097100000002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/>
      </c>
      <c r="AA48" s="15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82</v>
      </c>
      <c r="AC48" s="9">
        <f>COUNTIF(L48:Q48,"&lt;=8")</f>
        <v>0</v>
      </c>
      <c r="AD48" s="9">
        <f>MIN(L48:Q48)</f>
        <v>29</v>
      </c>
    </row>
    <row r="49" spans="1:30" x14ac:dyDescent="0.2">
      <c r="A49" s="7" t="s">
        <v>145</v>
      </c>
      <c r="B49" s="6" t="s">
        <v>82</v>
      </c>
      <c r="E49" s="3">
        <f>IF(AA49="","",RANK(AA49,AA:AA))</f>
        <v>17</v>
      </c>
      <c r="F49" s="6">
        <v>54</v>
      </c>
      <c r="G49" s="6">
        <v>29</v>
      </c>
      <c r="H49" s="6">
        <v>45</v>
      </c>
      <c r="I49" s="6"/>
      <c r="J49" s="6"/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54</v>
      </c>
      <c r="M49" s="9">
        <f>IF(OR($C49&lt;&gt;"",$D49&lt;&gt;"",G49=""),"",G49-SUMPRODUCT(--($C$3:$C$102="P"),--(G$3:G$102&lt;G49),--(G$3:G$102&lt;&gt;""))-SUMPRODUCT(--($D$3:$D$102="P"),--(G$3:G$102&lt;G49),--(G$3:G$102&lt;&gt;"")))</f>
        <v>29</v>
      </c>
      <c r="N49" s="9">
        <f>IF(OR($C49&lt;&gt;"",$D49&lt;&gt;"",H49=""),"",H49-SUMPRODUCT(--($C$3:$C$102="P"),--(H$3:H$102&lt;H49),--(H$3:H$102&lt;&gt;""))-SUMPRODUCT(--($D$3:$D$102="P"),--(H$3:H$102&lt;H49),--(H$3:H$102&lt;&gt;"")))</f>
        <v>45</v>
      </c>
      <c r="O49" s="9" t="str">
        <f>IF(OR($C49&lt;&gt;"",$D49&lt;&gt;"",I49=""),"",I49-SUMPRODUCT(--($C$3:$C$102="P"),--(I$3:I$102&lt;I49),--(I$3:I$102&lt;&gt;""))-SUMPRODUCT(--($D$3:$D$102="P"),--(I$3:I$102&lt;I49),--(I$3:I$102&lt;&gt;"")))</f>
        <v/>
      </c>
      <c r="P49" s="9" t="str">
        <f>IF(OR($C49&lt;&gt;"",$D49&lt;&gt;"",J49=""),"",J49-SUMPRODUCT(--($C$3:$C$102="P"),--(J$3:J$102&lt;J49),--(J$3:J$102&lt;&gt;""))-SUMPRODUCT(--($D$3:$D$102="P"),--(J$3:J$102&lt;J49),--(J$3:J$102&lt;&gt;"")))</f>
        <v/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8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8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2</v>
      </c>
      <c r="T49" s="8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8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8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8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5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2.0872097100000002</v>
      </c>
      <c r="Y49" s="2" t="str">
        <f>IF(OR(X49="",X49=0),"",IF(SUMPRODUCT(--(B$3:B$102=B49),--(X$3:X$102&gt;X49),--(X$3:X$102&lt;&gt;"")),"","P"))</f>
        <v>P</v>
      </c>
      <c r="Z49" s="2" t="str">
        <f>IF(X49="","",IF(SUMPRODUCT(--(C$3:C$102="P"),--(B$3:B$102=B49)),"P",""))</f>
        <v/>
      </c>
      <c r="AA49" s="15">
        <f>IF(AND(Y49&lt;&gt;"",OR(Z49="",SUMPRODUCT(--(X$3:X$102&gt;X49),--(Z$3:Z$102="P"),--(Y$3:Y$102="P"))&lt;4)),X49,"")</f>
        <v>2.0872097100000002</v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128</v>
      </c>
      <c r="AC49" s="9">
        <f>COUNTIF(L49:Q49,"&lt;=8")</f>
        <v>0</v>
      </c>
      <c r="AD49" s="9">
        <f>MIN(L49:Q49)</f>
        <v>29</v>
      </c>
    </row>
    <row r="50" spans="1:30" x14ac:dyDescent="0.2">
      <c r="A50" s="7" t="s">
        <v>43</v>
      </c>
      <c r="B50" s="6" t="s">
        <v>51</v>
      </c>
      <c r="E50" s="3" t="str">
        <f>IF(AA50="","",RANK(AA50,AA:AA))</f>
        <v/>
      </c>
      <c r="F50" s="6">
        <v>30</v>
      </c>
      <c r="G50" s="6">
        <v>62</v>
      </c>
      <c r="H50" s="6"/>
      <c r="I50" s="6"/>
      <c r="J50" s="6"/>
      <c r="K50" s="6"/>
      <c r="L50" s="9">
        <f>IF(OR($C50&lt;&gt;"",$D50&lt;&gt;"",F50=""),"",F50-SUMPRODUCT(--($C$3:$C$102="P"),--(F$3:F$102&lt;F50),--(F$3:F$102&lt;&gt;""))-SUMPRODUCT(--($D$3:$D$102="P"),--(F$3:F$102&lt;F50),--(F$3:F$102&lt;&gt;"")))</f>
        <v>30</v>
      </c>
      <c r="M50" s="9">
        <f>IF(OR($C50&lt;&gt;"",$D50&lt;&gt;"",G50=""),"",G50-SUMPRODUCT(--($C$3:$C$102="P"),--(G$3:G$102&lt;G50),--(G$3:G$102&lt;&gt;""))-SUMPRODUCT(--($D$3:$D$102="P"),--(G$3:G$102&lt;G50),--(G$3:G$102&lt;&gt;"")))</f>
        <v>62</v>
      </c>
      <c r="N50" s="9" t="str">
        <f>IF(OR($C50&lt;&gt;"",$D50&lt;&gt;"",H50=""),"",H50-SUMPRODUCT(--($C$3:$C$102="P"),--(H$3:H$102&lt;H50),--(H$3:H$102&lt;&gt;""))-SUMPRODUCT(--($D$3:$D$102="P"),--(H$3:H$102&lt;H50),--(H$3:H$102&lt;&gt;"")))</f>
        <v/>
      </c>
      <c r="O50" s="9" t="str">
        <f>IF(OR($C50&lt;&gt;"",$D50&lt;&gt;"",I50=""),"",I50-SUMPRODUCT(--($C$3:$C$102="P"),--(I$3:I$102&lt;I50),--(I$3:I$102&lt;&gt;""))-SUMPRODUCT(--($D$3:$D$102="P"),--(I$3:I$102&lt;I50),--(I$3:I$102&lt;&gt;"")))</f>
        <v/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8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>1</v>
      </c>
      <c r="S50" s="8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8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8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8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8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5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1.0908096999999999</v>
      </c>
      <c r="Y50" s="2" t="str">
        <f>IF(OR(X50="",X50=0),"",IF(SUMPRODUCT(--(B$3:B$102=B50),--(X$3:X$102&gt;X50),--(X$3:X$102&lt;&gt;"")),"","P"))</f>
        <v/>
      </c>
      <c r="Z50" s="2" t="str">
        <f>IF(X50="","",IF(SUMPRODUCT(--(C$3:C$102="P"),--(B$3:B$102=B50)),"P",""))</f>
        <v/>
      </c>
      <c r="AA50" s="15" t="str">
        <f>IF(AND(Y50&lt;&gt;"",OR(Z50="",SUMPRODUCT(--(X$3:X$102&gt;X50),--(Z$3:Z$102="P"),--(Y$3:Y$102="P"))&lt;4)),X50,"")</f>
        <v/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92</v>
      </c>
      <c r="AC50" s="9">
        <f>COUNTIF(L50:Q50,"&lt;=8")</f>
        <v>0</v>
      </c>
      <c r="AD50" s="9">
        <f>MIN(L50:Q50)</f>
        <v>30</v>
      </c>
    </row>
    <row r="51" spans="1:30" x14ac:dyDescent="0.2">
      <c r="A51" s="7" t="s">
        <v>50</v>
      </c>
      <c r="B51" s="6" t="s">
        <v>51</v>
      </c>
      <c r="E51" s="3" t="str">
        <f>IF(AA51="","",RANK(AA51,AA:AA))</f>
        <v/>
      </c>
      <c r="F51" s="6">
        <v>38</v>
      </c>
      <c r="G51" s="6">
        <v>40</v>
      </c>
      <c r="H51" s="6"/>
      <c r="I51" s="6"/>
      <c r="J51" s="6"/>
      <c r="K51" s="6"/>
      <c r="L51" s="9">
        <f>IF(OR($C51&lt;&gt;"",$D51&lt;&gt;"",F51=""),"",F51-SUMPRODUCT(--($C$3:$C$102="P"),--(F$3:F$102&lt;F51),--(F$3:F$102&lt;&gt;""))-SUMPRODUCT(--($D$3:$D$102="P"),--(F$3:F$102&lt;F51),--(F$3:F$102&lt;&gt;"")))</f>
        <v>38</v>
      </c>
      <c r="M51" s="9">
        <f>IF(OR($C51&lt;&gt;"",$D51&lt;&gt;"",G51=""),"",G51-SUMPRODUCT(--($C$3:$C$102="P"),--(G$3:G$102&lt;G51),--(G$3:G$102&lt;&gt;""))-SUMPRODUCT(--($D$3:$D$102="P"),--(G$3:G$102&lt;G51),--(G$3:G$102&lt;&gt;"")))</f>
        <v>40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 t="str">
        <f>IF(OR($C51&lt;&gt;"",$D51&lt;&gt;"",I51=""),"",I51-SUMPRODUCT(--($C$3:$C$102="P"),--(I$3:I$102&lt;I51),--(I$3:I$102&lt;&gt;""))-SUMPRODUCT(--($D$3:$D$102="P"),--(I$3:I$102&lt;I51),--(I$3:I$102&lt;&gt;"")))</f>
        <v/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8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S51" s="8" t="str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/>
      </c>
      <c r="T51" s="8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8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8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8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5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0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/>
      </c>
      <c r="AA51" s="15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78</v>
      </c>
      <c r="AC51" s="9">
        <f>COUNTIF(L51:Q51,"&lt;=8")</f>
        <v>0</v>
      </c>
      <c r="AD51" s="9">
        <f>MIN(L51:Q51)</f>
        <v>38</v>
      </c>
    </row>
    <row r="52" spans="1:30" x14ac:dyDescent="0.2">
      <c r="A52" s="7" t="s">
        <v>162</v>
      </c>
      <c r="B52" s="6" t="s">
        <v>54</v>
      </c>
      <c r="E52" s="3"/>
      <c r="F52" s="6"/>
      <c r="G52" s="6"/>
      <c r="H52" s="6">
        <v>36</v>
      </c>
      <c r="I52" s="6"/>
      <c r="J52" s="6"/>
      <c r="K52" s="6"/>
      <c r="L52" s="9" t="str">
        <f>IF(OR($C52&lt;&gt;"",$D52&lt;&gt;"",F52=""),"",F52-SUMPRODUCT(--($C$3:$C$102="P"),--(F$3:F$102&lt;F52),--(F$3:F$102&lt;&gt;""))-SUMPRODUCT(--($D$3:$D$102="P"),--(F$3:F$102&lt;F52),--(F$3:F$102&lt;&gt;"")))</f>
        <v/>
      </c>
      <c r="M52" s="9" t="str">
        <f>IF(OR($C52&lt;&gt;"",$D52&lt;&gt;"",G52=""),"",G52-SUMPRODUCT(--($C$3:$C$102="P"),--(G$3:G$102&lt;G52),--(G$3:G$102&lt;&gt;""))-SUMPRODUCT(--($D$3:$D$102="P"),--(G$3:G$102&lt;G52),--(G$3:G$102&lt;&gt;"")))</f>
        <v/>
      </c>
      <c r="N52" s="9">
        <f>IF(OR($C52&lt;&gt;"",$D52&lt;&gt;"",H52=""),"",H52-SUMPRODUCT(--($C$3:$C$102="P"),--(H$3:H$102&lt;H52),--(H$3:H$102&lt;&gt;""))-SUMPRODUCT(--($D$3:$D$102="P"),--(H$3:H$102&lt;H52),--(H$3:H$102&lt;&gt;"")))</f>
        <v>36</v>
      </c>
      <c r="O52" s="9" t="str">
        <f>IF(OR($C52&lt;&gt;"",$D52&lt;&gt;"",I52=""),"",I52-SUMPRODUCT(--($C$3:$C$102="P"),--(I$3:I$102&lt;I52),--(I$3:I$102&lt;&gt;""))-SUMPRODUCT(--($D$3:$D$102="P"),--(I$3:I$102&lt;I52),--(I$3:I$102&lt;&gt;"")))</f>
        <v/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8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8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8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8" t="str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/>
      </c>
      <c r="V52" s="8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8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5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0</v>
      </c>
      <c r="Y52" s="2" t="str">
        <f>IF(OR(X52="",X52=0),"",IF(SUMPRODUCT(--(B$3:B$102=B52),--(X$3:X$102&gt;X52),--(X$3:X$102&lt;&gt;"")),"","P"))</f>
        <v/>
      </c>
      <c r="Z52" s="2" t="str">
        <f>IF(X52="","",IF(SUMPRODUCT(--(C$3:C$102="P"),--(B$3:B$102=B52)),"P",""))</f>
        <v/>
      </c>
      <c r="AA52" s="15" t="str">
        <f>IF(AND(Y52&lt;&gt;"",OR(Z52="",SUMPRODUCT(--(X$3:X$102&gt;X52),--(Z$3:Z$102="P"),--(Y$3:Y$102="P"))&lt;4)),X52,"")</f>
        <v/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36</v>
      </c>
      <c r="AC52" s="9">
        <f>COUNTIF(L52:Q52,"&lt;=8")</f>
        <v>0</v>
      </c>
      <c r="AD52" s="9">
        <f>MIN(L52:Q52)</f>
        <v>36</v>
      </c>
    </row>
    <row r="53" spans="1:30" x14ac:dyDescent="0.2">
      <c r="A53" s="7" t="s">
        <v>147</v>
      </c>
      <c r="B53" s="6" t="s">
        <v>148</v>
      </c>
      <c r="E53" s="3" t="str">
        <f>IF(AA53="","",RANK(AA53,AA:AA))</f>
        <v/>
      </c>
      <c r="F53" s="6">
        <v>61</v>
      </c>
      <c r="G53" s="6">
        <v>33</v>
      </c>
      <c r="H53" s="6">
        <v>47</v>
      </c>
      <c r="I53" s="6"/>
      <c r="J53" s="6"/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61</v>
      </c>
      <c r="M53" s="9">
        <f>IF(OR($C53&lt;&gt;"",$D53&lt;&gt;"",G53=""),"",G53-SUMPRODUCT(--($C$3:$C$102="P"),--(G$3:G$102&lt;G53),--(G$3:G$102&lt;&gt;""))-SUMPRODUCT(--($D$3:$D$102="P"),--(G$3:G$102&lt;G53),--(G$3:G$102&lt;&gt;"")))</f>
        <v>33</v>
      </c>
      <c r="N53" s="9">
        <f>IF(OR($C53&lt;&gt;"",$D53&lt;&gt;"",H53=""),"",H53-SUMPRODUCT(--($C$3:$C$102="P"),--(H$3:H$102&lt;H53),--(H$3:H$102&lt;&gt;""))-SUMPRODUCT(--($D$3:$D$102="P"),--(H$3:H$102&lt;H53),--(H$3:H$102&lt;&gt;"")))</f>
        <v>47</v>
      </c>
      <c r="O53" s="9" t="str">
        <f>IF(OR($C53&lt;&gt;"",$D53&lt;&gt;"",I53=""),"",I53-SUMPRODUCT(--($C$3:$C$102="P"),--(I$3:I$102&lt;I53),--(I$3:I$102&lt;&gt;""))-SUMPRODUCT(--($D$3:$D$102="P"),--(I$3:I$102&lt;I53),--(I$3:I$102&lt;&gt;"")))</f>
        <v/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8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8" t="str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/>
      </c>
      <c r="T53" s="8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8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8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8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5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0</v>
      </c>
      <c r="Y53" s="2" t="str">
        <f>IF(OR(X53="",X53=0),"",IF(SUMPRODUCT(--(B$3:B$102=B53),--(X$3:X$102&gt;X53),--(X$3:X$102&lt;&gt;"")),"","P"))</f>
        <v/>
      </c>
      <c r="Z53" s="2" t="str">
        <f>IF(X53="","",IF(SUMPRODUCT(--(C$3:C$102="P"),--(B$3:B$102=B53)),"P",""))</f>
        <v/>
      </c>
      <c r="AA53" s="15" t="str">
        <f>IF(AND(Y53&lt;&gt;"",OR(Z53="",SUMPRODUCT(--(X$3:X$102&gt;X53),--(Z$3:Z$102="P"),--(Y$3:Y$102="P"))&lt;4)),X53,"")</f>
        <v/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141</v>
      </c>
      <c r="AC53" s="9">
        <f>COUNTIF(L53:Q53,"&lt;=8")</f>
        <v>0</v>
      </c>
      <c r="AD53" s="9">
        <f>MIN(L53:Q53)</f>
        <v>33</v>
      </c>
    </row>
    <row r="54" spans="1:30" x14ac:dyDescent="0.2">
      <c r="A54" s="7" t="s">
        <v>165</v>
      </c>
      <c r="B54" s="6" t="s">
        <v>129</v>
      </c>
      <c r="E54" s="3"/>
      <c r="F54" s="6"/>
      <c r="G54" s="6"/>
      <c r="H54" s="6">
        <v>38</v>
      </c>
      <c r="I54" s="6"/>
      <c r="J54" s="6"/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 t="str">
        <f>IF(OR($C54&lt;&gt;"",$D54&lt;&gt;"",G54=""),"",G54-SUMPRODUCT(--($C$3:$C$102="P"),--(G$3:G$102&lt;G54),--(G$3:G$102&lt;&gt;""))-SUMPRODUCT(--($D$3:$D$102="P"),--(G$3:G$102&lt;G54),--(G$3:G$102&lt;&gt;"")))</f>
        <v/>
      </c>
      <c r="N54" s="9">
        <f>IF(OR($C54&lt;&gt;"",$D54&lt;&gt;"",H54=""),"",H54-SUMPRODUCT(--($C$3:$C$102="P"),--(H$3:H$102&lt;H54),--(H$3:H$102&lt;&gt;""))-SUMPRODUCT(--($D$3:$D$102="P"),--(H$3:H$102&lt;H54),--(H$3:H$102&lt;&gt;"")))</f>
        <v>38</v>
      </c>
      <c r="O54" s="9" t="str">
        <f>IF(OR($C54&lt;&gt;"",$D54&lt;&gt;"",I54=""),"",I54-SUMPRODUCT(--($C$3:$C$102="P"),--(I$3:I$102&lt;I54),--(I$3:I$102&lt;&gt;""))-SUMPRODUCT(--($D$3:$D$102="P"),--(I$3:I$102&lt;I54),--(I$3:I$102&lt;&gt;"")))</f>
        <v/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 t="str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/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5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0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5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38</v>
      </c>
      <c r="AC54" s="9">
        <f>COUNTIF(L54:Q54,"&lt;=8")</f>
        <v>0</v>
      </c>
      <c r="AD54" s="9">
        <f>MIN(L54:Q54)</f>
        <v>38</v>
      </c>
    </row>
    <row r="55" spans="1:30" x14ac:dyDescent="0.2">
      <c r="A55" s="7" t="s">
        <v>150</v>
      </c>
      <c r="B55" s="6" t="s">
        <v>136</v>
      </c>
      <c r="E55" s="3" t="str">
        <f>IF(AA55="","",RANK(AA55,AA:AA))</f>
        <v/>
      </c>
      <c r="F55" s="6">
        <v>52</v>
      </c>
      <c r="G55" s="6">
        <v>37</v>
      </c>
      <c r="H55" s="6">
        <v>31</v>
      </c>
      <c r="I55" s="6"/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52</v>
      </c>
      <c r="M55" s="9">
        <f>IF(OR($C55&lt;&gt;"",$D55&lt;&gt;"",G55=""),"",G55-SUMPRODUCT(--($C$3:$C$102="P"),--(G$3:G$102&lt;G55),--(G$3:G$102&lt;&gt;""))-SUMPRODUCT(--($D$3:$D$102="P"),--(G$3:G$102&lt;G55),--(G$3:G$102&lt;&gt;"")))</f>
        <v>37</v>
      </c>
      <c r="N55" s="9">
        <f>IF(OR($C55&lt;&gt;"",$D55&lt;&gt;"",H55=""),"",H55-SUMPRODUCT(--($C$3:$C$102="P"),--(H$3:H$102&lt;H55),--(H$3:H$102&lt;&gt;""))-SUMPRODUCT(--($D$3:$D$102="P"),--(H$3:H$102&lt;H55),--(H$3:H$102&lt;&gt;"")))</f>
        <v>31</v>
      </c>
      <c r="O55" s="9" t="str">
        <f>IF(OR($C55&lt;&gt;"",$D55&lt;&gt;"",I55=""),"",I55-SUMPRODUCT(--($C$3:$C$102="P"),--(I$3:I$102&lt;I55),--(I$3:I$102&lt;&gt;""))-SUMPRODUCT(--($D$3:$D$102="P"),--(I$3:I$102&lt;I55),--(I$3:I$102&lt;&gt;"")))</f>
        <v/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 t="str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/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5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0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/>
      </c>
      <c r="AA55" s="15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120</v>
      </c>
      <c r="AC55" s="9">
        <f>COUNTIF(L55:Q55,"&lt;=8")</f>
        <v>0</v>
      </c>
      <c r="AD55" s="9">
        <f>MIN(L55:Q55)</f>
        <v>31</v>
      </c>
    </row>
    <row r="56" spans="1:30" x14ac:dyDescent="0.2">
      <c r="A56" s="7" t="s">
        <v>47</v>
      </c>
      <c r="B56" s="6" t="s">
        <v>60</v>
      </c>
      <c r="E56" s="3" t="str">
        <f>IF(AA56="","",RANK(AA56,AA:AA))</f>
        <v/>
      </c>
      <c r="F56" s="6">
        <v>35</v>
      </c>
      <c r="G56" s="6">
        <v>41</v>
      </c>
      <c r="H56" s="6">
        <v>33</v>
      </c>
      <c r="I56" s="6"/>
      <c r="J56" s="6"/>
      <c r="K56" s="6"/>
      <c r="L56" s="9">
        <f>IF(OR($C56&lt;&gt;"",$D56&lt;&gt;"",F56=""),"",F56-SUMPRODUCT(--($C$3:$C$102="P"),--(F$3:F$102&lt;F56),--(F$3:F$102&lt;&gt;""))-SUMPRODUCT(--($D$3:$D$102="P"),--(F$3:F$102&lt;F56),--(F$3:F$102&lt;&gt;"")))</f>
        <v>35</v>
      </c>
      <c r="M56" s="9">
        <f>IF(OR($C56&lt;&gt;"",$D56&lt;&gt;"",G56=""),"",G56-SUMPRODUCT(--($C$3:$C$102="P"),--(G$3:G$102&lt;G56),--(G$3:G$102&lt;&gt;""))-SUMPRODUCT(--($D$3:$D$102="P"),--(G$3:G$102&lt;G56),--(G$3:G$102&lt;&gt;"")))</f>
        <v>41</v>
      </c>
      <c r="N56" s="9">
        <f>IF(OR($C56&lt;&gt;"",$D56&lt;&gt;"",H56=""),"",H56-SUMPRODUCT(--($C$3:$C$102="P"),--(H$3:H$102&lt;H56),--(H$3:H$102&lt;&gt;""))-SUMPRODUCT(--($D$3:$D$102="P"),--(H$3:H$102&lt;H56),--(H$3:H$102&lt;&gt;"")))</f>
        <v>33</v>
      </c>
      <c r="O56" s="9" t="str">
        <f>IF(OR($C56&lt;&gt;"",$D56&lt;&gt;"",I56=""),"",I56-SUMPRODUCT(--($C$3:$C$102="P"),--(I$3:I$102&lt;I56),--(I$3:I$102&lt;&gt;""))-SUMPRODUCT(--($D$3:$D$102="P"),--(I$3:I$102&lt;I56),--(I$3:I$102&lt;&gt;"")))</f>
        <v/>
      </c>
      <c r="P56" s="9" t="str">
        <f>IF(OR($C56&lt;&gt;"",$D56&lt;&gt;"",J56=""),"",J56-SUMPRODUCT(--($C$3:$C$102="P"),--(J$3:J$102&lt;J56),--(J$3:J$102&lt;&gt;""))-SUMPRODUCT(--($D$3:$D$102="P"),--(J$3:J$102&lt;J56),--(J$3:J$102&lt;&gt;"")))</f>
        <v/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5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0</v>
      </c>
      <c r="Y56" s="2" t="str">
        <f>IF(OR(X56="",X56=0),"",IF(SUMPRODUCT(--(B$3:B$102=B56),--(X$3:X$102&gt;X56),--(X$3:X$102&lt;&gt;"")),"","P"))</f>
        <v/>
      </c>
      <c r="Z56" s="2" t="str">
        <f>IF(X56="","",IF(SUMPRODUCT(--(C$3:C$102="P"),--(B$3:B$102=B56)),"P",""))</f>
        <v/>
      </c>
      <c r="AA56" s="15" t="str">
        <f>IF(AND(Y56&lt;&gt;"",OR(Z56="",SUMPRODUCT(--(X$3:X$102&gt;X56),--(Z$3:Z$102="P"),--(Y$3:Y$102="P"))&lt;4)),X56,"")</f>
        <v/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109</v>
      </c>
      <c r="AC56" s="9">
        <f>COUNTIF(L56:Q56,"&lt;=8")</f>
        <v>0</v>
      </c>
      <c r="AD56" s="9">
        <f>MIN(L56:Q56)</f>
        <v>33</v>
      </c>
    </row>
    <row r="57" spans="1:30" x14ac:dyDescent="0.2">
      <c r="A57" s="7" t="s">
        <v>49</v>
      </c>
      <c r="B57" s="6" t="s">
        <v>52</v>
      </c>
      <c r="E57" s="3" t="str">
        <f>IF(AA57="","",RANK(AA57,AA:AA))</f>
        <v/>
      </c>
      <c r="F57" s="6">
        <v>37</v>
      </c>
      <c r="G57" s="6">
        <v>55</v>
      </c>
      <c r="H57" s="6"/>
      <c r="I57" s="6"/>
      <c r="J57" s="6"/>
      <c r="K57" s="6"/>
      <c r="L57" s="9">
        <f>IF(OR($C57&lt;&gt;"",$D57&lt;&gt;"",F57=""),"",F57-SUMPRODUCT(--($C$3:$C$102="P"),--(F$3:F$102&lt;F57),--(F$3:F$102&lt;&gt;""))-SUMPRODUCT(--($D$3:$D$102="P"),--(F$3:F$102&lt;F57),--(F$3:F$102&lt;&gt;"")))</f>
        <v>37</v>
      </c>
      <c r="M57" s="9">
        <f>IF(OR($C57&lt;&gt;"",$D57&lt;&gt;"",G57=""),"",G57-SUMPRODUCT(--($C$3:$C$102="P"),--(G$3:G$102&lt;G57),--(G$3:G$102&lt;&gt;""))-SUMPRODUCT(--($D$3:$D$102="P"),--(G$3:G$102&lt;G57),--(G$3:G$102&lt;&gt;"")))</f>
        <v>55</v>
      </c>
      <c r="N57" s="9" t="str">
        <f>IF(OR($C57&lt;&gt;"",$D57&lt;&gt;"",H57=""),"",H57-SUMPRODUCT(--($C$3:$C$102="P"),--(H$3:H$102&lt;H57),--(H$3:H$102&lt;&gt;""))-SUMPRODUCT(--($D$3:$D$102="P"),--(H$3:H$102&lt;H57),--(H$3:H$102&lt;&gt;"")))</f>
        <v/>
      </c>
      <c r="O57" s="9" t="str">
        <f>IF(OR($C57&lt;&gt;"",$D57&lt;&gt;"",I57=""),"",I57-SUMPRODUCT(--($C$3:$C$102="P"),--(I$3:I$102&lt;I57),--(I$3:I$102&lt;&gt;""))-SUMPRODUCT(--($D$3:$D$102="P"),--(I$3:I$102&lt;I57),--(I$3:I$102&lt;&gt;"")))</f>
        <v/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5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0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5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92</v>
      </c>
      <c r="AC57" s="9">
        <f>COUNTIF(L57:Q57,"&lt;=8")</f>
        <v>0</v>
      </c>
      <c r="AD57" s="9">
        <f>MIN(L57:Q57)</f>
        <v>37</v>
      </c>
    </row>
    <row r="58" spans="1:30" x14ac:dyDescent="0.2">
      <c r="A58" s="7" t="s">
        <v>161</v>
      </c>
      <c r="B58" s="6" t="s">
        <v>160</v>
      </c>
      <c r="E58" s="3"/>
      <c r="F58" s="6"/>
      <c r="G58" s="6">
        <v>47</v>
      </c>
      <c r="H58" s="6">
        <v>34</v>
      </c>
      <c r="I58" s="6"/>
      <c r="J58" s="6"/>
      <c r="K58" s="6"/>
      <c r="L58" s="9" t="str">
        <f>IF(OR($C58&lt;&gt;"",$D58&lt;&gt;"",F58=""),"",F58-SUMPRODUCT(--($C$3:$C$102="P"),--(F$3:F$102&lt;F58),--(F$3:F$102&lt;&gt;""))-SUMPRODUCT(--($D$3:$D$102="P"),--(F$3:F$102&lt;F58),--(F$3:F$102&lt;&gt;"")))</f>
        <v/>
      </c>
      <c r="M58" s="9">
        <f>IF(OR($C58&lt;&gt;"",$D58&lt;&gt;"",G58=""),"",G58-SUMPRODUCT(--($C$3:$C$102="P"),--(G$3:G$102&lt;G58),--(G$3:G$102&lt;&gt;""))-SUMPRODUCT(--($D$3:$D$102="P"),--(G$3:G$102&lt;G58),--(G$3:G$102&lt;&gt;"")))</f>
        <v>47</v>
      </c>
      <c r="N58" s="9">
        <f>IF(OR($C58&lt;&gt;"",$D58&lt;&gt;"",H58=""),"",H58-SUMPRODUCT(--($C$3:$C$102="P"),--(H$3:H$102&lt;H58),--(H$3:H$102&lt;&gt;""))-SUMPRODUCT(--($D$3:$D$102="P"),--(H$3:H$102&lt;H58),--(H$3:H$102&lt;&gt;"")))</f>
        <v>34</v>
      </c>
      <c r="O58" s="9" t="str">
        <f>IF(OR($C58&lt;&gt;"",$D58&lt;&gt;"",I58=""),"",I58-SUMPRODUCT(--($C$3:$C$102="P"),--(I$3:I$102&lt;I58),--(I$3:I$102&lt;&gt;""))-SUMPRODUCT(--($D$3:$D$102="P"),--(I$3:I$102&lt;I58),--(I$3:I$102&lt;&gt;"")))</f>
        <v/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5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0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5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81</v>
      </c>
      <c r="AC58" s="9">
        <f>COUNTIF(L58:Q58,"&lt;=8")</f>
        <v>0</v>
      </c>
      <c r="AD58" s="9">
        <f>MIN(L58:Q58)</f>
        <v>34</v>
      </c>
    </row>
    <row r="59" spans="1:30" x14ac:dyDescent="0.2">
      <c r="A59" s="7" t="s">
        <v>151</v>
      </c>
      <c r="B59" s="6" t="s">
        <v>82</v>
      </c>
      <c r="E59" s="3" t="str">
        <f>IF(AA59="","",RANK(AA59,AA:AA))</f>
        <v/>
      </c>
      <c r="F59" s="6"/>
      <c r="G59" s="6">
        <v>38</v>
      </c>
      <c r="H59" s="6">
        <v>35</v>
      </c>
      <c r="I59" s="6"/>
      <c r="J59" s="6"/>
      <c r="K59" s="6"/>
      <c r="L59" s="9" t="str">
        <f>IF(OR($C59&lt;&gt;"",$D59&lt;&gt;"",F59=""),"",F59-SUMPRODUCT(--($C$3:$C$102="P"),--(F$3:F$102&lt;F59),--(F$3:F$102&lt;&gt;""))-SUMPRODUCT(--($D$3:$D$102="P"),--(F$3:F$102&lt;F59),--(F$3:F$102&lt;&gt;"")))</f>
        <v/>
      </c>
      <c r="M59" s="9">
        <f>IF(OR($C59&lt;&gt;"",$D59&lt;&gt;"",G59=""),"",G59-SUMPRODUCT(--($C$3:$C$102="P"),--(G$3:G$102&lt;G59),--(G$3:G$102&lt;&gt;""))-SUMPRODUCT(--($D$3:$D$102="P"),--(G$3:G$102&lt;G59),--(G$3:G$102&lt;&gt;"")))</f>
        <v>38</v>
      </c>
      <c r="N59" s="9">
        <f>IF(OR($C59&lt;&gt;"",$D59&lt;&gt;"",H59=""),"",H59-SUMPRODUCT(--($C$3:$C$102="P"),--(H$3:H$102&lt;H59),--(H$3:H$102&lt;&gt;""))-SUMPRODUCT(--($D$3:$D$102="P"),--(H$3:H$102&lt;H59),--(H$3:H$102&lt;&gt;"")))</f>
        <v>35</v>
      </c>
      <c r="O59" s="9" t="str">
        <f>IF(OR($C59&lt;&gt;"",$D59&lt;&gt;"",I59=""),"",I59-SUMPRODUCT(--($C$3:$C$102="P"),--(I$3:I$102&lt;I59),--(I$3:I$102&lt;&gt;""))-SUMPRODUCT(--($D$3:$D$102="P"),--(I$3:I$102&lt;I59),--(I$3:I$102&lt;&gt;"")))</f>
        <v/>
      </c>
      <c r="P59" s="9" t="str">
        <f>IF(OR($C59&lt;&gt;"",$D59&lt;&gt;"",J59=""),"",J59-SUMPRODUCT(--($C$3:$C$102="P"),--(J$3:J$102&lt;J59),--(J$3:J$102&lt;&gt;""))-SUMPRODUCT(--($D$3:$D$102="P"),--(J$3:J$102&lt;J59),--(J$3:J$102&lt;&gt;"")))</f>
        <v/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5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0</v>
      </c>
      <c r="Y59" s="2" t="str">
        <f>IF(OR(X59="",X59=0),"",IF(SUMPRODUCT(--(B$3:B$102=B59),--(X$3:X$102&gt;X59),--(X$3:X$102&lt;&gt;"")),"","P"))</f>
        <v/>
      </c>
      <c r="Z59" s="2" t="str">
        <f>IF(X59="","",IF(SUMPRODUCT(--(C$3:C$102="P"),--(B$3:B$102=B59)),"P",""))</f>
        <v/>
      </c>
      <c r="AA59" s="15" t="str">
        <f>IF(AND(Y59&lt;&gt;"",OR(Z59="",SUMPRODUCT(--(X$3:X$102&gt;X59),--(Z$3:Z$102="P"),--(Y$3:Y$102="P"))&lt;4)),X59,"")</f>
        <v/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73</v>
      </c>
      <c r="AC59" s="9">
        <f>COUNTIF(L59:Q59,"&lt;=8")</f>
        <v>0</v>
      </c>
      <c r="AD59" s="9">
        <f>MIN(L59:Q59)</f>
        <v>35</v>
      </c>
    </row>
    <row r="60" spans="1:30" x14ac:dyDescent="0.2">
      <c r="A60" s="7" t="s">
        <v>163</v>
      </c>
      <c r="B60" s="6" t="s">
        <v>164</v>
      </c>
      <c r="E60" s="3"/>
      <c r="F60" s="6">
        <v>62</v>
      </c>
      <c r="G60" s="6">
        <v>48</v>
      </c>
      <c r="H60" s="6">
        <v>37</v>
      </c>
      <c r="I60" s="6"/>
      <c r="J60" s="6"/>
      <c r="K60" s="6"/>
      <c r="L60" s="9">
        <f>IF(OR($C60&lt;&gt;"",$D60&lt;&gt;"",F60=""),"",F60-SUMPRODUCT(--($C$3:$C$102="P"),--(F$3:F$102&lt;F60),--(F$3:F$102&lt;&gt;""))-SUMPRODUCT(--($D$3:$D$102="P"),--(F$3:F$102&lt;F60),--(F$3:F$102&lt;&gt;"")))</f>
        <v>62</v>
      </c>
      <c r="M60" s="9">
        <f>IF(OR($C60&lt;&gt;"",$D60&lt;&gt;"",G60=""),"",G60-SUMPRODUCT(--($C$3:$C$102="P"),--(G$3:G$102&lt;G60),--(G$3:G$102&lt;&gt;""))-SUMPRODUCT(--($D$3:$D$102="P"),--(G$3:G$102&lt;G60),--(G$3:G$102&lt;&gt;"")))</f>
        <v>48</v>
      </c>
      <c r="N60" s="9">
        <f>IF(OR($C60&lt;&gt;"",$D60&lt;&gt;"",H60=""),"",H60-SUMPRODUCT(--($C$3:$C$102="P"),--(H$3:H$102&lt;H60),--(H$3:H$102&lt;&gt;""))-SUMPRODUCT(--($D$3:$D$102="P"),--(H$3:H$102&lt;H60),--(H$3:H$102&lt;&gt;"")))</f>
        <v>37</v>
      </c>
      <c r="O60" s="9" t="str">
        <f>IF(OR($C60&lt;&gt;"",$D60&lt;&gt;"",I60=""),"",I60-SUMPRODUCT(--($C$3:$C$102="P"),--(I$3:I$102&lt;I60),--(I$3:I$102&lt;&gt;""))-SUMPRODUCT(--($D$3:$D$102="P"),--(I$3:I$102&lt;I60),--(I$3:I$102&lt;&gt;"")))</f>
        <v/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5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0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5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147</v>
      </c>
      <c r="AC60" s="9">
        <f>COUNTIF(L60:Q60,"&lt;=8")</f>
        <v>0</v>
      </c>
      <c r="AD60" s="9">
        <f>MIN(L60:Q60)</f>
        <v>37</v>
      </c>
    </row>
    <row r="61" spans="1:30" x14ac:dyDescent="0.2">
      <c r="A61" s="7" t="s">
        <v>146</v>
      </c>
      <c r="B61" s="6" t="s">
        <v>106</v>
      </c>
      <c r="E61" s="3" t="str">
        <f>IF(AA61="","",RANK(AA61,AA:AA))</f>
        <v/>
      </c>
      <c r="F61" s="6">
        <v>39</v>
      </c>
      <c r="G61" s="6">
        <v>32</v>
      </c>
      <c r="H61" s="6"/>
      <c r="I61" s="6"/>
      <c r="J61" s="6"/>
      <c r="K61" s="6"/>
      <c r="L61" s="9">
        <f>IF(OR($C61&lt;&gt;"",$D61&lt;&gt;"",F61=""),"",F61-SUMPRODUCT(--($C$3:$C$102="P"),--(F$3:F$102&lt;F61),--(F$3:F$102&lt;&gt;""))-SUMPRODUCT(--($D$3:$D$102="P"),--(F$3:F$102&lt;F61),--(F$3:F$102&lt;&gt;"")))</f>
        <v>39</v>
      </c>
      <c r="M61" s="9">
        <f>IF(OR($C61&lt;&gt;"",$D61&lt;&gt;"",G61=""),"",G61-SUMPRODUCT(--($C$3:$C$102="P"),--(G$3:G$102&lt;G61),--(G$3:G$102&lt;&gt;""))-SUMPRODUCT(--($D$3:$D$102="P"),--(G$3:G$102&lt;G61),--(G$3:G$102&lt;&gt;"")))</f>
        <v>32</v>
      </c>
      <c r="N61" s="9" t="str">
        <f>IF(OR($C61&lt;&gt;"",$D61&lt;&gt;"",H61=""),"",H61-SUMPRODUCT(--($C$3:$C$102="P"),--(H$3:H$102&lt;H61),--(H$3:H$102&lt;&gt;""))-SUMPRODUCT(--($D$3:$D$102="P"),--(H$3:H$102&lt;H61),--(H$3:H$102&lt;&gt;"")))</f>
        <v/>
      </c>
      <c r="O61" s="9" t="str">
        <f>IF(OR($C61&lt;&gt;"",$D61&lt;&gt;"",I61=""),"",I61-SUMPRODUCT(--($C$3:$C$102="P"),--(I$3:I$102&lt;I61),--(I$3:I$102&lt;&gt;""))-SUMPRODUCT(--($D$3:$D$102="P"),--(I$3:I$102&lt;I61),--(I$3:I$102&lt;&gt;"")))</f>
        <v/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5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0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5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71</v>
      </c>
      <c r="AC61" s="9">
        <f>COUNTIF(L61:Q61,"&lt;=8")</f>
        <v>0</v>
      </c>
      <c r="AD61" s="9">
        <f>MIN(L61:Q61)</f>
        <v>32</v>
      </c>
    </row>
    <row r="62" spans="1:30" x14ac:dyDescent="0.2">
      <c r="E62" s="3"/>
      <c r="F62" s="6"/>
      <c r="G62" s="6"/>
      <c r="H62" s="6"/>
      <c r="I62" s="6"/>
      <c r="J62" s="6"/>
      <c r="K62" s="6"/>
      <c r="L62" s="9"/>
      <c r="M62" s="9"/>
      <c r="N62" s="9"/>
      <c r="O62" s="9"/>
      <c r="P62" s="9"/>
      <c r="Q62" s="9"/>
      <c r="R62" s="8"/>
      <c r="S62" s="8"/>
      <c r="T62" s="8"/>
      <c r="U62" s="8"/>
      <c r="V62" s="8"/>
      <c r="W62" s="8"/>
      <c r="X62" s="9"/>
    </row>
    <row r="63" spans="1:30" x14ac:dyDescent="0.2">
      <c r="E63" s="3"/>
      <c r="F63" s="6"/>
      <c r="G63" s="6"/>
      <c r="H63" s="6"/>
      <c r="I63" s="6"/>
      <c r="J63" s="6"/>
      <c r="K63" s="6"/>
      <c r="L63" s="9"/>
      <c r="M63" s="9"/>
      <c r="N63" s="9"/>
      <c r="O63" s="9"/>
      <c r="P63" s="9"/>
      <c r="Q63" s="9"/>
      <c r="R63" s="8"/>
      <c r="S63" s="8"/>
      <c r="T63" s="8"/>
      <c r="U63" s="8"/>
      <c r="V63" s="8"/>
      <c r="W63" s="8"/>
      <c r="X63" s="9"/>
    </row>
    <row r="64" spans="1:30" x14ac:dyDescent="0.2">
      <c r="E64" s="3"/>
      <c r="F64" s="6"/>
      <c r="G64" s="6"/>
      <c r="H64" s="6"/>
      <c r="I64" s="6"/>
      <c r="J64" s="6"/>
      <c r="K64" s="6"/>
      <c r="L64" s="9"/>
      <c r="M64" s="9"/>
      <c r="N64" s="9"/>
      <c r="O64" s="9"/>
      <c r="P64" s="9"/>
      <c r="Q64" s="9"/>
      <c r="R64" s="8"/>
      <c r="S64" s="8"/>
      <c r="T64" s="8"/>
      <c r="U64" s="8"/>
      <c r="V64" s="8"/>
      <c r="W64" s="8"/>
      <c r="X64" s="9"/>
    </row>
    <row r="65" spans="5:24" x14ac:dyDescent="0.2">
      <c r="E65" s="3"/>
      <c r="F65" s="6"/>
      <c r="G65" s="6"/>
      <c r="H65" s="6"/>
      <c r="I65" s="6"/>
      <c r="J65" s="6"/>
      <c r="K65" s="6"/>
      <c r="L65" s="9"/>
      <c r="M65" s="9"/>
      <c r="N65" s="9"/>
      <c r="O65" s="9"/>
      <c r="P65" s="9"/>
      <c r="Q65" s="9"/>
      <c r="R65" s="8"/>
      <c r="S65" s="8"/>
      <c r="T65" s="8"/>
      <c r="U65" s="8"/>
      <c r="V65" s="8"/>
      <c r="W65" s="8"/>
      <c r="X65" s="9"/>
    </row>
    <row r="66" spans="5:24" x14ac:dyDescent="0.2">
      <c r="E66" s="3"/>
      <c r="F66" s="6"/>
      <c r="G66" s="6"/>
      <c r="H66" s="6"/>
      <c r="I66" s="6"/>
      <c r="J66" s="6"/>
      <c r="K66" s="6"/>
      <c r="L66" s="9"/>
      <c r="M66" s="9"/>
      <c r="N66" s="9"/>
      <c r="O66" s="9"/>
      <c r="P66" s="9"/>
      <c r="Q66" s="9"/>
      <c r="R66" s="8"/>
      <c r="S66" s="8"/>
      <c r="T66" s="8"/>
      <c r="U66" s="8"/>
      <c r="V66" s="8"/>
      <c r="W66" s="8"/>
      <c r="X66" s="9"/>
    </row>
    <row r="67" spans="5:24" x14ac:dyDescent="0.2">
      <c r="E67" s="3"/>
      <c r="F67" s="6"/>
      <c r="G67" s="6"/>
      <c r="H67" s="6"/>
      <c r="I67" s="6"/>
      <c r="J67" s="6"/>
      <c r="K67" s="6"/>
      <c r="L67" s="9"/>
      <c r="M67" s="9"/>
      <c r="N67" s="9"/>
      <c r="O67" s="9"/>
      <c r="P67" s="9"/>
      <c r="Q67" s="9"/>
      <c r="R67" s="8"/>
      <c r="S67" s="8"/>
      <c r="T67" s="8"/>
      <c r="U67" s="8"/>
      <c r="V67" s="8"/>
      <c r="W67" s="8"/>
      <c r="X67" s="9"/>
    </row>
    <row r="68" spans="5:24" x14ac:dyDescent="0.2">
      <c r="E68" s="3"/>
      <c r="F68" s="6"/>
      <c r="G68" s="6"/>
      <c r="H68" s="6"/>
      <c r="I68" s="6"/>
      <c r="J68" s="6"/>
      <c r="K68" s="6"/>
      <c r="L68" s="9"/>
      <c r="M68" s="9"/>
      <c r="N68" s="9"/>
      <c r="O68" s="9"/>
      <c r="P68" s="9"/>
      <c r="Q68" s="9"/>
      <c r="R68" s="8"/>
      <c r="S68" s="8"/>
      <c r="T68" s="8"/>
      <c r="U68" s="8"/>
      <c r="V68" s="8"/>
      <c r="W68" s="8"/>
      <c r="X68" s="9"/>
    </row>
    <row r="69" spans="5:24" x14ac:dyDescent="0.2">
      <c r="E69" s="3"/>
      <c r="F69" s="6"/>
      <c r="G69" s="6"/>
      <c r="H69" s="6"/>
      <c r="I69" s="6"/>
      <c r="J69" s="6"/>
      <c r="K69" s="6"/>
      <c r="L69" s="9"/>
      <c r="M69" s="9"/>
      <c r="N69" s="9"/>
      <c r="O69" s="9"/>
      <c r="P69" s="9"/>
      <c r="Q69" s="9"/>
      <c r="R69" s="8"/>
      <c r="S69" s="8"/>
      <c r="T69" s="8"/>
      <c r="U69" s="8"/>
      <c r="V69" s="8"/>
      <c r="W69" s="8"/>
      <c r="X69" s="9"/>
    </row>
    <row r="70" spans="5:24" x14ac:dyDescent="0.2">
      <c r="E70" s="3"/>
      <c r="F70" s="6"/>
      <c r="G70" s="6"/>
      <c r="H70" s="6"/>
      <c r="I70" s="6"/>
      <c r="J70" s="6"/>
      <c r="K70" s="6"/>
      <c r="L70" s="9"/>
      <c r="M70" s="9"/>
      <c r="N70" s="9"/>
      <c r="O70" s="9"/>
      <c r="P70" s="9"/>
      <c r="Q70" s="9"/>
      <c r="R70" s="8"/>
      <c r="S70" s="8"/>
      <c r="T70" s="8"/>
      <c r="U70" s="8"/>
      <c r="V70" s="8"/>
      <c r="W70" s="8"/>
      <c r="X70" s="9"/>
    </row>
    <row r="71" spans="5:24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8"/>
      <c r="S71" s="8"/>
      <c r="T71" s="8"/>
      <c r="U71" s="8"/>
      <c r="V71" s="8"/>
      <c r="W71" s="8"/>
      <c r="X71" s="9"/>
    </row>
    <row r="72" spans="5:24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8"/>
      <c r="S72" s="8"/>
      <c r="T72" s="8"/>
      <c r="U72" s="8"/>
      <c r="V72" s="8"/>
      <c r="W72" s="8"/>
      <c r="X72" s="9"/>
    </row>
    <row r="73" spans="5:24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8"/>
      <c r="S73" s="8"/>
      <c r="T73" s="8"/>
      <c r="U73" s="8"/>
      <c r="V73" s="8"/>
      <c r="W73" s="8"/>
      <c r="X73" s="9"/>
    </row>
    <row r="74" spans="5:24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8"/>
      <c r="S74" s="8"/>
      <c r="T74" s="8"/>
      <c r="U74" s="8"/>
      <c r="V74" s="8"/>
      <c r="W74" s="8"/>
      <c r="X74" s="9"/>
    </row>
    <row r="75" spans="5:24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8"/>
      <c r="S75" s="8"/>
      <c r="T75" s="8"/>
      <c r="U75" s="8"/>
      <c r="V75" s="8"/>
      <c r="W75" s="8"/>
      <c r="X75" s="9"/>
    </row>
    <row r="76" spans="5:24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8"/>
      <c r="S76" s="8"/>
      <c r="T76" s="8"/>
      <c r="U76" s="8"/>
      <c r="V76" s="8"/>
      <c r="W76" s="8"/>
      <c r="X76" s="9"/>
    </row>
    <row r="77" spans="5:24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8"/>
      <c r="S77" s="8"/>
      <c r="T77" s="8"/>
      <c r="U77" s="8"/>
      <c r="V77" s="8"/>
      <c r="W77" s="8"/>
      <c r="X77" s="9"/>
    </row>
    <row r="78" spans="5:24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8"/>
      <c r="S78" s="8"/>
      <c r="T78" s="8"/>
      <c r="U78" s="8"/>
      <c r="V78" s="8"/>
      <c r="W78" s="8"/>
      <c r="X78" s="9"/>
    </row>
    <row r="79" spans="5:24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8"/>
      <c r="S79" s="8"/>
      <c r="T79" s="8"/>
      <c r="U79" s="8"/>
      <c r="V79" s="8"/>
      <c r="W79" s="8"/>
      <c r="X79" s="9"/>
    </row>
    <row r="80" spans="5:24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8"/>
      <c r="S80" s="8"/>
      <c r="T80" s="8"/>
      <c r="U80" s="8"/>
      <c r="V80" s="8"/>
      <c r="W80" s="8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8"/>
      <c r="S81" s="8"/>
      <c r="T81" s="8"/>
      <c r="U81" s="8"/>
      <c r="V81" s="8"/>
      <c r="W81" s="8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8"/>
      <c r="S82" s="8"/>
      <c r="T82" s="8"/>
      <c r="U82" s="8"/>
      <c r="V82" s="8"/>
      <c r="W82" s="8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8"/>
      <c r="S83" s="8"/>
      <c r="T83" s="8"/>
      <c r="U83" s="8"/>
      <c r="V83" s="8"/>
      <c r="W83" s="8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8"/>
      <c r="S84" s="8"/>
      <c r="T84" s="8"/>
      <c r="U84" s="8"/>
      <c r="V84" s="8"/>
      <c r="W84" s="8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8"/>
      <c r="S85" s="8"/>
      <c r="T85" s="8"/>
      <c r="U85" s="8"/>
      <c r="V85" s="8"/>
      <c r="W85" s="8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8"/>
      <c r="S86" s="8"/>
      <c r="T86" s="8"/>
      <c r="U86" s="8"/>
      <c r="V86" s="8"/>
      <c r="W86" s="8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8"/>
      <c r="S87" s="8"/>
      <c r="T87" s="8"/>
      <c r="U87" s="8"/>
      <c r="V87" s="8"/>
      <c r="W87" s="8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8"/>
      <c r="S88" s="8"/>
      <c r="T88" s="8"/>
      <c r="U88" s="8"/>
      <c r="V88" s="8"/>
      <c r="W88" s="8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8"/>
      <c r="S89" s="8"/>
      <c r="T89" s="8"/>
      <c r="U89" s="8"/>
      <c r="V89" s="8"/>
      <c r="W89" s="8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8"/>
      <c r="S90" s="8"/>
      <c r="T90" s="8"/>
      <c r="U90" s="8"/>
      <c r="V90" s="8"/>
      <c r="W90" s="8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8"/>
      <c r="S91" s="8"/>
      <c r="T91" s="8"/>
      <c r="U91" s="8"/>
      <c r="V91" s="8"/>
      <c r="W91" s="8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8"/>
      <c r="S92" s="8"/>
      <c r="T92" s="8"/>
      <c r="U92" s="8"/>
      <c r="V92" s="8"/>
      <c r="W92" s="8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8"/>
      <c r="S93" s="8"/>
      <c r="T93" s="8"/>
      <c r="U93" s="8"/>
      <c r="V93" s="8"/>
      <c r="W93" s="8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8"/>
      <c r="S94" s="8"/>
      <c r="T94" s="8"/>
      <c r="U94" s="8"/>
      <c r="V94" s="8"/>
      <c r="W94" s="8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8"/>
      <c r="S95" s="8"/>
      <c r="T95" s="8"/>
      <c r="U95" s="8"/>
      <c r="V95" s="8"/>
      <c r="W95" s="8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8"/>
      <c r="S96" s="8"/>
      <c r="T96" s="8"/>
      <c r="U96" s="8"/>
      <c r="V96" s="8"/>
      <c r="W96" s="8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8"/>
      <c r="S97" s="8"/>
      <c r="T97" s="8"/>
      <c r="U97" s="8"/>
      <c r="V97" s="8"/>
      <c r="W97" s="8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8"/>
      <c r="S98" s="8"/>
      <c r="T98" s="8"/>
      <c r="U98" s="8"/>
      <c r="V98" s="8"/>
      <c r="W98" s="8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8"/>
      <c r="S99" s="8"/>
      <c r="T99" s="8"/>
      <c r="U99" s="8"/>
      <c r="V99" s="8"/>
      <c r="W99" s="8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8"/>
      <c r="S100" s="8"/>
      <c r="T100" s="8"/>
      <c r="U100" s="8"/>
      <c r="V100" s="8"/>
      <c r="W100" s="8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8"/>
      <c r="S101" s="8"/>
      <c r="T101" s="8"/>
      <c r="U101" s="8"/>
      <c r="V101" s="8"/>
      <c r="W101" s="8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8"/>
      <c r="S102" s="8"/>
      <c r="T102" s="8"/>
      <c r="U102" s="8"/>
      <c r="V102" s="8"/>
      <c r="W102" s="8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1:A2"/>
    <mergeCell ref="F1:K1"/>
    <mergeCell ref="R1:W1"/>
    <mergeCell ref="X1:X2"/>
    <mergeCell ref="E1:E2"/>
    <mergeCell ref="B1:B2"/>
    <mergeCell ref="L1:Q1"/>
    <mergeCell ref="Z1:Z2"/>
    <mergeCell ref="Y1:Y2"/>
    <mergeCell ref="AA1:AA2"/>
    <mergeCell ref="C1:C2"/>
    <mergeCell ref="D1:D2"/>
  </mergeCells>
  <conditionalFormatting sqref="A1:B1048576">
    <cfRule type="expression" dxfId="13" priority="3">
      <formula>IF(OR($C1="P",$D1="P"),1,0)</formula>
    </cfRule>
    <cfRule type="expression" dxfId="12" priority="4">
      <formula>IF(AND($E1&lt;&gt;"",$E1&lt;=14-COUNTIF($C$3:$C$102,"P")-COUNTIF($D$3:$D$102,"P")),1,0)</formula>
    </cfRule>
    <cfRule type="expression" dxfId="11" priority="5">
      <formula>IF(AND($E1&lt;&gt;"",$E1&lt;=16-COUNTIF($C$3:$C$102,"P")-COUNTIF($D$3:$D$102,"P")),1,0)</formula>
    </cfRule>
  </conditionalFormatting>
  <conditionalFormatting sqref="C62:AA102 C3:AD61">
    <cfRule type="expression" dxfId="10" priority="2">
      <formula>IF(AND($A3&lt;&gt;"",MOD(ROW(),2)=0),1,0)</formula>
    </cfRule>
    <cfRule type="expression" dxfId="9" priority="6">
      <formula>IF(AND($A3&lt;&gt;"",MOD(ROW(),2)=1),1,0)</formula>
    </cfRule>
  </conditionalFormatting>
  <conditionalFormatting sqref="E3:E102 K3:K102 W3:W102 Q3:Q102">
    <cfRule type="expression" dxfId="8" priority="1">
      <formula>IF($A3&lt;&gt;"",1,0)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J102"/>
  <sheetViews>
    <sheetView tabSelected="1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9"/>
    <col min="28" max="30" width="0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113</v>
      </c>
      <c r="D1" s="17" t="s">
        <v>114</v>
      </c>
      <c r="E1" s="22" t="s">
        <v>61</v>
      </c>
      <c r="F1" s="19" t="s">
        <v>7</v>
      </c>
      <c r="G1" s="19"/>
      <c r="H1" s="19"/>
      <c r="I1" s="19"/>
      <c r="J1" s="19"/>
      <c r="K1" s="20"/>
      <c r="L1" s="21" t="s">
        <v>62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63</v>
      </c>
      <c r="Z1" s="23" t="s">
        <v>115</v>
      </c>
      <c r="AA1" s="17" t="s">
        <v>111</v>
      </c>
      <c r="AB1" s="17" t="s">
        <v>152</v>
      </c>
      <c r="AC1" s="17" t="s">
        <v>153</v>
      </c>
      <c r="AD1" s="17" t="s">
        <v>154</v>
      </c>
      <c r="AE1" s="16" t="s">
        <v>112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64</v>
      </c>
      <c r="B3" s="6" t="s">
        <v>19</v>
      </c>
      <c r="E3" s="3">
        <f>IF(AA3="","",RANK(AA3,AA:AA))</f>
        <v>1</v>
      </c>
      <c r="F3" s="6">
        <v>1</v>
      </c>
      <c r="G3" s="6">
        <v>3</v>
      </c>
      <c r="H3" s="6">
        <v>2</v>
      </c>
      <c r="I3" s="6"/>
      <c r="J3" s="6"/>
      <c r="K3" s="6"/>
      <c r="L3" s="9">
        <f>IF(OR($C3&lt;&gt;"",$D3&lt;&gt;"",F3=""),"",F3-SUMPRODUCT(--($C$3:$C$102="P"),--(F$3:F$102&lt;F3),--(F$3:F$102&lt;&gt;""))-SUMPRODUCT(--($D$3:$D$102="P"),--(F$3:F$102&lt;F3),--(F$3:F$102&lt;&gt;"")))</f>
        <v>1</v>
      </c>
      <c r="M3" s="9">
        <f>IF(OR($C3&lt;&gt;"",$D3&lt;&gt;"",G3=""),"",G3-SUMPRODUCT(--($C$3:$C$102="P"),--(G$3:G$102&lt;G3),--(G$3:G$102&lt;&gt;""))-SUMPRODUCT(--($D$3:$D$102="P"),--(G$3:G$102&lt;G3),--(G$3:G$102&lt;&gt;"")))</f>
        <v>3</v>
      </c>
      <c r="N3" s="9">
        <f>IF(OR($C3&lt;&gt;"",$D3&lt;&gt;"",H3=""),"",H3-SUMPRODUCT(--($C$3:$C$102="P"),--(H$3:H$102&lt;H3),--(H$3:H$102&lt;&gt;""))-SUMPRODUCT(--($D$3:$D$102="P"),--(H$3:H$102&lt;H3),--(H$3:H$102&lt;&gt;"")))</f>
        <v>2</v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9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60</v>
      </c>
      <c r="S3" s="9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>50</v>
      </c>
      <c r="T3" s="9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>55</v>
      </c>
      <c r="U3" s="9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>165.09943999000001</v>
      </c>
      <c r="Y3" s="2" t="str">
        <f>IF(OR(X3="",X3=0),"",IF(SUMPRODUCT(--(B$3:B$102=B3),--(X$3:X$102&gt;X3),--(X$3:X$102&lt;&gt;"")),"","P"))</f>
        <v>P</v>
      </c>
      <c r="Z3" s="2" t="str">
        <f>IF(X3="","",IF(SUMPRODUCT(--(C$3:C$102="P"),--(B$3:B$102=B3)),"P",""))</f>
        <v/>
      </c>
      <c r="AA3" s="15">
        <f>IF(AND(Y3&lt;&gt;"",OR(Z3="",SUMPRODUCT(--(X$3:X$102&gt;X3),--(Z$3:Z$102="P"),--(Y$3:Y$102="P"))&lt;4)),X3,"")</f>
        <v>165.09943999000001</v>
      </c>
      <c r="AB3" s="9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>6</v>
      </c>
      <c r="AC3" s="9">
        <f>COUNTIF(L3:Q3,"&lt;=8")</f>
        <v>3</v>
      </c>
      <c r="AD3" s="9">
        <f>MIN(L3:Q3)</f>
        <v>1</v>
      </c>
      <c r="AE3" s="14"/>
    </row>
    <row r="4" spans="1:36" x14ac:dyDescent="0.2">
      <c r="A4" s="7" t="s">
        <v>68</v>
      </c>
      <c r="B4" s="6" t="s">
        <v>20</v>
      </c>
      <c r="E4" s="3">
        <f>IF(AA4="","",RANK(AA4,AA:AA))</f>
        <v>2</v>
      </c>
      <c r="F4" s="6">
        <v>6</v>
      </c>
      <c r="G4" s="6">
        <v>2</v>
      </c>
      <c r="H4" s="6">
        <v>4</v>
      </c>
      <c r="I4" s="6"/>
      <c r="J4" s="6"/>
      <c r="K4" s="6"/>
      <c r="L4" s="9">
        <f>IF(OR($C4&lt;&gt;"",$D4&lt;&gt;"",F4=""),"",F4-SUMPRODUCT(--($C$3:$C$102="P"),--(F$3:F$102&lt;F4),--(F$3:F$102&lt;&gt;""))-SUMPRODUCT(--($D$3:$D$102="P"),--(F$3:F$102&lt;F4),--(F$3:F$102&lt;&gt;"")))</f>
        <v>6</v>
      </c>
      <c r="M4" s="9">
        <f>IF(OR($C4&lt;&gt;"",$D4&lt;&gt;"",G4=""),"",G4-SUMPRODUCT(--($C$3:$C$102="P"),--(G$3:G$102&lt;G4),--(G$3:G$102&lt;&gt;""))-SUMPRODUCT(--($D$3:$D$102="P"),--(G$3:G$102&lt;G4),--(G$3:G$102&lt;&gt;"")))</f>
        <v>2</v>
      </c>
      <c r="N4" s="9">
        <f>IF(OR($C4&lt;&gt;"",$D4&lt;&gt;"",H4=""),"",H4-SUMPRODUCT(--($C$3:$C$102="P"),--(H$3:H$102&lt;H4),--(H$3:H$102&lt;&gt;""))-SUMPRODUCT(--($D$3:$D$102="P"),--(H$3:H$102&lt;H4),--(H$3:H$102&lt;&gt;"")))</f>
        <v>4</v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>32</v>
      </c>
      <c r="S4" s="9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>55</v>
      </c>
      <c r="T4" s="9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>44</v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5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>131.09883998000001</v>
      </c>
      <c r="Y4" s="2" t="str">
        <f>IF(OR(X4="",X4=0),"",IF(SUMPRODUCT(--(B$3:B$102=B4),--(X$3:X$102&gt;X4),--(X$3:X$102&lt;&gt;"")),"","P"))</f>
        <v>P</v>
      </c>
      <c r="Z4" s="2" t="str">
        <f>IF(X4="","",IF(SUMPRODUCT(--(C$3:C$102="P"),--(B$3:B$102=B4)),"P",""))</f>
        <v/>
      </c>
      <c r="AA4" s="15">
        <f>IF(AND(Y4&lt;&gt;"",OR(Z4="",SUMPRODUCT(--(X$3:X$102&gt;X4),--(Z$3:Z$102="P"),--(Y$3:Y$102="P"))&lt;4)),X4,"")</f>
        <v>131.09883998000001</v>
      </c>
      <c r="AB4" s="9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>12</v>
      </c>
      <c r="AC4" s="9">
        <f>COUNTIF(L4:Q4,"&lt;=8")</f>
        <v>3</v>
      </c>
      <c r="AD4" s="9">
        <f>MIN(L4:Q4)</f>
        <v>2</v>
      </c>
    </row>
    <row r="5" spans="1:36" x14ac:dyDescent="0.2">
      <c r="A5" s="7" t="s">
        <v>65</v>
      </c>
      <c r="B5" s="6" t="s">
        <v>16</v>
      </c>
      <c r="E5" s="3">
        <f>IF(AA5="","",RANK(AA5,AA:AA))</f>
        <v>3</v>
      </c>
      <c r="F5" s="6">
        <v>2</v>
      </c>
      <c r="G5" s="6">
        <v>11</v>
      </c>
      <c r="H5" s="6">
        <v>5</v>
      </c>
      <c r="I5" s="6"/>
      <c r="J5" s="6"/>
      <c r="K5" s="6"/>
      <c r="L5" s="9">
        <f>IF(OR($C5&lt;&gt;"",$D5&lt;&gt;"",F5=""),"",F5-SUMPRODUCT(--($C$3:$C$102="P"),--(F$3:F$102&lt;F5),--(F$3:F$102&lt;&gt;""))-SUMPRODUCT(--($D$3:$D$102="P"),--(F$3:F$102&lt;F5),--(F$3:F$102&lt;&gt;"")))</f>
        <v>2</v>
      </c>
      <c r="M5" s="9">
        <f>IF(OR($C5&lt;&gt;"",$D5&lt;&gt;"",G5=""),"",G5-SUMPRODUCT(--($C$3:$C$102="P"),--(G$3:G$102&lt;G5),--(G$3:G$102&lt;&gt;""))-SUMPRODUCT(--($D$3:$D$102="P"),--(G$3:G$102&lt;G5),--(G$3:G$102&lt;&gt;"")))</f>
        <v>11</v>
      </c>
      <c r="N5" s="9">
        <f>IF(OR($C5&lt;&gt;"",$D5&lt;&gt;"",H5=""),"",H5-SUMPRODUCT(--($C$3:$C$102="P"),--(H$3:H$102&lt;H5),--(H$3:H$102&lt;&gt;""))-SUMPRODUCT(--($D$3:$D$102="P"),--(H$3:H$102&lt;H5),--(H$3:H$102&lt;&gt;"")))</f>
        <v>5</v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>55</v>
      </c>
      <c r="S5" s="9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>20</v>
      </c>
      <c r="T5" s="9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>38</v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5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>113.09822998000001</v>
      </c>
      <c r="Y5" s="2" t="str">
        <f>IF(OR(X5="",X5=0),"",IF(SUMPRODUCT(--(B$3:B$102=B5),--(X$3:X$102&gt;X5),--(X$3:X$102&lt;&gt;"")),"","P"))</f>
        <v>P</v>
      </c>
      <c r="Z5" s="2" t="str">
        <f>IF(X5="","",IF(SUMPRODUCT(--(C$3:C$102="P"),--(B$3:B$102=B5)),"P",""))</f>
        <v/>
      </c>
      <c r="AA5" s="15">
        <f>IF(AND(Y5&lt;&gt;"",OR(Z5="",SUMPRODUCT(--(X$3:X$102&gt;X5),--(Z$3:Z$102="P"),--(Y$3:Y$102="P"))&lt;4)),X5,"")</f>
        <v>113.09822998000001</v>
      </c>
      <c r="AB5" s="9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>18</v>
      </c>
      <c r="AC5" s="9">
        <f>COUNTIF(L5:Q5,"&lt;=8")</f>
        <v>2</v>
      </c>
      <c r="AD5" s="9">
        <f>MIN(L5:Q5)</f>
        <v>2</v>
      </c>
      <c r="AE5" s="14"/>
    </row>
    <row r="6" spans="1:36" x14ac:dyDescent="0.2">
      <c r="A6" s="7" t="s">
        <v>67</v>
      </c>
      <c r="B6" s="6" t="s">
        <v>53</v>
      </c>
      <c r="E6" s="3">
        <f>IF(AA6="","",RANK(AA6,AA:AA))</f>
        <v>4</v>
      </c>
      <c r="F6" s="6">
        <v>5</v>
      </c>
      <c r="G6" s="6">
        <v>4</v>
      </c>
      <c r="H6" s="6">
        <v>7</v>
      </c>
      <c r="I6" s="6"/>
      <c r="J6" s="6"/>
      <c r="K6" s="6"/>
      <c r="L6" s="9">
        <f>IF(OR($C6&lt;&gt;"",$D6&lt;&gt;"",F6=""),"",F6-SUMPRODUCT(--($C$3:$C$102="P"),--(F$3:F$102&lt;F6),--(F$3:F$102&lt;&gt;""))-SUMPRODUCT(--($D$3:$D$102="P"),--(F$3:F$102&lt;F6),--(F$3:F$102&lt;&gt;"")))</f>
        <v>5</v>
      </c>
      <c r="M6" s="9">
        <f>IF(OR($C6&lt;&gt;"",$D6&lt;&gt;"",G6=""),"",G6-SUMPRODUCT(--($C$3:$C$102="P"),--(G$3:G$102&lt;G6),--(G$3:G$102&lt;&gt;""))-SUMPRODUCT(--($D$3:$D$102="P"),--(G$3:G$102&lt;G6),--(G$3:G$102&lt;&gt;"")))</f>
        <v>4</v>
      </c>
      <c r="N6" s="9">
        <f>IF(OR($C6&lt;&gt;"",$D6&lt;&gt;"",H6=""),"",H6-SUMPRODUCT(--($C$3:$C$102="P"),--(H$3:H$102&lt;H6),--(H$3:H$102&lt;&gt;""))-SUMPRODUCT(--($D$3:$D$102="P"),--(H$3:H$102&lt;H6),--(H$3:H$102&lt;&gt;"")))</f>
        <v>7</v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>38</v>
      </c>
      <c r="S6" s="9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>44</v>
      </c>
      <c r="T6" s="9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>28</v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5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>110.09843995999999</v>
      </c>
      <c r="Y6" s="2" t="str">
        <f>IF(OR(X6="",X6=0),"",IF(SUMPRODUCT(--(B$3:B$102=B6),--(X$3:X$102&gt;X6),--(X$3:X$102&lt;&gt;"")),"","P"))</f>
        <v>P</v>
      </c>
      <c r="Z6" s="2" t="str">
        <f>IF(X6="","",IF(SUMPRODUCT(--(C$3:C$102="P"),--(B$3:B$102=B6)),"P",""))</f>
        <v/>
      </c>
      <c r="AA6" s="15">
        <f>IF(AND(Y6&lt;&gt;"",OR(Z6="",SUMPRODUCT(--(X$3:X$102&gt;X6),--(Z$3:Z$102="P"),--(Y$3:Y$102="P"))&lt;4)),X6,"")</f>
        <v>110.09843995999999</v>
      </c>
      <c r="AB6" s="9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>16</v>
      </c>
      <c r="AC6" s="9">
        <f>COUNTIF(L6:Q6,"&lt;=8")</f>
        <v>3</v>
      </c>
      <c r="AD6" s="9">
        <f>MIN(L6:Q6)</f>
        <v>4</v>
      </c>
    </row>
    <row r="7" spans="1:36" x14ac:dyDescent="0.2">
      <c r="A7" s="7" t="s">
        <v>80</v>
      </c>
      <c r="B7" s="6" t="s">
        <v>20</v>
      </c>
      <c r="E7" s="3" t="str">
        <f>IF(AA7="","",RANK(AA7,AA:AA))</f>
        <v/>
      </c>
      <c r="F7" s="6">
        <v>14</v>
      </c>
      <c r="G7" s="6">
        <v>1</v>
      </c>
      <c r="H7" s="6">
        <v>11</v>
      </c>
      <c r="I7" s="6"/>
      <c r="J7" s="6"/>
      <c r="K7" s="6"/>
      <c r="L7" s="9">
        <f>IF(OR($C7&lt;&gt;"",$D7&lt;&gt;"",F7=""),"",F7-SUMPRODUCT(--($C$3:$C$102="P"),--(F$3:F$102&lt;F7),--(F$3:F$102&lt;&gt;""))-SUMPRODUCT(--($D$3:$D$102="P"),--(F$3:F$102&lt;F7),--(F$3:F$102&lt;&gt;"")))</f>
        <v>14</v>
      </c>
      <c r="M7" s="9">
        <f>IF(OR($C7&lt;&gt;"",$D7&lt;&gt;"",G7=""),"",G7-SUMPRODUCT(--($C$3:$C$102="P"),--(G$3:G$102&lt;G7),--(G$3:G$102&lt;&gt;""))-SUMPRODUCT(--($D$3:$D$102="P"),--(G$3:G$102&lt;G7),--(G$3:G$102&lt;&gt;"")))</f>
        <v>1</v>
      </c>
      <c r="N7" s="9">
        <f>IF(OR($C7&lt;&gt;"",$D7&lt;&gt;"",H7=""),"",H7-SUMPRODUCT(--($C$3:$C$102="P"),--(H$3:H$102&lt;H7),--(H$3:H$102&lt;&gt;""))-SUMPRODUCT(--($D$3:$D$102="P"),--(H$3:H$102&lt;H7),--(H$3:H$102&lt;&gt;"")))</f>
        <v>11</v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>17</v>
      </c>
      <c r="S7" s="9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>60</v>
      </c>
      <c r="T7" s="9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>20</v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5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>97.097419989999992</v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5" t="str">
        <f>IF(AND(Y7&lt;&gt;"",OR(Z7="",SUMPRODUCT(--(X$3:X$102&gt;X7),--(Z$3:Z$102="P"),--(Y$3:Y$102="P"))&lt;4)),X7,"")</f>
        <v/>
      </c>
      <c r="AB7" s="9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>26</v>
      </c>
      <c r="AC7" s="9">
        <f>COUNTIF(L7:Q7,"&lt;=8")</f>
        <v>1</v>
      </c>
      <c r="AD7" s="9">
        <f>MIN(L7:Q7)</f>
        <v>1</v>
      </c>
    </row>
    <row r="8" spans="1:36" x14ac:dyDescent="0.2">
      <c r="A8" s="7" t="s">
        <v>70</v>
      </c>
      <c r="B8" s="6" t="s">
        <v>19</v>
      </c>
      <c r="E8" s="3" t="str">
        <f>IF(AA8="","",RANK(AA8,AA:AA))</f>
        <v/>
      </c>
      <c r="F8" s="6">
        <v>8</v>
      </c>
      <c r="G8" s="6">
        <v>5</v>
      </c>
      <c r="H8" s="6">
        <v>6</v>
      </c>
      <c r="I8" s="6"/>
      <c r="J8" s="6"/>
      <c r="K8" s="6"/>
      <c r="L8" s="9">
        <f>IF(OR($C8&lt;&gt;"",$D8&lt;&gt;"",F8=""),"",F8-SUMPRODUCT(--($C$3:$C$102="P"),--(F$3:F$102&lt;F8),--(F$3:F$102&lt;&gt;""))-SUMPRODUCT(--($D$3:$D$102="P"),--(F$3:F$102&lt;F8),--(F$3:F$102&lt;&gt;"")))</f>
        <v>8</v>
      </c>
      <c r="M8" s="9">
        <f>IF(OR($C8&lt;&gt;"",$D8&lt;&gt;"",G8=""),"",G8-SUMPRODUCT(--($C$3:$C$102="P"),--(G$3:G$102&lt;G8),--(G$3:G$102&lt;&gt;""))-SUMPRODUCT(--($D$3:$D$102="P"),--(G$3:G$102&lt;G8),--(G$3:G$102&lt;&gt;"")))</f>
        <v>5</v>
      </c>
      <c r="N8" s="9">
        <f>IF(OR($C8&lt;&gt;"",$D8&lt;&gt;"",H8=""),"",H8-SUMPRODUCT(--($C$3:$C$102="P"),--(H$3:H$102&lt;H8),--(H$3:H$102&lt;&gt;""))-SUMPRODUCT(--($D$3:$D$102="P"),--(H$3:H$102&lt;H8),--(H$3:H$102&lt;&gt;"")))</f>
        <v>6</v>
      </c>
      <c r="O8" s="9" t="str">
        <f>IF(OR($C8&lt;&gt;"",$D8&lt;&gt;"",I8=""),"",I8-SUMPRODUCT(--($C$3:$C$102="P"),--(I$3:I$102&lt;I8),--(I$3:I$102&lt;&gt;""))-SUMPRODUCT(--($D$3:$D$102="P"),--(I$3:I$102&lt;I8),--(I$3:I$102&lt;&gt;"")))</f>
        <v/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25</v>
      </c>
      <c r="S8" s="9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38</v>
      </c>
      <c r="T8" s="9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32</v>
      </c>
      <c r="U8" s="9" t="str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/>
      </c>
      <c r="V8" s="9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5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95.098139950000004</v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5" t="str">
        <f>IF(AND(Y8&lt;&gt;"",OR(Z8="",SUMPRODUCT(--(X$3:X$102&gt;X8),--(Z$3:Z$102="P"),--(Y$3:Y$102="P"))&lt;4)),X8,"")</f>
        <v/>
      </c>
      <c r="AB8" s="9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>19</v>
      </c>
      <c r="AC8" s="9">
        <f>COUNTIF(L8:Q8,"&lt;=8")</f>
        <v>3</v>
      </c>
      <c r="AD8" s="9">
        <f>MIN(L8:Q8)</f>
        <v>5</v>
      </c>
    </row>
    <row r="9" spans="1:36" x14ac:dyDescent="0.2">
      <c r="A9" s="7" t="s">
        <v>72</v>
      </c>
      <c r="B9" s="6" t="s">
        <v>16</v>
      </c>
      <c r="E9" s="3" t="str">
        <f>IF(AA9="","",RANK(AA9,AA:AA))</f>
        <v/>
      </c>
      <c r="F9" s="6">
        <v>4</v>
      </c>
      <c r="G9" s="6">
        <v>8</v>
      </c>
      <c r="H9" s="6">
        <v>9</v>
      </c>
      <c r="I9" s="6"/>
      <c r="J9" s="6"/>
      <c r="K9" s="6"/>
      <c r="L9" s="9">
        <f>IF(OR($C9&lt;&gt;"",$D9&lt;&gt;"",F9=""),"",F9-SUMPRODUCT(--($C$3:$C$102="P"),--(F$3:F$102&lt;F9),--(F$3:F$102&lt;&gt;""))-SUMPRODUCT(--($D$3:$D$102="P"),--(F$3:F$102&lt;F9),--(F$3:F$102&lt;&gt;"")))</f>
        <v>4</v>
      </c>
      <c r="M9" s="9">
        <f>IF(OR($C9&lt;&gt;"",$D9&lt;&gt;"",G9=""),"",G9-SUMPRODUCT(--($C$3:$C$102="P"),--(G$3:G$102&lt;G9),--(G$3:G$102&lt;&gt;""))-SUMPRODUCT(--($D$3:$D$102="P"),--(G$3:G$102&lt;G9),--(G$3:G$102&lt;&gt;"")))</f>
        <v>8</v>
      </c>
      <c r="N9" s="9">
        <f>IF(OR($C9&lt;&gt;"",$D9&lt;&gt;"",H9=""),"",H9-SUMPRODUCT(--($C$3:$C$102="P"),--(H$3:H$102&lt;H9),--(H$3:H$102&lt;&gt;""))-SUMPRODUCT(--($D$3:$D$102="P"),--(H$3:H$102&lt;H9),--(H$3:H$102&lt;&gt;"")))</f>
        <v>9</v>
      </c>
      <c r="O9" s="9" t="str">
        <f>IF(OR($C9&lt;&gt;"",$D9&lt;&gt;"",I9=""),"",I9-SUMPRODUCT(--($C$3:$C$102="P"),--(I$3:I$102&lt;I9),--(I$3:I$102&lt;&gt;""))-SUMPRODUCT(--($D$3:$D$102="P"),--(I$3:I$102&lt;I9),--(I$3:I$102&lt;&gt;"")))</f>
        <v/>
      </c>
      <c r="P9" s="9" t="str">
        <f>IF(OR($C9&lt;&gt;"",$D9&lt;&gt;"",J9=""),"",J9-SUMPRODUCT(--($C$3:$C$102="P"),--(J$3:J$102&lt;J9),--(J$3:J$102&lt;&gt;""))-SUMPRODUCT(--($D$3:$D$102="P"),--(J$3:J$102&lt;J9),--(J$3:J$102&lt;&gt;"")))</f>
        <v/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44</v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25</v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22</v>
      </c>
      <c r="U9" s="9" t="str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/>
      </c>
      <c r="V9" s="9" t="str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/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5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91.097929960000002</v>
      </c>
      <c r="Y9" s="2" t="str">
        <f>IF(OR(X9="",X9=0),"",IF(SUMPRODUCT(--(B$3:B$102=B9),--(X$3:X$102&gt;X9),--(X$3:X$102&lt;&gt;"")),"","P"))</f>
        <v/>
      </c>
      <c r="Z9" s="2" t="str">
        <f>IF(X9="","",IF(SUMPRODUCT(--(C$3:C$102="P"),--(B$3:B$102=B9)),"P",""))</f>
        <v/>
      </c>
      <c r="AA9" s="15" t="str">
        <f>IF(AND(Y9&lt;&gt;"",OR(Z9="",SUMPRODUCT(--(X$3:X$102&gt;X9),--(Z$3:Z$102="P"),--(Y$3:Y$102="P"))&lt;4)),X9,"")</f>
        <v/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21</v>
      </c>
      <c r="AC9" s="9">
        <f>COUNTIF(L9:Q9,"&lt;=8")</f>
        <v>2</v>
      </c>
      <c r="AD9" s="9">
        <f>MIN(L9:Q9)</f>
        <v>4</v>
      </c>
    </row>
    <row r="10" spans="1:36" x14ac:dyDescent="0.2">
      <c r="A10" s="7" t="s">
        <v>66</v>
      </c>
      <c r="B10" s="6" t="s">
        <v>18</v>
      </c>
      <c r="E10" s="3">
        <f>IF(AA10="","",RANK(AA10,AA:AA))</f>
        <v>5</v>
      </c>
      <c r="F10" s="6">
        <v>3</v>
      </c>
      <c r="G10" s="6">
        <v>12</v>
      </c>
      <c r="H10" s="6">
        <v>10</v>
      </c>
      <c r="I10" s="6"/>
      <c r="J10" s="6"/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3</v>
      </c>
      <c r="M10" s="9">
        <f>IF(OR($C10&lt;&gt;"",$D10&lt;&gt;"",G10=""),"",G10-SUMPRODUCT(--($C$3:$C$102="P"),--(G$3:G$102&lt;G10),--(G$3:G$102&lt;&gt;""))-SUMPRODUCT(--($D$3:$D$102="P"),--(G$3:G$102&lt;G10),--(G$3:G$102&lt;&gt;"")))</f>
        <v>12</v>
      </c>
      <c r="N10" s="9">
        <f>IF(OR($C10&lt;&gt;"",$D10&lt;&gt;"",H10=""),"",H10-SUMPRODUCT(--($C$3:$C$102="P"),--(H$3:H$102&lt;H10),--(H$3:H$102&lt;&gt;""))-SUMPRODUCT(--($D$3:$D$102="P"),--(H$3:H$102&lt;H10),--(H$3:H$102&lt;&gt;"")))</f>
        <v>10</v>
      </c>
      <c r="O10" s="9" t="str">
        <f>IF(OR($C10&lt;&gt;"",$D10&lt;&gt;"",I10=""),"",I10-SUMPRODUCT(--($C$3:$C$102="P"),--(I$3:I$102&lt;I10),--(I$3:I$102&lt;&gt;""))-SUMPRODUCT(--($D$3:$D$102="P"),--(I$3:I$102&lt;I10),--(I$3:I$102&lt;&gt;"")))</f>
        <v/>
      </c>
      <c r="P10" s="9" t="str">
        <f>IF(OR($C10&lt;&gt;"",$D10&lt;&gt;"",J10=""),"",J10-SUMPRODUCT(--($C$3:$C$102="P"),--(J$3:J$102&lt;J10),--(J$3:J$102&lt;&gt;""))-SUMPRODUCT(--($D$3:$D$102="P"),--(J$3:J$102&lt;J10),--(J$3:J$102&lt;&gt;"")))</f>
        <v/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50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19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21</v>
      </c>
      <c r="U10" s="9" t="str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/>
      </c>
      <c r="V10" s="9" t="str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/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5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90.097519969999993</v>
      </c>
      <c r="Y10" s="2" t="str">
        <f>IF(OR(X10="",X10=0),"",IF(SUMPRODUCT(--(B$3:B$102=B10),--(X$3:X$102&gt;X10),--(X$3:X$102&lt;&gt;"")),"","P"))</f>
        <v>P</v>
      </c>
      <c r="Z10" s="2" t="str">
        <f>IF(X10="","",IF(SUMPRODUCT(--(C$3:C$102="P"),--(B$3:B$102=B10)),"P",""))</f>
        <v/>
      </c>
      <c r="AA10" s="15">
        <f>IF(AND(Y10&lt;&gt;"",OR(Z10="",SUMPRODUCT(--(X$3:X$102&gt;X10),--(Z$3:Z$102="P"),--(Y$3:Y$102="P"))&lt;4)),X10,"")</f>
        <v>90.097519969999993</v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25</v>
      </c>
      <c r="AC10" s="9">
        <f>COUNTIF(L10:Q10,"&lt;=8")</f>
        <v>1</v>
      </c>
      <c r="AD10" s="9">
        <f>MIN(L10:Q10)</f>
        <v>3</v>
      </c>
    </row>
    <row r="11" spans="1:36" x14ac:dyDescent="0.2">
      <c r="A11" s="7" t="s">
        <v>81</v>
      </c>
      <c r="B11" s="6" t="s">
        <v>20</v>
      </c>
      <c r="E11" s="3" t="str">
        <f>IF(AA11="","",RANK(AA11,AA:AA))</f>
        <v/>
      </c>
      <c r="F11" s="6">
        <v>15</v>
      </c>
      <c r="G11" s="6">
        <v>9</v>
      </c>
      <c r="H11" s="6">
        <v>3</v>
      </c>
      <c r="I11" s="6"/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15</v>
      </c>
      <c r="M11" s="9">
        <f>IF(OR($C11&lt;&gt;"",$D11&lt;&gt;"",G11=""),"",G11-SUMPRODUCT(--($C$3:$C$102="P"),--(G$3:G$102&lt;G11),--(G$3:G$102&lt;&gt;""))-SUMPRODUCT(--($D$3:$D$102="P"),--(G$3:G$102&lt;G11),--(G$3:G$102&lt;&gt;"")))</f>
        <v>9</v>
      </c>
      <c r="N11" s="9">
        <f>IF(OR($C11&lt;&gt;"",$D11&lt;&gt;"",H11=""),"",H11-SUMPRODUCT(--($C$3:$C$102="P"),--(H$3:H$102&lt;H11),--(H$3:H$102&lt;&gt;""))-SUMPRODUCT(--($D$3:$D$102="P"),--(H$3:H$102&lt;H11),--(H$3:H$102&lt;&gt;"")))</f>
        <v>3</v>
      </c>
      <c r="O11" s="9" t="str">
        <f>IF(OR($C11&lt;&gt;"",$D11&lt;&gt;"",I11=""),"",I11-SUMPRODUCT(--($C$3:$C$102="P"),--(I$3:I$102&lt;I11),--(I$3:I$102&lt;&gt;""))-SUMPRODUCT(--($D$3:$D$102="P"),--(I$3:I$102&lt;I11),--(I$3:I$102&lt;&gt;"")))</f>
        <v/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16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22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50</v>
      </c>
      <c r="U11" s="9" t="str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/>
      </c>
      <c r="V11" s="9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5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88.097319970000001</v>
      </c>
      <c r="Y11" s="2" t="str">
        <f>IF(OR(X11="",X11=0),"",IF(SUMPRODUCT(--(B$3:B$102=B11),--(X$3:X$102&gt;X11),--(X$3:X$102&lt;&gt;"")),"","P"))</f>
        <v/>
      </c>
      <c r="Z11" s="2" t="str">
        <f>IF(X11="","",IF(SUMPRODUCT(--(C$3:C$102="P"),--(B$3:B$102=B11)),"P",""))</f>
        <v/>
      </c>
      <c r="AA11" s="15" t="str">
        <f>IF(AND(Y11&lt;&gt;"",OR(Z11="",SUMPRODUCT(--(X$3:X$102&gt;X11),--(Z$3:Z$102="P"),--(Y$3:Y$102="P"))&lt;4)),X11,"")</f>
        <v/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27</v>
      </c>
      <c r="AC11" s="9">
        <f>COUNTIF(L11:Q11,"&lt;=8")</f>
        <v>1</v>
      </c>
      <c r="AD11" s="9">
        <f>MIN(L11:Q11)</f>
        <v>3</v>
      </c>
    </row>
    <row r="12" spans="1:36" x14ac:dyDescent="0.2">
      <c r="A12" s="7" t="s">
        <v>79</v>
      </c>
      <c r="B12" s="6" t="s">
        <v>16</v>
      </c>
      <c r="E12" s="3" t="str">
        <f>IF(AA12="","",RANK(AA12,AA:AA))</f>
        <v/>
      </c>
      <c r="F12" s="6">
        <v>13</v>
      </c>
      <c r="G12" s="6">
        <v>70</v>
      </c>
      <c r="H12" s="6">
        <v>1</v>
      </c>
      <c r="I12" s="6"/>
      <c r="J12" s="6"/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13</v>
      </c>
      <c r="M12" s="9">
        <f>IF(OR($C12&lt;&gt;"",$D12&lt;&gt;"",G12=""),"",G12-SUMPRODUCT(--($C$3:$C$102="P"),--(G$3:G$102&lt;G12),--(G$3:G$102&lt;&gt;""))-SUMPRODUCT(--($D$3:$D$102="P"),--(G$3:G$102&lt;G12),--(G$3:G$102&lt;&gt;"")))</f>
        <v>70</v>
      </c>
      <c r="N12" s="9">
        <f>IF(OR($C12&lt;&gt;"",$D12&lt;&gt;"",H12=""),"",H12-SUMPRODUCT(--($C$3:$C$102="P"),--(H$3:H$102&lt;H12),--(H$3:H$102&lt;&gt;""))-SUMPRODUCT(--($D$3:$D$102="P"),--(H$3:H$102&lt;H12),--(H$3:H$102&lt;&gt;"")))</f>
        <v>1</v>
      </c>
      <c r="O12" s="9" t="str">
        <f>IF(OR($C12&lt;&gt;"",$D12&lt;&gt;"",I12=""),"",I12-SUMPRODUCT(--($C$3:$C$102="P"),--(I$3:I$102&lt;I12),--(I$3:I$102&lt;&gt;""))-SUMPRODUCT(--($D$3:$D$102="P"),--(I$3:I$102&lt;I12),--(I$3:I$102&lt;&gt;"")))</f>
        <v/>
      </c>
      <c r="P12" s="9" t="str">
        <f>IF(OR($C12&lt;&gt;"",$D12&lt;&gt;"",J12=""),"",J12-SUMPRODUCT(--($C$3:$C$102="P"),--(J$3:J$102&lt;J12),--(J$3:J$102&lt;&gt;""))-SUMPRODUCT(--($D$3:$D$102="P"),--(J$3:J$102&lt;J12),--(J$3:J$102&lt;&gt;"")))</f>
        <v/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18</v>
      </c>
      <c r="S12" s="9" t="str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/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60</v>
      </c>
      <c r="U12" s="9" t="str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/>
      </c>
      <c r="V12" s="9" t="str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/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5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78.091619989999998</v>
      </c>
      <c r="Y12" s="2" t="str">
        <f>IF(OR(X12="",X12=0),"",IF(SUMPRODUCT(--(B$3:B$102=B12),--(X$3:X$102&gt;X12),--(X$3:X$102&lt;&gt;"")),"","P"))</f>
        <v/>
      </c>
      <c r="Z12" s="2" t="str">
        <f>IF(X12="","",IF(SUMPRODUCT(--(C$3:C$102="P"),--(B$3:B$102=B12)),"P",""))</f>
        <v/>
      </c>
      <c r="AA12" s="15" t="str">
        <f>IF(AND(Y12&lt;&gt;"",OR(Z12="",SUMPRODUCT(--(X$3:X$102&gt;X12),--(Z$3:Z$102="P"),--(Y$3:Y$102="P"))&lt;4)),X12,"")</f>
        <v/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84</v>
      </c>
      <c r="AC12" s="9">
        <f>COUNTIF(L12:Q12,"&lt;=8")</f>
        <v>1</v>
      </c>
      <c r="AD12" s="9">
        <f>MIN(L12:Q12)</f>
        <v>1</v>
      </c>
    </row>
    <row r="13" spans="1:36" x14ac:dyDescent="0.2">
      <c r="A13" s="7" t="s">
        <v>78</v>
      </c>
      <c r="B13" s="6" t="s">
        <v>82</v>
      </c>
      <c r="E13" s="3">
        <f>IF(AA13="","",RANK(AA13,AA:AA))</f>
        <v>6</v>
      </c>
      <c r="F13" s="6">
        <v>12</v>
      </c>
      <c r="G13" s="6">
        <v>7</v>
      </c>
      <c r="H13" s="6">
        <v>12</v>
      </c>
      <c r="I13" s="6"/>
      <c r="J13" s="6"/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12</v>
      </c>
      <c r="M13" s="9">
        <f>IF(OR($C13&lt;&gt;"",$D13&lt;&gt;"",G13=""),"",G13-SUMPRODUCT(--($C$3:$C$102="P"),--(G$3:G$102&lt;G13),--(G$3:G$102&lt;&gt;""))-SUMPRODUCT(--($D$3:$D$102="P"),--(G$3:G$102&lt;G13),--(G$3:G$102&lt;&gt;"")))</f>
        <v>7</v>
      </c>
      <c r="N13" s="9">
        <f>IF(OR($C13&lt;&gt;"",$D13&lt;&gt;"",H13=""),"",H13-SUMPRODUCT(--($C$3:$C$102="P"),--(H$3:H$102&lt;H13),--(H$3:H$102&lt;&gt;""))-SUMPRODUCT(--($D$3:$D$102="P"),--(H$3:H$102&lt;H13),--(H$3:H$102&lt;&gt;"")))</f>
        <v>12</v>
      </c>
      <c r="O13" s="9" t="str">
        <f>IF(OR($C13&lt;&gt;"",$D13&lt;&gt;"",I13=""),"",I13-SUMPRODUCT(--($C$3:$C$102="P"),--(I$3:I$102&lt;I13),--(I$3:I$102&lt;&gt;""))-SUMPRODUCT(--($D$3:$D$102="P"),--(I$3:I$102&lt;I13),--(I$3:I$102&lt;&gt;"")))</f>
        <v/>
      </c>
      <c r="P13" s="9" t="str">
        <f>IF(OR($C13&lt;&gt;"",$D13&lt;&gt;"",J13=""),"",J13-SUMPRODUCT(--($C$3:$C$102="P"),--(J$3:J$102&lt;J13),--(J$3:J$102&lt;&gt;""))-SUMPRODUCT(--($D$3:$D$102="P"),--(J$3:J$102&lt;J13),--(J$3:J$102&lt;&gt;"")))</f>
        <v/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19</v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28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19</v>
      </c>
      <c r="U13" s="9" t="str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/>
      </c>
      <c r="V13" s="9" t="str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/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5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66.096919930000013</v>
      </c>
      <c r="Y13" s="2" t="str">
        <f>IF(OR(X13="",X13=0),"",IF(SUMPRODUCT(--(B$3:B$102=B13),--(X$3:X$102&gt;X13),--(X$3:X$102&lt;&gt;"")),"","P"))</f>
        <v>P</v>
      </c>
      <c r="Z13" s="2" t="str">
        <f>IF(X13="","",IF(SUMPRODUCT(--(C$3:C$102="P"),--(B$3:B$102=B13)),"P",""))</f>
        <v/>
      </c>
      <c r="AA13" s="15">
        <f>IF(AND(Y13&lt;&gt;"",OR(Z13="",SUMPRODUCT(--(X$3:X$102&gt;X13),--(Z$3:Z$102="P"),--(Y$3:Y$102="P"))&lt;4)),X13,"")</f>
        <v>66.096919930000013</v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31</v>
      </c>
      <c r="AC13" s="9">
        <f>COUNTIF(L13:Q13,"&lt;=8")</f>
        <v>1</v>
      </c>
      <c r="AD13" s="9">
        <f>MIN(L13:Q13)</f>
        <v>7</v>
      </c>
    </row>
    <row r="14" spans="1:36" x14ac:dyDescent="0.2">
      <c r="A14" s="7" t="s">
        <v>69</v>
      </c>
      <c r="B14" s="6" t="s">
        <v>18</v>
      </c>
      <c r="E14" s="3" t="str">
        <f>IF(AA14="","",RANK(AA14,AA:AA))</f>
        <v/>
      </c>
      <c r="F14" s="6">
        <v>7</v>
      </c>
      <c r="G14" s="6">
        <v>52</v>
      </c>
      <c r="H14" s="6">
        <v>8</v>
      </c>
      <c r="I14" s="6"/>
      <c r="J14" s="6"/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7</v>
      </c>
      <c r="M14" s="9">
        <f>IF(OR($C14&lt;&gt;"",$D14&lt;&gt;"",G14=""),"",G14-SUMPRODUCT(--($C$3:$C$102="P"),--(G$3:G$102&lt;G14),--(G$3:G$102&lt;&gt;""))-SUMPRODUCT(--($D$3:$D$102="P"),--(G$3:G$102&lt;G14),--(G$3:G$102&lt;&gt;"")))</f>
        <v>52</v>
      </c>
      <c r="N14" s="9">
        <f>IF(OR($C14&lt;&gt;"",$D14&lt;&gt;"",H14=""),"",H14-SUMPRODUCT(--($C$3:$C$102="P"),--(H$3:H$102&lt;H14),--(H$3:H$102&lt;&gt;""))-SUMPRODUCT(--($D$3:$D$102="P"),--(H$3:H$102&lt;H14),--(H$3:H$102&lt;&gt;"")))</f>
        <v>8</v>
      </c>
      <c r="O14" s="9" t="str">
        <f>IF(OR($C14&lt;&gt;"",$D14&lt;&gt;"",I14=""),"",I14-SUMPRODUCT(--($C$3:$C$102="P"),--(I$3:I$102&lt;I14),--(I$3:I$102&lt;&gt;""))-SUMPRODUCT(--($D$3:$D$102="P"),--(I$3:I$102&lt;I14),--(I$3:I$102&lt;&gt;"")))</f>
        <v/>
      </c>
      <c r="P14" s="9" t="str">
        <f>IF(OR($C14&lt;&gt;"",$D14&lt;&gt;"",J14=""),"",J14-SUMPRODUCT(--($C$3:$C$102="P"),--(J$3:J$102&lt;J14),--(J$3:J$102&lt;&gt;""))-SUMPRODUCT(--($D$3:$D$102="P"),--(J$3:J$102&lt;J14),--(J$3:J$102&lt;&gt;"")))</f>
        <v/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28</v>
      </c>
      <c r="S14" s="9" t="str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/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25</v>
      </c>
      <c r="U14" s="9" t="str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/>
      </c>
      <c r="V14" s="9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5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53.093329929999996</v>
      </c>
      <c r="Y14" s="2" t="str">
        <f>IF(OR(X14="",X14=0),"",IF(SUMPRODUCT(--(B$3:B$102=B14),--(X$3:X$102&gt;X14),--(X$3:X$102&lt;&gt;"")),"","P"))</f>
        <v/>
      </c>
      <c r="Z14" s="2" t="str">
        <f>IF(X14="","",IF(SUMPRODUCT(--(C$3:C$102="P"),--(B$3:B$102=B14)),"P",""))</f>
        <v/>
      </c>
      <c r="AA14" s="15" t="str">
        <f>IF(AND(Y14&lt;&gt;"",OR(Z14="",SUMPRODUCT(--(X$3:X$102&gt;X14),--(Z$3:Z$102="P"),--(Y$3:Y$102="P"))&lt;4)),X14,"")</f>
        <v/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67</v>
      </c>
      <c r="AC14" s="9">
        <f>COUNTIF(L14:Q14,"&lt;=8")</f>
        <v>2</v>
      </c>
      <c r="AD14" s="9">
        <f>MIN(L14:Q14)</f>
        <v>7</v>
      </c>
    </row>
    <row r="15" spans="1:36" x14ac:dyDescent="0.2">
      <c r="A15" s="7" t="s">
        <v>85</v>
      </c>
      <c r="B15" s="6" t="s">
        <v>59</v>
      </c>
      <c r="E15" s="3">
        <f>IF(AA15="","",RANK(AA15,AA:AA))</f>
        <v>7</v>
      </c>
      <c r="F15" s="6">
        <v>18</v>
      </c>
      <c r="G15" s="6">
        <v>13</v>
      </c>
      <c r="H15" s="6">
        <v>14</v>
      </c>
      <c r="I15" s="6"/>
      <c r="J15" s="6"/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18</v>
      </c>
      <c r="M15" s="9">
        <f>IF(OR($C15&lt;&gt;"",$D15&lt;&gt;"",G15=""),"",G15-SUMPRODUCT(--($C$3:$C$102="P"),--(G$3:G$102&lt;G15),--(G$3:G$102&lt;&gt;""))-SUMPRODUCT(--($D$3:$D$102="P"),--(G$3:G$102&lt;G15),--(G$3:G$102&lt;&gt;"")))</f>
        <v>13</v>
      </c>
      <c r="N15" s="9">
        <f>IF(OR($C15&lt;&gt;"",$D15&lt;&gt;"",H15=""),"",H15-SUMPRODUCT(--($C$3:$C$102="P"),--(H$3:H$102&lt;H15),--(H$3:H$102&lt;&gt;""))-SUMPRODUCT(--($D$3:$D$102="P"),--(H$3:H$102&lt;H15),--(H$3:H$102&lt;&gt;"")))</f>
        <v>14</v>
      </c>
      <c r="O15" s="9" t="str">
        <f>IF(OR($C15&lt;&gt;"",$D15&lt;&gt;"",I15=""),"",I15-SUMPRODUCT(--($C$3:$C$102="P"),--(I$3:I$102&lt;I15),--(I$3:I$102&lt;&gt;""))-SUMPRODUCT(--($D$3:$D$102="P"),--(I$3:I$102&lt;I15),--(I$3:I$102&lt;&gt;"")))</f>
        <v/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13</v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18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17</v>
      </c>
      <c r="U15" s="9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5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48.095509870000001</v>
      </c>
      <c r="Y15" s="2" t="str">
        <f>IF(OR(X15="",X15=0),"",IF(SUMPRODUCT(--(B$3:B$102=B15),--(X$3:X$102&gt;X15),--(X$3:X$102&lt;&gt;"")),"","P"))</f>
        <v>P</v>
      </c>
      <c r="Z15" s="2" t="str">
        <f>IF(X15="","",IF(SUMPRODUCT(--(C$3:C$102="P"),--(B$3:B$102=B15)),"P",""))</f>
        <v/>
      </c>
      <c r="AA15" s="15">
        <f>IF(AND(Y15&lt;&gt;"",OR(Z15="",SUMPRODUCT(--(X$3:X$102&gt;X15),--(Z$3:Z$102="P"),--(Y$3:Y$102="P"))&lt;4)),X15,"")</f>
        <v>48.095509870000001</v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45</v>
      </c>
      <c r="AC15" s="9">
        <f>COUNTIF(L15:Q15,"&lt;=8")</f>
        <v>0</v>
      </c>
      <c r="AD15" s="9">
        <f>MIN(L15:Q15)</f>
        <v>13</v>
      </c>
    </row>
    <row r="16" spans="1:36" x14ac:dyDescent="0.2">
      <c r="A16" s="7" t="s">
        <v>92</v>
      </c>
      <c r="B16" s="6" t="s">
        <v>17</v>
      </c>
      <c r="E16" s="3">
        <f>IF(AA16="","",RANK(AA16,AA:AA))</f>
        <v>8</v>
      </c>
      <c r="F16" s="6">
        <v>25</v>
      </c>
      <c r="G16" s="6">
        <v>15</v>
      </c>
      <c r="H16" s="6">
        <v>18</v>
      </c>
      <c r="I16" s="6"/>
      <c r="J16" s="6"/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25</v>
      </c>
      <c r="M16" s="9">
        <f>IF(OR($C16&lt;&gt;"",$D16&lt;&gt;"",G16=""),"",G16-SUMPRODUCT(--($C$3:$C$102="P"),--(G$3:G$102&lt;G16),--(G$3:G$102&lt;&gt;""))-SUMPRODUCT(--($D$3:$D$102="P"),--(G$3:G$102&lt;G16),--(G$3:G$102&lt;&gt;"")))</f>
        <v>15</v>
      </c>
      <c r="N16" s="9">
        <f>IF(OR($C16&lt;&gt;"",$D16&lt;&gt;"",H16=""),"",H16-SUMPRODUCT(--($C$3:$C$102="P"),--(H$3:H$102&lt;H16),--(H$3:H$102&lt;&gt;""))-SUMPRODUCT(--($D$3:$D$102="P"),--(H$3:H$102&lt;H16),--(H$3:H$102&lt;&gt;"")))</f>
        <v>18</v>
      </c>
      <c r="O16" s="9" t="str">
        <f>IF(OR($C16&lt;&gt;"",$D16&lt;&gt;"",I16=""),"",I16-SUMPRODUCT(--($C$3:$C$102="P"),--(I$3:I$102&lt;I16),--(I$3:I$102&lt;&gt;""))-SUMPRODUCT(--($D$3:$D$102="P"),--(I$3:I$102&lt;I16),--(I$3:I$102&lt;&gt;"")))</f>
        <v/>
      </c>
      <c r="P16" s="9" t="str">
        <f>IF(OR($C16&lt;&gt;"",$D16&lt;&gt;"",J16=""),"",J16-SUMPRODUCT(--($C$3:$C$102="P"),--(J$3:J$102&lt;J16),--(J$3:J$102&lt;&gt;""))-SUMPRODUCT(--($D$3:$D$102="P"),--(J$3:J$102&lt;J16),--(J$3:J$102&lt;&gt;"")))</f>
        <v/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6</v>
      </c>
      <c r="S16" s="9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16</v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13</v>
      </c>
      <c r="U16" s="9" t="str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/>
      </c>
      <c r="V16" s="9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5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35.094209849999999</v>
      </c>
      <c r="Y16" s="2" t="str">
        <f>IF(OR(X16="",X16=0),"",IF(SUMPRODUCT(--(B$3:B$102=B16),--(X$3:X$102&gt;X16),--(X$3:X$102&lt;&gt;"")),"","P"))</f>
        <v>P</v>
      </c>
      <c r="Z16" s="2" t="str">
        <f>IF(X16="","",IF(SUMPRODUCT(--(C$3:C$102="P"),--(B$3:B$102=B16)),"P",""))</f>
        <v/>
      </c>
      <c r="AA16" s="15">
        <f>IF(AND(Y16&lt;&gt;"",OR(Z16="",SUMPRODUCT(--(X$3:X$102&gt;X16),--(Z$3:Z$102="P"),--(Y$3:Y$102="P"))&lt;4)),X16,"")</f>
        <v>35.094209849999999</v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58</v>
      </c>
      <c r="AC16" s="9">
        <f>COUNTIF(L16:Q16,"&lt;=8")</f>
        <v>0</v>
      </c>
      <c r="AD16" s="9">
        <f>MIN(L16:Q16)</f>
        <v>15</v>
      </c>
    </row>
    <row r="17" spans="1:30" x14ac:dyDescent="0.2">
      <c r="A17" s="7" t="s">
        <v>116</v>
      </c>
      <c r="B17" s="6" t="s">
        <v>18</v>
      </c>
      <c r="E17" s="3" t="str">
        <f>IF(AA17="","",RANK(AA17,AA:AA))</f>
        <v/>
      </c>
      <c r="F17" s="6">
        <v>66</v>
      </c>
      <c r="G17" s="6">
        <v>6</v>
      </c>
      <c r="H17" s="6">
        <v>65</v>
      </c>
      <c r="I17" s="6"/>
      <c r="J17" s="6"/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66</v>
      </c>
      <c r="M17" s="9">
        <f>IF(OR($C17&lt;&gt;"",$D17&lt;&gt;"",G17=""),"",G17-SUMPRODUCT(--($C$3:$C$102="P"),--(G$3:G$102&lt;G17),--(G$3:G$102&lt;&gt;""))-SUMPRODUCT(--($D$3:$D$102="P"),--(G$3:G$102&lt;G17),--(G$3:G$102&lt;&gt;"")))</f>
        <v>6</v>
      </c>
      <c r="N17" s="9">
        <f>IF(OR($C17&lt;&gt;"",$D17&lt;&gt;"",H17=""),"",H17-SUMPRODUCT(--($C$3:$C$102="P"),--(H$3:H$102&lt;H17),--(H$3:H$102&lt;&gt;""))-SUMPRODUCT(--($D$3:$D$102="P"),--(H$3:H$102&lt;H17),--(H$3:H$102&lt;&gt;"")))</f>
        <v>65</v>
      </c>
      <c r="O17" s="9" t="str">
        <f>IF(OR($C17&lt;&gt;"",$D17&lt;&gt;"",I17=""),"",I17-SUMPRODUCT(--($C$3:$C$102="P"),--(I$3:I$102&lt;I17),--(I$3:I$102&lt;&gt;""))-SUMPRODUCT(--($D$3:$D$102="P"),--(I$3:I$102&lt;I17),--(I$3:I$102&lt;&gt;"")))</f>
        <v/>
      </c>
      <c r="P17" s="9" t="str">
        <f>IF(OR($C17&lt;&gt;"",$D17&lt;&gt;"",J17=""),"",J17-SUMPRODUCT(--($C$3:$C$102="P"),--(J$3:J$102&lt;J17),--(J$3:J$102&lt;&gt;""))-SUMPRODUCT(--($D$3:$D$102="P"),--(J$3:J$102&lt;J17),--(J$3:J$102&lt;&gt;"")))</f>
        <v/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S17" s="9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32</v>
      </c>
      <c r="T17" s="9" t="str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/>
      </c>
      <c r="U17" s="9" t="str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/>
      </c>
      <c r="V17" s="9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5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32.086319940000003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/>
      </c>
      <c r="AA17" s="15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137</v>
      </c>
      <c r="AC17" s="9">
        <f>COUNTIF(L17:Q17,"&lt;=8")</f>
        <v>1</v>
      </c>
      <c r="AD17" s="9">
        <f>MIN(L17:Q17)</f>
        <v>6</v>
      </c>
    </row>
    <row r="18" spans="1:30" x14ac:dyDescent="0.2">
      <c r="A18" s="7" t="s">
        <v>86</v>
      </c>
      <c r="B18" s="6" t="s">
        <v>22</v>
      </c>
      <c r="E18" s="3">
        <f>IF(AA18="","",RANK(AA18,AA:AA))</f>
        <v>9</v>
      </c>
      <c r="F18" s="6">
        <v>19</v>
      </c>
      <c r="G18" s="6"/>
      <c r="H18" s="6">
        <v>15</v>
      </c>
      <c r="I18" s="6"/>
      <c r="J18" s="6"/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19</v>
      </c>
      <c r="M18" s="9" t="str">
        <f>IF(OR($C18&lt;&gt;"",$D18&lt;&gt;"",G18=""),"",G18-SUMPRODUCT(--($C$3:$C$102="P"),--(G$3:G$102&lt;G18),--(G$3:G$102&lt;&gt;""))-SUMPRODUCT(--($D$3:$D$102="P"),--(G$3:G$102&lt;G18),--(G$3:G$102&lt;&gt;"")))</f>
        <v/>
      </c>
      <c r="N18" s="9">
        <f>IF(OR($C18&lt;&gt;"",$D18&lt;&gt;"",H18=""),"",H18-SUMPRODUCT(--($C$3:$C$102="P"),--(H$3:H$102&lt;H18),--(H$3:H$102&lt;&gt;""))-SUMPRODUCT(--($D$3:$D$102="P"),--(H$3:H$102&lt;H18),--(H$3:H$102&lt;&gt;"")))</f>
        <v>15</v>
      </c>
      <c r="O18" s="9" t="str">
        <f>IF(OR($C18&lt;&gt;"",$D18&lt;&gt;"",I18=""),"",I18-SUMPRODUCT(--($C$3:$C$102="P"),--(I$3:I$102&lt;I18),--(I$3:I$102&lt;&gt;""))-SUMPRODUCT(--($D$3:$D$102="P"),--(I$3:I$102&lt;I18),--(I$3:I$102&lt;&gt;"")))</f>
        <v/>
      </c>
      <c r="P18" s="9" t="str">
        <f>IF(OR($C18&lt;&gt;"",$D18&lt;&gt;"",J18=""),"",J18-SUMPRODUCT(--($C$3:$C$102="P"),--(J$3:J$102&lt;J18),--(J$3:J$102&lt;&gt;""))-SUMPRODUCT(--($D$3:$D$102="P"),--(J$3:J$102&lt;J18),--(J$3:J$102&lt;&gt;"")))</f>
        <v/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12</v>
      </c>
      <c r="S18" s="9" t="str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/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16</v>
      </c>
      <c r="U18" s="9" t="str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/>
      </c>
      <c r="V18" s="9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5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28.09660985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5">
        <f>IF(AND(Y18&lt;&gt;"",OR(Z18="",SUMPRODUCT(--(X$3:X$102&gt;X18),--(Z$3:Z$102="P"),--(Y$3:Y$102="P"))&lt;4)),X18,"")</f>
        <v>28.09660985</v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34</v>
      </c>
      <c r="AC18" s="9">
        <f>COUNTIF(L18:Q18,"&lt;=8")</f>
        <v>0</v>
      </c>
      <c r="AD18" s="9">
        <f>MIN(L18:Q18)</f>
        <v>15</v>
      </c>
    </row>
    <row r="19" spans="1:30" x14ac:dyDescent="0.2">
      <c r="A19" s="7" t="s">
        <v>89</v>
      </c>
      <c r="B19" s="6" t="s">
        <v>59</v>
      </c>
      <c r="E19" s="3" t="str">
        <f>IF(AA19="","",RANK(AA19,AA:AA))</f>
        <v/>
      </c>
      <c r="F19" s="6">
        <v>22</v>
      </c>
      <c r="G19" s="6">
        <v>14</v>
      </c>
      <c r="H19" s="6">
        <v>49</v>
      </c>
      <c r="I19" s="6"/>
      <c r="J19" s="6"/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22</v>
      </c>
      <c r="M19" s="9">
        <f>IF(OR($C19&lt;&gt;"",$D19&lt;&gt;"",G19=""),"",G19-SUMPRODUCT(--($C$3:$C$102="P"),--(G$3:G$102&lt;G19),--(G$3:G$102&lt;&gt;""))-SUMPRODUCT(--($D$3:$D$102="P"),--(G$3:G$102&lt;G19),--(G$3:G$102&lt;&gt;"")))</f>
        <v>14</v>
      </c>
      <c r="N19" s="9">
        <f>IF(OR($C19&lt;&gt;"",$D19&lt;&gt;"",H19=""),"",H19-SUMPRODUCT(--($C$3:$C$102="P"),--(H$3:H$102&lt;H19),--(H$3:H$102&lt;&gt;""))-SUMPRODUCT(--($D$3:$D$102="P"),--(H$3:H$102&lt;H19),--(H$3:H$102&lt;&gt;"")))</f>
        <v>49</v>
      </c>
      <c r="O19" s="9" t="str">
        <f>IF(OR($C19&lt;&gt;"",$D19&lt;&gt;"",I19=""),"",I19-SUMPRODUCT(--($C$3:$C$102="P"),--(I$3:I$102&lt;I19),--(I$3:I$102&lt;&gt;""))-SUMPRODUCT(--($D$3:$D$102="P"),--(I$3:I$102&lt;I19),--(I$3:I$102&lt;&gt;"")))</f>
        <v/>
      </c>
      <c r="P19" s="9" t="str">
        <f>IF(OR($C19&lt;&gt;"",$D19&lt;&gt;"",J19=""),"",J19-SUMPRODUCT(--($C$3:$C$102="P"),--(J$3:J$102&lt;J19),--(J$3:J$102&lt;&gt;""))-SUMPRODUCT(--($D$3:$D$102="P"),--(J$3:J$102&lt;J19),--(J$3:J$102&lt;&gt;"")))</f>
        <v/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9</v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17</v>
      </c>
      <c r="T19" s="9" t="str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/>
      </c>
      <c r="U19" s="9" t="str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/>
      </c>
      <c r="V19" s="9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5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26.091509859999999</v>
      </c>
      <c r="Y19" s="2" t="str">
        <f>IF(OR(X19="",X19=0),"",IF(SUMPRODUCT(--(B$3:B$102=B19),--(X$3:X$102&gt;X19),--(X$3:X$102&lt;&gt;"")),"","P"))</f>
        <v/>
      </c>
      <c r="Z19" s="2" t="str">
        <f>IF(X19="","",IF(SUMPRODUCT(--(C$3:C$102="P"),--(B$3:B$102=B19)),"P",""))</f>
        <v/>
      </c>
      <c r="AA19" s="15" t="str">
        <f>IF(AND(Y19&lt;&gt;"",OR(Z19="",SUMPRODUCT(--(X$3:X$102&gt;X19),--(Z$3:Z$102="P"),--(Y$3:Y$102="P"))&lt;4)),X19,"")</f>
        <v/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85</v>
      </c>
      <c r="AC19" s="9">
        <f>COUNTIF(L19:Q19,"&lt;=8")</f>
        <v>0</v>
      </c>
      <c r="AD19" s="9">
        <f>MIN(L19:Q19)</f>
        <v>14</v>
      </c>
    </row>
    <row r="20" spans="1:30" x14ac:dyDescent="0.2">
      <c r="A20" s="7" t="s">
        <v>83</v>
      </c>
      <c r="B20" s="6" t="s">
        <v>82</v>
      </c>
      <c r="E20" s="3" t="str">
        <f>IF(AA20="","",RANK(AA20,AA:AA))</f>
        <v/>
      </c>
      <c r="F20" s="6">
        <v>16</v>
      </c>
      <c r="G20" s="6">
        <v>58</v>
      </c>
      <c r="H20" s="6">
        <v>20</v>
      </c>
      <c r="I20" s="6"/>
      <c r="J20" s="6"/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16</v>
      </c>
      <c r="M20" s="9">
        <f>IF(OR($C20&lt;&gt;"",$D20&lt;&gt;"",G20=""),"",G20-SUMPRODUCT(--($C$3:$C$102="P"),--(G$3:G$102&lt;G20),--(G$3:G$102&lt;&gt;""))-SUMPRODUCT(--($D$3:$D$102="P"),--(G$3:G$102&lt;G20),--(G$3:G$102&lt;&gt;"")))</f>
        <v>58</v>
      </c>
      <c r="N20" s="9">
        <f>IF(OR($C20&lt;&gt;"",$D20&lt;&gt;"",H20=""),"",H20-SUMPRODUCT(--($C$3:$C$102="P"),--(H$3:H$102&lt;H20),--(H$3:H$102&lt;&gt;""))-SUMPRODUCT(--($D$3:$D$102="P"),--(H$3:H$102&lt;H20),--(H$3:H$102&lt;&gt;"")))</f>
        <v>20</v>
      </c>
      <c r="O20" s="9" t="str">
        <f>IF(OR($C20&lt;&gt;"",$D20&lt;&gt;"",I20=""),"",I20-SUMPRODUCT(--($C$3:$C$102="P"),--(I$3:I$102&lt;I20),--(I$3:I$102&lt;&gt;""))-SUMPRODUCT(--($D$3:$D$102="P"),--(I$3:I$102&lt;I20),--(I$3:I$102&lt;&gt;"")))</f>
        <v/>
      </c>
      <c r="P20" s="9" t="str">
        <f>IF(OR($C20&lt;&gt;"",$D20&lt;&gt;"",J20=""),"",J20-SUMPRODUCT(--($C$3:$C$102="P"),--(J$3:J$102&lt;J20),--(J$3:J$102&lt;&gt;""))-SUMPRODUCT(--($D$3:$D$102="P"),--(J$3:J$102&lt;J20),--(J$3:J$102&lt;&gt;"")))</f>
        <v/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15</v>
      </c>
      <c r="S20" s="9" t="str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/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11</v>
      </c>
      <c r="U20" s="9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9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5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26.090609839999999</v>
      </c>
      <c r="Y20" s="2" t="str">
        <f>IF(OR(X20="",X20=0),"",IF(SUMPRODUCT(--(B$3:B$102=B20),--(X$3:X$102&gt;X20),--(X$3:X$102&lt;&gt;"")),"","P"))</f>
        <v/>
      </c>
      <c r="Z20" s="2" t="str">
        <f>IF(X20="","",IF(SUMPRODUCT(--(C$3:C$102="P"),--(B$3:B$102=B20)),"P",""))</f>
        <v/>
      </c>
      <c r="AA20" s="15" t="str">
        <f>IF(AND(Y20&lt;&gt;"",OR(Z20="",SUMPRODUCT(--(X$3:X$102&gt;X20),--(Z$3:Z$102="P"),--(Y$3:Y$102="P"))&lt;4)),X20,"")</f>
        <v/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94</v>
      </c>
      <c r="AC20" s="9">
        <f>COUNTIF(L20:Q20,"&lt;=8")</f>
        <v>0</v>
      </c>
      <c r="AD20" s="9">
        <f>MIN(L20:Q20)</f>
        <v>16</v>
      </c>
    </row>
    <row r="21" spans="1:30" x14ac:dyDescent="0.2">
      <c r="A21" s="7" t="s">
        <v>71</v>
      </c>
      <c r="B21" s="6" t="s">
        <v>16</v>
      </c>
      <c r="E21" s="3" t="str">
        <f>IF(AA21="","",RANK(AA21,AA:AA))</f>
        <v/>
      </c>
      <c r="F21" s="6">
        <v>9</v>
      </c>
      <c r="G21" s="6">
        <v>56</v>
      </c>
      <c r="H21" s="6"/>
      <c r="I21" s="6"/>
      <c r="J21" s="6"/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9</v>
      </c>
      <c r="M21" s="9">
        <f>IF(OR($C21&lt;&gt;"",$D21&lt;&gt;"",G21=""),"",G21-SUMPRODUCT(--($C$3:$C$102="P"),--(G$3:G$102&lt;G21),--(G$3:G$102&lt;&gt;""))-SUMPRODUCT(--($D$3:$D$102="P"),--(G$3:G$102&lt;G21),--(G$3:G$102&lt;&gt;"")))</f>
        <v>56</v>
      </c>
      <c r="N21" s="9" t="str">
        <f>IF(OR($C21&lt;&gt;"",$D21&lt;&gt;"",H21=""),"",H21-SUMPRODUCT(--($C$3:$C$102="P"),--(H$3:H$102&lt;H21),--(H$3:H$102&lt;&gt;""))-SUMPRODUCT(--($D$3:$D$102="P"),--(H$3:H$102&lt;H21),--(H$3:H$102&lt;&gt;"")))</f>
        <v/>
      </c>
      <c r="O21" s="9" t="str">
        <f>IF(OR($C21&lt;&gt;"",$D21&lt;&gt;"",I21=""),"",I21-SUMPRODUCT(--($C$3:$C$102="P"),--(I$3:I$102&lt;I21),--(I$3:I$102&lt;&gt;""))-SUMPRODUCT(--($D$3:$D$102="P"),--(I$3:I$102&lt;I21),--(I$3:I$102&lt;&gt;"")))</f>
        <v/>
      </c>
      <c r="P21" s="9" t="str">
        <f>IF(OR($C21&lt;&gt;"",$D21&lt;&gt;"",J21=""),"",J21-SUMPRODUCT(--($C$3:$C$102="P"),--(J$3:J$102&lt;J21),--(J$3:J$102&lt;&gt;""))-SUMPRODUCT(--($D$3:$D$102="P"),--(J$3:J$102&lt;J21),--(J$3:J$102&lt;&gt;"")))</f>
        <v/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22</v>
      </c>
      <c r="S21" s="9" t="str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/>
      </c>
      <c r="T21" s="9" t="str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/>
      </c>
      <c r="U21" s="9" t="str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/>
      </c>
      <c r="V21" s="9" t="str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/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5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22.093509909999998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5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65</v>
      </c>
      <c r="AC21" s="9">
        <f>COUNTIF(L21:Q21,"&lt;=8")</f>
        <v>0</v>
      </c>
      <c r="AD21" s="9">
        <f>MIN(L21:Q21)</f>
        <v>9</v>
      </c>
    </row>
    <row r="22" spans="1:30" x14ac:dyDescent="0.2">
      <c r="A22" s="7" t="s">
        <v>76</v>
      </c>
      <c r="B22" s="6" t="s">
        <v>18</v>
      </c>
      <c r="E22" s="3" t="str">
        <f>IF(AA22="","",RANK(AA22,AA:AA))</f>
        <v/>
      </c>
      <c r="F22" s="6">
        <v>10</v>
      </c>
      <c r="G22" s="6"/>
      <c r="H22" s="6"/>
      <c r="I22" s="6"/>
      <c r="J22" s="6"/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10</v>
      </c>
      <c r="M22" s="9" t="str">
        <f>IF(OR($C22&lt;&gt;"",$D22&lt;&gt;"",G22=""),"",G22-SUMPRODUCT(--($C$3:$C$102="P"),--(G$3:G$102&lt;G22),--(G$3:G$102&lt;&gt;""))-SUMPRODUCT(--($D$3:$D$102="P"),--(G$3:G$102&lt;G22),--(G$3:G$102&lt;&gt;"")))</f>
        <v/>
      </c>
      <c r="N22" s="9" t="str">
        <f>IF(OR($C22&lt;&gt;"",$D22&lt;&gt;"",H22=""),"",H22-SUMPRODUCT(--($C$3:$C$102="P"),--(H$3:H$102&lt;H22),--(H$3:H$102&lt;&gt;""))-SUMPRODUCT(--($D$3:$D$102="P"),--(H$3:H$102&lt;H22),--(H$3:H$102&lt;&gt;"")))</f>
        <v/>
      </c>
      <c r="O22" s="9" t="str">
        <f>IF(OR($C22&lt;&gt;"",$D22&lt;&gt;"",I22=""),"",I22-SUMPRODUCT(--($C$3:$C$102="P"),--(I$3:I$102&lt;I22),--(I$3:I$102&lt;&gt;""))-SUMPRODUCT(--($D$3:$D$102="P"),--(I$3:I$102&lt;I22),--(I$3:I$102&lt;&gt;"")))</f>
        <v/>
      </c>
      <c r="P22" s="9" t="str">
        <f>IF(OR($C22&lt;&gt;"",$D22&lt;&gt;"",J22=""),"",J22-SUMPRODUCT(--($C$3:$C$102="P"),--(J$3:J$102&lt;J22),--(J$3:J$102&lt;&gt;""))-SUMPRODUCT(--($D$3:$D$102="P"),--(J$3:J$102&lt;J22),--(J$3:J$102&lt;&gt;"")))</f>
        <v/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21</v>
      </c>
      <c r="S22" s="9" t="str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/>
      </c>
      <c r="T22" s="9" t="str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/>
      </c>
      <c r="U22" s="9" t="str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/>
      </c>
      <c r="V22" s="9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5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21.099009899999999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/>
      </c>
      <c r="AA22" s="15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10</v>
      </c>
      <c r="AC22" s="9">
        <f>COUNTIF(L22:Q22,"&lt;=8")</f>
        <v>0</v>
      </c>
      <c r="AD22" s="9">
        <f>MIN(L22:Q22)</f>
        <v>10</v>
      </c>
    </row>
    <row r="23" spans="1:30" x14ac:dyDescent="0.2">
      <c r="A23" s="7" t="s">
        <v>117</v>
      </c>
      <c r="B23" s="6" t="s">
        <v>82</v>
      </c>
      <c r="E23" s="3" t="str">
        <f>IF(AA23="","",RANK(AA23,AA:AA))</f>
        <v/>
      </c>
      <c r="F23" s="6">
        <v>41</v>
      </c>
      <c r="G23" s="6">
        <v>10</v>
      </c>
      <c r="H23" s="6">
        <v>58</v>
      </c>
      <c r="I23" s="6"/>
      <c r="J23" s="6"/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41</v>
      </c>
      <c r="M23" s="9">
        <f>IF(OR($C23&lt;&gt;"",$D23&lt;&gt;"",G23=""),"",G23-SUMPRODUCT(--($C$3:$C$102="P"),--(G$3:G$102&lt;G23),--(G$3:G$102&lt;&gt;""))-SUMPRODUCT(--($D$3:$D$102="P"),--(G$3:G$102&lt;G23),--(G$3:G$102&lt;&gt;"")))</f>
        <v>10</v>
      </c>
      <c r="N23" s="9">
        <f>IF(OR($C23&lt;&gt;"",$D23&lt;&gt;"",H23=""),"",H23-SUMPRODUCT(--($C$3:$C$102="P"),--(H$3:H$102&lt;H23),--(H$3:H$102&lt;&gt;""))-SUMPRODUCT(--($D$3:$D$102="P"),--(H$3:H$102&lt;H23),--(H$3:H$102&lt;&gt;"")))</f>
        <v>58</v>
      </c>
      <c r="O23" s="9" t="str">
        <f>IF(OR($C23&lt;&gt;"",$D23&lt;&gt;"",I23=""),"",I23-SUMPRODUCT(--($C$3:$C$102="P"),--(I$3:I$102&lt;I23),--(I$3:I$102&lt;&gt;""))-SUMPRODUCT(--($D$3:$D$102="P"),--(I$3:I$102&lt;I23),--(I$3:I$102&lt;&gt;"")))</f>
        <v/>
      </c>
      <c r="P23" s="9" t="str">
        <f>IF(OR($C23&lt;&gt;"",$D23&lt;&gt;"",J23=""),"",J23-SUMPRODUCT(--($C$3:$C$102="P"),--(J$3:J$102&lt;J23),--(J$3:J$102&lt;&gt;""))-SUMPRODUCT(--($D$3:$D$102="P"),--(J$3:J$102&lt;J23),--(J$3:J$102&lt;&gt;"")))</f>
        <v/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21</v>
      </c>
      <c r="T23" s="9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9" t="str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/>
      </c>
      <c r="V23" s="9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5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21.089109899999997</v>
      </c>
      <c r="Y23" s="2" t="str">
        <f>IF(OR(X23="",X23=0),"",IF(SUMPRODUCT(--(B$3:B$102=B23),--(X$3:X$102&gt;X23),--(X$3:X$102&lt;&gt;"")),"","P"))</f>
        <v/>
      </c>
      <c r="Z23" s="2" t="str">
        <f>IF(X23="","",IF(SUMPRODUCT(--(C$3:C$102="P"),--(B$3:B$102=B23)),"P",""))</f>
        <v/>
      </c>
      <c r="AA23" s="15" t="str">
        <f>IF(AND(Y23&lt;&gt;"",OR(Z23="",SUMPRODUCT(--(X$3:X$102&gt;X23),--(Z$3:Z$102="P"),--(Y$3:Y$102="P"))&lt;4)),X23,"")</f>
        <v/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109</v>
      </c>
      <c r="AC23" s="9">
        <f>COUNTIF(L23:Q23,"&lt;=8")</f>
        <v>0</v>
      </c>
      <c r="AD23" s="9">
        <f>MIN(L23:Q23)</f>
        <v>10</v>
      </c>
    </row>
    <row r="24" spans="1:30" x14ac:dyDescent="0.2">
      <c r="A24" s="7" t="s">
        <v>120</v>
      </c>
      <c r="B24" s="6" t="s">
        <v>108</v>
      </c>
      <c r="E24" s="3">
        <f>IF(AA24="","",RANK(AA24,AA:AA))</f>
        <v>10</v>
      </c>
      <c r="F24" s="6">
        <v>68</v>
      </c>
      <c r="G24" s="6">
        <v>24</v>
      </c>
      <c r="H24" s="6">
        <v>17</v>
      </c>
      <c r="I24" s="6"/>
      <c r="J24" s="6"/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68</v>
      </c>
      <c r="M24" s="9">
        <f>IF(OR($C24&lt;&gt;"",$D24&lt;&gt;"",G24=""),"",G24-SUMPRODUCT(--($C$3:$C$102="P"),--(G$3:G$102&lt;G24),--(G$3:G$102&lt;&gt;""))-SUMPRODUCT(--($D$3:$D$102="P"),--(G$3:G$102&lt;G24),--(G$3:G$102&lt;&gt;"")))</f>
        <v>24</v>
      </c>
      <c r="N24" s="9">
        <f>IF(OR($C24&lt;&gt;"",$D24&lt;&gt;"",H24=""),"",H24-SUMPRODUCT(--($C$3:$C$102="P"),--(H$3:H$102&lt;H24),--(H$3:H$102&lt;&gt;""))-SUMPRODUCT(--($D$3:$D$102="P"),--(H$3:H$102&lt;H24),--(H$3:H$102&lt;&gt;"")))</f>
        <v>17</v>
      </c>
      <c r="O24" s="9" t="str">
        <f>IF(OR($C24&lt;&gt;"",$D24&lt;&gt;"",I24=""),"",I24-SUMPRODUCT(--($C$3:$C$102="P"),--(I$3:I$102&lt;I24),--(I$3:I$102&lt;&gt;""))-SUMPRODUCT(--($D$3:$D$102="P"),--(I$3:I$102&lt;I24),--(I$3:I$102&lt;&gt;"")))</f>
        <v/>
      </c>
      <c r="P24" s="9" t="str">
        <f>IF(OR($C24&lt;&gt;"",$D24&lt;&gt;"",J24=""),"",J24-SUMPRODUCT(--($C$3:$C$102="P"),--(J$3:J$102&lt;J24),--(J$3:J$102&lt;&gt;""))-SUMPRODUCT(--($D$3:$D$102="P"),--(J$3:J$102&lt;J24),--(J$3:J$102&lt;&gt;"")))</f>
        <v/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7</v>
      </c>
      <c r="T24" s="9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14</v>
      </c>
      <c r="U24" s="9" t="str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/>
      </c>
      <c r="V24" s="9" t="str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/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5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21.089109829999998</v>
      </c>
      <c r="Y24" s="2" t="str">
        <f>IF(OR(X24="",X24=0),"",IF(SUMPRODUCT(--(B$3:B$102=B24),--(X$3:X$102&gt;X24),--(X$3:X$102&lt;&gt;"")),"","P"))</f>
        <v>P</v>
      </c>
      <c r="Z24" s="2" t="str">
        <f>IF(X24="","",IF(SUMPRODUCT(--(C$3:C$102="P"),--(B$3:B$102=B24)),"P",""))</f>
        <v/>
      </c>
      <c r="AA24" s="15">
        <f>IF(AND(Y24&lt;&gt;"",OR(Z24="",SUMPRODUCT(--(X$3:X$102&gt;X24),--(Z$3:Z$102="P"),--(Y$3:Y$102="P"))&lt;4)),X24,"")</f>
        <v>21.089109829999998</v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109</v>
      </c>
      <c r="AC24" s="9">
        <f>COUNTIF(L24:Q24,"&lt;=8")</f>
        <v>0</v>
      </c>
      <c r="AD24" s="9">
        <f>MIN(L24:Q24)</f>
        <v>17</v>
      </c>
    </row>
    <row r="25" spans="1:30" x14ac:dyDescent="0.2">
      <c r="A25" s="7" t="s">
        <v>77</v>
      </c>
      <c r="B25" s="6" t="s">
        <v>19</v>
      </c>
      <c r="E25" s="3" t="str">
        <f>IF(AA25="","",RANK(AA25,AA:AA))</f>
        <v/>
      </c>
      <c r="F25" s="6">
        <v>11</v>
      </c>
      <c r="G25" s="6"/>
      <c r="H25" s="6"/>
      <c r="I25" s="6"/>
      <c r="J25" s="6"/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11</v>
      </c>
      <c r="M25" s="9" t="str">
        <f>IF(OR($C25&lt;&gt;"",$D25&lt;&gt;"",G25=""),"",G25-SUMPRODUCT(--($C$3:$C$102="P"),--(G$3:G$102&lt;G25),--(G$3:G$102&lt;&gt;""))-SUMPRODUCT(--($D$3:$D$102="P"),--(G$3:G$102&lt;G25),--(G$3:G$102&lt;&gt;"")))</f>
        <v/>
      </c>
      <c r="N25" s="9" t="str">
        <f>IF(OR($C25&lt;&gt;"",$D25&lt;&gt;"",H25=""),"",H25-SUMPRODUCT(--($C$3:$C$102="P"),--(H$3:H$102&lt;H25),--(H$3:H$102&lt;&gt;""))-SUMPRODUCT(--($D$3:$D$102="P"),--(H$3:H$102&lt;H25),--(H$3:H$102&lt;&gt;"")))</f>
        <v/>
      </c>
      <c r="O25" s="9" t="str">
        <f>IF(OR($C25&lt;&gt;"",$D25&lt;&gt;"",I25=""),"",I25-SUMPRODUCT(--($C$3:$C$102="P"),--(I$3:I$102&lt;I25),--(I$3:I$102&lt;&gt;""))-SUMPRODUCT(--($D$3:$D$102="P"),--(I$3:I$102&lt;I25),--(I$3:I$102&lt;&gt;"")))</f>
        <v/>
      </c>
      <c r="P25" s="9" t="str">
        <f>IF(OR($C25&lt;&gt;"",$D25&lt;&gt;"",J25=""),"",J25-SUMPRODUCT(--($C$3:$C$102="P"),--(J$3:J$102&lt;J25),--(J$3:J$102&lt;&gt;""))-SUMPRODUCT(--($D$3:$D$102="P"),--(J$3:J$102&lt;J25),--(J$3:J$102&lt;&gt;"")))</f>
        <v/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20</v>
      </c>
      <c r="S25" s="9" t="str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/>
      </c>
      <c r="T25" s="9" t="str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/>
      </c>
      <c r="U25" s="9" t="str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/>
      </c>
      <c r="V25" s="9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5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20.098909890000002</v>
      </c>
      <c r="Y25" s="2" t="str">
        <f>IF(OR(X25="",X25=0),"",IF(SUMPRODUCT(--(B$3:B$102=B25),--(X$3:X$102&gt;X25),--(X$3:X$102&lt;&gt;"")),"","P"))</f>
        <v/>
      </c>
      <c r="Z25" s="2" t="str">
        <f>IF(X25="","",IF(SUMPRODUCT(--(C$3:C$102="P"),--(B$3:B$102=B25)),"P",""))</f>
        <v/>
      </c>
      <c r="AA25" s="15" t="str">
        <f>IF(AND(Y25&lt;&gt;"",OR(Z25="",SUMPRODUCT(--(X$3:X$102&gt;X25),--(Z$3:Z$102="P"),--(Y$3:Y$102="P"))&lt;4)),X25,"")</f>
        <v/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11</v>
      </c>
      <c r="AC25" s="9">
        <f>COUNTIF(L25:Q25,"&lt;=8")</f>
        <v>0</v>
      </c>
      <c r="AD25" s="9">
        <f>MIN(L25:Q25)</f>
        <v>11</v>
      </c>
    </row>
    <row r="26" spans="1:30" x14ac:dyDescent="0.2">
      <c r="A26" s="7" t="s">
        <v>93</v>
      </c>
      <c r="B26" s="6" t="s">
        <v>52</v>
      </c>
      <c r="E26" s="3">
        <f>IF(AA26="","",RANK(AA26,AA:AA))</f>
        <v>11</v>
      </c>
      <c r="F26" s="6">
        <v>26</v>
      </c>
      <c r="G26" s="6">
        <v>16</v>
      </c>
      <c r="H26" s="6">
        <v>68</v>
      </c>
      <c r="I26" s="6"/>
      <c r="J26" s="6"/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26</v>
      </c>
      <c r="M26" s="9">
        <f>IF(OR($C26&lt;&gt;"",$D26&lt;&gt;"",G26=""),"",G26-SUMPRODUCT(--($C$3:$C$102="P"),--(G$3:G$102&lt;G26),--(G$3:G$102&lt;&gt;""))-SUMPRODUCT(--($D$3:$D$102="P"),--(G$3:G$102&lt;G26),--(G$3:G$102&lt;&gt;"")))</f>
        <v>16</v>
      </c>
      <c r="N26" s="9">
        <f>IF(OR($C26&lt;&gt;"",$D26&lt;&gt;"",H26=""),"",H26-SUMPRODUCT(--($C$3:$C$102="P"),--(H$3:H$102&lt;H26),--(H$3:H$102&lt;&gt;""))-SUMPRODUCT(--($D$3:$D$102="P"),--(H$3:H$102&lt;H26),--(H$3:H$102&lt;&gt;"")))</f>
        <v>68</v>
      </c>
      <c r="O26" s="9" t="str">
        <f>IF(OR($C26&lt;&gt;"",$D26&lt;&gt;"",I26=""),"",I26-SUMPRODUCT(--($C$3:$C$102="P"),--(I$3:I$102&lt;I26),--(I$3:I$102&lt;&gt;""))-SUMPRODUCT(--($D$3:$D$102="P"),--(I$3:I$102&lt;I26),--(I$3:I$102&lt;&gt;"")))</f>
        <v/>
      </c>
      <c r="P26" s="9" t="str">
        <f>IF(OR($C26&lt;&gt;"",$D26&lt;&gt;"",J26=""),"",J26-SUMPRODUCT(--($C$3:$C$102="P"),--(J$3:J$102&lt;J26),--(J$3:J$102&lt;&gt;""))-SUMPRODUCT(--($D$3:$D$102="P"),--(J$3:J$102&lt;J26),--(J$3:J$102&lt;&gt;"")))</f>
        <v/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5</v>
      </c>
      <c r="S26" s="9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15</v>
      </c>
      <c r="T26" s="9" t="str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/>
      </c>
      <c r="U26" s="9" t="str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/>
      </c>
      <c r="V26" s="9" t="str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/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5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20.089009839999999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5">
        <f>IF(AND(Y26&lt;&gt;"",OR(Z26="",SUMPRODUCT(--(X$3:X$102&gt;X26),--(Z$3:Z$102="P"),--(Y$3:Y$102="P"))&lt;4)),X26,"")</f>
        <v>20.089009839999999</v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110</v>
      </c>
      <c r="AC26" s="9">
        <f>COUNTIF(L26:Q26,"&lt;=8")</f>
        <v>0</v>
      </c>
      <c r="AD26" s="9">
        <f>MIN(L26:Q26)</f>
        <v>16</v>
      </c>
    </row>
    <row r="27" spans="1:30" x14ac:dyDescent="0.2">
      <c r="A27" s="7" t="s">
        <v>167</v>
      </c>
      <c r="B27" s="6" t="s">
        <v>16</v>
      </c>
      <c r="E27" s="3"/>
      <c r="F27" s="6"/>
      <c r="G27" s="6"/>
      <c r="H27" s="6">
        <v>13</v>
      </c>
      <c r="I27" s="6"/>
      <c r="J27" s="6"/>
      <c r="K27" s="6"/>
      <c r="L27" s="9" t="str">
        <f>IF(OR($C27&lt;&gt;"",$D27&lt;&gt;"",F27=""),"",F27-SUMPRODUCT(--($C$3:$C$102="P"),--(F$3:F$102&lt;F27),--(F$3:F$102&lt;&gt;""))-SUMPRODUCT(--($D$3:$D$102="P"),--(F$3:F$102&lt;F27),--(F$3:F$102&lt;&gt;"")))</f>
        <v/>
      </c>
      <c r="M27" s="9" t="str">
        <f>IF(OR($C27&lt;&gt;"",$D27&lt;&gt;"",G27=""),"",G27-SUMPRODUCT(--($C$3:$C$102="P"),--(G$3:G$102&lt;G27),--(G$3:G$102&lt;&gt;""))-SUMPRODUCT(--($D$3:$D$102="P"),--(G$3:G$102&lt;G27),--(G$3:G$102&lt;&gt;"")))</f>
        <v/>
      </c>
      <c r="N27" s="9">
        <f>IF(OR($C27&lt;&gt;"",$D27&lt;&gt;"",H27=""),"",H27-SUMPRODUCT(--($C$3:$C$102="P"),--(H$3:H$102&lt;H27),--(H$3:H$102&lt;&gt;""))-SUMPRODUCT(--($D$3:$D$102="P"),--(H$3:H$102&lt;H27),--(H$3:H$102&lt;&gt;"")))</f>
        <v>13</v>
      </c>
      <c r="O27" s="9" t="str">
        <f>IF(OR($C27&lt;&gt;"",$D27&lt;&gt;"",I27=""),"",I27-SUMPRODUCT(--($C$3:$C$102="P"),--(I$3:I$102&lt;I27),--(I$3:I$102&lt;&gt;""))-SUMPRODUCT(--($D$3:$D$102="P"),--(I$3:I$102&lt;I27),--(I$3:I$102&lt;&gt;"")))</f>
        <v/>
      </c>
      <c r="P27" s="9" t="str">
        <f>IF(OR($C27&lt;&gt;"",$D27&lt;&gt;"",J27=""),"",J27-SUMPRODUCT(--($C$3:$C$102="P"),--(J$3:J$102&lt;J27),--(J$3:J$102&lt;&gt;""))-SUMPRODUCT(--($D$3:$D$102="P"),--(J$3:J$102&lt;J27),--(J$3:J$102&lt;&gt;"")))</f>
        <v/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S27" s="9" t="str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/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18</v>
      </c>
      <c r="U27" s="9" t="str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/>
      </c>
      <c r="V27" s="9" t="str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/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5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18.09870987</v>
      </c>
      <c r="Y27" s="2" t="str">
        <f>IF(OR(X27="",X27=0),"",IF(SUMPRODUCT(--(B$3:B$102=B27),--(X$3:X$102&gt;X27),--(X$3:X$102&lt;&gt;"")),"","P"))</f>
        <v/>
      </c>
      <c r="Z27" s="2" t="str">
        <f>IF(X27="","",IF(SUMPRODUCT(--(C$3:C$102="P"),--(B$3:B$102=B27)),"P",""))</f>
        <v/>
      </c>
      <c r="AA27" s="15" t="str">
        <f>IF(AND(Y27&lt;&gt;"",OR(Z27="",SUMPRODUCT(--(X$3:X$102&gt;X27),--(Z$3:Z$102="P"),--(Y$3:Y$102="P"))&lt;4)),X27,"")</f>
        <v/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13</v>
      </c>
      <c r="AC27" s="9">
        <f>COUNTIF(L27:Q27,"&lt;=8")</f>
        <v>0</v>
      </c>
      <c r="AD27" s="9">
        <f>MIN(L27:Q27)</f>
        <v>13</v>
      </c>
    </row>
    <row r="28" spans="1:30" x14ac:dyDescent="0.2">
      <c r="A28" s="7" t="s">
        <v>88</v>
      </c>
      <c r="B28" s="6" t="s">
        <v>22</v>
      </c>
      <c r="E28" s="3" t="str">
        <f>IF(AA28="","",RANK(AA28,AA:AA))</f>
        <v/>
      </c>
      <c r="F28" s="6">
        <v>21</v>
      </c>
      <c r="G28" s="6">
        <v>23</v>
      </c>
      <c r="H28" s="6"/>
      <c r="I28" s="6"/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21</v>
      </c>
      <c r="M28" s="9">
        <f>IF(OR($C28&lt;&gt;"",$D28&lt;&gt;"",G28=""),"",G28-SUMPRODUCT(--($C$3:$C$102="P"),--(G$3:G$102&lt;G28),--(G$3:G$102&lt;&gt;""))-SUMPRODUCT(--($D$3:$D$102="P"),--(G$3:G$102&lt;G28),--(G$3:G$102&lt;&gt;"")))</f>
        <v>23</v>
      </c>
      <c r="N28" s="9" t="str">
        <f>IF(OR($C28&lt;&gt;"",$D28&lt;&gt;"",H28=""),"",H28-SUMPRODUCT(--($C$3:$C$102="P"),--(H$3:H$102&lt;H28),--(H$3:H$102&lt;&gt;""))-SUMPRODUCT(--($D$3:$D$102="P"),--(H$3:H$102&lt;H28),--(H$3:H$102&lt;&gt;"")))</f>
        <v/>
      </c>
      <c r="O28" s="9" t="str">
        <f>IF(OR($C28&lt;&gt;"",$D28&lt;&gt;"",I28=""),"",I28-SUMPRODUCT(--($C$3:$C$102="P"),--(I$3:I$102&lt;I28),--(I$3:I$102&lt;&gt;""))-SUMPRODUCT(--($D$3:$D$102="P"),--(I$3:I$102&lt;I28),--(I$3:I$102&lt;&gt;"")))</f>
        <v/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10</v>
      </c>
      <c r="S28" s="9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8</v>
      </c>
      <c r="T28" s="9" t="str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/>
      </c>
      <c r="U28" s="9" t="str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/>
      </c>
      <c r="V28" s="9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5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18.095609790000001</v>
      </c>
      <c r="Y28" s="2" t="str">
        <f>IF(OR(X28="",X28=0),"",IF(SUMPRODUCT(--(B$3:B$102=B28),--(X$3:X$102&gt;X28),--(X$3:X$102&lt;&gt;"")),"","P"))</f>
        <v/>
      </c>
      <c r="Z28" s="2" t="str">
        <f>IF(X28="","",IF(SUMPRODUCT(--(C$3:C$102="P"),--(B$3:B$102=B28)),"P",""))</f>
        <v/>
      </c>
      <c r="AA28" s="15" t="str">
        <f>IF(AND(Y28&lt;&gt;"",OR(Z28="",SUMPRODUCT(--(X$3:X$102&gt;X28),--(Z$3:Z$102="P"),--(Y$3:Y$102="P"))&lt;4)),X28,"")</f>
        <v/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44</v>
      </c>
      <c r="AC28" s="9">
        <f>COUNTIF(L28:Q28,"&lt;=8")</f>
        <v>0</v>
      </c>
      <c r="AD28" s="9">
        <f>MIN(L28:Q28)</f>
        <v>21</v>
      </c>
    </row>
    <row r="29" spans="1:30" x14ac:dyDescent="0.2">
      <c r="A29" s="7" t="s">
        <v>87</v>
      </c>
      <c r="B29" s="6" t="s">
        <v>24</v>
      </c>
      <c r="E29" s="3">
        <f>IF(AA29="","",RANK(AA29,AA:AA))</f>
        <v>12</v>
      </c>
      <c r="F29" s="6">
        <v>20</v>
      </c>
      <c r="G29" s="6">
        <v>90</v>
      </c>
      <c r="H29" s="6">
        <v>25</v>
      </c>
      <c r="I29" s="6"/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20</v>
      </c>
      <c r="M29" s="9">
        <f>IF(OR($C29&lt;&gt;"",$D29&lt;&gt;"",G29=""),"",G29-SUMPRODUCT(--($C$3:$C$102="P"),--(G$3:G$102&lt;G29),--(G$3:G$102&lt;&gt;""))-SUMPRODUCT(--($D$3:$D$102="P"),--(G$3:G$102&lt;G29),--(G$3:G$102&lt;&gt;"")))</f>
        <v>90</v>
      </c>
      <c r="N29" s="9">
        <f>IF(OR($C29&lt;&gt;"",$D29&lt;&gt;"",H29=""),"",H29-SUMPRODUCT(--($C$3:$C$102="P"),--(H$3:H$102&lt;H29),--(H$3:H$102&lt;&gt;""))-SUMPRODUCT(--($D$3:$D$102="P"),--(H$3:H$102&lt;H29),--(H$3:H$102&lt;&gt;"")))</f>
        <v>25</v>
      </c>
      <c r="O29" s="9" t="str">
        <f>IF(OR($C29&lt;&gt;"",$D29&lt;&gt;"",I29=""),"",I29-SUMPRODUCT(--($C$3:$C$102="P"),--(I$3:I$102&lt;I29),--(I$3:I$102&lt;&gt;""))-SUMPRODUCT(--($D$3:$D$102="P"),--(I$3:I$102&lt;I29),--(I$3:I$102&lt;&gt;"")))</f>
        <v/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11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6</v>
      </c>
      <c r="U29" s="9" t="str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/>
      </c>
      <c r="V29" s="9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5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17.086509800000002</v>
      </c>
      <c r="Y29" s="2" t="str">
        <f>IF(OR(X29="",X29=0),"",IF(SUMPRODUCT(--(B$3:B$102=B29),--(X$3:X$102&gt;X29),--(X$3:X$102&lt;&gt;"")),"","P"))</f>
        <v>P</v>
      </c>
      <c r="Z29" s="2" t="str">
        <f>IF(X29="","",IF(SUMPRODUCT(--(C$3:C$102="P"),--(B$3:B$102=B29)),"P",""))</f>
        <v/>
      </c>
      <c r="AA29" s="15">
        <f>IF(AND(Y29&lt;&gt;"",OR(Z29="",SUMPRODUCT(--(X$3:X$102&gt;X29),--(Z$3:Z$102="P"),--(Y$3:Y$102="P"))&lt;4)),X29,"")</f>
        <v>17.086509800000002</v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135</v>
      </c>
      <c r="AC29" s="9">
        <f>COUNTIF(L29:Q29,"&lt;=8")</f>
        <v>0</v>
      </c>
      <c r="AD29" s="9">
        <f>MIN(L29:Q29)</f>
        <v>20</v>
      </c>
    </row>
    <row r="30" spans="1:30" x14ac:dyDescent="0.2">
      <c r="A30" s="7" t="s">
        <v>95</v>
      </c>
      <c r="B30" s="6" t="s">
        <v>57</v>
      </c>
      <c r="E30" s="3">
        <f>IF(AA30="","",RANK(AA30,AA:AA))</f>
        <v>13</v>
      </c>
      <c r="F30" s="6">
        <v>28</v>
      </c>
      <c r="G30" s="6">
        <v>18</v>
      </c>
      <c r="H30" s="6">
        <v>61</v>
      </c>
      <c r="I30" s="6"/>
      <c r="J30" s="6"/>
      <c r="K30" s="6"/>
      <c r="L30" s="9">
        <f>IF(OR($C30&lt;&gt;"",$D30&lt;&gt;"",F30=""),"",F30-SUMPRODUCT(--($C$3:$C$102="P"),--(F$3:F$102&lt;F30),--(F$3:F$102&lt;&gt;""))-SUMPRODUCT(--($D$3:$D$102="P"),--(F$3:F$102&lt;F30),--(F$3:F$102&lt;&gt;"")))</f>
        <v>28</v>
      </c>
      <c r="M30" s="9">
        <f>IF(OR($C30&lt;&gt;"",$D30&lt;&gt;"",G30=""),"",G30-SUMPRODUCT(--($C$3:$C$102="P"),--(G$3:G$102&lt;G30),--(G$3:G$102&lt;&gt;""))-SUMPRODUCT(--($D$3:$D$102="P"),--(G$3:G$102&lt;G30),--(G$3:G$102&lt;&gt;"")))</f>
        <v>18</v>
      </c>
      <c r="N30" s="9">
        <f>IF(OR($C30&lt;&gt;"",$D30&lt;&gt;"",H30=""),"",H30-SUMPRODUCT(--($C$3:$C$102="P"),--(H$3:H$102&lt;H30),--(H$3:H$102&lt;&gt;""))-SUMPRODUCT(--($D$3:$D$102="P"),--(H$3:H$102&lt;H30),--(H$3:H$102&lt;&gt;"")))</f>
        <v>61</v>
      </c>
      <c r="O30" s="9" t="str">
        <f>IF(OR($C30&lt;&gt;"",$D30&lt;&gt;"",I30=""),"",I30-SUMPRODUCT(--($C$3:$C$102="P"),--(I$3:I$102&lt;I30),--(I$3:I$102&lt;&gt;""))-SUMPRODUCT(--($D$3:$D$102="P"),--(I$3:I$102&lt;I30),--(I$3:I$102&lt;&gt;"")))</f>
        <v/>
      </c>
      <c r="P30" s="9" t="str">
        <f>IF(OR($C30&lt;&gt;"",$D30&lt;&gt;"",J30=""),"",J30-SUMPRODUCT(--($C$3:$C$102="P"),--(J$3:J$102&lt;J30),--(J$3:J$102&lt;&gt;""))-SUMPRODUCT(--($D$3:$D$102="P"),--(J$3:J$102&lt;J30),--(J$3:J$102&lt;&gt;"")))</f>
        <v/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3</v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13</v>
      </c>
      <c r="T30" s="9" t="str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/>
      </c>
      <c r="U30" s="9" t="str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/>
      </c>
      <c r="V30" s="9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5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16.08930982</v>
      </c>
      <c r="Y30" s="2" t="str">
        <f>IF(OR(X30="",X30=0),"",IF(SUMPRODUCT(--(B$3:B$102=B30),--(X$3:X$102&gt;X30),--(X$3:X$102&lt;&gt;"")),"","P"))</f>
        <v>P</v>
      </c>
      <c r="Z30" s="2" t="str">
        <f>IF(X30="","",IF(SUMPRODUCT(--(C$3:C$102="P"),--(B$3:B$102=B30)),"P",""))</f>
        <v/>
      </c>
      <c r="AA30" s="15">
        <f>IF(AND(Y30&lt;&gt;"",OR(Z30="",SUMPRODUCT(--(X$3:X$102&gt;X30),--(Z$3:Z$102="P"),--(Y$3:Y$102="P"))&lt;4)),X30,"")</f>
        <v>16.08930982</v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107</v>
      </c>
      <c r="AC30" s="9">
        <f>COUNTIF(L30:Q30,"&lt;=8")</f>
        <v>0</v>
      </c>
      <c r="AD30" s="9">
        <f>MIN(L30:Q30)</f>
        <v>18</v>
      </c>
    </row>
    <row r="31" spans="1:30" x14ac:dyDescent="0.2">
      <c r="A31" s="7" t="s">
        <v>96</v>
      </c>
      <c r="B31" s="6" t="s">
        <v>54</v>
      </c>
      <c r="E31" s="3">
        <f>IF(AA31="","",RANK(AA31,AA:AA))</f>
        <v>14</v>
      </c>
      <c r="F31" s="6">
        <v>29</v>
      </c>
      <c r="G31" s="6">
        <v>17</v>
      </c>
      <c r="H31" s="6">
        <v>64</v>
      </c>
      <c r="I31" s="6"/>
      <c r="J31" s="6"/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29</v>
      </c>
      <c r="M31" s="9">
        <f>IF(OR($C31&lt;&gt;"",$D31&lt;&gt;"",G31=""),"",G31-SUMPRODUCT(--($C$3:$C$102="P"),--(G$3:G$102&lt;G31),--(G$3:G$102&lt;&gt;""))-SUMPRODUCT(--($D$3:$D$102="P"),--(G$3:G$102&lt;G31),--(G$3:G$102&lt;&gt;"")))</f>
        <v>17</v>
      </c>
      <c r="N31" s="9">
        <f>IF(OR($C31&lt;&gt;"",$D31&lt;&gt;"",H31=""),"",H31-SUMPRODUCT(--($C$3:$C$102="P"),--(H$3:H$102&lt;H31),--(H$3:H$102&lt;&gt;""))-SUMPRODUCT(--($D$3:$D$102="P"),--(H$3:H$102&lt;H31),--(H$3:H$102&lt;&gt;"")))</f>
        <v>64</v>
      </c>
      <c r="O31" s="9" t="str">
        <f>IF(OR($C31&lt;&gt;"",$D31&lt;&gt;"",I31=""),"",I31-SUMPRODUCT(--($C$3:$C$102="P"),--(I$3:I$102&lt;I31),--(I$3:I$102&lt;&gt;""))-SUMPRODUCT(--($D$3:$D$102="P"),--(I$3:I$102&lt;I31),--(I$3:I$102&lt;&gt;"")))</f>
        <v/>
      </c>
      <c r="P31" s="9" t="str">
        <f>IF(OR($C31&lt;&gt;"",$D31&lt;&gt;"",J31=""),"",J31-SUMPRODUCT(--($C$3:$C$102="P"),--(J$3:J$102&lt;J31),--(J$3:J$102&lt;&gt;""))-SUMPRODUCT(--($D$3:$D$102="P"),--(J$3:J$102&lt;J31),--(J$3:J$102&lt;&gt;"")))</f>
        <v/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2</v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14</v>
      </c>
      <c r="T31" s="9" t="str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/>
      </c>
      <c r="U31" s="9" t="str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/>
      </c>
      <c r="V31" s="9" t="str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/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5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16.089009829999998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/>
      </c>
      <c r="AA31" s="15">
        <f>IF(AND(Y31&lt;&gt;"",OR(Z31="",SUMPRODUCT(--(X$3:X$102&gt;X31),--(Z$3:Z$102="P"),--(Y$3:Y$102="P"))&lt;4)),X31,"")</f>
        <v>16.089009829999998</v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110</v>
      </c>
      <c r="AC31" s="9">
        <f>COUNTIF(L31:Q31,"&lt;=8")</f>
        <v>0</v>
      </c>
      <c r="AD31" s="9">
        <f>MIN(L31:Q31)</f>
        <v>17</v>
      </c>
    </row>
    <row r="32" spans="1:30" x14ac:dyDescent="0.2">
      <c r="A32" s="7" t="s">
        <v>168</v>
      </c>
      <c r="B32" s="6" t="s">
        <v>19</v>
      </c>
      <c r="E32" s="3"/>
      <c r="F32" s="6">
        <v>61</v>
      </c>
      <c r="G32" s="6">
        <v>74</v>
      </c>
      <c r="H32" s="6">
        <v>16</v>
      </c>
      <c r="I32" s="6"/>
      <c r="J32" s="6"/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61</v>
      </c>
      <c r="M32" s="9">
        <f>IF(OR($C32&lt;&gt;"",$D32&lt;&gt;"",G32=""),"",G32-SUMPRODUCT(--($C$3:$C$102="P"),--(G$3:G$102&lt;G32),--(G$3:G$102&lt;&gt;""))-SUMPRODUCT(--($D$3:$D$102="P"),--(G$3:G$102&lt;G32),--(G$3:G$102&lt;&gt;"")))</f>
        <v>74</v>
      </c>
      <c r="N32" s="9">
        <f>IF(OR($C32&lt;&gt;"",$D32&lt;&gt;"",H32=""),"",H32-SUMPRODUCT(--($C$3:$C$102="P"),--(H$3:H$102&lt;H32),--(H$3:H$102&lt;&gt;""))-SUMPRODUCT(--($D$3:$D$102="P"),--(H$3:H$102&lt;H32),--(H$3:H$102&lt;&gt;"")))</f>
        <v>16</v>
      </c>
      <c r="O32" s="9" t="str">
        <f>IF(OR($C32&lt;&gt;"",$D32&lt;&gt;"",I32=""),"",I32-SUMPRODUCT(--($C$3:$C$102="P"),--(I$3:I$102&lt;I32),--(I$3:I$102&lt;&gt;""))-SUMPRODUCT(--($D$3:$D$102="P"),--(I$3:I$102&lt;I32),--(I$3:I$102&lt;&gt;"")))</f>
        <v/>
      </c>
      <c r="P32" s="9" t="str">
        <f>IF(OR($C32&lt;&gt;"",$D32&lt;&gt;"",J32=""),"",J32-SUMPRODUCT(--($C$3:$C$102="P"),--(J$3:J$102&lt;J32),--(J$3:J$102&lt;&gt;""))-SUMPRODUCT(--($D$3:$D$102="P"),--(J$3:J$102&lt;J32),--(J$3:J$102&lt;&gt;"")))</f>
        <v/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S32" s="9" t="str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/>
      </c>
      <c r="T32" s="9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15</v>
      </c>
      <c r="U32" s="9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9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5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15.08490984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5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151</v>
      </c>
      <c r="AC32" s="9">
        <f>COUNTIF(L32:Q32,"&lt;=8")</f>
        <v>0</v>
      </c>
      <c r="AD32" s="9">
        <f>MIN(L32:Q32)</f>
        <v>16</v>
      </c>
    </row>
    <row r="33" spans="1:30" x14ac:dyDescent="0.2">
      <c r="A33" s="7" t="s">
        <v>84</v>
      </c>
      <c r="B33" s="6" t="s">
        <v>20</v>
      </c>
      <c r="E33" s="3" t="str">
        <f>IF(AA33="","",RANK(AA33,AA:AA))</f>
        <v/>
      </c>
      <c r="F33" s="6">
        <v>17</v>
      </c>
      <c r="G33" s="6"/>
      <c r="H33" s="6"/>
      <c r="I33" s="6"/>
      <c r="J33" s="6"/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17</v>
      </c>
      <c r="M33" s="9" t="str">
        <f>IF(OR($C33&lt;&gt;"",$D33&lt;&gt;"",G33=""),"",G33-SUMPRODUCT(--($C$3:$C$102="P"),--(G$3:G$102&lt;G33),--(G$3:G$102&lt;&gt;""))-SUMPRODUCT(--($D$3:$D$102="P"),--(G$3:G$102&lt;G33),--(G$3:G$102&lt;&gt;"")))</f>
        <v/>
      </c>
      <c r="N33" s="9" t="str">
        <f>IF(OR($C33&lt;&gt;"",$D33&lt;&gt;"",H33=""),"",H33-SUMPRODUCT(--($C$3:$C$102="P"),--(H$3:H$102&lt;H33),--(H$3:H$102&lt;&gt;""))-SUMPRODUCT(--($D$3:$D$102="P"),--(H$3:H$102&lt;H33),--(H$3:H$102&lt;&gt;"")))</f>
        <v/>
      </c>
      <c r="O33" s="9" t="str">
        <f>IF(OR($C33&lt;&gt;"",$D33&lt;&gt;"",I33=""),"",I33-SUMPRODUCT(--($C$3:$C$102="P"),--(I$3:I$102&lt;I33),--(I$3:I$102&lt;&gt;""))-SUMPRODUCT(--($D$3:$D$102="P"),--(I$3:I$102&lt;I33),--(I$3:I$102&lt;&gt;"")))</f>
        <v/>
      </c>
      <c r="P33" s="9" t="str">
        <f>IF(OR($C33&lt;&gt;"",$D33&lt;&gt;"",J33=""),"",J33-SUMPRODUCT(--($C$3:$C$102="P"),--(J$3:J$102&lt;J33),--(J$3:J$102&lt;&gt;""))-SUMPRODUCT(--($D$3:$D$102="P"),--(J$3:J$102&lt;J33),--(J$3:J$102&lt;&gt;"")))</f>
        <v/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14</v>
      </c>
      <c r="S33" s="9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9" t="str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/>
      </c>
      <c r="U33" s="9" t="str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/>
      </c>
      <c r="V33" s="9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5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14.09830983</v>
      </c>
      <c r="Y33" s="2" t="str">
        <f>IF(OR(X33="",X33=0),"",IF(SUMPRODUCT(--(B$3:B$102=B33),--(X$3:X$102&gt;X33),--(X$3:X$102&lt;&gt;"")),"","P"))</f>
        <v/>
      </c>
      <c r="Z33" s="2" t="str">
        <f>IF(X33="","",IF(SUMPRODUCT(--(C$3:C$102="P"),--(B$3:B$102=B33)),"P",""))</f>
        <v/>
      </c>
      <c r="AA33" s="15" t="str">
        <f>IF(AND(Y33&lt;&gt;"",OR(Z33="",SUMPRODUCT(--(X$3:X$102&gt;X33),--(Z$3:Z$102="P"),--(Y$3:Y$102="P"))&lt;4)),X33,"")</f>
        <v/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17</v>
      </c>
      <c r="AC33" s="9">
        <f>COUNTIF(L33:Q33,"&lt;=8")</f>
        <v>0</v>
      </c>
      <c r="AD33" s="9">
        <f>MIN(L33:Q33)</f>
        <v>17</v>
      </c>
    </row>
    <row r="34" spans="1:30" x14ac:dyDescent="0.2">
      <c r="A34" s="7" t="s">
        <v>99</v>
      </c>
      <c r="B34" s="6" t="s">
        <v>107</v>
      </c>
      <c r="E34" s="3">
        <f>IF(AA34="","",RANK(AA34,AA:AA))</f>
        <v>15</v>
      </c>
      <c r="F34" s="6">
        <v>32</v>
      </c>
      <c r="G34" s="6">
        <v>22</v>
      </c>
      <c r="H34" s="6">
        <v>26</v>
      </c>
      <c r="I34" s="6"/>
      <c r="J34" s="6"/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32</v>
      </c>
      <c r="M34" s="9">
        <f>IF(OR($C34&lt;&gt;"",$D34&lt;&gt;"",G34=""),"",G34-SUMPRODUCT(--($C$3:$C$102="P"),--(G$3:G$102&lt;G34),--(G$3:G$102&lt;&gt;""))-SUMPRODUCT(--($D$3:$D$102="P"),--(G$3:G$102&lt;G34),--(G$3:G$102&lt;&gt;"")))</f>
        <v>22</v>
      </c>
      <c r="N34" s="9">
        <f>IF(OR($C34&lt;&gt;"",$D34&lt;&gt;"",H34=""),"",H34-SUMPRODUCT(--($C$3:$C$102="P"),--(H$3:H$102&lt;H34),--(H$3:H$102&lt;&gt;""))-SUMPRODUCT(--($D$3:$D$102="P"),--(H$3:H$102&lt;H34),--(H$3:H$102&lt;&gt;"")))</f>
        <v>26</v>
      </c>
      <c r="O34" s="9" t="str">
        <f>IF(OR($C34&lt;&gt;"",$D34&lt;&gt;"",I34=""),"",I34-SUMPRODUCT(--($C$3:$C$102="P"),--(I$3:I$102&lt;I34),--(I$3:I$102&lt;&gt;""))-SUMPRODUCT(--($D$3:$D$102="P"),--(I$3:I$102&lt;I34),--(I$3:I$102&lt;&gt;"")))</f>
        <v/>
      </c>
      <c r="P34" s="9" t="str">
        <f>IF(OR($C34&lt;&gt;"",$D34&lt;&gt;"",J34=""),"",J34-SUMPRODUCT(--($C$3:$C$102="P"),--(J$3:J$102&lt;J34),--(J$3:J$102&lt;&gt;""))-SUMPRODUCT(--($D$3:$D$102="P"),--(J$3:J$102&lt;J34),--(J$3:J$102&lt;&gt;"")))</f>
        <v/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S34" s="9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9</v>
      </c>
      <c r="T34" s="9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>5</v>
      </c>
      <c r="U34" s="9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9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5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14.09200978</v>
      </c>
      <c r="Y34" s="2" t="str">
        <f>IF(OR(X34="",X34=0),"",IF(SUMPRODUCT(--(B$3:B$102=B34),--(X$3:X$102&gt;X34),--(X$3:X$102&lt;&gt;"")),"","P"))</f>
        <v>P</v>
      </c>
      <c r="Z34" s="2" t="str">
        <f>IF(X34="","",IF(SUMPRODUCT(--(C$3:C$102="P"),--(B$3:B$102=B34)),"P",""))</f>
        <v/>
      </c>
      <c r="AA34" s="15">
        <f>IF(AND(Y34&lt;&gt;"",OR(Z34="",SUMPRODUCT(--(X$3:X$102&gt;X34),--(Z$3:Z$102="P"),--(Y$3:Y$102="P"))&lt;4)),X34,"")</f>
        <v>14.09200978</v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80</v>
      </c>
      <c r="AC34" s="9">
        <f>COUNTIF(L34:Q34,"&lt;=8")</f>
        <v>0</v>
      </c>
      <c r="AD34" s="9">
        <f>MIN(L34:Q34)</f>
        <v>22</v>
      </c>
    </row>
    <row r="35" spans="1:30" x14ac:dyDescent="0.2">
      <c r="A35" s="7" t="s">
        <v>90</v>
      </c>
      <c r="B35" s="6" t="s">
        <v>57</v>
      </c>
      <c r="E35" s="3" t="str">
        <f>IF(AA35="","",RANK(AA35,AA:AA))</f>
        <v/>
      </c>
      <c r="F35" s="6">
        <v>23</v>
      </c>
      <c r="G35" s="6">
        <v>27</v>
      </c>
      <c r="H35" s="6">
        <v>30</v>
      </c>
      <c r="I35" s="6"/>
      <c r="J35" s="6"/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23</v>
      </c>
      <c r="M35" s="9">
        <f>IF(OR($C35&lt;&gt;"",$D35&lt;&gt;"",G35=""),"",G35-SUMPRODUCT(--($C$3:$C$102="P"),--(G$3:G$102&lt;G35),--(G$3:G$102&lt;&gt;""))-SUMPRODUCT(--($D$3:$D$102="P"),--(G$3:G$102&lt;G35),--(G$3:G$102&lt;&gt;"")))</f>
        <v>27</v>
      </c>
      <c r="N35" s="9">
        <f>IF(OR($C35&lt;&gt;"",$D35&lt;&gt;"",H35=""),"",H35-SUMPRODUCT(--($C$3:$C$102="P"),--(H$3:H$102&lt;H35),--(H$3:H$102&lt;&gt;""))-SUMPRODUCT(--($D$3:$D$102="P"),--(H$3:H$102&lt;H35),--(H$3:H$102&lt;&gt;"")))</f>
        <v>30</v>
      </c>
      <c r="O35" s="9" t="str">
        <f>IF(OR($C35&lt;&gt;"",$D35&lt;&gt;"",I35=""),"",I35-SUMPRODUCT(--($C$3:$C$102="P"),--(I$3:I$102&lt;I35),--(I$3:I$102&lt;&gt;""))-SUMPRODUCT(--($D$3:$D$102="P"),--(I$3:I$102&lt;I35),--(I$3:I$102&lt;&gt;"")))</f>
        <v/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>8</v>
      </c>
      <c r="S35" s="9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4</v>
      </c>
      <c r="T35" s="9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</v>
      </c>
      <c r="U35" s="9" t="str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13.092009770000001</v>
      </c>
      <c r="Y35" s="2" t="str">
        <f>IF(OR(X35="",X35=0),"",IF(SUMPRODUCT(--(B$3:B$102=B35),--(X$3:X$102&gt;X35),--(X$3:X$102&lt;&gt;"")),"","P"))</f>
        <v/>
      </c>
      <c r="Z35" s="2" t="str">
        <f>IF(X35="","",IF(SUMPRODUCT(--(C$3:C$102="P"),--(B$3:B$102=B35)),"P",""))</f>
        <v/>
      </c>
      <c r="AA35" s="15" t="str">
        <f>IF(AND(Y35&lt;&gt;"",OR(Z35="",SUMPRODUCT(--(X$3:X$102&gt;X35),--(Z$3:Z$102="P"),--(Y$3:Y$102="P"))&lt;4)),X35,"")</f>
        <v/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80</v>
      </c>
      <c r="AC35" s="9">
        <f>COUNTIF(L35:Q35,"&lt;=8")</f>
        <v>0</v>
      </c>
      <c r="AD35" s="9">
        <f>MIN(L35:Q35)</f>
        <v>23</v>
      </c>
    </row>
    <row r="36" spans="1:30" x14ac:dyDescent="0.2">
      <c r="A36" s="7" t="s">
        <v>118</v>
      </c>
      <c r="B36" s="6" t="s">
        <v>20</v>
      </c>
      <c r="E36" s="3" t="str">
        <f>IF(AA36="","",RANK(AA36,AA:AA))</f>
        <v/>
      </c>
      <c r="F36" s="6"/>
      <c r="G36" s="6">
        <v>19</v>
      </c>
      <c r="H36" s="6">
        <v>62</v>
      </c>
      <c r="I36" s="6"/>
      <c r="J36" s="6"/>
      <c r="K36" s="6"/>
      <c r="L36" s="9" t="str">
        <f>IF(OR($C36&lt;&gt;"",$D36&lt;&gt;"",F36=""),"",F36-SUMPRODUCT(--($C$3:$C$102="P"),--(F$3:F$102&lt;F36),--(F$3:F$102&lt;&gt;""))-SUMPRODUCT(--($D$3:$D$102="P"),--(F$3:F$102&lt;F36),--(F$3:F$102&lt;&gt;"")))</f>
        <v/>
      </c>
      <c r="M36" s="9">
        <f>IF(OR($C36&lt;&gt;"",$D36&lt;&gt;"",G36=""),"",G36-SUMPRODUCT(--($C$3:$C$102="P"),--(G$3:G$102&lt;G36),--(G$3:G$102&lt;&gt;""))-SUMPRODUCT(--($D$3:$D$102="P"),--(G$3:G$102&lt;G36),--(G$3:G$102&lt;&gt;"")))</f>
        <v>19</v>
      </c>
      <c r="N36" s="9">
        <f>IF(OR($C36&lt;&gt;"",$D36&lt;&gt;"",H36=""),"",H36-SUMPRODUCT(--($C$3:$C$102="P"),--(H$3:H$102&lt;H36),--(H$3:H$102&lt;&gt;""))-SUMPRODUCT(--($D$3:$D$102="P"),--(H$3:H$102&lt;H36),--(H$3:H$102&lt;&gt;"")))</f>
        <v>62</v>
      </c>
      <c r="O36" s="9" t="str">
        <f>IF(OR($C36&lt;&gt;"",$D36&lt;&gt;"",I36=""),"",I36-SUMPRODUCT(--($C$3:$C$102="P"),--(I$3:I$102&lt;I36),--(I$3:I$102&lt;&gt;""))-SUMPRODUCT(--($D$3:$D$102="P"),--(I$3:I$102&lt;I36),--(I$3:I$102&lt;&gt;"")))</f>
        <v/>
      </c>
      <c r="P36" s="9" t="str">
        <f>IF(OR($C36&lt;&gt;"",$D36&lt;&gt;"",J36=""),"",J36-SUMPRODUCT(--($C$3:$C$102="P"),--(J$3:J$102&lt;J36),--(J$3:J$102&lt;&gt;""))-SUMPRODUCT(--($D$3:$D$102="P"),--(J$3:J$102&lt;J36),--(J$3:J$102&lt;&gt;"")))</f>
        <v/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9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>12</v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5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12.091909810000001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5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81</v>
      </c>
      <c r="AC36" s="9">
        <f>COUNTIF(L36:Q36,"&lt;=8")</f>
        <v>0</v>
      </c>
      <c r="AD36" s="9">
        <f>MIN(L36:Q36)</f>
        <v>19</v>
      </c>
    </row>
    <row r="37" spans="1:30" x14ac:dyDescent="0.2">
      <c r="A37" s="7" t="s">
        <v>169</v>
      </c>
      <c r="B37" s="6" t="s">
        <v>108</v>
      </c>
      <c r="E37" s="3"/>
      <c r="F37" s="6">
        <v>62</v>
      </c>
      <c r="G37" s="6">
        <v>48</v>
      </c>
      <c r="H37" s="6">
        <v>19</v>
      </c>
      <c r="I37" s="6"/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62</v>
      </c>
      <c r="M37" s="9">
        <f>IF(OR($C37&lt;&gt;"",$D37&lt;&gt;"",G37=""),"",G37-SUMPRODUCT(--($C$3:$C$102="P"),--(G$3:G$102&lt;G37),--(G$3:G$102&lt;&gt;""))-SUMPRODUCT(--($D$3:$D$102="P"),--(G$3:G$102&lt;G37),--(G$3:G$102&lt;&gt;"")))</f>
        <v>48</v>
      </c>
      <c r="N37" s="9">
        <f>IF(OR($C37&lt;&gt;"",$D37&lt;&gt;"",H37=""),"",H37-SUMPRODUCT(--($C$3:$C$102="P"),--(H$3:H$102&lt;H37),--(H$3:H$102&lt;&gt;""))-SUMPRODUCT(--($D$3:$D$102="P"),--(H$3:H$102&lt;H37),--(H$3:H$102&lt;&gt;"")))</f>
        <v>19</v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S37" s="9" t="str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/>
      </c>
      <c r="T37" s="9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>12</v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5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12.087109809999999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5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129</v>
      </c>
      <c r="AC37" s="9">
        <f>COUNTIF(L37:Q37,"&lt;=8")</f>
        <v>0</v>
      </c>
      <c r="AD37" s="9">
        <f>MIN(L37:Q37)</f>
        <v>19</v>
      </c>
    </row>
    <row r="38" spans="1:30" x14ac:dyDescent="0.2">
      <c r="A38" s="7" t="s">
        <v>97</v>
      </c>
      <c r="B38" s="6" t="s">
        <v>106</v>
      </c>
      <c r="E38" s="3">
        <f>IF(AA38="","",RANK(AA38,AA:AA))</f>
        <v>16</v>
      </c>
      <c r="F38" s="6">
        <v>30</v>
      </c>
      <c r="G38" s="6">
        <v>21</v>
      </c>
      <c r="H38" s="6"/>
      <c r="I38" s="6"/>
      <c r="J38" s="6"/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30</v>
      </c>
      <c r="M38" s="9">
        <f>IF(OR($C38&lt;&gt;"",$D38&lt;&gt;"",G38=""),"",G38-SUMPRODUCT(--($C$3:$C$102="P"),--(G$3:G$102&lt;G38),--(G$3:G$102&lt;&gt;""))-SUMPRODUCT(--($D$3:$D$102="P"),--(G$3:G$102&lt;G38),--(G$3:G$102&lt;&gt;"")))</f>
        <v>21</v>
      </c>
      <c r="N38" s="9" t="str">
        <f>IF(OR($C38&lt;&gt;"",$D38&lt;&gt;"",H38=""),"",H38-SUMPRODUCT(--($C$3:$C$102="P"),--(H$3:H$102&lt;H38),--(H$3:H$102&lt;&gt;""))-SUMPRODUCT(--($D$3:$D$102="P"),--(H$3:H$102&lt;H38),--(H$3:H$102&lt;&gt;"")))</f>
        <v/>
      </c>
      <c r="O38" s="9" t="str">
        <f>IF(OR($C38&lt;&gt;"",$D38&lt;&gt;"",I38=""),"",I38-SUMPRODUCT(--($C$3:$C$102="P"),--(I$3:I$102&lt;I38),--(I$3:I$102&lt;&gt;""))-SUMPRODUCT(--($D$3:$D$102="P"),--(I$3:I$102&lt;I38),--(I$3:I$102&lt;&gt;"")))</f>
        <v/>
      </c>
      <c r="P38" s="9" t="str">
        <f>IF(OR($C38&lt;&gt;"",$D38&lt;&gt;"",J38=""),"",J38-SUMPRODUCT(--($C$3:$C$102="P"),--(J$3:J$102&lt;J38),--(J$3:J$102&lt;&gt;""))-SUMPRODUCT(--($D$3:$D$102="P"),--(J$3:J$102&lt;J38),--(J$3:J$102&lt;&gt;"")))</f>
        <v/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1</v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10</v>
      </c>
      <c r="T38" s="9" t="str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/>
      </c>
      <c r="U38" s="9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9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5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11.094909790000001</v>
      </c>
      <c r="Y38" s="2" t="str">
        <f>IF(OR(X38="",X38=0),"",IF(SUMPRODUCT(--(B$3:B$102=B38),--(X$3:X$102&gt;X38),--(X$3:X$102&lt;&gt;"")),"","P"))</f>
        <v>P</v>
      </c>
      <c r="Z38" s="2" t="str">
        <f>IF(X38="","",IF(SUMPRODUCT(--(C$3:C$102="P"),--(B$3:B$102=B38)),"P",""))</f>
        <v/>
      </c>
      <c r="AA38" s="15">
        <f>IF(AND(Y38&lt;&gt;"",OR(Z38="",SUMPRODUCT(--(X$3:X$102&gt;X38),--(Z$3:Z$102="P"),--(Y$3:Y$102="P"))&lt;4)),X38,"")</f>
        <v>11.094909790000001</v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51</v>
      </c>
      <c r="AC38" s="9">
        <f>COUNTIF(L38:Q38,"&lt;=8")</f>
        <v>0</v>
      </c>
      <c r="AD38" s="9">
        <f>MIN(L38:Q38)</f>
        <v>21</v>
      </c>
    </row>
    <row r="39" spans="1:30" x14ac:dyDescent="0.2">
      <c r="A39" s="7" t="s">
        <v>119</v>
      </c>
      <c r="B39" s="6" t="s">
        <v>57</v>
      </c>
      <c r="E39" s="3" t="str">
        <f>IF(AA39="","",RANK(AA39,AA:AA))</f>
        <v/>
      </c>
      <c r="F39" s="6">
        <v>51</v>
      </c>
      <c r="G39" s="6">
        <v>20</v>
      </c>
      <c r="H39" s="6"/>
      <c r="I39" s="6"/>
      <c r="J39" s="6"/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51</v>
      </c>
      <c r="M39" s="9">
        <f>IF(OR($C39&lt;&gt;"",$D39&lt;&gt;"",G39=""),"",G39-SUMPRODUCT(--($C$3:$C$102="P"),--(G$3:G$102&lt;G39),--(G$3:G$102&lt;&gt;""))-SUMPRODUCT(--($D$3:$D$102="P"),--(G$3:G$102&lt;G39),--(G$3:G$102&lt;&gt;"")))</f>
        <v>20</v>
      </c>
      <c r="N39" s="9" t="str">
        <f>IF(OR($C39&lt;&gt;"",$D39&lt;&gt;"",H39=""),"",H39-SUMPRODUCT(--($C$3:$C$102="P"),--(H$3:H$102&lt;H39),--(H$3:H$102&lt;&gt;""))-SUMPRODUCT(--($D$3:$D$102="P"),--(H$3:H$102&lt;H39),--(H$3:H$102&lt;&gt;"")))</f>
        <v/>
      </c>
      <c r="O39" s="9" t="str">
        <f>IF(OR($C39&lt;&gt;"",$D39&lt;&gt;"",I39=""),"",I39-SUMPRODUCT(--($C$3:$C$102="P"),--(I$3:I$102&lt;I39),--(I$3:I$102&lt;&gt;""))-SUMPRODUCT(--($D$3:$D$102="P"),--(I$3:I$102&lt;I39),--(I$3:I$102&lt;&gt;"")))</f>
        <v/>
      </c>
      <c r="P39" s="9" t="str">
        <f>IF(OR($C39&lt;&gt;"",$D39&lt;&gt;"",J39=""),"",J39-SUMPRODUCT(--($C$3:$C$102="P"),--(J$3:J$102&lt;J39),--(J$3:J$102&lt;&gt;""))-SUMPRODUCT(--($D$3:$D$102="P"),--(J$3:J$102&lt;J39),--(J$3:J$102&lt;&gt;"")))</f>
        <v/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S39" s="9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>11</v>
      </c>
      <c r="T39" s="9" t="str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/>
      </c>
      <c r="U39" s="9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5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11.092909800000001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5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71</v>
      </c>
      <c r="AC39" s="9">
        <f>COUNTIF(L39:Q39,"&lt;=8")</f>
        <v>0</v>
      </c>
      <c r="AD39" s="9">
        <f>MIN(L39:Q39)</f>
        <v>20</v>
      </c>
    </row>
    <row r="40" spans="1:30" x14ac:dyDescent="0.2">
      <c r="A40" s="7" t="s">
        <v>170</v>
      </c>
      <c r="B40" s="6" t="s">
        <v>82</v>
      </c>
      <c r="E40" s="3"/>
      <c r="F40" s="6">
        <v>54</v>
      </c>
      <c r="G40" s="6"/>
      <c r="H40" s="6">
        <v>21</v>
      </c>
      <c r="I40" s="6"/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54</v>
      </c>
      <c r="M40" s="9" t="str">
        <f>IF(OR($C40&lt;&gt;"",$D40&lt;&gt;"",G40=""),"",G40-SUMPRODUCT(--($C$3:$C$102="P"),--(G$3:G$102&lt;G40),--(G$3:G$102&lt;&gt;""))-SUMPRODUCT(--($D$3:$D$102="P"),--(G$3:G$102&lt;G40),--(G$3:G$102&lt;&gt;"")))</f>
        <v/>
      </c>
      <c r="N40" s="9">
        <f>IF(OR($C40&lt;&gt;"",$D40&lt;&gt;"",H40=""),"",H40-SUMPRODUCT(--($C$3:$C$102="P"),--(H$3:H$102&lt;H40),--(H$3:H$102&lt;&gt;""))-SUMPRODUCT(--($D$3:$D$102="P"),--(H$3:H$102&lt;H40),--(H$3:H$102&lt;&gt;"")))</f>
        <v>21</v>
      </c>
      <c r="O40" s="9" t="str">
        <f>IF(OR($C40&lt;&gt;"",$D40&lt;&gt;"",I40=""),"",I40-SUMPRODUCT(--($C$3:$C$102="P"),--(I$3:I$102&lt;I40),--(I$3:I$102&lt;&gt;""))-SUMPRODUCT(--($D$3:$D$102="P"),--(I$3:I$102&lt;I40),--(I$3:I$102&lt;&gt;"")))</f>
        <v/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S40" s="9" t="str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/>
      </c>
      <c r="T40" s="9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>10</v>
      </c>
      <c r="U40" s="9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5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10.092509789999999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/>
      </c>
      <c r="AA40" s="15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75</v>
      </c>
      <c r="AC40" s="9">
        <f>COUNTIF(L40:Q40,"&lt;=8")</f>
        <v>0</v>
      </c>
      <c r="AD40" s="9">
        <f>MIN(L40:Q40)</f>
        <v>21</v>
      </c>
    </row>
    <row r="41" spans="1:30" x14ac:dyDescent="0.2">
      <c r="A41" s="7" t="s">
        <v>126</v>
      </c>
      <c r="B41" s="6" t="s">
        <v>24</v>
      </c>
      <c r="E41" s="3" t="str">
        <f>IF(AA41="","",RANK(AA41,AA:AA))</f>
        <v/>
      </c>
      <c r="F41" s="6"/>
      <c r="G41" s="6">
        <v>29</v>
      </c>
      <c r="H41" s="6">
        <v>24</v>
      </c>
      <c r="I41" s="6"/>
      <c r="J41" s="6"/>
      <c r="K41" s="6"/>
      <c r="L41" s="9" t="str">
        <f>IF(OR($C41&lt;&gt;"",$D41&lt;&gt;"",F41=""),"",F41-SUMPRODUCT(--($C$3:$C$102="P"),--(F$3:F$102&lt;F41),--(F$3:F$102&lt;&gt;""))-SUMPRODUCT(--($D$3:$D$102="P"),--(F$3:F$102&lt;F41),--(F$3:F$102&lt;&gt;"")))</f>
        <v/>
      </c>
      <c r="M41" s="9">
        <f>IF(OR($C41&lt;&gt;"",$D41&lt;&gt;"",G41=""),"",G41-SUMPRODUCT(--($C$3:$C$102="P"),--(G$3:G$102&lt;G41),--(G$3:G$102&lt;&gt;""))-SUMPRODUCT(--($D$3:$D$102="P"),--(G$3:G$102&lt;G41),--(G$3:G$102&lt;&gt;"")))</f>
        <v>29</v>
      </c>
      <c r="N41" s="9">
        <f>IF(OR($C41&lt;&gt;"",$D41&lt;&gt;"",H41=""),"",H41-SUMPRODUCT(--($C$3:$C$102="P"),--(H$3:H$102&lt;H41),--(H$3:H$102&lt;&gt;""))-SUMPRODUCT(--($D$3:$D$102="P"),--(H$3:H$102&lt;H41),--(H$3:H$102&lt;&gt;"")))</f>
        <v>24</v>
      </c>
      <c r="O41" s="9" t="str">
        <f>IF(OR($C41&lt;&gt;"",$D41&lt;&gt;"",I41=""),"",I41-SUMPRODUCT(--($C$3:$C$102="P"),--(I$3:I$102&lt;I41),--(I$3:I$102&lt;&gt;""))-SUMPRODUCT(--($D$3:$D$102="P"),--(I$3:I$102&lt;I41),--(I$3:I$102&lt;&gt;"")))</f>
        <v/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2</v>
      </c>
      <c r="T41" s="9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>7</v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5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9.0947097599999989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/>
      </c>
      <c r="AA41" s="15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53</v>
      </c>
      <c r="AC41" s="9">
        <f>COUNTIF(L41:Q41,"&lt;=8")</f>
        <v>0</v>
      </c>
      <c r="AD41" s="9">
        <f>MIN(L41:Q41)</f>
        <v>24</v>
      </c>
    </row>
    <row r="42" spans="1:30" x14ac:dyDescent="0.2">
      <c r="A42" s="7" t="s">
        <v>171</v>
      </c>
      <c r="B42" s="6" t="s">
        <v>22</v>
      </c>
      <c r="E42" s="3"/>
      <c r="F42" s="6"/>
      <c r="G42" s="6">
        <v>51</v>
      </c>
      <c r="H42" s="6">
        <v>22</v>
      </c>
      <c r="I42" s="6"/>
      <c r="J42" s="6"/>
      <c r="K42" s="6"/>
      <c r="L42" s="9" t="str">
        <f>IF(OR($C42&lt;&gt;"",$D42&lt;&gt;"",F42=""),"",F42-SUMPRODUCT(--($C$3:$C$102="P"),--(F$3:F$102&lt;F42),--(F$3:F$102&lt;&gt;""))-SUMPRODUCT(--($D$3:$D$102="P"),--(F$3:F$102&lt;F42),--(F$3:F$102&lt;&gt;"")))</f>
        <v/>
      </c>
      <c r="M42" s="9">
        <f>IF(OR($C42&lt;&gt;"",$D42&lt;&gt;"",G42=""),"",G42-SUMPRODUCT(--($C$3:$C$102="P"),--(G$3:G$102&lt;G42),--(G$3:G$102&lt;&gt;""))-SUMPRODUCT(--($D$3:$D$102="P"),--(G$3:G$102&lt;G42),--(G$3:G$102&lt;&gt;"")))</f>
        <v>51</v>
      </c>
      <c r="N42" s="9">
        <f>IF(OR($C42&lt;&gt;"",$D42&lt;&gt;"",H42=""),"",H42-SUMPRODUCT(--($C$3:$C$102="P"),--(H$3:H$102&lt;H42),--(H$3:H$102&lt;&gt;""))-SUMPRODUCT(--($D$3:$D$102="P"),--(H$3:H$102&lt;H42),--(H$3:H$102&lt;&gt;"")))</f>
        <v>22</v>
      </c>
      <c r="O42" s="9" t="str">
        <f>IF(OR($C42&lt;&gt;"",$D42&lt;&gt;"",I42=""),"",I42-SUMPRODUCT(--($C$3:$C$102="P"),--(I$3:I$102&lt;I42),--(I$3:I$102&lt;&gt;""))-SUMPRODUCT(--($D$3:$D$102="P"),--(I$3:I$102&lt;I42),--(I$3:I$102&lt;&gt;"")))</f>
        <v/>
      </c>
      <c r="P42" s="9" t="str">
        <f>IF(OR($C42&lt;&gt;"",$D42&lt;&gt;"",J42=""),"",J42-SUMPRODUCT(--($C$3:$C$102="P"),--(J$3:J$102&lt;J42),--(J$3:J$102&lt;&gt;""))-SUMPRODUCT(--($D$3:$D$102="P"),--(J$3:J$102&lt;J42),--(J$3:J$102&lt;&gt;"")))</f>
        <v/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9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9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>9</v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5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9.0927097799999999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5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73</v>
      </c>
      <c r="AC42" s="9">
        <f>COUNTIF(L42:Q42,"&lt;=8")</f>
        <v>0</v>
      </c>
      <c r="AD42" s="9">
        <f>MIN(L42:Q42)</f>
        <v>22</v>
      </c>
    </row>
    <row r="43" spans="1:30" x14ac:dyDescent="0.2">
      <c r="A43" s="7" t="s">
        <v>172</v>
      </c>
      <c r="B43" s="6" t="s">
        <v>55</v>
      </c>
      <c r="E43" s="3"/>
      <c r="F43" s="6"/>
      <c r="G43" s="6"/>
      <c r="H43" s="6">
        <v>23</v>
      </c>
      <c r="I43" s="6"/>
      <c r="J43" s="6"/>
      <c r="K43" s="6"/>
      <c r="L43" s="9" t="str">
        <f>IF(OR($C43&lt;&gt;"",$D43&lt;&gt;"",F43=""),"",F43-SUMPRODUCT(--($C$3:$C$102="P"),--(F$3:F$102&lt;F43),--(F$3:F$102&lt;&gt;""))-SUMPRODUCT(--($D$3:$D$102="P"),--(F$3:F$102&lt;F43),--(F$3:F$102&lt;&gt;"")))</f>
        <v/>
      </c>
      <c r="M43" s="9" t="str">
        <f>IF(OR($C43&lt;&gt;"",$D43&lt;&gt;"",G43=""),"",G43-SUMPRODUCT(--($C$3:$C$102="P"),--(G$3:G$102&lt;G43),--(G$3:G$102&lt;&gt;""))-SUMPRODUCT(--($D$3:$D$102="P"),--(G$3:G$102&lt;G43),--(G$3:G$102&lt;&gt;"")))</f>
        <v/>
      </c>
      <c r="N43" s="9">
        <f>IF(OR($C43&lt;&gt;"",$D43&lt;&gt;"",H43=""),"",H43-SUMPRODUCT(--($C$3:$C$102="P"),--(H$3:H$102&lt;H43),--(H$3:H$102&lt;&gt;""))-SUMPRODUCT(--($D$3:$D$102="P"),--(H$3:H$102&lt;H43),--(H$3:H$102&lt;&gt;"")))</f>
        <v>23</v>
      </c>
      <c r="O43" s="9" t="str">
        <f>IF(OR($C43&lt;&gt;"",$D43&lt;&gt;"",I43=""),"",I43-SUMPRODUCT(--($C$3:$C$102="P"),--(I$3:I$102&lt;I43),--(I$3:I$102&lt;&gt;""))-SUMPRODUCT(--($D$3:$D$102="P"),--(I$3:I$102&lt;I43),--(I$3:I$102&lt;&gt;"")))</f>
        <v/>
      </c>
      <c r="P43" s="9" t="str">
        <f>IF(OR($C43&lt;&gt;"",$D43&lt;&gt;"",J43=""),"",J43-SUMPRODUCT(--($C$3:$C$102="P"),--(J$3:J$102&lt;J43),--(J$3:J$102&lt;&gt;""))-SUMPRODUCT(--($D$3:$D$102="P"),--(J$3:J$102&lt;J43),--(J$3:J$102&lt;&gt;"")))</f>
        <v/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S43" s="9" t="str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/>
      </c>
      <c r="T43" s="9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>8</v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5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8.0977097699999998</v>
      </c>
      <c r="Y43" s="2" t="str">
        <f>IF(OR(X43="",X43=0),"",IF(SUMPRODUCT(--(B$3:B$102=B43),--(X$3:X$102&gt;X43),--(X$3:X$102&lt;&gt;"")),"","P"))</f>
        <v>P</v>
      </c>
      <c r="Z43" s="2" t="str">
        <f>IF(X43="","",IF(SUMPRODUCT(--(C$3:C$102="P"),--(B$3:B$102=B43)),"P",""))</f>
        <v/>
      </c>
      <c r="AA43" s="15">
        <f>IF(AND(Y43&lt;&gt;"",OR(Z43="",SUMPRODUCT(--(X$3:X$102&gt;X43),--(Z$3:Z$102="P"),--(Y$3:Y$102="P"))&lt;4)),X43,"")</f>
        <v>8.0977097699999998</v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23</v>
      </c>
      <c r="AC43" s="9">
        <f>COUNTIF(L43:Q43,"&lt;=8")</f>
        <v>0</v>
      </c>
      <c r="AD43" s="9">
        <f>MIN(L43:Q43)</f>
        <v>23</v>
      </c>
    </row>
    <row r="44" spans="1:30" x14ac:dyDescent="0.2">
      <c r="A44" s="7" t="s">
        <v>91</v>
      </c>
      <c r="B44" s="6" t="s">
        <v>22</v>
      </c>
      <c r="E44" s="3" t="str">
        <f>IF(AA44="","",RANK(AA44,AA:AA))</f>
        <v/>
      </c>
      <c r="F44" s="6">
        <v>24</v>
      </c>
      <c r="G44" s="6"/>
      <c r="H44" s="6"/>
      <c r="I44" s="6"/>
      <c r="J44" s="6"/>
      <c r="K44" s="6"/>
      <c r="L44" s="9">
        <f>IF(OR($C44&lt;&gt;"",$D44&lt;&gt;"",F44=""),"",F44-SUMPRODUCT(--($C$3:$C$102="P"),--(F$3:F$102&lt;F44),--(F$3:F$102&lt;&gt;""))-SUMPRODUCT(--($D$3:$D$102="P"),--(F$3:F$102&lt;F44),--(F$3:F$102&lt;&gt;"")))</f>
        <v>24</v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 t="str">
        <f>IF(OR($C44&lt;&gt;"",$D44&lt;&gt;"",H44=""),"",H44-SUMPRODUCT(--($C$3:$C$102="P"),--(H$3:H$102&lt;H44),--(H$3:H$102&lt;&gt;""))-SUMPRODUCT(--($D$3:$D$102="P"),--(H$3:H$102&lt;H44),--(H$3:H$102&lt;&gt;"")))</f>
        <v/>
      </c>
      <c r="O44" s="9" t="str">
        <f>IF(OR($C44&lt;&gt;"",$D44&lt;&gt;"",I44=""),"",I44-SUMPRODUCT(--($C$3:$C$102="P"),--(I$3:I$102&lt;I44),--(I$3:I$102&lt;&gt;""))-SUMPRODUCT(--($D$3:$D$102="P"),--(I$3:I$102&lt;I44),--(I$3:I$102&lt;&gt;"")))</f>
        <v/>
      </c>
      <c r="P44" s="9" t="str">
        <f>IF(OR($C44&lt;&gt;"",$D44&lt;&gt;"",J44=""),"",J44-SUMPRODUCT(--($C$3:$C$102="P"),--(J$3:J$102&lt;J44),--(J$3:J$102&lt;&gt;""))-SUMPRODUCT(--($D$3:$D$102="P"),--(J$3:J$102&lt;J44),--(J$3:J$102&lt;&gt;"")))</f>
        <v/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>7</v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 t="str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/>
      </c>
      <c r="U44" s="9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9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5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7.0976097600000001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/>
      </c>
      <c r="AA44" s="15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24</v>
      </c>
      <c r="AC44" s="9">
        <f>COUNTIF(L44:Q44,"&lt;=8")</f>
        <v>0</v>
      </c>
      <c r="AD44" s="9">
        <f>MIN(L44:Q44)</f>
        <v>24</v>
      </c>
    </row>
    <row r="45" spans="1:30" x14ac:dyDescent="0.2">
      <c r="A45" s="7" t="s">
        <v>94</v>
      </c>
      <c r="B45" s="6" t="s">
        <v>57</v>
      </c>
      <c r="E45" s="3" t="str">
        <f>IF(AA45="","",RANK(AA45,AA:AA))</f>
        <v/>
      </c>
      <c r="F45" s="6">
        <v>27</v>
      </c>
      <c r="G45" s="6">
        <v>84</v>
      </c>
      <c r="H45" s="6">
        <v>28</v>
      </c>
      <c r="I45" s="6"/>
      <c r="J45" s="6"/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27</v>
      </c>
      <c r="M45" s="9">
        <f>IF(OR($C45&lt;&gt;"",$D45&lt;&gt;"",G45=""),"",G45-SUMPRODUCT(--($C$3:$C$102="P"),--(G$3:G$102&lt;G45),--(G$3:G$102&lt;&gt;""))-SUMPRODUCT(--($D$3:$D$102="P"),--(G$3:G$102&lt;G45),--(G$3:G$102&lt;&gt;"")))</f>
        <v>84</v>
      </c>
      <c r="N45" s="9">
        <f>IF(OR($C45&lt;&gt;"",$D45&lt;&gt;"",H45=""),"",H45-SUMPRODUCT(--($C$3:$C$102="P"),--(H$3:H$102&lt;H45),--(H$3:H$102&lt;&gt;""))-SUMPRODUCT(--($D$3:$D$102="P"),--(H$3:H$102&lt;H45),--(H$3:H$102&lt;&gt;"")))</f>
        <v>28</v>
      </c>
      <c r="O45" s="9" t="str">
        <f>IF(OR($C45&lt;&gt;"",$D45&lt;&gt;"",I45=""),"",I45-SUMPRODUCT(--($C$3:$C$102="P"),--(I$3:I$102&lt;I45),--(I$3:I$102&lt;&gt;""))-SUMPRODUCT(--($D$3:$D$102="P"),--(I$3:I$102&lt;I45),--(I$3:I$102&lt;&gt;"")))</f>
        <v/>
      </c>
      <c r="P45" s="9" t="str">
        <f>IF(OR($C45&lt;&gt;"",$D45&lt;&gt;"",J45=""),"",J45-SUMPRODUCT(--($C$3:$C$102="P"),--(J$3:J$102&lt;J45),--(J$3:J$102&lt;&gt;""))-SUMPRODUCT(--($D$3:$D$102="P"),--(J$3:J$102&lt;J45),--(J$3:J$102&lt;&gt;"")))</f>
        <v/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4</v>
      </c>
      <c r="S45" s="9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9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>3</v>
      </c>
      <c r="U45" s="9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9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5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7.0861097300000004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/>
      </c>
      <c r="AA45" s="15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139</v>
      </c>
      <c r="AC45" s="9">
        <f>COUNTIF(L45:Q45,"&lt;=8")</f>
        <v>0</v>
      </c>
      <c r="AD45" s="9">
        <f>MIN(L45:Q45)</f>
        <v>27</v>
      </c>
    </row>
    <row r="46" spans="1:30" x14ac:dyDescent="0.2">
      <c r="A46" s="7" t="s">
        <v>121</v>
      </c>
      <c r="B46" s="6" t="s">
        <v>122</v>
      </c>
      <c r="E46" s="3">
        <f>IF(AA46="","",RANK(AA46,AA:AA))</f>
        <v>18</v>
      </c>
      <c r="F46" s="6">
        <v>70</v>
      </c>
      <c r="G46" s="6">
        <v>25</v>
      </c>
      <c r="H46" s="6">
        <v>54</v>
      </c>
      <c r="I46" s="6"/>
      <c r="J46" s="6"/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70</v>
      </c>
      <c r="M46" s="9">
        <f>IF(OR($C46&lt;&gt;"",$D46&lt;&gt;"",G46=""),"",G46-SUMPRODUCT(--($C$3:$C$102="P"),--(G$3:G$102&lt;G46),--(G$3:G$102&lt;&gt;""))-SUMPRODUCT(--($D$3:$D$102="P"),--(G$3:G$102&lt;G46),--(G$3:G$102&lt;&gt;"")))</f>
        <v>25</v>
      </c>
      <c r="N46" s="9">
        <f>IF(OR($C46&lt;&gt;"",$D46&lt;&gt;"",H46=""),"",H46-SUMPRODUCT(--($C$3:$C$102="P"),--(H$3:H$102&lt;H46),--(H$3:H$102&lt;&gt;""))-SUMPRODUCT(--($D$3:$D$102="P"),--(H$3:H$102&lt;H46),--(H$3:H$102&lt;&gt;"")))</f>
        <v>54</v>
      </c>
      <c r="O46" s="9" t="str">
        <f>IF(OR($C46&lt;&gt;"",$D46&lt;&gt;"",I46=""),"",I46-SUMPRODUCT(--($C$3:$C$102="P"),--(I$3:I$102&lt;I46),--(I$3:I$102&lt;&gt;""))-SUMPRODUCT(--($D$3:$D$102="P"),--(I$3:I$102&lt;I46),--(I$3:I$102&lt;&gt;"")))</f>
        <v/>
      </c>
      <c r="P46" s="9" t="str">
        <f>IF(OR($C46&lt;&gt;"",$D46&lt;&gt;"",J46=""),"",J46-SUMPRODUCT(--($C$3:$C$102="P"),--(J$3:J$102&lt;J46),--(J$3:J$102&lt;&gt;""))-SUMPRODUCT(--($D$3:$D$102="P"),--(J$3:J$102&lt;J46),--(J$3:J$102&lt;&gt;"")))</f>
        <v/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9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6</v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5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6.08510975</v>
      </c>
      <c r="Y46" s="2" t="str">
        <f>IF(OR(X46="",X46=0),"",IF(SUMPRODUCT(--(B$3:B$102=B46),--(X$3:X$102&gt;X46),--(X$3:X$102&lt;&gt;"")),"","P"))</f>
        <v>P</v>
      </c>
      <c r="Z46" s="2" t="str">
        <f>IF(X46="","",IF(SUMPRODUCT(--(C$3:C$102="P"),--(B$3:B$102=B46)),"P",""))</f>
        <v/>
      </c>
      <c r="AA46" s="15">
        <f>IF(AND(Y46&lt;&gt;"",OR(Z46="",SUMPRODUCT(--(X$3:X$102&gt;X46),--(Z$3:Z$102="P"),--(Y$3:Y$102="P"))&lt;4)),X46,"")</f>
        <v>6.08510975</v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149</v>
      </c>
      <c r="AC46" s="9">
        <f>COUNTIF(L46:Q46,"&lt;=8")</f>
        <v>0</v>
      </c>
      <c r="AD46" s="9">
        <f>MIN(L46:Q46)</f>
        <v>25</v>
      </c>
    </row>
    <row r="47" spans="1:30" x14ac:dyDescent="0.2">
      <c r="A47" s="7" t="s">
        <v>123</v>
      </c>
      <c r="B47" s="6" t="s">
        <v>22</v>
      </c>
      <c r="E47" s="3" t="str">
        <f>IF(AA47="","",RANK(AA47,AA:AA))</f>
        <v/>
      </c>
      <c r="F47" s="6"/>
      <c r="G47" s="6">
        <v>26</v>
      </c>
      <c r="H47" s="6"/>
      <c r="I47" s="6"/>
      <c r="J47" s="6"/>
      <c r="K47" s="6"/>
      <c r="L47" s="9" t="str">
        <f>IF(OR($C47&lt;&gt;"",$D47&lt;&gt;"",F47=""),"",F47-SUMPRODUCT(--($C$3:$C$102="P"),--(F$3:F$102&lt;F47),--(F$3:F$102&lt;&gt;""))-SUMPRODUCT(--($D$3:$D$102="P"),--(F$3:F$102&lt;F47),--(F$3:F$102&lt;&gt;"")))</f>
        <v/>
      </c>
      <c r="M47" s="9">
        <f>IF(OR($C47&lt;&gt;"",$D47&lt;&gt;"",G47=""),"",G47-SUMPRODUCT(--($C$3:$C$102="P"),--(G$3:G$102&lt;G47),--(G$3:G$102&lt;&gt;""))-SUMPRODUCT(--($D$3:$D$102="P"),--(G$3:G$102&lt;G47),--(G$3:G$102&lt;&gt;"")))</f>
        <v>26</v>
      </c>
      <c r="N47" s="9" t="str">
        <f>IF(OR($C47&lt;&gt;"",$D47&lt;&gt;"",H47=""),"",H47-SUMPRODUCT(--($C$3:$C$102="P"),--(H$3:H$102&lt;H47),--(H$3:H$102&lt;&gt;""))-SUMPRODUCT(--($D$3:$D$102="P"),--(H$3:H$102&lt;H47),--(H$3:H$102&lt;&gt;"")))</f>
        <v/>
      </c>
      <c r="O47" s="9" t="str">
        <f>IF(OR($C47&lt;&gt;"",$D47&lt;&gt;"",I47=""),"",I47-SUMPRODUCT(--($C$3:$C$102="P"),--(I$3:I$102&lt;I47),--(I$3:I$102&lt;&gt;""))-SUMPRODUCT(--($D$3:$D$102="P"),--(I$3:I$102&lt;I47),--(I$3:I$102&lt;&gt;"")))</f>
        <v/>
      </c>
      <c r="P47" s="9" t="str">
        <f>IF(OR($C47&lt;&gt;"",$D47&lt;&gt;"",J47=""),"",J47-SUMPRODUCT(--($C$3:$C$102="P"),--(J$3:J$102&lt;J47),--(J$3:J$102&lt;&gt;""))-SUMPRODUCT(--($D$3:$D$102="P"),--(J$3:J$102&lt;J47),--(J$3:J$102&lt;&gt;"")))</f>
        <v/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>5</v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 t="str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/>
      </c>
      <c r="V47" s="9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5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5.0974097400000007</v>
      </c>
      <c r="Y47" s="2" t="str">
        <f>IF(OR(X47="",X47=0),"",IF(SUMPRODUCT(--(B$3:B$102=B47),--(X$3:X$102&gt;X47),--(X$3:X$102&lt;&gt;"")),"","P"))</f>
        <v/>
      </c>
      <c r="Z47" s="2" t="str">
        <f>IF(X47="","",IF(SUMPRODUCT(--(C$3:C$102="P"),--(B$3:B$102=B47)),"P",""))</f>
        <v/>
      </c>
      <c r="AA47" s="15" t="str">
        <f>IF(AND(Y47&lt;&gt;"",OR(Z47="",SUMPRODUCT(--(X$3:X$102&gt;X47),--(Z$3:Z$102="P"),--(Y$3:Y$102="P"))&lt;4)),X47,"")</f>
        <v/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26</v>
      </c>
      <c r="AC47" s="9">
        <f>COUNTIF(L47:Q47,"&lt;=8")</f>
        <v>0</v>
      </c>
      <c r="AD47" s="9">
        <f>MIN(L47:Q47)</f>
        <v>26</v>
      </c>
    </row>
    <row r="48" spans="1:30" x14ac:dyDescent="0.2">
      <c r="A48" s="7" t="s">
        <v>173</v>
      </c>
      <c r="B48" s="6" t="s">
        <v>54</v>
      </c>
      <c r="E48" s="3"/>
      <c r="F48" s="6">
        <v>56</v>
      </c>
      <c r="G48" s="6">
        <v>76</v>
      </c>
      <c r="H48" s="6">
        <v>27</v>
      </c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56</v>
      </c>
      <c r="M48" s="9">
        <f>IF(OR($C48&lt;&gt;"",$D48&lt;&gt;"",G48=""),"",G48-SUMPRODUCT(--($C$3:$C$102="P"),--(G$3:G$102&lt;G48),--(G$3:G$102&lt;&gt;""))-SUMPRODUCT(--($D$3:$D$102="P"),--(G$3:G$102&lt;G48),--(G$3:G$102&lt;&gt;"")))</f>
        <v>76</v>
      </c>
      <c r="N48" s="9">
        <f>IF(OR($C48&lt;&gt;"",$D48&lt;&gt;"",H48=""),"",H48-SUMPRODUCT(--($C$3:$C$102="P"),--(H$3:H$102&lt;H48),--(H$3:H$102&lt;&gt;""))-SUMPRODUCT(--($D$3:$D$102="P"),--(H$3:H$102&lt;H48),--(H$3:H$102&lt;&gt;"")))</f>
        <v>27</v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 t="str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/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>4</v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5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4.0841097300000007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/>
      </c>
      <c r="AA48" s="15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159</v>
      </c>
      <c r="AC48" s="9">
        <f>COUNTIF(L48:Q48,"&lt;=8")</f>
        <v>0</v>
      </c>
      <c r="AD48" s="9">
        <f>MIN(L48:Q48)</f>
        <v>27</v>
      </c>
    </row>
    <row r="49" spans="1:30" x14ac:dyDescent="0.2">
      <c r="A49" s="7" t="s">
        <v>124</v>
      </c>
      <c r="B49" s="6" t="s">
        <v>125</v>
      </c>
      <c r="E49" s="3">
        <f>IF(AA49="","",RANK(AA49,AA:AA))</f>
        <v>19</v>
      </c>
      <c r="F49" s="6"/>
      <c r="G49" s="6">
        <v>28</v>
      </c>
      <c r="H49" s="6">
        <v>55</v>
      </c>
      <c r="I49" s="6"/>
      <c r="J49" s="6"/>
      <c r="K49" s="6"/>
      <c r="L49" s="9" t="str">
        <f>IF(OR($C49&lt;&gt;"",$D49&lt;&gt;"",F49=""),"",F49-SUMPRODUCT(--($C$3:$C$102="P"),--(F$3:F$102&lt;F49),--(F$3:F$102&lt;&gt;""))-SUMPRODUCT(--($D$3:$D$102="P"),--(F$3:F$102&lt;F49),--(F$3:F$102&lt;&gt;"")))</f>
        <v/>
      </c>
      <c r="M49" s="9">
        <f>IF(OR($C49&lt;&gt;"",$D49&lt;&gt;"",G49=""),"",G49-SUMPRODUCT(--($C$3:$C$102="P"),--(G$3:G$102&lt;G49),--(G$3:G$102&lt;&gt;""))-SUMPRODUCT(--($D$3:$D$102="P"),--(G$3:G$102&lt;G49),--(G$3:G$102&lt;&gt;"")))</f>
        <v>28</v>
      </c>
      <c r="N49" s="9">
        <f>IF(OR($C49&lt;&gt;"",$D49&lt;&gt;"",H49=""),"",H49-SUMPRODUCT(--($C$3:$C$102="P"),--(H$3:H$102&lt;H49),--(H$3:H$102&lt;&gt;""))-SUMPRODUCT(--($D$3:$D$102="P"),--(H$3:H$102&lt;H49),--(H$3:H$102&lt;&gt;"")))</f>
        <v>55</v>
      </c>
      <c r="O49" s="9" t="str">
        <f>IF(OR($C49&lt;&gt;"",$D49&lt;&gt;"",I49=""),"",I49-SUMPRODUCT(--($C$3:$C$102="P"),--(I$3:I$102&lt;I49),--(I$3:I$102&lt;&gt;""))-SUMPRODUCT(--($D$3:$D$102="P"),--(I$3:I$102&lt;I49),--(I$3:I$102&lt;&gt;"")))</f>
        <v/>
      </c>
      <c r="P49" s="9" t="str">
        <f>IF(OR($C49&lt;&gt;"",$D49&lt;&gt;"",J49=""),"",J49-SUMPRODUCT(--($C$3:$C$102="P"),--(J$3:J$102&lt;J49),--(J$3:J$102&lt;&gt;""))-SUMPRODUCT(--($D$3:$D$102="P"),--(J$3:J$102&lt;J49),--(J$3:J$102&lt;&gt;"")))</f>
        <v/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9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3</v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5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3.0917097199999999</v>
      </c>
      <c r="Y49" s="2" t="str">
        <f>IF(OR(X49="",X49=0),"",IF(SUMPRODUCT(--(B$3:B$102=B49),--(X$3:X$102&gt;X49),--(X$3:X$102&lt;&gt;"")),"","P"))</f>
        <v>P</v>
      </c>
      <c r="Z49" s="2" t="str">
        <f>IF(X49="","",IF(SUMPRODUCT(--(C$3:C$102="P"),--(B$3:B$102=B49)),"P",""))</f>
        <v/>
      </c>
      <c r="AA49" s="15">
        <f>IF(AND(Y49&lt;&gt;"",OR(Z49="",SUMPRODUCT(--(X$3:X$102&gt;X49),--(Z$3:Z$102="P"),--(Y$3:Y$102="P"))&lt;4)),X49,"")</f>
        <v>3.0917097199999999</v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83</v>
      </c>
      <c r="AC49" s="9">
        <f>COUNTIF(L49:Q49,"&lt;=8")</f>
        <v>0</v>
      </c>
      <c r="AD49" s="9">
        <f>MIN(L49:Q49)</f>
        <v>28</v>
      </c>
    </row>
    <row r="50" spans="1:30" x14ac:dyDescent="0.2">
      <c r="A50" s="7" t="s">
        <v>174</v>
      </c>
      <c r="B50" s="6" t="s">
        <v>18</v>
      </c>
      <c r="E50" s="3"/>
      <c r="F50" s="6"/>
      <c r="G50" s="6"/>
      <c r="H50" s="6">
        <v>29</v>
      </c>
      <c r="I50" s="6"/>
      <c r="J50" s="6"/>
      <c r="K50" s="6"/>
      <c r="L50" s="9" t="str">
        <f>IF(OR($C50&lt;&gt;"",$D50&lt;&gt;"",F50=""),"",F50-SUMPRODUCT(--($C$3:$C$102="P"),--(F$3:F$102&lt;F50),--(F$3:F$102&lt;&gt;""))-SUMPRODUCT(--($D$3:$D$102="P"),--(F$3:F$102&lt;F50),--(F$3:F$102&lt;&gt;"")))</f>
        <v/>
      </c>
      <c r="M50" s="9" t="str">
        <f>IF(OR($C50&lt;&gt;"",$D50&lt;&gt;"",G50=""),"",G50-SUMPRODUCT(--($C$3:$C$102="P"),--(G$3:G$102&lt;G50),--(G$3:G$102&lt;&gt;""))-SUMPRODUCT(--($D$3:$D$102="P"),--(G$3:G$102&lt;G50),--(G$3:G$102&lt;&gt;"")))</f>
        <v/>
      </c>
      <c r="N50" s="9">
        <f>IF(OR($C50&lt;&gt;"",$D50&lt;&gt;"",H50=""),"",H50-SUMPRODUCT(--($C$3:$C$102="P"),--(H$3:H$102&lt;H50),--(H$3:H$102&lt;&gt;""))-SUMPRODUCT(--($D$3:$D$102="P"),--(H$3:H$102&lt;H50),--(H$3:H$102&lt;&gt;"")))</f>
        <v>29</v>
      </c>
      <c r="O50" s="9" t="str">
        <f>IF(OR($C50&lt;&gt;"",$D50&lt;&gt;"",I50=""),"",I50-SUMPRODUCT(--($C$3:$C$102="P"),--(I$3:I$102&lt;I50),--(I$3:I$102&lt;&gt;""))-SUMPRODUCT(--($D$3:$D$102="P"),--(I$3:I$102&lt;I50),--(I$3:I$102&lt;&gt;"")))</f>
        <v/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9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9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>2</v>
      </c>
      <c r="U50" s="9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5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2.0971097100000002</v>
      </c>
      <c r="Y50" s="2" t="str">
        <f>IF(OR(X50="",X50=0),"",IF(SUMPRODUCT(--(B$3:B$102=B50),--(X$3:X$102&gt;X50),--(X$3:X$102&lt;&gt;"")),"","P"))</f>
        <v/>
      </c>
      <c r="Z50" s="2" t="str">
        <f>IF(X50="","",IF(SUMPRODUCT(--(C$3:C$102="P"),--(B$3:B$102=B50)),"P",""))</f>
        <v/>
      </c>
      <c r="AA50" s="15" t="str">
        <f>IF(AND(Y50&lt;&gt;"",OR(Z50="",SUMPRODUCT(--(X$3:X$102&gt;X50),--(Z$3:Z$102="P"),--(Y$3:Y$102="P"))&lt;4)),X50,"")</f>
        <v/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29</v>
      </c>
      <c r="AC50" s="9">
        <f>COUNTIF(L50:Q50,"&lt;=8")</f>
        <v>0</v>
      </c>
      <c r="AD50" s="9">
        <f>MIN(L50:Q50)</f>
        <v>29</v>
      </c>
    </row>
    <row r="51" spans="1:30" x14ac:dyDescent="0.2">
      <c r="A51" s="7" t="s">
        <v>127</v>
      </c>
      <c r="B51" s="6" t="s">
        <v>51</v>
      </c>
      <c r="E51" s="3">
        <f>IF(AA51="","",RANK(AA51,AA:AA))</f>
        <v>20</v>
      </c>
      <c r="F51" s="6">
        <v>64</v>
      </c>
      <c r="G51" s="6">
        <v>30</v>
      </c>
      <c r="H51" s="6"/>
      <c r="I51" s="6"/>
      <c r="J51" s="6"/>
      <c r="K51" s="6"/>
      <c r="L51" s="9">
        <f>IF(OR($C51&lt;&gt;"",$D51&lt;&gt;"",F51=""),"",F51-SUMPRODUCT(--($C$3:$C$102="P"),--(F$3:F$102&lt;F51),--(F$3:F$102&lt;&gt;""))-SUMPRODUCT(--($D$3:$D$102="P"),--(F$3:F$102&lt;F51),--(F$3:F$102&lt;&gt;"")))</f>
        <v>64</v>
      </c>
      <c r="M51" s="9">
        <f>IF(OR($C51&lt;&gt;"",$D51&lt;&gt;"",G51=""),"",G51-SUMPRODUCT(--($C$3:$C$102="P"),--(G$3:G$102&lt;G51),--(G$3:G$102&lt;&gt;""))-SUMPRODUCT(--($D$3:$D$102="P"),--(G$3:G$102&lt;G51),--(G$3:G$102&lt;&gt;"")))</f>
        <v>30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 t="str">
        <f>IF(OR($C51&lt;&gt;"",$D51&lt;&gt;"",I51=""),"",I51-SUMPRODUCT(--($C$3:$C$102="P"),--(I$3:I$102&lt;I51),--(I$3:I$102&lt;&gt;""))-SUMPRODUCT(--($D$3:$D$102="P"),--(I$3:I$102&lt;I51),--(I$3:I$102&lt;&gt;"")))</f>
        <v/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1</v>
      </c>
      <c r="T51" s="9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9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5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1.0906096999999999</v>
      </c>
      <c r="Y51" s="2" t="str">
        <f>IF(OR(X51="",X51=0),"",IF(SUMPRODUCT(--(B$3:B$102=B51),--(X$3:X$102&gt;X51),--(X$3:X$102&lt;&gt;"")),"","P"))</f>
        <v>P</v>
      </c>
      <c r="Z51" s="2" t="str">
        <f>IF(X51="","",IF(SUMPRODUCT(--(C$3:C$102="P"),--(B$3:B$102=B51)),"P",""))</f>
        <v/>
      </c>
      <c r="AA51" s="15">
        <f>IF(AND(Y51&lt;&gt;"",OR(Z51="",SUMPRODUCT(--(X$3:X$102&gt;X51),--(Z$3:Z$102="P"),--(Y$3:Y$102="P"))&lt;4)),X51,"")</f>
        <v>1.0906096999999999</v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94</v>
      </c>
      <c r="AC51" s="9">
        <f>COUNTIF(L51:Q51,"&lt;=8")</f>
        <v>0</v>
      </c>
      <c r="AD51" s="9">
        <f>MIN(L51:Q51)</f>
        <v>30</v>
      </c>
    </row>
    <row r="52" spans="1:30" x14ac:dyDescent="0.2">
      <c r="A52" s="7" t="s">
        <v>103</v>
      </c>
      <c r="B52" s="6" t="s">
        <v>59</v>
      </c>
      <c r="E52" s="3" t="str">
        <f>IF(AA52="","",RANK(AA52,AA:AA))</f>
        <v/>
      </c>
      <c r="F52" s="6">
        <v>36</v>
      </c>
      <c r="G52" s="6">
        <v>40</v>
      </c>
      <c r="H52" s="6">
        <v>39</v>
      </c>
      <c r="I52" s="6"/>
      <c r="J52" s="6"/>
      <c r="K52" s="6"/>
      <c r="L52" s="9">
        <f>IF(OR($C52&lt;&gt;"",$D52&lt;&gt;"",F52=""),"",F52-SUMPRODUCT(--($C$3:$C$102="P"),--(F$3:F$102&lt;F52),--(F$3:F$102&lt;&gt;""))-SUMPRODUCT(--($D$3:$D$102="P"),--(F$3:F$102&lt;F52),--(F$3:F$102&lt;&gt;"")))</f>
        <v>36</v>
      </c>
      <c r="M52" s="9">
        <f>IF(OR($C52&lt;&gt;"",$D52&lt;&gt;"",G52=""),"",G52-SUMPRODUCT(--($C$3:$C$102="P"),--(G$3:G$102&lt;G52),--(G$3:G$102&lt;&gt;""))-SUMPRODUCT(--($D$3:$D$102="P"),--(G$3:G$102&lt;G52),--(G$3:G$102&lt;&gt;"")))</f>
        <v>40</v>
      </c>
      <c r="N52" s="9">
        <f>IF(OR($C52&lt;&gt;"",$D52&lt;&gt;"",H52=""),"",H52-SUMPRODUCT(--($C$3:$C$102="P"),--(H$3:H$102&lt;H52),--(H$3:H$102&lt;&gt;""))-SUMPRODUCT(--($D$3:$D$102="P"),--(H$3:H$102&lt;H52),--(H$3:H$102&lt;&gt;"")))</f>
        <v>39</v>
      </c>
      <c r="O52" s="9" t="str">
        <f>IF(OR($C52&lt;&gt;"",$D52&lt;&gt;"",I52=""),"",I52-SUMPRODUCT(--($C$3:$C$102="P"),--(I$3:I$102&lt;I52),--(I$3:I$102&lt;&gt;""))-SUMPRODUCT(--($D$3:$D$102="P"),--(I$3:I$102&lt;I52),--(I$3:I$102&lt;&gt;"")))</f>
        <v/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 t="str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/>
      </c>
      <c r="V52" s="9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5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0</v>
      </c>
      <c r="Y52" s="2" t="str">
        <f>IF(OR(X52="",X52=0),"",IF(SUMPRODUCT(--(B$3:B$102=B52),--(X$3:X$102&gt;X52),--(X$3:X$102&lt;&gt;"")),"","P"))</f>
        <v/>
      </c>
      <c r="Z52" s="2" t="str">
        <f>IF(X52="","",IF(SUMPRODUCT(--(C$3:C$102="P"),--(B$3:B$102=B52)),"P",""))</f>
        <v/>
      </c>
      <c r="AA52" s="15" t="str">
        <f>IF(AND(Y52&lt;&gt;"",OR(Z52="",SUMPRODUCT(--(X$3:X$102&gt;X52),--(Z$3:Z$102="P"),--(Y$3:Y$102="P"))&lt;4)),X52,"")</f>
        <v/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115</v>
      </c>
      <c r="AC52" s="9">
        <f>COUNTIF(L52:Q52,"&lt;=8")</f>
        <v>0</v>
      </c>
      <c r="AD52" s="9">
        <f>MIN(L52:Q52)</f>
        <v>36</v>
      </c>
    </row>
    <row r="53" spans="1:30" x14ac:dyDescent="0.2">
      <c r="A53" s="7" t="s">
        <v>128</v>
      </c>
      <c r="B53" s="6" t="s">
        <v>129</v>
      </c>
      <c r="E53" s="3" t="str">
        <f>IF(AA53="","",RANK(AA53,AA:AA))</f>
        <v/>
      </c>
      <c r="F53" s="6"/>
      <c r="G53" s="6">
        <v>31</v>
      </c>
      <c r="H53" s="6">
        <v>45</v>
      </c>
      <c r="I53" s="6"/>
      <c r="J53" s="6"/>
      <c r="K53" s="6"/>
      <c r="L53" s="9" t="str">
        <f>IF(OR($C53&lt;&gt;"",$D53&lt;&gt;"",F53=""),"",F53-SUMPRODUCT(--($C$3:$C$102="P"),--(F$3:F$102&lt;F53),--(F$3:F$102&lt;&gt;""))-SUMPRODUCT(--($D$3:$D$102="P"),--(F$3:F$102&lt;F53),--(F$3:F$102&lt;&gt;"")))</f>
        <v/>
      </c>
      <c r="M53" s="9">
        <f>IF(OR($C53&lt;&gt;"",$D53&lt;&gt;"",G53=""),"",G53-SUMPRODUCT(--($C$3:$C$102="P"),--(G$3:G$102&lt;G53),--(G$3:G$102&lt;&gt;""))-SUMPRODUCT(--($D$3:$D$102="P"),--(G$3:G$102&lt;G53),--(G$3:G$102&lt;&gt;"")))</f>
        <v>31</v>
      </c>
      <c r="N53" s="9">
        <f>IF(OR($C53&lt;&gt;"",$D53&lt;&gt;"",H53=""),"",H53-SUMPRODUCT(--($C$3:$C$102="P"),--(H$3:H$102&lt;H53),--(H$3:H$102&lt;&gt;""))-SUMPRODUCT(--($D$3:$D$102="P"),--(H$3:H$102&lt;H53),--(H$3:H$102&lt;&gt;"")))</f>
        <v>45</v>
      </c>
      <c r="O53" s="9" t="str">
        <f>IF(OR($C53&lt;&gt;"",$D53&lt;&gt;"",I53=""),"",I53-SUMPRODUCT(--($C$3:$C$102="P"),--(I$3:I$102&lt;I53),--(I$3:I$102&lt;&gt;""))-SUMPRODUCT(--($D$3:$D$102="P"),--(I$3:I$102&lt;I53),--(I$3:I$102&lt;&gt;"")))</f>
        <v/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 t="str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/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5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0</v>
      </c>
      <c r="Y53" s="2" t="str">
        <f>IF(OR(X53="",X53=0),"",IF(SUMPRODUCT(--(B$3:B$102=B53),--(X$3:X$102&gt;X53),--(X$3:X$102&lt;&gt;"")),"","P"))</f>
        <v/>
      </c>
      <c r="Z53" s="2" t="str">
        <f>IF(X53="","",IF(SUMPRODUCT(--(C$3:C$102="P"),--(B$3:B$102=B53)),"P",""))</f>
        <v/>
      </c>
      <c r="AA53" s="15" t="str">
        <f>IF(AND(Y53&lt;&gt;"",OR(Z53="",SUMPRODUCT(--(X$3:X$102&gt;X53),--(Z$3:Z$102="P"),--(Y$3:Y$102="P"))&lt;4)),X53,"")</f>
        <v/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76</v>
      </c>
      <c r="AC53" s="9">
        <f>COUNTIF(L53:Q53,"&lt;=8")</f>
        <v>0</v>
      </c>
      <c r="AD53" s="9">
        <f>MIN(L53:Q53)</f>
        <v>31</v>
      </c>
    </row>
    <row r="54" spans="1:30" x14ac:dyDescent="0.2">
      <c r="A54" s="7" t="s">
        <v>133</v>
      </c>
      <c r="B54" s="6" t="s">
        <v>134</v>
      </c>
      <c r="E54" s="3" t="str">
        <f>IF(AA54="","",RANK(AA54,AA:AA))</f>
        <v/>
      </c>
      <c r="F54" s="6">
        <v>46</v>
      </c>
      <c r="G54" s="6">
        <v>35</v>
      </c>
      <c r="H54" s="6"/>
      <c r="I54" s="6"/>
      <c r="J54" s="6"/>
      <c r="K54" s="6"/>
      <c r="L54" s="9">
        <f>IF(OR($C54&lt;&gt;"",$D54&lt;&gt;"",F54=""),"",F54-SUMPRODUCT(--($C$3:$C$102="P"),--(F$3:F$102&lt;F54),--(F$3:F$102&lt;&gt;""))-SUMPRODUCT(--($D$3:$D$102="P"),--(F$3:F$102&lt;F54),--(F$3:F$102&lt;&gt;"")))</f>
        <v>46</v>
      </c>
      <c r="M54" s="9">
        <f>IF(OR($C54&lt;&gt;"",$D54&lt;&gt;"",G54=""),"",G54-SUMPRODUCT(--($C$3:$C$102="P"),--(G$3:G$102&lt;G54),--(G$3:G$102&lt;&gt;""))-SUMPRODUCT(--($D$3:$D$102="P"),--(G$3:G$102&lt;G54),--(G$3:G$102&lt;&gt;"")))</f>
        <v>35</v>
      </c>
      <c r="N54" s="9" t="str">
        <f>IF(OR($C54&lt;&gt;"",$D54&lt;&gt;"",H54=""),"",H54-SUMPRODUCT(--($C$3:$C$102="P"),--(H$3:H$102&lt;H54),--(H$3:H$102&lt;&gt;""))-SUMPRODUCT(--($D$3:$D$102="P"),--(H$3:H$102&lt;H54),--(H$3:H$102&lt;&gt;"")))</f>
        <v/>
      </c>
      <c r="O54" s="9" t="str">
        <f>IF(OR($C54&lt;&gt;"",$D54&lt;&gt;"",I54=""),"",I54-SUMPRODUCT(--($C$3:$C$102="P"),--(I$3:I$102&lt;I54),--(I$3:I$102&lt;&gt;""))-SUMPRODUCT(--($D$3:$D$102="P"),--(I$3:I$102&lt;I54),--(I$3:I$102&lt;&gt;"")))</f>
        <v/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 t="str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/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5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0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5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81</v>
      </c>
      <c r="AC54" s="9">
        <f>COUNTIF(L54:Q54,"&lt;=8")</f>
        <v>0</v>
      </c>
      <c r="AD54" s="9">
        <f>MIN(L54:Q54)</f>
        <v>35</v>
      </c>
    </row>
    <row r="55" spans="1:30" x14ac:dyDescent="0.2">
      <c r="A55" s="7" t="s">
        <v>105</v>
      </c>
      <c r="B55" s="6" t="s">
        <v>22</v>
      </c>
      <c r="E55" s="3" t="str">
        <f>IF(AA55="","",RANK(AA55,AA:AA))</f>
        <v/>
      </c>
      <c r="F55" s="6">
        <v>38</v>
      </c>
      <c r="G55" s="6"/>
      <c r="H55" s="6"/>
      <c r="I55" s="6"/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38</v>
      </c>
      <c r="M55" s="9" t="str">
        <f>IF(OR($C55&lt;&gt;"",$D55&lt;&gt;"",G55=""),"",G55-SUMPRODUCT(--($C$3:$C$102="P"),--(G$3:G$102&lt;G55),--(G$3:G$102&lt;&gt;""))-SUMPRODUCT(--($D$3:$D$102="P"),--(G$3:G$102&lt;G55),--(G$3:G$102&lt;&gt;"")))</f>
        <v/>
      </c>
      <c r="N55" s="9" t="str">
        <f>IF(OR($C55&lt;&gt;"",$D55&lt;&gt;"",H55=""),"",H55-SUMPRODUCT(--($C$3:$C$102="P"),--(H$3:H$102&lt;H55),--(H$3:H$102&lt;&gt;""))-SUMPRODUCT(--($D$3:$D$102="P"),--(H$3:H$102&lt;H55),--(H$3:H$102&lt;&gt;"")))</f>
        <v/>
      </c>
      <c r="O55" s="9" t="str">
        <f>IF(OR($C55&lt;&gt;"",$D55&lt;&gt;"",I55=""),"",I55-SUMPRODUCT(--($C$3:$C$102="P"),--(I$3:I$102&lt;I55),--(I$3:I$102&lt;&gt;""))-SUMPRODUCT(--($D$3:$D$102="P"),--(I$3:I$102&lt;I55),--(I$3:I$102&lt;&gt;"")))</f>
        <v/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 t="str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/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5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0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/>
      </c>
      <c r="AA55" s="15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38</v>
      </c>
      <c r="AC55" s="9">
        <f>COUNTIF(L55:Q55,"&lt;=8")</f>
        <v>0</v>
      </c>
      <c r="AD55" s="9">
        <f>MIN(L55:Q55)</f>
        <v>38</v>
      </c>
    </row>
    <row r="56" spans="1:30" x14ac:dyDescent="0.2">
      <c r="A56" s="7" t="s">
        <v>102</v>
      </c>
      <c r="B56" s="6" t="s">
        <v>54</v>
      </c>
      <c r="E56" s="3" t="str">
        <f>IF(AA56="","",RANK(AA56,AA:AA))</f>
        <v/>
      </c>
      <c r="F56" s="6">
        <v>35</v>
      </c>
      <c r="G56" s="6">
        <v>36</v>
      </c>
      <c r="H56" s="6">
        <v>37</v>
      </c>
      <c r="I56" s="6"/>
      <c r="J56" s="6"/>
      <c r="K56" s="6"/>
      <c r="L56" s="9">
        <f>IF(OR($C56&lt;&gt;"",$D56&lt;&gt;"",F56=""),"",F56-SUMPRODUCT(--($C$3:$C$102="P"),--(F$3:F$102&lt;F56),--(F$3:F$102&lt;&gt;""))-SUMPRODUCT(--($D$3:$D$102="P"),--(F$3:F$102&lt;F56),--(F$3:F$102&lt;&gt;"")))</f>
        <v>35</v>
      </c>
      <c r="M56" s="9">
        <f>IF(OR($C56&lt;&gt;"",$D56&lt;&gt;"",G56=""),"",G56-SUMPRODUCT(--($C$3:$C$102="P"),--(G$3:G$102&lt;G56),--(G$3:G$102&lt;&gt;""))-SUMPRODUCT(--($D$3:$D$102="P"),--(G$3:G$102&lt;G56),--(G$3:G$102&lt;&gt;"")))</f>
        <v>36</v>
      </c>
      <c r="N56" s="9">
        <f>IF(OR($C56&lt;&gt;"",$D56&lt;&gt;"",H56=""),"",H56-SUMPRODUCT(--($C$3:$C$102="P"),--(H$3:H$102&lt;H56),--(H$3:H$102&lt;&gt;""))-SUMPRODUCT(--($D$3:$D$102="P"),--(H$3:H$102&lt;H56),--(H$3:H$102&lt;&gt;"")))</f>
        <v>37</v>
      </c>
      <c r="O56" s="9" t="str">
        <f>IF(OR($C56&lt;&gt;"",$D56&lt;&gt;"",I56=""),"",I56-SUMPRODUCT(--($C$3:$C$102="P"),--(I$3:I$102&lt;I56),--(I$3:I$102&lt;&gt;""))-SUMPRODUCT(--($D$3:$D$102="P"),--(I$3:I$102&lt;I56),--(I$3:I$102&lt;&gt;"")))</f>
        <v/>
      </c>
      <c r="P56" s="9" t="str">
        <f>IF(OR($C56&lt;&gt;"",$D56&lt;&gt;"",J56=""),"",J56-SUMPRODUCT(--($C$3:$C$102="P"),--(J$3:J$102&lt;J56),--(J$3:J$102&lt;&gt;""))-SUMPRODUCT(--($D$3:$D$102="P"),--(J$3:J$102&lt;J56),--(J$3:J$102&lt;&gt;"")))</f>
        <v/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5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0</v>
      </c>
      <c r="Y56" s="2" t="str">
        <f>IF(OR(X56="",X56=0),"",IF(SUMPRODUCT(--(B$3:B$102=B56),--(X$3:X$102&gt;X56),--(X$3:X$102&lt;&gt;"")),"","P"))</f>
        <v/>
      </c>
      <c r="Z56" s="2" t="str">
        <f>IF(X56="","",IF(SUMPRODUCT(--(C$3:C$102="P"),--(B$3:B$102=B56)),"P",""))</f>
        <v/>
      </c>
      <c r="AA56" s="15" t="str">
        <f>IF(AND(Y56&lt;&gt;"",OR(Z56="",SUMPRODUCT(--(X$3:X$102&gt;X56),--(Z$3:Z$102="P"),--(Y$3:Y$102="P"))&lt;4)),X56,"")</f>
        <v/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108</v>
      </c>
      <c r="AC56" s="9">
        <f>COUNTIF(L56:Q56,"&lt;=8")</f>
        <v>0</v>
      </c>
      <c r="AD56" s="9">
        <f>MIN(L56:Q56)</f>
        <v>35</v>
      </c>
    </row>
    <row r="57" spans="1:30" x14ac:dyDescent="0.2">
      <c r="A57" s="7" t="s">
        <v>132</v>
      </c>
      <c r="B57" s="6" t="s">
        <v>107</v>
      </c>
      <c r="E57" s="3" t="str">
        <f>IF(AA57="","",RANK(AA57,AA:AA))</f>
        <v/>
      </c>
      <c r="F57" s="6">
        <v>53</v>
      </c>
      <c r="G57" s="6">
        <v>34</v>
      </c>
      <c r="H57" s="6">
        <v>53</v>
      </c>
      <c r="I57" s="6"/>
      <c r="J57" s="6"/>
      <c r="K57" s="6"/>
      <c r="L57" s="9">
        <f>IF(OR($C57&lt;&gt;"",$D57&lt;&gt;"",F57=""),"",F57-SUMPRODUCT(--($C$3:$C$102="P"),--(F$3:F$102&lt;F57),--(F$3:F$102&lt;&gt;""))-SUMPRODUCT(--($D$3:$D$102="P"),--(F$3:F$102&lt;F57),--(F$3:F$102&lt;&gt;"")))</f>
        <v>53</v>
      </c>
      <c r="M57" s="9">
        <f>IF(OR($C57&lt;&gt;"",$D57&lt;&gt;"",G57=""),"",G57-SUMPRODUCT(--($C$3:$C$102="P"),--(G$3:G$102&lt;G57),--(G$3:G$102&lt;&gt;""))-SUMPRODUCT(--($D$3:$D$102="P"),--(G$3:G$102&lt;G57),--(G$3:G$102&lt;&gt;"")))</f>
        <v>34</v>
      </c>
      <c r="N57" s="9">
        <f>IF(OR($C57&lt;&gt;"",$D57&lt;&gt;"",H57=""),"",H57-SUMPRODUCT(--($C$3:$C$102="P"),--(H$3:H$102&lt;H57),--(H$3:H$102&lt;&gt;""))-SUMPRODUCT(--($D$3:$D$102="P"),--(H$3:H$102&lt;H57),--(H$3:H$102&lt;&gt;"")))</f>
        <v>53</v>
      </c>
      <c r="O57" s="9" t="str">
        <f>IF(OR($C57&lt;&gt;"",$D57&lt;&gt;"",I57=""),"",I57-SUMPRODUCT(--($C$3:$C$102="P"),--(I$3:I$102&lt;I57),--(I$3:I$102&lt;&gt;""))-SUMPRODUCT(--($D$3:$D$102="P"),--(I$3:I$102&lt;I57),--(I$3:I$102&lt;&gt;"")))</f>
        <v/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5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0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5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140</v>
      </c>
      <c r="AC57" s="9">
        <f>COUNTIF(L57:Q57,"&lt;=8")</f>
        <v>0</v>
      </c>
      <c r="AD57" s="9">
        <f>MIN(L57:Q57)</f>
        <v>34</v>
      </c>
    </row>
    <row r="58" spans="1:30" x14ac:dyDescent="0.2">
      <c r="A58" s="7" t="s">
        <v>176</v>
      </c>
      <c r="B58" s="6" t="s">
        <v>164</v>
      </c>
      <c r="E58" s="3"/>
      <c r="F58" s="6">
        <v>75</v>
      </c>
      <c r="G58" s="6">
        <v>83</v>
      </c>
      <c r="H58" s="6">
        <v>32</v>
      </c>
      <c r="I58" s="6"/>
      <c r="J58" s="6"/>
      <c r="K58" s="6"/>
      <c r="L58" s="9">
        <f>IF(OR($C58&lt;&gt;"",$D58&lt;&gt;"",F58=""),"",F58-SUMPRODUCT(--($C$3:$C$102="P"),--(F$3:F$102&lt;F58),--(F$3:F$102&lt;&gt;""))-SUMPRODUCT(--($D$3:$D$102="P"),--(F$3:F$102&lt;F58),--(F$3:F$102&lt;&gt;"")))</f>
        <v>75</v>
      </c>
      <c r="M58" s="9">
        <f>IF(OR($C58&lt;&gt;"",$D58&lt;&gt;"",G58=""),"",G58-SUMPRODUCT(--($C$3:$C$102="P"),--(G$3:G$102&lt;G58),--(G$3:G$102&lt;&gt;""))-SUMPRODUCT(--($D$3:$D$102="P"),--(G$3:G$102&lt;G58),--(G$3:G$102&lt;&gt;"")))</f>
        <v>83</v>
      </c>
      <c r="N58" s="9">
        <f>IF(OR($C58&lt;&gt;"",$D58&lt;&gt;"",H58=""),"",H58-SUMPRODUCT(--($C$3:$C$102="P"),--(H$3:H$102&lt;H58),--(H$3:H$102&lt;&gt;""))-SUMPRODUCT(--($D$3:$D$102="P"),--(H$3:H$102&lt;H58),--(H$3:H$102&lt;&gt;"")))</f>
        <v>32</v>
      </c>
      <c r="O58" s="9" t="str">
        <f>IF(OR($C58&lt;&gt;"",$D58&lt;&gt;"",I58=""),"",I58-SUMPRODUCT(--($C$3:$C$102="P"),--(I$3:I$102&lt;I58),--(I$3:I$102&lt;&gt;""))-SUMPRODUCT(--($D$3:$D$102="P"),--(I$3:I$102&lt;I58),--(I$3:I$102&lt;&gt;"")))</f>
        <v/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5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0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5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190</v>
      </c>
      <c r="AC58" s="9">
        <f>COUNTIF(L58:Q58,"&lt;=8")</f>
        <v>0</v>
      </c>
      <c r="AD58" s="9">
        <f>MIN(L58:Q58)</f>
        <v>32</v>
      </c>
    </row>
    <row r="59" spans="1:30" x14ac:dyDescent="0.2">
      <c r="A59" s="7" t="s">
        <v>100</v>
      </c>
      <c r="B59" s="6" t="s">
        <v>108</v>
      </c>
      <c r="E59" s="3" t="str">
        <f>IF(AA59="","",RANK(AA59,AA:AA))</f>
        <v/>
      </c>
      <c r="F59" s="6">
        <v>33</v>
      </c>
      <c r="G59" s="6">
        <v>44</v>
      </c>
      <c r="H59" s="6">
        <v>38</v>
      </c>
      <c r="I59" s="6"/>
      <c r="J59" s="6"/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33</v>
      </c>
      <c r="M59" s="9">
        <f>IF(OR($C59&lt;&gt;"",$D59&lt;&gt;"",G59=""),"",G59-SUMPRODUCT(--($C$3:$C$102="P"),--(G$3:G$102&lt;G59),--(G$3:G$102&lt;&gt;""))-SUMPRODUCT(--($D$3:$D$102="P"),--(G$3:G$102&lt;G59),--(G$3:G$102&lt;&gt;"")))</f>
        <v>44</v>
      </c>
      <c r="N59" s="9">
        <f>IF(OR($C59&lt;&gt;"",$D59&lt;&gt;"",H59=""),"",H59-SUMPRODUCT(--($C$3:$C$102="P"),--(H$3:H$102&lt;H59),--(H$3:H$102&lt;&gt;""))-SUMPRODUCT(--($D$3:$D$102="P"),--(H$3:H$102&lt;H59),--(H$3:H$102&lt;&gt;"")))</f>
        <v>38</v>
      </c>
      <c r="O59" s="9" t="str">
        <f>IF(OR($C59&lt;&gt;"",$D59&lt;&gt;"",I59=""),"",I59-SUMPRODUCT(--($C$3:$C$102="P"),--(I$3:I$102&lt;I59),--(I$3:I$102&lt;&gt;""))-SUMPRODUCT(--($D$3:$D$102="P"),--(I$3:I$102&lt;I59),--(I$3:I$102&lt;&gt;"")))</f>
        <v/>
      </c>
      <c r="P59" s="9" t="str">
        <f>IF(OR($C59&lt;&gt;"",$D59&lt;&gt;"",J59=""),"",J59-SUMPRODUCT(--($C$3:$C$102="P"),--(J$3:J$102&lt;J59),--(J$3:J$102&lt;&gt;""))-SUMPRODUCT(--($D$3:$D$102="P"),--(J$3:J$102&lt;J59),--(J$3:J$102&lt;&gt;"")))</f>
        <v/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5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0</v>
      </c>
      <c r="Y59" s="2" t="str">
        <f>IF(OR(X59="",X59=0),"",IF(SUMPRODUCT(--(B$3:B$102=B59),--(X$3:X$102&gt;X59),--(X$3:X$102&lt;&gt;"")),"","P"))</f>
        <v/>
      </c>
      <c r="Z59" s="2" t="str">
        <f>IF(X59="","",IF(SUMPRODUCT(--(C$3:C$102="P"),--(B$3:B$102=B59)),"P",""))</f>
        <v/>
      </c>
      <c r="AA59" s="15" t="str">
        <f>IF(AND(Y59&lt;&gt;"",OR(Z59="",SUMPRODUCT(--(X$3:X$102&gt;X59),--(Z$3:Z$102="P"),--(Y$3:Y$102="P"))&lt;4)),X59,"")</f>
        <v/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115</v>
      </c>
      <c r="AC59" s="9">
        <f>COUNTIF(L59:Q59,"&lt;=8")</f>
        <v>0</v>
      </c>
      <c r="AD59" s="9">
        <f>MIN(L59:Q59)</f>
        <v>33</v>
      </c>
    </row>
    <row r="60" spans="1:30" x14ac:dyDescent="0.2">
      <c r="A60" s="7" t="s">
        <v>98</v>
      </c>
      <c r="B60" s="6" t="s">
        <v>17</v>
      </c>
      <c r="E60" s="3" t="str">
        <f>IF(AA60="","",RANK(AA60,AA:AA))</f>
        <v/>
      </c>
      <c r="F60" s="6">
        <v>31</v>
      </c>
      <c r="G60" s="6"/>
      <c r="H60" s="6">
        <v>35</v>
      </c>
      <c r="I60" s="6"/>
      <c r="J60" s="6"/>
      <c r="K60" s="6"/>
      <c r="L60" s="9">
        <f>IF(OR($C60&lt;&gt;"",$D60&lt;&gt;"",F60=""),"",F60-SUMPRODUCT(--($C$3:$C$102="P"),--(F$3:F$102&lt;F60),--(F$3:F$102&lt;&gt;""))-SUMPRODUCT(--($D$3:$D$102="P"),--(F$3:F$102&lt;F60),--(F$3:F$102&lt;&gt;"")))</f>
        <v>31</v>
      </c>
      <c r="M60" s="9" t="str">
        <f>IF(OR($C60&lt;&gt;"",$D60&lt;&gt;"",G60=""),"",G60-SUMPRODUCT(--($C$3:$C$102="P"),--(G$3:G$102&lt;G60),--(G$3:G$102&lt;&gt;""))-SUMPRODUCT(--($D$3:$D$102="P"),--(G$3:G$102&lt;G60),--(G$3:G$102&lt;&gt;"")))</f>
        <v/>
      </c>
      <c r="N60" s="9">
        <f>IF(OR($C60&lt;&gt;"",$D60&lt;&gt;"",H60=""),"",H60-SUMPRODUCT(--($C$3:$C$102="P"),--(H$3:H$102&lt;H60),--(H$3:H$102&lt;&gt;""))-SUMPRODUCT(--($D$3:$D$102="P"),--(H$3:H$102&lt;H60),--(H$3:H$102&lt;&gt;"")))</f>
        <v>35</v>
      </c>
      <c r="O60" s="9" t="str">
        <f>IF(OR($C60&lt;&gt;"",$D60&lt;&gt;"",I60=""),"",I60-SUMPRODUCT(--($C$3:$C$102="P"),--(I$3:I$102&lt;I60),--(I$3:I$102&lt;&gt;""))-SUMPRODUCT(--($D$3:$D$102="P"),--(I$3:I$102&lt;I60),--(I$3:I$102&lt;&gt;"")))</f>
        <v/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5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0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5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66</v>
      </c>
      <c r="AC60" s="9">
        <f>COUNTIF(L60:Q60,"&lt;=8")</f>
        <v>0</v>
      </c>
      <c r="AD60" s="9">
        <f>MIN(L60:Q60)</f>
        <v>31</v>
      </c>
    </row>
    <row r="61" spans="1:30" x14ac:dyDescent="0.2">
      <c r="A61" s="7" t="s">
        <v>179</v>
      </c>
      <c r="B61" s="6" t="s">
        <v>22</v>
      </c>
      <c r="E61" s="3"/>
      <c r="F61" s="6"/>
      <c r="G61" s="6">
        <v>91</v>
      </c>
      <c r="H61" s="6">
        <v>36</v>
      </c>
      <c r="I61" s="6"/>
      <c r="J61" s="6"/>
      <c r="K61" s="6"/>
      <c r="L61" s="9" t="str">
        <f>IF(OR($C61&lt;&gt;"",$D61&lt;&gt;"",F61=""),"",F61-SUMPRODUCT(--($C$3:$C$102="P"),--(F$3:F$102&lt;F61),--(F$3:F$102&lt;&gt;""))-SUMPRODUCT(--($D$3:$D$102="P"),--(F$3:F$102&lt;F61),--(F$3:F$102&lt;&gt;"")))</f>
        <v/>
      </c>
      <c r="M61" s="9">
        <f>IF(OR($C61&lt;&gt;"",$D61&lt;&gt;"",G61=""),"",G61-SUMPRODUCT(--($C$3:$C$102="P"),--(G$3:G$102&lt;G61),--(G$3:G$102&lt;&gt;""))-SUMPRODUCT(--($D$3:$D$102="P"),--(G$3:G$102&lt;G61),--(G$3:G$102&lt;&gt;"")))</f>
        <v>91</v>
      </c>
      <c r="N61" s="9">
        <f>IF(OR($C61&lt;&gt;"",$D61&lt;&gt;"",H61=""),"",H61-SUMPRODUCT(--($C$3:$C$102="P"),--(H$3:H$102&lt;H61),--(H$3:H$102&lt;&gt;""))-SUMPRODUCT(--($D$3:$D$102="P"),--(H$3:H$102&lt;H61),--(H$3:H$102&lt;&gt;"")))</f>
        <v>36</v>
      </c>
      <c r="O61" s="9" t="str">
        <f>IF(OR($C61&lt;&gt;"",$D61&lt;&gt;"",I61=""),"",I61-SUMPRODUCT(--($C$3:$C$102="P"),--(I$3:I$102&lt;I61),--(I$3:I$102&lt;&gt;""))-SUMPRODUCT(--($D$3:$D$102="P"),--(I$3:I$102&lt;I61),--(I$3:I$102&lt;&gt;"")))</f>
        <v/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5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0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5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127</v>
      </c>
      <c r="AC61" s="9">
        <f>COUNTIF(L61:Q61,"&lt;=8")</f>
        <v>0</v>
      </c>
      <c r="AD61" s="9">
        <f>MIN(L61:Q61)</f>
        <v>36</v>
      </c>
    </row>
    <row r="62" spans="1:30" x14ac:dyDescent="0.2">
      <c r="A62" s="7" t="s">
        <v>135</v>
      </c>
      <c r="B62" s="6" t="s">
        <v>136</v>
      </c>
      <c r="E62" s="3" t="str">
        <f>IF(AA62="","",RANK(AA62,AA:AA))</f>
        <v/>
      </c>
      <c r="F62" s="6"/>
      <c r="G62" s="6">
        <v>37</v>
      </c>
      <c r="H62" s="6"/>
      <c r="I62" s="6"/>
      <c r="J62" s="6"/>
      <c r="K62" s="6"/>
      <c r="L62" s="9" t="str">
        <f>IF(OR($C62&lt;&gt;"",$D62&lt;&gt;"",F62=""),"",F62-SUMPRODUCT(--($C$3:$C$102="P"),--(F$3:F$102&lt;F62),--(F$3:F$102&lt;&gt;""))-SUMPRODUCT(--($D$3:$D$102="P"),--(F$3:F$102&lt;F62),--(F$3:F$102&lt;&gt;"")))</f>
        <v/>
      </c>
      <c r="M62" s="9">
        <f>IF(OR($C62&lt;&gt;"",$D62&lt;&gt;"",G62=""),"",G62-SUMPRODUCT(--($C$3:$C$102="P"),--(G$3:G$102&lt;G62),--(G$3:G$102&lt;&gt;""))-SUMPRODUCT(--($D$3:$D$102="P"),--(G$3:G$102&lt;G62),--(G$3:G$102&lt;&gt;"")))</f>
        <v>37</v>
      </c>
      <c r="N62" s="9" t="str">
        <f>IF(OR($C62&lt;&gt;"",$D62&lt;&gt;"",H62=""),"",H62-SUMPRODUCT(--($C$3:$C$102="P"),--(H$3:H$102&lt;H62),--(H$3:H$102&lt;&gt;""))-SUMPRODUCT(--($D$3:$D$102="P"),--(H$3:H$102&lt;H62),--(H$3:H$102&lt;&gt;"")))</f>
        <v/>
      </c>
      <c r="O62" s="9" t="str">
        <f>IF(OR($C62&lt;&gt;"",$D62&lt;&gt;"",I62=""),"",I62-SUMPRODUCT(--($C$3:$C$102="P"),--(I$3:I$102&lt;I62),--(I$3:I$102&lt;&gt;""))-SUMPRODUCT(--($D$3:$D$102="P"),--(I$3:I$102&lt;I62),--(I$3:I$102&lt;&gt;"")))</f>
        <v/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5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0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5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37</v>
      </c>
      <c r="AC62" s="9">
        <f>COUNTIF(L62:Q62,"&lt;=8")</f>
        <v>0</v>
      </c>
      <c r="AD62" s="9">
        <f>MIN(L62:Q62)</f>
        <v>37</v>
      </c>
    </row>
    <row r="63" spans="1:30" x14ac:dyDescent="0.2">
      <c r="A63" s="7" t="s">
        <v>101</v>
      </c>
      <c r="B63" s="6" t="s">
        <v>109</v>
      </c>
      <c r="E63" s="3" t="str">
        <f>IF(AA63="","",RANK(AA63,AA:AA))</f>
        <v/>
      </c>
      <c r="F63" s="6">
        <v>34</v>
      </c>
      <c r="G63" s="6">
        <v>57</v>
      </c>
      <c r="H63" s="6">
        <v>43</v>
      </c>
      <c r="I63" s="6"/>
      <c r="J63" s="6"/>
      <c r="K63" s="6"/>
      <c r="L63" s="9">
        <f>IF(OR($C63&lt;&gt;"",$D63&lt;&gt;"",F63=""),"",F63-SUMPRODUCT(--($C$3:$C$102="P"),--(F$3:F$102&lt;F63),--(F$3:F$102&lt;&gt;""))-SUMPRODUCT(--($D$3:$D$102="P"),--(F$3:F$102&lt;F63),--(F$3:F$102&lt;&gt;"")))</f>
        <v>34</v>
      </c>
      <c r="M63" s="9">
        <f>IF(OR($C63&lt;&gt;"",$D63&lt;&gt;"",G63=""),"",G63-SUMPRODUCT(--($C$3:$C$102="P"),--(G$3:G$102&lt;G63),--(G$3:G$102&lt;&gt;""))-SUMPRODUCT(--($D$3:$D$102="P"),--(G$3:G$102&lt;G63),--(G$3:G$102&lt;&gt;"")))</f>
        <v>57</v>
      </c>
      <c r="N63" s="9">
        <f>IF(OR($C63&lt;&gt;"",$D63&lt;&gt;"",H63=""),"",H63-SUMPRODUCT(--($C$3:$C$102="P"),--(H$3:H$102&lt;H63),--(H$3:H$102&lt;&gt;""))-SUMPRODUCT(--($D$3:$D$102="P"),--(H$3:H$102&lt;H63),--(H$3:H$102&lt;&gt;"")))</f>
        <v>43</v>
      </c>
      <c r="O63" s="9" t="str">
        <f>IF(OR($C63&lt;&gt;"",$D63&lt;&gt;"",I63=""),"",I63-SUMPRODUCT(--($C$3:$C$102="P"),--(I$3:I$102&lt;I63),--(I$3:I$102&lt;&gt;""))-SUMPRODUCT(--($D$3:$D$102="P"),--(I$3:I$102&lt;I63),--(I$3:I$102&lt;&gt;"")))</f>
        <v/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5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0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5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134</v>
      </c>
      <c r="AC63" s="9">
        <f>COUNTIF(L63:Q63,"&lt;=8")</f>
        <v>0</v>
      </c>
      <c r="AD63" s="9">
        <f>MIN(L63:Q63)</f>
        <v>34</v>
      </c>
    </row>
    <row r="64" spans="1:30" x14ac:dyDescent="0.2">
      <c r="A64" s="7" t="s">
        <v>178</v>
      </c>
      <c r="B64" s="6" t="s">
        <v>57</v>
      </c>
      <c r="E64" s="3"/>
      <c r="F64" s="6"/>
      <c r="G64" s="6"/>
      <c r="H64" s="6">
        <v>34</v>
      </c>
      <c r="I64" s="6"/>
      <c r="J64" s="6"/>
      <c r="K64" s="6"/>
      <c r="L64" s="9" t="str">
        <f>IF(OR($C64&lt;&gt;"",$D64&lt;&gt;"",F64=""),"",F64-SUMPRODUCT(--($C$3:$C$102="P"),--(F$3:F$102&lt;F64),--(F$3:F$102&lt;&gt;""))-SUMPRODUCT(--($D$3:$D$102="P"),--(F$3:F$102&lt;F64),--(F$3:F$102&lt;&gt;"")))</f>
        <v/>
      </c>
      <c r="M64" s="9" t="str">
        <f>IF(OR($C64&lt;&gt;"",$D64&lt;&gt;"",G64=""),"",G64-SUMPRODUCT(--($C$3:$C$102="P"),--(G$3:G$102&lt;G64),--(G$3:G$102&lt;&gt;""))-SUMPRODUCT(--($D$3:$D$102="P"),--(G$3:G$102&lt;G64),--(G$3:G$102&lt;&gt;"")))</f>
        <v/>
      </c>
      <c r="N64" s="9">
        <f>IF(OR($C64&lt;&gt;"",$D64&lt;&gt;"",H64=""),"",H64-SUMPRODUCT(--($C$3:$C$102="P"),--(H$3:H$102&lt;H64),--(H$3:H$102&lt;&gt;""))-SUMPRODUCT(--($D$3:$D$102="P"),--(H$3:H$102&lt;H64),--(H$3:H$102&lt;&gt;"")))</f>
        <v>34</v>
      </c>
      <c r="O64" s="9" t="str">
        <f>IF(OR($C64&lt;&gt;"",$D64&lt;&gt;"",I64=""),"",I64-SUMPRODUCT(--($C$3:$C$102="P"),--(I$3:I$102&lt;I64),--(I$3:I$102&lt;&gt;""))-SUMPRODUCT(--($D$3:$D$102="P"),--(I$3:I$102&lt;I64),--(I$3:I$102&lt;&gt;"")))</f>
        <v/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5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5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34</v>
      </c>
      <c r="AC64" s="9">
        <f>COUNTIF(L64:Q64,"&lt;=8")</f>
        <v>0</v>
      </c>
      <c r="AD64" s="9">
        <f>MIN(L64:Q64)</f>
        <v>34</v>
      </c>
    </row>
    <row r="65" spans="1:30" x14ac:dyDescent="0.2">
      <c r="A65" s="7" t="s">
        <v>131</v>
      </c>
      <c r="B65" s="6" t="s">
        <v>19</v>
      </c>
      <c r="E65" s="3" t="str">
        <f>IF(AA65="","",RANK(AA65,AA:AA))</f>
        <v/>
      </c>
      <c r="F65" s="6"/>
      <c r="G65" s="6">
        <v>33</v>
      </c>
      <c r="H65" s="6">
        <v>63</v>
      </c>
      <c r="I65" s="6"/>
      <c r="J65" s="6"/>
      <c r="K65" s="6"/>
      <c r="L65" s="9" t="str">
        <f>IF(OR($C65&lt;&gt;"",$D65&lt;&gt;"",F65=""),"",F65-SUMPRODUCT(--($C$3:$C$102="P"),--(F$3:F$102&lt;F65),--(F$3:F$102&lt;&gt;""))-SUMPRODUCT(--($D$3:$D$102="P"),--(F$3:F$102&lt;F65),--(F$3:F$102&lt;&gt;"")))</f>
        <v/>
      </c>
      <c r="M65" s="9">
        <f>IF(OR($C65&lt;&gt;"",$D65&lt;&gt;"",G65=""),"",G65-SUMPRODUCT(--($C$3:$C$102="P"),--(G$3:G$102&lt;G65),--(G$3:G$102&lt;&gt;""))-SUMPRODUCT(--($D$3:$D$102="P"),--(G$3:G$102&lt;G65),--(G$3:G$102&lt;&gt;"")))</f>
        <v>33</v>
      </c>
      <c r="N65" s="9">
        <f>IF(OR($C65&lt;&gt;"",$D65&lt;&gt;"",H65=""),"",H65-SUMPRODUCT(--($C$3:$C$102="P"),--(H$3:H$102&lt;H65),--(H$3:H$102&lt;&gt;""))-SUMPRODUCT(--($D$3:$D$102="P"),--(H$3:H$102&lt;H65),--(H$3:H$102&lt;&gt;"")))</f>
        <v>63</v>
      </c>
      <c r="O65" s="9" t="str">
        <f>IF(OR($C65&lt;&gt;"",$D65&lt;&gt;"",I65=""),"",I65-SUMPRODUCT(--($C$3:$C$102="P"),--(I$3:I$102&lt;I65),--(I$3:I$102&lt;&gt;""))-SUMPRODUCT(--($D$3:$D$102="P"),--(I$3:I$102&lt;I65),--(I$3:I$102&lt;&gt;"")))</f>
        <v/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5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5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96</v>
      </c>
      <c r="AC65" s="9">
        <f>COUNTIF(L65:Q65,"&lt;=8")</f>
        <v>0</v>
      </c>
      <c r="AD65" s="9">
        <f>MIN(L65:Q65)</f>
        <v>33</v>
      </c>
    </row>
    <row r="66" spans="1:30" x14ac:dyDescent="0.2">
      <c r="A66" s="7" t="s">
        <v>137</v>
      </c>
      <c r="B66" s="6" t="s">
        <v>58</v>
      </c>
      <c r="E66" s="3" t="str">
        <f>IF(AA66="","",RANK(AA66,AA:AA))</f>
        <v/>
      </c>
      <c r="F66" s="6">
        <v>63</v>
      </c>
      <c r="G66" s="6">
        <v>38</v>
      </c>
      <c r="H66" s="6"/>
      <c r="I66" s="6"/>
      <c r="J66" s="6"/>
      <c r="K66" s="6"/>
      <c r="L66" s="9">
        <f>IF(OR($C66&lt;&gt;"",$D66&lt;&gt;"",F66=""),"",F66-SUMPRODUCT(--($C$3:$C$102="P"),--(F$3:F$102&lt;F66),--(F$3:F$102&lt;&gt;""))-SUMPRODUCT(--($D$3:$D$102="P"),--(F$3:F$102&lt;F66),--(F$3:F$102&lt;&gt;"")))</f>
        <v>63</v>
      </c>
      <c r="M66" s="9">
        <f>IF(OR($C66&lt;&gt;"",$D66&lt;&gt;"",G66=""),"",G66-SUMPRODUCT(--($C$3:$C$102="P"),--(G$3:G$102&lt;G66),--(G$3:G$102&lt;&gt;""))-SUMPRODUCT(--($D$3:$D$102="P"),--(G$3:G$102&lt;G66),--(G$3:G$102&lt;&gt;"")))</f>
        <v>38</v>
      </c>
      <c r="N66" s="9" t="str">
        <f>IF(OR($C66&lt;&gt;"",$D66&lt;&gt;"",H66=""),"",H66-SUMPRODUCT(--($C$3:$C$102="P"),--(H$3:H$102&lt;H66),--(H$3:H$102&lt;&gt;""))-SUMPRODUCT(--($D$3:$D$102="P"),--(H$3:H$102&lt;H66),--(H$3:H$102&lt;&gt;"")))</f>
        <v/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5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/>
      </c>
      <c r="AA66" s="15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IN(L66:Q66),SUM(L66:Q66)-MIN(L66:Q66)-SMALL(L66:Q66,2)))&gt;0,IF(COUNT(L66:Q66)&lt;5,SUM(L66:Q66),IF(COUNT(L66:Q66)=5,SUM(L66:Q66)-MIN(L66:Q66),SUM(L66:Q66)-MIN(L66:Q66)-SMALL(L66:Q66,2))),0)))</f>
        <v>101</v>
      </c>
      <c r="AC66" s="9">
        <f>COUNTIF(L66:Q66,"&lt;=8")</f>
        <v>0</v>
      </c>
      <c r="AD66" s="9">
        <f>MIN(L66:Q66)</f>
        <v>38</v>
      </c>
    </row>
    <row r="67" spans="1:30" x14ac:dyDescent="0.2">
      <c r="A67" s="7" t="s">
        <v>175</v>
      </c>
      <c r="B67" s="6" t="s">
        <v>24</v>
      </c>
      <c r="E67" s="3"/>
      <c r="F67" s="6"/>
      <c r="G67" s="6">
        <v>80</v>
      </c>
      <c r="H67" s="6">
        <v>31</v>
      </c>
      <c r="I67" s="6"/>
      <c r="J67" s="6"/>
      <c r="K67" s="6"/>
      <c r="L67" s="9" t="str">
        <f>IF(OR($C67&lt;&gt;"",$D67&lt;&gt;"",F67=""),"",F67-SUMPRODUCT(--($C$3:$C$102="P"),--(F$3:F$102&lt;F67),--(F$3:F$102&lt;&gt;""))-SUMPRODUCT(--($D$3:$D$102="P"),--(F$3:F$102&lt;F67),--(F$3:F$102&lt;&gt;"")))</f>
        <v/>
      </c>
      <c r="M67" s="9">
        <f>IF(OR($C67&lt;&gt;"",$D67&lt;&gt;"",G67=""),"",G67-SUMPRODUCT(--($C$3:$C$102="P"),--(G$3:G$102&lt;G67),--(G$3:G$102&lt;&gt;""))-SUMPRODUCT(--($D$3:$D$102="P"),--(G$3:G$102&lt;G67),--(G$3:G$102&lt;&gt;"")))</f>
        <v>80</v>
      </c>
      <c r="N67" s="9">
        <f>IF(OR($C67&lt;&gt;"",$D67&lt;&gt;"",H67=""),"",H67-SUMPRODUCT(--($C$3:$C$102="P"),--(H$3:H$102&lt;H67),--(H$3:H$102&lt;&gt;""))-SUMPRODUCT(--($D$3:$D$102="P"),--(H$3:H$102&lt;H67),--(H$3:H$102&lt;&gt;"")))</f>
        <v>31</v>
      </c>
      <c r="O67" s="9" t="str">
        <f>IF(OR($C67&lt;&gt;"",$D67&lt;&gt;"",I67=""),"",I67-SUMPRODUCT(--($C$3:$C$102="P"),--(I$3:I$102&lt;I67),--(I$3:I$102&lt;&gt;""))-SUMPRODUCT(--($D$3:$D$102="P"),--(I$3:I$102&lt;I67),--(I$3:I$102&lt;&gt;"")))</f>
        <v/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5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5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IN(L67:Q67),SUM(L67:Q67)-MIN(L67:Q67)-SMALL(L67:Q67,2)))&gt;0,IF(COUNT(L67:Q67)&lt;5,SUM(L67:Q67),IF(COUNT(L67:Q67)=5,SUM(L67:Q67)-MIN(L67:Q67),SUM(L67:Q67)-MIN(L67:Q67)-SMALL(L67:Q67,2))),0)))</f>
        <v>111</v>
      </c>
      <c r="AC67" s="9">
        <f>COUNTIF(L67:Q67,"&lt;=8")</f>
        <v>0</v>
      </c>
      <c r="AD67" s="9">
        <f>MIN(L67:Q67)</f>
        <v>31</v>
      </c>
    </row>
    <row r="68" spans="1:30" x14ac:dyDescent="0.2">
      <c r="A68" s="7" t="s">
        <v>177</v>
      </c>
      <c r="B68" s="6" t="s">
        <v>60</v>
      </c>
      <c r="E68" s="3"/>
      <c r="F68" s="6">
        <v>74</v>
      </c>
      <c r="G68" s="6">
        <v>63</v>
      </c>
      <c r="H68" s="6">
        <v>33</v>
      </c>
      <c r="I68" s="6"/>
      <c r="J68" s="6"/>
      <c r="K68" s="6"/>
      <c r="L68" s="9">
        <f>IF(OR($C68&lt;&gt;"",$D68&lt;&gt;"",F68=""),"",F68-SUMPRODUCT(--($C$3:$C$102="P"),--(F$3:F$102&lt;F68),--(F$3:F$102&lt;&gt;""))-SUMPRODUCT(--($D$3:$D$102="P"),--(F$3:F$102&lt;F68),--(F$3:F$102&lt;&gt;"")))</f>
        <v>74</v>
      </c>
      <c r="M68" s="9">
        <f>IF(OR($C68&lt;&gt;"",$D68&lt;&gt;"",G68=""),"",G68-SUMPRODUCT(--($C$3:$C$102="P"),--(G$3:G$102&lt;G68),--(G$3:G$102&lt;&gt;""))-SUMPRODUCT(--($D$3:$D$102="P"),--(G$3:G$102&lt;G68),--(G$3:G$102&lt;&gt;"")))</f>
        <v>63</v>
      </c>
      <c r="N68" s="9">
        <f>IF(OR($C68&lt;&gt;"",$D68&lt;&gt;"",H68=""),"",H68-SUMPRODUCT(--($C$3:$C$102="P"),--(H$3:H$102&lt;H68),--(H$3:H$102&lt;&gt;""))-SUMPRODUCT(--($D$3:$D$102="P"),--(H$3:H$102&lt;H68),--(H$3:H$102&lt;&gt;"")))</f>
        <v>33</v>
      </c>
      <c r="O68" s="9" t="str">
        <f>IF(OR($C68&lt;&gt;"",$D68&lt;&gt;"",I68=""),"",I68-SUMPRODUCT(--($C$3:$C$102="P"),--(I$3:I$102&lt;I68),--(I$3:I$102&lt;&gt;""))-SUMPRODUCT(--($D$3:$D$102="P"),--(I$3:I$102&lt;I68),--(I$3:I$102&lt;&gt;"")))</f>
        <v/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5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/>
      </c>
      <c r="AA68" s="15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IN(L68:Q68),SUM(L68:Q68)-MIN(L68:Q68)-SMALL(L68:Q68,2)))&gt;0,IF(COUNT(L68:Q68)&lt;5,SUM(L68:Q68),IF(COUNT(L68:Q68)=5,SUM(L68:Q68)-MIN(L68:Q68),SUM(L68:Q68)-MIN(L68:Q68)-SMALL(L68:Q68,2))),0)))</f>
        <v>170</v>
      </c>
      <c r="AC68" s="9">
        <f>COUNTIF(L68:Q68,"&lt;=8")</f>
        <v>0</v>
      </c>
      <c r="AD68" s="9">
        <f>MIN(L68:Q68)</f>
        <v>33</v>
      </c>
    </row>
    <row r="69" spans="1:30" x14ac:dyDescent="0.2">
      <c r="A69" s="7" t="s">
        <v>104</v>
      </c>
      <c r="B69" s="6" t="s">
        <v>110</v>
      </c>
      <c r="E69" s="3" t="str">
        <f>IF(AA69="","",RANK(AA69,AA:AA))</f>
        <v/>
      </c>
      <c r="F69" s="6">
        <v>37</v>
      </c>
      <c r="G69" s="6">
        <v>64</v>
      </c>
      <c r="H69" s="6">
        <v>42</v>
      </c>
      <c r="I69" s="6"/>
      <c r="J69" s="6"/>
      <c r="K69" s="6"/>
      <c r="L69" s="9">
        <f>IF(OR($C69&lt;&gt;"",$D69&lt;&gt;"",F69=""),"",F69-SUMPRODUCT(--($C$3:$C$102="P"),--(F$3:F$102&lt;F69),--(F$3:F$102&lt;&gt;""))-SUMPRODUCT(--($D$3:$D$102="P"),--(F$3:F$102&lt;F69),--(F$3:F$102&lt;&gt;"")))</f>
        <v>37</v>
      </c>
      <c r="M69" s="9">
        <f>IF(OR($C69&lt;&gt;"",$D69&lt;&gt;"",G69=""),"",G69-SUMPRODUCT(--($C$3:$C$102="P"),--(G$3:G$102&lt;G69),--(G$3:G$102&lt;&gt;""))-SUMPRODUCT(--($D$3:$D$102="P"),--(G$3:G$102&lt;G69),--(G$3:G$102&lt;&gt;"")))</f>
        <v>64</v>
      </c>
      <c r="N69" s="9">
        <f>IF(OR($C69&lt;&gt;"",$D69&lt;&gt;"",H69=""),"",H69-SUMPRODUCT(--($C$3:$C$102="P"),--(H$3:H$102&lt;H69),--(H$3:H$102&lt;&gt;""))-SUMPRODUCT(--($D$3:$D$102="P"),--(H$3:H$102&lt;H69),--(H$3:H$102&lt;&gt;"")))</f>
        <v>42</v>
      </c>
      <c r="O69" s="9" t="str">
        <f>IF(OR($C69&lt;&gt;"",$D69&lt;&gt;"",I69=""),"",I69-SUMPRODUCT(--($C$3:$C$102="P"),--(I$3:I$102&lt;I69),--(I$3:I$102&lt;&gt;""))-SUMPRODUCT(--($D$3:$D$102="P"),--(I$3:I$102&lt;I69),--(I$3:I$102&lt;&gt;"")))</f>
        <v/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5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5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IN(L69:Q69),SUM(L69:Q69)-MIN(L69:Q69)-SMALL(L69:Q69,2)))&gt;0,IF(COUNT(L69:Q69)&lt;5,SUM(L69:Q69),IF(COUNT(L69:Q69)=5,SUM(L69:Q69)-MIN(L69:Q69),SUM(L69:Q69)-MIN(L69:Q69)-SMALL(L69:Q69,2))),0)))</f>
        <v>143</v>
      </c>
      <c r="AC69" s="9">
        <f>COUNTIF(L69:Q69,"&lt;=8")</f>
        <v>0</v>
      </c>
      <c r="AD69" s="9">
        <f>MIN(L69:Q69)</f>
        <v>37</v>
      </c>
    </row>
    <row r="70" spans="1:30" x14ac:dyDescent="0.2">
      <c r="A70" s="7" t="s">
        <v>130</v>
      </c>
      <c r="B70" s="6" t="s">
        <v>82</v>
      </c>
      <c r="E70" s="3" t="str">
        <f>IF(AA70="","",RANK(AA70,AA:AA))</f>
        <v/>
      </c>
      <c r="F70" s="6"/>
      <c r="G70" s="6">
        <v>32</v>
      </c>
      <c r="H70" s="6"/>
      <c r="I70" s="6"/>
      <c r="J70" s="6"/>
      <c r="K70" s="6"/>
      <c r="L70" s="9" t="str">
        <f>IF(OR($C70&lt;&gt;"",$D70&lt;&gt;"",F70=""),"",F70-SUMPRODUCT(--($C$3:$C$102="P"),--(F$3:F$102&lt;F70),--(F$3:F$102&lt;&gt;""))-SUMPRODUCT(--($D$3:$D$102="P"),--(F$3:F$102&lt;F70),--(F$3:F$102&lt;&gt;"")))</f>
        <v/>
      </c>
      <c r="M70" s="9">
        <f>IF(OR($C70&lt;&gt;"",$D70&lt;&gt;"",G70=""),"",G70-SUMPRODUCT(--($C$3:$C$102="P"),--(G$3:G$102&lt;G70),--(G$3:G$102&lt;&gt;""))-SUMPRODUCT(--($D$3:$D$102="P"),--(G$3:G$102&lt;G70),--(G$3:G$102&lt;&gt;"")))</f>
        <v>32</v>
      </c>
      <c r="N70" s="9" t="str">
        <f>IF(OR($C70&lt;&gt;"",$D70&lt;&gt;"",H70=""),"",H70-SUMPRODUCT(--($C$3:$C$102="P"),--(H$3:H$102&lt;H70),--(H$3:H$102&lt;&gt;""))-SUMPRODUCT(--($D$3:$D$102="P"),--(H$3:H$102&lt;H70),--(H$3:H$102&lt;&gt;"")))</f>
        <v/>
      </c>
      <c r="O70" s="9" t="str">
        <f>IF(OR($C70&lt;&gt;"",$D70&lt;&gt;"",I70=""),"",I70-SUMPRODUCT(--($C$3:$C$102="P"),--(I$3:I$102&lt;I70),--(I$3:I$102&lt;&gt;""))-SUMPRODUCT(--($D$3:$D$102="P"),--(I$3:I$102&lt;I70),--(I$3:I$102&lt;&gt;"")))</f>
        <v/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5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5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IN(L70:Q70),SUM(L70:Q70)-MIN(L70:Q70)-SMALL(L70:Q70,2)))&gt;0,IF(COUNT(L70:Q70)&lt;5,SUM(L70:Q70),IF(COUNT(L70:Q70)=5,SUM(L70:Q70)-MIN(L70:Q70),SUM(L70:Q70)-MIN(L70:Q70)-SMALL(L70:Q70,2))),0)))</f>
        <v>32</v>
      </c>
      <c r="AC70" s="9">
        <f>COUNTIF(L70:Q70,"&lt;=8")</f>
        <v>0</v>
      </c>
      <c r="AD70" s="9">
        <f>MIN(L70:Q70)</f>
        <v>32</v>
      </c>
    </row>
    <row r="71" spans="1:30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30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30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</sheetData>
  <sheetProtection sheet="1" selectLockedCells="1"/>
  <mergeCells count="16">
    <mergeCell ref="L1:Q1"/>
    <mergeCell ref="R1:W1"/>
    <mergeCell ref="X1:X2"/>
    <mergeCell ref="Y1:Y2"/>
    <mergeCell ref="Z1:Z2"/>
    <mergeCell ref="F1:K1"/>
    <mergeCell ref="A1:A2"/>
    <mergeCell ref="B1:B2"/>
    <mergeCell ref="C1:C2"/>
    <mergeCell ref="D1:D2"/>
    <mergeCell ref="E1:E2"/>
    <mergeCell ref="AE1:AJ2"/>
    <mergeCell ref="AB1:AB2"/>
    <mergeCell ref="AC1:AC2"/>
    <mergeCell ref="AD1:AD2"/>
    <mergeCell ref="AA1:AA2"/>
  </mergeCells>
  <conditionalFormatting sqref="A1:B1048576">
    <cfRule type="expression" dxfId="7" priority="5">
      <formula>IF(OR($C1="P",$D1="P"),1,0)</formula>
    </cfRule>
    <cfRule type="expression" dxfId="6" priority="6">
      <formula>IF(AND($E1&lt;&gt;"",$E1&lt;=14-COUNTIF($C$3:$C$102,"P")-COUNTIF($D$3:$D$102,"P")),1,0)</formula>
    </cfRule>
    <cfRule type="expression" dxfId="5" priority="7">
      <formula>IF(AND($E1&lt;&gt;"",$E1&lt;=16-COUNTIF($C$3:$C$102,"P")-COUNTIF($D$3:$D$102,"P")),1,0)</formula>
    </cfRule>
  </conditionalFormatting>
  <conditionalFormatting sqref="C3:AA102">
    <cfRule type="expression" dxfId="4" priority="4">
      <formula>IF(AND($A3&lt;&gt;"",MOD(ROW(),2)=0),1,0)</formula>
    </cfRule>
    <cfRule type="expression" dxfId="3" priority="8">
      <formula>IF(AND($A3&lt;&gt;"",MOD(ROW(),2)=1),1,0)</formula>
    </cfRule>
  </conditionalFormatting>
  <conditionalFormatting sqref="E3:E102 K3:K102 W3:W102 Q3:Q102">
    <cfRule type="expression" dxfId="2" priority="3">
      <formula>IF($A3&lt;&gt;"",1,0)</formula>
    </cfRule>
  </conditionalFormatting>
  <conditionalFormatting sqref="AB3:AD70">
    <cfRule type="expression" dxfId="1" priority="1">
      <formula>IF(AND($A3&lt;&gt;"",MOD(ROW(),2)=0),1,0)</formula>
    </cfRule>
    <cfRule type="expression" dxfId="0" priority="2">
      <formula>IF(AND($A3&lt;&gt;"",MOD(ROW(),2)=1),1,0)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B1:B2"/>
  <sheetViews>
    <sheetView zoomScaleNormal="100" workbookViewId="0">
      <selection activeCell="B1" sqref="B1"/>
    </sheetView>
  </sheetViews>
  <sheetFormatPr baseColWidth="10" defaultRowHeight="16" x14ac:dyDescent="0.2"/>
  <sheetData>
    <row r="1" spans="2:2" x14ac:dyDescent="0.2">
      <c r="B1" t="s">
        <v>180</v>
      </c>
    </row>
    <row r="2" spans="2:2" x14ac:dyDescent="0.2">
      <c r="B2" t="s">
        <v>181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0</xdr:col>
                    <xdr:colOff>825500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2019-09-22T06:32:42Z</dcterms:modified>
</cp:coreProperties>
</file>