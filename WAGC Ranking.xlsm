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A307DDDA-AF69-2441-8545-4D52E8A14441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'SYN-M'!$A$1:$AG$2</definedName>
    <definedName name="_xlnm._FilterDatabase" localSheetId="6" hidden="1">'SYN-W'!$A$1:$AG$2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12" l="1"/>
  <c r="A3" i="12" l="1" a="1"/>
  <c r="A3" i="12" s="1"/>
  <c r="D68" i="2" s="1" a="1"/>
  <c r="D68" i="2" s="1"/>
  <c r="B3" i="12" a="1"/>
  <c r="B3" i="12" s="1"/>
  <c r="A3" i="13" a="1"/>
  <c r="A3" i="13" s="1"/>
  <c r="D83" i="2" s="1" a="1"/>
  <c r="D83" i="2" s="1"/>
  <c r="B3" i="13" a="1"/>
  <c r="B3" i="13" s="1"/>
  <c r="J3" i="13"/>
  <c r="J3" i="12"/>
  <c r="E3" i="17"/>
  <c r="F3" i="17" s="1"/>
  <c r="E9" i="17"/>
  <c r="F9" i="17" s="1"/>
  <c r="E11" i="17"/>
  <c r="F11" i="17" s="1"/>
  <c r="E13" i="17"/>
  <c r="F13" i="17" s="1"/>
  <c r="E18" i="17"/>
  <c r="F18" i="17" s="1"/>
  <c r="E21" i="17"/>
  <c r="F21" i="17" s="1"/>
  <c r="E22" i="17"/>
  <c r="F22" i="17" s="1"/>
  <c r="E26" i="17"/>
  <c r="F26" i="17" s="1"/>
  <c r="E27" i="17"/>
  <c r="F27" i="17" s="1"/>
  <c r="E28" i="17"/>
  <c r="F28" i="17" s="1"/>
  <c r="E33" i="17"/>
  <c r="F33" i="17" s="1"/>
  <c r="E38" i="17"/>
  <c r="F38" i="17" s="1"/>
  <c r="E39" i="17"/>
  <c r="F39" i="17" s="1"/>
  <c r="E40" i="17"/>
  <c r="F40" i="17" s="1"/>
  <c r="E41" i="17"/>
  <c r="F41" i="17" s="1"/>
  <c r="E42" i="17"/>
  <c r="F42" i="17" s="1"/>
  <c r="E43" i="17"/>
  <c r="F43" i="17" s="1"/>
  <c r="G3" i="17"/>
  <c r="H3" i="17" s="1"/>
  <c r="G9" i="17"/>
  <c r="H9" i="17" s="1"/>
  <c r="G11" i="17"/>
  <c r="H11" i="17" s="1"/>
  <c r="G13" i="17"/>
  <c r="H13" i="17" s="1"/>
  <c r="G15" i="17"/>
  <c r="H15" i="17" s="1"/>
  <c r="G16" i="17"/>
  <c r="H16" i="17" s="1"/>
  <c r="G18" i="17"/>
  <c r="H18" i="17" s="1"/>
  <c r="G20" i="17"/>
  <c r="H20" i="17" s="1"/>
  <c r="G21" i="17"/>
  <c r="H21" i="17" s="1"/>
  <c r="G22" i="17"/>
  <c r="H22" i="17" s="1"/>
  <c r="G23" i="17"/>
  <c r="H23" i="17" s="1"/>
  <c r="G25" i="17"/>
  <c r="H25" i="17" s="1"/>
  <c r="G26" i="17"/>
  <c r="H26" i="17" s="1"/>
  <c r="G27" i="17"/>
  <c r="H27" i="17" s="1"/>
  <c r="G28" i="17"/>
  <c r="H28" i="17" s="1"/>
  <c r="G30" i="17"/>
  <c r="H30" i="17" s="1"/>
  <c r="G32" i="17"/>
  <c r="H32" i="17" s="1"/>
  <c r="G33" i="17"/>
  <c r="H33" i="17" s="1"/>
  <c r="G34" i="17"/>
  <c r="H34" i="17" s="1"/>
  <c r="G2" i="17"/>
  <c r="H2" i="17" s="1"/>
  <c r="C35" i="17"/>
  <c r="D35" i="17" s="1"/>
  <c r="C36" i="17"/>
  <c r="D36" i="17" s="1"/>
  <c r="C37" i="17"/>
  <c r="D37" i="17" s="1"/>
  <c r="C38" i="17"/>
  <c r="D38" i="17" s="1"/>
  <c r="C39" i="17"/>
  <c r="D39" i="17" s="1"/>
  <c r="C40" i="17"/>
  <c r="D40" i="17" s="1"/>
  <c r="C41" i="17"/>
  <c r="D41" i="17" s="1"/>
  <c r="C42" i="17"/>
  <c r="D42" i="17" s="1"/>
  <c r="C43" i="17"/>
  <c r="D43" i="17" s="1"/>
  <c r="C27" i="17"/>
  <c r="D27" i="17" s="1"/>
  <c r="D36" i="16"/>
  <c r="D24" i="16"/>
  <c r="D23" i="16"/>
  <c r="D22" i="16"/>
  <c r="D39" i="16"/>
  <c r="D19" i="16"/>
  <c r="D40" i="16"/>
  <c r="D27" i="16"/>
  <c r="D43" i="16"/>
  <c r="D16" i="16"/>
  <c r="D18" i="16"/>
  <c r="D37" i="16"/>
  <c r="D28" i="16"/>
  <c r="D17" i="16"/>
  <c r="D38" i="16"/>
  <c r="D20" i="16"/>
  <c r="D21" i="16"/>
  <c r="D13" i="16"/>
  <c r="D25" i="16"/>
  <c r="D44" i="16"/>
  <c r="D29" i="16"/>
  <c r="D31" i="16"/>
  <c r="D46" i="16"/>
  <c r="D41" i="16"/>
  <c r="D32" i="16"/>
  <c r="D45" i="16"/>
  <c r="D34" i="16"/>
  <c r="D35" i="16"/>
  <c r="D4" i="16"/>
  <c r="D6" i="16"/>
  <c r="D7" i="16"/>
  <c r="D5" i="16"/>
  <c r="D8" i="16"/>
  <c r="D9" i="16"/>
  <c r="D12" i="16"/>
  <c r="D10" i="16"/>
  <c r="D14" i="16"/>
  <c r="D15" i="16"/>
  <c r="D26" i="16"/>
  <c r="D30" i="16"/>
  <c r="D33" i="16"/>
  <c r="D3" i="16"/>
  <c r="D11" i="16"/>
  <c r="D42" i="16"/>
  <c r="D18" i="15"/>
  <c r="D17" i="15"/>
  <c r="D16" i="15"/>
  <c r="D19" i="15"/>
  <c r="D14" i="15"/>
  <c r="D15" i="15"/>
  <c r="D7" i="15"/>
  <c r="D8" i="15"/>
  <c r="D11" i="15"/>
  <c r="D12" i="15"/>
  <c r="D4" i="15"/>
  <c r="D5" i="15"/>
  <c r="D6" i="15"/>
  <c r="D9" i="15"/>
  <c r="D10" i="15"/>
  <c r="D3" i="15"/>
  <c r="D13" i="15"/>
  <c r="D33" i="14"/>
  <c r="D49" i="14"/>
  <c r="D50" i="14"/>
  <c r="D46" i="14"/>
  <c r="D40" i="14"/>
  <c r="D41" i="14"/>
  <c r="D36" i="14"/>
  <c r="D42" i="14"/>
  <c r="D39" i="14"/>
  <c r="D43" i="14"/>
  <c r="D38" i="14"/>
  <c r="D44" i="14"/>
  <c r="D17" i="14"/>
  <c r="D18" i="14"/>
  <c r="D19" i="14"/>
  <c r="D24" i="14"/>
  <c r="D21" i="14"/>
  <c r="D26" i="14"/>
  <c r="D27" i="14"/>
  <c r="D13" i="14"/>
  <c r="D23" i="14"/>
  <c r="D22" i="14"/>
  <c r="D29" i="14"/>
  <c r="D30" i="14"/>
  <c r="D47" i="14"/>
  <c r="D48" i="14"/>
  <c r="D34" i="14"/>
  <c r="D35" i="14"/>
  <c r="D37" i="14"/>
  <c r="D9" i="14"/>
  <c r="D11" i="14"/>
  <c r="D12" i="14"/>
  <c r="D14" i="14"/>
  <c r="D15" i="14"/>
  <c r="D16" i="14"/>
  <c r="D10" i="14"/>
  <c r="D20" i="14"/>
  <c r="D25" i="14"/>
  <c r="D31" i="14"/>
  <c r="D32" i="14"/>
  <c r="D3" i="14"/>
  <c r="D4" i="14"/>
  <c r="D8" i="14"/>
  <c r="D5" i="14"/>
  <c r="D7" i="14"/>
  <c r="D6" i="14"/>
  <c r="D28" i="14"/>
  <c r="D45" i="14"/>
  <c r="D43" i="6"/>
  <c r="D47" i="6"/>
  <c r="D48" i="6"/>
  <c r="D49" i="6"/>
  <c r="D46" i="6"/>
  <c r="D38" i="6"/>
  <c r="D35" i="6"/>
  <c r="D39" i="6"/>
  <c r="D41" i="6"/>
  <c r="D40" i="6"/>
  <c r="D22" i="6"/>
  <c r="D25" i="6"/>
  <c r="D26" i="6"/>
  <c r="D23" i="6"/>
  <c r="D27" i="6"/>
  <c r="D20" i="6"/>
  <c r="D24" i="6"/>
  <c r="D42" i="6"/>
  <c r="D45" i="6"/>
  <c r="D34" i="6"/>
  <c r="D33" i="6"/>
  <c r="D36" i="6"/>
  <c r="D37" i="6"/>
  <c r="D32" i="6"/>
  <c r="D8" i="6"/>
  <c r="D5" i="6"/>
  <c r="D9" i="6"/>
  <c r="D12" i="6"/>
  <c r="D13" i="6"/>
  <c r="D15" i="6"/>
  <c r="D17" i="6"/>
  <c r="D16" i="6"/>
  <c r="D18" i="6"/>
  <c r="D28" i="6"/>
  <c r="D29" i="6"/>
  <c r="D21" i="6"/>
  <c r="D30" i="6"/>
  <c r="D3" i="6"/>
  <c r="D4" i="6"/>
  <c r="D6" i="6"/>
  <c r="D10" i="6"/>
  <c r="D19" i="6"/>
  <c r="D11" i="6"/>
  <c r="D7" i="6"/>
  <c r="D14" i="6"/>
  <c r="D31" i="6"/>
  <c r="D44" i="6"/>
  <c r="D3" i="13"/>
  <c r="D3" i="12"/>
  <c r="D46" i="11"/>
  <c r="D74" i="11"/>
  <c r="D72" i="11"/>
  <c r="D73" i="11"/>
  <c r="D77" i="11"/>
  <c r="D76" i="11"/>
  <c r="D49" i="11"/>
  <c r="D51" i="11"/>
  <c r="D53" i="11"/>
  <c r="D52" i="11"/>
  <c r="D58" i="11"/>
  <c r="D55" i="11"/>
  <c r="D56" i="11"/>
  <c r="D54" i="11"/>
  <c r="D59" i="11"/>
  <c r="D57" i="11"/>
  <c r="D60" i="11"/>
  <c r="D61" i="11"/>
  <c r="D75" i="11"/>
  <c r="D62" i="11"/>
  <c r="D63" i="11"/>
  <c r="D64" i="11"/>
  <c r="D66" i="11"/>
  <c r="D67" i="11"/>
  <c r="D68" i="11"/>
  <c r="D69" i="11"/>
  <c r="D9" i="11"/>
  <c r="D12" i="11"/>
  <c r="D17" i="11"/>
  <c r="D18" i="11"/>
  <c r="D14" i="11"/>
  <c r="D11" i="11"/>
  <c r="D23" i="11"/>
  <c r="D24" i="11"/>
  <c r="D25" i="11"/>
  <c r="D26" i="11"/>
  <c r="D31" i="11"/>
  <c r="D32" i="11"/>
  <c r="D28" i="11"/>
  <c r="D33" i="11"/>
  <c r="D30" i="11"/>
  <c r="D34" i="11"/>
  <c r="D40" i="11"/>
  <c r="D43" i="11"/>
  <c r="D36" i="11"/>
  <c r="D41" i="11"/>
  <c r="D39" i="11"/>
  <c r="D44" i="11"/>
  <c r="D71" i="11"/>
  <c r="D70" i="11"/>
  <c r="D47" i="11"/>
  <c r="D50" i="11"/>
  <c r="D65" i="11"/>
  <c r="D48" i="11"/>
  <c r="D6" i="11"/>
  <c r="D7" i="11"/>
  <c r="D8" i="11"/>
  <c r="D15" i="11"/>
  <c r="D21" i="11"/>
  <c r="D13" i="11"/>
  <c r="D16" i="11"/>
  <c r="D20" i="11"/>
  <c r="D27" i="11"/>
  <c r="D19" i="11"/>
  <c r="D35" i="11"/>
  <c r="D29" i="11"/>
  <c r="D37" i="11"/>
  <c r="D22" i="11"/>
  <c r="D38" i="11"/>
  <c r="D42" i="11"/>
  <c r="D5" i="11"/>
  <c r="D3" i="11"/>
  <c r="D10" i="11"/>
  <c r="D4" i="11"/>
  <c r="D45" i="11"/>
  <c r="D35" i="3"/>
  <c r="D49" i="3"/>
  <c r="D51" i="3"/>
  <c r="D52" i="3"/>
  <c r="D54" i="3"/>
  <c r="D53" i="3"/>
  <c r="D50" i="3"/>
  <c r="D55" i="3"/>
  <c r="D36" i="3"/>
  <c r="D37" i="3"/>
  <c r="D40" i="3"/>
  <c r="D38" i="3"/>
  <c r="D41" i="3"/>
  <c r="D45" i="3"/>
  <c r="D39" i="3"/>
  <c r="D42" i="3"/>
  <c r="D43" i="3"/>
  <c r="D48" i="3"/>
  <c r="D11" i="3"/>
  <c r="D17" i="3"/>
  <c r="D21" i="3"/>
  <c r="D23" i="3"/>
  <c r="D25" i="3"/>
  <c r="D26" i="3"/>
  <c r="D24" i="3"/>
  <c r="D27" i="3"/>
  <c r="D18" i="3"/>
  <c r="D34" i="3"/>
  <c r="D46" i="3"/>
  <c r="D44" i="3"/>
  <c r="D47" i="3"/>
  <c r="D5" i="3"/>
  <c r="D9" i="3"/>
  <c r="D15" i="3"/>
  <c r="D20" i="3"/>
  <c r="D12" i="3"/>
  <c r="D22" i="3"/>
  <c r="D14" i="3"/>
  <c r="D10" i="3"/>
  <c r="D19" i="3"/>
  <c r="D30" i="3"/>
  <c r="D32" i="3"/>
  <c r="D33" i="3"/>
  <c r="D28" i="3"/>
  <c r="D29" i="3"/>
  <c r="D31" i="3"/>
  <c r="D4" i="3"/>
  <c r="D8" i="3"/>
  <c r="D7" i="3"/>
  <c r="D6" i="3"/>
  <c r="D3" i="3"/>
  <c r="D13" i="3"/>
  <c r="D16" i="3"/>
  <c r="G8" i="16"/>
  <c r="K8" i="16" s="1"/>
  <c r="R8" i="16"/>
  <c r="S8" i="16"/>
  <c r="G25" i="16"/>
  <c r="K25" i="16" s="1"/>
  <c r="R25" i="16"/>
  <c r="S25" i="16"/>
  <c r="G44" i="16"/>
  <c r="K44" i="16" s="1"/>
  <c r="R44" i="16"/>
  <c r="S44" i="16"/>
  <c r="G29" i="16"/>
  <c r="K29" i="16" s="1"/>
  <c r="R29" i="16"/>
  <c r="S29" i="16"/>
  <c r="G31" i="16"/>
  <c r="K31" i="16" s="1"/>
  <c r="R31" i="16"/>
  <c r="S31" i="16"/>
  <c r="G46" i="16"/>
  <c r="K46" i="16" s="1"/>
  <c r="R46" i="16"/>
  <c r="S46" i="16"/>
  <c r="G41" i="16"/>
  <c r="K41" i="16" s="1"/>
  <c r="R41" i="16"/>
  <c r="S41" i="16"/>
  <c r="G32" i="16"/>
  <c r="K32" i="16" s="1"/>
  <c r="R32" i="16"/>
  <c r="S32" i="16"/>
  <c r="G45" i="16"/>
  <c r="L45" i="16" s="1"/>
  <c r="R45" i="16"/>
  <c r="S45" i="16"/>
  <c r="G34" i="16"/>
  <c r="K34" i="16" s="1"/>
  <c r="R34" i="16"/>
  <c r="S34" i="16"/>
  <c r="G35" i="16"/>
  <c r="M35" i="16" s="1"/>
  <c r="B35" i="16" s="1" a="1"/>
  <c r="B35" i="16" s="1"/>
  <c r="R35" i="16"/>
  <c r="S35" i="16"/>
  <c r="G4" i="16"/>
  <c r="K4" i="16" s="1"/>
  <c r="R4" i="16"/>
  <c r="S4" i="16"/>
  <c r="G6" i="16"/>
  <c r="K6" i="16" s="1"/>
  <c r="R6" i="16"/>
  <c r="S6" i="16"/>
  <c r="G7" i="16"/>
  <c r="K7" i="16" s="1"/>
  <c r="R7" i="16"/>
  <c r="S7" i="16"/>
  <c r="G5" i="16"/>
  <c r="K5" i="16" s="1"/>
  <c r="R5" i="16"/>
  <c r="S5" i="16"/>
  <c r="G9" i="16"/>
  <c r="K9" i="16" s="1"/>
  <c r="R9" i="16"/>
  <c r="S9" i="16"/>
  <c r="G12" i="16"/>
  <c r="L12" i="16" s="1"/>
  <c r="R12" i="16"/>
  <c r="S12" i="16"/>
  <c r="G10" i="16"/>
  <c r="K10" i="16" s="1"/>
  <c r="R10" i="16"/>
  <c r="S10" i="16"/>
  <c r="G14" i="16"/>
  <c r="M14" i="16" s="1"/>
  <c r="B14" i="16" s="1" a="1"/>
  <c r="B14" i="16" s="1"/>
  <c r="R14" i="16"/>
  <c r="S14" i="16"/>
  <c r="G15" i="16"/>
  <c r="K15" i="16" s="1"/>
  <c r="R15" i="16"/>
  <c r="S15" i="16"/>
  <c r="G26" i="16"/>
  <c r="K26" i="16" s="1"/>
  <c r="R26" i="16"/>
  <c r="S26" i="16"/>
  <c r="G30" i="16"/>
  <c r="K30" i="16" s="1"/>
  <c r="R30" i="16"/>
  <c r="S30" i="16"/>
  <c r="G33" i="16"/>
  <c r="K33" i="16" s="1"/>
  <c r="R33" i="16"/>
  <c r="S33" i="16"/>
  <c r="G3" i="16"/>
  <c r="L3" i="16" s="1"/>
  <c r="R3" i="16"/>
  <c r="S3" i="16"/>
  <c r="AE3" i="13"/>
  <c r="X3" i="13"/>
  <c r="X3" i="12"/>
  <c r="AE3" i="12"/>
  <c r="AE46" i="11"/>
  <c r="AE74" i="11"/>
  <c r="AE72" i="11"/>
  <c r="AE73" i="11"/>
  <c r="AE77" i="11"/>
  <c r="AE76" i="11"/>
  <c r="AE49" i="11"/>
  <c r="AE51" i="11"/>
  <c r="AE53" i="11"/>
  <c r="AE52" i="11"/>
  <c r="AE58" i="11"/>
  <c r="AE55" i="11"/>
  <c r="AE56" i="11"/>
  <c r="AE54" i="11"/>
  <c r="AE59" i="11"/>
  <c r="AE57" i="11"/>
  <c r="AE60" i="11"/>
  <c r="AE61" i="11"/>
  <c r="AE75" i="11"/>
  <c r="AE62" i="11"/>
  <c r="AE63" i="11"/>
  <c r="AE64" i="11"/>
  <c r="AE66" i="11"/>
  <c r="AE67" i="11"/>
  <c r="AE68" i="11"/>
  <c r="AE69" i="11"/>
  <c r="AE9" i="11"/>
  <c r="AE12" i="11"/>
  <c r="AE17" i="11"/>
  <c r="AE18" i="11"/>
  <c r="AE14" i="11"/>
  <c r="AE11" i="11"/>
  <c r="AE23" i="11"/>
  <c r="AE24" i="11"/>
  <c r="AE25" i="11"/>
  <c r="AE26" i="11"/>
  <c r="AE31" i="11"/>
  <c r="AE32" i="11"/>
  <c r="AE28" i="11"/>
  <c r="AE33" i="11"/>
  <c r="AE30" i="11"/>
  <c r="AE34" i="11"/>
  <c r="AE40" i="11"/>
  <c r="AE43" i="11"/>
  <c r="AE36" i="11"/>
  <c r="AE41" i="11"/>
  <c r="AE39" i="11"/>
  <c r="AE44" i="11"/>
  <c r="AE71" i="11"/>
  <c r="AE70" i="11"/>
  <c r="AE47" i="11"/>
  <c r="AE50" i="11"/>
  <c r="AE65" i="11"/>
  <c r="AE48" i="11"/>
  <c r="AE6" i="11"/>
  <c r="AE7" i="11"/>
  <c r="AE8" i="11"/>
  <c r="AE15" i="11"/>
  <c r="AE21" i="11"/>
  <c r="AE13" i="11"/>
  <c r="AE16" i="11"/>
  <c r="AE20" i="11"/>
  <c r="AE27" i="11"/>
  <c r="AE19" i="11"/>
  <c r="AE35" i="11"/>
  <c r="AE29" i="11"/>
  <c r="AE37" i="11"/>
  <c r="AE22" i="11"/>
  <c r="AE38" i="11"/>
  <c r="AE42" i="11"/>
  <c r="AE5" i="11"/>
  <c r="AE3" i="11"/>
  <c r="AE10" i="11"/>
  <c r="AE4" i="11"/>
  <c r="AE45" i="11"/>
  <c r="AE35" i="3"/>
  <c r="AE49" i="3"/>
  <c r="AE51" i="3"/>
  <c r="AE52" i="3"/>
  <c r="AE54" i="3"/>
  <c r="AE53" i="3"/>
  <c r="AE50" i="3"/>
  <c r="AE55" i="3"/>
  <c r="AE36" i="3"/>
  <c r="AE37" i="3"/>
  <c r="AE40" i="3"/>
  <c r="AE38" i="3"/>
  <c r="AE41" i="3"/>
  <c r="AE45" i="3"/>
  <c r="AE39" i="3"/>
  <c r="AE42" i="3"/>
  <c r="AE43" i="3"/>
  <c r="AE48" i="3"/>
  <c r="AE11" i="3"/>
  <c r="AE17" i="3"/>
  <c r="AE21" i="3"/>
  <c r="AE23" i="3"/>
  <c r="AE25" i="3"/>
  <c r="AE26" i="3"/>
  <c r="AE24" i="3"/>
  <c r="AE27" i="3"/>
  <c r="AE18" i="3"/>
  <c r="AE34" i="3"/>
  <c r="AE46" i="3"/>
  <c r="AE44" i="3"/>
  <c r="AE47" i="3"/>
  <c r="AE5" i="3"/>
  <c r="AE9" i="3"/>
  <c r="AE15" i="3"/>
  <c r="AE20" i="3"/>
  <c r="AE12" i="3"/>
  <c r="AE22" i="3"/>
  <c r="AE14" i="3"/>
  <c r="AE10" i="3"/>
  <c r="AE19" i="3"/>
  <c r="AE30" i="3"/>
  <c r="AE32" i="3"/>
  <c r="AE33" i="3"/>
  <c r="AE28" i="3"/>
  <c r="AE29" i="3"/>
  <c r="AE31" i="3"/>
  <c r="AE4" i="3"/>
  <c r="AE8" i="3"/>
  <c r="AE7" i="3"/>
  <c r="AE6" i="3"/>
  <c r="AE3" i="3"/>
  <c r="AE13" i="3"/>
  <c r="AE16" i="3"/>
  <c r="X49" i="3"/>
  <c r="X51" i="3"/>
  <c r="X52" i="3"/>
  <c r="X54" i="3"/>
  <c r="X53" i="3"/>
  <c r="X50" i="3"/>
  <c r="X55" i="3"/>
  <c r="X36" i="3"/>
  <c r="X37" i="3"/>
  <c r="X40" i="3"/>
  <c r="X38" i="3"/>
  <c r="X41" i="3"/>
  <c r="X45" i="3"/>
  <c r="X39" i="3"/>
  <c r="X42" i="3"/>
  <c r="X43" i="3"/>
  <c r="X48" i="3"/>
  <c r="X11" i="3"/>
  <c r="X17" i="3"/>
  <c r="X21" i="3"/>
  <c r="X23" i="3"/>
  <c r="X25" i="3"/>
  <c r="X26" i="3"/>
  <c r="X24" i="3"/>
  <c r="X27" i="3"/>
  <c r="X18" i="3"/>
  <c r="X34" i="3"/>
  <c r="X46" i="3"/>
  <c r="X44" i="3"/>
  <c r="X47" i="3"/>
  <c r="X5" i="3"/>
  <c r="X9" i="3"/>
  <c r="X15" i="3"/>
  <c r="X20" i="3"/>
  <c r="X12" i="3"/>
  <c r="X22" i="3"/>
  <c r="X14" i="3"/>
  <c r="X10" i="3"/>
  <c r="X19" i="3"/>
  <c r="X30" i="3"/>
  <c r="X32" i="3"/>
  <c r="X33" i="3"/>
  <c r="X28" i="3"/>
  <c r="X29" i="3"/>
  <c r="X31" i="3"/>
  <c r="X4" i="3"/>
  <c r="X8" i="3"/>
  <c r="X7" i="3"/>
  <c r="X6" i="3"/>
  <c r="X3" i="3"/>
  <c r="X13" i="3"/>
  <c r="X16" i="3"/>
  <c r="X35" i="3"/>
  <c r="X45" i="11"/>
  <c r="X46" i="11"/>
  <c r="X74" i="11"/>
  <c r="X72" i="11"/>
  <c r="X73" i="11"/>
  <c r="X77" i="11"/>
  <c r="X76" i="11"/>
  <c r="X49" i="11"/>
  <c r="X51" i="11"/>
  <c r="X53" i="11"/>
  <c r="X52" i="11"/>
  <c r="X58" i="11"/>
  <c r="X55" i="11"/>
  <c r="X56" i="11"/>
  <c r="X54" i="11"/>
  <c r="X59" i="11"/>
  <c r="X57" i="11"/>
  <c r="X60" i="11"/>
  <c r="X61" i="11"/>
  <c r="X75" i="11"/>
  <c r="X62" i="11"/>
  <c r="X63" i="11"/>
  <c r="X64" i="11"/>
  <c r="X66" i="11"/>
  <c r="X67" i="11"/>
  <c r="X68" i="11"/>
  <c r="X69" i="11"/>
  <c r="X9" i="11"/>
  <c r="X12" i="11"/>
  <c r="X17" i="11"/>
  <c r="X18" i="11"/>
  <c r="X14" i="11"/>
  <c r="X11" i="11"/>
  <c r="X23" i="11"/>
  <c r="X24" i="11"/>
  <c r="X25" i="11"/>
  <c r="X26" i="11"/>
  <c r="X31" i="11"/>
  <c r="X32" i="11"/>
  <c r="X28" i="11"/>
  <c r="X33" i="11"/>
  <c r="X30" i="11"/>
  <c r="X34" i="11"/>
  <c r="X40" i="11"/>
  <c r="X43" i="11"/>
  <c r="X36" i="11"/>
  <c r="X41" i="11"/>
  <c r="X39" i="11"/>
  <c r="X44" i="11"/>
  <c r="X71" i="11"/>
  <c r="X70" i="11"/>
  <c r="X47" i="11"/>
  <c r="X50" i="11"/>
  <c r="X65" i="11"/>
  <c r="X48" i="11"/>
  <c r="X6" i="11"/>
  <c r="X7" i="11"/>
  <c r="X8" i="11"/>
  <c r="X15" i="11"/>
  <c r="X21" i="11"/>
  <c r="X13" i="11"/>
  <c r="X16" i="11"/>
  <c r="X20" i="11"/>
  <c r="X27" i="11"/>
  <c r="X19" i="11"/>
  <c r="X35" i="11"/>
  <c r="X29" i="11"/>
  <c r="X37" i="11"/>
  <c r="X22" i="11"/>
  <c r="X38" i="11"/>
  <c r="X42" i="11"/>
  <c r="X5" i="11"/>
  <c r="X3" i="11"/>
  <c r="X10" i="11"/>
  <c r="X4" i="11"/>
  <c r="G9" i="11"/>
  <c r="M9" i="11" s="1"/>
  <c r="B9" i="11" s="1" a="1"/>
  <c r="B9" i="11" s="1"/>
  <c r="S9" i="11"/>
  <c r="G12" i="11"/>
  <c r="M12" i="11" s="1"/>
  <c r="B12" i="11" s="1" a="1"/>
  <c r="B12" i="11" s="1"/>
  <c r="S12" i="11"/>
  <c r="G17" i="11"/>
  <c r="S17" i="11"/>
  <c r="G18" i="11"/>
  <c r="L18" i="11" s="1"/>
  <c r="S18" i="11"/>
  <c r="G14" i="11"/>
  <c r="K14" i="11" s="1"/>
  <c r="S14" i="11"/>
  <c r="G11" i="11"/>
  <c r="L11" i="11" s="1"/>
  <c r="S11" i="11"/>
  <c r="G23" i="11"/>
  <c r="L23" i="11" s="1"/>
  <c r="S23" i="11"/>
  <c r="G24" i="11"/>
  <c r="S24" i="11"/>
  <c r="G25" i="11"/>
  <c r="M25" i="11" s="1"/>
  <c r="B25" i="11" s="1" a="1"/>
  <c r="B25" i="11" s="1"/>
  <c r="S25" i="11"/>
  <c r="G26" i="11"/>
  <c r="L26" i="11" s="1"/>
  <c r="S26" i="11"/>
  <c r="G31" i="11"/>
  <c r="M31" i="11" s="1"/>
  <c r="B31" i="11" s="1" a="1"/>
  <c r="B31" i="11" s="1"/>
  <c r="S31" i="11"/>
  <c r="G32" i="11"/>
  <c r="K32" i="11" s="1"/>
  <c r="S32" i="11"/>
  <c r="G28" i="11"/>
  <c r="L28" i="11" s="1"/>
  <c r="S28" i="11"/>
  <c r="G33" i="11"/>
  <c r="K33" i="11" s="1"/>
  <c r="S33" i="11"/>
  <c r="G30" i="11"/>
  <c r="S30" i="11"/>
  <c r="G34" i="11"/>
  <c r="M34" i="11" s="1"/>
  <c r="B34" i="11" s="1" a="1"/>
  <c r="B34" i="11" s="1"/>
  <c r="S34" i="11"/>
  <c r="G40" i="11"/>
  <c r="L40" i="11" s="1"/>
  <c r="S40" i="11"/>
  <c r="G43" i="11"/>
  <c r="S43" i="11"/>
  <c r="G36" i="11"/>
  <c r="K36" i="11" s="1"/>
  <c r="S36" i="11"/>
  <c r="G41" i="11"/>
  <c r="K41" i="11" s="1"/>
  <c r="S41" i="11"/>
  <c r="G39" i="11"/>
  <c r="L39" i="11" s="1"/>
  <c r="S39" i="11"/>
  <c r="G44" i="11"/>
  <c r="K44" i="11" s="1"/>
  <c r="S44" i="11"/>
  <c r="G71" i="11"/>
  <c r="S71" i="11"/>
  <c r="G70" i="11"/>
  <c r="S70" i="11"/>
  <c r="G47" i="11"/>
  <c r="L47" i="11" s="1"/>
  <c r="S47" i="11"/>
  <c r="G50" i="11"/>
  <c r="S50" i="11"/>
  <c r="G19" i="3"/>
  <c r="L19" i="3" s="1"/>
  <c r="S19" i="3"/>
  <c r="G30" i="3"/>
  <c r="S30" i="3"/>
  <c r="G32" i="3"/>
  <c r="M32" i="3" s="1"/>
  <c r="B32" i="3" s="1" a="1"/>
  <c r="B32" i="3" s="1"/>
  <c r="S32" i="3"/>
  <c r="G33" i="3"/>
  <c r="K33" i="3" s="1"/>
  <c r="S33" i="3"/>
  <c r="G28" i="3"/>
  <c r="L28" i="3" s="1"/>
  <c r="S28" i="3"/>
  <c r="G29" i="3"/>
  <c r="K29" i="3" s="1"/>
  <c r="S29" i="3"/>
  <c r="G31" i="3"/>
  <c r="L31" i="3" s="1"/>
  <c r="S31" i="3"/>
  <c r="G4" i="3"/>
  <c r="L4" i="3" s="1"/>
  <c r="S4" i="3"/>
  <c r="G8" i="3"/>
  <c r="K8" i="3" s="1"/>
  <c r="S8" i="3"/>
  <c r="G7" i="3"/>
  <c r="K7" i="3" s="1"/>
  <c r="S7" i="3"/>
  <c r="G6" i="3"/>
  <c r="S6" i="3"/>
  <c r="G3" i="3"/>
  <c r="L3" i="3" s="1"/>
  <c r="S3" i="3"/>
  <c r="G13" i="3"/>
  <c r="L13" i="3" s="1"/>
  <c r="S13" i="3"/>
  <c r="G16" i="3"/>
  <c r="M16" i="3" s="1"/>
  <c r="B16" i="3" s="1" a="1"/>
  <c r="B16" i="3" s="1"/>
  <c r="S16" i="3"/>
  <c r="G51" i="3"/>
  <c r="S51" i="3"/>
  <c r="G52" i="3"/>
  <c r="L52" i="3" s="1"/>
  <c r="S52" i="3"/>
  <c r="G54" i="3"/>
  <c r="S54" i="3"/>
  <c r="G53" i="3"/>
  <c r="L53" i="3" s="1"/>
  <c r="S53" i="3"/>
  <c r="G50" i="3"/>
  <c r="S50" i="3"/>
  <c r="G55" i="3"/>
  <c r="S55" i="3"/>
  <c r="G36" i="3"/>
  <c r="S36" i="3"/>
  <c r="G37" i="3"/>
  <c r="S37" i="3"/>
  <c r="G40" i="3"/>
  <c r="L40" i="3" s="1"/>
  <c r="S40" i="3"/>
  <c r="G38" i="3"/>
  <c r="L38" i="3" s="1"/>
  <c r="S38" i="3"/>
  <c r="G41" i="3"/>
  <c r="L41" i="3" s="1"/>
  <c r="S41" i="3"/>
  <c r="G45" i="3"/>
  <c r="S45" i="3"/>
  <c r="G39" i="3"/>
  <c r="S39" i="3"/>
  <c r="G42" i="3"/>
  <c r="S42" i="3"/>
  <c r="G43" i="3"/>
  <c r="S43" i="3"/>
  <c r="G48" i="3"/>
  <c r="S48" i="3"/>
  <c r="G11" i="3"/>
  <c r="L11" i="3" s="1"/>
  <c r="S11" i="3"/>
  <c r="G17" i="3"/>
  <c r="L17" i="3" s="1"/>
  <c r="S17" i="3"/>
  <c r="G21" i="3"/>
  <c r="L21" i="3" s="1"/>
  <c r="S21" i="3"/>
  <c r="G23" i="3"/>
  <c r="S23" i="3"/>
  <c r="G25" i="3"/>
  <c r="S25" i="3"/>
  <c r="G26" i="3"/>
  <c r="S26" i="3"/>
  <c r="G24" i="3"/>
  <c r="S24" i="3"/>
  <c r="G27" i="3"/>
  <c r="L27" i="3" s="1"/>
  <c r="S27" i="3"/>
  <c r="G18" i="3"/>
  <c r="L18" i="3" s="1"/>
  <c r="S18" i="3"/>
  <c r="G34" i="3"/>
  <c r="L34" i="3" s="1"/>
  <c r="S34" i="3"/>
  <c r="G46" i="3"/>
  <c r="L46" i="3" s="1"/>
  <c r="S46" i="3"/>
  <c r="G44" i="3"/>
  <c r="S44" i="3"/>
  <c r="G47" i="3"/>
  <c r="S47" i="3"/>
  <c r="G5" i="3"/>
  <c r="S5" i="3"/>
  <c r="G9" i="3"/>
  <c r="S9" i="3"/>
  <c r="G15" i="3"/>
  <c r="S15" i="3"/>
  <c r="G20" i="3"/>
  <c r="L20" i="3" s="1"/>
  <c r="S20" i="3"/>
  <c r="G12" i="3"/>
  <c r="S12" i="3"/>
  <c r="G22" i="3"/>
  <c r="K22" i="3" s="1"/>
  <c r="S22" i="3"/>
  <c r="G14" i="3"/>
  <c r="K14" i="3" s="1"/>
  <c r="S14" i="3"/>
  <c r="G10" i="3"/>
  <c r="K10" i="3" s="1"/>
  <c r="S10" i="3"/>
  <c r="G22" i="11"/>
  <c r="K22" i="11" s="1"/>
  <c r="S22" i="11"/>
  <c r="G38" i="11"/>
  <c r="L38" i="11" s="1"/>
  <c r="S38" i="11"/>
  <c r="G42" i="11"/>
  <c r="K42" i="11" s="1"/>
  <c r="S42" i="11"/>
  <c r="G5" i="11"/>
  <c r="K5" i="11" s="1"/>
  <c r="S5" i="11"/>
  <c r="G3" i="11"/>
  <c r="K3" i="11" s="1"/>
  <c r="S3" i="11"/>
  <c r="G10" i="11"/>
  <c r="M10" i="11" s="1"/>
  <c r="B10" i="11" s="1" a="1"/>
  <c r="B10" i="11" s="1"/>
  <c r="S10" i="11"/>
  <c r="G4" i="11"/>
  <c r="S4" i="11"/>
  <c r="G46" i="11"/>
  <c r="S46" i="11"/>
  <c r="G74" i="11"/>
  <c r="L74" i="11" s="1"/>
  <c r="S74" i="11"/>
  <c r="G72" i="11"/>
  <c r="S72" i="11"/>
  <c r="G73" i="11"/>
  <c r="S73" i="11"/>
  <c r="G77" i="11"/>
  <c r="S77" i="11"/>
  <c r="G76" i="11"/>
  <c r="S76" i="11"/>
  <c r="G49" i="11"/>
  <c r="S49" i="11"/>
  <c r="G51" i="11"/>
  <c r="S51" i="11"/>
  <c r="G53" i="11"/>
  <c r="S53" i="11"/>
  <c r="G52" i="11"/>
  <c r="L52" i="11" s="1"/>
  <c r="S52" i="11"/>
  <c r="G58" i="11"/>
  <c r="S58" i="11"/>
  <c r="G55" i="11"/>
  <c r="S55" i="11"/>
  <c r="G56" i="11"/>
  <c r="S56" i="11"/>
  <c r="G54" i="11"/>
  <c r="S54" i="11"/>
  <c r="G59" i="11"/>
  <c r="S59" i="11"/>
  <c r="G57" i="11"/>
  <c r="S57" i="11"/>
  <c r="G60" i="11"/>
  <c r="L60" i="11" s="1"/>
  <c r="S60" i="11"/>
  <c r="G61" i="11"/>
  <c r="L61" i="11" s="1"/>
  <c r="S61" i="11"/>
  <c r="G75" i="11"/>
  <c r="S75" i="11"/>
  <c r="G62" i="11"/>
  <c r="L62" i="11" s="1"/>
  <c r="S62" i="11"/>
  <c r="G63" i="11"/>
  <c r="S63" i="11"/>
  <c r="G64" i="11"/>
  <c r="S64" i="11"/>
  <c r="G66" i="11"/>
  <c r="S66" i="11"/>
  <c r="G67" i="11"/>
  <c r="S67" i="11"/>
  <c r="G68" i="11"/>
  <c r="S68" i="11"/>
  <c r="G69" i="11"/>
  <c r="L69" i="11" s="1"/>
  <c r="S69" i="11"/>
  <c r="G65" i="11"/>
  <c r="K65" i="11" s="1"/>
  <c r="S65" i="11"/>
  <c r="G48" i="11"/>
  <c r="S48" i="11"/>
  <c r="G6" i="11"/>
  <c r="M6" i="11" s="1"/>
  <c r="S6" i="11"/>
  <c r="G7" i="11"/>
  <c r="S7" i="11"/>
  <c r="G8" i="11"/>
  <c r="K8" i="11" s="1"/>
  <c r="S8" i="11"/>
  <c r="G15" i="11"/>
  <c r="L15" i="11" s="1"/>
  <c r="S15" i="11"/>
  <c r="G21" i="11"/>
  <c r="K21" i="11" s="1"/>
  <c r="S21" i="11"/>
  <c r="G13" i="11"/>
  <c r="L13" i="11" s="1"/>
  <c r="S13" i="11"/>
  <c r="G16" i="11"/>
  <c r="K16" i="11" s="1"/>
  <c r="S16" i="11"/>
  <c r="G20" i="11"/>
  <c r="K20" i="11" s="1"/>
  <c r="S20" i="11"/>
  <c r="G27" i="11"/>
  <c r="M27" i="11" s="1"/>
  <c r="B27" i="11" s="1" a="1"/>
  <c r="B27" i="11" s="1"/>
  <c r="S27" i="11"/>
  <c r="G19" i="11"/>
  <c r="S19" i="11"/>
  <c r="G35" i="11"/>
  <c r="L35" i="11" s="1"/>
  <c r="S35" i="11"/>
  <c r="G29" i="11"/>
  <c r="M29" i="11" s="1"/>
  <c r="B29" i="11" s="1" a="1"/>
  <c r="B29" i="11" s="1"/>
  <c r="S29" i="11"/>
  <c r="G37" i="11"/>
  <c r="L37" i="11" s="1"/>
  <c r="S37" i="11"/>
  <c r="G36" i="16"/>
  <c r="K36" i="16" s="1"/>
  <c r="R36" i="16"/>
  <c r="S36" i="16"/>
  <c r="G24" i="16"/>
  <c r="K24" i="16" s="1"/>
  <c r="R24" i="16"/>
  <c r="S24" i="16"/>
  <c r="G23" i="16"/>
  <c r="M23" i="16" s="1"/>
  <c r="B23" i="16" s="1" a="1"/>
  <c r="B23" i="16" s="1"/>
  <c r="R23" i="16"/>
  <c r="S23" i="16"/>
  <c r="G22" i="16"/>
  <c r="L22" i="16" s="1"/>
  <c r="R22" i="16"/>
  <c r="S22" i="16"/>
  <c r="G39" i="16"/>
  <c r="K39" i="16" s="1"/>
  <c r="R39" i="16"/>
  <c r="S39" i="16"/>
  <c r="G19" i="16"/>
  <c r="K19" i="16" s="1"/>
  <c r="R19" i="16"/>
  <c r="S19" i="16"/>
  <c r="G40" i="16"/>
  <c r="K40" i="16" s="1"/>
  <c r="R40" i="16"/>
  <c r="S40" i="16"/>
  <c r="G27" i="16"/>
  <c r="L27" i="16" s="1"/>
  <c r="R27" i="16"/>
  <c r="S27" i="16"/>
  <c r="G43" i="16"/>
  <c r="K43" i="16" s="1"/>
  <c r="R43" i="16"/>
  <c r="S43" i="16"/>
  <c r="G16" i="16"/>
  <c r="M16" i="16" s="1"/>
  <c r="B16" i="16" s="1" a="1"/>
  <c r="B16" i="16" s="1"/>
  <c r="R16" i="16"/>
  <c r="S16" i="16"/>
  <c r="G18" i="16"/>
  <c r="M18" i="16" s="1"/>
  <c r="B18" i="16" s="1" a="1"/>
  <c r="B18" i="16" s="1"/>
  <c r="R18" i="16"/>
  <c r="S18" i="16"/>
  <c r="G37" i="16"/>
  <c r="K37" i="16" s="1"/>
  <c r="R37" i="16"/>
  <c r="S37" i="16"/>
  <c r="G28" i="16"/>
  <c r="K28" i="16" s="1"/>
  <c r="R28" i="16"/>
  <c r="S28" i="16"/>
  <c r="G17" i="16"/>
  <c r="K17" i="16" s="1"/>
  <c r="R17" i="16"/>
  <c r="S17" i="16"/>
  <c r="G38" i="16"/>
  <c r="K38" i="16" s="1"/>
  <c r="R38" i="16"/>
  <c r="S38" i="16"/>
  <c r="G20" i="16"/>
  <c r="K20" i="16" s="1"/>
  <c r="R20" i="16"/>
  <c r="S20" i="16"/>
  <c r="G21" i="16"/>
  <c r="K21" i="16" s="1"/>
  <c r="R21" i="16"/>
  <c r="S21" i="16"/>
  <c r="G13" i="16"/>
  <c r="M13" i="16" s="1"/>
  <c r="B13" i="16" s="1" a="1"/>
  <c r="B13" i="16" s="1"/>
  <c r="R13" i="16"/>
  <c r="S13" i="16"/>
  <c r="G11" i="16"/>
  <c r="M11" i="16" s="1"/>
  <c r="B11" i="16" s="1" a="1"/>
  <c r="B11" i="16" s="1"/>
  <c r="R11" i="16"/>
  <c r="S11" i="16"/>
  <c r="G42" i="16"/>
  <c r="M42" i="16" s="1"/>
  <c r="G18" i="15"/>
  <c r="K18" i="15" s="1"/>
  <c r="R18" i="15"/>
  <c r="S18" i="15"/>
  <c r="G17" i="15"/>
  <c r="M17" i="15" s="1"/>
  <c r="B17" i="15" s="1" a="1"/>
  <c r="B17" i="15" s="1"/>
  <c r="R17" i="15"/>
  <c r="S17" i="15"/>
  <c r="G16" i="15"/>
  <c r="M16" i="15" s="1"/>
  <c r="B16" i="15" s="1" a="1"/>
  <c r="B16" i="15" s="1"/>
  <c r="R16" i="15"/>
  <c r="S16" i="15"/>
  <c r="G19" i="15"/>
  <c r="L19" i="15" s="1"/>
  <c r="R19" i="15"/>
  <c r="S19" i="15"/>
  <c r="G14" i="15"/>
  <c r="K14" i="15" s="1"/>
  <c r="R14" i="15"/>
  <c r="S14" i="15"/>
  <c r="G15" i="15"/>
  <c r="K15" i="15" s="1"/>
  <c r="R15" i="15"/>
  <c r="S15" i="15"/>
  <c r="G7" i="15"/>
  <c r="K7" i="15" s="1"/>
  <c r="R7" i="15"/>
  <c r="S7" i="15"/>
  <c r="G8" i="15"/>
  <c r="L8" i="15" s="1"/>
  <c r="R8" i="15"/>
  <c r="S8" i="15"/>
  <c r="G11" i="15"/>
  <c r="K11" i="15" s="1"/>
  <c r="R11" i="15"/>
  <c r="S11" i="15"/>
  <c r="G12" i="15"/>
  <c r="M12" i="15" s="1"/>
  <c r="B12" i="15" s="1" a="1"/>
  <c r="B12" i="15" s="1"/>
  <c r="R12" i="15"/>
  <c r="S12" i="15"/>
  <c r="G4" i="15"/>
  <c r="L4" i="15" s="1"/>
  <c r="R4" i="15"/>
  <c r="S4" i="15"/>
  <c r="G5" i="15"/>
  <c r="K5" i="15" s="1"/>
  <c r="R5" i="15"/>
  <c r="S5" i="15"/>
  <c r="G6" i="15"/>
  <c r="K6" i="15" s="1"/>
  <c r="R6" i="15"/>
  <c r="S6" i="15"/>
  <c r="G9" i="15"/>
  <c r="K9" i="15" s="1"/>
  <c r="R9" i="15"/>
  <c r="S9" i="15"/>
  <c r="G10" i="15"/>
  <c r="K10" i="15" s="1"/>
  <c r="R10" i="15"/>
  <c r="S10" i="15"/>
  <c r="G3" i="15"/>
  <c r="K3" i="15" s="1"/>
  <c r="R3" i="15"/>
  <c r="S3" i="15"/>
  <c r="G13" i="15"/>
  <c r="K13" i="15" s="1"/>
  <c r="G43" i="6"/>
  <c r="L43" i="6" s="1"/>
  <c r="G47" i="6"/>
  <c r="L47" i="6" s="1"/>
  <c r="G48" i="6"/>
  <c r="L48" i="6" s="1"/>
  <c r="G49" i="6"/>
  <c r="M49" i="6" s="1"/>
  <c r="B49" i="6" s="1" a="1"/>
  <c r="B49" i="6" s="1"/>
  <c r="G46" i="6"/>
  <c r="L46" i="6" s="1"/>
  <c r="G38" i="6"/>
  <c r="M38" i="6" s="1"/>
  <c r="B38" i="6" s="1" a="1"/>
  <c r="B38" i="6" s="1"/>
  <c r="G35" i="6"/>
  <c r="M35" i="6" s="1"/>
  <c r="B35" i="6" s="1" a="1"/>
  <c r="B35" i="6" s="1"/>
  <c r="G39" i="6"/>
  <c r="M39" i="6" s="1"/>
  <c r="B39" i="6" s="1" a="1"/>
  <c r="B39" i="6" s="1"/>
  <c r="G41" i="6"/>
  <c r="M41" i="6" s="1"/>
  <c r="B41" i="6" s="1" a="1"/>
  <c r="B41" i="6" s="1"/>
  <c r="G40" i="6"/>
  <c r="L40" i="6" s="1"/>
  <c r="G22" i="6"/>
  <c r="L22" i="6" s="1"/>
  <c r="G25" i="6"/>
  <c r="M25" i="6" s="1"/>
  <c r="B25" i="6" s="1" a="1"/>
  <c r="B25" i="6" s="1"/>
  <c r="G26" i="6"/>
  <c r="L26" i="6" s="1"/>
  <c r="G23" i="6"/>
  <c r="M23" i="6" s="1"/>
  <c r="B23" i="6" s="1" a="1"/>
  <c r="B23" i="6" s="1"/>
  <c r="G27" i="6"/>
  <c r="M27" i="6" s="1"/>
  <c r="B27" i="6" s="1" a="1"/>
  <c r="B27" i="6" s="1"/>
  <c r="G20" i="6"/>
  <c r="M20" i="6" s="1"/>
  <c r="B20" i="6" s="1" a="1"/>
  <c r="B20" i="6" s="1"/>
  <c r="G24" i="6"/>
  <c r="M24" i="6" s="1"/>
  <c r="B24" i="6" s="1" a="1"/>
  <c r="B24" i="6" s="1"/>
  <c r="G42" i="6"/>
  <c r="L42" i="6" s="1"/>
  <c r="G45" i="6"/>
  <c r="L45" i="6" s="1"/>
  <c r="G34" i="6"/>
  <c r="M34" i="6" s="1"/>
  <c r="B34" i="6" s="1" a="1"/>
  <c r="B34" i="6" s="1"/>
  <c r="G33" i="6"/>
  <c r="L33" i="6" s="1"/>
  <c r="G36" i="6"/>
  <c r="M36" i="6" s="1"/>
  <c r="B36" i="6" s="1" a="1"/>
  <c r="B36" i="6" s="1"/>
  <c r="G37" i="6"/>
  <c r="M37" i="6" s="1"/>
  <c r="B37" i="6" s="1" a="1"/>
  <c r="B37" i="6" s="1"/>
  <c r="G32" i="6"/>
  <c r="K32" i="6" s="1"/>
  <c r="G8" i="6"/>
  <c r="M8" i="6" s="1"/>
  <c r="G5" i="6"/>
  <c r="L5" i="6" s="1"/>
  <c r="G9" i="6"/>
  <c r="L9" i="6" s="1"/>
  <c r="G12" i="6"/>
  <c r="M12" i="6" s="1"/>
  <c r="G13" i="6"/>
  <c r="L13" i="6" s="1"/>
  <c r="G15" i="6"/>
  <c r="M15" i="6" s="1"/>
  <c r="G17" i="6"/>
  <c r="M17" i="6" s="1"/>
  <c r="G16" i="6"/>
  <c r="M16" i="6" s="1"/>
  <c r="G18" i="6"/>
  <c r="M18" i="6" s="1"/>
  <c r="B18" i="6" s="1" a="1"/>
  <c r="B18" i="6" s="1"/>
  <c r="G28" i="6"/>
  <c r="L28" i="6" s="1"/>
  <c r="G29" i="6"/>
  <c r="M29" i="6" s="1"/>
  <c r="B29" i="6" s="1" a="1"/>
  <c r="B29" i="6" s="1"/>
  <c r="G21" i="6"/>
  <c r="L21" i="6" s="1"/>
  <c r="G30" i="6"/>
  <c r="M30" i="6" s="1"/>
  <c r="B30" i="6" s="1" a="1"/>
  <c r="B30" i="6" s="1"/>
  <c r="G3" i="6"/>
  <c r="M3" i="6" s="1"/>
  <c r="G4" i="6"/>
  <c r="M4" i="6" s="1"/>
  <c r="G6" i="6"/>
  <c r="L6" i="6" s="1"/>
  <c r="G10" i="6"/>
  <c r="M10" i="6" s="1"/>
  <c r="G19" i="6"/>
  <c r="G11" i="6"/>
  <c r="M11" i="6" s="1"/>
  <c r="G7" i="6"/>
  <c r="M7" i="6" s="1"/>
  <c r="G14" i="6"/>
  <c r="L14" i="6" s="1"/>
  <c r="G31" i="6"/>
  <c r="M31" i="6" s="1"/>
  <c r="B31" i="6" s="1" a="1"/>
  <c r="B31" i="6" s="1"/>
  <c r="G44" i="6"/>
  <c r="L44" i="6" s="1"/>
  <c r="R29" i="6"/>
  <c r="S29" i="6"/>
  <c r="R21" i="6"/>
  <c r="S21" i="6"/>
  <c r="R30" i="6"/>
  <c r="S30" i="6"/>
  <c r="R3" i="6"/>
  <c r="S3" i="6"/>
  <c r="R4" i="6"/>
  <c r="S4" i="6"/>
  <c r="R6" i="6"/>
  <c r="S6" i="6"/>
  <c r="R10" i="6"/>
  <c r="S10" i="6"/>
  <c r="R19" i="6"/>
  <c r="S19" i="6"/>
  <c r="R11" i="6"/>
  <c r="S11" i="6"/>
  <c r="R7" i="6"/>
  <c r="S7" i="6"/>
  <c r="R14" i="6"/>
  <c r="S14" i="6"/>
  <c r="R31" i="6"/>
  <c r="S31" i="6"/>
  <c r="R47" i="6"/>
  <c r="S47" i="6"/>
  <c r="R48" i="6"/>
  <c r="S48" i="6"/>
  <c r="R49" i="6"/>
  <c r="S49" i="6"/>
  <c r="R46" i="6"/>
  <c r="S46" i="6"/>
  <c r="R38" i="6"/>
  <c r="S38" i="6"/>
  <c r="R35" i="6"/>
  <c r="S35" i="6"/>
  <c r="R39" i="6"/>
  <c r="S39" i="6"/>
  <c r="R41" i="6"/>
  <c r="S41" i="6"/>
  <c r="R40" i="6"/>
  <c r="S40" i="6"/>
  <c r="R22" i="6"/>
  <c r="S22" i="6"/>
  <c r="R25" i="6"/>
  <c r="S25" i="6"/>
  <c r="R26" i="6"/>
  <c r="S26" i="6"/>
  <c r="R23" i="6"/>
  <c r="S23" i="6"/>
  <c r="R27" i="6"/>
  <c r="S27" i="6"/>
  <c r="R20" i="6"/>
  <c r="S20" i="6"/>
  <c r="R24" i="6"/>
  <c r="S24" i="6"/>
  <c r="R42" i="6"/>
  <c r="S42" i="6"/>
  <c r="R45" i="6"/>
  <c r="S45" i="6"/>
  <c r="R34" i="6"/>
  <c r="S34" i="6"/>
  <c r="R33" i="6"/>
  <c r="S33" i="6"/>
  <c r="R36" i="6"/>
  <c r="S36" i="6"/>
  <c r="R37" i="6"/>
  <c r="S37" i="6"/>
  <c r="R32" i="6"/>
  <c r="S32" i="6"/>
  <c r="R8" i="6"/>
  <c r="S8" i="6"/>
  <c r="R5" i="6"/>
  <c r="S5" i="6"/>
  <c r="R9" i="6"/>
  <c r="S9" i="6"/>
  <c r="R12" i="6"/>
  <c r="S12" i="6"/>
  <c r="R13" i="6"/>
  <c r="S13" i="6"/>
  <c r="R15" i="6"/>
  <c r="S15" i="6"/>
  <c r="R17" i="6"/>
  <c r="S17" i="6"/>
  <c r="R16" i="6"/>
  <c r="S16" i="6"/>
  <c r="R18" i="6"/>
  <c r="S18" i="6"/>
  <c r="R28" i="6"/>
  <c r="S28" i="6"/>
  <c r="G15" i="14"/>
  <c r="M15" i="14" s="1"/>
  <c r="B15" i="14" s="1" a="1"/>
  <c r="B15" i="14" s="1"/>
  <c r="R15" i="14"/>
  <c r="S15" i="14"/>
  <c r="G16" i="14"/>
  <c r="K16" i="14" s="1"/>
  <c r="R16" i="14"/>
  <c r="S16" i="14"/>
  <c r="G10" i="14"/>
  <c r="K10" i="14" s="1"/>
  <c r="R10" i="14"/>
  <c r="S10" i="14"/>
  <c r="G20" i="14"/>
  <c r="L20" i="14" s="1"/>
  <c r="R20" i="14"/>
  <c r="S20" i="14"/>
  <c r="G25" i="14"/>
  <c r="K25" i="14" s="1"/>
  <c r="R25" i="14"/>
  <c r="S25" i="14"/>
  <c r="G31" i="14"/>
  <c r="K31" i="14" s="1"/>
  <c r="R31" i="14"/>
  <c r="S31" i="14"/>
  <c r="G32" i="14"/>
  <c r="K32" i="14" s="1"/>
  <c r="R32" i="14"/>
  <c r="S32" i="14"/>
  <c r="G3" i="14"/>
  <c r="K3" i="14" s="1"/>
  <c r="R3" i="14"/>
  <c r="S3" i="14"/>
  <c r="G4" i="14"/>
  <c r="M4" i="14" s="1"/>
  <c r="R4" i="14"/>
  <c r="S4" i="14"/>
  <c r="G8" i="14"/>
  <c r="L8" i="14" s="1"/>
  <c r="R8" i="14"/>
  <c r="S8" i="14"/>
  <c r="G5" i="14"/>
  <c r="K5" i="14" s="1"/>
  <c r="R5" i="14"/>
  <c r="S5" i="14"/>
  <c r="G7" i="14"/>
  <c r="K7" i="14" s="1"/>
  <c r="R7" i="14"/>
  <c r="S7" i="14"/>
  <c r="G6" i="14"/>
  <c r="K6" i="14" s="1"/>
  <c r="R6" i="14"/>
  <c r="S6" i="14"/>
  <c r="G28" i="14"/>
  <c r="M28" i="14" s="1"/>
  <c r="B28" i="14" s="1" a="1"/>
  <c r="B28" i="14" s="1"/>
  <c r="R28" i="14"/>
  <c r="S28" i="14"/>
  <c r="G49" i="14"/>
  <c r="K49" i="14" s="1"/>
  <c r="R49" i="14"/>
  <c r="S49" i="14"/>
  <c r="G50" i="14"/>
  <c r="M50" i="14" s="1"/>
  <c r="B50" i="14" s="1" a="1"/>
  <c r="B50" i="14" s="1"/>
  <c r="R50" i="14"/>
  <c r="S50" i="14"/>
  <c r="G46" i="14"/>
  <c r="K46" i="14" s="1"/>
  <c r="R46" i="14"/>
  <c r="S46" i="14"/>
  <c r="G40" i="14"/>
  <c r="K40" i="14" s="1"/>
  <c r="R40" i="14"/>
  <c r="S40" i="14"/>
  <c r="G41" i="14"/>
  <c r="L41" i="14" s="1"/>
  <c r="R41" i="14"/>
  <c r="S41" i="14"/>
  <c r="G36" i="14"/>
  <c r="K36" i="14" s="1"/>
  <c r="R36" i="14"/>
  <c r="S36" i="14"/>
  <c r="G42" i="14"/>
  <c r="K42" i="14" s="1"/>
  <c r="R42" i="14"/>
  <c r="S42" i="14"/>
  <c r="G39" i="14"/>
  <c r="K39" i="14" s="1"/>
  <c r="R39" i="14"/>
  <c r="S39" i="14"/>
  <c r="G43" i="14"/>
  <c r="K43" i="14" s="1"/>
  <c r="R43" i="14"/>
  <c r="S43" i="14"/>
  <c r="G38" i="14"/>
  <c r="M38" i="14" s="1"/>
  <c r="B38" i="14" s="1" a="1"/>
  <c r="B38" i="14" s="1"/>
  <c r="R38" i="14"/>
  <c r="S38" i="14"/>
  <c r="G44" i="14"/>
  <c r="K44" i="14" s="1"/>
  <c r="R44" i="14"/>
  <c r="S44" i="14"/>
  <c r="G17" i="14"/>
  <c r="K17" i="14" s="1"/>
  <c r="R17" i="14"/>
  <c r="S17" i="14"/>
  <c r="G18" i="14"/>
  <c r="L18" i="14" s="1"/>
  <c r="R18" i="14"/>
  <c r="S18" i="14"/>
  <c r="G19" i="14"/>
  <c r="K19" i="14" s="1"/>
  <c r="R19" i="14"/>
  <c r="S19" i="14"/>
  <c r="G24" i="14"/>
  <c r="K24" i="14" s="1"/>
  <c r="R24" i="14"/>
  <c r="S24" i="14"/>
  <c r="G21" i="14"/>
  <c r="K21" i="14" s="1"/>
  <c r="R21" i="14"/>
  <c r="S21" i="14"/>
  <c r="G26" i="14"/>
  <c r="K26" i="14" s="1"/>
  <c r="R26" i="14"/>
  <c r="S26" i="14"/>
  <c r="G27" i="14"/>
  <c r="M27" i="14" s="1"/>
  <c r="B27" i="14" s="1" a="1"/>
  <c r="B27" i="14" s="1"/>
  <c r="R27" i="14"/>
  <c r="S27" i="14"/>
  <c r="G13" i="14"/>
  <c r="K13" i="14" s="1"/>
  <c r="R13" i="14"/>
  <c r="S13" i="14"/>
  <c r="G23" i="14"/>
  <c r="K23" i="14" s="1"/>
  <c r="R23" i="14"/>
  <c r="S23" i="14"/>
  <c r="G22" i="14"/>
  <c r="L22" i="14" s="1"/>
  <c r="R22" i="14"/>
  <c r="S22" i="14"/>
  <c r="G29" i="14"/>
  <c r="K29" i="14" s="1"/>
  <c r="R29" i="14"/>
  <c r="S29" i="14"/>
  <c r="G30" i="14"/>
  <c r="K30" i="14" s="1"/>
  <c r="R30" i="14"/>
  <c r="S30" i="14"/>
  <c r="G47" i="14"/>
  <c r="K47" i="14" s="1"/>
  <c r="R47" i="14"/>
  <c r="S47" i="14"/>
  <c r="G48" i="14"/>
  <c r="K48" i="14" s="1"/>
  <c r="R48" i="14"/>
  <c r="S48" i="14"/>
  <c r="G34" i="14"/>
  <c r="M34" i="14" s="1"/>
  <c r="R34" i="14"/>
  <c r="S34" i="14"/>
  <c r="G35" i="14"/>
  <c r="K35" i="14" s="1"/>
  <c r="R35" i="14"/>
  <c r="S35" i="14"/>
  <c r="G37" i="14"/>
  <c r="K37" i="14" s="1"/>
  <c r="R37" i="14"/>
  <c r="S37" i="14"/>
  <c r="G9" i="14"/>
  <c r="L9" i="14" s="1"/>
  <c r="R9" i="14"/>
  <c r="S9" i="14"/>
  <c r="G11" i="14"/>
  <c r="M11" i="14" s="1"/>
  <c r="R11" i="14"/>
  <c r="S11" i="14"/>
  <c r="G12" i="14"/>
  <c r="K12" i="14" s="1"/>
  <c r="R12" i="14"/>
  <c r="S12" i="14"/>
  <c r="G14" i="14"/>
  <c r="M14" i="14" s="1"/>
  <c r="B14" i="14" s="1" a="1"/>
  <c r="B14" i="14" s="1"/>
  <c r="R14" i="14"/>
  <c r="S14" i="14"/>
  <c r="G45" i="14"/>
  <c r="M45" i="14" s="1"/>
  <c r="G33" i="14"/>
  <c r="K33" i="14" s="1"/>
  <c r="S42" i="16"/>
  <c r="R42" i="16"/>
  <c r="S13" i="15"/>
  <c r="R13" i="15"/>
  <c r="S33" i="14"/>
  <c r="R33" i="14"/>
  <c r="S45" i="14"/>
  <c r="R45" i="14"/>
  <c r="R43" i="6"/>
  <c r="S43" i="6"/>
  <c r="S44" i="6"/>
  <c r="R44" i="6"/>
  <c r="R3" i="13"/>
  <c r="S3" i="13"/>
  <c r="G3" i="13"/>
  <c r="M3" i="13" s="1"/>
  <c r="R3" i="12"/>
  <c r="S3" i="12"/>
  <c r="G3" i="12"/>
  <c r="K3" i="12" s="1"/>
  <c r="S45" i="11"/>
  <c r="G45" i="11"/>
  <c r="M45" i="11" s="1"/>
  <c r="G49" i="3"/>
  <c r="G35" i="3"/>
  <c r="S49" i="3"/>
  <c r="S35" i="3"/>
  <c r="A15" i="14" l="1" a="1"/>
  <c r="A15" i="14" s="1"/>
  <c r="Q15" i="14" s="1"/>
  <c r="A50" i="14" a="1"/>
  <c r="A50" i="14" s="1"/>
  <c r="Q50" i="14" s="1"/>
  <c r="A28" i="14" a="1"/>
  <c r="A28" i="14" s="1"/>
  <c r="Q28" i="14" s="1"/>
  <c r="A27" i="14" a="1"/>
  <c r="A27" i="14" s="1"/>
  <c r="Q27" i="14" s="1"/>
  <c r="A38" i="14" a="1"/>
  <c r="A38" i="14" s="1"/>
  <c r="Q38" i="14" s="1"/>
  <c r="A14" i="14" a="1"/>
  <c r="A14" i="14" s="1"/>
  <c r="Q14" i="14" s="1"/>
  <c r="A30" i="6" a="1"/>
  <c r="A30" i="6" s="1"/>
  <c r="Q30" i="6" s="1"/>
  <c r="A34" i="6" a="1"/>
  <c r="A34" i="6" s="1"/>
  <c r="Q34" i="6" s="1"/>
  <c r="A29" i="6" a="1"/>
  <c r="A29" i="6" s="1"/>
  <c r="Q29" i="6" s="1"/>
  <c r="A25" i="6" a="1"/>
  <c r="A25" i="6" s="1"/>
  <c r="Q25" i="6" s="1"/>
  <c r="A49" i="6" a="1"/>
  <c r="A49" i="6" s="1"/>
  <c r="Q49" i="6" s="1"/>
  <c r="A36" i="6" a="1"/>
  <c r="A36" i="6" s="1"/>
  <c r="Q36" i="6" s="1"/>
  <c r="A23" i="6" a="1"/>
  <c r="A23" i="6" s="1"/>
  <c r="Q23" i="6" s="1"/>
  <c r="A18" i="6" a="1"/>
  <c r="A18" i="6" s="1"/>
  <c r="Q18" i="6" s="1"/>
  <c r="A24" i="6" a="1"/>
  <c r="A24" i="6" s="1"/>
  <c r="Q24" i="6" s="1"/>
  <c r="A38" i="6" a="1"/>
  <c r="A38" i="6" s="1"/>
  <c r="Q38" i="6" s="1"/>
  <c r="A37" i="6" a="1"/>
  <c r="A37" i="6" s="1"/>
  <c r="Q37" i="6" s="1"/>
  <c r="A39" i="6" a="1"/>
  <c r="A39" i="6" s="1"/>
  <c r="Q39" i="6" s="1"/>
  <c r="A35" i="6" a="1"/>
  <c r="A35" i="6" s="1"/>
  <c r="Q35" i="6" s="1"/>
  <c r="A41" i="6" a="1"/>
  <c r="A41" i="6" s="1"/>
  <c r="Q41" i="6" s="1"/>
  <c r="A31" i="6" a="1"/>
  <c r="A31" i="6" s="1"/>
  <c r="Q31" i="6" s="1"/>
  <c r="A20" i="6" a="1"/>
  <c r="A20" i="6" s="1"/>
  <c r="Q20" i="6" s="1"/>
  <c r="A27" i="6" a="1"/>
  <c r="A27" i="6" s="1"/>
  <c r="Q27" i="6" s="1"/>
  <c r="E35" i="17" s="1"/>
  <c r="F35" i="17" s="1"/>
  <c r="A18" i="16" a="1"/>
  <c r="A18" i="16" s="1"/>
  <c r="Q18" i="16" s="1"/>
  <c r="A14" i="16" a="1"/>
  <c r="A14" i="16" s="1"/>
  <c r="Q14" i="16" s="1"/>
  <c r="A35" i="16" a="1"/>
  <c r="A35" i="16" s="1"/>
  <c r="Q35" i="16" s="1"/>
  <c r="A16" i="16" a="1"/>
  <c r="A16" i="16" s="1"/>
  <c r="Q16" i="16" s="1"/>
  <c r="A13" i="16" a="1"/>
  <c r="A13" i="16" s="1"/>
  <c r="Q13" i="16" s="1"/>
  <c r="A11" i="16" a="1"/>
  <c r="A11" i="16" s="1"/>
  <c r="Q11" i="16" s="1"/>
  <c r="A23" i="16" a="1"/>
  <c r="A23" i="16" s="1"/>
  <c r="Q23" i="16" s="1"/>
  <c r="A16" i="15" a="1"/>
  <c r="A16" i="15" s="1"/>
  <c r="Q16" i="15" s="1"/>
  <c r="A17" i="15" a="1"/>
  <c r="A17" i="15" s="1"/>
  <c r="Q17" i="15" s="1"/>
  <c r="A12" i="15" a="1"/>
  <c r="A12" i="15" s="1"/>
  <c r="Q12" i="15" s="1"/>
  <c r="A31" i="11" a="1"/>
  <c r="A31" i="11" s="1"/>
  <c r="Q31" i="11" s="1"/>
  <c r="A10" i="11" a="1"/>
  <c r="A10" i="11" s="1"/>
  <c r="Q10" i="11" s="1"/>
  <c r="A27" i="11" a="1"/>
  <c r="A27" i="11" s="1"/>
  <c r="Q27" i="11" s="1"/>
  <c r="A29" i="11" a="1"/>
  <c r="A29" i="11" s="1"/>
  <c r="Q29" i="11" s="1"/>
  <c r="A12" i="11" a="1"/>
  <c r="A12" i="11" s="1"/>
  <c r="Q12" i="11" s="1"/>
  <c r="A34" i="11" a="1"/>
  <c r="A34" i="11" s="1"/>
  <c r="Q34" i="11" s="1"/>
  <c r="A25" i="11" a="1"/>
  <c r="A25" i="11" s="1"/>
  <c r="Q25" i="11" s="1"/>
  <c r="A9" i="11" a="1"/>
  <c r="A9" i="11" s="1"/>
  <c r="Q9" i="11" s="1"/>
  <c r="A16" i="3" a="1"/>
  <c r="A16" i="3" s="1"/>
  <c r="Q16" i="3" s="1"/>
  <c r="A32" i="3" a="1"/>
  <c r="A32" i="3" s="1"/>
  <c r="Q32" i="3" s="1"/>
  <c r="K55" i="11"/>
  <c r="K73" i="11"/>
  <c r="M70" i="11"/>
  <c r="K50" i="11"/>
  <c r="J15" i="3"/>
  <c r="J35" i="14"/>
  <c r="J13" i="14"/>
  <c r="J44" i="14"/>
  <c r="J46" i="14"/>
  <c r="J4" i="14"/>
  <c r="J15" i="14"/>
  <c r="J38" i="16"/>
  <c r="J8" i="16"/>
  <c r="M59" i="11"/>
  <c r="M49" i="11"/>
  <c r="M66" i="11"/>
  <c r="K53" i="11"/>
  <c r="K68" i="11"/>
  <c r="K46" i="11"/>
  <c r="J25" i="3"/>
  <c r="J21" i="14"/>
  <c r="J47" i="14"/>
  <c r="J39" i="14"/>
  <c r="J28" i="14"/>
  <c r="J31" i="14"/>
  <c r="J32" i="6"/>
  <c r="J20" i="6"/>
  <c r="J14" i="6"/>
  <c r="J16" i="6"/>
  <c r="J12" i="6"/>
  <c r="J34" i="6"/>
  <c r="J25" i="6"/>
  <c r="J39" i="6"/>
  <c r="J49" i="6"/>
  <c r="J30" i="6"/>
  <c r="J17" i="16"/>
  <c r="J3" i="16"/>
  <c r="J9" i="16"/>
  <c r="J32" i="16"/>
  <c r="J19" i="16"/>
  <c r="J42" i="16"/>
  <c r="J6" i="15"/>
  <c r="J10" i="15"/>
  <c r="J7" i="15"/>
  <c r="K63" i="11"/>
  <c r="K56" i="11"/>
  <c r="K77" i="11"/>
  <c r="K64" i="11"/>
  <c r="K54" i="11"/>
  <c r="M76" i="11"/>
  <c r="K48" i="11"/>
  <c r="M75" i="11"/>
  <c r="J18" i="14"/>
  <c r="J41" i="14"/>
  <c r="J5" i="14"/>
  <c r="J25" i="14"/>
  <c r="J37" i="14"/>
  <c r="J23" i="14"/>
  <c r="J17" i="14"/>
  <c r="J40" i="14"/>
  <c r="J8" i="14"/>
  <c r="J7" i="14"/>
  <c r="J9" i="14"/>
  <c r="J22" i="14"/>
  <c r="J12" i="14"/>
  <c r="J33" i="14"/>
  <c r="J11" i="15"/>
  <c r="J18" i="15"/>
  <c r="J9" i="15"/>
  <c r="J3" i="15"/>
  <c r="J8" i="15"/>
  <c r="J12" i="15"/>
  <c r="J17" i="15"/>
  <c r="J27" i="16"/>
  <c r="J25" i="16"/>
  <c r="J28" i="16"/>
  <c r="J29" i="16"/>
  <c r="J40" i="16"/>
  <c r="J12" i="16"/>
  <c r="J45" i="16"/>
  <c r="J14" i="16"/>
  <c r="J35" i="16"/>
  <c r="J19" i="6"/>
  <c r="J44" i="6"/>
  <c r="J43" i="6"/>
  <c r="J17" i="6"/>
  <c r="J9" i="6"/>
  <c r="J37" i="6"/>
  <c r="J45" i="6"/>
  <c r="J27" i="6"/>
  <c r="J22" i="6"/>
  <c r="J35" i="6"/>
  <c r="J48" i="6"/>
  <c r="J7" i="6"/>
  <c r="J6" i="6"/>
  <c r="J28" i="6"/>
  <c r="J15" i="6"/>
  <c r="J5" i="6"/>
  <c r="J36" i="6"/>
  <c r="J42" i="6"/>
  <c r="J23" i="6"/>
  <c r="J40" i="6"/>
  <c r="J38" i="6"/>
  <c r="J47" i="6"/>
  <c r="J11" i="6"/>
  <c r="J4" i="6"/>
  <c r="J12" i="3"/>
  <c r="J5" i="3"/>
  <c r="J45" i="14"/>
  <c r="J34" i="14"/>
  <c r="J27" i="14"/>
  <c r="J38" i="14"/>
  <c r="J50" i="14"/>
  <c r="J10" i="14"/>
  <c r="J11" i="14"/>
  <c r="J30" i="14"/>
  <c r="J24" i="14"/>
  <c r="J42" i="14"/>
  <c r="J6" i="14"/>
  <c r="J3" i="14"/>
  <c r="J48" i="14"/>
  <c r="J26" i="14"/>
  <c r="J43" i="14"/>
  <c r="J49" i="14"/>
  <c r="J16" i="14"/>
  <c r="J14" i="14"/>
  <c r="J29" i="14"/>
  <c r="J19" i="14"/>
  <c r="J36" i="14"/>
  <c r="J32" i="14"/>
  <c r="J20" i="14"/>
  <c r="J21" i="6"/>
  <c r="J18" i="6"/>
  <c r="J13" i="6"/>
  <c r="J33" i="6"/>
  <c r="J24" i="6"/>
  <c r="J26" i="6"/>
  <c r="J41" i="6"/>
  <c r="J46" i="6"/>
  <c r="J31" i="6"/>
  <c r="J10" i="6"/>
  <c r="J3" i="6"/>
  <c r="J29" i="6"/>
  <c r="J8" i="6"/>
  <c r="J37" i="16"/>
  <c r="J39" i="16"/>
  <c r="J21" i="16"/>
  <c r="J16" i="16"/>
  <c r="J24" i="16"/>
  <c r="J26" i="16"/>
  <c r="J6" i="16"/>
  <c r="J31" i="16"/>
  <c r="J10" i="16"/>
  <c r="J34" i="16"/>
  <c r="J44" i="16"/>
  <c r="J11" i="16"/>
  <c r="J22" i="16"/>
  <c r="J33" i="16"/>
  <c r="J5" i="16"/>
  <c r="J41" i="16"/>
  <c r="J20" i="16"/>
  <c r="J43" i="16"/>
  <c r="J36" i="16"/>
  <c r="J15" i="16"/>
  <c r="J4" i="16"/>
  <c r="A3" i="16" s="1" a="1"/>
  <c r="A3" i="16" s="1"/>
  <c r="J13" i="16"/>
  <c r="J18" i="16"/>
  <c r="J23" i="16"/>
  <c r="J30" i="16"/>
  <c r="J7" i="16"/>
  <c r="J46" i="16"/>
  <c r="J5" i="15"/>
  <c r="J15" i="15"/>
  <c r="J16" i="15"/>
  <c r="J13" i="15"/>
  <c r="J14" i="15"/>
  <c r="J4" i="15"/>
  <c r="J19" i="15"/>
  <c r="J23" i="3"/>
  <c r="J6" i="3"/>
  <c r="J9" i="3"/>
  <c r="J24" i="3"/>
  <c r="J26" i="3"/>
  <c r="J30" i="3"/>
  <c r="J13" i="3"/>
  <c r="J17" i="3"/>
  <c r="J8" i="3"/>
  <c r="J4" i="3"/>
  <c r="J22" i="3"/>
  <c r="J28" i="3"/>
  <c r="J18" i="3"/>
  <c r="J16" i="3"/>
  <c r="J32" i="3"/>
  <c r="J29" i="3"/>
  <c r="J14" i="3"/>
  <c r="J27" i="3"/>
  <c r="J7" i="3"/>
  <c r="J20" i="3"/>
  <c r="J31" i="3"/>
  <c r="J11" i="3"/>
  <c r="J33" i="3"/>
  <c r="J21" i="3"/>
  <c r="J3" i="3"/>
  <c r="J10" i="3"/>
  <c r="J19" i="3"/>
  <c r="D82" i="2" a="1"/>
  <c r="D82" i="2" s="1"/>
  <c r="D90" i="2" a="1"/>
  <c r="D90" i="2" s="1"/>
  <c r="D97" i="2" a="1"/>
  <c r="D97" i="2" s="1"/>
  <c r="D89" i="2" a="1"/>
  <c r="D89" i="2" s="1"/>
  <c r="D96" i="2" a="1"/>
  <c r="D96" i="2" s="1"/>
  <c r="D88" i="2" a="1"/>
  <c r="D88" i="2" s="1"/>
  <c r="D95" i="2" a="1"/>
  <c r="D95" i="2" s="1"/>
  <c r="D87" i="2" a="1"/>
  <c r="D87" i="2" s="1"/>
  <c r="D94" i="2" a="1"/>
  <c r="D94" i="2" s="1"/>
  <c r="D86" i="2" a="1"/>
  <c r="D86" i="2" s="1"/>
  <c r="D93" i="2" a="1"/>
  <c r="D93" i="2" s="1"/>
  <c r="D85" i="2" a="1"/>
  <c r="D85" i="2" s="1"/>
  <c r="Q3" i="13"/>
  <c r="D92" i="2" a="1"/>
  <c r="D92" i="2" s="1"/>
  <c r="D84" i="2" a="1"/>
  <c r="D84" i="2" s="1"/>
  <c r="D91" i="2" a="1"/>
  <c r="D91" i="2" s="1"/>
  <c r="D75" i="2" a="1"/>
  <c r="D75" i="2" s="1"/>
  <c r="D67" i="2" a="1"/>
  <c r="D67" i="2" s="1"/>
  <c r="D66" i="2" a="1"/>
  <c r="D66" i="2" s="1"/>
  <c r="D74" i="2" a="1"/>
  <c r="D74" i="2" s="1"/>
  <c r="D81" i="2" a="1"/>
  <c r="D81" i="2" s="1"/>
  <c r="D73" i="2" a="1"/>
  <c r="D73" i="2" s="1"/>
  <c r="D80" i="2" a="1"/>
  <c r="D80" i="2" s="1"/>
  <c r="D72" i="2" a="1"/>
  <c r="D72" i="2" s="1"/>
  <c r="D79" i="2" a="1"/>
  <c r="D79" i="2" s="1"/>
  <c r="D71" i="2" a="1"/>
  <c r="D71" i="2" s="1"/>
  <c r="D78" i="2" a="1"/>
  <c r="D78" i="2" s="1"/>
  <c r="D70" i="2" a="1"/>
  <c r="D70" i="2" s="1"/>
  <c r="D77" i="2" a="1"/>
  <c r="D77" i="2" s="1"/>
  <c r="D69" i="2" a="1"/>
  <c r="D69" i="2" s="1"/>
  <c r="D76" i="2" a="1"/>
  <c r="D76" i="2" s="1"/>
  <c r="R17" i="11"/>
  <c r="J17" i="11" s="1"/>
  <c r="R46" i="11"/>
  <c r="J46" i="11" s="1"/>
  <c r="K47" i="3"/>
  <c r="K26" i="3"/>
  <c r="M42" i="3"/>
  <c r="R64" i="11"/>
  <c r="J64" i="11" s="1"/>
  <c r="R43" i="11"/>
  <c r="J43" i="11" s="1"/>
  <c r="R56" i="11"/>
  <c r="J56" i="11" s="1"/>
  <c r="R30" i="11"/>
  <c r="J30" i="11" s="1"/>
  <c r="R55" i="11"/>
  <c r="J55" i="11" s="1"/>
  <c r="K49" i="3"/>
  <c r="K55" i="3"/>
  <c r="M15" i="3"/>
  <c r="K20" i="14"/>
  <c r="M24" i="14"/>
  <c r="M13" i="6"/>
  <c r="M33" i="6"/>
  <c r="M26" i="6"/>
  <c r="K44" i="6"/>
  <c r="L31" i="6"/>
  <c r="L25" i="6"/>
  <c r="L34" i="6"/>
  <c r="L16" i="16"/>
  <c r="M44" i="16"/>
  <c r="M11" i="15"/>
  <c r="L10" i="15"/>
  <c r="K12" i="15"/>
  <c r="R68" i="11"/>
  <c r="J68" i="11" s="1"/>
  <c r="R60" i="11"/>
  <c r="J60" i="11" s="1"/>
  <c r="R5" i="11"/>
  <c r="J5" i="11" s="1"/>
  <c r="R35" i="11"/>
  <c r="J35" i="11" s="1"/>
  <c r="R8" i="11"/>
  <c r="J8" i="11" s="1"/>
  <c r="R70" i="11"/>
  <c r="J70" i="11" s="1"/>
  <c r="M18" i="11"/>
  <c r="R22" i="11"/>
  <c r="J22" i="11" s="1"/>
  <c r="R16" i="11"/>
  <c r="J16" i="11" s="1"/>
  <c r="R49" i="11"/>
  <c r="J49" i="11" s="1"/>
  <c r="R47" i="11"/>
  <c r="J47" i="11" s="1"/>
  <c r="R40" i="11"/>
  <c r="J40" i="11" s="1"/>
  <c r="R26" i="11"/>
  <c r="J26" i="11" s="1"/>
  <c r="R12" i="11"/>
  <c r="J12" i="11" s="1"/>
  <c r="R34" i="11"/>
  <c r="J34" i="11" s="1"/>
  <c r="R25" i="11"/>
  <c r="J25" i="11" s="1"/>
  <c r="R9" i="11"/>
  <c r="J9" i="11" s="1"/>
  <c r="R58" i="11"/>
  <c r="J58" i="11" s="1"/>
  <c r="R72" i="11"/>
  <c r="J72" i="11" s="1"/>
  <c r="K23" i="11"/>
  <c r="K61" i="11"/>
  <c r="L36" i="11"/>
  <c r="K11" i="11"/>
  <c r="M5" i="3"/>
  <c r="M43" i="3"/>
  <c r="M36" i="3"/>
  <c r="M36" i="11"/>
  <c r="K47" i="11"/>
  <c r="K35" i="11"/>
  <c r="K29" i="11"/>
  <c r="L31" i="11"/>
  <c r="K31" i="11"/>
  <c r="R19" i="11"/>
  <c r="J19" i="11" s="1"/>
  <c r="R24" i="11"/>
  <c r="J24" i="11" s="1"/>
  <c r="R61" i="11"/>
  <c r="J61" i="11" s="1"/>
  <c r="K60" i="11"/>
  <c r="R29" i="3"/>
  <c r="R25" i="3"/>
  <c r="K28" i="3"/>
  <c r="R7" i="3"/>
  <c r="R23" i="3"/>
  <c r="R53" i="3"/>
  <c r="J53" i="3" s="1"/>
  <c r="R30" i="3"/>
  <c r="R33" i="3"/>
  <c r="M12" i="3"/>
  <c r="R4" i="3"/>
  <c r="R15" i="3"/>
  <c r="R51" i="3"/>
  <c r="J51" i="3" s="1"/>
  <c r="R24" i="3"/>
  <c r="M8" i="16"/>
  <c r="M45" i="16"/>
  <c r="M3" i="16"/>
  <c r="M4" i="16"/>
  <c r="A4" i="16" s="1" a="1"/>
  <c r="A4" i="16" s="1"/>
  <c r="M34" i="16"/>
  <c r="M29" i="16"/>
  <c r="L4" i="16"/>
  <c r="L34" i="16"/>
  <c r="K45" i="16"/>
  <c r="L44" i="16"/>
  <c r="L8" i="16"/>
  <c r="K27" i="16"/>
  <c r="K23" i="16"/>
  <c r="M33" i="16"/>
  <c r="M10" i="16"/>
  <c r="L35" i="16"/>
  <c r="L11" i="15"/>
  <c r="K19" i="15"/>
  <c r="L12" i="15"/>
  <c r="K8" i="15"/>
  <c r="M6" i="15"/>
  <c r="L6" i="15"/>
  <c r="L16" i="15"/>
  <c r="K16" i="15"/>
  <c r="L10" i="14"/>
  <c r="L17" i="14"/>
  <c r="K9" i="14"/>
  <c r="L38" i="14"/>
  <c r="M48" i="14"/>
  <c r="M43" i="14"/>
  <c r="L28" i="14"/>
  <c r="M30" i="14"/>
  <c r="M42" i="14"/>
  <c r="K8" i="14"/>
  <c r="L23" i="14"/>
  <c r="L40" i="14"/>
  <c r="L27" i="14"/>
  <c r="L50" i="14"/>
  <c r="L4" i="14"/>
  <c r="M26" i="14"/>
  <c r="M49" i="14"/>
  <c r="K22" i="14"/>
  <c r="K41" i="14"/>
  <c r="K28" i="14"/>
  <c r="L7" i="14"/>
  <c r="K4" i="14"/>
  <c r="L31" i="14"/>
  <c r="M10" i="14"/>
  <c r="K15" i="14"/>
  <c r="L11" i="14"/>
  <c r="M37" i="14"/>
  <c r="K34" i="14"/>
  <c r="L30" i="14"/>
  <c r="M23" i="14"/>
  <c r="K27" i="14"/>
  <c r="L24" i="14"/>
  <c r="M17" i="14"/>
  <c r="K38" i="14"/>
  <c r="L42" i="14"/>
  <c r="M40" i="14"/>
  <c r="K50" i="14"/>
  <c r="L15" i="14"/>
  <c r="L34" i="14"/>
  <c r="K18" i="14"/>
  <c r="M6" i="14"/>
  <c r="M3" i="14"/>
  <c r="L37" i="14"/>
  <c r="L6" i="14"/>
  <c r="M5" i="14"/>
  <c r="L3" i="14"/>
  <c r="M25" i="14"/>
  <c r="L14" i="14"/>
  <c r="L48" i="14"/>
  <c r="M29" i="14"/>
  <c r="L26" i="14"/>
  <c r="M19" i="14"/>
  <c r="L43" i="14"/>
  <c r="M36" i="14"/>
  <c r="L49" i="14"/>
  <c r="M7" i="14"/>
  <c r="K11" i="14"/>
  <c r="K45" i="14"/>
  <c r="L5" i="14"/>
  <c r="L25" i="14"/>
  <c r="M16" i="14"/>
  <c r="K14" i="14"/>
  <c r="M35" i="14"/>
  <c r="L29" i="14"/>
  <c r="M13" i="14"/>
  <c r="L19" i="14"/>
  <c r="M44" i="14"/>
  <c r="L36" i="14"/>
  <c r="M46" i="14"/>
  <c r="M31" i="14"/>
  <c r="L45" i="14"/>
  <c r="M32" i="14"/>
  <c r="L16" i="14"/>
  <c r="M12" i="14"/>
  <c r="L35" i="14"/>
  <c r="M47" i="14"/>
  <c r="A47" i="14" s="1" a="1"/>
  <c r="A47" i="14" s="1"/>
  <c r="L13" i="14"/>
  <c r="M21" i="14"/>
  <c r="L44" i="14"/>
  <c r="M39" i="14"/>
  <c r="L46" i="14"/>
  <c r="M33" i="14"/>
  <c r="B33" i="14" s="1" a="1"/>
  <c r="B33" i="14" s="1"/>
  <c r="M8" i="14"/>
  <c r="L32" i="14"/>
  <c r="M20" i="14"/>
  <c r="L12" i="14"/>
  <c r="M9" i="14"/>
  <c r="L47" i="14"/>
  <c r="M22" i="14"/>
  <c r="L21" i="14"/>
  <c r="M18" i="14"/>
  <c r="L39" i="14"/>
  <c r="M41" i="14"/>
  <c r="L33" i="14"/>
  <c r="L7" i="6"/>
  <c r="L24" i="6"/>
  <c r="L10" i="6"/>
  <c r="K21" i="6"/>
  <c r="L4" i="6"/>
  <c r="L41" i="6"/>
  <c r="M46" i="6"/>
  <c r="K13" i="6"/>
  <c r="L29" i="6"/>
  <c r="L49" i="6"/>
  <c r="K33" i="6"/>
  <c r="L18" i="6"/>
  <c r="M44" i="6"/>
  <c r="K26" i="6"/>
  <c r="L12" i="6"/>
  <c r="K46" i="6"/>
  <c r="L8" i="6"/>
  <c r="M21" i="6"/>
  <c r="K31" i="6"/>
  <c r="K10" i="6"/>
  <c r="K29" i="6"/>
  <c r="K12" i="6"/>
  <c r="K34" i="6"/>
  <c r="K25" i="6"/>
  <c r="K49" i="6"/>
  <c r="L3" i="6"/>
  <c r="L16" i="6"/>
  <c r="L32" i="6"/>
  <c r="L20" i="6"/>
  <c r="L39" i="6"/>
  <c r="K6" i="6"/>
  <c r="K28" i="6"/>
  <c r="K9" i="6"/>
  <c r="K45" i="6"/>
  <c r="K22" i="6"/>
  <c r="K48" i="6"/>
  <c r="L11" i="6"/>
  <c r="L30" i="6"/>
  <c r="L17" i="6"/>
  <c r="L37" i="6"/>
  <c r="L27" i="6"/>
  <c r="L35" i="6"/>
  <c r="M6" i="6"/>
  <c r="M28" i="6"/>
  <c r="M9" i="6"/>
  <c r="A9" i="6" s="1" a="1"/>
  <c r="A9" i="6" s="1"/>
  <c r="Q9" i="6" s="1"/>
  <c r="E2" i="17" s="1"/>
  <c r="F2" i="17" s="1"/>
  <c r="M45" i="6"/>
  <c r="M22" i="6"/>
  <c r="M48" i="6"/>
  <c r="K14" i="6"/>
  <c r="K5" i="6"/>
  <c r="K42" i="6"/>
  <c r="K40" i="6"/>
  <c r="K47" i="6"/>
  <c r="L19" i="6"/>
  <c r="L15" i="6"/>
  <c r="L36" i="6"/>
  <c r="L23" i="6"/>
  <c r="L38" i="6"/>
  <c r="M14" i="6"/>
  <c r="A14" i="6" s="1" a="1"/>
  <c r="A14" i="6" s="1"/>
  <c r="Q14" i="6" s="1"/>
  <c r="M5" i="6"/>
  <c r="M42" i="6"/>
  <c r="M40" i="6"/>
  <c r="M47" i="6"/>
  <c r="K7" i="6"/>
  <c r="K4" i="6"/>
  <c r="K18" i="6"/>
  <c r="K8" i="6"/>
  <c r="K24" i="6"/>
  <c r="K41" i="6"/>
  <c r="M32" i="6"/>
  <c r="K16" i="6"/>
  <c r="K20" i="6"/>
  <c r="K11" i="6"/>
  <c r="K30" i="6"/>
  <c r="K17" i="6"/>
  <c r="K37" i="6"/>
  <c r="K27" i="6"/>
  <c r="K35" i="6"/>
  <c r="K3" i="6"/>
  <c r="K39" i="6"/>
  <c r="K19" i="6"/>
  <c r="K15" i="6"/>
  <c r="K36" i="6"/>
  <c r="K23" i="6"/>
  <c r="K38" i="6"/>
  <c r="M19" i="6"/>
  <c r="K3" i="13"/>
  <c r="L3" i="13"/>
  <c r="M35" i="11"/>
  <c r="M21" i="11"/>
  <c r="K12" i="11"/>
  <c r="K15" i="11"/>
  <c r="K75" i="11"/>
  <c r="M60" i="11"/>
  <c r="L46" i="11"/>
  <c r="K52" i="11"/>
  <c r="L3" i="12"/>
  <c r="M3" i="12"/>
  <c r="M73" i="11"/>
  <c r="M55" i="11"/>
  <c r="L55" i="11"/>
  <c r="K13" i="11"/>
  <c r="M64" i="11"/>
  <c r="R31" i="11"/>
  <c r="J31" i="11" s="1"/>
  <c r="L22" i="3"/>
  <c r="R54" i="3"/>
  <c r="J54" i="3" s="1"/>
  <c r="M51" i="3"/>
  <c r="K23" i="3"/>
  <c r="M45" i="3"/>
  <c r="L16" i="3"/>
  <c r="R37" i="3"/>
  <c r="J37" i="3" s="1"/>
  <c r="L26" i="3"/>
  <c r="R48" i="3"/>
  <c r="J48" i="3" s="1"/>
  <c r="R32" i="3"/>
  <c r="R18" i="3"/>
  <c r="M35" i="3"/>
  <c r="K44" i="3"/>
  <c r="K19" i="3"/>
  <c r="R6" i="3"/>
  <c r="M46" i="3"/>
  <c r="A46" i="3" s="1" a="1"/>
  <c r="A46" i="3" s="1"/>
  <c r="K25" i="3"/>
  <c r="K39" i="3"/>
  <c r="K50" i="3"/>
  <c r="K31" i="3"/>
  <c r="K38" i="3"/>
  <c r="K46" i="3"/>
  <c r="M40" i="3"/>
  <c r="A40" i="3" s="1" a="1"/>
  <c r="A40" i="3" s="1"/>
  <c r="L15" i="3"/>
  <c r="K40" i="3"/>
  <c r="K15" i="3"/>
  <c r="M23" i="3"/>
  <c r="A23" i="3" s="1" a="1"/>
  <c r="A23" i="3" s="1"/>
  <c r="L23" i="3"/>
  <c r="M53" i="3"/>
  <c r="A53" i="3" s="1" a="1"/>
  <c r="A53" i="3" s="1"/>
  <c r="K53" i="3"/>
  <c r="R8" i="3"/>
  <c r="R28" i="3"/>
  <c r="K17" i="3"/>
  <c r="M11" i="3"/>
  <c r="K11" i="3"/>
  <c r="M28" i="3"/>
  <c r="L13" i="15"/>
  <c r="M13" i="15"/>
  <c r="M9" i="15"/>
  <c r="L9" i="15"/>
  <c r="L17" i="15"/>
  <c r="K16" i="16"/>
  <c r="K3" i="16"/>
  <c r="L10" i="16"/>
  <c r="K35" i="16"/>
  <c r="L14" i="16"/>
  <c r="M15" i="16"/>
  <c r="K14" i="16"/>
  <c r="L29" i="16"/>
  <c r="M43" i="16"/>
  <c r="L15" i="16"/>
  <c r="M12" i="16"/>
  <c r="M5" i="16"/>
  <c r="L43" i="16"/>
  <c r="K12" i="16"/>
  <c r="M25" i="16"/>
  <c r="M9" i="16"/>
  <c r="M32" i="16"/>
  <c r="L25" i="16"/>
  <c r="L9" i="16"/>
  <c r="L32" i="16"/>
  <c r="M41" i="16"/>
  <c r="L33" i="16"/>
  <c r="M30" i="16"/>
  <c r="L5" i="16"/>
  <c r="M7" i="16"/>
  <c r="A7" i="16" s="1" a="1"/>
  <c r="A7" i="16" s="1"/>
  <c r="Q7" i="16" s="1"/>
  <c r="L41" i="16"/>
  <c r="M46" i="16"/>
  <c r="L30" i="16"/>
  <c r="M26" i="16"/>
  <c r="L7" i="16"/>
  <c r="M6" i="16"/>
  <c r="A6" i="16" s="1" a="1"/>
  <c r="A6" i="16" s="1"/>
  <c r="L46" i="16"/>
  <c r="M31" i="16"/>
  <c r="L26" i="16"/>
  <c r="L6" i="16"/>
  <c r="L31" i="16"/>
  <c r="M38" i="16"/>
  <c r="L38" i="16"/>
  <c r="L18" i="16"/>
  <c r="M17" i="16"/>
  <c r="K18" i="16"/>
  <c r="K22" i="16"/>
  <c r="L11" i="16"/>
  <c r="R20" i="11"/>
  <c r="J20" i="11" s="1"/>
  <c r="R39" i="11"/>
  <c r="J39" i="11" s="1"/>
  <c r="R28" i="11"/>
  <c r="J28" i="11" s="1"/>
  <c r="R57" i="11"/>
  <c r="J57" i="11" s="1"/>
  <c r="R51" i="11"/>
  <c r="J51" i="11" s="1"/>
  <c r="R18" i="11"/>
  <c r="J18" i="11" s="1"/>
  <c r="R10" i="3"/>
  <c r="R42" i="3"/>
  <c r="J42" i="3" s="1"/>
  <c r="R55" i="3"/>
  <c r="J55" i="3" s="1"/>
  <c r="R14" i="11"/>
  <c r="J14" i="11" s="1"/>
  <c r="R4" i="11"/>
  <c r="J4" i="11" s="1"/>
  <c r="R11" i="11"/>
  <c r="J11" i="11" s="1"/>
  <c r="R69" i="11"/>
  <c r="J69" i="11" s="1"/>
  <c r="R67" i="11"/>
  <c r="J67" i="11" s="1"/>
  <c r="R63" i="11"/>
  <c r="J63" i="11" s="1"/>
  <c r="R29" i="11"/>
  <c r="J29" i="11" s="1"/>
  <c r="R7" i="11"/>
  <c r="J7" i="11" s="1"/>
  <c r="R65" i="11"/>
  <c r="J65" i="11" s="1"/>
  <c r="R75" i="11"/>
  <c r="J75" i="11" s="1"/>
  <c r="R44" i="11"/>
  <c r="J44" i="11" s="1"/>
  <c r="R41" i="11"/>
  <c r="J41" i="11" s="1"/>
  <c r="R76" i="11"/>
  <c r="J76" i="11" s="1"/>
  <c r="R73" i="11"/>
  <c r="J73" i="11" s="1"/>
  <c r="R3" i="11"/>
  <c r="J3" i="11" s="1"/>
  <c r="R33" i="11"/>
  <c r="J33" i="11" s="1"/>
  <c r="R32" i="11"/>
  <c r="J32" i="11" s="1"/>
  <c r="M65" i="11"/>
  <c r="R54" i="11"/>
  <c r="J54" i="11" s="1"/>
  <c r="R74" i="11"/>
  <c r="J74" i="11" s="1"/>
  <c r="R50" i="11"/>
  <c r="J50" i="11" s="1"/>
  <c r="M44" i="11"/>
  <c r="R23" i="11"/>
  <c r="J23" i="11" s="1"/>
  <c r="L65" i="11"/>
  <c r="L44" i="11"/>
  <c r="M39" i="11"/>
  <c r="K40" i="11"/>
  <c r="M33" i="11"/>
  <c r="M13" i="11"/>
  <c r="L64" i="11"/>
  <c r="R53" i="11"/>
  <c r="J53" i="11" s="1"/>
  <c r="R71" i="11"/>
  <c r="J71" i="11" s="1"/>
  <c r="K39" i="11"/>
  <c r="R36" i="11"/>
  <c r="J36" i="11" s="1"/>
  <c r="L33" i="11"/>
  <c r="M28" i="11"/>
  <c r="K26" i="11"/>
  <c r="M23" i="11"/>
  <c r="L12" i="11"/>
  <c r="K37" i="11"/>
  <c r="L66" i="11"/>
  <c r="K62" i="11"/>
  <c r="K43" i="11"/>
  <c r="K28" i="11"/>
  <c r="M11" i="11"/>
  <c r="L70" i="11"/>
  <c r="L34" i="11"/>
  <c r="L25" i="11"/>
  <c r="K18" i="11"/>
  <c r="L9" i="11"/>
  <c r="M50" i="11"/>
  <c r="K70" i="11"/>
  <c r="M43" i="11"/>
  <c r="K34" i="11"/>
  <c r="K25" i="11"/>
  <c r="M17" i="11"/>
  <c r="K9" i="11"/>
  <c r="L50" i="11"/>
  <c r="M71" i="11"/>
  <c r="L43" i="11"/>
  <c r="M30" i="11"/>
  <c r="M24" i="11"/>
  <c r="L17" i="11"/>
  <c r="L71" i="11"/>
  <c r="M41" i="11"/>
  <c r="L30" i="11"/>
  <c r="M32" i="11"/>
  <c r="L24" i="11"/>
  <c r="M14" i="11"/>
  <c r="K17" i="11"/>
  <c r="M47" i="11"/>
  <c r="K71" i="11"/>
  <c r="L41" i="11"/>
  <c r="M40" i="11"/>
  <c r="K30" i="11"/>
  <c r="L32" i="11"/>
  <c r="M26" i="11"/>
  <c r="K24" i="11"/>
  <c r="L14" i="11"/>
  <c r="L6" i="11"/>
  <c r="L68" i="11"/>
  <c r="R66" i="11"/>
  <c r="J66" i="11" s="1"/>
  <c r="L49" i="11"/>
  <c r="L76" i="11"/>
  <c r="K74" i="11"/>
  <c r="L42" i="11"/>
  <c r="K6" i="11"/>
  <c r="K69" i="11"/>
  <c r="M58" i="11"/>
  <c r="K49" i="11"/>
  <c r="K76" i="11"/>
  <c r="R37" i="11"/>
  <c r="J37" i="11" s="1"/>
  <c r="R27" i="11"/>
  <c r="J27" i="11" s="1"/>
  <c r="K66" i="11"/>
  <c r="R62" i="11"/>
  <c r="J62" i="11" s="1"/>
  <c r="R59" i="11"/>
  <c r="J59" i="11" s="1"/>
  <c r="M20" i="11"/>
  <c r="M54" i="11"/>
  <c r="R10" i="11"/>
  <c r="J10" i="11" s="1"/>
  <c r="M3" i="11"/>
  <c r="R38" i="11"/>
  <c r="J38" i="11" s="1"/>
  <c r="M22" i="11"/>
  <c r="M37" i="11"/>
  <c r="L27" i="11"/>
  <c r="L20" i="11"/>
  <c r="R21" i="11"/>
  <c r="J21" i="11" s="1"/>
  <c r="R15" i="11"/>
  <c r="J15" i="11" s="1"/>
  <c r="M8" i="11"/>
  <c r="R48" i="11"/>
  <c r="J48" i="11" s="1"/>
  <c r="M62" i="11"/>
  <c r="L59" i="11"/>
  <c r="L54" i="11"/>
  <c r="R52" i="11"/>
  <c r="J52" i="11" s="1"/>
  <c r="M53" i="11"/>
  <c r="R77" i="11"/>
  <c r="J77" i="11" s="1"/>
  <c r="L73" i="11"/>
  <c r="L3" i="11"/>
  <c r="R42" i="11"/>
  <c r="J42" i="11" s="1"/>
  <c r="L22" i="11"/>
  <c r="K27" i="11"/>
  <c r="R13" i="11"/>
  <c r="J13" i="11" s="1"/>
  <c r="L8" i="11"/>
  <c r="R6" i="11"/>
  <c r="J6" i="11" s="1"/>
  <c r="K59" i="11"/>
  <c r="L53" i="11"/>
  <c r="M46" i="11"/>
  <c r="A46" i="11" s="1" a="1"/>
  <c r="A46" i="11" s="1"/>
  <c r="L10" i="11"/>
  <c r="K38" i="11"/>
  <c r="M68" i="11"/>
  <c r="M42" i="11"/>
  <c r="M21" i="3"/>
  <c r="A21" i="3" s="1" a="1"/>
  <c r="A21" i="3" s="1"/>
  <c r="R9" i="3"/>
  <c r="R47" i="3"/>
  <c r="J47" i="3" s="1"/>
  <c r="R27" i="3"/>
  <c r="R11" i="3"/>
  <c r="R45" i="3"/>
  <c r="J45" i="3" s="1"/>
  <c r="M41" i="3"/>
  <c r="A41" i="3" s="1" a="1"/>
  <c r="A41" i="3" s="1"/>
  <c r="R40" i="3"/>
  <c r="J40" i="3" s="1"/>
  <c r="L30" i="3"/>
  <c r="M10" i="3"/>
  <c r="M34" i="3"/>
  <c r="R31" i="3"/>
  <c r="K30" i="3"/>
  <c r="L10" i="3"/>
  <c r="R17" i="3"/>
  <c r="K45" i="3"/>
  <c r="R3" i="3"/>
  <c r="R19" i="3"/>
  <c r="M29" i="3"/>
  <c r="K35" i="3"/>
  <c r="R26" i="3"/>
  <c r="R21" i="3"/>
  <c r="R39" i="3"/>
  <c r="J39" i="3" s="1"/>
  <c r="M3" i="3"/>
  <c r="L29" i="3"/>
  <c r="K20" i="3"/>
  <c r="K3" i="3"/>
  <c r="L32" i="3"/>
  <c r="K32" i="3"/>
  <c r="M30" i="3"/>
  <c r="M33" i="3"/>
  <c r="M31" i="3"/>
  <c r="L33" i="3"/>
  <c r="M19" i="3"/>
  <c r="M22" i="3"/>
  <c r="L12" i="3"/>
  <c r="K5" i="3"/>
  <c r="K18" i="3"/>
  <c r="K27" i="3"/>
  <c r="M26" i="3"/>
  <c r="A26" i="3" s="1" a="1"/>
  <c r="A26" i="3" s="1"/>
  <c r="L45" i="3"/>
  <c r="K36" i="3"/>
  <c r="K13" i="3"/>
  <c r="K4" i="3"/>
  <c r="R14" i="3"/>
  <c r="R43" i="3"/>
  <c r="J43" i="3" s="1"/>
  <c r="R20" i="3"/>
  <c r="R44" i="3"/>
  <c r="J44" i="3" s="1"/>
  <c r="L43" i="3"/>
  <c r="L42" i="3"/>
  <c r="R41" i="3"/>
  <c r="J41" i="3" s="1"/>
  <c r="R38" i="3"/>
  <c r="J38" i="3" s="1"/>
  <c r="R50" i="3"/>
  <c r="J50" i="3" s="1"/>
  <c r="R13" i="3"/>
  <c r="R22" i="3"/>
  <c r="R12" i="3"/>
  <c r="R5" i="3"/>
  <c r="K43" i="3"/>
  <c r="K42" i="3"/>
  <c r="R36" i="3"/>
  <c r="J36" i="3" s="1"/>
  <c r="R52" i="3"/>
  <c r="J52" i="3" s="1"/>
  <c r="M47" i="3"/>
  <c r="A47" i="3" s="1" a="1"/>
  <c r="A47" i="3" s="1"/>
  <c r="M27" i="3"/>
  <c r="A27" i="3" s="1" a="1"/>
  <c r="A27" i="3" s="1"/>
  <c r="M55" i="3"/>
  <c r="A55" i="3" s="1" a="1"/>
  <c r="A55" i="3" s="1"/>
  <c r="L51" i="3"/>
  <c r="R16" i="3"/>
  <c r="M13" i="3"/>
  <c r="M7" i="3"/>
  <c r="M4" i="3"/>
  <c r="L5" i="3"/>
  <c r="L47" i="3"/>
  <c r="R46" i="3"/>
  <c r="J46" i="3" s="1"/>
  <c r="R34" i="3"/>
  <c r="J34" i="3" s="1"/>
  <c r="L36" i="3"/>
  <c r="L55" i="3"/>
  <c r="K52" i="3"/>
  <c r="K51" i="3"/>
  <c r="L7" i="3"/>
  <c r="K16" i="3"/>
  <c r="M6" i="3"/>
  <c r="L6" i="3"/>
  <c r="M8" i="3"/>
  <c r="K6" i="3"/>
  <c r="L8" i="3"/>
  <c r="M54" i="3"/>
  <c r="A54" i="3" s="1" a="1"/>
  <c r="A54" i="3" s="1"/>
  <c r="M9" i="3"/>
  <c r="M24" i="3"/>
  <c r="A24" i="3" s="1" a="1"/>
  <c r="A24" i="3" s="1"/>
  <c r="M48" i="3"/>
  <c r="A48" i="3" s="1" a="1"/>
  <c r="A48" i="3" s="1"/>
  <c r="M37" i="3"/>
  <c r="A37" i="3" s="1" a="1"/>
  <c r="A37" i="3" s="1"/>
  <c r="L54" i="3"/>
  <c r="M14" i="3"/>
  <c r="K12" i="3"/>
  <c r="L9" i="3"/>
  <c r="M44" i="3"/>
  <c r="A44" i="3" s="1" a="1"/>
  <c r="A44" i="3" s="1"/>
  <c r="K34" i="3"/>
  <c r="L24" i="3"/>
  <c r="M25" i="3"/>
  <c r="A25" i="3" s="1" a="1"/>
  <c r="A25" i="3" s="1"/>
  <c r="K21" i="3"/>
  <c r="L48" i="3"/>
  <c r="M39" i="3"/>
  <c r="A39" i="3" s="1" a="1"/>
  <c r="A39" i="3" s="1"/>
  <c r="K41" i="3"/>
  <c r="L37" i="3"/>
  <c r="M50" i="3"/>
  <c r="A50" i="3" s="1" a="1"/>
  <c r="A50" i="3" s="1"/>
  <c r="K54" i="3"/>
  <c r="L14" i="3"/>
  <c r="M20" i="3"/>
  <c r="K9" i="3"/>
  <c r="L44" i="3"/>
  <c r="M18" i="3"/>
  <c r="A18" i="3" s="1" a="1"/>
  <c r="A18" i="3" s="1"/>
  <c r="K24" i="3"/>
  <c r="L25" i="3"/>
  <c r="M17" i="3"/>
  <c r="A17" i="3" s="1" a="1"/>
  <c r="A17" i="3" s="1"/>
  <c r="K48" i="3"/>
  <c r="L39" i="3"/>
  <c r="M38" i="3"/>
  <c r="A38" i="3" s="1" a="1"/>
  <c r="A38" i="3" s="1"/>
  <c r="K37" i="3"/>
  <c r="L50" i="3"/>
  <c r="M52" i="3"/>
  <c r="A52" i="3" s="1" a="1"/>
  <c r="A52" i="3" s="1"/>
  <c r="L35" i="3"/>
  <c r="M49" i="3"/>
  <c r="A49" i="3" s="1" a="1"/>
  <c r="A49" i="3" s="1"/>
  <c r="L49" i="3"/>
  <c r="K10" i="11"/>
  <c r="M4" i="11"/>
  <c r="L4" i="11"/>
  <c r="M5" i="11"/>
  <c r="K4" i="11"/>
  <c r="L5" i="11"/>
  <c r="M38" i="11"/>
  <c r="M72" i="11"/>
  <c r="L29" i="11"/>
  <c r="M19" i="11"/>
  <c r="L21" i="11"/>
  <c r="M7" i="11"/>
  <c r="A7" i="11" s="1" a="1"/>
  <c r="A7" i="11" s="1"/>
  <c r="Q7" i="11" s="1"/>
  <c r="M67" i="11"/>
  <c r="L75" i="11"/>
  <c r="M57" i="11"/>
  <c r="L58" i="11"/>
  <c r="M51" i="11"/>
  <c r="L72" i="11"/>
  <c r="L19" i="11"/>
  <c r="M16" i="11"/>
  <c r="L7" i="11"/>
  <c r="M48" i="11"/>
  <c r="A48" i="11" s="1" a="1"/>
  <c r="A48" i="11" s="1"/>
  <c r="L67" i="11"/>
  <c r="M63" i="11"/>
  <c r="L57" i="11"/>
  <c r="M56" i="11"/>
  <c r="K58" i="11"/>
  <c r="L51" i="11"/>
  <c r="M77" i="11"/>
  <c r="K72" i="11"/>
  <c r="K19" i="11"/>
  <c r="L16" i="11"/>
  <c r="M15" i="11"/>
  <c r="K7" i="11"/>
  <c r="L48" i="11"/>
  <c r="M69" i="11"/>
  <c r="K67" i="11"/>
  <c r="L63" i="11"/>
  <c r="M61" i="11"/>
  <c r="K57" i="11"/>
  <c r="L56" i="11"/>
  <c r="M52" i="11"/>
  <c r="K51" i="11"/>
  <c r="L77" i="11"/>
  <c r="M74" i="11"/>
  <c r="K45" i="11"/>
  <c r="L45" i="11"/>
  <c r="L17" i="16"/>
  <c r="M20" i="16"/>
  <c r="M21" i="16"/>
  <c r="L20" i="16"/>
  <c r="M36" i="16"/>
  <c r="K11" i="16"/>
  <c r="L21" i="16"/>
  <c r="M40" i="16"/>
  <c r="M24" i="16"/>
  <c r="L36" i="16"/>
  <c r="L13" i="16"/>
  <c r="M27" i="16"/>
  <c r="L40" i="16"/>
  <c r="L24" i="16"/>
  <c r="K13" i="16"/>
  <c r="L23" i="16"/>
  <c r="M28" i="16"/>
  <c r="M19" i="16"/>
  <c r="L28" i="16"/>
  <c r="M37" i="16"/>
  <c r="L19" i="16"/>
  <c r="M39" i="16"/>
  <c r="L37" i="16"/>
  <c r="L39" i="16"/>
  <c r="M22" i="16"/>
  <c r="K42" i="16"/>
  <c r="L42" i="16"/>
  <c r="K17" i="15"/>
  <c r="M10" i="15"/>
  <c r="M3" i="15"/>
  <c r="L3" i="15"/>
  <c r="M7" i="15"/>
  <c r="M18" i="15"/>
  <c r="K4" i="15"/>
  <c r="M8" i="15"/>
  <c r="L7" i="15"/>
  <c r="L18" i="15"/>
  <c r="M5" i="15"/>
  <c r="M15" i="15"/>
  <c r="L5" i="15"/>
  <c r="L15" i="15"/>
  <c r="M14" i="15"/>
  <c r="M4" i="15"/>
  <c r="L14" i="15"/>
  <c r="M19" i="15"/>
  <c r="K43" i="6"/>
  <c r="M43" i="6"/>
  <c r="R45" i="11"/>
  <c r="J45" i="11" s="1"/>
  <c r="A8" i="14" l="1" a="1"/>
  <c r="A8" i="14" s="1"/>
  <c r="Q8" i="14" s="1"/>
  <c r="A11" i="14" a="1"/>
  <c r="A11" i="14" s="1"/>
  <c r="Q11" i="14" s="1"/>
  <c r="A33" i="14" a="1"/>
  <c r="A33" i="14" s="1"/>
  <c r="A9" i="14" a="1"/>
  <c r="A9" i="14" s="1"/>
  <c r="Q9" i="14" s="1"/>
  <c r="A34" i="14" a="1"/>
  <c r="A34" i="14" s="1"/>
  <c r="A4" i="14" a="1"/>
  <c r="A4" i="14" s="1"/>
  <c r="B18" i="14" a="1"/>
  <c r="B18" i="14" s="1"/>
  <c r="A18" i="14" a="1"/>
  <c r="A18" i="14" s="1"/>
  <c r="Q18" i="14" s="1"/>
  <c r="E37" i="17" s="1"/>
  <c r="F37" i="17" s="1"/>
  <c r="B44" i="14" a="1"/>
  <c r="B44" i="14" s="1"/>
  <c r="A44" i="14" a="1"/>
  <c r="A44" i="14" s="1"/>
  <c r="Q44" i="14" s="1"/>
  <c r="B37" i="14" a="1"/>
  <c r="B37" i="14" s="1"/>
  <c r="A37" i="14" a="1"/>
  <c r="A37" i="14" s="1"/>
  <c r="Q37" i="14" s="1"/>
  <c r="B24" i="14" a="1"/>
  <c r="B24" i="14" s="1"/>
  <c r="A24" i="14" a="1"/>
  <c r="A24" i="14" s="1"/>
  <c r="Q24" i="14" s="1"/>
  <c r="A45" i="14" a="1"/>
  <c r="A45" i="14" s="1"/>
  <c r="B46" i="14" a="1"/>
  <c r="B46" i="14" s="1"/>
  <c r="A46" i="14" a="1"/>
  <c r="A46" i="14" s="1"/>
  <c r="B19" i="14" a="1"/>
  <c r="B19" i="14" s="1"/>
  <c r="A19" i="14" a="1"/>
  <c r="A19" i="14" s="1"/>
  <c r="Q19" i="14" s="1"/>
  <c r="B12" i="14" a="1"/>
  <c r="B12" i="14" s="1"/>
  <c r="A12" i="14" a="1"/>
  <c r="A12" i="14" s="1"/>
  <c r="Q12" i="14" s="1"/>
  <c r="B29" i="14" a="1"/>
  <c r="B29" i="14" s="1"/>
  <c r="A29" i="14" a="1"/>
  <c r="A29" i="14" s="1"/>
  <c r="Q29" i="14" s="1"/>
  <c r="A6" i="14" a="1"/>
  <c r="A6" i="14" s="1"/>
  <c r="B41" i="14" a="1"/>
  <c r="B41" i="14" s="1"/>
  <c r="A41" i="14" a="1"/>
  <c r="A41" i="14" s="1"/>
  <c r="Q41" i="14" s="1"/>
  <c r="B22" i="14" a="1"/>
  <c r="B22" i="14" s="1"/>
  <c r="A22" i="14" a="1"/>
  <c r="A22" i="14" s="1"/>
  <c r="Q22" i="14" s="1"/>
  <c r="B13" i="14" a="1"/>
  <c r="B13" i="14" s="1"/>
  <c r="A13" i="14" a="1"/>
  <c r="A13" i="14" s="1"/>
  <c r="Q13" i="14" s="1"/>
  <c r="B17" i="14" a="1"/>
  <c r="B17" i="14" s="1"/>
  <c r="A17" i="14" a="1"/>
  <c r="A17" i="14" s="1"/>
  <c r="Q17" i="14" s="1"/>
  <c r="B49" i="14" a="1"/>
  <c r="B49" i="14" s="1"/>
  <c r="A49" i="14" a="1"/>
  <c r="A49" i="14" s="1"/>
  <c r="Q49" i="14" s="1"/>
  <c r="B42" i="14" a="1"/>
  <c r="B42" i="14" s="1"/>
  <c r="A42" i="14" a="1"/>
  <c r="A42" i="14" s="1"/>
  <c r="Q42" i="14" s="1"/>
  <c r="E30" i="17"/>
  <c r="F30" i="17" s="1"/>
  <c r="A10" i="14" a="1"/>
  <c r="A10" i="14" s="1"/>
  <c r="Q10" i="14" s="1"/>
  <c r="B26" i="14" a="1"/>
  <c r="B26" i="14" s="1"/>
  <c r="A26" i="14" a="1"/>
  <c r="A26" i="14" s="1"/>
  <c r="Q26" i="14" s="1"/>
  <c r="B30" i="14" a="1"/>
  <c r="B30" i="14" s="1"/>
  <c r="A30" i="14" a="1"/>
  <c r="A30" i="14" s="1"/>
  <c r="Q30" i="14" s="1"/>
  <c r="E19" i="17" s="1"/>
  <c r="F19" i="17" s="1"/>
  <c r="A7" i="14" a="1"/>
  <c r="A7" i="14" s="1"/>
  <c r="Q7" i="14" s="1"/>
  <c r="B35" i="14" a="1"/>
  <c r="B35" i="14" s="1"/>
  <c r="A35" i="14" a="1"/>
  <c r="A35" i="14" s="1"/>
  <c r="Q35" i="14" s="1"/>
  <c r="B25" i="14" a="1"/>
  <c r="B25" i="14" s="1"/>
  <c r="A25" i="14" a="1"/>
  <c r="A25" i="14" s="1"/>
  <c r="Q25" i="14" s="1"/>
  <c r="E34" i="17" s="1"/>
  <c r="F34" i="17" s="1"/>
  <c r="A3" i="14" a="1"/>
  <c r="A3" i="14" s="1"/>
  <c r="A5" i="14" a="1"/>
  <c r="A5" i="14" s="1"/>
  <c r="Q5" i="14" s="1"/>
  <c r="B16" i="14" a="1"/>
  <c r="B16" i="14" s="1"/>
  <c r="A16" i="14" a="1"/>
  <c r="A16" i="14" s="1"/>
  <c r="Q16" i="14" s="1"/>
  <c r="B39" i="14" a="1"/>
  <c r="B39" i="14" s="1"/>
  <c r="A39" i="14" a="1"/>
  <c r="A39" i="14" s="1"/>
  <c r="Q39" i="14" s="1"/>
  <c r="B32" i="14" a="1"/>
  <c r="B32" i="14" s="1"/>
  <c r="A32" i="14" a="1"/>
  <c r="A32" i="14" s="1"/>
  <c r="Q32" i="14" s="1"/>
  <c r="B21" i="14" a="1"/>
  <c r="B21" i="14" s="1"/>
  <c r="A21" i="14" a="1"/>
  <c r="A21" i="14" s="1"/>
  <c r="Q21" i="14" s="1"/>
  <c r="B31" i="14" a="1"/>
  <c r="B31" i="14" s="1"/>
  <c r="A31" i="14" a="1"/>
  <c r="A31" i="14" s="1"/>
  <c r="Q31" i="14" s="1"/>
  <c r="B36" i="14" a="1"/>
  <c r="B36" i="14" s="1"/>
  <c r="A36" i="14" a="1"/>
  <c r="A36" i="14" s="1"/>
  <c r="Q36" i="14" s="1"/>
  <c r="B23" i="14" a="1"/>
  <c r="B23" i="14" s="1"/>
  <c r="A23" i="14" a="1"/>
  <c r="A23" i="14" s="1"/>
  <c r="Q23" i="14" s="1"/>
  <c r="B43" i="14" a="1"/>
  <c r="B43" i="14" s="1"/>
  <c r="A43" i="14" a="1"/>
  <c r="A43" i="14" s="1"/>
  <c r="Q43" i="14" s="1"/>
  <c r="B20" i="14" a="1"/>
  <c r="B20" i="14" s="1"/>
  <c r="A20" i="14" a="1"/>
  <c r="A20" i="14" s="1"/>
  <c r="Q20" i="14" s="1"/>
  <c r="B48" i="14" a="1"/>
  <c r="B48" i="14" s="1"/>
  <c r="A48" i="14" a="1"/>
  <c r="A48" i="14" s="1"/>
  <c r="Q48" i="14" s="1"/>
  <c r="B40" i="14" a="1"/>
  <c r="B40" i="14" s="1"/>
  <c r="A40" i="14" a="1"/>
  <c r="A40" i="14" s="1"/>
  <c r="Q40" i="14" s="1"/>
  <c r="E32" i="17" s="1"/>
  <c r="F32" i="17" s="1"/>
  <c r="E14" i="17"/>
  <c r="F14" i="17" s="1"/>
  <c r="A4" i="6" a="1"/>
  <c r="A4" i="6" s="1"/>
  <c r="A5" i="6" a="1"/>
  <c r="A5" i="6" s="1"/>
  <c r="A16" i="6" a="1"/>
  <c r="A16" i="6" s="1"/>
  <c r="Q16" i="6" s="1"/>
  <c r="A13" i="6" a="1"/>
  <c r="A13" i="6" s="1"/>
  <c r="Q13" i="6" s="1"/>
  <c r="A8" i="6" a="1"/>
  <c r="A8" i="6" s="1"/>
  <c r="Q8" i="6" s="1"/>
  <c r="E20" i="17" s="1"/>
  <c r="F20" i="17" s="1"/>
  <c r="B44" i="6" a="1"/>
  <c r="B44" i="6" s="1"/>
  <c r="A44" i="6" a="1"/>
  <c r="A44" i="6" s="1"/>
  <c r="Q44" i="6" s="1"/>
  <c r="A7" i="6" a="1"/>
  <c r="A7" i="6" s="1"/>
  <c r="Q7" i="6" s="1"/>
  <c r="B22" i="6" a="1"/>
  <c r="B22" i="6" s="1"/>
  <c r="A22" i="6" a="1"/>
  <c r="A22" i="6" s="1"/>
  <c r="Q22" i="6" s="1"/>
  <c r="B32" i="6" a="1"/>
  <c r="B32" i="6" s="1"/>
  <c r="A32" i="6" a="1"/>
  <c r="A32" i="6" s="1"/>
  <c r="Q32" i="6" s="1"/>
  <c r="B28" i="6" a="1"/>
  <c r="B28" i="6" s="1"/>
  <c r="A28" i="6" a="1"/>
  <c r="A28" i="6" s="1"/>
  <c r="Q28" i="6" s="1"/>
  <c r="A3" i="6" a="1"/>
  <c r="A3" i="6" s="1"/>
  <c r="A11" i="6" a="1"/>
  <c r="A11" i="6" s="1"/>
  <c r="Q11" i="6" s="1"/>
  <c r="B47" i="6" a="1"/>
  <c r="B47" i="6" s="1"/>
  <c r="A47" i="6" a="1"/>
  <c r="A47" i="6" s="1"/>
  <c r="Q47" i="6" s="1"/>
  <c r="B46" i="6" a="1"/>
  <c r="B46" i="6" s="1"/>
  <c r="A46" i="6" a="1"/>
  <c r="A46" i="6" s="1"/>
  <c r="Q46" i="6" s="1"/>
  <c r="B45" i="6" a="1"/>
  <c r="B45" i="6" s="1"/>
  <c r="A45" i="6" a="1"/>
  <c r="A45" i="6" s="1"/>
  <c r="Q45" i="6" s="1"/>
  <c r="A12" i="6" a="1"/>
  <c r="A12" i="6" s="1"/>
  <c r="Q12" i="6" s="1"/>
  <c r="B19" i="6" a="1"/>
  <c r="B19" i="6" s="1"/>
  <c r="A19" i="6" a="1"/>
  <c r="A19" i="6" s="1"/>
  <c r="Q19" i="6" s="1"/>
  <c r="B21" i="6" a="1"/>
  <c r="B21" i="6" s="1"/>
  <c r="A21" i="6" a="1"/>
  <c r="A21" i="6" s="1"/>
  <c r="Q21" i="6" s="1"/>
  <c r="E23" i="17" s="1"/>
  <c r="F23" i="17" s="1"/>
  <c r="A10" i="6" a="1"/>
  <c r="A10" i="6" s="1"/>
  <c r="Q10" i="6" s="1"/>
  <c r="E7" i="17"/>
  <c r="F7" i="17" s="1"/>
  <c r="A15" i="6" a="1"/>
  <c r="A15" i="6" s="1"/>
  <c r="Q15" i="6" s="1"/>
  <c r="B43" i="6" a="1"/>
  <c r="B43" i="6" s="1"/>
  <c r="A43" i="6" a="1"/>
  <c r="A43" i="6" s="1"/>
  <c r="Q43" i="6" s="1"/>
  <c r="E4" i="17" s="1"/>
  <c r="F4" i="17" s="1"/>
  <c r="B40" i="6" a="1"/>
  <c r="B40" i="6" s="1"/>
  <c r="A40" i="6" a="1"/>
  <c r="A40" i="6" s="1"/>
  <c r="Q40" i="6" s="1"/>
  <c r="B42" i="6" a="1"/>
  <c r="B42" i="6" s="1"/>
  <c r="A42" i="6" a="1"/>
  <c r="A42" i="6" s="1"/>
  <c r="B48" i="6" a="1"/>
  <c r="B48" i="6" s="1"/>
  <c r="A48" i="6" a="1"/>
  <c r="A48" i="6" s="1"/>
  <c r="Q48" i="6" s="1"/>
  <c r="B26" i="6" a="1"/>
  <c r="B26" i="6" s="1"/>
  <c r="A26" i="6" a="1"/>
  <c r="A26" i="6" s="1"/>
  <c r="Q26" i="6" s="1"/>
  <c r="A17" i="6" a="1"/>
  <c r="A17" i="6" s="1"/>
  <c r="Q17" i="6" s="1"/>
  <c r="E17" i="17" s="1"/>
  <c r="F17" i="17" s="1"/>
  <c r="A33" i="6" a="1"/>
  <c r="A33" i="6" s="1"/>
  <c r="A6" i="6" a="1"/>
  <c r="A6" i="6" s="1"/>
  <c r="A42" i="16" a="1"/>
  <c r="A42" i="16" s="1"/>
  <c r="B22" i="16" a="1"/>
  <c r="B22" i="16" s="1"/>
  <c r="A22" i="16" a="1"/>
  <c r="A22" i="16" s="1"/>
  <c r="Q22" i="16" s="1"/>
  <c r="B28" i="16" a="1"/>
  <c r="B28" i="16" s="1"/>
  <c r="A28" i="16" a="1"/>
  <c r="A28" i="16" s="1"/>
  <c r="Q28" i="16" s="1"/>
  <c r="B24" i="16" a="1"/>
  <c r="B24" i="16" s="1"/>
  <c r="A24" i="16" a="1"/>
  <c r="A24" i="16" s="1"/>
  <c r="Q24" i="16" s="1"/>
  <c r="B40" i="16" a="1"/>
  <c r="B40" i="16" s="1"/>
  <c r="A40" i="16" a="1"/>
  <c r="A40" i="16" s="1"/>
  <c r="Q40" i="16" s="1"/>
  <c r="B15" i="16" a="1"/>
  <c r="B15" i="16" s="1"/>
  <c r="A15" i="16" a="1"/>
  <c r="A15" i="16" s="1"/>
  <c r="Q15" i="16" s="1"/>
  <c r="B34" i="16" a="1"/>
  <c r="B34" i="16" s="1"/>
  <c r="A34" i="16" a="1"/>
  <c r="A34" i="16" s="1"/>
  <c r="Q34" i="16" s="1"/>
  <c r="B44" i="16" a="1"/>
  <c r="B44" i="16" s="1"/>
  <c r="A44" i="16" a="1"/>
  <c r="A44" i="16" s="1"/>
  <c r="Q44" i="16" s="1"/>
  <c r="G17" i="17" s="1"/>
  <c r="H17" i="17" s="1"/>
  <c r="B26" i="16" a="1"/>
  <c r="B26" i="16" s="1"/>
  <c r="A26" i="16" a="1"/>
  <c r="A26" i="16" s="1"/>
  <c r="Q26" i="16" s="1"/>
  <c r="B39" i="16" a="1"/>
  <c r="B39" i="16" s="1"/>
  <c r="A39" i="16" a="1"/>
  <c r="A39" i="16" s="1"/>
  <c r="Q39" i="16" s="1"/>
  <c r="B5" i="16" a="1"/>
  <c r="B5" i="16" s="1"/>
  <c r="A5" i="16" a="1"/>
  <c r="A5" i="16" s="1"/>
  <c r="Q5" i="16" s="1"/>
  <c r="B41" i="16" a="1"/>
  <c r="B41" i="16" s="1"/>
  <c r="A41" i="16" a="1"/>
  <c r="A41" i="16" s="1"/>
  <c r="Q41" i="16" s="1"/>
  <c r="G14" i="17" s="1"/>
  <c r="H14" i="17" s="1"/>
  <c r="B36" i="16" a="1"/>
  <c r="B36" i="16" s="1"/>
  <c r="A36" i="16" a="1"/>
  <c r="A36" i="16" s="1"/>
  <c r="Q36" i="16" s="1"/>
  <c r="G36" i="17" s="1"/>
  <c r="B46" i="16" a="1"/>
  <c r="B46" i="16" s="1"/>
  <c r="A46" i="16" a="1"/>
  <c r="A46" i="16" s="1"/>
  <c r="Q46" i="16" s="1"/>
  <c r="B12" i="16" a="1"/>
  <c r="B12" i="16" s="1"/>
  <c r="A12" i="16" a="1"/>
  <c r="A12" i="16" s="1"/>
  <c r="Q12" i="16" s="1"/>
  <c r="B45" i="16" a="1"/>
  <c r="B45" i="16" s="1"/>
  <c r="A45" i="16" a="1"/>
  <c r="A45" i="16" s="1"/>
  <c r="Q45" i="16" s="1"/>
  <c r="B38" i="16" a="1"/>
  <c r="B38" i="16" s="1"/>
  <c r="A38" i="16" a="1"/>
  <c r="A38" i="16" s="1"/>
  <c r="Q38" i="16" s="1"/>
  <c r="B37" i="16" a="1"/>
  <c r="B37" i="16" s="1"/>
  <c r="A37" i="16" a="1"/>
  <c r="A37" i="16" s="1"/>
  <c r="Q37" i="16" s="1"/>
  <c r="B27" i="16" a="1"/>
  <c r="B27" i="16" s="1"/>
  <c r="A27" i="16" a="1"/>
  <c r="A27" i="16" s="1"/>
  <c r="Q27" i="16" s="1"/>
  <c r="B8" i="16" a="1"/>
  <c r="B8" i="16" s="1"/>
  <c r="A8" i="16" a="1"/>
  <c r="A8" i="16" s="1"/>
  <c r="Q8" i="16" s="1"/>
  <c r="G12" i="17" s="1"/>
  <c r="H12" i="17" s="1"/>
  <c r="B32" i="16" a="1"/>
  <c r="B32" i="16" s="1"/>
  <c r="A32" i="16" a="1"/>
  <c r="A32" i="16" s="1"/>
  <c r="Q32" i="16" s="1"/>
  <c r="G37" i="17" s="1"/>
  <c r="H37" i="17" s="1"/>
  <c r="B43" i="16" a="1"/>
  <c r="B43" i="16" s="1"/>
  <c r="A43" i="16" a="1"/>
  <c r="A43" i="16" s="1"/>
  <c r="Q43" i="16" s="1"/>
  <c r="B21" i="16" a="1"/>
  <c r="B21" i="16" s="1"/>
  <c r="A21" i="16" a="1"/>
  <c r="A21" i="16" s="1"/>
  <c r="Q21" i="16" s="1"/>
  <c r="B31" i="16" a="1"/>
  <c r="B31" i="16" s="1"/>
  <c r="A31" i="16" a="1"/>
  <c r="A31" i="16" s="1"/>
  <c r="Q31" i="16" s="1"/>
  <c r="G43" i="17" s="1"/>
  <c r="H43" i="17" s="1"/>
  <c r="B19" i="16" a="1"/>
  <c r="B19" i="16" s="1"/>
  <c r="A19" i="16" a="1"/>
  <c r="A19" i="16" s="1"/>
  <c r="Q19" i="16" s="1"/>
  <c r="G6" i="17" s="1"/>
  <c r="H6" i="17" s="1"/>
  <c r="B20" i="16" a="1"/>
  <c r="B20" i="16" s="1"/>
  <c r="A20" i="16" a="1"/>
  <c r="A20" i="16" s="1"/>
  <c r="Q20" i="16" s="1"/>
  <c r="G4" i="17" s="1"/>
  <c r="H4" i="17" s="1"/>
  <c r="B17" i="16" a="1"/>
  <c r="B17" i="16" s="1"/>
  <c r="A17" i="16" a="1"/>
  <c r="A17" i="16" s="1"/>
  <c r="Q17" i="16" s="1"/>
  <c r="B9" i="16" a="1"/>
  <c r="B9" i="16" s="1"/>
  <c r="A9" i="16" a="1"/>
  <c r="A9" i="16" s="1"/>
  <c r="Q9" i="16" s="1"/>
  <c r="B10" i="16" a="1"/>
  <c r="B10" i="16" s="1"/>
  <c r="A10" i="16" a="1"/>
  <c r="A10" i="16" s="1"/>
  <c r="Q10" i="16" s="1"/>
  <c r="B30" i="16" a="1"/>
  <c r="B30" i="16" s="1"/>
  <c r="A30" i="16" a="1"/>
  <c r="A30" i="16" s="1"/>
  <c r="Q30" i="16" s="1"/>
  <c r="B25" i="16" a="1"/>
  <c r="B25" i="16" s="1"/>
  <c r="A25" i="16" a="1"/>
  <c r="A25" i="16" s="1"/>
  <c r="Q25" i="16" s="1"/>
  <c r="B33" i="16" a="1"/>
  <c r="B33" i="16" s="1"/>
  <c r="A33" i="16" a="1"/>
  <c r="A33" i="16" s="1"/>
  <c r="Q33" i="16" s="1"/>
  <c r="G24" i="17" s="1"/>
  <c r="H24" i="17" s="1"/>
  <c r="B29" i="16" a="1"/>
  <c r="B29" i="16" s="1"/>
  <c r="A29" i="16" a="1"/>
  <c r="A29" i="16" s="1"/>
  <c r="Q29" i="16" s="1"/>
  <c r="A13" i="15" a="1"/>
  <c r="A13" i="15" s="1"/>
  <c r="A3" i="15" a="1"/>
  <c r="A3" i="15" s="1"/>
  <c r="B8" i="15" a="1"/>
  <c r="B8" i="15" s="1"/>
  <c r="A8" i="15" a="1"/>
  <c r="A8" i="15" s="1"/>
  <c r="Q8" i="15" s="1"/>
  <c r="G35" i="17" s="1"/>
  <c r="H35" i="17" s="1"/>
  <c r="B14" i="15" a="1"/>
  <c r="B14" i="15" s="1"/>
  <c r="A14" i="15" a="1"/>
  <c r="A14" i="15" s="1"/>
  <c r="Q14" i="15" s="1"/>
  <c r="G10" i="17" s="1"/>
  <c r="H10" i="17" s="1"/>
  <c r="B18" i="15" a="1"/>
  <c r="B18" i="15" s="1"/>
  <c r="A18" i="15" a="1"/>
  <c r="A18" i="15" s="1"/>
  <c r="Q18" i="15" s="1"/>
  <c r="G7" i="17" s="1"/>
  <c r="H7" i="17" s="1"/>
  <c r="A4" i="15" a="1"/>
  <c r="A4" i="15" s="1"/>
  <c r="B9" i="15" a="1"/>
  <c r="B9" i="15" s="1"/>
  <c r="A9" i="15" a="1"/>
  <c r="A9" i="15" s="1"/>
  <c r="Q9" i="15" s="1"/>
  <c r="B6" i="15" a="1"/>
  <c r="B6" i="15" s="1"/>
  <c r="A6" i="15" a="1"/>
  <c r="A6" i="15" s="1"/>
  <c r="Q6" i="15" s="1"/>
  <c r="B11" i="15" a="1"/>
  <c r="B11" i="15" s="1"/>
  <c r="A11" i="15" a="1"/>
  <c r="A11" i="15" s="1"/>
  <c r="Q11" i="15" s="1"/>
  <c r="B5" i="15" a="1"/>
  <c r="B5" i="15" s="1"/>
  <c r="A5" i="15" a="1"/>
  <c r="A5" i="15" s="1"/>
  <c r="Q5" i="15" s="1"/>
  <c r="B15" i="15" a="1"/>
  <c r="B15" i="15" s="1"/>
  <c r="A15" i="15" a="1"/>
  <c r="A15" i="15" s="1"/>
  <c r="Q15" i="15" s="1"/>
  <c r="B19" i="15" a="1"/>
  <c r="B19" i="15" s="1"/>
  <c r="A19" i="15" a="1"/>
  <c r="A19" i="15" s="1"/>
  <c r="Q19" i="15" s="1"/>
  <c r="B10" i="15" a="1"/>
  <c r="B10" i="15" s="1"/>
  <c r="A10" i="15" a="1"/>
  <c r="A10" i="15" s="1"/>
  <c r="Q10" i="15" s="1"/>
  <c r="G19" i="17" s="1"/>
  <c r="H19" i="17" s="1"/>
  <c r="B7" i="15" a="1"/>
  <c r="B7" i="15" s="1"/>
  <c r="A7" i="15" a="1"/>
  <c r="A7" i="15" s="1"/>
  <c r="Q7" i="15" s="1"/>
  <c r="G40" i="17" s="1"/>
  <c r="H40" i="17" s="1"/>
  <c r="A4" i="11" a="1"/>
  <c r="A4" i="11" s="1"/>
  <c r="A47" i="11" a="1"/>
  <c r="A47" i="11" s="1"/>
  <c r="B19" i="11" a="1"/>
  <c r="B19" i="11" s="1"/>
  <c r="A19" i="11" a="1"/>
  <c r="A19" i="11" s="1"/>
  <c r="Q19" i="11" s="1"/>
  <c r="B51" i="11" a="1"/>
  <c r="B51" i="11" s="1"/>
  <c r="A51" i="11" a="1"/>
  <c r="A51" i="11" s="1"/>
  <c r="Q51" i="11" s="1"/>
  <c r="B8" i="11" a="1"/>
  <c r="B8" i="11" s="1"/>
  <c r="A8" i="11" a="1"/>
  <c r="A8" i="11" s="1"/>
  <c r="Q8" i="11" s="1"/>
  <c r="B28" i="11" a="1"/>
  <c r="B28" i="11" s="1"/>
  <c r="A28" i="11" a="1"/>
  <c r="A28" i="11" s="1"/>
  <c r="Q28" i="11" s="1"/>
  <c r="B33" i="11" a="1"/>
  <c r="B33" i="11" s="1"/>
  <c r="A33" i="11" a="1"/>
  <c r="A33" i="11" s="1"/>
  <c r="Q33" i="11" s="1"/>
  <c r="B35" i="11" a="1"/>
  <c r="B35" i="11" s="1"/>
  <c r="A35" i="11" a="1"/>
  <c r="A35" i="11" s="1"/>
  <c r="Q35" i="11" s="1"/>
  <c r="B36" i="11" a="1"/>
  <c r="B36" i="11" s="1"/>
  <c r="A36" i="11" a="1"/>
  <c r="A36" i="11" s="1"/>
  <c r="Q36" i="11" s="1"/>
  <c r="B69" i="11" a="1"/>
  <c r="B69" i="11" s="1"/>
  <c r="A69" i="11" a="1"/>
  <c r="A69" i="11" s="1"/>
  <c r="Q69" i="11" s="1"/>
  <c r="C32" i="17" s="1"/>
  <c r="D32" i="17" s="1"/>
  <c r="B52" i="11" a="1"/>
  <c r="B52" i="11" s="1"/>
  <c r="A52" i="11" a="1"/>
  <c r="A52" i="11" s="1"/>
  <c r="Q52" i="11" s="1"/>
  <c r="B15" i="11" a="1"/>
  <c r="B15" i="11" s="1"/>
  <c r="A15" i="11" a="1"/>
  <c r="A15" i="11" s="1"/>
  <c r="Q15" i="11" s="1"/>
  <c r="B63" i="11" a="1"/>
  <c r="B63" i="11" s="1"/>
  <c r="A63" i="11" a="1"/>
  <c r="A63" i="11" s="1"/>
  <c r="Q63" i="11" s="1"/>
  <c r="B72" i="11" a="1"/>
  <c r="B72" i="11" s="1"/>
  <c r="A72" i="11" a="1"/>
  <c r="A72" i="11" s="1"/>
  <c r="Q72" i="11" s="1"/>
  <c r="B32" i="11" a="1"/>
  <c r="B32" i="11" s="1"/>
  <c r="A32" i="11" a="1"/>
  <c r="A32" i="11" s="1"/>
  <c r="Q32" i="11" s="1"/>
  <c r="B71" i="11" a="1"/>
  <c r="B71" i="11" s="1"/>
  <c r="A71" i="11" a="1"/>
  <c r="A71" i="11" s="1"/>
  <c r="Q71" i="11" s="1"/>
  <c r="B50" i="11" a="1"/>
  <c r="B50" i="11" s="1"/>
  <c r="A50" i="11" a="1"/>
  <c r="A50" i="11" s="1"/>
  <c r="Q50" i="11" s="1"/>
  <c r="B75" i="11" a="1"/>
  <c r="B75" i="11" s="1"/>
  <c r="A75" i="11" a="1"/>
  <c r="A75" i="11" s="1"/>
  <c r="Q75" i="11" s="1"/>
  <c r="B16" i="11" a="1"/>
  <c r="B16" i="11" s="1"/>
  <c r="A16" i="11" a="1"/>
  <c r="A16" i="11" s="1"/>
  <c r="Q16" i="11" s="1"/>
  <c r="B56" i="11" a="1"/>
  <c r="B56" i="11" s="1"/>
  <c r="A56" i="11" a="1"/>
  <c r="A56" i="11" s="1"/>
  <c r="Q56" i="11" s="1"/>
  <c r="B61" i="11" a="1"/>
  <c r="B61" i="11" s="1"/>
  <c r="A61" i="11" a="1"/>
  <c r="A61" i="11" s="1"/>
  <c r="Q61" i="11" s="1"/>
  <c r="B38" i="11" a="1"/>
  <c r="B38" i="11" s="1"/>
  <c r="A38" i="11" a="1"/>
  <c r="A38" i="11" s="1"/>
  <c r="Q38" i="11" s="1"/>
  <c r="B42" i="11" a="1"/>
  <c r="B42" i="11" s="1"/>
  <c r="A42" i="11" a="1"/>
  <c r="A42" i="11" s="1"/>
  <c r="Q42" i="11" s="1"/>
  <c r="B53" i="11" a="1"/>
  <c r="B53" i="11" s="1"/>
  <c r="A53" i="11" a="1"/>
  <c r="A53" i="11" s="1"/>
  <c r="Q53" i="11" s="1"/>
  <c r="B54" i="11" a="1"/>
  <c r="B54" i="11" s="1"/>
  <c r="A54" i="11" a="1"/>
  <c r="A54" i="11" s="1"/>
  <c r="Q54" i="11" s="1"/>
  <c r="B40" i="11" a="1"/>
  <c r="B40" i="11" s="1"/>
  <c r="A40" i="11" a="1"/>
  <c r="A40" i="11" s="1"/>
  <c r="Q40" i="11" s="1"/>
  <c r="B39" i="11" a="1"/>
  <c r="B39" i="11" s="1"/>
  <c r="A39" i="11" a="1"/>
  <c r="A39" i="11" s="1"/>
  <c r="Q39" i="11" s="1"/>
  <c r="B65" i="11" a="1"/>
  <c r="B65" i="11" s="1"/>
  <c r="A65" i="11" a="1"/>
  <c r="A65" i="11" s="1"/>
  <c r="Q65" i="11" s="1"/>
  <c r="B64" i="11" a="1"/>
  <c r="B64" i="11" s="1"/>
  <c r="A64" i="11" a="1"/>
  <c r="A64" i="11" s="1"/>
  <c r="Q64" i="11" s="1"/>
  <c r="B70" i="11" a="1"/>
  <c r="B70" i="11" s="1"/>
  <c r="A70" i="11" a="1"/>
  <c r="A70" i="11" s="1"/>
  <c r="Q70" i="11" s="1"/>
  <c r="B20" i="11" a="1"/>
  <c r="B20" i="11" s="1"/>
  <c r="A20" i="11" a="1"/>
  <c r="A20" i="11" s="1"/>
  <c r="Q20" i="11" s="1"/>
  <c r="B58" i="11" a="1"/>
  <c r="B58" i="11" s="1"/>
  <c r="A58" i="11" a="1"/>
  <c r="A58" i="11" s="1"/>
  <c r="Q58" i="11" s="1"/>
  <c r="B41" i="11" a="1"/>
  <c r="B41" i="11" s="1"/>
  <c r="A41" i="11" a="1"/>
  <c r="A41" i="11" s="1"/>
  <c r="Q41" i="11" s="1"/>
  <c r="B60" i="11" a="1"/>
  <c r="B60" i="11" s="1"/>
  <c r="A60" i="11" a="1"/>
  <c r="A60" i="11" s="1"/>
  <c r="Q60" i="11" s="1"/>
  <c r="B76" i="11" a="1"/>
  <c r="B76" i="11" s="1"/>
  <c r="A76" i="11" a="1"/>
  <c r="A76" i="11" s="1"/>
  <c r="Q76" i="11" s="1"/>
  <c r="B45" i="11" a="1"/>
  <c r="B45" i="11" s="1"/>
  <c r="B57" i="11" a="1"/>
  <c r="B57" i="11" s="1"/>
  <c r="A57" i="11" a="1"/>
  <c r="A57" i="11" s="1"/>
  <c r="Q57" i="11" s="1"/>
  <c r="B68" i="11" a="1"/>
  <c r="B68" i="11" s="1"/>
  <c r="A68" i="11" a="1"/>
  <c r="A68" i="11" s="1"/>
  <c r="Q68" i="11" s="1"/>
  <c r="B74" i="11" a="1"/>
  <c r="B74" i="11" s="1"/>
  <c r="A74" i="11" a="1"/>
  <c r="A74" i="11" s="1"/>
  <c r="Q74" i="11" s="1"/>
  <c r="B77" i="11" a="1"/>
  <c r="B77" i="11" s="1"/>
  <c r="A77" i="11" a="1"/>
  <c r="A77" i="11" s="1"/>
  <c r="Q77" i="11" s="1"/>
  <c r="B67" i="11" a="1"/>
  <c r="B67" i="11" s="1"/>
  <c r="A67" i="11" a="1"/>
  <c r="A67" i="11" s="1"/>
  <c r="Q67" i="11" s="1"/>
  <c r="B17" i="11" a="1"/>
  <c r="B17" i="11" s="1"/>
  <c r="A17" i="11" a="1"/>
  <c r="A17" i="11" s="1"/>
  <c r="Q17" i="11" s="1"/>
  <c r="B55" i="11" a="1"/>
  <c r="B55" i="11" s="1"/>
  <c r="A55" i="11" a="1"/>
  <c r="A55" i="11" s="1"/>
  <c r="Q55" i="11" s="1"/>
  <c r="B66" i="11" a="1"/>
  <c r="B66" i="11" s="1"/>
  <c r="A66" i="11" a="1"/>
  <c r="A66" i="11" s="1"/>
  <c r="Q66" i="11" s="1"/>
  <c r="A6" i="11" a="1"/>
  <c r="A6" i="11" s="1"/>
  <c r="B62" i="11" a="1"/>
  <c r="B62" i="11" s="1"/>
  <c r="A62" i="11" a="1"/>
  <c r="A62" i="11" s="1"/>
  <c r="Q62" i="11" s="1"/>
  <c r="B22" i="11" a="1"/>
  <c r="B22" i="11" s="1"/>
  <c r="A22" i="11" a="1"/>
  <c r="A22" i="11" s="1"/>
  <c r="Q22" i="11" s="1"/>
  <c r="B24" i="11" a="1"/>
  <c r="B24" i="11" s="1"/>
  <c r="A24" i="11" a="1"/>
  <c r="A24" i="11" s="1"/>
  <c r="Q24" i="11" s="1"/>
  <c r="B23" i="11" a="1"/>
  <c r="B23" i="11" s="1"/>
  <c r="A23" i="11" a="1"/>
  <c r="A23" i="11" s="1"/>
  <c r="Q23" i="11" s="1"/>
  <c r="B44" i="11" a="1"/>
  <c r="B44" i="11" s="1"/>
  <c r="A44" i="11" a="1"/>
  <c r="A44" i="11" s="1"/>
  <c r="Q44" i="11" s="1"/>
  <c r="B73" i="11" a="1"/>
  <c r="B73" i="11" s="1"/>
  <c r="A73" i="11" a="1"/>
  <c r="A73" i="11" s="1"/>
  <c r="Q73" i="11" s="1"/>
  <c r="B18" i="11" a="1"/>
  <c r="B18" i="11" s="1"/>
  <c r="A18" i="11" a="1"/>
  <c r="A18" i="11" s="1"/>
  <c r="Q18" i="11" s="1"/>
  <c r="B49" i="11" a="1"/>
  <c r="B49" i="11" s="1"/>
  <c r="A49" i="11" a="1"/>
  <c r="A49" i="11" s="1"/>
  <c r="Q49" i="11" s="1"/>
  <c r="A5" i="11" a="1"/>
  <c r="A5" i="11" s="1"/>
  <c r="B37" i="11" a="1"/>
  <c r="B37" i="11" s="1"/>
  <c r="A37" i="11" a="1"/>
  <c r="A37" i="11" s="1"/>
  <c r="Q37" i="11" s="1"/>
  <c r="B26" i="11" a="1"/>
  <c r="B26" i="11" s="1"/>
  <c r="A26" i="11" a="1"/>
  <c r="A26" i="11" s="1"/>
  <c r="Q26" i="11" s="1"/>
  <c r="B14" i="11" a="1"/>
  <c r="B14" i="11" s="1"/>
  <c r="A14" i="11" a="1"/>
  <c r="A14" i="11" s="1"/>
  <c r="Q14" i="11" s="1"/>
  <c r="B30" i="11" a="1"/>
  <c r="B30" i="11" s="1"/>
  <c r="A30" i="11" a="1"/>
  <c r="A30" i="11" s="1"/>
  <c r="Q30" i="11" s="1"/>
  <c r="C34" i="17" s="1"/>
  <c r="D34" i="17" s="1"/>
  <c r="B43" i="11" a="1"/>
  <c r="B43" i="11" s="1"/>
  <c r="A43" i="11" a="1"/>
  <c r="A43" i="11" s="1"/>
  <c r="Q43" i="11" s="1"/>
  <c r="B11" i="11" a="1"/>
  <c r="B11" i="11" s="1"/>
  <c r="A11" i="11" a="1"/>
  <c r="A11" i="11" s="1"/>
  <c r="Q11" i="11" s="1"/>
  <c r="B13" i="11" a="1"/>
  <c r="B13" i="11" s="1"/>
  <c r="A13" i="11" a="1"/>
  <c r="A13" i="11" s="1"/>
  <c r="Q13" i="11" s="1"/>
  <c r="B21" i="11" a="1"/>
  <c r="B21" i="11" s="1"/>
  <c r="A21" i="11" a="1"/>
  <c r="A21" i="11" s="1"/>
  <c r="Q21" i="11" s="1"/>
  <c r="B59" i="11" a="1"/>
  <c r="B59" i="11" s="1"/>
  <c r="A59" i="11" a="1"/>
  <c r="A59" i="11" s="1"/>
  <c r="Q59" i="11" s="1"/>
  <c r="A3" i="11" a="1"/>
  <c r="A3" i="11" s="1"/>
  <c r="A45" i="11" a="1"/>
  <c r="A45" i="11" s="1"/>
  <c r="B9" i="3" a="1"/>
  <c r="B9" i="3" s="1"/>
  <c r="A9" i="3" a="1"/>
  <c r="A9" i="3" s="1"/>
  <c r="Q9" i="3" s="1"/>
  <c r="B30" i="3" a="1"/>
  <c r="B30" i="3" s="1"/>
  <c r="A30" i="3" a="1"/>
  <c r="A30" i="3" s="1"/>
  <c r="Q30" i="3" s="1"/>
  <c r="B45" i="3" a="1"/>
  <c r="B45" i="3" s="1"/>
  <c r="A45" i="3" a="1"/>
  <c r="A45" i="3" s="1"/>
  <c r="Q45" i="3" s="1"/>
  <c r="B12" i="3" a="1"/>
  <c r="B12" i="3" s="1"/>
  <c r="A12" i="3" a="1"/>
  <c r="A12" i="3" s="1"/>
  <c r="B28" i="3" a="1"/>
  <c r="B28" i="3" s="1"/>
  <c r="A28" i="3" a="1"/>
  <c r="A28" i="3" s="1"/>
  <c r="Q28" i="3" s="1"/>
  <c r="C26" i="17" s="1"/>
  <c r="D26" i="17" s="1"/>
  <c r="B35" i="3" a="1"/>
  <c r="B35" i="3" s="1"/>
  <c r="A35" i="3" a="1"/>
  <c r="A35" i="3" s="1"/>
  <c r="B51" i="3" a="1"/>
  <c r="B51" i="3" s="1"/>
  <c r="A51" i="3" a="1"/>
  <c r="A51" i="3" s="1"/>
  <c r="Q51" i="3" s="1"/>
  <c r="B36" i="3" a="1"/>
  <c r="B36" i="3" s="1"/>
  <c r="A36" i="3" a="1"/>
  <c r="A36" i="3" s="1"/>
  <c r="Q36" i="3" s="1"/>
  <c r="B13" i="3" a="1"/>
  <c r="B13" i="3" s="1"/>
  <c r="A13" i="3" a="1"/>
  <c r="A13" i="3" s="1"/>
  <c r="Q13" i="3" s="1"/>
  <c r="B29" i="3" a="1"/>
  <c r="B29" i="3" s="1"/>
  <c r="A29" i="3" a="1"/>
  <c r="A29" i="3" s="1"/>
  <c r="Q29" i="3" s="1"/>
  <c r="B34" i="3" a="1"/>
  <c r="B34" i="3" s="1"/>
  <c r="A34" i="3" a="1"/>
  <c r="A34" i="3" s="1"/>
  <c r="B11" i="3" a="1"/>
  <c r="B11" i="3" s="1"/>
  <c r="A11" i="3" a="1"/>
  <c r="A11" i="3" s="1"/>
  <c r="B43" i="3" a="1"/>
  <c r="B43" i="3" s="1"/>
  <c r="A43" i="3" a="1"/>
  <c r="A43" i="3" s="1"/>
  <c r="B15" i="3" a="1"/>
  <c r="B15" i="3" s="1"/>
  <c r="A15" i="3" a="1"/>
  <c r="A15" i="3" s="1"/>
  <c r="Q15" i="3" s="1"/>
  <c r="B42" i="3" a="1"/>
  <c r="B42" i="3" s="1"/>
  <c r="A42" i="3" a="1"/>
  <c r="A42" i="3" s="1"/>
  <c r="Q42" i="3" s="1"/>
  <c r="B22" i="3" a="1"/>
  <c r="B22" i="3" s="1"/>
  <c r="A22" i="3" a="1"/>
  <c r="A22" i="3" s="1"/>
  <c r="Q22" i="3" s="1"/>
  <c r="B20" i="3" a="1"/>
  <c r="B20" i="3" s="1"/>
  <c r="A20" i="3" a="1"/>
  <c r="A20" i="3" s="1"/>
  <c r="Q20" i="3" s="1"/>
  <c r="B8" i="3" a="1"/>
  <c r="B8" i="3" s="1"/>
  <c r="A8" i="3" a="1"/>
  <c r="A8" i="3" s="1"/>
  <c r="Q8" i="3" s="1"/>
  <c r="B19" i="3" a="1"/>
  <c r="B19" i="3" s="1"/>
  <c r="A19" i="3" a="1"/>
  <c r="A19" i="3" s="1"/>
  <c r="Q19" i="3" s="1"/>
  <c r="B10" i="3" a="1"/>
  <c r="B10" i="3" s="1"/>
  <c r="A10" i="3" a="1"/>
  <c r="A10" i="3" s="1"/>
  <c r="B14" i="3" a="1"/>
  <c r="B14" i="3" s="1"/>
  <c r="A14" i="3" a="1"/>
  <c r="A14" i="3" s="1"/>
  <c r="B31" i="3" a="1"/>
  <c r="B31" i="3" s="1"/>
  <c r="A31" i="3" a="1"/>
  <c r="A31" i="3" s="1"/>
  <c r="Q31" i="3" s="1"/>
  <c r="B33" i="3" a="1"/>
  <c r="B33" i="3" s="1"/>
  <c r="A33" i="3" a="1"/>
  <c r="A33" i="3" s="1"/>
  <c r="Q33" i="3" s="1"/>
  <c r="B11" i="14" a="1"/>
  <c r="B11" i="14" s="1"/>
  <c r="B12" i="6" a="1"/>
  <c r="B12" i="6" s="1"/>
  <c r="B11" i="6" a="1"/>
  <c r="B11" i="6" s="1"/>
  <c r="B15" i="6" a="1"/>
  <c r="B15" i="6" s="1"/>
  <c r="B8" i="6" a="1"/>
  <c r="B8" i="6" s="1"/>
  <c r="B9" i="6" a="1"/>
  <c r="B9" i="6" s="1"/>
  <c r="B16" i="6" a="1"/>
  <c r="B16" i="6" s="1"/>
  <c r="B17" i="6" a="1"/>
  <c r="B17" i="6" s="1"/>
  <c r="B10" i="6" a="1"/>
  <c r="B10" i="6" s="1"/>
  <c r="B33" i="6" a="1"/>
  <c r="B33" i="6" s="1"/>
  <c r="B13" i="6" a="1"/>
  <c r="B13" i="6" s="1"/>
  <c r="B4" i="6" a="1"/>
  <c r="B4" i="6" s="1"/>
  <c r="B5" i="6" a="1"/>
  <c r="B5" i="6" s="1"/>
  <c r="B3" i="6" a="1"/>
  <c r="B3" i="6" s="1"/>
  <c r="B6" i="6" a="1"/>
  <c r="B6" i="6" s="1"/>
  <c r="B14" i="6" a="1"/>
  <c r="B14" i="6" s="1"/>
  <c r="B7" i="6" a="1"/>
  <c r="B7" i="6" s="1"/>
  <c r="B4" i="15" a="1"/>
  <c r="B4" i="15" s="1"/>
  <c r="B5" i="11" a="1"/>
  <c r="B5" i="11" s="1"/>
  <c r="B7" i="11" a="1"/>
  <c r="B7" i="11" s="1"/>
  <c r="B3" i="11" a="1"/>
  <c r="B3" i="11" s="1"/>
  <c r="B6" i="11" a="1"/>
  <c r="B6" i="11" s="1"/>
  <c r="B48" i="11" a="1"/>
  <c r="B48" i="11" s="1"/>
  <c r="B47" i="11" a="1"/>
  <c r="B47" i="11" s="1"/>
  <c r="B46" i="11" a="1"/>
  <c r="B46" i="11" s="1"/>
  <c r="B4" i="11" a="1"/>
  <c r="B4" i="11" s="1"/>
  <c r="Q18" i="3"/>
  <c r="B18" i="3" a="1"/>
  <c r="B18" i="3" s="1"/>
  <c r="Q38" i="3"/>
  <c r="B38" i="3" a="1"/>
  <c r="B38" i="3" s="1"/>
  <c r="Q25" i="3"/>
  <c r="B25" i="3" a="1"/>
  <c r="B25" i="3" s="1"/>
  <c r="Q37" i="3"/>
  <c r="B37" i="3" a="1"/>
  <c r="B37" i="3" s="1"/>
  <c r="Q21" i="3"/>
  <c r="B21" i="3" a="1"/>
  <c r="B21" i="3" s="1"/>
  <c r="Q46" i="3"/>
  <c r="B46" i="3" a="1"/>
  <c r="B46" i="3" s="1"/>
  <c r="Q40" i="3"/>
  <c r="C10" i="17" s="1"/>
  <c r="D10" i="17" s="1"/>
  <c r="B40" i="3" a="1"/>
  <c r="B40" i="3" s="1"/>
  <c r="Q55" i="3"/>
  <c r="B55" i="3" a="1"/>
  <c r="B55" i="3" s="1"/>
  <c r="Q26" i="3"/>
  <c r="C18" i="17" s="1"/>
  <c r="D18" i="17" s="1"/>
  <c r="B26" i="3" a="1"/>
  <c r="B26" i="3" s="1"/>
  <c r="Q50" i="3"/>
  <c r="B50" i="3" a="1"/>
  <c r="B50" i="3" s="1"/>
  <c r="Q24" i="3"/>
  <c r="C20" i="17" s="1"/>
  <c r="D20" i="17" s="1"/>
  <c r="B24" i="3" a="1"/>
  <c r="B24" i="3" s="1"/>
  <c r="Q27" i="3"/>
  <c r="B27" i="3" a="1"/>
  <c r="B27" i="3" s="1"/>
  <c r="Q41" i="3"/>
  <c r="C12" i="17" s="1"/>
  <c r="D12" i="17" s="1"/>
  <c r="B41" i="3" a="1"/>
  <c r="B41" i="3" s="1"/>
  <c r="Q49" i="3"/>
  <c r="B49" i="3" a="1"/>
  <c r="B49" i="3" s="1"/>
  <c r="Q17" i="3"/>
  <c r="B17" i="3" a="1"/>
  <c r="B17" i="3" s="1"/>
  <c r="Q48" i="3"/>
  <c r="B48" i="3" a="1"/>
  <c r="B48" i="3" s="1"/>
  <c r="Q52" i="3"/>
  <c r="B52" i="3" a="1"/>
  <c r="B52" i="3" s="1"/>
  <c r="Q44" i="3"/>
  <c r="B44" i="3" a="1"/>
  <c r="B44" i="3" s="1"/>
  <c r="Q47" i="3"/>
  <c r="B47" i="3" a="1"/>
  <c r="B47" i="3" s="1"/>
  <c r="Q53" i="3"/>
  <c r="B53" i="3" a="1"/>
  <c r="B53" i="3" s="1"/>
  <c r="Q54" i="3"/>
  <c r="B54" i="3" a="1"/>
  <c r="B54" i="3" s="1"/>
  <c r="Q39" i="3"/>
  <c r="B39" i="3" a="1"/>
  <c r="B39" i="3" s="1"/>
  <c r="Q23" i="3"/>
  <c r="B23" i="3" a="1"/>
  <c r="B23" i="3" s="1"/>
  <c r="B47" i="14" a="1"/>
  <c r="B47" i="14" s="1"/>
  <c r="B8" i="14" a="1"/>
  <c r="B8" i="14" s="1"/>
  <c r="B3" i="14" a="1"/>
  <c r="B3" i="14" s="1"/>
  <c r="B6" i="14" a="1"/>
  <c r="B6" i="14" s="1"/>
  <c r="B10" i="14" a="1"/>
  <c r="B10" i="14" s="1"/>
  <c r="B34" i="14" a="1"/>
  <c r="B34" i="14" s="1"/>
  <c r="B7" i="14" a="1"/>
  <c r="B7" i="14" s="1"/>
  <c r="B4" i="14" a="1"/>
  <c r="B4" i="14" s="1"/>
  <c r="B9" i="14" a="1"/>
  <c r="B9" i="14" s="1"/>
  <c r="B5" i="14" a="1"/>
  <c r="B5" i="14" s="1"/>
  <c r="B45" i="14" a="1"/>
  <c r="B45" i="14" s="1"/>
  <c r="B13" i="15" a="1"/>
  <c r="B13" i="15" s="1"/>
  <c r="B3" i="15" a="1"/>
  <c r="B3" i="15" s="1"/>
  <c r="B4" i="16" a="1"/>
  <c r="B4" i="16" s="1"/>
  <c r="B3" i="16" a="1"/>
  <c r="B3" i="16" s="1"/>
  <c r="B7" i="16" a="1"/>
  <c r="B7" i="16" s="1"/>
  <c r="B6" i="16" a="1"/>
  <c r="B6" i="16" s="1"/>
  <c r="B42" i="16" a="1"/>
  <c r="B42" i="16" s="1"/>
  <c r="Q43" i="3"/>
  <c r="C19" i="17"/>
  <c r="D19" i="17" s="1"/>
  <c r="G31" i="17" l="1"/>
  <c r="H31" i="17" s="1"/>
  <c r="C4" i="17"/>
  <c r="D4" i="17" s="1"/>
  <c r="C8" i="17"/>
  <c r="D8" i="17" s="1"/>
  <c r="D218" i="2" a="1"/>
  <c r="D218" i="2" s="1"/>
  <c r="Q46" i="14"/>
  <c r="Q6" i="14"/>
  <c r="Q3" i="14"/>
  <c r="E16" i="17" s="1"/>
  <c r="D130" i="2" a="1"/>
  <c r="D130" i="2" s="1"/>
  <c r="D160" i="2" a="1"/>
  <c r="D160" i="2" s="1"/>
  <c r="D158" i="2" a="1"/>
  <c r="D158" i="2" s="1"/>
  <c r="D154" i="2" a="1"/>
  <c r="D154" i="2" s="1"/>
  <c r="D152" i="2" a="1"/>
  <c r="D152" i="2" s="1"/>
  <c r="D150" i="2" a="1"/>
  <c r="D150" i="2" s="1"/>
  <c r="D148" i="2" a="1"/>
  <c r="D148" i="2" s="1"/>
  <c r="D146" i="2" a="1"/>
  <c r="D146" i="2" s="1"/>
  <c r="D144" i="2" a="1"/>
  <c r="D144" i="2" s="1"/>
  <c r="D142" i="2" a="1"/>
  <c r="D142" i="2" s="1"/>
  <c r="D140" i="2" a="1"/>
  <c r="D140" i="2" s="1"/>
  <c r="D138" i="2" a="1"/>
  <c r="D138" i="2" s="1"/>
  <c r="D136" i="2" a="1"/>
  <c r="D136" i="2" s="1"/>
  <c r="D134" i="2" a="1"/>
  <c r="D134" i="2" s="1"/>
  <c r="D132" i="2" a="1"/>
  <c r="D132" i="2" s="1"/>
  <c r="D161" i="2" a="1"/>
  <c r="D161" i="2" s="1"/>
  <c r="D159" i="2" a="1"/>
  <c r="D159" i="2" s="1"/>
  <c r="D157" i="2" a="1"/>
  <c r="D157" i="2" s="1"/>
  <c r="D155" i="2" a="1"/>
  <c r="D155" i="2" s="1"/>
  <c r="D153" i="2" a="1"/>
  <c r="D153" i="2" s="1"/>
  <c r="D151" i="2" a="1"/>
  <c r="D151" i="2" s="1"/>
  <c r="D149" i="2" a="1"/>
  <c r="D149" i="2" s="1"/>
  <c r="D147" i="2" a="1"/>
  <c r="D147" i="2" s="1"/>
  <c r="D156" i="2" a="1"/>
  <c r="D156" i="2" s="1"/>
  <c r="D145" i="2" a="1"/>
  <c r="D145" i="2" s="1"/>
  <c r="D143" i="2" a="1"/>
  <c r="D143" i="2" s="1"/>
  <c r="D141" i="2" a="1"/>
  <c r="D141" i="2" s="1"/>
  <c r="D139" i="2" a="1"/>
  <c r="D139" i="2" s="1"/>
  <c r="D131" i="2" a="1"/>
  <c r="D131" i="2" s="1"/>
  <c r="D137" i="2" a="1"/>
  <c r="D137" i="2" s="1"/>
  <c r="D135" i="2" a="1"/>
  <c r="D135" i="2" s="1"/>
  <c r="D133" i="2" a="1"/>
  <c r="D133" i="2" s="1"/>
  <c r="Q45" i="14"/>
  <c r="E29" i="17" s="1"/>
  <c r="Q4" i="14"/>
  <c r="E31" i="17" s="1"/>
  <c r="Q33" i="14"/>
  <c r="E36" i="17" s="1"/>
  <c r="Q34" i="14"/>
  <c r="E25" i="17" s="1"/>
  <c r="Q47" i="14"/>
  <c r="E15" i="17"/>
  <c r="F15" i="17" s="1"/>
  <c r="Q3" i="6"/>
  <c r="E6" i="17" s="1"/>
  <c r="D128" i="2" a="1"/>
  <c r="D128" i="2" s="1"/>
  <c r="D103" i="2" a="1"/>
  <c r="D103" i="2" s="1"/>
  <c r="D109" i="2" a="1"/>
  <c r="D109" i="2" s="1"/>
  <c r="D107" i="2" a="1"/>
  <c r="D107" i="2" s="1"/>
  <c r="D120" i="2" a="1"/>
  <c r="D120" i="2" s="1"/>
  <c r="D129" i="2" a="1"/>
  <c r="D129" i="2" s="1"/>
  <c r="D102" i="2" a="1"/>
  <c r="D102" i="2" s="1"/>
  <c r="D100" i="2" a="1"/>
  <c r="D100" i="2" s="1"/>
  <c r="D112" i="2" a="1"/>
  <c r="D112" i="2" s="1"/>
  <c r="D126" i="2" a="1"/>
  <c r="D126" i="2" s="1"/>
  <c r="D124" i="2" a="1"/>
  <c r="D124" i="2" s="1"/>
  <c r="D98" i="2" a="1"/>
  <c r="D98" i="2" s="1"/>
  <c r="D104" i="2" a="1"/>
  <c r="D104" i="2" s="1"/>
  <c r="D118" i="2" a="1"/>
  <c r="D118" i="2" s="1"/>
  <c r="D116" i="2" a="1"/>
  <c r="D116" i="2" s="1"/>
  <c r="D122" i="2" a="1"/>
  <c r="D122" i="2" s="1"/>
  <c r="D113" i="2" a="1"/>
  <c r="D113" i="2" s="1"/>
  <c r="D110" i="2" a="1"/>
  <c r="D110" i="2" s="1"/>
  <c r="D108" i="2" a="1"/>
  <c r="D108" i="2" s="1"/>
  <c r="D114" i="2" a="1"/>
  <c r="D114" i="2" s="1"/>
  <c r="D127" i="2" a="1"/>
  <c r="D127" i="2" s="1"/>
  <c r="D121" i="2" a="1"/>
  <c r="D121" i="2" s="1"/>
  <c r="D101" i="2" a="1"/>
  <c r="D101" i="2" s="1"/>
  <c r="D106" i="2" a="1"/>
  <c r="D106" i="2" s="1"/>
  <c r="D99" i="2" a="1"/>
  <c r="D99" i="2" s="1"/>
  <c r="D119" i="2" a="1"/>
  <c r="D119" i="2" s="1"/>
  <c r="D125" i="2" a="1"/>
  <c r="D125" i="2" s="1"/>
  <c r="D123" i="2" a="1"/>
  <c r="D123" i="2" s="1"/>
  <c r="D105" i="2" a="1"/>
  <c r="D105" i="2" s="1"/>
  <c r="D111" i="2" a="1"/>
  <c r="D111" i="2" s="1"/>
  <c r="D117" i="2" a="1"/>
  <c r="D117" i="2" s="1"/>
  <c r="D115" i="2" a="1"/>
  <c r="D115" i="2" s="1"/>
  <c r="Q6" i="6"/>
  <c r="E24" i="17" s="1"/>
  <c r="Q42" i="6"/>
  <c r="Q33" i="6"/>
  <c r="E10" i="17" s="1"/>
  <c r="Q4" i="6"/>
  <c r="E12" i="17" s="1"/>
  <c r="Q5" i="6"/>
  <c r="E5" i="17" s="1"/>
  <c r="D219" i="2" a="1"/>
  <c r="D219" i="2" s="1"/>
  <c r="D202" i="2" a="1"/>
  <c r="D202" i="2" s="1"/>
  <c r="Q4" i="16"/>
  <c r="D214" i="2" a="1"/>
  <c r="D214" i="2" s="1"/>
  <c r="D213" i="2" a="1"/>
  <c r="D213" i="2" s="1"/>
  <c r="D198" i="2" a="1"/>
  <c r="D198" i="2" s="1"/>
  <c r="D208" i="2" a="1"/>
  <c r="D208" i="2" s="1"/>
  <c r="D224" i="2" a="1"/>
  <c r="D224" i="2" s="1"/>
  <c r="D207" i="2" a="1"/>
  <c r="D207" i="2" s="1"/>
  <c r="D223" i="2" a="1"/>
  <c r="D223" i="2" s="1"/>
  <c r="D194" i="2" a="1"/>
  <c r="D194" i="2" s="1"/>
  <c r="D195" i="2" a="1"/>
  <c r="D195" i="2" s="1"/>
  <c r="D201" i="2" a="1"/>
  <c r="D201" i="2" s="1"/>
  <c r="D217" i="2" a="1"/>
  <c r="D217" i="2" s="1"/>
  <c r="G41" i="17"/>
  <c r="H41" i="17" s="1"/>
  <c r="D220" i="2" a="1"/>
  <c r="D220" i="2" s="1"/>
  <c r="D203" i="2" a="1"/>
  <c r="D203" i="2" s="1"/>
  <c r="D204" i="2" a="1"/>
  <c r="D204" i="2" s="1"/>
  <c r="D222" i="2" a="1"/>
  <c r="D222" i="2" s="1"/>
  <c r="D205" i="2" a="1"/>
  <c r="D205" i="2" s="1"/>
  <c r="D221" i="2" a="1"/>
  <c r="D221" i="2" s="1"/>
  <c r="D206" i="2" a="1"/>
  <c r="D206" i="2" s="1"/>
  <c r="Q42" i="16"/>
  <c r="G29" i="17" s="1"/>
  <c r="D216" i="2" a="1"/>
  <c r="D216" i="2" s="1"/>
  <c r="D199" i="2" a="1"/>
  <c r="D199" i="2" s="1"/>
  <c r="D215" i="2" a="1"/>
  <c r="D215" i="2" s="1"/>
  <c r="D200" i="2" a="1"/>
  <c r="D200" i="2" s="1"/>
  <c r="Q6" i="16"/>
  <c r="G5" i="17" s="1"/>
  <c r="D210" i="2" a="1"/>
  <c r="D210" i="2" s="1"/>
  <c r="D209" i="2" a="1"/>
  <c r="D209" i="2" s="1"/>
  <c r="D225" i="2" a="1"/>
  <c r="D225" i="2" s="1"/>
  <c r="G39" i="17"/>
  <c r="H39" i="17" s="1"/>
  <c r="D212" i="2" a="1"/>
  <c r="D212" i="2" s="1"/>
  <c r="D197" i="2" a="1"/>
  <c r="D197" i="2" s="1"/>
  <c r="D211" i="2" a="1"/>
  <c r="D211" i="2" s="1"/>
  <c r="D196" i="2" a="1"/>
  <c r="D196" i="2" s="1"/>
  <c r="Q3" i="16"/>
  <c r="G42" i="17" s="1"/>
  <c r="D178" i="2" a="1"/>
  <c r="D178" i="2" s="1"/>
  <c r="D186" i="2" a="1"/>
  <c r="D186" i="2" s="1"/>
  <c r="D162" i="2" a="1"/>
  <c r="D162" i="2" s="1"/>
  <c r="D175" i="2" a="1"/>
  <c r="D175" i="2" s="1"/>
  <c r="D191" i="2" a="1"/>
  <c r="D191" i="2" s="1"/>
  <c r="D174" i="2" a="1"/>
  <c r="D174" i="2" s="1"/>
  <c r="D165" i="2" a="1"/>
  <c r="D165" i="2" s="1"/>
  <c r="D169" i="2" a="1"/>
  <c r="D169" i="2" s="1"/>
  <c r="D185" i="2" a="1"/>
  <c r="D185" i="2" s="1"/>
  <c r="D176" i="2" a="1"/>
  <c r="D176" i="2" s="1"/>
  <c r="D190" i="2" a="1"/>
  <c r="D190" i="2" s="1"/>
  <c r="D164" i="2" a="1"/>
  <c r="D164" i="2" s="1"/>
  <c r="D180" i="2" a="1"/>
  <c r="D180" i="2" s="1"/>
  <c r="D163" i="2" a="1"/>
  <c r="D163" i="2" s="1"/>
  <c r="D192" i="2" a="1"/>
  <c r="D192" i="2" s="1"/>
  <c r="D189" i="2" a="1"/>
  <c r="D189" i="2" s="1"/>
  <c r="D166" i="2" a="1"/>
  <c r="D166" i="2" s="1"/>
  <c r="D170" i="2" a="1"/>
  <c r="D170" i="2" s="1"/>
  <c r="D179" i="2" a="1"/>
  <c r="D179" i="2" s="1"/>
  <c r="D183" i="2" a="1"/>
  <c r="D183" i="2" s="1"/>
  <c r="D168" i="2" a="1"/>
  <c r="D168" i="2" s="1"/>
  <c r="D182" i="2" a="1"/>
  <c r="D182" i="2" s="1"/>
  <c r="D173" i="2" a="1"/>
  <c r="D173" i="2" s="1"/>
  <c r="D177" i="2" a="1"/>
  <c r="D177" i="2" s="1"/>
  <c r="D193" i="2" a="1"/>
  <c r="D193" i="2" s="1"/>
  <c r="D184" i="2" a="1"/>
  <c r="D184" i="2" s="1"/>
  <c r="D167" i="2" a="1"/>
  <c r="D167" i="2" s="1"/>
  <c r="D187" i="2" a="1"/>
  <c r="D187" i="2" s="1"/>
  <c r="D172" i="2" a="1"/>
  <c r="D172" i="2" s="1"/>
  <c r="Q3" i="15"/>
  <c r="Q4" i="15"/>
  <c r="G8" i="17" s="1"/>
  <c r="D181" i="2" a="1"/>
  <c r="D181" i="2" s="1"/>
  <c r="D188" i="2" a="1"/>
  <c r="D188" i="2" s="1"/>
  <c r="D171" i="2" a="1"/>
  <c r="D171" i="2" s="1"/>
  <c r="Q13" i="15"/>
  <c r="Q6" i="11"/>
  <c r="C31" i="17"/>
  <c r="D31" i="17" s="1"/>
  <c r="C24" i="17"/>
  <c r="D24" i="17" s="1"/>
  <c r="C23" i="17"/>
  <c r="D23" i="17" s="1"/>
  <c r="C29" i="17"/>
  <c r="D29" i="17" s="1"/>
  <c r="Q45" i="11"/>
  <c r="D64" i="2" a="1"/>
  <c r="D64" i="2" s="1"/>
  <c r="D39" i="2" a="1"/>
  <c r="D39" i="2" s="1"/>
  <c r="D38" i="2" a="1"/>
  <c r="D38" i="2" s="1"/>
  <c r="D43" i="2" a="1"/>
  <c r="D43" i="2" s="1"/>
  <c r="D56" i="2" a="1"/>
  <c r="D56" i="2" s="1"/>
  <c r="D58" i="2" a="1"/>
  <c r="D58" i="2" s="1"/>
  <c r="D34" i="2" a="1"/>
  <c r="D34" i="2" s="1"/>
  <c r="D36" i="2" a="1"/>
  <c r="D36" i="2" s="1"/>
  <c r="D35" i="2" a="1"/>
  <c r="D35" i="2" s="1"/>
  <c r="D48" i="2" a="1"/>
  <c r="D48" i="2" s="1"/>
  <c r="D62" i="2" a="1"/>
  <c r="D62" i="2" s="1"/>
  <c r="D60" i="2" a="1"/>
  <c r="D60" i="2" s="1"/>
  <c r="D65" i="2" a="1"/>
  <c r="D65" i="2" s="1"/>
  <c r="D40" i="2" a="1"/>
  <c r="D40" i="2" s="1"/>
  <c r="D54" i="2" a="1"/>
  <c r="D54" i="2" s="1"/>
  <c r="D52" i="2" a="1"/>
  <c r="D52" i="2" s="1"/>
  <c r="D57" i="2" a="1"/>
  <c r="D57" i="2" s="1"/>
  <c r="D50" i="2" a="1"/>
  <c r="D50" i="2" s="1"/>
  <c r="D46" i="2" a="1"/>
  <c r="D46" i="2" s="1"/>
  <c r="D44" i="2" a="1"/>
  <c r="D44" i="2" s="1"/>
  <c r="D49" i="2" a="1"/>
  <c r="D49" i="2" s="1"/>
  <c r="D63" i="2" a="1"/>
  <c r="D63" i="2" s="1"/>
  <c r="D61" i="2" a="1"/>
  <c r="D61" i="2" s="1"/>
  <c r="D37" i="2" a="1"/>
  <c r="D37" i="2" s="1"/>
  <c r="D41" i="2" a="1"/>
  <c r="D41" i="2" s="1"/>
  <c r="D55" i="2" a="1"/>
  <c r="D55" i="2" s="1"/>
  <c r="D53" i="2" a="1"/>
  <c r="D53" i="2" s="1"/>
  <c r="D59" i="2" a="1"/>
  <c r="D59" i="2" s="1"/>
  <c r="D42" i="2" a="1"/>
  <c r="D42" i="2" s="1"/>
  <c r="D47" i="2" a="1"/>
  <c r="D47" i="2" s="1"/>
  <c r="D45" i="2" a="1"/>
  <c r="D45" i="2" s="1"/>
  <c r="D51" i="2" a="1"/>
  <c r="D51" i="2" s="1"/>
  <c r="Q3" i="11"/>
  <c r="Q47" i="11"/>
  <c r="C30" i="17"/>
  <c r="D30" i="17" s="1"/>
  <c r="Q48" i="11"/>
  <c r="C25" i="17" s="1"/>
  <c r="C33" i="17"/>
  <c r="D33" i="17" s="1"/>
  <c r="Q46" i="11"/>
  <c r="C11" i="17" s="1"/>
  <c r="Q5" i="11"/>
  <c r="C28" i="17"/>
  <c r="Q4" i="11"/>
  <c r="C21" i="17"/>
  <c r="D21" i="17" s="1"/>
  <c r="C15" i="17"/>
  <c r="D15" i="17" s="1"/>
  <c r="C5" i="17"/>
  <c r="D5" i="17" s="1"/>
  <c r="C7" i="17"/>
  <c r="D7" i="17" s="1"/>
  <c r="C6" i="17"/>
  <c r="D6" i="17" s="1"/>
  <c r="C14" i="17"/>
  <c r="D14" i="17" s="1"/>
  <c r="R35" i="3"/>
  <c r="J35" i="3" s="1"/>
  <c r="C13" i="17" l="1"/>
  <c r="E8" i="17"/>
  <c r="F8" i="17" s="1"/>
  <c r="G38" i="17"/>
  <c r="H38" i="17" s="1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0" i="17" l="1"/>
  <c r="F12" i="17"/>
  <c r="F16" i="17"/>
  <c r="F31" i="17"/>
  <c r="F5" i="17"/>
  <c r="F25" i="17"/>
  <c r="F29" i="17"/>
  <c r="F6" i="17"/>
  <c r="F36" i="17"/>
  <c r="F24" i="17"/>
  <c r="H29" i="17"/>
  <c r="H8" i="17"/>
  <c r="H5" i="17"/>
  <c r="H42" i="17"/>
  <c r="H36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R49" i="3" l="1"/>
  <c r="J49" i="3" s="1"/>
  <c r="A4" i="3" l="1" a="1"/>
  <c r="A4" i="3" s="1"/>
  <c r="A5" i="3" a="1"/>
  <c r="A5" i="3" s="1"/>
  <c r="A3" i="3" a="1"/>
  <c r="A3" i="3" s="1"/>
  <c r="A6" i="3" a="1"/>
  <c r="A6" i="3" s="1"/>
  <c r="A7" i="3" a="1"/>
  <c r="A7" i="3" s="1"/>
  <c r="Q7" i="3" s="1"/>
  <c r="B6" i="3" a="1"/>
  <c r="B6" i="3" s="1"/>
  <c r="B4" i="3" a="1"/>
  <c r="B4" i="3" s="1"/>
  <c r="B5" i="3" a="1"/>
  <c r="B5" i="3" s="1"/>
  <c r="B3" i="3" a="1"/>
  <c r="B3" i="3" s="1"/>
  <c r="B7" i="3" a="1"/>
  <c r="B7" i="3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" i="3" l="1"/>
  <c r="Q3" i="3"/>
  <c r="Q5" i="3"/>
  <c r="C22" i="17" s="1"/>
  <c r="Q4" i="3"/>
  <c r="C17" i="17" s="1"/>
  <c r="Q14" i="3"/>
  <c r="C3" i="17" s="1"/>
  <c r="D3" i="17" s="1"/>
  <c r="Q10" i="3"/>
  <c r="D28" i="2" a="1"/>
  <c r="D28" i="2" s="1"/>
  <c r="A28" i="2" s="1"/>
  <c r="D8" i="2" a="1"/>
  <c r="D8" i="2" s="1"/>
  <c r="A8" i="2" s="1"/>
  <c r="D13" i="2" a="1"/>
  <c r="D13" i="2" s="1"/>
  <c r="A13" i="2" s="1"/>
  <c r="D5" i="2" a="1"/>
  <c r="D5" i="2" s="1"/>
  <c r="A5" i="2" s="1"/>
  <c r="D3" i="2" a="1"/>
  <c r="D3" i="2" s="1"/>
  <c r="A3" i="2" s="1"/>
  <c r="D22" i="2" a="1"/>
  <c r="D22" i="2" s="1"/>
  <c r="A22" i="2" s="1"/>
  <c r="D33" i="2" a="1"/>
  <c r="D33" i="2" s="1"/>
  <c r="A33" i="2" s="1"/>
  <c r="D31" i="2" a="1"/>
  <c r="D31" i="2" s="1"/>
  <c r="A31" i="2" s="1"/>
  <c r="D30" i="2" a="1"/>
  <c r="D30" i="2" s="1"/>
  <c r="A30" i="2" s="1"/>
  <c r="D15" i="2" a="1"/>
  <c r="D15" i="2" s="1"/>
  <c r="A15" i="2" s="1"/>
  <c r="D20" i="2" a="1"/>
  <c r="D20" i="2" s="1"/>
  <c r="A20" i="2" s="1"/>
  <c r="D25" i="2" a="1"/>
  <c r="D25" i="2" s="1"/>
  <c r="A25" i="2" s="1"/>
  <c r="D23" i="2" a="1"/>
  <c r="D23" i="2" s="1"/>
  <c r="A23" i="2" s="1"/>
  <c r="D18" i="2" a="1"/>
  <c r="D18" i="2" s="1"/>
  <c r="A18" i="2" s="1"/>
  <c r="D9" i="2" a="1"/>
  <c r="D9" i="2" s="1"/>
  <c r="A9" i="2" s="1"/>
  <c r="D14" i="2" a="1"/>
  <c r="D14" i="2" s="1"/>
  <c r="A14" i="2" s="1"/>
  <c r="D12" i="2" a="1"/>
  <c r="D12" i="2" s="1"/>
  <c r="A12" i="2" s="1"/>
  <c r="D17" i="2" a="1"/>
  <c r="D17" i="2" s="1"/>
  <c r="A17" i="2" s="1"/>
  <c r="D16" i="2" a="1"/>
  <c r="D16" i="2" s="1"/>
  <c r="A16" i="2" s="1"/>
  <c r="D7" i="2" a="1"/>
  <c r="D7" i="2" s="1"/>
  <c r="A7" i="2" s="1"/>
  <c r="D6" i="2" a="1"/>
  <c r="D6" i="2" s="1"/>
  <c r="A6" i="2" s="1"/>
  <c r="D4" i="2" a="1"/>
  <c r="D4" i="2" s="1"/>
  <c r="A4" i="2" s="1"/>
  <c r="D26" i="2" a="1"/>
  <c r="D26" i="2" s="1"/>
  <c r="A26" i="2" s="1"/>
  <c r="D2" i="2" a="1"/>
  <c r="D2" i="2" s="1"/>
  <c r="A2" i="2" s="1"/>
  <c r="D32" i="2" a="1"/>
  <c r="D32" i="2" s="1"/>
  <c r="A32" i="2" s="1"/>
  <c r="D24" i="2" a="1"/>
  <c r="D24" i="2" s="1"/>
  <c r="A24" i="2" s="1"/>
  <c r="D29" i="2" a="1"/>
  <c r="D29" i="2" s="1"/>
  <c r="A29" i="2" s="1"/>
  <c r="D27" i="2" a="1"/>
  <c r="D27" i="2" s="1"/>
  <c r="A27" i="2" s="1"/>
  <c r="D21" i="2" a="1"/>
  <c r="D21" i="2" s="1"/>
  <c r="A21" i="2" s="1"/>
  <c r="D19" i="2" a="1"/>
  <c r="D19" i="2" s="1"/>
  <c r="A19" i="2" s="1"/>
  <c r="D11" i="2" a="1"/>
  <c r="D11" i="2" s="1"/>
  <c r="A11" i="2" s="1"/>
  <c r="D10" i="2" a="1"/>
  <c r="D10" i="2" s="1"/>
  <c r="A10" i="2" s="1"/>
  <c r="Q35" i="3"/>
  <c r="Q12" i="3"/>
  <c r="Q11" i="3"/>
  <c r="Q34" i="3"/>
  <c r="C9" i="17" s="1"/>
  <c r="C2" i="17" l="1"/>
  <c r="C16" i="17"/>
  <c r="D25" i="17" l="1"/>
  <c r="D28" i="17"/>
  <c r="D11" i="17"/>
  <c r="D13" i="17"/>
  <c r="D16" i="17"/>
  <c r="D22" i="17"/>
  <c r="D2" i="17"/>
  <c r="D17" i="17"/>
  <c r="D9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<sst xmlns="http://schemas.openxmlformats.org/spreadsheetml/2006/main" count="1466" uniqueCount="389">
  <si>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</si>
  <si>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</si>
  <si>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</si>
  <si>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</si>
  <si>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</si>
  <si>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</si>
  <si>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</si>
  <si>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</si>
  <si>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</si>
  <si>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</si>
  <si>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</si>
  <si>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</si>
  <si>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</si>
  <si>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</si>
  <si>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</si>
  <si>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</si>
  <si>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</si>
  <si>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</si>
  <si>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</si>
  <si>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</si>
  <si>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</si>
  <si>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</si>
  <si>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</si>
  <si>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</si>
  <si>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</si>
  <si>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</si>
  <si>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</si>
  <si>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</si>
  <si>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</si>
  <si>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</si>
  <si>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Best Prelim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</si>
  <si>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</si>
  <si>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</si>
  <si>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</si>
  <si>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</si>
  <si>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</si>
  <si>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</si>
  <si>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</si>
  <si>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</si>
  <si>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</si>
  <si>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</si>
  <si>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</si>
  <si>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</si>
  <si>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</si>
  <si>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</si>
  <si>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</si>
  <si>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</si>
  <si>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</si>
  <si>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</si>
  <si>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</si>
  <si>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</si>
  <si>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2022 Elite Canada</t>
  </si>
  <si>
    <t>Development Team Ranking</t>
  </si>
  <si>
    <t>1st Routine</t>
  </si>
  <si>
    <t>1st Routine DD</t>
  </si>
  <si>
    <t>2nd Routine</t>
  </si>
  <si>
    <t>2nd Routine DD</t>
  </si>
  <si>
    <t>Best Routine</t>
  </si>
  <si>
    <t>Best Q1</t>
  </si>
  <si>
    <t>Best Final</t>
  </si>
  <si>
    <t>Q1</t>
  </si>
  <si>
    <t>Q1 DD</t>
  </si>
  <si>
    <t>2022 Rules</t>
  </si>
  <si>
    <t>Level</t>
  </si>
  <si>
    <t>Event Empty</t>
  </si>
  <si>
    <t xml:space="preserve">LEE-MCMEEKEN, Brooklyn </t>
  </si>
  <si>
    <t>TAG</t>
  </si>
  <si>
    <t xml:space="preserve">JACKSON, Claire </t>
  </si>
  <si>
    <t>Pegasus</t>
  </si>
  <si>
    <t xml:space="preserve"> ST-PIERRE-LEPITRE, Gaëlle </t>
  </si>
  <si>
    <t>Trampoline intercité</t>
  </si>
  <si>
    <t xml:space="preserve">GRANT , Sienna </t>
  </si>
  <si>
    <t xml:space="preserve">SCHMIDT, Jordyn </t>
  </si>
  <si>
    <t xml:space="preserve">RYGA, Ruby </t>
  </si>
  <si>
    <t>Revelstoke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</si>
  <si>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</si>
  <si>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</si>
  <si>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</si>
  <si>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</si>
  <si>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</si>
  <si>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</si>
  <si>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</si>
  <si>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</si>
  <si>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</si>
  <si>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</si>
  <si>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</si>
  <si>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</si>
  <si>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</si>
  <si>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</si>
  <si>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</si>
  <si>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</si>
  <si>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</si>
  <si>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</si>
  <si>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</si>
  <si>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</si>
  <si>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</si>
  <si>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</si>
  <si>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</si>
  <si>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</si>
  <si>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</si>
  <si>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</si>
  <si>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</si>
  <si>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</si>
  <si>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</si>
  <si>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</si>
  <si>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</si>
  <si>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</si>
  <si>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</si>
  <si>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</si>
  <si>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</si>
  <si>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</si>
  <si>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</si>
  <si>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</si>
  <si>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</si>
  <si>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>Zéniths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</si>
  <si>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</si>
  <si>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</si>
  <si>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</si>
  <si>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</si>
  <si>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</si>
  <si>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</si>
  <si>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</si>
  <si>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</si>
  <si>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</si>
  <si>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</si>
  <si>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</si>
  <si>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</si>
  <si>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</si>
  <si>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</si>
  <si>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</si>
  <si>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</si>
  <si>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SKRIPNICENKO, Maks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</si>
  <si>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</si>
  <si>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</si>
  <si>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</si>
  <si>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</si>
  <si>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</si>
  <si>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</si>
  <si>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</si>
  <si>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</si>
  <si>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</si>
  <si>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</si>
  <si>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</si>
  <si>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</si>
  <si>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</si>
  <si>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</si>
  <si>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</si>
  <si>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</si>
  <si>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</si>
  <si>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</si>
  <si>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</si>
  <si>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</si>
  <si>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</si>
  <si>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</si>
  <si>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</si>
  <si>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</si>
  <si>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</si>
  <si>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</si>
  <si>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</si>
  <si>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</si>
  <si>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</si>
  <si>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</si>
  <si>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</si>
  <si>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</si>
  <si>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</si>
  <si>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PROLUX, Keegan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</si>
  <si>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</si>
  <si>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</si>
  <si>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</si>
  <si>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</si>
  <si>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</si>
  <si>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</si>
  <si>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</si>
  <si>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</si>
  <si>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DYKMAN, Matvey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</si>
  <si>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</si>
  <si>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</si>
  <si>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</si>
  <si>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</si>
  <si>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</si>
  <si>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</si>
  <si>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</si>
  <si>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</si>
  <si>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</si>
  <si>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</si>
  <si>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</si>
  <si>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</si>
  <si>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</si>
  <si>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</si>
  <si>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</si>
  <si>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</si>
  <si>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</si>
  <si>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</si>
  <si>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</si>
  <si>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</si>
  <si>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</si>
  <si>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</si>
  <si>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</si>
  <si>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</si>
  <si>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</si>
  <si>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</si>
  <si>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</si>
  <si>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</si>
  <si>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</si>
  <si>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</si>
  <si>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</si>
  <si>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</si>
  <si>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</si>
  <si>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</si>
  <si>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</si>
  <si>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</si>
  <si>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</si>
  <si>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</si>
  <si>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</si>
  <si>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</si>
  <si>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</si>
  <si>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</si>
  <si>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</si>
  <si>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</si>
  <si>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</si>
  <si>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</si>
  <si>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</si>
  <si>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</si>
  <si>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</si>
  <si>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</si>
  <si>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</si>
  <si>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</si>
  <si>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</si>
  <si>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</si>
  <si>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</si>
  <si>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</si>
  <si>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</si>
  <si>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</si>
  <si>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</si>
  <si>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</si>
  <si>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</si>
  <si>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</si>
  <si>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</si>
  <si>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</si>
  <si>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</si>
  <si>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</si>
  <si>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</si>
  <si>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</si>
  <si>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</si>
  <si>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</si>
  <si>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</si>
  <si>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</si>
  <si>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</si>
  <si>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</si>
  <si>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</si>
  <si>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</si>
  <si>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</si>
  <si>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</si>
  <si>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</si>
  <si>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</si>
  <si>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</si>
  <si>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</si>
  <si>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</si>
  <si>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</si>
  <si>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</si>
  <si>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</si>
  <si>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</si>
  <si>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</si>
  <si>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</si>
  <si>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</si>
  <si>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</si>
  <si>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</si>
  <si>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</si>
  <si>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</si>
  <si>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</si>
  <si>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</si>
  <si>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</si>
  <si>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</si>
  <si>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</si>
  <si>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</si>
  <si>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</si>
  <si>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</si>
  <si>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</si>
  <si>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</si>
  <si>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</si>
  <si>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</si>
  <si>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</si>
  <si>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</si>
  <si>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</si>
  <si>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</si>
  <si>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</si>
  <si>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</si>
  <si>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</si>
  <si>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</si>
  <si>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</si>
  <si>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</si>
  <si>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</si>
  <si>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</si>
  <si>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</si>
  <si>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</si>
  <si>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</si>
  <si>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</si>
  <si>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</si>
  <si>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</si>
  <si>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</si>
  <si>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</si>
  <si>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</si>
  <si>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</si>
  <si>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</si>
  <si>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</si>
  <si>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</si>
  <si>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</si>
  <si>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</si>
  <si>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</si>
  <si>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</si>
  <si>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</si>
  <si>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</si>
  <si>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</si>
  <si>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</si>
  <si>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</si>
  <si>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</si>
  <si>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</si>
  <si>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</si>
  <si>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</si>
  <si>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</si>
  <si>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</si>
  <si>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</si>
  <si>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</si>
  <si>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</si>
  <si>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</si>
  <si>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</si>
  <si>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</si>
  <si>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</si>
  <si>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</si>
  <si>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</si>
  <si>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</si>
  <si>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</si>
  <si>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</si>
  <si>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 xml:space="preserve"> BRABENEC, Maya</t>
  </si>
  <si>
    <t>Oakville</t>
  </si>
  <si>
    <t xml:space="preserve"> MAGDALENNA, Sienna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</si>
  <si>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</si>
  <si>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</si>
  <si>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</si>
  <si>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</si>
  <si>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</si>
  <si>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</si>
  <si>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</si>
  <si>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</si>
  <si>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</si>
  <si>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</si>
  <si>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</si>
  <si>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</si>
  <si>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</si>
  <si>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</si>
  <si>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</si>
  <si>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</si>
  <si>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</si>
  <si>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</si>
  <si>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</si>
  <si>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</si>
  <si>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</si>
  <si>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</si>
  <si>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</si>
  <si>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</si>
  <si>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</si>
  <si>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</si>
  <si>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</si>
  <si>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</si>
  <si>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</si>
  <si>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</si>
  <si>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</si>
  <si>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</si>
  <si>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</si>
  <si>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</si>
  <si>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</si>
  <si>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</si>
  <si>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</si>
  <si>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</si>
  <si>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</si>
  <si>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</si>
  <si>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</si>
  <si>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QC Performance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</si>
  <si>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</si>
  <si>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</si>
  <si>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</si>
  <si>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</si>
  <si>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</si>
  <si>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</si>
  <si>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</si>
  <si>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</si>
  <si>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</si>
  <si>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</si>
  <si>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LEPORE, Amylia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</si>
</sst>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31" bestFit="1" customWidth="1"/>
  </cols>
  <sheetData>
    <row r="1" spans="1:4" x14ac:dyDescent="0.2">
      <c r="A1" s="10" t="s">
        <v>31</v>
      </c>
      <c r="B1" s="10" t="s">
        <v>5</v>
      </c>
      <c r="C1" s="10" t="s">
        <v>15</v>
      </c>
      <c r="D1" s="32" t="s">
        <v>32</v>
      </c>
    </row>
    <row r="2" spans="1:4" hidden="1" x14ac:dyDescent="0.2">
      <c r="A2" s="82" t="str">
        <f>IF(D2="","","TRA-M")</f>
        <v/>
      </c>
      <c r="B2" s="85" t="s">
        <v>18</v>
      </c>
      <c r="C2" s="82">
        <v>1</v>
      </c>
      <c r="D2" s="45" t="str" cm="1">
        <f t="array" ref="D2">_xlfn.IFNA(INDEX('TRA-M'!C$3:C$55,MATCH(1,(C2='TRA-M'!A$3:A$55)*(B2='TRA-M'!G$3:G$55),0)),"")</f>
        <v/>
      </c>
    </row>
    <row r="3" spans="1:4" hidden="1" x14ac:dyDescent="0.2">
      <c r="A3" s="82" t="str">
        <f t="shared" ref="A3:A33" si="0">IF(D3="","","TRA-M")</f>
        <v/>
      </c>
      <c r="B3" s="85" t="s">
        <v>18</v>
      </c>
      <c r="C3" s="82">
        <v>2</v>
      </c>
      <c r="D3" s="45" t="str" cm="1">
        <f t="array" ref="D3">_xlfn.IFNA(INDEX('TRA-M'!C$3:C$55,MATCH(1,(C3='TRA-M'!A$3:A$55)*(B3='TRA-M'!G$3:G$55),0)),"")</f>
        <v/>
      </c>
    </row>
    <row r="4" spans="1:4" hidden="1" x14ac:dyDescent="0.2">
      <c r="A4" s="82" t="str">
        <f t="shared" si="0"/>
        <v/>
      </c>
      <c r="B4" s="85" t="s">
        <v>18</v>
      </c>
      <c r="C4" s="82">
        <v>3</v>
      </c>
      <c r="D4" s="45" t="str" cm="1">
        <f t="array" ref="D4">_xlfn.IFNA(INDEX('TRA-M'!C$3:C$55,MATCH(1,(C4='TRA-M'!A$3:A$55)*(B4='TRA-M'!G$3:G$55),0)),"")</f>
        <v/>
      </c>
    </row>
    <row r="5" spans="1:4" hidden="1" x14ac:dyDescent="0.2">
      <c r="A5" s="82" t="str">
        <f t="shared" si="0"/>
        <v/>
      </c>
      <c r="B5" s="85" t="s">
        <v>18</v>
      </c>
      <c r="C5" s="82">
        <v>4</v>
      </c>
      <c r="D5" s="45" t="str" cm="1">
        <f t="array" ref="D5">_xlfn.IFNA(INDEX('TRA-M'!C$3:C$55,MATCH(1,(C5='TRA-M'!A$3:A$55)*(B5='TRA-M'!G$3:G$55),0)),"")</f>
        <v/>
      </c>
    </row>
    <row r="6" spans="1:4" hidden="1" x14ac:dyDescent="0.2">
      <c r="A6" s="82" t="str">
        <f t="shared" si="0"/>
        <v/>
      </c>
      <c r="B6" s="85" t="s">
        <v>18</v>
      </c>
      <c r="C6" s="82">
        <v>5</v>
      </c>
      <c r="D6" s="45" t="str" cm="1">
        <f t="array" ref="D6">_xlfn.IFNA(INDEX('TRA-M'!C$3:C$55,MATCH(1,(C6='TRA-M'!A$3:A$55)*(B6='TRA-M'!G$3:G$55),0)),"")</f>
        <v/>
      </c>
    </row>
    <row r="7" spans="1:4" hidden="1" x14ac:dyDescent="0.2">
      <c r="A7" s="82" t="str">
        <f t="shared" si="0"/>
        <v/>
      </c>
      <c r="B7" s="85" t="s">
        <v>18</v>
      </c>
      <c r="C7" s="82">
        <v>6</v>
      </c>
      <c r="D7" s="45" t="str" cm="1">
        <f t="array" ref="D7">_xlfn.IFNA(INDEX('TRA-M'!C$3:C$55,MATCH(1,(C7='TRA-M'!A$3:A$55)*(B7='TRA-M'!G$3:G$55),0)),"")</f>
        <v/>
      </c>
    </row>
    <row r="8" spans="1:4" hidden="1" x14ac:dyDescent="0.2">
      <c r="A8" s="82" t="str">
        <f t="shared" si="0"/>
        <v/>
      </c>
      <c r="B8" s="85" t="s">
        <v>18</v>
      </c>
      <c r="C8" s="82">
        <v>7</v>
      </c>
      <c r="D8" s="45" t="str" cm="1">
        <f t="array" ref="D8">_xlfn.IFNA(INDEX('TRA-M'!C$3:C$55,MATCH(1,(C8='TRA-M'!A$3:A$55)*(B8='TRA-M'!G$3:G$55),0)),"")</f>
        <v/>
      </c>
    </row>
    <row r="9" spans="1:4" hidden="1" x14ac:dyDescent="0.2">
      <c r="A9" s="82" t="str">
        <f t="shared" si="0"/>
        <v/>
      </c>
      <c r="B9" s="85" t="s">
        <v>18</v>
      </c>
      <c r="C9" s="82">
        <v>8</v>
      </c>
      <c r="D9" s="45" t="str" cm="1">
        <f t="array" ref="D9">_xlfn.IFNA(INDEX('TRA-M'!C$3:C$55,MATCH(1,(C9='TRA-M'!A$3:A$55)*(B9='TRA-M'!G$3:G$55),0)),"")</f>
        <v/>
      </c>
    </row>
    <row r="10" spans="1:4" hidden="1" x14ac:dyDescent="0.2">
      <c r="A10" s="82" t="str">
        <f t="shared" si="0"/>
        <v/>
      </c>
      <c r="B10" s="82" t="s">
        <v>17</v>
      </c>
      <c r="C10" s="82">
        <v>1</v>
      </c>
      <c r="D10" s="45" t="str" cm="1">
        <f t="array" ref="D10">_xlfn.IFNA(INDEX('TRA-M'!C$3:C$55,MATCH(1,(C10='TRA-M'!A$3:A$55)*(B10='TRA-M'!G$3:G$55),0)),"")</f>
        <v/>
      </c>
    </row>
    <row r="11" spans="1:4" hidden="1" x14ac:dyDescent="0.2">
      <c r="A11" s="82" t="str">
        <f t="shared" si="0"/>
        <v/>
      </c>
      <c r="B11" s="82" t="s">
        <v>17</v>
      </c>
      <c r="C11" s="82">
        <v>2</v>
      </c>
      <c r="D11" s="45" t="str" cm="1">
        <f t="array" ref="D11">_xlfn.IFNA(INDEX('TRA-M'!C$3:C$55,MATCH(1,(C11='TRA-M'!A$3:A$55)*(B11='TRA-M'!G$3:G$55),0)),"")</f>
        <v/>
      </c>
    </row>
    <row r="12" spans="1:4" hidden="1" x14ac:dyDescent="0.2">
      <c r="A12" s="82" t="str">
        <f t="shared" si="0"/>
        <v/>
      </c>
      <c r="B12" s="82" t="s">
        <v>17</v>
      </c>
      <c r="C12" s="82">
        <v>3</v>
      </c>
      <c r="D12" s="45" t="str" cm="1">
        <f t="array" ref="D12">_xlfn.IFNA(INDEX('TRA-M'!C$3:C$55,MATCH(1,(C12='TRA-M'!A$3:A$55)*(B12='TRA-M'!G$3:G$55),0)),"")</f>
        <v/>
      </c>
    </row>
    <row r="13" spans="1:4" hidden="1" x14ac:dyDescent="0.2">
      <c r="A13" s="82" t="str">
        <f t="shared" si="0"/>
        <v/>
      </c>
      <c r="B13" s="82" t="s">
        <v>17</v>
      </c>
      <c r="C13" s="82">
        <v>4</v>
      </c>
      <c r="D13" s="45" t="str" cm="1">
        <f t="array" ref="D13">_xlfn.IFNA(INDEX('TRA-M'!C$3:C$55,MATCH(1,(C13='TRA-M'!A$3:A$55)*(B13='TRA-M'!G$3:G$55),0)),"")</f>
        <v/>
      </c>
    </row>
    <row r="14" spans="1:4" hidden="1" x14ac:dyDescent="0.2">
      <c r="A14" s="82" t="str">
        <f t="shared" si="0"/>
        <v/>
      </c>
      <c r="B14" s="82" t="s">
        <v>17</v>
      </c>
      <c r="C14" s="82">
        <v>5</v>
      </c>
      <c r="D14" s="45" t="str" cm="1">
        <f t="array" ref="D14">_xlfn.IFNA(INDEX('TRA-M'!C$3:C$55,MATCH(1,(C14='TRA-M'!A$3:A$55)*(B14='TRA-M'!G$3:G$55),0)),"")</f>
        <v/>
      </c>
    </row>
    <row r="15" spans="1:4" hidden="1" x14ac:dyDescent="0.2">
      <c r="A15" s="82" t="str">
        <f t="shared" si="0"/>
        <v/>
      </c>
      <c r="B15" s="82" t="s">
        <v>17</v>
      </c>
      <c r="C15" s="82">
        <v>6</v>
      </c>
      <c r="D15" s="45" t="str" cm="1">
        <f t="array" ref="D15">_xlfn.IFNA(INDEX('TRA-M'!C$3:C$55,MATCH(1,(C15='TRA-M'!A$3:A$55)*(B15='TRA-M'!G$3:G$55),0)),"")</f>
        <v/>
      </c>
    </row>
    <row r="16" spans="1:4" hidden="1" x14ac:dyDescent="0.2">
      <c r="A16" s="82" t="str">
        <f t="shared" si="0"/>
        <v/>
      </c>
      <c r="B16" s="82" t="s">
        <v>17</v>
      </c>
      <c r="C16" s="82">
        <v>7</v>
      </c>
      <c r="D16" s="45" t="str" cm="1">
        <f t="array" ref="D16">_xlfn.IFNA(INDEX('TRA-M'!C$3:C$55,MATCH(1,(C16='TRA-M'!A$3:A$55)*(B16='TRA-M'!G$3:G$55),0)),"")</f>
        <v/>
      </c>
    </row>
    <row r="17" spans="1:4" hidden="1" x14ac:dyDescent="0.2">
      <c r="A17" s="82" t="str">
        <f t="shared" si="0"/>
        <v/>
      </c>
      <c r="B17" s="82" t="s">
        <v>17</v>
      </c>
      <c r="C17" s="82">
        <v>8</v>
      </c>
      <c r="D17" s="45" t="str" cm="1">
        <f t="array" ref="D17">_xlfn.IFNA(INDEX('TRA-M'!C$3:C$55,MATCH(1,(C17='TRA-M'!A$3:A$55)*(B17='TRA-M'!G$3:G$55),0)),"")</f>
        <v/>
      </c>
    </row>
    <row r="18" spans="1:4" hidden="1" x14ac:dyDescent="0.2">
      <c r="A18" s="82" t="str">
        <f t="shared" si="0"/>
        <v/>
      </c>
      <c r="B18" s="82" t="s">
        <v>19</v>
      </c>
      <c r="C18" s="82">
        <v>1</v>
      </c>
      <c r="D18" s="45" t="str" cm="1">
        <f t="array" ref="D18">_xlfn.IFNA(INDEX('TRA-M'!C$3:C$55,MATCH(1,(C18='TRA-M'!A$3:A$55)*(B18='TRA-M'!G$3:G$55),0)),"")</f>
        <v/>
      </c>
    </row>
    <row r="19" spans="1:4" hidden="1" x14ac:dyDescent="0.2">
      <c r="A19" s="82" t="str">
        <f t="shared" si="0"/>
        <v/>
      </c>
      <c r="B19" s="82" t="s">
        <v>19</v>
      </c>
      <c r="C19" s="82">
        <v>2</v>
      </c>
      <c r="D19" s="45" t="str" cm="1">
        <f t="array" ref="D19">_xlfn.IFNA(INDEX('TRA-M'!C$3:C$55,MATCH(1,(C19='TRA-M'!A$3:A$55)*(B19='TRA-M'!G$3:G$55),0)),"")</f>
        <v/>
      </c>
    </row>
    <row r="20" spans="1:4" hidden="1" x14ac:dyDescent="0.2">
      <c r="A20" s="82" t="str">
        <f t="shared" si="0"/>
        <v/>
      </c>
      <c r="B20" s="82" t="s">
        <v>19</v>
      </c>
      <c r="C20" s="82">
        <v>3</v>
      </c>
      <c r="D20" s="45" t="str" cm="1">
        <f t="array" ref="D20">_xlfn.IFNA(INDEX('TRA-M'!C$3:C$55,MATCH(1,(C20='TRA-M'!A$3:A$55)*(B20='TRA-M'!G$3:G$55),0)),"")</f>
        <v/>
      </c>
    </row>
    <row r="21" spans="1:4" hidden="1" x14ac:dyDescent="0.2">
      <c r="A21" s="82" t="str">
        <f t="shared" si="0"/>
        <v/>
      </c>
      <c r="B21" s="82" t="s">
        <v>19</v>
      </c>
      <c r="C21" s="82">
        <v>4</v>
      </c>
      <c r="D21" s="45" t="str" cm="1">
        <f t="array" ref="D21">_xlfn.IFNA(INDEX('TRA-M'!C$3:C$55,MATCH(1,(C21='TRA-M'!A$3:A$55)*(B21='TRA-M'!G$3:G$55),0)),"")</f>
        <v/>
      </c>
    </row>
    <row r="22" spans="1:4" hidden="1" x14ac:dyDescent="0.2">
      <c r="A22" s="82" t="str">
        <f t="shared" si="0"/>
        <v/>
      </c>
      <c r="B22" s="82" t="s">
        <v>19</v>
      </c>
      <c r="C22" s="82">
        <v>5</v>
      </c>
      <c r="D22" s="45" t="str" cm="1">
        <f t="array" ref="D22">_xlfn.IFNA(INDEX('TRA-M'!C$3:C$55,MATCH(1,(C22='TRA-M'!A$3:A$55)*(B22='TRA-M'!G$3:G$55),0)),"")</f>
        <v/>
      </c>
    </row>
    <row r="23" spans="1:4" hidden="1" x14ac:dyDescent="0.2">
      <c r="A23" s="82" t="str">
        <f t="shared" si="0"/>
        <v/>
      </c>
      <c r="B23" s="82" t="s">
        <v>19</v>
      </c>
      <c r="C23" s="82">
        <v>6</v>
      </c>
      <c r="D23" s="45" t="str" cm="1">
        <f t="array" ref="D23">_xlfn.IFNA(INDEX('TRA-M'!C$3:C$55,MATCH(1,(C23='TRA-M'!A$3:A$55)*(B23='TRA-M'!G$3:G$55),0)),"")</f>
        <v/>
      </c>
    </row>
    <row r="24" spans="1:4" hidden="1" x14ac:dyDescent="0.2">
      <c r="A24" s="82" t="str">
        <f t="shared" si="0"/>
        <v/>
      </c>
      <c r="B24" s="82" t="s">
        <v>19</v>
      </c>
      <c r="C24" s="82">
        <v>7</v>
      </c>
      <c r="D24" s="45" t="str" cm="1">
        <f t="array" ref="D24">_xlfn.IFNA(INDEX('TRA-M'!C$3:C$55,MATCH(1,(C24='TRA-M'!A$3:A$55)*(B24='TRA-M'!G$3:G$55),0)),"")</f>
        <v/>
      </c>
    </row>
    <row r="25" spans="1:4" hidden="1" x14ac:dyDescent="0.2">
      <c r="A25" s="82" t="str">
        <f t="shared" si="0"/>
        <v/>
      </c>
      <c r="B25" s="82" t="s">
        <v>19</v>
      </c>
      <c r="C25" s="82">
        <v>8</v>
      </c>
      <c r="D25" s="45" t="str" cm="1">
        <f t="array" ref="D25">_xlfn.IFNA(INDEX('TRA-M'!C$3:C$55,MATCH(1,(C25='TRA-M'!A$3:A$55)*(B25='TRA-M'!G$3:G$55),0)),"")</f>
        <v/>
      </c>
    </row>
    <row r="26" spans="1:4" hidden="1" x14ac:dyDescent="0.2">
      <c r="A26" s="82" t="str">
        <f t="shared" si="0"/>
        <v/>
      </c>
      <c r="B26" s="82" t="s">
        <v>20</v>
      </c>
      <c r="C26" s="82">
        <v>1</v>
      </c>
      <c r="D26" s="45" t="str" cm="1">
        <f t="array" ref="D26">_xlfn.IFNA(INDEX('TRA-M'!C$3:C$55,MATCH(1,(C26='TRA-M'!A$3:A$55)*(B26='TRA-M'!G$3:G$55),0)),"")</f>
        <v/>
      </c>
    </row>
    <row r="27" spans="1:4" hidden="1" x14ac:dyDescent="0.2">
      <c r="A27" s="82" t="str">
        <f t="shared" si="0"/>
        <v/>
      </c>
      <c r="B27" s="82" t="s">
        <v>20</v>
      </c>
      <c r="C27" s="82">
        <v>2</v>
      </c>
      <c r="D27" s="45" t="str" cm="1">
        <f t="array" ref="D27">_xlfn.IFNA(INDEX('TRA-M'!C$3:C$55,MATCH(1,(C27='TRA-M'!A$3:A$55)*(B27='TRA-M'!G$3:G$55),0)),"")</f>
        <v/>
      </c>
    </row>
    <row r="28" spans="1:4" hidden="1" x14ac:dyDescent="0.2">
      <c r="A28" s="82" t="str">
        <f t="shared" si="0"/>
        <v/>
      </c>
      <c r="B28" s="82" t="s">
        <v>20</v>
      </c>
      <c r="C28" s="82">
        <v>3</v>
      </c>
      <c r="D28" s="45" t="str" cm="1">
        <f t="array" ref="D28">_xlfn.IFNA(INDEX('TRA-M'!C$3:C$55,MATCH(1,(C28='TRA-M'!A$3:A$55)*(B28='TRA-M'!G$3:G$55),0)),"")</f>
        <v/>
      </c>
    </row>
    <row r="29" spans="1:4" hidden="1" x14ac:dyDescent="0.2">
      <c r="A29" s="82" t="str">
        <f t="shared" si="0"/>
        <v/>
      </c>
      <c r="B29" s="82" t="s">
        <v>20</v>
      </c>
      <c r="C29" s="82">
        <v>4</v>
      </c>
      <c r="D29" s="45" t="str" cm="1">
        <f t="array" ref="D29">_xlfn.IFNA(INDEX('TRA-M'!C$3:C$55,MATCH(1,(C29='TRA-M'!A$3:A$55)*(B29='TRA-M'!G$3:G$55),0)),"")</f>
        <v/>
      </c>
    </row>
    <row r="30" spans="1:4" hidden="1" x14ac:dyDescent="0.2">
      <c r="A30" s="82" t="str">
        <f t="shared" si="0"/>
        <v/>
      </c>
      <c r="B30" s="82" t="s">
        <v>20</v>
      </c>
      <c r="C30" s="82">
        <v>5</v>
      </c>
      <c r="D30" s="45" t="str" cm="1">
        <f t="array" ref="D30">_xlfn.IFNA(INDEX('TRA-M'!C$3:C$55,MATCH(1,(C30='TRA-M'!A$3:A$55)*(B30='TRA-M'!G$3:G$55),0)),"")</f>
        <v/>
      </c>
    </row>
    <row r="31" spans="1:4" hidden="1" x14ac:dyDescent="0.2">
      <c r="A31" s="82" t="str">
        <f t="shared" si="0"/>
        <v/>
      </c>
      <c r="B31" s="82" t="s">
        <v>20</v>
      </c>
      <c r="C31" s="82">
        <v>6</v>
      </c>
      <c r="D31" s="45" t="str" cm="1">
        <f t="array" ref="D31">_xlfn.IFNA(INDEX('TRA-M'!C$3:C$55,MATCH(1,(C31='TRA-M'!A$3:A$55)*(B31='TRA-M'!G$3:G$55),0)),"")</f>
        <v/>
      </c>
    </row>
    <row r="32" spans="1:4" hidden="1" x14ac:dyDescent="0.2">
      <c r="A32" s="82" t="str">
        <f t="shared" si="0"/>
        <v/>
      </c>
      <c r="B32" s="82" t="s">
        <v>20</v>
      </c>
      <c r="C32" s="82">
        <v>7</v>
      </c>
      <c r="D32" s="45" t="str" cm="1">
        <f t="array" ref="D32">_xlfn.IFNA(INDEX('TRA-M'!C$3:C$55,MATCH(1,(C32='TRA-M'!A$3:A$55)*(B32='TRA-M'!G$3:G$55),0)),"")</f>
        <v/>
      </c>
    </row>
    <row r="33" spans="1:4" hidden="1" x14ac:dyDescent="0.2">
      <c r="A33" s="82" t="str">
        <f t="shared" si="0"/>
        <v/>
      </c>
      <c r="B33" s="82" t="s">
        <v>20</v>
      </c>
      <c r="C33" s="82">
        <v>8</v>
      </c>
      <c r="D33" s="45" t="str" cm="1">
        <f t="array" ref="D33">_xlfn.IFNA(INDEX('TRA-M'!C$3:C$55,MATCH(1,(C33='TRA-M'!A$3:A$55)*(B33='TRA-M'!G$3:G$55),0)),"")</f>
        <v/>
      </c>
    </row>
    <row r="34" spans="1:4" hidden="1" x14ac:dyDescent="0.2">
      <c r="A34" s="83" t="str">
        <f>IF(D34="","","TRA-W")</f>
        <v/>
      </c>
      <c r="B34" s="86" t="s">
        <v>18</v>
      </c>
      <c r="C34" s="83">
        <v>1</v>
      </c>
      <c r="D34" s="46" t="str" cm="1">
        <f t="array" ref="D34">_xlfn.IFNA(INDEX('TRA-W'!C$3:C$78,MATCH(1,(C34='TRA-W'!A$3:A$78)*(B34='TRA-W'!G$3:G$78),0)),"")</f>
        <v/>
      </c>
    </row>
    <row r="35" spans="1:4" hidden="1" x14ac:dyDescent="0.2">
      <c r="A35" s="83" t="str">
        <f t="shared" ref="A35:A65" si="1">IF(D35="","","TRA-W")</f>
        <v/>
      </c>
      <c r="B35" s="86" t="s">
        <v>18</v>
      </c>
      <c r="C35" s="83">
        <v>2</v>
      </c>
      <c r="D35" s="46" t="str" cm="1">
        <f t="array" ref="D35">_xlfn.IFNA(INDEX('TRA-W'!C$3:C$78,MATCH(1,(C35='TRA-W'!A$3:A$78)*(B35='TRA-W'!G$3:G$78),0)),"")</f>
        <v/>
      </c>
    </row>
    <row r="36" spans="1:4" hidden="1" x14ac:dyDescent="0.2">
      <c r="A36" s="83" t="str">
        <f t="shared" si="1"/>
        <v/>
      </c>
      <c r="B36" s="86" t="s">
        <v>18</v>
      </c>
      <c r="C36" s="83">
        <v>3</v>
      </c>
      <c r="D36" s="46" t="str" cm="1">
        <f t="array" ref="D36">_xlfn.IFNA(INDEX('TRA-W'!C$3:C$78,MATCH(1,(C36='TRA-W'!A$3:A$78)*(B36='TRA-W'!G$3:G$78),0)),"")</f>
        <v/>
      </c>
    </row>
    <row r="37" spans="1:4" hidden="1" x14ac:dyDescent="0.2">
      <c r="A37" s="83" t="str">
        <f t="shared" si="1"/>
        <v/>
      </c>
      <c r="B37" s="86" t="s">
        <v>18</v>
      </c>
      <c r="C37" s="83">
        <v>4</v>
      </c>
      <c r="D37" s="46" t="str" cm="1">
        <f t="array" ref="D37">_xlfn.IFNA(INDEX('TRA-W'!C$3:C$78,MATCH(1,(C37='TRA-W'!A$3:A$78)*(B37='TRA-W'!G$3:G$78),0)),"")</f>
        <v/>
      </c>
    </row>
    <row r="38" spans="1:4" hidden="1" x14ac:dyDescent="0.2">
      <c r="A38" s="83" t="str">
        <f t="shared" si="1"/>
        <v/>
      </c>
      <c r="B38" s="86" t="s">
        <v>18</v>
      </c>
      <c r="C38" s="83">
        <v>5</v>
      </c>
      <c r="D38" s="46" t="str" cm="1">
        <f t="array" ref="D38">_xlfn.IFNA(INDEX('TRA-W'!C$3:C$78,MATCH(1,(C38='TRA-W'!A$3:A$78)*(B38='TRA-W'!G$3:G$78),0)),"")</f>
        <v/>
      </c>
    </row>
    <row r="39" spans="1:4" hidden="1" x14ac:dyDescent="0.2">
      <c r="A39" s="83" t="str">
        <f t="shared" si="1"/>
        <v/>
      </c>
      <c r="B39" s="86" t="s">
        <v>18</v>
      </c>
      <c r="C39" s="83">
        <v>6</v>
      </c>
      <c r="D39" s="46" t="str" cm="1">
        <f t="array" ref="D39">_xlfn.IFNA(INDEX('TRA-W'!C$3:C$78,MATCH(1,(C39='TRA-W'!A$3:A$78)*(B39='TRA-W'!G$3:G$78),0)),"")</f>
        <v/>
      </c>
    </row>
    <row r="40" spans="1:4" hidden="1" x14ac:dyDescent="0.2">
      <c r="A40" s="83" t="str">
        <f t="shared" si="1"/>
        <v/>
      </c>
      <c r="B40" s="86" t="s">
        <v>18</v>
      </c>
      <c r="C40" s="83">
        <v>7</v>
      </c>
      <c r="D40" s="46" t="str" cm="1">
        <f t="array" ref="D40">_xlfn.IFNA(INDEX('TRA-W'!C$3:C$78,MATCH(1,(C40='TRA-W'!A$3:A$78)*(B40='TRA-W'!G$3:G$78),0)),"")</f>
        <v/>
      </c>
    </row>
    <row r="41" spans="1:4" hidden="1" x14ac:dyDescent="0.2">
      <c r="A41" s="83" t="str">
        <f t="shared" si="1"/>
        <v/>
      </c>
      <c r="B41" s="86" t="s">
        <v>18</v>
      </c>
      <c r="C41" s="83">
        <v>8</v>
      </c>
      <c r="D41" s="46" t="str" cm="1">
        <f t="array" ref="D41">_xlfn.IFNA(INDEX('TRA-W'!C$3:C$78,MATCH(1,(C41='TRA-W'!A$3:A$78)*(B41='TRA-W'!G$3:G$78),0)),"")</f>
        <v/>
      </c>
    </row>
    <row r="42" spans="1:4" hidden="1" x14ac:dyDescent="0.2">
      <c r="A42" s="83" t="str">
        <f t="shared" si="1"/>
        <v/>
      </c>
      <c r="B42" s="83" t="s">
        <v>17</v>
      </c>
      <c r="C42" s="83">
        <v>1</v>
      </c>
      <c r="D42" s="46" t="str" cm="1">
        <f t="array" ref="D42">_xlfn.IFNA(INDEX('TRA-W'!C$3:C$78,MATCH(1,(C42='TRA-W'!A$3:A$78)*(B42='TRA-W'!G$3:G$78),0)),"")</f>
        <v/>
      </c>
    </row>
    <row r="43" spans="1:4" hidden="1" x14ac:dyDescent="0.2">
      <c r="A43" s="83" t="str">
        <f t="shared" si="1"/>
        <v/>
      </c>
      <c r="B43" s="83" t="s">
        <v>17</v>
      </c>
      <c r="C43" s="83">
        <v>2</v>
      </c>
      <c r="D43" s="46" t="str" cm="1">
        <f t="array" ref="D43">_xlfn.IFNA(INDEX('TRA-W'!C$3:C$78,MATCH(1,(C43='TRA-W'!A$3:A$78)*(B43='TRA-W'!G$3:G$78),0)),"")</f>
        <v/>
      </c>
    </row>
    <row r="44" spans="1:4" hidden="1" x14ac:dyDescent="0.2">
      <c r="A44" s="83" t="str">
        <f t="shared" si="1"/>
        <v/>
      </c>
      <c r="B44" s="83" t="s">
        <v>17</v>
      </c>
      <c r="C44" s="83">
        <v>3</v>
      </c>
      <c r="D44" s="46" t="str" cm="1">
        <f t="array" ref="D44">_xlfn.IFNA(INDEX('TRA-W'!C$3:C$78,MATCH(1,(C44='TRA-W'!A$3:A$78)*(B44='TRA-W'!G$3:G$78),0)),"")</f>
        <v/>
      </c>
    </row>
    <row r="45" spans="1:4" hidden="1" x14ac:dyDescent="0.2">
      <c r="A45" s="83" t="str">
        <f t="shared" si="1"/>
        <v/>
      </c>
      <c r="B45" s="83" t="s">
        <v>17</v>
      </c>
      <c r="C45" s="83">
        <v>4</v>
      </c>
      <c r="D45" s="46" t="str" cm="1">
        <f t="array" ref="D45">_xlfn.IFNA(INDEX('TRA-W'!C$3:C$78,MATCH(1,(C45='TRA-W'!A$3:A$78)*(B45='TRA-W'!G$3:G$78),0)),"")</f>
        <v/>
      </c>
    </row>
    <row r="46" spans="1:4" hidden="1" x14ac:dyDescent="0.2">
      <c r="A46" s="83" t="str">
        <f t="shared" si="1"/>
        <v/>
      </c>
      <c r="B46" s="83" t="s">
        <v>17</v>
      </c>
      <c r="C46" s="83">
        <v>5</v>
      </c>
      <c r="D46" s="46" t="str" cm="1">
        <f t="array" ref="D46">_xlfn.IFNA(INDEX('TRA-W'!C$3:C$78,MATCH(1,(C46='TRA-W'!A$3:A$78)*(B46='TRA-W'!G$3:G$78),0)),"")</f>
        <v/>
      </c>
    </row>
    <row r="47" spans="1:4" hidden="1" x14ac:dyDescent="0.2">
      <c r="A47" s="83" t="str">
        <f t="shared" si="1"/>
        <v/>
      </c>
      <c r="B47" s="83" t="s">
        <v>17</v>
      </c>
      <c r="C47" s="83">
        <v>6</v>
      </c>
      <c r="D47" s="46" t="str" cm="1">
        <f t="array" ref="D47">_xlfn.IFNA(INDEX('TRA-W'!C$3:C$78,MATCH(1,(C47='TRA-W'!A$3:A$78)*(B47='TRA-W'!G$3:G$78),0)),"")</f>
        <v/>
      </c>
    </row>
    <row r="48" spans="1:4" hidden="1" x14ac:dyDescent="0.2">
      <c r="A48" s="83" t="str">
        <f t="shared" si="1"/>
        <v/>
      </c>
      <c r="B48" s="83" t="s">
        <v>17</v>
      </c>
      <c r="C48" s="83">
        <v>7</v>
      </c>
      <c r="D48" s="46" t="str" cm="1">
        <f t="array" ref="D48">_xlfn.IFNA(INDEX('TRA-W'!C$3:C$78,MATCH(1,(C48='TRA-W'!A$3:A$78)*(B48='TRA-W'!G$3:G$78),0)),"")</f>
        <v/>
      </c>
    </row>
    <row r="49" spans="1:4" hidden="1" x14ac:dyDescent="0.2">
      <c r="A49" s="83" t="str">
        <f t="shared" si="1"/>
        <v/>
      </c>
      <c r="B49" s="83" t="s">
        <v>17</v>
      </c>
      <c r="C49" s="83">
        <v>8</v>
      </c>
      <c r="D49" s="46" t="str" cm="1">
        <f t="array" ref="D49">_xlfn.IFNA(INDEX('TRA-W'!C$3:C$78,MATCH(1,(C49='TRA-W'!A$3:A$78)*(B49='TRA-W'!G$3:G$78),0)),"")</f>
        <v/>
      </c>
    </row>
    <row r="50" spans="1:4" hidden="1" x14ac:dyDescent="0.2">
      <c r="A50" s="83" t="str">
        <f t="shared" si="1"/>
        <v/>
      </c>
      <c r="B50" s="83" t="s">
        <v>19</v>
      </c>
      <c r="C50" s="83">
        <v>1</v>
      </c>
      <c r="D50" s="46" t="str" cm="1">
        <f t="array" ref="D50">_xlfn.IFNA(INDEX('TRA-W'!C$3:C$78,MATCH(1,(C50='TRA-W'!A$3:A$78)*(B50='TRA-W'!G$3:G$78),0)),"")</f>
        <v/>
      </c>
    </row>
    <row r="51" spans="1:4" hidden="1" x14ac:dyDescent="0.2">
      <c r="A51" s="83" t="str">
        <f t="shared" si="1"/>
        <v/>
      </c>
      <c r="B51" s="83" t="s">
        <v>19</v>
      </c>
      <c r="C51" s="83">
        <v>2</v>
      </c>
      <c r="D51" s="46" t="str" cm="1">
        <f t="array" ref="D51">_xlfn.IFNA(INDEX('TRA-W'!C$3:C$78,MATCH(1,(C51='TRA-W'!A$3:A$78)*(B51='TRA-W'!G$3:G$78),0)),"")</f>
        <v/>
      </c>
    </row>
    <row r="52" spans="1:4" hidden="1" x14ac:dyDescent="0.2">
      <c r="A52" s="83" t="str">
        <f t="shared" si="1"/>
        <v/>
      </c>
      <c r="B52" s="83" t="s">
        <v>19</v>
      </c>
      <c r="C52" s="83">
        <v>3</v>
      </c>
      <c r="D52" s="46" t="str" cm="1">
        <f t="array" ref="D52">_xlfn.IFNA(INDEX('TRA-W'!C$3:C$78,MATCH(1,(C52='TRA-W'!A$3:A$78)*(B52='TRA-W'!G$3:G$78),0)),"")</f>
        <v/>
      </c>
    </row>
    <row r="53" spans="1:4" hidden="1" x14ac:dyDescent="0.2">
      <c r="A53" s="83" t="str">
        <f t="shared" si="1"/>
        <v/>
      </c>
      <c r="B53" s="83" t="s">
        <v>19</v>
      </c>
      <c r="C53" s="83">
        <v>4</v>
      </c>
      <c r="D53" s="46" t="str" cm="1">
        <f t="array" ref="D53">_xlfn.IFNA(INDEX('TRA-W'!C$3:C$78,MATCH(1,(C53='TRA-W'!A$3:A$78)*(B53='TRA-W'!G$3:G$78),0)),"")</f>
        <v/>
      </c>
    </row>
    <row r="54" spans="1:4" hidden="1" x14ac:dyDescent="0.2">
      <c r="A54" s="83" t="str">
        <f t="shared" si="1"/>
        <v/>
      </c>
      <c r="B54" s="83" t="s">
        <v>19</v>
      </c>
      <c r="C54" s="83">
        <v>5</v>
      </c>
      <c r="D54" s="46" t="str" cm="1">
        <f t="array" ref="D54">_xlfn.IFNA(INDEX('TRA-W'!C$3:C$78,MATCH(1,(C54='TRA-W'!A$3:A$78)*(B54='TRA-W'!G$3:G$78),0)),"")</f>
        <v/>
      </c>
    </row>
    <row r="55" spans="1:4" hidden="1" x14ac:dyDescent="0.2">
      <c r="A55" s="83" t="str">
        <f t="shared" si="1"/>
        <v/>
      </c>
      <c r="B55" s="83" t="s">
        <v>19</v>
      </c>
      <c r="C55" s="83">
        <v>6</v>
      </c>
      <c r="D55" s="46" t="str" cm="1">
        <f t="array" ref="D55">_xlfn.IFNA(INDEX('TRA-W'!C$3:C$78,MATCH(1,(C55='TRA-W'!A$3:A$78)*(B55='TRA-W'!G$3:G$78),0)),"")</f>
        <v/>
      </c>
    </row>
    <row r="56" spans="1:4" hidden="1" x14ac:dyDescent="0.2">
      <c r="A56" s="83" t="str">
        <f t="shared" si="1"/>
        <v/>
      </c>
      <c r="B56" s="83" t="s">
        <v>19</v>
      </c>
      <c r="C56" s="83">
        <v>7</v>
      </c>
      <c r="D56" s="46" t="str" cm="1">
        <f t="array" ref="D56">_xlfn.IFNA(INDEX('TRA-W'!C$3:C$78,MATCH(1,(C56='TRA-W'!A$3:A$78)*(B56='TRA-W'!G$3:G$78),0)),"")</f>
        <v/>
      </c>
    </row>
    <row r="57" spans="1:4" hidden="1" x14ac:dyDescent="0.2">
      <c r="A57" s="83" t="str">
        <f t="shared" si="1"/>
        <v/>
      </c>
      <c r="B57" s="83" t="s">
        <v>19</v>
      </c>
      <c r="C57" s="83">
        <v>8</v>
      </c>
      <c r="D57" s="46" t="str" cm="1">
        <f t="array" ref="D57">_xlfn.IFNA(INDEX('TRA-W'!C$3:C$78,MATCH(1,(C57='TRA-W'!A$3:A$78)*(B57='TRA-W'!G$3:G$78),0)),"")</f>
        <v/>
      </c>
    </row>
    <row r="58" spans="1:4" hidden="1" x14ac:dyDescent="0.2">
      <c r="A58" s="83" t="str">
        <f t="shared" si="1"/>
        <v/>
      </c>
      <c r="B58" s="83" t="s">
        <v>20</v>
      </c>
      <c r="C58" s="83">
        <v>1</v>
      </c>
      <c r="D58" s="46" t="str" cm="1">
        <f t="array" ref="D58">_xlfn.IFNA(INDEX('TRA-W'!C$3:C$78,MATCH(1,(C58='TRA-W'!A$3:A$78)*(B58='TRA-W'!G$3:G$78),0)),"")</f>
        <v/>
      </c>
    </row>
    <row r="59" spans="1:4" hidden="1" x14ac:dyDescent="0.2">
      <c r="A59" s="83" t="str">
        <f t="shared" si="1"/>
        <v/>
      </c>
      <c r="B59" s="83" t="s">
        <v>20</v>
      </c>
      <c r="C59" s="83">
        <v>2</v>
      </c>
      <c r="D59" s="46" t="str" cm="1">
        <f t="array" ref="D59">_xlfn.IFNA(INDEX('TRA-W'!C$3:C$78,MATCH(1,(C59='TRA-W'!A$3:A$78)*(B59='TRA-W'!G$3:G$78),0)),"")</f>
        <v/>
      </c>
    </row>
    <row r="60" spans="1:4" hidden="1" x14ac:dyDescent="0.2">
      <c r="A60" s="83" t="str">
        <f t="shared" si="1"/>
        <v/>
      </c>
      <c r="B60" s="83" t="s">
        <v>20</v>
      </c>
      <c r="C60" s="83">
        <v>3</v>
      </c>
      <c r="D60" s="46" t="str" cm="1">
        <f t="array" ref="D60">_xlfn.IFNA(INDEX('TRA-W'!C$3:C$78,MATCH(1,(C60='TRA-W'!A$3:A$78)*(B60='TRA-W'!G$3:G$78),0)),"")</f>
        <v/>
      </c>
    </row>
    <row r="61" spans="1:4" hidden="1" x14ac:dyDescent="0.2">
      <c r="A61" s="83" t="str">
        <f t="shared" si="1"/>
        <v/>
      </c>
      <c r="B61" s="83" t="s">
        <v>20</v>
      </c>
      <c r="C61" s="83">
        <v>4</v>
      </c>
      <c r="D61" s="46" t="str" cm="1">
        <f t="array" ref="D61">_xlfn.IFNA(INDEX('TRA-W'!C$3:C$78,MATCH(1,(C61='TRA-W'!A$3:A$78)*(B61='TRA-W'!G$3:G$78),0)),"")</f>
        <v/>
      </c>
    </row>
    <row r="62" spans="1:4" hidden="1" x14ac:dyDescent="0.2">
      <c r="A62" s="83" t="str">
        <f t="shared" si="1"/>
        <v/>
      </c>
      <c r="B62" s="83" t="s">
        <v>20</v>
      </c>
      <c r="C62" s="83">
        <v>5</v>
      </c>
      <c r="D62" s="46" t="str" cm="1">
        <f t="array" ref="D62">_xlfn.IFNA(INDEX('TRA-W'!C$3:C$78,MATCH(1,(C62='TRA-W'!A$3:A$78)*(B62='TRA-W'!G$3:G$78),0)),"")</f>
        <v/>
      </c>
    </row>
    <row r="63" spans="1:4" hidden="1" x14ac:dyDescent="0.2">
      <c r="A63" s="83" t="str">
        <f t="shared" si="1"/>
        <v/>
      </c>
      <c r="B63" s="83" t="s">
        <v>20</v>
      </c>
      <c r="C63" s="83">
        <v>6</v>
      </c>
      <c r="D63" s="46" t="str" cm="1">
        <f t="array" ref="D63">_xlfn.IFNA(INDEX('TRA-W'!C$3:C$78,MATCH(1,(C63='TRA-W'!A$3:A$78)*(B63='TRA-W'!G$3:G$78),0)),"")</f>
        <v/>
      </c>
    </row>
    <row r="64" spans="1:4" hidden="1" x14ac:dyDescent="0.2">
      <c r="A64" s="83" t="str">
        <f t="shared" si="1"/>
        <v/>
      </c>
      <c r="B64" s="83" t="s">
        <v>20</v>
      </c>
      <c r="C64" s="83">
        <v>7</v>
      </c>
      <c r="D64" s="46" t="str" cm="1">
        <f t="array" ref="D64">_xlfn.IFNA(INDEX('TRA-W'!C$3:C$78,MATCH(1,(C64='TRA-W'!A$3:A$78)*(B64='TRA-W'!G$3:G$78),0)),"")</f>
        <v/>
      </c>
    </row>
    <row r="65" spans="1:4" hidden="1" x14ac:dyDescent="0.2">
      <c r="A65" s="83" t="str">
        <f t="shared" si="1"/>
        <v/>
      </c>
      <c r="B65" s="83" t="s">
        <v>20</v>
      </c>
      <c r="C65" s="83">
        <v>8</v>
      </c>
      <c r="D65" s="46" t="str" cm="1">
        <f t="array" ref="D65">_xlfn.IFNA(INDEX('TRA-W'!C$3:C$78,MATCH(1,(C65='TRA-W'!A$3:A$78)*(B65='TRA-W'!G$3:G$78),0)),"")</f>
        <v/>
      </c>
    </row>
    <row r="66" spans="1:4" hidden="1" x14ac:dyDescent="0.2">
      <c r="A66" s="82" t="str">
        <f>IF(D66="","","SYN-M")</f>
        <v/>
      </c>
      <c r="B66" s="85" t="s">
        <v>18</v>
      </c>
      <c r="C66" s="82">
        <v>1</v>
      </c>
      <c r="D66" s="45" t="str" cm="1">
        <f t="array" ref="D66">_xlfn.IFNA(INDEX('SYN-M'!C$3:C$4,MATCH(1,(C66='SYN-M'!A$3:A$4)*(B66='SYN-M'!G$3:G$4),0)),"")</f>
        <v/>
      </c>
    </row>
    <row r="67" spans="1:4" hidden="1" x14ac:dyDescent="0.2">
      <c r="A67" s="82" t="str">
        <f t="shared" ref="A67:A81" si="2">IF(D67="","","SYN-M")</f>
        <v/>
      </c>
      <c r="B67" s="85" t="s">
        <v>18</v>
      </c>
      <c r="C67" s="82">
        <v>2</v>
      </c>
      <c r="D67" s="45" t="str" cm="1">
        <f t="array" ref="D67">_xlfn.IFNA(INDEX('SYN-M'!C$3:C$4,MATCH(1,(C67='SYN-M'!A$3:A$4)*(B67='SYN-M'!G$3:G$4),0)),"")</f>
        <v/>
      </c>
    </row>
    <row r="68" spans="1:4" hidden="1" x14ac:dyDescent="0.2">
      <c r="A68" s="82" t="str">
        <f t="shared" si="2"/>
        <v/>
      </c>
      <c r="B68" s="85" t="s">
        <v>18</v>
      </c>
      <c r="C68" s="82">
        <v>3</v>
      </c>
      <c r="D68" s="45" t="str" cm="1">
        <f t="array" ref="D68">_xlfn.IFNA(INDEX('SYN-M'!C$3:C$4,MATCH(1,(C68='SYN-M'!A$3:A$4)*(B68='SYN-M'!G$3:G$4),0)),"")</f>
        <v/>
      </c>
    </row>
    <row r="69" spans="1:4" hidden="1" x14ac:dyDescent="0.2">
      <c r="A69" s="82" t="str">
        <f t="shared" si="2"/>
        <v/>
      </c>
      <c r="B69" s="85" t="s">
        <v>18</v>
      </c>
      <c r="C69" s="82">
        <v>4</v>
      </c>
      <c r="D69" s="45" t="str" cm="1">
        <f t="array" ref="D69">_xlfn.IFNA(INDEX('SYN-M'!C$3:C$4,MATCH(1,(C69='SYN-M'!A$3:A$4)*(B69='SYN-M'!G$3:G$4),0)),"")</f>
        <v/>
      </c>
    </row>
    <row r="70" spans="1:4" hidden="1" x14ac:dyDescent="0.2">
      <c r="A70" s="82" t="str">
        <f t="shared" si="2"/>
        <v/>
      </c>
      <c r="B70" s="82" t="s">
        <v>17</v>
      </c>
      <c r="C70" s="82">
        <v>1</v>
      </c>
      <c r="D70" s="45" t="str" cm="1">
        <f t="array" ref="D70">_xlfn.IFNA(INDEX('SYN-M'!C$3:C$4,MATCH(1,(C70='SYN-M'!A$3:A$4)*(B70='SYN-M'!G$3:G$4),0)),"")</f>
        <v/>
      </c>
    </row>
    <row r="71" spans="1:4" hidden="1" x14ac:dyDescent="0.2">
      <c r="A71" s="82" t="str">
        <f t="shared" si="2"/>
        <v/>
      </c>
      <c r="B71" s="82" t="s">
        <v>17</v>
      </c>
      <c r="C71" s="82">
        <v>2</v>
      </c>
      <c r="D71" s="45" t="str" cm="1">
        <f t="array" ref="D71">_xlfn.IFNA(INDEX('SYN-M'!C$3:C$4,MATCH(1,(C71='SYN-M'!A$3:A$4)*(B71='SYN-M'!G$3:G$4),0)),"")</f>
        <v/>
      </c>
    </row>
    <row r="72" spans="1:4" hidden="1" x14ac:dyDescent="0.2">
      <c r="A72" s="82" t="str">
        <f t="shared" si="2"/>
        <v/>
      </c>
      <c r="B72" s="82" t="s">
        <v>17</v>
      </c>
      <c r="C72" s="82">
        <v>3</v>
      </c>
      <c r="D72" s="45" t="str" cm="1">
        <f t="array" ref="D72">_xlfn.IFNA(INDEX('SYN-M'!C$3:C$4,MATCH(1,(C72='SYN-M'!A$3:A$4)*(B72='SYN-M'!G$3:G$4),0)),"")</f>
        <v/>
      </c>
    </row>
    <row r="73" spans="1:4" hidden="1" x14ac:dyDescent="0.2">
      <c r="A73" s="82" t="str">
        <f t="shared" si="2"/>
        <v/>
      </c>
      <c r="B73" s="82" t="s">
        <v>17</v>
      </c>
      <c r="C73" s="82">
        <v>4</v>
      </c>
      <c r="D73" s="45" t="str" cm="1">
        <f t="array" ref="D73">_xlfn.IFNA(INDEX('SYN-M'!C$3:C$4,MATCH(1,(C73='SYN-M'!A$3:A$4)*(B73='SYN-M'!G$3:G$4),0)),"")</f>
        <v/>
      </c>
    </row>
    <row r="74" spans="1:4" hidden="1" x14ac:dyDescent="0.2">
      <c r="A74" s="82" t="str">
        <f t="shared" si="2"/>
        <v/>
      </c>
      <c r="B74" s="82" t="s">
        <v>19</v>
      </c>
      <c r="C74" s="82">
        <v>1</v>
      </c>
      <c r="D74" s="45" t="str" cm="1">
        <f t="array" ref="D74">_xlfn.IFNA(INDEX('SYN-M'!C$3:C$4,MATCH(1,(C74='SYN-M'!A$3:A$4)*(B74='SYN-M'!G$3:G$4),0)),"")</f>
        <v/>
      </c>
    </row>
    <row r="75" spans="1:4" hidden="1" x14ac:dyDescent="0.2">
      <c r="A75" s="82" t="str">
        <f t="shared" si="2"/>
        <v/>
      </c>
      <c r="B75" s="82" t="s">
        <v>19</v>
      </c>
      <c r="C75" s="82">
        <v>2</v>
      </c>
      <c r="D75" s="45" t="str" cm="1">
        <f t="array" ref="D75">_xlfn.IFNA(INDEX('SYN-M'!C$3:C$4,MATCH(1,(C75='SYN-M'!A$3:A$4)*(B75='SYN-M'!G$3:G$4),0)),"")</f>
        <v/>
      </c>
    </row>
    <row r="76" spans="1:4" hidden="1" x14ac:dyDescent="0.2">
      <c r="A76" s="82" t="str">
        <f t="shared" si="2"/>
        <v/>
      </c>
      <c r="B76" s="82" t="s">
        <v>19</v>
      </c>
      <c r="C76" s="82">
        <v>3</v>
      </c>
      <c r="D76" s="45" t="str" cm="1">
        <f t="array" ref="D76">_xlfn.IFNA(INDEX('SYN-M'!C$3:C$4,MATCH(1,(C76='SYN-M'!A$3:A$4)*(B76='SYN-M'!G$3:G$4),0)),"")</f>
        <v/>
      </c>
    </row>
    <row r="77" spans="1:4" hidden="1" x14ac:dyDescent="0.2">
      <c r="A77" s="82" t="str">
        <f t="shared" si="2"/>
        <v/>
      </c>
      <c r="B77" s="82" t="s">
        <v>19</v>
      </c>
      <c r="C77" s="82">
        <v>4</v>
      </c>
      <c r="D77" s="45" t="str" cm="1">
        <f t="array" ref="D77">_xlfn.IFNA(INDEX('SYN-M'!C$3:C$4,MATCH(1,(C77='SYN-M'!A$3:A$4)*(B77='SYN-M'!G$3:G$4),0)),"")</f>
        <v/>
      </c>
    </row>
    <row r="78" spans="1:4" hidden="1" x14ac:dyDescent="0.2">
      <c r="A78" s="82" t="str">
        <f t="shared" si="2"/>
        <v/>
      </c>
      <c r="B78" s="82" t="s">
        <v>20</v>
      </c>
      <c r="C78" s="82">
        <v>1</v>
      </c>
      <c r="D78" s="45" t="str" cm="1">
        <f t="array" ref="D78">_xlfn.IFNA(INDEX('SYN-M'!C$3:C$4,MATCH(1,(C78='SYN-M'!A$3:A$4)*(B78='SYN-M'!G$3:G$4),0)),"")</f>
        <v/>
      </c>
    </row>
    <row r="79" spans="1:4" hidden="1" x14ac:dyDescent="0.2">
      <c r="A79" s="82" t="str">
        <f t="shared" si="2"/>
        <v/>
      </c>
      <c r="B79" s="82" t="s">
        <v>20</v>
      </c>
      <c r="C79" s="82">
        <v>2</v>
      </c>
      <c r="D79" s="45" t="str" cm="1">
        <f t="array" ref="D79">_xlfn.IFNA(INDEX('SYN-M'!C$3:C$4,MATCH(1,(C79='SYN-M'!A$3:A$4)*(B79='SYN-M'!G$3:G$4),0)),"")</f>
        <v/>
      </c>
    </row>
    <row r="80" spans="1:4" hidden="1" x14ac:dyDescent="0.2">
      <c r="A80" s="82" t="str">
        <f t="shared" si="2"/>
        <v/>
      </c>
      <c r="B80" s="82" t="s">
        <v>20</v>
      </c>
      <c r="C80" s="82">
        <v>3</v>
      </c>
      <c r="D80" s="45" t="str" cm="1">
        <f t="array" ref="D80">_xlfn.IFNA(INDEX('SYN-M'!C$3:C$4,MATCH(1,(C80='SYN-M'!A$3:A$4)*(B80='SYN-M'!G$3:G$4),0)),"")</f>
        <v/>
      </c>
    </row>
    <row r="81" spans="1:4" hidden="1" x14ac:dyDescent="0.2">
      <c r="A81" s="82" t="str">
        <f t="shared" si="2"/>
        <v/>
      </c>
      <c r="B81" s="82" t="s">
        <v>20</v>
      </c>
      <c r="C81" s="82">
        <v>4</v>
      </c>
      <c r="D81" s="45" t="str" cm="1">
        <f t="array" ref="D81">_xlfn.IFNA(INDEX('SYN-M'!C$3:C$4,MATCH(1,(C81='SYN-M'!A$3:A$4)*(B81='SYN-M'!G$3:G$4),0)),"")</f>
        <v/>
      </c>
    </row>
    <row r="82" spans="1:4" hidden="1" x14ac:dyDescent="0.2">
      <c r="A82" s="83" t="str">
        <f>IF(D82="","","SYN-W")</f>
        <v/>
      </c>
      <c r="B82" s="86" t="s">
        <v>18</v>
      </c>
      <c r="C82" s="83">
        <v>1</v>
      </c>
      <c r="D82" s="46" t="str" cm="1">
        <f t="array" ref="D82">_xlfn.IFNA(INDEX('SYN-W'!C$3:C$4,MATCH(1,(C82='SYN-W'!A$3:A$4)*(B82='SYN-W'!G$3:G$4),0)),"")</f>
        <v/>
      </c>
    </row>
    <row r="83" spans="1:4" hidden="1" x14ac:dyDescent="0.2">
      <c r="A83" s="83" t="str">
        <f t="shared" ref="A83:A97" si="3">IF(D83="","","SYN-W")</f>
        <v/>
      </c>
      <c r="B83" s="86" t="s">
        <v>18</v>
      </c>
      <c r="C83" s="83">
        <v>2</v>
      </c>
      <c r="D83" s="46" t="str" cm="1">
        <f t="array" ref="D83">_xlfn.IFNA(INDEX('SYN-W'!C$3:C$4,MATCH(1,(C83='SYN-W'!A$3:A$4)*(B83='SYN-W'!G$3:G$4),0)),"")</f>
        <v/>
      </c>
    </row>
    <row r="84" spans="1:4" hidden="1" x14ac:dyDescent="0.2">
      <c r="A84" s="83" t="str">
        <f t="shared" si="3"/>
        <v/>
      </c>
      <c r="B84" s="86" t="s">
        <v>18</v>
      </c>
      <c r="C84" s="83">
        <v>3</v>
      </c>
      <c r="D84" s="46" t="str" cm="1">
        <f t="array" ref="D84">_xlfn.IFNA(INDEX('SYN-W'!C$3:C$4,MATCH(1,(C84='SYN-W'!A$3:A$4)*(B84='SYN-W'!G$3:G$4),0)),"")</f>
        <v/>
      </c>
    </row>
    <row r="85" spans="1:4" hidden="1" x14ac:dyDescent="0.2">
      <c r="A85" s="83" t="str">
        <f t="shared" si="3"/>
        <v/>
      </c>
      <c r="B85" s="86" t="s">
        <v>18</v>
      </c>
      <c r="C85" s="83">
        <v>4</v>
      </c>
      <c r="D85" s="46" t="str" cm="1">
        <f t="array" ref="D85">_xlfn.IFNA(INDEX('SYN-W'!C$3:C$4,MATCH(1,(C85='SYN-W'!A$3:A$4)*(B85='SYN-W'!G$3:G$4),0)),"")</f>
        <v/>
      </c>
    </row>
    <row r="86" spans="1:4" hidden="1" x14ac:dyDescent="0.2">
      <c r="A86" s="83" t="str">
        <f t="shared" si="3"/>
        <v/>
      </c>
      <c r="B86" s="83" t="s">
        <v>17</v>
      </c>
      <c r="C86" s="83">
        <v>1</v>
      </c>
      <c r="D86" s="46" t="str" cm="1">
        <f t="array" ref="D86">_xlfn.IFNA(INDEX('SYN-W'!C$3:C$4,MATCH(1,(C86='SYN-W'!A$3:A$4)*(B86='SYN-W'!G$3:G$4),0)),"")</f>
        <v/>
      </c>
    </row>
    <row r="87" spans="1:4" hidden="1" x14ac:dyDescent="0.2">
      <c r="A87" s="83" t="str">
        <f t="shared" si="3"/>
        <v/>
      </c>
      <c r="B87" s="83" t="s">
        <v>17</v>
      </c>
      <c r="C87" s="83">
        <v>2</v>
      </c>
      <c r="D87" s="46" t="str" cm="1">
        <f t="array" ref="D87">_xlfn.IFNA(INDEX('SYN-W'!C$3:C$4,MATCH(1,(C87='SYN-W'!A$3:A$4)*(B87='SYN-W'!G$3:G$4),0)),"")</f>
        <v/>
      </c>
    </row>
    <row r="88" spans="1:4" hidden="1" x14ac:dyDescent="0.2">
      <c r="A88" s="83" t="str">
        <f t="shared" si="3"/>
        <v/>
      </c>
      <c r="B88" s="83" t="s">
        <v>17</v>
      </c>
      <c r="C88" s="83">
        <v>3</v>
      </c>
      <c r="D88" s="46" t="str" cm="1">
        <f t="array" ref="D88">_xlfn.IFNA(INDEX('SYN-W'!C$3:C$4,MATCH(1,(C88='SYN-W'!A$3:A$4)*(B88='SYN-W'!G$3:G$4),0)),"")</f>
        <v/>
      </c>
    </row>
    <row r="89" spans="1:4" hidden="1" x14ac:dyDescent="0.2">
      <c r="A89" s="83" t="str">
        <f t="shared" si="3"/>
        <v/>
      </c>
      <c r="B89" s="83" t="s">
        <v>17</v>
      </c>
      <c r="C89" s="83">
        <v>4</v>
      </c>
      <c r="D89" s="46" t="str" cm="1">
        <f t="array" ref="D89">_xlfn.IFNA(INDEX('SYN-W'!C$3:C$4,MATCH(1,(C89='SYN-W'!A$3:A$4)*(B89='SYN-W'!G$3:G$4),0)),"")</f>
        <v/>
      </c>
    </row>
    <row r="90" spans="1:4" hidden="1" x14ac:dyDescent="0.2">
      <c r="A90" s="83" t="str">
        <f t="shared" si="3"/>
        <v/>
      </c>
      <c r="B90" s="83" t="s">
        <v>19</v>
      </c>
      <c r="C90" s="83">
        <v>1</v>
      </c>
      <c r="D90" s="46" t="str" cm="1">
        <f t="array" ref="D90">_xlfn.IFNA(INDEX('SYN-W'!C$3:C$4,MATCH(1,(C90='SYN-W'!A$3:A$4)*(B90='SYN-W'!G$3:G$4),0)),"")</f>
        <v/>
      </c>
    </row>
    <row r="91" spans="1:4" hidden="1" x14ac:dyDescent="0.2">
      <c r="A91" s="83" t="str">
        <f t="shared" si="3"/>
        <v/>
      </c>
      <c r="B91" s="83" t="s">
        <v>19</v>
      </c>
      <c r="C91" s="83">
        <v>2</v>
      </c>
      <c r="D91" s="46" t="str" cm="1">
        <f t="array" ref="D91">_xlfn.IFNA(INDEX('SYN-W'!C$3:C$4,MATCH(1,(C91='SYN-W'!A$3:A$4)*(B91='SYN-W'!G$3:G$4),0)),"")</f>
        <v/>
      </c>
    </row>
    <row r="92" spans="1:4" hidden="1" x14ac:dyDescent="0.2">
      <c r="A92" s="83" t="str">
        <f t="shared" si="3"/>
        <v/>
      </c>
      <c r="B92" s="83" t="s">
        <v>19</v>
      </c>
      <c r="C92" s="83">
        <v>3</v>
      </c>
      <c r="D92" s="46" t="str" cm="1">
        <f t="array" ref="D92">_xlfn.IFNA(INDEX('SYN-W'!C$3:C$4,MATCH(1,(C92='SYN-W'!A$3:A$4)*(B92='SYN-W'!G$3:G$4),0)),"")</f>
        <v/>
      </c>
    </row>
    <row r="93" spans="1:4" hidden="1" x14ac:dyDescent="0.2">
      <c r="A93" s="83" t="str">
        <f t="shared" si="3"/>
        <v/>
      </c>
      <c r="B93" s="83" t="s">
        <v>19</v>
      </c>
      <c r="C93" s="83">
        <v>4</v>
      </c>
      <c r="D93" s="46" t="str" cm="1">
        <f t="array" ref="D93">_xlfn.IFNA(INDEX('SYN-W'!C$3:C$4,MATCH(1,(C93='SYN-W'!A$3:A$4)*(B93='SYN-W'!G$3:G$4),0)),"")</f>
        <v/>
      </c>
    </row>
    <row r="94" spans="1:4" hidden="1" x14ac:dyDescent="0.2">
      <c r="A94" s="83" t="str">
        <f t="shared" si="3"/>
        <v/>
      </c>
      <c r="B94" s="83" t="s">
        <v>20</v>
      </c>
      <c r="C94" s="83">
        <v>1</v>
      </c>
      <c r="D94" s="46" t="str" cm="1">
        <f t="array" ref="D94">_xlfn.IFNA(INDEX('SYN-W'!C$3:C$4,MATCH(1,(C94='SYN-W'!A$3:A$4)*(B94='SYN-W'!G$3:G$4),0)),"")</f>
        <v/>
      </c>
    </row>
    <row r="95" spans="1:4" hidden="1" x14ac:dyDescent="0.2">
      <c r="A95" s="83" t="str">
        <f t="shared" si="3"/>
        <v/>
      </c>
      <c r="B95" s="83" t="s">
        <v>20</v>
      </c>
      <c r="C95" s="83">
        <v>2</v>
      </c>
      <c r="D95" s="46" t="str" cm="1">
        <f t="array" ref="D95">_xlfn.IFNA(INDEX('SYN-W'!C$3:C$4,MATCH(1,(C95='SYN-W'!A$3:A$4)*(B95='SYN-W'!G$3:G$4),0)),"")</f>
        <v/>
      </c>
    </row>
    <row r="96" spans="1:4" hidden="1" x14ac:dyDescent="0.2">
      <c r="A96" s="83" t="str">
        <f t="shared" si="3"/>
        <v/>
      </c>
      <c r="B96" s="83" t="s">
        <v>20</v>
      </c>
      <c r="C96" s="83">
        <v>3</v>
      </c>
      <c r="D96" s="46" t="str" cm="1">
        <f t="array" ref="D96">_xlfn.IFNA(INDEX('SYN-W'!C$3:C$4,MATCH(1,(C96='SYN-W'!A$3:A$4)*(B96='SYN-W'!G$3:G$4),0)),"")</f>
        <v/>
      </c>
    </row>
    <row r="97" spans="1:4" hidden="1" x14ac:dyDescent="0.2">
      <c r="A97" s="83" t="str">
        <f t="shared" si="3"/>
        <v/>
      </c>
      <c r="B97" s="83" t="s">
        <v>20</v>
      </c>
      <c r="C97" s="83">
        <v>4</v>
      </c>
      <c r="D97" s="46" t="str" cm="1">
        <f t="array" ref="D97">_xlfn.IFNA(INDEX('SYN-W'!C$3:C$4,MATCH(1,(C97='SYN-W'!A$3:A$4)*(B97='SYN-W'!G$3:G$4),0)),"")</f>
        <v/>
      </c>
    </row>
    <row r="98" spans="1:4" hidden="1" x14ac:dyDescent="0.2">
      <c r="A98" s="82" t="str">
        <f>IF(D98="","","DMT-M")</f>
        <v/>
      </c>
      <c r="B98" s="85" t="s">
        <v>18</v>
      </c>
      <c r="C98" s="82">
        <v>1</v>
      </c>
      <c r="D98" s="45" t="str" cm="1">
        <f t="array" ref="D98">_xlfn.IFNA(INDEX('DMT-M'!C$3:C$49,MATCH(1,(C98='DMT-M'!A$3:A$49)*(B98='DMT-M'!G$3:G$49),0)),"")</f>
        <v/>
      </c>
    </row>
    <row r="99" spans="1:4" hidden="1" x14ac:dyDescent="0.2">
      <c r="A99" s="82" t="str">
        <f t="shared" ref="A99:A129" si="4">IF(D99="","","DMT-M")</f>
        <v/>
      </c>
      <c r="B99" s="85" t="s">
        <v>18</v>
      </c>
      <c r="C99" s="82">
        <v>2</v>
      </c>
      <c r="D99" s="45" t="str" cm="1">
        <f t="array" ref="D99">_xlfn.IFNA(INDEX('DMT-M'!C$3:C$49,MATCH(1,(C99='DMT-M'!A$3:A$49)*(B99='DMT-M'!G$3:G$49),0)),"")</f>
        <v/>
      </c>
    </row>
    <row r="100" spans="1:4" hidden="1" x14ac:dyDescent="0.2">
      <c r="A100" s="82" t="str">
        <f t="shared" si="4"/>
        <v/>
      </c>
      <c r="B100" s="85" t="s">
        <v>18</v>
      </c>
      <c r="C100" s="82">
        <v>3</v>
      </c>
      <c r="D100" s="45" t="str" cm="1">
        <f t="array" ref="D100">_xlfn.IFNA(INDEX('DMT-M'!C$3:C$49,MATCH(1,(C100='DMT-M'!A$3:A$49)*(B100='DMT-M'!G$3:G$49),0)),"")</f>
        <v/>
      </c>
    </row>
    <row r="101" spans="1:4" hidden="1" x14ac:dyDescent="0.2">
      <c r="A101" s="82" t="str">
        <f t="shared" si="4"/>
        <v/>
      </c>
      <c r="B101" s="85" t="s">
        <v>18</v>
      </c>
      <c r="C101" s="82">
        <v>4</v>
      </c>
      <c r="D101" s="45" t="str" cm="1">
        <f t="array" ref="D101">_xlfn.IFNA(INDEX('DMT-M'!C$3:C$49,MATCH(1,(C101='DMT-M'!A$3:A$49)*(B101='DMT-M'!G$3:G$49),0)),"")</f>
        <v/>
      </c>
    </row>
    <row r="102" spans="1:4" hidden="1" x14ac:dyDescent="0.2">
      <c r="A102" s="82" t="str">
        <f t="shared" si="4"/>
        <v/>
      </c>
      <c r="B102" s="85" t="s">
        <v>18</v>
      </c>
      <c r="C102" s="82">
        <v>5</v>
      </c>
      <c r="D102" s="45" t="str" cm="1">
        <f t="array" ref="D102">_xlfn.IFNA(INDEX('DMT-M'!C$3:C$49,MATCH(1,(C102='DMT-M'!A$3:A$49)*(B102='DMT-M'!G$3:G$49),0)),"")</f>
        <v/>
      </c>
    </row>
    <row r="103" spans="1:4" hidden="1" x14ac:dyDescent="0.2">
      <c r="A103" s="82" t="str">
        <f t="shared" si="4"/>
        <v/>
      </c>
      <c r="B103" s="85" t="s">
        <v>18</v>
      </c>
      <c r="C103" s="82">
        <v>6</v>
      </c>
      <c r="D103" s="45" t="str" cm="1">
        <f t="array" ref="D103">_xlfn.IFNA(INDEX('DMT-M'!C$3:C$49,MATCH(1,(C103='DMT-M'!A$3:A$49)*(B103='DMT-M'!G$3:G$49),0)),"")</f>
        <v/>
      </c>
    </row>
    <row r="104" spans="1:4" hidden="1" x14ac:dyDescent="0.2">
      <c r="A104" s="82" t="str">
        <f t="shared" si="4"/>
        <v/>
      </c>
      <c r="B104" s="85" t="s">
        <v>18</v>
      </c>
      <c r="C104" s="82">
        <v>7</v>
      </c>
      <c r="D104" s="45" t="str" cm="1">
        <f t="array" ref="D104">_xlfn.IFNA(INDEX('DMT-M'!C$3:C$49,MATCH(1,(C104='DMT-M'!A$3:A$49)*(B104='DMT-M'!G$3:G$49),0)),"")</f>
        <v/>
      </c>
    </row>
    <row r="105" spans="1:4" hidden="1" x14ac:dyDescent="0.2">
      <c r="A105" s="82" t="str">
        <f t="shared" si="4"/>
        <v/>
      </c>
      <c r="B105" s="85" t="s">
        <v>18</v>
      </c>
      <c r="C105" s="82">
        <v>8</v>
      </c>
      <c r="D105" s="45" t="str" cm="1">
        <f t="array" ref="D105">_xlfn.IFNA(INDEX('DMT-M'!C$3:C$49,MATCH(1,(C105='DMT-M'!A$3:A$49)*(B105='DMT-M'!G$3:G$49),0)),"")</f>
        <v/>
      </c>
    </row>
    <row r="106" spans="1:4" hidden="1" x14ac:dyDescent="0.2">
      <c r="A106" s="82" t="str">
        <f t="shared" si="4"/>
        <v/>
      </c>
      <c r="B106" s="82" t="s">
        <v>17</v>
      </c>
      <c r="C106" s="82">
        <v>1</v>
      </c>
      <c r="D106" s="45" t="str" cm="1">
        <f t="array" ref="D106">_xlfn.IFNA(INDEX('DMT-M'!C$3:C$49,MATCH(1,(C106='DMT-M'!A$3:A$49)*(B106='DMT-M'!G$3:G$49),0)),"")</f>
        <v/>
      </c>
    </row>
    <row r="107" spans="1:4" hidden="1" x14ac:dyDescent="0.2">
      <c r="A107" s="82" t="str">
        <f t="shared" si="4"/>
        <v/>
      </c>
      <c r="B107" s="82" t="s">
        <v>17</v>
      </c>
      <c r="C107" s="82">
        <v>2</v>
      </c>
      <c r="D107" s="45" t="str" cm="1">
        <f t="array" ref="D107">_xlfn.IFNA(INDEX('DMT-M'!C$3:C$49,MATCH(1,(C107='DMT-M'!A$3:A$49)*(B107='DMT-M'!G$3:G$49),0)),"")</f>
        <v/>
      </c>
    </row>
    <row r="108" spans="1:4" hidden="1" x14ac:dyDescent="0.2">
      <c r="A108" s="82" t="str">
        <f t="shared" si="4"/>
        <v/>
      </c>
      <c r="B108" s="82" t="s">
        <v>17</v>
      </c>
      <c r="C108" s="82">
        <v>3</v>
      </c>
      <c r="D108" s="45" t="str" cm="1">
        <f t="array" ref="D108">_xlfn.IFNA(INDEX('DMT-M'!C$3:C$49,MATCH(1,(C108='DMT-M'!A$3:A$49)*(B108='DMT-M'!G$3:G$49),0)),"")</f>
        <v/>
      </c>
    </row>
    <row r="109" spans="1:4" hidden="1" x14ac:dyDescent="0.2">
      <c r="A109" s="82" t="str">
        <f t="shared" si="4"/>
        <v/>
      </c>
      <c r="B109" s="82" t="s">
        <v>17</v>
      </c>
      <c r="C109" s="82">
        <v>4</v>
      </c>
      <c r="D109" s="45" t="str" cm="1">
        <f t="array" ref="D109">_xlfn.IFNA(INDEX('DMT-M'!C$3:C$49,MATCH(1,(C109='DMT-M'!A$3:A$49)*(B109='DMT-M'!G$3:G$49),0)),"")</f>
        <v/>
      </c>
    </row>
    <row r="110" spans="1:4" hidden="1" x14ac:dyDescent="0.2">
      <c r="A110" s="82" t="str">
        <f t="shared" si="4"/>
        <v/>
      </c>
      <c r="B110" s="82" t="s">
        <v>17</v>
      </c>
      <c r="C110" s="82">
        <v>5</v>
      </c>
      <c r="D110" s="45" t="str" cm="1">
        <f t="array" ref="D110">_xlfn.IFNA(INDEX('DMT-M'!C$3:C$49,MATCH(1,(C110='DMT-M'!A$3:A$49)*(B110='DMT-M'!G$3:G$49),0)),"")</f>
        <v/>
      </c>
    </row>
    <row r="111" spans="1:4" hidden="1" x14ac:dyDescent="0.2">
      <c r="A111" s="82" t="str">
        <f t="shared" si="4"/>
        <v/>
      </c>
      <c r="B111" s="82" t="s">
        <v>17</v>
      </c>
      <c r="C111" s="82">
        <v>6</v>
      </c>
      <c r="D111" s="45" t="str" cm="1">
        <f t="array" ref="D111">_xlfn.IFNA(INDEX('DMT-M'!C$3:C$49,MATCH(1,(C111='DMT-M'!A$3:A$49)*(B111='DMT-M'!G$3:G$49),0)),"")</f>
        <v/>
      </c>
    </row>
    <row r="112" spans="1:4" hidden="1" x14ac:dyDescent="0.2">
      <c r="A112" s="82" t="str">
        <f t="shared" si="4"/>
        <v/>
      </c>
      <c r="B112" s="82" t="s">
        <v>17</v>
      </c>
      <c r="C112" s="82">
        <v>7</v>
      </c>
      <c r="D112" s="45" t="str" cm="1">
        <f t="array" ref="D112">_xlfn.IFNA(INDEX('DMT-M'!C$3:C$49,MATCH(1,(C112='DMT-M'!A$3:A$49)*(B112='DMT-M'!G$3:G$49),0)),"")</f>
        <v/>
      </c>
    </row>
    <row r="113" spans="1:4" hidden="1" x14ac:dyDescent="0.2">
      <c r="A113" s="82" t="str">
        <f t="shared" si="4"/>
        <v/>
      </c>
      <c r="B113" s="82" t="s">
        <v>17</v>
      </c>
      <c r="C113" s="82">
        <v>8</v>
      </c>
      <c r="D113" s="45" t="str" cm="1">
        <f t="array" ref="D113">_xlfn.IFNA(INDEX('DMT-M'!C$3:C$49,MATCH(1,(C113='DMT-M'!A$3:A$49)*(B113='DMT-M'!G$3:G$49),0)),"")</f>
        <v/>
      </c>
    </row>
    <row r="114" spans="1:4" hidden="1" x14ac:dyDescent="0.2">
      <c r="A114" s="82" t="str">
        <f t="shared" si="4"/>
        <v/>
      </c>
      <c r="B114" s="82" t="s">
        <v>19</v>
      </c>
      <c r="C114" s="82">
        <v>1</v>
      </c>
      <c r="D114" s="45" t="str" cm="1">
        <f t="array" ref="D114">_xlfn.IFNA(INDEX('DMT-M'!C$3:C$49,MATCH(1,(C114='DMT-M'!A$3:A$49)*(B114='DMT-M'!G$3:G$49),0)),"")</f>
        <v/>
      </c>
    </row>
    <row r="115" spans="1:4" hidden="1" x14ac:dyDescent="0.2">
      <c r="A115" s="82" t="str">
        <f t="shared" si="4"/>
        <v/>
      </c>
      <c r="B115" s="82" t="s">
        <v>19</v>
      </c>
      <c r="C115" s="82">
        <v>2</v>
      </c>
      <c r="D115" s="45" t="str" cm="1">
        <f t="array" ref="D115">_xlfn.IFNA(INDEX('DMT-M'!C$3:C$49,MATCH(1,(C115='DMT-M'!A$3:A$49)*(B115='DMT-M'!G$3:G$49),0)),"")</f>
        <v/>
      </c>
    </row>
    <row r="116" spans="1:4" hidden="1" x14ac:dyDescent="0.2">
      <c r="A116" s="82" t="str">
        <f t="shared" si="4"/>
        <v/>
      </c>
      <c r="B116" s="82" t="s">
        <v>19</v>
      </c>
      <c r="C116" s="82">
        <v>3</v>
      </c>
      <c r="D116" s="45" t="str" cm="1">
        <f t="array" ref="D116">_xlfn.IFNA(INDEX('DMT-M'!C$3:C$49,MATCH(1,(C116='DMT-M'!A$3:A$49)*(B116='DMT-M'!G$3:G$49),0)),"")</f>
        <v/>
      </c>
    </row>
    <row r="117" spans="1:4" hidden="1" x14ac:dyDescent="0.2">
      <c r="A117" s="82" t="str">
        <f t="shared" si="4"/>
        <v/>
      </c>
      <c r="B117" s="82" t="s">
        <v>19</v>
      </c>
      <c r="C117" s="82">
        <v>4</v>
      </c>
      <c r="D117" s="45" t="str" cm="1">
        <f t="array" ref="D117">_xlfn.IFNA(INDEX('DMT-M'!C$3:C$49,MATCH(1,(C117='DMT-M'!A$3:A$49)*(B117='DMT-M'!G$3:G$49),0)),"")</f>
        <v/>
      </c>
    </row>
    <row r="118" spans="1:4" hidden="1" x14ac:dyDescent="0.2">
      <c r="A118" s="82" t="str">
        <f t="shared" si="4"/>
        <v/>
      </c>
      <c r="B118" s="82" t="s">
        <v>19</v>
      </c>
      <c r="C118" s="82">
        <v>5</v>
      </c>
      <c r="D118" s="45" t="str" cm="1">
        <f t="array" ref="D118">_xlfn.IFNA(INDEX('DMT-M'!C$3:C$49,MATCH(1,(C118='DMT-M'!A$3:A$49)*(B118='DMT-M'!G$3:G$49),0)),"")</f>
        <v/>
      </c>
    </row>
    <row r="119" spans="1:4" hidden="1" x14ac:dyDescent="0.2">
      <c r="A119" s="82" t="str">
        <f t="shared" si="4"/>
        <v/>
      </c>
      <c r="B119" s="82" t="s">
        <v>19</v>
      </c>
      <c r="C119" s="82">
        <v>6</v>
      </c>
      <c r="D119" s="45" t="str" cm="1">
        <f t="array" ref="D119">_xlfn.IFNA(INDEX('DMT-M'!C$3:C$49,MATCH(1,(C119='DMT-M'!A$3:A$49)*(B119='DMT-M'!G$3:G$49),0)),"")</f>
        <v/>
      </c>
    </row>
    <row r="120" spans="1:4" hidden="1" x14ac:dyDescent="0.2">
      <c r="A120" s="82" t="str">
        <f t="shared" si="4"/>
        <v/>
      </c>
      <c r="B120" s="82" t="s">
        <v>19</v>
      </c>
      <c r="C120" s="82">
        <v>7</v>
      </c>
      <c r="D120" s="45" t="str" cm="1">
        <f t="array" ref="D120">_xlfn.IFNA(INDEX('DMT-M'!C$3:C$49,MATCH(1,(C120='DMT-M'!A$3:A$49)*(B120='DMT-M'!G$3:G$49),0)),"")</f>
        <v/>
      </c>
    </row>
    <row r="121" spans="1:4" hidden="1" x14ac:dyDescent="0.2">
      <c r="A121" s="82" t="str">
        <f t="shared" si="4"/>
        <v/>
      </c>
      <c r="B121" s="82" t="s">
        <v>19</v>
      </c>
      <c r="C121" s="82">
        <v>8</v>
      </c>
      <c r="D121" s="45" t="str" cm="1">
        <f t="array" ref="D121">_xlfn.IFNA(INDEX('DMT-M'!C$3:C$49,MATCH(1,(C121='DMT-M'!A$3:A$49)*(B121='DMT-M'!G$3:G$49),0)),"")</f>
        <v/>
      </c>
    </row>
    <row r="122" spans="1:4" hidden="1" x14ac:dyDescent="0.2">
      <c r="A122" s="82" t="str">
        <f t="shared" si="4"/>
        <v/>
      </c>
      <c r="B122" s="82" t="s">
        <v>20</v>
      </c>
      <c r="C122" s="82">
        <v>1</v>
      </c>
      <c r="D122" s="45" t="str" cm="1">
        <f t="array" ref="D122">_xlfn.IFNA(INDEX('DMT-M'!C$3:C$49,MATCH(1,(C122='DMT-M'!A$3:A$49)*(B122='DMT-M'!G$3:G$49),0)),"")</f>
        <v/>
      </c>
    </row>
    <row r="123" spans="1:4" hidden="1" x14ac:dyDescent="0.2">
      <c r="A123" s="82" t="str">
        <f t="shared" si="4"/>
        <v/>
      </c>
      <c r="B123" s="82" t="s">
        <v>20</v>
      </c>
      <c r="C123" s="82">
        <v>2</v>
      </c>
      <c r="D123" s="45" t="str" cm="1">
        <f t="array" ref="D123">_xlfn.IFNA(INDEX('DMT-M'!C$3:C$49,MATCH(1,(C123='DMT-M'!A$3:A$49)*(B123='DMT-M'!G$3:G$49),0)),"")</f>
        <v/>
      </c>
    </row>
    <row r="124" spans="1:4" hidden="1" x14ac:dyDescent="0.2">
      <c r="A124" s="82" t="str">
        <f t="shared" si="4"/>
        <v/>
      </c>
      <c r="B124" s="82" t="s">
        <v>20</v>
      </c>
      <c r="C124" s="82">
        <v>3</v>
      </c>
      <c r="D124" s="45" t="str" cm="1">
        <f t="array" ref="D124">_xlfn.IFNA(INDEX('DMT-M'!C$3:C$49,MATCH(1,(C124='DMT-M'!A$3:A$49)*(B124='DMT-M'!G$3:G$49),0)),"")</f>
        <v/>
      </c>
    </row>
    <row r="125" spans="1:4" hidden="1" x14ac:dyDescent="0.2">
      <c r="A125" s="82" t="str">
        <f t="shared" si="4"/>
        <v/>
      </c>
      <c r="B125" s="82" t="s">
        <v>20</v>
      </c>
      <c r="C125" s="82">
        <v>4</v>
      </c>
      <c r="D125" s="45" t="str" cm="1">
        <f t="array" ref="D125">_xlfn.IFNA(INDEX('DMT-M'!C$3:C$49,MATCH(1,(C125='DMT-M'!A$3:A$49)*(B125='DMT-M'!G$3:G$49),0)),"")</f>
        <v/>
      </c>
    </row>
    <row r="126" spans="1:4" hidden="1" x14ac:dyDescent="0.2">
      <c r="A126" s="82" t="str">
        <f t="shared" si="4"/>
        <v/>
      </c>
      <c r="B126" s="82" t="s">
        <v>20</v>
      </c>
      <c r="C126" s="82">
        <v>5</v>
      </c>
      <c r="D126" s="45" t="str" cm="1">
        <f t="array" ref="D126">_xlfn.IFNA(INDEX('DMT-M'!C$3:C$49,MATCH(1,(C126='DMT-M'!A$3:A$49)*(B126='DMT-M'!G$3:G$49),0)),"")</f>
        <v/>
      </c>
    </row>
    <row r="127" spans="1:4" hidden="1" x14ac:dyDescent="0.2">
      <c r="A127" s="82" t="str">
        <f t="shared" si="4"/>
        <v/>
      </c>
      <c r="B127" s="82" t="s">
        <v>20</v>
      </c>
      <c r="C127" s="82">
        <v>6</v>
      </c>
      <c r="D127" s="45" t="str" cm="1">
        <f t="array" ref="D127">_xlfn.IFNA(INDEX('DMT-M'!C$3:C$49,MATCH(1,(C127='DMT-M'!A$3:A$49)*(B127='DMT-M'!G$3:G$49),0)),"")</f>
        <v/>
      </c>
    </row>
    <row r="128" spans="1:4" hidden="1" x14ac:dyDescent="0.2">
      <c r="A128" s="82" t="str">
        <f t="shared" si="4"/>
        <v/>
      </c>
      <c r="B128" s="82" t="s">
        <v>20</v>
      </c>
      <c r="C128" s="82">
        <v>7</v>
      </c>
      <c r="D128" s="45" t="str" cm="1">
        <f t="array" ref="D128">_xlfn.IFNA(INDEX('DMT-M'!C$3:C$49,MATCH(1,(C128='DMT-M'!A$3:A$49)*(B128='DMT-M'!G$3:G$49),0)),"")</f>
        <v/>
      </c>
    </row>
    <row r="129" spans="1:4" hidden="1" x14ac:dyDescent="0.2">
      <c r="A129" s="82" t="str">
        <f t="shared" si="4"/>
        <v/>
      </c>
      <c r="B129" s="82" t="s">
        <v>20</v>
      </c>
      <c r="C129" s="82">
        <v>8</v>
      </c>
      <c r="D129" s="45" t="str" cm="1">
        <f t="array" ref="D129">_xlfn.IFNA(INDEX('DMT-M'!C$3:C$49,MATCH(1,(C129='DMT-M'!A$3:A$49)*(B129='DMT-M'!G$3:G$49),0)),"")</f>
        <v/>
      </c>
    </row>
    <row r="130" spans="1:4" hidden="1" x14ac:dyDescent="0.2">
      <c r="A130" s="83" t="str">
        <f>IF(D130="","","DMT-W")</f>
        <v/>
      </c>
      <c r="B130" s="86" t="s">
        <v>18</v>
      </c>
      <c r="C130" s="83">
        <v>1</v>
      </c>
      <c r="D130" s="46" t="str" cm="1">
        <f t="array" ref="D130">_xlfn.IFNA(INDEX('DMT-W'!C$3:C$50,MATCH(1,(C130='DMT-W'!A$3:A$50)*(B130='DMT-W'!G$3:G$50),0)),"")</f>
        <v/>
      </c>
    </row>
    <row r="131" spans="1:4" hidden="1" x14ac:dyDescent="0.2">
      <c r="A131" s="83" t="str">
        <f t="shared" ref="A131:A161" si="5">IF(D131="","","DMT-W")</f>
        <v/>
      </c>
      <c r="B131" s="86" t="s">
        <v>18</v>
      </c>
      <c r="C131" s="83">
        <v>2</v>
      </c>
      <c r="D131" s="46" t="str" cm="1">
        <f t="array" ref="D131">_xlfn.IFNA(INDEX('DMT-W'!C$3:C$50,MATCH(1,(C131='DMT-W'!A$3:A$50)*(B131='DMT-W'!G$3:G$50),0)),"")</f>
        <v/>
      </c>
    </row>
    <row r="132" spans="1:4" hidden="1" x14ac:dyDescent="0.2">
      <c r="A132" s="83" t="str">
        <f t="shared" si="5"/>
        <v/>
      </c>
      <c r="B132" s="86" t="s">
        <v>18</v>
      </c>
      <c r="C132" s="83">
        <v>3</v>
      </c>
      <c r="D132" s="46" t="str" cm="1">
        <f t="array" ref="D132">_xlfn.IFNA(INDEX('DMT-W'!C$3:C$50,MATCH(1,(C132='DMT-W'!A$3:A$50)*(B132='DMT-W'!G$3:G$50),0)),"")</f>
        <v/>
      </c>
    </row>
    <row r="133" spans="1:4" hidden="1" x14ac:dyDescent="0.2">
      <c r="A133" s="83" t="str">
        <f t="shared" si="5"/>
        <v/>
      </c>
      <c r="B133" s="86" t="s">
        <v>18</v>
      </c>
      <c r="C133" s="83">
        <v>4</v>
      </c>
      <c r="D133" s="46" t="str" cm="1">
        <f t="array" ref="D133">_xlfn.IFNA(INDEX('DMT-W'!C$3:C$50,MATCH(1,(C133='DMT-W'!A$3:A$50)*(B133='DMT-W'!G$3:G$50),0)),"")</f>
        <v/>
      </c>
    </row>
    <row r="134" spans="1:4" hidden="1" x14ac:dyDescent="0.2">
      <c r="A134" s="83" t="str">
        <f t="shared" si="5"/>
        <v/>
      </c>
      <c r="B134" s="86" t="s">
        <v>18</v>
      </c>
      <c r="C134" s="83">
        <v>5</v>
      </c>
      <c r="D134" s="46" t="str" cm="1">
        <f t="array" ref="D134">_xlfn.IFNA(INDEX('DMT-W'!C$3:C$50,MATCH(1,(C134='DMT-W'!A$3:A$50)*(B134='DMT-W'!G$3:G$50),0)),"")</f>
        <v/>
      </c>
    </row>
    <row r="135" spans="1:4" hidden="1" x14ac:dyDescent="0.2">
      <c r="A135" s="83" t="str">
        <f t="shared" si="5"/>
        <v/>
      </c>
      <c r="B135" s="86" t="s">
        <v>18</v>
      </c>
      <c r="C135" s="83">
        <v>6</v>
      </c>
      <c r="D135" s="46" t="str" cm="1">
        <f t="array" ref="D135">_xlfn.IFNA(INDEX('DMT-W'!C$3:C$50,MATCH(1,(C135='DMT-W'!A$3:A$50)*(B135='DMT-W'!G$3:G$50),0)),"")</f>
        <v/>
      </c>
    </row>
    <row r="136" spans="1:4" hidden="1" x14ac:dyDescent="0.2">
      <c r="A136" s="83" t="str">
        <f t="shared" si="5"/>
        <v/>
      </c>
      <c r="B136" s="86" t="s">
        <v>18</v>
      </c>
      <c r="C136" s="83">
        <v>7</v>
      </c>
      <c r="D136" s="46" t="str" cm="1">
        <f t="array" ref="D136">_xlfn.IFNA(INDEX('DMT-W'!C$3:C$50,MATCH(1,(C136='DMT-W'!A$3:A$50)*(B136='DMT-W'!G$3:G$50),0)),"")</f>
        <v/>
      </c>
    </row>
    <row r="137" spans="1:4" hidden="1" x14ac:dyDescent="0.2">
      <c r="A137" s="83" t="str">
        <f t="shared" si="5"/>
        <v/>
      </c>
      <c r="B137" s="86" t="s">
        <v>18</v>
      </c>
      <c r="C137" s="83">
        <v>8</v>
      </c>
      <c r="D137" s="46" t="str" cm="1">
        <f t="array" ref="D137">_xlfn.IFNA(INDEX('DMT-W'!C$3:C$50,MATCH(1,(C137='DMT-W'!A$3:A$50)*(B137='DMT-W'!G$3:G$50),0)),"")</f>
        <v/>
      </c>
    </row>
    <row r="138" spans="1:4" hidden="1" x14ac:dyDescent="0.2">
      <c r="A138" s="83" t="str">
        <f t="shared" si="5"/>
        <v/>
      </c>
      <c r="B138" s="83" t="s">
        <v>17</v>
      </c>
      <c r="C138" s="83">
        <v>1</v>
      </c>
      <c r="D138" s="46" t="str" cm="1">
        <f t="array" ref="D138">_xlfn.IFNA(INDEX('DMT-W'!C$3:C$50,MATCH(1,(C138='DMT-W'!A$3:A$50)*(B138='DMT-W'!G$3:G$50),0)),"")</f>
        <v/>
      </c>
    </row>
    <row r="139" spans="1:4" hidden="1" x14ac:dyDescent="0.2">
      <c r="A139" s="83" t="str">
        <f t="shared" si="5"/>
        <v/>
      </c>
      <c r="B139" s="83" t="s">
        <v>17</v>
      </c>
      <c r="C139" s="83">
        <v>2</v>
      </c>
      <c r="D139" s="46" t="str" cm="1">
        <f t="array" ref="D139">_xlfn.IFNA(INDEX('DMT-W'!C$3:C$50,MATCH(1,(C139='DMT-W'!A$3:A$50)*(B139='DMT-W'!G$3:G$50),0)),"")</f>
        <v/>
      </c>
    </row>
    <row r="140" spans="1:4" hidden="1" x14ac:dyDescent="0.2">
      <c r="A140" s="83" t="str">
        <f t="shared" si="5"/>
        <v/>
      </c>
      <c r="B140" s="83" t="s">
        <v>17</v>
      </c>
      <c r="C140" s="83">
        <v>3</v>
      </c>
      <c r="D140" s="46" t="str" cm="1">
        <f t="array" ref="D140">_xlfn.IFNA(INDEX('DMT-W'!C$3:C$50,MATCH(1,(C140='DMT-W'!A$3:A$50)*(B140='DMT-W'!G$3:G$50),0)),"")</f>
        <v/>
      </c>
    </row>
    <row r="141" spans="1:4" hidden="1" x14ac:dyDescent="0.2">
      <c r="A141" s="83" t="str">
        <f t="shared" si="5"/>
        <v/>
      </c>
      <c r="B141" s="83" t="s">
        <v>17</v>
      </c>
      <c r="C141" s="83">
        <v>4</v>
      </c>
      <c r="D141" s="46" t="str" cm="1">
        <f t="array" ref="D141">_xlfn.IFNA(INDEX('DMT-W'!C$3:C$50,MATCH(1,(C141='DMT-W'!A$3:A$50)*(B141='DMT-W'!G$3:G$50),0)),"")</f>
        <v/>
      </c>
    </row>
    <row r="142" spans="1:4" hidden="1" x14ac:dyDescent="0.2">
      <c r="A142" s="83" t="str">
        <f t="shared" si="5"/>
        <v/>
      </c>
      <c r="B142" s="83" t="s">
        <v>17</v>
      </c>
      <c r="C142" s="83">
        <v>5</v>
      </c>
      <c r="D142" s="46" t="str" cm="1">
        <f t="array" ref="D142">_xlfn.IFNA(INDEX('DMT-W'!C$3:C$50,MATCH(1,(C142='DMT-W'!A$3:A$50)*(B142='DMT-W'!G$3:G$50),0)),"")</f>
        <v/>
      </c>
    </row>
    <row r="143" spans="1:4" hidden="1" x14ac:dyDescent="0.2">
      <c r="A143" s="83" t="str">
        <f t="shared" si="5"/>
        <v/>
      </c>
      <c r="B143" s="83" t="s">
        <v>17</v>
      </c>
      <c r="C143" s="83">
        <v>6</v>
      </c>
      <c r="D143" s="46" t="str" cm="1">
        <f t="array" ref="D143">_xlfn.IFNA(INDEX('DMT-W'!C$3:C$50,MATCH(1,(C143='DMT-W'!A$3:A$50)*(B143='DMT-W'!G$3:G$50),0)),"")</f>
        <v/>
      </c>
    </row>
    <row r="144" spans="1:4" hidden="1" x14ac:dyDescent="0.2">
      <c r="A144" s="83" t="str">
        <f t="shared" si="5"/>
        <v/>
      </c>
      <c r="B144" s="83" t="s">
        <v>17</v>
      </c>
      <c r="C144" s="83">
        <v>7</v>
      </c>
      <c r="D144" s="46" t="str" cm="1">
        <f t="array" ref="D144">_xlfn.IFNA(INDEX('DMT-W'!C$3:C$50,MATCH(1,(C144='DMT-W'!A$3:A$50)*(B144='DMT-W'!G$3:G$50),0)),"")</f>
        <v/>
      </c>
    </row>
    <row r="145" spans="1:4" hidden="1" x14ac:dyDescent="0.2">
      <c r="A145" s="83" t="str">
        <f t="shared" si="5"/>
        <v/>
      </c>
      <c r="B145" s="83" t="s">
        <v>17</v>
      </c>
      <c r="C145" s="83">
        <v>8</v>
      </c>
      <c r="D145" s="46" t="str" cm="1">
        <f t="array" ref="D145">_xlfn.IFNA(INDEX('DMT-W'!C$3:C$50,MATCH(1,(C145='DMT-W'!A$3:A$50)*(B145='DMT-W'!G$3:G$50),0)),"")</f>
        <v/>
      </c>
    </row>
    <row r="146" spans="1:4" hidden="1" x14ac:dyDescent="0.2">
      <c r="A146" s="83" t="str">
        <f t="shared" si="5"/>
        <v/>
      </c>
      <c r="B146" s="83" t="s">
        <v>19</v>
      </c>
      <c r="C146" s="83">
        <v>1</v>
      </c>
      <c r="D146" s="46" t="str" cm="1">
        <f t="array" ref="D146">_xlfn.IFNA(INDEX('DMT-W'!C$3:C$50,MATCH(1,(C146='DMT-W'!A$3:A$50)*(B146='DMT-W'!G$3:G$50),0)),"")</f>
        <v/>
      </c>
    </row>
    <row r="147" spans="1:4" hidden="1" x14ac:dyDescent="0.2">
      <c r="A147" s="83" t="str">
        <f t="shared" si="5"/>
        <v/>
      </c>
      <c r="B147" s="83" t="s">
        <v>19</v>
      </c>
      <c r="C147" s="83">
        <v>2</v>
      </c>
      <c r="D147" s="46" t="str" cm="1">
        <f t="array" ref="D147">_xlfn.IFNA(INDEX('DMT-W'!C$3:C$50,MATCH(1,(C147='DMT-W'!A$3:A$50)*(B147='DMT-W'!G$3:G$50),0)),"")</f>
        <v/>
      </c>
    </row>
    <row r="148" spans="1:4" hidden="1" x14ac:dyDescent="0.2">
      <c r="A148" s="83" t="str">
        <f t="shared" si="5"/>
        <v/>
      </c>
      <c r="B148" s="83" t="s">
        <v>19</v>
      </c>
      <c r="C148" s="83">
        <v>3</v>
      </c>
      <c r="D148" s="46" t="str" cm="1">
        <f t="array" ref="D148">_xlfn.IFNA(INDEX('DMT-W'!C$3:C$50,MATCH(1,(C148='DMT-W'!A$3:A$50)*(B148='DMT-W'!G$3:G$50),0)),"")</f>
        <v/>
      </c>
    </row>
    <row r="149" spans="1:4" hidden="1" x14ac:dyDescent="0.2">
      <c r="A149" s="83" t="str">
        <f t="shared" si="5"/>
        <v/>
      </c>
      <c r="B149" s="83" t="s">
        <v>19</v>
      </c>
      <c r="C149" s="83">
        <v>4</v>
      </c>
      <c r="D149" s="46" t="str" cm="1">
        <f t="array" ref="D149">_xlfn.IFNA(INDEX('DMT-W'!C$3:C$50,MATCH(1,(C149='DMT-W'!A$3:A$50)*(B149='DMT-W'!G$3:G$50),0)),"")</f>
        <v/>
      </c>
    </row>
    <row r="150" spans="1:4" hidden="1" x14ac:dyDescent="0.2">
      <c r="A150" s="83" t="str">
        <f t="shared" si="5"/>
        <v/>
      </c>
      <c r="B150" s="83" t="s">
        <v>19</v>
      </c>
      <c r="C150" s="83">
        <v>5</v>
      </c>
      <c r="D150" s="46" t="str" cm="1">
        <f t="array" ref="D150">_xlfn.IFNA(INDEX('DMT-W'!C$3:C$50,MATCH(1,(C150='DMT-W'!A$3:A$50)*(B150='DMT-W'!G$3:G$50),0)),"")</f>
        <v/>
      </c>
    </row>
    <row r="151" spans="1:4" hidden="1" x14ac:dyDescent="0.2">
      <c r="A151" s="83" t="str">
        <f t="shared" si="5"/>
        <v/>
      </c>
      <c r="B151" s="83" t="s">
        <v>19</v>
      </c>
      <c r="C151" s="83">
        <v>6</v>
      </c>
      <c r="D151" s="46" t="str" cm="1">
        <f t="array" ref="D151">_xlfn.IFNA(INDEX('DMT-W'!C$3:C$50,MATCH(1,(C151='DMT-W'!A$3:A$50)*(B151='DMT-W'!G$3:G$50),0)),"")</f>
        <v/>
      </c>
    </row>
    <row r="152" spans="1:4" hidden="1" x14ac:dyDescent="0.2">
      <c r="A152" s="83" t="str">
        <f t="shared" si="5"/>
        <v/>
      </c>
      <c r="B152" s="83" t="s">
        <v>19</v>
      </c>
      <c r="C152" s="83">
        <v>7</v>
      </c>
      <c r="D152" s="46" t="str" cm="1">
        <f t="array" ref="D152">_xlfn.IFNA(INDEX('DMT-W'!C$3:C$50,MATCH(1,(C152='DMT-W'!A$3:A$50)*(B152='DMT-W'!G$3:G$50),0)),"")</f>
        <v/>
      </c>
    </row>
    <row r="153" spans="1:4" hidden="1" x14ac:dyDescent="0.2">
      <c r="A153" s="83" t="str">
        <f t="shared" si="5"/>
        <v/>
      </c>
      <c r="B153" s="83" t="s">
        <v>19</v>
      </c>
      <c r="C153" s="83">
        <v>8</v>
      </c>
      <c r="D153" s="46" t="str" cm="1">
        <f t="array" ref="D153">_xlfn.IFNA(INDEX('DMT-W'!C$3:C$50,MATCH(1,(C153='DMT-W'!A$3:A$50)*(B153='DMT-W'!G$3:G$50),0)),"")</f>
        <v/>
      </c>
    </row>
    <row r="154" spans="1:4" hidden="1" x14ac:dyDescent="0.2">
      <c r="A154" s="83" t="str">
        <f t="shared" si="5"/>
        <v/>
      </c>
      <c r="B154" s="83" t="s">
        <v>20</v>
      </c>
      <c r="C154" s="83">
        <v>1</v>
      </c>
      <c r="D154" s="46" t="str" cm="1">
        <f t="array" ref="D154">_xlfn.IFNA(INDEX('DMT-W'!C$3:C$50,MATCH(1,(C154='DMT-W'!A$3:A$50)*(B154='DMT-W'!G$3:G$50),0)),"")</f>
        <v/>
      </c>
    </row>
    <row r="155" spans="1:4" hidden="1" x14ac:dyDescent="0.2">
      <c r="A155" s="83" t="str">
        <f t="shared" si="5"/>
        <v/>
      </c>
      <c r="B155" s="83" t="s">
        <v>20</v>
      </c>
      <c r="C155" s="83">
        <v>2</v>
      </c>
      <c r="D155" s="46" t="str" cm="1">
        <f t="array" ref="D155">_xlfn.IFNA(INDEX('DMT-W'!C$3:C$50,MATCH(1,(C155='DMT-W'!A$3:A$50)*(B155='DMT-W'!G$3:G$50),0)),"")</f>
        <v/>
      </c>
    </row>
    <row r="156" spans="1:4" hidden="1" x14ac:dyDescent="0.2">
      <c r="A156" s="83" t="str">
        <f t="shared" si="5"/>
        <v/>
      </c>
      <c r="B156" s="83" t="s">
        <v>20</v>
      </c>
      <c r="C156" s="83">
        <v>3</v>
      </c>
      <c r="D156" s="46" t="str" cm="1">
        <f t="array" ref="D156">_xlfn.IFNA(INDEX('DMT-W'!C$3:C$50,MATCH(1,(C156='DMT-W'!A$3:A$50)*(B156='DMT-W'!G$3:G$50),0)),"")</f>
        <v/>
      </c>
    </row>
    <row r="157" spans="1:4" hidden="1" x14ac:dyDescent="0.2">
      <c r="A157" s="83" t="str">
        <f t="shared" si="5"/>
        <v/>
      </c>
      <c r="B157" s="83" t="s">
        <v>20</v>
      </c>
      <c r="C157" s="83">
        <v>4</v>
      </c>
      <c r="D157" s="46" t="str" cm="1">
        <f t="array" ref="D157">_xlfn.IFNA(INDEX('DMT-W'!C$3:C$50,MATCH(1,(C157='DMT-W'!A$3:A$50)*(B157='DMT-W'!G$3:G$50),0)),"")</f>
        <v/>
      </c>
    </row>
    <row r="158" spans="1:4" hidden="1" x14ac:dyDescent="0.2">
      <c r="A158" s="83" t="str">
        <f t="shared" si="5"/>
        <v/>
      </c>
      <c r="B158" s="83" t="s">
        <v>20</v>
      </c>
      <c r="C158" s="83">
        <v>5</v>
      </c>
      <c r="D158" s="46" t="str" cm="1">
        <f t="array" ref="D158">_xlfn.IFNA(INDEX('DMT-W'!C$3:C$50,MATCH(1,(C158='DMT-W'!A$3:A$50)*(B158='DMT-W'!G$3:G$50),0)),"")</f>
        <v/>
      </c>
    </row>
    <row r="159" spans="1:4" hidden="1" x14ac:dyDescent="0.2">
      <c r="A159" s="83" t="str">
        <f t="shared" si="5"/>
        <v/>
      </c>
      <c r="B159" s="83" t="s">
        <v>20</v>
      </c>
      <c r="C159" s="83">
        <v>6</v>
      </c>
      <c r="D159" s="46" t="str" cm="1">
        <f t="array" ref="D159">_xlfn.IFNA(INDEX('DMT-W'!C$3:C$50,MATCH(1,(C159='DMT-W'!A$3:A$50)*(B159='DMT-W'!G$3:G$50),0)),"")</f>
        <v/>
      </c>
    </row>
    <row r="160" spans="1:4" hidden="1" x14ac:dyDescent="0.2">
      <c r="A160" s="83" t="str">
        <f t="shared" si="5"/>
        <v/>
      </c>
      <c r="B160" s="83" t="s">
        <v>20</v>
      </c>
      <c r="C160" s="83">
        <v>7</v>
      </c>
      <c r="D160" s="46" t="str" cm="1">
        <f t="array" ref="D160">_xlfn.IFNA(INDEX('DMT-W'!C$3:C$50,MATCH(1,(C160='DMT-W'!A$3:A$50)*(B160='DMT-W'!G$3:G$50),0)),"")</f>
        <v/>
      </c>
    </row>
    <row r="161" spans="1:4" hidden="1" x14ac:dyDescent="0.2">
      <c r="A161" s="83" t="str">
        <f t="shared" si="5"/>
        <v/>
      </c>
      <c r="B161" s="83" t="s">
        <v>20</v>
      </c>
      <c r="C161" s="83">
        <v>8</v>
      </c>
      <c r="D161" s="46" t="str" cm="1">
        <f t="array" ref="D161">_xlfn.IFNA(INDEX('DMT-W'!C$3:C$50,MATCH(1,(C161='DMT-W'!A$3:A$50)*(B161='DMT-W'!G$3:G$50),0)),"")</f>
        <v/>
      </c>
    </row>
    <row r="162" spans="1:4" hidden="1" x14ac:dyDescent="0.2">
      <c r="A162" s="82" t="str">
        <f>IF(D162="","","TUM-M")</f>
        <v/>
      </c>
      <c r="B162" s="85" t="s">
        <v>18</v>
      </c>
      <c r="C162" s="82">
        <v>1</v>
      </c>
      <c r="D162" s="45" t="str" cm="1">
        <f t="array" ref="D162">_xlfn.IFNA(INDEX('TUM-M'!C$3:C$20,MATCH(1,(C162='TUM-M'!A$3:A$20)*(B162='TUM-M'!G$3:G$20),0)),"")</f>
        <v/>
      </c>
    </row>
    <row r="163" spans="1:4" hidden="1" x14ac:dyDescent="0.2">
      <c r="A163" s="82" t="str">
        <f t="shared" ref="A163:A193" si="6">IF(D163="","","TUM-M")</f>
        <v/>
      </c>
      <c r="B163" s="85" t="s">
        <v>18</v>
      </c>
      <c r="C163" s="82">
        <v>2</v>
      </c>
      <c r="D163" s="45" t="str" cm="1">
        <f t="array" ref="D163">_xlfn.IFNA(INDEX('TUM-M'!C$3:C$20,MATCH(1,(C163='TUM-M'!A$3:A$20)*(B163='TUM-M'!G$3:G$20),0)),"")</f>
        <v/>
      </c>
    </row>
    <row r="164" spans="1:4" hidden="1" x14ac:dyDescent="0.2">
      <c r="A164" s="82" t="str">
        <f t="shared" si="6"/>
        <v/>
      </c>
      <c r="B164" s="85" t="s">
        <v>18</v>
      </c>
      <c r="C164" s="82">
        <v>3</v>
      </c>
      <c r="D164" s="45" t="str" cm="1">
        <f t="array" ref="D164">_xlfn.IFNA(INDEX('TUM-M'!C$3:C$20,MATCH(1,(C164='TUM-M'!A$3:A$20)*(B164='TUM-M'!G$3:G$20),0)),"")</f>
        <v/>
      </c>
    </row>
    <row r="165" spans="1:4" hidden="1" x14ac:dyDescent="0.2">
      <c r="A165" s="82" t="str">
        <f t="shared" si="6"/>
        <v/>
      </c>
      <c r="B165" s="85" t="s">
        <v>18</v>
      </c>
      <c r="C165" s="82">
        <v>4</v>
      </c>
      <c r="D165" s="45" t="str" cm="1">
        <f t="array" ref="D165">_xlfn.IFNA(INDEX('TUM-M'!C$3:C$20,MATCH(1,(C165='TUM-M'!A$3:A$20)*(B165='TUM-M'!G$3:G$20),0)),"")</f>
        <v/>
      </c>
    </row>
    <row r="166" spans="1:4" hidden="1" x14ac:dyDescent="0.2">
      <c r="A166" s="82" t="str">
        <f t="shared" si="6"/>
        <v/>
      </c>
      <c r="B166" s="85" t="s">
        <v>18</v>
      </c>
      <c r="C166" s="82">
        <v>5</v>
      </c>
      <c r="D166" s="45" t="str" cm="1">
        <f t="array" ref="D166">_xlfn.IFNA(INDEX('TUM-M'!C$3:C$20,MATCH(1,(C166='TUM-M'!A$3:A$20)*(B166='TUM-M'!G$3:G$20),0)),"")</f>
        <v/>
      </c>
    </row>
    <row r="167" spans="1:4" hidden="1" x14ac:dyDescent="0.2">
      <c r="A167" s="82" t="str">
        <f t="shared" si="6"/>
        <v/>
      </c>
      <c r="B167" s="85" t="s">
        <v>18</v>
      </c>
      <c r="C167" s="82">
        <v>6</v>
      </c>
      <c r="D167" s="45" t="str" cm="1">
        <f t="array" ref="D167">_xlfn.IFNA(INDEX('TUM-M'!C$3:C$20,MATCH(1,(C167='TUM-M'!A$3:A$20)*(B167='TUM-M'!G$3:G$20),0)),"")</f>
        <v/>
      </c>
    </row>
    <row r="168" spans="1:4" hidden="1" x14ac:dyDescent="0.2">
      <c r="A168" s="82" t="str">
        <f t="shared" si="6"/>
        <v/>
      </c>
      <c r="B168" s="85" t="s">
        <v>18</v>
      </c>
      <c r="C168" s="82">
        <v>7</v>
      </c>
      <c r="D168" s="45" t="str" cm="1">
        <f t="array" ref="D168">_xlfn.IFNA(INDEX('TUM-M'!C$3:C$20,MATCH(1,(C168='TUM-M'!A$3:A$20)*(B168='TUM-M'!G$3:G$20),0)),"")</f>
        <v/>
      </c>
    </row>
    <row r="169" spans="1:4" hidden="1" x14ac:dyDescent="0.2">
      <c r="A169" s="82" t="str">
        <f t="shared" si="6"/>
        <v/>
      </c>
      <c r="B169" s="85" t="s">
        <v>18</v>
      </c>
      <c r="C169" s="82">
        <v>8</v>
      </c>
      <c r="D169" s="45" t="str" cm="1">
        <f t="array" ref="D169">_xlfn.IFNA(INDEX('TUM-M'!C$3:C$20,MATCH(1,(C169='TUM-M'!A$3:A$20)*(B169='TUM-M'!G$3:G$20),0)),"")</f>
        <v/>
      </c>
    </row>
    <row r="170" spans="1:4" hidden="1" x14ac:dyDescent="0.2">
      <c r="A170" s="82" t="str">
        <f t="shared" si="6"/>
        <v/>
      </c>
      <c r="B170" s="82" t="s">
        <v>17</v>
      </c>
      <c r="C170" s="82">
        <v>1</v>
      </c>
      <c r="D170" s="45" t="str" cm="1">
        <f t="array" ref="D170">_xlfn.IFNA(INDEX('TUM-M'!C$3:C$20,MATCH(1,(C170='TUM-M'!A$3:A$20)*(B170='TUM-M'!G$3:G$20),0)),"")</f>
        <v/>
      </c>
    </row>
    <row r="171" spans="1:4" hidden="1" x14ac:dyDescent="0.2">
      <c r="A171" s="82" t="str">
        <f t="shared" si="6"/>
        <v/>
      </c>
      <c r="B171" s="82" t="s">
        <v>17</v>
      </c>
      <c r="C171" s="82">
        <v>2</v>
      </c>
      <c r="D171" s="45" t="str" cm="1">
        <f t="array" ref="D171">_xlfn.IFNA(INDEX('TUM-M'!C$3:C$20,MATCH(1,(C171='TUM-M'!A$3:A$20)*(B171='TUM-M'!G$3:G$20),0)),"")</f>
        <v/>
      </c>
    </row>
    <row r="172" spans="1:4" hidden="1" x14ac:dyDescent="0.2">
      <c r="A172" s="82" t="str">
        <f t="shared" si="6"/>
        <v/>
      </c>
      <c r="B172" s="82" t="s">
        <v>17</v>
      </c>
      <c r="C172" s="82">
        <v>3</v>
      </c>
      <c r="D172" s="45" t="str" cm="1">
        <f t="array" ref="D172">_xlfn.IFNA(INDEX('TUM-M'!C$3:C$20,MATCH(1,(C172='TUM-M'!A$3:A$20)*(B172='TUM-M'!G$3:G$20),0)),"")</f>
        <v/>
      </c>
    </row>
    <row r="173" spans="1:4" hidden="1" x14ac:dyDescent="0.2">
      <c r="A173" s="82" t="str">
        <f t="shared" si="6"/>
        <v/>
      </c>
      <c r="B173" s="82" t="s">
        <v>17</v>
      </c>
      <c r="C173" s="82">
        <v>4</v>
      </c>
      <c r="D173" s="45" t="str" cm="1">
        <f t="array" ref="D173">_xlfn.IFNA(INDEX('TUM-M'!C$3:C$20,MATCH(1,(C173='TUM-M'!A$3:A$20)*(B173='TUM-M'!G$3:G$20),0)),"")</f>
        <v/>
      </c>
    </row>
    <row r="174" spans="1:4" hidden="1" x14ac:dyDescent="0.2">
      <c r="A174" s="82" t="str">
        <f t="shared" si="6"/>
        <v/>
      </c>
      <c r="B174" s="82" t="s">
        <v>17</v>
      </c>
      <c r="C174" s="82">
        <v>5</v>
      </c>
      <c r="D174" s="45" t="str" cm="1">
        <f t="array" ref="D174">_xlfn.IFNA(INDEX('TUM-M'!C$3:C$20,MATCH(1,(C174='TUM-M'!A$3:A$20)*(B174='TUM-M'!G$3:G$20),0)),"")</f>
        <v/>
      </c>
    </row>
    <row r="175" spans="1:4" hidden="1" x14ac:dyDescent="0.2">
      <c r="A175" s="82" t="str">
        <f t="shared" si="6"/>
        <v/>
      </c>
      <c r="B175" s="82" t="s">
        <v>17</v>
      </c>
      <c r="C175" s="82">
        <v>6</v>
      </c>
      <c r="D175" s="45" t="str" cm="1">
        <f t="array" ref="D175">_xlfn.IFNA(INDEX('TUM-M'!C$3:C$20,MATCH(1,(C175='TUM-M'!A$3:A$20)*(B175='TUM-M'!G$3:G$20),0)),"")</f>
        <v/>
      </c>
    </row>
    <row r="176" spans="1:4" hidden="1" x14ac:dyDescent="0.2">
      <c r="A176" s="82" t="str">
        <f t="shared" si="6"/>
        <v/>
      </c>
      <c r="B176" s="82" t="s">
        <v>17</v>
      </c>
      <c r="C176" s="82">
        <v>7</v>
      </c>
      <c r="D176" s="45" t="str" cm="1">
        <f t="array" ref="D176">_xlfn.IFNA(INDEX('TUM-M'!C$3:C$20,MATCH(1,(C176='TUM-M'!A$3:A$20)*(B176='TUM-M'!G$3:G$20),0)),"")</f>
        <v/>
      </c>
    </row>
    <row r="177" spans="1:4" hidden="1" x14ac:dyDescent="0.2">
      <c r="A177" s="82" t="str">
        <f t="shared" si="6"/>
        <v/>
      </c>
      <c r="B177" s="82" t="s">
        <v>17</v>
      </c>
      <c r="C177" s="82">
        <v>8</v>
      </c>
      <c r="D177" s="45" t="str" cm="1">
        <f t="array" ref="D177">_xlfn.IFNA(INDEX('TUM-M'!C$3:C$20,MATCH(1,(C177='TUM-M'!A$3:A$20)*(B177='TUM-M'!G$3:G$20),0)),"")</f>
        <v/>
      </c>
    </row>
    <row r="178" spans="1:4" hidden="1" x14ac:dyDescent="0.2">
      <c r="A178" s="82" t="str">
        <f t="shared" si="6"/>
        <v/>
      </c>
      <c r="B178" s="82" t="s">
        <v>19</v>
      </c>
      <c r="C178" s="82">
        <v>1</v>
      </c>
      <c r="D178" s="45" t="str" cm="1">
        <f t="array" ref="D178">_xlfn.IFNA(INDEX('TUM-M'!C$3:C$20,MATCH(1,(C178='TUM-M'!A$3:A$20)*(B178='TUM-M'!G$3:G$20),0)),"")</f>
        <v/>
      </c>
    </row>
    <row r="179" spans="1:4" hidden="1" x14ac:dyDescent="0.2">
      <c r="A179" s="82" t="str">
        <f t="shared" si="6"/>
        <v/>
      </c>
      <c r="B179" s="82" t="s">
        <v>19</v>
      </c>
      <c r="C179" s="82">
        <v>2</v>
      </c>
      <c r="D179" s="45" t="str" cm="1">
        <f t="array" ref="D179">_xlfn.IFNA(INDEX('TUM-M'!C$3:C$20,MATCH(1,(C179='TUM-M'!A$3:A$20)*(B179='TUM-M'!G$3:G$20),0)),"")</f>
        <v/>
      </c>
    </row>
    <row r="180" spans="1:4" hidden="1" x14ac:dyDescent="0.2">
      <c r="A180" s="82" t="str">
        <f t="shared" si="6"/>
        <v/>
      </c>
      <c r="B180" s="82" t="s">
        <v>19</v>
      </c>
      <c r="C180" s="82">
        <v>3</v>
      </c>
      <c r="D180" s="45" t="str" cm="1">
        <f t="array" ref="D180">_xlfn.IFNA(INDEX('TUM-M'!C$3:C$20,MATCH(1,(C180='TUM-M'!A$3:A$20)*(B180='TUM-M'!G$3:G$20),0)),"")</f>
        <v/>
      </c>
    </row>
    <row r="181" spans="1:4" hidden="1" x14ac:dyDescent="0.2">
      <c r="A181" s="82" t="str">
        <f t="shared" si="6"/>
        <v/>
      </c>
      <c r="B181" s="82" t="s">
        <v>19</v>
      </c>
      <c r="C181" s="82">
        <v>4</v>
      </c>
      <c r="D181" s="45" t="str" cm="1">
        <f t="array" ref="D181">_xlfn.IFNA(INDEX('TUM-M'!C$3:C$20,MATCH(1,(C181='TUM-M'!A$3:A$20)*(B181='TUM-M'!G$3:G$20),0)),"")</f>
        <v/>
      </c>
    </row>
    <row r="182" spans="1:4" hidden="1" x14ac:dyDescent="0.2">
      <c r="A182" s="82" t="str">
        <f t="shared" si="6"/>
        <v/>
      </c>
      <c r="B182" s="82" t="s">
        <v>19</v>
      </c>
      <c r="C182" s="82">
        <v>5</v>
      </c>
      <c r="D182" s="45" t="str" cm="1">
        <f t="array" ref="D182">_xlfn.IFNA(INDEX('TUM-M'!C$3:C$20,MATCH(1,(C182='TUM-M'!A$3:A$20)*(B182='TUM-M'!G$3:G$20),0)),"")</f>
        <v/>
      </c>
    </row>
    <row r="183" spans="1:4" hidden="1" x14ac:dyDescent="0.2">
      <c r="A183" s="82" t="str">
        <f t="shared" si="6"/>
        <v/>
      </c>
      <c r="B183" s="82" t="s">
        <v>19</v>
      </c>
      <c r="C183" s="82">
        <v>6</v>
      </c>
      <c r="D183" s="45" t="str" cm="1">
        <f t="array" ref="D183">_xlfn.IFNA(INDEX('TUM-M'!C$3:C$20,MATCH(1,(C183='TUM-M'!A$3:A$20)*(B183='TUM-M'!G$3:G$20),0)),"")</f>
        <v/>
      </c>
    </row>
    <row r="184" spans="1:4" hidden="1" x14ac:dyDescent="0.2">
      <c r="A184" s="82" t="str">
        <f t="shared" si="6"/>
        <v/>
      </c>
      <c r="B184" s="82" t="s">
        <v>19</v>
      </c>
      <c r="C184" s="82">
        <v>7</v>
      </c>
      <c r="D184" s="45" t="str" cm="1">
        <f t="array" ref="D184">_xlfn.IFNA(INDEX('TUM-M'!C$3:C$20,MATCH(1,(C184='TUM-M'!A$3:A$20)*(B184='TUM-M'!G$3:G$20),0)),"")</f>
        <v/>
      </c>
    </row>
    <row r="185" spans="1:4" hidden="1" x14ac:dyDescent="0.2">
      <c r="A185" s="82" t="str">
        <f t="shared" si="6"/>
        <v/>
      </c>
      <c r="B185" s="82" t="s">
        <v>19</v>
      </c>
      <c r="C185" s="82">
        <v>8</v>
      </c>
      <c r="D185" s="45" t="str" cm="1">
        <f t="array" ref="D185">_xlfn.IFNA(INDEX('TUM-M'!C$3:C$20,MATCH(1,(C185='TUM-M'!A$3:A$20)*(B185='TUM-M'!G$3:G$20),0)),"")</f>
        <v/>
      </c>
    </row>
    <row r="186" spans="1:4" hidden="1" x14ac:dyDescent="0.2">
      <c r="A186" s="82" t="str">
        <f t="shared" si="6"/>
        <v/>
      </c>
      <c r="B186" s="82" t="s">
        <v>20</v>
      </c>
      <c r="C186" s="82">
        <v>1</v>
      </c>
      <c r="D186" s="45" t="str" cm="1">
        <f t="array" ref="D186">_xlfn.IFNA(INDEX('TUM-M'!C$3:C$20,MATCH(1,(C186='TUM-M'!A$3:A$20)*(B186='TUM-M'!G$3:G$20),0)),"")</f>
        <v/>
      </c>
    </row>
    <row r="187" spans="1:4" hidden="1" x14ac:dyDescent="0.2">
      <c r="A187" s="82" t="str">
        <f t="shared" si="6"/>
        <v/>
      </c>
      <c r="B187" s="82" t="s">
        <v>20</v>
      </c>
      <c r="C187" s="82">
        <v>2</v>
      </c>
      <c r="D187" s="45" t="str" cm="1">
        <f t="array" ref="D187">_xlfn.IFNA(INDEX('TUM-M'!C$3:C$20,MATCH(1,(C187='TUM-M'!A$3:A$20)*(B187='TUM-M'!G$3:G$20),0)),"")</f>
        <v/>
      </c>
    </row>
    <row r="188" spans="1:4" hidden="1" x14ac:dyDescent="0.2">
      <c r="A188" s="82" t="str">
        <f t="shared" si="6"/>
        <v/>
      </c>
      <c r="B188" s="82" t="s">
        <v>20</v>
      </c>
      <c r="C188" s="82">
        <v>3</v>
      </c>
      <c r="D188" s="45" t="str" cm="1">
        <f t="array" ref="D188">_xlfn.IFNA(INDEX('TUM-M'!C$3:C$20,MATCH(1,(C188='TUM-M'!A$3:A$20)*(B188='TUM-M'!G$3:G$20),0)),"")</f>
        <v/>
      </c>
    </row>
    <row r="189" spans="1:4" hidden="1" x14ac:dyDescent="0.2">
      <c r="A189" s="82" t="str">
        <f t="shared" si="6"/>
        <v/>
      </c>
      <c r="B189" s="82" t="s">
        <v>20</v>
      </c>
      <c r="C189" s="82">
        <v>4</v>
      </c>
      <c r="D189" s="45" t="str" cm="1">
        <f t="array" ref="D189">_xlfn.IFNA(INDEX('TUM-M'!C$3:C$20,MATCH(1,(C189='TUM-M'!A$3:A$20)*(B189='TUM-M'!G$3:G$20),0)),"")</f>
        <v/>
      </c>
    </row>
    <row r="190" spans="1:4" hidden="1" x14ac:dyDescent="0.2">
      <c r="A190" s="82" t="str">
        <f t="shared" si="6"/>
        <v/>
      </c>
      <c r="B190" s="82" t="s">
        <v>20</v>
      </c>
      <c r="C190" s="82">
        <v>5</v>
      </c>
      <c r="D190" s="45" t="str" cm="1">
        <f t="array" ref="D190">_xlfn.IFNA(INDEX('TUM-M'!C$3:C$20,MATCH(1,(C190='TUM-M'!A$3:A$20)*(B190='TUM-M'!G$3:G$20),0)),"")</f>
        <v/>
      </c>
    </row>
    <row r="191" spans="1:4" hidden="1" x14ac:dyDescent="0.2">
      <c r="A191" s="82" t="str">
        <f t="shared" si="6"/>
        <v/>
      </c>
      <c r="B191" s="82" t="s">
        <v>20</v>
      </c>
      <c r="C191" s="82">
        <v>6</v>
      </c>
      <c r="D191" s="45" t="str" cm="1">
        <f t="array" ref="D191">_xlfn.IFNA(INDEX('TUM-M'!C$3:C$20,MATCH(1,(C191='TUM-M'!A$3:A$20)*(B191='TUM-M'!G$3:G$20),0)),"")</f>
        <v/>
      </c>
    </row>
    <row r="192" spans="1:4" hidden="1" x14ac:dyDescent="0.2">
      <c r="A192" s="82" t="str">
        <f t="shared" si="6"/>
        <v/>
      </c>
      <c r="B192" s="82" t="s">
        <v>20</v>
      </c>
      <c r="C192" s="82">
        <v>7</v>
      </c>
      <c r="D192" s="45" t="str" cm="1">
        <f t="array" ref="D192">_xlfn.IFNA(INDEX('TUM-M'!C$3:C$20,MATCH(1,(C192='TUM-M'!A$3:A$20)*(B192='TUM-M'!G$3:G$20),0)),"")</f>
        <v/>
      </c>
    </row>
    <row r="193" spans="1:4" hidden="1" x14ac:dyDescent="0.2">
      <c r="A193" s="82" t="str">
        <f t="shared" si="6"/>
        <v/>
      </c>
      <c r="B193" s="82" t="s">
        <v>20</v>
      </c>
      <c r="C193" s="82">
        <v>8</v>
      </c>
      <c r="D193" s="45" t="str" cm="1">
        <f t="array" ref="D193">_xlfn.IFNA(INDEX('TUM-M'!C$3:C$20,MATCH(1,(C193='TUM-M'!A$3:A$20)*(B193='TUM-M'!G$3:G$20),0)),"")</f>
        <v/>
      </c>
    </row>
    <row r="194" spans="1:4" hidden="1" x14ac:dyDescent="0.2">
      <c r="A194" s="83" t="str">
        <f>IF(D194="","","TUM-W")</f>
        <v/>
      </c>
      <c r="B194" s="86" t="s">
        <v>18</v>
      </c>
      <c r="C194" s="83">
        <v>1</v>
      </c>
      <c r="D194" s="46" t="str" cm="1">
        <f t="array" ref="D194">_xlfn.IFNA(INDEX('TUM-W'!C$3:C$47,MATCH(1,(C194='TUM-W'!A$3:A$47)*(B194='TUM-W'!G$3:G$47),0)),"")</f>
        <v/>
      </c>
    </row>
    <row r="195" spans="1:4" hidden="1" x14ac:dyDescent="0.2">
      <c r="A195" s="83" t="str">
        <f t="shared" ref="A195:A225" si="7">IF(D195="","","TUM-W")</f>
        <v/>
      </c>
      <c r="B195" s="86" t="s">
        <v>18</v>
      </c>
      <c r="C195" s="83">
        <v>2</v>
      </c>
      <c r="D195" s="46" t="str" cm="1">
        <f t="array" ref="D195">_xlfn.IFNA(INDEX('TUM-W'!C$3:C$47,MATCH(1,(C195='TUM-W'!A$3:A$47)*(B195='TUM-W'!G$3:G$47),0)),"")</f>
        <v/>
      </c>
    </row>
    <row r="196" spans="1:4" hidden="1" x14ac:dyDescent="0.2">
      <c r="A196" s="83" t="str">
        <f t="shared" si="7"/>
        <v/>
      </c>
      <c r="B196" s="86" t="s">
        <v>18</v>
      </c>
      <c r="C196" s="83">
        <v>3</v>
      </c>
      <c r="D196" s="46" t="str" cm="1">
        <f t="array" ref="D196">_xlfn.IFNA(INDEX('TUM-W'!C$3:C$47,MATCH(1,(C196='TUM-W'!A$3:A$47)*(B196='TUM-W'!G$3:G$47),0)),"")</f>
        <v/>
      </c>
    </row>
    <row r="197" spans="1:4" hidden="1" x14ac:dyDescent="0.2">
      <c r="A197" s="83" t="str">
        <f t="shared" si="7"/>
        <v/>
      </c>
      <c r="B197" s="86" t="s">
        <v>18</v>
      </c>
      <c r="C197" s="83">
        <v>4</v>
      </c>
      <c r="D197" s="46" t="str" cm="1">
        <f t="array" ref="D197">_xlfn.IFNA(INDEX('TUM-W'!C$3:C$47,MATCH(1,(C197='TUM-W'!A$3:A$47)*(B197='TUM-W'!G$3:G$47),0)),"")</f>
        <v/>
      </c>
    </row>
    <row r="198" spans="1:4" hidden="1" x14ac:dyDescent="0.2">
      <c r="A198" s="83" t="str">
        <f t="shared" si="7"/>
        <v/>
      </c>
      <c r="B198" s="86" t="s">
        <v>18</v>
      </c>
      <c r="C198" s="83">
        <v>5</v>
      </c>
      <c r="D198" s="46" t="str" cm="1">
        <f t="array" ref="D198">_xlfn.IFNA(INDEX('TUM-W'!C$3:C$47,MATCH(1,(C198='TUM-W'!A$3:A$47)*(B198='TUM-W'!G$3:G$47),0)),"")</f>
        <v/>
      </c>
    </row>
    <row r="199" spans="1:4" hidden="1" x14ac:dyDescent="0.2">
      <c r="A199" s="83" t="str">
        <f t="shared" si="7"/>
        <v/>
      </c>
      <c r="B199" s="86" t="s">
        <v>18</v>
      </c>
      <c r="C199" s="83">
        <v>6</v>
      </c>
      <c r="D199" s="46" t="str" cm="1">
        <f t="array" ref="D199">_xlfn.IFNA(INDEX('TUM-W'!C$3:C$47,MATCH(1,(C199='TUM-W'!A$3:A$47)*(B199='TUM-W'!G$3:G$47),0)),"")</f>
        <v/>
      </c>
    </row>
    <row r="200" spans="1:4" hidden="1" x14ac:dyDescent="0.2">
      <c r="A200" s="83" t="str">
        <f t="shared" si="7"/>
        <v/>
      </c>
      <c r="B200" s="86" t="s">
        <v>18</v>
      </c>
      <c r="C200" s="83">
        <v>7</v>
      </c>
      <c r="D200" s="46" t="str" cm="1">
        <f t="array" ref="D200">_xlfn.IFNA(INDEX('TUM-W'!C$3:C$47,MATCH(1,(C200='TUM-W'!A$3:A$47)*(B200='TUM-W'!G$3:G$47),0)),"")</f>
        <v/>
      </c>
    </row>
    <row r="201" spans="1:4" hidden="1" x14ac:dyDescent="0.2">
      <c r="A201" s="83" t="str">
        <f t="shared" si="7"/>
        <v/>
      </c>
      <c r="B201" s="86" t="s">
        <v>18</v>
      </c>
      <c r="C201" s="83">
        <v>8</v>
      </c>
      <c r="D201" s="46" t="str" cm="1">
        <f t="array" ref="D201">_xlfn.IFNA(INDEX('TUM-W'!C$3:C$47,MATCH(1,(C201='TUM-W'!A$3:A$47)*(B201='TUM-W'!G$3:G$47),0)),"")</f>
        <v/>
      </c>
    </row>
    <row r="202" spans="1:4" hidden="1" x14ac:dyDescent="0.2">
      <c r="A202" s="83" t="str">
        <f t="shared" si="7"/>
        <v/>
      </c>
      <c r="B202" s="83" t="s">
        <v>17</v>
      </c>
      <c r="C202" s="83">
        <v>1</v>
      </c>
      <c r="D202" s="46" t="str" cm="1">
        <f t="array" ref="D202">_xlfn.IFNA(INDEX('TUM-W'!C$3:C$47,MATCH(1,(C202='TUM-W'!A$3:A$47)*(B202='TUM-W'!G$3:G$47),0)),"")</f>
        <v/>
      </c>
    </row>
    <row r="203" spans="1:4" hidden="1" x14ac:dyDescent="0.2">
      <c r="A203" s="83" t="str">
        <f t="shared" si="7"/>
        <v/>
      </c>
      <c r="B203" s="83" t="s">
        <v>17</v>
      </c>
      <c r="C203" s="83">
        <v>2</v>
      </c>
      <c r="D203" s="46" t="str" cm="1">
        <f t="array" ref="D203">_xlfn.IFNA(INDEX('TUM-W'!C$3:C$47,MATCH(1,(C203='TUM-W'!A$3:A$47)*(B203='TUM-W'!G$3:G$47),0)),"")</f>
        <v/>
      </c>
    </row>
    <row r="204" spans="1:4" hidden="1" x14ac:dyDescent="0.2">
      <c r="A204" s="83" t="str">
        <f t="shared" si="7"/>
        <v/>
      </c>
      <c r="B204" s="83" t="s">
        <v>17</v>
      </c>
      <c r="C204" s="83">
        <v>3</v>
      </c>
      <c r="D204" s="46" t="str" cm="1">
        <f t="array" ref="D204">_xlfn.IFNA(INDEX('TUM-W'!C$3:C$47,MATCH(1,(C204='TUM-W'!A$3:A$47)*(B204='TUM-W'!G$3:G$47),0)),"")</f>
        <v/>
      </c>
    </row>
    <row r="205" spans="1:4" hidden="1" x14ac:dyDescent="0.2">
      <c r="A205" s="83" t="str">
        <f t="shared" si="7"/>
        <v/>
      </c>
      <c r="B205" s="83" t="s">
        <v>17</v>
      </c>
      <c r="C205" s="83">
        <v>4</v>
      </c>
      <c r="D205" s="46" t="str" cm="1">
        <f t="array" ref="D205">_xlfn.IFNA(INDEX('TUM-W'!C$3:C$47,MATCH(1,(C205='TUM-W'!A$3:A$47)*(B205='TUM-W'!G$3:G$47),0)),"")</f>
        <v/>
      </c>
    </row>
    <row r="206" spans="1:4" hidden="1" x14ac:dyDescent="0.2">
      <c r="A206" s="83" t="str">
        <f t="shared" si="7"/>
        <v/>
      </c>
      <c r="B206" s="83" t="s">
        <v>17</v>
      </c>
      <c r="C206" s="83">
        <v>5</v>
      </c>
      <c r="D206" s="46" t="str" cm="1">
        <f t="array" ref="D206">_xlfn.IFNA(INDEX('TUM-W'!C$3:C$47,MATCH(1,(C206='TUM-W'!A$3:A$47)*(B206='TUM-W'!G$3:G$47),0)),"")</f>
        <v/>
      </c>
    </row>
    <row r="207" spans="1:4" hidden="1" x14ac:dyDescent="0.2">
      <c r="A207" s="83" t="str">
        <f t="shared" si="7"/>
        <v/>
      </c>
      <c r="B207" s="83" t="s">
        <v>17</v>
      </c>
      <c r="C207" s="83">
        <v>6</v>
      </c>
      <c r="D207" s="46" t="str" cm="1">
        <f t="array" ref="D207">_xlfn.IFNA(INDEX('TUM-W'!C$3:C$47,MATCH(1,(C207='TUM-W'!A$3:A$47)*(B207='TUM-W'!G$3:G$47),0)),"")</f>
        <v/>
      </c>
    </row>
    <row r="208" spans="1:4" hidden="1" x14ac:dyDescent="0.2">
      <c r="A208" s="83" t="str">
        <f t="shared" si="7"/>
        <v/>
      </c>
      <c r="B208" s="83" t="s">
        <v>17</v>
      </c>
      <c r="C208" s="83">
        <v>7</v>
      </c>
      <c r="D208" s="46" t="str" cm="1">
        <f t="array" ref="D208">_xlfn.IFNA(INDEX('TUM-W'!C$3:C$47,MATCH(1,(C208='TUM-W'!A$3:A$47)*(B208='TUM-W'!G$3:G$47),0)),"")</f>
        <v/>
      </c>
    </row>
    <row r="209" spans="1:4" hidden="1" x14ac:dyDescent="0.2">
      <c r="A209" s="83" t="str">
        <f t="shared" si="7"/>
        <v/>
      </c>
      <c r="B209" s="83" t="s">
        <v>17</v>
      </c>
      <c r="C209" s="83">
        <v>8</v>
      </c>
      <c r="D209" s="46" t="str" cm="1">
        <f t="array" ref="D209">_xlfn.IFNA(INDEX('TUM-W'!C$3:C$47,MATCH(1,(C209='TUM-W'!A$3:A$47)*(B209='TUM-W'!G$3:G$47),0)),"")</f>
        <v/>
      </c>
    </row>
    <row r="210" spans="1:4" hidden="1" x14ac:dyDescent="0.2">
      <c r="A210" s="83" t="str">
        <f t="shared" si="7"/>
        <v/>
      </c>
      <c r="B210" s="83" t="s">
        <v>19</v>
      </c>
      <c r="C210" s="83">
        <v>1</v>
      </c>
      <c r="D210" s="46" t="str" cm="1">
        <f t="array" ref="D210">_xlfn.IFNA(INDEX('TUM-W'!C$3:C$47,MATCH(1,(C210='TUM-W'!A$3:A$47)*(B210='TUM-W'!G$3:G$47),0)),"")</f>
        <v/>
      </c>
    </row>
    <row r="211" spans="1:4" hidden="1" x14ac:dyDescent="0.2">
      <c r="A211" s="83" t="str">
        <f t="shared" si="7"/>
        <v/>
      </c>
      <c r="B211" s="83" t="s">
        <v>19</v>
      </c>
      <c r="C211" s="83">
        <v>2</v>
      </c>
      <c r="D211" s="46" t="str" cm="1">
        <f t="array" ref="D211">_xlfn.IFNA(INDEX('TUM-W'!C$3:C$47,MATCH(1,(C211='TUM-W'!A$3:A$47)*(B211='TUM-W'!G$3:G$47),0)),"")</f>
        <v/>
      </c>
    </row>
    <row r="212" spans="1:4" hidden="1" x14ac:dyDescent="0.2">
      <c r="A212" s="83" t="str">
        <f t="shared" si="7"/>
        <v/>
      </c>
      <c r="B212" s="83" t="s">
        <v>19</v>
      </c>
      <c r="C212" s="83">
        <v>3</v>
      </c>
      <c r="D212" s="46" t="str" cm="1">
        <f t="array" ref="D212">_xlfn.IFNA(INDEX('TUM-W'!C$3:C$47,MATCH(1,(C212='TUM-W'!A$3:A$47)*(B212='TUM-W'!G$3:G$47),0)),"")</f>
        <v/>
      </c>
    </row>
    <row r="213" spans="1:4" hidden="1" x14ac:dyDescent="0.2">
      <c r="A213" s="83" t="str">
        <f t="shared" si="7"/>
        <v/>
      </c>
      <c r="B213" s="83" t="s">
        <v>19</v>
      </c>
      <c r="C213" s="83">
        <v>4</v>
      </c>
      <c r="D213" s="46" t="str" cm="1">
        <f t="array" ref="D213">_xlfn.IFNA(INDEX('TUM-W'!C$3:C$47,MATCH(1,(C213='TUM-W'!A$3:A$47)*(B213='TUM-W'!G$3:G$47),0)),"")</f>
        <v/>
      </c>
    </row>
    <row r="214" spans="1:4" hidden="1" x14ac:dyDescent="0.2">
      <c r="A214" s="83" t="str">
        <f t="shared" si="7"/>
        <v/>
      </c>
      <c r="B214" s="83" t="s">
        <v>19</v>
      </c>
      <c r="C214" s="83">
        <v>5</v>
      </c>
      <c r="D214" s="46" t="str" cm="1">
        <f t="array" ref="D214">_xlfn.IFNA(INDEX('TUM-W'!C$3:C$47,MATCH(1,(C214='TUM-W'!A$3:A$47)*(B214='TUM-W'!G$3:G$47),0)),"")</f>
        <v/>
      </c>
    </row>
    <row r="215" spans="1:4" hidden="1" x14ac:dyDescent="0.2">
      <c r="A215" s="83" t="str">
        <f t="shared" si="7"/>
        <v/>
      </c>
      <c r="B215" s="83" t="s">
        <v>19</v>
      </c>
      <c r="C215" s="83">
        <v>6</v>
      </c>
      <c r="D215" s="46" t="str" cm="1">
        <f t="array" ref="D215">_xlfn.IFNA(INDEX('TUM-W'!C$3:C$47,MATCH(1,(C215='TUM-W'!A$3:A$47)*(B215='TUM-W'!G$3:G$47),0)),"")</f>
        <v/>
      </c>
    </row>
    <row r="216" spans="1:4" hidden="1" x14ac:dyDescent="0.2">
      <c r="A216" s="83" t="str">
        <f t="shared" si="7"/>
        <v/>
      </c>
      <c r="B216" s="83" t="s">
        <v>19</v>
      </c>
      <c r="C216" s="83">
        <v>7</v>
      </c>
      <c r="D216" s="46" t="str" cm="1">
        <f t="array" ref="D216">_xlfn.IFNA(INDEX('TUM-W'!C$3:C$47,MATCH(1,(C216='TUM-W'!A$3:A$47)*(B216='TUM-W'!G$3:G$47),0)),"")</f>
        <v/>
      </c>
    </row>
    <row r="217" spans="1:4" hidden="1" x14ac:dyDescent="0.2">
      <c r="A217" s="83" t="str">
        <f t="shared" si="7"/>
        <v/>
      </c>
      <c r="B217" s="83" t="s">
        <v>19</v>
      </c>
      <c r="C217" s="83">
        <v>8</v>
      </c>
      <c r="D217" s="46" t="str" cm="1">
        <f t="array" ref="D217">_xlfn.IFNA(INDEX('TUM-W'!C$3:C$47,MATCH(1,(C217='TUM-W'!A$3:A$47)*(B217='TUM-W'!G$3:G$47),0)),"")</f>
        <v/>
      </c>
    </row>
    <row r="218" spans="1:4" hidden="1" x14ac:dyDescent="0.2">
      <c r="A218" s="83" t="str">
        <f t="shared" si="7"/>
        <v/>
      </c>
      <c r="B218" s="83" t="s">
        <v>20</v>
      </c>
      <c r="C218" s="83">
        <v>1</v>
      </c>
      <c r="D218" s="46" t="str" cm="1">
        <f t="array" ref="D218">_xlfn.IFNA(INDEX('TUM-W'!C$3:C$47,MATCH(1,(C218='TUM-W'!A$3:A$47)*(B218='TUM-W'!G$3:G$47),0)),"")</f>
        <v/>
      </c>
    </row>
    <row r="219" spans="1:4" hidden="1" x14ac:dyDescent="0.2">
      <c r="A219" s="83" t="str">
        <f t="shared" si="7"/>
        <v/>
      </c>
      <c r="B219" s="83" t="s">
        <v>20</v>
      </c>
      <c r="C219" s="83">
        <v>2</v>
      </c>
      <c r="D219" s="46" t="str" cm="1">
        <f t="array" ref="D219">_xlfn.IFNA(INDEX('TUM-W'!C$3:C$47,MATCH(1,(C219='TUM-W'!A$3:A$47)*(B219='TUM-W'!G$3:G$47),0)),"")</f>
        <v/>
      </c>
    </row>
    <row r="220" spans="1:4" hidden="1" x14ac:dyDescent="0.2">
      <c r="A220" s="83" t="str">
        <f t="shared" si="7"/>
        <v/>
      </c>
      <c r="B220" s="83" t="s">
        <v>20</v>
      </c>
      <c r="C220" s="83">
        <v>3</v>
      </c>
      <c r="D220" s="46" t="str" cm="1">
        <f t="array" ref="D220">_xlfn.IFNA(INDEX('TUM-W'!C$3:C$47,MATCH(1,(C220='TUM-W'!A$3:A$47)*(B220='TUM-W'!G$3:G$47),0)),"")</f>
        <v/>
      </c>
    </row>
    <row r="221" spans="1:4" hidden="1" x14ac:dyDescent="0.2">
      <c r="A221" s="83" t="str">
        <f t="shared" si="7"/>
        <v/>
      </c>
      <c r="B221" s="83" t="s">
        <v>20</v>
      </c>
      <c r="C221" s="83">
        <v>4</v>
      </c>
      <c r="D221" s="46" t="str" cm="1">
        <f t="array" ref="D221">_xlfn.IFNA(INDEX('TUM-W'!C$3:C$47,MATCH(1,(C221='TUM-W'!A$3:A$47)*(B221='TUM-W'!G$3:G$47),0)),"")</f>
        <v/>
      </c>
    </row>
    <row r="222" spans="1:4" hidden="1" x14ac:dyDescent="0.2">
      <c r="A222" s="83" t="str">
        <f t="shared" si="7"/>
        <v/>
      </c>
      <c r="B222" s="83" t="s">
        <v>20</v>
      </c>
      <c r="C222" s="83">
        <v>5</v>
      </c>
      <c r="D222" s="46" t="str" cm="1">
        <f t="array" ref="D222">_xlfn.IFNA(INDEX('TUM-W'!C$3:C$47,MATCH(1,(C222='TUM-W'!A$3:A$47)*(B222='TUM-W'!G$3:G$47),0)),"")</f>
        <v/>
      </c>
    </row>
    <row r="223" spans="1:4" hidden="1" x14ac:dyDescent="0.2">
      <c r="A223" s="83" t="str">
        <f t="shared" si="7"/>
        <v/>
      </c>
      <c r="B223" s="83" t="s">
        <v>20</v>
      </c>
      <c r="C223" s="83">
        <v>6</v>
      </c>
      <c r="D223" s="46" t="str" cm="1">
        <f t="array" ref="D223">_xlfn.IFNA(INDEX('TUM-W'!C$3:C$47,MATCH(1,(C223='TUM-W'!A$3:A$47)*(B223='TUM-W'!G$3:G$47),0)),"")</f>
        <v/>
      </c>
    </row>
    <row r="224" spans="1:4" hidden="1" x14ac:dyDescent="0.2">
      <c r="A224" s="83" t="str">
        <f t="shared" si="7"/>
        <v/>
      </c>
      <c r="B224" s="83" t="s">
        <v>20</v>
      </c>
      <c r="C224" s="83">
        <v>7</v>
      </c>
      <c r="D224" s="46" t="str" cm="1">
        <f t="array" ref="D224">_xlfn.IFNA(INDEX('TUM-W'!C$3:C$47,MATCH(1,(C224='TUM-W'!A$3:A$47)*(B224='TUM-W'!G$3:G$47),0)),"")</f>
        <v/>
      </c>
    </row>
    <row r="225" spans="1:5" hidden="1" x14ac:dyDescent="0.2">
      <c r="A225" s="83" t="str">
        <f t="shared" si="7"/>
        <v/>
      </c>
      <c r="B225" s="83" t="s">
        <v>20</v>
      </c>
      <c r="C225" s="83">
        <v>8</v>
      </c>
      <c r="D225" s="46" t="str" cm="1">
        <f t="array" ref="D225">_xlfn.IFNA(INDEX('TUM-W'!C$3:C$47,MATCH(1,(C225='TUM-W'!A$3:A$47)*(B225='TUM-W'!G$3:G$47),0)),"")</f>
        <v/>
      </c>
    </row>
    <row r="227" spans="1:5" x14ac:dyDescent="0.2">
      <c r="B227" s="68" t="s">
        <v>33</v>
      </c>
      <c r="C227" s="68"/>
      <c r="D227" s="68"/>
    </row>
    <row r="228" spans="1:5" x14ac:dyDescent="0.2">
      <c r="B228" s="68" t="s">
        <v>387</v>
      </c>
      <c r="C228" s="68"/>
      <c r="D228" s="68"/>
    </row>
    <row r="229" spans="1:5" x14ac:dyDescent="0.2">
      <c r="B229" s="66" t="s">
        <v>36</v>
      </c>
      <c r="C229" s="66"/>
      <c r="D229" s="66"/>
    </row>
    <row r="230" spans="1:5" x14ac:dyDescent="0.2">
      <c r="B230" s="66" t="s">
        <v>37</v>
      </c>
      <c r="C230" s="66"/>
      <c r="D230" s="66"/>
      <c r="E230" t="s">
        <v>35</v>
      </c>
    </row>
    <row r="231" spans="1:5" x14ac:dyDescent="0.2">
      <c r="A231" s="84" t="s">
        <v>41</v>
      </c>
      <c r="B231" s="65">
        <v>44680</v>
      </c>
      <c r="C231" s="65"/>
      <c r="D231" s="65"/>
    </row>
    <row r="232" spans="1:5" x14ac:dyDescent="0.2">
      <c r="A232" s="84"/>
      <c r="B232" s="67" t="s">
        <v>62</v>
      </c>
      <c r="C232" s="67"/>
      <c r="D232" s="67"/>
    </row>
    <row r="233" spans="1:5" x14ac:dyDescent="0.2">
      <c r="B233" s="64" t="s">
        <v>51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1">
    <dataValidation type="list" allowBlank="1" showInputMessage="1" showErrorMessage="1" sqref="E230" xr:uid="{00000000-0002-0000-0000-000001000000}">
      <formula1>IF(#REF!="Select",#REF!,INDIRECT("'"&amp;#REF!&amp;"'!"&amp;"B3:B"&amp;MATCH(TRUE,INDEX(INDIRECT("'"&amp;#REF!&amp;"'!"&amp;"B3:B100")="",0),0)+1))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43"/>
  <sheetViews>
    <sheetView workbookViewId="0"/>
  </sheetViews>
  <sheetFormatPr baseColWidth="10" defaultRowHeight="16" x14ac:dyDescent="0.2"/>
  <cols>
    <col min="1" max="1" width="18" style="63" bestFit="1" customWidth="1"/>
    <col min="2" max="3" width="10.83203125" style="63"/>
    <col min="4" max="4" width="14.5" style="63" bestFit="1" customWidth="1"/>
    <col min="5" max="5" width="10.83203125" style="63"/>
    <col min="6" max="6" width="15.1640625" style="63" bestFit="1" customWidth="1"/>
    <col min="7" max="7" width="10.83203125" style="63"/>
    <col min="8" max="8" width="15.1640625" style="63" bestFit="1" customWidth="1"/>
  </cols>
  <sheetData>
    <row r="1" spans="1:19" ht="17" thickBot="1" x14ac:dyDescent="0.25">
      <c r="A1" s="49" t="s">
        <v>2</v>
      </c>
      <c r="B1" s="49" t="s">
        <v>1</v>
      </c>
      <c r="C1" s="62" t="s">
        <v>378</v>
      </c>
      <c r="D1" s="49" t="s">
        <v>384</v>
      </c>
      <c r="E1" s="62" t="s">
        <v>379</v>
      </c>
      <c r="F1" s="49" t="s">
        <v>385</v>
      </c>
      <c r="G1" s="62" t="s">
        <v>380</v>
      </c>
      <c r="H1" s="49" t="s">
        <v>386</v>
      </c>
    </row>
    <row r="2" spans="1:19" ht="17" thickTop="1" x14ac:dyDescent="0.2">
      <c r="A2" s="53" t="s">
        <v>152</v>
      </c>
      <c r="B2" s="54" t="s">
        <v>367</v>
      </c>
      <c r="C2" s="53">
        <f>SUMIF('TRA-M'!E:E,A2,'TRA-M'!Q:Q)+SUMIF('TRA-W'!E:E,A2,'TRA-W'!Q:Q)+SUMIF('SYN-M'!E:E,A2,'SYN-M'!Q:Q)+SUMIF('SYN-W'!E:E,A2,'SYN-W'!Q:Q)</f>
        <v>0</v>
      </c>
      <c r="D2" s="54" t="str">
        <f t="shared" ref="D2:D43" si="0">IF(C2&gt;0,RANK(C2,C$2:C$43),"")</f>
        <v/>
      </c>
      <c r="E2" s="53">
        <f>SUMIF('DMT-M'!E:E,A2,'DMT-M'!Q:Q)+SUMIF('DMT-W'!E:E,A2,'DMT-W'!Q:Q)</f>
        <v>0</v>
      </c>
      <c r="F2" s="54" t="str">
        <f t="shared" ref="F2:F43" si="1">IF(E2&gt;0,RANK(E2,E$2:E$43),"")</f>
        <v/>
      </c>
      <c r="G2" s="53">
        <f>SUMIF('TUM-M'!E:E,A2,'TUM-M'!Q:Q)+SUMIF('TUM-W'!E:E,A2,'TUM-W'!Q:Q)</f>
        <v>0</v>
      </c>
      <c r="H2" s="55" t="str">
        <f t="shared" ref="H2:H17" si="2">IF(G2&gt;0,RANK(G2,G$2:G$43),"")</f>
        <v/>
      </c>
    </row>
    <row r="3" spans="1:19" x14ac:dyDescent="0.2">
      <c r="A3" s="56" t="s">
        <v>184</v>
      </c>
      <c r="B3" s="57" t="s">
        <v>370</v>
      </c>
      <c r="C3" s="56">
        <f>SUMIF('TRA-M'!E:E,A3,'TRA-M'!Q:Q)+SUMIF('TRA-W'!E:E,A3,'TRA-W'!Q:Q)+SUMIF('SYN-M'!E:E,A3,'SYN-M'!Q:Q)+SUMIF('SYN-W'!E:E,A3,'SYN-W'!Q:Q)</f>
        <v>0</v>
      </c>
      <c r="D3" s="57" t="str">
        <f t="shared" si="0"/>
        <v/>
      </c>
      <c r="E3" s="56">
        <f>SUMIF('DMT-M'!E:E,A3,'DMT-M'!Q:Q)+SUMIF('DMT-W'!E:E,A3,'DMT-W'!Q:Q)</f>
        <v>0</v>
      </c>
      <c r="F3" s="57" t="str">
        <f t="shared" si="1"/>
        <v/>
      </c>
      <c r="G3" s="56">
        <f>SUMIF('TUM-M'!E:E,A3,'TUM-M'!Q:Q)+SUMIF('TUM-W'!E:E,A3,'TUM-W'!Q:Q)</f>
        <v>0</v>
      </c>
      <c r="H3" s="58" t="str">
        <f t="shared" si="2"/>
        <v/>
      </c>
    </row>
    <row r="4" spans="1:19" x14ac:dyDescent="0.2">
      <c r="A4" s="56" t="s">
        <v>79</v>
      </c>
      <c r="B4" s="57" t="s">
        <v>368</v>
      </c>
      <c r="C4" s="56">
        <f>SUMIF('TRA-M'!E:E,A4,'TRA-M'!Q:Q)+SUMIF('TRA-W'!E:E,A4,'TRA-W'!Q:Q)+SUMIF('SYN-M'!E:E,A4,'SYN-M'!Q:Q)+SUMIF('SYN-W'!E:E,A4,'SYN-W'!Q:Q)</f>
        <v>0</v>
      </c>
      <c r="D4" s="57" t="str">
        <f t="shared" si="0"/>
        <v/>
      </c>
      <c r="E4" s="56">
        <f>SUMIF('DMT-M'!E:E,A4,'DMT-M'!Q:Q)+SUMIF('DMT-W'!E:E,A4,'DMT-W'!Q:Q)</f>
        <v>0</v>
      </c>
      <c r="F4" s="57" t="str">
        <f t="shared" si="1"/>
        <v/>
      </c>
      <c r="G4" s="56">
        <f>SUMIF('TUM-M'!E:E,A4,'TUM-M'!Q:Q)+SUMIF('TUM-W'!E:E,A4,'TUM-W'!Q:Q)</f>
        <v>0</v>
      </c>
      <c r="H4" s="58" t="str">
        <f t="shared" si="2"/>
        <v/>
      </c>
    </row>
    <row r="5" spans="1:19" x14ac:dyDescent="0.2">
      <c r="A5" s="56" t="s">
        <v>29</v>
      </c>
      <c r="B5" s="57" t="s">
        <v>369</v>
      </c>
      <c r="C5" s="56">
        <f>SUMIF('TRA-M'!E:E,A5,'TRA-M'!Q:Q)+SUMIF('TRA-W'!E:E,A5,'TRA-W'!Q:Q)+SUMIF('SYN-M'!E:E,A5,'SYN-M'!Q:Q)+SUMIF('SYN-W'!E:E,A5,'SYN-W'!Q:Q)</f>
        <v>0</v>
      </c>
      <c r="D5" s="57" t="str">
        <f t="shared" si="0"/>
        <v/>
      </c>
      <c r="E5" s="56">
        <f>SUMIF('DMT-M'!E:E,A5,'DMT-M'!Q:Q)+SUMIF('DMT-W'!E:E,A5,'DMT-W'!Q:Q)</f>
        <v>0</v>
      </c>
      <c r="F5" s="57" t="str">
        <f t="shared" si="1"/>
        <v/>
      </c>
      <c r="G5" s="56">
        <f>SUMIF('TUM-M'!E:E,A5,'TUM-M'!Q:Q)+SUMIF('TUM-W'!E:E,A5,'TUM-W'!Q:Q)</f>
        <v>0</v>
      </c>
      <c r="H5" s="58" t="str">
        <f t="shared" si="2"/>
        <v/>
      </c>
    </row>
    <row r="6" spans="1:19" x14ac:dyDescent="0.2">
      <c r="A6" s="56" t="s">
        <v>49</v>
      </c>
      <c r="B6" s="57" t="s">
        <v>367</v>
      </c>
      <c r="C6" s="56">
        <f>SUMIF('TRA-M'!E:E,A6,'TRA-M'!Q:Q)+SUMIF('TRA-W'!E:E,A6,'TRA-W'!Q:Q)+SUMIF('SYN-M'!E:E,A6,'SYN-M'!Q:Q)+SUMIF('SYN-W'!E:E,A6,'SYN-W'!Q:Q)</f>
        <v>0</v>
      </c>
      <c r="D6" s="57" t="str">
        <f t="shared" si="0"/>
        <v/>
      </c>
      <c r="E6" s="56">
        <f>SUMIF('DMT-M'!E:E,A6,'DMT-M'!Q:Q)+SUMIF('DMT-W'!E:E,A6,'DMT-W'!Q:Q)</f>
        <v>0</v>
      </c>
      <c r="F6" s="57" t="str">
        <f t="shared" si="1"/>
        <v/>
      </c>
      <c r="G6" s="56">
        <f>SUMIF('TUM-M'!E:E,A6,'TUM-M'!Q:Q)+SUMIF('TUM-W'!E:E,A6,'TUM-W'!Q:Q)</f>
        <v>0</v>
      </c>
      <c r="H6" s="58" t="str">
        <f t="shared" si="2"/>
        <v/>
      </c>
    </row>
    <row r="7" spans="1:19" x14ac:dyDescent="0.2">
      <c r="A7" s="56" t="s">
        <v>148</v>
      </c>
      <c r="B7" s="57" t="s">
        <v>369</v>
      </c>
      <c r="C7" s="56">
        <f>SUMIF('TRA-M'!E:E,A7,'TRA-M'!Q:Q)+SUMIF('TRA-W'!E:E,A7,'TRA-W'!Q:Q)+SUMIF('SYN-M'!E:E,A7,'SYN-M'!Q:Q)+SUMIF('SYN-W'!E:E,A7,'SYN-W'!Q:Q)</f>
        <v>0</v>
      </c>
      <c r="D7" s="57" t="str">
        <f t="shared" si="0"/>
        <v/>
      </c>
      <c r="E7" s="56">
        <f>SUMIF('DMT-M'!E:E,A7,'DMT-M'!Q:Q)+SUMIF('DMT-W'!E:E,A7,'DMT-W'!Q:Q)</f>
        <v>0</v>
      </c>
      <c r="F7" s="57" t="str">
        <f t="shared" si="1"/>
        <v/>
      </c>
      <c r="G7" s="56">
        <f>SUMIF('TUM-M'!E:E,A7,'TUM-M'!Q:Q)+SUMIF('TUM-W'!E:E,A7,'TUM-W'!Q:Q)</f>
        <v>0</v>
      </c>
      <c r="H7" s="58" t="str">
        <f t="shared" si="2"/>
        <v/>
      </c>
    </row>
    <row r="8" spans="1:19" x14ac:dyDescent="0.2">
      <c r="A8" s="56" t="s">
        <v>100</v>
      </c>
      <c r="B8" s="57" t="s">
        <v>369</v>
      </c>
      <c r="C8" s="56">
        <f>SUMIF('TRA-M'!E:E,A8,'TRA-M'!Q:Q)+SUMIF('TRA-W'!E:E,A8,'TRA-W'!Q:Q)+SUMIF('SYN-M'!E:E,A8,'SYN-M'!Q:Q)+SUMIF('SYN-W'!E:E,A8,'SYN-W'!Q:Q)</f>
        <v>0</v>
      </c>
      <c r="D8" s="57" t="str">
        <f t="shared" si="0"/>
        <v/>
      </c>
      <c r="E8" s="56">
        <f>SUMIF('DMT-M'!E:E,A8,'DMT-M'!Q:Q)+SUMIF('DMT-W'!E:E,A8,'DMT-W'!Q:Q)</f>
        <v>0</v>
      </c>
      <c r="F8" s="57" t="str">
        <f t="shared" si="1"/>
        <v/>
      </c>
      <c r="G8" s="56">
        <f>SUMIF('TUM-M'!E:E,A8,'TUM-M'!Q:Q)+SUMIF('TUM-W'!E:E,A8,'TUM-W'!Q:Q)</f>
        <v>0</v>
      </c>
      <c r="H8" s="58" t="str">
        <f t="shared" si="2"/>
        <v/>
      </c>
    </row>
    <row r="9" spans="1:19" x14ac:dyDescent="0.2">
      <c r="A9" s="56" t="s">
        <v>192</v>
      </c>
      <c r="B9" s="57" t="s">
        <v>370</v>
      </c>
      <c r="C9" s="56">
        <f>SUMIF('TRA-M'!E:E,A9,'TRA-M'!Q:Q)+SUMIF('TRA-W'!E:E,A9,'TRA-W'!Q:Q)+SUMIF('SYN-M'!E:E,A9,'SYN-M'!Q:Q)+SUMIF('SYN-W'!E:E,A9,'SYN-W'!Q:Q)</f>
        <v>0</v>
      </c>
      <c r="D9" s="57" t="str">
        <f t="shared" si="0"/>
        <v/>
      </c>
      <c r="E9" s="56">
        <f>SUMIF('DMT-M'!E:E,A9,'DMT-M'!Q:Q)+SUMIF('DMT-W'!E:E,A9,'DMT-W'!Q:Q)</f>
        <v>0</v>
      </c>
      <c r="F9" s="57" t="str">
        <f t="shared" si="1"/>
        <v/>
      </c>
      <c r="G9" s="56">
        <f>SUMIF('TUM-M'!E:E,A9,'TUM-M'!Q:Q)+SUMIF('TUM-W'!E:E,A9,'TUM-W'!Q:Q)</f>
        <v>0</v>
      </c>
      <c r="H9" s="58" t="str">
        <f t="shared" si="2"/>
        <v/>
      </c>
    </row>
    <row r="10" spans="1:19" x14ac:dyDescent="0.2">
      <c r="A10" s="56" t="s">
        <v>154</v>
      </c>
      <c r="B10" s="57" t="s">
        <v>371</v>
      </c>
      <c r="C10" s="56">
        <f>SUMIF('TRA-M'!E:E,A10,'TRA-M'!Q:Q)+SUMIF('TRA-W'!E:E,A10,'TRA-W'!Q:Q)+SUMIF('SYN-M'!E:E,A10,'SYN-M'!Q:Q)+SUMIF('SYN-W'!E:E,A10,'SYN-W'!Q:Q)</f>
        <v>0</v>
      </c>
      <c r="D10" s="57" t="str">
        <f t="shared" si="0"/>
        <v/>
      </c>
      <c r="E10" s="56">
        <f>SUMIF('DMT-M'!E:E,A10,'DMT-M'!Q:Q)+SUMIF('DMT-W'!E:E,A10,'DMT-W'!Q:Q)</f>
        <v>0</v>
      </c>
      <c r="F10" s="57" t="str">
        <f t="shared" si="1"/>
        <v/>
      </c>
      <c r="G10" s="56">
        <f>SUMIF('TUM-M'!E:E,A10,'TUM-M'!Q:Q)+SUMIF('TUM-W'!E:E,A10,'TUM-W'!Q:Q)</f>
        <v>0</v>
      </c>
      <c r="H10" s="58" t="str">
        <f t="shared" si="2"/>
        <v/>
      </c>
    </row>
    <row r="11" spans="1:19" x14ac:dyDescent="0.2">
      <c r="A11" s="56" t="s">
        <v>377</v>
      </c>
      <c r="B11" s="57" t="s">
        <v>370</v>
      </c>
      <c r="C11" s="56">
        <f>SUMIF('TRA-M'!E:E,A11,'TRA-M'!Q:Q)+SUMIF('TRA-W'!E:E,A11,'TRA-W'!Q:Q)+SUMIF('SYN-M'!E:E,A11,'SYN-M'!Q:Q)+SUMIF('SYN-W'!E:E,A11,'SYN-W'!Q:Q)</f>
        <v>0</v>
      </c>
      <c r="D11" s="57" t="str">
        <f t="shared" si="0"/>
        <v/>
      </c>
      <c r="E11" s="56">
        <f>SUMIF('DMT-M'!E:E,A11,'DMT-M'!Q:Q)+SUMIF('DMT-W'!E:E,A11,'DMT-W'!Q:Q)</f>
        <v>0</v>
      </c>
      <c r="F11" s="57" t="str">
        <f t="shared" si="1"/>
        <v/>
      </c>
      <c r="G11" s="56">
        <f>SUMIF('TUM-M'!E:E,A11,'TUM-M'!Q:Q)+SUMIF('TUM-W'!E:E,A11,'TUM-W'!Q:Q)</f>
        <v>0</v>
      </c>
      <c r="H11" s="58" t="str">
        <f t="shared" si="2"/>
        <v/>
      </c>
    </row>
    <row r="12" spans="1:19" x14ac:dyDescent="0.2">
      <c r="A12" s="56" t="s">
        <v>89</v>
      </c>
      <c r="B12" s="57" t="s">
        <v>371</v>
      </c>
      <c r="C12" s="56">
        <f>SUMIF('TRA-M'!E:E,A12,'TRA-M'!Q:Q)+SUMIF('TRA-W'!E:E,A12,'TRA-W'!Q:Q)+SUMIF('SYN-M'!E:E,A12,'SYN-M'!Q:Q)+SUMIF('SYN-W'!E:E,A12,'SYN-W'!Q:Q)</f>
        <v>0</v>
      </c>
      <c r="D12" s="57" t="str">
        <f t="shared" si="0"/>
        <v/>
      </c>
      <c r="E12" s="56">
        <f>SUMIF('DMT-M'!E:E,A12,'DMT-M'!Q:Q)+SUMIF('DMT-W'!E:E,A12,'DMT-W'!Q:Q)</f>
        <v>0</v>
      </c>
      <c r="F12" s="57" t="str">
        <f t="shared" si="1"/>
        <v/>
      </c>
      <c r="G12" s="56">
        <f>SUMIF('TUM-M'!E:E,A12,'TUM-M'!Q:Q)+SUMIF('TUM-W'!E:E,A12,'TUM-W'!Q:Q)</f>
        <v>0</v>
      </c>
      <c r="H12" s="58" t="str">
        <f t="shared" si="2"/>
        <v/>
      </c>
    </row>
    <row r="13" spans="1:19" x14ac:dyDescent="0.2">
      <c r="A13" s="56" t="s">
        <v>39</v>
      </c>
      <c r="B13" s="57" t="s">
        <v>367</v>
      </c>
      <c r="C13" s="56">
        <f>SUMIF('TRA-M'!E:E,A13,'TRA-M'!Q:Q)+SUMIF('TRA-W'!E:E,A13,'TRA-W'!Q:Q)+SUMIF('SYN-M'!E:E,A13,'SYN-M'!Q:Q)+SUMIF('SYN-W'!E:E,A13,'SYN-W'!Q:Q)</f>
        <v>0</v>
      </c>
      <c r="D13" s="57" t="str">
        <f t="shared" si="0"/>
        <v/>
      </c>
      <c r="E13" s="56">
        <f>SUMIF('DMT-M'!E:E,A13,'DMT-M'!Q:Q)+SUMIF('DMT-W'!E:E,A13,'DMT-W'!Q:Q)</f>
        <v>0</v>
      </c>
      <c r="F13" s="57" t="str">
        <f t="shared" si="1"/>
        <v/>
      </c>
      <c r="G13" s="56">
        <f>SUMIF('TUM-M'!E:E,A13,'TUM-M'!Q:Q)+SUMIF('TUM-W'!E:E,A13,'TUM-W'!Q:Q)</f>
        <v>0</v>
      </c>
      <c r="H13" s="58" t="str">
        <f t="shared" si="2"/>
        <v/>
      </c>
      <c r="N13" s="1"/>
      <c r="O13" s="1"/>
      <c r="P13" s="1"/>
      <c r="Q13" s="1"/>
      <c r="R13" s="1"/>
      <c r="S13" s="1"/>
    </row>
    <row r="14" spans="1:19" x14ac:dyDescent="0.2">
      <c r="A14" s="56" t="s">
        <v>93</v>
      </c>
      <c r="B14" s="57" t="s">
        <v>371</v>
      </c>
      <c r="C14" s="56">
        <f>SUMIF('TRA-M'!E:E,A14,'TRA-M'!Q:Q)+SUMIF('TRA-W'!E:E,A14,'TRA-W'!Q:Q)+SUMIF('SYN-M'!E:E,A14,'SYN-M'!Q:Q)+SUMIF('SYN-W'!E:E,A14,'SYN-W'!Q:Q)</f>
        <v>0</v>
      </c>
      <c r="D14" s="57" t="str">
        <f t="shared" si="0"/>
        <v/>
      </c>
      <c r="E14" s="56">
        <f>SUMIF('DMT-M'!E:E,A14,'DMT-M'!Q:Q)+SUMIF('DMT-W'!E:E,A14,'DMT-W'!Q:Q)</f>
        <v>0</v>
      </c>
      <c r="F14" s="57" t="str">
        <f t="shared" si="1"/>
        <v/>
      </c>
      <c r="G14" s="56">
        <f>SUMIF('TUM-M'!E:E,A14,'TUM-M'!Q:Q)+SUMIF('TUM-W'!E:E,A14,'TUM-W'!Q:Q)</f>
        <v>0</v>
      </c>
      <c r="H14" s="58" t="str">
        <f t="shared" si="2"/>
        <v/>
      </c>
    </row>
    <row r="15" spans="1:19" x14ac:dyDescent="0.2">
      <c r="A15" s="56" t="s">
        <v>50</v>
      </c>
      <c r="B15" s="57" t="s">
        <v>373</v>
      </c>
      <c r="C15" s="56">
        <f>SUMIF('TRA-M'!E:E,A15,'TRA-M'!Q:Q)+SUMIF('TRA-W'!E:E,A15,'TRA-W'!Q:Q)+SUMIF('SYN-M'!E:E,A15,'SYN-M'!Q:Q)+SUMIF('SYN-W'!E:E,A15,'SYN-W'!Q:Q)</f>
        <v>0</v>
      </c>
      <c r="D15" s="57" t="str">
        <f t="shared" si="0"/>
        <v/>
      </c>
      <c r="E15" s="56">
        <f>SUMIF('DMT-M'!E:E,A15,'DMT-M'!Q:Q)+SUMIF('DMT-W'!E:E,A15,'DMT-W'!Q:Q)</f>
        <v>0</v>
      </c>
      <c r="F15" s="57" t="str">
        <f t="shared" si="1"/>
        <v/>
      </c>
      <c r="G15" s="56">
        <f>SUMIF('TUM-M'!E:E,A15,'TUM-M'!Q:Q)+SUMIF('TUM-W'!E:E,A15,'TUM-W'!Q:Q)</f>
        <v>0</v>
      </c>
      <c r="H15" s="58" t="str">
        <f t="shared" si="2"/>
        <v/>
      </c>
    </row>
    <row r="16" spans="1:19" x14ac:dyDescent="0.2">
      <c r="A16" s="56" t="s">
        <v>38</v>
      </c>
      <c r="B16" s="57" t="s">
        <v>371</v>
      </c>
      <c r="C16" s="56">
        <f>SUMIF('TRA-M'!E:E,A16,'TRA-M'!Q:Q)+SUMIF('TRA-W'!E:E,A16,'TRA-W'!Q:Q)+SUMIF('SYN-M'!E:E,A16,'SYN-M'!Q:Q)+SUMIF('SYN-W'!E:E,A16,'SYN-W'!Q:Q)</f>
        <v>0</v>
      </c>
      <c r="D16" s="57" t="str">
        <f t="shared" si="0"/>
        <v/>
      </c>
      <c r="E16" s="56">
        <f>SUMIF('DMT-M'!E:E,A16,'DMT-M'!Q:Q)+SUMIF('DMT-W'!E:E,A16,'DMT-W'!Q:Q)</f>
        <v>0</v>
      </c>
      <c r="F16" s="57" t="str">
        <f t="shared" si="1"/>
        <v/>
      </c>
      <c r="G16" s="56">
        <f>SUMIF('TUM-M'!E:E,A16,'TUM-M'!Q:Q)+SUMIF('TUM-W'!E:E,A16,'TUM-W'!Q:Q)</f>
        <v>0</v>
      </c>
      <c r="H16" s="58" t="str">
        <f t="shared" si="2"/>
        <v/>
      </c>
    </row>
    <row r="17" spans="1:8" x14ac:dyDescent="0.2">
      <c r="A17" s="56" t="s">
        <v>3</v>
      </c>
      <c r="B17" s="57" t="s">
        <v>370</v>
      </c>
      <c r="C17" s="56">
        <f>SUMIF('TRA-M'!E:E,A17,'TRA-M'!Q:Q)+SUMIF('TRA-W'!E:E,A17,'TRA-W'!Q:Q)+SUMIF('SYN-M'!E:E,A17,'SYN-M'!Q:Q)+SUMIF('SYN-W'!E:E,A17,'SYN-W'!Q:Q)</f>
        <v>0</v>
      </c>
      <c r="D17" s="57" t="str">
        <f t="shared" si="0"/>
        <v/>
      </c>
      <c r="E17" s="56">
        <f>SUMIF('DMT-M'!E:E,A17,'DMT-M'!Q:Q)+SUMIF('DMT-W'!E:E,A17,'DMT-W'!Q:Q)</f>
        <v>0</v>
      </c>
      <c r="F17" s="57" t="str">
        <f t="shared" si="1"/>
        <v/>
      </c>
      <c r="G17" s="56">
        <f>SUMIF('TUM-M'!E:E,A17,'TUM-M'!Q:Q)+SUMIF('TUM-W'!E:E,A17,'TUM-W'!Q:Q)</f>
        <v>0</v>
      </c>
      <c r="H17" s="58" t="str">
        <f t="shared" si="2"/>
        <v/>
      </c>
    </row>
    <row r="18" spans="1:8" x14ac:dyDescent="0.2">
      <c r="A18" s="56" t="s">
        <v>208</v>
      </c>
      <c r="B18" s="57" t="s">
        <v>370</v>
      </c>
      <c r="C18" s="56">
        <f>SUMIF('TRA-M'!E:E,A18,'TRA-M'!Q:Q)+SUMIF('TRA-W'!E:E,A18,'TRA-W'!Q:Q)+SUMIF('SYN-M'!E:E,A18,'SYN-M'!Q:Q)+SUMIF('SYN-W'!E:E,A18,'SYN-W'!Q:Q)</f>
        <v>0</v>
      </c>
      <c r="D18" s="57" t="str">
        <f t="shared" si="0"/>
        <v/>
      </c>
      <c r="E18" s="56">
        <f>SUMIF('DMT-M'!E:E,A18,'DMT-M'!Q:Q)+SUMIF('DMT-W'!E:E,A18,'DMT-W'!Q:Q)</f>
        <v>0</v>
      </c>
      <c r="F18" s="57" t="str">
        <f t="shared" si="1"/>
        <v/>
      </c>
      <c r="G18" s="56">
        <f>SUMIF('TUM-M'!E:E,A18,'TUM-M'!Q:Q)+SUMIF('TUM-W'!E:E,A18,'TUM-W'!Q:Q)</f>
        <v>0</v>
      </c>
      <c r="H18" s="58" t="str">
        <f t="shared" ref="H18:H43" si="3">IF(G18&gt;0,RANK(G18,G$2:G$43),"")</f>
        <v/>
      </c>
    </row>
    <row r="19" spans="1:8" x14ac:dyDescent="0.2">
      <c r="A19" s="56" t="s">
        <v>98</v>
      </c>
      <c r="B19" s="57" t="s">
        <v>369</v>
      </c>
      <c r="C19" s="56">
        <f>SUMIF('TRA-M'!E:E,A19,'TRA-M'!Q:Q)+SUMIF('TRA-W'!E:E,A19,'TRA-W'!Q:Q)+SUMIF('SYN-M'!E:E,A19,'SYN-M'!Q:Q)+SUMIF('SYN-W'!E:E,A19,'SYN-W'!Q:Q)</f>
        <v>0</v>
      </c>
      <c r="D19" s="57" t="str">
        <f t="shared" si="0"/>
        <v/>
      </c>
      <c r="E19" s="56">
        <f>SUMIF('DMT-M'!E:E,A19,'DMT-M'!Q:Q)+SUMIF('DMT-W'!E:E,A19,'DMT-W'!Q:Q)</f>
        <v>0</v>
      </c>
      <c r="F19" s="57" t="str">
        <f t="shared" si="1"/>
        <v/>
      </c>
      <c r="G19" s="56">
        <f>SUMIF('TUM-M'!E:E,A19,'TUM-M'!Q:Q)+SUMIF('TUM-W'!E:E,A19,'TUM-W'!Q:Q)</f>
        <v>0</v>
      </c>
      <c r="H19" s="58" t="str">
        <f t="shared" si="3"/>
        <v/>
      </c>
    </row>
    <row r="20" spans="1:8" x14ac:dyDescent="0.2">
      <c r="A20" s="56" t="s">
        <v>140</v>
      </c>
      <c r="B20" s="57" t="s">
        <v>374</v>
      </c>
      <c r="C20" s="56">
        <f>SUMIF('TRA-M'!E:E,A20,'TRA-M'!Q:Q)+SUMIF('TRA-W'!E:E,A20,'TRA-W'!Q:Q)+SUMIF('SYN-M'!E:E,A20,'SYN-M'!Q:Q)+SUMIF('SYN-W'!E:E,A20,'SYN-W'!Q:Q)</f>
        <v>0</v>
      </c>
      <c r="D20" s="57" t="str">
        <f t="shared" si="0"/>
        <v/>
      </c>
      <c r="E20" s="56">
        <f>SUMIF('DMT-M'!E:E,A20,'DMT-M'!Q:Q)+SUMIF('DMT-W'!E:E,A20,'DMT-W'!Q:Q)</f>
        <v>0</v>
      </c>
      <c r="F20" s="57" t="str">
        <f t="shared" si="1"/>
        <v/>
      </c>
      <c r="G20" s="56">
        <f>SUMIF('TUM-M'!E:E,A20,'TUM-M'!Q:Q)+SUMIF('TUM-W'!E:E,A20,'TUM-W'!Q:Q)</f>
        <v>0</v>
      </c>
      <c r="H20" s="58" t="str">
        <f t="shared" si="3"/>
        <v/>
      </c>
    </row>
    <row r="21" spans="1:8" x14ac:dyDescent="0.2">
      <c r="A21" s="56" t="s">
        <v>212</v>
      </c>
      <c r="B21" s="57" t="s">
        <v>367</v>
      </c>
      <c r="C21" s="56">
        <f>SUMIF('TRA-M'!E:E,A21,'TRA-M'!Q:Q)+SUMIF('TRA-W'!E:E,A21,'TRA-W'!Q:Q)+SUMIF('SYN-M'!E:E,A21,'SYN-M'!Q:Q)+SUMIF('SYN-W'!E:E,A21,'SYN-W'!Q:Q)</f>
        <v>0</v>
      </c>
      <c r="D21" s="57" t="str">
        <f t="shared" si="0"/>
        <v/>
      </c>
      <c r="E21" s="56">
        <f>SUMIF('DMT-M'!E:E,A21,'DMT-M'!Q:Q)+SUMIF('DMT-W'!E:E,A21,'DMT-W'!Q:Q)</f>
        <v>0</v>
      </c>
      <c r="F21" s="57" t="str">
        <f t="shared" si="1"/>
        <v/>
      </c>
      <c r="G21" s="56">
        <f>SUMIF('TUM-M'!E:E,A21,'TUM-M'!Q:Q)+SUMIF('TUM-W'!E:E,A21,'TUM-W'!Q:Q)</f>
        <v>0</v>
      </c>
      <c r="H21" s="58" t="str">
        <f t="shared" si="3"/>
        <v/>
      </c>
    </row>
    <row r="22" spans="1:8" x14ac:dyDescent="0.2">
      <c r="A22" s="56" t="s">
        <v>218</v>
      </c>
      <c r="B22" s="57" t="s">
        <v>375</v>
      </c>
      <c r="C22" s="56">
        <f>SUMIF('TRA-M'!E:E,A22,'TRA-M'!Q:Q)+SUMIF('TRA-W'!E:E,A22,'TRA-W'!Q:Q)+SUMIF('SYN-M'!E:E,A22,'SYN-M'!Q:Q)+SUMIF('SYN-W'!E:E,A22,'SYN-W'!Q:Q)</f>
        <v>0</v>
      </c>
      <c r="D22" s="57" t="str">
        <f t="shared" si="0"/>
        <v/>
      </c>
      <c r="E22" s="56">
        <f>SUMIF('DMT-M'!E:E,A22,'DMT-M'!Q:Q)+SUMIF('DMT-W'!E:E,A22,'DMT-W'!Q:Q)</f>
        <v>0</v>
      </c>
      <c r="F22" s="57" t="str">
        <f t="shared" si="1"/>
        <v/>
      </c>
      <c r="G22" s="56">
        <f>SUMIF('TUM-M'!E:E,A22,'TUM-M'!Q:Q)+SUMIF('TUM-W'!E:E,A22,'TUM-W'!Q:Q)</f>
        <v>0</v>
      </c>
      <c r="H22" s="58" t="str">
        <f t="shared" si="3"/>
        <v/>
      </c>
    </row>
    <row r="23" spans="1:8" x14ac:dyDescent="0.2">
      <c r="A23" s="56" t="s">
        <v>170</v>
      </c>
      <c r="B23" s="57" t="s">
        <v>367</v>
      </c>
      <c r="C23" s="56">
        <f>SUMIF('TRA-M'!E:E,A23,'TRA-M'!Q:Q)+SUMIF('TRA-W'!E:E,A23,'TRA-W'!Q:Q)+SUMIF('SYN-M'!E:E,A23,'SYN-M'!Q:Q)+SUMIF('SYN-W'!E:E,A23,'SYN-W'!Q:Q)</f>
        <v>0</v>
      </c>
      <c r="D23" s="57" t="str">
        <f t="shared" si="0"/>
        <v/>
      </c>
      <c r="E23" s="56">
        <f>SUMIF('DMT-M'!E:E,A23,'DMT-M'!Q:Q)+SUMIF('DMT-W'!E:E,A23,'DMT-W'!Q:Q)</f>
        <v>0</v>
      </c>
      <c r="F23" s="57" t="str">
        <f t="shared" si="1"/>
        <v/>
      </c>
      <c r="G23" s="56">
        <f>SUMIF('TUM-M'!E:E,A23,'TUM-M'!Q:Q)+SUMIF('TUM-W'!E:E,A23,'TUM-W'!Q:Q)</f>
        <v>0</v>
      </c>
      <c r="H23" s="58" t="str">
        <f t="shared" si="3"/>
        <v/>
      </c>
    </row>
    <row r="24" spans="1:8" x14ac:dyDescent="0.2">
      <c r="A24" s="56" t="s">
        <v>43</v>
      </c>
      <c r="B24" s="57" t="s">
        <v>371</v>
      </c>
      <c r="C24" s="56">
        <f>SUMIF('TRA-M'!E:E,A24,'TRA-M'!Q:Q)+SUMIF('TRA-W'!E:E,A24,'TRA-W'!Q:Q)+SUMIF('SYN-M'!E:E,A24,'SYN-M'!Q:Q)+SUMIF('SYN-W'!E:E,A24,'SYN-W'!Q:Q)</f>
        <v>0</v>
      </c>
      <c r="D24" s="57" t="str">
        <f t="shared" si="0"/>
        <v/>
      </c>
      <c r="E24" s="56">
        <f>SUMIF('DMT-M'!E:E,A24,'DMT-M'!Q:Q)+SUMIF('DMT-W'!E:E,A24,'DMT-W'!Q:Q)</f>
        <v>0</v>
      </c>
      <c r="F24" s="57" t="str">
        <f t="shared" si="1"/>
        <v/>
      </c>
      <c r="G24" s="56">
        <f>SUMIF('TUM-M'!E:E,A24,'TUM-M'!Q:Q)+SUMIF('TUM-W'!E:E,A24,'TUM-W'!Q:Q)</f>
        <v>0</v>
      </c>
      <c r="H24" s="58" t="str">
        <f t="shared" si="3"/>
        <v/>
      </c>
    </row>
    <row r="25" spans="1:8" x14ac:dyDescent="0.2">
      <c r="A25" s="56" t="s">
        <v>48</v>
      </c>
      <c r="B25" s="57" t="s">
        <v>371</v>
      </c>
      <c r="C25" s="56">
        <f>SUMIF('TRA-M'!E:E,A25,'TRA-M'!Q:Q)+SUMIF('TRA-W'!E:E,A25,'TRA-W'!Q:Q)+SUMIF('SYN-M'!E:E,A25,'SYN-M'!Q:Q)+SUMIF('SYN-W'!E:E,A25,'SYN-W'!Q:Q)</f>
        <v>0</v>
      </c>
      <c r="D25" s="57" t="str">
        <f t="shared" si="0"/>
        <v/>
      </c>
      <c r="E25" s="56">
        <f>SUMIF('DMT-M'!E:E,A25,'DMT-M'!Q:Q)+SUMIF('DMT-W'!E:E,A25,'DMT-W'!Q:Q)</f>
        <v>0</v>
      </c>
      <c r="F25" s="57" t="str">
        <f t="shared" si="1"/>
        <v/>
      </c>
      <c r="G25" s="56">
        <f>SUMIF('TUM-M'!E:E,A25,'TUM-M'!Q:Q)+SUMIF('TUM-W'!E:E,A25,'TUM-W'!Q:Q)</f>
        <v>0</v>
      </c>
      <c r="H25" s="58" t="str">
        <f t="shared" si="3"/>
        <v/>
      </c>
    </row>
    <row r="26" spans="1:8" x14ac:dyDescent="0.2">
      <c r="A26" s="56" t="s">
        <v>231</v>
      </c>
      <c r="B26" s="57" t="s">
        <v>367</v>
      </c>
      <c r="C26" s="56">
        <f>SUMIF('TRA-M'!E:E,A26,'TRA-M'!Q:Q)+SUMIF('TRA-W'!E:E,A26,'TRA-W'!Q:Q)+SUMIF('SYN-M'!E:E,A26,'SYN-M'!Q:Q)+SUMIF('SYN-W'!E:E,A26,'SYN-W'!Q:Q)</f>
        <v>0</v>
      </c>
      <c r="D26" s="57" t="str">
        <f t="shared" si="0"/>
        <v/>
      </c>
      <c r="E26" s="56">
        <f>SUMIF('DMT-M'!E:E,A26,'DMT-M'!Q:Q)+SUMIF('DMT-W'!E:E,A26,'DMT-W'!Q:Q)</f>
        <v>0</v>
      </c>
      <c r="F26" s="57" t="str">
        <f t="shared" si="1"/>
        <v/>
      </c>
      <c r="G26" s="56">
        <f>SUMIF('TUM-M'!E:E,A26,'TUM-M'!Q:Q)+SUMIF('TUM-W'!E:E,A26,'TUM-W'!Q:Q)</f>
        <v>0</v>
      </c>
      <c r="H26" s="58" t="str">
        <f t="shared" si="3"/>
        <v/>
      </c>
    </row>
    <row r="27" spans="1:8" x14ac:dyDescent="0.2">
      <c r="A27" s="56" t="s">
        <v>42</v>
      </c>
      <c r="B27" s="57" t="s">
        <v>369</v>
      </c>
      <c r="C27" s="56">
        <f>SUMIF('TRA-M'!E:E,A27,'TRA-M'!Q:Q)+SUMIF('TRA-W'!E:E,A27,'TRA-W'!Q:Q)+SUMIF('SYN-M'!E:E,A27,'SYN-M'!Q:Q)+SUMIF('SYN-W'!E:E,A27,'SYN-W'!Q:Q)</f>
        <v>0</v>
      </c>
      <c r="D27" s="57" t="str">
        <f t="shared" si="0"/>
        <v/>
      </c>
      <c r="E27" s="56">
        <f>SUMIF('DMT-M'!E:E,A27,'DMT-M'!Q:Q)+SUMIF('DMT-W'!E:E,A27,'DMT-W'!Q:Q)</f>
        <v>0</v>
      </c>
      <c r="F27" s="57" t="str">
        <f t="shared" si="1"/>
        <v/>
      </c>
      <c r="G27" s="56">
        <f>SUMIF('TUM-M'!E:E,A27,'TUM-M'!Q:Q)+SUMIF('TUM-W'!E:E,A27,'TUM-W'!Q:Q)</f>
        <v>0</v>
      </c>
      <c r="H27" s="58" t="str">
        <f t="shared" si="3"/>
        <v/>
      </c>
    </row>
    <row r="28" spans="1:8" x14ac:dyDescent="0.2">
      <c r="A28" s="56" t="s">
        <v>237</v>
      </c>
      <c r="B28" s="57" t="s">
        <v>367</v>
      </c>
      <c r="C28" s="56">
        <f>SUMIF('TRA-M'!E:E,A28,'TRA-M'!Q:Q)+SUMIF('TRA-W'!E:E,A28,'TRA-W'!Q:Q)+SUMIF('SYN-M'!E:E,A28,'SYN-M'!Q:Q)+SUMIF('SYN-W'!E:E,A28,'SYN-W'!Q:Q)</f>
        <v>0</v>
      </c>
      <c r="D28" s="57" t="str">
        <f t="shared" si="0"/>
        <v/>
      </c>
      <c r="E28" s="56">
        <f>SUMIF('DMT-M'!E:E,A28,'DMT-M'!Q:Q)+SUMIF('DMT-W'!E:E,A28,'DMT-W'!Q:Q)</f>
        <v>0</v>
      </c>
      <c r="F28" s="57" t="str">
        <f t="shared" si="1"/>
        <v/>
      </c>
      <c r="G28" s="56">
        <f>SUMIF('TUM-M'!E:E,A28,'TUM-M'!Q:Q)+SUMIF('TUM-W'!E:E,A28,'TUM-W'!Q:Q)</f>
        <v>0</v>
      </c>
      <c r="H28" s="58" t="str">
        <f t="shared" si="3"/>
        <v/>
      </c>
    </row>
    <row r="29" spans="1:8" x14ac:dyDescent="0.2">
      <c r="A29" s="56" t="s">
        <v>66</v>
      </c>
      <c r="B29" s="57" t="s">
        <v>371</v>
      </c>
      <c r="C29" s="56">
        <f>SUMIF('TRA-M'!E:E,A29,'TRA-M'!Q:Q)+SUMIF('TRA-W'!E:E,A29,'TRA-W'!Q:Q)+SUMIF('SYN-M'!E:E,A29,'SYN-M'!Q:Q)+SUMIF('SYN-W'!E:E,A29,'SYN-W'!Q:Q)</f>
        <v>0</v>
      </c>
      <c r="D29" s="57" t="str">
        <f t="shared" si="0"/>
        <v/>
      </c>
      <c r="E29" s="56">
        <f>SUMIF('DMT-M'!E:E,A29,'DMT-M'!Q:Q)+SUMIF('DMT-W'!E:E,A29,'DMT-W'!Q:Q)</f>
        <v>0</v>
      </c>
      <c r="F29" s="57" t="str">
        <f t="shared" si="1"/>
        <v/>
      </c>
      <c r="G29" s="56">
        <f>SUMIF('TUM-M'!E:E,A29,'TUM-M'!Q:Q)+SUMIF('TUM-W'!E:E,A29,'TUM-W'!Q:Q)</f>
        <v>0</v>
      </c>
      <c r="H29" s="58" t="str">
        <f t="shared" si="3"/>
        <v/>
      </c>
    </row>
    <row r="30" spans="1:8" x14ac:dyDescent="0.2">
      <c r="A30" s="56" t="s">
        <v>70</v>
      </c>
      <c r="B30" s="57" t="s">
        <v>370</v>
      </c>
      <c r="C30" s="56">
        <f>SUMIF('TRA-M'!E:E,A30,'TRA-M'!Q:Q)+SUMIF('TRA-W'!E:E,A30,'TRA-W'!Q:Q)+SUMIF('SYN-M'!E:E,A30,'SYN-M'!Q:Q)+SUMIF('SYN-W'!E:E,A30,'SYN-W'!Q:Q)</f>
        <v>0</v>
      </c>
      <c r="D30" s="57" t="str">
        <f t="shared" si="0"/>
        <v/>
      </c>
      <c r="E30" s="56">
        <f>SUMIF('DMT-M'!E:E,A30,'DMT-M'!Q:Q)+SUMIF('DMT-W'!E:E,A30,'DMT-W'!Q:Q)</f>
        <v>0</v>
      </c>
      <c r="F30" s="57" t="str">
        <f t="shared" si="1"/>
        <v/>
      </c>
      <c r="G30" s="56">
        <f>SUMIF('TUM-M'!E:E,A30,'TUM-M'!Q:Q)+SUMIF('TUM-W'!E:E,A30,'TUM-W'!Q:Q)</f>
        <v>0</v>
      </c>
      <c r="H30" s="58" t="str">
        <f t="shared" si="3"/>
        <v/>
      </c>
    </row>
    <row r="31" spans="1:8" x14ac:dyDescent="0.2">
      <c r="A31" s="56" t="s">
        <v>47</v>
      </c>
      <c r="B31" s="57" t="s">
        <v>368</v>
      </c>
      <c r="C31" s="56">
        <f>SUMIF('TRA-M'!E:E,A31,'TRA-M'!Q:Q)+SUMIF('TRA-W'!E:E,A31,'TRA-W'!Q:Q)+SUMIF('SYN-M'!E:E,A31,'SYN-M'!Q:Q)+SUMIF('SYN-W'!E:E,A31,'SYN-W'!Q:Q)</f>
        <v>0</v>
      </c>
      <c r="D31" s="57" t="str">
        <f t="shared" si="0"/>
        <v/>
      </c>
      <c r="E31" s="56">
        <f>SUMIF('DMT-M'!E:E,A31,'DMT-M'!Q:Q)+SUMIF('DMT-W'!E:E,A31,'DMT-W'!Q:Q)</f>
        <v>0</v>
      </c>
      <c r="F31" s="57" t="str">
        <f t="shared" si="1"/>
        <v/>
      </c>
      <c r="G31" s="56">
        <f>SUMIF('TUM-M'!E:E,A31,'TUM-M'!Q:Q)+SUMIF('TUM-W'!E:E,A31,'TUM-W'!Q:Q)</f>
        <v>0</v>
      </c>
      <c r="H31" s="58" t="str">
        <f t="shared" si="3"/>
        <v/>
      </c>
    </row>
    <row r="32" spans="1:8" x14ac:dyDescent="0.2">
      <c r="A32" s="56" t="s">
        <v>74</v>
      </c>
      <c r="B32" s="57" t="s">
        <v>371</v>
      </c>
      <c r="C32" s="56">
        <f>SUMIF('TRA-M'!E:E,A32,'TRA-M'!Q:Q)+SUMIF('TRA-W'!E:E,A32,'TRA-W'!Q:Q)+SUMIF('SYN-M'!E:E,A32,'SYN-M'!Q:Q)+SUMIF('SYN-W'!E:E,A32,'SYN-W'!Q:Q)</f>
        <v>0</v>
      </c>
      <c r="D32" s="57" t="str">
        <f t="shared" si="0"/>
        <v/>
      </c>
      <c r="E32" s="56">
        <f>SUMIF('DMT-M'!E:E,A32,'DMT-M'!Q:Q)+SUMIF('DMT-W'!E:E,A32,'DMT-W'!Q:Q)</f>
        <v>0</v>
      </c>
      <c r="F32" s="57" t="str">
        <f t="shared" si="1"/>
        <v/>
      </c>
      <c r="G32" s="56">
        <f>SUMIF('TUM-M'!E:E,A32,'TUM-M'!Q:Q)+SUMIF('TUM-W'!E:E,A32,'TUM-W'!Q:Q)</f>
        <v>0</v>
      </c>
      <c r="H32" s="58" t="str">
        <f t="shared" si="3"/>
        <v/>
      </c>
    </row>
    <row r="33" spans="1:8" x14ac:dyDescent="0.2">
      <c r="A33" s="56" t="s">
        <v>270</v>
      </c>
      <c r="B33" s="57" t="s">
        <v>372</v>
      </c>
      <c r="C33" s="56">
        <f>SUMIF('TRA-M'!E:E,A33,'TRA-M'!Q:Q)+SUMIF('TRA-W'!E:E,A33,'TRA-W'!Q:Q)+SUMIF('SYN-M'!E:E,A33,'SYN-M'!Q:Q)+SUMIF('SYN-W'!E:E,A33,'SYN-W'!Q:Q)</f>
        <v>0</v>
      </c>
      <c r="D33" s="57" t="str">
        <f t="shared" si="0"/>
        <v/>
      </c>
      <c r="E33" s="56">
        <f>SUMIF('DMT-M'!E:E,A33,'DMT-M'!Q:Q)+SUMIF('DMT-W'!E:E,A33,'DMT-W'!Q:Q)</f>
        <v>0</v>
      </c>
      <c r="F33" s="57" t="str">
        <f t="shared" si="1"/>
        <v/>
      </c>
      <c r="G33" s="56">
        <f>SUMIF('TUM-M'!E:E,A33,'TUM-M'!Q:Q)+SUMIF('TUM-W'!E:E,A33,'TUM-W'!Q:Q)</f>
        <v>0</v>
      </c>
      <c r="H33" s="58" t="str">
        <f t="shared" si="3"/>
        <v/>
      </c>
    </row>
    <row r="34" spans="1:8" x14ac:dyDescent="0.2">
      <c r="A34" s="56" t="s">
        <v>114</v>
      </c>
      <c r="B34" s="57" t="s">
        <v>370</v>
      </c>
      <c r="C34" s="56">
        <f>SUMIF('TRA-M'!E:E,A34,'TRA-M'!Q:Q)+SUMIF('TRA-W'!E:E,A34,'TRA-W'!Q:Q)+SUMIF('SYN-M'!E:E,A34,'SYN-M'!Q:Q)+SUMIF('SYN-W'!E:E,A34,'SYN-W'!Q:Q)</f>
        <v>0</v>
      </c>
      <c r="D34" s="57" t="str">
        <f t="shared" si="0"/>
        <v/>
      </c>
      <c r="E34" s="56">
        <f>SUMIF('DMT-M'!E:E,A34,'DMT-M'!Q:Q)+SUMIF('DMT-W'!E:E,A34,'DMT-W'!Q:Q)</f>
        <v>0</v>
      </c>
      <c r="F34" s="57" t="str">
        <f t="shared" si="1"/>
        <v/>
      </c>
      <c r="G34" s="56">
        <f>SUMIF('TUM-M'!E:E,A34,'TUM-M'!Q:Q)+SUMIF('TUM-W'!E:E,A34,'TUM-W'!Q:Q)</f>
        <v>0</v>
      </c>
      <c r="H34" s="58" t="str">
        <f t="shared" si="3"/>
        <v/>
      </c>
    </row>
    <row r="35" spans="1:8" x14ac:dyDescent="0.2">
      <c r="A35" s="56" t="s">
        <v>145</v>
      </c>
      <c r="B35" s="57" t="s">
        <v>369</v>
      </c>
      <c r="C35" s="56">
        <f>SUMIF('TRA-M'!E:E,A35,'TRA-M'!Q:Q)+SUMIF('TRA-W'!E:E,A35,'TRA-W'!Q:Q)+SUMIF('SYN-M'!E:E,A35,'SYN-M'!Q:Q)+SUMIF('SYN-W'!E:E,A35,'SYN-W'!Q:Q)</f>
        <v>0</v>
      </c>
      <c r="D35" s="57" t="str">
        <f t="shared" si="0"/>
        <v/>
      </c>
      <c r="E35" s="56">
        <f>SUMIF('DMT-M'!E:E,A35,'DMT-M'!Q:Q)+SUMIF('DMT-W'!E:E,A35,'DMT-W'!Q:Q)</f>
        <v>0</v>
      </c>
      <c r="F35" s="57" t="str">
        <f t="shared" si="1"/>
        <v/>
      </c>
      <c r="G35" s="56">
        <f>SUMIF('TUM-M'!E:E,A35,'TUM-M'!Q:Q)+SUMIF('TUM-W'!E:E,A35,'TUM-W'!Q:Q)</f>
        <v>0</v>
      </c>
      <c r="H35" s="58" t="str">
        <f t="shared" si="3"/>
        <v/>
      </c>
    </row>
    <row r="36" spans="1:8" x14ac:dyDescent="0.2">
      <c r="A36" s="56" t="s">
        <v>68</v>
      </c>
      <c r="B36" s="57" t="s">
        <v>369</v>
      </c>
      <c r="C36" s="56">
        <f>SUMIF('TRA-M'!E:E,A36,'TRA-M'!Q:Q)+SUMIF('TRA-W'!E:E,A36,'TRA-W'!Q:Q)+SUMIF('SYN-M'!E:E,A36,'SYN-M'!Q:Q)+SUMIF('SYN-W'!E:E,A36,'SYN-W'!Q:Q)</f>
        <v>0</v>
      </c>
      <c r="D36" s="57" t="str">
        <f t="shared" si="0"/>
        <v/>
      </c>
      <c r="E36" s="56">
        <f>SUMIF('DMT-M'!E:E,A36,'DMT-M'!Q:Q)+SUMIF('DMT-W'!E:E,A36,'DMT-W'!Q:Q)</f>
        <v>0</v>
      </c>
      <c r="F36" s="57" t="str">
        <f t="shared" si="1"/>
        <v/>
      </c>
      <c r="G36" s="56">
        <f>SUMIF('TUM-M'!E:E,A36,'TUM-M'!Q:Q)+SUMIF('TUM-W'!E:E,A36,'TUM-W'!Q:Q)</f>
        <v>0</v>
      </c>
      <c r="H36" s="58" t="str">
        <f t="shared" si="3"/>
        <v/>
      </c>
    </row>
    <row r="37" spans="1:8" x14ac:dyDescent="0.2">
      <c r="A37" s="56" t="s">
        <v>85</v>
      </c>
      <c r="B37" s="57" t="s">
        <v>371</v>
      </c>
      <c r="C37" s="56">
        <f>SUMIF('TRA-M'!E:E,A37,'TRA-M'!Q:Q)+SUMIF('TRA-W'!E:E,A37,'TRA-W'!Q:Q)+SUMIF('SYN-M'!E:E,A37,'SYN-M'!Q:Q)+SUMIF('SYN-W'!E:E,A37,'SYN-W'!Q:Q)</f>
        <v>0</v>
      </c>
      <c r="D37" s="57" t="str">
        <f t="shared" si="0"/>
        <v/>
      </c>
      <c r="E37" s="56">
        <f>SUMIF('DMT-M'!E:E,A37,'DMT-M'!Q:Q)+SUMIF('DMT-W'!E:E,A37,'DMT-W'!Q:Q)</f>
        <v>0</v>
      </c>
      <c r="F37" s="57" t="str">
        <f t="shared" si="1"/>
        <v/>
      </c>
      <c r="G37" s="56">
        <f>SUMIF('TUM-M'!E:E,A37,'TUM-M'!Q:Q)+SUMIF('TUM-W'!E:E,A37,'TUM-W'!Q:Q)</f>
        <v>0</v>
      </c>
      <c r="H37" s="58" t="str">
        <f t="shared" si="3"/>
        <v/>
      </c>
    </row>
    <row r="38" spans="1:8" x14ac:dyDescent="0.2">
      <c r="A38" s="56" t="s">
        <v>316</v>
      </c>
      <c r="B38" s="57" t="s">
        <v>367</v>
      </c>
      <c r="C38" s="56">
        <f>SUMIF('TRA-M'!E:E,A38,'TRA-M'!Q:Q)+SUMIF('TRA-W'!E:E,A38,'TRA-W'!Q:Q)+SUMIF('SYN-M'!E:E,A38,'SYN-M'!Q:Q)+SUMIF('SYN-W'!E:E,A38,'SYN-W'!Q:Q)</f>
        <v>0</v>
      </c>
      <c r="D38" s="57" t="str">
        <f t="shared" si="0"/>
        <v/>
      </c>
      <c r="E38" s="56">
        <f>SUMIF('DMT-M'!E:E,A38,'DMT-M'!Q:Q)+SUMIF('DMT-W'!E:E,A38,'DMT-W'!Q:Q)</f>
        <v>0</v>
      </c>
      <c r="F38" s="57" t="str">
        <f t="shared" si="1"/>
        <v/>
      </c>
      <c r="G38" s="56">
        <f>SUMIF('TUM-M'!E:E,A38,'TUM-M'!Q:Q)+SUMIF('TUM-W'!E:E,A38,'TUM-W'!Q:Q)</f>
        <v>0</v>
      </c>
      <c r="H38" s="58" t="str">
        <f t="shared" si="3"/>
        <v/>
      </c>
    </row>
    <row r="39" spans="1:8" x14ac:dyDescent="0.2">
      <c r="A39" s="56" t="s">
        <v>376</v>
      </c>
      <c r="B39" s="57" t="s">
        <v>370</v>
      </c>
      <c r="C39" s="56">
        <f>SUMIF('TRA-M'!E:E,A39,'TRA-M'!Q:Q)+SUMIF('TRA-W'!E:E,A39,'TRA-W'!Q:Q)+SUMIF('SYN-M'!E:E,A39,'SYN-M'!Q:Q)+SUMIF('SYN-W'!E:E,A39,'SYN-W'!Q:Q)</f>
        <v>0</v>
      </c>
      <c r="D39" s="57" t="str">
        <f t="shared" si="0"/>
        <v/>
      </c>
      <c r="E39" s="56">
        <f>SUMIF('DMT-M'!E:E,A39,'DMT-M'!Q:Q)+SUMIF('DMT-W'!E:E,A39,'DMT-W'!Q:Q)</f>
        <v>0</v>
      </c>
      <c r="F39" s="57" t="str">
        <f t="shared" si="1"/>
        <v/>
      </c>
      <c r="G39" s="56">
        <f>SUMIF('TUM-M'!E:E,A39,'TUM-M'!Q:Q)+SUMIF('TUM-W'!E:E,A39,'TUM-W'!Q:Q)</f>
        <v>0</v>
      </c>
      <c r="H39" s="58" t="str">
        <f t="shared" si="3"/>
        <v/>
      </c>
    </row>
    <row r="40" spans="1:8" x14ac:dyDescent="0.2">
      <c r="A40" s="56" t="s">
        <v>320</v>
      </c>
      <c r="B40" s="57" t="s">
        <v>370</v>
      </c>
      <c r="C40" s="56">
        <f>SUMIF('TRA-M'!E:E,A40,'TRA-M'!Q:Q)+SUMIF('TRA-W'!E:E,A40,'TRA-W'!Q:Q)+SUMIF('SYN-M'!E:E,A40,'SYN-M'!Q:Q)+SUMIF('SYN-W'!E:E,A40,'SYN-W'!Q:Q)</f>
        <v>0</v>
      </c>
      <c r="D40" s="57" t="str">
        <f t="shared" si="0"/>
        <v/>
      </c>
      <c r="E40" s="56">
        <f>SUMIF('DMT-M'!E:E,A40,'DMT-M'!Q:Q)+SUMIF('DMT-W'!E:E,A40,'DMT-W'!Q:Q)</f>
        <v>0</v>
      </c>
      <c r="F40" s="57" t="str">
        <f t="shared" si="1"/>
        <v/>
      </c>
      <c r="G40" s="56">
        <f>SUMIF('TUM-M'!E:E,A40,'TUM-M'!Q:Q)+SUMIF('TUM-W'!E:E,A40,'TUM-W'!Q:Q)</f>
        <v>0</v>
      </c>
      <c r="H40" s="58" t="str">
        <f t="shared" si="3"/>
        <v/>
      </c>
    </row>
    <row r="41" spans="1:8" x14ac:dyDescent="0.2">
      <c r="A41" s="56" t="s">
        <v>323</v>
      </c>
      <c r="B41" s="57" t="s">
        <v>367</v>
      </c>
      <c r="C41" s="56">
        <f>SUMIF('TRA-M'!E:E,A41,'TRA-M'!Q:Q)+SUMIF('TRA-W'!E:E,A41,'TRA-W'!Q:Q)+SUMIF('SYN-M'!E:E,A41,'SYN-M'!Q:Q)+SUMIF('SYN-W'!E:E,A41,'SYN-W'!Q:Q)</f>
        <v>0</v>
      </c>
      <c r="D41" s="57" t="str">
        <f t="shared" si="0"/>
        <v/>
      </c>
      <c r="E41" s="56">
        <f>SUMIF('DMT-M'!E:E,A41,'DMT-M'!Q:Q)+SUMIF('DMT-W'!E:E,A41,'DMT-W'!Q:Q)</f>
        <v>0</v>
      </c>
      <c r="F41" s="57" t="str">
        <f t="shared" si="1"/>
        <v/>
      </c>
      <c r="G41" s="56">
        <f>SUMIF('TUM-M'!E:E,A41,'TUM-M'!Q:Q)+SUMIF('TUM-W'!E:E,A41,'TUM-W'!Q:Q)</f>
        <v>0</v>
      </c>
      <c r="H41" s="58" t="str">
        <f t="shared" si="3"/>
        <v/>
      </c>
    </row>
    <row r="42" spans="1:8" x14ac:dyDescent="0.2">
      <c r="A42" s="56" t="s">
        <v>334</v>
      </c>
      <c r="B42" s="57" t="s">
        <v>367</v>
      </c>
      <c r="C42" s="56">
        <f>SUMIF('TRA-M'!E:E,A42,'TRA-M'!Q:Q)+SUMIF('TRA-W'!E:E,A42,'TRA-W'!Q:Q)+SUMIF('SYN-M'!E:E,A42,'SYN-M'!Q:Q)+SUMIF('SYN-W'!E:E,A42,'SYN-W'!Q:Q)</f>
        <v>0</v>
      </c>
      <c r="D42" s="57" t="str">
        <f t="shared" si="0"/>
        <v/>
      </c>
      <c r="E42" s="56">
        <f>SUMIF('DMT-M'!E:E,A42,'DMT-M'!Q:Q)+SUMIF('DMT-W'!E:E,A42,'DMT-W'!Q:Q)</f>
        <v>0</v>
      </c>
      <c r="F42" s="57" t="str">
        <f t="shared" si="1"/>
        <v/>
      </c>
      <c r="G42" s="56">
        <f>SUMIF('TUM-M'!E:E,A42,'TUM-M'!Q:Q)+SUMIF('TUM-W'!E:E,A42,'TUM-W'!Q:Q)</f>
        <v>0</v>
      </c>
      <c r="H42" s="58" t="str">
        <f t="shared" si="3"/>
        <v/>
      </c>
    </row>
    <row r="43" spans="1:8" x14ac:dyDescent="0.2">
      <c r="A43" s="59" t="s">
        <v>348</v>
      </c>
      <c r="B43" s="60" t="s">
        <v>367</v>
      </c>
      <c r="C43" s="59">
        <f>SUMIF('TRA-M'!E:E,A43,'TRA-M'!Q:Q)+SUMIF('TRA-W'!E:E,A43,'TRA-W'!Q:Q)+SUMIF('SYN-M'!E:E,A43,'SYN-M'!Q:Q)+SUMIF('SYN-W'!E:E,A43,'SYN-W'!Q:Q)</f>
        <v>0</v>
      </c>
      <c r="D43" s="60" t="str">
        <f t="shared" si="0"/>
        <v/>
      </c>
      <c r="E43" s="59">
        <f>SUMIF('DMT-M'!E:E,A43,'DMT-M'!Q:Q)+SUMIF('DMT-W'!E:E,A43,'DMT-W'!Q:Q)</f>
        <v>0</v>
      </c>
      <c r="F43" s="60" t="str">
        <f t="shared" si="1"/>
        <v/>
      </c>
      <c r="G43" s="59">
        <f>SUMIF('TUM-M'!E:E,A43,'TUM-M'!Q:Q)+SUMIF('TUM-W'!E:E,A43,'TUM-W'!Q:Q)</f>
        <v>0</v>
      </c>
      <c r="H43" s="61" t="str">
        <f t="shared" si="3"/>
        <v/>
      </c>
    </row>
  </sheetData>
  <conditionalFormatting sqref="D1:D1048576">
    <cfRule type="expression" dxfId="2" priority="1">
      <formula>IF(AND(D1&lt;&gt;"",D1&lt;=2),1,0)</formula>
    </cfRule>
  </conditionalFormatting>
  <conditionalFormatting sqref="F1:F1048576">
    <cfRule type="expression" dxfId="1" priority="2">
      <formula>IF(AND(F1&lt;&gt;"",F1&lt;=1),1,0)</formula>
    </cfRule>
  </conditionalFormatting>
  <conditionalFormatting sqref="H1:H1048576">
    <cfRule type="expression" dxfId="0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30</v>
      </c>
      <c r="S1" s="71" t="s">
        <v>57</v>
      </c>
      <c r="T1" s="73" t="s">
        <v>46</v>
      </c>
      <c r="U1" s="73"/>
      <c r="V1" s="73"/>
      <c r="W1" s="73"/>
      <c r="X1" s="73"/>
      <c r="Y1" s="73"/>
      <c r="Z1" s="73"/>
      <c r="AA1" s="73" t="s">
        <v>45</v>
      </c>
      <c r="AB1" s="73"/>
      <c r="AC1" s="73"/>
      <c r="AD1" s="73"/>
      <c r="AE1" s="73"/>
      <c r="AF1" s="73"/>
      <c r="AG1" s="73"/>
    </row>
    <row r="2" spans="1:33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53</v>
      </c>
      <c r="U2" s="7" t="s">
        <v>54</v>
      </c>
      <c r="V2" s="7" t="s">
        <v>55</v>
      </c>
      <c r="W2" s="7" t="s">
        <v>56</v>
      </c>
      <c r="X2" s="7" t="s">
        <v>16</v>
      </c>
      <c r="Y2" s="7" t="s">
        <v>6</v>
      </c>
      <c r="Z2" s="7" t="s">
        <v>8</v>
      </c>
      <c r="AA2" s="8" t="s">
        <v>53</v>
      </c>
      <c r="AB2" s="7" t="s">
        <v>54</v>
      </c>
      <c r="AC2" s="7" t="s">
        <v>55</v>
      </c>
      <c r="AD2" s="7" t="s">
        <v>56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$55&lt;&gt;"")*(G$3:G$55=G3)*(J$3:J$55&gt;J3)*(I$3:I$55="P"))+1,IF(O3&lt;&gt;"",SUMPRODUCT((O$3:O$55&lt;&gt;"")*(P$3:P$55="")*(G$3:G$55=G3)*(J$3:J$55&gt;J3)*(I$3:I$55="P"))+SUMPRODUCT((P$3:P$55&lt;&gt;"")*(G$3:G$55=G3))+1,IF(N3&lt;&gt;"",SUMPRODUCT((N$3:N$55&lt;&gt;"")*(G$3:G$55=G3)*(J$3:J$55&gt;J3)*(I$3:I$55="P"))+1,IF(M3="P",SUMPRODUCT((O$3:O$55&lt;&gt;"")*(P$3:P$55="")*(G$3:G$55=G3)*(I$3:I$55="P"))+SUMPRODUCT((P$3:P$55&lt;&gt;"")*(G$3:G$55=G3)*(I$3:I$55="P"))+SUMPRODUCT((N$3:N$55&lt;&gt;"")*(G$3:G$55=G3)*(I$3:I$55="P"))+SUMPRODUCT((P$3:P$55="")*(O$3:O$55="")*(N$3:N$55="")*(M$3:M$55="P")*(G$3:G$55=G3)*(J$3:J$55&gt;J3)*(I$3:I$55="P"))+1,"")))))</f>
        <v/>
      </c>
      <c r="B3" s="1" cm="1">
        <f t="array" ref="B3">IF(P3&lt;&gt;"",SUMPRODUCT((P$3:P$55&lt;&gt;"")*(G$3:G$55=G3)*(J$3:J$55&gt;J3))+1,IF(O3&lt;&gt;"",SUMPRODUCT((O$3:O$55&lt;&gt;"")*(P$3:P$55="")*(G$3:G$55=G3)*(J$3:J$55&gt;J3))+SUMPRODUCT((P$3:P$55&lt;&gt;"")*(G$3:G$55=G3))+1,IF(N3&lt;&gt;"",SUMPRODUCT((N$3:N$55&lt;&gt;"")*(G$3:G$55=G3)*(J$3:J$55&gt;J3))+1,IF(M3="P",SUMPRODUCT((O$3:O$55&lt;&gt;"")*(P$3:P$55="")*(G$3:G$55=G3))+SUMPRODUCT((P$3:P$55&lt;&gt;"")*(G$3:G$55=G3))+SUMPRODUCT((N$3:N$55&lt;&gt;"")*(G$3:G$55=G3))+SUMPRODUCT((P$3:P$55="")*(O$3:O$55="")*(N$3:N$55="")*(M$3:M$55="P")*(G$3:G$55=G3)*(J$3:J$55&gt;J3))+1,""))))</f>
        <v>1</v>
      </c>
      <c r="C3" s="36" t="s">
        <v>239</v>
      </c>
      <c r="D3" s="51" t="str">
        <f>IF(E3="","",VLOOKUP(E3,'Coaching Points'!A:B,2,0))</f>
        <v>QC</v>
      </c>
      <c r="E3" s="36" t="s">
        <v>192</v>
      </c>
      <c r="F3" s="35">
        <v>2001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181</v>
      </c>
      <c r="I3" s="47"/>
      <c r="J3" s="4">
        <f>IF(G3="17-21",S3,R3)+IF(OR(H3="Junior",H3="Senior"),0.0002,IF(OR(H3="L7",H3="L6"),0.0001,0))+IF(G3="17-21",MAX(AA3,AC3,AF3),AE3)*0.0000001</f>
        <v>58.050200000000004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52" t="str">
        <f>IF(A3&lt;5,IF(_xlfn.MAXIFS(A:A,G:G,G3)&gt;3,5-A3,_xlfn.MAXIFS(A:A,G:G,G3)+1-A3),"")</f>
        <v/>
      </c>
      <c r="R3" s="4">
        <f>MAX(X3,AE3)</f>
        <v>58.050000000000004</v>
      </c>
      <c r="S3" s="4">
        <f>MAX(T3,V3,Y3,AA3,AC3,AF3)</f>
        <v>58.050000000000004</v>
      </c>
      <c r="T3" s="33">
        <v>46.429999999999993</v>
      </c>
      <c r="U3" s="41">
        <v>12.099999999999998</v>
      </c>
      <c r="V3" s="34">
        <v>58.050000000000004</v>
      </c>
      <c r="W3" s="41">
        <v>15.6</v>
      </c>
      <c r="X3" s="4">
        <f>IF(H3="Senior",MAX(T3,V3),T3+V3)</f>
        <v>58.050000000000004</v>
      </c>
      <c r="Y3" s="34">
        <v>12.149999999999999</v>
      </c>
      <c r="Z3" s="41">
        <v>3.8</v>
      </c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$55&lt;&gt;"")*(G$3:G$55=G4)*(J$3:J$55&gt;J4)*(I$3:I$55="P"))+1,IF(O4&lt;&gt;"",SUMPRODUCT((O$3:O$55&lt;&gt;"")*(P$3:P$55="")*(G$3:G$55=G4)*(J$3:J$55&gt;J4)*(I$3:I$55="P"))+SUMPRODUCT((P$3:P$55&lt;&gt;"")*(G$3:G$55=G4))+1,IF(N4&lt;&gt;"",SUMPRODUCT((N$3:N$55&lt;&gt;"")*(G$3:G$55=G4)*(J$3:J$55&gt;J4)*(I$3:I$55="P"))+1,IF(M4="P",SUMPRODUCT((O$3:O$55&lt;&gt;"")*(P$3:P$55="")*(G$3:G$55=G4)*(I$3:I$55="P"))+SUMPRODUCT((P$3:P$55&lt;&gt;"")*(G$3:G$55=G4)*(I$3:I$55="P"))+SUMPRODUCT((N$3:N$55&lt;&gt;"")*(G$3:G$55=G4)*(I$3:I$55="P"))+SUMPRODUCT((P$3:P$55="")*(O$3:O$55="")*(N$3:N$55="")*(M$3:M$55="P")*(G$3:G$55=G4)*(J$3:J$55&gt;J4)*(I$3:I$55="P"))+1,"")))))</f>
        <v/>
      </c>
      <c r="B4" s="1" cm="1">
        <f t="array" ref="B4">IF(P4&lt;&gt;"",SUMPRODUCT((P$3:P$55&lt;&gt;"")*(G$3:G$55=G4)*(J$3:J$55&gt;J4))+1,IF(O4&lt;&gt;"",SUMPRODUCT((O$3:O$55&lt;&gt;"")*(P$3:P$55="")*(G$3:G$55=G4)*(J$3:J$55&gt;J4))+SUMPRODUCT((P$3:P$55&lt;&gt;"")*(G$3:G$55=G4))+1,IF(N4&lt;&gt;"",SUMPRODUCT((N$3:N$55&lt;&gt;"")*(G$3:G$55=G4)*(J$3:J$55&gt;J4))+1,IF(M4="P",SUMPRODUCT((O$3:O$55&lt;&gt;"")*(P$3:P$55="")*(G$3:G$55=G4))+SUMPRODUCT((P$3:P$55&lt;&gt;"")*(G$3:G$55=G4))+SUMPRODUCT((N$3:N$55&lt;&gt;"")*(G$3:G$55=G4))+SUMPRODUCT((P$3:P$55="")*(O$3:O$55="")*(N$3:N$55="")*(M$3:M$55="P")*(G$3:G$55=G4)*(J$3:J$55&gt;J4))+1,""))))</f>
        <v>1</v>
      </c>
      <c r="C4" s="36" t="s">
        <v>234</v>
      </c>
      <c r="D4" s="51" t="str">
        <f>IF(E4="","",VLOOKUP(E4,'Coaching Points'!A:B,2,0))</f>
        <v>QC</v>
      </c>
      <c r="E4" s="36" t="s">
        <v>3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181</v>
      </c>
      <c r="I4" s="47"/>
      <c r="J4" s="4">
        <f>IF(G4="17-21",S4,R4)+IF(OR(H4="Junior",H4="Senior"),0.0002,IF(OR(H4="L7",H4="L6"),0.0001,0))+IF(G4="17-21",MAX(AA4,AC4,AF4),AE4)*0.0000001</f>
        <v>58.050199999999997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1</v>
      </c>
      <c r="P4" s="39">
        <v>1</v>
      </c>
      <c r="Q4" s="52" t="str">
        <f>IF(A4&lt;5,IF(_xlfn.MAXIFS(A:A,G:G,G4)&gt;3,5-A4,_xlfn.MAXIFS(A:A,G:G,G4)+1-A4),"")</f>
        <v/>
      </c>
      <c r="R4" s="4">
        <f>MAX(X4,AE4)</f>
        <v>57.41</v>
      </c>
      <c r="S4" s="4">
        <f>MAX(T4,V4,Y4,AA4,AC4,AF4)</f>
        <v>58.05</v>
      </c>
      <c r="T4" s="33">
        <v>57.41</v>
      </c>
      <c r="U4" s="41">
        <v>14.999999999999998</v>
      </c>
      <c r="V4" s="34">
        <v>53.089999999999996</v>
      </c>
      <c r="W4" s="41">
        <v>12.7</v>
      </c>
      <c r="X4" s="4">
        <f>IF(H4="Senior",MAX(T4,V4),T4+V4)</f>
        <v>57.41</v>
      </c>
      <c r="Y4" s="34">
        <v>58.05</v>
      </c>
      <c r="Z4" s="41">
        <v>15.6</v>
      </c>
      <c r="AA4" s="33"/>
      <c r="AB4" s="41"/>
      <c r="AC4" s="34"/>
      <c r="AD4" s="41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$55&lt;&gt;"")*(G$3:G$55=G5)*(J$3:J$55&gt;J5)*(I$3:I$55="P"))+1,IF(O5&lt;&gt;"",SUMPRODUCT((O$3:O$55&lt;&gt;"")*(P$3:P$55="")*(G$3:G$55=G5)*(J$3:J$55&gt;J5)*(I$3:I$55="P"))+SUMPRODUCT((P$3:P$55&lt;&gt;"")*(G$3:G$55=G5))+1,IF(N5&lt;&gt;"",SUMPRODUCT((N$3:N$55&lt;&gt;"")*(G$3:G$55=G5)*(J$3:J$55&gt;J5)*(I$3:I$55="P"))+1,IF(M5="P",SUMPRODUCT((O$3:O$55&lt;&gt;"")*(P$3:P$55="")*(G$3:G$55=G5)*(I$3:I$55="P"))+SUMPRODUCT((P$3:P$55&lt;&gt;"")*(G$3:G$55=G5)*(I$3:I$55="P"))+SUMPRODUCT((N$3:N$55&lt;&gt;"")*(G$3:G$55=G5)*(I$3:I$55="P"))+SUMPRODUCT((P$3:P$55="")*(O$3:O$55="")*(N$3:N$55="")*(M$3:M$55="P")*(G$3:G$55=G5)*(J$3:J$55&gt;J5)*(I$3:I$55="P"))+1,"")))))</f>
        <v/>
      </c>
      <c r="B5" s="1" cm="1">
        <f t="array" ref="B5">IF(P5&lt;&gt;"",SUMPRODUCT((P$3:P$55&lt;&gt;"")*(G$3:G$55=G5)*(J$3:J$55&gt;J5))+1,IF(O5&lt;&gt;"",SUMPRODUCT((O$3:O$55&lt;&gt;"")*(P$3:P$55="")*(G$3:G$55=G5)*(J$3:J$55&gt;J5))+SUMPRODUCT((P$3:P$55&lt;&gt;"")*(G$3:G$55=G5))+1,IF(N5&lt;&gt;"",SUMPRODUCT((N$3:N$55&lt;&gt;"")*(G$3:G$55=G5)*(J$3:J$55&gt;J5))+1,IF(M5="P",SUMPRODUCT((O$3:O$55&lt;&gt;"")*(P$3:P$55="")*(G$3:G$55=G5))+SUMPRODUCT((P$3:P$55&lt;&gt;"")*(G$3:G$55=G5))+SUMPRODUCT((N$3:N$55&lt;&gt;"")*(G$3:G$55=G5))+SUMPRODUCT((P$3:P$55="")*(O$3:O$55="")*(N$3:N$55="")*(M$3:M$55="P")*(G$3:G$55=G5)*(J$3:J$55&gt;J5))+1,""))))</f>
        <v>3</v>
      </c>
      <c r="C5" s="36" t="s">
        <v>217</v>
      </c>
      <c r="D5" s="51" t="str">
        <f>IF(E5="","",VLOOKUP(E5,'Coaching Points'!A:B,2,0))</f>
        <v>NL</v>
      </c>
      <c r="E5" s="36" t="s">
        <v>218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127</v>
      </c>
      <c r="I5" s="47"/>
      <c r="J5" s="4">
        <f>IF(G5="17-21",S5,R5)+IF(OR(H5="Junior",H5="Senior"),0.0002,IF(OR(H5="L7",H5="L6"),0.0001,0))+IF(G5="17-21",MAX(AA5,AC5,AF5),AE5)*0.0000001</f>
        <v>53.670100000000005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Q5" s="52" t="str">
        <f>IF(A5&lt;5,IF(_xlfn.MAXIFS(A:A,G:G,G5)&gt;3,5-A5,_xlfn.MAXIFS(A:A,G:G,G5)+1-A5),"")</f>
        <v/>
      </c>
      <c r="R5" s="4">
        <f>MAX(X5,AE5)</f>
        <v>96.32</v>
      </c>
      <c r="S5" s="4">
        <f>MAX(T5,V5,Y5,AA5,AC5,AF5)</f>
        <v>53.67</v>
      </c>
      <c r="T5" s="33">
        <v>43.66</v>
      </c>
      <c r="U5" s="41">
        <v>2.9000000000000004</v>
      </c>
      <c r="V5" s="34">
        <v>52.660000000000004</v>
      </c>
      <c r="W5" s="41">
        <v>14.000000000000002</v>
      </c>
      <c r="X5" s="4">
        <f>IF(H5="Senior",MAX(T5,V5),T5+V5)</f>
        <v>96.32</v>
      </c>
      <c r="Y5" s="34">
        <v>53.67</v>
      </c>
      <c r="Z5" s="41">
        <v>13.8</v>
      </c>
      <c r="AA5" s="33"/>
      <c r="AB5" s="41"/>
      <c r="AC5" s="34"/>
      <c r="AD5" s="41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$55&lt;&gt;"")*(G$3:G$55=G6)*(J$3:J$55&gt;J6)*(I$3:I$55="P"))+1,IF(O6&lt;&gt;"",SUMPRODUCT((O$3:O$55&lt;&gt;"")*(P$3:P$55="")*(G$3:G$55=G6)*(J$3:J$55&gt;J6)*(I$3:I$55="P"))+SUMPRODUCT((P$3:P$55&lt;&gt;"")*(G$3:G$55=G6))+1,IF(N6&lt;&gt;"",SUMPRODUCT((N$3:N$55&lt;&gt;"")*(G$3:G$55=G6)*(J$3:J$55&gt;J6)*(I$3:I$55="P"))+1,IF(M6="P",SUMPRODUCT((O$3:O$55&lt;&gt;"")*(P$3:P$55="")*(G$3:G$55=G6)*(I$3:I$55="P"))+SUMPRODUCT((P$3:P$55&lt;&gt;"")*(G$3:G$55=G6)*(I$3:I$55="P"))+SUMPRODUCT((N$3:N$55&lt;&gt;"")*(G$3:G$55=G6)*(I$3:I$55="P"))+SUMPRODUCT((P$3:P$55="")*(O$3:O$55="")*(N$3:N$55="")*(M$3:M$55="P")*(G$3:G$55=G6)*(J$3:J$55&gt;J6)*(I$3:I$55="P"))+1,"")))))</f>
        <v/>
      </c>
      <c r="B6" s="1" cm="1">
        <f t="array" ref="B6">IF(P6&lt;&gt;"",SUMPRODUCT((P$3:P$55&lt;&gt;"")*(G$3:G$55=G6)*(J$3:J$55&gt;J6))+1,IF(O6&lt;&gt;"",SUMPRODUCT((O$3:O$55&lt;&gt;"")*(P$3:P$55="")*(G$3:G$55=G6)*(J$3:J$55&gt;J6))+SUMPRODUCT((P$3:P$55&lt;&gt;"")*(G$3:G$55=G6))+1,IF(N6&lt;&gt;"",SUMPRODUCT((N$3:N$55&lt;&gt;"")*(G$3:G$55=G6)*(J$3:J$55&gt;J6))+1,IF(M6="P",SUMPRODUCT((O$3:O$55&lt;&gt;"")*(P$3:P$55="")*(G$3:G$55=G6))+SUMPRODUCT((P$3:P$55&lt;&gt;"")*(G$3:G$55=G6))+SUMPRODUCT((N$3:N$55&lt;&gt;"")*(G$3:G$55=G6))+SUMPRODUCT((P$3:P$55="")*(O$3:O$55="")*(N$3:N$55="")*(M$3:M$55="P")*(G$3:G$55=G6)*(J$3:J$55&gt;J6))+1,""))))</f>
        <v>4</v>
      </c>
      <c r="C6" s="36" t="s">
        <v>238</v>
      </c>
      <c r="D6" s="51" t="str">
        <f>IF(E6="","",VLOOKUP(E6,'Coaching Points'!A:B,2,0))</f>
        <v>QC</v>
      </c>
      <c r="E6" s="36" t="s">
        <v>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181</v>
      </c>
      <c r="I6" s="47"/>
      <c r="J6" s="4">
        <f>IF(G6="17-21",S6,R6)+IF(OR(H6="Junior",H6="Senior"),0.0002,IF(OR(H6="L7",H6="L6"),0.0001,0))+IF(G6="17-21",MAX(AA6,AC6,AF6),AE6)*0.0000001</f>
        <v>53.040200000000006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52" t="str">
        <f>IF(A6&lt;5,IF(_xlfn.MAXIFS(A:A,G:G,G6)&gt;3,5-A6,_xlfn.MAXIFS(A:A,G:G,G6)+1-A6),"")</f>
        <v/>
      </c>
      <c r="R6" s="4">
        <f>MAX(X6,AE6)</f>
        <v>53.040000000000006</v>
      </c>
      <c r="S6" s="4">
        <f>MAX(T6,V6,Y6,AA6,AC6,AF6)</f>
        <v>53.040000000000006</v>
      </c>
      <c r="T6" s="33">
        <v>53.040000000000006</v>
      </c>
      <c r="U6" s="41">
        <v>13.500000000000002</v>
      </c>
      <c r="V6" s="34">
        <v>49.41</v>
      </c>
      <c r="W6" s="41">
        <v>12.5</v>
      </c>
      <c r="X6" s="4">
        <f>IF(H6="Senior",MAX(T6,V6),T6+V6)</f>
        <v>53.040000000000006</v>
      </c>
      <c r="Y6" s="34">
        <v>21.39</v>
      </c>
      <c r="Z6" s="41">
        <v>5.6000000000000005</v>
      </c>
      <c r="AA6" s="33"/>
      <c r="AB6" s="41"/>
      <c r="AC6" s="34"/>
      <c r="AD6" s="41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$55&lt;&gt;"")*(G$3:G$55=G7)*(J$3:J$55&gt;J7)*(I$3:I$55="P"))+1,IF(O7&lt;&gt;"",SUMPRODUCT((O$3:O$55&lt;&gt;"")*(P$3:P$55="")*(G$3:G$55=G7)*(J$3:J$55&gt;J7)*(I$3:I$55="P"))+SUMPRODUCT((P$3:P$55&lt;&gt;"")*(G$3:G$55=G7))+1,IF(N7&lt;&gt;"",SUMPRODUCT((N$3:N$55&lt;&gt;"")*(G$3:G$55=G7)*(J$3:J$55&gt;J7)*(I$3:I$55="P"))+1,IF(M7="P",SUMPRODUCT((O$3:O$55&lt;&gt;"")*(P$3:P$55="")*(G$3:G$55=G7)*(I$3:I$55="P"))+SUMPRODUCT((P$3:P$55&lt;&gt;"")*(G$3:G$55=G7)*(I$3:I$55="P"))+SUMPRODUCT((N$3:N$55&lt;&gt;"")*(G$3:G$55=G7)*(I$3:I$55="P"))+SUMPRODUCT((P$3:P$55="")*(O$3:O$55="")*(N$3:N$55="")*(M$3:M$55="P")*(G$3:G$55=G7)*(J$3:J$55&gt;J7)*(I$3:I$55="P"))+1,"")))))</f>
        <v/>
      </c>
      <c r="B7" s="1" cm="1">
        <f t="array" ref="B7">IF(P7&lt;&gt;"",SUMPRODUCT((P$3:P$55&lt;&gt;"")*(G$3:G$55=G7)*(J$3:J$55&gt;J7))+1,IF(O7&lt;&gt;"",SUMPRODUCT((O$3:O$55&lt;&gt;"")*(P$3:P$55="")*(G$3:G$55=G7)*(J$3:J$55&gt;J7))+SUMPRODUCT((P$3:P$55&lt;&gt;"")*(G$3:G$55=G7))+1,IF(N7&lt;&gt;"",SUMPRODUCT((N$3:N$55&lt;&gt;"")*(G$3:G$55=G7)*(J$3:J$55&gt;J7))+1,IF(M7="P",SUMPRODUCT((O$3:O$55&lt;&gt;"")*(P$3:P$55="")*(G$3:G$55=G7))+SUMPRODUCT((P$3:P$55&lt;&gt;"")*(G$3:G$55=G7))+SUMPRODUCT((N$3:N$55&lt;&gt;"")*(G$3:G$55=G7))+SUMPRODUCT((P$3:P$55="")*(O$3:O$55="")*(N$3:N$55="")*(M$3:M$55="P")*(G$3:G$55=G7)*(J$3:J$55&gt;J7))+1,""))))</f>
        <v>5</v>
      </c>
      <c r="C7" s="36" t="s">
        <v>236</v>
      </c>
      <c r="D7" s="51" t="str">
        <f>IF(E7="","",VLOOKUP(E7,'Coaching Points'!A:B,2,0))</f>
        <v>QC</v>
      </c>
      <c r="E7" s="36" t="s">
        <v>3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181</v>
      </c>
      <c r="I7" s="47"/>
      <c r="J7" s="4">
        <f>IF(G7="17-21",S7,R7)+IF(OR(H7="Junior",H7="Senior"),0.0002,IF(OR(H7="L7",H7="L6"),0.0001,0))+IF(G7="17-21",MAX(AA7,AC7,AF7),AE7)*0.0000001</f>
        <v>52.790200000000006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52" t="str">
        <f>IF(A7&lt;5,IF(_xlfn.MAXIFS(A:A,G:G,G7)&gt;3,5-A7,_xlfn.MAXIFS(A:A,G:G,G7)+1-A7),"")</f>
        <v/>
      </c>
      <c r="R7" s="4">
        <f>MAX(X7,AE7)</f>
        <v>52.790000000000006</v>
      </c>
      <c r="S7" s="4">
        <f>MAX(T7,V7,Y7,AA7,AC7,AF7)</f>
        <v>52.790000000000006</v>
      </c>
      <c r="T7" s="33">
        <v>49.44</v>
      </c>
      <c r="U7" s="41">
        <v>12.6</v>
      </c>
      <c r="V7" s="34">
        <v>52.790000000000006</v>
      </c>
      <c r="W7" s="41">
        <v>13.5</v>
      </c>
      <c r="X7" s="4">
        <f>IF(H7="Senior",MAX(T7,V7),T7+V7)</f>
        <v>52.790000000000006</v>
      </c>
      <c r="Y7" s="34">
        <v>48.839999999999996</v>
      </c>
      <c r="Z7" s="41">
        <v>12.6</v>
      </c>
      <c r="AA7" s="33"/>
      <c r="AB7" s="41"/>
      <c r="AC7" s="34"/>
      <c r="AD7" s="41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$55&lt;&gt;"")*(G$3:G$55=G8)*(J$3:J$55&gt;J8)*(I$3:I$55="P"))+1,IF(O8&lt;&gt;"",SUMPRODUCT((O$3:O$55&lt;&gt;"")*(P$3:P$55="")*(G$3:G$55=G8)*(J$3:J$55&gt;J8)*(I$3:I$55="P"))+SUMPRODUCT((P$3:P$55&lt;&gt;"")*(G$3:G$55=G8))+1,IF(N8&lt;&gt;"",SUMPRODUCT((N$3:N$55&lt;&gt;"")*(G$3:G$55=G8)*(J$3:J$55&gt;J8)*(I$3:I$55="P"))+1,IF(M8="P",SUMPRODUCT((O$3:O$55&lt;&gt;"")*(P$3:P$55="")*(G$3:G$55=G8)*(I$3:I$55="P"))+SUMPRODUCT((P$3:P$55&lt;&gt;"")*(G$3:G$55=G8)*(I$3:I$55="P"))+SUMPRODUCT((N$3:N$55&lt;&gt;"")*(G$3:G$55=G8)*(I$3:I$55="P"))+SUMPRODUCT((P$3:P$55="")*(O$3:O$55="")*(N$3:N$55="")*(M$3:M$55="P")*(G$3:G$55=G8)*(J$3:J$55&gt;J8)*(I$3:I$55="P"))+1,"")))))</f>
        <v/>
      </c>
      <c r="B8" s="1" t="str" cm="1">
        <f t="array" ref="B8">IF(P8&lt;&gt;"",SUMPRODUCT((P$3:P$55&lt;&gt;"")*(G$3:G$55=G8)*(J$3:J$55&gt;J8))+1,IF(O8&lt;&gt;"",SUMPRODUCT((O$3:O$55&lt;&gt;"")*(P$3:P$55="")*(G$3:G$55=G8)*(J$3:J$55&gt;J8))+SUMPRODUCT((P$3:P$55&lt;&gt;"")*(G$3:G$55=G8))+1,IF(N8&lt;&gt;"",SUMPRODUCT((N$3:N$55&lt;&gt;"")*(G$3:G$55=G8)*(J$3:J$55&gt;J8))+1,IF(M8="P",SUMPRODUCT((O$3:O$55&lt;&gt;"")*(P$3:P$55="")*(G$3:G$55=G8))+SUMPRODUCT((P$3:P$55&lt;&gt;"")*(G$3:G$55=G8))+SUMPRODUCT((N$3:N$55&lt;&gt;"")*(G$3:G$55=G8))+SUMPRODUCT((P$3:P$55="")*(O$3:O$55="")*(N$3:N$55="")*(M$3:M$55="P")*(G$3:G$55=G8)*(J$3:J$55&gt;J8))+1,""))))</f>
        <v/>
      </c>
      <c r="C8" s="36" t="s">
        <v>235</v>
      </c>
      <c r="D8" s="51" t="str">
        <f>IF(E8="","",VLOOKUP(E8,'Coaching Points'!A:B,2,0))</f>
        <v>ON</v>
      </c>
      <c r="E8" s="36" t="s">
        <v>49</v>
      </c>
      <c r="F8" s="35">
        <v>2003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181</v>
      </c>
      <c r="I8" s="47"/>
      <c r="J8" s="4">
        <f>IF(G8="17-21",S8,R8)+IF(OR(H8="Junior",H8="Senior"),0.0002,IF(OR(H8="L7",H8="L6"),0.0001,0))+IF(G8="17-21",MAX(AA8,AC8,AF8),AE8)*0.0000001</f>
        <v>51.770199999999996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/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Q8" s="52" t="str">
        <f>IF(A8&lt;5,IF(_xlfn.MAXIFS(A:A,G:G,G8)&gt;3,5-A8,_xlfn.MAXIFS(A:A,G:G,G8)+1-A8),"")</f>
        <v/>
      </c>
      <c r="R8" s="4">
        <f>MAX(X8,AE8)</f>
        <v>51.769999999999996</v>
      </c>
      <c r="S8" s="4">
        <f>MAX(T8,V8,Y8,AA8,AC8,AF8)</f>
        <v>51.769999999999996</v>
      </c>
      <c r="T8" s="33">
        <v>51.769999999999996</v>
      </c>
      <c r="U8" s="41">
        <v>14.599999999999998</v>
      </c>
      <c r="V8" s="34">
        <v>43.150000000000006</v>
      </c>
      <c r="W8" s="41">
        <v>11.9</v>
      </c>
      <c r="X8" s="4">
        <f>IF(H8="Senior",MAX(T8,V8),T8+V8)</f>
        <v>51.769999999999996</v>
      </c>
      <c r="Y8" s="34">
        <v>51.68</v>
      </c>
      <c r="Z8" s="41">
        <v>14.2</v>
      </c>
      <c r="AA8" s="33"/>
      <c r="AB8" s="41"/>
      <c r="AC8" s="34"/>
      <c r="AD8" s="41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$55&lt;&gt;"")*(G$3:G$55=G9)*(J$3:J$55&gt;J9)*(I$3:I$55="P"))+1,IF(O9&lt;&gt;"",SUMPRODUCT((O$3:O$55&lt;&gt;"")*(P$3:P$55="")*(G$3:G$55=G9)*(J$3:J$55&gt;J9)*(I$3:I$55="P"))+SUMPRODUCT((P$3:P$55&lt;&gt;"")*(G$3:G$55=G9))+1,IF(N9&lt;&gt;"",SUMPRODUCT((N$3:N$55&lt;&gt;"")*(G$3:G$55=G9)*(J$3:J$55&gt;J9)*(I$3:I$55="P"))+1,IF(M9="P",SUMPRODUCT((O$3:O$55&lt;&gt;"")*(P$3:P$55="")*(G$3:G$55=G9)*(I$3:I$55="P"))+SUMPRODUCT((P$3:P$55&lt;&gt;"")*(G$3:G$55=G9)*(I$3:I$55="P"))+SUMPRODUCT((N$3:N$55&lt;&gt;"")*(G$3:G$55=G9)*(I$3:I$55="P"))+SUMPRODUCT((P$3:P$55="")*(O$3:O$55="")*(N$3:N$55="")*(M$3:M$55="P")*(G$3:G$55=G9)*(J$3:J$55&gt;J9)*(I$3:I$55="P"))+1,"")))))</f>
        <v/>
      </c>
      <c r="B9" s="1" t="str" cm="1">
        <f t="array" ref="B9">IF(P9&lt;&gt;"",SUMPRODUCT((P$3:P$55&lt;&gt;"")*(G$3:G$55=G9)*(J$3:J$55&gt;J9))+1,IF(O9&lt;&gt;"",SUMPRODUCT((O$3:O$55&lt;&gt;"")*(P$3:P$55="")*(G$3:G$55=G9)*(J$3:J$55&gt;J9))+SUMPRODUCT((P$3:P$55&lt;&gt;"")*(G$3:G$55=G9))+1,IF(N9&lt;&gt;"",SUMPRODUCT((N$3:N$55&lt;&gt;"")*(G$3:G$55=G9)*(J$3:J$55&gt;J9))+1,IF(M9="P",SUMPRODUCT((O$3:O$55&lt;&gt;"")*(P$3:P$55="")*(G$3:G$55=G9))+SUMPRODUCT((P$3:P$55&lt;&gt;"")*(G$3:G$55=G9))+SUMPRODUCT((N$3:N$55&lt;&gt;"")*(G$3:G$55=G9))+SUMPRODUCT((P$3:P$55="")*(O$3:O$55="")*(N$3:N$55="")*(M$3:M$55="P")*(G$3:G$55=G9)*(J$3:J$55&gt;J9))+1,""))))</f>
        <v/>
      </c>
      <c r="C9" s="36" t="s">
        <v>219</v>
      </c>
      <c r="D9" s="51" t="str">
        <f>IF(E9="","",VLOOKUP(E9,'Coaching Points'!A:B,2,0))</f>
        <v>AB</v>
      </c>
      <c r="E9" s="36" t="s">
        <v>29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127</v>
      </c>
      <c r="I9" s="47"/>
      <c r="J9" s="4">
        <f>IF(G9="17-21",S9,R9)+IF(OR(H9="Junior",H9="Senior"),0.0002,IF(OR(H9="L7",H9="L6"),0.0001,0))+IF(G9="17-21",MAX(AA9,AC9,AF9),AE9)*0.0000001</f>
        <v>51.240099999999998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52" t="str">
        <f>IF(A9&lt;5,IF(_xlfn.MAXIFS(A:A,G:G,G9)&gt;3,5-A9,_xlfn.MAXIFS(A:A,G:G,G9)+1-A9),"")</f>
        <v/>
      </c>
      <c r="R9" s="4">
        <f>MAX(X9,AE9)</f>
        <v>94.149999999999991</v>
      </c>
      <c r="S9" s="4">
        <f>MAX(T9,V9,Y9,AA9,AC9,AF9)</f>
        <v>51.239999999999995</v>
      </c>
      <c r="T9" s="33">
        <v>42.91</v>
      </c>
      <c r="U9" s="41">
        <v>1.2999999999999998</v>
      </c>
      <c r="V9" s="34">
        <v>51.239999999999995</v>
      </c>
      <c r="W9" s="41">
        <v>12.299999999999999</v>
      </c>
      <c r="X9" s="4">
        <f>IF(H9="Senior",MAX(T9,V9),T9+V9)</f>
        <v>94.149999999999991</v>
      </c>
      <c r="Y9" s="34">
        <v>50.569999999999993</v>
      </c>
      <c r="Z9" s="41">
        <v>12.299999999999999</v>
      </c>
      <c r="AA9" s="33"/>
      <c r="AB9" s="41"/>
      <c r="AC9" s="34"/>
      <c r="AD9" s="41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$55&lt;&gt;"")*(G$3:G$55=G10)*(J$3:J$55&gt;J10)*(I$3:I$55="P"))+1,IF(O10&lt;&gt;"",SUMPRODUCT((O$3:O$55&lt;&gt;"")*(P$3:P$55="")*(G$3:G$55=G10)*(J$3:J$55&gt;J10)*(I$3:I$55="P"))+SUMPRODUCT((P$3:P$55&lt;&gt;"")*(G$3:G$55=G10))+1,IF(N10&lt;&gt;"",SUMPRODUCT((N$3:N$55&lt;&gt;"")*(G$3:G$55=G10)*(J$3:J$55&gt;J10)*(I$3:I$55="P"))+1,IF(M10="P",SUMPRODUCT((O$3:O$55&lt;&gt;"")*(P$3:P$55="")*(G$3:G$55=G10)*(I$3:I$55="P"))+SUMPRODUCT((P$3:P$55&lt;&gt;"")*(G$3:G$55=G10)*(I$3:I$55="P"))+SUMPRODUCT((N$3:N$55&lt;&gt;"")*(G$3:G$55=G10)*(I$3:I$55="P"))+SUMPRODUCT((P$3:P$55="")*(O$3:O$55="")*(N$3:N$55="")*(M$3:M$55="P")*(G$3:G$55=G10)*(J$3:J$55&gt;J10)*(I$3:I$55="P"))+1,"")))))</f>
        <v/>
      </c>
      <c r="B10" s="1" t="str" cm="1">
        <f t="array" ref="B10">IF(P10&lt;&gt;"",SUMPRODUCT((P$3:P$55&lt;&gt;"")*(G$3:G$55=G10)*(J$3:J$55&gt;J10))+1,IF(O10&lt;&gt;"",SUMPRODUCT((O$3:O$55&lt;&gt;"")*(P$3:P$55="")*(G$3:G$55=G10)*(J$3:J$55&gt;J10))+SUMPRODUCT((P$3:P$55&lt;&gt;"")*(G$3:G$55=G10))+1,IF(N10&lt;&gt;"",SUMPRODUCT((N$3:N$55&lt;&gt;"")*(G$3:G$55=G10)*(J$3:J$55&gt;J10))+1,IF(M10="P",SUMPRODUCT((O$3:O$55&lt;&gt;"")*(P$3:P$55="")*(G$3:G$55=G10))+SUMPRODUCT((P$3:P$55&lt;&gt;"")*(G$3:G$55=G10))+SUMPRODUCT((N$3:N$55&lt;&gt;"")*(G$3:G$55=G10))+SUMPRODUCT((P$3:P$55="")*(O$3:O$55="")*(N$3:N$55="")*(M$3:M$55="P")*(G$3:G$55=G10)*(J$3:J$55&gt;J10))+1,""))))</f>
        <v/>
      </c>
      <c r="C10" s="36" t="s">
        <v>225</v>
      </c>
      <c r="D10" s="51" t="str">
        <f>IF(E10="","",VLOOKUP(E10,'Coaching Points'!A:B,2,0))</f>
        <v>ON</v>
      </c>
      <c r="E10" s="36" t="s">
        <v>152</v>
      </c>
      <c r="F10" s="35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127</v>
      </c>
      <c r="I10" s="47"/>
      <c r="J10" s="4">
        <f>IF(G10="17-21",S10,R10)+IF(OR(H10="Junior",H10="Senior"),0.0002,IF(OR(H10="L7",H10="L6"),0.0001,0))+IF(G10="17-21",MAX(AA10,AC10,AF10),AE10)*0.0000001</f>
        <v>50.9801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52" t="str">
        <f>IF(A10&lt;5,IF(_xlfn.MAXIFS(A:A,G:G,G10)&gt;3,5-A10,_xlfn.MAXIFS(A:A,G:G,G10)+1-A10),"")</f>
        <v/>
      </c>
      <c r="R10" s="4">
        <f>MAX(X10,AE10)</f>
        <v>94.009999999999991</v>
      </c>
      <c r="S10" s="4">
        <f>MAX(T10,V10,Y10,AA10,AC10,AF10)</f>
        <v>50.98</v>
      </c>
      <c r="T10" s="33">
        <v>43.03</v>
      </c>
      <c r="U10" s="41">
        <v>2.7</v>
      </c>
      <c r="V10" s="34">
        <v>50.98</v>
      </c>
      <c r="W10" s="41">
        <v>11.2</v>
      </c>
      <c r="X10" s="4">
        <f>IF(H10="Senior",MAX(T10,V10),T10+V10)</f>
        <v>94.009999999999991</v>
      </c>
      <c r="Y10" s="34">
        <v>15.780000000000001</v>
      </c>
      <c r="Z10" s="41">
        <v>3.8</v>
      </c>
      <c r="AA10" s="33"/>
      <c r="AB10" s="41"/>
      <c r="AC10" s="34"/>
      <c r="AD10" s="41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$55&lt;&gt;"")*(G$3:G$55=G11)*(J$3:J$55&gt;J11)*(I$3:I$55="P"))+1,IF(O11&lt;&gt;"",SUMPRODUCT((O$3:O$55&lt;&gt;"")*(P$3:P$55="")*(G$3:G$55=G11)*(J$3:J$55&gt;J11)*(I$3:I$55="P"))+SUMPRODUCT((P$3:P$55&lt;&gt;"")*(G$3:G$55=G11))+1,IF(N11&lt;&gt;"",SUMPRODUCT((N$3:N$55&lt;&gt;"")*(G$3:G$55=G11)*(J$3:J$55&gt;J11)*(I$3:I$55="P"))+1,IF(M11="P",SUMPRODUCT((O$3:O$55&lt;&gt;"")*(P$3:P$55="")*(G$3:G$55=G11)*(I$3:I$55="P"))+SUMPRODUCT((P$3:P$55&lt;&gt;"")*(G$3:G$55=G11)*(I$3:I$55="P"))+SUMPRODUCT((N$3:N$55&lt;&gt;"")*(G$3:G$55=G11)*(I$3:I$55="P"))+SUMPRODUCT((P$3:P$55="")*(O$3:O$55="")*(N$3:N$55="")*(M$3:M$55="P")*(G$3:G$55=G11)*(J$3:J$55&gt;J11)*(I$3:I$55="P"))+1,"")))))</f>
        <v/>
      </c>
      <c r="B11" s="1" t="str" cm="1">
        <f t="array" ref="B11">IF(P11&lt;&gt;"",SUMPRODUCT((P$3:P$55&lt;&gt;"")*(G$3:G$55=G11)*(J$3:J$55&gt;J11))+1,IF(O11&lt;&gt;"",SUMPRODUCT((O$3:O$55&lt;&gt;"")*(P$3:P$55="")*(G$3:G$55=G11)*(J$3:J$55&gt;J11))+SUMPRODUCT((P$3:P$55&lt;&gt;"")*(G$3:G$55=G11))+1,IF(N11&lt;&gt;"",SUMPRODUCT((N$3:N$55&lt;&gt;"")*(G$3:G$55=G11)*(J$3:J$55&gt;J11))+1,IF(M11="P",SUMPRODUCT((O$3:O$55&lt;&gt;"")*(P$3:P$55="")*(G$3:G$55=G11))+SUMPRODUCT((P$3:P$55&lt;&gt;"")*(G$3:G$55=G11))+SUMPRODUCT((N$3:N$55&lt;&gt;"")*(G$3:G$55=G11))+SUMPRODUCT((P$3:P$55="")*(O$3:O$55="")*(N$3:N$55="")*(M$3:M$55="P")*(G$3:G$55=G11)*(J$3:J$55&gt;J11))+1,""))))</f>
        <v/>
      </c>
      <c r="C11" s="36" t="s">
        <v>202</v>
      </c>
      <c r="D11" s="51" t="str">
        <f>IF(E11="","",VLOOKUP(E11,'Coaching Points'!A:B,2,0))</f>
        <v>BC</v>
      </c>
      <c r="E11" s="36" t="s">
        <v>38</v>
      </c>
      <c r="F11" s="35">
        <v>2005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125</v>
      </c>
      <c r="I11" s="47"/>
      <c r="J11" s="4">
        <f>IF(G11="17-21",S11,R11)+IF(OR(H11="Junior",H11="Senior"),0.0002,IF(OR(H11="L7",H11="L6"),0.0001,0))+IF(G11="17-21",MAX(AA11,AC11,AF11),AE11)*0.0000001</f>
        <v>49.400000000000006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52" t="str">
        <f>IF(A11&lt;5,IF(_xlfn.MAXIFS(A:A,G:G,G11)&gt;3,5-A11,_xlfn.MAXIFS(A:A,G:G,G11)+1-A11),"")</f>
        <v/>
      </c>
      <c r="R11" s="4">
        <f>MAX(X11,AE11)</f>
        <v>90.860000000000014</v>
      </c>
      <c r="S11" s="4">
        <f>MAX(T11,V11,Y11,AA11,AC11,AF11)</f>
        <v>49.400000000000006</v>
      </c>
      <c r="T11" s="33">
        <v>41.46</v>
      </c>
      <c r="U11" s="41">
        <v>0</v>
      </c>
      <c r="V11" s="34">
        <v>49.400000000000006</v>
      </c>
      <c r="W11" s="41">
        <v>9.8999999999999986</v>
      </c>
      <c r="X11" s="4">
        <f>IF(H11="Senior",MAX(T11,V11),T11+V11)</f>
        <v>90.860000000000014</v>
      </c>
      <c r="Y11" s="34">
        <v>48.540000000000006</v>
      </c>
      <c r="Z11" s="41">
        <v>10.199999999999999</v>
      </c>
      <c r="AA11" s="33"/>
      <c r="AB11" s="41"/>
      <c r="AC11" s="34"/>
      <c r="AD11" s="41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$55&lt;&gt;"")*(G$3:G$55=G12)*(J$3:J$55&gt;J12)*(I$3:I$55="P"))+1,IF(O12&lt;&gt;"",SUMPRODUCT((O$3:O$55&lt;&gt;"")*(P$3:P$55="")*(G$3:G$55=G12)*(J$3:J$55&gt;J12)*(I$3:I$55="P"))+SUMPRODUCT((P$3:P$55&lt;&gt;"")*(G$3:G$55=G12))+1,IF(N12&lt;&gt;"",SUMPRODUCT((N$3:N$55&lt;&gt;"")*(G$3:G$55=G12)*(J$3:J$55&gt;J12)*(I$3:I$55="P"))+1,IF(M12="P",SUMPRODUCT((O$3:O$55&lt;&gt;"")*(P$3:P$55="")*(G$3:G$55=G12)*(I$3:I$55="P"))+SUMPRODUCT((P$3:P$55&lt;&gt;"")*(G$3:G$55=G12)*(I$3:I$55="P"))+SUMPRODUCT((N$3:N$55&lt;&gt;"")*(G$3:G$55=G12)*(I$3:I$55="P"))+SUMPRODUCT((P$3:P$55="")*(O$3:O$55="")*(N$3:N$55="")*(M$3:M$55="P")*(G$3:G$55=G12)*(J$3:J$55&gt;J12)*(I$3:I$55="P"))+1,"")))))</f>
        <v/>
      </c>
      <c r="B12" s="1" t="str" cm="1">
        <f t="array" ref="B12">IF(P12&lt;&gt;"",SUMPRODUCT((P$3:P$55&lt;&gt;"")*(G$3:G$55=G12)*(J$3:J$55&gt;J12))+1,IF(O12&lt;&gt;"",SUMPRODUCT((O$3:O$55&lt;&gt;"")*(P$3:P$55="")*(G$3:G$55=G12)*(J$3:J$55&gt;J12))+SUMPRODUCT((P$3:P$55&lt;&gt;"")*(G$3:G$55=G12))+1,IF(N12&lt;&gt;"",SUMPRODUCT((N$3:N$55&lt;&gt;"")*(G$3:G$55=G12)*(J$3:J$55&gt;J12))+1,IF(M12="P",SUMPRODUCT((O$3:O$55&lt;&gt;"")*(P$3:P$55="")*(G$3:G$55=G12))+SUMPRODUCT((P$3:P$55&lt;&gt;"")*(G$3:G$55=G12))+SUMPRODUCT((N$3:N$55&lt;&gt;"")*(G$3:G$55=G12))+SUMPRODUCT((P$3:P$55="")*(O$3:O$55="")*(N$3:N$55="")*(M$3:M$55="P")*(G$3:G$55=G12)*(J$3:J$55&gt;J12))+1,""))))</f>
        <v/>
      </c>
      <c r="C12" s="36" t="s">
        <v>222</v>
      </c>
      <c r="D12" s="51" t="str">
        <f>IF(E12="","",VLOOKUP(E12,'Coaching Points'!A:B,2,0))</f>
        <v>BC</v>
      </c>
      <c r="E12" s="36" t="s">
        <v>38</v>
      </c>
      <c r="F12" s="35">
        <v>2002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127</v>
      </c>
      <c r="I12" s="47"/>
      <c r="J12" s="4">
        <f>IF(G12="17-21",S12,R12)+IF(OR(H12="Junior",H12="Senior"),0.0002,IF(OR(H12="L7",H12="L6"),0.0001,0))+IF(G12="17-21",MAX(AA12,AC12,AF12),AE12)*0.0000001</f>
        <v>49.390100000000004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52" t="str">
        <f>IF(A12&lt;5,IF(_xlfn.MAXIFS(A:A,G:G,G12)&gt;3,5-A12,_xlfn.MAXIFS(A:A,G:G,G12)+1-A12),"")</f>
        <v/>
      </c>
      <c r="R12" s="4">
        <f>MAX(X12,AE12)</f>
        <v>91.05</v>
      </c>
      <c r="S12" s="4">
        <f>MAX(T12,V12,Y12,AA12,AC12,AF12)</f>
        <v>49.39</v>
      </c>
      <c r="T12" s="33">
        <v>41.66</v>
      </c>
      <c r="U12" s="41">
        <v>2</v>
      </c>
      <c r="V12" s="34">
        <v>49.39</v>
      </c>
      <c r="W12" s="41">
        <v>11.299999999999999</v>
      </c>
      <c r="X12" s="4">
        <f>IF(H12="Senior",MAX(T12,V12),T12+V12)</f>
        <v>91.05</v>
      </c>
      <c r="Y12" s="34">
        <v>45.71</v>
      </c>
      <c r="Z12" s="41">
        <v>10.6</v>
      </c>
      <c r="AA12" s="33"/>
      <c r="AB12" s="41"/>
      <c r="AC12" s="34"/>
      <c r="AD12" s="41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$55&lt;&gt;"")*(G$3:G$55=G13)*(J$3:J$55&gt;J13)*(I$3:I$55="P"))+1,IF(O13&lt;&gt;"",SUMPRODUCT((O$3:O$55&lt;&gt;"")*(P$3:P$55="")*(G$3:G$55=G13)*(J$3:J$55&gt;J13)*(I$3:I$55="P"))+SUMPRODUCT((P$3:P$55&lt;&gt;"")*(G$3:G$55=G13))+1,IF(N13&lt;&gt;"",SUMPRODUCT((N$3:N$55&lt;&gt;"")*(G$3:G$55=G13)*(J$3:J$55&gt;J13)*(I$3:I$55="P"))+1,IF(M13="P",SUMPRODUCT((O$3:O$55&lt;&gt;"")*(P$3:P$55="")*(G$3:G$55=G13)*(I$3:I$55="P"))+SUMPRODUCT((P$3:P$55&lt;&gt;"")*(G$3:G$55=G13)*(I$3:I$55="P"))+SUMPRODUCT((N$3:N$55&lt;&gt;"")*(G$3:G$55=G13)*(I$3:I$55="P"))+SUMPRODUCT((P$3:P$55="")*(O$3:O$55="")*(N$3:N$55="")*(M$3:M$55="P")*(G$3:G$55=G13)*(J$3:J$55&gt;J13)*(I$3:I$55="P"))+1,"")))))</f>
        <v/>
      </c>
      <c r="B13" s="1" t="str" cm="1">
        <f t="array" ref="B13">IF(P13&lt;&gt;"",SUMPRODUCT((P$3:P$55&lt;&gt;"")*(G$3:G$55=G13)*(J$3:J$55&gt;J13))+1,IF(O13&lt;&gt;"",SUMPRODUCT((O$3:O$55&lt;&gt;"")*(P$3:P$55="")*(G$3:G$55=G13)*(J$3:J$55&gt;J13))+SUMPRODUCT((P$3:P$55&lt;&gt;"")*(G$3:G$55=G13))+1,IF(N13&lt;&gt;"",SUMPRODUCT((N$3:N$55&lt;&gt;"")*(G$3:G$55=G13)*(J$3:J$55&gt;J13))+1,IF(M13="P",SUMPRODUCT((O$3:O$55&lt;&gt;"")*(P$3:P$55="")*(G$3:G$55=G13))+SUMPRODUCT((P$3:P$55&lt;&gt;"")*(G$3:G$55=G13))+SUMPRODUCT((N$3:N$55&lt;&gt;"")*(G$3:G$55=G13))+SUMPRODUCT((P$3:P$55="")*(O$3:O$55="")*(N$3:N$55="")*(M$3:M$55="P")*(G$3:G$55=G13)*(J$3:J$55&gt;J13))+1,""))))</f>
        <v/>
      </c>
      <c r="C13" s="36" t="s">
        <v>240</v>
      </c>
      <c r="D13" s="51" t="str">
        <f>IF(E13="","",VLOOKUP(E13,'Coaching Points'!A:B,2,0))</f>
        <v>NB</v>
      </c>
      <c r="E13" s="36" t="s">
        <v>50</v>
      </c>
      <c r="F13" s="35">
        <v>2001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181</v>
      </c>
      <c r="I13" s="47"/>
      <c r="J13" s="4">
        <f>IF(G13="17-21",S13,R13)+IF(OR(H13="Junior",H13="Senior"),0.0002,IF(OR(H13="L7",H13="L6"),0.0001,0))+IF(G13="17-21",MAX(AA13,AC13,AF13),AE13)*0.0000001</f>
        <v>49.160199999999996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52" t="str">
        <f>IF(A13&lt;5,IF(_xlfn.MAXIFS(A:A,G:G,G13)&gt;3,5-A13,_xlfn.MAXIFS(A:A,G:G,G13)+1-A13),"")</f>
        <v/>
      </c>
      <c r="R13" s="4">
        <f>MAX(X13,AE13)</f>
        <v>49.16</v>
      </c>
      <c r="S13" s="4">
        <f>MAX(T13,V13,Y13,AA13,AC13,AF13)</f>
        <v>49.16</v>
      </c>
      <c r="T13" s="33">
        <v>49.16</v>
      </c>
      <c r="U13" s="41">
        <v>12.299999999999997</v>
      </c>
      <c r="V13" s="34">
        <v>46.47</v>
      </c>
      <c r="W13" s="41">
        <v>12.999999999999998</v>
      </c>
      <c r="X13" s="4">
        <f>IF(H13="Senior",MAX(T13,V13),T13+V13)</f>
        <v>49.16</v>
      </c>
      <c r="Y13" s="34">
        <v>0</v>
      </c>
      <c r="Z13" s="41">
        <v>0</v>
      </c>
      <c r="AA13" s="33"/>
      <c r="AB13" s="41"/>
      <c r="AC13" s="34"/>
      <c r="AD13" s="41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$55&lt;&gt;"")*(G$3:G$55=G14)*(J$3:J$55&gt;J14)*(I$3:I$55="P"))+1,IF(O14&lt;&gt;"",SUMPRODUCT((O$3:O$55&lt;&gt;"")*(P$3:P$55="")*(G$3:G$55=G14)*(J$3:J$55&gt;J14)*(I$3:I$55="P"))+SUMPRODUCT((P$3:P$55&lt;&gt;"")*(G$3:G$55=G14))+1,IF(N14&lt;&gt;"",SUMPRODUCT((N$3:N$55&lt;&gt;"")*(G$3:G$55=G14)*(J$3:J$55&gt;J14)*(I$3:I$55="P"))+1,IF(M14="P",SUMPRODUCT((O$3:O$55&lt;&gt;"")*(P$3:P$55="")*(G$3:G$55=G14)*(I$3:I$55="P"))+SUMPRODUCT((P$3:P$55&lt;&gt;"")*(G$3:G$55=G14)*(I$3:I$55="P"))+SUMPRODUCT((N$3:N$55&lt;&gt;"")*(G$3:G$55=G14)*(I$3:I$55="P"))+SUMPRODUCT((P$3:P$55="")*(O$3:O$55="")*(N$3:N$55="")*(M$3:M$55="P")*(G$3:G$55=G14)*(J$3:J$55&gt;J14)*(I$3:I$55="P"))+1,"")))))</f>
        <v/>
      </c>
      <c r="B14" s="1" t="str" cm="1">
        <f t="array" ref="B14">IF(P14&lt;&gt;"",SUMPRODUCT((P$3:P$55&lt;&gt;"")*(G$3:G$55=G14)*(J$3:J$55&gt;J14))+1,IF(O14&lt;&gt;"",SUMPRODUCT((O$3:O$55&lt;&gt;"")*(P$3:P$55="")*(G$3:G$55=G14)*(J$3:J$55&gt;J14))+SUMPRODUCT((P$3:P$55&lt;&gt;"")*(G$3:G$55=G14))+1,IF(N14&lt;&gt;"",SUMPRODUCT((N$3:N$55&lt;&gt;"")*(G$3:G$55=G14)*(J$3:J$55&gt;J14))+1,IF(M14="P",SUMPRODUCT((O$3:O$55&lt;&gt;"")*(P$3:P$55="")*(G$3:G$55=G14))+SUMPRODUCT((P$3:P$55&lt;&gt;"")*(G$3:G$55=G14))+SUMPRODUCT((N$3:N$55&lt;&gt;"")*(G$3:G$55=G14))+SUMPRODUCT((P$3:P$55="")*(O$3:O$55="")*(N$3:N$55="")*(M$3:M$55="P")*(G$3:G$55=G14)*(J$3:J$55&gt;J14))+1,""))))</f>
        <v/>
      </c>
      <c r="C14" s="36" t="s">
        <v>224</v>
      </c>
      <c r="D14" s="51" t="str">
        <f>IF(E14="","",VLOOKUP(E14,'Coaching Points'!A:B,2,0))</f>
        <v>QC</v>
      </c>
      <c r="E14" s="36" t="s">
        <v>184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127</v>
      </c>
      <c r="I14" s="47"/>
      <c r="J14" s="4">
        <f>IF(G14="17-21",S14,R14)+IF(OR(H14="Junior",H14="Senior"),0.0002,IF(OR(H14="L7",H14="L6"),0.0001,0))+IF(G14="17-21",MAX(AA14,AC14,AF14),AE14)*0.0000001</f>
        <v>49.040099999999995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52" t="str">
        <f>IF(A14&lt;5,IF(_xlfn.MAXIFS(A:A,G:G,G14)&gt;3,5-A14,_xlfn.MAXIFS(A:A,G:G,G14)+1-A14),"")</f>
        <v/>
      </c>
      <c r="R14" s="4">
        <f>MAX(X14,AE14)</f>
        <v>91.359999999999985</v>
      </c>
      <c r="S14" s="4">
        <f>MAX(T14,V14,Y14,AA14,AC14,AF14)</f>
        <v>49.039999999999992</v>
      </c>
      <c r="T14" s="33">
        <v>42.32</v>
      </c>
      <c r="U14" s="41">
        <v>1.7000000000000002</v>
      </c>
      <c r="V14" s="34">
        <v>49.039999999999992</v>
      </c>
      <c r="W14" s="41">
        <v>9.1999999999999993</v>
      </c>
      <c r="X14" s="4">
        <f>IF(H14="Senior",MAX(T14,V14),T14+V14)</f>
        <v>91.359999999999985</v>
      </c>
      <c r="Y14" s="34">
        <v>29.509999999999998</v>
      </c>
      <c r="Z14" s="41">
        <v>5.8999999999999995</v>
      </c>
      <c r="AA14" s="33"/>
      <c r="AB14" s="41"/>
      <c r="AC14" s="34"/>
      <c r="AD14" s="41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$55&lt;&gt;"")*(G$3:G$55=G15)*(J$3:J$55&gt;J15)*(I$3:I$55="P"))+1,IF(O15&lt;&gt;"",SUMPRODUCT((O$3:O$55&lt;&gt;"")*(P$3:P$55="")*(G$3:G$55=G15)*(J$3:J$55&gt;J15)*(I$3:I$55="P"))+SUMPRODUCT((P$3:P$55&lt;&gt;"")*(G$3:G$55=G15))+1,IF(N15&lt;&gt;"",SUMPRODUCT((N$3:N$55&lt;&gt;"")*(G$3:G$55=G15)*(J$3:J$55&gt;J15)*(I$3:I$55="P"))+1,IF(M15="P",SUMPRODUCT((O$3:O$55&lt;&gt;"")*(P$3:P$55="")*(G$3:G$55=G15)*(I$3:I$55="P"))+SUMPRODUCT((P$3:P$55&lt;&gt;"")*(G$3:G$55=G15)*(I$3:I$55="P"))+SUMPRODUCT((N$3:N$55&lt;&gt;"")*(G$3:G$55=G15)*(I$3:I$55="P"))+SUMPRODUCT((P$3:P$55="")*(O$3:O$55="")*(N$3:N$55="")*(M$3:M$55="P")*(G$3:G$55=G15)*(J$3:J$55&gt;J15)*(I$3:I$55="P"))+1,"")))))</f>
        <v/>
      </c>
      <c r="B15" s="1" t="str" cm="1">
        <f t="array" ref="B15">IF(P15&lt;&gt;"",SUMPRODUCT((P$3:P$55&lt;&gt;"")*(G$3:G$55=G15)*(J$3:J$55&gt;J15))+1,IF(O15&lt;&gt;"",SUMPRODUCT((O$3:O$55&lt;&gt;"")*(P$3:P$55="")*(G$3:G$55=G15)*(J$3:J$55&gt;J15))+SUMPRODUCT((P$3:P$55&lt;&gt;"")*(G$3:G$55=G15))+1,IF(N15&lt;&gt;"",SUMPRODUCT((N$3:N$55&lt;&gt;"")*(G$3:G$55=G15)*(J$3:J$55&gt;J15))+1,IF(M15="P",SUMPRODUCT((O$3:O$55&lt;&gt;"")*(P$3:P$55="")*(G$3:G$55=G15))+SUMPRODUCT((P$3:P$55&lt;&gt;"")*(G$3:G$55=G15))+SUMPRODUCT((N$3:N$55&lt;&gt;"")*(G$3:G$55=G15))+SUMPRODUCT((P$3:P$55="")*(O$3:O$55="")*(N$3:N$55="")*(M$3:M$55="P")*(G$3:G$55=G15)*(J$3:J$55&gt;J15))+1,""))))</f>
        <v/>
      </c>
      <c r="C15" s="36" t="s">
        <v>220</v>
      </c>
      <c r="D15" s="51" t="str">
        <f>IF(E15="","",VLOOKUP(E15,'Coaching Points'!A:B,2,0))</f>
        <v>QC</v>
      </c>
      <c r="E15" s="36" t="s">
        <v>377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127</v>
      </c>
      <c r="I15" s="47"/>
      <c r="J15" s="4">
        <f>IF(G15="17-21",S15,R15)+IF(OR(H15="Junior",H15="Senior"),0.0002,IF(OR(H15="L7",H15="L6"),0.0001,0))+IF(G15="17-21",MAX(AA15,AC15,AF15),AE15)*0.0000001</f>
        <v>48.860100000000003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52" t="str">
        <f>IF(A15&lt;5,IF(_xlfn.MAXIFS(A:A,G:G,G15)&gt;3,5-A15,_xlfn.MAXIFS(A:A,G:G,G15)+1-A15),"")</f>
        <v/>
      </c>
      <c r="R15" s="4">
        <f>MAX(X15,AE15)</f>
        <v>90.69</v>
      </c>
      <c r="S15" s="4">
        <f>MAX(T15,V15,Y15,AA15,AC15,AF15)</f>
        <v>48.86</v>
      </c>
      <c r="T15" s="33">
        <v>41.83</v>
      </c>
      <c r="U15" s="41">
        <v>1.8</v>
      </c>
      <c r="V15" s="34">
        <v>48.86</v>
      </c>
      <c r="W15" s="41">
        <v>9.6</v>
      </c>
      <c r="X15" s="4">
        <f>IF(H15="Senior",MAX(T15,V15),T15+V15)</f>
        <v>90.69</v>
      </c>
      <c r="Y15" s="34">
        <v>47.82</v>
      </c>
      <c r="Z15" s="41">
        <v>9.6</v>
      </c>
      <c r="AA15" s="33"/>
      <c r="AB15" s="41"/>
      <c r="AC15" s="34"/>
      <c r="AD15" s="41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$55&lt;&gt;"")*(G$3:G$55=G16)*(J$3:J$55&gt;J16)*(I$3:I$55="P"))+1,IF(O16&lt;&gt;"",SUMPRODUCT((O$3:O$55&lt;&gt;"")*(P$3:P$55="")*(G$3:G$55=G16)*(J$3:J$55&gt;J16)*(I$3:I$55="P"))+SUMPRODUCT((P$3:P$55&lt;&gt;"")*(G$3:G$55=G16))+1,IF(N16&lt;&gt;"",SUMPRODUCT((N$3:N$55&lt;&gt;"")*(G$3:G$55=G16)*(J$3:J$55&gt;J16)*(I$3:I$55="P"))+1,IF(M16="P",SUMPRODUCT((O$3:O$55&lt;&gt;"")*(P$3:P$55="")*(G$3:G$55=G16)*(I$3:I$55="P"))+SUMPRODUCT((P$3:P$55&lt;&gt;"")*(G$3:G$55=G16)*(I$3:I$55="P"))+SUMPRODUCT((N$3:N$55&lt;&gt;"")*(G$3:G$55=G16)*(I$3:I$55="P"))+SUMPRODUCT((P$3:P$55="")*(O$3:O$55="")*(N$3:N$55="")*(M$3:M$55="P")*(G$3:G$55=G16)*(J$3:J$55&gt;J16)*(I$3:I$55="P"))+1,"")))))</f>
        <v/>
      </c>
      <c r="B16" s="1" t="str" cm="1">
        <f t="array" ref="B16">IF(P16&lt;&gt;"",SUMPRODUCT((P$3:P$55&lt;&gt;"")*(G$3:G$55=G16)*(J$3:J$55&gt;J16))+1,IF(O16&lt;&gt;"",SUMPRODUCT((O$3:O$55&lt;&gt;"")*(P$3:P$55="")*(G$3:G$55=G16)*(J$3:J$55&gt;J16))+SUMPRODUCT((P$3:P$55&lt;&gt;"")*(G$3:G$55=G16))+1,IF(N16&lt;&gt;"",SUMPRODUCT((N$3:N$55&lt;&gt;"")*(G$3:G$55=G16)*(J$3:J$55&gt;J16))+1,IF(M16="P",SUMPRODUCT((O$3:O$55&lt;&gt;"")*(P$3:P$55="")*(G$3:G$55=G16))+SUMPRODUCT((P$3:P$55&lt;&gt;"")*(G$3:G$55=G16))+SUMPRODUCT((N$3:N$55&lt;&gt;"")*(G$3:G$55=G16))+SUMPRODUCT((P$3:P$55="")*(O$3:O$55="")*(N$3:N$55="")*(M$3:M$55="P")*(G$3:G$55=G16)*(J$3:J$55&gt;J16))+1,""))))</f>
        <v/>
      </c>
      <c r="C16" s="36" t="s">
        <v>40</v>
      </c>
      <c r="D16" s="51" t="str">
        <f>IF(E16="","",VLOOKUP(E16,'Coaching Points'!A:B,2,0))</f>
        <v>ON</v>
      </c>
      <c r="E16" s="36" t="s">
        <v>39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181</v>
      </c>
      <c r="I16" s="47"/>
      <c r="J16" s="4">
        <f>IF(G16="17-21",S16,R16)+IF(OR(H16="Junior",H16="Senior"),0.0002,IF(OR(H16="L7",H16="L6"),0.0001,0))+IF(G16="17-21",MAX(AA16,AC16,AF16),AE16)*0.0000001</f>
        <v>48.800199999999997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>P</v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52" t="str">
        <f>IF(A16&lt;5,IF(_xlfn.MAXIFS(A:A,G:G,G16)&gt;3,5-A16,_xlfn.MAXIFS(A:A,G:G,G16)+1-A16),"")</f>
        <v/>
      </c>
      <c r="R16" s="4">
        <f>MAX(X16,AE16)</f>
        <v>48.8</v>
      </c>
      <c r="S16" s="4">
        <f>MAX(T16,V16,Y16,AA16,AC16,AF16)</f>
        <v>48.8</v>
      </c>
      <c r="T16" s="33">
        <v>27.650000000000002</v>
      </c>
      <c r="U16" s="41">
        <v>8.1999999999999993</v>
      </c>
      <c r="V16" s="34">
        <v>48.8</v>
      </c>
      <c r="W16" s="41">
        <v>13.599999999999998</v>
      </c>
      <c r="X16" s="4">
        <f>IF(H16="Senior",MAX(T16,V16),T16+V16)</f>
        <v>48.8</v>
      </c>
      <c r="Y16" s="34">
        <v>0</v>
      </c>
      <c r="Z16" s="41">
        <v>0</v>
      </c>
      <c r="AA16" s="33"/>
      <c r="AB16" s="41"/>
      <c r="AC16" s="34"/>
      <c r="AD16" s="41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$55&lt;&gt;"")*(G$3:G$55=G17)*(J$3:J$55&gt;J17)*(I$3:I$55="P"))+1,IF(O17&lt;&gt;"",SUMPRODUCT((O$3:O$55&lt;&gt;"")*(P$3:P$55="")*(G$3:G$55=G17)*(J$3:J$55&gt;J17)*(I$3:I$55="P"))+SUMPRODUCT((P$3:P$55&lt;&gt;"")*(G$3:G$55=G17))+1,IF(N17&lt;&gt;"",SUMPRODUCT((N$3:N$55&lt;&gt;"")*(G$3:G$55=G17)*(J$3:J$55&gt;J17)*(I$3:I$55="P"))+1,IF(M17="P",SUMPRODUCT((O$3:O$55&lt;&gt;"")*(P$3:P$55="")*(G$3:G$55=G17)*(I$3:I$55="P"))+SUMPRODUCT((P$3:P$55&lt;&gt;"")*(G$3:G$55=G17)*(I$3:I$55="P"))+SUMPRODUCT((N$3:N$55&lt;&gt;"")*(G$3:G$55=G17)*(I$3:I$55="P"))+SUMPRODUCT((P$3:P$55="")*(O$3:O$55="")*(N$3:N$55="")*(M$3:M$55="P")*(G$3:G$55=G17)*(J$3:J$55&gt;J17)*(I$3:I$55="P"))+1,"")))))</f>
        <v/>
      </c>
      <c r="B17" s="1" t="str" cm="1">
        <f t="array" ref="B17">IF(P17&lt;&gt;"",SUMPRODUCT((P$3:P$55&lt;&gt;"")*(G$3:G$55=G17)*(J$3:J$55&gt;J17))+1,IF(O17&lt;&gt;"",SUMPRODUCT((O$3:O$55&lt;&gt;"")*(P$3:P$55="")*(G$3:G$55=G17)*(J$3:J$55&gt;J17))+SUMPRODUCT((P$3:P$55&lt;&gt;"")*(G$3:G$55=G17))+1,IF(N17&lt;&gt;"",SUMPRODUCT((N$3:N$55&lt;&gt;"")*(G$3:G$55=G17)*(J$3:J$55&gt;J17))+1,IF(M17="P",SUMPRODUCT((O$3:O$55&lt;&gt;"")*(P$3:P$55="")*(G$3:G$55=G17))+SUMPRODUCT((P$3:P$55&lt;&gt;"")*(G$3:G$55=G17))+SUMPRODUCT((N$3:N$55&lt;&gt;"")*(G$3:G$55=G17))+SUMPRODUCT((P$3:P$55="")*(O$3:O$55="")*(N$3:N$55="")*(M$3:M$55="P")*(G$3:G$55=G17)*(J$3:J$55&gt;J17))+1,""))))</f>
        <v/>
      </c>
      <c r="C17" s="36" t="s">
        <v>203</v>
      </c>
      <c r="D17" s="51" t="str">
        <f>IF(E17="","",VLOOKUP(E17,'Coaching Points'!A:B,2,0))</f>
        <v>AB</v>
      </c>
      <c r="E17" s="36" t="s">
        <v>148</v>
      </c>
      <c r="F17" s="35">
        <v>2005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125</v>
      </c>
      <c r="I17" s="47"/>
      <c r="J17" s="4">
        <f>IF(G17="17-21",S17,R17)+IF(OR(H17="Junior",H17="Senior"),0.0002,IF(OR(H17="L7",H17="L6"),0.0001,0))+IF(G17="17-21",MAX(AA17,AC17,AF17),AE17)*0.0000001</f>
        <v>48.4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52" t="str">
        <f>IF(A17&lt;5,IF(_xlfn.MAXIFS(A:A,G:G,G17)&gt;3,5-A17,_xlfn.MAXIFS(A:A,G:G,G17)+1-A17),"")</f>
        <v/>
      </c>
      <c r="R17" s="4">
        <f>MAX(X17,AE17)</f>
        <v>88.77000000000001</v>
      </c>
      <c r="S17" s="4">
        <f>MAX(T17,V17,Y17,AA17,AC17,AF17)</f>
        <v>48.4</v>
      </c>
      <c r="T17" s="33">
        <v>40.370000000000005</v>
      </c>
      <c r="U17" s="41">
        <v>0</v>
      </c>
      <c r="V17" s="34">
        <v>48.4</v>
      </c>
      <c r="W17" s="41">
        <v>8.2999999999999989</v>
      </c>
      <c r="X17" s="4">
        <f>IF(H17="Senior",MAX(T17,V17),T17+V17)</f>
        <v>88.77000000000001</v>
      </c>
      <c r="Y17" s="34">
        <v>47.93</v>
      </c>
      <c r="Z17" s="41">
        <v>8.2999999999999989</v>
      </c>
      <c r="AA17" s="33"/>
      <c r="AB17" s="41"/>
      <c r="AC17" s="34"/>
      <c r="AD17" s="41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$55&lt;&gt;"")*(G$3:G$55=G18)*(J$3:J$55&gt;J18)*(I$3:I$55="P"))+1,IF(O18&lt;&gt;"",SUMPRODUCT((O$3:O$55&lt;&gt;"")*(P$3:P$55="")*(G$3:G$55=G18)*(J$3:J$55&gt;J18)*(I$3:I$55="P"))+SUMPRODUCT((P$3:P$55&lt;&gt;"")*(G$3:G$55=G18))+1,IF(N18&lt;&gt;"",SUMPRODUCT((N$3:N$55&lt;&gt;"")*(G$3:G$55=G18)*(J$3:J$55&gt;J18)*(I$3:I$55="P"))+1,IF(M18="P",SUMPRODUCT((O$3:O$55&lt;&gt;"")*(P$3:P$55="")*(G$3:G$55=G18)*(I$3:I$55="P"))+SUMPRODUCT((P$3:P$55&lt;&gt;"")*(G$3:G$55=G18)*(I$3:I$55="P"))+SUMPRODUCT((N$3:N$55&lt;&gt;"")*(G$3:G$55=G18)*(I$3:I$55="P"))+SUMPRODUCT((P$3:P$55="")*(O$3:O$55="")*(N$3:N$55="")*(M$3:M$55="P")*(G$3:G$55=G18)*(J$3:J$55&gt;J18)*(I$3:I$55="P"))+1,"")))))</f>
        <v/>
      </c>
      <c r="B18" s="1" t="str" cm="1">
        <f t="array" ref="B18">IF(P18&lt;&gt;"",SUMPRODUCT((P$3:P$55&lt;&gt;"")*(G$3:G$55=G18)*(J$3:J$55&gt;J18))+1,IF(O18&lt;&gt;"",SUMPRODUCT((O$3:O$55&lt;&gt;"")*(P$3:P$55="")*(G$3:G$55=G18)*(J$3:J$55&gt;J18))+SUMPRODUCT((P$3:P$55&lt;&gt;"")*(G$3:G$55=G18))+1,IF(N18&lt;&gt;"",SUMPRODUCT((N$3:N$55&lt;&gt;"")*(G$3:G$55=G18)*(J$3:J$55&gt;J18))+1,IF(M18="P",SUMPRODUCT((O$3:O$55&lt;&gt;"")*(P$3:P$55="")*(G$3:G$55=G18))+SUMPRODUCT((P$3:P$55&lt;&gt;"")*(G$3:G$55=G18))+SUMPRODUCT((N$3:N$55&lt;&gt;"")*(G$3:G$55=G18))+SUMPRODUCT((P$3:P$55="")*(O$3:O$55="")*(N$3:N$55="")*(M$3:M$55="P")*(G$3:G$55=G18)*(J$3:J$55&gt;J18))+1,""))))</f>
        <v/>
      </c>
      <c r="C18" s="36" t="s">
        <v>211</v>
      </c>
      <c r="D18" s="51" t="str">
        <f>IF(E18="","",VLOOKUP(E18,'Coaching Points'!A:B,2,0))</f>
        <v>ON</v>
      </c>
      <c r="E18" s="36" t="s">
        <v>212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125</v>
      </c>
      <c r="I18" s="47"/>
      <c r="J18" s="4">
        <f>IF(G18="17-21",S18,R18)+IF(OR(H18="Junior",H18="Senior"),0.0002,IF(OR(H18="L7",H18="L6"),0.0001,0))+IF(G18="17-21",MAX(AA18,AC18,AF18),AE18)*0.0000001</f>
        <v>48.17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52" t="str">
        <f>IF(A18&lt;5,IF(_xlfn.MAXIFS(A:A,G:G,G18)&gt;3,5-A18,_xlfn.MAXIFS(A:A,G:G,G18)+1-A18),"")</f>
        <v/>
      </c>
      <c r="R18" s="4">
        <f>MAX(X18,AE18)</f>
        <v>89.66</v>
      </c>
      <c r="S18" s="4">
        <f>MAX(T18,V18,Y18,AA18,AC18,AF18)</f>
        <v>48.17</v>
      </c>
      <c r="T18" s="33">
        <v>41.49</v>
      </c>
      <c r="U18" s="41">
        <v>0</v>
      </c>
      <c r="V18" s="34">
        <v>48.17</v>
      </c>
      <c r="W18" s="41">
        <v>9.5</v>
      </c>
      <c r="X18" s="4">
        <f>IF(H18="Senior",MAX(T18,V18),T18+V18)</f>
        <v>89.66</v>
      </c>
      <c r="Y18" s="34">
        <v>9.68</v>
      </c>
      <c r="Z18" s="41">
        <v>1.9</v>
      </c>
      <c r="AA18" s="33"/>
      <c r="AB18" s="41"/>
      <c r="AC18" s="34"/>
      <c r="AD18" s="41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$55&lt;&gt;"")*(G$3:G$55=G19)*(J$3:J$55&gt;J19)*(I$3:I$55="P"))+1,IF(O19&lt;&gt;"",SUMPRODUCT((O$3:O$55&lt;&gt;"")*(P$3:P$55="")*(G$3:G$55=G19)*(J$3:J$55&gt;J19)*(I$3:I$55="P"))+SUMPRODUCT((P$3:P$55&lt;&gt;"")*(G$3:G$55=G19))+1,IF(N19&lt;&gt;"",SUMPRODUCT((N$3:N$55&lt;&gt;"")*(G$3:G$55=G19)*(J$3:J$55&gt;J19)*(I$3:I$55="P"))+1,IF(M19="P",SUMPRODUCT((O$3:O$55&lt;&gt;"")*(P$3:P$55="")*(G$3:G$55=G19)*(I$3:I$55="P"))+SUMPRODUCT((P$3:P$55&lt;&gt;"")*(G$3:G$55=G19)*(I$3:I$55="P"))+SUMPRODUCT((N$3:N$55&lt;&gt;"")*(G$3:G$55=G19)*(I$3:I$55="P"))+SUMPRODUCT((P$3:P$55="")*(O$3:O$55="")*(N$3:N$55="")*(M$3:M$55="P")*(G$3:G$55=G19)*(J$3:J$55&gt;J19)*(I$3:I$55="P"))+1,"")))))</f>
        <v/>
      </c>
      <c r="B19" s="1" t="str" cm="1">
        <f t="array" ref="B19">IF(P19&lt;&gt;"",SUMPRODUCT((P$3:P$55&lt;&gt;"")*(G$3:G$55=G19)*(J$3:J$55&gt;J19))+1,IF(O19&lt;&gt;"",SUMPRODUCT((O$3:O$55&lt;&gt;"")*(P$3:P$55="")*(G$3:G$55=G19)*(J$3:J$55&gt;J19))+SUMPRODUCT((P$3:P$55&lt;&gt;"")*(G$3:G$55=G19))+1,IF(N19&lt;&gt;"",SUMPRODUCT((N$3:N$55&lt;&gt;"")*(G$3:G$55=G19)*(J$3:J$55&gt;J19))+1,IF(M19="P",SUMPRODUCT((O$3:O$55&lt;&gt;"")*(P$3:P$55="")*(G$3:G$55=G19))+SUMPRODUCT((P$3:P$55&lt;&gt;"")*(G$3:G$55=G19))+SUMPRODUCT((N$3:N$55&lt;&gt;"")*(G$3:G$55=G19))+SUMPRODUCT((P$3:P$55="")*(O$3:O$55="")*(N$3:N$55="")*(M$3:M$55="P")*(G$3:G$55=G19)*(J$3:J$55&gt;J19))+1,""))))</f>
        <v/>
      </c>
      <c r="C19" s="36" t="s">
        <v>226</v>
      </c>
      <c r="D19" s="51" t="str">
        <f>IF(E19="","",VLOOKUP(E19,'Coaching Points'!A:B,2,0))</f>
        <v>QC</v>
      </c>
      <c r="E19" s="36" t="s">
        <v>377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127</v>
      </c>
      <c r="I19" s="47"/>
      <c r="J19" s="4">
        <f>IF(G19="17-21",S19,R19)+IF(OR(H19="Junior",H19="Senior"),0.0002,IF(OR(H19="L7",H19="L6"),0.0001,0))+IF(G19="17-21",MAX(AA19,AC19,AF19),AE19)*0.0000001</f>
        <v>47.930100000000003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52" t="str">
        <f>IF(A19&lt;5,IF(_xlfn.MAXIFS(A:A,G:G,G19)&gt;3,5-A19,_xlfn.MAXIFS(A:A,G:G,G19)+1-A19),"")</f>
        <v/>
      </c>
      <c r="R19" s="4">
        <f>MAX(X19,AE19)</f>
        <v>85.509999999999991</v>
      </c>
      <c r="S19" s="4">
        <f>MAX(T19,V19,Y19,AA19,AC19,AF19)</f>
        <v>47.93</v>
      </c>
      <c r="T19" s="33">
        <v>37.58</v>
      </c>
      <c r="U19" s="41">
        <v>1</v>
      </c>
      <c r="V19" s="34">
        <v>47.93</v>
      </c>
      <c r="W19" s="41">
        <v>9.1</v>
      </c>
      <c r="X19" s="4">
        <f>IF(H19="Senior",MAX(T19,V19),T19+V19)</f>
        <v>85.509999999999991</v>
      </c>
      <c r="Y19" s="34">
        <v>5.5500000000000007</v>
      </c>
      <c r="Z19" s="41">
        <v>1.3</v>
      </c>
      <c r="AA19" s="33"/>
      <c r="AB19" s="41"/>
      <c r="AC19" s="34"/>
      <c r="AD19" s="41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$55&lt;&gt;"")*(G$3:G$55=G20)*(J$3:J$55&gt;J20)*(I$3:I$55="P"))+1,IF(O20&lt;&gt;"",SUMPRODUCT((O$3:O$55&lt;&gt;"")*(P$3:P$55="")*(G$3:G$55=G20)*(J$3:J$55&gt;J20)*(I$3:I$55="P"))+SUMPRODUCT((P$3:P$55&lt;&gt;"")*(G$3:G$55=G20))+1,IF(N20&lt;&gt;"",SUMPRODUCT((N$3:N$55&lt;&gt;"")*(G$3:G$55=G20)*(J$3:J$55&gt;J20)*(I$3:I$55="P"))+1,IF(M20="P",SUMPRODUCT((O$3:O$55&lt;&gt;"")*(P$3:P$55="")*(G$3:G$55=G20)*(I$3:I$55="P"))+SUMPRODUCT((P$3:P$55&lt;&gt;"")*(G$3:G$55=G20)*(I$3:I$55="P"))+SUMPRODUCT((N$3:N$55&lt;&gt;"")*(G$3:G$55=G20)*(I$3:I$55="P"))+SUMPRODUCT((P$3:P$55="")*(O$3:O$55="")*(N$3:N$55="")*(M$3:M$55="P")*(G$3:G$55=G20)*(J$3:J$55&gt;J20)*(I$3:I$55="P"))+1,"")))))</f>
        <v/>
      </c>
      <c r="B20" s="1" t="str" cm="1">
        <f t="array" ref="B20">IF(P20&lt;&gt;"",SUMPRODUCT((P$3:P$55&lt;&gt;"")*(G$3:G$55=G20)*(J$3:J$55&gt;J20))+1,IF(O20&lt;&gt;"",SUMPRODUCT((O$3:O$55&lt;&gt;"")*(P$3:P$55="")*(G$3:G$55=G20)*(J$3:J$55&gt;J20))+SUMPRODUCT((P$3:P$55&lt;&gt;"")*(G$3:G$55=G20))+1,IF(N20&lt;&gt;"",SUMPRODUCT((N$3:N$55&lt;&gt;"")*(G$3:G$55=G20)*(J$3:J$55&gt;J20))+1,IF(M20="P",SUMPRODUCT((O$3:O$55&lt;&gt;"")*(P$3:P$55="")*(G$3:G$55=G20))+SUMPRODUCT((P$3:P$55&lt;&gt;"")*(G$3:G$55=G20))+SUMPRODUCT((N$3:N$55&lt;&gt;"")*(G$3:G$55=G20))+SUMPRODUCT((P$3:P$55="")*(O$3:O$55="")*(N$3:N$55="")*(M$3:M$55="P")*(G$3:G$55=G20)*(J$3:J$55&gt;J20))+1,""))))</f>
        <v/>
      </c>
      <c r="C20" s="36" t="s">
        <v>221</v>
      </c>
      <c r="D20" s="51" t="str">
        <f>IF(E20="","",VLOOKUP(E20,'Coaching Points'!A:B,2,0))</f>
        <v>ON</v>
      </c>
      <c r="E20" s="36" t="s">
        <v>170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127</v>
      </c>
      <c r="I20" s="47"/>
      <c r="J20" s="4">
        <f>IF(G20="17-21",S20,R20)+IF(OR(H20="Junior",H20="Senior"),0.0002,IF(OR(H20="L7",H20="L6"),0.0001,0))+IF(G20="17-21",MAX(AA20,AC20,AF20),AE20)*0.0000001</f>
        <v>47.560100000000006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52" t="str">
        <f>IF(A20&lt;5,IF(_xlfn.MAXIFS(A:A,G:G,G20)&gt;3,5-A20,_xlfn.MAXIFS(A:A,G:G,G20)+1-A20),"")</f>
        <v/>
      </c>
      <c r="R20" s="4">
        <f>MAX(X20,AE20)</f>
        <v>89.13</v>
      </c>
      <c r="S20" s="4">
        <f>MAX(T20,V20,Y20,AA20,AC20,AF20)</f>
        <v>47.56</v>
      </c>
      <c r="T20" s="33">
        <v>41.6</v>
      </c>
      <c r="U20" s="41">
        <v>2.7</v>
      </c>
      <c r="V20" s="34">
        <v>47.529999999999994</v>
      </c>
      <c r="W20" s="41">
        <v>9.9999999999999982</v>
      </c>
      <c r="X20" s="4">
        <f>IF(H20="Senior",MAX(T20,V20),T20+V20)</f>
        <v>89.13</v>
      </c>
      <c r="Y20" s="34">
        <v>47.56</v>
      </c>
      <c r="Z20" s="41">
        <v>9.9999999999999982</v>
      </c>
      <c r="AA20" s="33"/>
      <c r="AB20" s="41"/>
      <c r="AC20" s="34"/>
      <c r="AD20" s="41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$55&lt;&gt;"")*(G$3:G$55=G21)*(J$3:J$55&gt;J21)*(I$3:I$55="P"))+1,IF(O21&lt;&gt;"",SUMPRODUCT((O$3:O$55&lt;&gt;"")*(P$3:P$55="")*(G$3:G$55=G21)*(J$3:J$55&gt;J21)*(I$3:I$55="P"))+SUMPRODUCT((P$3:P$55&lt;&gt;"")*(G$3:G$55=G21))+1,IF(N21&lt;&gt;"",SUMPRODUCT((N$3:N$55&lt;&gt;"")*(G$3:G$55=G21)*(J$3:J$55&gt;J21)*(I$3:I$55="P"))+1,IF(M21="P",SUMPRODUCT((O$3:O$55&lt;&gt;"")*(P$3:P$55="")*(G$3:G$55=G21)*(I$3:I$55="P"))+SUMPRODUCT((P$3:P$55&lt;&gt;"")*(G$3:G$55=G21)*(I$3:I$55="P"))+SUMPRODUCT((N$3:N$55&lt;&gt;"")*(G$3:G$55=G21)*(I$3:I$55="P"))+SUMPRODUCT((P$3:P$55="")*(O$3:O$55="")*(N$3:N$55="")*(M$3:M$55="P")*(G$3:G$55=G21)*(J$3:J$55&gt;J21)*(I$3:I$55="P"))+1,"")))))</f>
        <v/>
      </c>
      <c r="B21" s="1" t="str" cm="1">
        <f t="array" ref="B21">IF(P21&lt;&gt;"",SUMPRODUCT((P$3:P$55&lt;&gt;"")*(G$3:G$55=G21)*(J$3:J$55&gt;J21))+1,IF(O21&lt;&gt;"",SUMPRODUCT((O$3:O$55&lt;&gt;"")*(P$3:P$55="")*(G$3:G$55=G21)*(J$3:J$55&gt;J21))+SUMPRODUCT((P$3:P$55&lt;&gt;"")*(G$3:G$55=G21))+1,IF(N21&lt;&gt;"",SUMPRODUCT((N$3:N$55&lt;&gt;"")*(G$3:G$55=G21)*(J$3:J$55&gt;J21))+1,IF(M21="P",SUMPRODUCT((O$3:O$55&lt;&gt;"")*(P$3:P$55="")*(G$3:G$55=G21))+SUMPRODUCT((P$3:P$55&lt;&gt;"")*(G$3:G$55=G21))+SUMPRODUCT((N$3:N$55&lt;&gt;"")*(G$3:G$55=G21))+SUMPRODUCT((P$3:P$55="")*(O$3:O$55="")*(N$3:N$55="")*(M$3:M$55="P")*(G$3:G$55=G21)*(J$3:J$55&gt;J21))+1,""))))</f>
        <v/>
      </c>
      <c r="C21" s="36" t="s">
        <v>204</v>
      </c>
      <c r="D21" s="51" t="str">
        <f>IF(E21="","",VLOOKUP(E21,'Coaching Points'!A:B,2,0))</f>
        <v>ON</v>
      </c>
      <c r="E21" s="36" t="s">
        <v>39</v>
      </c>
      <c r="F21" s="35">
        <v>2004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125</v>
      </c>
      <c r="I21" s="47"/>
      <c r="J21" s="4">
        <f>IF(G21="17-21",S21,R21)+IF(OR(H21="Junior",H21="Senior"),0.0002,IF(OR(H21="L7",H21="L6"),0.0001,0))+IF(G21="17-21",MAX(AA21,AC21,AF21),AE21)*0.0000001</f>
        <v>46.86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52" t="str">
        <f>IF(A21&lt;5,IF(_xlfn.MAXIFS(A:A,G:G,G21)&gt;3,5-A21,_xlfn.MAXIFS(A:A,G:G,G21)+1-A21),"")</f>
        <v/>
      </c>
      <c r="R21" s="4">
        <f>MAX(X21,AE21)</f>
        <v>85.53</v>
      </c>
      <c r="S21" s="4">
        <f>MAX(T21,V21,Y21,AA21,AC21,AF21)</f>
        <v>46.86</v>
      </c>
      <c r="T21" s="33">
        <v>38.67</v>
      </c>
      <c r="U21" s="41">
        <v>0</v>
      </c>
      <c r="V21" s="34">
        <v>46.86</v>
      </c>
      <c r="W21" s="41">
        <v>8.8999999999999986</v>
      </c>
      <c r="X21" s="4">
        <f>IF(H21="Senior",MAX(T21,V21),T21+V21)</f>
        <v>85.53</v>
      </c>
      <c r="Y21" s="34">
        <v>46.75</v>
      </c>
      <c r="Z21" s="41">
        <v>8.2999999999999989</v>
      </c>
      <c r="AA21" s="33"/>
      <c r="AB21" s="41"/>
      <c r="AC21" s="34"/>
      <c r="AD21" s="41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$55&lt;&gt;"")*(G$3:G$55=G22)*(J$3:J$55&gt;J22)*(I$3:I$55="P"))+1,IF(O22&lt;&gt;"",SUMPRODUCT((O$3:O$55&lt;&gt;"")*(P$3:P$55="")*(G$3:G$55=G22)*(J$3:J$55&gt;J22)*(I$3:I$55="P"))+SUMPRODUCT((P$3:P$55&lt;&gt;"")*(G$3:G$55=G22))+1,IF(N22&lt;&gt;"",SUMPRODUCT((N$3:N$55&lt;&gt;"")*(G$3:G$55=G22)*(J$3:J$55&gt;J22)*(I$3:I$55="P"))+1,IF(M22="P",SUMPRODUCT((O$3:O$55&lt;&gt;"")*(P$3:P$55="")*(G$3:G$55=G22)*(I$3:I$55="P"))+SUMPRODUCT((P$3:P$55&lt;&gt;"")*(G$3:G$55=G22)*(I$3:I$55="P"))+SUMPRODUCT((N$3:N$55&lt;&gt;"")*(G$3:G$55=G22)*(I$3:I$55="P"))+SUMPRODUCT((P$3:P$55="")*(O$3:O$55="")*(N$3:N$55="")*(M$3:M$55="P")*(G$3:G$55=G22)*(J$3:J$55&gt;J22)*(I$3:I$55="P"))+1,"")))))</f>
        <v/>
      </c>
      <c r="B22" s="1" t="str" cm="1">
        <f t="array" ref="B22">IF(P22&lt;&gt;"",SUMPRODUCT((P$3:P$55&lt;&gt;"")*(G$3:G$55=G22)*(J$3:J$55&gt;J22))+1,IF(O22&lt;&gt;"",SUMPRODUCT((O$3:O$55&lt;&gt;"")*(P$3:P$55="")*(G$3:G$55=G22)*(J$3:J$55&gt;J22))+SUMPRODUCT((P$3:P$55&lt;&gt;"")*(G$3:G$55=G22))+1,IF(N22&lt;&gt;"",SUMPRODUCT((N$3:N$55&lt;&gt;"")*(G$3:G$55=G22)*(J$3:J$55&gt;J22))+1,IF(M22="P",SUMPRODUCT((O$3:O$55&lt;&gt;"")*(P$3:P$55="")*(G$3:G$55=G22))+SUMPRODUCT((P$3:P$55&lt;&gt;"")*(G$3:G$55=G22))+SUMPRODUCT((N$3:N$55&lt;&gt;"")*(G$3:G$55=G22))+SUMPRODUCT((P$3:P$55="")*(O$3:O$55="")*(N$3:N$55="")*(M$3:M$55="P")*(G$3:G$55=G22)*(J$3:J$55&gt;J22))+1,""))))</f>
        <v/>
      </c>
      <c r="C22" s="36" t="s">
        <v>223</v>
      </c>
      <c r="D22" s="51" t="str">
        <f>IF(E22="","",VLOOKUP(E22,'Coaching Points'!A:B,2,0))</f>
        <v>BC</v>
      </c>
      <c r="E22" s="36" t="s">
        <v>43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127</v>
      </c>
      <c r="I22" s="47"/>
      <c r="J22" s="4">
        <f>IF(G22="17-21",S22,R22)+IF(OR(H22="Junior",H22="Senior"),0.0002,IF(OR(H22="L7",H22="L6"),0.0001,0))+IF(G22="17-21",MAX(AA22,AC22,AF22),AE22)*0.0000001</f>
        <v>46.8001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52" t="str">
        <f>IF(A22&lt;5,IF(_xlfn.MAXIFS(A:A,G:G,G22)&gt;3,5-A22,_xlfn.MAXIFS(A:A,G:G,G22)+1-A22),"")</f>
        <v/>
      </c>
      <c r="R22" s="4">
        <f>MAX(X22,AE22)</f>
        <v>89.53</v>
      </c>
      <c r="S22" s="4">
        <f>MAX(T22,V22,Y22,AA22,AC22,AF22)</f>
        <v>46.8</v>
      </c>
      <c r="T22" s="33">
        <v>42.730000000000004</v>
      </c>
      <c r="U22" s="41">
        <v>2.9000000000000004</v>
      </c>
      <c r="V22" s="34">
        <v>46.8</v>
      </c>
      <c r="W22" s="41">
        <v>10</v>
      </c>
      <c r="X22" s="4">
        <f>IF(H22="Senior",MAX(T22,V22),T22+V22)</f>
        <v>89.53</v>
      </c>
      <c r="Y22" s="34">
        <v>33.6</v>
      </c>
      <c r="Z22" s="41">
        <v>7.8999999999999995</v>
      </c>
      <c r="AA22" s="33"/>
      <c r="AB22" s="41"/>
      <c r="AC22" s="34"/>
      <c r="AD22" s="41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$55&lt;&gt;"")*(G$3:G$55=G23)*(J$3:J$55&gt;J23)*(I$3:I$55="P"))+1,IF(O23&lt;&gt;"",SUMPRODUCT((O$3:O$55&lt;&gt;"")*(P$3:P$55="")*(G$3:G$55=G23)*(J$3:J$55&gt;J23)*(I$3:I$55="P"))+SUMPRODUCT((P$3:P$55&lt;&gt;"")*(G$3:G$55=G23))+1,IF(N23&lt;&gt;"",SUMPRODUCT((N$3:N$55&lt;&gt;"")*(G$3:G$55=G23)*(J$3:J$55&gt;J23)*(I$3:I$55="P"))+1,IF(M23="P",SUMPRODUCT((O$3:O$55&lt;&gt;"")*(P$3:P$55="")*(G$3:G$55=G23)*(I$3:I$55="P"))+SUMPRODUCT((P$3:P$55&lt;&gt;"")*(G$3:G$55=G23)*(I$3:I$55="P"))+SUMPRODUCT((N$3:N$55&lt;&gt;"")*(G$3:G$55=G23)*(I$3:I$55="P"))+SUMPRODUCT((P$3:P$55="")*(O$3:O$55="")*(N$3:N$55="")*(M$3:M$55="P")*(G$3:G$55=G23)*(J$3:J$55&gt;J23)*(I$3:I$55="P"))+1,"")))))</f>
        <v/>
      </c>
      <c r="B23" s="1" t="str" cm="1">
        <f t="array" ref="B23">IF(P23&lt;&gt;"",SUMPRODUCT((P$3:P$55&lt;&gt;"")*(G$3:G$55=G23)*(J$3:J$55&gt;J23))+1,IF(O23&lt;&gt;"",SUMPRODUCT((O$3:O$55&lt;&gt;"")*(P$3:P$55="")*(G$3:G$55=G23)*(J$3:J$55&gt;J23))+SUMPRODUCT((P$3:P$55&lt;&gt;"")*(G$3:G$55=G23))+1,IF(N23&lt;&gt;"",SUMPRODUCT((N$3:N$55&lt;&gt;"")*(G$3:G$55=G23)*(J$3:J$55&gt;J23))+1,IF(M23="P",SUMPRODUCT((O$3:O$55&lt;&gt;"")*(P$3:P$55="")*(G$3:G$55=G23))+SUMPRODUCT((P$3:P$55&lt;&gt;"")*(G$3:G$55=G23))+SUMPRODUCT((N$3:N$55&lt;&gt;"")*(G$3:G$55=G23))+SUMPRODUCT((P$3:P$55="")*(O$3:O$55="")*(N$3:N$55="")*(M$3:M$55="P")*(G$3:G$55=G23)*(J$3:J$55&gt;J23))+1,""))))</f>
        <v/>
      </c>
      <c r="C23" s="36" t="s">
        <v>205</v>
      </c>
      <c r="D23" s="51" t="str">
        <f>IF(E23="","",VLOOKUP(E23,'Coaching Points'!A:B,2,0))</f>
        <v>AB</v>
      </c>
      <c r="E23" s="36" t="s">
        <v>100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125</v>
      </c>
      <c r="I23" s="47"/>
      <c r="J23" s="4">
        <f>IF(G23="17-21",S23,R23)+IF(OR(H23="Junior",H23="Senior"),0.0002,IF(OR(H23="L7",H23="L6"),0.0001,0))+IF(G23="17-21",MAX(AA23,AC23,AF23),AE23)*0.0000001</f>
        <v>46.68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52" t="str">
        <f>IF(A23&lt;5,IF(_xlfn.MAXIFS(A:A,G:G,G23)&gt;3,5-A23,_xlfn.MAXIFS(A:A,G:G,G23)+1-A23),"")</f>
        <v/>
      </c>
      <c r="R23" s="4">
        <f>MAX(X23,AE23)</f>
        <v>88.199999999999989</v>
      </c>
      <c r="S23" s="4">
        <f>MAX(T23,V23,Y23,AA23,AC23,AF23)</f>
        <v>46.68</v>
      </c>
      <c r="T23" s="33">
        <v>41.519999999999996</v>
      </c>
      <c r="U23" s="41">
        <v>0</v>
      </c>
      <c r="V23" s="34">
        <v>46.68</v>
      </c>
      <c r="W23" s="41">
        <v>8.9999999999999982</v>
      </c>
      <c r="X23" s="4">
        <f>IF(H23="Senior",MAX(T23,V23),T23+V23)</f>
        <v>88.199999999999989</v>
      </c>
      <c r="Y23" s="34">
        <v>46.349999999999994</v>
      </c>
      <c r="Z23" s="41">
        <v>8.9999999999999982</v>
      </c>
      <c r="AA23" s="33"/>
      <c r="AB23" s="41"/>
      <c r="AC23" s="34"/>
      <c r="AD23" s="41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$55&lt;&gt;"")*(G$3:G$55=G24)*(J$3:J$55&gt;J24)*(I$3:I$55="P"))+1,IF(O24&lt;&gt;"",SUMPRODUCT((O$3:O$55&lt;&gt;"")*(P$3:P$55="")*(G$3:G$55=G24)*(J$3:J$55&gt;J24)*(I$3:I$55="P"))+SUMPRODUCT((P$3:P$55&lt;&gt;"")*(G$3:G$55=G24))+1,IF(N24&lt;&gt;"",SUMPRODUCT((N$3:N$55&lt;&gt;"")*(G$3:G$55=G24)*(J$3:J$55&gt;J24)*(I$3:I$55="P"))+1,IF(M24="P",SUMPRODUCT((O$3:O$55&lt;&gt;"")*(P$3:P$55="")*(G$3:G$55=G24)*(I$3:I$55="P"))+SUMPRODUCT((P$3:P$55&lt;&gt;"")*(G$3:G$55=G24)*(I$3:I$55="P"))+SUMPRODUCT((N$3:N$55&lt;&gt;"")*(G$3:G$55=G24)*(I$3:I$55="P"))+SUMPRODUCT((P$3:P$55="")*(O$3:O$55="")*(N$3:N$55="")*(M$3:M$55="P")*(G$3:G$55=G24)*(J$3:J$55&gt;J24)*(I$3:I$55="P"))+1,"")))))</f>
        <v/>
      </c>
      <c r="B24" s="1" t="str" cm="1">
        <f t="array" ref="B24">IF(P24&lt;&gt;"",SUMPRODUCT((P$3:P$55&lt;&gt;"")*(G$3:G$55=G24)*(J$3:J$55&gt;J24))+1,IF(O24&lt;&gt;"",SUMPRODUCT((O$3:O$55&lt;&gt;"")*(P$3:P$55="")*(G$3:G$55=G24)*(J$3:J$55&gt;J24))+SUMPRODUCT((P$3:P$55&lt;&gt;"")*(G$3:G$55=G24))+1,IF(N24&lt;&gt;"",SUMPRODUCT((N$3:N$55&lt;&gt;"")*(G$3:G$55=G24)*(J$3:J$55&gt;J24))+1,IF(M24="P",SUMPRODUCT((O$3:O$55&lt;&gt;"")*(P$3:P$55="")*(G$3:G$55=G24))+SUMPRODUCT((P$3:P$55&lt;&gt;"")*(G$3:G$55=G24))+SUMPRODUCT((N$3:N$55&lt;&gt;"")*(G$3:G$55=G24))+SUMPRODUCT((P$3:P$55="")*(O$3:O$55="")*(N$3:N$55="")*(M$3:M$55="P")*(G$3:G$55=G24)*(J$3:J$55&gt;J24))+1,""))))</f>
        <v/>
      </c>
      <c r="C24" s="36" t="s">
        <v>209</v>
      </c>
      <c r="D24" s="51" t="str">
        <f>IF(E24="","",VLOOKUP(E24,'Coaching Points'!A:B,2,0))</f>
        <v>MB</v>
      </c>
      <c r="E24" s="36" t="s">
        <v>140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125</v>
      </c>
      <c r="I24" s="47"/>
      <c r="J24" s="4">
        <f>IF(G24="17-21",S24,R24)+IF(OR(H24="Junior",H24="Senior"),0.0002,IF(OR(H24="L7",H24="L6"),0.0001,0))+IF(G24="17-21",MAX(AA24,AC24,AF24),AE24)*0.0000001</f>
        <v>46.45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52" t="str">
        <f>IF(A24&lt;5,IF(_xlfn.MAXIFS(A:A,G:G,G24)&gt;3,5-A24,_xlfn.MAXIFS(A:A,G:G,G24)+1-A24),"")</f>
        <v/>
      </c>
      <c r="R24" s="4">
        <f>MAX(X24,AE24)</f>
        <v>85.52000000000001</v>
      </c>
      <c r="S24" s="4">
        <f>MAX(T24,V24,Y24,AA24,AC24,AF24)</f>
        <v>46.45</v>
      </c>
      <c r="T24" s="33">
        <v>39.07</v>
      </c>
      <c r="U24" s="41">
        <v>0</v>
      </c>
      <c r="V24" s="34">
        <v>46.45</v>
      </c>
      <c r="W24" s="41">
        <v>8.6999999999999993</v>
      </c>
      <c r="X24" s="4">
        <f>IF(H24="Senior",MAX(T24,V24),T24+V24)</f>
        <v>85.52000000000001</v>
      </c>
      <c r="Y24" s="34">
        <v>19.11</v>
      </c>
      <c r="Z24" s="41">
        <v>4</v>
      </c>
      <c r="AA24" s="33"/>
      <c r="AB24" s="41"/>
      <c r="AC24" s="34"/>
      <c r="AD24" s="41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$55&lt;&gt;"")*(G$3:G$55=G25)*(J$3:J$55&gt;J25)*(I$3:I$55="P"))+1,IF(O25&lt;&gt;"",SUMPRODUCT((O$3:O$55&lt;&gt;"")*(P$3:P$55="")*(G$3:G$55=G25)*(J$3:J$55&gt;J25)*(I$3:I$55="P"))+SUMPRODUCT((P$3:P$55&lt;&gt;"")*(G$3:G$55=G25))+1,IF(N25&lt;&gt;"",SUMPRODUCT((N$3:N$55&lt;&gt;"")*(G$3:G$55=G25)*(J$3:J$55&gt;J25)*(I$3:I$55="P"))+1,IF(M25="P",SUMPRODUCT((O$3:O$55&lt;&gt;"")*(P$3:P$55="")*(G$3:G$55=G25)*(I$3:I$55="P"))+SUMPRODUCT((P$3:P$55&lt;&gt;"")*(G$3:G$55=G25)*(I$3:I$55="P"))+SUMPRODUCT((N$3:N$55&lt;&gt;"")*(G$3:G$55=G25)*(I$3:I$55="P"))+SUMPRODUCT((P$3:P$55="")*(O$3:O$55="")*(N$3:N$55="")*(M$3:M$55="P")*(G$3:G$55=G25)*(J$3:J$55&gt;J25)*(I$3:I$55="P"))+1,"")))))</f>
        <v/>
      </c>
      <c r="B25" s="1" t="str" cm="1">
        <f t="array" ref="B25">IF(P25&lt;&gt;"",SUMPRODUCT((P$3:P$55&lt;&gt;"")*(G$3:G$55=G25)*(J$3:J$55&gt;J25))+1,IF(O25&lt;&gt;"",SUMPRODUCT((O$3:O$55&lt;&gt;"")*(P$3:P$55="")*(G$3:G$55=G25)*(J$3:J$55&gt;J25))+SUMPRODUCT((P$3:P$55&lt;&gt;"")*(G$3:G$55=G25))+1,IF(N25&lt;&gt;"",SUMPRODUCT((N$3:N$55&lt;&gt;"")*(G$3:G$55=G25)*(J$3:J$55&gt;J25))+1,IF(M25="P",SUMPRODUCT((O$3:O$55&lt;&gt;"")*(P$3:P$55="")*(G$3:G$55=G25))+SUMPRODUCT((P$3:P$55&lt;&gt;"")*(G$3:G$55=G25))+SUMPRODUCT((N$3:N$55&lt;&gt;"")*(G$3:G$55=G25))+SUMPRODUCT((P$3:P$55="")*(O$3:O$55="")*(N$3:N$55="")*(M$3:M$55="P")*(G$3:G$55=G25)*(J$3:J$55&gt;J25))+1,""))))</f>
        <v/>
      </c>
      <c r="C25" s="36" t="s">
        <v>206</v>
      </c>
      <c r="D25" s="51" t="str">
        <f>IF(E25="","",VLOOKUP(E25,'Coaching Points'!A:B,2,0))</f>
        <v>QC</v>
      </c>
      <c r="E25" s="36" t="s">
        <v>3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125</v>
      </c>
      <c r="I25" s="47"/>
      <c r="J25" s="4">
        <f>IF(G25="17-21",S25,R25)+IF(OR(H25="Junior",H25="Senior"),0.0002,IF(OR(H25="L7",H25="L6"),0.0001,0))+IF(G25="17-21",MAX(AA25,AC25,AF25),AE25)*0.0000001</f>
        <v>46.01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52" t="str">
        <f>IF(A25&lt;5,IF(_xlfn.MAXIFS(A:A,G:G,G25)&gt;3,5-A25,_xlfn.MAXIFS(A:A,G:G,G25)+1-A25),"")</f>
        <v/>
      </c>
      <c r="R25" s="4">
        <f>MAX(X25,AE25)</f>
        <v>83.91</v>
      </c>
      <c r="S25" s="4">
        <f>MAX(T25,V25,Y25,AA25,AC25,AF25)</f>
        <v>46.01</v>
      </c>
      <c r="T25" s="33">
        <v>38.97</v>
      </c>
      <c r="U25" s="41">
        <v>0</v>
      </c>
      <c r="V25" s="34">
        <v>44.94</v>
      </c>
      <c r="W25" s="41">
        <v>7</v>
      </c>
      <c r="X25" s="4">
        <f>IF(H25="Senior",MAX(T25,V25),T25+V25)</f>
        <v>83.91</v>
      </c>
      <c r="Y25" s="34">
        <v>46.01</v>
      </c>
      <c r="Z25" s="41">
        <v>7</v>
      </c>
      <c r="AA25" s="33"/>
      <c r="AB25" s="41"/>
      <c r="AC25" s="34"/>
      <c r="AD25" s="41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$55&lt;&gt;"")*(G$3:G$55=G26)*(J$3:J$55&gt;J26)*(I$3:I$55="P"))+1,IF(O26&lt;&gt;"",SUMPRODUCT((O$3:O$55&lt;&gt;"")*(P$3:P$55="")*(G$3:G$55=G26)*(J$3:J$55&gt;J26)*(I$3:I$55="P"))+SUMPRODUCT((P$3:P$55&lt;&gt;"")*(G$3:G$55=G26))+1,IF(N26&lt;&gt;"",SUMPRODUCT((N$3:N$55&lt;&gt;"")*(G$3:G$55=G26)*(J$3:J$55&gt;J26)*(I$3:I$55="P"))+1,IF(M26="P",SUMPRODUCT((O$3:O$55&lt;&gt;"")*(P$3:P$55="")*(G$3:G$55=G26)*(I$3:I$55="P"))+SUMPRODUCT((P$3:P$55&lt;&gt;"")*(G$3:G$55=G26)*(I$3:I$55="P"))+SUMPRODUCT((N$3:N$55&lt;&gt;"")*(G$3:G$55=G26)*(I$3:I$55="P"))+SUMPRODUCT((P$3:P$55="")*(O$3:O$55="")*(N$3:N$55="")*(M$3:M$55="P")*(G$3:G$55=G26)*(J$3:J$55&gt;J26)*(I$3:I$55="P"))+1,"")))))</f>
        <v/>
      </c>
      <c r="B26" s="1" t="str" cm="1">
        <f t="array" ref="B26">IF(P26&lt;&gt;"",SUMPRODUCT((P$3:P$55&lt;&gt;"")*(G$3:G$55=G26)*(J$3:J$55&gt;J26))+1,IF(O26&lt;&gt;"",SUMPRODUCT((O$3:O$55&lt;&gt;"")*(P$3:P$55="")*(G$3:G$55=G26)*(J$3:J$55&gt;J26))+SUMPRODUCT((P$3:P$55&lt;&gt;"")*(G$3:G$55=G26))+1,IF(N26&lt;&gt;"",SUMPRODUCT((N$3:N$55&lt;&gt;"")*(G$3:G$55=G26)*(J$3:J$55&gt;J26))+1,IF(M26="P",SUMPRODUCT((O$3:O$55&lt;&gt;"")*(P$3:P$55="")*(G$3:G$55=G26))+SUMPRODUCT((P$3:P$55&lt;&gt;"")*(G$3:G$55=G26))+SUMPRODUCT((N$3:N$55&lt;&gt;"")*(G$3:G$55=G26))+SUMPRODUCT((P$3:P$55="")*(O$3:O$55="")*(N$3:N$55="")*(M$3:M$55="P")*(G$3:G$55=G26)*(J$3:J$55&gt;J26))+1,""))))</f>
        <v/>
      </c>
      <c r="C26" s="36" t="s">
        <v>207</v>
      </c>
      <c r="D26" s="51" t="str">
        <f>IF(E26="","",VLOOKUP(E26,'Coaching Points'!A:B,2,0))</f>
        <v>QC</v>
      </c>
      <c r="E26" s="36" t="s">
        <v>208</v>
      </c>
      <c r="F26" s="35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125</v>
      </c>
      <c r="I26" s="47"/>
      <c r="J26" s="4">
        <f>IF(G26="17-21",S26,R26)+IF(OR(H26="Junior",H26="Senior"),0.0002,IF(OR(H26="L7",H26="L6"),0.0001,0))+IF(G26="17-21",MAX(AA26,AC26,AF26),AE26)*0.0000001</f>
        <v>45.48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52" t="str">
        <f>IF(A26&lt;5,IF(_xlfn.MAXIFS(A:A,G:G,G26)&gt;3,5-A26,_xlfn.MAXIFS(A:A,G:G,G26)+1-A26),"")</f>
        <v/>
      </c>
      <c r="R26" s="4">
        <f>MAX(X26,AE26)</f>
        <v>84.62</v>
      </c>
      <c r="S26" s="4">
        <f>MAX(T26,V26,Y26,AA26,AC26,AF26)</f>
        <v>45.48</v>
      </c>
      <c r="T26" s="33">
        <v>39.25</v>
      </c>
      <c r="U26" s="41">
        <v>0</v>
      </c>
      <c r="V26" s="34">
        <v>45.37</v>
      </c>
      <c r="W26" s="41">
        <v>8.2999999999999989</v>
      </c>
      <c r="X26" s="4">
        <f>IF(H26="Senior",MAX(T26,V26),T26+V26)</f>
        <v>84.62</v>
      </c>
      <c r="Y26" s="34">
        <v>45.48</v>
      </c>
      <c r="Z26" s="41">
        <v>8.2999999999999989</v>
      </c>
      <c r="AA26" s="33"/>
      <c r="AB26" s="41"/>
      <c r="AC26" s="34"/>
      <c r="AD26" s="41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$55&lt;&gt;"")*(G$3:G$55=G27)*(J$3:J$55&gt;J27)*(I$3:I$55="P"))+1,IF(O27&lt;&gt;"",SUMPRODUCT((O$3:O$55&lt;&gt;"")*(P$3:P$55="")*(G$3:G$55=G27)*(J$3:J$55&gt;J27)*(I$3:I$55="P"))+SUMPRODUCT((P$3:P$55&lt;&gt;"")*(G$3:G$55=G27))+1,IF(N27&lt;&gt;"",SUMPRODUCT((N$3:N$55&lt;&gt;"")*(G$3:G$55=G27)*(J$3:J$55&gt;J27)*(I$3:I$55="P"))+1,IF(M27="P",SUMPRODUCT((O$3:O$55&lt;&gt;"")*(P$3:P$55="")*(G$3:G$55=G27)*(I$3:I$55="P"))+SUMPRODUCT((P$3:P$55&lt;&gt;"")*(G$3:G$55=G27)*(I$3:I$55="P"))+SUMPRODUCT((N$3:N$55&lt;&gt;"")*(G$3:G$55=G27)*(I$3:I$55="P"))+SUMPRODUCT((P$3:P$55="")*(O$3:O$55="")*(N$3:N$55="")*(M$3:M$55="P")*(G$3:G$55=G27)*(J$3:J$55&gt;J27)*(I$3:I$55="P"))+1,"")))))</f>
        <v/>
      </c>
      <c r="B27" s="1" t="str" cm="1">
        <f t="array" ref="B27">IF(P27&lt;&gt;"",SUMPRODUCT((P$3:P$55&lt;&gt;"")*(G$3:G$55=G27)*(J$3:J$55&gt;J27))+1,IF(O27&lt;&gt;"",SUMPRODUCT((O$3:O$55&lt;&gt;"")*(P$3:P$55="")*(G$3:G$55=G27)*(J$3:J$55&gt;J27))+SUMPRODUCT((P$3:P$55&lt;&gt;"")*(G$3:G$55=G27))+1,IF(N27&lt;&gt;"",SUMPRODUCT((N$3:N$55&lt;&gt;"")*(G$3:G$55=G27)*(J$3:J$55&gt;J27))+1,IF(M27="P",SUMPRODUCT((O$3:O$55&lt;&gt;"")*(P$3:P$55="")*(G$3:G$55=G27))+SUMPRODUCT((P$3:P$55&lt;&gt;"")*(G$3:G$55=G27))+SUMPRODUCT((N$3:N$55&lt;&gt;"")*(G$3:G$55=G27))+SUMPRODUCT((P$3:P$55="")*(O$3:O$55="")*(N$3:N$55="")*(M$3:M$55="P")*(G$3:G$55=G27)*(J$3:J$55&gt;J27))+1,""))))</f>
        <v/>
      </c>
      <c r="C27" s="36" t="s">
        <v>210</v>
      </c>
      <c r="D27" s="51" t="str">
        <f>IF(E27="","",VLOOKUP(E27,'Coaching Points'!A:B,2,0))</f>
        <v>BC</v>
      </c>
      <c r="E27" s="36" t="s">
        <v>93</v>
      </c>
      <c r="F27" s="35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125</v>
      </c>
      <c r="I27" s="47"/>
      <c r="J27" s="4">
        <f>IF(G27="17-21",S27,R27)+IF(OR(H27="Junior",H27="Senior"),0.0002,IF(OR(H27="L7",H27="L6"),0.0001,0))+IF(G27="17-21",MAX(AA27,AC27,AF27),AE27)*0.0000001</f>
        <v>45.14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52" t="str">
        <f>IF(A27&lt;5,IF(_xlfn.MAXIFS(A:A,G:G,G27)&gt;3,5-A27,_xlfn.MAXIFS(A:A,G:G,G27)+1-A27),"")</f>
        <v/>
      </c>
      <c r="R27" s="4">
        <f>MAX(X27,AE27)</f>
        <v>84.800000000000011</v>
      </c>
      <c r="S27" s="4">
        <f>MAX(T27,V27,Y27,AA27,AC27,AF27)</f>
        <v>45.14</v>
      </c>
      <c r="T27" s="33">
        <v>39.660000000000004</v>
      </c>
      <c r="U27" s="41">
        <v>0</v>
      </c>
      <c r="V27" s="34">
        <v>45.14</v>
      </c>
      <c r="W27" s="41">
        <v>8.8999999999999986</v>
      </c>
      <c r="X27" s="4">
        <f>IF(H27="Senior",MAX(T27,V27),T27+V27)</f>
        <v>84.800000000000011</v>
      </c>
      <c r="Y27" s="34">
        <v>13.84</v>
      </c>
      <c r="Z27" s="41">
        <v>3.4</v>
      </c>
      <c r="AA27" s="33"/>
      <c r="AB27" s="41"/>
      <c r="AC27" s="34"/>
      <c r="AD27" s="41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$55&lt;&gt;"")*(G$3:G$55=G28)*(J$3:J$55&gt;J28)*(I$3:I$55="P"))+1,IF(O28&lt;&gt;"",SUMPRODUCT((O$3:O$55&lt;&gt;"")*(P$3:P$55="")*(G$3:G$55=G28)*(J$3:J$55&gt;J28)*(I$3:I$55="P"))+SUMPRODUCT((P$3:P$55&lt;&gt;"")*(G$3:G$55=G28))+1,IF(N28&lt;&gt;"",SUMPRODUCT((N$3:N$55&lt;&gt;"")*(G$3:G$55=G28)*(J$3:J$55&gt;J28)*(I$3:I$55="P"))+1,IF(M28="P",SUMPRODUCT((O$3:O$55&lt;&gt;"")*(P$3:P$55="")*(G$3:G$55=G28)*(I$3:I$55="P"))+SUMPRODUCT((P$3:P$55&lt;&gt;"")*(G$3:G$55=G28)*(I$3:I$55="P"))+SUMPRODUCT((N$3:N$55&lt;&gt;"")*(G$3:G$55=G28)*(I$3:I$55="P"))+SUMPRODUCT((P$3:P$55="")*(O$3:O$55="")*(N$3:N$55="")*(M$3:M$55="P")*(G$3:G$55=G28)*(J$3:J$55&gt;J28)*(I$3:I$55="P"))+1,"")))))</f>
        <v/>
      </c>
      <c r="B28" s="1" t="str" cm="1">
        <f t="array" ref="B28">IF(P28&lt;&gt;"",SUMPRODUCT((P$3:P$55&lt;&gt;"")*(G$3:G$55=G28)*(J$3:J$55&gt;J28))+1,IF(O28&lt;&gt;"",SUMPRODUCT((O$3:O$55&lt;&gt;"")*(P$3:P$55="")*(G$3:G$55=G28)*(J$3:J$55&gt;J28))+SUMPRODUCT((P$3:P$55&lt;&gt;"")*(G$3:G$55=G28))+1,IF(N28&lt;&gt;"",SUMPRODUCT((N$3:N$55&lt;&gt;"")*(G$3:G$55=G28)*(J$3:J$55&gt;J28))+1,IF(M28="P",SUMPRODUCT((O$3:O$55&lt;&gt;"")*(P$3:P$55="")*(G$3:G$55=G28))+SUMPRODUCT((P$3:P$55&lt;&gt;"")*(G$3:G$55=G28))+SUMPRODUCT((N$3:N$55&lt;&gt;"")*(G$3:G$55=G28))+SUMPRODUCT((P$3:P$55="")*(O$3:O$55="")*(N$3:N$55="")*(M$3:M$55="P")*(G$3:G$55=G28)*(J$3:J$55&gt;J28))+1,""))))</f>
        <v/>
      </c>
      <c r="C28" s="36" t="s">
        <v>230</v>
      </c>
      <c r="D28" s="51" t="str">
        <f>IF(E28="","",VLOOKUP(E28,'Coaching Points'!A:B,2,0))</f>
        <v>ON</v>
      </c>
      <c r="E28" s="36" t="s">
        <v>231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127</v>
      </c>
      <c r="I28" s="47"/>
      <c r="J28" s="4">
        <f>IF(G28="17-21",S28,R28)+IF(OR(H28="Junior",H28="Senior"),0.0002,IF(OR(H28="L7",H28="L6"),0.0001,0))+IF(G28="17-21",MAX(AA28,AC28,AF28),AE28)*0.0000001</f>
        <v>44.190100000000001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52" t="str">
        <f>IF(A28&lt;5,IF(_xlfn.MAXIFS(A:A,G:G,G28)&gt;3,5-A28,_xlfn.MAXIFS(A:A,G:G,G28)+1-A28),"")</f>
        <v/>
      </c>
      <c r="R28" s="4">
        <f>MAX(X28,AE28)</f>
        <v>54.72</v>
      </c>
      <c r="S28" s="4">
        <f>MAX(T28,V28,Y28,AA28,AC28,AF28)</f>
        <v>44.19</v>
      </c>
      <c r="T28" s="33">
        <v>44.19</v>
      </c>
      <c r="U28" s="41">
        <v>2.4</v>
      </c>
      <c r="V28" s="34">
        <v>10.53</v>
      </c>
      <c r="W28" s="41">
        <v>2.7</v>
      </c>
      <c r="X28" s="4">
        <f>IF(H28="Senior",MAX(T28,V28),T28+V28)</f>
        <v>54.72</v>
      </c>
      <c r="Y28" s="34">
        <v>0</v>
      </c>
      <c r="Z28" s="41">
        <v>0</v>
      </c>
      <c r="AA28" s="33"/>
      <c r="AB28" s="41"/>
      <c r="AC28" s="34"/>
      <c r="AD28" s="41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$55&lt;&gt;"")*(G$3:G$55=G29)*(J$3:J$55&gt;J29)*(I$3:I$55="P"))+1,IF(O29&lt;&gt;"",SUMPRODUCT((O$3:O$55&lt;&gt;"")*(P$3:P$55="")*(G$3:G$55=G29)*(J$3:J$55&gt;J29)*(I$3:I$55="P"))+SUMPRODUCT((P$3:P$55&lt;&gt;"")*(G$3:G$55=G29))+1,IF(N29&lt;&gt;"",SUMPRODUCT((N$3:N$55&lt;&gt;"")*(G$3:G$55=G29)*(J$3:J$55&gt;J29)*(I$3:I$55="P"))+1,IF(M29="P",SUMPRODUCT((O$3:O$55&lt;&gt;"")*(P$3:P$55="")*(G$3:G$55=G29)*(I$3:I$55="P"))+SUMPRODUCT((P$3:P$55&lt;&gt;"")*(G$3:G$55=G29)*(I$3:I$55="P"))+SUMPRODUCT((N$3:N$55&lt;&gt;"")*(G$3:G$55=G29)*(I$3:I$55="P"))+SUMPRODUCT((P$3:P$55="")*(O$3:O$55="")*(N$3:N$55="")*(M$3:M$55="P")*(G$3:G$55=G29)*(J$3:J$55&gt;J29)*(I$3:I$55="P"))+1,"")))))</f>
        <v/>
      </c>
      <c r="B29" s="1" t="str" cm="1">
        <f t="array" ref="B29">IF(P29&lt;&gt;"",SUMPRODUCT((P$3:P$55&lt;&gt;"")*(G$3:G$55=G29)*(J$3:J$55&gt;J29))+1,IF(O29&lt;&gt;"",SUMPRODUCT((O$3:O$55&lt;&gt;"")*(P$3:P$55="")*(G$3:G$55=G29)*(J$3:J$55&gt;J29))+SUMPRODUCT((P$3:P$55&lt;&gt;"")*(G$3:G$55=G29))+1,IF(N29&lt;&gt;"",SUMPRODUCT((N$3:N$55&lt;&gt;"")*(G$3:G$55=G29)*(J$3:J$55&gt;J29))+1,IF(M29="P",SUMPRODUCT((O$3:O$55&lt;&gt;"")*(P$3:P$55="")*(G$3:G$55=G29))+SUMPRODUCT((P$3:P$55&lt;&gt;"")*(G$3:G$55=G29))+SUMPRODUCT((N$3:N$55&lt;&gt;"")*(G$3:G$55=G29))+SUMPRODUCT((P$3:P$55="")*(O$3:O$55="")*(N$3:N$55="")*(M$3:M$55="P")*(G$3:G$55=G29)*(J$3:J$55&gt;J29))+1,""))))</f>
        <v/>
      </c>
      <c r="C29" s="36" t="s">
        <v>232</v>
      </c>
      <c r="D29" s="51" t="str">
        <f>IF(E29="","",VLOOKUP(E29,'Coaching Points'!A:B,2,0))</f>
        <v>QC</v>
      </c>
      <c r="E29" s="36" t="s">
        <v>192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127</v>
      </c>
      <c r="I29" s="47"/>
      <c r="J29" s="4">
        <f>IF(G29="17-21",S29,R29)+IF(OR(H29="Junior",H29="Senior"),0.0002,IF(OR(H29="L7",H29="L6"),0.0001,0))+IF(G29="17-21",MAX(AA29,AC29,AF29),AE29)*0.0000001</f>
        <v>43.890100000000004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52" t="str">
        <f>IF(A29&lt;5,IF(_xlfn.MAXIFS(A:A,G:G,G29)&gt;3,5-A29,_xlfn.MAXIFS(A:A,G:G,G29)+1-A29),"")</f>
        <v/>
      </c>
      <c r="R29" s="4">
        <f>MAX(X29,AE29)</f>
        <v>54.54</v>
      </c>
      <c r="S29" s="4">
        <f>MAX(T29,V29,Y29,AA29,AC29,AF29)</f>
        <v>43.89</v>
      </c>
      <c r="T29" s="33">
        <v>43.89</v>
      </c>
      <c r="U29" s="41">
        <v>2</v>
      </c>
      <c r="V29" s="34">
        <v>10.65</v>
      </c>
      <c r="W29" s="41">
        <v>2.5</v>
      </c>
      <c r="X29" s="4">
        <f>IF(H29="Senior",MAX(T29,V29),T29+V29)</f>
        <v>54.54</v>
      </c>
      <c r="Y29" s="34">
        <v>0</v>
      </c>
      <c r="Z29" s="41">
        <v>0</v>
      </c>
      <c r="AA29" s="33"/>
      <c r="AB29" s="41"/>
      <c r="AC29" s="34"/>
      <c r="AD29" s="41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$55&lt;&gt;"")*(G$3:G$55=G30)*(J$3:J$55&gt;J30)*(I$3:I$55="P"))+1,IF(O30&lt;&gt;"",SUMPRODUCT((O$3:O$55&lt;&gt;"")*(P$3:P$55="")*(G$3:G$55=G30)*(J$3:J$55&gt;J30)*(I$3:I$55="P"))+SUMPRODUCT((P$3:P$55&lt;&gt;"")*(G$3:G$55=G30))+1,IF(N30&lt;&gt;"",SUMPRODUCT((N$3:N$55&lt;&gt;"")*(G$3:G$55=G30)*(J$3:J$55&gt;J30)*(I$3:I$55="P"))+1,IF(M30="P",SUMPRODUCT((O$3:O$55&lt;&gt;"")*(P$3:P$55="")*(G$3:G$55=G30)*(I$3:I$55="P"))+SUMPRODUCT((P$3:P$55&lt;&gt;"")*(G$3:G$55=G30)*(I$3:I$55="P"))+SUMPRODUCT((N$3:N$55&lt;&gt;"")*(G$3:G$55=G30)*(I$3:I$55="P"))+SUMPRODUCT((P$3:P$55="")*(O$3:O$55="")*(N$3:N$55="")*(M$3:M$55="P")*(G$3:G$55=G30)*(J$3:J$55&gt;J30)*(I$3:I$55="P"))+1,"")))))</f>
        <v/>
      </c>
      <c r="B30" s="1" t="str" cm="1">
        <f t="array" ref="B30">IF(P30&lt;&gt;"",SUMPRODUCT((P$3:P$55&lt;&gt;"")*(G$3:G$55=G30)*(J$3:J$55&gt;J30))+1,IF(O30&lt;&gt;"",SUMPRODUCT((O$3:O$55&lt;&gt;"")*(P$3:P$55="")*(G$3:G$55=G30)*(J$3:J$55&gt;J30))+SUMPRODUCT((P$3:P$55&lt;&gt;"")*(G$3:G$55=G30))+1,IF(N30&lt;&gt;"",SUMPRODUCT((N$3:N$55&lt;&gt;"")*(G$3:G$55=G30)*(J$3:J$55&gt;J30))+1,IF(M30="P",SUMPRODUCT((O$3:O$55&lt;&gt;"")*(P$3:P$55="")*(G$3:G$55=G30))+SUMPRODUCT((P$3:P$55&lt;&gt;"")*(G$3:G$55=G30))+SUMPRODUCT((N$3:N$55&lt;&gt;"")*(G$3:G$55=G30))+SUMPRODUCT((P$3:P$55="")*(O$3:O$55="")*(N$3:N$55="")*(M$3:M$55="P")*(G$3:G$55=G30)*(J$3:J$55&gt;J30))+1,""))))</f>
        <v/>
      </c>
      <c r="C30" s="36" t="s">
        <v>227</v>
      </c>
      <c r="D30" s="51" t="str">
        <f>IF(E30="","",VLOOKUP(E30,'Coaching Points'!A:B,2,0))</f>
        <v>ON</v>
      </c>
      <c r="E30" s="36" t="s">
        <v>212</v>
      </c>
      <c r="F30" s="35">
        <v>2002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127</v>
      </c>
      <c r="I30" s="47"/>
      <c r="J30" s="4">
        <f>IF(G30="17-21",S30,R30)+IF(OR(H30="Junior",H30="Senior"),0.0002,IF(OR(H30="L7",H30="L6"),0.0001,0))+IF(G30="17-21",MAX(AA30,AC30,AF30),AE30)*0.0000001</f>
        <v>43.110100000000003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52" t="str">
        <f>IF(A30&lt;5,IF(_xlfn.MAXIFS(A:A,G:G,G30)&gt;3,5-A30,_xlfn.MAXIFS(A:A,G:G,G30)+1-A30),"")</f>
        <v/>
      </c>
      <c r="R30" s="4">
        <f>MAX(X30,AE30)</f>
        <v>85.43</v>
      </c>
      <c r="S30" s="4">
        <f>MAX(T30,V30,Y30,AA30,AC30,AF30)</f>
        <v>43.11</v>
      </c>
      <c r="T30" s="33">
        <v>42.32</v>
      </c>
      <c r="U30" s="41">
        <v>2.7</v>
      </c>
      <c r="V30" s="34">
        <v>43.11</v>
      </c>
      <c r="W30" s="41">
        <v>8</v>
      </c>
      <c r="X30" s="4">
        <f>IF(H30="Senior",MAX(T30,V30),T30+V30)</f>
        <v>85.43</v>
      </c>
      <c r="Y30" s="34">
        <v>0</v>
      </c>
      <c r="Z30" s="41">
        <v>0</v>
      </c>
      <c r="AA30" s="33"/>
      <c r="AB30" s="41"/>
      <c r="AC30" s="34"/>
      <c r="AD30" s="41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$55&lt;&gt;"")*(G$3:G$55=G31)*(J$3:J$55&gt;J31)*(I$3:I$55="P"))+1,IF(O31&lt;&gt;"",SUMPRODUCT((O$3:O$55&lt;&gt;"")*(P$3:P$55="")*(G$3:G$55=G31)*(J$3:J$55&gt;J31)*(I$3:I$55="P"))+SUMPRODUCT((P$3:P$55&lt;&gt;"")*(G$3:G$55=G31))+1,IF(N31&lt;&gt;"",SUMPRODUCT((N$3:N$55&lt;&gt;"")*(G$3:G$55=G31)*(J$3:J$55&gt;J31)*(I$3:I$55="P"))+1,IF(M31="P",SUMPRODUCT((O$3:O$55&lt;&gt;"")*(P$3:P$55="")*(G$3:G$55=G31)*(I$3:I$55="P"))+SUMPRODUCT((P$3:P$55&lt;&gt;"")*(G$3:G$55=G31)*(I$3:I$55="P"))+SUMPRODUCT((N$3:N$55&lt;&gt;"")*(G$3:G$55=G31)*(I$3:I$55="P"))+SUMPRODUCT((P$3:P$55="")*(O$3:O$55="")*(N$3:N$55="")*(M$3:M$55="P")*(G$3:G$55=G31)*(J$3:J$55&gt;J31)*(I$3:I$55="P"))+1,"")))))</f>
        <v/>
      </c>
      <c r="B31" s="1" t="str" cm="1">
        <f t="array" ref="B31">IF(P31&lt;&gt;"",SUMPRODUCT((P$3:P$55&lt;&gt;"")*(G$3:G$55=G31)*(J$3:J$55&gt;J31))+1,IF(O31&lt;&gt;"",SUMPRODUCT((O$3:O$55&lt;&gt;"")*(P$3:P$55="")*(G$3:G$55=G31)*(J$3:J$55&gt;J31))+SUMPRODUCT((P$3:P$55&lt;&gt;"")*(G$3:G$55=G31))+1,IF(N31&lt;&gt;"",SUMPRODUCT((N$3:N$55&lt;&gt;"")*(G$3:G$55=G31)*(J$3:J$55&gt;J31))+1,IF(M31="P",SUMPRODUCT((O$3:O$55&lt;&gt;"")*(P$3:P$55="")*(G$3:G$55=G31))+SUMPRODUCT((P$3:P$55&lt;&gt;"")*(G$3:G$55=G31))+SUMPRODUCT((N$3:N$55&lt;&gt;"")*(G$3:G$55=G31))+SUMPRODUCT((P$3:P$55="")*(O$3:O$55="")*(N$3:N$55="")*(M$3:M$55="P")*(G$3:G$55=G31)*(J$3:J$55&gt;J31))+1,""))))</f>
        <v/>
      </c>
      <c r="C31" s="36" t="s">
        <v>233</v>
      </c>
      <c r="D31" s="51" t="str">
        <f>IF(E31="","",VLOOKUP(E31,'Coaching Points'!A:B,2,0))</f>
        <v>BC</v>
      </c>
      <c r="E31" s="36" t="s">
        <v>48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127</v>
      </c>
      <c r="I31" s="47"/>
      <c r="J31" s="4">
        <f>IF(G31="17-21",S31,R31)+IF(OR(H31="Junior",H31="Senior"),0.0002,IF(OR(H31="L7",H31="L6"),0.0001,0))+IF(G31="17-21",MAX(AA31,AC31,AF31),AE31)*0.0000001</f>
        <v>41.870100000000008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52" t="str">
        <f>IF(A31&lt;5,IF(_xlfn.MAXIFS(A:A,G:G,G31)&gt;3,5-A31,_xlfn.MAXIFS(A:A,G:G,G31)+1-A31),"")</f>
        <v/>
      </c>
      <c r="R31" s="4">
        <f>MAX(X31,AE31)</f>
        <v>47.050000000000004</v>
      </c>
      <c r="S31" s="4">
        <f>MAX(T31,V31,Y31,AA31,AC31,AF31)</f>
        <v>41.870000000000005</v>
      </c>
      <c r="T31" s="33">
        <v>41.870000000000005</v>
      </c>
      <c r="U31" s="41">
        <v>2.2999999999999998</v>
      </c>
      <c r="V31" s="34">
        <v>5.18</v>
      </c>
      <c r="W31" s="41">
        <v>1.5</v>
      </c>
      <c r="X31" s="4">
        <f>IF(H31="Senior",MAX(T31,V31),T31+V31)</f>
        <v>47.050000000000004</v>
      </c>
      <c r="Y31" s="34">
        <v>0</v>
      </c>
      <c r="Z31" s="41">
        <v>0</v>
      </c>
      <c r="AA31" s="33"/>
      <c r="AB31" s="41"/>
      <c r="AC31" s="34"/>
      <c r="AD31" s="41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$55&lt;&gt;"")*(G$3:G$55=G32)*(J$3:J$55&gt;J32)*(I$3:I$55="P"))+1,IF(O32&lt;&gt;"",SUMPRODUCT((O$3:O$55&lt;&gt;"")*(P$3:P$55="")*(G$3:G$55=G32)*(J$3:J$55&gt;J32)*(I$3:I$55="P"))+SUMPRODUCT((P$3:P$55&lt;&gt;"")*(G$3:G$55=G32))+1,IF(N32&lt;&gt;"",SUMPRODUCT((N$3:N$55&lt;&gt;"")*(G$3:G$55=G32)*(J$3:J$55&gt;J32)*(I$3:I$55="P"))+1,IF(M32="P",SUMPRODUCT((O$3:O$55&lt;&gt;"")*(P$3:P$55="")*(G$3:G$55=G32)*(I$3:I$55="P"))+SUMPRODUCT((P$3:P$55&lt;&gt;"")*(G$3:G$55=G32)*(I$3:I$55="P"))+SUMPRODUCT((N$3:N$55&lt;&gt;"")*(G$3:G$55=G32)*(I$3:I$55="P"))+SUMPRODUCT((P$3:P$55="")*(O$3:O$55="")*(N$3:N$55="")*(M$3:M$55="P")*(G$3:G$55=G32)*(J$3:J$55&gt;J32)*(I$3:I$55="P"))+1,"")))))</f>
        <v/>
      </c>
      <c r="B32" s="1" t="str" cm="1">
        <f t="array" ref="B32">IF(P32&lt;&gt;"",SUMPRODUCT((P$3:P$55&lt;&gt;"")*(G$3:G$55=G32)*(J$3:J$55&gt;J32))+1,IF(O32&lt;&gt;"",SUMPRODUCT((O$3:O$55&lt;&gt;"")*(P$3:P$55="")*(G$3:G$55=G32)*(J$3:J$55&gt;J32))+SUMPRODUCT((P$3:P$55&lt;&gt;"")*(G$3:G$55=G32))+1,IF(N32&lt;&gt;"",SUMPRODUCT((N$3:N$55&lt;&gt;"")*(G$3:G$55=G32)*(J$3:J$55&gt;J32))+1,IF(M32="P",SUMPRODUCT((O$3:O$55&lt;&gt;"")*(P$3:P$55="")*(G$3:G$55=G32))+SUMPRODUCT((P$3:P$55&lt;&gt;"")*(G$3:G$55=G32))+SUMPRODUCT((N$3:N$55&lt;&gt;"")*(G$3:G$55=G32))+SUMPRODUCT((P$3:P$55="")*(O$3:O$55="")*(N$3:N$55="")*(M$3:M$55="P")*(G$3:G$55=G32)*(J$3:J$55&gt;J32))+1,""))))</f>
        <v/>
      </c>
      <c r="C32" s="36" t="s">
        <v>228</v>
      </c>
      <c r="D32" s="51" t="str">
        <f>IF(E32="","",VLOOKUP(E32,'Coaching Points'!A:B,2,0))</f>
        <v>BC</v>
      </c>
      <c r="E32" s="36" t="s">
        <v>43</v>
      </c>
      <c r="F32" s="35">
        <v>2004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127</v>
      </c>
      <c r="I32" s="47"/>
      <c r="J32" s="4">
        <f>IF(G32="17-21",S32,R32)+IF(OR(H32="Junior",H32="Senior"),0.0002,IF(OR(H32="L7",H32="L6"),0.0001,0))+IF(G32="17-21",MAX(AA32,AC32,AF32),AE32)*0.0000001</f>
        <v>41.100100000000005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52" t="str">
        <f>IF(A32&lt;5,IF(_xlfn.MAXIFS(A:A,G:G,G32)&gt;3,5-A32,_xlfn.MAXIFS(A:A,G:G,G32)+1-A32),"")</f>
        <v/>
      </c>
      <c r="R32" s="4">
        <f>MAX(X32,AE32)</f>
        <v>81.430000000000007</v>
      </c>
      <c r="S32" s="4">
        <f>MAX(T32,V32,Y32,AA32,AC32,AF32)</f>
        <v>41.1</v>
      </c>
      <c r="T32" s="33">
        <v>40.33</v>
      </c>
      <c r="U32" s="41">
        <v>1.8</v>
      </c>
      <c r="V32" s="34">
        <v>41.1</v>
      </c>
      <c r="W32" s="41">
        <v>8.2999999999999989</v>
      </c>
      <c r="X32" s="4">
        <f>IF(H32="Senior",MAX(T32,V32),T32+V32)</f>
        <v>81.430000000000007</v>
      </c>
      <c r="Y32" s="34">
        <v>0</v>
      </c>
      <c r="Z32" s="41">
        <v>0</v>
      </c>
      <c r="AA32" s="33"/>
      <c r="AB32" s="41"/>
      <c r="AC32" s="34"/>
      <c r="AD32" s="41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$55&lt;&gt;"")*(G$3:G$55=G33)*(J$3:J$55&gt;J33)*(I$3:I$55="P"))+1,IF(O33&lt;&gt;"",SUMPRODUCT((O$3:O$55&lt;&gt;"")*(P$3:P$55="")*(G$3:G$55=G33)*(J$3:J$55&gt;J33)*(I$3:I$55="P"))+SUMPRODUCT((P$3:P$55&lt;&gt;"")*(G$3:G$55=G33))+1,IF(N33&lt;&gt;"",SUMPRODUCT((N$3:N$55&lt;&gt;"")*(G$3:G$55=G33)*(J$3:J$55&gt;J33)*(I$3:I$55="P"))+1,IF(M33="P",SUMPRODUCT((O$3:O$55&lt;&gt;"")*(P$3:P$55="")*(G$3:G$55=G33)*(I$3:I$55="P"))+SUMPRODUCT((P$3:P$55&lt;&gt;"")*(G$3:G$55=G33)*(I$3:I$55="P"))+SUMPRODUCT((N$3:N$55&lt;&gt;"")*(G$3:G$55=G33)*(I$3:I$55="P"))+SUMPRODUCT((P$3:P$55="")*(O$3:O$55="")*(N$3:N$55="")*(M$3:M$55="P")*(G$3:G$55=G33)*(J$3:J$55&gt;J33)*(I$3:I$55="P"))+1,"")))))</f>
        <v/>
      </c>
      <c r="B33" s="1" t="str" cm="1">
        <f t="array" ref="B33">IF(P33&lt;&gt;"",SUMPRODUCT((P$3:P$55&lt;&gt;"")*(G$3:G$55=G33)*(J$3:J$55&gt;J33))+1,IF(O33&lt;&gt;"",SUMPRODUCT((O$3:O$55&lt;&gt;"")*(P$3:P$55="")*(G$3:G$55=G33)*(J$3:J$55&gt;J33))+SUMPRODUCT((P$3:P$55&lt;&gt;"")*(G$3:G$55=G33))+1,IF(N33&lt;&gt;"",SUMPRODUCT((N$3:N$55&lt;&gt;"")*(G$3:G$55=G33)*(J$3:J$55&gt;J33))+1,IF(M33="P",SUMPRODUCT((O$3:O$55&lt;&gt;"")*(P$3:P$55="")*(G$3:G$55=G33))+SUMPRODUCT((P$3:P$55&lt;&gt;"")*(G$3:G$55=G33))+SUMPRODUCT((N$3:N$55&lt;&gt;"")*(G$3:G$55=G33))+SUMPRODUCT((P$3:P$55="")*(O$3:O$55="")*(N$3:N$55="")*(M$3:M$55="P")*(G$3:G$55=G33)*(J$3:J$55&gt;J33))+1,""))))</f>
        <v/>
      </c>
      <c r="C33" s="36" t="s">
        <v>229</v>
      </c>
      <c r="D33" s="51" t="str">
        <f>IF(E33="","",VLOOKUP(E33,'Coaching Points'!A:B,2,0))</f>
        <v>BC</v>
      </c>
      <c r="E33" s="36" t="s">
        <v>48</v>
      </c>
      <c r="F33" s="35">
        <v>2003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127</v>
      </c>
      <c r="I33" s="47"/>
      <c r="J33" s="4">
        <f>IF(G33="17-21",S33,R33)+IF(OR(H33="Junior",H33="Senior"),0.0002,IF(OR(H33="L7",H33="L6"),0.0001,0))+IF(G33="17-21",MAX(AA33,AC33,AF33),AE33)*0.0000001</f>
        <v>31.710100000000001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52" t="str">
        <f>IF(A33&lt;5,IF(_xlfn.MAXIFS(A:A,G:G,G33)&gt;3,5-A33,_xlfn.MAXIFS(A:A,G:G,G33)+1-A33),"")</f>
        <v/>
      </c>
      <c r="R33" s="4">
        <f>MAX(X33,AE33)</f>
        <v>56.14</v>
      </c>
      <c r="S33" s="4">
        <f>MAX(T33,V33,Y33,AA33,AC33,AF33)</f>
        <v>31.71</v>
      </c>
      <c r="T33" s="33">
        <v>31.71</v>
      </c>
      <c r="U33" s="41">
        <v>0</v>
      </c>
      <c r="V33" s="34">
        <v>24.43</v>
      </c>
      <c r="W33" s="41">
        <v>6.7</v>
      </c>
      <c r="X33" s="4">
        <f>IF(H33="Senior",MAX(T33,V33),T33+V33)</f>
        <v>56.14</v>
      </c>
      <c r="Y33" s="34">
        <v>0</v>
      </c>
      <c r="Z33" s="41">
        <v>0</v>
      </c>
      <c r="AA33" s="33"/>
      <c r="AB33" s="41"/>
      <c r="AC33" s="34"/>
      <c r="AD33" s="41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$55&lt;&gt;"")*(G$3:G$55=G34)*(J$3:J$55&gt;J34)*(I$3:I$55="P"))+1,IF(O34&lt;&gt;"",SUMPRODUCT((O$3:O$55&lt;&gt;"")*(P$3:P$55="")*(G$3:G$55=G34)*(J$3:J$55&gt;J34)*(I$3:I$55="P"))+SUMPRODUCT((P$3:P$55&lt;&gt;"")*(G$3:G$55=G34))+1,IF(N34&lt;&gt;"",SUMPRODUCT((N$3:N$55&lt;&gt;"")*(G$3:G$55=G34)*(J$3:J$55&gt;J34)*(I$3:I$55="P"))+1,IF(M34="P",SUMPRODUCT((O$3:O$55&lt;&gt;"")*(P$3:P$55="")*(G$3:G$55=G34)*(I$3:I$55="P"))+SUMPRODUCT((P$3:P$55&lt;&gt;"")*(G$3:G$55=G34)*(I$3:I$55="P"))+SUMPRODUCT((N$3:N$55&lt;&gt;"")*(G$3:G$55=G34)*(I$3:I$55="P"))+SUMPRODUCT((P$3:P$55="")*(O$3:O$55="")*(N$3:N$55="")*(M$3:M$55="P")*(G$3:G$55=G34)*(J$3:J$55&gt;J34)*(I$3:I$55="P"))+1,"")))))</f>
        <v/>
      </c>
      <c r="B34" s="1" t="str" cm="1">
        <f t="array" ref="B34">IF(P34&lt;&gt;"",SUMPRODUCT((P$3:P$55&lt;&gt;"")*(G$3:G$55=G34)*(J$3:J$55&gt;J34))+1,IF(O34&lt;&gt;"",SUMPRODUCT((O$3:O$55&lt;&gt;"")*(P$3:P$55="")*(G$3:G$55=G34)*(J$3:J$55&gt;J34))+SUMPRODUCT((P$3:P$55&lt;&gt;"")*(G$3:G$55=G34))+1,IF(N34&lt;&gt;"",SUMPRODUCT((N$3:N$55&lt;&gt;"")*(G$3:G$55=G34)*(J$3:J$55&gt;J34))+1,IF(M34="P",SUMPRODUCT((O$3:O$55&lt;&gt;"")*(P$3:P$55="")*(G$3:G$55=G34))+SUMPRODUCT((P$3:P$55&lt;&gt;"")*(G$3:G$55=G34))+SUMPRODUCT((N$3:N$55&lt;&gt;"")*(G$3:G$55=G34))+SUMPRODUCT((P$3:P$55="")*(O$3:O$55="")*(N$3:N$55="")*(M$3:M$55="P")*(G$3:G$55=G34)*(J$3:J$55&gt;J34))+1,""))))</f>
        <v/>
      </c>
      <c r="C34" s="36" t="s">
        <v>213</v>
      </c>
      <c r="D34" s="51" t="str">
        <f>IF(E34="","",VLOOKUP(E34,'Coaching Points'!A:B,2,0))</f>
        <v>QC</v>
      </c>
      <c r="E34" s="36" t="s">
        <v>192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1" t="s">
        <v>126</v>
      </c>
      <c r="I34" s="47"/>
      <c r="J34" s="4">
        <f>IF(G34="17-21",S34,R34)+IF(OR(H34="Junior",H34="Senior"),0.0002,IF(OR(H34="L7",H34="L6"),0.0001,0))+IF(G34="17-21",MAX(AA34,AC34,AF34),AE34)*0.0000001</f>
        <v>92.570099999999996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52" t="str">
        <f>IF(A34&lt;5,IF(_xlfn.MAXIFS(A:A,G:G,G34)&gt;3,5-A34,_xlfn.MAXIFS(A:A,G:G,G34)+1-A34),"")</f>
        <v/>
      </c>
      <c r="R34" s="4">
        <f>MAX(X34,AE34)</f>
        <v>92.57</v>
      </c>
      <c r="S34" s="4">
        <f>MAX(T34,V34,Y34,AA34,AC34,AF34)</f>
        <v>50.65</v>
      </c>
      <c r="T34" s="33">
        <v>42.25</v>
      </c>
      <c r="U34" s="41">
        <v>0</v>
      </c>
      <c r="V34" s="34">
        <v>50.319999999999993</v>
      </c>
      <c r="W34" s="41">
        <v>10.5</v>
      </c>
      <c r="X34" s="4">
        <f>IF(H34="Senior",MAX(T34,V34),T34+V34)</f>
        <v>92.57</v>
      </c>
      <c r="Y34" s="34">
        <v>50.65</v>
      </c>
      <c r="Z34" s="41">
        <v>10.5</v>
      </c>
      <c r="AA34" s="33"/>
      <c r="AB34" s="41"/>
      <c r="AC34" s="34"/>
      <c r="AD34" s="41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$55&lt;&gt;"")*(G$3:G$55=G35)*(J$3:J$55&gt;J35)*(I$3:I$55="P"))+1,IF(O35&lt;&gt;"",SUMPRODUCT((O$3:O$55&lt;&gt;"")*(P$3:P$55="")*(G$3:G$55=G35)*(J$3:J$55&gt;J35)*(I$3:I$55="P"))+SUMPRODUCT((P$3:P$55&lt;&gt;"")*(G$3:G$55=G35))+1,IF(N35&lt;&gt;"",SUMPRODUCT((N$3:N$55&lt;&gt;"")*(G$3:G$55=G35)*(J$3:J$55&gt;J35)*(I$3:I$55="P"))+1,IF(M35="P",SUMPRODUCT((O$3:O$55&lt;&gt;"")*(P$3:P$55="")*(G$3:G$55=G35)*(I$3:I$55="P"))+SUMPRODUCT((P$3:P$55&lt;&gt;"")*(G$3:G$55=G35)*(I$3:I$55="P"))+SUMPRODUCT((N$3:N$55&lt;&gt;"")*(G$3:G$55=G35)*(I$3:I$55="P"))+SUMPRODUCT((P$3:P$55="")*(O$3:O$55="")*(N$3:N$55="")*(M$3:M$55="P")*(G$3:G$55=G35)*(J$3:J$55&gt;J35)*(I$3:I$55="P"))+1,"")))))</f>
        <v/>
      </c>
      <c r="B35" s="1" t="str" cm="1">
        <f t="array" ref="B35">IF(P35&lt;&gt;"",SUMPRODUCT((P$3:P$55&lt;&gt;"")*(G$3:G$55=G35)*(J$3:J$55&gt;J35))+1,IF(O35&lt;&gt;"",SUMPRODUCT((O$3:O$55&lt;&gt;"")*(P$3:P$55="")*(G$3:G$55=G35)*(J$3:J$55&gt;J35))+SUMPRODUCT((P$3:P$55&lt;&gt;"")*(G$3:G$55=G35))+1,IF(N35&lt;&gt;"",SUMPRODUCT((N$3:N$55&lt;&gt;"")*(G$3:G$55=G35)*(J$3:J$55&gt;J35))+1,IF(M35="P",SUMPRODUCT((O$3:O$55&lt;&gt;"")*(P$3:P$55="")*(G$3:G$55=G35))+SUMPRODUCT((P$3:P$55&lt;&gt;"")*(G$3:G$55=G35))+SUMPRODUCT((N$3:N$55&lt;&gt;"")*(G$3:G$55=G35))+SUMPRODUCT((P$3:P$55="")*(O$3:O$55="")*(N$3:N$55="")*(M$3:M$55="P")*(G$3:G$55=G35)*(J$3:J$55&gt;J35))+1,""))))</f>
        <v/>
      </c>
      <c r="C35" s="50" t="s">
        <v>182</v>
      </c>
      <c r="D35" s="51" t="str">
        <f>IF(E35="","",VLOOKUP(E35,'Coaching Points'!A:B,2,0))</f>
        <v>ON</v>
      </c>
      <c r="E35" s="36" t="s">
        <v>152</v>
      </c>
      <c r="F35" s="35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1" t="s">
        <v>124</v>
      </c>
      <c r="I35" s="47"/>
      <c r="J35" s="4">
        <f>IF(G35="17-21",S35,R35)+IF(OR(H35="Junior",H35="Senior"),0.0002,IF(OR(H35="L7",H35="L6"),0.0001,0))+IF(G35="17-21",MAX(AA35,AC35,AF35),AE35)*0.0000001</f>
        <v>91.650200000000012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52" t="str">
        <f>IF(A35&lt;5,IF(_xlfn.MAXIFS(A:A,G:G,G35)&gt;3,5-A35,_xlfn.MAXIFS(A:A,G:G,G35)+1-A35),"")</f>
        <v/>
      </c>
      <c r="R35" s="4">
        <f>MAX(X35,AE35)</f>
        <v>91.65</v>
      </c>
      <c r="S35" s="4">
        <f>MAX(T35,V35,Y35,AA35,AC35,AF35)</f>
        <v>50.28</v>
      </c>
      <c r="T35" s="33">
        <v>41.37</v>
      </c>
      <c r="U35" s="42">
        <v>0</v>
      </c>
      <c r="V35" s="44">
        <v>50.28</v>
      </c>
      <c r="W35" s="42">
        <v>11.2</v>
      </c>
      <c r="X35" s="4">
        <f>IF(H35="Senior",MAX(T35,V35),T35+V35)</f>
        <v>91.65</v>
      </c>
      <c r="Y35" s="44">
        <v>49.8</v>
      </c>
      <c r="Z35" s="42">
        <v>11.2</v>
      </c>
      <c r="AA35" s="33"/>
      <c r="AB35" s="41"/>
      <c r="AC35" s="34"/>
      <c r="AD35" s="41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$55&lt;&gt;"")*(G$3:G$55=G36)*(J$3:J$55&gt;J36)*(I$3:I$55="P"))+1,IF(O36&lt;&gt;"",SUMPRODUCT((O$3:O$55&lt;&gt;"")*(P$3:P$55="")*(G$3:G$55=G36)*(J$3:J$55&gt;J36)*(I$3:I$55="P"))+SUMPRODUCT((P$3:P$55&lt;&gt;"")*(G$3:G$55=G36))+1,IF(N36&lt;&gt;"",SUMPRODUCT((N$3:N$55&lt;&gt;"")*(G$3:G$55=G36)*(J$3:J$55&gt;J36)*(I$3:I$55="P"))+1,IF(M36="P",SUMPRODUCT((O$3:O$55&lt;&gt;"")*(P$3:P$55="")*(G$3:G$55=G36)*(I$3:I$55="P"))+SUMPRODUCT((P$3:P$55&lt;&gt;"")*(G$3:G$55=G36)*(I$3:I$55="P"))+SUMPRODUCT((N$3:N$55&lt;&gt;"")*(G$3:G$55=G36)*(I$3:I$55="P"))+SUMPRODUCT((P$3:P$55="")*(O$3:O$55="")*(N$3:N$55="")*(M$3:M$55="P")*(G$3:G$55=G36)*(J$3:J$55&gt;J36)*(I$3:I$55="P"))+1,"")))))</f>
        <v/>
      </c>
      <c r="B36" s="1" t="str" cm="1">
        <f t="array" ref="B36">IF(P36&lt;&gt;"",SUMPRODUCT((P$3:P$55&lt;&gt;"")*(G$3:G$55=G36)*(J$3:J$55&gt;J36))+1,IF(O36&lt;&gt;"",SUMPRODUCT((O$3:O$55&lt;&gt;"")*(P$3:P$55="")*(G$3:G$55=G36)*(J$3:J$55&gt;J36))+SUMPRODUCT((P$3:P$55&lt;&gt;"")*(G$3:G$55=G36))+1,IF(N36&lt;&gt;"",SUMPRODUCT((N$3:N$55&lt;&gt;"")*(G$3:G$55=G36)*(J$3:J$55&gt;J36))+1,IF(M36="P",SUMPRODUCT((O$3:O$55&lt;&gt;"")*(P$3:P$55="")*(G$3:G$55=G36))+SUMPRODUCT((P$3:P$55&lt;&gt;"")*(G$3:G$55=G36))+SUMPRODUCT((N$3:N$55&lt;&gt;"")*(G$3:G$55=G36))+SUMPRODUCT((P$3:P$55="")*(O$3:O$55="")*(N$3:N$55="")*(M$3:M$55="P")*(G$3:G$55=G36)*(J$3:J$55&gt;J36))+1,""))))</f>
        <v/>
      </c>
      <c r="C36" s="36" t="s">
        <v>191</v>
      </c>
      <c r="D36" s="51" t="str">
        <f>IF(E36="","",VLOOKUP(E36,'Coaching Points'!A:B,2,0))</f>
        <v>QC</v>
      </c>
      <c r="E36" s="36" t="s">
        <v>192</v>
      </c>
      <c r="F36" s="35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125</v>
      </c>
      <c r="I36" s="47"/>
      <c r="J36" s="4">
        <f>IF(G36="17-21",S36,R36)+IF(OR(H36="Junior",H36="Senior"),0.0002,IF(OR(H36="L7",H36="L6"),0.0001,0))+IF(G36="17-21",MAX(AA36,AC36,AF36),AE36)*0.0000001</f>
        <v>88.32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52" t="str">
        <f>IF(A36&lt;5,IF(_xlfn.MAXIFS(A:A,G:G,G36)&gt;3,5-A36,_xlfn.MAXIFS(A:A,G:G,G36)+1-A36),"")</f>
        <v/>
      </c>
      <c r="R36" s="4">
        <f>MAX(X36,AE36)</f>
        <v>88.32</v>
      </c>
      <c r="S36" s="4">
        <f>MAX(T36,V36,Y36,AA36,AC36,AF36)</f>
        <v>48.969999999999992</v>
      </c>
      <c r="T36" s="33">
        <v>41.019999999999996</v>
      </c>
      <c r="U36" s="41">
        <v>0</v>
      </c>
      <c r="V36" s="34">
        <v>47.3</v>
      </c>
      <c r="W36" s="41">
        <v>9.9999999999999964</v>
      </c>
      <c r="X36" s="4">
        <f>IF(H36="Senior",MAX(T36,V36),T36+V36)</f>
        <v>88.32</v>
      </c>
      <c r="Y36" s="34">
        <v>48.969999999999992</v>
      </c>
      <c r="Z36" s="41">
        <v>9.9999999999999964</v>
      </c>
      <c r="AA36" s="33"/>
      <c r="AB36" s="41"/>
      <c r="AC36" s="34"/>
      <c r="AD36" s="41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$55&lt;&gt;"")*(G$3:G$55=G37)*(J$3:J$55&gt;J37)*(I$3:I$55="P"))+1,IF(O37&lt;&gt;"",SUMPRODUCT((O$3:O$55&lt;&gt;"")*(P$3:P$55="")*(G$3:G$55=G37)*(J$3:J$55&gt;J37)*(I$3:I$55="P"))+SUMPRODUCT((P$3:P$55&lt;&gt;"")*(G$3:G$55=G37))+1,IF(N37&lt;&gt;"",SUMPRODUCT((N$3:N$55&lt;&gt;"")*(G$3:G$55=G37)*(J$3:J$55&gt;J37)*(I$3:I$55="P"))+1,IF(M37="P",SUMPRODUCT((O$3:O$55&lt;&gt;"")*(P$3:P$55="")*(G$3:G$55=G37)*(I$3:I$55="P"))+SUMPRODUCT((P$3:P$55&lt;&gt;"")*(G$3:G$55=G37)*(I$3:I$55="P"))+SUMPRODUCT((N$3:N$55&lt;&gt;"")*(G$3:G$55=G37)*(I$3:I$55="P"))+SUMPRODUCT((P$3:P$55="")*(O$3:O$55="")*(N$3:N$55="")*(M$3:M$55="P")*(G$3:G$55=G37)*(J$3:J$55&gt;J37)*(I$3:I$55="P"))+1,"")))))</f>
        <v/>
      </c>
      <c r="B37" s="1" t="str" cm="1">
        <f t="array" ref="B37">IF(P37&lt;&gt;"",SUMPRODUCT((P$3:P$55&lt;&gt;"")*(G$3:G$55=G37)*(J$3:J$55&gt;J37))+1,IF(O37&lt;&gt;"",SUMPRODUCT((O$3:O$55&lt;&gt;"")*(P$3:P$55="")*(G$3:G$55=G37)*(J$3:J$55&gt;J37))+SUMPRODUCT((P$3:P$55&lt;&gt;"")*(G$3:G$55=G37))+1,IF(N37&lt;&gt;"",SUMPRODUCT((N$3:N$55&lt;&gt;"")*(G$3:G$55=G37)*(J$3:J$55&gt;J37))+1,IF(M37="P",SUMPRODUCT((O$3:O$55&lt;&gt;"")*(P$3:P$55="")*(G$3:G$55=G37))+SUMPRODUCT((P$3:P$55&lt;&gt;"")*(G$3:G$55=G37))+SUMPRODUCT((N$3:N$55&lt;&gt;"")*(G$3:G$55=G37))+SUMPRODUCT((P$3:P$55="")*(O$3:O$55="")*(N$3:N$55="")*(M$3:M$55="P")*(G$3:G$55=G37)*(J$3:J$55&gt;J37))+1,""))))</f>
        <v/>
      </c>
      <c r="C37" s="36" t="s">
        <v>193</v>
      </c>
      <c r="D37" s="51" t="str">
        <f>IF(E37="","",VLOOKUP(E37,'Coaching Points'!A:B,2,0))</f>
        <v>QC</v>
      </c>
      <c r="E37" s="36" t="s">
        <v>192</v>
      </c>
      <c r="F37" s="35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125</v>
      </c>
      <c r="I37" s="47"/>
      <c r="J37" s="4">
        <f>IF(G37="17-21",S37,R37)+IF(OR(H37="Junior",H37="Senior"),0.0002,IF(OR(H37="L7",H37="L6"),0.0001,0))+IF(G37="17-21",MAX(AA37,AC37,AF37),AE37)*0.0000001</f>
        <v>86.789999999999992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52" t="str">
        <f>IF(A37&lt;5,IF(_xlfn.MAXIFS(A:A,G:G,G37)&gt;3,5-A37,_xlfn.MAXIFS(A:A,G:G,G37)+1-A37),"")</f>
        <v/>
      </c>
      <c r="R37" s="4">
        <f>MAX(X37,AE37)</f>
        <v>86.789999999999992</v>
      </c>
      <c r="S37" s="4">
        <f>MAX(T37,V37,Y37,AA37,AC37,AF37)</f>
        <v>47.019999999999996</v>
      </c>
      <c r="T37" s="33">
        <v>40.049999999999997</v>
      </c>
      <c r="U37" s="41">
        <v>0</v>
      </c>
      <c r="V37" s="34">
        <v>46.739999999999995</v>
      </c>
      <c r="W37" s="41">
        <v>8.1999999999999993</v>
      </c>
      <c r="X37" s="4">
        <f>IF(H37="Senior",MAX(T37,V37),T37+V37)</f>
        <v>86.789999999999992</v>
      </c>
      <c r="Y37" s="34">
        <v>47.019999999999996</v>
      </c>
      <c r="Z37" s="41">
        <v>7.6</v>
      </c>
      <c r="AA37" s="33"/>
      <c r="AB37" s="41"/>
      <c r="AC37" s="34"/>
      <c r="AD37" s="41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$55&lt;&gt;"")*(G$3:G$55=G38)*(J$3:J$55&gt;J38)*(I$3:I$55="P"))+1,IF(O38&lt;&gt;"",SUMPRODUCT((O$3:O$55&lt;&gt;"")*(P$3:P$55="")*(G$3:G$55=G38)*(J$3:J$55&gt;J38)*(I$3:I$55="P"))+SUMPRODUCT((P$3:P$55&lt;&gt;"")*(G$3:G$55=G38))+1,IF(N38&lt;&gt;"",SUMPRODUCT((N$3:N$55&lt;&gt;"")*(G$3:G$55=G38)*(J$3:J$55&gt;J38)*(I$3:I$55="P"))+1,IF(M38="P",SUMPRODUCT((O$3:O$55&lt;&gt;"")*(P$3:P$55="")*(G$3:G$55=G38)*(I$3:I$55="P"))+SUMPRODUCT((P$3:P$55&lt;&gt;"")*(G$3:G$55=G38)*(I$3:I$55="P"))+SUMPRODUCT((N$3:N$55&lt;&gt;"")*(G$3:G$55=G38)*(I$3:I$55="P"))+SUMPRODUCT((P$3:P$55="")*(O$3:O$55="")*(N$3:N$55="")*(M$3:M$55="P")*(G$3:G$55=G38)*(J$3:J$55&gt;J38)*(I$3:I$55="P"))+1,"")))))</f>
        <v/>
      </c>
      <c r="B38" s="1" t="str" cm="1">
        <f t="array" ref="B38">IF(P38&lt;&gt;"",SUMPRODUCT((P$3:P$55&lt;&gt;"")*(G$3:G$55=G38)*(J$3:J$55&gt;J38))+1,IF(O38&lt;&gt;"",SUMPRODUCT((O$3:O$55&lt;&gt;"")*(P$3:P$55="")*(G$3:G$55=G38)*(J$3:J$55&gt;J38))+SUMPRODUCT((P$3:P$55&lt;&gt;"")*(G$3:G$55=G38))+1,IF(N38&lt;&gt;"",SUMPRODUCT((N$3:N$55&lt;&gt;"")*(G$3:G$55=G38)*(J$3:J$55&gt;J38))+1,IF(M38="P",SUMPRODUCT((O$3:O$55&lt;&gt;"")*(P$3:P$55="")*(G$3:G$55=G38))+SUMPRODUCT((P$3:P$55&lt;&gt;"")*(G$3:G$55=G38))+SUMPRODUCT((N$3:N$55&lt;&gt;"")*(G$3:G$55=G38))+SUMPRODUCT((P$3:P$55="")*(O$3:O$55="")*(N$3:N$55="")*(M$3:M$55="P")*(G$3:G$55=G38)*(J$3:J$55&gt;J38))+1,""))))</f>
        <v/>
      </c>
      <c r="C38" s="36" t="s">
        <v>195</v>
      </c>
      <c r="D38" s="51" t="str">
        <f>IF(E38="","",VLOOKUP(E38,'Coaching Points'!A:B,2,0))</f>
        <v>QC</v>
      </c>
      <c r="E38" s="36" t="s">
        <v>377</v>
      </c>
      <c r="F38" s="35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125</v>
      </c>
      <c r="I38" s="47"/>
      <c r="J38" s="4">
        <f>IF(G38="17-21",S38,R38)+IF(OR(H38="Junior",H38="Senior"),0.0002,IF(OR(H38="L7",H38="L6"),0.0001,0))+IF(G38="17-21",MAX(AA38,AC38,AF38),AE38)*0.0000001</f>
        <v>83.87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52" t="str">
        <f>IF(A38&lt;5,IF(_xlfn.MAXIFS(A:A,G:G,G38)&gt;3,5-A38,_xlfn.MAXIFS(A:A,G:G,G38)+1-A38),"")</f>
        <v/>
      </c>
      <c r="R38" s="4">
        <f>MAX(X38,AE38)</f>
        <v>83.87</v>
      </c>
      <c r="S38" s="4">
        <f>MAX(T38,V38,Y38,AA38,AC38,AF38)</f>
        <v>46.21</v>
      </c>
      <c r="T38" s="33">
        <v>37.660000000000004</v>
      </c>
      <c r="U38" s="41">
        <v>0</v>
      </c>
      <c r="V38" s="34">
        <v>46.21</v>
      </c>
      <c r="W38" s="41">
        <v>7.6</v>
      </c>
      <c r="X38" s="4">
        <f>IF(H38="Senior",MAX(T38,V38),T38+V38)</f>
        <v>83.87</v>
      </c>
      <c r="Y38" s="34">
        <v>46.12</v>
      </c>
      <c r="Z38" s="41">
        <v>7.6</v>
      </c>
      <c r="AA38" s="33"/>
      <c r="AB38" s="41"/>
      <c r="AC38" s="34"/>
      <c r="AD38" s="41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$55&lt;&gt;"")*(G$3:G$55=G39)*(J$3:J$55&gt;J39)*(I$3:I$55="P"))+1,IF(O39&lt;&gt;"",SUMPRODUCT((O$3:O$55&lt;&gt;"")*(P$3:P$55="")*(G$3:G$55=G39)*(J$3:J$55&gt;J39)*(I$3:I$55="P"))+SUMPRODUCT((P$3:P$55&lt;&gt;"")*(G$3:G$55=G39))+1,IF(N39&lt;&gt;"",SUMPRODUCT((N$3:N$55&lt;&gt;"")*(G$3:G$55=G39)*(J$3:J$55&gt;J39)*(I$3:I$55="P"))+1,IF(M39="P",SUMPRODUCT((O$3:O$55&lt;&gt;"")*(P$3:P$55="")*(G$3:G$55=G39)*(I$3:I$55="P"))+SUMPRODUCT((P$3:P$55&lt;&gt;"")*(G$3:G$55=G39)*(I$3:I$55="P"))+SUMPRODUCT((N$3:N$55&lt;&gt;"")*(G$3:G$55=G39)*(I$3:I$55="P"))+SUMPRODUCT((P$3:P$55="")*(O$3:O$55="")*(N$3:N$55="")*(M$3:M$55="P")*(G$3:G$55=G39)*(J$3:J$55&gt;J39)*(I$3:I$55="P"))+1,"")))))</f>
        <v/>
      </c>
      <c r="B39" s="1" t="str" cm="1">
        <f t="array" ref="B39">IF(P39&lt;&gt;"",SUMPRODUCT((P$3:P$55&lt;&gt;"")*(G$3:G$55=G39)*(J$3:J$55&gt;J39))+1,IF(O39&lt;&gt;"",SUMPRODUCT((O$3:O$55&lt;&gt;"")*(P$3:P$55="")*(G$3:G$55=G39)*(J$3:J$55&gt;J39))+SUMPRODUCT((P$3:P$55&lt;&gt;"")*(G$3:G$55=G39))+1,IF(N39&lt;&gt;"",SUMPRODUCT((N$3:N$55&lt;&gt;"")*(G$3:G$55=G39)*(J$3:J$55&gt;J39))+1,IF(M39="P",SUMPRODUCT((O$3:O$55&lt;&gt;"")*(P$3:P$55="")*(G$3:G$55=G39))+SUMPRODUCT((P$3:P$55&lt;&gt;"")*(G$3:G$55=G39))+SUMPRODUCT((N$3:N$55&lt;&gt;"")*(G$3:G$55=G39))+SUMPRODUCT((P$3:P$55="")*(O$3:O$55="")*(N$3:N$55="")*(M$3:M$55="P")*(G$3:G$55=G39)*(J$3:J$55&gt;J39))+1,""))))</f>
        <v/>
      </c>
      <c r="C39" s="36" t="s">
        <v>198</v>
      </c>
      <c r="D39" s="51" t="str">
        <f>IF(E39="","",VLOOKUP(E39,'Coaching Points'!A:B,2,0))</f>
        <v>BC</v>
      </c>
      <c r="E39" s="36" t="s">
        <v>93</v>
      </c>
      <c r="F39" s="35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125</v>
      </c>
      <c r="I39" s="47"/>
      <c r="J39" s="4">
        <f>IF(G39="17-21",S39,R39)+IF(OR(H39="Junior",H39="Senior"),0.0002,IF(OR(H39="L7",H39="L6"),0.0001,0))+IF(G39="17-21",MAX(AA39,AC39,AF39),AE39)*0.0000001</f>
        <v>83.48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52" t="str">
        <f>IF(A39&lt;5,IF(_xlfn.MAXIFS(A:A,G:G,G39)&gt;3,5-A39,_xlfn.MAXIFS(A:A,G:G,G39)+1-A39),"")</f>
        <v/>
      </c>
      <c r="R39" s="4">
        <f>MAX(X39,AE39)</f>
        <v>83.48</v>
      </c>
      <c r="S39" s="4">
        <f>MAX(T39,V39,Y39,AA39,AC39,AF39)</f>
        <v>45.81</v>
      </c>
      <c r="T39" s="33">
        <v>37.67</v>
      </c>
      <c r="U39" s="41">
        <v>0</v>
      </c>
      <c r="V39" s="34">
        <v>45.81</v>
      </c>
      <c r="W39" s="41">
        <v>9.7999999999999989</v>
      </c>
      <c r="X39" s="4">
        <f>IF(H39="Senior",MAX(T39,V39),T39+V39)</f>
        <v>83.48</v>
      </c>
      <c r="Y39" s="34">
        <v>42.47</v>
      </c>
      <c r="Z39" s="41">
        <v>7.9</v>
      </c>
      <c r="AA39" s="33"/>
      <c r="AB39" s="41"/>
      <c r="AC39" s="34"/>
      <c r="AD39" s="41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$55&lt;&gt;"")*(G$3:G$55=G40)*(J$3:J$55&gt;J40)*(I$3:I$55="P"))+1,IF(O40&lt;&gt;"",SUMPRODUCT((O$3:O$55&lt;&gt;"")*(P$3:P$55="")*(G$3:G$55=G40)*(J$3:J$55&gt;J40)*(I$3:I$55="P"))+SUMPRODUCT((P$3:P$55&lt;&gt;"")*(G$3:G$55=G40))+1,IF(N40&lt;&gt;"",SUMPRODUCT((N$3:N$55&lt;&gt;"")*(G$3:G$55=G40)*(J$3:J$55&gt;J40)*(I$3:I$55="P"))+1,IF(M40="P",SUMPRODUCT((O$3:O$55&lt;&gt;"")*(P$3:P$55="")*(G$3:G$55=G40)*(I$3:I$55="P"))+SUMPRODUCT((P$3:P$55&lt;&gt;"")*(G$3:G$55=G40)*(I$3:I$55="P"))+SUMPRODUCT((N$3:N$55&lt;&gt;"")*(G$3:G$55=G40)*(I$3:I$55="P"))+SUMPRODUCT((P$3:P$55="")*(O$3:O$55="")*(N$3:N$55="")*(M$3:M$55="P")*(G$3:G$55=G40)*(J$3:J$55&gt;J40)*(I$3:I$55="P"))+1,"")))))</f>
        <v/>
      </c>
      <c r="B40" s="1" t="str" cm="1">
        <f t="array" ref="B40">IF(P40&lt;&gt;"",SUMPRODUCT((P$3:P$55&lt;&gt;"")*(G$3:G$55=G40)*(J$3:J$55&gt;J40))+1,IF(O40&lt;&gt;"",SUMPRODUCT((O$3:O$55&lt;&gt;"")*(P$3:P$55="")*(G$3:G$55=G40)*(J$3:J$55&gt;J40))+SUMPRODUCT((P$3:P$55&lt;&gt;"")*(G$3:G$55=G40))+1,IF(N40&lt;&gt;"",SUMPRODUCT((N$3:N$55&lt;&gt;"")*(G$3:G$55=G40)*(J$3:J$55&gt;J40))+1,IF(M40="P",SUMPRODUCT((O$3:O$55&lt;&gt;"")*(P$3:P$55="")*(G$3:G$55=G40))+SUMPRODUCT((P$3:P$55&lt;&gt;"")*(G$3:G$55=G40))+SUMPRODUCT((N$3:N$55&lt;&gt;"")*(G$3:G$55=G40))+SUMPRODUCT((P$3:P$55="")*(O$3:O$55="")*(N$3:N$55="")*(M$3:M$55="P")*(G$3:G$55=G40)*(J$3:J$55&gt;J40))+1,""))))</f>
        <v/>
      </c>
      <c r="C40" s="36" t="s">
        <v>194</v>
      </c>
      <c r="D40" s="51" t="str">
        <f>IF(E40="","",VLOOKUP(E40,'Coaching Points'!A:B,2,0))</f>
        <v>BC</v>
      </c>
      <c r="E40" s="36" t="s">
        <v>154</v>
      </c>
      <c r="F40" s="35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125</v>
      </c>
      <c r="I40" s="47"/>
      <c r="J40" s="4">
        <f>IF(G40="17-21",S40,R40)+IF(OR(H40="Junior",H40="Senior"),0.0002,IF(OR(H40="L7",H40="L6"),0.0001,0))+IF(G40="17-21",MAX(AA40,AC40,AF40),AE40)*0.0000001</f>
        <v>82.56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52" t="str">
        <f>IF(A40&lt;5,IF(_xlfn.MAXIFS(A:A,G:G,G40)&gt;3,5-A40,_xlfn.MAXIFS(A:A,G:G,G40)+1-A40),"")</f>
        <v/>
      </c>
      <c r="R40" s="4">
        <f>MAX(X40,AE40)</f>
        <v>82.56</v>
      </c>
      <c r="S40" s="4">
        <f>MAX(T40,V40,Y40,AA40,AC40,AF40)</f>
        <v>46.599999999999994</v>
      </c>
      <c r="T40" s="33">
        <v>38.85</v>
      </c>
      <c r="U40" s="41">
        <v>0</v>
      </c>
      <c r="V40" s="34">
        <v>43.71</v>
      </c>
      <c r="W40" s="41">
        <v>8.4999999999999982</v>
      </c>
      <c r="X40" s="4">
        <f>IF(H40="Senior",MAX(T40,V40),T40+V40)</f>
        <v>82.56</v>
      </c>
      <c r="Y40" s="34">
        <v>46.599999999999994</v>
      </c>
      <c r="Z40" s="41">
        <v>8.4999999999999982</v>
      </c>
      <c r="AA40" s="33"/>
      <c r="AB40" s="41"/>
      <c r="AC40" s="34"/>
      <c r="AD40" s="41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$55&lt;&gt;"")*(G$3:G$55=G41)*(J$3:J$55&gt;J41)*(I$3:I$55="P"))+1,IF(O41&lt;&gt;"",SUMPRODUCT((O$3:O$55&lt;&gt;"")*(P$3:P$55="")*(G$3:G$55=G41)*(J$3:J$55&gt;J41)*(I$3:I$55="P"))+SUMPRODUCT((P$3:P$55&lt;&gt;"")*(G$3:G$55=G41))+1,IF(N41&lt;&gt;"",SUMPRODUCT((N$3:N$55&lt;&gt;"")*(G$3:G$55=G41)*(J$3:J$55&gt;J41)*(I$3:I$55="P"))+1,IF(M41="P",SUMPRODUCT((O$3:O$55&lt;&gt;"")*(P$3:P$55="")*(G$3:G$55=G41)*(I$3:I$55="P"))+SUMPRODUCT((P$3:P$55&lt;&gt;"")*(G$3:G$55=G41)*(I$3:I$55="P"))+SUMPRODUCT((N$3:N$55&lt;&gt;"")*(G$3:G$55=G41)*(I$3:I$55="P"))+SUMPRODUCT((P$3:P$55="")*(O$3:O$55="")*(N$3:N$55="")*(M$3:M$55="P")*(G$3:G$55=G41)*(J$3:J$55&gt;J41)*(I$3:I$55="P"))+1,"")))))</f>
        <v/>
      </c>
      <c r="B41" s="1" t="str" cm="1">
        <f t="array" ref="B41">IF(P41&lt;&gt;"",SUMPRODUCT((P$3:P$55&lt;&gt;"")*(G$3:G$55=G41)*(J$3:J$55&gt;J41))+1,IF(O41&lt;&gt;"",SUMPRODUCT((O$3:O$55&lt;&gt;"")*(P$3:P$55="")*(G$3:G$55=G41)*(J$3:J$55&gt;J41))+SUMPRODUCT((P$3:P$55&lt;&gt;"")*(G$3:G$55=G41))+1,IF(N41&lt;&gt;"",SUMPRODUCT((N$3:N$55&lt;&gt;"")*(G$3:G$55=G41)*(J$3:J$55&gt;J41))+1,IF(M41="P",SUMPRODUCT((O$3:O$55&lt;&gt;"")*(P$3:P$55="")*(G$3:G$55=G41))+SUMPRODUCT((P$3:P$55&lt;&gt;"")*(G$3:G$55=G41))+SUMPRODUCT((N$3:N$55&lt;&gt;"")*(G$3:G$55=G41))+SUMPRODUCT((P$3:P$55="")*(O$3:O$55="")*(N$3:N$55="")*(M$3:M$55="P")*(G$3:G$55=G41)*(J$3:J$55&gt;J41))+1,""))))</f>
        <v/>
      </c>
      <c r="C41" s="36" t="s">
        <v>196</v>
      </c>
      <c r="D41" s="51" t="str">
        <f>IF(E41="","",VLOOKUP(E41,'Coaching Points'!A:B,2,0))</f>
        <v>BC</v>
      </c>
      <c r="E41" s="36" t="s">
        <v>89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125</v>
      </c>
      <c r="I41" s="47"/>
      <c r="J41" s="4">
        <f>IF(G41="17-21",S41,R41)+IF(OR(H41="Junior",H41="Senior"),0.0002,IF(OR(H41="L7",H41="L6"),0.0001,0))+IF(G41="17-21",MAX(AA41,AC41,AF41),AE41)*0.0000001</f>
        <v>81.69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52" t="str">
        <f>IF(A41&lt;5,IF(_xlfn.MAXIFS(A:A,G:G,G41)&gt;3,5-A41,_xlfn.MAXIFS(A:A,G:G,G41)+1-A41),"")</f>
        <v/>
      </c>
      <c r="R41" s="4">
        <f>MAX(X41,AE41)</f>
        <v>81.69</v>
      </c>
      <c r="S41" s="4">
        <f>MAX(T41,V41,Y41,AA41,AC41,AF41)</f>
        <v>46.04</v>
      </c>
      <c r="T41" s="33">
        <v>36.19</v>
      </c>
      <c r="U41" s="41">
        <v>0</v>
      </c>
      <c r="V41" s="34">
        <v>45.5</v>
      </c>
      <c r="W41" s="41">
        <v>9.1</v>
      </c>
      <c r="X41" s="4">
        <f>IF(H41="Senior",MAX(T41,V41),T41+V41)</f>
        <v>81.69</v>
      </c>
      <c r="Y41" s="34">
        <v>46.04</v>
      </c>
      <c r="Z41" s="41">
        <v>9.1</v>
      </c>
      <c r="AA41" s="33"/>
      <c r="AB41" s="41"/>
      <c r="AC41" s="34"/>
      <c r="AD41" s="41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$55&lt;&gt;"")*(G$3:G$55=G42)*(J$3:J$55&gt;J42)*(I$3:I$55="P"))+1,IF(O42&lt;&gt;"",SUMPRODUCT((O$3:O$55&lt;&gt;"")*(P$3:P$55="")*(G$3:G$55=G42)*(J$3:J$55&gt;J42)*(I$3:I$55="P"))+SUMPRODUCT((P$3:P$55&lt;&gt;"")*(G$3:G$55=G42))+1,IF(N42&lt;&gt;"",SUMPRODUCT((N$3:N$55&lt;&gt;"")*(G$3:G$55=G42)*(J$3:J$55&gt;J42)*(I$3:I$55="P"))+1,IF(M42="P",SUMPRODUCT((O$3:O$55&lt;&gt;"")*(P$3:P$55="")*(G$3:G$55=G42)*(I$3:I$55="P"))+SUMPRODUCT((P$3:P$55&lt;&gt;"")*(G$3:G$55=G42)*(I$3:I$55="P"))+SUMPRODUCT((N$3:N$55&lt;&gt;"")*(G$3:G$55=G42)*(I$3:I$55="P"))+SUMPRODUCT((P$3:P$55="")*(O$3:O$55="")*(N$3:N$55="")*(M$3:M$55="P")*(G$3:G$55=G42)*(J$3:J$55&gt;J42)*(I$3:I$55="P"))+1,"")))))</f>
        <v/>
      </c>
      <c r="B42" s="1" t="str" cm="1">
        <f t="array" ref="B42">IF(P42&lt;&gt;"",SUMPRODUCT((P$3:P$55&lt;&gt;"")*(G$3:G$55=G42)*(J$3:J$55&gt;J42))+1,IF(O42&lt;&gt;"",SUMPRODUCT((O$3:O$55&lt;&gt;"")*(P$3:P$55="")*(G$3:G$55=G42)*(J$3:J$55&gt;J42))+SUMPRODUCT((P$3:P$55&lt;&gt;"")*(G$3:G$55=G42))+1,IF(N42&lt;&gt;"",SUMPRODUCT((N$3:N$55&lt;&gt;"")*(G$3:G$55=G42)*(J$3:J$55&gt;J42))+1,IF(M42="P",SUMPRODUCT((O$3:O$55&lt;&gt;"")*(P$3:P$55="")*(G$3:G$55=G42))+SUMPRODUCT((P$3:P$55&lt;&gt;"")*(G$3:G$55=G42))+SUMPRODUCT((N$3:N$55&lt;&gt;"")*(G$3:G$55=G42))+SUMPRODUCT((P$3:P$55="")*(O$3:O$55="")*(N$3:N$55="")*(M$3:M$55="P")*(G$3:G$55=G42)*(J$3:J$55&gt;J42))+1,""))))</f>
        <v/>
      </c>
      <c r="C42" s="36" t="s">
        <v>199</v>
      </c>
      <c r="D42" s="51" t="str">
        <f>IF(E42="","",VLOOKUP(E42,'Coaching Points'!A:B,2,0))</f>
        <v>ON</v>
      </c>
      <c r="E42" s="36" t="s">
        <v>49</v>
      </c>
      <c r="F42" s="35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1" t="s">
        <v>125</v>
      </c>
      <c r="I42" s="47"/>
      <c r="J42" s="4">
        <f>IF(G42="17-21",S42,R42)+IF(OR(H42="Junior",H42="Senior"),0.0002,IF(OR(H42="L7",H42="L6"),0.0001,0))+IF(G42="17-21",MAX(AA42,AC42,AF42),AE42)*0.0000001</f>
        <v>73.259999999999991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52" t="str">
        <f>IF(A42&lt;5,IF(_xlfn.MAXIFS(A:A,G:G,G42)&gt;3,5-A42,_xlfn.MAXIFS(A:A,G:G,G42)+1-A42),"")</f>
        <v/>
      </c>
      <c r="R42" s="4">
        <f>MAX(X42,AE42)</f>
        <v>73.259999999999991</v>
      </c>
      <c r="S42" s="4">
        <f>MAX(T42,V42,Y42,AA42,AC42,AF42)</f>
        <v>37.72</v>
      </c>
      <c r="T42" s="33">
        <v>35.54</v>
      </c>
      <c r="U42" s="41">
        <v>0</v>
      </c>
      <c r="V42" s="34">
        <v>37.72</v>
      </c>
      <c r="W42" s="41">
        <v>1.5</v>
      </c>
      <c r="X42" s="4">
        <f>IF(H42="Senior",MAX(T42,V42),T42+V42)</f>
        <v>73.259999999999991</v>
      </c>
      <c r="Y42" s="34">
        <v>31.029999999999998</v>
      </c>
      <c r="Z42" s="41">
        <v>6.1</v>
      </c>
      <c r="AA42" s="33"/>
      <c r="AB42" s="41"/>
      <c r="AC42" s="34"/>
      <c r="AD42" s="41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$55&lt;&gt;"")*(G$3:G$55=G43)*(J$3:J$55&gt;J43)*(I$3:I$55="P"))+1,IF(O43&lt;&gt;"",SUMPRODUCT((O$3:O$55&lt;&gt;"")*(P$3:P$55="")*(G$3:G$55=G43)*(J$3:J$55&gt;J43)*(I$3:I$55="P"))+SUMPRODUCT((P$3:P$55&lt;&gt;"")*(G$3:G$55=G43))+1,IF(N43&lt;&gt;"",SUMPRODUCT((N$3:N$55&lt;&gt;"")*(G$3:G$55=G43)*(J$3:J$55&gt;J43)*(I$3:I$55="P"))+1,IF(M43="P",SUMPRODUCT((O$3:O$55&lt;&gt;"")*(P$3:P$55="")*(G$3:G$55=G43)*(I$3:I$55="P"))+SUMPRODUCT((P$3:P$55&lt;&gt;"")*(G$3:G$55=G43)*(I$3:I$55="P"))+SUMPRODUCT((N$3:N$55&lt;&gt;"")*(G$3:G$55=G43)*(I$3:I$55="P"))+SUMPRODUCT((P$3:P$55="")*(O$3:O$55="")*(N$3:N$55="")*(M$3:M$55="P")*(G$3:G$55=G43)*(J$3:J$55&gt;J43)*(I$3:I$55="P"))+1,"")))))</f>
        <v/>
      </c>
      <c r="B43" s="1" t="str" cm="1">
        <f t="array" ref="B43">IF(P43&lt;&gt;"",SUMPRODUCT((P$3:P$55&lt;&gt;"")*(G$3:G$55=G43)*(J$3:J$55&gt;J43))+1,IF(O43&lt;&gt;"",SUMPRODUCT((O$3:O$55&lt;&gt;"")*(P$3:P$55="")*(G$3:G$55=G43)*(J$3:J$55&gt;J43))+SUMPRODUCT((P$3:P$55&lt;&gt;"")*(G$3:G$55=G43))+1,IF(N43&lt;&gt;"",SUMPRODUCT((N$3:N$55&lt;&gt;"")*(G$3:G$55=G43)*(J$3:J$55&gt;J43))+1,IF(M43="P",SUMPRODUCT((O$3:O$55&lt;&gt;"")*(P$3:P$55="")*(G$3:G$55=G43))+SUMPRODUCT((P$3:P$55&lt;&gt;"")*(G$3:G$55=G43))+SUMPRODUCT((N$3:N$55&lt;&gt;"")*(G$3:G$55=G43))+SUMPRODUCT((P$3:P$55="")*(O$3:O$55="")*(N$3:N$55="")*(M$3:M$55="P")*(G$3:G$55=G43)*(J$3:J$55&gt;J43))+1,""))))</f>
        <v/>
      </c>
      <c r="C43" s="36" t="s">
        <v>200</v>
      </c>
      <c r="D43" s="51" t="str">
        <f>IF(E43="","",VLOOKUP(E43,'Coaching Points'!A:B,2,0))</f>
        <v>ON</v>
      </c>
      <c r="E43" s="36" t="s">
        <v>49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1" t="s">
        <v>125</v>
      </c>
      <c r="I43" s="47"/>
      <c r="J43" s="4">
        <f>IF(G43="17-21",S43,R43)+IF(OR(H43="Junior",H43="Senior"),0.0002,IF(OR(H43="L7",H43="L6"),0.0001,0))+IF(G43="17-21",MAX(AA43,AC43,AF43),AE43)*0.0000001</f>
        <v>70.56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52" t="str">
        <f>IF(A43&lt;5,IF(_xlfn.MAXIFS(A:A,G:G,G43)&gt;3,5-A43,_xlfn.MAXIFS(A:A,G:G,G43)+1-A43),"")</f>
        <v/>
      </c>
      <c r="R43" s="4">
        <f>MAX(X43,AE43)</f>
        <v>70.56</v>
      </c>
      <c r="S43" s="4">
        <f>MAX(T43,V43,Y43,AA43,AC43,AF43)</f>
        <v>37.94</v>
      </c>
      <c r="T43" s="33">
        <v>37.94</v>
      </c>
      <c r="U43" s="41">
        <v>0</v>
      </c>
      <c r="V43" s="34">
        <v>32.620000000000005</v>
      </c>
      <c r="W43" s="41">
        <v>5.9</v>
      </c>
      <c r="X43" s="4">
        <f>IF(H43="Senior",MAX(T43,V43),T43+V43)</f>
        <v>70.56</v>
      </c>
      <c r="Y43" s="34">
        <v>23.88</v>
      </c>
      <c r="Z43" s="41">
        <v>4.5999999999999996</v>
      </c>
      <c r="AA43" s="33"/>
      <c r="AB43" s="41"/>
      <c r="AC43" s="34"/>
      <c r="AD43" s="41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$55&lt;&gt;"")*(G$3:G$55=G44)*(J$3:J$55&gt;J44)*(I$3:I$55="P"))+1,IF(O44&lt;&gt;"",SUMPRODUCT((O$3:O$55&lt;&gt;"")*(P$3:P$55="")*(G$3:G$55=G44)*(J$3:J$55&gt;J44)*(I$3:I$55="P"))+SUMPRODUCT((P$3:P$55&lt;&gt;"")*(G$3:G$55=G44))+1,IF(N44&lt;&gt;"",SUMPRODUCT((N$3:N$55&lt;&gt;"")*(G$3:G$55=G44)*(J$3:J$55&gt;J44)*(I$3:I$55="P"))+1,IF(M44="P",SUMPRODUCT((O$3:O$55&lt;&gt;"")*(P$3:P$55="")*(G$3:G$55=G44)*(I$3:I$55="P"))+SUMPRODUCT((P$3:P$55&lt;&gt;"")*(G$3:G$55=G44)*(I$3:I$55="P"))+SUMPRODUCT((N$3:N$55&lt;&gt;"")*(G$3:G$55=G44)*(I$3:I$55="P"))+SUMPRODUCT((P$3:P$55="")*(O$3:O$55="")*(N$3:N$55="")*(M$3:M$55="P")*(G$3:G$55=G44)*(J$3:J$55&gt;J44)*(I$3:I$55="P"))+1,"")))))</f>
        <v/>
      </c>
      <c r="B44" s="1" t="str" cm="1">
        <f t="array" ref="B44">IF(P44&lt;&gt;"",SUMPRODUCT((P$3:P$55&lt;&gt;"")*(G$3:G$55=G44)*(J$3:J$55&gt;J44))+1,IF(O44&lt;&gt;"",SUMPRODUCT((O$3:O$55&lt;&gt;"")*(P$3:P$55="")*(G$3:G$55=G44)*(J$3:J$55&gt;J44))+SUMPRODUCT((P$3:P$55&lt;&gt;"")*(G$3:G$55=G44))+1,IF(N44&lt;&gt;"",SUMPRODUCT((N$3:N$55&lt;&gt;"")*(G$3:G$55=G44)*(J$3:J$55&gt;J44))+1,IF(M44="P",SUMPRODUCT((O$3:O$55&lt;&gt;"")*(P$3:P$55="")*(G$3:G$55=G44))+SUMPRODUCT((P$3:P$55&lt;&gt;"")*(G$3:G$55=G44))+SUMPRODUCT((N$3:N$55&lt;&gt;"")*(G$3:G$55=G44))+SUMPRODUCT((P$3:P$55="")*(O$3:O$55="")*(N$3:N$55="")*(M$3:M$55="P")*(G$3:G$55=G44)*(J$3:J$55&gt;J44))+1,""))))</f>
        <v/>
      </c>
      <c r="C44" s="36" t="s">
        <v>215</v>
      </c>
      <c r="D44" s="51" t="str">
        <f>IF(E44="","",VLOOKUP(E44,'Coaching Points'!A:B,2,0))</f>
        <v>BC</v>
      </c>
      <c r="E44" s="36" t="s">
        <v>93</v>
      </c>
      <c r="F44" s="35">
        <v>2007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1" t="s">
        <v>126</v>
      </c>
      <c r="I44" s="47"/>
      <c r="J44" s="4">
        <f>IF(G44="17-21",S44,R44)+IF(OR(H44="Junior",H44="Senior"),0.0002,IF(OR(H44="L7",H44="L6"),0.0001,0))+IF(G44="17-21",MAX(AA44,AC44,AF44),AE44)*0.0000001</f>
        <v>59.620100000000008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52" t="str">
        <f>IF(A44&lt;5,IF(_xlfn.MAXIFS(A:A,G:G,G44)&gt;3,5-A44,_xlfn.MAXIFS(A:A,G:G,G44)+1-A44),"")</f>
        <v/>
      </c>
      <c r="R44" s="4">
        <f>MAX(X44,AE44)</f>
        <v>59.620000000000005</v>
      </c>
      <c r="S44" s="4">
        <f>MAX(T44,V44,Y44,AA44,AC44,AF44)</f>
        <v>40.39</v>
      </c>
      <c r="T44" s="33">
        <v>40.39</v>
      </c>
      <c r="U44" s="41">
        <v>0</v>
      </c>
      <c r="V44" s="34">
        <v>19.23</v>
      </c>
      <c r="W44" s="41">
        <v>5.2</v>
      </c>
      <c r="X44" s="4">
        <f>IF(H44="Senior",MAX(T44,V44),T44+V44)</f>
        <v>59.620000000000005</v>
      </c>
      <c r="Y44" s="34">
        <v>19.03</v>
      </c>
      <c r="Z44" s="41">
        <v>5.2</v>
      </c>
      <c r="AA44" s="33"/>
      <c r="AB44" s="41"/>
      <c r="AC44" s="34"/>
      <c r="AD44" s="41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$55&lt;&gt;"")*(G$3:G$55=G45)*(J$3:J$55&gt;J45)*(I$3:I$55="P"))+1,IF(O45&lt;&gt;"",SUMPRODUCT((O$3:O$55&lt;&gt;"")*(P$3:P$55="")*(G$3:G$55=G45)*(J$3:J$55&gt;J45)*(I$3:I$55="P"))+SUMPRODUCT((P$3:P$55&lt;&gt;"")*(G$3:G$55=G45))+1,IF(N45&lt;&gt;"",SUMPRODUCT((N$3:N$55&lt;&gt;"")*(G$3:G$55=G45)*(J$3:J$55&gt;J45)*(I$3:I$55="P"))+1,IF(M45="P",SUMPRODUCT((O$3:O$55&lt;&gt;"")*(P$3:P$55="")*(G$3:G$55=G45)*(I$3:I$55="P"))+SUMPRODUCT((P$3:P$55&lt;&gt;"")*(G$3:G$55=G45)*(I$3:I$55="P"))+SUMPRODUCT((N$3:N$55&lt;&gt;"")*(G$3:G$55=G45)*(I$3:I$55="P"))+SUMPRODUCT((P$3:P$55="")*(O$3:O$55="")*(N$3:N$55="")*(M$3:M$55="P")*(G$3:G$55=G45)*(J$3:J$55&gt;J45)*(I$3:I$55="P"))+1,"")))))</f>
        <v/>
      </c>
      <c r="B45" s="1" t="str" cm="1">
        <f t="array" ref="B45">IF(P45&lt;&gt;"",SUMPRODUCT((P$3:P$55&lt;&gt;"")*(G$3:G$55=G45)*(J$3:J$55&gt;J45))+1,IF(O45&lt;&gt;"",SUMPRODUCT((O$3:O$55&lt;&gt;"")*(P$3:P$55="")*(G$3:G$55=G45)*(J$3:J$55&gt;J45))+SUMPRODUCT((P$3:P$55&lt;&gt;"")*(G$3:G$55=G45))+1,IF(N45&lt;&gt;"",SUMPRODUCT((N$3:N$55&lt;&gt;"")*(G$3:G$55=G45)*(J$3:J$55&gt;J45))+1,IF(M45="P",SUMPRODUCT((O$3:O$55&lt;&gt;"")*(P$3:P$55="")*(G$3:G$55=G45))+SUMPRODUCT((P$3:P$55&lt;&gt;"")*(G$3:G$55=G45))+SUMPRODUCT((N$3:N$55&lt;&gt;"")*(G$3:G$55=G45))+SUMPRODUCT((P$3:P$55="")*(O$3:O$55="")*(N$3:N$55="")*(M$3:M$55="P")*(G$3:G$55=G45)*(J$3:J$55&gt;J45))+1,""))))</f>
        <v/>
      </c>
      <c r="C45" s="36" t="s">
        <v>197</v>
      </c>
      <c r="D45" s="51" t="str">
        <f>IF(E45="","",VLOOKUP(E45,'Coaching Points'!A:B,2,0))</f>
        <v>ON</v>
      </c>
      <c r="E45" s="36" t="s">
        <v>39</v>
      </c>
      <c r="F45" s="35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1" t="s">
        <v>125</v>
      </c>
      <c r="I45" s="47"/>
      <c r="J45" s="4">
        <f>IF(G45="17-21",S45,R45)+IF(OR(H45="Junior",H45="Senior"),0.0002,IF(OR(H45="L7",H45="L6"),0.0001,0))+IF(G45="17-21",MAX(AA45,AC45,AF45),AE45)*0.0000001</f>
        <v>59.41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52" t="str">
        <f>IF(A45&lt;5,IF(_xlfn.MAXIFS(A:A,G:G,G45)&gt;3,5-A45,_xlfn.MAXIFS(A:A,G:G,G45)+1-A45),"")</f>
        <v/>
      </c>
      <c r="R45" s="4">
        <f>MAX(X45,AE45)</f>
        <v>59.41</v>
      </c>
      <c r="S45" s="4">
        <f>MAX(T45,V45,Y45,AA45,AC45,AF45)</f>
        <v>44.91</v>
      </c>
      <c r="T45" s="33">
        <v>39.93</v>
      </c>
      <c r="U45" s="41">
        <v>0</v>
      </c>
      <c r="V45" s="34">
        <v>19.48</v>
      </c>
      <c r="W45" s="41">
        <v>4.5</v>
      </c>
      <c r="X45" s="4">
        <f>IF(H45="Senior",MAX(T45,V45),T45+V45)</f>
        <v>59.41</v>
      </c>
      <c r="Y45" s="34">
        <v>44.91</v>
      </c>
      <c r="Z45" s="41">
        <v>9.5999999999999979</v>
      </c>
      <c r="AA45" s="33"/>
      <c r="AB45" s="41"/>
      <c r="AC45" s="34"/>
      <c r="AD45" s="41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$55&lt;&gt;"")*(G$3:G$55=G46)*(J$3:J$55&gt;J46)*(I$3:I$55="P"))+1,IF(O46&lt;&gt;"",SUMPRODUCT((O$3:O$55&lt;&gt;"")*(P$3:P$55="")*(G$3:G$55=G46)*(J$3:J$55&gt;J46)*(I$3:I$55="P"))+SUMPRODUCT((P$3:P$55&lt;&gt;"")*(G$3:G$55=G46))+1,IF(N46&lt;&gt;"",SUMPRODUCT((N$3:N$55&lt;&gt;"")*(G$3:G$55=G46)*(J$3:J$55&gt;J46)*(I$3:I$55="P"))+1,IF(M46="P",SUMPRODUCT((O$3:O$55&lt;&gt;"")*(P$3:P$55="")*(G$3:G$55=G46)*(I$3:I$55="P"))+SUMPRODUCT((P$3:P$55&lt;&gt;"")*(G$3:G$55=G46)*(I$3:I$55="P"))+SUMPRODUCT((N$3:N$55&lt;&gt;"")*(G$3:G$55=G46)*(I$3:I$55="P"))+SUMPRODUCT((P$3:P$55="")*(O$3:O$55="")*(N$3:N$55="")*(M$3:M$55="P")*(G$3:G$55=G46)*(J$3:J$55&gt;J46)*(I$3:I$55="P"))+1,"")))))</f>
        <v/>
      </c>
      <c r="B46" s="1" t="str" cm="1">
        <f t="array" ref="B46">IF(P46&lt;&gt;"",SUMPRODUCT((P$3:P$55&lt;&gt;"")*(G$3:G$55=G46)*(J$3:J$55&gt;J46))+1,IF(O46&lt;&gt;"",SUMPRODUCT((O$3:O$55&lt;&gt;"")*(P$3:P$55="")*(G$3:G$55=G46)*(J$3:J$55&gt;J46))+SUMPRODUCT((P$3:P$55&lt;&gt;"")*(G$3:G$55=G46))+1,IF(N46&lt;&gt;"",SUMPRODUCT((N$3:N$55&lt;&gt;"")*(G$3:G$55=G46)*(J$3:J$55&gt;J46))+1,IF(M46="P",SUMPRODUCT((O$3:O$55&lt;&gt;"")*(P$3:P$55="")*(G$3:G$55=G46))+SUMPRODUCT((P$3:P$55&lt;&gt;"")*(G$3:G$55=G46))+SUMPRODUCT((N$3:N$55&lt;&gt;"")*(G$3:G$55=G46))+SUMPRODUCT((P$3:P$55="")*(O$3:O$55="")*(N$3:N$55="")*(M$3:M$55="P")*(G$3:G$55=G46)*(J$3:J$55&gt;J46))+1,""))))</f>
        <v/>
      </c>
      <c r="C46" s="36" t="s">
        <v>214</v>
      </c>
      <c r="D46" s="51" t="str">
        <f>IF(E46="","",VLOOKUP(E46,'Coaching Points'!A:B,2,0))</f>
        <v>AB</v>
      </c>
      <c r="E46" s="36" t="s">
        <v>29</v>
      </c>
      <c r="F46" s="35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1" t="s">
        <v>126</v>
      </c>
      <c r="I46" s="47"/>
      <c r="J46" s="4">
        <f>IF(G46="17-21",S46,R46)+IF(OR(H46="Junior",H46="Senior"),0.0002,IF(OR(H46="L7",H46="L6"),0.0001,0))+IF(G46="17-21",MAX(AA46,AC46,AF46),AE46)*0.0000001</f>
        <v>58.770099999999999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52" t="str">
        <f>IF(A46&lt;5,IF(_xlfn.MAXIFS(A:A,G:G,G46)&gt;3,5-A46,_xlfn.MAXIFS(A:A,G:G,G46)+1-A46),"")</f>
        <v/>
      </c>
      <c r="R46" s="4">
        <f>MAX(X46,AE46)</f>
        <v>58.769999999999996</v>
      </c>
      <c r="S46" s="4">
        <f>MAX(T46,V46,Y46,AA46,AC46,AF46)</f>
        <v>46.8</v>
      </c>
      <c r="T46" s="33">
        <v>39.54</v>
      </c>
      <c r="U46" s="41">
        <v>0</v>
      </c>
      <c r="V46" s="34">
        <v>19.23</v>
      </c>
      <c r="W46" s="41">
        <v>5</v>
      </c>
      <c r="X46" s="4">
        <f>IF(H46="Senior",MAX(T46,V46),T46+V46)</f>
        <v>58.769999999999996</v>
      </c>
      <c r="Y46" s="34">
        <v>46.8</v>
      </c>
      <c r="Z46" s="41">
        <v>10.6</v>
      </c>
      <c r="AA46" s="33"/>
      <c r="AB46" s="41"/>
      <c r="AC46" s="34"/>
      <c r="AD46" s="41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$55&lt;&gt;"")*(G$3:G$55=G47)*(J$3:J$55&gt;J47)*(I$3:I$55="P"))+1,IF(O47&lt;&gt;"",SUMPRODUCT((O$3:O$55&lt;&gt;"")*(P$3:P$55="")*(G$3:G$55=G47)*(J$3:J$55&gt;J47)*(I$3:I$55="P"))+SUMPRODUCT((P$3:P$55&lt;&gt;"")*(G$3:G$55=G47))+1,IF(N47&lt;&gt;"",SUMPRODUCT((N$3:N$55&lt;&gt;"")*(G$3:G$55=G47)*(J$3:J$55&gt;J47)*(I$3:I$55="P"))+1,IF(M47="P",SUMPRODUCT((O$3:O$55&lt;&gt;"")*(P$3:P$55="")*(G$3:G$55=G47)*(I$3:I$55="P"))+SUMPRODUCT((P$3:P$55&lt;&gt;"")*(G$3:G$55=G47)*(I$3:I$55="P"))+SUMPRODUCT((N$3:N$55&lt;&gt;"")*(G$3:G$55=G47)*(I$3:I$55="P"))+SUMPRODUCT((P$3:P$55="")*(O$3:O$55="")*(N$3:N$55="")*(M$3:M$55="P")*(G$3:G$55=G47)*(J$3:J$55&gt;J47)*(I$3:I$55="P"))+1,"")))))</f>
        <v/>
      </c>
      <c r="B47" s="1" t="str" cm="1">
        <f t="array" ref="B47">IF(P47&lt;&gt;"",SUMPRODUCT((P$3:P$55&lt;&gt;"")*(G$3:G$55=G47)*(J$3:J$55&gt;J47))+1,IF(O47&lt;&gt;"",SUMPRODUCT((O$3:O$55&lt;&gt;"")*(P$3:P$55="")*(G$3:G$55=G47)*(J$3:J$55&gt;J47))+SUMPRODUCT((P$3:P$55&lt;&gt;"")*(G$3:G$55=G47))+1,IF(N47&lt;&gt;"",SUMPRODUCT((N$3:N$55&lt;&gt;"")*(G$3:G$55=G47)*(J$3:J$55&gt;J47))+1,IF(M47="P",SUMPRODUCT((O$3:O$55&lt;&gt;"")*(P$3:P$55="")*(G$3:G$55=G47))+SUMPRODUCT((P$3:P$55&lt;&gt;"")*(G$3:G$55=G47))+SUMPRODUCT((N$3:N$55&lt;&gt;"")*(G$3:G$55=G47))+SUMPRODUCT((P$3:P$55="")*(O$3:O$55="")*(N$3:N$55="")*(M$3:M$55="P")*(G$3:G$55=G47)*(J$3:J$55&gt;J47))+1,""))))</f>
        <v/>
      </c>
      <c r="C47" s="36" t="s">
        <v>216</v>
      </c>
      <c r="D47" s="51" t="str">
        <f>IF(E47="","",VLOOKUP(E47,'Coaching Points'!A:B,2,0))</f>
        <v>ON</v>
      </c>
      <c r="E47" s="36" t="s">
        <v>39</v>
      </c>
      <c r="F47" s="35">
        <v>2006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1" t="s">
        <v>126</v>
      </c>
      <c r="I47" s="47"/>
      <c r="J47" s="4">
        <f>IF(G47="17-21",S47,R47)+IF(OR(H47="Junior",H47="Senior"),0.0002,IF(OR(H47="L7",H47="L6"),0.0001,0))+IF(G47="17-21",MAX(AA47,AC47,AF47),AE47)*0.0000001</f>
        <v>42.720100000000002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52" t="str">
        <f>IF(A47&lt;5,IF(_xlfn.MAXIFS(A:A,G:G,G47)&gt;3,5-A47,_xlfn.MAXIFS(A:A,G:G,G47)+1-A47),"")</f>
        <v/>
      </c>
      <c r="R47" s="4">
        <f>MAX(X47,AE47)</f>
        <v>42.72</v>
      </c>
      <c r="S47" s="4">
        <f>MAX(T47,V47,Y47,AA47,AC47,AF47)</f>
        <v>37.69</v>
      </c>
      <c r="T47" s="33">
        <v>37.69</v>
      </c>
      <c r="U47" s="41">
        <v>0</v>
      </c>
      <c r="V47" s="34">
        <v>5.0299999999999994</v>
      </c>
      <c r="W47" s="41">
        <v>1.5</v>
      </c>
      <c r="X47" s="4">
        <f>IF(H47="Senior",MAX(T47,V47),T47+V47)</f>
        <v>42.72</v>
      </c>
      <c r="Y47" s="34">
        <v>0</v>
      </c>
      <c r="Z47" s="41">
        <v>0</v>
      </c>
      <c r="AA47" s="33"/>
      <c r="AB47" s="41"/>
      <c r="AC47" s="34"/>
      <c r="AD47" s="41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$55&lt;&gt;"")*(G$3:G$55=G48)*(J$3:J$55&gt;J48)*(I$3:I$55="P"))+1,IF(O48&lt;&gt;"",SUMPRODUCT((O$3:O$55&lt;&gt;"")*(P$3:P$55="")*(G$3:G$55=G48)*(J$3:J$55&gt;J48)*(I$3:I$55="P"))+SUMPRODUCT((P$3:P$55&lt;&gt;"")*(G$3:G$55=G48))+1,IF(N48&lt;&gt;"",SUMPRODUCT((N$3:N$55&lt;&gt;"")*(G$3:G$55=G48)*(J$3:J$55&gt;J48)*(I$3:I$55="P"))+1,IF(M48="P",SUMPRODUCT((O$3:O$55&lt;&gt;"")*(P$3:P$55="")*(G$3:G$55=G48)*(I$3:I$55="P"))+SUMPRODUCT((P$3:P$55&lt;&gt;"")*(G$3:G$55=G48)*(I$3:I$55="P"))+SUMPRODUCT((N$3:N$55&lt;&gt;"")*(G$3:G$55=G48)*(I$3:I$55="P"))+SUMPRODUCT((P$3:P$55="")*(O$3:O$55="")*(N$3:N$55="")*(M$3:M$55="P")*(G$3:G$55=G48)*(J$3:J$55&gt;J48)*(I$3:I$55="P"))+1,"")))))</f>
        <v/>
      </c>
      <c r="B48" s="1" t="str" cm="1">
        <f t="array" ref="B48">IF(P48&lt;&gt;"",SUMPRODUCT((P$3:P$55&lt;&gt;"")*(G$3:G$55=G48)*(J$3:J$55&gt;J48))+1,IF(O48&lt;&gt;"",SUMPRODUCT((O$3:O$55&lt;&gt;"")*(P$3:P$55="")*(G$3:G$55=G48)*(J$3:J$55&gt;J48))+SUMPRODUCT((P$3:P$55&lt;&gt;"")*(G$3:G$55=G48))+1,IF(N48&lt;&gt;"",SUMPRODUCT((N$3:N$55&lt;&gt;"")*(G$3:G$55=G48)*(J$3:J$55&gt;J48))+1,IF(M48="P",SUMPRODUCT((O$3:O$55&lt;&gt;"")*(P$3:P$55="")*(G$3:G$55=G48))+SUMPRODUCT((P$3:P$55&lt;&gt;"")*(G$3:G$55=G48))+SUMPRODUCT((N$3:N$55&lt;&gt;"")*(G$3:G$55=G48))+SUMPRODUCT((P$3:P$55="")*(O$3:O$55="")*(N$3:N$55="")*(M$3:M$55="P")*(G$3:G$55=G48)*(J$3:J$55&gt;J48))+1,""))))</f>
        <v/>
      </c>
      <c r="C48" s="36" t="s">
        <v>201</v>
      </c>
      <c r="D48" s="51" t="str">
        <f>IF(E48="","",VLOOKUP(E48,'Coaching Points'!A:B,2,0))</f>
        <v>NB</v>
      </c>
      <c r="E48" s="36" t="s">
        <v>50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1" t="s">
        <v>125</v>
      </c>
      <c r="I48" s="47"/>
      <c r="J48" s="4">
        <f>IF(G48="17-21",S48,R48)+IF(OR(H48="Junior",H48="Senior"),0.0002,IF(OR(H48="L7",H48="L6"),0.0001,0))+IF(G48="17-21",MAX(AA48,AC48,AF48),AE48)*0.0000001</f>
        <v>30.130000000000003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52" t="str">
        <f>IF(A48&lt;5,IF(_xlfn.MAXIFS(A:A,G:G,G48)&gt;3,5-A48,_xlfn.MAXIFS(A:A,G:G,G48)+1-A48),"")</f>
        <v/>
      </c>
      <c r="R48" s="4">
        <f>MAX(X48,AE48)</f>
        <v>30.130000000000003</v>
      </c>
      <c r="S48" s="4">
        <f>MAX(T48,V48,Y48,AA48,AC48,AF48)</f>
        <v>18.37</v>
      </c>
      <c r="T48" s="33">
        <v>11.760000000000002</v>
      </c>
      <c r="U48" s="41">
        <v>0</v>
      </c>
      <c r="V48" s="34">
        <v>18.37</v>
      </c>
      <c r="W48" s="41">
        <v>4</v>
      </c>
      <c r="X48" s="4">
        <f>IF(H48="Senior",MAX(T48,V48),T48+V48)</f>
        <v>30.130000000000003</v>
      </c>
      <c r="Y48" s="34">
        <v>9.86</v>
      </c>
      <c r="Z48" s="41">
        <v>0</v>
      </c>
      <c r="AA48" s="33"/>
      <c r="AB48" s="41"/>
      <c r="AC48" s="34"/>
      <c r="AD48" s="41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$55&lt;&gt;"")*(G$3:G$55=G49)*(J$3:J$55&gt;J49)*(I$3:I$55="P"))+1,IF(O49&lt;&gt;"",SUMPRODUCT((O$3:O$55&lt;&gt;"")*(P$3:P$55="")*(G$3:G$55=G49)*(J$3:J$55&gt;J49)*(I$3:I$55="P"))+SUMPRODUCT((P$3:P$55&lt;&gt;"")*(G$3:G$55=G49))+1,IF(N49&lt;&gt;"",SUMPRODUCT((N$3:N$55&lt;&gt;"")*(G$3:G$55=G49)*(J$3:J$55&gt;J49)*(I$3:I$55="P"))+1,IF(M49="P",SUMPRODUCT((O$3:O$55&lt;&gt;"")*(P$3:P$55="")*(G$3:G$55=G49)*(I$3:I$55="P"))+SUMPRODUCT((P$3:P$55&lt;&gt;"")*(G$3:G$55=G49)*(I$3:I$55="P"))+SUMPRODUCT((N$3:N$55&lt;&gt;"")*(G$3:G$55=G49)*(I$3:I$55="P"))+SUMPRODUCT((P$3:P$55="")*(O$3:O$55="")*(N$3:N$55="")*(M$3:M$55="P")*(G$3:G$55=G49)*(J$3:J$55&gt;J49)*(I$3:I$55="P"))+1,"")))))</f>
        <v/>
      </c>
      <c r="B49" s="1" t="str" cm="1">
        <f t="array" ref="B49">IF(P49&lt;&gt;"",SUMPRODUCT((P$3:P$55&lt;&gt;"")*(G$3:G$55=G49)*(J$3:J$55&gt;J49))+1,IF(O49&lt;&gt;"",SUMPRODUCT((O$3:O$55&lt;&gt;"")*(P$3:P$55="")*(G$3:G$55=G49)*(J$3:J$55&gt;J49))+SUMPRODUCT((P$3:P$55&lt;&gt;"")*(G$3:G$55=G49))+1,IF(N49&lt;&gt;"",SUMPRODUCT((N$3:N$55&lt;&gt;"")*(G$3:G$55=G49)*(J$3:J$55&gt;J49))+1,IF(M49="P",SUMPRODUCT((O$3:O$55&lt;&gt;"")*(P$3:P$55="")*(G$3:G$55=G49))+SUMPRODUCT((P$3:P$55&lt;&gt;"")*(G$3:G$55=G49))+SUMPRODUCT((N$3:N$55&lt;&gt;"")*(G$3:G$55=G49))+SUMPRODUCT((P$3:P$55="")*(O$3:O$55="")*(N$3:N$55="")*(M$3:M$55="P")*(G$3:G$55=G49)*(J$3:J$55&gt;J49))+1,""))))</f>
        <v/>
      </c>
      <c r="C49" s="36" t="s">
        <v>183</v>
      </c>
      <c r="D49" s="51" t="str">
        <f>IF(E49="","",VLOOKUP(E49,'Coaching Points'!A:B,2,0))</f>
        <v>QC</v>
      </c>
      <c r="E49" s="36" t="s">
        <v>184</v>
      </c>
      <c r="F49" s="35">
        <v>2008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13-14</v>
      </c>
      <c r="H49" s="1" t="s">
        <v>125</v>
      </c>
      <c r="I49" s="47"/>
      <c r="J49" s="4">
        <f>IF(G49="17-21",S49,R49)+IF(OR(H49="Junior",H49="Senior"),0.0002,IF(OR(H49="L7",H49="L6"),0.0001,0))+IF(G49="17-21",MAX(AA49,AC49,AF49),AE49)*0.0000001</f>
        <v>89.4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>P</v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52" t="str">
        <f>IF(A49&lt;5,IF(_xlfn.MAXIFS(A:A,G:G,G49)&gt;3,5-A49,_xlfn.MAXIFS(A:A,G:G,G49)+1-A49),"")</f>
        <v/>
      </c>
      <c r="R49" s="4">
        <f>MAX(X49,AE49)</f>
        <v>89.4</v>
      </c>
      <c r="S49" s="4">
        <f>MAX(T49,V49,Y49,AA49,AC49,AF49)</f>
        <v>47.91</v>
      </c>
      <c r="T49" s="33">
        <v>41.66</v>
      </c>
      <c r="U49" s="41">
        <v>0</v>
      </c>
      <c r="V49" s="34">
        <v>47.74</v>
      </c>
      <c r="W49" s="41">
        <v>7.8</v>
      </c>
      <c r="X49" s="4">
        <f>IF(H49="Senior",MAX(T49,V49),T49+V49)</f>
        <v>89.4</v>
      </c>
      <c r="Y49" s="34">
        <v>47.91</v>
      </c>
      <c r="Z49" s="41">
        <v>7.8</v>
      </c>
      <c r="AA49" s="33"/>
      <c r="AB49" s="41"/>
      <c r="AC49" s="34"/>
      <c r="AD49" s="41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$55&lt;&gt;"")*(G$3:G$55=G50)*(J$3:J$55&gt;J50)*(I$3:I$55="P"))+1,IF(O50&lt;&gt;"",SUMPRODUCT((O$3:O$55&lt;&gt;"")*(P$3:P$55="")*(G$3:G$55=G50)*(J$3:J$55&gt;J50)*(I$3:I$55="P"))+SUMPRODUCT((P$3:P$55&lt;&gt;"")*(G$3:G$55=G50))+1,IF(N50&lt;&gt;"",SUMPRODUCT((N$3:N$55&lt;&gt;"")*(G$3:G$55=G50)*(J$3:J$55&gt;J50)*(I$3:I$55="P"))+1,IF(M50="P",SUMPRODUCT((O$3:O$55&lt;&gt;"")*(P$3:P$55="")*(G$3:G$55=G50)*(I$3:I$55="P"))+SUMPRODUCT((P$3:P$55&lt;&gt;"")*(G$3:G$55=G50)*(I$3:I$55="P"))+SUMPRODUCT((N$3:N$55&lt;&gt;"")*(G$3:G$55=G50)*(I$3:I$55="P"))+SUMPRODUCT((P$3:P$55="")*(O$3:O$55="")*(N$3:N$55="")*(M$3:M$55="P")*(G$3:G$55=G50)*(J$3:J$55&gt;J50)*(I$3:I$55="P"))+1,"")))))</f>
        <v/>
      </c>
      <c r="B50" s="1" t="str" cm="1">
        <f t="array" ref="B50">IF(P50&lt;&gt;"",SUMPRODUCT((P$3:P$55&lt;&gt;"")*(G$3:G$55=G50)*(J$3:J$55&gt;J50))+1,IF(O50&lt;&gt;"",SUMPRODUCT((O$3:O$55&lt;&gt;"")*(P$3:P$55="")*(G$3:G$55=G50)*(J$3:J$55&gt;J50))+SUMPRODUCT((P$3:P$55&lt;&gt;"")*(G$3:G$55=G50))+1,IF(N50&lt;&gt;"",SUMPRODUCT((N$3:N$55&lt;&gt;"")*(G$3:G$55=G50)*(J$3:J$55&gt;J50))+1,IF(M50="P",SUMPRODUCT((O$3:O$55&lt;&gt;"")*(P$3:P$55="")*(G$3:G$55=G50))+SUMPRODUCT((P$3:P$55&lt;&gt;"")*(G$3:G$55=G50))+SUMPRODUCT((N$3:N$55&lt;&gt;"")*(G$3:G$55=G50))+SUMPRODUCT((P$3:P$55="")*(O$3:O$55="")*(N$3:N$55="")*(M$3:M$55="P")*(G$3:G$55=G50)*(J$3:J$55&gt;J50))+1,""))))</f>
        <v/>
      </c>
      <c r="C50" s="36" t="s">
        <v>189</v>
      </c>
      <c r="D50" s="51" t="str">
        <f>IF(E50="","",VLOOKUP(E50,'Coaching Points'!A:B,2,0))</f>
        <v>ON</v>
      </c>
      <c r="E50" s="36" t="s">
        <v>49</v>
      </c>
      <c r="F50" s="35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13-14</v>
      </c>
      <c r="H50" s="1" t="s">
        <v>125</v>
      </c>
      <c r="I50" s="47"/>
      <c r="J50" s="4">
        <f>IF(G50="17-21",S50,R50)+IF(OR(H50="Junior",H50="Senior"),0.0002,IF(OR(H50="L7",H50="L6"),0.0001,0))+IF(G50="17-21",MAX(AA50,AC50,AF50),AE50)*0.0000001</f>
        <v>83.67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52" t="str">
        <f>IF(A50&lt;5,IF(_xlfn.MAXIFS(A:A,G:G,G50)&gt;3,5-A50,_xlfn.MAXIFS(A:A,G:G,G50)+1-A50),"")</f>
        <v/>
      </c>
      <c r="R50" s="4">
        <f>MAX(X50,AE50)</f>
        <v>83.67</v>
      </c>
      <c r="S50" s="4">
        <f>MAX(T50,V50,Y50,AA50,AC50,AF50)</f>
        <v>44.980000000000004</v>
      </c>
      <c r="T50" s="33">
        <v>38.69</v>
      </c>
      <c r="U50" s="41">
        <v>0</v>
      </c>
      <c r="V50" s="34">
        <v>44.980000000000004</v>
      </c>
      <c r="W50" s="41">
        <v>8.1999999999999993</v>
      </c>
      <c r="X50" s="4">
        <f>IF(H50="Senior",MAX(T50,V50),T50+V50)</f>
        <v>83.67</v>
      </c>
      <c r="Y50" s="34">
        <v>0</v>
      </c>
      <c r="Z50" s="41">
        <v>0</v>
      </c>
      <c r="AA50" s="33"/>
      <c r="AB50" s="41"/>
      <c r="AC50" s="34"/>
      <c r="AD50" s="41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$55&lt;&gt;"")*(G$3:G$55=G51)*(J$3:J$55&gt;J51)*(I$3:I$55="P"))+1,IF(O51&lt;&gt;"",SUMPRODUCT((O$3:O$55&lt;&gt;"")*(P$3:P$55="")*(G$3:G$55=G51)*(J$3:J$55&gt;J51)*(I$3:I$55="P"))+SUMPRODUCT((P$3:P$55&lt;&gt;"")*(G$3:G$55=G51))+1,IF(N51&lt;&gt;"",SUMPRODUCT((N$3:N$55&lt;&gt;"")*(G$3:G$55=G51)*(J$3:J$55&gt;J51)*(I$3:I$55="P"))+1,IF(M51="P",SUMPRODUCT((O$3:O$55&lt;&gt;"")*(P$3:P$55="")*(G$3:G$55=G51)*(I$3:I$55="P"))+SUMPRODUCT((P$3:P$55&lt;&gt;"")*(G$3:G$55=G51)*(I$3:I$55="P"))+SUMPRODUCT((N$3:N$55&lt;&gt;"")*(G$3:G$55=G51)*(I$3:I$55="P"))+SUMPRODUCT((P$3:P$55="")*(O$3:O$55="")*(N$3:N$55="")*(M$3:M$55="P")*(G$3:G$55=G51)*(J$3:J$55&gt;J51)*(I$3:I$55="P"))+1,"")))))</f>
        <v/>
      </c>
      <c r="B51" s="1" t="str" cm="1">
        <f t="array" ref="B51">IF(P51&lt;&gt;"",SUMPRODUCT((P$3:P$55&lt;&gt;"")*(G$3:G$55=G51)*(J$3:J$55&gt;J51))+1,IF(O51&lt;&gt;"",SUMPRODUCT((O$3:O$55&lt;&gt;"")*(P$3:P$55="")*(G$3:G$55=G51)*(J$3:J$55&gt;J51))+SUMPRODUCT((P$3:P$55&lt;&gt;"")*(G$3:G$55=G51))+1,IF(N51&lt;&gt;"",SUMPRODUCT((N$3:N$55&lt;&gt;"")*(G$3:G$55=G51)*(J$3:J$55&gt;J51))+1,IF(M51="P",SUMPRODUCT((O$3:O$55&lt;&gt;"")*(P$3:P$55="")*(G$3:G$55=G51))+SUMPRODUCT((P$3:P$55&lt;&gt;"")*(G$3:G$55=G51))+SUMPRODUCT((N$3:N$55&lt;&gt;"")*(G$3:G$55=G51))+SUMPRODUCT((P$3:P$55="")*(O$3:O$55="")*(N$3:N$55="")*(M$3:M$55="P")*(G$3:G$55=G51)*(J$3:J$55&gt;J51))+1,""))))</f>
        <v/>
      </c>
      <c r="C51" s="36" t="s">
        <v>185</v>
      </c>
      <c r="D51" s="51" t="str">
        <f>IF(E51="","",VLOOKUP(E51,'Coaching Points'!A:B,2,0))</f>
        <v>SK</v>
      </c>
      <c r="E51" s="36" t="s">
        <v>79</v>
      </c>
      <c r="F51" s="35">
        <v>2009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1" t="s">
        <v>125</v>
      </c>
      <c r="I51" s="47"/>
      <c r="J51" s="4">
        <f>IF(G51="17-21",S51,R51)+IF(OR(H51="Junior",H51="Senior"),0.0002,IF(OR(H51="L7",H51="L6"),0.0001,0))+IF(G51="17-21",MAX(AA51,AC51,AF51),AE51)*0.0000001</f>
        <v>82.28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52" t="str">
        <f>IF(A51&lt;5,IF(_xlfn.MAXIFS(A:A,G:G,G51)&gt;3,5-A51,_xlfn.MAXIFS(A:A,G:G,G51)+1-A51),"")</f>
        <v/>
      </c>
      <c r="R51" s="4">
        <f>MAX(X51,AE51)</f>
        <v>82.28</v>
      </c>
      <c r="S51" s="4">
        <f>MAX(T51,V51,Y51,AA51,AC51,AF51)</f>
        <v>45.069999999999993</v>
      </c>
      <c r="T51" s="33">
        <v>37.21</v>
      </c>
      <c r="U51" s="41">
        <v>0</v>
      </c>
      <c r="V51" s="34">
        <v>45.069999999999993</v>
      </c>
      <c r="W51" s="41">
        <v>8.3999999999999986</v>
      </c>
      <c r="X51" s="4">
        <f>IF(H51="Senior",MAX(T51,V51),T51+V51)</f>
        <v>82.28</v>
      </c>
      <c r="Y51" s="34">
        <v>44.91</v>
      </c>
      <c r="Z51" s="41">
        <v>8.3999999999999986</v>
      </c>
      <c r="AA51" s="33"/>
      <c r="AB51" s="41"/>
      <c r="AC51" s="34"/>
      <c r="AD51" s="41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$55&lt;&gt;"")*(G$3:G$55=G52)*(J$3:J$55&gt;J52)*(I$3:I$55="P"))+1,IF(O52&lt;&gt;"",SUMPRODUCT((O$3:O$55&lt;&gt;"")*(P$3:P$55="")*(G$3:G$55=G52)*(J$3:J$55&gt;J52)*(I$3:I$55="P"))+SUMPRODUCT((P$3:P$55&lt;&gt;"")*(G$3:G$55=G52))+1,IF(N52&lt;&gt;"",SUMPRODUCT((N$3:N$55&lt;&gt;"")*(G$3:G$55=G52)*(J$3:J$55&gt;J52)*(I$3:I$55="P"))+1,IF(M52="P",SUMPRODUCT((O$3:O$55&lt;&gt;"")*(P$3:P$55="")*(G$3:G$55=G52)*(I$3:I$55="P"))+SUMPRODUCT((P$3:P$55&lt;&gt;"")*(G$3:G$55=G52)*(I$3:I$55="P"))+SUMPRODUCT((N$3:N$55&lt;&gt;"")*(G$3:G$55=G52)*(I$3:I$55="P"))+SUMPRODUCT((P$3:P$55="")*(O$3:O$55="")*(N$3:N$55="")*(M$3:M$55="P")*(G$3:G$55=G52)*(J$3:J$55&gt;J52)*(I$3:I$55="P"))+1,"")))))</f>
        <v/>
      </c>
      <c r="B52" s="1" t="str" cm="1">
        <f t="array" ref="B52">IF(P52&lt;&gt;"",SUMPRODUCT((P$3:P$55&lt;&gt;"")*(G$3:G$55=G52)*(J$3:J$55&gt;J52))+1,IF(O52&lt;&gt;"",SUMPRODUCT((O$3:O$55&lt;&gt;"")*(P$3:P$55="")*(G$3:G$55=G52)*(J$3:J$55&gt;J52))+SUMPRODUCT((P$3:P$55&lt;&gt;"")*(G$3:G$55=G52))+1,IF(N52&lt;&gt;"",SUMPRODUCT((N$3:N$55&lt;&gt;"")*(G$3:G$55=G52)*(J$3:J$55&gt;J52))+1,IF(M52="P",SUMPRODUCT((O$3:O$55&lt;&gt;"")*(P$3:P$55="")*(G$3:G$55=G52))+SUMPRODUCT((P$3:P$55&lt;&gt;"")*(G$3:G$55=G52))+SUMPRODUCT((N$3:N$55&lt;&gt;"")*(G$3:G$55=G52))+SUMPRODUCT((P$3:P$55="")*(O$3:O$55="")*(N$3:N$55="")*(M$3:M$55="P")*(G$3:G$55=G52)*(J$3:J$55&gt;J52))+1,""))))</f>
        <v/>
      </c>
      <c r="C52" s="36" t="s">
        <v>186</v>
      </c>
      <c r="D52" s="51" t="str">
        <f>IF(E52="","",VLOOKUP(E52,'Coaching Points'!A:B,2,0))</f>
        <v>AB</v>
      </c>
      <c r="E52" s="36" t="s">
        <v>29</v>
      </c>
      <c r="F52" s="35">
        <v>2008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1" t="s">
        <v>125</v>
      </c>
      <c r="I52" s="47"/>
      <c r="J52" s="4">
        <f>IF(G52="17-21",S52,R52)+IF(OR(H52="Junior",H52="Senior"),0.0002,IF(OR(H52="L7",H52="L6"),0.0001,0))+IF(G52="17-21",MAX(AA52,AC52,AF52),AE52)*0.0000001</f>
        <v>81.75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52" t="str">
        <f>IF(A52&lt;5,IF(_xlfn.MAXIFS(A:A,G:G,G52)&gt;3,5-A52,_xlfn.MAXIFS(A:A,G:G,G52)+1-A52),"")</f>
        <v/>
      </c>
      <c r="R52" s="4">
        <f>MAX(X52,AE52)</f>
        <v>81.75</v>
      </c>
      <c r="S52" s="4">
        <f>MAX(T52,V52,Y52,AA52,AC52,AF52)</f>
        <v>44.57</v>
      </c>
      <c r="T52" s="33">
        <v>38.1</v>
      </c>
      <c r="U52" s="41">
        <v>0</v>
      </c>
      <c r="V52" s="34">
        <v>43.65</v>
      </c>
      <c r="W52" s="41">
        <v>8.1</v>
      </c>
      <c r="X52" s="4">
        <f>IF(H52="Senior",MAX(T52,V52),T52+V52)</f>
        <v>81.75</v>
      </c>
      <c r="Y52" s="34">
        <v>44.57</v>
      </c>
      <c r="Z52" s="41">
        <v>8.1</v>
      </c>
      <c r="AA52" s="33"/>
      <c r="AB52" s="41"/>
      <c r="AC52" s="34"/>
      <c r="AD52" s="41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$55&lt;&gt;"")*(G$3:G$55=G53)*(J$3:J$55&gt;J53)*(I$3:I$55="P"))+1,IF(O53&lt;&gt;"",SUMPRODUCT((O$3:O$55&lt;&gt;"")*(P$3:P$55="")*(G$3:G$55=G53)*(J$3:J$55&gt;J53)*(I$3:I$55="P"))+SUMPRODUCT((P$3:P$55&lt;&gt;"")*(G$3:G$55=G53))+1,IF(N53&lt;&gt;"",SUMPRODUCT((N$3:N$55&lt;&gt;"")*(G$3:G$55=G53)*(J$3:J$55&gt;J53)*(I$3:I$55="P"))+1,IF(M53="P",SUMPRODUCT((O$3:O$55&lt;&gt;"")*(P$3:P$55="")*(G$3:G$55=G53)*(I$3:I$55="P"))+SUMPRODUCT((P$3:P$55&lt;&gt;"")*(G$3:G$55=G53)*(I$3:I$55="P"))+SUMPRODUCT((N$3:N$55&lt;&gt;"")*(G$3:G$55=G53)*(I$3:I$55="P"))+SUMPRODUCT((P$3:P$55="")*(O$3:O$55="")*(N$3:N$55="")*(M$3:M$55="P")*(G$3:G$55=G53)*(J$3:J$55&gt;J53)*(I$3:I$55="P"))+1,"")))))</f>
        <v/>
      </c>
      <c r="B53" s="1" t="str" cm="1">
        <f t="array" ref="B53">IF(P53&lt;&gt;"",SUMPRODUCT((P$3:P$55&lt;&gt;"")*(G$3:G$55=G53)*(J$3:J$55&gt;J53))+1,IF(O53&lt;&gt;"",SUMPRODUCT((O$3:O$55&lt;&gt;"")*(P$3:P$55="")*(G$3:G$55=G53)*(J$3:J$55&gt;J53))+SUMPRODUCT((P$3:P$55&lt;&gt;"")*(G$3:G$55=G53))+1,IF(N53&lt;&gt;"",SUMPRODUCT((N$3:N$55&lt;&gt;"")*(G$3:G$55=G53)*(J$3:J$55&gt;J53))+1,IF(M53="P",SUMPRODUCT((O$3:O$55&lt;&gt;"")*(P$3:P$55="")*(G$3:G$55=G53))+SUMPRODUCT((P$3:P$55&lt;&gt;"")*(G$3:G$55=G53))+SUMPRODUCT((N$3:N$55&lt;&gt;"")*(G$3:G$55=G53))+SUMPRODUCT((P$3:P$55="")*(O$3:O$55="")*(N$3:N$55="")*(M$3:M$55="P")*(G$3:G$55=G53)*(J$3:J$55&gt;J53))+1,""))))</f>
        <v/>
      </c>
      <c r="C53" s="36" t="s">
        <v>188</v>
      </c>
      <c r="D53" s="51" t="str">
        <f>IF(E53="","",VLOOKUP(E53,'Coaching Points'!A:B,2,0))</f>
        <v>AB</v>
      </c>
      <c r="E53" s="36" t="s">
        <v>148</v>
      </c>
      <c r="F53" s="35">
        <v>2008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1" t="s">
        <v>125</v>
      </c>
      <c r="I53" s="47"/>
      <c r="J53" s="4">
        <f>IF(G53="17-21",S53,R53)+IF(OR(H53="Junior",H53="Senior"),0.0002,IF(OR(H53="L7",H53="L6"),0.0001,0))+IF(G53="17-21",MAX(AA53,AC53,AF53),AE53)*0.0000001</f>
        <v>80.59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52" t="str">
        <f>IF(A53&lt;5,IF(_xlfn.MAXIFS(A:A,G:G,G53)&gt;3,5-A53,_xlfn.MAXIFS(A:A,G:G,G53)+1-A53),"")</f>
        <v/>
      </c>
      <c r="R53" s="4">
        <f>MAX(X53,AE53)</f>
        <v>80.59</v>
      </c>
      <c r="S53" s="4">
        <f>MAX(T53,V53,Y53,AA53,AC53,AF53)</f>
        <v>43.29</v>
      </c>
      <c r="T53" s="33">
        <v>37.299999999999997</v>
      </c>
      <c r="U53" s="41">
        <v>0</v>
      </c>
      <c r="V53" s="34">
        <v>43.29</v>
      </c>
      <c r="W53" s="41">
        <v>8.2999999999999989</v>
      </c>
      <c r="X53" s="4">
        <f>IF(H53="Senior",MAX(T53,V53),T53+V53)</f>
        <v>80.59</v>
      </c>
      <c r="Y53" s="34">
        <v>19.88</v>
      </c>
      <c r="Z53" s="41">
        <v>3.9000000000000004</v>
      </c>
      <c r="AA53" s="33"/>
      <c r="AB53" s="41"/>
      <c r="AC53" s="34"/>
      <c r="AD53" s="41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$55&lt;&gt;"")*(G$3:G$55=G54)*(J$3:J$55&gt;J54)*(I$3:I$55="P"))+1,IF(O54&lt;&gt;"",SUMPRODUCT((O$3:O$55&lt;&gt;"")*(P$3:P$55="")*(G$3:G$55=G54)*(J$3:J$55&gt;J54)*(I$3:I$55="P"))+SUMPRODUCT((P$3:P$55&lt;&gt;"")*(G$3:G$55=G54))+1,IF(N54&lt;&gt;"",SUMPRODUCT((N$3:N$55&lt;&gt;"")*(G$3:G$55=G54)*(J$3:J$55&gt;J54)*(I$3:I$55="P"))+1,IF(M54="P",SUMPRODUCT((O$3:O$55&lt;&gt;"")*(P$3:P$55="")*(G$3:G$55=G54)*(I$3:I$55="P"))+SUMPRODUCT((P$3:P$55&lt;&gt;"")*(G$3:G$55=G54)*(I$3:I$55="P"))+SUMPRODUCT((N$3:N$55&lt;&gt;"")*(G$3:G$55=G54)*(I$3:I$55="P"))+SUMPRODUCT((P$3:P$55="")*(O$3:O$55="")*(N$3:N$55="")*(M$3:M$55="P")*(G$3:G$55=G54)*(J$3:J$55&gt;J54)*(I$3:I$55="P"))+1,"")))))</f>
        <v/>
      </c>
      <c r="B54" s="1" t="str" cm="1">
        <f t="array" ref="B54">IF(P54&lt;&gt;"",SUMPRODUCT((P$3:P$55&lt;&gt;"")*(G$3:G$55=G54)*(J$3:J$55&gt;J54))+1,IF(O54&lt;&gt;"",SUMPRODUCT((O$3:O$55&lt;&gt;"")*(P$3:P$55="")*(G$3:G$55=G54)*(J$3:J$55&gt;J54))+SUMPRODUCT((P$3:P$55&lt;&gt;"")*(G$3:G$55=G54))+1,IF(N54&lt;&gt;"",SUMPRODUCT((N$3:N$55&lt;&gt;"")*(G$3:G$55=G54)*(J$3:J$55&gt;J54))+1,IF(M54="P",SUMPRODUCT((O$3:O$55&lt;&gt;"")*(P$3:P$55="")*(G$3:G$55=G54))+SUMPRODUCT((P$3:P$55&lt;&gt;"")*(G$3:G$55=G54))+SUMPRODUCT((N$3:N$55&lt;&gt;"")*(G$3:G$55=G54))+SUMPRODUCT((P$3:P$55="")*(O$3:O$55="")*(N$3:N$55="")*(M$3:M$55="P")*(G$3:G$55=G54)*(J$3:J$55&gt;J54))+1,""))))</f>
        <v/>
      </c>
      <c r="C54" s="36" t="s">
        <v>187</v>
      </c>
      <c r="D54" s="51" t="str">
        <f>IF(E54="","",VLOOKUP(E54,'Coaching Points'!A:B,2,0))</f>
        <v>ON</v>
      </c>
      <c r="E54" s="36" t="s">
        <v>49</v>
      </c>
      <c r="F54" s="35">
        <v>2008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1" t="s">
        <v>125</v>
      </c>
      <c r="I54" s="47"/>
      <c r="J54" s="4">
        <f>IF(G54="17-21",S54,R54)+IF(OR(H54="Junior",H54="Senior"),0.0002,IF(OR(H54="L7",H54="L6"),0.0001,0))+IF(G54="17-21",MAX(AA54,AC54,AF54),AE54)*0.0000001</f>
        <v>78.099999999999994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52" t="str">
        <f>IF(A54&lt;5,IF(_xlfn.MAXIFS(A:A,G:G,G54)&gt;3,5-A54,_xlfn.MAXIFS(A:A,G:G,G54)+1-A54),"")</f>
        <v/>
      </c>
      <c r="R54" s="4">
        <f>MAX(X54,AE54)</f>
        <v>78.099999999999994</v>
      </c>
      <c r="S54" s="4">
        <f>MAX(T54,V54,Y54,AA54,AC54,AF54)</f>
        <v>43.98</v>
      </c>
      <c r="T54" s="33">
        <v>36.97</v>
      </c>
      <c r="U54" s="41">
        <v>0</v>
      </c>
      <c r="V54" s="34">
        <v>41.129999999999995</v>
      </c>
      <c r="W54" s="41">
        <v>8.4999999999999982</v>
      </c>
      <c r="X54" s="4">
        <f>IF(H54="Senior",MAX(T54,V54),T54+V54)</f>
        <v>78.099999999999994</v>
      </c>
      <c r="Y54" s="34">
        <v>43.98</v>
      </c>
      <c r="Z54" s="41">
        <v>8.7999999999999989</v>
      </c>
      <c r="AA54" s="33"/>
      <c r="AB54" s="41"/>
      <c r="AC54" s="34"/>
      <c r="AD54" s="41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$55&lt;&gt;"")*(G$3:G$55=G55)*(J$3:J$55&gt;J55)*(I$3:I$55="P"))+1,IF(O55&lt;&gt;"",SUMPRODUCT((O$3:O$55&lt;&gt;"")*(P$3:P$55="")*(G$3:G$55=G55)*(J$3:J$55&gt;J55)*(I$3:I$55="P"))+SUMPRODUCT((P$3:P$55&lt;&gt;"")*(G$3:G$55=G55))+1,IF(N55&lt;&gt;"",SUMPRODUCT((N$3:N$55&lt;&gt;"")*(G$3:G$55=G55)*(J$3:J$55&gt;J55)*(I$3:I$55="P"))+1,IF(M55="P",SUMPRODUCT((O$3:O$55&lt;&gt;"")*(P$3:P$55="")*(G$3:G$55=G55)*(I$3:I$55="P"))+SUMPRODUCT((P$3:P$55&lt;&gt;"")*(G$3:G$55=G55)*(I$3:I$55="P"))+SUMPRODUCT((N$3:N$55&lt;&gt;"")*(G$3:G$55=G55)*(I$3:I$55="P"))+SUMPRODUCT((P$3:P$55="")*(O$3:O$55="")*(N$3:N$55="")*(M$3:M$55="P")*(G$3:G$55=G55)*(J$3:J$55&gt;J55)*(I$3:I$55="P"))+1,"")))))</f>
        <v/>
      </c>
      <c r="B55" s="1" t="str" cm="1">
        <f t="array" ref="B55">IF(P55&lt;&gt;"",SUMPRODUCT((P$3:P$55&lt;&gt;"")*(G$3:G$55=G55)*(J$3:J$55&gt;J55))+1,IF(O55&lt;&gt;"",SUMPRODUCT((O$3:O$55&lt;&gt;"")*(P$3:P$55="")*(G$3:G$55=G55)*(J$3:J$55&gt;J55))+SUMPRODUCT((P$3:P$55&lt;&gt;"")*(G$3:G$55=G55))+1,IF(N55&lt;&gt;"",SUMPRODUCT((N$3:N$55&lt;&gt;"")*(G$3:G$55=G55)*(J$3:J$55&gt;J55))+1,IF(M55="P",SUMPRODUCT((O$3:O$55&lt;&gt;"")*(P$3:P$55="")*(G$3:G$55=G55))+SUMPRODUCT((P$3:P$55&lt;&gt;"")*(G$3:G$55=G55))+SUMPRODUCT((N$3:N$55&lt;&gt;"")*(G$3:G$55=G55))+SUMPRODUCT((P$3:P$55="")*(O$3:O$55="")*(N$3:N$55="")*(M$3:M$55="P")*(G$3:G$55=G55)*(J$3:J$55&gt;J55))+1,""))))</f>
        <v/>
      </c>
      <c r="C55" s="36" t="s">
        <v>190</v>
      </c>
      <c r="D55" s="51" t="str">
        <f>IF(E55="","",VLOOKUP(E55,'Coaching Points'!A:B,2,0))</f>
        <v>AB</v>
      </c>
      <c r="E55" s="36" t="s">
        <v>100</v>
      </c>
      <c r="F55" s="35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1" t="s">
        <v>125</v>
      </c>
      <c r="I55" s="47"/>
      <c r="J55" s="4">
        <f>IF(G55="17-21",S55,R55)+IF(OR(H55="Junior",H55="Senior"),0.0002,IF(OR(H55="L7",H55="L6"),0.0001,0))+IF(G55="17-21",MAX(AA55,AC55,AF55),AE55)*0.0000001</f>
        <v>31.080000000000002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52" t="str">
        <f>IF(A55&lt;5,IF(_xlfn.MAXIFS(A:A,G:G,G55)&gt;3,5-A55,_xlfn.MAXIFS(A:A,G:G,G55)+1-A55),"")</f>
        <v/>
      </c>
      <c r="R55" s="4">
        <f>MAX(X55,AE55)</f>
        <v>31.080000000000002</v>
      </c>
      <c r="S55" s="4">
        <f>MAX(T55,V55,Y55,AA55,AC55,AF55)</f>
        <v>26.85</v>
      </c>
      <c r="T55" s="33">
        <v>4.2300000000000004</v>
      </c>
      <c r="U55" s="41">
        <v>0</v>
      </c>
      <c r="V55" s="34">
        <v>26.85</v>
      </c>
      <c r="W55" s="41">
        <v>5.3000000000000007</v>
      </c>
      <c r="X55" s="4">
        <f>IF(H55="Senior",MAX(T55,V55),T55+V55)</f>
        <v>31.080000000000002</v>
      </c>
      <c r="Y55" s="34">
        <v>0</v>
      </c>
      <c r="Z55" s="41">
        <v>0</v>
      </c>
      <c r="AA55" s="33"/>
      <c r="AB55" s="41"/>
      <c r="AC55" s="34"/>
      <c r="AD55" s="41"/>
      <c r="AE55" s="4">
        <f>IF(H55="Senior",MAX(AA55,AC55),AA55+AC55)</f>
        <v>0</v>
      </c>
      <c r="AF55" s="34"/>
      <c r="AG55" s="37"/>
    </row>
    <row r="56" spans="1:33" x14ac:dyDescent="0.2">
      <c r="R56" s="4"/>
      <c r="S56" s="4"/>
      <c r="T56" s="33"/>
      <c r="U56" s="41"/>
      <c r="V56" s="34"/>
      <c r="W56" s="41"/>
      <c r="X56" s="4"/>
      <c r="Y56" s="34"/>
      <c r="Z56" s="41"/>
      <c r="AA56" s="33"/>
      <c r="AB56" s="41"/>
      <c r="AC56" s="34"/>
      <c r="AD56" s="41"/>
      <c r="AE56" s="4"/>
      <c r="AF56" s="34"/>
      <c r="AG56" s="37"/>
    </row>
    <row r="57" spans="1:33" x14ac:dyDescent="0.2">
      <c r="R57" s="4"/>
      <c r="S57" s="4"/>
      <c r="T57" s="33"/>
      <c r="U57" s="41"/>
      <c r="V57" s="34"/>
      <c r="W57" s="41"/>
      <c r="X57" s="4"/>
      <c r="Y57" s="34"/>
      <c r="Z57" s="41"/>
      <c r="AA57" s="33"/>
      <c r="AB57" s="41"/>
      <c r="AC57" s="34"/>
      <c r="AD57" s="41"/>
      <c r="AE57" s="4"/>
      <c r="AF57" s="34"/>
      <c r="AG57" s="37"/>
    </row>
    <row r="58" spans="1:33" x14ac:dyDescent="0.2">
      <c r="R58" s="4"/>
      <c r="S58" s="4"/>
      <c r="T58" s="33"/>
      <c r="U58" s="41"/>
      <c r="V58" s="34"/>
      <c r="W58" s="41"/>
      <c r="X58" s="4"/>
      <c r="Y58" s="34"/>
      <c r="Z58" s="41"/>
      <c r="AA58" s="33"/>
      <c r="AB58" s="41"/>
      <c r="AC58" s="34"/>
      <c r="AD58" s="41"/>
      <c r="AE58" s="4"/>
      <c r="AF58" s="34"/>
      <c r="AG58" s="37"/>
    </row>
    <row r="59" spans="1:33" x14ac:dyDescent="0.2">
      <c r="R59" s="4"/>
      <c r="S59" s="4"/>
      <c r="T59" s="33"/>
      <c r="U59" s="41"/>
      <c r="V59" s="34"/>
      <c r="W59" s="41"/>
      <c r="X59" s="4"/>
      <c r="Y59" s="34"/>
      <c r="Z59" s="41"/>
      <c r="AA59" s="33"/>
      <c r="AB59" s="41"/>
      <c r="AC59" s="34"/>
      <c r="AD59" s="41"/>
      <c r="AE59" s="4"/>
      <c r="AF59" s="34"/>
      <c r="AG59" s="37"/>
    </row>
    <row r="60" spans="1:33" x14ac:dyDescent="0.2">
      <c r="R60" s="4"/>
      <c r="S60" s="4"/>
      <c r="T60" s="33"/>
      <c r="U60" s="41"/>
      <c r="V60" s="34"/>
      <c r="W60" s="41"/>
      <c r="X60" s="4"/>
      <c r="Y60" s="34"/>
      <c r="Z60" s="41"/>
      <c r="AA60" s="33"/>
      <c r="AB60" s="41"/>
      <c r="AC60" s="34"/>
      <c r="AD60" s="41"/>
      <c r="AE60" s="4"/>
      <c r="AF60" s="34"/>
      <c r="AG60" s="37"/>
    </row>
    <row r="61" spans="1:33" x14ac:dyDescent="0.2">
      <c r="R61" s="4"/>
      <c r="S61" s="4"/>
      <c r="T61" s="33"/>
      <c r="U61" s="41"/>
      <c r="V61" s="34"/>
      <c r="W61" s="41"/>
      <c r="X61" s="4"/>
      <c r="Y61" s="34"/>
      <c r="Z61" s="41"/>
      <c r="AA61" s="33"/>
      <c r="AB61" s="41"/>
      <c r="AC61" s="34"/>
      <c r="AD61" s="41"/>
      <c r="AE61" s="4"/>
      <c r="AF61" s="34"/>
      <c r="AG61" s="37"/>
    </row>
    <row r="62" spans="1:33" x14ac:dyDescent="0.2">
      <c r="R62" s="4"/>
      <c r="S62" s="4"/>
      <c r="T62" s="33"/>
      <c r="U62" s="41"/>
      <c r="V62" s="34"/>
      <c r="W62" s="41"/>
      <c r="X62" s="4"/>
      <c r="Y62" s="34"/>
      <c r="Z62" s="41"/>
      <c r="AA62" s="33"/>
      <c r="AB62" s="41"/>
      <c r="AC62" s="34"/>
      <c r="AD62" s="41"/>
      <c r="AE62" s="4"/>
      <c r="AF62" s="34"/>
      <c r="AG62" s="37"/>
    </row>
    <row r="63" spans="1:33" x14ac:dyDescent="0.2">
      <c r="R63" s="4"/>
      <c r="S63" s="4"/>
      <c r="T63" s="33"/>
      <c r="U63" s="41"/>
      <c r="V63" s="34"/>
      <c r="W63" s="41"/>
      <c r="X63" s="4"/>
      <c r="Y63" s="34"/>
      <c r="Z63" s="41"/>
      <c r="AA63" s="33"/>
      <c r="AB63" s="41"/>
      <c r="AC63" s="34"/>
      <c r="AD63" s="41"/>
      <c r="AE63" s="4"/>
      <c r="AF63" s="34"/>
      <c r="AG63" s="37"/>
    </row>
    <row r="64" spans="1:33" x14ac:dyDescent="0.2">
      <c r="R64" s="4"/>
      <c r="S64" s="4"/>
      <c r="T64" s="33"/>
      <c r="U64" s="41"/>
      <c r="V64" s="34"/>
      <c r="W64" s="41"/>
      <c r="X64" s="4"/>
      <c r="Y64" s="34"/>
      <c r="Z64" s="41"/>
      <c r="AA64" s="33"/>
      <c r="AB64" s="41"/>
      <c r="AC64" s="34"/>
      <c r="AD64" s="41"/>
      <c r="AE64" s="4"/>
      <c r="AF64" s="34"/>
      <c r="AG64" s="37"/>
    </row>
    <row r="65" spans="18:33" x14ac:dyDescent="0.2">
      <c r="R65" s="4"/>
      <c r="S65" s="4"/>
      <c r="T65" s="33"/>
      <c r="U65" s="41"/>
      <c r="V65" s="34"/>
      <c r="W65" s="41"/>
      <c r="X65" s="4"/>
      <c r="Y65" s="34"/>
      <c r="Z65" s="41"/>
      <c r="AA65" s="33"/>
      <c r="AB65" s="41"/>
      <c r="AC65" s="34"/>
      <c r="AD65" s="41"/>
      <c r="AE65" s="4"/>
      <c r="AF65" s="34"/>
      <c r="AG65" s="37"/>
    </row>
    <row r="66" spans="18:33" x14ac:dyDescent="0.2">
      <c r="R66" s="4"/>
      <c r="S66" s="4"/>
      <c r="T66" s="33"/>
      <c r="U66" s="41"/>
      <c r="V66" s="34"/>
      <c r="W66" s="41"/>
      <c r="X66" s="4"/>
      <c r="Y66" s="34"/>
      <c r="Z66" s="41"/>
      <c r="AA66" s="33"/>
      <c r="AB66" s="41"/>
      <c r="AC66" s="34"/>
      <c r="AD66" s="41"/>
      <c r="AE66" s="4"/>
      <c r="AF66" s="34"/>
      <c r="AG66" s="37"/>
    </row>
    <row r="67" spans="18:33" x14ac:dyDescent="0.2">
      <c r="R67" s="4"/>
      <c r="S67" s="4"/>
      <c r="T67" s="33"/>
      <c r="U67" s="41"/>
      <c r="V67" s="34"/>
      <c r="W67" s="41"/>
      <c r="X67" s="4"/>
      <c r="Y67" s="34"/>
      <c r="Z67" s="41"/>
      <c r="AA67" s="33"/>
      <c r="AB67" s="41"/>
      <c r="AC67" s="34"/>
      <c r="AD67" s="41"/>
      <c r="AE67" s="4"/>
      <c r="AF67" s="34"/>
      <c r="AG67" s="37"/>
    </row>
    <row r="68" spans="18:33" x14ac:dyDescent="0.2">
      <c r="R68" s="4"/>
      <c r="S68" s="4"/>
      <c r="T68" s="33"/>
      <c r="U68" s="41"/>
      <c r="V68" s="34"/>
      <c r="W68" s="41"/>
      <c r="X68" s="4"/>
      <c r="Y68" s="34"/>
      <c r="Z68" s="41"/>
      <c r="AA68" s="33"/>
      <c r="AB68" s="41"/>
      <c r="AC68" s="34"/>
      <c r="AD68" s="41"/>
      <c r="AE68" s="4"/>
      <c r="AF68" s="34"/>
      <c r="AG68" s="37"/>
    </row>
    <row r="69" spans="18:33" x14ac:dyDescent="0.2">
      <c r="R69" s="4"/>
      <c r="S69" s="4"/>
      <c r="T69" s="33"/>
      <c r="U69" s="41"/>
      <c r="V69" s="34"/>
      <c r="W69" s="41"/>
      <c r="X69" s="4"/>
      <c r="Y69" s="34"/>
      <c r="Z69" s="41"/>
      <c r="AA69" s="33"/>
      <c r="AB69" s="41"/>
      <c r="AC69" s="34"/>
      <c r="AD69" s="41"/>
      <c r="AE69" s="4"/>
      <c r="AF69" s="34"/>
      <c r="AG69" s="37"/>
    </row>
    <row r="70" spans="18:33" x14ac:dyDescent="0.2">
      <c r="R70" s="4"/>
      <c r="S70" s="4"/>
      <c r="T70" s="33"/>
      <c r="U70" s="41"/>
      <c r="V70" s="34"/>
      <c r="W70" s="41"/>
      <c r="X70" s="4"/>
      <c r="Y70" s="34"/>
      <c r="Z70" s="41"/>
      <c r="AA70" s="33"/>
      <c r="AB70" s="41"/>
      <c r="AC70" s="34"/>
      <c r="AD70" s="41"/>
      <c r="AE70" s="4"/>
      <c r="AF70" s="34"/>
      <c r="AG70" s="37"/>
    </row>
    <row r="71" spans="18:33" x14ac:dyDescent="0.2">
      <c r="R71" s="4"/>
      <c r="S71" s="4"/>
      <c r="T71" s="33"/>
      <c r="U71" s="41"/>
      <c r="V71" s="34"/>
      <c r="W71" s="41"/>
      <c r="X71" s="4"/>
      <c r="Y71" s="34"/>
      <c r="Z71" s="41"/>
      <c r="AA71" s="33"/>
      <c r="AB71" s="41"/>
      <c r="AC71" s="34"/>
      <c r="AD71" s="41"/>
      <c r="AE71" s="4"/>
      <c r="AF71" s="34"/>
      <c r="AG71" s="37"/>
    </row>
    <row r="72" spans="18:33" x14ac:dyDescent="0.2">
      <c r="R72" s="4"/>
      <c r="S72" s="4"/>
      <c r="T72" s="33"/>
      <c r="U72" s="41"/>
      <c r="V72" s="34"/>
      <c r="W72" s="41"/>
      <c r="X72" s="4"/>
      <c r="Y72" s="34"/>
      <c r="Z72" s="41"/>
      <c r="AA72" s="33"/>
      <c r="AB72" s="41"/>
      <c r="AC72" s="34"/>
      <c r="AD72" s="41"/>
      <c r="AE72" s="4"/>
      <c r="AF72" s="34"/>
      <c r="AG72" s="37"/>
    </row>
    <row r="73" spans="18:33" x14ac:dyDescent="0.2">
      <c r="R73" s="4"/>
      <c r="S73" s="4"/>
      <c r="T73" s="33"/>
      <c r="U73" s="41"/>
      <c r="V73" s="34"/>
      <c r="W73" s="41"/>
      <c r="X73" s="4"/>
      <c r="Y73" s="34"/>
      <c r="Z73" s="41"/>
      <c r="AA73" s="33"/>
      <c r="AB73" s="41"/>
      <c r="AC73" s="34"/>
      <c r="AD73" s="41"/>
      <c r="AE73" s="4"/>
      <c r="AF73" s="34"/>
      <c r="AG73" s="37"/>
    </row>
    <row r="74" spans="18:33" x14ac:dyDescent="0.2">
      <c r="R74" s="4"/>
      <c r="S74" s="4"/>
      <c r="T74" s="33"/>
      <c r="U74" s="41"/>
      <c r="V74" s="34"/>
      <c r="W74" s="41"/>
      <c r="X74" s="4"/>
      <c r="Y74" s="34"/>
      <c r="Z74" s="41"/>
      <c r="AA74" s="33"/>
      <c r="AB74" s="41"/>
      <c r="AC74" s="34"/>
      <c r="AD74" s="41"/>
      <c r="AE74" s="4"/>
      <c r="AF74" s="34"/>
      <c r="AG74" s="37"/>
    </row>
    <row r="75" spans="18:33" x14ac:dyDescent="0.2">
      <c r="R75" s="4"/>
      <c r="S75" s="4"/>
      <c r="T75" s="33"/>
      <c r="U75" s="41"/>
      <c r="V75" s="34"/>
      <c r="W75" s="41"/>
      <c r="X75" s="4"/>
      <c r="Y75" s="34"/>
      <c r="Z75" s="41"/>
      <c r="AA75" s="33"/>
      <c r="AB75" s="41"/>
      <c r="AC75" s="34"/>
      <c r="AD75" s="41"/>
      <c r="AE75" s="4"/>
      <c r="AF75" s="34"/>
      <c r="AG75" s="37"/>
    </row>
    <row r="76" spans="18:33" x14ac:dyDescent="0.2">
      <c r="R76" s="4"/>
      <c r="S76" s="4"/>
      <c r="T76" s="33"/>
      <c r="U76" s="41"/>
      <c r="V76" s="34"/>
      <c r="W76" s="41"/>
      <c r="X76" s="4"/>
      <c r="Y76" s="34"/>
      <c r="Z76" s="41"/>
      <c r="AA76" s="33"/>
      <c r="AB76" s="41"/>
      <c r="AC76" s="34"/>
      <c r="AD76" s="41"/>
      <c r="AE76" s="4"/>
      <c r="AF76" s="34"/>
      <c r="AG76" s="37"/>
    </row>
    <row r="77" spans="18:33" x14ac:dyDescent="0.2">
      <c r="R77" s="4"/>
      <c r="S77" s="4"/>
      <c r="T77" s="33"/>
      <c r="U77" s="41"/>
      <c r="V77" s="34"/>
      <c r="W77" s="41"/>
      <c r="X77" s="4"/>
      <c r="Y77" s="34"/>
      <c r="Z77" s="41"/>
      <c r="AA77" s="33"/>
      <c r="AB77" s="41"/>
      <c r="AC77" s="34"/>
      <c r="AD77" s="41"/>
      <c r="AE77" s="4"/>
      <c r="AF77" s="34"/>
      <c r="AG77" s="37"/>
    </row>
    <row r="78" spans="18:33" x14ac:dyDescent="0.2">
      <c r="R78" s="4"/>
      <c r="S78" s="4"/>
      <c r="T78" s="33"/>
      <c r="U78" s="41"/>
      <c r="V78" s="34"/>
      <c r="W78" s="41"/>
      <c r="X78" s="4"/>
      <c r="Y78" s="34"/>
      <c r="Z78" s="41"/>
      <c r="AA78" s="33"/>
      <c r="AB78" s="41"/>
      <c r="AC78" s="34"/>
      <c r="AD78" s="41"/>
      <c r="AE78" s="4"/>
      <c r="AF78" s="34"/>
      <c r="AG78" s="37"/>
    </row>
    <row r="79" spans="18:33" x14ac:dyDescent="0.2">
      <c r="R79" s="4"/>
      <c r="S79" s="4"/>
      <c r="T79" s="33"/>
      <c r="U79" s="41"/>
      <c r="V79" s="34"/>
      <c r="W79" s="41"/>
      <c r="X79" s="4"/>
      <c r="Y79" s="34"/>
      <c r="Z79" s="41"/>
      <c r="AA79" s="33"/>
      <c r="AB79" s="41"/>
      <c r="AC79" s="34"/>
      <c r="AD79" s="41"/>
      <c r="AE79" s="4"/>
      <c r="AF79" s="34"/>
      <c r="AG79" s="37"/>
    </row>
    <row r="80" spans="18:33" x14ac:dyDescent="0.2">
      <c r="R80" s="4"/>
      <c r="S80" s="4"/>
      <c r="T80" s="33"/>
      <c r="U80" s="41"/>
      <c r="V80" s="34"/>
      <c r="W80" s="41"/>
      <c r="X80" s="4"/>
      <c r="Y80" s="34"/>
      <c r="Z80" s="41"/>
      <c r="AA80" s="33"/>
      <c r="AB80" s="41"/>
      <c r="AC80" s="34"/>
      <c r="AD80" s="41"/>
      <c r="AE80" s="4"/>
      <c r="AF80" s="34"/>
      <c r="AG80" s="37"/>
    </row>
    <row r="81" spans="18:33" x14ac:dyDescent="0.2">
      <c r="R81" s="4"/>
      <c r="S81" s="4"/>
      <c r="T81" s="33"/>
      <c r="U81" s="41"/>
      <c r="V81" s="34"/>
      <c r="W81" s="41"/>
      <c r="X81" s="4"/>
      <c r="Y81" s="34"/>
      <c r="Z81" s="41"/>
      <c r="AA81" s="33"/>
      <c r="AB81" s="41"/>
      <c r="AC81" s="34"/>
      <c r="AD81" s="41"/>
      <c r="AE81" s="4"/>
      <c r="AF81" s="34"/>
      <c r="AG81" s="37"/>
    </row>
    <row r="82" spans="18:33" x14ac:dyDescent="0.2">
      <c r="R82" s="4"/>
      <c r="S82" s="4"/>
      <c r="T82" s="33"/>
      <c r="U82" s="41"/>
      <c r="V82" s="34"/>
      <c r="W82" s="41"/>
      <c r="X82" s="4"/>
      <c r="Y82" s="34"/>
      <c r="Z82" s="41"/>
      <c r="AA82" s="33"/>
      <c r="AB82" s="41"/>
      <c r="AC82" s="34"/>
      <c r="AD82" s="41"/>
      <c r="AE82" s="4"/>
      <c r="AF82" s="34"/>
      <c r="AG82" s="37"/>
    </row>
    <row r="83" spans="18:33" x14ac:dyDescent="0.2">
      <c r="R83" s="4"/>
      <c r="S83" s="4"/>
      <c r="T83" s="33"/>
      <c r="U83" s="41"/>
      <c r="V83" s="34"/>
      <c r="W83" s="41"/>
      <c r="X83" s="4"/>
      <c r="Y83" s="34"/>
      <c r="Z83" s="41"/>
      <c r="AA83" s="33"/>
      <c r="AB83" s="41"/>
      <c r="AC83" s="34"/>
      <c r="AD83" s="41"/>
      <c r="AE83" s="4"/>
      <c r="AF83" s="34"/>
      <c r="AG83" s="37"/>
    </row>
    <row r="84" spans="18:33" x14ac:dyDescent="0.2">
      <c r="R84" s="4"/>
      <c r="S84" s="4"/>
      <c r="T84" s="33"/>
      <c r="U84" s="41"/>
      <c r="V84" s="34"/>
      <c r="W84" s="41"/>
      <c r="X84" s="4"/>
      <c r="Y84" s="34"/>
      <c r="Z84" s="41"/>
      <c r="AA84" s="33"/>
      <c r="AB84" s="41"/>
      <c r="AC84" s="34"/>
      <c r="AD84" s="41"/>
      <c r="AE84" s="4"/>
      <c r="AF84" s="34"/>
      <c r="AG84" s="37"/>
    </row>
    <row r="85" spans="18:33" x14ac:dyDescent="0.2">
      <c r="R85" s="4"/>
      <c r="S85" s="4"/>
      <c r="T85" s="33"/>
      <c r="U85" s="41"/>
      <c r="V85" s="34"/>
      <c r="W85" s="41"/>
      <c r="X85" s="4"/>
      <c r="Y85" s="34"/>
      <c r="Z85" s="41"/>
      <c r="AA85" s="33"/>
      <c r="AB85" s="41"/>
      <c r="AC85" s="34"/>
      <c r="AD85" s="41"/>
      <c r="AE85" s="4"/>
      <c r="AF85" s="34"/>
      <c r="AG85" s="37"/>
    </row>
    <row r="86" spans="18:33" x14ac:dyDescent="0.2">
      <c r="R86" s="4"/>
      <c r="S86" s="4"/>
      <c r="T86" s="33"/>
      <c r="U86" s="41"/>
      <c r="V86" s="34"/>
      <c r="W86" s="41"/>
      <c r="X86" s="4"/>
      <c r="Y86" s="34"/>
      <c r="Z86" s="41"/>
      <c r="AA86" s="33"/>
      <c r="AB86" s="41"/>
      <c r="AC86" s="34"/>
      <c r="AD86" s="41"/>
      <c r="AE86" s="4"/>
      <c r="AF86" s="34"/>
      <c r="AG86" s="37"/>
    </row>
    <row r="87" spans="18:33" x14ac:dyDescent="0.2">
      <c r="R87" s="4"/>
      <c r="S87" s="4"/>
      <c r="T87" s="33"/>
      <c r="U87" s="41"/>
      <c r="V87" s="34"/>
      <c r="W87" s="41"/>
      <c r="X87" s="4"/>
      <c r="Y87" s="34"/>
      <c r="Z87" s="41"/>
      <c r="AA87" s="33"/>
      <c r="AB87" s="41"/>
      <c r="AC87" s="34"/>
      <c r="AD87" s="41"/>
      <c r="AE87" s="4"/>
      <c r="AF87" s="34"/>
      <c r="AG8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55">
      <sortCondition descending="1" ref="G1:G56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conditionalFormatting sqref="A1:XFD1048576">
    <cfRule type="expression" dxfId="34" priority="5">
      <formula>IF($G1="17-21",1,0)</formula>
    </cfRule>
    <cfRule type="expression" dxfId="33" priority="6">
      <formula>IF($G1="15-16",1,0)</formula>
    </cfRule>
    <cfRule type="expression" dxfId="32" priority="7">
      <formula>IF($G1="13-14",1,0)</formula>
    </cfRule>
    <cfRule type="expression" dxfId="31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0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30</v>
      </c>
      <c r="S1" s="71" t="s">
        <v>57</v>
      </c>
      <c r="T1" s="73" t="s">
        <v>46</v>
      </c>
      <c r="U1" s="73"/>
      <c r="V1" s="73"/>
      <c r="W1" s="73"/>
      <c r="X1" s="73"/>
      <c r="Y1" s="73"/>
      <c r="Z1" s="73"/>
      <c r="AA1" s="73" t="s">
        <v>45</v>
      </c>
      <c r="AB1" s="73"/>
      <c r="AC1" s="73"/>
      <c r="AD1" s="73"/>
      <c r="AE1" s="73"/>
      <c r="AF1" s="73"/>
      <c r="AG1" s="73"/>
    </row>
    <row r="2" spans="1:33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53</v>
      </c>
      <c r="U2" s="7" t="s">
        <v>54</v>
      </c>
      <c r="V2" s="7" t="s">
        <v>55</v>
      </c>
      <c r="W2" s="7" t="s">
        <v>56</v>
      </c>
      <c r="X2" s="7" t="s">
        <v>16</v>
      </c>
      <c r="Y2" s="7" t="s">
        <v>6</v>
      </c>
      <c r="Z2" s="7" t="s">
        <v>8</v>
      </c>
      <c r="AA2" s="8" t="s">
        <v>53</v>
      </c>
      <c r="AB2" s="7" t="s">
        <v>54</v>
      </c>
      <c r="AC2" s="7" t="s">
        <v>55</v>
      </c>
      <c r="AD2" s="7" t="s">
        <v>56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+1,""))))</f>
        <v>1</v>
      </c>
      <c r="C3" s="36" t="s">
        <v>14</v>
      </c>
      <c r="D3" s="51" t="str">
        <f>IF(E3="","",VLOOKUP(E3,'Coaching Points'!A:B,2,0))</f>
        <v>BC</v>
      </c>
      <c r="E3" s="36" t="s">
        <v>38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181</v>
      </c>
      <c r="I3" s="47"/>
      <c r="J3" s="4">
        <f>IF(G3="17-21",S3,R3)+IF(OR(H3="Junior",H3="Senior"),0.0002,IF(OR(H3="L7",H3="L6"),0.0001,0))+IF(G3="17-21",MAX(AA3,AC3,AF3),AE3)*0.0000001</f>
        <v>51.0702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2</v>
      </c>
      <c r="P3" s="39">
        <v>7</v>
      </c>
      <c r="Q3" s="52" t="str">
        <f>IF(A3&lt;5,IF(_xlfn.MAXIFS(A:A,G:G,G3)&gt;3,5-A3,_xlfn.MAXIFS(A:A,G:G,G3)+1-A3),"")</f>
        <v/>
      </c>
      <c r="R3" s="4">
        <f>MAX(X3,AE3)</f>
        <v>49.77</v>
      </c>
      <c r="S3" s="4">
        <f>MAX(T3,V3,Y3,AA3,AC3,AF3)</f>
        <v>51.07</v>
      </c>
      <c r="T3" s="33">
        <v>49.77</v>
      </c>
      <c r="U3" s="41">
        <v>12.9</v>
      </c>
      <c r="V3" s="34">
        <v>15.94</v>
      </c>
      <c r="W3" s="41">
        <v>4.4000000000000004</v>
      </c>
      <c r="X3" s="4">
        <f>IF(H3="Senior",MAX(T3,V3),T3+V3)</f>
        <v>49.77</v>
      </c>
      <c r="Y3" s="34">
        <v>51.07</v>
      </c>
      <c r="Z3" s="41">
        <v>12.9</v>
      </c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$77&lt;&gt;"")*(G$3:G$77=G4)*(J$3:J$77&gt;J4)*(I$3:I$77="P"))+1,IF(O4&lt;&gt;"",SUMPRODUCT((O$3:O$77&lt;&gt;"")*(P$3:P$77="")*(G$3:G$77=G4)*(J$3:J$77&gt;J4)*(I$3:I$77="P"))+SUMPRODUCT((P$3:P$77&lt;&gt;"")*(G$3:G$77=G4))+1,IF(N4&lt;&gt;"",SUMPRODUCT((N$3:N$77&lt;&gt;"")*(G$3:G$77=G4)*(J$3:J$77&gt;J4)*(I$3:I$77="P"))+1,IF(M4="P",SUMPRODUCT((O$3:O$77&lt;&gt;"")*(P$3:P$77="")*(G$3:G$77=G4)*(I$3:I$77="P"))+SUMPRODUCT((P$3:P$77&lt;&gt;"")*(G$3:G$77=G4)*(I$3:I$77="P"))+SUMPRODUCT((N$3:N$77&lt;&gt;"")*(G$3:G$77=G4)*(I$3:I$77="P"))+SUMPRODUCT((P$3:P$77="")*(O$3:O$77="")*(N$3:N$77="")*(M$3:M$77="P")*(G$3:G$77=G4)*(J$3:J$77&gt;J4)*(I$3:I$77="P"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+1,""))))</f>
        <v>2</v>
      </c>
      <c r="C4" s="36" t="s">
        <v>314</v>
      </c>
      <c r="D4" s="51" t="str">
        <f>IF(E4="","",VLOOKUP(E4,'Coaching Points'!A:B,2,0))</f>
        <v>BC</v>
      </c>
      <c r="E4" s="36" t="s">
        <v>38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181</v>
      </c>
      <c r="I4" s="47"/>
      <c r="J4" s="4">
        <f>IF(G4="17-21",S4,R4)+IF(OR(H4="Junior",H4="Senior"),0.0002,IF(OR(H4="L7",H4="L6"),0.0001,0))+IF(G4="17-21",MAX(AA4,AC4,AF4),AE4)*0.0000001</f>
        <v>51.010200000000005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1</v>
      </c>
      <c r="P4" s="39">
        <v>6</v>
      </c>
      <c r="Q4" s="52" t="str">
        <f>IF(A4&lt;5,IF(_xlfn.MAXIFS(A:A,G:G,G4)&gt;3,5-A4,_xlfn.MAXIFS(A:A,G:G,G4)+1-A4),"")</f>
        <v/>
      </c>
      <c r="R4" s="4">
        <f>MAX(X4,AE4)</f>
        <v>51.010000000000005</v>
      </c>
      <c r="S4" s="4">
        <f>MAX(T4,V4,Y4,AA4,AC4,AF4)</f>
        <v>51.010000000000005</v>
      </c>
      <c r="T4" s="33">
        <v>51.010000000000005</v>
      </c>
      <c r="U4" s="41">
        <v>13.3</v>
      </c>
      <c r="V4" s="34">
        <v>49.04</v>
      </c>
      <c r="W4" s="41">
        <v>13.400000000000002</v>
      </c>
      <c r="X4" s="4">
        <f>IF(H4="Senior",MAX(T4,V4),T4+V4)</f>
        <v>51.010000000000005</v>
      </c>
      <c r="Y4" s="34">
        <v>30.49</v>
      </c>
      <c r="Z4" s="41">
        <v>8.1</v>
      </c>
      <c r="AA4" s="33"/>
      <c r="AB4" s="41"/>
      <c r="AC4" s="34"/>
      <c r="AD4" s="41"/>
      <c r="AE4" s="4">
        <f>IF(H4="Senior",MAX(AA4,AC4),AA4+AC4)</f>
        <v>0</v>
      </c>
      <c r="AF4" s="34"/>
      <c r="AG4" s="37"/>
    </row>
    <row r="5" spans="1:33" x14ac:dyDescent="0.2">
      <c r="A5" s="1" t="str" cm="1">
        <f t="array" ref="A5">IF(I5="","",IF(P5&lt;&gt;"",SUMPRODUCT((P$3:P$77&lt;&gt;"")*(G$3:G$77=G5)*(J$3:J$77&gt;J5)*(I$3:I$77="P"))+1,IF(O5&lt;&gt;"",SUMPRODUCT((O$3:O$77&lt;&gt;"")*(P$3:P$77="")*(G$3:G$77=G5)*(J$3:J$77&gt;J5)*(I$3:I$77="P"))+SUMPRODUCT((P$3:P$77&lt;&gt;"")*(G$3:G$77=G5))+1,IF(N5&lt;&gt;"",SUMPRODUCT((N$3:N$77&lt;&gt;"")*(G$3:G$77=G5)*(J$3:J$77&gt;J5)*(I$3:I$77="P"))+1,IF(M5="P",SUMPRODUCT((O$3:O$77&lt;&gt;"")*(P$3:P$77="")*(G$3:G$77=G5)*(I$3:I$77="P"))+SUMPRODUCT((P$3:P$77&lt;&gt;"")*(G$3:G$77=G5)*(I$3:I$77="P"))+SUMPRODUCT((N$3:N$77&lt;&gt;"")*(G$3:G$77=G5)*(I$3:I$77="P"))+SUMPRODUCT((P$3:P$77="")*(O$3:O$77="")*(N$3:N$77="")*(M$3:M$77="P")*(G$3:G$77=G5)*(J$3:J$77&gt;J5)*(I$3:I$77="P"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+1,""))))</f>
        <v>3</v>
      </c>
      <c r="C5" s="36" t="s">
        <v>312</v>
      </c>
      <c r="D5" s="51" t="str">
        <f>IF(E5="","",VLOOKUP(E5,'Coaching Points'!A:B,2,0))</f>
        <v>ON</v>
      </c>
      <c r="E5" s="36" t="s">
        <v>39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181</v>
      </c>
      <c r="I5" s="47"/>
      <c r="J5" s="4">
        <f>IF(G5="17-21",S5,R5)+IF(OR(H5="Junior",H5="Senior"),0.0002,IF(OR(H5="L7",H5="L6"),0.0001,0))+IF(G5="17-21",MAX(AA5,AC5,AF5),AE5)*0.0000001</f>
        <v>51.120199999999997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3</v>
      </c>
      <c r="Q5" s="52" t="str">
        <f>IF(A5&lt;5,IF(_xlfn.MAXIFS(A:A,G:G,G5)&gt;3,5-A5,_xlfn.MAXIFS(A:A,G:G,G5)+1-A5),"")</f>
        <v/>
      </c>
      <c r="R5" s="4">
        <f>MAX(X5,AE5)</f>
        <v>50.069999999999993</v>
      </c>
      <c r="S5" s="4">
        <f>MAX(T5,V5,Y5,AA5,AC5,AF5)</f>
        <v>51.12</v>
      </c>
      <c r="T5" s="33">
        <v>46.37</v>
      </c>
      <c r="U5" s="41">
        <v>10.799999999999999</v>
      </c>
      <c r="V5" s="34">
        <v>50.069999999999993</v>
      </c>
      <c r="W5" s="41">
        <v>12.2</v>
      </c>
      <c r="X5" s="4">
        <f>IF(H5="Senior",MAX(T5,V5),T5+V5)</f>
        <v>50.069999999999993</v>
      </c>
      <c r="Y5" s="34">
        <v>51.12</v>
      </c>
      <c r="Z5" s="41">
        <v>12.2</v>
      </c>
      <c r="AA5" s="33"/>
      <c r="AB5" s="41"/>
      <c r="AC5" s="34"/>
      <c r="AD5" s="41"/>
      <c r="AE5" s="4">
        <f>IF(H5="Senior",MAX(AA5,AC5),AA5+AC5)</f>
        <v>0</v>
      </c>
      <c r="AF5" s="34"/>
      <c r="AG5" s="37"/>
    </row>
    <row r="6" spans="1:33" x14ac:dyDescent="0.2">
      <c r="A6" s="1" t="str" cm="1">
        <f t="array" ref="A6">IF(I6="","",IF(P6&lt;&gt;"",SUMPRODUCT((P$3:P$77&lt;&gt;"")*(G$3:G$77=G6)*(J$3:J$77&gt;J6)*(I$3:I$77="P"))+1,IF(O6&lt;&gt;"",SUMPRODUCT((O$3:O$77&lt;&gt;"")*(P$3:P$77="")*(G$3:G$77=G6)*(J$3:J$77&gt;J6)*(I$3:I$77="P"))+SUMPRODUCT((P$3:P$77&lt;&gt;"")*(G$3:G$77=G6))+1,IF(N6&lt;&gt;"",SUMPRODUCT((N$3:N$77&lt;&gt;"")*(G$3:G$77=G6)*(J$3:J$77&gt;J6)*(I$3:I$77="P"))+1,IF(M6="P",SUMPRODUCT((O$3:O$77&lt;&gt;"")*(P$3:P$77="")*(G$3:G$77=G6)*(I$3:I$77="P"))+SUMPRODUCT((P$3:P$77&lt;&gt;"")*(G$3:G$77=G6)*(I$3:I$77="P"))+SUMPRODUCT((N$3:N$77&lt;&gt;"")*(G$3:G$77=G6)*(I$3:I$77="P"))+SUMPRODUCT((P$3:P$77="")*(O$3:O$77="")*(N$3:N$77="")*(M$3:M$77="P")*(G$3:G$77=G6)*(J$3:J$77&gt;J6)*(I$3:I$77="P"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+1,""))))</f>
        <v>4</v>
      </c>
      <c r="C6" s="36" t="s">
        <v>296</v>
      </c>
      <c r="D6" s="51" t="str">
        <f>IF(E6="","",VLOOKUP(E6,'Coaching Points'!A:B,2,0))</f>
        <v>ON</v>
      </c>
      <c r="E6" s="36" t="s">
        <v>237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127</v>
      </c>
      <c r="I6" s="47"/>
      <c r="J6" s="4">
        <f>IF(G6="17-21",S6,R6)+IF(OR(H6="Junior",H6="Senior"),0.0002,IF(OR(H6="L7",H6="L6"),0.0001,0))+IF(G6="17-21",MAX(AA6,AC6,AF6),AE6)*0.0000001</f>
        <v>49.560100000000006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52" t="str">
        <f>IF(A6&lt;5,IF(_xlfn.MAXIFS(A:A,G:G,G6)&gt;3,5-A6,_xlfn.MAXIFS(A:A,G:G,G6)+1-A6),"")</f>
        <v/>
      </c>
      <c r="R6" s="4">
        <f>MAX(X6,AE6)</f>
        <v>92.38</v>
      </c>
      <c r="S6" s="4">
        <f>MAX(T6,V6,Y6,AA6,AC6,AF6)</f>
        <v>49.56</v>
      </c>
      <c r="T6" s="33">
        <v>42.96</v>
      </c>
      <c r="U6" s="41">
        <v>2.2999999999999998</v>
      </c>
      <c r="V6" s="34">
        <v>49.42</v>
      </c>
      <c r="W6" s="41">
        <v>11.8</v>
      </c>
      <c r="X6" s="4">
        <f>IF(H6="Senior",MAX(T6,V6),T6+V6)</f>
        <v>92.38</v>
      </c>
      <c r="Y6" s="34">
        <v>49.56</v>
      </c>
      <c r="Z6" s="41">
        <v>11.8</v>
      </c>
      <c r="AA6" s="33"/>
      <c r="AB6" s="41"/>
      <c r="AC6" s="34"/>
      <c r="AD6" s="41"/>
      <c r="AE6" s="4">
        <f>IF(H6="Senior",MAX(AA6,AC6),AA6+AC6)</f>
        <v>0</v>
      </c>
      <c r="AF6" s="34"/>
      <c r="AG6" s="37"/>
    </row>
    <row r="7" spans="1:33" x14ac:dyDescent="0.2">
      <c r="A7" s="1" t="str" cm="1">
        <f t="array" ref="A7">IF(I7="","",IF(P7&lt;&gt;"",SUMPRODUCT((P$3:P$77&lt;&gt;"")*(G$3:G$77=G7)*(J$3:J$77&gt;J7)*(I$3:I$77="P"))+1,IF(O7&lt;&gt;"",SUMPRODUCT((O$3:O$77&lt;&gt;"")*(P$3:P$77="")*(G$3:G$77=G7)*(J$3:J$77&gt;J7)*(I$3:I$77="P"))+SUMPRODUCT((P$3:P$77&lt;&gt;"")*(G$3:G$77=G7))+1,IF(N7&lt;&gt;"",SUMPRODUCT((N$3:N$77&lt;&gt;"")*(G$3:G$77=G7)*(J$3:J$77&gt;J7)*(I$3:I$77="P"))+1,IF(M7="P",SUMPRODUCT((O$3:O$77&lt;&gt;"")*(P$3:P$77="")*(G$3:G$77=G7)*(I$3:I$77="P"))+SUMPRODUCT((P$3:P$77&lt;&gt;"")*(G$3:G$77=G7)*(I$3:I$77="P"))+SUMPRODUCT((N$3:N$77&lt;&gt;"")*(G$3:G$77=G7)*(I$3:I$77="P"))+SUMPRODUCT((P$3:P$77="")*(O$3:O$77="")*(N$3:N$77="")*(M$3:M$77="P")*(G$3:G$77=G7)*(J$3:J$77&gt;J7)*(I$3:I$77="P"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+1,""))))</f>
        <v>5</v>
      </c>
      <c r="C7" s="36" t="s">
        <v>297</v>
      </c>
      <c r="D7" s="51" t="str">
        <f>IF(E7="","",VLOOKUP(E7,'Coaching Points'!A:B,2,0))</f>
        <v>BC</v>
      </c>
      <c r="E7" s="36" t="s">
        <v>38</v>
      </c>
      <c r="F7" s="35">
        <v>2003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127</v>
      </c>
      <c r="I7" s="47"/>
      <c r="J7" s="4">
        <f>IF(G7="17-21",S7,R7)+IF(OR(H7="Junior",H7="Senior"),0.0002,IF(OR(H7="L7",H7="L6"),0.0001,0))+IF(G7="17-21",MAX(AA7,AC7,AF7),AE7)*0.0000001</f>
        <v>48.29010000000001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52" t="str">
        <f>IF(A7&lt;5,IF(_xlfn.MAXIFS(A:A,G:G,G7)&gt;3,5-A7,_xlfn.MAXIFS(A:A,G:G,G7)+1-A7),"")</f>
        <v/>
      </c>
      <c r="R7" s="4">
        <f>MAX(X7,AE7)</f>
        <v>90.06</v>
      </c>
      <c r="S7" s="4">
        <f>MAX(T7,V7,Y7,AA7,AC7,AF7)</f>
        <v>48.290000000000006</v>
      </c>
      <c r="T7" s="33">
        <v>42.58</v>
      </c>
      <c r="U7" s="41">
        <v>2.1</v>
      </c>
      <c r="V7" s="34">
        <v>47.480000000000004</v>
      </c>
      <c r="W7" s="41">
        <v>8.6</v>
      </c>
      <c r="X7" s="4">
        <f>IF(H7="Senior",MAX(T7,V7),T7+V7)</f>
        <v>90.06</v>
      </c>
      <c r="Y7" s="34">
        <v>48.290000000000006</v>
      </c>
      <c r="Z7" s="41">
        <v>10.499999999999998</v>
      </c>
      <c r="AA7" s="33"/>
      <c r="AB7" s="41"/>
      <c r="AC7" s="34"/>
      <c r="AD7" s="41"/>
      <c r="AE7" s="4">
        <f>IF(H7="Senior",MAX(AA7,AC7),AA7+AC7)</f>
        <v>0</v>
      </c>
      <c r="AF7" s="34"/>
      <c r="AG7" s="37"/>
    </row>
    <row r="8" spans="1:33" x14ac:dyDescent="0.2">
      <c r="A8" s="1" t="str" cm="1">
        <f t="array" ref="A8">IF(I8="","",IF(P8&lt;&gt;"",SUMPRODUCT((P$3:P$77&lt;&gt;"")*(G$3:G$77=G8)*(J$3:J$77&gt;J8)*(I$3:I$77="P"))+1,IF(O8&lt;&gt;"",SUMPRODUCT((O$3:O$77&lt;&gt;"")*(P$3:P$77="")*(G$3:G$77=G8)*(J$3:J$77&gt;J8)*(I$3:I$77="P"))+SUMPRODUCT((P$3:P$77&lt;&gt;"")*(G$3:G$77=G8))+1,IF(N8&lt;&gt;"",SUMPRODUCT((N$3:N$77&lt;&gt;"")*(G$3:G$77=G8)*(J$3:J$77&gt;J8)*(I$3:I$77="P"))+1,IF(M8="P",SUMPRODUCT((O$3:O$77&lt;&gt;"")*(P$3:P$77="")*(G$3:G$77=G8)*(I$3:I$77="P"))+SUMPRODUCT((P$3:P$77&lt;&gt;"")*(G$3:G$77=G8)*(I$3:I$77="P"))+SUMPRODUCT((N$3:N$77&lt;&gt;"")*(G$3:G$77=G8)*(I$3:I$77="P"))+SUMPRODUCT((P$3:P$77="")*(O$3:O$77="")*(N$3:N$77="")*(M$3:M$77="P")*(G$3:G$77=G8)*(J$3:J$77&gt;J8)*(I$3:I$77="P"))+1,"")))))</f>
        <v/>
      </c>
      <c r="B8" s="1" t="str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+1,""))))</f>
        <v/>
      </c>
      <c r="C8" s="36" t="s">
        <v>298</v>
      </c>
      <c r="D8" s="51" t="str">
        <f>IF(E8="","",VLOOKUP(E8,'Coaching Points'!A:B,2,0))</f>
        <v>BC</v>
      </c>
      <c r="E8" s="36" t="s">
        <v>43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127</v>
      </c>
      <c r="I8" s="47"/>
      <c r="J8" s="4">
        <f>IF(G8="17-21",S8,R8)+IF(OR(H8="Junior",H8="Senior"),0.0002,IF(OR(H8="L7",H8="L6"),0.0001,0))+IF(G8="17-21",MAX(AA8,AC8,AF8),AE8)*0.0000001</f>
        <v>47.470100000000002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52" t="str">
        <f>IF(A8&lt;5,IF(_xlfn.MAXIFS(A:A,G:G,G8)&gt;3,5-A8,_xlfn.MAXIFS(A:A,G:G,G8)+1-A8),"")</f>
        <v/>
      </c>
      <c r="R8" s="4">
        <f>MAX(X8,AE8)</f>
        <v>86.140000000000015</v>
      </c>
      <c r="S8" s="4">
        <f>MAX(T8,V8,Y8,AA8,AC8,AF8)</f>
        <v>47.47</v>
      </c>
      <c r="T8" s="33">
        <v>40.17</v>
      </c>
      <c r="U8" s="41">
        <v>2</v>
      </c>
      <c r="V8" s="34">
        <v>45.970000000000006</v>
      </c>
      <c r="W8" s="41">
        <v>10.3</v>
      </c>
      <c r="X8" s="4">
        <f>IF(H8="Senior",MAX(T8,V8),T8+V8)</f>
        <v>86.140000000000015</v>
      </c>
      <c r="Y8" s="34">
        <v>47.47</v>
      </c>
      <c r="Z8" s="41">
        <v>10.3</v>
      </c>
      <c r="AA8" s="33"/>
      <c r="AB8" s="41"/>
      <c r="AC8" s="34"/>
      <c r="AD8" s="41"/>
      <c r="AE8" s="4">
        <f>IF(H8="Senior",MAX(AA8,AC8),AA8+AC8)</f>
        <v>0</v>
      </c>
      <c r="AF8" s="34"/>
      <c r="AG8" s="37"/>
    </row>
    <row r="9" spans="1:33" x14ac:dyDescent="0.2">
      <c r="A9" s="1" t="str" cm="1">
        <f t="array" ref="A9">IF(I9="","",IF(P9&lt;&gt;"",SUMPRODUCT((P$3:P$77&lt;&gt;"")*(G$3:G$77=G9)*(J$3:J$77&gt;J9)*(I$3:I$77="P"))+1,IF(O9&lt;&gt;"",SUMPRODUCT((O$3:O$77&lt;&gt;"")*(P$3:P$77="")*(G$3:G$77=G9)*(J$3:J$77&gt;J9)*(I$3:I$77="P"))+SUMPRODUCT((P$3:P$77&lt;&gt;"")*(G$3:G$77=G9))+1,IF(N9&lt;&gt;"",SUMPRODUCT((N$3:N$77&lt;&gt;"")*(G$3:G$77=G9)*(J$3:J$77&gt;J9)*(I$3:I$77="P"))+1,IF(M9="P",SUMPRODUCT((O$3:O$77&lt;&gt;"")*(P$3:P$77="")*(G$3:G$77=G9)*(I$3:I$77="P"))+SUMPRODUCT((P$3:P$77&lt;&gt;"")*(G$3:G$77=G9)*(I$3:I$77="P"))+SUMPRODUCT((N$3:N$77&lt;&gt;"")*(G$3:G$77=G9)*(I$3:I$77="P"))+SUMPRODUCT((P$3:P$77="")*(O$3:O$77="")*(N$3:N$77="")*(M$3:M$77="P")*(G$3:G$77=G9)*(J$3:J$77&gt;J9)*(I$3:I$77="P"))+1,"")))))</f>
        <v/>
      </c>
      <c r="B9" s="1" t="str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+1,""))))</f>
        <v/>
      </c>
      <c r="C9" s="36" t="s">
        <v>267</v>
      </c>
      <c r="D9" s="51" t="str">
        <f>IF(E9="","",VLOOKUP(E9,'Coaching Points'!A:B,2,0))</f>
        <v>QC</v>
      </c>
      <c r="E9" s="36" t="s">
        <v>3</v>
      </c>
      <c r="F9" s="35">
        <v>2001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125</v>
      </c>
      <c r="I9" s="47"/>
      <c r="J9" s="4">
        <f>IF(G9="17-21",S9,R9)+IF(OR(H9="Junior",H9="Senior"),0.0002,IF(OR(H9="L7",H9="L6"),0.0001,0))+IF(G9="17-21",MAX(AA9,AC9,AF9),AE9)*0.0000001</f>
        <v>47.41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52" t="str">
        <f>IF(A9&lt;5,IF(_xlfn.MAXIFS(A:A,G:G,G9)&gt;3,5-A9,_xlfn.MAXIFS(A:A,G:G,G9)+1-A9),"")</f>
        <v/>
      </c>
      <c r="R9" s="4">
        <f>MAX(X9,AE9)</f>
        <v>87.429999999999993</v>
      </c>
      <c r="S9" s="4">
        <f>MAX(T9,V9,Y9,AA9,AC9,AF9)</f>
        <v>47.41</v>
      </c>
      <c r="T9" s="33">
        <v>41.099999999999994</v>
      </c>
      <c r="U9" s="41">
        <v>0</v>
      </c>
      <c r="V9" s="34">
        <v>46.33</v>
      </c>
      <c r="W9" s="41">
        <v>7.6</v>
      </c>
      <c r="X9" s="4">
        <f>IF(H9="Senior",MAX(T9,V9),T9+V9)</f>
        <v>87.429999999999993</v>
      </c>
      <c r="Y9" s="34">
        <v>47.41</v>
      </c>
      <c r="Z9" s="41">
        <v>7.6</v>
      </c>
      <c r="AA9" s="33"/>
      <c r="AB9" s="41"/>
      <c r="AC9" s="34"/>
      <c r="AD9" s="41"/>
      <c r="AE9" s="4">
        <f>IF(H9="Senior",MAX(AA9,AC9),AA9+AC9)</f>
        <v>0</v>
      </c>
      <c r="AF9" s="34"/>
      <c r="AG9" s="37"/>
    </row>
    <row r="10" spans="1:33" x14ac:dyDescent="0.2">
      <c r="A10" s="1" t="str" cm="1">
        <f t="array" ref="A10">IF(I10="","",IF(P10&lt;&gt;"",SUMPRODUCT((P$3:P$77&lt;&gt;"")*(G$3:G$77=G10)*(J$3:J$77&gt;J10)*(I$3:I$77="P"))+1,IF(O10&lt;&gt;"",SUMPRODUCT((O$3:O$77&lt;&gt;"")*(P$3:P$77="")*(G$3:G$77=G10)*(J$3:J$77&gt;J10)*(I$3:I$77="P"))+SUMPRODUCT((P$3:P$77&lt;&gt;"")*(G$3:G$77=G10))+1,IF(N10&lt;&gt;"",SUMPRODUCT((N$3:N$77&lt;&gt;"")*(G$3:G$77=G10)*(J$3:J$77&gt;J10)*(I$3:I$77="P"))+1,IF(M10="P",SUMPRODUCT((O$3:O$77&lt;&gt;"")*(P$3:P$77="")*(G$3:G$77=G10)*(I$3:I$77="P"))+SUMPRODUCT((P$3:P$77&lt;&gt;"")*(G$3:G$77=G10)*(I$3:I$77="P"))+SUMPRODUCT((N$3:N$77&lt;&gt;"")*(G$3:G$77=G10)*(I$3:I$77="P"))+SUMPRODUCT((P$3:P$77="")*(O$3:O$77="")*(N$3:N$77="")*(M$3:M$77="P")*(G$3:G$77=G10)*(J$3:J$77&gt;J10)*(I$3:I$77="P"))+1,"")))))</f>
        <v/>
      </c>
      <c r="B10" s="1" t="str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+1,""))))</f>
        <v/>
      </c>
      <c r="C10" s="36" t="s">
        <v>313</v>
      </c>
      <c r="D10" s="51" t="str">
        <f>IF(E10="","",VLOOKUP(E10,'Coaching Points'!A:B,2,0))</f>
        <v>ON</v>
      </c>
      <c r="E10" s="36" t="s">
        <v>39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181</v>
      </c>
      <c r="I10" s="47"/>
      <c r="J10" s="4">
        <f>IF(G10="17-21",S10,R10)+IF(OR(H10="Junior",H10="Senior"),0.0002,IF(OR(H10="L7",H10="L6"),0.0001,0))+IF(G10="17-21",MAX(AA10,AC10,AF10),AE10)*0.0000001</f>
        <v>47.090199999999996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52" t="str">
        <f>IF(A10&lt;5,IF(_xlfn.MAXIFS(A:A,G:G,G10)&gt;3,5-A10,_xlfn.MAXIFS(A:A,G:G,G10)+1-A10),"")</f>
        <v/>
      </c>
      <c r="R10" s="4">
        <f>MAX(X10,AE10)</f>
        <v>47.089999999999996</v>
      </c>
      <c r="S10" s="4">
        <f>MAX(T10,V10,Y10,AA10,AC10,AF10)</f>
        <v>47.089999999999996</v>
      </c>
      <c r="T10" s="33">
        <v>45.679999999999993</v>
      </c>
      <c r="U10" s="41">
        <v>10.599999999999998</v>
      </c>
      <c r="V10" s="34">
        <v>47.089999999999996</v>
      </c>
      <c r="W10" s="41">
        <v>10.6</v>
      </c>
      <c r="X10" s="4">
        <f>IF(H10="Senior",MAX(T10,V10),T10+V10)</f>
        <v>47.089999999999996</v>
      </c>
      <c r="Y10" s="34">
        <v>43.88</v>
      </c>
      <c r="Z10" s="41">
        <v>9.8999999999999986</v>
      </c>
      <c r="AA10" s="33"/>
      <c r="AB10" s="41"/>
      <c r="AC10" s="34"/>
      <c r="AD10" s="41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$77&lt;&gt;"")*(G$3:G$77=G11)*(J$3:J$77&gt;J11)*(I$3:I$77="P"))+1,IF(O11&lt;&gt;"",SUMPRODUCT((O$3:O$77&lt;&gt;"")*(P$3:P$77="")*(G$3:G$77=G11)*(J$3:J$77&gt;J11)*(I$3:I$77="P"))+SUMPRODUCT((P$3:P$77&lt;&gt;"")*(G$3:G$77=G11))+1,IF(N11&lt;&gt;"",SUMPRODUCT((N$3:N$77&lt;&gt;"")*(G$3:G$77=G11)*(J$3:J$77&gt;J11)*(I$3:I$77="P"))+1,IF(M11="P",SUMPRODUCT((O$3:O$77&lt;&gt;"")*(P$3:P$77="")*(G$3:G$77=G11)*(I$3:I$77="P"))+SUMPRODUCT((P$3:P$77&lt;&gt;"")*(G$3:G$77=G11)*(I$3:I$77="P"))+SUMPRODUCT((N$3:N$77&lt;&gt;"")*(G$3:G$77=G11)*(I$3:I$77="P"))+SUMPRODUCT((P$3:P$77="")*(O$3:O$77="")*(N$3:N$77="")*(M$3:M$77="P")*(G$3:G$77=G11)*(J$3:J$77&gt;J11)*(I$3:I$77="P"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+1,""))))</f>
        <v/>
      </c>
      <c r="C11" s="36" t="s">
        <v>273</v>
      </c>
      <c r="D11" s="51" t="str">
        <f>IF(E11="","",VLOOKUP(E11,'Coaching Points'!A:B,2,0))</f>
        <v>QC</v>
      </c>
      <c r="E11" s="36" t="s">
        <v>377</v>
      </c>
      <c r="F11" s="35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125</v>
      </c>
      <c r="I11" s="47"/>
      <c r="J11" s="4">
        <f>IF(G11="17-21",S11,R11)+IF(OR(H11="Junior",H11="Senior"),0.0002,IF(OR(H11="L7",H11="L6"),0.0001,0))+IF(G11="17-21",MAX(AA11,AC11,AF11),AE11)*0.0000001</f>
        <v>46.994999999999997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52" t="str">
        <f>IF(A11&lt;5,IF(_xlfn.MAXIFS(A:A,G:G,G11)&gt;3,5-A11,_xlfn.MAXIFS(A:A,G:G,G11)+1-A11),"")</f>
        <v/>
      </c>
      <c r="R11" s="4">
        <f>MAX(X11,AE11)</f>
        <v>86.155000000000001</v>
      </c>
      <c r="S11" s="4">
        <f>MAX(T11,V11,Y11,AA11,AC11,AF11)</f>
        <v>46.994999999999997</v>
      </c>
      <c r="T11" s="33">
        <v>39.159999999999997</v>
      </c>
      <c r="U11" s="41">
        <v>0</v>
      </c>
      <c r="V11" s="34">
        <v>46.994999999999997</v>
      </c>
      <c r="W11" s="41">
        <v>7.8999999999999995</v>
      </c>
      <c r="X11" s="4">
        <f>IF(H11="Senior",MAX(T11,V11),T11+V11)</f>
        <v>86.155000000000001</v>
      </c>
      <c r="Y11" s="34">
        <v>46.11</v>
      </c>
      <c r="Z11" s="41">
        <v>7.8999999999999995</v>
      </c>
      <c r="AA11" s="33"/>
      <c r="AB11" s="41"/>
      <c r="AC11" s="34"/>
      <c r="AD11" s="41"/>
      <c r="AE11" s="4">
        <f>IF(H11="Senior",MAX(AA11,AC11),AA11+AC11)</f>
        <v>0</v>
      </c>
      <c r="AF11" s="34"/>
      <c r="AG11" s="37"/>
    </row>
    <row r="12" spans="1:33" x14ac:dyDescent="0.2">
      <c r="A12" s="1" t="str" cm="1">
        <f t="array" ref="A12">IF(I12="","",IF(P12&lt;&gt;"",SUMPRODUCT((P$3:P$77&lt;&gt;"")*(G$3:G$77=G12)*(J$3:J$77&gt;J12)*(I$3:I$77="P"))+1,IF(O12&lt;&gt;"",SUMPRODUCT((O$3:O$77&lt;&gt;"")*(P$3:P$77="")*(G$3:G$77=G12)*(J$3:J$77&gt;J12)*(I$3:I$77="P"))+SUMPRODUCT((P$3:P$77&lt;&gt;"")*(G$3:G$77=G12))+1,IF(N12&lt;&gt;"",SUMPRODUCT((N$3:N$77&lt;&gt;"")*(G$3:G$77=G12)*(J$3:J$77&gt;J12)*(I$3:I$77="P"))+1,IF(M12="P",SUMPRODUCT((O$3:O$77&lt;&gt;"")*(P$3:P$77="")*(G$3:G$77=G12)*(I$3:I$77="P"))+SUMPRODUCT((P$3:P$77&lt;&gt;"")*(G$3:G$77=G12)*(I$3:I$77="P"))+SUMPRODUCT((N$3:N$77&lt;&gt;"")*(G$3:G$77=G12)*(I$3:I$77="P"))+SUMPRODUCT((P$3:P$77="")*(O$3:O$77="")*(N$3:N$77="")*(M$3:M$77="P")*(G$3:G$77=G12)*(J$3:J$77&gt;J12)*(I$3:I$77="P"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+1,""))))</f>
        <v/>
      </c>
      <c r="C12" s="36" t="s">
        <v>268</v>
      </c>
      <c r="D12" s="51" t="str">
        <f>IF(E12="","",VLOOKUP(E12,'Coaching Points'!A:B,2,0))</f>
        <v>QC</v>
      </c>
      <c r="E12" s="36" t="s">
        <v>192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125</v>
      </c>
      <c r="I12" s="47"/>
      <c r="J12" s="4">
        <f>IF(G12="17-21",S12,R12)+IF(OR(H12="Junior",H12="Senior"),0.0002,IF(OR(H12="L7",H12="L6"),0.0001,0))+IF(G12="17-21",MAX(AA12,AC12,AF12),AE12)*0.0000001</f>
        <v>46.984999999999999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52" t="str">
        <f>IF(A12&lt;5,IF(_xlfn.MAXIFS(A:A,G:G,G12)&gt;3,5-A12,_xlfn.MAXIFS(A:A,G:G,G12)+1-A12),"")</f>
        <v/>
      </c>
      <c r="R12" s="4">
        <f>MAX(X12,AE12)</f>
        <v>87.13</v>
      </c>
      <c r="S12" s="4">
        <f>MAX(T12,V12,Y12,AA12,AC12,AF12)</f>
        <v>46.984999999999999</v>
      </c>
      <c r="T12" s="33">
        <v>40.489999999999995</v>
      </c>
      <c r="U12" s="41">
        <v>0</v>
      </c>
      <c r="V12" s="34">
        <v>46.64</v>
      </c>
      <c r="W12" s="41">
        <v>7.1</v>
      </c>
      <c r="X12" s="4">
        <f>IF(H12="Senior",MAX(T12,V12),T12+V12)</f>
        <v>87.13</v>
      </c>
      <c r="Y12" s="34">
        <v>46.984999999999999</v>
      </c>
      <c r="Z12" s="41">
        <v>7.1</v>
      </c>
      <c r="AA12" s="33"/>
      <c r="AB12" s="41"/>
      <c r="AC12" s="34"/>
      <c r="AD12" s="41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$77&lt;&gt;"")*(G$3:G$77=G13)*(J$3:J$77&gt;J13)*(I$3:I$77="P"))+1,IF(O13&lt;&gt;"",SUMPRODUCT((O$3:O$77&lt;&gt;"")*(P$3:P$77="")*(G$3:G$77=G13)*(J$3:J$77&gt;J13)*(I$3:I$77="P"))+SUMPRODUCT((P$3:P$77&lt;&gt;"")*(G$3:G$77=G13))+1,IF(N13&lt;&gt;"",SUMPRODUCT((N$3:N$77&lt;&gt;"")*(G$3:G$77=G13)*(J$3:J$77&gt;J13)*(I$3:I$77="P"))+1,IF(M13="P",SUMPRODUCT((O$3:O$77&lt;&gt;"")*(P$3:P$77="")*(G$3:G$77=G13)*(I$3:I$77="P"))+SUMPRODUCT((P$3:P$77&lt;&gt;"")*(G$3:G$77=G13)*(I$3:I$77="P"))+SUMPRODUCT((N$3:N$77&lt;&gt;"")*(G$3:G$77=G13)*(I$3:I$77="P"))+SUMPRODUCT((P$3:P$77="")*(O$3:O$77="")*(N$3:N$77="")*(M$3:M$77="P")*(G$3:G$77=G13)*(J$3:J$77&gt;J13)*(I$3:I$77="P"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+1,""))))</f>
        <v/>
      </c>
      <c r="C13" s="36" t="s">
        <v>301</v>
      </c>
      <c r="D13" s="51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127</v>
      </c>
      <c r="I13" s="47"/>
      <c r="J13" s="4">
        <f>IF(G13="17-21",S13,R13)+IF(OR(H13="Junior",H13="Senior"),0.0002,IF(OR(H13="L7",H13="L6"),0.0001,0))+IF(G13="17-21",MAX(AA13,AC13,AF13),AE13)*0.0000001</f>
        <v>46.970100000000002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52" t="str">
        <f>IF(A13&lt;5,IF(_xlfn.MAXIFS(A:A,G:G,G13)&gt;3,5-A13,_xlfn.MAXIFS(A:A,G:G,G13)+1-A13),"")</f>
        <v/>
      </c>
      <c r="R13" s="4">
        <f>MAX(X13,AE13)</f>
        <v>88.19</v>
      </c>
      <c r="S13" s="4">
        <f>MAX(T13,V13,Y13,AA13,AC13,AF13)</f>
        <v>46.97</v>
      </c>
      <c r="T13" s="33">
        <v>41.22</v>
      </c>
      <c r="U13" s="41">
        <v>1.5</v>
      </c>
      <c r="V13" s="34">
        <v>46.97</v>
      </c>
      <c r="W13" s="41">
        <v>9.6999999999999993</v>
      </c>
      <c r="X13" s="4">
        <f>IF(H13="Senior",MAX(T13,V13),T13+V13)</f>
        <v>88.19</v>
      </c>
      <c r="Y13" s="34">
        <v>42.95</v>
      </c>
      <c r="Z13" s="41">
        <v>8.3999999999999986</v>
      </c>
      <c r="AA13" s="33"/>
      <c r="AB13" s="41"/>
      <c r="AC13" s="34"/>
      <c r="AD13" s="41"/>
      <c r="AE13" s="4">
        <f>IF(H13="Senior",MAX(AA13,AC13),AA13+AC13)</f>
        <v>0</v>
      </c>
      <c r="AF13" s="34"/>
      <c r="AG13" s="37"/>
    </row>
    <row r="14" spans="1:33" x14ac:dyDescent="0.2">
      <c r="A14" s="1" t="str" cm="1">
        <f t="array" ref="A14">IF(I14="","",IF(P14&lt;&gt;"",SUMPRODUCT((P$3:P$77&lt;&gt;"")*(G$3:G$77=G14)*(J$3:J$77&gt;J14)*(I$3:I$77="P"))+1,IF(O14&lt;&gt;"",SUMPRODUCT((O$3:O$77&lt;&gt;"")*(P$3:P$77="")*(G$3:G$77=G14)*(J$3:J$77&gt;J14)*(I$3:I$77="P"))+SUMPRODUCT((P$3:P$77&lt;&gt;"")*(G$3:G$77=G14))+1,IF(N14&lt;&gt;"",SUMPRODUCT((N$3:N$77&lt;&gt;"")*(G$3:G$77=G14)*(J$3:J$77&gt;J14)*(I$3:I$77="P"))+1,IF(M14="P",SUMPRODUCT((O$3:O$77&lt;&gt;"")*(P$3:P$77="")*(G$3:G$77=G14)*(I$3:I$77="P"))+SUMPRODUCT((P$3:P$77&lt;&gt;"")*(G$3:G$77=G14)*(I$3:I$77="P"))+SUMPRODUCT((N$3:N$77&lt;&gt;"")*(G$3:G$77=G14)*(I$3:I$77="P"))+SUMPRODUCT((P$3:P$77="")*(O$3:O$77="")*(N$3:N$77="")*(M$3:M$77="P")*(G$3:G$77=G14)*(J$3:J$77&gt;J14)*(I$3:I$77="P"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+1,""))))</f>
        <v/>
      </c>
      <c r="C14" s="36" t="s">
        <v>272</v>
      </c>
      <c r="D14" s="51" t="str">
        <f>IF(E14="","",VLOOKUP(E14,'Coaching Points'!A:B,2,0))</f>
        <v>QC</v>
      </c>
      <c r="E14" s="36" t="s">
        <v>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125</v>
      </c>
      <c r="I14" s="47"/>
      <c r="J14" s="4">
        <f>IF(G14="17-21",S14,R14)+IF(OR(H14="Junior",H14="Senior"),0.0002,IF(OR(H14="L7",H14="L6"),0.0001,0))+IF(G14="17-21",MAX(AA14,AC14,AF14),AE14)*0.0000001</f>
        <v>46.954999999999998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52" t="str">
        <f>IF(A14&lt;5,IF(_xlfn.MAXIFS(A:A,G:G,G14)&gt;3,5-A14,_xlfn.MAXIFS(A:A,G:G,G14)+1-A14),"")</f>
        <v/>
      </c>
      <c r="R14" s="4">
        <f>MAX(X14,AE14)</f>
        <v>86.36</v>
      </c>
      <c r="S14" s="4">
        <f>MAX(T14,V14,Y14,AA14,AC14,AF14)</f>
        <v>46.954999999999998</v>
      </c>
      <c r="T14" s="33">
        <v>39.405000000000001</v>
      </c>
      <c r="U14" s="41">
        <v>0</v>
      </c>
      <c r="V14" s="34">
        <v>46.954999999999998</v>
      </c>
      <c r="W14" s="41">
        <v>7.7</v>
      </c>
      <c r="X14" s="4">
        <f>IF(H14="Senior",MAX(T14,V14),T14+V14)</f>
        <v>86.36</v>
      </c>
      <c r="Y14" s="34">
        <v>46.144999999999996</v>
      </c>
      <c r="Z14" s="41">
        <v>7.7</v>
      </c>
      <c r="AA14" s="33"/>
      <c r="AB14" s="41"/>
      <c r="AC14" s="34"/>
      <c r="AD14" s="41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$77&lt;&gt;"")*(G$3:G$77=G15)*(J$3:J$77&gt;J15)*(I$3:I$77="P"))+1,IF(O15&lt;&gt;"",SUMPRODUCT((O$3:O$77&lt;&gt;"")*(P$3:P$77="")*(G$3:G$77=G15)*(J$3:J$77&gt;J15)*(I$3:I$77="P"))+SUMPRODUCT((P$3:P$77&lt;&gt;"")*(G$3:G$77=G15))+1,IF(N15&lt;&gt;"",SUMPRODUCT((N$3:N$77&lt;&gt;"")*(G$3:G$77=G15)*(J$3:J$77&gt;J15)*(I$3:I$77="P"))+1,IF(M15="P",SUMPRODUCT((O$3:O$77&lt;&gt;"")*(P$3:P$77="")*(G$3:G$77=G15)*(I$3:I$77="P"))+SUMPRODUCT((P$3:P$77&lt;&gt;"")*(G$3:G$77=G15)*(I$3:I$77="P"))+SUMPRODUCT((N$3:N$77&lt;&gt;"")*(G$3:G$77=G15)*(I$3:I$77="P"))+SUMPRODUCT((P$3:P$77="")*(O$3:O$77="")*(N$3:N$77="")*(M$3:M$77="P")*(G$3:G$77=G15)*(J$3:J$77&gt;J15)*(I$3:I$77="P"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+1,""))))</f>
        <v/>
      </c>
      <c r="C15" s="36" t="s">
        <v>299</v>
      </c>
      <c r="D15" s="51" t="str">
        <f>IF(E15="","",VLOOKUP(E15,'Coaching Points'!A:B,2,0))</f>
        <v>BC</v>
      </c>
      <c r="E15" s="36" t="s">
        <v>43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127</v>
      </c>
      <c r="I15" s="47"/>
      <c r="J15" s="4">
        <f>IF(G15="17-21",S15,R15)+IF(OR(H15="Junior",H15="Senior"),0.0002,IF(OR(H15="L7",H15="L6"),0.0001,0))+IF(G15="17-21",MAX(AA15,AC15,AF15),AE15)*0.0000001</f>
        <v>46.680100000000003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52" t="str">
        <f>IF(A15&lt;5,IF(_xlfn.MAXIFS(A:A,G:G,G15)&gt;3,5-A15,_xlfn.MAXIFS(A:A,G:G,G15)+1-A15),"")</f>
        <v/>
      </c>
      <c r="R15" s="4">
        <f>MAX(X15,AE15)</f>
        <v>86.65</v>
      </c>
      <c r="S15" s="4">
        <f>MAX(T15,V15,Y15,AA15,AC15,AF15)</f>
        <v>46.68</v>
      </c>
      <c r="T15" s="33">
        <v>41.25</v>
      </c>
      <c r="U15" s="41">
        <v>2.2000000000000002</v>
      </c>
      <c r="V15" s="34">
        <v>45.4</v>
      </c>
      <c r="W15" s="41">
        <v>9.8999999999999986</v>
      </c>
      <c r="X15" s="4">
        <f>IF(H15="Senior",MAX(T15,V15),T15+V15)</f>
        <v>86.65</v>
      </c>
      <c r="Y15" s="34">
        <v>46.68</v>
      </c>
      <c r="Z15" s="41">
        <v>10.1</v>
      </c>
      <c r="AA15" s="33"/>
      <c r="AB15" s="41"/>
      <c r="AC15" s="34"/>
      <c r="AD15" s="41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$77&lt;&gt;"")*(G$3:G$77=G16)*(J$3:J$77&gt;J16)*(I$3:I$77="P"))+1,IF(O16&lt;&gt;"",SUMPRODUCT((O$3:O$77&lt;&gt;"")*(P$3:P$77="")*(G$3:G$77=G16)*(J$3:J$77&gt;J16)*(I$3:I$77="P"))+SUMPRODUCT((P$3:P$77&lt;&gt;"")*(G$3:G$77=G16))+1,IF(N16&lt;&gt;"",SUMPRODUCT((N$3:N$77&lt;&gt;"")*(G$3:G$77=G16)*(J$3:J$77&gt;J16)*(I$3:I$77="P"))+1,IF(M16="P",SUMPRODUCT((O$3:O$77&lt;&gt;"")*(P$3:P$77="")*(G$3:G$77=G16)*(I$3:I$77="P"))+SUMPRODUCT((P$3:P$77&lt;&gt;"")*(G$3:G$77=G16)*(I$3:I$77="P"))+SUMPRODUCT((N$3:N$77&lt;&gt;"")*(G$3:G$77=G16)*(I$3:I$77="P"))+SUMPRODUCT((P$3:P$77="")*(O$3:O$77="")*(N$3:N$77="")*(M$3:M$77="P")*(G$3:G$77=G16)*(J$3:J$77&gt;J16)*(I$3:I$77="P"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+1,""))))</f>
        <v/>
      </c>
      <c r="C16" s="36" t="s">
        <v>302</v>
      </c>
      <c r="D16" s="51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127</v>
      </c>
      <c r="I16" s="47"/>
      <c r="J16" s="4">
        <f>IF(G16="17-21",S16,R16)+IF(OR(H16="Junior",H16="Senior"),0.0002,IF(OR(H16="L7",H16="L6"),0.0001,0))+IF(G16="17-21",MAX(AA16,AC16,AF16),AE16)*0.0000001</f>
        <v>46.640100000000004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52" t="str">
        <f>IF(A16&lt;5,IF(_xlfn.MAXIFS(A:A,G:G,G16)&gt;3,5-A16,_xlfn.MAXIFS(A:A,G:G,G16)+1-A16),"")</f>
        <v/>
      </c>
      <c r="R16" s="4">
        <f>MAX(X16,AE16)</f>
        <v>87.84</v>
      </c>
      <c r="S16" s="4">
        <f>MAX(T16,V16,Y16,AA16,AC16,AF16)</f>
        <v>46.64</v>
      </c>
      <c r="T16" s="33">
        <v>41.199999999999996</v>
      </c>
      <c r="U16" s="41">
        <v>1.5</v>
      </c>
      <c r="V16" s="34">
        <v>46.64</v>
      </c>
      <c r="W16" s="41">
        <v>8.4999999999999982</v>
      </c>
      <c r="X16" s="4">
        <f>IF(H16="Senior",MAX(T16,V16),T16+V16)</f>
        <v>87.84</v>
      </c>
      <c r="Y16" s="34">
        <v>42.08</v>
      </c>
      <c r="Z16" s="41">
        <v>7.8999999999999995</v>
      </c>
      <c r="AA16" s="33"/>
      <c r="AB16" s="41"/>
      <c r="AC16" s="34"/>
      <c r="AD16" s="41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$77&lt;&gt;"")*(G$3:G$77=G17)*(J$3:J$77&gt;J17)*(I$3:I$77="P"))+1,IF(O17&lt;&gt;"",SUMPRODUCT((O$3:O$77&lt;&gt;"")*(P$3:P$77="")*(G$3:G$77=G17)*(J$3:J$77&gt;J17)*(I$3:I$77="P"))+SUMPRODUCT((P$3:P$77&lt;&gt;"")*(G$3:G$77=G17))+1,IF(N17&lt;&gt;"",SUMPRODUCT((N$3:N$77&lt;&gt;"")*(G$3:G$77=G17)*(J$3:J$77&gt;J17)*(I$3:I$77="P"))+1,IF(M17="P",SUMPRODUCT((O$3:O$77&lt;&gt;"")*(P$3:P$77="")*(G$3:G$77=G17)*(I$3:I$77="P"))+SUMPRODUCT((P$3:P$77&lt;&gt;"")*(G$3:G$77=G17)*(I$3:I$77="P"))+SUMPRODUCT((N$3:N$77&lt;&gt;"")*(G$3:G$77=G17)*(I$3:I$77="P"))+SUMPRODUCT((P$3:P$77="")*(O$3:O$77="")*(N$3:N$77="")*(M$3:M$77="P")*(G$3:G$77=G17)*(J$3:J$77&gt;J17)*(I$3:I$77="P"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+1,""))))</f>
        <v/>
      </c>
      <c r="C17" s="36" t="s">
        <v>269</v>
      </c>
      <c r="D17" s="51" t="str">
        <f>IF(E17="","",VLOOKUP(E17,'Coaching Points'!A:B,2,0))</f>
        <v>NS</v>
      </c>
      <c r="E17" s="36" t="s">
        <v>270</v>
      </c>
      <c r="F17" s="35">
        <v>2002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125</v>
      </c>
      <c r="I17" s="47"/>
      <c r="J17" s="4">
        <f>IF(G17="17-21",S17,R17)+IF(OR(H17="Junior",H17="Senior"),0.0002,IF(OR(H17="L7",H17="L6"),0.0001,0))+IF(G17="17-21",MAX(AA17,AC17,AF17),AE17)*0.0000001</f>
        <v>46.594999999999999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52" t="str">
        <f>IF(A17&lt;5,IF(_xlfn.MAXIFS(A:A,G:G,G17)&gt;3,5-A17,_xlfn.MAXIFS(A:A,G:G,G17)+1-A17),"")</f>
        <v/>
      </c>
      <c r="R17" s="4">
        <f>MAX(X17,AE17)</f>
        <v>85.050000000000011</v>
      </c>
      <c r="S17" s="4">
        <f>MAX(T17,V17,Y17,AA17,AC17,AF17)</f>
        <v>46.594999999999999</v>
      </c>
      <c r="T17" s="33">
        <v>39.425000000000004</v>
      </c>
      <c r="U17" s="41">
        <v>0</v>
      </c>
      <c r="V17" s="34">
        <v>45.625</v>
      </c>
      <c r="W17" s="41">
        <v>8</v>
      </c>
      <c r="X17" s="4">
        <f>IF(H17="Senior",MAX(T17,V17),T17+V17)</f>
        <v>85.050000000000011</v>
      </c>
      <c r="Y17" s="34">
        <v>46.594999999999999</v>
      </c>
      <c r="Z17" s="41">
        <v>8</v>
      </c>
      <c r="AA17" s="33"/>
      <c r="AB17" s="41"/>
      <c r="AC17" s="34"/>
      <c r="AD17" s="41"/>
      <c r="AE17" s="4">
        <f>IF(H17="Senior",MAX(AA17,AC17),AA17+AC17)</f>
        <v>0</v>
      </c>
      <c r="AF17" s="34"/>
      <c r="AG17" s="37"/>
    </row>
    <row r="18" spans="1:33" x14ac:dyDescent="0.2">
      <c r="A18" s="1" t="str" cm="1">
        <f t="array" ref="A18">IF(I18="","",IF(P18&lt;&gt;"",SUMPRODUCT((P$3:P$77&lt;&gt;"")*(G$3:G$77=G18)*(J$3:J$77&gt;J18)*(I$3:I$77="P"))+1,IF(O18&lt;&gt;"",SUMPRODUCT((O$3:O$77&lt;&gt;"")*(P$3:P$77="")*(G$3:G$77=G18)*(J$3:J$77&gt;J18)*(I$3:I$77="P"))+SUMPRODUCT((P$3:P$77&lt;&gt;"")*(G$3:G$77=G18))+1,IF(N18&lt;&gt;"",SUMPRODUCT((N$3:N$77&lt;&gt;"")*(G$3:G$77=G18)*(J$3:J$77&gt;J18)*(I$3:I$77="P"))+1,IF(M18="P",SUMPRODUCT((O$3:O$77&lt;&gt;"")*(P$3:P$77="")*(G$3:G$77=G18)*(I$3:I$77="P"))+SUMPRODUCT((P$3:P$77&lt;&gt;"")*(G$3:G$77=G18)*(I$3:I$77="P"))+SUMPRODUCT((N$3:N$77&lt;&gt;"")*(G$3:G$77=G18)*(I$3:I$77="P"))+SUMPRODUCT((P$3:P$77="")*(O$3:O$77="")*(N$3:N$77="")*(M$3:M$77="P")*(G$3:G$77=G18)*(J$3:J$77&gt;J18)*(I$3:I$77="P"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+1,""))))</f>
        <v/>
      </c>
      <c r="C18" s="36" t="s">
        <v>271</v>
      </c>
      <c r="D18" s="51" t="str">
        <f>IF(E18="","",VLOOKUP(E18,'Coaching Points'!A:B,2,0))</f>
        <v>QC</v>
      </c>
      <c r="E18" s="36" t="s">
        <v>3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125</v>
      </c>
      <c r="I18" s="47"/>
      <c r="J18" s="4">
        <f>IF(G18="17-21",S18,R18)+IF(OR(H18="Junior",H18="Senior"),0.0002,IF(OR(H18="L7",H18="L6"),0.0001,0))+IF(G18="17-21",MAX(AA18,AC18,AF18),AE18)*0.0000001</f>
        <v>46.545000000000002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52" t="str">
        <f>IF(A18&lt;5,IF(_xlfn.MAXIFS(A:A,G:G,G18)&gt;3,5-A18,_xlfn.MAXIFS(A:A,G:G,G18)+1-A18),"")</f>
        <v/>
      </c>
      <c r="R18" s="4">
        <f>MAX(X18,AE18)</f>
        <v>85.525000000000006</v>
      </c>
      <c r="S18" s="4">
        <f>MAX(T18,V18,Y18,AA18,AC18,AF18)</f>
        <v>46.545000000000002</v>
      </c>
      <c r="T18" s="33">
        <v>38.980000000000004</v>
      </c>
      <c r="U18" s="41">
        <v>0</v>
      </c>
      <c r="V18" s="34">
        <v>46.545000000000002</v>
      </c>
      <c r="W18" s="41">
        <v>7.5</v>
      </c>
      <c r="X18" s="4">
        <f>IF(H18="Senior",MAX(T18,V18),T18+V18)</f>
        <v>85.525000000000006</v>
      </c>
      <c r="Y18" s="34">
        <v>46.230000000000004</v>
      </c>
      <c r="Z18" s="41">
        <v>7.5</v>
      </c>
      <c r="AA18" s="33"/>
      <c r="AB18" s="41"/>
      <c r="AC18" s="34"/>
      <c r="AD18" s="41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$77&lt;&gt;"")*(G$3:G$77=G19)*(J$3:J$77&gt;J19)*(I$3:I$77="P"))+1,IF(O19&lt;&gt;"",SUMPRODUCT((O$3:O$77&lt;&gt;"")*(P$3:P$77="")*(G$3:G$77=G19)*(J$3:J$77&gt;J19)*(I$3:I$77="P"))+SUMPRODUCT((P$3:P$77&lt;&gt;"")*(G$3:G$77=G19))+1,IF(N19&lt;&gt;"",SUMPRODUCT((N$3:N$77&lt;&gt;"")*(G$3:G$77=G19)*(J$3:J$77&gt;J19)*(I$3:I$77="P"))+1,IF(M19="P",SUMPRODUCT((O$3:O$77&lt;&gt;"")*(P$3:P$77="")*(G$3:G$77=G19)*(I$3:I$77="P"))+SUMPRODUCT((P$3:P$77&lt;&gt;"")*(G$3:G$77=G19)*(I$3:I$77="P"))+SUMPRODUCT((N$3:N$77&lt;&gt;"")*(G$3:G$77=G19)*(I$3:I$77="P"))+SUMPRODUCT((P$3:P$77="")*(O$3:O$77="")*(N$3:N$77="")*(M$3:M$77="P")*(G$3:G$77=G19)*(J$3:J$77&gt;J19)*(I$3:I$77="P"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+1,""))))</f>
        <v/>
      </c>
      <c r="C19" s="36" t="s">
        <v>305</v>
      </c>
      <c r="D19" s="51" t="str">
        <f>IF(E19="","",VLOOKUP(E19,'Coaching Points'!A:B,2,0))</f>
        <v>QC</v>
      </c>
      <c r="E19" s="36" t="s">
        <v>70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127</v>
      </c>
      <c r="I19" s="47"/>
      <c r="J19" s="4">
        <f>IF(G19="17-21",S19,R19)+IF(OR(H19="Junior",H19="Senior"),0.0002,IF(OR(H19="L7",H19="L6"),0.0001,0))+IF(G19="17-21",MAX(AA19,AC19,AF19),AE19)*0.0000001</f>
        <v>46.290100000000002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>P</v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52" t="str">
        <f>IF(A19&lt;5,IF(_xlfn.MAXIFS(A:A,G:G,G19)&gt;3,5-A19,_xlfn.MAXIFS(A:A,G:G,G19)+1-A19),"")</f>
        <v/>
      </c>
      <c r="R19" s="4">
        <f>MAX(X19,AE19)</f>
        <v>85.16</v>
      </c>
      <c r="S19" s="4">
        <f>MAX(T19,V19,Y19,AA19,AC19,AF19)</f>
        <v>46.29</v>
      </c>
      <c r="T19" s="33">
        <v>38.870000000000005</v>
      </c>
      <c r="U19" s="41">
        <v>2.9</v>
      </c>
      <c r="V19" s="34">
        <v>46.29</v>
      </c>
      <c r="W19" s="41">
        <v>9.7999999999999989</v>
      </c>
      <c r="X19" s="4">
        <f>IF(H19="Senior",MAX(T19,V19),T19+V19)</f>
        <v>85.16</v>
      </c>
      <c r="Y19" s="34">
        <v>0</v>
      </c>
      <c r="Z19" s="41">
        <v>0</v>
      </c>
      <c r="AA19" s="33"/>
      <c r="AB19" s="41"/>
      <c r="AC19" s="34"/>
      <c r="AD19" s="41"/>
      <c r="AE19" s="4">
        <f>IF(H19="Senior",MAX(AA19,AC19),AA19+AC19)</f>
        <v>0</v>
      </c>
      <c r="AF19" s="34"/>
      <c r="AG19" s="37"/>
    </row>
    <row r="20" spans="1:33" x14ac:dyDescent="0.2">
      <c r="A20" s="1" t="str" cm="1">
        <f t="array" ref="A20">IF(I20="","",IF(P20&lt;&gt;"",SUMPRODUCT((P$3:P$77&lt;&gt;"")*(G$3:G$77=G20)*(J$3:J$77&gt;J20)*(I$3:I$77="P"))+1,IF(O20&lt;&gt;"",SUMPRODUCT((O$3:O$77&lt;&gt;"")*(P$3:P$77="")*(G$3:G$77=G20)*(J$3:J$77&gt;J20)*(I$3:I$77="P"))+SUMPRODUCT((P$3:P$77&lt;&gt;"")*(G$3:G$77=G20))+1,IF(N20&lt;&gt;"",SUMPRODUCT((N$3:N$77&lt;&gt;"")*(G$3:G$77=G20)*(J$3:J$77&gt;J20)*(I$3:I$77="P"))+1,IF(M20="P",SUMPRODUCT((O$3:O$77&lt;&gt;"")*(P$3:P$77="")*(G$3:G$77=G20)*(I$3:I$77="P"))+SUMPRODUCT((P$3:P$77&lt;&gt;"")*(G$3:G$77=G20)*(I$3:I$77="P"))+SUMPRODUCT((N$3:N$77&lt;&gt;"")*(G$3:G$77=G20)*(I$3:I$77="P"))+SUMPRODUCT((P$3:P$77="")*(O$3:O$77="")*(N$3:N$77="")*(M$3:M$77="P")*(G$3:G$77=G20)*(J$3:J$77&gt;J20)*(I$3:I$77="P"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+1,""))))</f>
        <v/>
      </c>
      <c r="C20" s="36" t="s">
        <v>303</v>
      </c>
      <c r="D20" s="51" t="str">
        <f>IF(E20="","",VLOOKUP(E20,'Coaching Points'!A:B,2,0))</f>
        <v>BC</v>
      </c>
      <c r="E20" s="36" t="s">
        <v>43</v>
      </c>
      <c r="F20" s="35">
        <v>2001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127</v>
      </c>
      <c r="I20" s="47"/>
      <c r="J20" s="4">
        <f>IF(G20="17-21",S20,R20)+IF(OR(H20="Junior",H20="Senior"),0.0002,IF(OR(H20="L7",H20="L6"),0.0001,0))+IF(G20="17-21",MAX(AA20,AC20,AF20),AE20)*0.0000001</f>
        <v>46.250100000000003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52" t="str">
        <f>IF(A20&lt;5,IF(_xlfn.MAXIFS(A:A,G:G,G20)&gt;3,5-A20,_xlfn.MAXIFS(A:A,G:G,G20)+1-A20),"")</f>
        <v/>
      </c>
      <c r="R20" s="4">
        <f>MAX(X20,AE20)</f>
        <v>87.03</v>
      </c>
      <c r="S20" s="4">
        <f>MAX(T20,V20,Y20,AA20,AC20,AF20)</f>
        <v>46.25</v>
      </c>
      <c r="T20" s="33">
        <v>40.78</v>
      </c>
      <c r="U20" s="41">
        <v>2.1</v>
      </c>
      <c r="V20" s="34">
        <v>46.25</v>
      </c>
      <c r="W20" s="41">
        <v>9.6</v>
      </c>
      <c r="X20" s="4">
        <f>IF(H20="Senior",MAX(T20,V20),T20+V20)</f>
        <v>87.03</v>
      </c>
      <c r="Y20" s="34">
        <v>13.5</v>
      </c>
      <c r="Z20" s="41">
        <v>3.3</v>
      </c>
      <c r="AA20" s="33"/>
      <c r="AB20" s="41"/>
      <c r="AC20" s="34"/>
      <c r="AD20" s="41"/>
      <c r="AE20" s="4">
        <f>IF(H20="Senior",MAX(AA20,AC20),AA20+AC20)</f>
        <v>0</v>
      </c>
      <c r="AF20" s="34"/>
      <c r="AG20" s="37"/>
    </row>
    <row r="21" spans="1:33" x14ac:dyDescent="0.2">
      <c r="A21" s="1" t="str" cm="1">
        <f t="array" ref="A21">IF(I21="","",IF(P21&lt;&gt;"",SUMPRODUCT((P$3:P$77&lt;&gt;"")*(G$3:G$77=G21)*(J$3:J$77&gt;J21)*(I$3:I$77="P"))+1,IF(O21&lt;&gt;"",SUMPRODUCT((O$3:O$77&lt;&gt;"")*(P$3:P$77="")*(G$3:G$77=G21)*(J$3:J$77&gt;J21)*(I$3:I$77="P"))+SUMPRODUCT((P$3:P$77&lt;&gt;"")*(G$3:G$77=G21))+1,IF(N21&lt;&gt;"",SUMPRODUCT((N$3:N$77&lt;&gt;"")*(G$3:G$77=G21)*(J$3:J$77&gt;J21)*(I$3:I$77="P"))+1,IF(M21="P",SUMPRODUCT((O$3:O$77&lt;&gt;"")*(P$3:P$77="")*(G$3:G$77=G21)*(I$3:I$77="P"))+SUMPRODUCT((P$3:P$77&lt;&gt;"")*(G$3:G$77=G21)*(I$3:I$77="P"))+SUMPRODUCT((N$3:N$77&lt;&gt;"")*(G$3:G$77=G21)*(I$3:I$77="P"))+SUMPRODUCT((P$3:P$77="")*(O$3:O$77="")*(N$3:N$77="")*(M$3:M$77="P")*(G$3:G$77=G21)*(J$3:J$77&gt;J21)*(I$3:I$77="P"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+1,""))))</f>
        <v/>
      </c>
      <c r="C21" s="36" t="s">
        <v>300</v>
      </c>
      <c r="D21" s="51" t="str">
        <f>IF(E21="","",VLOOKUP(E21,'Coaching Points'!A:B,2,0))</f>
        <v>QC</v>
      </c>
      <c r="E21" s="36" t="s">
        <v>70</v>
      </c>
      <c r="F21" s="35">
        <v>2003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127</v>
      </c>
      <c r="I21" s="47"/>
      <c r="J21" s="4">
        <f>IF(G21="17-21",S21,R21)+IF(OR(H21="Junior",H21="Senior"),0.0002,IF(OR(H21="L7",H21="L6"),0.0001,0))+IF(G21="17-21",MAX(AA21,AC21,AF21),AE21)*0.0000001</f>
        <v>46.170100000000005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52" t="str">
        <f>IF(A21&lt;5,IF(_xlfn.MAXIFS(A:A,G:G,G21)&gt;3,5-A21,_xlfn.MAXIFS(A:A,G:G,G21)+1-A21),"")</f>
        <v/>
      </c>
      <c r="R21" s="4">
        <f>MAX(X21,AE21)</f>
        <v>87.06</v>
      </c>
      <c r="S21" s="4">
        <f>MAX(T21,V21,Y21,AA21,AC21,AF21)</f>
        <v>46.17</v>
      </c>
      <c r="T21" s="33">
        <v>41.55</v>
      </c>
      <c r="U21" s="41">
        <v>2.2000000000000002</v>
      </c>
      <c r="V21" s="34">
        <v>45.51</v>
      </c>
      <c r="W21" s="41">
        <v>8.7999999999999989</v>
      </c>
      <c r="X21" s="4">
        <f>IF(H21="Senior",MAX(T21,V21),T21+V21)</f>
        <v>87.06</v>
      </c>
      <c r="Y21" s="34">
        <v>46.17</v>
      </c>
      <c r="Z21" s="41">
        <v>8.7999999999999989</v>
      </c>
      <c r="AA21" s="33"/>
      <c r="AB21" s="41"/>
      <c r="AC21" s="34"/>
      <c r="AD21" s="41"/>
      <c r="AE21" s="4">
        <f>IF(H21="Senior",MAX(AA21,AC21),AA21+AC21)</f>
        <v>0</v>
      </c>
      <c r="AF21" s="34"/>
      <c r="AG21" s="37"/>
    </row>
    <row r="22" spans="1:33" x14ac:dyDescent="0.2">
      <c r="A22" s="1" t="str" cm="1">
        <f t="array" ref="A22">IF(I22="","",IF(P22&lt;&gt;"",SUMPRODUCT((P$3:P$77&lt;&gt;"")*(G$3:G$77=G22)*(J$3:J$77&gt;J22)*(I$3:I$77="P"))+1,IF(O22&lt;&gt;"",SUMPRODUCT((O$3:O$77&lt;&gt;"")*(P$3:P$77="")*(G$3:G$77=G22)*(J$3:J$77&gt;J22)*(I$3:I$77="P"))+SUMPRODUCT((P$3:P$77&lt;&gt;"")*(G$3:G$77=G22))+1,IF(N22&lt;&gt;"",SUMPRODUCT((N$3:N$77&lt;&gt;"")*(G$3:G$77=G22)*(J$3:J$77&gt;J22)*(I$3:I$77="P"))+1,IF(M22="P",SUMPRODUCT((O$3:O$77&lt;&gt;"")*(P$3:P$77="")*(G$3:G$77=G22)*(I$3:I$77="P"))+SUMPRODUCT((P$3:P$77&lt;&gt;"")*(G$3:G$77=G22)*(I$3:I$77="P"))+SUMPRODUCT((N$3:N$77&lt;&gt;"")*(G$3:G$77=G22)*(I$3:I$77="P"))+SUMPRODUCT((P$3:P$77="")*(O$3:O$77="")*(N$3:N$77="")*(M$3:M$77="P")*(G$3:G$77=G22)*(J$3:J$77&gt;J22)*(I$3:I$77="P"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+1,""))))</f>
        <v/>
      </c>
      <c r="C22" s="36" t="s">
        <v>309</v>
      </c>
      <c r="D22" s="51" t="str">
        <f>IF(E22="","",VLOOKUP(E22,'Coaching Points'!A:B,2,0))</f>
        <v>AB</v>
      </c>
      <c r="E22" s="36" t="s">
        <v>29</v>
      </c>
      <c r="F22" s="35">
        <v>2003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127</v>
      </c>
      <c r="I22" s="47"/>
      <c r="J22" s="4">
        <f>IF(G22="17-21",S22,R22)+IF(OR(H22="Junior",H22="Senior"),0.0002,IF(OR(H22="L7",H22="L6"),0.0001,0))+IF(G22="17-21",MAX(AA22,AC22,AF22),AE22)*0.0000001</f>
        <v>46.100100000000005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>P</v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52" t="str">
        <f>IF(A22&lt;5,IF(_xlfn.MAXIFS(A:A,G:G,G22)&gt;3,5-A22,_xlfn.MAXIFS(A:A,G:G,G22)+1-A22),"")</f>
        <v/>
      </c>
      <c r="R22" s="4">
        <f>MAX(X22,AE22)</f>
        <v>78.69</v>
      </c>
      <c r="S22" s="4">
        <f>MAX(T22,V22,Y22,AA22,AC22,AF22)</f>
        <v>46.1</v>
      </c>
      <c r="T22" s="33">
        <v>32.590000000000003</v>
      </c>
      <c r="U22" s="41">
        <v>0.8</v>
      </c>
      <c r="V22" s="34">
        <v>46.1</v>
      </c>
      <c r="W22" s="41">
        <v>9.6999999999999993</v>
      </c>
      <c r="X22" s="4">
        <f>IF(H22="Senior",MAX(T22,V22),T22+V22)</f>
        <v>78.69</v>
      </c>
      <c r="Y22" s="34">
        <v>0</v>
      </c>
      <c r="Z22" s="41">
        <v>0</v>
      </c>
      <c r="AA22" s="33"/>
      <c r="AB22" s="41"/>
      <c r="AC22" s="34"/>
      <c r="AD22" s="41"/>
      <c r="AE22" s="4">
        <f>IF(H22="Senior",MAX(AA22,AC22),AA22+AC22)</f>
        <v>0</v>
      </c>
      <c r="AF22" s="34"/>
      <c r="AG22" s="37"/>
    </row>
    <row r="23" spans="1:33" x14ac:dyDescent="0.2">
      <c r="A23" s="1" t="str" cm="1">
        <f t="array" ref="A23">IF(I23="","",IF(P23&lt;&gt;"",SUMPRODUCT((P$3:P$77&lt;&gt;"")*(G$3:G$77=G23)*(J$3:J$77&gt;J23)*(I$3:I$77="P"))+1,IF(O23&lt;&gt;"",SUMPRODUCT((O$3:O$77&lt;&gt;"")*(P$3:P$77="")*(G$3:G$77=G23)*(J$3:J$77&gt;J23)*(I$3:I$77="P"))+SUMPRODUCT((P$3:P$77&lt;&gt;"")*(G$3:G$77=G23))+1,IF(N23&lt;&gt;"",SUMPRODUCT((N$3:N$77&lt;&gt;"")*(G$3:G$77=G23)*(J$3:J$77&gt;J23)*(I$3:I$77="P"))+1,IF(M23="P",SUMPRODUCT((O$3:O$77&lt;&gt;"")*(P$3:P$77="")*(G$3:G$77=G23)*(I$3:I$77="P"))+SUMPRODUCT((P$3:P$77&lt;&gt;"")*(G$3:G$77=G23)*(I$3:I$77="P"))+SUMPRODUCT((N$3:N$77&lt;&gt;"")*(G$3:G$77=G23)*(I$3:I$77="P"))+SUMPRODUCT((P$3:P$77="")*(O$3:O$77="")*(N$3:N$77="")*(M$3:M$77="P")*(G$3:G$77=G23)*(J$3:J$77&gt;J23)*(I$3:I$77="P"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+1,""))))</f>
        <v/>
      </c>
      <c r="C23" s="36" t="s">
        <v>274</v>
      </c>
      <c r="D23" s="51" t="str">
        <f>IF(E23="","",VLOOKUP(E23,'Coaching Points'!A:B,2,0))</f>
        <v>ON</v>
      </c>
      <c r="E23" s="36" t="s">
        <v>39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125</v>
      </c>
      <c r="I23" s="47"/>
      <c r="J23" s="4">
        <f>IF(G23="17-21",S23,R23)+IF(OR(H23="Junior",H23="Senior"),0.0002,IF(OR(H23="L7",H23="L6"),0.0001,0))+IF(G23="17-21",MAX(AA23,AC23,AF23),AE23)*0.0000001</f>
        <v>45.95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52" t="str">
        <f>IF(A23&lt;5,IF(_xlfn.MAXIFS(A:A,G:G,G23)&gt;3,5-A23,_xlfn.MAXIFS(A:A,G:G,G23)+1-A23),"")</f>
        <v/>
      </c>
      <c r="R23" s="4">
        <f>MAX(X23,AE23)</f>
        <v>85.7</v>
      </c>
      <c r="S23" s="4">
        <f>MAX(T23,V23,Y23,AA23,AC23,AF23)</f>
        <v>45.95</v>
      </c>
      <c r="T23" s="33">
        <v>39.75</v>
      </c>
      <c r="U23" s="41">
        <v>0</v>
      </c>
      <c r="V23" s="34">
        <v>45.95</v>
      </c>
      <c r="W23" s="41">
        <v>7.8</v>
      </c>
      <c r="X23" s="4">
        <f>IF(H23="Senior",MAX(T23,V23),T23+V23)</f>
        <v>85.7</v>
      </c>
      <c r="Y23" s="34">
        <v>45.6</v>
      </c>
      <c r="Z23" s="41">
        <v>7.8</v>
      </c>
      <c r="AA23" s="33"/>
      <c r="AB23" s="41"/>
      <c r="AC23" s="34"/>
      <c r="AD23" s="41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$77&lt;&gt;"")*(G$3:G$77=G24)*(J$3:J$77&gt;J24)*(I$3:I$77="P"))+1,IF(O24&lt;&gt;"",SUMPRODUCT((O$3:O$77&lt;&gt;"")*(P$3:P$77="")*(G$3:G$77=G24)*(J$3:J$77&gt;J24)*(I$3:I$77="P"))+SUMPRODUCT((P$3:P$77&lt;&gt;"")*(G$3:G$77=G24))+1,IF(N24&lt;&gt;"",SUMPRODUCT((N$3:N$77&lt;&gt;"")*(G$3:G$77=G24)*(J$3:J$77&gt;J24)*(I$3:I$77="P"))+1,IF(M24="P",SUMPRODUCT((O$3:O$77&lt;&gt;"")*(P$3:P$77="")*(G$3:G$77=G24)*(I$3:I$77="P"))+SUMPRODUCT((P$3:P$77&lt;&gt;"")*(G$3:G$77=G24)*(I$3:I$77="P"))+SUMPRODUCT((N$3:N$77&lt;&gt;"")*(G$3:G$77=G24)*(I$3:I$77="P"))+SUMPRODUCT((P$3:P$77="")*(O$3:O$77="")*(N$3:N$77="")*(M$3:M$77="P")*(G$3:G$77=G24)*(J$3:J$77&gt;J24)*(I$3:I$77="P"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+1,""))))</f>
        <v/>
      </c>
      <c r="C24" s="36" t="s">
        <v>275</v>
      </c>
      <c r="D24" s="51" t="str">
        <f>IF(E24="","",VLOOKUP(E24,'Coaching Points'!A:B,2,0))</f>
        <v>QC</v>
      </c>
      <c r="E24" s="36" t="s">
        <v>3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125</v>
      </c>
      <c r="I24" s="47"/>
      <c r="J24" s="4">
        <f>IF(G24="17-21",S24,R24)+IF(OR(H24="Junior",H24="Senior"),0.0002,IF(OR(H24="L7",H24="L6"),0.0001,0))+IF(G24="17-21",MAX(AA24,AC24,AF24),AE24)*0.0000001</f>
        <v>45.885000000000005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52" t="str">
        <f>IF(A24&lt;5,IF(_xlfn.MAXIFS(A:A,G:G,G24)&gt;3,5-A24,_xlfn.MAXIFS(A:A,G:G,G24)+1-A24),"")</f>
        <v/>
      </c>
      <c r="R24" s="4">
        <f>MAX(X24,AE24)</f>
        <v>85.695000000000007</v>
      </c>
      <c r="S24" s="4">
        <f>MAX(T24,V24,Y24,AA24,AC24,AF24)</f>
        <v>45.885000000000005</v>
      </c>
      <c r="T24" s="33">
        <v>39.81</v>
      </c>
      <c r="U24" s="41">
        <v>0</v>
      </c>
      <c r="V24" s="34">
        <v>45.885000000000005</v>
      </c>
      <c r="W24" s="41">
        <v>7.7</v>
      </c>
      <c r="X24" s="4">
        <f>IF(H24="Senior",MAX(T24,V24),T24+V24)</f>
        <v>85.695000000000007</v>
      </c>
      <c r="Y24" s="34">
        <v>45.52</v>
      </c>
      <c r="Z24" s="41">
        <v>7.7</v>
      </c>
      <c r="AA24" s="33"/>
      <c r="AB24" s="41"/>
      <c r="AC24" s="34"/>
      <c r="AD24" s="41"/>
      <c r="AE24" s="4">
        <f>IF(H24="Senior",MAX(AA24,AC24),AA24+AC24)</f>
        <v>0</v>
      </c>
      <c r="AF24" s="34"/>
      <c r="AG24" s="37"/>
    </row>
    <row r="25" spans="1:33" x14ac:dyDescent="0.2">
      <c r="A25" s="1" t="str" cm="1">
        <f t="array" ref="A25">IF(I25="","",IF(P25&lt;&gt;"",SUMPRODUCT((P$3:P$77&lt;&gt;"")*(G$3:G$77=G25)*(J$3:J$77&gt;J25)*(I$3:I$77="P"))+1,IF(O25&lt;&gt;"",SUMPRODUCT((O$3:O$77&lt;&gt;"")*(P$3:P$77="")*(G$3:G$77=G25)*(J$3:J$77&gt;J25)*(I$3:I$77="P"))+SUMPRODUCT((P$3:P$77&lt;&gt;"")*(G$3:G$77=G25))+1,IF(N25&lt;&gt;"",SUMPRODUCT((N$3:N$77&lt;&gt;"")*(G$3:G$77=G25)*(J$3:J$77&gt;J25)*(I$3:I$77="P"))+1,IF(M25="P",SUMPRODUCT((O$3:O$77&lt;&gt;"")*(P$3:P$77="")*(G$3:G$77=G25)*(I$3:I$77="P"))+SUMPRODUCT((P$3:P$77&lt;&gt;"")*(G$3:G$77=G25)*(I$3:I$77="P"))+SUMPRODUCT((N$3:N$77&lt;&gt;"")*(G$3:G$77=G25)*(I$3:I$77="P"))+SUMPRODUCT((P$3:P$77="")*(O$3:O$77="")*(N$3:N$77="")*(M$3:M$77="P")*(G$3:G$77=G25)*(J$3:J$77&gt;J25)*(I$3:I$77="P"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+1,""))))</f>
        <v/>
      </c>
      <c r="C25" s="36" t="s">
        <v>276</v>
      </c>
      <c r="D25" s="51" t="str">
        <f>IF(E25="","",VLOOKUP(E25,'Coaching Points'!A:B,2,0))</f>
        <v>BC</v>
      </c>
      <c r="E25" s="36" t="s">
        <v>48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125</v>
      </c>
      <c r="I25" s="47"/>
      <c r="J25" s="4">
        <f>IF(G25="17-21",S25,R25)+IF(OR(H25="Junior",H25="Senior"),0.0002,IF(OR(H25="L7",H25="L6"),0.0001,0))+IF(G25="17-21",MAX(AA25,AC25,AF25),AE25)*0.0000001</f>
        <v>45.484999999999999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52" t="str">
        <f>IF(A25&lt;5,IF(_xlfn.MAXIFS(A:A,G:G,G25)&gt;3,5-A25,_xlfn.MAXIFS(A:A,G:G,G25)+1-A25),"")</f>
        <v/>
      </c>
      <c r="R25" s="4">
        <f>MAX(X25,AE25)</f>
        <v>84.97</v>
      </c>
      <c r="S25" s="4">
        <f>MAX(T25,V25,Y25,AA25,AC25,AF25)</f>
        <v>45.484999999999999</v>
      </c>
      <c r="T25" s="33">
        <v>39.484999999999999</v>
      </c>
      <c r="U25" s="41">
        <v>0</v>
      </c>
      <c r="V25" s="34">
        <v>45.484999999999999</v>
      </c>
      <c r="W25" s="41">
        <v>8.4999999999999982</v>
      </c>
      <c r="X25" s="4">
        <f>IF(H25="Senior",MAX(T25,V25),T25+V25)</f>
        <v>84.97</v>
      </c>
      <c r="Y25" s="34">
        <v>43.734999999999999</v>
      </c>
      <c r="Z25" s="41">
        <v>8.4999999999999982</v>
      </c>
      <c r="AA25" s="33"/>
      <c r="AB25" s="41"/>
      <c r="AC25" s="34"/>
      <c r="AD25" s="41"/>
      <c r="AE25" s="4">
        <f>IF(H25="Senior",MAX(AA25,AC25),AA25+AC25)</f>
        <v>0</v>
      </c>
      <c r="AF25" s="34"/>
      <c r="AG25" s="37"/>
    </row>
    <row r="26" spans="1:33" x14ac:dyDescent="0.2">
      <c r="A26" s="1" t="str" cm="1">
        <f t="array" ref="A26">IF(I26="","",IF(P26&lt;&gt;"",SUMPRODUCT((P$3:P$77&lt;&gt;"")*(G$3:G$77=G26)*(J$3:J$77&gt;J26)*(I$3:I$77="P"))+1,IF(O26&lt;&gt;"",SUMPRODUCT((O$3:O$77&lt;&gt;"")*(P$3:P$77="")*(G$3:G$77=G26)*(J$3:J$77&gt;J26)*(I$3:I$77="P"))+SUMPRODUCT((P$3:P$77&lt;&gt;"")*(G$3:G$77=G26))+1,IF(N26&lt;&gt;"",SUMPRODUCT((N$3:N$77&lt;&gt;"")*(G$3:G$77=G26)*(J$3:J$77&gt;J26)*(I$3:I$77="P"))+1,IF(M26="P",SUMPRODUCT((O$3:O$77&lt;&gt;"")*(P$3:P$77="")*(G$3:G$77=G26)*(I$3:I$77="P"))+SUMPRODUCT((P$3:P$77&lt;&gt;"")*(G$3:G$77=G26)*(I$3:I$77="P"))+SUMPRODUCT((N$3:N$77&lt;&gt;"")*(G$3:G$77=G26)*(I$3:I$77="P"))+SUMPRODUCT((P$3:P$77="")*(O$3:O$77="")*(N$3:N$77="")*(M$3:M$77="P")*(G$3:G$77=G26)*(J$3:J$77&gt;J26)*(I$3:I$77="P"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+1,""))))</f>
        <v/>
      </c>
      <c r="C26" s="36" t="s">
        <v>277</v>
      </c>
      <c r="D26" s="51" t="str">
        <f>IF(E26="","",VLOOKUP(E26,'Coaching Points'!A:B,2,0))</f>
        <v>NS</v>
      </c>
      <c r="E26" s="36" t="s">
        <v>270</v>
      </c>
      <c r="F26" s="35">
        <v>2005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125</v>
      </c>
      <c r="I26" s="47"/>
      <c r="J26" s="4">
        <f>IF(G26="17-21",S26,R26)+IF(OR(H26="Junior",H26="Senior"),0.0002,IF(OR(H26="L7",H26="L6"),0.0001,0))+IF(G26="17-21",MAX(AA26,AC26,AF26),AE26)*0.0000001</f>
        <v>45.454999999999998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52" t="str">
        <f>IF(A26&lt;5,IF(_xlfn.MAXIFS(A:A,G:G,G26)&gt;3,5-A26,_xlfn.MAXIFS(A:A,G:G,G26)+1-A26),"")</f>
        <v/>
      </c>
      <c r="R26" s="4">
        <f>MAX(X26,AE26)</f>
        <v>86.41</v>
      </c>
      <c r="S26" s="4">
        <f>MAX(T26,V26,Y26,AA26,AC26,AF26)</f>
        <v>45.454999999999998</v>
      </c>
      <c r="T26" s="33">
        <v>40.954999999999998</v>
      </c>
      <c r="U26" s="41">
        <v>0</v>
      </c>
      <c r="V26" s="34">
        <v>45.454999999999998</v>
      </c>
      <c r="W26" s="41">
        <v>7.8</v>
      </c>
      <c r="X26" s="4">
        <f>IF(H26="Senior",MAX(T26,V26),T26+V26)</f>
        <v>86.41</v>
      </c>
      <c r="Y26" s="34">
        <v>41.605000000000004</v>
      </c>
      <c r="Z26" s="41">
        <v>6.6</v>
      </c>
      <c r="AA26" s="33"/>
      <c r="AB26" s="41"/>
      <c r="AC26" s="34"/>
      <c r="AD26" s="41"/>
      <c r="AE26" s="4">
        <f>IF(H26="Senior",MAX(AA26,AC26),AA26+AC26)</f>
        <v>0</v>
      </c>
      <c r="AF26" s="34"/>
      <c r="AG26" s="37"/>
    </row>
    <row r="27" spans="1:33" x14ac:dyDescent="0.2">
      <c r="A27" s="1" t="str" cm="1">
        <f t="array" ref="A27">IF(I27="","",IF(P27&lt;&gt;"",SUMPRODUCT((P$3:P$77&lt;&gt;"")*(G$3:G$77=G27)*(J$3:J$77&gt;J27)*(I$3:I$77="P"))+1,IF(O27&lt;&gt;"",SUMPRODUCT((O$3:O$77&lt;&gt;"")*(P$3:P$77="")*(G$3:G$77=G27)*(J$3:J$77&gt;J27)*(I$3:I$77="P"))+SUMPRODUCT((P$3:P$77&lt;&gt;"")*(G$3:G$77=G27))+1,IF(N27&lt;&gt;"",SUMPRODUCT((N$3:N$77&lt;&gt;"")*(G$3:G$77=G27)*(J$3:J$77&gt;J27)*(I$3:I$77="P"))+1,IF(M27="P",SUMPRODUCT((O$3:O$77&lt;&gt;"")*(P$3:P$77="")*(G$3:G$77=G27)*(I$3:I$77="P"))+SUMPRODUCT((P$3:P$77&lt;&gt;"")*(G$3:G$77=G27)*(I$3:I$77="P"))+SUMPRODUCT((N$3:N$77&lt;&gt;"")*(G$3:G$77=G27)*(I$3:I$77="P"))+SUMPRODUCT((P$3:P$77="")*(O$3:O$77="")*(N$3:N$77="")*(M$3:M$77="P")*(G$3:G$77=G27)*(J$3:J$77&gt;J27)*(I$3:I$77="P"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+1,""))))</f>
        <v/>
      </c>
      <c r="C27" s="36" t="s">
        <v>304</v>
      </c>
      <c r="D27" s="51" t="str">
        <f>IF(E27="","",VLOOKUP(E27,'Coaching Points'!A:B,2,0))</f>
        <v>BC</v>
      </c>
      <c r="E27" s="36" t="s">
        <v>38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127</v>
      </c>
      <c r="I27" s="47"/>
      <c r="J27" s="4">
        <f>IF(G27="17-21",S27,R27)+IF(OR(H27="Junior",H27="Senior"),0.0002,IF(OR(H27="L7",H27="L6"),0.0001,0))+IF(G27="17-21",MAX(AA27,AC27,AF27),AE27)*0.0000001</f>
        <v>45.390100000000004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52" t="str">
        <f>IF(A27&lt;5,IF(_xlfn.MAXIFS(A:A,G:G,G27)&gt;3,5-A27,_xlfn.MAXIFS(A:A,G:G,G27)+1-A27),"")</f>
        <v/>
      </c>
      <c r="R27" s="4">
        <f>MAX(X27,AE27)</f>
        <v>87.02</v>
      </c>
      <c r="S27" s="4">
        <f>MAX(T27,V27,Y27,AA27,AC27,AF27)</f>
        <v>45.39</v>
      </c>
      <c r="T27" s="33">
        <v>41.629999999999995</v>
      </c>
      <c r="U27" s="41">
        <v>1.4</v>
      </c>
      <c r="V27" s="34">
        <v>45.39</v>
      </c>
      <c r="W27" s="41">
        <v>8.1999999999999993</v>
      </c>
      <c r="X27" s="4">
        <f>IF(H27="Senior",MAX(T27,V27),T27+V27)</f>
        <v>87.02</v>
      </c>
      <c r="Y27" s="34">
        <v>9.7600000000000016</v>
      </c>
      <c r="Z27" s="41">
        <v>1.8</v>
      </c>
      <c r="AA27" s="33"/>
      <c r="AB27" s="41"/>
      <c r="AC27" s="34"/>
      <c r="AD27" s="41"/>
      <c r="AE27" s="4">
        <f>IF(H27="Senior",MAX(AA27,AC27),AA27+AC27)</f>
        <v>0</v>
      </c>
      <c r="AF27" s="34"/>
      <c r="AG27" s="37"/>
    </row>
    <row r="28" spans="1:33" x14ac:dyDescent="0.2">
      <c r="A28" s="1" t="str" cm="1">
        <f t="array" ref="A28">IF(I28="","",IF(P28&lt;&gt;"",SUMPRODUCT((P$3:P$77&lt;&gt;"")*(G$3:G$77=G28)*(J$3:J$77&gt;J28)*(I$3:I$77="P"))+1,IF(O28&lt;&gt;"",SUMPRODUCT((O$3:O$77&lt;&gt;"")*(P$3:P$77="")*(G$3:G$77=G28)*(J$3:J$77&gt;J28)*(I$3:I$77="P"))+SUMPRODUCT((P$3:P$77&lt;&gt;"")*(G$3:G$77=G28))+1,IF(N28&lt;&gt;"",SUMPRODUCT((N$3:N$77&lt;&gt;"")*(G$3:G$77=G28)*(J$3:J$77&gt;J28)*(I$3:I$77="P"))+1,IF(M28="P",SUMPRODUCT((O$3:O$77&lt;&gt;"")*(P$3:P$77="")*(G$3:G$77=G28)*(I$3:I$77="P"))+SUMPRODUCT((P$3:P$77&lt;&gt;"")*(G$3:G$77=G28)*(I$3:I$77="P"))+SUMPRODUCT((N$3:N$77&lt;&gt;"")*(G$3:G$77=G28)*(I$3:I$77="P"))+SUMPRODUCT((P$3:P$77="")*(O$3:O$77="")*(N$3:N$77="")*(M$3:M$77="P")*(G$3:G$77=G28)*(J$3:J$77&gt;J28)*(I$3:I$77="P"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+1,""))))</f>
        <v/>
      </c>
      <c r="C28" s="36" t="s">
        <v>280</v>
      </c>
      <c r="D28" s="51" t="str">
        <f>IF(E28="","",VLOOKUP(E28,'Coaching Points'!A:B,2,0))</f>
        <v>QC</v>
      </c>
      <c r="E28" s="36" t="s">
        <v>70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125</v>
      </c>
      <c r="I28" s="47"/>
      <c r="J28" s="4">
        <f>IF(G28="17-21",S28,R28)+IF(OR(H28="Junior",H28="Senior"),0.0002,IF(OR(H28="L7",H28="L6"),0.0001,0))+IF(G28="17-21",MAX(AA28,AC28,AF28),AE28)*0.0000001</f>
        <v>45.355000000000004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52" t="str">
        <f>IF(A28&lt;5,IF(_xlfn.MAXIFS(A:A,G:G,G28)&gt;3,5-A28,_xlfn.MAXIFS(A:A,G:G,G28)+1-A28),"")</f>
        <v/>
      </c>
      <c r="R28" s="4">
        <f>MAX(X28,AE28)</f>
        <v>82.93</v>
      </c>
      <c r="S28" s="4">
        <f>MAX(T28,V28,Y28,AA28,AC28,AF28)</f>
        <v>45.355000000000004</v>
      </c>
      <c r="T28" s="33">
        <v>37.575000000000003</v>
      </c>
      <c r="U28" s="41">
        <v>0</v>
      </c>
      <c r="V28" s="34">
        <v>45.355000000000004</v>
      </c>
      <c r="W28" s="41">
        <v>7.3999999999999995</v>
      </c>
      <c r="X28" s="4">
        <f>IF(H28="Senior",MAX(T28,V28),T28+V28)</f>
        <v>82.93</v>
      </c>
      <c r="Y28" s="34">
        <v>0</v>
      </c>
      <c r="Z28" s="41">
        <v>0</v>
      </c>
      <c r="AA28" s="33"/>
      <c r="AB28" s="41"/>
      <c r="AC28" s="34"/>
      <c r="AD28" s="41"/>
      <c r="AE28" s="4">
        <f>IF(H28="Senior",MAX(AA28,AC28),AA28+AC28)</f>
        <v>0</v>
      </c>
      <c r="AF28" s="34"/>
      <c r="AG28" s="37"/>
    </row>
    <row r="29" spans="1:33" x14ac:dyDescent="0.2">
      <c r="A29" s="1" t="str" cm="1">
        <f t="array" ref="A29">IF(I29="","",IF(P29&lt;&gt;"",SUMPRODUCT((P$3:P$77&lt;&gt;"")*(G$3:G$77=G29)*(J$3:J$77&gt;J29)*(I$3:I$77="P"))+1,IF(O29&lt;&gt;"",SUMPRODUCT((O$3:O$77&lt;&gt;"")*(P$3:P$77="")*(G$3:G$77=G29)*(J$3:J$77&gt;J29)*(I$3:I$77="P"))+SUMPRODUCT((P$3:P$77&lt;&gt;"")*(G$3:G$77=G29))+1,IF(N29&lt;&gt;"",SUMPRODUCT((N$3:N$77&lt;&gt;"")*(G$3:G$77=G29)*(J$3:J$77&gt;J29)*(I$3:I$77="P"))+1,IF(M29="P",SUMPRODUCT((O$3:O$77&lt;&gt;"")*(P$3:P$77="")*(G$3:G$77=G29)*(I$3:I$77="P"))+SUMPRODUCT((P$3:P$77&lt;&gt;"")*(G$3:G$77=G29)*(I$3:I$77="P"))+SUMPRODUCT((N$3:N$77&lt;&gt;"")*(G$3:G$77=G29)*(I$3:I$77="P"))+SUMPRODUCT((P$3:P$77="")*(O$3:O$77="")*(N$3:N$77="")*(M$3:M$77="P")*(G$3:G$77=G29)*(J$3:J$77&gt;J29)*(I$3:I$77="P"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+1,""))))</f>
        <v/>
      </c>
      <c r="C29" s="36" t="s">
        <v>307</v>
      </c>
      <c r="D29" s="51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127</v>
      </c>
      <c r="I29" s="47"/>
      <c r="J29" s="4">
        <f>IF(G29="17-21",S29,R29)+IF(OR(H29="Junior",H29="Senior"),0.0002,IF(OR(H29="L7",H29="L6"),0.0001,0))+IF(G29="17-21",MAX(AA29,AC29,AF29),AE29)*0.0000001</f>
        <v>45.130100000000006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52" t="str">
        <f>IF(A29&lt;5,IF(_xlfn.MAXIFS(A:A,G:G,G29)&gt;3,5-A29,_xlfn.MAXIFS(A:A,G:G,G29)+1-A29),"")</f>
        <v/>
      </c>
      <c r="R29" s="4">
        <f>MAX(X29,AE29)</f>
        <v>80.2</v>
      </c>
      <c r="S29" s="4">
        <f>MAX(T29,V29,Y29,AA29,AC29,AF29)</f>
        <v>45.13</v>
      </c>
      <c r="T29" s="33">
        <v>35.07</v>
      </c>
      <c r="U29" s="41">
        <v>1.4</v>
      </c>
      <c r="V29" s="34">
        <v>45.13</v>
      </c>
      <c r="W29" s="41">
        <v>9</v>
      </c>
      <c r="X29" s="4">
        <f>IF(H29="Senior",MAX(T29,V29),T29+V29)</f>
        <v>80.2</v>
      </c>
      <c r="Y29" s="34">
        <v>0</v>
      </c>
      <c r="Z29" s="41">
        <v>0</v>
      </c>
      <c r="AA29" s="33"/>
      <c r="AB29" s="41"/>
      <c r="AC29" s="34"/>
      <c r="AD29" s="41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$77&lt;&gt;"")*(G$3:G$77=G30)*(J$3:J$77&gt;J30)*(I$3:I$77="P"))+1,IF(O30&lt;&gt;"",SUMPRODUCT((O$3:O$77&lt;&gt;"")*(P$3:P$77="")*(G$3:G$77=G30)*(J$3:J$77&gt;J30)*(I$3:I$77="P"))+SUMPRODUCT((P$3:P$77&lt;&gt;"")*(G$3:G$77=G30))+1,IF(N30&lt;&gt;"",SUMPRODUCT((N$3:N$77&lt;&gt;"")*(G$3:G$77=G30)*(J$3:J$77&gt;J30)*(I$3:I$77="P"))+1,IF(M30="P",SUMPRODUCT((O$3:O$77&lt;&gt;"")*(P$3:P$77="")*(G$3:G$77=G30)*(I$3:I$77="P"))+SUMPRODUCT((P$3:P$77&lt;&gt;"")*(G$3:G$77=G30)*(I$3:I$77="P"))+SUMPRODUCT((N$3:N$77&lt;&gt;"")*(G$3:G$77=G30)*(I$3:I$77="P"))+SUMPRODUCT((P$3:P$77="")*(O$3:O$77="")*(N$3:N$77="")*(M$3:M$77="P")*(G$3:G$77=G30)*(J$3:J$77&gt;J30)*(I$3:I$77="P"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+1,""))))</f>
        <v/>
      </c>
      <c r="C30" s="36" t="s">
        <v>282</v>
      </c>
      <c r="D30" s="51" t="str">
        <f>IF(E30="","",VLOOKUP(E30,'Coaching Points'!A:B,2,0))</f>
        <v>QC</v>
      </c>
      <c r="E30" s="36" t="s">
        <v>114</v>
      </c>
      <c r="F30" s="35">
        <v>2004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125</v>
      </c>
      <c r="I30" s="47"/>
      <c r="J30" s="4">
        <f>IF(G30="17-21",S30,R30)+IF(OR(H30="Junior",H30="Senior"),0.0002,IF(OR(H30="L7",H30="L6"),0.0001,0))+IF(G30="17-21",MAX(AA30,AC30,AF30),AE30)*0.0000001</f>
        <v>44.344999999999999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52" t="str">
        <f>IF(A30&lt;5,IF(_xlfn.MAXIFS(A:A,G:G,G30)&gt;3,5-A30,_xlfn.MAXIFS(A:A,G:G,G30)+1-A30),"")</f>
        <v/>
      </c>
      <c r="R30" s="4">
        <f>MAX(X30,AE30)</f>
        <v>82.36</v>
      </c>
      <c r="S30" s="4">
        <f>MAX(T30,V30,Y30,AA30,AC30,AF30)</f>
        <v>44.344999999999999</v>
      </c>
      <c r="T30" s="33">
        <v>38.015000000000001</v>
      </c>
      <c r="U30" s="41">
        <v>0</v>
      </c>
      <c r="V30" s="34">
        <v>44.344999999999999</v>
      </c>
      <c r="W30" s="41">
        <v>7.5</v>
      </c>
      <c r="X30" s="4">
        <f>IF(H30="Senior",MAX(T30,V30),T30+V30)</f>
        <v>82.36</v>
      </c>
      <c r="Y30" s="34">
        <v>0</v>
      </c>
      <c r="Z30" s="41">
        <v>0</v>
      </c>
      <c r="AA30" s="33"/>
      <c r="AB30" s="41"/>
      <c r="AC30" s="34"/>
      <c r="AD30" s="41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$77&lt;&gt;"")*(G$3:G$77=G31)*(J$3:J$77&gt;J31)*(I$3:I$77="P"))+1,IF(O31&lt;&gt;"",SUMPRODUCT((O$3:O$77&lt;&gt;"")*(P$3:P$77="")*(G$3:G$77=G31)*(J$3:J$77&gt;J31)*(I$3:I$77="P"))+SUMPRODUCT((P$3:P$77&lt;&gt;"")*(G$3:G$77=G31))+1,IF(N31&lt;&gt;"",SUMPRODUCT((N$3:N$77&lt;&gt;"")*(G$3:G$77=G31)*(J$3:J$77&gt;J31)*(I$3:I$77="P"))+1,IF(M31="P",SUMPRODUCT((O$3:O$77&lt;&gt;"")*(P$3:P$77="")*(G$3:G$77=G31)*(I$3:I$77="P"))+SUMPRODUCT((P$3:P$77&lt;&gt;"")*(G$3:G$77=G31)*(I$3:I$77="P"))+SUMPRODUCT((N$3:N$77&lt;&gt;"")*(G$3:G$77=G31)*(I$3:I$77="P"))+SUMPRODUCT((P$3:P$77="")*(O$3:O$77="")*(N$3:N$77="")*(M$3:M$77="P")*(G$3:G$77=G31)*(J$3:J$77&gt;J31)*(I$3:I$77="P"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+1,""))))</f>
        <v/>
      </c>
      <c r="C31" s="36" t="s">
        <v>278</v>
      </c>
      <c r="D31" s="51" t="str">
        <f>IF(E31="","",VLOOKUP(E31,'Coaching Points'!A:B,2,0))</f>
        <v>QC</v>
      </c>
      <c r="E31" s="36" t="s">
        <v>70</v>
      </c>
      <c r="F31" s="35">
        <v>2003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125</v>
      </c>
      <c r="I31" s="47"/>
      <c r="J31" s="4">
        <f>IF(G31="17-21",S31,R31)+IF(OR(H31="Junior",H31="Senior"),0.0002,IF(OR(H31="L7",H31="L6"),0.0001,0))+IF(G31="17-21",MAX(AA31,AC31,AF31),AE31)*0.0000001</f>
        <v>43.825000000000003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52" t="str">
        <f>IF(A31&lt;5,IF(_xlfn.MAXIFS(A:A,G:G,G31)&gt;3,5-A31,_xlfn.MAXIFS(A:A,G:G,G31)+1-A31),"")</f>
        <v/>
      </c>
      <c r="R31" s="4">
        <f>MAX(X31,AE31)</f>
        <v>83.185000000000002</v>
      </c>
      <c r="S31" s="4">
        <f>MAX(T31,V31,Y31,AA31,AC31,AF31)</f>
        <v>43.825000000000003</v>
      </c>
      <c r="T31" s="33">
        <v>39.36</v>
      </c>
      <c r="U31" s="41">
        <v>0</v>
      </c>
      <c r="V31" s="34">
        <v>43.825000000000003</v>
      </c>
      <c r="W31" s="41">
        <v>7.0999999999999988</v>
      </c>
      <c r="X31" s="4">
        <f>IF(H31="Senior",MAX(T31,V31),T31+V31)</f>
        <v>83.185000000000002</v>
      </c>
      <c r="Y31" s="34">
        <v>0</v>
      </c>
      <c r="Z31" s="41">
        <v>0</v>
      </c>
      <c r="AA31" s="33"/>
      <c r="AB31" s="41"/>
      <c r="AC31" s="34"/>
      <c r="AD31" s="41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$77&lt;&gt;"")*(G$3:G$77=G32)*(J$3:J$77&gt;J32)*(I$3:I$77="P"))+1,IF(O32&lt;&gt;"",SUMPRODUCT((O$3:O$77&lt;&gt;"")*(P$3:P$77="")*(G$3:G$77=G32)*(J$3:J$77&gt;J32)*(I$3:I$77="P"))+SUMPRODUCT((P$3:P$77&lt;&gt;"")*(G$3:G$77=G32))+1,IF(N32&lt;&gt;"",SUMPRODUCT((N$3:N$77&lt;&gt;"")*(G$3:G$77=G32)*(J$3:J$77&gt;J32)*(I$3:I$77="P"))+1,IF(M32="P",SUMPRODUCT((O$3:O$77&lt;&gt;"")*(P$3:P$77="")*(G$3:G$77=G32)*(I$3:I$77="P"))+SUMPRODUCT((P$3:P$77&lt;&gt;"")*(G$3:G$77=G32)*(I$3:I$77="P"))+SUMPRODUCT((N$3:N$77&lt;&gt;"")*(G$3:G$77=G32)*(I$3:I$77="P"))+SUMPRODUCT((P$3:P$77="")*(O$3:O$77="")*(N$3:N$77="")*(M$3:M$77="P")*(G$3:G$77=G32)*(J$3:J$77&gt;J32)*(I$3:I$77="P"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+1,""))))</f>
        <v/>
      </c>
      <c r="C32" s="36" t="s">
        <v>279</v>
      </c>
      <c r="D32" s="51" t="str">
        <f>IF(E32="","",VLOOKUP(E32,'Coaching Points'!A:B,2,0))</f>
        <v>BC</v>
      </c>
      <c r="E32" s="36" t="s">
        <v>48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125</v>
      </c>
      <c r="I32" s="47"/>
      <c r="J32" s="4">
        <f>IF(G32="17-21",S32,R32)+IF(OR(H32="Junior",H32="Senior"),0.0002,IF(OR(H32="L7",H32="L6"),0.0001,0))+IF(G32="17-21",MAX(AA32,AC32,AF32),AE32)*0.0000001</f>
        <v>43.57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52" t="str">
        <f>IF(A32&lt;5,IF(_xlfn.MAXIFS(A:A,G:G,G32)&gt;3,5-A32,_xlfn.MAXIFS(A:A,G:G,G32)+1-A32),"")</f>
        <v/>
      </c>
      <c r="R32" s="4">
        <f>MAX(X32,AE32)</f>
        <v>83.07</v>
      </c>
      <c r="S32" s="4">
        <f>MAX(T32,V32,Y32,AA32,AC32,AF32)</f>
        <v>43.57</v>
      </c>
      <c r="T32" s="33">
        <v>39.5</v>
      </c>
      <c r="U32" s="41">
        <v>0</v>
      </c>
      <c r="V32" s="34">
        <v>43.57</v>
      </c>
      <c r="W32" s="41">
        <v>7.1</v>
      </c>
      <c r="X32" s="4">
        <f>IF(H32="Senior",MAX(T32,V32),T32+V32)</f>
        <v>83.07</v>
      </c>
      <c r="Y32" s="34">
        <v>0</v>
      </c>
      <c r="Z32" s="41">
        <v>0</v>
      </c>
      <c r="AA32" s="33"/>
      <c r="AB32" s="41"/>
      <c r="AC32" s="34"/>
      <c r="AD32" s="41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$77&lt;&gt;"")*(G$3:G$77=G33)*(J$3:J$77&gt;J33)*(I$3:I$77="P"))+1,IF(O33&lt;&gt;"",SUMPRODUCT((O$3:O$77&lt;&gt;"")*(P$3:P$77="")*(G$3:G$77=G33)*(J$3:J$77&gt;J33)*(I$3:I$77="P"))+SUMPRODUCT((P$3:P$77&lt;&gt;"")*(G$3:G$77=G33))+1,IF(N33&lt;&gt;"",SUMPRODUCT((N$3:N$77&lt;&gt;"")*(G$3:G$77=G33)*(J$3:J$77&gt;J33)*(I$3:I$77="P"))+1,IF(M33="P",SUMPRODUCT((O$3:O$77&lt;&gt;"")*(P$3:P$77="")*(G$3:G$77=G33)*(I$3:I$77="P"))+SUMPRODUCT((P$3:P$77&lt;&gt;"")*(G$3:G$77=G33)*(I$3:I$77="P"))+SUMPRODUCT((N$3:N$77&lt;&gt;"")*(G$3:G$77=G33)*(I$3:I$77="P"))+SUMPRODUCT((P$3:P$77="")*(O$3:O$77="")*(N$3:N$77="")*(M$3:M$77="P")*(G$3:G$77=G33)*(J$3:J$77&gt;J33)*(I$3:I$77="P"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+1,""))))</f>
        <v/>
      </c>
      <c r="C33" s="36" t="s">
        <v>281</v>
      </c>
      <c r="D33" s="51" t="str">
        <f>IF(E33="","",VLOOKUP(E33,'Coaching Points'!A:B,2,0))</f>
        <v>QC</v>
      </c>
      <c r="E33" s="36" t="s">
        <v>192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125</v>
      </c>
      <c r="I33" s="47"/>
      <c r="J33" s="4">
        <f>IF(G33="17-21",S33,R33)+IF(OR(H33="Junior",H33="Senior"),0.0002,IF(OR(H33="L7",H33="L6"),0.0001,0))+IF(G33="17-21",MAX(AA33,AC33,AF33),AE33)*0.0000001</f>
        <v>43.204999999999998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52" t="str">
        <f>IF(A33&lt;5,IF(_xlfn.MAXIFS(A:A,G:G,G33)&gt;3,5-A33,_xlfn.MAXIFS(A:A,G:G,G33)+1-A33),"")</f>
        <v/>
      </c>
      <c r="R33" s="4">
        <f>MAX(X33,AE33)</f>
        <v>82.84</v>
      </c>
      <c r="S33" s="4">
        <f>MAX(T33,V33,Y33,AA33,AC33,AF33)</f>
        <v>43.204999999999998</v>
      </c>
      <c r="T33" s="33">
        <v>39.634999999999998</v>
      </c>
      <c r="U33" s="41">
        <v>0</v>
      </c>
      <c r="V33" s="34">
        <v>43.204999999999998</v>
      </c>
      <c r="W33" s="41">
        <v>7.4999999999999991</v>
      </c>
      <c r="X33" s="4">
        <f>IF(H33="Senior",MAX(T33,V33),T33+V33)</f>
        <v>82.84</v>
      </c>
      <c r="Y33" s="34">
        <v>0</v>
      </c>
      <c r="Z33" s="41">
        <v>0</v>
      </c>
      <c r="AA33" s="33"/>
      <c r="AB33" s="41"/>
      <c r="AC33" s="34"/>
      <c r="AD33" s="41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$77&lt;&gt;"")*(G$3:G$77=G34)*(J$3:J$77&gt;J34)*(I$3:I$77="P"))+1,IF(O34&lt;&gt;"",SUMPRODUCT((O$3:O$77&lt;&gt;"")*(P$3:P$77="")*(G$3:G$77=G34)*(J$3:J$77&gt;J34)*(I$3:I$77="P"))+SUMPRODUCT((P$3:P$77&lt;&gt;"")*(G$3:G$77=G34))+1,IF(N34&lt;&gt;"",SUMPRODUCT((N$3:N$77&lt;&gt;"")*(G$3:G$77=G34)*(J$3:J$77&gt;J34)*(I$3:I$77="P"))+1,IF(M34="P",SUMPRODUCT((O$3:O$77&lt;&gt;"")*(P$3:P$77="")*(G$3:G$77=G34)*(I$3:I$77="P"))+SUMPRODUCT((P$3:P$77&lt;&gt;"")*(G$3:G$77=G34)*(I$3:I$77="P"))+SUMPRODUCT((N$3:N$77&lt;&gt;"")*(G$3:G$77=G34)*(I$3:I$77="P"))+SUMPRODUCT((P$3:P$77="")*(O$3:O$77="")*(N$3:N$77="")*(M$3:M$77="P")*(G$3:G$77=G34)*(J$3:J$77&gt;J34)*(I$3:I$77="P"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+1,""))))</f>
        <v/>
      </c>
      <c r="C34" s="36" t="s">
        <v>283</v>
      </c>
      <c r="D34" s="51" t="str">
        <f>IF(E34="","",VLOOKUP(E34,'Coaching Points'!A:B,2,0))</f>
        <v>BC</v>
      </c>
      <c r="E34" s="36" t="s">
        <v>89</v>
      </c>
      <c r="F34" s="35">
        <v>2003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1" t="s">
        <v>125</v>
      </c>
      <c r="I34" s="47"/>
      <c r="J34" s="4">
        <f>IF(G34="17-21",S34,R34)+IF(OR(H34="Junior",H34="Senior"),0.0002,IF(OR(H34="L7",H34="L6"),0.0001,0))+IF(G34="17-21",MAX(AA34,AC34,AF34),AE34)*0.0000001</f>
        <v>42.914999999999999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52" t="str">
        <f>IF(A34&lt;5,IF(_xlfn.MAXIFS(A:A,G:G,G34)&gt;3,5-A34,_xlfn.MAXIFS(A:A,G:G,G34)+1-A34),"")</f>
        <v/>
      </c>
      <c r="R34" s="4">
        <f>MAX(X34,AE34)</f>
        <v>79.875</v>
      </c>
      <c r="S34" s="4">
        <f>MAX(T34,V34,Y34,AA34,AC34,AF34)</f>
        <v>42.914999999999999</v>
      </c>
      <c r="T34" s="33">
        <v>36.96</v>
      </c>
      <c r="U34" s="41">
        <v>0</v>
      </c>
      <c r="V34" s="34">
        <v>42.914999999999999</v>
      </c>
      <c r="W34" s="41">
        <v>7.6999999999999993</v>
      </c>
      <c r="X34" s="4">
        <f>IF(H34="Senior",MAX(T34,V34),T34+V34)</f>
        <v>79.875</v>
      </c>
      <c r="Y34" s="34">
        <v>0</v>
      </c>
      <c r="Z34" s="41">
        <v>0</v>
      </c>
      <c r="AA34" s="33"/>
      <c r="AB34" s="41"/>
      <c r="AC34" s="34"/>
      <c r="AD34" s="41"/>
      <c r="AE34" s="4">
        <f>IF(H34="Senior",MAX(AA34,AC34),AA34+AC34)</f>
        <v>0</v>
      </c>
      <c r="AF34" s="34"/>
      <c r="AG34" s="37"/>
    </row>
    <row r="35" spans="1:33" x14ac:dyDescent="0.2">
      <c r="A35" s="1" t="str" cm="1">
        <f t="array" ref="A35">IF(I35="","",IF(P35&lt;&gt;"",SUMPRODUCT((P$3:P$77&lt;&gt;"")*(G$3:G$77=G35)*(J$3:J$77&gt;J35)*(I$3:I$77="P"))+1,IF(O35&lt;&gt;"",SUMPRODUCT((O$3:O$77&lt;&gt;"")*(P$3:P$77="")*(G$3:G$77=G35)*(J$3:J$77&gt;J35)*(I$3:I$77="P"))+SUMPRODUCT((P$3:P$77&lt;&gt;"")*(G$3:G$77=G35))+1,IF(N35&lt;&gt;"",SUMPRODUCT((N$3:N$77&lt;&gt;"")*(G$3:G$77=G35)*(J$3:J$77&gt;J35)*(I$3:I$77="P"))+1,IF(M35="P",SUMPRODUCT((O$3:O$77&lt;&gt;"")*(P$3:P$77="")*(G$3:G$77=G35)*(I$3:I$77="P"))+SUMPRODUCT((P$3:P$77&lt;&gt;"")*(G$3:G$77=G35)*(I$3:I$77="P"))+SUMPRODUCT((N$3:N$77&lt;&gt;"")*(G$3:G$77=G35)*(I$3:I$77="P"))+SUMPRODUCT((P$3:P$77="")*(O$3:O$77="")*(N$3:N$77="")*(M$3:M$77="P")*(G$3:G$77=G35)*(J$3:J$77&gt;J35)*(I$3:I$77="P"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+1,""))))</f>
        <v/>
      </c>
      <c r="C35" s="36" t="s">
        <v>306</v>
      </c>
      <c r="D35" s="51" t="str">
        <f>IF(E35="","",VLOOKUP(E35,'Coaching Points'!A:B,2,0))</f>
        <v>ON</v>
      </c>
      <c r="E35" s="36" t="s">
        <v>39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1" t="s">
        <v>127</v>
      </c>
      <c r="I35" s="47"/>
      <c r="J35" s="4">
        <f>IF(G35="17-21",S35,R35)+IF(OR(H35="Junior",H35="Senior"),0.0002,IF(OR(H35="L7",H35="L6"),0.0001,0))+IF(G35="17-21",MAX(AA35,AC35,AF35),AE35)*0.0000001</f>
        <v>42.000100000000003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52" t="str">
        <f>IF(A35&lt;5,IF(_xlfn.MAXIFS(A:A,G:G,G35)&gt;3,5-A35,_xlfn.MAXIFS(A:A,G:G,G35)+1-A35),"")</f>
        <v/>
      </c>
      <c r="R35" s="4">
        <f>MAX(X35,AE35)</f>
        <v>83.78</v>
      </c>
      <c r="S35" s="4">
        <f>MAX(T35,V35,Y35,AA35,AC35,AF35)</f>
        <v>42</v>
      </c>
      <c r="T35" s="33">
        <v>42</v>
      </c>
      <c r="U35" s="41">
        <v>1.5</v>
      </c>
      <c r="V35" s="34">
        <v>41.78</v>
      </c>
      <c r="W35" s="41">
        <v>8.3000000000000007</v>
      </c>
      <c r="X35" s="4">
        <f>IF(H35="Senior",MAX(T35,V35),T35+V35)</f>
        <v>83.78</v>
      </c>
      <c r="Y35" s="34">
        <v>0</v>
      </c>
      <c r="Z35" s="41">
        <v>0</v>
      </c>
      <c r="AA35" s="33"/>
      <c r="AB35" s="41"/>
      <c r="AC35" s="34"/>
      <c r="AD35" s="41"/>
      <c r="AE35" s="4">
        <f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$77&lt;&gt;"")*(G$3:G$77=G36)*(J$3:J$77&gt;J36)*(I$3:I$77="P"))+1,IF(O36&lt;&gt;"",SUMPRODUCT((O$3:O$77&lt;&gt;"")*(P$3:P$77="")*(G$3:G$77=G36)*(J$3:J$77&gt;J36)*(I$3:I$77="P"))+SUMPRODUCT((P$3:P$77&lt;&gt;"")*(G$3:G$77=G36))+1,IF(N36&lt;&gt;"",SUMPRODUCT((N$3:N$77&lt;&gt;"")*(G$3:G$77=G36)*(J$3:J$77&gt;J36)*(I$3:I$77="P"))+1,IF(M36="P",SUMPRODUCT((O$3:O$77&lt;&gt;"")*(P$3:P$77="")*(G$3:G$77=G36)*(I$3:I$77="P"))+SUMPRODUCT((P$3:P$77&lt;&gt;"")*(G$3:G$77=G36)*(I$3:I$77="P"))+SUMPRODUCT((N$3:N$77&lt;&gt;"")*(G$3:G$77=G36)*(I$3:I$77="P"))+SUMPRODUCT((P$3:P$77="")*(O$3:O$77="")*(N$3:N$77="")*(M$3:M$77="P")*(G$3:G$77=G36)*(J$3:J$77&gt;J36)*(I$3:I$77="P"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+1,""))))</f>
        <v/>
      </c>
      <c r="C36" s="36" t="s">
        <v>286</v>
      </c>
      <c r="D36" s="51" t="str">
        <f>IF(E36="","",VLOOKUP(E36,'Coaching Points'!A:B,2,0))</f>
        <v>BC</v>
      </c>
      <c r="E36" s="36" t="s">
        <v>48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1" t="s">
        <v>125</v>
      </c>
      <c r="I36" s="47"/>
      <c r="J36" s="4">
        <f>IF(G36="17-21",S36,R36)+IF(OR(H36="Junior",H36="Senior"),0.0002,IF(OR(H36="L7",H36="L6"),0.0001,0))+IF(G36="17-21",MAX(AA36,AC36,AF36),AE36)*0.0000001</f>
        <v>41.12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52" t="str">
        <f>IF(A36&lt;5,IF(_xlfn.MAXIFS(A:A,G:G,G36)&gt;3,5-A36,_xlfn.MAXIFS(A:A,G:G,G36)+1-A36),"")</f>
        <v/>
      </c>
      <c r="R36" s="4">
        <f>MAX(X36,AE36)</f>
        <v>64.834999999999994</v>
      </c>
      <c r="S36" s="4">
        <f>MAX(T36,V36,Y36,AA36,AC36,AF36)</f>
        <v>41.12</v>
      </c>
      <c r="T36" s="33">
        <v>23.715</v>
      </c>
      <c r="U36" s="41">
        <v>0</v>
      </c>
      <c r="V36" s="34">
        <v>41.12</v>
      </c>
      <c r="W36" s="41">
        <v>8.3999999999999986</v>
      </c>
      <c r="X36" s="4">
        <f>IF(H36="Senior",MAX(T36,V36),T36+V36)</f>
        <v>64.834999999999994</v>
      </c>
      <c r="Y36" s="34">
        <v>0</v>
      </c>
      <c r="Z36" s="41">
        <v>0</v>
      </c>
      <c r="AA36" s="33"/>
      <c r="AB36" s="41"/>
      <c r="AC36" s="34"/>
      <c r="AD36" s="41"/>
      <c r="AE36" s="4">
        <f>IF(H36="Senior",MAX(AA36,AC36),AA36+AC36)</f>
        <v>0</v>
      </c>
      <c r="AF36" s="34"/>
      <c r="AG36" s="37"/>
    </row>
    <row r="37" spans="1:33" x14ac:dyDescent="0.2">
      <c r="A37" s="1" t="str" cm="1">
        <f t="array" ref="A37">IF(I37="","",IF(P37&lt;&gt;"",SUMPRODUCT((P$3:P$77&lt;&gt;"")*(G$3:G$77=G37)*(J$3:J$77&gt;J37)*(I$3:I$77="P"))+1,IF(O37&lt;&gt;"",SUMPRODUCT((O$3:O$77&lt;&gt;"")*(P$3:P$77="")*(G$3:G$77=G37)*(J$3:J$77&gt;J37)*(I$3:I$77="P"))+SUMPRODUCT((P$3:P$77&lt;&gt;"")*(G$3:G$77=G37))+1,IF(N37&lt;&gt;"",SUMPRODUCT((N$3:N$77&lt;&gt;"")*(G$3:G$77=G37)*(J$3:J$77&gt;J37)*(I$3:I$77="P"))+1,IF(M37="P",SUMPRODUCT((O$3:O$77&lt;&gt;"")*(P$3:P$77="")*(G$3:G$77=G37)*(I$3:I$77="P"))+SUMPRODUCT((P$3:P$77&lt;&gt;"")*(G$3:G$77=G37)*(I$3:I$77="P"))+SUMPRODUCT((N$3:N$77&lt;&gt;"")*(G$3:G$77=G37)*(I$3:I$77="P"))+SUMPRODUCT((P$3:P$77="")*(O$3:O$77="")*(N$3:N$77="")*(M$3:M$77="P")*(G$3:G$77=G37)*(J$3:J$77&gt;J37)*(I$3:I$77="P"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+1,""))))</f>
        <v/>
      </c>
      <c r="C37" s="36" t="s">
        <v>308</v>
      </c>
      <c r="D37" s="51" t="str">
        <f>IF(E37="","",VLOOKUP(E37,'Coaching Points'!A:B,2,0))</f>
        <v>ON</v>
      </c>
      <c r="E37" s="36" t="s">
        <v>170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1" t="s">
        <v>127</v>
      </c>
      <c r="I37" s="47"/>
      <c r="J37" s="4">
        <f>IF(G37="17-21",S37,R37)+IF(OR(H37="Junior",H37="Senior"),0.0002,IF(OR(H37="L7",H37="L6"),0.0001,0))+IF(G37="17-21",MAX(AA37,AC37,AF37),AE37)*0.0000001</f>
        <v>41.100100000000005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52" t="str">
        <f>IF(A37&lt;5,IF(_xlfn.MAXIFS(A:A,G:G,G37)&gt;3,5-A37,_xlfn.MAXIFS(A:A,G:G,G37)+1-A37),"")</f>
        <v/>
      </c>
      <c r="R37" s="4">
        <f>MAX(X37,AE37)</f>
        <v>79.759999999999991</v>
      </c>
      <c r="S37" s="4">
        <f>MAX(T37,V37,Y37,AA37,AC37,AF37)</f>
        <v>41.1</v>
      </c>
      <c r="T37" s="33">
        <v>38.659999999999997</v>
      </c>
      <c r="U37" s="41">
        <v>2.2999999999999998</v>
      </c>
      <c r="V37" s="34">
        <v>41.1</v>
      </c>
      <c r="W37" s="41">
        <v>7.9999999999999991</v>
      </c>
      <c r="X37" s="4">
        <f>IF(H37="Senior",MAX(T37,V37),T37+V37)</f>
        <v>79.759999999999991</v>
      </c>
      <c r="Y37" s="34">
        <v>0</v>
      </c>
      <c r="Z37" s="41">
        <v>0</v>
      </c>
      <c r="AA37" s="33"/>
      <c r="AB37" s="41"/>
      <c r="AC37" s="34"/>
      <c r="AD37" s="41"/>
      <c r="AE37" s="4">
        <f>IF(H37="Senior",MAX(AA37,AC37),AA37+AC37)</f>
        <v>0</v>
      </c>
      <c r="AF37" s="34"/>
      <c r="AG37" s="37"/>
    </row>
    <row r="38" spans="1:33" x14ac:dyDescent="0.2">
      <c r="A38" s="1" t="str" cm="1">
        <f t="array" ref="A38">IF(I38="","",IF(P38&lt;&gt;"",SUMPRODUCT((P$3:P$77&lt;&gt;"")*(G$3:G$77=G38)*(J$3:J$77&gt;J38)*(I$3:I$77="P"))+1,IF(O38&lt;&gt;"",SUMPRODUCT((O$3:O$77&lt;&gt;"")*(P$3:P$77="")*(G$3:G$77=G38)*(J$3:J$77&gt;J38)*(I$3:I$77="P"))+SUMPRODUCT((P$3:P$77&lt;&gt;"")*(G$3:G$77=G38))+1,IF(N38&lt;&gt;"",SUMPRODUCT((N$3:N$77&lt;&gt;"")*(G$3:G$77=G38)*(J$3:J$77&gt;J38)*(I$3:I$77="P"))+1,IF(M38="P",SUMPRODUCT((O$3:O$77&lt;&gt;"")*(P$3:P$77="")*(G$3:G$77=G38)*(I$3:I$77="P"))+SUMPRODUCT((P$3:P$77&lt;&gt;"")*(G$3:G$77=G38)*(I$3:I$77="P"))+SUMPRODUCT((N$3:N$77&lt;&gt;"")*(G$3:G$77=G38)*(I$3:I$77="P"))+SUMPRODUCT((P$3:P$77="")*(O$3:O$77="")*(N$3:N$77="")*(M$3:M$77="P")*(G$3:G$77=G38)*(J$3:J$77&gt;J38)*(I$3:I$77="P"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+1,""))))</f>
        <v/>
      </c>
      <c r="C38" s="36" t="s">
        <v>310</v>
      </c>
      <c r="D38" s="51" t="str">
        <f>IF(E38="","",VLOOKUP(E38,'Coaching Points'!A:B,2,0))</f>
        <v>BC</v>
      </c>
      <c r="E38" s="36" t="s">
        <v>43</v>
      </c>
      <c r="F38" s="35">
        <v>2004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1" t="s">
        <v>127</v>
      </c>
      <c r="I38" s="47"/>
      <c r="J38" s="4">
        <f>IF(G38="17-21",S38,R38)+IF(OR(H38="Junior",H38="Senior"),0.0002,IF(OR(H38="L7",H38="L6"),0.0001,0))+IF(G38="17-21",MAX(AA38,AC38,AF38),AE38)*0.0000001</f>
        <v>40.570100000000004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52" t="str">
        <f>IF(A38&lt;5,IF(_xlfn.MAXIFS(A:A,G:G,G38)&gt;3,5-A38,_xlfn.MAXIFS(A:A,G:G,G38)+1-A38),"")</f>
        <v/>
      </c>
      <c r="R38" s="4">
        <f>MAX(X38,AE38)</f>
        <v>66.650000000000006</v>
      </c>
      <c r="S38" s="4">
        <f>MAX(T38,V38,Y38,AA38,AC38,AF38)</f>
        <v>40.57</v>
      </c>
      <c r="T38" s="33">
        <v>40.57</v>
      </c>
      <c r="U38" s="41">
        <v>2</v>
      </c>
      <c r="V38" s="34">
        <v>26.080000000000002</v>
      </c>
      <c r="W38" s="41">
        <v>4.5</v>
      </c>
      <c r="X38" s="4">
        <f>IF(H38="Senior",MAX(T38,V38),T38+V38)</f>
        <v>66.650000000000006</v>
      </c>
      <c r="Y38" s="34">
        <v>0</v>
      </c>
      <c r="Z38" s="41">
        <v>0</v>
      </c>
      <c r="AA38" s="33"/>
      <c r="AB38" s="41"/>
      <c r="AC38" s="34"/>
      <c r="AD38" s="41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$77&lt;&gt;"")*(G$3:G$77=G39)*(J$3:J$77&gt;J39)*(I$3:I$77="P"))+1,IF(O39&lt;&gt;"",SUMPRODUCT((O$3:O$77&lt;&gt;"")*(P$3:P$77="")*(G$3:G$77=G39)*(J$3:J$77&gt;J39)*(I$3:I$77="P"))+SUMPRODUCT((P$3:P$77&lt;&gt;"")*(G$3:G$77=G39))+1,IF(N39&lt;&gt;"",SUMPRODUCT((N$3:N$77&lt;&gt;"")*(G$3:G$77=G39)*(J$3:J$77&gt;J39)*(I$3:I$77="P"))+1,IF(M39="P",SUMPRODUCT((O$3:O$77&lt;&gt;"")*(P$3:P$77="")*(G$3:G$77=G39)*(I$3:I$77="P"))+SUMPRODUCT((P$3:P$77&lt;&gt;"")*(G$3:G$77=G39)*(I$3:I$77="P"))+SUMPRODUCT((N$3:N$77&lt;&gt;"")*(G$3:G$77=G39)*(I$3:I$77="P"))+SUMPRODUCT((P$3:P$77="")*(O$3:O$77="")*(N$3:N$77="")*(M$3:M$77="P")*(G$3:G$77=G39)*(J$3:J$77&gt;J39)*(I$3:I$77="P"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+1,""))))</f>
        <v/>
      </c>
      <c r="C39" s="36" t="s">
        <v>288</v>
      </c>
      <c r="D39" s="51" t="str">
        <f>IF(E39="","",VLOOKUP(E39,'Coaching Points'!A:B,2,0))</f>
        <v>BC</v>
      </c>
      <c r="E39" s="36" t="s">
        <v>93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1" t="s">
        <v>125</v>
      </c>
      <c r="I39" s="47"/>
      <c r="J39" s="4">
        <f>IF(G39="17-21",S39,R39)+IF(OR(H39="Junior",H39="Senior"),0.0002,IF(OR(H39="L7",H39="L6"),0.0001,0))+IF(G39="17-21",MAX(AA39,AC39,AF39),AE39)*0.0000001</f>
        <v>39.31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52" t="str">
        <f>IF(A39&lt;5,IF(_xlfn.MAXIFS(A:A,G:G,G39)&gt;3,5-A39,_xlfn.MAXIFS(A:A,G:G,G39)+1-A39),"")</f>
        <v/>
      </c>
      <c r="R39" s="4">
        <f>MAX(X39,AE39)</f>
        <v>53.005000000000003</v>
      </c>
      <c r="S39" s="4">
        <f>MAX(T39,V39,Y39,AA39,AC39,AF39)</f>
        <v>39.31</v>
      </c>
      <c r="T39" s="33">
        <v>39.31</v>
      </c>
      <c r="U39" s="41">
        <v>0</v>
      </c>
      <c r="V39" s="34">
        <v>13.695</v>
      </c>
      <c r="W39" s="41">
        <v>3.4</v>
      </c>
      <c r="X39" s="4">
        <f>IF(H39="Senior",MAX(T39,V39),T39+V39)</f>
        <v>53.005000000000003</v>
      </c>
      <c r="Y39" s="34">
        <v>0</v>
      </c>
      <c r="Z39" s="41">
        <v>0</v>
      </c>
      <c r="AA39" s="33"/>
      <c r="AB39" s="41"/>
      <c r="AC39" s="34"/>
      <c r="AD39" s="41"/>
      <c r="AE39" s="4">
        <f>IF(H39="Senior",MAX(AA39,AC39),AA39+AC39)</f>
        <v>0</v>
      </c>
      <c r="AF39" s="34"/>
      <c r="AG39" s="37"/>
    </row>
    <row r="40" spans="1:33" x14ac:dyDescent="0.2">
      <c r="A40" s="1" t="str" cm="1">
        <f t="array" ref="A40">IF(I40="","",IF(P40&lt;&gt;"",SUMPRODUCT((P$3:P$77&lt;&gt;"")*(G$3:G$77=G40)*(J$3:J$77&gt;J40)*(I$3:I$77="P"))+1,IF(O40&lt;&gt;"",SUMPRODUCT((O$3:O$77&lt;&gt;"")*(P$3:P$77="")*(G$3:G$77=G40)*(J$3:J$77&gt;J40)*(I$3:I$77="P"))+SUMPRODUCT((P$3:P$77&lt;&gt;"")*(G$3:G$77=G40))+1,IF(N40&lt;&gt;"",SUMPRODUCT((N$3:N$77&lt;&gt;"")*(G$3:G$77=G40)*(J$3:J$77&gt;J40)*(I$3:I$77="P"))+1,IF(M40="P",SUMPRODUCT((O$3:O$77&lt;&gt;"")*(P$3:P$77="")*(G$3:G$77=G40)*(I$3:I$77="P"))+SUMPRODUCT((P$3:P$77&lt;&gt;"")*(G$3:G$77=G40)*(I$3:I$77="P"))+SUMPRODUCT((N$3:N$77&lt;&gt;"")*(G$3:G$77=G40)*(I$3:I$77="P"))+SUMPRODUCT((P$3:P$77="")*(O$3:O$77="")*(N$3:N$77="")*(M$3:M$77="P")*(G$3:G$77=G40)*(J$3:J$77&gt;J40)*(I$3:I$77="P"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+1,""))))</f>
        <v/>
      </c>
      <c r="C40" s="36" t="s">
        <v>284</v>
      </c>
      <c r="D40" s="51" t="str">
        <f>IF(E40="","",VLOOKUP(E40,'Coaching Points'!A:B,2,0))</f>
        <v>AB</v>
      </c>
      <c r="E40" s="36" t="s">
        <v>29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1" t="s">
        <v>125</v>
      </c>
      <c r="I40" s="47"/>
      <c r="J40" s="4">
        <f>IF(G40="17-21",S40,R40)+IF(OR(H40="Junior",H40="Senior"),0.0002,IF(OR(H40="L7",H40="L6"),0.0001,0))+IF(G40="17-21",MAX(AA40,AC40,AF40),AE40)*0.0000001</f>
        <v>38.82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52" t="str">
        <f>IF(A40&lt;5,IF(_xlfn.MAXIFS(A:A,G:G,G40)&gt;3,5-A40,_xlfn.MAXIFS(A:A,G:G,G40)+1-A40),"")</f>
        <v/>
      </c>
      <c r="R40" s="4">
        <f>MAX(X40,AE40)</f>
        <v>76.44</v>
      </c>
      <c r="S40" s="4">
        <f>MAX(T40,V40,Y40,AA40,AC40,AF40)</f>
        <v>38.82</v>
      </c>
      <c r="T40" s="33">
        <v>38.82</v>
      </c>
      <c r="U40" s="41">
        <v>0</v>
      </c>
      <c r="V40" s="34">
        <v>37.620000000000005</v>
      </c>
      <c r="W40" s="41">
        <v>6.6999999999999993</v>
      </c>
      <c r="X40" s="4">
        <f>IF(H40="Senior",MAX(T40,V40),T40+V40)</f>
        <v>76.44</v>
      </c>
      <c r="Y40" s="34">
        <v>0</v>
      </c>
      <c r="Z40" s="41">
        <v>0</v>
      </c>
      <c r="AA40" s="33"/>
      <c r="AB40" s="41"/>
      <c r="AC40" s="34"/>
      <c r="AD40" s="41"/>
      <c r="AE40" s="4">
        <f>IF(H40="Senior",MAX(AA40,AC40),AA40+AC40)</f>
        <v>0</v>
      </c>
      <c r="AF40" s="34"/>
      <c r="AG40" s="37"/>
    </row>
    <row r="41" spans="1:33" x14ac:dyDescent="0.2">
      <c r="A41" s="1" t="str" cm="1">
        <f t="array" ref="A41">IF(I41="","",IF(P41&lt;&gt;"",SUMPRODUCT((P$3:P$77&lt;&gt;"")*(G$3:G$77=G41)*(J$3:J$77&gt;J41)*(I$3:I$77="P"))+1,IF(O41&lt;&gt;"",SUMPRODUCT((O$3:O$77&lt;&gt;"")*(P$3:P$77="")*(G$3:G$77=G41)*(J$3:J$77&gt;J41)*(I$3:I$77="P"))+SUMPRODUCT((P$3:P$77&lt;&gt;"")*(G$3:G$77=G41))+1,IF(N41&lt;&gt;"",SUMPRODUCT((N$3:N$77&lt;&gt;"")*(G$3:G$77=G41)*(J$3:J$77&gt;J41)*(I$3:I$77="P"))+1,IF(M41="P",SUMPRODUCT((O$3:O$77&lt;&gt;"")*(P$3:P$77="")*(G$3:G$77=G41)*(I$3:I$77="P"))+SUMPRODUCT((P$3:P$77&lt;&gt;"")*(G$3:G$77=G41)*(I$3:I$77="P"))+SUMPRODUCT((N$3:N$77&lt;&gt;"")*(G$3:G$77=G41)*(I$3:I$77="P"))+SUMPRODUCT((P$3:P$77="")*(O$3:O$77="")*(N$3:N$77="")*(M$3:M$77="P")*(G$3:G$77=G41)*(J$3:J$77&gt;J41)*(I$3:I$77="P"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+1,""))))</f>
        <v/>
      </c>
      <c r="C41" s="36" t="s">
        <v>287</v>
      </c>
      <c r="D41" s="51" t="str">
        <f>IF(E41="","",VLOOKUP(E41,'Coaching Points'!A:B,2,0))</f>
        <v>SK</v>
      </c>
      <c r="E41" s="36" t="s">
        <v>47</v>
      </c>
      <c r="F41" s="35">
        <v>2003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1" t="s">
        <v>125</v>
      </c>
      <c r="I41" s="47"/>
      <c r="J41" s="4">
        <f>IF(G41="17-21",S41,R41)+IF(OR(H41="Junior",H41="Senior"),0.0002,IF(OR(H41="L7",H41="L6"),0.0001,0))+IF(G41="17-21",MAX(AA41,AC41,AF41),AE41)*0.0000001</f>
        <v>38.620000000000005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52" t="str">
        <f>IF(A41&lt;5,IF(_xlfn.MAXIFS(A:A,G:G,G41)&gt;3,5-A41,_xlfn.MAXIFS(A:A,G:G,G41)+1-A41),"")</f>
        <v/>
      </c>
      <c r="R41" s="4">
        <f>MAX(X41,AE41)</f>
        <v>57.635000000000005</v>
      </c>
      <c r="S41" s="4">
        <f>MAX(T41,V41,Y41,AA41,AC41,AF41)</f>
        <v>38.620000000000005</v>
      </c>
      <c r="T41" s="33">
        <v>38.620000000000005</v>
      </c>
      <c r="U41" s="41">
        <v>0</v>
      </c>
      <c r="V41" s="34">
        <v>19.015000000000001</v>
      </c>
      <c r="W41" s="41">
        <v>4.2</v>
      </c>
      <c r="X41" s="4">
        <f>IF(H41="Senior",MAX(T41,V41),T41+V41)</f>
        <v>57.635000000000005</v>
      </c>
      <c r="Y41" s="34">
        <v>0</v>
      </c>
      <c r="Z41" s="41">
        <v>0</v>
      </c>
      <c r="AA41" s="33"/>
      <c r="AB41" s="41"/>
      <c r="AC41" s="34"/>
      <c r="AD41" s="41"/>
      <c r="AE41" s="4">
        <f>IF(H41="Senior",MAX(AA41,AC41),AA41+AC41)</f>
        <v>0</v>
      </c>
      <c r="AF41" s="34"/>
      <c r="AG41" s="37"/>
    </row>
    <row r="42" spans="1:33" x14ac:dyDescent="0.2">
      <c r="A42" s="1" t="str" cm="1">
        <f t="array" ref="A42">IF(I42="","",IF(P42&lt;&gt;"",SUMPRODUCT((P$3:P$77&lt;&gt;"")*(G$3:G$77=G42)*(J$3:J$77&gt;J42)*(I$3:I$77="P"))+1,IF(O42&lt;&gt;"",SUMPRODUCT((O$3:O$77&lt;&gt;"")*(P$3:P$77="")*(G$3:G$77=G42)*(J$3:J$77&gt;J42)*(I$3:I$77="P"))+SUMPRODUCT((P$3:P$77&lt;&gt;"")*(G$3:G$77=G42))+1,IF(N42&lt;&gt;"",SUMPRODUCT((N$3:N$77&lt;&gt;"")*(G$3:G$77=G42)*(J$3:J$77&gt;J42)*(I$3:I$77="P"))+1,IF(M42="P",SUMPRODUCT((O$3:O$77&lt;&gt;"")*(P$3:P$77="")*(G$3:G$77=G42)*(I$3:I$77="P"))+SUMPRODUCT((P$3:P$77&lt;&gt;"")*(G$3:G$77=G42)*(I$3:I$77="P"))+SUMPRODUCT((N$3:N$77&lt;&gt;"")*(G$3:G$77=G42)*(I$3:I$77="P"))+SUMPRODUCT((P$3:P$77="")*(O$3:O$77="")*(N$3:N$77="")*(M$3:M$77="P")*(G$3:G$77=G42)*(J$3:J$77&gt;J42)*(I$3:I$77="P"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+1,""))))</f>
        <v/>
      </c>
      <c r="C42" s="36" t="s">
        <v>311</v>
      </c>
      <c r="D42" s="51" t="str">
        <f>IF(E42="","",VLOOKUP(E42,'Coaching Points'!A:B,2,0))</f>
        <v>BC</v>
      </c>
      <c r="E42" s="36" t="s">
        <v>38</v>
      </c>
      <c r="F42" s="35">
        <v>2001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1" t="s">
        <v>127</v>
      </c>
      <c r="I42" s="47"/>
      <c r="J42" s="4">
        <f>IF(G42="17-21",S42,R42)+IF(OR(H42="Junior",H42="Senior"),0.0002,IF(OR(H42="L7",H42="L6"),0.0001,0))+IF(G42="17-21",MAX(AA42,AC42,AF42),AE42)*0.0000001</f>
        <v>38.320100000000004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52" t="str">
        <f>IF(A42&lt;5,IF(_xlfn.MAXIFS(A:A,G:G,G42)&gt;3,5-A42,_xlfn.MAXIFS(A:A,G:G,G42)+1-A42),"")</f>
        <v/>
      </c>
      <c r="R42" s="4">
        <f>MAX(X42,AE42)</f>
        <v>59.46</v>
      </c>
      <c r="S42" s="4">
        <f>MAX(T42,V42,Y42,AA42,AC42,AF42)</f>
        <v>38.32</v>
      </c>
      <c r="T42" s="33">
        <v>38.32</v>
      </c>
      <c r="U42" s="41">
        <v>1.4</v>
      </c>
      <c r="V42" s="34">
        <v>21.14</v>
      </c>
      <c r="W42" s="41">
        <v>3.4</v>
      </c>
      <c r="X42" s="4">
        <f>IF(H42="Senior",MAX(T42,V42),T42+V42)</f>
        <v>59.46</v>
      </c>
      <c r="Y42" s="34">
        <v>0</v>
      </c>
      <c r="Z42" s="41">
        <v>0</v>
      </c>
      <c r="AA42" s="33"/>
      <c r="AB42" s="41"/>
      <c r="AC42" s="34"/>
      <c r="AD42" s="41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$77&lt;&gt;"")*(G$3:G$77=G43)*(J$3:J$77&gt;J43)*(I$3:I$77="P"))+1,IF(O43&lt;&gt;"",SUMPRODUCT((O$3:O$77&lt;&gt;"")*(P$3:P$77="")*(G$3:G$77=G43)*(J$3:J$77&gt;J43)*(I$3:I$77="P"))+SUMPRODUCT((P$3:P$77&lt;&gt;"")*(G$3:G$77=G43))+1,IF(N43&lt;&gt;"",SUMPRODUCT((N$3:N$77&lt;&gt;"")*(G$3:G$77=G43)*(J$3:J$77&gt;J43)*(I$3:I$77="P"))+1,IF(M43="P",SUMPRODUCT((O$3:O$77&lt;&gt;"")*(P$3:P$77="")*(G$3:G$77=G43)*(I$3:I$77="P"))+SUMPRODUCT((P$3:P$77&lt;&gt;"")*(G$3:G$77=G43)*(I$3:I$77="P"))+SUMPRODUCT((N$3:N$77&lt;&gt;"")*(G$3:G$77=G43)*(I$3:I$77="P"))+SUMPRODUCT((P$3:P$77="")*(O$3:O$77="")*(N$3:N$77="")*(M$3:M$77="P")*(G$3:G$77=G43)*(J$3:J$77&gt;J43)*(I$3:I$77="P"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+1,""))))</f>
        <v/>
      </c>
      <c r="C43" s="36" t="s">
        <v>285</v>
      </c>
      <c r="D43" s="51" t="str">
        <f>IF(E43="","",VLOOKUP(E43,'Coaching Points'!A:B,2,0))</f>
        <v>ON</v>
      </c>
      <c r="E43" s="36" t="s">
        <v>152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1" t="s">
        <v>125</v>
      </c>
      <c r="I43" s="47"/>
      <c r="J43" s="4">
        <f>IF(G43="17-21",S43,R43)+IF(OR(H43="Junior",H43="Senior"),0.0002,IF(OR(H43="L7",H43="L6"),0.0001,0))+IF(G43="17-21",MAX(AA43,AC43,AF43),AE43)*0.0000001</f>
        <v>37.835000000000001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52" t="str">
        <f>IF(A43&lt;5,IF(_xlfn.MAXIFS(A:A,G:G,G43)&gt;3,5-A43,_xlfn.MAXIFS(A:A,G:G,G43)+1-A43),"")</f>
        <v/>
      </c>
      <c r="R43" s="4">
        <f>MAX(X43,AE43)</f>
        <v>68.86</v>
      </c>
      <c r="S43" s="4">
        <f>MAX(T43,V43,Y43,AA43,AC43,AF43)</f>
        <v>37.835000000000001</v>
      </c>
      <c r="T43" s="33">
        <v>37.835000000000001</v>
      </c>
      <c r="U43" s="41">
        <v>0</v>
      </c>
      <c r="V43" s="34">
        <v>31.025000000000002</v>
      </c>
      <c r="W43" s="41">
        <v>4.1000000000000005</v>
      </c>
      <c r="X43" s="4">
        <f>IF(H43="Senior",MAX(T43,V43),T43+V43)</f>
        <v>68.86</v>
      </c>
      <c r="Y43" s="34">
        <v>0</v>
      </c>
      <c r="Z43" s="41">
        <v>0</v>
      </c>
      <c r="AA43" s="33"/>
      <c r="AB43" s="41"/>
      <c r="AC43" s="34"/>
      <c r="AD43" s="41"/>
      <c r="AE43" s="4">
        <f>IF(H43="Senior",MAX(AA43,AC43),AA43+AC43)</f>
        <v>0</v>
      </c>
      <c r="AF43" s="34"/>
      <c r="AG43" s="37"/>
    </row>
    <row r="44" spans="1:33" x14ac:dyDescent="0.2">
      <c r="A44" s="1" t="str" cm="1">
        <f t="array" ref="A44">IF(I44="","",IF(P44&lt;&gt;"",SUMPRODUCT((P$3:P$77&lt;&gt;"")*(G$3:G$77=G44)*(J$3:J$77&gt;J44)*(I$3:I$77="P"))+1,IF(O44&lt;&gt;"",SUMPRODUCT((O$3:O$77&lt;&gt;"")*(P$3:P$77="")*(G$3:G$77=G44)*(J$3:J$77&gt;J44)*(I$3:I$77="P"))+SUMPRODUCT((P$3:P$77&lt;&gt;"")*(G$3:G$77=G44))+1,IF(N44&lt;&gt;"",SUMPRODUCT((N$3:N$77&lt;&gt;"")*(G$3:G$77=G44)*(J$3:J$77&gt;J44)*(I$3:I$77="P"))+1,IF(M44="P",SUMPRODUCT((O$3:O$77&lt;&gt;"")*(P$3:P$77="")*(G$3:G$77=G44)*(I$3:I$77="P"))+SUMPRODUCT((P$3:P$77&lt;&gt;"")*(G$3:G$77=G44)*(I$3:I$77="P"))+SUMPRODUCT((N$3:N$77&lt;&gt;"")*(G$3:G$77=G44)*(I$3:I$77="P"))+SUMPRODUCT((P$3:P$77="")*(O$3:O$77="")*(N$3:N$77="")*(M$3:M$77="P")*(G$3:G$77=G44)*(J$3:J$77&gt;J44)*(I$3:I$77="P"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+1,""))))</f>
        <v/>
      </c>
      <c r="C44" s="36" t="s">
        <v>289</v>
      </c>
      <c r="D44" s="51" t="str">
        <f>IF(E44="","",VLOOKUP(E44,'Coaching Points'!A:B,2,0))</f>
        <v>QC</v>
      </c>
      <c r="E44" s="36" t="s">
        <v>184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1" t="s">
        <v>125</v>
      </c>
      <c r="I44" s="47"/>
      <c r="J44" s="4">
        <f>IF(G44="17-21",S44,R44)+IF(OR(H44="Junior",H44="Senior"),0.0002,IF(OR(H44="L7",H44="L6"),0.0001,0))+IF(G44="17-21",MAX(AA44,AC44,AF44),AE44)*0.0000001</f>
        <v>29.355000000000004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52" t="str">
        <f>IF(A44&lt;5,IF(_xlfn.MAXIFS(A:A,G:G,G44)&gt;3,5-A44,_xlfn.MAXIFS(A:A,G:G,G44)+1-A44),"")</f>
        <v/>
      </c>
      <c r="R44" s="4">
        <f>MAX(X44,AE44)</f>
        <v>52.735000000000007</v>
      </c>
      <c r="S44" s="4">
        <f>MAX(T44,V44,Y44,AA44,AC44,AF44)</f>
        <v>29.355000000000004</v>
      </c>
      <c r="T44" s="33">
        <v>29.355000000000004</v>
      </c>
      <c r="U44" s="41">
        <v>0</v>
      </c>
      <c r="V44" s="34">
        <v>23.380000000000003</v>
      </c>
      <c r="W44" s="41">
        <v>3.6</v>
      </c>
      <c r="X44" s="4">
        <f>IF(H44="Senior",MAX(T44,V44),T44+V44)</f>
        <v>52.735000000000007</v>
      </c>
      <c r="Y44" s="34">
        <v>0</v>
      </c>
      <c r="Z44" s="41">
        <v>0</v>
      </c>
      <c r="AA44" s="33"/>
      <c r="AB44" s="41"/>
      <c r="AC44" s="34"/>
      <c r="AD44" s="41"/>
      <c r="AE44" s="4">
        <f>IF(H44="Senior",MAX(AA44,AC44),AA44+AC44)</f>
        <v>0</v>
      </c>
      <c r="AF44" s="34"/>
      <c r="AG44" s="37"/>
    </row>
    <row r="45" spans="1:33" x14ac:dyDescent="0.2">
      <c r="A45" s="1" t="str" cm="1">
        <f t="array" ref="A45">IF(I45="","",IF(P45&lt;&gt;"",SUMPRODUCT((P$3:P$77&lt;&gt;"")*(G$3:G$77=G45)*(J$3:J$77&gt;J45)*(I$3:I$77="P"))+1,IF(O45&lt;&gt;"",SUMPRODUCT((O$3:O$77&lt;&gt;"")*(P$3:P$77="")*(G$3:G$77=G45)*(J$3:J$77&gt;J45)*(I$3:I$77="P"))+SUMPRODUCT((P$3:P$77&lt;&gt;"")*(G$3:G$77=G45))+1,IF(N45&lt;&gt;"",SUMPRODUCT((N$3:N$77&lt;&gt;"")*(G$3:G$77=G45)*(J$3:J$77&gt;J45)*(I$3:I$77="P"))+1,IF(M45="P",SUMPRODUCT((O$3:O$77&lt;&gt;"")*(P$3:P$77="")*(G$3:G$77=G45)*(I$3:I$77="P"))+SUMPRODUCT((P$3:P$77&lt;&gt;"")*(G$3:G$77=G45)*(I$3:I$77="P"))+SUMPRODUCT((N$3:N$77&lt;&gt;"")*(G$3:G$77=G45)*(I$3:I$77="P"))+SUMPRODUCT((P$3:P$77="")*(O$3:O$77="")*(N$3:N$77="")*(M$3:M$77="P")*(G$3:G$77=G45)*(J$3:J$77&gt;J45)*(I$3:I$77="P"))+1,"")))))</f>
        <v/>
      </c>
      <c r="B45" s="1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+1,""))))</f>
        <v>1</v>
      </c>
      <c r="C45" s="36" t="s">
        <v>241</v>
      </c>
      <c r="D45" s="51" t="str">
        <f>IF(E45="","",VLOOKUP(E45,'Coaching Points'!A:B,2,0))</f>
        <v>ON</v>
      </c>
      <c r="E45" s="36" t="s">
        <v>39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1" t="s">
        <v>124</v>
      </c>
      <c r="I45" s="47"/>
      <c r="J45" s="4">
        <f>IF(G45="17-21",S45,R45)+IF(OR(H45="Junior",H45="Senior"),0.0002,IF(OR(H45="L7",H45="L6"),0.0001,0))+IF(G45="17-21",MAX(AA45,AC45,AF45),AE45)*0.0000001</f>
        <v>93.170199999999994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>P</v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>P</v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>P</v>
      </c>
      <c r="N45" s="39">
        <v>1</v>
      </c>
      <c r="Q45" s="52" t="str">
        <f>IF(A45&lt;5,IF(_xlfn.MAXIFS(A:A,G:G,G45)&gt;3,5-A45,_xlfn.MAXIFS(A:A,G:G,G45)+1-A45),"")</f>
        <v/>
      </c>
      <c r="R45" s="4">
        <f>MAX(X45,AE45)</f>
        <v>93.169999999999987</v>
      </c>
      <c r="S45" s="4">
        <f>MAX(T45,V45,Y45,AA45,AC45,AF45)</f>
        <v>51.019999999999996</v>
      </c>
      <c r="T45" s="33">
        <v>42.15</v>
      </c>
      <c r="U45" s="41">
        <v>0</v>
      </c>
      <c r="V45" s="34">
        <v>51.019999999999996</v>
      </c>
      <c r="W45" s="41">
        <v>11.4</v>
      </c>
      <c r="X45" s="4">
        <f>IF(H45="Senior",MAX(T45,V45),T45+V45)</f>
        <v>93.169999999999987</v>
      </c>
      <c r="Y45" s="34">
        <v>50.65</v>
      </c>
      <c r="Z45" s="41">
        <v>11.4</v>
      </c>
      <c r="AA45" s="33"/>
      <c r="AB45" s="41"/>
      <c r="AC45" s="34"/>
      <c r="AD45" s="41"/>
      <c r="AE45" s="4">
        <f>IF(H45="Senior",MAX(AA45,AC45),AA45+AC45)</f>
        <v>0</v>
      </c>
      <c r="AF45" s="34"/>
      <c r="AG45" s="37"/>
    </row>
    <row r="46" spans="1:33" x14ac:dyDescent="0.2">
      <c r="A46" s="1" t="str" cm="1">
        <f t="array" ref="A46">IF(I46="","",IF(P46&lt;&gt;"",SUMPRODUCT((P$3:P$77&lt;&gt;"")*(G$3:G$77=G46)*(J$3:J$77&gt;J46)*(I$3:I$77="P"))+1,IF(O46&lt;&gt;"",SUMPRODUCT((O$3:O$77&lt;&gt;"")*(P$3:P$77="")*(G$3:G$77=G46)*(J$3:J$77&gt;J46)*(I$3:I$77="P"))+SUMPRODUCT((P$3:P$77&lt;&gt;"")*(G$3:G$77=G46))+1,IF(N46&lt;&gt;"",SUMPRODUCT((N$3:N$77&lt;&gt;"")*(G$3:G$77=G46)*(J$3:J$77&gt;J46)*(I$3:I$77="P"))+1,IF(M46="P",SUMPRODUCT((O$3:O$77&lt;&gt;"")*(P$3:P$77="")*(G$3:G$77=G46)*(I$3:I$77="P"))+SUMPRODUCT((P$3:P$77&lt;&gt;"")*(G$3:G$77=G46)*(I$3:I$77="P"))+SUMPRODUCT((N$3:N$77&lt;&gt;"")*(G$3:G$77=G46)*(I$3:I$77="P"))+SUMPRODUCT((P$3:P$77="")*(O$3:O$77="")*(N$3:N$77="")*(M$3:M$77="P")*(G$3:G$77=G46)*(J$3:J$77&gt;J46)*(I$3:I$77="P"))+1,"")))))</f>
        <v/>
      </c>
      <c r="B46" s="1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+1,""))))</f>
        <v>2</v>
      </c>
      <c r="C46" s="36" t="s">
        <v>242</v>
      </c>
      <c r="D46" s="51" t="str">
        <f>IF(E46="","",VLOOKUP(E46,'Coaching Points'!A:B,2,0))</f>
        <v>QC</v>
      </c>
      <c r="E46" s="36" t="s">
        <v>377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1" t="s">
        <v>124</v>
      </c>
      <c r="I46" s="47"/>
      <c r="J46" s="4">
        <f>IF(G46="17-21",S46,R46)+IF(OR(H46="Junior",H46="Senior"),0.0002,IF(OR(H46="L7",H46="L6"),0.0001,0))+IF(G46="17-21",MAX(AA46,AC46,AF46),AE46)*0.0000001</f>
        <v>91.09020000000001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>P</v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>P</v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>P</v>
      </c>
      <c r="Q46" s="52" t="str">
        <f>IF(A46&lt;5,IF(_xlfn.MAXIFS(A:A,G:G,G46)&gt;3,5-A46,_xlfn.MAXIFS(A:A,G:G,G46)+1-A46),"")</f>
        <v/>
      </c>
      <c r="R46" s="4">
        <f>MAX(X46,AE46)</f>
        <v>91.09</v>
      </c>
      <c r="S46" s="4">
        <f>MAX(T46,V46,Y46,AA46,AC46,AF46)</f>
        <v>49.06</v>
      </c>
      <c r="T46" s="33">
        <v>42.08</v>
      </c>
      <c r="U46" s="41">
        <v>0</v>
      </c>
      <c r="V46" s="34">
        <v>49.010000000000005</v>
      </c>
      <c r="W46" s="41">
        <v>10.5</v>
      </c>
      <c r="X46" s="4">
        <f>IF(H46="Senior",MAX(T46,V46),T46+V46)</f>
        <v>91.09</v>
      </c>
      <c r="Y46" s="34">
        <v>49.06</v>
      </c>
      <c r="Z46" s="41">
        <v>10.4</v>
      </c>
      <c r="AA46" s="33"/>
      <c r="AB46" s="41"/>
      <c r="AC46" s="34"/>
      <c r="AD46" s="41"/>
      <c r="AE46" s="4">
        <f>IF(H46="Senior",MAX(AA46,AC46),AA46+AC46)</f>
        <v>0</v>
      </c>
      <c r="AF46" s="34"/>
      <c r="AG46" s="37"/>
    </row>
    <row r="47" spans="1:33" x14ac:dyDescent="0.2">
      <c r="A47" s="1" t="str" cm="1">
        <f t="array" ref="A47">IF(I47="","",IF(P47&lt;&gt;"",SUMPRODUCT((P$3:P$77&lt;&gt;"")*(G$3:G$77=G47)*(J$3:J$77&gt;J47)*(I$3:I$77="P"))+1,IF(O47&lt;&gt;"",SUMPRODUCT((O$3:O$77&lt;&gt;"")*(P$3:P$77="")*(G$3:G$77=G47)*(J$3:J$77&gt;J47)*(I$3:I$77="P"))+SUMPRODUCT((P$3:P$77&lt;&gt;"")*(G$3:G$77=G47))+1,IF(N47&lt;&gt;"",SUMPRODUCT((N$3:N$77&lt;&gt;"")*(G$3:G$77=G47)*(J$3:J$77&gt;J47)*(I$3:I$77="P"))+1,IF(M47="P",SUMPRODUCT((O$3:O$77&lt;&gt;"")*(P$3:P$77="")*(G$3:G$77=G47)*(I$3:I$77="P"))+SUMPRODUCT((P$3:P$77&lt;&gt;"")*(G$3:G$77=G47)*(I$3:I$77="P"))+SUMPRODUCT((N$3:N$77&lt;&gt;"")*(G$3:G$77=G47)*(I$3:I$77="P"))+SUMPRODUCT((P$3:P$77="")*(O$3:O$77="")*(N$3:N$77="")*(M$3:M$77="P")*(G$3:G$77=G47)*(J$3:J$77&gt;J47)*(I$3:I$77="P"))+1,"")))))</f>
        <v/>
      </c>
      <c r="B47" s="1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+1,""))))</f>
        <v>3</v>
      </c>
      <c r="C47" s="36" t="s">
        <v>292</v>
      </c>
      <c r="D47" s="51" t="str">
        <f>IF(E47="","",VLOOKUP(E47,'Coaching Points'!A:B,2,0))</f>
        <v>QC</v>
      </c>
      <c r="E47" s="36" t="s">
        <v>192</v>
      </c>
      <c r="F47" s="35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1" t="s">
        <v>126</v>
      </c>
      <c r="I47" s="47"/>
      <c r="J47" s="4">
        <f>IF(G47="17-21",S47,R47)+IF(OR(H47="Junior",H47="Senior"),0.0002,IF(OR(H47="L7",H47="L6"),0.0001,0))+IF(G47="17-21",MAX(AA47,AC47,AF47),AE47)*0.0000001</f>
        <v>88.780100000000004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>P</v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>P</v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>P</v>
      </c>
      <c r="Q47" s="52" t="str">
        <f>IF(A47&lt;5,IF(_xlfn.MAXIFS(A:A,G:G,G47)&gt;3,5-A47,_xlfn.MAXIFS(A:A,G:G,G47)+1-A47),"")</f>
        <v/>
      </c>
      <c r="R47" s="4">
        <f>MAX(X47,AE47)</f>
        <v>88.78</v>
      </c>
      <c r="S47" s="4">
        <f>MAX(T47,V47,Y47,AA47,AC47,AF47)</f>
        <v>47.940000000000005</v>
      </c>
      <c r="T47" s="33">
        <v>40.840000000000003</v>
      </c>
      <c r="U47" s="41">
        <v>0</v>
      </c>
      <c r="V47" s="34">
        <v>47.940000000000005</v>
      </c>
      <c r="W47" s="41">
        <v>9.1</v>
      </c>
      <c r="X47" s="4">
        <f>IF(H47="Senior",MAX(T47,V47),T47+V47)</f>
        <v>88.78</v>
      </c>
      <c r="Y47" s="34">
        <v>46.32</v>
      </c>
      <c r="Z47" s="41">
        <v>9.1</v>
      </c>
      <c r="AA47" s="33"/>
      <c r="AB47" s="41"/>
      <c r="AC47" s="34"/>
      <c r="AD47" s="41"/>
      <c r="AE47" s="4">
        <f>IF(H47="Senior",MAX(AA47,AC47),AA47+AC47)</f>
        <v>0</v>
      </c>
      <c r="AF47" s="34"/>
      <c r="AG47" s="37"/>
    </row>
    <row r="48" spans="1:33" x14ac:dyDescent="0.2">
      <c r="A48" s="1" t="str" cm="1">
        <f t="array" ref="A48">IF(I48="","",IF(P48&lt;&gt;"",SUMPRODUCT((P$3:P$77&lt;&gt;"")*(G$3:G$77=G48)*(J$3:J$77&gt;J48)*(I$3:I$77="P"))+1,IF(O48&lt;&gt;"",SUMPRODUCT((O$3:O$77&lt;&gt;"")*(P$3:P$77="")*(G$3:G$77=G48)*(J$3:J$77&gt;J48)*(I$3:I$77="P"))+SUMPRODUCT((P$3:P$77&lt;&gt;"")*(G$3:G$77=G48))+1,IF(N48&lt;&gt;"",SUMPRODUCT((N$3:N$77&lt;&gt;"")*(G$3:G$77=G48)*(J$3:J$77&gt;J48)*(I$3:I$77="P"))+1,IF(M48="P",SUMPRODUCT((O$3:O$77&lt;&gt;"")*(P$3:P$77="")*(G$3:G$77=G48)*(I$3:I$77="P"))+SUMPRODUCT((P$3:P$77&lt;&gt;"")*(G$3:G$77=G48)*(I$3:I$77="P"))+SUMPRODUCT((N$3:N$77&lt;&gt;"")*(G$3:G$77=G48)*(I$3:I$77="P"))+SUMPRODUCT((P$3:P$77="")*(O$3:O$77="")*(N$3:N$77="")*(M$3:M$77="P")*(G$3:G$77=G48)*(J$3:J$77&gt;J48)*(I$3:I$77="P"))+1,"")))))</f>
        <v/>
      </c>
      <c r="B48" s="1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+1,""))))</f>
        <v>4</v>
      </c>
      <c r="C48" s="36" t="s">
        <v>295</v>
      </c>
      <c r="D48" s="51" t="str">
        <f>IF(E48="","",VLOOKUP(E48,'Coaching Points'!A:B,2,0))</f>
        <v>BC</v>
      </c>
      <c r="E48" s="36" t="s">
        <v>48</v>
      </c>
      <c r="F48" s="35">
        <v>2007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1" t="s">
        <v>126</v>
      </c>
      <c r="I48" s="47"/>
      <c r="J48" s="4">
        <f>IF(G48="17-21",S48,R48)+IF(OR(H48="Junior",H48="Senior"),0.0002,IF(OR(H48="L7",H48="L6"),0.0001,0))+IF(G48="17-21",MAX(AA48,AC48,AF48),AE48)*0.0000001</f>
        <v>88.510099999999994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>P</v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>P</v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>P</v>
      </c>
      <c r="Q48" s="52" t="str">
        <f>IF(A48&lt;5,IF(_xlfn.MAXIFS(A:A,G:G,G48)&gt;3,5-A48,_xlfn.MAXIFS(A:A,G:G,G48)+1-A48),"")</f>
        <v/>
      </c>
      <c r="R48" s="4">
        <f>MAX(X48,AE48)</f>
        <v>88.509999999999991</v>
      </c>
      <c r="S48" s="4">
        <f>MAX(T48,V48,Y48,AA48,AC48,AF48)</f>
        <v>47.78</v>
      </c>
      <c r="T48" s="33">
        <v>40.729999999999997</v>
      </c>
      <c r="U48" s="41">
        <v>0</v>
      </c>
      <c r="V48" s="34">
        <v>47.78</v>
      </c>
      <c r="W48" s="41">
        <v>9.7999999999999989</v>
      </c>
      <c r="X48" s="4">
        <f>IF(H48="Senior",MAX(T48,V48),T48+V48)</f>
        <v>88.509999999999991</v>
      </c>
      <c r="Y48" s="34">
        <v>44.08</v>
      </c>
      <c r="Z48" s="41">
        <v>9</v>
      </c>
      <c r="AA48" s="33"/>
      <c r="AB48" s="41"/>
      <c r="AC48" s="34"/>
      <c r="AD48" s="41"/>
      <c r="AE48" s="4">
        <f>IF(H48="Senior",MAX(AA48,AC48),AA48+AC48)</f>
        <v>0</v>
      </c>
      <c r="AF48" s="34"/>
      <c r="AG48" s="37"/>
    </row>
    <row r="49" spans="1:33" x14ac:dyDescent="0.2">
      <c r="A49" s="1" t="str" cm="1">
        <f t="array" ref="A49">IF(I49="","",IF(P49&lt;&gt;"",SUMPRODUCT((P$3:P$77&lt;&gt;"")*(G$3:G$77=G49)*(J$3:J$77&gt;J49)*(I$3:I$77="P"))+1,IF(O49&lt;&gt;"",SUMPRODUCT((O$3:O$77&lt;&gt;"")*(P$3:P$77="")*(G$3:G$77=G49)*(J$3:J$77&gt;J49)*(I$3:I$77="P"))+SUMPRODUCT((P$3:P$77&lt;&gt;"")*(G$3:G$77=G49))+1,IF(N49&lt;&gt;"",SUMPRODUCT((N$3:N$77&lt;&gt;"")*(G$3:G$77=G49)*(J$3:J$77&gt;J49)*(I$3:I$77="P"))+1,IF(M49="P",SUMPRODUCT((O$3:O$77&lt;&gt;"")*(P$3:P$77="")*(G$3:G$77=G49)*(I$3:I$77="P"))+SUMPRODUCT((P$3:P$77&lt;&gt;"")*(G$3:G$77=G49)*(I$3:I$77="P"))+SUMPRODUCT((N$3:N$77&lt;&gt;"")*(G$3:G$77=G49)*(I$3:I$77="P"))+SUMPRODUCT((P$3:P$77="")*(O$3:O$77="")*(N$3:N$77="")*(M$3:M$77="P")*(G$3:G$77=G49)*(J$3:J$77&gt;J49)*(I$3:I$77="P"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+1,""))))</f>
        <v/>
      </c>
      <c r="C49" s="36" t="s">
        <v>247</v>
      </c>
      <c r="D49" s="51" t="str">
        <f>IF(E49="","",VLOOKUP(E49,'Coaching Points'!A:B,2,0))</f>
        <v>QC</v>
      </c>
      <c r="E49" s="36" t="s">
        <v>192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1" t="s">
        <v>125</v>
      </c>
      <c r="I49" s="47"/>
      <c r="J49" s="4">
        <f>IF(G49="17-21",S49,R49)+IF(OR(H49="Junior",H49="Senior"),0.0002,IF(OR(H49="L7",H49="L6"),0.0001,0))+IF(G49="17-21",MAX(AA49,AC49,AF49),AE49)*0.0000001</f>
        <v>87.15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52" t="str">
        <f>IF(A49&lt;5,IF(_xlfn.MAXIFS(A:A,G:G,G49)&gt;3,5-A49,_xlfn.MAXIFS(A:A,G:G,G49)+1-A49),"")</f>
        <v/>
      </c>
      <c r="R49" s="4">
        <f>MAX(X49,AE49)</f>
        <v>87.15</v>
      </c>
      <c r="S49" s="4">
        <f>MAX(T49,V49,Y49,AA49,AC49,AF49)</f>
        <v>47.6</v>
      </c>
      <c r="T49" s="33">
        <v>40.42</v>
      </c>
      <c r="U49" s="41">
        <v>0</v>
      </c>
      <c r="V49" s="34">
        <v>46.73</v>
      </c>
      <c r="W49" s="41">
        <v>7.1</v>
      </c>
      <c r="X49" s="4">
        <f>IF(H49="Senior",MAX(T49,V49),T49+V49)</f>
        <v>87.15</v>
      </c>
      <c r="Y49" s="34">
        <v>47.6</v>
      </c>
      <c r="Z49" s="41">
        <v>7.1</v>
      </c>
      <c r="AA49" s="33"/>
      <c r="AB49" s="41"/>
      <c r="AC49" s="34"/>
      <c r="AD49" s="41"/>
      <c r="AE49" s="4">
        <f>IF(H49="Senior",MAX(AA49,AC49),AA49+AC49)</f>
        <v>0</v>
      </c>
      <c r="AF49" s="34"/>
      <c r="AG49" s="37"/>
    </row>
    <row r="50" spans="1:33" x14ac:dyDescent="0.2">
      <c r="A50" s="1" t="str" cm="1">
        <f t="array" ref="A50">IF(I50="","",IF(P50&lt;&gt;"",SUMPRODUCT((P$3:P$77&lt;&gt;"")*(G$3:G$77=G50)*(J$3:J$77&gt;J50)*(I$3:I$77="P"))+1,IF(O50&lt;&gt;"",SUMPRODUCT((O$3:O$77&lt;&gt;"")*(P$3:P$77="")*(G$3:G$77=G50)*(J$3:J$77&gt;J50)*(I$3:I$77="P"))+SUMPRODUCT((P$3:P$77&lt;&gt;"")*(G$3:G$77=G50))+1,IF(N50&lt;&gt;"",SUMPRODUCT((N$3:N$77&lt;&gt;"")*(G$3:G$77=G50)*(J$3:J$77&gt;J50)*(I$3:I$77="P"))+1,IF(M50="P",SUMPRODUCT((O$3:O$77&lt;&gt;"")*(P$3:P$77="")*(G$3:G$77=G50)*(I$3:I$77="P"))+SUMPRODUCT((P$3:P$77&lt;&gt;"")*(G$3:G$77=G50)*(I$3:I$77="P"))+SUMPRODUCT((N$3:N$77&lt;&gt;"")*(G$3:G$77=G50)*(I$3:I$77="P"))+SUMPRODUCT((P$3:P$77="")*(O$3:O$77="")*(N$3:N$77="")*(M$3:M$77="P")*(G$3:G$77=G50)*(J$3:J$77&gt;J50)*(I$3:I$77="P"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+1,""))))</f>
        <v/>
      </c>
      <c r="C50" s="36" t="s">
        <v>293</v>
      </c>
      <c r="D50" s="51" t="str">
        <f>IF(E50="","",VLOOKUP(E50,'Coaching Points'!A:B,2,0))</f>
        <v>ON</v>
      </c>
      <c r="E50" s="36" t="s">
        <v>237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1" t="s">
        <v>126</v>
      </c>
      <c r="I50" s="47"/>
      <c r="J50" s="4">
        <f>IF(G50="17-21",S50,R50)+IF(OR(H50="Junior",H50="Senior"),0.0002,IF(OR(H50="L7",H50="L6"),0.0001,0))+IF(G50="17-21",MAX(AA50,AC50,AF50),AE50)*0.0000001</f>
        <v>86.610100000000017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52" t="str">
        <f>IF(A50&lt;5,IF(_xlfn.MAXIFS(A:A,G:G,G50)&gt;3,5-A50,_xlfn.MAXIFS(A:A,G:G,G50)+1-A50),"")</f>
        <v/>
      </c>
      <c r="R50" s="4">
        <f>MAX(X50,AE50)</f>
        <v>86.610000000000014</v>
      </c>
      <c r="S50" s="4">
        <f>MAX(T50,V50,Y50,AA50,AC50,AF50)</f>
        <v>45.820000000000007</v>
      </c>
      <c r="T50" s="33">
        <v>40.79</v>
      </c>
      <c r="U50" s="41">
        <v>0</v>
      </c>
      <c r="V50" s="34">
        <v>45.820000000000007</v>
      </c>
      <c r="W50" s="41">
        <v>8.1999999999999993</v>
      </c>
      <c r="X50" s="4">
        <f>IF(H50="Senior",MAX(T50,V50),T50+V50)</f>
        <v>86.610000000000014</v>
      </c>
      <c r="Y50" s="34">
        <v>44.89</v>
      </c>
      <c r="Z50" s="41">
        <v>8.1999999999999993</v>
      </c>
      <c r="AA50" s="33"/>
      <c r="AB50" s="41"/>
      <c r="AC50" s="34"/>
      <c r="AD50" s="41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$77&lt;&gt;"")*(G$3:G$77=G51)*(J$3:J$77&gt;J51)*(I$3:I$77="P"))+1,IF(O51&lt;&gt;"",SUMPRODUCT((O$3:O$77&lt;&gt;"")*(P$3:P$77="")*(G$3:G$77=G51)*(J$3:J$77&gt;J51)*(I$3:I$77="P"))+SUMPRODUCT((P$3:P$77&lt;&gt;"")*(G$3:G$77=G51))+1,IF(N51&lt;&gt;"",SUMPRODUCT((N$3:N$77&lt;&gt;"")*(G$3:G$77=G51)*(J$3:J$77&gt;J51)*(I$3:I$77="P"))+1,IF(M51="P",SUMPRODUCT((O$3:O$77&lt;&gt;"")*(P$3:P$77="")*(G$3:G$77=G51)*(I$3:I$77="P"))+SUMPRODUCT((P$3:P$77&lt;&gt;"")*(G$3:G$77=G51)*(I$3:I$77="P"))+SUMPRODUCT((N$3:N$77&lt;&gt;"")*(G$3:G$77=G51)*(I$3:I$77="P"))+SUMPRODUCT((P$3:P$77="")*(O$3:O$77="")*(N$3:N$77="")*(M$3:M$77="P")*(G$3:G$77=G51)*(J$3:J$77&gt;J51)*(I$3:I$77="P"))+1,"")))))</f>
        <v/>
      </c>
      <c r="B51" s="1" t="str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+1,""))))</f>
        <v/>
      </c>
      <c r="C51" s="36" t="s">
        <v>248</v>
      </c>
      <c r="D51" s="51" t="str">
        <f>IF(E51="","",VLOOKUP(E51,'Coaching Points'!A:B,2,0))</f>
        <v>ON</v>
      </c>
      <c r="E51" s="36" t="s">
        <v>39</v>
      </c>
      <c r="F51" s="35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1" t="s">
        <v>125</v>
      </c>
      <c r="I51" s="47"/>
      <c r="J51" s="4">
        <f>IF(G51="17-21",S51,R51)+IF(OR(H51="Junior",H51="Senior"),0.0002,IF(OR(H51="L7",H51="L6"),0.0001,0))+IF(G51="17-21",MAX(AA51,AC51,AF51),AE51)*0.0000001</f>
        <v>86.57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52" t="str">
        <f>IF(A51&lt;5,IF(_xlfn.MAXIFS(A:A,G:G,G51)&gt;3,5-A51,_xlfn.MAXIFS(A:A,G:G,G51)+1-A51),"")</f>
        <v/>
      </c>
      <c r="R51" s="4">
        <f>MAX(X51,AE51)</f>
        <v>86.57</v>
      </c>
      <c r="S51" s="4">
        <f>MAX(T51,V51,Y51,AA51,AC51,AF51)</f>
        <v>46.42</v>
      </c>
      <c r="T51" s="33">
        <v>40.15</v>
      </c>
      <c r="U51" s="41">
        <v>0</v>
      </c>
      <c r="V51" s="34">
        <v>46.42</v>
      </c>
      <c r="W51" s="41">
        <v>8.1999999999999993</v>
      </c>
      <c r="X51" s="4">
        <f>IF(H51="Senior",MAX(T51,V51),T51+V51)</f>
        <v>86.57</v>
      </c>
      <c r="Y51" s="34">
        <v>46.25</v>
      </c>
      <c r="Z51" s="41">
        <v>8.1999999999999993</v>
      </c>
      <c r="AA51" s="33"/>
      <c r="AB51" s="41"/>
      <c r="AC51" s="34"/>
      <c r="AD51" s="41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$77&lt;&gt;"")*(G$3:G$77=G52)*(J$3:J$77&gt;J52)*(I$3:I$77="P"))+1,IF(O52&lt;&gt;"",SUMPRODUCT((O$3:O$77&lt;&gt;"")*(P$3:P$77="")*(G$3:G$77=G52)*(J$3:J$77&gt;J52)*(I$3:I$77="P"))+SUMPRODUCT((P$3:P$77&lt;&gt;"")*(G$3:G$77=G52))+1,IF(N52&lt;&gt;"",SUMPRODUCT((N$3:N$77&lt;&gt;"")*(G$3:G$77=G52)*(J$3:J$77&gt;J52)*(I$3:I$77="P"))+1,IF(M52="P",SUMPRODUCT((O$3:O$77&lt;&gt;"")*(P$3:P$77="")*(G$3:G$77=G52)*(I$3:I$77="P"))+SUMPRODUCT((P$3:P$77&lt;&gt;"")*(G$3:G$77=G52)*(I$3:I$77="P"))+SUMPRODUCT((N$3:N$77&lt;&gt;"")*(G$3:G$77=G52)*(I$3:I$77="P"))+SUMPRODUCT((P$3:P$77="")*(O$3:O$77="")*(N$3:N$77="")*(M$3:M$77="P")*(G$3:G$77=G52)*(J$3:J$77&gt;J52)*(I$3:I$77="P"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+1,""))))</f>
        <v/>
      </c>
      <c r="C52" s="36" t="s">
        <v>250</v>
      </c>
      <c r="D52" s="51" t="str">
        <f>IF(E52="","",VLOOKUP(E52,'Coaching Points'!A:B,2,0))</f>
        <v>QC</v>
      </c>
      <c r="E52" s="36" t="s">
        <v>70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1" t="s">
        <v>125</v>
      </c>
      <c r="I52" s="47"/>
      <c r="J52" s="4">
        <f>IF(G52="17-21",S52,R52)+IF(OR(H52="Junior",H52="Senior"),0.0002,IF(OR(H52="L7",H52="L6"),0.0001,0))+IF(G52="17-21",MAX(AA52,AC52,AF52),AE52)*0.0000001</f>
        <v>86.1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52" t="str">
        <f>IF(A52&lt;5,IF(_xlfn.MAXIFS(A:A,G:G,G52)&gt;3,5-A52,_xlfn.MAXIFS(A:A,G:G,G52)+1-A52),"")</f>
        <v/>
      </c>
      <c r="R52" s="4">
        <f>MAX(X52,AE52)</f>
        <v>86.1</v>
      </c>
      <c r="S52" s="4">
        <f>MAX(T52,V52,Y52,AA52,AC52,AF52)</f>
        <v>45.91</v>
      </c>
      <c r="T52" s="33">
        <v>40.19</v>
      </c>
      <c r="U52" s="41">
        <v>0</v>
      </c>
      <c r="V52" s="34">
        <v>45.91</v>
      </c>
      <c r="W52" s="41">
        <v>7.7</v>
      </c>
      <c r="X52" s="4">
        <f>IF(H52="Senior",MAX(T52,V52),T52+V52)</f>
        <v>86.1</v>
      </c>
      <c r="Y52" s="34">
        <v>45.79</v>
      </c>
      <c r="Z52" s="41">
        <v>7.7</v>
      </c>
      <c r="AA52" s="33"/>
      <c r="AB52" s="41"/>
      <c r="AC52" s="34"/>
      <c r="AD52" s="41"/>
      <c r="AE52" s="4">
        <f>IF(H52="Senior",MAX(AA52,AC52),AA52+AC52)</f>
        <v>0</v>
      </c>
      <c r="AF52" s="34"/>
      <c r="AG52" s="37"/>
    </row>
    <row r="53" spans="1:33" x14ac:dyDescent="0.2">
      <c r="A53" s="1" t="str" cm="1">
        <f t="array" ref="A53">IF(I53="","",IF(P53&lt;&gt;"",SUMPRODUCT((P$3:P$77&lt;&gt;"")*(G$3:G$77=G53)*(J$3:J$77&gt;J53)*(I$3:I$77="P"))+1,IF(O53&lt;&gt;"",SUMPRODUCT((O$3:O$77&lt;&gt;"")*(P$3:P$77="")*(G$3:G$77=G53)*(J$3:J$77&gt;J53)*(I$3:I$77="P"))+SUMPRODUCT((P$3:P$77&lt;&gt;"")*(G$3:G$77=G53))+1,IF(N53&lt;&gt;"",SUMPRODUCT((N$3:N$77&lt;&gt;"")*(G$3:G$77=G53)*(J$3:J$77&gt;J53)*(I$3:I$77="P"))+1,IF(M53="P",SUMPRODUCT((O$3:O$77&lt;&gt;"")*(P$3:P$77="")*(G$3:G$77=G53)*(I$3:I$77="P"))+SUMPRODUCT((P$3:P$77&lt;&gt;"")*(G$3:G$77=G53)*(I$3:I$77="P"))+SUMPRODUCT((N$3:N$77&lt;&gt;"")*(G$3:G$77=G53)*(I$3:I$77="P"))+SUMPRODUCT((P$3:P$77="")*(O$3:O$77="")*(N$3:N$77="")*(M$3:M$77="P")*(G$3:G$77=G53)*(J$3:J$77&gt;J53)*(I$3:I$77="P"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+1,""))))</f>
        <v/>
      </c>
      <c r="C53" s="36" t="s">
        <v>249</v>
      </c>
      <c r="D53" s="51" t="str">
        <f>IF(E53="","",VLOOKUP(E53,'Coaching Points'!A:B,2,0))</f>
        <v>AB</v>
      </c>
      <c r="E53" s="36" t="s">
        <v>29</v>
      </c>
      <c r="F53" s="35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1" t="s">
        <v>125</v>
      </c>
      <c r="I53" s="47"/>
      <c r="J53" s="4">
        <f>IF(G53="17-21",S53,R53)+IF(OR(H53="Junior",H53="Senior"),0.0002,IF(OR(H53="L7",H53="L6"),0.0001,0))+IF(G53="17-21",MAX(AA53,AC53,AF53),AE53)*0.0000001</f>
        <v>83.79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52" t="str">
        <f>IF(A53&lt;5,IF(_xlfn.MAXIFS(A:A,G:G,G53)&gt;3,5-A53,_xlfn.MAXIFS(A:A,G:G,G53)+1-A53),"")</f>
        <v/>
      </c>
      <c r="R53" s="4">
        <f>MAX(X53,AE53)</f>
        <v>83.79</v>
      </c>
      <c r="S53" s="4">
        <f>MAX(T53,V53,Y53,AA53,AC53,AF53)</f>
        <v>45.94</v>
      </c>
      <c r="T53" s="33">
        <v>39.090000000000003</v>
      </c>
      <c r="U53" s="41">
        <v>0</v>
      </c>
      <c r="V53" s="34">
        <v>44.7</v>
      </c>
      <c r="W53" s="41">
        <v>7.1</v>
      </c>
      <c r="X53" s="4">
        <f>IF(H53="Senior",MAX(T53,V53),T53+V53)</f>
        <v>83.79</v>
      </c>
      <c r="Y53" s="34">
        <v>45.94</v>
      </c>
      <c r="Z53" s="41">
        <v>7.1</v>
      </c>
      <c r="AA53" s="33"/>
      <c r="AB53" s="41"/>
      <c r="AC53" s="34"/>
      <c r="AD53" s="41"/>
      <c r="AE53" s="4">
        <f>IF(H53="Senior",MAX(AA53,AC53),AA53+AC53)</f>
        <v>0</v>
      </c>
      <c r="AF53" s="34"/>
      <c r="AG53" s="37"/>
    </row>
    <row r="54" spans="1:33" x14ac:dyDescent="0.2">
      <c r="A54" s="1" t="str" cm="1">
        <f t="array" ref="A54">IF(I54="","",IF(P54&lt;&gt;"",SUMPRODUCT((P$3:P$77&lt;&gt;"")*(G$3:G$77=G54)*(J$3:J$77&gt;J54)*(I$3:I$77="P"))+1,IF(O54&lt;&gt;"",SUMPRODUCT((O$3:O$77&lt;&gt;"")*(P$3:P$77="")*(G$3:G$77=G54)*(J$3:J$77&gt;J54)*(I$3:I$77="P"))+SUMPRODUCT((P$3:P$77&lt;&gt;"")*(G$3:G$77=G54))+1,IF(N54&lt;&gt;"",SUMPRODUCT((N$3:N$77&lt;&gt;"")*(G$3:G$77=G54)*(J$3:J$77&gt;J54)*(I$3:I$77="P"))+1,IF(M54="P",SUMPRODUCT((O$3:O$77&lt;&gt;"")*(P$3:P$77="")*(G$3:G$77=G54)*(I$3:I$77="P"))+SUMPRODUCT((P$3:P$77&lt;&gt;"")*(G$3:G$77=G54)*(I$3:I$77="P"))+SUMPRODUCT((N$3:N$77&lt;&gt;"")*(G$3:G$77=G54)*(I$3:I$77="P"))+SUMPRODUCT((P$3:P$77="")*(O$3:O$77="")*(N$3:N$77="")*(M$3:M$77="P")*(G$3:G$77=G54)*(J$3:J$77&gt;J54)*(I$3:I$77="P"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+1,""))))</f>
        <v/>
      </c>
      <c r="C54" s="36" t="s">
        <v>254</v>
      </c>
      <c r="D54" s="51" t="str">
        <f>IF(E54="","",VLOOKUP(E54,'Coaching Points'!A:B,2,0))</f>
        <v>ON</v>
      </c>
      <c r="E54" s="36" t="s">
        <v>152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1" t="s">
        <v>125</v>
      </c>
      <c r="I54" s="47"/>
      <c r="J54" s="4">
        <f>IF(G54="17-21",S54,R54)+IF(OR(H54="Junior",H54="Senior"),0.0002,IF(OR(H54="L7",H54="L6"),0.0001,0))+IF(G54="17-21",MAX(AA54,AC54,AF54),AE54)*0.0000001</f>
        <v>83.300000000000011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52" t="str">
        <f>IF(A54&lt;5,IF(_xlfn.MAXIFS(A:A,G:G,G54)&gt;3,5-A54,_xlfn.MAXIFS(A:A,G:G,G54)+1-A54),"")</f>
        <v/>
      </c>
      <c r="R54" s="4">
        <f>MAX(X54,AE54)</f>
        <v>83.300000000000011</v>
      </c>
      <c r="S54" s="4">
        <f>MAX(T54,V54,Y54,AA54,AC54,AF54)</f>
        <v>44.230000000000004</v>
      </c>
      <c r="T54" s="33">
        <v>39.24</v>
      </c>
      <c r="U54" s="41">
        <v>0</v>
      </c>
      <c r="V54" s="34">
        <v>44.06</v>
      </c>
      <c r="W54" s="41">
        <v>7.5</v>
      </c>
      <c r="X54" s="4">
        <f>IF(H54="Senior",MAX(T54,V54),T54+V54)</f>
        <v>83.300000000000011</v>
      </c>
      <c r="Y54" s="34">
        <v>44.230000000000004</v>
      </c>
      <c r="Z54" s="41">
        <v>7</v>
      </c>
      <c r="AA54" s="33"/>
      <c r="AB54" s="41"/>
      <c r="AC54" s="34"/>
      <c r="AD54" s="41"/>
      <c r="AE54" s="4">
        <f>IF(H54="Senior",MAX(AA54,AC54),AA54+AC54)</f>
        <v>0</v>
      </c>
      <c r="AF54" s="34"/>
      <c r="AG54" s="37"/>
    </row>
    <row r="55" spans="1:33" x14ac:dyDescent="0.2">
      <c r="A55" s="1" t="str" cm="1">
        <f t="array" ref="A55">IF(I55="","",IF(P55&lt;&gt;"",SUMPRODUCT((P$3:P$77&lt;&gt;"")*(G$3:G$77=G55)*(J$3:J$77&gt;J55)*(I$3:I$77="P"))+1,IF(O55&lt;&gt;"",SUMPRODUCT((O$3:O$77&lt;&gt;"")*(P$3:P$77="")*(G$3:G$77=G55)*(J$3:J$77&gt;J55)*(I$3:I$77="P"))+SUMPRODUCT((P$3:P$77&lt;&gt;"")*(G$3:G$77=G55))+1,IF(N55&lt;&gt;"",SUMPRODUCT((N$3:N$77&lt;&gt;"")*(G$3:G$77=G55)*(J$3:J$77&gt;J55)*(I$3:I$77="P"))+1,IF(M55="P",SUMPRODUCT((O$3:O$77&lt;&gt;"")*(P$3:P$77="")*(G$3:G$77=G55)*(I$3:I$77="P"))+SUMPRODUCT((P$3:P$77&lt;&gt;"")*(G$3:G$77=G55)*(I$3:I$77="P"))+SUMPRODUCT((N$3:N$77&lt;&gt;"")*(G$3:G$77=G55)*(I$3:I$77="P"))+SUMPRODUCT((P$3:P$77="")*(O$3:O$77="")*(N$3:N$77="")*(M$3:M$77="P")*(G$3:G$77=G55)*(J$3:J$77&gt;J55)*(I$3:I$77="P"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+1,""))))</f>
        <v/>
      </c>
      <c r="C55" s="36" t="s">
        <v>252</v>
      </c>
      <c r="D55" s="51" t="str">
        <f>IF(E55="","",VLOOKUP(E55,'Coaching Points'!A:B,2,0))</f>
        <v>SK</v>
      </c>
      <c r="E55" s="36" t="s">
        <v>79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1" t="s">
        <v>125</v>
      </c>
      <c r="I55" s="47"/>
      <c r="J55" s="4">
        <f>IF(G55="17-21",S55,R55)+IF(OR(H55="Junior",H55="Senior"),0.0002,IF(OR(H55="L7",H55="L6"),0.0001,0))+IF(G55="17-21",MAX(AA55,AC55,AF55),AE55)*0.0000001</f>
        <v>82.75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>P</v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52" t="str">
        <f>IF(A55&lt;5,IF(_xlfn.MAXIFS(A:A,G:G,G55)&gt;3,5-A55,_xlfn.MAXIFS(A:A,G:G,G55)+1-A55),"")</f>
        <v/>
      </c>
      <c r="R55" s="4">
        <f>MAX(X55,AE55)</f>
        <v>82.75</v>
      </c>
      <c r="S55" s="4">
        <f>MAX(T55,V55,Y55,AA55,AC55,AF55)</f>
        <v>45.67</v>
      </c>
      <c r="T55" s="33">
        <v>37.6</v>
      </c>
      <c r="U55" s="41">
        <v>0</v>
      </c>
      <c r="V55" s="34">
        <v>45.15</v>
      </c>
      <c r="W55" s="41">
        <v>8.7999999999999989</v>
      </c>
      <c r="X55" s="4">
        <f>IF(H55="Senior",MAX(T55,V55),T55+V55)</f>
        <v>82.75</v>
      </c>
      <c r="Y55" s="34">
        <v>45.67</v>
      </c>
      <c r="Z55" s="41">
        <v>8.7999999999999989</v>
      </c>
      <c r="AA55" s="33"/>
      <c r="AB55" s="41"/>
      <c r="AC55" s="34"/>
      <c r="AD55" s="41"/>
      <c r="AE55" s="4">
        <f>IF(H55="Senior",MAX(AA55,AC55),AA55+AC55)</f>
        <v>0</v>
      </c>
      <c r="AF55" s="34"/>
      <c r="AG55" s="37"/>
    </row>
    <row r="56" spans="1:33" x14ac:dyDescent="0.2">
      <c r="A56" s="1" t="str" cm="1">
        <f t="array" ref="A56">IF(I56="","",IF(P56&lt;&gt;"",SUMPRODUCT((P$3:P$77&lt;&gt;"")*(G$3:G$77=G56)*(J$3:J$77&gt;J56)*(I$3:I$77="P"))+1,IF(O56&lt;&gt;"",SUMPRODUCT((O$3:O$77&lt;&gt;"")*(P$3:P$77="")*(G$3:G$77=G56)*(J$3:J$77&gt;J56)*(I$3:I$77="P"))+SUMPRODUCT((P$3:P$77&lt;&gt;"")*(G$3:G$77=G56))+1,IF(N56&lt;&gt;"",SUMPRODUCT((N$3:N$77&lt;&gt;"")*(G$3:G$77=G56)*(J$3:J$77&gt;J56)*(I$3:I$77="P"))+1,IF(M56="P",SUMPRODUCT((O$3:O$77&lt;&gt;"")*(P$3:P$77="")*(G$3:G$77=G56)*(I$3:I$77="P"))+SUMPRODUCT((P$3:P$77&lt;&gt;"")*(G$3:G$77=G56)*(I$3:I$77="P"))+SUMPRODUCT((N$3:N$77&lt;&gt;"")*(G$3:G$77=G56)*(I$3:I$77="P"))+SUMPRODUCT((P$3:P$77="")*(O$3:O$77="")*(N$3:N$77="")*(M$3:M$77="P")*(G$3:G$77=G56)*(J$3:J$77&gt;J56)*(I$3:I$77="P"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+1,""))))</f>
        <v/>
      </c>
      <c r="C56" s="36" t="s">
        <v>253</v>
      </c>
      <c r="D56" s="51" t="str">
        <f>IF(E56="","",VLOOKUP(E56,'Coaching Points'!A:B,2,0))</f>
        <v>QC</v>
      </c>
      <c r="E56" s="36" t="s">
        <v>377</v>
      </c>
      <c r="F56" s="35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1" t="s">
        <v>125</v>
      </c>
      <c r="I56" s="47"/>
      <c r="J56" s="4">
        <f>IF(G56="17-21",S56,R56)+IF(OR(H56="Junior",H56="Senior"),0.0002,IF(OR(H56="L7",H56="L6"),0.0001,0))+IF(G56="17-21",MAX(AA56,AC56,AF56),AE56)*0.0000001</f>
        <v>82.69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52" t="str">
        <f>IF(A56&lt;5,IF(_xlfn.MAXIFS(A:A,G:G,G56)&gt;3,5-A56,_xlfn.MAXIFS(A:A,G:G,G56)+1-A56),"")</f>
        <v/>
      </c>
      <c r="R56" s="4">
        <f>MAX(X56,AE56)</f>
        <v>82.69</v>
      </c>
      <c r="S56" s="4">
        <f>MAX(T56,V56,Y56,AA56,AC56,AF56)</f>
        <v>44.43</v>
      </c>
      <c r="T56" s="33">
        <v>38.26</v>
      </c>
      <c r="U56" s="41">
        <v>0</v>
      </c>
      <c r="V56" s="34">
        <v>44.43</v>
      </c>
      <c r="W56" s="41">
        <v>7.0999999999999988</v>
      </c>
      <c r="X56" s="4">
        <f>IF(H56="Senior",MAX(T56,V56),T56+V56)</f>
        <v>82.69</v>
      </c>
      <c r="Y56" s="34">
        <v>44.269999999999996</v>
      </c>
      <c r="Z56" s="41">
        <v>7.0999999999999988</v>
      </c>
      <c r="AA56" s="33"/>
      <c r="AB56" s="41"/>
      <c r="AC56" s="34"/>
      <c r="AD56" s="41"/>
      <c r="AE56" s="4">
        <f>IF(H56="Senior",MAX(AA56,AC56),AA56+AC56)</f>
        <v>0</v>
      </c>
      <c r="AF56" s="34"/>
      <c r="AG56" s="37"/>
    </row>
    <row r="57" spans="1:33" x14ac:dyDescent="0.2">
      <c r="A57" s="1" t="str" cm="1">
        <f t="array" ref="A57">IF(I57="","",IF(P57&lt;&gt;"",SUMPRODUCT((P$3:P$77&lt;&gt;"")*(G$3:G$77=G57)*(J$3:J$77&gt;J57)*(I$3:I$77="P"))+1,IF(O57&lt;&gt;"",SUMPRODUCT((O$3:O$77&lt;&gt;"")*(P$3:P$77="")*(G$3:G$77=G57)*(J$3:J$77&gt;J57)*(I$3:I$77="P"))+SUMPRODUCT((P$3:P$77&lt;&gt;"")*(G$3:G$77=G57))+1,IF(N57&lt;&gt;"",SUMPRODUCT((N$3:N$77&lt;&gt;"")*(G$3:G$77=G57)*(J$3:J$77&gt;J57)*(I$3:I$77="P"))+1,IF(M57="P",SUMPRODUCT((O$3:O$77&lt;&gt;"")*(P$3:P$77="")*(G$3:G$77=G57)*(I$3:I$77="P"))+SUMPRODUCT((P$3:P$77&lt;&gt;"")*(G$3:G$77=G57)*(I$3:I$77="P"))+SUMPRODUCT((N$3:N$77&lt;&gt;"")*(G$3:G$77=G57)*(I$3:I$77="P"))+SUMPRODUCT((P$3:P$77="")*(O$3:O$77="")*(N$3:N$77="")*(M$3:M$77="P")*(G$3:G$77=G57)*(J$3:J$77&gt;J57)*(I$3:I$77="P"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+1,""))))</f>
        <v/>
      </c>
      <c r="C57" s="36" t="s">
        <v>256</v>
      </c>
      <c r="D57" s="51" t="str">
        <f>IF(E57="","",VLOOKUP(E57,'Coaching Points'!A:B,2,0))</f>
        <v>SK</v>
      </c>
      <c r="E57" s="36" t="s">
        <v>47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1" t="s">
        <v>125</v>
      </c>
      <c r="I57" s="47"/>
      <c r="J57" s="4">
        <f>IF(G57="17-21",S57,R57)+IF(OR(H57="Junior",H57="Senior"),0.0002,IF(OR(H57="L7",H57="L6"),0.0001,0))+IF(G57="17-21",MAX(AA57,AC57,AF57),AE57)*0.0000001</f>
        <v>82.53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52" t="str">
        <f>IF(A57&lt;5,IF(_xlfn.MAXIFS(A:A,G:G,G57)&gt;3,5-A57,_xlfn.MAXIFS(A:A,G:G,G57)+1-A57),"")</f>
        <v/>
      </c>
      <c r="R57" s="4">
        <f>MAX(X57,AE57)</f>
        <v>82.53</v>
      </c>
      <c r="S57" s="4">
        <f>MAX(T57,V57,Y57,AA57,AC57,AF57)</f>
        <v>43.91</v>
      </c>
      <c r="T57" s="33">
        <v>38.619999999999997</v>
      </c>
      <c r="U57" s="41">
        <v>0</v>
      </c>
      <c r="V57" s="34">
        <v>43.91</v>
      </c>
      <c r="W57" s="41">
        <v>8.8999999999999986</v>
      </c>
      <c r="X57" s="4">
        <f>IF(H57="Senior",MAX(T57,V57),T57+V57)</f>
        <v>82.53</v>
      </c>
      <c r="Y57" s="34">
        <v>14.16</v>
      </c>
      <c r="Z57" s="41">
        <v>3.6</v>
      </c>
      <c r="AA57" s="33"/>
      <c r="AB57" s="41"/>
      <c r="AC57" s="34"/>
      <c r="AD57" s="41"/>
      <c r="AE57" s="4">
        <f>IF(H57="Senior",MAX(AA57,AC57),AA57+AC57)</f>
        <v>0</v>
      </c>
      <c r="AF57" s="34"/>
      <c r="AG57" s="37"/>
    </row>
    <row r="58" spans="1:33" x14ac:dyDescent="0.2">
      <c r="A58" s="1" t="str" cm="1">
        <f t="array" ref="A58">IF(I58="","",IF(P58&lt;&gt;"",SUMPRODUCT((P$3:P$77&lt;&gt;"")*(G$3:G$77=G58)*(J$3:J$77&gt;J58)*(I$3:I$77="P"))+1,IF(O58&lt;&gt;"",SUMPRODUCT((O$3:O$77&lt;&gt;"")*(P$3:P$77="")*(G$3:G$77=G58)*(J$3:J$77&gt;J58)*(I$3:I$77="P"))+SUMPRODUCT((P$3:P$77&lt;&gt;"")*(G$3:G$77=G58))+1,IF(N58&lt;&gt;"",SUMPRODUCT((N$3:N$77&lt;&gt;"")*(G$3:G$77=G58)*(J$3:J$77&gt;J58)*(I$3:I$77="P"))+1,IF(M58="P",SUMPRODUCT((O$3:O$77&lt;&gt;"")*(P$3:P$77="")*(G$3:G$77=G58)*(I$3:I$77="P"))+SUMPRODUCT((P$3:P$77&lt;&gt;"")*(G$3:G$77=G58)*(I$3:I$77="P"))+SUMPRODUCT((N$3:N$77&lt;&gt;"")*(G$3:G$77=G58)*(I$3:I$77="P"))+SUMPRODUCT((P$3:P$77="")*(O$3:O$77="")*(N$3:N$77="")*(M$3:M$77="P")*(G$3:G$77=G58)*(J$3:J$77&gt;J58)*(I$3:I$77="P"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+1,""))))</f>
        <v/>
      </c>
      <c r="C58" s="36" t="s">
        <v>251</v>
      </c>
      <c r="D58" s="51" t="str">
        <f>IF(E58="","",VLOOKUP(E58,'Coaching Points'!A:B,2,0))</f>
        <v>ON</v>
      </c>
      <c r="E58" s="36" t="s">
        <v>39</v>
      </c>
      <c r="F58" s="35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1" t="s">
        <v>125</v>
      </c>
      <c r="I58" s="47"/>
      <c r="J58" s="4">
        <f>IF(G58="17-21",S58,R58)+IF(OR(H58="Junior",H58="Senior"),0.0002,IF(OR(H58="L7",H58="L6"),0.0001,0))+IF(G58="17-21",MAX(AA58,AC58,AF58),AE58)*0.0000001</f>
        <v>82.28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52" t="str">
        <f>IF(A58&lt;5,IF(_xlfn.MAXIFS(A:A,G:G,G58)&gt;3,5-A58,_xlfn.MAXIFS(A:A,G:G,G58)+1-A58),"")</f>
        <v/>
      </c>
      <c r="R58" s="4">
        <f>MAX(X58,AE58)</f>
        <v>82.28</v>
      </c>
      <c r="S58" s="4">
        <f>MAX(T58,V58,Y58,AA58,AC58,AF58)</f>
        <v>45.730000000000004</v>
      </c>
      <c r="T58" s="33">
        <v>37.949999999999996</v>
      </c>
      <c r="U58" s="41">
        <v>0</v>
      </c>
      <c r="V58" s="34">
        <v>44.33</v>
      </c>
      <c r="W58" s="41">
        <v>7.6</v>
      </c>
      <c r="X58" s="4">
        <f>IF(H58="Senior",MAX(T58,V58),T58+V58)</f>
        <v>82.28</v>
      </c>
      <c r="Y58" s="34">
        <v>45.730000000000004</v>
      </c>
      <c r="Z58" s="41">
        <v>7.6</v>
      </c>
      <c r="AA58" s="33"/>
      <c r="AB58" s="41"/>
      <c r="AC58" s="34"/>
      <c r="AD58" s="41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$77&lt;&gt;"")*(G$3:G$77=G59)*(J$3:J$77&gt;J59)*(I$3:I$77="P"))+1,IF(O59&lt;&gt;"",SUMPRODUCT((O$3:O$77&lt;&gt;"")*(P$3:P$77="")*(G$3:G$77=G59)*(J$3:J$77&gt;J59)*(I$3:I$77="P"))+SUMPRODUCT((P$3:P$77&lt;&gt;"")*(G$3:G$77=G59))+1,IF(N59&lt;&gt;"",SUMPRODUCT((N$3:N$77&lt;&gt;"")*(G$3:G$77=G59)*(J$3:J$77&gt;J59)*(I$3:I$77="P"))+1,IF(M59="P",SUMPRODUCT((O$3:O$77&lt;&gt;"")*(P$3:P$77="")*(G$3:G$77=G59)*(I$3:I$77="P"))+SUMPRODUCT((P$3:P$77&lt;&gt;"")*(G$3:G$77=G59)*(I$3:I$77="P"))+SUMPRODUCT((N$3:N$77&lt;&gt;"")*(G$3:G$77=G59)*(I$3:I$77="P"))+SUMPRODUCT((P$3:P$77="")*(O$3:O$77="")*(N$3:N$77="")*(M$3:M$77="P")*(G$3:G$77=G59)*(J$3:J$77&gt;J59)*(I$3:I$77="P"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+1,""))))</f>
        <v/>
      </c>
      <c r="C59" s="36" t="s">
        <v>255</v>
      </c>
      <c r="D59" s="51" t="str">
        <f>IF(E59="","",VLOOKUP(E59,'Coaching Points'!A:B,2,0))</f>
        <v>QC</v>
      </c>
      <c r="E59" s="36" t="s">
        <v>192</v>
      </c>
      <c r="F59" s="35">
        <v>2006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1" t="s">
        <v>125</v>
      </c>
      <c r="I59" s="47"/>
      <c r="J59" s="4">
        <f>IF(G59="17-21",S59,R59)+IF(OR(H59="Junior",H59="Senior"),0.0002,IF(OR(H59="L7",H59="L6"),0.0001,0))+IF(G59="17-21",MAX(AA59,AC59,AF59),AE59)*0.0000001</f>
        <v>82.12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52" t="str">
        <f>IF(A59&lt;5,IF(_xlfn.MAXIFS(A:A,G:G,G59)&gt;3,5-A59,_xlfn.MAXIFS(A:A,G:G,G59)+1-A59),"")</f>
        <v/>
      </c>
      <c r="R59" s="4">
        <f>MAX(X59,AE59)</f>
        <v>82.12</v>
      </c>
      <c r="S59" s="4">
        <f>MAX(T59,V59,Y59,AA59,AC59,AF59)</f>
        <v>44.169999999999995</v>
      </c>
      <c r="T59" s="33">
        <v>38.299999999999997</v>
      </c>
      <c r="U59" s="41">
        <v>0</v>
      </c>
      <c r="V59" s="34">
        <v>43.82</v>
      </c>
      <c r="W59" s="41">
        <v>6.9999999999999991</v>
      </c>
      <c r="X59" s="4">
        <f>IF(H59="Senior",MAX(T59,V59),T59+V59)</f>
        <v>82.12</v>
      </c>
      <c r="Y59" s="34">
        <v>44.169999999999995</v>
      </c>
      <c r="Z59" s="41">
        <v>6.9999999999999991</v>
      </c>
      <c r="AA59" s="33"/>
      <c r="AB59" s="41"/>
      <c r="AC59" s="34"/>
      <c r="AD59" s="41"/>
      <c r="AE59" s="4">
        <f>IF(H59="Senior",MAX(AA59,AC59),AA59+AC59)</f>
        <v>0</v>
      </c>
      <c r="AF59" s="34"/>
      <c r="AG59" s="37"/>
    </row>
    <row r="60" spans="1:33" x14ac:dyDescent="0.2">
      <c r="A60" s="1" t="str" cm="1">
        <f t="array" ref="A60">IF(I60="","",IF(P60&lt;&gt;"",SUMPRODUCT((P$3:P$77&lt;&gt;"")*(G$3:G$77=G60)*(J$3:J$77&gt;J60)*(I$3:I$77="P"))+1,IF(O60&lt;&gt;"",SUMPRODUCT((O$3:O$77&lt;&gt;"")*(P$3:P$77="")*(G$3:G$77=G60)*(J$3:J$77&gt;J60)*(I$3:I$77="P"))+SUMPRODUCT((P$3:P$77&lt;&gt;"")*(G$3:G$77=G60))+1,IF(N60&lt;&gt;"",SUMPRODUCT((N$3:N$77&lt;&gt;"")*(G$3:G$77=G60)*(J$3:J$77&gt;J60)*(I$3:I$77="P"))+1,IF(M60="P",SUMPRODUCT((O$3:O$77&lt;&gt;"")*(P$3:P$77="")*(G$3:G$77=G60)*(I$3:I$77="P"))+SUMPRODUCT((P$3:P$77&lt;&gt;"")*(G$3:G$77=G60)*(I$3:I$77="P"))+SUMPRODUCT((N$3:N$77&lt;&gt;"")*(G$3:G$77=G60)*(I$3:I$77="P"))+SUMPRODUCT((P$3:P$77="")*(O$3:O$77="")*(N$3:N$77="")*(M$3:M$77="P")*(G$3:G$77=G60)*(J$3:J$77&gt;J60)*(I$3:I$77="P"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+1,""))))</f>
        <v/>
      </c>
      <c r="C60" s="36" t="s">
        <v>257</v>
      </c>
      <c r="D60" s="51" t="str">
        <f>IF(E60="","",VLOOKUP(E60,'Coaching Points'!A:B,2,0))</f>
        <v>QC</v>
      </c>
      <c r="E60" s="36" t="s">
        <v>208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1" t="s">
        <v>125</v>
      </c>
      <c r="I60" s="47"/>
      <c r="J60" s="4">
        <f>IF(G60="17-21",S60,R60)+IF(OR(H60="Junior",H60="Senior"),0.0002,IF(OR(H60="L7",H60="L6"),0.0001,0))+IF(G60="17-21",MAX(AA60,AC60,AF60),AE60)*0.0000001</f>
        <v>82.08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52" t="str">
        <f>IF(A60&lt;5,IF(_xlfn.MAXIFS(A:A,G:G,G60)&gt;3,5-A60,_xlfn.MAXIFS(A:A,G:G,G60)+1-A60),"")</f>
        <v/>
      </c>
      <c r="R60" s="4">
        <f>MAX(X60,AE60)</f>
        <v>82.08</v>
      </c>
      <c r="S60" s="4">
        <f>MAX(T60,V60,Y60,AA60,AC60,AF60)</f>
        <v>45.15</v>
      </c>
      <c r="T60" s="33">
        <v>36.93</v>
      </c>
      <c r="U60" s="41">
        <v>0</v>
      </c>
      <c r="V60" s="34">
        <v>45.15</v>
      </c>
      <c r="W60" s="41">
        <v>7.1</v>
      </c>
      <c r="X60" s="4">
        <f>IF(H60="Senior",MAX(T60,V60),T60+V60)</f>
        <v>82.08</v>
      </c>
      <c r="Y60" s="34">
        <v>0</v>
      </c>
      <c r="Z60" s="41">
        <v>0</v>
      </c>
      <c r="AA60" s="33"/>
      <c r="AB60" s="41"/>
      <c r="AC60" s="34"/>
      <c r="AD60" s="41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$77&lt;&gt;"")*(G$3:G$77=G61)*(J$3:J$77&gt;J61)*(I$3:I$77="P"))+1,IF(O61&lt;&gt;"",SUMPRODUCT((O$3:O$77&lt;&gt;"")*(P$3:P$77="")*(G$3:G$77=G61)*(J$3:J$77&gt;J61)*(I$3:I$77="P"))+SUMPRODUCT((P$3:P$77&lt;&gt;"")*(G$3:G$77=G61))+1,IF(N61&lt;&gt;"",SUMPRODUCT((N$3:N$77&lt;&gt;"")*(G$3:G$77=G61)*(J$3:J$77&gt;J61)*(I$3:I$77="P"))+1,IF(M61="P",SUMPRODUCT((O$3:O$77&lt;&gt;"")*(P$3:P$77="")*(G$3:G$77=G61)*(I$3:I$77="P"))+SUMPRODUCT((P$3:P$77&lt;&gt;"")*(G$3:G$77=G61)*(I$3:I$77="P"))+SUMPRODUCT((N$3:N$77&lt;&gt;"")*(G$3:G$77=G61)*(I$3:I$77="P"))+SUMPRODUCT((P$3:P$77="")*(O$3:O$77="")*(N$3:N$77="")*(M$3:M$77="P")*(G$3:G$77=G61)*(J$3:J$77&gt;J61)*(I$3:I$77="P"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+1,""))))</f>
        <v/>
      </c>
      <c r="C61" s="36" t="s">
        <v>258</v>
      </c>
      <c r="D61" s="51" t="str">
        <f>IF(E61="","",VLOOKUP(E61,'Coaching Points'!A:B,2,0))</f>
        <v>BC</v>
      </c>
      <c r="E61" s="36" t="s">
        <v>38</v>
      </c>
      <c r="F61" s="35">
        <v>2006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1" t="s">
        <v>125</v>
      </c>
      <c r="I61" s="47"/>
      <c r="J61" s="4">
        <f>IF(G61="17-21",S61,R61)+IF(OR(H61="Junior",H61="Senior"),0.0002,IF(OR(H61="L7",H61="L6"),0.0001,0))+IF(G61="17-21",MAX(AA61,AC61,AF61),AE61)*0.0000001</f>
        <v>80.94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52" t="str">
        <f>IF(A61&lt;5,IF(_xlfn.MAXIFS(A:A,G:G,G61)&gt;3,5-A61,_xlfn.MAXIFS(A:A,G:G,G61)+1-A61),"")</f>
        <v/>
      </c>
      <c r="R61" s="4">
        <f>MAX(X61,AE61)</f>
        <v>80.94</v>
      </c>
      <c r="S61" s="4">
        <f>MAX(T61,V61,Y61,AA61,AC61,AF61)</f>
        <v>44.01</v>
      </c>
      <c r="T61" s="33">
        <v>36.93</v>
      </c>
      <c r="U61" s="41">
        <v>0</v>
      </c>
      <c r="V61" s="34">
        <v>44.01</v>
      </c>
      <c r="W61" s="41">
        <v>8.3999999999999986</v>
      </c>
      <c r="X61" s="4">
        <f>IF(H61="Senior",MAX(T61,V61),T61+V61)</f>
        <v>80.94</v>
      </c>
      <c r="Y61" s="34">
        <v>0</v>
      </c>
      <c r="Z61" s="41">
        <v>0</v>
      </c>
      <c r="AA61" s="33"/>
      <c r="AB61" s="41"/>
      <c r="AC61" s="34"/>
      <c r="AD61" s="41"/>
      <c r="AE61" s="4">
        <f>IF(H61="Senior",MAX(AA61,AC61),AA61+AC61)</f>
        <v>0</v>
      </c>
      <c r="AF61" s="34"/>
      <c r="AG61" s="37"/>
    </row>
    <row r="62" spans="1:33" x14ac:dyDescent="0.2">
      <c r="A62" s="1" t="str" cm="1">
        <f t="array" ref="A62">IF(I62="","",IF(P62&lt;&gt;"",SUMPRODUCT((P$3:P$77&lt;&gt;"")*(G$3:G$77=G62)*(J$3:J$77&gt;J62)*(I$3:I$77="P"))+1,IF(O62&lt;&gt;"",SUMPRODUCT((O$3:O$77&lt;&gt;"")*(P$3:P$77="")*(G$3:G$77=G62)*(J$3:J$77&gt;J62)*(I$3:I$77="P"))+SUMPRODUCT((P$3:P$77&lt;&gt;"")*(G$3:G$77=G62))+1,IF(N62&lt;&gt;"",SUMPRODUCT((N$3:N$77&lt;&gt;"")*(G$3:G$77=G62)*(J$3:J$77&gt;J62)*(I$3:I$77="P"))+1,IF(M62="P",SUMPRODUCT((O$3:O$77&lt;&gt;"")*(P$3:P$77="")*(G$3:G$77=G62)*(I$3:I$77="P"))+SUMPRODUCT((P$3:P$77&lt;&gt;"")*(G$3:G$77=G62)*(I$3:I$77="P"))+SUMPRODUCT((N$3:N$77&lt;&gt;"")*(G$3:G$77=G62)*(I$3:I$77="P"))+SUMPRODUCT((P$3:P$77="")*(O$3:O$77="")*(N$3:N$77="")*(M$3:M$77="P")*(G$3:G$77=G62)*(J$3:J$77&gt;J62)*(I$3:I$77="P"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+1,""))))</f>
        <v/>
      </c>
      <c r="C62" s="36" t="s">
        <v>260</v>
      </c>
      <c r="D62" s="51" t="str">
        <f>IF(E62="","",VLOOKUP(E62,'Coaching Points'!A:B,2,0))</f>
        <v>ON</v>
      </c>
      <c r="E62" s="36" t="s">
        <v>170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1" t="s">
        <v>125</v>
      </c>
      <c r="I62" s="47"/>
      <c r="J62" s="4">
        <f>IF(G62="17-21",S62,R62)+IF(OR(H62="Junior",H62="Senior"),0.0002,IF(OR(H62="L7",H62="L6"),0.0001,0))+IF(G62="17-21",MAX(AA62,AC62,AF62),AE62)*0.0000001</f>
        <v>80.56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52" t="str">
        <f>IF(A62&lt;5,IF(_xlfn.MAXIFS(A:A,G:G,G62)&gt;3,5-A62,_xlfn.MAXIFS(A:A,G:G,G62)+1-A62),"")</f>
        <v/>
      </c>
      <c r="R62" s="4">
        <f>MAX(X62,AE62)</f>
        <v>80.56</v>
      </c>
      <c r="S62" s="4">
        <f>MAX(T62,V62,Y62,AA62,AC62,AF62)</f>
        <v>43.449999999999996</v>
      </c>
      <c r="T62" s="33">
        <v>37.11</v>
      </c>
      <c r="U62" s="41">
        <v>0</v>
      </c>
      <c r="V62" s="34">
        <v>43.449999999999996</v>
      </c>
      <c r="W62" s="41">
        <v>7.0999999999999988</v>
      </c>
      <c r="X62" s="4">
        <f>IF(H62="Senior",MAX(T62,V62),T62+V62)</f>
        <v>80.56</v>
      </c>
      <c r="Y62" s="34">
        <v>0</v>
      </c>
      <c r="Z62" s="41">
        <v>0</v>
      </c>
      <c r="AA62" s="33"/>
      <c r="AB62" s="41"/>
      <c r="AC62" s="34"/>
      <c r="AD62" s="41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$77&lt;&gt;"")*(G$3:G$77=G63)*(J$3:J$77&gt;J63)*(I$3:I$77="P"))+1,IF(O63&lt;&gt;"",SUMPRODUCT((O$3:O$77&lt;&gt;"")*(P$3:P$77="")*(G$3:G$77=G63)*(J$3:J$77&gt;J63)*(I$3:I$77="P"))+SUMPRODUCT((P$3:P$77&lt;&gt;"")*(G$3:G$77=G63))+1,IF(N63&lt;&gt;"",SUMPRODUCT((N$3:N$77&lt;&gt;"")*(G$3:G$77=G63)*(J$3:J$77&gt;J63)*(I$3:I$77="P"))+1,IF(M63="P",SUMPRODUCT((O$3:O$77&lt;&gt;"")*(P$3:P$77="")*(G$3:G$77=G63)*(I$3:I$77="P"))+SUMPRODUCT((P$3:P$77&lt;&gt;"")*(G$3:G$77=G63)*(I$3:I$77="P"))+SUMPRODUCT((N$3:N$77&lt;&gt;"")*(G$3:G$77=G63)*(I$3:I$77="P"))+SUMPRODUCT((P$3:P$77="")*(O$3:O$77="")*(N$3:N$77="")*(M$3:M$77="P")*(G$3:G$77=G63)*(J$3:J$77&gt;J63)*(I$3:I$77="P"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+1,""))))</f>
        <v/>
      </c>
      <c r="C63" s="36" t="s">
        <v>261</v>
      </c>
      <c r="D63" s="51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1" t="s">
        <v>125</v>
      </c>
      <c r="I63" s="47"/>
      <c r="J63" s="4">
        <f>IF(G63="17-21",S63,R63)+IF(OR(H63="Junior",H63="Senior"),0.0002,IF(OR(H63="L7",H63="L6"),0.0001,0))+IF(G63="17-21",MAX(AA63,AC63,AF63),AE63)*0.0000001</f>
        <v>80.240000000000009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52" t="str">
        <f>IF(A63&lt;5,IF(_xlfn.MAXIFS(A:A,G:G,G63)&gt;3,5-A63,_xlfn.MAXIFS(A:A,G:G,G63)+1-A63),"")</f>
        <v/>
      </c>
      <c r="R63" s="4">
        <f>MAX(X63,AE63)</f>
        <v>80.240000000000009</v>
      </c>
      <c r="S63" s="4">
        <f>MAX(T63,V63,Y63,AA63,AC63,AF63)</f>
        <v>42.95</v>
      </c>
      <c r="T63" s="33">
        <v>37.29</v>
      </c>
      <c r="U63" s="41">
        <v>0</v>
      </c>
      <c r="V63" s="34">
        <v>42.95</v>
      </c>
      <c r="W63" s="41">
        <v>6.9999999999999991</v>
      </c>
      <c r="X63" s="4">
        <f>IF(H63="Senior",MAX(T63,V63),T63+V63)</f>
        <v>80.240000000000009</v>
      </c>
      <c r="Y63" s="34">
        <v>0</v>
      </c>
      <c r="Z63" s="41">
        <v>0</v>
      </c>
      <c r="AA63" s="33"/>
      <c r="AB63" s="41"/>
      <c r="AC63" s="34"/>
      <c r="AD63" s="41"/>
      <c r="AE63" s="4">
        <f>IF(H63="Senior",MAX(AA63,AC63),AA63+AC63)</f>
        <v>0</v>
      </c>
      <c r="AF63" s="34"/>
      <c r="AG63" s="37"/>
    </row>
    <row r="64" spans="1:33" x14ac:dyDescent="0.2">
      <c r="A64" s="1" t="str" cm="1">
        <f t="array" ref="A64">IF(I64="","",IF(P64&lt;&gt;"",SUMPRODUCT((P$3:P$77&lt;&gt;"")*(G$3:G$77=G64)*(J$3:J$77&gt;J64)*(I$3:I$77="P"))+1,IF(O64&lt;&gt;"",SUMPRODUCT((O$3:O$77&lt;&gt;"")*(P$3:P$77="")*(G$3:G$77=G64)*(J$3:J$77&gt;J64)*(I$3:I$77="P"))+SUMPRODUCT((P$3:P$77&lt;&gt;"")*(G$3:G$77=G64))+1,IF(N64&lt;&gt;"",SUMPRODUCT((N$3:N$77&lt;&gt;"")*(G$3:G$77=G64)*(J$3:J$77&gt;J64)*(I$3:I$77="P"))+1,IF(M64="P",SUMPRODUCT((O$3:O$77&lt;&gt;"")*(P$3:P$77="")*(G$3:G$77=G64)*(I$3:I$77="P"))+SUMPRODUCT((P$3:P$77&lt;&gt;"")*(G$3:G$77=G64)*(I$3:I$77="P"))+SUMPRODUCT((N$3:N$77&lt;&gt;"")*(G$3:G$77=G64)*(I$3:I$77="P"))+SUMPRODUCT((P$3:P$77="")*(O$3:O$77="")*(N$3:N$77="")*(M$3:M$77="P")*(G$3:G$77=G64)*(J$3:J$77&gt;J64)*(I$3:I$77="P"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+1,""))))</f>
        <v/>
      </c>
      <c r="C64" s="36" t="s">
        <v>262</v>
      </c>
      <c r="D64" s="51" t="str">
        <f>IF(E64="","",VLOOKUP(E64,'Coaching Points'!A:B,2,0))</f>
        <v>BC</v>
      </c>
      <c r="E64" s="36" t="s">
        <v>48</v>
      </c>
      <c r="F64" s="35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1" t="s">
        <v>125</v>
      </c>
      <c r="I64" s="47"/>
      <c r="J64" s="4">
        <f>IF(G64="17-21",S64,R64)+IF(OR(H64="Junior",H64="Senior"),0.0002,IF(OR(H64="L7",H64="L6"),0.0001,0))+IF(G64="17-21",MAX(AA64,AC64,AF64),AE64)*0.0000001</f>
        <v>80.19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>P</v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52" t="str">
        <f>IF(A64&lt;5,IF(_xlfn.MAXIFS(A:A,G:G,G64)&gt;3,5-A64,_xlfn.MAXIFS(A:A,G:G,G64)+1-A64),"")</f>
        <v/>
      </c>
      <c r="R64" s="4">
        <f>MAX(X64,AE64)</f>
        <v>80.19</v>
      </c>
      <c r="S64" s="4">
        <f>MAX(T64,V64,Y64,AA64,AC64,AF64)</f>
        <v>41.72</v>
      </c>
      <c r="T64" s="33">
        <v>38.47</v>
      </c>
      <c r="U64" s="41">
        <v>0</v>
      </c>
      <c r="V64" s="34">
        <v>41.72</v>
      </c>
      <c r="W64" s="41">
        <v>8.9</v>
      </c>
      <c r="X64" s="4">
        <f>IF(H64="Senior",MAX(T64,V64),T64+V64)</f>
        <v>80.19</v>
      </c>
      <c r="Y64" s="34">
        <v>0</v>
      </c>
      <c r="Z64" s="41">
        <v>0</v>
      </c>
      <c r="AA64" s="33"/>
      <c r="AB64" s="41"/>
      <c r="AC64" s="34"/>
      <c r="AD64" s="41"/>
      <c r="AE64" s="4">
        <f>IF(H64="Senior",MAX(AA64,AC64),AA64+AC64)</f>
        <v>0</v>
      </c>
      <c r="AF64" s="34"/>
      <c r="AG64" s="37"/>
    </row>
    <row r="65" spans="1:33" x14ac:dyDescent="0.2">
      <c r="A65" s="1" t="str" cm="1">
        <f t="array" ref="A65">IF(I65="","",IF(P65&lt;&gt;"",SUMPRODUCT((P$3:P$77&lt;&gt;"")*(G$3:G$77=G65)*(J$3:J$77&gt;J65)*(I$3:I$77="P"))+1,IF(O65&lt;&gt;"",SUMPRODUCT((O$3:O$77&lt;&gt;"")*(P$3:P$77="")*(G$3:G$77=G65)*(J$3:J$77&gt;J65)*(I$3:I$77="P"))+SUMPRODUCT((P$3:P$77&lt;&gt;"")*(G$3:G$77=G65))+1,IF(N65&lt;&gt;"",SUMPRODUCT((N$3:N$77&lt;&gt;"")*(G$3:G$77=G65)*(J$3:J$77&gt;J65)*(I$3:I$77="P"))+1,IF(M65="P",SUMPRODUCT((O$3:O$77&lt;&gt;"")*(P$3:P$77="")*(G$3:G$77=G65)*(I$3:I$77="P"))+SUMPRODUCT((P$3:P$77&lt;&gt;"")*(G$3:G$77=G65)*(I$3:I$77="P"))+SUMPRODUCT((N$3:N$77&lt;&gt;"")*(G$3:G$77=G65)*(I$3:I$77="P"))+SUMPRODUCT((P$3:P$77="")*(O$3:O$77="")*(N$3:N$77="")*(M$3:M$77="P")*(G$3:G$77=G65)*(J$3:J$77&gt;J65)*(I$3:I$77="P"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+1,""))))</f>
        <v/>
      </c>
      <c r="C65" s="36" t="s">
        <v>294</v>
      </c>
      <c r="D65" s="51" t="str">
        <f>IF(E65="","",VLOOKUP(E65,'Coaching Points'!A:B,2,0))</f>
        <v>SK</v>
      </c>
      <c r="E65" s="36" t="s">
        <v>47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1" t="s">
        <v>126</v>
      </c>
      <c r="I65" s="47"/>
      <c r="J65" s="4">
        <f>IF(G65="17-21",S65,R65)+IF(OR(H65="Junior",H65="Senior"),0.0002,IF(OR(H65="L7",H65="L6"),0.0001,0))+IF(G65="17-21",MAX(AA65,AC65,AF65),AE65)*0.0000001</f>
        <v>79.400100000000009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>P</v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52" t="str">
        <f>IF(A65&lt;5,IF(_xlfn.MAXIFS(A:A,G:G,G65)&gt;3,5-A65,_xlfn.MAXIFS(A:A,G:G,G65)+1-A65),"")</f>
        <v/>
      </c>
      <c r="R65" s="4">
        <f>MAX(X65,AE65)</f>
        <v>79.400000000000006</v>
      </c>
      <c r="S65" s="4">
        <f>MAX(T65,V65,Y65,AA65,AC65,AF65)</f>
        <v>44.28</v>
      </c>
      <c r="T65" s="33">
        <v>35.869999999999997</v>
      </c>
      <c r="U65" s="41">
        <v>0</v>
      </c>
      <c r="V65" s="34">
        <v>43.53</v>
      </c>
      <c r="W65" s="41">
        <v>8.7999999999999989</v>
      </c>
      <c r="X65" s="4">
        <f>IF(H65="Senior",MAX(T65,V65),T65+V65)</f>
        <v>79.400000000000006</v>
      </c>
      <c r="Y65" s="34">
        <v>44.28</v>
      </c>
      <c r="Z65" s="41">
        <v>8.7999999999999989</v>
      </c>
      <c r="AA65" s="33"/>
      <c r="AB65" s="41"/>
      <c r="AC65" s="34"/>
      <c r="AD65" s="41"/>
      <c r="AE65" s="4">
        <f>IF(H65="Senior",MAX(AA65,AC65),AA65+AC65)</f>
        <v>0</v>
      </c>
      <c r="AF65" s="34"/>
      <c r="AG65" s="37"/>
    </row>
    <row r="66" spans="1:33" x14ac:dyDescent="0.2">
      <c r="A66" s="1" t="str" cm="1">
        <f t="array" ref="A66">IF(I66="","",IF(P66&lt;&gt;"",SUMPRODUCT((P$3:P$77&lt;&gt;"")*(G$3:G$77=G66)*(J$3:J$77&gt;J66)*(I$3:I$77="P"))+1,IF(O66&lt;&gt;"",SUMPRODUCT((O$3:O$77&lt;&gt;"")*(P$3:P$77="")*(G$3:G$77=G66)*(J$3:J$77&gt;J66)*(I$3:I$77="P"))+SUMPRODUCT((P$3:P$77&lt;&gt;"")*(G$3:G$77=G66))+1,IF(N66&lt;&gt;"",SUMPRODUCT((N$3:N$77&lt;&gt;"")*(G$3:G$77=G66)*(J$3:J$77&gt;J66)*(I$3:I$77="P"))+1,IF(M66="P",SUMPRODUCT((O$3:O$77&lt;&gt;"")*(P$3:P$77="")*(G$3:G$77=G66)*(I$3:I$77="P"))+SUMPRODUCT((P$3:P$77&lt;&gt;"")*(G$3:G$77=G66)*(I$3:I$77="P"))+SUMPRODUCT((N$3:N$77&lt;&gt;"")*(G$3:G$77=G66)*(I$3:I$77="P"))+SUMPRODUCT((P$3:P$77="")*(O$3:O$77="")*(N$3:N$77="")*(M$3:M$77="P")*(G$3:G$77=G66)*(J$3:J$77&gt;J66)*(I$3:I$77="P"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+1,""))))</f>
        <v/>
      </c>
      <c r="C66" s="36" t="s">
        <v>263</v>
      </c>
      <c r="D66" s="51" t="str">
        <f>IF(E66="","",VLOOKUP(E66,'Coaching Points'!A:B,2,0))</f>
        <v>ON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1" t="s">
        <v>125</v>
      </c>
      <c r="I66" s="47"/>
      <c r="J66" s="4">
        <f>IF(G66="17-21",S66,R66)+IF(OR(H66="Junior",H66="Senior"),0.0002,IF(OR(H66="L7",H66="L6"),0.0001,0))+IF(G66="17-21",MAX(AA66,AC66,AF66),AE66)*0.0000001</f>
        <v>76.63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52" t="str">
        <f>IF(A66&lt;5,IF(_xlfn.MAXIFS(A:A,G:G,G66)&gt;3,5-A66,_xlfn.MAXIFS(A:A,G:G,G66)+1-A66),"")</f>
        <v/>
      </c>
      <c r="R66" s="4">
        <f>MAX(X66,AE66)</f>
        <v>76.63</v>
      </c>
      <c r="S66" s="4">
        <f>MAX(T66,V66,Y66,AA66,AC66,AF66)</f>
        <v>41.33</v>
      </c>
      <c r="T66" s="33">
        <v>35.299999999999997</v>
      </c>
      <c r="U66" s="41">
        <v>0</v>
      </c>
      <c r="V66" s="34">
        <v>41.33</v>
      </c>
      <c r="W66" s="41">
        <v>7.0999999999999988</v>
      </c>
      <c r="X66" s="4">
        <f>IF(H66="Senior",MAX(T66,V66),T66+V66)</f>
        <v>76.63</v>
      </c>
      <c r="Y66" s="34">
        <v>0</v>
      </c>
      <c r="Z66" s="41">
        <v>0</v>
      </c>
      <c r="AA66" s="33"/>
      <c r="AB66" s="41"/>
      <c r="AC66" s="34"/>
      <c r="AD66" s="41"/>
      <c r="AE66" s="4">
        <f>IF(H66="Senior",MAX(AA66,AC66),AA66+AC66)</f>
        <v>0</v>
      </c>
      <c r="AF66" s="34"/>
      <c r="AG66" s="37"/>
    </row>
    <row r="67" spans="1:33" x14ac:dyDescent="0.2">
      <c r="A67" s="1" t="str" cm="1">
        <f t="array" ref="A67">IF(I67="","",IF(P67&lt;&gt;"",SUMPRODUCT((P$3:P$77&lt;&gt;"")*(G$3:G$77=G67)*(J$3:J$77&gt;J67)*(I$3:I$77="P"))+1,IF(O67&lt;&gt;"",SUMPRODUCT((O$3:O$77&lt;&gt;"")*(P$3:P$77="")*(G$3:G$77=G67)*(J$3:J$77&gt;J67)*(I$3:I$77="P"))+SUMPRODUCT((P$3:P$77&lt;&gt;"")*(G$3:G$77=G67))+1,IF(N67&lt;&gt;"",SUMPRODUCT((N$3:N$77&lt;&gt;"")*(G$3:G$77=G67)*(J$3:J$77&gt;J67)*(I$3:I$77="P"))+1,IF(M67="P",SUMPRODUCT((O$3:O$77&lt;&gt;"")*(P$3:P$77="")*(G$3:G$77=G67)*(I$3:I$77="P"))+SUMPRODUCT((P$3:P$77&lt;&gt;"")*(G$3:G$77=G67)*(I$3:I$77="P"))+SUMPRODUCT((N$3:N$77&lt;&gt;"")*(G$3:G$77=G67)*(I$3:I$77="P"))+SUMPRODUCT((P$3:P$77="")*(O$3:O$77="")*(N$3:N$77="")*(M$3:M$77="P")*(G$3:G$77=G67)*(J$3:J$77&gt;J67)*(I$3:I$77="P"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+1,""))))</f>
        <v/>
      </c>
      <c r="C67" s="36" t="s">
        <v>264</v>
      </c>
      <c r="D67" s="51" t="str">
        <f>IF(E67="","",VLOOKUP(E67,'Coaching Points'!A:B,2,0))</f>
        <v>BC</v>
      </c>
      <c r="E67" s="36" t="s">
        <v>66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1" t="s">
        <v>125</v>
      </c>
      <c r="I67" s="47"/>
      <c r="J67" s="4">
        <f>IF(G67="17-21",S67,R67)+IF(OR(H67="Junior",H67="Senior"),0.0002,IF(OR(H67="L7",H67="L6"),0.0001,0))+IF(G67="17-21",MAX(AA67,AC67,AF67),AE67)*0.0000001</f>
        <v>74.11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52" t="str">
        <f>IF(A67&lt;5,IF(_xlfn.MAXIFS(A:A,G:G,G67)&gt;3,5-A67,_xlfn.MAXIFS(A:A,G:G,G67)+1-A67),"")</f>
        <v/>
      </c>
      <c r="R67" s="4">
        <f>MAX(X67,AE67)</f>
        <v>74.11</v>
      </c>
      <c r="S67" s="4">
        <f>MAX(T67,V67,Y67,AA67,AC67,AF67)</f>
        <v>38.380000000000003</v>
      </c>
      <c r="T67" s="33">
        <v>38.380000000000003</v>
      </c>
      <c r="U67" s="41">
        <v>0</v>
      </c>
      <c r="V67" s="34">
        <v>35.729999999999997</v>
      </c>
      <c r="W67" s="41">
        <v>6.3999999999999995</v>
      </c>
      <c r="X67" s="4">
        <f>IF(H67="Senior",MAX(T67,V67),T67+V67)</f>
        <v>74.11</v>
      </c>
      <c r="Y67" s="34">
        <v>0</v>
      </c>
      <c r="Z67" s="41">
        <v>0</v>
      </c>
      <c r="AA67" s="33"/>
      <c r="AB67" s="41"/>
      <c r="AC67" s="34"/>
      <c r="AD67" s="41"/>
      <c r="AE67" s="4">
        <f>IF(H67="Senior",MAX(AA67,AC67),AA67+AC67)</f>
        <v>0</v>
      </c>
      <c r="AF67" s="34"/>
      <c r="AG67" s="37"/>
    </row>
    <row r="68" spans="1:33" x14ac:dyDescent="0.2">
      <c r="A68" s="1" t="str" cm="1">
        <f t="array" ref="A68">IF(I68="","",IF(P68&lt;&gt;"",SUMPRODUCT((P$3:P$77&lt;&gt;"")*(G$3:G$77=G68)*(J$3:J$77&gt;J68)*(I$3:I$77="P"))+1,IF(O68&lt;&gt;"",SUMPRODUCT((O$3:O$77&lt;&gt;"")*(P$3:P$77="")*(G$3:G$77=G68)*(J$3:J$77&gt;J68)*(I$3:I$77="P"))+SUMPRODUCT((P$3:P$77&lt;&gt;"")*(G$3:G$77=G68))+1,IF(N68&lt;&gt;"",SUMPRODUCT((N$3:N$77&lt;&gt;"")*(G$3:G$77=G68)*(J$3:J$77&gt;J68)*(I$3:I$77="P"))+1,IF(M68="P",SUMPRODUCT((O$3:O$77&lt;&gt;"")*(P$3:P$77="")*(G$3:G$77=G68)*(I$3:I$77="P"))+SUMPRODUCT((P$3:P$77&lt;&gt;"")*(G$3:G$77=G68)*(I$3:I$77="P"))+SUMPRODUCT((N$3:N$77&lt;&gt;"")*(G$3:G$77=G68)*(I$3:I$77="P"))+SUMPRODUCT((P$3:P$77="")*(O$3:O$77="")*(N$3:N$77="")*(M$3:M$77="P")*(G$3:G$77=G68)*(J$3:J$77&gt;J68)*(I$3:I$77="P"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+1,""))))</f>
        <v/>
      </c>
      <c r="C68" s="36" t="s">
        <v>265</v>
      </c>
      <c r="D68" s="51" t="str">
        <f>IF(E68="","",VLOOKUP(E68,'Coaching Points'!A:B,2,0))</f>
        <v>ON</v>
      </c>
      <c r="E68" s="36" t="s">
        <v>39</v>
      </c>
      <c r="F68" s="35">
        <v>2007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1" t="s">
        <v>125</v>
      </c>
      <c r="I68" s="47"/>
      <c r="J68" s="4">
        <f>IF(G68="17-21",S68,R68)+IF(OR(H68="Junior",H68="Senior"),0.0002,IF(OR(H68="L7",H68="L6"),0.0001,0))+IF(G68="17-21",MAX(AA68,AC68,AF68),AE68)*0.0000001</f>
        <v>72.11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52" t="str">
        <f>IF(A68&lt;5,IF(_xlfn.MAXIFS(A:A,G:G,G68)&gt;3,5-A68,_xlfn.MAXIFS(A:A,G:G,G68)+1-A68),"")</f>
        <v/>
      </c>
      <c r="R68" s="4">
        <f>MAX(X68,AE68)</f>
        <v>72.11</v>
      </c>
      <c r="S68" s="4">
        <f>MAX(T68,V68,Y68,AA68,AC68,AF68)</f>
        <v>44.78</v>
      </c>
      <c r="T68" s="33">
        <v>27.33</v>
      </c>
      <c r="U68" s="41">
        <v>0</v>
      </c>
      <c r="V68" s="34">
        <v>44.78</v>
      </c>
      <c r="W68" s="41">
        <v>7.0999999999999988</v>
      </c>
      <c r="X68" s="4">
        <f>IF(H68="Senior",MAX(T68,V68),T68+V68)</f>
        <v>72.11</v>
      </c>
      <c r="Y68" s="34">
        <v>0</v>
      </c>
      <c r="Z68" s="41">
        <v>0</v>
      </c>
      <c r="AA68" s="33"/>
      <c r="AB68" s="41"/>
      <c r="AC68" s="34"/>
      <c r="AD68" s="41"/>
      <c r="AE68" s="4">
        <f>IF(H68="Senior",MAX(AA68,AC68),AA68+AC68)</f>
        <v>0</v>
      </c>
      <c r="AF68" s="34"/>
      <c r="AG68" s="37"/>
    </row>
    <row r="69" spans="1:33" x14ac:dyDescent="0.2">
      <c r="A69" s="1" t="str" cm="1">
        <f t="array" ref="A69">IF(I69="","",IF(P69&lt;&gt;"",SUMPRODUCT((P$3:P$77&lt;&gt;"")*(G$3:G$77=G69)*(J$3:J$77&gt;J69)*(I$3:I$77="P"))+1,IF(O69&lt;&gt;"",SUMPRODUCT((O$3:O$77&lt;&gt;"")*(P$3:P$77="")*(G$3:G$77=G69)*(J$3:J$77&gt;J69)*(I$3:I$77="P"))+SUMPRODUCT((P$3:P$77&lt;&gt;"")*(G$3:G$77=G69))+1,IF(N69&lt;&gt;"",SUMPRODUCT((N$3:N$77&lt;&gt;"")*(G$3:G$77=G69)*(J$3:J$77&gt;J69)*(I$3:I$77="P"))+1,IF(M69="P",SUMPRODUCT((O$3:O$77&lt;&gt;"")*(P$3:P$77="")*(G$3:G$77=G69)*(I$3:I$77="P"))+SUMPRODUCT((P$3:P$77&lt;&gt;"")*(G$3:G$77=G69)*(I$3:I$77="P"))+SUMPRODUCT((N$3:N$77&lt;&gt;"")*(G$3:G$77=G69)*(I$3:I$77="P"))+SUMPRODUCT((P$3:P$77="")*(O$3:O$77="")*(N$3:N$77="")*(M$3:M$77="P")*(G$3:G$77=G69)*(J$3:J$77&gt;J69)*(I$3:I$77="P"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+1,""))))</f>
        <v/>
      </c>
      <c r="C69" s="36" t="s">
        <v>266</v>
      </c>
      <c r="D69" s="51" t="str">
        <f>IF(E69="","",VLOOKUP(E69,'Coaching Points'!A:B,2,0))</f>
        <v>BC</v>
      </c>
      <c r="E69" s="36" t="s">
        <v>74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1" t="s">
        <v>125</v>
      </c>
      <c r="I69" s="47"/>
      <c r="J69" s="4">
        <f>IF(G69="17-21",S69,R69)+IF(OR(H69="Junior",H69="Senior"),0.0002,IF(OR(H69="L7",H69="L6"),0.0001,0))+IF(G69="17-21",MAX(AA69,AC69,AF69),AE69)*0.0000001</f>
        <v>43.23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52" t="str">
        <f>IF(A69&lt;5,IF(_xlfn.MAXIFS(A:A,G:G,G69)&gt;3,5-A69,_xlfn.MAXIFS(A:A,G:G,G69)+1-A69),"")</f>
        <v/>
      </c>
      <c r="R69" s="4">
        <f>MAX(X69,AE69)</f>
        <v>43.23</v>
      </c>
      <c r="S69" s="4">
        <f>MAX(T69,V69,Y69,AA69,AC69,AF69)</f>
        <v>38.129999999999995</v>
      </c>
      <c r="T69" s="33">
        <v>38.129999999999995</v>
      </c>
      <c r="U69" s="41">
        <v>0</v>
      </c>
      <c r="V69" s="34">
        <v>5.0999999999999996</v>
      </c>
      <c r="W69" s="41">
        <v>1.3</v>
      </c>
      <c r="X69" s="4">
        <f>IF(H69="Senior",MAX(T69,V69),T69+V69)</f>
        <v>43.23</v>
      </c>
      <c r="Y69" s="34">
        <v>0</v>
      </c>
      <c r="Z69" s="41">
        <v>0</v>
      </c>
      <c r="AA69" s="33"/>
      <c r="AB69" s="41"/>
      <c r="AC69" s="34"/>
      <c r="AD69" s="41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$77&lt;&gt;"")*(G$3:G$77=G70)*(J$3:J$77&gt;J70)*(I$3:I$77="P"))+1,IF(O70&lt;&gt;"",SUMPRODUCT((O$3:O$77&lt;&gt;"")*(P$3:P$77="")*(G$3:G$77=G70)*(J$3:J$77&gt;J70)*(I$3:I$77="P"))+SUMPRODUCT((P$3:P$77&lt;&gt;"")*(G$3:G$77=G70))+1,IF(N70&lt;&gt;"",SUMPRODUCT((N$3:N$77&lt;&gt;"")*(G$3:G$77=G70)*(J$3:J$77&gt;J70)*(I$3:I$77="P"))+1,IF(M70="P",SUMPRODUCT((O$3:O$77&lt;&gt;"")*(P$3:P$77="")*(G$3:G$77=G70)*(I$3:I$77="P"))+SUMPRODUCT((P$3:P$77&lt;&gt;"")*(G$3:G$77=G70)*(I$3:I$77="P"))+SUMPRODUCT((N$3:N$77&lt;&gt;"")*(G$3:G$77=G70)*(I$3:I$77="P"))+SUMPRODUCT((P$3:P$77="")*(O$3:O$77="")*(N$3:N$77="")*(M$3:M$77="P")*(G$3:G$77=G70)*(J$3:J$77&gt;J70)*(I$3:I$77="P"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+1,""))))</f>
        <v/>
      </c>
      <c r="C70" s="36" t="s">
        <v>291</v>
      </c>
      <c r="D70" s="51" t="str">
        <f>IF(E70="","",VLOOKUP(E70,'Coaching Points'!A:B,2,0))</f>
        <v>QC</v>
      </c>
      <c r="E70" s="36" t="s">
        <v>70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1" t="s">
        <v>126</v>
      </c>
      <c r="I70" s="47"/>
      <c r="J70" s="4">
        <f>IF(G70="17-21",S70,R70)+IF(OR(H70="Junior",H70="Senior"),0.0002,IF(OR(H70="L7",H70="L6"),0.0001,0))+IF(G70="17-21",MAX(AA70,AC70,AF70),AE70)*0.0000001</f>
        <v>86.4101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>P</v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52" t="str">
        <f>IF(A70&lt;5,IF(_xlfn.MAXIFS(A:A,G:G,G70)&gt;3,5-A70,_xlfn.MAXIFS(A:A,G:G,G70)+1-A70),"")</f>
        <v/>
      </c>
      <c r="R70" s="4">
        <f>MAX(X70,AE70)</f>
        <v>86.41</v>
      </c>
      <c r="S70" s="4">
        <f>MAX(T70,V70,Y70,AA70,AC70,AF70)</f>
        <v>47.14</v>
      </c>
      <c r="T70" s="33">
        <v>40.239999999999995</v>
      </c>
      <c r="U70" s="41">
        <v>0</v>
      </c>
      <c r="V70" s="34">
        <v>46.17</v>
      </c>
      <c r="W70" s="41">
        <v>8.7999999999999989</v>
      </c>
      <c r="X70" s="4">
        <f>IF(H70="Senior",MAX(T70,V70),T70+V70)</f>
        <v>86.41</v>
      </c>
      <c r="Y70" s="34">
        <v>47.14</v>
      </c>
      <c r="Z70" s="41">
        <v>8.7999999999999989</v>
      </c>
      <c r="AA70" s="33"/>
      <c r="AB70" s="41"/>
      <c r="AC70" s="34"/>
      <c r="AD70" s="41"/>
      <c r="AE70" s="4">
        <f>IF(H70="Senior",MAX(AA70,AC70),AA70+AC70)</f>
        <v>0</v>
      </c>
      <c r="AF70" s="34"/>
      <c r="AG70" s="37"/>
    </row>
    <row r="71" spans="1:33" x14ac:dyDescent="0.2">
      <c r="A71" s="1" t="str" cm="1">
        <f t="array" ref="A71">IF(I71="","",IF(P71&lt;&gt;"",SUMPRODUCT((P$3:P$77&lt;&gt;"")*(G$3:G$77=G71)*(J$3:J$77&gt;J71)*(I$3:I$77="P"))+1,IF(O71&lt;&gt;"",SUMPRODUCT((O$3:O$77&lt;&gt;"")*(P$3:P$77="")*(G$3:G$77=G71)*(J$3:J$77&gt;J71)*(I$3:I$77="P"))+SUMPRODUCT((P$3:P$77&lt;&gt;"")*(G$3:G$77=G71))+1,IF(N71&lt;&gt;"",SUMPRODUCT((N$3:N$77&lt;&gt;"")*(G$3:G$77=G71)*(J$3:J$77&gt;J71)*(I$3:I$77="P"))+1,IF(M71="P",SUMPRODUCT((O$3:O$77&lt;&gt;"")*(P$3:P$77="")*(G$3:G$77=G71)*(I$3:I$77="P"))+SUMPRODUCT((P$3:P$77&lt;&gt;"")*(G$3:G$77=G71)*(I$3:I$77="P"))+SUMPRODUCT((N$3:N$77&lt;&gt;"")*(G$3:G$77=G71)*(I$3:I$77="P"))+SUMPRODUCT((P$3:P$77="")*(O$3:O$77="")*(N$3:N$77="")*(M$3:M$77="P")*(G$3:G$77=G71)*(J$3:J$77&gt;J71)*(I$3:I$77="P"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+1,""))))</f>
        <v/>
      </c>
      <c r="C71" s="36" t="s">
        <v>290</v>
      </c>
      <c r="D71" s="51" t="str">
        <f>IF(E71="","",VLOOKUP(E71,'Coaching Points'!A:B,2,0))</f>
        <v>BC</v>
      </c>
      <c r="E71" s="36" t="s">
        <v>66</v>
      </c>
      <c r="F71" s="35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1" t="s">
        <v>126</v>
      </c>
      <c r="I71" s="47"/>
      <c r="J71" s="4">
        <f>IF(G71="17-21",S71,R71)+IF(OR(H71="Junior",H71="Senior"),0.0002,IF(OR(H71="L7",H71="L6"),0.0001,0))+IF(G71="17-21",MAX(AA71,AC71,AF71),AE71)*0.0000001</f>
        <v>86.370100000000008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52" t="str">
        <f>IF(A71&lt;5,IF(_xlfn.MAXIFS(A:A,G:G,G71)&gt;3,5-A71,_xlfn.MAXIFS(A:A,G:G,G71)+1-A71),"")</f>
        <v/>
      </c>
      <c r="R71" s="4">
        <f>MAX(X71,AE71)</f>
        <v>86.37</v>
      </c>
      <c r="S71" s="4">
        <f>MAX(T71,V71,Y71,AA71,AC71,AF71)</f>
        <v>48.489999999999995</v>
      </c>
      <c r="T71" s="33">
        <v>38.67</v>
      </c>
      <c r="U71" s="41">
        <v>0</v>
      </c>
      <c r="V71" s="34">
        <v>47.7</v>
      </c>
      <c r="W71" s="41">
        <v>9.6999999999999993</v>
      </c>
      <c r="X71" s="4">
        <f>IF(H71="Senior",MAX(T71,V71),T71+V71)</f>
        <v>86.37</v>
      </c>
      <c r="Y71" s="34">
        <v>48.489999999999995</v>
      </c>
      <c r="Z71" s="41">
        <v>9.6999999999999993</v>
      </c>
      <c r="AA71" s="33"/>
      <c r="AB71" s="41"/>
      <c r="AC71" s="34"/>
      <c r="AD71" s="41"/>
      <c r="AE71" s="4">
        <f>IF(H71="Senior",MAX(AA71,AC71),AA71+AC71)</f>
        <v>0</v>
      </c>
      <c r="AF71" s="34"/>
      <c r="AG71" s="37"/>
    </row>
    <row r="72" spans="1:33" x14ac:dyDescent="0.2">
      <c r="A72" s="1" t="str" cm="1">
        <f t="array" ref="A72">IF(I72="","",IF(P72&lt;&gt;"",SUMPRODUCT((P$3:P$77&lt;&gt;"")*(G$3:G$77=G72)*(J$3:J$77&gt;J72)*(I$3:I$77="P"))+1,IF(O72&lt;&gt;"",SUMPRODUCT((O$3:O$77&lt;&gt;"")*(P$3:P$77="")*(G$3:G$77=G72)*(J$3:J$77&gt;J72)*(I$3:I$77="P"))+SUMPRODUCT((P$3:P$77&lt;&gt;"")*(G$3:G$77=G72))+1,IF(N72&lt;&gt;"",SUMPRODUCT((N$3:N$77&lt;&gt;"")*(G$3:G$77=G72)*(J$3:J$77&gt;J72)*(I$3:I$77="P"))+1,IF(M72="P",SUMPRODUCT((O$3:O$77&lt;&gt;"")*(P$3:P$77="")*(G$3:G$77=G72)*(I$3:I$77="P"))+SUMPRODUCT((P$3:P$77&lt;&gt;"")*(G$3:G$77=G72)*(I$3:I$77="P"))+SUMPRODUCT((N$3:N$77&lt;&gt;"")*(G$3:G$77=G72)*(I$3:I$77="P"))+SUMPRODUCT((P$3:P$77="")*(O$3:O$77="")*(N$3:N$77="")*(M$3:M$77="P")*(G$3:G$77=G72)*(J$3:J$77&gt;J72)*(I$3:I$77="P"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+1,""))))</f>
        <v/>
      </c>
      <c r="C72" s="36" t="s">
        <v>244</v>
      </c>
      <c r="D72" s="51" t="str">
        <f>IF(E72="","",VLOOKUP(E72,'Coaching Points'!A:B,2,0))</f>
        <v>BC</v>
      </c>
      <c r="E72" s="36" t="s">
        <v>66</v>
      </c>
      <c r="F72" s="35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1" t="s">
        <v>125</v>
      </c>
      <c r="I72" s="47"/>
      <c r="J72" s="4">
        <f>IF(G72="17-21",S72,R72)+IF(OR(H72="Junior",H72="Senior"),0.0002,IF(OR(H72="L7",H72="L6"),0.0001,0))+IF(G72="17-21",MAX(AA72,AC72,AF72),AE72)*0.0000001</f>
        <v>85.8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52" t="str">
        <f>IF(A72&lt;5,IF(_xlfn.MAXIFS(A:A,G:G,G72)&gt;3,5-A72,_xlfn.MAXIFS(A:A,G:G,G72)+1-A72),"")</f>
        <v/>
      </c>
      <c r="R72" s="4">
        <f>MAX(X72,AE72)</f>
        <v>85.8</v>
      </c>
      <c r="S72" s="4">
        <f>MAX(T72,V72,Y72,AA72,AC72,AF72)</f>
        <v>46.8</v>
      </c>
      <c r="T72" s="33">
        <v>39</v>
      </c>
      <c r="U72" s="41">
        <v>0</v>
      </c>
      <c r="V72" s="34">
        <v>46.8</v>
      </c>
      <c r="W72" s="41">
        <v>9.3999999999999986</v>
      </c>
      <c r="X72" s="4">
        <f>IF(H72="Senior",MAX(T72,V72),T72+V72)</f>
        <v>85.8</v>
      </c>
      <c r="Y72" s="34">
        <v>45.4</v>
      </c>
      <c r="Z72" s="41">
        <v>9.3999999999999986</v>
      </c>
      <c r="AA72" s="33"/>
      <c r="AB72" s="41"/>
      <c r="AC72" s="34"/>
      <c r="AD72" s="41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$77&lt;&gt;"")*(G$3:G$77=G73)*(J$3:J$77&gt;J73)*(I$3:I$77="P"))+1,IF(O73&lt;&gt;"",SUMPRODUCT((O$3:O$77&lt;&gt;"")*(P$3:P$77="")*(G$3:G$77=G73)*(J$3:J$77&gt;J73)*(I$3:I$77="P"))+SUMPRODUCT((P$3:P$77&lt;&gt;"")*(G$3:G$77=G73))+1,IF(N73&lt;&gt;"",SUMPRODUCT((N$3:N$77&lt;&gt;"")*(G$3:G$77=G73)*(J$3:J$77&gt;J73)*(I$3:I$77="P"))+1,IF(M73="P",SUMPRODUCT((O$3:O$77&lt;&gt;"")*(P$3:P$77="")*(G$3:G$77=G73)*(I$3:I$77="P"))+SUMPRODUCT((P$3:P$77&lt;&gt;"")*(G$3:G$77=G73)*(I$3:I$77="P"))+SUMPRODUCT((N$3:N$77&lt;&gt;"")*(G$3:G$77=G73)*(I$3:I$77="P"))+SUMPRODUCT((P$3:P$77="")*(O$3:O$77="")*(N$3:N$77="")*(M$3:M$77="P")*(G$3:G$77=G73)*(J$3:J$77&gt;J73)*(I$3:I$77="P"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+1,""))))</f>
        <v/>
      </c>
      <c r="C73" s="36" t="s">
        <v>245</v>
      </c>
      <c r="D73" s="51" t="str">
        <f>IF(E73="","",VLOOKUP(E73,'Coaching Points'!A:B,2,0))</f>
        <v>BC</v>
      </c>
      <c r="E73" s="36" t="s">
        <v>48</v>
      </c>
      <c r="F73" s="35">
        <v>2008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1" t="s">
        <v>125</v>
      </c>
      <c r="I73" s="47"/>
      <c r="J73" s="4">
        <f>IF(G73="17-21",S73,R73)+IF(OR(H73="Junior",H73="Senior"),0.0002,IF(OR(H73="L7",H73="L6"),0.0001,0))+IF(G73="17-21",MAX(AA73,AC73,AF73),AE73)*0.0000001</f>
        <v>84.449999999999989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52" t="str">
        <f>IF(A73&lt;5,IF(_xlfn.MAXIFS(A:A,G:G,G73)&gt;3,5-A73,_xlfn.MAXIFS(A:A,G:G,G73)+1-A73),"")</f>
        <v/>
      </c>
      <c r="R73" s="4">
        <f>MAX(X73,AE73)</f>
        <v>84.449999999999989</v>
      </c>
      <c r="S73" s="4">
        <f>MAX(T73,V73,Y73,AA73,AC73,AF73)</f>
        <v>45.19</v>
      </c>
      <c r="T73" s="33">
        <v>39.47</v>
      </c>
      <c r="U73" s="41">
        <v>0</v>
      </c>
      <c r="V73" s="34">
        <v>44.98</v>
      </c>
      <c r="W73" s="41">
        <v>9.4</v>
      </c>
      <c r="X73" s="4">
        <f>IF(H73="Senior",MAX(T73,V73),T73+V73)</f>
        <v>84.449999999999989</v>
      </c>
      <c r="Y73" s="34">
        <v>45.19</v>
      </c>
      <c r="Z73" s="41">
        <v>9.4</v>
      </c>
      <c r="AA73" s="33"/>
      <c r="AB73" s="41"/>
      <c r="AC73" s="34"/>
      <c r="AD73" s="41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$77&lt;&gt;"")*(G$3:G$77=G74)*(J$3:J$77&gt;J74)*(I$3:I$77="P"))+1,IF(O74&lt;&gt;"",SUMPRODUCT((O$3:O$77&lt;&gt;"")*(P$3:P$77="")*(G$3:G$77=G74)*(J$3:J$77&gt;J74)*(I$3:I$77="P"))+SUMPRODUCT((P$3:P$77&lt;&gt;"")*(G$3:G$77=G74))+1,IF(N74&lt;&gt;"",SUMPRODUCT((N$3:N$77&lt;&gt;"")*(G$3:G$77=G74)*(J$3:J$77&gt;J74)*(I$3:I$77="P"))+1,IF(M74="P",SUMPRODUCT((O$3:O$77&lt;&gt;"")*(P$3:P$77="")*(G$3:G$77=G74)*(I$3:I$77="P"))+SUMPRODUCT((P$3:P$77&lt;&gt;"")*(G$3:G$77=G74)*(I$3:I$77="P"))+SUMPRODUCT((N$3:N$77&lt;&gt;"")*(G$3:G$77=G74)*(I$3:I$77="P"))+SUMPRODUCT((P$3:P$77="")*(O$3:O$77="")*(N$3:N$77="")*(M$3:M$77="P")*(G$3:G$77=G74)*(J$3:J$77&gt;J74)*(I$3:I$77="P"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+1,""))))</f>
        <v/>
      </c>
      <c r="C74" s="36" t="s">
        <v>243</v>
      </c>
      <c r="D74" s="51" t="str">
        <f>IF(E74="","",VLOOKUP(E74,'Coaching Points'!A:B,2,0))</f>
        <v>AB</v>
      </c>
      <c r="E74" s="36" t="s">
        <v>100</v>
      </c>
      <c r="F74" s="35">
        <v>2008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1" t="s">
        <v>125</v>
      </c>
      <c r="I74" s="47"/>
      <c r="J74" s="4">
        <f>IF(G74="17-21",S74,R74)+IF(OR(H74="Junior",H74="Senior"),0.0002,IF(OR(H74="L7",H74="L6"),0.0001,0))+IF(G74="17-21",MAX(AA74,AC74,AF74),AE74)*0.0000001</f>
        <v>84.15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52" t="str">
        <f>IF(A74&lt;5,IF(_xlfn.MAXIFS(A:A,G:G,G74)&gt;3,5-A74,_xlfn.MAXIFS(A:A,G:G,G74)+1-A74),"")</f>
        <v/>
      </c>
      <c r="R74" s="4">
        <f>MAX(X74,AE74)</f>
        <v>84.15</v>
      </c>
      <c r="S74" s="4">
        <f>MAX(T74,V74,Y74,AA74,AC74,AF74)</f>
        <v>45.769999999999996</v>
      </c>
      <c r="T74" s="33">
        <v>38.380000000000003</v>
      </c>
      <c r="U74" s="41">
        <v>0</v>
      </c>
      <c r="V74" s="34">
        <v>45.769999999999996</v>
      </c>
      <c r="W74" s="41">
        <v>8.2999999999999989</v>
      </c>
      <c r="X74" s="4">
        <f>IF(H74="Senior",MAX(T74,V74),T74+V74)</f>
        <v>84.15</v>
      </c>
      <c r="Y74" s="34">
        <v>45.629999999999995</v>
      </c>
      <c r="Z74" s="41">
        <v>8.2999999999999989</v>
      </c>
      <c r="AA74" s="33"/>
      <c r="AB74" s="41"/>
      <c r="AC74" s="34"/>
      <c r="AD74" s="41"/>
      <c r="AE74" s="4">
        <f>IF(H74="Senior",MAX(AA74,AC74),AA74+AC74)</f>
        <v>0</v>
      </c>
      <c r="AF74" s="34"/>
      <c r="AG74" s="37"/>
    </row>
    <row r="75" spans="1:33" x14ac:dyDescent="0.2">
      <c r="A75" s="1" t="str" cm="1">
        <f t="array" ref="A75">IF(I75="","",IF(P75&lt;&gt;"",SUMPRODUCT((P$3:P$77&lt;&gt;"")*(G$3:G$77=G75)*(J$3:J$77&gt;J75)*(I$3:I$77="P"))+1,IF(O75&lt;&gt;"",SUMPRODUCT((O$3:O$77&lt;&gt;"")*(P$3:P$77="")*(G$3:G$77=G75)*(J$3:J$77&gt;J75)*(I$3:I$77="P"))+SUMPRODUCT((P$3:P$77&lt;&gt;"")*(G$3:G$77=G75))+1,IF(N75&lt;&gt;"",SUMPRODUCT((N$3:N$77&lt;&gt;"")*(G$3:G$77=G75)*(J$3:J$77&gt;J75)*(I$3:I$77="P"))+1,IF(M75="P",SUMPRODUCT((O$3:O$77&lt;&gt;"")*(P$3:P$77="")*(G$3:G$77=G75)*(I$3:I$77="P"))+SUMPRODUCT((P$3:P$77&lt;&gt;"")*(G$3:G$77=G75)*(I$3:I$77="P"))+SUMPRODUCT((N$3:N$77&lt;&gt;"")*(G$3:G$77=G75)*(I$3:I$77="P"))+SUMPRODUCT((P$3:P$77="")*(O$3:O$77="")*(N$3:N$77="")*(M$3:M$77="P")*(G$3:G$77=G75)*(J$3:J$77&gt;J75)*(I$3:I$77="P"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+1,""))))</f>
        <v/>
      </c>
      <c r="C75" s="36" t="s">
        <v>259</v>
      </c>
      <c r="D75" s="51" t="str">
        <f>IF(E75="","",VLOOKUP(E75,'Coaching Points'!A:B,2,0))</f>
        <v>BC</v>
      </c>
      <c r="E75" s="36" t="s">
        <v>89</v>
      </c>
      <c r="F75" s="35">
        <v>2008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1" t="s">
        <v>125</v>
      </c>
      <c r="I75" s="47"/>
      <c r="J75" s="4">
        <f>IF(G75="17-21",S75,R75)+IF(OR(H75="Junior",H75="Senior"),0.0002,IF(OR(H75="L7",H75="L6"),0.0001,0))+IF(G75="17-21",MAX(AA75,AC75,AF75),AE75)*0.0000001</f>
        <v>80.58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52" t="str">
        <f>IF(A75&lt;5,IF(_xlfn.MAXIFS(A:A,G:G,G75)&gt;3,5-A75,_xlfn.MAXIFS(A:A,G:G,G75)+1-A75),"")</f>
        <v/>
      </c>
      <c r="R75" s="4">
        <f>MAX(X75,AE75)</f>
        <v>80.58</v>
      </c>
      <c r="S75" s="4">
        <f>MAX(T75,V75,Y75,AA75,AC75,AF75)</f>
        <v>43.41</v>
      </c>
      <c r="T75" s="33">
        <v>37.17</v>
      </c>
      <c r="U75" s="41">
        <v>0</v>
      </c>
      <c r="V75" s="34">
        <v>43.41</v>
      </c>
      <c r="W75" s="41">
        <v>8.3999999999999986</v>
      </c>
      <c r="X75" s="4">
        <f>IF(H75="Senior",MAX(T75,V75),T75+V75)</f>
        <v>80.58</v>
      </c>
      <c r="Y75" s="34">
        <v>0</v>
      </c>
      <c r="Z75" s="41">
        <v>0</v>
      </c>
      <c r="AA75" s="33"/>
      <c r="AB75" s="41"/>
      <c r="AC75" s="34"/>
      <c r="AD75" s="41"/>
      <c r="AE75" s="4">
        <f>IF(H75="Senior",MAX(AA75,AC75),AA75+AC75)</f>
        <v>0</v>
      </c>
      <c r="AF75" s="34"/>
      <c r="AG75" s="37"/>
    </row>
    <row r="76" spans="1:33" x14ac:dyDescent="0.2">
      <c r="A76" s="1" t="str" cm="1">
        <f t="array" ref="A76">IF(I76="","",IF(P76&lt;&gt;"",SUMPRODUCT((P$3:P$77&lt;&gt;"")*(G$3:G$77=G76)*(J$3:J$77&gt;J76)*(I$3:I$77="P"))+1,IF(O76&lt;&gt;"",SUMPRODUCT((O$3:O$77&lt;&gt;"")*(P$3:P$77="")*(G$3:G$77=G76)*(J$3:J$77&gt;J76)*(I$3:I$77="P"))+SUMPRODUCT((P$3:P$77&lt;&gt;"")*(G$3:G$77=G76))+1,IF(N76&lt;&gt;"",SUMPRODUCT((N$3:N$77&lt;&gt;"")*(G$3:G$77=G76)*(J$3:J$77&gt;J76)*(I$3:I$77="P"))+1,IF(M76="P",SUMPRODUCT((O$3:O$77&lt;&gt;"")*(P$3:P$77="")*(G$3:G$77=G76)*(I$3:I$77="P"))+SUMPRODUCT((P$3:P$77&lt;&gt;"")*(G$3:G$77=G76)*(I$3:I$77="P"))+SUMPRODUCT((N$3:N$77&lt;&gt;"")*(G$3:G$77=G76)*(I$3:I$77="P"))+SUMPRODUCT((P$3:P$77="")*(O$3:O$77="")*(N$3:N$77="")*(M$3:M$77="P")*(G$3:G$77=G76)*(J$3:J$77&gt;J76)*(I$3:I$77="P"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+1,""))))</f>
        <v/>
      </c>
      <c r="C76" s="36" t="s">
        <v>246</v>
      </c>
      <c r="D76" s="51" t="str">
        <f>IF(E76="","",VLOOKUP(E76,'Coaching Points'!A:B,2,0))</f>
        <v>ON</v>
      </c>
      <c r="E76" s="36" t="s">
        <v>49</v>
      </c>
      <c r="F76" s="35">
        <v>2008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1" t="s">
        <v>125</v>
      </c>
      <c r="I76" s="47"/>
      <c r="J76" s="4">
        <f>IF(G76="17-21",S76,R76)+IF(OR(H76="Junior",H76="Senior"),0.0002,IF(OR(H76="L7",H76="L6"),0.0001,0))+IF(G76="17-21",MAX(AA76,AC76,AF76),AE76)*0.0000001</f>
        <v>78.52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52" t="str">
        <f>IF(A76&lt;5,IF(_xlfn.MAXIFS(A:A,G:G,G76)&gt;3,5-A76,_xlfn.MAXIFS(A:A,G:G,G76)+1-A76),"")</f>
        <v/>
      </c>
      <c r="R76" s="4">
        <f>MAX(X76,AE76)</f>
        <v>78.52</v>
      </c>
      <c r="S76" s="4">
        <f>MAX(T76,V76,Y76,AA76,AC76,AF76)</f>
        <v>42.9</v>
      </c>
      <c r="T76" s="33">
        <v>36.019999999999996</v>
      </c>
      <c r="U76" s="41">
        <v>0</v>
      </c>
      <c r="V76" s="34">
        <v>42.5</v>
      </c>
      <c r="W76" s="41">
        <v>7.0999999999999988</v>
      </c>
      <c r="X76" s="4">
        <f>IF(H76="Senior",MAX(T76,V76),T76+V76)</f>
        <v>78.52</v>
      </c>
      <c r="Y76" s="34">
        <v>42.9</v>
      </c>
      <c r="Z76" s="41">
        <v>7.0999999999999988</v>
      </c>
      <c r="AA76" s="33"/>
      <c r="AB76" s="41"/>
      <c r="AC76" s="34"/>
      <c r="AD76" s="41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$77&lt;&gt;"")*(G$3:G$77=G77)*(J$3:J$77&gt;J77)*(I$3:I$77="P"))+1,IF(O77&lt;&gt;"",SUMPRODUCT((O$3:O$77&lt;&gt;"")*(P$3:P$77="")*(G$3:G$77=G77)*(J$3:J$77&gt;J77)*(I$3:I$77="P"))+SUMPRODUCT((P$3:P$77&lt;&gt;"")*(G$3:G$77=G77))+1,IF(N77&lt;&gt;"",SUMPRODUCT((N$3:N$77&lt;&gt;"")*(G$3:G$77=G77)*(J$3:J$77&gt;J77)*(I$3:I$77="P"))+1,IF(M77="P",SUMPRODUCT((O$3:O$77&lt;&gt;"")*(P$3:P$77="")*(G$3:G$77=G77)*(I$3:I$77="P"))+SUMPRODUCT((P$3:P$77&lt;&gt;"")*(G$3:G$77=G77)*(I$3:I$77="P"))+SUMPRODUCT((N$3:N$77&lt;&gt;"")*(G$3:G$77=G77)*(I$3:I$77="P"))+SUMPRODUCT((P$3:P$77="")*(O$3:O$77="")*(N$3:N$77="")*(M$3:M$77="P")*(G$3:G$77=G77)*(J$3:J$77&gt;J77)*(I$3:I$77="P"))+1,"")))))</f>
        <v/>
      </c>
      <c r="B77" s="1" t="str" cm="1">
        <f t="array" ref="B77">IF(P77&lt;&gt;"",SUMPRODUCT((P$3:P$77&lt;&gt;"")*(G$3:G$77=G77)*(J$3:J$77&gt;J77))+1,IF(O77&lt;&gt;"",SUMPRODUCT((O$3:O$77&lt;&gt;"")*(P$3:P$77="")*(G$3:G$77=G77)*(J$3:J$77&gt;J77))+SUMPRODUCT((P$3:P$77&lt;&gt;"")*(G$3:G$77=G77))+1,IF(N77&lt;&gt;"",SUMPRODUCT((N$3:N$77&lt;&gt;"")*(G$3:G$77=G77)*(J$3:J$77&gt;J77))+1,IF(M77="P",SUMPRODUCT((O$3:O$77&lt;&gt;"")*(P$3:P$77="")*(G$3:G$77=G77))+SUMPRODUCT((P$3:P$77&lt;&gt;"")*(G$3:G$77=G77))+SUMPRODUCT((N$3:N$77&lt;&gt;"")*(G$3:G$77=G77))+SUMPRODUCT((P$3:P$77="")*(O$3:O$77="")*(N$3:N$77="")*(M$3:M$77="P")*(G$3:G$77=G77)*(J$3:J$77&gt;J77))+1,""))))</f>
        <v/>
      </c>
      <c r="C77" s="36" t="s">
        <v>388</v>
      </c>
      <c r="D77" s="51" t="str">
        <f>IF(E77="","",VLOOKUP(E77,'Coaching Points'!A:B,2,0))</f>
        <v>QC</v>
      </c>
      <c r="E77" s="36" t="s">
        <v>208</v>
      </c>
      <c r="F77" s="35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1" t="s">
        <v>125</v>
      </c>
      <c r="I77" s="47"/>
      <c r="J77" s="4">
        <f>IF(G77="17-21",S77,R77)+IF(OR(H77="Junior",H77="Senior"),0.0002,IF(OR(H77="L7",H77="L6"),0.0001,0))+IF(G77="17-21",MAX(AA77,AC77,AF77),AE77)*0.0000001</f>
        <v>52.51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52" t="str">
        <f>IF(A77&lt;5,IF(_xlfn.MAXIFS(A:A,G:G,G77)&gt;3,5-A77,_xlfn.MAXIFS(A:A,G:G,G77)+1-A77),"")</f>
        <v/>
      </c>
      <c r="R77" s="4">
        <f>MAX(X77,AE77)</f>
        <v>52.51</v>
      </c>
      <c r="S77" s="4">
        <f>MAX(T77,V77,Y77,AA77,AC77,AF77)</f>
        <v>44.65</v>
      </c>
      <c r="T77" s="33">
        <v>38.03</v>
      </c>
      <c r="U77" s="41">
        <v>0</v>
      </c>
      <c r="V77" s="34">
        <v>14.479999999999999</v>
      </c>
      <c r="W77" s="41">
        <v>3.4</v>
      </c>
      <c r="X77" s="4">
        <f>IF(H77="Senior",MAX(T77,V77),T77+V77)</f>
        <v>52.51</v>
      </c>
      <c r="Y77" s="34">
        <v>44.65</v>
      </c>
      <c r="Z77" s="41">
        <v>7.9999999999999991</v>
      </c>
      <c r="AA77" s="33"/>
      <c r="AB77" s="41"/>
      <c r="AC77" s="34"/>
      <c r="AD77" s="41"/>
      <c r="AE77" s="4">
        <f>IF(H77="Senior",MAX(AA77,AC77),AA77+AC77)</f>
        <v>0</v>
      </c>
      <c r="AF77" s="34"/>
      <c r="AG77" s="37"/>
    </row>
    <row r="78" spans="1:33" x14ac:dyDescent="0.2">
      <c r="R78" s="4"/>
      <c r="S78" s="4"/>
      <c r="T78" s="33"/>
      <c r="U78" s="41"/>
      <c r="V78" s="34"/>
      <c r="W78" s="41"/>
      <c r="X78" s="4"/>
      <c r="Y78" s="34"/>
      <c r="Z78" s="41"/>
      <c r="AA78" s="33"/>
      <c r="AB78" s="41"/>
      <c r="AC78" s="34"/>
      <c r="AD78" s="41"/>
      <c r="AE78" s="4"/>
      <c r="AF78" s="34"/>
      <c r="AG78" s="37"/>
    </row>
    <row r="79" spans="1:33" x14ac:dyDescent="0.2">
      <c r="R79" s="4"/>
      <c r="S79" s="4"/>
      <c r="T79" s="33"/>
      <c r="U79" s="41"/>
      <c r="V79" s="34"/>
      <c r="W79" s="41"/>
      <c r="X79" s="4"/>
      <c r="Y79" s="34"/>
      <c r="Z79" s="41"/>
      <c r="AA79" s="33"/>
      <c r="AB79" s="41"/>
      <c r="AC79" s="34"/>
      <c r="AD79" s="41"/>
      <c r="AE79" s="4"/>
      <c r="AF79" s="34"/>
      <c r="AG79" s="37"/>
    </row>
    <row r="80" spans="1:33" x14ac:dyDescent="0.2">
      <c r="R80" s="4"/>
      <c r="S80" s="4"/>
      <c r="T80" s="33"/>
      <c r="U80" s="41"/>
      <c r="V80" s="34"/>
      <c r="W80" s="41"/>
      <c r="X80" s="4"/>
      <c r="Y80" s="34"/>
      <c r="Z80" s="41"/>
      <c r="AA80" s="33"/>
      <c r="AB80" s="41"/>
      <c r="AC80" s="34"/>
      <c r="AD80" s="41"/>
      <c r="AE80" s="4"/>
      <c r="AF80" s="34"/>
      <c r="AG80" s="37"/>
    </row>
    <row r="81" spans="18:33" x14ac:dyDescent="0.2">
      <c r="R81" s="4"/>
      <c r="S81" s="4"/>
      <c r="T81" s="33"/>
      <c r="U81" s="41"/>
      <c r="V81" s="34"/>
      <c r="W81" s="41"/>
      <c r="X81" s="4"/>
      <c r="Y81" s="34"/>
      <c r="Z81" s="41"/>
      <c r="AA81" s="33"/>
      <c r="AB81" s="41"/>
      <c r="AC81" s="34"/>
      <c r="AD81" s="41"/>
      <c r="AE81" s="4"/>
      <c r="AF81" s="34"/>
      <c r="AG81" s="37"/>
    </row>
    <row r="82" spans="18:33" x14ac:dyDescent="0.2">
      <c r="R82" s="4"/>
      <c r="S82" s="4"/>
      <c r="T82" s="33"/>
      <c r="U82" s="41"/>
      <c r="V82" s="34"/>
      <c r="W82" s="41"/>
      <c r="X82" s="4"/>
      <c r="Y82" s="34"/>
      <c r="Z82" s="41"/>
      <c r="AA82" s="33"/>
      <c r="AB82" s="41"/>
      <c r="AC82" s="34"/>
      <c r="AD82" s="41"/>
      <c r="AE82" s="4"/>
      <c r="AF82" s="34"/>
      <c r="AG82" s="37"/>
    </row>
    <row r="83" spans="18:33" x14ac:dyDescent="0.2">
      <c r="R83" s="4"/>
      <c r="S83" s="4"/>
      <c r="T83" s="33"/>
      <c r="U83" s="41"/>
      <c r="V83" s="34"/>
      <c r="W83" s="41"/>
      <c r="X83" s="4"/>
      <c r="Y83" s="34"/>
      <c r="Z83" s="41"/>
      <c r="AA83" s="33"/>
      <c r="AB83" s="41"/>
      <c r="AC83" s="34"/>
      <c r="AD83" s="41"/>
      <c r="AE83" s="4"/>
      <c r="AF83" s="34"/>
      <c r="AG83" s="37"/>
    </row>
    <row r="84" spans="18:33" x14ac:dyDescent="0.2">
      <c r="R84" s="4"/>
      <c r="S84" s="4"/>
      <c r="T84" s="33"/>
      <c r="U84" s="41"/>
      <c r="V84" s="34"/>
      <c r="W84" s="41"/>
      <c r="X84" s="4"/>
      <c r="Y84" s="34"/>
      <c r="Z84" s="41"/>
      <c r="AA84" s="33"/>
      <c r="AB84" s="41"/>
      <c r="AC84" s="34"/>
      <c r="AD84" s="41"/>
      <c r="AE84" s="4"/>
      <c r="AF84" s="34"/>
      <c r="AG84" s="37"/>
    </row>
    <row r="85" spans="18:33" x14ac:dyDescent="0.2">
      <c r="R85" s="4"/>
      <c r="S85" s="4"/>
      <c r="T85" s="33"/>
      <c r="U85" s="41"/>
      <c r="V85" s="34"/>
      <c r="W85" s="41"/>
      <c r="X85" s="4"/>
      <c r="Y85" s="34"/>
      <c r="Z85" s="41"/>
      <c r="AA85" s="33"/>
      <c r="AB85" s="41"/>
      <c r="AC85" s="34"/>
      <c r="AD85" s="41"/>
      <c r="AE85" s="4"/>
      <c r="AF85" s="34"/>
      <c r="AG85" s="37"/>
    </row>
    <row r="86" spans="18:33" x14ac:dyDescent="0.2">
      <c r="R86" s="4"/>
      <c r="S86" s="4"/>
      <c r="T86" s="33"/>
      <c r="U86" s="41"/>
      <c r="V86" s="34"/>
      <c r="W86" s="41"/>
      <c r="X86" s="4"/>
      <c r="Y86" s="34"/>
      <c r="Z86" s="41"/>
      <c r="AA86" s="33"/>
      <c r="AB86" s="41"/>
      <c r="AC86" s="34"/>
      <c r="AD86" s="41"/>
      <c r="AE86" s="4"/>
      <c r="AF86" s="34"/>
      <c r="AG86" s="37"/>
    </row>
    <row r="87" spans="18:33" x14ac:dyDescent="0.2">
      <c r="R87" s="4"/>
      <c r="S87" s="4"/>
      <c r="T87" s="33"/>
      <c r="U87" s="41"/>
      <c r="V87" s="34"/>
      <c r="W87" s="41"/>
      <c r="X87" s="4"/>
      <c r="Y87" s="34"/>
      <c r="Z87" s="41"/>
      <c r="AA87" s="33"/>
      <c r="AB87" s="41"/>
      <c r="AC87" s="34"/>
      <c r="AD87" s="41"/>
      <c r="AE87" s="4"/>
      <c r="AF87" s="34"/>
      <c r="AG87" s="37"/>
    </row>
    <row r="88" spans="18:33" x14ac:dyDescent="0.2">
      <c r="R88" s="4"/>
      <c r="S88" s="4"/>
      <c r="T88" s="33"/>
      <c r="U88" s="41"/>
      <c r="V88" s="34"/>
      <c r="W88" s="41"/>
      <c r="X88" s="4"/>
      <c r="Y88" s="34"/>
      <c r="Z88" s="41"/>
      <c r="AA88" s="33"/>
      <c r="AB88" s="41"/>
      <c r="AC88" s="34"/>
      <c r="AD88" s="41"/>
      <c r="AE88" s="4"/>
      <c r="AF88" s="34"/>
      <c r="AG88" s="37"/>
    </row>
    <row r="89" spans="18:33" x14ac:dyDescent="0.2">
      <c r="R89" s="4"/>
      <c r="S89" s="4"/>
      <c r="T89" s="33"/>
      <c r="U89" s="41"/>
      <c r="V89" s="34"/>
      <c r="W89" s="41"/>
      <c r="X89" s="4"/>
      <c r="Y89" s="34"/>
      <c r="Z89" s="41"/>
      <c r="AA89" s="33"/>
      <c r="AB89" s="41"/>
      <c r="AC89" s="34"/>
      <c r="AD89" s="41"/>
      <c r="AE89" s="4"/>
      <c r="AF89" s="34"/>
      <c r="AG89" s="37"/>
    </row>
    <row r="90" spans="18:33" x14ac:dyDescent="0.2">
      <c r="R90" s="4"/>
      <c r="S90" s="4"/>
      <c r="T90" s="33"/>
      <c r="U90" s="41"/>
      <c r="V90" s="34"/>
      <c r="W90" s="41"/>
      <c r="X90" s="4"/>
      <c r="Y90" s="34"/>
      <c r="Z90" s="41"/>
      <c r="AA90" s="33"/>
      <c r="AB90" s="41"/>
      <c r="AC90" s="34"/>
      <c r="AD90" s="41"/>
      <c r="AE90" s="4"/>
      <c r="AF90" s="34"/>
      <c r="AG90" s="37"/>
    </row>
    <row r="91" spans="18:33" x14ac:dyDescent="0.2">
      <c r="R91" s="4"/>
      <c r="S91" s="4"/>
      <c r="T91" s="33"/>
      <c r="U91" s="41"/>
      <c r="V91" s="34"/>
      <c r="W91" s="41"/>
      <c r="X91" s="4"/>
      <c r="Y91" s="34"/>
      <c r="Z91" s="41"/>
      <c r="AA91" s="33"/>
      <c r="AB91" s="41"/>
      <c r="AC91" s="34"/>
      <c r="AD91" s="41"/>
      <c r="AE91" s="4"/>
      <c r="AF91" s="34"/>
      <c r="AG91" s="37"/>
    </row>
    <row r="92" spans="18:33" x14ac:dyDescent="0.2">
      <c r="R92" s="4"/>
      <c r="S92" s="4"/>
      <c r="T92" s="33"/>
      <c r="U92" s="41"/>
      <c r="V92" s="34"/>
      <c r="W92" s="41"/>
      <c r="X92" s="4"/>
      <c r="Y92" s="34"/>
      <c r="Z92" s="41"/>
      <c r="AA92" s="33"/>
      <c r="AB92" s="41"/>
      <c r="AC92" s="34"/>
      <c r="AD92" s="41"/>
      <c r="AE92" s="4"/>
      <c r="AF92" s="34"/>
      <c r="AG92" s="37"/>
    </row>
    <row r="93" spans="18:33" x14ac:dyDescent="0.2">
      <c r="R93" s="4"/>
      <c r="S93" s="4"/>
      <c r="T93" s="33"/>
      <c r="U93" s="41"/>
      <c r="V93" s="34"/>
      <c r="W93" s="41"/>
      <c r="X93" s="4"/>
      <c r="Y93" s="34"/>
      <c r="Z93" s="41"/>
      <c r="AA93" s="33"/>
      <c r="AB93" s="41"/>
      <c r="AC93" s="34"/>
      <c r="AD93" s="41"/>
      <c r="AE93" s="4"/>
      <c r="AF93" s="34"/>
      <c r="AG93" s="37"/>
    </row>
    <row r="94" spans="18:33" x14ac:dyDescent="0.2">
      <c r="R94" s="4"/>
      <c r="S94" s="4"/>
      <c r="T94" s="33"/>
      <c r="U94" s="41"/>
      <c r="V94" s="34"/>
      <c r="W94" s="41"/>
      <c r="X94" s="4"/>
      <c r="Y94" s="34"/>
      <c r="Z94" s="41"/>
      <c r="AA94" s="33"/>
      <c r="AB94" s="41"/>
      <c r="AC94" s="34"/>
      <c r="AD94" s="41"/>
      <c r="AE94" s="4"/>
      <c r="AF94" s="34"/>
      <c r="AG94" s="37"/>
    </row>
    <row r="95" spans="18:33" x14ac:dyDescent="0.2">
      <c r="R95" s="4"/>
      <c r="S95" s="4"/>
      <c r="T95" s="33"/>
      <c r="U95" s="41"/>
      <c r="V95" s="34"/>
      <c r="W95" s="41"/>
      <c r="X95" s="4"/>
      <c r="Y95" s="34"/>
      <c r="Z95" s="41"/>
      <c r="AA95" s="33"/>
      <c r="AB95" s="41"/>
      <c r="AC95" s="34"/>
      <c r="AD95" s="41"/>
      <c r="AE95" s="4"/>
      <c r="AF95" s="34"/>
      <c r="AG95" s="37"/>
    </row>
    <row r="96" spans="18:33" x14ac:dyDescent="0.2">
      <c r="R96" s="4"/>
      <c r="S96" s="4"/>
      <c r="T96" s="33"/>
      <c r="U96" s="41"/>
      <c r="V96" s="34"/>
      <c r="W96" s="41"/>
      <c r="X96" s="4"/>
      <c r="Y96" s="34"/>
      <c r="Z96" s="41"/>
      <c r="AA96" s="33"/>
      <c r="AB96" s="41"/>
      <c r="AC96" s="34"/>
      <c r="AD96" s="41"/>
      <c r="AE96" s="4"/>
      <c r="AF96" s="34"/>
      <c r="AG96" s="37"/>
    </row>
    <row r="97" spans="18:33" x14ac:dyDescent="0.2">
      <c r="R97" s="4"/>
      <c r="S97" s="4"/>
      <c r="T97" s="33"/>
      <c r="U97" s="41"/>
      <c r="V97" s="34"/>
      <c r="W97" s="41"/>
      <c r="X97" s="4"/>
      <c r="Y97" s="34"/>
      <c r="Z97" s="41"/>
      <c r="AA97" s="33"/>
      <c r="AB97" s="41"/>
      <c r="AC97" s="34"/>
      <c r="AD97" s="41"/>
      <c r="AE97" s="4"/>
      <c r="AF97" s="34"/>
      <c r="AG97" s="37"/>
    </row>
    <row r="98" spans="18:33" x14ac:dyDescent="0.2">
      <c r="R98" s="4"/>
      <c r="S98" s="4"/>
      <c r="T98" s="33"/>
      <c r="U98" s="41"/>
      <c r="V98" s="34"/>
      <c r="W98" s="41"/>
      <c r="X98" s="4"/>
      <c r="Y98" s="34"/>
      <c r="Z98" s="41"/>
      <c r="AA98" s="33"/>
      <c r="AB98" s="41"/>
      <c r="AC98" s="34"/>
      <c r="AD98" s="41"/>
      <c r="AE98" s="4"/>
      <c r="AF98" s="34"/>
      <c r="AG98" s="37"/>
    </row>
    <row r="99" spans="18:33" x14ac:dyDescent="0.2">
      <c r="R99" s="4"/>
      <c r="S99" s="4"/>
      <c r="T99" s="33"/>
      <c r="U99" s="41"/>
      <c r="V99" s="34"/>
      <c r="W99" s="41"/>
      <c r="X99" s="4"/>
      <c r="Y99" s="34"/>
      <c r="Z99" s="41"/>
      <c r="AA99" s="33"/>
      <c r="AB99" s="41"/>
      <c r="AC99" s="34"/>
      <c r="AD99" s="41"/>
      <c r="AE99" s="4"/>
      <c r="AF99" s="34"/>
      <c r="AG99" s="37"/>
    </row>
    <row r="100" spans="18:33" x14ac:dyDescent="0.2">
      <c r="R100" s="4"/>
      <c r="S100" s="4"/>
      <c r="T100" s="33"/>
      <c r="U100" s="41"/>
      <c r="V100" s="34"/>
      <c r="W100" s="41"/>
      <c r="X100" s="4"/>
      <c r="Y100" s="34"/>
      <c r="Z100" s="41"/>
      <c r="AA100" s="33"/>
      <c r="AB100" s="41"/>
      <c r="AC100" s="34"/>
      <c r="AD100" s="41"/>
      <c r="AE100" s="4"/>
      <c r="AF100" s="34"/>
      <c r="AG100" s="37"/>
    </row>
    <row r="101" spans="18:33" x14ac:dyDescent="0.2">
      <c r="R101" s="4"/>
      <c r="S101" s="4"/>
      <c r="T101" s="33"/>
      <c r="U101" s="41"/>
      <c r="V101" s="34"/>
      <c r="W101" s="41"/>
      <c r="X101" s="4"/>
      <c r="Y101" s="34"/>
      <c r="Z101" s="41"/>
      <c r="AA101" s="33"/>
      <c r="AB101" s="41"/>
      <c r="AC101" s="34"/>
      <c r="AD101" s="41"/>
      <c r="AE101" s="4"/>
      <c r="AF101" s="34"/>
      <c r="AG101" s="37"/>
    </row>
    <row r="102" spans="18:33" x14ac:dyDescent="0.2">
      <c r="R102" s="4"/>
      <c r="S102" s="4"/>
      <c r="T102" s="33"/>
      <c r="U102" s="41"/>
      <c r="V102" s="34"/>
      <c r="W102" s="41"/>
      <c r="X102" s="4"/>
      <c r="Y102" s="34"/>
      <c r="Z102" s="41"/>
      <c r="AA102" s="33"/>
      <c r="AB102" s="41"/>
      <c r="AC102" s="34"/>
      <c r="AD102" s="41"/>
      <c r="AE102" s="4"/>
      <c r="AF102" s="34"/>
      <c r="AG102" s="37"/>
    </row>
    <row r="103" spans="18:33" x14ac:dyDescent="0.2">
      <c r="R103" s="4"/>
      <c r="S103" s="4"/>
      <c r="T103" s="33"/>
      <c r="U103" s="41"/>
      <c r="V103" s="34"/>
      <c r="W103" s="41"/>
      <c r="X103" s="4"/>
      <c r="Y103" s="34"/>
      <c r="Z103" s="41"/>
      <c r="AA103" s="33"/>
      <c r="AB103" s="41"/>
      <c r="AC103" s="34"/>
      <c r="AD103" s="41"/>
      <c r="AE103" s="4"/>
      <c r="AF103" s="34"/>
      <c r="AG103" s="37"/>
    </row>
    <row r="104" spans="18:33" x14ac:dyDescent="0.2">
      <c r="R104" s="4"/>
      <c r="S104" s="4"/>
      <c r="T104" s="33"/>
      <c r="U104" s="41"/>
      <c r="V104" s="34"/>
      <c r="W104" s="41"/>
      <c r="X104" s="4"/>
      <c r="Y104" s="34"/>
      <c r="Z104" s="41"/>
      <c r="AA104" s="33"/>
      <c r="AB104" s="41"/>
      <c r="AC104" s="34"/>
      <c r="AD104" s="41"/>
      <c r="AE104" s="4"/>
      <c r="AF104" s="34"/>
      <c r="AG104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7">
      <sortCondition descending="1" ref="G1:G78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6" priority="9">
      <formula>IF($G1="17-21",1,0)</formula>
    </cfRule>
    <cfRule type="expression" dxfId="5" priority="10">
      <formula>IF($G1="15-16",1,0)</formula>
    </cfRule>
    <cfRule type="expression" dxfId="4" priority="11">
      <formula>IF($G1="13-14",1,0)</formula>
    </cfRule>
    <cfRule type="expression" dxfId="3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G3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30</v>
      </c>
      <c r="S1" s="71" t="s">
        <v>57</v>
      </c>
      <c r="T1" s="73" t="s">
        <v>46</v>
      </c>
      <c r="U1" s="73"/>
      <c r="V1" s="73"/>
      <c r="W1" s="73"/>
      <c r="X1" s="73"/>
      <c r="Y1" s="73"/>
      <c r="Z1" s="73"/>
      <c r="AA1" s="73" t="s">
        <v>45</v>
      </c>
      <c r="AB1" s="73"/>
      <c r="AC1" s="73"/>
      <c r="AD1" s="73"/>
      <c r="AE1" s="73"/>
      <c r="AF1" s="73"/>
      <c r="AG1" s="73"/>
    </row>
    <row r="2" spans="1:33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53</v>
      </c>
      <c r="U2" s="7" t="s">
        <v>54</v>
      </c>
      <c r="V2" s="7" t="s">
        <v>55</v>
      </c>
      <c r="W2" s="7" t="s">
        <v>56</v>
      </c>
      <c r="X2" s="7" t="s">
        <v>16</v>
      </c>
      <c r="Y2" s="7" t="s">
        <v>6</v>
      </c>
      <c r="Z2" s="7" t="s">
        <v>8</v>
      </c>
      <c r="AA2" s="8" t="s">
        <v>53</v>
      </c>
      <c r="AB2" s="7" t="s">
        <v>54</v>
      </c>
      <c r="AC2" s="7" t="s">
        <v>55</v>
      </c>
      <c r="AD2" s="7" t="s">
        <v>56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t="str" cm="1">
        <f t="array" ref="A3">IF(I3="","",IF(P3&lt;&gt;"",SUMPRODUCT((P$3:P$3&lt;&gt;"")*(G$3:G$3=G3)*(J$3:J$3&gt;J3)*(I$3:I$3="P"))+1,IF(O3&lt;&gt;"",SUMPRODUCT((O$3:O$3&lt;&gt;"")*(P$3:P$3="")*(G$3:G$3=G3)*(J$3:J$3&gt;J3)*(I$3:I$3="P"))+SUMPRODUCT((P$3:P$3&lt;&gt;"")*(G$3:G$3=G3))+1,IF(N3&lt;&gt;"",SUMPRODUCT((N$3:N$3&lt;&gt;"")*(G$3:G$3=G3)*(J$3:J$3&gt;J3)*(I$3:I$3="P"))+1,IF(M3="P",SUMPRODUCT((O$3:O$3&lt;&gt;"")*(P$3:P$3="")*(G$3:G$3=G3)*(I$3:I$3="P"))+SUMPRODUCT((P$3:P$3&lt;&gt;"")*(G$3:G$3=G3)*(I$3:I$3="P"))+SUMPRODUCT((N$3:N$3&lt;&gt;"")*(G$3:G$3=G3)*(I$3:I$3="P"))+SUMPRODUCT((P$3:P$3="")*(O$3:O$3="")*(N$3:N$3="")*(M$3:M$3="P")*(G$3:G$3=G3)*(J$3:J$3&gt;J3)*(I$3:I$3="P"))+1,"")))))</f>
        <v/>
      </c>
      <c r="B3" s="1" t="str" cm="1">
        <f t="array" ref="B3">IF(P3&lt;&gt;"",SUMPRODUCT((P$3:P$3&lt;&gt;"")*(G$3:G$3=G3)*(J$3:J$3&gt;J3))+1,IF(O3&lt;&gt;"",SUMPRODUCT((O$3:O$3&lt;&gt;"")*(P$3:P$3="")*(G$3:G$3=G3)*(J$3:J$3&gt;J3))+SUMPRODUCT((P$3:P$3&lt;&gt;"")*(G$3:G$3=G3))+1,IF(N3&lt;&gt;"",SUMPRODUCT((N$3:N$3&lt;&gt;"")*(G$3:G$3=G3)*(J$3:J$3&gt;J3))+1,IF(M3="P",SUMPRODUCT((O$3:O$3&lt;&gt;"")*(P$3:P$3="")*(G$3:G$3=G3))+SUMPRODUCT((P$3:P$3&lt;&gt;"")*(G$3:G$3=G3))+SUMPRODUCT((N$3:N$3&lt;&gt;"")*(G$3:G$3=G3))+SUMPRODUCT((P$3:P$3="")*(O$3:O$3="")*(N$3:N$3="")*(M$3:M$3="P")*(G$3:G$3=G3)*(J$3:J$3&gt;J3))+1,""))))</f>
        <v/>
      </c>
      <c r="C3" s="36" t="s">
        <v>64</v>
      </c>
      <c r="D3" s="51" t="str">
        <f>IF(E3="","",VLOOKUP(E3,'Coaching Points'!A:B,2,0))</f>
        <v/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Not Age Eligible</v>
      </c>
      <c r="H3" s="1"/>
      <c r="I3" s="47"/>
      <c r="J3" s="4">
        <f>S3+IF(OR(H3="Junior",H3="Senior"),0.0002,IF(OR(H3="L7",H3="L6"),0.0001,0))+MAX(AA3,AC3,AF3)*0.0000001</f>
        <v>0</v>
      </c>
      <c r="K3" s="3" t="str">
        <f>IF(G3="Not Age Eligible","",IF(MAX(T3,V3,Y3,AA3,AC3,AF3)&gt;=LOOKUP(G3,'Qualifying Scores'!$A$4:$A$7,'Qualifying Scores'!$D$4:$D$7),"P",""))</f>
        <v/>
      </c>
      <c r="L3" s="3" t="str">
        <f>IF(G3="Not Age Eligible","",IF(MAX(U3,W3,Z3,AB3,AD3,AG3)&gt;=LOOKUP(G3,'Qualifying Scores'!$A$10:$A$13,'Qualifying Scores'!$D$10:$D$13),"P",""))</f>
        <v/>
      </c>
      <c r="M3" s="3" t="str">
        <f>IF(G3="Not Age Eligible","",IF(OR(AND(T3&gt;=LOOKUP(G3,'Qualifying Scores'!$A$4:$A$7,'Qualifying Scores'!$D$4:$D$7),U3&gt;=LOOKUP(G3,'Qualifying Scores'!$A$10:$A$13,'Qualifying Scores'!$D$10:$D$13)),AND(V3&gt;=LOOKUP(G3,'Qualifying Scores'!$A$4:$A$7,'Qualifying Scores'!$D$4:$D$7),W3&gt;=LOOKUP(G3,'Qualifying Scores'!$A$10:$A$13,'Qualifying Scores'!$D$10:$D$13)),AND(Y3&gt;=LOOKUP(G3,'Qualifying Scores'!$A$4:$A$7,'Qualifying Scores'!$D$4:$D$7),Z3&gt;=LOOKUP(G3,'Qualifying Scores'!$A$10:$A$13,'Qualifying Scores'!$D$10:$D$13)),AND(AA3&gt;=LOOKUP(G3,'Qualifying Scores'!$A$4:$A$7,'Qualifying Scores'!$D$4:$D$7),AB3&gt;=LOOKUP(G3,'Qualifying Scores'!$A$10:$A$13,'Qualifying Scores'!$D$10:$D$13)),AND(AC3&gt;=LOOKUP(G3,'Qualifying Scores'!$A$4:$A$7,'Qualifying Scores'!$D$4:$D$7),AD3&gt;=LOOKUP(G3,'Qualifying Scores'!$A$10:$A$13,'Qualifying Scores'!$D$10:$D$13)),AND(AF3&gt;=LOOKUP(G3,'Qualifying Scores'!$A$4:$A$7,'Qualifying Scores'!$D$4:$D$7),AG3&gt;=LOOKUP(G3,'Qualifying Scores'!$A$10:$A$13,'Qualifying Scores'!$D$10:$D$13))),"P",""))</f>
        <v/>
      </c>
      <c r="Q3" s="52" t="str">
        <f>IF(A3&lt;5,IF(_xlfn.MAXIFS(A:A,G:G,G3)&gt;3,5-A3,_xlfn.MAXIFS(A:A,G:G,G3)+1-A3),"")</f>
        <v/>
      </c>
      <c r="R3" s="4">
        <f>MAX(X3,AE3)</f>
        <v>0</v>
      </c>
      <c r="S3" s="4">
        <f>MAX(T3,V3,Y3,AA3,AC3,AF3)</f>
        <v>0</v>
      </c>
      <c r="T3" s="33"/>
      <c r="U3" s="41"/>
      <c r="V3" s="34"/>
      <c r="W3" s="41"/>
      <c r="X3" s="4">
        <f>IF(H3="Senior",MAX(T3,V3),T3+V3)</f>
        <v>0</v>
      </c>
      <c r="Y3" s="34"/>
      <c r="Z3" s="41"/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R4" s="4"/>
      <c r="S4" s="4"/>
      <c r="T4" s="33"/>
      <c r="U4" s="41"/>
      <c r="V4" s="34"/>
      <c r="W4" s="41"/>
      <c r="X4" s="4"/>
      <c r="Y4" s="34"/>
      <c r="Z4" s="41"/>
      <c r="AA4" s="33"/>
      <c r="AB4" s="41"/>
      <c r="AC4" s="34"/>
      <c r="AD4" s="41"/>
      <c r="AE4" s="4"/>
      <c r="AF4" s="34"/>
      <c r="AG4" s="37"/>
    </row>
    <row r="5" spans="1:33" x14ac:dyDescent="0.2">
      <c r="R5" s="4"/>
      <c r="S5" s="4"/>
      <c r="T5" s="33"/>
      <c r="U5" s="41"/>
      <c r="V5" s="34"/>
      <c r="W5" s="41"/>
      <c r="X5" s="4"/>
      <c r="Y5" s="34"/>
      <c r="Z5" s="41"/>
      <c r="AA5" s="33"/>
      <c r="AB5" s="41"/>
      <c r="AC5" s="34"/>
      <c r="AD5" s="41"/>
      <c r="AE5" s="4"/>
      <c r="AF5" s="34"/>
      <c r="AG5" s="37"/>
    </row>
    <row r="6" spans="1:33" x14ac:dyDescent="0.2">
      <c r="R6" s="4"/>
      <c r="S6" s="4"/>
      <c r="T6" s="33"/>
      <c r="U6" s="41"/>
      <c r="V6" s="34"/>
      <c r="W6" s="41"/>
      <c r="X6" s="4"/>
      <c r="Y6" s="34"/>
      <c r="Z6" s="41"/>
      <c r="AA6" s="33"/>
      <c r="AB6" s="41"/>
      <c r="AC6" s="34"/>
      <c r="AD6" s="41"/>
      <c r="AE6" s="4"/>
      <c r="AF6" s="34"/>
      <c r="AG6" s="37"/>
    </row>
    <row r="7" spans="1:33" x14ac:dyDescent="0.2">
      <c r="R7" s="4"/>
      <c r="S7" s="4"/>
      <c r="T7" s="33"/>
      <c r="U7" s="41"/>
      <c r="V7" s="34"/>
      <c r="W7" s="41"/>
      <c r="X7" s="4"/>
      <c r="Y7" s="34"/>
      <c r="Z7" s="41"/>
      <c r="AA7" s="33"/>
      <c r="AB7" s="41"/>
      <c r="AC7" s="34"/>
      <c r="AD7" s="41"/>
      <c r="AE7" s="4"/>
      <c r="AF7" s="34"/>
      <c r="AG7" s="37"/>
    </row>
    <row r="8" spans="1:33" x14ac:dyDescent="0.2">
      <c r="R8" s="4"/>
      <c r="S8" s="4"/>
      <c r="T8" s="33"/>
      <c r="U8" s="41"/>
      <c r="V8" s="34"/>
      <c r="W8" s="41"/>
      <c r="X8" s="4"/>
      <c r="Y8" s="34"/>
      <c r="Z8" s="41"/>
      <c r="AA8" s="33"/>
      <c r="AB8" s="41"/>
      <c r="AC8" s="34"/>
      <c r="AD8" s="41"/>
      <c r="AE8" s="4"/>
      <c r="AF8" s="34"/>
      <c r="AG8" s="37"/>
    </row>
    <row r="9" spans="1:33" x14ac:dyDescent="0.2">
      <c r="R9" s="4"/>
      <c r="S9" s="4"/>
      <c r="T9" s="33"/>
      <c r="U9" s="41"/>
      <c r="V9" s="34"/>
      <c r="W9" s="41"/>
      <c r="X9" s="4"/>
      <c r="Y9" s="34"/>
      <c r="Z9" s="41"/>
      <c r="AA9" s="33"/>
      <c r="AB9" s="41"/>
      <c r="AC9" s="34"/>
      <c r="AD9" s="41"/>
      <c r="AE9" s="4"/>
      <c r="AF9" s="34"/>
      <c r="AG9" s="37"/>
    </row>
    <row r="10" spans="1:33" x14ac:dyDescent="0.2">
      <c r="R10" s="4"/>
      <c r="S10" s="4"/>
      <c r="T10" s="33"/>
      <c r="U10" s="41"/>
      <c r="V10" s="34"/>
      <c r="W10" s="41"/>
      <c r="X10" s="4"/>
      <c r="Y10" s="34"/>
      <c r="Z10" s="41"/>
      <c r="AA10" s="33"/>
      <c r="AB10" s="41"/>
      <c r="AC10" s="34"/>
      <c r="AD10" s="41"/>
      <c r="AE10" s="4"/>
      <c r="AF10" s="34"/>
      <c r="AG10" s="37"/>
    </row>
    <row r="11" spans="1:33" x14ac:dyDescent="0.2">
      <c r="R11" s="4"/>
      <c r="S11" s="4"/>
      <c r="T11" s="33"/>
      <c r="U11" s="41"/>
      <c r="V11" s="34"/>
      <c r="W11" s="41"/>
      <c r="X11" s="4"/>
      <c r="Y11" s="34"/>
      <c r="Z11" s="41"/>
      <c r="AA11" s="33"/>
      <c r="AB11" s="41"/>
      <c r="AC11" s="34"/>
      <c r="AD11" s="41"/>
      <c r="AE11" s="4"/>
      <c r="AF11" s="34"/>
      <c r="AG11" s="37"/>
    </row>
    <row r="12" spans="1:33" x14ac:dyDescent="0.2">
      <c r="R12" s="4"/>
      <c r="S12" s="4"/>
      <c r="T12" s="33"/>
      <c r="U12" s="41"/>
      <c r="V12" s="34"/>
      <c r="W12" s="41"/>
      <c r="X12" s="4"/>
      <c r="Y12" s="34"/>
      <c r="Z12" s="41"/>
      <c r="AA12" s="33"/>
      <c r="AB12" s="41"/>
      <c r="AC12" s="34"/>
      <c r="AD12" s="41"/>
      <c r="AE12" s="4"/>
      <c r="AF12" s="34"/>
      <c r="AG12" s="37"/>
    </row>
    <row r="13" spans="1:33" x14ac:dyDescent="0.2">
      <c r="R13" s="4"/>
      <c r="S13" s="4"/>
      <c r="T13" s="33"/>
      <c r="U13" s="41"/>
      <c r="V13" s="34"/>
      <c r="W13" s="41"/>
      <c r="X13" s="4"/>
      <c r="Y13" s="34"/>
      <c r="Z13" s="41"/>
      <c r="AA13" s="33"/>
      <c r="AB13" s="41"/>
      <c r="AC13" s="34"/>
      <c r="AD13" s="41"/>
      <c r="AE13" s="4"/>
      <c r="AF13" s="34"/>
      <c r="AG13" s="37"/>
    </row>
    <row r="14" spans="1:33" x14ac:dyDescent="0.2">
      <c r="R14" s="4"/>
      <c r="S14" s="4"/>
      <c r="T14" s="33"/>
      <c r="U14" s="41"/>
      <c r="V14" s="34"/>
      <c r="W14" s="41"/>
      <c r="X14" s="4"/>
      <c r="Y14" s="34"/>
      <c r="Z14" s="41"/>
      <c r="AA14" s="33"/>
      <c r="AB14" s="41"/>
      <c r="AC14" s="34"/>
      <c r="AD14" s="41"/>
      <c r="AE14" s="4"/>
      <c r="AF14" s="34"/>
      <c r="AG14" s="37"/>
    </row>
    <row r="15" spans="1:33" x14ac:dyDescent="0.2">
      <c r="R15" s="4"/>
      <c r="S15" s="4"/>
      <c r="T15" s="33"/>
      <c r="U15" s="41"/>
      <c r="V15" s="34"/>
      <c r="W15" s="41"/>
      <c r="X15" s="4"/>
      <c r="Y15" s="34"/>
      <c r="Z15" s="41"/>
      <c r="AA15" s="33"/>
      <c r="AB15" s="41"/>
      <c r="AC15" s="34"/>
      <c r="AD15" s="41"/>
      <c r="AE15" s="4"/>
      <c r="AF15" s="34"/>
      <c r="AG15" s="37"/>
    </row>
    <row r="16" spans="1:33" x14ac:dyDescent="0.2">
      <c r="R16" s="4"/>
      <c r="S16" s="4"/>
      <c r="T16" s="33"/>
      <c r="U16" s="41"/>
      <c r="V16" s="34"/>
      <c r="W16" s="41"/>
      <c r="X16" s="4"/>
      <c r="Y16" s="34"/>
      <c r="Z16" s="41"/>
      <c r="AA16" s="33"/>
      <c r="AB16" s="41"/>
      <c r="AC16" s="34"/>
      <c r="AD16" s="41"/>
      <c r="AE16" s="4"/>
      <c r="AF16" s="34"/>
      <c r="AG16" s="37"/>
    </row>
    <row r="17" spans="18:33" x14ac:dyDescent="0.2">
      <c r="R17" s="4"/>
      <c r="S17" s="4"/>
      <c r="T17" s="33"/>
      <c r="U17" s="41"/>
      <c r="V17" s="34"/>
      <c r="W17" s="41"/>
      <c r="X17" s="4"/>
      <c r="Y17" s="34"/>
      <c r="Z17" s="41"/>
      <c r="AA17" s="33"/>
      <c r="AB17" s="41"/>
      <c r="AC17" s="34"/>
      <c r="AD17" s="41"/>
      <c r="AE17" s="4"/>
      <c r="AF17" s="34"/>
      <c r="AG17" s="37"/>
    </row>
    <row r="18" spans="18:33" x14ac:dyDescent="0.2">
      <c r="R18" s="4"/>
      <c r="S18" s="4"/>
      <c r="T18" s="33"/>
      <c r="U18" s="41"/>
      <c r="V18" s="34"/>
      <c r="W18" s="41"/>
      <c r="X18" s="4"/>
      <c r="Y18" s="34"/>
      <c r="Z18" s="41"/>
      <c r="AA18" s="33"/>
      <c r="AB18" s="41"/>
      <c r="AC18" s="34"/>
      <c r="AD18" s="41"/>
      <c r="AE18" s="4"/>
      <c r="AF18" s="34"/>
      <c r="AG18" s="37"/>
    </row>
    <row r="19" spans="18:33" x14ac:dyDescent="0.2">
      <c r="R19" s="4"/>
      <c r="S19" s="4"/>
      <c r="T19" s="33"/>
      <c r="U19" s="41"/>
      <c r="V19" s="34"/>
      <c r="W19" s="41"/>
      <c r="X19" s="4"/>
      <c r="Y19" s="34"/>
      <c r="Z19" s="41"/>
      <c r="AA19" s="33"/>
      <c r="AB19" s="41"/>
      <c r="AC19" s="34"/>
      <c r="AD19" s="41"/>
      <c r="AE19" s="4"/>
      <c r="AF19" s="34"/>
      <c r="AG19" s="37"/>
    </row>
    <row r="20" spans="18:33" x14ac:dyDescent="0.2">
      <c r="R20" s="4"/>
      <c r="S20" s="4"/>
      <c r="T20" s="33"/>
      <c r="U20" s="41"/>
      <c r="V20" s="34"/>
      <c r="W20" s="41"/>
      <c r="X20" s="4"/>
      <c r="Y20" s="34"/>
      <c r="Z20" s="41"/>
      <c r="AA20" s="33"/>
      <c r="AB20" s="41"/>
      <c r="AC20" s="34"/>
      <c r="AD20" s="41"/>
      <c r="AE20" s="4"/>
      <c r="AF20" s="34"/>
      <c r="AG20" s="37"/>
    </row>
    <row r="21" spans="18:33" x14ac:dyDescent="0.2">
      <c r="R21" s="4"/>
      <c r="S21" s="4"/>
      <c r="T21" s="33"/>
      <c r="U21" s="41"/>
      <c r="V21" s="34"/>
      <c r="W21" s="41"/>
      <c r="X21" s="4"/>
      <c r="Y21" s="34"/>
      <c r="Z21" s="41"/>
      <c r="AA21" s="33"/>
      <c r="AB21" s="41"/>
      <c r="AC21" s="34"/>
      <c r="AD21" s="41"/>
      <c r="AE21" s="4"/>
      <c r="AF21" s="34"/>
      <c r="AG21" s="37"/>
    </row>
    <row r="22" spans="18:33" x14ac:dyDescent="0.2">
      <c r="R22" s="4"/>
      <c r="S22" s="4"/>
      <c r="T22" s="33"/>
      <c r="U22" s="41"/>
      <c r="V22" s="34"/>
      <c r="W22" s="41"/>
      <c r="X22" s="4"/>
      <c r="Y22" s="34"/>
      <c r="Z22" s="41"/>
      <c r="AA22" s="33"/>
      <c r="AB22" s="41"/>
      <c r="AC22" s="34"/>
      <c r="AD22" s="41"/>
      <c r="AE22" s="4"/>
      <c r="AF22" s="34"/>
      <c r="AG22" s="37"/>
    </row>
    <row r="23" spans="18:33" x14ac:dyDescent="0.2">
      <c r="R23" s="4"/>
      <c r="S23" s="4"/>
      <c r="T23" s="33"/>
      <c r="U23" s="41"/>
      <c r="V23" s="34"/>
      <c r="W23" s="41"/>
      <c r="X23" s="4"/>
      <c r="Y23" s="34"/>
      <c r="Z23" s="41"/>
      <c r="AA23" s="33"/>
      <c r="AB23" s="41"/>
      <c r="AC23" s="34"/>
      <c r="AD23" s="41"/>
      <c r="AE23" s="4"/>
      <c r="AF23" s="34"/>
      <c r="AG23" s="37"/>
    </row>
    <row r="24" spans="18:33" x14ac:dyDescent="0.2">
      <c r="R24" s="4"/>
      <c r="S24" s="4"/>
      <c r="T24" s="33"/>
      <c r="U24" s="41"/>
      <c r="V24" s="34"/>
      <c r="W24" s="41"/>
      <c r="X24" s="4"/>
      <c r="Y24" s="34"/>
      <c r="Z24" s="41"/>
      <c r="AA24" s="33"/>
      <c r="AB24" s="41"/>
      <c r="AC24" s="34"/>
      <c r="AD24" s="41"/>
      <c r="AE24" s="4"/>
      <c r="AF24" s="34"/>
      <c r="AG24" s="37"/>
    </row>
    <row r="25" spans="18:33" x14ac:dyDescent="0.2">
      <c r="R25" s="4"/>
      <c r="S25" s="4"/>
      <c r="T25" s="33"/>
      <c r="U25" s="41"/>
      <c r="V25" s="34"/>
      <c r="W25" s="41"/>
      <c r="X25" s="4"/>
      <c r="Y25" s="34"/>
      <c r="Z25" s="41"/>
      <c r="AA25" s="33"/>
      <c r="AB25" s="41"/>
      <c r="AC25" s="34"/>
      <c r="AD25" s="41"/>
      <c r="AE25" s="4"/>
      <c r="AF25" s="34"/>
      <c r="AG25" s="37"/>
    </row>
    <row r="26" spans="18:33" x14ac:dyDescent="0.2">
      <c r="R26" s="4"/>
      <c r="S26" s="4"/>
      <c r="T26" s="33"/>
      <c r="U26" s="41"/>
      <c r="V26" s="34"/>
      <c r="W26" s="41"/>
      <c r="X26" s="4"/>
      <c r="Y26" s="34"/>
      <c r="Z26" s="41"/>
      <c r="AA26" s="33"/>
      <c r="AB26" s="41"/>
      <c r="AC26" s="34"/>
      <c r="AD26" s="41"/>
      <c r="AE26" s="4"/>
      <c r="AF26" s="34"/>
      <c r="AG26" s="37"/>
    </row>
    <row r="27" spans="18:33" x14ac:dyDescent="0.2">
      <c r="R27" s="4"/>
      <c r="S27" s="4"/>
      <c r="T27" s="33"/>
      <c r="U27" s="41"/>
      <c r="V27" s="34"/>
      <c r="W27" s="41"/>
      <c r="X27" s="4"/>
      <c r="Y27" s="34"/>
      <c r="Z27" s="41"/>
      <c r="AA27" s="33"/>
      <c r="AB27" s="41"/>
      <c r="AC27" s="34"/>
      <c r="AD27" s="41"/>
      <c r="AE27" s="4"/>
      <c r="AF27" s="34"/>
      <c r="AG27" s="37"/>
    </row>
    <row r="28" spans="18:33" x14ac:dyDescent="0.2">
      <c r="R28" s="4"/>
      <c r="S28" s="4"/>
      <c r="T28" s="33"/>
      <c r="U28" s="41"/>
      <c r="V28" s="34"/>
      <c r="W28" s="41"/>
      <c r="X28" s="4"/>
      <c r="Y28" s="34"/>
      <c r="Z28" s="41"/>
      <c r="AA28" s="33"/>
      <c r="AB28" s="41"/>
      <c r="AC28" s="34"/>
      <c r="AD28" s="41"/>
      <c r="AE28" s="4"/>
      <c r="AF28" s="34"/>
      <c r="AG28" s="37"/>
    </row>
    <row r="29" spans="18:33" x14ac:dyDescent="0.2">
      <c r="R29" s="4"/>
      <c r="S29" s="4"/>
      <c r="T29" s="33"/>
      <c r="U29" s="41"/>
      <c r="V29" s="34"/>
      <c r="W29" s="41"/>
      <c r="X29" s="4"/>
      <c r="Y29" s="34"/>
      <c r="Z29" s="41"/>
      <c r="AA29" s="33"/>
      <c r="AB29" s="41"/>
      <c r="AC29" s="34"/>
      <c r="AD29" s="41"/>
      <c r="AE29" s="4"/>
      <c r="AF29" s="34"/>
      <c r="AG29" s="37"/>
    </row>
    <row r="30" spans="18:33" x14ac:dyDescent="0.2">
      <c r="R30" s="4"/>
      <c r="S30" s="4"/>
      <c r="T30" s="33"/>
      <c r="U30" s="41"/>
      <c r="V30" s="34"/>
      <c r="W30" s="41"/>
      <c r="X30" s="4"/>
      <c r="Y30" s="34"/>
      <c r="Z30" s="41"/>
      <c r="AA30" s="33"/>
      <c r="AB30" s="41"/>
      <c r="AC30" s="34"/>
      <c r="AD30" s="41"/>
      <c r="AE30" s="4"/>
      <c r="AF30" s="34"/>
      <c r="AG30" s="37"/>
    </row>
    <row r="31" spans="18:33" x14ac:dyDescent="0.2">
      <c r="R31" s="4"/>
      <c r="S31" s="4"/>
      <c r="T31" s="33"/>
      <c r="U31" s="41"/>
      <c r="V31" s="34"/>
      <c r="W31" s="41"/>
      <c r="X31" s="4"/>
      <c r="Y31" s="34"/>
      <c r="Z31" s="41"/>
      <c r="AA31" s="33"/>
      <c r="AB31" s="41"/>
      <c r="AC31" s="34"/>
      <c r="AD31" s="41"/>
      <c r="AE31" s="4"/>
      <c r="AF31" s="34"/>
      <c r="AG31" s="37"/>
    </row>
    <row r="32" spans="18:33" x14ac:dyDescent="0.2">
      <c r="R32" s="4"/>
      <c r="S32" s="4"/>
      <c r="T32" s="33"/>
      <c r="U32" s="41"/>
      <c r="V32" s="34"/>
      <c r="W32" s="41"/>
      <c r="X32" s="4"/>
      <c r="Y32" s="34"/>
      <c r="Z32" s="41"/>
      <c r="AA32" s="33"/>
      <c r="AB32" s="41"/>
      <c r="AC32" s="34"/>
      <c r="AD32" s="41"/>
      <c r="AE32" s="4"/>
      <c r="AF32" s="34"/>
      <c r="AG32" s="37"/>
    </row>
    <row r="33" spans="18:33" x14ac:dyDescent="0.2">
      <c r="R33" s="4"/>
      <c r="S33" s="4"/>
      <c r="T33" s="33"/>
      <c r="U33" s="41"/>
      <c r="V33" s="34"/>
      <c r="W33" s="41"/>
      <c r="X33" s="4"/>
      <c r="Y33" s="34"/>
      <c r="Z33" s="41"/>
      <c r="AA33" s="33"/>
      <c r="AB33" s="41"/>
      <c r="AC33" s="34"/>
      <c r="AD33" s="41"/>
      <c r="AE33" s="4"/>
      <c r="AF33" s="34"/>
      <c r="AG33" s="37"/>
    </row>
    <row r="34" spans="18:33" x14ac:dyDescent="0.2">
      <c r="R34" s="4"/>
      <c r="S34" s="4"/>
      <c r="T34" s="33"/>
      <c r="U34" s="41"/>
      <c r="V34" s="34"/>
      <c r="W34" s="41"/>
      <c r="X34" s="4"/>
      <c r="Y34" s="34"/>
      <c r="Z34" s="41"/>
      <c r="AA34" s="33"/>
      <c r="AB34" s="41"/>
      <c r="AC34" s="34"/>
      <c r="AD34" s="41"/>
      <c r="AE34" s="4"/>
      <c r="AF34" s="34"/>
      <c r="AG34" s="37"/>
    </row>
    <row r="35" spans="18:33" x14ac:dyDescent="0.2">
      <c r="R35" s="4"/>
      <c r="S35" s="4"/>
      <c r="T35" s="33"/>
      <c r="U35" s="41"/>
      <c r="V35" s="34"/>
      <c r="W35" s="41"/>
      <c r="X35" s="4"/>
      <c r="Y35" s="34"/>
      <c r="Z35" s="41"/>
      <c r="AA35" s="33"/>
      <c r="AB35" s="41"/>
      <c r="AC35" s="34"/>
      <c r="AD35" s="41"/>
      <c r="AE35" s="4"/>
      <c r="AF35" s="34"/>
      <c r="AG35" s="37"/>
    </row>
  </sheetData>
  <sheetProtection sheet="1" formatCells="0" formatColumns="0" formatRows="0"/>
  <autoFilter ref="A1:AG2" xr:uid="{91C1E397-42D3-4A4B-B2D6-18FBDCEFC10F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3">
      <sortCondition descending="1" ref="G1:G4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10" priority="9">
      <formula>IF($G1="17-21",1,0)</formula>
    </cfRule>
    <cfRule type="expression" dxfId="9" priority="10">
      <formula>IF($G1="15-16",1,0)</formula>
    </cfRule>
    <cfRule type="expression" dxfId="8" priority="11">
      <formula>IF($G1="13-14",1,0)</formula>
    </cfRule>
    <cfRule type="expression" dxfId="7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G3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6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30</v>
      </c>
      <c r="S1" s="71" t="s">
        <v>57</v>
      </c>
      <c r="T1" s="73" t="s">
        <v>46</v>
      </c>
      <c r="U1" s="73"/>
      <c r="V1" s="73"/>
      <c r="W1" s="73"/>
      <c r="X1" s="73"/>
      <c r="Y1" s="73"/>
      <c r="Z1" s="73"/>
      <c r="AA1" s="73" t="s">
        <v>45</v>
      </c>
      <c r="AB1" s="73"/>
      <c r="AC1" s="73"/>
      <c r="AD1" s="73"/>
      <c r="AE1" s="73"/>
      <c r="AF1" s="73"/>
      <c r="AG1" s="73"/>
    </row>
    <row r="2" spans="1:33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53</v>
      </c>
      <c r="U2" s="7" t="s">
        <v>54</v>
      </c>
      <c r="V2" s="7" t="s">
        <v>55</v>
      </c>
      <c r="W2" s="7" t="s">
        <v>56</v>
      </c>
      <c r="X2" s="7" t="s">
        <v>16</v>
      </c>
      <c r="Y2" s="7" t="s">
        <v>6</v>
      </c>
      <c r="Z2" s="7" t="s">
        <v>8</v>
      </c>
      <c r="AA2" s="8" t="s">
        <v>53</v>
      </c>
      <c r="AB2" s="7" t="s">
        <v>54</v>
      </c>
      <c r="AC2" s="7" t="s">
        <v>55</v>
      </c>
      <c r="AD2" s="7" t="s">
        <v>56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t="str" cm="1">
        <f t="array" ref="A3">IF(I3="","",IF(P3&lt;&gt;"",SUMPRODUCT((P$3:P$3&lt;&gt;"")*(G$3:G$3=G3)*(J$3:J$3&gt;J3)*(I$3:I$3="P"))+1,IF(O3&lt;&gt;"",SUMPRODUCT((O$3:O$3&lt;&gt;"")*(P$3:P$3="")*(G$3:G$3=G3)*(J$3:J$3&gt;J3)*(I$3:I$3="P"))+SUMPRODUCT((P$3:P$3&lt;&gt;"")*(G$3:G$3=G3))+1,IF(N3&lt;&gt;"",SUMPRODUCT((N$3:N$3&lt;&gt;"")*(G$3:G$3=G3)*(J$3:J$3&gt;J3)*(I$3:I$3="P"))+1,IF(M3="P",SUMPRODUCT((O$3:O$3&lt;&gt;"")*(P$3:P$3="")*(G$3:G$3=G3)*(I$3:I$3="P"))+SUMPRODUCT((P$3:P$3&lt;&gt;"")*(G$3:G$3=G3)*(I$3:I$3="P"))+SUMPRODUCT((N$3:N$3&lt;&gt;"")*(G$3:G$3=G3)*(I$3:I$3="P"))+SUMPRODUCT((P$3:P$3="")*(O$3:O$3="")*(N$3:N$3="")*(M$3:M$3="P")*(G$3:G$3=G3)*(J$3:J$3&gt;J3)*(I$3:I$3="P"))+1,"")))))</f>
        <v/>
      </c>
      <c r="B3" s="1" t="str" cm="1">
        <f t="array" ref="B3">IF(P3&lt;&gt;"",SUMPRODUCT((P$3:P$3&lt;&gt;"")*(G$3:G$3=G3)*(J$3:J$3&gt;J3))+1,IF(O3&lt;&gt;"",SUMPRODUCT((O$3:O$3&lt;&gt;"")*(P$3:P$3="")*(G$3:G$3=G3)*(J$3:J$3&gt;J3))+SUMPRODUCT((P$3:P$3&lt;&gt;"")*(G$3:G$3=G3))+1,IF(N3&lt;&gt;"",SUMPRODUCT((N$3:N$3&lt;&gt;"")*(G$3:G$3=G3)*(J$3:J$3&gt;J3))+1,IF(M3="P",SUMPRODUCT((O$3:O$3&lt;&gt;"")*(P$3:P$3="")*(G$3:G$3=G3))+SUMPRODUCT((P$3:P$3&lt;&gt;"")*(G$3:G$3=G3))+SUMPRODUCT((N$3:N$3&lt;&gt;"")*(G$3:G$3=G3))+SUMPRODUCT((P$3:P$3="")*(O$3:O$3="")*(N$3:N$3="")*(M$3:M$3="P")*(G$3:G$3=G3)*(J$3:J$3&gt;J3))+1,""))))</f>
        <v/>
      </c>
      <c r="C3" s="36" t="s">
        <v>64</v>
      </c>
      <c r="D3" s="51" t="str">
        <f>IF(E3="","",VLOOKUP(E3,'Coaching Points'!A:B,2,0))</f>
        <v/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Not Age Eligible</v>
      </c>
      <c r="H3" s="1"/>
      <c r="I3" s="47"/>
      <c r="J3" s="4">
        <f>S3+IF(OR(H3="Junior",H3="Senior"),0.0002,IF(OR(H3="L7",H3="L6"),0.0001,0))+MAX(AA3,AC3,AF3)*0.0000001</f>
        <v>0</v>
      </c>
      <c r="K3" s="3" t="str">
        <f>IF(G3="Not Age Eligible","",IF(MAX(T3,V3,Y3,AA3,AC3,AF3)&gt;=LOOKUP(G3,'Qualifying Scores'!$A$4:$A$7,'Qualifying Scores'!$E$4:$E$7),"P",""))</f>
        <v/>
      </c>
      <c r="L3" s="3" t="str">
        <f>IF(G3="Not Age Eligible","",IF(MAX(U3,W3,Z3,AB3,AD3,AG3)&gt;=LOOKUP(G3,'Qualifying Scores'!$A$10:$A$13,'Qualifying Scores'!$E$10:$E$13),"P",""))</f>
        <v/>
      </c>
      <c r="M3" s="3" t="str">
        <f>IF(G3="Not Age Eligible","",IF(OR(AND(T3&gt;=LOOKUP(G3,'Qualifying Scores'!$A$4:$A$7,'Qualifying Scores'!$E$4:$E$7),U3&gt;=LOOKUP(G3,'Qualifying Scores'!$A$10:$A$13,'Qualifying Scores'!$E$10:$E$13)),AND(V3&gt;=LOOKUP(G3,'Qualifying Scores'!$A$4:$A$7,'Qualifying Scores'!$E$4:$E$7),W3&gt;=LOOKUP(G3,'Qualifying Scores'!$A$10:$A$13,'Qualifying Scores'!$E$10:$E$13)),AND(Y3&gt;=LOOKUP(G3,'Qualifying Scores'!$A$4:$A$7,'Qualifying Scores'!$E$4:$E$7),Z3&gt;=LOOKUP(G3,'Qualifying Scores'!$A$10:$A$13,'Qualifying Scores'!$E$10:$E$13)),AND(AA3&gt;=LOOKUP(G3,'Qualifying Scores'!$A$4:$A$7,'Qualifying Scores'!$E$4:$E$7),AB3&gt;=LOOKUP(G3,'Qualifying Scores'!$A$10:$A$13,'Qualifying Scores'!$E$10:$E$13)),AND(AC3&gt;=LOOKUP(G3,'Qualifying Scores'!$A$4:$A$7,'Qualifying Scores'!$E$4:$E$7),AD3&gt;=LOOKUP(G3,'Qualifying Scores'!$A$10:$A$13,'Qualifying Scores'!$E$10:$E$13)),AND(AF3&gt;=LOOKUP(G3,'Qualifying Scores'!$A$4:$A$7,'Qualifying Scores'!$E$4:$E$7),AG3&gt;=LOOKUP(G3,'Qualifying Scores'!$A$10:$A$13,'Qualifying Scores'!$E$10:$E$13))),"P",""))</f>
        <v/>
      </c>
      <c r="Q3" s="52" t="str">
        <f>IF(A3&lt;5,IF(_xlfn.MAXIFS(A:A,G:G,G3)&gt;3,5-A3,_xlfn.MAXIFS(A:A,G:G,G3)+1-A3),"")</f>
        <v/>
      </c>
      <c r="R3" s="4">
        <f>MAX(X3,AE3)</f>
        <v>0</v>
      </c>
      <c r="S3" s="4">
        <f>MAX(T3,V3,Y3,AA3,AC3,AF3)</f>
        <v>0</v>
      </c>
      <c r="T3" s="33"/>
      <c r="U3" s="41"/>
      <c r="V3" s="34"/>
      <c r="W3" s="41"/>
      <c r="X3" s="4">
        <f>IF(H3="Senior",MAX(T3,V3),T3+V3)</f>
        <v>0</v>
      </c>
      <c r="Y3" s="34"/>
      <c r="Z3" s="41"/>
      <c r="AA3" s="33"/>
      <c r="AB3" s="41"/>
      <c r="AC3" s="34"/>
      <c r="AD3" s="41"/>
      <c r="AE3" s="4">
        <f>IF(H3="Senior",MAX(AA3,AC3),AA3+AC3)</f>
        <v>0</v>
      </c>
      <c r="AF3" s="34"/>
      <c r="AG3" s="37"/>
    </row>
    <row r="4" spans="1:33" x14ac:dyDescent="0.2">
      <c r="R4" s="4"/>
      <c r="S4" s="4"/>
      <c r="T4" s="33"/>
      <c r="U4" s="41"/>
      <c r="V4" s="34"/>
      <c r="W4" s="41"/>
      <c r="X4" s="4"/>
      <c r="Y4" s="34"/>
      <c r="Z4" s="41"/>
      <c r="AA4" s="33"/>
      <c r="AB4" s="41"/>
      <c r="AC4" s="34"/>
      <c r="AD4" s="41"/>
      <c r="AE4" s="4"/>
      <c r="AF4" s="34"/>
      <c r="AG4" s="37"/>
    </row>
    <row r="5" spans="1:33" x14ac:dyDescent="0.2">
      <c r="R5" s="4"/>
      <c r="S5" s="4"/>
      <c r="T5" s="33"/>
      <c r="U5" s="41"/>
      <c r="V5" s="34"/>
      <c r="W5" s="41"/>
      <c r="X5" s="4"/>
      <c r="Y5" s="34"/>
      <c r="Z5" s="41"/>
      <c r="AA5" s="33"/>
      <c r="AB5" s="41"/>
      <c r="AC5" s="34"/>
      <c r="AD5" s="41"/>
      <c r="AE5" s="4"/>
      <c r="AF5" s="34"/>
      <c r="AG5" s="37"/>
    </row>
    <row r="6" spans="1:33" x14ac:dyDescent="0.2">
      <c r="R6" s="4"/>
      <c r="S6" s="4"/>
      <c r="T6" s="33"/>
      <c r="U6" s="41"/>
      <c r="V6" s="34"/>
      <c r="W6" s="41"/>
      <c r="X6" s="4"/>
      <c r="Y6" s="34"/>
      <c r="Z6" s="41"/>
      <c r="AA6" s="33"/>
      <c r="AB6" s="41"/>
      <c r="AC6" s="34"/>
      <c r="AD6" s="41"/>
      <c r="AE6" s="4"/>
      <c r="AF6" s="34"/>
      <c r="AG6" s="37"/>
    </row>
    <row r="7" spans="1:33" x14ac:dyDescent="0.2">
      <c r="R7" s="4"/>
      <c r="S7" s="4"/>
      <c r="T7" s="33"/>
      <c r="U7" s="41"/>
      <c r="V7" s="34"/>
      <c r="W7" s="41"/>
      <c r="X7" s="4"/>
      <c r="Y7" s="34"/>
      <c r="Z7" s="41"/>
      <c r="AA7" s="33"/>
      <c r="AB7" s="41"/>
      <c r="AC7" s="34"/>
      <c r="AD7" s="41"/>
      <c r="AE7" s="4"/>
      <c r="AF7" s="34"/>
      <c r="AG7" s="37"/>
    </row>
    <row r="8" spans="1:33" x14ac:dyDescent="0.2">
      <c r="R8" s="4"/>
      <c r="S8" s="4"/>
      <c r="T8" s="33"/>
      <c r="U8" s="41"/>
      <c r="V8" s="34"/>
      <c r="W8" s="41"/>
      <c r="X8" s="4"/>
      <c r="Y8" s="34"/>
      <c r="Z8" s="41"/>
      <c r="AA8" s="33"/>
      <c r="AB8" s="41"/>
      <c r="AC8" s="34"/>
      <c r="AD8" s="41"/>
      <c r="AE8" s="4"/>
      <c r="AF8" s="34"/>
      <c r="AG8" s="37"/>
    </row>
    <row r="9" spans="1:33" x14ac:dyDescent="0.2">
      <c r="R9" s="4"/>
      <c r="S9" s="4"/>
      <c r="T9" s="33"/>
      <c r="U9" s="41"/>
      <c r="V9" s="34"/>
      <c r="W9" s="41"/>
      <c r="X9" s="4"/>
      <c r="Y9" s="34"/>
      <c r="Z9" s="41"/>
      <c r="AA9" s="33"/>
      <c r="AB9" s="41"/>
      <c r="AC9" s="34"/>
      <c r="AD9" s="41"/>
      <c r="AE9" s="4"/>
      <c r="AF9" s="34"/>
      <c r="AG9" s="37"/>
    </row>
    <row r="10" spans="1:33" x14ac:dyDescent="0.2">
      <c r="R10" s="4"/>
      <c r="S10" s="4"/>
      <c r="T10" s="33"/>
      <c r="U10" s="41"/>
      <c r="V10" s="34"/>
      <c r="W10" s="41"/>
      <c r="X10" s="4"/>
      <c r="Y10" s="34"/>
      <c r="Z10" s="41"/>
      <c r="AA10" s="33"/>
      <c r="AB10" s="41"/>
      <c r="AC10" s="34"/>
      <c r="AD10" s="41"/>
      <c r="AE10" s="4"/>
      <c r="AF10" s="34"/>
      <c r="AG10" s="37"/>
    </row>
    <row r="11" spans="1:33" x14ac:dyDescent="0.2">
      <c r="R11" s="4"/>
      <c r="S11" s="4"/>
      <c r="T11" s="33"/>
      <c r="U11" s="41"/>
      <c r="V11" s="34"/>
      <c r="W11" s="41"/>
      <c r="X11" s="4"/>
      <c r="Y11" s="34"/>
      <c r="Z11" s="41"/>
      <c r="AA11" s="33"/>
      <c r="AB11" s="41"/>
      <c r="AC11" s="34"/>
      <c r="AD11" s="41"/>
      <c r="AE11" s="4"/>
      <c r="AF11" s="34"/>
      <c r="AG11" s="37"/>
    </row>
    <row r="12" spans="1:33" x14ac:dyDescent="0.2">
      <c r="R12" s="4"/>
      <c r="S12" s="4"/>
      <c r="T12" s="33"/>
      <c r="U12" s="41"/>
      <c r="V12" s="34"/>
      <c r="W12" s="41"/>
      <c r="X12" s="4"/>
      <c r="Y12" s="34"/>
      <c r="Z12" s="41"/>
      <c r="AA12" s="33"/>
      <c r="AB12" s="41"/>
      <c r="AC12" s="34"/>
      <c r="AD12" s="41"/>
      <c r="AE12" s="4"/>
      <c r="AF12" s="34"/>
      <c r="AG12" s="37"/>
    </row>
    <row r="13" spans="1:33" x14ac:dyDescent="0.2">
      <c r="R13" s="4"/>
      <c r="S13" s="4"/>
      <c r="T13" s="33"/>
      <c r="U13" s="41"/>
      <c r="V13" s="34"/>
      <c r="W13" s="41"/>
      <c r="X13" s="4"/>
      <c r="Y13" s="34"/>
      <c r="Z13" s="41"/>
      <c r="AA13" s="33"/>
      <c r="AB13" s="41"/>
      <c r="AC13" s="34"/>
      <c r="AD13" s="41"/>
      <c r="AE13" s="4"/>
      <c r="AF13" s="34"/>
      <c r="AG13" s="37"/>
    </row>
    <row r="14" spans="1:33" x14ac:dyDescent="0.2">
      <c r="R14" s="4"/>
      <c r="S14" s="4"/>
      <c r="T14" s="33"/>
      <c r="U14" s="41"/>
      <c r="V14" s="34"/>
      <c r="W14" s="41"/>
      <c r="X14" s="4"/>
      <c r="Y14" s="34"/>
      <c r="Z14" s="41"/>
      <c r="AA14" s="33"/>
      <c r="AB14" s="41"/>
      <c r="AC14" s="34"/>
      <c r="AD14" s="41"/>
      <c r="AE14" s="4"/>
      <c r="AF14" s="34"/>
      <c r="AG14" s="37"/>
    </row>
    <row r="15" spans="1:33" x14ac:dyDescent="0.2">
      <c r="R15" s="4"/>
      <c r="S15" s="4"/>
      <c r="T15" s="33"/>
      <c r="U15" s="41"/>
      <c r="V15" s="34"/>
      <c r="W15" s="41"/>
      <c r="X15" s="4"/>
      <c r="Y15" s="34"/>
      <c r="Z15" s="41"/>
      <c r="AA15" s="33"/>
      <c r="AB15" s="41"/>
      <c r="AC15" s="34"/>
      <c r="AD15" s="41"/>
      <c r="AE15" s="4"/>
      <c r="AF15" s="34"/>
      <c r="AG15" s="37"/>
    </row>
    <row r="16" spans="1:33" x14ac:dyDescent="0.2">
      <c r="R16" s="4"/>
      <c r="S16" s="4"/>
      <c r="T16" s="33"/>
      <c r="U16" s="41"/>
      <c r="V16" s="34"/>
      <c r="W16" s="41"/>
      <c r="X16" s="4"/>
      <c r="Y16" s="34"/>
      <c r="Z16" s="41"/>
      <c r="AA16" s="33"/>
      <c r="AB16" s="41"/>
      <c r="AC16" s="34"/>
      <c r="AD16" s="41"/>
      <c r="AE16" s="4"/>
      <c r="AF16" s="34"/>
      <c r="AG16" s="37"/>
    </row>
    <row r="17" spans="18:33" x14ac:dyDescent="0.2">
      <c r="R17" s="4"/>
      <c r="S17" s="4"/>
      <c r="T17" s="33"/>
      <c r="U17" s="41"/>
      <c r="V17" s="34"/>
      <c r="W17" s="41"/>
      <c r="X17" s="4"/>
      <c r="Y17" s="34"/>
      <c r="Z17" s="41"/>
      <c r="AA17" s="33"/>
      <c r="AB17" s="41"/>
      <c r="AC17" s="34"/>
      <c r="AD17" s="41"/>
      <c r="AE17" s="4"/>
      <c r="AF17" s="34"/>
      <c r="AG17" s="37"/>
    </row>
    <row r="18" spans="18:33" x14ac:dyDescent="0.2">
      <c r="R18" s="4"/>
      <c r="S18" s="4"/>
      <c r="T18" s="33"/>
      <c r="U18" s="41"/>
      <c r="V18" s="34"/>
      <c r="W18" s="41"/>
      <c r="X18" s="4"/>
      <c r="Y18" s="34"/>
      <c r="Z18" s="41"/>
      <c r="AA18" s="33"/>
      <c r="AB18" s="41"/>
      <c r="AC18" s="34"/>
      <c r="AD18" s="41"/>
      <c r="AE18" s="4"/>
      <c r="AF18" s="34"/>
      <c r="AG18" s="37"/>
    </row>
    <row r="19" spans="18:33" x14ac:dyDescent="0.2">
      <c r="R19" s="4"/>
      <c r="S19" s="4"/>
      <c r="T19" s="33"/>
      <c r="U19" s="41"/>
      <c r="V19" s="34"/>
      <c r="W19" s="41"/>
      <c r="X19" s="4"/>
      <c r="Y19" s="34"/>
      <c r="Z19" s="41"/>
      <c r="AA19" s="33"/>
      <c r="AB19" s="41"/>
      <c r="AC19" s="34"/>
      <c r="AD19" s="41"/>
      <c r="AE19" s="4"/>
      <c r="AF19" s="34"/>
      <c r="AG19" s="37"/>
    </row>
    <row r="20" spans="18:33" x14ac:dyDescent="0.2">
      <c r="R20" s="4"/>
      <c r="S20" s="4"/>
      <c r="T20" s="33"/>
      <c r="U20" s="41"/>
      <c r="V20" s="34"/>
      <c r="W20" s="41"/>
      <c r="X20" s="4"/>
      <c r="Y20" s="34"/>
      <c r="Z20" s="41"/>
      <c r="AA20" s="33"/>
      <c r="AB20" s="41"/>
      <c r="AC20" s="34"/>
      <c r="AD20" s="41"/>
      <c r="AE20" s="4"/>
      <c r="AF20" s="34"/>
      <c r="AG20" s="37"/>
    </row>
    <row r="21" spans="18:33" x14ac:dyDescent="0.2">
      <c r="R21" s="4"/>
      <c r="S21" s="4"/>
      <c r="T21" s="33"/>
      <c r="U21" s="41"/>
      <c r="V21" s="34"/>
      <c r="W21" s="41"/>
      <c r="X21" s="4"/>
      <c r="Y21" s="34"/>
      <c r="Z21" s="41"/>
      <c r="AA21" s="33"/>
      <c r="AB21" s="41"/>
      <c r="AC21" s="34"/>
      <c r="AD21" s="41"/>
      <c r="AE21" s="4"/>
      <c r="AF21" s="34"/>
      <c r="AG21" s="37"/>
    </row>
    <row r="22" spans="18:33" x14ac:dyDescent="0.2">
      <c r="R22" s="4"/>
      <c r="S22" s="4"/>
      <c r="T22" s="33"/>
      <c r="U22" s="41"/>
      <c r="V22" s="34"/>
      <c r="W22" s="41"/>
      <c r="X22" s="4"/>
      <c r="Y22" s="34"/>
      <c r="Z22" s="41"/>
      <c r="AA22" s="33"/>
      <c r="AB22" s="41"/>
      <c r="AC22" s="34"/>
      <c r="AD22" s="41"/>
      <c r="AE22" s="4"/>
      <c r="AF22" s="34"/>
      <c r="AG22" s="37"/>
    </row>
    <row r="23" spans="18:33" x14ac:dyDescent="0.2">
      <c r="R23" s="4"/>
      <c r="S23" s="4"/>
      <c r="T23" s="33"/>
      <c r="U23" s="41"/>
      <c r="V23" s="34"/>
      <c r="W23" s="41"/>
      <c r="X23" s="4"/>
      <c r="Y23" s="34"/>
      <c r="Z23" s="41"/>
      <c r="AA23" s="33"/>
      <c r="AB23" s="41"/>
      <c r="AC23" s="34"/>
      <c r="AD23" s="41"/>
      <c r="AE23" s="4"/>
      <c r="AF23" s="34"/>
      <c r="AG23" s="37"/>
    </row>
    <row r="24" spans="18:33" x14ac:dyDescent="0.2">
      <c r="R24" s="4"/>
      <c r="S24" s="4"/>
      <c r="T24" s="33"/>
      <c r="U24" s="41"/>
      <c r="V24" s="34"/>
      <c r="W24" s="41"/>
      <c r="X24" s="4"/>
      <c r="Y24" s="34"/>
      <c r="Z24" s="41"/>
      <c r="AA24" s="33"/>
      <c r="AB24" s="41"/>
      <c r="AC24" s="34"/>
      <c r="AD24" s="41"/>
      <c r="AE24" s="4"/>
      <c r="AF24" s="34"/>
      <c r="AG24" s="37"/>
    </row>
    <row r="25" spans="18:33" x14ac:dyDescent="0.2">
      <c r="R25" s="4"/>
      <c r="S25" s="4"/>
      <c r="T25" s="33"/>
      <c r="U25" s="41"/>
      <c r="V25" s="34"/>
      <c r="W25" s="41"/>
      <c r="X25" s="4"/>
      <c r="Y25" s="34"/>
      <c r="Z25" s="41"/>
      <c r="AA25" s="33"/>
      <c r="AB25" s="41"/>
      <c r="AC25" s="34"/>
      <c r="AD25" s="41"/>
      <c r="AE25" s="4"/>
      <c r="AF25" s="34"/>
      <c r="AG25" s="37"/>
    </row>
    <row r="26" spans="18:33" x14ac:dyDescent="0.2">
      <c r="R26" s="4"/>
      <c r="S26" s="4"/>
      <c r="T26" s="33"/>
      <c r="U26" s="41"/>
      <c r="V26" s="34"/>
      <c r="W26" s="41"/>
      <c r="X26" s="4"/>
      <c r="Y26" s="34"/>
      <c r="Z26" s="41"/>
      <c r="AA26" s="33"/>
      <c r="AB26" s="41"/>
      <c r="AC26" s="34"/>
      <c r="AD26" s="41"/>
      <c r="AE26" s="4"/>
      <c r="AF26" s="34"/>
      <c r="AG26" s="37"/>
    </row>
    <row r="27" spans="18:33" x14ac:dyDescent="0.2">
      <c r="R27" s="4"/>
      <c r="S27" s="4"/>
      <c r="T27" s="33"/>
      <c r="U27" s="41"/>
      <c r="V27" s="34"/>
      <c r="W27" s="41"/>
      <c r="X27" s="4"/>
      <c r="Y27" s="34"/>
      <c r="Z27" s="41"/>
      <c r="AA27" s="33"/>
      <c r="AB27" s="41"/>
      <c r="AC27" s="34"/>
      <c r="AD27" s="41"/>
      <c r="AE27" s="4"/>
      <c r="AF27" s="34"/>
      <c r="AG27" s="37"/>
    </row>
    <row r="28" spans="18:33" x14ac:dyDescent="0.2">
      <c r="R28" s="4"/>
      <c r="S28" s="4"/>
      <c r="T28" s="33"/>
      <c r="U28" s="41"/>
      <c r="V28" s="34"/>
      <c r="W28" s="41"/>
      <c r="X28" s="4"/>
      <c r="Y28" s="34"/>
      <c r="Z28" s="41"/>
      <c r="AA28" s="33"/>
      <c r="AB28" s="41"/>
      <c r="AC28" s="34"/>
      <c r="AD28" s="41"/>
      <c r="AE28" s="4"/>
      <c r="AF28" s="34"/>
      <c r="AG28" s="37"/>
    </row>
    <row r="29" spans="18:33" x14ac:dyDescent="0.2">
      <c r="R29" s="4"/>
      <c r="S29" s="4"/>
      <c r="T29" s="33"/>
      <c r="U29" s="41"/>
      <c r="V29" s="34"/>
      <c r="W29" s="41"/>
      <c r="X29" s="4"/>
      <c r="Y29" s="34"/>
      <c r="Z29" s="41"/>
      <c r="AA29" s="33"/>
      <c r="AB29" s="41"/>
      <c r="AC29" s="34"/>
      <c r="AD29" s="41"/>
      <c r="AE29" s="4"/>
      <c r="AF29" s="34"/>
      <c r="AG29" s="37"/>
    </row>
    <row r="30" spans="18:33" x14ac:dyDescent="0.2">
      <c r="R30" s="4"/>
      <c r="S30" s="4"/>
      <c r="T30" s="33"/>
      <c r="U30" s="41"/>
      <c r="V30" s="34"/>
      <c r="W30" s="41"/>
      <c r="X30" s="4"/>
      <c r="Y30" s="34"/>
      <c r="Z30" s="41"/>
      <c r="AA30" s="33"/>
      <c r="AB30" s="41"/>
      <c r="AC30" s="34"/>
      <c r="AD30" s="41"/>
      <c r="AE30" s="4"/>
      <c r="AF30" s="34"/>
      <c r="AG30" s="37"/>
    </row>
    <row r="31" spans="18:33" x14ac:dyDescent="0.2">
      <c r="R31" s="4"/>
      <c r="S31" s="4"/>
      <c r="T31" s="33"/>
      <c r="U31" s="41"/>
      <c r="V31" s="34"/>
      <c r="W31" s="41"/>
      <c r="X31" s="4"/>
      <c r="Y31" s="34"/>
      <c r="Z31" s="41"/>
      <c r="AA31" s="33"/>
      <c r="AB31" s="41"/>
      <c r="AC31" s="34"/>
      <c r="AD31" s="41"/>
      <c r="AE31" s="4"/>
      <c r="AF31" s="34"/>
      <c r="AG31" s="37"/>
    </row>
    <row r="32" spans="18:33" x14ac:dyDescent="0.2">
      <c r="R32" s="4"/>
      <c r="S32" s="4"/>
      <c r="T32" s="33"/>
      <c r="U32" s="41"/>
      <c r="V32" s="34"/>
      <c r="W32" s="41"/>
      <c r="X32" s="4"/>
      <c r="Y32" s="34"/>
      <c r="Z32" s="41"/>
      <c r="AA32" s="33"/>
      <c r="AB32" s="41"/>
      <c r="AC32" s="34"/>
      <c r="AD32" s="41"/>
      <c r="AE32" s="4"/>
      <c r="AF32" s="34"/>
      <c r="AG32" s="37"/>
    </row>
    <row r="33" spans="18:33" x14ac:dyDescent="0.2">
      <c r="R33" s="4"/>
      <c r="S33" s="4"/>
      <c r="T33" s="33"/>
      <c r="U33" s="41"/>
      <c r="V33" s="34"/>
      <c r="W33" s="41"/>
      <c r="X33" s="4"/>
      <c r="Y33" s="34"/>
      <c r="Z33" s="41"/>
      <c r="AA33" s="33"/>
      <c r="AB33" s="41"/>
      <c r="AC33" s="34"/>
      <c r="AD33" s="41"/>
      <c r="AE33" s="4"/>
      <c r="AF33" s="34"/>
      <c r="AG33" s="37"/>
    </row>
    <row r="34" spans="18:33" x14ac:dyDescent="0.2">
      <c r="R34" s="4"/>
      <c r="S34" s="4"/>
      <c r="T34" s="33"/>
      <c r="U34" s="41"/>
      <c r="V34" s="34"/>
      <c r="W34" s="41"/>
      <c r="X34" s="4"/>
      <c r="Y34" s="34"/>
      <c r="Z34" s="41"/>
      <c r="AA34" s="33"/>
      <c r="AB34" s="41"/>
      <c r="AC34" s="34"/>
      <c r="AD34" s="41"/>
      <c r="AE34" s="4"/>
      <c r="AF34" s="34"/>
      <c r="AG34" s="37"/>
    </row>
    <row r="35" spans="18:33" x14ac:dyDescent="0.2">
      <c r="R35" s="4"/>
      <c r="S35" s="4"/>
      <c r="T35" s="33"/>
      <c r="U35" s="41"/>
      <c r="V35" s="34"/>
      <c r="W35" s="41"/>
      <c r="X35" s="4"/>
      <c r="Y35" s="34"/>
      <c r="Z35" s="41"/>
      <c r="AA35" s="33"/>
      <c r="AB35" s="41"/>
      <c r="AC35" s="34"/>
      <c r="AD35" s="41"/>
      <c r="AE35" s="4"/>
      <c r="AF35" s="34"/>
      <c r="AG35" s="37"/>
    </row>
  </sheetData>
  <sheetProtection sheet="1" formatCells="0" formatColumns="0" formatRows="0"/>
  <autoFilter ref="A1:AG2" xr:uid="{07F1F569-3059-1347-B0D3-D2EEAB6C4BF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3">
      <sortCondition descending="1" ref="G1:G4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14" priority="5">
      <formula>IF($G1="17-21",1,0)</formula>
    </cfRule>
    <cfRule type="expression" dxfId="13" priority="6">
      <formula>IF($G1="15-16",1,0)</formula>
    </cfRule>
    <cfRule type="expression" dxfId="12" priority="7">
      <formula>IF($G1="13-14",1,0)</formula>
    </cfRule>
    <cfRule type="expression" dxfId="11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51" bestFit="1" customWidth="1"/>
    <col min="5" max="5" width="13.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58</v>
      </c>
      <c r="S1" s="71" t="s">
        <v>59</v>
      </c>
      <c r="T1" s="73" t="s">
        <v>46</v>
      </c>
      <c r="U1" s="73"/>
      <c r="V1" s="73"/>
      <c r="W1" s="73"/>
      <c r="X1" s="73" t="s">
        <v>45</v>
      </c>
      <c r="Y1" s="73"/>
      <c r="Z1" s="73"/>
      <c r="AA1" s="73"/>
    </row>
    <row r="2" spans="1:27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60</v>
      </c>
      <c r="U2" s="7" t="s">
        <v>61</v>
      </c>
      <c r="V2" s="7" t="s">
        <v>6</v>
      </c>
      <c r="W2" s="7" t="s">
        <v>8</v>
      </c>
      <c r="X2" s="8" t="s">
        <v>60</v>
      </c>
      <c r="Y2" s="7" t="s">
        <v>61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$49&lt;&gt;"")*(G$3:G$49=G3)*(J$3:J$49&gt;J3)*(I$3:I$49="P"))+1,IF(O3&lt;&gt;"",SUMPRODUCT((O$3:O$49&lt;&gt;"")*(P$3:P$49="")*(G$3:G$49=G3)*(J$3:J$49&gt;J3)*(I$3:I$49="P"))+SUMPRODUCT((P$3:P$49&lt;&gt;"")*(G$3:G$49=G3))+1,IF(N3&lt;&gt;"",SUMPRODUCT((N$3:N$49&lt;&gt;"")*(G$3:G$49=G3)*(J$3:J$49&gt;J3)*(I$3:I$49="P"))+1,IF(M3="P",SUMPRODUCT((O$3:O$49&lt;&gt;"")*(P$3:P$49="")*(G$3:G$49=G3)*(I$3:I$49="P"))+SUMPRODUCT((P$3:P$49&lt;&gt;"")*(G$3:G$49=G3)*(I$3:I$49="P"))+SUMPRODUCT((N$3:N$49&lt;&gt;"")*(G$3:G$49=G3)*(I$3:I$49="P"))+SUMPRODUCT((P$3:P$49="")*(O$3:O$49="")*(N$3:N$49="")*(M$3:M$49="P")*(G$3:G$49=G3)*(J$3:J$49&gt;J3)*(I$3:I$49="P"))+1,"")))))</f>
        <v/>
      </c>
      <c r="B3" s="1" cm="1">
        <f t="array" ref="B3">IF(P3&lt;&gt;"",SUMPRODUCT((P$3:P$49&lt;&gt;"")*(G$3:G$49=G3)*(J$3:J$49&gt;J3))+1,IF(O3&lt;&gt;"",SUMPRODUCT((O$3:O$49&lt;&gt;"")*(P$3:P$49="")*(G$3:G$49=G3)*(J$3:J$49&gt;J3))+SUMPRODUCT((P$3:P$49&lt;&gt;"")*(G$3:G$49=G3))+1,IF(N3&lt;&gt;"",SUMPRODUCT((N$3:N$49&lt;&gt;"")*(G$3:G$49=G3)*(J$3:J$49&gt;J3))+1,IF(M3="P",SUMPRODUCT((O$3:O$49&lt;&gt;"")*(P$3:P$49="")*(G$3:G$49=G3))+SUMPRODUCT((P$3:P$49&lt;&gt;"")*(G$3:G$49=G3))+SUMPRODUCT((N$3:N$49&lt;&gt;"")*(G$3:G$49=G3))+SUMPRODUCT((P$3:P$49="")*(O$3:O$49="")*(N$3:N$49="")*(M$3:M$49="P")*(G$3:G$49=G3)*(J$3:J$49&gt;J3))+1,""))))</f>
        <v>1</v>
      </c>
      <c r="C3" s="36" t="s">
        <v>172</v>
      </c>
      <c r="D3" s="51" t="str">
        <f>IF(E3="","",VLOOKUP(E3,'Coaching Points'!A:B,2,0))</f>
        <v>ON</v>
      </c>
      <c r="E3" s="36" t="s">
        <v>49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181</v>
      </c>
      <c r="I3" s="47"/>
      <c r="J3" s="4">
        <f>MAX(R3,S3)+IF(OR(H3="Junior",H3="Senior"),0.0002,IF(OR(H3="L7",H3="L6"),0.0001,0))+MAX(X3,Z3)*0.0000001</f>
        <v>56.0002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2</v>
      </c>
      <c r="P3" s="39">
        <v>2</v>
      </c>
      <c r="Q3" s="52" t="str">
        <f>IF(A3&lt;5,IF(_xlfn.MAXIFS(A:A,G:G,G3)&gt;3,5-A3,_xlfn.MAXIFS(A:A,G:G,G3)+1-A3),"")</f>
        <v/>
      </c>
      <c r="R3" s="4">
        <f>MAX(T3,X3)</f>
        <v>56</v>
      </c>
      <c r="S3" s="4">
        <f>MAX(V3,Z3)</f>
        <v>54.6</v>
      </c>
      <c r="T3" s="33">
        <v>56</v>
      </c>
      <c r="U3" s="41">
        <v>18.399999999999999</v>
      </c>
      <c r="V3" s="34">
        <v>54.6</v>
      </c>
      <c r="W3" s="41">
        <v>16.899999999999999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$49&lt;&gt;"")*(G$3:G$49=G4)*(J$3:J$49&gt;J4)*(I$3:I$49="P"))+1,IF(O4&lt;&gt;"",SUMPRODUCT((O$3:O$49&lt;&gt;"")*(P$3:P$49="")*(G$3:G$49=G4)*(J$3:J$49&gt;J4)*(I$3:I$49="P"))+SUMPRODUCT((P$3:P$49&lt;&gt;"")*(G$3:G$49=G4))+1,IF(N4&lt;&gt;"",SUMPRODUCT((N$3:N$49&lt;&gt;"")*(G$3:G$49=G4)*(J$3:J$49&gt;J4)*(I$3:I$49="P"))+1,IF(M4="P",SUMPRODUCT((O$3:O$49&lt;&gt;"")*(P$3:P$49="")*(G$3:G$49=G4)*(I$3:I$49="P"))+SUMPRODUCT((P$3:P$49&lt;&gt;"")*(G$3:G$49=G4)*(I$3:I$49="P"))+SUMPRODUCT((N$3:N$49&lt;&gt;"")*(G$3:G$49=G4)*(I$3:I$49="P"))+SUMPRODUCT((P$3:P$49="")*(O$3:O$49="")*(N$3:N$49="")*(M$3:M$49="P")*(G$3:G$49=G4)*(J$3:J$49&gt;J4)*(I$3:I$49="P"))+1,"")))))</f>
        <v/>
      </c>
      <c r="B4" s="1" cm="1">
        <f t="array" ref="B4">IF(P4&lt;&gt;"",SUMPRODUCT((P$3:P$49&lt;&gt;"")*(G$3:G$49=G4)*(J$3:J$49&gt;J4))+1,IF(O4&lt;&gt;"",SUMPRODUCT((O$3:O$49&lt;&gt;"")*(P$3:P$49="")*(G$3:G$49=G4)*(J$3:J$49&gt;J4))+SUMPRODUCT((P$3:P$49&lt;&gt;"")*(G$3:G$49=G4))+1,IF(N4&lt;&gt;"",SUMPRODUCT((N$3:N$49&lt;&gt;"")*(G$3:G$49=G4)*(J$3:J$49&gt;J4))+1,IF(M4="P",SUMPRODUCT((O$3:O$49&lt;&gt;"")*(P$3:P$49="")*(G$3:G$49=G4))+SUMPRODUCT((P$3:P$49&lt;&gt;"")*(G$3:G$49=G4))+SUMPRODUCT((N$3:N$49&lt;&gt;"")*(G$3:G$49=G4))+SUMPRODUCT((P$3:P$49="")*(O$3:O$49="")*(N$3:N$49="")*(M$3:M$49="P")*(G$3:G$49=G4)*(J$3:J$49&gt;J4))+1,""))))</f>
        <v>2</v>
      </c>
      <c r="C4" s="36" t="s">
        <v>173</v>
      </c>
      <c r="D4" s="51" t="str">
        <f>IF(E4="","",VLOOKUP(E4,'Coaching Points'!A:B,2,0))</f>
        <v>BC</v>
      </c>
      <c r="E4" s="36" t="s">
        <v>89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181</v>
      </c>
      <c r="I4" s="47"/>
      <c r="J4" s="4">
        <f>MAX(R4,S4)+IF(OR(H4="Junior",H4="Senior"),0.0002,IF(OR(H4="L7",H4="L6"),0.0001,0))+MAX(X4,Z4)*0.0000001</f>
        <v>53.240200000000002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1</v>
      </c>
      <c r="P4" s="39">
        <v>1</v>
      </c>
      <c r="Q4" s="52" t="str">
        <f>IF(A4&lt;5,IF(_xlfn.MAXIFS(A:A,G:G,G4)&gt;3,5-A4,_xlfn.MAXIFS(A:A,G:G,G4)+1-A4),"")</f>
        <v/>
      </c>
      <c r="R4" s="4">
        <f>MAX(T4,X4)</f>
        <v>53.24</v>
      </c>
      <c r="S4" s="4">
        <f>MAX(V4,Z4)</f>
        <v>52</v>
      </c>
      <c r="T4" s="33">
        <v>53.24</v>
      </c>
      <c r="U4" s="41">
        <v>16</v>
      </c>
      <c r="V4" s="34">
        <v>52</v>
      </c>
      <c r="W4" s="41">
        <v>15.200000000000001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$49&lt;&gt;"")*(G$3:G$49=G5)*(J$3:J$49&gt;J5)*(I$3:I$49="P"))+1,IF(O5&lt;&gt;"",SUMPRODUCT((O$3:O$49&lt;&gt;"")*(P$3:P$49="")*(G$3:G$49=G5)*(J$3:J$49&gt;J5)*(I$3:I$49="P"))+SUMPRODUCT((P$3:P$49&lt;&gt;"")*(G$3:G$49=G5))+1,IF(N5&lt;&gt;"",SUMPRODUCT((N$3:N$49&lt;&gt;"")*(G$3:G$49=G5)*(J$3:J$49&gt;J5)*(I$3:I$49="P"))+1,IF(M5="P",SUMPRODUCT((O$3:O$49&lt;&gt;"")*(P$3:P$49="")*(G$3:G$49=G5)*(I$3:I$49="P"))+SUMPRODUCT((P$3:P$49&lt;&gt;"")*(G$3:G$49=G5)*(I$3:I$49="P"))+SUMPRODUCT((N$3:N$49&lt;&gt;"")*(G$3:G$49=G5)*(I$3:I$49="P"))+SUMPRODUCT((P$3:P$49="")*(O$3:O$49="")*(N$3:N$49="")*(M$3:M$49="P")*(G$3:G$49=G5)*(J$3:J$49&gt;J5)*(I$3:I$49="P"))+1,"")))))</f>
        <v/>
      </c>
      <c r="B5" s="1" cm="1">
        <f t="array" ref="B5">IF(P5&lt;&gt;"",SUMPRODUCT((P$3:P$49&lt;&gt;"")*(G$3:G$49=G5)*(J$3:J$49&gt;J5))+1,IF(O5&lt;&gt;"",SUMPRODUCT((O$3:O$49&lt;&gt;"")*(P$3:P$49="")*(G$3:G$49=G5)*(J$3:J$49&gt;J5))+SUMPRODUCT((P$3:P$49&lt;&gt;"")*(G$3:G$49=G5))+1,IF(N5&lt;&gt;"",SUMPRODUCT((N$3:N$49&lt;&gt;"")*(G$3:G$49=G5)*(J$3:J$49&gt;J5))+1,IF(M5="P",SUMPRODUCT((O$3:O$49&lt;&gt;"")*(P$3:P$49="")*(G$3:G$49=G5))+SUMPRODUCT((P$3:P$49&lt;&gt;"")*(G$3:G$49=G5))+SUMPRODUCT((N$3:N$49&lt;&gt;"")*(G$3:G$49=G5))+SUMPRODUCT((P$3:P$49="")*(O$3:O$49="")*(N$3:N$49="")*(M$3:M$49="P")*(G$3:G$49=G5)*(J$3:J$49&gt;J5))+1,""))))</f>
        <v>3</v>
      </c>
      <c r="C5" s="36" t="s">
        <v>159</v>
      </c>
      <c r="D5" s="51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127</v>
      </c>
      <c r="I5" s="47"/>
      <c r="J5" s="4">
        <f>MAX(R5,S5)+IF(OR(H5="Junior",H5="Senior"),0.0002,IF(OR(H5="L7",H5="L6"),0.0001,0))+MAX(X5,Z5)*0.0000001</f>
        <v>49.8001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3</v>
      </c>
      <c r="Q5" s="52" t="str">
        <f>IF(A5&lt;5,IF(_xlfn.MAXIFS(A:A,G:G,G5)&gt;3,5-A5,_xlfn.MAXIFS(A:A,G:G,G5)+1-A5),"")</f>
        <v/>
      </c>
      <c r="R5" s="4">
        <f>MAX(T5,X5)</f>
        <v>48.8</v>
      </c>
      <c r="S5" s="4">
        <f>MAX(V5,Z5)</f>
        <v>49.8</v>
      </c>
      <c r="T5" s="33">
        <v>48.8</v>
      </c>
      <c r="U5" s="41">
        <v>12.4</v>
      </c>
      <c r="V5" s="34">
        <v>49.8</v>
      </c>
      <c r="W5" s="41">
        <v>13.200000000000001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$49&lt;&gt;"")*(G$3:G$49=G6)*(J$3:J$49&gt;J6)*(I$3:I$49="P"))+1,IF(O6&lt;&gt;"",SUMPRODUCT((O$3:O$49&lt;&gt;"")*(P$3:P$49="")*(G$3:G$49=G6)*(J$3:J$49&gt;J6)*(I$3:I$49="P"))+SUMPRODUCT((P$3:P$49&lt;&gt;"")*(G$3:G$49=G6))+1,IF(N6&lt;&gt;"",SUMPRODUCT((N$3:N$49&lt;&gt;"")*(G$3:G$49=G6)*(J$3:J$49&gt;J6)*(I$3:I$49="P"))+1,IF(M6="P",SUMPRODUCT((O$3:O$49&lt;&gt;"")*(P$3:P$49="")*(G$3:G$49=G6)*(I$3:I$49="P"))+SUMPRODUCT((P$3:P$49&lt;&gt;"")*(G$3:G$49=G6)*(I$3:I$49="P"))+SUMPRODUCT((N$3:N$49&lt;&gt;"")*(G$3:G$49=G6)*(I$3:I$49="P"))+SUMPRODUCT((P$3:P$49="")*(O$3:O$49="")*(N$3:N$49="")*(M$3:M$49="P")*(G$3:G$49=G6)*(J$3:J$49&gt;J6)*(I$3:I$49="P"))+1,"")))))</f>
        <v/>
      </c>
      <c r="B6" s="1" cm="1">
        <f t="array" ref="B6">IF(P6&lt;&gt;"",SUMPRODUCT((P$3:P$49&lt;&gt;"")*(G$3:G$49=G6)*(J$3:J$49&gt;J6))+1,IF(O6&lt;&gt;"",SUMPRODUCT((O$3:O$49&lt;&gt;"")*(P$3:P$49="")*(G$3:G$49=G6)*(J$3:J$49&gt;J6))+SUMPRODUCT((P$3:P$49&lt;&gt;"")*(G$3:G$49=G6))+1,IF(N6&lt;&gt;"",SUMPRODUCT((N$3:N$49&lt;&gt;"")*(G$3:G$49=G6)*(J$3:J$49&gt;J6))+1,IF(M6="P",SUMPRODUCT((O$3:O$49&lt;&gt;"")*(P$3:P$49="")*(G$3:G$49=G6))+SUMPRODUCT((P$3:P$49&lt;&gt;"")*(G$3:G$49=G6))+SUMPRODUCT((N$3:N$49&lt;&gt;"")*(G$3:G$49=G6))+SUMPRODUCT((P$3:P$49="")*(O$3:O$49="")*(N$3:N$49="")*(M$3:M$49="P")*(G$3:G$49=G6)*(J$3:J$49&gt;J6))+1,""))))</f>
        <v>4</v>
      </c>
      <c r="C6" s="36" t="s">
        <v>174</v>
      </c>
      <c r="D6" s="51" t="str">
        <f>IF(E6="","",VLOOKUP(E6,'Coaching Points'!A:B,2,0))</f>
        <v>BC</v>
      </c>
      <c r="E6" s="36" t="s">
        <v>43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181</v>
      </c>
      <c r="I6" s="47"/>
      <c r="J6" s="4">
        <f>MAX(R6,S6)+IF(OR(H6="Junior",H6="Senior"),0.0002,IF(OR(H6="L7",H6="L6"),0.0001,0))+MAX(X6,Z6)*0.0000001</f>
        <v>49.5002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Q6" s="52" t="str">
        <f>IF(A6&lt;5,IF(_xlfn.MAXIFS(A:A,G:G,G6)&gt;3,5-A6,_xlfn.MAXIFS(A:A,G:G,G6)+1-A6),"")</f>
        <v/>
      </c>
      <c r="R6" s="4">
        <f>MAX(T6,X6)</f>
        <v>49.5</v>
      </c>
      <c r="S6" s="4">
        <f>MAX(V6,Z6)</f>
        <v>45.1</v>
      </c>
      <c r="T6" s="33">
        <v>49.5</v>
      </c>
      <c r="U6" s="41">
        <v>14.100000000000001</v>
      </c>
      <c r="V6" s="34">
        <v>45.1</v>
      </c>
      <c r="W6" s="41">
        <v>9.6000000000000014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$49&lt;&gt;"")*(G$3:G$49=G7)*(J$3:J$49&gt;J7)*(I$3:I$49="P"))+1,IF(O7&lt;&gt;"",SUMPRODUCT((O$3:O$49&lt;&gt;"")*(P$3:P$49="")*(G$3:G$49=G7)*(J$3:J$49&gt;J7)*(I$3:I$49="P"))+SUMPRODUCT((P$3:P$49&lt;&gt;"")*(G$3:G$49=G7))+1,IF(N7&lt;&gt;"",SUMPRODUCT((N$3:N$49&lt;&gt;"")*(G$3:G$49=G7)*(J$3:J$49&gt;J7)*(I$3:I$49="P"))+1,IF(M7="P",SUMPRODUCT((O$3:O$49&lt;&gt;"")*(P$3:P$49="")*(G$3:G$49=G7)*(I$3:I$49="P"))+SUMPRODUCT((P$3:P$49&lt;&gt;"")*(G$3:G$49=G7)*(I$3:I$49="P"))+SUMPRODUCT((N$3:N$49&lt;&gt;"")*(G$3:G$49=G7)*(I$3:I$49="P"))+SUMPRODUCT((P$3:P$49="")*(O$3:O$49="")*(N$3:N$49="")*(M$3:M$49="P")*(G$3:G$49=G7)*(J$3:J$49&gt;J7)*(I$3:I$49="P"))+1,"")))))</f>
        <v/>
      </c>
      <c r="B7" s="1" cm="1">
        <f t="array" ref="B7">IF(P7&lt;&gt;"",SUMPRODUCT((P$3:P$49&lt;&gt;"")*(G$3:G$49=G7)*(J$3:J$49&gt;J7))+1,IF(O7&lt;&gt;"",SUMPRODUCT((O$3:O$49&lt;&gt;"")*(P$3:P$49="")*(G$3:G$49=G7)*(J$3:J$49&gt;J7))+SUMPRODUCT((P$3:P$49&lt;&gt;"")*(G$3:G$49=G7))+1,IF(N7&lt;&gt;"",SUMPRODUCT((N$3:N$49&lt;&gt;"")*(G$3:G$49=G7)*(J$3:J$49&gt;J7))+1,IF(M7="P",SUMPRODUCT((O$3:O$49&lt;&gt;"")*(P$3:P$49="")*(G$3:G$49=G7))+SUMPRODUCT((P$3:P$49&lt;&gt;"")*(G$3:G$49=G7))+SUMPRODUCT((N$3:N$49&lt;&gt;"")*(G$3:G$49=G7))+SUMPRODUCT((P$3:P$49="")*(O$3:O$49="")*(N$3:N$49="")*(M$3:M$49="P")*(G$3:G$49=G7)*(J$3:J$49&gt;J7))+1,""))))</f>
        <v>5</v>
      </c>
      <c r="C7" s="36" t="s">
        <v>178</v>
      </c>
      <c r="D7" s="51" t="str">
        <f>IF(E7="","",VLOOKUP(E7,'Coaching Points'!A:B,2,0))</f>
        <v>AB</v>
      </c>
      <c r="E7" s="36" t="s">
        <v>100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181</v>
      </c>
      <c r="I7" s="47"/>
      <c r="J7" s="4">
        <f>MAX(R7,S7)+IF(OR(H7="Junior",H7="Senior"),0.0002,IF(OR(H7="L7",H7="L6"),0.0001,0))+MAX(X7,Z7)*0.0000001</f>
        <v>50.900200000000005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52" t="str">
        <f>IF(A7&lt;5,IF(_xlfn.MAXIFS(A:A,G:G,G7)&gt;3,5-A7,_xlfn.MAXIFS(A:A,G:G,G7)+1-A7),"")</f>
        <v/>
      </c>
      <c r="R7" s="4">
        <f>MAX(T7,X7)</f>
        <v>50.900000000000006</v>
      </c>
      <c r="S7" s="4">
        <f>MAX(V7,Z7)</f>
        <v>25</v>
      </c>
      <c r="T7" s="33">
        <v>50.900000000000006</v>
      </c>
      <c r="U7" s="41">
        <v>14</v>
      </c>
      <c r="V7" s="34">
        <v>25</v>
      </c>
      <c r="W7" s="41">
        <v>6.8000000000000007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$49&lt;&gt;"")*(G$3:G$49=G8)*(J$3:J$49&gt;J8)*(I$3:I$49="P"))+1,IF(O8&lt;&gt;"",SUMPRODUCT((O$3:O$49&lt;&gt;"")*(P$3:P$49="")*(G$3:G$49=G8)*(J$3:J$49&gt;J8)*(I$3:I$49="P"))+SUMPRODUCT((P$3:P$49&lt;&gt;"")*(G$3:G$49=G8))+1,IF(N8&lt;&gt;"",SUMPRODUCT((N$3:N$49&lt;&gt;"")*(G$3:G$49=G8)*(J$3:J$49&gt;J8)*(I$3:I$49="P"))+1,IF(M8="P",SUMPRODUCT((O$3:O$49&lt;&gt;"")*(P$3:P$49="")*(G$3:G$49=G8)*(I$3:I$49="P"))+SUMPRODUCT((P$3:P$49&lt;&gt;"")*(G$3:G$49=G8)*(I$3:I$49="P"))+SUMPRODUCT((N$3:N$49&lt;&gt;"")*(G$3:G$49=G8)*(I$3:I$49="P"))+SUMPRODUCT((P$3:P$49="")*(O$3:O$49="")*(N$3:N$49="")*(M$3:M$49="P")*(G$3:G$49=G8)*(J$3:J$49&gt;J8)*(I$3:I$49="P"))+1,"")))))</f>
        <v/>
      </c>
      <c r="B8" s="1" cm="1">
        <f t="array" ref="B8">IF(P8&lt;&gt;"",SUMPRODUCT((P$3:P$49&lt;&gt;"")*(G$3:G$49=G8)*(J$3:J$49&gt;J8))+1,IF(O8&lt;&gt;"",SUMPRODUCT((O$3:O$49&lt;&gt;"")*(P$3:P$49="")*(G$3:G$49=G8)*(J$3:J$49&gt;J8))+SUMPRODUCT((P$3:P$49&lt;&gt;"")*(G$3:G$49=G8))+1,IF(N8&lt;&gt;"",SUMPRODUCT((N$3:N$49&lt;&gt;"")*(G$3:G$49=G8)*(J$3:J$49&gt;J8))+1,IF(M8="P",SUMPRODUCT((O$3:O$49&lt;&gt;"")*(P$3:P$49="")*(G$3:G$49=G8))+SUMPRODUCT((P$3:P$49&lt;&gt;"")*(G$3:G$49=G8))+SUMPRODUCT((N$3:N$49&lt;&gt;"")*(G$3:G$49=G8))+SUMPRODUCT((P$3:P$49="")*(O$3:O$49="")*(N$3:N$49="")*(M$3:M$49="P")*(G$3:G$49=G8)*(J$3:J$49&gt;J8))+1,""))))</f>
        <v>6</v>
      </c>
      <c r="C8" s="36" t="s">
        <v>158</v>
      </c>
      <c r="D8" s="51" t="str">
        <f>IF(E8="","",VLOOKUP(E8,'Coaching Points'!A:B,2,0))</f>
        <v>MB</v>
      </c>
      <c r="E8" s="36" t="s">
        <v>140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127</v>
      </c>
      <c r="I8" s="47"/>
      <c r="J8" s="4">
        <f>MAX(R8,S8)+IF(OR(H8="Junior",H8="Senior"),0.0002,IF(OR(H8="L7",H8="L6"),0.0001,0))+MAX(X8,Z8)*0.0000001</f>
        <v>50.3001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52" t="str">
        <f>IF(A8&lt;5,IF(_xlfn.MAXIFS(A:A,G:G,G8)&gt;3,5-A8,_xlfn.MAXIFS(A:A,G:G,G8)+1-A8),"")</f>
        <v/>
      </c>
      <c r="R8" s="4">
        <f>MAX(T8,X8)</f>
        <v>49.400000000000006</v>
      </c>
      <c r="S8" s="4">
        <f>MAX(V8,Z8)</f>
        <v>50.3</v>
      </c>
      <c r="T8" s="33">
        <v>49.400000000000006</v>
      </c>
      <c r="U8" s="41">
        <v>12.4</v>
      </c>
      <c r="V8" s="34">
        <v>50.3</v>
      </c>
      <c r="W8" s="41">
        <v>12.4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$49&lt;&gt;"")*(G$3:G$49=G9)*(J$3:J$49&gt;J9)*(I$3:I$49="P"))+1,IF(O9&lt;&gt;"",SUMPRODUCT((O$3:O$49&lt;&gt;"")*(P$3:P$49="")*(G$3:G$49=G9)*(J$3:J$49&gt;J9)*(I$3:I$49="P"))+SUMPRODUCT((P$3:P$49&lt;&gt;"")*(G$3:G$49=G9))+1,IF(N9&lt;&gt;"",SUMPRODUCT((N$3:N$49&lt;&gt;"")*(G$3:G$49=G9)*(J$3:J$49&gt;J9)*(I$3:I$49="P"))+1,IF(M9="P",SUMPRODUCT((O$3:O$49&lt;&gt;"")*(P$3:P$49="")*(G$3:G$49=G9)*(I$3:I$49="P"))+SUMPRODUCT((P$3:P$49&lt;&gt;"")*(G$3:G$49=G9)*(I$3:I$49="P"))+SUMPRODUCT((N$3:N$49&lt;&gt;"")*(G$3:G$49=G9)*(I$3:I$49="P"))+SUMPRODUCT((P$3:P$49="")*(O$3:O$49="")*(N$3:N$49="")*(M$3:M$49="P")*(G$3:G$49=G9)*(J$3:J$49&gt;J9)*(I$3:I$49="P"))+1,"")))))</f>
        <v/>
      </c>
      <c r="B9" s="1" cm="1">
        <f t="array" ref="B9">IF(P9&lt;&gt;"",SUMPRODUCT((P$3:P$49&lt;&gt;"")*(G$3:G$49=G9)*(J$3:J$49&gt;J9))+1,IF(O9&lt;&gt;"",SUMPRODUCT((O$3:O$49&lt;&gt;"")*(P$3:P$49="")*(G$3:G$49=G9)*(J$3:J$49&gt;J9))+SUMPRODUCT((P$3:P$49&lt;&gt;"")*(G$3:G$49=G9))+1,IF(N9&lt;&gt;"",SUMPRODUCT((N$3:N$49&lt;&gt;"")*(G$3:G$49=G9)*(J$3:J$49&gt;J9))+1,IF(M9="P",SUMPRODUCT((O$3:O$49&lt;&gt;"")*(P$3:P$49="")*(G$3:G$49=G9))+SUMPRODUCT((P$3:P$49&lt;&gt;"")*(G$3:G$49=G9))+SUMPRODUCT((N$3:N$49&lt;&gt;"")*(G$3:G$49=G9))+SUMPRODUCT((P$3:P$49="")*(O$3:O$49="")*(N$3:N$49="")*(M$3:M$49="P")*(G$3:G$49=G9)*(J$3:J$49&gt;J9))+1,""))))</f>
        <v>7</v>
      </c>
      <c r="C9" s="36" t="s">
        <v>160</v>
      </c>
      <c r="D9" s="51" t="str">
        <f>IF(E9="","",VLOOKUP(E9,'Coaching Points'!A:B,2,0))</f>
        <v>ON</v>
      </c>
      <c r="E9" s="36" t="s">
        <v>152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127</v>
      </c>
      <c r="I9" s="47"/>
      <c r="J9" s="4">
        <f>MAX(R9,S9)+IF(OR(H9="Junior",H9="Senior"),0.0002,IF(OR(H9="L7",H9="L6"),0.0001,0))+MAX(X9,Z9)*0.0000001</f>
        <v>50.000100000000003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52" t="str">
        <f>IF(A9&lt;5,IF(_xlfn.MAXIFS(A:A,G:G,G9)&gt;3,5-A9,_xlfn.MAXIFS(A:A,G:G,G9)+1-A9),"")</f>
        <v/>
      </c>
      <c r="R9" s="4">
        <f>MAX(T9,X9)</f>
        <v>50</v>
      </c>
      <c r="S9" s="4">
        <f>MAX(V9,Z9)</f>
        <v>49.1</v>
      </c>
      <c r="T9" s="33">
        <v>50</v>
      </c>
      <c r="U9" s="41">
        <v>11.6</v>
      </c>
      <c r="V9" s="34">
        <v>49.1</v>
      </c>
      <c r="W9" s="41">
        <v>11.6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$49&lt;&gt;"")*(G$3:G$49=G10)*(J$3:J$49&gt;J10)*(I$3:I$49="P"))+1,IF(O10&lt;&gt;"",SUMPRODUCT((O$3:O$49&lt;&gt;"")*(P$3:P$49="")*(G$3:G$49=G10)*(J$3:J$49&gt;J10)*(I$3:I$49="P"))+SUMPRODUCT((P$3:P$49&lt;&gt;"")*(G$3:G$49=G10))+1,IF(N10&lt;&gt;"",SUMPRODUCT((N$3:N$49&lt;&gt;"")*(G$3:G$49=G10)*(J$3:J$49&gt;J10)*(I$3:I$49="P"))+1,IF(M10="P",SUMPRODUCT((O$3:O$49&lt;&gt;"")*(P$3:P$49="")*(G$3:G$49=G10)*(I$3:I$49="P"))+SUMPRODUCT((P$3:P$49&lt;&gt;"")*(G$3:G$49=G10)*(I$3:I$49="P"))+SUMPRODUCT((N$3:N$49&lt;&gt;"")*(G$3:G$49=G10)*(I$3:I$49="P"))+SUMPRODUCT((P$3:P$49="")*(O$3:O$49="")*(N$3:N$49="")*(M$3:M$49="P")*(G$3:G$49=G10)*(J$3:J$49&gt;J10)*(I$3:I$49="P"))+1,"")))))</f>
        <v/>
      </c>
      <c r="B10" s="1" cm="1">
        <f t="array" ref="B10">IF(P10&lt;&gt;"",SUMPRODUCT((P$3:P$49&lt;&gt;"")*(G$3:G$49=G10)*(J$3:J$49&gt;J10))+1,IF(O10&lt;&gt;"",SUMPRODUCT((O$3:O$49&lt;&gt;"")*(P$3:P$49="")*(G$3:G$49=G10)*(J$3:J$49&gt;J10))+SUMPRODUCT((P$3:P$49&lt;&gt;"")*(G$3:G$49=G10))+1,IF(N10&lt;&gt;"",SUMPRODUCT((N$3:N$49&lt;&gt;"")*(G$3:G$49=G10)*(J$3:J$49&gt;J10))+1,IF(M10="P",SUMPRODUCT((O$3:O$49&lt;&gt;"")*(P$3:P$49="")*(G$3:G$49=G10))+SUMPRODUCT((P$3:P$49&lt;&gt;"")*(G$3:G$49=G10))+SUMPRODUCT((N$3:N$49&lt;&gt;"")*(G$3:G$49=G10))+SUMPRODUCT((P$3:P$49="")*(O$3:O$49="")*(N$3:N$49="")*(M$3:M$49="P")*(G$3:G$49=G10)*(J$3:J$49&gt;J10))+1,""))))</f>
        <v>8</v>
      </c>
      <c r="C10" s="36" t="s">
        <v>175</v>
      </c>
      <c r="D10" s="51" t="str">
        <f>IF(E10="","",VLOOKUP(E10,'Coaching Points'!A:B,2,0))</f>
        <v>AB</v>
      </c>
      <c r="E10" s="36" t="s">
        <v>100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181</v>
      </c>
      <c r="I10" s="47"/>
      <c r="J10" s="4">
        <f>MAX(R10,S10)+IF(OR(H10="Junior",H10="Senior"),0.0002,IF(OR(H10="L7",H10="L6"),0.0001,0))+MAX(X10,Z10)*0.0000001</f>
        <v>49.900200000000005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52" t="str">
        <f>IF(A10&lt;5,IF(_xlfn.MAXIFS(A:A,G:G,G10)&gt;3,5-A10,_xlfn.MAXIFS(A:A,G:G,G10)+1-A10),"")</f>
        <v/>
      </c>
      <c r="R10" s="4">
        <f>MAX(T10,X10)</f>
        <v>49.900000000000006</v>
      </c>
      <c r="S10" s="4">
        <f>MAX(V10,Z10)</f>
        <v>43</v>
      </c>
      <c r="T10" s="33">
        <v>49.900000000000006</v>
      </c>
      <c r="U10" s="41">
        <v>14.8</v>
      </c>
      <c r="V10" s="34">
        <v>43</v>
      </c>
      <c r="W10" s="41">
        <v>9.6000000000000014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$49&lt;&gt;"")*(G$3:G$49=G11)*(J$3:J$49&gt;J11)*(I$3:I$49="P"))+1,IF(O11&lt;&gt;"",SUMPRODUCT((O$3:O$49&lt;&gt;"")*(P$3:P$49="")*(G$3:G$49=G11)*(J$3:J$49&gt;J11)*(I$3:I$49="P"))+SUMPRODUCT((P$3:P$49&lt;&gt;"")*(G$3:G$49=G11))+1,IF(N11&lt;&gt;"",SUMPRODUCT((N$3:N$49&lt;&gt;"")*(G$3:G$49=G11)*(J$3:J$49&gt;J11)*(I$3:I$49="P"))+1,IF(M11="P",SUMPRODUCT((O$3:O$49&lt;&gt;"")*(P$3:P$49="")*(G$3:G$49=G11)*(I$3:I$49="P"))+SUMPRODUCT((P$3:P$49&lt;&gt;"")*(G$3:G$49=G11)*(I$3:I$49="P"))+SUMPRODUCT((N$3:N$49&lt;&gt;"")*(G$3:G$49=G11)*(I$3:I$49="P"))+SUMPRODUCT((P$3:P$49="")*(O$3:O$49="")*(N$3:N$49="")*(M$3:M$49="P")*(G$3:G$49=G11)*(J$3:J$49&gt;J11)*(I$3:I$49="P"))+1,"")))))</f>
        <v/>
      </c>
      <c r="B11" s="1" cm="1">
        <f t="array" ref="B11">IF(P11&lt;&gt;"",SUMPRODUCT((P$3:P$49&lt;&gt;"")*(G$3:G$49=G11)*(J$3:J$49&gt;J11))+1,IF(O11&lt;&gt;"",SUMPRODUCT((O$3:O$49&lt;&gt;"")*(P$3:P$49="")*(G$3:G$49=G11)*(J$3:J$49&gt;J11))+SUMPRODUCT((P$3:P$49&lt;&gt;"")*(G$3:G$49=G11))+1,IF(N11&lt;&gt;"",SUMPRODUCT((N$3:N$49&lt;&gt;"")*(G$3:G$49=G11)*(J$3:J$49&gt;J11))+1,IF(M11="P",SUMPRODUCT((O$3:O$49&lt;&gt;"")*(P$3:P$49="")*(G$3:G$49=G11))+SUMPRODUCT((P$3:P$49&lt;&gt;"")*(G$3:G$49=G11))+SUMPRODUCT((N$3:N$49&lt;&gt;"")*(G$3:G$49=G11))+SUMPRODUCT((P$3:P$49="")*(O$3:O$49="")*(N$3:N$49="")*(M$3:M$49="P")*(G$3:G$49=G11)*(J$3:J$49&gt;J11))+1,""))))</f>
        <v>9</v>
      </c>
      <c r="C11" s="36" t="s">
        <v>177</v>
      </c>
      <c r="D11" s="51" t="str">
        <f>IF(E11="","",VLOOKUP(E11,'Coaching Points'!A:B,2,0))</f>
        <v>AB</v>
      </c>
      <c r="E11" s="36" t="s">
        <v>29</v>
      </c>
      <c r="F11" s="35">
        <v>2002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181</v>
      </c>
      <c r="I11" s="47"/>
      <c r="J11" s="4">
        <f>MAX(R11,S11)+IF(OR(H11="Junior",H11="Senior"),0.0002,IF(OR(H11="L7",H11="L6"),0.0001,0))+MAX(X11,Z11)*0.0000001</f>
        <v>48.800199999999997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52" t="str">
        <f>IF(A11&lt;5,IF(_xlfn.MAXIFS(A:A,G:G,G11)&gt;3,5-A11,_xlfn.MAXIFS(A:A,G:G,G11)+1-A11),"")</f>
        <v/>
      </c>
      <c r="R11" s="4">
        <f>MAX(T11,X11)</f>
        <v>48.8</v>
      </c>
      <c r="S11" s="4">
        <f>MAX(V11,Z11)</f>
        <v>26.7</v>
      </c>
      <c r="T11" s="33">
        <v>48.8</v>
      </c>
      <c r="U11" s="41">
        <v>13.7</v>
      </c>
      <c r="V11" s="34">
        <v>26.7</v>
      </c>
      <c r="W11" s="41">
        <v>8.1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$49&lt;&gt;"")*(G$3:G$49=G12)*(J$3:J$49&gt;J12)*(I$3:I$49="P"))+1,IF(O12&lt;&gt;"",SUMPRODUCT((O$3:O$49&lt;&gt;"")*(P$3:P$49="")*(G$3:G$49=G12)*(J$3:J$49&gt;J12)*(I$3:I$49="P"))+SUMPRODUCT((P$3:P$49&lt;&gt;"")*(G$3:G$49=G12))+1,IF(N12&lt;&gt;"",SUMPRODUCT((N$3:N$49&lt;&gt;"")*(G$3:G$49=G12)*(J$3:J$49&gt;J12)*(I$3:I$49="P"))+1,IF(M12="P",SUMPRODUCT((O$3:O$49&lt;&gt;"")*(P$3:P$49="")*(G$3:G$49=G12)*(I$3:I$49="P"))+SUMPRODUCT((P$3:P$49&lt;&gt;"")*(G$3:G$49=G12)*(I$3:I$49="P"))+SUMPRODUCT((N$3:N$49&lt;&gt;"")*(G$3:G$49=G12)*(I$3:I$49="P"))+SUMPRODUCT((P$3:P$49="")*(O$3:O$49="")*(N$3:N$49="")*(M$3:M$49="P")*(G$3:G$49=G12)*(J$3:J$49&gt;J12)*(I$3:I$49="P"))+1,"")))))</f>
        <v/>
      </c>
      <c r="B12" s="1" cm="1">
        <f t="array" ref="B12">IF(P12&lt;&gt;"",SUMPRODUCT((P$3:P$49&lt;&gt;"")*(G$3:G$49=G12)*(J$3:J$49&gt;J12))+1,IF(O12&lt;&gt;"",SUMPRODUCT((O$3:O$49&lt;&gt;"")*(P$3:P$49="")*(G$3:G$49=G12)*(J$3:J$49&gt;J12))+SUMPRODUCT((P$3:P$49&lt;&gt;"")*(G$3:G$49=G12))+1,IF(N12&lt;&gt;"",SUMPRODUCT((N$3:N$49&lt;&gt;"")*(G$3:G$49=G12)*(J$3:J$49&gt;J12))+1,IF(M12="P",SUMPRODUCT((O$3:O$49&lt;&gt;"")*(P$3:P$49="")*(G$3:G$49=G12))+SUMPRODUCT((P$3:P$49&lt;&gt;"")*(G$3:G$49=G12))+SUMPRODUCT((N$3:N$49&lt;&gt;"")*(G$3:G$49=G12))+SUMPRODUCT((P$3:P$49="")*(O$3:O$49="")*(N$3:N$49="")*(M$3:M$49="P")*(G$3:G$49=G12)*(J$3:J$49&gt;J12))+1,""))))</f>
        <v>10</v>
      </c>
      <c r="C12" s="36" t="s">
        <v>161</v>
      </c>
      <c r="D12" s="51" t="str">
        <f>IF(E12="","",VLOOKUP(E12,'Coaching Points'!A:B,2,0))</f>
        <v>BC</v>
      </c>
      <c r="E12" s="36" t="s">
        <v>48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127</v>
      </c>
      <c r="I12" s="47"/>
      <c r="J12" s="4">
        <f>MAX(R12,S12)+IF(OR(H12="Junior",H12="Senior"),0.0002,IF(OR(H12="L7",H12="L6"),0.0001,0))+MAX(X12,Z12)*0.0000001</f>
        <v>48.8001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52" t="str">
        <f>IF(A12&lt;5,IF(_xlfn.MAXIFS(A:A,G:G,G12)&gt;3,5-A12,_xlfn.MAXIFS(A:A,G:G,G12)+1-A12),"")</f>
        <v/>
      </c>
      <c r="R12" s="4">
        <f>MAX(T12,X12)</f>
        <v>48.099999999999994</v>
      </c>
      <c r="S12" s="4">
        <f>MAX(V12,Z12)</f>
        <v>48.8</v>
      </c>
      <c r="T12" s="33">
        <v>48.099999999999994</v>
      </c>
      <c r="U12" s="41">
        <v>12</v>
      </c>
      <c r="V12" s="34">
        <v>48.8</v>
      </c>
      <c r="W12" s="41">
        <v>12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$49&lt;&gt;"")*(G$3:G$49=G13)*(J$3:J$49&gt;J13)*(I$3:I$49="P"))+1,IF(O13&lt;&gt;"",SUMPRODUCT((O$3:O$49&lt;&gt;"")*(P$3:P$49="")*(G$3:G$49=G13)*(J$3:J$49&gt;J13)*(I$3:I$49="P"))+SUMPRODUCT((P$3:P$49&lt;&gt;"")*(G$3:G$49=G13))+1,IF(N13&lt;&gt;"",SUMPRODUCT((N$3:N$49&lt;&gt;"")*(G$3:G$49=G13)*(J$3:J$49&gt;J13)*(I$3:I$49="P"))+1,IF(M13="P",SUMPRODUCT((O$3:O$49&lt;&gt;"")*(P$3:P$49="")*(G$3:G$49=G13)*(I$3:I$49="P"))+SUMPRODUCT((P$3:P$49&lt;&gt;"")*(G$3:G$49=G13)*(I$3:I$49="P"))+SUMPRODUCT((N$3:N$49&lt;&gt;"")*(G$3:G$49=G13)*(I$3:I$49="P"))+SUMPRODUCT((P$3:P$49="")*(O$3:O$49="")*(N$3:N$49="")*(M$3:M$49="P")*(G$3:G$49=G13)*(J$3:J$49&gt;J13)*(I$3:I$49="P"))+1,"")))))</f>
        <v/>
      </c>
      <c r="B13" s="1" cm="1">
        <f t="array" ref="B13">IF(P13&lt;&gt;"",SUMPRODUCT((P$3:P$49&lt;&gt;"")*(G$3:G$49=G13)*(J$3:J$49&gt;J13))+1,IF(O13&lt;&gt;"",SUMPRODUCT((O$3:O$49&lt;&gt;"")*(P$3:P$49="")*(G$3:G$49=G13)*(J$3:J$49&gt;J13))+SUMPRODUCT((P$3:P$49&lt;&gt;"")*(G$3:G$49=G13))+1,IF(N13&lt;&gt;"",SUMPRODUCT((N$3:N$49&lt;&gt;"")*(G$3:G$49=G13)*(J$3:J$49&gt;J13))+1,IF(M13="P",SUMPRODUCT((O$3:O$49&lt;&gt;"")*(P$3:P$49="")*(G$3:G$49=G13))+SUMPRODUCT((P$3:P$49&lt;&gt;"")*(G$3:G$49=G13))+SUMPRODUCT((N$3:N$49&lt;&gt;"")*(G$3:G$49=G13))+SUMPRODUCT((P$3:P$49="")*(O$3:O$49="")*(N$3:N$49="")*(M$3:M$49="P")*(G$3:G$49=G13)*(J$3:J$49&gt;J13))+1,""))))</f>
        <v>11</v>
      </c>
      <c r="C13" s="36" t="s">
        <v>162</v>
      </c>
      <c r="D13" s="51" t="str">
        <f>IF(E13="","",VLOOKUP(E13,'Coaching Points'!A:B,2,0))</f>
        <v>NB</v>
      </c>
      <c r="E13" s="36" t="s">
        <v>50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127</v>
      </c>
      <c r="I13" s="47"/>
      <c r="J13" s="4">
        <f>MAX(R13,S13)+IF(OR(H13="Junior",H13="Senior"),0.0002,IF(OR(H13="L7",H13="L6"),0.0001,0))+MAX(X13,Z13)*0.0000001</f>
        <v>48.700100000000006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52" t="str">
        <f>IF(A13&lt;5,IF(_xlfn.MAXIFS(A:A,G:G,G13)&gt;3,5-A13,_xlfn.MAXIFS(A:A,G:G,G13)+1-A13),"")</f>
        <v/>
      </c>
      <c r="R13" s="4">
        <f>MAX(T13,X13)</f>
        <v>43</v>
      </c>
      <c r="S13" s="4">
        <f>MAX(V13,Z13)</f>
        <v>48.7</v>
      </c>
      <c r="T13" s="33">
        <v>43</v>
      </c>
      <c r="U13" s="41">
        <v>8</v>
      </c>
      <c r="V13" s="34">
        <v>48.7</v>
      </c>
      <c r="W13" s="41">
        <v>12.8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$49&lt;&gt;"")*(G$3:G$49=G14)*(J$3:J$49&gt;J14)*(I$3:I$49="P"))+1,IF(O14&lt;&gt;"",SUMPRODUCT((O$3:O$49&lt;&gt;"")*(P$3:P$49="")*(G$3:G$49=G14)*(J$3:J$49&gt;J14)*(I$3:I$49="P"))+SUMPRODUCT((P$3:P$49&lt;&gt;"")*(G$3:G$49=G14))+1,IF(N14&lt;&gt;"",SUMPRODUCT((N$3:N$49&lt;&gt;"")*(G$3:G$49=G14)*(J$3:J$49&gt;J14)*(I$3:I$49="P"))+1,IF(M14="P",SUMPRODUCT((O$3:O$49&lt;&gt;"")*(P$3:P$49="")*(G$3:G$49=G14)*(I$3:I$49="P"))+SUMPRODUCT((P$3:P$49&lt;&gt;"")*(G$3:G$49=G14)*(I$3:I$49="P"))+SUMPRODUCT((N$3:N$49&lt;&gt;"")*(G$3:G$49=G14)*(I$3:I$49="P"))+SUMPRODUCT((P$3:P$49="")*(O$3:O$49="")*(N$3:N$49="")*(M$3:M$49="P")*(G$3:G$49=G14)*(J$3:J$49&gt;J14)*(I$3:I$49="P"))+1,"")))))</f>
        <v/>
      </c>
      <c r="B14" s="1" cm="1">
        <f t="array" ref="B14">IF(P14&lt;&gt;"",SUMPRODUCT((P$3:P$49&lt;&gt;"")*(G$3:G$49=G14)*(J$3:J$49&gt;J14))+1,IF(O14&lt;&gt;"",SUMPRODUCT((O$3:O$49&lt;&gt;"")*(P$3:P$49="")*(G$3:G$49=G14)*(J$3:J$49&gt;J14))+SUMPRODUCT((P$3:P$49&lt;&gt;"")*(G$3:G$49=G14))+1,IF(N14&lt;&gt;"",SUMPRODUCT((N$3:N$49&lt;&gt;"")*(G$3:G$49=G14)*(J$3:J$49&gt;J14))+1,IF(M14="P",SUMPRODUCT((O$3:O$49&lt;&gt;"")*(P$3:P$49="")*(G$3:G$49=G14))+SUMPRODUCT((P$3:P$49&lt;&gt;"")*(G$3:G$49=G14))+SUMPRODUCT((N$3:N$49&lt;&gt;"")*(G$3:G$49=G14))+SUMPRODUCT((P$3:P$49="")*(O$3:O$49="")*(N$3:N$49="")*(M$3:M$49="P")*(G$3:G$49=G14)*(J$3:J$49&gt;J14))+1,""))))</f>
        <v>12</v>
      </c>
      <c r="C14" s="36" t="s">
        <v>179</v>
      </c>
      <c r="D14" s="51" t="str">
        <f>IF(E14="","",VLOOKUP(E14,'Coaching Points'!A:B,2,0))</f>
        <v>BC</v>
      </c>
      <c r="E14" s="36" t="s">
        <v>38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181</v>
      </c>
      <c r="I14" s="47"/>
      <c r="J14" s="4">
        <f>MAX(R14,S14)+IF(OR(H14="Junior",H14="Senior"),0.0002,IF(OR(H14="L7",H14="L6"),0.0001,0))+MAX(X14,Z14)*0.0000001</f>
        <v>48.200200000000002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52" t="str">
        <f>IF(A14&lt;5,IF(_xlfn.MAXIFS(A:A,G:G,G14)&gt;3,5-A14,_xlfn.MAXIFS(A:A,G:G,G14)+1-A14),"")</f>
        <v/>
      </c>
      <c r="R14" s="4">
        <f>MAX(T14,X14)</f>
        <v>48.2</v>
      </c>
      <c r="S14" s="4">
        <f>MAX(V14,Z14)</f>
        <v>0</v>
      </c>
      <c r="T14" s="33">
        <v>48.2</v>
      </c>
      <c r="U14" s="41">
        <v>12.4</v>
      </c>
      <c r="V14" s="34">
        <v>0</v>
      </c>
      <c r="W14" s="41">
        <v>0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$49&lt;&gt;"")*(G$3:G$49=G15)*(J$3:J$49&gt;J15)*(I$3:I$49="P"))+1,IF(O15&lt;&gt;"",SUMPRODUCT((O$3:O$49&lt;&gt;"")*(P$3:P$49="")*(G$3:G$49=G15)*(J$3:J$49&gt;J15)*(I$3:I$49="P"))+SUMPRODUCT((P$3:P$49&lt;&gt;"")*(G$3:G$49=G15))+1,IF(N15&lt;&gt;"",SUMPRODUCT((N$3:N$49&lt;&gt;"")*(G$3:G$49=G15)*(J$3:J$49&gt;J15)*(I$3:I$49="P"))+1,IF(M15="P",SUMPRODUCT((O$3:O$49&lt;&gt;"")*(P$3:P$49="")*(G$3:G$49=G15)*(I$3:I$49="P"))+SUMPRODUCT((P$3:P$49&lt;&gt;"")*(G$3:G$49=G15)*(I$3:I$49="P"))+SUMPRODUCT((N$3:N$49&lt;&gt;"")*(G$3:G$49=G15)*(I$3:I$49="P"))+SUMPRODUCT((P$3:P$49="")*(O$3:O$49="")*(N$3:N$49="")*(M$3:M$49="P")*(G$3:G$49=G15)*(J$3:J$49&gt;J15)*(I$3:I$49="P"))+1,"")))))</f>
        <v/>
      </c>
      <c r="B15" s="1" cm="1">
        <f t="array" ref="B15">IF(P15&lt;&gt;"",SUMPRODUCT((P$3:P$49&lt;&gt;"")*(G$3:G$49=G15)*(J$3:J$49&gt;J15))+1,IF(O15&lt;&gt;"",SUMPRODUCT((O$3:O$49&lt;&gt;"")*(P$3:P$49="")*(G$3:G$49=G15)*(J$3:J$49&gt;J15))+SUMPRODUCT((P$3:P$49&lt;&gt;"")*(G$3:G$49=G15))+1,IF(N15&lt;&gt;"",SUMPRODUCT((N$3:N$49&lt;&gt;"")*(G$3:G$49=G15)*(J$3:J$49&gt;J15))+1,IF(M15="P",SUMPRODUCT((O$3:O$49&lt;&gt;"")*(P$3:P$49="")*(G$3:G$49=G15))+SUMPRODUCT((P$3:P$49&lt;&gt;"")*(G$3:G$49=G15))+SUMPRODUCT((N$3:N$49&lt;&gt;"")*(G$3:G$49=G15))+SUMPRODUCT((P$3:P$49="")*(O$3:O$49="")*(N$3:N$49="")*(M$3:M$49="P")*(G$3:G$49=G15)*(J$3:J$49&gt;J15))+1,""))))</f>
        <v>13</v>
      </c>
      <c r="C15" s="36" t="s">
        <v>163</v>
      </c>
      <c r="D15" s="51" t="str">
        <f>IF(E15="","",VLOOKUP(E15,'Coaching Points'!A:B,2,0))</f>
        <v>BC</v>
      </c>
      <c r="E15" s="36" t="s">
        <v>43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127</v>
      </c>
      <c r="I15" s="47"/>
      <c r="J15" s="4">
        <f>MAX(R15,S15)+IF(OR(H15="Junior",H15="Senior"),0.0002,IF(OR(H15="L7",H15="L6"),0.0001,0))+MAX(X15,Z15)*0.0000001</f>
        <v>48.000100000000003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52" t="str">
        <f>IF(A15&lt;5,IF(_xlfn.MAXIFS(A:A,G:G,G15)&gt;3,5-A15,_xlfn.MAXIFS(A:A,G:G,G15)+1-A15),"")</f>
        <v/>
      </c>
      <c r="R15" s="4">
        <f>MAX(T15,X15)</f>
        <v>48</v>
      </c>
      <c r="S15" s="4">
        <f>MAX(V15,Z15)</f>
        <v>47.8</v>
      </c>
      <c r="T15" s="33">
        <v>48</v>
      </c>
      <c r="U15" s="41">
        <v>12.4</v>
      </c>
      <c r="V15" s="34">
        <v>47.8</v>
      </c>
      <c r="W15" s="41">
        <v>14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$49&lt;&gt;"")*(G$3:G$49=G16)*(J$3:J$49&gt;J16)*(I$3:I$49="P"))+1,IF(O16&lt;&gt;"",SUMPRODUCT((O$3:O$49&lt;&gt;"")*(P$3:P$49="")*(G$3:G$49=G16)*(J$3:J$49&gt;J16)*(I$3:I$49="P"))+SUMPRODUCT((P$3:P$49&lt;&gt;"")*(G$3:G$49=G16))+1,IF(N16&lt;&gt;"",SUMPRODUCT((N$3:N$49&lt;&gt;"")*(G$3:G$49=G16)*(J$3:J$49&gt;J16)*(I$3:I$49="P"))+1,IF(M16="P",SUMPRODUCT((O$3:O$49&lt;&gt;"")*(P$3:P$49="")*(G$3:G$49=G16)*(I$3:I$49="P"))+SUMPRODUCT((P$3:P$49&lt;&gt;"")*(G$3:G$49=G16)*(I$3:I$49="P"))+SUMPRODUCT((N$3:N$49&lt;&gt;"")*(G$3:G$49=G16)*(I$3:I$49="P"))+SUMPRODUCT((P$3:P$49="")*(O$3:O$49="")*(N$3:N$49="")*(M$3:M$49="P")*(G$3:G$49=G16)*(J$3:J$49&gt;J16)*(I$3:I$49="P"))+1,"")))))</f>
        <v/>
      </c>
      <c r="B16" s="1" cm="1">
        <f t="array" ref="B16">IF(P16&lt;&gt;"",SUMPRODUCT((P$3:P$49&lt;&gt;"")*(G$3:G$49=G16)*(J$3:J$49&gt;J16))+1,IF(O16&lt;&gt;"",SUMPRODUCT((O$3:O$49&lt;&gt;"")*(P$3:P$49="")*(G$3:G$49=G16)*(J$3:J$49&gt;J16))+SUMPRODUCT((P$3:P$49&lt;&gt;"")*(G$3:G$49=G16))+1,IF(N16&lt;&gt;"",SUMPRODUCT((N$3:N$49&lt;&gt;"")*(G$3:G$49=G16)*(J$3:J$49&gt;J16))+1,IF(M16="P",SUMPRODUCT((O$3:O$49&lt;&gt;"")*(P$3:P$49="")*(G$3:G$49=G16))+SUMPRODUCT((P$3:P$49&lt;&gt;"")*(G$3:G$49=G16))+SUMPRODUCT((N$3:N$49&lt;&gt;"")*(G$3:G$49=G16))+SUMPRODUCT((P$3:P$49="")*(O$3:O$49="")*(N$3:N$49="")*(M$3:M$49="P")*(G$3:G$49=G16)*(J$3:J$49&gt;J16))+1,""))))</f>
        <v>14</v>
      </c>
      <c r="C16" s="36" t="s">
        <v>165</v>
      </c>
      <c r="D16" s="51" t="str">
        <f>IF(E16="","",VLOOKUP(E16,'Coaching Points'!A:B,2,0))</f>
        <v>AB</v>
      </c>
      <c r="E16" s="36" t="s">
        <v>100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127</v>
      </c>
      <c r="I16" s="47"/>
      <c r="J16" s="4">
        <f>MAX(R16,S16)+IF(OR(H16="Junior",H16="Senior"),0.0002,IF(OR(H16="L7",H16="L6"),0.0001,0))+MAX(X16,Z16)*0.0000001</f>
        <v>47.900100000000009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52" t="str">
        <f>IF(A16&lt;5,IF(_xlfn.MAXIFS(A:A,G:G,G16)&gt;3,5-A16,_xlfn.MAXIFS(A:A,G:G,G16)+1-A16),"")</f>
        <v/>
      </c>
      <c r="R16" s="4">
        <f>MAX(T16,X16)</f>
        <v>47.900000000000006</v>
      </c>
      <c r="S16" s="4">
        <f>MAX(V16,Z16)</f>
        <v>47</v>
      </c>
      <c r="T16" s="33">
        <v>47.900000000000006</v>
      </c>
      <c r="U16" s="41">
        <v>12</v>
      </c>
      <c r="V16" s="34">
        <v>47</v>
      </c>
      <c r="W16" s="41">
        <v>11.6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$49&lt;&gt;"")*(G$3:G$49=G17)*(J$3:J$49&gt;J17)*(I$3:I$49="P"))+1,IF(O17&lt;&gt;"",SUMPRODUCT((O$3:O$49&lt;&gt;"")*(P$3:P$49="")*(G$3:G$49=G17)*(J$3:J$49&gt;J17)*(I$3:I$49="P"))+SUMPRODUCT((P$3:P$49&lt;&gt;"")*(G$3:G$49=G17))+1,IF(N17&lt;&gt;"",SUMPRODUCT((N$3:N$49&lt;&gt;"")*(G$3:G$49=G17)*(J$3:J$49&gt;J17)*(I$3:I$49="P"))+1,IF(M17="P",SUMPRODUCT((O$3:O$49&lt;&gt;"")*(P$3:P$49="")*(G$3:G$49=G17)*(I$3:I$49="P"))+SUMPRODUCT((P$3:P$49&lt;&gt;"")*(G$3:G$49=G17)*(I$3:I$49="P"))+SUMPRODUCT((N$3:N$49&lt;&gt;"")*(G$3:G$49=G17)*(I$3:I$49="P"))+SUMPRODUCT((P$3:P$49="")*(O$3:O$49="")*(N$3:N$49="")*(M$3:M$49="P")*(G$3:G$49=G17)*(J$3:J$49&gt;J17)*(I$3:I$49="P"))+1,"")))))</f>
        <v/>
      </c>
      <c r="B17" s="1" cm="1">
        <f t="array" ref="B17">IF(P17&lt;&gt;"",SUMPRODUCT((P$3:P$49&lt;&gt;"")*(G$3:G$49=G17)*(J$3:J$49&gt;J17))+1,IF(O17&lt;&gt;"",SUMPRODUCT((O$3:O$49&lt;&gt;"")*(P$3:P$49="")*(G$3:G$49=G17)*(J$3:J$49&gt;J17))+SUMPRODUCT((P$3:P$49&lt;&gt;"")*(G$3:G$49=G17))+1,IF(N17&lt;&gt;"",SUMPRODUCT((N$3:N$49&lt;&gt;"")*(G$3:G$49=G17)*(J$3:J$49&gt;J17))+1,IF(M17="P",SUMPRODUCT((O$3:O$49&lt;&gt;"")*(P$3:P$49="")*(G$3:G$49=G17))+SUMPRODUCT((P$3:P$49&lt;&gt;"")*(G$3:G$49=G17))+SUMPRODUCT((N$3:N$49&lt;&gt;"")*(G$3:G$49=G17))+SUMPRODUCT((P$3:P$49="")*(O$3:O$49="")*(N$3:N$49="")*(M$3:M$49="P")*(G$3:G$49=G17)*(J$3:J$49&gt;J17))+1,""))))</f>
        <v>15</v>
      </c>
      <c r="C17" s="36" t="s">
        <v>164</v>
      </c>
      <c r="D17" s="51" t="str">
        <f>IF(E17="","",VLOOKUP(E17,'Coaching Points'!A:B,2,0))</f>
        <v>QC</v>
      </c>
      <c r="E17" s="36" t="s">
        <v>3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127</v>
      </c>
      <c r="I17" s="47"/>
      <c r="J17" s="4">
        <f>MAX(R17,S17)+IF(OR(H17="Junior",H17="Senior"),0.0002,IF(OR(H17="L7",H17="L6"),0.0001,0))+MAX(X17,Z17)*0.0000001</f>
        <v>47.700100000000006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52" t="str">
        <f>IF(A17&lt;5,IF(_xlfn.MAXIFS(A:A,G:G,G17)&gt;3,5-A17,_xlfn.MAXIFS(A:A,G:G,G17)+1-A17),"")</f>
        <v/>
      </c>
      <c r="R17" s="4">
        <f>MAX(T17,X17)</f>
        <v>47.3</v>
      </c>
      <c r="S17" s="4">
        <f>MAX(V17,Z17)</f>
        <v>47.7</v>
      </c>
      <c r="T17" s="33">
        <v>47.3</v>
      </c>
      <c r="U17" s="41">
        <v>10.399999999999999</v>
      </c>
      <c r="V17" s="34">
        <v>47.7</v>
      </c>
      <c r="W17" s="41">
        <v>10.399999999999999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$49&lt;&gt;"")*(G$3:G$49=G18)*(J$3:J$49&gt;J18)*(I$3:I$49="P"))+1,IF(O18&lt;&gt;"",SUMPRODUCT((O$3:O$49&lt;&gt;"")*(P$3:P$49="")*(G$3:G$49=G18)*(J$3:J$49&gt;J18)*(I$3:I$49="P"))+SUMPRODUCT((P$3:P$49&lt;&gt;"")*(G$3:G$49=G18))+1,IF(N18&lt;&gt;"",SUMPRODUCT((N$3:N$49&lt;&gt;"")*(G$3:G$49=G18)*(J$3:J$49&gt;J18)*(I$3:I$49="P"))+1,IF(M18="P",SUMPRODUCT((O$3:O$49&lt;&gt;"")*(P$3:P$49="")*(G$3:G$49=G18)*(I$3:I$49="P"))+SUMPRODUCT((P$3:P$49&lt;&gt;"")*(G$3:G$49=G18)*(I$3:I$49="P"))+SUMPRODUCT((N$3:N$49&lt;&gt;"")*(G$3:G$49=G18)*(I$3:I$49="P"))+SUMPRODUCT((P$3:P$49="")*(O$3:O$49="")*(N$3:N$49="")*(M$3:M$49="P")*(G$3:G$49=G18)*(J$3:J$49&gt;J18)*(I$3:I$49="P"))+1,"")))))</f>
        <v/>
      </c>
      <c r="B18" s="1" t="str" cm="1">
        <f t="array" ref="B18">IF(P18&lt;&gt;"",SUMPRODUCT((P$3:P$49&lt;&gt;"")*(G$3:G$49=G18)*(J$3:J$49&gt;J18))+1,IF(O18&lt;&gt;"",SUMPRODUCT((O$3:O$49&lt;&gt;"")*(P$3:P$49="")*(G$3:G$49=G18)*(J$3:J$49&gt;J18))+SUMPRODUCT((P$3:P$49&lt;&gt;"")*(G$3:G$49=G18))+1,IF(N18&lt;&gt;"",SUMPRODUCT((N$3:N$49&lt;&gt;"")*(G$3:G$49=G18)*(J$3:J$49&gt;J18))+1,IF(M18="P",SUMPRODUCT((O$3:O$49&lt;&gt;"")*(P$3:P$49="")*(G$3:G$49=G18))+SUMPRODUCT((P$3:P$49&lt;&gt;"")*(G$3:G$49=G18))+SUMPRODUCT((N$3:N$49&lt;&gt;"")*(G$3:G$49=G18))+SUMPRODUCT((P$3:P$49="")*(O$3:O$49="")*(N$3:N$49="")*(M$3:M$49="P")*(G$3:G$49=G18)*(J$3:J$49&gt;J18))+1,""))))</f>
        <v/>
      </c>
      <c r="C18" s="36" t="s">
        <v>166</v>
      </c>
      <c r="D18" s="51" t="str">
        <f>IF(E18="","",VLOOKUP(E18,'Coaching Points'!A:B,2,0))</f>
        <v>AB</v>
      </c>
      <c r="E18" s="36" t="s">
        <v>98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127</v>
      </c>
      <c r="I18" s="47"/>
      <c r="J18" s="4">
        <f>MAX(R18,S18)+IF(OR(H18="Junior",H18="Senior"),0.0002,IF(OR(H18="L7",H18="L6"),0.0001,0))+MAX(X18,Z18)*0.0000001</f>
        <v>47.400099999999995</v>
      </c>
      <c r="K18" s="3" t="str">
        <f>IF(G18="Not Age Eligible","",IF(MAX(T18,V18,X18,Z18)&gt;=LOOKUP(G18,'Qualifying Scores'!$A$4:$A$7,'Qualifying Scores'!$F$4:$F$7),"P",""))</f>
        <v/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/>
      </c>
      <c r="Q18" s="52" t="str">
        <f>IF(A18&lt;5,IF(_xlfn.MAXIFS(A:A,G:G,G18)&gt;3,5-A18,_xlfn.MAXIFS(A:A,G:G,G18)+1-A18),"")</f>
        <v/>
      </c>
      <c r="R18" s="4">
        <f>MAX(T18,X18)</f>
        <v>47.399999999999991</v>
      </c>
      <c r="S18" s="4">
        <f>MAX(V18,Z18)</f>
        <v>44.1</v>
      </c>
      <c r="T18" s="33">
        <v>47.399999999999991</v>
      </c>
      <c r="U18" s="41">
        <v>11.6</v>
      </c>
      <c r="V18" s="34">
        <v>44.1</v>
      </c>
      <c r="W18" s="41">
        <v>8.4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$49&lt;&gt;"")*(G$3:G$49=G19)*(J$3:J$49&gt;J19)*(I$3:I$49="P"))+1,IF(O19&lt;&gt;"",SUMPRODUCT((O$3:O$49&lt;&gt;"")*(P$3:P$49="")*(G$3:G$49=G19)*(J$3:J$49&gt;J19)*(I$3:I$49="P"))+SUMPRODUCT((P$3:P$49&lt;&gt;"")*(G$3:G$49=G19))+1,IF(N19&lt;&gt;"",SUMPRODUCT((N$3:N$49&lt;&gt;"")*(G$3:G$49=G19)*(J$3:J$49&gt;J19)*(I$3:I$49="P"))+1,IF(M19="P",SUMPRODUCT((O$3:O$49&lt;&gt;"")*(P$3:P$49="")*(G$3:G$49=G19)*(I$3:I$49="P"))+SUMPRODUCT((P$3:P$49&lt;&gt;"")*(G$3:G$49=G19)*(I$3:I$49="P"))+SUMPRODUCT((N$3:N$49&lt;&gt;"")*(G$3:G$49=G19)*(I$3:I$49="P"))+SUMPRODUCT((P$3:P$49="")*(O$3:O$49="")*(N$3:N$49="")*(M$3:M$49="P")*(G$3:G$49=G19)*(J$3:J$49&gt;J19)*(I$3:I$49="P"))+1,"")))))</f>
        <v/>
      </c>
      <c r="B19" s="1" t="str" cm="1">
        <f t="array" ref="B19">IF(P19&lt;&gt;"",SUMPRODUCT((P$3:P$49&lt;&gt;"")*(G$3:G$49=G19)*(J$3:J$49&gt;J19))+1,IF(O19&lt;&gt;"",SUMPRODUCT((O$3:O$49&lt;&gt;"")*(P$3:P$49="")*(G$3:G$49=G19)*(J$3:J$49&gt;J19))+SUMPRODUCT((P$3:P$49&lt;&gt;"")*(G$3:G$49=G19))+1,IF(N19&lt;&gt;"",SUMPRODUCT((N$3:N$49&lt;&gt;"")*(G$3:G$49=G19)*(J$3:J$49&gt;J19))+1,IF(M19="P",SUMPRODUCT((O$3:O$49&lt;&gt;"")*(P$3:P$49="")*(G$3:G$49=G19))+SUMPRODUCT((P$3:P$49&lt;&gt;"")*(G$3:G$49=G19))+SUMPRODUCT((N$3:N$49&lt;&gt;"")*(G$3:G$49=G19))+SUMPRODUCT((P$3:P$49="")*(O$3:O$49="")*(N$3:N$49="")*(M$3:M$49="P")*(G$3:G$49=G19)*(J$3:J$49&gt;J19))+1,""))))</f>
        <v/>
      </c>
      <c r="C19" s="36" t="s">
        <v>176</v>
      </c>
      <c r="D19" s="51" t="str">
        <f>IF(E19="","",VLOOKUP(E19,'Coaching Points'!A:B,2,0))</f>
        <v>BC</v>
      </c>
      <c r="E19" s="36" t="s">
        <v>38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181</v>
      </c>
      <c r="I19" s="47"/>
      <c r="J19" s="4">
        <f>MAX(R19,S19)+IF(OR(H19="Junior",H19="Senior"),0.0002,IF(OR(H19="L7",H19="L6"),0.0001,0))+MAX(X19,Z19)*0.0000001</f>
        <v>47.100199999999994</v>
      </c>
      <c r="K19" s="3" t="str">
        <f>IF(G19="Not Age Eligible","",IF(MAX(T19,V19,X19,Z19)&gt;=LOOKUP(G19,'Qualifying Scores'!$A$4:$A$7,'Qualifying Scores'!$F$4:$F$7),"P",""))</f>
        <v/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/>
      </c>
      <c r="Q19" s="52" t="str">
        <f>IF(A19&lt;5,IF(_xlfn.MAXIFS(A:A,G:G,G19)&gt;3,5-A19,_xlfn.MAXIFS(A:A,G:G,G19)+1-A19),"")</f>
        <v/>
      </c>
      <c r="R19" s="4">
        <f>MAX(T19,X19)</f>
        <v>47.099999999999994</v>
      </c>
      <c r="S19" s="4">
        <f>MAX(V19,Z19)</f>
        <v>40</v>
      </c>
      <c r="T19" s="33">
        <v>47.099999999999994</v>
      </c>
      <c r="U19" s="41">
        <v>10.8</v>
      </c>
      <c r="V19" s="34">
        <v>40</v>
      </c>
      <c r="W19" s="41">
        <v>5.1999999999999993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$49&lt;&gt;"")*(G$3:G$49=G20)*(J$3:J$49&gt;J20)*(I$3:I$49="P"))+1,IF(O20&lt;&gt;"",SUMPRODUCT((O$3:O$49&lt;&gt;"")*(P$3:P$49="")*(G$3:G$49=G20)*(J$3:J$49&gt;J20)*(I$3:I$49="P"))+SUMPRODUCT((P$3:P$49&lt;&gt;"")*(G$3:G$49=G20))+1,IF(N20&lt;&gt;"",SUMPRODUCT((N$3:N$49&lt;&gt;"")*(G$3:G$49=G20)*(J$3:J$49&gt;J20)*(I$3:I$49="P"))+1,IF(M20="P",SUMPRODUCT((O$3:O$49&lt;&gt;"")*(P$3:P$49="")*(G$3:G$49=G20)*(I$3:I$49="P"))+SUMPRODUCT((P$3:P$49&lt;&gt;"")*(G$3:G$49=G20)*(I$3:I$49="P"))+SUMPRODUCT((N$3:N$49&lt;&gt;"")*(G$3:G$49=G20)*(I$3:I$49="P"))+SUMPRODUCT((P$3:P$49="")*(O$3:O$49="")*(N$3:N$49="")*(M$3:M$49="P")*(G$3:G$49=G20)*(J$3:J$49&gt;J20)*(I$3:I$49="P"))+1,"")))))</f>
        <v/>
      </c>
      <c r="B20" s="1" t="str" cm="1">
        <f t="array" ref="B20">IF(P20&lt;&gt;"",SUMPRODUCT((P$3:P$49&lt;&gt;"")*(G$3:G$49=G20)*(J$3:J$49&gt;J20))+1,IF(O20&lt;&gt;"",SUMPRODUCT((O$3:O$49&lt;&gt;"")*(P$3:P$49="")*(G$3:G$49=G20)*(J$3:J$49&gt;J20))+SUMPRODUCT((P$3:P$49&lt;&gt;"")*(G$3:G$49=G20))+1,IF(N20&lt;&gt;"",SUMPRODUCT((N$3:N$49&lt;&gt;"")*(G$3:G$49=G20)*(J$3:J$49&gt;J20))+1,IF(M20="P",SUMPRODUCT((O$3:O$49&lt;&gt;"")*(P$3:P$49="")*(G$3:G$49=G20))+SUMPRODUCT((P$3:P$49&lt;&gt;"")*(G$3:G$49=G20))+SUMPRODUCT((N$3:N$49&lt;&gt;"")*(G$3:G$49=G20))+SUMPRODUCT((P$3:P$49="")*(O$3:O$49="")*(N$3:N$49="")*(M$3:M$49="P")*(G$3:G$49=G20)*(J$3:J$49&gt;J20))+1,""))))</f>
        <v/>
      </c>
      <c r="C20" s="36" t="s">
        <v>146</v>
      </c>
      <c r="D20" s="51" t="str">
        <f>IF(E20="","",VLOOKUP(E20,'Coaching Points'!A:B,2,0))</f>
        <v>NB</v>
      </c>
      <c r="E20" s="36" t="s">
        <v>50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125</v>
      </c>
      <c r="I20" s="47"/>
      <c r="J20" s="4">
        <f>MAX(R20,S20)+IF(OR(H20="Junior",H20="Senior"),0.0002,IF(OR(H20="L7",H20="L6"),0.0001,0))+MAX(X20,Z20)*0.0000001</f>
        <v>45.34</v>
      </c>
      <c r="K20" s="3" t="str">
        <f>IF(G20="Not Age Eligible","",IF(MAX(T20,V20,X20,Z20)&gt;=LOOKUP(G20,'Qualifying Scores'!$A$4:$A$7,'Qualifying Scores'!$F$4:$F$7),"P",""))</f>
        <v/>
      </c>
      <c r="L20" s="3" t="str">
        <f>IF(G20="Not Age Eligible","",IF(MAX(U20,W20,Y20,AA20)&gt;=LOOKUP(G20,'Qualifying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/>
      </c>
      <c r="Q20" s="52" t="str">
        <f>IF(A20&lt;5,IF(_xlfn.MAXIFS(A:A,G:G,G20)&gt;3,5-A20,_xlfn.MAXIFS(A:A,G:G,G20)+1-A20),"")</f>
        <v/>
      </c>
      <c r="R20" s="4">
        <f>MAX(T20,X20)</f>
        <v>45.34</v>
      </c>
      <c r="S20" s="4">
        <f>MAX(V20,Z20)</f>
        <v>21.900000000000002</v>
      </c>
      <c r="T20" s="33">
        <v>45.34</v>
      </c>
      <c r="U20" s="41">
        <v>7.5</v>
      </c>
      <c r="V20" s="34">
        <v>21.900000000000002</v>
      </c>
      <c r="W20" s="41">
        <v>3.3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$49&lt;&gt;"")*(G$3:G$49=G21)*(J$3:J$49&gt;J21)*(I$3:I$49="P"))+1,IF(O21&lt;&gt;"",SUMPRODUCT((O$3:O$49&lt;&gt;"")*(P$3:P$49="")*(G$3:G$49=G21)*(J$3:J$49&gt;J21)*(I$3:I$49="P"))+SUMPRODUCT((P$3:P$49&lt;&gt;"")*(G$3:G$49=G21))+1,IF(N21&lt;&gt;"",SUMPRODUCT((N$3:N$49&lt;&gt;"")*(G$3:G$49=G21)*(J$3:J$49&gt;J21)*(I$3:I$49="P"))+1,IF(M21="P",SUMPRODUCT((O$3:O$49&lt;&gt;"")*(P$3:P$49="")*(G$3:G$49=G21)*(I$3:I$49="P"))+SUMPRODUCT((P$3:P$49&lt;&gt;"")*(G$3:G$49=G21)*(I$3:I$49="P"))+SUMPRODUCT((N$3:N$49&lt;&gt;"")*(G$3:G$49=G21)*(I$3:I$49="P"))+SUMPRODUCT((P$3:P$49="")*(O$3:O$49="")*(N$3:N$49="")*(M$3:M$49="P")*(G$3:G$49=G21)*(J$3:J$49&gt;J21)*(I$3:I$49="P"))+1,"")))))</f>
        <v/>
      </c>
      <c r="B21" s="1" t="str" cm="1">
        <f t="array" ref="B21">IF(P21&lt;&gt;"",SUMPRODUCT((P$3:P$49&lt;&gt;"")*(G$3:G$49=G21)*(J$3:J$49&gt;J21))+1,IF(O21&lt;&gt;"",SUMPRODUCT((O$3:O$49&lt;&gt;"")*(P$3:P$49="")*(G$3:G$49=G21)*(J$3:J$49&gt;J21))+SUMPRODUCT((P$3:P$49&lt;&gt;"")*(G$3:G$49=G21))+1,IF(N21&lt;&gt;"",SUMPRODUCT((N$3:N$49&lt;&gt;"")*(G$3:G$49=G21)*(J$3:J$49&gt;J21))+1,IF(M21="P",SUMPRODUCT((O$3:O$49&lt;&gt;"")*(P$3:P$49="")*(G$3:G$49=G21))+SUMPRODUCT((P$3:P$49&lt;&gt;"")*(G$3:G$49=G21))+SUMPRODUCT((N$3:N$49&lt;&gt;"")*(G$3:G$49=G21))+SUMPRODUCT((P$3:P$49="")*(O$3:O$49="")*(N$3:N$49="")*(M$3:M$49="P")*(G$3:G$49=G21)*(J$3:J$49&gt;J21))+1,""))))</f>
        <v/>
      </c>
      <c r="C21" s="36" t="s">
        <v>169</v>
      </c>
      <c r="D21" s="51" t="str">
        <f>IF(E21="","",VLOOKUP(E21,'Coaching Points'!A:B,2,0))</f>
        <v>ON</v>
      </c>
      <c r="E21" s="36" t="s">
        <v>170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127</v>
      </c>
      <c r="I21" s="47"/>
      <c r="J21" s="4">
        <f>MAX(R21,S21)+IF(OR(H21="Junior",H21="Senior"),0.0002,IF(OR(H21="L7",H21="L6"),0.0001,0))+MAX(X21,Z21)*0.0000001</f>
        <v>44.900100000000009</v>
      </c>
      <c r="K21" s="3" t="str">
        <f>IF(G21="Not Age Eligible","",IF(MAX(T21,V21,X21,Z21)&gt;=LOOKUP(G21,'Qualifying Scores'!$A$4:$A$7,'Qualifying Scores'!$F$4:$F$7),"P",""))</f>
        <v/>
      </c>
      <c r="L21" s="3" t="str">
        <f>IF(G21="Not Age Eligible","",IF(MAX(U21,W21,Y21,AA21)&gt;=LOOKUP(G21,'Qualifying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/>
      </c>
      <c r="Q21" s="52" t="str">
        <f>IF(A21&lt;5,IF(_xlfn.MAXIFS(A:A,G:G,G21)&gt;3,5-A21,_xlfn.MAXIFS(A:A,G:G,G21)+1-A21),"")</f>
        <v/>
      </c>
      <c r="R21" s="4">
        <f>MAX(T21,X21)</f>
        <v>44.900000000000006</v>
      </c>
      <c r="S21" s="4">
        <f>MAX(V21,Z21)</f>
        <v>0</v>
      </c>
      <c r="T21" s="33">
        <v>44.900000000000006</v>
      </c>
      <c r="U21" s="41">
        <v>8</v>
      </c>
      <c r="V21" s="34">
        <v>0</v>
      </c>
      <c r="W21" s="41">
        <v>0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$49&lt;&gt;"")*(G$3:G$49=G22)*(J$3:J$49&gt;J22)*(I$3:I$49="P"))+1,IF(O22&lt;&gt;"",SUMPRODUCT((O$3:O$49&lt;&gt;"")*(P$3:P$49="")*(G$3:G$49=G22)*(J$3:J$49&gt;J22)*(I$3:I$49="P"))+SUMPRODUCT((P$3:P$49&lt;&gt;"")*(G$3:G$49=G22))+1,IF(N22&lt;&gt;"",SUMPRODUCT((N$3:N$49&lt;&gt;"")*(G$3:G$49=G22)*(J$3:J$49&gt;J22)*(I$3:I$49="P"))+1,IF(M22="P",SUMPRODUCT((O$3:O$49&lt;&gt;"")*(P$3:P$49="")*(G$3:G$49=G22)*(I$3:I$49="P"))+SUMPRODUCT((P$3:P$49&lt;&gt;"")*(G$3:G$49=G22)*(I$3:I$49="P"))+SUMPRODUCT((N$3:N$49&lt;&gt;"")*(G$3:G$49=G22)*(I$3:I$49="P"))+SUMPRODUCT((P$3:P$49="")*(O$3:O$49="")*(N$3:N$49="")*(M$3:M$49="P")*(G$3:G$49=G22)*(J$3:J$49&gt;J22)*(I$3:I$49="P"))+1,"")))))</f>
        <v/>
      </c>
      <c r="B22" s="1" t="str" cm="1">
        <f t="array" ref="B22">IF(P22&lt;&gt;"",SUMPRODUCT((P$3:P$49&lt;&gt;"")*(G$3:G$49=G22)*(J$3:J$49&gt;J22))+1,IF(O22&lt;&gt;"",SUMPRODUCT((O$3:O$49&lt;&gt;"")*(P$3:P$49="")*(G$3:G$49=G22)*(J$3:J$49&gt;J22))+SUMPRODUCT((P$3:P$49&lt;&gt;"")*(G$3:G$49=G22))+1,IF(N22&lt;&gt;"",SUMPRODUCT((N$3:N$49&lt;&gt;"")*(G$3:G$49=G22)*(J$3:J$49&gt;J22))+1,IF(M22="P",SUMPRODUCT((O$3:O$49&lt;&gt;"")*(P$3:P$49="")*(G$3:G$49=G22))+SUMPRODUCT((P$3:P$49&lt;&gt;"")*(G$3:G$49=G22))+SUMPRODUCT((N$3:N$49&lt;&gt;"")*(G$3:G$49=G22))+SUMPRODUCT((P$3:P$49="")*(O$3:O$49="")*(N$3:N$49="")*(M$3:M$49="P")*(G$3:G$49=G22)*(J$3:J$49&gt;J22))+1,""))))</f>
        <v/>
      </c>
      <c r="C22" s="36" t="s">
        <v>139</v>
      </c>
      <c r="D22" s="51" t="str">
        <f>IF(E22="","",VLOOKUP(E22,'Coaching Points'!A:B,2,0))</f>
        <v>MB</v>
      </c>
      <c r="E22" s="36" t="s">
        <v>140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125</v>
      </c>
      <c r="I22" s="47"/>
      <c r="J22" s="4">
        <f>MAX(R22,S22)+IF(OR(H22="Junior",H22="Senior"),0.0002,IF(OR(H22="L7",H22="L6"),0.0001,0))+MAX(X22,Z22)*0.0000001</f>
        <v>44.599999999999994</v>
      </c>
      <c r="K22" s="3" t="str">
        <f>IF(G22="Not Age Eligible","",IF(MAX(T22,V22,X22,Z22)&gt;=LOOKUP(G22,'Qualifying Scores'!$A$4:$A$7,'Qualifying Scores'!$F$4:$F$7),"P",""))</f>
        <v/>
      </c>
      <c r="L22" s="3" t="str">
        <f>IF(G22="Not Age Eligible","",IF(MAX(U22,W22,Y22,AA22)&gt;=LOOKUP(G22,'Qualifying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/>
      </c>
      <c r="Q22" s="52" t="str">
        <f>IF(A22&lt;5,IF(_xlfn.MAXIFS(A:A,G:G,G22)&gt;3,5-A22,_xlfn.MAXIFS(A:A,G:G,G22)+1-A22),"")</f>
        <v/>
      </c>
      <c r="R22" s="4">
        <f>MAX(T22,X22)</f>
        <v>44.2</v>
      </c>
      <c r="S22" s="4">
        <f>MAX(V22,Z22)</f>
        <v>44.599999999999994</v>
      </c>
      <c r="T22" s="33">
        <v>44.2</v>
      </c>
      <c r="U22" s="41">
        <v>7.1</v>
      </c>
      <c r="V22" s="34">
        <v>44.599999999999994</v>
      </c>
      <c r="W22" s="41">
        <v>7.9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$49&lt;&gt;"")*(G$3:G$49=G23)*(J$3:J$49&gt;J23)*(I$3:I$49="P"))+1,IF(O23&lt;&gt;"",SUMPRODUCT((O$3:O$49&lt;&gt;"")*(P$3:P$49="")*(G$3:G$49=G23)*(J$3:J$49&gt;J23)*(I$3:I$49="P"))+SUMPRODUCT((P$3:P$49&lt;&gt;"")*(G$3:G$49=G23))+1,IF(N23&lt;&gt;"",SUMPRODUCT((N$3:N$49&lt;&gt;"")*(G$3:G$49=G23)*(J$3:J$49&gt;J23)*(I$3:I$49="P"))+1,IF(M23="P",SUMPRODUCT((O$3:O$49&lt;&gt;"")*(P$3:P$49="")*(G$3:G$49=G23)*(I$3:I$49="P"))+SUMPRODUCT((P$3:P$49&lt;&gt;"")*(G$3:G$49=G23)*(I$3:I$49="P"))+SUMPRODUCT((N$3:N$49&lt;&gt;"")*(G$3:G$49=G23)*(I$3:I$49="P"))+SUMPRODUCT((P$3:P$49="")*(O$3:O$49="")*(N$3:N$49="")*(M$3:M$49="P")*(G$3:G$49=G23)*(J$3:J$49&gt;J23)*(I$3:I$49="P"))+1,"")))))</f>
        <v/>
      </c>
      <c r="B23" s="1" t="str" cm="1">
        <f t="array" ref="B23">IF(P23&lt;&gt;"",SUMPRODUCT((P$3:P$49&lt;&gt;"")*(G$3:G$49=G23)*(J$3:J$49&gt;J23))+1,IF(O23&lt;&gt;"",SUMPRODUCT((O$3:O$49&lt;&gt;"")*(P$3:P$49="")*(G$3:G$49=G23)*(J$3:J$49&gt;J23))+SUMPRODUCT((P$3:P$49&lt;&gt;"")*(G$3:G$49=G23))+1,IF(N23&lt;&gt;"",SUMPRODUCT((N$3:N$49&lt;&gt;"")*(G$3:G$49=G23)*(J$3:J$49&gt;J23))+1,IF(M23="P",SUMPRODUCT((O$3:O$49&lt;&gt;"")*(P$3:P$49="")*(G$3:G$49=G23))+SUMPRODUCT((P$3:P$49&lt;&gt;"")*(G$3:G$49=G23))+SUMPRODUCT((N$3:N$49&lt;&gt;"")*(G$3:G$49=G23))+SUMPRODUCT((P$3:P$49="")*(O$3:O$49="")*(N$3:N$49="")*(M$3:M$49="P")*(G$3:G$49=G23)*(J$3:J$49&gt;J23))+1,""))))</f>
        <v/>
      </c>
      <c r="C23" s="36" t="s">
        <v>143</v>
      </c>
      <c r="D23" s="51" t="str">
        <f>IF(E23="","",VLOOKUP(E23,'Coaching Points'!A:B,2,0))</f>
        <v>BC</v>
      </c>
      <c r="E23" s="36" t="s">
        <v>48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125</v>
      </c>
      <c r="I23" s="47"/>
      <c r="J23" s="4">
        <f>MAX(R23,S23)+IF(OR(H23="Junior",H23="Senior"),0.0002,IF(OR(H23="L7",H23="L6"),0.0001,0))+MAX(X23,Z23)*0.0000001</f>
        <v>44.46</v>
      </c>
      <c r="K23" s="3" t="str">
        <f>IF(G23="Not Age Eligible","",IF(MAX(T23,V23,X23,Z23)&gt;=LOOKUP(G23,'Qualifying Scores'!$A$4:$A$7,'Qualifying Scores'!$F$4:$F$7),"P",""))</f>
        <v/>
      </c>
      <c r="L23" s="3" t="str">
        <f>IF(G23="Not Age Eligible","",IF(MAX(U23,W23,Y23,AA23)&gt;=LOOKUP(G23,'Qualifying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/>
      </c>
      <c r="Q23" s="52" t="str">
        <f>IF(A23&lt;5,IF(_xlfn.MAXIFS(A:A,G:G,G23)&gt;3,5-A23,_xlfn.MAXIFS(A:A,G:G,G23)+1-A23),"")</f>
        <v/>
      </c>
      <c r="R23" s="4">
        <f>MAX(T23,X23)</f>
        <v>44.46</v>
      </c>
      <c r="S23" s="4">
        <f>MAX(V23,Z23)</f>
        <v>42.900000000000006</v>
      </c>
      <c r="T23" s="33">
        <v>44.46</v>
      </c>
      <c r="U23" s="41">
        <v>8</v>
      </c>
      <c r="V23" s="34">
        <v>42.900000000000006</v>
      </c>
      <c r="W23" s="41">
        <v>7.8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$49&lt;&gt;"")*(G$3:G$49=G24)*(J$3:J$49&gt;J24)*(I$3:I$49="P"))+1,IF(O24&lt;&gt;"",SUMPRODUCT((O$3:O$49&lt;&gt;"")*(P$3:P$49="")*(G$3:G$49=G24)*(J$3:J$49&gt;J24)*(I$3:I$49="P"))+SUMPRODUCT((P$3:P$49&lt;&gt;"")*(G$3:G$49=G24))+1,IF(N24&lt;&gt;"",SUMPRODUCT((N$3:N$49&lt;&gt;"")*(G$3:G$49=G24)*(J$3:J$49&gt;J24)*(I$3:I$49="P"))+1,IF(M24="P",SUMPRODUCT((O$3:O$49&lt;&gt;"")*(P$3:P$49="")*(G$3:G$49=G24)*(I$3:I$49="P"))+SUMPRODUCT((P$3:P$49&lt;&gt;"")*(G$3:G$49=G24)*(I$3:I$49="P"))+SUMPRODUCT((N$3:N$49&lt;&gt;"")*(G$3:G$49=G24)*(I$3:I$49="P"))+SUMPRODUCT((P$3:P$49="")*(O$3:O$49="")*(N$3:N$49="")*(M$3:M$49="P")*(G$3:G$49=G24)*(J$3:J$49&gt;J24)*(I$3:I$49="P"))+1,"")))))</f>
        <v/>
      </c>
      <c r="B24" s="1" t="str" cm="1">
        <f t="array" ref="B24">IF(P24&lt;&gt;"",SUMPRODUCT((P$3:P$49&lt;&gt;"")*(G$3:G$49=G24)*(J$3:J$49&gt;J24))+1,IF(O24&lt;&gt;"",SUMPRODUCT((O$3:O$49&lt;&gt;"")*(P$3:P$49="")*(G$3:G$49=G24)*(J$3:J$49&gt;J24))+SUMPRODUCT((P$3:P$49&lt;&gt;"")*(G$3:G$49=G24))+1,IF(N24&lt;&gt;"",SUMPRODUCT((N$3:N$49&lt;&gt;"")*(G$3:G$49=G24)*(J$3:J$49&gt;J24))+1,IF(M24="P",SUMPRODUCT((O$3:O$49&lt;&gt;"")*(P$3:P$49="")*(G$3:G$49=G24))+SUMPRODUCT((P$3:P$49&lt;&gt;"")*(G$3:G$49=G24))+SUMPRODUCT((N$3:N$49&lt;&gt;"")*(G$3:G$49=G24))+SUMPRODUCT((P$3:P$49="")*(O$3:O$49="")*(N$3:N$49="")*(M$3:M$49="P")*(G$3:G$49=G24)*(J$3:J$49&gt;J24))+1,""))))</f>
        <v/>
      </c>
      <c r="C24" s="36" t="s">
        <v>147</v>
      </c>
      <c r="D24" s="51" t="str">
        <f>IF(E24="","",VLOOKUP(E24,'Coaching Points'!A:B,2,0))</f>
        <v>AB</v>
      </c>
      <c r="E24" s="36" t="s">
        <v>148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125</v>
      </c>
      <c r="I24" s="47"/>
      <c r="J24" s="4">
        <f>MAX(R24,S24)+IF(OR(H24="Junior",H24="Senior"),0.0002,IF(OR(H24="L7",H24="L6"),0.0001,0))+MAX(X24,Z24)*0.0000001</f>
        <v>43.6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52" t="str">
        <f>IF(A24&lt;5,IF(_xlfn.MAXIFS(A:A,G:G,G24)&gt;3,5-A24,_xlfn.MAXIFS(A:A,G:G,G24)+1-A24),"")</f>
        <v/>
      </c>
      <c r="R24" s="4">
        <f>MAX(T24,X24)</f>
        <v>43.6</v>
      </c>
      <c r="S24" s="4">
        <f>MAX(V24,Z24)</f>
        <v>21.5</v>
      </c>
      <c r="T24" s="33">
        <v>43.6</v>
      </c>
      <c r="U24" s="41">
        <v>6.8999999999999995</v>
      </c>
      <c r="V24" s="34">
        <v>21.5</v>
      </c>
      <c r="W24" s="41">
        <v>4.4000000000000004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$49&lt;&gt;"")*(G$3:G$49=G25)*(J$3:J$49&gt;J25)*(I$3:I$49="P"))+1,IF(O25&lt;&gt;"",SUMPRODUCT((O$3:O$49&lt;&gt;"")*(P$3:P$49="")*(G$3:G$49=G25)*(J$3:J$49&gt;J25)*(I$3:I$49="P"))+SUMPRODUCT((P$3:P$49&lt;&gt;"")*(G$3:G$49=G25))+1,IF(N25&lt;&gt;"",SUMPRODUCT((N$3:N$49&lt;&gt;"")*(G$3:G$49=G25)*(J$3:J$49&gt;J25)*(I$3:I$49="P"))+1,IF(M25="P",SUMPRODUCT((O$3:O$49&lt;&gt;"")*(P$3:P$49="")*(G$3:G$49=G25)*(I$3:I$49="P"))+SUMPRODUCT((P$3:P$49&lt;&gt;"")*(G$3:G$49=G25)*(I$3:I$49="P"))+SUMPRODUCT((N$3:N$49&lt;&gt;"")*(G$3:G$49=G25)*(I$3:I$49="P"))+SUMPRODUCT((P$3:P$49="")*(O$3:O$49="")*(N$3:N$49="")*(M$3:M$49="P")*(G$3:G$49=G25)*(J$3:J$49&gt;J25)*(I$3:I$49="P"))+1,"")))))</f>
        <v/>
      </c>
      <c r="B25" s="1" t="str" cm="1">
        <f t="array" ref="B25">IF(P25&lt;&gt;"",SUMPRODUCT((P$3:P$49&lt;&gt;"")*(G$3:G$49=G25)*(J$3:J$49&gt;J25))+1,IF(O25&lt;&gt;"",SUMPRODUCT((O$3:O$49&lt;&gt;"")*(P$3:P$49="")*(G$3:G$49=G25)*(J$3:J$49&gt;J25))+SUMPRODUCT((P$3:P$49&lt;&gt;"")*(G$3:G$49=G25))+1,IF(N25&lt;&gt;"",SUMPRODUCT((N$3:N$49&lt;&gt;"")*(G$3:G$49=G25)*(J$3:J$49&gt;J25))+1,IF(M25="P",SUMPRODUCT((O$3:O$49&lt;&gt;"")*(P$3:P$49="")*(G$3:G$49=G25))+SUMPRODUCT((P$3:P$49&lt;&gt;"")*(G$3:G$49=G25))+SUMPRODUCT((N$3:N$49&lt;&gt;"")*(G$3:G$49=G25))+SUMPRODUCT((P$3:P$49="")*(O$3:O$49="")*(N$3:N$49="")*(M$3:M$49="P")*(G$3:G$49=G25)*(J$3:J$49&gt;J25))+1,""))))</f>
        <v/>
      </c>
      <c r="C25" s="36" t="s">
        <v>141</v>
      </c>
      <c r="D25" s="51" t="str">
        <f>IF(E25="","",VLOOKUP(E25,'Coaching Points'!A:B,2,0))</f>
        <v>BC</v>
      </c>
      <c r="E25" s="36" t="s">
        <v>93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125</v>
      </c>
      <c r="I25" s="47"/>
      <c r="J25" s="4">
        <f>MAX(R25,S25)+IF(OR(H25="Junior",H25="Senior"),0.0002,IF(OR(H25="L7",H25="L6"),0.0001,0))+MAX(X25,Z25)*0.0000001</f>
        <v>43.599999999999994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52" t="str">
        <f>IF(A25&lt;5,IF(_xlfn.MAXIFS(A:A,G:G,G25)&gt;3,5-A25,_xlfn.MAXIFS(A:A,G:G,G25)+1-A25),"")</f>
        <v/>
      </c>
      <c r="R25" s="4">
        <f>MAX(T25,X25)</f>
        <v>41</v>
      </c>
      <c r="S25" s="4">
        <f>MAX(V25,Z25)</f>
        <v>43.599999999999994</v>
      </c>
      <c r="T25" s="33">
        <v>41</v>
      </c>
      <c r="U25" s="41">
        <v>4.4000000000000004</v>
      </c>
      <c r="V25" s="34">
        <v>43.599999999999994</v>
      </c>
      <c r="W25" s="41">
        <v>6.5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$49&lt;&gt;"")*(G$3:G$49=G26)*(J$3:J$49&gt;J26)*(I$3:I$49="P"))+1,IF(O26&lt;&gt;"",SUMPRODUCT((O$3:O$49&lt;&gt;"")*(P$3:P$49="")*(G$3:G$49=G26)*(J$3:J$49&gt;J26)*(I$3:I$49="P"))+SUMPRODUCT((P$3:P$49&lt;&gt;"")*(G$3:G$49=G26))+1,IF(N26&lt;&gt;"",SUMPRODUCT((N$3:N$49&lt;&gt;"")*(G$3:G$49=G26)*(J$3:J$49&gt;J26)*(I$3:I$49="P"))+1,IF(M26="P",SUMPRODUCT((O$3:O$49&lt;&gt;"")*(P$3:P$49="")*(G$3:G$49=G26)*(I$3:I$49="P"))+SUMPRODUCT((P$3:P$49&lt;&gt;"")*(G$3:G$49=G26)*(I$3:I$49="P"))+SUMPRODUCT((N$3:N$49&lt;&gt;"")*(G$3:G$49=G26)*(I$3:I$49="P"))+SUMPRODUCT((P$3:P$49="")*(O$3:O$49="")*(N$3:N$49="")*(M$3:M$49="P")*(G$3:G$49=G26)*(J$3:J$49&gt;J26)*(I$3:I$49="P"))+1,"")))))</f>
        <v/>
      </c>
      <c r="B26" s="1" t="str" cm="1">
        <f t="array" ref="B26">IF(P26&lt;&gt;"",SUMPRODUCT((P$3:P$49&lt;&gt;"")*(G$3:G$49=G26)*(J$3:J$49&gt;J26))+1,IF(O26&lt;&gt;"",SUMPRODUCT((O$3:O$49&lt;&gt;"")*(P$3:P$49="")*(G$3:G$49=G26)*(J$3:J$49&gt;J26))+SUMPRODUCT((P$3:P$49&lt;&gt;"")*(G$3:G$49=G26))+1,IF(N26&lt;&gt;"",SUMPRODUCT((N$3:N$49&lt;&gt;"")*(G$3:G$49=G26)*(J$3:J$49&gt;J26))+1,IF(M26="P",SUMPRODUCT((O$3:O$49&lt;&gt;"")*(P$3:P$49="")*(G$3:G$49=G26))+SUMPRODUCT((P$3:P$49&lt;&gt;"")*(G$3:G$49=G26))+SUMPRODUCT((N$3:N$49&lt;&gt;"")*(G$3:G$49=G26))+SUMPRODUCT((P$3:P$49="")*(O$3:O$49="")*(N$3:N$49="")*(M$3:M$49="P")*(G$3:G$49=G26)*(J$3:J$49&gt;J26))+1,""))))</f>
        <v/>
      </c>
      <c r="C26" s="36" t="s">
        <v>142</v>
      </c>
      <c r="D26" s="51" t="str">
        <f>IF(E26="","",VLOOKUP(E26,'Coaching Points'!A:B,2,0))</f>
        <v>NB</v>
      </c>
      <c r="E26" s="36" t="s">
        <v>50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125</v>
      </c>
      <c r="I26" s="47"/>
      <c r="J26" s="4">
        <f>MAX(R26,S26)+IF(OR(H26="Junior",H26="Senior"),0.0002,IF(OR(H26="L7",H26="L6"),0.0001,0))+MAX(X26,Z26)*0.0000001</f>
        <v>43.599999999999994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52" t="str">
        <f>IF(A26&lt;5,IF(_xlfn.MAXIFS(A:A,G:G,G26)&gt;3,5-A26,_xlfn.MAXIFS(A:A,G:G,G26)+1-A26),"")</f>
        <v/>
      </c>
      <c r="R26" s="4">
        <f>MAX(T26,X26)</f>
        <v>43.599999999999994</v>
      </c>
      <c r="S26" s="4">
        <f>MAX(V26,Z26)</f>
        <v>43.399999999999991</v>
      </c>
      <c r="T26" s="33">
        <v>43.599999999999994</v>
      </c>
      <c r="U26" s="41">
        <v>7.3</v>
      </c>
      <c r="V26" s="34">
        <v>43.399999999999991</v>
      </c>
      <c r="W26" s="41">
        <v>6.3000000000000007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$49&lt;&gt;"")*(G$3:G$49=G27)*(J$3:J$49&gt;J27)*(I$3:I$49="P"))+1,IF(O27&lt;&gt;"",SUMPRODUCT((O$3:O$49&lt;&gt;"")*(P$3:P$49="")*(G$3:G$49=G27)*(J$3:J$49&gt;J27)*(I$3:I$49="P"))+SUMPRODUCT((P$3:P$49&lt;&gt;"")*(G$3:G$49=G27))+1,IF(N27&lt;&gt;"",SUMPRODUCT((N$3:N$49&lt;&gt;"")*(G$3:G$49=G27)*(J$3:J$49&gt;J27)*(I$3:I$49="P"))+1,IF(M27="P",SUMPRODUCT((O$3:O$49&lt;&gt;"")*(P$3:P$49="")*(G$3:G$49=G27)*(I$3:I$49="P"))+SUMPRODUCT((P$3:P$49&lt;&gt;"")*(G$3:G$49=G27)*(I$3:I$49="P"))+SUMPRODUCT((N$3:N$49&lt;&gt;"")*(G$3:G$49=G27)*(I$3:I$49="P"))+SUMPRODUCT((P$3:P$49="")*(O$3:O$49="")*(N$3:N$49="")*(M$3:M$49="P")*(G$3:G$49=G27)*(J$3:J$49&gt;J27)*(I$3:I$49="P"))+1,"")))))</f>
        <v/>
      </c>
      <c r="B27" s="1" t="str" cm="1">
        <f t="array" ref="B27">IF(P27&lt;&gt;"",SUMPRODUCT((P$3:P$49&lt;&gt;"")*(G$3:G$49=G27)*(J$3:J$49&gt;J27))+1,IF(O27&lt;&gt;"",SUMPRODUCT((O$3:O$49&lt;&gt;"")*(P$3:P$49="")*(G$3:G$49=G27)*(J$3:J$49&gt;J27))+SUMPRODUCT((P$3:P$49&lt;&gt;"")*(G$3:G$49=G27))+1,IF(N27&lt;&gt;"",SUMPRODUCT((N$3:N$49&lt;&gt;"")*(G$3:G$49=G27)*(J$3:J$49&gt;J27))+1,IF(M27="P",SUMPRODUCT((O$3:O$49&lt;&gt;"")*(P$3:P$49="")*(G$3:G$49=G27))+SUMPRODUCT((P$3:P$49&lt;&gt;"")*(G$3:G$49=G27))+SUMPRODUCT((N$3:N$49&lt;&gt;"")*(G$3:G$49=G27))+SUMPRODUCT((P$3:P$49="")*(O$3:O$49="")*(N$3:N$49="")*(M$3:M$49="P")*(G$3:G$49=G27)*(J$3:J$49&gt;J27))+1,""))))</f>
        <v/>
      </c>
      <c r="C27" s="36" t="s">
        <v>144</v>
      </c>
      <c r="D27" s="51" t="str">
        <f>IF(E27="","",VLOOKUP(E27,'Coaching Points'!A:B,2,0))</f>
        <v>AB</v>
      </c>
      <c r="E27" s="36" t="s">
        <v>145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125</v>
      </c>
      <c r="I27" s="47"/>
      <c r="J27" s="4">
        <f>MAX(R27,S27)+IF(OR(H27="Junior",H27="Senior"),0.0002,IF(OR(H27="L7",H27="L6"),0.0001,0))+MAX(X27,Z27)*0.0000001</f>
        <v>42.79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52" t="str">
        <f>IF(A27&lt;5,IF(_xlfn.MAXIFS(A:A,G:G,G27)&gt;3,5-A27,_xlfn.MAXIFS(A:A,G:G,G27)+1-A27),"")</f>
        <v/>
      </c>
      <c r="R27" s="4">
        <f>MAX(T27,X27)</f>
        <v>42.6</v>
      </c>
      <c r="S27" s="4">
        <f>MAX(V27,Z27)</f>
        <v>42.79</v>
      </c>
      <c r="T27" s="33">
        <v>42.6</v>
      </c>
      <c r="U27" s="41">
        <v>6.6</v>
      </c>
      <c r="V27" s="34">
        <v>42.79</v>
      </c>
      <c r="W27" s="41">
        <v>6.53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$49&lt;&gt;"")*(G$3:G$49=G28)*(J$3:J$49&gt;J28)*(I$3:I$49="P"))+1,IF(O28&lt;&gt;"",SUMPRODUCT((O$3:O$49&lt;&gt;"")*(P$3:P$49="")*(G$3:G$49=G28)*(J$3:J$49&gt;J28)*(I$3:I$49="P"))+SUMPRODUCT((P$3:P$49&lt;&gt;"")*(G$3:G$49=G28))+1,IF(N28&lt;&gt;"",SUMPRODUCT((N$3:N$49&lt;&gt;"")*(G$3:G$49=G28)*(J$3:J$49&gt;J28)*(I$3:I$49="P"))+1,IF(M28="P",SUMPRODUCT((O$3:O$49&lt;&gt;"")*(P$3:P$49="")*(G$3:G$49=G28)*(I$3:I$49="P"))+SUMPRODUCT((P$3:P$49&lt;&gt;"")*(G$3:G$49=G28)*(I$3:I$49="P"))+SUMPRODUCT((N$3:N$49&lt;&gt;"")*(G$3:G$49=G28)*(I$3:I$49="P"))+SUMPRODUCT((P$3:P$49="")*(O$3:O$49="")*(N$3:N$49="")*(M$3:M$49="P")*(G$3:G$49=G28)*(J$3:J$49&gt;J28)*(I$3:I$49="P"))+1,"")))))</f>
        <v/>
      </c>
      <c r="B28" s="1" t="str" cm="1">
        <f t="array" ref="B28">IF(P28&lt;&gt;"",SUMPRODUCT((P$3:P$49&lt;&gt;"")*(G$3:G$49=G28)*(J$3:J$49&gt;J28))+1,IF(O28&lt;&gt;"",SUMPRODUCT((O$3:O$49&lt;&gt;"")*(P$3:P$49="")*(G$3:G$49=G28)*(J$3:J$49&gt;J28))+SUMPRODUCT((P$3:P$49&lt;&gt;"")*(G$3:G$49=G28))+1,IF(N28&lt;&gt;"",SUMPRODUCT((N$3:N$49&lt;&gt;"")*(G$3:G$49=G28)*(J$3:J$49&gt;J28))+1,IF(M28="P",SUMPRODUCT((O$3:O$49&lt;&gt;"")*(P$3:P$49="")*(G$3:G$49=G28))+SUMPRODUCT((P$3:P$49&lt;&gt;"")*(G$3:G$49=G28))+SUMPRODUCT((N$3:N$49&lt;&gt;"")*(G$3:G$49=G28))+SUMPRODUCT((P$3:P$49="")*(O$3:O$49="")*(N$3:N$49="")*(M$3:M$49="P")*(G$3:G$49=G28)*(J$3:J$49&gt;J28))+1,""))))</f>
        <v/>
      </c>
      <c r="C28" s="36" t="s">
        <v>167</v>
      </c>
      <c r="D28" s="51" t="str">
        <f>IF(E28="","",VLOOKUP(E28,'Coaching Points'!A:B,2,0))</f>
        <v>AB</v>
      </c>
      <c r="E28" s="36" t="s">
        <v>29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127</v>
      </c>
      <c r="I28" s="47"/>
      <c r="J28" s="4">
        <f>MAX(R28,S28)+IF(OR(H28="Junior",H28="Senior"),0.0002,IF(OR(H28="L7",H28="L6"),0.0001,0))+MAX(X28,Z28)*0.0000001</f>
        <v>40.8001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52" t="str">
        <f>IF(A28&lt;5,IF(_xlfn.MAXIFS(A:A,G:G,G28)&gt;3,5-A28,_xlfn.MAXIFS(A:A,G:G,G28)+1-A28),"")</f>
        <v/>
      </c>
      <c r="R28" s="4">
        <f>MAX(T28,X28)</f>
        <v>40.799999999999997</v>
      </c>
      <c r="S28" s="4">
        <f>MAX(V28,Z28)</f>
        <v>0</v>
      </c>
      <c r="T28" s="33">
        <v>40.799999999999997</v>
      </c>
      <c r="U28" s="41">
        <v>6.8000000000000007</v>
      </c>
      <c r="V28" s="34">
        <v>0</v>
      </c>
      <c r="W28" s="41">
        <v>0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$49&lt;&gt;"")*(G$3:G$49=G29)*(J$3:J$49&gt;J29)*(I$3:I$49="P"))+1,IF(O29&lt;&gt;"",SUMPRODUCT((O$3:O$49&lt;&gt;"")*(P$3:P$49="")*(G$3:G$49=G29)*(J$3:J$49&gt;J29)*(I$3:I$49="P"))+SUMPRODUCT((P$3:P$49&lt;&gt;"")*(G$3:G$49=G29))+1,IF(N29&lt;&gt;"",SUMPRODUCT((N$3:N$49&lt;&gt;"")*(G$3:G$49=G29)*(J$3:J$49&gt;J29)*(I$3:I$49="P"))+1,IF(M29="P",SUMPRODUCT((O$3:O$49&lt;&gt;"")*(P$3:P$49="")*(G$3:G$49=G29)*(I$3:I$49="P"))+SUMPRODUCT((P$3:P$49&lt;&gt;"")*(G$3:G$49=G29)*(I$3:I$49="P"))+SUMPRODUCT((N$3:N$49&lt;&gt;"")*(G$3:G$49=G29)*(I$3:I$49="P"))+SUMPRODUCT((P$3:P$49="")*(O$3:O$49="")*(N$3:N$49="")*(M$3:M$49="P")*(G$3:G$49=G29)*(J$3:J$49&gt;J29)*(I$3:I$49="P"))+1,"")))))</f>
        <v/>
      </c>
      <c r="B29" s="1" t="str" cm="1">
        <f t="array" ref="B29">IF(P29&lt;&gt;"",SUMPRODUCT((P$3:P$49&lt;&gt;"")*(G$3:G$49=G29)*(J$3:J$49&gt;J29))+1,IF(O29&lt;&gt;"",SUMPRODUCT((O$3:O$49&lt;&gt;"")*(P$3:P$49="")*(G$3:G$49=G29)*(J$3:J$49&gt;J29))+SUMPRODUCT((P$3:P$49&lt;&gt;"")*(G$3:G$49=G29))+1,IF(N29&lt;&gt;"",SUMPRODUCT((N$3:N$49&lt;&gt;"")*(G$3:G$49=G29)*(J$3:J$49&gt;J29))+1,IF(M29="P",SUMPRODUCT((O$3:O$49&lt;&gt;"")*(P$3:P$49="")*(G$3:G$49=G29))+SUMPRODUCT((P$3:P$49&lt;&gt;"")*(G$3:G$49=G29))+SUMPRODUCT((N$3:N$49&lt;&gt;"")*(G$3:G$49=G29))+SUMPRODUCT((P$3:P$49="")*(O$3:O$49="")*(N$3:N$49="")*(M$3:M$49="P")*(G$3:G$49=G29)*(J$3:J$49&gt;J29))+1,""))))</f>
        <v/>
      </c>
      <c r="C29" s="36" t="s">
        <v>168</v>
      </c>
      <c r="D29" s="51" t="str">
        <f>IF(E29="","",VLOOKUP(E29,'Coaching Points'!A:B,2,0))</f>
        <v>BC</v>
      </c>
      <c r="E29" s="36" t="s">
        <v>43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127</v>
      </c>
      <c r="I29" s="47"/>
      <c r="J29" s="4">
        <f>MAX(R29,S29)+IF(OR(H29="Junior",H29="Senior"),0.0002,IF(OR(H29="L7",H29="L6"),0.0001,0))+MAX(X29,Z29)*0.0000001</f>
        <v>38.600100000000005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52" t="str">
        <f>IF(A29&lt;5,IF(_xlfn.MAXIFS(A:A,G:G,G29)&gt;3,5-A29,_xlfn.MAXIFS(A:A,G:G,G29)+1-A29),"")</f>
        <v/>
      </c>
      <c r="R29" s="4">
        <f>MAX(T29,X29)</f>
        <v>38.6</v>
      </c>
      <c r="S29" s="4">
        <f>MAX(V29,Z29)</f>
        <v>0</v>
      </c>
      <c r="T29" s="33">
        <v>38.6</v>
      </c>
      <c r="U29" s="41">
        <v>4.4000000000000004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$49&lt;&gt;"")*(G$3:G$49=G30)*(J$3:J$49&gt;J30)*(I$3:I$49="P"))+1,IF(O30&lt;&gt;"",SUMPRODUCT((O$3:O$49&lt;&gt;"")*(P$3:P$49="")*(G$3:G$49=G30)*(J$3:J$49&gt;J30)*(I$3:I$49="P"))+SUMPRODUCT((P$3:P$49&lt;&gt;"")*(G$3:G$49=G30))+1,IF(N30&lt;&gt;"",SUMPRODUCT((N$3:N$49&lt;&gt;"")*(G$3:G$49=G30)*(J$3:J$49&gt;J30)*(I$3:I$49="P"))+1,IF(M30="P",SUMPRODUCT((O$3:O$49&lt;&gt;"")*(P$3:P$49="")*(G$3:G$49=G30)*(I$3:I$49="P"))+SUMPRODUCT((P$3:P$49&lt;&gt;"")*(G$3:G$49=G30)*(I$3:I$49="P"))+SUMPRODUCT((N$3:N$49&lt;&gt;"")*(G$3:G$49=G30)*(I$3:I$49="P"))+SUMPRODUCT((P$3:P$49="")*(O$3:O$49="")*(N$3:N$49="")*(M$3:M$49="P")*(G$3:G$49=G30)*(J$3:J$49&gt;J30)*(I$3:I$49="P"))+1,"")))))</f>
        <v/>
      </c>
      <c r="B30" s="1" t="str" cm="1">
        <f t="array" ref="B30">IF(P30&lt;&gt;"",SUMPRODUCT((P$3:P$49&lt;&gt;"")*(G$3:G$49=G30)*(J$3:J$49&gt;J30))+1,IF(O30&lt;&gt;"",SUMPRODUCT((O$3:O$49&lt;&gt;"")*(P$3:P$49="")*(G$3:G$49=G30)*(J$3:J$49&gt;J30))+SUMPRODUCT((P$3:P$49&lt;&gt;"")*(G$3:G$49=G30))+1,IF(N30&lt;&gt;"",SUMPRODUCT((N$3:N$49&lt;&gt;"")*(G$3:G$49=G30)*(J$3:J$49&gt;J30))+1,IF(M30="P",SUMPRODUCT((O$3:O$49&lt;&gt;"")*(P$3:P$49="")*(G$3:G$49=G30))+SUMPRODUCT((P$3:P$49&lt;&gt;"")*(G$3:G$49=G30))+SUMPRODUCT((N$3:N$49&lt;&gt;"")*(G$3:G$49=G30))+SUMPRODUCT((P$3:P$49="")*(O$3:O$49="")*(N$3:N$49="")*(M$3:M$49="P")*(G$3:G$49=G30)*(J$3:J$49&gt;J30))+1,""))))</f>
        <v/>
      </c>
      <c r="C30" s="36" t="s">
        <v>171</v>
      </c>
      <c r="D30" s="51" t="str">
        <f>IF(E30="","",VLOOKUP(E30,'Coaching Points'!A:B,2,0))</f>
        <v/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127</v>
      </c>
      <c r="I30" s="47"/>
      <c r="J30" s="4">
        <f>MAX(R30,S30)+IF(OR(H30="Junior",H30="Senior"),0.0002,IF(OR(H30="L7",H30="L6"),0.0001,0))+MAX(X30,Z30)*0.0000001</f>
        <v>23.5001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52" t="str">
        <f>IF(A30&lt;5,IF(_xlfn.MAXIFS(A:A,G:G,G30)&gt;3,5-A30,_xlfn.MAXIFS(A:A,G:G,G30)+1-A30),"")</f>
        <v/>
      </c>
      <c r="R30" s="4">
        <f>MAX(T30,X30)</f>
        <v>23.5</v>
      </c>
      <c r="S30" s="4">
        <f>MAX(V30,Z30)</f>
        <v>0</v>
      </c>
      <c r="T30" s="33">
        <v>23.5</v>
      </c>
      <c r="U30" s="41">
        <v>4.8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$49&lt;&gt;"")*(G$3:G$49=G31)*(J$3:J$49&gt;J31)*(I$3:I$49="P"))+1,IF(O31&lt;&gt;"",SUMPRODUCT((O$3:O$49&lt;&gt;"")*(P$3:P$49="")*(G$3:G$49=G31)*(J$3:J$49&gt;J31)*(I$3:I$49="P"))+SUMPRODUCT((P$3:P$49&lt;&gt;"")*(G$3:G$49=G31))+1,IF(N31&lt;&gt;"",SUMPRODUCT((N$3:N$49&lt;&gt;"")*(G$3:G$49=G31)*(J$3:J$49&gt;J31)*(I$3:I$49="P"))+1,IF(M31="P",SUMPRODUCT((O$3:O$49&lt;&gt;"")*(P$3:P$49="")*(G$3:G$49=G31)*(I$3:I$49="P"))+SUMPRODUCT((P$3:P$49&lt;&gt;"")*(G$3:G$49=G31)*(I$3:I$49="P"))+SUMPRODUCT((N$3:N$49&lt;&gt;"")*(G$3:G$49=G31)*(I$3:I$49="P"))+SUMPRODUCT((P$3:P$49="")*(O$3:O$49="")*(N$3:N$49="")*(M$3:M$49="P")*(G$3:G$49=G31)*(J$3:J$49&gt;J31)*(I$3:I$49="P"))+1,"")))))</f>
        <v/>
      </c>
      <c r="B31" s="1" t="str" cm="1">
        <f t="array" ref="B31">IF(P31&lt;&gt;"",SUMPRODUCT((P$3:P$49&lt;&gt;"")*(G$3:G$49=G31)*(J$3:J$49&gt;J31))+1,IF(O31&lt;&gt;"",SUMPRODUCT((O$3:O$49&lt;&gt;"")*(P$3:P$49="")*(G$3:G$49=G31)*(J$3:J$49&gt;J31))+SUMPRODUCT((P$3:P$49&lt;&gt;"")*(G$3:G$49=G31))+1,IF(N31&lt;&gt;"",SUMPRODUCT((N$3:N$49&lt;&gt;"")*(G$3:G$49=G31)*(J$3:J$49&gt;J31))+1,IF(M31="P",SUMPRODUCT((O$3:O$49&lt;&gt;"")*(P$3:P$49="")*(G$3:G$49=G31))+SUMPRODUCT((P$3:P$49&lt;&gt;"")*(G$3:G$49=G31))+SUMPRODUCT((N$3:N$49&lt;&gt;"")*(G$3:G$49=G31))+SUMPRODUCT((P$3:P$49="")*(O$3:O$49="")*(N$3:N$49="")*(M$3:M$49="P")*(G$3:G$49=G31)*(J$3:J$49&gt;J31))+1,""))))</f>
        <v/>
      </c>
      <c r="C31" s="36" t="s">
        <v>180</v>
      </c>
      <c r="D31" s="51" t="str">
        <f>IF(E31="","",VLOOKUP(E31,'Coaching Points'!A:B,2,0))</f>
        <v>QC</v>
      </c>
      <c r="E31" s="36" t="s">
        <v>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181</v>
      </c>
      <c r="I31" s="47"/>
      <c r="J31" s="4">
        <f>MAX(R31,S31)+IF(OR(H31="Junior",H31="Senior"),0.0002,IF(OR(H31="L7",H31="L6"),0.0001,0))+MAX(X31,Z31)*0.0000001</f>
        <v>20.0002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52" t="str">
        <f>IF(A31&lt;5,IF(_xlfn.MAXIFS(A:A,G:G,G31)&gt;3,5-A31,_xlfn.MAXIFS(A:A,G:G,G31)+1-A31),"")</f>
        <v/>
      </c>
      <c r="R31" s="4">
        <f>MAX(T31,X31)</f>
        <v>20</v>
      </c>
      <c r="S31" s="4">
        <f>MAX(V31,Z31)</f>
        <v>0</v>
      </c>
      <c r="T31" s="33">
        <v>20</v>
      </c>
      <c r="U31" s="41">
        <v>2.4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$49&lt;&gt;"")*(G$3:G$49=G32)*(J$3:J$49&gt;J32)*(I$3:I$49="P"))+1,IF(O32&lt;&gt;"",SUMPRODUCT((O$3:O$49&lt;&gt;"")*(P$3:P$49="")*(G$3:G$49=G32)*(J$3:J$49&gt;J32)*(I$3:I$49="P"))+SUMPRODUCT((P$3:P$49&lt;&gt;"")*(G$3:G$49=G32))+1,IF(N32&lt;&gt;"",SUMPRODUCT((N$3:N$49&lt;&gt;"")*(G$3:G$49=G32)*(J$3:J$49&gt;J32)*(I$3:I$49="P"))+1,IF(M32="P",SUMPRODUCT((O$3:O$49&lt;&gt;"")*(P$3:P$49="")*(G$3:G$49=G32)*(I$3:I$49="P"))+SUMPRODUCT((P$3:P$49&lt;&gt;"")*(G$3:G$49=G32)*(I$3:I$49="P"))+SUMPRODUCT((N$3:N$49&lt;&gt;"")*(G$3:G$49=G32)*(I$3:I$49="P"))+SUMPRODUCT((P$3:P$49="")*(O$3:O$49="")*(N$3:N$49="")*(M$3:M$49="P")*(G$3:G$49=G32)*(J$3:J$49&gt;J32)*(I$3:I$49="P"))+1,"")))))</f>
        <v/>
      </c>
      <c r="B32" s="1" cm="1">
        <f t="array" ref="B32">IF(P32&lt;&gt;"",SUMPRODUCT((P$3:P$49&lt;&gt;"")*(G$3:G$49=G32)*(J$3:J$49&gt;J32))+1,IF(O32&lt;&gt;"",SUMPRODUCT((O$3:O$49&lt;&gt;"")*(P$3:P$49="")*(G$3:G$49=G32)*(J$3:J$49&gt;J32))+SUMPRODUCT((P$3:P$49&lt;&gt;"")*(G$3:G$49=G32))+1,IF(N32&lt;&gt;"",SUMPRODUCT((N$3:N$49&lt;&gt;"")*(G$3:G$49=G32)*(J$3:J$49&gt;J32))+1,IF(M32="P",SUMPRODUCT((O$3:O$49&lt;&gt;"")*(P$3:P$49="")*(G$3:G$49=G32))+SUMPRODUCT((P$3:P$49&lt;&gt;"")*(G$3:G$49=G32))+SUMPRODUCT((N$3:N$49&lt;&gt;"")*(G$3:G$49=G32))+SUMPRODUCT((P$3:P$49="")*(O$3:O$49="")*(N$3:N$49="")*(M$3:M$49="P")*(G$3:G$49=G32)*(J$3:J$49&gt;J32))+1,""))))</f>
        <v>1</v>
      </c>
      <c r="C32" s="36" t="s">
        <v>157</v>
      </c>
      <c r="D32" s="51" t="str">
        <f>IF(E32="","",VLOOKUP(E32,'Coaching Points'!A:B,2,0))</f>
        <v>ON</v>
      </c>
      <c r="E32" s="36" t="s">
        <v>49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1" t="s">
        <v>126</v>
      </c>
      <c r="I32" s="47"/>
      <c r="J32" s="4">
        <f>MAX(R32,S32)+IF(OR(H32="Junior",H32="Senior"),0.0002,IF(OR(H32="L7",H32="L6"),0.0001,0))+MAX(X32,Z32)*0.0000001</f>
        <v>47.3001</v>
      </c>
      <c r="K32" s="3" t="str">
        <f>IF(G32="Not Age Eligible","",IF(MAX(T32,V32,X32,Z32)&gt;=LOOKUP(G32,'Qualifying Scores'!$A$4:$A$7,'Qualifying Scores'!$F$4:$F$7),"P",""))</f>
        <v>P</v>
      </c>
      <c r="L32" s="3" t="str">
        <f>IF(G32="Not Age Eligible","",IF(MAX(U32,W32,Y32,AA32)&gt;=LOOKUP(G32,'Qualifying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>P</v>
      </c>
      <c r="Q32" s="52" t="str">
        <f>IF(A32&lt;5,IF(_xlfn.MAXIFS(A:A,G:G,G32)&gt;3,5-A32,_xlfn.MAXIFS(A:A,G:G,G32)+1-A32),"")</f>
        <v/>
      </c>
      <c r="R32" s="4">
        <f>MAX(T32,X32)</f>
        <v>47.3</v>
      </c>
      <c r="S32" s="4">
        <f>MAX(V32,Z32)</f>
        <v>36.400000000000006</v>
      </c>
      <c r="T32" s="33">
        <v>47.3</v>
      </c>
      <c r="U32" s="41">
        <v>9.6</v>
      </c>
      <c r="V32" s="34">
        <v>36.400000000000006</v>
      </c>
      <c r="W32" s="41">
        <v>4.6999999999999993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$49&lt;&gt;"")*(G$3:G$49=G33)*(J$3:J$49&gt;J33)*(I$3:I$49="P"))+1,IF(O33&lt;&gt;"",SUMPRODUCT((O$3:O$49&lt;&gt;"")*(P$3:P$49="")*(G$3:G$49=G33)*(J$3:J$49&gt;J33)*(I$3:I$49="P"))+SUMPRODUCT((P$3:P$49&lt;&gt;"")*(G$3:G$49=G33))+1,IF(N33&lt;&gt;"",SUMPRODUCT((N$3:N$49&lt;&gt;"")*(G$3:G$49=G33)*(J$3:J$49&gt;J33)*(I$3:I$49="P"))+1,IF(M33="P",SUMPRODUCT((O$3:O$49&lt;&gt;"")*(P$3:P$49="")*(G$3:G$49=G33)*(I$3:I$49="P"))+SUMPRODUCT((P$3:P$49&lt;&gt;"")*(G$3:G$49=G33)*(I$3:I$49="P"))+SUMPRODUCT((N$3:N$49&lt;&gt;"")*(G$3:G$49=G33)*(I$3:I$49="P"))+SUMPRODUCT((P$3:P$49="")*(O$3:O$49="")*(N$3:N$49="")*(M$3:M$49="P")*(G$3:G$49=G33)*(J$3:J$49&gt;J33)*(I$3:I$49="P"))+1,"")))))</f>
        <v/>
      </c>
      <c r="B33" s="1" cm="1">
        <f t="array" ref="B33">IF(P33&lt;&gt;"",SUMPRODUCT((P$3:P$49&lt;&gt;"")*(G$3:G$49=G33)*(J$3:J$49&gt;J33))+1,IF(O33&lt;&gt;"",SUMPRODUCT((O$3:O$49&lt;&gt;"")*(P$3:P$49="")*(G$3:G$49=G33)*(J$3:J$49&gt;J33))+SUMPRODUCT((P$3:P$49&lt;&gt;"")*(G$3:G$49=G33))+1,IF(N33&lt;&gt;"",SUMPRODUCT((N$3:N$49&lt;&gt;"")*(G$3:G$49=G33)*(J$3:J$49&gt;J33))+1,IF(M33="P",SUMPRODUCT((O$3:O$49&lt;&gt;"")*(P$3:P$49="")*(G$3:G$49=G33))+SUMPRODUCT((P$3:P$49&lt;&gt;"")*(G$3:G$49=G33))+SUMPRODUCT((N$3:N$49&lt;&gt;"")*(G$3:G$49=G33))+SUMPRODUCT((P$3:P$49="")*(O$3:O$49="")*(N$3:N$49="")*(M$3:M$49="P")*(G$3:G$49=G33)*(J$3:J$49&gt;J33))+1,""))))</f>
        <v>2</v>
      </c>
      <c r="C33" s="36" t="s">
        <v>153</v>
      </c>
      <c r="D33" s="51" t="str">
        <f>IF(E33="","",VLOOKUP(E33,'Coaching Points'!A:B,2,0))</f>
        <v>BC</v>
      </c>
      <c r="E33" s="36" t="s">
        <v>154</v>
      </c>
      <c r="F33" s="35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1" t="s">
        <v>126</v>
      </c>
      <c r="I33" s="47"/>
      <c r="J33" s="4">
        <f>MAX(R33,S33)+IF(OR(H33="Junior",H33="Senior"),0.0002,IF(OR(H33="L7",H33="L6"),0.0001,0))+MAX(X33,Z33)*0.0000001</f>
        <v>46.400100000000002</v>
      </c>
      <c r="K33" s="3" t="str">
        <f>IF(G33="Not Age Eligible","",IF(MAX(T33,V33,X33,Z33)&gt;=LOOKUP(G33,'Qualifying Scores'!$A$4:$A$7,'Qualifying Scores'!$F$4:$F$7),"P",""))</f>
        <v>P</v>
      </c>
      <c r="L33" s="3" t="str">
        <f>IF(G33="Not Age Eligible","",IF(MAX(U33,W33,Y33,AA33)&gt;=LOOKUP(G33,'Qualifying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>P</v>
      </c>
      <c r="Q33" s="52" t="str">
        <f>IF(A33&lt;5,IF(_xlfn.MAXIFS(A:A,G:G,G33)&gt;3,5-A33,_xlfn.MAXIFS(A:A,G:G,G33)+1-A33),"")</f>
        <v/>
      </c>
      <c r="R33" s="4">
        <f>MAX(T33,X33)</f>
        <v>46.4</v>
      </c>
      <c r="S33" s="4">
        <f>MAX(V33,Z33)</f>
        <v>45.5</v>
      </c>
      <c r="T33" s="33">
        <v>46.4</v>
      </c>
      <c r="U33" s="41">
        <v>9.1</v>
      </c>
      <c r="V33" s="34">
        <v>45.5</v>
      </c>
      <c r="W33" s="41">
        <v>8.6999999999999993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$49&lt;&gt;"")*(G$3:G$49=G34)*(J$3:J$49&gt;J34)*(I$3:I$49="P"))+1,IF(O34&lt;&gt;"",SUMPRODUCT((O$3:O$49&lt;&gt;"")*(P$3:P$49="")*(G$3:G$49=G34)*(J$3:J$49&gt;J34)*(I$3:I$49="P"))+SUMPRODUCT((P$3:P$49&lt;&gt;"")*(G$3:G$49=G34))+1,IF(N34&lt;&gt;"",SUMPRODUCT((N$3:N$49&lt;&gt;"")*(G$3:G$49=G34)*(J$3:J$49&gt;J34)*(I$3:I$49="P"))+1,IF(M34="P",SUMPRODUCT((O$3:O$49&lt;&gt;"")*(P$3:P$49="")*(G$3:G$49=G34)*(I$3:I$49="P"))+SUMPRODUCT((P$3:P$49&lt;&gt;"")*(G$3:G$49=G34)*(I$3:I$49="P"))+SUMPRODUCT((N$3:N$49&lt;&gt;"")*(G$3:G$49=G34)*(I$3:I$49="P"))+SUMPRODUCT((P$3:P$49="")*(O$3:O$49="")*(N$3:N$49="")*(M$3:M$49="P")*(G$3:G$49=G34)*(J$3:J$49&gt;J34)*(I$3:I$49="P"))+1,"")))))</f>
        <v/>
      </c>
      <c r="B34" s="1" t="str" cm="1">
        <f t="array" ref="B34">IF(P34&lt;&gt;"",SUMPRODUCT((P$3:P$49&lt;&gt;"")*(G$3:G$49=G34)*(J$3:J$49&gt;J34))+1,IF(O34&lt;&gt;"",SUMPRODUCT((O$3:O$49&lt;&gt;"")*(P$3:P$49="")*(G$3:G$49=G34)*(J$3:J$49&gt;J34))+SUMPRODUCT((P$3:P$49&lt;&gt;"")*(G$3:G$49=G34))+1,IF(N34&lt;&gt;"",SUMPRODUCT((N$3:N$49&lt;&gt;"")*(G$3:G$49=G34)*(J$3:J$49&gt;J34))+1,IF(M34="P",SUMPRODUCT((O$3:O$49&lt;&gt;"")*(P$3:P$49="")*(G$3:G$49=G34))+SUMPRODUCT((P$3:P$49&lt;&gt;"")*(G$3:G$49=G34))+SUMPRODUCT((N$3:N$49&lt;&gt;"")*(G$3:G$49=G34))+SUMPRODUCT((P$3:P$49="")*(O$3:O$49="")*(N$3:N$49="")*(M$3:M$49="P")*(G$3:G$49=G34)*(J$3:J$49&gt;J34))+1,""))))</f>
        <v/>
      </c>
      <c r="C34" s="36" t="s">
        <v>151</v>
      </c>
      <c r="D34" s="51" t="str">
        <f>IF(E34="","",VLOOKUP(E34,'Coaching Points'!A:B,2,0))</f>
        <v>ON</v>
      </c>
      <c r="E34" s="36" t="s">
        <v>152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1" t="s">
        <v>126</v>
      </c>
      <c r="I34" s="47"/>
      <c r="J34" s="4">
        <f>MAX(R34,S34)+IF(OR(H34="Junior",H34="Senior"),0.0002,IF(OR(H34="L7",H34="L6"),0.0001,0))+MAX(X34,Z34)*0.0000001</f>
        <v>45.700100000000006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52" t="str">
        <f>IF(A34&lt;5,IF(_xlfn.MAXIFS(A:A,G:G,G34)&gt;3,5-A34,_xlfn.MAXIFS(A:A,G:G,G34)+1-A34),"")</f>
        <v/>
      </c>
      <c r="R34" s="4">
        <f>MAX(T34,X34)</f>
        <v>45.2</v>
      </c>
      <c r="S34" s="4">
        <f>MAX(V34,Z34)</f>
        <v>45.7</v>
      </c>
      <c r="T34" s="33">
        <v>45.2</v>
      </c>
      <c r="U34" s="41">
        <v>8</v>
      </c>
      <c r="V34" s="34">
        <v>45.7</v>
      </c>
      <c r="W34" s="41">
        <v>7.8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$49&lt;&gt;"")*(G$3:G$49=G35)*(J$3:J$49&gt;J35)*(I$3:I$49="P"))+1,IF(O35&lt;&gt;"",SUMPRODUCT((O$3:O$49&lt;&gt;"")*(P$3:P$49="")*(G$3:G$49=G35)*(J$3:J$49&gt;J35)*(I$3:I$49="P"))+SUMPRODUCT((P$3:P$49&lt;&gt;"")*(G$3:G$49=G35))+1,IF(N35&lt;&gt;"",SUMPRODUCT((N$3:N$49&lt;&gt;"")*(G$3:G$49=G35)*(J$3:J$49&gt;J35)*(I$3:I$49="P"))+1,IF(M35="P",SUMPRODUCT((O$3:O$49&lt;&gt;"")*(P$3:P$49="")*(G$3:G$49=G35)*(I$3:I$49="P"))+SUMPRODUCT((P$3:P$49&lt;&gt;"")*(G$3:G$49=G35)*(I$3:I$49="P"))+SUMPRODUCT((N$3:N$49&lt;&gt;"")*(G$3:G$49=G35)*(I$3:I$49="P"))+SUMPRODUCT((P$3:P$49="")*(O$3:O$49="")*(N$3:N$49="")*(M$3:M$49="P")*(G$3:G$49=G35)*(J$3:J$49&gt;J35)*(I$3:I$49="P"))+1,"")))))</f>
        <v/>
      </c>
      <c r="B35" s="1" t="str" cm="1">
        <f t="array" ref="B35">IF(P35&lt;&gt;"",SUMPRODUCT((P$3:P$49&lt;&gt;"")*(G$3:G$49=G35)*(J$3:J$49&gt;J35))+1,IF(O35&lt;&gt;"",SUMPRODUCT((O$3:O$49&lt;&gt;"")*(P$3:P$49="")*(G$3:G$49=G35)*(J$3:J$49&gt;J35))+SUMPRODUCT((P$3:P$49&lt;&gt;"")*(G$3:G$49=G35))+1,IF(N35&lt;&gt;"",SUMPRODUCT((N$3:N$49&lt;&gt;"")*(G$3:G$49=G35)*(J$3:J$49&gt;J35))+1,IF(M35="P",SUMPRODUCT((O$3:O$49&lt;&gt;"")*(P$3:P$49="")*(G$3:G$49=G35))+SUMPRODUCT((P$3:P$49&lt;&gt;"")*(G$3:G$49=G35))+SUMPRODUCT((N$3:N$49&lt;&gt;"")*(G$3:G$49=G35))+SUMPRODUCT((P$3:P$49="")*(O$3:O$49="")*(N$3:N$49="")*(M$3:M$49="P")*(G$3:G$49=G35)*(J$3:J$49&gt;J35))+1,""))))</f>
        <v/>
      </c>
      <c r="C35" s="36" t="s">
        <v>135</v>
      </c>
      <c r="D35" s="51" t="str">
        <f>IF(E35="","",VLOOKUP(E35,'Coaching Points'!A:B,2,0))</f>
        <v>BC</v>
      </c>
      <c r="E35" s="36" t="s">
        <v>89</v>
      </c>
      <c r="F35" s="35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1" t="s">
        <v>125</v>
      </c>
      <c r="I35" s="47"/>
      <c r="J35" s="4">
        <f>MAX(R35,S35)+IF(OR(H35="Junior",H35="Senior"),0.0002,IF(OR(H35="L7",H35="L6"),0.0001,0))+MAX(X35,Z35)*0.0000001</f>
        <v>45.4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52" t="str">
        <f>IF(A35&lt;5,IF(_xlfn.MAXIFS(A:A,G:G,G35)&gt;3,5-A35,_xlfn.MAXIFS(A:A,G:G,G35)+1-A35),"")</f>
        <v/>
      </c>
      <c r="R35" s="4">
        <f>MAX(T35,X35)</f>
        <v>45.4</v>
      </c>
      <c r="S35" s="4">
        <f>MAX(V35,Z35)</f>
        <v>43.900000000000006</v>
      </c>
      <c r="T35" s="33">
        <v>45.4</v>
      </c>
      <c r="U35" s="41">
        <v>7.9</v>
      </c>
      <c r="V35" s="34">
        <v>43.900000000000006</v>
      </c>
      <c r="W35" s="41">
        <v>6.8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$49&lt;&gt;"")*(G$3:G$49=G36)*(J$3:J$49&gt;J36)*(I$3:I$49="P"))+1,IF(O36&lt;&gt;"",SUMPRODUCT((O$3:O$49&lt;&gt;"")*(P$3:P$49="")*(G$3:G$49=G36)*(J$3:J$49&gt;J36)*(I$3:I$49="P"))+SUMPRODUCT((P$3:P$49&lt;&gt;"")*(G$3:G$49=G36))+1,IF(N36&lt;&gt;"",SUMPRODUCT((N$3:N$49&lt;&gt;"")*(G$3:G$49=G36)*(J$3:J$49&gt;J36)*(I$3:I$49="P"))+1,IF(M36="P",SUMPRODUCT((O$3:O$49&lt;&gt;"")*(P$3:P$49="")*(G$3:G$49=G36)*(I$3:I$49="P"))+SUMPRODUCT((P$3:P$49&lt;&gt;"")*(G$3:G$49=G36)*(I$3:I$49="P"))+SUMPRODUCT((N$3:N$49&lt;&gt;"")*(G$3:G$49=G36)*(I$3:I$49="P"))+SUMPRODUCT((P$3:P$49="")*(O$3:O$49="")*(N$3:N$49="")*(M$3:M$49="P")*(G$3:G$49=G36)*(J$3:J$49&gt;J36)*(I$3:I$49="P"))+1,"")))))</f>
        <v/>
      </c>
      <c r="B36" s="1" t="str" cm="1">
        <f t="array" ref="B36">IF(P36&lt;&gt;"",SUMPRODUCT((P$3:P$49&lt;&gt;"")*(G$3:G$49=G36)*(J$3:J$49&gt;J36))+1,IF(O36&lt;&gt;"",SUMPRODUCT((O$3:O$49&lt;&gt;"")*(P$3:P$49="")*(G$3:G$49=G36)*(J$3:J$49&gt;J36))+SUMPRODUCT((P$3:P$49&lt;&gt;"")*(G$3:G$49=G36))+1,IF(N36&lt;&gt;"",SUMPRODUCT((N$3:N$49&lt;&gt;"")*(G$3:G$49=G36)*(J$3:J$49&gt;J36))+1,IF(M36="P",SUMPRODUCT((O$3:O$49&lt;&gt;"")*(P$3:P$49="")*(G$3:G$49=G36))+SUMPRODUCT((P$3:P$49&lt;&gt;"")*(G$3:G$49=G36))+SUMPRODUCT((N$3:N$49&lt;&gt;"")*(G$3:G$49=G36))+SUMPRODUCT((P$3:P$49="")*(O$3:O$49="")*(N$3:N$49="")*(M$3:M$49="P")*(G$3:G$49=G36)*(J$3:J$49&gt;J36))+1,""))))</f>
        <v/>
      </c>
      <c r="C36" s="36" t="s">
        <v>155</v>
      </c>
      <c r="D36" s="51" t="str">
        <f>IF(E36="","",VLOOKUP(E36,'Coaching Points'!A:B,2,0))</f>
        <v>AB</v>
      </c>
      <c r="E36" s="36" t="s">
        <v>29</v>
      </c>
      <c r="F36" s="35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126</v>
      </c>
      <c r="I36" s="47"/>
      <c r="J36" s="4">
        <f>MAX(R36,S36)+IF(OR(H36="Junior",H36="Senior"),0.0002,IF(OR(H36="L7",H36="L6"),0.0001,0))+MAX(X36,Z36)*0.0000001</f>
        <v>45.200100000000006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>P</v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52" t="str">
        <f>IF(A36&lt;5,IF(_xlfn.MAXIFS(A:A,G:G,G36)&gt;3,5-A36,_xlfn.MAXIFS(A:A,G:G,G36)+1-A36),"")</f>
        <v/>
      </c>
      <c r="R36" s="4">
        <f>MAX(T36,X36)</f>
        <v>45.099999999999994</v>
      </c>
      <c r="S36" s="4">
        <f>MAX(V36,Z36)</f>
        <v>45.2</v>
      </c>
      <c r="T36" s="33">
        <v>45.099999999999994</v>
      </c>
      <c r="U36" s="41">
        <v>8.8000000000000007</v>
      </c>
      <c r="V36" s="34">
        <v>45.2</v>
      </c>
      <c r="W36" s="41">
        <v>8.6999999999999993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$49&lt;&gt;"")*(G$3:G$49=G37)*(J$3:J$49&gt;J37)*(I$3:I$49="P"))+1,IF(O37&lt;&gt;"",SUMPRODUCT((O$3:O$49&lt;&gt;"")*(P$3:P$49="")*(G$3:G$49=G37)*(J$3:J$49&gt;J37)*(I$3:I$49="P"))+SUMPRODUCT((P$3:P$49&lt;&gt;"")*(G$3:G$49=G37))+1,IF(N37&lt;&gt;"",SUMPRODUCT((N$3:N$49&lt;&gt;"")*(G$3:G$49=G37)*(J$3:J$49&gt;J37)*(I$3:I$49="P"))+1,IF(M37="P",SUMPRODUCT((O$3:O$49&lt;&gt;"")*(P$3:P$49="")*(G$3:G$49=G37)*(I$3:I$49="P"))+SUMPRODUCT((P$3:P$49&lt;&gt;"")*(G$3:G$49=G37)*(I$3:I$49="P"))+SUMPRODUCT((N$3:N$49&lt;&gt;"")*(G$3:G$49=G37)*(I$3:I$49="P"))+SUMPRODUCT((P$3:P$49="")*(O$3:O$49="")*(N$3:N$49="")*(M$3:M$49="P")*(G$3:G$49=G37)*(J$3:J$49&gt;J37)*(I$3:I$49="P"))+1,"")))))</f>
        <v/>
      </c>
      <c r="B37" s="1" t="str" cm="1">
        <f t="array" ref="B37">IF(P37&lt;&gt;"",SUMPRODUCT((P$3:P$49&lt;&gt;"")*(G$3:G$49=G37)*(J$3:J$49&gt;J37))+1,IF(O37&lt;&gt;"",SUMPRODUCT((O$3:O$49&lt;&gt;"")*(P$3:P$49="")*(G$3:G$49=G37)*(J$3:J$49&gt;J37))+SUMPRODUCT((P$3:P$49&lt;&gt;"")*(G$3:G$49=G37))+1,IF(N37&lt;&gt;"",SUMPRODUCT((N$3:N$49&lt;&gt;"")*(G$3:G$49=G37)*(J$3:J$49&gt;J37))+1,IF(M37="P",SUMPRODUCT((O$3:O$49&lt;&gt;"")*(P$3:P$49="")*(G$3:G$49=G37))+SUMPRODUCT((P$3:P$49&lt;&gt;"")*(G$3:G$49=G37))+SUMPRODUCT((N$3:N$49&lt;&gt;"")*(G$3:G$49=G37))+SUMPRODUCT((P$3:P$49="")*(O$3:O$49="")*(N$3:N$49="")*(M$3:M$49="P")*(G$3:G$49=G37)*(J$3:J$49&gt;J37))+1,""))))</f>
        <v/>
      </c>
      <c r="C37" s="36" t="s">
        <v>156</v>
      </c>
      <c r="D37" s="51" t="str">
        <f>IF(E37="","",VLOOKUP(E37,'Coaching Points'!A:B,2,0))</f>
        <v>BC</v>
      </c>
      <c r="E37" s="36" t="s">
        <v>93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126</v>
      </c>
      <c r="I37" s="47"/>
      <c r="J37" s="4">
        <f>MAX(R37,S37)+IF(OR(H37="Junior",H37="Senior"),0.0002,IF(OR(H37="L7",H37="L6"),0.0001,0))+MAX(X37,Z37)*0.0000001</f>
        <v>44.8001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>P</v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52" t="str">
        <f>IF(A37&lt;5,IF(_xlfn.MAXIFS(A:A,G:G,G37)&gt;3,5-A37,_xlfn.MAXIFS(A:A,G:G,G37)+1-A37),"")</f>
        <v/>
      </c>
      <c r="R37" s="4">
        <f>MAX(T37,X37)</f>
        <v>44.8</v>
      </c>
      <c r="S37" s="4">
        <f>MAX(V37,Z37)</f>
        <v>44.5</v>
      </c>
      <c r="T37" s="33">
        <v>44.8</v>
      </c>
      <c r="U37" s="41">
        <v>9.5</v>
      </c>
      <c r="V37" s="34">
        <v>44.5</v>
      </c>
      <c r="W37" s="41">
        <v>9.1000000000000014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$49&lt;&gt;"")*(G$3:G$49=G38)*(J$3:J$49&gt;J38)*(I$3:I$49="P"))+1,IF(O38&lt;&gt;"",SUMPRODUCT((O$3:O$49&lt;&gt;"")*(P$3:P$49="")*(G$3:G$49=G38)*(J$3:J$49&gt;J38)*(I$3:I$49="P"))+SUMPRODUCT((P$3:P$49&lt;&gt;"")*(G$3:G$49=G38))+1,IF(N38&lt;&gt;"",SUMPRODUCT((N$3:N$49&lt;&gt;"")*(G$3:G$49=G38)*(J$3:J$49&gt;J38)*(I$3:I$49="P"))+1,IF(M38="P",SUMPRODUCT((O$3:O$49&lt;&gt;"")*(P$3:P$49="")*(G$3:G$49=G38)*(I$3:I$49="P"))+SUMPRODUCT((P$3:P$49&lt;&gt;"")*(G$3:G$49=G38)*(I$3:I$49="P"))+SUMPRODUCT((N$3:N$49&lt;&gt;"")*(G$3:G$49=G38)*(I$3:I$49="P"))+SUMPRODUCT((P$3:P$49="")*(O$3:O$49="")*(N$3:N$49="")*(M$3:M$49="P")*(G$3:G$49=G38)*(J$3:J$49&gt;J38)*(I$3:I$49="P"))+1,"")))))</f>
        <v/>
      </c>
      <c r="B38" s="1" t="str" cm="1">
        <f t="array" ref="B38">IF(P38&lt;&gt;"",SUMPRODUCT((P$3:P$49&lt;&gt;"")*(G$3:G$49=G38)*(J$3:J$49&gt;J38))+1,IF(O38&lt;&gt;"",SUMPRODUCT((O$3:O$49&lt;&gt;"")*(P$3:P$49="")*(G$3:G$49=G38)*(J$3:J$49&gt;J38))+SUMPRODUCT((P$3:P$49&lt;&gt;"")*(G$3:G$49=G38))+1,IF(N38&lt;&gt;"",SUMPRODUCT((N$3:N$49&lt;&gt;"")*(G$3:G$49=G38)*(J$3:J$49&gt;J38))+1,IF(M38="P",SUMPRODUCT((O$3:O$49&lt;&gt;"")*(P$3:P$49="")*(G$3:G$49=G38))+SUMPRODUCT((P$3:P$49&lt;&gt;"")*(G$3:G$49=G38))+SUMPRODUCT((N$3:N$49&lt;&gt;"")*(G$3:G$49=G38))+SUMPRODUCT((P$3:P$49="")*(O$3:O$49="")*(N$3:N$49="")*(M$3:M$49="P")*(G$3:G$49=G38)*(J$3:J$49&gt;J38))+1,""))))</f>
        <v/>
      </c>
      <c r="C38" s="36" t="s">
        <v>134</v>
      </c>
      <c r="D38" s="51" t="str">
        <f>IF(E38="","",VLOOKUP(E38,'Coaching Points'!A:B,2,0))</f>
        <v>ON</v>
      </c>
      <c r="E38" s="36" t="s">
        <v>49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125</v>
      </c>
      <c r="I38" s="47"/>
      <c r="J38" s="4">
        <f>MAX(R38,S38)+IF(OR(H38="Junior",H38="Senior"),0.0002,IF(OR(H38="L7",H38="L6"),0.0001,0))+MAX(X38,Z38)*0.0000001</f>
        <v>44.2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52" t="str">
        <f>IF(A38&lt;5,IF(_xlfn.MAXIFS(A:A,G:G,G38)&gt;3,5-A38,_xlfn.MAXIFS(A:A,G:G,G38)+1-A38),"")</f>
        <v/>
      </c>
      <c r="R38" s="4">
        <f>MAX(T38,X38)</f>
        <v>42.14</v>
      </c>
      <c r="S38" s="4">
        <f>MAX(V38,Z38)</f>
        <v>44.2</v>
      </c>
      <c r="T38" s="33">
        <v>42.14</v>
      </c>
      <c r="U38" s="41">
        <v>6.3</v>
      </c>
      <c r="V38" s="34">
        <v>44.2</v>
      </c>
      <c r="W38" s="41">
        <v>6.3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$49&lt;&gt;"")*(G$3:G$49=G39)*(J$3:J$49&gt;J39)*(I$3:I$49="P"))+1,IF(O39&lt;&gt;"",SUMPRODUCT((O$3:O$49&lt;&gt;"")*(P$3:P$49="")*(G$3:G$49=G39)*(J$3:J$49&gt;J39)*(I$3:I$49="P"))+SUMPRODUCT((P$3:P$49&lt;&gt;"")*(G$3:G$49=G39))+1,IF(N39&lt;&gt;"",SUMPRODUCT((N$3:N$49&lt;&gt;"")*(G$3:G$49=G39)*(J$3:J$49&gt;J39)*(I$3:I$49="P"))+1,IF(M39="P",SUMPRODUCT((O$3:O$49&lt;&gt;"")*(P$3:P$49="")*(G$3:G$49=G39)*(I$3:I$49="P"))+SUMPRODUCT((P$3:P$49&lt;&gt;"")*(G$3:G$49=G39)*(I$3:I$49="P"))+SUMPRODUCT((N$3:N$49&lt;&gt;"")*(G$3:G$49=G39)*(I$3:I$49="P"))+SUMPRODUCT((P$3:P$49="")*(O$3:O$49="")*(N$3:N$49="")*(M$3:M$49="P")*(G$3:G$49=G39)*(J$3:J$49&gt;J39)*(I$3:I$49="P"))+1,"")))))</f>
        <v/>
      </c>
      <c r="B39" s="1" t="str" cm="1">
        <f t="array" ref="B39">IF(P39&lt;&gt;"",SUMPRODUCT((P$3:P$49&lt;&gt;"")*(G$3:G$49=G39)*(J$3:J$49&gt;J39))+1,IF(O39&lt;&gt;"",SUMPRODUCT((O$3:O$49&lt;&gt;"")*(P$3:P$49="")*(G$3:G$49=G39)*(J$3:J$49&gt;J39))+SUMPRODUCT((P$3:P$49&lt;&gt;"")*(G$3:G$49=G39))+1,IF(N39&lt;&gt;"",SUMPRODUCT((N$3:N$49&lt;&gt;"")*(G$3:G$49=G39)*(J$3:J$49&gt;J39))+1,IF(M39="P",SUMPRODUCT((O$3:O$49&lt;&gt;"")*(P$3:P$49="")*(G$3:G$49=G39))+SUMPRODUCT((P$3:P$49&lt;&gt;"")*(G$3:G$49=G39))+SUMPRODUCT((N$3:N$49&lt;&gt;"")*(G$3:G$49=G39))+SUMPRODUCT((P$3:P$49="")*(O$3:O$49="")*(N$3:N$49="")*(M$3:M$49="P")*(G$3:G$49=G39)*(J$3:J$49&gt;J39))+1,""))))</f>
        <v/>
      </c>
      <c r="C39" s="36" t="s">
        <v>136</v>
      </c>
      <c r="D39" s="51" t="str">
        <f>IF(E39="","",VLOOKUP(E39,'Coaching Points'!A:B,2,0))</f>
        <v>SK</v>
      </c>
      <c r="E39" s="36" t="s">
        <v>79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125</v>
      </c>
      <c r="I39" s="47"/>
      <c r="J39" s="4">
        <f>MAX(R39,S39)+IF(OR(H39="Junior",H39="Senior"),0.0002,IF(OR(H39="L7",H39="L6"),0.0001,0))+MAX(X39,Z39)*0.0000001</f>
        <v>43.900000000000006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52" t="str">
        <f>IF(A39&lt;5,IF(_xlfn.MAXIFS(A:A,G:G,G39)&gt;3,5-A39,_xlfn.MAXIFS(A:A,G:G,G39)+1-A39),"")</f>
        <v/>
      </c>
      <c r="R39" s="4">
        <f>MAX(T39,X39)</f>
        <v>42.8</v>
      </c>
      <c r="S39" s="4">
        <f>MAX(V39,Z39)</f>
        <v>43.900000000000006</v>
      </c>
      <c r="T39" s="33">
        <v>42.8</v>
      </c>
      <c r="U39" s="41">
        <v>6.7</v>
      </c>
      <c r="V39" s="34">
        <v>43.900000000000006</v>
      </c>
      <c r="W39" s="41">
        <v>6.3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$49&lt;&gt;"")*(G$3:G$49=G40)*(J$3:J$49&gt;J40)*(I$3:I$49="P"))+1,IF(O40&lt;&gt;"",SUMPRODUCT((O$3:O$49&lt;&gt;"")*(P$3:P$49="")*(G$3:G$49=G40)*(J$3:J$49&gt;J40)*(I$3:I$49="P"))+SUMPRODUCT((P$3:P$49&lt;&gt;"")*(G$3:G$49=G40))+1,IF(N40&lt;&gt;"",SUMPRODUCT((N$3:N$49&lt;&gt;"")*(G$3:G$49=G40)*(J$3:J$49&gt;J40)*(I$3:I$49="P"))+1,IF(M40="P",SUMPRODUCT((O$3:O$49&lt;&gt;"")*(P$3:P$49="")*(G$3:G$49=G40)*(I$3:I$49="P"))+SUMPRODUCT((P$3:P$49&lt;&gt;"")*(G$3:G$49=G40)*(I$3:I$49="P"))+SUMPRODUCT((N$3:N$49&lt;&gt;"")*(G$3:G$49=G40)*(I$3:I$49="P"))+SUMPRODUCT((P$3:P$49="")*(O$3:O$49="")*(N$3:N$49="")*(M$3:M$49="P")*(G$3:G$49=G40)*(J$3:J$49&gt;J40)*(I$3:I$49="P"))+1,"")))))</f>
        <v/>
      </c>
      <c r="B40" s="1" t="str" cm="1">
        <f t="array" ref="B40">IF(P40&lt;&gt;"",SUMPRODUCT((P$3:P$49&lt;&gt;"")*(G$3:G$49=G40)*(J$3:J$49&gt;J40))+1,IF(O40&lt;&gt;"",SUMPRODUCT((O$3:O$49&lt;&gt;"")*(P$3:P$49="")*(G$3:G$49=G40)*(J$3:J$49&gt;J40))+SUMPRODUCT((P$3:P$49&lt;&gt;"")*(G$3:G$49=G40))+1,IF(N40&lt;&gt;"",SUMPRODUCT((N$3:N$49&lt;&gt;"")*(G$3:G$49=G40)*(J$3:J$49&gt;J40))+1,IF(M40="P",SUMPRODUCT((O$3:O$49&lt;&gt;"")*(P$3:P$49="")*(G$3:G$49=G40))+SUMPRODUCT((P$3:P$49&lt;&gt;"")*(G$3:G$49=G40))+SUMPRODUCT((N$3:N$49&lt;&gt;"")*(G$3:G$49=G40))+SUMPRODUCT((P$3:P$49="")*(O$3:O$49="")*(N$3:N$49="")*(M$3:M$49="P")*(G$3:G$49=G40)*(J$3:J$49&gt;J40))+1,""))))</f>
        <v/>
      </c>
      <c r="C40" s="36" t="s">
        <v>138</v>
      </c>
      <c r="D40" s="51" t="str">
        <f>IF(E40="","",VLOOKUP(E40,'Coaching Points'!A:B,2,0))</f>
        <v>AB</v>
      </c>
      <c r="E40" s="36" t="s">
        <v>100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125</v>
      </c>
      <c r="I40" s="47"/>
      <c r="J40" s="4">
        <f>MAX(R40,S40)+IF(OR(H40="Junior",H40="Senior"),0.0002,IF(OR(H40="L7",H40="L6"),0.0001,0))+MAX(X40,Z40)*0.0000001</f>
        <v>42.819999999999993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52" t="str">
        <f>IF(A40&lt;5,IF(_xlfn.MAXIFS(A:A,G:G,G40)&gt;3,5-A40,_xlfn.MAXIFS(A:A,G:G,G40)+1-A40),"")</f>
        <v/>
      </c>
      <c r="R40" s="4">
        <f>MAX(T40,X40)</f>
        <v>42.819999999999993</v>
      </c>
      <c r="S40" s="4">
        <f>MAX(V40,Z40)</f>
        <v>37.180000000000007</v>
      </c>
      <c r="T40" s="33">
        <v>42.819999999999993</v>
      </c>
      <c r="U40" s="41">
        <v>6</v>
      </c>
      <c r="V40" s="34">
        <v>37.180000000000007</v>
      </c>
      <c r="W40" s="41">
        <v>3.7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$49&lt;&gt;"")*(G$3:G$49=G41)*(J$3:J$49&gt;J41)*(I$3:I$49="P"))+1,IF(O41&lt;&gt;"",SUMPRODUCT((O$3:O$49&lt;&gt;"")*(P$3:P$49="")*(G$3:G$49=G41)*(J$3:J$49&gt;J41)*(I$3:I$49="P"))+SUMPRODUCT((P$3:P$49&lt;&gt;"")*(G$3:G$49=G41))+1,IF(N41&lt;&gt;"",SUMPRODUCT((N$3:N$49&lt;&gt;"")*(G$3:G$49=G41)*(J$3:J$49&gt;J41)*(I$3:I$49="P"))+1,IF(M41="P",SUMPRODUCT((O$3:O$49&lt;&gt;"")*(P$3:P$49="")*(G$3:G$49=G41)*(I$3:I$49="P"))+SUMPRODUCT((P$3:P$49&lt;&gt;"")*(G$3:G$49=G41)*(I$3:I$49="P"))+SUMPRODUCT((N$3:N$49&lt;&gt;"")*(G$3:G$49=G41)*(I$3:I$49="P"))+SUMPRODUCT((P$3:P$49="")*(O$3:O$49="")*(N$3:N$49="")*(M$3:M$49="P")*(G$3:G$49=G41)*(J$3:J$49&gt;J41)*(I$3:I$49="P"))+1,"")))))</f>
        <v/>
      </c>
      <c r="B41" s="1" t="str" cm="1">
        <f t="array" ref="B41">IF(P41&lt;&gt;"",SUMPRODUCT((P$3:P$49&lt;&gt;"")*(G$3:G$49=G41)*(J$3:J$49&gt;J41))+1,IF(O41&lt;&gt;"",SUMPRODUCT((O$3:O$49&lt;&gt;"")*(P$3:P$49="")*(G$3:G$49=G41)*(J$3:J$49&gt;J41))+SUMPRODUCT((P$3:P$49&lt;&gt;"")*(G$3:G$49=G41))+1,IF(N41&lt;&gt;"",SUMPRODUCT((N$3:N$49&lt;&gt;"")*(G$3:G$49=G41)*(J$3:J$49&gt;J41))+1,IF(M41="P",SUMPRODUCT((O$3:O$49&lt;&gt;"")*(P$3:P$49="")*(G$3:G$49=G41))+SUMPRODUCT((P$3:P$49&lt;&gt;"")*(G$3:G$49=G41))+SUMPRODUCT((N$3:N$49&lt;&gt;"")*(G$3:G$49=G41))+SUMPRODUCT((P$3:P$49="")*(O$3:O$49="")*(N$3:N$49="")*(M$3:M$49="P")*(G$3:G$49=G41)*(J$3:J$49&gt;J41))+1,""))))</f>
        <v/>
      </c>
      <c r="C41" s="36" t="s">
        <v>137</v>
      </c>
      <c r="D41" s="51" t="str">
        <f>IF(E41="","",VLOOKUP(E41,'Coaching Points'!A:B,2,0))</f>
        <v>BC</v>
      </c>
      <c r="E41" s="36" t="s">
        <v>93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125</v>
      </c>
      <c r="I41" s="47"/>
      <c r="J41" s="4">
        <f>MAX(R41,S41)+IF(OR(H41="Junior",H41="Senior"),0.0002,IF(OR(H41="L7",H41="L6"),0.0001,0))+MAX(X41,Z41)*0.0000001</f>
        <v>42.399999999999991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52" t="str">
        <f>IF(A41&lt;5,IF(_xlfn.MAXIFS(A:A,G:G,G41)&gt;3,5-A41,_xlfn.MAXIFS(A:A,G:G,G41)+1-A41),"")</f>
        <v/>
      </c>
      <c r="R41" s="4">
        <f>MAX(T41,X41)</f>
        <v>38.799999999999997</v>
      </c>
      <c r="S41" s="4">
        <f>MAX(V41,Z41)</f>
        <v>42.399999999999991</v>
      </c>
      <c r="T41" s="33">
        <v>38.799999999999997</v>
      </c>
      <c r="U41" s="41">
        <v>3.7</v>
      </c>
      <c r="V41" s="34">
        <v>42.399999999999991</v>
      </c>
      <c r="W41" s="41">
        <v>6.9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$49&lt;&gt;"")*(G$3:G$49=G42)*(J$3:J$49&gt;J42)*(I$3:I$49="P"))+1,IF(O42&lt;&gt;"",SUMPRODUCT((O$3:O$49&lt;&gt;"")*(P$3:P$49="")*(G$3:G$49=G42)*(J$3:J$49&gt;J42)*(I$3:I$49="P"))+SUMPRODUCT((P$3:P$49&lt;&gt;"")*(G$3:G$49=G42))+1,IF(N42&lt;&gt;"",SUMPRODUCT((N$3:N$49&lt;&gt;"")*(G$3:G$49=G42)*(J$3:J$49&gt;J42)*(I$3:I$49="P"))+1,IF(M42="P",SUMPRODUCT((O$3:O$49&lt;&gt;"")*(P$3:P$49="")*(G$3:G$49=G42)*(I$3:I$49="P"))+SUMPRODUCT((P$3:P$49&lt;&gt;"")*(G$3:G$49=G42)*(I$3:I$49="P"))+SUMPRODUCT((N$3:N$49&lt;&gt;"")*(G$3:G$49=G42)*(I$3:I$49="P"))+SUMPRODUCT((P$3:P$49="")*(O$3:O$49="")*(N$3:N$49="")*(M$3:M$49="P")*(G$3:G$49=G42)*(J$3:J$49&gt;J42)*(I$3:I$49="P"))+1,"")))))</f>
        <v/>
      </c>
      <c r="B42" s="1" cm="1">
        <f t="array" ref="B42">IF(P42&lt;&gt;"",SUMPRODUCT((P$3:P$49&lt;&gt;"")*(G$3:G$49=G42)*(J$3:J$49&gt;J42))+1,IF(O42&lt;&gt;"",SUMPRODUCT((O$3:O$49&lt;&gt;"")*(P$3:P$49="")*(G$3:G$49=G42)*(J$3:J$49&gt;J42))+SUMPRODUCT((P$3:P$49&lt;&gt;"")*(G$3:G$49=G42))+1,IF(N42&lt;&gt;"",SUMPRODUCT((N$3:N$49&lt;&gt;"")*(G$3:G$49=G42)*(J$3:J$49&gt;J42))+1,IF(M42="P",SUMPRODUCT((O$3:O$49&lt;&gt;"")*(P$3:P$49="")*(G$3:G$49=G42))+SUMPRODUCT((P$3:P$49&lt;&gt;"")*(G$3:G$49=G42))+SUMPRODUCT((N$3:N$49&lt;&gt;"")*(G$3:G$49=G42))+SUMPRODUCT((P$3:P$49="")*(O$3:O$49="")*(N$3:N$49="")*(M$3:M$49="P")*(G$3:G$49=G42)*(J$3:J$49&gt;J42))+1,""))))</f>
        <v>1</v>
      </c>
      <c r="C42" s="36" t="s">
        <v>149</v>
      </c>
      <c r="D42" s="51" t="str">
        <f>IF(E42="","",VLOOKUP(E42,'Coaching Points'!A:B,2,0))</f>
        <v>AB</v>
      </c>
      <c r="E42" s="36" t="s">
        <v>100</v>
      </c>
      <c r="F42" s="35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1" t="s">
        <v>126</v>
      </c>
      <c r="I42" s="47"/>
      <c r="J42" s="4">
        <f>MAX(R42,S42)+IF(OR(H42="Junior",H42="Senior"),0.0002,IF(OR(H42="L7",H42="L6"),0.0001,0))+MAX(X42,Z42)*0.0000001</f>
        <v>45.680100000000003</v>
      </c>
      <c r="K42" s="3" t="str">
        <f>IF(G42="Not Age Eligible","",IF(MAX(T42,V42,X42,Z42)&gt;=LOOKUP(G42,'Qualifying Scores'!$A$4:$A$7,'Qualifying Scores'!$F$4:$F$7),"P",""))</f>
        <v>P</v>
      </c>
      <c r="L42" s="3" t="str">
        <f>IF(G42="Not Age Eligible","",IF(MAX(U42,W42,Y42,AA42)&gt;=LOOKUP(G42,'Qualifying Scores'!$A$10:$A$13,'Qualifying Scores'!$F$10:$F$13),"P",""))</f>
        <v>P</v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>P</v>
      </c>
      <c r="Q42" s="52" t="str">
        <f>IF(A42&lt;5,IF(_xlfn.MAXIFS(A:A,G:G,G42)&gt;3,5-A42,_xlfn.MAXIFS(A:A,G:G,G42)+1-A42),"")</f>
        <v/>
      </c>
      <c r="R42" s="4">
        <f>MAX(T42,X42)</f>
        <v>45.68</v>
      </c>
      <c r="S42" s="4">
        <f>MAX(V42,Z42)</f>
        <v>44.5</v>
      </c>
      <c r="T42" s="33">
        <v>45.68</v>
      </c>
      <c r="U42" s="41">
        <v>9.1999999999999993</v>
      </c>
      <c r="V42" s="34">
        <v>44.5</v>
      </c>
      <c r="W42" s="41">
        <v>8.4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$49&lt;&gt;"")*(G$3:G$49=G43)*(J$3:J$49&gt;J43)*(I$3:I$49="P"))+1,IF(O43&lt;&gt;"",SUMPRODUCT((O$3:O$49&lt;&gt;"")*(P$3:P$49="")*(G$3:G$49=G43)*(J$3:J$49&gt;J43)*(I$3:I$49="P"))+SUMPRODUCT((P$3:P$49&lt;&gt;"")*(G$3:G$49=G43))+1,IF(N43&lt;&gt;"",SUMPRODUCT((N$3:N$49&lt;&gt;"")*(G$3:G$49=G43)*(J$3:J$49&gt;J43)*(I$3:I$49="P"))+1,IF(M43="P",SUMPRODUCT((O$3:O$49&lt;&gt;"")*(P$3:P$49="")*(G$3:G$49=G43)*(I$3:I$49="P"))+SUMPRODUCT((P$3:P$49&lt;&gt;"")*(G$3:G$49=G43)*(I$3:I$49="P"))+SUMPRODUCT((N$3:N$49&lt;&gt;"")*(G$3:G$49=G43)*(I$3:I$49="P"))+SUMPRODUCT((P$3:P$49="")*(O$3:O$49="")*(N$3:N$49="")*(M$3:M$49="P")*(G$3:G$49=G43)*(J$3:J$49&gt;J43)*(I$3:I$49="P"))+1,"")))))</f>
        <v/>
      </c>
      <c r="B43" s="1" t="str" cm="1">
        <f t="array" ref="B43">IF(P43&lt;&gt;"",SUMPRODUCT((P$3:P$49&lt;&gt;"")*(G$3:G$49=G43)*(J$3:J$49&gt;J43))+1,IF(O43&lt;&gt;"",SUMPRODUCT((O$3:O$49&lt;&gt;"")*(P$3:P$49="")*(G$3:G$49=G43)*(J$3:J$49&gt;J43))+SUMPRODUCT((P$3:P$49&lt;&gt;"")*(G$3:G$49=G43))+1,IF(N43&lt;&gt;"",SUMPRODUCT((N$3:N$49&lt;&gt;"")*(G$3:G$49=G43)*(J$3:J$49&gt;J43))+1,IF(M43="P",SUMPRODUCT((O$3:O$49&lt;&gt;"")*(P$3:P$49="")*(G$3:G$49=G43))+SUMPRODUCT((P$3:P$49&lt;&gt;"")*(G$3:G$49=G43))+SUMPRODUCT((N$3:N$49&lt;&gt;"")*(G$3:G$49=G43))+SUMPRODUCT((P$3:P$49="")*(O$3:O$49="")*(N$3:N$49="")*(M$3:M$49="P")*(G$3:G$49=G43)*(J$3:J$49&gt;J43))+1,""))))</f>
        <v/>
      </c>
      <c r="C43" s="36" t="s">
        <v>129</v>
      </c>
      <c r="D43" s="51" t="str">
        <f>IF(E43="","",VLOOKUP(E43,'Coaching Points'!A:B,2,0))</f>
        <v>SK</v>
      </c>
      <c r="E43" s="36" t="s">
        <v>79</v>
      </c>
      <c r="F43" s="35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13-14</v>
      </c>
      <c r="H43" s="1" t="s">
        <v>125</v>
      </c>
      <c r="I43" s="47"/>
      <c r="J43" s="4">
        <f>MAX(R43,S43)+IF(OR(H43="Junior",H43="Senior"),0.0002,IF(OR(H43="L7",H43="L6"),0.0001,0))+MAX(X43,Z43)*0.0000001</f>
        <v>44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52" t="str">
        <f>IF(A43&lt;5,IF(_xlfn.MAXIFS(A:A,G:G,G43)&gt;3,5-A43,_xlfn.MAXIFS(A:A,G:G,G43)+1-A43),"")</f>
        <v/>
      </c>
      <c r="R43" s="4">
        <f>MAX(T43,X43)</f>
        <v>44</v>
      </c>
      <c r="S43" s="4">
        <f>MAX(V43,Z43)</f>
        <v>42.9</v>
      </c>
      <c r="T43" s="33">
        <v>44</v>
      </c>
      <c r="U43" s="41">
        <v>7.1</v>
      </c>
      <c r="V43" s="34">
        <v>42.9</v>
      </c>
      <c r="W43" s="41">
        <v>6.2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$49&lt;&gt;"")*(G$3:G$49=G44)*(J$3:J$49&gt;J44)*(I$3:I$49="P"))+1,IF(O44&lt;&gt;"",SUMPRODUCT((O$3:O$49&lt;&gt;"")*(P$3:P$49="")*(G$3:G$49=G44)*(J$3:J$49&gt;J44)*(I$3:I$49="P"))+SUMPRODUCT((P$3:P$49&lt;&gt;"")*(G$3:G$49=G44))+1,IF(N44&lt;&gt;"",SUMPRODUCT((N$3:N$49&lt;&gt;"")*(G$3:G$49=G44)*(J$3:J$49&gt;J44)*(I$3:I$49="P"))+1,IF(M44="P",SUMPRODUCT((O$3:O$49&lt;&gt;"")*(P$3:P$49="")*(G$3:G$49=G44)*(I$3:I$49="P"))+SUMPRODUCT((P$3:P$49&lt;&gt;"")*(G$3:G$49=G44)*(I$3:I$49="P"))+SUMPRODUCT((N$3:N$49&lt;&gt;"")*(G$3:G$49=G44)*(I$3:I$49="P"))+SUMPRODUCT((P$3:P$49="")*(O$3:O$49="")*(N$3:N$49="")*(M$3:M$49="P")*(G$3:G$49=G44)*(J$3:J$49&gt;J44)*(I$3:I$49="P"))+1,"")))))</f>
        <v/>
      </c>
      <c r="B44" s="1" t="str" cm="1">
        <f t="array" ref="B44">IF(P44&lt;&gt;"",SUMPRODUCT((P$3:P$49&lt;&gt;"")*(G$3:G$49=G44)*(J$3:J$49&gt;J44))+1,IF(O44&lt;&gt;"",SUMPRODUCT((O$3:O$49&lt;&gt;"")*(P$3:P$49="")*(G$3:G$49=G44)*(J$3:J$49&gt;J44))+SUMPRODUCT((P$3:P$49&lt;&gt;"")*(G$3:G$49=G44))+1,IF(N44&lt;&gt;"",SUMPRODUCT((N$3:N$49&lt;&gt;"")*(G$3:G$49=G44)*(J$3:J$49&gt;J44))+1,IF(M44="P",SUMPRODUCT((O$3:O$49&lt;&gt;"")*(P$3:P$49="")*(G$3:G$49=G44))+SUMPRODUCT((P$3:P$49&lt;&gt;"")*(G$3:G$49=G44))+SUMPRODUCT((N$3:N$49&lt;&gt;"")*(G$3:G$49=G44))+SUMPRODUCT((P$3:P$49="")*(O$3:O$49="")*(N$3:N$49="")*(M$3:M$49="P")*(G$3:G$49=G44)*(J$3:J$49&gt;J44))+1,""))))</f>
        <v/>
      </c>
      <c r="C44" s="36" t="s">
        <v>128</v>
      </c>
      <c r="D44" s="51" t="str">
        <f>IF(E44="","",VLOOKUP(E44,'Coaching Points'!A:B,2,0))</f>
        <v>AB</v>
      </c>
      <c r="E44" s="36" t="s">
        <v>100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1" t="s">
        <v>125</v>
      </c>
      <c r="I44" s="47"/>
      <c r="J44" s="4">
        <f>MAX(R44,S44)+IF(OR(H44="Junior",H44="Senior"),0.0002,IF(OR(H44="L7",H44="L6"),0.0001,0))+MAX(X44,Z44)*0.0000001</f>
        <v>43.4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52" t="str">
        <f>IF(A44&lt;5,IF(_xlfn.MAXIFS(A:A,G:G,G44)&gt;3,5-A44,_xlfn.MAXIFS(A:A,G:G,G44)+1-A44),"")</f>
        <v/>
      </c>
      <c r="R44" s="4">
        <f>MAX(T44,X44)</f>
        <v>42.900000000000006</v>
      </c>
      <c r="S44" s="4">
        <f>MAX(V44,Z44)</f>
        <v>43.4</v>
      </c>
      <c r="T44" s="33">
        <v>42.900000000000006</v>
      </c>
      <c r="U44" s="41">
        <v>7.1</v>
      </c>
      <c r="V44" s="34">
        <v>43.4</v>
      </c>
      <c r="W44" s="41">
        <v>6.4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$49&lt;&gt;"")*(G$3:G$49=G45)*(J$3:J$49&gt;J45)*(I$3:I$49="P"))+1,IF(O45&lt;&gt;"",SUMPRODUCT((O$3:O$49&lt;&gt;"")*(P$3:P$49="")*(G$3:G$49=G45)*(J$3:J$49&gt;J45)*(I$3:I$49="P"))+SUMPRODUCT((P$3:P$49&lt;&gt;"")*(G$3:G$49=G45))+1,IF(N45&lt;&gt;"",SUMPRODUCT((N$3:N$49&lt;&gt;"")*(G$3:G$49=G45)*(J$3:J$49&gt;J45)*(I$3:I$49="P"))+1,IF(M45="P",SUMPRODUCT((O$3:O$49&lt;&gt;"")*(P$3:P$49="")*(G$3:G$49=G45)*(I$3:I$49="P"))+SUMPRODUCT((P$3:P$49&lt;&gt;"")*(G$3:G$49=G45)*(I$3:I$49="P"))+SUMPRODUCT((N$3:N$49&lt;&gt;"")*(G$3:G$49=G45)*(I$3:I$49="P"))+SUMPRODUCT((P$3:P$49="")*(O$3:O$49="")*(N$3:N$49="")*(M$3:M$49="P")*(G$3:G$49=G45)*(J$3:J$49&gt;J45)*(I$3:I$49="P"))+1,"")))))</f>
        <v/>
      </c>
      <c r="B45" s="1" t="str" cm="1">
        <f t="array" ref="B45">IF(P45&lt;&gt;"",SUMPRODUCT((P$3:P$49&lt;&gt;"")*(G$3:G$49=G45)*(J$3:J$49&gt;J45))+1,IF(O45&lt;&gt;"",SUMPRODUCT((O$3:O$49&lt;&gt;"")*(P$3:P$49="")*(G$3:G$49=G45)*(J$3:J$49&gt;J45))+SUMPRODUCT((P$3:P$49&lt;&gt;"")*(G$3:G$49=G45))+1,IF(N45&lt;&gt;"",SUMPRODUCT((N$3:N$49&lt;&gt;"")*(G$3:G$49=G45)*(J$3:J$49&gt;J45))+1,IF(M45="P",SUMPRODUCT((O$3:O$49&lt;&gt;"")*(P$3:P$49="")*(G$3:G$49=G45))+SUMPRODUCT((P$3:P$49&lt;&gt;"")*(G$3:G$49=G45))+SUMPRODUCT((N$3:N$49&lt;&gt;"")*(G$3:G$49=G45))+SUMPRODUCT((P$3:P$49="")*(O$3:O$49="")*(N$3:N$49="")*(M$3:M$49="P")*(G$3:G$49=G45)*(J$3:J$49&gt;J45))+1,""))))</f>
        <v/>
      </c>
      <c r="C45" s="36" t="s">
        <v>150</v>
      </c>
      <c r="D45" s="51" t="str">
        <f>IF(E45="","",VLOOKUP(E45,'Coaching Points'!A:B,2,0))</f>
        <v>AB</v>
      </c>
      <c r="E45" s="36" t="s">
        <v>148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1" t="s">
        <v>126</v>
      </c>
      <c r="I45" s="47"/>
      <c r="J45" s="4">
        <f>MAX(R45,S45)+IF(OR(H45="Junior",H45="Senior"),0.0002,IF(OR(H45="L7",H45="L6"),0.0001,0))+MAX(X45,Z45)*0.0000001</f>
        <v>43.100100000000005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52" t="str">
        <f>IF(A45&lt;5,IF(_xlfn.MAXIFS(A:A,G:G,G45)&gt;3,5-A45,_xlfn.MAXIFS(A:A,G:G,G45)+1-A45),"")</f>
        <v/>
      </c>
      <c r="R45" s="4">
        <f>MAX(T45,X45)</f>
        <v>43.1</v>
      </c>
      <c r="S45" s="4">
        <f>MAX(V45,Z45)</f>
        <v>40.4</v>
      </c>
      <c r="T45" s="33">
        <v>43.1</v>
      </c>
      <c r="U45" s="41">
        <v>7.2999999999999989</v>
      </c>
      <c r="V45" s="34">
        <v>40.4</v>
      </c>
      <c r="W45" s="41">
        <v>7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$49&lt;&gt;"")*(G$3:G$49=G46)*(J$3:J$49&gt;J46)*(I$3:I$49="P"))+1,IF(O46&lt;&gt;"",SUMPRODUCT((O$3:O$49&lt;&gt;"")*(P$3:P$49="")*(G$3:G$49=G46)*(J$3:J$49&gt;J46)*(I$3:I$49="P"))+SUMPRODUCT((P$3:P$49&lt;&gt;"")*(G$3:G$49=G46))+1,IF(N46&lt;&gt;"",SUMPRODUCT((N$3:N$49&lt;&gt;"")*(G$3:G$49=G46)*(J$3:J$49&gt;J46)*(I$3:I$49="P"))+1,IF(M46="P",SUMPRODUCT((O$3:O$49&lt;&gt;"")*(P$3:P$49="")*(G$3:G$49=G46)*(I$3:I$49="P"))+SUMPRODUCT((P$3:P$49&lt;&gt;"")*(G$3:G$49=G46)*(I$3:I$49="P"))+SUMPRODUCT((N$3:N$49&lt;&gt;"")*(G$3:G$49=G46)*(I$3:I$49="P"))+SUMPRODUCT((P$3:P$49="")*(O$3:O$49="")*(N$3:N$49="")*(M$3:M$49="P")*(G$3:G$49=G46)*(J$3:J$49&gt;J46)*(I$3:I$49="P"))+1,"")))))</f>
        <v/>
      </c>
      <c r="B46" s="1" t="str" cm="1">
        <f t="array" ref="B46">IF(P46&lt;&gt;"",SUMPRODUCT((P$3:P$49&lt;&gt;"")*(G$3:G$49=G46)*(J$3:J$49&gt;J46))+1,IF(O46&lt;&gt;"",SUMPRODUCT((O$3:O$49&lt;&gt;"")*(P$3:P$49="")*(G$3:G$49=G46)*(J$3:J$49&gt;J46))+SUMPRODUCT((P$3:P$49&lt;&gt;"")*(G$3:G$49=G46))+1,IF(N46&lt;&gt;"",SUMPRODUCT((N$3:N$49&lt;&gt;"")*(G$3:G$49=G46)*(J$3:J$49&gt;J46))+1,IF(M46="P",SUMPRODUCT((O$3:O$49&lt;&gt;"")*(P$3:P$49="")*(G$3:G$49=G46))+SUMPRODUCT((P$3:P$49&lt;&gt;"")*(G$3:G$49=G46))+SUMPRODUCT((N$3:N$49&lt;&gt;"")*(G$3:G$49=G46))+SUMPRODUCT((P$3:P$49="")*(O$3:O$49="")*(N$3:N$49="")*(M$3:M$49="P")*(G$3:G$49=G46)*(J$3:J$49&gt;J46))+1,""))))</f>
        <v/>
      </c>
      <c r="C46" s="36" t="s">
        <v>133</v>
      </c>
      <c r="D46" s="51" t="str">
        <f>IF(E46="","",VLOOKUP(E46,'Coaching Points'!A:B,2,0))</f>
        <v>ON</v>
      </c>
      <c r="E46" s="36" t="s">
        <v>49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1" t="s">
        <v>125</v>
      </c>
      <c r="I46" s="47"/>
      <c r="J46" s="4">
        <f>MAX(R46,S46)+IF(OR(H46="Junior",H46="Senior"),0.0002,IF(OR(H46="L7",H46="L6"),0.0001,0))+MAX(X46,Z46)*0.0000001</f>
        <v>43.1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52" t="str">
        <f>IF(A46&lt;5,IF(_xlfn.MAXIFS(A:A,G:G,G46)&gt;3,5-A46,_xlfn.MAXIFS(A:A,G:G,G46)+1-A46),"")</f>
        <v/>
      </c>
      <c r="R46" s="4">
        <f>MAX(T46,X46)</f>
        <v>43.1</v>
      </c>
      <c r="S46" s="4">
        <f>MAX(V46,Z46)</f>
        <v>0</v>
      </c>
      <c r="T46" s="33">
        <v>43.1</v>
      </c>
      <c r="U46" s="41">
        <v>5.8</v>
      </c>
      <c r="V46" s="34">
        <v>0</v>
      </c>
      <c r="W46" s="41">
        <v>0</v>
      </c>
      <c r="X46" s="33"/>
      <c r="Y46" s="41"/>
      <c r="Z46" s="34"/>
      <c r="AA46" s="37"/>
    </row>
    <row r="47" spans="1:27" x14ac:dyDescent="0.2">
      <c r="A47" s="1" t="str" cm="1">
        <f t="array" ref="A47">IF(I47="","",IF(P47&lt;&gt;"",SUMPRODUCT((P$3:P$49&lt;&gt;"")*(G$3:G$49=G47)*(J$3:J$49&gt;J47)*(I$3:I$49="P"))+1,IF(O47&lt;&gt;"",SUMPRODUCT((O$3:O$49&lt;&gt;"")*(P$3:P$49="")*(G$3:G$49=G47)*(J$3:J$49&gt;J47)*(I$3:I$49="P"))+SUMPRODUCT((P$3:P$49&lt;&gt;"")*(G$3:G$49=G47))+1,IF(N47&lt;&gt;"",SUMPRODUCT((N$3:N$49&lt;&gt;"")*(G$3:G$49=G47)*(J$3:J$49&gt;J47)*(I$3:I$49="P"))+1,IF(M47="P",SUMPRODUCT((O$3:O$49&lt;&gt;"")*(P$3:P$49="")*(G$3:G$49=G47)*(I$3:I$49="P"))+SUMPRODUCT((P$3:P$49&lt;&gt;"")*(G$3:G$49=G47)*(I$3:I$49="P"))+SUMPRODUCT((N$3:N$49&lt;&gt;"")*(G$3:G$49=G47)*(I$3:I$49="P"))+SUMPRODUCT((P$3:P$49="")*(O$3:O$49="")*(N$3:N$49="")*(M$3:M$49="P")*(G$3:G$49=G47)*(J$3:J$49&gt;J47)*(I$3:I$49="P"))+1,"")))))</f>
        <v/>
      </c>
      <c r="B47" s="1" t="str" cm="1">
        <f t="array" ref="B47">IF(P47&lt;&gt;"",SUMPRODUCT((P$3:P$49&lt;&gt;"")*(G$3:G$49=G47)*(J$3:J$49&gt;J47))+1,IF(O47&lt;&gt;"",SUMPRODUCT((O$3:O$49&lt;&gt;"")*(P$3:P$49="")*(G$3:G$49=G47)*(J$3:J$49&gt;J47))+SUMPRODUCT((P$3:P$49&lt;&gt;"")*(G$3:G$49=G47))+1,IF(N47&lt;&gt;"",SUMPRODUCT((N$3:N$49&lt;&gt;"")*(G$3:G$49=G47)*(J$3:J$49&gt;J47))+1,IF(M47="P",SUMPRODUCT((O$3:O$49&lt;&gt;"")*(P$3:P$49="")*(G$3:G$49=G47))+SUMPRODUCT((P$3:P$49&lt;&gt;"")*(G$3:G$49=G47))+SUMPRODUCT((N$3:N$49&lt;&gt;"")*(G$3:G$49=G47))+SUMPRODUCT((P$3:P$49="")*(O$3:O$49="")*(N$3:N$49="")*(M$3:M$49="P")*(G$3:G$49=G47)*(J$3:J$49&gt;J47))+1,""))))</f>
        <v/>
      </c>
      <c r="C47" s="36" t="s">
        <v>130</v>
      </c>
      <c r="D47" s="51" t="str">
        <f>IF(E47="","",VLOOKUP(E47,'Coaching Points'!A:B,2,0))</f>
        <v>AB</v>
      </c>
      <c r="E47" s="36" t="s">
        <v>29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1" t="s">
        <v>125</v>
      </c>
      <c r="I47" s="47"/>
      <c r="J47" s="4">
        <f>MAX(R47,S47)+IF(OR(H47="Junior",H47="Senior"),0.0002,IF(OR(H47="L7",H47="L6"),0.0001,0))+MAX(X47,Z47)*0.0000001</f>
        <v>42.599999999999994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52" t="str">
        <f>IF(A47&lt;5,IF(_xlfn.MAXIFS(A:A,G:G,G47)&gt;3,5-A47,_xlfn.MAXIFS(A:A,G:G,G47)+1-A47),"")</f>
        <v/>
      </c>
      <c r="R47" s="4">
        <f>MAX(T47,X47)</f>
        <v>41.8</v>
      </c>
      <c r="S47" s="4">
        <f>MAX(V47,Z47)</f>
        <v>42.599999999999994</v>
      </c>
      <c r="T47" s="33">
        <v>41.8</v>
      </c>
      <c r="U47" s="41">
        <v>5.4</v>
      </c>
      <c r="V47" s="34">
        <v>42.599999999999994</v>
      </c>
      <c r="W47" s="41">
        <v>5.2</v>
      </c>
      <c r="X47" s="33"/>
      <c r="Y47" s="41"/>
      <c r="Z47" s="34"/>
      <c r="AA47" s="37"/>
    </row>
    <row r="48" spans="1:27" x14ac:dyDescent="0.2">
      <c r="A48" s="1" t="str" cm="1">
        <f t="array" ref="A48">IF(I48="","",IF(P48&lt;&gt;"",SUMPRODUCT((P$3:P$49&lt;&gt;"")*(G$3:G$49=G48)*(J$3:J$49&gt;J48)*(I$3:I$49="P"))+1,IF(O48&lt;&gt;"",SUMPRODUCT((O$3:O$49&lt;&gt;"")*(P$3:P$49="")*(G$3:G$49=G48)*(J$3:J$49&gt;J48)*(I$3:I$49="P"))+SUMPRODUCT((P$3:P$49&lt;&gt;"")*(G$3:G$49=G48))+1,IF(N48&lt;&gt;"",SUMPRODUCT((N$3:N$49&lt;&gt;"")*(G$3:G$49=G48)*(J$3:J$49&gt;J48)*(I$3:I$49="P"))+1,IF(M48="P",SUMPRODUCT((O$3:O$49&lt;&gt;"")*(P$3:P$49="")*(G$3:G$49=G48)*(I$3:I$49="P"))+SUMPRODUCT((P$3:P$49&lt;&gt;"")*(G$3:G$49=G48)*(I$3:I$49="P"))+SUMPRODUCT((N$3:N$49&lt;&gt;"")*(G$3:G$49=G48)*(I$3:I$49="P"))+SUMPRODUCT((P$3:P$49="")*(O$3:O$49="")*(N$3:N$49="")*(M$3:M$49="P")*(G$3:G$49=G48)*(J$3:J$49&gt;J48)*(I$3:I$49="P"))+1,"")))))</f>
        <v/>
      </c>
      <c r="B48" s="1" t="str" cm="1">
        <f t="array" ref="B48">IF(P48&lt;&gt;"",SUMPRODUCT((P$3:P$49&lt;&gt;"")*(G$3:G$49=G48)*(J$3:J$49&gt;J48))+1,IF(O48&lt;&gt;"",SUMPRODUCT((O$3:O$49&lt;&gt;"")*(P$3:P$49="")*(G$3:G$49=G48)*(J$3:J$49&gt;J48))+SUMPRODUCT((P$3:P$49&lt;&gt;"")*(G$3:G$49=G48))+1,IF(N48&lt;&gt;"",SUMPRODUCT((N$3:N$49&lt;&gt;"")*(G$3:G$49=G48)*(J$3:J$49&gt;J48))+1,IF(M48="P",SUMPRODUCT((O$3:O$49&lt;&gt;"")*(P$3:P$49="")*(G$3:G$49=G48))+SUMPRODUCT((P$3:P$49&lt;&gt;"")*(G$3:G$49=G48))+SUMPRODUCT((N$3:N$49&lt;&gt;"")*(G$3:G$49=G48))+SUMPRODUCT((P$3:P$49="")*(O$3:O$49="")*(N$3:N$49="")*(M$3:M$49="P")*(G$3:G$49=G48)*(J$3:J$49&gt;J48))+1,""))))</f>
        <v/>
      </c>
      <c r="C48" s="36" t="s">
        <v>131</v>
      </c>
      <c r="D48" s="51" t="str">
        <f>IF(E48="","",VLOOKUP(E48,'Coaching Points'!A:B,2,0))</f>
        <v>ON</v>
      </c>
      <c r="E48" s="36" t="s">
        <v>49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13-14</v>
      </c>
      <c r="H48" s="1" t="s">
        <v>125</v>
      </c>
      <c r="I48" s="47"/>
      <c r="J48" s="4">
        <f>MAX(R48,S48)+IF(OR(H48="Junior",H48="Senior"),0.0002,IF(OR(H48="L7",H48="L6"),0.0001,0))+MAX(X48,Z48)*0.0000001</f>
        <v>42.2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52" t="str">
        <f>IF(A48&lt;5,IF(_xlfn.MAXIFS(A:A,G:G,G48)&gt;3,5-A48,_xlfn.MAXIFS(A:A,G:G,G48)+1-A48),"")</f>
        <v/>
      </c>
      <c r="R48" s="4">
        <f>MAX(T48,X48)</f>
        <v>39.299999999999997</v>
      </c>
      <c r="S48" s="4">
        <f>MAX(V48,Z48)</f>
        <v>42.2</v>
      </c>
      <c r="T48" s="33">
        <v>39.299999999999997</v>
      </c>
      <c r="U48" s="41">
        <v>4</v>
      </c>
      <c r="V48" s="34">
        <v>42.2</v>
      </c>
      <c r="W48" s="41">
        <v>4.3000000000000007</v>
      </c>
      <c r="X48" s="33"/>
      <c r="Y48" s="41"/>
      <c r="Z48" s="34"/>
      <c r="AA48" s="37"/>
    </row>
    <row r="49" spans="1:27" x14ac:dyDescent="0.2">
      <c r="A49" s="1" t="str" cm="1">
        <f t="array" ref="A49">IF(I49="","",IF(P49&lt;&gt;"",SUMPRODUCT((P$3:P$49&lt;&gt;"")*(G$3:G$49=G49)*(J$3:J$49&gt;J49)*(I$3:I$49="P"))+1,IF(O49&lt;&gt;"",SUMPRODUCT((O$3:O$49&lt;&gt;"")*(P$3:P$49="")*(G$3:G$49=G49)*(J$3:J$49&gt;J49)*(I$3:I$49="P"))+SUMPRODUCT((P$3:P$49&lt;&gt;"")*(G$3:G$49=G49))+1,IF(N49&lt;&gt;"",SUMPRODUCT((N$3:N$49&lt;&gt;"")*(G$3:G$49=G49)*(J$3:J$49&gt;J49)*(I$3:I$49="P"))+1,IF(M49="P",SUMPRODUCT((O$3:O$49&lt;&gt;"")*(P$3:P$49="")*(G$3:G$49=G49)*(I$3:I$49="P"))+SUMPRODUCT((P$3:P$49&lt;&gt;"")*(G$3:G$49=G49)*(I$3:I$49="P"))+SUMPRODUCT((N$3:N$49&lt;&gt;"")*(G$3:G$49=G49)*(I$3:I$49="P"))+SUMPRODUCT((P$3:P$49="")*(O$3:O$49="")*(N$3:N$49="")*(M$3:M$49="P")*(G$3:G$49=G49)*(J$3:J$49&gt;J49)*(I$3:I$49="P"))+1,"")))))</f>
        <v/>
      </c>
      <c r="B49" s="1" t="str" cm="1">
        <f t="array" ref="B49">IF(P49&lt;&gt;"",SUMPRODUCT((P$3:P$49&lt;&gt;"")*(G$3:G$49=G49)*(J$3:J$49&gt;J49))+1,IF(O49&lt;&gt;"",SUMPRODUCT((O$3:O$49&lt;&gt;"")*(P$3:P$49="")*(G$3:G$49=G49)*(J$3:J$49&gt;J49))+SUMPRODUCT((P$3:P$49&lt;&gt;"")*(G$3:G$49=G49))+1,IF(N49&lt;&gt;"",SUMPRODUCT((N$3:N$49&lt;&gt;"")*(G$3:G$49=G49)*(J$3:J$49&gt;J49))+1,IF(M49="P",SUMPRODUCT((O$3:O$49&lt;&gt;"")*(P$3:P$49="")*(G$3:G$49=G49))+SUMPRODUCT((P$3:P$49&lt;&gt;"")*(G$3:G$49=G49))+SUMPRODUCT((N$3:N$49&lt;&gt;"")*(G$3:G$49=G49))+SUMPRODUCT((P$3:P$49="")*(O$3:O$49="")*(N$3:N$49="")*(M$3:M$49="P")*(G$3:G$49=G49)*(J$3:J$49&gt;J49))+1,""))))</f>
        <v/>
      </c>
      <c r="C49" s="36" t="s">
        <v>132</v>
      </c>
      <c r="D49" s="51" t="str">
        <f>IF(E49="","",VLOOKUP(E49,'Coaching Points'!A:B,2,0))</f>
        <v>BC</v>
      </c>
      <c r="E49" s="36" t="s">
        <v>43</v>
      </c>
      <c r="F49" s="35">
        <v>2010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1" t="s">
        <v>125</v>
      </c>
      <c r="I49" s="47"/>
      <c r="J49" s="4">
        <f>MAX(R49,S49)+IF(OR(H49="Junior",H49="Senior"),0.0002,IF(OR(H49="L7",H49="L6"),0.0001,0))+MAX(X49,Z49)*0.0000001</f>
        <v>42.5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52" t="str">
        <f>IF(A49&lt;5,IF(_xlfn.MAXIFS(A:A,G:G,G49)&gt;3,5-A49,_xlfn.MAXIFS(A:A,G:G,G49)+1-A49),"")</f>
        <v/>
      </c>
      <c r="R49" s="4">
        <f>MAX(T49,X49)</f>
        <v>42.5</v>
      </c>
      <c r="S49" s="4">
        <f>MAX(V49,Z49)</f>
        <v>41.8</v>
      </c>
      <c r="T49" s="33">
        <v>42.5</v>
      </c>
      <c r="U49" s="41">
        <v>5.6</v>
      </c>
      <c r="V49" s="34">
        <v>41.8</v>
      </c>
      <c r="W49" s="41">
        <v>5.8</v>
      </c>
      <c r="X49" s="33"/>
      <c r="Y49" s="41"/>
      <c r="Z49" s="34"/>
      <c r="AA49" s="37"/>
    </row>
    <row r="50" spans="1:27" x14ac:dyDescent="0.2"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1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conditionalFormatting sqref="A1:XFD1048576">
    <cfRule type="expression" dxfId="18" priority="21">
      <formula>IF($G1="17-21",1,0)</formula>
    </cfRule>
    <cfRule type="expression" dxfId="17" priority="22">
      <formula>IF($G1="15-16",1,0)</formula>
    </cfRule>
    <cfRule type="expression" dxfId="16" priority="23">
      <formula>IF($G1="13-14",1,0)</formula>
    </cfRule>
    <cfRule type="expression" dxfId="15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7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51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58</v>
      </c>
      <c r="S1" s="71" t="s">
        <v>59</v>
      </c>
      <c r="T1" s="73" t="s">
        <v>46</v>
      </c>
      <c r="U1" s="73"/>
      <c r="V1" s="73"/>
      <c r="W1" s="73"/>
      <c r="X1" s="73" t="s">
        <v>45</v>
      </c>
      <c r="Y1" s="73"/>
      <c r="Z1" s="73"/>
      <c r="AA1" s="73"/>
    </row>
    <row r="2" spans="1:27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60</v>
      </c>
      <c r="U2" s="7" t="s">
        <v>61</v>
      </c>
      <c r="V2" s="7" t="s">
        <v>6</v>
      </c>
      <c r="W2" s="7" t="s">
        <v>8</v>
      </c>
      <c r="X2" s="8" t="s">
        <v>60</v>
      </c>
      <c r="Y2" s="7" t="s">
        <v>61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+1,"")))))</f>
        <v/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+1,""))))</f>
        <v>1</v>
      </c>
      <c r="C3" s="36" t="s">
        <v>117</v>
      </c>
      <c r="D3" s="51" t="str">
        <f>IF(E3="","",VLOOKUP(E3,'Coaching Points'!A:B,2,0))</f>
        <v>BC</v>
      </c>
      <c r="E3" s="36" t="s">
        <v>38</v>
      </c>
      <c r="F3" s="35">
        <v>2001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1" t="s">
        <v>181</v>
      </c>
      <c r="I3" s="47"/>
      <c r="J3" s="4">
        <f>MAX(R3,S3)+IF(OR(H3="Junior",H3="Senior"),0.0002,IF(OR(H3="L7",H3="L6"),0.0001,0))+MAX(X3,Z3)*0.0000001</f>
        <v>50.800200000000004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1</v>
      </c>
      <c r="Q3" s="52" t="str">
        <f>IF(A3&lt;5,IF(_xlfn.MAXIFS(A:A,G:G,G3)&gt;3,5-A3,_xlfn.MAXIFS(A:A,G:G,G3)+1-A3),"")</f>
        <v/>
      </c>
      <c r="R3" s="4">
        <f>MAX(T3,X3)</f>
        <v>50.800000000000004</v>
      </c>
      <c r="S3" s="4">
        <f>MAX(V3,Z3)</f>
        <v>50.5</v>
      </c>
      <c r="T3" s="33">
        <v>50.800000000000004</v>
      </c>
      <c r="U3" s="41">
        <v>13.600000000000001</v>
      </c>
      <c r="V3" s="34">
        <v>50.5</v>
      </c>
      <c r="W3" s="41">
        <v>13.200000000000001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+1,"")))))</f>
        <v/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+1,""))))</f>
        <v>2</v>
      </c>
      <c r="C4" s="36" t="s">
        <v>118</v>
      </c>
      <c r="D4" s="51" t="str">
        <f>IF(E4="","",VLOOKUP(E4,'Coaching Points'!A:B,2,0))</f>
        <v>SK</v>
      </c>
      <c r="E4" s="36" t="s">
        <v>47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1" t="s">
        <v>181</v>
      </c>
      <c r="I4" s="47"/>
      <c r="J4" s="4">
        <f>MAX(R4,S4)+IF(OR(H4="Junior",H4="Senior"),0.0002,IF(OR(H4="L7",H4="L6"),0.0001,0))+MAX(X4,Z4)*0.0000001</f>
        <v>49.800199999999997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2</v>
      </c>
      <c r="Q4" s="52" t="str">
        <f>IF(A4&lt;5,IF(_xlfn.MAXIFS(A:A,G:G,G4)&gt;3,5-A4,_xlfn.MAXIFS(A:A,G:G,G4)+1-A4),"")</f>
        <v/>
      </c>
      <c r="R4" s="4">
        <f>MAX(T4,X4)</f>
        <v>48.5</v>
      </c>
      <c r="S4" s="4">
        <f>MAX(V4,Z4)</f>
        <v>49.8</v>
      </c>
      <c r="T4" s="33">
        <v>48.5</v>
      </c>
      <c r="U4" s="41">
        <v>11.6</v>
      </c>
      <c r="V4" s="34">
        <v>49.8</v>
      </c>
      <c r="W4" s="41">
        <v>11.6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+1,"")))))</f>
        <v/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+1,""))))</f>
        <v>3</v>
      </c>
      <c r="C5" s="36" t="s">
        <v>120</v>
      </c>
      <c r="D5" s="51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1" t="s">
        <v>181</v>
      </c>
      <c r="I5" s="47"/>
      <c r="J5" s="4">
        <f>MAX(R5,S5)+IF(OR(H5="Junior",H5="Senior"),0.0002,IF(OR(H5="L7",H5="L6"),0.0001,0))+MAX(X5,Z5)*0.0000001</f>
        <v>49.200200000000002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4</v>
      </c>
      <c r="Q5" s="52" t="str">
        <f>IF(A5&lt;5,IF(_xlfn.MAXIFS(A:A,G:G,G5)&gt;3,5-A5,_xlfn.MAXIFS(A:A,G:G,G5)+1-A5),"")</f>
        <v/>
      </c>
      <c r="R5" s="4">
        <f>MAX(T5,X5)</f>
        <v>49.2</v>
      </c>
      <c r="S5" s="4">
        <f>MAX(V5,Z5)</f>
        <v>48</v>
      </c>
      <c r="T5" s="33">
        <v>49.2</v>
      </c>
      <c r="U5" s="41">
        <v>11.6</v>
      </c>
      <c r="V5" s="34">
        <v>48</v>
      </c>
      <c r="W5" s="41">
        <v>11.6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+1,"")))))</f>
        <v/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+1,""))))</f>
        <v>4</v>
      </c>
      <c r="C6" s="36" t="s">
        <v>122</v>
      </c>
      <c r="D6" s="51" t="str">
        <f>IF(E6="","",VLOOKUP(E6,'Coaching Points'!A:B,2,0))</f>
        <v>BC</v>
      </c>
      <c r="E6" s="36" t="s">
        <v>43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1" t="s">
        <v>181</v>
      </c>
      <c r="I6" s="47"/>
      <c r="J6" s="4">
        <f>MAX(R6,S6)+IF(OR(H6="Junior",H6="Senior"),0.0002,IF(OR(H6="L7",H6="L6"),0.0001,0))+MAX(X6,Z6)*0.0000001</f>
        <v>48.6402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P6" s="39">
        <v>7</v>
      </c>
      <c r="Q6" s="52" t="str">
        <f>IF(A6&lt;5,IF(_xlfn.MAXIFS(A:A,G:G,G6)&gt;3,5-A6,_xlfn.MAXIFS(A:A,G:G,G6)+1-A6),"")</f>
        <v/>
      </c>
      <c r="R6" s="4">
        <f>MAX(T6,X6)</f>
        <v>48.64</v>
      </c>
      <c r="S6" s="4">
        <f>MAX(V6,Z6)</f>
        <v>42.5</v>
      </c>
      <c r="T6" s="33">
        <v>48.64</v>
      </c>
      <c r="U6" s="41">
        <v>11.6</v>
      </c>
      <c r="V6" s="34">
        <v>42.5</v>
      </c>
      <c r="W6" s="41">
        <v>8.8000000000000007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+1,"")))))</f>
        <v/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+1,""))))</f>
        <v>5</v>
      </c>
      <c r="C7" s="36" t="s">
        <v>121</v>
      </c>
      <c r="D7" s="51" t="str">
        <f>IF(E7="","",VLOOKUP(E7,'Coaching Points'!A:B,2,0))</f>
        <v>BC</v>
      </c>
      <c r="E7" s="36" t="s">
        <v>89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1" t="s">
        <v>181</v>
      </c>
      <c r="I7" s="47"/>
      <c r="J7" s="4">
        <f>MAX(R7,S7)+IF(OR(H7="Junior",H7="Senior"),0.0002,IF(OR(H7="L7",H7="L6"),0.0001,0))+MAX(X7,Z7)*0.0000001</f>
        <v>48.5002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O7" s="39">
        <v>4</v>
      </c>
      <c r="P7" s="39">
        <v>5</v>
      </c>
      <c r="Q7" s="52" t="str">
        <f>IF(A7&lt;5,IF(_xlfn.MAXIFS(A:A,G:G,G7)&gt;3,5-A7,_xlfn.MAXIFS(A:A,G:G,G7)+1-A7),"")</f>
        <v/>
      </c>
      <c r="R7" s="4">
        <f>MAX(T7,X7)</f>
        <v>48.5</v>
      </c>
      <c r="S7" s="4">
        <f>MAX(V7,Z7)</f>
        <v>47.5</v>
      </c>
      <c r="T7" s="33">
        <v>48.5</v>
      </c>
      <c r="U7" s="41">
        <v>11.6</v>
      </c>
      <c r="V7" s="34">
        <v>47.5</v>
      </c>
      <c r="W7" s="41">
        <v>11.6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+1,"")))))</f>
        <v/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+1,""))))</f>
        <v>6</v>
      </c>
      <c r="C8" s="36" t="s">
        <v>119</v>
      </c>
      <c r="D8" s="51" t="str">
        <f>IF(E8="","",VLOOKUP(E8,'Coaching Points'!A:B,2,0))</f>
        <v>BC</v>
      </c>
      <c r="E8" s="36" t="s">
        <v>43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1" t="s">
        <v>181</v>
      </c>
      <c r="I8" s="47"/>
      <c r="J8" s="4">
        <f>MAX(R8,S8)+IF(OR(H8="Junior",H8="Senior"),0.0002,IF(OR(H8="L7",H8="L6"),0.0001,0))+MAX(X8,Z8)*0.0000001</f>
        <v>48.100200000000001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P8" s="39">
        <v>8</v>
      </c>
      <c r="Q8" s="52" t="str">
        <f>IF(A8&lt;5,IF(_xlfn.MAXIFS(A:A,G:G,G8)&gt;3,5-A8,_xlfn.MAXIFS(A:A,G:G,G8)+1-A8),"")</f>
        <v/>
      </c>
      <c r="R8" s="4">
        <f>MAX(T8,X8)</f>
        <v>47</v>
      </c>
      <c r="S8" s="4">
        <f>MAX(V8,Z8)</f>
        <v>48.1</v>
      </c>
      <c r="T8" s="33">
        <v>47</v>
      </c>
      <c r="U8" s="41">
        <v>10.799999999999999</v>
      </c>
      <c r="V8" s="34">
        <v>48.1</v>
      </c>
      <c r="W8" s="41">
        <v>10.799999999999999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+1,"")))))</f>
        <v/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+1,""))))</f>
        <v>7</v>
      </c>
      <c r="C9" s="36" t="s">
        <v>105</v>
      </c>
      <c r="D9" s="51" t="str">
        <f>IF(E9="","",VLOOKUP(E9,'Coaching Points'!A:B,2,0))</f>
        <v>AB</v>
      </c>
      <c r="E9" s="36" t="s">
        <v>29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1" t="s">
        <v>127</v>
      </c>
      <c r="I9" s="47"/>
      <c r="J9" s="4">
        <f>MAX(R9,S9)+IF(OR(H9="Junior",H9="Senior"),0.0002,IF(OR(H9="L7",H9="L6"),0.0001,0))+MAX(X9,Z9)*0.0000001</f>
        <v>47.200100000000006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52" t="str">
        <f>IF(A9&lt;5,IF(_xlfn.MAXIFS(A:A,G:G,G9)&gt;3,5-A9,_xlfn.MAXIFS(A:A,G:G,G9)+1-A9),"")</f>
        <v/>
      </c>
      <c r="R9" s="4">
        <f>MAX(T9,X9)</f>
        <v>46</v>
      </c>
      <c r="S9" s="4">
        <f>MAX(V9,Z9)</f>
        <v>47.2</v>
      </c>
      <c r="T9" s="33">
        <v>46</v>
      </c>
      <c r="U9" s="41">
        <v>10.399999999999999</v>
      </c>
      <c r="V9" s="34">
        <v>47.2</v>
      </c>
      <c r="W9" s="41">
        <v>10.399999999999999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+1,""))))</f>
        <v>8</v>
      </c>
      <c r="C10" s="36" t="s">
        <v>111</v>
      </c>
      <c r="D10" s="51" t="str">
        <f>IF(E10="","",VLOOKUP(E10,'Coaching Points'!A:B,2,0))</f>
        <v>BC</v>
      </c>
      <c r="E10" s="36" t="s">
        <v>43</v>
      </c>
      <c r="F10" s="35">
        <v>2001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1" t="s">
        <v>127</v>
      </c>
      <c r="I10" s="47"/>
      <c r="J10" s="4">
        <f>MAX(R10,S10)+IF(OR(H10="Junior",H10="Senior"),0.0002,IF(OR(H10="L7",H10="L6"),0.0001,0))+MAX(X10,Z10)*0.0000001</f>
        <v>46.000100000000003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Q10" s="52" t="str">
        <f>IF(A10&lt;5,IF(_xlfn.MAXIFS(A:A,G:G,G10)&gt;3,5-A10,_xlfn.MAXIFS(A:A,G:G,G10)+1-A10),"")</f>
        <v/>
      </c>
      <c r="R10" s="4">
        <f>MAX(T10,X10)</f>
        <v>46</v>
      </c>
      <c r="S10" s="4">
        <f>MAX(V10,Z10)</f>
        <v>43.9</v>
      </c>
      <c r="T10" s="33">
        <v>46</v>
      </c>
      <c r="U10" s="41">
        <v>10.399999999999999</v>
      </c>
      <c r="V10" s="34">
        <v>43.9</v>
      </c>
      <c r="W10" s="41">
        <v>7.9999999999999991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+1,""))))</f>
        <v>9</v>
      </c>
      <c r="C11" s="36" t="s">
        <v>106</v>
      </c>
      <c r="D11" s="51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1" t="s">
        <v>127</v>
      </c>
      <c r="I11" s="47"/>
      <c r="J11" s="4">
        <f>MAX(R11,S11)+IF(OR(H11="Junior",H11="Senior"),0.0002,IF(OR(H11="L7",H11="L6"),0.0001,0))+MAX(X11,Z11)*0.0000001</f>
        <v>45.200100000000006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52" t="str">
        <f>IF(A11&lt;5,IF(_xlfn.MAXIFS(A:A,G:G,G11)&gt;3,5-A11,_xlfn.MAXIFS(A:A,G:G,G11)+1-A11),"")</f>
        <v/>
      </c>
      <c r="R11" s="4">
        <f>MAX(T11,X11)</f>
        <v>42.599999999999994</v>
      </c>
      <c r="S11" s="4">
        <f>MAX(V11,Z11)</f>
        <v>45.2</v>
      </c>
      <c r="T11" s="33">
        <v>42.599999999999994</v>
      </c>
      <c r="U11" s="41">
        <v>8.3000000000000007</v>
      </c>
      <c r="V11" s="34">
        <v>45.2</v>
      </c>
      <c r="W11" s="41">
        <v>8.3000000000000007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+1,"")))))</f>
        <v/>
      </c>
      <c r="B12" s="1" t="str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+1,""))))</f>
        <v/>
      </c>
      <c r="C12" s="36" t="s">
        <v>107</v>
      </c>
      <c r="D12" s="51" t="str">
        <f>IF(E12="","",VLOOKUP(E12,'Coaching Points'!A:B,2,0))</f>
        <v>SK</v>
      </c>
      <c r="E12" s="36" t="s">
        <v>47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1" t="s">
        <v>127</v>
      </c>
      <c r="I12" s="47"/>
      <c r="J12" s="4">
        <f>MAX(R12,S12)+IF(OR(H12="Junior",H12="Senior"),0.0002,IF(OR(H12="L7",H12="L6"),0.0001,0))+MAX(X12,Z12)*0.0000001</f>
        <v>44.8001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52" t="str">
        <f>IF(A12&lt;5,IF(_xlfn.MAXIFS(A:A,G:G,G12)&gt;3,5-A12,_xlfn.MAXIFS(A:A,G:G,G12)+1-A12),"")</f>
        <v/>
      </c>
      <c r="R12" s="4">
        <f>MAX(T12,X12)</f>
        <v>41.1</v>
      </c>
      <c r="S12" s="4">
        <f>MAX(V12,Z12)</f>
        <v>44.8</v>
      </c>
      <c r="T12" s="33">
        <v>41.1</v>
      </c>
      <c r="U12" s="41">
        <v>7.1</v>
      </c>
      <c r="V12" s="34">
        <v>44.8</v>
      </c>
      <c r="W12" s="41">
        <v>7.9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+1,""))))</f>
        <v/>
      </c>
      <c r="C13" s="36" t="s">
        <v>92</v>
      </c>
      <c r="D13" s="51" t="str">
        <f>IF(E13="","",VLOOKUP(E13,'Coaching Points'!A:B,2,0))</f>
        <v>BC</v>
      </c>
      <c r="E13" s="36" t="s">
        <v>93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1" t="s">
        <v>125</v>
      </c>
      <c r="I13" s="47"/>
      <c r="J13" s="4">
        <f>MAX(R13,S13)+IF(OR(H13="Junior",H13="Senior"),0.0002,IF(OR(H13="L7",H13="L6"),0.0001,0))+MAX(X13,Z13)*0.0000001</f>
        <v>44.599999999999994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52" t="str">
        <f>IF(A13&lt;5,IF(_xlfn.MAXIFS(A:A,G:G,G13)&gt;3,5-A13,_xlfn.MAXIFS(A:A,G:G,G13)+1-A13),"")</f>
        <v/>
      </c>
      <c r="R13" s="4">
        <f>MAX(T13,X13)</f>
        <v>44.599999999999994</v>
      </c>
      <c r="S13" s="4">
        <f>MAX(V13,Z13)</f>
        <v>41.5</v>
      </c>
      <c r="T13" s="33">
        <v>44.599999999999994</v>
      </c>
      <c r="U13" s="41">
        <v>7.9</v>
      </c>
      <c r="V13" s="34">
        <v>41.5</v>
      </c>
      <c r="W13" s="41">
        <v>5.5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+1,""))))</f>
        <v/>
      </c>
      <c r="C14" s="36" t="s">
        <v>108</v>
      </c>
      <c r="D14" s="51" t="str">
        <f>IF(E14="","",VLOOKUP(E14,'Coaching Points'!A:B,2,0))</f>
        <v>QC</v>
      </c>
      <c r="E14" s="36" t="s">
        <v>70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1" t="s">
        <v>127</v>
      </c>
      <c r="I14" s="47"/>
      <c r="J14" s="4">
        <f>MAX(R14,S14)+IF(OR(H14="Junior",H14="Senior"),0.0002,IF(OR(H14="L7",H14="L6"),0.0001,0))+MAX(X14,Z14)*0.0000001</f>
        <v>44.100099999999998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52" t="str">
        <f>IF(A14&lt;5,IF(_xlfn.MAXIFS(A:A,G:G,G14)&gt;3,5-A14,_xlfn.MAXIFS(A:A,G:G,G14)+1-A14),"")</f>
        <v/>
      </c>
      <c r="R14" s="4">
        <f>MAX(T14,X14)</f>
        <v>43.599999999999994</v>
      </c>
      <c r="S14" s="4">
        <f>MAX(V14,Z14)</f>
        <v>44.099999999999994</v>
      </c>
      <c r="T14" s="33">
        <v>43.599999999999994</v>
      </c>
      <c r="U14" s="41">
        <v>7.9</v>
      </c>
      <c r="V14" s="34">
        <v>44.099999999999994</v>
      </c>
      <c r="W14" s="41">
        <v>7.9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+1,""))))</f>
        <v/>
      </c>
      <c r="C15" s="36" t="s">
        <v>109</v>
      </c>
      <c r="D15" s="51" t="str">
        <f>IF(E15="","",VLOOKUP(E15,'Coaching Points'!A:B,2,0))</f>
        <v>AB</v>
      </c>
      <c r="E15" s="36" t="s">
        <v>29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1" t="s">
        <v>127</v>
      </c>
      <c r="I15" s="47"/>
      <c r="J15" s="4">
        <f>MAX(R15,S15)+IF(OR(H15="Junior",H15="Senior"),0.0002,IF(OR(H15="L7",H15="L6"),0.0001,0))+MAX(X15,Z15)*0.0000001</f>
        <v>44.000100000000003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52" t="str">
        <f>IF(A15&lt;5,IF(_xlfn.MAXIFS(A:A,G:G,G15)&gt;3,5-A15,_xlfn.MAXIFS(A:A,G:G,G15)+1-A15),"")</f>
        <v/>
      </c>
      <c r="R15" s="4">
        <f>MAX(T15,X15)</f>
        <v>43.900000000000006</v>
      </c>
      <c r="S15" s="4">
        <f>MAX(V15,Z15)</f>
        <v>44</v>
      </c>
      <c r="T15" s="33">
        <v>43.900000000000006</v>
      </c>
      <c r="U15" s="41">
        <v>7.1</v>
      </c>
      <c r="V15" s="34">
        <v>44</v>
      </c>
      <c r="W15" s="41">
        <v>6.6999999999999993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+1,""))))</f>
        <v/>
      </c>
      <c r="C16" s="36" t="s">
        <v>110</v>
      </c>
      <c r="D16" s="51" t="str">
        <f>IF(E16="","",VLOOKUP(E16,'Coaching Points'!A:B,2,0))</f>
        <v>BC</v>
      </c>
      <c r="E16" s="36" t="s">
        <v>48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1" t="s">
        <v>127</v>
      </c>
      <c r="I16" s="47"/>
      <c r="J16" s="4">
        <f>MAX(R16,S16)+IF(OR(H16="Junior",H16="Senior"),0.0002,IF(OR(H16="L7",H16="L6"),0.0001,0))+MAX(X16,Z16)*0.0000001</f>
        <v>43.900100000000009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52" t="str">
        <f>IF(A16&lt;5,IF(_xlfn.MAXIFS(A:A,G:G,G16)&gt;3,5-A16,_xlfn.MAXIFS(A:A,G:G,G16)+1-A16),"")</f>
        <v/>
      </c>
      <c r="R16" s="4">
        <f>MAX(T16,X16)</f>
        <v>43.8</v>
      </c>
      <c r="S16" s="4">
        <f>MAX(V16,Z16)</f>
        <v>43.900000000000006</v>
      </c>
      <c r="T16" s="33">
        <v>43.8</v>
      </c>
      <c r="U16" s="41">
        <v>8</v>
      </c>
      <c r="V16" s="34">
        <v>43.900000000000006</v>
      </c>
      <c r="W16" s="41">
        <v>8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+1,""))))</f>
        <v/>
      </c>
      <c r="C17" s="36" t="s">
        <v>83</v>
      </c>
      <c r="D17" s="51" t="str">
        <f>IF(E17="","",VLOOKUP(E17,'Coaching Points'!A:B,2,0))</f>
        <v>SK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1" t="s">
        <v>125</v>
      </c>
      <c r="I17" s="47"/>
      <c r="J17" s="4">
        <f>MAX(R17,S17)+IF(OR(H17="Junior",H17="Senior"),0.0002,IF(OR(H17="L7",H17="L6"),0.0001,0))+MAX(X17,Z17)*0.0000001</f>
        <v>43.099999999999994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52" t="str">
        <f>IF(A17&lt;5,IF(_xlfn.MAXIFS(A:A,G:G,G17)&gt;3,5-A17,_xlfn.MAXIFS(A:A,G:G,G17)+1-A17),"")</f>
        <v/>
      </c>
      <c r="R17" s="4">
        <f>MAX(T17,X17)</f>
        <v>42.5</v>
      </c>
      <c r="S17" s="4">
        <f>MAX(V17,Z17)</f>
        <v>43.099999999999994</v>
      </c>
      <c r="T17" s="33">
        <v>42.5</v>
      </c>
      <c r="U17" s="41">
        <v>6.3</v>
      </c>
      <c r="V17" s="34">
        <v>43.099999999999994</v>
      </c>
      <c r="W17" s="41">
        <v>6.4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+1,""))))</f>
        <v/>
      </c>
      <c r="C18" s="36" t="s">
        <v>84</v>
      </c>
      <c r="D18" s="51" t="str">
        <f>IF(E18="","",VLOOKUP(E18,'Coaching Points'!A:B,2,0))</f>
        <v>BC</v>
      </c>
      <c r="E18" s="36" t="s">
        <v>85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1" t="s">
        <v>125</v>
      </c>
      <c r="I18" s="47"/>
      <c r="J18" s="4">
        <f>MAX(R18,S18)+IF(OR(H18="Junior",H18="Senior"),0.0002,IF(OR(H18="L7",H18="L6"),0.0001,0))+MAX(X18,Z18)*0.0000001</f>
        <v>42.9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52" t="str">
        <f>IF(A18&lt;5,IF(_xlfn.MAXIFS(A:A,G:G,G18)&gt;3,5-A18,_xlfn.MAXIFS(A:A,G:G,G18)+1-A18),"")</f>
        <v/>
      </c>
      <c r="R18" s="4">
        <f>MAX(T18,X18)</f>
        <v>40.799999999999997</v>
      </c>
      <c r="S18" s="4">
        <f>MAX(V18,Z18)</f>
        <v>42.9</v>
      </c>
      <c r="T18" s="33">
        <v>40.799999999999997</v>
      </c>
      <c r="U18" s="41">
        <v>6.4</v>
      </c>
      <c r="V18" s="34">
        <v>42.9</v>
      </c>
      <c r="W18" s="41">
        <v>6.3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+1,""))))</f>
        <v/>
      </c>
      <c r="C19" s="36" t="s">
        <v>86</v>
      </c>
      <c r="D19" s="51" t="str">
        <f>IF(E19="","",VLOOKUP(E19,'Coaching Points'!A:B,2,0))</f>
        <v>BC</v>
      </c>
      <c r="E19" s="36" t="s">
        <v>48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1" t="s">
        <v>125</v>
      </c>
      <c r="I19" s="47"/>
      <c r="J19" s="4">
        <f>MAX(R19,S19)+IF(OR(H19="Junior",H19="Senior"),0.0002,IF(OR(H19="L7",H19="L6"),0.0001,0))+MAX(X19,Z19)*0.0000001</f>
        <v>42.86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52" t="str">
        <f>IF(A19&lt;5,IF(_xlfn.MAXIFS(A:A,G:G,G19)&gt;3,5-A19,_xlfn.MAXIFS(A:A,G:G,G19)+1-A19),"")</f>
        <v/>
      </c>
      <c r="R19" s="4">
        <f>MAX(T19,X19)</f>
        <v>42.7</v>
      </c>
      <c r="S19" s="4">
        <f>MAX(V19,Z19)</f>
        <v>42.86</v>
      </c>
      <c r="T19" s="33">
        <v>42.7</v>
      </c>
      <c r="U19" s="41">
        <v>6.3</v>
      </c>
      <c r="V19" s="34">
        <v>42.86</v>
      </c>
      <c r="W19" s="41">
        <v>6.6999999999999993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+1,""))))</f>
        <v/>
      </c>
      <c r="C20" s="36" t="s">
        <v>112</v>
      </c>
      <c r="D20" s="51" t="str">
        <f>IF(E20="","",VLOOKUP(E20,'Coaching Points'!A:B,2,0))</f>
        <v>BC</v>
      </c>
      <c r="E20" s="36" t="s">
        <v>38</v>
      </c>
      <c r="F20" s="35">
        <v>2001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1" t="s">
        <v>127</v>
      </c>
      <c r="I20" s="47"/>
      <c r="J20" s="4">
        <f>MAX(R20,S20)+IF(OR(H20="Junior",H20="Senior"),0.0002,IF(OR(H20="L7",H20="L6"),0.0001,0))+MAX(X20,Z20)*0.0000001</f>
        <v>42.800100000000008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52" t="str">
        <f>IF(A20&lt;5,IF(_xlfn.MAXIFS(A:A,G:G,G20)&gt;3,5-A20,_xlfn.MAXIFS(A:A,G:G,G20)+1-A20),"")</f>
        <v/>
      </c>
      <c r="R20" s="4">
        <f>MAX(T20,X20)</f>
        <v>42.800000000000004</v>
      </c>
      <c r="S20" s="4">
        <f>MAX(V20,Z20)</f>
        <v>41.7</v>
      </c>
      <c r="T20" s="33">
        <v>42.800000000000004</v>
      </c>
      <c r="U20" s="41">
        <v>5.7</v>
      </c>
      <c r="V20" s="34">
        <v>41.7</v>
      </c>
      <c r="W20" s="41">
        <v>5.5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+1,""))))</f>
        <v/>
      </c>
      <c r="C21" s="36" t="s">
        <v>88</v>
      </c>
      <c r="D21" s="51" t="str">
        <f>IF(E21="","",VLOOKUP(E21,'Coaching Points'!A:B,2,0))</f>
        <v>BC</v>
      </c>
      <c r="E21" s="36" t="s">
        <v>89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1" t="s">
        <v>125</v>
      </c>
      <c r="I21" s="47"/>
      <c r="J21" s="4">
        <f>MAX(R21,S21)+IF(OR(H21="Junior",H21="Senior"),0.0002,IF(OR(H21="L7",H21="L6"),0.0001,0))+MAX(X21,Z21)*0.0000001</f>
        <v>42.8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52" t="str">
        <f>IF(A21&lt;5,IF(_xlfn.MAXIFS(A:A,G:G,G21)&gt;3,5-A21,_xlfn.MAXIFS(A:A,G:G,G21)+1-A21),"")</f>
        <v/>
      </c>
      <c r="R21" s="4">
        <f>MAX(T21,X21)</f>
        <v>42.8</v>
      </c>
      <c r="S21" s="4">
        <f>MAX(V21,Z21)</f>
        <v>41.900000000000006</v>
      </c>
      <c r="T21" s="33">
        <v>42.8</v>
      </c>
      <c r="U21" s="41">
        <v>5.8</v>
      </c>
      <c r="V21" s="34">
        <v>41.900000000000006</v>
      </c>
      <c r="W21" s="41">
        <v>5.6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+1,""))))</f>
        <v/>
      </c>
      <c r="C22" s="36" t="s">
        <v>95</v>
      </c>
      <c r="D22" s="51" t="str">
        <f>IF(E22="","",VLOOKUP(E22,'Coaching Points'!A:B,2,0))</f>
        <v>ON</v>
      </c>
      <c r="E22" s="36" t="s">
        <v>49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1" t="s">
        <v>125</v>
      </c>
      <c r="I22" s="47"/>
      <c r="J22" s="4">
        <f>MAX(R22,S22)+IF(OR(H22="Junior",H22="Senior"),0.0002,IF(OR(H22="L7",H22="L6"),0.0001,0))+MAX(X22,Z22)*0.0000001</f>
        <v>42.400000000000006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52" t="str">
        <f>IF(A22&lt;5,IF(_xlfn.MAXIFS(A:A,G:G,G22)&gt;3,5-A22,_xlfn.MAXIFS(A:A,G:G,G22)+1-A22),"")</f>
        <v/>
      </c>
      <c r="R22" s="4">
        <f>MAX(T22,X22)</f>
        <v>42.400000000000006</v>
      </c>
      <c r="S22" s="4">
        <f>MAX(V22,Z22)</f>
        <v>41.2</v>
      </c>
      <c r="T22" s="33">
        <v>42.400000000000006</v>
      </c>
      <c r="U22" s="41">
        <v>5.3</v>
      </c>
      <c r="V22" s="34">
        <v>41.2</v>
      </c>
      <c r="W22" s="41">
        <v>4.8000000000000007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+1,""))))</f>
        <v/>
      </c>
      <c r="C23" s="36" t="s">
        <v>94</v>
      </c>
      <c r="D23" s="51" t="str">
        <f>IF(E23="","",VLOOKUP(E23,'Coaching Points'!A:B,2,0))</f>
        <v>NB</v>
      </c>
      <c r="E23" s="36" t="s">
        <v>50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1" t="s">
        <v>125</v>
      </c>
      <c r="I23" s="47"/>
      <c r="J23" s="4">
        <f>MAX(R23,S23)+IF(OR(H23="Junior",H23="Senior"),0.0002,IF(OR(H23="L7",H23="L6"),0.0001,0))+MAX(X23,Z23)*0.0000001</f>
        <v>42.36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52" t="str">
        <f>IF(A23&lt;5,IF(_xlfn.MAXIFS(A:A,G:G,G23)&gt;3,5-A23,_xlfn.MAXIFS(A:A,G:G,G23)+1-A23),"")</f>
        <v/>
      </c>
      <c r="R23" s="4">
        <f>MAX(T23,X23)</f>
        <v>42.36</v>
      </c>
      <c r="S23" s="4">
        <f>MAX(V23,Z23)</f>
        <v>41.5</v>
      </c>
      <c r="T23" s="33">
        <v>42.36</v>
      </c>
      <c r="U23" s="41">
        <v>5.8</v>
      </c>
      <c r="V23" s="34">
        <v>41.5</v>
      </c>
      <c r="W23" s="41">
        <v>4.2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+1,""))))</f>
        <v/>
      </c>
      <c r="C24" s="36" t="s">
        <v>87</v>
      </c>
      <c r="D24" s="51" t="str">
        <f>IF(E24="","",VLOOKUP(E24,'Coaching Points'!A:B,2,0))</f>
        <v>SK</v>
      </c>
      <c r="E24" s="36" t="s">
        <v>47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1" t="s">
        <v>125</v>
      </c>
      <c r="I24" s="47"/>
      <c r="J24" s="4">
        <f>MAX(R24,S24)+IF(OR(H24="Junior",H24="Senior"),0.0002,IF(OR(H24="L7",H24="L6"),0.0001,0))+MAX(X24,Z24)*0.0000001</f>
        <v>42.3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52" t="str">
        <f>IF(A24&lt;5,IF(_xlfn.MAXIFS(A:A,G:G,G24)&gt;3,5-A24,_xlfn.MAXIFS(A:A,G:G,G24)+1-A24),"")</f>
        <v/>
      </c>
      <c r="R24" s="4">
        <f>MAX(T24,X24)</f>
        <v>42.3</v>
      </c>
      <c r="S24" s="4">
        <f>MAX(V24,Z24)</f>
        <v>42.2</v>
      </c>
      <c r="T24" s="33">
        <v>42.3</v>
      </c>
      <c r="U24" s="41">
        <v>4.8000000000000007</v>
      </c>
      <c r="V24" s="34">
        <v>42.2</v>
      </c>
      <c r="W24" s="41">
        <v>5.1999999999999993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+1,""))))</f>
        <v/>
      </c>
      <c r="C25" s="36" t="s">
        <v>113</v>
      </c>
      <c r="D25" s="51" t="str">
        <f>IF(E25="","",VLOOKUP(E25,'Coaching Points'!A:B,2,0))</f>
        <v>QC</v>
      </c>
      <c r="E25" s="36" t="s">
        <v>114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1" t="s">
        <v>127</v>
      </c>
      <c r="I25" s="47"/>
      <c r="J25" s="4">
        <f>MAX(R25,S25)+IF(OR(H25="Junior",H25="Senior"),0.0002,IF(OR(H25="L7",H25="L6"),0.0001,0))+MAX(X25,Z25)*0.0000001</f>
        <v>41.900100000000002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52" t="str">
        <f>IF(A25&lt;5,IF(_xlfn.MAXIFS(A:A,G:G,G25)&gt;3,5-A25,_xlfn.MAXIFS(A:A,G:G,G25)+1-A25),"")</f>
        <v/>
      </c>
      <c r="R25" s="4">
        <f>MAX(T25,X25)</f>
        <v>41.9</v>
      </c>
      <c r="S25" s="4">
        <f>MAX(V25,Z25)</f>
        <v>0</v>
      </c>
      <c r="T25" s="33">
        <v>41.9</v>
      </c>
      <c r="U25" s="41">
        <v>5.9</v>
      </c>
      <c r="V25" s="34">
        <v>0</v>
      </c>
      <c r="W25" s="41">
        <v>0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+1,""))))</f>
        <v/>
      </c>
      <c r="C26" s="36" t="s">
        <v>90</v>
      </c>
      <c r="D26" s="51" t="str">
        <f>IF(E26="","",VLOOKUP(E26,'Coaching Points'!A:B,2,0))</f>
        <v>BC</v>
      </c>
      <c r="E26" s="36" t="s">
        <v>43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1" t="s">
        <v>125</v>
      </c>
      <c r="I26" s="47"/>
      <c r="J26" s="4">
        <f>MAX(R26,S26)+IF(OR(H26="Junior",H26="Senior"),0.0002,IF(OR(H26="L7",H26="L6"),0.0001,0))+MAX(X26,Z26)*0.0000001</f>
        <v>41.84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52" t="str">
        <f>IF(A26&lt;5,IF(_xlfn.MAXIFS(A:A,G:G,G26)&gt;3,5-A26,_xlfn.MAXIFS(A:A,G:G,G26)+1-A26),"")</f>
        <v/>
      </c>
      <c r="R26" s="4">
        <f>MAX(T26,X26)</f>
        <v>41.4</v>
      </c>
      <c r="S26" s="4">
        <f>MAX(V26,Z26)</f>
        <v>41.84</v>
      </c>
      <c r="T26" s="33">
        <v>41.4</v>
      </c>
      <c r="U26" s="41">
        <v>5.8</v>
      </c>
      <c r="V26" s="34">
        <v>41.84</v>
      </c>
      <c r="W26" s="41">
        <v>5.6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+1,""))))</f>
        <v/>
      </c>
      <c r="C27" s="36" t="s">
        <v>91</v>
      </c>
      <c r="D27" s="51" t="str">
        <f>IF(E27="","",VLOOKUP(E27,'Coaching Points'!A:B,2,0))</f>
        <v>BC</v>
      </c>
      <c r="E27" s="36" t="s">
        <v>43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1" t="s">
        <v>125</v>
      </c>
      <c r="I27" s="47"/>
      <c r="J27" s="4">
        <f>MAX(R27,S27)+IF(OR(H27="Junior",H27="Senior"),0.0002,IF(OR(H27="L7",H27="L6"),0.0001,0))+MAX(X27,Z27)*0.0000001</f>
        <v>41.8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52" t="str">
        <f>IF(A27&lt;5,IF(_xlfn.MAXIFS(A:A,G:G,G27)&gt;3,5-A27,_xlfn.MAXIFS(A:A,G:G,G27)+1-A27),"")</f>
        <v/>
      </c>
      <c r="R27" s="4">
        <f>MAX(T27,X27)</f>
        <v>41.58</v>
      </c>
      <c r="S27" s="4">
        <f>MAX(V27,Z27)</f>
        <v>41.8</v>
      </c>
      <c r="T27" s="33">
        <v>41.58</v>
      </c>
      <c r="U27" s="41">
        <v>5.8</v>
      </c>
      <c r="V27" s="34">
        <v>41.8</v>
      </c>
      <c r="W27" s="41">
        <v>5.0999999999999996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+1,""))))</f>
        <v/>
      </c>
      <c r="C28" s="36" t="s">
        <v>123</v>
      </c>
      <c r="D28" s="51" t="str">
        <f>IF(E28="","",VLOOKUP(E28,'Coaching Points'!A:B,2,0))</f>
        <v>BC</v>
      </c>
      <c r="E28" s="36" t="s">
        <v>43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1" t="s">
        <v>181</v>
      </c>
      <c r="I28" s="47"/>
      <c r="J28" s="4">
        <f>MAX(R28,S28)+IF(OR(H28="Junior",H28="Senior"),0.0002,IF(OR(H28="L7",H28="L6"),0.0001,0))+MAX(X28,Z28)*0.0000001</f>
        <v>40.5002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52" t="str">
        <f>IF(A28&lt;5,IF(_xlfn.MAXIFS(A:A,G:G,G28)&gt;3,5-A28,_xlfn.MAXIFS(A:A,G:G,G28)+1-A28),"")</f>
        <v/>
      </c>
      <c r="R28" s="4">
        <f>MAX(T28,X28)</f>
        <v>40.5</v>
      </c>
      <c r="S28" s="4">
        <f>MAX(V28,Z28)</f>
        <v>40.299999999999997</v>
      </c>
      <c r="T28" s="33">
        <v>40.5</v>
      </c>
      <c r="U28" s="41">
        <v>5.1999999999999993</v>
      </c>
      <c r="V28" s="34">
        <v>40.299999999999997</v>
      </c>
      <c r="W28" s="41">
        <v>5.1999999999999993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+1,""))))</f>
        <v/>
      </c>
      <c r="C29" s="36" t="s">
        <v>96</v>
      </c>
      <c r="D29" s="51" t="str">
        <f>IF(E29="","",VLOOKUP(E29,'Coaching Points'!A:B,2,0))</f>
        <v>SK</v>
      </c>
      <c r="E29" s="36" t="s">
        <v>79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1" t="s">
        <v>125</v>
      </c>
      <c r="I29" s="47"/>
      <c r="J29" s="4">
        <f>MAX(R29,S29)+IF(OR(H29="Junior",H29="Senior"),0.0002,IF(OR(H29="L7",H29="L6"),0.0001,0))+MAX(X29,Z29)*0.0000001</f>
        <v>39.799999999999997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52" t="str">
        <f>IF(A29&lt;5,IF(_xlfn.MAXIFS(A:A,G:G,G29)&gt;3,5-A29,_xlfn.MAXIFS(A:A,G:G,G29)+1-A29),"")</f>
        <v/>
      </c>
      <c r="R29" s="4">
        <f>MAX(T29,X29)</f>
        <v>39.799999999999997</v>
      </c>
      <c r="S29" s="4">
        <f>MAX(V29,Z29)</f>
        <v>0</v>
      </c>
      <c r="T29" s="33">
        <v>39.799999999999997</v>
      </c>
      <c r="U29" s="41">
        <v>2.8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+1,""))))</f>
        <v/>
      </c>
      <c r="C30" s="36" t="s">
        <v>97</v>
      </c>
      <c r="D30" s="51" t="str">
        <f>IF(E30="","",VLOOKUP(E30,'Coaching Points'!A:B,2,0))</f>
        <v>AB</v>
      </c>
      <c r="E30" s="36" t="s">
        <v>98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1" t="s">
        <v>125</v>
      </c>
      <c r="I30" s="47"/>
      <c r="J30" s="4">
        <f>MAX(R30,S30)+IF(OR(H30="Junior",H30="Senior"),0.0002,IF(OR(H30="L7",H30="L6"),0.0001,0))+MAX(X30,Z30)*0.0000001</f>
        <v>39.700000000000003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52" t="str">
        <f>IF(A30&lt;5,IF(_xlfn.MAXIFS(A:A,G:G,G30)&gt;3,5-A30,_xlfn.MAXIFS(A:A,G:G,G30)+1-A30),"")</f>
        <v/>
      </c>
      <c r="R30" s="4">
        <f>MAX(T30,X30)</f>
        <v>39.700000000000003</v>
      </c>
      <c r="S30" s="4">
        <f>MAX(V30,Z30)</f>
        <v>0</v>
      </c>
      <c r="T30" s="33">
        <v>39.700000000000003</v>
      </c>
      <c r="U30" s="41">
        <v>4.2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+1,""))))</f>
        <v/>
      </c>
      <c r="C31" s="36" t="s">
        <v>115</v>
      </c>
      <c r="D31" s="51" t="str">
        <f>IF(E31="","",VLOOKUP(E31,'Coaching Points'!A:B,2,0))</f>
        <v>BC</v>
      </c>
      <c r="E31" s="36" t="s">
        <v>38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1" t="s">
        <v>127</v>
      </c>
      <c r="I31" s="47"/>
      <c r="J31" s="4">
        <f>MAX(R31,S31)+IF(OR(H31="Junior",H31="Senior"),0.0002,IF(OR(H31="L7",H31="L6"),0.0001,0))+MAX(X31,Z31)*0.0000001</f>
        <v>39.400100000000002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52" t="str">
        <f>IF(A31&lt;5,IF(_xlfn.MAXIFS(A:A,G:G,G31)&gt;3,5-A31,_xlfn.MAXIFS(A:A,G:G,G31)+1-A31),"")</f>
        <v/>
      </c>
      <c r="R31" s="4">
        <f>MAX(T31,X31)</f>
        <v>39.4</v>
      </c>
      <c r="S31" s="4">
        <f>MAX(V31,Z31)</f>
        <v>0</v>
      </c>
      <c r="T31" s="33">
        <v>39.4</v>
      </c>
      <c r="U31" s="41">
        <v>3.5999999999999996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+1,"")))))</f>
        <v/>
      </c>
      <c r="B32" s="1" t="str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+1,""))))</f>
        <v/>
      </c>
      <c r="C32" s="36" t="s">
        <v>116</v>
      </c>
      <c r="D32" s="51" t="str">
        <f>IF(E32="","",VLOOKUP(E32,'Coaching Points'!A:B,2,0))</f>
        <v>AB</v>
      </c>
      <c r="E32" s="36" t="s">
        <v>29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1" t="s">
        <v>127</v>
      </c>
      <c r="I32" s="47"/>
      <c r="J32" s="4">
        <f>MAX(R32,S32)+IF(OR(H32="Junior",H32="Senior"),0.0002,IF(OR(H32="L7",H32="L6"),0.0001,0))+MAX(X32,Z32)*0.0000001</f>
        <v>36.200100000000006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52" t="str">
        <f>IF(A32&lt;5,IF(_xlfn.MAXIFS(A:A,G:G,G32)&gt;3,5-A32,_xlfn.MAXIFS(A:A,G:G,G32)+1-A32),"")</f>
        <v/>
      </c>
      <c r="R32" s="4">
        <f>MAX(T32,X32)</f>
        <v>36.200000000000003</v>
      </c>
      <c r="S32" s="4">
        <f>MAX(V32,Z32)</f>
        <v>0</v>
      </c>
      <c r="T32" s="33">
        <v>36.200000000000003</v>
      </c>
      <c r="U32" s="41">
        <v>4.4000000000000004</v>
      </c>
      <c r="V32" s="34">
        <v>0</v>
      </c>
      <c r="W32" s="41">
        <v>0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+1,"")))))</f>
        <v/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+1,""))))</f>
        <v>1</v>
      </c>
      <c r="C33" s="36" t="s">
        <v>67</v>
      </c>
      <c r="D33" s="51" t="str">
        <f>IF(E33="","",VLOOKUP(E33,'Coaching Points'!A:B,2,0))</f>
        <v>AB</v>
      </c>
      <c r="E33" s="36" t="s">
        <v>68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15-16</v>
      </c>
      <c r="H33" s="1" t="s">
        <v>124</v>
      </c>
      <c r="I33" s="47"/>
      <c r="J33" s="4">
        <f>MAX(R33,S33)+IF(OR(H33="Junior",H33="Senior"),0.0002,IF(OR(H33="L7",H33="L6"),0.0001,0))+MAX(X33,Z33)*0.0000001</f>
        <v>46.600199999999994</v>
      </c>
      <c r="K33" s="3" t="str">
        <f>IF(G33="Not Age Eligible","",IF(MAX(T33,V33,X33,Z33)&gt;=LOOKUP(G33,'Qualifying Scores'!$A$4:$A$7,'Qualifying Scores'!$G$4:$G$7),"P",""))</f>
        <v>P</v>
      </c>
      <c r="L33" s="3" t="str">
        <f>IF(G33="Not Age Eligible","",IF(MAX(U33,W33,Y33,AA33)&gt;=LOOKUP(G33,'Qualifying Scores'!$A$10:$A$13,'Qualifying Scores'!$G$10:$G$13),"P",""))</f>
        <v>P</v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>P</v>
      </c>
      <c r="N33" s="39">
        <v>2</v>
      </c>
      <c r="Q33" s="52" t="str">
        <f>IF(A33&lt;5,IF(_xlfn.MAXIFS(A:A,G:G,G33)&gt;3,5-A33,_xlfn.MAXIFS(A:A,G:G,G33)+1-A33),"")</f>
        <v/>
      </c>
      <c r="R33" s="4">
        <f>MAX(T33,X33)</f>
        <v>46.599999999999994</v>
      </c>
      <c r="S33" s="4">
        <f>MAX(V33,Z33)</f>
        <v>46.22</v>
      </c>
      <c r="T33" s="33">
        <v>46.599999999999994</v>
      </c>
      <c r="U33" s="41">
        <v>10.399999999999999</v>
      </c>
      <c r="V33" s="34">
        <v>46.22</v>
      </c>
      <c r="W33" s="41">
        <v>10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+1,"")))))</f>
        <v/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+1,""))))</f>
        <v>2</v>
      </c>
      <c r="C34" s="36" t="s">
        <v>102</v>
      </c>
      <c r="D34" s="51" t="str">
        <f>IF(E34="","",VLOOKUP(E34,'Coaching Points'!A:B,2,0))</f>
        <v>BC</v>
      </c>
      <c r="E34" s="36" t="s">
        <v>48</v>
      </c>
      <c r="F34" s="35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15-16</v>
      </c>
      <c r="H34" s="1" t="s">
        <v>126</v>
      </c>
      <c r="I34" s="47"/>
      <c r="J34" s="4">
        <f>MAX(R34,S34)+IF(OR(H34="Junior",H34="Senior"),0.0002,IF(OR(H34="L7",H34="L6"),0.0001,0))+MAX(X34,Z34)*0.0000001</f>
        <v>47.000100000000003</v>
      </c>
      <c r="K34" s="3" t="str">
        <f>IF(G34="Not Age Eligible","",IF(MAX(T34,V34,X34,Z34)&gt;=LOOKUP(G34,'Qualifying Scores'!$A$4:$A$7,'Qualifying Scores'!$G$4:$G$7),"P",""))</f>
        <v>P</v>
      </c>
      <c r="L34" s="3" t="str">
        <f>IF(G34="Not Age Eligible","",IF(MAX(U34,W34,Y34,AA34)&gt;=LOOKUP(G34,'Qualifying Scores'!$A$10:$A$13,'Qualifying Scores'!$G$10:$G$13),"P",""))</f>
        <v>P</v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>P</v>
      </c>
      <c r="Q34" s="52" t="str">
        <f>IF(A34&lt;5,IF(_xlfn.MAXIFS(A:A,G:G,G34)&gt;3,5-A34,_xlfn.MAXIFS(A:A,G:G,G34)+1-A34),"")</f>
        <v/>
      </c>
      <c r="R34" s="4">
        <f>MAX(T34,X34)</f>
        <v>47</v>
      </c>
      <c r="S34" s="4">
        <f>MAX(V34,Z34)</f>
        <v>46.6</v>
      </c>
      <c r="T34" s="33">
        <v>47</v>
      </c>
      <c r="U34" s="41">
        <v>9.6</v>
      </c>
      <c r="V34" s="34">
        <v>46.6</v>
      </c>
      <c r="W34" s="41">
        <v>9.1999999999999993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+1,""))))</f>
        <v/>
      </c>
      <c r="C35" s="36" t="s">
        <v>103</v>
      </c>
      <c r="D35" s="51" t="str">
        <f>IF(E35="","",VLOOKUP(E35,'Coaching Points'!A:B,2,0))</f>
        <v>AB</v>
      </c>
      <c r="E35" s="36" t="s">
        <v>29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15-16</v>
      </c>
      <c r="H35" s="1" t="s">
        <v>126</v>
      </c>
      <c r="I35" s="47"/>
      <c r="J35" s="4">
        <f>MAX(R35,S35)+IF(OR(H35="Junior",H35="Senior"),0.0002,IF(OR(H35="L7",H35="L6"),0.0001,0))+MAX(X35,Z35)*0.0000001</f>
        <v>44.300100000000008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>P</v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52" t="str">
        <f>IF(A35&lt;5,IF(_xlfn.MAXIFS(A:A,G:G,G35)&gt;3,5-A35,_xlfn.MAXIFS(A:A,G:G,G35)+1-A35),"")</f>
        <v/>
      </c>
      <c r="R35" s="4">
        <f>MAX(T35,X35)</f>
        <v>44.300000000000004</v>
      </c>
      <c r="S35" s="4">
        <f>MAX(V35,Z35)</f>
        <v>44.3</v>
      </c>
      <c r="T35" s="33">
        <v>44.300000000000004</v>
      </c>
      <c r="U35" s="41">
        <v>6.8999999999999995</v>
      </c>
      <c r="V35" s="34">
        <v>44.3</v>
      </c>
      <c r="W35" s="41">
        <v>7.4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+1,""))))</f>
        <v/>
      </c>
      <c r="C36" s="36" t="s">
        <v>76</v>
      </c>
      <c r="D36" s="51" t="str">
        <f>IF(E36="","",VLOOKUP(E36,'Coaching Points'!A:B,2,0))</f>
        <v>BC</v>
      </c>
      <c r="E36" s="36" t="s">
        <v>48</v>
      </c>
      <c r="F36" s="35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15-16</v>
      </c>
      <c r="H36" s="1" t="s">
        <v>125</v>
      </c>
      <c r="I36" s="47"/>
      <c r="J36" s="4">
        <f>MAX(R36,S36)+IF(OR(H36="Junior",H36="Senior"),0.0002,IF(OR(H36="L7",H36="L6"),0.0001,0))+MAX(X36,Z36)*0.0000001</f>
        <v>43.7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52" t="str">
        <f>IF(A36&lt;5,IF(_xlfn.MAXIFS(A:A,G:G,G36)&gt;3,5-A36,_xlfn.MAXIFS(A:A,G:G,G36)+1-A36),"")</f>
        <v/>
      </c>
      <c r="R36" s="4">
        <f>MAX(T36,X36)</f>
        <v>43.7</v>
      </c>
      <c r="S36" s="4">
        <f>MAX(V36,Z36)</f>
        <v>42.199999999999996</v>
      </c>
      <c r="T36" s="33">
        <v>43.7</v>
      </c>
      <c r="U36" s="41">
        <v>6.2</v>
      </c>
      <c r="V36" s="34">
        <v>42.199999999999996</v>
      </c>
      <c r="W36" s="41">
        <v>6.6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+1,""))))</f>
        <v/>
      </c>
      <c r="C37" s="36" t="s">
        <v>104</v>
      </c>
      <c r="D37" s="51" t="str">
        <f>IF(E37="","",VLOOKUP(E37,'Coaching Points'!A:B,2,0))</f>
        <v>SK</v>
      </c>
      <c r="E37" s="36" t="s">
        <v>47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15-16</v>
      </c>
      <c r="H37" s="1" t="s">
        <v>126</v>
      </c>
      <c r="I37" s="47"/>
      <c r="J37" s="4">
        <f>MAX(R37,S37)+IF(OR(H37="Junior",H37="Senior"),0.0002,IF(OR(H37="L7",H37="L6"),0.0001,0))+MAX(X37,Z37)*0.0000001</f>
        <v>43.500100000000003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52" t="str">
        <f>IF(A37&lt;5,IF(_xlfn.MAXIFS(A:A,G:G,G37)&gt;3,5-A37,_xlfn.MAXIFS(A:A,G:G,G37)+1-A37),"")</f>
        <v/>
      </c>
      <c r="R37" s="4">
        <f>MAX(T37,X37)</f>
        <v>43.5</v>
      </c>
      <c r="S37" s="4">
        <f>MAX(V37,Z37)</f>
        <v>43.3</v>
      </c>
      <c r="T37" s="33">
        <v>43.5</v>
      </c>
      <c r="U37" s="41">
        <v>6.3</v>
      </c>
      <c r="V37" s="34">
        <v>43.3</v>
      </c>
      <c r="W37" s="41">
        <v>6.6999999999999993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+1,""))))</f>
        <v/>
      </c>
      <c r="C38" s="36" t="s">
        <v>81</v>
      </c>
      <c r="D38" s="51" t="str">
        <f>IF(E38="","",VLOOKUP(E38,'Coaching Points'!A:B,2,0))</f>
        <v>BC</v>
      </c>
      <c r="E38" s="36" t="s">
        <v>66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15-16</v>
      </c>
      <c r="H38" s="1" t="s">
        <v>125</v>
      </c>
      <c r="I38" s="47"/>
      <c r="J38" s="4">
        <f>MAX(R38,S38)+IF(OR(H38="Junior",H38="Senior"),0.0002,IF(OR(H38="L7",H38="L6"),0.0001,0))+MAX(X38,Z38)*0.0000001</f>
        <v>43.5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52" t="str">
        <f>IF(A38&lt;5,IF(_xlfn.MAXIFS(A:A,G:G,G38)&gt;3,5-A38,_xlfn.MAXIFS(A:A,G:G,G38)+1-A38),"")</f>
        <v/>
      </c>
      <c r="R38" s="4">
        <f>MAX(T38,X38)</f>
        <v>43.5</v>
      </c>
      <c r="S38" s="4">
        <f>MAX(V38,Z38)</f>
        <v>36.599999999999994</v>
      </c>
      <c r="T38" s="33">
        <v>43.5</v>
      </c>
      <c r="U38" s="41">
        <v>6.5</v>
      </c>
      <c r="V38" s="34">
        <v>36.599999999999994</v>
      </c>
      <c r="W38" s="41">
        <v>1.9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+1,""))))</f>
        <v/>
      </c>
      <c r="C39" s="36" t="s">
        <v>78</v>
      </c>
      <c r="D39" s="51" t="str">
        <f>IF(E39="","",VLOOKUP(E39,'Coaching Points'!A:B,2,0))</f>
        <v>SK</v>
      </c>
      <c r="E39" s="36" t="s">
        <v>79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15-16</v>
      </c>
      <c r="H39" s="1" t="s">
        <v>125</v>
      </c>
      <c r="I39" s="47"/>
      <c r="J39" s="4">
        <f>MAX(R39,S39)+IF(OR(H39="Junior",H39="Senior"),0.0002,IF(OR(H39="L7",H39="L6"),0.0001,0))+MAX(X39,Z39)*0.0000001</f>
        <v>43.5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52" t="str">
        <f>IF(A39&lt;5,IF(_xlfn.MAXIFS(A:A,G:G,G39)&gt;3,5-A39,_xlfn.MAXIFS(A:A,G:G,G39)+1-A39),"")</f>
        <v/>
      </c>
      <c r="R39" s="4">
        <f>MAX(T39,X39)</f>
        <v>43.5</v>
      </c>
      <c r="S39" s="4">
        <f>MAX(V39,Z39)</f>
        <v>39.6</v>
      </c>
      <c r="T39" s="33">
        <v>43.5</v>
      </c>
      <c r="U39" s="41">
        <v>6.5</v>
      </c>
      <c r="V39" s="34">
        <v>39.6</v>
      </c>
      <c r="W39" s="41">
        <v>3.5999999999999996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+1,""))))</f>
        <v/>
      </c>
      <c r="C40" s="36" t="s">
        <v>73</v>
      </c>
      <c r="D40" s="51" t="str">
        <f>IF(E40="","",VLOOKUP(E40,'Coaching Points'!A:B,2,0))</f>
        <v>BC</v>
      </c>
      <c r="E40" s="36" t="s">
        <v>74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15-16</v>
      </c>
      <c r="H40" s="1" t="s">
        <v>125</v>
      </c>
      <c r="I40" s="47"/>
      <c r="J40" s="4">
        <f>MAX(R40,S40)+IF(OR(H40="Junior",H40="Senior"),0.0002,IF(OR(H40="L7",H40="L6"),0.0001,0))+MAX(X40,Z40)*0.0000001</f>
        <v>43.199999999999996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52" t="str">
        <f>IF(A40&lt;5,IF(_xlfn.MAXIFS(A:A,G:G,G40)&gt;3,5-A40,_xlfn.MAXIFS(A:A,G:G,G40)+1-A40),"")</f>
        <v/>
      </c>
      <c r="R40" s="4">
        <f>MAX(T40,X40)</f>
        <v>40.799999999999997</v>
      </c>
      <c r="S40" s="4">
        <f>MAX(V40,Z40)</f>
        <v>43.199999999999996</v>
      </c>
      <c r="T40" s="33">
        <v>40.799999999999997</v>
      </c>
      <c r="U40" s="41">
        <v>4.0999999999999996</v>
      </c>
      <c r="V40" s="34">
        <v>43.199999999999996</v>
      </c>
      <c r="W40" s="41">
        <v>4.9000000000000004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+1,""))))</f>
        <v/>
      </c>
      <c r="C41" s="36" t="s">
        <v>75</v>
      </c>
      <c r="D41" s="51" t="str">
        <f>IF(E41="","",VLOOKUP(E41,'Coaching Points'!A:B,2,0))</f>
        <v>SK</v>
      </c>
      <c r="E41" s="36" t="s">
        <v>47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15-16</v>
      </c>
      <c r="H41" s="1" t="s">
        <v>125</v>
      </c>
      <c r="I41" s="47"/>
      <c r="J41" s="4">
        <f>MAX(R41,S41)+IF(OR(H41="Junior",H41="Senior"),0.0002,IF(OR(H41="L7",H41="L6"),0.0001,0))+MAX(X41,Z41)*0.0000001</f>
        <v>42.400000000000006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52" t="str">
        <f>IF(A41&lt;5,IF(_xlfn.MAXIFS(A:A,G:G,G41)&gt;3,5-A41,_xlfn.MAXIFS(A:A,G:G,G41)+1-A41),"")</f>
        <v/>
      </c>
      <c r="R41" s="4">
        <f>MAX(T41,X41)</f>
        <v>42.3</v>
      </c>
      <c r="S41" s="4">
        <f>MAX(V41,Z41)</f>
        <v>42.400000000000006</v>
      </c>
      <c r="T41" s="33">
        <v>42.3</v>
      </c>
      <c r="U41" s="41">
        <v>5.4</v>
      </c>
      <c r="V41" s="34">
        <v>42.400000000000006</v>
      </c>
      <c r="W41" s="41">
        <v>5.1999999999999993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+1,""))))</f>
        <v/>
      </c>
      <c r="C42" s="36" t="s">
        <v>77</v>
      </c>
      <c r="D42" s="51" t="str">
        <f>IF(E42="","",VLOOKUP(E42,'Coaching Points'!A:B,2,0))</f>
        <v>AB</v>
      </c>
      <c r="E42" s="36" t="s">
        <v>29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15-16</v>
      </c>
      <c r="H42" s="1" t="s">
        <v>125</v>
      </c>
      <c r="I42" s="47"/>
      <c r="J42" s="4">
        <f>MAX(R42,S42)+IF(OR(H42="Junior",H42="Senior"),0.0002,IF(OR(H42="L7",H42="L6"),0.0001,0))+MAX(X42,Z42)*0.0000001</f>
        <v>42.1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52" t="str">
        <f>IF(A42&lt;5,IF(_xlfn.MAXIFS(A:A,G:G,G42)&gt;3,5-A42,_xlfn.MAXIFS(A:A,G:G,G42)+1-A42),"")</f>
        <v/>
      </c>
      <c r="R42" s="4">
        <f>MAX(T42,X42)</f>
        <v>42</v>
      </c>
      <c r="S42" s="4">
        <f>MAX(V42,Z42)</f>
        <v>42.1</v>
      </c>
      <c r="T42" s="33">
        <v>42</v>
      </c>
      <c r="U42" s="41">
        <v>5.4</v>
      </c>
      <c r="V42" s="34">
        <v>42.1</v>
      </c>
      <c r="W42" s="41">
        <v>4.3000000000000007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+1,""))))</f>
        <v/>
      </c>
      <c r="C43" s="36" t="s">
        <v>80</v>
      </c>
      <c r="D43" s="51" t="str">
        <f>IF(E43="","",VLOOKUP(E43,'Coaching Points'!A:B,2,0))</f>
        <v>AB</v>
      </c>
      <c r="E43" s="36" t="s">
        <v>29</v>
      </c>
      <c r="F43" s="35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15-16</v>
      </c>
      <c r="H43" s="1" t="s">
        <v>125</v>
      </c>
      <c r="I43" s="47"/>
      <c r="J43" s="4">
        <f>MAX(R43,S43)+IF(OR(H43="Junior",H43="Senior"),0.0002,IF(OR(H43="L7",H43="L6"),0.0001,0))+MAX(X43,Z43)*0.0000001</f>
        <v>40.700000000000003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52" t="str">
        <f>IF(A43&lt;5,IF(_xlfn.MAXIFS(A:A,G:G,G43)&gt;3,5-A43,_xlfn.MAXIFS(A:A,G:G,G43)+1-A43),"")</f>
        <v/>
      </c>
      <c r="R43" s="4">
        <f>MAX(T43,X43)</f>
        <v>40.700000000000003</v>
      </c>
      <c r="S43" s="4">
        <f>MAX(V43,Z43)</f>
        <v>38.799999999999997</v>
      </c>
      <c r="T43" s="33">
        <v>40.700000000000003</v>
      </c>
      <c r="U43" s="41">
        <v>4</v>
      </c>
      <c r="V43" s="34">
        <v>38.799999999999997</v>
      </c>
      <c r="W43" s="41">
        <v>2.8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+1,""))))</f>
        <v/>
      </c>
      <c r="C44" s="36" t="s">
        <v>82</v>
      </c>
      <c r="D44" s="51" t="str">
        <f>IF(E44="","",VLOOKUP(E44,'Coaching Points'!A:B,2,0))</f>
        <v>BC</v>
      </c>
      <c r="E44" s="36" t="s">
        <v>66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15-16</v>
      </c>
      <c r="H44" s="1" t="s">
        <v>125</v>
      </c>
      <c r="I44" s="47"/>
      <c r="J44" s="4">
        <f>MAX(R44,S44)+IF(OR(H44="Junior",H44="Senior"),0.0002,IF(OR(H44="L7",H44="L6"),0.0001,0))+MAX(X44,Z44)*0.0000001</f>
        <v>20.900000000000002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52" t="str">
        <f>IF(A44&lt;5,IF(_xlfn.MAXIFS(A:A,G:G,G44)&gt;3,5-A44,_xlfn.MAXIFS(A:A,G:G,G44)+1-A44),"")</f>
        <v/>
      </c>
      <c r="R44" s="4">
        <f>MAX(T44,X44)</f>
        <v>20.900000000000002</v>
      </c>
      <c r="S44" s="4">
        <f>MAX(V44,Z44)</f>
        <v>0</v>
      </c>
      <c r="T44" s="33">
        <v>20.900000000000002</v>
      </c>
      <c r="U44" s="41">
        <v>3.2</v>
      </c>
      <c r="V44" s="34">
        <v>0</v>
      </c>
      <c r="W44" s="41">
        <v>0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+1,"")))))</f>
        <v/>
      </c>
      <c r="B45" s="1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+1,""))))</f>
        <v>1</v>
      </c>
      <c r="C45" s="36" t="s">
        <v>65</v>
      </c>
      <c r="D45" s="51" t="str">
        <f>IF(E45="","",VLOOKUP(E45,'Coaching Points'!A:B,2,0))</f>
        <v>BC</v>
      </c>
      <c r="E45" s="36" t="s">
        <v>66</v>
      </c>
      <c r="F45" s="35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13-14</v>
      </c>
      <c r="H45" s="1" t="s">
        <v>124</v>
      </c>
      <c r="I45" s="47"/>
      <c r="J45" s="4">
        <f>MAX(R45,S45)+IF(OR(H45="Junior",H45="Senior"),0.0002,IF(OR(H45="L7",H45="L6"),0.0001,0))+MAX(X45,Z45)*0.0000001</f>
        <v>47.300199999999997</v>
      </c>
      <c r="K45" s="3" t="str">
        <f>IF(G45="Not Age Eligible","",IF(MAX(T45,V45,X45,Z45)&gt;=LOOKUP(G45,'Qualifying Scores'!$A$4:$A$7,'Qualifying Scores'!$G$4:$G$7),"P",""))</f>
        <v>P</v>
      </c>
      <c r="L45" s="3" t="str">
        <f>IF(G45="Not Age Eligible","",IF(MAX(U45,W45,Y45,AA45)&gt;=LOOKUP(G45,'Qualifying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>P</v>
      </c>
      <c r="N45" s="39">
        <v>1</v>
      </c>
      <c r="Q45" s="52" t="str">
        <f>IF(A45&lt;5,IF(_xlfn.MAXIFS(A:A,G:G,G45)&gt;3,5-A45,_xlfn.MAXIFS(A:A,G:G,G45)+1-A45),"")</f>
        <v/>
      </c>
      <c r="R45" s="4">
        <f>MAX(T45,X45)</f>
        <v>46.8</v>
      </c>
      <c r="S45" s="4">
        <f>MAX(V45,Z45)</f>
        <v>47.3</v>
      </c>
      <c r="T45" s="33">
        <v>46.8</v>
      </c>
      <c r="U45" s="41">
        <v>10.399999999999999</v>
      </c>
      <c r="V45" s="34">
        <v>47.3</v>
      </c>
      <c r="W45" s="41">
        <v>10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+1,"")))))</f>
        <v/>
      </c>
      <c r="B46" s="1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+1,""))))</f>
        <v>2</v>
      </c>
      <c r="C46" s="36" t="s">
        <v>72</v>
      </c>
      <c r="D46" s="51" t="str">
        <f>IF(E46="","",VLOOKUP(E46,'Coaching Points'!A:B,2,0))</f>
        <v>BC</v>
      </c>
      <c r="E46" s="36" t="s">
        <v>48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13-14</v>
      </c>
      <c r="H46" s="1" t="s">
        <v>125</v>
      </c>
      <c r="I46" s="47"/>
      <c r="J46" s="4">
        <f>MAX(R46,S46)+IF(OR(H46="Junior",H46="Senior"),0.0002,IF(OR(H46="L7",H46="L6"),0.0001,0))+MAX(X46,Z46)*0.0000001</f>
        <v>44.74</v>
      </c>
      <c r="K46" s="3" t="str">
        <f>IF(G46="Not Age Eligible","",IF(MAX(T46,V46,X46,Z46)&gt;=LOOKUP(G46,'Qualifying Scores'!$A$4:$A$7,'Qualifying Scores'!$G$4:$G$7),"P",""))</f>
        <v>P</v>
      </c>
      <c r="L46" s="3" t="str">
        <f>IF(G46="Not Age Eligible","",IF(MAX(U46,W46,Y46,AA46)&gt;=LOOKUP(G46,'Qualifying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>P</v>
      </c>
      <c r="Q46" s="52" t="str">
        <f>IF(A46&lt;5,IF(_xlfn.MAXIFS(A:A,G:G,G46)&gt;3,5-A46,_xlfn.MAXIFS(A:A,G:G,G46)+1-A46),"")</f>
        <v/>
      </c>
      <c r="R46" s="4">
        <f>MAX(T46,X46)</f>
        <v>44.74</v>
      </c>
      <c r="S46" s="4">
        <f>MAX(V46,Z46)</f>
        <v>22.2</v>
      </c>
      <c r="T46" s="33">
        <v>44.74</v>
      </c>
      <c r="U46" s="41">
        <v>7.5</v>
      </c>
      <c r="V46" s="34">
        <v>22.2</v>
      </c>
      <c r="W46" s="41">
        <v>3.5</v>
      </c>
      <c r="X46" s="33"/>
      <c r="Y46" s="41"/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+1,"")))))</f>
        <v/>
      </c>
      <c r="B47" s="1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+1,""))))</f>
        <v>3</v>
      </c>
      <c r="C47" s="36" t="s">
        <v>99</v>
      </c>
      <c r="D47" s="51" t="str">
        <f>IF(E47="","",VLOOKUP(E47,'Coaching Points'!A:B,2,0))</f>
        <v>AB</v>
      </c>
      <c r="E47" s="36" t="s">
        <v>100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13-14</v>
      </c>
      <c r="H47" s="1" t="s">
        <v>126</v>
      </c>
      <c r="I47" s="47"/>
      <c r="J47" s="4">
        <f>MAX(R47,S47)+IF(OR(H47="Junior",H47="Senior"),0.0002,IF(OR(H47="L7",H47="L6"),0.0001,0))+MAX(X47,Z47)*0.0000001</f>
        <v>44.600099999999998</v>
      </c>
      <c r="K47" s="3" t="str">
        <f>IF(G47="Not Age Eligible","",IF(MAX(T47,V47,X47,Z47)&gt;=LOOKUP(G47,'Qualifying Scores'!$A$4:$A$7,'Qualifying Scores'!$G$4:$G$7),"P",""))</f>
        <v>P</v>
      </c>
      <c r="L47" s="3" t="str">
        <f>IF(G47="Not Age Eligible","",IF(MAX(U47,W47,Y47,AA47)&gt;=LOOKUP(G47,'Qualifying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>P</v>
      </c>
      <c r="Q47" s="52" t="str">
        <f>IF(A47&lt;5,IF(_xlfn.MAXIFS(A:A,G:G,G47)&gt;3,5-A47,_xlfn.MAXIFS(A:A,G:G,G47)+1-A47),"")</f>
        <v/>
      </c>
      <c r="R47" s="4">
        <f>MAX(T47,X47)</f>
        <v>44.5</v>
      </c>
      <c r="S47" s="4">
        <f>MAX(V47,Z47)</f>
        <v>44.599999999999994</v>
      </c>
      <c r="T47" s="33">
        <v>44.5</v>
      </c>
      <c r="U47" s="41">
        <v>8</v>
      </c>
      <c r="V47" s="34">
        <v>44.599999999999994</v>
      </c>
      <c r="W47" s="41">
        <v>7.1999999999999993</v>
      </c>
      <c r="X47" s="33"/>
      <c r="Y47" s="41"/>
      <c r="Z47" s="34"/>
      <c r="AA47" s="37"/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+1,""))))</f>
        <v/>
      </c>
      <c r="C48" s="36" t="s">
        <v>101</v>
      </c>
      <c r="D48" s="51" t="str">
        <f>IF(E48="","",VLOOKUP(E48,'Coaching Points'!A:B,2,0))</f>
        <v>BC</v>
      </c>
      <c r="E48" s="36" t="s">
        <v>66</v>
      </c>
      <c r="F48" s="35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13-14</v>
      </c>
      <c r="H48" s="1" t="s">
        <v>126</v>
      </c>
      <c r="I48" s="47"/>
      <c r="J48" s="4">
        <f>MAX(R48,S48)+IF(OR(H48="Junior",H48="Senior"),0.0002,IF(OR(H48="L7",H48="L6"),0.0001,0))+MAX(X48,Z48)*0.0000001</f>
        <v>43.200100000000006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>P</v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52" t="str">
        <f>IF(A48&lt;5,IF(_xlfn.MAXIFS(A:A,G:G,G48)&gt;3,5-A48,_xlfn.MAXIFS(A:A,G:G,G48)+1-A48),"")</f>
        <v/>
      </c>
      <c r="R48" s="4">
        <f>MAX(T48,X48)</f>
        <v>43</v>
      </c>
      <c r="S48" s="4">
        <f>MAX(V48,Z48)</f>
        <v>43.2</v>
      </c>
      <c r="T48" s="33">
        <v>43</v>
      </c>
      <c r="U48" s="41">
        <v>6.1</v>
      </c>
      <c r="V48" s="34">
        <v>43.2</v>
      </c>
      <c r="W48" s="41">
        <v>6.5</v>
      </c>
      <c r="X48" s="33"/>
      <c r="Y48" s="41"/>
      <c r="Z48" s="34"/>
      <c r="AA48" s="37"/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+1,""))))</f>
        <v/>
      </c>
      <c r="C49" s="36" t="s">
        <v>69</v>
      </c>
      <c r="D49" s="51" t="str">
        <f>IF(E49="","",VLOOKUP(E49,'Coaching Points'!A:B,2,0))</f>
        <v>QC</v>
      </c>
      <c r="E49" s="36" t="s">
        <v>70</v>
      </c>
      <c r="F49" s="35">
        <v>2008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13-14</v>
      </c>
      <c r="H49" s="1" t="s">
        <v>125</v>
      </c>
      <c r="I49" s="47"/>
      <c r="J49" s="4">
        <f>MAX(R49,S49)+IF(OR(H49="Junior",H49="Senior"),0.0002,IF(OR(H49="L7",H49="L6"),0.0001,0))+MAX(X49,Z49)*0.0000001</f>
        <v>42.6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52" t="str">
        <f>IF(A49&lt;5,IF(_xlfn.MAXIFS(A:A,G:G,G49)&gt;3,5-A49,_xlfn.MAXIFS(A:A,G:G,G49)+1-A49),"")</f>
        <v/>
      </c>
      <c r="R49" s="4">
        <f>MAX(T49,X49)</f>
        <v>42.199999999999996</v>
      </c>
      <c r="S49" s="4">
        <f>MAX(V49,Z49)</f>
        <v>42.6</v>
      </c>
      <c r="T49" s="33">
        <v>42.199999999999996</v>
      </c>
      <c r="U49" s="41">
        <v>4.9000000000000004</v>
      </c>
      <c r="V49" s="34">
        <v>42.6</v>
      </c>
      <c r="W49" s="41">
        <v>5</v>
      </c>
      <c r="X49" s="33"/>
      <c r="Y49" s="41"/>
      <c r="Z49" s="34"/>
      <c r="AA49" s="37"/>
    </row>
    <row r="50" spans="1:27" x14ac:dyDescent="0.2">
      <c r="A50" s="1" t="str" cm="1">
        <f t="array" ref="A50">IF(I50="","",IF(P50&lt;&gt;"",SUMPRODUCT((P$3:P$50&lt;&gt;"")*(G$3:G$50=G50)*(J$3:J$50&gt;J50)*(I$3:I$50="P"))+1,IF(O50&lt;&gt;"",SUMPRODUCT((O$3:O$50&lt;&gt;"")*(P$3:P$50="")*(G$3:G$50=G50)*(J$3:J$50&gt;J50)*(I$3:I$50="P"))+SUMPRODUCT((P$3:P$50&lt;&gt;"")*(G$3:G$50=G50))+1,IF(N50&lt;&gt;"",SUMPRODUCT((N$3:N$50&lt;&gt;"")*(G$3:G$50=G50)*(J$3:J$50&gt;J50)*(I$3:I$50="P"))+1,IF(M50="P",SUMPRODUCT((O$3:O$50&lt;&gt;"")*(P$3:P$50="")*(G$3:G$50=G50)*(I$3:I$50="P"))+SUMPRODUCT((P$3:P$50&lt;&gt;"")*(G$3:G$50=G50)*(I$3:I$50="P"))+SUMPRODUCT((N$3:N$50&lt;&gt;"")*(G$3:G$50=G50)*(I$3:I$50="P"))+SUMPRODUCT((P$3:P$50="")*(O$3:O$50="")*(N$3:N$50="")*(M$3:M$50="P")*(G$3:G$50=G50)*(J$3:J$50&gt;J50)*(I$3:I$50="P"))+1,"")))))</f>
        <v/>
      </c>
      <c r="B50" s="1" t="str" cm="1">
        <f t="array" ref="B50">IF(P50&lt;&gt;"",SUMPRODUCT((P$3:P$50&lt;&gt;"")*(G$3:G$50=G50)*(J$3:J$50&gt;J50))+1,IF(O50&lt;&gt;"",SUMPRODUCT((O$3:O$50&lt;&gt;"")*(P$3:P$50="")*(G$3:G$50=G50)*(J$3:J$50&gt;J50))+SUMPRODUCT((P$3:P$50&lt;&gt;"")*(G$3:G$50=G50))+1,IF(N50&lt;&gt;"",SUMPRODUCT((N$3:N$50&lt;&gt;"")*(G$3:G$50=G50)*(J$3:J$50&gt;J50))+1,IF(M50="P",SUMPRODUCT((O$3:O$50&lt;&gt;"")*(P$3:P$50="")*(G$3:G$50=G50))+SUMPRODUCT((P$3:P$50&lt;&gt;"")*(G$3:G$50=G50))+SUMPRODUCT((N$3:N$50&lt;&gt;"")*(G$3:G$50=G50))+SUMPRODUCT((P$3:P$50="")*(O$3:O$50="")*(N$3:N$50="")*(M$3:M$50="P")*(G$3:G$50=G50)*(J$3:J$50&gt;J50))+1,""))))</f>
        <v/>
      </c>
      <c r="C50" s="36" t="s">
        <v>71</v>
      </c>
      <c r="D50" s="51" t="str">
        <f>IF(E50="","",VLOOKUP(E50,'Coaching Points'!A:B,2,0))</f>
        <v>ON</v>
      </c>
      <c r="E50" s="36" t="s">
        <v>49</v>
      </c>
      <c r="F50" s="35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13-14</v>
      </c>
      <c r="H50" s="1" t="s">
        <v>125</v>
      </c>
      <c r="I50" s="47"/>
      <c r="J50" s="4">
        <f>MAX(R50,S50)+IF(OR(H50="Junior",H50="Senior"),0.0002,IF(OR(H50="L7",H50="L6"),0.0001,0))+MAX(X50,Z50)*0.0000001</f>
        <v>41.3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52" t="str">
        <f>IF(A50&lt;5,IF(_xlfn.MAXIFS(A:A,G:G,G50)&gt;3,5-A50,_xlfn.MAXIFS(A:A,G:G,G50)+1-A50),"")</f>
        <v/>
      </c>
      <c r="R50" s="4">
        <f>MAX(T50,X50)</f>
        <v>40.5</v>
      </c>
      <c r="S50" s="4">
        <f>MAX(V50,Z50)</f>
        <v>41.3</v>
      </c>
      <c r="T50" s="33">
        <v>40.5</v>
      </c>
      <c r="U50" s="41">
        <v>5.8</v>
      </c>
      <c r="V50" s="34">
        <v>41.3</v>
      </c>
      <c r="W50" s="41">
        <v>4.3000000000000007</v>
      </c>
      <c r="X50" s="33"/>
      <c r="Y50" s="41"/>
      <c r="Z50" s="34"/>
      <c r="AA50" s="37"/>
    </row>
    <row r="51" spans="1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50">
      <sortCondition descending="1" ref="G1:G51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22" priority="17">
      <formula>IF($G1="17-21",1,0)</formula>
    </cfRule>
    <cfRule type="expression" dxfId="21" priority="18">
      <formula>IF($G1="15-16",1,0)</formula>
    </cfRule>
    <cfRule type="expression" dxfId="20" priority="19">
      <formula>IF($G1="13-14",1,0)</formula>
    </cfRule>
    <cfRule type="expression" dxfId="19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51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58</v>
      </c>
      <c r="S1" s="71" t="s">
        <v>59</v>
      </c>
      <c r="T1" s="73" t="s">
        <v>46</v>
      </c>
      <c r="U1" s="73"/>
      <c r="V1" s="73"/>
      <c r="W1" s="73"/>
      <c r="X1" s="73" t="s">
        <v>45</v>
      </c>
      <c r="Y1" s="73"/>
      <c r="Z1" s="73"/>
      <c r="AA1" s="73"/>
    </row>
    <row r="2" spans="1:27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60</v>
      </c>
      <c r="U2" s="7" t="s">
        <v>61</v>
      </c>
      <c r="V2" s="7" t="s">
        <v>6</v>
      </c>
      <c r="W2" s="7" t="s">
        <v>8</v>
      </c>
      <c r="X2" s="8" t="s">
        <v>60</v>
      </c>
      <c r="Y2" s="7" t="s">
        <v>61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$19&lt;&gt;"")*(G$3:G$19=G3)*(J$3:J$19&gt;J3)*(I$3:I$19="P"))+1,IF(O3&lt;&gt;"",SUMPRODUCT((O$3:O$19&lt;&gt;"")*(P$3:P$19="")*(G$3:G$19=G3)*(J$3:J$19&gt;J3)*(I$3:I$19="P"))+SUMPRODUCT((P$3:P$19&lt;&gt;"")*(G$3:G$19=G3))+1,IF(N3&lt;&gt;"",SUMPRODUCT((N$3:N$19&lt;&gt;"")*(G$3:G$19=G3)*(J$3:J$19&gt;J3)*(I$3:I$19="P"))+1,IF(M3="P",SUMPRODUCT((O$3:O$19&lt;&gt;"")*(P$3:P$19="")*(G$3:G$19=G3)*(I$3:I$19="P"))+SUMPRODUCT((P$3:P$19&lt;&gt;"")*(G$3:G$19=G3)*(I$3:I$19="P"))+SUMPRODUCT((N$3:N$19&lt;&gt;"")*(G$3:G$19=G3)*(I$3:I$19="P"))+SUMPRODUCT((P$3:P$19="")*(O$3:O$19="")*(N$3:N$19="")*(M$3:M$19="P")*(G$3:G$19=G3)*(J$3:J$19&gt;J3)*(I$3:I$19="P"))+1,"")))))</f>
        <v/>
      </c>
      <c r="B3" s="1" cm="1">
        <f t="array" ref="B3">IF(P3&lt;&gt;"",SUMPRODUCT((P$3:P$19&lt;&gt;"")*(G$3:G$19=G3)*(J$3:J$19&gt;J3))+1,IF(O3&lt;&gt;"",SUMPRODUCT((O$3:O$19&lt;&gt;"")*(P$3:P$19="")*(G$3:G$19=G3)*(J$3:J$19&gt;J3))+SUMPRODUCT((P$3:P$19&lt;&gt;"")*(G$3:G$19=G3))+1,IF(N3&lt;&gt;"",SUMPRODUCT((N$3:N$19&lt;&gt;"")*(G$3:G$19=G3)*(J$3:J$19&gt;J3))+1,IF(M3="P",SUMPRODUCT((O$3:O$19&lt;&gt;"")*(P$3:P$19="")*(G$3:G$19=G3))+SUMPRODUCT((P$3:P$19&lt;&gt;"")*(G$3:G$19=G3))+SUMPRODUCT((N$3:N$19&lt;&gt;"")*(G$3:G$19=G3))+SUMPRODUCT((P$3:P$19="")*(O$3:O$19="")*(N$3:N$19="")*(M$3:M$19="P")*(G$3:G$19=G3)*(J$3:J$19&gt;J3))+1,""))))</f>
        <v>1</v>
      </c>
      <c r="C3" s="36" t="s">
        <v>330</v>
      </c>
      <c r="D3" s="51" t="str">
        <f>IF(E3="","",VLOOKUP(E3,'Coaching Points'!A:B,2,0))</f>
        <v>ON</v>
      </c>
      <c r="E3" s="36" t="s">
        <v>316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181</v>
      </c>
      <c r="I3" s="47"/>
      <c r="J3" s="4">
        <f>MAX(R3,S3)+IF(OR(H3="Junior",H3="Senior"),0.0002,IF(OR(H3="L7",H3="L6"),0.0001,0))+MAX(X3,Z3)*0.0000001</f>
        <v>48.700200000000002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52" t="str">
        <f>IF(A3&lt;5,IF(_xlfn.MAXIFS(A:A,G:G,G3)&gt;3,5-A3,_xlfn.MAXIFS(A:A,G:G,G3)+1-A3),"")</f>
        <v/>
      </c>
      <c r="R3" s="4">
        <f>MAX(T3,X3)</f>
        <v>48.26</v>
      </c>
      <c r="S3" s="4">
        <f>MAX(V3,Z3)</f>
        <v>48.7</v>
      </c>
      <c r="T3" s="33">
        <v>48.26</v>
      </c>
      <c r="U3" s="41">
        <v>12.4</v>
      </c>
      <c r="V3" s="34">
        <v>48.7</v>
      </c>
      <c r="W3" s="41">
        <v>12.4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$19&lt;&gt;"")*(G$3:G$19=G4)*(J$3:J$19&gt;J4)*(I$3:I$19="P"))+1,IF(O4&lt;&gt;"",SUMPRODUCT((O$3:O$19&lt;&gt;"")*(P$3:P$19="")*(G$3:G$19=G4)*(J$3:J$19&gt;J4)*(I$3:I$19="P"))+SUMPRODUCT((P$3:P$19&lt;&gt;"")*(G$3:G$19=G4))+1,IF(N4&lt;&gt;"",SUMPRODUCT((N$3:N$19&lt;&gt;"")*(G$3:G$19=G4)*(J$3:J$19&gt;J4)*(I$3:I$19="P"))+1,IF(M4="P",SUMPRODUCT((O$3:O$19&lt;&gt;"")*(P$3:P$19="")*(G$3:G$19=G4)*(I$3:I$19="P"))+SUMPRODUCT((P$3:P$19&lt;&gt;"")*(G$3:G$19=G4)*(I$3:I$19="P"))+SUMPRODUCT((N$3:N$19&lt;&gt;"")*(G$3:G$19=G4)*(I$3:I$19="P"))+SUMPRODUCT((P$3:P$19="")*(O$3:O$19="")*(N$3:N$19="")*(M$3:M$19="P")*(G$3:G$19=G4)*(J$3:J$19&gt;J4)*(I$3:I$19="P"))+1,"")))))</f>
        <v/>
      </c>
      <c r="B4" s="1" cm="1">
        <f t="array" ref="B4">IF(P4&lt;&gt;"",SUMPRODUCT((P$3:P$19&lt;&gt;"")*(G$3:G$19=G4)*(J$3:J$19&gt;J4))+1,IF(O4&lt;&gt;"",SUMPRODUCT((O$3:O$19&lt;&gt;"")*(P$3:P$19="")*(G$3:G$19=G4)*(J$3:J$19&gt;J4))+SUMPRODUCT((P$3:P$19&lt;&gt;"")*(G$3:G$19=G4))+1,IF(N4&lt;&gt;"",SUMPRODUCT((N$3:N$19&lt;&gt;"")*(G$3:G$19=G4)*(J$3:J$19&gt;J4))+1,IF(M4="P",SUMPRODUCT((O$3:O$19&lt;&gt;"")*(P$3:P$19="")*(G$3:G$19=G4))+SUMPRODUCT((P$3:P$19&lt;&gt;"")*(G$3:G$19=G4))+SUMPRODUCT((N$3:N$19&lt;&gt;"")*(G$3:G$19=G4))+SUMPRODUCT((P$3:P$19="")*(O$3:O$19="")*(N$3:N$19="")*(M$3:M$19="P")*(G$3:G$19=G4)*(J$3:J$19&gt;J4))+1,""))))</f>
        <v>2</v>
      </c>
      <c r="C4" s="36" t="s">
        <v>325</v>
      </c>
      <c r="D4" s="51" t="str">
        <f>IF(E4="","",VLOOKUP(E4,'Coaching Points'!A:B,2,0))</f>
        <v>AB</v>
      </c>
      <c r="E4" s="36" t="s">
        <v>100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127</v>
      </c>
      <c r="I4" s="47"/>
      <c r="J4" s="4">
        <f>MAX(R4,S4)+IF(OR(H4="Junior",H4="Senior"),0.0002,IF(OR(H4="L7",H4="L6"),0.0001,0))+MAX(X4,Z4)*0.0000001</f>
        <v>44.600100000000005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Q4" s="52" t="str">
        <f>IF(A4&lt;5,IF(_xlfn.MAXIFS(A:A,G:G,G4)&gt;3,5-A4,_xlfn.MAXIFS(A:A,G:G,G4)+1-A4),"")</f>
        <v/>
      </c>
      <c r="R4" s="4">
        <f>MAX(T4,X4)</f>
        <v>44.1</v>
      </c>
      <c r="S4" s="4">
        <f>MAX(V4,Z4)</f>
        <v>44.6</v>
      </c>
      <c r="T4" s="33">
        <v>44.1</v>
      </c>
      <c r="U4" s="41">
        <v>9.6999999999999993</v>
      </c>
      <c r="V4" s="34">
        <v>44.6</v>
      </c>
      <c r="W4" s="41">
        <v>9.5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$19&lt;&gt;"")*(G$3:G$19=G5)*(J$3:J$19&gt;J5)*(I$3:I$19="P"))+1,IF(O5&lt;&gt;"",SUMPRODUCT((O$3:O$19&lt;&gt;"")*(P$3:P$19="")*(G$3:G$19=G5)*(J$3:J$19&gt;J5)*(I$3:I$19="P"))+SUMPRODUCT((P$3:P$19&lt;&gt;"")*(G$3:G$19=G5))+1,IF(N5&lt;&gt;"",SUMPRODUCT((N$3:N$19&lt;&gt;"")*(G$3:G$19=G5)*(J$3:J$19&gt;J5)*(I$3:I$19="P"))+1,IF(M5="P",SUMPRODUCT((O$3:O$19&lt;&gt;"")*(P$3:P$19="")*(G$3:G$19=G5)*(I$3:I$19="P"))+SUMPRODUCT((P$3:P$19&lt;&gt;"")*(G$3:G$19=G5)*(I$3:I$19="P"))+SUMPRODUCT((N$3:N$19&lt;&gt;"")*(G$3:G$19=G5)*(I$3:I$19="P"))+SUMPRODUCT((P$3:P$19="")*(O$3:O$19="")*(N$3:N$19="")*(M$3:M$19="P")*(G$3:G$19=G5)*(J$3:J$19&gt;J5)*(I$3:I$19="P"))+1,"")))))</f>
        <v/>
      </c>
      <c r="B5" s="1" t="str" cm="1">
        <f t="array" ref="B5">IF(P5&lt;&gt;"",SUMPRODUCT((P$3:P$19&lt;&gt;"")*(G$3:G$19=G5)*(J$3:J$19&gt;J5))+1,IF(O5&lt;&gt;"",SUMPRODUCT((O$3:O$19&lt;&gt;"")*(P$3:P$19="")*(G$3:G$19=G5)*(J$3:J$19&gt;J5))+SUMPRODUCT((P$3:P$19&lt;&gt;"")*(G$3:G$19=G5))+1,IF(N5&lt;&gt;"",SUMPRODUCT((N$3:N$19&lt;&gt;"")*(G$3:G$19=G5)*(J$3:J$19&gt;J5))+1,IF(M5="P",SUMPRODUCT((O$3:O$19&lt;&gt;"")*(P$3:P$19="")*(G$3:G$19=G5))+SUMPRODUCT((P$3:P$19&lt;&gt;"")*(G$3:G$19=G5))+SUMPRODUCT((N$3:N$19&lt;&gt;"")*(G$3:G$19=G5))+SUMPRODUCT((P$3:P$19="")*(O$3:O$19="")*(N$3:N$19="")*(M$3:M$19="P")*(G$3:G$19=G5)*(J$3:J$19&gt;J5))+1,""))))</f>
        <v/>
      </c>
      <c r="C5" s="36" t="s">
        <v>326</v>
      </c>
      <c r="D5" s="51" t="str">
        <f>IF(E5="","",VLOOKUP(E5,'Coaching Points'!A:B,2,0))</f>
        <v>AB</v>
      </c>
      <c r="E5" s="36" t="s">
        <v>100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127</v>
      </c>
      <c r="I5" s="47"/>
      <c r="J5" s="4">
        <f>MAX(R5,S5)+IF(OR(H5="Junior",H5="Senior"),0.0002,IF(OR(H5="L7",H5="L6"),0.0001,0))+MAX(X5,Z5)*0.0000001</f>
        <v>41.600099999999998</v>
      </c>
      <c r="K5" s="3" t="str">
        <f>IF(G5="Not Age Eligible","",IF(MAX(T5,V5,X5,Z5)&gt;=LOOKUP(G5,'Qualifying Scores'!$A$4:$A$7,'Qualifying Scores'!$H$4:$H$7),"P",""))</f>
        <v/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/>
      </c>
      <c r="Q5" s="52" t="str">
        <f>IF(A5&lt;5,IF(_xlfn.MAXIFS(A:A,G:G,G5)&gt;3,5-A5,_xlfn.MAXIFS(A:A,G:G,G5)+1-A5),"")</f>
        <v/>
      </c>
      <c r="R5" s="4">
        <f>MAX(T5,X5)</f>
        <v>41.599999999999994</v>
      </c>
      <c r="S5" s="4">
        <f>MAX(V5,Z5)</f>
        <v>40.099999999999994</v>
      </c>
      <c r="T5" s="33">
        <v>41.599999999999994</v>
      </c>
      <c r="U5" s="41">
        <v>10.100000000000001</v>
      </c>
      <c r="V5" s="34">
        <v>40.099999999999994</v>
      </c>
      <c r="W5" s="41">
        <v>7.8000000000000007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$19&lt;&gt;"")*(G$3:G$19=G6)*(J$3:J$19&gt;J6)*(I$3:I$19="P"))+1,IF(O6&lt;&gt;"",SUMPRODUCT((O$3:O$19&lt;&gt;"")*(P$3:P$19="")*(G$3:G$19=G6)*(J$3:J$19&gt;J6)*(I$3:I$19="P"))+SUMPRODUCT((P$3:P$19&lt;&gt;"")*(G$3:G$19=G6))+1,IF(N6&lt;&gt;"",SUMPRODUCT((N$3:N$19&lt;&gt;"")*(G$3:G$19=G6)*(J$3:J$19&gt;J6)*(I$3:I$19="P"))+1,IF(M6="P",SUMPRODUCT((O$3:O$19&lt;&gt;"")*(P$3:P$19="")*(G$3:G$19=G6)*(I$3:I$19="P"))+SUMPRODUCT((P$3:P$19&lt;&gt;"")*(G$3:G$19=G6)*(I$3:I$19="P"))+SUMPRODUCT((N$3:N$19&lt;&gt;"")*(G$3:G$19=G6)*(I$3:I$19="P"))+SUMPRODUCT((P$3:P$19="")*(O$3:O$19="")*(N$3:N$19="")*(M$3:M$19="P")*(G$3:G$19=G6)*(J$3:J$19&gt;J6)*(I$3:I$19="P"))+1,"")))))</f>
        <v/>
      </c>
      <c r="B6" s="1" t="str" cm="1">
        <f t="array" ref="B6">IF(P6&lt;&gt;"",SUMPRODUCT((P$3:P$19&lt;&gt;"")*(G$3:G$19=G6)*(J$3:J$19&gt;J6))+1,IF(O6&lt;&gt;"",SUMPRODUCT((O$3:O$19&lt;&gt;"")*(P$3:P$19="")*(G$3:G$19=G6)*(J$3:J$19&gt;J6))+SUMPRODUCT((P$3:P$19&lt;&gt;"")*(G$3:G$19=G6))+1,IF(N6&lt;&gt;"",SUMPRODUCT((N$3:N$19&lt;&gt;"")*(G$3:G$19=G6)*(J$3:J$19&gt;J6))+1,IF(M6="P",SUMPRODUCT((O$3:O$19&lt;&gt;"")*(P$3:P$19="")*(G$3:G$19=G6))+SUMPRODUCT((P$3:P$19&lt;&gt;"")*(G$3:G$19=G6))+SUMPRODUCT((N$3:N$19&lt;&gt;"")*(G$3:G$19=G6))+SUMPRODUCT((P$3:P$19="")*(O$3:O$19="")*(N$3:N$19="")*(M$3:M$19="P")*(G$3:G$19=G6)*(J$3:J$19&gt;J6))+1,""))))</f>
        <v/>
      </c>
      <c r="C6" s="36" t="s">
        <v>327</v>
      </c>
      <c r="D6" s="51" t="str">
        <f>IF(E6="","",VLOOKUP(E6,'Coaching Points'!A:B,2,0))</f>
        <v>AB</v>
      </c>
      <c r="E6" s="36" t="s">
        <v>100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127</v>
      </c>
      <c r="I6" s="47"/>
      <c r="J6" s="4">
        <f>MAX(R6,S6)+IF(OR(H6="Junior",H6="Senior"),0.0002,IF(OR(H6="L7",H6="L6"),0.0001,0))+MAX(X6,Z6)*0.0000001</f>
        <v>40.200100000000006</v>
      </c>
      <c r="K6" s="3" t="str">
        <f>IF(G6="Not Age Eligible","",IF(MAX(T6,V6,X6,Z6)&gt;=LOOKUP(G6,'Qualifying Scores'!$A$4:$A$7,'Qualifying Scores'!$H$4:$H$7),"P",""))</f>
        <v/>
      </c>
      <c r="L6" s="3" t="str">
        <f>IF(G6="Not Age Eligible","",IF(MAX(U6,W6,Y6,AA6)&gt;=LOOKUP(G6,'Qualifying Scores'!$A$10:$A$13,'Qualifying Scores'!$H$10:$H$13),"P",""))</f>
        <v/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/>
      </c>
      <c r="Q6" s="52" t="str">
        <f>IF(A6&lt;5,IF(_xlfn.MAXIFS(A:A,G:G,G6)&gt;3,5-A6,_xlfn.MAXIFS(A:A,G:G,G6)+1-A6),"")</f>
        <v/>
      </c>
      <c r="R6" s="4">
        <f>MAX(T6,X6)</f>
        <v>40.200000000000003</v>
      </c>
      <c r="S6" s="4">
        <f>MAX(V6,Z6)</f>
        <v>39</v>
      </c>
      <c r="T6" s="33">
        <v>40.200000000000003</v>
      </c>
      <c r="U6" s="41">
        <v>8.7000000000000011</v>
      </c>
      <c r="V6" s="34">
        <v>39</v>
      </c>
      <c r="W6" s="41">
        <v>7.3000000000000007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$19&lt;&gt;"")*(G$3:G$19=G7)*(J$3:J$19&gt;J7)*(I$3:I$19="P"))+1,IF(O7&lt;&gt;"",SUMPRODUCT((O$3:O$19&lt;&gt;"")*(P$3:P$19="")*(G$3:G$19=G7)*(J$3:J$19&gt;J7)*(I$3:I$19="P"))+SUMPRODUCT((P$3:P$19&lt;&gt;"")*(G$3:G$19=G7))+1,IF(N7&lt;&gt;"",SUMPRODUCT((N$3:N$19&lt;&gt;"")*(G$3:G$19=G7)*(J$3:J$19&gt;J7)*(I$3:I$19="P"))+1,IF(M7="P",SUMPRODUCT((O$3:O$19&lt;&gt;"")*(P$3:P$19="")*(G$3:G$19=G7)*(I$3:I$19="P"))+SUMPRODUCT((P$3:P$19&lt;&gt;"")*(G$3:G$19=G7)*(I$3:I$19="P"))+SUMPRODUCT((N$3:N$19&lt;&gt;"")*(G$3:G$19=G7)*(I$3:I$19="P"))+SUMPRODUCT((P$3:P$19="")*(O$3:O$19="")*(N$3:N$19="")*(M$3:M$19="P")*(G$3:G$19=G7)*(J$3:J$19&gt;J7)*(I$3:I$19="P"))+1,"")))))</f>
        <v/>
      </c>
      <c r="B7" s="1" t="str" cm="1">
        <f t="array" ref="B7">IF(P7&lt;&gt;"",SUMPRODUCT((P$3:P$19&lt;&gt;"")*(G$3:G$19=G7)*(J$3:J$19&gt;J7))+1,IF(O7&lt;&gt;"",SUMPRODUCT((O$3:O$19&lt;&gt;"")*(P$3:P$19="")*(G$3:G$19=G7)*(J$3:J$19&gt;J7))+SUMPRODUCT((P$3:P$19&lt;&gt;"")*(G$3:G$19=G7))+1,IF(N7&lt;&gt;"",SUMPRODUCT((N$3:N$19&lt;&gt;"")*(G$3:G$19=G7)*(J$3:J$19&gt;J7))+1,IF(M7="P",SUMPRODUCT((O$3:O$19&lt;&gt;"")*(P$3:P$19="")*(G$3:G$19=G7))+SUMPRODUCT((P$3:P$19&lt;&gt;"")*(G$3:G$19=G7))+SUMPRODUCT((N$3:N$19&lt;&gt;"")*(G$3:G$19=G7))+SUMPRODUCT((P$3:P$19="")*(O$3:O$19="")*(N$3:N$19="")*(M$3:M$19="P")*(G$3:G$19=G7)*(J$3:J$19&gt;J7))+1,""))))</f>
        <v/>
      </c>
      <c r="C7" s="36" t="s">
        <v>319</v>
      </c>
      <c r="D7" s="51" t="str">
        <f>IF(E7="","",VLOOKUP(E7,'Coaching Points'!A:B,2,0))</f>
        <v>QC</v>
      </c>
      <c r="E7" s="36" t="s">
        <v>320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125</v>
      </c>
      <c r="I7" s="47"/>
      <c r="J7" s="4">
        <f>MAX(R7,S7)+IF(OR(H7="Junior",H7="Senior"),0.0002,IF(OR(H7="L7",H7="L6"),0.0001,0))+MAX(X7,Z7)*0.0000001</f>
        <v>40.200000000000003</v>
      </c>
      <c r="K7" s="3" t="str">
        <f>IF(G7="Not Age Eligible","",IF(MAX(T7,V7,X7,Z7)&gt;=LOOKUP(G7,'Qualifying Scores'!$A$4:$A$7,'Qualifying Scores'!$H$4:$H$7),"P",""))</f>
        <v/>
      </c>
      <c r="L7" s="3" t="str">
        <f>IF(G7="Not Age Eligible","",IF(MAX(U7,W7,Y7,AA7)&gt;=LOOKUP(G7,'Qualifying Scores'!$A$10:$A$13,'Qualifying Scores'!$H$10:$H$13),"P",""))</f>
        <v/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/>
      </c>
      <c r="Q7" s="52" t="str">
        <f>IF(A7&lt;5,IF(_xlfn.MAXIFS(A:A,G:G,G7)&gt;3,5-A7,_xlfn.MAXIFS(A:A,G:G,G7)+1-A7),"")</f>
        <v/>
      </c>
      <c r="R7" s="4">
        <f>MAX(T7,X7)</f>
        <v>38.599999999999994</v>
      </c>
      <c r="S7" s="4">
        <f>MAX(V7,Z7)</f>
        <v>40.200000000000003</v>
      </c>
      <c r="T7" s="33">
        <v>38.599999999999994</v>
      </c>
      <c r="U7" s="41">
        <v>6.2</v>
      </c>
      <c r="V7" s="34">
        <v>40.200000000000003</v>
      </c>
      <c r="W7" s="41">
        <v>6.2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$19&lt;&gt;"")*(G$3:G$19=G8)*(J$3:J$19&gt;J8)*(I$3:I$19="P"))+1,IF(O8&lt;&gt;"",SUMPRODUCT((O$3:O$19&lt;&gt;"")*(P$3:P$19="")*(G$3:G$19=G8)*(J$3:J$19&gt;J8)*(I$3:I$19="P"))+SUMPRODUCT((P$3:P$19&lt;&gt;"")*(G$3:G$19=G8))+1,IF(N8&lt;&gt;"",SUMPRODUCT((N$3:N$19&lt;&gt;"")*(G$3:G$19=G8)*(J$3:J$19&gt;J8)*(I$3:I$19="P"))+1,IF(M8="P",SUMPRODUCT((O$3:O$19&lt;&gt;"")*(P$3:P$19="")*(G$3:G$19=G8)*(I$3:I$19="P"))+SUMPRODUCT((P$3:P$19&lt;&gt;"")*(G$3:G$19=G8)*(I$3:I$19="P"))+SUMPRODUCT((N$3:N$19&lt;&gt;"")*(G$3:G$19=G8)*(I$3:I$19="P"))+SUMPRODUCT((P$3:P$19="")*(O$3:O$19="")*(N$3:N$19="")*(M$3:M$19="P")*(G$3:G$19=G8)*(J$3:J$19&gt;J8)*(I$3:I$19="P"))+1,"")))))</f>
        <v/>
      </c>
      <c r="B8" s="1" t="str" cm="1">
        <f t="array" ref="B8">IF(P8&lt;&gt;"",SUMPRODUCT((P$3:P$19&lt;&gt;"")*(G$3:G$19=G8)*(J$3:J$19&gt;J8))+1,IF(O8&lt;&gt;"",SUMPRODUCT((O$3:O$19&lt;&gt;"")*(P$3:P$19="")*(G$3:G$19=G8)*(J$3:J$19&gt;J8))+SUMPRODUCT((P$3:P$19&lt;&gt;"")*(G$3:G$19=G8))+1,IF(N8&lt;&gt;"",SUMPRODUCT((N$3:N$19&lt;&gt;"")*(G$3:G$19=G8)*(J$3:J$19&gt;J8))+1,IF(M8="P",SUMPRODUCT((O$3:O$19&lt;&gt;"")*(P$3:P$19="")*(G$3:G$19=G8))+SUMPRODUCT((P$3:P$19&lt;&gt;"")*(G$3:G$19=G8))+SUMPRODUCT((N$3:N$19&lt;&gt;"")*(G$3:G$19=G8))+SUMPRODUCT((P$3:P$19="")*(O$3:O$19="")*(N$3:N$19="")*(M$3:M$19="P")*(G$3:G$19=G8)*(J$3:J$19&gt;J8))+1,""))))</f>
        <v/>
      </c>
      <c r="C8" s="36" t="s">
        <v>321</v>
      </c>
      <c r="D8" s="51" t="str">
        <f>IF(E8="","",VLOOKUP(E8,'Coaching Points'!A:B,2,0))</f>
        <v>AB</v>
      </c>
      <c r="E8" s="36" t="s">
        <v>145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125</v>
      </c>
      <c r="I8" s="47"/>
      <c r="J8" s="4">
        <f>MAX(R8,S8)+IF(OR(H8="Junior",H8="Senior"),0.0002,IF(OR(H8="L7",H8="L6"),0.0001,0))+MAX(X8,Z8)*0.0000001</f>
        <v>39.46</v>
      </c>
      <c r="K8" s="3" t="str">
        <f>IF(G8="Not Age Eligible","",IF(MAX(T8,V8,X8,Z8)&gt;=LOOKUP(G8,'Qualifying Scores'!$A$4:$A$7,'Qualifying Scores'!$H$4:$H$7),"P",""))</f>
        <v/>
      </c>
      <c r="L8" s="3" t="str">
        <f>IF(G8="Not Age Eligible","",IF(MAX(U8,W8,Y8,AA8)&gt;=LOOKUP(G8,'Qualifying Scores'!$A$10:$A$13,'Qualifying Scores'!$H$10:$H$13),"P",""))</f>
        <v/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/>
      </c>
      <c r="Q8" s="52" t="str">
        <f>IF(A8&lt;5,IF(_xlfn.MAXIFS(A:A,G:G,G8)&gt;3,5-A8,_xlfn.MAXIFS(A:A,G:G,G8)+1-A8),"")</f>
        <v/>
      </c>
      <c r="R8" s="4">
        <f>MAX(T8,X8)</f>
        <v>37.299999999999997</v>
      </c>
      <c r="S8" s="4">
        <f>MAX(V8,Z8)</f>
        <v>39.46</v>
      </c>
      <c r="T8" s="33">
        <v>37.299999999999997</v>
      </c>
      <c r="U8" s="41">
        <v>6.5000000000000009</v>
      </c>
      <c r="V8" s="34">
        <v>39.46</v>
      </c>
      <c r="W8" s="41">
        <v>7.6000000000000014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$19&lt;&gt;"")*(G$3:G$19=G9)*(J$3:J$19&gt;J9)*(I$3:I$19="P"))+1,IF(O9&lt;&gt;"",SUMPRODUCT((O$3:O$19&lt;&gt;"")*(P$3:P$19="")*(G$3:G$19=G9)*(J$3:J$19&gt;J9)*(I$3:I$19="P"))+SUMPRODUCT((P$3:P$19&lt;&gt;"")*(G$3:G$19=G9))+1,IF(N9&lt;&gt;"",SUMPRODUCT((N$3:N$19&lt;&gt;"")*(G$3:G$19=G9)*(J$3:J$19&gt;J9)*(I$3:I$19="P"))+1,IF(M9="P",SUMPRODUCT((O$3:O$19&lt;&gt;"")*(P$3:P$19="")*(G$3:G$19=G9)*(I$3:I$19="P"))+SUMPRODUCT((P$3:P$19&lt;&gt;"")*(G$3:G$19=G9)*(I$3:I$19="P"))+SUMPRODUCT((N$3:N$19&lt;&gt;"")*(G$3:G$19=G9)*(I$3:I$19="P"))+SUMPRODUCT((P$3:P$19="")*(O$3:O$19="")*(N$3:N$19="")*(M$3:M$19="P")*(G$3:G$19=G9)*(J$3:J$19&gt;J9)*(I$3:I$19="P"))+1,"")))))</f>
        <v/>
      </c>
      <c r="B9" s="1" t="str" cm="1">
        <f t="array" ref="B9">IF(P9&lt;&gt;"",SUMPRODUCT((P$3:P$19&lt;&gt;"")*(G$3:G$19=G9)*(J$3:J$19&gt;J9))+1,IF(O9&lt;&gt;"",SUMPRODUCT((O$3:O$19&lt;&gt;"")*(P$3:P$19="")*(G$3:G$19=G9)*(J$3:J$19&gt;J9))+SUMPRODUCT((P$3:P$19&lt;&gt;"")*(G$3:G$19=G9))+1,IF(N9&lt;&gt;"",SUMPRODUCT((N$3:N$19&lt;&gt;"")*(G$3:G$19=G9)*(J$3:J$19&gt;J9))+1,IF(M9="P",SUMPRODUCT((O$3:O$19&lt;&gt;"")*(P$3:P$19="")*(G$3:G$19=G9))+SUMPRODUCT((P$3:P$19&lt;&gt;"")*(G$3:G$19=G9))+SUMPRODUCT((N$3:N$19&lt;&gt;"")*(G$3:G$19=G9))+SUMPRODUCT((P$3:P$19="")*(O$3:O$19="")*(N$3:N$19="")*(M$3:M$19="P")*(G$3:G$19=G9)*(J$3:J$19&gt;J9))+1,""))))</f>
        <v/>
      </c>
      <c r="C9" s="36" t="s">
        <v>328</v>
      </c>
      <c r="D9" s="51" t="str">
        <f>IF(E9="","",VLOOKUP(E9,'Coaching Points'!A:B,2,0))</f>
        <v>AB</v>
      </c>
      <c r="E9" s="36" t="s">
        <v>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127</v>
      </c>
      <c r="I9" s="47"/>
      <c r="J9" s="4">
        <f>MAX(R9,S9)+IF(OR(H9="Junior",H9="Senior"),0.0002,IF(OR(H9="L7",H9="L6"),0.0001,0))+MAX(X9,Z9)*0.0000001</f>
        <v>38.600100000000005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/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52" t="str">
        <f>IF(A9&lt;5,IF(_xlfn.MAXIFS(A:A,G:G,G9)&gt;3,5-A9,_xlfn.MAXIFS(A:A,G:G,G9)+1-A9),"")</f>
        <v/>
      </c>
      <c r="R9" s="4">
        <f>MAX(T9,X9)</f>
        <v>38.6</v>
      </c>
      <c r="S9" s="4">
        <f>MAX(V9,Z9)</f>
        <v>37.6</v>
      </c>
      <c r="T9" s="33">
        <v>38.6</v>
      </c>
      <c r="U9" s="41">
        <v>7.3000000000000007</v>
      </c>
      <c r="V9" s="34">
        <v>37.6</v>
      </c>
      <c r="W9" s="41">
        <v>7.3000000000000007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$19&lt;&gt;"")*(G$3:G$19=G10)*(J$3:J$19&gt;J10)*(I$3:I$19="P"))+1,IF(O10&lt;&gt;"",SUMPRODUCT((O$3:O$19&lt;&gt;"")*(P$3:P$19="")*(G$3:G$19=G10)*(J$3:J$19&gt;J10)*(I$3:I$19="P"))+SUMPRODUCT((P$3:P$19&lt;&gt;"")*(G$3:G$19=G10))+1,IF(N10&lt;&gt;"",SUMPRODUCT((N$3:N$19&lt;&gt;"")*(G$3:G$19=G10)*(J$3:J$19&gt;J10)*(I$3:I$19="P"))+1,IF(M10="P",SUMPRODUCT((O$3:O$19&lt;&gt;"")*(P$3:P$19="")*(G$3:G$19=G10)*(I$3:I$19="P"))+SUMPRODUCT((P$3:P$19&lt;&gt;"")*(G$3:G$19=G10)*(I$3:I$19="P"))+SUMPRODUCT((N$3:N$19&lt;&gt;"")*(G$3:G$19=G10)*(I$3:I$19="P"))+SUMPRODUCT((P$3:P$19="")*(O$3:O$19="")*(N$3:N$19="")*(M$3:M$19="P")*(G$3:G$19=G10)*(J$3:J$19&gt;J10)*(I$3:I$19="P"))+1,"")))))</f>
        <v/>
      </c>
      <c r="B10" s="1" t="str" cm="1">
        <f t="array" ref="B10">IF(P10&lt;&gt;"",SUMPRODUCT((P$3:P$19&lt;&gt;"")*(G$3:G$19=G10)*(J$3:J$19&gt;J10))+1,IF(O10&lt;&gt;"",SUMPRODUCT((O$3:O$19&lt;&gt;"")*(P$3:P$19="")*(G$3:G$19=G10)*(J$3:J$19&gt;J10))+SUMPRODUCT((P$3:P$19&lt;&gt;"")*(G$3:G$19=G10))+1,IF(N10&lt;&gt;"",SUMPRODUCT((N$3:N$19&lt;&gt;"")*(G$3:G$19=G10)*(J$3:J$19&gt;J10))+1,IF(M10="P",SUMPRODUCT((O$3:O$19&lt;&gt;"")*(P$3:P$19="")*(G$3:G$19=G10))+SUMPRODUCT((P$3:P$19&lt;&gt;"")*(G$3:G$19=G10))+SUMPRODUCT((N$3:N$19&lt;&gt;"")*(G$3:G$19=G10))+SUMPRODUCT((P$3:P$19="")*(O$3:O$19="")*(N$3:N$19="")*(M$3:M$19="P")*(G$3:G$19=G10)*(J$3:J$19&gt;J10))+1,""))))</f>
        <v/>
      </c>
      <c r="C10" s="36" t="s">
        <v>329</v>
      </c>
      <c r="D10" s="51" t="str">
        <f>IF(E10="","",VLOOKUP(E10,'Coaching Points'!A:B,2,0))</f>
        <v>AB</v>
      </c>
      <c r="E10" s="36" t="s">
        <v>98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127</v>
      </c>
      <c r="I10" s="47"/>
      <c r="J10" s="4">
        <f>MAX(R10,S10)+IF(OR(H10="Junior",H10="Senior"),0.0002,IF(OR(H10="L7",H10="L6"),0.0001,0))+MAX(X10,Z10)*0.0000001</f>
        <v>35.3001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/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52" t="str">
        <f>IF(A10&lt;5,IF(_xlfn.MAXIFS(A:A,G:G,G10)&gt;3,5-A10,_xlfn.MAXIFS(A:A,G:G,G10)+1-A10),"")</f>
        <v/>
      </c>
      <c r="R10" s="4">
        <f>MAX(T10,X10)</f>
        <v>35.299999999999997</v>
      </c>
      <c r="S10" s="4">
        <f>MAX(V10,Z10)</f>
        <v>0</v>
      </c>
      <c r="T10" s="33">
        <v>35.299999999999997</v>
      </c>
      <c r="U10" s="41">
        <v>2.4</v>
      </c>
      <c r="V10" s="34">
        <v>0</v>
      </c>
      <c r="W10" s="41">
        <v>0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$19&lt;&gt;"")*(G$3:G$19=G11)*(J$3:J$19&gt;J11)*(I$3:I$19="P"))+1,IF(O11&lt;&gt;"",SUMPRODUCT((O$3:O$19&lt;&gt;"")*(P$3:P$19="")*(G$3:G$19=G11)*(J$3:J$19&gt;J11)*(I$3:I$19="P"))+SUMPRODUCT((P$3:P$19&lt;&gt;"")*(G$3:G$19=G11))+1,IF(N11&lt;&gt;"",SUMPRODUCT((N$3:N$19&lt;&gt;"")*(G$3:G$19=G11)*(J$3:J$19&gt;J11)*(I$3:I$19="P"))+1,IF(M11="P",SUMPRODUCT((O$3:O$19&lt;&gt;"")*(P$3:P$19="")*(G$3:G$19=G11)*(I$3:I$19="P"))+SUMPRODUCT((P$3:P$19&lt;&gt;"")*(G$3:G$19=G11)*(I$3:I$19="P"))+SUMPRODUCT((N$3:N$19&lt;&gt;"")*(G$3:G$19=G11)*(I$3:I$19="P"))+SUMPRODUCT((P$3:P$19="")*(O$3:O$19="")*(N$3:N$19="")*(M$3:M$19="P")*(G$3:G$19=G11)*(J$3:J$19&gt;J11)*(I$3:I$19="P"))+1,"")))))</f>
        <v/>
      </c>
      <c r="B11" s="1" t="str" cm="1">
        <f t="array" ref="B11">IF(P11&lt;&gt;"",SUMPRODUCT((P$3:P$19&lt;&gt;"")*(G$3:G$19=G11)*(J$3:J$19&gt;J11))+1,IF(O11&lt;&gt;"",SUMPRODUCT((O$3:O$19&lt;&gt;"")*(P$3:P$19="")*(G$3:G$19=G11)*(J$3:J$19&gt;J11))+SUMPRODUCT((P$3:P$19&lt;&gt;"")*(G$3:G$19=G11))+1,IF(N11&lt;&gt;"",SUMPRODUCT((N$3:N$19&lt;&gt;"")*(G$3:G$19=G11)*(J$3:J$19&gt;J11))+1,IF(M11="P",SUMPRODUCT((O$3:O$19&lt;&gt;"")*(P$3:P$19="")*(G$3:G$19=G11))+SUMPRODUCT((P$3:P$19&lt;&gt;"")*(G$3:G$19=G11))+SUMPRODUCT((N$3:N$19&lt;&gt;"")*(G$3:G$19=G11))+SUMPRODUCT((P$3:P$19="")*(O$3:O$19="")*(N$3:N$19="")*(M$3:M$19="P")*(G$3:G$19=G11)*(J$3:J$19&gt;J11))+1,""))))</f>
        <v/>
      </c>
      <c r="C11" s="36" t="s">
        <v>322</v>
      </c>
      <c r="D11" s="51" t="str">
        <f>IF(E11="","",VLOOKUP(E11,'Coaching Points'!A:B,2,0))</f>
        <v>ON</v>
      </c>
      <c r="E11" s="36" t="s">
        <v>323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125</v>
      </c>
      <c r="I11" s="47"/>
      <c r="J11" s="4">
        <f>MAX(R11,S11)+IF(OR(H11="Junior",H11="Senior"),0.0002,IF(OR(H11="L7",H11="L6"),0.0001,0))+MAX(X11,Z11)*0.0000001</f>
        <v>31.1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/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52" t="str">
        <f>IF(A11&lt;5,IF(_xlfn.MAXIFS(A:A,G:G,G11)&gt;3,5-A11,_xlfn.MAXIFS(A:A,G:G,G11)+1-A11),"")</f>
        <v/>
      </c>
      <c r="R11" s="4">
        <f>MAX(T11,X11)</f>
        <v>31.1</v>
      </c>
      <c r="S11" s="4">
        <f>MAX(V11,Z11)</f>
        <v>0</v>
      </c>
      <c r="T11" s="33">
        <v>31.1</v>
      </c>
      <c r="U11" s="41">
        <v>3.9</v>
      </c>
      <c r="V11" s="34">
        <v>0</v>
      </c>
      <c r="W11" s="41">
        <v>0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$19&lt;&gt;"")*(G$3:G$19=G12)*(J$3:J$19&gt;J12)*(I$3:I$19="P"))+1,IF(O12&lt;&gt;"",SUMPRODUCT((O$3:O$19&lt;&gt;"")*(P$3:P$19="")*(G$3:G$19=G12)*(J$3:J$19&gt;J12)*(I$3:I$19="P"))+SUMPRODUCT((P$3:P$19&lt;&gt;"")*(G$3:G$19=G12))+1,IF(N12&lt;&gt;"",SUMPRODUCT((N$3:N$19&lt;&gt;"")*(G$3:G$19=G12)*(J$3:J$19&gt;J12)*(I$3:I$19="P"))+1,IF(M12="P",SUMPRODUCT((O$3:O$19&lt;&gt;"")*(P$3:P$19="")*(G$3:G$19=G12)*(I$3:I$19="P"))+SUMPRODUCT((P$3:P$19&lt;&gt;"")*(G$3:G$19=G12)*(I$3:I$19="P"))+SUMPRODUCT((N$3:N$19&lt;&gt;"")*(G$3:G$19=G12)*(I$3:I$19="P"))+SUMPRODUCT((P$3:P$19="")*(O$3:O$19="")*(N$3:N$19="")*(M$3:M$19="P")*(G$3:G$19=G12)*(J$3:J$19&gt;J12)*(I$3:I$19="P"))+1,"")))))</f>
        <v/>
      </c>
      <c r="B12" s="1" t="str" cm="1">
        <f t="array" ref="B12">IF(P12&lt;&gt;"",SUMPRODUCT((P$3:P$19&lt;&gt;"")*(G$3:G$19=G12)*(J$3:J$19&gt;J12))+1,IF(O12&lt;&gt;"",SUMPRODUCT((O$3:O$19&lt;&gt;"")*(P$3:P$19="")*(G$3:G$19=G12)*(J$3:J$19&gt;J12))+SUMPRODUCT((P$3:P$19&lt;&gt;"")*(G$3:G$19=G12))+1,IF(N12&lt;&gt;"",SUMPRODUCT((N$3:N$19&lt;&gt;"")*(G$3:G$19=G12)*(J$3:J$19&gt;J12))+1,IF(M12="P",SUMPRODUCT((O$3:O$19&lt;&gt;"")*(P$3:P$19="")*(G$3:G$19=G12))+SUMPRODUCT((P$3:P$19&lt;&gt;"")*(G$3:G$19=G12))+SUMPRODUCT((N$3:N$19&lt;&gt;"")*(G$3:G$19=G12))+SUMPRODUCT((P$3:P$19="")*(O$3:O$19="")*(N$3:N$19="")*(M$3:M$19="P")*(G$3:G$19=G12)*(J$3:J$19&gt;J12))+1,""))))</f>
        <v/>
      </c>
      <c r="C12" s="36" t="s">
        <v>324</v>
      </c>
      <c r="D12" s="51" t="str">
        <f>IF(E12="","",VLOOKUP(E12,'Coaching Points'!A:B,2,0))</f>
        <v>AB</v>
      </c>
      <c r="E12" s="36" t="s">
        <v>100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125</v>
      </c>
      <c r="I12" s="47"/>
      <c r="J12" s="4">
        <f>MAX(R12,S12)+IF(OR(H12="Junior",H12="Senior"),0.0002,IF(OR(H12="L7",H12="L6"),0.0001,0))+MAX(X12,Z12)*0.0000001</f>
        <v>30.6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52" t="str">
        <f>IF(A12&lt;5,IF(_xlfn.MAXIFS(A:A,G:G,G12)&gt;3,5-A12,_xlfn.MAXIFS(A:A,G:G,G12)+1-A12),"")</f>
        <v/>
      </c>
      <c r="R12" s="4">
        <f>MAX(T12,X12)</f>
        <v>30.6</v>
      </c>
      <c r="S12" s="4">
        <f>MAX(V12,Z12)</f>
        <v>0</v>
      </c>
      <c r="T12" s="33">
        <v>30.6</v>
      </c>
      <c r="U12" s="41">
        <v>2.9</v>
      </c>
      <c r="V12" s="34">
        <v>0</v>
      </c>
      <c r="W12" s="41">
        <v>0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$19&lt;&gt;"")*(G$3:G$19=G13)*(J$3:J$19&gt;J13)*(I$3:I$19="P"))+1,IF(O13&lt;&gt;"",SUMPRODUCT((O$3:O$19&lt;&gt;"")*(P$3:P$19="")*(G$3:G$19=G13)*(J$3:J$19&gt;J13)*(I$3:I$19="P"))+SUMPRODUCT((P$3:P$19&lt;&gt;"")*(G$3:G$19=G13))+1,IF(N13&lt;&gt;"",SUMPRODUCT((N$3:N$19&lt;&gt;"")*(G$3:G$19=G13)*(J$3:J$19&gt;J13)*(I$3:I$19="P"))+1,IF(M13="P",SUMPRODUCT((O$3:O$19&lt;&gt;"")*(P$3:P$19="")*(G$3:G$19=G13)*(I$3:I$19="P"))+SUMPRODUCT((P$3:P$19&lt;&gt;"")*(G$3:G$19=G13)*(I$3:I$19="P"))+SUMPRODUCT((N$3:N$19&lt;&gt;"")*(G$3:G$19=G13)*(I$3:I$19="P"))+SUMPRODUCT((P$3:P$19="")*(O$3:O$19="")*(N$3:N$19="")*(M$3:M$19="P")*(G$3:G$19=G13)*(J$3:J$19&gt;J13)*(I$3:I$19="P"))+1,"")))))</f>
        <v/>
      </c>
      <c r="B13" s="1" cm="1">
        <f t="array" ref="B13">IF(P13&lt;&gt;"",SUMPRODUCT((P$3:P$19&lt;&gt;"")*(G$3:G$19=G13)*(J$3:J$19&gt;J13))+1,IF(O13&lt;&gt;"",SUMPRODUCT((O$3:O$19&lt;&gt;"")*(P$3:P$19="")*(G$3:G$19=G13)*(J$3:J$19&gt;J13))+SUMPRODUCT((P$3:P$19&lt;&gt;"")*(G$3:G$19=G13))+1,IF(N13&lt;&gt;"",SUMPRODUCT((N$3:N$19&lt;&gt;"")*(G$3:G$19=G13)*(J$3:J$19&gt;J13))+1,IF(M13="P",SUMPRODUCT((O$3:O$19&lt;&gt;"")*(P$3:P$19="")*(G$3:G$19=G13))+SUMPRODUCT((P$3:P$19&lt;&gt;"")*(G$3:G$19=G13))+SUMPRODUCT((N$3:N$19&lt;&gt;"")*(G$3:G$19=G13))+SUMPRODUCT((P$3:P$19="")*(O$3:O$19="")*(N$3:N$19="")*(M$3:M$19="P")*(G$3:G$19=G13)*(J$3:J$19&gt;J13))+1,""))))</f>
        <v>1</v>
      </c>
      <c r="C13" s="36" t="s">
        <v>315</v>
      </c>
      <c r="D13" s="51" t="str">
        <f>IF(E13="","",VLOOKUP(E13,'Coaching Points'!A:B,2,0))</f>
        <v>ON</v>
      </c>
      <c r="E13" s="36" t="s">
        <v>316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15-16</v>
      </c>
      <c r="H13" s="1" t="s">
        <v>124</v>
      </c>
      <c r="I13" s="47"/>
      <c r="J13" s="4">
        <f>MAX(R13,S13)+IF(OR(H13="Junior",H13="Senior"),0.0002,IF(OR(H13="L7",H13="L6"),0.0001,0))+MAX(X13,Z13)*0.0000001</f>
        <v>48.400200000000005</v>
      </c>
      <c r="K13" s="3" t="str">
        <f>IF(G13="Not Age Eligible","",IF(MAX(T13,V13,X13,Z13)&gt;=LOOKUP(G13,'Qualifying Scores'!$A$4:$A$7,'Qualifying Scores'!$H$4:$H$7),"P",""))</f>
        <v>P</v>
      </c>
      <c r="L13" s="3" t="str">
        <f>IF(G13="Not Age Eligible","",IF(MAX(U13,W13,Y13,AA13)&gt;=LOOKUP(G13,'Qualifying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>P</v>
      </c>
      <c r="N13" s="39">
        <v>1</v>
      </c>
      <c r="Q13" s="52" t="str">
        <f>IF(A13&lt;5,IF(_xlfn.MAXIFS(A:A,G:G,G13)&gt;3,5-A13,_xlfn.MAXIFS(A:A,G:G,G13)+1-A13),"")</f>
        <v/>
      </c>
      <c r="R13" s="4">
        <f>MAX(T13,X13)</f>
        <v>48.3</v>
      </c>
      <c r="S13" s="4">
        <f>MAX(V13,Z13)</f>
        <v>48.400000000000006</v>
      </c>
      <c r="T13" s="33">
        <v>48.3</v>
      </c>
      <c r="U13" s="41">
        <v>13.200000000000001</v>
      </c>
      <c r="V13" s="34">
        <v>48.400000000000006</v>
      </c>
      <c r="W13" s="41">
        <v>12.8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$19&lt;&gt;"")*(G$3:G$19=G14)*(J$3:J$19&gt;J14)*(I$3:I$19="P"))+1,IF(O14&lt;&gt;"",SUMPRODUCT((O$3:O$19&lt;&gt;"")*(P$3:P$19="")*(G$3:G$19=G14)*(J$3:J$19&gt;J14)*(I$3:I$19="P"))+SUMPRODUCT((P$3:P$19&lt;&gt;"")*(G$3:G$19=G14))+1,IF(N14&lt;&gt;"",SUMPRODUCT((N$3:N$19&lt;&gt;"")*(G$3:G$19=G14)*(J$3:J$19&gt;J14)*(I$3:I$19="P"))+1,IF(M14="P",SUMPRODUCT((O$3:O$19&lt;&gt;"")*(P$3:P$19="")*(G$3:G$19=G14)*(I$3:I$19="P"))+SUMPRODUCT((P$3:P$19&lt;&gt;"")*(G$3:G$19=G14)*(I$3:I$19="P"))+SUMPRODUCT((N$3:N$19&lt;&gt;"")*(G$3:G$19=G14)*(I$3:I$19="P"))+SUMPRODUCT((P$3:P$19="")*(O$3:O$19="")*(N$3:N$19="")*(M$3:M$19="P")*(G$3:G$19=G14)*(J$3:J$19&gt;J14)*(I$3:I$19="P"))+1,"")))))</f>
        <v/>
      </c>
      <c r="B14" s="1" t="str" cm="1">
        <f t="array" ref="B14">IF(P14&lt;&gt;"",SUMPRODUCT((P$3:P$19&lt;&gt;"")*(G$3:G$19=G14)*(J$3:J$19&gt;J14))+1,IF(O14&lt;&gt;"",SUMPRODUCT((O$3:O$19&lt;&gt;"")*(P$3:P$19="")*(G$3:G$19=G14)*(J$3:J$19&gt;J14))+SUMPRODUCT((P$3:P$19&lt;&gt;"")*(G$3:G$19=G14))+1,IF(N14&lt;&gt;"",SUMPRODUCT((N$3:N$19&lt;&gt;"")*(G$3:G$19=G14)*(J$3:J$19&gt;J14))+1,IF(M14="P",SUMPRODUCT((O$3:O$19&lt;&gt;"")*(P$3:P$19="")*(G$3:G$19=G14))+SUMPRODUCT((P$3:P$19&lt;&gt;"")*(G$3:G$19=G14))+SUMPRODUCT((N$3:N$19&lt;&gt;"")*(G$3:G$19=G14))+SUMPRODUCT((P$3:P$19="")*(O$3:O$19="")*(N$3:N$19="")*(M$3:M$19="P")*(G$3:G$19=G14)*(J$3:J$19&gt;J14))+1,""))))</f>
        <v/>
      </c>
      <c r="C14" s="36" t="s">
        <v>194</v>
      </c>
      <c r="D14" s="51" t="str">
        <f>IF(E14="","",VLOOKUP(E14,'Coaching Points'!A:B,2,0))</f>
        <v>BC</v>
      </c>
      <c r="E14" s="36" t="s">
        <v>154</v>
      </c>
      <c r="F14" s="35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15-16</v>
      </c>
      <c r="H14" s="1" t="s">
        <v>125</v>
      </c>
      <c r="I14" s="47"/>
      <c r="J14" s="4">
        <f>MAX(R14,S14)+IF(OR(H14="Junior",H14="Senior"),0.0002,IF(OR(H14="L7",H14="L6"),0.0001,0))+MAX(X14,Z14)*0.0000001</f>
        <v>37.599999999999994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52" t="str">
        <f>IF(A14&lt;5,IF(_xlfn.MAXIFS(A:A,G:G,G14)&gt;3,5-A14,_xlfn.MAXIFS(A:A,G:G,G14)+1-A14),"")</f>
        <v/>
      </c>
      <c r="R14" s="4">
        <f>MAX(T14,X14)</f>
        <v>34.799999999999997</v>
      </c>
      <c r="S14" s="4">
        <f>MAX(V14,Z14)</f>
        <v>37.599999999999994</v>
      </c>
      <c r="T14" s="33">
        <v>34.799999999999997</v>
      </c>
      <c r="U14" s="41">
        <v>4.1999999999999993</v>
      </c>
      <c r="V14" s="34">
        <v>37.599999999999994</v>
      </c>
      <c r="W14" s="41">
        <v>5.0999999999999996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$19&lt;&gt;"")*(G$3:G$19=G15)*(J$3:J$19&gt;J15)*(I$3:I$19="P"))+1,IF(O15&lt;&gt;"",SUMPRODUCT((O$3:O$19&lt;&gt;"")*(P$3:P$19="")*(G$3:G$19=G15)*(J$3:J$19&gt;J15)*(I$3:I$19="P"))+SUMPRODUCT((P$3:P$19&lt;&gt;"")*(G$3:G$19=G15))+1,IF(N15&lt;&gt;"",SUMPRODUCT((N$3:N$19&lt;&gt;"")*(G$3:G$19=G15)*(J$3:J$19&gt;J15)*(I$3:I$19="P"))+1,IF(M15="P",SUMPRODUCT((O$3:O$19&lt;&gt;"")*(P$3:P$19="")*(G$3:G$19=G15)*(I$3:I$19="P"))+SUMPRODUCT((P$3:P$19&lt;&gt;"")*(G$3:G$19=G15)*(I$3:I$19="P"))+SUMPRODUCT((N$3:N$19&lt;&gt;"")*(G$3:G$19=G15)*(I$3:I$19="P"))+SUMPRODUCT((P$3:P$19="")*(O$3:O$19="")*(N$3:N$19="")*(M$3:M$19="P")*(G$3:G$19=G15)*(J$3:J$19&gt;J15)*(I$3:I$19="P"))+1,"")))))</f>
        <v/>
      </c>
      <c r="B15" s="1" t="str" cm="1">
        <f t="array" ref="B15">IF(P15&lt;&gt;"",SUMPRODUCT((P$3:P$19&lt;&gt;"")*(G$3:G$19=G15)*(J$3:J$19&gt;J15))+1,IF(O15&lt;&gt;"",SUMPRODUCT((O$3:O$19&lt;&gt;"")*(P$3:P$19="")*(G$3:G$19=G15)*(J$3:J$19&gt;J15))+SUMPRODUCT((P$3:P$19&lt;&gt;"")*(G$3:G$19=G15))+1,IF(N15&lt;&gt;"",SUMPRODUCT((N$3:N$19&lt;&gt;"")*(G$3:G$19=G15)*(J$3:J$19&gt;J15))+1,IF(M15="P",SUMPRODUCT((O$3:O$19&lt;&gt;"")*(P$3:P$19="")*(G$3:G$19=G15))+SUMPRODUCT((P$3:P$19&lt;&gt;"")*(G$3:G$19=G15))+SUMPRODUCT((N$3:N$19&lt;&gt;"")*(G$3:G$19=G15))+SUMPRODUCT((P$3:P$19="")*(O$3:O$19="")*(N$3:N$19="")*(M$3:M$19="P")*(G$3:G$19=G15)*(J$3:J$19&gt;J15))+1,""))))</f>
        <v/>
      </c>
      <c r="C15" s="36" t="s">
        <v>318</v>
      </c>
      <c r="D15" s="51" t="str">
        <f>IF(E15="","",VLOOKUP(E15,'Coaching Points'!A:B,2,0))</f>
        <v>QC</v>
      </c>
      <c r="E15" s="36" t="s">
        <v>376</v>
      </c>
      <c r="F15" s="35">
        <v>2006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15-16</v>
      </c>
      <c r="H15" s="1" t="s">
        <v>125</v>
      </c>
      <c r="I15" s="47"/>
      <c r="J15" s="4">
        <f>MAX(R15,S15)+IF(OR(H15="Junior",H15="Senior"),0.0002,IF(OR(H15="L7",H15="L6"),0.0001,0))+MAX(X15,Z15)*0.0000001</f>
        <v>35.659999999999997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52" t="str">
        <f>IF(A15&lt;5,IF(_xlfn.MAXIFS(A:A,G:G,G15)&gt;3,5-A15,_xlfn.MAXIFS(A:A,G:G,G15)+1-A15),"")</f>
        <v/>
      </c>
      <c r="R15" s="4">
        <f>MAX(T15,X15)</f>
        <v>35.599999999999994</v>
      </c>
      <c r="S15" s="4">
        <f>MAX(V15,Z15)</f>
        <v>35.659999999999997</v>
      </c>
      <c r="T15" s="33">
        <v>35.599999999999994</v>
      </c>
      <c r="U15" s="41">
        <v>4.3</v>
      </c>
      <c r="V15" s="34">
        <v>35.659999999999997</v>
      </c>
      <c r="W15" s="41">
        <v>5.2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$19&lt;&gt;"")*(G$3:G$19=G16)*(J$3:J$19&gt;J16)*(I$3:I$19="P"))+1,IF(O16&lt;&gt;"",SUMPRODUCT((O$3:O$19&lt;&gt;"")*(P$3:P$19="")*(G$3:G$19=G16)*(J$3:J$19&gt;J16)*(I$3:I$19="P"))+SUMPRODUCT((P$3:P$19&lt;&gt;"")*(G$3:G$19=G16))+1,IF(N16&lt;&gt;"",SUMPRODUCT((N$3:N$19&lt;&gt;"")*(G$3:G$19=G16)*(J$3:J$19&gt;J16)*(I$3:I$19="P"))+1,IF(M16="P",SUMPRODUCT((O$3:O$19&lt;&gt;"")*(P$3:P$19="")*(G$3:G$19=G16)*(I$3:I$19="P"))+SUMPRODUCT((P$3:P$19&lt;&gt;"")*(G$3:G$19=G16)*(I$3:I$19="P"))+SUMPRODUCT((N$3:N$19&lt;&gt;"")*(G$3:G$19=G16)*(I$3:I$19="P"))+SUMPRODUCT((P$3:P$19="")*(O$3:O$19="")*(N$3:N$19="")*(M$3:M$19="P")*(G$3:G$19=G16)*(J$3:J$19&gt;J16)*(I$3:I$19="P"))+1,"")))))</f>
        <v/>
      </c>
      <c r="B16" s="1" t="str" cm="1">
        <f t="array" ref="B16">IF(P16&lt;&gt;"",SUMPRODUCT((P$3:P$19&lt;&gt;"")*(G$3:G$19=G16)*(J$3:J$19&gt;J16))+1,IF(O16&lt;&gt;"",SUMPRODUCT((O$3:O$19&lt;&gt;"")*(P$3:P$19="")*(G$3:G$19=G16)*(J$3:J$19&gt;J16))+SUMPRODUCT((P$3:P$19&lt;&gt;"")*(G$3:G$19=G16))+1,IF(N16&lt;&gt;"",SUMPRODUCT((N$3:N$19&lt;&gt;"")*(G$3:G$19=G16)*(J$3:J$19&gt;J16))+1,IF(M16="P",SUMPRODUCT((O$3:O$19&lt;&gt;"")*(P$3:P$19="")*(G$3:G$19=G16))+SUMPRODUCT((P$3:P$19&lt;&gt;"")*(G$3:G$19=G16))+SUMPRODUCT((N$3:N$19&lt;&gt;"")*(G$3:G$19=G16))+SUMPRODUCT((P$3:P$19="")*(O$3:O$19="")*(N$3:N$19="")*(M$3:M$19="P")*(G$3:G$19=G16)*(J$3:J$19&gt;J16))+1,""))))</f>
        <v/>
      </c>
      <c r="C16" s="36" t="s">
        <v>189</v>
      </c>
      <c r="D16" s="51" t="str">
        <f>IF(E16="","",VLOOKUP(E16,'Coaching Points'!A:B,2,0))</f>
        <v>ON</v>
      </c>
      <c r="E16" s="36" t="s">
        <v>49</v>
      </c>
      <c r="F16" s="35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13-14</v>
      </c>
      <c r="H16" s="1" t="s">
        <v>125</v>
      </c>
      <c r="I16" s="47"/>
      <c r="J16" s="4">
        <f>MAX(R16,S16)+IF(OR(H16="Junior",H16="Senior"),0.0002,IF(OR(H16="L7",H16="L6"),0.0001,0))+MAX(X16,Z16)*0.0000001</f>
        <v>39.5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52" t="str">
        <f>IF(A16&lt;5,IF(_xlfn.MAXIFS(A:A,G:G,G16)&gt;3,5-A16,_xlfn.MAXIFS(A:A,G:G,G16)+1-A16),"")</f>
        <v/>
      </c>
      <c r="R16" s="4">
        <f>MAX(T16,X16)</f>
        <v>39.5</v>
      </c>
      <c r="S16" s="4">
        <f>MAX(V16,Z16)</f>
        <v>0</v>
      </c>
      <c r="T16" s="33">
        <v>39.5</v>
      </c>
      <c r="U16" s="41">
        <v>6.2</v>
      </c>
      <c r="V16" s="34">
        <v>0</v>
      </c>
      <c r="W16" s="41">
        <v>0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$19&lt;&gt;"")*(G$3:G$19=G17)*(J$3:J$19&gt;J17)*(I$3:I$19="P"))+1,IF(O17&lt;&gt;"",SUMPRODUCT((O$3:O$19&lt;&gt;"")*(P$3:P$19="")*(G$3:G$19=G17)*(J$3:J$19&gt;J17)*(I$3:I$19="P"))+SUMPRODUCT((P$3:P$19&lt;&gt;"")*(G$3:G$19=G17))+1,IF(N17&lt;&gt;"",SUMPRODUCT((N$3:N$19&lt;&gt;"")*(G$3:G$19=G17)*(J$3:J$19&gt;J17)*(I$3:I$19="P"))+1,IF(M17="P",SUMPRODUCT((O$3:O$19&lt;&gt;"")*(P$3:P$19="")*(G$3:G$19=G17)*(I$3:I$19="P"))+SUMPRODUCT((P$3:P$19&lt;&gt;"")*(G$3:G$19=G17)*(I$3:I$19="P"))+SUMPRODUCT((N$3:N$19&lt;&gt;"")*(G$3:G$19=G17)*(I$3:I$19="P"))+SUMPRODUCT((P$3:P$19="")*(O$3:O$19="")*(N$3:N$19="")*(M$3:M$19="P")*(G$3:G$19=G17)*(J$3:J$19&gt;J17)*(I$3:I$19="P"))+1,"")))))</f>
        <v/>
      </c>
      <c r="B17" s="1" t="str" cm="1">
        <f t="array" ref="B17">IF(P17&lt;&gt;"",SUMPRODUCT((P$3:P$19&lt;&gt;"")*(G$3:G$19=G17)*(J$3:J$19&gt;J17))+1,IF(O17&lt;&gt;"",SUMPRODUCT((O$3:O$19&lt;&gt;"")*(P$3:P$19="")*(G$3:G$19=G17)*(J$3:J$19&gt;J17))+SUMPRODUCT((P$3:P$19&lt;&gt;"")*(G$3:G$19=G17))+1,IF(N17&lt;&gt;"",SUMPRODUCT((N$3:N$19&lt;&gt;"")*(G$3:G$19=G17)*(J$3:J$19&gt;J17))+1,IF(M17="P",SUMPRODUCT((O$3:O$19&lt;&gt;"")*(P$3:P$19="")*(G$3:G$19=G17))+SUMPRODUCT((P$3:P$19&lt;&gt;"")*(G$3:G$19=G17))+SUMPRODUCT((N$3:N$19&lt;&gt;"")*(G$3:G$19=G17))+SUMPRODUCT((P$3:P$19="")*(O$3:O$19="")*(N$3:N$19="")*(M$3:M$19="P")*(G$3:G$19=G17)*(J$3:J$19&gt;J17))+1,""))))</f>
        <v/>
      </c>
      <c r="C17" s="36" t="s">
        <v>190</v>
      </c>
      <c r="D17" s="51" t="str">
        <f>IF(E17="","",VLOOKUP(E17,'Coaching Points'!A:B,2,0))</f>
        <v>AB</v>
      </c>
      <c r="E17" s="36" t="s">
        <v>100</v>
      </c>
      <c r="F17" s="35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13-14</v>
      </c>
      <c r="H17" s="1" t="s">
        <v>125</v>
      </c>
      <c r="I17" s="47"/>
      <c r="J17" s="4">
        <f>MAX(R17,S17)+IF(OR(H17="Junior",H17="Senior"),0.0002,IF(OR(H17="L7",H17="L6"),0.0001,0))+MAX(X17,Z17)*0.0000001</f>
        <v>37.6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52" t="str">
        <f>IF(A17&lt;5,IF(_xlfn.MAXIFS(A:A,G:G,G17)&gt;3,5-A17,_xlfn.MAXIFS(A:A,G:G,G17)+1-A17),"")</f>
        <v/>
      </c>
      <c r="R17" s="4">
        <f>MAX(T17,X17)</f>
        <v>37.6</v>
      </c>
      <c r="S17" s="4">
        <f>MAX(V17,Z17)</f>
        <v>34.200000000000003</v>
      </c>
      <c r="T17" s="33">
        <v>37.6</v>
      </c>
      <c r="U17" s="41">
        <v>5.3000000000000007</v>
      </c>
      <c r="V17" s="34">
        <v>34.200000000000003</v>
      </c>
      <c r="W17" s="41">
        <v>5.3000000000000007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$19&lt;&gt;"")*(G$3:G$19=G18)*(J$3:J$19&gt;J18)*(I$3:I$19="P"))+1,IF(O18&lt;&gt;"",SUMPRODUCT((O$3:O$19&lt;&gt;"")*(P$3:P$19="")*(G$3:G$19=G18)*(J$3:J$19&gt;J18)*(I$3:I$19="P"))+SUMPRODUCT((P$3:P$19&lt;&gt;"")*(G$3:G$19=G18))+1,IF(N18&lt;&gt;"",SUMPRODUCT((N$3:N$19&lt;&gt;"")*(G$3:G$19=G18)*(J$3:J$19&gt;J18)*(I$3:I$19="P"))+1,IF(M18="P",SUMPRODUCT((O$3:O$19&lt;&gt;"")*(P$3:P$19="")*(G$3:G$19=G18)*(I$3:I$19="P"))+SUMPRODUCT((P$3:P$19&lt;&gt;"")*(G$3:G$19=G18)*(I$3:I$19="P"))+SUMPRODUCT((N$3:N$19&lt;&gt;"")*(G$3:G$19=G18)*(I$3:I$19="P"))+SUMPRODUCT((P$3:P$19="")*(O$3:O$19="")*(N$3:N$19="")*(M$3:M$19="P")*(G$3:G$19=G18)*(J$3:J$19&gt;J18)*(I$3:I$19="P"))+1,"")))))</f>
        <v/>
      </c>
      <c r="B18" s="1" t="str" cm="1">
        <f t="array" ref="B18">IF(P18&lt;&gt;"",SUMPRODUCT((P$3:P$19&lt;&gt;"")*(G$3:G$19=G18)*(J$3:J$19&gt;J18))+1,IF(O18&lt;&gt;"",SUMPRODUCT((O$3:O$19&lt;&gt;"")*(P$3:P$19="")*(G$3:G$19=G18)*(J$3:J$19&gt;J18))+SUMPRODUCT((P$3:P$19&lt;&gt;"")*(G$3:G$19=G18))+1,IF(N18&lt;&gt;"",SUMPRODUCT((N$3:N$19&lt;&gt;"")*(G$3:G$19=G18)*(J$3:J$19&gt;J18))+1,IF(M18="P",SUMPRODUCT((O$3:O$19&lt;&gt;"")*(P$3:P$19="")*(G$3:G$19=G18))+SUMPRODUCT((P$3:P$19&lt;&gt;"")*(G$3:G$19=G18))+SUMPRODUCT((N$3:N$19&lt;&gt;"")*(G$3:G$19=G18))+SUMPRODUCT((P$3:P$19="")*(O$3:O$19="")*(N$3:N$19="")*(M$3:M$19="P")*(G$3:G$19=G18)*(J$3:J$19&gt;J18))+1,""))))</f>
        <v/>
      </c>
      <c r="C18" s="36" t="s">
        <v>188</v>
      </c>
      <c r="D18" s="51" t="str">
        <f>IF(E18="","",VLOOKUP(E18,'Coaching Points'!A:B,2,0))</f>
        <v>AB</v>
      </c>
      <c r="E18" s="36" t="s">
        <v>148</v>
      </c>
      <c r="F18" s="35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13-14</v>
      </c>
      <c r="H18" s="1" t="s">
        <v>125</v>
      </c>
      <c r="I18" s="47"/>
      <c r="J18" s="4">
        <f>MAX(R18,S18)+IF(OR(H18="Junior",H18="Senior"),0.0002,IF(OR(H18="L7",H18="L6"),0.0001,0))+MAX(X18,Z18)*0.0000001</f>
        <v>35.700000000000003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52" t="str">
        <f>IF(A18&lt;5,IF(_xlfn.MAXIFS(A:A,G:G,G18)&gt;3,5-A18,_xlfn.MAXIFS(A:A,G:G,G18)+1-A18),"")</f>
        <v/>
      </c>
      <c r="R18" s="4">
        <f>MAX(T18,X18)</f>
        <v>35.099999999999994</v>
      </c>
      <c r="S18" s="4">
        <f>MAX(V18,Z18)</f>
        <v>35.700000000000003</v>
      </c>
      <c r="T18" s="33">
        <v>35.099999999999994</v>
      </c>
      <c r="U18" s="41">
        <v>4.7999999999999989</v>
      </c>
      <c r="V18" s="34">
        <v>35.700000000000003</v>
      </c>
      <c r="W18" s="41">
        <v>4.7999999999999989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$19&lt;&gt;"")*(G$3:G$19=G19)*(J$3:J$19&gt;J19)*(I$3:I$19="P"))+1,IF(O19&lt;&gt;"",SUMPRODUCT((O$3:O$19&lt;&gt;"")*(P$3:P$19="")*(G$3:G$19=G19)*(J$3:J$19&gt;J19)*(I$3:I$19="P"))+SUMPRODUCT((P$3:P$19&lt;&gt;"")*(G$3:G$19=G19))+1,IF(N19&lt;&gt;"",SUMPRODUCT((N$3:N$19&lt;&gt;"")*(G$3:G$19=G19)*(J$3:J$19&gt;J19)*(I$3:I$19="P"))+1,IF(M19="P",SUMPRODUCT((O$3:O$19&lt;&gt;"")*(P$3:P$19="")*(G$3:G$19=G19)*(I$3:I$19="P"))+SUMPRODUCT((P$3:P$19&lt;&gt;"")*(G$3:G$19=G19)*(I$3:I$19="P"))+SUMPRODUCT((N$3:N$19&lt;&gt;"")*(G$3:G$19=G19)*(I$3:I$19="P"))+SUMPRODUCT((P$3:P$19="")*(O$3:O$19="")*(N$3:N$19="")*(M$3:M$19="P")*(G$3:G$19=G19)*(J$3:J$19&gt;J19)*(I$3:I$19="P"))+1,"")))))</f>
        <v/>
      </c>
      <c r="B19" s="1" t="str" cm="1">
        <f t="array" ref="B19">IF(P19&lt;&gt;"",SUMPRODUCT((P$3:P$19&lt;&gt;"")*(G$3:G$19=G19)*(J$3:J$19&gt;J19))+1,IF(O19&lt;&gt;"",SUMPRODUCT((O$3:O$19&lt;&gt;"")*(P$3:P$19="")*(G$3:G$19=G19)*(J$3:J$19&gt;J19))+SUMPRODUCT((P$3:P$19&lt;&gt;"")*(G$3:G$19=G19))+1,IF(N19&lt;&gt;"",SUMPRODUCT((N$3:N$19&lt;&gt;"")*(G$3:G$19=G19)*(J$3:J$19&gt;J19))+1,IF(M19="P",SUMPRODUCT((O$3:O$19&lt;&gt;"")*(P$3:P$19="")*(G$3:G$19=G19))+SUMPRODUCT((P$3:P$19&lt;&gt;"")*(G$3:G$19=G19))+SUMPRODUCT((N$3:N$19&lt;&gt;"")*(G$3:G$19=G19))+SUMPRODUCT((P$3:P$19="")*(O$3:O$19="")*(N$3:N$19="")*(M$3:M$19="P")*(G$3:G$19=G19)*(J$3:J$19&gt;J19))+1,""))))</f>
        <v/>
      </c>
      <c r="C19" s="36" t="s">
        <v>317</v>
      </c>
      <c r="D19" s="51" t="str">
        <f>IF(E19="","",VLOOKUP(E19,'Coaching Points'!A:B,2,0))</f>
        <v>AB</v>
      </c>
      <c r="E19" s="36" t="s">
        <v>100</v>
      </c>
      <c r="F19" s="35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13-14</v>
      </c>
      <c r="H19" s="1" t="s">
        <v>125</v>
      </c>
      <c r="I19" s="47"/>
      <c r="J19" s="4">
        <f>MAX(R19,S19)+IF(OR(H19="Junior",H19="Senior"),0.0002,IF(OR(H19="L7",H19="L6"),0.0001,0))+MAX(X19,Z19)*0.0000001</f>
        <v>33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52" t="str">
        <f>IF(A19&lt;5,IF(_xlfn.MAXIFS(A:A,G:G,G19)&gt;3,5-A19,_xlfn.MAXIFS(A:A,G:G,G19)+1-A19),"")</f>
        <v/>
      </c>
      <c r="R19" s="4">
        <f>MAX(T19,X19)</f>
        <v>33</v>
      </c>
      <c r="S19" s="4">
        <f>MAX(V19,Z19)</f>
        <v>0</v>
      </c>
      <c r="T19" s="33">
        <v>33</v>
      </c>
      <c r="U19" s="41">
        <v>5.8000000000000007</v>
      </c>
      <c r="V19" s="34">
        <v>0</v>
      </c>
      <c r="W19" s="41">
        <v>0</v>
      </c>
      <c r="X19" s="33"/>
      <c r="Y19" s="41"/>
      <c r="Z19" s="34"/>
      <c r="AA19" s="37"/>
    </row>
    <row r="20" spans="1:27" x14ac:dyDescent="0.2">
      <c r="G20" s="1"/>
      <c r="H20" s="1"/>
      <c r="J20" s="4"/>
      <c r="K20" s="3"/>
      <c r="L20" s="3"/>
      <c r="R20" s="4"/>
      <c r="S20" s="4"/>
      <c r="T20" s="33"/>
      <c r="U20" s="41"/>
      <c r="V20" s="34"/>
      <c r="W20" s="41"/>
      <c r="X20" s="33"/>
      <c r="Y20" s="41"/>
      <c r="Z20" s="34"/>
      <c r="AA20" s="37"/>
    </row>
    <row r="21" spans="1:27" x14ac:dyDescent="0.2">
      <c r="G21" s="1"/>
      <c r="H21" s="1"/>
      <c r="J21" s="4"/>
      <c r="K21" s="3"/>
      <c r="L21" s="3"/>
      <c r="R21" s="4"/>
      <c r="S21" s="4"/>
      <c r="T21" s="33"/>
      <c r="U21" s="41"/>
      <c r="V21" s="34"/>
      <c r="W21" s="41"/>
      <c r="X21" s="33"/>
      <c r="Y21" s="41"/>
      <c r="Z21" s="34"/>
      <c r="AA21" s="37"/>
    </row>
    <row r="22" spans="1:27" x14ac:dyDescent="0.2">
      <c r="G22" s="1"/>
      <c r="H22" s="1"/>
      <c r="J22" s="4"/>
      <c r="K22" s="3"/>
      <c r="L22" s="3"/>
      <c r="R22" s="4"/>
      <c r="S22" s="4"/>
      <c r="T22" s="33"/>
      <c r="U22" s="41"/>
      <c r="V22" s="34"/>
      <c r="W22" s="41"/>
      <c r="X22" s="33"/>
      <c r="Y22" s="41"/>
      <c r="Z22" s="34"/>
      <c r="AA22" s="37"/>
    </row>
    <row r="23" spans="1:27" x14ac:dyDescent="0.2">
      <c r="G23" s="1"/>
      <c r="H23" s="1"/>
      <c r="J23" s="4"/>
      <c r="K23" s="3"/>
      <c r="L23" s="3"/>
      <c r="R23" s="4"/>
      <c r="S23" s="4"/>
      <c r="T23" s="33"/>
      <c r="U23" s="41"/>
      <c r="V23" s="34"/>
      <c r="W23" s="41"/>
      <c r="X23" s="33"/>
      <c r="Y23" s="41"/>
      <c r="Z23" s="34"/>
      <c r="AA23" s="37"/>
    </row>
    <row r="24" spans="1:27" x14ac:dyDescent="0.2">
      <c r="G24" s="1"/>
      <c r="H24" s="1"/>
      <c r="J24" s="4"/>
      <c r="K24" s="3"/>
      <c r="L24" s="3"/>
      <c r="R24" s="4"/>
      <c r="S24" s="4"/>
      <c r="T24" s="33"/>
      <c r="U24" s="41"/>
      <c r="V24" s="34"/>
      <c r="W24" s="41"/>
      <c r="X24" s="33"/>
      <c r="Y24" s="41"/>
      <c r="Z24" s="34"/>
      <c r="AA24" s="37"/>
    </row>
    <row r="25" spans="1:27" x14ac:dyDescent="0.2">
      <c r="G25" s="1"/>
      <c r="H25" s="1"/>
      <c r="J25" s="4"/>
      <c r="K25" s="3"/>
      <c r="L25" s="3"/>
      <c r="R25" s="4"/>
      <c r="S25" s="4"/>
      <c r="T25" s="33"/>
      <c r="U25" s="41"/>
      <c r="V25" s="34"/>
      <c r="W25" s="41"/>
      <c r="X25" s="33"/>
      <c r="Y25" s="41"/>
      <c r="Z25" s="34"/>
      <c r="AA25" s="37"/>
    </row>
    <row r="26" spans="1:27" x14ac:dyDescent="0.2">
      <c r="G26" s="1"/>
      <c r="H26" s="1"/>
      <c r="J26" s="4"/>
      <c r="K26" s="3"/>
      <c r="L26" s="3"/>
      <c r="R26" s="4"/>
      <c r="S26" s="4"/>
      <c r="T26" s="33"/>
      <c r="U26" s="41"/>
      <c r="V26" s="34"/>
      <c r="W26" s="41"/>
      <c r="X26" s="33"/>
      <c r="Y26" s="41"/>
      <c r="Z26" s="34"/>
      <c r="AA26" s="37"/>
    </row>
    <row r="27" spans="1:27" x14ac:dyDescent="0.2">
      <c r="G27" s="1"/>
      <c r="H27" s="1"/>
      <c r="J27" s="4"/>
      <c r="K27" s="3"/>
      <c r="L27" s="3"/>
      <c r="R27" s="4"/>
      <c r="S27" s="4"/>
      <c r="T27" s="33"/>
      <c r="U27" s="41"/>
      <c r="V27" s="34"/>
      <c r="W27" s="41"/>
      <c r="X27" s="33"/>
      <c r="Y27" s="43"/>
      <c r="Z27" s="40"/>
      <c r="AA27" s="37"/>
    </row>
    <row r="28" spans="1:27" x14ac:dyDescent="0.2">
      <c r="G28" s="1"/>
      <c r="H28" s="1"/>
      <c r="J28" s="4"/>
      <c r="K28" s="3"/>
      <c r="L28" s="3"/>
      <c r="R28" s="4"/>
      <c r="S28" s="4"/>
      <c r="T28" s="33"/>
      <c r="U28" s="42"/>
      <c r="V28" s="44"/>
      <c r="W28" s="37"/>
      <c r="X28" s="33"/>
      <c r="Y28" s="41"/>
      <c r="Z28" s="34"/>
      <c r="AA28" s="37"/>
    </row>
    <row r="29" spans="1:27" x14ac:dyDescent="0.2">
      <c r="G29" s="1"/>
      <c r="H29" s="1"/>
      <c r="J29" s="4"/>
      <c r="K29" s="3"/>
      <c r="L29" s="3"/>
      <c r="R29" s="4"/>
      <c r="S29" s="4"/>
      <c r="T29" s="33"/>
      <c r="U29" s="42"/>
      <c r="V29" s="44"/>
      <c r="W29" s="37"/>
      <c r="X29" s="33"/>
      <c r="Y29" s="41"/>
      <c r="Z29" s="34"/>
      <c r="AA29" s="37"/>
    </row>
    <row r="30" spans="1:27" x14ac:dyDescent="0.2">
      <c r="G30" s="1"/>
      <c r="H30" s="1"/>
      <c r="J30" s="4"/>
      <c r="K30" s="3"/>
      <c r="L30" s="3"/>
      <c r="R30" s="4"/>
      <c r="S30" s="4"/>
      <c r="T30" s="33"/>
      <c r="U30" s="42"/>
      <c r="V30" s="44"/>
      <c r="W30" s="37"/>
      <c r="X30" s="33"/>
      <c r="Y30" s="41"/>
      <c r="Z30" s="34"/>
      <c r="AA30" s="37"/>
    </row>
    <row r="31" spans="1:27" x14ac:dyDescent="0.2">
      <c r="G31" s="1"/>
      <c r="H31" s="1"/>
      <c r="J31" s="4"/>
      <c r="K31" s="3"/>
      <c r="L31" s="3"/>
      <c r="R31" s="4"/>
      <c r="S31" s="4"/>
      <c r="T31" s="33"/>
      <c r="U31" s="42"/>
      <c r="V31" s="44"/>
      <c r="W31" s="37"/>
      <c r="X31" s="33"/>
      <c r="Y31" s="41"/>
      <c r="Z31" s="34"/>
      <c r="AA31" s="37"/>
    </row>
    <row r="32" spans="1:27" x14ac:dyDescent="0.2">
      <c r="G32" s="1"/>
      <c r="H32" s="1"/>
      <c r="J32" s="4"/>
      <c r="K32" s="3"/>
      <c r="L32" s="3"/>
      <c r="R32" s="4"/>
      <c r="S32" s="4"/>
      <c r="T32" s="33"/>
      <c r="U32" s="42"/>
      <c r="V32" s="44"/>
      <c r="W32" s="37"/>
      <c r="X32" s="33"/>
      <c r="Y32" s="41"/>
      <c r="Z32" s="34"/>
      <c r="AA32" s="37"/>
    </row>
    <row r="33" spans="7:27" x14ac:dyDescent="0.2">
      <c r="G33" s="1"/>
      <c r="H33" s="1"/>
      <c r="J33" s="4"/>
      <c r="K33" s="3"/>
      <c r="L33" s="3"/>
      <c r="R33" s="4"/>
      <c r="S33" s="4"/>
      <c r="T33" s="33"/>
      <c r="U33" s="41"/>
      <c r="V33" s="34"/>
      <c r="W33" s="42"/>
      <c r="X33" s="33"/>
      <c r="Y33" s="43"/>
      <c r="Z33" s="40"/>
      <c r="AA33" s="37"/>
    </row>
    <row r="34" spans="7:27" x14ac:dyDescent="0.2">
      <c r="G34" s="1"/>
      <c r="H34" s="1"/>
      <c r="J34" s="4"/>
      <c r="K34" s="3"/>
      <c r="L34" s="3"/>
      <c r="R34" s="4"/>
      <c r="S34" s="4"/>
      <c r="T34" s="33"/>
      <c r="U34" s="41"/>
      <c r="V34" s="34"/>
      <c r="W34" s="42"/>
      <c r="X34" s="33"/>
      <c r="Y34" s="41"/>
      <c r="Z34" s="34"/>
      <c r="AA34" s="37"/>
    </row>
    <row r="35" spans="7:27" x14ac:dyDescent="0.2">
      <c r="R35" s="4"/>
      <c r="S35" s="4"/>
      <c r="T35" s="33"/>
      <c r="U35" s="41"/>
      <c r="V35" s="34"/>
      <c r="W35" s="41"/>
      <c r="X35" s="33"/>
      <c r="Y35" s="41"/>
      <c r="Z35" s="34"/>
      <c r="AA35" s="37"/>
    </row>
    <row r="36" spans="7:27" x14ac:dyDescent="0.2">
      <c r="R36" s="4"/>
      <c r="S36" s="4"/>
      <c r="T36" s="33"/>
      <c r="U36" s="41"/>
      <c r="V36" s="34"/>
      <c r="W36" s="41"/>
      <c r="X36" s="33"/>
      <c r="Y36" s="41"/>
      <c r="Z36" s="34"/>
      <c r="AA36" s="37"/>
    </row>
    <row r="37" spans="7:27" x14ac:dyDescent="0.2">
      <c r="R37" s="4"/>
      <c r="S37" s="4"/>
      <c r="T37" s="33"/>
      <c r="U37" s="41"/>
      <c r="V37" s="34"/>
      <c r="W37" s="41"/>
      <c r="X37" s="33"/>
      <c r="Y37" s="41"/>
      <c r="Z37" s="34"/>
      <c r="AA37" s="37"/>
    </row>
    <row r="38" spans="7:27" x14ac:dyDescent="0.2">
      <c r="R38" s="4"/>
      <c r="S38" s="4"/>
      <c r="T38" s="33"/>
      <c r="U38" s="41"/>
      <c r="V38" s="34"/>
      <c r="W38" s="41"/>
      <c r="X38" s="33"/>
      <c r="Y38" s="41"/>
      <c r="Z38" s="34"/>
      <c r="AA38" s="37"/>
    </row>
    <row r="39" spans="7:27" x14ac:dyDescent="0.2">
      <c r="R39" s="4"/>
      <c r="S39" s="4"/>
      <c r="T39" s="33"/>
      <c r="U39" s="41"/>
      <c r="V39" s="34"/>
      <c r="W39" s="41"/>
      <c r="X39" s="33"/>
      <c r="Y39" s="41"/>
      <c r="Z39" s="34"/>
      <c r="AA39" s="37"/>
    </row>
    <row r="40" spans="7:27" x14ac:dyDescent="0.2">
      <c r="R40" s="4"/>
      <c r="S40" s="4"/>
      <c r="T40" s="33"/>
      <c r="U40" s="41"/>
      <c r="V40" s="34"/>
      <c r="W40" s="41"/>
      <c r="X40" s="33"/>
      <c r="Y40" s="41"/>
      <c r="Z40" s="34"/>
      <c r="AA40" s="37"/>
    </row>
    <row r="41" spans="7:27" x14ac:dyDescent="0.2">
      <c r="R41" s="4"/>
      <c r="S41" s="4"/>
      <c r="T41" s="33"/>
      <c r="U41" s="41"/>
      <c r="V41" s="34"/>
      <c r="W41" s="41"/>
      <c r="X41" s="33"/>
      <c r="Y41" s="41"/>
      <c r="Z41" s="34"/>
      <c r="AA41" s="37"/>
    </row>
    <row r="42" spans="7:27" x14ac:dyDescent="0.2">
      <c r="R42" s="4"/>
      <c r="S42" s="4"/>
      <c r="T42" s="33"/>
      <c r="U42" s="41"/>
      <c r="V42" s="34"/>
      <c r="W42" s="41"/>
      <c r="X42" s="33"/>
      <c r="Y42" s="41"/>
      <c r="Z42" s="34"/>
      <c r="AA42" s="37"/>
    </row>
    <row r="43" spans="7:27" x14ac:dyDescent="0.2">
      <c r="R43" s="4"/>
      <c r="S43" s="4"/>
      <c r="T43" s="33"/>
      <c r="U43" s="41"/>
      <c r="V43" s="34"/>
      <c r="W43" s="41"/>
      <c r="X43" s="33"/>
      <c r="Y43" s="41"/>
      <c r="Z43" s="34"/>
      <c r="AA43" s="37"/>
    </row>
    <row r="44" spans="7:27" x14ac:dyDescent="0.2">
      <c r="R44" s="4"/>
      <c r="S44" s="4"/>
      <c r="T44" s="33"/>
      <c r="U44" s="41"/>
      <c r="V44" s="34"/>
      <c r="W44" s="41"/>
      <c r="X44" s="33"/>
      <c r="Y44" s="41"/>
      <c r="Z44" s="34"/>
      <c r="AA44" s="37"/>
    </row>
    <row r="45" spans="7:27" x14ac:dyDescent="0.2">
      <c r="R45" s="4"/>
      <c r="S45" s="4"/>
      <c r="T45" s="33"/>
      <c r="U45" s="41"/>
      <c r="V45" s="34"/>
      <c r="W45" s="41"/>
      <c r="X45" s="33"/>
      <c r="Y45" s="41"/>
      <c r="Z45" s="34"/>
      <c r="AA45" s="37"/>
    </row>
    <row r="46" spans="7:27" x14ac:dyDescent="0.2">
      <c r="R46" s="4"/>
      <c r="S46" s="4"/>
      <c r="T46" s="33"/>
      <c r="U46" s="41"/>
      <c r="V46" s="34"/>
      <c r="W46" s="41"/>
      <c r="X46" s="33"/>
      <c r="Y46" s="41"/>
      <c r="Z46" s="34"/>
      <c r="AA46" s="37"/>
    </row>
    <row r="47" spans="7:27" x14ac:dyDescent="0.2">
      <c r="R47" s="4"/>
      <c r="S47" s="4"/>
      <c r="T47" s="33"/>
      <c r="U47" s="41"/>
      <c r="V47" s="34"/>
      <c r="W47" s="41"/>
      <c r="X47" s="33"/>
      <c r="Y47" s="41"/>
      <c r="Z47" s="34"/>
      <c r="AA47" s="37"/>
    </row>
    <row r="48" spans="7:27" x14ac:dyDescent="0.2">
      <c r="R48" s="4"/>
      <c r="S48" s="4"/>
      <c r="T48" s="33"/>
      <c r="U48" s="41"/>
      <c r="V48" s="34"/>
      <c r="W48" s="41"/>
      <c r="X48" s="33"/>
      <c r="Y48" s="41"/>
      <c r="Z48" s="34"/>
      <c r="AA48" s="37"/>
    </row>
    <row r="49" spans="18:27" x14ac:dyDescent="0.2">
      <c r="R49" s="4"/>
      <c r="S49" s="4"/>
      <c r="T49" s="33"/>
      <c r="U49" s="41"/>
      <c r="V49" s="34"/>
      <c r="W49" s="41"/>
      <c r="X49" s="33"/>
      <c r="Y49" s="41"/>
      <c r="Z49" s="34"/>
      <c r="AA49" s="37"/>
    </row>
    <row r="50" spans="18:27" x14ac:dyDescent="0.2"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18:27" x14ac:dyDescent="0.2"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18:27" x14ac:dyDescent="0.2"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18:27" x14ac:dyDescent="0.2"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18:27" x14ac:dyDescent="0.2">
      <c r="R54" s="4"/>
      <c r="S54" s="4"/>
      <c r="T54" s="33"/>
      <c r="U54" s="41"/>
      <c r="V54" s="34"/>
      <c r="W54" s="41"/>
      <c r="X54" s="33"/>
      <c r="Y54" s="41"/>
      <c r="Z54" s="34"/>
      <c r="AA54" s="37"/>
    </row>
    <row r="55" spans="18:27" x14ac:dyDescent="0.2">
      <c r="R55" s="4"/>
      <c r="S55" s="4"/>
      <c r="T55" s="33"/>
      <c r="U55" s="41"/>
      <c r="V55" s="34"/>
      <c r="W55" s="41"/>
      <c r="X55" s="33"/>
      <c r="Y55" s="41"/>
      <c r="Z55" s="34"/>
      <c r="AA55" s="37"/>
    </row>
    <row r="56" spans="18:27" x14ac:dyDescent="0.2">
      <c r="R56" s="4"/>
      <c r="S56" s="4"/>
      <c r="T56" s="33"/>
      <c r="U56" s="41"/>
      <c r="V56" s="34"/>
      <c r="W56" s="41"/>
      <c r="X56" s="33"/>
      <c r="Y56" s="41"/>
      <c r="Z56" s="34"/>
      <c r="AA56" s="37"/>
    </row>
    <row r="57" spans="18:27" x14ac:dyDescent="0.2">
      <c r="R57" s="4"/>
      <c r="S57" s="4"/>
      <c r="T57" s="33"/>
      <c r="U57" s="41"/>
      <c r="V57" s="34"/>
      <c r="W57" s="41"/>
      <c r="X57" s="33"/>
      <c r="Y57" s="41"/>
      <c r="Z57" s="34"/>
      <c r="AA57" s="37"/>
    </row>
    <row r="58" spans="18:27" x14ac:dyDescent="0.2">
      <c r="R58" s="4"/>
      <c r="S58" s="4"/>
      <c r="T58" s="33"/>
      <c r="U58" s="41"/>
      <c r="V58" s="34"/>
      <c r="W58" s="41"/>
      <c r="X58" s="33"/>
      <c r="Y58" s="41"/>
      <c r="Z58" s="34"/>
      <c r="AA58" s="37"/>
    </row>
    <row r="59" spans="18:27" x14ac:dyDescent="0.2">
      <c r="R59" s="4"/>
      <c r="S59" s="4"/>
      <c r="T59" s="33"/>
      <c r="U59" s="41"/>
      <c r="V59" s="34"/>
      <c r="W59" s="41"/>
      <c r="X59" s="33"/>
      <c r="Y59" s="41"/>
      <c r="Z59" s="34"/>
      <c r="AA59" s="37"/>
    </row>
    <row r="60" spans="18:27" x14ac:dyDescent="0.2">
      <c r="R60" s="4"/>
      <c r="S60" s="4"/>
      <c r="T60" s="33"/>
      <c r="U60" s="41"/>
      <c r="V60" s="34"/>
      <c r="W60" s="41"/>
      <c r="X60" s="33"/>
      <c r="Y60" s="41"/>
      <c r="Z60" s="34"/>
      <c r="AA60" s="37"/>
    </row>
    <row r="61" spans="18:27" x14ac:dyDescent="0.2">
      <c r="R61" s="4"/>
      <c r="S61" s="4"/>
      <c r="T61" s="33"/>
      <c r="U61" s="41"/>
      <c r="V61" s="34"/>
      <c r="W61" s="41"/>
      <c r="X61" s="33"/>
      <c r="Y61" s="41"/>
      <c r="Z61" s="34"/>
      <c r="AA61" s="37"/>
    </row>
    <row r="62" spans="18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18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18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  <row r="73" spans="18:27" x14ac:dyDescent="0.2">
      <c r="R73" s="4"/>
      <c r="S73" s="4"/>
      <c r="T73" s="33"/>
      <c r="U73" s="41"/>
      <c r="V73" s="34"/>
      <c r="W73" s="41"/>
      <c r="X73" s="33"/>
      <c r="Y73" s="41"/>
      <c r="Z73" s="34"/>
      <c r="AA73" s="37"/>
    </row>
    <row r="74" spans="18:27" x14ac:dyDescent="0.2">
      <c r="R74" s="4"/>
      <c r="S74" s="4"/>
      <c r="T74" s="33"/>
      <c r="U74" s="41"/>
      <c r="V74" s="34"/>
      <c r="W74" s="41"/>
      <c r="X74" s="33"/>
      <c r="Y74" s="41"/>
      <c r="Z74" s="34"/>
      <c r="AA74" s="37"/>
    </row>
    <row r="75" spans="18:27" x14ac:dyDescent="0.2">
      <c r="R75" s="4"/>
      <c r="S75" s="4"/>
      <c r="T75" s="33"/>
      <c r="U75" s="41"/>
      <c r="V75" s="34"/>
      <c r="W75" s="41"/>
      <c r="X75" s="33"/>
      <c r="Y75" s="41"/>
      <c r="Z75" s="34"/>
      <c r="AA75" s="37"/>
    </row>
    <row r="76" spans="18:27" x14ac:dyDescent="0.2">
      <c r="R76" s="4"/>
      <c r="S76" s="4"/>
      <c r="T76" s="33"/>
      <c r="U76" s="41"/>
      <c r="V76" s="34"/>
      <c r="W76" s="41"/>
      <c r="X76" s="33"/>
      <c r="Y76" s="41"/>
      <c r="Z76" s="34"/>
      <c r="AA76" s="37"/>
    </row>
    <row r="77" spans="18:27" x14ac:dyDescent="0.2">
      <c r="R77" s="4"/>
      <c r="S77" s="4"/>
      <c r="T77" s="33"/>
      <c r="U77" s="41"/>
      <c r="V77" s="34"/>
      <c r="W77" s="41"/>
      <c r="X77" s="33"/>
      <c r="Y77" s="41"/>
      <c r="Z77" s="34"/>
      <c r="AA77" s="37"/>
    </row>
    <row r="78" spans="18:27" x14ac:dyDescent="0.2">
      <c r="R78" s="4"/>
      <c r="S78" s="4"/>
      <c r="T78" s="33"/>
      <c r="U78" s="41"/>
      <c r="V78" s="34"/>
      <c r="W78" s="41"/>
      <c r="X78" s="33"/>
      <c r="Y78" s="41"/>
      <c r="Z78" s="34"/>
      <c r="AA78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9">
      <sortCondition descending="1" ref="G1:G2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26" priority="17">
      <formula>IF($G1="17-21",1,0)</formula>
    </cfRule>
    <cfRule type="expression" dxfId="25" priority="18">
      <formula>IF($G1="15-16",1,0)</formula>
    </cfRule>
    <cfRule type="expression" dxfId="24" priority="19">
      <formula>IF($G1="13-14",1,0)</formula>
    </cfRule>
    <cfRule type="expression" dxfId="23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10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2.6640625" style="36" bestFit="1" customWidth="1"/>
    <col min="4" max="4" width="8.6640625" style="51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customWidth="1"/>
    <col min="9" max="9" width="20" style="48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52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9" t="s">
        <v>383</v>
      </c>
      <c r="B1" s="69" t="s">
        <v>382</v>
      </c>
      <c r="C1" s="71" t="s">
        <v>0</v>
      </c>
      <c r="D1" s="74" t="s">
        <v>1</v>
      </c>
      <c r="E1" s="78" t="s">
        <v>2</v>
      </c>
      <c r="F1" s="80" t="s">
        <v>4</v>
      </c>
      <c r="G1" s="71" t="s">
        <v>5</v>
      </c>
      <c r="H1" s="71" t="s">
        <v>63</v>
      </c>
      <c r="I1" s="71" t="s">
        <v>44</v>
      </c>
      <c r="J1" s="76" t="s">
        <v>13</v>
      </c>
      <c r="K1" s="71" t="s">
        <v>9</v>
      </c>
      <c r="L1" s="71" t="s">
        <v>10</v>
      </c>
      <c r="M1" s="71" t="s">
        <v>34</v>
      </c>
      <c r="N1" s="71" t="s">
        <v>12</v>
      </c>
      <c r="O1" s="71" t="s">
        <v>52</v>
      </c>
      <c r="P1" s="71" t="s">
        <v>11</v>
      </c>
      <c r="Q1" s="74" t="s">
        <v>381</v>
      </c>
      <c r="R1" s="71" t="s">
        <v>58</v>
      </c>
      <c r="S1" s="71" t="s">
        <v>59</v>
      </c>
      <c r="T1" s="73" t="s">
        <v>46</v>
      </c>
      <c r="U1" s="73"/>
      <c r="V1" s="73"/>
      <c r="W1" s="73"/>
      <c r="X1" s="73" t="s">
        <v>45</v>
      </c>
      <c r="Y1" s="73"/>
      <c r="Z1" s="73"/>
      <c r="AA1" s="73"/>
    </row>
    <row r="2" spans="1:27" s="7" customFormat="1" ht="17" thickBot="1" x14ac:dyDescent="0.25">
      <c r="A2" s="70"/>
      <c r="B2" s="70"/>
      <c r="C2" s="72"/>
      <c r="D2" s="75"/>
      <c r="E2" s="79"/>
      <c r="F2" s="81"/>
      <c r="G2" s="72"/>
      <c r="H2" s="72"/>
      <c r="I2" s="72"/>
      <c r="J2" s="77"/>
      <c r="K2" s="72"/>
      <c r="L2" s="72"/>
      <c r="M2" s="72"/>
      <c r="N2" s="72"/>
      <c r="O2" s="72"/>
      <c r="P2" s="72"/>
      <c r="Q2" s="75"/>
      <c r="R2" s="72"/>
      <c r="S2" s="72"/>
      <c r="T2" s="8" t="s">
        <v>60</v>
      </c>
      <c r="U2" s="7" t="s">
        <v>61</v>
      </c>
      <c r="V2" s="7" t="s">
        <v>6</v>
      </c>
      <c r="W2" s="7" t="s">
        <v>8</v>
      </c>
      <c r="X2" s="8" t="s">
        <v>60</v>
      </c>
      <c r="Y2" s="7" t="s">
        <v>61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$46&lt;&gt;"")*(G$3:G$46=G3)*(J$3:J$46&gt;J3)*(I$3:I$46="P"))+1,IF(O3&lt;&gt;"",SUMPRODUCT((O$3:O$46&lt;&gt;"")*(P$3:P$46="")*(G$3:G$46=G3)*(J$3:J$46&gt;J3)*(I$3:I$46="P"))+SUMPRODUCT((P$3:P$46&lt;&gt;"")*(G$3:G$46=G3))+1,IF(N3&lt;&gt;"",SUMPRODUCT((N$3:N$46&lt;&gt;"")*(G$3:G$46=G3)*(J$3:J$46&gt;J3)*(I$3:I$46="P"))+1,IF(M3="P",SUMPRODUCT((O$3:O$46&lt;&gt;"")*(P$3:P$46="")*(G$3:G$46=G3)*(I$3:I$46="P"))+SUMPRODUCT((P$3:P$46&lt;&gt;"")*(G$3:G$46=G3)*(I$3:I$46="P"))+SUMPRODUCT((N$3:N$46&lt;&gt;"")*(G$3:G$46=G3)*(I$3:I$46="P"))+SUMPRODUCT((P$3:P$46="")*(O$3:O$46="")*(N$3:N$46="")*(M$3:M$46="P")*(G$3:G$46=G3)*(J$3:J$46&gt;J3)*(I$3:I$46="P"))+1,"")))))</f>
        <v/>
      </c>
      <c r="B3" s="1" cm="1">
        <f t="array" ref="B3">IF(P3&lt;&gt;"",SUMPRODUCT((P$3:P$46&lt;&gt;"")*(G$3:G$46=G3)*(J$3:J$46&gt;J3))+1,IF(O3&lt;&gt;"",SUMPRODUCT((O$3:O$46&lt;&gt;"")*(P$3:P$46="")*(G$3:G$46=G3)*(J$3:J$46&gt;J3))+SUMPRODUCT((P$3:P$46&lt;&gt;"")*(G$3:G$46=G3))+1,IF(N3&lt;&gt;"",SUMPRODUCT((N$3:N$46&lt;&gt;"")*(G$3:G$46=G3)*(J$3:J$46&gt;J3))+1,IF(M3="P",SUMPRODUCT((O$3:O$46&lt;&gt;"")*(P$3:P$46="")*(G$3:G$46=G3))+SUMPRODUCT((P$3:P$46&lt;&gt;"")*(G$3:G$46=G3))+SUMPRODUCT((N$3:N$46&lt;&gt;"")*(G$3:G$46=G3))+SUMPRODUCT((P$3:P$46="")*(O$3:O$46="")*(N$3:N$46="")*(M$3:M$46="P")*(G$3:G$46=G3)*(J$3:J$46&gt;J3))+1,""))))</f>
        <v>1</v>
      </c>
      <c r="C3" s="36" t="s">
        <v>365</v>
      </c>
      <c r="D3" s="51" t="str">
        <f>IF(E3="","",VLOOKUP(E3,'Coaching Points'!A:B,2,0))</f>
        <v>ON</v>
      </c>
      <c r="E3" s="36" t="s">
        <v>334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1" t="s">
        <v>181</v>
      </c>
      <c r="I3" s="47"/>
      <c r="J3" s="4">
        <f>MAX(R3,S3)+IF(OR(H3="Junior",H3="Senior"),0.0002,IF(OR(H3="L7",H3="L6"),0.0001,0))+MAX(X3,Z3)*0.0000001</f>
        <v>44.200200000000002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2</v>
      </c>
      <c r="Q3" s="52" t="str">
        <f>IF(A3&lt;5,IF(_xlfn.MAXIFS(A:A,G:G,G3)&gt;3,5-A3,_xlfn.MAXIFS(A:A,G:G,G3)+1-A3),"")</f>
        <v/>
      </c>
      <c r="R3" s="4">
        <f>MAX(T3,X3)</f>
        <v>44.2</v>
      </c>
      <c r="S3" s="4">
        <f>MAX(V3,Z3)</f>
        <v>43.739999999999995</v>
      </c>
      <c r="T3" s="33">
        <v>44.2</v>
      </c>
      <c r="U3" s="41">
        <v>8.1</v>
      </c>
      <c r="V3" s="34">
        <v>43.739999999999995</v>
      </c>
      <c r="W3" s="41">
        <v>8.1</v>
      </c>
      <c r="X3" s="33"/>
      <c r="Y3" s="41"/>
      <c r="Z3" s="34"/>
      <c r="AA3" s="37"/>
    </row>
    <row r="4" spans="1:27" x14ac:dyDescent="0.2">
      <c r="A4" s="1" t="str" cm="1">
        <f t="array" ref="A4">IF(I4="","",IF(P4&lt;&gt;"",SUMPRODUCT((P$3:P$46&lt;&gt;"")*(G$3:G$46=G4)*(J$3:J$46&gt;J4)*(I$3:I$46="P"))+1,IF(O4&lt;&gt;"",SUMPRODUCT((O$3:O$46&lt;&gt;"")*(P$3:P$46="")*(G$3:G$46=G4)*(J$3:J$46&gt;J4)*(I$3:I$46="P"))+SUMPRODUCT((P$3:P$46&lt;&gt;"")*(G$3:G$46=G4))+1,IF(N4&lt;&gt;"",SUMPRODUCT((N$3:N$46&lt;&gt;"")*(G$3:G$46=G4)*(J$3:J$46&gt;J4)*(I$3:I$46="P"))+1,IF(M4="P",SUMPRODUCT((O$3:O$46&lt;&gt;"")*(P$3:P$46="")*(G$3:G$46=G4)*(I$3:I$46="P"))+SUMPRODUCT((P$3:P$46&lt;&gt;"")*(G$3:G$46=G4)*(I$3:I$46="P"))+SUMPRODUCT((N$3:N$46&lt;&gt;"")*(G$3:G$46=G4)*(I$3:I$46="P"))+SUMPRODUCT((P$3:P$46="")*(O$3:O$46="")*(N$3:N$46="")*(M$3:M$46="P")*(G$3:G$46=G4)*(J$3:J$46&gt;J4)*(I$3:I$46="P"))+1,"")))))</f>
        <v/>
      </c>
      <c r="B4" s="1" cm="1">
        <f t="array" ref="B4">IF(P4&lt;&gt;"",SUMPRODUCT((P$3:P$46&lt;&gt;"")*(G$3:G$46=G4)*(J$3:J$46&gt;J4))+1,IF(O4&lt;&gt;"",SUMPRODUCT((O$3:O$46&lt;&gt;"")*(P$3:P$46="")*(G$3:G$46=G4)*(J$3:J$46&gt;J4))+SUMPRODUCT((P$3:P$46&lt;&gt;"")*(G$3:G$46=G4))+1,IF(N4&lt;&gt;"",SUMPRODUCT((N$3:N$46&lt;&gt;"")*(G$3:G$46=G4)*(J$3:J$46&gt;J4))+1,IF(M4="P",SUMPRODUCT((O$3:O$46&lt;&gt;"")*(P$3:P$46="")*(G$3:G$46=G4))+SUMPRODUCT((P$3:P$46&lt;&gt;"")*(G$3:G$46=G4))+SUMPRODUCT((N$3:N$46&lt;&gt;"")*(G$3:G$46=G4))+SUMPRODUCT((P$3:P$46="")*(O$3:O$46="")*(N$3:N$46="")*(M$3:M$46="P")*(G$3:G$46=G4)*(J$3:J$46&gt;J4))+1,""))))</f>
        <v>2</v>
      </c>
      <c r="C4" s="36" t="s">
        <v>354</v>
      </c>
      <c r="D4" s="51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1" t="s">
        <v>127</v>
      </c>
      <c r="I4" s="47"/>
      <c r="J4" s="4">
        <f>MAX(R4,S4)+IF(OR(H4="Junior",H4="Senior"),0.0002,IF(OR(H4="L7",H4="L6"),0.0001,0))+MAX(X4,Z4)*0.0000001</f>
        <v>42.340100000000007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Q4" s="52" t="str">
        <f>IF(A4&lt;5,IF(_xlfn.MAXIFS(A:A,G:G,G4)&gt;3,5-A4,_xlfn.MAXIFS(A:A,G:G,G4)+1-A4),"")</f>
        <v/>
      </c>
      <c r="R4" s="4">
        <f>MAX(T4,X4)</f>
        <v>42.099999999999994</v>
      </c>
      <c r="S4" s="4">
        <f>MAX(V4,Z4)</f>
        <v>42.34</v>
      </c>
      <c r="T4" s="33">
        <v>42.099999999999994</v>
      </c>
      <c r="U4" s="41">
        <v>8</v>
      </c>
      <c r="V4" s="34">
        <v>42.34</v>
      </c>
      <c r="W4" s="41">
        <v>8</v>
      </c>
      <c r="X4" s="33"/>
      <c r="Y4" s="41"/>
      <c r="Z4" s="34"/>
      <c r="AA4" s="37"/>
    </row>
    <row r="5" spans="1:27" x14ac:dyDescent="0.2">
      <c r="A5" s="1" t="str" cm="1">
        <f t="array" ref="A5">IF(I5="","",IF(P5&lt;&gt;"",SUMPRODUCT((P$3:P$46&lt;&gt;"")*(G$3:G$46=G5)*(J$3:J$46&gt;J5)*(I$3:I$46="P"))+1,IF(O5&lt;&gt;"",SUMPRODUCT((O$3:O$46&lt;&gt;"")*(P$3:P$46="")*(G$3:G$46=G5)*(J$3:J$46&gt;J5)*(I$3:I$46="P"))+SUMPRODUCT((P$3:P$46&lt;&gt;"")*(G$3:G$46=G5))+1,IF(N5&lt;&gt;"",SUMPRODUCT((N$3:N$46&lt;&gt;"")*(G$3:G$46=G5)*(J$3:J$46&gt;J5)*(I$3:I$46="P"))+1,IF(M5="P",SUMPRODUCT((O$3:O$46&lt;&gt;"")*(P$3:P$46="")*(G$3:G$46=G5)*(I$3:I$46="P"))+SUMPRODUCT((P$3:P$46&lt;&gt;"")*(G$3:G$46=G5)*(I$3:I$46="P"))+SUMPRODUCT((N$3:N$46&lt;&gt;"")*(G$3:G$46=G5)*(I$3:I$46="P"))+SUMPRODUCT((P$3:P$46="")*(O$3:O$46="")*(N$3:N$46="")*(M$3:M$46="P")*(G$3:G$46=G5)*(J$3:J$46&gt;J5)*(I$3:I$46="P"))+1,"")))))</f>
        <v/>
      </c>
      <c r="B5" s="1" cm="1">
        <f t="array" ref="B5">IF(P5&lt;&gt;"",SUMPRODUCT((P$3:P$46&lt;&gt;"")*(G$3:G$46=G5)*(J$3:J$46&gt;J5))+1,IF(O5&lt;&gt;"",SUMPRODUCT((O$3:O$46&lt;&gt;"")*(P$3:P$46="")*(G$3:G$46=G5)*(J$3:J$46&gt;J5))+SUMPRODUCT((P$3:P$46&lt;&gt;"")*(G$3:G$46=G5))+1,IF(N5&lt;&gt;"",SUMPRODUCT((N$3:N$46&lt;&gt;"")*(G$3:G$46=G5)*(J$3:J$46&gt;J5))+1,IF(M5="P",SUMPRODUCT((O$3:O$46&lt;&gt;"")*(P$3:P$46="")*(G$3:G$46=G5))+SUMPRODUCT((P$3:P$46&lt;&gt;"")*(G$3:G$46=G5))+SUMPRODUCT((N$3:N$46&lt;&gt;"")*(G$3:G$46=G5))+SUMPRODUCT((P$3:P$46="")*(O$3:O$46="")*(N$3:N$46="")*(M$3:M$46="P")*(G$3:G$46=G5)*(J$3:J$46&gt;J5))+1,""))))</f>
        <v>3</v>
      </c>
      <c r="C5" s="36" t="s">
        <v>357</v>
      </c>
      <c r="D5" s="51" t="str">
        <f>IF(E5="","",VLOOKUP(E5,'Coaching Points'!A:B,2,0))</f>
        <v>ON</v>
      </c>
      <c r="E5" s="36" t="s">
        <v>334</v>
      </c>
      <c r="F5" s="35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1" t="s">
        <v>127</v>
      </c>
      <c r="I5" s="47"/>
      <c r="J5" s="4">
        <f>MAX(R5,S5)+IF(OR(H5="Junior",H5="Senior"),0.0002,IF(OR(H5="L7",H5="L6"),0.0001,0))+MAX(X5,Z5)*0.0000001</f>
        <v>42.220100000000002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52" t="str">
        <f>IF(A5&lt;5,IF(_xlfn.MAXIFS(A:A,G:G,G5)&gt;3,5-A5,_xlfn.MAXIFS(A:A,G:G,G5)+1-A5),"")</f>
        <v/>
      </c>
      <c r="R5" s="4">
        <f>MAX(T5,X5)</f>
        <v>42.22</v>
      </c>
      <c r="S5" s="4">
        <f>MAX(V5,Z5)</f>
        <v>41.86</v>
      </c>
      <c r="T5" s="33">
        <v>42.22</v>
      </c>
      <c r="U5" s="41">
        <v>8</v>
      </c>
      <c r="V5" s="34">
        <v>41.86</v>
      </c>
      <c r="W5" s="41">
        <v>8</v>
      </c>
      <c r="X5" s="33"/>
      <c r="Y5" s="41"/>
      <c r="Z5" s="34"/>
      <c r="AA5" s="37"/>
    </row>
    <row r="6" spans="1:27" x14ac:dyDescent="0.2">
      <c r="A6" s="1" t="str" cm="1">
        <f t="array" ref="A6">IF(I6="","",IF(P6&lt;&gt;"",SUMPRODUCT((P$3:P$46&lt;&gt;"")*(G$3:G$46=G6)*(J$3:J$46&gt;J6)*(I$3:I$46="P"))+1,IF(O6&lt;&gt;"",SUMPRODUCT((O$3:O$46&lt;&gt;"")*(P$3:P$46="")*(G$3:G$46=G6)*(J$3:J$46&gt;J6)*(I$3:I$46="P"))+SUMPRODUCT((P$3:P$46&lt;&gt;"")*(G$3:G$46=G6))+1,IF(N6&lt;&gt;"",SUMPRODUCT((N$3:N$46&lt;&gt;"")*(G$3:G$46=G6)*(J$3:J$46&gt;J6)*(I$3:I$46="P"))+1,IF(M6="P",SUMPRODUCT((O$3:O$46&lt;&gt;"")*(P$3:P$46="")*(G$3:G$46=G6)*(I$3:I$46="P"))+SUMPRODUCT((P$3:P$46&lt;&gt;"")*(G$3:G$46=G6)*(I$3:I$46="P"))+SUMPRODUCT((N$3:N$46&lt;&gt;"")*(G$3:G$46=G6)*(I$3:I$46="P"))+SUMPRODUCT((P$3:P$46="")*(O$3:O$46="")*(N$3:N$46="")*(M$3:M$46="P")*(G$3:G$46=G6)*(J$3:J$46&gt;J6)*(I$3:I$46="P"))+1,"")))))</f>
        <v/>
      </c>
      <c r="B6" s="1" cm="1">
        <f t="array" ref="B6">IF(P6&lt;&gt;"",SUMPRODUCT((P$3:P$46&lt;&gt;"")*(G$3:G$46=G6)*(J$3:J$46&gt;J6))+1,IF(O6&lt;&gt;"",SUMPRODUCT((O$3:O$46&lt;&gt;"")*(P$3:P$46="")*(G$3:G$46=G6)*(J$3:J$46&gt;J6))+SUMPRODUCT((P$3:P$46&lt;&gt;"")*(G$3:G$46=G6))+1,IF(N6&lt;&gt;"",SUMPRODUCT((N$3:N$46&lt;&gt;"")*(G$3:G$46=G6)*(J$3:J$46&gt;J6))+1,IF(M6="P",SUMPRODUCT((O$3:O$46&lt;&gt;"")*(P$3:P$46="")*(G$3:G$46=G6))+SUMPRODUCT((P$3:P$46&lt;&gt;"")*(G$3:G$46=G6))+SUMPRODUCT((N$3:N$46&lt;&gt;"")*(G$3:G$46=G6))+SUMPRODUCT((P$3:P$46="")*(O$3:O$46="")*(N$3:N$46="")*(M$3:M$46="P")*(G$3:G$46=G6)*(J$3:J$46&gt;J6))+1,""))))</f>
        <v>4</v>
      </c>
      <c r="C6" s="36" t="s">
        <v>355</v>
      </c>
      <c r="D6" s="51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1" t="s">
        <v>127</v>
      </c>
      <c r="I6" s="47"/>
      <c r="J6" s="4">
        <f>MAX(R6,S6)+IF(OR(H6="Junior",H6="Senior"),0.0002,IF(OR(H6="L7",H6="L6"),0.0001,0))+MAX(X6,Z6)*0.0000001</f>
        <v>42.200099999999999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52" t="str">
        <f>IF(A6&lt;5,IF(_xlfn.MAXIFS(A:A,G:G,G6)&gt;3,5-A6,_xlfn.MAXIFS(A:A,G:G,G6)+1-A6),"")</f>
        <v/>
      </c>
      <c r="R6" s="4">
        <f>MAX(T6,X6)</f>
        <v>41.58</v>
      </c>
      <c r="S6" s="4">
        <f>MAX(V6,Z6)</f>
        <v>42.199999999999996</v>
      </c>
      <c r="T6" s="33">
        <v>41.58</v>
      </c>
      <c r="U6" s="41">
        <v>7.6</v>
      </c>
      <c r="V6" s="34">
        <v>42.199999999999996</v>
      </c>
      <c r="W6" s="41">
        <v>8</v>
      </c>
      <c r="X6" s="33"/>
      <c r="Y6" s="41"/>
      <c r="Z6" s="34"/>
      <c r="AA6" s="37"/>
    </row>
    <row r="7" spans="1:27" x14ac:dyDescent="0.2">
      <c r="A7" s="1" t="str" cm="1">
        <f t="array" ref="A7">IF(I7="","",IF(P7&lt;&gt;"",SUMPRODUCT((P$3:P$46&lt;&gt;"")*(G$3:G$46=G7)*(J$3:J$46&gt;J7)*(I$3:I$46="P"))+1,IF(O7&lt;&gt;"",SUMPRODUCT((O$3:O$46&lt;&gt;"")*(P$3:P$46="")*(G$3:G$46=G7)*(J$3:J$46&gt;J7)*(I$3:I$46="P"))+SUMPRODUCT((P$3:P$46&lt;&gt;"")*(G$3:G$46=G7))+1,IF(N7&lt;&gt;"",SUMPRODUCT((N$3:N$46&lt;&gt;"")*(G$3:G$46=G7)*(J$3:J$46&gt;J7)*(I$3:I$46="P"))+1,IF(M7="P",SUMPRODUCT((O$3:O$46&lt;&gt;"")*(P$3:P$46="")*(G$3:G$46=G7)*(I$3:I$46="P"))+SUMPRODUCT((P$3:P$46&lt;&gt;"")*(G$3:G$46=G7)*(I$3:I$46="P"))+SUMPRODUCT((N$3:N$46&lt;&gt;"")*(G$3:G$46=G7)*(I$3:I$46="P"))+SUMPRODUCT((P$3:P$46="")*(O$3:O$46="")*(N$3:N$46="")*(M$3:M$46="P")*(G$3:G$46=G7)*(J$3:J$46&gt;J7)*(I$3:I$46="P"))+1,"")))))</f>
        <v/>
      </c>
      <c r="B7" s="1" cm="1">
        <f t="array" ref="B7">IF(P7&lt;&gt;"",SUMPRODUCT((P$3:P$46&lt;&gt;"")*(G$3:G$46=G7)*(J$3:J$46&gt;J7))+1,IF(O7&lt;&gt;"",SUMPRODUCT((O$3:O$46&lt;&gt;"")*(P$3:P$46="")*(G$3:G$46=G7)*(J$3:J$46&gt;J7))+SUMPRODUCT((P$3:P$46&lt;&gt;"")*(G$3:G$46=G7))+1,IF(N7&lt;&gt;"",SUMPRODUCT((N$3:N$46&lt;&gt;"")*(G$3:G$46=G7)*(J$3:J$46&gt;J7))+1,IF(M7="P",SUMPRODUCT((O$3:O$46&lt;&gt;"")*(P$3:P$46="")*(G$3:G$46=G7))+SUMPRODUCT((P$3:P$46&lt;&gt;"")*(G$3:G$46=G7))+SUMPRODUCT((N$3:N$46&lt;&gt;"")*(G$3:G$46=G7))+SUMPRODUCT((P$3:P$46="")*(O$3:O$46="")*(N$3:N$46="")*(M$3:M$46="P")*(G$3:G$46=G7)*(J$3:J$46&gt;J7))+1,""))))</f>
        <v>5</v>
      </c>
      <c r="C7" s="36" t="s">
        <v>356</v>
      </c>
      <c r="D7" s="51" t="str">
        <f>IF(E7="","",VLOOKUP(E7,'Coaching Points'!A:B,2,0))</f>
        <v>ON</v>
      </c>
      <c r="E7" s="36" t="s">
        <v>334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1" t="s">
        <v>127</v>
      </c>
      <c r="I7" s="47"/>
      <c r="J7" s="4">
        <f>MAX(R7,S7)+IF(OR(H7="Junior",H7="Senior"),0.0002,IF(OR(H7="L7",H7="L6"),0.0001,0))+MAX(X7,Z7)*0.0000001</f>
        <v>42.1601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52" t="str">
        <f>IF(A7&lt;5,IF(_xlfn.MAXIFS(A:A,G:G,G7)&gt;3,5-A7,_xlfn.MAXIFS(A:A,G:G,G7)+1-A7),"")</f>
        <v/>
      </c>
      <c r="R7" s="4">
        <f>MAX(T7,X7)</f>
        <v>41.599999999999994</v>
      </c>
      <c r="S7" s="4">
        <f>MAX(V7,Z7)</f>
        <v>42.16</v>
      </c>
      <c r="T7" s="33">
        <v>41.599999999999994</v>
      </c>
      <c r="U7" s="41">
        <v>8</v>
      </c>
      <c r="V7" s="34">
        <v>42.16</v>
      </c>
      <c r="W7" s="41">
        <v>8</v>
      </c>
      <c r="X7" s="33"/>
      <c r="Y7" s="41"/>
      <c r="Z7" s="34"/>
      <c r="AA7" s="37"/>
    </row>
    <row r="8" spans="1:27" x14ac:dyDescent="0.2">
      <c r="A8" s="1" t="str" cm="1">
        <f t="array" ref="A8">IF(I8="","",IF(P8&lt;&gt;"",SUMPRODUCT((P$3:P$46&lt;&gt;"")*(G$3:G$46=G8)*(J$3:J$46&gt;J8)*(I$3:I$46="P"))+1,IF(O8&lt;&gt;"",SUMPRODUCT((O$3:O$46&lt;&gt;"")*(P$3:P$46="")*(G$3:G$46=G8)*(J$3:J$46&gt;J8)*(I$3:I$46="P"))+SUMPRODUCT((P$3:P$46&lt;&gt;"")*(G$3:G$46=G8))+1,IF(N8&lt;&gt;"",SUMPRODUCT((N$3:N$46&lt;&gt;"")*(G$3:G$46=G8)*(J$3:J$46&gt;J8)*(I$3:I$46="P"))+1,IF(M8="P",SUMPRODUCT((O$3:O$46&lt;&gt;"")*(P$3:P$46="")*(G$3:G$46=G8)*(I$3:I$46="P"))+SUMPRODUCT((P$3:P$46&lt;&gt;"")*(G$3:G$46=G8)*(I$3:I$46="P"))+SUMPRODUCT((N$3:N$46&lt;&gt;"")*(G$3:G$46=G8)*(I$3:I$46="P"))+SUMPRODUCT((P$3:P$46="")*(O$3:O$46="")*(N$3:N$46="")*(M$3:M$46="P")*(G$3:G$46=G8)*(J$3:J$46&gt;J8)*(I$3:I$46="P"))+1,"")))))</f>
        <v/>
      </c>
      <c r="B8" s="1" t="str" cm="1">
        <f t="array" ref="B8">IF(P8&lt;&gt;"",SUMPRODUCT((P$3:P$46&lt;&gt;"")*(G$3:G$46=G8)*(J$3:J$46&gt;J8))+1,IF(O8&lt;&gt;"",SUMPRODUCT((O$3:O$46&lt;&gt;"")*(P$3:P$46="")*(G$3:G$46=G8)*(J$3:J$46&gt;J8))+SUMPRODUCT((P$3:P$46&lt;&gt;"")*(G$3:G$46=G8))+1,IF(N8&lt;&gt;"",SUMPRODUCT((N$3:N$46&lt;&gt;"")*(G$3:G$46=G8)*(J$3:J$46&gt;J8))+1,IF(M8="P",SUMPRODUCT((O$3:O$46&lt;&gt;"")*(P$3:P$46="")*(G$3:G$46=G8))+SUMPRODUCT((P$3:P$46&lt;&gt;"")*(G$3:G$46=G8))+SUMPRODUCT((N$3:N$46&lt;&gt;"")*(G$3:G$46=G8))+SUMPRODUCT((P$3:P$46="")*(O$3:O$46="")*(N$3:N$46="")*(M$3:M$46="P")*(G$3:G$46=G8)*(J$3:J$46&gt;J8))+1,""))))</f>
        <v/>
      </c>
      <c r="C8" s="36" t="s">
        <v>358</v>
      </c>
      <c r="D8" s="51" t="str">
        <f>IF(E8="","",VLOOKUP(E8,'Coaching Points'!A:B,2,0))</f>
        <v>BC</v>
      </c>
      <c r="E8" s="36" t="s">
        <v>89</v>
      </c>
      <c r="F8" s="35">
        <v>2001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1" t="s">
        <v>127</v>
      </c>
      <c r="I8" s="47"/>
      <c r="J8" s="4">
        <f>MAX(R8,S8)+IF(OR(H8="Junior",H8="Senior"),0.0002,IF(OR(H8="L7",H8="L6"),0.0001,0))+MAX(X8,Z8)*0.0000001</f>
        <v>41.520099999999999</v>
      </c>
      <c r="K8" s="3" t="str">
        <f>IF(G8="Not Age Eligible","",IF(MAX(T8,V8,X8,Z8)&gt;=LOOKUP(G8,'Qualifying Scores'!$A$4:$A$7,'Qualifying Scores'!$I$4:$I$7),"P",""))</f>
        <v/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/>
      </c>
      <c r="Q8" s="52" t="str">
        <f>IF(A8&lt;5,IF(_xlfn.MAXIFS(A:A,G:G,G8)&gt;3,5-A8,_xlfn.MAXIFS(A:A,G:G,G8)+1-A8),"")</f>
        <v/>
      </c>
      <c r="R8" s="4">
        <f>MAX(T8,X8)</f>
        <v>39.700000000000003</v>
      </c>
      <c r="S8" s="4">
        <f>MAX(V8,Z8)</f>
        <v>41.519999999999996</v>
      </c>
      <c r="T8" s="33">
        <v>39.700000000000003</v>
      </c>
      <c r="U8" s="41">
        <v>8</v>
      </c>
      <c r="V8" s="34">
        <v>41.519999999999996</v>
      </c>
      <c r="W8" s="41">
        <v>8</v>
      </c>
      <c r="X8" s="33"/>
      <c r="Y8" s="41"/>
      <c r="Z8" s="34"/>
      <c r="AA8" s="37"/>
    </row>
    <row r="9" spans="1:27" x14ac:dyDescent="0.2">
      <c r="A9" s="1" t="str" cm="1">
        <f t="array" ref="A9">IF(I9="","",IF(P9&lt;&gt;"",SUMPRODUCT((P$3:P$46&lt;&gt;"")*(G$3:G$46=G9)*(J$3:J$46&gt;J9)*(I$3:I$46="P"))+1,IF(O9&lt;&gt;"",SUMPRODUCT((O$3:O$46&lt;&gt;"")*(P$3:P$46="")*(G$3:G$46=G9)*(J$3:J$46&gt;J9)*(I$3:I$46="P"))+SUMPRODUCT((P$3:P$46&lt;&gt;"")*(G$3:G$46=G9))+1,IF(N9&lt;&gt;"",SUMPRODUCT((N$3:N$46&lt;&gt;"")*(G$3:G$46=G9)*(J$3:J$46&gt;J9)*(I$3:I$46="P"))+1,IF(M9="P",SUMPRODUCT((O$3:O$46&lt;&gt;"")*(P$3:P$46="")*(G$3:G$46=G9)*(I$3:I$46="P"))+SUMPRODUCT((P$3:P$46&lt;&gt;"")*(G$3:G$46=G9)*(I$3:I$46="P"))+SUMPRODUCT((N$3:N$46&lt;&gt;"")*(G$3:G$46=G9)*(I$3:I$46="P"))+SUMPRODUCT((P$3:P$46="")*(O$3:O$46="")*(N$3:N$46="")*(M$3:M$46="P")*(G$3:G$46=G9)*(J$3:J$46&gt;J9)*(I$3:I$46="P"))+1,"")))))</f>
        <v/>
      </c>
      <c r="B9" s="1" t="str" cm="1">
        <f t="array" ref="B9">IF(P9&lt;&gt;"",SUMPRODUCT((P$3:P$46&lt;&gt;"")*(G$3:G$46=G9)*(J$3:J$46&gt;J9))+1,IF(O9&lt;&gt;"",SUMPRODUCT((O$3:O$46&lt;&gt;"")*(P$3:P$46="")*(G$3:G$46=G9)*(J$3:J$46&gt;J9))+SUMPRODUCT((P$3:P$46&lt;&gt;"")*(G$3:G$46=G9))+1,IF(N9&lt;&gt;"",SUMPRODUCT((N$3:N$46&lt;&gt;"")*(G$3:G$46=G9)*(J$3:J$46&gt;J9))+1,IF(M9="P",SUMPRODUCT((O$3:O$46&lt;&gt;"")*(P$3:P$46="")*(G$3:G$46=G9))+SUMPRODUCT((P$3:P$46&lt;&gt;"")*(G$3:G$46=G9))+SUMPRODUCT((N$3:N$46&lt;&gt;"")*(G$3:G$46=G9))+SUMPRODUCT((P$3:P$46="")*(O$3:O$46="")*(N$3:N$46="")*(M$3:M$46="P")*(G$3:G$46=G9)*(J$3:J$46&gt;J9))+1,""))))</f>
        <v/>
      </c>
      <c r="C9" s="36" t="s">
        <v>359</v>
      </c>
      <c r="D9" s="51" t="str">
        <f>IF(E9="","",VLOOKUP(E9,'Coaching Points'!A:B,2,0))</f>
        <v>ON</v>
      </c>
      <c r="E9" s="36" t="s">
        <v>323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1" t="s">
        <v>127</v>
      </c>
      <c r="I9" s="47"/>
      <c r="J9" s="4">
        <f>MAX(R9,S9)+IF(OR(H9="Junior",H9="Senior"),0.0002,IF(OR(H9="L7",H9="L6"),0.0001,0))+MAX(X9,Z9)*0.0000001</f>
        <v>40.900100000000002</v>
      </c>
      <c r="K9" s="3" t="str">
        <f>IF(G9="Not Age Eligible","",IF(MAX(T9,V9,X9,Z9)&gt;=LOOKUP(G9,'Qualifying Scores'!$A$4:$A$7,'Qualifying Scores'!$I$4:$I$7),"P",""))</f>
        <v/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/>
      </c>
      <c r="Q9" s="52" t="str">
        <f>IF(A9&lt;5,IF(_xlfn.MAXIFS(A:A,G:G,G9)&gt;3,5-A9,_xlfn.MAXIFS(A:A,G:G,G9)+1-A9),"")</f>
        <v/>
      </c>
      <c r="R9" s="4">
        <f>MAX(T9,X9)</f>
        <v>39.1</v>
      </c>
      <c r="S9" s="4">
        <f>MAX(V9,Z9)</f>
        <v>40.9</v>
      </c>
      <c r="T9" s="33">
        <v>39.1</v>
      </c>
      <c r="U9" s="41">
        <v>7.3000000000000007</v>
      </c>
      <c r="V9" s="34">
        <v>40.9</v>
      </c>
      <c r="W9" s="41">
        <v>7.3000000000000007</v>
      </c>
      <c r="X9" s="33"/>
      <c r="Y9" s="41"/>
      <c r="Z9" s="34"/>
      <c r="AA9" s="37"/>
    </row>
    <row r="10" spans="1:27" x14ac:dyDescent="0.2">
      <c r="A10" s="1" t="str" cm="1">
        <f t="array" ref="A10">IF(I10="","",IF(P10&lt;&gt;"",SUMPRODUCT((P$3:P$46&lt;&gt;"")*(G$3:G$46=G10)*(J$3:J$46&gt;J10)*(I$3:I$46="P"))+1,IF(O10&lt;&gt;"",SUMPRODUCT((O$3:O$46&lt;&gt;"")*(P$3:P$46="")*(G$3:G$46=G10)*(J$3:J$46&gt;J10)*(I$3:I$46="P"))+SUMPRODUCT((P$3:P$46&lt;&gt;"")*(G$3:G$46=G10))+1,IF(N10&lt;&gt;"",SUMPRODUCT((N$3:N$46&lt;&gt;"")*(G$3:G$46=G10)*(J$3:J$46&gt;J10)*(I$3:I$46="P"))+1,IF(M10="P",SUMPRODUCT((O$3:O$46&lt;&gt;"")*(P$3:P$46="")*(G$3:G$46=G10)*(I$3:I$46="P"))+SUMPRODUCT((P$3:P$46&lt;&gt;"")*(G$3:G$46=G10)*(I$3:I$46="P"))+SUMPRODUCT((N$3:N$46&lt;&gt;"")*(G$3:G$46=G10)*(I$3:I$46="P"))+SUMPRODUCT((P$3:P$46="")*(O$3:O$46="")*(N$3:N$46="")*(M$3:M$46="P")*(G$3:G$46=G10)*(J$3:J$46&gt;J10)*(I$3:I$46="P"))+1,"")))))</f>
        <v/>
      </c>
      <c r="B10" s="1" t="str" cm="1">
        <f t="array" ref="B10">IF(P10&lt;&gt;"",SUMPRODUCT((P$3:P$46&lt;&gt;"")*(G$3:G$46=G10)*(J$3:J$46&gt;J10))+1,IF(O10&lt;&gt;"",SUMPRODUCT((O$3:O$46&lt;&gt;"")*(P$3:P$46="")*(G$3:G$46=G10)*(J$3:J$46&gt;J10))+SUMPRODUCT((P$3:P$46&lt;&gt;"")*(G$3:G$46=G10))+1,IF(N10&lt;&gt;"",SUMPRODUCT((N$3:N$46&lt;&gt;"")*(G$3:G$46=G10)*(J$3:J$46&gt;J10))+1,IF(M10="P",SUMPRODUCT((O$3:O$46&lt;&gt;"")*(P$3:P$46="")*(G$3:G$46=G10))+SUMPRODUCT((P$3:P$46&lt;&gt;"")*(G$3:G$46=G10))+SUMPRODUCT((N$3:N$46&lt;&gt;"")*(G$3:G$46=G10))+SUMPRODUCT((P$3:P$46="")*(O$3:O$46="")*(N$3:N$46="")*(M$3:M$46="P")*(G$3:G$46=G10)*(J$3:J$46&gt;J10))+1,""))))</f>
        <v/>
      </c>
      <c r="C10" s="36" t="s">
        <v>301</v>
      </c>
      <c r="D10" s="51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1" t="s">
        <v>127</v>
      </c>
      <c r="I10" s="47"/>
      <c r="J10" s="4">
        <f>MAX(R10,S10)+IF(OR(H10="Junior",H10="Senior"),0.0002,IF(OR(H10="L7",H10="L6"),0.0001,0))+MAX(X10,Z10)*0.0000001</f>
        <v>40.800100000000008</v>
      </c>
      <c r="K10" s="3" t="str">
        <f>IF(G10="Not Age Eligible","",IF(MAX(T10,V10,X10,Z10)&gt;=LOOKUP(G10,'Qualifying Scores'!$A$4:$A$7,'Qualifying Scores'!$I$4:$I$7),"P",""))</f>
        <v/>
      </c>
      <c r="L10" s="3" t="str">
        <f>IF(G10="Not Age Eligible","",IF(MAX(U10,W10,Y10,AA10)&gt;=LOOKUP(G10,'Qualifying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/>
      </c>
      <c r="Q10" s="52" t="str">
        <f>IF(A10&lt;5,IF(_xlfn.MAXIFS(A:A,G:G,G10)&gt;3,5-A10,_xlfn.MAXIFS(A:A,G:G,G10)+1-A10),"")</f>
        <v/>
      </c>
      <c r="R10" s="4">
        <f>MAX(T10,X10)</f>
        <v>40.800000000000004</v>
      </c>
      <c r="S10" s="4">
        <f>MAX(V10,Z10)</f>
        <v>39.5</v>
      </c>
      <c r="T10" s="33">
        <v>40.800000000000004</v>
      </c>
      <c r="U10" s="41">
        <v>6.9</v>
      </c>
      <c r="V10" s="34">
        <v>39.5</v>
      </c>
      <c r="W10" s="41">
        <v>6.5000000000000009</v>
      </c>
      <c r="X10" s="33"/>
      <c r="Y10" s="41"/>
      <c r="Z10" s="34"/>
      <c r="AA10" s="37"/>
    </row>
    <row r="11" spans="1:27" x14ac:dyDescent="0.2">
      <c r="A11" s="1" t="str" cm="1">
        <f t="array" ref="A11">IF(I11="","",IF(P11&lt;&gt;"",SUMPRODUCT((P$3:P$46&lt;&gt;"")*(G$3:G$46=G11)*(J$3:J$46&gt;J11)*(I$3:I$46="P"))+1,IF(O11&lt;&gt;"",SUMPRODUCT((O$3:O$46&lt;&gt;"")*(P$3:P$46="")*(G$3:G$46=G11)*(J$3:J$46&gt;J11)*(I$3:I$46="P"))+SUMPRODUCT((P$3:P$46&lt;&gt;"")*(G$3:G$46=G11))+1,IF(N11&lt;&gt;"",SUMPRODUCT((N$3:N$46&lt;&gt;"")*(G$3:G$46=G11)*(J$3:J$46&gt;J11)*(I$3:I$46="P"))+1,IF(M11="P",SUMPRODUCT((O$3:O$46&lt;&gt;"")*(P$3:P$46="")*(G$3:G$46=G11)*(I$3:I$46="P"))+SUMPRODUCT((P$3:P$46&lt;&gt;"")*(G$3:G$46=G11)*(I$3:I$46="P"))+SUMPRODUCT((N$3:N$46&lt;&gt;"")*(G$3:G$46=G11)*(I$3:I$46="P"))+SUMPRODUCT((P$3:P$46="")*(O$3:O$46="")*(N$3:N$46="")*(M$3:M$46="P")*(G$3:G$46=G11)*(J$3:J$46&gt;J11)*(I$3:I$46="P"))+1,"")))))</f>
        <v/>
      </c>
      <c r="B11" s="1" t="str" cm="1">
        <f t="array" ref="B11">IF(P11&lt;&gt;"",SUMPRODUCT((P$3:P$46&lt;&gt;"")*(G$3:G$46=G11)*(J$3:J$46&gt;J11))+1,IF(O11&lt;&gt;"",SUMPRODUCT((O$3:O$46&lt;&gt;"")*(P$3:P$46="")*(G$3:G$46=G11)*(J$3:J$46&gt;J11))+SUMPRODUCT((P$3:P$46&lt;&gt;"")*(G$3:G$46=G11))+1,IF(N11&lt;&gt;"",SUMPRODUCT((N$3:N$46&lt;&gt;"")*(G$3:G$46=G11)*(J$3:J$46&gt;J11))+1,IF(M11="P",SUMPRODUCT((O$3:O$46&lt;&gt;"")*(P$3:P$46="")*(G$3:G$46=G11))+SUMPRODUCT((P$3:P$46&lt;&gt;"")*(G$3:G$46=G11))+SUMPRODUCT((N$3:N$46&lt;&gt;"")*(G$3:G$46=G11))+SUMPRODUCT((P$3:P$46="")*(O$3:O$46="")*(N$3:N$46="")*(M$3:M$46="P")*(G$3:G$46=G11)*(J$3:J$46&gt;J11))+1,""))))</f>
        <v/>
      </c>
      <c r="C11" s="36" t="s">
        <v>366</v>
      </c>
      <c r="D11" s="51" t="str">
        <f>IF(E11="","",VLOOKUP(E11,'Coaching Points'!A:B,2,0))</f>
        <v>BC</v>
      </c>
      <c r="E11" s="36" t="s">
        <v>154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1" t="s">
        <v>181</v>
      </c>
      <c r="I11" s="47"/>
      <c r="J11" s="4">
        <f>MAX(R11,S11)+IF(OR(H11="Junior",H11="Senior"),0.0002,IF(OR(H11="L7",H11="L6"),0.0001,0))+MAX(X11,Z11)*0.0000001</f>
        <v>40.560200000000002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52" t="str">
        <f>IF(A11&lt;5,IF(_xlfn.MAXIFS(A:A,G:G,G11)&gt;3,5-A11,_xlfn.MAXIFS(A:A,G:G,G11)+1-A11),"")</f>
        <v/>
      </c>
      <c r="R11" s="4">
        <f>MAX(T11,X11)</f>
        <v>38.900000000000006</v>
      </c>
      <c r="S11" s="4">
        <f>MAX(V11,Z11)</f>
        <v>40.56</v>
      </c>
      <c r="T11" s="33">
        <v>38.900000000000006</v>
      </c>
      <c r="U11" s="41">
        <v>5.8</v>
      </c>
      <c r="V11" s="34">
        <v>40.56</v>
      </c>
      <c r="W11" s="41">
        <v>8.6</v>
      </c>
      <c r="X11" s="33"/>
      <c r="Y11" s="41"/>
      <c r="Z11" s="34"/>
      <c r="AA11" s="37"/>
    </row>
    <row r="12" spans="1:27" x14ac:dyDescent="0.2">
      <c r="A12" s="1" t="str" cm="1">
        <f t="array" ref="A12">IF(I12="","",IF(P12&lt;&gt;"",SUMPRODUCT((P$3:P$46&lt;&gt;"")*(G$3:G$46=G12)*(J$3:J$46&gt;J12)*(I$3:I$46="P"))+1,IF(O12&lt;&gt;"",SUMPRODUCT((O$3:O$46&lt;&gt;"")*(P$3:P$46="")*(G$3:G$46=G12)*(J$3:J$46&gt;J12)*(I$3:I$46="P"))+SUMPRODUCT((P$3:P$46&lt;&gt;"")*(G$3:G$46=G12))+1,IF(N12&lt;&gt;"",SUMPRODUCT((N$3:N$46&lt;&gt;"")*(G$3:G$46=G12)*(J$3:J$46&gt;J12)*(I$3:I$46="P"))+1,IF(M12="P",SUMPRODUCT((O$3:O$46&lt;&gt;"")*(P$3:P$46="")*(G$3:G$46=G12)*(I$3:I$46="P"))+SUMPRODUCT((P$3:P$46&lt;&gt;"")*(G$3:G$46=G12)*(I$3:I$46="P"))+SUMPRODUCT((N$3:N$46&lt;&gt;"")*(G$3:G$46=G12)*(I$3:I$46="P"))+SUMPRODUCT((P$3:P$46="")*(O$3:O$46="")*(N$3:N$46="")*(M$3:M$46="P")*(G$3:G$46=G12)*(J$3:J$46&gt;J12)*(I$3:I$46="P"))+1,"")))))</f>
        <v/>
      </c>
      <c r="B12" s="1" t="str" cm="1">
        <f t="array" ref="B12">IF(P12&lt;&gt;"",SUMPRODUCT((P$3:P$46&lt;&gt;"")*(G$3:G$46=G12)*(J$3:J$46&gt;J12))+1,IF(O12&lt;&gt;"",SUMPRODUCT((O$3:O$46&lt;&gt;"")*(P$3:P$46="")*(G$3:G$46=G12)*(J$3:J$46&gt;J12))+SUMPRODUCT((P$3:P$46&lt;&gt;"")*(G$3:G$46=G12))+1,IF(N12&lt;&gt;"",SUMPRODUCT((N$3:N$46&lt;&gt;"")*(G$3:G$46=G12)*(J$3:J$46&gt;J12))+1,IF(M12="P",SUMPRODUCT((O$3:O$46&lt;&gt;"")*(P$3:P$46="")*(G$3:G$46=G12))+SUMPRODUCT((P$3:P$46&lt;&gt;"")*(G$3:G$46=G12))+SUMPRODUCT((N$3:N$46&lt;&gt;"")*(G$3:G$46=G12))+SUMPRODUCT((P$3:P$46="")*(O$3:O$46="")*(N$3:N$46="")*(M$3:M$46="P")*(G$3:G$46=G12)*(J$3:J$46&gt;J12))+1,""))))</f>
        <v/>
      </c>
      <c r="C12" s="36" t="s">
        <v>360</v>
      </c>
      <c r="D12" s="51" t="str">
        <f>IF(E12="","",VLOOKUP(E12,'Coaching Points'!A:B,2,0))</f>
        <v>QC</v>
      </c>
      <c r="E12" s="36" t="s">
        <v>376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1" t="s">
        <v>127</v>
      </c>
      <c r="I12" s="47"/>
      <c r="J12" s="4">
        <f>MAX(R12,S12)+IF(OR(H12="Junior",H12="Senior"),0.0002,IF(OR(H12="L7",H12="L6"),0.0001,0))+MAX(X12,Z12)*0.0000001</f>
        <v>39.780100000000004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52" t="str">
        <f>IF(A12&lt;5,IF(_xlfn.MAXIFS(A:A,G:G,G12)&gt;3,5-A12,_xlfn.MAXIFS(A:A,G:G,G12)+1-A12),"")</f>
        <v/>
      </c>
      <c r="R12" s="4">
        <f>MAX(T12,X12)</f>
        <v>37.959999999999994</v>
      </c>
      <c r="S12" s="4">
        <f>MAX(V12,Z12)</f>
        <v>39.78</v>
      </c>
      <c r="T12" s="33">
        <v>37.959999999999994</v>
      </c>
      <c r="U12" s="41">
        <v>6</v>
      </c>
      <c r="V12" s="34">
        <v>39.78</v>
      </c>
      <c r="W12" s="41">
        <v>6</v>
      </c>
      <c r="X12" s="33"/>
      <c r="Y12" s="41"/>
      <c r="Z12" s="34"/>
      <c r="AA12" s="37"/>
    </row>
    <row r="13" spans="1:27" x14ac:dyDescent="0.2">
      <c r="A13" s="1" t="str" cm="1">
        <f t="array" ref="A13">IF(I13="","",IF(P13&lt;&gt;"",SUMPRODUCT((P$3:P$46&lt;&gt;"")*(G$3:G$46=G13)*(J$3:J$46&gt;J13)*(I$3:I$46="P"))+1,IF(O13&lt;&gt;"",SUMPRODUCT((O$3:O$46&lt;&gt;"")*(P$3:P$46="")*(G$3:G$46=G13)*(J$3:J$46&gt;J13)*(I$3:I$46="P"))+SUMPRODUCT((P$3:P$46&lt;&gt;"")*(G$3:G$46=G13))+1,IF(N13&lt;&gt;"",SUMPRODUCT((N$3:N$46&lt;&gt;"")*(G$3:G$46=G13)*(J$3:J$46&gt;J13)*(I$3:I$46="P"))+1,IF(M13="P",SUMPRODUCT((O$3:O$46&lt;&gt;"")*(P$3:P$46="")*(G$3:G$46=G13)*(I$3:I$46="P"))+SUMPRODUCT((P$3:P$46&lt;&gt;"")*(G$3:G$46=G13)*(I$3:I$46="P"))+SUMPRODUCT((N$3:N$46&lt;&gt;"")*(G$3:G$46=G13)*(I$3:I$46="P"))+SUMPRODUCT((P$3:P$46="")*(O$3:O$46="")*(N$3:N$46="")*(M$3:M$46="P")*(G$3:G$46=G13)*(J$3:J$46&gt;J13)*(I$3:I$46="P"))+1,"")))))</f>
        <v/>
      </c>
      <c r="B13" s="1" t="str" cm="1">
        <f t="array" ref="B13">IF(P13&lt;&gt;"",SUMPRODUCT((P$3:P$46&lt;&gt;"")*(G$3:G$46=G13)*(J$3:J$46&gt;J13))+1,IF(O13&lt;&gt;"",SUMPRODUCT((O$3:O$46&lt;&gt;"")*(P$3:P$46="")*(G$3:G$46=G13)*(J$3:J$46&gt;J13))+SUMPRODUCT((P$3:P$46&lt;&gt;"")*(G$3:G$46=G13))+1,IF(N13&lt;&gt;"",SUMPRODUCT((N$3:N$46&lt;&gt;"")*(G$3:G$46=G13)*(J$3:J$46&gt;J13))+1,IF(M13="P",SUMPRODUCT((O$3:O$46&lt;&gt;"")*(P$3:P$46="")*(G$3:G$46=G13))+SUMPRODUCT((P$3:P$46&lt;&gt;"")*(G$3:G$46=G13))+SUMPRODUCT((N$3:N$46&lt;&gt;"")*(G$3:G$46=G13))+SUMPRODUCT((P$3:P$46="")*(O$3:O$46="")*(N$3:N$46="")*(M$3:M$46="P")*(G$3:G$46=G13)*(J$3:J$46&gt;J13))+1,""))))</f>
        <v/>
      </c>
      <c r="C13" s="36" t="s">
        <v>344</v>
      </c>
      <c r="D13" s="51" t="str">
        <f>IF(E13="","",VLOOKUP(E13,'Coaching Points'!A:B,2,0))</f>
        <v>ON</v>
      </c>
      <c r="E13" s="36" t="s">
        <v>334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1" t="s">
        <v>125</v>
      </c>
      <c r="I13" s="47"/>
      <c r="J13" s="4">
        <f>MAX(R13,S13)+IF(OR(H13="Junior",H13="Senior"),0.0002,IF(OR(H13="L7",H13="L6"),0.0001,0))+MAX(X13,Z13)*0.0000001</f>
        <v>39.480000000000004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52" t="str">
        <f>IF(A13&lt;5,IF(_xlfn.MAXIFS(A:A,G:G,G13)&gt;3,5-A13,_xlfn.MAXIFS(A:A,G:G,G13)+1-A13),"")</f>
        <v/>
      </c>
      <c r="R13" s="4">
        <f>MAX(T13,X13)</f>
        <v>39.480000000000004</v>
      </c>
      <c r="S13" s="4">
        <f>MAX(V13,Z13)</f>
        <v>35.200000000000003</v>
      </c>
      <c r="T13" s="33">
        <v>39.480000000000004</v>
      </c>
      <c r="U13" s="41">
        <v>6.4</v>
      </c>
      <c r="V13" s="34">
        <v>35.200000000000003</v>
      </c>
      <c r="W13" s="41">
        <v>4.2</v>
      </c>
      <c r="X13" s="33"/>
      <c r="Y13" s="41"/>
      <c r="Z13" s="34"/>
      <c r="AA13" s="37"/>
    </row>
    <row r="14" spans="1:27" x14ac:dyDescent="0.2">
      <c r="A14" s="1" t="str" cm="1">
        <f t="array" ref="A14">IF(I14="","",IF(P14&lt;&gt;"",SUMPRODUCT((P$3:P$46&lt;&gt;"")*(G$3:G$46=G14)*(J$3:J$46&gt;J14)*(I$3:I$46="P"))+1,IF(O14&lt;&gt;"",SUMPRODUCT((O$3:O$46&lt;&gt;"")*(P$3:P$46="")*(G$3:G$46=G14)*(J$3:J$46&gt;J14)*(I$3:I$46="P"))+SUMPRODUCT((P$3:P$46&lt;&gt;"")*(G$3:G$46=G14))+1,IF(N14&lt;&gt;"",SUMPRODUCT((N$3:N$46&lt;&gt;"")*(G$3:G$46=G14)*(J$3:J$46&gt;J14)*(I$3:I$46="P"))+1,IF(M14="P",SUMPRODUCT((O$3:O$46&lt;&gt;"")*(P$3:P$46="")*(G$3:G$46=G14)*(I$3:I$46="P"))+SUMPRODUCT((P$3:P$46&lt;&gt;"")*(G$3:G$46=G14)*(I$3:I$46="P"))+SUMPRODUCT((N$3:N$46&lt;&gt;"")*(G$3:G$46=G14)*(I$3:I$46="P"))+SUMPRODUCT((P$3:P$46="")*(O$3:O$46="")*(N$3:N$46="")*(M$3:M$46="P")*(G$3:G$46=G14)*(J$3:J$46&gt;J14)*(I$3:I$46="P"))+1,"")))))</f>
        <v/>
      </c>
      <c r="B14" s="1" t="str" cm="1">
        <f t="array" ref="B14">IF(P14&lt;&gt;"",SUMPRODUCT((P$3:P$46&lt;&gt;"")*(G$3:G$46=G14)*(J$3:J$46&gt;J14))+1,IF(O14&lt;&gt;"",SUMPRODUCT((O$3:O$46&lt;&gt;"")*(P$3:P$46="")*(G$3:G$46=G14)*(J$3:J$46&gt;J14))+SUMPRODUCT((P$3:P$46&lt;&gt;"")*(G$3:G$46=G14))+1,IF(N14&lt;&gt;"",SUMPRODUCT((N$3:N$46&lt;&gt;"")*(G$3:G$46=G14)*(J$3:J$46&gt;J14))+1,IF(M14="P",SUMPRODUCT((O$3:O$46&lt;&gt;"")*(P$3:P$46="")*(G$3:G$46=G14))+SUMPRODUCT((P$3:P$46&lt;&gt;"")*(G$3:G$46=G14))+SUMPRODUCT((N$3:N$46&lt;&gt;"")*(G$3:G$46=G14))+SUMPRODUCT((P$3:P$46="")*(O$3:O$46="")*(N$3:N$46="")*(M$3:M$46="P")*(G$3:G$46=G14)*(J$3:J$46&gt;J14))+1,""))))</f>
        <v/>
      </c>
      <c r="C14" s="36" t="s">
        <v>361</v>
      </c>
      <c r="D14" s="51" t="str">
        <f>IF(E14="","",VLOOKUP(E14,'Coaching Points'!A:B,2,0))</f>
        <v>SK</v>
      </c>
      <c r="E14" s="36" t="s">
        <v>79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1" t="s">
        <v>127</v>
      </c>
      <c r="I14" s="47"/>
      <c r="J14" s="4">
        <f>MAX(R14,S14)+IF(OR(H14="Junior",H14="Senior"),0.0002,IF(OR(H14="L7",H14="L6"),0.0001,0))+MAX(X14,Z14)*0.0000001</f>
        <v>39.3001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52" t="str">
        <f>IF(A14&lt;5,IF(_xlfn.MAXIFS(A:A,G:G,G14)&gt;3,5-A14,_xlfn.MAXIFS(A:A,G:G,G14)+1-A14),"")</f>
        <v/>
      </c>
      <c r="R14" s="4">
        <f>MAX(T14,X14)</f>
        <v>38.76</v>
      </c>
      <c r="S14" s="4">
        <f>MAX(V14,Z14)</f>
        <v>39.299999999999997</v>
      </c>
      <c r="T14" s="33">
        <v>38.76</v>
      </c>
      <c r="U14" s="41">
        <v>6.1</v>
      </c>
      <c r="V14" s="34">
        <v>39.299999999999997</v>
      </c>
      <c r="W14" s="41">
        <v>6.1</v>
      </c>
      <c r="X14" s="33"/>
      <c r="Y14" s="41"/>
      <c r="Z14" s="34"/>
      <c r="AA14" s="37"/>
    </row>
    <row r="15" spans="1:27" x14ac:dyDescent="0.2">
      <c r="A15" s="1" t="str" cm="1">
        <f t="array" ref="A15">IF(I15="","",IF(P15&lt;&gt;"",SUMPRODUCT((P$3:P$46&lt;&gt;"")*(G$3:G$46=G15)*(J$3:J$46&gt;J15)*(I$3:I$46="P"))+1,IF(O15&lt;&gt;"",SUMPRODUCT((O$3:O$46&lt;&gt;"")*(P$3:P$46="")*(G$3:G$46=G15)*(J$3:J$46&gt;J15)*(I$3:I$46="P"))+SUMPRODUCT((P$3:P$46&lt;&gt;"")*(G$3:G$46=G15))+1,IF(N15&lt;&gt;"",SUMPRODUCT((N$3:N$46&lt;&gt;"")*(G$3:G$46=G15)*(J$3:J$46&gt;J15)*(I$3:I$46="P"))+1,IF(M15="P",SUMPRODUCT((O$3:O$46&lt;&gt;"")*(P$3:P$46="")*(G$3:G$46=G15)*(I$3:I$46="P"))+SUMPRODUCT((P$3:P$46&lt;&gt;"")*(G$3:G$46=G15)*(I$3:I$46="P"))+SUMPRODUCT((N$3:N$46&lt;&gt;"")*(G$3:G$46=G15)*(I$3:I$46="P"))+SUMPRODUCT((P$3:P$46="")*(O$3:O$46="")*(N$3:N$46="")*(M$3:M$46="P")*(G$3:G$46=G15)*(J$3:J$46&gt;J15)*(I$3:I$46="P"))+1,"")))))</f>
        <v/>
      </c>
      <c r="B15" s="1" t="str" cm="1">
        <f t="array" ref="B15">IF(P15&lt;&gt;"",SUMPRODUCT((P$3:P$46&lt;&gt;"")*(G$3:G$46=G15)*(J$3:J$46&gt;J15))+1,IF(O15&lt;&gt;"",SUMPRODUCT((O$3:O$46&lt;&gt;"")*(P$3:P$46="")*(G$3:G$46=G15)*(J$3:J$46&gt;J15))+SUMPRODUCT((P$3:P$46&lt;&gt;"")*(G$3:G$46=G15))+1,IF(N15&lt;&gt;"",SUMPRODUCT((N$3:N$46&lt;&gt;"")*(G$3:G$46=G15)*(J$3:J$46&gt;J15))+1,IF(M15="P",SUMPRODUCT((O$3:O$46&lt;&gt;"")*(P$3:P$46="")*(G$3:G$46=G15))+SUMPRODUCT((P$3:P$46&lt;&gt;"")*(G$3:G$46=G15))+SUMPRODUCT((N$3:N$46&lt;&gt;"")*(G$3:G$46=G15))+SUMPRODUCT((P$3:P$46="")*(O$3:O$46="")*(N$3:N$46="")*(M$3:M$46="P")*(G$3:G$46=G15)*(J$3:J$46&gt;J15))+1,""))))</f>
        <v/>
      </c>
      <c r="C15" s="36" t="s">
        <v>362</v>
      </c>
      <c r="D15" s="51" t="str">
        <f>IF(E15="","",VLOOKUP(E15,'Coaching Points'!A:B,2,0))</f>
        <v>ON</v>
      </c>
      <c r="E15" s="36" t="s">
        <v>323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1" t="s">
        <v>127</v>
      </c>
      <c r="I15" s="47"/>
      <c r="J15" s="4">
        <f>MAX(R15,S15)+IF(OR(H15="Junior",H15="Senior"),0.0002,IF(OR(H15="L7",H15="L6"),0.0001,0))+MAX(X15,Z15)*0.0000001</f>
        <v>39.000100000000003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52" t="str">
        <f>IF(A15&lt;5,IF(_xlfn.MAXIFS(A:A,G:G,G15)&gt;3,5-A15,_xlfn.MAXIFS(A:A,G:G,G15)+1-A15),"")</f>
        <v/>
      </c>
      <c r="R15" s="4">
        <f>MAX(T15,X15)</f>
        <v>39</v>
      </c>
      <c r="S15" s="4">
        <f>MAX(V15,Z15)</f>
        <v>36.200000000000003</v>
      </c>
      <c r="T15" s="33">
        <v>39</v>
      </c>
      <c r="U15" s="41">
        <v>7.3000000000000007</v>
      </c>
      <c r="V15" s="34">
        <v>36.200000000000003</v>
      </c>
      <c r="W15" s="41">
        <v>5.0999999999999996</v>
      </c>
      <c r="X15" s="33"/>
      <c r="Y15" s="41"/>
      <c r="Z15" s="34"/>
      <c r="AA15" s="37"/>
    </row>
    <row r="16" spans="1:27" x14ac:dyDescent="0.2">
      <c r="A16" s="1" t="str" cm="1">
        <f t="array" ref="A16">IF(I16="","",IF(P16&lt;&gt;"",SUMPRODUCT((P$3:P$46&lt;&gt;"")*(G$3:G$46=G16)*(J$3:J$46&gt;J16)*(I$3:I$46="P"))+1,IF(O16&lt;&gt;"",SUMPRODUCT((O$3:O$46&lt;&gt;"")*(P$3:P$46="")*(G$3:G$46=G16)*(J$3:J$46&gt;J16)*(I$3:I$46="P"))+SUMPRODUCT((P$3:P$46&lt;&gt;"")*(G$3:G$46=G16))+1,IF(N16&lt;&gt;"",SUMPRODUCT((N$3:N$46&lt;&gt;"")*(G$3:G$46=G16)*(J$3:J$46&gt;J16)*(I$3:I$46="P"))+1,IF(M16="P",SUMPRODUCT((O$3:O$46&lt;&gt;"")*(P$3:P$46="")*(G$3:G$46=G16)*(I$3:I$46="P"))+SUMPRODUCT((P$3:P$46&lt;&gt;"")*(G$3:G$46=G16)*(I$3:I$46="P"))+SUMPRODUCT((N$3:N$46&lt;&gt;"")*(G$3:G$46=G16)*(I$3:I$46="P"))+SUMPRODUCT((P$3:P$46="")*(O$3:O$46="")*(N$3:N$46="")*(M$3:M$46="P")*(G$3:G$46=G16)*(J$3:J$46&gt;J16)*(I$3:I$46="P"))+1,"")))))</f>
        <v/>
      </c>
      <c r="B16" s="1" t="str" cm="1">
        <f t="array" ref="B16">IF(P16&lt;&gt;"",SUMPRODUCT((P$3:P$46&lt;&gt;"")*(G$3:G$46=G16)*(J$3:J$46&gt;J16))+1,IF(O16&lt;&gt;"",SUMPRODUCT((O$3:O$46&lt;&gt;"")*(P$3:P$46="")*(G$3:G$46=G16)*(J$3:J$46&gt;J16))+SUMPRODUCT((P$3:P$46&lt;&gt;"")*(G$3:G$46=G16))+1,IF(N16&lt;&gt;"",SUMPRODUCT((N$3:N$46&lt;&gt;"")*(G$3:G$46=G16)*(J$3:J$46&gt;J16))+1,IF(M16="P",SUMPRODUCT((O$3:O$46&lt;&gt;"")*(P$3:P$46="")*(G$3:G$46=G16))+SUMPRODUCT((P$3:P$46&lt;&gt;"")*(G$3:G$46=G16))+SUMPRODUCT((N$3:N$46&lt;&gt;"")*(G$3:G$46=G16))+SUMPRODUCT((P$3:P$46="")*(O$3:O$46="")*(N$3:N$46="")*(M$3:M$46="P")*(G$3:G$46=G16)*(J$3:J$46&gt;J16))+1,""))))</f>
        <v/>
      </c>
      <c r="C16" s="36" t="s">
        <v>259</v>
      </c>
      <c r="D16" s="51" t="str">
        <f>IF(E16="","",VLOOKUP(E16,'Coaching Points'!A:B,2,0))</f>
        <v>BC</v>
      </c>
      <c r="E16" s="36" t="s">
        <v>89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1" t="s">
        <v>125</v>
      </c>
      <c r="I16" s="47"/>
      <c r="J16" s="4">
        <f>MAX(R16,S16)+IF(OR(H16="Junior",H16="Senior"),0.0002,IF(OR(H16="L7",H16="L6"),0.0001,0))+MAX(X16,Z16)*0.0000001</f>
        <v>39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52" t="str">
        <f>IF(A16&lt;5,IF(_xlfn.MAXIFS(A:A,G:G,G16)&gt;3,5-A16,_xlfn.MAXIFS(A:A,G:G,G16)+1-A16),"")</f>
        <v/>
      </c>
      <c r="R16" s="4">
        <f>MAX(T16,X16)</f>
        <v>39</v>
      </c>
      <c r="S16" s="4">
        <f>MAX(V16,Z16)</f>
        <v>27.7</v>
      </c>
      <c r="T16" s="33">
        <v>39</v>
      </c>
      <c r="U16" s="41">
        <v>5.0999999999999996</v>
      </c>
      <c r="V16" s="34">
        <v>27.7</v>
      </c>
      <c r="W16" s="41">
        <v>4</v>
      </c>
      <c r="X16" s="33"/>
      <c r="Y16" s="41"/>
      <c r="Z16" s="34"/>
      <c r="AA16" s="37"/>
    </row>
    <row r="17" spans="1:27" x14ac:dyDescent="0.2">
      <c r="A17" s="1" t="str" cm="1">
        <f t="array" ref="A17">IF(I17="","",IF(P17&lt;&gt;"",SUMPRODUCT((P$3:P$46&lt;&gt;"")*(G$3:G$46=G17)*(J$3:J$46&gt;J17)*(I$3:I$46="P"))+1,IF(O17&lt;&gt;"",SUMPRODUCT((O$3:O$46&lt;&gt;"")*(P$3:P$46="")*(G$3:G$46=G17)*(J$3:J$46&gt;J17)*(I$3:I$46="P"))+SUMPRODUCT((P$3:P$46&lt;&gt;"")*(G$3:G$46=G17))+1,IF(N17&lt;&gt;"",SUMPRODUCT((N$3:N$46&lt;&gt;"")*(G$3:G$46=G17)*(J$3:J$46&gt;J17)*(I$3:I$46="P"))+1,IF(M17="P",SUMPRODUCT((O$3:O$46&lt;&gt;"")*(P$3:P$46="")*(G$3:G$46=G17)*(I$3:I$46="P"))+SUMPRODUCT((P$3:P$46&lt;&gt;"")*(G$3:G$46=G17)*(I$3:I$46="P"))+SUMPRODUCT((N$3:N$46&lt;&gt;"")*(G$3:G$46=G17)*(I$3:I$46="P"))+SUMPRODUCT((P$3:P$46="")*(O$3:O$46="")*(N$3:N$46="")*(M$3:M$46="P")*(G$3:G$46=G17)*(J$3:J$46&gt;J17)*(I$3:I$46="P"))+1,"")))))</f>
        <v/>
      </c>
      <c r="B17" s="1" t="str" cm="1">
        <f t="array" ref="B17">IF(P17&lt;&gt;"",SUMPRODUCT((P$3:P$46&lt;&gt;"")*(G$3:G$46=G17)*(J$3:J$46&gt;J17))+1,IF(O17&lt;&gt;"",SUMPRODUCT((O$3:O$46&lt;&gt;"")*(P$3:P$46="")*(G$3:G$46=G17)*(J$3:J$46&gt;J17))+SUMPRODUCT((P$3:P$46&lt;&gt;"")*(G$3:G$46=G17))+1,IF(N17&lt;&gt;"",SUMPRODUCT((N$3:N$46&lt;&gt;"")*(G$3:G$46=G17)*(J$3:J$46&gt;J17))+1,IF(M17="P",SUMPRODUCT((O$3:O$46&lt;&gt;"")*(P$3:P$46="")*(G$3:G$46=G17))+SUMPRODUCT((P$3:P$46&lt;&gt;"")*(G$3:G$46=G17))+SUMPRODUCT((N$3:N$46&lt;&gt;"")*(G$3:G$46=G17))+SUMPRODUCT((P$3:P$46="")*(O$3:O$46="")*(N$3:N$46="")*(M$3:M$46="P")*(G$3:G$46=G17)*(J$3:J$46&gt;J17))+1,""))))</f>
        <v/>
      </c>
      <c r="C17" s="36" t="s">
        <v>341</v>
      </c>
      <c r="D17" s="51" t="str">
        <f>IF(E17="","",VLOOKUP(E17,'Coaching Points'!A:B,2,0))</f>
        <v>ON</v>
      </c>
      <c r="E17" s="36" t="s">
        <v>334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1" t="s">
        <v>125</v>
      </c>
      <c r="I17" s="47"/>
      <c r="J17" s="4">
        <f>MAX(R17,S17)+IF(OR(H17="Junior",H17="Senior"),0.0002,IF(OR(H17="L7",H17="L6"),0.0001,0))+MAX(X17,Z17)*0.0000001</f>
        <v>38.700000000000003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52" t="str">
        <f>IF(A17&lt;5,IF(_xlfn.MAXIFS(A:A,G:G,G17)&gt;3,5-A17,_xlfn.MAXIFS(A:A,G:G,G17)+1-A17),"")</f>
        <v/>
      </c>
      <c r="R17" s="4">
        <f>MAX(T17,X17)</f>
        <v>38.700000000000003</v>
      </c>
      <c r="S17" s="4">
        <f>MAX(V17,Z17)</f>
        <v>36.520000000000003</v>
      </c>
      <c r="T17" s="33">
        <v>38.700000000000003</v>
      </c>
      <c r="U17" s="41">
        <v>4.5999999999999996</v>
      </c>
      <c r="V17" s="34">
        <v>36.520000000000003</v>
      </c>
      <c r="W17" s="41">
        <v>4.5999999999999996</v>
      </c>
      <c r="X17" s="33"/>
      <c r="Y17" s="41"/>
      <c r="Z17" s="34"/>
      <c r="AA17" s="37"/>
    </row>
    <row r="18" spans="1:27" x14ac:dyDescent="0.2">
      <c r="A18" s="1" t="str" cm="1">
        <f t="array" ref="A18">IF(I18="","",IF(P18&lt;&gt;"",SUMPRODUCT((P$3:P$46&lt;&gt;"")*(G$3:G$46=G18)*(J$3:J$46&gt;J18)*(I$3:I$46="P"))+1,IF(O18&lt;&gt;"",SUMPRODUCT((O$3:O$46&lt;&gt;"")*(P$3:P$46="")*(G$3:G$46=G18)*(J$3:J$46&gt;J18)*(I$3:I$46="P"))+SUMPRODUCT((P$3:P$46&lt;&gt;"")*(G$3:G$46=G18))+1,IF(N18&lt;&gt;"",SUMPRODUCT((N$3:N$46&lt;&gt;"")*(G$3:G$46=G18)*(J$3:J$46&gt;J18)*(I$3:I$46="P"))+1,IF(M18="P",SUMPRODUCT((O$3:O$46&lt;&gt;"")*(P$3:P$46="")*(G$3:G$46=G18)*(I$3:I$46="P"))+SUMPRODUCT((P$3:P$46&lt;&gt;"")*(G$3:G$46=G18)*(I$3:I$46="P"))+SUMPRODUCT((N$3:N$46&lt;&gt;"")*(G$3:G$46=G18)*(I$3:I$46="P"))+SUMPRODUCT((P$3:P$46="")*(O$3:O$46="")*(N$3:N$46="")*(M$3:M$46="P")*(G$3:G$46=G18)*(J$3:J$46&gt;J18)*(I$3:I$46="P"))+1,"")))))</f>
        <v/>
      </c>
      <c r="B18" s="1" t="str" cm="1">
        <f t="array" ref="B18">IF(P18&lt;&gt;"",SUMPRODUCT((P$3:P$46&lt;&gt;"")*(G$3:G$46=G18)*(J$3:J$46&gt;J18))+1,IF(O18&lt;&gt;"",SUMPRODUCT((O$3:O$46&lt;&gt;"")*(P$3:P$46="")*(G$3:G$46=G18)*(J$3:J$46&gt;J18))+SUMPRODUCT((P$3:P$46&lt;&gt;"")*(G$3:G$46=G18))+1,IF(N18&lt;&gt;"",SUMPRODUCT((N$3:N$46&lt;&gt;"")*(G$3:G$46=G18)*(J$3:J$46&gt;J18))+1,IF(M18="P",SUMPRODUCT((O$3:O$46&lt;&gt;"")*(P$3:P$46="")*(G$3:G$46=G18))+SUMPRODUCT((P$3:P$46&lt;&gt;"")*(G$3:G$46=G18))+SUMPRODUCT((N$3:N$46&lt;&gt;"")*(G$3:G$46=G18))+SUMPRODUCT((P$3:P$46="")*(O$3:O$46="")*(N$3:N$46="")*(M$3:M$46="P")*(G$3:G$46=G18)*(J$3:J$46&gt;J18))+1,""))))</f>
        <v/>
      </c>
      <c r="C18" s="36" t="s">
        <v>339</v>
      </c>
      <c r="D18" s="51" t="str">
        <f>IF(E18="","",VLOOKUP(E18,'Coaching Points'!A:B,2,0))</f>
        <v>ON</v>
      </c>
      <c r="E18" s="36" t="s">
        <v>49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1" t="s">
        <v>125</v>
      </c>
      <c r="I18" s="47"/>
      <c r="J18" s="4">
        <f>MAX(R18,S18)+IF(OR(H18="Junior",H18="Senior"),0.0002,IF(OR(H18="L7",H18="L6"),0.0001,0))+MAX(X18,Z18)*0.0000001</f>
        <v>37.94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52" t="str">
        <f>IF(A18&lt;5,IF(_xlfn.MAXIFS(A:A,G:G,G18)&gt;3,5-A18,_xlfn.MAXIFS(A:A,G:G,G18)+1-A18),"")</f>
        <v/>
      </c>
      <c r="R18" s="4">
        <f>MAX(T18,X18)</f>
        <v>37.94</v>
      </c>
      <c r="S18" s="4">
        <f>MAX(V18,Z18)</f>
        <v>37.799999999999997</v>
      </c>
      <c r="T18" s="33">
        <v>37.94</v>
      </c>
      <c r="U18" s="41">
        <v>4.9000000000000004</v>
      </c>
      <c r="V18" s="34">
        <v>37.799999999999997</v>
      </c>
      <c r="W18" s="41">
        <v>6.2</v>
      </c>
      <c r="X18" s="33"/>
      <c r="Y18" s="41"/>
      <c r="Z18" s="34"/>
      <c r="AA18" s="37"/>
    </row>
    <row r="19" spans="1:27" x14ac:dyDescent="0.2">
      <c r="A19" s="1" t="str" cm="1">
        <f t="array" ref="A19">IF(I19="","",IF(P19&lt;&gt;"",SUMPRODUCT((P$3:P$46&lt;&gt;"")*(G$3:G$46=G19)*(J$3:J$46&gt;J19)*(I$3:I$46="P"))+1,IF(O19&lt;&gt;"",SUMPRODUCT((O$3:O$46&lt;&gt;"")*(P$3:P$46="")*(G$3:G$46=G19)*(J$3:J$46&gt;J19)*(I$3:I$46="P"))+SUMPRODUCT((P$3:P$46&lt;&gt;"")*(G$3:G$46=G19))+1,IF(N19&lt;&gt;"",SUMPRODUCT((N$3:N$46&lt;&gt;"")*(G$3:G$46=G19)*(J$3:J$46&gt;J19)*(I$3:I$46="P"))+1,IF(M19="P",SUMPRODUCT((O$3:O$46&lt;&gt;"")*(P$3:P$46="")*(G$3:G$46=G19)*(I$3:I$46="P"))+SUMPRODUCT((P$3:P$46&lt;&gt;"")*(G$3:G$46=G19)*(I$3:I$46="P"))+SUMPRODUCT((N$3:N$46&lt;&gt;"")*(G$3:G$46=G19)*(I$3:I$46="P"))+SUMPRODUCT((P$3:P$46="")*(O$3:O$46="")*(N$3:N$46="")*(M$3:M$46="P")*(G$3:G$46=G19)*(J$3:J$46&gt;J19)*(I$3:I$46="P"))+1,"")))))</f>
        <v/>
      </c>
      <c r="B19" s="1" t="str" cm="1">
        <f t="array" ref="B19">IF(P19&lt;&gt;"",SUMPRODUCT((P$3:P$46&lt;&gt;"")*(G$3:G$46=G19)*(J$3:J$46&gt;J19))+1,IF(O19&lt;&gt;"",SUMPRODUCT((O$3:O$46&lt;&gt;"")*(P$3:P$46="")*(G$3:G$46=G19)*(J$3:J$46&gt;J19))+SUMPRODUCT((P$3:P$46&lt;&gt;"")*(G$3:G$46=G19))+1,IF(N19&lt;&gt;"",SUMPRODUCT((N$3:N$46&lt;&gt;"")*(G$3:G$46=G19)*(J$3:J$46&gt;J19))+1,IF(M19="P",SUMPRODUCT((O$3:O$46&lt;&gt;"")*(P$3:P$46="")*(G$3:G$46=G19))+SUMPRODUCT((P$3:P$46&lt;&gt;"")*(G$3:G$46=G19))+SUMPRODUCT((N$3:N$46&lt;&gt;"")*(G$3:G$46=G19))+SUMPRODUCT((P$3:P$46="")*(O$3:O$46="")*(N$3:N$46="")*(M$3:M$46="P")*(G$3:G$46=G19)*(J$3:J$46&gt;J19))+1,""))))</f>
        <v/>
      </c>
      <c r="C19" s="36" t="s">
        <v>336</v>
      </c>
      <c r="D19" s="51" t="str">
        <f>IF(E19="","",VLOOKUP(E19,'Coaching Points'!A:B,2,0))</f>
        <v>ON</v>
      </c>
      <c r="E19" s="36" t="s">
        <v>49</v>
      </c>
      <c r="F19" s="35">
        <v>2001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1" t="s">
        <v>125</v>
      </c>
      <c r="I19" s="47"/>
      <c r="J19" s="4">
        <f>MAX(R19,S19)+IF(OR(H19="Junior",H19="Senior"),0.0002,IF(OR(H19="L7",H19="L6"),0.0001,0))+MAX(X19,Z19)*0.0000001</f>
        <v>37.900000000000006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52" t="str">
        <f>IF(A19&lt;5,IF(_xlfn.MAXIFS(A:A,G:G,G19)&gt;3,5-A19,_xlfn.MAXIFS(A:A,G:G,G19)+1-A19),"")</f>
        <v/>
      </c>
      <c r="R19" s="4">
        <f>MAX(T19,X19)</f>
        <v>37.900000000000006</v>
      </c>
      <c r="S19" s="4">
        <f>MAX(V19,Z19)</f>
        <v>36.299999999999997</v>
      </c>
      <c r="T19" s="33">
        <v>37.900000000000006</v>
      </c>
      <c r="U19" s="41">
        <v>4.4000000000000004</v>
      </c>
      <c r="V19" s="34">
        <v>36.299999999999997</v>
      </c>
      <c r="W19" s="41">
        <v>4.4000000000000004</v>
      </c>
      <c r="X19" s="33"/>
      <c r="Y19" s="41"/>
      <c r="Z19" s="34"/>
      <c r="AA19" s="37"/>
    </row>
    <row r="20" spans="1:27" x14ac:dyDescent="0.2">
      <c r="A20" s="1" t="str" cm="1">
        <f t="array" ref="A20">IF(I20="","",IF(P20&lt;&gt;"",SUMPRODUCT((P$3:P$46&lt;&gt;"")*(G$3:G$46=G20)*(J$3:J$46&gt;J20)*(I$3:I$46="P"))+1,IF(O20&lt;&gt;"",SUMPRODUCT((O$3:O$46&lt;&gt;"")*(P$3:P$46="")*(G$3:G$46=G20)*(J$3:J$46&gt;J20)*(I$3:I$46="P"))+SUMPRODUCT((P$3:P$46&lt;&gt;"")*(G$3:G$46=G20))+1,IF(N20&lt;&gt;"",SUMPRODUCT((N$3:N$46&lt;&gt;"")*(G$3:G$46=G20)*(J$3:J$46&gt;J20)*(I$3:I$46="P"))+1,IF(M20="P",SUMPRODUCT((O$3:O$46&lt;&gt;"")*(P$3:P$46="")*(G$3:G$46=G20)*(I$3:I$46="P"))+SUMPRODUCT((P$3:P$46&lt;&gt;"")*(G$3:G$46=G20)*(I$3:I$46="P"))+SUMPRODUCT((N$3:N$46&lt;&gt;"")*(G$3:G$46=G20)*(I$3:I$46="P"))+SUMPRODUCT((P$3:P$46="")*(O$3:O$46="")*(N$3:N$46="")*(M$3:M$46="P")*(G$3:G$46=G20)*(J$3:J$46&gt;J20)*(I$3:I$46="P"))+1,"")))))</f>
        <v/>
      </c>
      <c r="B20" s="1" t="str" cm="1">
        <f t="array" ref="B20">IF(P20&lt;&gt;"",SUMPRODUCT((P$3:P$46&lt;&gt;"")*(G$3:G$46=G20)*(J$3:J$46&gt;J20))+1,IF(O20&lt;&gt;"",SUMPRODUCT((O$3:O$46&lt;&gt;"")*(P$3:P$46="")*(G$3:G$46=G20)*(J$3:J$46&gt;J20))+SUMPRODUCT((P$3:P$46&lt;&gt;"")*(G$3:G$46=G20))+1,IF(N20&lt;&gt;"",SUMPRODUCT((N$3:N$46&lt;&gt;"")*(G$3:G$46=G20)*(J$3:J$46&gt;J20))+1,IF(M20="P",SUMPRODUCT((O$3:O$46&lt;&gt;"")*(P$3:P$46="")*(G$3:G$46=G20))+SUMPRODUCT((P$3:P$46&lt;&gt;"")*(G$3:G$46=G20))+SUMPRODUCT((N$3:N$46&lt;&gt;"")*(G$3:G$46=G20))+SUMPRODUCT((P$3:P$46="")*(O$3:O$46="")*(N$3:N$46="")*(M$3:M$46="P")*(G$3:G$46=G20)*(J$3:J$46&gt;J20))+1,""))))</f>
        <v/>
      </c>
      <c r="C20" s="36" t="s">
        <v>342</v>
      </c>
      <c r="D20" s="51" t="str">
        <f>IF(E20="","",VLOOKUP(E20,'Coaching Points'!A:B,2,0))</f>
        <v>SK</v>
      </c>
      <c r="E20" s="36" t="s">
        <v>79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1" t="s">
        <v>125</v>
      </c>
      <c r="I20" s="47"/>
      <c r="J20" s="4">
        <f>MAX(R20,S20)+IF(OR(H20="Junior",H20="Senior"),0.0002,IF(OR(H20="L7",H20="L6"),0.0001,0))+MAX(X20,Z20)*0.0000001</f>
        <v>37.800000000000004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52" t="str">
        <f>IF(A20&lt;5,IF(_xlfn.MAXIFS(A:A,G:G,G20)&gt;3,5-A20,_xlfn.MAXIFS(A:A,G:G,G20)+1-A20),"")</f>
        <v/>
      </c>
      <c r="R20" s="4">
        <f>MAX(T20,X20)</f>
        <v>37.800000000000004</v>
      </c>
      <c r="S20" s="4">
        <f>MAX(V20,Z20)</f>
        <v>36.180000000000007</v>
      </c>
      <c r="T20" s="33">
        <v>37.800000000000004</v>
      </c>
      <c r="U20" s="41">
        <v>4.5999999999999996</v>
      </c>
      <c r="V20" s="34">
        <v>36.180000000000007</v>
      </c>
      <c r="W20" s="41">
        <v>4.5999999999999996</v>
      </c>
      <c r="X20" s="33"/>
      <c r="Y20" s="41"/>
      <c r="Z20" s="34"/>
      <c r="AA20" s="37"/>
    </row>
    <row r="21" spans="1:27" x14ac:dyDescent="0.2">
      <c r="A21" s="1" t="str" cm="1">
        <f t="array" ref="A21">IF(I21="","",IF(P21&lt;&gt;"",SUMPRODUCT((P$3:P$46&lt;&gt;"")*(G$3:G$46=G21)*(J$3:J$46&gt;J21)*(I$3:I$46="P"))+1,IF(O21&lt;&gt;"",SUMPRODUCT((O$3:O$46&lt;&gt;"")*(P$3:P$46="")*(G$3:G$46=G21)*(J$3:J$46&gt;J21)*(I$3:I$46="P"))+SUMPRODUCT((P$3:P$46&lt;&gt;"")*(G$3:G$46=G21))+1,IF(N21&lt;&gt;"",SUMPRODUCT((N$3:N$46&lt;&gt;"")*(G$3:G$46=G21)*(J$3:J$46&gt;J21)*(I$3:I$46="P"))+1,IF(M21="P",SUMPRODUCT((O$3:O$46&lt;&gt;"")*(P$3:P$46="")*(G$3:G$46=G21)*(I$3:I$46="P"))+SUMPRODUCT((P$3:P$46&lt;&gt;"")*(G$3:G$46=G21)*(I$3:I$46="P"))+SUMPRODUCT((N$3:N$46&lt;&gt;"")*(G$3:G$46=G21)*(I$3:I$46="P"))+SUMPRODUCT((P$3:P$46="")*(O$3:O$46="")*(N$3:N$46="")*(M$3:M$46="P")*(G$3:G$46=G21)*(J$3:J$46&gt;J21)*(I$3:I$46="P"))+1,"")))))</f>
        <v/>
      </c>
      <c r="B21" s="1" t="str" cm="1">
        <f t="array" ref="B21">IF(P21&lt;&gt;"",SUMPRODUCT((P$3:P$46&lt;&gt;"")*(G$3:G$46=G21)*(J$3:J$46&gt;J21))+1,IF(O21&lt;&gt;"",SUMPRODUCT((O$3:O$46&lt;&gt;"")*(P$3:P$46="")*(G$3:G$46=G21)*(J$3:J$46&gt;J21))+SUMPRODUCT((P$3:P$46&lt;&gt;"")*(G$3:G$46=G21))+1,IF(N21&lt;&gt;"",SUMPRODUCT((N$3:N$46&lt;&gt;"")*(G$3:G$46=G21)*(J$3:J$46&gt;J21))+1,IF(M21="P",SUMPRODUCT((O$3:O$46&lt;&gt;"")*(P$3:P$46="")*(G$3:G$46=G21))+SUMPRODUCT((P$3:P$46&lt;&gt;"")*(G$3:G$46=G21))+SUMPRODUCT((N$3:N$46&lt;&gt;"")*(G$3:G$46=G21))+SUMPRODUCT((P$3:P$46="")*(O$3:O$46="")*(N$3:N$46="")*(M$3:M$46="P")*(G$3:G$46=G21)*(J$3:J$46&gt;J21))+1,""))))</f>
        <v/>
      </c>
      <c r="C21" s="36" t="s">
        <v>343</v>
      </c>
      <c r="D21" s="51" t="str">
        <f>IF(E21="","",VLOOKUP(E21,'Coaching Points'!A:B,2,0))</f>
        <v>SK</v>
      </c>
      <c r="E21" s="36" t="s">
        <v>47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1" t="s">
        <v>125</v>
      </c>
      <c r="I21" s="47"/>
      <c r="J21" s="4">
        <f>MAX(R21,S21)+IF(OR(H21="Junior",H21="Senior"),0.0002,IF(OR(H21="L7",H21="L6"),0.0001,0))+MAX(X21,Z21)*0.0000001</f>
        <v>37.78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52" t="str">
        <f>IF(A21&lt;5,IF(_xlfn.MAXIFS(A:A,G:G,G21)&gt;3,5-A21,_xlfn.MAXIFS(A:A,G:G,G21)+1-A21),"")</f>
        <v/>
      </c>
      <c r="R21" s="4">
        <f>MAX(T21,X21)</f>
        <v>37.78</v>
      </c>
      <c r="S21" s="4">
        <f>MAX(V21,Z21)</f>
        <v>36.119999999999997</v>
      </c>
      <c r="T21" s="33">
        <v>37.78</v>
      </c>
      <c r="U21" s="41">
        <v>4.5999999999999996</v>
      </c>
      <c r="V21" s="34">
        <v>36.119999999999997</v>
      </c>
      <c r="W21" s="41">
        <v>4.5999999999999996</v>
      </c>
      <c r="X21" s="33"/>
      <c r="Y21" s="41"/>
      <c r="Z21" s="34"/>
      <c r="AA21" s="37"/>
    </row>
    <row r="22" spans="1:27" x14ac:dyDescent="0.2">
      <c r="A22" s="1" t="str" cm="1">
        <f t="array" ref="A22">IF(I22="","",IF(P22&lt;&gt;"",SUMPRODUCT((P$3:P$46&lt;&gt;"")*(G$3:G$46=G22)*(J$3:J$46&gt;J22)*(I$3:I$46="P"))+1,IF(O22&lt;&gt;"",SUMPRODUCT((O$3:O$46&lt;&gt;"")*(P$3:P$46="")*(G$3:G$46=G22)*(J$3:J$46&gt;J22)*(I$3:I$46="P"))+SUMPRODUCT((P$3:P$46&lt;&gt;"")*(G$3:G$46=G22))+1,IF(N22&lt;&gt;"",SUMPRODUCT((N$3:N$46&lt;&gt;"")*(G$3:G$46=G22)*(J$3:J$46&gt;J22)*(I$3:I$46="P"))+1,IF(M22="P",SUMPRODUCT((O$3:O$46&lt;&gt;"")*(P$3:P$46="")*(G$3:G$46=G22)*(I$3:I$46="P"))+SUMPRODUCT((P$3:P$46&lt;&gt;"")*(G$3:G$46=G22)*(I$3:I$46="P"))+SUMPRODUCT((N$3:N$46&lt;&gt;"")*(G$3:G$46=G22)*(I$3:I$46="P"))+SUMPRODUCT((P$3:P$46="")*(O$3:O$46="")*(N$3:N$46="")*(M$3:M$46="P")*(G$3:G$46=G22)*(J$3:J$46&gt;J22)*(I$3:I$46="P"))+1,"")))))</f>
        <v/>
      </c>
      <c r="B22" s="1" t="str" cm="1">
        <f t="array" ref="B22">IF(P22&lt;&gt;"",SUMPRODUCT((P$3:P$46&lt;&gt;"")*(G$3:G$46=G22)*(J$3:J$46&gt;J22))+1,IF(O22&lt;&gt;"",SUMPRODUCT((O$3:O$46&lt;&gt;"")*(P$3:P$46="")*(G$3:G$46=G22)*(J$3:J$46&gt;J22))+SUMPRODUCT((P$3:P$46&lt;&gt;"")*(G$3:G$46=G22))+1,IF(N22&lt;&gt;"",SUMPRODUCT((N$3:N$46&lt;&gt;"")*(G$3:G$46=G22)*(J$3:J$46&gt;J22))+1,IF(M22="P",SUMPRODUCT((O$3:O$46&lt;&gt;"")*(P$3:P$46="")*(G$3:G$46=G22))+SUMPRODUCT((P$3:P$46&lt;&gt;"")*(G$3:G$46=G22))+SUMPRODUCT((N$3:N$46&lt;&gt;"")*(G$3:G$46=G22))+SUMPRODUCT((P$3:P$46="")*(O$3:O$46="")*(N$3:N$46="")*(M$3:M$46="P")*(G$3:G$46=G22)*(J$3:J$46&gt;J22))+1,""))))</f>
        <v/>
      </c>
      <c r="C22" s="36" t="s">
        <v>335</v>
      </c>
      <c r="D22" s="51" t="str">
        <f>IF(E22="","",VLOOKUP(E22,'Coaching Points'!A:B,2,0))</f>
        <v>ON</v>
      </c>
      <c r="E22" s="36" t="s">
        <v>334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1" t="s">
        <v>125</v>
      </c>
      <c r="I22" s="47"/>
      <c r="J22" s="4">
        <f>MAX(R22,S22)+IF(OR(H22="Junior",H22="Senior"),0.0002,IF(OR(H22="L7",H22="L6"),0.0001,0))+MAX(X22,Z22)*0.0000001</f>
        <v>37.700000000000003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52" t="str">
        <f>IF(A22&lt;5,IF(_xlfn.MAXIFS(A:A,G:G,G22)&gt;3,5-A22,_xlfn.MAXIFS(A:A,G:G,G22)+1-A22),"")</f>
        <v/>
      </c>
      <c r="R22" s="4">
        <f>MAX(T22,X22)</f>
        <v>37.700000000000003</v>
      </c>
      <c r="S22" s="4">
        <f>MAX(V22,Z22)</f>
        <v>36.799999999999997</v>
      </c>
      <c r="T22" s="33">
        <v>37.700000000000003</v>
      </c>
      <c r="U22" s="41">
        <v>4.5999999999999996</v>
      </c>
      <c r="V22" s="34">
        <v>36.799999999999997</v>
      </c>
      <c r="W22" s="41">
        <v>4.5999999999999996</v>
      </c>
      <c r="X22" s="33"/>
      <c r="Y22" s="41"/>
      <c r="Z22" s="34"/>
      <c r="AA22" s="37"/>
    </row>
    <row r="23" spans="1:27" x14ac:dyDescent="0.2">
      <c r="A23" s="1" t="str" cm="1">
        <f t="array" ref="A23">IF(I23="","",IF(P23&lt;&gt;"",SUMPRODUCT((P$3:P$46&lt;&gt;"")*(G$3:G$46=G23)*(J$3:J$46&gt;J23)*(I$3:I$46="P"))+1,IF(O23&lt;&gt;"",SUMPRODUCT((O$3:O$46&lt;&gt;"")*(P$3:P$46="")*(G$3:G$46=G23)*(J$3:J$46&gt;J23)*(I$3:I$46="P"))+SUMPRODUCT((P$3:P$46&lt;&gt;"")*(G$3:G$46=G23))+1,IF(N23&lt;&gt;"",SUMPRODUCT((N$3:N$46&lt;&gt;"")*(G$3:G$46=G23)*(J$3:J$46&gt;J23)*(I$3:I$46="P"))+1,IF(M23="P",SUMPRODUCT((O$3:O$46&lt;&gt;"")*(P$3:P$46="")*(G$3:G$46=G23)*(I$3:I$46="P"))+SUMPRODUCT((P$3:P$46&lt;&gt;"")*(G$3:G$46=G23)*(I$3:I$46="P"))+SUMPRODUCT((N$3:N$46&lt;&gt;"")*(G$3:G$46=G23)*(I$3:I$46="P"))+SUMPRODUCT((P$3:P$46="")*(O$3:O$46="")*(N$3:N$46="")*(M$3:M$46="P")*(G$3:G$46=G23)*(J$3:J$46&gt;J23)*(I$3:I$46="P"))+1,"")))))</f>
        <v/>
      </c>
      <c r="B23" s="1" t="str" cm="1">
        <f t="array" ref="B23">IF(P23&lt;&gt;"",SUMPRODUCT((P$3:P$46&lt;&gt;"")*(G$3:G$46=G23)*(J$3:J$46&gt;J23))+1,IF(O23&lt;&gt;"",SUMPRODUCT((O$3:O$46&lt;&gt;"")*(P$3:P$46="")*(G$3:G$46=G23)*(J$3:J$46&gt;J23))+SUMPRODUCT((P$3:P$46&lt;&gt;"")*(G$3:G$46=G23))+1,IF(N23&lt;&gt;"",SUMPRODUCT((N$3:N$46&lt;&gt;"")*(G$3:G$46=G23)*(J$3:J$46&gt;J23))+1,IF(M23="P",SUMPRODUCT((O$3:O$46&lt;&gt;"")*(P$3:P$46="")*(G$3:G$46=G23))+SUMPRODUCT((P$3:P$46&lt;&gt;"")*(G$3:G$46=G23))+SUMPRODUCT((N$3:N$46&lt;&gt;"")*(G$3:G$46=G23))+SUMPRODUCT((P$3:P$46="")*(O$3:O$46="")*(N$3:N$46="")*(M$3:M$46="P")*(G$3:G$46=G23)*(J$3:J$46&gt;J23))+1,""))))</f>
        <v/>
      </c>
      <c r="C23" s="36" t="s">
        <v>333</v>
      </c>
      <c r="D23" s="51" t="str">
        <f>IF(E23="","",VLOOKUP(E23,'Coaching Points'!A:B,2,0))</f>
        <v>ON</v>
      </c>
      <c r="E23" s="36" t="s">
        <v>334</v>
      </c>
      <c r="F23" s="35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1" t="s">
        <v>125</v>
      </c>
      <c r="I23" s="47"/>
      <c r="J23" s="4">
        <f>MAX(R23,S23)+IF(OR(H23="Junior",H23="Senior"),0.0002,IF(OR(H23="L7",H23="L6"),0.0001,0))+MAX(X23,Z23)*0.0000001</f>
        <v>37.6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52" t="str">
        <f>IF(A23&lt;5,IF(_xlfn.MAXIFS(A:A,G:G,G23)&gt;3,5-A23,_xlfn.MAXIFS(A:A,G:G,G23)+1-A23),"")</f>
        <v/>
      </c>
      <c r="R23" s="4">
        <f>MAX(T23,X23)</f>
        <v>37.6</v>
      </c>
      <c r="S23" s="4">
        <f>MAX(V23,Z23)</f>
        <v>37</v>
      </c>
      <c r="T23" s="33">
        <v>37.6</v>
      </c>
      <c r="U23" s="41">
        <v>4.5999999999999996</v>
      </c>
      <c r="V23" s="34">
        <v>37</v>
      </c>
      <c r="W23" s="41">
        <v>4.5999999999999996</v>
      </c>
      <c r="X23" s="33"/>
      <c r="Y23" s="41"/>
      <c r="Z23" s="34"/>
      <c r="AA23" s="37"/>
    </row>
    <row r="24" spans="1:27" x14ac:dyDescent="0.2">
      <c r="A24" s="1" t="str" cm="1">
        <f t="array" ref="A24">IF(I24="","",IF(P24&lt;&gt;"",SUMPRODUCT((P$3:P$46&lt;&gt;"")*(G$3:G$46=G24)*(J$3:J$46&gt;J24)*(I$3:I$46="P"))+1,IF(O24&lt;&gt;"",SUMPRODUCT((O$3:O$46&lt;&gt;"")*(P$3:P$46="")*(G$3:G$46=G24)*(J$3:J$46&gt;J24)*(I$3:I$46="P"))+SUMPRODUCT((P$3:P$46&lt;&gt;"")*(G$3:G$46=G24))+1,IF(N24&lt;&gt;"",SUMPRODUCT((N$3:N$46&lt;&gt;"")*(G$3:G$46=G24)*(J$3:J$46&gt;J24)*(I$3:I$46="P"))+1,IF(M24="P",SUMPRODUCT((O$3:O$46&lt;&gt;"")*(P$3:P$46="")*(G$3:G$46=G24)*(I$3:I$46="P"))+SUMPRODUCT((P$3:P$46&lt;&gt;"")*(G$3:G$46=G24)*(I$3:I$46="P"))+SUMPRODUCT((N$3:N$46&lt;&gt;"")*(G$3:G$46=G24)*(I$3:I$46="P"))+SUMPRODUCT((P$3:P$46="")*(O$3:O$46="")*(N$3:N$46="")*(M$3:M$46="P")*(G$3:G$46=G24)*(J$3:J$46&gt;J24)*(I$3:I$46="P"))+1,"")))))</f>
        <v/>
      </c>
      <c r="B24" s="1" t="str" cm="1">
        <f t="array" ref="B24">IF(P24&lt;&gt;"",SUMPRODUCT((P$3:P$46&lt;&gt;"")*(G$3:G$46=G24)*(J$3:J$46&gt;J24))+1,IF(O24&lt;&gt;"",SUMPRODUCT((O$3:O$46&lt;&gt;"")*(P$3:P$46="")*(G$3:G$46=G24)*(J$3:J$46&gt;J24))+SUMPRODUCT((P$3:P$46&lt;&gt;"")*(G$3:G$46=G24))+1,IF(N24&lt;&gt;"",SUMPRODUCT((N$3:N$46&lt;&gt;"")*(G$3:G$46=G24)*(J$3:J$46&gt;J24))+1,IF(M24="P",SUMPRODUCT((O$3:O$46&lt;&gt;"")*(P$3:P$46="")*(G$3:G$46=G24))+SUMPRODUCT((P$3:P$46&lt;&gt;"")*(G$3:G$46=G24))+SUMPRODUCT((N$3:N$46&lt;&gt;"")*(G$3:G$46=G24))+SUMPRODUCT((P$3:P$46="")*(O$3:O$46="")*(N$3:N$46="")*(M$3:M$46="P")*(G$3:G$46=G24)*(J$3:J$46&gt;J24))+1,""))))</f>
        <v/>
      </c>
      <c r="C24" s="36" t="s">
        <v>332</v>
      </c>
      <c r="D24" s="51" t="str">
        <f>IF(E24="","",VLOOKUP(E24,'Coaching Points'!A:B,2,0))</f>
        <v>AB</v>
      </c>
      <c r="E24" s="36" t="s">
        <v>98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1" t="s">
        <v>125</v>
      </c>
      <c r="I24" s="47"/>
      <c r="J24" s="4">
        <f>MAX(R24,S24)+IF(OR(H24="Junior",H24="Senior"),0.0002,IF(OR(H24="L7",H24="L6"),0.0001,0))+MAX(X24,Z24)*0.0000001</f>
        <v>37.5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52" t="str">
        <f>IF(A24&lt;5,IF(_xlfn.MAXIFS(A:A,G:G,G24)&gt;3,5-A24,_xlfn.MAXIFS(A:A,G:G,G24)+1-A24),"")</f>
        <v/>
      </c>
      <c r="R24" s="4">
        <f>MAX(T24,X24)</f>
        <v>37.5</v>
      </c>
      <c r="S24" s="4">
        <f>MAX(V24,Z24)</f>
        <v>37.5</v>
      </c>
      <c r="T24" s="33">
        <v>37.5</v>
      </c>
      <c r="U24" s="41">
        <v>5.1999999999999993</v>
      </c>
      <c r="V24" s="34">
        <v>37.5</v>
      </c>
      <c r="W24" s="41">
        <v>5.1999999999999993</v>
      </c>
      <c r="X24" s="33"/>
      <c r="Y24" s="41"/>
      <c r="Z24" s="34"/>
      <c r="AA24" s="37"/>
    </row>
    <row r="25" spans="1:27" x14ac:dyDescent="0.2">
      <c r="A25" s="1" t="str" cm="1">
        <f t="array" ref="A25">IF(I25="","",IF(P25&lt;&gt;"",SUMPRODUCT((P$3:P$46&lt;&gt;"")*(G$3:G$46=G25)*(J$3:J$46&gt;J25)*(I$3:I$46="P"))+1,IF(O25&lt;&gt;"",SUMPRODUCT((O$3:O$46&lt;&gt;"")*(P$3:P$46="")*(G$3:G$46=G25)*(J$3:J$46&gt;J25)*(I$3:I$46="P"))+SUMPRODUCT((P$3:P$46&lt;&gt;"")*(G$3:G$46=G25))+1,IF(N25&lt;&gt;"",SUMPRODUCT((N$3:N$46&lt;&gt;"")*(G$3:G$46=G25)*(J$3:J$46&gt;J25)*(I$3:I$46="P"))+1,IF(M25="P",SUMPRODUCT((O$3:O$46&lt;&gt;"")*(P$3:P$46="")*(G$3:G$46=G25)*(I$3:I$46="P"))+SUMPRODUCT((P$3:P$46&lt;&gt;"")*(G$3:G$46=G25)*(I$3:I$46="P"))+SUMPRODUCT((N$3:N$46&lt;&gt;"")*(G$3:G$46=G25)*(I$3:I$46="P"))+SUMPRODUCT((P$3:P$46="")*(O$3:O$46="")*(N$3:N$46="")*(M$3:M$46="P")*(G$3:G$46=G25)*(J$3:J$46&gt;J25)*(I$3:I$46="P"))+1,"")))))</f>
        <v/>
      </c>
      <c r="B25" s="1" t="str" cm="1">
        <f t="array" ref="B25">IF(P25&lt;&gt;"",SUMPRODUCT((P$3:P$46&lt;&gt;"")*(G$3:G$46=G25)*(J$3:J$46&gt;J25))+1,IF(O25&lt;&gt;"",SUMPRODUCT((O$3:O$46&lt;&gt;"")*(P$3:P$46="")*(G$3:G$46=G25)*(J$3:J$46&gt;J25))+SUMPRODUCT((P$3:P$46&lt;&gt;"")*(G$3:G$46=G25))+1,IF(N25&lt;&gt;"",SUMPRODUCT((N$3:N$46&lt;&gt;"")*(G$3:G$46=G25)*(J$3:J$46&gt;J25))+1,IF(M25="P",SUMPRODUCT((O$3:O$46&lt;&gt;"")*(P$3:P$46="")*(G$3:G$46=G25))+SUMPRODUCT((P$3:P$46&lt;&gt;"")*(G$3:G$46=G25))+SUMPRODUCT((N$3:N$46&lt;&gt;"")*(G$3:G$46=G25))+SUMPRODUCT((P$3:P$46="")*(O$3:O$46="")*(N$3:N$46="")*(M$3:M$46="P")*(G$3:G$46=G25)*(J$3:J$46&gt;J25))+1,""))))</f>
        <v/>
      </c>
      <c r="C25" s="36" t="s">
        <v>345</v>
      </c>
      <c r="D25" s="51" t="str">
        <f>IF(E25="","",VLOOKUP(E25,'Coaching Points'!A:B,2,0))</f>
        <v>SK</v>
      </c>
      <c r="E25" s="36" t="s">
        <v>47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1" t="s">
        <v>125</v>
      </c>
      <c r="I25" s="47"/>
      <c r="J25" s="4">
        <f>MAX(R25,S25)+IF(OR(H25="Junior",H25="Senior"),0.0002,IF(OR(H25="L7",H25="L6"),0.0001,0))+MAX(X25,Z25)*0.0000001</f>
        <v>37.400000000000006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52" t="str">
        <f>IF(A25&lt;5,IF(_xlfn.MAXIFS(A:A,G:G,G25)&gt;3,5-A25,_xlfn.MAXIFS(A:A,G:G,G25)+1-A25),"")</f>
        <v/>
      </c>
      <c r="R25" s="4">
        <f>MAX(T25,X25)</f>
        <v>37.400000000000006</v>
      </c>
      <c r="S25" s="4">
        <f>MAX(V25,Z25)</f>
        <v>34.9</v>
      </c>
      <c r="T25" s="33">
        <v>37.400000000000006</v>
      </c>
      <c r="U25" s="41">
        <v>4.4000000000000004</v>
      </c>
      <c r="V25" s="34">
        <v>34.9</v>
      </c>
      <c r="W25" s="41">
        <v>4.5</v>
      </c>
      <c r="X25" s="33"/>
      <c r="Y25" s="41"/>
      <c r="Z25" s="34"/>
      <c r="AA25" s="37"/>
    </row>
    <row r="26" spans="1:27" x14ac:dyDescent="0.2">
      <c r="A26" s="1" t="str" cm="1">
        <f t="array" ref="A26">IF(I26="","",IF(P26&lt;&gt;"",SUMPRODUCT((P$3:P$46&lt;&gt;"")*(G$3:G$46=G26)*(J$3:J$46&gt;J26)*(I$3:I$46="P"))+1,IF(O26&lt;&gt;"",SUMPRODUCT((O$3:O$46&lt;&gt;"")*(P$3:P$46="")*(G$3:G$46=G26)*(J$3:J$46&gt;J26)*(I$3:I$46="P"))+SUMPRODUCT((P$3:P$46&lt;&gt;"")*(G$3:G$46=G26))+1,IF(N26&lt;&gt;"",SUMPRODUCT((N$3:N$46&lt;&gt;"")*(G$3:G$46=G26)*(J$3:J$46&gt;J26)*(I$3:I$46="P"))+1,IF(M26="P",SUMPRODUCT((O$3:O$46&lt;&gt;"")*(P$3:P$46="")*(G$3:G$46=G26)*(I$3:I$46="P"))+SUMPRODUCT((P$3:P$46&lt;&gt;"")*(G$3:G$46=G26)*(I$3:I$46="P"))+SUMPRODUCT((N$3:N$46&lt;&gt;"")*(G$3:G$46=G26)*(I$3:I$46="P"))+SUMPRODUCT((P$3:P$46="")*(O$3:O$46="")*(N$3:N$46="")*(M$3:M$46="P")*(G$3:G$46=G26)*(J$3:J$46&gt;J26)*(I$3:I$46="P"))+1,"")))))</f>
        <v/>
      </c>
      <c r="B26" s="1" t="str" cm="1">
        <f t="array" ref="B26">IF(P26&lt;&gt;"",SUMPRODUCT((P$3:P$46&lt;&gt;"")*(G$3:G$46=G26)*(J$3:J$46&gt;J26))+1,IF(O26&lt;&gt;"",SUMPRODUCT((O$3:O$46&lt;&gt;"")*(P$3:P$46="")*(G$3:G$46=G26)*(J$3:J$46&gt;J26))+SUMPRODUCT((P$3:P$46&lt;&gt;"")*(G$3:G$46=G26))+1,IF(N26&lt;&gt;"",SUMPRODUCT((N$3:N$46&lt;&gt;"")*(G$3:G$46=G26)*(J$3:J$46&gt;J26))+1,IF(M26="P",SUMPRODUCT((O$3:O$46&lt;&gt;"")*(P$3:P$46="")*(G$3:G$46=G26))+SUMPRODUCT((P$3:P$46&lt;&gt;"")*(G$3:G$46=G26))+SUMPRODUCT((N$3:N$46&lt;&gt;"")*(G$3:G$46=G26))+SUMPRODUCT((P$3:P$46="")*(O$3:O$46="")*(N$3:N$46="")*(M$3:M$46="P")*(G$3:G$46=G26)*(J$3:J$46&gt;J26))+1,""))))</f>
        <v/>
      </c>
      <c r="C26" s="36" t="s">
        <v>363</v>
      </c>
      <c r="D26" s="51" t="str">
        <f>IF(E26="","",VLOOKUP(E26,'Coaching Points'!A:B,2,0))</f>
        <v>ON</v>
      </c>
      <c r="E26" s="36" t="s">
        <v>49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1" t="s">
        <v>127</v>
      </c>
      <c r="I26" s="47"/>
      <c r="J26" s="4">
        <f>MAX(R26,S26)+IF(OR(H26="Junior",H26="Senior"),0.0002,IF(OR(H26="L7",H26="L6"),0.0001,0))+MAX(X26,Z26)*0.0000001</f>
        <v>37.100100000000005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52" t="str">
        <f>IF(A26&lt;5,IF(_xlfn.MAXIFS(A:A,G:G,G26)&gt;3,5-A26,_xlfn.MAXIFS(A:A,G:G,G26)+1-A26),"")</f>
        <v/>
      </c>
      <c r="R26" s="4">
        <f>MAX(T26,X26)</f>
        <v>37.1</v>
      </c>
      <c r="S26" s="4">
        <f>MAX(V26,Z26)</f>
        <v>0</v>
      </c>
      <c r="T26" s="33">
        <v>37.1</v>
      </c>
      <c r="U26" s="41">
        <v>6.4</v>
      </c>
      <c r="V26" s="34">
        <v>0</v>
      </c>
      <c r="W26" s="41">
        <v>0</v>
      </c>
      <c r="X26" s="33"/>
      <c r="Y26" s="41"/>
      <c r="Z26" s="34"/>
      <c r="AA26" s="37"/>
    </row>
    <row r="27" spans="1:27" x14ac:dyDescent="0.2">
      <c r="A27" s="1" t="str" cm="1">
        <f t="array" ref="A27">IF(I27="","",IF(P27&lt;&gt;"",SUMPRODUCT((P$3:P$46&lt;&gt;"")*(G$3:G$46=G27)*(J$3:J$46&gt;J27)*(I$3:I$46="P"))+1,IF(O27&lt;&gt;"",SUMPRODUCT((O$3:O$46&lt;&gt;"")*(P$3:P$46="")*(G$3:G$46=G27)*(J$3:J$46&gt;J27)*(I$3:I$46="P"))+SUMPRODUCT((P$3:P$46&lt;&gt;"")*(G$3:G$46=G27))+1,IF(N27&lt;&gt;"",SUMPRODUCT((N$3:N$46&lt;&gt;"")*(G$3:G$46=G27)*(J$3:J$46&gt;J27)*(I$3:I$46="P"))+1,IF(M27="P",SUMPRODUCT((O$3:O$46&lt;&gt;"")*(P$3:P$46="")*(G$3:G$46=G27)*(I$3:I$46="P"))+SUMPRODUCT((P$3:P$46&lt;&gt;"")*(G$3:G$46=G27)*(I$3:I$46="P"))+SUMPRODUCT((N$3:N$46&lt;&gt;"")*(G$3:G$46=G27)*(I$3:I$46="P"))+SUMPRODUCT((P$3:P$46="")*(O$3:O$46="")*(N$3:N$46="")*(M$3:M$46="P")*(G$3:G$46=G27)*(J$3:J$46&gt;J27)*(I$3:I$46="P"))+1,"")))))</f>
        <v/>
      </c>
      <c r="B27" s="1" t="str" cm="1">
        <f t="array" ref="B27">IF(P27&lt;&gt;"",SUMPRODUCT((P$3:P$46&lt;&gt;"")*(G$3:G$46=G27)*(J$3:J$46&gt;J27))+1,IF(O27&lt;&gt;"",SUMPRODUCT((O$3:O$46&lt;&gt;"")*(P$3:P$46="")*(G$3:G$46=G27)*(J$3:J$46&gt;J27))+SUMPRODUCT((P$3:P$46&lt;&gt;"")*(G$3:G$46=G27))+1,IF(N27&lt;&gt;"",SUMPRODUCT((N$3:N$46&lt;&gt;"")*(G$3:G$46=G27)*(J$3:J$46&gt;J27))+1,IF(M27="P",SUMPRODUCT((O$3:O$46&lt;&gt;"")*(P$3:P$46="")*(G$3:G$46=G27))+SUMPRODUCT((P$3:P$46&lt;&gt;"")*(G$3:G$46=G27))+SUMPRODUCT((N$3:N$46&lt;&gt;"")*(G$3:G$46=G27))+SUMPRODUCT((P$3:P$46="")*(O$3:O$46="")*(N$3:N$46="")*(M$3:M$46="P")*(G$3:G$46=G27)*(J$3:J$46&gt;J27))+1,""))))</f>
        <v/>
      </c>
      <c r="C27" s="36" t="s">
        <v>338</v>
      </c>
      <c r="D27" s="51" t="str">
        <f>IF(E27="","",VLOOKUP(E27,'Coaching Points'!A:B,2,0))</f>
        <v>AB</v>
      </c>
      <c r="E27" s="36" t="s">
        <v>29</v>
      </c>
      <c r="F27" s="35">
        <v>2002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1" t="s">
        <v>125</v>
      </c>
      <c r="I27" s="47"/>
      <c r="J27" s="4">
        <f>MAX(R27,S27)+IF(OR(H27="Junior",H27="Senior"),0.0002,IF(OR(H27="L7",H27="L6"),0.0001,0))+MAX(X27,Z27)*0.0000001</f>
        <v>37.1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52" t="str">
        <f>IF(A27&lt;5,IF(_xlfn.MAXIFS(A:A,G:G,G27)&gt;3,5-A27,_xlfn.MAXIFS(A:A,G:G,G27)+1-A27),"")</f>
        <v/>
      </c>
      <c r="R27" s="4">
        <f>MAX(T27,X27)</f>
        <v>37.1</v>
      </c>
      <c r="S27" s="4">
        <f>MAX(V27,Z27)</f>
        <v>34.28</v>
      </c>
      <c r="T27" s="33">
        <v>37.1</v>
      </c>
      <c r="U27" s="41">
        <v>4.6999999999999993</v>
      </c>
      <c r="V27" s="34">
        <v>34.28</v>
      </c>
      <c r="W27" s="41">
        <v>3.5999999999999996</v>
      </c>
      <c r="X27" s="33"/>
      <c r="Y27" s="41"/>
      <c r="Z27" s="34"/>
      <c r="AA27" s="37"/>
    </row>
    <row r="28" spans="1:27" x14ac:dyDescent="0.2">
      <c r="A28" s="1" t="str" cm="1">
        <f t="array" ref="A28">IF(I28="","",IF(P28&lt;&gt;"",SUMPRODUCT((P$3:P$46&lt;&gt;"")*(G$3:G$46=G28)*(J$3:J$46&gt;J28)*(I$3:I$46="P"))+1,IF(O28&lt;&gt;"",SUMPRODUCT((O$3:O$46&lt;&gt;"")*(P$3:P$46="")*(G$3:G$46=G28)*(J$3:J$46&gt;J28)*(I$3:I$46="P"))+SUMPRODUCT((P$3:P$46&lt;&gt;"")*(G$3:G$46=G28))+1,IF(N28&lt;&gt;"",SUMPRODUCT((N$3:N$46&lt;&gt;"")*(G$3:G$46=G28)*(J$3:J$46&gt;J28)*(I$3:I$46="P"))+1,IF(M28="P",SUMPRODUCT((O$3:O$46&lt;&gt;"")*(P$3:P$46="")*(G$3:G$46=G28)*(I$3:I$46="P"))+SUMPRODUCT((P$3:P$46&lt;&gt;"")*(G$3:G$46=G28)*(I$3:I$46="P"))+SUMPRODUCT((N$3:N$46&lt;&gt;"")*(G$3:G$46=G28)*(I$3:I$46="P"))+SUMPRODUCT((P$3:P$46="")*(O$3:O$46="")*(N$3:N$46="")*(M$3:M$46="P")*(G$3:G$46=G28)*(J$3:J$46&gt;J28)*(I$3:I$46="P"))+1,"")))))</f>
        <v/>
      </c>
      <c r="B28" s="1" t="str" cm="1">
        <f t="array" ref="B28">IF(P28&lt;&gt;"",SUMPRODUCT((P$3:P$46&lt;&gt;"")*(G$3:G$46=G28)*(J$3:J$46&gt;J28))+1,IF(O28&lt;&gt;"",SUMPRODUCT((O$3:O$46&lt;&gt;"")*(P$3:P$46="")*(G$3:G$46=G28)*(J$3:J$46&gt;J28))+SUMPRODUCT((P$3:P$46&lt;&gt;"")*(G$3:G$46=G28))+1,IF(N28&lt;&gt;"",SUMPRODUCT((N$3:N$46&lt;&gt;"")*(G$3:G$46=G28)*(J$3:J$46&gt;J28))+1,IF(M28="P",SUMPRODUCT((O$3:O$46&lt;&gt;"")*(P$3:P$46="")*(G$3:G$46=G28))+SUMPRODUCT((P$3:P$46&lt;&gt;"")*(G$3:G$46=G28))+SUMPRODUCT((N$3:N$46&lt;&gt;"")*(G$3:G$46=G28))+SUMPRODUCT((P$3:P$46="")*(O$3:O$46="")*(N$3:N$46="")*(M$3:M$46="P")*(G$3:G$46=G28)*(J$3:J$46&gt;J28))+1,""))))</f>
        <v/>
      </c>
      <c r="C28" s="36" t="s">
        <v>284</v>
      </c>
      <c r="D28" s="51" t="str">
        <f>IF(E28="","",VLOOKUP(E28,'Coaching Points'!A:B,2,0))</f>
        <v>AB</v>
      </c>
      <c r="E28" s="36" t="s">
        <v>29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1" t="s">
        <v>125</v>
      </c>
      <c r="I28" s="47"/>
      <c r="J28" s="4">
        <f>MAX(R28,S28)+IF(OR(H28="Junior",H28="Senior"),0.0002,IF(OR(H28="L7",H28="L6"),0.0001,0))+MAX(X28,Z28)*0.0000001</f>
        <v>37.06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52" t="str">
        <f>IF(A28&lt;5,IF(_xlfn.MAXIFS(A:A,G:G,G28)&gt;3,5-A28,_xlfn.MAXIFS(A:A,G:G,G28)+1-A28),"")</f>
        <v/>
      </c>
      <c r="R28" s="4">
        <f>MAX(T28,X28)</f>
        <v>36.799999999999997</v>
      </c>
      <c r="S28" s="4">
        <f>MAX(V28,Z28)</f>
        <v>37.06</v>
      </c>
      <c r="T28" s="33">
        <v>36.799999999999997</v>
      </c>
      <c r="U28" s="41">
        <v>5.3</v>
      </c>
      <c r="V28" s="34">
        <v>37.06</v>
      </c>
      <c r="W28" s="41">
        <v>5.3999999999999995</v>
      </c>
      <c r="X28" s="33"/>
      <c r="Y28" s="41"/>
      <c r="Z28" s="34"/>
      <c r="AA28" s="37"/>
    </row>
    <row r="29" spans="1:27" x14ac:dyDescent="0.2">
      <c r="A29" s="1" t="str" cm="1">
        <f t="array" ref="A29">IF(I29="","",IF(P29&lt;&gt;"",SUMPRODUCT((P$3:P$46&lt;&gt;"")*(G$3:G$46=G29)*(J$3:J$46&gt;J29)*(I$3:I$46="P"))+1,IF(O29&lt;&gt;"",SUMPRODUCT((O$3:O$46&lt;&gt;"")*(P$3:P$46="")*(G$3:G$46=G29)*(J$3:J$46&gt;J29)*(I$3:I$46="P"))+SUMPRODUCT((P$3:P$46&lt;&gt;"")*(G$3:G$46=G29))+1,IF(N29&lt;&gt;"",SUMPRODUCT((N$3:N$46&lt;&gt;"")*(G$3:G$46=G29)*(J$3:J$46&gt;J29)*(I$3:I$46="P"))+1,IF(M29="P",SUMPRODUCT((O$3:O$46&lt;&gt;"")*(P$3:P$46="")*(G$3:G$46=G29)*(I$3:I$46="P"))+SUMPRODUCT((P$3:P$46&lt;&gt;"")*(G$3:G$46=G29)*(I$3:I$46="P"))+SUMPRODUCT((N$3:N$46&lt;&gt;"")*(G$3:G$46=G29)*(I$3:I$46="P"))+SUMPRODUCT((P$3:P$46="")*(O$3:O$46="")*(N$3:N$46="")*(M$3:M$46="P")*(G$3:G$46=G29)*(J$3:J$46&gt;J29)*(I$3:I$46="P"))+1,"")))))</f>
        <v/>
      </c>
      <c r="B29" s="1" t="str" cm="1">
        <f t="array" ref="B29">IF(P29&lt;&gt;"",SUMPRODUCT((P$3:P$46&lt;&gt;"")*(G$3:G$46=G29)*(J$3:J$46&gt;J29))+1,IF(O29&lt;&gt;"",SUMPRODUCT((O$3:O$46&lt;&gt;"")*(P$3:P$46="")*(G$3:G$46=G29)*(J$3:J$46&gt;J29))+SUMPRODUCT((P$3:P$46&lt;&gt;"")*(G$3:G$46=G29))+1,IF(N29&lt;&gt;"",SUMPRODUCT((N$3:N$46&lt;&gt;"")*(G$3:G$46=G29)*(J$3:J$46&gt;J29))+1,IF(M29="P",SUMPRODUCT((O$3:O$46&lt;&gt;"")*(P$3:P$46="")*(G$3:G$46=G29))+SUMPRODUCT((P$3:P$46&lt;&gt;"")*(G$3:G$46=G29))+SUMPRODUCT((N$3:N$46&lt;&gt;"")*(G$3:G$46=G29))+SUMPRODUCT((P$3:P$46="")*(O$3:O$46="")*(N$3:N$46="")*(M$3:M$46="P")*(G$3:G$46=G29)*(J$3:J$46&gt;J29))+1,""))))</f>
        <v/>
      </c>
      <c r="C29" s="36" t="s">
        <v>302</v>
      </c>
      <c r="D29" s="51" t="str">
        <f>IF(E29="","",VLOOKUP(E29,'Coaching Points'!A:B,2,0))</f>
        <v>AB</v>
      </c>
      <c r="E29" s="36" t="s">
        <v>29</v>
      </c>
      <c r="F29" s="35">
        <v>2003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1" t="s">
        <v>125</v>
      </c>
      <c r="I29" s="47"/>
      <c r="J29" s="4">
        <f>MAX(R29,S29)+IF(OR(H29="Junior",H29="Senior"),0.0002,IF(OR(H29="L7",H29="L6"),0.0001,0))+MAX(X29,Z29)*0.0000001</f>
        <v>36.299999999999997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52" t="str">
        <f>IF(A29&lt;5,IF(_xlfn.MAXIFS(A:A,G:G,G29)&gt;3,5-A29,_xlfn.MAXIFS(A:A,G:G,G29)+1-A29),"")</f>
        <v/>
      </c>
      <c r="R29" s="4">
        <f>MAX(T29,X29)</f>
        <v>36.299999999999997</v>
      </c>
      <c r="S29" s="4">
        <f>MAX(V29,Z29)</f>
        <v>0</v>
      </c>
      <c r="T29" s="33">
        <v>36.299999999999997</v>
      </c>
      <c r="U29" s="41">
        <v>4.5999999999999996</v>
      </c>
      <c r="V29" s="34">
        <v>0</v>
      </c>
      <c r="W29" s="41">
        <v>0</v>
      </c>
      <c r="X29" s="33"/>
      <c r="Y29" s="41"/>
      <c r="Z29" s="34"/>
      <c r="AA29" s="37"/>
    </row>
    <row r="30" spans="1:27" x14ac:dyDescent="0.2">
      <c r="A30" s="1" t="str" cm="1">
        <f t="array" ref="A30">IF(I30="","",IF(P30&lt;&gt;"",SUMPRODUCT((P$3:P$46&lt;&gt;"")*(G$3:G$46=G30)*(J$3:J$46&gt;J30)*(I$3:I$46="P"))+1,IF(O30&lt;&gt;"",SUMPRODUCT((O$3:O$46&lt;&gt;"")*(P$3:P$46="")*(G$3:G$46=G30)*(J$3:J$46&gt;J30)*(I$3:I$46="P"))+SUMPRODUCT((P$3:P$46&lt;&gt;"")*(G$3:G$46=G30))+1,IF(N30&lt;&gt;"",SUMPRODUCT((N$3:N$46&lt;&gt;"")*(G$3:G$46=G30)*(J$3:J$46&gt;J30)*(I$3:I$46="P"))+1,IF(M30="P",SUMPRODUCT((O$3:O$46&lt;&gt;"")*(P$3:P$46="")*(G$3:G$46=G30)*(I$3:I$46="P"))+SUMPRODUCT((P$3:P$46&lt;&gt;"")*(G$3:G$46=G30)*(I$3:I$46="P"))+SUMPRODUCT((N$3:N$46&lt;&gt;"")*(G$3:G$46=G30)*(I$3:I$46="P"))+SUMPRODUCT((P$3:P$46="")*(O$3:O$46="")*(N$3:N$46="")*(M$3:M$46="P")*(G$3:G$46=G30)*(J$3:J$46&gt;J30)*(I$3:I$46="P"))+1,"")))))</f>
        <v/>
      </c>
      <c r="B30" s="1" t="str" cm="1">
        <f t="array" ref="B30">IF(P30&lt;&gt;"",SUMPRODUCT((P$3:P$46&lt;&gt;"")*(G$3:G$46=G30)*(J$3:J$46&gt;J30))+1,IF(O30&lt;&gt;"",SUMPRODUCT((O$3:O$46&lt;&gt;"")*(P$3:P$46="")*(G$3:G$46=G30)*(J$3:J$46&gt;J30))+SUMPRODUCT((P$3:P$46&lt;&gt;"")*(G$3:G$46=G30))+1,IF(N30&lt;&gt;"",SUMPRODUCT((N$3:N$46&lt;&gt;"")*(G$3:G$46=G30)*(J$3:J$46&gt;J30))+1,IF(M30="P",SUMPRODUCT((O$3:O$46&lt;&gt;"")*(P$3:P$46="")*(G$3:G$46=G30))+SUMPRODUCT((P$3:P$46&lt;&gt;"")*(G$3:G$46=G30))+SUMPRODUCT((N$3:N$46&lt;&gt;"")*(G$3:G$46=G30))+SUMPRODUCT((P$3:P$46="")*(O$3:O$46="")*(N$3:N$46="")*(M$3:M$46="P")*(G$3:G$46=G30)*(J$3:J$46&gt;J30))+1,""))))</f>
        <v/>
      </c>
      <c r="C30" s="36" t="s">
        <v>364</v>
      </c>
      <c r="D30" s="51" t="str">
        <f>IF(E30="","",VLOOKUP(E30,'Coaching Points'!A:B,2,0))</f>
        <v>AB</v>
      </c>
      <c r="E30" s="36" t="s">
        <v>29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1" t="s">
        <v>127</v>
      </c>
      <c r="I30" s="47"/>
      <c r="J30" s="4">
        <f>MAX(R30,S30)+IF(OR(H30="Junior",H30="Senior"),0.0002,IF(OR(H30="L7",H30="L6"),0.0001,0))+MAX(X30,Z30)*0.0000001</f>
        <v>35.700100000000006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52" t="str">
        <f>IF(A30&lt;5,IF(_xlfn.MAXIFS(A:A,G:G,G30)&gt;3,5-A30,_xlfn.MAXIFS(A:A,G:G,G30)+1-A30),"")</f>
        <v/>
      </c>
      <c r="R30" s="4">
        <f>MAX(T30,X30)</f>
        <v>35.700000000000003</v>
      </c>
      <c r="S30" s="4">
        <f>MAX(V30,Z30)</f>
        <v>0</v>
      </c>
      <c r="T30" s="33">
        <v>35.700000000000003</v>
      </c>
      <c r="U30" s="41">
        <v>5.2</v>
      </c>
      <c r="V30" s="34">
        <v>0</v>
      </c>
      <c r="W30" s="41">
        <v>0</v>
      </c>
      <c r="X30" s="33"/>
      <c r="Y30" s="41"/>
      <c r="Z30" s="34"/>
      <c r="AA30" s="37"/>
    </row>
    <row r="31" spans="1:27" x14ac:dyDescent="0.2">
      <c r="A31" s="1" t="str" cm="1">
        <f t="array" ref="A31">IF(I31="","",IF(P31&lt;&gt;"",SUMPRODUCT((P$3:P$46&lt;&gt;"")*(G$3:G$46=G31)*(J$3:J$46&gt;J31)*(I$3:I$46="P"))+1,IF(O31&lt;&gt;"",SUMPRODUCT((O$3:O$46&lt;&gt;"")*(P$3:P$46="")*(G$3:G$46=G31)*(J$3:J$46&gt;J31)*(I$3:I$46="P"))+SUMPRODUCT((P$3:P$46&lt;&gt;"")*(G$3:G$46=G31))+1,IF(N31&lt;&gt;"",SUMPRODUCT((N$3:N$46&lt;&gt;"")*(G$3:G$46=G31)*(J$3:J$46&gt;J31)*(I$3:I$46="P"))+1,IF(M31="P",SUMPRODUCT((O$3:O$46&lt;&gt;"")*(P$3:P$46="")*(G$3:G$46=G31)*(I$3:I$46="P"))+SUMPRODUCT((P$3:P$46&lt;&gt;"")*(G$3:G$46=G31)*(I$3:I$46="P"))+SUMPRODUCT((N$3:N$46&lt;&gt;"")*(G$3:G$46=G31)*(I$3:I$46="P"))+SUMPRODUCT((P$3:P$46="")*(O$3:O$46="")*(N$3:N$46="")*(M$3:M$46="P")*(G$3:G$46=G31)*(J$3:J$46&gt;J31)*(I$3:I$46="P"))+1,"")))))</f>
        <v/>
      </c>
      <c r="B31" s="1" t="str" cm="1">
        <f t="array" ref="B31">IF(P31&lt;&gt;"",SUMPRODUCT((P$3:P$46&lt;&gt;"")*(G$3:G$46=G31)*(J$3:J$46&gt;J31))+1,IF(O31&lt;&gt;"",SUMPRODUCT((O$3:O$46&lt;&gt;"")*(P$3:P$46="")*(G$3:G$46=G31)*(J$3:J$46&gt;J31))+SUMPRODUCT((P$3:P$46&lt;&gt;"")*(G$3:G$46=G31))+1,IF(N31&lt;&gt;"",SUMPRODUCT((N$3:N$46&lt;&gt;"")*(G$3:G$46=G31)*(J$3:J$46&gt;J31))+1,IF(M31="P",SUMPRODUCT((O$3:O$46&lt;&gt;"")*(P$3:P$46="")*(G$3:G$46=G31))+SUMPRODUCT((P$3:P$46&lt;&gt;"")*(G$3:G$46=G31))+SUMPRODUCT((N$3:N$46&lt;&gt;"")*(G$3:G$46=G31))+SUMPRODUCT((P$3:P$46="")*(O$3:O$46="")*(N$3:N$46="")*(M$3:M$46="P")*(G$3:G$46=G31)*(J$3:J$46&gt;J31))+1,""))))</f>
        <v/>
      </c>
      <c r="C31" s="36" t="s">
        <v>347</v>
      </c>
      <c r="D31" s="51" t="str">
        <f>IF(E31="","",VLOOKUP(E31,'Coaching Points'!A:B,2,0))</f>
        <v>ON</v>
      </c>
      <c r="E31" s="36" t="s">
        <v>348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1" t="s">
        <v>125</v>
      </c>
      <c r="I31" s="47"/>
      <c r="J31" s="4">
        <f>MAX(R31,S31)+IF(OR(H31="Junior",H31="Senior"),0.0002,IF(OR(H31="L7",H31="L6"),0.0001,0))+MAX(X31,Z31)*0.0000001</f>
        <v>35.4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52" t="str">
        <f>IF(A31&lt;5,IF(_xlfn.MAXIFS(A:A,G:G,G31)&gt;3,5-A31,_xlfn.MAXIFS(A:A,G:G,G31)+1-A31),"")</f>
        <v/>
      </c>
      <c r="R31" s="4">
        <f>MAX(T31,X31)</f>
        <v>35.4</v>
      </c>
      <c r="S31" s="4">
        <f>MAX(V31,Z31)</f>
        <v>0</v>
      </c>
      <c r="T31" s="33">
        <v>35.4</v>
      </c>
      <c r="U31" s="41">
        <v>4</v>
      </c>
      <c r="V31" s="34">
        <v>0</v>
      </c>
      <c r="W31" s="41">
        <v>0</v>
      </c>
      <c r="X31" s="33"/>
      <c r="Y31" s="41"/>
      <c r="Z31" s="34"/>
      <c r="AA31" s="37"/>
    </row>
    <row r="32" spans="1:27" x14ac:dyDescent="0.2">
      <c r="A32" s="1" t="str" cm="1">
        <f t="array" ref="A32">IF(I32="","",IF(P32&lt;&gt;"",SUMPRODUCT((P$3:P$46&lt;&gt;"")*(G$3:G$46=G32)*(J$3:J$46&gt;J32)*(I$3:I$46="P"))+1,IF(O32&lt;&gt;"",SUMPRODUCT((O$3:O$46&lt;&gt;"")*(P$3:P$46="")*(G$3:G$46=G32)*(J$3:J$46&gt;J32)*(I$3:I$46="P"))+SUMPRODUCT((P$3:P$46&lt;&gt;"")*(G$3:G$46=G32))+1,IF(N32&lt;&gt;"",SUMPRODUCT((N$3:N$46&lt;&gt;"")*(G$3:G$46=G32)*(J$3:J$46&gt;J32)*(I$3:I$46="P"))+1,IF(M32="P",SUMPRODUCT((O$3:O$46&lt;&gt;"")*(P$3:P$46="")*(G$3:G$46=G32)*(I$3:I$46="P"))+SUMPRODUCT((P$3:P$46&lt;&gt;"")*(G$3:G$46=G32)*(I$3:I$46="P"))+SUMPRODUCT((N$3:N$46&lt;&gt;"")*(G$3:G$46=G32)*(I$3:I$46="P"))+SUMPRODUCT((P$3:P$46="")*(O$3:O$46="")*(N$3:N$46="")*(M$3:M$46="P")*(G$3:G$46=G32)*(J$3:J$46&gt;J32)*(I$3:I$46="P"))+1,"")))))</f>
        <v/>
      </c>
      <c r="B32" s="1" t="str" cm="1">
        <f t="array" ref="B32">IF(P32&lt;&gt;"",SUMPRODUCT((P$3:P$46&lt;&gt;"")*(G$3:G$46=G32)*(J$3:J$46&gt;J32))+1,IF(O32&lt;&gt;"",SUMPRODUCT((O$3:O$46&lt;&gt;"")*(P$3:P$46="")*(G$3:G$46=G32)*(J$3:J$46&gt;J32))+SUMPRODUCT((P$3:P$46&lt;&gt;"")*(G$3:G$46=G32))+1,IF(N32&lt;&gt;"",SUMPRODUCT((N$3:N$46&lt;&gt;"")*(G$3:G$46=G32)*(J$3:J$46&gt;J32))+1,IF(M32="P",SUMPRODUCT((O$3:O$46&lt;&gt;"")*(P$3:P$46="")*(G$3:G$46=G32))+SUMPRODUCT((P$3:P$46&lt;&gt;"")*(G$3:G$46=G32))+SUMPRODUCT((N$3:N$46&lt;&gt;"")*(G$3:G$46=G32))+SUMPRODUCT((P$3:P$46="")*(O$3:O$46="")*(N$3:N$46="")*(M$3:M$46="P")*(G$3:G$46=G32)*(J$3:J$46&gt;J32))+1,""))))</f>
        <v/>
      </c>
      <c r="C32" s="36" t="s">
        <v>350</v>
      </c>
      <c r="D32" s="51" t="str">
        <f>IF(E32="","",VLOOKUP(E32,'Coaching Points'!A:B,2,0))</f>
        <v>BC</v>
      </c>
      <c r="E32" s="36" t="s">
        <v>85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1" t="s">
        <v>125</v>
      </c>
      <c r="I32" s="47"/>
      <c r="J32" s="4">
        <f>MAX(R32,S32)+IF(OR(H32="Junior",H32="Senior"),0.0002,IF(OR(H32="L7",H32="L6"),0.0001,0))+MAX(X32,Z32)*0.0000001</f>
        <v>34.519999999999996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52" t="str">
        <f>IF(A32&lt;5,IF(_xlfn.MAXIFS(A:A,G:G,G32)&gt;3,5-A32,_xlfn.MAXIFS(A:A,G:G,G32)+1-A32),"")</f>
        <v/>
      </c>
      <c r="R32" s="4">
        <f>MAX(T32,X32)</f>
        <v>34.519999999999996</v>
      </c>
      <c r="S32" s="4">
        <f>MAX(V32,Z32)</f>
        <v>0</v>
      </c>
      <c r="T32" s="33">
        <v>34.519999999999996</v>
      </c>
      <c r="U32" s="41">
        <v>5.8</v>
      </c>
      <c r="V32" s="34">
        <v>0</v>
      </c>
      <c r="W32" s="41">
        <v>0</v>
      </c>
      <c r="X32" s="33"/>
      <c r="Y32" s="41"/>
      <c r="Z32" s="34"/>
      <c r="AA32" s="37"/>
    </row>
    <row r="33" spans="1:27" x14ac:dyDescent="0.2">
      <c r="A33" s="1" t="str" cm="1">
        <f t="array" ref="A33">IF(I33="","",IF(P33&lt;&gt;"",SUMPRODUCT((P$3:P$46&lt;&gt;"")*(G$3:G$46=G33)*(J$3:J$46&gt;J33)*(I$3:I$46="P"))+1,IF(O33&lt;&gt;"",SUMPRODUCT((O$3:O$46&lt;&gt;"")*(P$3:P$46="")*(G$3:G$46=G33)*(J$3:J$46&gt;J33)*(I$3:I$46="P"))+SUMPRODUCT((P$3:P$46&lt;&gt;"")*(G$3:G$46=G33))+1,IF(N33&lt;&gt;"",SUMPRODUCT((N$3:N$46&lt;&gt;"")*(G$3:G$46=G33)*(J$3:J$46&gt;J33)*(I$3:I$46="P"))+1,IF(M33="P",SUMPRODUCT((O$3:O$46&lt;&gt;"")*(P$3:P$46="")*(G$3:G$46=G33)*(I$3:I$46="P"))+SUMPRODUCT((P$3:P$46&lt;&gt;"")*(G$3:G$46=G33)*(I$3:I$46="P"))+SUMPRODUCT((N$3:N$46&lt;&gt;"")*(G$3:G$46=G33)*(I$3:I$46="P"))+SUMPRODUCT((P$3:P$46="")*(O$3:O$46="")*(N$3:N$46="")*(M$3:M$46="P")*(G$3:G$46=G33)*(J$3:J$46&gt;J33)*(I$3:I$46="P"))+1,"")))))</f>
        <v/>
      </c>
      <c r="B33" s="1" t="str" cm="1">
        <f t="array" ref="B33">IF(P33&lt;&gt;"",SUMPRODUCT((P$3:P$46&lt;&gt;"")*(G$3:G$46=G33)*(J$3:J$46&gt;J33))+1,IF(O33&lt;&gt;"",SUMPRODUCT((O$3:O$46&lt;&gt;"")*(P$3:P$46="")*(G$3:G$46=G33)*(J$3:J$46&gt;J33))+SUMPRODUCT((P$3:P$46&lt;&gt;"")*(G$3:G$46=G33))+1,IF(N33&lt;&gt;"",SUMPRODUCT((N$3:N$46&lt;&gt;"")*(G$3:G$46=G33)*(J$3:J$46&gt;J33))+1,IF(M33="P",SUMPRODUCT((O$3:O$46&lt;&gt;"")*(P$3:P$46="")*(G$3:G$46=G33))+SUMPRODUCT((P$3:P$46&lt;&gt;"")*(G$3:G$46=G33))+SUMPRODUCT((N$3:N$46&lt;&gt;"")*(G$3:G$46=G33))+SUMPRODUCT((P$3:P$46="")*(O$3:O$46="")*(N$3:N$46="")*(M$3:M$46="P")*(G$3:G$46=G33)*(J$3:J$46&gt;J33))+1,""))))</f>
        <v/>
      </c>
      <c r="C33" s="36" t="s">
        <v>310</v>
      </c>
      <c r="D33" s="51" t="str">
        <f>IF(E33="","",VLOOKUP(E33,'Coaching Points'!A:B,2,0))</f>
        <v>BC</v>
      </c>
      <c r="E33" s="36" t="s">
        <v>43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1" t="s">
        <v>127</v>
      </c>
      <c r="I33" s="47"/>
      <c r="J33" s="4">
        <f>MAX(R33,S33)+IF(OR(H33="Junior",H33="Senior"),0.0002,IF(OR(H33="L7",H33="L6"),0.0001,0))+MAX(X33,Z33)*0.0000001</f>
        <v>33.8001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52" t="str">
        <f>IF(A33&lt;5,IF(_xlfn.MAXIFS(A:A,G:G,G33)&gt;3,5-A33,_xlfn.MAXIFS(A:A,G:G,G33)+1-A33),"")</f>
        <v/>
      </c>
      <c r="R33" s="4">
        <f>MAX(T33,X33)</f>
        <v>33.799999999999997</v>
      </c>
      <c r="S33" s="4">
        <f>MAX(V33,Z33)</f>
        <v>0</v>
      </c>
      <c r="T33" s="33">
        <v>33.799999999999997</v>
      </c>
      <c r="U33" s="41">
        <v>4.9000000000000004</v>
      </c>
      <c r="V33" s="34">
        <v>0</v>
      </c>
      <c r="W33" s="41">
        <v>0</v>
      </c>
      <c r="X33" s="33"/>
      <c r="Y33" s="41"/>
      <c r="Z33" s="34"/>
      <c r="AA33" s="37"/>
    </row>
    <row r="34" spans="1:27" x14ac:dyDescent="0.2">
      <c r="A34" s="1" t="str" cm="1">
        <f t="array" ref="A34">IF(I34="","",IF(P34&lt;&gt;"",SUMPRODUCT((P$3:P$46&lt;&gt;"")*(G$3:G$46=G34)*(J$3:J$46&gt;J34)*(I$3:I$46="P"))+1,IF(O34&lt;&gt;"",SUMPRODUCT((O$3:O$46&lt;&gt;"")*(P$3:P$46="")*(G$3:G$46=G34)*(J$3:J$46&gt;J34)*(I$3:I$46="P"))+SUMPRODUCT((P$3:P$46&lt;&gt;"")*(G$3:G$46=G34))+1,IF(N34&lt;&gt;"",SUMPRODUCT((N$3:N$46&lt;&gt;"")*(G$3:G$46=G34)*(J$3:J$46&gt;J34)*(I$3:I$46="P"))+1,IF(M34="P",SUMPRODUCT((O$3:O$46&lt;&gt;"")*(P$3:P$46="")*(G$3:G$46=G34)*(I$3:I$46="P"))+SUMPRODUCT((P$3:P$46&lt;&gt;"")*(G$3:G$46=G34)*(I$3:I$46="P"))+SUMPRODUCT((N$3:N$46&lt;&gt;"")*(G$3:G$46=G34)*(I$3:I$46="P"))+SUMPRODUCT((P$3:P$46="")*(O$3:O$46="")*(N$3:N$46="")*(M$3:M$46="P")*(G$3:G$46=G34)*(J$3:J$46&gt;J34)*(I$3:I$46="P"))+1,"")))))</f>
        <v/>
      </c>
      <c r="B34" s="1" t="str" cm="1">
        <f t="array" ref="B34">IF(P34&lt;&gt;"",SUMPRODUCT((P$3:P$46&lt;&gt;"")*(G$3:G$46=G34)*(J$3:J$46&gt;J34))+1,IF(O34&lt;&gt;"",SUMPRODUCT((O$3:O$46&lt;&gt;"")*(P$3:P$46="")*(G$3:G$46=G34)*(J$3:J$46&gt;J34))+SUMPRODUCT((P$3:P$46&lt;&gt;"")*(G$3:G$46=G34))+1,IF(N34&lt;&gt;"",SUMPRODUCT((N$3:N$46&lt;&gt;"")*(G$3:G$46=G34)*(J$3:J$46&gt;J34))+1,IF(M34="P",SUMPRODUCT((O$3:O$46&lt;&gt;"")*(P$3:P$46="")*(G$3:G$46=G34))+SUMPRODUCT((P$3:P$46&lt;&gt;"")*(G$3:G$46=G34))+SUMPRODUCT((N$3:N$46&lt;&gt;"")*(G$3:G$46=G34))+SUMPRODUCT((P$3:P$46="")*(O$3:O$46="")*(N$3:N$46="")*(M$3:M$46="P")*(G$3:G$46=G34)*(J$3:J$46&gt;J34))+1,""))))</f>
        <v/>
      </c>
      <c r="C34" s="36" t="s">
        <v>352</v>
      </c>
      <c r="D34" s="51" t="str">
        <f>IF(E34="","",VLOOKUP(E34,'Coaching Points'!A:B,2,0))</f>
        <v>SK</v>
      </c>
      <c r="E34" s="36" t="s">
        <v>79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1" t="s">
        <v>125</v>
      </c>
      <c r="I34" s="47"/>
      <c r="J34" s="4">
        <f>MAX(R34,S34)+IF(OR(H34="Junior",H34="Senior"),0.0002,IF(OR(H34="L7",H34="L6"),0.0001,0))+MAX(X34,Z34)*0.0000001</f>
        <v>32.06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52" t="str">
        <f>IF(A34&lt;5,IF(_xlfn.MAXIFS(A:A,G:G,G34)&gt;3,5-A34,_xlfn.MAXIFS(A:A,G:G,G34)+1-A34),"")</f>
        <v/>
      </c>
      <c r="R34" s="4">
        <f>MAX(T34,X34)</f>
        <v>32.06</v>
      </c>
      <c r="S34" s="4">
        <f>MAX(V34,Z34)</f>
        <v>0</v>
      </c>
      <c r="T34" s="33">
        <v>32.06</v>
      </c>
      <c r="U34" s="41">
        <v>3.8</v>
      </c>
      <c r="V34" s="34">
        <v>0</v>
      </c>
      <c r="W34" s="41">
        <v>0</v>
      </c>
      <c r="X34" s="33"/>
      <c r="Y34" s="41"/>
      <c r="Z34" s="34"/>
      <c r="AA34" s="37"/>
    </row>
    <row r="35" spans="1:27" x14ac:dyDescent="0.2">
      <c r="A35" s="1" t="str" cm="1">
        <f t="array" ref="A35">IF(I35="","",IF(P35&lt;&gt;"",SUMPRODUCT((P$3:P$46&lt;&gt;"")*(G$3:G$46=G35)*(J$3:J$46&gt;J35)*(I$3:I$46="P"))+1,IF(O35&lt;&gt;"",SUMPRODUCT((O$3:O$46&lt;&gt;"")*(P$3:P$46="")*(G$3:G$46=G35)*(J$3:J$46&gt;J35)*(I$3:I$46="P"))+SUMPRODUCT((P$3:P$46&lt;&gt;"")*(G$3:G$46=G35))+1,IF(N35&lt;&gt;"",SUMPRODUCT((N$3:N$46&lt;&gt;"")*(G$3:G$46=G35)*(J$3:J$46&gt;J35)*(I$3:I$46="P"))+1,IF(M35="P",SUMPRODUCT((O$3:O$46&lt;&gt;"")*(P$3:P$46="")*(G$3:G$46=G35)*(I$3:I$46="P"))+SUMPRODUCT((P$3:P$46&lt;&gt;"")*(G$3:G$46=G35)*(I$3:I$46="P"))+SUMPRODUCT((N$3:N$46&lt;&gt;"")*(G$3:G$46=G35)*(I$3:I$46="P"))+SUMPRODUCT((P$3:P$46="")*(O$3:O$46="")*(N$3:N$46="")*(M$3:M$46="P")*(G$3:G$46=G35)*(J$3:J$46&gt;J35)*(I$3:I$46="P"))+1,"")))))</f>
        <v/>
      </c>
      <c r="B35" s="1" t="str" cm="1">
        <f t="array" ref="B35">IF(P35&lt;&gt;"",SUMPRODUCT((P$3:P$46&lt;&gt;"")*(G$3:G$46=G35)*(J$3:J$46&gt;J35))+1,IF(O35&lt;&gt;"",SUMPRODUCT((O$3:O$46&lt;&gt;"")*(P$3:P$46="")*(G$3:G$46=G35)*(J$3:J$46&gt;J35))+SUMPRODUCT((P$3:P$46&lt;&gt;"")*(G$3:G$46=G35))+1,IF(N35&lt;&gt;"",SUMPRODUCT((N$3:N$46&lt;&gt;"")*(G$3:G$46=G35)*(J$3:J$46&gt;J35))+1,IF(M35="P",SUMPRODUCT((O$3:O$46&lt;&gt;"")*(P$3:P$46="")*(G$3:G$46=G35))+SUMPRODUCT((P$3:P$46&lt;&gt;"")*(G$3:G$46=G35))+SUMPRODUCT((N$3:N$46&lt;&gt;"")*(G$3:G$46=G35))+SUMPRODUCT((P$3:P$46="")*(O$3:O$46="")*(N$3:N$46="")*(M$3:M$46="P")*(G$3:G$46=G35)*(J$3:J$46&gt;J35))+1,""))))</f>
        <v/>
      </c>
      <c r="C35" s="36" t="s">
        <v>353</v>
      </c>
      <c r="D35" s="51" t="str">
        <f>IF(E35="","",VLOOKUP(E35,'Coaching Points'!A:B,2,0))</f>
        <v>BC</v>
      </c>
      <c r="E35" s="36" t="s">
        <v>43</v>
      </c>
      <c r="F35" s="35">
        <v>2003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1" t="s">
        <v>125</v>
      </c>
      <c r="I35" s="47"/>
      <c r="J35" s="4">
        <f>MAX(R35,S35)+IF(OR(H35="Junior",H35="Senior"),0.0002,IF(OR(H35="L7",H35="L6"),0.0001,0))+MAX(X35,Z35)*0.0000001</f>
        <v>30.92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52" t="str">
        <f>IF(A35&lt;5,IF(_xlfn.MAXIFS(A:A,G:G,G35)&gt;3,5-A35,_xlfn.MAXIFS(A:A,G:G,G35)+1-A35),"")</f>
        <v/>
      </c>
      <c r="R35" s="4">
        <f>MAX(T35,X35)</f>
        <v>30.92</v>
      </c>
      <c r="S35" s="4">
        <f>MAX(V35,Z35)</f>
        <v>0</v>
      </c>
      <c r="T35" s="33">
        <v>30.92</v>
      </c>
      <c r="U35" s="41">
        <v>4.9000000000000004</v>
      </c>
      <c r="V35" s="34">
        <v>0</v>
      </c>
      <c r="W35" s="41">
        <v>0</v>
      </c>
      <c r="X35" s="33"/>
      <c r="Y35" s="41"/>
      <c r="Z35" s="34"/>
      <c r="AA35" s="37"/>
    </row>
    <row r="36" spans="1:27" x14ac:dyDescent="0.2">
      <c r="A36" s="1" t="str" cm="1">
        <f t="array" ref="A36">IF(I36="","",IF(P36&lt;&gt;"",SUMPRODUCT((P$3:P$46&lt;&gt;"")*(G$3:G$46=G36)*(J$3:J$46&gt;J36)*(I$3:I$46="P"))+1,IF(O36&lt;&gt;"",SUMPRODUCT((O$3:O$46&lt;&gt;"")*(P$3:P$46="")*(G$3:G$46=G36)*(J$3:J$46&gt;J36)*(I$3:I$46="P"))+SUMPRODUCT((P$3:P$46&lt;&gt;"")*(G$3:G$46=G36))+1,IF(N36&lt;&gt;"",SUMPRODUCT((N$3:N$46&lt;&gt;"")*(G$3:G$46=G36)*(J$3:J$46&gt;J36)*(I$3:I$46="P"))+1,IF(M36="P",SUMPRODUCT((O$3:O$46&lt;&gt;"")*(P$3:P$46="")*(G$3:G$46=G36)*(I$3:I$46="P"))+SUMPRODUCT((P$3:P$46&lt;&gt;"")*(G$3:G$46=G36)*(I$3:I$46="P"))+SUMPRODUCT((N$3:N$46&lt;&gt;"")*(G$3:G$46=G36)*(I$3:I$46="P"))+SUMPRODUCT((P$3:P$46="")*(O$3:O$46="")*(N$3:N$46="")*(M$3:M$46="P")*(G$3:G$46=G36)*(J$3:J$46&gt;J36)*(I$3:I$46="P"))+1,"")))))</f>
        <v/>
      </c>
      <c r="B36" s="1" cm="1">
        <f t="array" ref="B36">IF(P36&lt;&gt;"",SUMPRODUCT((P$3:P$46&lt;&gt;"")*(G$3:G$46=G36)*(J$3:J$46&gt;J36))+1,IF(O36&lt;&gt;"",SUMPRODUCT((O$3:O$46&lt;&gt;"")*(P$3:P$46="")*(G$3:G$46=G36)*(J$3:J$46&gt;J36))+SUMPRODUCT((P$3:P$46&lt;&gt;"")*(G$3:G$46=G36))+1,IF(N36&lt;&gt;"",SUMPRODUCT((N$3:N$46&lt;&gt;"")*(G$3:G$46=G36)*(J$3:J$46&gt;J36))+1,IF(M36="P",SUMPRODUCT((O$3:O$46&lt;&gt;"")*(P$3:P$46="")*(G$3:G$46=G36))+SUMPRODUCT((P$3:P$46&lt;&gt;"")*(G$3:G$46=G36))+SUMPRODUCT((N$3:N$46&lt;&gt;"")*(G$3:G$46=G36))+SUMPRODUCT((P$3:P$46="")*(O$3:O$46="")*(N$3:N$46="")*(M$3:M$46="P")*(G$3:G$46=G36)*(J$3:J$46&gt;J36))+1,""))))</f>
        <v>1</v>
      </c>
      <c r="C36" s="36" t="s">
        <v>331</v>
      </c>
      <c r="D36" s="51" t="str">
        <f>IF(E36="","",VLOOKUP(E36,'Coaching Points'!A:B,2,0))</f>
        <v>AB</v>
      </c>
      <c r="E36" s="36" t="s">
        <v>68</v>
      </c>
      <c r="F36" s="35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1" t="s">
        <v>124</v>
      </c>
      <c r="I36" s="47"/>
      <c r="J36" s="4">
        <f>MAX(R36,S36)+IF(OR(H36="Junior",H36="Senior"),0.0002,IF(OR(H36="L7",H36="L6"),0.0001,0))+MAX(X36,Z36)*0.0000001</f>
        <v>41.700200000000002</v>
      </c>
      <c r="K36" s="3" t="str">
        <f>IF(G36="Not Age Eligible","",IF(MAX(T36,V36,X36,Z36)&gt;=LOOKUP(G36,'Qualifying Scores'!$A$4:$A$7,'Qualifying Scores'!$I$4:$I$7),"P",""))</f>
        <v>P</v>
      </c>
      <c r="L36" s="3" t="str">
        <f>IF(G36="Not Age Eligible","",IF(MAX(U36,W36,Y36,AA36)&gt;=LOOKUP(G36,'Qualifying Scores'!$A$10:$A$13,'Qualifying Scores'!$I$10:$I$13),"P",""))</f>
        <v>P</v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>P</v>
      </c>
      <c r="Q36" s="52" t="str">
        <f>IF(A36&lt;5,IF(_xlfn.MAXIFS(A:A,G:G,G36)&gt;3,5-A36,_xlfn.MAXIFS(A:A,G:G,G36)+1-A36),"")</f>
        <v/>
      </c>
      <c r="R36" s="4">
        <f>MAX(T36,X36)</f>
        <v>38.4</v>
      </c>
      <c r="S36" s="4">
        <f>MAX(V36,Z36)</f>
        <v>41.7</v>
      </c>
      <c r="T36" s="33">
        <v>38.4</v>
      </c>
      <c r="U36" s="41">
        <v>7.3000000000000007</v>
      </c>
      <c r="V36" s="34">
        <v>41.7</v>
      </c>
      <c r="W36" s="41">
        <v>7.3000000000000007</v>
      </c>
      <c r="X36" s="33"/>
      <c r="Y36" s="41"/>
      <c r="Z36" s="34"/>
      <c r="AA36" s="37"/>
    </row>
    <row r="37" spans="1:27" x14ac:dyDescent="0.2">
      <c r="A37" s="1" t="str" cm="1">
        <f t="array" ref="A37">IF(I37="","",IF(P37&lt;&gt;"",SUMPRODUCT((P$3:P$46&lt;&gt;"")*(G$3:G$46=G37)*(J$3:J$46&gt;J37)*(I$3:I$46="P"))+1,IF(O37&lt;&gt;"",SUMPRODUCT((O$3:O$46&lt;&gt;"")*(P$3:P$46="")*(G$3:G$46=G37)*(J$3:J$46&gt;J37)*(I$3:I$46="P"))+SUMPRODUCT((P$3:P$46&lt;&gt;"")*(G$3:G$46=G37))+1,IF(N37&lt;&gt;"",SUMPRODUCT((N$3:N$46&lt;&gt;"")*(G$3:G$46=G37)*(J$3:J$46&gt;J37)*(I$3:I$46="P"))+1,IF(M37="P",SUMPRODUCT((O$3:O$46&lt;&gt;"")*(P$3:P$46="")*(G$3:G$46=G37)*(I$3:I$46="P"))+SUMPRODUCT((P$3:P$46&lt;&gt;"")*(G$3:G$46=G37)*(I$3:I$46="P"))+SUMPRODUCT((N$3:N$46&lt;&gt;"")*(G$3:G$46=G37)*(I$3:I$46="P"))+SUMPRODUCT((P$3:P$46="")*(O$3:O$46="")*(N$3:N$46="")*(M$3:M$46="P")*(G$3:G$46=G37)*(J$3:J$46&gt;J37)*(I$3:I$46="P"))+1,"")))))</f>
        <v/>
      </c>
      <c r="B37" s="1" t="str" cm="1">
        <f t="array" ref="B37">IF(P37&lt;&gt;"",SUMPRODUCT((P$3:P$46&lt;&gt;"")*(G$3:G$46=G37)*(J$3:J$46&gt;J37))+1,IF(O37&lt;&gt;"",SUMPRODUCT((O$3:O$46&lt;&gt;"")*(P$3:P$46="")*(G$3:G$46=G37)*(J$3:J$46&gt;J37))+SUMPRODUCT((P$3:P$46&lt;&gt;"")*(G$3:G$46=G37))+1,IF(N37&lt;&gt;"",SUMPRODUCT((N$3:N$46&lt;&gt;"")*(G$3:G$46=G37)*(J$3:J$46&gt;J37))+1,IF(M37="P",SUMPRODUCT((O$3:O$46&lt;&gt;"")*(P$3:P$46="")*(G$3:G$46=G37))+SUMPRODUCT((P$3:P$46&lt;&gt;"")*(G$3:G$46=G37))+SUMPRODUCT((N$3:N$46&lt;&gt;"")*(G$3:G$46=G37))+SUMPRODUCT((P$3:P$46="")*(O$3:O$46="")*(N$3:N$46="")*(M$3:M$46="P")*(G$3:G$46=G37)*(J$3:J$46&gt;J37))+1,""))))</f>
        <v/>
      </c>
      <c r="C37" s="36" t="s">
        <v>340</v>
      </c>
      <c r="D37" s="51" t="str">
        <f>IF(E37="","",VLOOKUP(E37,'Coaching Points'!A:B,2,0))</f>
        <v>ON</v>
      </c>
      <c r="E37" s="36" t="s">
        <v>323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1" t="s">
        <v>125</v>
      </c>
      <c r="I37" s="47"/>
      <c r="J37" s="4">
        <f>MAX(R37,S37)+IF(OR(H37="Junior",H37="Senior"),0.0002,IF(OR(H37="L7",H37="L6"),0.0001,0))+MAX(X37,Z37)*0.0000001</f>
        <v>39.200000000000003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52" t="str">
        <f>IF(A37&lt;5,IF(_xlfn.MAXIFS(A:A,G:G,G37)&gt;3,5-A37,_xlfn.MAXIFS(A:A,G:G,G37)+1-A37),"")</f>
        <v/>
      </c>
      <c r="R37" s="4">
        <f>MAX(T37,X37)</f>
        <v>39.200000000000003</v>
      </c>
      <c r="S37" s="4">
        <f>MAX(V37,Z37)</f>
        <v>37.1</v>
      </c>
      <c r="T37" s="33">
        <v>39.200000000000003</v>
      </c>
      <c r="U37" s="41">
        <v>5.3</v>
      </c>
      <c r="V37" s="34">
        <v>37.1</v>
      </c>
      <c r="W37" s="41">
        <v>4.5999999999999996</v>
      </c>
      <c r="X37" s="33"/>
      <c r="Y37" s="41"/>
      <c r="Z37" s="34"/>
      <c r="AA37" s="37"/>
    </row>
    <row r="38" spans="1:27" x14ac:dyDescent="0.2">
      <c r="A38" s="1" t="str" cm="1">
        <f t="array" ref="A38">IF(I38="","",IF(P38&lt;&gt;"",SUMPRODUCT((P$3:P$46&lt;&gt;"")*(G$3:G$46=G38)*(J$3:J$46&gt;J38)*(I$3:I$46="P"))+1,IF(O38&lt;&gt;"",SUMPRODUCT((O$3:O$46&lt;&gt;"")*(P$3:P$46="")*(G$3:G$46=G38)*(J$3:J$46&gt;J38)*(I$3:I$46="P"))+SUMPRODUCT((P$3:P$46&lt;&gt;"")*(G$3:G$46=G38))+1,IF(N38&lt;&gt;"",SUMPRODUCT((N$3:N$46&lt;&gt;"")*(G$3:G$46=G38)*(J$3:J$46&gt;J38)*(I$3:I$46="P"))+1,IF(M38="P",SUMPRODUCT((O$3:O$46&lt;&gt;"")*(P$3:P$46="")*(G$3:G$46=G38)*(I$3:I$46="P"))+SUMPRODUCT((P$3:P$46&lt;&gt;"")*(G$3:G$46=G38)*(I$3:I$46="P"))+SUMPRODUCT((N$3:N$46&lt;&gt;"")*(G$3:G$46=G38)*(I$3:I$46="P"))+SUMPRODUCT((P$3:P$46="")*(O$3:O$46="")*(N$3:N$46="")*(M$3:M$46="P")*(G$3:G$46=G38)*(J$3:J$46&gt;J38)*(I$3:I$46="P"))+1,"")))))</f>
        <v/>
      </c>
      <c r="B38" s="1" t="str" cm="1">
        <f t="array" ref="B38">IF(P38&lt;&gt;"",SUMPRODUCT((P$3:P$46&lt;&gt;"")*(G$3:G$46=G38)*(J$3:J$46&gt;J38))+1,IF(O38&lt;&gt;"",SUMPRODUCT((O$3:O$46&lt;&gt;"")*(P$3:P$46="")*(G$3:G$46=G38)*(J$3:J$46&gt;J38))+SUMPRODUCT((P$3:P$46&lt;&gt;"")*(G$3:G$46=G38))+1,IF(N38&lt;&gt;"",SUMPRODUCT((N$3:N$46&lt;&gt;"")*(G$3:G$46=G38)*(J$3:J$46&gt;J38))+1,IF(M38="P",SUMPRODUCT((O$3:O$46&lt;&gt;"")*(P$3:P$46="")*(G$3:G$46=G38))+SUMPRODUCT((P$3:P$46&lt;&gt;"")*(G$3:G$46=G38))+SUMPRODUCT((N$3:N$46&lt;&gt;"")*(G$3:G$46=G38))+SUMPRODUCT((P$3:P$46="")*(O$3:O$46="")*(N$3:N$46="")*(M$3:M$46="P")*(G$3:G$46=G38)*(J$3:J$46&gt;J38))+1,""))))</f>
        <v/>
      </c>
      <c r="C38" s="36" t="s">
        <v>307</v>
      </c>
      <c r="D38" s="51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1" t="s">
        <v>125</v>
      </c>
      <c r="I38" s="47"/>
      <c r="J38" s="4">
        <f>MAX(R38,S38)+IF(OR(H38="Junior",H38="Senior"),0.0002,IF(OR(H38="L7",H38="L6"),0.0001,0))+MAX(X38,Z38)*0.0000001</f>
        <v>38.14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52" t="str">
        <f>IF(A38&lt;5,IF(_xlfn.MAXIFS(A:A,G:G,G38)&gt;3,5-A38,_xlfn.MAXIFS(A:A,G:G,G38)+1-A38),"")</f>
        <v/>
      </c>
      <c r="R38" s="4">
        <f>MAX(T38,X38)</f>
        <v>38.14</v>
      </c>
      <c r="S38" s="4">
        <f>MAX(V38,Z38)</f>
        <v>36.400000000000006</v>
      </c>
      <c r="T38" s="33">
        <v>38.14</v>
      </c>
      <c r="U38" s="41">
        <v>6.5</v>
      </c>
      <c r="V38" s="34">
        <v>36.400000000000006</v>
      </c>
      <c r="W38" s="41">
        <v>6.8000000000000007</v>
      </c>
      <c r="X38" s="33"/>
      <c r="Y38" s="41"/>
      <c r="Z38" s="34"/>
      <c r="AA38" s="37"/>
    </row>
    <row r="39" spans="1:27" x14ac:dyDescent="0.2">
      <c r="A39" s="1" t="str" cm="1">
        <f t="array" ref="A39">IF(I39="","",IF(P39&lt;&gt;"",SUMPRODUCT((P$3:P$46&lt;&gt;"")*(G$3:G$46=G39)*(J$3:J$46&gt;J39)*(I$3:I$46="P"))+1,IF(O39&lt;&gt;"",SUMPRODUCT((O$3:O$46&lt;&gt;"")*(P$3:P$46="")*(G$3:G$46=G39)*(J$3:J$46&gt;J39)*(I$3:I$46="P"))+SUMPRODUCT((P$3:P$46&lt;&gt;"")*(G$3:G$46=G39))+1,IF(N39&lt;&gt;"",SUMPRODUCT((N$3:N$46&lt;&gt;"")*(G$3:G$46=G39)*(J$3:J$46&gt;J39)*(I$3:I$46="P"))+1,IF(M39="P",SUMPRODUCT((O$3:O$46&lt;&gt;"")*(P$3:P$46="")*(G$3:G$46=G39)*(I$3:I$46="P"))+SUMPRODUCT((P$3:P$46&lt;&gt;"")*(G$3:G$46=G39)*(I$3:I$46="P"))+SUMPRODUCT((N$3:N$46&lt;&gt;"")*(G$3:G$46=G39)*(I$3:I$46="P"))+SUMPRODUCT((P$3:P$46="")*(O$3:O$46="")*(N$3:N$46="")*(M$3:M$46="P")*(G$3:G$46=G39)*(J$3:J$46&gt;J39)*(I$3:I$46="P"))+1,"")))))</f>
        <v/>
      </c>
      <c r="B39" s="1" t="str" cm="1">
        <f t="array" ref="B39">IF(P39&lt;&gt;"",SUMPRODUCT((P$3:P$46&lt;&gt;"")*(G$3:G$46=G39)*(J$3:J$46&gt;J39))+1,IF(O39&lt;&gt;"",SUMPRODUCT((O$3:O$46&lt;&gt;"")*(P$3:P$46="")*(G$3:G$46=G39)*(J$3:J$46&gt;J39))+SUMPRODUCT((P$3:P$46&lt;&gt;"")*(G$3:G$46=G39))+1,IF(N39&lt;&gt;"",SUMPRODUCT((N$3:N$46&lt;&gt;"")*(G$3:G$46=G39)*(J$3:J$46&gt;J39))+1,IF(M39="P",SUMPRODUCT((O$3:O$46&lt;&gt;"")*(P$3:P$46="")*(G$3:G$46=G39))+SUMPRODUCT((P$3:P$46&lt;&gt;"")*(G$3:G$46=G39))+SUMPRODUCT((N$3:N$46&lt;&gt;"")*(G$3:G$46=G39))+SUMPRODUCT((P$3:P$46="")*(O$3:O$46="")*(N$3:N$46="")*(M$3:M$46="P")*(G$3:G$46=G39)*(J$3:J$46&gt;J39))+1,""))))</f>
        <v/>
      </c>
      <c r="C39" s="36" t="s">
        <v>249</v>
      </c>
      <c r="D39" s="51" t="str">
        <f>IF(E39="","",VLOOKUP(E39,'Coaching Points'!A:B,2,0))</f>
        <v>AB</v>
      </c>
      <c r="E39" s="36" t="s">
        <v>29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1" t="s">
        <v>125</v>
      </c>
      <c r="I39" s="47"/>
      <c r="J39" s="4">
        <f>MAX(R39,S39)+IF(OR(H39="Junior",H39="Senior"),0.0002,IF(OR(H39="L7",H39="L6"),0.0001,0))+MAX(X39,Z39)*0.0000001</f>
        <v>38.019999999999996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52" t="str">
        <f>IF(A39&lt;5,IF(_xlfn.MAXIFS(A:A,G:G,G39)&gt;3,5-A39,_xlfn.MAXIFS(A:A,G:G,G39)+1-A39),"")</f>
        <v/>
      </c>
      <c r="R39" s="4">
        <f>MAX(T39,X39)</f>
        <v>34.6</v>
      </c>
      <c r="S39" s="4">
        <f>MAX(V39,Z39)</f>
        <v>38.019999999999996</v>
      </c>
      <c r="T39" s="33">
        <v>34.6</v>
      </c>
      <c r="U39" s="41">
        <v>3.3999999999999995</v>
      </c>
      <c r="V39" s="34">
        <v>38.019999999999996</v>
      </c>
      <c r="W39" s="41">
        <v>4.4000000000000004</v>
      </c>
      <c r="X39" s="33"/>
      <c r="Y39" s="41"/>
      <c r="Z39" s="34"/>
      <c r="AA39" s="37"/>
    </row>
    <row r="40" spans="1:27" x14ac:dyDescent="0.2">
      <c r="A40" s="1" t="str" cm="1">
        <f t="array" ref="A40">IF(I40="","",IF(P40&lt;&gt;"",SUMPRODUCT((P$3:P$46&lt;&gt;"")*(G$3:G$46=G40)*(J$3:J$46&gt;J40)*(I$3:I$46="P"))+1,IF(O40&lt;&gt;"",SUMPRODUCT((O$3:O$46&lt;&gt;"")*(P$3:P$46="")*(G$3:G$46=G40)*(J$3:J$46&gt;J40)*(I$3:I$46="P"))+SUMPRODUCT((P$3:P$46&lt;&gt;"")*(G$3:G$46=G40))+1,IF(N40&lt;&gt;"",SUMPRODUCT((N$3:N$46&lt;&gt;"")*(G$3:G$46=G40)*(J$3:J$46&gt;J40)*(I$3:I$46="P"))+1,IF(M40="P",SUMPRODUCT((O$3:O$46&lt;&gt;"")*(P$3:P$46="")*(G$3:G$46=G40)*(I$3:I$46="P"))+SUMPRODUCT((P$3:P$46&lt;&gt;"")*(G$3:G$46=G40)*(I$3:I$46="P"))+SUMPRODUCT((N$3:N$46&lt;&gt;"")*(G$3:G$46=G40)*(I$3:I$46="P"))+SUMPRODUCT((P$3:P$46="")*(O$3:O$46="")*(N$3:N$46="")*(M$3:M$46="P")*(G$3:G$46=G40)*(J$3:J$46&gt;J40)*(I$3:I$46="P"))+1,"")))))</f>
        <v/>
      </c>
      <c r="B40" s="1" t="str" cm="1">
        <f t="array" ref="B40">IF(P40&lt;&gt;"",SUMPRODUCT((P$3:P$46&lt;&gt;"")*(G$3:G$46=G40)*(J$3:J$46&gt;J40))+1,IF(O40&lt;&gt;"",SUMPRODUCT((O$3:O$46&lt;&gt;"")*(P$3:P$46="")*(G$3:G$46=G40)*(J$3:J$46&gt;J40))+SUMPRODUCT((P$3:P$46&lt;&gt;"")*(G$3:G$46=G40))+1,IF(N40&lt;&gt;"",SUMPRODUCT((N$3:N$46&lt;&gt;"")*(G$3:G$46=G40)*(J$3:J$46&gt;J40))+1,IF(M40="P",SUMPRODUCT((O$3:O$46&lt;&gt;"")*(P$3:P$46="")*(G$3:G$46=G40))+SUMPRODUCT((P$3:P$46&lt;&gt;"")*(G$3:G$46=G40))+SUMPRODUCT((N$3:N$46&lt;&gt;"")*(G$3:G$46=G40))+SUMPRODUCT((P$3:P$46="")*(O$3:O$46="")*(N$3:N$46="")*(M$3:M$46="P")*(G$3:G$46=G40)*(J$3:J$46&gt;J40))+1,""))))</f>
        <v/>
      </c>
      <c r="C40" s="36" t="s">
        <v>337</v>
      </c>
      <c r="D40" s="51" t="str">
        <f>IF(E40="","",VLOOKUP(E40,'Coaching Points'!A:B,2,0))</f>
        <v>BC</v>
      </c>
      <c r="E40" s="36" t="s">
        <v>66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1" t="s">
        <v>125</v>
      </c>
      <c r="I40" s="47"/>
      <c r="J40" s="4">
        <f>MAX(R40,S40)+IF(OR(H40="Junior",H40="Senior"),0.0002,IF(OR(H40="L7",H40="L6"),0.0001,0))+MAX(X40,Z40)*0.0000001</f>
        <v>35.299999999999997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52" t="str">
        <f>IF(A40&lt;5,IF(_xlfn.MAXIFS(A:A,G:G,G40)&gt;3,5-A40,_xlfn.MAXIFS(A:A,G:G,G40)+1-A40),"")</f>
        <v/>
      </c>
      <c r="R40" s="4">
        <f>MAX(T40,X40)</f>
        <v>35</v>
      </c>
      <c r="S40" s="4">
        <f>MAX(V40,Z40)</f>
        <v>35.299999999999997</v>
      </c>
      <c r="T40" s="33">
        <v>35</v>
      </c>
      <c r="U40" s="41">
        <v>5.0999999999999996</v>
      </c>
      <c r="V40" s="34">
        <v>35.299999999999997</v>
      </c>
      <c r="W40" s="41">
        <v>5.5</v>
      </c>
      <c r="X40" s="33"/>
      <c r="Y40" s="41"/>
      <c r="Z40" s="34"/>
      <c r="AA40" s="37"/>
    </row>
    <row r="41" spans="1:27" x14ac:dyDescent="0.2">
      <c r="A41" s="1" t="str" cm="1">
        <f t="array" ref="A41">IF(I41="","",IF(P41&lt;&gt;"",SUMPRODUCT((P$3:P$46&lt;&gt;"")*(G$3:G$46=G41)*(J$3:J$46&gt;J41)*(I$3:I$46="P"))+1,IF(O41&lt;&gt;"",SUMPRODUCT((O$3:O$46&lt;&gt;"")*(P$3:P$46="")*(G$3:G$46=G41)*(J$3:J$46&gt;J41)*(I$3:I$46="P"))+SUMPRODUCT((P$3:P$46&lt;&gt;"")*(G$3:G$46=G41))+1,IF(N41&lt;&gt;"",SUMPRODUCT((N$3:N$46&lt;&gt;"")*(G$3:G$46=G41)*(J$3:J$46&gt;J41)*(I$3:I$46="P"))+1,IF(M41="P",SUMPRODUCT((O$3:O$46&lt;&gt;"")*(P$3:P$46="")*(G$3:G$46=G41)*(I$3:I$46="P"))+SUMPRODUCT((P$3:P$46&lt;&gt;"")*(G$3:G$46=G41)*(I$3:I$46="P"))+SUMPRODUCT((N$3:N$46&lt;&gt;"")*(G$3:G$46=G41)*(I$3:I$46="P"))+SUMPRODUCT((P$3:P$46="")*(O$3:O$46="")*(N$3:N$46="")*(M$3:M$46="P")*(G$3:G$46=G41)*(J$3:J$46&gt;J41)*(I$3:I$46="P"))+1,"")))))</f>
        <v/>
      </c>
      <c r="B41" s="1" t="str" cm="1">
        <f t="array" ref="B41">IF(P41&lt;&gt;"",SUMPRODUCT((P$3:P$46&lt;&gt;"")*(G$3:G$46=G41)*(J$3:J$46&gt;J41))+1,IF(O41&lt;&gt;"",SUMPRODUCT((O$3:O$46&lt;&gt;"")*(P$3:P$46="")*(G$3:G$46=G41)*(J$3:J$46&gt;J41))+SUMPRODUCT((P$3:P$46&lt;&gt;"")*(G$3:G$46=G41))+1,IF(N41&lt;&gt;"",SUMPRODUCT((N$3:N$46&lt;&gt;"")*(G$3:G$46=G41)*(J$3:J$46&gt;J41))+1,IF(M41="P",SUMPRODUCT((O$3:O$46&lt;&gt;"")*(P$3:P$46="")*(G$3:G$46=G41))+SUMPRODUCT((P$3:P$46&lt;&gt;"")*(G$3:G$46=G41))+SUMPRODUCT((N$3:N$46&lt;&gt;"")*(G$3:G$46=G41))+SUMPRODUCT((P$3:P$46="")*(O$3:O$46="")*(N$3:N$46="")*(M$3:M$46="P")*(G$3:G$46=G41)*(J$3:J$46&gt;J41))+1,""))))</f>
        <v/>
      </c>
      <c r="C41" s="36" t="s">
        <v>288</v>
      </c>
      <c r="D41" s="51" t="str">
        <f>IF(E41="","",VLOOKUP(E41,'Coaching Points'!A:B,2,0))</f>
        <v>BC</v>
      </c>
      <c r="E41" s="36" t="s">
        <v>93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1" t="s">
        <v>125</v>
      </c>
      <c r="I41" s="47"/>
      <c r="J41" s="4">
        <f>MAX(R41,S41)+IF(OR(H41="Junior",H41="Senior"),0.0002,IF(OR(H41="L7",H41="L6"),0.0001,0))+MAX(X41,Z41)*0.0000001</f>
        <v>34.700000000000003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52" t="str">
        <f>IF(A41&lt;5,IF(_xlfn.MAXIFS(A:A,G:G,G41)&gt;3,5-A41,_xlfn.MAXIFS(A:A,G:G,G41)+1-A41),"")</f>
        <v/>
      </c>
      <c r="R41" s="4">
        <f>MAX(T41,X41)</f>
        <v>34.700000000000003</v>
      </c>
      <c r="S41" s="4">
        <f>MAX(V41,Z41)</f>
        <v>0</v>
      </c>
      <c r="T41" s="33">
        <v>34.700000000000003</v>
      </c>
      <c r="U41" s="41">
        <v>4</v>
      </c>
      <c r="V41" s="34">
        <v>0</v>
      </c>
      <c r="W41" s="41">
        <v>0</v>
      </c>
      <c r="X41" s="33"/>
      <c r="Y41" s="41"/>
      <c r="Z41" s="34"/>
      <c r="AA41" s="37"/>
    </row>
    <row r="42" spans="1:27" x14ac:dyDescent="0.2">
      <c r="A42" s="1" t="str" cm="1">
        <f t="array" ref="A42">IF(I42="","",IF(P42&lt;&gt;"",SUMPRODUCT((P$3:P$46&lt;&gt;"")*(G$3:G$46=G42)*(J$3:J$46&gt;J42)*(I$3:I$46="P"))+1,IF(O42&lt;&gt;"",SUMPRODUCT((O$3:O$46&lt;&gt;"")*(P$3:P$46="")*(G$3:G$46=G42)*(J$3:J$46&gt;J42)*(I$3:I$46="P"))+SUMPRODUCT((P$3:P$46&lt;&gt;"")*(G$3:G$46=G42))+1,IF(N42&lt;&gt;"",SUMPRODUCT((N$3:N$46&lt;&gt;"")*(G$3:G$46=G42)*(J$3:J$46&gt;J42)*(I$3:I$46="P"))+1,IF(M42="P",SUMPRODUCT((O$3:O$46&lt;&gt;"")*(P$3:P$46="")*(G$3:G$46=G42)*(I$3:I$46="P"))+SUMPRODUCT((P$3:P$46&lt;&gt;"")*(G$3:G$46=G42)*(I$3:I$46="P"))+SUMPRODUCT((N$3:N$46&lt;&gt;"")*(G$3:G$46=G42)*(I$3:I$46="P"))+SUMPRODUCT((P$3:P$46="")*(O$3:O$46="")*(N$3:N$46="")*(M$3:M$46="P")*(G$3:G$46=G42)*(J$3:J$46&gt;J42)*(I$3:I$46="P"))+1,"")))))</f>
        <v/>
      </c>
      <c r="B42" s="1" cm="1">
        <f t="array" ref="B42">IF(P42&lt;&gt;"",SUMPRODUCT((P$3:P$46&lt;&gt;"")*(G$3:G$46=G42)*(J$3:J$46&gt;J42))+1,IF(O42&lt;&gt;"",SUMPRODUCT((O$3:O$46&lt;&gt;"")*(P$3:P$46="")*(G$3:G$46=G42)*(J$3:J$46&gt;J42))+SUMPRODUCT((P$3:P$46&lt;&gt;"")*(G$3:G$46=G42))+1,IF(N42&lt;&gt;"",SUMPRODUCT((N$3:N$46&lt;&gt;"")*(G$3:G$46=G42)*(J$3:J$46&gt;J42))+1,IF(M42="P",SUMPRODUCT((O$3:O$46&lt;&gt;"")*(P$3:P$46="")*(G$3:G$46=G42))+SUMPRODUCT((P$3:P$46&lt;&gt;"")*(G$3:G$46=G42))+SUMPRODUCT((N$3:N$46&lt;&gt;"")*(G$3:G$46=G42))+SUMPRODUCT((P$3:P$46="")*(O$3:O$46="")*(N$3:N$46="")*(M$3:M$46="P")*(G$3:G$46=G42)*(J$3:J$46&gt;J42))+1,""))))</f>
        <v>1</v>
      </c>
      <c r="C42" s="36" t="s">
        <v>290</v>
      </c>
      <c r="D42" s="51" t="str">
        <f>IF(E42="","",VLOOKUP(E42,'Coaching Points'!A:B,2,0))</f>
        <v>BC</v>
      </c>
      <c r="E42" s="36" t="s">
        <v>66</v>
      </c>
      <c r="F42" s="35">
        <v>2009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1" t="s">
        <v>124</v>
      </c>
      <c r="I42" s="47"/>
      <c r="J42" s="4">
        <f>MAX(R42,S42)+IF(OR(H42="Junior",H42="Senior"),0.0002,IF(OR(H42="L7",H42="L6"),0.0001,0))+MAX(X42,Z42)*0.0000001</f>
        <v>42.900199999999998</v>
      </c>
      <c r="K42" s="3" t="str">
        <f>IF(G42="Not Age Eligible","",IF(MAX(T42,V42,X42,Z42)&gt;=LOOKUP(G42,'Qualifying Scores'!$A$4:$A$7,'Qualifying Scores'!$I$4:$I$7),"P",""))</f>
        <v>P</v>
      </c>
      <c r="L42" s="3" t="str">
        <f>IF(G42="Not Age Eligible","",IF(MAX(U42,W42,Y42,AA42)&gt;=LOOKUP(G42,'Qualifying Scores'!$A$10:$A$13,'Qualifying Scores'!$I$10:$I$13),"P",""))</f>
        <v>P</v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>P</v>
      </c>
      <c r="N42" s="39">
        <v>1</v>
      </c>
      <c r="Q42" s="52" t="str">
        <f>IF(A42&lt;5,IF(_xlfn.MAXIFS(A:A,G:G,G42)&gt;3,5-A42,_xlfn.MAXIFS(A:A,G:G,G42)+1-A42),"")</f>
        <v/>
      </c>
      <c r="R42" s="4">
        <f>MAX(T42,X42)</f>
        <v>42.9</v>
      </c>
      <c r="S42" s="4">
        <f>MAX(V42,Z42)</f>
        <v>42</v>
      </c>
      <c r="T42" s="33">
        <v>42.9</v>
      </c>
      <c r="U42" s="41">
        <v>8</v>
      </c>
      <c r="V42" s="34">
        <v>42</v>
      </c>
      <c r="W42" s="41">
        <v>8</v>
      </c>
      <c r="X42" s="33"/>
      <c r="Y42" s="41"/>
      <c r="Z42" s="34"/>
      <c r="AA42" s="37"/>
    </row>
    <row r="43" spans="1:27" x14ac:dyDescent="0.2">
      <c r="A43" s="1" t="str" cm="1">
        <f t="array" ref="A43">IF(I43="","",IF(P43&lt;&gt;"",SUMPRODUCT((P$3:P$46&lt;&gt;"")*(G$3:G$46=G43)*(J$3:J$46&gt;J43)*(I$3:I$46="P"))+1,IF(O43&lt;&gt;"",SUMPRODUCT((O$3:O$46&lt;&gt;"")*(P$3:P$46="")*(G$3:G$46=G43)*(J$3:J$46&gt;J43)*(I$3:I$46="P"))+SUMPRODUCT((P$3:P$46&lt;&gt;"")*(G$3:G$46=G43))+1,IF(N43&lt;&gt;"",SUMPRODUCT((N$3:N$46&lt;&gt;"")*(G$3:G$46=G43)*(J$3:J$46&gt;J43)*(I$3:I$46="P"))+1,IF(M43="P",SUMPRODUCT((O$3:O$46&lt;&gt;"")*(P$3:P$46="")*(G$3:G$46=G43)*(I$3:I$46="P"))+SUMPRODUCT((P$3:P$46&lt;&gt;"")*(G$3:G$46=G43)*(I$3:I$46="P"))+SUMPRODUCT((N$3:N$46&lt;&gt;"")*(G$3:G$46=G43)*(I$3:I$46="P"))+SUMPRODUCT((P$3:P$46="")*(O$3:O$46="")*(N$3:N$46="")*(M$3:M$46="P")*(G$3:G$46=G43)*(J$3:J$46&gt;J43)*(I$3:I$46="P"))+1,"")))))</f>
        <v/>
      </c>
      <c r="B43" s="1" t="str" cm="1">
        <f t="array" ref="B43">IF(P43&lt;&gt;"",SUMPRODUCT((P$3:P$46&lt;&gt;"")*(G$3:G$46=G43)*(J$3:J$46&gt;J43))+1,IF(O43&lt;&gt;"",SUMPRODUCT((O$3:O$46&lt;&gt;"")*(P$3:P$46="")*(G$3:G$46=G43)*(J$3:J$46&gt;J43))+SUMPRODUCT((P$3:P$46&lt;&gt;"")*(G$3:G$46=G43))+1,IF(N43&lt;&gt;"",SUMPRODUCT((N$3:N$46&lt;&gt;"")*(G$3:G$46=G43)*(J$3:J$46&gt;J43))+1,IF(M43="P",SUMPRODUCT((O$3:O$46&lt;&gt;"")*(P$3:P$46="")*(G$3:G$46=G43))+SUMPRODUCT((P$3:P$46&lt;&gt;"")*(G$3:G$46=G43))+SUMPRODUCT((N$3:N$46&lt;&gt;"")*(G$3:G$46=G43))+SUMPRODUCT((P$3:P$46="")*(O$3:O$46="")*(N$3:N$46="")*(M$3:M$46="P")*(G$3:G$46=G43)*(J$3:J$46&gt;J43))+1,""))))</f>
        <v/>
      </c>
      <c r="C43" s="36" t="s">
        <v>261</v>
      </c>
      <c r="D43" s="51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13-14</v>
      </c>
      <c r="H43" s="1" t="s">
        <v>125</v>
      </c>
      <c r="I43" s="47"/>
      <c r="J43" s="4">
        <f>MAX(R43,S43)+IF(OR(H43="Junior",H43="Senior"),0.0002,IF(OR(H43="L7",H43="L6"),0.0001,0))+MAX(X43,Z43)*0.0000001</f>
        <v>36.799999999999997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52" t="str">
        <f>IF(A43&lt;5,IF(_xlfn.MAXIFS(A:A,G:G,G43)&gt;3,5-A43,_xlfn.MAXIFS(A:A,G:G,G43)+1-A43),"")</f>
        <v/>
      </c>
      <c r="R43" s="4">
        <f>MAX(T43,X43)</f>
        <v>36.799999999999997</v>
      </c>
      <c r="S43" s="4">
        <f>MAX(V43,Z43)</f>
        <v>33.739999999999995</v>
      </c>
      <c r="T43" s="33">
        <v>36.799999999999997</v>
      </c>
      <c r="U43" s="41">
        <v>4.5999999999999996</v>
      </c>
      <c r="V43" s="34">
        <v>33.739999999999995</v>
      </c>
      <c r="W43" s="41">
        <v>4.5999999999999996</v>
      </c>
      <c r="X43" s="33"/>
      <c r="Y43" s="41"/>
      <c r="Z43" s="34"/>
      <c r="AA43" s="37"/>
    </row>
    <row r="44" spans="1:27" x14ac:dyDescent="0.2">
      <c r="A44" s="1" t="str" cm="1">
        <f t="array" ref="A44">IF(I44="","",IF(P44&lt;&gt;"",SUMPRODUCT((P$3:P$46&lt;&gt;"")*(G$3:G$46=G44)*(J$3:J$46&gt;J44)*(I$3:I$46="P"))+1,IF(O44&lt;&gt;"",SUMPRODUCT((O$3:O$46&lt;&gt;"")*(P$3:P$46="")*(G$3:G$46=G44)*(J$3:J$46&gt;J44)*(I$3:I$46="P"))+SUMPRODUCT((P$3:P$46&lt;&gt;"")*(G$3:G$46=G44))+1,IF(N44&lt;&gt;"",SUMPRODUCT((N$3:N$46&lt;&gt;"")*(G$3:G$46=G44)*(J$3:J$46&gt;J44)*(I$3:I$46="P"))+1,IF(M44="P",SUMPRODUCT((O$3:O$46&lt;&gt;"")*(P$3:P$46="")*(G$3:G$46=G44)*(I$3:I$46="P"))+SUMPRODUCT((P$3:P$46&lt;&gt;"")*(G$3:G$46=G44)*(I$3:I$46="P"))+SUMPRODUCT((N$3:N$46&lt;&gt;"")*(G$3:G$46=G44)*(I$3:I$46="P"))+SUMPRODUCT((P$3:P$46="")*(O$3:O$46="")*(N$3:N$46="")*(M$3:M$46="P")*(G$3:G$46=G44)*(J$3:J$46&gt;J44)*(I$3:I$46="P"))+1,"")))))</f>
        <v/>
      </c>
      <c r="B44" s="1" t="str" cm="1">
        <f t="array" ref="B44">IF(P44&lt;&gt;"",SUMPRODUCT((P$3:P$46&lt;&gt;"")*(G$3:G$46=G44)*(J$3:J$46&gt;J44))+1,IF(O44&lt;&gt;"",SUMPRODUCT((O$3:O$46&lt;&gt;"")*(P$3:P$46="")*(G$3:G$46=G44)*(J$3:J$46&gt;J44))+SUMPRODUCT((P$3:P$46&lt;&gt;"")*(G$3:G$46=G44))+1,IF(N44&lt;&gt;"",SUMPRODUCT((N$3:N$46&lt;&gt;"")*(G$3:G$46=G44)*(J$3:J$46&gt;J44))+1,IF(M44="P",SUMPRODUCT((O$3:O$46&lt;&gt;"")*(P$3:P$46="")*(G$3:G$46=G44))+SUMPRODUCT((P$3:P$46&lt;&gt;"")*(G$3:G$46=G44))+SUMPRODUCT((N$3:N$46&lt;&gt;"")*(G$3:G$46=G44))+SUMPRODUCT((P$3:P$46="")*(O$3:O$46="")*(N$3:N$46="")*(M$3:M$46="P")*(G$3:G$46=G44)*(J$3:J$46&gt;J44))+1,""))))</f>
        <v/>
      </c>
      <c r="C44" s="36" t="s">
        <v>346</v>
      </c>
      <c r="D44" s="51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1" t="s">
        <v>125</v>
      </c>
      <c r="I44" s="47"/>
      <c r="J44" s="4">
        <f>MAX(R44,S44)+IF(OR(H44="Junior",H44="Senior"),0.0002,IF(OR(H44="L7",H44="L6"),0.0001,0))+MAX(X44,Z44)*0.0000001</f>
        <v>36.56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52" t="str">
        <f>IF(A44&lt;5,IF(_xlfn.MAXIFS(A:A,G:G,G44)&gt;3,5-A44,_xlfn.MAXIFS(A:A,G:G,G44)+1-A44),"")</f>
        <v/>
      </c>
      <c r="R44" s="4">
        <f>MAX(T44,X44)</f>
        <v>36.56</v>
      </c>
      <c r="S44" s="4">
        <f>MAX(V44,Z44)</f>
        <v>0</v>
      </c>
      <c r="T44" s="33">
        <v>36.56</v>
      </c>
      <c r="U44" s="41">
        <v>4.4000000000000004</v>
      </c>
      <c r="V44" s="34">
        <v>0</v>
      </c>
      <c r="W44" s="41">
        <v>0</v>
      </c>
      <c r="X44" s="33"/>
      <c r="Y44" s="41"/>
      <c r="Z44" s="34"/>
      <c r="AA44" s="37"/>
    </row>
    <row r="45" spans="1:27" x14ac:dyDescent="0.2">
      <c r="A45" s="1" t="str" cm="1">
        <f t="array" ref="A45">IF(I45="","",IF(P45&lt;&gt;"",SUMPRODUCT((P$3:P$46&lt;&gt;"")*(G$3:G$46=G45)*(J$3:J$46&gt;J45)*(I$3:I$46="P"))+1,IF(O45&lt;&gt;"",SUMPRODUCT((O$3:O$46&lt;&gt;"")*(P$3:P$46="")*(G$3:G$46=G45)*(J$3:J$46&gt;J45)*(I$3:I$46="P"))+SUMPRODUCT((P$3:P$46&lt;&gt;"")*(G$3:G$46=G45))+1,IF(N45&lt;&gt;"",SUMPRODUCT((N$3:N$46&lt;&gt;"")*(G$3:G$46=G45)*(J$3:J$46&gt;J45)*(I$3:I$46="P"))+1,IF(M45="P",SUMPRODUCT((O$3:O$46&lt;&gt;"")*(P$3:P$46="")*(G$3:G$46=G45)*(I$3:I$46="P"))+SUMPRODUCT((P$3:P$46&lt;&gt;"")*(G$3:G$46=G45)*(I$3:I$46="P"))+SUMPRODUCT((N$3:N$46&lt;&gt;"")*(G$3:G$46=G45)*(I$3:I$46="P"))+SUMPRODUCT((P$3:P$46="")*(O$3:O$46="")*(N$3:N$46="")*(M$3:M$46="P")*(G$3:G$46=G45)*(J$3:J$46&gt;J45)*(I$3:I$46="P"))+1,"")))))</f>
        <v/>
      </c>
      <c r="B45" s="1" t="str" cm="1">
        <f t="array" ref="B45">IF(P45&lt;&gt;"",SUMPRODUCT((P$3:P$46&lt;&gt;"")*(G$3:G$46=G45)*(J$3:J$46&gt;J45))+1,IF(O45&lt;&gt;"",SUMPRODUCT((O$3:O$46&lt;&gt;"")*(P$3:P$46="")*(G$3:G$46=G45)*(J$3:J$46&gt;J45))+SUMPRODUCT((P$3:P$46&lt;&gt;"")*(G$3:G$46=G45))+1,IF(N45&lt;&gt;"",SUMPRODUCT((N$3:N$46&lt;&gt;"")*(G$3:G$46=G45)*(J$3:J$46&gt;J45))+1,IF(M45="P",SUMPRODUCT((O$3:O$46&lt;&gt;"")*(P$3:P$46="")*(G$3:G$46=G45))+SUMPRODUCT((P$3:P$46&lt;&gt;"")*(G$3:G$46=G45))+SUMPRODUCT((N$3:N$46&lt;&gt;"")*(G$3:G$46=G45))+SUMPRODUCT((P$3:P$46="")*(O$3:O$46="")*(N$3:N$46="")*(M$3:M$46="P")*(G$3:G$46=G45)*(J$3:J$46&gt;J45))+1,""))))</f>
        <v/>
      </c>
      <c r="C45" s="36" t="s">
        <v>351</v>
      </c>
      <c r="D45" s="51" t="str">
        <f>IF(E45="","",VLOOKUP(E45,'Coaching Points'!A:B,2,0))</f>
        <v>ON</v>
      </c>
      <c r="E45" s="36" t="s">
        <v>49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1" t="s">
        <v>125</v>
      </c>
      <c r="I45" s="47"/>
      <c r="J45" s="4">
        <f>MAX(R45,S45)+IF(OR(H45="Junior",H45="Senior"),0.0002,IF(OR(H45="L7",H45="L6"),0.0001,0))+MAX(X45,Z45)*0.0000001</f>
        <v>32.900000000000006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52" t="str">
        <f>IF(A45&lt;5,IF(_xlfn.MAXIFS(A:A,G:G,G45)&gt;3,5-A45,_xlfn.MAXIFS(A:A,G:G,G45)+1-A45),"")</f>
        <v/>
      </c>
      <c r="R45" s="4">
        <f>MAX(T45,X45)</f>
        <v>32.900000000000006</v>
      </c>
      <c r="S45" s="4">
        <f>MAX(V45,Z45)</f>
        <v>0</v>
      </c>
      <c r="T45" s="33">
        <v>32.900000000000006</v>
      </c>
      <c r="U45" s="41">
        <v>4</v>
      </c>
      <c r="V45" s="34">
        <v>0</v>
      </c>
      <c r="W45" s="41">
        <v>0</v>
      </c>
      <c r="X45" s="33"/>
      <c r="Y45" s="41"/>
      <c r="Z45" s="34"/>
      <c r="AA45" s="37"/>
    </row>
    <row r="46" spans="1:27" x14ac:dyDescent="0.2">
      <c r="A46" s="1" t="str" cm="1">
        <f t="array" ref="A46">IF(I46="","",IF(P46&lt;&gt;"",SUMPRODUCT((P$3:P$46&lt;&gt;"")*(G$3:G$46=G46)*(J$3:J$46&gt;J46)*(I$3:I$46="P"))+1,IF(O46&lt;&gt;"",SUMPRODUCT((O$3:O$46&lt;&gt;"")*(P$3:P$46="")*(G$3:G$46=G46)*(J$3:J$46&gt;J46)*(I$3:I$46="P"))+SUMPRODUCT((P$3:P$46&lt;&gt;"")*(G$3:G$46=G46))+1,IF(N46&lt;&gt;"",SUMPRODUCT((N$3:N$46&lt;&gt;"")*(G$3:G$46=G46)*(J$3:J$46&gt;J46)*(I$3:I$46="P"))+1,IF(M46="P",SUMPRODUCT((O$3:O$46&lt;&gt;"")*(P$3:P$46="")*(G$3:G$46=G46)*(I$3:I$46="P"))+SUMPRODUCT((P$3:P$46&lt;&gt;"")*(G$3:G$46=G46)*(I$3:I$46="P"))+SUMPRODUCT((N$3:N$46&lt;&gt;"")*(G$3:G$46=G46)*(I$3:I$46="P"))+SUMPRODUCT((P$3:P$46="")*(O$3:O$46="")*(N$3:N$46="")*(M$3:M$46="P")*(G$3:G$46=G46)*(J$3:J$46&gt;J46)*(I$3:I$46="P"))+1,"")))))</f>
        <v/>
      </c>
      <c r="B46" s="1" t="str" cm="1">
        <f t="array" ref="B46">IF(P46&lt;&gt;"",SUMPRODUCT((P$3:P$46&lt;&gt;"")*(G$3:G$46=G46)*(J$3:J$46&gt;J46))+1,IF(O46&lt;&gt;"",SUMPRODUCT((O$3:O$46&lt;&gt;"")*(P$3:P$46="")*(G$3:G$46=G46)*(J$3:J$46&gt;J46))+SUMPRODUCT((P$3:P$46&lt;&gt;"")*(G$3:G$46=G46))+1,IF(N46&lt;&gt;"",SUMPRODUCT((N$3:N$46&lt;&gt;"")*(G$3:G$46=G46)*(J$3:J$46&gt;J46))+1,IF(M46="P",SUMPRODUCT((O$3:O$46&lt;&gt;"")*(P$3:P$46="")*(G$3:G$46=G46))+SUMPRODUCT((P$3:P$46&lt;&gt;"")*(G$3:G$46=G46))+SUMPRODUCT((N$3:N$46&lt;&gt;"")*(G$3:G$46=G46))+SUMPRODUCT((P$3:P$46="")*(O$3:O$46="")*(N$3:N$46="")*(M$3:M$46="P")*(G$3:G$46=G46)*(J$3:J$46&gt;J46))+1,""))))</f>
        <v/>
      </c>
      <c r="C46" s="36" t="s">
        <v>349</v>
      </c>
      <c r="D46" s="51" t="str">
        <f>IF(E46="","",VLOOKUP(E46,'Coaching Points'!A:B,2,0))</f>
        <v>AB</v>
      </c>
      <c r="E46" s="36" t="s">
        <v>98</v>
      </c>
      <c r="F46" s="35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11-12</v>
      </c>
      <c r="H46" s="1" t="s">
        <v>125</v>
      </c>
      <c r="I46" s="47"/>
      <c r="J46" s="4">
        <f>MAX(R46,S46)+IF(OR(H46="Junior",H46="Senior"),0.0002,IF(OR(H46="L7",H46="L6"),0.0001,0))+MAX(X46,Z46)*0.0000001</f>
        <v>34.799999999999997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52" t="str">
        <f>IF(A46&lt;5,IF(_xlfn.MAXIFS(A:A,G:G,G46)&gt;3,5-A46,_xlfn.MAXIFS(A:A,G:G,G46)+1-A46),"")</f>
        <v/>
      </c>
      <c r="R46" s="4">
        <f>MAX(T46,X46)</f>
        <v>34.799999999999997</v>
      </c>
      <c r="S46" s="4">
        <f>MAX(V46,Z46)</f>
        <v>0</v>
      </c>
      <c r="T46" s="33">
        <v>34.799999999999997</v>
      </c>
      <c r="U46" s="41">
        <v>4.2</v>
      </c>
      <c r="V46" s="34">
        <v>0</v>
      </c>
      <c r="W46" s="41">
        <v>0</v>
      </c>
      <c r="X46" s="33"/>
      <c r="Y46" s="41"/>
      <c r="Z46" s="34"/>
      <c r="AA46" s="37"/>
    </row>
    <row r="47" spans="1:27" x14ac:dyDescent="0.2">
      <c r="G47" s="1"/>
      <c r="H47" s="1"/>
      <c r="J47" s="4"/>
      <c r="K47" s="3"/>
      <c r="L47" s="3"/>
      <c r="R47" s="4"/>
      <c r="S47" s="4"/>
      <c r="T47" s="33"/>
      <c r="U47" s="41"/>
      <c r="V47" s="34"/>
      <c r="W47" s="41"/>
      <c r="X47" s="33"/>
      <c r="Y47" s="41"/>
      <c r="Z47" s="34"/>
      <c r="AA47" s="37"/>
    </row>
    <row r="48" spans="1:27" x14ac:dyDescent="0.2">
      <c r="G48" s="1"/>
      <c r="H48" s="1"/>
      <c r="J48" s="4"/>
      <c r="K48" s="3"/>
      <c r="L48" s="3"/>
      <c r="R48" s="4"/>
      <c r="S48" s="4"/>
      <c r="T48" s="33"/>
      <c r="U48" s="41"/>
      <c r="V48" s="34"/>
      <c r="W48" s="41"/>
      <c r="X48" s="33"/>
      <c r="Y48" s="41"/>
      <c r="Z48" s="34"/>
      <c r="AA48" s="37"/>
    </row>
    <row r="49" spans="7:27" x14ac:dyDescent="0.2">
      <c r="G49" s="1"/>
      <c r="H49" s="1"/>
      <c r="J49" s="4"/>
      <c r="K49" s="3"/>
      <c r="L49" s="3"/>
      <c r="R49" s="4"/>
      <c r="S49" s="4"/>
      <c r="T49" s="33"/>
      <c r="U49" s="41"/>
      <c r="V49" s="34"/>
      <c r="W49" s="41"/>
      <c r="X49" s="33"/>
      <c r="Y49" s="41"/>
      <c r="Z49" s="34"/>
      <c r="AA49" s="37"/>
    </row>
    <row r="50" spans="7:27" x14ac:dyDescent="0.2">
      <c r="G50" s="1"/>
      <c r="H50" s="1"/>
      <c r="J50" s="4"/>
      <c r="K50" s="3"/>
      <c r="L50" s="3"/>
      <c r="R50" s="4"/>
      <c r="S50" s="4"/>
      <c r="T50" s="33"/>
      <c r="U50" s="41"/>
      <c r="V50" s="34"/>
      <c r="W50" s="41"/>
      <c r="X50" s="33"/>
      <c r="Y50" s="41"/>
      <c r="Z50" s="34"/>
      <c r="AA50" s="37"/>
    </row>
    <row r="51" spans="7:27" x14ac:dyDescent="0.2">
      <c r="G51" s="1"/>
      <c r="H51" s="1"/>
      <c r="J51" s="4"/>
      <c r="K51" s="3"/>
      <c r="L51" s="3"/>
      <c r="R51" s="4"/>
      <c r="S51" s="4"/>
      <c r="T51" s="33"/>
      <c r="U51" s="41"/>
      <c r="V51" s="34"/>
      <c r="W51" s="41"/>
      <c r="X51" s="33"/>
      <c r="Y51" s="41"/>
      <c r="Z51" s="34"/>
      <c r="AA51" s="37"/>
    </row>
    <row r="52" spans="7:27" x14ac:dyDescent="0.2">
      <c r="G52" s="1"/>
      <c r="H52" s="1"/>
      <c r="J52" s="4"/>
      <c r="K52" s="3"/>
      <c r="L52" s="3"/>
      <c r="R52" s="4"/>
      <c r="S52" s="4"/>
      <c r="T52" s="33"/>
      <c r="U52" s="41"/>
      <c r="V52" s="34"/>
      <c r="W52" s="41"/>
      <c r="X52" s="33"/>
      <c r="Y52" s="41"/>
      <c r="Z52" s="34"/>
      <c r="AA52" s="37"/>
    </row>
    <row r="53" spans="7:27" x14ac:dyDescent="0.2">
      <c r="G53" s="1"/>
      <c r="H53" s="1"/>
      <c r="J53" s="4"/>
      <c r="K53" s="3"/>
      <c r="L53" s="3"/>
      <c r="R53" s="4"/>
      <c r="S53" s="4"/>
      <c r="T53" s="33"/>
      <c r="U53" s="41"/>
      <c r="V53" s="34"/>
      <c r="W53" s="41"/>
      <c r="X53" s="33"/>
      <c r="Y53" s="41"/>
      <c r="Z53" s="34"/>
      <c r="AA53" s="37"/>
    </row>
    <row r="54" spans="7:27" x14ac:dyDescent="0.2">
      <c r="G54" s="1"/>
      <c r="H54" s="1"/>
      <c r="J54" s="4"/>
      <c r="K54" s="3"/>
      <c r="L54" s="3"/>
      <c r="R54" s="4"/>
      <c r="S54" s="4"/>
      <c r="T54" s="33"/>
      <c r="U54" s="41"/>
      <c r="V54" s="34"/>
      <c r="W54" s="41"/>
      <c r="X54" s="33"/>
      <c r="Y54" s="43"/>
      <c r="Z54" s="40"/>
      <c r="AA54" s="37"/>
    </row>
    <row r="55" spans="7:27" x14ac:dyDescent="0.2">
      <c r="G55" s="1"/>
      <c r="H55" s="1"/>
      <c r="J55" s="4"/>
      <c r="K55" s="3"/>
      <c r="L55" s="3"/>
      <c r="R55" s="4"/>
      <c r="S55" s="4"/>
      <c r="T55" s="33"/>
      <c r="U55" s="42"/>
      <c r="V55" s="44"/>
      <c r="W55" s="37"/>
      <c r="X55" s="33"/>
      <c r="Y55" s="41"/>
      <c r="Z55" s="34"/>
      <c r="AA55" s="37"/>
    </row>
    <row r="56" spans="7:27" x14ac:dyDescent="0.2">
      <c r="G56" s="1"/>
      <c r="H56" s="1"/>
      <c r="J56" s="4"/>
      <c r="K56" s="3"/>
      <c r="L56" s="3"/>
      <c r="R56" s="4"/>
      <c r="S56" s="4"/>
      <c r="T56" s="33"/>
      <c r="U56" s="42"/>
      <c r="V56" s="44"/>
      <c r="W56" s="37"/>
      <c r="X56" s="33"/>
      <c r="Y56" s="41"/>
      <c r="Z56" s="34"/>
      <c r="AA56" s="37"/>
    </row>
    <row r="57" spans="7:27" x14ac:dyDescent="0.2">
      <c r="G57" s="1"/>
      <c r="H57" s="1"/>
      <c r="J57" s="4"/>
      <c r="K57" s="3"/>
      <c r="L57" s="3"/>
      <c r="R57" s="4"/>
      <c r="S57" s="4"/>
      <c r="T57" s="33"/>
      <c r="U57" s="42"/>
      <c r="V57" s="44"/>
      <c r="W57" s="37"/>
      <c r="X57" s="33"/>
      <c r="Y57" s="41"/>
      <c r="Z57" s="34"/>
      <c r="AA57" s="37"/>
    </row>
    <row r="58" spans="7:27" x14ac:dyDescent="0.2">
      <c r="G58" s="1"/>
      <c r="H58" s="1"/>
      <c r="J58" s="4"/>
      <c r="K58" s="3"/>
      <c r="L58" s="3"/>
      <c r="R58" s="4"/>
      <c r="S58" s="4"/>
      <c r="T58" s="33"/>
      <c r="U58" s="42"/>
      <c r="V58" s="44"/>
      <c r="W58" s="37"/>
      <c r="X58" s="33"/>
      <c r="Y58" s="41"/>
      <c r="Z58" s="34"/>
      <c r="AA58" s="37"/>
    </row>
    <row r="59" spans="7:27" x14ac:dyDescent="0.2">
      <c r="G59" s="1"/>
      <c r="H59" s="1"/>
      <c r="J59" s="4"/>
      <c r="K59" s="3"/>
      <c r="L59" s="3"/>
      <c r="R59" s="4"/>
      <c r="S59" s="4"/>
      <c r="T59" s="33"/>
      <c r="U59" s="42"/>
      <c r="V59" s="44"/>
      <c r="W59" s="37"/>
      <c r="X59" s="33"/>
      <c r="Y59" s="41"/>
      <c r="Z59" s="34"/>
      <c r="AA59" s="37"/>
    </row>
    <row r="60" spans="7:27" x14ac:dyDescent="0.2">
      <c r="G60" s="1"/>
      <c r="H60" s="1"/>
      <c r="J60" s="4"/>
      <c r="K60" s="3"/>
      <c r="L60" s="3"/>
      <c r="R60" s="4"/>
      <c r="S60" s="4"/>
      <c r="T60" s="33"/>
      <c r="U60" s="41"/>
      <c r="V60" s="34"/>
      <c r="W60" s="42"/>
      <c r="X60" s="33"/>
      <c r="Y60" s="43"/>
      <c r="Z60" s="40"/>
      <c r="AA60" s="37"/>
    </row>
    <row r="61" spans="7:27" x14ac:dyDescent="0.2">
      <c r="G61" s="1"/>
      <c r="H61" s="1"/>
      <c r="J61" s="4"/>
      <c r="K61" s="3"/>
      <c r="L61" s="3"/>
      <c r="R61" s="4"/>
      <c r="S61" s="4"/>
      <c r="T61" s="33"/>
      <c r="U61" s="41"/>
      <c r="V61" s="34"/>
      <c r="W61" s="42"/>
      <c r="X61" s="33"/>
      <c r="Y61" s="41"/>
      <c r="Z61" s="34"/>
      <c r="AA61" s="37"/>
    </row>
    <row r="62" spans="7:27" x14ac:dyDescent="0.2">
      <c r="R62" s="4"/>
      <c r="S62" s="4"/>
      <c r="T62" s="33"/>
      <c r="U62" s="41"/>
      <c r="V62" s="34"/>
      <c r="W62" s="41"/>
      <c r="X62" s="33"/>
      <c r="Y62" s="41"/>
      <c r="Z62" s="34"/>
      <c r="AA62" s="37"/>
    </row>
    <row r="63" spans="7:27" x14ac:dyDescent="0.2">
      <c r="R63" s="4"/>
      <c r="S63" s="4"/>
      <c r="T63" s="33"/>
      <c r="U63" s="41"/>
      <c r="V63" s="34"/>
      <c r="W63" s="41"/>
      <c r="X63" s="33"/>
      <c r="Y63" s="41"/>
      <c r="Z63" s="34"/>
      <c r="AA63" s="37"/>
    </row>
    <row r="64" spans="7:27" x14ac:dyDescent="0.2">
      <c r="R64" s="4"/>
      <c r="S64" s="4"/>
      <c r="T64" s="33"/>
      <c r="U64" s="41"/>
      <c r="V64" s="34"/>
      <c r="W64" s="41"/>
      <c r="X64" s="33"/>
      <c r="Y64" s="41"/>
      <c r="Z64" s="34"/>
      <c r="AA64" s="37"/>
    </row>
    <row r="65" spans="18:27" x14ac:dyDescent="0.2">
      <c r="R65" s="4"/>
      <c r="S65" s="4"/>
      <c r="T65" s="33"/>
      <c r="U65" s="41"/>
      <c r="V65" s="34"/>
      <c r="W65" s="41"/>
      <c r="X65" s="33"/>
      <c r="Y65" s="41"/>
      <c r="Z65" s="34"/>
      <c r="AA65" s="37"/>
    </row>
    <row r="66" spans="18:27" x14ac:dyDescent="0.2">
      <c r="R66" s="4"/>
      <c r="S66" s="4"/>
      <c r="T66" s="33"/>
      <c r="U66" s="41"/>
      <c r="V66" s="34"/>
      <c r="W66" s="41"/>
      <c r="X66" s="33"/>
      <c r="Y66" s="41"/>
      <c r="Z66" s="34"/>
      <c r="AA66" s="37"/>
    </row>
    <row r="67" spans="18:27" x14ac:dyDescent="0.2">
      <c r="R67" s="4"/>
      <c r="S67" s="4"/>
      <c r="T67" s="33"/>
      <c r="U67" s="41"/>
      <c r="V67" s="34"/>
      <c r="W67" s="41"/>
      <c r="X67" s="33"/>
      <c r="Y67" s="41"/>
      <c r="Z67" s="34"/>
      <c r="AA67" s="37"/>
    </row>
    <row r="68" spans="18:27" x14ac:dyDescent="0.2">
      <c r="R68" s="4"/>
      <c r="S68" s="4"/>
      <c r="T68" s="33"/>
      <c r="U68" s="41"/>
      <c r="V68" s="34"/>
      <c r="W68" s="41"/>
      <c r="X68" s="33"/>
      <c r="Y68" s="41"/>
      <c r="Z68" s="34"/>
      <c r="AA68" s="37"/>
    </row>
    <row r="69" spans="18:27" x14ac:dyDescent="0.2">
      <c r="R69" s="4"/>
      <c r="S69" s="4"/>
      <c r="T69" s="33"/>
      <c r="U69" s="41"/>
      <c r="V69" s="34"/>
      <c r="W69" s="41"/>
      <c r="X69" s="33"/>
      <c r="Y69" s="41"/>
      <c r="Z69" s="34"/>
      <c r="AA69" s="37"/>
    </row>
    <row r="70" spans="18:27" x14ac:dyDescent="0.2">
      <c r="R70" s="4"/>
      <c r="S70" s="4"/>
      <c r="T70" s="33"/>
      <c r="U70" s="41"/>
      <c r="V70" s="34"/>
      <c r="W70" s="41"/>
      <c r="X70" s="33"/>
      <c r="Y70" s="41"/>
      <c r="Z70" s="34"/>
      <c r="AA70" s="37"/>
    </row>
    <row r="71" spans="18:27" x14ac:dyDescent="0.2">
      <c r="R71" s="4"/>
      <c r="S71" s="4"/>
      <c r="T71" s="33"/>
      <c r="U71" s="41"/>
      <c r="V71" s="34"/>
      <c r="W71" s="41"/>
      <c r="X71" s="33"/>
      <c r="Y71" s="41"/>
      <c r="Z71" s="34"/>
      <c r="AA71" s="37"/>
    </row>
    <row r="72" spans="18:27" x14ac:dyDescent="0.2">
      <c r="R72" s="4"/>
      <c r="S72" s="4"/>
      <c r="T72" s="33"/>
      <c r="U72" s="41"/>
      <c r="V72" s="34"/>
      <c r="W72" s="41"/>
      <c r="X72" s="33"/>
      <c r="Y72" s="41"/>
      <c r="Z72" s="34"/>
      <c r="AA72" s="37"/>
    </row>
    <row r="73" spans="18:27" x14ac:dyDescent="0.2">
      <c r="R73" s="4"/>
      <c r="S73" s="4"/>
      <c r="T73" s="33"/>
      <c r="U73" s="41"/>
      <c r="V73" s="34"/>
      <c r="W73" s="41"/>
      <c r="X73" s="33"/>
      <c r="Y73" s="41"/>
      <c r="Z73" s="34"/>
      <c r="AA73" s="37"/>
    </row>
    <row r="74" spans="18:27" x14ac:dyDescent="0.2">
      <c r="R74" s="4"/>
      <c r="S74" s="4"/>
      <c r="T74" s="33"/>
      <c r="U74" s="41"/>
      <c r="V74" s="34"/>
      <c r="W74" s="41"/>
      <c r="X74" s="33"/>
      <c r="Y74" s="41"/>
      <c r="Z74" s="34"/>
      <c r="AA74" s="37"/>
    </row>
    <row r="75" spans="18:27" x14ac:dyDescent="0.2">
      <c r="R75" s="4"/>
      <c r="S75" s="4"/>
      <c r="T75" s="33"/>
      <c r="U75" s="41"/>
      <c r="V75" s="34"/>
      <c r="W75" s="41"/>
      <c r="X75" s="33"/>
      <c r="Y75" s="41"/>
      <c r="Z75" s="34"/>
      <c r="AA75" s="37"/>
    </row>
    <row r="76" spans="18:27" x14ac:dyDescent="0.2">
      <c r="R76" s="4"/>
      <c r="S76" s="4"/>
      <c r="T76" s="33"/>
      <c r="U76" s="41"/>
      <c r="V76" s="34"/>
      <c r="W76" s="41"/>
      <c r="X76" s="33"/>
      <c r="Y76" s="41"/>
      <c r="Z76" s="34"/>
      <c r="AA76" s="37"/>
    </row>
    <row r="77" spans="18:27" x14ac:dyDescent="0.2">
      <c r="R77" s="4"/>
      <c r="S77" s="4"/>
      <c r="T77" s="33"/>
      <c r="U77" s="41"/>
      <c r="V77" s="34"/>
      <c r="W77" s="41"/>
      <c r="X77" s="33"/>
      <c r="Y77" s="41"/>
      <c r="Z77" s="34"/>
      <c r="AA77" s="37"/>
    </row>
    <row r="78" spans="18:27" x14ac:dyDescent="0.2">
      <c r="R78" s="4"/>
      <c r="S78" s="4"/>
      <c r="T78" s="33"/>
      <c r="U78" s="41"/>
      <c r="V78" s="34"/>
      <c r="W78" s="41"/>
      <c r="X78" s="33"/>
      <c r="Y78" s="41"/>
      <c r="Z78" s="34"/>
      <c r="AA78" s="37"/>
    </row>
    <row r="79" spans="18:27" x14ac:dyDescent="0.2">
      <c r="R79" s="4"/>
      <c r="S79" s="4"/>
      <c r="T79" s="33"/>
      <c r="U79" s="41"/>
      <c r="V79" s="34"/>
      <c r="W79" s="41"/>
      <c r="X79" s="33"/>
      <c r="Y79" s="41"/>
      <c r="Z79" s="34"/>
      <c r="AA79" s="37"/>
    </row>
    <row r="80" spans="18:27" x14ac:dyDescent="0.2">
      <c r="R80" s="4"/>
      <c r="S80" s="4"/>
      <c r="T80" s="33"/>
      <c r="U80" s="41"/>
      <c r="V80" s="34"/>
      <c r="W80" s="41"/>
      <c r="X80" s="33"/>
      <c r="Y80" s="41"/>
      <c r="Z80" s="34"/>
      <c r="AA80" s="37"/>
    </row>
    <row r="81" spans="18:27" x14ac:dyDescent="0.2">
      <c r="R81" s="4"/>
      <c r="S81" s="4"/>
      <c r="T81" s="33"/>
      <c r="U81" s="41"/>
      <c r="V81" s="34"/>
      <c r="W81" s="41"/>
      <c r="X81" s="33"/>
      <c r="Y81" s="41"/>
      <c r="Z81" s="34"/>
      <c r="AA81" s="37"/>
    </row>
    <row r="82" spans="18:27" x14ac:dyDescent="0.2">
      <c r="R82" s="4"/>
      <c r="S82" s="4"/>
      <c r="T82" s="33"/>
      <c r="U82" s="41"/>
      <c r="V82" s="34"/>
      <c r="W82" s="41"/>
      <c r="X82" s="33"/>
      <c r="Y82" s="41"/>
      <c r="Z82" s="34"/>
      <c r="AA82" s="37"/>
    </row>
    <row r="83" spans="18:27" x14ac:dyDescent="0.2">
      <c r="R83" s="4"/>
      <c r="S83" s="4"/>
      <c r="T83" s="33"/>
      <c r="U83" s="41"/>
      <c r="V83" s="34"/>
      <c r="W83" s="41"/>
      <c r="X83" s="33"/>
      <c r="Y83" s="41"/>
      <c r="Z83" s="34"/>
      <c r="AA83" s="37"/>
    </row>
    <row r="84" spans="18:27" x14ac:dyDescent="0.2">
      <c r="R84" s="4"/>
      <c r="S84" s="4"/>
      <c r="T84" s="33"/>
      <c r="U84" s="41"/>
      <c r="V84" s="34"/>
      <c r="W84" s="41"/>
      <c r="X84" s="33"/>
      <c r="Y84" s="41"/>
      <c r="Z84" s="34"/>
      <c r="AA84" s="37"/>
    </row>
    <row r="85" spans="18:27" x14ac:dyDescent="0.2">
      <c r="R85" s="4"/>
      <c r="S85" s="4"/>
      <c r="T85" s="33"/>
      <c r="U85" s="41"/>
      <c r="V85" s="34"/>
      <c r="W85" s="41"/>
      <c r="X85" s="33"/>
      <c r="Y85" s="41"/>
      <c r="Z85" s="34"/>
      <c r="AA85" s="37"/>
    </row>
    <row r="86" spans="18:27" x14ac:dyDescent="0.2">
      <c r="R86" s="4"/>
      <c r="S86" s="4"/>
      <c r="T86" s="33"/>
      <c r="U86" s="41"/>
      <c r="V86" s="34"/>
      <c r="W86" s="41"/>
      <c r="X86" s="33"/>
      <c r="Y86" s="41"/>
      <c r="Z86" s="34"/>
      <c r="AA86" s="37"/>
    </row>
    <row r="87" spans="18:27" x14ac:dyDescent="0.2">
      <c r="R87" s="4"/>
      <c r="S87" s="4"/>
      <c r="T87" s="33"/>
      <c r="U87" s="41"/>
      <c r="V87" s="34"/>
      <c r="W87" s="41"/>
      <c r="X87" s="33"/>
      <c r="Y87" s="41"/>
      <c r="Z87" s="34"/>
      <c r="AA87" s="37"/>
    </row>
    <row r="88" spans="18:27" x14ac:dyDescent="0.2">
      <c r="R88" s="4"/>
      <c r="S88" s="4"/>
      <c r="T88" s="33"/>
      <c r="U88" s="41"/>
      <c r="V88" s="34"/>
      <c r="W88" s="41"/>
      <c r="X88" s="33"/>
      <c r="Y88" s="41"/>
      <c r="Z88" s="34"/>
      <c r="AA88" s="37"/>
    </row>
    <row r="89" spans="18:27" x14ac:dyDescent="0.2">
      <c r="R89" s="4"/>
      <c r="S89" s="4"/>
      <c r="T89" s="33"/>
      <c r="U89" s="41"/>
      <c r="V89" s="34"/>
      <c r="W89" s="41"/>
      <c r="X89" s="33"/>
      <c r="Y89" s="41"/>
      <c r="Z89" s="34"/>
      <c r="AA89" s="37"/>
    </row>
    <row r="90" spans="18:27" x14ac:dyDescent="0.2">
      <c r="R90" s="4"/>
      <c r="S90" s="4"/>
      <c r="T90" s="33"/>
      <c r="U90" s="41"/>
      <c r="V90" s="34"/>
      <c r="W90" s="41"/>
      <c r="X90" s="33"/>
      <c r="Y90" s="41"/>
      <c r="Z90" s="34"/>
      <c r="AA90" s="37"/>
    </row>
    <row r="91" spans="18:27" x14ac:dyDescent="0.2">
      <c r="R91" s="4"/>
      <c r="S91" s="4"/>
      <c r="T91" s="33"/>
      <c r="U91" s="41"/>
      <c r="V91" s="34"/>
      <c r="W91" s="41"/>
      <c r="X91" s="33"/>
      <c r="Y91" s="41"/>
      <c r="Z91" s="34"/>
      <c r="AA91" s="37"/>
    </row>
    <row r="92" spans="18:27" x14ac:dyDescent="0.2">
      <c r="R92" s="4"/>
      <c r="S92" s="4"/>
      <c r="T92" s="33"/>
      <c r="U92" s="41"/>
      <c r="V92" s="34"/>
      <c r="W92" s="41"/>
      <c r="X92" s="33"/>
      <c r="Y92" s="41"/>
      <c r="Z92" s="34"/>
      <c r="AA92" s="37"/>
    </row>
    <row r="93" spans="18:27" x14ac:dyDescent="0.2">
      <c r="R93" s="4"/>
      <c r="S93" s="4"/>
      <c r="T93" s="33"/>
      <c r="U93" s="41"/>
      <c r="V93" s="34"/>
      <c r="W93" s="41"/>
      <c r="X93" s="33"/>
      <c r="Y93" s="41"/>
      <c r="Z93" s="34"/>
      <c r="AA93" s="37"/>
    </row>
    <row r="94" spans="18:27" x14ac:dyDescent="0.2">
      <c r="R94" s="4"/>
      <c r="S94" s="4"/>
      <c r="T94" s="33"/>
      <c r="U94" s="41"/>
      <c r="V94" s="34"/>
      <c r="W94" s="41"/>
      <c r="X94" s="33"/>
      <c r="Y94" s="41"/>
      <c r="Z94" s="34"/>
      <c r="AA94" s="37"/>
    </row>
    <row r="95" spans="18:27" x14ac:dyDescent="0.2">
      <c r="R95" s="4"/>
      <c r="S95" s="4"/>
      <c r="T95" s="33"/>
      <c r="U95" s="41"/>
      <c r="V95" s="34"/>
      <c r="W95" s="41"/>
      <c r="X95" s="33"/>
      <c r="Y95" s="41"/>
      <c r="Z95" s="34"/>
      <c r="AA95" s="37"/>
    </row>
    <row r="96" spans="18:27" x14ac:dyDescent="0.2">
      <c r="R96" s="4"/>
      <c r="S96" s="4"/>
      <c r="T96" s="33"/>
      <c r="U96" s="41"/>
      <c r="V96" s="34"/>
      <c r="W96" s="41"/>
      <c r="X96" s="33"/>
      <c r="Y96" s="41"/>
      <c r="Z96" s="34"/>
      <c r="AA96" s="37"/>
    </row>
    <row r="97" spans="18:27" x14ac:dyDescent="0.2">
      <c r="R97" s="4"/>
      <c r="S97" s="4"/>
      <c r="T97" s="33"/>
      <c r="U97" s="41"/>
      <c r="V97" s="34"/>
      <c r="W97" s="41"/>
      <c r="X97" s="33"/>
      <c r="Y97" s="41"/>
      <c r="Z97" s="34"/>
      <c r="AA97" s="37"/>
    </row>
    <row r="98" spans="18:27" x14ac:dyDescent="0.2">
      <c r="R98" s="4"/>
      <c r="S98" s="4"/>
      <c r="T98" s="33"/>
      <c r="U98" s="41"/>
      <c r="V98" s="34"/>
      <c r="W98" s="41"/>
      <c r="X98" s="33"/>
      <c r="Y98" s="41"/>
      <c r="Z98" s="34"/>
      <c r="AA98" s="37"/>
    </row>
    <row r="99" spans="18:27" x14ac:dyDescent="0.2">
      <c r="R99" s="4"/>
      <c r="S99" s="4"/>
      <c r="T99" s="33"/>
      <c r="U99" s="41"/>
      <c r="V99" s="34"/>
      <c r="W99" s="41"/>
      <c r="X99" s="33"/>
      <c r="Y99" s="41"/>
      <c r="Z99" s="34"/>
      <c r="AA99" s="37"/>
    </row>
    <row r="100" spans="18:27" x14ac:dyDescent="0.2">
      <c r="R100" s="4"/>
      <c r="S100" s="4"/>
      <c r="T100" s="33"/>
      <c r="U100" s="41"/>
      <c r="V100" s="34"/>
      <c r="W100" s="41"/>
      <c r="X100" s="33"/>
      <c r="Y100" s="41"/>
      <c r="Z100" s="34"/>
      <c r="AA100" s="37"/>
    </row>
    <row r="101" spans="18:27" x14ac:dyDescent="0.2">
      <c r="R101" s="4"/>
      <c r="S101" s="4"/>
      <c r="T101" s="33"/>
      <c r="U101" s="41"/>
      <c r="V101" s="34"/>
      <c r="W101" s="41"/>
      <c r="X101" s="33"/>
      <c r="Y101" s="41"/>
      <c r="Z101" s="34"/>
      <c r="AA101" s="37"/>
    </row>
    <row r="102" spans="18:27" x14ac:dyDescent="0.2">
      <c r="R102" s="4"/>
      <c r="S102" s="4"/>
      <c r="T102" s="33"/>
      <c r="U102" s="41"/>
      <c r="V102" s="34"/>
      <c r="W102" s="41"/>
      <c r="X102" s="33"/>
      <c r="Y102" s="41"/>
      <c r="Z102" s="34"/>
      <c r="AA102" s="37"/>
    </row>
    <row r="103" spans="18:27" x14ac:dyDescent="0.2">
      <c r="R103" s="4"/>
      <c r="S103" s="4"/>
      <c r="T103" s="33"/>
      <c r="U103" s="41"/>
      <c r="V103" s="34"/>
      <c r="W103" s="41"/>
      <c r="X103" s="33"/>
      <c r="Y103" s="41"/>
      <c r="Z103" s="34"/>
      <c r="AA103" s="37"/>
    </row>
    <row r="104" spans="18:27" x14ac:dyDescent="0.2">
      <c r="R104" s="4"/>
      <c r="S104" s="4"/>
      <c r="T104" s="33"/>
      <c r="U104" s="41"/>
      <c r="V104" s="34"/>
      <c r="W104" s="41"/>
      <c r="X104" s="33"/>
      <c r="Y104" s="41"/>
      <c r="Z104" s="34"/>
      <c r="AA104" s="37"/>
    </row>
    <row r="105" spans="18:27" x14ac:dyDescent="0.2">
      <c r="R105" s="4"/>
      <c r="S105" s="4"/>
      <c r="T105" s="33"/>
      <c r="U105" s="41"/>
      <c r="V105" s="34"/>
      <c r="W105" s="41"/>
      <c r="X105" s="33"/>
      <c r="Y105" s="41"/>
      <c r="Z105" s="34"/>
      <c r="AA105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6">
      <sortCondition descending="1" ref="G1:G4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conditionalFormatting sqref="A1:XFD1048576">
    <cfRule type="expression" dxfId="30" priority="1">
      <formula>IF($G1="17-21",1,0)</formula>
    </cfRule>
    <cfRule type="expression" dxfId="29" priority="2">
      <formula>IF($G1="15-16",1,0)</formula>
    </cfRule>
    <cfRule type="expression" dxfId="28" priority="3">
      <formula>IF($G1="13-14",1,0)</formula>
    </cfRule>
    <cfRule type="expression" dxfId="27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2022-05-12T19:40:35Z</dcterms:modified>
</cp:coreProperties>
</file>