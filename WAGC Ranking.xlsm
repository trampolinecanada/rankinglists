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992DCF5D-0502-284D-95BF-200FBA35EA6B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0" i="11" a="1"/>
  <c r="A120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7" i="6" a="1"/>
  <c r="A67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9" i="14" a="1"/>
  <c r="A9" i="14" s="1"/>
  <c r="A10" i="14" a="1"/>
  <c r="A10" i="14" s="1"/>
  <c r="A11" i="14" a="1"/>
  <c r="A11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79" i="14" a="1"/>
  <c r="A79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7" i="15" a="1"/>
  <c r="A7" i="15" s="1"/>
  <c r="A8" i="15" a="1"/>
  <c r="A8" i="15" s="1"/>
  <c r="A11" i="15" a="1"/>
  <c r="A11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5" i="15"/>
  <c r="S8" i="15"/>
  <c r="S10" i="15"/>
  <c r="S7" i="15"/>
  <c r="S13" i="15"/>
  <c r="S14" i="15"/>
  <c r="S6" i="15"/>
  <c r="S11" i="15"/>
  <c r="S12" i="15"/>
  <c r="S4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9" i="14"/>
  <c r="S3" i="14"/>
  <c r="S10" i="14"/>
  <c r="S21" i="14"/>
  <c r="S11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8" i="14"/>
  <c r="S23" i="14"/>
  <c r="S55" i="14"/>
  <c r="S78" i="14"/>
  <c r="S57" i="14"/>
  <c r="S53" i="14"/>
  <c r="S59" i="14"/>
  <c r="S58" i="14"/>
  <c r="S79" i="14"/>
  <c r="S77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4" i="6"/>
  <c r="S27" i="6"/>
  <c r="S12" i="6"/>
  <c r="S9" i="6"/>
  <c r="S22" i="6"/>
  <c r="S7" i="6"/>
  <c r="S13" i="6"/>
  <c r="S3" i="6"/>
  <c r="S5" i="6"/>
  <c r="S15" i="6"/>
  <c r="S6" i="6"/>
  <c r="S14" i="6"/>
  <c r="S16" i="6"/>
  <c r="S29" i="6"/>
  <c r="S30" i="6"/>
  <c r="S20" i="6"/>
  <c r="S8" i="6"/>
  <c r="S28" i="6"/>
  <c r="S23" i="6"/>
  <c r="S21" i="6"/>
  <c r="S11" i="6"/>
  <c r="S19" i="6"/>
  <c r="S18" i="6"/>
  <c r="S17" i="6"/>
  <c r="S26" i="6"/>
  <c r="S31" i="6"/>
  <c r="S24" i="6"/>
  <c r="S10" i="6"/>
  <c r="S53" i="6"/>
  <c r="S65" i="6"/>
  <c r="S46" i="6"/>
  <c r="S45" i="6"/>
  <c r="S66" i="6"/>
  <c r="S44" i="6"/>
  <c r="S67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6" i="15"/>
  <c r="D11" i="15"/>
  <c r="D12" i="15"/>
  <c r="D4" i="15"/>
  <c r="D9" i="15"/>
  <c r="D3" i="15"/>
  <c r="D5" i="15"/>
  <c r="D8" i="15"/>
  <c r="D10" i="15"/>
  <c r="D7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8" i="14"/>
  <c r="D57" i="14"/>
  <c r="D53" i="14"/>
  <c r="D59" i="14"/>
  <c r="D58" i="14"/>
  <c r="D79" i="14"/>
  <c r="D77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8" i="14"/>
  <c r="D23" i="14"/>
  <c r="D4" i="14"/>
  <c r="D6" i="14"/>
  <c r="D5" i="14"/>
  <c r="D9" i="14"/>
  <c r="D3" i="14"/>
  <c r="D10" i="14"/>
  <c r="D21" i="14"/>
  <c r="D11" i="14"/>
  <c r="D22" i="14"/>
  <c r="D74" i="14"/>
  <c r="D35" i="14"/>
  <c r="D48" i="14"/>
  <c r="D57" i="6"/>
  <c r="D64" i="6"/>
  <c r="D4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6" i="6"/>
  <c r="D44" i="6"/>
  <c r="D67" i="6"/>
  <c r="D48" i="6"/>
  <c r="D50" i="6"/>
  <c r="D49" i="6"/>
  <c r="D52" i="6"/>
  <c r="D16" i="6"/>
  <c r="D29" i="6"/>
  <c r="D30" i="6"/>
  <c r="D20" i="6"/>
  <c r="D8" i="6"/>
  <c r="D28" i="6"/>
  <c r="D23" i="6"/>
  <c r="D21" i="6"/>
  <c r="D11" i="6"/>
  <c r="D19" i="6"/>
  <c r="D18" i="6"/>
  <c r="D17" i="6"/>
  <c r="D26" i="6"/>
  <c r="D31" i="6"/>
  <c r="D24" i="6"/>
  <c r="D10" i="6"/>
  <c r="D25" i="6"/>
  <c r="D27" i="6"/>
  <c r="D12" i="6"/>
  <c r="D9" i="6"/>
  <c r="D22" i="6"/>
  <c r="D7" i="6"/>
  <c r="D13" i="6"/>
  <c r="D3" i="6"/>
  <c r="D5" i="6"/>
  <c r="D15" i="6"/>
  <c r="D6" i="6"/>
  <c r="D14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G10" i="15" l="1"/>
  <c r="Q8" i="15"/>
  <c r="G8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6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6" i="6"/>
  <c r="G16" i="6"/>
  <c r="Q28" i="6"/>
  <c r="G28" i="6"/>
  <c r="G4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26" i="17" l="1"/>
  <c r="F26" i="17" s="1"/>
  <c r="C20" i="17"/>
  <c r="D20" i="17" s="1"/>
  <c r="S88" i="1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6" i="6"/>
  <c r="R16" i="6"/>
  <c r="J16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4" i="6"/>
  <c r="R4" i="6"/>
  <c r="J4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6" i="15"/>
  <c r="R6" i="15"/>
  <c r="J6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8" i="15"/>
  <c r="R8" i="15"/>
  <c r="J8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L6" i="15"/>
  <c r="L10" i="15"/>
  <c r="K6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8" i="15"/>
  <c r="L8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4" i="6"/>
  <c r="M16" i="6"/>
  <c r="L16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4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5" i="15"/>
  <c r="G9" i="15"/>
  <c r="G12" i="15"/>
  <c r="G14" i="15"/>
  <c r="G4" i="15"/>
  <c r="G7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11" i="6"/>
  <c r="G30" i="6"/>
  <c r="G26" i="6"/>
  <c r="G38" i="6"/>
  <c r="G35" i="6"/>
  <c r="G31" i="6"/>
  <c r="G34" i="6"/>
  <c r="G65" i="6"/>
  <c r="G67" i="6"/>
  <c r="G44" i="6"/>
  <c r="G43" i="6"/>
  <c r="G46" i="6"/>
  <c r="G49" i="6"/>
  <c r="G45" i="6"/>
  <c r="G7" i="6"/>
  <c r="G3" i="6"/>
  <c r="G17" i="6"/>
  <c r="G20" i="6"/>
  <c r="G6" i="6"/>
  <c r="G23" i="6"/>
  <c r="G8" i="6"/>
  <c r="G19" i="6"/>
  <c r="G18" i="6"/>
  <c r="G29" i="6"/>
  <c r="G10" i="6"/>
  <c r="G24" i="6"/>
  <c r="G21" i="6"/>
  <c r="G13" i="6"/>
  <c r="R13" i="6" s="1"/>
  <c r="J13" i="6" s="1"/>
  <c r="G12" i="6"/>
  <c r="G9" i="6"/>
  <c r="G14" i="6"/>
  <c r="G25" i="6"/>
  <c r="R25" i="6" s="1"/>
  <c r="J25" i="6" s="1"/>
  <c r="G15" i="6"/>
  <c r="G5" i="6"/>
  <c r="G22" i="6"/>
  <c r="G27" i="6"/>
  <c r="G66" i="6"/>
  <c r="G16" i="14"/>
  <c r="G17" i="14"/>
  <c r="G7" i="14"/>
  <c r="G23" i="14"/>
  <c r="G12" i="14"/>
  <c r="G24" i="14"/>
  <c r="G22" i="14"/>
  <c r="G9" i="14"/>
  <c r="G10" i="14"/>
  <c r="G3" i="14"/>
  <c r="G11" i="14"/>
  <c r="G5" i="14"/>
  <c r="G4" i="14"/>
  <c r="G21" i="14"/>
  <c r="G80" i="14"/>
  <c r="R80" i="14" s="1"/>
  <c r="J80" i="14" s="1"/>
  <c r="G83" i="14"/>
  <c r="G79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7" i="14"/>
  <c r="G78" i="14"/>
  <c r="G53" i="14"/>
  <c r="G55" i="14"/>
  <c r="G58" i="14"/>
  <c r="G6" i="14"/>
  <c r="G8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s="1"/>
  <c r="B14" i="13" l="1" a="1"/>
  <c r="B14" i="13" s="1"/>
  <c r="A14" i="13" a="1"/>
  <c r="A14" i="13" s="1"/>
  <c r="R14" i="13" s="1"/>
  <c r="B20" i="11" a="1"/>
  <c r="B20" i="11" s="1"/>
  <c r="A20" i="11" a="1"/>
  <c r="A20" i="11" s="1"/>
  <c r="Q20" i="11" s="1"/>
  <c r="B10" i="15" a="1"/>
  <c r="B10" i="15" s="1"/>
  <c r="A10" i="15" a="1"/>
  <c r="A10" i="15" s="1"/>
  <c r="Q10" i="15" s="1"/>
  <c r="B11" i="3" a="1"/>
  <c r="B11" i="3" s="1"/>
  <c r="A11" i="3" a="1"/>
  <c r="A11" i="3" s="1"/>
  <c r="Q11" i="3" s="1"/>
  <c r="S86" i="11"/>
  <c r="R5" i="13"/>
  <c r="B5" i="13" a="1"/>
  <c r="B5" i="13" s="1"/>
  <c r="R53" i="3"/>
  <c r="J53" i="3" s="1"/>
  <c r="R9" i="14"/>
  <c r="J9" i="14" s="1"/>
  <c r="R7" i="15"/>
  <c r="J7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9" i="14"/>
  <c r="R79" i="14"/>
  <c r="J79" i="14" s="1"/>
  <c r="M10" i="14"/>
  <c r="R10" i="14"/>
  <c r="J10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8" i="14"/>
  <c r="R78" i="14"/>
  <c r="J78" i="14" s="1"/>
  <c r="K37" i="14"/>
  <c r="R37" i="14"/>
  <c r="J37" i="14" s="1"/>
  <c r="K62" i="14"/>
  <c r="R62" i="14"/>
  <c r="J62" i="14" s="1"/>
  <c r="K22" i="14"/>
  <c r="R22" i="14"/>
  <c r="J22" i="14" s="1"/>
  <c r="K77" i="14"/>
  <c r="R77" i="14"/>
  <c r="J77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8" i="14"/>
  <c r="R8" i="14"/>
  <c r="J8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1" i="14"/>
  <c r="R11" i="14"/>
  <c r="J11" i="14" s="1"/>
  <c r="K7" i="14"/>
  <c r="R7" i="14"/>
  <c r="J7" i="14" s="1"/>
  <c r="M21" i="6"/>
  <c r="R21" i="6"/>
  <c r="J21" i="6" s="1"/>
  <c r="L26" i="6"/>
  <c r="R26" i="6"/>
  <c r="J26" i="6" s="1"/>
  <c r="M5" i="6"/>
  <c r="R5" i="6"/>
  <c r="J5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7" i="6"/>
  <c r="R17" i="6"/>
  <c r="J17" i="6" s="1"/>
  <c r="L22" i="6"/>
  <c r="R22" i="6"/>
  <c r="J22" i="6" s="1"/>
  <c r="L67" i="6"/>
  <c r="R67" i="6"/>
  <c r="J67" i="6" s="1"/>
  <c r="L3" i="6"/>
  <c r="R3" i="6"/>
  <c r="J3" i="6" s="1"/>
  <c r="L70" i="6"/>
  <c r="R70" i="6"/>
  <c r="J70" i="6" s="1"/>
  <c r="M15" i="6"/>
  <c r="R15" i="6"/>
  <c r="J15" i="6" s="1"/>
  <c r="L74" i="6"/>
  <c r="R74" i="6"/>
  <c r="J74" i="6" s="1"/>
  <c r="M7" i="6"/>
  <c r="R7" i="6"/>
  <c r="J7" i="6" s="1"/>
  <c r="L11" i="6"/>
  <c r="R11" i="6"/>
  <c r="J11" i="6" s="1"/>
  <c r="L9" i="6"/>
  <c r="R9" i="6"/>
  <c r="J9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6" i="6"/>
  <c r="R6" i="6"/>
  <c r="J6" i="6" s="1"/>
  <c r="M10" i="6"/>
  <c r="R10" i="6"/>
  <c r="J10" i="6" s="1"/>
  <c r="L50" i="6"/>
  <c r="R50" i="6"/>
  <c r="J50" i="6" s="1"/>
  <c r="M14" i="6"/>
  <c r="R14" i="6"/>
  <c r="J14" i="6" s="1"/>
  <c r="L68" i="6"/>
  <c r="R68" i="6"/>
  <c r="J68" i="6" s="1"/>
  <c r="L66" i="6"/>
  <c r="R66" i="6"/>
  <c r="J66" i="6" s="1"/>
  <c r="M12" i="6"/>
  <c r="R12" i="6"/>
  <c r="J12" i="6" s="1"/>
  <c r="M8" i="6"/>
  <c r="R8" i="6"/>
  <c r="J8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8" i="6"/>
  <c r="R18" i="6"/>
  <c r="J18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4" i="15"/>
  <c r="R4" i="15"/>
  <c r="J4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5" i="15"/>
  <c r="R5" i="15"/>
  <c r="J5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9" i="14"/>
  <c r="M13" i="6"/>
  <c r="L8" i="16"/>
  <c r="K7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1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6" i="6"/>
  <c r="M43" i="6"/>
  <c r="M26" i="6"/>
  <c r="A26" i="6" s="1" a="1"/>
  <c r="A26" i="6" s="1"/>
  <c r="K66" i="6"/>
  <c r="L27" i="6"/>
  <c r="L30" i="6"/>
  <c r="L44" i="6"/>
  <c r="L62" i="16"/>
  <c r="M27" i="16"/>
  <c r="B27" i="16" s="1" a="1"/>
  <c r="B27" i="16" s="1"/>
  <c r="M19" i="15"/>
  <c r="B19" i="15" s="1" a="1"/>
  <c r="B19" i="15" s="1"/>
  <c r="L4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L50" i="16"/>
  <c r="L19" i="15"/>
  <c r="K35" i="15"/>
  <c r="L20" i="15"/>
  <c r="K24" i="15"/>
  <c r="M12" i="15"/>
  <c r="L12" i="15"/>
  <c r="L34" i="15"/>
  <c r="K34" i="15"/>
  <c r="L7" i="14"/>
  <c r="L19" i="14"/>
  <c r="K6" i="14"/>
  <c r="L70" i="14"/>
  <c r="M78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10" i="14"/>
  <c r="M37" i="14"/>
  <c r="B37" i="14" s="1" a="1"/>
  <c r="B37" i="14" s="1"/>
  <c r="M80" i="14"/>
  <c r="B80" i="14" s="1" a="1"/>
  <c r="B80" i="14" s="1"/>
  <c r="K39" i="14"/>
  <c r="K60" i="14"/>
  <c r="K21" i="14"/>
  <c r="L5" i="14"/>
  <c r="K10" i="14"/>
  <c r="L24" i="14"/>
  <c r="M7" i="14"/>
  <c r="K16" i="14"/>
  <c r="L8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9" i="14"/>
  <c r="L58" i="14"/>
  <c r="L4" i="14"/>
  <c r="M11" i="14"/>
  <c r="L9" i="14"/>
  <c r="M12" i="14"/>
  <c r="L13" i="14"/>
  <c r="L78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8" i="14"/>
  <c r="K76" i="14"/>
  <c r="L11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9" i="14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7" i="14"/>
  <c r="L15" i="14"/>
  <c r="M42" i="14"/>
  <c r="B42" i="14" s="1" a="1"/>
  <c r="B42" i="14" s="1"/>
  <c r="L63" i="14"/>
  <c r="M56" i="14"/>
  <c r="A56" i="14" s="1" a="1"/>
  <c r="A56" i="14" s="1"/>
  <c r="L79" i="14"/>
  <c r="M52" i="14"/>
  <c r="M3" i="14"/>
  <c r="L22" i="14"/>
  <c r="M23" i="14"/>
  <c r="B23" i="14" s="1" a="1"/>
  <c r="B23" i="14" s="1"/>
  <c r="L14" i="14"/>
  <c r="M6" i="14"/>
  <c r="L77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5" i="6"/>
  <c r="L34" i="6"/>
  <c r="L14" i="6"/>
  <c r="K24" i="6"/>
  <c r="L12" i="6"/>
  <c r="L57" i="6"/>
  <c r="M70" i="6"/>
  <c r="A70" i="6" s="1" a="1"/>
  <c r="A70" i="6" s="1"/>
  <c r="K6" i="6"/>
  <c r="L10" i="6"/>
  <c r="L77" i="6"/>
  <c r="K43" i="6"/>
  <c r="L18" i="6"/>
  <c r="M66" i="6"/>
  <c r="K26" i="6"/>
  <c r="L20" i="6"/>
  <c r="K70" i="6"/>
  <c r="L7" i="6"/>
  <c r="M24" i="6"/>
  <c r="B24" i="6" s="1" a="1"/>
  <c r="B24" i="6" s="1"/>
  <c r="K27" i="6"/>
  <c r="K14" i="6"/>
  <c r="K10" i="6"/>
  <c r="K20" i="6"/>
  <c r="K44" i="6"/>
  <c r="K30" i="6"/>
  <c r="K77" i="6"/>
  <c r="L13" i="6"/>
  <c r="L19" i="6"/>
  <c r="L45" i="6"/>
  <c r="L31" i="6"/>
  <c r="L52" i="6"/>
  <c r="K9" i="6"/>
  <c r="K29" i="6"/>
  <c r="K17" i="6"/>
  <c r="K67" i="6"/>
  <c r="K11" i="6"/>
  <c r="K72" i="6"/>
  <c r="L15" i="6"/>
  <c r="L21" i="6"/>
  <c r="L8" i="6"/>
  <c r="L49" i="6"/>
  <c r="L35" i="6"/>
  <c r="L48" i="6"/>
  <c r="M9" i="6"/>
  <c r="M29" i="6"/>
  <c r="B29" i="6" s="1" a="1"/>
  <c r="B29" i="6" s="1"/>
  <c r="M17" i="6"/>
  <c r="M67" i="6"/>
  <c r="M11" i="6"/>
  <c r="M72" i="6"/>
  <c r="A72" i="6" s="1" a="1"/>
  <c r="A72" i="6" s="1"/>
  <c r="K22" i="6"/>
  <c r="K3" i="6"/>
  <c r="K65" i="6"/>
  <c r="K50" i="6"/>
  <c r="K74" i="6"/>
  <c r="L25" i="6"/>
  <c r="L23" i="6"/>
  <c r="L46" i="6"/>
  <c r="L38" i="6"/>
  <c r="L64" i="6"/>
  <c r="M22" i="6"/>
  <c r="M3" i="6"/>
  <c r="M65" i="6"/>
  <c r="M50" i="6"/>
  <c r="A50" i="6" s="1" a="1"/>
  <c r="A50" i="6" s="1"/>
  <c r="M74" i="6"/>
  <c r="B74" i="6" s="1" a="1"/>
  <c r="B74" i="6" s="1"/>
  <c r="K5" i="6"/>
  <c r="K12" i="6"/>
  <c r="K18" i="6"/>
  <c r="K7" i="6"/>
  <c r="K34" i="6"/>
  <c r="K57" i="6"/>
  <c r="M45" i="6"/>
  <c r="K19" i="6"/>
  <c r="K31" i="6"/>
  <c r="K15" i="6"/>
  <c r="K21" i="6"/>
  <c r="K8" i="6"/>
  <c r="K49" i="6"/>
  <c r="K35" i="6"/>
  <c r="K48" i="6"/>
  <c r="K13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B120" i="11" s="1" a="1"/>
  <c r="B120" i="11" s="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L54" i="3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4" i="15"/>
  <c r="M7" i="15"/>
  <c r="L7" i="15"/>
  <c r="M16" i="15"/>
  <c r="B16" i="15" s="1" a="1"/>
  <c r="B16" i="15" s="1"/>
  <c r="M37" i="15"/>
  <c r="B37" i="15" s="1" a="1"/>
  <c r="B37" i="15" s="1"/>
  <c r="K5" i="15"/>
  <c r="M24" i="15"/>
  <c r="B24" i="15" s="1" a="1"/>
  <c r="B24" i="15" s="1"/>
  <c r="L16" i="15"/>
  <c r="L37" i="15"/>
  <c r="M9" i="15"/>
  <c r="M28" i="15"/>
  <c r="B28" i="15" s="1" a="1"/>
  <c r="B28" i="15" s="1"/>
  <c r="L9" i="15"/>
  <c r="L28" i="15"/>
  <c r="M29" i="15"/>
  <c r="B29" i="15" s="1" a="1"/>
  <c r="B29" i="15" s="1"/>
  <c r="M5" i="15"/>
  <c r="L29" i="15"/>
  <c r="M35" i="15"/>
  <c r="A35" i="15" s="1" a="1"/>
  <c r="A35" i="15" s="1"/>
  <c r="K68" i="6"/>
  <c r="M68" i="6"/>
  <c r="B68" i="6" s="1" a="1"/>
  <c r="B68" i="6" s="1"/>
  <c r="A8" i="14" l="1" a="1"/>
  <c r="A8" i="14" s="1"/>
  <c r="B12" i="14" a="1"/>
  <c r="B12" i="14" s="1"/>
  <c r="A12" i="14" a="1"/>
  <c r="A12" i="14" s="1"/>
  <c r="A9" i="6" a="1"/>
  <c r="A9" i="6" s="1"/>
  <c r="B19" i="16" a="1"/>
  <c r="B19" i="16" s="1"/>
  <c r="A19" i="16" a="1"/>
  <c r="A19" i="16" s="1"/>
  <c r="B12" i="11" a="1"/>
  <c r="B12" i="11" s="1"/>
  <c r="A12" i="11" a="1"/>
  <c r="A12" i="11" s="1"/>
  <c r="A53" i="14" a="1"/>
  <c r="A53" i="14" s="1"/>
  <c r="A78" i="11" a="1"/>
  <c r="A78" i="11" s="1"/>
  <c r="A8" i="6" a="1"/>
  <c r="A8" i="6" s="1"/>
  <c r="Q8" i="6" s="1"/>
  <c r="E14" i="17" s="1"/>
  <c r="F14" i="17" s="1"/>
  <c r="A54" i="14" a="1"/>
  <c r="A54" i="14" s="1"/>
  <c r="A4" i="15" a="1"/>
  <c r="A4" i="15" s="1"/>
  <c r="B12" i="15" a="1"/>
  <c r="B12" i="15" s="1"/>
  <c r="A12" i="15" a="1"/>
  <c r="A12" i="15" s="1"/>
  <c r="B9" i="15" a="1"/>
  <c r="B9" i="15" s="1"/>
  <c r="A9" i="15" a="1"/>
  <c r="A9" i="15" s="1"/>
  <c r="Q9" i="15" s="1"/>
  <c r="A45" i="6" a="1"/>
  <c r="A45" i="6" s="1"/>
  <c r="A3" i="12" a="1"/>
  <c r="A3" i="12" s="1"/>
  <c r="A11" i="6" a="1"/>
  <c r="A11" i="6" s="1"/>
  <c r="Q11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Q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7" i="14" a="1"/>
  <c r="A77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6" i="15" a="1"/>
  <c r="A6" i="15" s="1"/>
  <c r="A33" i="15" a="1"/>
  <c r="A33" i="15" s="1"/>
  <c r="Q33" i="15" s="1"/>
  <c r="G44" i="17" s="1"/>
  <c r="A6" i="14" a="1"/>
  <c r="A6" i="14" s="1"/>
  <c r="A5" i="14" a="1"/>
  <c r="A5" i="14" s="1"/>
  <c r="A78" i="14" a="1"/>
  <c r="A78" i="14" s="1"/>
  <c r="A52" i="14" a="1"/>
  <c r="A52" i="14" s="1"/>
  <c r="A4" i="14" a="1"/>
  <c r="A4" i="14" s="1"/>
  <c r="A3" i="14" a="1"/>
  <c r="A3" i="14" s="1"/>
  <c r="A76" i="14" a="1"/>
  <c r="A76" i="14" s="1"/>
  <c r="A3" i="6" a="1"/>
  <c r="A3" i="6" s="1"/>
  <c r="A43" i="6" a="1"/>
  <c r="A43" i="6" s="1"/>
  <c r="A4" i="6" a="1"/>
  <c r="A4" i="6" s="1"/>
  <c r="A66" i="6" a="1"/>
  <c r="A66" i="6" s="1"/>
  <c r="Q66" i="6" s="1"/>
  <c r="A46" i="6" a="1"/>
  <c r="A46" i="6" s="1"/>
  <c r="A10" i="6" a="1"/>
  <c r="A10" i="6" s="1"/>
  <c r="Q10" i="6" s="1"/>
  <c r="A7" i="6" a="1"/>
  <c r="A7" i="6" s="1"/>
  <c r="Q7" i="6" s="1"/>
  <c r="A12" i="6" a="1"/>
  <c r="A12" i="6" s="1"/>
  <c r="B12" i="6" a="1"/>
  <c r="B12" i="6" s="1"/>
  <c r="A5" i="6" a="1"/>
  <c r="A5" i="6" s="1"/>
  <c r="A6" i="6" a="1"/>
  <c r="A6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5" i="15" a="1"/>
  <c r="A5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6" i="6" a="1"/>
  <c r="B66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4" i="15" a="1"/>
  <c r="B4" i="15" s="1"/>
  <c r="B8" i="15" a="1"/>
  <c r="B8" i="15" s="1"/>
  <c r="B9" i="14" a="1"/>
  <c r="B9" i="14" s="1"/>
  <c r="B78" i="14" a="1"/>
  <c r="B78" i="14" s="1"/>
  <c r="B10" i="6" a="1"/>
  <c r="B10" i="6" s="1"/>
  <c r="B57" i="6" a="1"/>
  <c r="B57" i="6" s="1"/>
  <c r="B78" i="6" a="1"/>
  <c r="B78" i="6" s="1"/>
  <c r="B47" i="6" a="1"/>
  <c r="B47" i="6" s="1"/>
  <c r="B67" i="6" a="1"/>
  <c r="B67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11" i="6" a="1"/>
  <c r="B11" i="6" s="1"/>
  <c r="B45" i="6" a="1"/>
  <c r="B45" i="6" s="1"/>
  <c r="B65" i="6" a="1"/>
  <c r="B65" i="6" s="1"/>
  <c r="B21" i="6" a="1"/>
  <c r="B21" i="6" s="1"/>
  <c r="B16" i="6" a="1"/>
  <c r="B16" i="6" s="1"/>
  <c r="B18" i="6" a="1"/>
  <c r="B18" i="6" s="1"/>
  <c r="B15" i="16" a="1"/>
  <c r="B15" i="16" s="1"/>
  <c r="B5" i="16" a="1"/>
  <c r="B5" i="16" s="1"/>
  <c r="B9" i="16" a="1"/>
  <c r="B9" i="16" s="1"/>
  <c r="B10" i="14" a="1"/>
  <c r="B10" i="14" s="1"/>
  <c r="B3" i="14" a="1"/>
  <c r="B3" i="14" s="1"/>
  <c r="B76" i="14" a="1"/>
  <c r="B76" i="14" s="1"/>
  <c r="B52" i="14" a="1"/>
  <c r="B52" i="14" s="1"/>
  <c r="B11" i="14" a="1"/>
  <c r="B11" i="14" s="1"/>
  <c r="B7" i="14" a="1"/>
  <c r="B7" i="14" s="1"/>
  <c r="B6" i="14" a="1"/>
  <c r="B6" i="14" s="1"/>
  <c r="B4" i="14" a="1"/>
  <c r="B4" i="14" s="1"/>
  <c r="B79" i="14" a="1"/>
  <c r="B79" i="14" s="1"/>
  <c r="B77" i="14" a="1"/>
  <c r="B77" i="14" s="1"/>
  <c r="B8" i="14" a="1"/>
  <c r="B8" i="14" s="1"/>
  <c r="B53" i="14" a="1"/>
  <c r="B53" i="14" s="1"/>
  <c r="B17" i="6" a="1"/>
  <c r="B17" i="6" s="1"/>
  <c r="B7" i="6" a="1"/>
  <c r="B7" i="6" s="1"/>
  <c r="B9" i="6" a="1"/>
  <c r="B9" i="6" s="1"/>
  <c r="B22" i="6" a="1"/>
  <c r="B22" i="6" s="1"/>
  <c r="B13" i="6" a="1"/>
  <c r="B13" i="6" s="1"/>
  <c r="B14" i="6" a="1"/>
  <c r="B14" i="6" s="1"/>
  <c r="B3" i="6" a="1"/>
  <c r="B3" i="6" s="1"/>
  <c r="B15" i="6" a="1"/>
  <c r="B15" i="6" s="1"/>
  <c r="B23" i="6" a="1"/>
  <c r="B23" i="6" s="1"/>
  <c r="B6" i="6" a="1"/>
  <c r="B6" i="6" s="1"/>
  <c r="B4" i="6" a="1"/>
  <c r="B4" i="6" s="1"/>
  <c r="B20" i="6" a="1"/>
  <c r="B20" i="6" s="1"/>
  <c r="B43" i="6" a="1"/>
  <c r="B43" i="6" s="1"/>
  <c r="B19" i="6" a="1"/>
  <c r="B19" i="6" s="1"/>
  <c r="B8" i="6" a="1"/>
  <c r="B8" i="6" s="1"/>
  <c r="B5" i="6" a="1"/>
  <c r="B5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5" i="15" a="1"/>
  <c r="B5" i="15" s="1"/>
  <c r="B7" i="15" a="1"/>
  <c r="B7" i="15" s="1"/>
  <c r="B6" i="15" a="1"/>
  <c r="B6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7" i="6"/>
  <c r="E2" i="17" s="1"/>
  <c r="F2" i="17" s="1"/>
  <c r="Q22" i="6"/>
  <c r="Q8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2" i="14"/>
  <c r="E60" i="17" s="1"/>
  <c r="F60" i="17" s="1"/>
  <c r="Q11" i="14"/>
  <c r="Q17" i="14"/>
  <c r="Q56" i="14"/>
  <c r="Q22" i="14"/>
  <c r="Q42" i="14"/>
  <c r="Q24" i="14"/>
  <c r="Q67" i="14"/>
  <c r="Q36" i="14"/>
  <c r="Q62" i="14"/>
  <c r="Q23" i="14"/>
  <c r="Q19" i="6"/>
  <c r="Q29" i="6"/>
  <c r="Q15" i="6"/>
  <c r="Q74" i="6"/>
  <c r="Q70" i="6"/>
  <c r="Q67" i="6"/>
  <c r="E17" i="17" s="1"/>
  <c r="F17" i="17" s="1"/>
  <c r="Q20" i="6"/>
  <c r="Q25" i="6"/>
  <c r="Q24" i="6"/>
  <c r="E29" i="17" s="1"/>
  <c r="F29" i="17" s="1"/>
  <c r="Q14" i="6"/>
  <c r="Q23" i="6"/>
  <c r="Q68" i="6"/>
  <c r="Q50" i="6"/>
  <c r="Q72" i="6"/>
  <c r="Q26" i="6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28" i="15"/>
  <c r="Q35" i="15"/>
  <c r="Q16" i="15"/>
  <c r="G22" i="17" s="1"/>
  <c r="H22" i="17" s="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2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54" i="14" l="1"/>
  <c r="E38" i="17" s="1"/>
  <c r="Q4" i="15"/>
  <c r="Q45" i="6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6" i="6"/>
  <c r="E27" i="17" s="1"/>
  <c r="Q78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6" i="15"/>
  <c r="G47" i="17" s="1"/>
  <c r="R38" i="13"/>
  <c r="C46" i="17" s="1"/>
  <c r="Q4" i="6"/>
  <c r="Q5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9" i="14"/>
  <c r="Q4" i="14"/>
  <c r="Q9" i="14"/>
  <c r="E41" i="17" s="1"/>
  <c r="F41" i="17" s="1"/>
  <c r="Q76" i="14"/>
  <c r="Q10" i="14"/>
  <c r="E45" i="17" s="1"/>
  <c r="F45" i="17" s="1"/>
  <c r="Q52" i="14"/>
  <c r="E32" i="17" s="1"/>
  <c r="Q53" i="14"/>
  <c r="Q77" i="14"/>
  <c r="Q13" i="6"/>
  <c r="Q9" i="6"/>
  <c r="Q65" i="6"/>
  <c r="Q43" i="6"/>
  <c r="Q12" i="6"/>
  <c r="Q3" i="6"/>
  <c r="Q3" i="16"/>
  <c r="Q70" i="16"/>
  <c r="G46" i="17" s="1"/>
  <c r="Q6" i="16"/>
  <c r="Q8" i="16"/>
  <c r="Q7" i="15"/>
  <c r="Q5" i="15"/>
  <c r="Q25" i="15"/>
  <c r="Q6" i="11"/>
  <c r="Q75" i="11"/>
  <c r="Q3" i="11"/>
  <c r="Q77" i="11"/>
  <c r="Q78" i="11"/>
  <c r="C18" i="17" s="1"/>
  <c r="Q76" i="11"/>
  <c r="C35" i="17" s="1"/>
  <c r="Q80" i="11"/>
  <c r="C43" i="17" s="1"/>
  <c r="D43" i="17" s="1"/>
  <c r="Q4" i="11"/>
  <c r="E46" i="17" l="1"/>
  <c r="C23" i="17"/>
  <c r="G13" i="17"/>
  <c r="E25" i="17"/>
  <c r="C42" i="17"/>
  <c r="E55" i="17"/>
  <c r="E18" i="17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8" i="17" l="1"/>
  <c r="F38" i="17"/>
  <c r="H6" i="17"/>
  <c r="F27" i="17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18" i="17" l="1"/>
  <c r="D25" i="17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<sst xmlns="http://schemas.openxmlformats.org/spreadsheetml/2006/main" count="2492" uniqueCount="605">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</sst>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x14ac:dyDescent="0.2">
      <c r="A53" s="63" t="str">
        <f t="shared" si="1"/>
        <v>TRA-W</v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>KUZNAK, Sienna</v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GIBBS, Gavin </v>
      </c>
    </row>
    <row r="108" spans="1:4" hidden="1" x14ac:dyDescent="0.2">
      <c r="A108" s="62" t="str">
        <f t="shared" si="4"/>
        <v/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/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MEYER, Jeremy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>BRENNER, Adin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 xml:space="preserve">NEUFELD, Simon 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RICHARD, Dexter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KLASSEN, Isaiah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LEVASSEUR, Nathan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>DYKMAN, Matt</v>
      </c>
    </row>
    <row r="129" spans="1:4" x14ac:dyDescent="0.2">
      <c r="A129" s="62" t="str">
        <f t="shared" si="4"/>
        <v>DMT-M</v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 xml:space="preserve">WALLMAN, Matthew </v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Makena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GOOD, Hayden </v>
      </c>
    </row>
    <row r="141" spans="1:4" hidden="1" x14ac:dyDescent="0.2">
      <c r="A141" s="63" t="str">
        <f t="shared" si="5"/>
        <v/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/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x14ac:dyDescent="0.2">
      <c r="A147" s="63" t="str">
        <f t="shared" si="5"/>
        <v>DMT-W</v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 xml:space="preserve">KUZNAK, Sienna </v>
      </c>
    </row>
    <row r="148" spans="1:4" x14ac:dyDescent="0.2">
      <c r="A148" s="63" t="str">
        <f t="shared" si="5"/>
        <v>DMT-W</v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 xml:space="preserve">RYGA, Ruby </v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x14ac:dyDescent="0.2">
      <c r="A159" s="63" t="str">
        <f t="shared" si="5"/>
        <v>DMT-W</v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 xml:space="preserve">PROBE, Celia </v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RABIE, Zayden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NEUFELD, Simon</v>
      </c>
    </row>
    <row r="189" spans="1:4" x14ac:dyDescent="0.2">
      <c r="A189" s="62" t="str">
        <f t="shared" si="6"/>
        <v>TUM-M</v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>KLASSEN, Isaiah</v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6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3</v>
      </c>
      <c r="H6" s="55">
        <f t="shared" si="2"/>
        <v>4</v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1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8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6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0</v>
      </c>
      <c r="F17" s="55" t="str">
        <f t="shared" si="1"/>
        <v/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1</v>
      </c>
      <c r="D18" s="55">
        <f t="shared" si="0"/>
        <v>9</v>
      </c>
      <c r="E18" s="53">
        <f>SUMIF('DMT-M'!E:E,A18,'DMT-M'!Q:Q)+SUMIF('DMT-W'!E:E,A18,'DMT-W'!Q:Q)</f>
        <v>2</v>
      </c>
      <c r="F18" s="55">
        <f t="shared" si="1"/>
        <v>8</v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8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8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1</v>
      </c>
      <c r="F27" s="55">
        <f t="shared" si="1"/>
        <v>11</v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4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3</v>
      </c>
      <c r="F32" s="55">
        <f t="shared" si="1"/>
        <v>6</v>
      </c>
      <c r="G32" s="53">
        <f>SUMIF('TUM-M'!E:E,A32,'TUM-M'!Q:Q)+SUMIF('TUM-W'!E:E,A32,'TUM-W'!Q:Q)</f>
        <v>1</v>
      </c>
      <c r="H32" s="55">
        <f t="shared" si="2"/>
        <v>6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7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2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3</v>
      </c>
      <c r="D35" s="55">
        <f t="shared" si="0"/>
        <v>5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1</v>
      </c>
      <c r="H36" s="55">
        <f t="shared" si="2"/>
        <v>6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1</v>
      </c>
      <c r="F38" s="55">
        <f t="shared" si="1"/>
        <v>11</v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4</v>
      </c>
      <c r="H39" s="55">
        <f t="shared" si="2"/>
        <v>2</v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8.5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6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9</v>
      </c>
      <c r="E46" s="53">
        <f>SUMIF('DMT-M'!E:E,A46,'DMT-M'!Q:Q)+SUMIF('DMT-W'!E:E,A46,'DMT-W'!Q:Q)</f>
        <v>4</v>
      </c>
      <c r="F46" s="55">
        <f t="shared" si="1"/>
        <v>5</v>
      </c>
      <c r="G46" s="53">
        <f>SUMIF('TUM-M'!E:E,A46,'TUM-M'!Q:Q)+SUMIF('TUM-W'!E:E,A46,'TUM-W'!Q:Q)</f>
        <v>1</v>
      </c>
      <c r="H46" s="55">
        <f t="shared" si="2"/>
        <v>6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6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7</v>
      </c>
      <c r="F55" s="55">
        <f t="shared" si="1"/>
        <v>1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2</v>
      </c>
      <c r="D56" s="55">
        <f t="shared" si="0"/>
        <v>7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/>
      <c r="Y1" s="77"/>
      <c r="Z1" s="77"/>
      <c r="AA1" s="77" t="s">
        <v>44</v>
      </c>
      <c r="AB1" s="77"/>
      <c r="AC1" s="77"/>
      <c r="AD1" s="77"/>
      <c r="AE1" s="77"/>
      <c r="AF1" s="77"/>
      <c r="AG1" s="77"/>
    </row>
    <row r="2" spans="1:33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 t="s">
        <v>604</v>
      </c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/>
      <c r="Y1" s="77"/>
      <c r="Z1" s="77"/>
      <c r="AA1" s="77" t="s">
        <v>44</v>
      </c>
      <c r="AB1" s="77"/>
      <c r="AC1" s="77"/>
      <c r="AD1" s="77"/>
      <c r="AE1" s="77"/>
      <c r="AF1" s="77"/>
      <c r="AG1" s="77"/>
    </row>
    <row r="2" spans="1:33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 t="s">
        <v>604</v>
      </c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4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3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2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>4</v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 t="s">
        <v>604</v>
      </c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>
        <f>IF(A78&lt;5,IF(_xlfn.MAXIFS(A:A,G:G,G78)&gt;3,5-A78,_xlfn.MAXIFS(A:A,G:G,G78)+1-A78),"")</f>
        <v>1</v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/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569</v>
      </c>
      <c r="F1" s="82" t="s">
        <v>570</v>
      </c>
      <c r="G1" s="84" t="s">
        <v>4</v>
      </c>
      <c r="H1" s="75" t="s">
        <v>5</v>
      </c>
      <c r="I1" s="75" t="s">
        <v>57</v>
      </c>
      <c r="J1" s="75" t="s">
        <v>43</v>
      </c>
      <c r="K1" s="80" t="s">
        <v>13</v>
      </c>
      <c r="L1" s="75" t="s">
        <v>9</v>
      </c>
      <c r="M1" s="75" t="s">
        <v>10</v>
      </c>
      <c r="N1" s="75" t="s">
        <v>33</v>
      </c>
      <c r="O1" s="75" t="s">
        <v>12</v>
      </c>
      <c r="P1" s="75" t="s">
        <v>50</v>
      </c>
      <c r="Q1" s="75" t="s">
        <v>11</v>
      </c>
      <c r="R1" s="78" t="s">
        <v>365</v>
      </c>
      <c r="S1" s="73" t="s">
        <v>598</v>
      </c>
      <c r="T1" s="75" t="s">
        <v>599</v>
      </c>
      <c r="U1" s="77" t="s">
        <v>45</v>
      </c>
      <c r="V1" s="77"/>
      <c r="W1" s="77"/>
      <c r="X1" s="77"/>
      <c r="Y1" s="77"/>
      <c r="Z1" s="77"/>
      <c r="AA1" s="77"/>
      <c r="AB1" s="77" t="s">
        <v>44</v>
      </c>
      <c r="AC1" s="77"/>
      <c r="AD1" s="77"/>
      <c r="AE1" s="77"/>
      <c r="AF1" s="77"/>
      <c r="AG1" s="77"/>
      <c r="AH1" s="77"/>
    </row>
    <row r="2" spans="1:34" s="7" customFormat="1" ht="17" thickBot="1" x14ac:dyDescent="0.25">
      <c r="A2" s="74"/>
      <c r="B2" s="74"/>
      <c r="C2" s="76"/>
      <c r="D2" s="79"/>
      <c r="E2" s="83"/>
      <c r="F2" s="83"/>
      <c r="G2" s="85"/>
      <c r="H2" s="76"/>
      <c r="I2" s="76"/>
      <c r="J2" s="76"/>
      <c r="K2" s="81"/>
      <c r="L2" s="76"/>
      <c r="M2" s="76"/>
      <c r="N2" s="76"/>
      <c r="O2" s="76"/>
      <c r="P2" s="76"/>
      <c r="Q2" s="76"/>
      <c r="R2" s="79"/>
      <c r="S2" s="74"/>
      <c r="T2" s="76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>MAX(U3,W3,Z3,AB3,AD3,AG3)</f>
        <v>47.6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>IF(I3="Senior",MAX(AB3,AD3),AB3+AD3)</f>
        <v>47.6</v>
      </c>
      <c r="AG3" s="34">
        <v>46.92</v>
      </c>
      <c r="AH3" s="37">
        <v>10.5</v>
      </c>
    </row>
    <row r="4" spans="1:34" x14ac:dyDescent="0.2">
      <c r="A4" s="1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>MAX(U4,W4,Z4,AB4,AD4,AG4)</f>
        <v>33.729999999999997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>IF(I4="Senior",MAX(AB4,AD4),AB4+AD4)</f>
        <v>33.729999999999997</v>
      </c>
      <c r="AG4" s="34">
        <v>9.08</v>
      </c>
      <c r="AH4" s="37">
        <v>3.4</v>
      </c>
    </row>
    <row r="5" spans="1:34" x14ac:dyDescent="0.2">
      <c r="A5" s="1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s="1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s="1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s="1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s="1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s="1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s="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s="1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s="1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s="1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s="1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s="1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s="1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s="1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s="1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s="1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569</v>
      </c>
      <c r="F1" s="82" t="s">
        <v>570</v>
      </c>
      <c r="G1" s="84" t="s">
        <v>4</v>
      </c>
      <c r="H1" s="75" t="s">
        <v>5</v>
      </c>
      <c r="I1" s="75" t="s">
        <v>57</v>
      </c>
      <c r="J1" s="75" t="s">
        <v>43</v>
      </c>
      <c r="K1" s="80" t="s">
        <v>13</v>
      </c>
      <c r="L1" s="75" t="s">
        <v>9</v>
      </c>
      <c r="M1" s="75" t="s">
        <v>10</v>
      </c>
      <c r="N1" s="75" t="s">
        <v>33</v>
      </c>
      <c r="O1" s="75" t="s">
        <v>12</v>
      </c>
      <c r="P1" s="75" t="s">
        <v>50</v>
      </c>
      <c r="Q1" s="75" t="s">
        <v>11</v>
      </c>
      <c r="R1" s="78" t="s">
        <v>365</v>
      </c>
      <c r="S1" s="73" t="s">
        <v>598</v>
      </c>
      <c r="T1" s="75" t="s">
        <v>599</v>
      </c>
      <c r="U1" s="77" t="s">
        <v>45</v>
      </c>
      <c r="V1" s="77"/>
      <c r="W1" s="77"/>
      <c r="X1" s="77"/>
      <c r="Y1" s="77"/>
      <c r="Z1" s="77"/>
      <c r="AA1" s="77"/>
      <c r="AB1" s="77" t="s">
        <v>44</v>
      </c>
      <c r="AC1" s="77"/>
      <c r="AD1" s="77"/>
      <c r="AE1" s="77"/>
      <c r="AF1" s="77"/>
      <c r="AG1" s="77"/>
      <c r="AH1" s="77"/>
    </row>
    <row r="2" spans="1:34" s="7" customFormat="1" ht="17" thickBot="1" x14ac:dyDescent="0.25">
      <c r="A2" s="74"/>
      <c r="B2" s="74"/>
      <c r="C2" s="76"/>
      <c r="D2" s="79"/>
      <c r="E2" s="83"/>
      <c r="F2" s="83"/>
      <c r="G2" s="85"/>
      <c r="H2" s="76"/>
      <c r="I2" s="76"/>
      <c r="J2" s="76"/>
      <c r="K2" s="81"/>
      <c r="L2" s="76"/>
      <c r="M2" s="76"/>
      <c r="N2" s="76"/>
      <c r="O2" s="76"/>
      <c r="P2" s="76"/>
      <c r="Q2" s="76"/>
      <c r="R2" s="79"/>
      <c r="S2" s="74"/>
      <c r="T2" s="76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 t="s">
        <v>604</v>
      </c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9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4</v>
      </c>
      <c r="C3" s="36" t="s">
        <v>148</v>
      </c>
      <c r="D3" s="36" t="str">
        <f>IF(E3="","",VLOOKUP(E3,'Coaching Points'!A:B,2,0))</f>
        <v>AB</v>
      </c>
      <c r="E3" s="36" t="s">
        <v>29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51.300205130000002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4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51.300000000000004</v>
      </c>
      <c r="S3" s="4">
        <f>MAX(T3,V3,X3,Z3)</f>
        <v>51.300000000000004</v>
      </c>
      <c r="T3" s="33">
        <v>48.8</v>
      </c>
      <c r="U3" s="40">
        <v>12.4</v>
      </c>
      <c r="V3" s="34">
        <v>49.8</v>
      </c>
      <c r="W3" s="40">
        <v>13.200000000000001</v>
      </c>
      <c r="X3" s="33">
        <v>50.8</v>
      </c>
      <c r="Y3" s="40">
        <v>13.2</v>
      </c>
      <c r="Z3" s="34">
        <v>51.300000000000004</v>
      </c>
      <c r="AA3" s="37">
        <v>14.4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6</v>
      </c>
      <c r="C4" s="36" t="s">
        <v>407</v>
      </c>
      <c r="D4" s="36" t="str">
        <f>IF(E4="","",VLOOKUP(E4,'Coaching Points'!A:B,2,0))</f>
        <v>BC</v>
      </c>
      <c r="E4" s="36" t="s">
        <v>143</v>
      </c>
      <c r="F4" s="35">
        <v>2001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47.500204749999995</v>
      </c>
      <c r="K4" s="3" t="str">
        <f>IF(G4="Not Age Eligible","",IF(MAX(T4,V4,X4,Z4)&gt;=LOOKUP(G4,'Qualifying Scores'!$A$4:$A$7,'Qualifying Scores'!$F$4:$F$7),"P",""))</f>
        <v/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/>
      </c>
      <c r="P4" s="39">
        <v>7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47.499999999999993</v>
      </c>
      <c r="S4" s="4">
        <f>MAX(T4,V4,X4,Z4)</f>
        <v>47.499999999999993</v>
      </c>
      <c r="T4" s="33"/>
      <c r="U4" s="40"/>
      <c r="V4" s="34"/>
      <c r="W4" s="40"/>
      <c r="X4" s="33">
        <v>47.499999999999993</v>
      </c>
      <c r="Y4" s="40">
        <v>12.100000000000001</v>
      </c>
      <c r="Z4" s="34">
        <v>39.500000000000007</v>
      </c>
      <c r="AA4" s="37">
        <v>7.1999999999999993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8</v>
      </c>
      <c r="C5" s="36" t="s">
        <v>165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50.900205060000005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50.900000000000006</v>
      </c>
      <c r="S5" s="4">
        <f>MAX(T5,V5,X5,Z5)</f>
        <v>50.900000000000006</v>
      </c>
      <c r="T5" s="33">
        <v>50.900000000000006</v>
      </c>
      <c r="U5" s="40">
        <v>14</v>
      </c>
      <c r="V5" s="34">
        <v>25</v>
      </c>
      <c r="W5" s="40">
        <v>6.8000000000000007</v>
      </c>
      <c r="X5" s="33">
        <v>50.599999999999994</v>
      </c>
      <c r="Y5" s="40">
        <v>14.5</v>
      </c>
      <c r="Z5" s="34"/>
      <c r="AA5" s="37"/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9</v>
      </c>
      <c r="C6" s="36" t="s">
        <v>151</v>
      </c>
      <c r="D6" s="36" t="str">
        <f>IF(E6="","",VLOOKUP(E6,'Coaching Points'!A:B,2,0))</f>
        <v>NB</v>
      </c>
      <c r="E6" s="36" t="s">
        <v>49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50.700205070000003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50.7</v>
      </c>
      <c r="S6" s="4">
        <f>MAX(T6,V6,X6,Z6)</f>
        <v>50.7</v>
      </c>
      <c r="T6" s="33">
        <v>43</v>
      </c>
      <c r="U6" s="40">
        <v>8</v>
      </c>
      <c r="V6" s="34">
        <v>48.7</v>
      </c>
      <c r="W6" s="40">
        <v>12.8</v>
      </c>
      <c r="X6" s="33">
        <v>50.7</v>
      </c>
      <c r="Y6" s="40">
        <v>13.2</v>
      </c>
      <c r="Z6" s="34">
        <v>21.5</v>
      </c>
      <c r="AA6" s="37">
        <v>6</v>
      </c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10</v>
      </c>
      <c r="C7" s="36" t="s">
        <v>147</v>
      </c>
      <c r="D7" s="36" t="str">
        <f>IF(E7="","",VLOOKUP(E7,'Coaching Points'!A:B,2,0))</f>
        <v>MB</v>
      </c>
      <c r="E7" s="36" t="s">
        <v>129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50.30020502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50.3</v>
      </c>
      <c r="S7" s="4">
        <f>MAX(T7,V7,X7,Z7)</f>
        <v>50.3</v>
      </c>
      <c r="T7" s="33">
        <v>49.400000000000006</v>
      </c>
      <c r="U7" s="40">
        <v>12.4</v>
      </c>
      <c r="V7" s="34">
        <v>50.3</v>
      </c>
      <c r="W7" s="40">
        <v>12.4</v>
      </c>
      <c r="X7" s="33">
        <v>50.2</v>
      </c>
      <c r="Y7" s="40">
        <v>14</v>
      </c>
      <c r="Z7" s="34"/>
      <c r="AA7" s="37"/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12</v>
      </c>
      <c r="C8" s="36" t="s">
        <v>153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49.600104960000003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49.6</v>
      </c>
      <c r="S8" s="4">
        <f>MAX(T8,V8,X8,Z8)</f>
        <v>49.6</v>
      </c>
      <c r="T8" s="33">
        <v>47.3</v>
      </c>
      <c r="U8" s="40">
        <v>10.399999999999999</v>
      </c>
      <c r="V8" s="34">
        <v>47.7</v>
      </c>
      <c r="W8" s="40">
        <v>10.399999999999999</v>
      </c>
      <c r="X8" s="33">
        <v>48.8</v>
      </c>
      <c r="Y8" s="40">
        <v>10.4</v>
      </c>
      <c r="Z8" s="34">
        <v>49.6</v>
      </c>
      <c r="AA8" s="37">
        <v>11.6</v>
      </c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13</v>
      </c>
      <c r="C9" s="36" t="s">
        <v>517</v>
      </c>
      <c r="D9" s="36" t="str">
        <f>IF(E9="","",VLOOKUP(E9,'Coaching Points'!A:B,2,0))</f>
        <v>BC</v>
      </c>
      <c r="E9" s="36" t="s">
        <v>42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 t="s">
        <v>604</v>
      </c>
      <c r="J9" s="4">
        <f>R9+IF(OR(H9="Junior",H9="Senior"),0.0002,IF(OR(H9="L7",H9="L6"),0.0001,0))+MAX(X9,Z9)*0.0000001</f>
        <v>49.500204429999997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49.5</v>
      </c>
      <c r="S9" s="4">
        <f>MAX(T9,V9,X9,Z9)</f>
        <v>49.5</v>
      </c>
      <c r="T9" s="33">
        <v>49.5</v>
      </c>
      <c r="U9" s="40">
        <v>14.100000000000001</v>
      </c>
      <c r="V9" s="34">
        <v>45.1</v>
      </c>
      <c r="W9" s="40">
        <v>9.6000000000000014</v>
      </c>
      <c r="X9" s="33">
        <v>44.300000000000011</v>
      </c>
      <c r="Y9" s="40">
        <v>12.5</v>
      </c>
      <c r="Z9" s="34"/>
      <c r="AA9" s="37"/>
    </row>
    <row r="10" spans="1:27" x14ac:dyDescent="0.2">
      <c r="A10" s="1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>8</v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15</v>
      </c>
      <c r="C10" s="36" t="s">
        <v>156</v>
      </c>
      <c r="D10" s="36" t="str">
        <f>IF(E10="","",VLOOKUP(E10,'Coaching Points'!A:B,2,0))</f>
        <v>BC</v>
      </c>
      <c r="E10" s="36" t="s">
        <v>42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R10+IF(OR(H10="Junior",H10="Senior"),0.0002,IF(OR(H10="L7",H10="L6"),0.0001,0))+MAX(X10,Z10)*0.0000001</f>
        <v>49.000104900000004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49</v>
      </c>
      <c r="S10" s="4">
        <f>MAX(T10,V10,X10,Z10)</f>
        <v>49</v>
      </c>
      <c r="T10" s="33">
        <v>38.6</v>
      </c>
      <c r="U10" s="40">
        <v>4.4000000000000004</v>
      </c>
      <c r="V10" s="34">
        <v>0</v>
      </c>
      <c r="W10" s="40">
        <v>0</v>
      </c>
      <c r="X10" s="33">
        <v>49</v>
      </c>
      <c r="Y10" s="40">
        <v>11.6</v>
      </c>
      <c r="Z10" s="34">
        <v>46.7</v>
      </c>
      <c r="AA10" s="37">
        <v>11.2</v>
      </c>
    </row>
    <row r="11" spans="1:27" x14ac:dyDescent="0.2">
      <c r="A11" s="1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>9</v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20</v>
      </c>
      <c r="C11" s="36" t="s">
        <v>128</v>
      </c>
      <c r="D11" s="36" t="str">
        <f>IF(E11="","",VLOOKUP(E11,'Coaching Points'!A:B,2,0))</f>
        <v>MB</v>
      </c>
      <c r="E11" s="36" t="s">
        <v>129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48.000104800000003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48</v>
      </c>
      <c r="S11" s="4">
        <f>MAX(T11,V11,X11,Z11)</f>
        <v>48</v>
      </c>
      <c r="T11" s="33">
        <v>44.2</v>
      </c>
      <c r="U11" s="40">
        <v>7.1</v>
      </c>
      <c r="V11" s="34">
        <v>44.599999999999994</v>
      </c>
      <c r="W11" s="40">
        <v>7.9</v>
      </c>
      <c r="X11" s="33">
        <v>48</v>
      </c>
      <c r="Y11" s="40">
        <v>11.6</v>
      </c>
      <c r="Z11" s="34">
        <v>47.7</v>
      </c>
      <c r="AA11" s="37">
        <v>11.6</v>
      </c>
    </row>
    <row r="12" spans="1:27" x14ac:dyDescent="0.2">
      <c r="A12" s="1" t="str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/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1</v>
      </c>
      <c r="C12" s="36" t="s">
        <v>161</v>
      </c>
      <c r="D12" s="36" t="str">
        <f>IF(E12="","",VLOOKUP(E12,'Coaching Points'!A:B,2,0))</f>
        <v>BC</v>
      </c>
      <c r="E12" s="36" t="s">
        <v>80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/>
      <c r="J12" s="4">
        <f>R12+IF(OR(H12="Junior",H12="Senior"),0.0002,IF(OR(H12="L7",H12="L6"),0.0001,0))+MAX(X12,Z12)*0.0000001</f>
        <v>58.700205869999998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O12" s="39">
        <v>1</v>
      </c>
      <c r="P12" s="39">
        <v>1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58.699999999999996</v>
      </c>
      <c r="S12" s="4">
        <f>MAX(T12,V12,X12,Z12)</f>
        <v>58.699999999999996</v>
      </c>
      <c r="T12" s="33">
        <v>53.24</v>
      </c>
      <c r="U12" s="40">
        <v>16</v>
      </c>
      <c r="V12" s="34">
        <v>52</v>
      </c>
      <c r="W12" s="40">
        <v>15.200000000000001</v>
      </c>
      <c r="X12" s="33">
        <v>54.9</v>
      </c>
      <c r="Y12" s="40">
        <v>18.799999999999997</v>
      </c>
      <c r="Z12" s="34">
        <v>58.699999999999996</v>
      </c>
      <c r="AA12" s="37">
        <v>20.8</v>
      </c>
    </row>
    <row r="13" spans="1:27" x14ac:dyDescent="0.2">
      <c r="A13" s="1" t="str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/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2</v>
      </c>
      <c r="C13" s="36" t="s">
        <v>160</v>
      </c>
      <c r="D13" s="36" t="str">
        <f>IF(E13="","",VLOOKUP(E13,'Coaching Points'!A:B,2,0))</f>
        <v>ON</v>
      </c>
      <c r="E13" s="36" t="s">
        <v>48</v>
      </c>
      <c r="F13" s="35">
        <v>2003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168</v>
      </c>
      <c r="I13" s="45"/>
      <c r="J13" s="4">
        <f>R13+IF(OR(H13="Junior",H13="Senior"),0.0002,IF(OR(H13="L7",H13="L6"),0.0001,0))+MAX(X13,Z13)*0.0000001</f>
        <v>58.200205820000001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O13" s="39">
        <v>2</v>
      </c>
      <c r="P13" s="39">
        <v>2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58.2</v>
      </c>
      <c r="S13" s="4">
        <f>MAX(T13,V13,X13,Z13)</f>
        <v>58.2</v>
      </c>
      <c r="T13" s="33">
        <v>56</v>
      </c>
      <c r="U13" s="40">
        <v>18.399999999999999</v>
      </c>
      <c r="V13" s="34">
        <v>54.6</v>
      </c>
      <c r="W13" s="40">
        <v>16.899999999999999</v>
      </c>
      <c r="X13" s="33">
        <v>54.4</v>
      </c>
      <c r="Y13" s="40">
        <v>18.799999999999997</v>
      </c>
      <c r="Z13" s="34">
        <v>58.2</v>
      </c>
      <c r="AA13" s="37">
        <v>20.399999999999999</v>
      </c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3</v>
      </c>
      <c r="C14" s="36" t="s">
        <v>162</v>
      </c>
      <c r="D14" s="36" t="str">
        <f>IF(E14="","",VLOOKUP(E14,'Coaching Points'!A:B,2,0))</f>
        <v>AB</v>
      </c>
      <c r="E14" s="36" t="s">
        <v>91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168</v>
      </c>
      <c r="I14" s="45"/>
      <c r="J14" s="4">
        <f>R14+IF(OR(H14="Junior",H14="Senior"),0.0002,IF(OR(H14="L7",H14="L6"),0.0001,0))+MAX(X14,Z14)*0.0000001</f>
        <v>52.80020528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O14" s="39">
        <v>4</v>
      </c>
      <c r="P14" s="39">
        <v>5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52.8</v>
      </c>
      <c r="S14" s="4">
        <f>MAX(T14,V14,X14,Z14)</f>
        <v>52.8</v>
      </c>
      <c r="T14" s="33">
        <v>49.900000000000006</v>
      </c>
      <c r="U14" s="40">
        <v>14.8</v>
      </c>
      <c r="V14" s="34">
        <v>43</v>
      </c>
      <c r="W14" s="40">
        <v>9.6000000000000014</v>
      </c>
      <c r="X14" s="33">
        <v>48.1</v>
      </c>
      <c r="Y14" s="40">
        <v>12</v>
      </c>
      <c r="Z14" s="34">
        <v>52.8</v>
      </c>
      <c r="AA14" s="37">
        <v>16.399999999999999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5</v>
      </c>
      <c r="C15" s="36" t="s">
        <v>164</v>
      </c>
      <c r="D15" s="36" t="str">
        <f>IF(E15="","",VLOOKUP(E15,'Coaching Points'!A:B,2,0))</f>
        <v>AB</v>
      </c>
      <c r="E15" s="36" t="s">
        <v>29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48.800202539999994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P15" s="39">
        <v>6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48.8</v>
      </c>
      <c r="S15" s="4">
        <f>MAX(T15,V15,X15,Z15)</f>
        <v>48.8</v>
      </c>
      <c r="T15" s="33">
        <v>48.8</v>
      </c>
      <c r="U15" s="40">
        <v>13.7</v>
      </c>
      <c r="V15" s="34">
        <v>26.7</v>
      </c>
      <c r="W15" s="40">
        <v>8.1</v>
      </c>
      <c r="X15" s="33">
        <v>25.400000000000002</v>
      </c>
      <c r="Y15" s="40">
        <v>6.8</v>
      </c>
      <c r="Z15" s="34"/>
      <c r="AA15" s="37"/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7</v>
      </c>
      <c r="C16" s="36" t="s">
        <v>408</v>
      </c>
      <c r="D16" s="36" t="str">
        <f>IF(E16="","",VLOOKUP(E16,'Coaching Points'!A:B,2,0))</f>
        <v>ON</v>
      </c>
      <c r="E16" s="36" t="s">
        <v>199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R16+IF(OR(H16="Junior",H16="Senior"),0.0002,IF(OR(H16="L7",H16="L6"),0.0001,0))+MAX(X16,Z16)*0.0000001</f>
        <v>52.000105199999993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51.999999999999993</v>
      </c>
      <c r="S16" s="4">
        <f>MAX(T16,V16,X16,Z16)</f>
        <v>51.999999999999993</v>
      </c>
      <c r="T16" s="33"/>
      <c r="U16" s="40"/>
      <c r="V16" s="34"/>
      <c r="W16" s="40"/>
      <c r="X16" s="33">
        <v>51.8</v>
      </c>
      <c r="Y16" s="40">
        <v>15.2</v>
      </c>
      <c r="Z16" s="34">
        <v>51.999999999999993</v>
      </c>
      <c r="AA16" s="37">
        <v>15.2</v>
      </c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11</v>
      </c>
      <c r="C17" s="36" t="s">
        <v>149</v>
      </c>
      <c r="D17" s="36" t="str">
        <f>IF(E17="","",VLOOKUP(E17,'Coaching Points'!A:B,2,0))</f>
        <v>ON</v>
      </c>
      <c r="E17" s="36" t="s">
        <v>141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50.000100000000003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50</v>
      </c>
      <c r="S17" s="4">
        <f>MAX(T17,V17,X17,Z17)</f>
        <v>50</v>
      </c>
      <c r="T17" s="33">
        <v>50</v>
      </c>
      <c r="U17" s="40">
        <v>11.6</v>
      </c>
      <c r="V17" s="34">
        <v>49.1</v>
      </c>
      <c r="W17" s="40">
        <v>11.6</v>
      </c>
      <c r="X17" s="33"/>
      <c r="Y17" s="40"/>
      <c r="Z17" s="34"/>
      <c r="AA17" s="37"/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14</v>
      </c>
      <c r="C18" s="36" t="s">
        <v>154</v>
      </c>
      <c r="D18" s="36" t="str">
        <f>IF(E18="","",VLOOKUP(E18,'Coaching Points'!A:B,2,0))</f>
        <v>AB</v>
      </c>
      <c r="E18" s="36" t="s">
        <v>89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49.200104920000008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49.2</v>
      </c>
      <c r="S18" s="4">
        <f>MAX(T18,V18,X18,Z18)</f>
        <v>49.2</v>
      </c>
      <c r="T18" s="33">
        <v>47.399999999999991</v>
      </c>
      <c r="U18" s="40">
        <v>11.6</v>
      </c>
      <c r="V18" s="34">
        <v>44.1</v>
      </c>
      <c r="W18" s="40">
        <v>8.4</v>
      </c>
      <c r="X18" s="33">
        <v>49.2</v>
      </c>
      <c r="Y18" s="40">
        <v>12.4</v>
      </c>
      <c r="Z18" s="34">
        <v>48.499999999999993</v>
      </c>
      <c r="AA18" s="37">
        <v>12.4</v>
      </c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2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3</v>
      </c>
      <c r="C66" s="36" t="s">
        <v>118</v>
      </c>
      <c r="D66" s="36" t="str">
        <f>IF(E66="","",VLOOKUP(E66,'Coaching Points'!A:B,2,0))</f>
        <v>AB</v>
      </c>
      <c r="E66" s="36" t="s">
        <v>91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45.100104510000001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1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45.1</v>
      </c>
      <c r="S66" s="4">
        <f>MAX(T66,V66,X66,Z66)</f>
        <v>45.1</v>
      </c>
      <c r="T66" s="33">
        <v>42.900000000000006</v>
      </c>
      <c r="U66" s="40">
        <v>7.1</v>
      </c>
      <c r="V66" s="34">
        <v>43.4</v>
      </c>
      <c r="W66" s="40">
        <v>6.4</v>
      </c>
      <c r="X66" s="33">
        <v>45.1</v>
      </c>
      <c r="Y66" s="40">
        <v>7.9</v>
      </c>
      <c r="Z66" s="34">
        <v>43.7</v>
      </c>
      <c r="AA66" s="37">
        <v>7.9</v>
      </c>
    </row>
    <row r="67" spans="1:27" x14ac:dyDescent="0.2">
      <c r="A67" s="1" t="str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/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2</v>
      </c>
      <c r="C67" s="36" t="s">
        <v>139</v>
      </c>
      <c r="D67" s="36" t="str">
        <f>IF(E67="","",VLOOKUP(E67,'Coaching Points'!A:B,2,0))</f>
        <v>AB</v>
      </c>
      <c r="E67" s="36" t="s">
        <v>137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/>
      <c r="J67" s="4">
        <f>R67+IF(OR(H67="Junior",H67="Senior"),0.0002,IF(OR(H67="L7",H67="L6"),0.0001,0))+MAX(X67,Z67)*0.0000001</f>
        <v>45.600104560000005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45.6</v>
      </c>
      <c r="S67" s="4">
        <f>MAX(T67,V67,X67,Z67)</f>
        <v>45.6</v>
      </c>
      <c r="T67" s="33">
        <v>43.1</v>
      </c>
      <c r="U67" s="40">
        <v>7.2999999999999989</v>
      </c>
      <c r="V67" s="34">
        <v>40.4</v>
      </c>
      <c r="W67" s="40">
        <v>7</v>
      </c>
      <c r="X67" s="33">
        <v>43.6</v>
      </c>
      <c r="Y67" s="40">
        <v>8.8000000000000007</v>
      </c>
      <c r="Z67" s="34">
        <v>45.6</v>
      </c>
      <c r="AA67" s="37">
        <v>8.3000000000000007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>6</v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9</v>
      </c>
      <c r="C8" s="36" t="s">
        <v>97</v>
      </c>
      <c r="D8" s="36" t="str">
        <f>IF(E8="","",VLOOKUP(E8,'Coaching Points'!A:B,2,0))</f>
        <v>AB</v>
      </c>
      <c r="E8" s="36" t="s">
        <v>29</v>
      </c>
      <c r="F8" s="35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45.200104310000008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45.2</v>
      </c>
      <c r="S8" s="4">
        <f>MAX(T8,V8,X8,Z8)</f>
        <v>45.2</v>
      </c>
      <c r="T8" s="33">
        <v>42.599999999999994</v>
      </c>
      <c r="U8" s="40">
        <v>8.3000000000000007</v>
      </c>
      <c r="V8" s="34">
        <v>45.2</v>
      </c>
      <c r="W8" s="40">
        <v>8.3000000000000007</v>
      </c>
      <c r="X8" s="33">
        <v>43.1</v>
      </c>
      <c r="Y8" s="40">
        <v>7.6</v>
      </c>
      <c r="Z8" s="34">
        <v>41.79999999999999</v>
      </c>
      <c r="AA8" s="37">
        <v>5.9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1</v>
      </c>
      <c r="C9" s="36" t="s">
        <v>107</v>
      </c>
      <c r="D9" s="36" t="str">
        <f>IF(E9="","",VLOOKUP(E9,'Coaching Points'!A:B,2,0))</f>
        <v>BC</v>
      </c>
      <c r="E9" s="36" t="s">
        <v>37</v>
      </c>
      <c r="F9" s="35">
        <v>2001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51.10020510999999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1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51.099999999999994</v>
      </c>
      <c r="S9" s="4">
        <f>MAX(T9,V9,X9,Z9)</f>
        <v>51.099999999999994</v>
      </c>
      <c r="T9" s="33">
        <v>50.800000000000004</v>
      </c>
      <c r="U9" s="40">
        <v>13.600000000000001</v>
      </c>
      <c r="V9" s="34">
        <v>50.5</v>
      </c>
      <c r="W9" s="40">
        <v>13.200000000000001</v>
      </c>
      <c r="X9" s="33">
        <v>51.099999999999994</v>
      </c>
      <c r="Y9" s="40">
        <v>13.6</v>
      </c>
      <c r="Z9" s="34">
        <v>27.5</v>
      </c>
      <c r="AA9" s="37">
        <v>8.4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2</v>
      </c>
      <c r="C10" s="36" t="s">
        <v>108</v>
      </c>
      <c r="D10" s="36" t="str">
        <f>IF(E10="","",VLOOKUP(E10,'Coaching Points'!A:B,2,0))</f>
        <v>SK</v>
      </c>
      <c r="E10" s="36" t="s">
        <v>46</v>
      </c>
      <c r="F10" s="35">
        <v>2002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50.700205069999996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2</v>
      </c>
      <c r="P10" s="39">
        <v>2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50.699999999999996</v>
      </c>
      <c r="S10" s="4">
        <f>MAX(T10,V10,X10,Z10)</f>
        <v>50.699999999999996</v>
      </c>
      <c r="T10" s="33">
        <v>48.5</v>
      </c>
      <c r="U10" s="40">
        <v>11.6</v>
      </c>
      <c r="V10" s="34">
        <v>49.8</v>
      </c>
      <c r="W10" s="40">
        <v>11.6</v>
      </c>
      <c r="X10" s="33">
        <v>50.699999999999996</v>
      </c>
      <c r="Y10" s="40">
        <v>13.2</v>
      </c>
      <c r="Z10" s="34">
        <v>50.699999999999996</v>
      </c>
      <c r="AA10" s="37">
        <v>13.2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4</v>
      </c>
      <c r="C11" s="36" t="s">
        <v>110</v>
      </c>
      <c r="D11" s="36" t="str">
        <f>IF(E11="","",VLOOKUP(E11,'Coaching Points'!A:B,2,0))</f>
        <v>AB</v>
      </c>
      <c r="E11" s="36" t="s">
        <v>29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49.200204429999999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O11" s="39">
        <v>3</v>
      </c>
      <c r="P11" s="39">
        <v>3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49.2</v>
      </c>
      <c r="S11" s="4">
        <f>MAX(T11,V11,X11,Z11)</f>
        <v>49.2</v>
      </c>
      <c r="T11" s="33">
        <v>49.2</v>
      </c>
      <c r="U11" s="40">
        <v>11.6</v>
      </c>
      <c r="V11" s="34">
        <v>48</v>
      </c>
      <c r="W11" s="40">
        <v>11.6</v>
      </c>
      <c r="X11" s="33">
        <v>43.199999999999996</v>
      </c>
      <c r="Y11" s="40">
        <v>8.9</v>
      </c>
      <c r="Z11" s="34">
        <v>44.29999999999999</v>
      </c>
      <c r="AA11" s="37">
        <v>8.8000000000000007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3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>2</v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 t="s">
        <v>604</v>
      </c>
      <c r="J53" s="4">
        <f>R53+IF(OR(H53="Junior",H53="Senior"),0.0002,IF(OR(H53="L7",H53="L6"),0.0001,0))+MAX(X53,Z53)*0.0000001</f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>
        <f>IF(A53&lt;5,IF(_xlfn.MAXIFS(A:A,G:G,G53)&gt;3,5-A53,_xlfn.MAXIFS(A:A,G:G,G53)+1-A53),"")</f>
        <v>2</v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>MAX(T53,V53,X53,Z53)</f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>3</v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 t="s">
        <v>604</v>
      </c>
      <c r="J54" s="4">
        <f>R54+IF(OR(H54="Junior",H54="Senior"),0.0002,IF(OR(H54="L7",H54="L6"),0.0001,0))+MAX(X54,Z54)*0.0000001</f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>
        <f>IF(A54&lt;5,IF(_xlfn.MAXIFS(A:A,G:G,G54)&gt;3,5-A54,_xlfn.MAXIFS(A:A,G:G,G54)+1-A54),"")</f>
        <v>1</v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>MAX(T54,V54,X54,Z54)</f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3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3</v>
      </c>
      <c r="C77" s="36" t="s">
        <v>90</v>
      </c>
      <c r="D77" s="36" t="str">
        <f>IF(E77="","",VLOOKUP(E77,'Coaching Points'!A:B,2,0))</f>
        <v>AB</v>
      </c>
      <c r="E77" s="36" t="s">
        <v>91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44.700104470000007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2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</v>
      </c>
      <c r="S77" s="4">
        <f>MAX(T77,V77,X77,Z77)</f>
        <v>44.7</v>
      </c>
      <c r="T77" s="33">
        <v>44.5</v>
      </c>
      <c r="U77" s="40">
        <v>8</v>
      </c>
      <c r="V77" s="34">
        <v>44.599999999999994</v>
      </c>
      <c r="W77" s="40">
        <v>7.1999999999999993</v>
      </c>
      <c r="X77" s="33">
        <v>42.099999999999994</v>
      </c>
      <c r="Y77" s="40">
        <v>6.8000000000000007</v>
      </c>
      <c r="Z77" s="34">
        <v>44.7</v>
      </c>
      <c r="AA77" s="37">
        <v>7.1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4</v>
      </c>
      <c r="C78" s="36" t="s">
        <v>92</v>
      </c>
      <c r="D78" s="36" t="str">
        <f>IF(E78="","",VLOOKUP(E78,'Coaching Points'!A:B,2,0))</f>
        <v>BC</v>
      </c>
      <c r="E78" s="36" t="s">
        <v>59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43.700104370000005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1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43.7</v>
      </c>
      <c r="S78" s="4">
        <f>MAX(T78,V78,X78,Z78)</f>
        <v>43.7</v>
      </c>
      <c r="T78" s="33">
        <v>43</v>
      </c>
      <c r="U78" s="40">
        <v>6.1</v>
      </c>
      <c r="V78" s="34">
        <v>43.2</v>
      </c>
      <c r="W78" s="40">
        <v>6.5</v>
      </c>
      <c r="X78" s="33">
        <v>43.7</v>
      </c>
      <c r="Y78" s="40">
        <v>6.3000000000000007</v>
      </c>
      <c r="Z78" s="34">
        <v>38.4</v>
      </c>
      <c r="AA78" s="37">
        <v>3.7</v>
      </c>
    </row>
    <row r="79" spans="1:27" x14ac:dyDescent="0.2">
      <c r="A79" s="1" t="str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/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2</v>
      </c>
      <c r="C79" s="36" t="s">
        <v>64</v>
      </c>
      <c r="D79" s="36" t="str">
        <f>IF(E79="","",VLOOKUP(E79,'Coaching Points'!A:B,2,0))</f>
        <v>BC</v>
      </c>
      <c r="E79" s="36" t="s">
        <v>47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/>
      <c r="J79" s="4">
        <f>R79+IF(OR(H79="Junior",H79="Senior"),0.0002,IF(OR(H79="L7",H79="L6"),0.0001,0))+MAX(X79,Z79)*0.0000001</f>
        <v>44.740104420000009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44.74</v>
      </c>
      <c r="S79" s="4">
        <f>MAX(T79,V79,X79,Z79)</f>
        <v>44.74</v>
      </c>
      <c r="T79" s="33">
        <v>44.74</v>
      </c>
      <c r="U79" s="40">
        <v>7.5</v>
      </c>
      <c r="V79" s="34">
        <v>22.2</v>
      </c>
      <c r="W79" s="40">
        <v>3.5</v>
      </c>
      <c r="X79" s="33">
        <v>43.599999999999994</v>
      </c>
      <c r="Y79" s="40">
        <v>7.5</v>
      </c>
      <c r="Z79" s="34">
        <v>44.2</v>
      </c>
      <c r="AA79" s="37">
        <v>7.9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310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4</v>
      </c>
      <c r="C4" s="36" t="s">
        <v>316</v>
      </c>
      <c r="D4" s="36" t="str">
        <f>IF(E4="","",VLOOKUP(E4,'Coaching Points'!A:B,2,0))</f>
        <v>AB</v>
      </c>
      <c r="E4" s="36" t="s">
        <v>89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117</v>
      </c>
      <c r="I4" s="45" t="s">
        <v>604</v>
      </c>
      <c r="J4" s="4">
        <f>R4+IF(OR(H4="Junior",H4="Senior"),0.0002,IF(OR(H4="L7",H4="L6"),0.0001,0))+MAX(X4,Z4)*0.0000001</f>
        <v>46.200104619999998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46.199999999999996</v>
      </c>
      <c r="S4" s="4">
        <f>MAX(T4,V4,X4,Z4)</f>
        <v>46.199999999999996</v>
      </c>
      <c r="T4" s="33">
        <v>35.299999999999997</v>
      </c>
      <c r="U4" s="40">
        <v>2.4</v>
      </c>
      <c r="V4" s="34">
        <v>0</v>
      </c>
      <c r="W4" s="40">
        <v>0</v>
      </c>
      <c r="X4" s="33">
        <v>44</v>
      </c>
      <c r="Y4" s="40">
        <v>9.3999999999999986</v>
      </c>
      <c r="Z4" s="34">
        <v>46.199999999999996</v>
      </c>
      <c r="AA4" s="37">
        <v>10.1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5</v>
      </c>
      <c r="C5" s="36" t="s">
        <v>312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44.60020437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2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44.6</v>
      </c>
      <c r="S5" s="4">
        <f>MAX(T5,V5,X5,Z5)</f>
        <v>44.6</v>
      </c>
      <c r="T5" s="33">
        <v>44.1</v>
      </c>
      <c r="U5" s="40">
        <v>9.6999999999999993</v>
      </c>
      <c r="V5" s="34">
        <v>44.6</v>
      </c>
      <c r="W5" s="40">
        <v>9.5</v>
      </c>
      <c r="X5" s="33">
        <v>43.699999999999996</v>
      </c>
      <c r="Y5" s="40">
        <v>10.6</v>
      </c>
      <c r="Z5" s="34">
        <v>37.9</v>
      </c>
      <c r="AA5" s="37">
        <v>7.4</v>
      </c>
    </row>
    <row r="6" spans="1:27" x14ac:dyDescent="0.2">
      <c r="A6" s="1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>4</v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6</v>
      </c>
      <c r="C6" s="36" t="s">
        <v>564</v>
      </c>
      <c r="D6" s="36" t="str">
        <f>IF(E6="","",VLOOKUP(E6,'Coaching Points'!A:B,2,0))</f>
        <v>MB</v>
      </c>
      <c r="E6" s="36" t="s">
        <v>129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44.300104429999998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44.3</v>
      </c>
      <c r="S6" s="4">
        <f>MAX(T6,V6,X6,Z6)</f>
        <v>44.3</v>
      </c>
      <c r="T6" s="33"/>
      <c r="U6" s="40"/>
      <c r="V6" s="34"/>
      <c r="W6" s="40"/>
      <c r="X6" s="33">
        <v>44.3</v>
      </c>
      <c r="Y6" s="40">
        <v>9.6999999999999993</v>
      </c>
      <c r="Z6" s="34">
        <v>40.4</v>
      </c>
      <c r="AA6" s="37">
        <v>6.6999999999999993</v>
      </c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1</v>
      </c>
      <c r="C7" s="36" t="s">
        <v>317</v>
      </c>
      <c r="D7" s="36" t="str">
        <f>IF(E7="","",VLOOKUP(E7,'Coaching Points'!A:B,2,0))</f>
        <v>ON</v>
      </c>
      <c r="E7" s="36" t="s">
        <v>303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48.700200000000002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48.7</v>
      </c>
      <c r="S7" s="4">
        <f>MAX(T7,V7,X7,Z7)</f>
        <v>48.7</v>
      </c>
      <c r="T7" s="33">
        <v>48.26</v>
      </c>
      <c r="U7" s="40">
        <v>12.4</v>
      </c>
      <c r="V7" s="34">
        <v>48.7</v>
      </c>
      <c r="W7" s="40">
        <v>12.4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2</v>
      </c>
      <c r="C8" s="36" t="s">
        <v>566</v>
      </c>
      <c r="D8" s="36" t="str">
        <f>IF(E8="","",VLOOKUP(E8,'Coaching Points'!A:B,2,0))</f>
        <v>AB</v>
      </c>
      <c r="E8" s="36" t="s">
        <v>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46.900204689999995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4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46.9</v>
      </c>
      <c r="S8" s="4">
        <f>MAX(T8,V8,X8,Z8)</f>
        <v>46.9</v>
      </c>
      <c r="T8" s="33"/>
      <c r="U8" s="40"/>
      <c r="V8" s="34"/>
      <c r="W8" s="40"/>
      <c r="X8" s="33">
        <v>42.7</v>
      </c>
      <c r="Y8" s="40">
        <v>9.1</v>
      </c>
      <c r="Z8" s="34">
        <v>46.9</v>
      </c>
      <c r="AA8" s="37">
        <v>12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2022-08-08T14:54:52Z</dcterms:modified>
</cp:coreProperties>
</file>