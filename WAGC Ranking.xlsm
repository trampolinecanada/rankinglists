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02CAA65-A0F3-9F47-A0EA-D7C9B018B9E3}" xr6:coauthVersionLast="47" xr6:coauthVersionMax="47" xr10:uidLastSave="{00000000-0000-0000-0000-000000000000}"/>
  <bookViews>
    <workbookView xWindow="33600" yWindow="-9080" windowWidth="33600" windowHeight="20500" activeTab="7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19" i="15" a="1"/>
  <c r="A19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42" i="16" l="1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4" i="14" a="1"/>
  <c r="A9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0" i="6" a="1"/>
  <c r="A20" i="6" s="1"/>
  <c r="A21" i="6" a="1"/>
  <c r="A21" i="6" s="1"/>
  <c r="A22" i="6" a="1"/>
  <c r="A22" i="6" s="1"/>
  <c r="A19" i="6" a="1"/>
  <c r="A19" i="6" s="1"/>
  <c r="Q19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8" i="6" a="1"/>
  <c r="A18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5" i="11" a="1"/>
  <c r="A125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4" i="3" a="1"/>
  <c r="A24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19" i="6"/>
  <c r="G19" i="6"/>
  <c r="K19" i="6" s="1"/>
  <c r="R19" i="6"/>
  <c r="S19" i="6" s="1"/>
  <c r="J19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9" i="3"/>
  <c r="G9" i="3"/>
  <c r="L9" i="3" s="1"/>
  <c r="X9" i="3"/>
  <c r="AE9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6" i="6"/>
  <c r="S16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20" i="6"/>
  <c r="S20" i="6" s="1"/>
  <c r="R24" i="6"/>
  <c r="S24" i="6" s="1"/>
  <c r="R13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8" i="6"/>
  <c r="S18" i="6" s="1"/>
  <c r="R5" i="6"/>
  <c r="S5" i="6" s="1"/>
  <c r="R3" i="6"/>
  <c r="S3" i="6" s="1"/>
  <c r="J3" i="6" s="1"/>
  <c r="R8" i="6"/>
  <c r="S8" i="6" s="1"/>
  <c r="R4" i="6"/>
  <c r="R15" i="6"/>
  <c r="S15" i="6" s="1"/>
  <c r="R23" i="6"/>
  <c r="S23" i="6" s="1"/>
  <c r="R11" i="6"/>
  <c r="S11" i="6" s="1"/>
  <c r="R42" i="6"/>
  <c r="S42" i="6" s="1"/>
  <c r="R17" i="6"/>
  <c r="S17" i="6" s="1"/>
  <c r="J17" i="6" s="1"/>
  <c r="R6" i="6"/>
  <c r="S6" i="6" s="1"/>
  <c r="R14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19" i="6"/>
  <c r="J7" i="6"/>
  <c r="L85" i="6"/>
  <c r="S81" i="6"/>
  <c r="J81" i="6" s="1"/>
  <c r="J79" i="6"/>
  <c r="L74" i="6"/>
  <c r="S95" i="6"/>
  <c r="J95" i="6" s="1"/>
  <c r="L36" i="6"/>
  <c r="L19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9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9" i="3"/>
  <c r="S9" i="3" s="1"/>
  <c r="S56" i="3"/>
  <c r="J56" i="3" s="1"/>
  <c r="R55" i="3"/>
  <c r="M48" i="3"/>
  <c r="L47" i="3"/>
  <c r="R31" i="3"/>
  <c r="S31" i="3" s="1"/>
  <c r="S57" i="3"/>
  <c r="M53" i="3"/>
  <c r="L48" i="3"/>
  <c r="M9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20" i="6"/>
  <c r="J69" i="6"/>
  <c r="J41" i="6"/>
  <c r="J34" i="6"/>
  <c r="J40" i="6"/>
  <c r="J77" i="6"/>
  <c r="J93" i="6"/>
  <c r="J8" i="6"/>
  <c r="J70" i="6"/>
  <c r="J11" i="6"/>
  <c r="J62" i="6"/>
  <c r="J72" i="6"/>
  <c r="J94" i="6"/>
  <c r="J18" i="6"/>
  <c r="J37" i="6"/>
  <c r="J5" i="6"/>
  <c r="J39" i="6"/>
  <c r="J25" i="6"/>
  <c r="J44" i="6"/>
  <c r="J21" i="6"/>
  <c r="J75" i="6"/>
  <c r="J97" i="6"/>
  <c r="J52" i="6"/>
  <c r="J64" i="6"/>
  <c r="J15" i="6"/>
  <c r="J12" i="6"/>
  <c r="J31" i="6"/>
  <c r="J24" i="6"/>
  <c r="J42" i="6"/>
  <c r="J58" i="6"/>
  <c r="S13" i="6"/>
  <c r="J13" i="6" s="1"/>
  <c r="S61" i="6"/>
  <c r="J61" i="6" s="1"/>
  <c r="S89" i="6"/>
  <c r="J89" i="6" s="1"/>
  <c r="J43" i="6"/>
  <c r="S14" i="6"/>
  <c r="J14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6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9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AE71" i="11" l="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3" i="6"/>
  <c r="D12" i="6"/>
  <c r="D27" i="6"/>
  <c r="D22" i="6"/>
  <c r="D41" i="6"/>
  <c r="D56" i="6"/>
  <c r="D58" i="6"/>
  <c r="D25" i="6"/>
  <c r="D60" i="6"/>
  <c r="D62" i="6"/>
  <c r="D64" i="6"/>
  <c r="D59" i="6"/>
  <c r="D18" i="6"/>
  <c r="D5" i="6"/>
  <c r="D3" i="6"/>
  <c r="D8" i="6"/>
  <c r="D4" i="6"/>
  <c r="D15" i="6"/>
  <c r="D23" i="6"/>
  <c r="D11" i="6"/>
  <c r="D42" i="6"/>
  <c r="D17" i="6"/>
  <c r="D6" i="6"/>
  <c r="D77" i="6"/>
  <c r="D61" i="6"/>
  <c r="D63" i="6"/>
  <c r="D72" i="6"/>
  <c r="D68" i="6"/>
  <c r="D87" i="6"/>
  <c r="D10" i="6"/>
  <c r="D9" i="6"/>
  <c r="D21" i="6"/>
  <c r="D20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4" i="6"/>
  <c r="D26" i="6"/>
  <c r="D16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7" i="3"/>
  <c r="D5" i="3"/>
  <c r="D8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8" i="6"/>
  <c r="G18" i="6"/>
  <c r="G13" i="6"/>
  <c r="Q58" i="6"/>
  <c r="G58" i="6"/>
  <c r="G17" i="6"/>
  <c r="G15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8" i="3"/>
  <c r="X8" i="3"/>
  <c r="AE8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8" i="3"/>
  <c r="S8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8" i="6"/>
  <c r="M12" i="6"/>
  <c r="M62" i="6"/>
  <c r="K58" i="6"/>
  <c r="K40" i="6"/>
  <c r="K41" i="6"/>
  <c r="K23" i="6"/>
  <c r="M22" i="6"/>
  <c r="M3" i="6"/>
  <c r="K15" i="6"/>
  <c r="K8" i="6"/>
  <c r="K77" i="6"/>
  <c r="K5" i="6"/>
  <c r="M27" i="6"/>
  <c r="B27" i="6" s="1" a="1"/>
  <c r="B27" i="6" s="1"/>
  <c r="K13" i="6"/>
  <c r="K59" i="6"/>
  <c r="K6" i="6"/>
  <c r="M17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8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7" i="6"/>
  <c r="M13" i="6"/>
  <c r="L13" i="6"/>
  <c r="L18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5" i="6"/>
  <c r="L17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5" i="6"/>
  <c r="N35" i="13"/>
  <c r="A35" i="13" s="1" a="1"/>
  <c r="A35" i="13" s="1"/>
  <c r="R35" i="13" s="1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A3" i="13" s="1" a="1"/>
  <c r="A3" i="13" s="1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8" i="3"/>
  <c r="M4" i="3"/>
  <c r="K67" i="3"/>
  <c r="L81" i="3"/>
  <c r="L8" i="3"/>
  <c r="L4" i="3"/>
  <c r="K81" i="3"/>
  <c r="K8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7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7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7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20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6" i="6"/>
  <c r="G32" i="6"/>
  <c r="G45" i="6"/>
  <c r="G14" i="6"/>
  <c r="G38" i="6"/>
  <c r="G52" i="6"/>
  <c r="G39" i="6"/>
  <c r="G26" i="6"/>
  <c r="G72" i="6"/>
  <c r="G50" i="3"/>
  <c r="B66" i="14" l="1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R4" i="13" s="1"/>
  <c r="B27" i="12" a="1"/>
  <c r="B27" i="12" s="1"/>
  <c r="A27" i="12" a="1"/>
  <c r="A27" i="12" s="1"/>
  <c r="R27" i="12" s="1"/>
  <c r="B15" i="12" a="1"/>
  <c r="B15" i="12" s="1"/>
  <c r="A3" i="12" a="1"/>
  <c r="A3" i="12" s="1"/>
  <c r="R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8" i="6" a="1"/>
  <c r="B18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8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7" i="3"/>
  <c r="R7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20" i="6"/>
  <c r="M67" i="6"/>
  <c r="L9" i="6"/>
  <c r="M45" i="6"/>
  <c r="B45" i="6" s="1" a="1"/>
  <c r="B45" i="6" s="1"/>
  <c r="L72" i="6"/>
  <c r="M16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0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A62" i="14" s="1" a="1"/>
  <c r="A62" i="14" s="1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6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20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4" i="6"/>
  <c r="L89" i="6"/>
  <c r="L63" i="6"/>
  <c r="L60" i="6"/>
  <c r="M39" i="6"/>
  <c r="B39" i="6" s="1" a="1"/>
  <c r="B39" i="6" s="1"/>
  <c r="M43" i="6"/>
  <c r="M61" i="6"/>
  <c r="M9" i="6"/>
  <c r="M4" i="6"/>
  <c r="K52" i="6"/>
  <c r="K16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20" i="6"/>
  <c r="K14" i="6"/>
  <c r="K89" i="6"/>
  <c r="K63" i="6"/>
  <c r="K60" i="6"/>
  <c r="M14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7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B125" i="11" s="1" a="1"/>
  <c r="B125" i="11" s="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7" i="3"/>
  <c r="M78" i="3"/>
  <c r="L68" i="3"/>
  <c r="L52" i="3"/>
  <c r="L37" i="3"/>
  <c r="L104" i="3"/>
  <c r="K33" i="3"/>
  <c r="K7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A7" i="6" l="1" a="1"/>
  <c r="A7" i="6" s="1"/>
  <c r="Q7" i="6" s="1"/>
  <c r="E20" i="17" s="1"/>
  <c r="F20" i="17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Q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4" i="6" a="1"/>
  <c r="A14" i="6" s="1"/>
  <c r="Q14" i="6" s="1"/>
  <c r="A16" i="6" a="1"/>
  <c r="A16" i="6" s="1"/>
  <c r="A13" i="6" a="1"/>
  <c r="A13" i="6" s="1"/>
  <c r="Q13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5" i="6" a="1"/>
  <c r="A15" i="6" s="1"/>
  <c r="Q15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A17" i="6" a="1"/>
  <c r="A17" i="6" s="1"/>
  <c r="Q17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Q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Q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Q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6" i="6" a="1"/>
  <c r="B16" i="6" s="1"/>
  <c r="B87" i="6" a="1"/>
  <c r="B87" i="6" s="1"/>
  <c r="B6" i="6" a="1"/>
  <c r="B6" i="6" s="1"/>
  <c r="B65" i="6" a="1"/>
  <c r="B65" i="6" s="1"/>
  <c r="B17" i="6" a="1"/>
  <c r="B17" i="6" s="1"/>
  <c r="B61" i="6" a="1"/>
  <c r="B61" i="6" s="1"/>
  <c r="B9" i="6" a="1"/>
  <c r="B9" i="6" s="1"/>
  <c r="B66" i="6" a="1"/>
  <c r="B66" i="6" s="1"/>
  <c r="B11" i="6" a="1"/>
  <c r="B11" i="6" s="1"/>
  <c r="B15" i="6" a="1"/>
  <c r="B15" i="6" s="1"/>
  <c r="B14" i="6" a="1"/>
  <c r="B14" i="6" s="1"/>
  <c r="B67" i="6" a="1"/>
  <c r="B67" i="6" s="1"/>
  <c r="B22" i="6" a="1"/>
  <c r="B22" i="6" s="1"/>
  <c r="B7" i="6" a="1"/>
  <c r="B7" i="6" s="1"/>
  <c r="B10" i="6" a="1"/>
  <c r="B10" i="6" s="1"/>
  <c r="B20" i="6" a="1"/>
  <c r="B20" i="6" s="1"/>
  <c r="B13" i="6" a="1"/>
  <c r="B13" i="6" s="1"/>
  <c r="B63" i="6" a="1"/>
  <c r="B63" i="6" s="1"/>
  <c r="B21" i="6" a="1"/>
  <c r="B21" i="6" s="1"/>
  <c r="B12" i="6" a="1"/>
  <c r="B12" i="6" s="1"/>
  <c r="B8" i="6" a="1"/>
  <c r="B8" i="6" s="1"/>
  <c r="B19" i="6" a="1"/>
  <c r="B19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7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76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31" i="11"/>
  <c r="Q26" i="11"/>
  <c r="Q71" i="11"/>
  <c r="Q73" i="11"/>
  <c r="Q76" i="11"/>
  <c r="Q32" i="11"/>
  <c r="Q38" i="11"/>
  <c r="Q40" i="11"/>
  <c r="Q46" i="11"/>
  <c r="Q128" i="11"/>
  <c r="Q90" i="11"/>
  <c r="Q99" i="11"/>
  <c r="Q56" i="11"/>
  <c r="Q50" i="11"/>
  <c r="Q101" i="11"/>
  <c r="Q21" i="11"/>
  <c r="Q24" i="11"/>
  <c r="Q41" i="11"/>
  <c r="Q125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Q94" i="14" l="1"/>
  <c r="Q61" i="14"/>
  <c r="Q34" i="15"/>
  <c r="Q5" i="15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B51" i="3" a="1"/>
  <c r="B51" i="3" s="1"/>
  <c r="B54" i="3" a="1"/>
  <c r="B54" i="3" s="1"/>
  <c r="B52" i="3" a="1"/>
  <c r="B52" i="3" s="1"/>
  <c r="B9" i="3" a="1"/>
  <c r="B9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8" i="3" a="1"/>
  <c r="A8" i="3" s="1"/>
  <c r="Q8" i="3" s="1"/>
  <c r="C36" i="17" s="1"/>
  <c r="A7" i="3" a="1"/>
  <c r="A7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9" i="3" a="1"/>
  <c r="A9" i="3" s="1"/>
  <c r="Q9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7" i="3" a="1"/>
  <c r="B7" i="3" s="1"/>
  <c r="B98" i="3" a="1"/>
  <c r="B98" i="3" s="1"/>
  <c r="B8" i="3" a="1"/>
  <c r="B8" i="3" s="1"/>
  <c r="B3" i="3" a="1"/>
  <c r="B3" i="3" s="1"/>
  <c r="C29" i="17"/>
  <c r="D29" i="17" s="1"/>
  <c r="G14" i="17"/>
  <c r="H14" i="17" s="1"/>
  <c r="G61" i="17"/>
  <c r="H61" i="17" s="1"/>
  <c r="G49" i="17"/>
  <c r="H49" i="17" s="1"/>
  <c r="G9" i="17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6" i="14"/>
  <c r="E50" i="17" s="1"/>
  <c r="Q68" i="6"/>
  <c r="R36" i="13"/>
  <c r="Q70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15" i="17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E52" i="17" s="1"/>
  <c r="Q44" i="6"/>
  <c r="E29" i="17" s="1"/>
  <c r="F29" i="17" s="1"/>
  <c r="Q32" i="6"/>
  <c r="Q61" i="6"/>
  <c r="Q16" i="6"/>
  <c r="Q43" i="6"/>
  <c r="Q16" i="16"/>
  <c r="G57" i="17"/>
  <c r="Q20" i="16"/>
  <c r="G23" i="17" s="1"/>
  <c r="H23" i="17" s="1"/>
  <c r="Q21" i="15"/>
  <c r="Q17" i="15"/>
  <c r="Q22" i="11"/>
  <c r="Q17" i="11"/>
  <c r="Q6" i="11" l="1"/>
  <c r="E10" i="17"/>
  <c r="D58" i="2" a="1"/>
  <c r="D58" i="2" s="1"/>
  <c r="E19" i="17"/>
  <c r="D50" i="2" a="1"/>
  <c r="D50" i="2" s="1"/>
  <c r="D60" i="2" a="1"/>
  <c r="D60" i="2" s="1"/>
  <c r="D59" i="2" a="1"/>
  <c r="D59" i="2" s="1"/>
  <c r="D62" i="2" a="1"/>
  <c r="D62" i="2" s="1"/>
  <c r="D37" i="2" a="1"/>
  <c r="D37" i="2" s="1"/>
  <c r="D48" i="2" a="1"/>
  <c r="D48" i="2" s="1"/>
  <c r="D45" i="2" a="1"/>
  <c r="D45" i="2" s="1"/>
  <c r="D35" i="2" a="1"/>
  <c r="D35" i="2" s="1"/>
  <c r="D39" i="2" a="1"/>
  <c r="D39" i="2" s="1"/>
  <c r="D43" i="2" a="1"/>
  <c r="D43" i="2" s="1"/>
  <c r="D47" i="2" a="1"/>
  <c r="D47" i="2" s="1"/>
  <c r="Q3" i="11"/>
  <c r="D42" i="2" a="1"/>
  <c r="D42" i="2" s="1"/>
  <c r="D44" i="2" a="1"/>
  <c r="D44" i="2" s="1"/>
  <c r="D56" i="2" a="1"/>
  <c r="D56" i="2" s="1"/>
  <c r="D53" i="2" a="1"/>
  <c r="D53" i="2" s="1"/>
  <c r="D61" i="2" a="1"/>
  <c r="D61" i="2" s="1"/>
  <c r="D38" i="2" a="1"/>
  <c r="D38" i="2" s="1"/>
  <c r="D41" i="2" a="1"/>
  <c r="D41" i="2" s="1"/>
  <c r="D51" i="2" a="1"/>
  <c r="D51" i="2" s="1"/>
  <c r="D63" i="2" a="1"/>
  <c r="D63" i="2" s="1"/>
  <c r="D49" i="2" a="1"/>
  <c r="D49" i="2" s="1"/>
  <c r="Q5" i="11"/>
  <c r="C46" i="17" s="1"/>
  <c r="D64" i="2" a="1"/>
  <c r="D64" i="2" s="1"/>
  <c r="D65" i="2" a="1"/>
  <c r="D65" i="2" s="1"/>
  <c r="D54" i="2" a="1"/>
  <c r="D54" i="2" s="1"/>
  <c r="D55" i="2" a="1"/>
  <c r="D55" i="2" s="1"/>
  <c r="D36" i="2" a="1"/>
  <c r="D36" i="2" s="1"/>
  <c r="D40" i="2" a="1"/>
  <c r="D40" i="2" s="1"/>
  <c r="D57" i="2" a="1"/>
  <c r="D57" i="2" s="1"/>
  <c r="D46" i="2" a="1"/>
  <c r="D46" i="2" s="1"/>
  <c r="D52" i="2" a="1"/>
  <c r="D52" i="2" s="1"/>
  <c r="D34" i="2" a="1"/>
  <c r="D34" i="2" s="1"/>
  <c r="Q4" i="11"/>
  <c r="C39" i="17" s="1"/>
  <c r="C55" i="17"/>
  <c r="D55" i="17" s="1"/>
  <c r="D32" i="2" a="1"/>
  <c r="D32" i="2" s="1"/>
  <c r="D27" i="2" a="1"/>
  <c r="D27" i="2" s="1"/>
  <c r="D23" i="2" a="1"/>
  <c r="D23" i="2" s="1"/>
  <c r="D14" i="2" a="1"/>
  <c r="D14" i="2" s="1"/>
  <c r="D30" i="2" a="1"/>
  <c r="D30" i="2" s="1"/>
  <c r="D19" i="2" a="1"/>
  <c r="D19" i="2" s="1"/>
  <c r="D22" i="2" a="1"/>
  <c r="D22" i="2" s="1"/>
  <c r="D25" i="2" a="1"/>
  <c r="D25" i="2" s="1"/>
  <c r="D29" i="2" a="1"/>
  <c r="D29" i="2" s="1"/>
  <c r="D26" i="2" a="1"/>
  <c r="D26" i="2" s="1"/>
  <c r="D24" i="2" a="1"/>
  <c r="D24" i="2" s="1"/>
  <c r="D9" i="2" a="1"/>
  <c r="D9" i="2" s="1"/>
  <c r="D21" i="2" a="1"/>
  <c r="D21" i="2" s="1"/>
  <c r="D7" i="2" a="1"/>
  <c r="D7" i="2" s="1"/>
  <c r="D28" i="2" a="1"/>
  <c r="D28" i="2" s="1"/>
  <c r="D4" i="2" a="1"/>
  <c r="D4" i="2" s="1"/>
  <c r="D12" i="2" a="1"/>
  <c r="D12" i="2" s="1"/>
  <c r="D6" i="2" a="1"/>
  <c r="D6" i="2" s="1"/>
  <c r="D18" i="2" a="1"/>
  <c r="D18" i="2" s="1"/>
  <c r="D10" i="2" a="1"/>
  <c r="D10" i="2" s="1"/>
  <c r="D5" i="2" a="1"/>
  <c r="D5" i="2" s="1"/>
  <c r="D15" i="2" a="1"/>
  <c r="D15" i="2" s="1"/>
  <c r="D13" i="2" a="1"/>
  <c r="D13" i="2" s="1"/>
  <c r="D16" i="2" a="1"/>
  <c r="D16" i="2" s="1"/>
  <c r="D33" i="2" a="1"/>
  <c r="D33" i="2" s="1"/>
  <c r="D3" i="2" a="1"/>
  <c r="D3" i="2" s="1"/>
  <c r="Q5" i="3"/>
  <c r="C11" i="17" s="1"/>
  <c r="D17" i="2" a="1"/>
  <c r="D17" i="2" s="1"/>
  <c r="D31" i="2" a="1"/>
  <c r="D31" i="2" s="1"/>
  <c r="D8" i="2" a="1"/>
  <c r="D8" i="2" s="1"/>
  <c r="D11" i="2" a="1"/>
  <c r="D11" i="2" s="1"/>
  <c r="D20" i="2" a="1"/>
  <c r="D20" i="2" s="1"/>
  <c r="D2" i="2" a="1"/>
  <c r="D2" i="2" s="1"/>
  <c r="Q3" i="3"/>
  <c r="Q4" i="3"/>
  <c r="C61" i="17" s="1"/>
  <c r="Q6" i="3"/>
  <c r="Q7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D63" i="17" s="1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H48" i="17" l="1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14" i="17" l="1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<sst xmlns="http://schemas.openxmlformats.org/spreadsheetml/2006/main" count="2827" uniqueCount="569">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</sst>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>LEVASSEUR, Nathan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>ZUREK, Nolan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>DON, Alexander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_xlfn.IFNA(INDEX('TRA-W'!C$3:C$73,MATCH(1,(C34='TRA-W'!A$3:A$73)*(B34='TRA-W'!G$3:G$73),0)),"")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_xlfn.IFNA(INDEX('TRA-W'!C$3:C$73,MATCH(1,(C35='TRA-W'!A$3:A$73)*(B35='TRA-W'!G$3:G$73),0)),"")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_xlfn.IFNA(INDEX('TRA-W'!C$3:C$73,MATCH(1,(C36='TRA-W'!A$3:A$73)*(B36='TRA-W'!G$3:G$73),0)),"")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_xlfn.IFNA(INDEX('TRA-W'!C$3:C$73,MATCH(1,(C37='TRA-W'!A$3:A$73)*(B37='TRA-W'!G$3:G$73),0)),"")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_xlfn.IFNA(INDEX('TRA-W'!C$3:C$73,MATCH(1,(C38='TRA-W'!A$3:A$73)*(B38='TRA-W'!G$3:G$73),0)),"")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_xlfn.IFNA(INDEX('TRA-W'!C$3:C$73,MATCH(1,(C39='TRA-W'!A$3:A$73)*(B39='TRA-W'!G$3:G$73),0)),"")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_xlfn.IFNA(INDEX('TRA-W'!C$3:C$73,MATCH(1,(C40='TRA-W'!A$3:A$73)*(B40='TRA-W'!G$3:G$73),0)),"")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_xlfn.IFNA(INDEX('TRA-W'!C$3:C$73,MATCH(1,(C41='TRA-W'!A$3:A$73)*(B41='TRA-W'!G$3:G$73),0)),"")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_xlfn.IFNA(INDEX('TRA-W'!C$3:C$73,MATCH(1,(C42='TRA-W'!A$3:A$73)*(B42='TRA-W'!G$3:G$73),0)),"")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_xlfn.IFNA(INDEX('TRA-W'!C$3:C$73,MATCH(1,(C43='TRA-W'!A$3:A$73)*(B43='TRA-W'!G$3:G$73),0)),"")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_xlfn.IFNA(INDEX('TRA-W'!C$3:C$73,MATCH(1,(C44='TRA-W'!A$3:A$73)*(B44='TRA-W'!G$3:G$73),0)),"")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_xlfn.IFNA(INDEX('TRA-W'!C$3:C$73,MATCH(1,(C45='TRA-W'!A$3:A$73)*(B45='TRA-W'!G$3:G$73),0)),"")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_xlfn.IFNA(INDEX('TRA-W'!C$3:C$73,MATCH(1,(C46='TRA-W'!A$3:A$73)*(B46='TRA-W'!G$3:G$73),0)),"")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_xlfn.IFNA(INDEX('TRA-W'!C$3:C$73,MATCH(1,(C47='TRA-W'!A$3:A$73)*(B47='TRA-W'!G$3:G$73),0)),"")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_xlfn.IFNA(INDEX('TRA-W'!C$3:C$73,MATCH(1,(C48='TRA-W'!A$3:A$73)*(B48='TRA-W'!G$3:G$73),0)),"")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_xlfn.IFNA(INDEX('TRA-W'!C$3:C$73,MATCH(1,(C49='TRA-W'!A$3:A$73)*(B49='TRA-W'!G$3:G$73),0)),"")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_xlfn.IFNA(INDEX('TRA-W'!C$3:C$73,MATCH(1,(C50='TRA-W'!A$3:A$73)*(B50='TRA-W'!G$3:G$73),0)),"")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_xlfn.IFNA(INDEX('TRA-W'!C$3:C$73,MATCH(1,(C51='TRA-W'!A$3:A$73)*(B51='TRA-W'!G$3:G$73),0)),"")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_xlfn.IFNA(INDEX('TRA-W'!C$3:C$73,MATCH(1,(C52='TRA-W'!A$3:A$73)*(B52='TRA-W'!G$3:G$73),0)),"")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_xlfn.IFNA(INDEX('TRA-W'!C$3:C$73,MATCH(1,(C53='TRA-W'!A$3:A$73)*(B53='TRA-W'!G$3:G$73),0)),"")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_xlfn.IFNA(INDEX('TRA-W'!C$3:C$73,MATCH(1,(C54='TRA-W'!A$3:A$73)*(B54='TRA-W'!G$3:G$73),0)),"")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_xlfn.IFNA(INDEX('TRA-W'!C$3:C$73,MATCH(1,(C55='TRA-W'!A$3:A$73)*(B55='TRA-W'!G$3:G$73),0)),"")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_xlfn.IFNA(INDEX('TRA-W'!C$3:C$73,MATCH(1,(C56='TRA-W'!A$3:A$73)*(B56='TRA-W'!G$3:G$73),0)),"")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_xlfn.IFNA(INDEX('TRA-W'!C$3:C$73,MATCH(1,(C57='TRA-W'!A$3:A$73)*(B57='TRA-W'!G$3:G$73),0)),"")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_xlfn.IFNA(INDEX('TRA-W'!C$3:C$73,MATCH(1,(C58='TRA-W'!A$3:A$73)*(B58='TRA-W'!G$3:G$73),0)),"")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_xlfn.IFNA(INDEX('TRA-W'!C$3:C$73,MATCH(1,(C59='TRA-W'!A$3:A$73)*(B59='TRA-W'!G$3:G$73),0)),"")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_xlfn.IFNA(INDEX('TRA-W'!C$3:C$73,MATCH(1,(C60='TRA-W'!A$3:A$73)*(B60='TRA-W'!G$3:G$73),0)),"")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_xlfn.IFNA(INDEX('TRA-W'!C$3:C$73,MATCH(1,(C61='TRA-W'!A$3:A$73)*(B61='TRA-W'!G$3:G$73),0)),"")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_xlfn.IFNA(INDEX('TRA-W'!C$3:C$73,MATCH(1,(C62='TRA-W'!A$3:A$73)*(B62='TRA-W'!G$3:G$73),0)),"")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_xlfn.IFNA(INDEX('TRA-W'!C$3:C$73,MATCH(1,(C63='TRA-W'!A$3:A$73)*(B63='TRA-W'!G$3:G$73),0)),"")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_xlfn.IFNA(INDEX('TRA-W'!C$3:C$73,MATCH(1,(C64='TRA-W'!A$3:A$73)*(B64='TRA-W'!G$3:G$73),0)),"")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_xlfn.IFNA(INDEX('TRA-W'!C$3:C$73,MATCH(1,(C65='TRA-W'!A$3:A$73)*(B65='TRA-W'!G$3:G$73),0)),"")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_xlfn.IFNA(INDEX('DMT-M'!C$3:C$62,MATCH(1,(C98='DMT-M'!A$3:A$62)*(B98='DMT-M'!G$3:G$62),0)),"")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_xlfn.IFNA(INDEX('DMT-M'!C$3:C$62,MATCH(1,(C99='DMT-M'!A$3:A$62)*(B99='DMT-M'!G$3:G$62),0)),"")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_xlfn.IFNA(INDEX('DMT-M'!C$3:C$62,MATCH(1,(C100='DMT-M'!A$3:A$62)*(B100='DMT-M'!G$3:G$62),0)),"")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_xlfn.IFNA(INDEX('DMT-M'!C$3:C$62,MATCH(1,(C101='DMT-M'!A$3:A$62)*(B101='DMT-M'!G$3:G$62),0)),"")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_xlfn.IFNA(INDEX('DMT-M'!C$3:C$62,MATCH(1,(C102='DMT-M'!A$3:A$62)*(B102='DMT-M'!G$3:G$62),0)),"")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_xlfn.IFNA(INDEX('DMT-M'!C$3:C$62,MATCH(1,(C103='DMT-M'!A$3:A$62)*(B103='DMT-M'!G$3:G$62),0)),"")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_xlfn.IFNA(INDEX('DMT-M'!C$3:C$62,MATCH(1,(C104='DMT-M'!A$3:A$62)*(B104='DMT-M'!G$3:G$62),0)),"")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_xlfn.IFNA(INDEX('DMT-M'!C$3:C$62,MATCH(1,(C105='DMT-M'!A$3:A$62)*(B105='DMT-M'!G$3:G$62),0)),"")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_xlfn.IFNA(INDEX('DMT-M'!C$3:C$62,MATCH(1,(C106='DMT-M'!A$3:A$62)*(B106='DMT-M'!G$3:G$62),0)),"")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_xlfn.IFNA(INDEX('DMT-M'!C$3:C$62,MATCH(1,(C107='DMT-M'!A$3:A$62)*(B107='DMT-M'!G$3:G$62),0)),"")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_xlfn.IFNA(INDEX('DMT-M'!C$3:C$62,MATCH(1,(C108='DMT-M'!A$3:A$62)*(B108='DMT-M'!G$3:G$62),0)),"")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_xlfn.IFNA(INDEX('DMT-M'!C$3:C$62,MATCH(1,(C109='DMT-M'!A$3:A$62)*(B109='DMT-M'!G$3:G$62),0)),"")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_xlfn.IFNA(INDEX('DMT-M'!C$3:C$62,MATCH(1,(C110='DMT-M'!A$3:A$62)*(B110='DMT-M'!G$3:G$62),0)),"")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_xlfn.IFNA(INDEX('DMT-M'!C$3:C$62,MATCH(1,(C111='DMT-M'!A$3:A$62)*(B111='DMT-M'!G$3:G$62),0)),"")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_xlfn.IFNA(INDEX('DMT-M'!C$3:C$62,MATCH(1,(C112='DMT-M'!A$3:A$62)*(B112='DMT-M'!G$3:G$62),0)),"")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_xlfn.IFNA(INDEX('DMT-M'!C$3:C$62,MATCH(1,(C113='DMT-M'!A$3:A$62)*(B113='DMT-M'!G$3:G$62),0)),"")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_xlfn.IFNA(INDEX('DMT-M'!C$3:C$62,MATCH(1,(C114='DMT-M'!A$3:A$62)*(B114='DMT-M'!G$3:G$62),0)),"")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_xlfn.IFNA(INDEX('DMT-M'!C$3:C$62,MATCH(1,(C115='DMT-M'!A$3:A$62)*(B115='DMT-M'!G$3:G$62),0)),"")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_xlfn.IFNA(INDEX('DMT-M'!C$3:C$62,MATCH(1,(C116='DMT-M'!A$3:A$62)*(B116='DMT-M'!G$3:G$62),0)),"")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_xlfn.IFNA(INDEX('DMT-M'!C$3:C$62,MATCH(1,(C117='DMT-M'!A$3:A$62)*(B117='DMT-M'!G$3:G$62),0)),"")</f>
        <v>CYMAN, Cody</v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_xlfn.IFNA(INDEX('DMT-M'!C$3:C$62,MATCH(1,(C118='DMT-M'!A$3:A$62)*(B118='DMT-M'!G$3:G$62),0)),"")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_xlfn.IFNA(INDEX('DMT-M'!C$3:C$62,MATCH(1,(C119='DMT-M'!A$3:A$62)*(B119='DMT-M'!G$3:G$62),0)),"")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_xlfn.IFNA(INDEX('DMT-M'!C$3:C$62,MATCH(1,(C120='DMT-M'!A$3:A$62)*(B120='DMT-M'!G$3:G$62),0)),"")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_xlfn.IFNA(INDEX('DMT-M'!C$3:C$62,MATCH(1,(C121='DMT-M'!A$3:A$62)*(B121='DMT-M'!G$3:G$62),0)),"")</f>
        <v/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_xlfn.IFNA(INDEX('DMT-M'!C$3:C$62,MATCH(1,(C122='DMT-M'!A$3:A$62)*(B122='DMT-M'!G$3:G$62),0)),"")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_xlfn.IFNA(INDEX('DMT-M'!C$3:C$62,MATCH(1,(C123='DMT-M'!A$3:A$62)*(B123='DMT-M'!G$3:G$62),0)),"")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_xlfn.IFNA(INDEX('DMT-M'!C$3:C$62,MATCH(1,(C124='DMT-M'!A$3:A$62)*(B124='DMT-M'!G$3:G$62),0)),"")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_xlfn.IFNA(INDEX('DMT-M'!C$3:C$62,MATCH(1,(C125='DMT-M'!A$3:A$62)*(B125='DMT-M'!G$3:G$62),0)),"")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_xlfn.IFNA(INDEX('DMT-M'!C$3:C$62,MATCH(1,(C126='DMT-M'!A$3:A$62)*(B126='DMT-M'!G$3:G$62),0)),"")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_xlfn.IFNA(INDEX('DMT-M'!C$3:C$62,MATCH(1,(C127='DMT-M'!A$3:A$62)*(B127='DMT-M'!G$3:G$62),0)),"")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_xlfn.IFNA(INDEX('DMT-M'!C$3:C$62,MATCH(1,(C128='DMT-M'!A$3:A$62)*(B128='DMT-M'!G$3:G$62),0)),"")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_xlfn.IFNA(INDEX('DMT-M'!C$3:C$62,MATCH(1,(C129='DMT-M'!A$3:A$62)*(B129='DMT-M'!G$3:G$62),0)),"")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_xlfn.IFNA(INDEX('DMT-W'!C$3:C$68,MATCH(1,(C130='DMT-W'!A$3:A$68)*(B130='DMT-W'!G$3:G$68),0)),"")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_xlfn.IFNA(INDEX('DMT-W'!C$3:C$68,MATCH(1,(C131='DMT-W'!A$3:A$68)*(B131='DMT-W'!G$3:G$68),0)),"")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_xlfn.IFNA(INDEX('DMT-W'!C$3:C$68,MATCH(1,(C132='DMT-W'!A$3:A$68)*(B132='DMT-W'!G$3:G$68),0)),"")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_xlfn.IFNA(INDEX('DMT-W'!C$3:C$68,MATCH(1,(C133='DMT-W'!A$3:A$68)*(B133='DMT-W'!G$3:G$68),0)),"")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_xlfn.IFNA(INDEX('DMT-W'!C$3:C$68,MATCH(1,(C134='DMT-W'!A$3:A$68)*(B134='DMT-W'!G$3:G$68),0)),"")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_xlfn.IFNA(INDEX('DMT-W'!C$3:C$68,MATCH(1,(C135='DMT-W'!A$3:A$68)*(B135='DMT-W'!G$3:G$68),0)),"")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_xlfn.IFNA(INDEX('DMT-W'!C$3:C$68,MATCH(1,(C136='DMT-W'!A$3:A$68)*(B136='DMT-W'!G$3:G$68),0)),"")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_xlfn.IFNA(INDEX('DMT-W'!C$3:C$68,MATCH(1,(C137='DMT-W'!A$3:A$68)*(B137='DMT-W'!G$3:G$68),0)),"")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_xlfn.IFNA(INDEX('DMT-W'!C$3:C$68,MATCH(1,(C138='DMT-W'!A$3:A$68)*(B138='DMT-W'!G$3:G$68),0)),"")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_xlfn.IFNA(INDEX('DMT-W'!C$3:C$68,MATCH(1,(C139='DMT-W'!A$3:A$68)*(B139='DMT-W'!G$3:G$68),0)),"")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_xlfn.IFNA(INDEX('DMT-W'!C$3:C$68,MATCH(1,(C140='DMT-W'!A$3:A$68)*(B140='DMT-W'!G$3:G$68),0)),"")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_xlfn.IFNA(INDEX('DMT-W'!C$3:C$68,MATCH(1,(C141='DMT-W'!A$3:A$68)*(B141='DMT-W'!G$3:G$68),0)),"")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_xlfn.IFNA(INDEX('DMT-W'!C$3:C$68,MATCH(1,(C142='DMT-W'!A$3:A$68)*(B142='DMT-W'!G$3:G$68),0)),"")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_xlfn.IFNA(INDEX('DMT-W'!C$3:C$68,MATCH(1,(C143='DMT-W'!A$3:A$68)*(B143='DMT-W'!G$3:G$68),0)),"")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_xlfn.IFNA(INDEX('DMT-W'!C$3:C$68,MATCH(1,(C144='DMT-W'!A$3:A$68)*(B144='DMT-W'!G$3:G$68),0)),"")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_xlfn.IFNA(INDEX('DMT-W'!C$3:C$68,MATCH(1,(C145='DMT-W'!A$3:A$68)*(B145='DMT-W'!G$3:G$68),0)),"")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_xlfn.IFNA(INDEX('DMT-W'!C$3:C$68,MATCH(1,(C146='DMT-W'!A$3:A$68)*(B146='DMT-W'!G$3:G$68),0)),"")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_xlfn.IFNA(INDEX('DMT-W'!C$3:C$68,MATCH(1,(C147='DMT-W'!A$3:A$68)*(B147='DMT-W'!G$3:G$68),0)),"")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_xlfn.IFNA(INDEX('DMT-W'!C$3:C$68,MATCH(1,(C148='DMT-W'!A$3:A$68)*(B148='DMT-W'!G$3:G$68),0)),"")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_xlfn.IFNA(INDEX('DMT-W'!C$3:C$68,MATCH(1,(C149='DMT-W'!A$3:A$68)*(B149='DMT-W'!G$3:G$68),0)),"")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_xlfn.IFNA(INDEX('DMT-W'!C$3:C$68,MATCH(1,(C150='DMT-W'!A$3:A$68)*(B150='DMT-W'!G$3:G$68),0)),"")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_xlfn.IFNA(INDEX('DMT-W'!C$3:C$68,MATCH(1,(C151='DMT-W'!A$3:A$68)*(B151='DMT-W'!G$3:G$68),0)),"")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_xlfn.IFNA(INDEX('DMT-W'!C$3:C$68,MATCH(1,(C152='DMT-W'!A$3:A$68)*(B152='DMT-W'!G$3:G$68),0)),"")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_xlfn.IFNA(INDEX('DMT-W'!C$3:C$68,MATCH(1,(C153='DMT-W'!A$3:A$68)*(B153='DMT-W'!G$3:G$68),0)),"")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_xlfn.IFNA(INDEX('DMT-W'!C$3:C$68,MATCH(1,(C154='DMT-W'!A$3:A$68)*(B154='DMT-W'!G$3:G$68),0)),"")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_xlfn.IFNA(INDEX('DMT-W'!C$3:C$68,MATCH(1,(C155='DMT-W'!A$3:A$68)*(B155='DMT-W'!G$3:G$68),0)),"")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_xlfn.IFNA(INDEX('DMT-W'!C$3:C$68,MATCH(1,(C156='DMT-W'!A$3:A$68)*(B156='DMT-W'!G$3:G$68),0)),"")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_xlfn.IFNA(INDEX('DMT-W'!C$3:C$68,MATCH(1,(C157='DMT-W'!A$3:A$68)*(B157='DMT-W'!G$3:G$68),0)),"")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_xlfn.IFNA(INDEX('DMT-W'!C$3:C$68,MATCH(1,(C158='DMT-W'!A$3:A$68)*(B158='DMT-W'!G$3:G$68),0)),"")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_xlfn.IFNA(INDEX('DMT-W'!C$3:C$68,MATCH(1,(C159='DMT-W'!A$3:A$68)*(B159='DMT-W'!G$3:G$68),0)),"")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_xlfn.IFNA(INDEX('DMT-W'!C$3:C$68,MATCH(1,(C160='DMT-W'!A$3:A$68)*(B160='DMT-W'!G$3:G$68),0)),"")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_xlfn.IFNA(INDEX('DMT-W'!C$3:C$68,MATCH(1,(C161='DMT-W'!A$3:A$68)*(B161='DMT-W'!G$3:G$68),0)),"")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45151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7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7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</v>
      </c>
      <c r="D14" s="50">
        <f t="shared" si="0"/>
        <v>7</v>
      </c>
      <c r="E14" s="49">
        <f>SUMIF('DMT-M'!E:E,A14,'DMT-M'!Q:Q)+SUMIF('DMT-W'!E:E,A14,'DMT-W'!Q:Q)</f>
        <v>13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1</v>
      </c>
      <c r="D19" s="50">
        <f t="shared" si="0"/>
        <v>7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4" si="3">IF(C34&gt;0,RANK(C34,C$2:C$64),"")</f>
        <v/>
      </c>
      <c r="E34" s="49">
        <f>SUMIF('DMT-M'!E:E,A34,'DMT-M'!Q:Q)+SUMIF('DMT-W'!E:E,A34,'DMT-W'!Q:Q)</f>
        <v>0</v>
      </c>
      <c r="F34" s="50" t="str">
        <f t="shared" ref="F34:F64" si="4">IF(E34&gt;0,RANK(E34,E$2:E$64),"")</f>
        <v/>
      </c>
      <c r="G34" s="49">
        <f>SUMIF('TUM-M'!E:E,A34,'TUM-M'!Q:Q)+SUMIF('TUM-W'!E:E,A34,'TUM-W'!Q:Q)</f>
        <v>0</v>
      </c>
      <c r="H34" s="50" t="str">
        <f t="shared" ref="H34:H64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7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"/>
        <v/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 t="shared" ref="Q3:Q34" si="1">IF(A3&lt;5,IF(_xlfn.MAXIFS(A:A,G:G,G3)&gt;3,5-A3,_xlfn.MAXIFS(A:A,G:G,G3)+1-A3),"")</f>
        <v>4</v>
      </c>
      <c r="R3" s="4">
        <f t="shared" ref="R3:R34" si="2"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 t="shared" ref="X3:X34" si="3"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 t="shared" ref="AE3:AE34" si="4"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 t="shared" si="1"/>
        <v>3</v>
      </c>
      <c r="R4" s="4">
        <f t="shared" si="2"/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 t="shared" si="3"/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 t="shared" si="4"/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 t="shared" si="1"/>
        <v>2</v>
      </c>
      <c r="R5" s="4">
        <f t="shared" si="2"/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 t="shared" si="3"/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 t="shared" si="4"/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 t="shared" si="1"/>
        <v>1</v>
      </c>
      <c r="R6" s="4">
        <f t="shared" si="2"/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 t="shared" si="3"/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 t="shared" si="4"/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s="36" t="s">
        <v>112</v>
      </c>
      <c r="D7" s="36" t="str">
        <f>IF(E7="","",VLOOKUP(E7,'Coaching Points'!A:B,2,0))</f>
        <v>QC</v>
      </c>
      <c r="E7" s="36" t="s">
        <v>3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 t="shared" si="0"/>
        <v>106.44020492600001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53.84</v>
      </c>
      <c r="S7" s="4">
        <f>IF(G7="17-21",LARGE(CHOOSE({1,2,3,4,5,6},T7,V7,Y7,AA7,AC7,AF7),2),IF(R7=X7,MAX(Y7,AA7,AC7,AF7),IF(R7=AE7,MAX(AF7,T7,V7,Y7),0)))</f>
        <v>52.6</v>
      </c>
      <c r="T7" s="33">
        <v>16.79</v>
      </c>
      <c r="U7" s="40">
        <v>4.4000000000000004</v>
      </c>
      <c r="V7" s="34">
        <v>52.6</v>
      </c>
      <c r="W7" s="40">
        <v>13.5</v>
      </c>
      <c r="X7" s="4">
        <f t="shared" si="3"/>
        <v>52.6</v>
      </c>
      <c r="Y7" s="34">
        <v>53.84</v>
      </c>
      <c r="Z7" s="40">
        <v>13.5</v>
      </c>
      <c r="AA7" s="33">
        <v>15.86</v>
      </c>
      <c r="AB7" s="40">
        <v>4.2</v>
      </c>
      <c r="AC7" s="34">
        <v>49.26</v>
      </c>
      <c r="AD7" s="40">
        <v>11.7</v>
      </c>
      <c r="AE7" s="4">
        <f t="shared" si="4"/>
        <v>49.26</v>
      </c>
      <c r="AF7" s="34">
        <v>15.67</v>
      </c>
      <c r="AG7" s="37">
        <v>4.2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102.99020496500002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52.14</v>
      </c>
      <c r="S8" s="4">
        <f>IF(G8="17-21",LARGE(CHOOSE({1,2,3,4,5,6},T8,V8,Y8,AA8,AC8,AF8),2),IF(R8=X8,MAX(Y8,AA8,AC8,AF8),IF(R8=AE8,MAX(AF8,T8,V8,Y8),0)))</f>
        <v>50.85</v>
      </c>
      <c r="T8" s="33">
        <v>50.39</v>
      </c>
      <c r="U8" s="40">
        <v>13.9</v>
      </c>
      <c r="V8" s="34">
        <v>50.85</v>
      </c>
      <c r="W8" s="40">
        <v>13.7</v>
      </c>
      <c r="X8" s="4">
        <f t="shared" si="3"/>
        <v>50.85</v>
      </c>
      <c r="Y8" s="34">
        <v>52.14</v>
      </c>
      <c r="Z8" s="40">
        <v>13.7</v>
      </c>
      <c r="AA8" s="33">
        <v>0</v>
      </c>
      <c r="AB8" s="40">
        <v>0</v>
      </c>
      <c r="AC8" s="34">
        <v>49.65</v>
      </c>
      <c r="AD8" s="40">
        <v>14.2</v>
      </c>
      <c r="AE8" s="4">
        <f t="shared" si="4"/>
        <v>49.65</v>
      </c>
      <c r="AF8" s="34">
        <v>16.510000000000002</v>
      </c>
      <c r="AG8" s="37">
        <v>4.9000000000000004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t="s">
        <v>422</v>
      </c>
      <c r="D9" s="36" t="str">
        <f>IF(E9="","",VLOOKUP(E9,'Coaching Points'!A:B,2,0))</f>
        <v>ON</v>
      </c>
      <c r="E9" s="36" t="s">
        <v>313</v>
      </c>
      <c r="F9" s="35">
        <v>2002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71.620205397000007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 t="shared" si="1"/>
        <v/>
      </c>
      <c r="R9" s="4">
        <f t="shared" si="2"/>
        <v>53.97</v>
      </c>
      <c r="S9" s="4">
        <f>IF(G9="17-21",LARGE(CHOOSE({1,2,3,4,5,6},T9,V9,Y9,AA9,AC9,AF9),2),IF(R9=X9,MAX(Y9,AA9,AC9,AF9),IF(R9=AE9,MAX(AF9,T9,V9,Y9),0)))</f>
        <v>17.649999999999999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17.649999999999999</v>
      </c>
      <c r="AB9" s="40">
        <v>5.5</v>
      </c>
      <c r="AC9" s="34">
        <v>53.97</v>
      </c>
      <c r="AD9" s="40">
        <v>15.6</v>
      </c>
      <c r="AE9" s="4">
        <f t="shared" si="4"/>
        <v>53.97</v>
      </c>
      <c r="AF9" s="34">
        <v>17.39</v>
      </c>
      <c r="AG9" s="37">
        <v>5.5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 t="shared" si="1"/>
        <v/>
      </c>
      <c r="R10" s="4">
        <f t="shared" si="2"/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 t="shared" si="3"/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 t="shared" si="4"/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 t="shared" si="4"/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 t="shared" si="3"/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3"/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 t="shared" si="4"/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 t="shared" si="0"/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 t="shared" si="3"/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 t="shared" si="4"/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 t="shared" si="3"/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 t="shared" si="3"/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 t="shared" si="4"/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 t="shared" si="3"/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 t="shared" si="4"/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 t="shared" si="3"/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 t="shared" si="4"/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 t="shared" si="0"/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 t="shared" si="3"/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 t="shared" si="4"/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3"/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 t="shared" si="4"/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 t="shared" si="0"/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 t="shared" si="3"/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 t="shared" si="4"/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 t="shared" si="4"/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 t="shared" si="3"/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 t="shared" si="3"/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 t="shared" si="4"/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 t="shared" si="3"/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 t="shared" si="4"/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 t="shared" si="0"/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 t="shared" si="3"/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 t="shared" si="4"/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 t="shared" si="3"/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 t="shared" si="4"/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 t="shared" si="3"/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 t="shared" si="4"/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 t="shared" si="0"/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 t="shared" si="3"/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 t="shared" si="4"/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 t="shared" si="3"/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 t="shared" si="4"/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 t="shared" si="3"/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 t="shared" si="4"/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 t="shared" si="3"/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 t="shared" si="4"/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 t="shared" si="3"/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 t="shared" si="4"/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 t="shared" si="0"/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 t="shared" si="3"/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 t="shared" si="4"/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 t="shared" ref="X35:X66" si="8"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 t="shared" ref="AE35:AE66" si="9"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 t="shared" si="9"/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 t="shared" si="8"/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 t="shared" si="9"/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 t="shared" si="8"/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 t="shared" si="8"/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 t="shared" si="9"/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 t="shared" si="5"/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 t="shared" si="8"/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 t="shared" si="9"/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 t="shared" si="8"/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 t="shared" si="9"/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 t="shared" si="8"/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 t="shared" si="8"/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 t="shared" si="9"/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 t="shared" si="8"/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 t="shared" si="9"/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 t="shared" si="8"/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 t="shared" si="9"/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 t="shared" si="5"/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 t="shared" si="9"/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 t="shared" si="9"/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 t="shared" si="9"/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 t="shared" si="5"/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 t="shared" si="8"/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 t="shared" si="9"/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 t="shared" si="8"/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 t="shared" si="9"/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 t="shared" si="8"/>
        <v>79.81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 t="shared" si="8"/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 t="shared" si="9"/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 t="shared" si="9"/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 t="shared" si="5"/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 t="shared" si="8"/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 t="shared" si="9"/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 t="shared" si="9"/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 t="shared" si="9"/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 t="shared" si="9"/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 t="shared" si="8"/>
        <v>52.72</v>
      </c>
      <c r="Y58" s="34"/>
      <c r="Z58" s="40"/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 t="shared" si="9"/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 t="shared" si="9"/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 t="shared" si="9"/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 t="shared" si="8"/>
        <v>0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8"/>
        <v>0</v>
      </c>
      <c r="Y63" s="34"/>
      <c r="Z63" s="40"/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 t="shared" si="5"/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 t="shared" si="6"/>
        <v>1</v>
      </c>
      <c r="R64" s="4">
        <f t="shared" si="7"/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 t="shared" si="8"/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 t="shared" si="9"/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 t="shared" si="5"/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 t="shared" si="8"/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 t="shared" si="9"/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si="5"/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 t="shared" si="8"/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 t="shared" si="9"/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 t="shared" ref="J67:J98" si="10"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 t="shared" ref="X67:X98" si="13"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 t="shared" ref="AE67:AE98" si="14"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 t="shared" si="10"/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 t="shared" si="13"/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 t="shared" si="14"/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 t="shared" si="10"/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 t="shared" si="13"/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 t="shared" si="14"/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 t="shared" si="10"/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 t="shared" si="13"/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 t="shared" si="14"/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 t="shared" si="10"/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 t="shared" si="13"/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 t="shared" si="14"/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 t="shared" si="10"/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 t="shared" si="13"/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 t="shared" si="14"/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10"/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 t="shared" si="13"/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 t="shared" si="14"/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10"/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 t="shared" si="13"/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 t="shared" si="14"/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 t="shared" si="10"/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 t="shared" si="13"/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 t="shared" si="14"/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10"/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 t="shared" si="13"/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 t="shared" si="14"/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10"/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 t="shared" si="14"/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 t="shared" si="10"/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 t="shared" si="13"/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 t="shared" si="14"/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10"/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 t="shared" si="11"/>
        <v/>
      </c>
      <c r="R79" s="4">
        <f t="shared" si="12"/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 t="shared" si="14"/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10"/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 t="shared" si="14"/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 t="shared" si="10"/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 t="shared" si="13"/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 t="shared" si="14"/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10"/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 t="shared" si="13"/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 t="shared" si="14"/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 t="shared" si="10"/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 t="shared" si="13"/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 t="shared" si="14"/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 t="shared" si="10"/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 t="shared" si="14"/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 t="shared" si="10"/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 t="shared" si="13"/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 t="shared" si="14"/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 t="shared" si="10"/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 t="shared" si="13"/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 t="shared" si="14"/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10"/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 t="shared" si="13"/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 t="shared" si="14"/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 t="shared" si="10"/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 t="shared" si="11"/>
        <v/>
      </c>
      <c r="R88" s="4">
        <f t="shared" si="12"/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 t="shared" si="14"/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 t="shared" si="10"/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 t="shared" si="13"/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 t="shared" si="14"/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 t="shared" si="14"/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10"/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 t="shared" si="14"/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 t="shared" si="11"/>
        <v/>
      </c>
      <c r="R92" s="4">
        <f t="shared" si="12"/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3"/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 t="shared" si="14"/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 t="shared" si="10"/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 t="shared" si="11"/>
        <v/>
      </c>
      <c r="R93" s="4">
        <f t="shared" si="12"/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 t="shared" si="14"/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 t="shared" si="11"/>
        <v/>
      </c>
      <c r="R94" s="4">
        <f t="shared" si="12"/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 t="shared" si="14"/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 t="shared" si="11"/>
        <v/>
      </c>
      <c r="R95" s="4">
        <f t="shared" si="12"/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 t="shared" si="13"/>
        <v>62.59</v>
      </c>
      <c r="Y95" s="34"/>
      <c r="Z95" s="40"/>
      <c r="AA95" s="33"/>
      <c r="AB95" s="40"/>
      <c r="AC95" s="34"/>
      <c r="AD95" s="40"/>
      <c r="AE95" s="4">
        <f t="shared" si="14"/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 t="shared" si="11"/>
        <v/>
      </c>
      <c r="R96" s="4">
        <f t="shared" si="12"/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 t="shared" si="14"/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 t="shared" si="10"/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 t="shared" si="11"/>
        <v/>
      </c>
      <c r="R97" s="4">
        <f t="shared" si="12"/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 t="shared" si="14"/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 t="shared" si="10"/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 t="shared" si="11"/>
        <v>1</v>
      </c>
      <c r="R98" s="4">
        <f t="shared" si="12"/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 t="shared" si="13"/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 t="shared" si="14"/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6" si="15"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 t="shared" ref="Q99:Q106" si="16">IF(A99&lt;5,IF(_xlfn.MAXIFS(A:A,G:G,G99)&gt;3,5-A99,_xlfn.MAXIFS(A:A,G:G,G99)+1-A99),"")</f>
        <v/>
      </c>
      <c r="R99" s="4">
        <f t="shared" ref="R99:R106" si="17"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 t="shared" ref="X99:X106" si="18"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 t="shared" ref="AE99:AE106" si="19"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 t="shared" si="15"/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 t="shared" si="16"/>
        <v/>
      </c>
      <c r="R100" s="4">
        <f t="shared" si="17"/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 t="shared" si="18"/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 t="shared" si="19"/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 t="shared" si="15"/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 t="shared" si="16"/>
        <v/>
      </c>
      <c r="R101" s="4">
        <f t="shared" si="17"/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 t="shared" si="18"/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 t="shared" si="19"/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 t="shared" si="15"/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 t="shared" si="16"/>
        <v/>
      </c>
      <c r="R102" s="4">
        <f t="shared" si="17"/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 t="shared" si="19"/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5"/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 t="shared" si="16"/>
        <v/>
      </c>
      <c r="R103" s="4">
        <f t="shared" si="17"/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 t="shared" si="18"/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 t="shared" si="19"/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5"/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 t="shared" si="16"/>
        <v/>
      </c>
      <c r="R104" s="4">
        <f t="shared" si="17"/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 t="shared" si="18"/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 t="shared" si="19"/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5"/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 t="shared" si="16"/>
        <v/>
      </c>
      <c r="R105" s="4">
        <f t="shared" si="17"/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 t="shared" si="18"/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 t="shared" si="19"/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5"/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 t="shared" si="16"/>
        <v/>
      </c>
      <c r="R106" s="4">
        <f t="shared" si="17"/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 t="shared" si="19"/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6">
      <sortCondition descending="1" ref="G1:G107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 t="shared" ref="Q3:Q34" si="1">IF(A3&lt;5,IF(_xlfn.MAXIFS(A:A,G:G,G3)&gt;3,5-A3,_xlfn.MAXIFS(A:A,G:G,G3)+1-A3),"")</f>
        <v>4</v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 t="shared" si="1"/>
        <v>3</v>
      </c>
      <c r="R4" s="4">
        <f t="shared" si="2"/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 t="shared" si="3"/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 t="shared" si="4"/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 t="shared" si="1"/>
        <v>2</v>
      </c>
      <c r="R5" s="4">
        <f t="shared" si="2"/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 t="shared" si="3"/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 t="shared" si="4"/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 t="shared" si="1"/>
        <v>1</v>
      </c>
      <c r="R6" s="4">
        <f t="shared" si="2"/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 t="shared" si="3"/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 t="shared" si="4"/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 t="shared" si="1"/>
        <v/>
      </c>
      <c r="R7" s="4">
        <f t="shared" si="2"/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 t="shared" si="3"/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 t="shared" si="4"/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 t="shared" si="3"/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 t="shared" si="3"/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 t="shared" si="4"/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 t="shared" si="0"/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 t="shared" si="4"/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 t="shared" si="3"/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 t="shared" si="4"/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 t="shared" si="3"/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 t="shared" si="4"/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 t="shared" si="3"/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 t="shared" si="4"/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 t="shared" si="0"/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 t="shared" si="3"/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 t="shared" si="4"/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 t="shared" si="0"/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 t="shared" si="3"/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 t="shared" si="3"/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 t="shared" si="4"/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 t="shared" si="3"/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 t="shared" si="3"/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 t="shared" si="4"/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 t="shared" si="3"/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 t="shared" si="4"/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 t="shared" si="3"/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 t="shared" si="4"/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 t="shared" si="3"/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 t="shared" si="4"/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 t="shared" si="4"/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 t="shared" si="3"/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 t="shared" si="4"/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 t="shared" si="3"/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 t="shared" si="4"/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 t="shared" si="3"/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 t="shared" si="4"/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 t="shared" si="8"/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 t="shared" si="9"/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 t="shared" si="8"/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 t="shared" si="9"/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 t="shared" si="9"/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 t="shared" si="9"/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 t="shared" si="8"/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 t="shared" si="9"/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 t="shared" si="8"/>
        <v>83.080000000000013</v>
      </c>
      <c r="Y50" s="34"/>
      <c r="Z50" s="40"/>
      <c r="AA50" s="33"/>
      <c r="AB50" s="40"/>
      <c r="AC50" s="34"/>
      <c r="AD50" s="40"/>
      <c r="AE50" s="4">
        <f t="shared" si="9"/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 t="shared" si="8"/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 t="shared" si="9"/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 t="shared" si="9"/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 t="shared" si="9"/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 t="shared" si="8"/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 t="shared" si="9"/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 t="shared" si="8"/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 t="shared" si="9"/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 t="shared" si="8"/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 t="shared" si="9"/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5"/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 t="shared" si="9"/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 t="shared" si="5"/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 t="shared" si="8"/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 t="shared" si="9"/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5"/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 t="shared" si="9"/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 t="shared" si="5"/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 t="shared" si="8"/>
        <v>80.430000000000007</v>
      </c>
      <c r="Y60" s="34"/>
      <c r="Z60" s="40"/>
      <c r="AA60" s="33"/>
      <c r="AB60" s="40"/>
      <c r="AC60" s="34"/>
      <c r="AD60" s="40"/>
      <c r="AE60" s="4">
        <f t="shared" si="9"/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 t="shared" si="9"/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 t="shared" si="8"/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 t="shared" si="9"/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 t="shared" si="8"/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 t="shared" si="9"/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 t="shared" si="8"/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 t="shared" si="9"/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 t="shared" si="8"/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 t="shared" si="9"/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 t="shared" si="8"/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 t="shared" si="9"/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 t="shared" ref="X67:X98" si="13"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 t="shared" ref="AE67:AE98" si="14"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 t="shared" si="13"/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 t="shared" si="14"/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 t="shared" si="10"/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 t="shared" si="13"/>
        <v>74.97999999999999</v>
      </c>
      <c r="Y69" s="34"/>
      <c r="Z69" s="40"/>
      <c r="AA69" s="33"/>
      <c r="AB69" s="40"/>
      <c r="AC69" s="34"/>
      <c r="AD69" s="40"/>
      <c r="AE69" s="4">
        <f t="shared" si="14"/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 t="shared" si="10"/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 t="shared" si="13"/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 t="shared" si="14"/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 t="shared" si="13"/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 t="shared" si="14"/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 t="shared" si="10"/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 t="shared" si="13"/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 t="shared" si="14"/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 t="shared" si="10"/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 t="shared" si="13"/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 t="shared" si="14"/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 t="shared" si="14"/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 t="shared" si="10"/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 t="shared" si="13"/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 t="shared" si="14"/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 t="shared" si="13"/>
        <v>53.820000000000007</v>
      </c>
      <c r="Y76" s="34"/>
      <c r="Z76" s="40"/>
      <c r="AA76" s="33"/>
      <c r="AB76" s="40"/>
      <c r="AC76" s="34"/>
      <c r="AD76" s="40"/>
      <c r="AE76" s="4">
        <f t="shared" si="14"/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 t="shared" si="10"/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 t="shared" si="14"/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 t="shared" si="10"/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 t="shared" si="13"/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 t="shared" si="14"/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 t="shared" si="10"/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 t="shared" si="13"/>
        <v>45.2</v>
      </c>
      <c r="Y79" s="34"/>
      <c r="Z79" s="40"/>
      <c r="AA79" s="33"/>
      <c r="AB79" s="40"/>
      <c r="AC79" s="34"/>
      <c r="AD79" s="40"/>
      <c r="AE79" s="4">
        <f t="shared" si="14"/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 t="shared" si="14"/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 t="shared" si="10"/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 t="shared" si="13"/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 t="shared" si="14"/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 t="shared" si="10"/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 t="shared" si="14"/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 t="shared" si="13"/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 t="shared" si="14"/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 t="shared" si="10"/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 t="shared" si="11"/>
        <v>1</v>
      </c>
      <c r="R84" s="4">
        <f t="shared" si="12"/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 t="shared" si="13"/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 t="shared" si="14"/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 t="shared" si="10"/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 t="shared" si="13"/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 t="shared" si="14"/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 t="shared" si="10"/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 t="shared" si="11"/>
        <v/>
      </c>
      <c r="R86" s="4">
        <f t="shared" si="12"/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 t="shared" si="13"/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 t="shared" si="14"/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 t="shared" si="10"/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 t="shared" si="13"/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 t="shared" si="14"/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 t="shared" si="10"/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 t="shared" si="13"/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 t="shared" si="14"/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 t="shared" si="10"/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 t="shared" si="13"/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 t="shared" si="14"/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 t="shared" si="13"/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 t="shared" si="14"/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 t="shared" si="10"/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 t="shared" si="13"/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 t="shared" si="14"/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 t="shared" si="10"/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 t="shared" si="13"/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 t="shared" si="14"/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 t="shared" si="10"/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 t="shared" si="13"/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 t="shared" si="14"/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 t="shared" si="10"/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 t="shared" si="13"/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 t="shared" si="14"/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 t="shared" si="13"/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 t="shared" si="14"/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 t="shared" si="13"/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 t="shared" si="14"/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 t="shared" si="14"/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 t="shared" si="10"/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 t="shared" si="13"/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 t="shared" si="14"/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2" si="15"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2" si="16">IF(A99&lt;5,IF(_xlfn.MAXIFS(A:A,G:G,G99)&gt;3,5-A99,_xlfn.MAXIFS(A:A,G:G,G99)+1-A99),"")</f>
        <v/>
      </c>
      <c r="R99" s="4">
        <f t="shared" ref="R99:R132" si="17"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 t="shared" ref="X99:X132" si="18"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 t="shared" ref="AE99:AE132" si="19"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 t="shared" si="18"/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 t="shared" si="19"/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 t="shared" si="18"/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 t="shared" si="19"/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 t="shared" si="15"/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 t="shared" si="18"/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 t="shared" si="19"/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 t="shared" si="18"/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 t="shared" si="19"/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 t="shared" si="15"/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 t="shared" si="18"/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 t="shared" si="19"/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 t="shared" si="18"/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 t="shared" si="19"/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 t="shared" si="15"/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 t="shared" si="18"/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 t="shared" si="19"/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 t="shared" si="18"/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 t="shared" si="19"/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 t="shared" si="19"/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 t="shared" si="19"/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 t="shared" si="19"/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 t="shared" si="19"/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 t="shared" si="19"/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 t="shared" si="19"/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 t="shared" si="18"/>
        <v>72.47</v>
      </c>
      <c r="Y114" s="34"/>
      <c r="Z114" s="40"/>
      <c r="AA114" s="33"/>
      <c r="AB114" s="40"/>
      <c r="AC114" s="34"/>
      <c r="AD114" s="40"/>
      <c r="AE114" s="4">
        <f t="shared" si="19"/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 t="shared" si="19"/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 t="shared" si="18"/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 t="shared" si="19"/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 t="shared" si="19"/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 t="shared" si="19"/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 t="shared" si="15"/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 t="shared" si="16"/>
        <v>1</v>
      </c>
      <c r="R119" s="4">
        <f t="shared" si="17"/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 t="shared" si="18"/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 t="shared" si="19"/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 t="shared" si="15"/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 t="shared" si="18"/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 t="shared" si="19"/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 t="shared" si="15"/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 t="shared" si="16"/>
        <v/>
      </c>
      <c r="R121" s="4">
        <f t="shared" si="17"/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 t="shared" si="18"/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 t="shared" si="19"/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 t="shared" si="15"/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 t="shared" si="18"/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 t="shared" si="19"/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 t="shared" si="15"/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 t="shared" si="18"/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 t="shared" si="19"/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 t="shared" si="19"/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 t="s">
        <v>567</v>
      </c>
      <c r="J125" s="4">
        <f t="shared" si="15"/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 t="shared" si="18"/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 t="shared" si="19"/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 t="shared" si="19"/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 t="shared" si="18"/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 t="shared" si="19"/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 t="shared" si="18"/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 t="shared" si="19"/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 t="shared" si="15"/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 t="shared" si="19"/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 t="shared" si="18"/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 t="shared" si="19"/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 t="shared" si="15"/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 t="shared" si="18"/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 t="shared" si="19"/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 t="shared" si="18"/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 t="shared" si="19"/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2">
      <sortCondition descending="1" ref="G1:G13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 t="shared" ref="K3:K30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 t="shared" ref="R3:R30" si="1">IF(A3&lt;5,IF(_xlfn.MAXIFS(A:A,H:H,H3)&gt;3,5-A3,_xlfn.MAXIFS(A:A,H:H,H3)+1-A3),"")</f>
        <v>1</v>
      </c>
      <c r="S3" s="4">
        <f t="shared" ref="S3:S30" si="2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0" si="3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0" si="4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4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4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3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4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3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4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4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3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4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4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4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4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3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4"/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 t="shared" si="1"/>
        <v/>
      </c>
      <c r="S16" s="4">
        <f t="shared" si="2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4"/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 t="shared" si="1"/>
        <v/>
      </c>
      <c r="S17" s="4">
        <f t="shared" si="2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3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4"/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 t="shared" si="1"/>
        <v/>
      </c>
      <c r="S18" s="4">
        <f t="shared" si="2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3"/>
        <v>9.4499999999999993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 t="shared" si="1"/>
        <v/>
      </c>
      <c r="S19" s="4">
        <f t="shared" si="2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4"/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 t="shared" si="1"/>
        <v/>
      </c>
      <c r="S20" s="4">
        <f t="shared" si="2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4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 t="shared" si="1"/>
        <v/>
      </c>
      <c r="S21" s="4">
        <f t="shared" si="2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3"/>
        <v>4.8899999999999997</v>
      </c>
      <c r="Z21" s="34"/>
      <c r="AA21" s="40"/>
      <c r="AB21" s="33"/>
      <c r="AC21" s="40"/>
      <c r="AD21" s="34"/>
      <c r="AE21" s="40"/>
      <c r="AF21" s="4">
        <f t="shared" si="4"/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 t="shared" si="1"/>
        <v/>
      </c>
      <c r="S22" s="4">
        <f t="shared" si="2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 t="shared" si="1"/>
        <v/>
      </c>
      <c r="S23" s="4">
        <f t="shared" si="2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4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 t="shared" si="1"/>
        <v/>
      </c>
      <c r="S24" s="4">
        <f t="shared" si="2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4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 t="shared" si="1"/>
        <v/>
      </c>
      <c r="S25" s="4">
        <f t="shared" si="2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4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 t="shared" si="1"/>
        <v/>
      </c>
      <c r="S26" s="4">
        <f t="shared" si="2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4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 t="shared" si="1"/>
        <v/>
      </c>
      <c r="S27" s="4">
        <f t="shared" si="2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3"/>
        <v>16.260000000000002</v>
      </c>
      <c r="Z27" s="34"/>
      <c r="AA27" s="40"/>
      <c r="AB27" s="33"/>
      <c r="AC27" s="40"/>
      <c r="AD27" s="34"/>
      <c r="AE27" s="40"/>
      <c r="AF27" s="4">
        <f t="shared" si="4"/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 t="shared" si="1"/>
        <v/>
      </c>
      <c r="S28" s="4">
        <f t="shared" si="2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4"/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 t="shared" si="1"/>
        <v/>
      </c>
      <c r="S29" s="4">
        <f t="shared" si="2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4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 t="shared" si="0"/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 t="shared" si="1"/>
        <v/>
      </c>
      <c r="S30" s="4">
        <f t="shared" si="2"/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 t="shared" si="4"/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0">
      <sortCondition descending="1" ref="H1:H3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 t="shared" ref="R3:R46" si="1">IF(A3&lt;5,IF(_xlfn.MAXIFS(A:A,H:H,H3)&gt;3,5-A3,_xlfn.MAXIFS(A:A,H:H,H3)+1-A3),"")</f>
        <v>2</v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 t="shared" si="1"/>
        <v>1</v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 t="shared" si="1"/>
        <v>1</v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 t="s">
        <v>567</v>
      </c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tabSelected="1"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53.6</v>
      </c>
      <c r="S3" s="4">
        <f t="shared" ref="S3:S34" si="3"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 t="shared" si="1"/>
        <v>3</v>
      </c>
      <c r="R4" s="4">
        <f t="shared" si="2"/>
        <v>51.2</v>
      </c>
      <c r="S4" s="4">
        <f t="shared" si="3"/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 t="shared" si="1"/>
        <v>2</v>
      </c>
      <c r="R5" s="4">
        <f t="shared" si="2"/>
        <v>50</v>
      </c>
      <c r="S5" s="4">
        <f t="shared" si="3"/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 t="shared" si="1"/>
        <v>1</v>
      </c>
      <c r="R6" s="4">
        <f t="shared" si="2"/>
        <v>51.4</v>
      </c>
      <c r="S6" s="4">
        <f t="shared" si="3"/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 t="shared" si="0"/>
        <v>105.70020529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 t="shared" si="1"/>
        <v/>
      </c>
      <c r="R7" s="4">
        <f t="shared" si="2"/>
        <v>52.9</v>
      </c>
      <c r="S7" s="4">
        <f t="shared" si="3"/>
        <v>52.8</v>
      </c>
      <c r="T7" s="33"/>
      <c r="U7" s="40"/>
      <c r="V7" s="34"/>
      <c r="W7" s="40"/>
      <c r="X7" s="33">
        <v>52.9</v>
      </c>
      <c r="Y7" s="40">
        <v>14.8</v>
      </c>
      <c r="Z7" s="34">
        <v>52.8</v>
      </c>
      <c r="AA7" s="37">
        <v>15.2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 t="shared" si="1"/>
        <v/>
      </c>
      <c r="R8" s="4">
        <f t="shared" si="2"/>
        <v>51</v>
      </c>
      <c r="S8" s="4">
        <f t="shared" si="3"/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50.9</v>
      </c>
      <c r="S9" s="4">
        <f t="shared" si="3"/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 t="shared" si="0"/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49.7</v>
      </c>
      <c r="S10" s="4">
        <f t="shared" si="3"/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 t="shared" si="0"/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49.5</v>
      </c>
      <c r="S11" s="4">
        <f t="shared" si="3"/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 t="shared" si="0"/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49.4</v>
      </c>
      <c r="S12" s="4">
        <f t="shared" si="3"/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15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98.80010498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</v>
      </c>
      <c r="S13" s="4">
        <f t="shared" si="3"/>
        <v>49.8</v>
      </c>
      <c r="T13" s="33">
        <v>49</v>
      </c>
      <c r="U13" s="40">
        <v>12</v>
      </c>
      <c r="V13" s="34">
        <v>47.1</v>
      </c>
      <c r="W13" s="40">
        <v>11.6</v>
      </c>
      <c r="X13" s="33">
        <v>48.7</v>
      </c>
      <c r="Y13" s="40">
        <v>13.2</v>
      </c>
      <c r="Z13" s="34">
        <v>49.8</v>
      </c>
      <c r="AA13" s="37">
        <v>14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17</v>
      </c>
      <c r="C14" s="36" t="s">
        <v>226</v>
      </c>
      <c r="D14" s="36" t="str">
        <f>IF(E14="","",VLOOKUP(E14,'Coaching Points'!A:B,2,0))</f>
        <v>QC</v>
      </c>
      <c r="E14" s="36" t="s">
        <v>284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 t="shared" si="0"/>
        <v>96.200104850000002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48.5</v>
      </c>
      <c r="S14" s="4">
        <f t="shared" si="3"/>
        <v>47.7</v>
      </c>
      <c r="T14" s="33">
        <v>44.1</v>
      </c>
      <c r="U14" s="40">
        <v>6.6</v>
      </c>
      <c r="V14" s="34">
        <v>44.7</v>
      </c>
      <c r="W14" s="40">
        <v>8.3000000000000007</v>
      </c>
      <c r="X14" s="33">
        <v>48.5</v>
      </c>
      <c r="Y14" s="40">
        <v>12.8</v>
      </c>
      <c r="Z14" s="34">
        <v>47.7</v>
      </c>
      <c r="AA14" s="37">
        <v>13.2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18</v>
      </c>
      <c r="C15" s="36" t="s">
        <v>114</v>
      </c>
      <c r="D15" s="36" t="str">
        <f>IF(E15="","",VLOOKUP(E15,'Coaching Points'!A:B,2,0))</f>
        <v>QC</v>
      </c>
      <c r="E15" s="36" t="s">
        <v>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 t="shared" si="0"/>
        <v>95.400200000000012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49.5</v>
      </c>
      <c r="S15" s="4">
        <f t="shared" si="3"/>
        <v>45.9</v>
      </c>
      <c r="T15" s="33">
        <v>49.5</v>
      </c>
      <c r="U15" s="40">
        <v>12.399999999999999</v>
      </c>
      <c r="V15" s="34">
        <v>45.9</v>
      </c>
      <c r="W15" s="40">
        <v>10.8</v>
      </c>
      <c r="X15" s="33"/>
      <c r="Y15" s="40"/>
      <c r="Z15" s="34"/>
      <c r="AA15" s="37"/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19</v>
      </c>
      <c r="C16" s="36" t="s">
        <v>344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 t="shared" si="0"/>
        <v>94.10010484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48.4</v>
      </c>
      <c r="S16" s="4">
        <f t="shared" si="3"/>
        <v>45.7</v>
      </c>
      <c r="T16" s="33">
        <v>45.7</v>
      </c>
      <c r="U16" s="40">
        <v>8.8000000000000007</v>
      </c>
      <c r="V16" s="34">
        <v>44</v>
      </c>
      <c r="W16" s="40">
        <v>6.9</v>
      </c>
      <c r="X16" s="33">
        <v>48.4</v>
      </c>
      <c r="Y16" s="40">
        <v>13.3</v>
      </c>
      <c r="Z16" s="34">
        <v>39.9</v>
      </c>
      <c r="AA16" s="37">
        <v>5.1999999999999993</v>
      </c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21</v>
      </c>
      <c r="C17" s="36" t="s">
        <v>108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74</v>
      </c>
      <c r="I17" s="43" t="s">
        <v>567</v>
      </c>
      <c r="J17" s="4">
        <f t="shared" si="0"/>
        <v>68.100201839999997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49.7</v>
      </c>
      <c r="S17" s="4">
        <f t="shared" si="3"/>
        <v>18.399999999999999</v>
      </c>
      <c r="T17" s="33">
        <v>49.7</v>
      </c>
      <c r="U17" s="40">
        <v>14</v>
      </c>
      <c r="V17" s="34"/>
      <c r="W17" s="40"/>
      <c r="X17" s="33">
        <v>18.399999999999999</v>
      </c>
      <c r="Y17" s="40">
        <v>3.4</v>
      </c>
      <c r="Z17" s="34"/>
      <c r="AA17" s="37"/>
    </row>
    <row r="18" spans="1:27" x14ac:dyDescent="0.2">
      <c r="A18" s="1" t="str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/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1</v>
      </c>
      <c r="C18" s="36" t="s">
        <v>233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/>
      <c r="J18" s="4">
        <f t="shared" si="0"/>
        <v>119.90020605000001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O18" s="39">
        <v>1</v>
      </c>
      <c r="P18" s="39">
        <v>1</v>
      </c>
      <c r="Q18" s="1" t="str">
        <f t="shared" si="1"/>
        <v/>
      </c>
      <c r="R18" s="4">
        <f t="shared" si="2"/>
        <v>60.5</v>
      </c>
      <c r="S18" s="4">
        <f t="shared" si="3"/>
        <v>59.4</v>
      </c>
      <c r="T18" s="33">
        <v>58.7</v>
      </c>
      <c r="U18" s="40">
        <v>20.8</v>
      </c>
      <c r="V18" s="34">
        <v>58.8</v>
      </c>
      <c r="W18" s="40">
        <v>20.8</v>
      </c>
      <c r="X18" s="33">
        <v>60.5</v>
      </c>
      <c r="Y18" s="40">
        <v>21.1</v>
      </c>
      <c r="Z18" s="34">
        <v>59.4</v>
      </c>
      <c r="AA18" s="37">
        <v>22.7</v>
      </c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6</v>
      </c>
      <c r="C19" s="36" t="s">
        <v>520</v>
      </c>
      <c r="D19" s="36" t="str">
        <f>IF(E19="","",VLOOKUP(E19,'Coaching Points'!A:B,2,0))</f>
        <v>ON</v>
      </c>
      <c r="E19" s="36" t="s">
        <v>47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 t="shared" si="0"/>
        <v>51.20020512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2</v>
      </c>
      <c r="P19" s="39">
        <v>2</v>
      </c>
      <c r="Q19" s="1" t="str">
        <f t="shared" si="1"/>
        <v/>
      </c>
      <c r="R19" s="4">
        <f t="shared" si="2"/>
        <v>51.2</v>
      </c>
      <c r="S19" s="4">
        <f t="shared" si="3"/>
        <v>0</v>
      </c>
      <c r="T19" s="33"/>
      <c r="U19" s="40"/>
      <c r="V19" s="34"/>
      <c r="W19" s="40"/>
      <c r="X19" s="33">
        <v>51.2</v>
      </c>
      <c r="Y19" s="40">
        <v>14</v>
      </c>
      <c r="Z19" s="34"/>
      <c r="AA19" s="37"/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13</v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99.00010497000001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 t="shared" si="1"/>
        <v/>
      </c>
      <c r="R20" s="4">
        <f t="shared" si="2"/>
        <v>49.7</v>
      </c>
      <c r="S20" s="4">
        <f t="shared" si="3"/>
        <v>49.3</v>
      </c>
      <c r="T20" s="33">
        <v>48.5</v>
      </c>
      <c r="U20" s="40">
        <v>13.3</v>
      </c>
      <c r="V20" s="34">
        <v>49.3</v>
      </c>
      <c r="W20" s="40">
        <v>13.3</v>
      </c>
      <c r="X20" s="33">
        <v>49.7</v>
      </c>
      <c r="Y20" s="40">
        <v>14.1</v>
      </c>
      <c r="Z20" s="34">
        <v>49.1</v>
      </c>
      <c r="AA20" s="37">
        <v>14.1</v>
      </c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 t="shared" si="1"/>
        <v/>
      </c>
      <c r="R21" s="4">
        <f t="shared" si="2"/>
        <v>49.4</v>
      </c>
      <c r="S21" s="4">
        <f t="shared" si="3"/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 t="shared" si="1"/>
        <v/>
      </c>
      <c r="R22" s="4">
        <f t="shared" si="2"/>
        <v>48.5</v>
      </c>
      <c r="S22" s="4">
        <f t="shared" si="3"/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 t="shared" si="0"/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 t="shared" si="1"/>
        <v/>
      </c>
      <c r="R23" s="4">
        <f t="shared" si="2"/>
        <v>48.8</v>
      </c>
      <c r="S23" s="4">
        <f t="shared" si="3"/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 t="shared" si="1"/>
        <v/>
      </c>
      <c r="R24" s="4">
        <f t="shared" si="2"/>
        <v>47.1</v>
      </c>
      <c r="S24" s="4">
        <f t="shared" si="3"/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47.4</v>
      </c>
      <c r="S25" s="4">
        <f t="shared" si="3"/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 t="shared" si="0"/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45.7</v>
      </c>
      <c r="S26" s="4">
        <f t="shared" si="3"/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45.6</v>
      </c>
      <c r="S27" s="4">
        <f t="shared" si="3"/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45.1</v>
      </c>
      <c r="S28" s="4">
        <f t="shared" si="3"/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44.7</v>
      </c>
      <c r="S29" s="4">
        <f t="shared" si="3"/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45.2</v>
      </c>
      <c r="S30" s="4">
        <f t="shared" si="3"/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45.1</v>
      </c>
      <c r="S31" s="4">
        <f t="shared" si="3"/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 t="shared" si="0"/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44.2</v>
      </c>
      <c r="S32" s="4">
        <f t="shared" si="3"/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44.2</v>
      </c>
      <c r="S33" s="4">
        <f t="shared" si="3"/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44.1</v>
      </c>
      <c r="S34" s="4">
        <f t="shared" si="3"/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44</v>
      </c>
      <c r="S35" s="4">
        <f t="shared" ref="S35:S66" si="7"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44.6</v>
      </c>
      <c r="S36" s="4">
        <f t="shared" si="7"/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43.5</v>
      </c>
      <c r="S37" s="4">
        <f t="shared" si="7"/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43.7</v>
      </c>
      <c r="S38" s="4">
        <f t="shared" si="7"/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43</v>
      </c>
      <c r="S39" s="4">
        <f t="shared" si="7"/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41.9</v>
      </c>
      <c r="S40" s="4">
        <f t="shared" si="7"/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42.9</v>
      </c>
      <c r="S41" s="4">
        <f t="shared" si="7"/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 t="shared" si="4"/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46.4</v>
      </c>
      <c r="S42" s="4">
        <f t="shared" si="7"/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 t="shared" si="4"/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 t="shared" si="5"/>
        <v/>
      </c>
      <c r="R43" s="4">
        <f t="shared" si="6"/>
        <v>43.2</v>
      </c>
      <c r="S43" s="4">
        <f t="shared" si="7"/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 t="shared" si="5"/>
        <v/>
      </c>
      <c r="R44" s="4">
        <f t="shared" si="6"/>
        <v>42.7</v>
      </c>
      <c r="S44" s="4">
        <f t="shared" si="7"/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 t="shared" si="5"/>
        <v/>
      </c>
      <c r="R45" s="4">
        <f t="shared" si="6"/>
        <v>41.1</v>
      </c>
      <c r="S45" s="4">
        <f t="shared" si="7"/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 t="shared" si="4"/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 t="shared" si="5"/>
        <v/>
      </c>
      <c r="R46" s="4">
        <f t="shared" si="6"/>
        <v>46</v>
      </c>
      <c r="S46" s="4">
        <f t="shared" si="7"/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 t="shared" si="4"/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 t="shared" si="5"/>
        <v/>
      </c>
      <c r="R47" s="4">
        <f t="shared" si="6"/>
        <v>44.4</v>
      </c>
      <c r="S47" s="4">
        <f t="shared" si="7"/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43.3</v>
      </c>
      <c r="S48" s="4">
        <f t="shared" si="7"/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43.1</v>
      </c>
      <c r="S49" s="4">
        <f t="shared" si="7"/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42</v>
      </c>
      <c r="S50" s="4">
        <f t="shared" si="7"/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41.9</v>
      </c>
      <c r="S51" s="4">
        <f t="shared" si="7"/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40.700000000000003</v>
      </c>
      <c r="S52" s="4">
        <f t="shared" si="7"/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39.9</v>
      </c>
      <c r="S53" s="4">
        <f t="shared" si="7"/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 t="shared" si="4"/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38.6</v>
      </c>
      <c r="S54" s="4">
        <f t="shared" si="7"/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4"/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38.200000000000003</v>
      </c>
      <c r="S55" s="4">
        <f t="shared" si="7"/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4"/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24</v>
      </c>
      <c r="S56" s="4">
        <f t="shared" si="7"/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4"/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19.8</v>
      </c>
      <c r="S57" s="4">
        <f t="shared" si="7"/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4"/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19.8</v>
      </c>
      <c r="S58" s="4">
        <f t="shared" si="7"/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 t="shared" si="4"/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 t="shared" si="5"/>
        <v>4</v>
      </c>
      <c r="R59" s="4">
        <f t="shared" si="6"/>
        <v>51.8</v>
      </c>
      <c r="S59" s="4">
        <f t="shared" si="7"/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 t="shared" si="4"/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 t="shared" si="5"/>
        <v>3</v>
      </c>
      <c r="R60" s="4">
        <f t="shared" si="6"/>
        <v>49.4</v>
      </c>
      <c r="S60" s="4">
        <f t="shared" si="7"/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 t="shared" si="4"/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 t="shared" si="5"/>
        <v>2</v>
      </c>
      <c r="R61" s="4">
        <f t="shared" si="6"/>
        <v>49.6</v>
      </c>
      <c r="S61" s="4">
        <f t="shared" si="7"/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 t="shared" si="4"/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 t="shared" si="5"/>
        <v>1</v>
      </c>
      <c r="R62" s="4">
        <f t="shared" si="6"/>
        <v>49.5</v>
      </c>
      <c r="S62" s="4">
        <f t="shared" si="7"/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 t="shared" si="4"/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 t="shared" si="5"/>
        <v/>
      </c>
      <c r="R63" s="4">
        <f t="shared" si="6"/>
        <v>48.7</v>
      </c>
      <c r="S63" s="4">
        <f t="shared" si="7"/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 t="shared" si="4"/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 t="shared" si="5"/>
        <v/>
      </c>
      <c r="R64" s="4">
        <f t="shared" si="6"/>
        <v>48.2</v>
      </c>
      <c r="S64" s="4">
        <f t="shared" si="7"/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 t="shared" si="4"/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 t="shared" si="5"/>
        <v/>
      </c>
      <c r="R65" s="4">
        <f t="shared" si="6"/>
        <v>45.5</v>
      </c>
      <c r="S65" s="4">
        <f t="shared" si="7"/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 t="shared" si="4"/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 t="shared" si="5"/>
        <v/>
      </c>
      <c r="R66" s="4">
        <f t="shared" si="6"/>
        <v>47.8</v>
      </c>
      <c r="S66" s="4">
        <f t="shared" si="7"/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 t="shared" ref="J67:J98" si="8"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47.5</v>
      </c>
      <c r="S67" s="4">
        <f t="shared" ref="S67:S98" si="11"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 t="shared" si="8"/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 t="shared" si="9"/>
        <v/>
      </c>
      <c r="R68" s="4">
        <f t="shared" si="10"/>
        <v>46.3</v>
      </c>
      <c r="S68" s="4">
        <f t="shared" si="11"/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 t="shared" si="8"/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 t="shared" si="9"/>
        <v/>
      </c>
      <c r="R69" s="4">
        <f t="shared" si="10"/>
        <v>46.4</v>
      </c>
      <c r="S69" s="4">
        <f t="shared" si="11"/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 t="shared" si="9"/>
        <v/>
      </c>
      <c r="R70" s="4">
        <f t="shared" si="10"/>
        <v>46.4</v>
      </c>
      <c r="S70" s="4">
        <f t="shared" si="11"/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 t="shared" si="9"/>
        <v/>
      </c>
      <c r="R71" s="4">
        <f t="shared" si="10"/>
        <v>46.2</v>
      </c>
      <c r="S71" s="4">
        <f t="shared" si="11"/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 t="shared" si="9"/>
        <v/>
      </c>
      <c r="R72" s="4">
        <f t="shared" si="10"/>
        <v>45.2</v>
      </c>
      <c r="S72" s="4">
        <f t="shared" si="11"/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 t="shared" si="8"/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 t="shared" si="9"/>
        <v/>
      </c>
      <c r="R73" s="4">
        <f t="shared" si="10"/>
        <v>44.8</v>
      </c>
      <c r="S73" s="4">
        <f t="shared" si="11"/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 t="shared" si="9"/>
        <v/>
      </c>
      <c r="R74" s="4">
        <f t="shared" si="10"/>
        <v>44</v>
      </c>
      <c r="S74" s="4">
        <f t="shared" si="11"/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 t="shared" si="9"/>
        <v/>
      </c>
      <c r="R75" s="4">
        <f t="shared" si="10"/>
        <v>45.4</v>
      </c>
      <c r="S75" s="4">
        <f t="shared" si="11"/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 t="shared" si="8"/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 t="shared" si="9"/>
        <v/>
      </c>
      <c r="R76" s="4">
        <f t="shared" si="10"/>
        <v>45.6</v>
      </c>
      <c r="S76" s="4">
        <f t="shared" si="11"/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 t="shared" si="9"/>
        <v/>
      </c>
      <c r="R77" s="4">
        <f t="shared" si="10"/>
        <v>44.3</v>
      </c>
      <c r="S77" s="4">
        <f t="shared" si="11"/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 t="shared" si="8"/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 t="shared" si="9"/>
        <v/>
      </c>
      <c r="R78" s="4">
        <f t="shared" si="10"/>
        <v>43</v>
      </c>
      <c r="S78" s="4">
        <f t="shared" si="11"/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 t="shared" si="9"/>
        <v/>
      </c>
      <c r="R79" s="4">
        <f t="shared" si="10"/>
        <v>43.4</v>
      </c>
      <c r="S79" s="4">
        <f t="shared" si="11"/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 t="shared" si="9"/>
        <v/>
      </c>
      <c r="R80" s="4">
        <f t="shared" si="10"/>
        <v>43</v>
      </c>
      <c r="S80" s="4">
        <f t="shared" si="11"/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 t="shared" si="9"/>
        <v/>
      </c>
      <c r="R81" s="4">
        <f t="shared" si="10"/>
        <v>43.8</v>
      </c>
      <c r="S81" s="4">
        <f t="shared" si="11"/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 t="shared" si="9"/>
        <v/>
      </c>
      <c r="R82" s="4">
        <f t="shared" si="10"/>
        <v>42.8</v>
      </c>
      <c r="S82" s="4">
        <f t="shared" si="11"/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 t="shared" si="8"/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 t="shared" si="9"/>
        <v/>
      </c>
      <c r="R83" s="4">
        <f t="shared" si="10"/>
        <v>44.7</v>
      </c>
      <c r="S83" s="4">
        <f t="shared" si="11"/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 t="shared" si="9"/>
        <v/>
      </c>
      <c r="R84" s="4">
        <f t="shared" si="10"/>
        <v>41.9</v>
      </c>
      <c r="S84" s="4">
        <f t="shared" si="11"/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 t="shared" si="9"/>
        <v/>
      </c>
      <c r="R85" s="4">
        <f t="shared" si="10"/>
        <v>20.3</v>
      </c>
      <c r="S85" s="4">
        <f t="shared" si="11"/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 t="shared" si="9"/>
        <v/>
      </c>
      <c r="R86" s="4">
        <f t="shared" si="10"/>
        <v>20</v>
      </c>
      <c r="S86" s="4">
        <f t="shared" si="11"/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 t="shared" si="8"/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 t="shared" si="9"/>
        <v>1</v>
      </c>
      <c r="R87" s="4">
        <f t="shared" si="10"/>
        <v>49.4</v>
      </c>
      <c r="S87" s="4">
        <f t="shared" si="11"/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 t="shared" si="8"/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 t="shared" si="9"/>
        <v/>
      </c>
      <c r="R88" s="4">
        <f t="shared" si="10"/>
        <v>45.2</v>
      </c>
      <c r="S88" s="4">
        <f t="shared" si="11"/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 t="shared" si="8"/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 t="shared" si="9"/>
        <v/>
      </c>
      <c r="R89" s="4">
        <f t="shared" si="10"/>
        <v>43.9</v>
      </c>
      <c r="S89" s="4">
        <f t="shared" si="11"/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 t="shared" si="9"/>
        <v/>
      </c>
      <c r="R90" s="4">
        <f t="shared" si="10"/>
        <v>43.6</v>
      </c>
      <c r="S90" s="4">
        <f t="shared" si="11"/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 t="shared" si="8"/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 t="shared" si="9"/>
        <v/>
      </c>
      <c r="R91" s="4">
        <f t="shared" si="10"/>
        <v>43.3</v>
      </c>
      <c r="S91" s="4">
        <f t="shared" si="11"/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 t="shared" si="9"/>
        <v/>
      </c>
      <c r="R92" s="4">
        <f t="shared" si="10"/>
        <v>44.3</v>
      </c>
      <c r="S92" s="4">
        <f t="shared" si="11"/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 t="shared" si="9"/>
        <v/>
      </c>
      <c r="R93" s="4">
        <f t="shared" si="10"/>
        <v>41.3</v>
      </c>
      <c r="S93" s="4">
        <f t="shared" si="11"/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 t="shared" si="9"/>
        <v/>
      </c>
      <c r="R94" s="4">
        <f t="shared" si="10"/>
        <v>42.1</v>
      </c>
      <c r="S94" s="4">
        <f t="shared" si="11"/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 t="shared" si="9"/>
        <v/>
      </c>
      <c r="R95" s="4">
        <f t="shared" si="10"/>
        <v>43.1</v>
      </c>
      <c r="S95" s="4">
        <f t="shared" si="11"/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 t="shared" si="9"/>
        <v/>
      </c>
      <c r="R96" s="4">
        <f t="shared" si="10"/>
        <v>41.1</v>
      </c>
      <c r="S96" s="4">
        <f t="shared" si="11"/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 t="shared" si="8"/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 t="shared" si="9"/>
        <v/>
      </c>
      <c r="R97" s="4">
        <f t="shared" si="10"/>
        <v>42.4</v>
      </c>
      <c r="S97" s="4">
        <f t="shared" si="11"/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 t="shared" si="8"/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 t="shared" si="9"/>
        <v/>
      </c>
      <c r="R98" s="4">
        <f t="shared" si="10"/>
        <v>38.6</v>
      </c>
      <c r="S98" s="4">
        <f t="shared" si="11"/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8">
      <sortCondition descending="1" ref="G1:G9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49.9</v>
      </c>
      <c r="S3" s="4">
        <f t="shared" ref="S3:S34" si="3"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 t="shared" si="1"/>
        <v>3</v>
      </c>
      <c r="R4" s="4">
        <f t="shared" si="2"/>
        <v>48.6</v>
      </c>
      <c r="S4" s="4">
        <f t="shared" si="3"/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 t="shared" si="1"/>
        <v>2</v>
      </c>
      <c r="R5" s="4">
        <f t="shared" si="2"/>
        <v>47.2</v>
      </c>
      <c r="S5" s="4">
        <f t="shared" si="3"/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 t="shared" si="0"/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 t="shared" si="1"/>
        <v>1</v>
      </c>
      <c r="R6" s="4">
        <f t="shared" si="2"/>
        <v>47.2</v>
      </c>
      <c r="S6" s="4">
        <f t="shared" si="3"/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46.6</v>
      </c>
      <c r="S7" s="4">
        <f t="shared" si="3"/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 t="shared" si="1"/>
        <v/>
      </c>
      <c r="R8" s="4">
        <f t="shared" si="2"/>
        <v>46.6</v>
      </c>
      <c r="S8" s="4">
        <f t="shared" si="3"/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 t="shared" si="1"/>
        <v/>
      </c>
      <c r="R9" s="4">
        <f t="shared" si="2"/>
        <v>50.5</v>
      </c>
      <c r="S9" s="4">
        <f t="shared" si="3"/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45.3</v>
      </c>
      <c r="S11" s="4">
        <f t="shared" si="3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44.2</v>
      </c>
      <c r="S12" s="4">
        <f t="shared" si="3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43.5</v>
      </c>
      <c r="S13" s="4">
        <f t="shared" si="3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44.5</v>
      </c>
      <c r="S14" s="4">
        <f t="shared" si="3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43</v>
      </c>
      <c r="S15" s="4">
        <f t="shared" si="3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43.6</v>
      </c>
      <c r="S16" s="4">
        <f t="shared" si="3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42.6</v>
      </c>
      <c r="S18" s="4">
        <f t="shared" si="3"/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43.2</v>
      </c>
      <c r="S19" s="4">
        <f t="shared" si="3"/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43.3</v>
      </c>
      <c r="S20" s="4">
        <f t="shared" si="3"/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43.4</v>
      </c>
      <c r="S21" s="4">
        <f t="shared" si="3"/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42.9</v>
      </c>
      <c r="S22" s="4">
        <f t="shared" si="3"/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43.1</v>
      </c>
      <c r="S23" s="4">
        <f t="shared" si="3"/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43.3</v>
      </c>
      <c r="S24" s="4">
        <f t="shared" si="3"/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 t="shared" si="0"/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41.8</v>
      </c>
      <c r="S25" s="4">
        <f t="shared" si="3"/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43</v>
      </c>
      <c r="S26" s="4">
        <f t="shared" si="3"/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42.3</v>
      </c>
      <c r="S27" s="4">
        <f t="shared" si="3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43.5</v>
      </c>
      <c r="S28" s="4">
        <f t="shared" si="3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43.6</v>
      </c>
      <c r="S29" s="4">
        <f t="shared" si="3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42.7</v>
      </c>
      <c r="S30" s="4">
        <f t="shared" si="3"/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42.7</v>
      </c>
      <c r="S31" s="4">
        <f t="shared" si="3"/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 t="shared" si="0"/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42.5</v>
      </c>
      <c r="S32" s="4">
        <f t="shared" si="3"/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43.8</v>
      </c>
      <c r="S33" s="4">
        <f t="shared" si="3"/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42.8</v>
      </c>
      <c r="S34" s="4">
        <f t="shared" si="3"/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42.2</v>
      </c>
      <c r="S35" s="4">
        <f t="shared" ref="S35:S66" si="7"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 t="shared" si="4"/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42.6</v>
      </c>
      <c r="S36" s="4">
        <f t="shared" si="7"/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42.7</v>
      </c>
      <c r="S37" s="4">
        <f t="shared" si="7"/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43.1</v>
      </c>
      <c r="S38" s="4">
        <f t="shared" si="7"/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4"/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39.700000000000003</v>
      </c>
      <c r="S39" s="4">
        <f t="shared" si="7"/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42.8</v>
      </c>
      <c r="S40" s="4">
        <f t="shared" si="7"/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41</v>
      </c>
      <c r="S41" s="4">
        <f t="shared" si="7"/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 t="shared" si="5"/>
        <v/>
      </c>
      <c r="R42" s="4">
        <f t="shared" si="6"/>
        <v>40.9</v>
      </c>
      <c r="S42" s="4">
        <f t="shared" si="7"/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 t="shared" si="5"/>
        <v/>
      </c>
      <c r="R43" s="4">
        <f t="shared" si="6"/>
        <v>41.7</v>
      </c>
      <c r="S43" s="4">
        <f t="shared" si="7"/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42.7</v>
      </c>
      <c r="S44" s="4">
        <f t="shared" si="7"/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42.7</v>
      </c>
      <c r="S45" s="4">
        <f t="shared" si="7"/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42.5</v>
      </c>
      <c r="S46" s="4">
        <f t="shared" si="7"/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42.3</v>
      </c>
      <c r="S47" s="4">
        <f t="shared" si="7"/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 t="shared" si="4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42.3</v>
      </c>
      <c r="S48" s="4">
        <f t="shared" si="7"/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42.2</v>
      </c>
      <c r="S49" s="4">
        <f t="shared" si="7"/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42.2</v>
      </c>
      <c r="S50" s="4">
        <f t="shared" si="7"/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 t="shared" si="4"/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41.9</v>
      </c>
      <c r="S51" s="4">
        <f t="shared" si="7"/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41.6</v>
      </c>
      <c r="S52" s="4">
        <f t="shared" si="7"/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41.4</v>
      </c>
      <c r="S53" s="4">
        <f t="shared" si="7"/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41.1</v>
      </c>
      <c r="S54" s="4">
        <f t="shared" si="7"/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40.5</v>
      </c>
      <c r="S55" s="4">
        <f t="shared" si="7"/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39.700000000000003</v>
      </c>
      <c r="S56" s="4">
        <f t="shared" si="7"/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39.700000000000003</v>
      </c>
      <c r="S57" s="4">
        <f t="shared" si="7"/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39.200000000000003</v>
      </c>
      <c r="S58" s="4">
        <f t="shared" si="7"/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4"/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37.700000000000003</v>
      </c>
      <c r="S59" s="4">
        <f t="shared" si="7"/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 t="shared" si="4"/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 t="shared" si="5"/>
        <v>3</v>
      </c>
      <c r="R60" s="4">
        <f t="shared" si="6"/>
        <v>49.3</v>
      </c>
      <c r="S60" s="4">
        <f t="shared" si="7"/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 t="shared" si="4"/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 t="shared" si="5"/>
        <v>2</v>
      </c>
      <c r="R61" s="4">
        <f t="shared" si="6"/>
        <v>47.1</v>
      </c>
      <c r="S61" s="4">
        <f t="shared" si="7"/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 t="shared" si="4"/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 t="shared" si="5"/>
        <v>1</v>
      </c>
      <c r="R62" s="4">
        <f t="shared" si="6"/>
        <v>44.6</v>
      </c>
      <c r="S62" s="4">
        <f t="shared" si="7"/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 t="shared" si="4"/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 t="shared" si="5"/>
        <v/>
      </c>
      <c r="R63" s="4">
        <f t="shared" si="6"/>
        <v>44.7</v>
      </c>
      <c r="S63" s="4">
        <f t="shared" si="7"/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 t="shared" si="4"/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 t="shared" si="5"/>
        <v/>
      </c>
      <c r="R64" s="4">
        <f t="shared" si="6"/>
        <v>45.2</v>
      </c>
      <c r="S64" s="4">
        <f t="shared" si="7"/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 t="shared" si="5"/>
        <v/>
      </c>
      <c r="R65" s="4">
        <f t="shared" si="6"/>
        <v>44.2</v>
      </c>
      <c r="S65" s="4">
        <f t="shared" si="7"/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 t="shared" si="4"/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43.8</v>
      </c>
      <c r="S66" s="4">
        <f t="shared" si="7"/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98" si="8"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ref="Q67:Q98" si="9">IF(A67&lt;5,IF(_xlfn.MAXIFS(A:A,G:G,G67)&gt;3,5-A67,_xlfn.MAXIFS(A:A,G:G,G67)+1-A67),"")</f>
        <v/>
      </c>
      <c r="R67" s="4">
        <f t="shared" ref="R67:R98" si="10">MAX(T67,X67)</f>
        <v>43.7</v>
      </c>
      <c r="S67" s="4">
        <f t="shared" ref="S67:S98" si="11"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 t="shared" si="8"/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9"/>
        <v/>
      </c>
      <c r="R68" s="4">
        <f t="shared" si="10"/>
        <v>43.6</v>
      </c>
      <c r="S68" s="4">
        <f t="shared" si="11"/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 t="shared" si="8"/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9"/>
        <v/>
      </c>
      <c r="R69" s="4">
        <f t="shared" si="10"/>
        <v>43.1</v>
      </c>
      <c r="S69" s="4">
        <f t="shared" si="11"/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8"/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 t="shared" si="9"/>
        <v/>
      </c>
      <c r="R70" s="4">
        <f t="shared" si="10"/>
        <v>43.8</v>
      </c>
      <c r="S70" s="4">
        <f t="shared" si="11"/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 t="shared" si="9"/>
        <v/>
      </c>
      <c r="R71" s="4">
        <f t="shared" si="10"/>
        <v>43.4</v>
      </c>
      <c r="S71" s="4">
        <f t="shared" si="11"/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8"/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 t="shared" si="9"/>
        <v/>
      </c>
      <c r="R72" s="4">
        <f t="shared" si="10"/>
        <v>43.5</v>
      </c>
      <c r="S72" s="4">
        <f t="shared" si="11"/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 t="shared" si="9"/>
        <v/>
      </c>
      <c r="R73" s="4">
        <f t="shared" si="10"/>
        <v>42.5</v>
      </c>
      <c r="S73" s="4">
        <f t="shared" si="11"/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 t="shared" si="9"/>
        <v/>
      </c>
      <c r="R74" s="4">
        <f t="shared" si="10"/>
        <v>43.7</v>
      </c>
      <c r="S74" s="4">
        <f t="shared" si="11"/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 t="shared" si="8"/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 t="shared" si="9"/>
        <v/>
      </c>
      <c r="R75" s="4">
        <f t="shared" si="10"/>
        <v>43.1</v>
      </c>
      <c r="S75" s="4">
        <f t="shared" si="11"/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 t="shared" si="9"/>
        <v/>
      </c>
      <c r="R76" s="4">
        <f t="shared" si="10"/>
        <v>43.1</v>
      </c>
      <c r="S76" s="4">
        <f t="shared" si="11"/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 t="shared" si="9"/>
        <v/>
      </c>
      <c r="R77" s="4">
        <f t="shared" si="10"/>
        <v>42.3</v>
      </c>
      <c r="S77" s="4">
        <f t="shared" si="11"/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 t="shared" si="9"/>
        <v/>
      </c>
      <c r="R78" s="4">
        <f t="shared" si="10"/>
        <v>43.5</v>
      </c>
      <c r="S78" s="4">
        <f t="shared" si="11"/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 t="shared" si="8"/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 t="shared" si="9"/>
        <v/>
      </c>
      <c r="R79" s="4">
        <f t="shared" si="10"/>
        <v>41.8</v>
      </c>
      <c r="S79" s="4">
        <f t="shared" si="11"/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 t="shared" si="8"/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 t="shared" si="9"/>
        <v/>
      </c>
      <c r="R80" s="4">
        <f t="shared" si="10"/>
        <v>42.7</v>
      </c>
      <c r="S80" s="4">
        <f t="shared" si="11"/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 t="shared" si="9"/>
        <v/>
      </c>
      <c r="R81" s="4">
        <f t="shared" si="10"/>
        <v>40.700000000000003</v>
      </c>
      <c r="S81" s="4">
        <f t="shared" si="11"/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 t="shared" si="9"/>
        <v/>
      </c>
      <c r="R82" s="4">
        <f t="shared" si="10"/>
        <v>42</v>
      </c>
      <c r="S82" s="4">
        <f t="shared" si="11"/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 t="shared" si="9"/>
        <v/>
      </c>
      <c r="R83" s="4">
        <f t="shared" si="10"/>
        <v>40.9</v>
      </c>
      <c r="S83" s="4">
        <f t="shared" si="11"/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 t="shared" si="9"/>
        <v/>
      </c>
      <c r="R84" s="4">
        <f t="shared" si="10"/>
        <v>39.200000000000003</v>
      </c>
      <c r="S84" s="4">
        <f t="shared" si="11"/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 t="shared" si="9"/>
        <v/>
      </c>
      <c r="R85" s="4">
        <f t="shared" si="10"/>
        <v>42.1</v>
      </c>
      <c r="S85" s="4">
        <f t="shared" si="11"/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 t="shared" si="8"/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 t="shared" si="9"/>
        <v/>
      </c>
      <c r="R86" s="4">
        <f t="shared" si="10"/>
        <v>44.6</v>
      </c>
      <c r="S86" s="4">
        <f t="shared" si="11"/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 t="shared" si="9"/>
        <v/>
      </c>
      <c r="R87" s="4">
        <f t="shared" si="10"/>
        <v>40.6</v>
      </c>
      <c r="S87" s="4">
        <f t="shared" si="11"/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 t="shared" si="9"/>
        <v/>
      </c>
      <c r="R88" s="4">
        <f t="shared" si="10"/>
        <v>38.799999999999997</v>
      </c>
      <c r="S88" s="4">
        <f t="shared" si="11"/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8"/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 t="shared" si="9"/>
        <v/>
      </c>
      <c r="R89" s="4">
        <f t="shared" si="10"/>
        <v>37.700000000000003</v>
      </c>
      <c r="S89" s="4">
        <f t="shared" si="11"/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8"/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 t="shared" si="9"/>
        <v/>
      </c>
      <c r="R90" s="4">
        <f t="shared" si="10"/>
        <v>37.1</v>
      </c>
      <c r="S90" s="4">
        <f t="shared" si="11"/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 t="shared" si="8"/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 t="shared" si="9"/>
        <v>4</v>
      </c>
      <c r="R91" s="4">
        <f t="shared" si="10"/>
        <v>51.1</v>
      </c>
      <c r="S91" s="4">
        <f t="shared" si="11"/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 t="shared" si="8"/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 t="shared" si="9"/>
        <v>3</v>
      </c>
      <c r="R92" s="4">
        <f t="shared" si="10"/>
        <v>46.6</v>
      </c>
      <c r="S92" s="4">
        <f t="shared" si="11"/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 t="shared" si="8"/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 t="shared" si="9"/>
        <v>2</v>
      </c>
      <c r="R93" s="4">
        <f t="shared" si="10"/>
        <v>46.4</v>
      </c>
      <c r="S93" s="4">
        <f t="shared" si="11"/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>4</v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 t="s">
        <v>567</v>
      </c>
      <c r="J94" s="4">
        <f t="shared" si="8"/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>
        <f t="shared" si="9"/>
        <v>1</v>
      </c>
      <c r="R94" s="4">
        <f t="shared" si="10"/>
        <v>43.7</v>
      </c>
      <c r="S94" s="4">
        <f t="shared" si="11"/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 t="shared" si="8"/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 t="shared" si="9"/>
        <v/>
      </c>
      <c r="R95" s="4">
        <f t="shared" si="10"/>
        <v>43.8</v>
      </c>
      <c r="S95" s="4">
        <f t="shared" si="11"/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 t="shared" si="8"/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si="9"/>
        <v/>
      </c>
      <c r="R96" s="4">
        <f t="shared" si="10"/>
        <v>43.2</v>
      </c>
      <c r="S96" s="4">
        <f t="shared" si="11"/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9"/>
        <v/>
      </c>
      <c r="R97" s="4">
        <f t="shared" si="10"/>
        <v>43.1</v>
      </c>
      <c r="S97" s="4">
        <f t="shared" si="11"/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8"/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9"/>
        <v/>
      </c>
      <c r="R98" s="4">
        <f t="shared" si="10"/>
        <v>43</v>
      </c>
      <c r="S98" s="4">
        <f t="shared" si="11"/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4" si="12"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ref="Q99:Q104" si="13">IF(A99&lt;5,IF(_xlfn.MAXIFS(A:A,G:G,G99)&gt;3,5-A99,_xlfn.MAXIFS(A:A,G:G,G99)+1-A99),"")</f>
        <v/>
      </c>
      <c r="R99" s="4">
        <f t="shared" ref="R99:R104" si="14">MAX(T99,X99)</f>
        <v>43.3</v>
      </c>
      <c r="S99" s="4">
        <f t="shared" ref="S99:S104" si="15"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 t="shared" si="12"/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3"/>
        <v/>
      </c>
      <c r="R100" s="4">
        <f t="shared" si="14"/>
        <v>38.9</v>
      </c>
      <c r="S100" s="4">
        <f t="shared" si="15"/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2"/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3"/>
        <v/>
      </c>
      <c r="R101" s="4">
        <f t="shared" si="14"/>
        <v>41.2</v>
      </c>
      <c r="S101" s="4">
        <f t="shared" si="15"/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2"/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3"/>
        <v/>
      </c>
      <c r="R102" s="4">
        <f t="shared" si="14"/>
        <v>41.5</v>
      </c>
      <c r="S102" s="4">
        <f t="shared" si="15"/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2"/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3"/>
        <v/>
      </c>
      <c r="R103" s="4">
        <f t="shared" si="14"/>
        <v>39.4</v>
      </c>
      <c r="S103" s="4">
        <f t="shared" si="15"/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2"/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3"/>
        <v/>
      </c>
      <c r="R104" s="4">
        <f t="shared" si="14"/>
        <v>38.9</v>
      </c>
      <c r="S104" s="4">
        <f t="shared" si="15"/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4">
      <sortCondition descending="1" ref="G1:G10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49" si="0"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 t="shared" ref="Q3:Q49" si="1">IF(A3&lt;5,IF(_xlfn.MAXIFS(A:A,G:G,G3)&gt;3,5-A3,_xlfn.MAXIFS(A:A,G:G,G3)+1-A3),"")</f>
        <v>4</v>
      </c>
      <c r="R3" s="4">
        <f t="shared" ref="R3:R49" si="2">MAX(T3,X3)</f>
        <v>45.7</v>
      </c>
      <c r="S3" s="4">
        <f t="shared" ref="S3:S49" si="3"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 t="shared" si="1"/>
        <v>3</v>
      </c>
      <c r="R4" s="4">
        <f t="shared" si="2"/>
        <v>45.9</v>
      </c>
      <c r="S4" s="4">
        <f t="shared" si="3"/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 t="shared" si="0"/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 t="shared" si="1"/>
        <v>2</v>
      </c>
      <c r="R5" s="4">
        <f t="shared" si="2"/>
        <v>45.3</v>
      </c>
      <c r="S5" s="4">
        <f t="shared" si="3"/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 t="shared" si="1"/>
        <v>1</v>
      </c>
      <c r="R6" s="4">
        <f t="shared" si="2"/>
        <v>45.2</v>
      </c>
      <c r="S6" s="4">
        <f t="shared" si="3"/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 t="shared" si="0"/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45.4</v>
      </c>
      <c r="S8" s="4">
        <f t="shared" si="3"/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 t="shared" si="0"/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44.1</v>
      </c>
      <c r="S9" s="4">
        <f t="shared" si="3"/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 t="shared" si="1"/>
        <v/>
      </c>
      <c r="R10" s="4">
        <f t="shared" si="2"/>
        <v>51.6</v>
      </c>
      <c r="S10" s="4">
        <f t="shared" si="3"/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 t="shared" si="0"/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 t="shared" si="1"/>
        <v/>
      </c>
      <c r="R11" s="4">
        <f t="shared" si="2"/>
        <v>51</v>
      </c>
      <c r="S11" s="4">
        <f t="shared" si="3"/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 t="shared" si="0"/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 t="shared" si="1"/>
        <v/>
      </c>
      <c r="R12" s="4">
        <f t="shared" si="2"/>
        <v>45.9</v>
      </c>
      <c r="S12" s="4">
        <f t="shared" si="3"/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 t="shared" si="1"/>
        <v/>
      </c>
      <c r="R13" s="4">
        <f t="shared" si="2"/>
        <v>42.2</v>
      </c>
      <c r="S13" s="4">
        <f t="shared" si="3"/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42.4</v>
      </c>
      <c r="S14" s="4">
        <f t="shared" si="3"/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 t="shared" si="0"/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39.9</v>
      </c>
      <c r="S15" s="4">
        <f t="shared" si="3"/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40.799999999999997</v>
      </c>
      <c r="S16" s="4">
        <f t="shared" si="3"/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40.799999999999997</v>
      </c>
      <c r="S17" s="4">
        <f t="shared" si="3"/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39.799999999999997</v>
      </c>
      <c r="S18" s="4">
        <f t="shared" si="3"/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41.6</v>
      </c>
      <c r="S19" s="4">
        <f t="shared" si="3"/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 t="shared" si="0"/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37.799999999999997</v>
      </c>
      <c r="S20" s="4">
        <f t="shared" si="3"/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39.4</v>
      </c>
      <c r="S21" s="4">
        <f t="shared" si="3"/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 t="shared" si="0"/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 t="shared" si="1"/>
        <v/>
      </c>
      <c r="R22" s="4">
        <f t="shared" si="2"/>
        <v>38.799999999999997</v>
      </c>
      <c r="S22" s="4">
        <f t="shared" si="3"/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 t="shared" si="1"/>
        <v/>
      </c>
      <c r="R23" s="4">
        <f t="shared" si="2"/>
        <v>38.1</v>
      </c>
      <c r="S23" s="4">
        <f t="shared" si="3"/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 t="shared" si="0"/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38.799999999999997</v>
      </c>
      <c r="S25" s="4">
        <f t="shared" si="3"/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37.299999999999997</v>
      </c>
      <c r="S26" s="4">
        <f t="shared" si="3"/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37</v>
      </c>
      <c r="S27" s="4">
        <f t="shared" si="3"/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34.4</v>
      </c>
      <c r="S28" s="4">
        <f t="shared" si="3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33.700000000000003</v>
      </c>
      <c r="S29" s="4">
        <f t="shared" si="3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 t="shared" si="1"/>
        <v/>
      </c>
      <c r="R30" s="4">
        <f t="shared" si="2"/>
        <v>32.9</v>
      </c>
      <c r="S30" s="4">
        <f t="shared" si="3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 t="shared" si="1"/>
        <v/>
      </c>
      <c r="R31" s="4">
        <f t="shared" si="2"/>
        <v>32.9</v>
      </c>
      <c r="S31" s="4">
        <f t="shared" si="3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 t="shared" si="1"/>
        <v>3</v>
      </c>
      <c r="R32" s="4">
        <f t="shared" si="2"/>
        <v>43.2</v>
      </c>
      <c r="S32" s="4">
        <f t="shared" si="3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 t="shared" si="1"/>
        <v>2</v>
      </c>
      <c r="R33" s="4">
        <f t="shared" si="2"/>
        <v>40.5</v>
      </c>
      <c r="S33" s="4">
        <f t="shared" si="3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 t="shared" si="1"/>
        <v>1</v>
      </c>
      <c r="R34" s="4">
        <f t="shared" si="2"/>
        <v>43.8</v>
      </c>
      <c r="S34" s="4">
        <f t="shared" si="3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 t="shared" si="0"/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 t="shared" si="1"/>
        <v/>
      </c>
      <c r="R35" s="4">
        <f t="shared" si="2"/>
        <v>41.9</v>
      </c>
      <c r="S35" s="4">
        <f t="shared" si="3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 t="shared" si="1"/>
        <v/>
      </c>
      <c r="R36" s="4">
        <f t="shared" si="2"/>
        <v>41.5</v>
      </c>
      <c r="S36" s="4">
        <f t="shared" si="3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 t="shared" si="1"/>
        <v/>
      </c>
      <c r="R37" s="4">
        <f t="shared" si="2"/>
        <v>38.9</v>
      </c>
      <c r="S37" s="4">
        <f t="shared" si="3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 t="shared" si="1"/>
        <v/>
      </c>
      <c r="R38" s="4">
        <f t="shared" si="2"/>
        <v>37</v>
      </c>
      <c r="S38" s="4">
        <f t="shared" si="3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 t="shared" si="1"/>
        <v/>
      </c>
      <c r="R39" s="4">
        <f t="shared" si="2"/>
        <v>37.700000000000003</v>
      </c>
      <c r="S39" s="4">
        <f t="shared" si="3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 t="shared" si="1"/>
        <v/>
      </c>
      <c r="R40" s="4">
        <f t="shared" si="2"/>
        <v>38.5</v>
      </c>
      <c r="S40" s="4">
        <f t="shared" si="3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 t="shared" si="1"/>
        <v/>
      </c>
      <c r="R41" s="4">
        <f t="shared" si="2"/>
        <v>37.799999999999997</v>
      </c>
      <c r="S41" s="4">
        <f t="shared" si="3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 t="shared" si="1"/>
        <v/>
      </c>
      <c r="R42" s="4">
        <f t="shared" si="2"/>
        <v>35</v>
      </c>
      <c r="S42" s="4">
        <f t="shared" si="3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 t="shared" si="1"/>
        <v/>
      </c>
      <c r="R43" s="4">
        <f t="shared" si="2"/>
        <v>36.700000000000003</v>
      </c>
      <c r="S43" s="4">
        <f t="shared" si="3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 t="shared" si="1"/>
        <v/>
      </c>
      <c r="R44" s="4">
        <f t="shared" si="2"/>
        <v>34.200000000000003</v>
      </c>
      <c r="S44" s="4">
        <f t="shared" si="3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 t="shared" si="1"/>
        <v/>
      </c>
      <c r="R45" s="4">
        <f t="shared" si="2"/>
        <v>37.5</v>
      </c>
      <c r="S45" s="4">
        <f t="shared" si="3"/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 t="shared" si="0"/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 t="shared" si="1"/>
        <v/>
      </c>
      <c r="R46" s="4">
        <f t="shared" si="2"/>
        <v>27.8</v>
      </c>
      <c r="S46" s="4">
        <f t="shared" si="3"/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 t="shared" si="0"/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 t="shared" si="1"/>
        <v/>
      </c>
      <c r="R47" s="4">
        <f t="shared" si="2"/>
        <v>35.299999999999997</v>
      </c>
      <c r="S47" s="4">
        <f t="shared" si="3"/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 t="shared" si="1"/>
        <v/>
      </c>
      <c r="R48" s="4">
        <f t="shared" si="2"/>
        <v>36.6</v>
      </c>
      <c r="S48" s="4">
        <f t="shared" si="3"/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 t="shared" si="1"/>
        <v/>
      </c>
      <c r="R49" s="4">
        <f t="shared" si="2"/>
        <v>36.1</v>
      </c>
      <c r="S49" s="4">
        <f t="shared" si="3"/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49">
      <sortCondition descending="1" ref="G1:G5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 t="shared" ref="Q3:Q34" si="1">IF(A3&lt;5,IF(_xlfn.MAXIFS(A:A,G:G,G3)&gt;3,5-A3,_xlfn.MAXIFS(A:A,G:G,G3)+1-A3),"")</f>
        <v>4</v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 t="shared" si="1"/>
        <v>3</v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 t="shared" si="1"/>
        <v>2</v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 t="shared" si="0"/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 t="shared" si="1"/>
        <v>1</v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 t="shared" si="0"/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43.2</v>
      </c>
      <c r="S7" s="4">
        <f t="shared" si="3"/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 t="shared" si="0"/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42.1</v>
      </c>
      <c r="S8" s="4">
        <f t="shared" si="3"/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 t="shared" si="0"/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38.700000000000003</v>
      </c>
      <c r="S9" s="4">
        <f t="shared" si="3"/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 t="shared" si="0"/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37.6</v>
      </c>
      <c r="S10" s="4">
        <f t="shared" si="3"/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 t="shared" si="0"/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 t="shared" si="0"/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 t="shared" si="4"/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 t="shared" si="5"/>
        <v>1</v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 t="shared" si="4"/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 t="shared" si="4"/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76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 t="s">
        <v>567</v>
      </c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2023-08-13T20:19:10Z</dcterms:modified>
</cp:coreProperties>
</file>