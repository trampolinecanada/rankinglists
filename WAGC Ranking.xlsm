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C492A03-293D-B146-A735-5FA81B6BFFBE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4" l="1"/>
  <c r="C55" i="17"/>
  <c r="D55" i="17" s="1"/>
  <c r="E55" i="17"/>
  <c r="F55" i="17" s="1"/>
  <c r="C13" i="17"/>
  <c r="D13" i="17" s="1"/>
  <c r="E13" i="17"/>
  <c r="F13" i="17" s="1"/>
  <c r="C9" i="17"/>
  <c r="D9" i="17" s="1"/>
  <c r="G9" i="17"/>
  <c r="H9" i="17" s="1"/>
  <c r="A8" i="16" a="1"/>
  <c r="A8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6" i="16" a="1"/>
  <c r="A46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5" i="16" a="1"/>
  <c r="A55" i="16" s="1"/>
  <c r="A56" i="16" a="1"/>
  <c r="A56" i="16" s="1"/>
  <c r="A57" i="16" a="1"/>
  <c r="A57" i="16" s="1"/>
  <c r="A58" i="16" a="1"/>
  <c r="A58" i="16" s="1"/>
  <c r="A59" i="16" a="1"/>
  <c r="A59" i="16" s="1"/>
  <c r="A60" i="16" a="1"/>
  <c r="A60" i="16" s="1"/>
  <c r="A61" i="16" a="1"/>
  <c r="A61" i="16" s="1"/>
  <c r="A62" i="16" a="1"/>
  <c r="A62" i="16" s="1"/>
  <c r="A63" i="16" a="1"/>
  <c r="A63" i="16" s="1"/>
  <c r="A65" i="16" a="1"/>
  <c r="A65" i="16" s="1"/>
  <c r="A66" i="16" a="1"/>
  <c r="A66" i="16" s="1"/>
  <c r="A67" i="16" a="1"/>
  <c r="A67" i="16" s="1"/>
  <c r="A68" i="16" a="1"/>
  <c r="A68" i="16" s="1"/>
  <c r="A7" i="16" a="1"/>
  <c r="A7" i="16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40" i="15" a="1"/>
  <c r="A40" i="15" s="1"/>
  <c r="A41" i="15" a="1"/>
  <c r="A41" i="15" s="1"/>
  <c r="A42" i="15" a="1"/>
  <c r="A42" i="15" s="1"/>
  <c r="A9" i="15" a="1"/>
  <c r="A9" i="15" s="1"/>
  <c r="A6" i="13" a="1"/>
  <c r="A6" i="13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4" i="12" a="1"/>
  <c r="A4" i="12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0" i="11" a="1"/>
  <c r="A10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5" i="11" a="1"/>
  <c r="A75" i="11" s="1"/>
  <c r="A76" i="11" a="1"/>
  <c r="A76" i="11" s="1"/>
  <c r="A77" i="11" a="1"/>
  <c r="A77" i="11" s="1"/>
  <c r="A78" i="11" a="1"/>
  <c r="A78" i="11" s="1"/>
  <c r="A79" i="11" a="1"/>
  <c r="A79" i="11" s="1"/>
  <c r="A80" i="11" a="1"/>
  <c r="A80" i="11" s="1"/>
  <c r="A81" i="11" a="1"/>
  <c r="A81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9" i="3" a="1"/>
  <c r="A89" i="3" s="1"/>
  <c r="A90" i="3" a="1"/>
  <c r="A90" i="3" s="1"/>
  <c r="A91" i="3" a="1"/>
  <c r="A91" i="3" s="1"/>
  <c r="A12" i="14" a="1"/>
  <c r="A12" i="14" s="1"/>
  <c r="A53" i="14" a="1"/>
  <c r="A53" i="14" s="1"/>
  <c r="A42" i="14" a="1"/>
  <c r="A42" i="14" s="1"/>
  <c r="A21" i="14" a="1"/>
  <c r="A21" i="14" s="1"/>
  <c r="A15" i="14" a="1"/>
  <c r="A15" i="14" s="1"/>
  <c r="A20" i="14" a="1"/>
  <c r="A20" i="14" s="1"/>
  <c r="A55" i="14" a="1"/>
  <c r="A55" i="14" s="1"/>
  <c r="A19" i="14" a="1"/>
  <c r="A19" i="14" s="1"/>
  <c r="A49" i="14" a="1"/>
  <c r="A49" i="14" s="1"/>
  <c r="A23" i="14" a="1"/>
  <c r="A23" i="14" s="1"/>
  <c r="A18" i="14" a="1"/>
  <c r="A18" i="14" s="1"/>
  <c r="A13" i="14" a="1"/>
  <c r="A13" i="14" s="1"/>
  <c r="A14" i="14" a="1"/>
  <c r="A14" i="14" s="1"/>
  <c r="A30" i="14" a="1"/>
  <c r="A30" i="14" s="1"/>
  <c r="A46" i="14" a="1"/>
  <c r="A46" i="14" s="1"/>
  <c r="A24" i="14" a="1"/>
  <c r="A24" i="14" s="1"/>
  <c r="A26" i="14" a="1"/>
  <c r="A26" i="14" s="1"/>
  <c r="A33" i="14" a="1"/>
  <c r="A33" i="14" s="1"/>
  <c r="A29" i="14" a="1"/>
  <c r="A29" i="14" s="1"/>
  <c r="A34" i="14" a="1"/>
  <c r="A34" i="14" s="1"/>
  <c r="A17" i="14" a="1"/>
  <c r="A17" i="14" s="1"/>
  <c r="A22" i="14" a="1"/>
  <c r="A22" i="14" s="1"/>
  <c r="A32" i="14" a="1"/>
  <c r="A32" i="14" s="1"/>
  <c r="A16" i="14" a="1"/>
  <c r="A16" i="14" s="1"/>
  <c r="A52" i="14" a="1"/>
  <c r="A52" i="14" s="1"/>
  <c r="A40" i="14" a="1"/>
  <c r="A40" i="14" s="1"/>
  <c r="A35" i="14" a="1"/>
  <c r="A35" i="14" s="1"/>
  <c r="A39" i="14" a="1"/>
  <c r="A39" i="14" s="1"/>
  <c r="A37" i="14" a="1"/>
  <c r="A37" i="14" s="1"/>
  <c r="A28" i="14" a="1"/>
  <c r="A28" i="14" s="1"/>
  <c r="A54" i="14" a="1"/>
  <c r="A54" i="14" s="1"/>
  <c r="A41" i="14" a="1"/>
  <c r="A41" i="14" s="1"/>
  <c r="A38" i="14" a="1"/>
  <c r="A38" i="14" s="1"/>
  <c r="A11" i="14" a="1"/>
  <c r="A11" i="14" s="1"/>
  <c r="A43" i="14" a="1"/>
  <c r="A43" i="14" s="1"/>
  <c r="A27" i="14" a="1"/>
  <c r="A27" i="14" s="1"/>
  <c r="A45" i="14" a="1"/>
  <c r="A45" i="14" s="1"/>
  <c r="A47" i="14" a="1"/>
  <c r="A47" i="14" s="1"/>
  <c r="A25" i="14" a="1"/>
  <c r="A25" i="14" s="1"/>
  <c r="A48" i="14" a="1"/>
  <c r="A48" i="14" s="1"/>
  <c r="A50" i="14" a="1"/>
  <c r="A50" i="14" s="1"/>
  <c r="A31" i="14" a="1"/>
  <c r="A31" i="14" s="1"/>
  <c r="A51" i="14" a="1"/>
  <c r="A51" i="14" s="1"/>
  <c r="A36" i="14" a="1"/>
  <c r="A36" i="14" s="1"/>
  <c r="A44" i="14" a="1"/>
  <c r="A44" i="14" s="1"/>
  <c r="A63" i="14" a="1"/>
  <c r="A63" i="14" s="1"/>
  <c r="A65" i="14" a="1"/>
  <c r="A65" i="14" s="1"/>
  <c r="A67" i="14" a="1"/>
  <c r="A67" i="14" s="1"/>
  <c r="A68" i="14" a="1"/>
  <c r="A68" i="14" s="1"/>
  <c r="A66" i="14" a="1"/>
  <c r="A66" i="14" s="1"/>
  <c r="A64" i="14" a="1"/>
  <c r="A64" i="14" s="1"/>
  <c r="A81" i="14" a="1"/>
  <c r="A81" i="14" s="1"/>
  <c r="A70" i="14" a="1"/>
  <c r="A70" i="14" s="1"/>
  <c r="A73" i="14" a="1"/>
  <c r="A73" i="14" s="1"/>
  <c r="A71" i="14" a="1"/>
  <c r="A71" i="14" s="1"/>
  <c r="A75" i="14" a="1"/>
  <c r="A75" i="14" s="1"/>
  <c r="A72" i="14" a="1"/>
  <c r="A72" i="14" s="1"/>
  <c r="A69" i="14" a="1"/>
  <c r="A69" i="14" s="1"/>
  <c r="A61" i="14" a="1"/>
  <c r="A61" i="14" s="1"/>
  <c r="A74" i="14" a="1"/>
  <c r="A74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62" i="14" a="1"/>
  <c r="A62" i="14" s="1"/>
  <c r="A88" i="14" a="1"/>
  <c r="A88" i="14" s="1"/>
  <c r="A92" i="14" a="1"/>
  <c r="A92" i="14" s="1"/>
  <c r="A86" i="14" a="1"/>
  <c r="A86" i="14" s="1"/>
  <c r="A87" i="14" a="1"/>
  <c r="A87" i="14" s="1"/>
  <c r="A93" i="14" a="1"/>
  <c r="A93" i="14" s="1"/>
  <c r="A89" i="14" a="1"/>
  <c r="A89" i="14" s="1"/>
  <c r="A90" i="14" a="1"/>
  <c r="A90" i="14" s="1"/>
  <c r="A91" i="14" a="1"/>
  <c r="A91" i="14" s="1"/>
  <c r="A94" i="14" a="1"/>
  <c r="A94" i="14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6" i="6" a="1"/>
  <c r="A86" i="6" s="1"/>
  <c r="A87" i="6" a="1"/>
  <c r="A87" i="6" s="1"/>
  <c r="A88" i="6" a="1"/>
  <c r="A88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G3" i="6"/>
  <c r="M3" i="6" s="1"/>
  <c r="C33" i="17"/>
  <c r="D33" i="17" s="1"/>
  <c r="E33" i="17"/>
  <c r="F33" i="17" s="1"/>
  <c r="G38" i="17"/>
  <c r="H38" i="17" s="1"/>
  <c r="L3" i="6" l="1"/>
  <c r="K3" i="6"/>
  <c r="D85" i="14"/>
  <c r="G85" i="14"/>
  <c r="K85" i="14" s="1"/>
  <c r="R85" i="14"/>
  <c r="S85" i="14" s="1"/>
  <c r="D89" i="14"/>
  <c r="G89" i="14"/>
  <c r="K89" i="14" s="1"/>
  <c r="R89" i="14"/>
  <c r="D90" i="14"/>
  <c r="G90" i="14"/>
  <c r="K90" i="14" s="1"/>
  <c r="R90" i="14"/>
  <c r="S90" i="14" s="1"/>
  <c r="D91" i="14"/>
  <c r="G91" i="14"/>
  <c r="L91" i="14" s="1"/>
  <c r="R91" i="14"/>
  <c r="S91" i="14" s="1"/>
  <c r="J91" i="14" s="1"/>
  <c r="D94" i="14"/>
  <c r="G94" i="14"/>
  <c r="M94" i="14" s="1"/>
  <c r="B94" i="14" s="1" a="1"/>
  <c r="B94" i="14" s="1"/>
  <c r="Q94" i="14" s="1"/>
  <c r="R94" i="14"/>
  <c r="S94" i="14" s="1"/>
  <c r="D93" i="14"/>
  <c r="G93" i="14"/>
  <c r="L93" i="14" s="1"/>
  <c r="R93" i="14"/>
  <c r="S93" i="14" s="1"/>
  <c r="D71" i="14"/>
  <c r="G71" i="14"/>
  <c r="L71" i="14" s="1"/>
  <c r="R71" i="14"/>
  <c r="S71" i="14" s="1"/>
  <c r="D72" i="14"/>
  <c r="G72" i="14"/>
  <c r="K72" i="14" s="1"/>
  <c r="R72" i="14"/>
  <c r="S72" i="14" s="1"/>
  <c r="J72" i="14" s="1"/>
  <c r="D74" i="14"/>
  <c r="G74" i="14"/>
  <c r="L74" i="14" s="1"/>
  <c r="R74" i="14"/>
  <c r="S74" i="14" s="1"/>
  <c r="D77" i="14"/>
  <c r="G77" i="14"/>
  <c r="M77" i="14" s="1"/>
  <c r="B77" i="14" s="1" a="1"/>
  <c r="B77" i="14" s="1"/>
  <c r="Q77" i="14" s="1"/>
  <c r="R77" i="14"/>
  <c r="S77" i="14" s="1"/>
  <c r="J77" i="14" s="1"/>
  <c r="D78" i="14"/>
  <c r="G78" i="14"/>
  <c r="K78" i="14" s="1"/>
  <c r="R78" i="14"/>
  <c r="S78" i="14" s="1"/>
  <c r="D79" i="14"/>
  <c r="G79" i="14"/>
  <c r="K79" i="14" s="1"/>
  <c r="R79" i="14"/>
  <c r="S79" i="14" s="1"/>
  <c r="D80" i="14"/>
  <c r="G80" i="14"/>
  <c r="K80" i="14" s="1"/>
  <c r="R80" i="14"/>
  <c r="S80" i="14" s="1"/>
  <c r="D81" i="14"/>
  <c r="G81" i="14"/>
  <c r="L81" i="14" s="1"/>
  <c r="R81" i="14"/>
  <c r="S81" i="14" s="1"/>
  <c r="D24" i="14"/>
  <c r="G24" i="14"/>
  <c r="M24" i="14" s="1"/>
  <c r="B24" i="14" s="1" a="1"/>
  <c r="B24" i="14" s="1"/>
  <c r="Q24" i="14" s="1"/>
  <c r="R24" i="14"/>
  <c r="S24" i="14" s="1"/>
  <c r="D26" i="14"/>
  <c r="G26" i="14"/>
  <c r="M26" i="14" s="1"/>
  <c r="B26" i="14" s="1" a="1"/>
  <c r="B26" i="14" s="1"/>
  <c r="Q26" i="14" s="1"/>
  <c r="E38" i="17" s="1"/>
  <c r="F38" i="17" s="1"/>
  <c r="R26" i="14"/>
  <c r="S26" i="14" s="1"/>
  <c r="D27" i="14"/>
  <c r="G27" i="14"/>
  <c r="K27" i="14" s="1"/>
  <c r="R27" i="14"/>
  <c r="S27" i="14" s="1"/>
  <c r="J27" i="14" s="1"/>
  <c r="D45" i="14"/>
  <c r="G45" i="14"/>
  <c r="L45" i="14" s="1"/>
  <c r="R45" i="14"/>
  <c r="D47" i="14"/>
  <c r="G47" i="14"/>
  <c r="M47" i="14" s="1"/>
  <c r="R47" i="14"/>
  <c r="S47" i="14" s="1"/>
  <c r="D48" i="14"/>
  <c r="G48" i="14"/>
  <c r="K48" i="14" s="1"/>
  <c r="R48" i="14"/>
  <c r="S48" i="14" s="1"/>
  <c r="D50" i="14"/>
  <c r="G50" i="14"/>
  <c r="K50" i="14" s="1"/>
  <c r="R50" i="14"/>
  <c r="S50" i="14" s="1"/>
  <c r="D51" i="14"/>
  <c r="G51" i="14"/>
  <c r="K51" i="14" s="1"/>
  <c r="R51" i="14"/>
  <c r="S51" i="14" s="1"/>
  <c r="D53" i="14"/>
  <c r="G53" i="14"/>
  <c r="L53" i="14" s="1"/>
  <c r="R53" i="14"/>
  <c r="D11" i="14"/>
  <c r="G11" i="14"/>
  <c r="M11" i="14" s="1"/>
  <c r="B11" i="14" s="1" a="1"/>
  <c r="B11" i="14" s="1"/>
  <c r="Q11" i="14" s="1"/>
  <c r="L11" i="14"/>
  <c r="R11" i="14"/>
  <c r="S11" i="14" s="1"/>
  <c r="J11" i="14" s="1"/>
  <c r="D43" i="14"/>
  <c r="G43" i="14"/>
  <c r="K43" i="14" s="1"/>
  <c r="R43" i="14"/>
  <c r="S43" i="14" s="1"/>
  <c r="D44" i="14"/>
  <c r="G44" i="14"/>
  <c r="K44" i="14" s="1"/>
  <c r="R44" i="14"/>
  <c r="S44" i="14" s="1"/>
  <c r="D55" i="14"/>
  <c r="G55" i="14"/>
  <c r="K55" i="14" s="1"/>
  <c r="R55" i="14"/>
  <c r="S55" i="14" s="1"/>
  <c r="D62" i="14"/>
  <c r="G62" i="14"/>
  <c r="L62" i="14" s="1"/>
  <c r="R62" i="14"/>
  <c r="S62" i="14" s="1"/>
  <c r="D87" i="6"/>
  <c r="G87" i="6"/>
  <c r="L87" i="6" s="1"/>
  <c r="R87" i="6"/>
  <c r="S87" i="6" s="1"/>
  <c r="D94" i="6"/>
  <c r="G94" i="6"/>
  <c r="K94" i="6" s="1"/>
  <c r="R94" i="6"/>
  <c r="D57" i="6"/>
  <c r="G57" i="6"/>
  <c r="K57" i="6" s="1"/>
  <c r="R57" i="6"/>
  <c r="S57" i="6" s="1"/>
  <c r="D58" i="6"/>
  <c r="G58" i="6"/>
  <c r="L58" i="6" s="1"/>
  <c r="R58" i="6"/>
  <c r="S58" i="6" s="1"/>
  <c r="J58" i="6" s="1"/>
  <c r="D62" i="6"/>
  <c r="G62" i="6"/>
  <c r="M62" i="6" s="1"/>
  <c r="B62" i="6" s="1" a="1"/>
  <c r="B62" i="6" s="1"/>
  <c r="Q62" i="6" s="1"/>
  <c r="R62" i="6"/>
  <c r="S62" i="6" s="1"/>
  <c r="D69" i="6"/>
  <c r="G69" i="6"/>
  <c r="K69" i="6" s="1"/>
  <c r="R69" i="6"/>
  <c r="S69" i="6" s="1"/>
  <c r="J69" i="6" s="1"/>
  <c r="D70" i="6"/>
  <c r="G70" i="6"/>
  <c r="L70" i="6" s="1"/>
  <c r="R70" i="6"/>
  <c r="S70" i="6" s="1"/>
  <c r="D71" i="6"/>
  <c r="G71" i="6"/>
  <c r="K71" i="6" s="1"/>
  <c r="R71" i="6"/>
  <c r="S71" i="6" s="1"/>
  <c r="J71" i="6" s="1"/>
  <c r="D72" i="6"/>
  <c r="G72" i="6"/>
  <c r="L72" i="6" s="1"/>
  <c r="R72" i="6"/>
  <c r="S72" i="6" s="1"/>
  <c r="D73" i="6"/>
  <c r="G73" i="6"/>
  <c r="M73" i="6" s="1"/>
  <c r="B73" i="6" s="1" a="1"/>
  <c r="B73" i="6" s="1"/>
  <c r="Q73" i="6" s="1"/>
  <c r="R73" i="6"/>
  <c r="S73" i="6" s="1"/>
  <c r="J73" i="6" s="1"/>
  <c r="D74" i="6"/>
  <c r="G74" i="6"/>
  <c r="M74" i="6" s="1"/>
  <c r="B74" i="6" s="1" a="1"/>
  <c r="B74" i="6" s="1"/>
  <c r="Q74" i="6" s="1"/>
  <c r="R74" i="6"/>
  <c r="S74" i="6" s="1"/>
  <c r="D75" i="6"/>
  <c r="G75" i="6"/>
  <c r="K75" i="6" s="1"/>
  <c r="R75" i="6"/>
  <c r="S75" i="6" s="1"/>
  <c r="D76" i="6"/>
  <c r="G76" i="6"/>
  <c r="K76" i="6" s="1"/>
  <c r="R76" i="6"/>
  <c r="S76" i="6" s="1"/>
  <c r="D77" i="6"/>
  <c r="G77" i="6"/>
  <c r="L77" i="6" s="1"/>
  <c r="R77" i="6"/>
  <c r="S77" i="6" s="1"/>
  <c r="D27" i="6"/>
  <c r="G27" i="6"/>
  <c r="M27" i="6" s="1"/>
  <c r="B27" i="6" s="1" a="1"/>
  <c r="B27" i="6" s="1"/>
  <c r="Q27" i="6" s="1"/>
  <c r="R27" i="6"/>
  <c r="S27" i="6" s="1"/>
  <c r="D31" i="6"/>
  <c r="G31" i="6"/>
  <c r="K31" i="6" s="1"/>
  <c r="R31" i="6"/>
  <c r="S31" i="6" s="1"/>
  <c r="D34" i="6"/>
  <c r="G34" i="6"/>
  <c r="K34" i="6" s="1"/>
  <c r="R34" i="6"/>
  <c r="S34" i="6" s="1"/>
  <c r="J34" i="6" s="1"/>
  <c r="D38" i="6"/>
  <c r="G38" i="6"/>
  <c r="K38" i="6" s="1"/>
  <c r="R38" i="6"/>
  <c r="D41" i="6"/>
  <c r="G41" i="6"/>
  <c r="L41" i="6" s="1"/>
  <c r="R41" i="6"/>
  <c r="S41" i="6" s="1"/>
  <c r="D42" i="6"/>
  <c r="G42" i="6"/>
  <c r="L42" i="6" s="1"/>
  <c r="R42" i="6"/>
  <c r="S42" i="6" s="1"/>
  <c r="D47" i="6"/>
  <c r="G47" i="6"/>
  <c r="K47" i="6" s="1"/>
  <c r="R47" i="6"/>
  <c r="S47" i="6" s="1"/>
  <c r="D17" i="6"/>
  <c r="G17" i="6"/>
  <c r="K17" i="6" s="1"/>
  <c r="R17" i="6"/>
  <c r="S17" i="6" s="1"/>
  <c r="D25" i="6"/>
  <c r="G25" i="6"/>
  <c r="L25" i="6" s="1"/>
  <c r="R25" i="6"/>
  <c r="S25" i="6" s="1"/>
  <c r="J25" i="6" s="1"/>
  <c r="D28" i="6"/>
  <c r="G28" i="6"/>
  <c r="M28" i="6" s="1"/>
  <c r="B28" i="6" s="1" a="1"/>
  <c r="B28" i="6" s="1"/>
  <c r="Q28" i="6" s="1"/>
  <c r="R28" i="6"/>
  <c r="S28" i="6" s="1"/>
  <c r="D51" i="6"/>
  <c r="G51" i="6"/>
  <c r="L51" i="6" s="1"/>
  <c r="R51" i="6"/>
  <c r="S51" i="6" s="1"/>
  <c r="D54" i="6"/>
  <c r="G54" i="6"/>
  <c r="K54" i="6" s="1"/>
  <c r="R54" i="6"/>
  <c r="S54" i="6" s="1"/>
  <c r="D8" i="6"/>
  <c r="G8" i="6"/>
  <c r="R8" i="6"/>
  <c r="S8" i="6" s="1"/>
  <c r="D65" i="16"/>
  <c r="G65" i="16"/>
  <c r="K65" i="16" s="1"/>
  <c r="R65" i="16"/>
  <c r="S65" i="16" s="1"/>
  <c r="D66" i="16"/>
  <c r="G66" i="16"/>
  <c r="K66" i="16" s="1"/>
  <c r="R66" i="16"/>
  <c r="D67" i="16"/>
  <c r="G67" i="16"/>
  <c r="K67" i="16" s="1"/>
  <c r="R67" i="16"/>
  <c r="S67" i="16" s="1"/>
  <c r="J67" i="16" s="1"/>
  <c r="D50" i="16"/>
  <c r="G50" i="16"/>
  <c r="L50" i="16" s="1"/>
  <c r="R50" i="16"/>
  <c r="S50" i="16" s="1"/>
  <c r="D52" i="16"/>
  <c r="G52" i="16"/>
  <c r="M52" i="16" s="1"/>
  <c r="B52" i="16" s="1" a="1"/>
  <c r="B52" i="16" s="1"/>
  <c r="Q52" i="16" s="1"/>
  <c r="R52" i="16"/>
  <c r="S52" i="16" s="1"/>
  <c r="D55" i="16"/>
  <c r="G55" i="16"/>
  <c r="M55" i="16" s="1"/>
  <c r="B55" i="16" s="1" a="1"/>
  <c r="B55" i="16" s="1"/>
  <c r="Q55" i="16" s="1"/>
  <c r="R55" i="16"/>
  <c r="S55" i="16" s="1"/>
  <c r="D57" i="16"/>
  <c r="G57" i="16"/>
  <c r="L57" i="16" s="1"/>
  <c r="R57" i="16"/>
  <c r="S57" i="16" s="1"/>
  <c r="D62" i="16"/>
  <c r="G62" i="16"/>
  <c r="K62" i="16" s="1"/>
  <c r="R62" i="16"/>
  <c r="S62" i="16" s="1"/>
  <c r="J62" i="16" s="1"/>
  <c r="D12" i="16"/>
  <c r="G12" i="16"/>
  <c r="L12" i="16" s="1"/>
  <c r="R12" i="16"/>
  <c r="S12" i="16" s="1"/>
  <c r="J12" i="16" s="1"/>
  <c r="D26" i="16"/>
  <c r="G26" i="16"/>
  <c r="M26" i="16" s="1"/>
  <c r="B26" i="16" s="1" a="1"/>
  <c r="B26" i="16" s="1"/>
  <c r="Q26" i="16" s="1"/>
  <c r="G13" i="17" s="1"/>
  <c r="H13" i="17" s="1"/>
  <c r="R26" i="16"/>
  <c r="S26" i="16" s="1"/>
  <c r="J26" i="16" s="1"/>
  <c r="D34" i="16"/>
  <c r="G34" i="16"/>
  <c r="L34" i="16" s="1"/>
  <c r="R34" i="16"/>
  <c r="S34" i="16" s="1"/>
  <c r="G33" i="17"/>
  <c r="H33" i="17" s="1"/>
  <c r="D35" i="16"/>
  <c r="G35" i="16"/>
  <c r="M35" i="16" s="1"/>
  <c r="B35" i="16" s="1" a="1"/>
  <c r="B35" i="16" s="1"/>
  <c r="Q35" i="16" s="1"/>
  <c r="R35" i="16"/>
  <c r="S35" i="16" s="1"/>
  <c r="D36" i="16"/>
  <c r="G36" i="16"/>
  <c r="L36" i="16" s="1"/>
  <c r="R36" i="16"/>
  <c r="S36" i="16" s="1"/>
  <c r="D37" i="16"/>
  <c r="G37" i="16"/>
  <c r="K37" i="16" s="1"/>
  <c r="R37" i="16"/>
  <c r="S37" i="16" s="1"/>
  <c r="J37" i="16" s="1"/>
  <c r="D38" i="16"/>
  <c r="G38" i="16"/>
  <c r="M38" i="16" s="1"/>
  <c r="B38" i="16" s="1" a="1"/>
  <c r="B38" i="16" s="1"/>
  <c r="Q38" i="16" s="1"/>
  <c r="R38" i="16"/>
  <c r="D39" i="16"/>
  <c r="G39" i="16"/>
  <c r="K39" i="16" s="1"/>
  <c r="R39" i="16"/>
  <c r="S39" i="16" s="1"/>
  <c r="D40" i="16"/>
  <c r="G40" i="16"/>
  <c r="L40" i="16" s="1"/>
  <c r="R40" i="16"/>
  <c r="S40" i="16" s="1"/>
  <c r="D41" i="16"/>
  <c r="G41" i="16"/>
  <c r="K41" i="16" s="1"/>
  <c r="R41" i="16"/>
  <c r="S41" i="16" s="1"/>
  <c r="D44" i="16"/>
  <c r="G44" i="16"/>
  <c r="M44" i="16" s="1"/>
  <c r="B44" i="16" s="1" a="1"/>
  <c r="B44" i="16" s="1"/>
  <c r="Q44" i="16" s="1"/>
  <c r="R44" i="16"/>
  <c r="S44" i="16" s="1"/>
  <c r="D64" i="16"/>
  <c r="G64" i="16"/>
  <c r="M64" i="16" s="1"/>
  <c r="R64" i="16"/>
  <c r="S64" i="16" s="1"/>
  <c r="D49" i="16"/>
  <c r="G49" i="16"/>
  <c r="K49" i="16" s="1"/>
  <c r="R49" i="16"/>
  <c r="S49" i="16" s="1"/>
  <c r="D11" i="16"/>
  <c r="G11" i="16"/>
  <c r="K11" i="16" s="1"/>
  <c r="R11" i="16"/>
  <c r="S11" i="16" s="1"/>
  <c r="D33" i="15"/>
  <c r="G33" i="15"/>
  <c r="L33" i="15" s="1"/>
  <c r="R33" i="15"/>
  <c r="S33" i="15" s="1"/>
  <c r="D38" i="15"/>
  <c r="G38" i="15"/>
  <c r="L38" i="15" s="1"/>
  <c r="R38" i="15"/>
  <c r="S38" i="15" s="1"/>
  <c r="D13" i="15"/>
  <c r="G13" i="15"/>
  <c r="L13" i="15" s="1"/>
  <c r="R13" i="15"/>
  <c r="S13" i="15" s="1"/>
  <c r="D18" i="15"/>
  <c r="G18" i="15"/>
  <c r="K18" i="15" s="1"/>
  <c r="R18" i="15"/>
  <c r="S18" i="15" s="1"/>
  <c r="D25" i="15"/>
  <c r="G25" i="15"/>
  <c r="K25" i="15" s="1"/>
  <c r="R25" i="15"/>
  <c r="S25" i="15" s="1"/>
  <c r="D30" i="15"/>
  <c r="G30" i="15"/>
  <c r="L30" i="15" s="1"/>
  <c r="R30" i="15"/>
  <c r="S30" i="15" s="1"/>
  <c r="D8" i="15"/>
  <c r="G8" i="15"/>
  <c r="L8" i="15" s="1"/>
  <c r="R8" i="15"/>
  <c r="S8" i="15" s="1"/>
  <c r="D22" i="15"/>
  <c r="G22" i="15"/>
  <c r="K22" i="15" s="1"/>
  <c r="R22" i="15"/>
  <c r="S22" i="15" s="1"/>
  <c r="D32" i="15"/>
  <c r="G32" i="15"/>
  <c r="L32" i="15" s="1"/>
  <c r="R32" i="15"/>
  <c r="S32" i="15" s="1"/>
  <c r="D42" i="15"/>
  <c r="G42" i="15"/>
  <c r="K42" i="15" s="1"/>
  <c r="R42" i="15"/>
  <c r="D14" i="13"/>
  <c r="H14" i="13"/>
  <c r="L14" i="13" s="1"/>
  <c r="S14" i="13"/>
  <c r="T14" i="13"/>
  <c r="Y14" i="13"/>
  <c r="AF14" i="13"/>
  <c r="D11" i="13"/>
  <c r="H11" i="13"/>
  <c r="L11" i="13" s="1"/>
  <c r="S11" i="13"/>
  <c r="T11" i="13"/>
  <c r="Y11" i="13"/>
  <c r="AF11" i="13"/>
  <c r="D12" i="13"/>
  <c r="H12" i="13"/>
  <c r="L12" i="13" s="1"/>
  <c r="S12" i="13"/>
  <c r="T12" i="13"/>
  <c r="Y12" i="13"/>
  <c r="AF12" i="13"/>
  <c r="D13" i="13"/>
  <c r="H13" i="13"/>
  <c r="N13" i="13" s="1"/>
  <c r="B13" i="13" s="1" a="1"/>
  <c r="B13" i="13" s="1"/>
  <c r="R13" i="13" s="1"/>
  <c r="S13" i="13"/>
  <c r="T13" i="13"/>
  <c r="Y13" i="13"/>
  <c r="AF13" i="13"/>
  <c r="D19" i="13"/>
  <c r="H19" i="13"/>
  <c r="L19" i="13" s="1"/>
  <c r="S19" i="13"/>
  <c r="T19" i="13"/>
  <c r="Y19" i="13"/>
  <c r="AF19" i="13"/>
  <c r="D21" i="13"/>
  <c r="H21" i="13"/>
  <c r="N21" i="13" s="1"/>
  <c r="B21" i="13" s="1" a="1"/>
  <c r="B21" i="13" s="1"/>
  <c r="R21" i="13" s="1"/>
  <c r="S21" i="13"/>
  <c r="T21" i="13"/>
  <c r="Y21" i="13"/>
  <c r="AF21" i="13"/>
  <c r="D5" i="13"/>
  <c r="H5" i="13"/>
  <c r="N5" i="13" s="1"/>
  <c r="S5" i="13"/>
  <c r="T5" i="13"/>
  <c r="Y5" i="13"/>
  <c r="AF5" i="13"/>
  <c r="D11" i="12"/>
  <c r="H11" i="12"/>
  <c r="L11" i="12" s="1"/>
  <c r="S11" i="12"/>
  <c r="T11" i="12"/>
  <c r="Y11" i="12"/>
  <c r="AF11" i="12"/>
  <c r="D13" i="12"/>
  <c r="H13" i="12"/>
  <c r="L13" i="12" s="1"/>
  <c r="S13" i="12"/>
  <c r="T13" i="12"/>
  <c r="Y13" i="12"/>
  <c r="AF13" i="12"/>
  <c r="D9" i="12"/>
  <c r="H9" i="12"/>
  <c r="L9" i="12" s="1"/>
  <c r="S9" i="12"/>
  <c r="T9" i="12"/>
  <c r="Y9" i="12"/>
  <c r="AF9" i="12"/>
  <c r="D7" i="12"/>
  <c r="H7" i="12"/>
  <c r="M7" i="12" s="1"/>
  <c r="S7" i="12"/>
  <c r="T7" i="12"/>
  <c r="Y7" i="12"/>
  <c r="AF7" i="12"/>
  <c r="D97" i="11"/>
  <c r="G97" i="11"/>
  <c r="L97" i="11" s="1"/>
  <c r="X97" i="11"/>
  <c r="AE97" i="11"/>
  <c r="D98" i="11"/>
  <c r="G98" i="11"/>
  <c r="L98" i="11" s="1"/>
  <c r="X98" i="11"/>
  <c r="AE98" i="11"/>
  <c r="D100" i="11"/>
  <c r="G100" i="11"/>
  <c r="L100" i="11" s="1"/>
  <c r="X100" i="11"/>
  <c r="AE100" i="11"/>
  <c r="D82" i="11"/>
  <c r="G82" i="11"/>
  <c r="L82" i="11" s="1"/>
  <c r="X82" i="11"/>
  <c r="AE82" i="11"/>
  <c r="D84" i="11"/>
  <c r="G84" i="11"/>
  <c r="L84" i="11" s="1"/>
  <c r="X84" i="11"/>
  <c r="AE84" i="11"/>
  <c r="D89" i="11"/>
  <c r="G89" i="11"/>
  <c r="L89" i="11" s="1"/>
  <c r="X89" i="11"/>
  <c r="AE89" i="11"/>
  <c r="D90" i="11"/>
  <c r="G90" i="11"/>
  <c r="L90" i="11" s="1"/>
  <c r="X90" i="11"/>
  <c r="AE90" i="11"/>
  <c r="D14" i="11"/>
  <c r="G14" i="11"/>
  <c r="K14" i="11" s="1"/>
  <c r="X14" i="11"/>
  <c r="AE14" i="11"/>
  <c r="D22" i="11"/>
  <c r="G22" i="11"/>
  <c r="R22" i="11" s="1"/>
  <c r="X22" i="11"/>
  <c r="AE22" i="11"/>
  <c r="D30" i="11"/>
  <c r="G30" i="11"/>
  <c r="L30" i="11" s="1"/>
  <c r="X30" i="11"/>
  <c r="AE30" i="11"/>
  <c r="D42" i="11"/>
  <c r="G42" i="11"/>
  <c r="L42" i="11" s="1"/>
  <c r="X42" i="11"/>
  <c r="AE42" i="11"/>
  <c r="D43" i="11"/>
  <c r="G43" i="11"/>
  <c r="K43" i="11" s="1"/>
  <c r="X43" i="11"/>
  <c r="AE43" i="11"/>
  <c r="D49" i="11"/>
  <c r="G49" i="11"/>
  <c r="L49" i="11" s="1"/>
  <c r="X49" i="11"/>
  <c r="AE49" i="11"/>
  <c r="D50" i="11"/>
  <c r="G50" i="11"/>
  <c r="K50" i="11" s="1"/>
  <c r="X50" i="11"/>
  <c r="AE50" i="11"/>
  <c r="D55" i="11"/>
  <c r="G55" i="11"/>
  <c r="M55" i="11" s="1"/>
  <c r="B55" i="11" s="1" a="1"/>
  <c r="B55" i="11" s="1"/>
  <c r="Q55" i="11" s="1"/>
  <c r="X55" i="11"/>
  <c r="AE55" i="11"/>
  <c r="D58" i="11"/>
  <c r="G58" i="11"/>
  <c r="M58" i="11" s="1"/>
  <c r="B58" i="11" s="1" a="1"/>
  <c r="B58" i="11" s="1"/>
  <c r="Q58" i="11" s="1"/>
  <c r="X58" i="11"/>
  <c r="AE58" i="11"/>
  <c r="D60" i="11"/>
  <c r="G60" i="11"/>
  <c r="S60" i="11" s="1"/>
  <c r="X60" i="11"/>
  <c r="AE60" i="11"/>
  <c r="D64" i="11"/>
  <c r="G64" i="11"/>
  <c r="R64" i="11" s="1"/>
  <c r="X64" i="11"/>
  <c r="AE64" i="11"/>
  <c r="D65" i="11"/>
  <c r="G65" i="11"/>
  <c r="M65" i="11" s="1"/>
  <c r="B65" i="11" s="1" a="1"/>
  <c r="B65" i="11" s="1"/>
  <c r="Q65" i="11" s="1"/>
  <c r="X65" i="11"/>
  <c r="AE65" i="11"/>
  <c r="D66" i="11"/>
  <c r="G66" i="11"/>
  <c r="M66" i="11" s="1"/>
  <c r="B66" i="11" s="1" a="1"/>
  <c r="B66" i="11" s="1"/>
  <c r="Q66" i="11" s="1"/>
  <c r="X66" i="11"/>
  <c r="AE66" i="11"/>
  <c r="D68" i="11"/>
  <c r="G68" i="11"/>
  <c r="L68" i="11" s="1"/>
  <c r="X68" i="11"/>
  <c r="AE68" i="11"/>
  <c r="D69" i="11"/>
  <c r="G69" i="11"/>
  <c r="K69" i="11" s="1"/>
  <c r="X69" i="11"/>
  <c r="AE69" i="11"/>
  <c r="D9" i="11"/>
  <c r="G9" i="11"/>
  <c r="L9" i="11" s="1"/>
  <c r="X9" i="11"/>
  <c r="AE9" i="11"/>
  <c r="D62" i="11"/>
  <c r="G62" i="11"/>
  <c r="L62" i="11" s="1"/>
  <c r="X62" i="11"/>
  <c r="AE62" i="11"/>
  <c r="D70" i="11"/>
  <c r="G70" i="11"/>
  <c r="L70" i="11" s="1"/>
  <c r="X70" i="11"/>
  <c r="AE70" i="11"/>
  <c r="D75" i="11"/>
  <c r="G75" i="11"/>
  <c r="L75" i="11" s="1"/>
  <c r="X75" i="11"/>
  <c r="AE75" i="11"/>
  <c r="D5" i="11"/>
  <c r="G5" i="11"/>
  <c r="K5" i="11" s="1"/>
  <c r="X5" i="11"/>
  <c r="AE5" i="11"/>
  <c r="D96" i="11"/>
  <c r="G96" i="11"/>
  <c r="L96" i="11" s="1"/>
  <c r="X96" i="11"/>
  <c r="AE96" i="11"/>
  <c r="AE83" i="3"/>
  <c r="AE85" i="3"/>
  <c r="AE61" i="3"/>
  <c r="AE68" i="3"/>
  <c r="AE70" i="3"/>
  <c r="AE71" i="3"/>
  <c r="AE75" i="3"/>
  <c r="AE76" i="3"/>
  <c r="AE28" i="3"/>
  <c r="AE22" i="3"/>
  <c r="AE24" i="3"/>
  <c r="AE43" i="3"/>
  <c r="AE46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L70" i="3" s="1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H3" i="12"/>
  <c r="K34" i="16" l="1"/>
  <c r="K50" i="16"/>
  <c r="K90" i="11"/>
  <c r="L75" i="6"/>
  <c r="M50" i="11"/>
  <c r="B50" i="11" s="1" a="1"/>
  <c r="B50" i="11" s="1"/>
  <c r="Q50" i="11" s="1"/>
  <c r="K44" i="16"/>
  <c r="K40" i="16"/>
  <c r="K36" i="16"/>
  <c r="K33" i="15"/>
  <c r="K13" i="15"/>
  <c r="L50" i="11"/>
  <c r="S51" i="3"/>
  <c r="R51" i="3"/>
  <c r="L55" i="14"/>
  <c r="M85" i="14"/>
  <c r="L94" i="14"/>
  <c r="K94" i="14"/>
  <c r="K91" i="14"/>
  <c r="K58" i="6"/>
  <c r="K51" i="6"/>
  <c r="M87" i="6"/>
  <c r="B87" i="6" s="1" a="1"/>
  <c r="B87" i="6" s="1"/>
  <c r="Q87" i="6" s="1"/>
  <c r="K87" i="6"/>
  <c r="K74" i="6"/>
  <c r="L27" i="6"/>
  <c r="K27" i="6"/>
  <c r="M75" i="6"/>
  <c r="B75" i="6" s="1" a="1"/>
  <c r="B75" i="6" s="1"/>
  <c r="Q75" i="6" s="1"/>
  <c r="K8" i="6"/>
  <c r="L44" i="16"/>
  <c r="K64" i="16"/>
  <c r="L52" i="16"/>
  <c r="L55" i="16"/>
  <c r="L64" i="16"/>
  <c r="K30" i="15"/>
  <c r="K38" i="15"/>
  <c r="M33" i="15"/>
  <c r="B33" i="15" s="1" a="1"/>
  <c r="B33" i="15" s="1"/>
  <c r="Q33" i="15" s="1"/>
  <c r="M13" i="13"/>
  <c r="M5" i="13"/>
  <c r="L13" i="13"/>
  <c r="L5" i="13"/>
  <c r="L65" i="11"/>
  <c r="K58" i="11"/>
  <c r="M43" i="11"/>
  <c r="B43" i="11" s="1" a="1"/>
  <c r="B43" i="11" s="1"/>
  <c r="Q43" i="11" s="1"/>
  <c r="R50" i="11"/>
  <c r="L43" i="11"/>
  <c r="K42" i="11"/>
  <c r="R43" i="11"/>
  <c r="K65" i="11"/>
  <c r="K62" i="11"/>
  <c r="L58" i="11"/>
  <c r="K68" i="3"/>
  <c r="B47" i="14" a="1"/>
  <c r="B47" i="14" s="1"/>
  <c r="Q47" i="14" s="1"/>
  <c r="L77" i="14"/>
  <c r="L85" i="14"/>
  <c r="L47" i="14"/>
  <c r="K47" i="14"/>
  <c r="K26" i="14"/>
  <c r="M55" i="14"/>
  <c r="B55" i="14" s="1" a="1"/>
  <c r="B55" i="14" s="1"/>
  <c r="Q55" i="14" s="1"/>
  <c r="M79" i="14"/>
  <c r="K42" i="6"/>
  <c r="K52" i="16"/>
  <c r="M14" i="13"/>
  <c r="N14" i="13"/>
  <c r="B14" i="13" s="1" a="1"/>
  <c r="B14" i="13" s="1"/>
  <c r="R14" i="13" s="1"/>
  <c r="N11" i="12"/>
  <c r="B11" i="12" s="1" a="1"/>
  <c r="B11" i="12" s="1"/>
  <c r="R11" i="12" s="1"/>
  <c r="M11" i="12"/>
  <c r="L66" i="11"/>
  <c r="K70" i="11"/>
  <c r="K66" i="11"/>
  <c r="L55" i="11"/>
  <c r="K60" i="11"/>
  <c r="K55" i="11"/>
  <c r="K49" i="11"/>
  <c r="K84" i="11"/>
  <c r="K42" i="3"/>
  <c r="K70" i="3"/>
  <c r="K11" i="14"/>
  <c r="L79" i="14"/>
  <c r="K74" i="14"/>
  <c r="K93" i="14"/>
  <c r="M27" i="14"/>
  <c r="B27" i="14" s="1" a="1"/>
  <c r="B27" i="14" s="1"/>
  <c r="Q27" i="14" s="1"/>
  <c r="L27" i="14"/>
  <c r="M44" i="14"/>
  <c r="B44" i="14" s="1" a="1"/>
  <c r="B44" i="14" s="1"/>
  <c r="Q44" i="14" s="1"/>
  <c r="M78" i="14"/>
  <c r="B78" i="14" s="1" a="1"/>
  <c r="B78" i="14" s="1"/>
  <c r="Q78" i="14" s="1"/>
  <c r="L44" i="14"/>
  <c r="L78" i="14"/>
  <c r="K62" i="14"/>
  <c r="K45" i="14"/>
  <c r="L26" i="14"/>
  <c r="M80" i="14"/>
  <c r="B80" i="14" s="1" a="1"/>
  <c r="B80" i="14" s="1"/>
  <c r="Q80" i="14" s="1"/>
  <c r="L74" i="6"/>
  <c r="L62" i="6"/>
  <c r="K41" i="6"/>
  <c r="K62" i="6"/>
  <c r="K55" i="16"/>
  <c r="L38" i="16"/>
  <c r="K38" i="16"/>
  <c r="M13" i="15"/>
  <c r="B13" i="15" s="1" a="1"/>
  <c r="B13" i="15" s="1"/>
  <c r="Q13" i="15" s="1"/>
  <c r="K32" i="15"/>
  <c r="K28" i="3"/>
  <c r="M42" i="6"/>
  <c r="B42" i="6" s="1" a="1"/>
  <c r="B42" i="6" s="1"/>
  <c r="Q42" i="6" s="1"/>
  <c r="M51" i="6"/>
  <c r="M34" i="6"/>
  <c r="B34" i="6" s="1" a="1"/>
  <c r="B34" i="6" s="1"/>
  <c r="Q34" i="6" s="1"/>
  <c r="L34" i="6"/>
  <c r="M8" i="6"/>
  <c r="L8" i="6"/>
  <c r="K77" i="6"/>
  <c r="K72" i="6"/>
  <c r="M40" i="16"/>
  <c r="B40" i="16" s="1" a="1"/>
  <c r="B40" i="16" s="1"/>
  <c r="Q40" i="16" s="1"/>
  <c r="M41" i="16"/>
  <c r="B41" i="16" s="1" a="1"/>
  <c r="B41" i="16" s="1"/>
  <c r="Q41" i="16" s="1"/>
  <c r="L41" i="16"/>
  <c r="L65" i="16"/>
  <c r="M65" i="16"/>
  <c r="B65" i="16" s="1" a="1"/>
  <c r="B65" i="16" s="1"/>
  <c r="Q65" i="16" s="1"/>
  <c r="M36" i="16"/>
  <c r="B36" i="16" s="1" a="1"/>
  <c r="B36" i="16" s="1"/>
  <c r="Q36" i="16" s="1"/>
  <c r="M42" i="15"/>
  <c r="B42" i="15" s="1" a="1"/>
  <c r="B42" i="15" s="1"/>
  <c r="Q42" i="15" s="1"/>
  <c r="L42" i="15"/>
  <c r="L18" i="15"/>
  <c r="M18" i="15"/>
  <c r="B18" i="15" s="1" a="1"/>
  <c r="B18" i="15" s="1"/>
  <c r="Q18" i="15" s="1"/>
  <c r="M30" i="15"/>
  <c r="B30" i="15" s="1" a="1"/>
  <c r="B30" i="15" s="1"/>
  <c r="Q30" i="15" s="1"/>
  <c r="G55" i="17" s="1"/>
  <c r="H55" i="17" s="1"/>
  <c r="M21" i="13"/>
  <c r="L21" i="13"/>
  <c r="N13" i="12"/>
  <c r="B13" i="12" s="1" a="1"/>
  <c r="B13" i="12" s="1"/>
  <c r="R13" i="12" s="1"/>
  <c r="M60" i="11"/>
  <c r="B60" i="11" s="1" a="1"/>
  <c r="B60" i="11" s="1"/>
  <c r="Q60" i="11" s="1"/>
  <c r="R55" i="11"/>
  <c r="K68" i="11"/>
  <c r="L60" i="11"/>
  <c r="R5" i="11"/>
  <c r="K98" i="11"/>
  <c r="R49" i="11"/>
  <c r="M70" i="11"/>
  <c r="B70" i="11" s="1" a="1"/>
  <c r="B70" i="11" s="1"/>
  <c r="Q70" i="11" s="1"/>
  <c r="K30" i="11"/>
  <c r="M5" i="11"/>
  <c r="L5" i="11"/>
  <c r="M49" i="11"/>
  <c r="B49" i="11" s="1" a="1"/>
  <c r="B49" i="11" s="1"/>
  <c r="Q49" i="11" s="1"/>
  <c r="M42" i="11"/>
  <c r="B42" i="11" s="1" a="1"/>
  <c r="B42" i="11" s="1"/>
  <c r="Q42" i="11" s="1"/>
  <c r="C38" i="17" s="1"/>
  <c r="D38" i="17" s="1"/>
  <c r="M64" i="11"/>
  <c r="B64" i="11" s="1" a="1"/>
  <c r="B64" i="11" s="1"/>
  <c r="Q64" i="11" s="1"/>
  <c r="R42" i="11"/>
  <c r="L64" i="11"/>
  <c r="M82" i="11"/>
  <c r="B82" i="11" s="1" a="1"/>
  <c r="B82" i="11" s="1"/>
  <c r="Q82" i="11" s="1"/>
  <c r="K64" i="11"/>
  <c r="K89" i="11"/>
  <c r="K61" i="3"/>
  <c r="M57" i="3"/>
  <c r="L51" i="3"/>
  <c r="M46" i="3"/>
  <c r="B46" i="3" s="1" a="1"/>
  <c r="B46" i="3" s="1"/>
  <c r="Q46" i="3" s="1"/>
  <c r="R27" i="3"/>
  <c r="S46" i="3"/>
  <c r="R46" i="3"/>
  <c r="S24" i="3"/>
  <c r="M51" i="3"/>
  <c r="B51" i="3" s="1" a="1"/>
  <c r="B51" i="3" s="1"/>
  <c r="Q51" i="3" s="1"/>
  <c r="S27" i="3"/>
  <c r="K57" i="3"/>
  <c r="S22" i="3"/>
  <c r="R22" i="3"/>
  <c r="M27" i="3"/>
  <c r="B27" i="3" s="1" a="1"/>
  <c r="B27" i="3" s="1"/>
  <c r="Q27" i="3" s="1"/>
  <c r="M43" i="3"/>
  <c r="B43" i="3" s="1" a="1"/>
  <c r="B43" i="3" s="1"/>
  <c r="Q43" i="3" s="1"/>
  <c r="S28" i="3"/>
  <c r="L27" i="3"/>
  <c r="K76" i="3"/>
  <c r="K22" i="3"/>
  <c r="R28" i="3"/>
  <c r="K43" i="3"/>
  <c r="M28" i="3"/>
  <c r="B28" i="3" s="1" a="1"/>
  <c r="B28" i="3" s="1"/>
  <c r="Q28" i="3" s="1"/>
  <c r="R24" i="3"/>
  <c r="M24" i="3"/>
  <c r="B24" i="3" s="1" a="1"/>
  <c r="B24" i="3" s="1"/>
  <c r="Q24" i="3" s="1"/>
  <c r="L24" i="3"/>
  <c r="R57" i="3"/>
  <c r="S57" i="3" s="1"/>
  <c r="L43" i="3"/>
  <c r="S47" i="3"/>
  <c r="S53" i="3"/>
  <c r="R47" i="3"/>
  <c r="M47" i="3"/>
  <c r="B47" i="3" s="1" a="1"/>
  <c r="B47" i="3" s="1"/>
  <c r="Q47" i="3" s="1"/>
  <c r="M85" i="3"/>
  <c r="B85" i="3" s="1" a="1"/>
  <c r="B85" i="3" s="1"/>
  <c r="Q85" i="3" s="1"/>
  <c r="L47" i="3"/>
  <c r="M76" i="3"/>
  <c r="B76" i="3" s="1" a="1"/>
  <c r="B76" i="3" s="1"/>
  <c r="Q76" i="3" s="1"/>
  <c r="K63" i="3"/>
  <c r="L76" i="3"/>
  <c r="R53" i="3"/>
  <c r="L46" i="3"/>
  <c r="M83" i="3"/>
  <c r="B83" i="3" s="1" a="1"/>
  <c r="B83" i="3" s="1"/>
  <c r="Q83" i="3" s="1"/>
  <c r="K62" i="3"/>
  <c r="S42" i="3"/>
  <c r="M53" i="3"/>
  <c r="B53" i="3" s="1" a="1"/>
  <c r="B53" i="3" s="1"/>
  <c r="Q53" i="3" s="1"/>
  <c r="M75" i="3"/>
  <c r="B75" i="3" s="1" a="1"/>
  <c r="B75" i="3" s="1"/>
  <c r="Q75" i="3" s="1"/>
  <c r="R42" i="3"/>
  <c r="L53" i="3"/>
  <c r="M42" i="3"/>
  <c r="B42" i="3" s="1" a="1"/>
  <c r="B42" i="3" s="1"/>
  <c r="Q42" i="3" s="1"/>
  <c r="S43" i="3"/>
  <c r="J43" i="3" s="1"/>
  <c r="M22" i="3"/>
  <c r="B22" i="3" s="1" a="1"/>
  <c r="B22" i="3" s="1"/>
  <c r="Q22" i="3" s="1"/>
  <c r="R71" i="3"/>
  <c r="S71" i="3" s="1"/>
  <c r="J71" i="3" s="1"/>
  <c r="M48" i="14"/>
  <c r="B48" i="14" s="1" a="1"/>
  <c r="B48" i="14" s="1"/>
  <c r="Q48" i="14" s="1"/>
  <c r="L48" i="14"/>
  <c r="M81" i="14"/>
  <c r="B81" i="14" s="1" a="1"/>
  <c r="B81" i="14" s="1"/>
  <c r="Q81" i="14" s="1"/>
  <c r="K81" i="14"/>
  <c r="J93" i="14"/>
  <c r="J79" i="14"/>
  <c r="J51" i="14"/>
  <c r="J90" i="14"/>
  <c r="J43" i="14"/>
  <c r="J94" i="14"/>
  <c r="J44" i="14"/>
  <c r="J71" i="14"/>
  <c r="S53" i="14"/>
  <c r="J53" i="14" s="1"/>
  <c r="J78" i="14"/>
  <c r="J74" i="14"/>
  <c r="J85" i="14"/>
  <c r="J50" i="14"/>
  <c r="J24" i="14"/>
  <c r="J26" i="14"/>
  <c r="J81" i="14"/>
  <c r="J47" i="14"/>
  <c r="J62" i="14"/>
  <c r="J48" i="14"/>
  <c r="M43" i="14"/>
  <c r="B43" i="14" s="1" a="1"/>
  <c r="B43" i="14" s="1"/>
  <c r="Q43" i="14" s="1"/>
  <c r="L43" i="14"/>
  <c r="M45" i="14"/>
  <c r="B45" i="14" s="1" a="1"/>
  <c r="B45" i="14" s="1"/>
  <c r="Q45" i="14" s="1"/>
  <c r="L24" i="14"/>
  <c r="K77" i="14"/>
  <c r="M93" i="14"/>
  <c r="B93" i="14" s="1" a="1"/>
  <c r="B93" i="14" s="1"/>
  <c r="Q93" i="14" s="1"/>
  <c r="M62" i="14"/>
  <c r="B62" i="14" s="1" a="1"/>
  <c r="B62" i="14" s="1"/>
  <c r="Q62" i="14" s="1"/>
  <c r="K53" i="14"/>
  <c r="K24" i="14"/>
  <c r="S89" i="14"/>
  <c r="J89" i="14" s="1"/>
  <c r="L80" i="14"/>
  <c r="S45" i="14"/>
  <c r="J45" i="14" s="1"/>
  <c r="M89" i="14"/>
  <c r="B89" i="14" s="1" a="1"/>
  <c r="B89" i="14" s="1"/>
  <c r="Q89" i="14" s="1"/>
  <c r="M90" i="14"/>
  <c r="B90" i="14" s="1" a="1"/>
  <c r="B90" i="14" s="1"/>
  <c r="Q90" i="14" s="1"/>
  <c r="L89" i="14"/>
  <c r="M91" i="14"/>
  <c r="B91" i="14" s="1" a="1"/>
  <c r="B91" i="14" s="1"/>
  <c r="Q91" i="14" s="1"/>
  <c r="L90" i="14"/>
  <c r="J80" i="14"/>
  <c r="M50" i="14"/>
  <c r="B50" i="14" s="1" a="1"/>
  <c r="B50" i="14" s="1"/>
  <c r="Q50" i="14" s="1"/>
  <c r="M71" i="14"/>
  <c r="B71" i="14" s="1" a="1"/>
  <c r="B71" i="14" s="1"/>
  <c r="Q71" i="14" s="1"/>
  <c r="M51" i="14"/>
  <c r="B51" i="14" s="1" a="1"/>
  <c r="B51" i="14" s="1"/>
  <c r="Q51" i="14" s="1"/>
  <c r="L50" i="14"/>
  <c r="M53" i="14"/>
  <c r="B53" i="14" s="1" a="1"/>
  <c r="B53" i="14" s="1"/>
  <c r="Q53" i="14" s="1"/>
  <c r="L51" i="14"/>
  <c r="M74" i="14"/>
  <c r="B74" i="14" s="1" a="1"/>
  <c r="B74" i="14" s="1"/>
  <c r="Q74" i="14" s="1"/>
  <c r="L72" i="14"/>
  <c r="K71" i="14"/>
  <c r="J55" i="14"/>
  <c r="M72" i="14"/>
  <c r="B72" i="14" s="1" a="1"/>
  <c r="B72" i="14" s="1"/>
  <c r="Q72" i="14" s="1"/>
  <c r="L73" i="6"/>
  <c r="M41" i="6"/>
  <c r="B41" i="6" s="1" a="1"/>
  <c r="B41" i="6" s="1"/>
  <c r="Q41" i="6" s="1"/>
  <c r="M31" i="6"/>
  <c r="B31" i="6" s="1" a="1"/>
  <c r="B31" i="6" s="1"/>
  <c r="Q31" i="6" s="1"/>
  <c r="L31" i="6"/>
  <c r="M77" i="6"/>
  <c r="B77" i="6" s="1" a="1"/>
  <c r="B77" i="6" s="1"/>
  <c r="Q77" i="6" s="1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7" i="6"/>
  <c r="J77" i="6"/>
  <c r="J42" i="6"/>
  <c r="J27" i="6"/>
  <c r="J31" i="6"/>
  <c r="J47" i="6"/>
  <c r="J41" i="6"/>
  <c r="S94" i="6"/>
  <c r="J94" i="6" s="1"/>
  <c r="L38" i="6"/>
  <c r="L69" i="6"/>
  <c r="M38" i="6"/>
  <c r="B38" i="6" s="1" a="1"/>
  <c r="B38" i="6" s="1"/>
  <c r="Q38" i="6" s="1"/>
  <c r="M69" i="6"/>
  <c r="B69" i="6" s="1" a="1"/>
  <c r="B69" i="6" s="1"/>
  <c r="Q69" i="6" s="1"/>
  <c r="M54" i="6"/>
  <c r="B54" i="6" s="1" a="1"/>
  <c r="B54" i="6" s="1"/>
  <c r="Q54" i="6" s="1"/>
  <c r="K25" i="6"/>
  <c r="L54" i="6"/>
  <c r="M76" i="6"/>
  <c r="B76" i="6" s="1" a="1"/>
  <c r="B76" i="6" s="1"/>
  <c r="Q76" i="6" s="1"/>
  <c r="L76" i="6"/>
  <c r="S38" i="6"/>
  <c r="J38" i="6" s="1"/>
  <c r="M94" i="6"/>
  <c r="B94" i="6" s="1" a="1"/>
  <c r="B94" i="6" s="1"/>
  <c r="Q94" i="6" s="1"/>
  <c r="M57" i="6"/>
  <c r="B57" i="6" s="1" a="1"/>
  <c r="B57" i="6" s="1"/>
  <c r="Q57" i="6" s="1"/>
  <c r="L94" i="6"/>
  <c r="M58" i="6"/>
  <c r="B58" i="6" s="1" a="1"/>
  <c r="B58" i="6" s="1"/>
  <c r="Q58" i="6" s="1"/>
  <c r="L57" i="6"/>
  <c r="M47" i="6"/>
  <c r="B47" i="6" s="1" a="1"/>
  <c r="B47" i="6" s="1"/>
  <c r="Q47" i="6" s="1"/>
  <c r="E9" i="17" s="1"/>
  <c r="F9" i="17" s="1"/>
  <c r="M70" i="6"/>
  <c r="B70" i="6" s="1" a="1"/>
  <c r="B70" i="6" s="1"/>
  <c r="Q70" i="6" s="1"/>
  <c r="M17" i="6"/>
  <c r="B17" i="6" s="1" a="1"/>
  <c r="B17" i="6" s="1"/>
  <c r="Q17" i="6" s="1"/>
  <c r="L47" i="6"/>
  <c r="M25" i="6"/>
  <c r="B25" i="6" s="1" a="1"/>
  <c r="B25" i="6" s="1"/>
  <c r="Q25" i="6" s="1"/>
  <c r="L17" i="6"/>
  <c r="M72" i="6"/>
  <c r="B72" i="6" s="1" a="1"/>
  <c r="B72" i="6" s="1"/>
  <c r="Q72" i="6" s="1"/>
  <c r="L71" i="6"/>
  <c r="K70" i="6"/>
  <c r="J8" i="6"/>
  <c r="J76" i="6"/>
  <c r="M71" i="6"/>
  <c r="B71" i="6" s="1" a="1"/>
  <c r="B71" i="6" s="1"/>
  <c r="Q71" i="6" s="1"/>
  <c r="M39" i="16"/>
  <c r="B39" i="16" s="1" a="1"/>
  <c r="B39" i="16" s="1"/>
  <c r="Q39" i="16" s="1"/>
  <c r="M37" i="16"/>
  <c r="B37" i="16" s="1" a="1"/>
  <c r="B37" i="16" s="1"/>
  <c r="Q37" i="16" s="1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B62" i="16" s="1" a="1"/>
  <c r="B62" i="16" s="1"/>
  <c r="Q62" i="16" s="1"/>
  <c r="M34" i="16"/>
  <c r="B34" i="16" s="1" a="1"/>
  <c r="B34" i="16" s="1"/>
  <c r="Q34" i="16" s="1"/>
  <c r="L26" i="16"/>
  <c r="K12" i="16"/>
  <c r="S38" i="16"/>
  <c r="J38" i="16" s="1"/>
  <c r="K26" i="16"/>
  <c r="S66" i="16"/>
  <c r="J66" i="16" s="1"/>
  <c r="M66" i="16"/>
  <c r="B66" i="16" s="1" a="1"/>
  <c r="B66" i="16" s="1"/>
  <c r="Q66" i="16" s="1"/>
  <c r="M67" i="16"/>
  <c r="B67" i="16" s="1" a="1"/>
  <c r="B67" i="16" s="1"/>
  <c r="Q67" i="16" s="1"/>
  <c r="L66" i="16"/>
  <c r="M50" i="16"/>
  <c r="B50" i="16" s="1" a="1"/>
  <c r="B50" i="16" s="1"/>
  <c r="Q50" i="16" s="1"/>
  <c r="L67" i="16"/>
  <c r="J36" i="16"/>
  <c r="M57" i="16"/>
  <c r="B57" i="16" s="1" a="1"/>
  <c r="B57" i="16" s="1"/>
  <c r="Q57" i="16" s="1"/>
  <c r="M49" i="16"/>
  <c r="B49" i="16" s="1" a="1"/>
  <c r="B49" i="16" s="1"/>
  <c r="Q49" i="16" s="1"/>
  <c r="M11" i="16"/>
  <c r="B11" i="16" s="1" a="1"/>
  <c r="B11" i="16" s="1"/>
  <c r="Q11" i="16" s="1"/>
  <c r="L49" i="16"/>
  <c r="M12" i="16"/>
  <c r="B12" i="16" s="1" a="1"/>
  <c r="B12" i="16" s="1"/>
  <c r="Q12" i="16" s="1"/>
  <c r="L62" i="16"/>
  <c r="K57" i="16"/>
  <c r="L11" i="16"/>
  <c r="J32" i="15"/>
  <c r="M25" i="15"/>
  <c r="B25" i="15" s="1" a="1"/>
  <c r="B25" i="15" s="1"/>
  <c r="Q25" i="15" s="1"/>
  <c r="L25" i="15"/>
  <c r="M38" i="15"/>
  <c r="B38" i="15" s="1" a="1"/>
  <c r="B38" i="15" s="1"/>
  <c r="Q38" i="15" s="1"/>
  <c r="J22" i="15"/>
  <c r="J33" i="15"/>
  <c r="J18" i="15"/>
  <c r="J8" i="15"/>
  <c r="J25" i="15"/>
  <c r="J38" i="15"/>
  <c r="J30" i="15"/>
  <c r="J13" i="15"/>
  <c r="M32" i="15"/>
  <c r="K8" i="15"/>
  <c r="M8" i="15"/>
  <c r="M22" i="15"/>
  <c r="B22" i="15" s="1" a="1"/>
  <c r="B22" i="15" s="1"/>
  <c r="Q22" i="15" s="1"/>
  <c r="L22" i="15"/>
  <c r="S42" i="15"/>
  <c r="J42" i="15" s="1"/>
  <c r="K21" i="13"/>
  <c r="K19" i="13"/>
  <c r="N19" i="13"/>
  <c r="B19" i="13" s="1" a="1"/>
  <c r="B19" i="13" s="1"/>
  <c r="R19" i="13" s="1"/>
  <c r="N11" i="13"/>
  <c r="B11" i="13" s="1" a="1"/>
  <c r="B11" i="13" s="1"/>
  <c r="R11" i="13" s="1"/>
  <c r="M19" i="13"/>
  <c r="M11" i="13"/>
  <c r="K5" i="13"/>
  <c r="K11" i="13"/>
  <c r="K12" i="13"/>
  <c r="K13" i="13"/>
  <c r="K14" i="13"/>
  <c r="N12" i="13"/>
  <c r="B12" i="13" s="1" a="1"/>
  <c r="B12" i="13" s="1"/>
  <c r="R12" i="13" s="1"/>
  <c r="M12" i="13"/>
  <c r="L7" i="12"/>
  <c r="K7" i="12"/>
  <c r="K9" i="12"/>
  <c r="K11" i="12"/>
  <c r="K13" i="12"/>
  <c r="M13" i="12"/>
  <c r="N9" i="12"/>
  <c r="B9" i="12" s="1" a="1"/>
  <c r="B9" i="12" s="1"/>
  <c r="R9" i="12" s="1"/>
  <c r="N7" i="12"/>
  <c r="B7" i="12" s="1" a="1"/>
  <c r="B7" i="12" s="1"/>
  <c r="R7" i="12" s="1"/>
  <c r="M9" i="12"/>
  <c r="M84" i="11"/>
  <c r="B84" i="11" s="1" a="1"/>
  <c r="B84" i="11" s="1"/>
  <c r="Q84" i="11" s="1"/>
  <c r="M98" i="11"/>
  <c r="B98" i="11" s="1" a="1"/>
  <c r="B98" i="11" s="1"/>
  <c r="Q98" i="11" s="1"/>
  <c r="K75" i="11"/>
  <c r="K100" i="11"/>
  <c r="M75" i="11"/>
  <c r="B75" i="11" s="1" a="1"/>
  <c r="B75" i="11" s="1"/>
  <c r="Q75" i="11" s="1"/>
  <c r="M100" i="11"/>
  <c r="B100" i="11" s="1" a="1"/>
  <c r="B100" i="11" s="1"/>
  <c r="Q100" i="11" s="1"/>
  <c r="K82" i="11"/>
  <c r="R97" i="11"/>
  <c r="S97" i="11" s="1"/>
  <c r="J97" i="11" s="1"/>
  <c r="M89" i="11"/>
  <c r="B89" i="11" s="1" a="1"/>
  <c r="B89" i="11" s="1"/>
  <c r="Q89" i="11" s="1"/>
  <c r="M97" i="11"/>
  <c r="B97" i="11" s="1" a="1"/>
  <c r="B97" i="11" s="1"/>
  <c r="Q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Q30" i="11" s="1"/>
  <c r="R30" i="11"/>
  <c r="R98" i="11"/>
  <c r="S98" i="11" s="1"/>
  <c r="M62" i="11"/>
  <c r="B62" i="11" s="1" a="1"/>
  <c r="B62" i="11" s="1"/>
  <c r="Q62" i="11" s="1"/>
  <c r="R70" i="11"/>
  <c r="R60" i="11"/>
  <c r="J60" i="11" s="1"/>
  <c r="R100" i="11"/>
  <c r="S100" i="11" s="1"/>
  <c r="S55" i="11"/>
  <c r="S50" i="11"/>
  <c r="S65" i="11"/>
  <c r="S30" i="11"/>
  <c r="S43" i="11"/>
  <c r="S42" i="11"/>
  <c r="S5" i="11"/>
  <c r="S49" i="11"/>
  <c r="S70" i="11"/>
  <c r="R9" i="11"/>
  <c r="R14" i="11"/>
  <c r="M22" i="11"/>
  <c r="B22" i="11" s="1" a="1"/>
  <c r="B22" i="11" s="1"/>
  <c r="Q22" i="11" s="1"/>
  <c r="R90" i="11"/>
  <c r="S90" i="11" s="1"/>
  <c r="M14" i="11"/>
  <c r="B14" i="11" s="1" a="1"/>
  <c r="B14" i="11" s="1"/>
  <c r="Q14" i="11" s="1"/>
  <c r="R89" i="11"/>
  <c r="S89" i="11" s="1"/>
  <c r="S62" i="11"/>
  <c r="S9" i="11"/>
  <c r="S14" i="11"/>
  <c r="R69" i="11"/>
  <c r="S69" i="11" s="1"/>
  <c r="M9" i="11"/>
  <c r="R68" i="11"/>
  <c r="R66" i="11"/>
  <c r="L22" i="11"/>
  <c r="K9" i="11"/>
  <c r="L69" i="11"/>
  <c r="M68" i="11"/>
  <c r="B68" i="11" s="1" a="1"/>
  <c r="B68" i="11" s="1"/>
  <c r="Q68" i="11" s="1"/>
  <c r="R65" i="11"/>
  <c r="S64" i="11"/>
  <c r="J64" i="11" s="1"/>
  <c r="K22" i="11"/>
  <c r="L14" i="11"/>
  <c r="M90" i="11"/>
  <c r="B90" i="11" s="1" a="1"/>
  <c r="B90" i="11" s="1"/>
  <c r="Q90" i="11" s="1"/>
  <c r="R84" i="11"/>
  <c r="S84" i="11" s="1"/>
  <c r="S22" i="11"/>
  <c r="J22" i="11" s="1"/>
  <c r="S68" i="11"/>
  <c r="S66" i="11"/>
  <c r="M69" i="11"/>
  <c r="B69" i="11" s="1" a="1"/>
  <c r="B69" i="11" s="1"/>
  <c r="Q69" i="11" s="1"/>
  <c r="K96" i="11"/>
  <c r="R96" i="11"/>
  <c r="M96" i="11"/>
  <c r="M63" i="3"/>
  <c r="B63" i="3" s="1" a="1"/>
  <c r="B63" i="3" s="1"/>
  <c r="Q63" i="3" s="1"/>
  <c r="R70" i="3"/>
  <c r="S70" i="3" s="1"/>
  <c r="K85" i="3"/>
  <c r="M70" i="3"/>
  <c r="B70" i="3" s="1" a="1"/>
  <c r="B70" i="3" s="1"/>
  <c r="Q70" i="3" s="1"/>
  <c r="K75" i="3"/>
  <c r="R76" i="3"/>
  <c r="S76" i="3" s="1"/>
  <c r="R85" i="3"/>
  <c r="S85" i="3" s="1"/>
  <c r="R62" i="3"/>
  <c r="R83" i="3"/>
  <c r="R61" i="3"/>
  <c r="M61" i="3"/>
  <c r="B61" i="3" s="1" a="1"/>
  <c r="B61" i="3" s="1"/>
  <c r="Q61" i="3" s="1"/>
  <c r="M71" i="3"/>
  <c r="B71" i="3" s="1" a="1"/>
  <c r="B71" i="3" s="1"/>
  <c r="Q71" i="3" s="1"/>
  <c r="K71" i="3"/>
  <c r="R68" i="3"/>
  <c r="R63" i="3"/>
  <c r="R75" i="3"/>
  <c r="K83" i="3"/>
  <c r="M62" i="3"/>
  <c r="B62" i="3" s="1" a="1"/>
  <c r="B62" i="3" s="1"/>
  <c r="Q62" i="3" s="1"/>
  <c r="M68" i="3"/>
  <c r="B68" i="3" s="1" a="1"/>
  <c r="B68" i="3" s="1"/>
  <c r="Q68" i="3" s="1"/>
  <c r="H6" i="12"/>
  <c r="L6" i="12" s="1"/>
  <c r="S6" i="12"/>
  <c r="T6" i="12"/>
  <c r="Y6" i="12"/>
  <c r="AF6" i="12"/>
  <c r="D6" i="12"/>
  <c r="B85" i="14" l="1" a="1"/>
  <c r="B85" i="14" s="1"/>
  <c r="Q85" i="14" s="1"/>
  <c r="A85" i="14" a="1"/>
  <c r="A85" i="14" s="1"/>
  <c r="B32" i="15" a="1"/>
  <c r="B32" i="15" s="1"/>
  <c r="Q32" i="15" s="1"/>
  <c r="A32" i="15" a="1"/>
  <c r="A32" i="15" s="1"/>
  <c r="B96" i="11" a="1"/>
  <c r="B96" i="11" s="1"/>
  <c r="Q96" i="11" s="1"/>
  <c r="A96" i="11" a="1"/>
  <c r="A96" i="11" s="1"/>
  <c r="J50" i="11"/>
  <c r="J43" i="11"/>
  <c r="J51" i="3"/>
  <c r="B57" i="3" a="1"/>
  <c r="B57" i="3" s="1"/>
  <c r="Q57" i="3" s="1"/>
  <c r="A57" i="3" a="1"/>
  <c r="A57" i="3" s="1"/>
  <c r="J42" i="11"/>
  <c r="B79" i="14" a="1"/>
  <c r="B79" i="14" s="1"/>
  <c r="Q79" i="14" s="1"/>
  <c r="J55" i="1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9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R6" i="12" s="1"/>
  <c r="M6" i="12"/>
  <c r="K6" i="12"/>
  <c r="R4" i="16" l="1"/>
  <c r="S4" i="16" s="1"/>
  <c r="J4" i="16" s="1"/>
  <c r="R3" i="16"/>
  <c r="S3" i="16" s="1"/>
  <c r="R8" i="16"/>
  <c r="S8" i="16" s="1"/>
  <c r="R20" i="16"/>
  <c r="S20" i="16" s="1"/>
  <c r="R6" i="16"/>
  <c r="S6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5" i="16"/>
  <c r="S5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7" i="16"/>
  <c r="R3" i="15"/>
  <c r="S3" i="15" s="1"/>
  <c r="J3" i="15" s="1"/>
  <c r="R5" i="15"/>
  <c r="S5" i="15" s="1"/>
  <c r="J5" i="15" s="1"/>
  <c r="R6" i="15"/>
  <c r="S6" i="15" s="1"/>
  <c r="J6" i="15" s="1"/>
  <c r="R4" i="15"/>
  <c r="S4" i="15" s="1"/>
  <c r="R11" i="15"/>
  <c r="S11" i="15" s="1"/>
  <c r="R10" i="15"/>
  <c r="S10" i="15" s="1"/>
  <c r="R39" i="15"/>
  <c r="R12" i="15"/>
  <c r="S12" i="15" s="1"/>
  <c r="J12" i="15" s="1"/>
  <c r="R20" i="15"/>
  <c r="S20" i="15" s="1"/>
  <c r="R14" i="15"/>
  <c r="S14" i="15" s="1"/>
  <c r="J14" i="15" s="1"/>
  <c r="R7" i="15"/>
  <c r="S7" i="15" s="1"/>
  <c r="J7" i="15" s="1"/>
  <c r="R16" i="15"/>
  <c r="S16" i="15" s="1"/>
  <c r="J16" i="15" s="1"/>
  <c r="R23" i="15"/>
  <c r="S23" i="15" s="1"/>
  <c r="R15" i="15"/>
  <c r="R21" i="15"/>
  <c r="R40" i="15"/>
  <c r="S40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1" i="15"/>
  <c r="S41" i="15" s="1"/>
  <c r="R9" i="15"/>
  <c r="S9" i="15" s="1"/>
  <c r="J9" i="15" s="1"/>
  <c r="R3" i="14"/>
  <c r="R6" i="14"/>
  <c r="S6" i="14" s="1"/>
  <c r="J6" i="14" s="1"/>
  <c r="R9" i="14"/>
  <c r="S9" i="14" s="1"/>
  <c r="R7" i="14"/>
  <c r="S7" i="14" s="1"/>
  <c r="R4" i="14"/>
  <c r="S4" i="14" s="1"/>
  <c r="R38" i="14"/>
  <c r="S38" i="14" s="1"/>
  <c r="R56" i="14"/>
  <c r="S56" i="14" s="1"/>
  <c r="R57" i="14"/>
  <c r="S57" i="14" s="1"/>
  <c r="R59" i="14"/>
  <c r="S59" i="14" s="1"/>
  <c r="R58" i="14"/>
  <c r="S58" i="14" s="1"/>
  <c r="R65" i="14"/>
  <c r="S65" i="14" s="1"/>
  <c r="R64" i="14"/>
  <c r="S64" i="14" s="1"/>
  <c r="J64" i="14" s="1"/>
  <c r="R60" i="14"/>
  <c r="S60" i="14" s="1"/>
  <c r="R63" i="14"/>
  <c r="S63" i="14" s="1"/>
  <c r="R61" i="14"/>
  <c r="S61" i="14" s="1"/>
  <c r="R8" i="14"/>
  <c r="S8" i="14" s="1"/>
  <c r="R10" i="14"/>
  <c r="S10" i="14" s="1"/>
  <c r="R14" i="14"/>
  <c r="S14" i="14" s="1"/>
  <c r="R15" i="14"/>
  <c r="S15" i="14" s="1"/>
  <c r="R16" i="14"/>
  <c r="S16" i="14" s="1"/>
  <c r="R18" i="14"/>
  <c r="S18" i="14" s="1"/>
  <c r="R21" i="14"/>
  <c r="S21" i="14" s="1"/>
  <c r="R13" i="14"/>
  <c r="S13" i="14" s="1"/>
  <c r="R19" i="14"/>
  <c r="S19" i="14" s="1"/>
  <c r="J19" i="14" s="1"/>
  <c r="R17" i="14"/>
  <c r="S17" i="14" s="1"/>
  <c r="R31" i="14"/>
  <c r="S31" i="14" s="1"/>
  <c r="J31" i="14" s="1"/>
  <c r="R54" i="14"/>
  <c r="S54" i="14" s="1"/>
  <c r="R37" i="14"/>
  <c r="S37" i="14" s="1"/>
  <c r="R39" i="14"/>
  <c r="S39" i="14" s="1"/>
  <c r="J39" i="14" s="1"/>
  <c r="R41" i="14"/>
  <c r="S41" i="14" s="1"/>
  <c r="R12" i="14"/>
  <c r="S12" i="14" s="1"/>
  <c r="R84" i="14"/>
  <c r="S84" i="14" s="1"/>
  <c r="R86" i="14"/>
  <c r="R88" i="14"/>
  <c r="S88" i="14" s="1"/>
  <c r="R87" i="14"/>
  <c r="S87" i="14" s="1"/>
  <c r="R92" i="14"/>
  <c r="S92" i="14" s="1"/>
  <c r="R83" i="14"/>
  <c r="S83" i="14" s="1"/>
  <c r="R82" i="14"/>
  <c r="R66" i="14"/>
  <c r="S66" i="14" s="1"/>
  <c r="R70" i="14"/>
  <c r="S70" i="14" s="1"/>
  <c r="J70" i="14" s="1"/>
  <c r="R69" i="14"/>
  <c r="S69" i="14" s="1"/>
  <c r="R68" i="14"/>
  <c r="S68" i="14" s="1"/>
  <c r="R73" i="14"/>
  <c r="S73" i="14" s="1"/>
  <c r="J73" i="14" s="1"/>
  <c r="R75" i="14"/>
  <c r="S75" i="14" s="1"/>
  <c r="R67" i="14"/>
  <c r="R76" i="14"/>
  <c r="S76" i="14" s="1"/>
  <c r="R20" i="14"/>
  <c r="R23" i="14"/>
  <c r="S23" i="14" s="1"/>
  <c r="R22" i="14"/>
  <c r="S22" i="14" s="1"/>
  <c r="R33" i="14"/>
  <c r="S33" i="14" s="1"/>
  <c r="R32" i="14"/>
  <c r="S32" i="14" s="1"/>
  <c r="R34" i="14"/>
  <c r="S34" i="14" s="1"/>
  <c r="R30" i="14"/>
  <c r="S30" i="14" s="1"/>
  <c r="J30" i="14" s="1"/>
  <c r="R29" i="14"/>
  <c r="S29" i="14" s="1"/>
  <c r="J29" i="14" s="1"/>
  <c r="R28" i="14"/>
  <c r="S28" i="14" s="1"/>
  <c r="R46" i="14"/>
  <c r="S46" i="14" s="1"/>
  <c r="R25" i="14"/>
  <c r="S25" i="14" s="1"/>
  <c r="R49" i="14"/>
  <c r="S49" i="14" s="1"/>
  <c r="R52" i="14"/>
  <c r="R35" i="14"/>
  <c r="S35" i="14" s="1"/>
  <c r="R36" i="14"/>
  <c r="R40" i="14"/>
  <c r="S40" i="14" s="1"/>
  <c r="R42" i="14"/>
  <c r="S42" i="14" s="1"/>
  <c r="S5" i="14"/>
  <c r="J5" i="14" s="1"/>
  <c r="R3" i="6"/>
  <c r="R4" i="6"/>
  <c r="S4" i="6" s="1"/>
  <c r="J4" i="6" s="1"/>
  <c r="R10" i="6"/>
  <c r="S10" i="6" s="1"/>
  <c r="J10" i="6" s="1"/>
  <c r="R6" i="6"/>
  <c r="S6" i="6" s="1"/>
  <c r="J6" i="6" s="1"/>
  <c r="R13" i="6"/>
  <c r="S13" i="6" s="1"/>
  <c r="R15" i="6"/>
  <c r="S15" i="6" s="1"/>
  <c r="J15" i="6" s="1"/>
  <c r="R9" i="6"/>
  <c r="S9" i="6" s="1"/>
  <c r="J9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7" i="6"/>
  <c r="S7" i="6" s="1"/>
  <c r="R48" i="6"/>
  <c r="S48" i="6" s="1"/>
  <c r="R83" i="6"/>
  <c r="S83" i="6" s="1"/>
  <c r="R81" i="6"/>
  <c r="S81" i="6" s="1"/>
  <c r="R82" i="6"/>
  <c r="S82" i="6" s="1"/>
  <c r="R85" i="6"/>
  <c r="S85" i="6" s="1"/>
  <c r="R84" i="6"/>
  <c r="S84" i="6" s="1"/>
  <c r="R90" i="6"/>
  <c r="S90" i="6" s="1"/>
  <c r="R89" i="6"/>
  <c r="S89" i="6" s="1"/>
  <c r="R86" i="6"/>
  <c r="S86" i="6" s="1"/>
  <c r="R92" i="6"/>
  <c r="S92" i="6" s="1"/>
  <c r="J92" i="6" s="1"/>
  <c r="R91" i="6"/>
  <c r="S91" i="6" s="1"/>
  <c r="J91" i="6" s="1"/>
  <c r="R88" i="6"/>
  <c r="S88" i="6" s="1"/>
  <c r="R93" i="6"/>
  <c r="S93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5" i="6"/>
  <c r="S5" i="6" s="1"/>
  <c r="J5" i="6" s="1"/>
  <c r="C42" i="17"/>
  <c r="D42" i="17" s="1"/>
  <c r="G42" i="17"/>
  <c r="D92" i="6"/>
  <c r="D91" i="6"/>
  <c r="D88" i="6"/>
  <c r="D93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G92" i="6"/>
  <c r="M92" i="6" s="1"/>
  <c r="B92" i="6" s="1" a="1"/>
  <c r="B92" i="6" s="1"/>
  <c r="Q92" i="6" s="1"/>
  <c r="G91" i="6"/>
  <c r="L91" i="6" s="1"/>
  <c r="G88" i="6"/>
  <c r="K88" i="6" s="1"/>
  <c r="G93" i="6"/>
  <c r="M93" i="6" s="1"/>
  <c r="B93" i="6" s="1" a="1"/>
  <c r="B93" i="6" s="1"/>
  <c r="Q93" i="6" s="1"/>
  <c r="G68" i="6"/>
  <c r="K68" i="6" s="1"/>
  <c r="G60" i="6"/>
  <c r="K60" i="6" s="1"/>
  <c r="G63" i="6"/>
  <c r="M63" i="6" s="1"/>
  <c r="B63" i="6" s="1" a="1"/>
  <c r="B63" i="6" s="1"/>
  <c r="Q63" i="6" s="1"/>
  <c r="G56" i="6"/>
  <c r="M56" i="6" s="1"/>
  <c r="B56" i="6" s="1" a="1"/>
  <c r="B56" i="6" s="1"/>
  <c r="Q56" i="6" s="1"/>
  <c r="G55" i="6"/>
  <c r="L55" i="6" s="1"/>
  <c r="G64" i="6"/>
  <c r="L64" i="6" s="1"/>
  <c r="G66" i="6"/>
  <c r="M66" i="6" s="1"/>
  <c r="B66" i="6" s="1" a="1"/>
  <c r="B66" i="6" s="1"/>
  <c r="Q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Q29" i="6" s="1"/>
  <c r="G30" i="6"/>
  <c r="K30" i="6" s="1"/>
  <c r="G36" i="6"/>
  <c r="M36" i="6" s="1"/>
  <c r="B36" i="6" s="1" a="1"/>
  <c r="B36" i="6" s="1"/>
  <c r="Q36" i="6" s="1"/>
  <c r="G39" i="6"/>
  <c r="K39" i="6" s="1"/>
  <c r="G24" i="6"/>
  <c r="K24" i="6" s="1"/>
  <c r="G33" i="6"/>
  <c r="K33" i="6" s="1"/>
  <c r="G43" i="6"/>
  <c r="L43" i="6" s="1"/>
  <c r="G23" i="6"/>
  <c r="K23" i="6" s="1"/>
  <c r="C75" i="17"/>
  <c r="D75" i="17" s="1"/>
  <c r="E75" i="17"/>
  <c r="F75" i="17" s="1"/>
  <c r="G28" i="17"/>
  <c r="H28" i="17" s="1"/>
  <c r="D19" i="15"/>
  <c r="G19" i="15"/>
  <c r="M19" i="15" s="1"/>
  <c r="B19" i="15" s="1" a="1"/>
  <c r="B19" i="15" s="1"/>
  <c r="Q19" i="15" s="1"/>
  <c r="D26" i="15"/>
  <c r="G26" i="15"/>
  <c r="L26" i="15" s="1"/>
  <c r="D27" i="15"/>
  <c r="G27" i="15"/>
  <c r="K27" i="15" s="1"/>
  <c r="D28" i="15"/>
  <c r="G28" i="15"/>
  <c r="K28" i="15" s="1"/>
  <c r="D29" i="15"/>
  <c r="G29" i="15"/>
  <c r="M29" i="15" s="1"/>
  <c r="B29" i="15" s="1" a="1"/>
  <c r="B29" i="15" s="1"/>
  <c r="Q29" i="15" s="1"/>
  <c r="D31" i="15"/>
  <c r="G31" i="15"/>
  <c r="M31" i="15" s="1"/>
  <c r="B31" i="15" s="1" a="1"/>
  <c r="B31" i="15" s="1"/>
  <c r="Q31" i="15" s="1"/>
  <c r="D41" i="15"/>
  <c r="G41" i="15"/>
  <c r="K41" i="15" s="1"/>
  <c r="G26" i="17"/>
  <c r="H26" i="17" s="1"/>
  <c r="G37" i="17"/>
  <c r="H37" i="17" s="1"/>
  <c r="D30" i="3"/>
  <c r="G30" i="3"/>
  <c r="L30" i="3" s="1"/>
  <c r="X30" i="3"/>
  <c r="AE30" i="3"/>
  <c r="D40" i="3"/>
  <c r="G40" i="3"/>
  <c r="K40" i="3" s="1"/>
  <c r="X40" i="3"/>
  <c r="AE40" i="3"/>
  <c r="D55" i="3"/>
  <c r="G55" i="3"/>
  <c r="S55" i="3" s="1"/>
  <c r="X55" i="3"/>
  <c r="AE55" i="3"/>
  <c r="D56" i="3"/>
  <c r="G56" i="3"/>
  <c r="R56" i="3" s="1"/>
  <c r="X56" i="3"/>
  <c r="AE56" i="3"/>
  <c r="D3" i="14"/>
  <c r="D6" i="14"/>
  <c r="D9" i="14"/>
  <c r="D7" i="14"/>
  <c r="D4" i="14"/>
  <c r="D38" i="14"/>
  <c r="D56" i="14"/>
  <c r="D57" i="14"/>
  <c r="D59" i="14"/>
  <c r="D58" i="14"/>
  <c r="D65" i="14"/>
  <c r="D64" i="14"/>
  <c r="D60" i="14"/>
  <c r="D63" i="14"/>
  <c r="D61" i="14"/>
  <c r="D8" i="14"/>
  <c r="D10" i="14"/>
  <c r="D14" i="14"/>
  <c r="D15" i="14"/>
  <c r="D16" i="14"/>
  <c r="D18" i="14"/>
  <c r="D21" i="14"/>
  <c r="D13" i="14"/>
  <c r="D19" i="14"/>
  <c r="D17" i="14"/>
  <c r="D31" i="14"/>
  <c r="D54" i="14"/>
  <c r="D37" i="14"/>
  <c r="D39" i="14"/>
  <c r="D41" i="14"/>
  <c r="D12" i="14"/>
  <c r="D84" i="14"/>
  <c r="D86" i="14"/>
  <c r="D88" i="14"/>
  <c r="D87" i="14"/>
  <c r="D92" i="14"/>
  <c r="D83" i="14"/>
  <c r="D82" i="14"/>
  <c r="D66" i="14"/>
  <c r="D70" i="14"/>
  <c r="D69" i="14"/>
  <c r="D68" i="14"/>
  <c r="D73" i="14"/>
  <c r="D75" i="14"/>
  <c r="D67" i="14"/>
  <c r="D76" i="14"/>
  <c r="D20" i="14"/>
  <c r="D23" i="14"/>
  <c r="D22" i="14"/>
  <c r="D33" i="14"/>
  <c r="D32" i="14"/>
  <c r="D34" i="14"/>
  <c r="D30" i="14"/>
  <c r="D29" i="14"/>
  <c r="D28" i="14"/>
  <c r="D46" i="14"/>
  <c r="D25" i="14"/>
  <c r="D49" i="14"/>
  <c r="D52" i="14"/>
  <c r="D35" i="14"/>
  <c r="D36" i="14"/>
  <c r="D40" i="14"/>
  <c r="D42" i="14"/>
  <c r="D11" i="3"/>
  <c r="D6" i="11"/>
  <c r="G17" i="17"/>
  <c r="H17" i="17" s="1"/>
  <c r="C64" i="17"/>
  <c r="D64" i="17" s="1"/>
  <c r="S3" i="6" l="1"/>
  <c r="J3" i="6" s="1"/>
  <c r="K63" i="6"/>
  <c r="K92" i="6"/>
  <c r="L56" i="6"/>
  <c r="K56" i="6"/>
  <c r="K91" i="6"/>
  <c r="M39" i="6"/>
  <c r="B39" i="6" s="1" a="1"/>
  <c r="B39" i="6" s="1"/>
  <c r="Q39" i="6" s="1"/>
  <c r="K64" i="6"/>
  <c r="L92" i="6"/>
  <c r="L79" i="6"/>
  <c r="K78" i="6"/>
  <c r="M68" i="6"/>
  <c r="B68" i="6" s="1" a="1"/>
  <c r="B68" i="6" s="1"/>
  <c r="Q68" i="6" s="1"/>
  <c r="K43" i="6"/>
  <c r="L68" i="6"/>
  <c r="K61" i="6"/>
  <c r="L33" i="6"/>
  <c r="K29" i="6"/>
  <c r="L30" i="6"/>
  <c r="M64" i="6"/>
  <c r="B64" i="6" s="1" a="1"/>
  <c r="B64" i="6" s="1"/>
  <c r="Q64" i="6" s="1"/>
  <c r="M30" i="6"/>
  <c r="B30" i="6" s="1" a="1"/>
  <c r="B30" i="6" s="1"/>
  <c r="Q30" i="6" s="1"/>
  <c r="M88" i="6"/>
  <c r="B88" i="6" s="1" a="1"/>
  <c r="B88" i="6" s="1"/>
  <c r="Q88" i="6" s="1"/>
  <c r="L29" i="6"/>
  <c r="L88" i="6"/>
  <c r="J13" i="16"/>
  <c r="J68" i="16"/>
  <c r="K26" i="15"/>
  <c r="K29" i="15"/>
  <c r="S30" i="3"/>
  <c r="R30" i="3"/>
  <c r="M30" i="3"/>
  <c r="B30" i="3" s="1" a="1"/>
  <c r="B30" i="3" s="1"/>
  <c r="Q30" i="3" s="1"/>
  <c r="K56" i="3"/>
  <c r="S3" i="14"/>
  <c r="J3" i="14" s="1"/>
  <c r="J33" i="14"/>
  <c r="J49" i="14"/>
  <c r="J13" i="14"/>
  <c r="J25" i="14"/>
  <c r="J41" i="14"/>
  <c r="J21" i="14"/>
  <c r="J65" i="14"/>
  <c r="J9" i="14"/>
  <c r="J17" i="14"/>
  <c r="J58" i="14"/>
  <c r="J10" i="14"/>
  <c r="J59" i="14"/>
  <c r="J66" i="14"/>
  <c r="J12" i="14"/>
  <c r="J8" i="14"/>
  <c r="J32" i="14"/>
  <c r="J57" i="14"/>
  <c r="J61" i="14"/>
  <c r="J83" i="14"/>
  <c r="J75" i="14"/>
  <c r="J92" i="14"/>
  <c r="J84" i="14"/>
  <c r="J14" i="14"/>
  <c r="J7" i="14"/>
  <c r="J35" i="14"/>
  <c r="J76" i="14"/>
  <c r="J34" i="14"/>
  <c r="S52" i="14"/>
  <c r="J52" i="14" s="1"/>
  <c r="S67" i="14"/>
  <c r="J67" i="14" s="1"/>
  <c r="S82" i="14"/>
  <c r="J82" i="14" s="1"/>
  <c r="J37" i="14"/>
  <c r="J18" i="14"/>
  <c r="J63" i="14"/>
  <c r="J56" i="14"/>
  <c r="J42" i="14"/>
  <c r="J46" i="14"/>
  <c r="J22" i="14"/>
  <c r="J68" i="14"/>
  <c r="J87" i="14"/>
  <c r="J54" i="14"/>
  <c r="J16" i="14"/>
  <c r="J60" i="14"/>
  <c r="J38" i="14"/>
  <c r="J40" i="14"/>
  <c r="J28" i="14"/>
  <c r="J23" i="14"/>
  <c r="J69" i="14"/>
  <c r="J88" i="14"/>
  <c r="S36" i="14"/>
  <c r="J36" i="14" s="1"/>
  <c r="S20" i="14"/>
  <c r="J20" i="14" s="1"/>
  <c r="J15" i="14"/>
  <c r="J4" i="14"/>
  <c r="K55" i="6"/>
  <c r="M33" i="6"/>
  <c r="B33" i="6" s="1" a="1"/>
  <c r="B33" i="6" s="1"/>
  <c r="Q33" i="6" s="1"/>
  <c r="M79" i="6"/>
  <c r="B79" i="6" s="1" a="1"/>
  <c r="B79" i="6" s="1"/>
  <c r="Q79" i="6" s="1"/>
  <c r="M91" i="6"/>
  <c r="B91" i="6" s="1" a="1"/>
  <c r="B91" i="6" s="1"/>
  <c r="Q91" i="6" s="1"/>
  <c r="L63" i="6"/>
  <c r="L66" i="6"/>
  <c r="K66" i="6"/>
  <c r="M78" i="6"/>
  <c r="B78" i="6" s="1" a="1"/>
  <c r="B78" i="6" s="1"/>
  <c r="Q78" i="6" s="1"/>
  <c r="M55" i="6"/>
  <c r="B55" i="6" s="1" a="1"/>
  <c r="B55" i="6" s="1"/>
  <c r="Q55" i="6" s="1"/>
  <c r="L93" i="6"/>
  <c r="M43" i="6"/>
  <c r="B43" i="6" s="1" a="1"/>
  <c r="B43" i="6" s="1"/>
  <c r="Q43" i="6" s="1"/>
  <c r="M61" i="6"/>
  <c r="B61" i="6" s="1" a="1"/>
  <c r="B61" i="6" s="1"/>
  <c r="Q61" i="6" s="1"/>
  <c r="K93" i="6"/>
  <c r="J63" i="16"/>
  <c r="J59" i="16"/>
  <c r="J58" i="16"/>
  <c r="J21" i="16"/>
  <c r="J3" i="16"/>
  <c r="J20" i="16"/>
  <c r="J60" i="16"/>
  <c r="J8" i="16"/>
  <c r="J48" i="16"/>
  <c r="J10" i="16"/>
  <c r="J15" i="16"/>
  <c r="J16" i="16"/>
  <c r="J28" i="16"/>
  <c r="J53" i="16"/>
  <c r="J24" i="16"/>
  <c r="S7" i="16"/>
  <c r="J7" i="16" s="1"/>
  <c r="J27" i="16"/>
  <c r="J45" i="16"/>
  <c r="J18" i="16"/>
  <c r="J5" i="16"/>
  <c r="J6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B27" i="15" s="1" a="1"/>
  <c r="B27" i="15" s="1"/>
  <c r="Q27" i="15" s="1"/>
  <c r="L27" i="15"/>
  <c r="J41" i="15"/>
  <c r="L29" i="15"/>
  <c r="J19" i="15"/>
  <c r="J26" i="15"/>
  <c r="J40" i="15"/>
  <c r="J28" i="15"/>
  <c r="J27" i="15"/>
  <c r="J23" i="15"/>
  <c r="J36" i="15"/>
  <c r="J11" i="15"/>
  <c r="J37" i="15"/>
  <c r="J4" i="15"/>
  <c r="J29" i="15"/>
  <c r="J10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B55" i="3" s="1" a="1"/>
  <c r="B55" i="3" s="1"/>
  <c r="Q55" i="3" s="1"/>
  <c r="K55" i="3"/>
  <c r="M56" i="3"/>
  <c r="B56" i="3" s="1" a="1"/>
  <c r="B56" i="3" s="1"/>
  <c r="Q56" i="3" s="1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6" i="6"/>
  <c r="J46" i="6"/>
  <c r="J45" i="6"/>
  <c r="J63" i="6"/>
  <c r="J14" i="6"/>
  <c r="J23" i="6"/>
  <c r="J48" i="6"/>
  <c r="J43" i="6"/>
  <c r="J81" i="6"/>
  <c r="J21" i="6"/>
  <c r="J90" i="6"/>
  <c r="J66" i="6"/>
  <c r="J85" i="6"/>
  <c r="J20" i="6"/>
  <c r="J18" i="6"/>
  <c r="J78" i="6"/>
  <c r="J79" i="6"/>
  <c r="J64" i="6"/>
  <c r="L39" i="6"/>
  <c r="J33" i="6"/>
  <c r="J29" i="6"/>
  <c r="J93" i="6"/>
  <c r="L23" i="6"/>
  <c r="L36" i="6"/>
  <c r="J60" i="6"/>
  <c r="M23" i="6"/>
  <c r="B23" i="6" s="1" a="1"/>
  <c r="B23" i="6" s="1"/>
  <c r="Q23" i="6" s="1"/>
  <c r="K36" i="6"/>
  <c r="J56" i="6"/>
  <c r="J88" i="6"/>
  <c r="M24" i="6"/>
  <c r="B24" i="6" s="1" a="1"/>
  <c r="B24" i="6" s="1"/>
  <c r="Q24" i="6" s="1"/>
  <c r="M60" i="6"/>
  <c r="B60" i="6" s="1" a="1"/>
  <c r="B60" i="6" s="1"/>
  <c r="Q60" i="6" s="1"/>
  <c r="L24" i="6"/>
  <c r="L59" i="6"/>
  <c r="L60" i="6"/>
  <c r="M59" i="6"/>
  <c r="B59" i="6" s="1" a="1"/>
  <c r="B59" i="6" s="1"/>
  <c r="Q59" i="6" s="1"/>
  <c r="M28" i="15"/>
  <c r="B28" i="15" s="1" a="1"/>
  <c r="B28" i="15" s="1"/>
  <c r="Q28" i="15" s="1"/>
  <c r="L28" i="15"/>
  <c r="K31" i="15"/>
  <c r="M26" i="15"/>
  <c r="B26" i="15" s="1" a="1"/>
  <c r="B26" i="15" s="1"/>
  <c r="Q26" i="15" s="1"/>
  <c r="M41" i="15"/>
  <c r="B41" i="15" s="1" a="1"/>
  <c r="B41" i="15" s="1"/>
  <c r="Q41" i="15" s="1"/>
  <c r="L41" i="15"/>
  <c r="R40" i="3"/>
  <c r="M40" i="3"/>
  <c r="B40" i="3" s="1" a="1"/>
  <c r="B40" i="3" s="1"/>
  <c r="Q40" i="3" s="1"/>
  <c r="L40" i="3"/>
  <c r="S40" i="3"/>
  <c r="K30" i="3"/>
  <c r="S56" i="3"/>
  <c r="J56" i="3" s="1"/>
  <c r="J7" i="6"/>
  <c r="J89" i="6"/>
  <c r="J82" i="6"/>
  <c r="J13" i="6"/>
  <c r="J26" i="6"/>
  <c r="J44" i="6"/>
  <c r="J84" i="6"/>
  <c r="J83" i="6"/>
  <c r="J19" i="6"/>
  <c r="J52" i="6"/>
  <c r="J11" i="6"/>
  <c r="D15" i="3"/>
  <c r="G17" i="14"/>
  <c r="L17" i="14" s="1"/>
  <c r="G54" i="14"/>
  <c r="L54" i="14" s="1"/>
  <c r="G92" i="14"/>
  <c r="K92" i="14" s="1"/>
  <c r="G19" i="14"/>
  <c r="L19" i="14" s="1"/>
  <c r="J30" i="3" l="1"/>
  <c r="J40" i="3"/>
  <c r="K17" i="14"/>
  <c r="K54" i="14"/>
  <c r="M54" i="14"/>
  <c r="B54" i="14" s="1" a="1"/>
  <c r="B54" i="14" s="1"/>
  <c r="Q54" i="14" s="1"/>
  <c r="M92" i="14"/>
  <c r="B92" i="14" s="1" a="1"/>
  <c r="B92" i="14" s="1"/>
  <c r="Q92" i="14" s="1"/>
  <c r="L92" i="14"/>
  <c r="M17" i="14"/>
  <c r="K19" i="14"/>
  <c r="M19" i="14"/>
  <c r="B19" i="14" s="1" a="1"/>
  <c r="B19" i="14" s="1"/>
  <c r="Q19" i="14" s="1"/>
  <c r="B17" i="14" l="1" a="1"/>
  <c r="B17" i="14" s="1"/>
  <c r="Q17" i="14" s="1"/>
  <c r="C23" i="17"/>
  <c r="D23" i="17" s="1"/>
  <c r="D7" i="13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B7" i="13" s="1" a="1"/>
  <c r="B7" i="13" s="1"/>
  <c r="R7" i="13" s="1"/>
  <c r="C47" i="17"/>
  <c r="D47" i="17" s="1"/>
  <c r="D3" i="16"/>
  <c r="D6" i="16"/>
  <c r="D4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5" i="16"/>
  <c r="D47" i="16"/>
  <c r="D10" i="16"/>
  <c r="D9" i="16"/>
  <c r="D19" i="16"/>
  <c r="D68" i="16"/>
  <c r="D53" i="16"/>
  <c r="D61" i="16"/>
  <c r="D58" i="16"/>
  <c r="D21" i="16"/>
  <c r="D18" i="16"/>
  <c r="D8" i="16"/>
  <c r="D33" i="16"/>
  <c r="G21" i="16"/>
  <c r="L21" i="16" s="1"/>
  <c r="G18" i="16"/>
  <c r="M18" i="16" s="1"/>
  <c r="B18" i="16" s="1" a="1"/>
  <c r="B18" i="16" s="1"/>
  <c r="Q18" i="16" s="1"/>
  <c r="G8" i="16"/>
  <c r="L8" i="16" s="1"/>
  <c r="G33" i="16"/>
  <c r="M33" i="16" s="1"/>
  <c r="B33" i="16" s="1" a="1"/>
  <c r="B33" i="16" s="1"/>
  <c r="Q33" i="16" s="1"/>
  <c r="G48" i="16"/>
  <c r="M48" i="16" s="1"/>
  <c r="B48" i="16" s="1" a="1"/>
  <c r="B48" i="16" s="1"/>
  <c r="Q48" i="16" s="1"/>
  <c r="G5" i="16"/>
  <c r="M5" i="16" s="1"/>
  <c r="G47" i="16"/>
  <c r="K47" i="16" s="1"/>
  <c r="G10" i="16"/>
  <c r="M10" i="16" s="1"/>
  <c r="B10" i="16" s="1" a="1"/>
  <c r="B10" i="16" s="1"/>
  <c r="Q10" i="16" s="1"/>
  <c r="G9" i="16"/>
  <c r="L9" i="16" s="1"/>
  <c r="G19" i="16"/>
  <c r="M19" i="16" s="1"/>
  <c r="B19" i="16" s="1" a="1"/>
  <c r="B19" i="16" s="1"/>
  <c r="Q19" i="16" s="1"/>
  <c r="G68" i="16"/>
  <c r="M68" i="16" s="1"/>
  <c r="B68" i="16" s="1" a="1"/>
  <c r="B68" i="16" s="1"/>
  <c r="Q68" i="16" s="1"/>
  <c r="G53" i="16"/>
  <c r="L53" i="16" s="1"/>
  <c r="G61" i="16"/>
  <c r="M61" i="16" s="1"/>
  <c r="B61" i="16" s="1" a="1"/>
  <c r="B61" i="16" s="1"/>
  <c r="Q61" i="16" s="1"/>
  <c r="G58" i="16"/>
  <c r="K58" i="16" s="1"/>
  <c r="G15" i="16"/>
  <c r="M15" i="16" s="1"/>
  <c r="B15" i="16" s="1" a="1"/>
  <c r="B15" i="16" s="1"/>
  <c r="Q15" i="16" s="1"/>
  <c r="D11" i="15"/>
  <c r="D5" i="15"/>
  <c r="D6" i="15"/>
  <c r="D4" i="15"/>
  <c r="D15" i="15"/>
  <c r="D10" i="15"/>
  <c r="D39" i="15"/>
  <c r="D12" i="15"/>
  <c r="D7" i="15"/>
  <c r="D20" i="15"/>
  <c r="D14" i="15"/>
  <c r="D36" i="15"/>
  <c r="D40" i="15"/>
  <c r="D24" i="15"/>
  <c r="D37" i="15"/>
  <c r="D17" i="15"/>
  <c r="D35" i="15"/>
  <c r="D34" i="15"/>
  <c r="D16" i="15"/>
  <c r="D3" i="15"/>
  <c r="D21" i="15"/>
  <c r="D9" i="15"/>
  <c r="G5" i="15"/>
  <c r="L5" i="15" s="1"/>
  <c r="G39" i="15"/>
  <c r="M39" i="15" s="1"/>
  <c r="G12" i="15"/>
  <c r="L12" i="15" s="1"/>
  <c r="G3" i="15"/>
  <c r="M3" i="15" s="1"/>
  <c r="K10" i="16" l="1"/>
  <c r="K68" i="16"/>
  <c r="L48" i="16"/>
  <c r="L19" i="16"/>
  <c r="K53" i="16"/>
  <c r="L61" i="16"/>
  <c r="K5" i="16"/>
  <c r="K21" i="16"/>
  <c r="K9" i="16"/>
  <c r="M53" i="16"/>
  <c r="B53" i="16" s="1" a="1"/>
  <c r="B53" i="16" s="1"/>
  <c r="Q53" i="16" s="1"/>
  <c r="K19" i="16"/>
  <c r="K3" i="15"/>
  <c r="M58" i="16"/>
  <c r="B58" i="16" s="1" a="1"/>
  <c r="B58" i="16" s="1"/>
  <c r="Q58" i="16" s="1"/>
  <c r="K61" i="16"/>
  <c r="K48" i="16"/>
  <c r="L58" i="16"/>
  <c r="M8" i="16"/>
  <c r="L68" i="16"/>
  <c r="K8" i="16"/>
  <c r="M21" i="16"/>
  <c r="B21" i="16" s="1" a="1"/>
  <c r="B21" i="16" s="1"/>
  <c r="Q21" i="16" s="1"/>
  <c r="L18" i="16"/>
  <c r="K18" i="16"/>
  <c r="M47" i="16"/>
  <c r="L15" i="16"/>
  <c r="M9" i="16"/>
  <c r="B9" i="16" s="1" a="1"/>
  <c r="B9" i="16" s="1"/>
  <c r="Q9" i="16" s="1"/>
  <c r="L47" i="16"/>
  <c r="L33" i="16"/>
  <c r="K15" i="16"/>
  <c r="L10" i="16"/>
  <c r="L5" i="16"/>
  <c r="K33" i="16"/>
  <c r="M5" i="15"/>
  <c r="K5" i="15"/>
  <c r="M12" i="15"/>
  <c r="B12" i="15" s="1" a="1"/>
  <c r="B12" i="15" s="1"/>
  <c r="Q12" i="15" s="1"/>
  <c r="L39" i="15"/>
  <c r="L3" i="15"/>
  <c r="K12" i="15"/>
  <c r="K39" i="15"/>
  <c r="B47" i="16" l="1" a="1"/>
  <c r="B47" i="16" s="1"/>
  <c r="Q47" i="16" s="1"/>
  <c r="A47" i="16" a="1"/>
  <c r="A47" i="16" s="1"/>
  <c r="G3" i="17"/>
  <c r="H3" i="17" s="1"/>
  <c r="E53" i="17"/>
  <c r="F53" i="17" s="1"/>
  <c r="E46" i="17"/>
  <c r="F46" i="17" s="1"/>
  <c r="C67" i="17"/>
  <c r="D67" i="17" s="1"/>
  <c r="C43" i="17"/>
  <c r="D43" i="17" s="1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4" i="6"/>
  <c r="G84" i="6"/>
  <c r="L84" i="6" s="1"/>
  <c r="G39" i="14"/>
  <c r="L39" i="14" s="1"/>
  <c r="G73" i="14"/>
  <c r="K73" i="14" s="1"/>
  <c r="G35" i="15"/>
  <c r="K35" i="15" s="1"/>
  <c r="G16" i="15"/>
  <c r="K16" i="15" s="1"/>
  <c r="G6" i="14"/>
  <c r="G9" i="14"/>
  <c r="G3" i="14"/>
  <c r="G68" i="14"/>
  <c r="G70" i="14"/>
  <c r="G7" i="14"/>
  <c r="G58" i="14"/>
  <c r="G75" i="14"/>
  <c r="G66" i="14"/>
  <c r="G4" i="14"/>
  <c r="G65" i="14"/>
  <c r="G83" i="14"/>
  <c r="G56" i="14"/>
  <c r="G25" i="14"/>
  <c r="G35" i="14"/>
  <c r="G52" i="14"/>
  <c r="G69" i="14"/>
  <c r="G30" i="14"/>
  <c r="G67" i="14"/>
  <c r="G86" i="14"/>
  <c r="G10" i="14"/>
  <c r="G28" i="14"/>
  <c r="G37" i="14"/>
  <c r="G59" i="14"/>
  <c r="G60" i="14"/>
  <c r="G76" i="14"/>
  <c r="G15" i="14"/>
  <c r="G61" i="14"/>
  <c r="G22" i="14"/>
  <c r="G63" i="14"/>
  <c r="G57" i="14"/>
  <c r="G16" i="14"/>
  <c r="G31" i="14"/>
  <c r="G41" i="14"/>
  <c r="G12" i="14"/>
  <c r="G21" i="14"/>
  <c r="G18" i="14"/>
  <c r="G82" i="14"/>
  <c r="G14" i="14"/>
  <c r="G87" i="14"/>
  <c r="G13" i="14"/>
  <c r="G88" i="14"/>
  <c r="G84" i="14"/>
  <c r="G38" i="14"/>
  <c r="L38" i="14" s="1"/>
  <c r="G36" i="14"/>
  <c r="K36" i="14" s="1"/>
  <c r="G33" i="14"/>
  <c r="M33" i="14" s="1"/>
  <c r="B33" i="14" s="1" a="1"/>
  <c r="B33" i="14" s="1"/>
  <c r="Q33" i="14" s="1"/>
  <c r="G46" i="14"/>
  <c r="K46" i="14" s="1"/>
  <c r="G49" i="14"/>
  <c r="G42" i="14"/>
  <c r="K42" i="14" s="1"/>
  <c r="G40" i="14"/>
  <c r="K40" i="14" s="1"/>
  <c r="G20" i="14"/>
  <c r="L20" i="14" s="1"/>
  <c r="G32" i="14"/>
  <c r="M32" i="14" s="1"/>
  <c r="B32" i="14" s="1" a="1"/>
  <c r="B32" i="14" s="1"/>
  <c r="Q32" i="14" s="1"/>
  <c r="G23" i="14"/>
  <c r="G29" i="14"/>
  <c r="M29" i="14" s="1"/>
  <c r="B29" i="14" s="1" a="1"/>
  <c r="B29" i="14" s="1"/>
  <c r="Q29" i="14" s="1"/>
  <c r="G34" i="14"/>
  <c r="K34" i="14" s="1"/>
  <c r="G64" i="14"/>
  <c r="G8" i="14"/>
  <c r="G5" i="14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D7" i="6"/>
  <c r="G7" i="6"/>
  <c r="D81" i="6"/>
  <c r="G81" i="6"/>
  <c r="M81" i="6" s="1"/>
  <c r="C8" i="17"/>
  <c r="D8" i="17" s="1"/>
  <c r="G8" i="17"/>
  <c r="H8" i="17" s="1"/>
  <c r="E67" i="17"/>
  <c r="F67" i="17" s="1"/>
  <c r="G67" i="17"/>
  <c r="H67" i="17" s="1"/>
  <c r="E43" i="17"/>
  <c r="F43" i="17" s="1"/>
  <c r="G43" i="17"/>
  <c r="H43" i="17" s="1"/>
  <c r="E24" i="17"/>
  <c r="F24" i="17" s="1"/>
  <c r="G24" i="17"/>
  <c r="H24" i="17" s="1"/>
  <c r="D71" i="11"/>
  <c r="D73" i="11"/>
  <c r="D31" i="11"/>
  <c r="D54" i="11"/>
  <c r="D51" i="11"/>
  <c r="D57" i="11"/>
  <c r="D47" i="11"/>
  <c r="D48" i="11"/>
  <c r="D56" i="11"/>
  <c r="D11" i="11"/>
  <c r="D99" i="11"/>
  <c r="D8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8" i="11"/>
  <c r="X8" i="11"/>
  <c r="AE8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6" i="17"/>
  <c r="H46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53" i="17"/>
  <c r="H53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5" i="17"/>
  <c r="F15" i="17" s="1"/>
  <c r="G15" i="17"/>
  <c r="H15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B16" i="13" s="1" a="1"/>
  <c r="B16" i="13" s="1"/>
  <c r="R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A8" i="14" l="1" a="1"/>
  <c r="A8" i="14" s="1"/>
  <c r="A59" i="14" a="1"/>
  <c r="A59" i="14" s="1"/>
  <c r="A5" i="14" a="1"/>
  <c r="A5" i="14" s="1"/>
  <c r="A56" i="14" a="1"/>
  <c r="A56" i="14" s="1"/>
  <c r="A3" i="14" a="1"/>
  <c r="A3" i="14" s="1"/>
  <c r="A6" i="14" a="1"/>
  <c r="A6" i="14" s="1"/>
  <c r="A58" i="14" a="1"/>
  <c r="A58" i="14" s="1"/>
  <c r="A7" i="14" a="1"/>
  <c r="A7" i="14" s="1"/>
  <c r="A57" i="14" a="1"/>
  <c r="A57" i="14" s="1"/>
  <c r="A4" i="14" a="1"/>
  <c r="A4" i="14" s="1"/>
  <c r="A9" i="14" a="1"/>
  <c r="A9" i="14" s="1"/>
  <c r="B56" i="14" a="1"/>
  <c r="B56" i="14" s="1"/>
  <c r="B58" i="14" a="1"/>
  <c r="B58" i="14" s="1"/>
  <c r="B7" i="14" a="1"/>
  <c r="B7" i="14" s="1"/>
  <c r="Q7" i="14" s="1"/>
  <c r="B59" i="14" a="1"/>
  <c r="B59" i="14" s="1"/>
  <c r="B4" i="14" a="1"/>
  <c r="B4" i="14" s="1"/>
  <c r="B57" i="14" a="1"/>
  <c r="B57" i="14" s="1"/>
  <c r="B3" i="14" a="1"/>
  <c r="B3" i="14" s="1"/>
  <c r="B9" i="14" a="1"/>
  <c r="B9" i="14" s="1"/>
  <c r="Q9" i="14" s="1"/>
  <c r="K5" i="14"/>
  <c r="B5" i="14" a="1"/>
  <c r="B5" i="14" s="1"/>
  <c r="K8" i="14"/>
  <c r="B8" i="14" a="1"/>
  <c r="B8" i="14" s="1"/>
  <c r="Q8" i="14" s="1"/>
  <c r="B6" i="14" a="1"/>
  <c r="B6" i="14" s="1"/>
  <c r="K7" i="6"/>
  <c r="L11" i="6"/>
  <c r="N3" i="13"/>
  <c r="K14" i="12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K95" i="11"/>
  <c r="K84" i="3"/>
  <c r="M33" i="3"/>
  <c r="B33" i="3" s="1" a="1"/>
  <c r="B33" i="3" s="1"/>
  <c r="Q33" i="3" s="1"/>
  <c r="M82" i="3"/>
  <c r="B82" i="3" s="1" a="1"/>
  <c r="B82" i="3" s="1"/>
  <c r="Q82" i="3" s="1"/>
  <c r="K77" i="3"/>
  <c r="R69" i="3"/>
  <c r="K48" i="3"/>
  <c r="K39" i="11"/>
  <c r="K90" i="3"/>
  <c r="K17" i="3"/>
  <c r="R74" i="3"/>
  <c r="R54" i="3"/>
  <c r="M8" i="11"/>
  <c r="M4" i="11"/>
  <c r="K51" i="11"/>
  <c r="K48" i="11"/>
  <c r="K26" i="3"/>
  <c r="R101" i="11"/>
  <c r="R31" i="11"/>
  <c r="R45" i="11"/>
  <c r="R57" i="11"/>
  <c r="R35" i="11"/>
  <c r="N6" i="13"/>
  <c r="B6" i="13" s="1" a="1"/>
  <c r="B6" i="13" s="1"/>
  <c r="R6" i="13" s="1"/>
  <c r="L29" i="11"/>
  <c r="M39" i="11"/>
  <c r="B39" i="11" s="1" a="1"/>
  <c r="B39" i="11" s="1"/>
  <c r="Q39" i="11" s="1"/>
  <c r="M34" i="3"/>
  <c r="B34" i="3" s="1" a="1"/>
  <c r="B34" i="3" s="1"/>
  <c r="Q34" i="3" s="1"/>
  <c r="M67" i="11"/>
  <c r="B67" i="11" s="1" a="1"/>
  <c r="B67" i="11" s="1"/>
  <c r="Q67" i="11" s="1"/>
  <c r="C3" i="17" s="1"/>
  <c r="D3" i="17" s="1"/>
  <c r="R67" i="11"/>
  <c r="R39" i="11"/>
  <c r="R40" i="11"/>
  <c r="K67" i="11"/>
  <c r="L39" i="11"/>
  <c r="R29" i="11"/>
  <c r="M40" i="11"/>
  <c r="B40" i="11" s="1" a="1"/>
  <c r="B40" i="11" s="1"/>
  <c r="Q40" i="11" s="1"/>
  <c r="L40" i="11"/>
  <c r="L4" i="11"/>
  <c r="M29" i="11"/>
  <c r="B29" i="11" s="1" a="1"/>
  <c r="B29" i="11" s="1"/>
  <c r="Q29" i="11" s="1"/>
  <c r="K40" i="11"/>
  <c r="K4" i="11"/>
  <c r="R95" i="11"/>
  <c r="M95" i="11"/>
  <c r="L95" i="11"/>
  <c r="R4" i="11"/>
  <c r="K31" i="3"/>
  <c r="K10" i="3"/>
  <c r="R20" i="3"/>
  <c r="R31" i="3"/>
  <c r="M20" i="3"/>
  <c r="B20" i="3" s="1" a="1"/>
  <c r="B20" i="3" s="1"/>
  <c r="Q20" i="3" s="1"/>
  <c r="L34" i="3"/>
  <c r="L20" i="3"/>
  <c r="K34" i="3"/>
  <c r="K20" i="3"/>
  <c r="R10" i="3"/>
  <c r="R34" i="3"/>
  <c r="M10" i="3"/>
  <c r="M31" i="3"/>
  <c r="B31" i="3" s="1" a="1"/>
  <c r="B31" i="3" s="1"/>
  <c r="Q31" i="3" s="1"/>
  <c r="L10" i="3"/>
  <c r="M73" i="14"/>
  <c r="B73" i="14" s="1" a="1"/>
  <c r="B73" i="14" s="1"/>
  <c r="Q73" i="14" s="1"/>
  <c r="L73" i="14"/>
  <c r="L29" i="14"/>
  <c r="K39" i="14"/>
  <c r="K48" i="6"/>
  <c r="M40" i="6"/>
  <c r="B40" i="6" s="1" a="1"/>
  <c r="B40" i="6" s="1"/>
  <c r="Q40" i="6" s="1"/>
  <c r="K40" i="6"/>
  <c r="M11" i="6"/>
  <c r="K11" i="6"/>
  <c r="K84" i="6"/>
  <c r="K81" i="6"/>
  <c r="M35" i="15"/>
  <c r="B35" i="15" s="1" a="1"/>
  <c r="B35" i="15" s="1"/>
  <c r="Q35" i="15" s="1"/>
  <c r="M16" i="13"/>
  <c r="L16" i="13"/>
  <c r="M6" i="13"/>
  <c r="N18" i="13"/>
  <c r="B18" i="13" s="1" a="1"/>
  <c r="B18" i="13" s="1"/>
  <c r="R18" i="13" s="1"/>
  <c r="N9" i="13"/>
  <c r="B9" i="13" s="1" a="1"/>
  <c r="B9" i="13" s="1"/>
  <c r="R9" i="13" s="1"/>
  <c r="N20" i="13"/>
  <c r="B20" i="13" s="1" a="1"/>
  <c r="B20" i="13" s="1"/>
  <c r="R20" i="13" s="1"/>
  <c r="M9" i="13"/>
  <c r="L20" i="13"/>
  <c r="L12" i="12"/>
  <c r="L14" i="12"/>
  <c r="M45" i="11"/>
  <c r="B45" i="11" s="1" a="1"/>
  <c r="B45" i="11" s="1"/>
  <c r="Q45" i="11" s="1"/>
  <c r="R54" i="11"/>
  <c r="L8" i="11"/>
  <c r="L54" i="11"/>
  <c r="K54" i="11"/>
  <c r="M35" i="11"/>
  <c r="B35" i="11" s="1" a="1"/>
  <c r="B35" i="11" s="1"/>
  <c r="Q35" i="11" s="1"/>
  <c r="R51" i="11"/>
  <c r="L51" i="11"/>
  <c r="L73" i="11"/>
  <c r="M57" i="11"/>
  <c r="B57" i="11" s="1" a="1"/>
  <c r="B57" i="11" s="1"/>
  <c r="Q57" i="11" s="1"/>
  <c r="L35" i="11"/>
  <c r="K57" i="11"/>
  <c r="M24" i="11"/>
  <c r="B24" i="11" s="1" a="1"/>
  <c r="B24" i="11" s="1"/>
  <c r="Q24" i="11" s="1"/>
  <c r="K45" i="11"/>
  <c r="K99" i="11"/>
  <c r="M31" i="11"/>
  <c r="B31" i="11" s="1" a="1"/>
  <c r="B31" i="11" s="1"/>
  <c r="Q31" i="11" s="1"/>
  <c r="K31" i="11"/>
  <c r="M101" i="11"/>
  <c r="B101" i="11" s="1" a="1"/>
  <c r="B101" i="11" s="1"/>
  <c r="Q101" i="11" s="1"/>
  <c r="L45" i="11"/>
  <c r="L57" i="11"/>
  <c r="M51" i="11"/>
  <c r="B51" i="11" s="1" a="1"/>
  <c r="B51" i="11" s="1"/>
  <c r="Q51" i="11" s="1"/>
  <c r="M54" i="11"/>
  <c r="B54" i="11" s="1" a="1"/>
  <c r="B54" i="11" s="1"/>
  <c r="Q54" i="11" s="1"/>
  <c r="L31" i="11"/>
  <c r="L101" i="11"/>
  <c r="M71" i="11"/>
  <c r="L24" i="11"/>
  <c r="K101" i="11"/>
  <c r="K47" i="11"/>
  <c r="K24" i="11"/>
  <c r="M54" i="3"/>
  <c r="B54" i="3" s="1" a="1"/>
  <c r="B54" i="3" s="1"/>
  <c r="Q54" i="3" s="1"/>
  <c r="L82" i="3"/>
  <c r="M17" i="3"/>
  <c r="B17" i="3" s="1" a="1"/>
  <c r="B17" i="3" s="1"/>
  <c r="Q17" i="3" s="1"/>
  <c r="K82" i="3"/>
  <c r="M48" i="3"/>
  <c r="B48" i="3" s="1" a="1"/>
  <c r="B48" i="3" s="1"/>
  <c r="Q48" i="3" s="1"/>
  <c r="L33" i="3"/>
  <c r="L48" i="3"/>
  <c r="L17" i="3"/>
  <c r="K50" i="3"/>
  <c r="R9" i="3"/>
  <c r="M69" i="3"/>
  <c r="B69" i="3" s="1" a="1"/>
  <c r="B69" i="3" s="1"/>
  <c r="Q69" i="3" s="1"/>
  <c r="M74" i="3"/>
  <c r="B74" i="3" s="1" a="1"/>
  <c r="B74" i="3" s="1"/>
  <c r="Q74" i="3" s="1"/>
  <c r="R15" i="3"/>
  <c r="M9" i="3"/>
  <c r="L69" i="3"/>
  <c r="K15" i="3"/>
  <c r="L9" i="3"/>
  <c r="K69" i="3"/>
  <c r="L54" i="3"/>
  <c r="L74" i="3"/>
  <c r="M84" i="6"/>
  <c r="M39" i="14"/>
  <c r="B39" i="14" s="1" a="1"/>
  <c r="B39" i="14" s="1"/>
  <c r="Q39" i="14" s="1"/>
  <c r="L35" i="15"/>
  <c r="M16" i="15"/>
  <c r="B16" i="15" s="1" a="1"/>
  <c r="B16" i="15" s="1"/>
  <c r="Q16" i="15" s="1"/>
  <c r="L16" i="15"/>
  <c r="L7" i="6"/>
  <c r="L81" i="6"/>
  <c r="M48" i="6"/>
  <c r="B48" i="6" s="1" a="1"/>
  <c r="B48" i="6" s="1"/>
  <c r="Q48" i="6" s="1"/>
  <c r="M21" i="6"/>
  <c r="B21" i="6" s="1" a="1"/>
  <c r="B21" i="6" s="1"/>
  <c r="Q21" i="6" s="1"/>
  <c r="K22" i="6"/>
  <c r="E8" i="17"/>
  <c r="F8" i="17" s="1"/>
  <c r="K29" i="14"/>
  <c r="L32" i="14"/>
  <c r="M34" i="14"/>
  <c r="B34" i="14" s="1" a="1"/>
  <c r="B34" i="14" s="1"/>
  <c r="Q34" i="14" s="1"/>
  <c r="L34" i="14"/>
  <c r="M42" i="14"/>
  <c r="B42" i="14" s="1" a="1"/>
  <c r="B42" i="14" s="1"/>
  <c r="Q42" i="14" s="1"/>
  <c r="M40" i="14"/>
  <c r="L42" i="14"/>
  <c r="L40" i="14"/>
  <c r="K32" i="14"/>
  <c r="K20" i="14"/>
  <c r="M7" i="6"/>
  <c r="M80" i="6"/>
  <c r="L21" i="6"/>
  <c r="M18" i="6"/>
  <c r="B18" i="6" s="1" a="1"/>
  <c r="B18" i="6" s="1"/>
  <c r="Q18" i="6" s="1"/>
  <c r="L80" i="6"/>
  <c r="L18" i="6"/>
  <c r="M22" i="6"/>
  <c r="B22" i="6" s="1" a="1"/>
  <c r="B22" i="6" s="1"/>
  <c r="Q22" i="6" s="1"/>
  <c r="M36" i="14"/>
  <c r="B36" i="14" s="1" a="1"/>
  <c r="B36" i="14" s="1"/>
  <c r="Q36" i="14" s="1"/>
  <c r="M46" i="14"/>
  <c r="B46" i="14" s="1" a="1"/>
  <c r="B46" i="14" s="1"/>
  <c r="Q46" i="14" s="1"/>
  <c r="L36" i="14"/>
  <c r="M8" i="14"/>
  <c r="L46" i="14"/>
  <c r="L33" i="14"/>
  <c r="L8" i="14"/>
  <c r="K33" i="14"/>
  <c r="K64" i="14"/>
  <c r="L64" i="14"/>
  <c r="M64" i="14"/>
  <c r="B64" i="14" s="1" a="1"/>
  <c r="B64" i="14" s="1"/>
  <c r="Q64" i="14" s="1"/>
  <c r="K23" i="14"/>
  <c r="L23" i="14"/>
  <c r="M23" i="14"/>
  <c r="B23" i="14" s="1" a="1"/>
  <c r="B23" i="14" s="1"/>
  <c r="Q23" i="14" s="1"/>
  <c r="K49" i="14"/>
  <c r="L49" i="14"/>
  <c r="M49" i="14"/>
  <c r="B49" i="14" s="1" a="1"/>
  <c r="B49" i="14" s="1"/>
  <c r="Q49" i="14" s="1"/>
  <c r="K6" i="14"/>
  <c r="L6" i="14"/>
  <c r="M6" i="14"/>
  <c r="M20" i="14"/>
  <c r="B20" i="14" s="1" a="1"/>
  <c r="B20" i="14" s="1"/>
  <c r="Q20" i="14" s="1"/>
  <c r="K38" i="14"/>
  <c r="M38" i="14"/>
  <c r="B38" i="14" s="1" a="1"/>
  <c r="B38" i="14" s="1"/>
  <c r="Q38" i="14" s="1"/>
  <c r="C4" i="17"/>
  <c r="D4" i="17" s="1"/>
  <c r="K91" i="11"/>
  <c r="K35" i="11"/>
  <c r="R11" i="11"/>
  <c r="M48" i="11"/>
  <c r="B48" i="11" s="1" a="1"/>
  <c r="B48" i="11" s="1"/>
  <c r="Q48" i="11" s="1"/>
  <c r="R47" i="11"/>
  <c r="C53" i="17"/>
  <c r="D53" i="17" s="1"/>
  <c r="R24" i="11"/>
  <c r="L48" i="11"/>
  <c r="M47" i="11"/>
  <c r="B47" i="11" s="1" a="1"/>
  <c r="B47" i="11" s="1"/>
  <c r="Q47" i="11" s="1"/>
  <c r="R48" i="11"/>
  <c r="R91" i="11"/>
  <c r="K56" i="11"/>
  <c r="L56" i="11"/>
  <c r="M56" i="11"/>
  <c r="B56" i="11" s="1" a="1"/>
  <c r="B56" i="11" s="1"/>
  <c r="Q56" i="11" s="1"/>
  <c r="R56" i="11"/>
  <c r="K8" i="11"/>
  <c r="K73" i="11"/>
  <c r="S11" i="11"/>
  <c r="R99" i="11"/>
  <c r="M91" i="11"/>
  <c r="B91" i="11" s="1" a="1"/>
  <c r="B91" i="11" s="1"/>
  <c r="Q91" i="11" s="1"/>
  <c r="R8" i="11"/>
  <c r="M11" i="11"/>
  <c r="B11" i="11" s="1" a="1"/>
  <c r="B11" i="11" s="1"/>
  <c r="Q11" i="11" s="1"/>
  <c r="R73" i="11"/>
  <c r="L91" i="11"/>
  <c r="M99" i="11"/>
  <c r="B99" i="11" s="1" a="1"/>
  <c r="B99" i="11" s="1"/>
  <c r="Q99" i="11" s="1"/>
  <c r="L11" i="11"/>
  <c r="K71" i="11"/>
  <c r="R71" i="11"/>
  <c r="M15" i="3"/>
  <c r="B15" i="3" s="1" a="1"/>
  <c r="B15" i="3" s="1"/>
  <c r="Q15" i="3" s="1"/>
  <c r="C46" i="17"/>
  <c r="D46" i="17" s="1"/>
  <c r="K74" i="3"/>
  <c r="K35" i="3"/>
  <c r="R26" i="3"/>
  <c r="M26" i="3"/>
  <c r="B26" i="3" s="1" a="1"/>
  <c r="B26" i="3" s="1"/>
  <c r="Q26" i="3" s="1"/>
  <c r="R50" i="3"/>
  <c r="L26" i="3"/>
  <c r="R82" i="3"/>
  <c r="M50" i="3"/>
  <c r="B50" i="3" s="1" a="1"/>
  <c r="B50" i="3" s="1"/>
  <c r="Q50" i="3" s="1"/>
  <c r="R84" i="3"/>
  <c r="M84" i="3"/>
  <c r="B84" i="3" s="1" a="1"/>
  <c r="B84" i="3" s="1"/>
  <c r="Q84" i="3" s="1"/>
  <c r="L84" i="3"/>
  <c r="K7" i="3"/>
  <c r="R48" i="3"/>
  <c r="R17" i="3"/>
  <c r="K54" i="3"/>
  <c r="K33" i="3"/>
  <c r="R90" i="3"/>
  <c r="R77" i="3"/>
  <c r="R35" i="3"/>
  <c r="M90" i="3"/>
  <c r="B90" i="3" s="1" a="1"/>
  <c r="B90" i="3" s="1"/>
  <c r="Q90" i="3" s="1"/>
  <c r="R7" i="3"/>
  <c r="R33" i="3"/>
  <c r="M77" i="3"/>
  <c r="B77" i="3" s="1" a="1"/>
  <c r="B77" i="3" s="1"/>
  <c r="Q77" i="3" s="1"/>
  <c r="L90" i="3"/>
  <c r="M35" i="3"/>
  <c r="B35" i="3" s="1" a="1"/>
  <c r="B35" i="3" s="1"/>
  <c r="Q35" i="3" s="1"/>
  <c r="L77" i="3"/>
  <c r="M7" i="3"/>
  <c r="M3" i="13"/>
  <c r="L3" i="13"/>
  <c r="M18" i="13"/>
  <c r="N14" i="12"/>
  <c r="L3" i="12"/>
  <c r="N3" i="12"/>
  <c r="N5" i="12"/>
  <c r="B5" i="12" s="1" a="1"/>
  <c r="B5" i="12" s="1"/>
  <c r="R5" i="12" s="1"/>
  <c r="M5" i="12"/>
  <c r="N12" i="12"/>
  <c r="B12" i="12" s="1" a="1"/>
  <c r="B12" i="12" s="1"/>
  <c r="R12" i="12" s="1"/>
  <c r="N10" i="12"/>
  <c r="B10" i="12" s="1" a="1"/>
  <c r="B10" i="12" s="1"/>
  <c r="R10" i="12" s="1"/>
  <c r="M10" i="12"/>
  <c r="L3" i="11"/>
  <c r="R3" i="11"/>
  <c r="R63" i="11"/>
  <c r="R77" i="11"/>
  <c r="K77" i="11"/>
  <c r="M63" i="11"/>
  <c r="B63" i="11" s="1" a="1"/>
  <c r="B63" i="11" s="1"/>
  <c r="Q63" i="11" s="1"/>
  <c r="L63" i="11"/>
  <c r="M77" i="11"/>
  <c r="B77" i="11" s="1" a="1"/>
  <c r="B77" i="11" s="1"/>
  <c r="Q77" i="11" s="1"/>
  <c r="E28" i="17" l="1"/>
  <c r="F28" i="17" s="1"/>
  <c r="B95" i="11" a="1"/>
  <c r="B95" i="11" s="1"/>
  <c r="Q95" i="11" s="1"/>
  <c r="A95" i="11" a="1"/>
  <c r="A95" i="11" s="1"/>
  <c r="B14" i="12" a="1"/>
  <c r="B14" i="12" s="1"/>
  <c r="R14" i="12" s="1"/>
  <c r="B40" i="14" a="1"/>
  <c r="B40" i="14" s="1"/>
  <c r="Q40" i="14" s="1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8" i="11"/>
  <c r="J8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9" i="6"/>
  <c r="D16" i="6"/>
  <c r="D26" i="6"/>
  <c r="D89" i="6"/>
  <c r="D82" i="6"/>
  <c r="D85" i="6"/>
  <c r="D12" i="6"/>
  <c r="D90" i="6"/>
  <c r="D52" i="6"/>
  <c r="D83" i="6"/>
  <c r="D32" i="6"/>
  <c r="D5" i="6"/>
  <c r="D15" i="6"/>
  <c r="D65" i="6"/>
  <c r="D44" i="6"/>
  <c r="D4" i="6"/>
  <c r="D50" i="6"/>
  <c r="D6" i="6"/>
  <c r="D10" i="6"/>
  <c r="D53" i="6"/>
  <c r="D20" i="6"/>
  <c r="D13" i="6"/>
  <c r="D46" i="6"/>
  <c r="D3" i="6"/>
  <c r="D14" i="6"/>
  <c r="D37" i="6"/>
  <c r="D45" i="6"/>
  <c r="D19" i="6"/>
  <c r="D49" i="6"/>
  <c r="D35" i="6"/>
  <c r="D86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10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74" i="17" l="1"/>
  <c r="H74" i="17" s="1"/>
  <c r="G76" i="17"/>
  <c r="H76" i="17" s="1"/>
  <c r="G7" i="17"/>
  <c r="H7" i="17" s="1"/>
  <c r="E12" i="17"/>
  <c r="F12" i="17" s="1"/>
  <c r="G12" i="17"/>
  <c r="H12" i="17" s="1"/>
  <c r="C49" i="17"/>
  <c r="D49" i="17" s="1"/>
  <c r="E56" i="17"/>
  <c r="F56" i="17" s="1"/>
  <c r="G56" i="17"/>
  <c r="H56" i="17" s="1"/>
  <c r="G62" i="17"/>
  <c r="H62" i="17" s="1"/>
  <c r="G7" i="15" l="1"/>
  <c r="G37" i="15"/>
  <c r="G14" i="15"/>
  <c r="G6" i="15"/>
  <c r="G9" i="15"/>
  <c r="G11" i="15"/>
  <c r="G10" i="15"/>
  <c r="G17" i="15"/>
  <c r="G36" i="15"/>
  <c r="G13" i="16"/>
  <c r="G30" i="17"/>
  <c r="H30" i="17" s="1"/>
  <c r="G4" i="16"/>
  <c r="G25" i="16"/>
  <c r="G28" i="16"/>
  <c r="G27" i="16"/>
  <c r="G30" i="16"/>
  <c r="G16" i="16"/>
  <c r="G54" i="16"/>
  <c r="G24" i="16"/>
  <c r="G43" i="16"/>
  <c r="E58" i="17"/>
  <c r="F58" i="17" s="1"/>
  <c r="G89" i="6"/>
  <c r="G12" i="6"/>
  <c r="G20" i="6"/>
  <c r="G16" i="6"/>
  <c r="G82" i="6"/>
  <c r="G15" i="6"/>
  <c r="G32" i="6"/>
  <c r="G9" i="6"/>
  <c r="G85" i="6"/>
  <c r="G65" i="6"/>
  <c r="G4" i="6"/>
  <c r="G26" i="6"/>
  <c r="G44" i="6"/>
  <c r="G52" i="6"/>
  <c r="G83" i="6"/>
  <c r="G5" i="6"/>
  <c r="H17" i="13"/>
  <c r="Y17" i="13"/>
  <c r="AF17" i="13"/>
  <c r="H8" i="13"/>
  <c r="Y8" i="13"/>
  <c r="AF8" i="13"/>
  <c r="H10" i="13"/>
  <c r="Y10" i="13"/>
  <c r="AF10" i="13"/>
  <c r="H4" i="13"/>
  <c r="Y4" i="13"/>
  <c r="AF4" i="13"/>
  <c r="H15" i="13"/>
  <c r="Y15" i="13"/>
  <c r="AF15" i="13"/>
  <c r="H4" i="12"/>
  <c r="Y4" i="12"/>
  <c r="H8" i="12"/>
  <c r="Y8" i="12"/>
  <c r="G10" i="11"/>
  <c r="X10" i="11"/>
  <c r="AE10" i="11"/>
  <c r="G17" i="11"/>
  <c r="X17" i="11"/>
  <c r="AE17" i="11"/>
  <c r="G19" i="11"/>
  <c r="X19" i="11"/>
  <c r="AE19" i="11"/>
  <c r="G28" i="11"/>
  <c r="X28" i="11"/>
  <c r="AE28" i="11"/>
  <c r="G27" i="11"/>
  <c r="X27" i="11"/>
  <c r="AE27" i="11"/>
  <c r="G18" i="11"/>
  <c r="X18" i="11"/>
  <c r="AE18" i="11"/>
  <c r="G85" i="11"/>
  <c r="X85" i="11"/>
  <c r="AE85" i="11"/>
  <c r="G20" i="11"/>
  <c r="X20" i="11"/>
  <c r="AE20" i="11"/>
  <c r="G79" i="11"/>
  <c r="X79" i="11"/>
  <c r="AE79" i="11"/>
  <c r="G93" i="11"/>
  <c r="X93" i="11"/>
  <c r="AE93" i="11"/>
  <c r="G33" i="11"/>
  <c r="X33" i="11"/>
  <c r="AE33" i="11"/>
  <c r="G102" i="11"/>
  <c r="X102" i="11"/>
  <c r="AE102" i="11"/>
  <c r="G37" i="11"/>
  <c r="X37" i="11"/>
  <c r="AE37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A3" i="13" l="1" a="1"/>
  <c r="A3" i="13" s="1"/>
  <c r="K5" i="6"/>
  <c r="K9" i="15"/>
  <c r="B3" i="13" a="1"/>
  <c r="B3" i="13" s="1"/>
  <c r="L4" i="12"/>
  <c r="R37" i="11"/>
  <c r="R28" i="11"/>
  <c r="R76" i="11"/>
  <c r="R79" i="11"/>
  <c r="R27" i="11"/>
  <c r="R17" i="11"/>
  <c r="R53" i="11"/>
  <c r="R85" i="11"/>
  <c r="R10" i="11"/>
  <c r="S10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9" i="17"/>
  <c r="F19" i="17" s="1"/>
  <c r="M15" i="14"/>
  <c r="B15" i="14" s="1" a="1"/>
  <c r="B15" i="14" s="1"/>
  <c r="Q15" i="14" s="1"/>
  <c r="K13" i="14"/>
  <c r="K68" i="14"/>
  <c r="K57" i="14"/>
  <c r="M84" i="14"/>
  <c r="K87" i="14"/>
  <c r="K37" i="14"/>
  <c r="K41" i="14"/>
  <c r="M52" i="14"/>
  <c r="B52" i="14" s="1" a="1"/>
  <c r="B52" i="14" s="1"/>
  <c r="Q52" i="14" s="1"/>
  <c r="M88" i="14"/>
  <c r="B88" i="14" s="1" a="1"/>
  <c r="B88" i="14" s="1"/>
  <c r="Q88" i="14" s="1"/>
  <c r="M21" i="14"/>
  <c r="B21" i="14" s="1" a="1"/>
  <c r="B21" i="14" s="1"/>
  <c r="Q21" i="14" s="1"/>
  <c r="K63" i="14"/>
  <c r="M32" i="6"/>
  <c r="B32" i="6" s="1" a="1"/>
  <c r="B32" i="6" s="1"/>
  <c r="Q32" i="6" s="1"/>
  <c r="M16" i="6"/>
  <c r="M52" i="6"/>
  <c r="K85" i="6"/>
  <c r="K20" i="6"/>
  <c r="K89" i="6"/>
  <c r="K44" i="6"/>
  <c r="K65" i="6"/>
  <c r="K15" i="6"/>
  <c r="M26" i="6"/>
  <c r="B26" i="6" s="1" a="1"/>
  <c r="B26" i="6" s="1"/>
  <c r="Q26" i="6" s="1"/>
  <c r="K9" i="6"/>
  <c r="K83" i="6"/>
  <c r="K4" i="6"/>
  <c r="M82" i="6"/>
  <c r="M12" i="6"/>
  <c r="M25" i="16"/>
  <c r="B25" i="16" s="1" a="1"/>
  <c r="B25" i="16" s="1"/>
  <c r="Q25" i="16" s="1"/>
  <c r="K43" i="16"/>
  <c r="K54" i="16"/>
  <c r="M27" i="16"/>
  <c r="B27" i="16" s="1" a="1"/>
  <c r="B27" i="16" s="1"/>
  <c r="Q27" i="16" s="1"/>
  <c r="M13" i="16"/>
  <c r="B13" i="16" s="1" a="1"/>
  <c r="B13" i="16" s="1"/>
  <c r="Q13" i="16" s="1"/>
  <c r="M24" i="16"/>
  <c r="B24" i="16" s="1" a="1"/>
  <c r="B24" i="16" s="1"/>
  <c r="Q24" i="16" s="1"/>
  <c r="M16" i="16"/>
  <c r="B16" i="16" s="1" a="1"/>
  <c r="B16" i="16" s="1"/>
  <c r="Q16" i="16" s="1"/>
  <c r="M30" i="16"/>
  <c r="B30" i="16" s="1" a="1"/>
  <c r="B30" i="16" s="1"/>
  <c r="Q30" i="16" s="1"/>
  <c r="L28" i="16"/>
  <c r="K4" i="16"/>
  <c r="K10" i="15"/>
  <c r="K14" i="15"/>
  <c r="L36" i="15"/>
  <c r="M11" i="15"/>
  <c r="K37" i="15"/>
  <c r="K17" i="15"/>
  <c r="K6" i="15"/>
  <c r="K7" i="15"/>
  <c r="L8" i="13"/>
  <c r="M4" i="13"/>
  <c r="M17" i="13"/>
  <c r="M15" i="13"/>
  <c r="M10" i="13"/>
  <c r="N8" i="12"/>
  <c r="B8" i="12" s="1" a="1"/>
  <c r="B8" i="12" s="1"/>
  <c r="R8" i="12" s="1"/>
  <c r="G54" i="17"/>
  <c r="H54" i="17" s="1"/>
  <c r="M102" i="11"/>
  <c r="B102" i="11" s="1" a="1"/>
  <c r="B102" i="11" s="1"/>
  <c r="Q102" i="11" s="1"/>
  <c r="M33" i="11"/>
  <c r="B33" i="11" s="1" a="1"/>
  <c r="B33" i="11" s="1"/>
  <c r="Q33" i="11" s="1"/>
  <c r="M93" i="11"/>
  <c r="M79" i="11"/>
  <c r="B79" i="11" s="1" a="1"/>
  <c r="B79" i="11" s="1"/>
  <c r="Q79" i="11" s="1"/>
  <c r="M85" i="11"/>
  <c r="B85" i="11" s="1" a="1"/>
  <c r="B85" i="11" s="1"/>
  <c r="Q85" i="11" s="1"/>
  <c r="K10" i="11"/>
  <c r="K76" i="11"/>
  <c r="M7" i="11"/>
  <c r="L37" i="11"/>
  <c r="K20" i="11"/>
  <c r="M18" i="11"/>
  <c r="B18" i="11" s="1" a="1"/>
  <c r="B18" i="11" s="1"/>
  <c r="Q18" i="11" s="1"/>
  <c r="K28" i="11"/>
  <c r="L17" i="11"/>
  <c r="K73" i="3"/>
  <c r="L21" i="3"/>
  <c r="M91" i="3"/>
  <c r="B91" i="3" s="1" a="1"/>
  <c r="B91" i="3" s="1"/>
  <c r="Q91" i="3" s="1"/>
  <c r="M81" i="3"/>
  <c r="B81" i="3" s="1" a="1"/>
  <c r="B81" i="3" s="1"/>
  <c r="Q81" i="3" s="1"/>
  <c r="L60" i="3"/>
  <c r="L23" i="3"/>
  <c r="M5" i="3"/>
  <c r="K64" i="3"/>
  <c r="M14" i="3"/>
  <c r="B14" i="3" s="1" a="1"/>
  <c r="B14" i="3" s="1"/>
  <c r="Q14" i="3" s="1"/>
  <c r="M68" i="14"/>
  <c r="G25" i="17"/>
  <c r="H25" i="17" s="1"/>
  <c r="L21" i="14"/>
  <c r="L15" i="14"/>
  <c r="K15" i="14"/>
  <c r="K52" i="6"/>
  <c r="K32" i="6"/>
  <c r="L12" i="6"/>
  <c r="L52" i="6"/>
  <c r="M14" i="15"/>
  <c r="B14" i="15" s="1" a="1"/>
  <c r="B14" i="15" s="1"/>
  <c r="Q14" i="15" s="1"/>
  <c r="L14" i="15"/>
  <c r="M80" i="11"/>
  <c r="B80" i="11" s="1" a="1"/>
  <c r="B80" i="11" s="1"/>
  <c r="Q80" i="11" s="1"/>
  <c r="L18" i="11"/>
  <c r="L102" i="11"/>
  <c r="K17" i="11"/>
  <c r="L91" i="3"/>
  <c r="M73" i="3"/>
  <c r="B73" i="3" s="1" a="1"/>
  <c r="B73" i="3" s="1"/>
  <c r="Q73" i="3" s="1"/>
  <c r="M7" i="15"/>
  <c r="L7" i="15"/>
  <c r="L9" i="15"/>
  <c r="M17" i="15"/>
  <c r="B17" i="15" s="1" a="1"/>
  <c r="B17" i="15" s="1"/>
  <c r="Q17" i="15" s="1"/>
  <c r="L17" i="15"/>
  <c r="M10" i="15"/>
  <c r="L10" i="15"/>
  <c r="L11" i="15"/>
  <c r="K11" i="15"/>
  <c r="M9" i="15"/>
  <c r="M37" i="15"/>
  <c r="B37" i="15" s="1" a="1"/>
  <c r="B37" i="15" s="1"/>
  <c r="Q37" i="15" s="1"/>
  <c r="L37" i="15"/>
  <c r="M6" i="15"/>
  <c r="L6" i="15"/>
  <c r="K36" i="15"/>
  <c r="M36" i="15"/>
  <c r="B36" i="15" s="1" a="1"/>
  <c r="B36" i="15" s="1"/>
  <c r="Q36" i="15" s="1"/>
  <c r="L13" i="16"/>
  <c r="K13" i="16"/>
  <c r="L27" i="16"/>
  <c r="K27" i="16"/>
  <c r="M28" i="16"/>
  <c r="B28" i="16" s="1" a="1"/>
  <c r="B28" i="16" s="1"/>
  <c r="Q28" i="16" s="1"/>
  <c r="M43" i="16"/>
  <c r="B43" i="16" s="1" a="1"/>
  <c r="B43" i="16" s="1"/>
  <c r="Q43" i="16" s="1"/>
  <c r="K28" i="16"/>
  <c r="L25" i="16"/>
  <c r="K25" i="16"/>
  <c r="M4" i="16"/>
  <c r="L4" i="16"/>
  <c r="M54" i="16"/>
  <c r="B54" i="16" s="1" a="1"/>
  <c r="B54" i="16" s="1"/>
  <c r="Q54" i="16" s="1"/>
  <c r="L14" i="3"/>
  <c r="M21" i="3"/>
  <c r="B21" i="3" s="1" a="1"/>
  <c r="B21" i="3" s="1"/>
  <c r="Q21" i="3" s="1"/>
  <c r="K14" i="3"/>
  <c r="N8" i="13"/>
  <c r="B8" i="13" s="1" a="1"/>
  <c r="B8" i="13" s="1"/>
  <c r="R8" i="13" s="1"/>
  <c r="L10" i="13"/>
  <c r="L24" i="16"/>
  <c r="L16" i="16"/>
  <c r="L30" i="16"/>
  <c r="K24" i="16"/>
  <c r="K16" i="16"/>
  <c r="K30" i="16"/>
  <c r="L43" i="16"/>
  <c r="L54" i="16"/>
  <c r="M41" i="14"/>
  <c r="B41" i="14" s="1" a="1"/>
  <c r="B41" i="14" s="1"/>
  <c r="Q41" i="14" s="1"/>
  <c r="L41" i="14"/>
  <c r="L84" i="14"/>
  <c r="M13" i="14"/>
  <c r="B13" i="14" s="1" a="1"/>
  <c r="B13" i="14" s="1"/>
  <c r="Q13" i="14" s="1"/>
  <c r="L13" i="14"/>
  <c r="L88" i="14"/>
  <c r="K88" i="14"/>
  <c r="K21" i="14"/>
  <c r="K84" i="14"/>
  <c r="M87" i="14"/>
  <c r="B87" i="14" s="1" a="1"/>
  <c r="B87" i="14" s="1"/>
  <c r="Q87" i="14" s="1"/>
  <c r="M57" i="14"/>
  <c r="M37" i="14"/>
  <c r="B37" i="14" s="1" a="1"/>
  <c r="B37" i="14" s="1"/>
  <c r="Q37" i="14" s="1"/>
  <c r="M63" i="14"/>
  <c r="B63" i="14" s="1" a="1"/>
  <c r="B63" i="14" s="1"/>
  <c r="Q63" i="14" s="1"/>
  <c r="L37" i="14"/>
  <c r="L63" i="14"/>
  <c r="L68" i="14"/>
  <c r="L87" i="14"/>
  <c r="L52" i="14"/>
  <c r="K52" i="14"/>
  <c r="L57" i="14"/>
  <c r="M83" i="6"/>
  <c r="L26" i="6"/>
  <c r="L89" i="6"/>
  <c r="M9" i="6"/>
  <c r="L9" i="6"/>
  <c r="L32" i="6"/>
  <c r="M20" i="6"/>
  <c r="B20" i="6" s="1" a="1"/>
  <c r="B20" i="6" s="1"/>
  <c r="Q20" i="6" s="1"/>
  <c r="L20" i="6"/>
  <c r="L16" i="6"/>
  <c r="K16" i="6"/>
  <c r="L82" i="6"/>
  <c r="K82" i="6"/>
  <c r="M15" i="6"/>
  <c r="M89" i="6"/>
  <c r="M5" i="6"/>
  <c r="M44" i="6"/>
  <c r="B44" i="6" s="1" a="1"/>
  <c r="B44" i="6" s="1"/>
  <c r="Q44" i="6" s="1"/>
  <c r="K26" i="6"/>
  <c r="M4" i="6"/>
  <c r="M65" i="6"/>
  <c r="B65" i="6" s="1" a="1"/>
  <c r="B65" i="6" s="1"/>
  <c r="Q65" i="6" s="1"/>
  <c r="K12" i="6"/>
  <c r="L15" i="6"/>
  <c r="M85" i="6"/>
  <c r="L85" i="6"/>
  <c r="L5" i="6"/>
  <c r="L83" i="6"/>
  <c r="L44" i="6"/>
  <c r="L4" i="6"/>
  <c r="L65" i="6"/>
  <c r="L17" i="13"/>
  <c r="L15" i="13"/>
  <c r="L4" i="13"/>
  <c r="N10" i="13"/>
  <c r="B10" i="13" s="1" a="1"/>
  <c r="B10" i="13" s="1"/>
  <c r="R10" i="13" s="1"/>
  <c r="M8" i="13"/>
  <c r="N15" i="13"/>
  <c r="B15" i="13" s="1" a="1"/>
  <c r="B15" i="13" s="1"/>
  <c r="R15" i="13" s="1"/>
  <c r="N4" i="13"/>
  <c r="N17" i="13"/>
  <c r="B17" i="13" s="1" a="1"/>
  <c r="B17" i="13" s="1"/>
  <c r="R17" i="13" s="1"/>
  <c r="L8" i="12"/>
  <c r="N4" i="12"/>
  <c r="B4" i="12" s="1" a="1"/>
  <c r="B4" i="12" s="1"/>
  <c r="R4" i="12" s="1"/>
  <c r="M8" i="12"/>
  <c r="M4" i="12"/>
  <c r="K53" i="11"/>
  <c r="M19" i="11"/>
  <c r="B19" i="11" s="1" a="1"/>
  <c r="B19" i="11" s="1"/>
  <c r="Q19" i="11" s="1"/>
  <c r="L80" i="11"/>
  <c r="M17" i="11"/>
  <c r="B17" i="11" s="1" a="1"/>
  <c r="B17" i="11" s="1"/>
  <c r="Q17" i="11" s="1"/>
  <c r="M10" i="11"/>
  <c r="L10" i="11"/>
  <c r="M28" i="11"/>
  <c r="B28" i="11" s="1" a="1"/>
  <c r="B28" i="11" s="1"/>
  <c r="Q28" i="11" s="1"/>
  <c r="L28" i="11"/>
  <c r="L19" i="11"/>
  <c r="K19" i="11"/>
  <c r="M27" i="11"/>
  <c r="B27" i="11" s="1" a="1"/>
  <c r="B27" i="11" s="1"/>
  <c r="Q27" i="11" s="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B20" i="11" s="1" a="1"/>
  <c r="B20" i="11" s="1"/>
  <c r="Q20" i="11" s="1"/>
  <c r="K85" i="11"/>
  <c r="L20" i="11"/>
  <c r="M53" i="11"/>
  <c r="B53" i="11" s="1" a="1"/>
  <c r="B53" i="11" s="1"/>
  <c r="Q53" i="11" s="1"/>
  <c r="M37" i="11"/>
  <c r="B37" i="11" s="1" a="1"/>
  <c r="B37" i="11" s="1"/>
  <c r="Q37" i="11" s="1"/>
  <c r="K37" i="11"/>
  <c r="M76" i="11"/>
  <c r="B76" i="11" s="1" a="1"/>
  <c r="B76" i="11" s="1"/>
  <c r="Q76" i="11" s="1"/>
  <c r="M26" i="11"/>
  <c r="B26" i="11" s="1" a="1"/>
  <c r="B26" i="11" s="1"/>
  <c r="Q26" i="11" s="1"/>
  <c r="K7" i="11"/>
  <c r="K80" i="11"/>
  <c r="L26" i="11"/>
  <c r="L76" i="11"/>
  <c r="L53" i="11"/>
  <c r="K60" i="3"/>
  <c r="K21" i="3"/>
  <c r="L73" i="3"/>
  <c r="K91" i="3"/>
  <c r="M60" i="3"/>
  <c r="M87" i="3"/>
  <c r="B87" i="3" s="1" a="1"/>
  <c r="B87" i="3" s="1"/>
  <c r="Q87" i="3" s="1"/>
  <c r="L81" i="3"/>
  <c r="K81" i="3"/>
  <c r="L5" i="3"/>
  <c r="K5" i="3"/>
  <c r="M64" i="3"/>
  <c r="B64" i="3" s="1" a="1"/>
  <c r="B64" i="3" s="1"/>
  <c r="Q64" i="3" s="1"/>
  <c r="L64" i="3"/>
  <c r="L87" i="3"/>
  <c r="M49" i="3"/>
  <c r="B49" i="3" s="1" a="1"/>
  <c r="B49" i="3" s="1"/>
  <c r="Q49" i="3" s="1"/>
  <c r="M65" i="3"/>
  <c r="B65" i="3" s="1" a="1"/>
  <c r="B65" i="3" s="1"/>
  <c r="Q65" i="3" s="1"/>
  <c r="L65" i="3"/>
  <c r="K65" i="3"/>
  <c r="K23" i="3"/>
  <c r="M23" i="3"/>
  <c r="B23" i="3" s="1" a="1"/>
  <c r="B23" i="3" s="1"/>
  <c r="Q23" i="3" s="1"/>
  <c r="M45" i="3"/>
  <c r="B45" i="3" s="1" a="1"/>
  <c r="B45" i="3" s="1"/>
  <c r="Q45" i="3" s="1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7" i="16"/>
  <c r="D5" i="14"/>
  <c r="G7" i="16"/>
  <c r="G31" i="16"/>
  <c r="G6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3" i="16"/>
  <c r="G42" i="16"/>
  <c r="G59" i="16"/>
  <c r="G46" i="16"/>
  <c r="G15" i="15"/>
  <c r="G21" i="15"/>
  <c r="G23" i="15"/>
  <c r="G4" i="15"/>
  <c r="G20" i="15"/>
  <c r="G34" i="15"/>
  <c r="G40" i="15"/>
  <c r="G24" i="15"/>
  <c r="G6" i="6"/>
  <c r="G67" i="6"/>
  <c r="G10" i="6"/>
  <c r="G46" i="6"/>
  <c r="A8" i="6" s="1" a="1"/>
  <c r="A8" i="6" s="1"/>
  <c r="G90" i="6"/>
  <c r="G50" i="6"/>
  <c r="G53" i="6"/>
  <c r="G49" i="6"/>
  <c r="G13" i="6"/>
  <c r="G37" i="6"/>
  <c r="G45" i="6"/>
  <c r="G86" i="6"/>
  <c r="G35" i="6"/>
  <c r="G19" i="6"/>
  <c r="G14" i="6"/>
  <c r="G25" i="3"/>
  <c r="B84" i="14" l="1" a="1"/>
  <c r="B84" i="14" s="1"/>
  <c r="Q84" i="14" s="1"/>
  <c r="A84" i="14" a="1"/>
  <c r="A84" i="14" s="1"/>
  <c r="A4" i="6" a="1"/>
  <c r="A4" i="6" s="1"/>
  <c r="A5" i="6" a="1"/>
  <c r="A5" i="6" s="1"/>
  <c r="A7" i="6" a="1"/>
  <c r="A7" i="6" s="1"/>
  <c r="A3" i="6" a="1"/>
  <c r="A3" i="6" s="1"/>
  <c r="A6" i="6" a="1"/>
  <c r="A6" i="6" s="1"/>
  <c r="A6" i="16" a="1"/>
  <c r="A6" i="16" s="1"/>
  <c r="A3" i="16" a="1"/>
  <c r="A3" i="16" s="1"/>
  <c r="A4" i="16" a="1"/>
  <c r="A4" i="16" s="1"/>
  <c r="A45" i="16" a="1"/>
  <c r="A45" i="16" s="1"/>
  <c r="A5" i="16" a="1"/>
  <c r="A5" i="16" s="1"/>
  <c r="A3" i="15" a="1"/>
  <c r="A3" i="15" s="1"/>
  <c r="A8" i="15" a="1"/>
  <c r="A8" i="15" s="1"/>
  <c r="A6" i="15" a="1"/>
  <c r="A6" i="15" s="1"/>
  <c r="A5" i="15" a="1"/>
  <c r="A5" i="15" s="1"/>
  <c r="A4" i="15" a="1"/>
  <c r="A4" i="15" s="1"/>
  <c r="A7" i="15" a="1"/>
  <c r="A7" i="15" s="1"/>
  <c r="A4" i="13" a="1"/>
  <c r="A4" i="13" s="1"/>
  <c r="A5" i="13" a="1"/>
  <c r="A5" i="13" s="1"/>
  <c r="A3" i="12" a="1"/>
  <c r="A3" i="12" s="1"/>
  <c r="B60" i="3" a="1"/>
  <c r="B60" i="3" s="1"/>
  <c r="Q60" i="3" s="1"/>
  <c r="A60" i="3" a="1"/>
  <c r="A60" i="3" s="1"/>
  <c r="B4" i="13" a="1"/>
  <c r="B4" i="13" s="1"/>
  <c r="R4" i="13" s="1"/>
  <c r="B4" i="6" a="1"/>
  <c r="B4" i="6" s="1"/>
  <c r="B5" i="6" a="1"/>
  <c r="B5" i="6" s="1"/>
  <c r="B11" i="6" a="1"/>
  <c r="B11" i="6" s="1"/>
  <c r="Q11" i="6" s="1"/>
  <c r="B7" i="6" a="1"/>
  <c r="B7" i="6" s="1"/>
  <c r="Q7" i="6" s="1"/>
  <c r="B10" i="6" a="1"/>
  <c r="B10" i="6" s="1"/>
  <c r="Q10" i="6" s="1"/>
  <c r="B8" i="6" a="1"/>
  <c r="B8" i="6" s="1"/>
  <c r="Q8" i="6" s="1"/>
  <c r="B6" i="6" a="1"/>
  <c r="B6" i="6" s="1"/>
  <c r="Q6" i="6" s="1"/>
  <c r="B3" i="6" a="1"/>
  <c r="B3" i="6" s="1"/>
  <c r="B9" i="6" a="1"/>
  <c r="B9" i="6" s="1"/>
  <c r="Q9" i="6" s="1"/>
  <c r="B5" i="16" a="1"/>
  <c r="B5" i="16" s="1"/>
  <c r="Q5" i="16" s="1"/>
  <c r="B6" i="16" a="1"/>
  <c r="B6" i="16" s="1"/>
  <c r="Q6" i="16" s="1"/>
  <c r="B45" i="16" a="1"/>
  <c r="B45" i="16" s="1"/>
  <c r="B3" i="16" a="1"/>
  <c r="B3" i="16" s="1"/>
  <c r="B4" i="16" a="1"/>
  <c r="B4" i="16" s="1"/>
  <c r="B8" i="16" a="1"/>
  <c r="B8" i="16" s="1"/>
  <c r="Q8" i="16" s="1"/>
  <c r="B7" i="16" a="1"/>
  <c r="B7" i="16" s="1"/>
  <c r="Q7" i="16" s="1"/>
  <c r="B10" i="15" a="1"/>
  <c r="B10" i="15" s="1"/>
  <c r="Q10" i="15" s="1"/>
  <c r="B9" i="15" a="1"/>
  <c r="B9" i="15" s="1"/>
  <c r="Q9" i="15" s="1"/>
  <c r="B5" i="15" a="1"/>
  <c r="B5" i="15" s="1"/>
  <c r="B11" i="15" a="1"/>
  <c r="B11" i="15" s="1"/>
  <c r="Q11" i="15" s="1"/>
  <c r="B8" i="15" a="1"/>
  <c r="B8" i="15" s="1"/>
  <c r="Q8" i="15" s="1"/>
  <c r="B7" i="15" a="1"/>
  <c r="B7" i="15" s="1"/>
  <c r="Q7" i="15" s="1"/>
  <c r="B4" i="15" a="1"/>
  <c r="B4" i="15" s="1"/>
  <c r="B3" i="15" a="1"/>
  <c r="B3" i="15" s="1"/>
  <c r="B6" i="15" a="1"/>
  <c r="B6" i="15" s="1"/>
  <c r="Q6" i="15" s="1"/>
  <c r="B5" i="13" a="1"/>
  <c r="B5" i="13" s="1"/>
  <c r="B3" i="12" a="1"/>
  <c r="B3" i="12" s="1"/>
  <c r="R3" i="12" s="1"/>
  <c r="B68" i="14" a="1"/>
  <c r="B68" i="14" s="1"/>
  <c r="Q68" i="14" s="1"/>
  <c r="J10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C73" i="17"/>
  <c r="D73" i="17" s="1"/>
  <c r="C58" i="17"/>
  <c r="D58" i="17" s="1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B44" i="11" s="1" a="1"/>
  <c r="B44" i="11" s="1"/>
  <c r="Q44" i="11" s="1"/>
  <c r="K86" i="14"/>
  <c r="K35" i="14"/>
  <c r="K82" i="14"/>
  <c r="M4" i="14"/>
  <c r="M25" i="14"/>
  <c r="B25" i="14" s="1" a="1"/>
  <c r="B25" i="14" s="1"/>
  <c r="Q25" i="14" s="1"/>
  <c r="M18" i="14"/>
  <c r="B18" i="14" s="1" a="1"/>
  <c r="B18" i="14" s="1"/>
  <c r="Q18" i="14" s="1"/>
  <c r="K60" i="14"/>
  <c r="M69" i="14"/>
  <c r="B69" i="14" s="1" a="1"/>
  <c r="B69" i="14" s="1"/>
  <c r="Q69" i="14" s="1"/>
  <c r="K10" i="14"/>
  <c r="K16" i="14"/>
  <c r="K14" i="14"/>
  <c r="K3" i="14"/>
  <c r="M65" i="14"/>
  <c r="B65" i="14" s="1" a="1"/>
  <c r="B65" i="14" s="1"/>
  <c r="Q65" i="14" s="1"/>
  <c r="L58" i="14"/>
  <c r="M22" i="14"/>
  <c r="B22" i="14" s="1" a="1"/>
  <c r="B22" i="14" s="1"/>
  <c r="Q22" i="14" s="1"/>
  <c r="K59" i="14"/>
  <c r="K76" i="14"/>
  <c r="K67" i="14"/>
  <c r="K70" i="14"/>
  <c r="K7" i="14"/>
  <c r="K12" i="14"/>
  <c r="K56" i="14"/>
  <c r="M31" i="14"/>
  <c r="B31" i="14" s="1" a="1"/>
  <c r="B31" i="14" s="1"/>
  <c r="Q31" i="14" s="1"/>
  <c r="K30" i="14"/>
  <c r="K9" i="14"/>
  <c r="M75" i="14"/>
  <c r="B75" i="14" s="1" a="1"/>
  <c r="B75" i="14" s="1"/>
  <c r="Q75" i="14" s="1"/>
  <c r="M28" i="14"/>
  <c r="B28" i="14" s="1" a="1"/>
  <c r="B28" i="14" s="1"/>
  <c r="Q28" i="14" s="1"/>
  <c r="L66" i="14"/>
  <c r="L61" i="14"/>
  <c r="K83" i="14"/>
  <c r="M35" i="6"/>
  <c r="B35" i="6" s="1" a="1"/>
  <c r="B35" i="6" s="1"/>
  <c r="Q35" i="6" s="1"/>
  <c r="M46" i="6"/>
  <c r="B46" i="6" s="1" a="1"/>
  <c r="B46" i="6" s="1"/>
  <c r="Q46" i="6" s="1"/>
  <c r="L19" i="6"/>
  <c r="M86" i="6"/>
  <c r="B86" i="6" s="1" a="1"/>
  <c r="B86" i="6" s="1"/>
  <c r="Q86" i="6" s="1"/>
  <c r="M49" i="6"/>
  <c r="L45" i="6"/>
  <c r="L10" i="6"/>
  <c r="M37" i="6"/>
  <c r="B37" i="6" s="1" a="1"/>
  <c r="B37" i="6" s="1"/>
  <c r="Q37" i="6" s="1"/>
  <c r="M53" i="6"/>
  <c r="B53" i="6" s="1" a="1"/>
  <c r="B53" i="6" s="1"/>
  <c r="Q53" i="6" s="1"/>
  <c r="M6" i="6"/>
  <c r="L13" i="6"/>
  <c r="M14" i="6"/>
  <c r="M50" i="6"/>
  <c r="M90" i="6"/>
  <c r="B90" i="6" s="1" a="1"/>
  <c r="B90" i="6" s="1"/>
  <c r="Q90" i="6" s="1"/>
  <c r="M32" i="16"/>
  <c r="B32" i="16" s="1" a="1"/>
  <c r="B32" i="16" s="1"/>
  <c r="Q32" i="16" s="1"/>
  <c r="M23" i="16"/>
  <c r="B23" i="16" s="1" a="1"/>
  <c r="B23" i="16" s="1"/>
  <c r="Q23" i="16" s="1"/>
  <c r="G75" i="17" s="1"/>
  <c r="H75" i="17" s="1"/>
  <c r="L20" i="16"/>
  <c r="L6" i="16"/>
  <c r="K45" i="16"/>
  <c r="M46" i="16"/>
  <c r="B46" i="16" s="1" a="1"/>
  <c r="B46" i="16" s="1"/>
  <c r="Q46" i="16" s="1"/>
  <c r="M59" i="16"/>
  <c r="B59" i="16" s="1" a="1"/>
  <c r="B59" i="16" s="1"/>
  <c r="Q59" i="16" s="1"/>
  <c r="K63" i="16"/>
  <c r="K51" i="16"/>
  <c r="K3" i="16"/>
  <c r="K29" i="16"/>
  <c r="K7" i="16"/>
  <c r="K60" i="16"/>
  <c r="K14" i="16"/>
  <c r="K17" i="16"/>
  <c r="K22" i="16"/>
  <c r="K42" i="16"/>
  <c r="K31" i="16"/>
  <c r="K21" i="15"/>
  <c r="L23" i="15"/>
  <c r="K40" i="15"/>
  <c r="K34" i="15"/>
  <c r="K15" i="15"/>
  <c r="L20" i="15"/>
  <c r="M4" i="15"/>
  <c r="M67" i="6"/>
  <c r="B67" i="6" s="1" a="1"/>
  <c r="B67" i="6" s="1"/>
  <c r="Q67" i="6" s="1"/>
  <c r="L83" i="11"/>
  <c r="K36" i="11"/>
  <c r="L25" i="11"/>
  <c r="M32" i="11"/>
  <c r="B32" i="11" s="1" a="1"/>
  <c r="B32" i="11" s="1"/>
  <c r="Q32" i="11" s="1"/>
  <c r="K21" i="11"/>
  <c r="M94" i="11"/>
  <c r="M12" i="11"/>
  <c r="B12" i="11" s="1" a="1"/>
  <c r="B12" i="11" s="1"/>
  <c r="Q12" i="11" s="1"/>
  <c r="K72" i="11"/>
  <c r="K38" i="11"/>
  <c r="L6" i="11"/>
  <c r="L61" i="11"/>
  <c r="K16" i="11"/>
  <c r="L44" i="11"/>
  <c r="L87" i="11"/>
  <c r="L41" i="11"/>
  <c r="K23" i="11"/>
  <c r="K74" i="11"/>
  <c r="M52" i="11"/>
  <c r="B52" i="11" s="1" a="1"/>
  <c r="B52" i="11" s="1"/>
  <c r="Q52" i="11" s="1"/>
  <c r="L13" i="11"/>
  <c r="K59" i="11"/>
  <c r="K81" i="11"/>
  <c r="L66" i="3"/>
  <c r="L88" i="3"/>
  <c r="L12" i="3"/>
  <c r="L19" i="3"/>
  <c r="K41" i="3"/>
  <c r="L39" i="3"/>
  <c r="L16" i="3"/>
  <c r="L36" i="3"/>
  <c r="M18" i="3"/>
  <c r="B18" i="3" s="1" a="1"/>
  <c r="B18" i="3" s="1"/>
  <c r="Q18" i="3" s="1"/>
  <c r="K52" i="3"/>
  <c r="M13" i="3"/>
  <c r="B13" i="3" s="1" a="1"/>
  <c r="B13" i="3" s="1"/>
  <c r="Q13" i="3" s="1"/>
  <c r="K29" i="3"/>
  <c r="K37" i="3"/>
  <c r="L56" i="16"/>
  <c r="K24" i="15"/>
  <c r="M46" i="11"/>
  <c r="B46" i="11" s="1" a="1"/>
  <c r="B46" i="11" s="1"/>
  <c r="Q46" i="11" s="1"/>
  <c r="M86" i="11"/>
  <c r="B86" i="11" s="1" a="1"/>
  <c r="B86" i="11" s="1"/>
  <c r="Q86" i="11" s="1"/>
  <c r="K88" i="11"/>
  <c r="K92" i="11"/>
  <c r="K78" i="11"/>
  <c r="K44" i="3"/>
  <c r="K67" i="3"/>
  <c r="M80" i="3"/>
  <c r="K25" i="3"/>
  <c r="M32" i="3"/>
  <c r="B32" i="3" s="1" a="1"/>
  <c r="B32" i="3" s="1"/>
  <c r="Q32" i="3" s="1"/>
  <c r="M67" i="14"/>
  <c r="B67" i="14" s="1" a="1"/>
  <c r="B67" i="14" s="1"/>
  <c r="Q67" i="14" s="1"/>
  <c r="L14" i="6"/>
  <c r="L46" i="6"/>
  <c r="K4" i="15"/>
  <c r="K61" i="11"/>
  <c r="K41" i="11"/>
  <c r="L21" i="11"/>
  <c r="M89" i="3"/>
  <c r="B89" i="3" s="1" a="1"/>
  <c r="B89" i="3" s="1"/>
  <c r="Q89" i="3" s="1"/>
  <c r="M38" i="3"/>
  <c r="B38" i="3" s="1" a="1"/>
  <c r="B38" i="3" s="1"/>
  <c r="Q38" i="3" s="1"/>
  <c r="M21" i="11"/>
  <c r="B21" i="11" s="1" a="1"/>
  <c r="B21" i="11" s="1"/>
  <c r="Q21" i="11" s="1"/>
  <c r="K25" i="11"/>
  <c r="K12" i="11"/>
  <c r="L94" i="11"/>
  <c r="K94" i="11"/>
  <c r="K39" i="3"/>
  <c r="M6" i="16"/>
  <c r="M56" i="16"/>
  <c r="B56" i="16" s="1" a="1"/>
  <c r="B56" i="16" s="1"/>
  <c r="Q56" i="16" s="1"/>
  <c r="M22" i="16"/>
  <c r="B22" i="16" s="1" a="1"/>
  <c r="B22" i="16" s="1"/>
  <c r="Q22" i="16" s="1"/>
  <c r="M7" i="16"/>
  <c r="L22" i="16"/>
  <c r="K6" i="16"/>
  <c r="K23" i="16"/>
  <c r="M60" i="16"/>
  <c r="B60" i="16" s="1" a="1"/>
  <c r="B60" i="16" s="1"/>
  <c r="Q60" i="16" s="1"/>
  <c r="L4" i="15"/>
  <c r="K23" i="15"/>
  <c r="M34" i="15"/>
  <c r="B34" i="15" s="1" a="1"/>
  <c r="B34" i="15" s="1"/>
  <c r="Q34" i="15" s="1"/>
  <c r="L34" i="15"/>
  <c r="L60" i="14"/>
  <c r="L75" i="14"/>
  <c r="M10" i="14"/>
  <c r="L65" i="14"/>
  <c r="M76" i="14"/>
  <c r="B76" i="14" s="1" a="1"/>
  <c r="B76" i="14" s="1"/>
  <c r="Q76" i="14" s="1"/>
  <c r="M70" i="14"/>
  <c r="B70" i="14" s="1" a="1"/>
  <c r="B70" i="14" s="1"/>
  <c r="Q70" i="14" s="1"/>
  <c r="K58" i="14"/>
  <c r="L9" i="14"/>
  <c r="L18" i="14"/>
  <c r="L4" i="14"/>
  <c r="M16" i="14"/>
  <c r="B16" i="14" s="1" a="1"/>
  <c r="B16" i="14" s="1"/>
  <c r="Q16" i="14" s="1"/>
  <c r="M5" i="14"/>
  <c r="K66" i="14"/>
  <c r="K65" i="14"/>
  <c r="K4" i="14"/>
  <c r="K25" i="14"/>
  <c r="L28" i="14"/>
  <c r="M12" i="14"/>
  <c r="K31" i="14"/>
  <c r="L76" i="14"/>
  <c r="M9" i="14"/>
  <c r="L67" i="14"/>
  <c r="M60" i="14"/>
  <c r="A60" i="14" s="1" a="1"/>
  <c r="A60" i="14" s="1"/>
  <c r="K75" i="14"/>
  <c r="L70" i="14"/>
  <c r="K18" i="14"/>
  <c r="L25" i="14"/>
  <c r="L31" i="14"/>
  <c r="K61" i="14"/>
  <c r="M7" i="14"/>
  <c r="L12" i="14"/>
  <c r="L7" i="14"/>
  <c r="M83" i="14"/>
  <c r="L22" i="14"/>
  <c r="L10" i="14"/>
  <c r="M30" i="14"/>
  <c r="B30" i="14" s="1" a="1"/>
  <c r="B30" i="14" s="1"/>
  <c r="Q30" i="14" s="1"/>
  <c r="L16" i="14"/>
  <c r="L5" i="14"/>
  <c r="K28" i="14"/>
  <c r="K69" i="14"/>
  <c r="L83" i="14"/>
  <c r="M56" i="14"/>
  <c r="K22" i="14"/>
  <c r="M86" i="14"/>
  <c r="B86" i="14" s="1" a="1"/>
  <c r="B86" i="14" s="1"/>
  <c r="Q86" i="14" s="1"/>
  <c r="L30" i="14"/>
  <c r="M35" i="14"/>
  <c r="B35" i="14" s="1" a="1"/>
  <c r="B35" i="14" s="1"/>
  <c r="Q35" i="14" s="1"/>
  <c r="M82" i="14"/>
  <c r="L69" i="14"/>
  <c r="L56" i="14"/>
  <c r="M59" i="14"/>
  <c r="L86" i="14"/>
  <c r="M14" i="14"/>
  <c r="B14" i="14" s="1" a="1"/>
  <c r="B14" i="14" s="1"/>
  <c r="Q14" i="14" s="1"/>
  <c r="L35" i="14"/>
  <c r="M3" i="14"/>
  <c r="L82" i="14"/>
  <c r="M58" i="14"/>
  <c r="L59" i="14"/>
  <c r="L14" i="14"/>
  <c r="M66" i="14"/>
  <c r="B66" i="14" s="1" a="1"/>
  <c r="B66" i="14" s="1"/>
  <c r="Q66" i="14" s="1"/>
  <c r="L3" i="14"/>
  <c r="M61" i="14"/>
  <c r="B61" i="14" s="1" a="1"/>
  <c r="B61" i="14" s="1"/>
  <c r="L35" i="6"/>
  <c r="L37" i="6"/>
  <c r="L67" i="6"/>
  <c r="L49" i="6"/>
  <c r="K14" i="6"/>
  <c r="K46" i="6"/>
  <c r="K45" i="6"/>
  <c r="K13" i="6"/>
  <c r="L86" i="6"/>
  <c r="L53" i="6"/>
  <c r="L6" i="6"/>
  <c r="M45" i="6"/>
  <c r="B45" i="6" s="1" a="1"/>
  <c r="B45" i="6" s="1"/>
  <c r="Q45" i="6" s="1"/>
  <c r="M13" i="6"/>
  <c r="K19" i="6"/>
  <c r="K10" i="6"/>
  <c r="L50" i="6"/>
  <c r="L90" i="6"/>
  <c r="M19" i="6"/>
  <c r="B19" i="6" s="1" a="1"/>
  <c r="B19" i="6" s="1"/>
  <c r="Q19" i="6" s="1"/>
  <c r="M10" i="6"/>
  <c r="K35" i="6"/>
  <c r="K37" i="6"/>
  <c r="K49" i="6"/>
  <c r="K67" i="6"/>
  <c r="K86" i="6"/>
  <c r="K53" i="6"/>
  <c r="K6" i="6"/>
  <c r="K50" i="6"/>
  <c r="K90" i="6"/>
  <c r="M25" i="11"/>
  <c r="B25" i="11" s="1" a="1"/>
  <c r="B25" i="11" s="1"/>
  <c r="Q25" i="11" s="1"/>
  <c r="M59" i="11"/>
  <c r="B59" i="11" s="1" a="1"/>
  <c r="B59" i="11" s="1"/>
  <c r="Q59" i="11" s="1"/>
  <c r="K83" i="11"/>
  <c r="K87" i="11"/>
  <c r="M11" i="3"/>
  <c r="K6" i="3"/>
  <c r="M8" i="3"/>
  <c r="L18" i="3"/>
  <c r="L67" i="3"/>
  <c r="K78" i="3"/>
  <c r="M16" i="3"/>
  <c r="B16" i="3" s="1" a="1"/>
  <c r="B16" i="3" s="1"/>
  <c r="Q16" i="3" s="1"/>
  <c r="K86" i="3"/>
  <c r="K12" i="3"/>
  <c r="K16" i="3"/>
  <c r="L32" i="3"/>
  <c r="K32" i="3"/>
  <c r="M6" i="3"/>
  <c r="L6" i="3"/>
  <c r="M39" i="3"/>
  <c r="B39" i="3" s="1" a="1"/>
  <c r="B39" i="3" s="1"/>
  <c r="Q39" i="3" s="1"/>
  <c r="M40" i="15"/>
  <c r="B40" i="15" s="1" a="1"/>
  <c r="B40" i="15" s="1"/>
  <c r="Q40" i="15" s="1"/>
  <c r="L40" i="15"/>
  <c r="K56" i="16"/>
  <c r="L60" i="16"/>
  <c r="L32" i="16"/>
  <c r="M45" i="16"/>
  <c r="K32" i="16"/>
  <c r="L7" i="16"/>
  <c r="M63" i="16"/>
  <c r="B63" i="16" s="1" a="1"/>
  <c r="B63" i="16" s="1"/>
  <c r="Q63" i="16" s="1"/>
  <c r="L45" i="16"/>
  <c r="M20" i="16"/>
  <c r="B20" i="16" s="1" a="1"/>
  <c r="B20" i="16" s="1"/>
  <c r="Q20" i="16" s="1"/>
  <c r="M29" i="16"/>
  <c r="B29" i="16" s="1" a="1"/>
  <c r="B29" i="16" s="1"/>
  <c r="Q29" i="16" s="1"/>
  <c r="L63" i="16"/>
  <c r="K20" i="16"/>
  <c r="M51" i="16"/>
  <c r="B51" i="16" s="1" a="1"/>
  <c r="B51" i="16" s="1"/>
  <c r="Q51" i="16" s="1"/>
  <c r="L51" i="16"/>
  <c r="L29" i="16"/>
  <c r="M17" i="16"/>
  <c r="B17" i="16" s="1" a="1"/>
  <c r="B17" i="16" s="1"/>
  <c r="Q17" i="16" s="1"/>
  <c r="L17" i="16"/>
  <c r="M31" i="16"/>
  <c r="B31" i="16" s="1" a="1"/>
  <c r="B31" i="16" s="1"/>
  <c r="Q31" i="16" s="1"/>
  <c r="L31" i="16"/>
  <c r="L46" i="16"/>
  <c r="M74" i="11"/>
  <c r="L74" i="11"/>
  <c r="K6" i="11"/>
  <c r="M87" i="11"/>
  <c r="B87" i="11" s="1" a="1"/>
  <c r="B87" i="11" s="1"/>
  <c r="Q87" i="11" s="1"/>
  <c r="M61" i="11"/>
  <c r="B61" i="11" s="1" a="1"/>
  <c r="B61" i="11" s="1"/>
  <c r="Q61" i="11" s="1"/>
  <c r="K13" i="11"/>
  <c r="L86" i="11"/>
  <c r="K15" i="11"/>
  <c r="L46" i="11"/>
  <c r="K46" i="11"/>
  <c r="M15" i="11"/>
  <c r="B15" i="11" s="1" a="1"/>
  <c r="B15" i="11" s="1"/>
  <c r="Q15" i="11" s="1"/>
  <c r="L15" i="11"/>
  <c r="M36" i="11"/>
  <c r="B36" i="11" s="1" a="1"/>
  <c r="B36" i="11" s="1"/>
  <c r="Q36" i="11" s="1"/>
  <c r="M72" i="11"/>
  <c r="M81" i="11"/>
  <c r="B81" i="11" s="1" a="1"/>
  <c r="B81" i="11" s="1"/>
  <c r="Q81" i="11" s="1"/>
  <c r="L36" i="11"/>
  <c r="M6" i="11"/>
  <c r="L72" i="11"/>
  <c r="L81" i="11"/>
  <c r="L92" i="11"/>
  <c r="K86" i="11"/>
  <c r="M38" i="11"/>
  <c r="B38" i="11" s="1" a="1"/>
  <c r="B38" i="11" s="1"/>
  <c r="Q38" i="11" s="1"/>
  <c r="M23" i="11"/>
  <c r="B23" i="11" s="1" a="1"/>
  <c r="B23" i="11" s="1"/>
  <c r="Q23" i="11" s="1"/>
  <c r="M13" i="11"/>
  <c r="B13" i="11" s="1" a="1"/>
  <c r="B13" i="11" s="1"/>
  <c r="Q13" i="11" s="1"/>
  <c r="L52" i="11"/>
  <c r="M88" i="11"/>
  <c r="B88" i="11" s="1" a="1"/>
  <c r="B88" i="11" s="1"/>
  <c r="Q88" i="11" s="1"/>
  <c r="L38" i="11"/>
  <c r="L23" i="11"/>
  <c r="K52" i="11"/>
  <c r="L88" i="11"/>
  <c r="L32" i="11"/>
  <c r="K44" i="11"/>
  <c r="M92" i="11"/>
  <c r="B92" i="11" s="1" a="1"/>
  <c r="B92" i="11" s="1"/>
  <c r="Q92" i="11" s="1"/>
  <c r="M66" i="3"/>
  <c r="B66" i="3" s="1" a="1"/>
  <c r="B66" i="3" s="1"/>
  <c r="Q66" i="3" s="1"/>
  <c r="L79" i="3"/>
  <c r="M52" i="3"/>
  <c r="B52" i="3" s="1" a="1"/>
  <c r="B52" i="3" s="1"/>
  <c r="Q52" i="3" s="1"/>
  <c r="K79" i="3"/>
  <c r="L52" i="3"/>
  <c r="K8" i="3"/>
  <c r="M41" i="3"/>
  <c r="B41" i="3" s="1" a="1"/>
  <c r="B41" i="3" s="1"/>
  <c r="Q41" i="3" s="1"/>
  <c r="L41" i="3"/>
  <c r="K88" i="3"/>
  <c r="L13" i="3"/>
  <c r="K13" i="3"/>
  <c r="M79" i="3"/>
  <c r="M12" i="3"/>
  <c r="K89" i="3"/>
  <c r="K36" i="3"/>
  <c r="M67" i="3"/>
  <c r="B67" i="3" s="1" a="1"/>
  <c r="B67" i="3" s="1"/>
  <c r="Q67" i="3" s="1"/>
  <c r="L8" i="3"/>
  <c r="L38" i="3"/>
  <c r="L80" i="3"/>
  <c r="K38" i="3"/>
  <c r="K80" i="3"/>
  <c r="M44" i="3"/>
  <c r="B44" i="3" s="1" a="1"/>
  <c r="B44" i="3" s="1"/>
  <c r="Q44" i="3" s="1"/>
  <c r="M36" i="3"/>
  <c r="B36" i="3" s="1" a="1"/>
  <c r="B36" i="3" s="1"/>
  <c r="Q36" i="3" s="1"/>
  <c r="L11" i="3"/>
  <c r="M37" i="3"/>
  <c r="B37" i="3" s="1" a="1"/>
  <c r="B37" i="3" s="1"/>
  <c r="Q37" i="3" s="1"/>
  <c r="L89" i="3"/>
  <c r="L44" i="3"/>
  <c r="K19" i="3"/>
  <c r="L37" i="3"/>
  <c r="K18" i="3"/>
  <c r="M72" i="3"/>
  <c r="B72" i="3" s="1" a="1"/>
  <c r="B72" i="3" s="1"/>
  <c r="Q72" i="3" s="1"/>
  <c r="L72" i="3"/>
  <c r="K72" i="3"/>
  <c r="M58" i="3"/>
  <c r="M59" i="3"/>
  <c r="M29" i="3"/>
  <c r="B29" i="3" s="1" a="1"/>
  <c r="B29" i="3" s="1"/>
  <c r="Q29" i="3" s="1"/>
  <c r="L58" i="3"/>
  <c r="M78" i="3"/>
  <c r="B78" i="3" s="1" a="1"/>
  <c r="B78" i="3" s="1"/>
  <c r="Q78" i="3" s="1"/>
  <c r="M86" i="3"/>
  <c r="B86" i="3" s="1" a="1"/>
  <c r="B86" i="3" s="1"/>
  <c r="Q86" i="3" s="1"/>
  <c r="K66" i="3"/>
  <c r="L59" i="3"/>
  <c r="L29" i="3"/>
  <c r="M88" i="3"/>
  <c r="K58" i="3"/>
  <c r="L78" i="3"/>
  <c r="L86" i="3"/>
  <c r="K59" i="3"/>
  <c r="M19" i="3"/>
  <c r="B19" i="3" s="1" a="1"/>
  <c r="B19" i="3" s="1"/>
  <c r="Q19" i="3" s="1"/>
  <c r="M25" i="3"/>
  <c r="B25" i="3" s="1" a="1"/>
  <c r="B25" i="3" s="1"/>
  <c r="Q25" i="3" s="1"/>
  <c r="L25" i="3"/>
  <c r="K32" i="11"/>
  <c r="L12" i="11"/>
  <c r="M34" i="11"/>
  <c r="B34" i="11" s="1" a="1"/>
  <c r="B34" i="11" s="1"/>
  <c r="Q34" i="11" s="1"/>
  <c r="L59" i="11"/>
  <c r="L34" i="11"/>
  <c r="M16" i="11"/>
  <c r="B16" i="11" s="1" a="1"/>
  <c r="B16" i="11" s="1"/>
  <c r="Q16" i="11" s="1"/>
  <c r="M78" i="11"/>
  <c r="B78" i="11" s="1" a="1"/>
  <c r="B78" i="11" s="1"/>
  <c r="Q78" i="11" s="1"/>
  <c r="K34" i="11"/>
  <c r="L16" i="11"/>
  <c r="M83" i="11"/>
  <c r="B83" i="11" s="1" a="1"/>
  <c r="B83" i="11" s="1"/>
  <c r="Q83" i="11" s="1"/>
  <c r="L78" i="11"/>
  <c r="M41" i="11"/>
  <c r="B41" i="11" s="1" a="1"/>
  <c r="B41" i="11" s="1"/>
  <c r="Q41" i="11" s="1"/>
  <c r="K46" i="16"/>
  <c r="L59" i="16"/>
  <c r="K59" i="16"/>
  <c r="L23" i="16"/>
  <c r="M42" i="16"/>
  <c r="B42" i="16" s="1" a="1"/>
  <c r="B42" i="16" s="1"/>
  <c r="Q42" i="16" s="1"/>
  <c r="M14" i="16"/>
  <c r="B14" i="16" s="1" a="1"/>
  <c r="B14" i="16" s="1"/>
  <c r="Q14" i="16" s="1"/>
  <c r="L42" i="16"/>
  <c r="M3" i="16"/>
  <c r="L14" i="16"/>
  <c r="L3" i="16"/>
  <c r="M24" i="15"/>
  <c r="B24" i="15" s="1" a="1"/>
  <c r="B24" i="15" s="1"/>
  <c r="Q24" i="15" s="1"/>
  <c r="L24" i="15"/>
  <c r="M21" i="15"/>
  <c r="B21" i="15" s="1" a="1"/>
  <c r="B21" i="15" s="1"/>
  <c r="Q21" i="15" s="1"/>
  <c r="K20" i="15"/>
  <c r="M23" i="15"/>
  <c r="B23" i="15" s="1" a="1"/>
  <c r="B23" i="15" s="1"/>
  <c r="Q23" i="15" s="1"/>
  <c r="L21" i="15"/>
  <c r="M15" i="15"/>
  <c r="B15" i="15" s="1" a="1"/>
  <c r="B15" i="15" s="1"/>
  <c r="Q15" i="15" s="1"/>
  <c r="M20" i="15"/>
  <c r="B20" i="15" s="1" a="1"/>
  <c r="B20" i="15" s="1"/>
  <c r="Q20" i="15" s="1"/>
  <c r="L15" i="15"/>
  <c r="Q61" i="14" l="1"/>
  <c r="Q3" i="16"/>
  <c r="Q4" i="16"/>
  <c r="Q45" i="16"/>
  <c r="Q3" i="15"/>
  <c r="Q4" i="15"/>
  <c r="Q5" i="15"/>
  <c r="R5" i="13"/>
  <c r="R3" i="13"/>
  <c r="B13" i="6" a="1"/>
  <c r="B13" i="6" s="1"/>
  <c r="Q13" i="6" s="1"/>
  <c r="A89" i="6" a="1"/>
  <c r="A89" i="6" s="1"/>
  <c r="A39" i="15" a="1"/>
  <c r="A39" i="15" s="1"/>
  <c r="A10" i="14" a="1"/>
  <c r="A10" i="14" s="1"/>
  <c r="B82" i="14" a="1"/>
  <c r="B82" i="14" s="1"/>
  <c r="Q82" i="14" s="1"/>
  <c r="A82" i="14" a="1"/>
  <c r="A82" i="14" s="1"/>
  <c r="B83" i="14" a="1"/>
  <c r="B83" i="14" s="1"/>
  <c r="Q83" i="14" s="1"/>
  <c r="A83" i="14" a="1"/>
  <c r="A83" i="14" s="1"/>
  <c r="A83" i="6" a="1"/>
  <c r="A83" i="6" s="1"/>
  <c r="A50" i="6" a="1"/>
  <c r="A50" i="6" s="1"/>
  <c r="A85" i="6" a="1"/>
  <c r="A85" i="6" s="1"/>
  <c r="A52" i="6" a="1"/>
  <c r="A52" i="6" s="1"/>
  <c r="A81" i="6" a="1"/>
  <c r="A81" i="6" s="1"/>
  <c r="A51" i="6" a="1"/>
  <c r="A51" i="6" s="1"/>
  <c r="A49" i="6" a="1"/>
  <c r="A49" i="6" s="1"/>
  <c r="B89" i="6" a="1"/>
  <c r="B89" i="6" s="1"/>
  <c r="Q89" i="6" s="1"/>
  <c r="A84" i="6" a="1"/>
  <c r="A84" i="6" s="1"/>
  <c r="A82" i="6" a="1"/>
  <c r="A82" i="6" s="1"/>
  <c r="A80" i="6" a="1"/>
  <c r="A80" i="6" s="1"/>
  <c r="A64" i="16" a="1"/>
  <c r="A64" i="16" s="1"/>
  <c r="B94" i="11" a="1"/>
  <c r="B94" i="11" s="1"/>
  <c r="Q94" i="11" s="1"/>
  <c r="A94" i="11" a="1"/>
  <c r="A94" i="11" s="1"/>
  <c r="A74" i="11" a="1"/>
  <c r="A74" i="11" s="1"/>
  <c r="A8" i="11" a="1"/>
  <c r="A8" i="11" s="1"/>
  <c r="B80" i="3" a="1"/>
  <c r="B80" i="3" s="1"/>
  <c r="Q80" i="3" s="1"/>
  <c r="A80" i="3" a="1"/>
  <c r="A80" i="3" s="1"/>
  <c r="B58" i="3" a="1"/>
  <c r="B58" i="3" s="1"/>
  <c r="Q58" i="3" s="1"/>
  <c r="A58" i="3" a="1"/>
  <c r="A58" i="3" s="1"/>
  <c r="B59" i="3" a="1"/>
  <c r="B59" i="3" s="1"/>
  <c r="Q59" i="3" s="1"/>
  <c r="A59" i="3" a="1"/>
  <c r="A59" i="3" s="1"/>
  <c r="B49" i="6" a="1"/>
  <c r="B49" i="6" s="1"/>
  <c r="Q49" i="6" s="1"/>
  <c r="B64" i="16" a="1"/>
  <c r="B64" i="16" s="1"/>
  <c r="Q64" i="16" s="1"/>
  <c r="B10" i="14" a="1"/>
  <c r="B10" i="14" s="1"/>
  <c r="B82" i="6" a="1"/>
  <c r="B82" i="6" s="1"/>
  <c r="B81" i="6" a="1"/>
  <c r="B81" i="6" s="1"/>
  <c r="B50" i="6" a="1"/>
  <c r="B50" i="6" s="1"/>
  <c r="B12" i="6" a="1"/>
  <c r="B12" i="6" s="1"/>
  <c r="Q12" i="6" s="1"/>
  <c r="B14" i="6" a="1"/>
  <c r="B14" i="6" s="1"/>
  <c r="Q14" i="6" s="1"/>
  <c r="B16" i="6" a="1"/>
  <c r="B16" i="6" s="1"/>
  <c r="Q16" i="6" s="1"/>
  <c r="B80" i="6" a="1"/>
  <c r="B80" i="6" s="1"/>
  <c r="B83" i="6" a="1"/>
  <c r="B83" i="6" s="1"/>
  <c r="B52" i="6" a="1"/>
  <c r="B52" i="6" s="1"/>
  <c r="B51" i="6" a="1"/>
  <c r="B51" i="6" s="1"/>
  <c r="B84" i="6" a="1"/>
  <c r="B84" i="6" s="1"/>
  <c r="Q84" i="6" s="1"/>
  <c r="B15" i="6" a="1"/>
  <c r="B15" i="6" s="1"/>
  <c r="Q15" i="6" s="1"/>
  <c r="B85" i="6" a="1"/>
  <c r="B85" i="6" s="1"/>
  <c r="Q85" i="6" s="1"/>
  <c r="B39" i="15" a="1"/>
  <c r="B39" i="15" s="1"/>
  <c r="Q39" i="15" s="1"/>
  <c r="B12" i="14" a="1"/>
  <c r="B12" i="14" s="1"/>
  <c r="Q12" i="14" s="1"/>
  <c r="B60" i="14" a="1"/>
  <c r="B60" i="14" s="1"/>
  <c r="Q60" i="14" s="1"/>
  <c r="J6" i="11"/>
  <c r="J79" i="3"/>
  <c r="J13" i="3"/>
  <c r="J6" i="3"/>
  <c r="A10" i="3" s="1" a="1"/>
  <c r="A10" i="3" s="1"/>
  <c r="S72" i="11"/>
  <c r="J72" i="11" s="1"/>
  <c r="S52" i="3"/>
  <c r="J52" i="3" s="1"/>
  <c r="S21" i="11"/>
  <c r="J21" i="11" s="1"/>
  <c r="S38" i="11"/>
  <c r="J38" i="11" s="1"/>
  <c r="S83" i="11"/>
  <c r="J83" i="11" s="1"/>
  <c r="S59" i="11"/>
  <c r="J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S12" i="11"/>
  <c r="J12" i="11" s="1"/>
  <c r="S52" i="11"/>
  <c r="J52" i="11" s="1"/>
  <c r="S46" i="11"/>
  <c r="J46" i="11" s="1"/>
  <c r="S34" i="11"/>
  <c r="J34" i="11" s="1"/>
  <c r="S15" i="11"/>
  <c r="J15" i="11" s="1"/>
  <c r="S81" i="11"/>
  <c r="J81" i="11" s="1"/>
  <c r="S92" i="11"/>
  <c r="J92" i="11" s="1"/>
  <c r="S74" i="11"/>
  <c r="J74" i="11" s="1"/>
  <c r="S25" i="11"/>
  <c r="J25" i="11" s="1"/>
  <c r="S61" i="11"/>
  <c r="J61" i="11" s="1"/>
  <c r="S41" i="11"/>
  <c r="J41" i="11" s="1"/>
  <c r="S44" i="11"/>
  <c r="J44" i="11" s="1"/>
  <c r="S94" i="11"/>
  <c r="J94" i="11" s="1"/>
  <c r="S23" i="11"/>
  <c r="J23" i="11" s="1"/>
  <c r="S87" i="11"/>
  <c r="J87" i="11" s="1"/>
  <c r="S80" i="3"/>
  <c r="J80" i="3" s="1"/>
  <c r="S39" i="3"/>
  <c r="J39" i="3" s="1"/>
  <c r="S37" i="3"/>
  <c r="J37" i="3" s="1"/>
  <c r="S44" i="3"/>
  <c r="J44" i="3" s="1"/>
  <c r="S66" i="3"/>
  <c r="J66" i="3" s="1"/>
  <c r="S41" i="3"/>
  <c r="J41" i="3" s="1"/>
  <c r="S59" i="3"/>
  <c r="J59" i="3" s="1"/>
  <c r="S19" i="3"/>
  <c r="J19" i="3" s="1"/>
  <c r="S78" i="3"/>
  <c r="J78" i="3" s="1"/>
  <c r="S36" i="3"/>
  <c r="J36" i="3" s="1"/>
  <c r="S11" i="3"/>
  <c r="J11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G23" i="17"/>
  <c r="H23" i="17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G39" i="17"/>
  <c r="H39" i="17" s="1"/>
  <c r="S89" i="3"/>
  <c r="J89" i="3" s="1"/>
  <c r="G5" i="17"/>
  <c r="H5" i="17" s="1"/>
  <c r="C28" i="17"/>
  <c r="D28" i="17" s="1"/>
  <c r="G64" i="17"/>
  <c r="H64" i="17" s="1"/>
  <c r="E17" i="17"/>
  <c r="F17" i="17" s="1"/>
  <c r="E57" i="17"/>
  <c r="F57" i="17" s="1"/>
  <c r="G19" i="17"/>
  <c r="H19" i="17" s="1"/>
  <c r="G22" i="17"/>
  <c r="H22" i="17" s="1"/>
  <c r="G35" i="17"/>
  <c r="H35" i="17" s="1"/>
  <c r="Q57" i="14" l="1"/>
  <c r="Q59" i="14"/>
  <c r="E11" i="17" s="1"/>
  <c r="Q56" i="14"/>
  <c r="Q58" i="14"/>
  <c r="Q10" i="14"/>
  <c r="Q3" i="14"/>
  <c r="Q5" i="14"/>
  <c r="Q6" i="14"/>
  <c r="Q4" i="14"/>
  <c r="Q51" i="6"/>
  <c r="Q83" i="6"/>
  <c r="Q80" i="6"/>
  <c r="Q50" i="6"/>
  <c r="Q81" i="6"/>
  <c r="Q82" i="6"/>
  <c r="Q3" i="6"/>
  <c r="Q52" i="6"/>
  <c r="Q4" i="6"/>
  <c r="Q5" i="6"/>
  <c r="A7" i="11" a="1"/>
  <c r="A7" i="11" s="1"/>
  <c r="A79" i="3" a="1"/>
  <c r="A79" i="3" s="1"/>
  <c r="B10" i="3" a="1"/>
  <c r="B10" i="3" s="1"/>
  <c r="Q10" i="3" s="1"/>
  <c r="A88" i="3" a="1"/>
  <c r="A88" i="3" s="1"/>
  <c r="C37" i="17"/>
  <c r="D37" i="17" s="1"/>
  <c r="A9" i="11" a="1"/>
  <c r="A9" i="11" s="1"/>
  <c r="A5" i="11" a="1"/>
  <c r="A5" i="11" s="1"/>
  <c r="A8" i="3" a="1"/>
  <c r="A8" i="3" s="1"/>
  <c r="A9" i="3" a="1"/>
  <c r="A9" i="3" s="1"/>
  <c r="E64" i="17"/>
  <c r="F64" i="17" s="1"/>
  <c r="E37" i="17"/>
  <c r="A6" i="11" a="1"/>
  <c r="A6" i="11" s="1"/>
  <c r="A3" i="11" a="1"/>
  <c r="A3" i="11" s="1"/>
  <c r="A4" i="11" a="1"/>
  <c r="A4" i="11" s="1"/>
  <c r="A71" i="11" a="1"/>
  <c r="A71" i="11" s="1"/>
  <c r="B74" i="11" a="1"/>
  <c r="B74" i="11" s="1"/>
  <c r="A73" i="11" a="1"/>
  <c r="A73" i="11" s="1"/>
  <c r="A72" i="11" a="1"/>
  <c r="A72" i="11" s="1"/>
  <c r="A93" i="11" a="1"/>
  <c r="A93" i="11" s="1"/>
  <c r="A7" i="3" a="1"/>
  <c r="A7" i="3" s="1"/>
  <c r="A5" i="3" a="1"/>
  <c r="A5" i="3" s="1"/>
  <c r="A6" i="3" a="1"/>
  <c r="A6" i="3" s="1"/>
  <c r="A3" i="3" a="1"/>
  <c r="A3" i="3" s="1"/>
  <c r="A4" i="3" a="1"/>
  <c r="A4" i="3" s="1"/>
  <c r="B10" i="11" a="1"/>
  <c r="B10" i="11" s="1"/>
  <c r="Q10" i="11" s="1"/>
  <c r="B6" i="11" a="1"/>
  <c r="B6" i="11" s="1"/>
  <c r="B71" i="11" a="1"/>
  <c r="B71" i="11" s="1"/>
  <c r="B4" i="11" a="1"/>
  <c r="B4" i="11" s="1"/>
  <c r="B5" i="11" a="1"/>
  <c r="B5" i="11" s="1"/>
  <c r="B3" i="11" a="1"/>
  <c r="B3" i="11" s="1"/>
  <c r="B93" i="11" a="1"/>
  <c r="B93" i="11" s="1"/>
  <c r="Q93" i="11" s="1"/>
  <c r="B9" i="11" a="1"/>
  <c r="B9" i="11" s="1"/>
  <c r="Q9" i="11" s="1"/>
  <c r="B73" i="11" a="1"/>
  <c r="B73" i="11" s="1"/>
  <c r="B8" i="11" a="1"/>
  <c r="B8" i="11" s="1"/>
  <c r="Q8" i="11" s="1"/>
  <c r="B72" i="11" a="1"/>
  <c r="B72" i="11" s="1"/>
  <c r="B7" i="11" a="1"/>
  <c r="B7" i="11" s="1"/>
  <c r="Q7" i="11" s="1"/>
  <c r="B8" i="3" a="1"/>
  <c r="B8" i="3" s="1"/>
  <c r="Q8" i="3" s="1"/>
  <c r="B11" i="3" a="1"/>
  <c r="B11" i="3" s="1"/>
  <c r="Q11" i="3" s="1"/>
  <c r="B12" i="3" a="1"/>
  <c r="B12" i="3" s="1"/>
  <c r="Q12" i="3" s="1"/>
  <c r="B79" i="3" a="1"/>
  <c r="B79" i="3" s="1"/>
  <c r="Q79" i="3" s="1"/>
  <c r="B88" i="3" a="1"/>
  <c r="B88" i="3" s="1"/>
  <c r="Q88" i="3" s="1"/>
  <c r="B9" i="3" a="1"/>
  <c r="B9" i="3" s="1"/>
  <c r="Q9" i="3" s="1"/>
  <c r="B6" i="3" a="1"/>
  <c r="B6" i="3" s="1"/>
  <c r="B5" i="3" a="1"/>
  <c r="B5" i="3" s="1"/>
  <c r="B7" i="3" a="1"/>
  <c r="B7" i="3" s="1"/>
  <c r="Q7" i="3" s="1"/>
  <c r="B4" i="3" a="1"/>
  <c r="B4" i="3" s="1"/>
  <c r="B3" i="3" a="1"/>
  <c r="B3" i="3" s="1"/>
  <c r="E76" i="17"/>
  <c r="E26" i="17"/>
  <c r="E5" i="17"/>
  <c r="G63" i="17"/>
  <c r="H63" i="17" s="1"/>
  <c r="G73" i="17"/>
  <c r="H73" i="17" s="1"/>
  <c r="G47" i="17"/>
  <c r="E47" i="17"/>
  <c r="F47" i="17" s="1"/>
  <c r="C17" i="17"/>
  <c r="D17" i="17" s="1"/>
  <c r="D186" i="2" a="1"/>
  <c r="D186" i="2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G10" i="17"/>
  <c r="E54" i="17"/>
  <c r="F54" i="17" s="1"/>
  <c r="E42" i="17"/>
  <c r="F42" i="17" s="1"/>
  <c r="E49" i="17"/>
  <c r="F49" i="17" s="1"/>
  <c r="G71" i="17"/>
  <c r="G58" i="17"/>
  <c r="C35" i="17"/>
  <c r="D35" i="17" s="1"/>
  <c r="C14" i="17"/>
  <c r="G72" i="17"/>
  <c r="H72" i="17" s="1"/>
  <c r="G59" i="17"/>
  <c r="H59" i="17" s="1"/>
  <c r="G70" i="17"/>
  <c r="H70" i="17" s="1"/>
  <c r="G31" i="17"/>
  <c r="H31" i="17" s="1"/>
  <c r="G48" i="17"/>
  <c r="H48" i="17" s="1"/>
  <c r="G65" i="17"/>
  <c r="E27" i="17"/>
  <c r="F27" i="17" s="1"/>
  <c r="E65" i="17"/>
  <c r="F65" i="17" s="1"/>
  <c r="E2" i="17"/>
  <c r="C57" i="17"/>
  <c r="D57" i="17" s="1"/>
  <c r="C69" i="17"/>
  <c r="D69" i="17" s="1"/>
  <c r="C27" i="17"/>
  <c r="D27" i="17" s="1"/>
  <c r="C51" i="17"/>
  <c r="D51" i="17" s="1"/>
  <c r="E29" i="17"/>
  <c r="C54" i="17"/>
  <c r="D54" i="17" s="1"/>
  <c r="E31" i="17"/>
  <c r="E51" i="17"/>
  <c r="G14" i="17"/>
  <c r="H14" i="17" s="1"/>
  <c r="G60" i="17"/>
  <c r="G20" i="17"/>
  <c r="H20" i="17" s="1"/>
  <c r="E20" i="17"/>
  <c r="F20" i="17" s="1"/>
  <c r="G66" i="17"/>
  <c r="H66" i="17" s="1"/>
  <c r="C71" i="17"/>
  <c r="D71" i="17" s="1"/>
  <c r="C50" i="17"/>
  <c r="D50" i="17" s="1"/>
  <c r="E69" i="17"/>
  <c r="C20" i="17"/>
  <c r="D20" i="17" s="1"/>
  <c r="C52" i="17"/>
  <c r="D52" i="17" s="1"/>
  <c r="E72" i="17"/>
  <c r="F72" i="17" s="1"/>
  <c r="E66" i="17"/>
  <c r="F66" i="17" s="1"/>
  <c r="E3" i="17"/>
  <c r="F3" i="17" s="1"/>
  <c r="E73" i="17"/>
  <c r="F73" i="17" s="1"/>
  <c r="E35" i="17"/>
  <c r="F35" i="17" s="1"/>
  <c r="G68" i="17"/>
  <c r="G27" i="17"/>
  <c r="H27" i="17" s="1"/>
  <c r="G41" i="17"/>
  <c r="C76" i="17"/>
  <c r="D76" i="17" s="1"/>
  <c r="Q73" i="11" l="1"/>
  <c r="Q5" i="11"/>
  <c r="Q6" i="11"/>
  <c r="Q71" i="11"/>
  <c r="Q4" i="11"/>
  <c r="Q72" i="11"/>
  <c r="Q3" i="11"/>
  <c r="Q74" i="11"/>
  <c r="Q4" i="3"/>
  <c r="Q5" i="3"/>
  <c r="Q6" i="3"/>
  <c r="Q3" i="3"/>
  <c r="C24" i="17"/>
  <c r="D24" i="17" s="1"/>
  <c r="F2" i="17"/>
  <c r="E25" i="17"/>
  <c r="E63" i="17"/>
  <c r="E70" i="17"/>
  <c r="E48" i="17"/>
  <c r="E74" i="17"/>
  <c r="G32" i="17"/>
  <c r="H32" i="17" s="1"/>
  <c r="G18" i="17"/>
  <c r="E23" i="17"/>
  <c r="F23" i="17" s="1"/>
  <c r="E36" i="17"/>
  <c r="F36" i="17" s="1"/>
  <c r="C61" i="17"/>
  <c r="D61" i="17" s="1"/>
  <c r="C7" i="17"/>
  <c r="D7" i="17" s="1"/>
  <c r="E50" i="17"/>
  <c r="F50" i="17" s="1"/>
  <c r="E41" i="17"/>
  <c r="E61" i="17"/>
  <c r="E71" i="17"/>
  <c r="G16" i="17"/>
  <c r="H16" i="17" s="1"/>
  <c r="C70" i="17"/>
  <c r="C11" i="17"/>
  <c r="D11" i="17" s="1"/>
  <c r="C15" i="17"/>
  <c r="D15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62" i="17"/>
  <c r="E60" i="17"/>
  <c r="E22" i="17"/>
  <c r="C48" i="17"/>
  <c r="C66" i="17"/>
  <c r="D66" i="17" s="1"/>
  <c r="C12" i="17"/>
  <c r="G36" i="17"/>
  <c r="H36" i="17" s="1"/>
  <c r="G29" i="17"/>
  <c r="H29" i="17" s="1"/>
  <c r="E6" i="17"/>
  <c r="G40" i="17"/>
  <c r="H40" i="17" s="1"/>
  <c r="G51" i="17"/>
  <c r="G44" i="17"/>
  <c r="G45" i="17"/>
  <c r="G34" i="17"/>
  <c r="H34" i="17" s="1"/>
  <c r="G50" i="17"/>
  <c r="H50" i="17" s="1"/>
  <c r="G69" i="17"/>
  <c r="G61" i="17"/>
  <c r="H61" i="17" s="1"/>
  <c r="G11" i="17"/>
  <c r="G6" i="17"/>
  <c r="E32" i="17"/>
  <c r="F32" i="17" s="1"/>
  <c r="E34" i="17"/>
  <c r="E44" i="17"/>
  <c r="E59" i="17"/>
  <c r="E39" i="17"/>
  <c r="F39" i="17" s="1"/>
  <c r="E14" i="17"/>
  <c r="E10" i="17"/>
  <c r="F10" i="17" s="1"/>
  <c r="E7" i="17"/>
  <c r="E45" i="17"/>
  <c r="C39" i="17"/>
  <c r="D39" i="17" s="1"/>
  <c r="C60" i="17"/>
  <c r="D60" i="17" s="1"/>
  <c r="C74" i="17"/>
  <c r="C65" i="17"/>
  <c r="C40" i="17"/>
  <c r="E68" i="17"/>
  <c r="C36" i="17"/>
  <c r="G21" i="17"/>
  <c r="E40" i="17"/>
  <c r="E30" i="17"/>
  <c r="E18" i="17"/>
  <c r="G52" i="17"/>
  <c r="G49" i="17"/>
  <c r="E16" i="17"/>
  <c r="G57" i="17"/>
  <c r="E52" i="17"/>
  <c r="E21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16" i="17" l="1"/>
  <c r="C29" i="17"/>
  <c r="H41" i="17"/>
  <c r="H6" i="17"/>
  <c r="H47" i="17"/>
  <c r="F74" i="17"/>
  <c r="F37" i="17"/>
  <c r="F41" i="17"/>
  <c r="F48" i="17"/>
  <c r="F61" i="17"/>
  <c r="F5" i="17"/>
  <c r="F63" i="17"/>
  <c r="F25" i="17"/>
  <c r="F31" i="17"/>
  <c r="F26" i="17"/>
  <c r="C32" i="17"/>
  <c r="C26" i="17"/>
  <c r="D26" i="17" s="1"/>
  <c r="C44" i="17"/>
  <c r="D44" i="17" s="1"/>
  <c r="C25" i="17"/>
  <c r="D25" i="17" s="1"/>
  <c r="C56" i="17"/>
  <c r="H58" i="17"/>
  <c r="H10" i="17"/>
  <c r="F22" i="17"/>
  <c r="F76" i="17"/>
  <c r="H18" i="17"/>
  <c r="H44" i="17"/>
  <c r="F14" i="17"/>
  <c r="F34" i="17"/>
  <c r="F7" i="17"/>
  <c r="H45" i="17"/>
  <c r="F45" i="17"/>
  <c r="F60" i="17"/>
  <c r="F71" i="17"/>
  <c r="H71" i="17"/>
  <c r="F62" i="17"/>
  <c r="F11" i="17"/>
  <c r="F69" i="17"/>
  <c r="F70" i="17"/>
  <c r="F29" i="17"/>
  <c r="F30" i="17"/>
  <c r="F59" i="17"/>
  <c r="H11" i="17"/>
  <c r="F44" i="17"/>
  <c r="F18" i="17"/>
  <c r="F21" i="17"/>
  <c r="F6" i="17"/>
  <c r="F52" i="17"/>
  <c r="F40" i="17"/>
  <c r="F16" i="17"/>
  <c r="F68" i="17"/>
  <c r="F51" i="17"/>
  <c r="H49" i="17"/>
  <c r="H57" i="17"/>
  <c r="H21" i="17"/>
  <c r="H65" i="17"/>
  <c r="H68" i="17"/>
  <c r="H51" i="17"/>
  <c r="H60" i="17"/>
  <c r="H52" i="17"/>
  <c r="H69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41" i="17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31" i="17" l="1"/>
  <c r="D31" i="17" s="1"/>
  <c r="C68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72" i="17"/>
  <c r="C59" i="17"/>
  <c r="D59" i="17" s="1"/>
  <c r="C63" i="17" l="1"/>
  <c r="C45" i="17"/>
  <c r="C18" i="17"/>
  <c r="C21" i="17"/>
  <c r="D21" i="17" s="1"/>
  <c r="C30" i="17"/>
  <c r="C19" i="17"/>
  <c r="C10" i="17"/>
  <c r="D10" i="17" s="1"/>
  <c r="D6" i="17"/>
  <c r="C22" i="17"/>
  <c r="C62" i="17"/>
  <c r="C34" i="17"/>
  <c r="D34" i="17" s="1"/>
  <c r="D29" i="17" l="1"/>
  <c r="D41" i="17"/>
  <c r="D65" i="17"/>
  <c r="D74" i="17"/>
  <c r="D16" i="17"/>
  <c r="D12" i="17"/>
  <c r="D14" i="17"/>
  <c r="D45" i="17"/>
  <c r="D72" i="17"/>
  <c r="D18" i="17"/>
  <c r="D32" i="17"/>
  <c r="D48" i="17"/>
  <c r="D30" i="17"/>
  <c r="D40" i="17"/>
  <c r="D22" i="17"/>
  <c r="D36" i="17"/>
  <c r="D19" i="17"/>
  <c r="D68" i="17"/>
  <c r="D56" i="17"/>
  <c r="D70" i="17"/>
  <c r="D63" i="17"/>
  <c r="D6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<sst xmlns="http://schemas.openxmlformats.org/spreadsheetml/2006/main" count="2342" uniqueCount="509">
  <si>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</si>
  <si>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</si>
  <si>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</si>
  <si>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</si>
  <si>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</si>
  <si>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</si>
  <si>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</si>
  <si>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</si>
  <si>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</si>
  <si>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</si>
  <si>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</si>
  <si>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</si>
  <si>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</si>
  <si>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</si>
  <si>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</si>
  <si>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</si>
  <si>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</si>
  <si>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</si>
  <si>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</si>
  <si>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</si>
  <si>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</si>
  <si>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</si>
  <si>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</si>
  <si>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</si>
  <si>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</si>
  <si>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</si>
  <si>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</si>
  <si>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</si>
  <si>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</si>
  <si>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</si>
  <si>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</si>
  <si>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</si>
  <si>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</si>
  <si>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</si>
  <si>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</si>
  <si>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</si>
  <si>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</si>
  <si>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</si>
  <si>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</si>
  <si>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</si>
  <si>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</si>
  <si>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</si>
  <si>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</si>
  <si>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</si>
  <si>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</si>
  <si>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</si>
  <si>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</si>
  <si>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</si>
  <si>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</si>
  <si>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</si>
  <si>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</si>
  <si>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</si>
  <si>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</si>
  <si>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</si>
  <si>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</si>
  <si>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</si>
  <si>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</si>
  <si>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</si>
  <si>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</si>
  <si>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</si>
  <si>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</si>
  <si>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</si>
  <si>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</si>
  <si>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</si>
  <si>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</si>
  <si>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</si>
  <si>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</si>
  <si>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</si>
  <si>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</si>
  <si>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</si>
  <si>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</si>
  <si>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</si>
  <si>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</si>
  <si>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</si>
  <si>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</si>
  <si>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</si>
  <si>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</si>
  <si>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</si>
  <si>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</si>
  <si>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</si>
  <si>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</si>
  <si>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</si>
  <si>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</si>
  <si>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</si>
  <si>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</si>
  <si>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</si>
  <si>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</si>
  <si>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</si>
  <si>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</si>
  <si>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</si>
  <si>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</si>
  <si>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</si>
  <si>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</si>
  <si>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</si>
  <si>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</si>
  <si>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</si>
  <si>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</si>
  <si>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</si>
  <si>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</si>
  <si>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</si>
  <si>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</si>
  <si>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</si>
  <si>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</si>
  <si>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</si>
  <si>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</si>
  <si>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</si>
  <si>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</si>
  <si>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</si>
  <si>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</si>
  <si>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</si>
  <si>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</si>
  <si>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</si>
  <si>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</si>
  <si>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</si>
  <si>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</si>
  <si>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</si>
  <si>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</si>
  <si>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</si>
  <si>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</si>
  <si>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</si>
  <si>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</si>
  <si>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</si>
  <si>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</si>
  <si>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</si>
  <si>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</si>
  <si>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</si>
  <si>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</si>
  <si>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</si>
  <si>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</si>
  <si>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</si>
  <si>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</si>
  <si>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</si>
  <si>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</si>
  <si>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</si>
  <si>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</si>
  <si>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</si>
  <si>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</si>
  <si>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</si>
  <si>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</si>
  <si>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</si>
  <si>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</si>
  <si>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</si>
  <si>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</si>
  <si>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</si>
  <si>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</si>
  <si>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</si>
  <si>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</si>
  <si>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</si>
  <si>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</si>
  <si>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</si>
  <si>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</si>
  <si>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</si>
  <si>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</si>
  <si>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</si>
  <si>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</si>
  <si>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</si>
  <si>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</si>
  <si>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</si>
  <si>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</si>
  <si>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</si>
  <si>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</si>
  <si>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</si>
  <si>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</si>
  <si>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</si>
  <si>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</si>
  <si>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</si>
  <si>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</si>
  <si>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</si>
  <si>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</si>
  <si>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</si>
  <si>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</si>
  <si>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</si>
  <si>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</si>
  <si>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</si>
  <si>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</si>
  <si>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</si>
  <si>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</si>
  <si>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</si>
  <si>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</si>
  <si>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</si>
  <si>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</si>
  <si>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</si>
  <si>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</si>
  <si>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</si>
  <si>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</si>
  <si>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</si>
  <si>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</si>
  <si>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</si>
  <si>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</si>
  <si>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</si>
  <si>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</si>
  <si>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</si>
  <si>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</si>
  <si>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</si>
  <si>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</si>
  <si>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</si>
  <si>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</si>
  <si>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</si>
  <si>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</si>
  <si>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</si>
  <si>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</si>
  <si>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</si>
  <si>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</si>
  <si>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</si>
  <si>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</si>
  <si>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</si>
  <si>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</si>
  <si>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</si>
  <si>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</si>
  <si>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</si>
  <si>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</si>
  <si>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</si>
  <si>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</si>
  <si>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</si>
  <si>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</si>
  <si>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</si>
  <si>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</si>
  <si>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</si>
  <si>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</si>
  <si>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</si>
  <si>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</si>
  <si>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</si>
  <si>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</si>
  <si>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</si>
  <si>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</si>
  <si>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</si>
  <si>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</si>
  <si>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</si>
  <si>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</si>
  <si>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</si>
  <si>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</si>
  <si>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</si>
  <si>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</si>
  <si>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</si>
  <si>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</si>
  <si>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</si>
  <si>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</si>
  <si>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</si>
  <si>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</si>
  <si>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</si>
  <si>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</si>
  <si>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</si>
  <si>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</si>
  <si>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</si>
  <si>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</si>
  <si>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</si>
  <si>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</si>
  <si>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</si>
  <si>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</si>
  <si>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</si>
  <si>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</si>
  <si>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</si>
  <si>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</si>
  <si>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</si>
  <si>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</si>
  <si>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</si>
  <si>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</si>
  <si>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</si>
  <si>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</si>
  <si>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</si>
  <si>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</si>
  <si>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</si>
  <si>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</si>
  <si>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</si>
  <si>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</si>
  <si>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</si>
  <si>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</si>
  <si>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</si>
  <si>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</si>
  <si>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</si>
  <si>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</si>
  <si>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</si>
  <si>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</si>
  <si>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</si>
  <si>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</si>
  <si>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</si>
  <si>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</si>
  <si>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</si>
  <si>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</si>
  <si>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</si>
  <si>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</si>
  <si>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</si>
  <si>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</si>
  <si>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</si>
  <si>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</si>
  <si>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</si>
  <si>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</si>
  <si>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</si>
  <si>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</si>
  <si>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</si>
  <si>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</si>
  <si>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</si>
  <si>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</si>
  <si>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</si>
  <si>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</si>
  <si>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</si>
  <si>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</si>
  <si>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</si>
  <si>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</si>
  <si>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</si>
  <si>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</si>
  <si>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</si>
  <si>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</si>
  <si>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</si>
  <si>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</si>
  <si>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</si>
  <si>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</si>
  <si>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</si>
  <si>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</si>
  <si>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</si>
  <si>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</si>
  <si>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</si>
  <si>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</si>
  <si>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</si>
  <si>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</si>
  <si>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</si>
  <si>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</si>
  <si>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</si>
  <si>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</si>
  <si>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</si>
  <si>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</si>
  <si>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</si>
  <si>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</si>
  <si>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</si>
  <si>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</si>
  <si>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</si>
  <si>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</si>
  <si>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</si>
  <si>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</si>
  <si>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</si>
  <si>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</si>
  <si>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</si>
  <si>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</si>
  <si>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</si>
  <si>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</si>
  <si>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</si>
  <si>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</si>
  <si>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</si>
  <si>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</si>
  <si>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</si>
  <si>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</si>
  <si>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</si>
  <si>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</si>
  <si>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</si>
  <si>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</si>
  <si>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</si>
  <si>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</si>
  <si>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</si>
  <si>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</si>
  <si>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</si>
  <si>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</si>
  <si>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</si>
  <si>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</si>
  <si>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</si>
  <si>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</si>
  <si>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</si>
  <si>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</si>
  <si>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</si>
  <si>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</si>
  <si>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</si>
  <si>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</si>
  <si>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</si>
  <si>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</si>
  <si>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</si>
  <si>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</si>
  <si>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</si>
  <si>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</si>
  <si>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</si>
  <si>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</si>
  <si>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</si>
  <si>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</si>
  <si>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</si>
  <si>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</si>
  <si>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</si>
  <si>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</si>
  <si>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</si>
  <si>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</si>
  <si>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</si>
  <si>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</si>
  <si>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</si>
  <si>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</si>
  <si>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</si>
  <si>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</si>
  <si>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</si>
  <si>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</si>
  <si>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</si>
  <si>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</si>
  <si>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</si>
  <si>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</si>
  <si>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</si>
  <si>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</si>
  <si>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</si>
  <si>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</si>
  <si>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</si>
  <si>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</si>
  <si>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</si>
  <si>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</si>
  <si>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</si>
  <si>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</si>
  <si>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</si>
  <si>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</si>
  <si>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</si>
  <si>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</si>
  <si>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</si>
  <si>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</si>
  <si>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</si>
  <si>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</si>
  <si>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</si>
  <si>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</si>
  <si>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</si>
  <si>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</si>
  <si>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</si>
  <si>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</si>
  <si>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</si>
  <si>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</si>
  <si>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</si>
  <si>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</si>
  <si>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</si>
  <si>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</si>
  <si>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</si>
  <si>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</si>
  <si>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</si>
  <si>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</si>
  <si>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</si>
  <si>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</si>
  <si>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</si>
  <si>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</si>
  <si>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</si>
  <si>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</si>
  <si>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</si>
  <si>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</si>
  <si>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</si>
  <si>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</si>
  <si>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</si>
  <si>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</si>
  <si>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</si>
  <si>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</si>
  <si>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</si>
  <si>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</si>
  <si>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</si>
  <si>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</si>
  <si>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</si>
  <si>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</si>
  <si>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</si>
  <si>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</si>
  <si>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</si>
  <si>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</si>
  <si>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</si>
  <si>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</si>
  <si>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</si>
  <si>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</si>
  <si>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</si>
  <si>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</si>
  <si>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</si>
  <si>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</si>
  <si>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</si>
  <si>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</si>
  <si>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</si>
  <si>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</si>
  <si>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</si>
  <si>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</si>
  <si>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</si>
  <si>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</si>
  <si>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</si>
  <si>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</si>
  <si>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</si>
  <si>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</si>
  <si>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</si>
  <si>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</si>
  <si>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</si>
  <si>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</si>
  <si>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</si>
  <si>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</si>
  <si>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</si>
  <si>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</si>
  <si>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</si>
  <si>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</si>
  <si>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</si>
  <si>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</si>
  <si>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</si>
  <si>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</si>
  <si>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</si>
  <si>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</si>
  <si>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</si>
  <si>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</si>
  <si>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</si>
  <si>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</si>
  <si>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</si>
  <si>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</si>
  <si>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</si>
  <si>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</si>
  <si>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</si>
  <si>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</si>
  <si>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</si>
  <si>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</si>
  <si>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</si>
  <si>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</si>
  <si>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</si>
  <si>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</si>
  <si>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</si>
  <si>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</si>
  <si>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</si>
  <si>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Muskoka</t>
  </si>
  <si>
    <t>Kids Supergym Aurora</t>
  </si>
  <si>
    <t>Beausejour Gymnos</t>
  </si>
  <si>
    <t>Campiagile</t>
  </si>
  <si>
    <t>Shergym</t>
  </si>
  <si>
    <t>P</t>
  </si>
  <si>
    <t>Added Intent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</si>
</sst>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x14ac:dyDescent="0.2">
      <c r="A26" s="53" t="str">
        <f t="shared" si="0"/>
        <v>TRA-M</v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>CLOUTIER, Étienne</v>
      </c>
    </row>
    <row r="27" spans="1:4" x14ac:dyDescent="0.2">
      <c r="A27" s="53" t="str">
        <f t="shared" si="0"/>
        <v>TRA-M</v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>BEAULIEU, Alex</v>
      </c>
    </row>
    <row r="28" spans="1:4" x14ac:dyDescent="0.2">
      <c r="A28" s="53" t="str">
        <f t="shared" si="0"/>
        <v>TRA-M</v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>ADJEMIAN, Alexan</v>
      </c>
    </row>
    <row r="29" spans="1:4" x14ac:dyDescent="0.2">
      <c r="A29" s="53" t="str">
        <f t="shared" si="0"/>
        <v>TRA-M</v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>CYMAN, Cody</v>
      </c>
    </row>
    <row r="30" spans="1:4" x14ac:dyDescent="0.2">
      <c r="A30" s="53" t="str">
        <f t="shared" si="0"/>
        <v>TRA-M</v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>VIAU, Nathan</v>
      </c>
    </row>
    <row r="31" spans="1:4" x14ac:dyDescent="0.2">
      <c r="A31" s="53" t="str">
        <f t="shared" si="0"/>
        <v>TRA-M</v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>BOURGAULT-FOURNIER, Alexis</v>
      </c>
    </row>
    <row r="32" spans="1:4" x14ac:dyDescent="0.2">
      <c r="A32" s="53" t="str">
        <f t="shared" si="0"/>
        <v>TRA-M</v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>THOMPSON, Derek</v>
      </c>
    </row>
    <row r="33" spans="1:4" x14ac:dyDescent="0.2">
      <c r="A33" s="53" t="str">
        <f t="shared" si="0"/>
        <v>TRA-M</v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>MALLAIS, Rylan</v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x14ac:dyDescent="0.2">
      <c r="A50" s="54" t="str">
        <f t="shared" si="1"/>
        <v>TRA-W</v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>LEPORÉ, Amylia</v>
      </c>
    </row>
    <row r="51" spans="1:4" x14ac:dyDescent="0.2">
      <c r="A51" s="54" t="str">
        <f t="shared" si="1"/>
        <v>TRA-W</v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>LEE-MCMEEKEN, Brooklyn</v>
      </c>
    </row>
    <row r="52" spans="1:4" x14ac:dyDescent="0.2">
      <c r="A52" s="54" t="str">
        <f t="shared" si="1"/>
        <v>TRA-W</v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>SLUGA, Arianna</v>
      </c>
    </row>
    <row r="53" spans="1:4" x14ac:dyDescent="0.2">
      <c r="A53" s="54" t="str">
        <f t="shared" si="1"/>
        <v>TRA-W</v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>GOOD, Hayden</v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x14ac:dyDescent="0.2">
      <c r="A58" s="54" t="str">
        <f t="shared" si="1"/>
        <v>TRA-W</v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>CORRIVEAU, Mélina</v>
      </c>
    </row>
    <row r="59" spans="1:4" x14ac:dyDescent="0.2">
      <c r="A59" s="54" t="str">
        <f t="shared" si="1"/>
        <v>TRA-W</v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>BONNE, Rielle</v>
      </c>
    </row>
    <row r="60" spans="1:4" x14ac:dyDescent="0.2">
      <c r="A60" s="54" t="str">
        <f t="shared" si="1"/>
        <v>TRA-W</v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>JAMES, Roshni</v>
      </c>
    </row>
    <row r="61" spans="1:4" x14ac:dyDescent="0.2">
      <c r="A61" s="54" t="str">
        <f t="shared" si="1"/>
        <v>TRA-W</v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>KUZNAK, Sienna</v>
      </c>
    </row>
    <row r="62" spans="1:4" x14ac:dyDescent="0.2">
      <c r="A62" s="54" t="str">
        <f t="shared" si="1"/>
        <v>TRA-W</v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>PINNOCK, Liana</v>
      </c>
    </row>
    <row r="63" spans="1:4" x14ac:dyDescent="0.2">
      <c r="A63" s="54" t="str">
        <f t="shared" si="1"/>
        <v>TRA-W</v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>SCHMIDT, Jordyn</v>
      </c>
    </row>
    <row r="64" spans="1:4" x14ac:dyDescent="0.2">
      <c r="A64" s="54" t="str">
        <f t="shared" si="1"/>
        <v>TRA-W</v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>GOODMAN, Fleur</v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x14ac:dyDescent="0.2">
      <c r="A78" s="53" t="str">
        <f t="shared" si="2"/>
        <v>SYN-M</v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>CLOUTIER &amp; VIAU</v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x14ac:dyDescent="0.2">
      <c r="A94" s="54" t="str">
        <f t="shared" si="3"/>
        <v>SYN-W</v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>BONNE &amp; CORRIVEAU</v>
      </c>
    </row>
    <row r="95" spans="1:4" x14ac:dyDescent="0.2">
      <c r="A95" s="54" t="str">
        <f t="shared" si="3"/>
        <v>SYN-W</v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>KUZNAK &amp; SCHMIDT</v>
      </c>
    </row>
    <row r="96" spans="1:4" x14ac:dyDescent="0.2">
      <c r="A96" s="54" t="str">
        <f t="shared" si="3"/>
        <v>SYN-W</v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>AUCOIN &amp; GADSBY</v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x14ac:dyDescent="0.2">
      <c r="A114" s="53" t="str">
        <f t="shared" si="4"/>
        <v>DMT-M</v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>OUGHTRED, Max</v>
      </c>
    </row>
    <row r="115" spans="1:4" x14ac:dyDescent="0.2">
      <c r="A115" s="53" t="str">
        <f t="shared" si="4"/>
        <v>DMT-M</v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>LANQUETIN, Yannick</v>
      </c>
    </row>
    <row r="116" spans="1:4" x14ac:dyDescent="0.2">
      <c r="A116" s="53" t="str">
        <f t="shared" si="4"/>
        <v>DMT-M</v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>JENKINSON, Bentley</v>
      </c>
    </row>
    <row r="117" spans="1:4" x14ac:dyDescent="0.2">
      <c r="A117" s="53" t="str">
        <f t="shared" si="4"/>
        <v>DMT-M</v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>MORRISON, Xavier</v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x14ac:dyDescent="0.2">
      <c r="A122" s="53" t="str">
        <f t="shared" si="4"/>
        <v>DMT-M</v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>BLOOM, Tristan</v>
      </c>
    </row>
    <row r="123" spans="1:4" x14ac:dyDescent="0.2">
      <c r="A123" s="53" t="str">
        <f t="shared" si="4"/>
        <v>DMT-M</v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>ROBERTSON, Griffyn</v>
      </c>
    </row>
    <row r="124" spans="1:4" x14ac:dyDescent="0.2">
      <c r="A124" s="53" t="str">
        <f t="shared" si="4"/>
        <v>DMT-M</v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>MALLAIS, Rylan</v>
      </c>
    </row>
    <row r="125" spans="1:4" x14ac:dyDescent="0.2">
      <c r="A125" s="53" t="str">
        <f t="shared" si="4"/>
        <v>DMT-M</v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>VIAU, Nathan</v>
      </c>
    </row>
    <row r="126" spans="1:4" x14ac:dyDescent="0.2">
      <c r="A126" s="53" t="str">
        <f t="shared" si="4"/>
        <v>DMT-M</v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>BISHOP, Brody</v>
      </c>
    </row>
    <row r="127" spans="1:4" x14ac:dyDescent="0.2">
      <c r="A127" s="53" t="str">
        <f t="shared" si="4"/>
        <v>DMT-M</v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>COUTURE, Joey</v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x14ac:dyDescent="0.2">
      <c r="A146" s="54" t="str">
        <f t="shared" si="5"/>
        <v>DMT-W</v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>LEE-MCMEEKEN, Brooklyn</v>
      </c>
    </row>
    <row r="147" spans="1:4" x14ac:dyDescent="0.2">
      <c r="A147" s="54" t="str">
        <f t="shared" si="5"/>
        <v>DMT-W</v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>GOOD, Hayden</v>
      </c>
    </row>
    <row r="148" spans="1:4" x14ac:dyDescent="0.2">
      <c r="A148" s="54" t="str">
        <f t="shared" si="5"/>
        <v>DMT-W</v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>LEPORÉ, Amylia</v>
      </c>
    </row>
    <row r="149" spans="1:4" x14ac:dyDescent="0.2">
      <c r="A149" s="54" t="str">
        <f t="shared" si="5"/>
        <v>DMT-W</v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>JEAN-LOUIS, Jayda</v>
      </c>
    </row>
    <row r="150" spans="1:4" x14ac:dyDescent="0.2">
      <c r="A150" s="54" t="str">
        <f t="shared" si="5"/>
        <v>DMT-W</v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>MACDOUGALL, Kira</v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x14ac:dyDescent="0.2">
      <c r="A154" s="54" t="str">
        <f t="shared" si="5"/>
        <v>DMT-W</v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>KUZNAK, Sienna</v>
      </c>
    </row>
    <row r="155" spans="1:4" x14ac:dyDescent="0.2">
      <c r="A155" s="54" t="str">
        <f t="shared" si="5"/>
        <v>DMT-W</v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>SCHMIDT, Jordyn</v>
      </c>
    </row>
    <row r="156" spans="1:4" x14ac:dyDescent="0.2">
      <c r="A156" s="54" t="str">
        <f t="shared" si="5"/>
        <v>DMT-W</v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>OLSEN, Brooklyn</v>
      </c>
    </row>
    <row r="157" spans="1:4" x14ac:dyDescent="0.2">
      <c r="A157" s="54" t="str">
        <f t="shared" si="5"/>
        <v>DMT-W</v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>HOWELL, Kayla</v>
      </c>
    </row>
    <row r="158" spans="1:4" x14ac:dyDescent="0.2">
      <c r="A158" s="54" t="str">
        <f t="shared" si="5"/>
        <v>DMT-W</v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>KWASNIAK, Alicja</v>
      </c>
    </row>
    <row r="159" spans="1:4" x14ac:dyDescent="0.2">
      <c r="A159" s="54" t="str">
        <f t="shared" si="5"/>
        <v>DMT-W</v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>PEPPER, Emily</v>
      </c>
    </row>
    <row r="160" spans="1:4" x14ac:dyDescent="0.2">
      <c r="A160" s="54" t="str">
        <f t="shared" si="5"/>
        <v>DMT-W</v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>SCHMIDT, Makena</v>
      </c>
    </row>
    <row r="161" spans="1:4" x14ac:dyDescent="0.2">
      <c r="A161" s="54" t="str">
        <f t="shared" si="5"/>
        <v>DMT-W</v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>ANGST, Caelyn</v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x14ac:dyDescent="0.2">
      <c r="A186" s="53" t="str">
        <f t="shared" si="6"/>
        <v>TUM-M</v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>CANUEL, Victor</v>
      </c>
    </row>
    <row r="187" spans="1:4" x14ac:dyDescent="0.2">
      <c r="A187" s="53" t="str">
        <f t="shared" si="6"/>
        <v>TUM-M</v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>PINSK, Benjamin</v>
      </c>
    </row>
    <row r="188" spans="1:4" x14ac:dyDescent="0.2">
      <c r="A188" s="53" t="str">
        <f t="shared" si="6"/>
        <v>TUM-M</v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>VIAU, Nathan</v>
      </c>
    </row>
    <row r="189" spans="1:4" x14ac:dyDescent="0.2">
      <c r="A189" s="53" t="str">
        <f t="shared" si="6"/>
        <v>TUM-M</v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>GIBBS, Gavin</v>
      </c>
    </row>
    <row r="190" spans="1:4" x14ac:dyDescent="0.2">
      <c r="A190" s="53" t="str">
        <f t="shared" si="6"/>
        <v>TUM-M</v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>BLOOM, Tristan</v>
      </c>
    </row>
    <row r="191" spans="1:4" x14ac:dyDescent="0.2">
      <c r="A191" s="53" t="str">
        <f t="shared" si="6"/>
        <v>TUM-M</v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>COUTURE, Joey</v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x14ac:dyDescent="0.2">
      <c r="A210" s="54" t="str">
        <f t="shared" si="7"/>
        <v>TUM-W</v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>HUGHES, Arya</v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x14ac:dyDescent="0.2">
      <c r="A218" s="54" t="str">
        <f t="shared" si="7"/>
        <v>TUM-W</v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>BOWDITCH, Courtney</v>
      </c>
    </row>
    <row r="219" spans="1:4" x14ac:dyDescent="0.2">
      <c r="A219" s="54" t="str">
        <f t="shared" si="7"/>
        <v>TUM-W</v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>NEWMAN, Olivia</v>
      </c>
    </row>
    <row r="220" spans="1:4" x14ac:dyDescent="0.2">
      <c r="A220" s="54" t="str">
        <f t="shared" si="7"/>
        <v>TUM-W</v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>BERGERON, Ella</v>
      </c>
    </row>
    <row r="221" spans="1:4" x14ac:dyDescent="0.2">
      <c r="A221" s="54" t="str">
        <f t="shared" si="7"/>
        <v>TUM-W</v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>OLSEN, Brooklyn</v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45852</v>
      </c>
      <c r="C231" s="62"/>
      <c r="D231" s="62"/>
    </row>
    <row r="232" spans="1:6" x14ac:dyDescent="0.2">
      <c r="A232" s="55"/>
      <c r="B232" s="64" t="s">
        <v>508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6"/>
  <sheetViews>
    <sheetView workbookViewId="0">
      <selection activeCell="E12" sqref="E12"/>
    </sheetView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41" si="0">IF(C2&gt;0,RANK(C2,C$2:C$76),"")</f>
        <v/>
      </c>
      <c r="E2" s="43">
        <f>SUMIF('DMT-M'!E:E,A2,'DMT-M'!Q:Q)+SUMIF('DMT-W'!E:E,A2,'DMT-W'!Q:Q)</f>
        <v>0</v>
      </c>
      <c r="F2" s="45" t="str">
        <f t="shared" ref="F2:F41" si="1">IF(E2&gt;0,RANK(E2,E$2:E$76),"")</f>
        <v/>
      </c>
      <c r="G2" s="43">
        <f>SUMIF('TUM-M'!E:E,A2,'TUM-M'!Q:Q)+SUMIF('TUM-W'!E:E,A2,'TUM-W'!Q:Q)</f>
        <v>0</v>
      </c>
      <c r="H2" s="45" t="str">
        <f t="shared" ref="H2:H41" si="2">IF(G2&gt;0,RANK(G2,G$2:G$76),"")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2</v>
      </c>
      <c r="F6" s="47">
        <f t="shared" si="1"/>
        <v>7</v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504</v>
      </c>
      <c r="B9" s="1" t="s">
        <v>96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ref="D9" si="3">IF(C9&gt;0,RANK(C9,C$2:C$76),"")</f>
        <v/>
      </c>
      <c r="E9" s="46">
        <f>SUMIF('DMT-M'!E:E,A9,'DMT-M'!Q:Q)+SUMIF('DMT-W'!E:E,A9,'DMT-W'!Q:Q)</f>
        <v>0</v>
      </c>
      <c r="F9" s="47" t="str">
        <f t="shared" ref="F9" si="4">IF(E9&gt;0,RANK(E9,E$2:E$76),"")</f>
        <v/>
      </c>
      <c r="G9" s="46">
        <f>SUMIF('TUM-M'!E:E,A9,'TUM-M'!Q:Q)+SUMIF('TUM-W'!E:E,A9,'TUM-W'!Q:Q)</f>
        <v>0</v>
      </c>
      <c r="H9" s="47" t="str">
        <f t="shared" ref="H9" si="5">IF(G9&gt;0,RANK(G9,G$2:G$76),"")</f>
        <v/>
      </c>
    </row>
    <row r="10" spans="1:8" x14ac:dyDescent="0.2">
      <c r="A10" s="59" t="s">
        <v>45</v>
      </c>
      <c r="B10" s="1" t="s">
        <v>90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28</v>
      </c>
      <c r="B11" s="1" t="s">
        <v>92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1</v>
      </c>
      <c r="F11" s="47">
        <f t="shared" si="1"/>
        <v>11</v>
      </c>
      <c r="G11" s="46">
        <f>SUMIF('TUM-M'!E:E,A11,'TUM-M'!Q:Q)+SUMIF('TUM-W'!E:E,A11,'TUM-W'!Q:Q)</f>
        <v>2</v>
      </c>
      <c r="H11" s="47">
        <f t="shared" si="2"/>
        <v>4</v>
      </c>
    </row>
    <row r="12" spans="1:8" x14ac:dyDescent="0.2">
      <c r="A12" s="59" t="s">
        <v>79</v>
      </c>
      <c r="B12" s="1" t="s">
        <v>98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505</v>
      </c>
      <c r="B13" s="1" t="s">
        <v>93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ref="D13" si="6">IF(C13&gt;0,RANK(C13,C$2:C$76),"")</f>
        <v/>
      </c>
      <c r="E13" s="46">
        <f>SUMIF('DMT-M'!E:E,A13,'DMT-M'!Q:Q)+SUMIF('DMT-W'!E:E,A13,'DMT-W'!Q:Q)</f>
        <v>0</v>
      </c>
      <c r="F13" s="47" t="str">
        <f t="shared" ref="F13" si="7">IF(E13&gt;0,RANK(E13,E$2:E$76),"")</f>
        <v/>
      </c>
      <c r="G13" s="46">
        <f>SUMIF('TUM-M'!E:E,A13,'TUM-M'!Q:Q)+SUMIF('TUM-W'!E:E,A13,'TUM-W'!Q:Q)</f>
        <v>0</v>
      </c>
      <c r="H13" s="47" t="str">
        <f t="shared" ref="H13" si="8">IF(G13&gt;0,RANK(G13,G$2:G$76),"")</f>
        <v/>
      </c>
    </row>
    <row r="14" spans="1:8" x14ac:dyDescent="0.2">
      <c r="A14" s="59" t="s">
        <v>58</v>
      </c>
      <c r="B14" s="1" t="s">
        <v>91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141</v>
      </c>
      <c r="B15" s="1" t="s">
        <v>98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si="0"/>
        <v/>
      </c>
      <c r="E15" s="46">
        <f>SUMIF('DMT-M'!E:E,A15,'DMT-M'!Q:Q)+SUMIF('DMT-W'!E:E,A15,'DMT-W'!Q:Q)</f>
        <v>0</v>
      </c>
      <c r="F15" s="47" t="str">
        <f t="shared" si="1"/>
        <v/>
      </c>
      <c r="G15" s="46">
        <f>SUMIF('TUM-M'!E:E,A15,'TUM-M'!Q:Q)+SUMIF('TUM-W'!E:E,A15,'TUM-W'!Q:Q)</f>
        <v>0</v>
      </c>
      <c r="H15" s="47" t="str">
        <f t="shared" si="2"/>
        <v/>
      </c>
    </row>
    <row r="16" spans="1:8" x14ac:dyDescent="0.2">
      <c r="A16" s="59" t="s">
        <v>40</v>
      </c>
      <c r="B16" s="1" t="s">
        <v>94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5</v>
      </c>
      <c r="D16" s="47">
        <f t="shared" si="0"/>
        <v>3</v>
      </c>
      <c r="E16" s="46">
        <f>SUMIF('DMT-M'!E:E,A16,'DMT-M'!Q:Q)+SUMIF('DMT-W'!E:E,A16,'DMT-W'!Q:Q)</f>
        <v>15</v>
      </c>
      <c r="F16" s="47">
        <f t="shared" si="1"/>
        <v>1</v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175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ref="D17" si="9">IF(C17&gt;0,RANK(C17,C$2:C$76),"")</f>
        <v/>
      </c>
      <c r="E17" s="46">
        <f>SUMIF('DMT-M'!E:E,A17,'DMT-M'!Q:Q)+SUMIF('DMT-W'!E:E,A17,'DMT-W'!Q:Q)</f>
        <v>0</v>
      </c>
      <c r="F17" s="47" t="str">
        <f t="shared" ref="F17" si="10">IF(E17&gt;0,RANK(E17,E$2:E$76),"")</f>
        <v/>
      </c>
      <c r="G17" s="46">
        <f>SUMIF('TUM-M'!E:E,A17,'TUM-M'!Q:Q)+SUMIF('TUM-W'!E:E,A17,'TUM-W'!Q:Q)</f>
        <v>0</v>
      </c>
      <c r="H17" s="47" t="str">
        <f t="shared" ref="H17" si="11">IF(G17&gt;0,RANK(G17,G$2:G$76),"")</f>
        <v/>
      </c>
    </row>
    <row r="18" spans="1:19" x14ac:dyDescent="0.2">
      <c r="A18" s="59" t="s">
        <v>3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5</v>
      </c>
      <c r="D18" s="47">
        <f t="shared" si="0"/>
        <v>3</v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4</v>
      </c>
      <c r="H18" s="47">
        <f t="shared" si="2"/>
        <v>1</v>
      </c>
    </row>
    <row r="19" spans="1:19" x14ac:dyDescent="0.2">
      <c r="A19" s="59" t="s">
        <v>129</v>
      </c>
      <c r="B19" s="1" t="s">
        <v>90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</row>
    <row r="20" spans="1:19" x14ac:dyDescent="0.2">
      <c r="A20" s="59" t="s">
        <v>132</v>
      </c>
      <c r="B20" s="1" t="s">
        <v>93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64</v>
      </c>
      <c r="B21" s="1" t="s">
        <v>92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  <c r="N21" s="1"/>
      <c r="O21" s="1"/>
      <c r="P21" s="1"/>
      <c r="Q21" s="1"/>
      <c r="R21" s="1"/>
      <c r="S21" s="1"/>
    </row>
    <row r="22" spans="1:19" x14ac:dyDescent="0.2">
      <c r="A22" s="59" t="s">
        <v>44</v>
      </c>
      <c r="B22" s="1" t="s">
        <v>94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3</v>
      </c>
      <c r="D22" s="47">
        <f t="shared" si="0"/>
        <v>6</v>
      </c>
      <c r="E22" s="46">
        <f>SUMIF('DMT-M'!E:E,A22,'DMT-M'!Q:Q)+SUMIF('DMT-W'!E:E,A22,'DMT-W'!Q:Q)</f>
        <v>7</v>
      </c>
      <c r="F22" s="47">
        <f t="shared" si="1"/>
        <v>2</v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163</v>
      </c>
      <c r="B23" s="1" t="s">
        <v>97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150</v>
      </c>
      <c r="B24" s="1" t="s">
        <v>90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133</v>
      </c>
      <c r="B25" s="1" t="s">
        <v>90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209</v>
      </c>
      <c r="B26" s="1" t="s">
        <v>93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12">IF(C26&gt;0,RANK(C26,C$2:C$76),"")</f>
        <v/>
      </c>
      <c r="E26" s="46">
        <f>SUMIF('DMT-M'!E:E,A26,'DMT-M'!Q:Q)+SUMIF('DMT-W'!E:E,A26,'DMT-W'!Q:Q)</f>
        <v>0</v>
      </c>
      <c r="F26" s="47" t="str">
        <f t="shared" ref="F26" si="13">IF(E26&gt;0,RANK(E26,E$2:E$76),"")</f>
        <v/>
      </c>
      <c r="G26" s="46">
        <f>SUMIF('TUM-M'!E:E,A26,'TUM-M'!Q:Q)+SUMIF('TUM-W'!E:E,A26,'TUM-W'!Q:Q)</f>
        <v>0</v>
      </c>
      <c r="H26" s="47" t="str">
        <f t="shared" ref="H26" si="14">IF(G26&gt;0,RANK(G26,G$2:G$76),"")</f>
        <v/>
      </c>
    </row>
    <row r="27" spans="1:19" x14ac:dyDescent="0.2">
      <c r="A27" s="59" t="s">
        <v>99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287</v>
      </c>
      <c r="B28" s="1" t="s">
        <v>91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ref="D28" si="15">IF(C28&gt;0,RANK(C28,C$2:C$76),"")</f>
        <v/>
      </c>
      <c r="E28" s="46">
        <f>SUMIF('DMT-M'!E:E,A28,'DMT-M'!Q:Q)+SUMIF('DMT-W'!E:E,A28,'DMT-W'!Q:Q)</f>
        <v>0</v>
      </c>
      <c r="F28" s="47" t="str">
        <f t="shared" ref="F28" si="16">IF(E28&gt;0,RANK(E28,E$2:E$76),"")</f>
        <v/>
      </c>
      <c r="G28" s="46">
        <f>SUMIF('TUM-M'!E:E,A28,'TUM-M'!Q:Q)+SUMIF('TUM-W'!E:E,A28,'TUM-W'!Q:Q)</f>
        <v>0</v>
      </c>
      <c r="H28" s="47" t="str">
        <f t="shared" ref="H28" si="17">IF(G28&gt;0,RANK(G28,G$2:G$76),"")</f>
        <v/>
      </c>
    </row>
    <row r="29" spans="1:19" x14ac:dyDescent="0.2">
      <c r="A29" s="59" t="s">
        <v>70</v>
      </c>
      <c r="B29" s="1" t="s">
        <v>93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3</v>
      </c>
      <c r="D29" s="47">
        <f t="shared" si="0"/>
        <v>6</v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84</v>
      </c>
      <c r="B30" s="1" t="s">
        <v>90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7.5</v>
      </c>
      <c r="D30" s="47">
        <f t="shared" si="0"/>
        <v>1</v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149</v>
      </c>
      <c r="B31" s="1" t="s">
        <v>94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59</v>
      </c>
      <c r="B32" s="1" t="s">
        <v>94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503</v>
      </c>
      <c r="B33" s="1" t="s">
        <v>90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ref="D33" si="18">IF(C33&gt;0,RANK(C33,C$2:C$76),"")</f>
        <v/>
      </c>
      <c r="E33" s="46">
        <f>SUMIF('DMT-M'!E:E,A33,'DMT-M'!Q:Q)+SUMIF('DMT-W'!E:E,A33,'DMT-W'!Q:Q)</f>
        <v>0</v>
      </c>
      <c r="F33" s="47" t="str">
        <f t="shared" ref="F33" si="19">IF(E33&gt;0,RANK(E33,E$2:E$76),"")</f>
        <v/>
      </c>
      <c r="G33" s="46">
        <f>SUMIF('TUM-M'!E:E,A33,'TUM-M'!Q:Q)+SUMIF('TUM-W'!E:E,A33,'TUM-W'!Q:Q)</f>
        <v>0</v>
      </c>
      <c r="H33" s="47" t="str">
        <f t="shared" ref="H33" si="20">IF(G33&gt;0,RANK(G33,G$2:G$76),"")</f>
        <v/>
      </c>
    </row>
    <row r="34" spans="1:8" x14ac:dyDescent="0.2">
      <c r="A34" s="59" t="s">
        <v>76</v>
      </c>
      <c r="B34" s="1" t="s">
        <v>90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46</v>
      </c>
      <c r="B35" s="1" t="s">
        <v>96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134</v>
      </c>
      <c r="B36" s="1" t="s">
        <v>93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208</v>
      </c>
      <c r="B37" s="1" t="s">
        <v>90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ref="D37" si="21">IF(C37&gt;0,RANK(C37,C$2:C$76),"")</f>
        <v/>
      </c>
      <c r="E37" s="46">
        <f>SUMIF('DMT-M'!E:E,A37,'DMT-M'!Q:Q)+SUMIF('DMT-W'!E:E,A37,'DMT-W'!Q:Q)</f>
        <v>2</v>
      </c>
      <c r="F37" s="47">
        <f t="shared" ref="F37" si="22">IF(E37&gt;0,RANK(E37,E$2:E$76),"")</f>
        <v>7</v>
      </c>
      <c r="G37" s="46">
        <f>SUMIF('TUM-M'!E:E,A37,'TUM-M'!Q:Q)+SUMIF('TUM-W'!E:E,A37,'TUM-W'!Q:Q)</f>
        <v>0</v>
      </c>
      <c r="H37" s="47" t="str">
        <f t="shared" ref="H37" si="23">IF(G37&gt;0,RANK(G37,G$2:G$76),"")</f>
        <v/>
      </c>
    </row>
    <row r="38" spans="1:8" x14ac:dyDescent="0.2">
      <c r="A38" s="59" t="s">
        <v>502</v>
      </c>
      <c r="B38" s="1" t="s">
        <v>90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24">IF(C38&gt;0,RANK(C38,C$2:C$76),"")</f>
        <v/>
      </c>
      <c r="E38" s="46">
        <f>SUMIF('DMT-M'!E:E,A38,'DMT-M'!Q:Q)+SUMIF('DMT-W'!E:E,A38,'DMT-W'!Q:Q)</f>
        <v>0</v>
      </c>
      <c r="F38" s="47" t="str">
        <f t="shared" ref="F38" si="25">IF(E38&gt;0,RANK(E38,E$2:E$76),"")</f>
        <v/>
      </c>
      <c r="G38" s="46">
        <f>SUMIF('TUM-M'!E:E,A38,'TUM-M'!Q:Q)+SUMIF('TUM-W'!E:E,A38,'TUM-W'!Q:Q)</f>
        <v>0</v>
      </c>
      <c r="H38" s="47" t="str">
        <f t="shared" ref="H38" si="26">IF(G38&gt;0,RANK(G38,G$2:G$76),"")</f>
        <v/>
      </c>
    </row>
    <row r="39" spans="1:8" x14ac:dyDescent="0.2">
      <c r="A39" s="59" t="s">
        <v>67</v>
      </c>
      <c r="B39" s="1" t="s">
        <v>90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0"/>
        <v/>
      </c>
      <c r="E39" s="46">
        <f>SUMIF('DMT-M'!E:E,A39,'DMT-M'!Q:Q)+SUMIF('DMT-W'!E:E,A39,'DMT-W'!Q:Q)</f>
        <v>0</v>
      </c>
      <c r="F39" s="47" t="str">
        <f t="shared" si="1"/>
        <v/>
      </c>
      <c r="G39" s="46">
        <f>SUMIF('TUM-M'!E:E,A39,'TUM-M'!Q:Q)+SUMIF('TUM-W'!E:E,A39,'TUM-W'!Q:Q)</f>
        <v>0</v>
      </c>
      <c r="H39" s="47" t="str">
        <f t="shared" si="2"/>
        <v/>
      </c>
    </row>
    <row r="40" spans="1:8" x14ac:dyDescent="0.2">
      <c r="A40" s="59" t="s">
        <v>89</v>
      </c>
      <c r="B40" s="1" t="s">
        <v>90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0"/>
        <v/>
      </c>
      <c r="E40" s="46">
        <f>SUMIF('DMT-M'!E:E,A40,'DMT-M'!Q:Q)+SUMIF('DMT-W'!E:E,A40,'DMT-W'!Q:Q)</f>
        <v>0</v>
      </c>
      <c r="F40" s="47" t="str">
        <f t="shared" si="1"/>
        <v/>
      </c>
      <c r="G40" s="46">
        <f>SUMIF('TUM-M'!E:E,A40,'TUM-M'!Q:Q)+SUMIF('TUM-W'!E:E,A40,'TUM-W'!Q:Q)</f>
        <v>0</v>
      </c>
      <c r="H40" s="47" t="str">
        <f t="shared" si="2"/>
        <v/>
      </c>
    </row>
    <row r="41" spans="1:8" x14ac:dyDescent="0.2">
      <c r="A41" s="59" t="s">
        <v>60</v>
      </c>
      <c r="B41" s="1" t="s">
        <v>94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1</v>
      </c>
      <c r="D41" s="47">
        <f t="shared" si="0"/>
        <v>9</v>
      </c>
      <c r="E41" s="46">
        <f>SUMIF('DMT-M'!E:E,A41,'DMT-M'!Q:Q)+SUMIF('DMT-W'!E:E,A41,'DMT-W'!Q:Q)</f>
        <v>4</v>
      </c>
      <c r="F41" s="47">
        <f t="shared" si="1"/>
        <v>4</v>
      </c>
      <c r="G41" s="46">
        <f>SUMIF('TUM-M'!E:E,A41,'TUM-M'!Q:Q)+SUMIF('TUM-W'!E:E,A41,'TUM-W'!Q:Q)</f>
        <v>1</v>
      </c>
      <c r="H41" s="47">
        <f t="shared" si="2"/>
        <v>5</v>
      </c>
    </row>
    <row r="42" spans="1:8" x14ac:dyDescent="0.2">
      <c r="A42" s="59" t="s">
        <v>360</v>
      </c>
      <c r="B42" s="1" t="s">
        <v>92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ref="D42" si="27">IF(C42&gt;0,RANK(C42,C$2:C$76),"")</f>
        <v/>
      </c>
      <c r="E42" s="46">
        <f>SUMIF('DMT-M'!E:E,A42,'DMT-M'!Q:Q)+SUMIF('DMT-W'!E:E,A42,'DMT-W'!Q:Q)</f>
        <v>0</v>
      </c>
      <c r="F42" s="47" t="str">
        <f t="shared" ref="F42" si="28">IF(E42&gt;0,RANK(E42,E$2:E$76),"")</f>
        <v/>
      </c>
      <c r="G42" s="46">
        <f>SUMIF('TUM-M'!E:E,A42,'TUM-M'!Q:Q)+SUMIF('TUM-W'!E:E,A42,'TUM-W'!Q:Q)</f>
        <v>0</v>
      </c>
      <c r="H42" s="47"/>
    </row>
    <row r="43" spans="1:8" x14ac:dyDescent="0.2">
      <c r="A43" s="59" t="s">
        <v>152</v>
      </c>
      <c r="B43" s="1" t="s">
        <v>94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ref="D43:D76" si="29">IF(C43&gt;0,RANK(C43,C$2:C$76),"")</f>
        <v/>
      </c>
      <c r="E43" s="46">
        <f>SUMIF('DMT-M'!E:E,A43,'DMT-M'!Q:Q)+SUMIF('DMT-W'!E:E,A43,'DMT-W'!Q:Q)</f>
        <v>0</v>
      </c>
      <c r="F43" s="47" t="str">
        <f t="shared" ref="F43:F76" si="30">IF(E43&gt;0,RANK(E43,E$2:E$76),"")</f>
        <v/>
      </c>
      <c r="G43" s="46">
        <f>SUMIF('TUM-M'!E:E,A43,'TUM-M'!Q:Q)+SUMIF('TUM-W'!E:E,A43,'TUM-W'!Q:Q)</f>
        <v>0</v>
      </c>
      <c r="H43" s="47" t="str">
        <f t="shared" ref="H43:H76" si="31">IF(G43&gt;0,RANK(G43,G$2:G$76),"")</f>
        <v/>
      </c>
    </row>
    <row r="44" spans="1:8" x14ac:dyDescent="0.2">
      <c r="A44" s="59" t="s">
        <v>56</v>
      </c>
      <c r="B44" s="1" t="s">
        <v>92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29"/>
        <v/>
      </c>
      <c r="E44" s="46">
        <f>SUMIF('DMT-M'!E:E,A44,'DMT-M'!Q:Q)+SUMIF('DMT-W'!E:E,A44,'DMT-W'!Q:Q)</f>
        <v>3</v>
      </c>
      <c r="F44" s="47">
        <f t="shared" si="30"/>
        <v>6</v>
      </c>
      <c r="G44" s="46">
        <f>SUMIF('TUM-M'!E:E,A44,'TUM-M'!Q:Q)+SUMIF('TUM-W'!E:E,A44,'TUM-W'!Q:Q)</f>
        <v>3</v>
      </c>
      <c r="H44" s="47">
        <f t="shared" si="31"/>
        <v>2</v>
      </c>
    </row>
    <row r="45" spans="1:8" x14ac:dyDescent="0.2">
      <c r="A45" s="59" t="s">
        <v>62</v>
      </c>
      <c r="B45" s="1" t="s">
        <v>92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29"/>
        <v/>
      </c>
      <c r="E45" s="46">
        <f>SUMIF('DMT-M'!E:E,A45,'DMT-M'!Q:Q)+SUMIF('DMT-W'!E:E,A45,'DMT-W'!Q:Q)</f>
        <v>6</v>
      </c>
      <c r="F45" s="47">
        <f t="shared" si="30"/>
        <v>3</v>
      </c>
      <c r="G45" s="46">
        <f>SUMIF('TUM-M'!E:E,A45,'TUM-M'!Q:Q)+SUMIF('TUM-W'!E:E,A45,'TUM-W'!Q:Q)</f>
        <v>0</v>
      </c>
      <c r="H45" s="47" t="str">
        <f t="shared" si="31"/>
        <v/>
      </c>
    </row>
    <row r="46" spans="1:8" x14ac:dyDescent="0.2">
      <c r="A46" s="59" t="s">
        <v>147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29"/>
        <v/>
      </c>
      <c r="E46" s="46">
        <f>SUMIF('DMT-M'!E:E,A46,'DMT-M'!Q:Q)+SUMIF('DMT-W'!E:E,A46,'DMT-W'!Q:Q)</f>
        <v>0</v>
      </c>
      <c r="F46" s="47" t="str">
        <f t="shared" si="30"/>
        <v/>
      </c>
      <c r="G46" s="46">
        <f>SUMIF('TUM-M'!E:E,A46,'TUM-M'!Q:Q)+SUMIF('TUM-W'!E:E,A46,'TUM-W'!Q:Q)</f>
        <v>0</v>
      </c>
      <c r="H46" s="47" t="str">
        <f t="shared" si="31"/>
        <v/>
      </c>
    </row>
    <row r="47" spans="1:8" x14ac:dyDescent="0.2">
      <c r="A47" s="59" t="s">
        <v>162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29"/>
        <v/>
      </c>
      <c r="E47" s="46">
        <f>SUMIF('DMT-M'!E:E,A47,'DMT-M'!Q:Q)+SUMIF('DMT-W'!E:E,A47,'DMT-W'!Q:Q)</f>
        <v>0</v>
      </c>
      <c r="F47" s="47" t="str">
        <f t="shared" si="30"/>
        <v/>
      </c>
      <c r="G47" s="46">
        <f>SUMIF('TUM-M'!E:E,A47,'TUM-M'!Q:Q)+SUMIF('TUM-W'!E:E,A47,'TUM-W'!Q:Q)</f>
        <v>1</v>
      </c>
      <c r="H47" s="47">
        <f t="shared" si="31"/>
        <v>5</v>
      </c>
    </row>
    <row r="48" spans="1:8" x14ac:dyDescent="0.2">
      <c r="A48" s="59" t="s">
        <v>125</v>
      </c>
      <c r="B48" s="1" t="s">
        <v>93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29"/>
        <v/>
      </c>
      <c r="E48" s="46">
        <f>SUMIF('DMT-M'!E:E,A48,'DMT-M'!Q:Q)+SUMIF('DMT-W'!E:E,A48,'DMT-W'!Q:Q)</f>
        <v>0</v>
      </c>
      <c r="F48" s="47" t="str">
        <f t="shared" si="30"/>
        <v/>
      </c>
      <c r="G48" s="46">
        <f>SUMIF('TUM-M'!E:E,A48,'TUM-M'!Q:Q)+SUMIF('TUM-W'!E:E,A48,'TUM-W'!Q:Q)</f>
        <v>0</v>
      </c>
      <c r="H48" s="47" t="str">
        <f t="shared" si="31"/>
        <v/>
      </c>
    </row>
    <row r="49" spans="1:8" x14ac:dyDescent="0.2">
      <c r="A49" s="59" t="s">
        <v>87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29"/>
        <v/>
      </c>
      <c r="E49" s="46">
        <f>SUMIF('DMT-M'!E:E,A49,'DMT-M'!Q:Q)+SUMIF('DMT-W'!E:E,A49,'DMT-W'!Q:Q)</f>
        <v>0</v>
      </c>
      <c r="F49" s="47" t="str">
        <f t="shared" si="30"/>
        <v/>
      </c>
      <c r="G49" s="46">
        <f>SUMIF('TUM-M'!E:E,A49,'TUM-M'!Q:Q)+SUMIF('TUM-W'!E:E,A49,'TUM-W'!Q:Q)</f>
        <v>0</v>
      </c>
      <c r="H49" s="47" t="str">
        <f t="shared" si="31"/>
        <v/>
      </c>
    </row>
    <row r="50" spans="1:8" x14ac:dyDescent="0.2">
      <c r="A50" s="59" t="s">
        <v>122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29"/>
        <v/>
      </c>
      <c r="E50" s="46">
        <f>SUMIF('DMT-M'!E:E,A50,'DMT-M'!Q:Q)+SUMIF('DMT-W'!E:E,A50,'DMT-W'!Q:Q)</f>
        <v>0</v>
      </c>
      <c r="F50" s="47" t="str">
        <f t="shared" si="30"/>
        <v/>
      </c>
      <c r="G50" s="46">
        <f>SUMIF('TUM-M'!E:E,A50,'TUM-M'!Q:Q)+SUMIF('TUM-W'!E:E,A50,'TUM-W'!Q:Q)</f>
        <v>0</v>
      </c>
      <c r="H50" s="47" t="str">
        <f t="shared" si="31"/>
        <v/>
      </c>
    </row>
    <row r="51" spans="1:8" x14ac:dyDescent="0.2">
      <c r="A51" s="59" t="s">
        <v>88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29"/>
        <v/>
      </c>
      <c r="E51" s="46">
        <f>SUMIF('DMT-M'!E:E,A51,'DMT-M'!Q:Q)+SUMIF('DMT-W'!E:E,A51,'DMT-W'!Q:Q)</f>
        <v>0</v>
      </c>
      <c r="F51" s="47" t="str">
        <f t="shared" si="30"/>
        <v/>
      </c>
      <c r="G51" s="46">
        <f>SUMIF('TUM-M'!E:E,A51,'TUM-M'!Q:Q)+SUMIF('TUM-W'!E:E,A51,'TUM-W'!Q:Q)</f>
        <v>3</v>
      </c>
      <c r="H51" s="47">
        <f t="shared" si="31"/>
        <v>2</v>
      </c>
    </row>
    <row r="52" spans="1:8" x14ac:dyDescent="0.2">
      <c r="A52" s="59" t="s">
        <v>127</v>
      </c>
      <c r="B52" s="1" t="s">
        <v>95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29"/>
        <v/>
      </c>
      <c r="E52" s="46">
        <f>SUMIF('DMT-M'!E:E,A52,'DMT-M'!Q:Q)+SUMIF('DMT-W'!E:E,A52,'DMT-W'!Q:Q)</f>
        <v>0</v>
      </c>
      <c r="F52" s="47" t="str">
        <f t="shared" si="30"/>
        <v/>
      </c>
      <c r="G52" s="46">
        <f>SUMIF('TUM-M'!E:E,A52,'TUM-M'!Q:Q)+SUMIF('TUM-W'!E:E,A52,'TUM-W'!Q:Q)</f>
        <v>0</v>
      </c>
      <c r="H52" s="47" t="str">
        <f t="shared" si="31"/>
        <v/>
      </c>
    </row>
    <row r="53" spans="1:8" x14ac:dyDescent="0.2">
      <c r="A53" s="59" t="s">
        <v>145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29"/>
        <v/>
      </c>
      <c r="E53" s="46">
        <f>SUMIF('DMT-M'!E:E,A53,'DMT-M'!Q:Q)+SUMIF('DMT-W'!E:E,A53,'DMT-W'!Q:Q)</f>
        <v>0</v>
      </c>
      <c r="F53" s="47" t="str">
        <f t="shared" si="30"/>
        <v/>
      </c>
      <c r="G53" s="46">
        <f>SUMIF('TUM-M'!E:E,A53,'TUM-M'!Q:Q)+SUMIF('TUM-W'!E:E,A53,'TUM-W'!Q:Q)</f>
        <v>0</v>
      </c>
      <c r="H53" s="47" t="str">
        <f t="shared" si="31"/>
        <v/>
      </c>
    </row>
    <row r="54" spans="1:8" x14ac:dyDescent="0.2">
      <c r="A54" s="59" t="s">
        <v>36</v>
      </c>
      <c r="B54" s="1" t="s">
        <v>94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29"/>
        <v/>
      </c>
      <c r="E54" s="46">
        <f>SUMIF('DMT-M'!E:E,A54,'DMT-M'!Q:Q)+SUMIF('DMT-W'!E:E,A54,'DMT-W'!Q:Q)</f>
        <v>0</v>
      </c>
      <c r="F54" s="47" t="str">
        <f t="shared" si="30"/>
        <v/>
      </c>
      <c r="G54" s="46">
        <f>SUMIF('TUM-M'!E:E,A54,'TUM-M'!Q:Q)+SUMIF('TUM-W'!E:E,A54,'TUM-W'!Q:Q)</f>
        <v>0</v>
      </c>
      <c r="H54" s="47" t="str">
        <f t="shared" si="31"/>
        <v/>
      </c>
    </row>
    <row r="55" spans="1:8" x14ac:dyDescent="0.2">
      <c r="A55" s="59" t="s">
        <v>506</v>
      </c>
      <c r="B55" s="1" t="s">
        <v>93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32">IF(C55&gt;0,RANK(C55,C$2:C$76),"")</f>
        <v/>
      </c>
      <c r="E55" s="46">
        <f>SUMIF('DMT-M'!E:E,A55,'DMT-M'!Q:Q)+SUMIF('DMT-W'!E:E,A55,'DMT-W'!Q:Q)</f>
        <v>0</v>
      </c>
      <c r="F55" s="47" t="str">
        <f t="shared" ref="F55" si="33">IF(E55&gt;0,RANK(E55,E$2:E$76),"")</f>
        <v/>
      </c>
      <c r="G55" s="46">
        <f>SUMIF('TUM-M'!E:E,A55,'TUM-M'!Q:Q)+SUMIF('TUM-W'!E:E,A55,'TUM-W'!Q:Q)</f>
        <v>0</v>
      </c>
      <c r="H55" s="47" t="str">
        <f t="shared" ref="H55" si="34">IF(G55&gt;0,RANK(G55,G$2:G$76),"")</f>
        <v/>
      </c>
    </row>
    <row r="56" spans="1:8" x14ac:dyDescent="0.2">
      <c r="A56" s="59" t="s">
        <v>37</v>
      </c>
      <c r="B56" s="1" t="s">
        <v>90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47">
        <f t="shared" si="29"/>
        <v>8</v>
      </c>
      <c r="E56" s="46">
        <f>SUMIF('DMT-M'!E:E,A56,'DMT-M'!Q:Q)+SUMIF('DMT-W'!E:E,A56,'DMT-W'!Q:Q)</f>
        <v>0</v>
      </c>
      <c r="F56" s="47" t="str">
        <f t="shared" si="30"/>
        <v/>
      </c>
      <c r="G56" s="46">
        <f>SUMIF('TUM-M'!E:E,A56,'TUM-M'!Q:Q)+SUMIF('TUM-W'!E:E,A56,'TUM-W'!Q:Q)</f>
        <v>0</v>
      </c>
      <c r="H56" s="47" t="str">
        <f t="shared" si="31"/>
        <v/>
      </c>
    </row>
    <row r="57" spans="1:8" x14ac:dyDescent="0.2">
      <c r="A57" s="59" t="s">
        <v>123</v>
      </c>
      <c r="B57" s="1" t="s">
        <v>90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29"/>
        <v/>
      </c>
      <c r="E57" s="46">
        <f>SUMIF('DMT-M'!E:E,A57,'DMT-M'!Q:Q)+SUMIF('DMT-W'!E:E,A57,'DMT-W'!Q:Q)</f>
        <v>0</v>
      </c>
      <c r="F57" s="47" t="str">
        <f t="shared" si="30"/>
        <v/>
      </c>
      <c r="G57" s="46">
        <f>SUMIF('TUM-M'!E:E,A57,'TUM-M'!Q:Q)+SUMIF('TUM-W'!E:E,A57,'TUM-W'!Q:Q)</f>
        <v>0</v>
      </c>
      <c r="H57" s="47" t="str">
        <f t="shared" si="31"/>
        <v/>
      </c>
    </row>
    <row r="58" spans="1:8" x14ac:dyDescent="0.2">
      <c r="A58" s="59" t="s">
        <v>130</v>
      </c>
      <c r="B58" s="1" t="s">
        <v>90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29"/>
        <v/>
      </c>
      <c r="E58" s="46">
        <f>SUMIF('DMT-M'!E:E,A58,'DMT-M'!Q:Q)+SUMIF('DMT-W'!E:E,A58,'DMT-W'!Q:Q)</f>
        <v>0</v>
      </c>
      <c r="F58" s="47" t="str">
        <f t="shared" si="30"/>
        <v/>
      </c>
      <c r="G58" s="46">
        <f>SUMIF('TUM-M'!E:E,A58,'TUM-M'!Q:Q)+SUMIF('TUM-W'!E:E,A58,'TUM-W'!Q:Q)</f>
        <v>0</v>
      </c>
      <c r="H58" s="47" t="str">
        <f t="shared" si="31"/>
        <v/>
      </c>
    </row>
    <row r="59" spans="1:8" x14ac:dyDescent="0.2">
      <c r="A59" s="59" t="s">
        <v>173</v>
      </c>
      <c r="B59" s="1" t="s">
        <v>91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29"/>
        <v/>
      </c>
      <c r="E59" s="46">
        <f>SUMIF('DMT-M'!E:E,A59,'DMT-M'!Q:Q)+SUMIF('DMT-W'!E:E,A59,'DMT-W'!Q:Q)</f>
        <v>0</v>
      </c>
      <c r="F59" s="47" t="str">
        <f t="shared" si="30"/>
        <v/>
      </c>
      <c r="G59" s="46">
        <f>SUMIF('TUM-M'!E:E,A59,'TUM-M'!Q:Q)+SUMIF('TUM-W'!E:E,A59,'TUM-W'!Q:Q)</f>
        <v>0</v>
      </c>
      <c r="H59" s="47" t="str">
        <f t="shared" si="31"/>
        <v/>
      </c>
    </row>
    <row r="60" spans="1:8" x14ac:dyDescent="0.2">
      <c r="A60" s="59" t="s">
        <v>55</v>
      </c>
      <c r="B60" s="1" t="s">
        <v>94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29"/>
        <v/>
      </c>
      <c r="E60" s="46">
        <f>SUMIF('DMT-M'!E:E,A60,'DMT-M'!Q:Q)+SUMIF('DMT-W'!E:E,A60,'DMT-W'!Q:Q)</f>
        <v>0</v>
      </c>
      <c r="F60" s="47" t="str">
        <f t="shared" si="30"/>
        <v/>
      </c>
      <c r="G60" s="46">
        <f>SUMIF('TUM-M'!E:E,A60,'TUM-M'!Q:Q)+SUMIF('TUM-W'!E:E,A60,'TUM-W'!Q:Q)</f>
        <v>0</v>
      </c>
      <c r="H60" s="47" t="str">
        <f t="shared" si="31"/>
        <v/>
      </c>
    </row>
    <row r="61" spans="1:8" x14ac:dyDescent="0.2">
      <c r="A61" s="59" t="s">
        <v>63</v>
      </c>
      <c r="B61" s="1" t="s">
        <v>97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29"/>
        <v/>
      </c>
      <c r="E61" s="46">
        <f>SUMIF('DMT-M'!E:E,A61,'DMT-M'!Q:Q)+SUMIF('DMT-W'!E:E,A61,'DMT-W'!Q:Q)</f>
        <v>0</v>
      </c>
      <c r="F61" s="47" t="str">
        <f t="shared" si="30"/>
        <v/>
      </c>
      <c r="G61" s="46">
        <f>SUMIF('TUM-M'!E:E,A61,'TUM-M'!Q:Q)+SUMIF('TUM-W'!E:E,A61,'TUM-W'!Q:Q)</f>
        <v>0</v>
      </c>
      <c r="H61" s="47" t="str">
        <f t="shared" si="31"/>
        <v/>
      </c>
    </row>
    <row r="62" spans="1:8" x14ac:dyDescent="0.2">
      <c r="A62" s="59" t="s">
        <v>39</v>
      </c>
      <c r="B62" s="1" t="s">
        <v>92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1</v>
      </c>
      <c r="D62" s="47">
        <f t="shared" si="29"/>
        <v>9</v>
      </c>
      <c r="E62" s="46">
        <f>SUMIF('DMT-M'!E:E,A62,'DMT-M'!Q:Q)+SUMIF('DMT-W'!E:E,A62,'DMT-W'!Q:Q)</f>
        <v>0</v>
      </c>
      <c r="F62" s="47" t="str">
        <f t="shared" si="30"/>
        <v/>
      </c>
      <c r="G62" s="46">
        <f>SUMIF('TUM-M'!E:E,A62,'TUM-M'!Q:Q)+SUMIF('TUM-W'!E:E,A62,'TUM-W'!Q:Q)</f>
        <v>0</v>
      </c>
      <c r="H62" s="47" t="str">
        <f t="shared" si="31"/>
        <v/>
      </c>
    </row>
    <row r="63" spans="1:8" x14ac:dyDescent="0.2">
      <c r="A63" s="59" t="s">
        <v>86</v>
      </c>
      <c r="B63" s="1" t="s">
        <v>95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29"/>
        <v/>
      </c>
      <c r="E63" s="46">
        <f>SUMIF('DMT-M'!E:E,A63,'DMT-M'!Q:Q)+SUMIF('DMT-W'!E:E,A63,'DMT-W'!Q:Q)</f>
        <v>2</v>
      </c>
      <c r="F63" s="47">
        <f t="shared" si="30"/>
        <v>7</v>
      </c>
      <c r="G63" s="46">
        <f>SUMIF('TUM-M'!E:E,A63,'TUM-M'!Q:Q)+SUMIF('TUM-W'!E:E,A63,'TUM-W'!Q:Q)</f>
        <v>0</v>
      </c>
      <c r="H63" s="47" t="str">
        <f t="shared" si="31"/>
        <v/>
      </c>
    </row>
    <row r="64" spans="1:8" x14ac:dyDescent="0.2">
      <c r="A64" s="47" t="s">
        <v>176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ref="D64" si="35">IF(C64&gt;0,RANK(C64,C$2:C$76),"")</f>
        <v/>
      </c>
      <c r="E64" s="46">
        <f>SUMIF('DMT-M'!E:E,A64,'DMT-M'!Q:Q)+SUMIF('DMT-W'!E:E,A64,'DMT-W'!Q:Q)</f>
        <v>0</v>
      </c>
      <c r="F64" s="47" t="str">
        <f t="shared" ref="F64" si="36">IF(E64&gt;0,RANK(E64,E$2:E$76),"")</f>
        <v/>
      </c>
      <c r="G64" s="46">
        <f>SUMIF('TUM-M'!E:E,A64,'TUM-M'!Q:Q)+SUMIF('TUM-W'!E:E,A64,'TUM-W'!Q:Q)</f>
        <v>0</v>
      </c>
      <c r="H64" s="47" t="str">
        <f t="shared" ref="H64" si="37">IF(G64&gt;0,RANK(G64,G$2:G$76),"")</f>
        <v/>
      </c>
    </row>
    <row r="65" spans="1:8" x14ac:dyDescent="0.2">
      <c r="A65" s="47" t="s">
        <v>57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1</v>
      </c>
      <c r="D65" s="47">
        <f t="shared" si="29"/>
        <v>9</v>
      </c>
      <c r="E65" s="46">
        <f>SUMIF('DMT-M'!E:E,A65,'DMT-M'!Q:Q)+SUMIF('DMT-W'!E:E,A65,'DMT-W'!Q:Q)</f>
        <v>0</v>
      </c>
      <c r="F65" s="47" t="str">
        <f t="shared" si="30"/>
        <v/>
      </c>
      <c r="G65" s="46">
        <f>SUMIF('TUM-M'!E:E,A65,'TUM-M'!Q:Q)+SUMIF('TUM-W'!E:E,A65,'TUM-W'!Q:Q)</f>
        <v>0</v>
      </c>
      <c r="H65" s="47" t="str">
        <f t="shared" si="31"/>
        <v/>
      </c>
    </row>
    <row r="66" spans="1:8" x14ac:dyDescent="0.2">
      <c r="A66" s="47" t="s">
        <v>135</v>
      </c>
      <c r="B66" s="1" t="s">
        <v>90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29"/>
        <v/>
      </c>
      <c r="E66" s="46">
        <f>SUMIF('DMT-M'!E:E,A66,'DMT-M'!Q:Q)+SUMIF('DMT-W'!E:E,A66,'DMT-W'!Q:Q)</f>
        <v>0</v>
      </c>
      <c r="F66" s="47" t="str">
        <f t="shared" si="30"/>
        <v/>
      </c>
      <c r="G66" s="46">
        <f>SUMIF('TUM-M'!E:E,A66,'TUM-M'!Q:Q)+SUMIF('TUM-W'!E:E,A66,'TUM-W'!Q:Q)</f>
        <v>0</v>
      </c>
      <c r="H66" s="47" t="str">
        <f t="shared" si="31"/>
        <v/>
      </c>
    </row>
    <row r="67" spans="1:8" x14ac:dyDescent="0.2">
      <c r="A67" s="47" t="s">
        <v>151</v>
      </c>
      <c r="B67" s="1" t="s">
        <v>90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29"/>
        <v/>
      </c>
      <c r="E67" s="46">
        <f>SUMIF('DMT-M'!E:E,A67,'DMT-M'!Q:Q)+SUMIF('DMT-W'!E:E,A67,'DMT-W'!Q:Q)</f>
        <v>0</v>
      </c>
      <c r="F67" s="47" t="str">
        <f t="shared" si="30"/>
        <v/>
      </c>
      <c r="G67" s="46">
        <f>SUMIF('TUM-M'!E:E,A67,'TUM-M'!Q:Q)+SUMIF('TUM-W'!E:E,A67,'TUM-W'!Q:Q)</f>
        <v>0</v>
      </c>
      <c r="H67" s="47" t="str">
        <f t="shared" si="31"/>
        <v/>
      </c>
    </row>
    <row r="68" spans="1:8" x14ac:dyDescent="0.2">
      <c r="A68" s="47" t="s">
        <v>124</v>
      </c>
      <c r="B68" s="1" t="s">
        <v>93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29"/>
        <v/>
      </c>
      <c r="E68" s="46">
        <f>SUMIF('DMT-M'!E:E,A68,'DMT-M'!Q:Q)+SUMIF('DMT-W'!E:E,A68,'DMT-W'!Q:Q)</f>
        <v>0</v>
      </c>
      <c r="F68" s="47" t="str">
        <f t="shared" si="30"/>
        <v/>
      </c>
      <c r="G68" s="46">
        <f>SUMIF('TUM-M'!E:E,A68,'TUM-M'!Q:Q)+SUMIF('TUM-W'!E:E,A68,'TUM-W'!Q:Q)</f>
        <v>0</v>
      </c>
      <c r="H68" s="47" t="str">
        <f t="shared" si="31"/>
        <v/>
      </c>
    </row>
    <row r="69" spans="1:8" x14ac:dyDescent="0.2">
      <c r="A69" s="47" t="s">
        <v>126</v>
      </c>
      <c r="B69" s="1" t="s">
        <v>90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29"/>
        <v/>
      </c>
      <c r="E69" s="46">
        <f>SUMIF('DMT-M'!E:E,A69,'DMT-M'!Q:Q)+SUMIF('DMT-W'!E:E,A69,'DMT-W'!Q:Q)</f>
        <v>0</v>
      </c>
      <c r="F69" s="47" t="str">
        <f t="shared" si="30"/>
        <v/>
      </c>
      <c r="G69" s="46">
        <f>SUMIF('TUM-M'!E:E,A69,'TUM-M'!Q:Q)+SUMIF('TUM-W'!E:E,A69,'TUM-W'!Q:Q)</f>
        <v>0</v>
      </c>
      <c r="H69" s="47" t="str">
        <f t="shared" si="31"/>
        <v/>
      </c>
    </row>
    <row r="70" spans="1:8" x14ac:dyDescent="0.2">
      <c r="A70" s="47" t="s">
        <v>75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4</v>
      </c>
      <c r="D70" s="47">
        <f t="shared" si="29"/>
        <v>5</v>
      </c>
      <c r="E70" s="46">
        <f>SUMIF('DMT-M'!E:E,A70,'DMT-M'!Q:Q)+SUMIF('DMT-W'!E:E,A70,'DMT-W'!Q:Q)</f>
        <v>2</v>
      </c>
      <c r="F70" s="47">
        <f t="shared" si="30"/>
        <v>7</v>
      </c>
      <c r="G70" s="46">
        <f>SUMIF('TUM-M'!E:E,A70,'TUM-M'!Q:Q)+SUMIF('TUM-W'!E:E,A70,'TUM-W'!Q:Q)</f>
        <v>0</v>
      </c>
      <c r="H70" s="47" t="str">
        <f t="shared" si="31"/>
        <v/>
      </c>
    </row>
    <row r="71" spans="1:8" x14ac:dyDescent="0.2">
      <c r="A71" s="47" t="s">
        <v>66</v>
      </c>
      <c r="B71" s="1" t="s">
        <v>94</v>
      </c>
      <c r="C71" s="46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47" t="str">
        <f t="shared" si="29"/>
        <v/>
      </c>
      <c r="E71" s="46">
        <f>SUMIF('DMT-M'!E:E,A71,'DMT-M'!Q:Q)+SUMIF('DMT-W'!E:E,A71,'DMT-W'!Q:Q)</f>
        <v>0</v>
      </c>
      <c r="F71" s="47" t="str">
        <f t="shared" si="30"/>
        <v/>
      </c>
      <c r="G71" s="46">
        <f>SUMIF('TUM-M'!E:E,A71,'TUM-M'!Q:Q)+SUMIF('TUM-W'!E:E,A71,'TUM-W'!Q:Q)</f>
        <v>0</v>
      </c>
      <c r="H71" s="47" t="str">
        <f t="shared" si="31"/>
        <v/>
      </c>
    </row>
    <row r="72" spans="1:8" x14ac:dyDescent="0.2">
      <c r="A72" s="47" t="s">
        <v>72</v>
      </c>
      <c r="B72" s="1" t="s">
        <v>93</v>
      </c>
      <c r="C72" s="46">
        <f>SUMIF('TRA-M'!E:E,A72,'TRA-M'!Q:Q)+SUMIF('TRA-W'!E:E,A72,'TRA-W'!Q:Q)+SUMIF('SYN-M'!E:E,A72,'SYN-M'!R:R)/2+SUMIF('SYN-W'!E:E,A72,'SYN-W'!R:R)/2+SUMIF('SYN-M'!F:F,A72,'SYN-M'!R:R)/2+SUMIF('SYN-W'!F:F,A72,'SYN-W'!R:R)/2</f>
        <v>7.5</v>
      </c>
      <c r="D72" s="47">
        <f t="shared" si="29"/>
        <v>1</v>
      </c>
      <c r="E72" s="46">
        <f>SUMIF('DMT-M'!E:E,A72,'DMT-M'!Q:Q)+SUMIF('DMT-W'!E:E,A72,'DMT-W'!Q:Q)</f>
        <v>0</v>
      </c>
      <c r="F72" s="47" t="str">
        <f t="shared" si="30"/>
        <v/>
      </c>
      <c r="G72" s="46">
        <f>SUMIF('TUM-M'!E:E,A72,'TUM-M'!Q:Q)+SUMIF('TUM-W'!E:E,A72,'TUM-W'!Q:Q)</f>
        <v>0</v>
      </c>
      <c r="H72" s="47" t="str">
        <f t="shared" si="31"/>
        <v/>
      </c>
    </row>
    <row r="73" spans="1:8" x14ac:dyDescent="0.2">
      <c r="A73" s="47" t="s">
        <v>144</v>
      </c>
      <c r="B73" s="1" t="s">
        <v>92</v>
      </c>
      <c r="C73" s="46">
        <f>SUMIF('TRA-M'!E:E,A73,'TRA-M'!Q:Q)+SUMIF('TRA-W'!E:E,A73,'TRA-W'!Q:Q)+SUMIF('SYN-M'!E:E,A73,'SYN-M'!R:R)/2+SUMIF('SYN-W'!E:E,A73,'SYN-W'!R:R)/2+SUMIF('SYN-M'!F:F,A73,'SYN-M'!R:R)/2+SUMIF('SYN-W'!F:F,A73,'SYN-W'!R:R)/2</f>
        <v>0</v>
      </c>
      <c r="D73" s="47" t="str">
        <f t="shared" si="29"/>
        <v/>
      </c>
      <c r="E73" s="46">
        <f>SUMIF('DMT-M'!E:E,A73,'DMT-M'!Q:Q)+SUMIF('DMT-W'!E:E,A73,'DMT-W'!Q:Q)</f>
        <v>0</v>
      </c>
      <c r="F73" s="47" t="str">
        <f t="shared" si="30"/>
        <v/>
      </c>
      <c r="G73" s="46">
        <f>SUMIF('TUM-M'!E:E,A73,'TUM-M'!Q:Q)+SUMIF('TUM-W'!E:E,A73,'TUM-W'!Q:Q)</f>
        <v>0</v>
      </c>
      <c r="H73" s="47" t="str">
        <f t="shared" si="31"/>
        <v/>
      </c>
    </row>
    <row r="74" spans="1:8" x14ac:dyDescent="0.2">
      <c r="A74" s="47" t="s">
        <v>128</v>
      </c>
      <c r="B74" s="1" t="s">
        <v>94</v>
      </c>
      <c r="C74" s="46">
        <f>SUMIF('TRA-M'!E:E,A74,'TRA-M'!Q:Q)+SUMIF('TRA-W'!E:E,A74,'TRA-W'!Q:Q)+SUMIF('SYN-M'!E:E,A74,'SYN-M'!R:R)/2+SUMIF('SYN-W'!E:E,A74,'SYN-W'!R:R)/2+SUMIF('SYN-M'!F:F,A74,'SYN-M'!R:R)/2+SUMIF('SYN-W'!F:F,A74,'SYN-W'!R:R)/2</f>
        <v>0</v>
      </c>
      <c r="D74" s="47" t="str">
        <f t="shared" si="29"/>
        <v/>
      </c>
      <c r="E74" s="46">
        <f>SUMIF('DMT-M'!E:E,A74,'DMT-M'!Q:Q)+SUMIF('DMT-W'!E:E,A74,'DMT-W'!Q:Q)</f>
        <v>4</v>
      </c>
      <c r="F74" s="47">
        <f t="shared" si="30"/>
        <v>4</v>
      </c>
      <c r="G74" s="46">
        <f>SUMIF('TUM-M'!E:E,A74,'TUM-M'!Q:Q)+SUMIF('TUM-W'!E:E,A74,'TUM-W'!Q:Q)</f>
        <v>0</v>
      </c>
      <c r="H74" s="47" t="str">
        <f t="shared" si="31"/>
        <v/>
      </c>
    </row>
    <row r="75" spans="1:8" x14ac:dyDescent="0.2">
      <c r="A75" s="47" t="s">
        <v>326</v>
      </c>
      <c r="B75" s="1" t="s">
        <v>93</v>
      </c>
      <c r="C75" s="46">
        <f>SUMIF('TRA-M'!E:E,A75,'TRA-M'!Q:Q)+SUMIF('TRA-W'!E:E,A75,'TRA-W'!Q:Q)+SUMIF('SYN-M'!E:E,A75,'SYN-M'!R:R)/2+SUMIF('SYN-W'!E:E,A75,'SYN-W'!R:R)/2+SUMIF('SYN-M'!F:F,A75,'SYN-M'!R:R)/2+SUMIF('SYN-W'!F:F,A75,'SYN-W'!R:R)/2</f>
        <v>0</v>
      </c>
      <c r="D75" s="47" t="str">
        <f t="shared" ref="D75" si="38">IF(C75&gt;0,RANK(C75,C$2:C$76),"")</f>
        <v/>
      </c>
      <c r="E75" s="46">
        <f>SUMIF('DMT-M'!E:E,A75,'DMT-M'!Q:Q)+SUMIF('DMT-W'!E:E,A75,'DMT-W'!Q:Q)</f>
        <v>0</v>
      </c>
      <c r="F75" s="47" t="str">
        <f t="shared" ref="F75" si="39">IF(E75&gt;0,RANK(E75,E$2:E$76),"")</f>
        <v/>
      </c>
      <c r="G75" s="46">
        <f>SUMIF('TUM-M'!E:E,A75,'TUM-M'!Q:Q)+SUMIF('TUM-W'!E:E,A75,'TUM-W'!Q:Q)</f>
        <v>0</v>
      </c>
      <c r="H75" s="47" t="str">
        <f t="shared" ref="H75" si="40">IF(G75&gt;0,RANK(G75,G$2:G$76),"")</f>
        <v/>
      </c>
    </row>
    <row r="76" spans="1:8" x14ac:dyDescent="0.2">
      <c r="A76" s="50" t="s">
        <v>174</v>
      </c>
      <c r="B76" s="49" t="s">
        <v>93</v>
      </c>
      <c r="C76" s="48">
        <f>SUMIF('TRA-M'!E:E,A76,'TRA-M'!Q:Q)+SUMIF('TRA-W'!E:E,A76,'TRA-W'!Q:Q)+SUMIF('SYN-M'!E:E,A76,'SYN-M'!R:R)/2+SUMIF('SYN-W'!E:E,A76,'SYN-W'!R:R)/2+SUMIF('SYN-M'!F:F,A76,'SYN-M'!R:R)/2+SUMIF('SYN-W'!F:F,A76,'SYN-W'!R:R)/2</f>
        <v>0</v>
      </c>
      <c r="D76" s="50" t="str">
        <f t="shared" si="29"/>
        <v/>
      </c>
      <c r="E76" s="48">
        <f>SUMIF('DMT-M'!E:E,A76,'DMT-M'!Q:Q)+SUMIF('DMT-W'!E:E,A76,'DMT-W'!Q:Q)</f>
        <v>0</v>
      </c>
      <c r="F76" s="50" t="str">
        <f t="shared" si="30"/>
        <v/>
      </c>
      <c r="G76" s="48">
        <f>SUMIF('TUM-M'!E:E,A76,'TUM-M'!Q:Q)+SUMIF('TUM-W'!E:E,A76,'TUM-W'!Q:Q)</f>
        <v>0</v>
      </c>
      <c r="H76" s="50" t="str">
        <f t="shared" si="31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cm="1">
        <f t="array" ref="A3">IF(I3="","",IF(P3&lt;&gt;"",SUMPRODUCT((P$3:P$91&lt;&gt;"")*(G$3:G$91=G3)*(J$3:J$91&gt;J3)*(I$3:I$91="P"))+1,IF(O3&lt;&gt;"",SUMPRODUCT((O$3:O$91&lt;&gt;"")*(P$3:P$91="")*(G$3:G$91=G3)*(J$3:J$91&gt;J3)*(I$3:I$91="P"))+SUMPRODUCT((P$3:P$91&lt;&gt;"")*(G$3:G$91=G3)*(I$3:I$91="P"))+1,IF(N3&lt;&gt;"",SUMPRODUCT((N$3:N$91&lt;&gt;"")*(G$3:G$91=G3)*(J$3:J$91&gt;J3)*(I$3:I$91="P"))+1,IF(M3="P",SUMPRODUCT((O$3:O$91&lt;&gt;"")*(P$3:P$91="")*(G$3:G$91=G3)*(I$3:I$91="P"))+SUMPRODUCT((P$3:P$91&lt;&gt;"")*(G$3:G$91=G3)*(I$3:I$91="P"))+SUMPRODUCT((N$3:N$91&lt;&gt;"")*(G$3:G$91=G3)*(I$3:I$91="P"))+SUMPRODUCT((P$3:P$91="")*(O$3:O$91="")*(N$3:N$91="")*(M$3:M$91="P")*(G$3:G$91=G3)*(J$3:J$91&gt;J3)*(I$3:I$91="P"))+IF(H3="L5",SUMPRODUCT((P$3:P$91="")*(O$3:O$91="")*(N$3:N$91="")*(M$3:M$91="P")*(G$3:G$91=G3)*(J$3:J$91&lt;J3)*(H$3:H$91&lt;&gt;H3)*(I$3:I$91="P")),-1*SUMPRODUCT((P$3:P$91="")*(O$3:O$91="")*(N$3:N$91="")*(M$3:M$91="P")*(G$3:G$91=G3)*(J$3:J$91&gt;J3)*(H$3:H$91="L5")*(I$3:I$91="P")))+1,"")))))</f>
        <v>1</v>
      </c>
      <c r="B3" s="1" cm="1">
        <f t="array" ref="B3">IF(P3&lt;&gt;"",SUMPRODUCT((P$3:P$91&lt;&gt;"")*(G$3:G$91=G3)*(J$3:J$91&gt;J3))+1,IF(O3&lt;&gt;"",SUMPRODUCT((O$3:O$91&lt;&gt;"")*(P$3:P$91="")*(G$3:G$91=G3)*(J$3:J$91&gt;J3))+SUMPRODUCT((P$3:P$91&lt;&gt;"")*(G$3:G$91=G3))+1,IF(N3&lt;&gt;"",SUMPRODUCT((N$3:N$91&lt;&gt;"")*(G$3:G$91=G3)*(J$3:J$91&gt;J3))+1,IF(M3="P",SUMPRODUCT((O$3:O$91&lt;&gt;"")*(P$3:P$91="")*(G$3:G$91=G3))+SUMPRODUCT((P$3:P$91&lt;&gt;"")*(G$3:G$91=G3))+SUMPRODUCT((N$3:N$91&lt;&gt;"")*(G$3:G$91=G3))+SUMPRODUCT((P$3:P$91="")*(O$3:O$91="")*(N$3:N$91="")*(M$3:M$91="P")*(G$3:G$91=G3)*(J$3:J$91&gt;J3))+IF(H3="L5",SUMPRODUCT((P$3:P$91="")*(O$3:O$91="")*(N$3:N$91="")*(M$3:M$91="P")*(G$3:G$91=G3)*(J$3:J$91&lt;J3)*(H$3:H$91&lt;&gt;H3)),-1*SUMPRODUCT((P$3:P$91="")*(O$3:O$91="")*(N$3:N$91="")*(M$3:M$91="P")*(G$3:G$91=G3)*(J$3:J$91&gt;J3)*(H$3:H$91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>
        <f>IF(AND(B3&lt;5,I3="P"),IF(_xlfn.MAXIFS(B:B,G:G,G3)&gt;3,5-B3,_xlfn.MAXIFS(B:B,G:G,G3)+1-B3),"")</f>
        <v>4</v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cm="1">
        <f t="array" ref="A4">IF(I4="","",IF(P4&lt;&gt;"",SUMPRODUCT((P$3:P$91&lt;&gt;"")*(G$3:G$91=G4)*(J$3:J$91&gt;J4)*(I$3:I$91="P"))+1,IF(O4&lt;&gt;"",SUMPRODUCT((O$3:O$91&lt;&gt;"")*(P$3:P$91="")*(G$3:G$91=G4)*(J$3:J$91&gt;J4)*(I$3:I$91="P"))+SUMPRODUCT((P$3:P$91&lt;&gt;"")*(G$3:G$91=G4)*(I$3:I$91="P"))+1,IF(N4&lt;&gt;"",SUMPRODUCT((N$3:N$91&lt;&gt;"")*(G$3:G$91=G4)*(J$3:J$91&gt;J4)*(I$3:I$91="P"))+1,IF(M4="P",SUMPRODUCT((O$3:O$91&lt;&gt;"")*(P$3:P$91="")*(G$3:G$91=G4)*(I$3:I$91="P"))+SUMPRODUCT((P$3:P$91&lt;&gt;"")*(G$3:G$91=G4)*(I$3:I$91="P"))+SUMPRODUCT((N$3:N$91&lt;&gt;"")*(G$3:G$91=G4)*(I$3:I$91="P"))+SUMPRODUCT((P$3:P$91="")*(O$3:O$91="")*(N$3:N$91="")*(M$3:M$91="P")*(G$3:G$91=G4)*(J$3:J$91&gt;J4)*(I$3:I$91="P"))+IF(H4="L5",SUMPRODUCT((P$3:P$91="")*(O$3:O$91="")*(N$3:N$91="")*(M$3:M$91="P")*(G$3:G$91=G4)*(J$3:J$91&lt;J4)*(H$3:H$91&lt;&gt;H4)*(I$3:I$91="P")),-1*SUMPRODUCT((P$3:P$91="")*(O$3:O$91="")*(N$3:N$91="")*(M$3:M$91="P")*(G$3:G$91=G4)*(J$3:J$91&gt;J4)*(H$3:H$91="L5")*(I$3:I$91="P")))+1,"")))))</f>
        <v>2</v>
      </c>
      <c r="B4" s="1" cm="1">
        <f t="array" ref="B4">IF(P4&lt;&gt;"",SUMPRODUCT((P$3:P$91&lt;&gt;"")*(G$3:G$91=G4)*(J$3:J$91&gt;J4))+1,IF(O4&lt;&gt;"",SUMPRODUCT((O$3:O$91&lt;&gt;"")*(P$3:P$91="")*(G$3:G$91=G4)*(J$3:J$91&gt;J4))+SUMPRODUCT((P$3:P$91&lt;&gt;"")*(G$3:G$91=G4))+1,IF(N4&lt;&gt;"",SUMPRODUCT((N$3:N$91&lt;&gt;"")*(G$3:G$91=G4)*(J$3:J$91&gt;J4))+1,IF(M4="P",SUMPRODUCT((O$3:O$91&lt;&gt;"")*(P$3:P$91="")*(G$3:G$91=G4))+SUMPRODUCT((P$3:P$91&lt;&gt;"")*(G$3:G$91=G4))+SUMPRODUCT((N$3:N$91&lt;&gt;"")*(G$3:G$91=G4))+SUMPRODUCT((P$3:P$91="")*(O$3:O$91="")*(N$3:N$91="")*(M$3:M$91="P")*(G$3:G$91=G4)*(J$3:J$91&gt;J4))+IF(H4="L5",SUMPRODUCT((P$3:P$91="")*(O$3:O$91="")*(N$3:N$91="")*(M$3:M$91="P")*(G$3:G$91=G4)*(J$3:J$91&lt;J4)*(H$3:H$91&lt;&gt;H4)),-1*SUMPRODUCT((P$3:P$91="")*(O$3:O$91="")*(N$3:N$91="")*(M$3:M$91="P")*(G$3:G$91=G4)*(J$3:J$91&gt;J4)*(H$3:H$91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>
        <f>IF(AND(B4&lt;5,I4="P"),IF(_xlfn.MAXIFS(B:B,G:G,G4)&gt;3,5-B4,_xlfn.MAXIFS(B:B,G:G,G4)+1-B4),"")</f>
        <v>3</v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cm="1">
        <f t="array" ref="A5">IF(I5="","",IF(P5&lt;&gt;"",SUMPRODUCT((P$3:P$91&lt;&gt;"")*(G$3:G$91=G5)*(J$3:J$91&gt;J5)*(I$3:I$91="P"))+1,IF(O5&lt;&gt;"",SUMPRODUCT((O$3:O$91&lt;&gt;"")*(P$3:P$91="")*(G$3:G$91=G5)*(J$3:J$91&gt;J5)*(I$3:I$91="P"))+SUMPRODUCT((P$3:P$91&lt;&gt;"")*(G$3:G$91=G5)*(I$3:I$91="P"))+1,IF(N5&lt;&gt;"",SUMPRODUCT((N$3:N$91&lt;&gt;"")*(G$3:G$91=G5)*(J$3:J$91&gt;J5)*(I$3:I$91="P"))+1,IF(M5="P",SUMPRODUCT((O$3:O$91&lt;&gt;"")*(P$3:P$91="")*(G$3:G$91=G5)*(I$3:I$91="P"))+SUMPRODUCT((P$3:P$91&lt;&gt;"")*(G$3:G$91=G5)*(I$3:I$91="P"))+SUMPRODUCT((N$3:N$91&lt;&gt;"")*(G$3:G$91=G5)*(I$3:I$91="P"))+SUMPRODUCT((P$3:P$91="")*(O$3:O$91="")*(N$3:N$91="")*(M$3:M$91="P")*(G$3:G$91=G5)*(J$3:J$91&gt;J5)*(I$3:I$91="P"))+IF(H5="L5",SUMPRODUCT((P$3:P$91="")*(O$3:O$91="")*(N$3:N$91="")*(M$3:M$91="P")*(G$3:G$91=G5)*(J$3:J$91&lt;J5)*(H$3:H$91&lt;&gt;H5)*(I$3:I$91="P")),-1*SUMPRODUCT((P$3:P$91="")*(O$3:O$91="")*(N$3:N$91="")*(M$3:M$91="P")*(G$3:G$91=G5)*(J$3:J$91&gt;J5)*(H$3:H$91="L5")*(I$3:I$91="P")))+1,"")))))</f>
        <v>3</v>
      </c>
      <c r="B5" s="1" cm="1">
        <f t="array" ref="B5">IF(P5&lt;&gt;"",SUMPRODUCT((P$3:P$91&lt;&gt;"")*(G$3:G$91=G5)*(J$3:J$91&gt;J5))+1,IF(O5&lt;&gt;"",SUMPRODUCT((O$3:O$91&lt;&gt;"")*(P$3:P$91="")*(G$3:G$91=G5)*(J$3:J$91&gt;J5))+SUMPRODUCT((P$3:P$91&lt;&gt;"")*(G$3:G$91=G5))+1,IF(N5&lt;&gt;"",SUMPRODUCT((N$3:N$91&lt;&gt;"")*(G$3:G$91=G5)*(J$3:J$91&gt;J5))+1,IF(M5="P",SUMPRODUCT((O$3:O$91&lt;&gt;"")*(P$3:P$91="")*(G$3:G$91=G5))+SUMPRODUCT((P$3:P$91&lt;&gt;"")*(G$3:G$91=G5))+SUMPRODUCT((N$3:N$91&lt;&gt;"")*(G$3:G$91=G5))+SUMPRODUCT((P$3:P$91="")*(O$3:O$91="")*(N$3:N$91="")*(M$3:M$91="P")*(G$3:G$91=G5)*(J$3:J$91&gt;J5))+IF(H5="L5",SUMPRODUCT((P$3:P$91="")*(O$3:O$91="")*(N$3:N$91="")*(M$3:M$91="P")*(G$3:G$91=G5)*(J$3:J$91&lt;J5)*(H$3:H$91&lt;&gt;H5)),-1*SUMPRODUCT((P$3:P$91="")*(O$3:O$91="")*(N$3:N$91="")*(M$3:M$91="P")*(G$3:G$91=G5)*(J$3:J$91&gt;J5)*(H$3:H$91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>
        <f>IF(AND(B5&lt;5,I5="P"),IF(_xlfn.MAXIFS(B:B,G:G,G5)&gt;3,5-B5,_xlfn.MAXIFS(B:B,G:G,G5)+1-B5),"")</f>
        <v>2</v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cm="1">
        <f t="array" ref="A6">IF(I6="","",IF(P6&lt;&gt;"",SUMPRODUCT((P$3:P$91&lt;&gt;"")*(G$3:G$91=G6)*(J$3:J$91&gt;J6)*(I$3:I$91="P"))+1,IF(O6&lt;&gt;"",SUMPRODUCT((O$3:O$91&lt;&gt;"")*(P$3:P$91="")*(G$3:G$91=G6)*(J$3:J$91&gt;J6)*(I$3:I$91="P"))+SUMPRODUCT((P$3:P$91&lt;&gt;"")*(G$3:G$91=G6)*(I$3:I$91="P"))+1,IF(N6&lt;&gt;"",SUMPRODUCT((N$3:N$91&lt;&gt;"")*(G$3:G$91=G6)*(J$3:J$91&gt;J6)*(I$3:I$91="P"))+1,IF(M6="P",SUMPRODUCT((O$3:O$91&lt;&gt;"")*(P$3:P$91="")*(G$3:G$91=G6)*(I$3:I$91="P"))+SUMPRODUCT((P$3:P$91&lt;&gt;"")*(G$3:G$91=G6)*(I$3:I$91="P"))+SUMPRODUCT((N$3:N$91&lt;&gt;"")*(G$3:G$91=G6)*(I$3:I$91="P"))+SUMPRODUCT((P$3:P$91="")*(O$3:O$91="")*(N$3:N$91="")*(M$3:M$91="P")*(G$3:G$91=G6)*(J$3:J$91&gt;J6)*(I$3:I$91="P"))+IF(H6="L5",SUMPRODUCT((P$3:P$91="")*(O$3:O$91="")*(N$3:N$91="")*(M$3:M$91="P")*(G$3:G$91=G6)*(J$3:J$91&lt;J6)*(H$3:H$91&lt;&gt;H6)*(I$3:I$91="P")),-1*SUMPRODUCT((P$3:P$91="")*(O$3:O$91="")*(N$3:N$91="")*(M$3:M$91="P")*(G$3:G$91=G6)*(J$3:J$91&gt;J6)*(H$3:H$91="L5")*(I$3:I$91="P")))+1,"")))))</f>
        <v>4</v>
      </c>
      <c r="B6" s="1" cm="1">
        <f t="array" ref="B6">IF(P6&lt;&gt;"",SUMPRODUCT((P$3:P$91&lt;&gt;"")*(G$3:G$91=G6)*(J$3:J$91&gt;J6))+1,IF(O6&lt;&gt;"",SUMPRODUCT((O$3:O$91&lt;&gt;"")*(P$3:P$91="")*(G$3:G$91=G6)*(J$3:J$91&gt;J6))+SUMPRODUCT((P$3:P$91&lt;&gt;"")*(G$3:G$91=G6))+1,IF(N6&lt;&gt;"",SUMPRODUCT((N$3:N$91&lt;&gt;"")*(G$3:G$91=G6)*(J$3:J$91&gt;J6))+1,IF(M6="P",SUMPRODUCT((O$3:O$91&lt;&gt;"")*(P$3:P$91="")*(G$3:G$91=G6))+SUMPRODUCT((P$3:P$91&lt;&gt;"")*(G$3:G$91=G6))+SUMPRODUCT((N$3:N$91&lt;&gt;"")*(G$3:G$91=G6))+SUMPRODUCT((P$3:P$91="")*(O$3:O$91="")*(N$3:N$91="")*(M$3:M$91="P")*(G$3:G$91=G6)*(J$3:J$91&gt;J6))+IF(H6="L5",SUMPRODUCT((P$3:P$91="")*(O$3:O$91="")*(N$3:N$91="")*(M$3:M$91="P")*(G$3:G$91=G6)*(J$3:J$91&lt;J6)*(H$3:H$91&lt;&gt;H6)),-1*SUMPRODUCT((P$3:P$91="")*(O$3:O$91="")*(N$3:N$91="")*(M$3:M$91="P")*(G$3:G$91=G6)*(J$3:J$91&gt;J6)*(H$3:H$91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>
        <f>IF(AND(B6&lt;5,I6="P"),IF(_xlfn.MAXIFS(B:B,G:G,G6)&gt;3,5-B6,_xlfn.MAXIFS(B:B,G:G,G6)+1-B6),"")</f>
        <v>1</v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cm="1">
        <f t="array" ref="A7">IF(I7="","",IF(P7&lt;&gt;"",SUMPRODUCT((P$3:P$91&lt;&gt;"")*(G$3:G$91=G7)*(J$3:J$91&gt;J7)*(I$3:I$91="P"))+1,IF(O7&lt;&gt;"",SUMPRODUCT((O$3:O$91&lt;&gt;"")*(P$3:P$91="")*(G$3:G$91=G7)*(J$3:J$91&gt;J7)*(I$3:I$91="P"))+SUMPRODUCT((P$3:P$91&lt;&gt;"")*(G$3:G$91=G7)*(I$3:I$91="P"))+1,IF(N7&lt;&gt;"",SUMPRODUCT((N$3:N$91&lt;&gt;"")*(G$3:G$91=G7)*(J$3:J$91&gt;J7)*(I$3:I$91="P"))+1,IF(M7="P",SUMPRODUCT((O$3:O$91&lt;&gt;"")*(P$3:P$91="")*(G$3:G$91=G7)*(I$3:I$91="P"))+SUMPRODUCT((P$3:P$91&lt;&gt;"")*(G$3:G$91=G7)*(I$3:I$91="P"))+SUMPRODUCT((N$3:N$91&lt;&gt;"")*(G$3:G$91=G7)*(I$3:I$91="P"))+SUMPRODUCT((P$3:P$91="")*(O$3:O$91="")*(N$3:N$91="")*(M$3:M$91="P")*(G$3:G$91=G7)*(J$3:J$91&gt;J7)*(I$3:I$91="P"))+IF(H7="L5",SUMPRODUCT((P$3:P$91="")*(O$3:O$91="")*(N$3:N$91="")*(M$3:M$91="P")*(G$3:G$91=G7)*(J$3:J$91&lt;J7)*(H$3:H$91&lt;&gt;H7)*(I$3:I$91="P")),-1*SUMPRODUCT((P$3:P$91="")*(O$3:O$91="")*(N$3:N$91="")*(M$3:M$91="P")*(G$3:G$91=G7)*(J$3:J$91&gt;J7)*(H$3:H$91="L5")*(I$3:I$91="P")))+1,"")))))</f>
        <v>5</v>
      </c>
      <c r="B7" s="1" cm="1">
        <f t="array" ref="B7">IF(P7&lt;&gt;"",SUMPRODUCT((P$3:P$91&lt;&gt;"")*(G$3:G$91=G7)*(J$3:J$91&gt;J7))+1,IF(O7&lt;&gt;"",SUMPRODUCT((O$3:O$91&lt;&gt;"")*(P$3:P$91="")*(G$3:G$91=G7)*(J$3:J$91&gt;J7))+SUMPRODUCT((P$3:P$91&lt;&gt;"")*(G$3:G$91=G7))+1,IF(N7&lt;&gt;"",SUMPRODUCT((N$3:N$91&lt;&gt;"")*(G$3:G$91=G7)*(J$3:J$91&gt;J7))+1,IF(M7="P",SUMPRODUCT((O$3:O$91&lt;&gt;"")*(P$3:P$91="")*(G$3:G$91=G7))+SUMPRODUCT((P$3:P$91&lt;&gt;"")*(G$3:G$91=G7))+SUMPRODUCT((N$3:N$91&lt;&gt;"")*(G$3:G$91=G7))+SUMPRODUCT((P$3:P$91="")*(O$3:O$91="")*(N$3:N$91="")*(M$3:M$91="P")*(G$3:G$91=G7)*(J$3:J$91&gt;J7))+IF(H7="L5",SUMPRODUCT((P$3:P$91="")*(O$3:O$91="")*(N$3:N$91="")*(M$3:M$91="P")*(G$3:G$91=G7)*(J$3:J$91&lt;J7)*(H$3:H$91&lt;&gt;H7)),-1*SUMPRODUCT((P$3:P$91="")*(O$3:O$91="")*(N$3:N$91="")*(M$3:M$91="P")*(G$3:G$91=G7)*(J$3:J$91&gt;J7)*(H$3:H$91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 t="s">
        <v>507</v>
      </c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IF(AND(B7&lt;5,I7="P"),IF(_xlfn.MAXIFS(B:B,G:G,G7)&gt;3,5-B7,_xlfn.MAXIFS(B:B,G:G,G7)+1-B7),"")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cm="1">
        <f t="array" ref="A8">IF(I8="","",IF(P8&lt;&gt;"",SUMPRODUCT((P$3:P$91&lt;&gt;"")*(G$3:G$91=G8)*(J$3:J$91&gt;J8)*(I$3:I$91="P"))+1,IF(O8&lt;&gt;"",SUMPRODUCT((O$3:O$91&lt;&gt;"")*(P$3:P$91="")*(G$3:G$91=G8)*(J$3:J$91&gt;J8)*(I$3:I$91="P"))+SUMPRODUCT((P$3:P$91&lt;&gt;"")*(G$3:G$91=G8)*(I$3:I$91="P"))+1,IF(N8&lt;&gt;"",SUMPRODUCT((N$3:N$91&lt;&gt;"")*(G$3:G$91=G8)*(J$3:J$91&gt;J8)*(I$3:I$91="P"))+1,IF(M8="P",SUMPRODUCT((O$3:O$91&lt;&gt;"")*(P$3:P$91="")*(G$3:G$91=G8)*(I$3:I$91="P"))+SUMPRODUCT((P$3:P$91&lt;&gt;"")*(G$3:G$91=G8)*(I$3:I$91="P"))+SUMPRODUCT((N$3:N$91&lt;&gt;"")*(G$3:G$91=G8)*(I$3:I$91="P"))+SUMPRODUCT((P$3:P$91="")*(O$3:O$91="")*(N$3:N$91="")*(M$3:M$91="P")*(G$3:G$91=G8)*(J$3:J$91&gt;J8)*(I$3:I$91="P"))+IF(H8="L5",SUMPRODUCT((P$3:P$91="")*(O$3:O$91="")*(N$3:N$91="")*(M$3:M$91="P")*(G$3:G$91=G8)*(J$3:J$91&lt;J8)*(H$3:H$91&lt;&gt;H8)*(I$3:I$91="P")),-1*SUMPRODUCT((P$3:P$91="")*(O$3:O$91="")*(N$3:N$91="")*(M$3:M$91="P")*(G$3:G$91=G8)*(J$3:J$91&gt;J8)*(H$3:H$91="L5")*(I$3:I$91="P")))+1,"")))))</f>
        <v>6</v>
      </c>
      <c r="B8" s="1" cm="1">
        <f t="array" ref="B8">IF(P8&lt;&gt;"",SUMPRODUCT((P$3:P$91&lt;&gt;"")*(G$3:G$91=G8)*(J$3:J$91&gt;J8))+1,IF(O8&lt;&gt;"",SUMPRODUCT((O$3:O$91&lt;&gt;"")*(P$3:P$91="")*(G$3:G$91=G8)*(J$3:J$91&gt;J8))+SUMPRODUCT((P$3:P$91&lt;&gt;"")*(G$3:G$91=G8))+1,IF(N8&lt;&gt;"",SUMPRODUCT((N$3:N$91&lt;&gt;"")*(G$3:G$91=G8)*(J$3:J$91&gt;J8))+1,IF(M8="P",SUMPRODUCT((O$3:O$91&lt;&gt;"")*(P$3:P$91="")*(G$3:G$91=G8))+SUMPRODUCT((P$3:P$91&lt;&gt;"")*(G$3:G$91=G8))+SUMPRODUCT((N$3:N$91&lt;&gt;"")*(G$3:G$91=G8))+SUMPRODUCT((P$3:P$91="")*(O$3:O$91="")*(N$3:N$91="")*(M$3:M$91="P")*(G$3:G$91=G8)*(J$3:J$91&gt;J8))+IF(H8="L5",SUMPRODUCT((P$3:P$91="")*(O$3:O$91="")*(N$3:N$91="")*(M$3:M$91="P")*(G$3:G$91=G8)*(J$3:J$91&lt;J8)*(H$3:H$91&lt;&gt;H8)),-1*SUMPRODUCT((P$3:P$91="")*(O$3:O$91="")*(N$3:N$91="")*(M$3:M$91="P")*(G$3:G$91=G8)*(J$3:J$91&gt;J8)*(H$3:H$91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 t="s">
        <v>507</v>
      </c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IF(AND(B8&lt;5,I8="P"),IF(_xlfn.MAXIFS(B:B,G:G,G8)&gt;3,5-B8,_xlfn.MAXIFS(B:B,G:G,G8)+1-B8),"")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cm="1">
        <f t="array" ref="A9">IF(I9="","",IF(P9&lt;&gt;"",SUMPRODUCT((P$3:P$91&lt;&gt;"")*(G$3:G$91=G9)*(J$3:J$91&gt;J9)*(I$3:I$91="P"))+1,IF(O9&lt;&gt;"",SUMPRODUCT((O$3:O$91&lt;&gt;"")*(P$3:P$91="")*(G$3:G$91=G9)*(J$3:J$91&gt;J9)*(I$3:I$91="P"))+SUMPRODUCT((P$3:P$91&lt;&gt;"")*(G$3:G$91=G9)*(I$3:I$91="P"))+1,IF(N9&lt;&gt;"",SUMPRODUCT((N$3:N$91&lt;&gt;"")*(G$3:G$91=G9)*(J$3:J$91&gt;J9)*(I$3:I$91="P"))+1,IF(M9="P",SUMPRODUCT((O$3:O$91&lt;&gt;"")*(P$3:P$91="")*(G$3:G$91=G9)*(I$3:I$91="P"))+SUMPRODUCT((P$3:P$91&lt;&gt;"")*(G$3:G$91=G9)*(I$3:I$91="P"))+SUMPRODUCT((N$3:N$91&lt;&gt;"")*(G$3:G$91=G9)*(I$3:I$91="P"))+SUMPRODUCT((P$3:P$91="")*(O$3:O$91="")*(N$3:N$91="")*(M$3:M$91="P")*(G$3:G$91=G9)*(J$3:J$91&gt;J9)*(I$3:I$91="P"))+IF(H9="L5",SUMPRODUCT((P$3:P$91="")*(O$3:O$91="")*(N$3:N$91="")*(M$3:M$91="P")*(G$3:G$91=G9)*(J$3:J$91&lt;J9)*(H$3:H$91&lt;&gt;H9)*(I$3:I$91="P")),-1*SUMPRODUCT((P$3:P$91="")*(O$3:O$91="")*(N$3:N$91="")*(M$3:M$91="P")*(G$3:G$91=G9)*(J$3:J$91&gt;J9)*(H$3:H$91="L5")*(I$3:I$91="P")))+1,"")))))</f>
        <v>7</v>
      </c>
      <c r="B9" s="1" cm="1">
        <f t="array" ref="B9">IF(P9&lt;&gt;"",SUMPRODUCT((P$3:P$91&lt;&gt;"")*(G$3:G$91=G9)*(J$3:J$91&gt;J9))+1,IF(O9&lt;&gt;"",SUMPRODUCT((O$3:O$91&lt;&gt;"")*(P$3:P$91="")*(G$3:G$91=G9)*(J$3:J$91&gt;J9))+SUMPRODUCT((P$3:P$91&lt;&gt;"")*(G$3:G$91=G9))+1,IF(N9&lt;&gt;"",SUMPRODUCT((N$3:N$91&lt;&gt;"")*(G$3:G$91=G9)*(J$3:J$91&gt;J9))+1,IF(M9="P",SUMPRODUCT((O$3:O$91&lt;&gt;"")*(P$3:P$91="")*(G$3:G$91=G9))+SUMPRODUCT((P$3:P$91&lt;&gt;"")*(G$3:G$91=G9))+SUMPRODUCT((N$3:N$91&lt;&gt;"")*(G$3:G$91=G9))+SUMPRODUCT((P$3:P$91="")*(O$3:O$91="")*(N$3:N$91="")*(M$3:M$91="P")*(G$3:G$91=G9)*(J$3:J$91&gt;J9))+IF(H9="L5",SUMPRODUCT((P$3:P$91="")*(O$3:O$91="")*(N$3:N$91="")*(M$3:M$91="P")*(G$3:G$91=G9)*(J$3:J$91&lt;J9)*(H$3:H$91&lt;&gt;H9)),-1*SUMPRODUCT((P$3:P$91="")*(O$3:O$91="")*(N$3:N$91="")*(M$3:M$91="P")*(G$3:G$91=G9)*(J$3:J$91&gt;J9)*(H$3:H$91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 t="s">
        <v>507</v>
      </c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IF(AND(B9&lt;5,I9="P"),IF(_xlfn.MAXIFS(B:B,G:G,G9)&gt;3,5-B9,_xlfn.MAXIFS(B:B,G:G,G9)+1-B9),"")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cm="1">
        <f t="array" ref="A10">IF(I10="","",IF(P10&lt;&gt;"",SUMPRODUCT((P$3:P$91&lt;&gt;"")*(G$3:G$91=G10)*(J$3:J$91&gt;J10)*(I$3:I$91="P"))+1,IF(O10&lt;&gt;"",SUMPRODUCT((O$3:O$91&lt;&gt;"")*(P$3:P$91="")*(G$3:G$91=G10)*(J$3:J$91&gt;J10)*(I$3:I$91="P"))+SUMPRODUCT((P$3:P$91&lt;&gt;"")*(G$3:G$91=G10)*(I$3:I$91="P"))+1,IF(N10&lt;&gt;"",SUMPRODUCT((N$3:N$91&lt;&gt;"")*(G$3:G$91=G10)*(J$3:J$91&gt;J10)*(I$3:I$91="P"))+1,IF(M10="P",SUMPRODUCT((O$3:O$91&lt;&gt;"")*(P$3:P$91="")*(G$3:G$91=G10)*(I$3:I$91="P"))+SUMPRODUCT((P$3:P$91&lt;&gt;"")*(G$3:G$91=G10)*(I$3:I$91="P"))+SUMPRODUCT((N$3:N$91&lt;&gt;"")*(G$3:G$91=G10)*(I$3:I$91="P"))+SUMPRODUCT((P$3:P$91="")*(O$3:O$91="")*(N$3:N$91="")*(M$3:M$91="P")*(G$3:G$91=G10)*(J$3:J$91&gt;J10)*(I$3:I$91="P"))+IF(H10="L5",SUMPRODUCT((P$3:P$91="")*(O$3:O$91="")*(N$3:N$91="")*(M$3:M$91="P")*(G$3:G$91=G10)*(J$3:J$91&lt;J10)*(H$3:H$91&lt;&gt;H10)*(I$3:I$91="P")),-1*SUMPRODUCT((P$3:P$91="")*(O$3:O$91="")*(N$3:N$91="")*(M$3:M$91="P")*(G$3:G$91=G10)*(J$3:J$91&gt;J10)*(H$3:H$91="L5")*(I$3:I$91="P")))+1,"")))))</f>
        <v>8</v>
      </c>
      <c r="B10" s="1" cm="1">
        <f t="array" ref="B10">IF(P10&lt;&gt;"",SUMPRODUCT((P$3:P$91&lt;&gt;"")*(G$3:G$91=G10)*(J$3:J$91&gt;J10))+1,IF(O10&lt;&gt;"",SUMPRODUCT((O$3:O$91&lt;&gt;"")*(P$3:P$91="")*(G$3:G$91=G10)*(J$3:J$91&gt;J10))+SUMPRODUCT((P$3:P$91&lt;&gt;"")*(G$3:G$91=G10))+1,IF(N10&lt;&gt;"",SUMPRODUCT((N$3:N$91&lt;&gt;"")*(G$3:G$91=G10)*(J$3:J$91&gt;J10))+1,IF(M10="P",SUMPRODUCT((O$3:O$91&lt;&gt;"")*(P$3:P$91="")*(G$3:G$91=G10))+SUMPRODUCT((P$3:P$91&lt;&gt;"")*(G$3:G$91=G10))+SUMPRODUCT((N$3:N$91&lt;&gt;"")*(G$3:G$91=G10))+SUMPRODUCT((P$3:P$91="")*(O$3:O$91="")*(N$3:N$91="")*(M$3:M$91="P")*(G$3:G$91=G10)*(J$3:J$91&gt;J10))+IF(H10="L5",SUMPRODUCT((P$3:P$91="")*(O$3:O$91="")*(N$3:N$91="")*(M$3:M$91="P")*(G$3:G$91=G10)*(J$3:J$91&lt;J10)*(H$3:H$91&lt;&gt;H10)),-1*SUMPRODUCT((P$3:P$91="")*(O$3:O$91="")*(N$3:N$91="")*(M$3:M$91="P")*(G$3:G$91=G10)*(J$3:J$91&gt;J10)*(H$3:H$91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 t="s">
        <v>507</v>
      </c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IF(AND(B10&lt;5,I10="P"),IF(_xlfn.MAXIFS(B:B,G:G,G10)&gt;3,5-B10,_xlfn.MAXIFS(B:B,G:G,G10)+1-B10),"")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$91&lt;&gt;"")*(G$3:G$91=G11)*(J$3:J$91&gt;J11)*(I$3:I$91="P"))+1,IF(O11&lt;&gt;"",SUMPRODUCT((O$3:O$91&lt;&gt;"")*(P$3:P$91="")*(G$3:G$91=G11)*(J$3:J$91&gt;J11)*(I$3:I$91="P"))+SUMPRODUCT((P$3:P$91&lt;&gt;"")*(G$3:G$91=G11)*(I$3:I$91="P"))+1,IF(N11&lt;&gt;"",SUMPRODUCT((N$3:N$91&lt;&gt;"")*(G$3:G$91=G11)*(J$3:J$91&gt;J11)*(I$3:I$91="P"))+1,IF(M11="P",SUMPRODUCT((O$3:O$91&lt;&gt;"")*(P$3:P$91="")*(G$3:G$91=G11)*(I$3:I$91="P"))+SUMPRODUCT((P$3:P$91&lt;&gt;"")*(G$3:G$91=G11)*(I$3:I$91="P"))+SUMPRODUCT((N$3:N$91&lt;&gt;"")*(G$3:G$91=G11)*(I$3:I$91="P"))+SUMPRODUCT((P$3:P$91="")*(O$3:O$91="")*(N$3:N$91="")*(M$3:M$91="P")*(G$3:G$91=G11)*(J$3:J$91&gt;J11)*(I$3:I$91="P"))+IF(H11="L5",SUMPRODUCT((P$3:P$91="")*(O$3:O$91="")*(N$3:N$91="")*(M$3:M$91="P")*(G$3:G$91=G11)*(J$3:J$91&lt;J11)*(H$3:H$91&lt;&gt;H11)*(I$3:I$91="P")),-1*SUMPRODUCT((P$3:P$91="")*(O$3:O$91="")*(N$3:N$91="")*(M$3:M$91="P")*(G$3:G$91=G11)*(J$3:J$91&gt;J11)*(H$3:H$91="L5")*(I$3:I$91="P")))+1,"")))))</f>
        <v/>
      </c>
      <c r="B11" s="1" cm="1">
        <f t="array" ref="B11">IF(P11&lt;&gt;"",SUMPRODUCT((P$3:P$91&lt;&gt;"")*(G$3:G$91=G11)*(J$3:J$91&gt;J11))+1,IF(O11&lt;&gt;"",SUMPRODUCT((O$3:O$91&lt;&gt;"")*(P$3:P$91="")*(G$3:G$91=G11)*(J$3:J$91&gt;J11))+SUMPRODUCT((P$3:P$91&lt;&gt;"")*(G$3:G$91=G11))+1,IF(N11&lt;&gt;"",SUMPRODUCT((N$3:N$91&lt;&gt;"")*(G$3:G$91=G11)*(J$3:J$91&gt;J11))+1,IF(M11="P",SUMPRODUCT((O$3:O$91&lt;&gt;"")*(P$3:P$91="")*(G$3:G$91=G11))+SUMPRODUCT((P$3:P$91&lt;&gt;"")*(G$3:G$91=G11))+SUMPRODUCT((N$3:N$91&lt;&gt;"")*(G$3:G$91=G11))+SUMPRODUCT((P$3:P$91="")*(O$3:O$91="")*(N$3:N$91="")*(M$3:M$91="P")*(G$3:G$91=G11)*(J$3:J$91&gt;J11))+IF(H11="L5",SUMPRODUCT((P$3:P$91="")*(O$3:O$91="")*(N$3:N$91="")*(M$3:M$91="P")*(G$3:G$91=G11)*(J$3:J$91&lt;J11)*(H$3:H$91&lt;&gt;H11)),-1*SUMPRODUCT((P$3:P$91="")*(O$3:O$91="")*(N$3:N$91="")*(M$3:M$91="P")*(G$3:G$91=G11)*(J$3:J$91&gt;J11)*(H$3:H$91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IF(AND(B11&lt;5,I11="P"),IF(_xlfn.MAXIFS(B:B,G:G,G11)&gt;3,5-B11,_xlfn.MAXIFS(B:B,G:G,G11)+1-B11),"")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$91&lt;&gt;"")*(G$3:G$91=G12)*(J$3:J$91&gt;J12)*(I$3:I$91="P"))+1,IF(O12&lt;&gt;"",SUMPRODUCT((O$3:O$91&lt;&gt;"")*(P$3:P$91="")*(G$3:G$91=G12)*(J$3:J$91&gt;J12)*(I$3:I$91="P"))+SUMPRODUCT((P$3:P$91&lt;&gt;"")*(G$3:G$91=G12)*(I$3:I$91="P"))+1,IF(N12&lt;&gt;"",SUMPRODUCT((N$3:N$91&lt;&gt;"")*(G$3:G$91=G12)*(J$3:J$91&gt;J12)*(I$3:I$91="P"))+1,IF(M12="P",SUMPRODUCT((O$3:O$91&lt;&gt;"")*(P$3:P$91="")*(G$3:G$91=G12)*(I$3:I$91="P"))+SUMPRODUCT((P$3:P$91&lt;&gt;"")*(G$3:G$91=G12)*(I$3:I$91="P"))+SUMPRODUCT((N$3:N$91&lt;&gt;"")*(G$3:G$91=G12)*(I$3:I$91="P"))+SUMPRODUCT((P$3:P$91="")*(O$3:O$91="")*(N$3:N$91="")*(M$3:M$91="P")*(G$3:G$91=G12)*(J$3:J$91&gt;J12)*(I$3:I$91="P"))+IF(H12="L5",SUMPRODUCT((P$3:P$91="")*(O$3:O$91="")*(N$3:N$91="")*(M$3:M$91="P")*(G$3:G$91=G12)*(J$3:J$91&lt;J12)*(H$3:H$91&lt;&gt;H12)*(I$3:I$91="P")),-1*SUMPRODUCT((P$3:P$91="")*(O$3:O$91="")*(N$3:N$91="")*(M$3:M$91="P")*(G$3:G$91=G12)*(J$3:J$91&gt;J12)*(H$3:H$91="L5")*(I$3:I$91="P")))+1,"")))))</f>
        <v/>
      </c>
      <c r="B12" s="1" cm="1">
        <f t="array" ref="B12">IF(P12&lt;&gt;"",SUMPRODUCT((P$3:P$91&lt;&gt;"")*(G$3:G$91=G12)*(J$3:J$91&gt;J12))+1,IF(O12&lt;&gt;"",SUMPRODUCT((O$3:O$91&lt;&gt;"")*(P$3:P$91="")*(G$3:G$91=G12)*(J$3:J$91&gt;J12))+SUMPRODUCT((P$3:P$91&lt;&gt;"")*(G$3:G$91=G12))+1,IF(N12&lt;&gt;"",SUMPRODUCT((N$3:N$91&lt;&gt;"")*(G$3:G$91=G12)*(J$3:J$91&gt;J12))+1,IF(M12="P",SUMPRODUCT((O$3:O$91&lt;&gt;"")*(P$3:P$91="")*(G$3:G$91=G12))+SUMPRODUCT((P$3:P$91&lt;&gt;"")*(G$3:G$91=G12))+SUMPRODUCT((N$3:N$91&lt;&gt;"")*(G$3:G$91=G12))+SUMPRODUCT((P$3:P$91="")*(O$3:O$91="")*(N$3:N$91="")*(M$3:M$91="P")*(G$3:G$91=G12)*(J$3:J$91&gt;J12))+IF(H12="L5",SUMPRODUCT((P$3:P$91="")*(O$3:O$91="")*(N$3:N$91="")*(M$3:M$91="P")*(G$3:G$91=G12)*(J$3:J$91&lt;J12)*(H$3:H$91&lt;&gt;H12)),-1*SUMPRODUCT((P$3:P$91="")*(O$3:O$91="")*(N$3:N$91="")*(M$3:M$91="P")*(G$3:G$91=G12)*(J$3:J$91&gt;J12)*(H$3:H$91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IF(AND(B12&lt;5,I12="P"),IF(_xlfn.MAXIFS(B:B,G:G,G12)&gt;3,5-B12,_xlfn.MAXIFS(B:B,G:G,G12)+1-B12),"")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$91&lt;&gt;"")*(G$3:G$91=G13)*(J$3:J$91&gt;J13)*(I$3:I$91="P"))+1,IF(O13&lt;&gt;"",SUMPRODUCT((O$3:O$91&lt;&gt;"")*(P$3:P$91="")*(G$3:G$91=G13)*(J$3:J$91&gt;J13)*(I$3:I$91="P"))+SUMPRODUCT((P$3:P$91&lt;&gt;"")*(G$3:G$91=G13)*(I$3:I$91="P"))+1,IF(N13&lt;&gt;"",SUMPRODUCT((N$3:N$91&lt;&gt;"")*(G$3:G$91=G13)*(J$3:J$91&gt;J13)*(I$3:I$91="P"))+1,IF(M13="P",SUMPRODUCT((O$3:O$91&lt;&gt;"")*(P$3:P$91="")*(G$3:G$91=G13)*(I$3:I$91="P"))+SUMPRODUCT((P$3:P$91&lt;&gt;"")*(G$3:G$91=G13)*(I$3:I$91="P"))+SUMPRODUCT((N$3:N$91&lt;&gt;"")*(G$3:G$91=G13)*(I$3:I$91="P"))+SUMPRODUCT((P$3:P$91="")*(O$3:O$91="")*(N$3:N$91="")*(M$3:M$91="P")*(G$3:G$91=G13)*(J$3:J$91&gt;J13)*(I$3:I$91="P"))+IF(H13="L5",SUMPRODUCT((P$3:P$91="")*(O$3:O$91="")*(N$3:N$91="")*(M$3:M$91="P")*(G$3:G$91=G13)*(J$3:J$91&lt;J13)*(H$3:H$91&lt;&gt;H13)*(I$3:I$91="P")),-1*SUMPRODUCT((P$3:P$91="")*(O$3:O$91="")*(N$3:N$91="")*(M$3:M$91="P")*(G$3:G$91=G13)*(J$3:J$91&gt;J13)*(H$3:H$91="L5")*(I$3:I$91="P")))+1,"")))))</f>
        <v/>
      </c>
      <c r="B13" s="1" t="str" cm="1">
        <f t="array" ref="B13">IF(P13&lt;&gt;"",SUMPRODUCT((P$3:P$91&lt;&gt;"")*(G$3:G$91=G13)*(J$3:J$91&gt;J13))+1,IF(O13&lt;&gt;"",SUMPRODUCT((O$3:O$91&lt;&gt;"")*(P$3:P$91="")*(G$3:G$91=G13)*(J$3:J$91&gt;J13))+SUMPRODUCT((P$3:P$91&lt;&gt;"")*(G$3:G$91=G13))+1,IF(N13&lt;&gt;"",SUMPRODUCT((N$3:N$91&lt;&gt;"")*(G$3:G$91=G13)*(J$3:J$91&gt;J13))+1,IF(M13="P",SUMPRODUCT((O$3:O$91&lt;&gt;"")*(P$3:P$91="")*(G$3:G$91=G13))+SUMPRODUCT((P$3:P$91&lt;&gt;"")*(G$3:G$91=G13))+SUMPRODUCT((N$3:N$91&lt;&gt;"")*(G$3:G$91=G13))+SUMPRODUCT((P$3:P$91="")*(O$3:O$91="")*(N$3:N$91="")*(M$3:M$91="P")*(G$3:G$91=G13)*(J$3:J$91&gt;J13))+IF(H13="L5",SUMPRODUCT((P$3:P$91="")*(O$3:O$91="")*(N$3:N$91="")*(M$3:M$91="P")*(G$3:G$91=G13)*(J$3:J$91&lt;J13)*(H$3:H$91&lt;&gt;H13)),-1*SUMPRODUCT((P$3:P$91="")*(O$3:O$91="")*(N$3:N$91="")*(M$3:M$91="P")*(G$3:G$91=G13)*(J$3:J$91&gt;J13)*(H$3:H$91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IF(AND(B13&lt;5,I13="P"),IF(_xlfn.MAXIFS(B:B,G:G,G13)&gt;3,5-B13,_xlfn.MAXIFS(B:B,G:G,G13)+1-B13),"")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$91&lt;&gt;"")*(G$3:G$91=G14)*(J$3:J$91&gt;J14)*(I$3:I$91="P"))+1,IF(O14&lt;&gt;"",SUMPRODUCT((O$3:O$91&lt;&gt;"")*(P$3:P$91="")*(G$3:G$91=G14)*(J$3:J$91&gt;J14)*(I$3:I$91="P"))+SUMPRODUCT((P$3:P$91&lt;&gt;"")*(G$3:G$91=G14)*(I$3:I$91="P"))+1,IF(N14&lt;&gt;"",SUMPRODUCT((N$3:N$91&lt;&gt;"")*(G$3:G$91=G14)*(J$3:J$91&gt;J14)*(I$3:I$91="P"))+1,IF(M14="P",SUMPRODUCT((O$3:O$91&lt;&gt;"")*(P$3:P$91="")*(G$3:G$91=G14)*(I$3:I$91="P"))+SUMPRODUCT((P$3:P$91&lt;&gt;"")*(G$3:G$91=G14)*(I$3:I$91="P"))+SUMPRODUCT((N$3:N$91&lt;&gt;"")*(G$3:G$91=G14)*(I$3:I$91="P"))+SUMPRODUCT((P$3:P$91="")*(O$3:O$91="")*(N$3:N$91="")*(M$3:M$91="P")*(G$3:G$91=G14)*(J$3:J$91&gt;J14)*(I$3:I$91="P"))+IF(H14="L5",SUMPRODUCT((P$3:P$91="")*(O$3:O$91="")*(N$3:N$91="")*(M$3:M$91="P")*(G$3:G$91=G14)*(J$3:J$91&lt;J14)*(H$3:H$91&lt;&gt;H14)*(I$3:I$91="P")),-1*SUMPRODUCT((P$3:P$91="")*(O$3:O$91="")*(N$3:N$91="")*(M$3:M$91="P")*(G$3:G$91=G14)*(J$3:J$91&gt;J14)*(H$3:H$91="L5")*(I$3:I$91="P")))+1,"")))))</f>
        <v/>
      </c>
      <c r="B14" s="1" t="str" cm="1">
        <f t="array" ref="B14">IF(P14&lt;&gt;"",SUMPRODUCT((P$3:P$91&lt;&gt;"")*(G$3:G$91=G14)*(J$3:J$91&gt;J14))+1,IF(O14&lt;&gt;"",SUMPRODUCT((O$3:O$91&lt;&gt;"")*(P$3:P$91="")*(G$3:G$91=G14)*(J$3:J$91&gt;J14))+SUMPRODUCT((P$3:P$91&lt;&gt;"")*(G$3:G$91=G14))+1,IF(N14&lt;&gt;"",SUMPRODUCT((N$3:N$91&lt;&gt;"")*(G$3:G$91=G14)*(J$3:J$91&gt;J14))+1,IF(M14="P",SUMPRODUCT((O$3:O$91&lt;&gt;"")*(P$3:P$91="")*(G$3:G$91=G14))+SUMPRODUCT((P$3:P$91&lt;&gt;"")*(G$3:G$91=G14))+SUMPRODUCT((N$3:N$91&lt;&gt;"")*(G$3:G$91=G14))+SUMPRODUCT((P$3:P$91="")*(O$3:O$91="")*(N$3:N$91="")*(M$3:M$91="P")*(G$3:G$91=G14)*(J$3:J$91&gt;J14))+IF(H14="L5",SUMPRODUCT((P$3:P$91="")*(O$3:O$91="")*(N$3:N$91="")*(M$3:M$91="P")*(G$3:G$91=G14)*(J$3:J$91&lt;J14)*(H$3:H$91&lt;&gt;H14)),-1*SUMPRODUCT((P$3:P$91="")*(O$3:O$91="")*(N$3:N$91="")*(M$3:M$91="P")*(G$3:G$91=G14)*(J$3:J$91&gt;J14)*(H$3:H$91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IF(AND(B14&lt;5,I14="P"),IF(_xlfn.MAXIFS(B:B,G:G,G14)&gt;3,5-B14,_xlfn.MAXIFS(B:B,G:G,G14)+1-B14),"")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$91&lt;&gt;"")*(G$3:G$91=G15)*(J$3:J$91&gt;J15)*(I$3:I$91="P"))+1,IF(O15&lt;&gt;"",SUMPRODUCT((O$3:O$91&lt;&gt;"")*(P$3:P$91="")*(G$3:G$91=G15)*(J$3:J$91&gt;J15)*(I$3:I$91="P"))+SUMPRODUCT((P$3:P$91&lt;&gt;"")*(G$3:G$91=G15)*(I$3:I$91="P"))+1,IF(N15&lt;&gt;"",SUMPRODUCT((N$3:N$91&lt;&gt;"")*(G$3:G$91=G15)*(J$3:J$91&gt;J15)*(I$3:I$91="P"))+1,IF(M15="P",SUMPRODUCT((O$3:O$91&lt;&gt;"")*(P$3:P$91="")*(G$3:G$91=G15)*(I$3:I$91="P"))+SUMPRODUCT((P$3:P$91&lt;&gt;"")*(G$3:G$91=G15)*(I$3:I$91="P"))+SUMPRODUCT((N$3:N$91&lt;&gt;"")*(G$3:G$91=G15)*(I$3:I$91="P"))+SUMPRODUCT((P$3:P$91="")*(O$3:O$91="")*(N$3:N$91="")*(M$3:M$91="P")*(G$3:G$91=G15)*(J$3:J$91&gt;J15)*(I$3:I$91="P"))+IF(H15="L5",SUMPRODUCT((P$3:P$91="")*(O$3:O$91="")*(N$3:N$91="")*(M$3:M$91="P")*(G$3:G$91=G15)*(J$3:J$91&lt;J15)*(H$3:H$91&lt;&gt;H15)*(I$3:I$91="P")),-1*SUMPRODUCT((P$3:P$91="")*(O$3:O$91="")*(N$3:N$91="")*(M$3:M$91="P")*(G$3:G$91=G15)*(J$3:J$91&gt;J15)*(H$3:H$91="L5")*(I$3:I$91="P")))+1,"")))))</f>
        <v/>
      </c>
      <c r="B15" s="1" t="str" cm="1">
        <f t="array" ref="B15">IF(P15&lt;&gt;"",SUMPRODUCT((P$3:P$91&lt;&gt;"")*(G$3:G$91=G15)*(J$3:J$91&gt;J15))+1,IF(O15&lt;&gt;"",SUMPRODUCT((O$3:O$91&lt;&gt;"")*(P$3:P$91="")*(G$3:G$91=G15)*(J$3:J$91&gt;J15))+SUMPRODUCT((P$3:P$91&lt;&gt;"")*(G$3:G$91=G15))+1,IF(N15&lt;&gt;"",SUMPRODUCT((N$3:N$91&lt;&gt;"")*(G$3:G$91=G15)*(J$3:J$91&gt;J15))+1,IF(M15="P",SUMPRODUCT((O$3:O$91&lt;&gt;"")*(P$3:P$91="")*(G$3:G$91=G15))+SUMPRODUCT((P$3:P$91&lt;&gt;"")*(G$3:G$91=G15))+SUMPRODUCT((N$3:N$91&lt;&gt;"")*(G$3:G$91=G15))+SUMPRODUCT((P$3:P$91="")*(O$3:O$91="")*(N$3:N$91="")*(M$3:M$91="P")*(G$3:G$91=G15)*(J$3:J$91&gt;J15))+IF(H15="L5",SUMPRODUCT((P$3:P$91="")*(O$3:O$91="")*(N$3:N$91="")*(M$3:M$91="P")*(G$3:G$91=G15)*(J$3:J$91&lt;J15)*(H$3:H$91&lt;&gt;H15)),-1*SUMPRODUCT((P$3:P$91="")*(O$3:O$91="")*(N$3:N$91="")*(M$3:M$91="P")*(G$3:G$91=G15)*(J$3:J$91&gt;J15)*(H$3:H$91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IF(AND(B15&lt;5,I15="P"),IF(_xlfn.MAXIFS(B:B,G:G,G15)&gt;3,5-B15,_xlfn.MAXIFS(B:B,G:G,G15)+1-B15),"")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$91&lt;&gt;"")*(G$3:G$91=G16)*(J$3:J$91&gt;J16)*(I$3:I$91="P"))+1,IF(O16&lt;&gt;"",SUMPRODUCT((O$3:O$91&lt;&gt;"")*(P$3:P$91="")*(G$3:G$91=G16)*(J$3:J$91&gt;J16)*(I$3:I$91="P"))+SUMPRODUCT((P$3:P$91&lt;&gt;"")*(G$3:G$91=G16)*(I$3:I$91="P"))+1,IF(N16&lt;&gt;"",SUMPRODUCT((N$3:N$91&lt;&gt;"")*(G$3:G$91=G16)*(J$3:J$91&gt;J16)*(I$3:I$91="P"))+1,IF(M16="P",SUMPRODUCT((O$3:O$91&lt;&gt;"")*(P$3:P$91="")*(G$3:G$91=G16)*(I$3:I$91="P"))+SUMPRODUCT((P$3:P$91&lt;&gt;"")*(G$3:G$91=G16)*(I$3:I$91="P"))+SUMPRODUCT((N$3:N$91&lt;&gt;"")*(G$3:G$91=G16)*(I$3:I$91="P"))+SUMPRODUCT((P$3:P$91="")*(O$3:O$91="")*(N$3:N$91="")*(M$3:M$91="P")*(G$3:G$91=G16)*(J$3:J$91&gt;J16)*(I$3:I$91="P"))+IF(H16="L5",SUMPRODUCT((P$3:P$91="")*(O$3:O$91="")*(N$3:N$91="")*(M$3:M$91="P")*(G$3:G$91=G16)*(J$3:J$91&lt;J16)*(H$3:H$91&lt;&gt;H16)*(I$3:I$91="P")),-1*SUMPRODUCT((P$3:P$91="")*(O$3:O$91="")*(N$3:N$91="")*(M$3:M$91="P")*(G$3:G$91=G16)*(J$3:J$91&gt;J16)*(H$3:H$91="L5")*(I$3:I$91="P")))+1,"")))))</f>
        <v/>
      </c>
      <c r="B16" s="1" t="str" cm="1">
        <f t="array" ref="B16">IF(P16&lt;&gt;"",SUMPRODUCT((P$3:P$91&lt;&gt;"")*(G$3:G$91=G16)*(J$3:J$91&gt;J16))+1,IF(O16&lt;&gt;"",SUMPRODUCT((O$3:O$91&lt;&gt;"")*(P$3:P$91="")*(G$3:G$91=G16)*(J$3:J$91&gt;J16))+SUMPRODUCT((P$3:P$91&lt;&gt;"")*(G$3:G$91=G16))+1,IF(N16&lt;&gt;"",SUMPRODUCT((N$3:N$91&lt;&gt;"")*(G$3:G$91=G16)*(J$3:J$91&gt;J16))+1,IF(M16="P",SUMPRODUCT((O$3:O$91&lt;&gt;"")*(P$3:P$91="")*(G$3:G$91=G16))+SUMPRODUCT((P$3:P$91&lt;&gt;"")*(G$3:G$91=G16))+SUMPRODUCT((N$3:N$91&lt;&gt;"")*(G$3:G$91=G16))+SUMPRODUCT((P$3:P$91="")*(O$3:O$91="")*(N$3:N$91="")*(M$3:M$91="P")*(G$3:G$91=G16)*(J$3:J$91&gt;J16))+IF(H16="L5",SUMPRODUCT((P$3:P$91="")*(O$3:O$91="")*(N$3:N$91="")*(M$3:M$91="P")*(G$3:G$91=G16)*(J$3:J$91&lt;J16)*(H$3:H$91&lt;&gt;H16)),-1*SUMPRODUCT((P$3:P$91="")*(O$3:O$91="")*(N$3:N$91="")*(M$3:M$91="P")*(G$3:G$91=G16)*(J$3:J$91&gt;J16)*(H$3:H$91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IF(AND(B16&lt;5,I16="P"),IF(_xlfn.MAXIFS(B:B,G:G,G16)&gt;3,5-B16,_xlfn.MAXIFS(B:B,G:G,G16)+1-B16),"")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$91&lt;&gt;"")*(G$3:G$91=G17)*(J$3:J$91&gt;J17)*(I$3:I$91="P"))+1,IF(O17&lt;&gt;"",SUMPRODUCT((O$3:O$91&lt;&gt;"")*(P$3:P$91="")*(G$3:G$91=G17)*(J$3:J$91&gt;J17)*(I$3:I$91="P"))+SUMPRODUCT((P$3:P$91&lt;&gt;"")*(G$3:G$91=G17)*(I$3:I$91="P"))+1,IF(N17&lt;&gt;"",SUMPRODUCT((N$3:N$91&lt;&gt;"")*(G$3:G$91=G17)*(J$3:J$91&gt;J17)*(I$3:I$91="P"))+1,IF(M17="P",SUMPRODUCT((O$3:O$91&lt;&gt;"")*(P$3:P$91="")*(G$3:G$91=G17)*(I$3:I$91="P"))+SUMPRODUCT((P$3:P$91&lt;&gt;"")*(G$3:G$91=G17)*(I$3:I$91="P"))+SUMPRODUCT((N$3:N$91&lt;&gt;"")*(G$3:G$91=G17)*(I$3:I$91="P"))+SUMPRODUCT((P$3:P$91="")*(O$3:O$91="")*(N$3:N$91="")*(M$3:M$91="P")*(G$3:G$91=G17)*(J$3:J$91&gt;J17)*(I$3:I$91="P"))+IF(H17="L5",SUMPRODUCT((P$3:P$91="")*(O$3:O$91="")*(N$3:N$91="")*(M$3:M$91="P")*(G$3:G$91=G17)*(J$3:J$91&lt;J17)*(H$3:H$91&lt;&gt;H17)*(I$3:I$91="P")),-1*SUMPRODUCT((P$3:P$91="")*(O$3:O$91="")*(N$3:N$91="")*(M$3:M$91="P")*(G$3:G$91=G17)*(J$3:J$91&gt;J17)*(H$3:H$91="L5")*(I$3:I$91="P")))+1,"")))))</f>
        <v/>
      </c>
      <c r="B17" s="1" t="str" cm="1">
        <f t="array" ref="B17">IF(P17&lt;&gt;"",SUMPRODUCT((P$3:P$91&lt;&gt;"")*(G$3:G$91=G17)*(J$3:J$91&gt;J17))+1,IF(O17&lt;&gt;"",SUMPRODUCT((O$3:O$91&lt;&gt;"")*(P$3:P$91="")*(G$3:G$91=G17)*(J$3:J$91&gt;J17))+SUMPRODUCT((P$3:P$91&lt;&gt;"")*(G$3:G$91=G17))+1,IF(N17&lt;&gt;"",SUMPRODUCT((N$3:N$91&lt;&gt;"")*(G$3:G$91=G17)*(J$3:J$91&gt;J17))+1,IF(M17="P",SUMPRODUCT((O$3:O$91&lt;&gt;"")*(P$3:P$91="")*(G$3:G$91=G17))+SUMPRODUCT((P$3:P$91&lt;&gt;"")*(G$3:G$91=G17))+SUMPRODUCT((N$3:N$91&lt;&gt;"")*(G$3:G$91=G17))+SUMPRODUCT((P$3:P$91="")*(O$3:O$91="")*(N$3:N$91="")*(M$3:M$91="P")*(G$3:G$91=G17)*(J$3:J$91&gt;J17))+IF(H17="L5",SUMPRODUCT((P$3:P$91="")*(O$3:O$91="")*(N$3:N$91="")*(M$3:M$91="P")*(G$3:G$91=G17)*(J$3:J$91&lt;J17)*(H$3:H$91&lt;&gt;H17)),-1*SUMPRODUCT((P$3:P$91="")*(O$3:O$91="")*(N$3:N$91="")*(M$3:M$91="P")*(G$3:G$91=G17)*(J$3:J$91&gt;J17)*(H$3:H$91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IF(AND(B17&lt;5,I17="P"),IF(_xlfn.MAXIFS(B:B,G:G,G17)&gt;3,5-B17,_xlfn.MAXIFS(B:B,G:G,G17)+1-B17),"")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$91&lt;&gt;"")*(G$3:G$91=G18)*(J$3:J$91&gt;J18)*(I$3:I$91="P"))+1,IF(O18&lt;&gt;"",SUMPRODUCT((O$3:O$91&lt;&gt;"")*(P$3:P$91="")*(G$3:G$91=G18)*(J$3:J$91&gt;J18)*(I$3:I$91="P"))+SUMPRODUCT((P$3:P$91&lt;&gt;"")*(G$3:G$91=G18)*(I$3:I$91="P"))+1,IF(N18&lt;&gt;"",SUMPRODUCT((N$3:N$91&lt;&gt;"")*(G$3:G$91=G18)*(J$3:J$91&gt;J18)*(I$3:I$91="P"))+1,IF(M18="P",SUMPRODUCT((O$3:O$91&lt;&gt;"")*(P$3:P$91="")*(G$3:G$91=G18)*(I$3:I$91="P"))+SUMPRODUCT((P$3:P$91&lt;&gt;"")*(G$3:G$91=G18)*(I$3:I$91="P"))+SUMPRODUCT((N$3:N$91&lt;&gt;"")*(G$3:G$91=G18)*(I$3:I$91="P"))+SUMPRODUCT((P$3:P$91="")*(O$3:O$91="")*(N$3:N$91="")*(M$3:M$91="P")*(G$3:G$91=G18)*(J$3:J$91&gt;J18)*(I$3:I$91="P"))+IF(H18="L5",SUMPRODUCT((P$3:P$91="")*(O$3:O$91="")*(N$3:N$91="")*(M$3:M$91="P")*(G$3:G$91=G18)*(J$3:J$91&lt;J18)*(H$3:H$91&lt;&gt;H18)*(I$3:I$91="P")),-1*SUMPRODUCT((P$3:P$91="")*(O$3:O$91="")*(N$3:N$91="")*(M$3:M$91="P")*(G$3:G$91=G18)*(J$3:J$91&gt;J18)*(H$3:H$91="L5")*(I$3:I$91="P")))+1,"")))))</f>
        <v/>
      </c>
      <c r="B18" s="1" t="str" cm="1">
        <f t="array" ref="B18">IF(P18&lt;&gt;"",SUMPRODUCT((P$3:P$91&lt;&gt;"")*(G$3:G$91=G18)*(J$3:J$91&gt;J18))+1,IF(O18&lt;&gt;"",SUMPRODUCT((O$3:O$91&lt;&gt;"")*(P$3:P$91="")*(G$3:G$91=G18)*(J$3:J$91&gt;J18))+SUMPRODUCT((P$3:P$91&lt;&gt;"")*(G$3:G$91=G18))+1,IF(N18&lt;&gt;"",SUMPRODUCT((N$3:N$91&lt;&gt;"")*(G$3:G$91=G18)*(J$3:J$91&gt;J18))+1,IF(M18="P",SUMPRODUCT((O$3:O$91&lt;&gt;"")*(P$3:P$91="")*(G$3:G$91=G18))+SUMPRODUCT((P$3:P$91&lt;&gt;"")*(G$3:G$91=G18))+SUMPRODUCT((N$3:N$91&lt;&gt;"")*(G$3:G$91=G18))+SUMPRODUCT((P$3:P$91="")*(O$3:O$91="")*(N$3:N$91="")*(M$3:M$91="P")*(G$3:G$91=G18)*(J$3:J$91&gt;J18))+IF(H18="L5",SUMPRODUCT((P$3:P$91="")*(O$3:O$91="")*(N$3:N$91="")*(M$3:M$91="P")*(G$3:G$91=G18)*(J$3:J$91&lt;J18)*(H$3:H$91&lt;&gt;H18)),-1*SUMPRODUCT((P$3:P$91="")*(O$3:O$91="")*(N$3:N$91="")*(M$3:M$91="P")*(G$3:G$91=G18)*(J$3:J$91&gt;J18)*(H$3:H$91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IF(AND(B18&lt;5,I18="P"),IF(_xlfn.MAXIFS(B:B,G:G,G18)&gt;3,5-B18,_xlfn.MAXIFS(B:B,G:G,G18)+1-B18),"")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$91&lt;&gt;"")*(G$3:G$91=G19)*(J$3:J$91&gt;J19)*(I$3:I$91="P"))+1,IF(O19&lt;&gt;"",SUMPRODUCT((O$3:O$91&lt;&gt;"")*(P$3:P$91="")*(G$3:G$91=G19)*(J$3:J$91&gt;J19)*(I$3:I$91="P"))+SUMPRODUCT((P$3:P$91&lt;&gt;"")*(G$3:G$91=G19)*(I$3:I$91="P"))+1,IF(N19&lt;&gt;"",SUMPRODUCT((N$3:N$91&lt;&gt;"")*(G$3:G$91=G19)*(J$3:J$91&gt;J19)*(I$3:I$91="P"))+1,IF(M19="P",SUMPRODUCT((O$3:O$91&lt;&gt;"")*(P$3:P$91="")*(G$3:G$91=G19)*(I$3:I$91="P"))+SUMPRODUCT((P$3:P$91&lt;&gt;"")*(G$3:G$91=G19)*(I$3:I$91="P"))+SUMPRODUCT((N$3:N$91&lt;&gt;"")*(G$3:G$91=G19)*(I$3:I$91="P"))+SUMPRODUCT((P$3:P$91="")*(O$3:O$91="")*(N$3:N$91="")*(M$3:M$91="P")*(G$3:G$91=G19)*(J$3:J$91&gt;J19)*(I$3:I$91="P"))+IF(H19="L5",SUMPRODUCT((P$3:P$91="")*(O$3:O$91="")*(N$3:N$91="")*(M$3:M$91="P")*(G$3:G$91=G19)*(J$3:J$91&lt;J19)*(H$3:H$91&lt;&gt;H19)*(I$3:I$91="P")),-1*SUMPRODUCT((P$3:P$91="")*(O$3:O$91="")*(N$3:N$91="")*(M$3:M$91="P")*(G$3:G$91=G19)*(J$3:J$91&gt;J19)*(H$3:H$91="L5")*(I$3:I$91="P")))+1,"")))))</f>
        <v/>
      </c>
      <c r="B19" s="1" t="str" cm="1">
        <f t="array" ref="B19">IF(P19&lt;&gt;"",SUMPRODUCT((P$3:P$91&lt;&gt;"")*(G$3:G$91=G19)*(J$3:J$91&gt;J19))+1,IF(O19&lt;&gt;"",SUMPRODUCT((O$3:O$91&lt;&gt;"")*(P$3:P$91="")*(G$3:G$91=G19)*(J$3:J$91&gt;J19))+SUMPRODUCT((P$3:P$91&lt;&gt;"")*(G$3:G$91=G19))+1,IF(N19&lt;&gt;"",SUMPRODUCT((N$3:N$91&lt;&gt;"")*(G$3:G$91=G19)*(J$3:J$91&gt;J19))+1,IF(M19="P",SUMPRODUCT((O$3:O$91&lt;&gt;"")*(P$3:P$91="")*(G$3:G$91=G19))+SUMPRODUCT((P$3:P$91&lt;&gt;"")*(G$3:G$91=G19))+SUMPRODUCT((N$3:N$91&lt;&gt;"")*(G$3:G$91=G19))+SUMPRODUCT((P$3:P$91="")*(O$3:O$91="")*(N$3:N$91="")*(M$3:M$91="P")*(G$3:G$91=G19)*(J$3:J$91&gt;J19))+IF(H19="L5",SUMPRODUCT((P$3:P$91="")*(O$3:O$91="")*(N$3:N$91="")*(M$3:M$91="P")*(G$3:G$91=G19)*(J$3:J$91&lt;J19)*(H$3:H$91&lt;&gt;H19)),-1*SUMPRODUCT((P$3:P$91="")*(O$3:O$91="")*(N$3:N$91="")*(M$3:M$91="P")*(G$3:G$91=G19)*(J$3:J$91&gt;J19)*(H$3:H$91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IF(AND(B19&lt;5,I19="P"),IF(_xlfn.MAXIFS(B:B,G:G,G19)&gt;3,5-B19,_xlfn.MAXIFS(B:B,G:G,G19)+1-B19),"")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$91&lt;&gt;"")*(G$3:G$91=G20)*(J$3:J$91&gt;J20)*(I$3:I$91="P"))+1,IF(O20&lt;&gt;"",SUMPRODUCT((O$3:O$91&lt;&gt;"")*(P$3:P$91="")*(G$3:G$91=G20)*(J$3:J$91&gt;J20)*(I$3:I$91="P"))+SUMPRODUCT((P$3:P$91&lt;&gt;"")*(G$3:G$91=G20)*(I$3:I$91="P"))+1,IF(N20&lt;&gt;"",SUMPRODUCT((N$3:N$91&lt;&gt;"")*(G$3:G$91=G20)*(J$3:J$91&gt;J20)*(I$3:I$91="P"))+1,IF(M20="P",SUMPRODUCT((O$3:O$91&lt;&gt;"")*(P$3:P$91="")*(G$3:G$91=G20)*(I$3:I$91="P"))+SUMPRODUCT((P$3:P$91&lt;&gt;"")*(G$3:G$91=G20)*(I$3:I$91="P"))+SUMPRODUCT((N$3:N$91&lt;&gt;"")*(G$3:G$91=G20)*(I$3:I$91="P"))+SUMPRODUCT((P$3:P$91="")*(O$3:O$91="")*(N$3:N$91="")*(M$3:M$91="P")*(G$3:G$91=G20)*(J$3:J$91&gt;J20)*(I$3:I$91="P"))+IF(H20="L5",SUMPRODUCT((P$3:P$91="")*(O$3:O$91="")*(N$3:N$91="")*(M$3:M$91="P")*(G$3:G$91=G20)*(J$3:J$91&lt;J20)*(H$3:H$91&lt;&gt;H20)*(I$3:I$91="P")),-1*SUMPRODUCT((P$3:P$91="")*(O$3:O$91="")*(N$3:N$91="")*(M$3:M$91="P")*(G$3:G$91=G20)*(J$3:J$91&gt;J20)*(H$3:H$91="L5")*(I$3:I$91="P")))+1,"")))))</f>
        <v/>
      </c>
      <c r="B20" s="1" t="str" cm="1">
        <f t="array" ref="B20">IF(P20&lt;&gt;"",SUMPRODUCT((P$3:P$91&lt;&gt;"")*(G$3:G$91=G20)*(J$3:J$91&gt;J20))+1,IF(O20&lt;&gt;"",SUMPRODUCT((O$3:O$91&lt;&gt;"")*(P$3:P$91="")*(G$3:G$91=G20)*(J$3:J$91&gt;J20))+SUMPRODUCT((P$3:P$91&lt;&gt;"")*(G$3:G$91=G20))+1,IF(N20&lt;&gt;"",SUMPRODUCT((N$3:N$91&lt;&gt;"")*(G$3:G$91=G20)*(J$3:J$91&gt;J20))+1,IF(M20="P",SUMPRODUCT((O$3:O$91&lt;&gt;"")*(P$3:P$91="")*(G$3:G$91=G20))+SUMPRODUCT((P$3:P$91&lt;&gt;"")*(G$3:G$91=G20))+SUMPRODUCT((N$3:N$91&lt;&gt;"")*(G$3:G$91=G20))+SUMPRODUCT((P$3:P$91="")*(O$3:O$91="")*(N$3:N$91="")*(M$3:M$91="P")*(G$3:G$91=G20)*(J$3:J$91&gt;J20))+IF(H20="L5",SUMPRODUCT((P$3:P$91="")*(O$3:O$91="")*(N$3:N$91="")*(M$3:M$91="P")*(G$3:G$91=G20)*(J$3:J$91&lt;J20)*(H$3:H$91&lt;&gt;H20)),-1*SUMPRODUCT((P$3:P$91="")*(O$3:O$91="")*(N$3:N$91="")*(M$3:M$91="P")*(G$3:G$91=G20)*(J$3:J$91&gt;J20)*(H$3:H$91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IF(AND(B20&lt;5,I20="P"),IF(_xlfn.MAXIFS(B:B,G:G,G20)&gt;3,5-B20,_xlfn.MAXIFS(B:B,G:G,G20)+1-B20),"")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$91&lt;&gt;"")*(G$3:G$91=G21)*(J$3:J$91&gt;J21)*(I$3:I$91="P"))+1,IF(O21&lt;&gt;"",SUMPRODUCT((O$3:O$91&lt;&gt;"")*(P$3:P$91="")*(G$3:G$91=G21)*(J$3:J$91&gt;J21)*(I$3:I$91="P"))+SUMPRODUCT((P$3:P$91&lt;&gt;"")*(G$3:G$91=G21)*(I$3:I$91="P"))+1,IF(N21&lt;&gt;"",SUMPRODUCT((N$3:N$91&lt;&gt;"")*(G$3:G$91=G21)*(J$3:J$91&gt;J21)*(I$3:I$91="P"))+1,IF(M21="P",SUMPRODUCT((O$3:O$91&lt;&gt;"")*(P$3:P$91="")*(G$3:G$91=G21)*(I$3:I$91="P"))+SUMPRODUCT((P$3:P$91&lt;&gt;"")*(G$3:G$91=G21)*(I$3:I$91="P"))+SUMPRODUCT((N$3:N$91&lt;&gt;"")*(G$3:G$91=G21)*(I$3:I$91="P"))+SUMPRODUCT((P$3:P$91="")*(O$3:O$91="")*(N$3:N$91="")*(M$3:M$91="P")*(G$3:G$91=G21)*(J$3:J$91&gt;J21)*(I$3:I$91="P"))+IF(H21="L5",SUMPRODUCT((P$3:P$91="")*(O$3:O$91="")*(N$3:N$91="")*(M$3:M$91="P")*(G$3:G$91=G21)*(J$3:J$91&lt;J21)*(H$3:H$91&lt;&gt;H21)*(I$3:I$91="P")),-1*SUMPRODUCT((P$3:P$91="")*(O$3:O$91="")*(N$3:N$91="")*(M$3:M$91="P")*(G$3:G$91=G21)*(J$3:J$91&gt;J21)*(H$3:H$91="L5")*(I$3:I$91="P")))+1,"")))))</f>
        <v/>
      </c>
      <c r="B21" s="1" t="str" cm="1">
        <f t="array" ref="B21">IF(P21&lt;&gt;"",SUMPRODUCT((P$3:P$91&lt;&gt;"")*(G$3:G$91=G21)*(J$3:J$91&gt;J21))+1,IF(O21&lt;&gt;"",SUMPRODUCT((O$3:O$91&lt;&gt;"")*(P$3:P$91="")*(G$3:G$91=G21)*(J$3:J$91&gt;J21))+SUMPRODUCT((P$3:P$91&lt;&gt;"")*(G$3:G$91=G21))+1,IF(N21&lt;&gt;"",SUMPRODUCT((N$3:N$91&lt;&gt;"")*(G$3:G$91=G21)*(J$3:J$91&gt;J21))+1,IF(M21="P",SUMPRODUCT((O$3:O$91&lt;&gt;"")*(P$3:P$91="")*(G$3:G$91=G21))+SUMPRODUCT((P$3:P$91&lt;&gt;"")*(G$3:G$91=G21))+SUMPRODUCT((N$3:N$91&lt;&gt;"")*(G$3:G$91=G21))+SUMPRODUCT((P$3:P$91="")*(O$3:O$91="")*(N$3:N$91="")*(M$3:M$91="P")*(G$3:G$91=G21)*(J$3:J$91&gt;J21))+IF(H21="L5",SUMPRODUCT((P$3:P$91="")*(O$3:O$91="")*(N$3:N$91="")*(M$3:M$91="P")*(G$3:G$91=G21)*(J$3:J$91&lt;J21)*(H$3:H$91&lt;&gt;H21)),-1*SUMPRODUCT((P$3:P$91="")*(O$3:O$91="")*(N$3:N$91="")*(M$3:M$91="P")*(G$3:G$91=G21)*(J$3:J$91&gt;J21)*(H$3:H$91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IF(AND(B21&lt;5,I21="P"),IF(_xlfn.MAXIFS(B:B,G:G,G21)&gt;3,5-B21,_xlfn.MAXIFS(B:B,G:G,G21)+1-B21),"")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$91&lt;&gt;"")*(G$3:G$91=G22)*(J$3:J$91&gt;J22)*(I$3:I$91="P"))+1,IF(O22&lt;&gt;"",SUMPRODUCT((O$3:O$91&lt;&gt;"")*(P$3:P$91="")*(G$3:G$91=G22)*(J$3:J$91&gt;J22)*(I$3:I$91="P"))+SUMPRODUCT((P$3:P$91&lt;&gt;"")*(G$3:G$91=G22)*(I$3:I$91="P"))+1,IF(N22&lt;&gt;"",SUMPRODUCT((N$3:N$91&lt;&gt;"")*(G$3:G$91=G22)*(J$3:J$91&gt;J22)*(I$3:I$91="P"))+1,IF(M22="P",SUMPRODUCT((O$3:O$91&lt;&gt;"")*(P$3:P$91="")*(G$3:G$91=G22)*(I$3:I$91="P"))+SUMPRODUCT((P$3:P$91&lt;&gt;"")*(G$3:G$91=G22)*(I$3:I$91="P"))+SUMPRODUCT((N$3:N$91&lt;&gt;"")*(G$3:G$91=G22)*(I$3:I$91="P"))+SUMPRODUCT((P$3:P$91="")*(O$3:O$91="")*(N$3:N$91="")*(M$3:M$91="P")*(G$3:G$91=G22)*(J$3:J$91&gt;J22)*(I$3:I$91="P"))+IF(H22="L5",SUMPRODUCT((P$3:P$91="")*(O$3:O$91="")*(N$3:N$91="")*(M$3:M$91="P")*(G$3:G$91=G22)*(J$3:J$91&lt;J22)*(H$3:H$91&lt;&gt;H22)*(I$3:I$91="P")),-1*SUMPRODUCT((P$3:P$91="")*(O$3:O$91="")*(N$3:N$91="")*(M$3:M$91="P")*(G$3:G$91=G22)*(J$3:J$91&gt;J22)*(H$3:H$91="L5")*(I$3:I$91="P")))+1,"")))))</f>
        <v/>
      </c>
      <c r="B22" s="1" t="str" cm="1">
        <f t="array" ref="B22">IF(P22&lt;&gt;"",SUMPRODUCT((P$3:P$91&lt;&gt;"")*(G$3:G$91=G22)*(J$3:J$91&gt;J22))+1,IF(O22&lt;&gt;"",SUMPRODUCT((O$3:O$91&lt;&gt;"")*(P$3:P$91="")*(G$3:G$91=G22)*(J$3:J$91&gt;J22))+SUMPRODUCT((P$3:P$91&lt;&gt;"")*(G$3:G$91=G22))+1,IF(N22&lt;&gt;"",SUMPRODUCT((N$3:N$91&lt;&gt;"")*(G$3:G$91=G22)*(J$3:J$91&gt;J22))+1,IF(M22="P",SUMPRODUCT((O$3:O$91&lt;&gt;"")*(P$3:P$91="")*(G$3:G$91=G22))+SUMPRODUCT((P$3:P$91&lt;&gt;"")*(G$3:G$91=G22))+SUMPRODUCT((N$3:N$91&lt;&gt;"")*(G$3:G$91=G22))+SUMPRODUCT((P$3:P$91="")*(O$3:O$91="")*(N$3:N$91="")*(M$3:M$91="P")*(G$3:G$91=G22)*(J$3:J$91&gt;J22))+IF(H22="L5",SUMPRODUCT((P$3:P$91="")*(O$3:O$91="")*(N$3:N$91="")*(M$3:M$91="P")*(G$3:G$91=G22)*(J$3:J$91&lt;J22)*(H$3:H$91&lt;&gt;H22)),-1*SUMPRODUCT((P$3:P$91="")*(O$3:O$91="")*(N$3:N$91="")*(M$3:M$91="P")*(G$3:G$91=G22)*(J$3:J$91&gt;J22)*(H$3:H$91="L5")))+1,""))))</f>
        <v/>
      </c>
      <c r="C22" s="35" t="s">
        <v>399</v>
      </c>
      <c r="D22" t="str">
        <f>IF(E22="","",VLOOKUP(E22,'Coaching Points'!A:B,2,0))</f>
        <v>QC</v>
      </c>
      <c r="E22" s="35" t="s">
        <v>75</v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IF(AND(B22&lt;5,I22="P"),IF(_xlfn.MAXIFS(B:B,G:G,G22)&gt;3,5-B22,_xlfn.MAXIFS(B:B,G:G,G22)+1-B22),"")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$91&lt;&gt;"")*(G$3:G$91=G23)*(J$3:J$91&gt;J23)*(I$3:I$91="P"))+1,IF(O23&lt;&gt;"",SUMPRODUCT((O$3:O$91&lt;&gt;"")*(P$3:P$91="")*(G$3:G$91=G23)*(J$3:J$91&gt;J23)*(I$3:I$91="P"))+SUMPRODUCT((P$3:P$91&lt;&gt;"")*(G$3:G$91=G23)*(I$3:I$91="P"))+1,IF(N23&lt;&gt;"",SUMPRODUCT((N$3:N$91&lt;&gt;"")*(G$3:G$91=G23)*(J$3:J$91&gt;J23)*(I$3:I$91="P"))+1,IF(M23="P",SUMPRODUCT((O$3:O$91&lt;&gt;"")*(P$3:P$91="")*(G$3:G$91=G23)*(I$3:I$91="P"))+SUMPRODUCT((P$3:P$91&lt;&gt;"")*(G$3:G$91=G23)*(I$3:I$91="P"))+SUMPRODUCT((N$3:N$91&lt;&gt;"")*(G$3:G$91=G23)*(I$3:I$91="P"))+SUMPRODUCT((P$3:P$91="")*(O$3:O$91="")*(N$3:N$91="")*(M$3:M$91="P")*(G$3:G$91=G23)*(J$3:J$91&gt;J23)*(I$3:I$91="P"))+IF(H23="L5",SUMPRODUCT((P$3:P$91="")*(O$3:O$91="")*(N$3:N$91="")*(M$3:M$91="P")*(G$3:G$91=G23)*(J$3:J$91&lt;J23)*(H$3:H$91&lt;&gt;H23)*(I$3:I$91="P")),-1*SUMPRODUCT((P$3:P$91="")*(O$3:O$91="")*(N$3:N$91="")*(M$3:M$91="P")*(G$3:G$91=G23)*(J$3:J$91&gt;J23)*(H$3:H$91="L5")*(I$3:I$91="P")))+1,"")))))</f>
        <v/>
      </c>
      <c r="B23" s="1" t="str" cm="1">
        <f t="array" ref="B23">IF(P23&lt;&gt;"",SUMPRODUCT((P$3:P$91&lt;&gt;"")*(G$3:G$91=G23)*(J$3:J$91&gt;J23))+1,IF(O23&lt;&gt;"",SUMPRODUCT((O$3:O$91&lt;&gt;"")*(P$3:P$91="")*(G$3:G$91=G23)*(J$3:J$91&gt;J23))+SUMPRODUCT((P$3:P$91&lt;&gt;"")*(G$3:G$91=G23))+1,IF(N23&lt;&gt;"",SUMPRODUCT((N$3:N$91&lt;&gt;"")*(G$3:G$91=G23)*(J$3:J$91&gt;J23))+1,IF(M23="P",SUMPRODUCT((O$3:O$91&lt;&gt;"")*(P$3:P$91="")*(G$3:G$91=G23))+SUMPRODUCT((P$3:P$91&lt;&gt;"")*(G$3:G$91=G23))+SUMPRODUCT((N$3:N$91&lt;&gt;"")*(G$3:G$91=G23))+SUMPRODUCT((P$3:P$91="")*(O$3:O$91="")*(N$3:N$91="")*(M$3:M$91="P")*(G$3:G$91=G23)*(J$3:J$91&gt;J23))+IF(H23="L5",SUMPRODUCT((P$3:P$91="")*(O$3:O$91="")*(N$3:N$91="")*(M$3:M$91="P")*(G$3:G$91=G23)*(J$3:J$91&lt;J23)*(H$3:H$91&lt;&gt;H23)),-1*SUMPRODUCT((P$3:P$91="")*(O$3:O$91="")*(N$3:N$91="")*(M$3:M$91="P")*(G$3:G$91=G23)*(J$3:J$91&gt;J23)*(H$3:H$91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IF(AND(B23&lt;5,I23="P"),IF(_xlfn.MAXIFS(B:B,G:G,G23)&gt;3,5-B23,_xlfn.MAXIFS(B:B,G:G,G23)+1-B23),"")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$91&lt;&gt;"")*(G$3:G$91=G24)*(J$3:J$91&gt;J24)*(I$3:I$91="P"))+1,IF(O24&lt;&gt;"",SUMPRODUCT((O$3:O$91&lt;&gt;"")*(P$3:P$91="")*(G$3:G$91=G24)*(J$3:J$91&gt;J24)*(I$3:I$91="P"))+SUMPRODUCT((P$3:P$91&lt;&gt;"")*(G$3:G$91=G24)*(I$3:I$91="P"))+1,IF(N24&lt;&gt;"",SUMPRODUCT((N$3:N$91&lt;&gt;"")*(G$3:G$91=G24)*(J$3:J$91&gt;J24)*(I$3:I$91="P"))+1,IF(M24="P",SUMPRODUCT((O$3:O$91&lt;&gt;"")*(P$3:P$91="")*(G$3:G$91=G24)*(I$3:I$91="P"))+SUMPRODUCT((P$3:P$91&lt;&gt;"")*(G$3:G$91=G24)*(I$3:I$91="P"))+SUMPRODUCT((N$3:N$91&lt;&gt;"")*(G$3:G$91=G24)*(I$3:I$91="P"))+SUMPRODUCT((P$3:P$91="")*(O$3:O$91="")*(N$3:N$91="")*(M$3:M$91="P")*(G$3:G$91=G24)*(J$3:J$91&gt;J24)*(I$3:I$91="P"))+IF(H24="L5",SUMPRODUCT((P$3:P$91="")*(O$3:O$91="")*(N$3:N$91="")*(M$3:M$91="P")*(G$3:G$91=G24)*(J$3:J$91&lt;J24)*(H$3:H$91&lt;&gt;H24)*(I$3:I$91="P")),-1*SUMPRODUCT((P$3:P$91="")*(O$3:O$91="")*(N$3:N$91="")*(M$3:M$91="P")*(G$3:G$91=G24)*(J$3:J$91&gt;J24)*(H$3:H$91="L5")*(I$3:I$91="P")))+1,"")))))</f>
        <v/>
      </c>
      <c r="B24" s="1" t="str" cm="1">
        <f t="array" ref="B24">IF(P24&lt;&gt;"",SUMPRODUCT((P$3:P$91&lt;&gt;"")*(G$3:G$91=G24)*(J$3:J$91&gt;J24))+1,IF(O24&lt;&gt;"",SUMPRODUCT((O$3:O$91&lt;&gt;"")*(P$3:P$91="")*(G$3:G$91=G24)*(J$3:J$91&gt;J24))+SUMPRODUCT((P$3:P$91&lt;&gt;"")*(G$3:G$91=G24))+1,IF(N24&lt;&gt;"",SUMPRODUCT((N$3:N$91&lt;&gt;"")*(G$3:G$91=G24)*(J$3:J$91&gt;J24))+1,IF(M24="P",SUMPRODUCT((O$3:O$91&lt;&gt;"")*(P$3:P$91="")*(G$3:G$91=G24))+SUMPRODUCT((P$3:P$91&lt;&gt;"")*(G$3:G$91=G24))+SUMPRODUCT((N$3:N$91&lt;&gt;"")*(G$3:G$91=G24))+SUMPRODUCT((P$3:P$91="")*(O$3:O$91="")*(N$3:N$91="")*(M$3:M$91="P")*(G$3:G$91=G24)*(J$3:J$91&gt;J24))+IF(H24="L5",SUMPRODUCT((P$3:P$91="")*(O$3:O$91="")*(N$3:N$91="")*(M$3:M$91="P")*(G$3:G$91=G24)*(J$3:J$91&lt;J24)*(H$3:H$91&lt;&gt;H24)),-1*SUMPRODUCT((P$3:P$91="")*(O$3:O$91="")*(N$3:N$91="")*(M$3:M$91="P")*(G$3:G$91=G24)*(J$3:J$91&gt;J24)*(H$3:H$91="L5")))+1,""))))</f>
        <v/>
      </c>
      <c r="C24" s="35" t="s">
        <v>400</v>
      </c>
      <c r="D24" t="str">
        <f>IF(E24="","",VLOOKUP(E24,'Coaching Points'!A:B,2,0))</f>
        <v>NL</v>
      </c>
      <c r="E24" s="35" t="s">
        <v>141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IF(AND(B24&lt;5,I24="P"),IF(_xlfn.MAXIFS(B:B,G:G,G24)&gt;3,5-B24,_xlfn.MAXIFS(B:B,G:G,G24)+1-B24),"")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$91&lt;&gt;"")*(G$3:G$91=G25)*(J$3:J$91&gt;J25)*(I$3:I$91="P"))+1,IF(O25&lt;&gt;"",SUMPRODUCT((O$3:O$91&lt;&gt;"")*(P$3:P$91="")*(G$3:G$91=G25)*(J$3:J$91&gt;J25)*(I$3:I$91="P"))+SUMPRODUCT((P$3:P$91&lt;&gt;"")*(G$3:G$91=G25)*(I$3:I$91="P"))+1,IF(N25&lt;&gt;"",SUMPRODUCT((N$3:N$91&lt;&gt;"")*(G$3:G$91=G25)*(J$3:J$91&gt;J25)*(I$3:I$91="P"))+1,IF(M25="P",SUMPRODUCT((O$3:O$91&lt;&gt;"")*(P$3:P$91="")*(G$3:G$91=G25)*(I$3:I$91="P"))+SUMPRODUCT((P$3:P$91&lt;&gt;"")*(G$3:G$91=G25)*(I$3:I$91="P"))+SUMPRODUCT((N$3:N$91&lt;&gt;"")*(G$3:G$91=G25)*(I$3:I$91="P"))+SUMPRODUCT((P$3:P$91="")*(O$3:O$91="")*(N$3:N$91="")*(M$3:M$91="P")*(G$3:G$91=G25)*(J$3:J$91&gt;J25)*(I$3:I$91="P"))+IF(H25="L5",SUMPRODUCT((P$3:P$91="")*(O$3:O$91="")*(N$3:N$91="")*(M$3:M$91="P")*(G$3:G$91=G25)*(J$3:J$91&lt;J25)*(H$3:H$91&lt;&gt;H25)*(I$3:I$91="P")),-1*SUMPRODUCT((P$3:P$91="")*(O$3:O$91="")*(N$3:N$91="")*(M$3:M$91="P")*(G$3:G$91=G25)*(J$3:J$91&gt;J25)*(H$3:H$91="L5")*(I$3:I$91="P")))+1,"")))))</f>
        <v/>
      </c>
      <c r="B25" s="1" t="str" cm="1">
        <f t="array" ref="B25">IF(P25&lt;&gt;"",SUMPRODUCT((P$3:P$91&lt;&gt;"")*(G$3:G$91=G25)*(J$3:J$91&gt;J25))+1,IF(O25&lt;&gt;"",SUMPRODUCT((O$3:O$91&lt;&gt;"")*(P$3:P$91="")*(G$3:G$91=G25)*(J$3:J$91&gt;J25))+SUMPRODUCT((P$3:P$91&lt;&gt;"")*(G$3:G$91=G25))+1,IF(N25&lt;&gt;"",SUMPRODUCT((N$3:N$91&lt;&gt;"")*(G$3:G$91=G25)*(J$3:J$91&gt;J25))+1,IF(M25="P",SUMPRODUCT((O$3:O$91&lt;&gt;"")*(P$3:P$91="")*(G$3:G$91=G25))+SUMPRODUCT((P$3:P$91&lt;&gt;"")*(G$3:G$91=G25))+SUMPRODUCT((N$3:N$91&lt;&gt;"")*(G$3:G$91=G25))+SUMPRODUCT((P$3:P$91="")*(O$3:O$91="")*(N$3:N$91="")*(M$3:M$91="P")*(G$3:G$91=G25)*(J$3:J$91&gt;J25))+IF(H25="L5",SUMPRODUCT((P$3:P$91="")*(O$3:O$91="")*(N$3:N$91="")*(M$3:M$91="P")*(G$3:G$91=G25)*(J$3:J$91&lt;J25)*(H$3:H$91&lt;&gt;H25)),-1*SUMPRODUCT((P$3:P$91="")*(O$3:O$91="")*(N$3:N$91="")*(M$3:M$91="P")*(G$3:G$91=G25)*(J$3:J$91&gt;J25)*(H$3:H$91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IF(AND(B25&lt;5,I25="P"),IF(_xlfn.MAXIFS(B:B,G:G,G25)&gt;3,5-B25,_xlfn.MAXIFS(B:B,G:G,G25)+1-B25),"")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$91&lt;&gt;"")*(G$3:G$91=G26)*(J$3:J$91&gt;J26)*(I$3:I$91="P"))+1,IF(O26&lt;&gt;"",SUMPRODUCT((O$3:O$91&lt;&gt;"")*(P$3:P$91="")*(G$3:G$91=G26)*(J$3:J$91&gt;J26)*(I$3:I$91="P"))+SUMPRODUCT((P$3:P$91&lt;&gt;"")*(G$3:G$91=G26)*(I$3:I$91="P"))+1,IF(N26&lt;&gt;"",SUMPRODUCT((N$3:N$91&lt;&gt;"")*(G$3:G$91=G26)*(J$3:J$91&gt;J26)*(I$3:I$91="P"))+1,IF(M26="P",SUMPRODUCT((O$3:O$91&lt;&gt;"")*(P$3:P$91="")*(G$3:G$91=G26)*(I$3:I$91="P"))+SUMPRODUCT((P$3:P$91&lt;&gt;"")*(G$3:G$91=G26)*(I$3:I$91="P"))+SUMPRODUCT((N$3:N$91&lt;&gt;"")*(G$3:G$91=G26)*(I$3:I$91="P"))+SUMPRODUCT((P$3:P$91="")*(O$3:O$91="")*(N$3:N$91="")*(M$3:M$91="P")*(G$3:G$91=G26)*(J$3:J$91&gt;J26)*(I$3:I$91="P"))+IF(H26="L5",SUMPRODUCT((P$3:P$91="")*(O$3:O$91="")*(N$3:N$91="")*(M$3:M$91="P")*(G$3:G$91=G26)*(J$3:J$91&lt;J26)*(H$3:H$91&lt;&gt;H26)*(I$3:I$91="P")),-1*SUMPRODUCT((P$3:P$91="")*(O$3:O$91="")*(N$3:N$91="")*(M$3:M$91="P")*(G$3:G$91=G26)*(J$3:J$91&gt;J26)*(H$3:H$91="L5")*(I$3:I$91="P")))+1,"")))))</f>
        <v/>
      </c>
      <c r="B26" s="1" t="str" cm="1">
        <f t="array" ref="B26">IF(P26&lt;&gt;"",SUMPRODUCT((P$3:P$91&lt;&gt;"")*(G$3:G$91=G26)*(J$3:J$91&gt;J26))+1,IF(O26&lt;&gt;"",SUMPRODUCT((O$3:O$91&lt;&gt;"")*(P$3:P$91="")*(G$3:G$91=G26)*(J$3:J$91&gt;J26))+SUMPRODUCT((P$3:P$91&lt;&gt;"")*(G$3:G$91=G26))+1,IF(N26&lt;&gt;"",SUMPRODUCT((N$3:N$91&lt;&gt;"")*(G$3:G$91=G26)*(J$3:J$91&gt;J26))+1,IF(M26="P",SUMPRODUCT((O$3:O$91&lt;&gt;"")*(P$3:P$91="")*(G$3:G$91=G26))+SUMPRODUCT((P$3:P$91&lt;&gt;"")*(G$3:G$91=G26))+SUMPRODUCT((N$3:N$91&lt;&gt;"")*(G$3:G$91=G26))+SUMPRODUCT((P$3:P$91="")*(O$3:O$91="")*(N$3:N$91="")*(M$3:M$91="P")*(G$3:G$91=G26)*(J$3:J$91&gt;J26))+IF(H26="L5",SUMPRODUCT((P$3:P$91="")*(O$3:O$91="")*(N$3:N$91="")*(M$3:M$91="P")*(G$3:G$91=G26)*(J$3:J$91&lt;J26)*(H$3:H$91&lt;&gt;H26)),-1*SUMPRODUCT((P$3:P$91="")*(O$3:O$91="")*(N$3:N$91="")*(M$3:M$91="P")*(G$3:G$91=G26)*(J$3:J$91&gt;J26)*(H$3:H$91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IF(AND(B26&lt;5,I26="P"),IF(_xlfn.MAXIFS(B:B,G:G,G26)&gt;3,5-B26,_xlfn.MAXIFS(B:B,G:G,G26)+1-B26),"")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$91&lt;&gt;"")*(G$3:G$91=G27)*(J$3:J$91&gt;J27)*(I$3:I$91="P"))+1,IF(O27&lt;&gt;"",SUMPRODUCT((O$3:O$91&lt;&gt;"")*(P$3:P$91="")*(G$3:G$91=G27)*(J$3:J$91&gt;J27)*(I$3:I$91="P"))+SUMPRODUCT((P$3:P$91&lt;&gt;"")*(G$3:G$91=G27)*(I$3:I$91="P"))+1,IF(N27&lt;&gt;"",SUMPRODUCT((N$3:N$91&lt;&gt;"")*(G$3:G$91=G27)*(J$3:J$91&gt;J27)*(I$3:I$91="P"))+1,IF(M27="P",SUMPRODUCT((O$3:O$91&lt;&gt;"")*(P$3:P$91="")*(G$3:G$91=G27)*(I$3:I$91="P"))+SUMPRODUCT((P$3:P$91&lt;&gt;"")*(G$3:G$91=G27)*(I$3:I$91="P"))+SUMPRODUCT((N$3:N$91&lt;&gt;"")*(G$3:G$91=G27)*(I$3:I$91="P"))+SUMPRODUCT((P$3:P$91="")*(O$3:O$91="")*(N$3:N$91="")*(M$3:M$91="P")*(G$3:G$91=G27)*(J$3:J$91&gt;J27)*(I$3:I$91="P"))+IF(H27="L5",SUMPRODUCT((P$3:P$91="")*(O$3:O$91="")*(N$3:N$91="")*(M$3:M$91="P")*(G$3:G$91=G27)*(J$3:J$91&lt;J27)*(H$3:H$91&lt;&gt;H27)*(I$3:I$91="P")),-1*SUMPRODUCT((P$3:P$91="")*(O$3:O$91="")*(N$3:N$91="")*(M$3:M$91="P")*(G$3:G$91=G27)*(J$3:J$91&gt;J27)*(H$3:H$91="L5")*(I$3:I$91="P")))+1,"")))))</f>
        <v/>
      </c>
      <c r="B27" s="1" t="str" cm="1">
        <f t="array" ref="B27">IF(P27&lt;&gt;"",SUMPRODUCT((P$3:P$91&lt;&gt;"")*(G$3:G$91=G27)*(J$3:J$91&gt;J27))+1,IF(O27&lt;&gt;"",SUMPRODUCT((O$3:O$91&lt;&gt;"")*(P$3:P$91="")*(G$3:G$91=G27)*(J$3:J$91&gt;J27))+SUMPRODUCT((P$3:P$91&lt;&gt;"")*(G$3:G$91=G27))+1,IF(N27&lt;&gt;"",SUMPRODUCT((N$3:N$91&lt;&gt;"")*(G$3:G$91=G27)*(J$3:J$91&gt;J27))+1,IF(M27="P",SUMPRODUCT((O$3:O$91&lt;&gt;"")*(P$3:P$91="")*(G$3:G$91=G27))+SUMPRODUCT((P$3:P$91&lt;&gt;"")*(G$3:G$91=G27))+SUMPRODUCT((N$3:N$91&lt;&gt;"")*(G$3:G$91=G27))+SUMPRODUCT((P$3:P$91="")*(O$3:O$91="")*(N$3:N$91="")*(M$3:M$91="P")*(G$3:G$91=G27)*(J$3:J$91&gt;J27))+IF(H27="L5",SUMPRODUCT((P$3:P$91="")*(O$3:O$91="")*(N$3:N$91="")*(M$3:M$91="P")*(G$3:G$91=G27)*(J$3:J$91&lt;J27)*(H$3:H$91&lt;&gt;H27)),-1*SUMPRODUCT((P$3:P$91="")*(O$3:O$91="")*(N$3:N$91="")*(M$3:M$91="P")*(G$3:G$91=G27)*(J$3:J$91&gt;J27)*(H$3:H$91="L5")))+1,""))))</f>
        <v/>
      </c>
      <c r="C27" s="35" t="s">
        <v>404</v>
      </c>
      <c r="D27" t="str">
        <f>IF(E27="","",VLOOKUP(E27,'Coaching Points'!A:B,2,0))</f>
        <v>NL</v>
      </c>
      <c r="E27" s="35" t="s">
        <v>79</v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IF(AND(B27&lt;5,I27="P"),IF(_xlfn.MAXIFS(B:B,G:G,G27)&gt;3,5-B27,_xlfn.MAXIFS(B:B,G:G,G27)+1-B27),"")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$91&lt;&gt;"")*(G$3:G$91=G28)*(J$3:J$91&gt;J28)*(I$3:I$91="P"))+1,IF(O28&lt;&gt;"",SUMPRODUCT((O$3:O$91&lt;&gt;"")*(P$3:P$91="")*(G$3:G$91=G28)*(J$3:J$91&gt;J28)*(I$3:I$91="P"))+SUMPRODUCT((P$3:P$91&lt;&gt;"")*(G$3:G$91=G28)*(I$3:I$91="P"))+1,IF(N28&lt;&gt;"",SUMPRODUCT((N$3:N$91&lt;&gt;"")*(G$3:G$91=G28)*(J$3:J$91&gt;J28)*(I$3:I$91="P"))+1,IF(M28="P",SUMPRODUCT((O$3:O$91&lt;&gt;"")*(P$3:P$91="")*(G$3:G$91=G28)*(I$3:I$91="P"))+SUMPRODUCT((P$3:P$91&lt;&gt;"")*(G$3:G$91=G28)*(I$3:I$91="P"))+SUMPRODUCT((N$3:N$91&lt;&gt;"")*(G$3:G$91=G28)*(I$3:I$91="P"))+SUMPRODUCT((P$3:P$91="")*(O$3:O$91="")*(N$3:N$91="")*(M$3:M$91="P")*(G$3:G$91=G28)*(J$3:J$91&gt;J28)*(I$3:I$91="P"))+IF(H28="L5",SUMPRODUCT((P$3:P$91="")*(O$3:O$91="")*(N$3:N$91="")*(M$3:M$91="P")*(G$3:G$91=G28)*(J$3:J$91&lt;J28)*(H$3:H$91&lt;&gt;H28)*(I$3:I$91="P")),-1*SUMPRODUCT((P$3:P$91="")*(O$3:O$91="")*(N$3:N$91="")*(M$3:M$91="P")*(G$3:G$91=G28)*(J$3:J$91&gt;J28)*(H$3:H$91="L5")*(I$3:I$91="P")))+1,"")))))</f>
        <v/>
      </c>
      <c r="B28" s="1" t="str" cm="1">
        <f t="array" ref="B28">IF(P28&lt;&gt;"",SUMPRODUCT((P$3:P$91&lt;&gt;"")*(G$3:G$91=G28)*(J$3:J$91&gt;J28))+1,IF(O28&lt;&gt;"",SUMPRODUCT((O$3:O$91&lt;&gt;"")*(P$3:P$91="")*(G$3:G$91=G28)*(J$3:J$91&gt;J28))+SUMPRODUCT((P$3:P$91&lt;&gt;"")*(G$3:G$91=G28))+1,IF(N28&lt;&gt;"",SUMPRODUCT((N$3:N$91&lt;&gt;"")*(G$3:G$91=G28)*(J$3:J$91&gt;J28))+1,IF(M28="P",SUMPRODUCT((O$3:O$91&lt;&gt;"")*(P$3:P$91="")*(G$3:G$91=G28))+SUMPRODUCT((P$3:P$91&lt;&gt;"")*(G$3:G$91=G28))+SUMPRODUCT((N$3:N$91&lt;&gt;"")*(G$3:G$91=G28))+SUMPRODUCT((P$3:P$91="")*(O$3:O$91="")*(N$3:N$91="")*(M$3:M$91="P")*(G$3:G$91=G28)*(J$3:J$91&gt;J28))+IF(H28="L5",SUMPRODUCT((P$3:P$91="")*(O$3:O$91="")*(N$3:N$91="")*(M$3:M$91="P")*(G$3:G$91=G28)*(J$3:J$91&lt;J28)*(H$3:H$91&lt;&gt;H28)),-1*SUMPRODUCT((P$3:P$91="")*(O$3:O$91="")*(N$3:N$91="")*(M$3:M$91="P")*(G$3:G$91=G28)*(J$3:J$91&gt;J28)*(H$3:H$91="L5")))+1,""))))</f>
        <v/>
      </c>
      <c r="C28" s="35" t="s">
        <v>398</v>
      </c>
      <c r="D28" t="str">
        <f>IF(E28="","",VLOOKUP(E28,'Coaching Points'!A:B,2,0))</f>
        <v>ON</v>
      </c>
      <c r="E28" s="35" t="s">
        <v>142</v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IF(AND(B28&lt;5,I28="P"),IF(_xlfn.MAXIFS(B:B,G:G,G28)&gt;3,5-B28,_xlfn.MAXIFS(B:B,G:G,G28)+1-B28),"")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$91&lt;&gt;"")*(G$3:G$91=G29)*(J$3:J$91&gt;J29)*(I$3:I$91="P"))+1,IF(O29&lt;&gt;"",SUMPRODUCT((O$3:O$91&lt;&gt;"")*(P$3:P$91="")*(G$3:G$91=G29)*(J$3:J$91&gt;J29)*(I$3:I$91="P"))+SUMPRODUCT((P$3:P$91&lt;&gt;"")*(G$3:G$91=G29)*(I$3:I$91="P"))+1,IF(N29&lt;&gt;"",SUMPRODUCT((N$3:N$91&lt;&gt;"")*(G$3:G$91=G29)*(J$3:J$91&gt;J29)*(I$3:I$91="P"))+1,IF(M29="P",SUMPRODUCT((O$3:O$91&lt;&gt;"")*(P$3:P$91="")*(G$3:G$91=G29)*(I$3:I$91="P"))+SUMPRODUCT((P$3:P$91&lt;&gt;"")*(G$3:G$91=G29)*(I$3:I$91="P"))+SUMPRODUCT((N$3:N$91&lt;&gt;"")*(G$3:G$91=G29)*(I$3:I$91="P"))+SUMPRODUCT((P$3:P$91="")*(O$3:O$91="")*(N$3:N$91="")*(M$3:M$91="P")*(G$3:G$91=G29)*(J$3:J$91&gt;J29)*(I$3:I$91="P"))+IF(H29="L5",SUMPRODUCT((P$3:P$91="")*(O$3:O$91="")*(N$3:N$91="")*(M$3:M$91="P")*(G$3:G$91=G29)*(J$3:J$91&lt;J29)*(H$3:H$91&lt;&gt;H29)*(I$3:I$91="P")),-1*SUMPRODUCT((P$3:P$91="")*(O$3:O$91="")*(N$3:N$91="")*(M$3:M$91="P")*(G$3:G$91=G29)*(J$3:J$91&gt;J29)*(H$3:H$91="L5")*(I$3:I$91="P")))+1,"")))))</f>
        <v/>
      </c>
      <c r="B29" s="1" t="str" cm="1">
        <f t="array" ref="B29">IF(P29&lt;&gt;"",SUMPRODUCT((P$3:P$91&lt;&gt;"")*(G$3:G$91=G29)*(J$3:J$91&gt;J29))+1,IF(O29&lt;&gt;"",SUMPRODUCT((O$3:O$91&lt;&gt;"")*(P$3:P$91="")*(G$3:G$91=G29)*(J$3:J$91&gt;J29))+SUMPRODUCT((P$3:P$91&lt;&gt;"")*(G$3:G$91=G29))+1,IF(N29&lt;&gt;"",SUMPRODUCT((N$3:N$91&lt;&gt;"")*(G$3:G$91=G29)*(J$3:J$91&gt;J29))+1,IF(M29="P",SUMPRODUCT((O$3:O$91&lt;&gt;"")*(P$3:P$91="")*(G$3:G$91=G29))+SUMPRODUCT((P$3:P$91&lt;&gt;"")*(G$3:G$91=G29))+SUMPRODUCT((N$3:N$91&lt;&gt;"")*(G$3:G$91=G29))+SUMPRODUCT((P$3:P$91="")*(O$3:O$91="")*(N$3:N$91="")*(M$3:M$91="P")*(G$3:G$91=G29)*(J$3:J$91&gt;J29))+IF(H29="L5",SUMPRODUCT((P$3:P$91="")*(O$3:O$91="")*(N$3:N$91="")*(M$3:M$91="P")*(G$3:G$91=G29)*(J$3:J$91&lt;J29)*(H$3:H$91&lt;&gt;H29)),-1*SUMPRODUCT((P$3:P$91="")*(O$3:O$91="")*(N$3:N$91="")*(M$3:M$91="P")*(G$3:G$91=G29)*(J$3:J$91&gt;J29)*(H$3:H$91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IF(AND(B29&lt;5,I29="P"),IF(_xlfn.MAXIFS(B:B,G:G,G29)&gt;3,5-B29,_xlfn.MAXIFS(B:B,G:G,G29)+1-B29),"")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$91&lt;&gt;"")*(G$3:G$91=G30)*(J$3:J$91&gt;J30)*(I$3:I$91="P"))+1,IF(O30&lt;&gt;"",SUMPRODUCT((O$3:O$91&lt;&gt;"")*(P$3:P$91="")*(G$3:G$91=G30)*(J$3:J$91&gt;J30)*(I$3:I$91="P"))+SUMPRODUCT((P$3:P$91&lt;&gt;"")*(G$3:G$91=G30)*(I$3:I$91="P"))+1,IF(N30&lt;&gt;"",SUMPRODUCT((N$3:N$91&lt;&gt;"")*(G$3:G$91=G30)*(J$3:J$91&gt;J30)*(I$3:I$91="P"))+1,IF(M30="P",SUMPRODUCT((O$3:O$91&lt;&gt;"")*(P$3:P$91="")*(G$3:G$91=G30)*(I$3:I$91="P"))+SUMPRODUCT((P$3:P$91&lt;&gt;"")*(G$3:G$91=G30)*(I$3:I$91="P"))+SUMPRODUCT((N$3:N$91&lt;&gt;"")*(G$3:G$91=G30)*(I$3:I$91="P"))+SUMPRODUCT((P$3:P$91="")*(O$3:O$91="")*(N$3:N$91="")*(M$3:M$91="P")*(G$3:G$91=G30)*(J$3:J$91&gt;J30)*(I$3:I$91="P"))+IF(H30="L5",SUMPRODUCT((P$3:P$91="")*(O$3:O$91="")*(N$3:N$91="")*(M$3:M$91="P")*(G$3:G$91=G30)*(J$3:J$91&lt;J30)*(H$3:H$91&lt;&gt;H30)*(I$3:I$91="P")),-1*SUMPRODUCT((P$3:P$91="")*(O$3:O$91="")*(N$3:N$91="")*(M$3:M$91="P")*(G$3:G$91=G30)*(J$3:J$91&gt;J30)*(H$3:H$91="L5")*(I$3:I$91="P")))+1,"")))))</f>
        <v/>
      </c>
      <c r="B30" s="1" t="str" cm="1">
        <f t="array" ref="B30">IF(P30&lt;&gt;"",SUMPRODUCT((P$3:P$91&lt;&gt;"")*(G$3:G$91=G30)*(J$3:J$91&gt;J30))+1,IF(O30&lt;&gt;"",SUMPRODUCT((O$3:O$91&lt;&gt;"")*(P$3:P$91="")*(G$3:G$91=G30)*(J$3:J$91&gt;J30))+SUMPRODUCT((P$3:P$91&lt;&gt;"")*(G$3:G$91=G30))+1,IF(N30&lt;&gt;"",SUMPRODUCT((N$3:N$91&lt;&gt;"")*(G$3:G$91=G30)*(J$3:J$91&gt;J30))+1,IF(M30="P",SUMPRODUCT((O$3:O$91&lt;&gt;"")*(P$3:P$91="")*(G$3:G$91=G30))+SUMPRODUCT((P$3:P$91&lt;&gt;"")*(G$3:G$91=G30))+SUMPRODUCT((N$3:N$91&lt;&gt;"")*(G$3:G$91=G30))+SUMPRODUCT((P$3:P$91="")*(O$3:O$91="")*(N$3:N$91="")*(M$3:M$91="P")*(G$3:G$91=G30)*(J$3:J$91&gt;J30))+IF(H30="L5",SUMPRODUCT((P$3:P$91="")*(O$3:O$91="")*(N$3:N$91="")*(M$3:M$91="P")*(G$3:G$91=G30)*(J$3:J$91&lt;J30)*(H$3:H$91&lt;&gt;H30)),-1*SUMPRODUCT((P$3:P$91="")*(O$3:O$91="")*(N$3:N$91="")*(M$3:M$91="P")*(G$3:G$91=G30)*(J$3:J$91&gt;J30)*(H$3:H$91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IF(AND(B30&lt;5,I30="P"),IF(_xlfn.MAXIFS(B:B,G:G,G30)&gt;3,5-B30,_xlfn.MAXIFS(B:B,G:G,G30)+1-B30),"")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$91&lt;&gt;"")*(G$3:G$91=G31)*(J$3:J$91&gt;J31)*(I$3:I$91="P"))+1,IF(O31&lt;&gt;"",SUMPRODUCT((O$3:O$91&lt;&gt;"")*(P$3:P$91="")*(G$3:G$91=G31)*(J$3:J$91&gt;J31)*(I$3:I$91="P"))+SUMPRODUCT((P$3:P$91&lt;&gt;"")*(G$3:G$91=G31)*(I$3:I$91="P"))+1,IF(N31&lt;&gt;"",SUMPRODUCT((N$3:N$91&lt;&gt;"")*(G$3:G$91=G31)*(J$3:J$91&gt;J31)*(I$3:I$91="P"))+1,IF(M31="P",SUMPRODUCT((O$3:O$91&lt;&gt;"")*(P$3:P$91="")*(G$3:G$91=G31)*(I$3:I$91="P"))+SUMPRODUCT((P$3:P$91&lt;&gt;"")*(G$3:G$91=G31)*(I$3:I$91="P"))+SUMPRODUCT((N$3:N$91&lt;&gt;"")*(G$3:G$91=G31)*(I$3:I$91="P"))+SUMPRODUCT((P$3:P$91="")*(O$3:O$91="")*(N$3:N$91="")*(M$3:M$91="P")*(G$3:G$91=G31)*(J$3:J$91&gt;J31)*(I$3:I$91="P"))+IF(H31="L5",SUMPRODUCT((P$3:P$91="")*(O$3:O$91="")*(N$3:N$91="")*(M$3:M$91="P")*(G$3:G$91=G31)*(J$3:J$91&lt;J31)*(H$3:H$91&lt;&gt;H31)*(I$3:I$91="P")),-1*SUMPRODUCT((P$3:P$91="")*(O$3:O$91="")*(N$3:N$91="")*(M$3:M$91="P")*(G$3:G$91=G31)*(J$3:J$91&gt;J31)*(H$3:H$91="L5")*(I$3:I$91="P")))+1,"")))))</f>
        <v/>
      </c>
      <c r="B31" s="1" t="str" cm="1">
        <f t="array" ref="B31">IF(P31&lt;&gt;"",SUMPRODUCT((P$3:P$91&lt;&gt;"")*(G$3:G$91=G31)*(J$3:J$91&gt;J31))+1,IF(O31&lt;&gt;"",SUMPRODUCT((O$3:O$91&lt;&gt;"")*(P$3:P$91="")*(G$3:G$91=G31)*(J$3:J$91&gt;J31))+SUMPRODUCT((P$3:P$91&lt;&gt;"")*(G$3:G$91=G31))+1,IF(N31&lt;&gt;"",SUMPRODUCT((N$3:N$91&lt;&gt;"")*(G$3:G$91=G31)*(J$3:J$91&gt;J31))+1,IF(M31="P",SUMPRODUCT((O$3:O$91&lt;&gt;"")*(P$3:P$91="")*(G$3:G$91=G31))+SUMPRODUCT((P$3:P$91&lt;&gt;"")*(G$3:G$91=G31))+SUMPRODUCT((N$3:N$91&lt;&gt;"")*(G$3:G$91=G31))+SUMPRODUCT((P$3:P$91="")*(O$3:O$91="")*(N$3:N$91="")*(M$3:M$91="P")*(G$3:G$91=G31)*(J$3:J$91&gt;J31))+IF(H31="L5",SUMPRODUCT((P$3:P$91="")*(O$3:O$91="")*(N$3:N$91="")*(M$3:M$91="P")*(G$3:G$91=G31)*(J$3:J$91&lt;J31)*(H$3:H$91&lt;&gt;H31)),-1*SUMPRODUCT((P$3:P$91="")*(O$3:O$91="")*(N$3:N$91="")*(M$3:M$91="P")*(G$3:G$91=G31)*(J$3:J$91&gt;J31)*(H$3:H$91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IF(AND(B31&lt;5,I31="P"),IF(_xlfn.MAXIFS(B:B,G:G,G31)&gt;3,5-B31,_xlfn.MAXIFS(B:B,G:G,G31)+1-B31),"")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$91&lt;&gt;"")*(G$3:G$91=G32)*(J$3:J$91&gt;J32)*(I$3:I$91="P"))+1,IF(O32&lt;&gt;"",SUMPRODUCT((O$3:O$91&lt;&gt;"")*(P$3:P$91="")*(G$3:G$91=G32)*(J$3:J$91&gt;J32)*(I$3:I$91="P"))+SUMPRODUCT((P$3:P$91&lt;&gt;"")*(G$3:G$91=G32)*(I$3:I$91="P"))+1,IF(N32&lt;&gt;"",SUMPRODUCT((N$3:N$91&lt;&gt;"")*(G$3:G$91=G32)*(J$3:J$91&gt;J32)*(I$3:I$91="P"))+1,IF(M32="P",SUMPRODUCT((O$3:O$91&lt;&gt;"")*(P$3:P$91="")*(G$3:G$91=G32)*(I$3:I$91="P"))+SUMPRODUCT((P$3:P$91&lt;&gt;"")*(G$3:G$91=G32)*(I$3:I$91="P"))+SUMPRODUCT((N$3:N$91&lt;&gt;"")*(G$3:G$91=G32)*(I$3:I$91="P"))+SUMPRODUCT((P$3:P$91="")*(O$3:O$91="")*(N$3:N$91="")*(M$3:M$91="P")*(G$3:G$91=G32)*(J$3:J$91&gt;J32)*(I$3:I$91="P"))+IF(H32="L5",SUMPRODUCT((P$3:P$91="")*(O$3:O$91="")*(N$3:N$91="")*(M$3:M$91="P")*(G$3:G$91=G32)*(J$3:J$91&lt;J32)*(H$3:H$91&lt;&gt;H32)*(I$3:I$91="P")),-1*SUMPRODUCT((P$3:P$91="")*(O$3:O$91="")*(N$3:N$91="")*(M$3:M$91="P")*(G$3:G$91=G32)*(J$3:J$91&gt;J32)*(H$3:H$91="L5")*(I$3:I$91="P")))+1,"")))))</f>
        <v/>
      </c>
      <c r="B32" s="1" t="str" cm="1">
        <f t="array" ref="B32">IF(P32&lt;&gt;"",SUMPRODUCT((P$3:P$91&lt;&gt;"")*(G$3:G$91=G32)*(J$3:J$91&gt;J32))+1,IF(O32&lt;&gt;"",SUMPRODUCT((O$3:O$91&lt;&gt;"")*(P$3:P$91="")*(G$3:G$91=G32)*(J$3:J$91&gt;J32))+SUMPRODUCT((P$3:P$91&lt;&gt;"")*(G$3:G$91=G32))+1,IF(N32&lt;&gt;"",SUMPRODUCT((N$3:N$91&lt;&gt;"")*(G$3:G$91=G32)*(J$3:J$91&gt;J32))+1,IF(M32="P",SUMPRODUCT((O$3:O$91&lt;&gt;"")*(P$3:P$91="")*(G$3:G$91=G32))+SUMPRODUCT((P$3:P$91&lt;&gt;"")*(G$3:G$91=G32))+SUMPRODUCT((N$3:N$91&lt;&gt;"")*(G$3:G$91=G32))+SUMPRODUCT((P$3:P$91="")*(O$3:O$91="")*(N$3:N$91="")*(M$3:M$91="P")*(G$3:G$91=G32)*(J$3:J$91&gt;J32))+IF(H32="L5",SUMPRODUCT((P$3:P$91="")*(O$3:O$91="")*(N$3:N$91="")*(M$3:M$91="P")*(G$3:G$91=G32)*(J$3:J$91&lt;J32)*(H$3:H$91&lt;&gt;H32)),-1*SUMPRODUCT((P$3:P$91="")*(O$3:O$91="")*(N$3:N$91="")*(M$3:M$91="P")*(G$3:G$91=G32)*(J$3:J$91&gt;J32)*(H$3:H$91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IF(AND(B32&lt;5,I32="P"),IF(_xlfn.MAXIFS(B:B,G:G,G32)&gt;3,5-B32,_xlfn.MAXIFS(B:B,G:G,G32)+1-B32),"")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$91&lt;&gt;"")*(G$3:G$91=G33)*(J$3:J$91&gt;J33)*(I$3:I$91="P"))+1,IF(O33&lt;&gt;"",SUMPRODUCT((O$3:O$91&lt;&gt;"")*(P$3:P$91="")*(G$3:G$91=G33)*(J$3:J$91&gt;J33)*(I$3:I$91="P"))+SUMPRODUCT((P$3:P$91&lt;&gt;"")*(G$3:G$91=G33)*(I$3:I$91="P"))+1,IF(N33&lt;&gt;"",SUMPRODUCT((N$3:N$91&lt;&gt;"")*(G$3:G$91=G33)*(J$3:J$91&gt;J33)*(I$3:I$91="P"))+1,IF(M33="P",SUMPRODUCT((O$3:O$91&lt;&gt;"")*(P$3:P$91="")*(G$3:G$91=G33)*(I$3:I$91="P"))+SUMPRODUCT((P$3:P$91&lt;&gt;"")*(G$3:G$91=G33)*(I$3:I$91="P"))+SUMPRODUCT((N$3:N$91&lt;&gt;"")*(G$3:G$91=G33)*(I$3:I$91="P"))+SUMPRODUCT((P$3:P$91="")*(O$3:O$91="")*(N$3:N$91="")*(M$3:M$91="P")*(G$3:G$91=G33)*(J$3:J$91&gt;J33)*(I$3:I$91="P"))+IF(H33="L5",SUMPRODUCT((P$3:P$91="")*(O$3:O$91="")*(N$3:N$91="")*(M$3:M$91="P")*(G$3:G$91=G33)*(J$3:J$91&lt;J33)*(H$3:H$91&lt;&gt;H33)*(I$3:I$91="P")),-1*SUMPRODUCT((P$3:P$91="")*(O$3:O$91="")*(N$3:N$91="")*(M$3:M$91="P")*(G$3:G$91=G33)*(J$3:J$91&gt;J33)*(H$3:H$91="L5")*(I$3:I$91="P")))+1,"")))))</f>
        <v/>
      </c>
      <c r="B33" s="1" t="str" cm="1">
        <f t="array" ref="B33">IF(P33&lt;&gt;"",SUMPRODUCT((P$3:P$91&lt;&gt;"")*(G$3:G$91=G33)*(J$3:J$91&gt;J33))+1,IF(O33&lt;&gt;"",SUMPRODUCT((O$3:O$91&lt;&gt;"")*(P$3:P$91="")*(G$3:G$91=G33)*(J$3:J$91&gt;J33))+SUMPRODUCT((P$3:P$91&lt;&gt;"")*(G$3:G$91=G33))+1,IF(N33&lt;&gt;"",SUMPRODUCT((N$3:N$91&lt;&gt;"")*(G$3:G$91=G33)*(J$3:J$91&gt;J33))+1,IF(M33="P",SUMPRODUCT((O$3:O$91&lt;&gt;"")*(P$3:P$91="")*(G$3:G$91=G33))+SUMPRODUCT((P$3:P$91&lt;&gt;"")*(G$3:G$91=G33))+SUMPRODUCT((N$3:N$91&lt;&gt;"")*(G$3:G$91=G33))+SUMPRODUCT((P$3:P$91="")*(O$3:O$91="")*(N$3:N$91="")*(M$3:M$91="P")*(G$3:G$91=G33)*(J$3:J$91&gt;J33))+IF(H33="L5",SUMPRODUCT((P$3:P$91="")*(O$3:O$91="")*(N$3:N$91="")*(M$3:M$91="P")*(G$3:G$91=G33)*(J$3:J$91&lt;J33)*(H$3:H$91&lt;&gt;H33)),-1*SUMPRODUCT((P$3:P$91="")*(O$3:O$91="")*(N$3:N$91="")*(M$3:M$91="P")*(G$3:G$91=G33)*(J$3:J$91&gt;J33)*(H$3:H$91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IF(AND(B33&lt;5,I33="P"),IF(_xlfn.MAXIFS(B:B,G:G,G33)&gt;3,5-B33,_xlfn.MAXIFS(B:B,G:G,G33)+1-B33),"")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$91&lt;&gt;"")*(G$3:G$91=G34)*(J$3:J$91&gt;J34)*(I$3:I$91="P"))+1,IF(O34&lt;&gt;"",SUMPRODUCT((O$3:O$91&lt;&gt;"")*(P$3:P$91="")*(G$3:G$91=G34)*(J$3:J$91&gt;J34)*(I$3:I$91="P"))+SUMPRODUCT((P$3:P$91&lt;&gt;"")*(G$3:G$91=G34)*(I$3:I$91="P"))+1,IF(N34&lt;&gt;"",SUMPRODUCT((N$3:N$91&lt;&gt;"")*(G$3:G$91=G34)*(J$3:J$91&gt;J34)*(I$3:I$91="P"))+1,IF(M34="P",SUMPRODUCT((O$3:O$91&lt;&gt;"")*(P$3:P$91="")*(G$3:G$91=G34)*(I$3:I$91="P"))+SUMPRODUCT((P$3:P$91&lt;&gt;"")*(G$3:G$91=G34)*(I$3:I$91="P"))+SUMPRODUCT((N$3:N$91&lt;&gt;"")*(G$3:G$91=G34)*(I$3:I$91="P"))+SUMPRODUCT((P$3:P$91="")*(O$3:O$91="")*(N$3:N$91="")*(M$3:M$91="P")*(G$3:G$91=G34)*(J$3:J$91&gt;J34)*(I$3:I$91="P"))+IF(H34="L5",SUMPRODUCT((P$3:P$91="")*(O$3:O$91="")*(N$3:N$91="")*(M$3:M$91="P")*(G$3:G$91=G34)*(J$3:J$91&lt;J34)*(H$3:H$91&lt;&gt;H34)*(I$3:I$91="P")),-1*SUMPRODUCT((P$3:P$91="")*(O$3:O$91="")*(N$3:N$91="")*(M$3:M$91="P")*(G$3:G$91=G34)*(J$3:J$91&gt;J34)*(H$3:H$91="L5")*(I$3:I$91="P")))+1,"")))))</f>
        <v/>
      </c>
      <c r="B34" s="1" t="str" cm="1">
        <f t="array" ref="B34">IF(P34&lt;&gt;"",SUMPRODUCT((P$3:P$91&lt;&gt;"")*(G$3:G$91=G34)*(J$3:J$91&gt;J34))+1,IF(O34&lt;&gt;"",SUMPRODUCT((O$3:O$91&lt;&gt;"")*(P$3:P$91="")*(G$3:G$91=G34)*(J$3:J$91&gt;J34))+SUMPRODUCT((P$3:P$91&lt;&gt;"")*(G$3:G$91=G34))+1,IF(N34&lt;&gt;"",SUMPRODUCT((N$3:N$91&lt;&gt;"")*(G$3:G$91=G34)*(J$3:J$91&gt;J34))+1,IF(M34="P",SUMPRODUCT((O$3:O$91&lt;&gt;"")*(P$3:P$91="")*(G$3:G$91=G34))+SUMPRODUCT((P$3:P$91&lt;&gt;"")*(G$3:G$91=G34))+SUMPRODUCT((N$3:N$91&lt;&gt;"")*(G$3:G$91=G34))+SUMPRODUCT((P$3:P$91="")*(O$3:O$91="")*(N$3:N$91="")*(M$3:M$91="P")*(G$3:G$91=G34)*(J$3:J$91&gt;J34))+IF(H34="L5",SUMPRODUCT((P$3:P$91="")*(O$3:O$91="")*(N$3:N$91="")*(M$3:M$91="P")*(G$3:G$91=G34)*(J$3:J$91&lt;J34)*(H$3:H$91&lt;&gt;H34)),-1*SUMPRODUCT((P$3:P$91="")*(O$3:O$91="")*(N$3:N$91="")*(M$3:M$91="P")*(G$3:G$91=G34)*(J$3:J$91&gt;J34)*(H$3:H$91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IF(AND(B34&lt;5,I34="P"),IF(_xlfn.MAXIFS(B:B,G:G,G34)&gt;3,5-B34,_xlfn.MAXIFS(B:B,G:G,G34)+1-B34),"")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$91&lt;&gt;"")*(G$3:G$91=G35)*(J$3:J$91&gt;J35)*(I$3:I$91="P"))+1,IF(O35&lt;&gt;"",SUMPRODUCT((O$3:O$91&lt;&gt;"")*(P$3:P$91="")*(G$3:G$91=G35)*(J$3:J$91&gt;J35)*(I$3:I$91="P"))+SUMPRODUCT((P$3:P$91&lt;&gt;"")*(G$3:G$91=G35)*(I$3:I$91="P"))+1,IF(N35&lt;&gt;"",SUMPRODUCT((N$3:N$91&lt;&gt;"")*(G$3:G$91=G35)*(J$3:J$91&gt;J35)*(I$3:I$91="P"))+1,IF(M35="P",SUMPRODUCT((O$3:O$91&lt;&gt;"")*(P$3:P$91="")*(G$3:G$91=G35)*(I$3:I$91="P"))+SUMPRODUCT((P$3:P$91&lt;&gt;"")*(G$3:G$91=G35)*(I$3:I$91="P"))+SUMPRODUCT((N$3:N$91&lt;&gt;"")*(G$3:G$91=G35)*(I$3:I$91="P"))+SUMPRODUCT((P$3:P$91="")*(O$3:O$91="")*(N$3:N$91="")*(M$3:M$91="P")*(G$3:G$91=G35)*(J$3:J$91&gt;J35)*(I$3:I$91="P"))+IF(H35="L5",SUMPRODUCT((P$3:P$91="")*(O$3:O$91="")*(N$3:N$91="")*(M$3:M$91="P")*(G$3:G$91=G35)*(J$3:J$91&lt;J35)*(H$3:H$91&lt;&gt;H35)*(I$3:I$91="P")),-1*SUMPRODUCT((P$3:P$91="")*(O$3:O$91="")*(N$3:N$91="")*(M$3:M$91="P")*(G$3:G$91=G35)*(J$3:J$91&gt;J35)*(H$3:H$91="L5")*(I$3:I$91="P")))+1,"")))))</f>
        <v/>
      </c>
      <c r="B35" s="1" t="str" cm="1">
        <f t="array" ref="B35">IF(P35&lt;&gt;"",SUMPRODUCT((P$3:P$91&lt;&gt;"")*(G$3:G$91=G35)*(J$3:J$91&gt;J35))+1,IF(O35&lt;&gt;"",SUMPRODUCT((O$3:O$91&lt;&gt;"")*(P$3:P$91="")*(G$3:G$91=G35)*(J$3:J$91&gt;J35))+SUMPRODUCT((P$3:P$91&lt;&gt;"")*(G$3:G$91=G35))+1,IF(N35&lt;&gt;"",SUMPRODUCT((N$3:N$91&lt;&gt;"")*(G$3:G$91=G35)*(J$3:J$91&gt;J35))+1,IF(M35="P",SUMPRODUCT((O$3:O$91&lt;&gt;"")*(P$3:P$91="")*(G$3:G$91=G35))+SUMPRODUCT((P$3:P$91&lt;&gt;"")*(G$3:G$91=G35))+SUMPRODUCT((N$3:N$91&lt;&gt;"")*(G$3:G$91=G35))+SUMPRODUCT((P$3:P$91="")*(O$3:O$91="")*(N$3:N$91="")*(M$3:M$91="P")*(G$3:G$91=G35)*(J$3:J$91&gt;J35))+IF(H35="L5",SUMPRODUCT((P$3:P$91="")*(O$3:O$91="")*(N$3:N$91="")*(M$3:M$91="P")*(G$3:G$91=G35)*(J$3:J$91&lt;J35)*(H$3:H$91&lt;&gt;H35)),-1*SUMPRODUCT((P$3:P$91="")*(O$3:O$91="")*(N$3:N$91="")*(M$3:M$91="P")*(G$3:G$91=G35)*(J$3:J$91&gt;J35)*(H$3:H$91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IF(AND(B35&lt;5,I35="P"),IF(_xlfn.MAXIFS(B:B,G:G,G35)&gt;3,5-B35,_xlfn.MAXIFS(B:B,G:G,G35)+1-B35),"")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$91&lt;&gt;"")*(G$3:G$91=G36)*(J$3:J$91&gt;J36)*(I$3:I$91="P"))+1,IF(O36&lt;&gt;"",SUMPRODUCT((O$3:O$91&lt;&gt;"")*(P$3:P$91="")*(G$3:G$91=G36)*(J$3:J$91&gt;J36)*(I$3:I$91="P"))+SUMPRODUCT((P$3:P$91&lt;&gt;"")*(G$3:G$91=G36)*(I$3:I$91="P"))+1,IF(N36&lt;&gt;"",SUMPRODUCT((N$3:N$91&lt;&gt;"")*(G$3:G$91=G36)*(J$3:J$91&gt;J36)*(I$3:I$91="P"))+1,IF(M36="P",SUMPRODUCT((O$3:O$91&lt;&gt;"")*(P$3:P$91="")*(G$3:G$91=G36)*(I$3:I$91="P"))+SUMPRODUCT((P$3:P$91&lt;&gt;"")*(G$3:G$91=G36)*(I$3:I$91="P"))+SUMPRODUCT((N$3:N$91&lt;&gt;"")*(G$3:G$91=G36)*(I$3:I$91="P"))+SUMPRODUCT((P$3:P$91="")*(O$3:O$91="")*(N$3:N$91="")*(M$3:M$91="P")*(G$3:G$91=G36)*(J$3:J$91&gt;J36)*(I$3:I$91="P"))+IF(H36="L5",SUMPRODUCT((P$3:P$91="")*(O$3:O$91="")*(N$3:N$91="")*(M$3:M$91="P")*(G$3:G$91=G36)*(J$3:J$91&lt;J36)*(H$3:H$91&lt;&gt;H36)*(I$3:I$91="P")),-1*SUMPRODUCT((P$3:P$91="")*(O$3:O$91="")*(N$3:N$91="")*(M$3:M$91="P")*(G$3:G$91=G36)*(J$3:J$91&gt;J36)*(H$3:H$91="L5")*(I$3:I$91="P")))+1,"")))))</f>
        <v/>
      </c>
      <c r="B36" s="1" t="str" cm="1">
        <f t="array" ref="B36">IF(P36&lt;&gt;"",SUMPRODUCT((P$3:P$91&lt;&gt;"")*(G$3:G$91=G36)*(J$3:J$91&gt;J36))+1,IF(O36&lt;&gt;"",SUMPRODUCT((O$3:O$91&lt;&gt;"")*(P$3:P$91="")*(G$3:G$91=G36)*(J$3:J$91&gt;J36))+SUMPRODUCT((P$3:P$91&lt;&gt;"")*(G$3:G$91=G36))+1,IF(N36&lt;&gt;"",SUMPRODUCT((N$3:N$91&lt;&gt;"")*(G$3:G$91=G36)*(J$3:J$91&gt;J36))+1,IF(M36="P",SUMPRODUCT((O$3:O$91&lt;&gt;"")*(P$3:P$91="")*(G$3:G$91=G36))+SUMPRODUCT((P$3:P$91&lt;&gt;"")*(G$3:G$91=G36))+SUMPRODUCT((N$3:N$91&lt;&gt;"")*(G$3:G$91=G36))+SUMPRODUCT((P$3:P$91="")*(O$3:O$91="")*(N$3:N$91="")*(M$3:M$91="P")*(G$3:G$91=G36)*(J$3:J$91&gt;J36))+IF(H36="L5",SUMPRODUCT((P$3:P$91="")*(O$3:O$91="")*(N$3:N$91="")*(M$3:M$91="P")*(G$3:G$91=G36)*(J$3:J$91&lt;J36)*(H$3:H$91&lt;&gt;H36)),-1*SUMPRODUCT((P$3:P$91="")*(O$3:O$91="")*(N$3:N$91="")*(M$3:M$91="P")*(G$3:G$91=G36)*(J$3:J$91&gt;J36)*(H$3:H$91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IF(AND(B36&lt;5,I36="P"),IF(_xlfn.MAXIFS(B:B,G:G,G36)&gt;3,5-B36,_xlfn.MAXIFS(B:B,G:G,G36)+1-B36),"")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$91&lt;&gt;"")*(G$3:G$91=G37)*(J$3:J$91&gt;J37)*(I$3:I$91="P"))+1,IF(O37&lt;&gt;"",SUMPRODUCT((O$3:O$91&lt;&gt;"")*(P$3:P$91="")*(G$3:G$91=G37)*(J$3:J$91&gt;J37)*(I$3:I$91="P"))+SUMPRODUCT((P$3:P$91&lt;&gt;"")*(G$3:G$91=G37)*(I$3:I$91="P"))+1,IF(N37&lt;&gt;"",SUMPRODUCT((N$3:N$91&lt;&gt;"")*(G$3:G$91=G37)*(J$3:J$91&gt;J37)*(I$3:I$91="P"))+1,IF(M37="P",SUMPRODUCT((O$3:O$91&lt;&gt;"")*(P$3:P$91="")*(G$3:G$91=G37)*(I$3:I$91="P"))+SUMPRODUCT((P$3:P$91&lt;&gt;"")*(G$3:G$91=G37)*(I$3:I$91="P"))+SUMPRODUCT((N$3:N$91&lt;&gt;"")*(G$3:G$91=G37)*(I$3:I$91="P"))+SUMPRODUCT((P$3:P$91="")*(O$3:O$91="")*(N$3:N$91="")*(M$3:M$91="P")*(G$3:G$91=G37)*(J$3:J$91&gt;J37)*(I$3:I$91="P"))+IF(H37="L5",SUMPRODUCT((P$3:P$91="")*(O$3:O$91="")*(N$3:N$91="")*(M$3:M$91="P")*(G$3:G$91=G37)*(J$3:J$91&lt;J37)*(H$3:H$91&lt;&gt;H37)*(I$3:I$91="P")),-1*SUMPRODUCT((P$3:P$91="")*(O$3:O$91="")*(N$3:N$91="")*(M$3:M$91="P")*(G$3:G$91=G37)*(J$3:J$91&gt;J37)*(H$3:H$91="L5")*(I$3:I$91="P")))+1,"")))))</f>
        <v/>
      </c>
      <c r="B37" s="1" t="str" cm="1">
        <f t="array" ref="B37">IF(P37&lt;&gt;"",SUMPRODUCT((P$3:P$91&lt;&gt;"")*(G$3:G$91=G37)*(J$3:J$91&gt;J37))+1,IF(O37&lt;&gt;"",SUMPRODUCT((O$3:O$91&lt;&gt;"")*(P$3:P$91="")*(G$3:G$91=G37)*(J$3:J$91&gt;J37))+SUMPRODUCT((P$3:P$91&lt;&gt;"")*(G$3:G$91=G37))+1,IF(N37&lt;&gt;"",SUMPRODUCT((N$3:N$91&lt;&gt;"")*(G$3:G$91=G37)*(J$3:J$91&gt;J37))+1,IF(M37="P",SUMPRODUCT((O$3:O$91&lt;&gt;"")*(P$3:P$91="")*(G$3:G$91=G37))+SUMPRODUCT((P$3:P$91&lt;&gt;"")*(G$3:G$91=G37))+SUMPRODUCT((N$3:N$91&lt;&gt;"")*(G$3:G$91=G37))+SUMPRODUCT((P$3:P$91="")*(O$3:O$91="")*(N$3:N$91="")*(M$3:M$91="P")*(G$3:G$91=G37)*(J$3:J$91&gt;J37))+IF(H37="L5",SUMPRODUCT((P$3:P$91="")*(O$3:O$91="")*(N$3:N$91="")*(M$3:M$91="P")*(G$3:G$91=G37)*(J$3:J$91&lt;J37)*(H$3:H$91&lt;&gt;H37)),-1*SUMPRODUCT((P$3:P$91="")*(O$3:O$91="")*(N$3:N$91="")*(M$3:M$91="P")*(G$3:G$91=G37)*(J$3:J$91&gt;J37)*(H$3:H$91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IF(AND(B37&lt;5,I37="P"),IF(_xlfn.MAXIFS(B:B,G:G,G37)&gt;3,5-B37,_xlfn.MAXIFS(B:B,G:G,G37)+1-B37),"")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$91&lt;&gt;"")*(G$3:G$91=G38)*(J$3:J$91&gt;J38)*(I$3:I$91="P"))+1,IF(O38&lt;&gt;"",SUMPRODUCT((O$3:O$91&lt;&gt;"")*(P$3:P$91="")*(G$3:G$91=G38)*(J$3:J$91&gt;J38)*(I$3:I$91="P"))+SUMPRODUCT((P$3:P$91&lt;&gt;"")*(G$3:G$91=G38)*(I$3:I$91="P"))+1,IF(N38&lt;&gt;"",SUMPRODUCT((N$3:N$91&lt;&gt;"")*(G$3:G$91=G38)*(J$3:J$91&gt;J38)*(I$3:I$91="P"))+1,IF(M38="P",SUMPRODUCT((O$3:O$91&lt;&gt;"")*(P$3:P$91="")*(G$3:G$91=G38)*(I$3:I$91="P"))+SUMPRODUCT((P$3:P$91&lt;&gt;"")*(G$3:G$91=G38)*(I$3:I$91="P"))+SUMPRODUCT((N$3:N$91&lt;&gt;"")*(G$3:G$91=G38)*(I$3:I$91="P"))+SUMPRODUCT((P$3:P$91="")*(O$3:O$91="")*(N$3:N$91="")*(M$3:M$91="P")*(G$3:G$91=G38)*(J$3:J$91&gt;J38)*(I$3:I$91="P"))+IF(H38="L5",SUMPRODUCT((P$3:P$91="")*(O$3:O$91="")*(N$3:N$91="")*(M$3:M$91="P")*(G$3:G$91=G38)*(J$3:J$91&lt;J38)*(H$3:H$91&lt;&gt;H38)*(I$3:I$91="P")),-1*SUMPRODUCT((P$3:P$91="")*(O$3:O$91="")*(N$3:N$91="")*(M$3:M$91="P")*(G$3:G$91=G38)*(J$3:J$91&gt;J38)*(H$3:H$91="L5")*(I$3:I$91="P")))+1,"")))))</f>
        <v/>
      </c>
      <c r="B38" s="1" t="str" cm="1">
        <f t="array" ref="B38">IF(P38&lt;&gt;"",SUMPRODUCT((P$3:P$91&lt;&gt;"")*(G$3:G$91=G38)*(J$3:J$91&gt;J38))+1,IF(O38&lt;&gt;"",SUMPRODUCT((O$3:O$91&lt;&gt;"")*(P$3:P$91="")*(G$3:G$91=G38)*(J$3:J$91&gt;J38))+SUMPRODUCT((P$3:P$91&lt;&gt;"")*(G$3:G$91=G38))+1,IF(N38&lt;&gt;"",SUMPRODUCT((N$3:N$91&lt;&gt;"")*(G$3:G$91=G38)*(J$3:J$91&gt;J38))+1,IF(M38="P",SUMPRODUCT((O$3:O$91&lt;&gt;"")*(P$3:P$91="")*(G$3:G$91=G38))+SUMPRODUCT((P$3:P$91&lt;&gt;"")*(G$3:G$91=G38))+SUMPRODUCT((N$3:N$91&lt;&gt;"")*(G$3:G$91=G38))+SUMPRODUCT((P$3:P$91="")*(O$3:O$91="")*(N$3:N$91="")*(M$3:M$91="P")*(G$3:G$91=G38)*(J$3:J$91&gt;J38))+IF(H38="L5",SUMPRODUCT((P$3:P$91="")*(O$3:O$91="")*(N$3:N$91="")*(M$3:M$91="P")*(G$3:G$91=G38)*(J$3:J$91&lt;J38)*(H$3:H$91&lt;&gt;H38)),-1*SUMPRODUCT((P$3:P$91="")*(O$3:O$91="")*(N$3:N$91="")*(M$3:M$91="P")*(G$3:G$91=G38)*(J$3:J$91&gt;J38)*(H$3:H$91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IF(AND(B38&lt;5,I38="P"),IF(_xlfn.MAXIFS(B:B,G:G,G38)&gt;3,5-B38,_xlfn.MAXIFS(B:B,G:G,G38)+1-B38),"")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$91&lt;&gt;"")*(G$3:G$91=G39)*(J$3:J$91&gt;J39)*(I$3:I$91="P"))+1,IF(O39&lt;&gt;"",SUMPRODUCT((O$3:O$91&lt;&gt;"")*(P$3:P$91="")*(G$3:G$91=G39)*(J$3:J$91&gt;J39)*(I$3:I$91="P"))+SUMPRODUCT((P$3:P$91&lt;&gt;"")*(G$3:G$91=G39)*(I$3:I$91="P"))+1,IF(N39&lt;&gt;"",SUMPRODUCT((N$3:N$91&lt;&gt;"")*(G$3:G$91=G39)*(J$3:J$91&gt;J39)*(I$3:I$91="P"))+1,IF(M39="P",SUMPRODUCT((O$3:O$91&lt;&gt;"")*(P$3:P$91="")*(G$3:G$91=G39)*(I$3:I$91="P"))+SUMPRODUCT((P$3:P$91&lt;&gt;"")*(G$3:G$91=G39)*(I$3:I$91="P"))+SUMPRODUCT((N$3:N$91&lt;&gt;"")*(G$3:G$91=G39)*(I$3:I$91="P"))+SUMPRODUCT((P$3:P$91="")*(O$3:O$91="")*(N$3:N$91="")*(M$3:M$91="P")*(G$3:G$91=G39)*(J$3:J$91&gt;J39)*(I$3:I$91="P"))+IF(H39="L5",SUMPRODUCT((P$3:P$91="")*(O$3:O$91="")*(N$3:N$91="")*(M$3:M$91="P")*(G$3:G$91=G39)*(J$3:J$91&lt;J39)*(H$3:H$91&lt;&gt;H39)*(I$3:I$91="P")),-1*SUMPRODUCT((P$3:P$91="")*(O$3:O$91="")*(N$3:N$91="")*(M$3:M$91="P")*(G$3:G$91=G39)*(J$3:J$91&gt;J39)*(H$3:H$91="L5")*(I$3:I$91="P")))+1,"")))))</f>
        <v/>
      </c>
      <c r="B39" s="1" t="str" cm="1">
        <f t="array" ref="B39">IF(P39&lt;&gt;"",SUMPRODUCT((P$3:P$91&lt;&gt;"")*(G$3:G$91=G39)*(J$3:J$91&gt;J39))+1,IF(O39&lt;&gt;"",SUMPRODUCT((O$3:O$91&lt;&gt;"")*(P$3:P$91="")*(G$3:G$91=G39)*(J$3:J$91&gt;J39))+SUMPRODUCT((P$3:P$91&lt;&gt;"")*(G$3:G$91=G39))+1,IF(N39&lt;&gt;"",SUMPRODUCT((N$3:N$91&lt;&gt;"")*(G$3:G$91=G39)*(J$3:J$91&gt;J39))+1,IF(M39="P",SUMPRODUCT((O$3:O$91&lt;&gt;"")*(P$3:P$91="")*(G$3:G$91=G39))+SUMPRODUCT((P$3:P$91&lt;&gt;"")*(G$3:G$91=G39))+SUMPRODUCT((N$3:N$91&lt;&gt;"")*(G$3:G$91=G39))+SUMPRODUCT((P$3:P$91="")*(O$3:O$91="")*(N$3:N$91="")*(M$3:M$91="P")*(G$3:G$91=G39)*(J$3:J$91&gt;J39))+IF(H39="L5",SUMPRODUCT((P$3:P$91="")*(O$3:O$91="")*(N$3:N$91="")*(M$3:M$91="P")*(G$3:G$91=G39)*(J$3:J$91&lt;J39)*(H$3:H$91&lt;&gt;H39)),-1*SUMPRODUCT((P$3:P$91="")*(O$3:O$91="")*(N$3:N$91="")*(M$3:M$91="P")*(G$3:G$91=G39)*(J$3:J$91&gt;J39)*(H$3:H$91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IF(AND(B39&lt;5,I39="P"),IF(_xlfn.MAXIFS(B:B,G:G,G39)&gt;3,5-B39,_xlfn.MAXIFS(B:B,G:G,G39)+1-B39),"")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$91&lt;&gt;"")*(G$3:G$91=G40)*(J$3:J$91&gt;J40)*(I$3:I$91="P"))+1,IF(O40&lt;&gt;"",SUMPRODUCT((O$3:O$91&lt;&gt;"")*(P$3:P$91="")*(G$3:G$91=G40)*(J$3:J$91&gt;J40)*(I$3:I$91="P"))+SUMPRODUCT((P$3:P$91&lt;&gt;"")*(G$3:G$91=G40)*(I$3:I$91="P"))+1,IF(N40&lt;&gt;"",SUMPRODUCT((N$3:N$91&lt;&gt;"")*(G$3:G$91=G40)*(J$3:J$91&gt;J40)*(I$3:I$91="P"))+1,IF(M40="P",SUMPRODUCT((O$3:O$91&lt;&gt;"")*(P$3:P$91="")*(G$3:G$91=G40)*(I$3:I$91="P"))+SUMPRODUCT((P$3:P$91&lt;&gt;"")*(G$3:G$91=G40)*(I$3:I$91="P"))+SUMPRODUCT((N$3:N$91&lt;&gt;"")*(G$3:G$91=G40)*(I$3:I$91="P"))+SUMPRODUCT((P$3:P$91="")*(O$3:O$91="")*(N$3:N$91="")*(M$3:M$91="P")*(G$3:G$91=G40)*(J$3:J$91&gt;J40)*(I$3:I$91="P"))+IF(H40="L5",SUMPRODUCT((P$3:P$91="")*(O$3:O$91="")*(N$3:N$91="")*(M$3:M$91="P")*(G$3:G$91=G40)*(J$3:J$91&lt;J40)*(H$3:H$91&lt;&gt;H40)*(I$3:I$91="P")),-1*SUMPRODUCT((P$3:P$91="")*(O$3:O$91="")*(N$3:N$91="")*(M$3:M$91="P")*(G$3:G$91=G40)*(J$3:J$91&gt;J40)*(H$3:H$91="L5")*(I$3:I$91="P")))+1,"")))))</f>
        <v/>
      </c>
      <c r="B40" s="1" t="str" cm="1">
        <f t="array" ref="B40">IF(P40&lt;&gt;"",SUMPRODUCT((P$3:P$91&lt;&gt;"")*(G$3:G$91=G40)*(J$3:J$91&gt;J40))+1,IF(O40&lt;&gt;"",SUMPRODUCT((O$3:O$91&lt;&gt;"")*(P$3:P$91="")*(G$3:G$91=G40)*(J$3:J$91&gt;J40))+SUMPRODUCT((P$3:P$91&lt;&gt;"")*(G$3:G$91=G40))+1,IF(N40&lt;&gt;"",SUMPRODUCT((N$3:N$91&lt;&gt;"")*(G$3:G$91=G40)*(J$3:J$91&gt;J40))+1,IF(M40="P",SUMPRODUCT((O$3:O$91&lt;&gt;"")*(P$3:P$91="")*(G$3:G$91=G40))+SUMPRODUCT((P$3:P$91&lt;&gt;"")*(G$3:G$91=G40))+SUMPRODUCT((N$3:N$91&lt;&gt;"")*(G$3:G$91=G40))+SUMPRODUCT((P$3:P$91="")*(O$3:O$91="")*(N$3:N$91="")*(M$3:M$91="P")*(G$3:G$91=G40)*(J$3:J$91&gt;J40))+IF(H40="L5",SUMPRODUCT((P$3:P$91="")*(O$3:O$91="")*(N$3:N$91="")*(M$3:M$91="P")*(G$3:G$91=G40)*(J$3:J$91&lt;J40)*(H$3:H$91&lt;&gt;H40)),-1*SUMPRODUCT((P$3:P$91="")*(O$3:O$91="")*(N$3:N$91="")*(M$3:M$91="P")*(G$3:G$91=G40)*(J$3:J$91&gt;J40)*(H$3:H$91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IF(AND(B40&lt;5,I40="P"),IF(_xlfn.MAXIFS(B:B,G:G,G40)&gt;3,5-B40,_xlfn.MAXIFS(B:B,G:G,G40)+1-B40),"")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$91&lt;&gt;"")*(G$3:G$91=G41)*(J$3:J$91&gt;J41)*(I$3:I$91="P"))+1,IF(O41&lt;&gt;"",SUMPRODUCT((O$3:O$91&lt;&gt;"")*(P$3:P$91="")*(G$3:G$91=G41)*(J$3:J$91&gt;J41)*(I$3:I$91="P"))+SUMPRODUCT((P$3:P$91&lt;&gt;"")*(G$3:G$91=G41)*(I$3:I$91="P"))+1,IF(N41&lt;&gt;"",SUMPRODUCT((N$3:N$91&lt;&gt;"")*(G$3:G$91=G41)*(J$3:J$91&gt;J41)*(I$3:I$91="P"))+1,IF(M41="P",SUMPRODUCT((O$3:O$91&lt;&gt;"")*(P$3:P$91="")*(G$3:G$91=G41)*(I$3:I$91="P"))+SUMPRODUCT((P$3:P$91&lt;&gt;"")*(G$3:G$91=G41)*(I$3:I$91="P"))+SUMPRODUCT((N$3:N$91&lt;&gt;"")*(G$3:G$91=G41)*(I$3:I$91="P"))+SUMPRODUCT((P$3:P$91="")*(O$3:O$91="")*(N$3:N$91="")*(M$3:M$91="P")*(G$3:G$91=G41)*(J$3:J$91&gt;J41)*(I$3:I$91="P"))+IF(H41="L5",SUMPRODUCT((P$3:P$91="")*(O$3:O$91="")*(N$3:N$91="")*(M$3:M$91="P")*(G$3:G$91=G41)*(J$3:J$91&lt;J41)*(H$3:H$91&lt;&gt;H41)*(I$3:I$91="P")),-1*SUMPRODUCT((P$3:P$91="")*(O$3:O$91="")*(N$3:N$91="")*(M$3:M$91="P")*(G$3:G$91=G41)*(J$3:J$91&gt;J41)*(H$3:H$91="L5")*(I$3:I$91="P")))+1,"")))))</f>
        <v/>
      </c>
      <c r="B41" s="1" t="str" cm="1">
        <f t="array" ref="B41">IF(P41&lt;&gt;"",SUMPRODUCT((P$3:P$91&lt;&gt;"")*(G$3:G$91=G41)*(J$3:J$91&gt;J41))+1,IF(O41&lt;&gt;"",SUMPRODUCT((O$3:O$91&lt;&gt;"")*(P$3:P$91="")*(G$3:G$91=G41)*(J$3:J$91&gt;J41))+SUMPRODUCT((P$3:P$91&lt;&gt;"")*(G$3:G$91=G41))+1,IF(N41&lt;&gt;"",SUMPRODUCT((N$3:N$91&lt;&gt;"")*(G$3:G$91=G41)*(J$3:J$91&gt;J41))+1,IF(M41="P",SUMPRODUCT((O$3:O$91&lt;&gt;"")*(P$3:P$91="")*(G$3:G$91=G41))+SUMPRODUCT((P$3:P$91&lt;&gt;"")*(G$3:G$91=G41))+SUMPRODUCT((N$3:N$91&lt;&gt;"")*(G$3:G$91=G41))+SUMPRODUCT((P$3:P$91="")*(O$3:O$91="")*(N$3:N$91="")*(M$3:M$91="P")*(G$3:G$91=G41)*(J$3:J$91&gt;J41))+IF(H41="L5",SUMPRODUCT((P$3:P$91="")*(O$3:O$91="")*(N$3:N$91="")*(M$3:M$91="P")*(G$3:G$91=G41)*(J$3:J$91&lt;J41)*(H$3:H$91&lt;&gt;H41)),-1*SUMPRODUCT((P$3:P$91="")*(O$3:O$91="")*(N$3:N$91="")*(M$3:M$91="P")*(G$3:G$91=G41)*(J$3:J$91&gt;J41)*(H$3:H$91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IF(AND(B41&lt;5,I41="P"),IF(_xlfn.MAXIFS(B:B,G:G,G41)&gt;3,5-B41,_xlfn.MAXIFS(B:B,G:G,G41)+1-B41),"")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$91&lt;&gt;"")*(G$3:G$91=G42)*(J$3:J$91&gt;J42)*(I$3:I$91="P"))+1,IF(O42&lt;&gt;"",SUMPRODUCT((O$3:O$91&lt;&gt;"")*(P$3:P$91="")*(G$3:G$91=G42)*(J$3:J$91&gt;J42)*(I$3:I$91="P"))+SUMPRODUCT((P$3:P$91&lt;&gt;"")*(G$3:G$91=G42)*(I$3:I$91="P"))+1,IF(N42&lt;&gt;"",SUMPRODUCT((N$3:N$91&lt;&gt;"")*(G$3:G$91=G42)*(J$3:J$91&gt;J42)*(I$3:I$91="P"))+1,IF(M42="P",SUMPRODUCT((O$3:O$91&lt;&gt;"")*(P$3:P$91="")*(G$3:G$91=G42)*(I$3:I$91="P"))+SUMPRODUCT((P$3:P$91&lt;&gt;"")*(G$3:G$91=G42)*(I$3:I$91="P"))+SUMPRODUCT((N$3:N$91&lt;&gt;"")*(G$3:G$91=G42)*(I$3:I$91="P"))+SUMPRODUCT((P$3:P$91="")*(O$3:O$91="")*(N$3:N$91="")*(M$3:M$91="P")*(G$3:G$91=G42)*(J$3:J$91&gt;J42)*(I$3:I$91="P"))+IF(H42="L5",SUMPRODUCT((P$3:P$91="")*(O$3:O$91="")*(N$3:N$91="")*(M$3:M$91="P")*(G$3:G$91=G42)*(J$3:J$91&lt;J42)*(H$3:H$91&lt;&gt;H42)*(I$3:I$91="P")),-1*SUMPRODUCT((P$3:P$91="")*(O$3:O$91="")*(N$3:N$91="")*(M$3:M$91="P")*(G$3:G$91=G42)*(J$3:J$91&gt;J42)*(H$3:H$91="L5")*(I$3:I$91="P")))+1,"")))))</f>
        <v/>
      </c>
      <c r="B42" s="1" t="str" cm="1">
        <f t="array" ref="B42">IF(P42&lt;&gt;"",SUMPRODUCT((P$3:P$91&lt;&gt;"")*(G$3:G$91=G42)*(J$3:J$91&gt;J42))+1,IF(O42&lt;&gt;"",SUMPRODUCT((O$3:O$91&lt;&gt;"")*(P$3:P$91="")*(G$3:G$91=G42)*(J$3:J$91&gt;J42))+SUMPRODUCT((P$3:P$91&lt;&gt;"")*(G$3:G$91=G42))+1,IF(N42&lt;&gt;"",SUMPRODUCT((N$3:N$91&lt;&gt;"")*(G$3:G$91=G42)*(J$3:J$91&gt;J42))+1,IF(M42="P",SUMPRODUCT((O$3:O$91&lt;&gt;"")*(P$3:P$91="")*(G$3:G$91=G42))+SUMPRODUCT((P$3:P$91&lt;&gt;"")*(G$3:G$91=G42))+SUMPRODUCT((N$3:N$91&lt;&gt;"")*(G$3:G$91=G42))+SUMPRODUCT((P$3:P$91="")*(O$3:O$91="")*(N$3:N$91="")*(M$3:M$91="P")*(G$3:G$91=G42)*(J$3:J$91&gt;J42))+IF(H42="L5",SUMPRODUCT((P$3:P$91="")*(O$3:O$91="")*(N$3:N$91="")*(M$3:M$91="P")*(G$3:G$91=G42)*(J$3:J$91&lt;J42)*(H$3:H$91&lt;&gt;H42)),-1*SUMPRODUCT((P$3:P$91="")*(O$3:O$91="")*(N$3:N$91="")*(M$3:M$91="P")*(G$3:G$91=G42)*(J$3:J$91&gt;J42)*(H$3:H$91="L5")))+1,""))))</f>
        <v/>
      </c>
      <c r="C42" s="35" t="s">
        <v>405</v>
      </c>
      <c r="D42" t="str">
        <f>IF(E42="","",VLOOKUP(E42,'Coaching Points'!A:B,2,0))</f>
        <v>ON</v>
      </c>
      <c r="E42" s="35" t="s">
        <v>84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IF(AND(B42&lt;5,I42="P"),IF(_xlfn.MAXIFS(B:B,G:G,G42)&gt;3,5-B42,_xlfn.MAXIFS(B:B,G:G,G42)+1-B42),"")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$91&lt;&gt;"")*(G$3:G$91=G43)*(J$3:J$91&gt;J43)*(I$3:I$91="P"))+1,IF(O43&lt;&gt;"",SUMPRODUCT((O$3:O$91&lt;&gt;"")*(P$3:P$91="")*(G$3:G$91=G43)*(J$3:J$91&gt;J43)*(I$3:I$91="P"))+SUMPRODUCT((P$3:P$91&lt;&gt;"")*(G$3:G$91=G43)*(I$3:I$91="P"))+1,IF(N43&lt;&gt;"",SUMPRODUCT((N$3:N$91&lt;&gt;"")*(G$3:G$91=G43)*(J$3:J$91&gt;J43)*(I$3:I$91="P"))+1,IF(M43="P",SUMPRODUCT((O$3:O$91&lt;&gt;"")*(P$3:P$91="")*(G$3:G$91=G43)*(I$3:I$91="P"))+SUMPRODUCT((P$3:P$91&lt;&gt;"")*(G$3:G$91=G43)*(I$3:I$91="P"))+SUMPRODUCT((N$3:N$91&lt;&gt;"")*(G$3:G$91=G43)*(I$3:I$91="P"))+SUMPRODUCT((P$3:P$91="")*(O$3:O$91="")*(N$3:N$91="")*(M$3:M$91="P")*(G$3:G$91=G43)*(J$3:J$91&gt;J43)*(I$3:I$91="P"))+IF(H43="L5",SUMPRODUCT((P$3:P$91="")*(O$3:O$91="")*(N$3:N$91="")*(M$3:M$91="P")*(G$3:G$91=G43)*(J$3:J$91&lt;J43)*(H$3:H$91&lt;&gt;H43)*(I$3:I$91="P")),-1*SUMPRODUCT((P$3:P$91="")*(O$3:O$91="")*(N$3:N$91="")*(M$3:M$91="P")*(G$3:G$91=G43)*(J$3:J$91&gt;J43)*(H$3:H$91="L5")*(I$3:I$91="P")))+1,"")))))</f>
        <v/>
      </c>
      <c r="B43" s="1" t="str" cm="1">
        <f t="array" ref="B43">IF(P43&lt;&gt;"",SUMPRODUCT((P$3:P$91&lt;&gt;"")*(G$3:G$91=G43)*(J$3:J$91&gt;J43))+1,IF(O43&lt;&gt;"",SUMPRODUCT((O$3:O$91&lt;&gt;"")*(P$3:P$91="")*(G$3:G$91=G43)*(J$3:J$91&gt;J43))+SUMPRODUCT((P$3:P$91&lt;&gt;"")*(G$3:G$91=G43))+1,IF(N43&lt;&gt;"",SUMPRODUCT((N$3:N$91&lt;&gt;"")*(G$3:G$91=G43)*(J$3:J$91&gt;J43))+1,IF(M43="P",SUMPRODUCT((O$3:O$91&lt;&gt;"")*(P$3:P$91="")*(G$3:G$91=G43))+SUMPRODUCT((P$3:P$91&lt;&gt;"")*(G$3:G$91=G43))+SUMPRODUCT((N$3:N$91&lt;&gt;"")*(G$3:G$91=G43))+SUMPRODUCT((P$3:P$91="")*(O$3:O$91="")*(N$3:N$91="")*(M$3:M$91="P")*(G$3:G$91=G43)*(J$3:J$91&gt;J43))+IF(H43="L5",SUMPRODUCT((P$3:P$91="")*(O$3:O$91="")*(N$3:N$91="")*(M$3:M$91="P")*(G$3:G$91=G43)*(J$3:J$91&lt;J43)*(H$3:H$91&lt;&gt;H43)),-1*SUMPRODUCT((P$3:P$91="")*(O$3:O$91="")*(N$3:N$91="")*(M$3:M$91="P")*(G$3:G$91=G43)*(J$3:J$91&gt;J43)*(H$3:H$91="L5")))+1,""))))</f>
        <v/>
      </c>
      <c r="C43" s="35" t="s">
        <v>401</v>
      </c>
      <c r="D43" t="str">
        <f>IF(E43="","",VLOOKUP(E43,'Coaching Points'!A:B,2,0))</f>
        <v>ON</v>
      </c>
      <c r="E43" s="35" t="s">
        <v>45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IF(AND(B43&lt;5,I43="P"),IF(_xlfn.MAXIFS(B:B,G:G,G43)&gt;3,5-B43,_xlfn.MAXIFS(B:B,G:G,G43)+1-B43),"")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$91&lt;&gt;"")*(G$3:G$91=G44)*(J$3:J$91&gt;J44)*(I$3:I$91="P"))+1,IF(O44&lt;&gt;"",SUMPRODUCT((O$3:O$91&lt;&gt;"")*(P$3:P$91="")*(G$3:G$91=G44)*(J$3:J$91&gt;J44)*(I$3:I$91="P"))+SUMPRODUCT((P$3:P$91&lt;&gt;"")*(G$3:G$91=G44)*(I$3:I$91="P"))+1,IF(N44&lt;&gt;"",SUMPRODUCT((N$3:N$91&lt;&gt;"")*(G$3:G$91=G44)*(J$3:J$91&gt;J44)*(I$3:I$91="P"))+1,IF(M44="P",SUMPRODUCT((O$3:O$91&lt;&gt;"")*(P$3:P$91="")*(G$3:G$91=G44)*(I$3:I$91="P"))+SUMPRODUCT((P$3:P$91&lt;&gt;"")*(G$3:G$91=G44)*(I$3:I$91="P"))+SUMPRODUCT((N$3:N$91&lt;&gt;"")*(G$3:G$91=G44)*(I$3:I$91="P"))+SUMPRODUCT((P$3:P$91="")*(O$3:O$91="")*(N$3:N$91="")*(M$3:M$91="P")*(G$3:G$91=G44)*(J$3:J$91&gt;J44)*(I$3:I$91="P"))+IF(H44="L5",SUMPRODUCT((P$3:P$91="")*(O$3:O$91="")*(N$3:N$91="")*(M$3:M$91="P")*(G$3:G$91=G44)*(J$3:J$91&lt;J44)*(H$3:H$91&lt;&gt;H44)*(I$3:I$91="P")),-1*SUMPRODUCT((P$3:P$91="")*(O$3:O$91="")*(N$3:N$91="")*(M$3:M$91="P")*(G$3:G$91=G44)*(J$3:J$91&gt;J44)*(H$3:H$91="L5")*(I$3:I$91="P")))+1,"")))))</f>
        <v/>
      </c>
      <c r="B44" s="1" t="str" cm="1">
        <f t="array" ref="B44">IF(P44&lt;&gt;"",SUMPRODUCT((P$3:P$91&lt;&gt;"")*(G$3:G$91=G44)*(J$3:J$91&gt;J44))+1,IF(O44&lt;&gt;"",SUMPRODUCT((O$3:O$91&lt;&gt;"")*(P$3:P$91="")*(G$3:G$91=G44)*(J$3:J$91&gt;J44))+SUMPRODUCT((P$3:P$91&lt;&gt;"")*(G$3:G$91=G44))+1,IF(N44&lt;&gt;"",SUMPRODUCT((N$3:N$91&lt;&gt;"")*(G$3:G$91=G44)*(J$3:J$91&gt;J44))+1,IF(M44="P",SUMPRODUCT((O$3:O$91&lt;&gt;"")*(P$3:P$91="")*(G$3:G$91=G44))+SUMPRODUCT((P$3:P$91&lt;&gt;"")*(G$3:G$91=G44))+SUMPRODUCT((N$3:N$91&lt;&gt;"")*(G$3:G$91=G44))+SUMPRODUCT((P$3:P$91="")*(O$3:O$91="")*(N$3:N$91="")*(M$3:M$91="P")*(G$3:G$91=G44)*(J$3:J$91&gt;J44))+IF(H44="L5",SUMPRODUCT((P$3:P$91="")*(O$3:O$91="")*(N$3:N$91="")*(M$3:M$91="P")*(G$3:G$91=G44)*(J$3:J$91&lt;J44)*(H$3:H$91&lt;&gt;H44)),-1*SUMPRODUCT((P$3:P$91="")*(O$3:O$91="")*(N$3:N$91="")*(M$3:M$91="P")*(G$3:G$91=G44)*(J$3:J$91&gt;J44)*(H$3:H$91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IF(AND(B44&lt;5,I44="P"),IF(_xlfn.MAXIFS(B:B,G:G,G44)&gt;3,5-B44,_xlfn.MAXIFS(B:B,G:G,G44)+1-B44),"")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$91&lt;&gt;"")*(G$3:G$91=G45)*(J$3:J$91&gt;J45)*(I$3:I$91="P"))+1,IF(O45&lt;&gt;"",SUMPRODUCT((O$3:O$91&lt;&gt;"")*(P$3:P$91="")*(G$3:G$91=G45)*(J$3:J$91&gt;J45)*(I$3:I$91="P"))+SUMPRODUCT((P$3:P$91&lt;&gt;"")*(G$3:G$91=G45)*(I$3:I$91="P"))+1,IF(N45&lt;&gt;"",SUMPRODUCT((N$3:N$91&lt;&gt;"")*(G$3:G$91=G45)*(J$3:J$91&gt;J45)*(I$3:I$91="P"))+1,IF(M45="P",SUMPRODUCT((O$3:O$91&lt;&gt;"")*(P$3:P$91="")*(G$3:G$91=G45)*(I$3:I$91="P"))+SUMPRODUCT((P$3:P$91&lt;&gt;"")*(G$3:G$91=G45)*(I$3:I$91="P"))+SUMPRODUCT((N$3:N$91&lt;&gt;"")*(G$3:G$91=G45)*(I$3:I$91="P"))+SUMPRODUCT((P$3:P$91="")*(O$3:O$91="")*(N$3:N$91="")*(M$3:M$91="P")*(G$3:G$91=G45)*(J$3:J$91&gt;J45)*(I$3:I$91="P"))+IF(H45="L5",SUMPRODUCT((P$3:P$91="")*(O$3:O$91="")*(N$3:N$91="")*(M$3:M$91="P")*(G$3:G$91=G45)*(J$3:J$91&lt;J45)*(H$3:H$91&lt;&gt;H45)*(I$3:I$91="P")),-1*SUMPRODUCT((P$3:P$91="")*(O$3:O$91="")*(N$3:N$91="")*(M$3:M$91="P")*(G$3:G$91=G45)*(J$3:J$91&gt;J45)*(H$3:H$91="L5")*(I$3:I$91="P")))+1,"")))))</f>
        <v/>
      </c>
      <c r="B45" s="1" t="str" cm="1">
        <f t="array" ref="B45">IF(P45&lt;&gt;"",SUMPRODUCT((P$3:P$91&lt;&gt;"")*(G$3:G$91=G45)*(J$3:J$91&gt;J45))+1,IF(O45&lt;&gt;"",SUMPRODUCT((O$3:O$91&lt;&gt;"")*(P$3:P$91="")*(G$3:G$91=G45)*(J$3:J$91&gt;J45))+SUMPRODUCT((P$3:P$91&lt;&gt;"")*(G$3:G$91=G45))+1,IF(N45&lt;&gt;"",SUMPRODUCT((N$3:N$91&lt;&gt;"")*(G$3:G$91=G45)*(J$3:J$91&gt;J45))+1,IF(M45="P",SUMPRODUCT((O$3:O$91&lt;&gt;"")*(P$3:P$91="")*(G$3:G$91=G45))+SUMPRODUCT((P$3:P$91&lt;&gt;"")*(G$3:G$91=G45))+SUMPRODUCT((N$3:N$91&lt;&gt;"")*(G$3:G$91=G45))+SUMPRODUCT((P$3:P$91="")*(O$3:O$91="")*(N$3:N$91="")*(M$3:M$91="P")*(G$3:G$91=G45)*(J$3:J$91&gt;J45))+IF(H45="L5",SUMPRODUCT((P$3:P$91="")*(O$3:O$91="")*(N$3:N$91="")*(M$3:M$91="P")*(G$3:G$91=G45)*(J$3:J$91&lt;J45)*(H$3:H$91&lt;&gt;H45)),-1*SUMPRODUCT((P$3:P$91="")*(O$3:O$91="")*(N$3:N$91="")*(M$3:M$91="P")*(G$3:G$91=G45)*(J$3:J$91&gt;J45)*(H$3:H$91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IF(AND(B45&lt;5,I45="P"),IF(_xlfn.MAXIFS(B:B,G:G,G45)&gt;3,5-B45,_xlfn.MAXIFS(B:B,G:G,G45)+1-B45),"")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$91&lt;&gt;"")*(G$3:G$91=G46)*(J$3:J$91&gt;J46)*(I$3:I$91="P"))+1,IF(O46&lt;&gt;"",SUMPRODUCT((O$3:O$91&lt;&gt;"")*(P$3:P$91="")*(G$3:G$91=G46)*(J$3:J$91&gt;J46)*(I$3:I$91="P"))+SUMPRODUCT((P$3:P$91&lt;&gt;"")*(G$3:G$91=G46)*(I$3:I$91="P"))+1,IF(N46&lt;&gt;"",SUMPRODUCT((N$3:N$91&lt;&gt;"")*(G$3:G$91=G46)*(J$3:J$91&gt;J46)*(I$3:I$91="P"))+1,IF(M46="P",SUMPRODUCT((O$3:O$91&lt;&gt;"")*(P$3:P$91="")*(G$3:G$91=G46)*(I$3:I$91="P"))+SUMPRODUCT((P$3:P$91&lt;&gt;"")*(G$3:G$91=G46)*(I$3:I$91="P"))+SUMPRODUCT((N$3:N$91&lt;&gt;"")*(G$3:G$91=G46)*(I$3:I$91="P"))+SUMPRODUCT((P$3:P$91="")*(O$3:O$91="")*(N$3:N$91="")*(M$3:M$91="P")*(G$3:G$91=G46)*(J$3:J$91&gt;J46)*(I$3:I$91="P"))+IF(H46="L5",SUMPRODUCT((P$3:P$91="")*(O$3:O$91="")*(N$3:N$91="")*(M$3:M$91="P")*(G$3:G$91=G46)*(J$3:J$91&lt;J46)*(H$3:H$91&lt;&gt;H46)*(I$3:I$91="P")),-1*SUMPRODUCT((P$3:P$91="")*(O$3:O$91="")*(N$3:N$91="")*(M$3:M$91="P")*(G$3:G$91=G46)*(J$3:J$91&gt;J46)*(H$3:H$91="L5")*(I$3:I$91="P")))+1,"")))))</f>
        <v/>
      </c>
      <c r="B46" s="1" t="str" cm="1">
        <f t="array" ref="B46">IF(P46&lt;&gt;"",SUMPRODUCT((P$3:P$91&lt;&gt;"")*(G$3:G$91=G46)*(J$3:J$91&gt;J46))+1,IF(O46&lt;&gt;"",SUMPRODUCT((O$3:O$91&lt;&gt;"")*(P$3:P$91="")*(G$3:G$91=G46)*(J$3:J$91&gt;J46))+SUMPRODUCT((P$3:P$91&lt;&gt;"")*(G$3:G$91=G46))+1,IF(N46&lt;&gt;"",SUMPRODUCT((N$3:N$91&lt;&gt;"")*(G$3:G$91=G46)*(J$3:J$91&gt;J46))+1,IF(M46="P",SUMPRODUCT((O$3:O$91&lt;&gt;"")*(P$3:P$91="")*(G$3:G$91=G46))+SUMPRODUCT((P$3:P$91&lt;&gt;"")*(G$3:G$91=G46))+SUMPRODUCT((N$3:N$91&lt;&gt;"")*(G$3:G$91=G46))+SUMPRODUCT((P$3:P$91="")*(O$3:O$91="")*(N$3:N$91="")*(M$3:M$91="P")*(G$3:G$91=G46)*(J$3:J$91&gt;J46))+IF(H46="L5",SUMPRODUCT((P$3:P$91="")*(O$3:O$91="")*(N$3:N$91="")*(M$3:M$91="P")*(G$3:G$91=G46)*(J$3:J$91&lt;J46)*(H$3:H$91&lt;&gt;H46)),-1*SUMPRODUCT((P$3:P$91="")*(O$3:O$91="")*(N$3:N$91="")*(M$3:M$91="P")*(G$3:G$91=G46)*(J$3:J$91&gt;J46)*(H$3:H$91="L5")))+1,""))))</f>
        <v/>
      </c>
      <c r="C46" s="35" t="s">
        <v>402</v>
      </c>
      <c r="D46" t="str">
        <f>IF(E46="","",VLOOKUP(E46,'Coaching Points'!A:B,2,0))</f>
        <v>QC</v>
      </c>
      <c r="E46" s="35" t="s">
        <v>99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IF(AND(B46&lt;5,I46="P"),IF(_xlfn.MAXIFS(B:B,G:G,G46)&gt;3,5-B46,_xlfn.MAXIFS(B:B,G:G,G46)+1-B46),"")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$91&lt;&gt;"")*(G$3:G$91=G47)*(J$3:J$91&gt;J47)*(I$3:I$91="P"))+1,IF(O47&lt;&gt;"",SUMPRODUCT((O$3:O$91&lt;&gt;"")*(P$3:P$91="")*(G$3:G$91=G47)*(J$3:J$91&gt;J47)*(I$3:I$91="P"))+SUMPRODUCT((P$3:P$91&lt;&gt;"")*(G$3:G$91=G47)*(I$3:I$91="P"))+1,IF(N47&lt;&gt;"",SUMPRODUCT((N$3:N$91&lt;&gt;"")*(G$3:G$91=G47)*(J$3:J$91&gt;J47)*(I$3:I$91="P"))+1,IF(M47="P",SUMPRODUCT((O$3:O$91&lt;&gt;"")*(P$3:P$91="")*(G$3:G$91=G47)*(I$3:I$91="P"))+SUMPRODUCT((P$3:P$91&lt;&gt;"")*(G$3:G$91=G47)*(I$3:I$91="P"))+SUMPRODUCT((N$3:N$91&lt;&gt;"")*(G$3:G$91=G47)*(I$3:I$91="P"))+SUMPRODUCT((P$3:P$91="")*(O$3:O$91="")*(N$3:N$91="")*(M$3:M$91="P")*(G$3:G$91=G47)*(J$3:J$91&gt;J47)*(I$3:I$91="P"))+IF(H47="L5",SUMPRODUCT((P$3:P$91="")*(O$3:O$91="")*(N$3:N$91="")*(M$3:M$91="P")*(G$3:G$91=G47)*(J$3:J$91&lt;J47)*(H$3:H$91&lt;&gt;H47)*(I$3:I$91="P")),-1*SUMPRODUCT((P$3:P$91="")*(O$3:O$91="")*(N$3:N$91="")*(M$3:M$91="P")*(G$3:G$91=G47)*(J$3:J$91&gt;J47)*(H$3:H$91="L5")*(I$3:I$91="P")))+1,"")))))</f>
        <v/>
      </c>
      <c r="B47" s="1" t="str" cm="1">
        <f t="array" ref="B47">IF(P47&lt;&gt;"",SUMPRODUCT((P$3:P$91&lt;&gt;"")*(G$3:G$91=G47)*(J$3:J$91&gt;J47))+1,IF(O47&lt;&gt;"",SUMPRODUCT((O$3:O$91&lt;&gt;"")*(P$3:P$91="")*(G$3:G$91=G47)*(J$3:J$91&gt;J47))+SUMPRODUCT((P$3:P$91&lt;&gt;"")*(G$3:G$91=G47))+1,IF(N47&lt;&gt;"",SUMPRODUCT((N$3:N$91&lt;&gt;"")*(G$3:G$91=G47)*(J$3:J$91&gt;J47))+1,IF(M47="P",SUMPRODUCT((O$3:O$91&lt;&gt;"")*(P$3:P$91="")*(G$3:G$91=G47))+SUMPRODUCT((P$3:P$91&lt;&gt;"")*(G$3:G$91=G47))+SUMPRODUCT((N$3:N$91&lt;&gt;"")*(G$3:G$91=G47))+SUMPRODUCT((P$3:P$91="")*(O$3:O$91="")*(N$3:N$91="")*(M$3:M$91="P")*(G$3:G$91=G47)*(J$3:J$91&gt;J47))+IF(H47="L5",SUMPRODUCT((P$3:P$91="")*(O$3:O$91="")*(N$3:N$91="")*(M$3:M$91="P")*(G$3:G$91=G47)*(J$3:J$91&lt;J47)*(H$3:H$91&lt;&gt;H47)),-1*SUMPRODUCT((P$3:P$91="")*(O$3:O$91="")*(N$3:N$91="")*(M$3:M$91="P")*(G$3:G$91=G47)*(J$3:J$91&gt;J47)*(H$3:H$91="L5")))+1,""))))</f>
        <v/>
      </c>
      <c r="C47" s="35" t="s">
        <v>406</v>
      </c>
      <c r="D47" t="str">
        <f>IF(E47="","",VLOOKUP(E47,'Coaching Points'!A:B,2,0))</f>
        <v>QC</v>
      </c>
      <c r="E47" s="35" t="s">
        <v>72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IF(AND(B47&lt;5,I47="P"),IF(_xlfn.MAXIFS(B:B,G:G,G47)&gt;3,5-B47,_xlfn.MAXIFS(B:B,G:G,G47)+1-B47),"")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$91&lt;&gt;"")*(G$3:G$91=G48)*(J$3:J$91&gt;J48)*(I$3:I$91="P"))+1,IF(O48&lt;&gt;"",SUMPRODUCT((O$3:O$91&lt;&gt;"")*(P$3:P$91="")*(G$3:G$91=G48)*(J$3:J$91&gt;J48)*(I$3:I$91="P"))+SUMPRODUCT((P$3:P$91&lt;&gt;"")*(G$3:G$91=G48)*(I$3:I$91="P"))+1,IF(N48&lt;&gt;"",SUMPRODUCT((N$3:N$91&lt;&gt;"")*(G$3:G$91=G48)*(J$3:J$91&gt;J48)*(I$3:I$91="P"))+1,IF(M48="P",SUMPRODUCT((O$3:O$91&lt;&gt;"")*(P$3:P$91="")*(G$3:G$91=G48)*(I$3:I$91="P"))+SUMPRODUCT((P$3:P$91&lt;&gt;"")*(G$3:G$91=G48)*(I$3:I$91="P"))+SUMPRODUCT((N$3:N$91&lt;&gt;"")*(G$3:G$91=G48)*(I$3:I$91="P"))+SUMPRODUCT((P$3:P$91="")*(O$3:O$91="")*(N$3:N$91="")*(M$3:M$91="P")*(G$3:G$91=G48)*(J$3:J$91&gt;J48)*(I$3:I$91="P"))+IF(H48="L5",SUMPRODUCT((P$3:P$91="")*(O$3:O$91="")*(N$3:N$91="")*(M$3:M$91="P")*(G$3:G$91=G48)*(J$3:J$91&lt;J48)*(H$3:H$91&lt;&gt;H48)*(I$3:I$91="P")),-1*SUMPRODUCT((P$3:P$91="")*(O$3:O$91="")*(N$3:N$91="")*(M$3:M$91="P")*(G$3:G$91=G48)*(J$3:J$91&gt;J48)*(H$3:H$91="L5")*(I$3:I$91="P")))+1,"")))))</f>
        <v/>
      </c>
      <c r="B48" s="1" t="str" cm="1">
        <f t="array" ref="B48">IF(P48&lt;&gt;"",SUMPRODUCT((P$3:P$91&lt;&gt;"")*(G$3:G$91=G48)*(J$3:J$91&gt;J48))+1,IF(O48&lt;&gt;"",SUMPRODUCT((O$3:O$91&lt;&gt;"")*(P$3:P$91="")*(G$3:G$91=G48)*(J$3:J$91&gt;J48))+SUMPRODUCT((P$3:P$91&lt;&gt;"")*(G$3:G$91=G48))+1,IF(N48&lt;&gt;"",SUMPRODUCT((N$3:N$91&lt;&gt;"")*(G$3:G$91=G48)*(J$3:J$91&gt;J48))+1,IF(M48="P",SUMPRODUCT((O$3:O$91&lt;&gt;"")*(P$3:P$91="")*(G$3:G$91=G48))+SUMPRODUCT((P$3:P$91&lt;&gt;"")*(G$3:G$91=G48))+SUMPRODUCT((N$3:N$91&lt;&gt;"")*(G$3:G$91=G48))+SUMPRODUCT((P$3:P$91="")*(O$3:O$91="")*(N$3:N$91="")*(M$3:M$91="P")*(G$3:G$91=G48)*(J$3:J$91&gt;J48))+IF(H48="L5",SUMPRODUCT((P$3:P$91="")*(O$3:O$91="")*(N$3:N$91="")*(M$3:M$91="P")*(G$3:G$91=G48)*(J$3:J$91&lt;J48)*(H$3:H$91&lt;&gt;H48)),-1*SUMPRODUCT((P$3:P$91="")*(O$3:O$91="")*(N$3:N$91="")*(M$3:M$91="P")*(G$3:G$91=G48)*(J$3:J$91&gt;J48)*(H$3:H$91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IF(AND(B48&lt;5,I48="P"),IF(_xlfn.MAXIFS(B:B,G:G,G48)&gt;3,5-B48,_xlfn.MAXIFS(B:B,G:G,G48)+1-B48),"")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$91&lt;&gt;"")*(G$3:G$91=G49)*(J$3:J$91&gt;J49)*(I$3:I$91="P"))+1,IF(O49&lt;&gt;"",SUMPRODUCT((O$3:O$91&lt;&gt;"")*(P$3:P$91="")*(G$3:G$91=G49)*(J$3:J$91&gt;J49)*(I$3:I$91="P"))+SUMPRODUCT((P$3:P$91&lt;&gt;"")*(G$3:G$91=G49)*(I$3:I$91="P"))+1,IF(N49&lt;&gt;"",SUMPRODUCT((N$3:N$91&lt;&gt;"")*(G$3:G$91=G49)*(J$3:J$91&gt;J49)*(I$3:I$91="P"))+1,IF(M49="P",SUMPRODUCT((O$3:O$91&lt;&gt;"")*(P$3:P$91="")*(G$3:G$91=G49)*(I$3:I$91="P"))+SUMPRODUCT((P$3:P$91&lt;&gt;"")*(G$3:G$91=G49)*(I$3:I$91="P"))+SUMPRODUCT((N$3:N$91&lt;&gt;"")*(G$3:G$91=G49)*(I$3:I$91="P"))+SUMPRODUCT((P$3:P$91="")*(O$3:O$91="")*(N$3:N$91="")*(M$3:M$91="P")*(G$3:G$91=G49)*(J$3:J$91&gt;J49)*(I$3:I$91="P"))+IF(H49="L5",SUMPRODUCT((P$3:P$91="")*(O$3:O$91="")*(N$3:N$91="")*(M$3:M$91="P")*(G$3:G$91=G49)*(J$3:J$91&lt;J49)*(H$3:H$91&lt;&gt;H49)*(I$3:I$91="P")),-1*SUMPRODUCT((P$3:P$91="")*(O$3:O$91="")*(N$3:N$91="")*(M$3:M$91="P")*(G$3:G$91=G49)*(J$3:J$91&gt;J49)*(H$3:H$91="L5")*(I$3:I$91="P")))+1,"")))))</f>
        <v/>
      </c>
      <c r="B49" s="1" t="str" cm="1">
        <f t="array" ref="B49">IF(P49&lt;&gt;"",SUMPRODUCT((P$3:P$91&lt;&gt;"")*(G$3:G$91=G49)*(J$3:J$91&gt;J49))+1,IF(O49&lt;&gt;"",SUMPRODUCT((O$3:O$91&lt;&gt;"")*(P$3:P$91="")*(G$3:G$91=G49)*(J$3:J$91&gt;J49))+SUMPRODUCT((P$3:P$91&lt;&gt;"")*(G$3:G$91=G49))+1,IF(N49&lt;&gt;"",SUMPRODUCT((N$3:N$91&lt;&gt;"")*(G$3:G$91=G49)*(J$3:J$91&gt;J49))+1,IF(M49="P",SUMPRODUCT((O$3:O$91&lt;&gt;"")*(P$3:P$91="")*(G$3:G$91=G49))+SUMPRODUCT((P$3:P$91&lt;&gt;"")*(G$3:G$91=G49))+SUMPRODUCT((N$3:N$91&lt;&gt;"")*(G$3:G$91=G49))+SUMPRODUCT((P$3:P$91="")*(O$3:O$91="")*(N$3:N$91="")*(M$3:M$91="P")*(G$3:G$91=G49)*(J$3:J$91&gt;J49))+IF(H49="L5",SUMPRODUCT((P$3:P$91="")*(O$3:O$91="")*(N$3:N$91="")*(M$3:M$91="P")*(G$3:G$91=G49)*(J$3:J$91&lt;J49)*(H$3:H$91&lt;&gt;H49)),-1*SUMPRODUCT((P$3:P$91="")*(O$3:O$91="")*(N$3:N$91="")*(M$3:M$91="P")*(G$3:G$91=G49)*(J$3:J$91&gt;J49)*(H$3:H$91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IF(AND(B49&lt;5,I49="P"),IF(_xlfn.MAXIFS(B:B,G:G,G49)&gt;3,5-B49,_xlfn.MAXIFS(B:B,G:G,G49)+1-B49),"")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$91&lt;&gt;"")*(G$3:G$91=G50)*(J$3:J$91&gt;J50)*(I$3:I$91="P"))+1,IF(O50&lt;&gt;"",SUMPRODUCT((O$3:O$91&lt;&gt;"")*(P$3:P$91="")*(G$3:G$91=G50)*(J$3:J$91&gt;J50)*(I$3:I$91="P"))+SUMPRODUCT((P$3:P$91&lt;&gt;"")*(G$3:G$91=G50)*(I$3:I$91="P"))+1,IF(N50&lt;&gt;"",SUMPRODUCT((N$3:N$91&lt;&gt;"")*(G$3:G$91=G50)*(J$3:J$91&gt;J50)*(I$3:I$91="P"))+1,IF(M50="P",SUMPRODUCT((O$3:O$91&lt;&gt;"")*(P$3:P$91="")*(G$3:G$91=G50)*(I$3:I$91="P"))+SUMPRODUCT((P$3:P$91&lt;&gt;"")*(G$3:G$91=G50)*(I$3:I$91="P"))+SUMPRODUCT((N$3:N$91&lt;&gt;"")*(G$3:G$91=G50)*(I$3:I$91="P"))+SUMPRODUCT((P$3:P$91="")*(O$3:O$91="")*(N$3:N$91="")*(M$3:M$91="P")*(G$3:G$91=G50)*(J$3:J$91&gt;J50)*(I$3:I$91="P"))+IF(H50="L5",SUMPRODUCT((P$3:P$91="")*(O$3:O$91="")*(N$3:N$91="")*(M$3:M$91="P")*(G$3:G$91=G50)*(J$3:J$91&lt;J50)*(H$3:H$91&lt;&gt;H50)*(I$3:I$91="P")),-1*SUMPRODUCT((P$3:P$91="")*(O$3:O$91="")*(N$3:N$91="")*(M$3:M$91="P")*(G$3:G$91=G50)*(J$3:J$91&gt;J50)*(H$3:H$91="L5")*(I$3:I$91="P")))+1,"")))))</f>
        <v/>
      </c>
      <c r="B50" s="1" t="str" cm="1">
        <f t="array" ref="B50">IF(P50&lt;&gt;"",SUMPRODUCT((P$3:P$91&lt;&gt;"")*(G$3:G$91=G50)*(J$3:J$91&gt;J50))+1,IF(O50&lt;&gt;"",SUMPRODUCT((O$3:O$91&lt;&gt;"")*(P$3:P$91="")*(G$3:G$91=G50)*(J$3:J$91&gt;J50))+SUMPRODUCT((P$3:P$91&lt;&gt;"")*(G$3:G$91=G50))+1,IF(N50&lt;&gt;"",SUMPRODUCT((N$3:N$91&lt;&gt;"")*(G$3:G$91=G50)*(J$3:J$91&gt;J50))+1,IF(M50="P",SUMPRODUCT((O$3:O$91&lt;&gt;"")*(P$3:P$91="")*(G$3:G$91=G50))+SUMPRODUCT((P$3:P$91&lt;&gt;"")*(G$3:G$91=G50))+SUMPRODUCT((N$3:N$91&lt;&gt;"")*(G$3:G$91=G50))+SUMPRODUCT((P$3:P$91="")*(O$3:O$91="")*(N$3:N$91="")*(M$3:M$91="P")*(G$3:G$91=G50)*(J$3:J$91&gt;J50))+IF(H50="L5",SUMPRODUCT((P$3:P$91="")*(O$3:O$91="")*(N$3:N$91="")*(M$3:M$91="P")*(G$3:G$91=G50)*(J$3:J$91&lt;J50)*(H$3:H$91&lt;&gt;H50)),-1*SUMPRODUCT((P$3:P$91="")*(O$3:O$91="")*(N$3:N$91="")*(M$3:M$91="P")*(G$3:G$91=G50)*(J$3:J$91&gt;J50)*(H$3:H$91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IF(AND(B50&lt;5,I50="P"),IF(_xlfn.MAXIFS(B:B,G:G,G50)&gt;3,5-B50,_xlfn.MAXIFS(B:B,G:G,G50)+1-B50),"")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$91&lt;&gt;"")*(G$3:G$91=G51)*(J$3:J$91&gt;J51)*(I$3:I$91="P"))+1,IF(O51&lt;&gt;"",SUMPRODUCT((O$3:O$91&lt;&gt;"")*(P$3:P$91="")*(G$3:G$91=G51)*(J$3:J$91&gt;J51)*(I$3:I$91="P"))+SUMPRODUCT((P$3:P$91&lt;&gt;"")*(G$3:G$91=G51)*(I$3:I$91="P"))+1,IF(N51&lt;&gt;"",SUMPRODUCT((N$3:N$91&lt;&gt;"")*(G$3:G$91=G51)*(J$3:J$91&gt;J51)*(I$3:I$91="P"))+1,IF(M51="P",SUMPRODUCT((O$3:O$91&lt;&gt;"")*(P$3:P$91="")*(G$3:G$91=G51)*(I$3:I$91="P"))+SUMPRODUCT((P$3:P$91&lt;&gt;"")*(G$3:G$91=G51)*(I$3:I$91="P"))+SUMPRODUCT((N$3:N$91&lt;&gt;"")*(G$3:G$91=G51)*(I$3:I$91="P"))+SUMPRODUCT((P$3:P$91="")*(O$3:O$91="")*(N$3:N$91="")*(M$3:M$91="P")*(G$3:G$91=G51)*(J$3:J$91&gt;J51)*(I$3:I$91="P"))+IF(H51="L5",SUMPRODUCT((P$3:P$91="")*(O$3:O$91="")*(N$3:N$91="")*(M$3:M$91="P")*(G$3:G$91=G51)*(J$3:J$91&lt;J51)*(H$3:H$91&lt;&gt;H51)*(I$3:I$91="P")),-1*SUMPRODUCT((P$3:P$91="")*(O$3:O$91="")*(N$3:N$91="")*(M$3:M$91="P")*(G$3:G$91=G51)*(J$3:J$91&gt;J51)*(H$3:H$91="L5")*(I$3:I$91="P")))+1,"")))))</f>
        <v/>
      </c>
      <c r="B51" s="1" t="str" cm="1">
        <f t="array" ref="B51">IF(P51&lt;&gt;"",SUMPRODUCT((P$3:P$91&lt;&gt;"")*(G$3:G$91=G51)*(J$3:J$91&gt;J51))+1,IF(O51&lt;&gt;"",SUMPRODUCT((O$3:O$91&lt;&gt;"")*(P$3:P$91="")*(G$3:G$91=G51)*(J$3:J$91&gt;J51))+SUMPRODUCT((P$3:P$91&lt;&gt;"")*(G$3:G$91=G51))+1,IF(N51&lt;&gt;"",SUMPRODUCT((N$3:N$91&lt;&gt;"")*(G$3:G$91=G51)*(J$3:J$91&gt;J51))+1,IF(M51="P",SUMPRODUCT((O$3:O$91&lt;&gt;"")*(P$3:P$91="")*(G$3:G$91=G51))+SUMPRODUCT((P$3:P$91&lt;&gt;"")*(G$3:G$91=G51))+SUMPRODUCT((N$3:N$91&lt;&gt;"")*(G$3:G$91=G51))+SUMPRODUCT((P$3:P$91="")*(O$3:O$91="")*(N$3:N$91="")*(M$3:M$91="P")*(G$3:G$91=G51)*(J$3:J$91&gt;J51))+IF(H51="L5",SUMPRODUCT((P$3:P$91="")*(O$3:O$91="")*(N$3:N$91="")*(M$3:M$91="P")*(G$3:G$91=G51)*(J$3:J$91&lt;J51)*(H$3:H$91&lt;&gt;H51)),-1*SUMPRODUCT((P$3:P$91="")*(O$3:O$91="")*(N$3:N$91="")*(M$3:M$91="P")*(G$3:G$91=G51)*(J$3:J$91&gt;J51)*(H$3:H$91="L5")))+1,""))))</f>
        <v/>
      </c>
      <c r="C51" s="35" t="s">
        <v>403</v>
      </c>
      <c r="D51" t="str">
        <f>IF(E51="","",VLOOKUP(E51,'Coaching Points'!A:B,2,0))</f>
        <v>ON</v>
      </c>
      <c r="E51" s="35" t="s">
        <v>67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IF(AND(B51&lt;5,I51="P"),IF(_xlfn.MAXIFS(B:B,G:G,G51)&gt;3,5-B51,_xlfn.MAXIFS(B:B,G:G,G51)+1-B51),"")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$91&lt;&gt;"")*(G$3:G$91=G52)*(J$3:J$91&gt;J52)*(I$3:I$91="P"))+1,IF(O52&lt;&gt;"",SUMPRODUCT((O$3:O$91&lt;&gt;"")*(P$3:P$91="")*(G$3:G$91=G52)*(J$3:J$91&gt;J52)*(I$3:I$91="P"))+SUMPRODUCT((P$3:P$91&lt;&gt;"")*(G$3:G$91=G52)*(I$3:I$91="P"))+1,IF(N52&lt;&gt;"",SUMPRODUCT((N$3:N$91&lt;&gt;"")*(G$3:G$91=G52)*(J$3:J$91&gt;J52)*(I$3:I$91="P"))+1,IF(M52="P",SUMPRODUCT((O$3:O$91&lt;&gt;"")*(P$3:P$91="")*(G$3:G$91=G52)*(I$3:I$91="P"))+SUMPRODUCT((P$3:P$91&lt;&gt;"")*(G$3:G$91=G52)*(I$3:I$91="P"))+SUMPRODUCT((N$3:N$91&lt;&gt;"")*(G$3:G$91=G52)*(I$3:I$91="P"))+SUMPRODUCT((P$3:P$91="")*(O$3:O$91="")*(N$3:N$91="")*(M$3:M$91="P")*(G$3:G$91=G52)*(J$3:J$91&gt;J52)*(I$3:I$91="P"))+IF(H52="L5",SUMPRODUCT((P$3:P$91="")*(O$3:O$91="")*(N$3:N$91="")*(M$3:M$91="P")*(G$3:G$91=G52)*(J$3:J$91&lt;J52)*(H$3:H$91&lt;&gt;H52)*(I$3:I$91="P")),-1*SUMPRODUCT((P$3:P$91="")*(O$3:O$91="")*(N$3:N$91="")*(M$3:M$91="P")*(G$3:G$91=G52)*(J$3:J$91&gt;J52)*(H$3:H$91="L5")*(I$3:I$91="P")))+1,"")))))</f>
        <v/>
      </c>
      <c r="B52" s="1" t="str" cm="1">
        <f t="array" ref="B52">IF(P52&lt;&gt;"",SUMPRODUCT((P$3:P$91&lt;&gt;"")*(G$3:G$91=G52)*(J$3:J$91&gt;J52))+1,IF(O52&lt;&gt;"",SUMPRODUCT((O$3:O$91&lt;&gt;"")*(P$3:P$91="")*(G$3:G$91=G52)*(J$3:J$91&gt;J52))+SUMPRODUCT((P$3:P$91&lt;&gt;"")*(G$3:G$91=G52))+1,IF(N52&lt;&gt;"",SUMPRODUCT((N$3:N$91&lt;&gt;"")*(G$3:G$91=G52)*(J$3:J$91&gt;J52))+1,IF(M52="P",SUMPRODUCT((O$3:O$91&lt;&gt;"")*(P$3:P$91="")*(G$3:G$91=G52))+SUMPRODUCT((P$3:P$91&lt;&gt;"")*(G$3:G$91=G52))+SUMPRODUCT((N$3:N$91&lt;&gt;"")*(G$3:G$91=G52))+SUMPRODUCT((P$3:P$91="")*(O$3:O$91="")*(N$3:N$91="")*(M$3:M$91="P")*(G$3:G$91=G52)*(J$3:J$91&gt;J52))+IF(H52="L5",SUMPRODUCT((P$3:P$91="")*(O$3:O$91="")*(N$3:N$91="")*(M$3:M$91="P")*(G$3:G$91=G52)*(J$3:J$91&lt;J52)*(H$3:H$91&lt;&gt;H52)),-1*SUMPRODUCT((P$3:P$91="")*(O$3:O$91="")*(N$3:N$91="")*(M$3:M$91="P")*(G$3:G$91=G52)*(J$3:J$91&gt;J52)*(H$3:H$91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IF(AND(B52&lt;5,I52="P"),IF(_xlfn.MAXIFS(B:B,G:G,G52)&gt;3,5-B52,_xlfn.MAXIFS(B:B,G:G,G52)+1-B52),"")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$91&lt;&gt;"")*(G$3:G$91=G53)*(J$3:J$91&gt;J53)*(I$3:I$91="P"))+1,IF(O53&lt;&gt;"",SUMPRODUCT((O$3:O$91&lt;&gt;"")*(P$3:P$91="")*(G$3:G$91=G53)*(J$3:J$91&gt;J53)*(I$3:I$91="P"))+SUMPRODUCT((P$3:P$91&lt;&gt;"")*(G$3:G$91=G53)*(I$3:I$91="P"))+1,IF(N53&lt;&gt;"",SUMPRODUCT((N$3:N$91&lt;&gt;"")*(G$3:G$91=G53)*(J$3:J$91&gt;J53)*(I$3:I$91="P"))+1,IF(M53="P",SUMPRODUCT((O$3:O$91&lt;&gt;"")*(P$3:P$91="")*(G$3:G$91=G53)*(I$3:I$91="P"))+SUMPRODUCT((P$3:P$91&lt;&gt;"")*(G$3:G$91=G53)*(I$3:I$91="P"))+SUMPRODUCT((N$3:N$91&lt;&gt;"")*(G$3:G$91=G53)*(I$3:I$91="P"))+SUMPRODUCT((P$3:P$91="")*(O$3:O$91="")*(N$3:N$91="")*(M$3:M$91="P")*(G$3:G$91=G53)*(J$3:J$91&gt;J53)*(I$3:I$91="P"))+IF(H53="L5",SUMPRODUCT((P$3:P$91="")*(O$3:O$91="")*(N$3:N$91="")*(M$3:M$91="P")*(G$3:G$91=G53)*(J$3:J$91&lt;J53)*(H$3:H$91&lt;&gt;H53)*(I$3:I$91="P")),-1*SUMPRODUCT((P$3:P$91="")*(O$3:O$91="")*(N$3:N$91="")*(M$3:M$91="P")*(G$3:G$91=G53)*(J$3:J$91&gt;J53)*(H$3:H$91="L5")*(I$3:I$91="P")))+1,"")))))</f>
        <v/>
      </c>
      <c r="B53" s="1" t="str" cm="1">
        <f t="array" ref="B53">IF(P53&lt;&gt;"",SUMPRODUCT((P$3:P$91&lt;&gt;"")*(G$3:G$91=G53)*(J$3:J$91&gt;J53))+1,IF(O53&lt;&gt;"",SUMPRODUCT((O$3:O$91&lt;&gt;"")*(P$3:P$91="")*(G$3:G$91=G53)*(J$3:J$91&gt;J53))+SUMPRODUCT((P$3:P$91&lt;&gt;"")*(G$3:G$91=G53))+1,IF(N53&lt;&gt;"",SUMPRODUCT((N$3:N$91&lt;&gt;"")*(G$3:G$91=G53)*(J$3:J$91&gt;J53))+1,IF(M53="P",SUMPRODUCT((O$3:O$91&lt;&gt;"")*(P$3:P$91="")*(G$3:G$91=G53))+SUMPRODUCT((P$3:P$91&lt;&gt;"")*(G$3:G$91=G53))+SUMPRODUCT((N$3:N$91&lt;&gt;"")*(G$3:G$91=G53))+SUMPRODUCT((P$3:P$91="")*(O$3:O$91="")*(N$3:N$91="")*(M$3:M$91="P")*(G$3:G$91=G53)*(J$3:J$91&gt;J53))+IF(H53="L5",SUMPRODUCT((P$3:P$91="")*(O$3:O$91="")*(N$3:N$91="")*(M$3:M$91="P")*(G$3:G$91=G53)*(J$3:J$91&lt;J53)*(H$3:H$91&lt;&gt;H53)),-1*SUMPRODUCT((P$3:P$91="")*(O$3:O$91="")*(N$3:N$91="")*(M$3:M$91="P")*(G$3:G$91=G53)*(J$3:J$91&gt;J53)*(H$3:H$91="L5")))+1,""))))</f>
        <v/>
      </c>
      <c r="C53" s="35" t="s">
        <v>355</v>
      </c>
      <c r="D53" t="str">
        <f>IF(E53="","",VLOOKUP(E53,'Coaching Points'!A:B,2,0))</f>
        <v>ON</v>
      </c>
      <c r="E53" s="35" t="s">
        <v>133</v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IF(AND(B53&lt;5,I53="P"),IF(_xlfn.MAXIFS(B:B,G:G,G53)&gt;3,5-B53,_xlfn.MAXIFS(B:B,G:G,G53)+1-B53),"")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$91&lt;&gt;"")*(G$3:G$91=G54)*(J$3:J$91&gt;J54)*(I$3:I$91="P"))+1,IF(O54&lt;&gt;"",SUMPRODUCT((O$3:O$91&lt;&gt;"")*(P$3:P$91="")*(G$3:G$91=G54)*(J$3:J$91&gt;J54)*(I$3:I$91="P"))+SUMPRODUCT((P$3:P$91&lt;&gt;"")*(G$3:G$91=G54)*(I$3:I$91="P"))+1,IF(N54&lt;&gt;"",SUMPRODUCT((N$3:N$91&lt;&gt;"")*(G$3:G$91=G54)*(J$3:J$91&gt;J54)*(I$3:I$91="P"))+1,IF(M54="P",SUMPRODUCT((O$3:O$91&lt;&gt;"")*(P$3:P$91="")*(G$3:G$91=G54)*(I$3:I$91="P"))+SUMPRODUCT((P$3:P$91&lt;&gt;"")*(G$3:G$91=G54)*(I$3:I$91="P"))+SUMPRODUCT((N$3:N$91&lt;&gt;"")*(G$3:G$91=G54)*(I$3:I$91="P"))+SUMPRODUCT((P$3:P$91="")*(O$3:O$91="")*(N$3:N$91="")*(M$3:M$91="P")*(G$3:G$91=G54)*(J$3:J$91&gt;J54)*(I$3:I$91="P"))+IF(H54="L5",SUMPRODUCT((P$3:P$91="")*(O$3:O$91="")*(N$3:N$91="")*(M$3:M$91="P")*(G$3:G$91=G54)*(J$3:J$91&lt;J54)*(H$3:H$91&lt;&gt;H54)*(I$3:I$91="P")),-1*SUMPRODUCT((P$3:P$91="")*(O$3:O$91="")*(N$3:N$91="")*(M$3:M$91="P")*(G$3:G$91=G54)*(J$3:J$91&gt;J54)*(H$3:H$91="L5")*(I$3:I$91="P")))+1,"")))))</f>
        <v/>
      </c>
      <c r="B54" s="1" t="str" cm="1">
        <f t="array" ref="B54">IF(P54&lt;&gt;"",SUMPRODUCT((P$3:P$91&lt;&gt;"")*(G$3:G$91=G54)*(J$3:J$91&gt;J54))+1,IF(O54&lt;&gt;"",SUMPRODUCT((O$3:O$91&lt;&gt;"")*(P$3:P$91="")*(G$3:G$91=G54)*(J$3:J$91&gt;J54))+SUMPRODUCT((P$3:P$91&lt;&gt;"")*(G$3:G$91=G54))+1,IF(N54&lt;&gt;"",SUMPRODUCT((N$3:N$91&lt;&gt;"")*(G$3:G$91=G54)*(J$3:J$91&gt;J54))+1,IF(M54="P",SUMPRODUCT((O$3:O$91&lt;&gt;"")*(P$3:P$91="")*(G$3:G$91=G54))+SUMPRODUCT((P$3:P$91&lt;&gt;"")*(G$3:G$91=G54))+SUMPRODUCT((N$3:N$91&lt;&gt;"")*(G$3:G$91=G54))+SUMPRODUCT((P$3:P$91="")*(O$3:O$91="")*(N$3:N$91="")*(M$3:M$91="P")*(G$3:G$91=G54)*(J$3:J$91&gt;J54))+IF(H54="L5",SUMPRODUCT((P$3:P$91="")*(O$3:O$91="")*(N$3:N$91="")*(M$3:M$91="P")*(G$3:G$91=G54)*(J$3:J$91&lt;J54)*(H$3:H$91&lt;&gt;H54)),-1*SUMPRODUCT((P$3:P$91="")*(O$3:O$91="")*(N$3:N$91="")*(M$3:M$91="P")*(G$3:G$91=G54)*(J$3:J$91&gt;J54)*(H$3:H$91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IF(AND(B54&lt;5,I54="P"),IF(_xlfn.MAXIFS(B:B,G:G,G54)&gt;3,5-B54,_xlfn.MAXIFS(B:B,G:G,G54)+1-B54),"")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$91&lt;&gt;"")*(G$3:G$91=G55)*(J$3:J$91&gt;J55)*(I$3:I$91="P"))+1,IF(O55&lt;&gt;"",SUMPRODUCT((O$3:O$91&lt;&gt;"")*(P$3:P$91="")*(G$3:G$91=G55)*(J$3:J$91&gt;J55)*(I$3:I$91="P"))+SUMPRODUCT((P$3:P$91&lt;&gt;"")*(G$3:G$91=G55)*(I$3:I$91="P"))+1,IF(N55&lt;&gt;"",SUMPRODUCT((N$3:N$91&lt;&gt;"")*(G$3:G$91=G55)*(J$3:J$91&gt;J55)*(I$3:I$91="P"))+1,IF(M55="P",SUMPRODUCT((O$3:O$91&lt;&gt;"")*(P$3:P$91="")*(G$3:G$91=G55)*(I$3:I$91="P"))+SUMPRODUCT((P$3:P$91&lt;&gt;"")*(G$3:G$91=G55)*(I$3:I$91="P"))+SUMPRODUCT((N$3:N$91&lt;&gt;"")*(G$3:G$91=G55)*(I$3:I$91="P"))+SUMPRODUCT((P$3:P$91="")*(O$3:O$91="")*(N$3:N$91="")*(M$3:M$91="P")*(G$3:G$91=G55)*(J$3:J$91&gt;J55)*(I$3:I$91="P"))+IF(H55="L5",SUMPRODUCT((P$3:P$91="")*(O$3:O$91="")*(N$3:N$91="")*(M$3:M$91="P")*(G$3:G$91=G55)*(J$3:J$91&lt;J55)*(H$3:H$91&lt;&gt;H55)*(I$3:I$91="P")),-1*SUMPRODUCT((P$3:P$91="")*(O$3:O$91="")*(N$3:N$91="")*(M$3:M$91="P")*(G$3:G$91=G55)*(J$3:J$91&gt;J55)*(H$3:H$91="L5")*(I$3:I$91="P")))+1,"")))))</f>
        <v/>
      </c>
      <c r="B55" s="1" t="str" cm="1">
        <f t="array" ref="B55">IF(P55&lt;&gt;"",SUMPRODUCT((P$3:P$91&lt;&gt;"")*(G$3:G$91=G55)*(J$3:J$91&gt;J55))+1,IF(O55&lt;&gt;"",SUMPRODUCT((O$3:O$91&lt;&gt;"")*(P$3:P$91="")*(G$3:G$91=G55)*(J$3:J$91&gt;J55))+SUMPRODUCT((P$3:P$91&lt;&gt;"")*(G$3:G$91=G55))+1,IF(N55&lt;&gt;"",SUMPRODUCT((N$3:N$91&lt;&gt;"")*(G$3:G$91=G55)*(J$3:J$91&gt;J55))+1,IF(M55="P",SUMPRODUCT((O$3:O$91&lt;&gt;"")*(P$3:P$91="")*(G$3:G$91=G55))+SUMPRODUCT((P$3:P$91&lt;&gt;"")*(G$3:G$91=G55))+SUMPRODUCT((N$3:N$91&lt;&gt;"")*(G$3:G$91=G55))+SUMPRODUCT((P$3:P$91="")*(O$3:O$91="")*(N$3:N$91="")*(M$3:M$91="P")*(G$3:G$91=G55)*(J$3:J$91&gt;J55))+IF(H55="L5",SUMPRODUCT((P$3:P$91="")*(O$3:O$91="")*(N$3:N$91="")*(M$3:M$91="P")*(G$3:G$91=G55)*(J$3:J$91&lt;J55)*(H$3:H$91&lt;&gt;H55)),-1*SUMPRODUCT((P$3:P$91="")*(O$3:O$91="")*(N$3:N$91="")*(M$3:M$91="P")*(G$3:G$91=G55)*(J$3:J$91&gt;J55)*(H$3:H$91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IF(AND(B55&lt;5,I55="P"),IF(_xlfn.MAXIFS(B:B,G:G,G55)&gt;3,5-B55,_xlfn.MAXIFS(B:B,G:G,G55)+1-B55),"")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$91&lt;&gt;"")*(G$3:G$91=G56)*(J$3:J$91&gt;J56)*(I$3:I$91="P"))+1,IF(O56&lt;&gt;"",SUMPRODUCT((O$3:O$91&lt;&gt;"")*(P$3:P$91="")*(G$3:G$91=G56)*(J$3:J$91&gt;J56)*(I$3:I$91="P"))+SUMPRODUCT((P$3:P$91&lt;&gt;"")*(G$3:G$91=G56)*(I$3:I$91="P"))+1,IF(N56&lt;&gt;"",SUMPRODUCT((N$3:N$91&lt;&gt;"")*(G$3:G$91=G56)*(J$3:J$91&gt;J56)*(I$3:I$91="P"))+1,IF(M56="P",SUMPRODUCT((O$3:O$91&lt;&gt;"")*(P$3:P$91="")*(G$3:G$91=G56)*(I$3:I$91="P"))+SUMPRODUCT((P$3:P$91&lt;&gt;"")*(G$3:G$91=G56)*(I$3:I$91="P"))+SUMPRODUCT((N$3:N$91&lt;&gt;"")*(G$3:G$91=G56)*(I$3:I$91="P"))+SUMPRODUCT((P$3:P$91="")*(O$3:O$91="")*(N$3:N$91="")*(M$3:M$91="P")*(G$3:G$91=G56)*(J$3:J$91&gt;J56)*(I$3:I$91="P"))+IF(H56="L5",SUMPRODUCT((P$3:P$91="")*(O$3:O$91="")*(N$3:N$91="")*(M$3:M$91="P")*(G$3:G$91=G56)*(J$3:J$91&lt;J56)*(H$3:H$91&lt;&gt;H56)*(I$3:I$91="P")),-1*SUMPRODUCT((P$3:P$91="")*(O$3:O$91="")*(N$3:N$91="")*(M$3:M$91="P")*(G$3:G$91=G56)*(J$3:J$91&gt;J56)*(H$3:H$91="L5")*(I$3:I$91="P")))+1,"")))))</f>
        <v/>
      </c>
      <c r="B56" s="1" t="str" cm="1">
        <f t="array" ref="B56">IF(P56&lt;&gt;"",SUMPRODUCT((P$3:P$91&lt;&gt;"")*(G$3:G$91=G56)*(J$3:J$91&gt;J56))+1,IF(O56&lt;&gt;"",SUMPRODUCT((O$3:O$91&lt;&gt;"")*(P$3:P$91="")*(G$3:G$91=G56)*(J$3:J$91&gt;J56))+SUMPRODUCT((P$3:P$91&lt;&gt;"")*(G$3:G$91=G56))+1,IF(N56&lt;&gt;"",SUMPRODUCT((N$3:N$91&lt;&gt;"")*(G$3:G$91=G56)*(J$3:J$91&gt;J56))+1,IF(M56="P",SUMPRODUCT((O$3:O$91&lt;&gt;"")*(P$3:P$91="")*(G$3:G$91=G56))+SUMPRODUCT((P$3:P$91&lt;&gt;"")*(G$3:G$91=G56))+SUMPRODUCT((N$3:N$91&lt;&gt;"")*(G$3:G$91=G56))+SUMPRODUCT((P$3:P$91="")*(O$3:O$91="")*(N$3:N$91="")*(M$3:M$91="P")*(G$3:G$91=G56)*(J$3:J$91&gt;J56))+IF(H56="L5",SUMPRODUCT((P$3:P$91="")*(O$3:O$91="")*(N$3:N$91="")*(M$3:M$91="P")*(G$3:G$91=G56)*(J$3:J$91&lt;J56)*(H$3:H$91&lt;&gt;H56)),-1*SUMPRODUCT((P$3:P$91="")*(O$3:O$91="")*(N$3:N$91="")*(M$3:M$91="P")*(G$3:G$91=G56)*(J$3:J$91&gt;J56)*(H$3:H$91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IF(AND(B56&lt;5,I56="P"),IF(_xlfn.MAXIFS(B:B,G:G,G56)&gt;3,5-B56,_xlfn.MAXIFS(B:B,G:G,G56)+1-B56),"")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$91&lt;&gt;"")*(G$3:G$91=G57)*(J$3:J$91&gt;J57)*(I$3:I$91="P"))+1,IF(O57&lt;&gt;"",SUMPRODUCT((O$3:O$91&lt;&gt;"")*(P$3:P$91="")*(G$3:G$91=G57)*(J$3:J$91&gt;J57)*(I$3:I$91="P"))+SUMPRODUCT((P$3:P$91&lt;&gt;"")*(G$3:G$91=G57)*(I$3:I$91="P"))+1,IF(N57&lt;&gt;"",SUMPRODUCT((N$3:N$91&lt;&gt;"")*(G$3:G$91=G57)*(J$3:J$91&gt;J57)*(I$3:I$91="P"))+1,IF(M57="P",SUMPRODUCT((O$3:O$91&lt;&gt;"")*(P$3:P$91="")*(G$3:G$91=G57)*(I$3:I$91="P"))+SUMPRODUCT((P$3:P$91&lt;&gt;"")*(G$3:G$91=G57)*(I$3:I$91="P"))+SUMPRODUCT((N$3:N$91&lt;&gt;"")*(G$3:G$91=G57)*(I$3:I$91="P"))+SUMPRODUCT((P$3:P$91="")*(O$3:O$91="")*(N$3:N$91="")*(M$3:M$91="P")*(G$3:G$91=G57)*(J$3:J$91&gt;J57)*(I$3:I$91="P"))+IF(H57="L5",SUMPRODUCT((P$3:P$91="")*(O$3:O$91="")*(N$3:N$91="")*(M$3:M$91="P")*(G$3:G$91=G57)*(J$3:J$91&lt;J57)*(H$3:H$91&lt;&gt;H57)*(I$3:I$91="P")),-1*SUMPRODUCT((P$3:P$91="")*(O$3:O$91="")*(N$3:N$91="")*(M$3:M$91="P")*(G$3:G$91=G57)*(J$3:J$91&gt;J57)*(H$3:H$91="L5")*(I$3:I$91="P")))+1,"")))))</f>
        <v/>
      </c>
      <c r="B57" s="1" t="str" cm="1">
        <f t="array" ref="B57">IF(P57&lt;&gt;"",SUMPRODUCT((P$3:P$91&lt;&gt;"")*(G$3:G$91=G57)*(J$3:J$91&gt;J57))+1,IF(O57&lt;&gt;"",SUMPRODUCT((O$3:O$91&lt;&gt;"")*(P$3:P$91="")*(G$3:G$91=G57)*(J$3:J$91&gt;J57))+SUMPRODUCT((P$3:P$91&lt;&gt;"")*(G$3:G$91=G57))+1,IF(N57&lt;&gt;"",SUMPRODUCT((N$3:N$91&lt;&gt;"")*(G$3:G$91=G57)*(J$3:J$91&gt;J57))+1,IF(M57="P",SUMPRODUCT((O$3:O$91&lt;&gt;"")*(P$3:P$91="")*(G$3:G$91=G57))+SUMPRODUCT((P$3:P$91&lt;&gt;"")*(G$3:G$91=G57))+SUMPRODUCT((N$3:N$91&lt;&gt;"")*(G$3:G$91=G57))+SUMPRODUCT((P$3:P$91="")*(O$3:O$91="")*(N$3:N$91="")*(M$3:M$91="P")*(G$3:G$91=G57)*(J$3:J$91&gt;J57))+IF(H57="L5",SUMPRODUCT((P$3:P$91="")*(O$3:O$91="")*(N$3:N$91="")*(M$3:M$91="P")*(G$3:G$91=G57)*(J$3:J$91&lt;J57)*(H$3:H$91&lt;&gt;H57)),-1*SUMPRODUCT((P$3:P$91="")*(O$3:O$91="")*(N$3:N$91="")*(M$3:M$91="P")*(G$3:G$91=G57)*(J$3:J$91&gt;J57)*(H$3:H$91="L5")))+1,""))))</f>
        <v/>
      </c>
      <c r="C57" s="35" t="s">
        <v>407</v>
      </c>
      <c r="D57" t="str">
        <f>IF(E57="","",VLOOKUP(E57,'Coaching Points'!A:B,2,0))</f>
        <v>ON</v>
      </c>
      <c r="E57" s="35" t="s">
        <v>142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 t="s">
        <v>507</v>
      </c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IF(AND(B57&lt;5,I57="P"),IF(_xlfn.MAXIFS(B:B,G:G,G57)&gt;3,5-B57,_xlfn.MAXIFS(B:B,G:G,G57)+1-B57),"")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$91&lt;&gt;"")*(G$3:G$91=G58)*(J$3:J$91&gt;J58)*(I$3:I$91="P"))+1,IF(O58&lt;&gt;"",SUMPRODUCT((O$3:O$91&lt;&gt;"")*(P$3:P$91="")*(G$3:G$91=G58)*(J$3:J$91&gt;J58)*(I$3:I$91="P"))+SUMPRODUCT((P$3:P$91&lt;&gt;"")*(G$3:G$91=G58)*(I$3:I$91="P"))+1,IF(N58&lt;&gt;"",SUMPRODUCT((N$3:N$91&lt;&gt;"")*(G$3:G$91=G58)*(J$3:J$91&gt;J58)*(I$3:I$91="P"))+1,IF(M58="P",SUMPRODUCT((O$3:O$91&lt;&gt;"")*(P$3:P$91="")*(G$3:G$91=G58)*(I$3:I$91="P"))+SUMPRODUCT((P$3:P$91&lt;&gt;"")*(G$3:G$91=G58)*(I$3:I$91="P"))+SUMPRODUCT((N$3:N$91&lt;&gt;"")*(G$3:G$91=G58)*(I$3:I$91="P"))+SUMPRODUCT((P$3:P$91="")*(O$3:O$91="")*(N$3:N$91="")*(M$3:M$91="P")*(G$3:G$91=G58)*(J$3:J$91&gt;J58)*(I$3:I$91="P"))+IF(H58="L5",SUMPRODUCT((P$3:P$91="")*(O$3:O$91="")*(N$3:N$91="")*(M$3:M$91="P")*(G$3:G$91=G58)*(J$3:J$91&lt;J58)*(H$3:H$91&lt;&gt;H58)*(I$3:I$91="P")),-1*SUMPRODUCT((P$3:P$91="")*(O$3:O$91="")*(N$3:N$91="")*(M$3:M$91="P")*(G$3:G$91=G58)*(J$3:J$91&gt;J58)*(H$3:H$91="L5")*(I$3:I$91="P")))+1,"")))))</f>
        <v/>
      </c>
      <c r="B58" s="1" t="str" cm="1">
        <f t="array" ref="B58">IF(P58&lt;&gt;"",SUMPRODUCT((P$3:P$91&lt;&gt;"")*(G$3:G$91=G58)*(J$3:J$91&gt;J58))+1,IF(O58&lt;&gt;"",SUMPRODUCT((O$3:O$91&lt;&gt;"")*(P$3:P$91="")*(G$3:G$91=G58)*(J$3:J$91&gt;J58))+SUMPRODUCT((P$3:P$91&lt;&gt;"")*(G$3:G$91=G58))+1,IF(N58&lt;&gt;"",SUMPRODUCT((N$3:N$91&lt;&gt;"")*(G$3:G$91=G58)*(J$3:J$91&gt;J58))+1,IF(M58="P",SUMPRODUCT((O$3:O$91&lt;&gt;"")*(P$3:P$91="")*(G$3:G$91=G58))+SUMPRODUCT((P$3:P$91&lt;&gt;"")*(G$3:G$91=G58))+SUMPRODUCT((N$3:N$91&lt;&gt;"")*(G$3:G$91=G58))+SUMPRODUCT((P$3:P$91="")*(O$3:O$91="")*(N$3:N$91="")*(M$3:M$91="P")*(G$3:G$91=G58)*(J$3:J$91&gt;J58))+IF(H58="L5",SUMPRODUCT((P$3:P$91="")*(O$3:O$91="")*(N$3:N$91="")*(M$3:M$91="P")*(G$3:G$91=G58)*(J$3:J$91&lt;J58)*(H$3:H$91&lt;&gt;H58)),-1*SUMPRODUCT((P$3:P$91="")*(O$3:O$91="")*(N$3:N$91="")*(M$3:M$91="P")*(G$3:G$91=G58)*(J$3:J$91&gt;J58)*(H$3:H$91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 t="s">
        <v>507</v>
      </c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IF(AND(B58&lt;5,I58="P"),IF(_xlfn.MAXIFS(B:B,G:G,G58)&gt;3,5-B58,_xlfn.MAXIFS(B:B,G:G,G58)+1-B58),"")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$91&lt;&gt;"")*(G$3:G$91=G59)*(J$3:J$91&gt;J59)*(I$3:I$91="P"))+1,IF(O59&lt;&gt;"",SUMPRODUCT((O$3:O$91&lt;&gt;"")*(P$3:P$91="")*(G$3:G$91=G59)*(J$3:J$91&gt;J59)*(I$3:I$91="P"))+SUMPRODUCT((P$3:P$91&lt;&gt;"")*(G$3:G$91=G59)*(I$3:I$91="P"))+1,IF(N59&lt;&gt;"",SUMPRODUCT((N$3:N$91&lt;&gt;"")*(G$3:G$91=G59)*(J$3:J$91&gt;J59)*(I$3:I$91="P"))+1,IF(M59="P",SUMPRODUCT((O$3:O$91&lt;&gt;"")*(P$3:P$91="")*(G$3:G$91=G59)*(I$3:I$91="P"))+SUMPRODUCT((P$3:P$91&lt;&gt;"")*(G$3:G$91=G59)*(I$3:I$91="P"))+SUMPRODUCT((N$3:N$91&lt;&gt;"")*(G$3:G$91=G59)*(I$3:I$91="P"))+SUMPRODUCT((P$3:P$91="")*(O$3:O$91="")*(N$3:N$91="")*(M$3:M$91="P")*(G$3:G$91=G59)*(J$3:J$91&gt;J59)*(I$3:I$91="P"))+IF(H59="L5",SUMPRODUCT((P$3:P$91="")*(O$3:O$91="")*(N$3:N$91="")*(M$3:M$91="P")*(G$3:G$91=G59)*(J$3:J$91&lt;J59)*(H$3:H$91&lt;&gt;H59)*(I$3:I$91="P")),-1*SUMPRODUCT((P$3:P$91="")*(O$3:O$91="")*(N$3:N$91="")*(M$3:M$91="P")*(G$3:G$91=G59)*(J$3:J$91&gt;J59)*(H$3:H$91="L5")*(I$3:I$91="P")))+1,"")))))</f>
        <v/>
      </c>
      <c r="B59" s="1" t="str" cm="1">
        <f t="array" ref="B59">IF(P59&lt;&gt;"",SUMPRODUCT((P$3:P$91&lt;&gt;"")*(G$3:G$91=G59)*(J$3:J$91&gt;J59))+1,IF(O59&lt;&gt;"",SUMPRODUCT((O$3:O$91&lt;&gt;"")*(P$3:P$91="")*(G$3:G$91=G59)*(J$3:J$91&gt;J59))+SUMPRODUCT((P$3:P$91&lt;&gt;"")*(G$3:G$91=G59))+1,IF(N59&lt;&gt;"",SUMPRODUCT((N$3:N$91&lt;&gt;"")*(G$3:G$91=G59)*(J$3:J$91&gt;J59))+1,IF(M59="P",SUMPRODUCT((O$3:O$91&lt;&gt;"")*(P$3:P$91="")*(G$3:G$91=G59))+SUMPRODUCT((P$3:P$91&lt;&gt;"")*(G$3:G$91=G59))+SUMPRODUCT((N$3:N$91&lt;&gt;"")*(G$3:G$91=G59))+SUMPRODUCT((P$3:P$91="")*(O$3:O$91="")*(N$3:N$91="")*(M$3:M$91="P")*(G$3:G$91=G59)*(J$3:J$91&gt;J59))+IF(H59="L5",SUMPRODUCT((P$3:P$91="")*(O$3:O$91="")*(N$3:N$91="")*(M$3:M$91="P")*(G$3:G$91=G59)*(J$3:J$91&lt;J59)*(H$3:H$91&lt;&gt;H59)),-1*SUMPRODUCT((P$3:P$91="")*(O$3:O$91="")*(N$3:N$91="")*(M$3:M$91="P")*(G$3:G$91=G59)*(J$3:J$91&gt;J59)*(H$3:H$91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 t="s">
        <v>507</v>
      </c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IF(AND(B59&lt;5,I59="P"),IF(_xlfn.MAXIFS(B:B,G:G,G59)&gt;3,5-B59,_xlfn.MAXIFS(B:B,G:G,G59)+1-B59),"")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$91&lt;&gt;"")*(G$3:G$91=G60)*(J$3:J$91&gt;J60)*(I$3:I$91="P"))+1,IF(O60&lt;&gt;"",SUMPRODUCT((O$3:O$91&lt;&gt;"")*(P$3:P$91="")*(G$3:G$91=G60)*(J$3:J$91&gt;J60)*(I$3:I$91="P"))+SUMPRODUCT((P$3:P$91&lt;&gt;"")*(G$3:G$91=G60)*(I$3:I$91="P"))+1,IF(N60&lt;&gt;"",SUMPRODUCT((N$3:N$91&lt;&gt;"")*(G$3:G$91=G60)*(J$3:J$91&gt;J60)*(I$3:I$91="P"))+1,IF(M60="P",SUMPRODUCT((O$3:O$91&lt;&gt;"")*(P$3:P$91="")*(G$3:G$91=G60)*(I$3:I$91="P"))+SUMPRODUCT((P$3:P$91&lt;&gt;"")*(G$3:G$91=G60)*(I$3:I$91="P"))+SUMPRODUCT((N$3:N$91&lt;&gt;"")*(G$3:G$91=G60)*(I$3:I$91="P"))+SUMPRODUCT((P$3:P$91="")*(O$3:O$91="")*(N$3:N$91="")*(M$3:M$91="P")*(G$3:G$91=G60)*(J$3:J$91&gt;J60)*(I$3:I$91="P"))+IF(H60="L5",SUMPRODUCT((P$3:P$91="")*(O$3:O$91="")*(N$3:N$91="")*(M$3:M$91="P")*(G$3:G$91=G60)*(J$3:J$91&lt;J60)*(H$3:H$91&lt;&gt;H60)*(I$3:I$91="P")),-1*SUMPRODUCT((P$3:P$91="")*(O$3:O$91="")*(N$3:N$91="")*(M$3:M$91="P")*(G$3:G$91=G60)*(J$3:J$91&gt;J60)*(H$3:H$91="L5")*(I$3:I$91="P")))+1,"")))))</f>
        <v/>
      </c>
      <c r="B60" s="1" t="str" cm="1">
        <f t="array" ref="B60">IF(P60&lt;&gt;"",SUMPRODUCT((P$3:P$91&lt;&gt;"")*(G$3:G$91=G60)*(J$3:J$91&gt;J60))+1,IF(O60&lt;&gt;"",SUMPRODUCT((O$3:O$91&lt;&gt;"")*(P$3:P$91="")*(G$3:G$91=G60)*(J$3:J$91&gt;J60))+SUMPRODUCT((P$3:P$91&lt;&gt;"")*(G$3:G$91=G60))+1,IF(N60&lt;&gt;"",SUMPRODUCT((N$3:N$91&lt;&gt;"")*(G$3:G$91=G60)*(J$3:J$91&gt;J60))+1,IF(M60="P",SUMPRODUCT((O$3:O$91&lt;&gt;"")*(P$3:P$91="")*(G$3:G$91=G60))+SUMPRODUCT((P$3:P$91&lt;&gt;"")*(G$3:G$91=G60))+SUMPRODUCT((N$3:N$91&lt;&gt;"")*(G$3:G$91=G60))+SUMPRODUCT((P$3:P$91="")*(O$3:O$91="")*(N$3:N$91="")*(M$3:M$91="P")*(G$3:G$91=G60)*(J$3:J$91&gt;J60))+IF(H60="L5",SUMPRODUCT((P$3:P$91="")*(O$3:O$91="")*(N$3:N$91="")*(M$3:M$91="P")*(G$3:G$91=G60)*(J$3:J$91&lt;J60)*(H$3:H$91&lt;&gt;H60)),-1*SUMPRODUCT((P$3:P$91="")*(O$3:O$91="")*(N$3:N$91="")*(M$3:M$91="P")*(G$3:G$91=G60)*(J$3:J$91&gt;J60)*(H$3:H$91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 t="s">
        <v>507</v>
      </c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IF(AND(B60&lt;5,I60="P"),IF(_xlfn.MAXIFS(B:B,G:G,G60)&gt;3,5-B60,_xlfn.MAXIFS(B:B,G:G,G60)+1-B60),"")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$91&lt;&gt;"")*(G$3:G$91=G61)*(J$3:J$91&gt;J61)*(I$3:I$91="P"))+1,IF(O61&lt;&gt;"",SUMPRODUCT((O$3:O$91&lt;&gt;"")*(P$3:P$91="")*(G$3:G$91=G61)*(J$3:J$91&gt;J61)*(I$3:I$91="P"))+SUMPRODUCT((P$3:P$91&lt;&gt;"")*(G$3:G$91=G61)*(I$3:I$91="P"))+1,IF(N61&lt;&gt;"",SUMPRODUCT((N$3:N$91&lt;&gt;"")*(G$3:G$91=G61)*(J$3:J$91&gt;J61)*(I$3:I$91="P"))+1,IF(M61="P",SUMPRODUCT((O$3:O$91&lt;&gt;"")*(P$3:P$91="")*(G$3:G$91=G61)*(I$3:I$91="P"))+SUMPRODUCT((P$3:P$91&lt;&gt;"")*(G$3:G$91=G61)*(I$3:I$91="P"))+SUMPRODUCT((N$3:N$91&lt;&gt;"")*(G$3:G$91=G61)*(I$3:I$91="P"))+SUMPRODUCT((P$3:P$91="")*(O$3:O$91="")*(N$3:N$91="")*(M$3:M$91="P")*(G$3:G$91=G61)*(J$3:J$91&gt;J61)*(I$3:I$91="P"))+IF(H61="L5",SUMPRODUCT((P$3:P$91="")*(O$3:O$91="")*(N$3:N$91="")*(M$3:M$91="P")*(G$3:G$91=G61)*(J$3:J$91&lt;J61)*(H$3:H$91&lt;&gt;H61)*(I$3:I$91="P")),-1*SUMPRODUCT((P$3:P$91="")*(O$3:O$91="")*(N$3:N$91="")*(M$3:M$91="P")*(G$3:G$91=G61)*(J$3:J$91&gt;J61)*(H$3:H$91="L5")*(I$3:I$91="P")))+1,"")))))</f>
        <v/>
      </c>
      <c r="B61" s="1" t="str" cm="1">
        <f t="array" ref="B61">IF(P61&lt;&gt;"",SUMPRODUCT((P$3:P$91&lt;&gt;"")*(G$3:G$91=G61)*(J$3:J$91&gt;J61))+1,IF(O61&lt;&gt;"",SUMPRODUCT((O$3:O$91&lt;&gt;"")*(P$3:P$91="")*(G$3:G$91=G61)*(J$3:J$91&gt;J61))+SUMPRODUCT((P$3:P$91&lt;&gt;"")*(G$3:G$91=G61))+1,IF(N61&lt;&gt;"",SUMPRODUCT((N$3:N$91&lt;&gt;"")*(G$3:G$91=G61)*(J$3:J$91&gt;J61))+1,IF(M61="P",SUMPRODUCT((O$3:O$91&lt;&gt;"")*(P$3:P$91="")*(G$3:G$91=G61))+SUMPRODUCT((P$3:P$91&lt;&gt;"")*(G$3:G$91=G61))+SUMPRODUCT((N$3:N$91&lt;&gt;"")*(G$3:G$91=G61))+SUMPRODUCT((P$3:P$91="")*(O$3:O$91="")*(N$3:N$91="")*(M$3:M$91="P")*(G$3:G$91=G61)*(J$3:J$91&gt;J61))+IF(H61="L5",SUMPRODUCT((P$3:P$91="")*(O$3:O$91="")*(N$3:N$91="")*(M$3:M$91="P")*(G$3:G$91=G61)*(J$3:J$91&lt;J61)*(H$3:H$91&lt;&gt;H61)),-1*SUMPRODUCT((P$3:P$91="")*(O$3:O$91="")*(N$3:N$91="")*(M$3:M$91="P")*(G$3:G$91=G61)*(J$3:J$91&gt;J61)*(H$3:H$91="L5")))+1,""))))</f>
        <v/>
      </c>
      <c r="C61" s="35" t="s">
        <v>393</v>
      </c>
      <c r="D61" t="str">
        <f>IF(E61="","",VLOOKUP(E61,'Coaching Points'!A:B,2,0))</f>
        <v>NL</v>
      </c>
      <c r="E61" s="35" t="s">
        <v>79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IF(AND(B61&lt;5,I61="P"),IF(_xlfn.MAXIFS(B:B,G:G,G61)&gt;3,5-B61,_xlfn.MAXIFS(B:B,G:G,G61)+1-B61),"")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$91&lt;&gt;"")*(G$3:G$91=G62)*(J$3:J$91&gt;J62)*(I$3:I$91="P"))+1,IF(O62&lt;&gt;"",SUMPRODUCT((O$3:O$91&lt;&gt;"")*(P$3:P$91="")*(G$3:G$91=G62)*(J$3:J$91&gt;J62)*(I$3:I$91="P"))+SUMPRODUCT((P$3:P$91&lt;&gt;"")*(G$3:G$91=G62)*(I$3:I$91="P"))+1,IF(N62&lt;&gt;"",SUMPRODUCT((N$3:N$91&lt;&gt;"")*(G$3:G$91=G62)*(J$3:J$91&gt;J62)*(I$3:I$91="P"))+1,IF(M62="P",SUMPRODUCT((O$3:O$91&lt;&gt;"")*(P$3:P$91="")*(G$3:G$91=G62)*(I$3:I$91="P"))+SUMPRODUCT((P$3:P$91&lt;&gt;"")*(G$3:G$91=G62)*(I$3:I$91="P"))+SUMPRODUCT((N$3:N$91&lt;&gt;"")*(G$3:G$91=G62)*(I$3:I$91="P"))+SUMPRODUCT((P$3:P$91="")*(O$3:O$91="")*(N$3:N$91="")*(M$3:M$91="P")*(G$3:G$91=G62)*(J$3:J$91&gt;J62)*(I$3:I$91="P"))+IF(H62="L5",SUMPRODUCT((P$3:P$91="")*(O$3:O$91="")*(N$3:N$91="")*(M$3:M$91="P")*(G$3:G$91=G62)*(J$3:J$91&lt;J62)*(H$3:H$91&lt;&gt;H62)*(I$3:I$91="P")),-1*SUMPRODUCT((P$3:P$91="")*(O$3:O$91="")*(N$3:N$91="")*(M$3:M$91="P")*(G$3:G$91=G62)*(J$3:J$91&gt;J62)*(H$3:H$91="L5")*(I$3:I$91="P")))+1,"")))))</f>
        <v/>
      </c>
      <c r="B62" s="1" t="str" cm="1">
        <f t="array" ref="B62">IF(P62&lt;&gt;"",SUMPRODUCT((P$3:P$91&lt;&gt;"")*(G$3:G$91=G62)*(J$3:J$91&gt;J62))+1,IF(O62&lt;&gt;"",SUMPRODUCT((O$3:O$91&lt;&gt;"")*(P$3:P$91="")*(G$3:G$91=G62)*(J$3:J$91&gt;J62))+SUMPRODUCT((P$3:P$91&lt;&gt;"")*(G$3:G$91=G62))+1,IF(N62&lt;&gt;"",SUMPRODUCT((N$3:N$91&lt;&gt;"")*(G$3:G$91=G62)*(J$3:J$91&gt;J62))+1,IF(M62="P",SUMPRODUCT((O$3:O$91&lt;&gt;"")*(P$3:P$91="")*(G$3:G$91=G62))+SUMPRODUCT((P$3:P$91&lt;&gt;"")*(G$3:G$91=G62))+SUMPRODUCT((N$3:N$91&lt;&gt;"")*(G$3:G$91=G62))+SUMPRODUCT((P$3:P$91="")*(O$3:O$91="")*(N$3:N$91="")*(M$3:M$91="P")*(G$3:G$91=G62)*(J$3:J$91&gt;J62))+IF(H62="L5",SUMPRODUCT((P$3:P$91="")*(O$3:O$91="")*(N$3:N$91="")*(M$3:M$91="P")*(G$3:G$91=G62)*(J$3:J$91&lt;J62)*(H$3:H$91&lt;&gt;H62)),-1*SUMPRODUCT((P$3:P$91="")*(O$3:O$91="")*(N$3:N$91="")*(M$3:M$91="P")*(G$3:G$91=G62)*(J$3:J$91&gt;J62)*(H$3:H$91="L5")))+1,""))))</f>
        <v/>
      </c>
      <c r="C62" s="35" t="s">
        <v>408</v>
      </c>
      <c r="D62" t="str">
        <f>IF(E62="","",VLOOKUP(E62,'Coaching Points'!A:B,2,0))</f>
        <v>QC</v>
      </c>
      <c r="E62" s="35" t="s">
        <v>125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IF(AND(B62&lt;5,I62="P"),IF(_xlfn.MAXIFS(B:B,G:G,G62)&gt;3,5-B62,_xlfn.MAXIFS(B:B,G:G,G62)+1-B62),"")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$91&lt;&gt;"")*(G$3:G$91=G63)*(J$3:J$91&gt;J63)*(I$3:I$91="P"))+1,IF(O63&lt;&gt;"",SUMPRODUCT((O$3:O$91&lt;&gt;"")*(P$3:P$91="")*(G$3:G$91=G63)*(J$3:J$91&gt;J63)*(I$3:I$91="P"))+SUMPRODUCT((P$3:P$91&lt;&gt;"")*(G$3:G$91=G63)*(I$3:I$91="P"))+1,IF(N63&lt;&gt;"",SUMPRODUCT((N$3:N$91&lt;&gt;"")*(G$3:G$91=G63)*(J$3:J$91&gt;J63)*(I$3:I$91="P"))+1,IF(M63="P",SUMPRODUCT((O$3:O$91&lt;&gt;"")*(P$3:P$91="")*(G$3:G$91=G63)*(I$3:I$91="P"))+SUMPRODUCT((P$3:P$91&lt;&gt;"")*(G$3:G$91=G63)*(I$3:I$91="P"))+SUMPRODUCT((N$3:N$91&lt;&gt;"")*(G$3:G$91=G63)*(I$3:I$91="P"))+SUMPRODUCT((P$3:P$91="")*(O$3:O$91="")*(N$3:N$91="")*(M$3:M$91="P")*(G$3:G$91=G63)*(J$3:J$91&gt;J63)*(I$3:I$91="P"))+IF(H63="L5",SUMPRODUCT((P$3:P$91="")*(O$3:O$91="")*(N$3:N$91="")*(M$3:M$91="P")*(G$3:G$91=G63)*(J$3:J$91&lt;J63)*(H$3:H$91&lt;&gt;H63)*(I$3:I$91="P")),-1*SUMPRODUCT((P$3:P$91="")*(O$3:O$91="")*(N$3:N$91="")*(M$3:M$91="P")*(G$3:G$91=G63)*(J$3:J$91&gt;J63)*(H$3:H$91="L5")*(I$3:I$91="P")))+1,"")))))</f>
        <v/>
      </c>
      <c r="B63" s="1" t="str" cm="1">
        <f t="array" ref="B63">IF(P63&lt;&gt;"",SUMPRODUCT((P$3:P$91&lt;&gt;"")*(G$3:G$91=G63)*(J$3:J$91&gt;J63))+1,IF(O63&lt;&gt;"",SUMPRODUCT((O$3:O$91&lt;&gt;"")*(P$3:P$91="")*(G$3:G$91=G63)*(J$3:J$91&gt;J63))+SUMPRODUCT((P$3:P$91&lt;&gt;"")*(G$3:G$91=G63))+1,IF(N63&lt;&gt;"",SUMPRODUCT((N$3:N$91&lt;&gt;"")*(G$3:G$91=G63)*(J$3:J$91&gt;J63))+1,IF(M63="P",SUMPRODUCT((O$3:O$91&lt;&gt;"")*(P$3:P$91="")*(G$3:G$91=G63))+SUMPRODUCT((P$3:P$91&lt;&gt;"")*(G$3:G$91=G63))+SUMPRODUCT((N$3:N$91&lt;&gt;"")*(G$3:G$91=G63))+SUMPRODUCT((P$3:P$91="")*(O$3:O$91="")*(N$3:N$91="")*(M$3:M$91="P")*(G$3:G$91=G63)*(J$3:J$91&gt;J63))+IF(H63="L5",SUMPRODUCT((P$3:P$91="")*(O$3:O$91="")*(N$3:N$91="")*(M$3:M$91="P")*(G$3:G$91=G63)*(J$3:J$91&lt;J63)*(H$3:H$91&lt;&gt;H63)),-1*SUMPRODUCT((P$3:P$91="")*(O$3:O$91="")*(N$3:N$91="")*(M$3:M$91="P")*(G$3:G$91=G63)*(J$3:J$91&gt;J63)*(H$3:H$91="L5")))+1,""))))</f>
        <v/>
      </c>
      <c r="C63" s="35" t="s">
        <v>409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IF(AND(B63&lt;5,I63="P"),IF(_xlfn.MAXIFS(B:B,G:G,G63)&gt;3,5-B63,_xlfn.MAXIFS(B:B,G:G,G63)+1-B63),"")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$91&lt;&gt;"")*(G$3:G$91=G64)*(J$3:J$91&gt;J64)*(I$3:I$91="P"))+1,IF(O64&lt;&gt;"",SUMPRODUCT((O$3:O$91&lt;&gt;"")*(P$3:P$91="")*(G$3:G$91=G64)*(J$3:J$91&gt;J64)*(I$3:I$91="P"))+SUMPRODUCT((P$3:P$91&lt;&gt;"")*(G$3:G$91=G64)*(I$3:I$91="P"))+1,IF(N64&lt;&gt;"",SUMPRODUCT((N$3:N$91&lt;&gt;"")*(G$3:G$91=G64)*(J$3:J$91&gt;J64)*(I$3:I$91="P"))+1,IF(M64="P",SUMPRODUCT((O$3:O$91&lt;&gt;"")*(P$3:P$91="")*(G$3:G$91=G64)*(I$3:I$91="P"))+SUMPRODUCT((P$3:P$91&lt;&gt;"")*(G$3:G$91=G64)*(I$3:I$91="P"))+SUMPRODUCT((N$3:N$91&lt;&gt;"")*(G$3:G$91=G64)*(I$3:I$91="P"))+SUMPRODUCT((P$3:P$91="")*(O$3:O$91="")*(N$3:N$91="")*(M$3:M$91="P")*(G$3:G$91=G64)*(J$3:J$91&gt;J64)*(I$3:I$91="P"))+IF(H64="L5",SUMPRODUCT((P$3:P$91="")*(O$3:O$91="")*(N$3:N$91="")*(M$3:M$91="P")*(G$3:G$91=G64)*(J$3:J$91&lt;J64)*(H$3:H$91&lt;&gt;H64)*(I$3:I$91="P")),-1*SUMPRODUCT((P$3:P$91="")*(O$3:O$91="")*(N$3:N$91="")*(M$3:M$91="P")*(G$3:G$91=G64)*(J$3:J$91&gt;J64)*(H$3:H$91="L5")*(I$3:I$91="P")))+1,"")))))</f>
        <v/>
      </c>
      <c r="B64" s="1" t="str" cm="1">
        <f t="array" ref="B64">IF(P64&lt;&gt;"",SUMPRODUCT((P$3:P$91&lt;&gt;"")*(G$3:G$91=G64)*(J$3:J$91&gt;J64))+1,IF(O64&lt;&gt;"",SUMPRODUCT((O$3:O$91&lt;&gt;"")*(P$3:P$91="")*(G$3:G$91=G64)*(J$3:J$91&gt;J64))+SUMPRODUCT((P$3:P$91&lt;&gt;"")*(G$3:G$91=G64))+1,IF(N64&lt;&gt;"",SUMPRODUCT((N$3:N$91&lt;&gt;"")*(G$3:G$91=G64)*(J$3:J$91&gt;J64))+1,IF(M64="P",SUMPRODUCT((O$3:O$91&lt;&gt;"")*(P$3:P$91="")*(G$3:G$91=G64))+SUMPRODUCT((P$3:P$91&lt;&gt;"")*(G$3:G$91=G64))+SUMPRODUCT((N$3:N$91&lt;&gt;"")*(G$3:G$91=G64))+SUMPRODUCT((P$3:P$91="")*(O$3:O$91="")*(N$3:N$91="")*(M$3:M$91="P")*(G$3:G$91=G64)*(J$3:J$91&gt;J64))+IF(H64="L5",SUMPRODUCT((P$3:P$91="")*(O$3:O$91="")*(N$3:N$91="")*(M$3:M$91="P")*(G$3:G$91=G64)*(J$3:J$91&lt;J64)*(H$3:H$91&lt;&gt;H64)),-1*SUMPRODUCT((P$3:P$91="")*(O$3:O$91="")*(N$3:N$91="")*(M$3:M$91="P")*(G$3:G$91=G64)*(J$3:J$91&gt;J64)*(H$3:H$91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IF(AND(B64&lt;5,I64="P"),IF(_xlfn.MAXIFS(B:B,G:G,G64)&gt;3,5-B64,_xlfn.MAXIFS(B:B,G:G,G64)+1-B64),"")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$91&lt;&gt;"")*(G$3:G$91=G65)*(J$3:J$91&gt;J65)*(I$3:I$91="P"))+1,IF(O65&lt;&gt;"",SUMPRODUCT((O$3:O$91&lt;&gt;"")*(P$3:P$91="")*(G$3:G$91=G65)*(J$3:J$91&gt;J65)*(I$3:I$91="P"))+SUMPRODUCT((P$3:P$91&lt;&gt;"")*(G$3:G$91=G65)*(I$3:I$91="P"))+1,IF(N65&lt;&gt;"",SUMPRODUCT((N$3:N$91&lt;&gt;"")*(G$3:G$91=G65)*(J$3:J$91&gt;J65)*(I$3:I$91="P"))+1,IF(M65="P",SUMPRODUCT((O$3:O$91&lt;&gt;"")*(P$3:P$91="")*(G$3:G$91=G65)*(I$3:I$91="P"))+SUMPRODUCT((P$3:P$91&lt;&gt;"")*(G$3:G$91=G65)*(I$3:I$91="P"))+SUMPRODUCT((N$3:N$91&lt;&gt;"")*(G$3:G$91=G65)*(I$3:I$91="P"))+SUMPRODUCT((P$3:P$91="")*(O$3:O$91="")*(N$3:N$91="")*(M$3:M$91="P")*(G$3:G$91=G65)*(J$3:J$91&gt;J65)*(I$3:I$91="P"))+IF(H65="L5",SUMPRODUCT((P$3:P$91="")*(O$3:O$91="")*(N$3:N$91="")*(M$3:M$91="P")*(G$3:G$91=G65)*(J$3:J$91&lt;J65)*(H$3:H$91&lt;&gt;H65)*(I$3:I$91="P")),-1*SUMPRODUCT((P$3:P$91="")*(O$3:O$91="")*(N$3:N$91="")*(M$3:M$91="P")*(G$3:G$91=G65)*(J$3:J$91&gt;J65)*(H$3:H$91="L5")*(I$3:I$91="P")))+1,"")))))</f>
        <v/>
      </c>
      <c r="B65" s="1" t="str" cm="1">
        <f t="array" ref="B65">IF(P65&lt;&gt;"",SUMPRODUCT((P$3:P$91&lt;&gt;"")*(G$3:G$91=G65)*(J$3:J$91&gt;J65))+1,IF(O65&lt;&gt;"",SUMPRODUCT((O$3:O$91&lt;&gt;"")*(P$3:P$91="")*(G$3:G$91=G65)*(J$3:J$91&gt;J65))+SUMPRODUCT((P$3:P$91&lt;&gt;"")*(G$3:G$91=G65))+1,IF(N65&lt;&gt;"",SUMPRODUCT((N$3:N$91&lt;&gt;"")*(G$3:G$91=G65)*(J$3:J$91&gt;J65))+1,IF(M65="P",SUMPRODUCT((O$3:O$91&lt;&gt;"")*(P$3:P$91="")*(G$3:G$91=G65))+SUMPRODUCT((P$3:P$91&lt;&gt;"")*(G$3:G$91=G65))+SUMPRODUCT((N$3:N$91&lt;&gt;"")*(G$3:G$91=G65))+SUMPRODUCT((P$3:P$91="")*(O$3:O$91="")*(N$3:N$91="")*(M$3:M$91="P")*(G$3:G$91=G65)*(J$3:J$91&gt;J65))+IF(H65="L5",SUMPRODUCT((P$3:P$91="")*(O$3:O$91="")*(N$3:N$91="")*(M$3:M$91="P")*(G$3:G$91=G65)*(J$3:J$91&lt;J65)*(H$3:H$91&lt;&gt;H65)),-1*SUMPRODUCT((P$3:P$91="")*(O$3:O$91="")*(N$3:N$91="")*(M$3:M$91="P")*(G$3:G$91=G65)*(J$3:J$91&gt;J65)*(H$3:H$91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IF(AND(B65&lt;5,I65="P"),IF(_xlfn.MAXIFS(B:B,G:G,G65)&gt;3,5-B65,_xlfn.MAXIFS(B:B,G:G,G65)+1-B65),"")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$91&lt;&gt;"")*(G$3:G$91=G66)*(J$3:J$91&gt;J66)*(I$3:I$91="P"))+1,IF(O66&lt;&gt;"",SUMPRODUCT((O$3:O$91&lt;&gt;"")*(P$3:P$91="")*(G$3:G$91=G66)*(J$3:J$91&gt;J66)*(I$3:I$91="P"))+SUMPRODUCT((P$3:P$91&lt;&gt;"")*(G$3:G$91=G66)*(I$3:I$91="P"))+1,IF(N66&lt;&gt;"",SUMPRODUCT((N$3:N$91&lt;&gt;"")*(G$3:G$91=G66)*(J$3:J$91&gt;J66)*(I$3:I$91="P"))+1,IF(M66="P",SUMPRODUCT((O$3:O$91&lt;&gt;"")*(P$3:P$91="")*(G$3:G$91=G66)*(I$3:I$91="P"))+SUMPRODUCT((P$3:P$91&lt;&gt;"")*(G$3:G$91=G66)*(I$3:I$91="P"))+SUMPRODUCT((N$3:N$91&lt;&gt;"")*(G$3:G$91=G66)*(I$3:I$91="P"))+SUMPRODUCT((P$3:P$91="")*(O$3:O$91="")*(N$3:N$91="")*(M$3:M$91="P")*(G$3:G$91=G66)*(J$3:J$91&gt;J66)*(I$3:I$91="P"))+IF(H66="L5",SUMPRODUCT((P$3:P$91="")*(O$3:O$91="")*(N$3:N$91="")*(M$3:M$91="P")*(G$3:G$91=G66)*(J$3:J$91&lt;J66)*(H$3:H$91&lt;&gt;H66)*(I$3:I$91="P")),-1*SUMPRODUCT((P$3:P$91="")*(O$3:O$91="")*(N$3:N$91="")*(M$3:M$91="P")*(G$3:G$91=G66)*(J$3:J$91&gt;J66)*(H$3:H$91="L5")*(I$3:I$91="P")))+1,"")))))</f>
        <v/>
      </c>
      <c r="B66" s="1" t="str" cm="1">
        <f t="array" ref="B66">IF(P66&lt;&gt;"",SUMPRODUCT((P$3:P$91&lt;&gt;"")*(G$3:G$91=G66)*(J$3:J$91&gt;J66))+1,IF(O66&lt;&gt;"",SUMPRODUCT((O$3:O$91&lt;&gt;"")*(P$3:P$91="")*(G$3:G$91=G66)*(J$3:J$91&gt;J66))+SUMPRODUCT((P$3:P$91&lt;&gt;"")*(G$3:G$91=G66))+1,IF(N66&lt;&gt;"",SUMPRODUCT((N$3:N$91&lt;&gt;"")*(G$3:G$91=G66)*(J$3:J$91&gt;J66))+1,IF(M66="P",SUMPRODUCT((O$3:O$91&lt;&gt;"")*(P$3:P$91="")*(G$3:G$91=G66))+SUMPRODUCT((P$3:P$91&lt;&gt;"")*(G$3:G$91=G66))+SUMPRODUCT((N$3:N$91&lt;&gt;"")*(G$3:G$91=G66))+SUMPRODUCT((P$3:P$91="")*(O$3:O$91="")*(N$3:N$91="")*(M$3:M$91="P")*(G$3:G$91=G66)*(J$3:J$91&gt;J66))+IF(H66="L5",SUMPRODUCT((P$3:P$91="")*(O$3:O$91="")*(N$3:N$91="")*(M$3:M$91="P")*(G$3:G$91=G66)*(J$3:J$91&lt;J66)*(H$3:H$91&lt;&gt;H66)),-1*SUMPRODUCT((P$3:P$91="")*(O$3:O$91="")*(N$3:N$91="")*(M$3:M$91="P")*(G$3:G$91=G66)*(J$3:J$91&gt;J66)*(H$3:H$91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IF(AND(B66&lt;5,I66="P"),IF(_xlfn.MAXIFS(B:B,G:G,G66)&gt;3,5-B66,_xlfn.MAXIFS(B:B,G:G,G66)+1-B66),"")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$91&lt;&gt;"")*(G$3:G$91=G67)*(J$3:J$91&gt;J67)*(I$3:I$91="P"))+1,IF(O67&lt;&gt;"",SUMPRODUCT((O$3:O$91&lt;&gt;"")*(P$3:P$91="")*(G$3:G$91=G67)*(J$3:J$91&gt;J67)*(I$3:I$91="P"))+SUMPRODUCT((P$3:P$91&lt;&gt;"")*(G$3:G$91=G67)*(I$3:I$91="P"))+1,IF(N67&lt;&gt;"",SUMPRODUCT((N$3:N$91&lt;&gt;"")*(G$3:G$91=G67)*(J$3:J$91&gt;J67)*(I$3:I$91="P"))+1,IF(M67="P",SUMPRODUCT((O$3:O$91&lt;&gt;"")*(P$3:P$91="")*(G$3:G$91=G67)*(I$3:I$91="P"))+SUMPRODUCT((P$3:P$91&lt;&gt;"")*(G$3:G$91=G67)*(I$3:I$91="P"))+SUMPRODUCT((N$3:N$91&lt;&gt;"")*(G$3:G$91=G67)*(I$3:I$91="P"))+SUMPRODUCT((P$3:P$91="")*(O$3:O$91="")*(N$3:N$91="")*(M$3:M$91="P")*(G$3:G$91=G67)*(J$3:J$91&gt;J67)*(I$3:I$91="P"))+IF(H67="L5",SUMPRODUCT((P$3:P$91="")*(O$3:O$91="")*(N$3:N$91="")*(M$3:M$91="P")*(G$3:G$91=G67)*(J$3:J$91&lt;J67)*(H$3:H$91&lt;&gt;H67)*(I$3:I$91="P")),-1*SUMPRODUCT((P$3:P$91="")*(O$3:O$91="")*(N$3:N$91="")*(M$3:M$91="P")*(G$3:G$91=G67)*(J$3:J$91&gt;J67)*(H$3:H$91="L5")*(I$3:I$91="P")))+1,"")))))</f>
        <v/>
      </c>
      <c r="B67" s="1" t="str" cm="1">
        <f t="array" ref="B67">IF(P67&lt;&gt;"",SUMPRODUCT((P$3:P$91&lt;&gt;"")*(G$3:G$91=G67)*(J$3:J$91&gt;J67))+1,IF(O67&lt;&gt;"",SUMPRODUCT((O$3:O$91&lt;&gt;"")*(P$3:P$91="")*(G$3:G$91=G67)*(J$3:J$91&gt;J67))+SUMPRODUCT((P$3:P$91&lt;&gt;"")*(G$3:G$91=G67))+1,IF(N67&lt;&gt;"",SUMPRODUCT((N$3:N$91&lt;&gt;"")*(G$3:G$91=G67)*(J$3:J$91&gt;J67))+1,IF(M67="P",SUMPRODUCT((O$3:O$91&lt;&gt;"")*(P$3:P$91="")*(G$3:G$91=G67))+SUMPRODUCT((P$3:P$91&lt;&gt;"")*(G$3:G$91=G67))+SUMPRODUCT((N$3:N$91&lt;&gt;"")*(G$3:G$91=G67))+SUMPRODUCT((P$3:P$91="")*(O$3:O$91="")*(N$3:N$91="")*(M$3:M$91="P")*(G$3:G$91=G67)*(J$3:J$91&gt;J67))+IF(H67="L5",SUMPRODUCT((P$3:P$91="")*(O$3:O$91="")*(N$3:N$91="")*(M$3:M$91="P")*(G$3:G$91=G67)*(J$3:J$91&lt;J67)*(H$3:H$91&lt;&gt;H67)),-1*SUMPRODUCT((P$3:P$91="")*(O$3:O$91="")*(N$3:N$91="")*(M$3:M$91="P")*(G$3:G$91=G67)*(J$3:J$91&gt;J67)*(H$3:H$91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IF(AND(B67&lt;5,I67="P"),IF(_xlfn.MAXIFS(B:B,G:G,G67)&gt;3,5-B67,_xlfn.MAXIFS(B:B,G:G,G67)+1-B67),"")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$91&lt;&gt;"")*(G$3:G$91=G68)*(J$3:J$91&gt;J68)*(I$3:I$91="P"))+1,IF(O68&lt;&gt;"",SUMPRODUCT((O$3:O$91&lt;&gt;"")*(P$3:P$91="")*(G$3:G$91=G68)*(J$3:J$91&gt;J68)*(I$3:I$91="P"))+SUMPRODUCT((P$3:P$91&lt;&gt;"")*(G$3:G$91=G68)*(I$3:I$91="P"))+1,IF(N68&lt;&gt;"",SUMPRODUCT((N$3:N$91&lt;&gt;"")*(G$3:G$91=G68)*(J$3:J$91&gt;J68)*(I$3:I$91="P"))+1,IF(M68="P",SUMPRODUCT((O$3:O$91&lt;&gt;"")*(P$3:P$91="")*(G$3:G$91=G68)*(I$3:I$91="P"))+SUMPRODUCT((P$3:P$91&lt;&gt;"")*(G$3:G$91=G68)*(I$3:I$91="P"))+SUMPRODUCT((N$3:N$91&lt;&gt;"")*(G$3:G$91=G68)*(I$3:I$91="P"))+SUMPRODUCT((P$3:P$91="")*(O$3:O$91="")*(N$3:N$91="")*(M$3:M$91="P")*(G$3:G$91=G68)*(J$3:J$91&gt;J68)*(I$3:I$91="P"))+IF(H68="L5",SUMPRODUCT((P$3:P$91="")*(O$3:O$91="")*(N$3:N$91="")*(M$3:M$91="P")*(G$3:G$91=G68)*(J$3:J$91&lt;J68)*(H$3:H$91&lt;&gt;H68)*(I$3:I$91="P")),-1*SUMPRODUCT((P$3:P$91="")*(O$3:O$91="")*(N$3:N$91="")*(M$3:M$91="P")*(G$3:G$91=G68)*(J$3:J$91&gt;J68)*(H$3:H$91="L5")*(I$3:I$91="P")))+1,"")))))</f>
        <v/>
      </c>
      <c r="B68" s="1" t="str" cm="1">
        <f t="array" ref="B68">IF(P68&lt;&gt;"",SUMPRODUCT((P$3:P$91&lt;&gt;"")*(G$3:G$91=G68)*(J$3:J$91&gt;J68))+1,IF(O68&lt;&gt;"",SUMPRODUCT((O$3:O$91&lt;&gt;"")*(P$3:P$91="")*(G$3:G$91=G68)*(J$3:J$91&gt;J68))+SUMPRODUCT((P$3:P$91&lt;&gt;"")*(G$3:G$91=G68))+1,IF(N68&lt;&gt;"",SUMPRODUCT((N$3:N$91&lt;&gt;"")*(G$3:G$91=G68)*(J$3:J$91&gt;J68))+1,IF(M68="P",SUMPRODUCT((O$3:O$91&lt;&gt;"")*(P$3:P$91="")*(G$3:G$91=G68))+SUMPRODUCT((P$3:P$91&lt;&gt;"")*(G$3:G$91=G68))+SUMPRODUCT((N$3:N$91&lt;&gt;"")*(G$3:G$91=G68))+SUMPRODUCT((P$3:P$91="")*(O$3:O$91="")*(N$3:N$91="")*(M$3:M$91="P")*(G$3:G$91=G68)*(J$3:J$91&gt;J68))+IF(H68="L5",SUMPRODUCT((P$3:P$91="")*(O$3:O$91="")*(N$3:N$91="")*(M$3:M$91="P")*(G$3:G$91=G68)*(J$3:J$91&lt;J68)*(H$3:H$91&lt;&gt;H68)),-1*SUMPRODUCT((P$3:P$91="")*(O$3:O$91="")*(N$3:N$91="")*(M$3:M$91="P")*(G$3:G$91=G68)*(J$3:J$91&gt;J68)*(H$3:H$91="L5")))+1,""))))</f>
        <v/>
      </c>
      <c r="C68" s="35" t="s">
        <v>394</v>
      </c>
      <c r="D68" t="str">
        <f>IF(E68="","",VLOOKUP(E68,'Coaching Points'!A:B,2,0))</f>
        <v>ON</v>
      </c>
      <c r="E68" s="35" t="s">
        <v>84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IF(AND(B68&lt;5,I68="P"),IF(_xlfn.MAXIFS(B:B,G:G,G68)&gt;3,5-B68,_xlfn.MAXIFS(B:B,G:G,G68)+1-B68),"")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$91&lt;&gt;"")*(G$3:G$91=G69)*(J$3:J$91&gt;J69)*(I$3:I$91="P"))+1,IF(O69&lt;&gt;"",SUMPRODUCT((O$3:O$91&lt;&gt;"")*(P$3:P$91="")*(G$3:G$91=G69)*(J$3:J$91&gt;J69)*(I$3:I$91="P"))+SUMPRODUCT((P$3:P$91&lt;&gt;"")*(G$3:G$91=G69)*(I$3:I$91="P"))+1,IF(N69&lt;&gt;"",SUMPRODUCT((N$3:N$91&lt;&gt;"")*(G$3:G$91=G69)*(J$3:J$91&gt;J69)*(I$3:I$91="P"))+1,IF(M69="P",SUMPRODUCT((O$3:O$91&lt;&gt;"")*(P$3:P$91="")*(G$3:G$91=G69)*(I$3:I$91="P"))+SUMPRODUCT((P$3:P$91&lt;&gt;"")*(G$3:G$91=G69)*(I$3:I$91="P"))+SUMPRODUCT((N$3:N$91&lt;&gt;"")*(G$3:G$91=G69)*(I$3:I$91="P"))+SUMPRODUCT((P$3:P$91="")*(O$3:O$91="")*(N$3:N$91="")*(M$3:M$91="P")*(G$3:G$91=G69)*(J$3:J$91&gt;J69)*(I$3:I$91="P"))+IF(H69="L5",SUMPRODUCT((P$3:P$91="")*(O$3:O$91="")*(N$3:N$91="")*(M$3:M$91="P")*(G$3:G$91=G69)*(J$3:J$91&lt;J69)*(H$3:H$91&lt;&gt;H69)*(I$3:I$91="P")),-1*SUMPRODUCT((P$3:P$91="")*(O$3:O$91="")*(N$3:N$91="")*(M$3:M$91="P")*(G$3:G$91=G69)*(J$3:J$91&gt;J69)*(H$3:H$91="L5")*(I$3:I$91="P")))+1,"")))))</f>
        <v/>
      </c>
      <c r="B69" s="1" t="str" cm="1">
        <f t="array" ref="B69">IF(P69&lt;&gt;"",SUMPRODUCT((P$3:P$91&lt;&gt;"")*(G$3:G$91=G69)*(J$3:J$91&gt;J69))+1,IF(O69&lt;&gt;"",SUMPRODUCT((O$3:O$91&lt;&gt;"")*(P$3:P$91="")*(G$3:G$91=G69)*(J$3:J$91&gt;J69))+SUMPRODUCT((P$3:P$91&lt;&gt;"")*(G$3:G$91=G69))+1,IF(N69&lt;&gt;"",SUMPRODUCT((N$3:N$91&lt;&gt;"")*(G$3:G$91=G69)*(J$3:J$91&gt;J69))+1,IF(M69="P",SUMPRODUCT((O$3:O$91&lt;&gt;"")*(P$3:P$91="")*(G$3:G$91=G69))+SUMPRODUCT((P$3:P$91&lt;&gt;"")*(G$3:G$91=G69))+SUMPRODUCT((N$3:N$91&lt;&gt;"")*(G$3:G$91=G69))+SUMPRODUCT((P$3:P$91="")*(O$3:O$91="")*(N$3:N$91="")*(M$3:M$91="P")*(G$3:G$91=G69)*(J$3:J$91&gt;J69))+IF(H69="L5",SUMPRODUCT((P$3:P$91="")*(O$3:O$91="")*(N$3:N$91="")*(M$3:M$91="P")*(G$3:G$91=G69)*(J$3:J$91&lt;J69)*(H$3:H$91&lt;&gt;H69)),-1*SUMPRODUCT((P$3:P$91="")*(O$3:O$91="")*(N$3:N$91="")*(M$3:M$91="P")*(G$3:G$91=G69)*(J$3:J$91&gt;J69)*(H$3:H$91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IF(AND(B69&lt;5,I69="P"),IF(_xlfn.MAXIFS(B:B,G:G,G69)&gt;3,5-B69,_xlfn.MAXIFS(B:B,G:G,G69)+1-B69),"")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$91&lt;&gt;"")*(G$3:G$91=G70)*(J$3:J$91&gt;J70)*(I$3:I$91="P"))+1,IF(O70&lt;&gt;"",SUMPRODUCT((O$3:O$91&lt;&gt;"")*(P$3:P$91="")*(G$3:G$91=G70)*(J$3:J$91&gt;J70)*(I$3:I$91="P"))+SUMPRODUCT((P$3:P$91&lt;&gt;"")*(G$3:G$91=G70)*(I$3:I$91="P"))+1,IF(N70&lt;&gt;"",SUMPRODUCT((N$3:N$91&lt;&gt;"")*(G$3:G$91=G70)*(J$3:J$91&gt;J70)*(I$3:I$91="P"))+1,IF(M70="P",SUMPRODUCT((O$3:O$91&lt;&gt;"")*(P$3:P$91="")*(G$3:G$91=G70)*(I$3:I$91="P"))+SUMPRODUCT((P$3:P$91&lt;&gt;"")*(G$3:G$91=G70)*(I$3:I$91="P"))+SUMPRODUCT((N$3:N$91&lt;&gt;"")*(G$3:G$91=G70)*(I$3:I$91="P"))+SUMPRODUCT((P$3:P$91="")*(O$3:O$91="")*(N$3:N$91="")*(M$3:M$91="P")*(G$3:G$91=G70)*(J$3:J$91&gt;J70)*(I$3:I$91="P"))+IF(H70="L5",SUMPRODUCT((P$3:P$91="")*(O$3:O$91="")*(N$3:N$91="")*(M$3:M$91="P")*(G$3:G$91=G70)*(J$3:J$91&lt;J70)*(H$3:H$91&lt;&gt;H70)*(I$3:I$91="P")),-1*SUMPRODUCT((P$3:P$91="")*(O$3:O$91="")*(N$3:N$91="")*(M$3:M$91="P")*(G$3:G$91=G70)*(J$3:J$91&gt;J70)*(H$3:H$91="L5")*(I$3:I$91="P")))+1,"")))))</f>
        <v/>
      </c>
      <c r="B70" s="1" t="str" cm="1">
        <f t="array" ref="B70">IF(P70&lt;&gt;"",SUMPRODUCT((P$3:P$91&lt;&gt;"")*(G$3:G$91=G70)*(J$3:J$91&gt;J70))+1,IF(O70&lt;&gt;"",SUMPRODUCT((O$3:O$91&lt;&gt;"")*(P$3:P$91="")*(G$3:G$91=G70)*(J$3:J$91&gt;J70))+SUMPRODUCT((P$3:P$91&lt;&gt;"")*(G$3:G$91=G70))+1,IF(N70&lt;&gt;"",SUMPRODUCT((N$3:N$91&lt;&gt;"")*(G$3:G$91=G70)*(J$3:J$91&gt;J70))+1,IF(M70="P",SUMPRODUCT((O$3:O$91&lt;&gt;"")*(P$3:P$91="")*(G$3:G$91=G70))+SUMPRODUCT((P$3:P$91&lt;&gt;"")*(G$3:G$91=G70))+SUMPRODUCT((N$3:N$91&lt;&gt;"")*(G$3:G$91=G70))+SUMPRODUCT((P$3:P$91="")*(O$3:O$91="")*(N$3:N$91="")*(M$3:M$91="P")*(G$3:G$91=G70)*(J$3:J$91&gt;J70))+IF(H70="L5",SUMPRODUCT((P$3:P$91="")*(O$3:O$91="")*(N$3:N$91="")*(M$3:M$91="P")*(G$3:G$91=G70)*(J$3:J$91&lt;J70)*(H$3:H$91&lt;&gt;H70)),-1*SUMPRODUCT((P$3:P$91="")*(O$3:O$91="")*(N$3:N$91="")*(M$3:M$91="P")*(G$3:G$91=G70)*(J$3:J$91&gt;J70)*(H$3:H$91="L5")))+1,""))))</f>
        <v/>
      </c>
      <c r="C70" s="35" t="s">
        <v>395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IF(AND(B70&lt;5,I70="P"),IF(_xlfn.MAXIFS(B:B,G:G,G70)&gt;3,5-B70,_xlfn.MAXIFS(B:B,G:G,G70)+1-B70),"")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$91&lt;&gt;"")*(G$3:G$91=G71)*(J$3:J$91&gt;J71)*(I$3:I$91="P"))+1,IF(O71&lt;&gt;"",SUMPRODUCT((O$3:O$91&lt;&gt;"")*(P$3:P$91="")*(G$3:G$91=G71)*(J$3:J$91&gt;J71)*(I$3:I$91="P"))+SUMPRODUCT((P$3:P$91&lt;&gt;"")*(G$3:G$91=G71)*(I$3:I$91="P"))+1,IF(N71&lt;&gt;"",SUMPRODUCT((N$3:N$91&lt;&gt;"")*(G$3:G$91=G71)*(J$3:J$91&gt;J71)*(I$3:I$91="P"))+1,IF(M71="P",SUMPRODUCT((O$3:O$91&lt;&gt;"")*(P$3:P$91="")*(G$3:G$91=G71)*(I$3:I$91="P"))+SUMPRODUCT((P$3:P$91&lt;&gt;"")*(G$3:G$91=G71)*(I$3:I$91="P"))+SUMPRODUCT((N$3:N$91&lt;&gt;"")*(G$3:G$91=G71)*(I$3:I$91="P"))+SUMPRODUCT((P$3:P$91="")*(O$3:O$91="")*(N$3:N$91="")*(M$3:M$91="P")*(G$3:G$91=G71)*(J$3:J$91&gt;J71)*(I$3:I$91="P"))+IF(H71="L5",SUMPRODUCT((P$3:P$91="")*(O$3:O$91="")*(N$3:N$91="")*(M$3:M$91="P")*(G$3:G$91=G71)*(J$3:J$91&lt;J71)*(H$3:H$91&lt;&gt;H71)*(I$3:I$91="P")),-1*SUMPRODUCT((P$3:P$91="")*(O$3:O$91="")*(N$3:N$91="")*(M$3:M$91="P")*(G$3:G$91=G71)*(J$3:J$91&gt;J71)*(H$3:H$91="L5")*(I$3:I$91="P")))+1,"")))))</f>
        <v/>
      </c>
      <c r="B71" s="1" t="str" cm="1">
        <f t="array" ref="B71">IF(P71&lt;&gt;"",SUMPRODUCT((P$3:P$91&lt;&gt;"")*(G$3:G$91=G71)*(J$3:J$91&gt;J71))+1,IF(O71&lt;&gt;"",SUMPRODUCT((O$3:O$91&lt;&gt;"")*(P$3:P$91="")*(G$3:G$91=G71)*(J$3:J$91&gt;J71))+SUMPRODUCT((P$3:P$91&lt;&gt;"")*(G$3:G$91=G71))+1,IF(N71&lt;&gt;"",SUMPRODUCT((N$3:N$91&lt;&gt;"")*(G$3:G$91=G71)*(J$3:J$91&gt;J71))+1,IF(M71="P",SUMPRODUCT((O$3:O$91&lt;&gt;"")*(P$3:P$91="")*(G$3:G$91=G71))+SUMPRODUCT((P$3:P$91&lt;&gt;"")*(G$3:G$91=G71))+SUMPRODUCT((N$3:N$91&lt;&gt;"")*(G$3:G$91=G71))+SUMPRODUCT((P$3:P$91="")*(O$3:O$91="")*(N$3:N$91="")*(M$3:M$91="P")*(G$3:G$91=G71)*(J$3:J$91&gt;J71))+IF(H71="L5",SUMPRODUCT((P$3:P$91="")*(O$3:O$91="")*(N$3:N$91="")*(M$3:M$91="P")*(G$3:G$91=G71)*(J$3:J$91&lt;J71)*(H$3:H$91&lt;&gt;H71)),-1*SUMPRODUCT((P$3:P$91="")*(O$3:O$91="")*(N$3:N$91="")*(M$3:M$91="P")*(G$3:G$91=G71)*(J$3:J$91&gt;J71)*(H$3:H$91="L5")))+1,""))))</f>
        <v/>
      </c>
      <c r="C71" s="35" t="s">
        <v>351</v>
      </c>
      <c r="D71" t="str">
        <f>IF(E71="","",VLOOKUP(E71,'Coaching Points'!A:B,2,0))</f>
        <v>BC</v>
      </c>
      <c r="E71" s="35" t="s">
        <v>44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IF(AND(B71&lt;5,I71="P"),IF(_xlfn.MAXIFS(B:B,G:G,G71)&gt;3,5-B71,_xlfn.MAXIFS(B:B,G:G,G71)+1-B71),"")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$91&lt;&gt;"")*(G$3:G$91=G72)*(J$3:J$91&gt;J72)*(I$3:I$91="P"))+1,IF(O72&lt;&gt;"",SUMPRODUCT((O$3:O$91&lt;&gt;"")*(P$3:P$91="")*(G$3:G$91=G72)*(J$3:J$91&gt;J72)*(I$3:I$91="P"))+SUMPRODUCT((P$3:P$91&lt;&gt;"")*(G$3:G$91=G72)*(I$3:I$91="P"))+1,IF(N72&lt;&gt;"",SUMPRODUCT((N$3:N$91&lt;&gt;"")*(G$3:G$91=G72)*(J$3:J$91&gt;J72)*(I$3:I$91="P"))+1,IF(M72="P",SUMPRODUCT((O$3:O$91&lt;&gt;"")*(P$3:P$91="")*(G$3:G$91=G72)*(I$3:I$91="P"))+SUMPRODUCT((P$3:P$91&lt;&gt;"")*(G$3:G$91=G72)*(I$3:I$91="P"))+SUMPRODUCT((N$3:N$91&lt;&gt;"")*(G$3:G$91=G72)*(I$3:I$91="P"))+SUMPRODUCT((P$3:P$91="")*(O$3:O$91="")*(N$3:N$91="")*(M$3:M$91="P")*(G$3:G$91=G72)*(J$3:J$91&gt;J72)*(I$3:I$91="P"))+IF(H72="L5",SUMPRODUCT((P$3:P$91="")*(O$3:O$91="")*(N$3:N$91="")*(M$3:M$91="P")*(G$3:G$91=G72)*(J$3:J$91&lt;J72)*(H$3:H$91&lt;&gt;H72)*(I$3:I$91="P")),-1*SUMPRODUCT((P$3:P$91="")*(O$3:O$91="")*(N$3:N$91="")*(M$3:M$91="P")*(G$3:G$91=G72)*(J$3:J$91&gt;J72)*(H$3:H$91="L5")*(I$3:I$91="P")))+1,"")))))</f>
        <v/>
      </c>
      <c r="B72" s="1" t="str" cm="1">
        <f t="array" ref="B72">IF(P72&lt;&gt;"",SUMPRODUCT((P$3:P$91&lt;&gt;"")*(G$3:G$91=G72)*(J$3:J$91&gt;J72))+1,IF(O72&lt;&gt;"",SUMPRODUCT((O$3:O$91&lt;&gt;"")*(P$3:P$91="")*(G$3:G$91=G72)*(J$3:J$91&gt;J72))+SUMPRODUCT((P$3:P$91&lt;&gt;"")*(G$3:G$91=G72))+1,IF(N72&lt;&gt;"",SUMPRODUCT((N$3:N$91&lt;&gt;"")*(G$3:G$91=G72)*(J$3:J$91&gt;J72))+1,IF(M72="P",SUMPRODUCT((O$3:O$91&lt;&gt;"")*(P$3:P$91="")*(G$3:G$91=G72))+SUMPRODUCT((P$3:P$91&lt;&gt;"")*(G$3:G$91=G72))+SUMPRODUCT((N$3:N$91&lt;&gt;"")*(G$3:G$91=G72))+SUMPRODUCT((P$3:P$91="")*(O$3:O$91="")*(N$3:N$91="")*(M$3:M$91="P")*(G$3:G$91=G72)*(J$3:J$91&gt;J72))+IF(H72="L5",SUMPRODUCT((P$3:P$91="")*(O$3:O$91="")*(N$3:N$91="")*(M$3:M$91="P")*(G$3:G$91=G72)*(J$3:J$91&lt;J72)*(H$3:H$91&lt;&gt;H72)),-1*SUMPRODUCT((P$3:P$91="")*(O$3:O$91="")*(N$3:N$91="")*(M$3:M$91="P")*(G$3:G$91=G72)*(J$3:J$91&gt;J72)*(H$3:H$91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IF(AND(B72&lt;5,I72="P"),IF(_xlfn.MAXIFS(B:B,G:G,G72)&gt;3,5-B72,_xlfn.MAXIFS(B:B,G:G,G72)+1-B72),"")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$91&lt;&gt;"")*(G$3:G$91=G73)*(J$3:J$91&gt;J73)*(I$3:I$91="P"))+1,IF(O73&lt;&gt;"",SUMPRODUCT((O$3:O$91&lt;&gt;"")*(P$3:P$91="")*(G$3:G$91=G73)*(J$3:J$91&gt;J73)*(I$3:I$91="P"))+SUMPRODUCT((P$3:P$91&lt;&gt;"")*(G$3:G$91=G73)*(I$3:I$91="P"))+1,IF(N73&lt;&gt;"",SUMPRODUCT((N$3:N$91&lt;&gt;"")*(G$3:G$91=G73)*(J$3:J$91&gt;J73)*(I$3:I$91="P"))+1,IF(M73="P",SUMPRODUCT((O$3:O$91&lt;&gt;"")*(P$3:P$91="")*(G$3:G$91=G73)*(I$3:I$91="P"))+SUMPRODUCT((P$3:P$91&lt;&gt;"")*(G$3:G$91=G73)*(I$3:I$91="P"))+SUMPRODUCT((N$3:N$91&lt;&gt;"")*(G$3:G$91=G73)*(I$3:I$91="P"))+SUMPRODUCT((P$3:P$91="")*(O$3:O$91="")*(N$3:N$91="")*(M$3:M$91="P")*(G$3:G$91=G73)*(J$3:J$91&gt;J73)*(I$3:I$91="P"))+IF(H73="L5",SUMPRODUCT((P$3:P$91="")*(O$3:O$91="")*(N$3:N$91="")*(M$3:M$91="P")*(G$3:G$91=G73)*(J$3:J$91&lt;J73)*(H$3:H$91&lt;&gt;H73)*(I$3:I$91="P")),-1*SUMPRODUCT((P$3:P$91="")*(O$3:O$91="")*(N$3:N$91="")*(M$3:M$91="P")*(G$3:G$91=G73)*(J$3:J$91&gt;J73)*(H$3:H$91="L5")*(I$3:I$91="P")))+1,"")))))</f>
        <v/>
      </c>
      <c r="B73" s="1" t="str" cm="1">
        <f t="array" ref="B73">IF(P73&lt;&gt;"",SUMPRODUCT((P$3:P$91&lt;&gt;"")*(G$3:G$91=G73)*(J$3:J$91&gt;J73))+1,IF(O73&lt;&gt;"",SUMPRODUCT((O$3:O$91&lt;&gt;"")*(P$3:P$91="")*(G$3:G$91=G73)*(J$3:J$91&gt;J73))+SUMPRODUCT((P$3:P$91&lt;&gt;"")*(G$3:G$91=G73))+1,IF(N73&lt;&gt;"",SUMPRODUCT((N$3:N$91&lt;&gt;"")*(G$3:G$91=G73)*(J$3:J$91&gt;J73))+1,IF(M73="P",SUMPRODUCT((O$3:O$91&lt;&gt;"")*(P$3:P$91="")*(G$3:G$91=G73))+SUMPRODUCT((P$3:P$91&lt;&gt;"")*(G$3:G$91=G73))+SUMPRODUCT((N$3:N$91&lt;&gt;"")*(G$3:G$91=G73))+SUMPRODUCT((P$3:P$91="")*(O$3:O$91="")*(N$3:N$91="")*(M$3:M$91="P")*(G$3:G$91=G73)*(J$3:J$91&gt;J73))+IF(H73="L5",SUMPRODUCT((P$3:P$91="")*(O$3:O$91="")*(N$3:N$91="")*(M$3:M$91="P")*(G$3:G$91=G73)*(J$3:J$91&lt;J73)*(H$3:H$91&lt;&gt;H73)),-1*SUMPRODUCT((P$3:P$91="")*(O$3:O$91="")*(N$3:N$91="")*(M$3:M$91="P")*(G$3:G$91=G73)*(J$3:J$91&gt;J73)*(H$3:H$91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IF(AND(B73&lt;5,I73="P"),IF(_xlfn.MAXIFS(B:B,G:G,G73)&gt;3,5-B73,_xlfn.MAXIFS(B:B,G:G,G73)+1-B73),"")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$91&lt;&gt;"")*(G$3:G$91=G74)*(J$3:J$91&gt;J74)*(I$3:I$91="P"))+1,IF(O74&lt;&gt;"",SUMPRODUCT((O$3:O$91&lt;&gt;"")*(P$3:P$91="")*(G$3:G$91=G74)*(J$3:J$91&gt;J74)*(I$3:I$91="P"))+SUMPRODUCT((P$3:P$91&lt;&gt;"")*(G$3:G$91=G74)*(I$3:I$91="P"))+1,IF(N74&lt;&gt;"",SUMPRODUCT((N$3:N$91&lt;&gt;"")*(G$3:G$91=G74)*(J$3:J$91&gt;J74)*(I$3:I$91="P"))+1,IF(M74="P",SUMPRODUCT((O$3:O$91&lt;&gt;"")*(P$3:P$91="")*(G$3:G$91=G74)*(I$3:I$91="P"))+SUMPRODUCT((P$3:P$91&lt;&gt;"")*(G$3:G$91=G74)*(I$3:I$91="P"))+SUMPRODUCT((N$3:N$91&lt;&gt;"")*(G$3:G$91=G74)*(I$3:I$91="P"))+SUMPRODUCT((P$3:P$91="")*(O$3:O$91="")*(N$3:N$91="")*(M$3:M$91="P")*(G$3:G$91=G74)*(J$3:J$91&gt;J74)*(I$3:I$91="P"))+IF(H74="L5",SUMPRODUCT((P$3:P$91="")*(O$3:O$91="")*(N$3:N$91="")*(M$3:M$91="P")*(G$3:G$91=G74)*(J$3:J$91&lt;J74)*(H$3:H$91&lt;&gt;H74)*(I$3:I$91="P")),-1*SUMPRODUCT((P$3:P$91="")*(O$3:O$91="")*(N$3:N$91="")*(M$3:M$91="P")*(G$3:G$91=G74)*(J$3:J$91&gt;J74)*(H$3:H$91="L5")*(I$3:I$91="P")))+1,"")))))</f>
        <v/>
      </c>
      <c r="B74" s="1" t="str" cm="1">
        <f t="array" ref="B74">IF(P74&lt;&gt;"",SUMPRODUCT((P$3:P$91&lt;&gt;"")*(G$3:G$91=G74)*(J$3:J$91&gt;J74))+1,IF(O74&lt;&gt;"",SUMPRODUCT((O$3:O$91&lt;&gt;"")*(P$3:P$91="")*(G$3:G$91=G74)*(J$3:J$91&gt;J74))+SUMPRODUCT((P$3:P$91&lt;&gt;"")*(G$3:G$91=G74))+1,IF(N74&lt;&gt;"",SUMPRODUCT((N$3:N$91&lt;&gt;"")*(G$3:G$91=G74)*(J$3:J$91&gt;J74))+1,IF(M74="P",SUMPRODUCT((O$3:O$91&lt;&gt;"")*(P$3:P$91="")*(G$3:G$91=G74))+SUMPRODUCT((P$3:P$91&lt;&gt;"")*(G$3:G$91=G74))+SUMPRODUCT((N$3:N$91&lt;&gt;"")*(G$3:G$91=G74))+SUMPRODUCT((P$3:P$91="")*(O$3:O$91="")*(N$3:N$91="")*(M$3:M$91="P")*(G$3:G$91=G74)*(J$3:J$91&gt;J74))+IF(H74="L5",SUMPRODUCT((P$3:P$91="")*(O$3:O$91="")*(N$3:N$91="")*(M$3:M$91="P")*(G$3:G$91=G74)*(J$3:J$91&lt;J74)*(H$3:H$91&lt;&gt;H74)),-1*SUMPRODUCT((P$3:P$91="")*(O$3:O$91="")*(N$3:N$91="")*(M$3:M$91="P")*(G$3:G$91=G74)*(J$3:J$91&gt;J74)*(H$3:H$91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IF(AND(B74&lt;5,I74="P"),IF(_xlfn.MAXIFS(B:B,G:G,G74)&gt;3,5-B74,_xlfn.MAXIFS(B:B,G:G,G74)+1-B74),"")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$91&lt;&gt;"")*(G$3:G$91=G75)*(J$3:J$91&gt;J75)*(I$3:I$91="P"))+1,IF(O75&lt;&gt;"",SUMPRODUCT((O$3:O$91&lt;&gt;"")*(P$3:P$91="")*(G$3:G$91=G75)*(J$3:J$91&gt;J75)*(I$3:I$91="P"))+SUMPRODUCT((P$3:P$91&lt;&gt;"")*(G$3:G$91=G75)*(I$3:I$91="P"))+1,IF(N75&lt;&gt;"",SUMPRODUCT((N$3:N$91&lt;&gt;"")*(G$3:G$91=G75)*(J$3:J$91&gt;J75)*(I$3:I$91="P"))+1,IF(M75="P",SUMPRODUCT((O$3:O$91&lt;&gt;"")*(P$3:P$91="")*(G$3:G$91=G75)*(I$3:I$91="P"))+SUMPRODUCT((P$3:P$91&lt;&gt;"")*(G$3:G$91=G75)*(I$3:I$91="P"))+SUMPRODUCT((N$3:N$91&lt;&gt;"")*(G$3:G$91=G75)*(I$3:I$91="P"))+SUMPRODUCT((P$3:P$91="")*(O$3:O$91="")*(N$3:N$91="")*(M$3:M$91="P")*(G$3:G$91=G75)*(J$3:J$91&gt;J75)*(I$3:I$91="P"))+IF(H75="L5",SUMPRODUCT((P$3:P$91="")*(O$3:O$91="")*(N$3:N$91="")*(M$3:M$91="P")*(G$3:G$91=G75)*(J$3:J$91&lt;J75)*(H$3:H$91&lt;&gt;H75)*(I$3:I$91="P")),-1*SUMPRODUCT((P$3:P$91="")*(O$3:O$91="")*(N$3:N$91="")*(M$3:M$91="P")*(G$3:G$91=G75)*(J$3:J$91&gt;J75)*(H$3:H$91="L5")*(I$3:I$91="P")))+1,"")))))</f>
        <v/>
      </c>
      <c r="B75" s="1" t="str" cm="1">
        <f t="array" ref="B75">IF(P75&lt;&gt;"",SUMPRODUCT((P$3:P$91&lt;&gt;"")*(G$3:G$91=G75)*(J$3:J$91&gt;J75))+1,IF(O75&lt;&gt;"",SUMPRODUCT((O$3:O$91&lt;&gt;"")*(P$3:P$91="")*(G$3:G$91=G75)*(J$3:J$91&gt;J75))+SUMPRODUCT((P$3:P$91&lt;&gt;"")*(G$3:G$91=G75))+1,IF(N75&lt;&gt;"",SUMPRODUCT((N$3:N$91&lt;&gt;"")*(G$3:G$91=G75)*(J$3:J$91&gt;J75))+1,IF(M75="P",SUMPRODUCT((O$3:O$91&lt;&gt;"")*(P$3:P$91="")*(G$3:G$91=G75))+SUMPRODUCT((P$3:P$91&lt;&gt;"")*(G$3:G$91=G75))+SUMPRODUCT((N$3:N$91&lt;&gt;"")*(G$3:G$91=G75))+SUMPRODUCT((P$3:P$91="")*(O$3:O$91="")*(N$3:N$91="")*(M$3:M$91="P")*(G$3:G$91=G75)*(J$3:J$91&gt;J75))+IF(H75="L5",SUMPRODUCT((P$3:P$91="")*(O$3:O$91="")*(N$3:N$91="")*(M$3:M$91="P")*(G$3:G$91=G75)*(J$3:J$91&lt;J75)*(H$3:H$91&lt;&gt;H75)),-1*SUMPRODUCT((P$3:P$91="")*(O$3:O$91="")*(N$3:N$91="")*(M$3:M$91="P")*(G$3:G$91=G75)*(J$3:J$91&gt;J75)*(H$3:H$91="L5")))+1,""))))</f>
        <v/>
      </c>
      <c r="C75" s="35" t="s">
        <v>396</v>
      </c>
      <c r="D75" t="str">
        <f>IF(E75="","",VLOOKUP(E75,'Coaching Points'!A:B,2,0))</f>
        <v>ON</v>
      </c>
      <c r="E75" s="35" t="s">
        <v>133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IF(AND(B75&lt;5,I75="P"),IF(_xlfn.MAXIFS(B:B,G:G,G75)&gt;3,5-B75,_xlfn.MAXIFS(B:B,G:G,G75)+1-B75),"")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$91&lt;&gt;"")*(G$3:G$91=G76)*(J$3:J$91&gt;J76)*(I$3:I$91="P"))+1,IF(O76&lt;&gt;"",SUMPRODUCT((O$3:O$91&lt;&gt;"")*(P$3:P$91="")*(G$3:G$91=G76)*(J$3:J$91&gt;J76)*(I$3:I$91="P"))+SUMPRODUCT((P$3:P$91&lt;&gt;"")*(G$3:G$91=G76)*(I$3:I$91="P"))+1,IF(N76&lt;&gt;"",SUMPRODUCT((N$3:N$91&lt;&gt;"")*(G$3:G$91=G76)*(J$3:J$91&gt;J76)*(I$3:I$91="P"))+1,IF(M76="P",SUMPRODUCT((O$3:O$91&lt;&gt;"")*(P$3:P$91="")*(G$3:G$91=G76)*(I$3:I$91="P"))+SUMPRODUCT((P$3:P$91&lt;&gt;"")*(G$3:G$91=G76)*(I$3:I$91="P"))+SUMPRODUCT((N$3:N$91&lt;&gt;"")*(G$3:G$91=G76)*(I$3:I$91="P"))+SUMPRODUCT((P$3:P$91="")*(O$3:O$91="")*(N$3:N$91="")*(M$3:M$91="P")*(G$3:G$91=G76)*(J$3:J$91&gt;J76)*(I$3:I$91="P"))+IF(H76="L5",SUMPRODUCT((P$3:P$91="")*(O$3:O$91="")*(N$3:N$91="")*(M$3:M$91="P")*(G$3:G$91=G76)*(J$3:J$91&lt;J76)*(H$3:H$91&lt;&gt;H76)*(I$3:I$91="P")),-1*SUMPRODUCT((P$3:P$91="")*(O$3:O$91="")*(N$3:N$91="")*(M$3:M$91="P")*(G$3:G$91=G76)*(J$3:J$91&gt;J76)*(H$3:H$91="L5")*(I$3:I$91="P")))+1,"")))))</f>
        <v/>
      </c>
      <c r="B76" s="1" t="str" cm="1">
        <f t="array" ref="B76">IF(P76&lt;&gt;"",SUMPRODUCT((P$3:P$91&lt;&gt;"")*(G$3:G$91=G76)*(J$3:J$91&gt;J76))+1,IF(O76&lt;&gt;"",SUMPRODUCT((O$3:O$91&lt;&gt;"")*(P$3:P$91="")*(G$3:G$91=G76)*(J$3:J$91&gt;J76))+SUMPRODUCT((P$3:P$91&lt;&gt;"")*(G$3:G$91=G76))+1,IF(N76&lt;&gt;"",SUMPRODUCT((N$3:N$91&lt;&gt;"")*(G$3:G$91=G76)*(J$3:J$91&gt;J76))+1,IF(M76="P",SUMPRODUCT((O$3:O$91&lt;&gt;"")*(P$3:P$91="")*(G$3:G$91=G76))+SUMPRODUCT((P$3:P$91&lt;&gt;"")*(G$3:G$91=G76))+SUMPRODUCT((N$3:N$91&lt;&gt;"")*(G$3:G$91=G76))+SUMPRODUCT((P$3:P$91="")*(O$3:O$91="")*(N$3:N$91="")*(M$3:M$91="P")*(G$3:G$91=G76)*(J$3:J$91&gt;J76))+IF(H76="L5",SUMPRODUCT((P$3:P$91="")*(O$3:O$91="")*(N$3:N$91="")*(M$3:M$91="P")*(G$3:G$91=G76)*(J$3:J$91&lt;J76)*(H$3:H$91&lt;&gt;H76)),-1*SUMPRODUCT((P$3:P$91="")*(O$3:O$91="")*(N$3:N$91="")*(M$3:M$91="P")*(G$3:G$91=G76)*(J$3:J$91&gt;J76)*(H$3:H$91="L5")))+1,""))))</f>
        <v/>
      </c>
      <c r="C76" s="35" t="s">
        <v>397</v>
      </c>
      <c r="D76" t="str">
        <f>IF(E76="","",VLOOKUP(E76,'Coaching Points'!A:B,2,0))</f>
        <v>QC</v>
      </c>
      <c r="E76" s="35" t="s">
        <v>3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IF(AND(B76&lt;5,I76="P"),IF(_xlfn.MAXIFS(B:B,G:G,G76)&gt;3,5-B76,_xlfn.MAXIFS(B:B,G:G,G76)+1-B76),"")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$91&lt;&gt;"")*(G$3:G$91=G77)*(J$3:J$91&gt;J77)*(I$3:I$91="P"))+1,IF(O77&lt;&gt;"",SUMPRODUCT((O$3:O$91&lt;&gt;"")*(P$3:P$91="")*(G$3:G$91=G77)*(J$3:J$91&gt;J77)*(I$3:I$91="P"))+SUMPRODUCT((P$3:P$91&lt;&gt;"")*(G$3:G$91=G77)*(I$3:I$91="P"))+1,IF(N77&lt;&gt;"",SUMPRODUCT((N$3:N$91&lt;&gt;"")*(G$3:G$91=G77)*(J$3:J$91&gt;J77)*(I$3:I$91="P"))+1,IF(M77="P",SUMPRODUCT((O$3:O$91&lt;&gt;"")*(P$3:P$91="")*(G$3:G$91=G77)*(I$3:I$91="P"))+SUMPRODUCT((P$3:P$91&lt;&gt;"")*(G$3:G$91=G77)*(I$3:I$91="P"))+SUMPRODUCT((N$3:N$91&lt;&gt;"")*(G$3:G$91=G77)*(I$3:I$91="P"))+SUMPRODUCT((P$3:P$91="")*(O$3:O$91="")*(N$3:N$91="")*(M$3:M$91="P")*(G$3:G$91=G77)*(J$3:J$91&gt;J77)*(I$3:I$91="P"))+IF(H77="L5",SUMPRODUCT((P$3:P$91="")*(O$3:O$91="")*(N$3:N$91="")*(M$3:M$91="P")*(G$3:G$91=G77)*(J$3:J$91&lt;J77)*(H$3:H$91&lt;&gt;H77)*(I$3:I$91="P")),-1*SUMPRODUCT((P$3:P$91="")*(O$3:O$91="")*(N$3:N$91="")*(M$3:M$91="P")*(G$3:G$91=G77)*(J$3:J$91&gt;J77)*(H$3:H$91="L5")*(I$3:I$91="P")))+1,"")))))</f>
        <v/>
      </c>
      <c r="B77" s="1" t="str" cm="1">
        <f t="array" ref="B77">IF(P77&lt;&gt;"",SUMPRODUCT((P$3:P$91&lt;&gt;"")*(G$3:G$91=G77)*(J$3:J$91&gt;J77))+1,IF(O77&lt;&gt;"",SUMPRODUCT((O$3:O$91&lt;&gt;"")*(P$3:P$91="")*(G$3:G$91=G77)*(J$3:J$91&gt;J77))+SUMPRODUCT((P$3:P$91&lt;&gt;"")*(G$3:G$91=G77))+1,IF(N77&lt;&gt;"",SUMPRODUCT((N$3:N$91&lt;&gt;"")*(G$3:G$91=G77)*(J$3:J$91&gt;J77))+1,IF(M77="P",SUMPRODUCT((O$3:O$91&lt;&gt;"")*(P$3:P$91="")*(G$3:G$91=G77))+SUMPRODUCT((P$3:P$91&lt;&gt;"")*(G$3:G$91=G77))+SUMPRODUCT((N$3:N$91&lt;&gt;"")*(G$3:G$91=G77))+SUMPRODUCT((P$3:P$91="")*(O$3:O$91="")*(N$3:N$91="")*(M$3:M$91="P")*(G$3:G$91=G77)*(J$3:J$91&gt;J77))+IF(H77="L5",SUMPRODUCT((P$3:P$91="")*(O$3:O$91="")*(N$3:N$91="")*(M$3:M$91="P")*(G$3:G$91=G77)*(J$3:J$91&lt;J77)*(H$3:H$91&lt;&gt;H77)),-1*SUMPRODUCT((P$3:P$91="")*(O$3:O$91="")*(N$3:N$91="")*(M$3:M$91="P")*(G$3:G$91=G77)*(J$3:J$91&gt;J77)*(H$3:H$91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IF(AND(B77&lt;5,I77="P"),IF(_xlfn.MAXIFS(B:B,G:G,G77)&gt;3,5-B77,_xlfn.MAXIFS(B:B,G:G,G77)+1-B77),"")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$91&lt;&gt;"")*(G$3:G$91=G78)*(J$3:J$91&gt;J78)*(I$3:I$91="P"))+1,IF(O78&lt;&gt;"",SUMPRODUCT((O$3:O$91&lt;&gt;"")*(P$3:P$91="")*(G$3:G$91=G78)*(J$3:J$91&gt;J78)*(I$3:I$91="P"))+SUMPRODUCT((P$3:P$91&lt;&gt;"")*(G$3:G$91=G78)*(I$3:I$91="P"))+1,IF(N78&lt;&gt;"",SUMPRODUCT((N$3:N$91&lt;&gt;"")*(G$3:G$91=G78)*(J$3:J$91&gt;J78)*(I$3:I$91="P"))+1,IF(M78="P",SUMPRODUCT((O$3:O$91&lt;&gt;"")*(P$3:P$91="")*(G$3:G$91=G78)*(I$3:I$91="P"))+SUMPRODUCT((P$3:P$91&lt;&gt;"")*(G$3:G$91=G78)*(I$3:I$91="P"))+SUMPRODUCT((N$3:N$91&lt;&gt;"")*(G$3:G$91=G78)*(I$3:I$91="P"))+SUMPRODUCT((P$3:P$91="")*(O$3:O$91="")*(N$3:N$91="")*(M$3:M$91="P")*(G$3:G$91=G78)*(J$3:J$91&gt;J78)*(I$3:I$91="P"))+IF(H78="L5",SUMPRODUCT((P$3:P$91="")*(O$3:O$91="")*(N$3:N$91="")*(M$3:M$91="P")*(G$3:G$91=G78)*(J$3:J$91&lt;J78)*(H$3:H$91&lt;&gt;H78)*(I$3:I$91="P")),-1*SUMPRODUCT((P$3:P$91="")*(O$3:O$91="")*(N$3:N$91="")*(M$3:M$91="P")*(G$3:G$91=G78)*(J$3:J$91&gt;J78)*(H$3:H$91="L5")*(I$3:I$91="P")))+1,"")))))</f>
        <v/>
      </c>
      <c r="B78" s="1" t="str" cm="1">
        <f t="array" ref="B78">IF(P78&lt;&gt;"",SUMPRODUCT((P$3:P$91&lt;&gt;"")*(G$3:G$91=G78)*(J$3:J$91&gt;J78))+1,IF(O78&lt;&gt;"",SUMPRODUCT((O$3:O$91&lt;&gt;"")*(P$3:P$91="")*(G$3:G$91=G78)*(J$3:J$91&gt;J78))+SUMPRODUCT((P$3:P$91&lt;&gt;"")*(G$3:G$91=G78))+1,IF(N78&lt;&gt;"",SUMPRODUCT((N$3:N$91&lt;&gt;"")*(G$3:G$91=G78)*(J$3:J$91&gt;J78))+1,IF(M78="P",SUMPRODUCT((O$3:O$91&lt;&gt;"")*(P$3:P$91="")*(G$3:G$91=G78))+SUMPRODUCT((P$3:P$91&lt;&gt;"")*(G$3:G$91=G78))+SUMPRODUCT((N$3:N$91&lt;&gt;"")*(G$3:G$91=G78))+SUMPRODUCT((P$3:P$91="")*(O$3:O$91="")*(N$3:N$91="")*(M$3:M$91="P")*(G$3:G$91=G78)*(J$3:J$91&gt;J78))+IF(H78="L5",SUMPRODUCT((P$3:P$91="")*(O$3:O$91="")*(N$3:N$91="")*(M$3:M$91="P")*(G$3:G$91=G78)*(J$3:J$91&lt;J78)*(H$3:H$91&lt;&gt;H78)),-1*SUMPRODUCT((P$3:P$91="")*(O$3:O$91="")*(N$3:N$91="")*(M$3:M$91="P")*(G$3:G$91=G78)*(J$3:J$91&gt;J78)*(H$3:H$91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IF(AND(B78&lt;5,I78="P"),IF(_xlfn.MAXIFS(B:B,G:G,G78)&gt;3,5-B78,_xlfn.MAXIFS(B:B,G:G,G78)+1-B78),"")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cm="1">
        <f t="array" ref="A79">IF(I79="","",IF(P79&lt;&gt;"",SUMPRODUCT((P$3:P$91&lt;&gt;"")*(G$3:G$91=G79)*(J$3:J$91&gt;J79)*(I$3:I$91="P"))+1,IF(O79&lt;&gt;"",SUMPRODUCT((O$3:O$91&lt;&gt;"")*(P$3:P$91="")*(G$3:G$91=G79)*(J$3:J$91&gt;J79)*(I$3:I$91="P"))+SUMPRODUCT((P$3:P$91&lt;&gt;"")*(G$3:G$91=G79)*(I$3:I$91="P"))+1,IF(N79&lt;&gt;"",SUMPRODUCT((N$3:N$91&lt;&gt;"")*(G$3:G$91=G79)*(J$3:J$91&gt;J79)*(I$3:I$91="P"))+1,IF(M79="P",SUMPRODUCT((O$3:O$91&lt;&gt;"")*(P$3:P$91="")*(G$3:G$91=G79)*(I$3:I$91="P"))+SUMPRODUCT((P$3:P$91&lt;&gt;"")*(G$3:G$91=G79)*(I$3:I$91="P"))+SUMPRODUCT((N$3:N$91&lt;&gt;"")*(G$3:G$91=G79)*(I$3:I$91="P"))+SUMPRODUCT((P$3:P$91="")*(O$3:O$91="")*(N$3:N$91="")*(M$3:M$91="P")*(G$3:G$91=G79)*(J$3:J$91&gt;J79)*(I$3:I$91="P"))+IF(H79="L5",SUMPRODUCT((P$3:P$91="")*(O$3:O$91="")*(N$3:N$91="")*(M$3:M$91="P")*(G$3:G$91=G79)*(J$3:J$91&lt;J79)*(H$3:H$91&lt;&gt;H79)*(I$3:I$91="P")),-1*SUMPRODUCT((P$3:P$91="")*(O$3:O$91="")*(N$3:N$91="")*(M$3:M$91="P")*(G$3:G$91=G79)*(J$3:J$91&gt;J79)*(H$3:H$91="L5")*(I$3:I$91="P")))+1,"")))))</f>
        <v>1</v>
      </c>
      <c r="B79" s="1" cm="1">
        <f t="array" ref="B79">IF(P79&lt;&gt;"",SUMPRODUCT((P$3:P$91&lt;&gt;"")*(G$3:G$91=G79)*(J$3:J$91&gt;J79))+1,IF(O79&lt;&gt;"",SUMPRODUCT((O$3:O$91&lt;&gt;"")*(P$3:P$91="")*(G$3:G$91=G79)*(J$3:J$91&gt;J79))+SUMPRODUCT((P$3:P$91&lt;&gt;"")*(G$3:G$91=G79))+1,IF(N79&lt;&gt;"",SUMPRODUCT((N$3:N$91&lt;&gt;"")*(G$3:G$91=G79)*(J$3:J$91&gt;J79))+1,IF(M79="P",SUMPRODUCT((O$3:O$91&lt;&gt;"")*(P$3:P$91="")*(G$3:G$91=G79))+SUMPRODUCT((P$3:P$91&lt;&gt;"")*(G$3:G$91=G79))+SUMPRODUCT((N$3:N$91&lt;&gt;"")*(G$3:G$91=G79))+SUMPRODUCT((P$3:P$91="")*(O$3:O$91="")*(N$3:N$91="")*(M$3:M$91="P")*(G$3:G$91=G79)*(J$3:J$91&gt;J79))+IF(H79="L5",SUMPRODUCT((P$3:P$91="")*(O$3:O$91="")*(N$3:N$91="")*(M$3:M$91="P")*(G$3:G$91=G79)*(J$3:J$91&lt;J79)*(H$3:H$91&lt;&gt;H79)),-1*SUMPRODUCT((P$3:P$91="")*(O$3:O$91="")*(N$3:N$91="")*(M$3:M$91="P")*(G$3:G$91=G79)*(J$3:J$91&gt;J79)*(H$3:H$91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 t="s">
        <v>507</v>
      </c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>
        <f>IF(AND(B79&lt;5,I79="P"),IF(_xlfn.MAXIFS(B:B,G:G,G79)&gt;3,5-B79,_xlfn.MAXIFS(B:B,G:G,G79)+1-B79),"")</f>
        <v>1</v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$91&lt;&gt;"")*(G$3:G$91=G80)*(J$3:J$91&gt;J80)*(I$3:I$91="P"))+1,IF(O80&lt;&gt;"",SUMPRODUCT((O$3:O$91&lt;&gt;"")*(P$3:P$91="")*(G$3:G$91=G80)*(J$3:J$91&gt;J80)*(I$3:I$91="P"))+SUMPRODUCT((P$3:P$91&lt;&gt;"")*(G$3:G$91=G80)*(I$3:I$91="P"))+1,IF(N80&lt;&gt;"",SUMPRODUCT((N$3:N$91&lt;&gt;"")*(G$3:G$91=G80)*(J$3:J$91&gt;J80)*(I$3:I$91="P"))+1,IF(M80="P",SUMPRODUCT((O$3:O$91&lt;&gt;"")*(P$3:P$91="")*(G$3:G$91=G80)*(I$3:I$91="P"))+SUMPRODUCT((P$3:P$91&lt;&gt;"")*(G$3:G$91=G80)*(I$3:I$91="P"))+SUMPRODUCT((N$3:N$91&lt;&gt;"")*(G$3:G$91=G80)*(I$3:I$91="P"))+SUMPRODUCT((P$3:P$91="")*(O$3:O$91="")*(N$3:N$91="")*(M$3:M$91="P")*(G$3:G$91=G80)*(J$3:J$91&gt;J80)*(I$3:I$91="P"))+IF(H80="L5",SUMPRODUCT((P$3:P$91="")*(O$3:O$91="")*(N$3:N$91="")*(M$3:M$91="P")*(G$3:G$91=G80)*(J$3:J$91&lt;J80)*(H$3:H$91&lt;&gt;H80)*(I$3:I$91="P")),-1*SUMPRODUCT((P$3:P$91="")*(O$3:O$91="")*(N$3:N$91="")*(M$3:M$91="P")*(G$3:G$91=G80)*(J$3:J$91&gt;J80)*(H$3:H$91="L5")*(I$3:I$91="P")))+1,"")))))</f>
        <v/>
      </c>
      <c r="B80" s="1" t="str" cm="1">
        <f t="array" ref="B80">IF(P80&lt;&gt;"",SUMPRODUCT((P$3:P$91&lt;&gt;"")*(G$3:G$91=G80)*(J$3:J$91&gt;J80))+1,IF(O80&lt;&gt;"",SUMPRODUCT((O$3:O$91&lt;&gt;"")*(P$3:P$91="")*(G$3:G$91=G80)*(J$3:J$91&gt;J80))+SUMPRODUCT((P$3:P$91&lt;&gt;"")*(G$3:G$91=G80))+1,IF(N80&lt;&gt;"",SUMPRODUCT((N$3:N$91&lt;&gt;"")*(G$3:G$91=G80)*(J$3:J$91&gt;J80))+1,IF(M80="P",SUMPRODUCT((O$3:O$91&lt;&gt;"")*(P$3:P$91="")*(G$3:G$91=G80))+SUMPRODUCT((P$3:P$91&lt;&gt;"")*(G$3:G$91=G80))+SUMPRODUCT((N$3:N$91&lt;&gt;"")*(G$3:G$91=G80))+SUMPRODUCT((P$3:P$91="")*(O$3:O$91="")*(N$3:N$91="")*(M$3:M$91="P")*(G$3:G$91=G80)*(J$3:J$91&gt;J80))+IF(H80="L5",SUMPRODUCT((P$3:P$91="")*(O$3:O$91="")*(N$3:N$91="")*(M$3:M$91="P")*(G$3:G$91=G80)*(J$3:J$91&lt;J80)*(H$3:H$91&lt;&gt;H80)),-1*SUMPRODUCT((P$3:P$91="")*(O$3:O$91="")*(N$3:N$91="")*(M$3:M$91="P")*(G$3:G$91=G80)*(J$3:J$91&gt;J80)*(H$3:H$91="L5")))+1,""))))</f>
        <v/>
      </c>
      <c r="C80" s="35" t="s">
        <v>193</v>
      </c>
      <c r="D80" t="str">
        <f>IF(E80="","",VLOOKUP(E80,'Coaching Points'!A:B,2,0))</f>
        <v>ON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 t="s">
        <v>507</v>
      </c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IF(AND(B80&lt;5,I80="P"),IF(_xlfn.MAXIFS(B:B,G:G,G80)&gt;3,5-B80,_xlfn.MAXIFS(B:B,G:G,G80)+1-B80),"")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$91&lt;&gt;"")*(G$3:G$91=G81)*(J$3:J$91&gt;J81)*(I$3:I$91="P"))+1,IF(O81&lt;&gt;"",SUMPRODUCT((O$3:O$91&lt;&gt;"")*(P$3:P$91="")*(G$3:G$91=G81)*(J$3:J$91&gt;J81)*(I$3:I$91="P"))+SUMPRODUCT((P$3:P$91&lt;&gt;"")*(G$3:G$91=G81)*(I$3:I$91="P"))+1,IF(N81&lt;&gt;"",SUMPRODUCT((N$3:N$91&lt;&gt;"")*(G$3:G$91=G81)*(J$3:J$91&gt;J81)*(I$3:I$91="P"))+1,IF(M81="P",SUMPRODUCT((O$3:O$91&lt;&gt;"")*(P$3:P$91="")*(G$3:G$91=G81)*(I$3:I$91="P"))+SUMPRODUCT((P$3:P$91&lt;&gt;"")*(G$3:G$91=G81)*(I$3:I$91="P"))+SUMPRODUCT((N$3:N$91&lt;&gt;"")*(G$3:G$91=G81)*(I$3:I$91="P"))+SUMPRODUCT((P$3:P$91="")*(O$3:O$91="")*(N$3:N$91="")*(M$3:M$91="P")*(G$3:G$91=G81)*(J$3:J$91&gt;J81)*(I$3:I$91="P"))+IF(H81="L5",SUMPRODUCT((P$3:P$91="")*(O$3:O$91="")*(N$3:N$91="")*(M$3:M$91="P")*(G$3:G$91=G81)*(J$3:J$91&lt;J81)*(H$3:H$91&lt;&gt;H81)*(I$3:I$91="P")),-1*SUMPRODUCT((P$3:P$91="")*(O$3:O$91="")*(N$3:N$91="")*(M$3:M$91="P")*(G$3:G$91=G81)*(J$3:J$91&gt;J81)*(H$3:H$91="L5")*(I$3:I$91="P")))+1,"")))))</f>
        <v/>
      </c>
      <c r="B81" s="1" t="str" cm="1">
        <f t="array" ref="B81">IF(P81&lt;&gt;"",SUMPRODUCT((P$3:P$91&lt;&gt;"")*(G$3:G$91=G81)*(J$3:J$91&gt;J81))+1,IF(O81&lt;&gt;"",SUMPRODUCT((O$3:O$91&lt;&gt;"")*(P$3:P$91="")*(G$3:G$91=G81)*(J$3:J$91&gt;J81))+SUMPRODUCT((P$3:P$91&lt;&gt;"")*(G$3:G$91=G81))+1,IF(N81&lt;&gt;"",SUMPRODUCT((N$3:N$91&lt;&gt;"")*(G$3:G$91=G81)*(J$3:J$91&gt;J81))+1,IF(M81="P",SUMPRODUCT((O$3:O$91&lt;&gt;"")*(P$3:P$91="")*(G$3:G$91=G81))+SUMPRODUCT((P$3:P$91&lt;&gt;"")*(G$3:G$91=G81))+SUMPRODUCT((N$3:N$91&lt;&gt;"")*(G$3:G$91=G81))+SUMPRODUCT((P$3:P$91="")*(O$3:O$91="")*(N$3:N$91="")*(M$3:M$91="P")*(G$3:G$91=G81)*(J$3:J$91&gt;J81))+IF(H81="L5",SUMPRODUCT((P$3:P$91="")*(O$3:O$91="")*(N$3:N$91="")*(M$3:M$91="P")*(G$3:G$91=G81)*(J$3:J$91&lt;J81)*(H$3:H$91&lt;&gt;H81)),-1*SUMPRODUCT((P$3:P$91="")*(O$3:O$91="")*(N$3:N$91="")*(M$3:M$91="P")*(G$3:G$91=G81)*(J$3:J$91&gt;J81)*(H$3:H$91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IF(AND(B81&lt;5,I81="P"),IF(_xlfn.MAXIFS(B:B,G:G,G81)&gt;3,5-B81,_xlfn.MAXIFS(B:B,G:G,G81)+1-B81),"")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$91&lt;&gt;"")*(G$3:G$91=G82)*(J$3:J$91&gt;J82)*(I$3:I$91="P"))+1,IF(O82&lt;&gt;"",SUMPRODUCT((O$3:O$91&lt;&gt;"")*(P$3:P$91="")*(G$3:G$91=G82)*(J$3:J$91&gt;J82)*(I$3:I$91="P"))+SUMPRODUCT((P$3:P$91&lt;&gt;"")*(G$3:G$91=G82)*(I$3:I$91="P"))+1,IF(N82&lt;&gt;"",SUMPRODUCT((N$3:N$91&lt;&gt;"")*(G$3:G$91=G82)*(J$3:J$91&gt;J82)*(I$3:I$91="P"))+1,IF(M82="P",SUMPRODUCT((O$3:O$91&lt;&gt;"")*(P$3:P$91="")*(G$3:G$91=G82)*(I$3:I$91="P"))+SUMPRODUCT((P$3:P$91&lt;&gt;"")*(G$3:G$91=G82)*(I$3:I$91="P"))+SUMPRODUCT((N$3:N$91&lt;&gt;"")*(G$3:G$91=G82)*(I$3:I$91="P"))+SUMPRODUCT((P$3:P$91="")*(O$3:O$91="")*(N$3:N$91="")*(M$3:M$91="P")*(G$3:G$91=G82)*(J$3:J$91&gt;J82)*(I$3:I$91="P"))+IF(H82="L5",SUMPRODUCT((P$3:P$91="")*(O$3:O$91="")*(N$3:N$91="")*(M$3:M$91="P")*(G$3:G$91=G82)*(J$3:J$91&lt;J82)*(H$3:H$91&lt;&gt;H82)*(I$3:I$91="P")),-1*SUMPRODUCT((P$3:P$91="")*(O$3:O$91="")*(N$3:N$91="")*(M$3:M$91="P")*(G$3:G$91=G82)*(J$3:J$91&gt;J82)*(H$3:H$91="L5")*(I$3:I$91="P")))+1,"")))))</f>
        <v/>
      </c>
      <c r="B82" s="1" t="str" cm="1">
        <f t="array" ref="B82">IF(P82&lt;&gt;"",SUMPRODUCT((P$3:P$91&lt;&gt;"")*(G$3:G$91=G82)*(J$3:J$91&gt;J82))+1,IF(O82&lt;&gt;"",SUMPRODUCT((O$3:O$91&lt;&gt;"")*(P$3:P$91="")*(G$3:G$91=G82)*(J$3:J$91&gt;J82))+SUMPRODUCT((P$3:P$91&lt;&gt;"")*(G$3:G$91=G82))+1,IF(N82&lt;&gt;"",SUMPRODUCT((N$3:N$91&lt;&gt;"")*(G$3:G$91=G82)*(J$3:J$91&gt;J82))+1,IF(M82="P",SUMPRODUCT((O$3:O$91&lt;&gt;"")*(P$3:P$91="")*(G$3:G$91=G82))+SUMPRODUCT((P$3:P$91&lt;&gt;"")*(G$3:G$91=G82))+SUMPRODUCT((N$3:N$91&lt;&gt;"")*(G$3:G$91=G82))+SUMPRODUCT((P$3:P$91="")*(O$3:O$91="")*(N$3:N$91="")*(M$3:M$91="P")*(G$3:G$91=G82)*(J$3:J$91&gt;J82))+IF(H82="L5",SUMPRODUCT((P$3:P$91="")*(O$3:O$91="")*(N$3:N$91="")*(M$3:M$91="P")*(G$3:G$91=G82)*(J$3:J$91&lt;J82)*(H$3:H$91&lt;&gt;H82)),-1*SUMPRODUCT((P$3:P$91="")*(O$3:O$91="")*(N$3:N$91="")*(M$3:M$91="P")*(G$3:G$91=G82)*(J$3:J$91&gt;J82)*(H$3:H$91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IF(AND(B82&lt;5,I82="P"),IF(_xlfn.MAXIFS(B:B,G:G,G82)&gt;3,5-B82,_xlfn.MAXIFS(B:B,G:G,G82)+1-B82),"")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$91&lt;&gt;"")*(G$3:G$91=G83)*(J$3:J$91&gt;J83)*(I$3:I$91="P"))+1,IF(O83&lt;&gt;"",SUMPRODUCT((O$3:O$91&lt;&gt;"")*(P$3:P$91="")*(G$3:G$91=G83)*(J$3:J$91&gt;J83)*(I$3:I$91="P"))+SUMPRODUCT((P$3:P$91&lt;&gt;"")*(G$3:G$91=G83)*(I$3:I$91="P"))+1,IF(N83&lt;&gt;"",SUMPRODUCT((N$3:N$91&lt;&gt;"")*(G$3:G$91=G83)*(J$3:J$91&gt;J83)*(I$3:I$91="P"))+1,IF(M83="P",SUMPRODUCT((O$3:O$91&lt;&gt;"")*(P$3:P$91="")*(G$3:G$91=G83)*(I$3:I$91="P"))+SUMPRODUCT((P$3:P$91&lt;&gt;"")*(G$3:G$91=G83)*(I$3:I$91="P"))+SUMPRODUCT((N$3:N$91&lt;&gt;"")*(G$3:G$91=G83)*(I$3:I$91="P"))+SUMPRODUCT((P$3:P$91="")*(O$3:O$91="")*(N$3:N$91="")*(M$3:M$91="P")*(G$3:G$91=G83)*(J$3:J$91&gt;J83)*(I$3:I$91="P"))+IF(H83="L5",SUMPRODUCT((P$3:P$91="")*(O$3:O$91="")*(N$3:N$91="")*(M$3:M$91="P")*(G$3:G$91=G83)*(J$3:J$91&lt;J83)*(H$3:H$91&lt;&gt;H83)*(I$3:I$91="P")),-1*SUMPRODUCT((P$3:P$91="")*(O$3:O$91="")*(N$3:N$91="")*(M$3:M$91="P")*(G$3:G$91=G83)*(J$3:J$91&gt;J83)*(H$3:H$91="L5")*(I$3:I$91="P")))+1,"")))))</f>
        <v/>
      </c>
      <c r="B83" s="1" t="str" cm="1">
        <f t="array" ref="B83">IF(P83&lt;&gt;"",SUMPRODUCT((P$3:P$91&lt;&gt;"")*(G$3:G$91=G83)*(J$3:J$91&gt;J83))+1,IF(O83&lt;&gt;"",SUMPRODUCT((O$3:O$91&lt;&gt;"")*(P$3:P$91="")*(G$3:G$91=G83)*(J$3:J$91&gt;J83))+SUMPRODUCT((P$3:P$91&lt;&gt;"")*(G$3:G$91=G83))+1,IF(N83&lt;&gt;"",SUMPRODUCT((N$3:N$91&lt;&gt;"")*(G$3:G$91=G83)*(J$3:J$91&gt;J83))+1,IF(M83="P",SUMPRODUCT((O$3:O$91&lt;&gt;"")*(P$3:P$91="")*(G$3:G$91=G83))+SUMPRODUCT((P$3:P$91&lt;&gt;"")*(G$3:G$91=G83))+SUMPRODUCT((N$3:N$91&lt;&gt;"")*(G$3:G$91=G83))+SUMPRODUCT((P$3:P$91="")*(O$3:O$91="")*(N$3:N$91="")*(M$3:M$91="P")*(G$3:G$91=G83)*(J$3:J$91&gt;J83))+IF(H83="L5",SUMPRODUCT((P$3:P$91="")*(O$3:O$91="")*(N$3:N$91="")*(M$3:M$91="P")*(G$3:G$91=G83)*(J$3:J$91&lt;J83)*(H$3:H$91&lt;&gt;H83)),-1*SUMPRODUCT((P$3:P$91="")*(O$3:O$91="")*(N$3:N$91="")*(M$3:M$91="P")*(G$3:G$91=G83)*(J$3:J$91&gt;J83)*(H$3:H$91="L5")))+1,""))))</f>
        <v/>
      </c>
      <c r="C83" s="35" t="s">
        <v>391</v>
      </c>
      <c r="D83" t="str">
        <f>IF(E83="","",VLOOKUP(E83,'Coaching Points'!A:B,2,0))</f>
        <v>QC</v>
      </c>
      <c r="E83" s="35" t="s">
        <v>3</v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IF(AND(B83&lt;5,I83="P"),IF(_xlfn.MAXIFS(B:B,G:G,G83)&gt;3,5-B83,_xlfn.MAXIFS(B:B,G:G,G83)+1-B83),"")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$91&lt;&gt;"")*(G$3:G$91=G84)*(J$3:J$91&gt;J84)*(I$3:I$91="P"))+1,IF(O84&lt;&gt;"",SUMPRODUCT((O$3:O$91&lt;&gt;"")*(P$3:P$91="")*(G$3:G$91=G84)*(J$3:J$91&gt;J84)*(I$3:I$91="P"))+SUMPRODUCT((P$3:P$91&lt;&gt;"")*(G$3:G$91=G84)*(I$3:I$91="P"))+1,IF(N84&lt;&gt;"",SUMPRODUCT((N$3:N$91&lt;&gt;"")*(G$3:G$91=G84)*(J$3:J$91&gt;J84)*(I$3:I$91="P"))+1,IF(M84="P",SUMPRODUCT((O$3:O$91&lt;&gt;"")*(P$3:P$91="")*(G$3:G$91=G84)*(I$3:I$91="P"))+SUMPRODUCT((P$3:P$91&lt;&gt;"")*(G$3:G$91=G84)*(I$3:I$91="P"))+SUMPRODUCT((N$3:N$91&lt;&gt;"")*(G$3:G$91=G84)*(I$3:I$91="P"))+SUMPRODUCT((P$3:P$91="")*(O$3:O$91="")*(N$3:N$91="")*(M$3:M$91="P")*(G$3:G$91=G84)*(J$3:J$91&gt;J84)*(I$3:I$91="P"))+IF(H84="L5",SUMPRODUCT((P$3:P$91="")*(O$3:O$91="")*(N$3:N$91="")*(M$3:M$91="P")*(G$3:G$91=G84)*(J$3:J$91&lt;J84)*(H$3:H$91&lt;&gt;H84)*(I$3:I$91="P")),-1*SUMPRODUCT((P$3:P$91="")*(O$3:O$91="")*(N$3:N$91="")*(M$3:M$91="P")*(G$3:G$91=G84)*(J$3:J$91&gt;J84)*(H$3:H$91="L5")*(I$3:I$91="P")))+1,"")))))</f>
        <v/>
      </c>
      <c r="B84" s="1" t="str" cm="1">
        <f t="array" ref="B84">IF(P84&lt;&gt;"",SUMPRODUCT((P$3:P$91&lt;&gt;"")*(G$3:G$91=G84)*(J$3:J$91&gt;J84))+1,IF(O84&lt;&gt;"",SUMPRODUCT((O$3:O$91&lt;&gt;"")*(P$3:P$91="")*(G$3:G$91=G84)*(J$3:J$91&gt;J84))+SUMPRODUCT((P$3:P$91&lt;&gt;"")*(G$3:G$91=G84))+1,IF(N84&lt;&gt;"",SUMPRODUCT((N$3:N$91&lt;&gt;"")*(G$3:G$91=G84)*(J$3:J$91&gt;J84))+1,IF(M84="P",SUMPRODUCT((O$3:O$91&lt;&gt;"")*(P$3:P$91="")*(G$3:G$91=G84))+SUMPRODUCT((P$3:P$91&lt;&gt;"")*(G$3:G$91=G84))+SUMPRODUCT((N$3:N$91&lt;&gt;"")*(G$3:G$91=G84))+SUMPRODUCT((P$3:P$91="")*(O$3:O$91="")*(N$3:N$91="")*(M$3:M$91="P")*(G$3:G$91=G84)*(J$3:J$91&gt;J84))+IF(H84="L5",SUMPRODUCT((P$3:P$91="")*(O$3:O$91="")*(N$3:N$91="")*(M$3:M$91="P")*(G$3:G$91=G84)*(J$3:J$91&lt;J84)*(H$3:H$91&lt;&gt;H84)),-1*SUMPRODUCT((P$3:P$91="")*(O$3:O$91="")*(N$3:N$91="")*(M$3:M$91="P")*(G$3:G$91=G84)*(J$3:J$91&gt;J84)*(H$3:H$91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IF(AND(B84&lt;5,I84="P"),IF(_xlfn.MAXIFS(B:B,G:G,G84)&gt;3,5-B84,_xlfn.MAXIFS(B:B,G:G,G84)+1-B84),"")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$91&lt;&gt;"")*(G$3:G$91=G85)*(J$3:J$91&gt;J85)*(I$3:I$91="P"))+1,IF(O85&lt;&gt;"",SUMPRODUCT((O$3:O$91&lt;&gt;"")*(P$3:P$91="")*(G$3:G$91=G85)*(J$3:J$91&gt;J85)*(I$3:I$91="P"))+SUMPRODUCT((P$3:P$91&lt;&gt;"")*(G$3:G$91=G85)*(I$3:I$91="P"))+1,IF(N85&lt;&gt;"",SUMPRODUCT((N$3:N$91&lt;&gt;"")*(G$3:G$91=G85)*(J$3:J$91&gt;J85)*(I$3:I$91="P"))+1,IF(M85="P",SUMPRODUCT((O$3:O$91&lt;&gt;"")*(P$3:P$91="")*(G$3:G$91=G85)*(I$3:I$91="P"))+SUMPRODUCT((P$3:P$91&lt;&gt;"")*(G$3:G$91=G85)*(I$3:I$91="P"))+SUMPRODUCT((N$3:N$91&lt;&gt;"")*(G$3:G$91=G85)*(I$3:I$91="P"))+SUMPRODUCT((P$3:P$91="")*(O$3:O$91="")*(N$3:N$91="")*(M$3:M$91="P")*(G$3:G$91=G85)*(J$3:J$91&gt;J85)*(I$3:I$91="P"))+IF(H85="L5",SUMPRODUCT((P$3:P$91="")*(O$3:O$91="")*(N$3:N$91="")*(M$3:M$91="P")*(G$3:G$91=G85)*(J$3:J$91&lt;J85)*(H$3:H$91&lt;&gt;H85)*(I$3:I$91="P")),-1*SUMPRODUCT((P$3:P$91="")*(O$3:O$91="")*(N$3:N$91="")*(M$3:M$91="P")*(G$3:G$91=G85)*(J$3:J$91&gt;J85)*(H$3:H$91="L5")*(I$3:I$91="P")))+1,"")))))</f>
        <v/>
      </c>
      <c r="B85" s="1" t="str" cm="1">
        <f t="array" ref="B85">IF(P85&lt;&gt;"",SUMPRODUCT((P$3:P$91&lt;&gt;"")*(G$3:G$91=G85)*(J$3:J$91&gt;J85))+1,IF(O85&lt;&gt;"",SUMPRODUCT((O$3:O$91&lt;&gt;"")*(P$3:P$91="")*(G$3:G$91=G85)*(J$3:J$91&gt;J85))+SUMPRODUCT((P$3:P$91&lt;&gt;"")*(G$3:G$91=G85))+1,IF(N85&lt;&gt;"",SUMPRODUCT((N$3:N$91&lt;&gt;"")*(G$3:G$91=G85)*(J$3:J$91&gt;J85))+1,IF(M85="P",SUMPRODUCT((O$3:O$91&lt;&gt;"")*(P$3:P$91="")*(G$3:G$91=G85))+SUMPRODUCT((P$3:P$91&lt;&gt;"")*(G$3:G$91=G85))+SUMPRODUCT((N$3:N$91&lt;&gt;"")*(G$3:G$91=G85))+SUMPRODUCT((P$3:P$91="")*(O$3:O$91="")*(N$3:N$91="")*(M$3:M$91="P")*(G$3:G$91=G85)*(J$3:J$91&gt;J85))+IF(H85="L5",SUMPRODUCT((P$3:P$91="")*(O$3:O$91="")*(N$3:N$91="")*(M$3:M$91="P")*(G$3:G$91=G85)*(J$3:J$91&lt;J85)*(H$3:H$91&lt;&gt;H85)),-1*SUMPRODUCT((P$3:P$91="")*(O$3:O$91="")*(N$3:N$91="")*(M$3:M$91="P")*(G$3:G$91=G85)*(J$3:J$91&gt;J85)*(H$3:H$91="L5")))+1,""))))</f>
        <v/>
      </c>
      <c r="C85" s="35" t="s">
        <v>392</v>
      </c>
      <c r="D85" t="str">
        <f>IF(E85="","",VLOOKUP(E85,'Coaching Points'!A:B,2,0))</f>
        <v>QC</v>
      </c>
      <c r="E85" s="35" t="s">
        <v>72</v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IF(AND(B85&lt;5,I85="P"),IF(_xlfn.MAXIFS(B:B,G:G,G85)&gt;3,5-B85,_xlfn.MAXIFS(B:B,G:G,G85)+1-B85),"")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$91&lt;&gt;"")*(G$3:G$91=G86)*(J$3:J$91&gt;J86)*(I$3:I$91="P"))+1,IF(O86&lt;&gt;"",SUMPRODUCT((O$3:O$91&lt;&gt;"")*(P$3:P$91="")*(G$3:G$91=G86)*(J$3:J$91&gt;J86)*(I$3:I$91="P"))+SUMPRODUCT((P$3:P$91&lt;&gt;"")*(G$3:G$91=G86)*(I$3:I$91="P"))+1,IF(N86&lt;&gt;"",SUMPRODUCT((N$3:N$91&lt;&gt;"")*(G$3:G$91=G86)*(J$3:J$91&gt;J86)*(I$3:I$91="P"))+1,IF(M86="P",SUMPRODUCT((O$3:O$91&lt;&gt;"")*(P$3:P$91="")*(G$3:G$91=G86)*(I$3:I$91="P"))+SUMPRODUCT((P$3:P$91&lt;&gt;"")*(G$3:G$91=G86)*(I$3:I$91="P"))+SUMPRODUCT((N$3:N$91&lt;&gt;"")*(G$3:G$91=G86)*(I$3:I$91="P"))+SUMPRODUCT((P$3:P$91="")*(O$3:O$91="")*(N$3:N$91="")*(M$3:M$91="P")*(G$3:G$91=G86)*(J$3:J$91&gt;J86)*(I$3:I$91="P"))+IF(H86="L5",SUMPRODUCT((P$3:P$91="")*(O$3:O$91="")*(N$3:N$91="")*(M$3:M$91="P")*(G$3:G$91=G86)*(J$3:J$91&lt;J86)*(H$3:H$91&lt;&gt;H86)*(I$3:I$91="P")),-1*SUMPRODUCT((P$3:P$91="")*(O$3:O$91="")*(N$3:N$91="")*(M$3:M$91="P")*(G$3:G$91=G86)*(J$3:J$91&gt;J86)*(H$3:H$91="L5")*(I$3:I$91="P")))+1,"")))))</f>
        <v/>
      </c>
      <c r="B86" s="1" t="str" cm="1">
        <f t="array" ref="B86">IF(P86&lt;&gt;"",SUMPRODUCT((P$3:P$91&lt;&gt;"")*(G$3:G$91=G86)*(J$3:J$91&gt;J86))+1,IF(O86&lt;&gt;"",SUMPRODUCT((O$3:O$91&lt;&gt;"")*(P$3:P$91="")*(G$3:G$91=G86)*(J$3:J$91&gt;J86))+SUMPRODUCT((P$3:P$91&lt;&gt;"")*(G$3:G$91=G86))+1,IF(N86&lt;&gt;"",SUMPRODUCT((N$3:N$91&lt;&gt;"")*(G$3:G$91=G86)*(J$3:J$91&gt;J86))+1,IF(M86="P",SUMPRODUCT((O$3:O$91&lt;&gt;"")*(P$3:P$91="")*(G$3:G$91=G86))+SUMPRODUCT((P$3:P$91&lt;&gt;"")*(G$3:G$91=G86))+SUMPRODUCT((N$3:N$91&lt;&gt;"")*(G$3:G$91=G86))+SUMPRODUCT((P$3:P$91="")*(O$3:O$91="")*(N$3:N$91="")*(M$3:M$91="P")*(G$3:G$91=G86)*(J$3:J$91&gt;J86))+IF(H86="L5",SUMPRODUCT((P$3:P$91="")*(O$3:O$91="")*(N$3:N$91="")*(M$3:M$91="P")*(G$3:G$91=G86)*(J$3:J$91&lt;J86)*(H$3:H$91&lt;&gt;H86)),-1*SUMPRODUCT((P$3:P$91="")*(O$3:O$91="")*(N$3:N$91="")*(M$3:M$91="P")*(G$3:G$91=G86)*(J$3:J$91&gt;J86)*(H$3:H$91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IF(AND(B86&lt;5,I86="P"),IF(_xlfn.MAXIFS(B:B,G:G,G86)&gt;3,5-B86,_xlfn.MAXIFS(B:B,G:G,G86)+1-B86),"")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$91&lt;&gt;"")*(G$3:G$91=G87)*(J$3:J$91&gt;J87)*(I$3:I$91="P"))+1,IF(O87&lt;&gt;"",SUMPRODUCT((O$3:O$91&lt;&gt;"")*(P$3:P$91="")*(G$3:G$91=G87)*(J$3:J$91&gt;J87)*(I$3:I$91="P"))+SUMPRODUCT((P$3:P$91&lt;&gt;"")*(G$3:G$91=G87)*(I$3:I$91="P"))+1,IF(N87&lt;&gt;"",SUMPRODUCT((N$3:N$91&lt;&gt;"")*(G$3:G$91=G87)*(J$3:J$91&gt;J87)*(I$3:I$91="P"))+1,IF(M87="P",SUMPRODUCT((O$3:O$91&lt;&gt;"")*(P$3:P$91="")*(G$3:G$91=G87)*(I$3:I$91="P"))+SUMPRODUCT((P$3:P$91&lt;&gt;"")*(G$3:G$91=G87)*(I$3:I$91="P"))+SUMPRODUCT((N$3:N$91&lt;&gt;"")*(G$3:G$91=G87)*(I$3:I$91="P"))+SUMPRODUCT((P$3:P$91="")*(O$3:O$91="")*(N$3:N$91="")*(M$3:M$91="P")*(G$3:G$91=G87)*(J$3:J$91&gt;J87)*(I$3:I$91="P"))+IF(H87="L5",SUMPRODUCT((P$3:P$91="")*(O$3:O$91="")*(N$3:N$91="")*(M$3:M$91="P")*(G$3:G$91=G87)*(J$3:J$91&lt;J87)*(H$3:H$91&lt;&gt;H87)*(I$3:I$91="P")),-1*SUMPRODUCT((P$3:P$91="")*(O$3:O$91="")*(N$3:N$91="")*(M$3:M$91="P")*(G$3:G$91=G87)*(J$3:J$91&gt;J87)*(H$3:H$91="L5")*(I$3:I$91="P")))+1,"")))))</f>
        <v/>
      </c>
      <c r="B87" s="1" t="str" cm="1">
        <f t="array" ref="B87">IF(P87&lt;&gt;"",SUMPRODUCT((P$3:P$91&lt;&gt;"")*(G$3:G$91=G87)*(J$3:J$91&gt;J87))+1,IF(O87&lt;&gt;"",SUMPRODUCT((O$3:O$91&lt;&gt;"")*(P$3:P$91="")*(G$3:G$91=G87)*(J$3:J$91&gt;J87))+SUMPRODUCT((P$3:P$91&lt;&gt;"")*(G$3:G$91=G87))+1,IF(N87&lt;&gt;"",SUMPRODUCT((N$3:N$91&lt;&gt;"")*(G$3:G$91=G87)*(J$3:J$91&gt;J87))+1,IF(M87="P",SUMPRODUCT((O$3:O$91&lt;&gt;"")*(P$3:P$91="")*(G$3:G$91=G87))+SUMPRODUCT((P$3:P$91&lt;&gt;"")*(G$3:G$91=G87))+SUMPRODUCT((N$3:N$91&lt;&gt;"")*(G$3:G$91=G87))+SUMPRODUCT((P$3:P$91="")*(O$3:O$91="")*(N$3:N$91="")*(M$3:M$91="P")*(G$3:G$91=G87)*(J$3:J$91&gt;J87))+IF(H87="L5",SUMPRODUCT((P$3:P$91="")*(O$3:O$91="")*(N$3:N$91="")*(M$3:M$91="P")*(G$3:G$91=G87)*(J$3:J$91&lt;J87)*(H$3:H$91&lt;&gt;H87)),-1*SUMPRODUCT((P$3:P$91="")*(O$3:O$91="")*(N$3:N$91="")*(M$3:M$91="P")*(G$3:G$91=G87)*(J$3:J$91&gt;J87)*(H$3:H$91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IF(AND(B87&lt;5,I87="P"),IF(_xlfn.MAXIFS(B:B,G:G,G87)&gt;3,5-B87,_xlfn.MAXIFS(B:B,G:G,G87)+1-B87),"")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cm="1">
        <f t="array" ref="A88">IF(I88="","",IF(P88&lt;&gt;"",SUMPRODUCT((P$3:P$91&lt;&gt;"")*(G$3:G$91=G88)*(J$3:J$91&gt;J88)*(I$3:I$91="P"))+1,IF(O88&lt;&gt;"",SUMPRODUCT((O$3:O$91&lt;&gt;"")*(P$3:P$91="")*(G$3:G$91=G88)*(J$3:J$91&gt;J88)*(I$3:I$91="P"))+SUMPRODUCT((P$3:P$91&lt;&gt;"")*(G$3:G$91=G88)*(I$3:I$91="P"))+1,IF(N88&lt;&gt;"",SUMPRODUCT((N$3:N$91&lt;&gt;"")*(G$3:G$91=G88)*(J$3:J$91&gt;J88)*(I$3:I$91="P"))+1,IF(M88="P",SUMPRODUCT((O$3:O$91&lt;&gt;"")*(P$3:P$91="")*(G$3:G$91=G88)*(I$3:I$91="P"))+SUMPRODUCT((P$3:P$91&lt;&gt;"")*(G$3:G$91=G88)*(I$3:I$91="P"))+SUMPRODUCT((N$3:N$91&lt;&gt;"")*(G$3:G$91=G88)*(I$3:I$91="P"))+SUMPRODUCT((P$3:P$91="")*(O$3:O$91="")*(N$3:N$91="")*(M$3:M$91="P")*(G$3:G$91=G88)*(J$3:J$91&gt;J88)*(I$3:I$91="P"))+IF(H88="L5",SUMPRODUCT((P$3:P$91="")*(O$3:O$91="")*(N$3:N$91="")*(M$3:M$91="P")*(G$3:G$91=G88)*(J$3:J$91&lt;J88)*(H$3:H$91&lt;&gt;H88)*(I$3:I$91="P")),-1*SUMPRODUCT((P$3:P$91="")*(O$3:O$91="")*(N$3:N$91="")*(M$3:M$91="P")*(G$3:G$91=G88)*(J$3:J$91&gt;J88)*(H$3:H$91="L5")*(I$3:I$91="P")))+1,"")))))</f>
        <v>1</v>
      </c>
      <c r="B88" s="1" cm="1">
        <f t="array" ref="B88">IF(P88&lt;&gt;"",SUMPRODUCT((P$3:P$91&lt;&gt;"")*(G$3:G$91=G88)*(J$3:J$91&gt;J88))+1,IF(O88&lt;&gt;"",SUMPRODUCT((O$3:O$91&lt;&gt;"")*(P$3:P$91="")*(G$3:G$91=G88)*(J$3:J$91&gt;J88))+SUMPRODUCT((P$3:P$91&lt;&gt;"")*(G$3:G$91=G88))+1,IF(N88&lt;&gt;"",SUMPRODUCT((N$3:N$91&lt;&gt;"")*(G$3:G$91=G88)*(J$3:J$91&gt;J88))+1,IF(M88="P",SUMPRODUCT((O$3:O$91&lt;&gt;"")*(P$3:P$91="")*(G$3:G$91=G88))+SUMPRODUCT((P$3:P$91&lt;&gt;"")*(G$3:G$91=G88))+SUMPRODUCT((N$3:N$91&lt;&gt;"")*(G$3:G$91=G88))+SUMPRODUCT((P$3:P$91="")*(O$3:O$91="")*(N$3:N$91="")*(M$3:M$91="P")*(G$3:G$91=G88)*(J$3:J$91&gt;J88))+IF(H88="L5",SUMPRODUCT((P$3:P$91="")*(O$3:O$91="")*(N$3:N$91="")*(M$3:M$91="P")*(G$3:G$91=G88)*(J$3:J$91&lt;J88)*(H$3:H$91&lt;&gt;H88)),-1*SUMPRODUCT((P$3:P$91="")*(O$3:O$91="")*(N$3:N$91="")*(M$3:M$91="P")*(G$3:G$91=G88)*(J$3:J$91&gt;J88)*(H$3:H$91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 t="s">
        <v>507</v>
      </c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>
        <f>IF(AND(B88&lt;5,I88="P"),IF(_xlfn.MAXIFS(B:B,G:G,G88)&gt;3,5-B88,_xlfn.MAXIFS(B:B,G:G,G88)+1-B88),"")</f>
        <v>1</v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$91&lt;&gt;"")*(G$3:G$91=G89)*(J$3:J$91&gt;J89)*(I$3:I$91="P"))+1,IF(O89&lt;&gt;"",SUMPRODUCT((O$3:O$91&lt;&gt;"")*(P$3:P$91="")*(G$3:G$91=G89)*(J$3:J$91&gt;J89)*(I$3:I$91="P"))+SUMPRODUCT((P$3:P$91&lt;&gt;"")*(G$3:G$91=G89)*(I$3:I$91="P"))+1,IF(N89&lt;&gt;"",SUMPRODUCT((N$3:N$91&lt;&gt;"")*(G$3:G$91=G89)*(J$3:J$91&gt;J89)*(I$3:I$91="P"))+1,IF(M89="P",SUMPRODUCT((O$3:O$91&lt;&gt;"")*(P$3:P$91="")*(G$3:G$91=G89)*(I$3:I$91="P"))+SUMPRODUCT((P$3:P$91&lt;&gt;"")*(G$3:G$91=G89)*(I$3:I$91="P"))+SUMPRODUCT((N$3:N$91&lt;&gt;"")*(G$3:G$91=G89)*(I$3:I$91="P"))+SUMPRODUCT((P$3:P$91="")*(O$3:O$91="")*(N$3:N$91="")*(M$3:M$91="P")*(G$3:G$91=G89)*(J$3:J$91&gt;J89)*(I$3:I$91="P"))+IF(H89="L5",SUMPRODUCT((P$3:P$91="")*(O$3:O$91="")*(N$3:N$91="")*(M$3:M$91="P")*(G$3:G$91=G89)*(J$3:J$91&lt;J89)*(H$3:H$91&lt;&gt;H89)*(I$3:I$91="P")),-1*SUMPRODUCT((P$3:P$91="")*(O$3:O$91="")*(N$3:N$91="")*(M$3:M$91="P")*(G$3:G$91=G89)*(J$3:J$91&gt;J89)*(H$3:H$91="L5")*(I$3:I$91="P")))+1,"")))))</f>
        <v/>
      </c>
      <c r="B89" s="1" t="str" cm="1">
        <f t="array" ref="B89">IF(P89&lt;&gt;"",SUMPRODUCT((P$3:P$91&lt;&gt;"")*(G$3:G$91=G89)*(J$3:J$91&gt;J89))+1,IF(O89&lt;&gt;"",SUMPRODUCT((O$3:O$91&lt;&gt;"")*(P$3:P$91="")*(G$3:G$91=G89)*(J$3:J$91&gt;J89))+SUMPRODUCT((P$3:P$91&lt;&gt;"")*(G$3:G$91=G89))+1,IF(N89&lt;&gt;"",SUMPRODUCT((N$3:N$91&lt;&gt;"")*(G$3:G$91=G89)*(J$3:J$91&gt;J89))+1,IF(M89="P",SUMPRODUCT((O$3:O$91&lt;&gt;"")*(P$3:P$91="")*(G$3:G$91=G89))+SUMPRODUCT((P$3:P$91&lt;&gt;"")*(G$3:G$91=G89))+SUMPRODUCT((N$3:N$91&lt;&gt;"")*(G$3:G$91=G89))+SUMPRODUCT((P$3:P$91="")*(O$3:O$91="")*(N$3:N$91="")*(M$3:M$91="P")*(G$3:G$91=G89)*(J$3:J$91&gt;J89))+IF(H89="L5",SUMPRODUCT((P$3:P$91="")*(O$3:O$91="")*(N$3:N$91="")*(M$3:M$91="P")*(G$3:G$91=G89)*(J$3:J$91&lt;J89)*(H$3:H$91&lt;&gt;H89)),-1*SUMPRODUCT((P$3:P$91="")*(O$3:O$91="")*(N$3:N$91="")*(M$3:M$91="P")*(G$3:G$91=G89)*(J$3:J$91&gt;J89)*(H$3:H$91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IF(AND(B89&lt;5,I89="P"),IF(_xlfn.MAXIFS(B:B,G:G,G89)&gt;3,5-B89,_xlfn.MAXIFS(B:B,G:G,G89)+1-B89),"")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$91&lt;&gt;"")*(G$3:G$91=G90)*(J$3:J$91&gt;J90)*(I$3:I$91="P"))+1,IF(O90&lt;&gt;"",SUMPRODUCT((O$3:O$91&lt;&gt;"")*(P$3:P$91="")*(G$3:G$91=G90)*(J$3:J$91&gt;J90)*(I$3:I$91="P"))+SUMPRODUCT((P$3:P$91&lt;&gt;"")*(G$3:G$91=G90)*(I$3:I$91="P"))+1,IF(N90&lt;&gt;"",SUMPRODUCT((N$3:N$91&lt;&gt;"")*(G$3:G$91=G90)*(J$3:J$91&gt;J90)*(I$3:I$91="P"))+1,IF(M90="P",SUMPRODUCT((O$3:O$91&lt;&gt;"")*(P$3:P$91="")*(G$3:G$91=G90)*(I$3:I$91="P"))+SUMPRODUCT((P$3:P$91&lt;&gt;"")*(G$3:G$91=G90)*(I$3:I$91="P"))+SUMPRODUCT((N$3:N$91&lt;&gt;"")*(G$3:G$91=G90)*(I$3:I$91="P"))+SUMPRODUCT((P$3:P$91="")*(O$3:O$91="")*(N$3:N$91="")*(M$3:M$91="P")*(G$3:G$91=G90)*(J$3:J$91&gt;J90)*(I$3:I$91="P"))+IF(H90="L5",SUMPRODUCT((P$3:P$91="")*(O$3:O$91="")*(N$3:N$91="")*(M$3:M$91="P")*(G$3:G$91=G90)*(J$3:J$91&lt;J90)*(H$3:H$91&lt;&gt;H90)*(I$3:I$91="P")),-1*SUMPRODUCT((P$3:P$91="")*(O$3:O$91="")*(N$3:N$91="")*(M$3:M$91="P")*(G$3:G$91=G90)*(J$3:J$91&gt;J90)*(H$3:H$91="L5")*(I$3:I$91="P")))+1,"")))))</f>
        <v/>
      </c>
      <c r="B90" s="1" t="str" cm="1">
        <f t="array" ref="B90">IF(P90&lt;&gt;"",SUMPRODUCT((P$3:P$91&lt;&gt;"")*(G$3:G$91=G90)*(J$3:J$91&gt;J90))+1,IF(O90&lt;&gt;"",SUMPRODUCT((O$3:O$91&lt;&gt;"")*(P$3:P$91="")*(G$3:G$91=G90)*(J$3:J$91&gt;J90))+SUMPRODUCT((P$3:P$91&lt;&gt;"")*(G$3:G$91=G90))+1,IF(N90&lt;&gt;"",SUMPRODUCT((N$3:N$91&lt;&gt;"")*(G$3:G$91=G90)*(J$3:J$91&gt;J90))+1,IF(M90="P",SUMPRODUCT((O$3:O$91&lt;&gt;"")*(P$3:P$91="")*(G$3:G$91=G90))+SUMPRODUCT((P$3:P$91&lt;&gt;"")*(G$3:G$91=G90))+SUMPRODUCT((N$3:N$91&lt;&gt;"")*(G$3:G$91=G90))+SUMPRODUCT((P$3:P$91="")*(O$3:O$91="")*(N$3:N$91="")*(M$3:M$91="P")*(G$3:G$91=G90)*(J$3:J$91&gt;J90))+IF(H90="L5",SUMPRODUCT((P$3:P$91="")*(O$3:O$91="")*(N$3:N$91="")*(M$3:M$91="P")*(G$3:G$91=G90)*(J$3:J$91&lt;J90)*(H$3:H$91&lt;&gt;H90)),-1*SUMPRODUCT((P$3:P$91="")*(O$3:O$91="")*(N$3:N$91="")*(M$3:M$91="P")*(G$3:G$91=G90)*(J$3:J$91&gt;J90)*(H$3:H$91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IF(AND(B90&lt;5,I90="P"),IF(_xlfn.MAXIFS(B:B,G:G,G90)&gt;3,5-B90,_xlfn.MAXIFS(B:B,G:G,G90)+1-B90),"")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$91&lt;&gt;"")*(G$3:G$91=G91)*(J$3:J$91&gt;J91)*(I$3:I$91="P"))+1,IF(O91&lt;&gt;"",SUMPRODUCT((O$3:O$91&lt;&gt;"")*(P$3:P$91="")*(G$3:G$91=G91)*(J$3:J$91&gt;J91)*(I$3:I$91="P"))+SUMPRODUCT((P$3:P$91&lt;&gt;"")*(G$3:G$91=G91)*(I$3:I$91="P"))+1,IF(N91&lt;&gt;"",SUMPRODUCT((N$3:N$91&lt;&gt;"")*(G$3:G$91=G91)*(J$3:J$91&gt;J91)*(I$3:I$91="P"))+1,IF(M91="P",SUMPRODUCT((O$3:O$91&lt;&gt;"")*(P$3:P$91="")*(G$3:G$91=G91)*(I$3:I$91="P"))+SUMPRODUCT((P$3:P$91&lt;&gt;"")*(G$3:G$91=G91)*(I$3:I$91="P"))+SUMPRODUCT((N$3:N$91&lt;&gt;"")*(G$3:G$91=G91)*(I$3:I$91="P"))+SUMPRODUCT((P$3:P$91="")*(O$3:O$91="")*(N$3:N$91="")*(M$3:M$91="P")*(G$3:G$91=G91)*(J$3:J$91&gt;J91)*(I$3:I$91="P"))+IF(H91="L5",SUMPRODUCT((P$3:P$91="")*(O$3:O$91="")*(N$3:N$91="")*(M$3:M$91="P")*(G$3:G$91=G91)*(J$3:J$91&lt;J91)*(H$3:H$91&lt;&gt;H91)*(I$3:I$91="P")),-1*SUMPRODUCT((P$3:P$91="")*(O$3:O$91="")*(N$3:N$91="")*(M$3:M$91="P")*(G$3:G$91=G91)*(J$3:J$91&gt;J91)*(H$3:H$91="L5")*(I$3:I$91="P")))+1,"")))))</f>
        <v/>
      </c>
      <c r="B91" s="1" t="str" cm="1">
        <f t="array" ref="B91">IF(P91&lt;&gt;"",SUMPRODUCT((P$3:P$91&lt;&gt;"")*(G$3:G$91=G91)*(J$3:J$91&gt;J91))+1,IF(O91&lt;&gt;"",SUMPRODUCT((O$3:O$91&lt;&gt;"")*(P$3:P$91="")*(G$3:G$91=G91)*(J$3:J$91&gt;J91))+SUMPRODUCT((P$3:P$91&lt;&gt;"")*(G$3:G$91=G91))+1,IF(N91&lt;&gt;"",SUMPRODUCT((N$3:N$91&lt;&gt;"")*(G$3:G$91=G91)*(J$3:J$91&gt;J91))+1,IF(M91="P",SUMPRODUCT((O$3:O$91&lt;&gt;"")*(P$3:P$91="")*(G$3:G$91=G91))+SUMPRODUCT((P$3:P$91&lt;&gt;"")*(G$3:G$91=G91))+SUMPRODUCT((N$3:N$91&lt;&gt;"")*(G$3:G$91=G91))+SUMPRODUCT((P$3:P$91="")*(O$3:O$91="")*(N$3:N$91="")*(M$3:M$91="P")*(G$3:G$91=G91)*(J$3:J$91&gt;J91))+IF(H91="L5",SUMPRODUCT((P$3:P$91="")*(O$3:O$91="")*(N$3:N$91="")*(M$3:M$91="P")*(G$3:G$91=G91)*(J$3:J$91&lt;J91)*(H$3:H$91&lt;&gt;H91)),-1*SUMPRODUCT((P$3:P$91="")*(O$3:O$91="")*(N$3:N$91="")*(M$3:M$91="P")*(G$3:G$91=G91)*(J$3:J$91&gt;J91)*(H$3:H$91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IF(AND(B91&lt;5,I91="P"),IF(_xlfn.MAXIFS(B:B,G:G,G91)&gt;3,5-B91,_xlfn.MAXIFS(B:B,G:G,G91)+1-B91),"")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cm="1">
        <f t="array" ref="A3">IF(I3="","",IF(P3&lt;&gt;"",SUMPRODUCT((P$3:P$102&lt;&gt;"")*(G$3:G$102=G3)*(J$3:J$102&gt;J3)*(I$3:I$102="P"))+1,IF(O3&lt;&gt;"",SUMPRODUCT((O$3:O$102&lt;&gt;"")*(P$3:P$102="")*(G$3:G$102=G3)*(J$3:J$102&gt;J3)*(I$3:I$102="P"))+SUMPRODUCT((P$3:P$102&lt;&gt;"")*(G$3:G$102=G3)*(I$3:I$102="P"))+1,IF(N3&lt;&gt;"",SUMPRODUCT((N$3:N$102&lt;&gt;"")*(G$3:G$102=G3)*(J$3:J$102&gt;J3)*(I$3:I$102="P"))+1,IF(M3="P",SUMPRODUCT((O$3:O$102&lt;&gt;"")*(P$3:P$102="")*(G$3:G$102=G3)*(I$3:I$102="P"))+SUMPRODUCT((P$3:P$102&lt;&gt;"")*(G$3:G$102=G3)*(I$3:I$102="P"))+SUMPRODUCT((N$3:N$102&lt;&gt;"")*(G$3:G$102=G3)*(I$3:I$102="P"))+SUMPRODUCT((P$3:P$102="")*(O$3:O$102="")*(N$3:N$102="")*(M$3:M$102="P")*(G$3:G$102=G3)*(J$3:J$102&gt;J3)*(I$3:I$102="P"))+IF(H3="L5",SUMPRODUCT((P$3:P$102="")*(O$3:O$102="")*(N$3:N$102="")*(M$3:M$102="P")*(G$3:G$102=G3)*(J$3:J$102&lt;J3)*(H$3:H$102&lt;&gt;H3)*(I$3:I$102="P")),-1*SUMPRODUCT((P$3:P$102="")*(O$3:O$102="")*(N$3:N$102="")*(M$3:M$102="P")*(G$3:G$102=G3)*(J$3:J$102&gt;J3)*(H$3:H$102="L5")*(I$3:I$102="P")))+1,"")))))</f>
        <v>1</v>
      </c>
      <c r="B3" s="1" cm="1">
        <f t="array" ref="B3">IF(P3&lt;&gt;"",SUMPRODUCT((P$3:P$102&lt;&gt;"")*(G$3:G$102=G3)*(J$3:J$102&gt;J3))+1,IF(O3&lt;&gt;"",SUMPRODUCT((O$3:O$102&lt;&gt;"")*(P$3:P$102="")*(G$3:G$102=G3)*(J$3:J$102&gt;J3))+SUMPRODUCT((P$3:P$102&lt;&gt;"")*(G$3:G$102=G3))+1,IF(N3&lt;&gt;"",SUMPRODUCT((N$3:N$102&lt;&gt;"")*(G$3:G$102=G3)*(J$3:J$102&gt;J3))+1,IF(M3="P",SUMPRODUCT((O$3:O$102&lt;&gt;"")*(P$3:P$102="")*(G$3:G$102=G3))+SUMPRODUCT((P$3:P$102&lt;&gt;"")*(G$3:G$102=G3))+SUMPRODUCT((N$3:N$102&lt;&gt;"")*(G$3:G$102=G3))+SUMPRODUCT((P$3:P$102="")*(O$3:O$102="")*(N$3:N$102="")*(M$3:M$102="P")*(G$3:G$102=G3)*(J$3:J$102&gt;J3))+IF(H3="L5",SUMPRODUCT((P$3:P$102="")*(O$3:O$102="")*(N$3:N$102="")*(M$3:M$102="P")*(G$3:G$102=G3)*(J$3:J$102&lt;J3)*(H$3:H$102&lt;&gt;H3)),-1*SUMPRODUCT((P$3:P$102="")*(O$3:O$102="")*(N$3:N$102="")*(M$3:M$102="P")*(G$3:G$102=G3)*(J$3:J$102&gt;J3)*(H$3:H$102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>
        <f>IF(AND(B3&lt;5,I3="P"),IF(_xlfn.MAXIFS(B:B,G:G,G3)&gt;3,5-B3,_xlfn.MAXIFS(B:B,G:G,G3)+1-B3),"")</f>
        <v>4</v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cm="1">
        <f t="array" ref="A4">IF(I4="","",IF(P4&lt;&gt;"",SUMPRODUCT((P$3:P$102&lt;&gt;"")*(G$3:G$102=G4)*(J$3:J$102&gt;J4)*(I$3:I$102="P"))+1,IF(O4&lt;&gt;"",SUMPRODUCT((O$3:O$102&lt;&gt;"")*(P$3:P$102="")*(G$3:G$102=G4)*(J$3:J$102&gt;J4)*(I$3:I$102="P"))+SUMPRODUCT((P$3:P$102&lt;&gt;"")*(G$3:G$102=G4)*(I$3:I$102="P"))+1,IF(N4&lt;&gt;"",SUMPRODUCT((N$3:N$102&lt;&gt;"")*(G$3:G$102=G4)*(J$3:J$102&gt;J4)*(I$3:I$102="P"))+1,IF(M4="P",SUMPRODUCT((O$3:O$102&lt;&gt;"")*(P$3:P$102="")*(G$3:G$102=G4)*(I$3:I$102="P"))+SUMPRODUCT((P$3:P$102&lt;&gt;"")*(G$3:G$102=G4)*(I$3:I$102="P"))+SUMPRODUCT((N$3:N$102&lt;&gt;"")*(G$3:G$102=G4)*(I$3:I$102="P"))+SUMPRODUCT((P$3:P$102="")*(O$3:O$102="")*(N$3:N$102="")*(M$3:M$102="P")*(G$3:G$102=G4)*(J$3:J$102&gt;J4)*(I$3:I$102="P"))+IF(H4="L5",SUMPRODUCT((P$3:P$102="")*(O$3:O$102="")*(N$3:N$102="")*(M$3:M$102="P")*(G$3:G$102=G4)*(J$3:J$102&lt;J4)*(H$3:H$102&lt;&gt;H4)*(I$3:I$102="P")),-1*SUMPRODUCT((P$3:P$102="")*(O$3:O$102="")*(N$3:N$102="")*(M$3:M$102="P")*(G$3:G$102=G4)*(J$3:J$102&gt;J4)*(H$3:H$102="L5")*(I$3:I$102="P")))+1,"")))))</f>
        <v>2</v>
      </c>
      <c r="B4" s="1" cm="1">
        <f t="array" ref="B4">IF(P4&lt;&gt;"",SUMPRODUCT((P$3:P$102&lt;&gt;"")*(G$3:G$102=G4)*(J$3:J$102&gt;J4))+1,IF(O4&lt;&gt;"",SUMPRODUCT((O$3:O$102&lt;&gt;"")*(P$3:P$102="")*(G$3:G$102=G4)*(J$3:J$102&gt;J4))+SUMPRODUCT((P$3:P$102&lt;&gt;"")*(G$3:G$102=G4))+1,IF(N4&lt;&gt;"",SUMPRODUCT((N$3:N$102&lt;&gt;"")*(G$3:G$102=G4)*(J$3:J$102&gt;J4))+1,IF(M4="P",SUMPRODUCT((O$3:O$102&lt;&gt;"")*(P$3:P$102="")*(G$3:G$102=G4))+SUMPRODUCT((P$3:P$102&lt;&gt;"")*(G$3:G$102=G4))+SUMPRODUCT((N$3:N$102&lt;&gt;"")*(G$3:G$102=G4))+SUMPRODUCT((P$3:P$102="")*(O$3:O$102="")*(N$3:N$102="")*(M$3:M$102="P")*(G$3:G$102=G4)*(J$3:J$102&gt;J4))+IF(H4="L5",SUMPRODUCT((P$3:P$102="")*(O$3:O$102="")*(N$3:N$102="")*(M$3:M$102="P")*(G$3:G$102=G4)*(J$3:J$102&lt;J4)*(H$3:H$102&lt;&gt;H4)),-1*SUMPRODUCT((P$3:P$102="")*(O$3:O$102="")*(N$3:N$102="")*(M$3:M$102="P")*(G$3:G$102=G4)*(J$3:J$102&gt;J4)*(H$3:H$102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>
        <f>IF(AND(B4&lt;5,I4="P"),IF(_xlfn.MAXIFS(B:B,G:G,G4)&gt;3,5-B4,_xlfn.MAXIFS(B:B,G:G,G4)+1-B4),"")</f>
        <v>3</v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cm="1">
        <f t="array" ref="A5">IF(I5="","",IF(P5&lt;&gt;"",SUMPRODUCT((P$3:P$102&lt;&gt;"")*(G$3:G$102=G5)*(J$3:J$102&gt;J5)*(I$3:I$102="P"))+1,IF(O5&lt;&gt;"",SUMPRODUCT((O$3:O$102&lt;&gt;"")*(P$3:P$102="")*(G$3:G$102=G5)*(J$3:J$102&gt;J5)*(I$3:I$102="P"))+SUMPRODUCT((P$3:P$102&lt;&gt;"")*(G$3:G$102=G5)*(I$3:I$102="P"))+1,IF(N5&lt;&gt;"",SUMPRODUCT((N$3:N$102&lt;&gt;"")*(G$3:G$102=G5)*(J$3:J$102&gt;J5)*(I$3:I$102="P"))+1,IF(M5="P",SUMPRODUCT((O$3:O$102&lt;&gt;"")*(P$3:P$102="")*(G$3:G$102=G5)*(I$3:I$102="P"))+SUMPRODUCT((P$3:P$102&lt;&gt;"")*(G$3:G$102=G5)*(I$3:I$102="P"))+SUMPRODUCT((N$3:N$102&lt;&gt;"")*(G$3:G$102=G5)*(I$3:I$102="P"))+SUMPRODUCT((P$3:P$102="")*(O$3:O$102="")*(N$3:N$102="")*(M$3:M$102="P")*(G$3:G$102=G5)*(J$3:J$102&gt;J5)*(I$3:I$102="P"))+IF(H5="L5",SUMPRODUCT((P$3:P$102="")*(O$3:O$102="")*(N$3:N$102="")*(M$3:M$102="P")*(G$3:G$102=G5)*(J$3:J$102&lt;J5)*(H$3:H$102&lt;&gt;H5)*(I$3:I$102="P")),-1*SUMPRODUCT((P$3:P$102="")*(O$3:O$102="")*(N$3:N$102="")*(M$3:M$102="P")*(G$3:G$102=G5)*(J$3:J$102&gt;J5)*(H$3:H$102="L5")*(I$3:I$102="P")))+1,"")))))</f>
        <v>3</v>
      </c>
      <c r="B5" s="1" cm="1">
        <f t="array" ref="B5">IF(P5&lt;&gt;"",SUMPRODUCT((P$3:P$102&lt;&gt;"")*(G$3:G$102=G5)*(J$3:J$102&gt;J5))+1,IF(O5&lt;&gt;"",SUMPRODUCT((O$3:O$102&lt;&gt;"")*(P$3:P$102="")*(G$3:G$102=G5)*(J$3:J$102&gt;J5))+SUMPRODUCT((P$3:P$102&lt;&gt;"")*(G$3:G$102=G5))+1,IF(N5&lt;&gt;"",SUMPRODUCT((N$3:N$102&lt;&gt;"")*(G$3:G$102=G5)*(J$3:J$102&gt;J5))+1,IF(M5="P",SUMPRODUCT((O$3:O$102&lt;&gt;"")*(P$3:P$102="")*(G$3:G$102=G5))+SUMPRODUCT((P$3:P$102&lt;&gt;"")*(G$3:G$102=G5))+SUMPRODUCT((N$3:N$102&lt;&gt;"")*(G$3:G$102=G5))+SUMPRODUCT((P$3:P$102="")*(O$3:O$102="")*(N$3:N$102="")*(M$3:M$102="P")*(G$3:G$102=G5)*(J$3:J$102&gt;J5))+IF(H5="L5",SUMPRODUCT((P$3:P$102="")*(O$3:O$102="")*(N$3:N$102="")*(M$3:M$102="P")*(G$3:G$102=G5)*(J$3:J$102&lt;J5)*(H$3:H$102&lt;&gt;H5)),-1*SUMPRODUCT((P$3:P$102="")*(O$3:O$102="")*(N$3:N$102="")*(M$3:M$102="P")*(G$3:G$102=G5)*(J$3:J$102&gt;J5)*(H$3:H$102="L5")))+1,""))))</f>
        <v>3</v>
      </c>
      <c r="C5" s="35" t="s">
        <v>436</v>
      </c>
      <c r="D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>
        <f>IF(AND(B5&lt;5,I5="P"),IF(_xlfn.MAXIFS(B:B,G:G,G5)&gt;3,5-B5,_xlfn.MAXIFS(B:B,G:G,G5)+1-B5),"")</f>
        <v>2</v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cm="1">
        <f t="array" ref="A6">IF(I6="","",IF(P6&lt;&gt;"",SUMPRODUCT((P$3:P$102&lt;&gt;"")*(G$3:G$102=G6)*(J$3:J$102&gt;J6)*(I$3:I$102="P"))+1,IF(O6&lt;&gt;"",SUMPRODUCT((O$3:O$102&lt;&gt;"")*(P$3:P$102="")*(G$3:G$102=G6)*(J$3:J$102&gt;J6)*(I$3:I$102="P"))+SUMPRODUCT((P$3:P$102&lt;&gt;"")*(G$3:G$102=G6)*(I$3:I$102="P"))+1,IF(N6&lt;&gt;"",SUMPRODUCT((N$3:N$102&lt;&gt;"")*(G$3:G$102=G6)*(J$3:J$102&gt;J6)*(I$3:I$102="P"))+1,IF(M6="P",SUMPRODUCT((O$3:O$102&lt;&gt;"")*(P$3:P$102="")*(G$3:G$102=G6)*(I$3:I$102="P"))+SUMPRODUCT((P$3:P$102&lt;&gt;"")*(G$3:G$102=G6)*(I$3:I$102="P"))+SUMPRODUCT((N$3:N$102&lt;&gt;"")*(G$3:G$102=G6)*(I$3:I$102="P"))+SUMPRODUCT((P$3:P$102="")*(O$3:O$102="")*(N$3:N$102="")*(M$3:M$102="P")*(G$3:G$102=G6)*(J$3:J$102&gt;J6)*(I$3:I$102="P"))+IF(H6="L5",SUMPRODUCT((P$3:P$102="")*(O$3:O$102="")*(N$3:N$102="")*(M$3:M$102="P")*(G$3:G$102=G6)*(J$3:J$102&lt;J6)*(H$3:H$102&lt;&gt;H6)*(I$3:I$102="P")),-1*SUMPRODUCT((P$3:P$102="")*(O$3:O$102="")*(N$3:N$102="")*(M$3:M$102="P")*(G$3:G$102=G6)*(J$3:J$102&gt;J6)*(H$3:H$102="L5")*(I$3:I$102="P")))+1,"")))))</f>
        <v>4</v>
      </c>
      <c r="B6" s="1" cm="1">
        <f t="array" ref="B6">IF(P6&lt;&gt;"",SUMPRODUCT((P$3:P$102&lt;&gt;"")*(G$3:G$102=G6)*(J$3:J$102&gt;J6))+1,IF(O6&lt;&gt;"",SUMPRODUCT((O$3:O$102&lt;&gt;"")*(P$3:P$102="")*(G$3:G$102=G6)*(J$3:J$102&gt;J6))+SUMPRODUCT((P$3:P$102&lt;&gt;"")*(G$3:G$102=G6))+1,IF(N6&lt;&gt;"",SUMPRODUCT((N$3:N$102&lt;&gt;"")*(G$3:G$102=G6)*(J$3:J$102&gt;J6))+1,IF(M6="P",SUMPRODUCT((O$3:O$102&lt;&gt;"")*(P$3:P$102="")*(G$3:G$102=G6))+SUMPRODUCT((P$3:P$102&lt;&gt;"")*(G$3:G$102=G6))+SUMPRODUCT((N$3:N$102&lt;&gt;"")*(G$3:G$102=G6))+SUMPRODUCT((P$3:P$102="")*(O$3:O$102="")*(N$3:N$102="")*(M$3:M$102="P")*(G$3:G$102=G6)*(J$3:J$102&gt;J6))+IF(H6="L5",SUMPRODUCT((P$3:P$102="")*(O$3:O$102="")*(N$3:N$102="")*(M$3:M$102="P")*(G$3:G$102=G6)*(J$3:J$102&lt;J6)*(H$3:H$102&lt;&gt;H6)),-1*SUMPRODUCT((P$3:P$102="")*(O$3:O$102="")*(N$3:N$102="")*(M$3:M$102="P")*(G$3:G$102=G6)*(J$3:J$102&gt;J6)*(H$3:H$102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 t="s">
        <v>507</v>
      </c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>
        <f>IF(AND(B6&lt;5,I6="P"),IF(_xlfn.MAXIFS(B:B,G:G,G6)&gt;3,5-B6,_xlfn.MAXIFS(B:B,G:G,G6)+1-B6),"")</f>
        <v>1</v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cm="1">
        <f t="array" ref="A7">IF(I7="","",IF(P7&lt;&gt;"",SUMPRODUCT((P$3:P$102&lt;&gt;"")*(G$3:G$102=G7)*(J$3:J$102&gt;J7)*(I$3:I$102="P"))+1,IF(O7&lt;&gt;"",SUMPRODUCT((O$3:O$102&lt;&gt;"")*(P$3:P$102="")*(G$3:G$102=G7)*(J$3:J$102&gt;J7)*(I$3:I$102="P"))+SUMPRODUCT((P$3:P$102&lt;&gt;"")*(G$3:G$102=G7)*(I$3:I$102="P"))+1,IF(N7&lt;&gt;"",SUMPRODUCT((N$3:N$102&lt;&gt;"")*(G$3:G$102=G7)*(J$3:J$102&gt;J7)*(I$3:I$102="P"))+1,IF(M7="P",SUMPRODUCT((O$3:O$102&lt;&gt;"")*(P$3:P$102="")*(G$3:G$102=G7)*(I$3:I$102="P"))+SUMPRODUCT((P$3:P$102&lt;&gt;"")*(G$3:G$102=G7)*(I$3:I$102="P"))+SUMPRODUCT((N$3:N$102&lt;&gt;"")*(G$3:G$102=G7)*(I$3:I$102="P"))+SUMPRODUCT((P$3:P$102="")*(O$3:O$102="")*(N$3:N$102="")*(M$3:M$102="P")*(G$3:G$102=G7)*(J$3:J$102&gt;J7)*(I$3:I$102="P"))+IF(H7="L5",SUMPRODUCT((P$3:P$102="")*(O$3:O$102="")*(N$3:N$102="")*(M$3:M$102="P")*(G$3:G$102=G7)*(J$3:J$102&lt;J7)*(H$3:H$102&lt;&gt;H7)*(I$3:I$102="P")),-1*SUMPRODUCT((P$3:P$102="")*(O$3:O$102="")*(N$3:N$102="")*(M$3:M$102="P")*(G$3:G$102=G7)*(J$3:J$102&gt;J7)*(H$3:H$102="L5")*(I$3:I$102="P")))+1,"")))))</f>
        <v>5</v>
      </c>
      <c r="B7" s="1" cm="1">
        <f t="array" ref="B7">IF(P7&lt;&gt;"",SUMPRODUCT((P$3:P$102&lt;&gt;"")*(G$3:G$102=G7)*(J$3:J$102&gt;J7))+1,IF(O7&lt;&gt;"",SUMPRODUCT((O$3:O$102&lt;&gt;"")*(P$3:P$102="")*(G$3:G$102=G7)*(J$3:J$102&gt;J7))+SUMPRODUCT((P$3:P$102&lt;&gt;"")*(G$3:G$102=G7))+1,IF(N7&lt;&gt;"",SUMPRODUCT((N$3:N$102&lt;&gt;"")*(G$3:G$102=G7)*(J$3:J$102&gt;J7))+1,IF(M7="P",SUMPRODUCT((O$3:O$102&lt;&gt;"")*(P$3:P$102="")*(G$3:G$102=G7))+SUMPRODUCT((P$3:P$102&lt;&gt;"")*(G$3:G$102=G7))+SUMPRODUCT((N$3:N$102&lt;&gt;"")*(G$3:G$102=G7))+SUMPRODUCT((P$3:P$102="")*(O$3:O$102="")*(N$3:N$102="")*(M$3:M$102="P")*(G$3:G$102=G7)*(J$3:J$102&gt;J7))+IF(H7="L5",SUMPRODUCT((P$3:P$102="")*(O$3:O$102="")*(N$3:N$102="")*(M$3:M$102="P")*(G$3:G$102=G7)*(J$3:J$102&lt;J7)*(H$3:H$102&lt;&gt;H7)),-1*SUMPRODUCT((P$3:P$102="")*(O$3:O$102="")*(N$3:N$102="")*(M$3:M$102="P")*(G$3:G$102=G7)*(J$3:J$102&gt;J7)*(H$3:H$102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 t="s">
        <v>507</v>
      </c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IF(AND(B7&lt;5,I7="P"),IF(_xlfn.MAXIFS(B:B,G:G,G7)&gt;3,5-B7,_xlfn.MAXIFS(B:B,G:G,G7)+1-B7),"")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cm="1">
        <f t="array" ref="A8">IF(I8="","",IF(P8&lt;&gt;"",SUMPRODUCT((P$3:P$102&lt;&gt;"")*(G$3:G$102=G8)*(J$3:J$102&gt;J8)*(I$3:I$102="P"))+1,IF(O8&lt;&gt;"",SUMPRODUCT((O$3:O$102&lt;&gt;"")*(P$3:P$102="")*(G$3:G$102=G8)*(J$3:J$102&gt;J8)*(I$3:I$102="P"))+SUMPRODUCT((P$3:P$102&lt;&gt;"")*(G$3:G$102=G8)*(I$3:I$102="P"))+1,IF(N8&lt;&gt;"",SUMPRODUCT((N$3:N$102&lt;&gt;"")*(G$3:G$102=G8)*(J$3:J$102&gt;J8)*(I$3:I$102="P"))+1,IF(M8="P",SUMPRODUCT((O$3:O$102&lt;&gt;"")*(P$3:P$102="")*(G$3:G$102=G8)*(I$3:I$102="P"))+SUMPRODUCT((P$3:P$102&lt;&gt;"")*(G$3:G$102=G8)*(I$3:I$102="P"))+SUMPRODUCT((N$3:N$102&lt;&gt;"")*(G$3:G$102=G8)*(I$3:I$102="P"))+SUMPRODUCT((P$3:P$102="")*(O$3:O$102="")*(N$3:N$102="")*(M$3:M$102="P")*(G$3:G$102=G8)*(J$3:J$102&gt;J8)*(I$3:I$102="P"))+IF(H8="L5",SUMPRODUCT((P$3:P$102="")*(O$3:O$102="")*(N$3:N$102="")*(M$3:M$102="P")*(G$3:G$102=G8)*(J$3:J$102&lt;J8)*(H$3:H$102&lt;&gt;H8)*(I$3:I$102="P")),-1*SUMPRODUCT((P$3:P$102="")*(O$3:O$102="")*(N$3:N$102="")*(M$3:M$102="P")*(G$3:G$102=G8)*(J$3:J$102&gt;J8)*(H$3:H$102="L5")*(I$3:I$102="P")))+1,"")))))</f>
        <v>6</v>
      </c>
      <c r="B8" s="1" cm="1">
        <f t="array" ref="B8">IF(P8&lt;&gt;"",SUMPRODUCT((P$3:P$102&lt;&gt;"")*(G$3:G$102=G8)*(J$3:J$102&gt;J8))+1,IF(O8&lt;&gt;"",SUMPRODUCT((O$3:O$102&lt;&gt;"")*(P$3:P$102="")*(G$3:G$102=G8)*(J$3:J$102&gt;J8))+SUMPRODUCT((P$3:P$102&lt;&gt;"")*(G$3:G$102=G8))+1,IF(N8&lt;&gt;"",SUMPRODUCT((N$3:N$102&lt;&gt;"")*(G$3:G$102=G8)*(J$3:J$102&gt;J8))+1,IF(M8="P",SUMPRODUCT((O$3:O$102&lt;&gt;"")*(P$3:P$102="")*(G$3:G$102=G8))+SUMPRODUCT((P$3:P$102&lt;&gt;"")*(G$3:G$102=G8))+SUMPRODUCT((N$3:N$102&lt;&gt;"")*(G$3:G$102=G8))+SUMPRODUCT((P$3:P$102="")*(O$3:O$102="")*(N$3:N$102="")*(M$3:M$102="P")*(G$3:G$102=G8)*(J$3:J$102&gt;J8))+IF(H8="L5",SUMPRODUCT((P$3:P$102="")*(O$3:O$102="")*(N$3:N$102="")*(M$3:M$102="P")*(G$3:G$102=G8)*(J$3:J$102&lt;J8)*(H$3:H$102&lt;&gt;H8)),-1*SUMPRODUCT((P$3:P$102="")*(O$3:O$102="")*(N$3:N$102="")*(M$3:M$102="P")*(G$3:G$102=G8)*(J$3:J$102&gt;J8)*(H$3:H$102="L5")))+1,""))))</f>
        <v>6</v>
      </c>
      <c r="C8" s="35" t="s">
        <v>237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R8+S8+IF(OR(H8="Junior",H8="Senior"),0.0002,IF(OR(H8="L7",H8="L6"),0.0001,0))+IF(G8="17-21",MAX(AA8,AC8,AF8),AE8)*0.0000001</f>
        <v>96.790104857999992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1" t="str">
        <f>IF(AND(B8&lt;5,I8="P"),IF(_xlfn.MAXIFS(B:B,G:G,G8)&gt;3,5-B8,_xlfn.MAXIFS(B:B,G:G,G8)+1-B8),"")</f>
        <v/>
      </c>
      <c r="R8" s="4">
        <f>IF(G8="17-21",MAX(T8,V8,Y8,AA8,AC8,AF8),MAX(X8,AE8))</f>
        <v>48.58</v>
      </c>
      <c r="S8" s="4">
        <f>IF(G8="17-21",LARGE(CHOOSE({1,2,3,4,5,6},T8,V8,Y8,AA8,AC8,AF8),2),IF(R8=X8,MAX(Y8,AA8,AC8,AF8),IF(R8=AE8,MAX(AF8,T8,V8,Y8),0)))</f>
        <v>48.21</v>
      </c>
      <c r="T8" s="32">
        <v>39.64</v>
      </c>
      <c r="U8" s="37">
        <v>0</v>
      </c>
      <c r="V8" s="33">
        <v>37.299999999999997</v>
      </c>
      <c r="W8" s="37">
        <v>8.6</v>
      </c>
      <c r="X8" s="4">
        <f>IF(H8="Senior",MAX(T8,V8),T8+V8)</f>
        <v>76.94</v>
      </c>
      <c r="Y8" s="33"/>
      <c r="Z8" s="37"/>
      <c r="AA8" s="32">
        <v>47.41</v>
      </c>
      <c r="AB8" s="37">
        <v>12.7</v>
      </c>
      <c r="AC8" s="33">
        <v>48.58</v>
      </c>
      <c r="AD8" s="37">
        <v>12.5</v>
      </c>
      <c r="AE8" s="4">
        <f>IF(H8="Senior",MAX(AA8,AC8),AA8+AC8)</f>
        <v>95.99</v>
      </c>
      <c r="AF8" s="33">
        <v>48.21</v>
      </c>
      <c r="AG8" s="37">
        <v>12.7</v>
      </c>
    </row>
    <row r="9" spans="1:34" x14ac:dyDescent="0.2">
      <c r="A9" s="1" cm="1">
        <f t="array" ref="A9">IF(I9="","",IF(P9&lt;&gt;"",SUMPRODUCT((P$3:P$102&lt;&gt;"")*(G$3:G$102=G9)*(J$3:J$102&gt;J9)*(I$3:I$102="P"))+1,IF(O9&lt;&gt;"",SUMPRODUCT((O$3:O$102&lt;&gt;"")*(P$3:P$102="")*(G$3:G$102=G9)*(J$3:J$102&gt;J9)*(I$3:I$102="P"))+SUMPRODUCT((P$3:P$102&lt;&gt;"")*(G$3:G$102=G9)*(I$3:I$102="P"))+1,IF(N9&lt;&gt;"",SUMPRODUCT((N$3:N$102&lt;&gt;"")*(G$3:G$102=G9)*(J$3:J$102&gt;J9)*(I$3:I$102="P"))+1,IF(M9="P",SUMPRODUCT((O$3:O$102&lt;&gt;"")*(P$3:P$102="")*(G$3:G$102=G9)*(I$3:I$102="P"))+SUMPRODUCT((P$3:P$102&lt;&gt;"")*(G$3:G$102=G9)*(I$3:I$102="P"))+SUMPRODUCT((N$3:N$102&lt;&gt;"")*(G$3:G$102=G9)*(I$3:I$102="P"))+SUMPRODUCT((P$3:P$102="")*(O$3:O$102="")*(N$3:N$102="")*(M$3:M$102="P")*(G$3:G$102=G9)*(J$3:J$102&gt;J9)*(I$3:I$102="P"))+IF(H9="L5",SUMPRODUCT((P$3:P$102="")*(O$3:O$102="")*(N$3:N$102="")*(M$3:M$102="P")*(G$3:G$102=G9)*(J$3:J$102&lt;J9)*(H$3:H$102&lt;&gt;H9)*(I$3:I$102="P")),-1*SUMPRODUCT((P$3:P$102="")*(O$3:O$102="")*(N$3:N$102="")*(M$3:M$102="P")*(G$3:G$102=G9)*(J$3:J$102&gt;J9)*(H$3:H$102="L5")*(I$3:I$102="P")))+1,"")))))</f>
        <v>7</v>
      </c>
      <c r="B9" s="1" cm="1">
        <f t="array" ref="B9">IF(P9&lt;&gt;"",SUMPRODUCT((P$3:P$102&lt;&gt;"")*(G$3:G$102=G9)*(J$3:J$102&gt;J9))+1,IF(O9&lt;&gt;"",SUMPRODUCT((O$3:O$102&lt;&gt;"")*(P$3:P$102="")*(G$3:G$102=G9)*(J$3:J$102&gt;J9))+SUMPRODUCT((P$3:P$102&lt;&gt;"")*(G$3:G$102=G9))+1,IF(N9&lt;&gt;"",SUMPRODUCT((N$3:N$102&lt;&gt;"")*(G$3:G$102=G9)*(J$3:J$102&gt;J9))+1,IF(M9="P",SUMPRODUCT((O$3:O$102&lt;&gt;"")*(P$3:P$102="")*(G$3:G$102=G9))+SUMPRODUCT((P$3:P$102&lt;&gt;"")*(G$3:G$102=G9))+SUMPRODUCT((N$3:N$102&lt;&gt;"")*(G$3:G$102=G9))+SUMPRODUCT((P$3:P$102="")*(O$3:O$102="")*(N$3:N$102="")*(M$3:M$102="P")*(G$3:G$102=G9)*(J$3:J$102&gt;J9))+IF(H9="L5",SUMPRODUCT((P$3:P$102="")*(O$3:O$102="")*(N$3:N$102="")*(M$3:M$102="P")*(G$3:G$102=G9)*(J$3:J$102&lt;J9)*(H$3:H$102&lt;&gt;H9)),-1*SUMPRODUCT((P$3:P$102="")*(O$3:O$102="")*(N$3:N$102="")*(M$3:M$102="P")*(G$3:G$102=G9)*(J$3:J$102&gt;J9)*(H$3:H$102="L5")))+1,""))))</f>
        <v>7</v>
      </c>
      <c r="C9" s="35" t="s">
        <v>433</v>
      </c>
      <c r="D9" t="str">
        <f>IF(E9="","",VLOOKUP(E9,'Coaching Points'!A:B,2,0))</f>
        <v>AB</v>
      </c>
      <c r="E9" s="35" t="s">
        <v>56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 t="s">
        <v>507</v>
      </c>
      <c r="J9" s="4">
        <f>R9+S9+IF(OR(H9="Junior",H9="Senior"),0.0002,IF(OR(H9="L7",H9="L6"),0.0001,0))+IF(G9="17-21",MAX(AA9,AC9,AF9),AE9)*0.0000001</f>
        <v>95.810104930000008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IF(AND(B9&lt;5,I9="P"),IF(_xlfn.MAXIFS(B:B,G:G,G9)&gt;3,5-B9,_xlfn.MAXIFS(B:B,G:G,G9)+1-B9),"")</f>
        <v/>
      </c>
      <c r="R9" s="4">
        <f>IF(G9="17-21",MAX(T9,V9,Y9,AA9,AC9,AF9),MAX(X9,AE9))</f>
        <v>49.3</v>
      </c>
      <c r="S9" s="4">
        <f>IF(G9="17-21",LARGE(CHOOSE({1,2,3,4,5,6},T9,V9,Y9,AA9,AC9,AF9),2),IF(R9=X9,MAX(Y9,AA9,AC9,AF9),IF(R9=AE9,MAX(AF9,T9,V9,Y9),0)))</f>
        <v>46.51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39.03</v>
      </c>
      <c r="AB9" s="37">
        <v>0</v>
      </c>
      <c r="AC9" s="33">
        <v>46.51</v>
      </c>
      <c r="AD9" s="37">
        <v>10.7</v>
      </c>
      <c r="AE9" s="4">
        <f>IF(H9="Senior",MAX(AA9,AC9),AA9+AC9)</f>
        <v>85.539999999999992</v>
      </c>
      <c r="AF9" s="33">
        <v>49.3</v>
      </c>
      <c r="AG9" s="37">
        <v>10.7</v>
      </c>
    </row>
    <row r="10" spans="1:34" x14ac:dyDescent="0.2">
      <c r="A10" s="1" t="str" cm="1">
        <f t="array" ref="A10">IF(I10="","",IF(P10&lt;&gt;"",SUMPRODUCT((P$3:P$102&lt;&gt;"")*(G$3:G$102=G10)*(J$3:J$102&gt;J10)*(I$3:I$102="P"))+1,IF(O10&lt;&gt;"",SUMPRODUCT((O$3:O$102&lt;&gt;"")*(P$3:P$102="")*(G$3:G$102=G10)*(J$3:J$102&gt;J10)*(I$3:I$102="P"))+SUMPRODUCT((P$3:P$102&lt;&gt;"")*(G$3:G$102=G10)*(I$3:I$102="P"))+1,IF(N10&lt;&gt;"",SUMPRODUCT((N$3:N$102&lt;&gt;"")*(G$3:G$102=G10)*(J$3:J$102&gt;J10)*(I$3:I$102="P"))+1,IF(M10="P",SUMPRODUCT((O$3:O$102&lt;&gt;"")*(P$3:P$102="")*(G$3:G$102=G10)*(I$3:I$102="P"))+SUMPRODUCT((P$3:P$102&lt;&gt;"")*(G$3:G$102=G10)*(I$3:I$102="P"))+SUMPRODUCT((N$3:N$102&lt;&gt;"")*(G$3:G$102=G10)*(I$3:I$102="P"))+SUMPRODUCT((P$3:P$102="")*(O$3:O$102="")*(N$3:N$102="")*(M$3:M$102="P")*(G$3:G$102=G10)*(J$3:J$102&gt;J10)*(I$3:I$102="P"))+IF(H10="L5",SUMPRODUCT((P$3:P$102="")*(O$3:O$102="")*(N$3:N$102="")*(M$3:M$102="P")*(G$3:G$102=G10)*(J$3:J$102&lt;J10)*(H$3:H$102&lt;&gt;H10)*(I$3:I$102="P")),-1*SUMPRODUCT((P$3:P$102="")*(O$3:O$102="")*(N$3:N$102="")*(M$3:M$102="P")*(G$3:G$102=G10)*(J$3:J$102&gt;J10)*(H$3:H$102="L5")*(I$3:I$102="P")))+1,"")))))</f>
        <v/>
      </c>
      <c r="B10" s="1" cm="1">
        <f t="array" ref="B10">IF(P10&lt;&gt;"",SUMPRODUCT((P$3:P$102&lt;&gt;"")*(G$3:G$102=G10)*(J$3:J$102&gt;J10))+1,IF(O10&lt;&gt;"",SUMPRODUCT((O$3:O$102&lt;&gt;"")*(P$3:P$102="")*(G$3:G$102=G10)*(J$3:J$102&gt;J10))+SUMPRODUCT((P$3:P$102&lt;&gt;"")*(G$3:G$102=G10))+1,IF(N10&lt;&gt;"",SUMPRODUCT((N$3:N$102&lt;&gt;"")*(G$3:G$102=G10)*(J$3:J$102&gt;J10))+1,IF(M10="P",SUMPRODUCT((O$3:O$102&lt;&gt;"")*(P$3:P$102="")*(G$3:G$102=G10))+SUMPRODUCT((P$3:P$102&lt;&gt;"")*(G$3:G$102=G10))+SUMPRODUCT((N$3:N$102&lt;&gt;"")*(G$3:G$102=G10))+SUMPRODUCT((P$3:P$102="")*(O$3:O$102="")*(N$3:N$102="")*(M$3:M$102="P")*(G$3:G$102=G10)*(J$3:J$102&gt;J10))+IF(H10="L5",SUMPRODUCT((P$3:P$102="")*(O$3:O$102="")*(N$3:N$102="")*(M$3:M$102="P")*(G$3:G$102=G10)*(J$3:J$102&lt;J10)*(H$3:H$102&lt;&gt;H10)),-1*SUMPRODUCT((P$3:P$102="")*(O$3:O$102="")*(N$3:N$102="")*(M$3:M$102="P")*(G$3:G$102=G10)*(J$3:J$102&gt;J10)*(H$3:H$102="L5")))+1,""))))</f>
        <v>8</v>
      </c>
      <c r="C10" s="35" t="s">
        <v>242</v>
      </c>
      <c r="D10" t="str">
        <f>IF(E10="","",VLOOKUP(E10,'Coaching Points'!A:B,2,0))</f>
        <v>QC</v>
      </c>
      <c r="E10" s="35" t="s">
        <v>72</v>
      </c>
      <c r="F10" s="34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91.260105042999996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IF(AND(B10&lt;5,I10="P"),IF(_xlfn.MAXIFS(B:B,G:G,G10)&gt;3,5-B10,_xlfn.MAXIFS(B:B,G:G,G10)+1-B10),"")</f>
        <v/>
      </c>
      <c r="R10" s="4">
        <f>IF(G10="17-21",MAX(T10,V10,Y10,AA10,AC10,AF10),MAX(X10,AE10))</f>
        <v>50.43</v>
      </c>
      <c r="S10" s="4">
        <f>IF(G10="17-21",LARGE(CHOOSE({1,2,3,4,5,6},T10,V10,Y10,AA10,AC10,AF10),2),IF(R10=X10,MAX(Y10,AA10,AC10,AF10),IF(R10=AE10,MAX(AF10,T10,V10,Y10),0)))</f>
        <v>40.83</v>
      </c>
      <c r="T10" s="32">
        <v>40.82</v>
      </c>
      <c r="U10" s="37">
        <v>0</v>
      </c>
      <c r="V10" s="33">
        <v>5.53</v>
      </c>
      <c r="W10" s="37">
        <v>1.5</v>
      </c>
      <c r="X10" s="4">
        <f>IF(H10="Senior",MAX(T10,V10),T10+V10)</f>
        <v>46.35</v>
      </c>
      <c r="Y10" s="33"/>
      <c r="Z10" s="37"/>
      <c r="AA10" s="32">
        <v>40.83</v>
      </c>
      <c r="AB10" s="37">
        <v>0</v>
      </c>
      <c r="AC10" s="33">
        <v>50.43</v>
      </c>
      <c r="AD10" s="37">
        <v>10.1</v>
      </c>
      <c r="AE10" s="4">
        <f>IF(H10="Senior",MAX(AA10,AC10),AA10+AC10)</f>
        <v>91.259999999999991</v>
      </c>
      <c r="AF10" s="33">
        <v>15.19</v>
      </c>
      <c r="AG10" s="37">
        <v>4.0999999999999996</v>
      </c>
    </row>
    <row r="11" spans="1:34" x14ac:dyDescent="0.2">
      <c r="A11" s="1" t="str" cm="1">
        <f t="array" ref="A11">IF(I11="","",IF(P11&lt;&gt;"",SUMPRODUCT((P$3:P$102&lt;&gt;"")*(G$3:G$102=G11)*(J$3:J$102&gt;J11)*(I$3:I$102="P"))+1,IF(O11&lt;&gt;"",SUMPRODUCT((O$3:O$102&lt;&gt;"")*(P$3:P$102="")*(G$3:G$102=G11)*(J$3:J$102&gt;J11)*(I$3:I$102="P"))+SUMPRODUCT((P$3:P$102&lt;&gt;"")*(G$3:G$102=G11)*(I$3:I$102="P"))+1,IF(N11&lt;&gt;"",SUMPRODUCT((N$3:N$102&lt;&gt;"")*(G$3:G$102=G11)*(J$3:J$102&gt;J11)*(I$3:I$102="P"))+1,IF(M11="P",SUMPRODUCT((O$3:O$102&lt;&gt;"")*(P$3:P$102="")*(G$3:G$102=G11)*(I$3:I$102="P"))+SUMPRODUCT((P$3:P$102&lt;&gt;"")*(G$3:G$102=G11)*(I$3:I$102="P"))+SUMPRODUCT((N$3:N$102&lt;&gt;"")*(G$3:G$102=G11)*(I$3:I$102="P"))+SUMPRODUCT((P$3:P$102="")*(O$3:O$102="")*(N$3:N$102="")*(M$3:M$102="P")*(G$3:G$102=G11)*(J$3:J$102&gt;J11)*(I$3:I$102="P"))+IF(H11="L5",SUMPRODUCT((P$3:P$102="")*(O$3:O$102="")*(N$3:N$102="")*(M$3:M$102="P")*(G$3:G$102=G11)*(J$3:J$102&lt;J11)*(H$3:H$102&lt;&gt;H11)*(I$3:I$102="P")),-1*SUMPRODUCT((P$3:P$102="")*(O$3:O$102="")*(N$3:N$102="")*(M$3:M$102="P")*(G$3:G$102=G11)*(J$3:J$102&gt;J11)*(H$3:H$102="L5")*(I$3:I$102="P")))+1,"")))))</f>
        <v/>
      </c>
      <c r="B11" s="1" t="str" cm="1">
        <f t="array" ref="B11">IF(P11&lt;&gt;"",SUMPRODUCT((P$3:P$102&lt;&gt;"")*(G$3:G$102=G11)*(J$3:J$102&gt;J11))+1,IF(O11&lt;&gt;"",SUMPRODUCT((O$3:O$102&lt;&gt;"")*(P$3:P$102="")*(G$3:G$102=G11)*(J$3:J$102&gt;J11))+SUMPRODUCT((P$3:P$102&lt;&gt;"")*(G$3:G$102=G11))+1,IF(N11&lt;&gt;"",SUMPRODUCT((N$3:N$102&lt;&gt;"")*(G$3:G$102=G11)*(J$3:J$102&gt;J11))+1,IF(M11="P",SUMPRODUCT((O$3:O$102&lt;&gt;"")*(P$3:P$102="")*(G$3:G$102=G11))+SUMPRODUCT((P$3:P$102&lt;&gt;"")*(G$3:G$102=G11))+SUMPRODUCT((N$3:N$102&lt;&gt;"")*(G$3:G$102=G11))+SUMPRODUCT((P$3:P$102="")*(O$3:O$102="")*(N$3:N$102="")*(M$3:M$102="P")*(G$3:G$102=G11)*(J$3:J$102&gt;J11))+IF(H11="L5",SUMPRODUCT((P$3:P$102="")*(O$3:O$102="")*(N$3:N$102="")*(M$3:M$102="P")*(G$3:G$102=G11)*(J$3:J$102&lt;J11)*(H$3:H$102&lt;&gt;H11)),-1*SUMPRODUCT((P$3:P$102="")*(O$3:O$102="")*(N$3:N$102="")*(M$3:M$102="P")*(G$3:G$102=G11)*(J$3:J$102&gt;J11)*(H$3:H$102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IF(AND(B11&lt;5,I11="P"),IF(_xlfn.MAXIFS(B:B,G:G,G11)&gt;3,5-B11,_xlfn.MAXIFS(B:B,G:G,G11)+1-B11),"")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$102&lt;&gt;"")*(G$3:G$102=G12)*(J$3:J$102&gt;J12)*(I$3:I$102="P"))+1,IF(O12&lt;&gt;"",SUMPRODUCT((O$3:O$102&lt;&gt;"")*(P$3:P$102="")*(G$3:G$102=G12)*(J$3:J$102&gt;J12)*(I$3:I$102="P"))+SUMPRODUCT((P$3:P$102&lt;&gt;"")*(G$3:G$102=G12)*(I$3:I$102="P"))+1,IF(N12&lt;&gt;"",SUMPRODUCT((N$3:N$102&lt;&gt;"")*(G$3:G$102=G12)*(J$3:J$102&gt;J12)*(I$3:I$102="P"))+1,IF(M12="P",SUMPRODUCT((O$3:O$102&lt;&gt;"")*(P$3:P$102="")*(G$3:G$102=G12)*(I$3:I$102="P"))+SUMPRODUCT((P$3:P$102&lt;&gt;"")*(G$3:G$102=G12)*(I$3:I$102="P"))+SUMPRODUCT((N$3:N$102&lt;&gt;"")*(G$3:G$102=G12)*(I$3:I$102="P"))+SUMPRODUCT((P$3:P$102="")*(O$3:O$102="")*(N$3:N$102="")*(M$3:M$102="P")*(G$3:G$102=G12)*(J$3:J$102&gt;J12)*(I$3:I$102="P"))+IF(H12="L5",SUMPRODUCT((P$3:P$102="")*(O$3:O$102="")*(N$3:N$102="")*(M$3:M$102="P")*(G$3:G$102=G12)*(J$3:J$102&lt;J12)*(H$3:H$102&lt;&gt;H12)*(I$3:I$102="P")),-1*SUMPRODUCT((P$3:P$102="")*(O$3:O$102="")*(N$3:N$102="")*(M$3:M$102="P")*(G$3:G$102=G12)*(J$3:J$102&gt;J12)*(H$3:H$102="L5")*(I$3:I$102="P")))+1,"")))))</f>
        <v/>
      </c>
      <c r="B12" s="1" t="str" cm="1">
        <f t="array" ref="B12">IF(P12&lt;&gt;"",SUMPRODUCT((P$3:P$102&lt;&gt;"")*(G$3:G$102=G12)*(J$3:J$102&gt;J12))+1,IF(O12&lt;&gt;"",SUMPRODUCT((O$3:O$102&lt;&gt;"")*(P$3:P$102="")*(G$3:G$102=G12)*(J$3:J$102&gt;J12))+SUMPRODUCT((P$3:P$102&lt;&gt;"")*(G$3:G$102=G12))+1,IF(N12&lt;&gt;"",SUMPRODUCT((N$3:N$102&lt;&gt;"")*(G$3:G$102=G12)*(J$3:J$102&gt;J12))+1,IF(M12="P",SUMPRODUCT((O$3:O$102&lt;&gt;"")*(P$3:P$102="")*(G$3:G$102=G12))+SUMPRODUCT((P$3:P$102&lt;&gt;"")*(G$3:G$102=G12))+SUMPRODUCT((N$3:N$102&lt;&gt;"")*(G$3:G$102=G12))+SUMPRODUCT((P$3:P$102="")*(O$3:O$102="")*(N$3:N$102="")*(M$3:M$102="P")*(G$3:G$102=G12)*(J$3:J$102&gt;J12))+IF(H12="L5",SUMPRODUCT((P$3:P$102="")*(O$3:O$102="")*(N$3:N$102="")*(M$3:M$102="P")*(G$3:G$102=G12)*(J$3:J$102&lt;J12)*(H$3:H$102&lt;&gt;H12)),-1*SUMPRODUCT((P$3:P$102="")*(O$3:O$102="")*(N$3:N$102="")*(M$3:M$102="P")*(G$3:G$102=G12)*(J$3:J$102&gt;J12)*(H$3:H$102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IF(AND(B12&lt;5,I12="P"),IF(_xlfn.MAXIFS(B:B,G:G,G12)&gt;3,5-B12,_xlfn.MAXIFS(B:B,G:G,G12)+1-B12),"")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$102&lt;&gt;"")*(G$3:G$102=G13)*(J$3:J$102&gt;J13)*(I$3:I$102="P"))+1,IF(O13&lt;&gt;"",SUMPRODUCT((O$3:O$102&lt;&gt;"")*(P$3:P$102="")*(G$3:G$102=G13)*(J$3:J$102&gt;J13)*(I$3:I$102="P"))+SUMPRODUCT((P$3:P$102&lt;&gt;"")*(G$3:G$102=G13)*(I$3:I$102="P"))+1,IF(N13&lt;&gt;"",SUMPRODUCT((N$3:N$102&lt;&gt;"")*(G$3:G$102=G13)*(J$3:J$102&gt;J13)*(I$3:I$102="P"))+1,IF(M13="P",SUMPRODUCT((O$3:O$102&lt;&gt;"")*(P$3:P$102="")*(G$3:G$102=G13)*(I$3:I$102="P"))+SUMPRODUCT((P$3:P$102&lt;&gt;"")*(G$3:G$102=G13)*(I$3:I$102="P"))+SUMPRODUCT((N$3:N$102&lt;&gt;"")*(G$3:G$102=G13)*(I$3:I$102="P"))+SUMPRODUCT((P$3:P$102="")*(O$3:O$102="")*(N$3:N$102="")*(M$3:M$102="P")*(G$3:G$102=G13)*(J$3:J$102&gt;J13)*(I$3:I$102="P"))+IF(H13="L5",SUMPRODUCT((P$3:P$102="")*(O$3:O$102="")*(N$3:N$102="")*(M$3:M$102="P")*(G$3:G$102=G13)*(J$3:J$102&lt;J13)*(H$3:H$102&lt;&gt;H13)*(I$3:I$102="P")),-1*SUMPRODUCT((P$3:P$102="")*(O$3:O$102="")*(N$3:N$102="")*(M$3:M$102="P")*(G$3:G$102=G13)*(J$3:J$102&gt;J13)*(H$3:H$102="L5")*(I$3:I$102="P")))+1,"")))))</f>
        <v/>
      </c>
      <c r="B13" s="1" t="str" cm="1">
        <f t="array" ref="B13">IF(P13&lt;&gt;"",SUMPRODUCT((P$3:P$102&lt;&gt;"")*(G$3:G$102=G13)*(J$3:J$102&gt;J13))+1,IF(O13&lt;&gt;"",SUMPRODUCT((O$3:O$102&lt;&gt;"")*(P$3:P$102="")*(G$3:G$102=G13)*(J$3:J$102&gt;J13))+SUMPRODUCT((P$3:P$102&lt;&gt;"")*(G$3:G$102=G13))+1,IF(N13&lt;&gt;"",SUMPRODUCT((N$3:N$102&lt;&gt;"")*(G$3:G$102=G13)*(J$3:J$102&gt;J13))+1,IF(M13="P",SUMPRODUCT((O$3:O$102&lt;&gt;"")*(P$3:P$102="")*(G$3:G$102=G13))+SUMPRODUCT((P$3:P$102&lt;&gt;"")*(G$3:G$102=G13))+SUMPRODUCT((N$3:N$102&lt;&gt;"")*(G$3:G$102=G13))+SUMPRODUCT((P$3:P$102="")*(O$3:O$102="")*(N$3:N$102="")*(M$3:M$102="P")*(G$3:G$102=G13)*(J$3:J$102&gt;J13))+IF(H13="L5",SUMPRODUCT((P$3:P$102="")*(O$3:O$102="")*(N$3:N$102="")*(M$3:M$102="P")*(G$3:G$102=G13)*(J$3:J$102&lt;J13)*(H$3:H$102&lt;&gt;H13)),-1*SUMPRODUCT((P$3:P$102="")*(O$3:O$102="")*(N$3:N$102="")*(M$3:M$102="P")*(G$3:G$102=G13)*(J$3:J$102&gt;J13)*(H$3:H$102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IF(AND(B13&lt;5,I13="P"),IF(_xlfn.MAXIFS(B:B,G:G,G13)&gt;3,5-B13,_xlfn.MAXIFS(B:B,G:G,G13)+1-B13),"")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$102&lt;&gt;"")*(G$3:G$102=G14)*(J$3:J$102&gt;J14)*(I$3:I$102="P"))+1,IF(O14&lt;&gt;"",SUMPRODUCT((O$3:O$102&lt;&gt;"")*(P$3:P$102="")*(G$3:G$102=G14)*(J$3:J$102&gt;J14)*(I$3:I$102="P"))+SUMPRODUCT((P$3:P$102&lt;&gt;"")*(G$3:G$102=G14)*(I$3:I$102="P"))+1,IF(N14&lt;&gt;"",SUMPRODUCT((N$3:N$102&lt;&gt;"")*(G$3:G$102=G14)*(J$3:J$102&gt;J14)*(I$3:I$102="P"))+1,IF(M14="P",SUMPRODUCT((O$3:O$102&lt;&gt;"")*(P$3:P$102="")*(G$3:G$102=G14)*(I$3:I$102="P"))+SUMPRODUCT((P$3:P$102&lt;&gt;"")*(G$3:G$102=G14)*(I$3:I$102="P"))+SUMPRODUCT((N$3:N$102&lt;&gt;"")*(G$3:G$102=G14)*(I$3:I$102="P"))+SUMPRODUCT((P$3:P$102="")*(O$3:O$102="")*(N$3:N$102="")*(M$3:M$102="P")*(G$3:G$102=G14)*(J$3:J$102&gt;J14)*(I$3:I$102="P"))+IF(H14="L5",SUMPRODUCT((P$3:P$102="")*(O$3:O$102="")*(N$3:N$102="")*(M$3:M$102="P")*(G$3:G$102=G14)*(J$3:J$102&lt;J14)*(H$3:H$102&lt;&gt;H14)*(I$3:I$102="P")),-1*SUMPRODUCT((P$3:P$102="")*(O$3:O$102="")*(N$3:N$102="")*(M$3:M$102="P")*(G$3:G$102=G14)*(J$3:J$102&gt;J14)*(H$3:H$102="L5")*(I$3:I$102="P")))+1,"")))))</f>
        <v/>
      </c>
      <c r="B14" s="1" t="str" cm="1">
        <f t="array" ref="B14">IF(P14&lt;&gt;"",SUMPRODUCT((P$3:P$102&lt;&gt;"")*(G$3:G$102=G14)*(J$3:J$102&gt;J14))+1,IF(O14&lt;&gt;"",SUMPRODUCT((O$3:O$102&lt;&gt;"")*(P$3:P$102="")*(G$3:G$102=G14)*(J$3:J$102&gt;J14))+SUMPRODUCT((P$3:P$102&lt;&gt;"")*(G$3:G$102=G14))+1,IF(N14&lt;&gt;"",SUMPRODUCT((N$3:N$102&lt;&gt;"")*(G$3:G$102=G14)*(J$3:J$102&gt;J14))+1,IF(M14="P",SUMPRODUCT((O$3:O$102&lt;&gt;"")*(P$3:P$102="")*(G$3:G$102=G14))+SUMPRODUCT((P$3:P$102&lt;&gt;"")*(G$3:G$102=G14))+SUMPRODUCT((N$3:N$102&lt;&gt;"")*(G$3:G$102=G14))+SUMPRODUCT((P$3:P$102="")*(O$3:O$102="")*(N$3:N$102="")*(M$3:M$102="P")*(G$3:G$102=G14)*(J$3:J$102&gt;J14))+IF(H14="L5",SUMPRODUCT((P$3:P$102="")*(O$3:O$102="")*(N$3:N$102="")*(M$3:M$102="P")*(G$3:G$102=G14)*(J$3:J$102&lt;J14)*(H$3:H$102&lt;&gt;H14)),-1*SUMPRODUCT((P$3:P$102="")*(O$3:O$102="")*(N$3:N$102="")*(M$3:M$102="P")*(G$3:G$102=G14)*(J$3:J$102&gt;J14)*(H$3:H$102="L5")))+1,""))))</f>
        <v/>
      </c>
      <c r="C14" s="35" t="s">
        <v>418</v>
      </c>
      <c r="D14" t="str">
        <f>IF(E14="","",VLOOKUP(E14,'Coaching Points'!A:B,2,0))</f>
        <v>QC</v>
      </c>
      <c r="E14" s="35" t="s">
        <v>3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IF(AND(B14&lt;5,I14="P"),IF(_xlfn.MAXIFS(B:B,G:G,G14)&gt;3,5-B14,_xlfn.MAXIFS(B:B,G:G,G14)+1-B14),"")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$102&lt;&gt;"")*(G$3:G$102=G15)*(J$3:J$102&gt;J15)*(I$3:I$102="P"))+1,IF(O15&lt;&gt;"",SUMPRODUCT((O$3:O$102&lt;&gt;"")*(P$3:P$102="")*(G$3:G$102=G15)*(J$3:J$102&gt;J15)*(I$3:I$102="P"))+SUMPRODUCT((P$3:P$102&lt;&gt;"")*(G$3:G$102=G15)*(I$3:I$102="P"))+1,IF(N15&lt;&gt;"",SUMPRODUCT((N$3:N$102&lt;&gt;"")*(G$3:G$102=G15)*(J$3:J$102&gt;J15)*(I$3:I$102="P"))+1,IF(M15="P",SUMPRODUCT((O$3:O$102&lt;&gt;"")*(P$3:P$102="")*(G$3:G$102=G15)*(I$3:I$102="P"))+SUMPRODUCT((P$3:P$102&lt;&gt;"")*(G$3:G$102=G15)*(I$3:I$102="P"))+SUMPRODUCT((N$3:N$102&lt;&gt;"")*(G$3:G$102=G15)*(I$3:I$102="P"))+SUMPRODUCT((P$3:P$102="")*(O$3:O$102="")*(N$3:N$102="")*(M$3:M$102="P")*(G$3:G$102=G15)*(J$3:J$102&gt;J15)*(I$3:I$102="P"))+IF(H15="L5",SUMPRODUCT((P$3:P$102="")*(O$3:O$102="")*(N$3:N$102="")*(M$3:M$102="P")*(G$3:G$102=G15)*(J$3:J$102&lt;J15)*(H$3:H$102&lt;&gt;H15)*(I$3:I$102="P")),-1*SUMPRODUCT((P$3:P$102="")*(O$3:O$102="")*(N$3:N$102="")*(M$3:M$102="P")*(G$3:G$102=G15)*(J$3:J$102&gt;J15)*(H$3:H$102="L5")*(I$3:I$102="P")))+1,"")))))</f>
        <v/>
      </c>
      <c r="B15" s="1" t="str" cm="1">
        <f t="array" ref="B15">IF(P15&lt;&gt;"",SUMPRODUCT((P$3:P$102&lt;&gt;"")*(G$3:G$102=G15)*(J$3:J$102&gt;J15))+1,IF(O15&lt;&gt;"",SUMPRODUCT((O$3:O$102&lt;&gt;"")*(P$3:P$102="")*(G$3:G$102=G15)*(J$3:J$102&gt;J15))+SUMPRODUCT((P$3:P$102&lt;&gt;"")*(G$3:G$102=G15))+1,IF(N15&lt;&gt;"",SUMPRODUCT((N$3:N$102&lt;&gt;"")*(G$3:G$102=G15)*(J$3:J$102&gt;J15))+1,IF(M15="P",SUMPRODUCT((O$3:O$102&lt;&gt;"")*(P$3:P$102="")*(G$3:G$102=G15))+SUMPRODUCT((P$3:P$102&lt;&gt;"")*(G$3:G$102=G15))+SUMPRODUCT((N$3:N$102&lt;&gt;"")*(G$3:G$102=G15))+SUMPRODUCT((P$3:P$102="")*(O$3:O$102="")*(N$3:N$102="")*(M$3:M$102="P")*(G$3:G$102=G15)*(J$3:J$102&gt;J15))+IF(H15="L5",SUMPRODUCT((P$3:P$102="")*(O$3:O$102="")*(N$3:N$102="")*(M$3:M$102="P")*(G$3:G$102=G15)*(J$3:J$102&lt;J15)*(H$3:H$102&lt;&gt;H15)),-1*SUMPRODUCT((P$3:P$102="")*(O$3:O$102="")*(N$3:N$102="")*(M$3:M$102="P")*(G$3:G$102=G15)*(J$3:J$102&gt;J15)*(H$3:H$102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IF(AND(B15&lt;5,I15="P"),IF(_xlfn.MAXIFS(B:B,G:G,G15)&gt;3,5-B15,_xlfn.MAXIFS(B:B,G:G,G15)+1-B15),"")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$102&lt;&gt;"")*(G$3:G$102=G16)*(J$3:J$102&gt;J16)*(I$3:I$102="P"))+1,IF(O16&lt;&gt;"",SUMPRODUCT((O$3:O$102&lt;&gt;"")*(P$3:P$102="")*(G$3:G$102=G16)*(J$3:J$102&gt;J16)*(I$3:I$102="P"))+SUMPRODUCT((P$3:P$102&lt;&gt;"")*(G$3:G$102=G16)*(I$3:I$102="P"))+1,IF(N16&lt;&gt;"",SUMPRODUCT((N$3:N$102&lt;&gt;"")*(G$3:G$102=G16)*(J$3:J$102&gt;J16)*(I$3:I$102="P"))+1,IF(M16="P",SUMPRODUCT((O$3:O$102&lt;&gt;"")*(P$3:P$102="")*(G$3:G$102=G16)*(I$3:I$102="P"))+SUMPRODUCT((P$3:P$102&lt;&gt;"")*(G$3:G$102=G16)*(I$3:I$102="P"))+SUMPRODUCT((N$3:N$102&lt;&gt;"")*(G$3:G$102=G16)*(I$3:I$102="P"))+SUMPRODUCT((P$3:P$102="")*(O$3:O$102="")*(N$3:N$102="")*(M$3:M$102="P")*(G$3:G$102=G16)*(J$3:J$102&gt;J16)*(I$3:I$102="P"))+IF(H16="L5",SUMPRODUCT((P$3:P$102="")*(O$3:O$102="")*(N$3:N$102="")*(M$3:M$102="P")*(G$3:G$102=G16)*(J$3:J$102&lt;J16)*(H$3:H$102&lt;&gt;H16)*(I$3:I$102="P")),-1*SUMPRODUCT((P$3:P$102="")*(O$3:O$102="")*(N$3:N$102="")*(M$3:M$102="P")*(G$3:G$102=G16)*(J$3:J$102&gt;J16)*(H$3:H$102="L5")*(I$3:I$102="P")))+1,"")))))</f>
        <v/>
      </c>
      <c r="B16" s="1" t="str" cm="1">
        <f t="array" ref="B16">IF(P16&lt;&gt;"",SUMPRODUCT((P$3:P$102&lt;&gt;"")*(G$3:G$102=G16)*(J$3:J$102&gt;J16))+1,IF(O16&lt;&gt;"",SUMPRODUCT((O$3:O$102&lt;&gt;"")*(P$3:P$102="")*(G$3:G$102=G16)*(J$3:J$102&gt;J16))+SUMPRODUCT((P$3:P$102&lt;&gt;"")*(G$3:G$102=G16))+1,IF(N16&lt;&gt;"",SUMPRODUCT((N$3:N$102&lt;&gt;"")*(G$3:G$102=G16)*(J$3:J$102&gt;J16))+1,IF(M16="P",SUMPRODUCT((O$3:O$102&lt;&gt;"")*(P$3:P$102="")*(G$3:G$102=G16))+SUMPRODUCT((P$3:P$102&lt;&gt;"")*(G$3:G$102=G16))+SUMPRODUCT((N$3:N$102&lt;&gt;"")*(G$3:G$102=G16))+SUMPRODUCT((P$3:P$102="")*(O$3:O$102="")*(N$3:N$102="")*(M$3:M$102="P")*(G$3:G$102=G16)*(J$3:J$102&gt;J16))+IF(H16="L5",SUMPRODUCT((P$3:P$102="")*(O$3:O$102="")*(N$3:N$102="")*(M$3:M$102="P")*(G$3:G$102=G16)*(J$3:J$102&lt;J16)*(H$3:H$102&lt;&gt;H16)),-1*SUMPRODUCT((P$3:P$102="")*(O$3:O$102="")*(N$3:N$102="")*(M$3:M$102="P")*(G$3:G$102=G16)*(J$3:J$102&gt;J16)*(H$3:H$102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IF(AND(B16&lt;5,I16="P"),IF(_xlfn.MAXIFS(B:B,G:G,G16)&gt;3,5-B16,_xlfn.MAXIFS(B:B,G:G,G16)+1-B16),"")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$102&lt;&gt;"")*(G$3:G$102=G17)*(J$3:J$102&gt;J17)*(I$3:I$102="P"))+1,IF(O17&lt;&gt;"",SUMPRODUCT((O$3:O$102&lt;&gt;"")*(P$3:P$102="")*(G$3:G$102=G17)*(J$3:J$102&gt;J17)*(I$3:I$102="P"))+SUMPRODUCT((P$3:P$102&lt;&gt;"")*(G$3:G$102=G17)*(I$3:I$102="P"))+1,IF(N17&lt;&gt;"",SUMPRODUCT((N$3:N$102&lt;&gt;"")*(G$3:G$102=G17)*(J$3:J$102&gt;J17)*(I$3:I$102="P"))+1,IF(M17="P",SUMPRODUCT((O$3:O$102&lt;&gt;"")*(P$3:P$102="")*(G$3:G$102=G17)*(I$3:I$102="P"))+SUMPRODUCT((P$3:P$102&lt;&gt;"")*(G$3:G$102=G17)*(I$3:I$102="P"))+SUMPRODUCT((N$3:N$102&lt;&gt;"")*(G$3:G$102=G17)*(I$3:I$102="P"))+SUMPRODUCT((P$3:P$102="")*(O$3:O$102="")*(N$3:N$102="")*(M$3:M$102="P")*(G$3:G$102=G17)*(J$3:J$102&gt;J17)*(I$3:I$102="P"))+IF(H17="L5",SUMPRODUCT((P$3:P$102="")*(O$3:O$102="")*(N$3:N$102="")*(M$3:M$102="P")*(G$3:G$102=G17)*(J$3:J$102&lt;J17)*(H$3:H$102&lt;&gt;H17)*(I$3:I$102="P")),-1*SUMPRODUCT((P$3:P$102="")*(O$3:O$102="")*(N$3:N$102="")*(M$3:M$102="P")*(G$3:G$102=G17)*(J$3:J$102&gt;J17)*(H$3:H$102="L5")*(I$3:I$102="P")))+1,"")))))</f>
        <v/>
      </c>
      <c r="B17" s="1" t="str" cm="1">
        <f t="array" ref="B17">IF(P17&lt;&gt;"",SUMPRODUCT((P$3:P$102&lt;&gt;"")*(G$3:G$102=G17)*(J$3:J$102&gt;J17))+1,IF(O17&lt;&gt;"",SUMPRODUCT((O$3:O$102&lt;&gt;"")*(P$3:P$102="")*(G$3:G$102=G17)*(J$3:J$102&gt;J17))+SUMPRODUCT((P$3:P$102&lt;&gt;"")*(G$3:G$102=G17))+1,IF(N17&lt;&gt;"",SUMPRODUCT((N$3:N$102&lt;&gt;"")*(G$3:G$102=G17)*(J$3:J$102&gt;J17))+1,IF(M17="P",SUMPRODUCT((O$3:O$102&lt;&gt;"")*(P$3:P$102="")*(G$3:G$102=G17))+SUMPRODUCT((P$3:P$102&lt;&gt;"")*(G$3:G$102=G17))+SUMPRODUCT((N$3:N$102&lt;&gt;"")*(G$3:G$102=G17))+SUMPRODUCT((P$3:P$102="")*(O$3:O$102="")*(N$3:N$102="")*(M$3:M$102="P")*(G$3:G$102=G17)*(J$3:J$102&gt;J17))+IF(H17="L5",SUMPRODUCT((P$3:P$102="")*(O$3:O$102="")*(N$3:N$102="")*(M$3:M$102="P")*(G$3:G$102=G17)*(J$3:J$102&lt;J17)*(H$3:H$102&lt;&gt;H17)),-1*SUMPRODUCT((P$3:P$102="")*(O$3:O$102="")*(N$3:N$102="")*(M$3:M$102="P")*(G$3:G$102=G17)*(J$3:J$102&gt;J17)*(H$3:H$102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IF(AND(B17&lt;5,I17="P"),IF(_xlfn.MAXIFS(B:B,G:G,G17)&gt;3,5-B17,_xlfn.MAXIFS(B:B,G:G,G17)+1-B17),"")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$102&lt;&gt;"")*(G$3:G$102=G18)*(J$3:J$102&gt;J18)*(I$3:I$102="P"))+1,IF(O18&lt;&gt;"",SUMPRODUCT((O$3:O$102&lt;&gt;"")*(P$3:P$102="")*(G$3:G$102=G18)*(J$3:J$102&gt;J18)*(I$3:I$102="P"))+SUMPRODUCT((P$3:P$102&lt;&gt;"")*(G$3:G$102=G18)*(I$3:I$102="P"))+1,IF(N18&lt;&gt;"",SUMPRODUCT((N$3:N$102&lt;&gt;"")*(G$3:G$102=G18)*(J$3:J$102&gt;J18)*(I$3:I$102="P"))+1,IF(M18="P",SUMPRODUCT((O$3:O$102&lt;&gt;"")*(P$3:P$102="")*(G$3:G$102=G18)*(I$3:I$102="P"))+SUMPRODUCT((P$3:P$102&lt;&gt;"")*(G$3:G$102=G18)*(I$3:I$102="P"))+SUMPRODUCT((N$3:N$102&lt;&gt;"")*(G$3:G$102=G18)*(I$3:I$102="P"))+SUMPRODUCT((P$3:P$102="")*(O$3:O$102="")*(N$3:N$102="")*(M$3:M$102="P")*(G$3:G$102=G18)*(J$3:J$102&gt;J18)*(I$3:I$102="P"))+IF(H18="L5",SUMPRODUCT((P$3:P$102="")*(O$3:O$102="")*(N$3:N$102="")*(M$3:M$102="P")*(G$3:G$102=G18)*(J$3:J$102&lt;J18)*(H$3:H$102&lt;&gt;H18)*(I$3:I$102="P")),-1*SUMPRODUCT((P$3:P$102="")*(O$3:O$102="")*(N$3:N$102="")*(M$3:M$102="P")*(G$3:G$102=G18)*(J$3:J$102&gt;J18)*(H$3:H$102="L5")*(I$3:I$102="P")))+1,"")))))</f>
        <v/>
      </c>
      <c r="B18" s="1" t="str" cm="1">
        <f t="array" ref="B18">IF(P18&lt;&gt;"",SUMPRODUCT((P$3:P$102&lt;&gt;"")*(G$3:G$102=G18)*(J$3:J$102&gt;J18))+1,IF(O18&lt;&gt;"",SUMPRODUCT((O$3:O$102&lt;&gt;"")*(P$3:P$102="")*(G$3:G$102=G18)*(J$3:J$102&gt;J18))+SUMPRODUCT((P$3:P$102&lt;&gt;"")*(G$3:G$102=G18))+1,IF(N18&lt;&gt;"",SUMPRODUCT((N$3:N$102&lt;&gt;"")*(G$3:G$102=G18)*(J$3:J$102&gt;J18))+1,IF(M18="P",SUMPRODUCT((O$3:O$102&lt;&gt;"")*(P$3:P$102="")*(G$3:G$102=G18))+SUMPRODUCT((P$3:P$102&lt;&gt;"")*(G$3:G$102=G18))+SUMPRODUCT((N$3:N$102&lt;&gt;"")*(G$3:G$102=G18))+SUMPRODUCT((P$3:P$102="")*(O$3:O$102="")*(N$3:N$102="")*(M$3:M$102="P")*(G$3:G$102=G18)*(J$3:J$102&gt;J18))+IF(H18="L5",SUMPRODUCT((P$3:P$102="")*(O$3:O$102="")*(N$3:N$102="")*(M$3:M$102="P")*(G$3:G$102=G18)*(J$3:J$102&lt;J18)*(H$3:H$102&lt;&gt;H18)),-1*SUMPRODUCT((P$3:P$102="")*(O$3:O$102="")*(N$3:N$102="")*(M$3:M$102="P")*(G$3:G$102=G18)*(J$3:J$102&gt;J18)*(H$3:H$102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IF(AND(B18&lt;5,I18="P"),IF(_xlfn.MAXIFS(B:B,G:G,G18)&gt;3,5-B18,_xlfn.MAXIFS(B:B,G:G,G18)+1-B18),"")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$102&lt;&gt;"")*(G$3:G$102=G19)*(J$3:J$102&gt;J19)*(I$3:I$102="P"))+1,IF(O19&lt;&gt;"",SUMPRODUCT((O$3:O$102&lt;&gt;"")*(P$3:P$102="")*(G$3:G$102=G19)*(J$3:J$102&gt;J19)*(I$3:I$102="P"))+SUMPRODUCT((P$3:P$102&lt;&gt;"")*(G$3:G$102=G19)*(I$3:I$102="P"))+1,IF(N19&lt;&gt;"",SUMPRODUCT((N$3:N$102&lt;&gt;"")*(G$3:G$102=G19)*(J$3:J$102&gt;J19)*(I$3:I$102="P"))+1,IF(M19="P",SUMPRODUCT((O$3:O$102&lt;&gt;"")*(P$3:P$102="")*(G$3:G$102=G19)*(I$3:I$102="P"))+SUMPRODUCT((P$3:P$102&lt;&gt;"")*(G$3:G$102=G19)*(I$3:I$102="P"))+SUMPRODUCT((N$3:N$102&lt;&gt;"")*(G$3:G$102=G19)*(I$3:I$102="P"))+SUMPRODUCT((P$3:P$102="")*(O$3:O$102="")*(N$3:N$102="")*(M$3:M$102="P")*(G$3:G$102=G19)*(J$3:J$102&gt;J19)*(I$3:I$102="P"))+IF(H19="L5",SUMPRODUCT((P$3:P$102="")*(O$3:O$102="")*(N$3:N$102="")*(M$3:M$102="P")*(G$3:G$102=G19)*(J$3:J$102&lt;J19)*(H$3:H$102&lt;&gt;H19)*(I$3:I$102="P")),-1*SUMPRODUCT((P$3:P$102="")*(O$3:O$102="")*(N$3:N$102="")*(M$3:M$102="P")*(G$3:G$102=G19)*(J$3:J$102&gt;J19)*(H$3:H$102="L5")*(I$3:I$102="P")))+1,"")))))</f>
        <v/>
      </c>
      <c r="B19" s="1" t="str" cm="1">
        <f t="array" ref="B19">IF(P19&lt;&gt;"",SUMPRODUCT((P$3:P$102&lt;&gt;"")*(G$3:G$102=G19)*(J$3:J$102&gt;J19))+1,IF(O19&lt;&gt;"",SUMPRODUCT((O$3:O$102&lt;&gt;"")*(P$3:P$102="")*(G$3:G$102=G19)*(J$3:J$102&gt;J19))+SUMPRODUCT((P$3:P$102&lt;&gt;"")*(G$3:G$102=G19))+1,IF(N19&lt;&gt;"",SUMPRODUCT((N$3:N$102&lt;&gt;"")*(G$3:G$102=G19)*(J$3:J$102&gt;J19))+1,IF(M19="P",SUMPRODUCT((O$3:O$102&lt;&gt;"")*(P$3:P$102="")*(G$3:G$102=G19))+SUMPRODUCT((P$3:P$102&lt;&gt;"")*(G$3:G$102=G19))+SUMPRODUCT((N$3:N$102&lt;&gt;"")*(G$3:G$102=G19))+SUMPRODUCT((P$3:P$102="")*(O$3:O$102="")*(N$3:N$102="")*(M$3:M$102="P")*(G$3:G$102=G19)*(J$3:J$102&gt;J19))+IF(H19="L5",SUMPRODUCT((P$3:P$102="")*(O$3:O$102="")*(N$3:N$102="")*(M$3:M$102="P")*(G$3:G$102=G19)*(J$3:J$102&lt;J19)*(H$3:H$102&lt;&gt;H19)),-1*SUMPRODUCT((P$3:P$102="")*(O$3:O$102="")*(N$3:N$102="")*(M$3:M$102="P")*(G$3:G$102=G19)*(J$3:J$102&gt;J19)*(H$3:H$102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IF(AND(B19&lt;5,I19="P"),IF(_xlfn.MAXIFS(B:B,G:G,G19)&gt;3,5-B19,_xlfn.MAXIFS(B:B,G:G,G19)+1-B19),"")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$102&lt;&gt;"")*(G$3:G$102=G20)*(J$3:J$102&gt;J20)*(I$3:I$102="P"))+1,IF(O20&lt;&gt;"",SUMPRODUCT((O$3:O$102&lt;&gt;"")*(P$3:P$102="")*(G$3:G$102=G20)*(J$3:J$102&gt;J20)*(I$3:I$102="P"))+SUMPRODUCT((P$3:P$102&lt;&gt;"")*(G$3:G$102=G20)*(I$3:I$102="P"))+1,IF(N20&lt;&gt;"",SUMPRODUCT((N$3:N$102&lt;&gt;"")*(G$3:G$102=G20)*(J$3:J$102&gt;J20)*(I$3:I$102="P"))+1,IF(M20="P",SUMPRODUCT((O$3:O$102&lt;&gt;"")*(P$3:P$102="")*(G$3:G$102=G20)*(I$3:I$102="P"))+SUMPRODUCT((P$3:P$102&lt;&gt;"")*(G$3:G$102=G20)*(I$3:I$102="P"))+SUMPRODUCT((N$3:N$102&lt;&gt;"")*(G$3:G$102=G20)*(I$3:I$102="P"))+SUMPRODUCT((P$3:P$102="")*(O$3:O$102="")*(N$3:N$102="")*(M$3:M$102="P")*(G$3:G$102=G20)*(J$3:J$102&gt;J20)*(I$3:I$102="P"))+IF(H20="L5",SUMPRODUCT((P$3:P$102="")*(O$3:O$102="")*(N$3:N$102="")*(M$3:M$102="P")*(G$3:G$102=G20)*(J$3:J$102&lt;J20)*(H$3:H$102&lt;&gt;H20)*(I$3:I$102="P")),-1*SUMPRODUCT((P$3:P$102="")*(O$3:O$102="")*(N$3:N$102="")*(M$3:M$102="P")*(G$3:G$102=G20)*(J$3:J$102&gt;J20)*(H$3:H$102="L5")*(I$3:I$102="P")))+1,"")))))</f>
        <v/>
      </c>
      <c r="B20" s="1" t="str" cm="1">
        <f t="array" ref="B20">IF(P20&lt;&gt;"",SUMPRODUCT((P$3:P$102&lt;&gt;"")*(G$3:G$102=G20)*(J$3:J$102&gt;J20))+1,IF(O20&lt;&gt;"",SUMPRODUCT((O$3:O$102&lt;&gt;"")*(P$3:P$102="")*(G$3:G$102=G20)*(J$3:J$102&gt;J20))+SUMPRODUCT((P$3:P$102&lt;&gt;"")*(G$3:G$102=G20))+1,IF(N20&lt;&gt;"",SUMPRODUCT((N$3:N$102&lt;&gt;"")*(G$3:G$102=G20)*(J$3:J$102&gt;J20))+1,IF(M20="P",SUMPRODUCT((O$3:O$102&lt;&gt;"")*(P$3:P$102="")*(G$3:G$102=G20))+SUMPRODUCT((P$3:P$102&lt;&gt;"")*(G$3:G$102=G20))+SUMPRODUCT((N$3:N$102&lt;&gt;"")*(G$3:G$102=G20))+SUMPRODUCT((P$3:P$102="")*(O$3:O$102="")*(N$3:N$102="")*(M$3:M$102="P")*(G$3:G$102=G20)*(J$3:J$102&gt;J20))+IF(H20="L5",SUMPRODUCT((P$3:P$102="")*(O$3:O$102="")*(N$3:N$102="")*(M$3:M$102="P")*(G$3:G$102=G20)*(J$3:J$102&lt;J20)*(H$3:H$102&lt;&gt;H20)),-1*SUMPRODUCT((P$3:P$102="")*(O$3:O$102="")*(N$3:N$102="")*(M$3:M$102="P")*(G$3:G$102=G20)*(J$3:J$102&gt;J20)*(H$3:H$102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IF(AND(B20&lt;5,I20="P"),IF(_xlfn.MAXIFS(B:B,G:G,G20)&gt;3,5-B20,_xlfn.MAXIFS(B:B,G:G,G20)+1-B20),"")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$102&lt;&gt;"")*(G$3:G$102=G21)*(J$3:J$102&gt;J21)*(I$3:I$102="P"))+1,IF(O21&lt;&gt;"",SUMPRODUCT((O$3:O$102&lt;&gt;"")*(P$3:P$102="")*(G$3:G$102=G21)*(J$3:J$102&gt;J21)*(I$3:I$102="P"))+SUMPRODUCT((P$3:P$102&lt;&gt;"")*(G$3:G$102=G21)*(I$3:I$102="P"))+1,IF(N21&lt;&gt;"",SUMPRODUCT((N$3:N$102&lt;&gt;"")*(G$3:G$102=G21)*(J$3:J$102&gt;J21)*(I$3:I$102="P"))+1,IF(M21="P",SUMPRODUCT((O$3:O$102&lt;&gt;"")*(P$3:P$102="")*(G$3:G$102=G21)*(I$3:I$102="P"))+SUMPRODUCT((P$3:P$102&lt;&gt;"")*(G$3:G$102=G21)*(I$3:I$102="P"))+SUMPRODUCT((N$3:N$102&lt;&gt;"")*(G$3:G$102=G21)*(I$3:I$102="P"))+SUMPRODUCT((P$3:P$102="")*(O$3:O$102="")*(N$3:N$102="")*(M$3:M$102="P")*(G$3:G$102=G21)*(J$3:J$102&gt;J21)*(I$3:I$102="P"))+IF(H21="L5",SUMPRODUCT((P$3:P$102="")*(O$3:O$102="")*(N$3:N$102="")*(M$3:M$102="P")*(G$3:G$102=G21)*(J$3:J$102&lt;J21)*(H$3:H$102&lt;&gt;H21)*(I$3:I$102="P")),-1*SUMPRODUCT((P$3:P$102="")*(O$3:O$102="")*(N$3:N$102="")*(M$3:M$102="P")*(G$3:G$102=G21)*(J$3:J$102&gt;J21)*(H$3:H$102="L5")*(I$3:I$102="P")))+1,"")))))</f>
        <v/>
      </c>
      <c r="B21" s="1" t="str" cm="1">
        <f t="array" ref="B21">IF(P21&lt;&gt;"",SUMPRODUCT((P$3:P$102&lt;&gt;"")*(G$3:G$102=G21)*(J$3:J$102&gt;J21))+1,IF(O21&lt;&gt;"",SUMPRODUCT((O$3:O$102&lt;&gt;"")*(P$3:P$102="")*(G$3:G$102=G21)*(J$3:J$102&gt;J21))+SUMPRODUCT((P$3:P$102&lt;&gt;"")*(G$3:G$102=G21))+1,IF(N21&lt;&gt;"",SUMPRODUCT((N$3:N$102&lt;&gt;"")*(G$3:G$102=G21)*(J$3:J$102&gt;J21))+1,IF(M21="P",SUMPRODUCT((O$3:O$102&lt;&gt;"")*(P$3:P$102="")*(G$3:G$102=G21))+SUMPRODUCT((P$3:P$102&lt;&gt;"")*(G$3:G$102=G21))+SUMPRODUCT((N$3:N$102&lt;&gt;"")*(G$3:G$102=G21))+SUMPRODUCT((P$3:P$102="")*(O$3:O$102="")*(N$3:N$102="")*(M$3:M$102="P")*(G$3:G$102=G21)*(J$3:J$102&gt;J21))+IF(H21="L5",SUMPRODUCT((P$3:P$102="")*(O$3:O$102="")*(N$3:N$102="")*(M$3:M$102="P")*(G$3:G$102=G21)*(J$3:J$102&lt;J21)*(H$3:H$102&lt;&gt;H21)),-1*SUMPRODUCT((P$3:P$102="")*(O$3:O$102="")*(N$3:N$102="")*(M$3:M$102="P")*(G$3:G$102=G21)*(J$3:J$102&gt;J21)*(H$3:H$102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IF(AND(B21&lt;5,I21="P"),IF(_xlfn.MAXIFS(B:B,G:G,G21)&gt;3,5-B21,_xlfn.MAXIFS(B:B,G:G,G21)+1-B21),"")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$102&lt;&gt;"")*(G$3:G$102=G22)*(J$3:J$102&gt;J22)*(I$3:I$102="P"))+1,IF(O22&lt;&gt;"",SUMPRODUCT((O$3:O$102&lt;&gt;"")*(P$3:P$102="")*(G$3:G$102=G22)*(J$3:J$102&gt;J22)*(I$3:I$102="P"))+SUMPRODUCT((P$3:P$102&lt;&gt;"")*(G$3:G$102=G22)*(I$3:I$102="P"))+1,IF(N22&lt;&gt;"",SUMPRODUCT((N$3:N$102&lt;&gt;"")*(G$3:G$102=G22)*(J$3:J$102&gt;J22)*(I$3:I$102="P"))+1,IF(M22="P",SUMPRODUCT((O$3:O$102&lt;&gt;"")*(P$3:P$102="")*(G$3:G$102=G22)*(I$3:I$102="P"))+SUMPRODUCT((P$3:P$102&lt;&gt;"")*(G$3:G$102=G22)*(I$3:I$102="P"))+SUMPRODUCT((N$3:N$102&lt;&gt;"")*(G$3:G$102=G22)*(I$3:I$102="P"))+SUMPRODUCT((P$3:P$102="")*(O$3:O$102="")*(N$3:N$102="")*(M$3:M$102="P")*(G$3:G$102=G22)*(J$3:J$102&gt;J22)*(I$3:I$102="P"))+IF(H22="L5",SUMPRODUCT((P$3:P$102="")*(O$3:O$102="")*(N$3:N$102="")*(M$3:M$102="P")*(G$3:G$102=G22)*(J$3:J$102&lt;J22)*(H$3:H$102&lt;&gt;H22)*(I$3:I$102="P")),-1*SUMPRODUCT((P$3:P$102="")*(O$3:O$102="")*(N$3:N$102="")*(M$3:M$102="P")*(G$3:G$102=G22)*(J$3:J$102&gt;J22)*(H$3:H$102="L5")*(I$3:I$102="P")))+1,"")))))</f>
        <v/>
      </c>
      <c r="B22" s="1" t="str" cm="1">
        <f t="array" ref="B22">IF(P22&lt;&gt;"",SUMPRODUCT((P$3:P$102&lt;&gt;"")*(G$3:G$102=G22)*(J$3:J$102&gt;J22))+1,IF(O22&lt;&gt;"",SUMPRODUCT((O$3:O$102&lt;&gt;"")*(P$3:P$102="")*(G$3:G$102=G22)*(J$3:J$102&gt;J22))+SUMPRODUCT((P$3:P$102&lt;&gt;"")*(G$3:G$102=G22))+1,IF(N22&lt;&gt;"",SUMPRODUCT((N$3:N$102&lt;&gt;"")*(G$3:G$102=G22)*(J$3:J$102&gt;J22))+1,IF(M22="P",SUMPRODUCT((O$3:O$102&lt;&gt;"")*(P$3:P$102="")*(G$3:G$102=G22))+SUMPRODUCT((P$3:P$102&lt;&gt;"")*(G$3:G$102=G22))+SUMPRODUCT((N$3:N$102&lt;&gt;"")*(G$3:G$102=G22))+SUMPRODUCT((P$3:P$102="")*(O$3:O$102="")*(N$3:N$102="")*(M$3:M$102="P")*(G$3:G$102=G22)*(J$3:J$102&gt;J22))+IF(H22="L5",SUMPRODUCT((P$3:P$102="")*(O$3:O$102="")*(N$3:N$102="")*(M$3:M$102="P")*(G$3:G$102=G22)*(J$3:J$102&lt;J22)*(H$3:H$102&lt;&gt;H22)),-1*SUMPRODUCT((P$3:P$102="")*(O$3:O$102="")*(N$3:N$102="")*(M$3:M$102="P")*(G$3:G$102=G22)*(J$3:J$102&gt;J22)*(H$3:H$102="L5")))+1,""))))</f>
        <v/>
      </c>
      <c r="C22" s="35" t="s">
        <v>419</v>
      </c>
      <c r="D22" t="str">
        <f>IF(E22="","",VLOOKUP(E22,'Coaching Points'!A:B,2,0))</f>
        <v>ON</v>
      </c>
      <c r="E22" s="35" t="s">
        <v>37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IF(AND(B22&lt;5,I22="P"),IF(_xlfn.MAXIFS(B:B,G:G,G22)&gt;3,5-B22,_xlfn.MAXIFS(B:B,G:G,G22)+1-B22),"")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$102&lt;&gt;"")*(G$3:G$102=G23)*(J$3:J$102&gt;J23)*(I$3:I$102="P"))+1,IF(O23&lt;&gt;"",SUMPRODUCT((O$3:O$102&lt;&gt;"")*(P$3:P$102="")*(G$3:G$102=G23)*(J$3:J$102&gt;J23)*(I$3:I$102="P"))+SUMPRODUCT((P$3:P$102&lt;&gt;"")*(G$3:G$102=G23)*(I$3:I$102="P"))+1,IF(N23&lt;&gt;"",SUMPRODUCT((N$3:N$102&lt;&gt;"")*(G$3:G$102=G23)*(J$3:J$102&gt;J23)*(I$3:I$102="P"))+1,IF(M23="P",SUMPRODUCT((O$3:O$102&lt;&gt;"")*(P$3:P$102="")*(G$3:G$102=G23)*(I$3:I$102="P"))+SUMPRODUCT((P$3:P$102&lt;&gt;"")*(G$3:G$102=G23)*(I$3:I$102="P"))+SUMPRODUCT((N$3:N$102&lt;&gt;"")*(G$3:G$102=G23)*(I$3:I$102="P"))+SUMPRODUCT((P$3:P$102="")*(O$3:O$102="")*(N$3:N$102="")*(M$3:M$102="P")*(G$3:G$102=G23)*(J$3:J$102&gt;J23)*(I$3:I$102="P"))+IF(H23="L5",SUMPRODUCT((P$3:P$102="")*(O$3:O$102="")*(N$3:N$102="")*(M$3:M$102="P")*(G$3:G$102=G23)*(J$3:J$102&lt;J23)*(H$3:H$102&lt;&gt;H23)*(I$3:I$102="P")),-1*SUMPRODUCT((P$3:P$102="")*(O$3:O$102="")*(N$3:N$102="")*(M$3:M$102="P")*(G$3:G$102=G23)*(J$3:J$102&gt;J23)*(H$3:H$102="L5")*(I$3:I$102="P")))+1,"")))))</f>
        <v/>
      </c>
      <c r="B23" s="1" t="str" cm="1">
        <f t="array" ref="B23">IF(P23&lt;&gt;"",SUMPRODUCT((P$3:P$102&lt;&gt;"")*(G$3:G$102=G23)*(J$3:J$102&gt;J23))+1,IF(O23&lt;&gt;"",SUMPRODUCT((O$3:O$102&lt;&gt;"")*(P$3:P$102="")*(G$3:G$102=G23)*(J$3:J$102&gt;J23))+SUMPRODUCT((P$3:P$102&lt;&gt;"")*(G$3:G$102=G23))+1,IF(N23&lt;&gt;"",SUMPRODUCT((N$3:N$102&lt;&gt;"")*(G$3:G$102=G23)*(J$3:J$102&gt;J23))+1,IF(M23="P",SUMPRODUCT((O$3:O$102&lt;&gt;"")*(P$3:P$102="")*(G$3:G$102=G23))+SUMPRODUCT((P$3:P$102&lt;&gt;"")*(G$3:G$102=G23))+SUMPRODUCT((N$3:N$102&lt;&gt;"")*(G$3:G$102=G23))+SUMPRODUCT((P$3:P$102="")*(O$3:O$102="")*(N$3:N$102="")*(M$3:M$102="P")*(G$3:G$102=G23)*(J$3:J$102&gt;J23))+IF(H23="L5",SUMPRODUCT((P$3:P$102="")*(O$3:O$102="")*(N$3:N$102="")*(M$3:M$102="P")*(G$3:G$102=G23)*(J$3:J$102&lt;J23)*(H$3:H$102&lt;&gt;H23)),-1*SUMPRODUCT((P$3:P$102="")*(O$3:O$102="")*(N$3:N$102="")*(M$3:M$102="P")*(G$3:G$102=G23)*(J$3:J$102&gt;J23)*(H$3:H$102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IF(AND(B23&lt;5,I23="P"),IF(_xlfn.MAXIFS(B:B,G:G,G23)&gt;3,5-B23,_xlfn.MAXIFS(B:B,G:G,G23)+1-B23),"")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$102&lt;&gt;"")*(G$3:G$102=G24)*(J$3:J$102&gt;J24)*(I$3:I$102="P"))+1,IF(O24&lt;&gt;"",SUMPRODUCT((O$3:O$102&lt;&gt;"")*(P$3:P$102="")*(G$3:G$102=G24)*(J$3:J$102&gt;J24)*(I$3:I$102="P"))+SUMPRODUCT((P$3:P$102&lt;&gt;"")*(G$3:G$102=G24)*(I$3:I$102="P"))+1,IF(N24&lt;&gt;"",SUMPRODUCT((N$3:N$102&lt;&gt;"")*(G$3:G$102=G24)*(J$3:J$102&gt;J24)*(I$3:I$102="P"))+1,IF(M24="P",SUMPRODUCT((O$3:O$102&lt;&gt;"")*(P$3:P$102="")*(G$3:G$102=G24)*(I$3:I$102="P"))+SUMPRODUCT((P$3:P$102&lt;&gt;"")*(G$3:G$102=G24)*(I$3:I$102="P"))+SUMPRODUCT((N$3:N$102&lt;&gt;"")*(G$3:G$102=G24)*(I$3:I$102="P"))+SUMPRODUCT((P$3:P$102="")*(O$3:O$102="")*(N$3:N$102="")*(M$3:M$102="P")*(G$3:G$102=G24)*(J$3:J$102&gt;J24)*(I$3:I$102="P"))+IF(H24="L5",SUMPRODUCT((P$3:P$102="")*(O$3:O$102="")*(N$3:N$102="")*(M$3:M$102="P")*(G$3:G$102=G24)*(J$3:J$102&lt;J24)*(H$3:H$102&lt;&gt;H24)*(I$3:I$102="P")),-1*SUMPRODUCT((P$3:P$102="")*(O$3:O$102="")*(N$3:N$102="")*(M$3:M$102="P")*(G$3:G$102=G24)*(J$3:J$102&gt;J24)*(H$3:H$102="L5")*(I$3:I$102="P")))+1,"")))))</f>
        <v/>
      </c>
      <c r="B24" s="1" t="str" cm="1">
        <f t="array" ref="B24">IF(P24&lt;&gt;"",SUMPRODUCT((P$3:P$102&lt;&gt;"")*(G$3:G$102=G24)*(J$3:J$102&gt;J24))+1,IF(O24&lt;&gt;"",SUMPRODUCT((O$3:O$102&lt;&gt;"")*(P$3:P$102="")*(G$3:G$102=G24)*(J$3:J$102&gt;J24))+SUMPRODUCT((P$3:P$102&lt;&gt;"")*(G$3:G$102=G24))+1,IF(N24&lt;&gt;"",SUMPRODUCT((N$3:N$102&lt;&gt;"")*(G$3:G$102=G24)*(J$3:J$102&gt;J24))+1,IF(M24="P",SUMPRODUCT((O$3:O$102&lt;&gt;"")*(P$3:P$102="")*(G$3:G$102=G24))+SUMPRODUCT((P$3:P$102&lt;&gt;"")*(G$3:G$102=G24))+SUMPRODUCT((N$3:N$102&lt;&gt;"")*(G$3:G$102=G24))+SUMPRODUCT((P$3:P$102="")*(O$3:O$102="")*(N$3:N$102="")*(M$3:M$102="P")*(G$3:G$102=G24)*(J$3:J$102&gt;J24))+IF(H24="L5",SUMPRODUCT((P$3:P$102="")*(O$3:O$102="")*(N$3:N$102="")*(M$3:M$102="P")*(G$3:G$102=G24)*(J$3:J$102&lt;J24)*(H$3:H$102&lt;&gt;H24)),-1*SUMPRODUCT((P$3:P$102="")*(O$3:O$102="")*(N$3:N$102="")*(M$3:M$102="P")*(G$3:G$102=G24)*(J$3:J$102&gt;J24)*(H$3:H$102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IF(AND(B24&lt;5,I24="P"),IF(_xlfn.MAXIFS(B:B,G:G,G24)&gt;3,5-B24,_xlfn.MAXIFS(B:B,G:G,G24)+1-B24),"")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$102&lt;&gt;"")*(G$3:G$102=G25)*(J$3:J$102&gt;J25)*(I$3:I$102="P"))+1,IF(O25&lt;&gt;"",SUMPRODUCT((O$3:O$102&lt;&gt;"")*(P$3:P$102="")*(G$3:G$102=G25)*(J$3:J$102&gt;J25)*(I$3:I$102="P"))+SUMPRODUCT((P$3:P$102&lt;&gt;"")*(G$3:G$102=G25)*(I$3:I$102="P"))+1,IF(N25&lt;&gt;"",SUMPRODUCT((N$3:N$102&lt;&gt;"")*(G$3:G$102=G25)*(J$3:J$102&gt;J25)*(I$3:I$102="P"))+1,IF(M25="P",SUMPRODUCT((O$3:O$102&lt;&gt;"")*(P$3:P$102="")*(G$3:G$102=G25)*(I$3:I$102="P"))+SUMPRODUCT((P$3:P$102&lt;&gt;"")*(G$3:G$102=G25)*(I$3:I$102="P"))+SUMPRODUCT((N$3:N$102&lt;&gt;"")*(G$3:G$102=G25)*(I$3:I$102="P"))+SUMPRODUCT((P$3:P$102="")*(O$3:O$102="")*(N$3:N$102="")*(M$3:M$102="P")*(G$3:G$102=G25)*(J$3:J$102&gt;J25)*(I$3:I$102="P"))+IF(H25="L5",SUMPRODUCT((P$3:P$102="")*(O$3:O$102="")*(N$3:N$102="")*(M$3:M$102="P")*(G$3:G$102=G25)*(J$3:J$102&lt;J25)*(H$3:H$102&lt;&gt;H25)*(I$3:I$102="P")),-1*SUMPRODUCT((P$3:P$102="")*(O$3:O$102="")*(N$3:N$102="")*(M$3:M$102="P")*(G$3:G$102=G25)*(J$3:J$102&gt;J25)*(H$3:H$102="L5")*(I$3:I$102="P")))+1,"")))))</f>
        <v/>
      </c>
      <c r="B25" s="1" t="str" cm="1">
        <f t="array" ref="B25">IF(P25&lt;&gt;"",SUMPRODUCT((P$3:P$102&lt;&gt;"")*(G$3:G$102=G25)*(J$3:J$102&gt;J25))+1,IF(O25&lt;&gt;"",SUMPRODUCT((O$3:O$102&lt;&gt;"")*(P$3:P$102="")*(G$3:G$102=G25)*(J$3:J$102&gt;J25))+SUMPRODUCT((P$3:P$102&lt;&gt;"")*(G$3:G$102=G25))+1,IF(N25&lt;&gt;"",SUMPRODUCT((N$3:N$102&lt;&gt;"")*(G$3:G$102=G25)*(J$3:J$102&gt;J25))+1,IF(M25="P",SUMPRODUCT((O$3:O$102&lt;&gt;"")*(P$3:P$102="")*(G$3:G$102=G25))+SUMPRODUCT((P$3:P$102&lt;&gt;"")*(G$3:G$102=G25))+SUMPRODUCT((N$3:N$102&lt;&gt;"")*(G$3:G$102=G25))+SUMPRODUCT((P$3:P$102="")*(O$3:O$102="")*(N$3:N$102="")*(M$3:M$102="P")*(G$3:G$102=G25)*(J$3:J$102&gt;J25))+IF(H25="L5",SUMPRODUCT((P$3:P$102="")*(O$3:O$102="")*(N$3:N$102="")*(M$3:M$102="P")*(G$3:G$102=G25)*(J$3:J$102&lt;J25)*(H$3:H$102&lt;&gt;H25)),-1*SUMPRODUCT((P$3:P$102="")*(O$3:O$102="")*(N$3:N$102="")*(M$3:M$102="P")*(G$3:G$102=G25)*(J$3:J$102&gt;J25)*(H$3:H$102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IF(AND(B25&lt;5,I25="P"),IF(_xlfn.MAXIFS(B:B,G:G,G25)&gt;3,5-B25,_xlfn.MAXIFS(B:B,G:G,G25)+1-B25),"")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$102&lt;&gt;"")*(G$3:G$102=G26)*(J$3:J$102&gt;J26)*(I$3:I$102="P"))+1,IF(O26&lt;&gt;"",SUMPRODUCT((O$3:O$102&lt;&gt;"")*(P$3:P$102="")*(G$3:G$102=G26)*(J$3:J$102&gt;J26)*(I$3:I$102="P"))+SUMPRODUCT((P$3:P$102&lt;&gt;"")*(G$3:G$102=G26)*(I$3:I$102="P"))+1,IF(N26&lt;&gt;"",SUMPRODUCT((N$3:N$102&lt;&gt;"")*(G$3:G$102=G26)*(J$3:J$102&gt;J26)*(I$3:I$102="P"))+1,IF(M26="P",SUMPRODUCT((O$3:O$102&lt;&gt;"")*(P$3:P$102="")*(G$3:G$102=G26)*(I$3:I$102="P"))+SUMPRODUCT((P$3:P$102&lt;&gt;"")*(G$3:G$102=G26)*(I$3:I$102="P"))+SUMPRODUCT((N$3:N$102&lt;&gt;"")*(G$3:G$102=G26)*(I$3:I$102="P"))+SUMPRODUCT((P$3:P$102="")*(O$3:O$102="")*(N$3:N$102="")*(M$3:M$102="P")*(G$3:G$102=G26)*(J$3:J$102&gt;J26)*(I$3:I$102="P"))+IF(H26="L5",SUMPRODUCT((P$3:P$102="")*(O$3:O$102="")*(N$3:N$102="")*(M$3:M$102="P")*(G$3:G$102=G26)*(J$3:J$102&lt;J26)*(H$3:H$102&lt;&gt;H26)*(I$3:I$102="P")),-1*SUMPRODUCT((P$3:P$102="")*(O$3:O$102="")*(N$3:N$102="")*(M$3:M$102="P")*(G$3:G$102=G26)*(J$3:J$102&gt;J26)*(H$3:H$102="L5")*(I$3:I$102="P")))+1,"")))))</f>
        <v/>
      </c>
      <c r="B26" s="1" t="str" cm="1">
        <f t="array" ref="B26">IF(P26&lt;&gt;"",SUMPRODUCT((P$3:P$102&lt;&gt;"")*(G$3:G$102=G26)*(J$3:J$102&gt;J26))+1,IF(O26&lt;&gt;"",SUMPRODUCT((O$3:O$102&lt;&gt;"")*(P$3:P$102="")*(G$3:G$102=G26)*(J$3:J$102&gt;J26))+SUMPRODUCT((P$3:P$102&lt;&gt;"")*(G$3:G$102=G26))+1,IF(N26&lt;&gt;"",SUMPRODUCT((N$3:N$102&lt;&gt;"")*(G$3:G$102=G26)*(J$3:J$102&gt;J26))+1,IF(M26="P",SUMPRODUCT((O$3:O$102&lt;&gt;"")*(P$3:P$102="")*(G$3:G$102=G26))+SUMPRODUCT((P$3:P$102&lt;&gt;"")*(G$3:G$102=G26))+SUMPRODUCT((N$3:N$102&lt;&gt;"")*(G$3:G$102=G26))+SUMPRODUCT((P$3:P$102="")*(O$3:O$102="")*(N$3:N$102="")*(M$3:M$102="P")*(G$3:G$102=G26)*(J$3:J$102&gt;J26))+IF(H26="L5",SUMPRODUCT((P$3:P$102="")*(O$3:O$102="")*(N$3:N$102="")*(M$3:M$102="P")*(G$3:G$102=G26)*(J$3:J$102&lt;J26)*(H$3:H$102&lt;&gt;H26)),-1*SUMPRODUCT((P$3:P$102="")*(O$3:O$102="")*(N$3:N$102="")*(M$3:M$102="P")*(G$3:G$102=G26)*(J$3:J$102&gt;J26)*(H$3:H$102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IF(AND(B26&lt;5,I26="P"),IF(_xlfn.MAXIFS(B:B,G:G,G26)&gt;3,5-B26,_xlfn.MAXIFS(B:B,G:G,G26)+1-B26),"")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$102&lt;&gt;"")*(G$3:G$102=G27)*(J$3:J$102&gt;J27)*(I$3:I$102="P"))+1,IF(O27&lt;&gt;"",SUMPRODUCT((O$3:O$102&lt;&gt;"")*(P$3:P$102="")*(G$3:G$102=G27)*(J$3:J$102&gt;J27)*(I$3:I$102="P"))+SUMPRODUCT((P$3:P$102&lt;&gt;"")*(G$3:G$102=G27)*(I$3:I$102="P"))+1,IF(N27&lt;&gt;"",SUMPRODUCT((N$3:N$102&lt;&gt;"")*(G$3:G$102=G27)*(J$3:J$102&gt;J27)*(I$3:I$102="P"))+1,IF(M27="P",SUMPRODUCT((O$3:O$102&lt;&gt;"")*(P$3:P$102="")*(G$3:G$102=G27)*(I$3:I$102="P"))+SUMPRODUCT((P$3:P$102&lt;&gt;"")*(G$3:G$102=G27)*(I$3:I$102="P"))+SUMPRODUCT((N$3:N$102&lt;&gt;"")*(G$3:G$102=G27)*(I$3:I$102="P"))+SUMPRODUCT((P$3:P$102="")*(O$3:O$102="")*(N$3:N$102="")*(M$3:M$102="P")*(G$3:G$102=G27)*(J$3:J$102&gt;J27)*(I$3:I$102="P"))+IF(H27="L5",SUMPRODUCT((P$3:P$102="")*(O$3:O$102="")*(N$3:N$102="")*(M$3:M$102="P")*(G$3:G$102=G27)*(J$3:J$102&lt;J27)*(H$3:H$102&lt;&gt;H27)*(I$3:I$102="P")),-1*SUMPRODUCT((P$3:P$102="")*(O$3:O$102="")*(N$3:N$102="")*(M$3:M$102="P")*(G$3:G$102=G27)*(J$3:J$102&gt;J27)*(H$3:H$102="L5")*(I$3:I$102="P")))+1,"")))))</f>
        <v/>
      </c>
      <c r="B27" s="1" t="str" cm="1">
        <f t="array" ref="B27">IF(P27&lt;&gt;"",SUMPRODUCT((P$3:P$102&lt;&gt;"")*(G$3:G$102=G27)*(J$3:J$102&gt;J27))+1,IF(O27&lt;&gt;"",SUMPRODUCT((O$3:O$102&lt;&gt;"")*(P$3:P$102="")*(G$3:G$102=G27)*(J$3:J$102&gt;J27))+SUMPRODUCT((P$3:P$102&lt;&gt;"")*(G$3:G$102=G27))+1,IF(N27&lt;&gt;"",SUMPRODUCT((N$3:N$102&lt;&gt;"")*(G$3:G$102=G27)*(J$3:J$102&gt;J27))+1,IF(M27="P",SUMPRODUCT((O$3:O$102&lt;&gt;"")*(P$3:P$102="")*(G$3:G$102=G27))+SUMPRODUCT((P$3:P$102&lt;&gt;"")*(G$3:G$102=G27))+SUMPRODUCT((N$3:N$102&lt;&gt;"")*(G$3:G$102=G27))+SUMPRODUCT((P$3:P$102="")*(O$3:O$102="")*(N$3:N$102="")*(M$3:M$102="P")*(G$3:G$102=G27)*(J$3:J$102&gt;J27))+IF(H27="L5",SUMPRODUCT((P$3:P$102="")*(O$3:O$102="")*(N$3:N$102="")*(M$3:M$102="P")*(G$3:G$102=G27)*(J$3:J$102&lt;J27)*(H$3:H$102&lt;&gt;H27)),-1*SUMPRODUCT((P$3:P$102="")*(O$3:O$102="")*(N$3:N$102="")*(M$3:M$102="P")*(G$3:G$102=G27)*(J$3:J$102&gt;J27)*(H$3:H$102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IF(AND(B27&lt;5,I27="P"),IF(_xlfn.MAXIFS(B:B,G:G,G27)&gt;3,5-B27,_xlfn.MAXIFS(B:B,G:G,G27)+1-B27),"")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$102&lt;&gt;"")*(G$3:G$102=G28)*(J$3:J$102&gt;J28)*(I$3:I$102="P"))+1,IF(O28&lt;&gt;"",SUMPRODUCT((O$3:O$102&lt;&gt;"")*(P$3:P$102="")*(G$3:G$102=G28)*(J$3:J$102&gt;J28)*(I$3:I$102="P"))+SUMPRODUCT((P$3:P$102&lt;&gt;"")*(G$3:G$102=G28)*(I$3:I$102="P"))+1,IF(N28&lt;&gt;"",SUMPRODUCT((N$3:N$102&lt;&gt;"")*(G$3:G$102=G28)*(J$3:J$102&gt;J28)*(I$3:I$102="P"))+1,IF(M28="P",SUMPRODUCT((O$3:O$102&lt;&gt;"")*(P$3:P$102="")*(G$3:G$102=G28)*(I$3:I$102="P"))+SUMPRODUCT((P$3:P$102&lt;&gt;"")*(G$3:G$102=G28)*(I$3:I$102="P"))+SUMPRODUCT((N$3:N$102&lt;&gt;"")*(G$3:G$102=G28)*(I$3:I$102="P"))+SUMPRODUCT((P$3:P$102="")*(O$3:O$102="")*(N$3:N$102="")*(M$3:M$102="P")*(G$3:G$102=G28)*(J$3:J$102&gt;J28)*(I$3:I$102="P"))+IF(H28="L5",SUMPRODUCT((P$3:P$102="")*(O$3:O$102="")*(N$3:N$102="")*(M$3:M$102="P")*(G$3:G$102=G28)*(J$3:J$102&lt;J28)*(H$3:H$102&lt;&gt;H28)*(I$3:I$102="P")),-1*SUMPRODUCT((P$3:P$102="")*(O$3:O$102="")*(N$3:N$102="")*(M$3:M$102="P")*(G$3:G$102=G28)*(J$3:J$102&gt;J28)*(H$3:H$102="L5")*(I$3:I$102="P")))+1,"")))))</f>
        <v/>
      </c>
      <c r="B28" s="1" t="str" cm="1">
        <f t="array" ref="B28">IF(P28&lt;&gt;"",SUMPRODUCT((P$3:P$102&lt;&gt;"")*(G$3:G$102=G28)*(J$3:J$102&gt;J28))+1,IF(O28&lt;&gt;"",SUMPRODUCT((O$3:O$102&lt;&gt;"")*(P$3:P$102="")*(G$3:G$102=G28)*(J$3:J$102&gt;J28))+SUMPRODUCT((P$3:P$102&lt;&gt;"")*(G$3:G$102=G28))+1,IF(N28&lt;&gt;"",SUMPRODUCT((N$3:N$102&lt;&gt;"")*(G$3:G$102=G28)*(J$3:J$102&gt;J28))+1,IF(M28="P",SUMPRODUCT((O$3:O$102&lt;&gt;"")*(P$3:P$102="")*(G$3:G$102=G28))+SUMPRODUCT((P$3:P$102&lt;&gt;"")*(G$3:G$102=G28))+SUMPRODUCT((N$3:N$102&lt;&gt;"")*(G$3:G$102=G28))+SUMPRODUCT((P$3:P$102="")*(O$3:O$102="")*(N$3:N$102="")*(M$3:M$102="P")*(G$3:G$102=G28)*(J$3:J$102&gt;J28))+IF(H28="L5",SUMPRODUCT((P$3:P$102="")*(O$3:O$102="")*(N$3:N$102="")*(M$3:M$102="P")*(G$3:G$102=G28)*(J$3:J$102&lt;J28)*(H$3:H$102&lt;&gt;H28)),-1*SUMPRODUCT((P$3:P$102="")*(O$3:O$102="")*(N$3:N$102="")*(M$3:M$102="P")*(G$3:G$102=G28)*(J$3:J$102&gt;J28)*(H$3:H$102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IF(AND(B28&lt;5,I28="P"),IF(_xlfn.MAXIFS(B:B,G:G,G28)&gt;3,5-B28,_xlfn.MAXIFS(B:B,G:G,G28)+1-B28),"")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$102&lt;&gt;"")*(G$3:G$102=G29)*(J$3:J$102&gt;J29)*(I$3:I$102="P"))+1,IF(O29&lt;&gt;"",SUMPRODUCT((O$3:O$102&lt;&gt;"")*(P$3:P$102="")*(G$3:G$102=G29)*(J$3:J$102&gt;J29)*(I$3:I$102="P"))+SUMPRODUCT((P$3:P$102&lt;&gt;"")*(G$3:G$102=G29)*(I$3:I$102="P"))+1,IF(N29&lt;&gt;"",SUMPRODUCT((N$3:N$102&lt;&gt;"")*(G$3:G$102=G29)*(J$3:J$102&gt;J29)*(I$3:I$102="P"))+1,IF(M29="P",SUMPRODUCT((O$3:O$102&lt;&gt;"")*(P$3:P$102="")*(G$3:G$102=G29)*(I$3:I$102="P"))+SUMPRODUCT((P$3:P$102&lt;&gt;"")*(G$3:G$102=G29)*(I$3:I$102="P"))+SUMPRODUCT((N$3:N$102&lt;&gt;"")*(G$3:G$102=G29)*(I$3:I$102="P"))+SUMPRODUCT((P$3:P$102="")*(O$3:O$102="")*(N$3:N$102="")*(M$3:M$102="P")*(G$3:G$102=G29)*(J$3:J$102&gt;J29)*(I$3:I$102="P"))+IF(H29="L5",SUMPRODUCT((P$3:P$102="")*(O$3:O$102="")*(N$3:N$102="")*(M$3:M$102="P")*(G$3:G$102=G29)*(J$3:J$102&lt;J29)*(H$3:H$102&lt;&gt;H29)*(I$3:I$102="P")),-1*SUMPRODUCT((P$3:P$102="")*(O$3:O$102="")*(N$3:N$102="")*(M$3:M$102="P")*(G$3:G$102=G29)*(J$3:J$102&gt;J29)*(H$3:H$102="L5")*(I$3:I$102="P")))+1,"")))))</f>
        <v/>
      </c>
      <c r="B29" s="1" t="str" cm="1">
        <f t="array" ref="B29">IF(P29&lt;&gt;"",SUMPRODUCT((P$3:P$102&lt;&gt;"")*(G$3:G$102=G29)*(J$3:J$102&gt;J29))+1,IF(O29&lt;&gt;"",SUMPRODUCT((O$3:O$102&lt;&gt;"")*(P$3:P$102="")*(G$3:G$102=G29)*(J$3:J$102&gt;J29))+SUMPRODUCT((P$3:P$102&lt;&gt;"")*(G$3:G$102=G29))+1,IF(N29&lt;&gt;"",SUMPRODUCT((N$3:N$102&lt;&gt;"")*(G$3:G$102=G29)*(J$3:J$102&gt;J29))+1,IF(M29="P",SUMPRODUCT((O$3:O$102&lt;&gt;"")*(P$3:P$102="")*(G$3:G$102=G29))+SUMPRODUCT((P$3:P$102&lt;&gt;"")*(G$3:G$102=G29))+SUMPRODUCT((N$3:N$102&lt;&gt;"")*(G$3:G$102=G29))+SUMPRODUCT((P$3:P$102="")*(O$3:O$102="")*(N$3:N$102="")*(M$3:M$102="P")*(G$3:G$102=G29)*(J$3:J$102&gt;J29))+IF(H29="L5",SUMPRODUCT((P$3:P$102="")*(O$3:O$102="")*(N$3:N$102="")*(M$3:M$102="P")*(G$3:G$102=G29)*(J$3:J$102&lt;J29)*(H$3:H$102&lt;&gt;H29)),-1*SUMPRODUCT((P$3:P$102="")*(O$3:O$102="")*(N$3:N$102="")*(M$3:M$102="P")*(G$3:G$102=G29)*(J$3:J$102&gt;J29)*(H$3:H$102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IF(AND(B29&lt;5,I29="P"),IF(_xlfn.MAXIFS(B:B,G:G,G29)&gt;3,5-B29,_xlfn.MAXIFS(B:B,G:G,G29)+1-B29),"")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$102&lt;&gt;"")*(G$3:G$102=G30)*(J$3:J$102&gt;J30)*(I$3:I$102="P"))+1,IF(O30&lt;&gt;"",SUMPRODUCT((O$3:O$102&lt;&gt;"")*(P$3:P$102="")*(G$3:G$102=G30)*(J$3:J$102&gt;J30)*(I$3:I$102="P"))+SUMPRODUCT((P$3:P$102&lt;&gt;"")*(G$3:G$102=G30)*(I$3:I$102="P"))+1,IF(N30&lt;&gt;"",SUMPRODUCT((N$3:N$102&lt;&gt;"")*(G$3:G$102=G30)*(J$3:J$102&gt;J30)*(I$3:I$102="P"))+1,IF(M30="P",SUMPRODUCT((O$3:O$102&lt;&gt;"")*(P$3:P$102="")*(G$3:G$102=G30)*(I$3:I$102="P"))+SUMPRODUCT((P$3:P$102&lt;&gt;"")*(G$3:G$102=G30)*(I$3:I$102="P"))+SUMPRODUCT((N$3:N$102&lt;&gt;"")*(G$3:G$102=G30)*(I$3:I$102="P"))+SUMPRODUCT((P$3:P$102="")*(O$3:O$102="")*(N$3:N$102="")*(M$3:M$102="P")*(G$3:G$102=G30)*(J$3:J$102&gt;J30)*(I$3:I$102="P"))+IF(H30="L5",SUMPRODUCT((P$3:P$102="")*(O$3:O$102="")*(N$3:N$102="")*(M$3:M$102="P")*(G$3:G$102=G30)*(J$3:J$102&lt;J30)*(H$3:H$102&lt;&gt;H30)*(I$3:I$102="P")),-1*SUMPRODUCT((P$3:P$102="")*(O$3:O$102="")*(N$3:N$102="")*(M$3:M$102="P")*(G$3:G$102=G30)*(J$3:J$102&gt;J30)*(H$3:H$102="L5")*(I$3:I$102="P")))+1,"")))))</f>
        <v/>
      </c>
      <c r="B30" s="1" t="str" cm="1">
        <f t="array" ref="B30">IF(P30&lt;&gt;"",SUMPRODUCT((P$3:P$102&lt;&gt;"")*(G$3:G$102=G30)*(J$3:J$102&gt;J30))+1,IF(O30&lt;&gt;"",SUMPRODUCT((O$3:O$102&lt;&gt;"")*(P$3:P$102="")*(G$3:G$102=G30)*(J$3:J$102&gt;J30))+SUMPRODUCT((P$3:P$102&lt;&gt;"")*(G$3:G$102=G30))+1,IF(N30&lt;&gt;"",SUMPRODUCT((N$3:N$102&lt;&gt;"")*(G$3:G$102=G30)*(J$3:J$102&gt;J30))+1,IF(M30="P",SUMPRODUCT((O$3:O$102&lt;&gt;"")*(P$3:P$102="")*(G$3:G$102=G30))+SUMPRODUCT((P$3:P$102&lt;&gt;"")*(G$3:G$102=G30))+SUMPRODUCT((N$3:N$102&lt;&gt;"")*(G$3:G$102=G30))+SUMPRODUCT((P$3:P$102="")*(O$3:O$102="")*(N$3:N$102="")*(M$3:M$102="P")*(G$3:G$102=G30)*(J$3:J$102&gt;J30))+IF(H30="L5",SUMPRODUCT((P$3:P$102="")*(O$3:O$102="")*(N$3:N$102="")*(M$3:M$102="P")*(G$3:G$102=G30)*(J$3:J$102&lt;J30)*(H$3:H$102&lt;&gt;H30)),-1*SUMPRODUCT((P$3:P$102="")*(O$3:O$102="")*(N$3:N$102="")*(M$3:M$102="P")*(G$3:G$102=G30)*(J$3:J$102&gt;J30)*(H$3:H$102="L5")))+1,""))))</f>
        <v/>
      </c>
      <c r="C30" s="35" t="s">
        <v>420</v>
      </c>
      <c r="D30" t="str">
        <f>IF(E30="","",VLOOKUP(E30,'Coaching Points'!A:B,2,0))</f>
        <v>ON</v>
      </c>
      <c r="E30" s="35" t="s">
        <v>67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IF(AND(B30&lt;5,I30="P"),IF(_xlfn.MAXIFS(B:B,G:G,G30)&gt;3,5-B30,_xlfn.MAXIFS(B:B,G:G,G30)+1-B30),"")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$102&lt;&gt;"")*(G$3:G$102=G31)*(J$3:J$102&gt;J31)*(I$3:I$102="P"))+1,IF(O31&lt;&gt;"",SUMPRODUCT((O$3:O$102&lt;&gt;"")*(P$3:P$102="")*(G$3:G$102=G31)*(J$3:J$102&gt;J31)*(I$3:I$102="P"))+SUMPRODUCT((P$3:P$102&lt;&gt;"")*(G$3:G$102=G31)*(I$3:I$102="P"))+1,IF(N31&lt;&gt;"",SUMPRODUCT((N$3:N$102&lt;&gt;"")*(G$3:G$102=G31)*(J$3:J$102&gt;J31)*(I$3:I$102="P"))+1,IF(M31="P",SUMPRODUCT((O$3:O$102&lt;&gt;"")*(P$3:P$102="")*(G$3:G$102=G31)*(I$3:I$102="P"))+SUMPRODUCT((P$3:P$102&lt;&gt;"")*(G$3:G$102=G31)*(I$3:I$102="P"))+SUMPRODUCT((N$3:N$102&lt;&gt;"")*(G$3:G$102=G31)*(I$3:I$102="P"))+SUMPRODUCT((P$3:P$102="")*(O$3:O$102="")*(N$3:N$102="")*(M$3:M$102="P")*(G$3:G$102=G31)*(J$3:J$102&gt;J31)*(I$3:I$102="P"))+IF(H31="L5",SUMPRODUCT((P$3:P$102="")*(O$3:O$102="")*(N$3:N$102="")*(M$3:M$102="P")*(G$3:G$102=G31)*(J$3:J$102&lt;J31)*(H$3:H$102&lt;&gt;H31)*(I$3:I$102="P")),-1*SUMPRODUCT((P$3:P$102="")*(O$3:O$102="")*(N$3:N$102="")*(M$3:M$102="P")*(G$3:G$102=G31)*(J$3:J$102&gt;J31)*(H$3:H$102="L5")*(I$3:I$102="P")))+1,"")))))</f>
        <v/>
      </c>
      <c r="B31" s="1" t="str" cm="1">
        <f t="array" ref="B31">IF(P31&lt;&gt;"",SUMPRODUCT((P$3:P$102&lt;&gt;"")*(G$3:G$102=G31)*(J$3:J$102&gt;J31))+1,IF(O31&lt;&gt;"",SUMPRODUCT((O$3:O$102&lt;&gt;"")*(P$3:P$102="")*(G$3:G$102=G31)*(J$3:J$102&gt;J31))+SUMPRODUCT((P$3:P$102&lt;&gt;"")*(G$3:G$102=G31))+1,IF(N31&lt;&gt;"",SUMPRODUCT((N$3:N$102&lt;&gt;"")*(G$3:G$102=G31)*(J$3:J$102&gt;J31))+1,IF(M31="P",SUMPRODUCT((O$3:O$102&lt;&gt;"")*(P$3:P$102="")*(G$3:G$102=G31))+SUMPRODUCT((P$3:P$102&lt;&gt;"")*(G$3:G$102=G31))+SUMPRODUCT((N$3:N$102&lt;&gt;"")*(G$3:G$102=G31))+SUMPRODUCT((P$3:P$102="")*(O$3:O$102="")*(N$3:N$102="")*(M$3:M$102="P")*(G$3:G$102=G31)*(J$3:J$102&gt;J31))+IF(H31="L5",SUMPRODUCT((P$3:P$102="")*(O$3:O$102="")*(N$3:N$102="")*(M$3:M$102="P")*(G$3:G$102=G31)*(J$3:J$102&lt;J31)*(H$3:H$102&lt;&gt;H31)),-1*SUMPRODUCT((P$3:P$102="")*(O$3:O$102="")*(N$3:N$102="")*(M$3:M$102="P")*(G$3:G$102=G31)*(J$3:J$102&gt;J31)*(H$3:H$102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IF(AND(B31&lt;5,I31="P"),IF(_xlfn.MAXIFS(B:B,G:G,G31)&gt;3,5-B31,_xlfn.MAXIFS(B:B,G:G,G31)+1-B31),"")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$102&lt;&gt;"")*(G$3:G$102=G32)*(J$3:J$102&gt;J32)*(I$3:I$102="P"))+1,IF(O32&lt;&gt;"",SUMPRODUCT((O$3:O$102&lt;&gt;"")*(P$3:P$102="")*(G$3:G$102=G32)*(J$3:J$102&gt;J32)*(I$3:I$102="P"))+SUMPRODUCT((P$3:P$102&lt;&gt;"")*(G$3:G$102=G32)*(I$3:I$102="P"))+1,IF(N32&lt;&gt;"",SUMPRODUCT((N$3:N$102&lt;&gt;"")*(G$3:G$102=G32)*(J$3:J$102&gt;J32)*(I$3:I$102="P"))+1,IF(M32="P",SUMPRODUCT((O$3:O$102&lt;&gt;"")*(P$3:P$102="")*(G$3:G$102=G32)*(I$3:I$102="P"))+SUMPRODUCT((P$3:P$102&lt;&gt;"")*(G$3:G$102=G32)*(I$3:I$102="P"))+SUMPRODUCT((N$3:N$102&lt;&gt;"")*(G$3:G$102=G32)*(I$3:I$102="P"))+SUMPRODUCT((P$3:P$102="")*(O$3:O$102="")*(N$3:N$102="")*(M$3:M$102="P")*(G$3:G$102=G32)*(J$3:J$102&gt;J32)*(I$3:I$102="P"))+IF(H32="L5",SUMPRODUCT((P$3:P$102="")*(O$3:O$102="")*(N$3:N$102="")*(M$3:M$102="P")*(G$3:G$102=G32)*(J$3:J$102&lt;J32)*(H$3:H$102&lt;&gt;H32)*(I$3:I$102="P")),-1*SUMPRODUCT((P$3:P$102="")*(O$3:O$102="")*(N$3:N$102="")*(M$3:M$102="P")*(G$3:G$102=G32)*(J$3:J$102&gt;J32)*(H$3:H$102="L5")*(I$3:I$102="P")))+1,"")))))</f>
        <v/>
      </c>
      <c r="B32" s="1" t="str" cm="1">
        <f t="array" ref="B32">IF(P32&lt;&gt;"",SUMPRODUCT((P$3:P$102&lt;&gt;"")*(G$3:G$102=G32)*(J$3:J$102&gt;J32))+1,IF(O32&lt;&gt;"",SUMPRODUCT((O$3:O$102&lt;&gt;"")*(P$3:P$102="")*(G$3:G$102=G32)*(J$3:J$102&gt;J32))+SUMPRODUCT((P$3:P$102&lt;&gt;"")*(G$3:G$102=G32))+1,IF(N32&lt;&gt;"",SUMPRODUCT((N$3:N$102&lt;&gt;"")*(G$3:G$102=G32)*(J$3:J$102&gt;J32))+1,IF(M32="P",SUMPRODUCT((O$3:O$102&lt;&gt;"")*(P$3:P$102="")*(G$3:G$102=G32))+SUMPRODUCT((P$3:P$102&lt;&gt;"")*(G$3:G$102=G32))+SUMPRODUCT((N$3:N$102&lt;&gt;"")*(G$3:G$102=G32))+SUMPRODUCT((P$3:P$102="")*(O$3:O$102="")*(N$3:N$102="")*(M$3:M$102="P")*(G$3:G$102=G32)*(J$3:J$102&gt;J32))+IF(H32="L5",SUMPRODUCT((P$3:P$102="")*(O$3:O$102="")*(N$3:N$102="")*(M$3:M$102="P")*(G$3:G$102=G32)*(J$3:J$102&lt;J32)*(H$3:H$102&lt;&gt;H32)),-1*SUMPRODUCT((P$3:P$102="")*(O$3:O$102="")*(N$3:N$102="")*(M$3:M$102="P")*(G$3:G$102=G32)*(J$3:J$102&gt;J32)*(H$3:H$102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IF(AND(B32&lt;5,I32="P"),IF(_xlfn.MAXIFS(B:B,G:G,G32)&gt;3,5-B32,_xlfn.MAXIFS(B:B,G:G,G32)+1-B32),"")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$102&lt;&gt;"")*(G$3:G$102=G33)*(J$3:J$102&gt;J33)*(I$3:I$102="P"))+1,IF(O33&lt;&gt;"",SUMPRODUCT((O$3:O$102&lt;&gt;"")*(P$3:P$102="")*(G$3:G$102=G33)*(J$3:J$102&gt;J33)*(I$3:I$102="P"))+SUMPRODUCT((P$3:P$102&lt;&gt;"")*(G$3:G$102=G33)*(I$3:I$102="P"))+1,IF(N33&lt;&gt;"",SUMPRODUCT((N$3:N$102&lt;&gt;"")*(G$3:G$102=G33)*(J$3:J$102&gt;J33)*(I$3:I$102="P"))+1,IF(M33="P",SUMPRODUCT((O$3:O$102&lt;&gt;"")*(P$3:P$102="")*(G$3:G$102=G33)*(I$3:I$102="P"))+SUMPRODUCT((P$3:P$102&lt;&gt;"")*(G$3:G$102=G33)*(I$3:I$102="P"))+SUMPRODUCT((N$3:N$102&lt;&gt;"")*(G$3:G$102=G33)*(I$3:I$102="P"))+SUMPRODUCT((P$3:P$102="")*(O$3:O$102="")*(N$3:N$102="")*(M$3:M$102="P")*(G$3:G$102=G33)*(J$3:J$102&gt;J33)*(I$3:I$102="P"))+IF(H33="L5",SUMPRODUCT((P$3:P$102="")*(O$3:O$102="")*(N$3:N$102="")*(M$3:M$102="P")*(G$3:G$102=G33)*(J$3:J$102&lt;J33)*(H$3:H$102&lt;&gt;H33)*(I$3:I$102="P")),-1*SUMPRODUCT((P$3:P$102="")*(O$3:O$102="")*(N$3:N$102="")*(M$3:M$102="P")*(G$3:G$102=G33)*(J$3:J$102&gt;J33)*(H$3:H$102="L5")*(I$3:I$102="P")))+1,"")))))</f>
        <v/>
      </c>
      <c r="B33" s="1" t="str" cm="1">
        <f t="array" ref="B33">IF(P33&lt;&gt;"",SUMPRODUCT((P$3:P$102&lt;&gt;"")*(G$3:G$102=G33)*(J$3:J$102&gt;J33))+1,IF(O33&lt;&gt;"",SUMPRODUCT((O$3:O$102&lt;&gt;"")*(P$3:P$102="")*(G$3:G$102=G33)*(J$3:J$102&gt;J33))+SUMPRODUCT((P$3:P$102&lt;&gt;"")*(G$3:G$102=G33))+1,IF(N33&lt;&gt;"",SUMPRODUCT((N$3:N$102&lt;&gt;"")*(G$3:G$102=G33)*(J$3:J$102&gt;J33))+1,IF(M33="P",SUMPRODUCT((O$3:O$102&lt;&gt;"")*(P$3:P$102="")*(G$3:G$102=G33))+SUMPRODUCT((P$3:P$102&lt;&gt;"")*(G$3:G$102=G33))+SUMPRODUCT((N$3:N$102&lt;&gt;"")*(G$3:G$102=G33))+SUMPRODUCT((P$3:P$102="")*(O$3:O$102="")*(N$3:N$102="")*(M$3:M$102="P")*(G$3:G$102=G33)*(J$3:J$102&gt;J33))+IF(H33="L5",SUMPRODUCT((P$3:P$102="")*(O$3:O$102="")*(N$3:N$102="")*(M$3:M$102="P")*(G$3:G$102=G33)*(J$3:J$102&lt;J33)*(H$3:H$102&lt;&gt;H33)),-1*SUMPRODUCT((P$3:P$102="")*(O$3:O$102="")*(N$3:N$102="")*(M$3:M$102="P")*(G$3:G$102=G33)*(J$3:J$102&gt;J33)*(H$3:H$102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IF(AND(B33&lt;5,I33="P"),IF(_xlfn.MAXIFS(B:B,G:G,G33)&gt;3,5-B33,_xlfn.MAXIFS(B:B,G:G,G33)+1-B33),"")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$102&lt;&gt;"")*(G$3:G$102=G34)*(J$3:J$102&gt;J34)*(I$3:I$102="P"))+1,IF(O34&lt;&gt;"",SUMPRODUCT((O$3:O$102&lt;&gt;"")*(P$3:P$102="")*(G$3:G$102=G34)*(J$3:J$102&gt;J34)*(I$3:I$102="P"))+SUMPRODUCT((P$3:P$102&lt;&gt;"")*(G$3:G$102=G34)*(I$3:I$102="P"))+1,IF(N34&lt;&gt;"",SUMPRODUCT((N$3:N$102&lt;&gt;"")*(G$3:G$102=G34)*(J$3:J$102&gt;J34)*(I$3:I$102="P"))+1,IF(M34="P",SUMPRODUCT((O$3:O$102&lt;&gt;"")*(P$3:P$102="")*(G$3:G$102=G34)*(I$3:I$102="P"))+SUMPRODUCT((P$3:P$102&lt;&gt;"")*(G$3:G$102=G34)*(I$3:I$102="P"))+SUMPRODUCT((N$3:N$102&lt;&gt;"")*(G$3:G$102=G34)*(I$3:I$102="P"))+SUMPRODUCT((P$3:P$102="")*(O$3:O$102="")*(N$3:N$102="")*(M$3:M$102="P")*(G$3:G$102=G34)*(J$3:J$102&gt;J34)*(I$3:I$102="P"))+IF(H34="L5",SUMPRODUCT((P$3:P$102="")*(O$3:O$102="")*(N$3:N$102="")*(M$3:M$102="P")*(G$3:G$102=G34)*(J$3:J$102&lt;J34)*(H$3:H$102&lt;&gt;H34)*(I$3:I$102="P")),-1*SUMPRODUCT((P$3:P$102="")*(O$3:O$102="")*(N$3:N$102="")*(M$3:M$102="P")*(G$3:G$102=G34)*(J$3:J$102&gt;J34)*(H$3:H$102="L5")*(I$3:I$102="P")))+1,"")))))</f>
        <v/>
      </c>
      <c r="B34" s="1" t="str" cm="1">
        <f t="array" ref="B34">IF(P34&lt;&gt;"",SUMPRODUCT((P$3:P$102&lt;&gt;"")*(G$3:G$102=G34)*(J$3:J$102&gt;J34))+1,IF(O34&lt;&gt;"",SUMPRODUCT((O$3:O$102&lt;&gt;"")*(P$3:P$102="")*(G$3:G$102=G34)*(J$3:J$102&gt;J34))+SUMPRODUCT((P$3:P$102&lt;&gt;"")*(G$3:G$102=G34))+1,IF(N34&lt;&gt;"",SUMPRODUCT((N$3:N$102&lt;&gt;"")*(G$3:G$102=G34)*(J$3:J$102&gt;J34))+1,IF(M34="P",SUMPRODUCT((O$3:O$102&lt;&gt;"")*(P$3:P$102="")*(G$3:G$102=G34))+SUMPRODUCT((P$3:P$102&lt;&gt;"")*(G$3:G$102=G34))+SUMPRODUCT((N$3:N$102&lt;&gt;"")*(G$3:G$102=G34))+SUMPRODUCT((P$3:P$102="")*(O$3:O$102="")*(N$3:N$102="")*(M$3:M$102="P")*(G$3:G$102=G34)*(J$3:J$102&gt;J34))+IF(H34="L5",SUMPRODUCT((P$3:P$102="")*(O$3:O$102="")*(N$3:N$102="")*(M$3:M$102="P")*(G$3:G$102=G34)*(J$3:J$102&lt;J34)*(H$3:H$102&lt;&gt;H34)),-1*SUMPRODUCT((P$3:P$102="")*(O$3:O$102="")*(N$3:N$102="")*(M$3:M$102="P")*(G$3:G$102=G34)*(J$3:J$102&gt;J34)*(H$3:H$102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IF(AND(B34&lt;5,I34="P"),IF(_xlfn.MAXIFS(B:B,G:G,G34)&gt;3,5-B34,_xlfn.MAXIFS(B:B,G:G,G34)+1-B34),"")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$102&lt;&gt;"")*(G$3:G$102=G35)*(J$3:J$102&gt;J35)*(I$3:I$102="P"))+1,IF(O35&lt;&gt;"",SUMPRODUCT((O$3:O$102&lt;&gt;"")*(P$3:P$102="")*(G$3:G$102=G35)*(J$3:J$102&gt;J35)*(I$3:I$102="P"))+SUMPRODUCT((P$3:P$102&lt;&gt;"")*(G$3:G$102=G35)*(I$3:I$102="P"))+1,IF(N35&lt;&gt;"",SUMPRODUCT((N$3:N$102&lt;&gt;"")*(G$3:G$102=G35)*(J$3:J$102&gt;J35)*(I$3:I$102="P"))+1,IF(M35="P",SUMPRODUCT((O$3:O$102&lt;&gt;"")*(P$3:P$102="")*(G$3:G$102=G35)*(I$3:I$102="P"))+SUMPRODUCT((P$3:P$102&lt;&gt;"")*(G$3:G$102=G35)*(I$3:I$102="P"))+SUMPRODUCT((N$3:N$102&lt;&gt;"")*(G$3:G$102=G35)*(I$3:I$102="P"))+SUMPRODUCT((P$3:P$102="")*(O$3:O$102="")*(N$3:N$102="")*(M$3:M$102="P")*(G$3:G$102=G35)*(J$3:J$102&gt;J35)*(I$3:I$102="P"))+IF(H35="L5",SUMPRODUCT((P$3:P$102="")*(O$3:O$102="")*(N$3:N$102="")*(M$3:M$102="P")*(G$3:G$102=G35)*(J$3:J$102&lt;J35)*(H$3:H$102&lt;&gt;H35)*(I$3:I$102="P")),-1*SUMPRODUCT((P$3:P$102="")*(O$3:O$102="")*(N$3:N$102="")*(M$3:M$102="P")*(G$3:G$102=G35)*(J$3:J$102&gt;J35)*(H$3:H$102="L5")*(I$3:I$102="P")))+1,"")))))</f>
        <v/>
      </c>
      <c r="B35" s="1" t="str" cm="1">
        <f t="array" ref="B35">IF(P35&lt;&gt;"",SUMPRODUCT((P$3:P$102&lt;&gt;"")*(G$3:G$102=G35)*(J$3:J$102&gt;J35))+1,IF(O35&lt;&gt;"",SUMPRODUCT((O$3:O$102&lt;&gt;"")*(P$3:P$102="")*(G$3:G$102=G35)*(J$3:J$102&gt;J35))+SUMPRODUCT((P$3:P$102&lt;&gt;"")*(G$3:G$102=G35))+1,IF(N35&lt;&gt;"",SUMPRODUCT((N$3:N$102&lt;&gt;"")*(G$3:G$102=G35)*(J$3:J$102&gt;J35))+1,IF(M35="P",SUMPRODUCT((O$3:O$102&lt;&gt;"")*(P$3:P$102="")*(G$3:G$102=G35))+SUMPRODUCT((P$3:P$102&lt;&gt;"")*(G$3:G$102=G35))+SUMPRODUCT((N$3:N$102&lt;&gt;"")*(G$3:G$102=G35))+SUMPRODUCT((P$3:P$102="")*(O$3:O$102="")*(N$3:N$102="")*(M$3:M$102="P")*(G$3:G$102=G35)*(J$3:J$102&gt;J35))+IF(H35="L5",SUMPRODUCT((P$3:P$102="")*(O$3:O$102="")*(N$3:N$102="")*(M$3:M$102="P")*(G$3:G$102=G35)*(J$3:J$102&lt;J35)*(H$3:H$102&lt;&gt;H35)),-1*SUMPRODUCT((P$3:P$102="")*(O$3:O$102="")*(N$3:N$102="")*(M$3:M$102="P")*(G$3:G$102=G35)*(J$3:J$102&gt;J35)*(H$3:H$102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IF(AND(B35&lt;5,I35="P"),IF(_xlfn.MAXIFS(B:B,G:G,G35)&gt;3,5-B35,_xlfn.MAXIFS(B:B,G:G,G35)+1-B35),"")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$102&lt;&gt;"")*(G$3:G$102=G36)*(J$3:J$102&gt;J36)*(I$3:I$102="P"))+1,IF(O36&lt;&gt;"",SUMPRODUCT((O$3:O$102&lt;&gt;"")*(P$3:P$102="")*(G$3:G$102=G36)*(J$3:J$102&gt;J36)*(I$3:I$102="P"))+SUMPRODUCT((P$3:P$102&lt;&gt;"")*(G$3:G$102=G36)*(I$3:I$102="P"))+1,IF(N36&lt;&gt;"",SUMPRODUCT((N$3:N$102&lt;&gt;"")*(G$3:G$102=G36)*(J$3:J$102&gt;J36)*(I$3:I$102="P"))+1,IF(M36="P",SUMPRODUCT((O$3:O$102&lt;&gt;"")*(P$3:P$102="")*(G$3:G$102=G36)*(I$3:I$102="P"))+SUMPRODUCT((P$3:P$102&lt;&gt;"")*(G$3:G$102=G36)*(I$3:I$102="P"))+SUMPRODUCT((N$3:N$102&lt;&gt;"")*(G$3:G$102=G36)*(I$3:I$102="P"))+SUMPRODUCT((P$3:P$102="")*(O$3:O$102="")*(N$3:N$102="")*(M$3:M$102="P")*(G$3:G$102=G36)*(J$3:J$102&gt;J36)*(I$3:I$102="P"))+IF(H36="L5",SUMPRODUCT((P$3:P$102="")*(O$3:O$102="")*(N$3:N$102="")*(M$3:M$102="P")*(G$3:G$102=G36)*(J$3:J$102&lt;J36)*(H$3:H$102&lt;&gt;H36)*(I$3:I$102="P")),-1*SUMPRODUCT((P$3:P$102="")*(O$3:O$102="")*(N$3:N$102="")*(M$3:M$102="P")*(G$3:G$102=G36)*(J$3:J$102&gt;J36)*(H$3:H$102="L5")*(I$3:I$102="P")))+1,"")))))</f>
        <v/>
      </c>
      <c r="B36" s="1" t="str" cm="1">
        <f t="array" ref="B36">IF(P36&lt;&gt;"",SUMPRODUCT((P$3:P$102&lt;&gt;"")*(G$3:G$102=G36)*(J$3:J$102&gt;J36))+1,IF(O36&lt;&gt;"",SUMPRODUCT((O$3:O$102&lt;&gt;"")*(P$3:P$102="")*(G$3:G$102=G36)*(J$3:J$102&gt;J36))+SUMPRODUCT((P$3:P$102&lt;&gt;"")*(G$3:G$102=G36))+1,IF(N36&lt;&gt;"",SUMPRODUCT((N$3:N$102&lt;&gt;"")*(G$3:G$102=G36)*(J$3:J$102&gt;J36))+1,IF(M36="P",SUMPRODUCT((O$3:O$102&lt;&gt;"")*(P$3:P$102="")*(G$3:G$102=G36))+SUMPRODUCT((P$3:P$102&lt;&gt;"")*(G$3:G$102=G36))+SUMPRODUCT((N$3:N$102&lt;&gt;"")*(G$3:G$102=G36))+SUMPRODUCT((P$3:P$102="")*(O$3:O$102="")*(N$3:N$102="")*(M$3:M$102="P")*(G$3:G$102=G36)*(J$3:J$102&gt;J36))+IF(H36="L5",SUMPRODUCT((P$3:P$102="")*(O$3:O$102="")*(N$3:N$102="")*(M$3:M$102="P")*(G$3:G$102=G36)*(J$3:J$102&lt;J36)*(H$3:H$102&lt;&gt;H36)),-1*SUMPRODUCT((P$3:P$102="")*(O$3:O$102="")*(N$3:N$102="")*(M$3:M$102="P")*(G$3:G$102=G36)*(J$3:J$102&gt;J36)*(H$3:H$102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IF(AND(B36&lt;5,I36="P"),IF(_xlfn.MAXIFS(B:B,G:G,G36)&gt;3,5-B36,_xlfn.MAXIFS(B:B,G:G,G36)+1-B36),"")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$102&lt;&gt;"")*(G$3:G$102=G37)*(J$3:J$102&gt;J37)*(I$3:I$102="P"))+1,IF(O37&lt;&gt;"",SUMPRODUCT((O$3:O$102&lt;&gt;"")*(P$3:P$102="")*(G$3:G$102=G37)*(J$3:J$102&gt;J37)*(I$3:I$102="P"))+SUMPRODUCT((P$3:P$102&lt;&gt;"")*(G$3:G$102=G37)*(I$3:I$102="P"))+1,IF(N37&lt;&gt;"",SUMPRODUCT((N$3:N$102&lt;&gt;"")*(G$3:G$102=G37)*(J$3:J$102&gt;J37)*(I$3:I$102="P"))+1,IF(M37="P",SUMPRODUCT((O$3:O$102&lt;&gt;"")*(P$3:P$102="")*(G$3:G$102=G37)*(I$3:I$102="P"))+SUMPRODUCT((P$3:P$102&lt;&gt;"")*(G$3:G$102=G37)*(I$3:I$102="P"))+SUMPRODUCT((N$3:N$102&lt;&gt;"")*(G$3:G$102=G37)*(I$3:I$102="P"))+SUMPRODUCT((P$3:P$102="")*(O$3:O$102="")*(N$3:N$102="")*(M$3:M$102="P")*(G$3:G$102=G37)*(J$3:J$102&gt;J37)*(I$3:I$102="P"))+IF(H37="L5",SUMPRODUCT((P$3:P$102="")*(O$3:O$102="")*(N$3:N$102="")*(M$3:M$102="P")*(G$3:G$102=G37)*(J$3:J$102&lt;J37)*(H$3:H$102&lt;&gt;H37)*(I$3:I$102="P")),-1*SUMPRODUCT((P$3:P$102="")*(O$3:O$102="")*(N$3:N$102="")*(M$3:M$102="P")*(G$3:G$102=G37)*(J$3:J$102&gt;J37)*(H$3:H$102="L5")*(I$3:I$102="P")))+1,"")))))</f>
        <v/>
      </c>
      <c r="B37" s="1" t="str" cm="1">
        <f t="array" ref="B37">IF(P37&lt;&gt;"",SUMPRODUCT((P$3:P$102&lt;&gt;"")*(G$3:G$102=G37)*(J$3:J$102&gt;J37))+1,IF(O37&lt;&gt;"",SUMPRODUCT((O$3:O$102&lt;&gt;"")*(P$3:P$102="")*(G$3:G$102=G37)*(J$3:J$102&gt;J37))+SUMPRODUCT((P$3:P$102&lt;&gt;"")*(G$3:G$102=G37))+1,IF(N37&lt;&gt;"",SUMPRODUCT((N$3:N$102&lt;&gt;"")*(G$3:G$102=G37)*(J$3:J$102&gt;J37))+1,IF(M37="P",SUMPRODUCT((O$3:O$102&lt;&gt;"")*(P$3:P$102="")*(G$3:G$102=G37))+SUMPRODUCT((P$3:P$102&lt;&gt;"")*(G$3:G$102=G37))+SUMPRODUCT((N$3:N$102&lt;&gt;"")*(G$3:G$102=G37))+SUMPRODUCT((P$3:P$102="")*(O$3:O$102="")*(N$3:N$102="")*(M$3:M$102="P")*(G$3:G$102=G37)*(J$3:J$102&gt;J37))+IF(H37="L5",SUMPRODUCT((P$3:P$102="")*(O$3:O$102="")*(N$3:N$102="")*(M$3:M$102="P")*(G$3:G$102=G37)*(J$3:J$102&lt;J37)*(H$3:H$102&lt;&gt;H37)),-1*SUMPRODUCT((P$3:P$102="")*(O$3:O$102="")*(N$3:N$102="")*(M$3:M$102="P")*(G$3:G$102=G37)*(J$3:J$102&gt;J37)*(H$3:H$102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IF(AND(B37&lt;5,I37="P"),IF(_xlfn.MAXIFS(B:B,G:G,G37)&gt;3,5-B37,_xlfn.MAXIFS(B:B,G:G,G37)+1-B37),"")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$102&lt;&gt;"")*(G$3:G$102=G38)*(J$3:J$102&gt;J38)*(I$3:I$102="P"))+1,IF(O38&lt;&gt;"",SUMPRODUCT((O$3:O$102&lt;&gt;"")*(P$3:P$102="")*(G$3:G$102=G38)*(J$3:J$102&gt;J38)*(I$3:I$102="P"))+SUMPRODUCT((P$3:P$102&lt;&gt;"")*(G$3:G$102=G38)*(I$3:I$102="P"))+1,IF(N38&lt;&gt;"",SUMPRODUCT((N$3:N$102&lt;&gt;"")*(G$3:G$102=G38)*(J$3:J$102&gt;J38)*(I$3:I$102="P"))+1,IF(M38="P",SUMPRODUCT((O$3:O$102&lt;&gt;"")*(P$3:P$102="")*(G$3:G$102=G38)*(I$3:I$102="P"))+SUMPRODUCT((P$3:P$102&lt;&gt;"")*(G$3:G$102=G38)*(I$3:I$102="P"))+SUMPRODUCT((N$3:N$102&lt;&gt;"")*(G$3:G$102=G38)*(I$3:I$102="P"))+SUMPRODUCT((P$3:P$102="")*(O$3:O$102="")*(N$3:N$102="")*(M$3:M$102="P")*(G$3:G$102=G38)*(J$3:J$102&gt;J38)*(I$3:I$102="P"))+IF(H38="L5",SUMPRODUCT((P$3:P$102="")*(O$3:O$102="")*(N$3:N$102="")*(M$3:M$102="P")*(G$3:G$102=G38)*(J$3:J$102&lt;J38)*(H$3:H$102&lt;&gt;H38)*(I$3:I$102="P")),-1*SUMPRODUCT((P$3:P$102="")*(O$3:O$102="")*(N$3:N$102="")*(M$3:M$102="P")*(G$3:G$102=G38)*(J$3:J$102&gt;J38)*(H$3:H$102="L5")*(I$3:I$102="P")))+1,"")))))</f>
        <v/>
      </c>
      <c r="B38" s="1" t="str" cm="1">
        <f t="array" ref="B38">IF(P38&lt;&gt;"",SUMPRODUCT((P$3:P$102&lt;&gt;"")*(G$3:G$102=G38)*(J$3:J$102&gt;J38))+1,IF(O38&lt;&gt;"",SUMPRODUCT((O$3:O$102&lt;&gt;"")*(P$3:P$102="")*(G$3:G$102=G38)*(J$3:J$102&gt;J38))+SUMPRODUCT((P$3:P$102&lt;&gt;"")*(G$3:G$102=G38))+1,IF(N38&lt;&gt;"",SUMPRODUCT((N$3:N$102&lt;&gt;"")*(G$3:G$102=G38)*(J$3:J$102&gt;J38))+1,IF(M38="P",SUMPRODUCT((O$3:O$102&lt;&gt;"")*(P$3:P$102="")*(G$3:G$102=G38))+SUMPRODUCT((P$3:P$102&lt;&gt;"")*(G$3:G$102=G38))+SUMPRODUCT((N$3:N$102&lt;&gt;"")*(G$3:G$102=G38))+SUMPRODUCT((P$3:P$102="")*(O$3:O$102="")*(N$3:N$102="")*(M$3:M$102="P")*(G$3:G$102=G38)*(J$3:J$102&gt;J38))+IF(H38="L5",SUMPRODUCT((P$3:P$102="")*(O$3:O$102="")*(N$3:N$102="")*(M$3:M$102="P")*(G$3:G$102=G38)*(J$3:J$102&lt;J38)*(H$3:H$102&lt;&gt;H38)),-1*SUMPRODUCT((P$3:P$102="")*(O$3:O$102="")*(N$3:N$102="")*(M$3:M$102="P")*(G$3:G$102=G38)*(J$3:J$102&gt;J38)*(H$3:H$102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IF(AND(B38&lt;5,I38="P"),IF(_xlfn.MAXIFS(B:B,G:G,G38)&gt;3,5-B38,_xlfn.MAXIFS(B:B,G:G,G38)+1-B38),"")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$102&lt;&gt;"")*(G$3:G$102=G39)*(J$3:J$102&gt;J39)*(I$3:I$102="P"))+1,IF(O39&lt;&gt;"",SUMPRODUCT((O$3:O$102&lt;&gt;"")*(P$3:P$102="")*(G$3:G$102=G39)*(J$3:J$102&gt;J39)*(I$3:I$102="P"))+SUMPRODUCT((P$3:P$102&lt;&gt;"")*(G$3:G$102=G39)*(I$3:I$102="P"))+1,IF(N39&lt;&gt;"",SUMPRODUCT((N$3:N$102&lt;&gt;"")*(G$3:G$102=G39)*(J$3:J$102&gt;J39)*(I$3:I$102="P"))+1,IF(M39="P",SUMPRODUCT((O$3:O$102&lt;&gt;"")*(P$3:P$102="")*(G$3:G$102=G39)*(I$3:I$102="P"))+SUMPRODUCT((P$3:P$102&lt;&gt;"")*(G$3:G$102=G39)*(I$3:I$102="P"))+SUMPRODUCT((N$3:N$102&lt;&gt;"")*(G$3:G$102=G39)*(I$3:I$102="P"))+SUMPRODUCT((P$3:P$102="")*(O$3:O$102="")*(N$3:N$102="")*(M$3:M$102="P")*(G$3:G$102=G39)*(J$3:J$102&gt;J39)*(I$3:I$102="P"))+IF(H39="L5",SUMPRODUCT((P$3:P$102="")*(O$3:O$102="")*(N$3:N$102="")*(M$3:M$102="P")*(G$3:G$102=G39)*(J$3:J$102&lt;J39)*(H$3:H$102&lt;&gt;H39)*(I$3:I$102="P")),-1*SUMPRODUCT((P$3:P$102="")*(O$3:O$102="")*(N$3:N$102="")*(M$3:M$102="P")*(G$3:G$102=G39)*(J$3:J$102&gt;J39)*(H$3:H$102="L5")*(I$3:I$102="P")))+1,"")))))</f>
        <v/>
      </c>
      <c r="B39" s="1" t="str" cm="1">
        <f t="array" ref="B39">IF(P39&lt;&gt;"",SUMPRODUCT((P$3:P$102&lt;&gt;"")*(G$3:G$102=G39)*(J$3:J$102&gt;J39))+1,IF(O39&lt;&gt;"",SUMPRODUCT((O$3:O$102&lt;&gt;"")*(P$3:P$102="")*(G$3:G$102=G39)*(J$3:J$102&gt;J39))+SUMPRODUCT((P$3:P$102&lt;&gt;"")*(G$3:G$102=G39))+1,IF(N39&lt;&gt;"",SUMPRODUCT((N$3:N$102&lt;&gt;"")*(G$3:G$102=G39)*(J$3:J$102&gt;J39))+1,IF(M39="P",SUMPRODUCT((O$3:O$102&lt;&gt;"")*(P$3:P$102="")*(G$3:G$102=G39))+SUMPRODUCT((P$3:P$102&lt;&gt;"")*(G$3:G$102=G39))+SUMPRODUCT((N$3:N$102&lt;&gt;"")*(G$3:G$102=G39))+SUMPRODUCT((P$3:P$102="")*(O$3:O$102="")*(N$3:N$102="")*(M$3:M$102="P")*(G$3:G$102=G39)*(J$3:J$102&gt;J39))+IF(H39="L5",SUMPRODUCT((P$3:P$102="")*(O$3:O$102="")*(N$3:N$102="")*(M$3:M$102="P")*(G$3:G$102=G39)*(J$3:J$102&lt;J39)*(H$3:H$102&lt;&gt;H39)),-1*SUMPRODUCT((P$3:P$102="")*(O$3:O$102="")*(N$3:N$102="")*(M$3:M$102="P")*(G$3:G$102=G39)*(J$3:J$102&gt;J39)*(H$3:H$102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IF(AND(B39&lt;5,I39="P"),IF(_xlfn.MAXIFS(B:B,G:G,G39)&gt;3,5-B39,_xlfn.MAXIFS(B:B,G:G,G39)+1-B39),"")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$102&lt;&gt;"")*(G$3:G$102=G40)*(J$3:J$102&gt;J40)*(I$3:I$102="P"))+1,IF(O40&lt;&gt;"",SUMPRODUCT((O$3:O$102&lt;&gt;"")*(P$3:P$102="")*(G$3:G$102=G40)*(J$3:J$102&gt;J40)*(I$3:I$102="P"))+SUMPRODUCT((P$3:P$102&lt;&gt;"")*(G$3:G$102=G40)*(I$3:I$102="P"))+1,IF(N40&lt;&gt;"",SUMPRODUCT((N$3:N$102&lt;&gt;"")*(G$3:G$102=G40)*(J$3:J$102&gt;J40)*(I$3:I$102="P"))+1,IF(M40="P",SUMPRODUCT((O$3:O$102&lt;&gt;"")*(P$3:P$102="")*(G$3:G$102=G40)*(I$3:I$102="P"))+SUMPRODUCT((P$3:P$102&lt;&gt;"")*(G$3:G$102=G40)*(I$3:I$102="P"))+SUMPRODUCT((N$3:N$102&lt;&gt;"")*(G$3:G$102=G40)*(I$3:I$102="P"))+SUMPRODUCT((P$3:P$102="")*(O$3:O$102="")*(N$3:N$102="")*(M$3:M$102="P")*(G$3:G$102=G40)*(J$3:J$102&gt;J40)*(I$3:I$102="P"))+IF(H40="L5",SUMPRODUCT((P$3:P$102="")*(O$3:O$102="")*(N$3:N$102="")*(M$3:M$102="P")*(G$3:G$102=G40)*(J$3:J$102&lt;J40)*(H$3:H$102&lt;&gt;H40)*(I$3:I$102="P")),-1*SUMPRODUCT((P$3:P$102="")*(O$3:O$102="")*(N$3:N$102="")*(M$3:M$102="P")*(G$3:G$102=G40)*(J$3:J$102&gt;J40)*(H$3:H$102="L5")*(I$3:I$102="P")))+1,"")))))</f>
        <v/>
      </c>
      <c r="B40" s="1" t="str" cm="1">
        <f t="array" ref="B40">IF(P40&lt;&gt;"",SUMPRODUCT((P$3:P$102&lt;&gt;"")*(G$3:G$102=G40)*(J$3:J$102&gt;J40))+1,IF(O40&lt;&gt;"",SUMPRODUCT((O$3:O$102&lt;&gt;"")*(P$3:P$102="")*(G$3:G$102=G40)*(J$3:J$102&gt;J40))+SUMPRODUCT((P$3:P$102&lt;&gt;"")*(G$3:G$102=G40))+1,IF(N40&lt;&gt;"",SUMPRODUCT((N$3:N$102&lt;&gt;"")*(G$3:G$102=G40)*(J$3:J$102&gt;J40))+1,IF(M40="P",SUMPRODUCT((O$3:O$102&lt;&gt;"")*(P$3:P$102="")*(G$3:G$102=G40))+SUMPRODUCT((P$3:P$102&lt;&gt;"")*(G$3:G$102=G40))+SUMPRODUCT((N$3:N$102&lt;&gt;"")*(G$3:G$102=G40))+SUMPRODUCT((P$3:P$102="")*(O$3:O$102="")*(N$3:N$102="")*(M$3:M$102="P")*(G$3:G$102=G40)*(J$3:J$102&gt;J40))+IF(H40="L5",SUMPRODUCT((P$3:P$102="")*(O$3:O$102="")*(N$3:N$102="")*(M$3:M$102="P")*(G$3:G$102=G40)*(J$3:J$102&lt;J40)*(H$3:H$102&lt;&gt;H40)),-1*SUMPRODUCT((P$3:P$102="")*(O$3:O$102="")*(N$3:N$102="")*(M$3:M$102="P")*(G$3:G$102=G40)*(J$3:J$102&gt;J40)*(H$3:H$102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IF(AND(B40&lt;5,I40="P"),IF(_xlfn.MAXIFS(B:B,G:G,G40)&gt;3,5-B40,_xlfn.MAXIFS(B:B,G:G,G40)+1-B40),"")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$102&lt;&gt;"")*(G$3:G$102=G41)*(J$3:J$102&gt;J41)*(I$3:I$102="P"))+1,IF(O41&lt;&gt;"",SUMPRODUCT((O$3:O$102&lt;&gt;"")*(P$3:P$102="")*(G$3:G$102=G41)*(J$3:J$102&gt;J41)*(I$3:I$102="P"))+SUMPRODUCT((P$3:P$102&lt;&gt;"")*(G$3:G$102=G41)*(I$3:I$102="P"))+1,IF(N41&lt;&gt;"",SUMPRODUCT((N$3:N$102&lt;&gt;"")*(G$3:G$102=G41)*(J$3:J$102&gt;J41)*(I$3:I$102="P"))+1,IF(M41="P",SUMPRODUCT((O$3:O$102&lt;&gt;"")*(P$3:P$102="")*(G$3:G$102=G41)*(I$3:I$102="P"))+SUMPRODUCT((P$3:P$102&lt;&gt;"")*(G$3:G$102=G41)*(I$3:I$102="P"))+SUMPRODUCT((N$3:N$102&lt;&gt;"")*(G$3:G$102=G41)*(I$3:I$102="P"))+SUMPRODUCT((P$3:P$102="")*(O$3:O$102="")*(N$3:N$102="")*(M$3:M$102="P")*(G$3:G$102=G41)*(J$3:J$102&gt;J41)*(I$3:I$102="P"))+IF(H41="L5",SUMPRODUCT((P$3:P$102="")*(O$3:O$102="")*(N$3:N$102="")*(M$3:M$102="P")*(G$3:G$102=G41)*(J$3:J$102&lt;J41)*(H$3:H$102&lt;&gt;H41)*(I$3:I$102="P")),-1*SUMPRODUCT((P$3:P$102="")*(O$3:O$102="")*(N$3:N$102="")*(M$3:M$102="P")*(G$3:G$102=G41)*(J$3:J$102&gt;J41)*(H$3:H$102="L5")*(I$3:I$102="P")))+1,"")))))</f>
        <v/>
      </c>
      <c r="B41" s="1" t="str" cm="1">
        <f t="array" ref="B41">IF(P41&lt;&gt;"",SUMPRODUCT((P$3:P$102&lt;&gt;"")*(G$3:G$102=G41)*(J$3:J$102&gt;J41))+1,IF(O41&lt;&gt;"",SUMPRODUCT((O$3:O$102&lt;&gt;"")*(P$3:P$102="")*(G$3:G$102=G41)*(J$3:J$102&gt;J41))+SUMPRODUCT((P$3:P$102&lt;&gt;"")*(G$3:G$102=G41))+1,IF(N41&lt;&gt;"",SUMPRODUCT((N$3:N$102&lt;&gt;"")*(G$3:G$102=G41)*(J$3:J$102&gt;J41))+1,IF(M41="P",SUMPRODUCT((O$3:O$102&lt;&gt;"")*(P$3:P$102="")*(G$3:G$102=G41))+SUMPRODUCT((P$3:P$102&lt;&gt;"")*(G$3:G$102=G41))+SUMPRODUCT((N$3:N$102&lt;&gt;"")*(G$3:G$102=G41))+SUMPRODUCT((P$3:P$102="")*(O$3:O$102="")*(N$3:N$102="")*(M$3:M$102="P")*(G$3:G$102=G41)*(J$3:J$102&gt;J41))+IF(H41="L5",SUMPRODUCT((P$3:P$102="")*(O$3:O$102="")*(N$3:N$102="")*(M$3:M$102="P")*(G$3:G$102=G41)*(J$3:J$102&lt;J41)*(H$3:H$102&lt;&gt;H41)),-1*SUMPRODUCT((P$3:P$102="")*(O$3:O$102="")*(N$3:N$102="")*(M$3:M$102="P")*(G$3:G$102=G41)*(J$3:J$102&gt;J41)*(H$3:H$102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IF(AND(B41&lt;5,I41="P"),IF(_xlfn.MAXIFS(B:B,G:G,G41)&gt;3,5-B41,_xlfn.MAXIFS(B:B,G:G,G41)+1-B41),"")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$102&lt;&gt;"")*(G$3:G$102=G42)*(J$3:J$102&gt;J42)*(I$3:I$102="P"))+1,IF(O42&lt;&gt;"",SUMPRODUCT((O$3:O$102&lt;&gt;"")*(P$3:P$102="")*(G$3:G$102=G42)*(J$3:J$102&gt;J42)*(I$3:I$102="P"))+SUMPRODUCT((P$3:P$102&lt;&gt;"")*(G$3:G$102=G42)*(I$3:I$102="P"))+1,IF(N42&lt;&gt;"",SUMPRODUCT((N$3:N$102&lt;&gt;"")*(G$3:G$102=G42)*(J$3:J$102&gt;J42)*(I$3:I$102="P"))+1,IF(M42="P",SUMPRODUCT((O$3:O$102&lt;&gt;"")*(P$3:P$102="")*(G$3:G$102=G42)*(I$3:I$102="P"))+SUMPRODUCT((P$3:P$102&lt;&gt;"")*(G$3:G$102=G42)*(I$3:I$102="P"))+SUMPRODUCT((N$3:N$102&lt;&gt;"")*(G$3:G$102=G42)*(I$3:I$102="P"))+SUMPRODUCT((P$3:P$102="")*(O$3:O$102="")*(N$3:N$102="")*(M$3:M$102="P")*(G$3:G$102=G42)*(J$3:J$102&gt;J42)*(I$3:I$102="P"))+IF(H42="L5",SUMPRODUCT((P$3:P$102="")*(O$3:O$102="")*(N$3:N$102="")*(M$3:M$102="P")*(G$3:G$102=G42)*(J$3:J$102&lt;J42)*(H$3:H$102&lt;&gt;H42)*(I$3:I$102="P")),-1*SUMPRODUCT((P$3:P$102="")*(O$3:O$102="")*(N$3:N$102="")*(M$3:M$102="P")*(G$3:G$102=G42)*(J$3:J$102&gt;J42)*(H$3:H$102="L5")*(I$3:I$102="P")))+1,"")))))</f>
        <v/>
      </c>
      <c r="B42" s="1" t="str" cm="1">
        <f t="array" ref="B42">IF(P42&lt;&gt;"",SUMPRODUCT((P$3:P$102&lt;&gt;"")*(G$3:G$102=G42)*(J$3:J$102&gt;J42))+1,IF(O42&lt;&gt;"",SUMPRODUCT((O$3:O$102&lt;&gt;"")*(P$3:P$102="")*(G$3:G$102=G42)*(J$3:J$102&gt;J42))+SUMPRODUCT((P$3:P$102&lt;&gt;"")*(G$3:G$102=G42))+1,IF(N42&lt;&gt;"",SUMPRODUCT((N$3:N$102&lt;&gt;"")*(G$3:G$102=G42)*(J$3:J$102&gt;J42))+1,IF(M42="P",SUMPRODUCT((O$3:O$102&lt;&gt;"")*(P$3:P$102="")*(G$3:G$102=G42))+SUMPRODUCT((P$3:P$102&lt;&gt;"")*(G$3:G$102=G42))+SUMPRODUCT((N$3:N$102&lt;&gt;"")*(G$3:G$102=G42))+SUMPRODUCT((P$3:P$102="")*(O$3:O$102="")*(N$3:N$102="")*(M$3:M$102="P")*(G$3:G$102=G42)*(J$3:J$102&gt;J42))+IF(H42="L5",SUMPRODUCT((P$3:P$102="")*(O$3:O$102="")*(N$3:N$102="")*(M$3:M$102="P")*(G$3:G$102=G42)*(J$3:J$102&lt;J42)*(H$3:H$102&lt;&gt;H42)),-1*SUMPRODUCT((P$3:P$102="")*(O$3:O$102="")*(N$3:N$102="")*(M$3:M$102="P")*(G$3:G$102=G42)*(J$3:J$102&gt;J42)*(H$3:H$102="L5")))+1,""))))</f>
        <v/>
      </c>
      <c r="C42" s="35" t="s">
        <v>421</v>
      </c>
      <c r="D42" t="str">
        <f>IF(E42="","",VLOOKUP(E42,'Coaching Points'!A:B,2,0))</f>
        <v>ON</v>
      </c>
      <c r="E42" s="35" t="s">
        <v>502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IF(AND(B42&lt;5,I42="P"),IF(_xlfn.MAXIFS(B:B,G:G,G42)&gt;3,5-B42,_xlfn.MAXIFS(B:B,G:G,G42)+1-B42),"")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$102&lt;&gt;"")*(G$3:G$102=G43)*(J$3:J$102&gt;J43)*(I$3:I$102="P"))+1,IF(O43&lt;&gt;"",SUMPRODUCT((O$3:O$102&lt;&gt;"")*(P$3:P$102="")*(G$3:G$102=G43)*(J$3:J$102&gt;J43)*(I$3:I$102="P"))+SUMPRODUCT((P$3:P$102&lt;&gt;"")*(G$3:G$102=G43)*(I$3:I$102="P"))+1,IF(N43&lt;&gt;"",SUMPRODUCT((N$3:N$102&lt;&gt;"")*(G$3:G$102=G43)*(J$3:J$102&gt;J43)*(I$3:I$102="P"))+1,IF(M43="P",SUMPRODUCT((O$3:O$102&lt;&gt;"")*(P$3:P$102="")*(G$3:G$102=G43)*(I$3:I$102="P"))+SUMPRODUCT((P$3:P$102&lt;&gt;"")*(G$3:G$102=G43)*(I$3:I$102="P"))+SUMPRODUCT((N$3:N$102&lt;&gt;"")*(G$3:G$102=G43)*(I$3:I$102="P"))+SUMPRODUCT((P$3:P$102="")*(O$3:O$102="")*(N$3:N$102="")*(M$3:M$102="P")*(G$3:G$102=G43)*(J$3:J$102&gt;J43)*(I$3:I$102="P"))+IF(H43="L5",SUMPRODUCT((P$3:P$102="")*(O$3:O$102="")*(N$3:N$102="")*(M$3:M$102="P")*(G$3:G$102=G43)*(J$3:J$102&lt;J43)*(H$3:H$102&lt;&gt;H43)*(I$3:I$102="P")),-1*SUMPRODUCT((P$3:P$102="")*(O$3:O$102="")*(N$3:N$102="")*(M$3:M$102="P")*(G$3:G$102=G43)*(J$3:J$102&gt;J43)*(H$3:H$102="L5")*(I$3:I$102="P")))+1,"")))))</f>
        <v/>
      </c>
      <c r="B43" s="1" t="str" cm="1">
        <f t="array" ref="B43">IF(P43&lt;&gt;"",SUMPRODUCT((P$3:P$102&lt;&gt;"")*(G$3:G$102=G43)*(J$3:J$102&gt;J43))+1,IF(O43&lt;&gt;"",SUMPRODUCT((O$3:O$102&lt;&gt;"")*(P$3:P$102="")*(G$3:G$102=G43)*(J$3:J$102&gt;J43))+SUMPRODUCT((P$3:P$102&lt;&gt;"")*(G$3:G$102=G43))+1,IF(N43&lt;&gt;"",SUMPRODUCT((N$3:N$102&lt;&gt;"")*(G$3:G$102=G43)*(J$3:J$102&gt;J43))+1,IF(M43="P",SUMPRODUCT((O$3:O$102&lt;&gt;"")*(P$3:P$102="")*(G$3:G$102=G43))+SUMPRODUCT((P$3:P$102&lt;&gt;"")*(G$3:G$102=G43))+SUMPRODUCT((N$3:N$102&lt;&gt;"")*(G$3:G$102=G43))+SUMPRODUCT((P$3:P$102="")*(O$3:O$102="")*(N$3:N$102="")*(M$3:M$102="P")*(G$3:G$102=G43)*(J$3:J$102&gt;J43))+IF(H43="L5",SUMPRODUCT((P$3:P$102="")*(O$3:O$102="")*(N$3:N$102="")*(M$3:M$102="P")*(G$3:G$102=G43)*(J$3:J$102&lt;J43)*(H$3:H$102&lt;&gt;H43)),-1*SUMPRODUCT((P$3:P$102="")*(O$3:O$102="")*(N$3:N$102="")*(M$3:M$102="P")*(G$3:G$102=G43)*(J$3:J$102&gt;J43)*(H$3:H$102="L5")))+1,""))))</f>
        <v/>
      </c>
      <c r="C43" s="35" t="s">
        <v>422</v>
      </c>
      <c r="D43" t="str">
        <f>IF(E43="","",VLOOKUP(E43,'Coaching Points'!A:B,2,0))</f>
        <v>NS</v>
      </c>
      <c r="E43" s="35" t="s">
        <v>86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IF(AND(B43&lt;5,I43="P"),IF(_xlfn.MAXIFS(B:B,G:G,G43)&gt;3,5-B43,_xlfn.MAXIFS(B:B,G:G,G43)+1-B43),"")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$102&lt;&gt;"")*(G$3:G$102=G44)*(J$3:J$102&gt;J44)*(I$3:I$102="P"))+1,IF(O44&lt;&gt;"",SUMPRODUCT((O$3:O$102&lt;&gt;"")*(P$3:P$102="")*(G$3:G$102=G44)*(J$3:J$102&gt;J44)*(I$3:I$102="P"))+SUMPRODUCT((P$3:P$102&lt;&gt;"")*(G$3:G$102=G44)*(I$3:I$102="P"))+1,IF(N44&lt;&gt;"",SUMPRODUCT((N$3:N$102&lt;&gt;"")*(G$3:G$102=G44)*(J$3:J$102&gt;J44)*(I$3:I$102="P"))+1,IF(M44="P",SUMPRODUCT((O$3:O$102&lt;&gt;"")*(P$3:P$102="")*(G$3:G$102=G44)*(I$3:I$102="P"))+SUMPRODUCT((P$3:P$102&lt;&gt;"")*(G$3:G$102=G44)*(I$3:I$102="P"))+SUMPRODUCT((N$3:N$102&lt;&gt;"")*(G$3:G$102=G44)*(I$3:I$102="P"))+SUMPRODUCT((P$3:P$102="")*(O$3:O$102="")*(N$3:N$102="")*(M$3:M$102="P")*(G$3:G$102=G44)*(J$3:J$102&gt;J44)*(I$3:I$102="P"))+IF(H44="L5",SUMPRODUCT((P$3:P$102="")*(O$3:O$102="")*(N$3:N$102="")*(M$3:M$102="P")*(G$3:G$102=G44)*(J$3:J$102&lt;J44)*(H$3:H$102&lt;&gt;H44)*(I$3:I$102="P")),-1*SUMPRODUCT((P$3:P$102="")*(O$3:O$102="")*(N$3:N$102="")*(M$3:M$102="P")*(G$3:G$102=G44)*(J$3:J$102&gt;J44)*(H$3:H$102="L5")*(I$3:I$102="P")))+1,"")))))</f>
        <v/>
      </c>
      <c r="B44" s="1" t="str" cm="1">
        <f t="array" ref="B44">IF(P44&lt;&gt;"",SUMPRODUCT((P$3:P$102&lt;&gt;"")*(G$3:G$102=G44)*(J$3:J$102&gt;J44))+1,IF(O44&lt;&gt;"",SUMPRODUCT((O$3:O$102&lt;&gt;"")*(P$3:P$102="")*(G$3:G$102=G44)*(J$3:J$102&gt;J44))+SUMPRODUCT((P$3:P$102&lt;&gt;"")*(G$3:G$102=G44))+1,IF(N44&lt;&gt;"",SUMPRODUCT((N$3:N$102&lt;&gt;"")*(G$3:G$102=G44)*(J$3:J$102&gt;J44))+1,IF(M44="P",SUMPRODUCT((O$3:O$102&lt;&gt;"")*(P$3:P$102="")*(G$3:G$102=G44))+SUMPRODUCT((P$3:P$102&lt;&gt;"")*(G$3:G$102=G44))+SUMPRODUCT((N$3:N$102&lt;&gt;"")*(G$3:G$102=G44))+SUMPRODUCT((P$3:P$102="")*(O$3:O$102="")*(N$3:N$102="")*(M$3:M$102="P")*(G$3:G$102=G44)*(J$3:J$102&gt;J44))+IF(H44="L5",SUMPRODUCT((P$3:P$102="")*(O$3:O$102="")*(N$3:N$102="")*(M$3:M$102="P")*(G$3:G$102=G44)*(J$3:J$102&lt;J44)*(H$3:H$102&lt;&gt;H44)),-1*SUMPRODUCT((P$3:P$102="")*(O$3:O$102="")*(N$3:N$102="")*(M$3:M$102="P")*(G$3:G$102=G44)*(J$3:J$102&gt;J44)*(H$3:H$102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IF(AND(B44&lt;5,I44="P"),IF(_xlfn.MAXIFS(B:B,G:G,G44)&gt;3,5-B44,_xlfn.MAXIFS(B:B,G:G,G44)+1-B44),"")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$102&lt;&gt;"")*(G$3:G$102=G45)*(J$3:J$102&gt;J45)*(I$3:I$102="P"))+1,IF(O45&lt;&gt;"",SUMPRODUCT((O$3:O$102&lt;&gt;"")*(P$3:P$102="")*(G$3:G$102=G45)*(J$3:J$102&gt;J45)*(I$3:I$102="P"))+SUMPRODUCT((P$3:P$102&lt;&gt;"")*(G$3:G$102=G45)*(I$3:I$102="P"))+1,IF(N45&lt;&gt;"",SUMPRODUCT((N$3:N$102&lt;&gt;"")*(G$3:G$102=G45)*(J$3:J$102&gt;J45)*(I$3:I$102="P"))+1,IF(M45="P",SUMPRODUCT((O$3:O$102&lt;&gt;"")*(P$3:P$102="")*(G$3:G$102=G45)*(I$3:I$102="P"))+SUMPRODUCT((P$3:P$102&lt;&gt;"")*(G$3:G$102=G45)*(I$3:I$102="P"))+SUMPRODUCT((N$3:N$102&lt;&gt;"")*(G$3:G$102=G45)*(I$3:I$102="P"))+SUMPRODUCT((P$3:P$102="")*(O$3:O$102="")*(N$3:N$102="")*(M$3:M$102="P")*(G$3:G$102=G45)*(J$3:J$102&gt;J45)*(I$3:I$102="P"))+IF(H45="L5",SUMPRODUCT((P$3:P$102="")*(O$3:O$102="")*(N$3:N$102="")*(M$3:M$102="P")*(G$3:G$102=G45)*(J$3:J$102&lt;J45)*(H$3:H$102&lt;&gt;H45)*(I$3:I$102="P")),-1*SUMPRODUCT((P$3:P$102="")*(O$3:O$102="")*(N$3:N$102="")*(M$3:M$102="P")*(G$3:G$102=G45)*(J$3:J$102&gt;J45)*(H$3:H$102="L5")*(I$3:I$102="P")))+1,"")))))</f>
        <v/>
      </c>
      <c r="B45" s="1" t="str" cm="1">
        <f t="array" ref="B45">IF(P45&lt;&gt;"",SUMPRODUCT((P$3:P$102&lt;&gt;"")*(G$3:G$102=G45)*(J$3:J$102&gt;J45))+1,IF(O45&lt;&gt;"",SUMPRODUCT((O$3:O$102&lt;&gt;"")*(P$3:P$102="")*(G$3:G$102=G45)*(J$3:J$102&gt;J45))+SUMPRODUCT((P$3:P$102&lt;&gt;"")*(G$3:G$102=G45))+1,IF(N45&lt;&gt;"",SUMPRODUCT((N$3:N$102&lt;&gt;"")*(G$3:G$102=G45)*(J$3:J$102&gt;J45))+1,IF(M45="P",SUMPRODUCT((O$3:O$102&lt;&gt;"")*(P$3:P$102="")*(G$3:G$102=G45))+SUMPRODUCT((P$3:P$102&lt;&gt;"")*(G$3:G$102=G45))+SUMPRODUCT((N$3:N$102&lt;&gt;"")*(G$3:G$102=G45))+SUMPRODUCT((P$3:P$102="")*(O$3:O$102="")*(N$3:N$102="")*(M$3:M$102="P")*(G$3:G$102=G45)*(J$3:J$102&gt;J45))+IF(H45="L5",SUMPRODUCT((P$3:P$102="")*(O$3:O$102="")*(N$3:N$102="")*(M$3:M$102="P")*(G$3:G$102=G45)*(J$3:J$102&lt;J45)*(H$3:H$102&lt;&gt;H45)),-1*SUMPRODUCT((P$3:P$102="")*(O$3:O$102="")*(N$3:N$102="")*(M$3:M$102="P")*(G$3:G$102=G45)*(J$3:J$102&gt;J45)*(H$3:H$102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IF(AND(B45&lt;5,I45="P"),IF(_xlfn.MAXIFS(B:B,G:G,G45)&gt;3,5-B45,_xlfn.MAXIFS(B:B,G:G,G45)+1-B45),"")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$102&lt;&gt;"")*(G$3:G$102=G46)*(J$3:J$102&gt;J46)*(I$3:I$102="P"))+1,IF(O46&lt;&gt;"",SUMPRODUCT((O$3:O$102&lt;&gt;"")*(P$3:P$102="")*(G$3:G$102=G46)*(J$3:J$102&gt;J46)*(I$3:I$102="P"))+SUMPRODUCT((P$3:P$102&lt;&gt;"")*(G$3:G$102=G46)*(I$3:I$102="P"))+1,IF(N46&lt;&gt;"",SUMPRODUCT((N$3:N$102&lt;&gt;"")*(G$3:G$102=G46)*(J$3:J$102&gt;J46)*(I$3:I$102="P"))+1,IF(M46="P",SUMPRODUCT((O$3:O$102&lt;&gt;"")*(P$3:P$102="")*(G$3:G$102=G46)*(I$3:I$102="P"))+SUMPRODUCT((P$3:P$102&lt;&gt;"")*(G$3:G$102=G46)*(I$3:I$102="P"))+SUMPRODUCT((N$3:N$102&lt;&gt;"")*(G$3:G$102=G46)*(I$3:I$102="P"))+SUMPRODUCT((P$3:P$102="")*(O$3:O$102="")*(N$3:N$102="")*(M$3:M$102="P")*(G$3:G$102=G46)*(J$3:J$102&gt;J46)*(I$3:I$102="P"))+IF(H46="L5",SUMPRODUCT((P$3:P$102="")*(O$3:O$102="")*(N$3:N$102="")*(M$3:M$102="P")*(G$3:G$102=G46)*(J$3:J$102&lt;J46)*(H$3:H$102&lt;&gt;H46)*(I$3:I$102="P")),-1*SUMPRODUCT((P$3:P$102="")*(O$3:O$102="")*(N$3:N$102="")*(M$3:M$102="P")*(G$3:G$102=G46)*(J$3:J$102&gt;J46)*(H$3:H$102="L5")*(I$3:I$102="P")))+1,"")))))</f>
        <v/>
      </c>
      <c r="B46" s="1" t="str" cm="1">
        <f t="array" ref="B46">IF(P46&lt;&gt;"",SUMPRODUCT((P$3:P$102&lt;&gt;"")*(G$3:G$102=G46)*(J$3:J$102&gt;J46))+1,IF(O46&lt;&gt;"",SUMPRODUCT((O$3:O$102&lt;&gt;"")*(P$3:P$102="")*(G$3:G$102=G46)*(J$3:J$102&gt;J46))+SUMPRODUCT((P$3:P$102&lt;&gt;"")*(G$3:G$102=G46))+1,IF(N46&lt;&gt;"",SUMPRODUCT((N$3:N$102&lt;&gt;"")*(G$3:G$102=G46)*(J$3:J$102&gt;J46))+1,IF(M46="P",SUMPRODUCT((O$3:O$102&lt;&gt;"")*(P$3:P$102="")*(G$3:G$102=G46))+SUMPRODUCT((P$3:P$102&lt;&gt;"")*(G$3:G$102=G46))+SUMPRODUCT((N$3:N$102&lt;&gt;"")*(G$3:G$102=G46))+SUMPRODUCT((P$3:P$102="")*(O$3:O$102="")*(N$3:N$102="")*(M$3:M$102="P")*(G$3:G$102=G46)*(J$3:J$102&gt;J46))+IF(H46="L5",SUMPRODUCT((P$3:P$102="")*(O$3:O$102="")*(N$3:N$102="")*(M$3:M$102="P")*(G$3:G$102=G46)*(J$3:J$102&lt;J46)*(H$3:H$102&lt;&gt;H46)),-1*SUMPRODUCT((P$3:P$102="")*(O$3:O$102="")*(N$3:N$102="")*(M$3:M$102="P")*(G$3:G$102=G46)*(J$3:J$102&gt;J46)*(H$3:H$102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IF(AND(B46&lt;5,I46="P"),IF(_xlfn.MAXIFS(B:B,G:G,G46)&gt;3,5-B46,_xlfn.MAXIFS(B:B,G:G,G46)+1-B46),"")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$102&lt;&gt;"")*(G$3:G$102=G47)*(J$3:J$102&gt;J47)*(I$3:I$102="P"))+1,IF(O47&lt;&gt;"",SUMPRODUCT((O$3:O$102&lt;&gt;"")*(P$3:P$102="")*(G$3:G$102=G47)*(J$3:J$102&gt;J47)*(I$3:I$102="P"))+SUMPRODUCT((P$3:P$102&lt;&gt;"")*(G$3:G$102=G47)*(I$3:I$102="P"))+1,IF(N47&lt;&gt;"",SUMPRODUCT((N$3:N$102&lt;&gt;"")*(G$3:G$102=G47)*(J$3:J$102&gt;J47)*(I$3:I$102="P"))+1,IF(M47="P",SUMPRODUCT((O$3:O$102&lt;&gt;"")*(P$3:P$102="")*(G$3:G$102=G47)*(I$3:I$102="P"))+SUMPRODUCT((P$3:P$102&lt;&gt;"")*(G$3:G$102=G47)*(I$3:I$102="P"))+SUMPRODUCT((N$3:N$102&lt;&gt;"")*(G$3:G$102=G47)*(I$3:I$102="P"))+SUMPRODUCT((P$3:P$102="")*(O$3:O$102="")*(N$3:N$102="")*(M$3:M$102="P")*(G$3:G$102=G47)*(J$3:J$102&gt;J47)*(I$3:I$102="P"))+IF(H47="L5",SUMPRODUCT((P$3:P$102="")*(O$3:O$102="")*(N$3:N$102="")*(M$3:M$102="P")*(G$3:G$102=G47)*(J$3:J$102&lt;J47)*(H$3:H$102&lt;&gt;H47)*(I$3:I$102="P")),-1*SUMPRODUCT((P$3:P$102="")*(O$3:O$102="")*(N$3:N$102="")*(M$3:M$102="P")*(G$3:G$102=G47)*(J$3:J$102&gt;J47)*(H$3:H$102="L5")*(I$3:I$102="P")))+1,"")))))</f>
        <v/>
      </c>
      <c r="B47" s="1" t="str" cm="1">
        <f t="array" ref="B47">IF(P47&lt;&gt;"",SUMPRODUCT((P$3:P$102&lt;&gt;"")*(G$3:G$102=G47)*(J$3:J$102&gt;J47))+1,IF(O47&lt;&gt;"",SUMPRODUCT((O$3:O$102&lt;&gt;"")*(P$3:P$102="")*(G$3:G$102=G47)*(J$3:J$102&gt;J47))+SUMPRODUCT((P$3:P$102&lt;&gt;"")*(G$3:G$102=G47))+1,IF(N47&lt;&gt;"",SUMPRODUCT((N$3:N$102&lt;&gt;"")*(G$3:G$102=G47)*(J$3:J$102&gt;J47))+1,IF(M47="P",SUMPRODUCT((O$3:O$102&lt;&gt;"")*(P$3:P$102="")*(G$3:G$102=G47))+SUMPRODUCT((P$3:P$102&lt;&gt;"")*(G$3:G$102=G47))+SUMPRODUCT((N$3:N$102&lt;&gt;"")*(G$3:G$102=G47))+SUMPRODUCT((P$3:P$102="")*(O$3:O$102="")*(N$3:N$102="")*(M$3:M$102="P")*(G$3:G$102=G47)*(J$3:J$102&gt;J47))+IF(H47="L5",SUMPRODUCT((P$3:P$102="")*(O$3:O$102="")*(N$3:N$102="")*(M$3:M$102="P")*(G$3:G$102=G47)*(J$3:J$102&lt;J47)*(H$3:H$102&lt;&gt;H47)),-1*SUMPRODUCT((P$3:P$102="")*(O$3:O$102="")*(N$3:N$102="")*(M$3:M$102="P")*(G$3:G$102=G47)*(J$3:J$102&gt;J47)*(H$3:H$102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IF(AND(B47&lt;5,I47="P"),IF(_xlfn.MAXIFS(B:B,G:G,G47)&gt;3,5-B47,_xlfn.MAXIFS(B:B,G:G,G47)+1-B47),"")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$102&lt;&gt;"")*(G$3:G$102=G48)*(J$3:J$102&gt;J48)*(I$3:I$102="P"))+1,IF(O48&lt;&gt;"",SUMPRODUCT((O$3:O$102&lt;&gt;"")*(P$3:P$102="")*(G$3:G$102=G48)*(J$3:J$102&gt;J48)*(I$3:I$102="P"))+SUMPRODUCT((P$3:P$102&lt;&gt;"")*(G$3:G$102=G48)*(I$3:I$102="P"))+1,IF(N48&lt;&gt;"",SUMPRODUCT((N$3:N$102&lt;&gt;"")*(G$3:G$102=G48)*(J$3:J$102&gt;J48)*(I$3:I$102="P"))+1,IF(M48="P",SUMPRODUCT((O$3:O$102&lt;&gt;"")*(P$3:P$102="")*(G$3:G$102=G48)*(I$3:I$102="P"))+SUMPRODUCT((P$3:P$102&lt;&gt;"")*(G$3:G$102=G48)*(I$3:I$102="P"))+SUMPRODUCT((N$3:N$102&lt;&gt;"")*(G$3:G$102=G48)*(I$3:I$102="P"))+SUMPRODUCT((P$3:P$102="")*(O$3:O$102="")*(N$3:N$102="")*(M$3:M$102="P")*(G$3:G$102=G48)*(J$3:J$102&gt;J48)*(I$3:I$102="P"))+IF(H48="L5",SUMPRODUCT((P$3:P$102="")*(O$3:O$102="")*(N$3:N$102="")*(M$3:M$102="P")*(G$3:G$102=G48)*(J$3:J$102&lt;J48)*(H$3:H$102&lt;&gt;H48)*(I$3:I$102="P")),-1*SUMPRODUCT((P$3:P$102="")*(O$3:O$102="")*(N$3:N$102="")*(M$3:M$102="P")*(G$3:G$102=G48)*(J$3:J$102&gt;J48)*(H$3:H$102="L5")*(I$3:I$102="P")))+1,"")))))</f>
        <v/>
      </c>
      <c r="B48" s="1" t="str" cm="1">
        <f t="array" ref="B48">IF(P48&lt;&gt;"",SUMPRODUCT((P$3:P$102&lt;&gt;"")*(G$3:G$102=G48)*(J$3:J$102&gt;J48))+1,IF(O48&lt;&gt;"",SUMPRODUCT((O$3:O$102&lt;&gt;"")*(P$3:P$102="")*(G$3:G$102=G48)*(J$3:J$102&gt;J48))+SUMPRODUCT((P$3:P$102&lt;&gt;"")*(G$3:G$102=G48))+1,IF(N48&lt;&gt;"",SUMPRODUCT((N$3:N$102&lt;&gt;"")*(G$3:G$102=G48)*(J$3:J$102&gt;J48))+1,IF(M48="P",SUMPRODUCT((O$3:O$102&lt;&gt;"")*(P$3:P$102="")*(G$3:G$102=G48))+SUMPRODUCT((P$3:P$102&lt;&gt;"")*(G$3:G$102=G48))+SUMPRODUCT((N$3:N$102&lt;&gt;"")*(G$3:G$102=G48))+SUMPRODUCT((P$3:P$102="")*(O$3:O$102="")*(N$3:N$102="")*(M$3:M$102="P")*(G$3:G$102=G48)*(J$3:J$102&gt;J48))+IF(H48="L5",SUMPRODUCT((P$3:P$102="")*(O$3:O$102="")*(N$3:N$102="")*(M$3:M$102="P")*(G$3:G$102=G48)*(J$3:J$102&lt;J48)*(H$3:H$102&lt;&gt;H48)),-1*SUMPRODUCT((P$3:P$102="")*(O$3:O$102="")*(N$3:N$102="")*(M$3:M$102="P")*(G$3:G$102=G48)*(J$3:J$102&gt;J48)*(H$3:H$102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IF(AND(B48&lt;5,I48="P"),IF(_xlfn.MAXIFS(B:B,G:G,G48)&gt;3,5-B48,_xlfn.MAXIFS(B:B,G:G,G48)+1-B48),"")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$102&lt;&gt;"")*(G$3:G$102=G49)*(J$3:J$102&gt;J49)*(I$3:I$102="P"))+1,IF(O49&lt;&gt;"",SUMPRODUCT((O$3:O$102&lt;&gt;"")*(P$3:P$102="")*(G$3:G$102=G49)*(J$3:J$102&gt;J49)*(I$3:I$102="P"))+SUMPRODUCT((P$3:P$102&lt;&gt;"")*(G$3:G$102=G49)*(I$3:I$102="P"))+1,IF(N49&lt;&gt;"",SUMPRODUCT((N$3:N$102&lt;&gt;"")*(G$3:G$102=G49)*(J$3:J$102&gt;J49)*(I$3:I$102="P"))+1,IF(M49="P",SUMPRODUCT((O$3:O$102&lt;&gt;"")*(P$3:P$102="")*(G$3:G$102=G49)*(I$3:I$102="P"))+SUMPRODUCT((P$3:P$102&lt;&gt;"")*(G$3:G$102=G49)*(I$3:I$102="P"))+SUMPRODUCT((N$3:N$102&lt;&gt;"")*(G$3:G$102=G49)*(I$3:I$102="P"))+SUMPRODUCT((P$3:P$102="")*(O$3:O$102="")*(N$3:N$102="")*(M$3:M$102="P")*(G$3:G$102=G49)*(J$3:J$102&gt;J49)*(I$3:I$102="P"))+IF(H49="L5",SUMPRODUCT((P$3:P$102="")*(O$3:O$102="")*(N$3:N$102="")*(M$3:M$102="P")*(G$3:G$102=G49)*(J$3:J$102&lt;J49)*(H$3:H$102&lt;&gt;H49)*(I$3:I$102="P")),-1*SUMPRODUCT((P$3:P$102="")*(O$3:O$102="")*(N$3:N$102="")*(M$3:M$102="P")*(G$3:G$102=G49)*(J$3:J$102&gt;J49)*(H$3:H$102="L5")*(I$3:I$102="P")))+1,"")))))</f>
        <v/>
      </c>
      <c r="B49" s="1" t="str" cm="1">
        <f t="array" ref="B49">IF(P49&lt;&gt;"",SUMPRODUCT((P$3:P$102&lt;&gt;"")*(G$3:G$102=G49)*(J$3:J$102&gt;J49))+1,IF(O49&lt;&gt;"",SUMPRODUCT((O$3:O$102&lt;&gt;"")*(P$3:P$102="")*(G$3:G$102=G49)*(J$3:J$102&gt;J49))+SUMPRODUCT((P$3:P$102&lt;&gt;"")*(G$3:G$102=G49))+1,IF(N49&lt;&gt;"",SUMPRODUCT((N$3:N$102&lt;&gt;"")*(G$3:G$102=G49)*(J$3:J$102&gt;J49))+1,IF(M49="P",SUMPRODUCT((O$3:O$102&lt;&gt;"")*(P$3:P$102="")*(G$3:G$102=G49))+SUMPRODUCT((P$3:P$102&lt;&gt;"")*(G$3:G$102=G49))+SUMPRODUCT((N$3:N$102&lt;&gt;"")*(G$3:G$102=G49))+SUMPRODUCT((P$3:P$102="")*(O$3:O$102="")*(N$3:N$102="")*(M$3:M$102="P")*(G$3:G$102=G49)*(J$3:J$102&gt;J49))+IF(H49="L5",SUMPRODUCT((P$3:P$102="")*(O$3:O$102="")*(N$3:N$102="")*(M$3:M$102="P")*(G$3:G$102=G49)*(J$3:J$102&lt;J49)*(H$3:H$102&lt;&gt;H49)),-1*SUMPRODUCT((P$3:P$102="")*(O$3:O$102="")*(N$3:N$102="")*(M$3:M$102="P")*(G$3:G$102=G49)*(J$3:J$102&gt;J49)*(H$3:H$102="L5")))+1,""))))</f>
        <v/>
      </c>
      <c r="C49" s="35" t="s">
        <v>423</v>
      </c>
      <c r="D49" t="str">
        <f>IF(E49="","",VLOOKUP(E49,'Coaching Points'!A:B,2,0))</f>
        <v>NS</v>
      </c>
      <c r="E49" s="35" t="s">
        <v>86</v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IF(AND(B49&lt;5,I49="P"),IF(_xlfn.MAXIFS(B:B,G:G,G49)&gt;3,5-B49,_xlfn.MAXIFS(B:B,G:G,G49)+1-B49),"")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$102&lt;&gt;"")*(G$3:G$102=G50)*(J$3:J$102&gt;J50)*(I$3:I$102="P"))+1,IF(O50&lt;&gt;"",SUMPRODUCT((O$3:O$102&lt;&gt;"")*(P$3:P$102="")*(G$3:G$102=G50)*(J$3:J$102&gt;J50)*(I$3:I$102="P"))+SUMPRODUCT((P$3:P$102&lt;&gt;"")*(G$3:G$102=G50)*(I$3:I$102="P"))+1,IF(N50&lt;&gt;"",SUMPRODUCT((N$3:N$102&lt;&gt;"")*(G$3:G$102=G50)*(J$3:J$102&gt;J50)*(I$3:I$102="P"))+1,IF(M50="P",SUMPRODUCT((O$3:O$102&lt;&gt;"")*(P$3:P$102="")*(G$3:G$102=G50)*(I$3:I$102="P"))+SUMPRODUCT((P$3:P$102&lt;&gt;"")*(G$3:G$102=G50)*(I$3:I$102="P"))+SUMPRODUCT((N$3:N$102&lt;&gt;"")*(G$3:G$102=G50)*(I$3:I$102="P"))+SUMPRODUCT((P$3:P$102="")*(O$3:O$102="")*(N$3:N$102="")*(M$3:M$102="P")*(G$3:G$102=G50)*(J$3:J$102&gt;J50)*(I$3:I$102="P"))+IF(H50="L5",SUMPRODUCT((P$3:P$102="")*(O$3:O$102="")*(N$3:N$102="")*(M$3:M$102="P")*(G$3:G$102=G50)*(J$3:J$102&lt;J50)*(H$3:H$102&lt;&gt;H50)*(I$3:I$102="P")),-1*SUMPRODUCT((P$3:P$102="")*(O$3:O$102="")*(N$3:N$102="")*(M$3:M$102="P")*(G$3:G$102=G50)*(J$3:J$102&gt;J50)*(H$3:H$102="L5")*(I$3:I$102="P")))+1,"")))))</f>
        <v/>
      </c>
      <c r="B50" s="1" t="str" cm="1">
        <f t="array" ref="B50">IF(P50&lt;&gt;"",SUMPRODUCT((P$3:P$102&lt;&gt;"")*(G$3:G$102=G50)*(J$3:J$102&gt;J50))+1,IF(O50&lt;&gt;"",SUMPRODUCT((O$3:O$102&lt;&gt;"")*(P$3:P$102="")*(G$3:G$102=G50)*(J$3:J$102&gt;J50))+SUMPRODUCT((P$3:P$102&lt;&gt;"")*(G$3:G$102=G50))+1,IF(N50&lt;&gt;"",SUMPRODUCT((N$3:N$102&lt;&gt;"")*(G$3:G$102=G50)*(J$3:J$102&gt;J50))+1,IF(M50="P",SUMPRODUCT((O$3:O$102&lt;&gt;"")*(P$3:P$102="")*(G$3:G$102=G50))+SUMPRODUCT((P$3:P$102&lt;&gt;"")*(G$3:G$102=G50))+SUMPRODUCT((N$3:N$102&lt;&gt;"")*(G$3:G$102=G50))+SUMPRODUCT((P$3:P$102="")*(O$3:O$102="")*(N$3:N$102="")*(M$3:M$102="P")*(G$3:G$102=G50)*(J$3:J$102&gt;J50))+IF(H50="L5",SUMPRODUCT((P$3:P$102="")*(O$3:O$102="")*(N$3:N$102="")*(M$3:M$102="P")*(G$3:G$102=G50)*(J$3:J$102&lt;J50)*(H$3:H$102&lt;&gt;H50)),-1*SUMPRODUCT((P$3:P$102="")*(O$3:O$102="")*(N$3:N$102="")*(M$3:M$102="P")*(G$3:G$102=G50)*(J$3:J$102&gt;J50)*(H$3:H$102="L5")))+1,""))))</f>
        <v/>
      </c>
      <c r="C50" s="35" t="s">
        <v>424</v>
      </c>
      <c r="D50" t="str">
        <f>IF(E50="","",VLOOKUP(E50,'Coaching Points'!A:B,2,0))</f>
        <v>ON</v>
      </c>
      <c r="E50" s="35" t="s">
        <v>84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IF(AND(B50&lt;5,I50="P"),IF(_xlfn.MAXIFS(B:B,G:G,G50)&gt;3,5-B50,_xlfn.MAXIFS(B:B,G:G,G50)+1-B50),"")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$102&lt;&gt;"")*(G$3:G$102=G51)*(J$3:J$102&gt;J51)*(I$3:I$102="P"))+1,IF(O51&lt;&gt;"",SUMPRODUCT((O$3:O$102&lt;&gt;"")*(P$3:P$102="")*(G$3:G$102=G51)*(J$3:J$102&gt;J51)*(I$3:I$102="P"))+SUMPRODUCT((P$3:P$102&lt;&gt;"")*(G$3:G$102=G51)*(I$3:I$102="P"))+1,IF(N51&lt;&gt;"",SUMPRODUCT((N$3:N$102&lt;&gt;"")*(G$3:G$102=G51)*(J$3:J$102&gt;J51)*(I$3:I$102="P"))+1,IF(M51="P",SUMPRODUCT((O$3:O$102&lt;&gt;"")*(P$3:P$102="")*(G$3:G$102=G51)*(I$3:I$102="P"))+SUMPRODUCT((P$3:P$102&lt;&gt;"")*(G$3:G$102=G51)*(I$3:I$102="P"))+SUMPRODUCT((N$3:N$102&lt;&gt;"")*(G$3:G$102=G51)*(I$3:I$102="P"))+SUMPRODUCT((P$3:P$102="")*(O$3:O$102="")*(N$3:N$102="")*(M$3:M$102="P")*(G$3:G$102=G51)*(J$3:J$102&gt;J51)*(I$3:I$102="P"))+IF(H51="L5",SUMPRODUCT((P$3:P$102="")*(O$3:O$102="")*(N$3:N$102="")*(M$3:M$102="P")*(G$3:G$102=G51)*(J$3:J$102&lt;J51)*(H$3:H$102&lt;&gt;H51)*(I$3:I$102="P")),-1*SUMPRODUCT((P$3:P$102="")*(O$3:O$102="")*(N$3:N$102="")*(M$3:M$102="P")*(G$3:G$102=G51)*(J$3:J$102&gt;J51)*(H$3:H$102="L5")*(I$3:I$102="P")))+1,"")))))</f>
        <v/>
      </c>
      <c r="B51" s="1" t="str" cm="1">
        <f t="array" ref="B51">IF(P51&lt;&gt;"",SUMPRODUCT((P$3:P$102&lt;&gt;"")*(G$3:G$102=G51)*(J$3:J$102&gt;J51))+1,IF(O51&lt;&gt;"",SUMPRODUCT((O$3:O$102&lt;&gt;"")*(P$3:P$102="")*(G$3:G$102=G51)*(J$3:J$102&gt;J51))+SUMPRODUCT((P$3:P$102&lt;&gt;"")*(G$3:G$102=G51))+1,IF(N51&lt;&gt;"",SUMPRODUCT((N$3:N$102&lt;&gt;"")*(G$3:G$102=G51)*(J$3:J$102&gt;J51))+1,IF(M51="P",SUMPRODUCT((O$3:O$102&lt;&gt;"")*(P$3:P$102="")*(G$3:G$102=G51))+SUMPRODUCT((P$3:P$102&lt;&gt;"")*(G$3:G$102=G51))+SUMPRODUCT((N$3:N$102&lt;&gt;"")*(G$3:G$102=G51))+SUMPRODUCT((P$3:P$102="")*(O$3:O$102="")*(N$3:N$102="")*(M$3:M$102="P")*(G$3:G$102=G51)*(J$3:J$102&gt;J51))+IF(H51="L5",SUMPRODUCT((P$3:P$102="")*(O$3:O$102="")*(N$3:N$102="")*(M$3:M$102="P")*(G$3:G$102=G51)*(J$3:J$102&lt;J51)*(H$3:H$102&lt;&gt;H51)),-1*SUMPRODUCT((P$3:P$102="")*(O$3:O$102="")*(N$3:N$102="")*(M$3:M$102="P")*(G$3:G$102=G51)*(J$3:J$102&gt;J51)*(H$3:H$102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IF(AND(B51&lt;5,I51="P"),IF(_xlfn.MAXIFS(B:B,G:G,G51)&gt;3,5-B51,_xlfn.MAXIFS(B:B,G:G,G51)+1-B51),"")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$102&lt;&gt;"")*(G$3:G$102=G52)*(J$3:J$102&gt;J52)*(I$3:I$102="P"))+1,IF(O52&lt;&gt;"",SUMPRODUCT((O$3:O$102&lt;&gt;"")*(P$3:P$102="")*(G$3:G$102=G52)*(J$3:J$102&gt;J52)*(I$3:I$102="P"))+SUMPRODUCT((P$3:P$102&lt;&gt;"")*(G$3:G$102=G52)*(I$3:I$102="P"))+1,IF(N52&lt;&gt;"",SUMPRODUCT((N$3:N$102&lt;&gt;"")*(G$3:G$102=G52)*(J$3:J$102&gt;J52)*(I$3:I$102="P"))+1,IF(M52="P",SUMPRODUCT((O$3:O$102&lt;&gt;"")*(P$3:P$102="")*(G$3:G$102=G52)*(I$3:I$102="P"))+SUMPRODUCT((P$3:P$102&lt;&gt;"")*(G$3:G$102=G52)*(I$3:I$102="P"))+SUMPRODUCT((N$3:N$102&lt;&gt;"")*(G$3:G$102=G52)*(I$3:I$102="P"))+SUMPRODUCT((P$3:P$102="")*(O$3:O$102="")*(N$3:N$102="")*(M$3:M$102="P")*(G$3:G$102=G52)*(J$3:J$102&gt;J52)*(I$3:I$102="P"))+IF(H52="L5",SUMPRODUCT((P$3:P$102="")*(O$3:O$102="")*(N$3:N$102="")*(M$3:M$102="P")*(G$3:G$102=G52)*(J$3:J$102&lt;J52)*(H$3:H$102&lt;&gt;H52)*(I$3:I$102="P")),-1*SUMPRODUCT((P$3:P$102="")*(O$3:O$102="")*(N$3:N$102="")*(M$3:M$102="P")*(G$3:G$102=G52)*(J$3:J$102&gt;J52)*(H$3:H$102="L5")*(I$3:I$102="P")))+1,"")))))</f>
        <v/>
      </c>
      <c r="B52" s="1" t="str" cm="1">
        <f t="array" ref="B52">IF(P52&lt;&gt;"",SUMPRODUCT((P$3:P$102&lt;&gt;"")*(G$3:G$102=G52)*(J$3:J$102&gt;J52))+1,IF(O52&lt;&gt;"",SUMPRODUCT((O$3:O$102&lt;&gt;"")*(P$3:P$102="")*(G$3:G$102=G52)*(J$3:J$102&gt;J52))+SUMPRODUCT((P$3:P$102&lt;&gt;"")*(G$3:G$102=G52))+1,IF(N52&lt;&gt;"",SUMPRODUCT((N$3:N$102&lt;&gt;"")*(G$3:G$102=G52)*(J$3:J$102&gt;J52))+1,IF(M52="P",SUMPRODUCT((O$3:O$102&lt;&gt;"")*(P$3:P$102="")*(G$3:G$102=G52))+SUMPRODUCT((P$3:P$102&lt;&gt;"")*(G$3:G$102=G52))+SUMPRODUCT((N$3:N$102&lt;&gt;"")*(G$3:G$102=G52))+SUMPRODUCT((P$3:P$102="")*(O$3:O$102="")*(N$3:N$102="")*(M$3:M$102="P")*(G$3:G$102=G52)*(J$3:J$102&gt;J52))+IF(H52="L5",SUMPRODUCT((P$3:P$102="")*(O$3:O$102="")*(N$3:N$102="")*(M$3:M$102="P")*(G$3:G$102=G52)*(J$3:J$102&lt;J52)*(H$3:H$102&lt;&gt;H52)),-1*SUMPRODUCT((P$3:P$102="")*(O$3:O$102="")*(N$3:N$102="")*(M$3:M$102="P")*(G$3:G$102=G52)*(J$3:J$102&gt;J52)*(H$3:H$102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IF(AND(B52&lt;5,I52="P"),IF(_xlfn.MAXIFS(B:B,G:G,G52)&gt;3,5-B52,_xlfn.MAXIFS(B:B,G:G,G52)+1-B52),"")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$102&lt;&gt;"")*(G$3:G$102=G53)*(J$3:J$102&gt;J53)*(I$3:I$102="P"))+1,IF(O53&lt;&gt;"",SUMPRODUCT((O$3:O$102&lt;&gt;"")*(P$3:P$102="")*(G$3:G$102=G53)*(J$3:J$102&gt;J53)*(I$3:I$102="P"))+SUMPRODUCT((P$3:P$102&lt;&gt;"")*(G$3:G$102=G53)*(I$3:I$102="P"))+1,IF(N53&lt;&gt;"",SUMPRODUCT((N$3:N$102&lt;&gt;"")*(G$3:G$102=G53)*(J$3:J$102&gt;J53)*(I$3:I$102="P"))+1,IF(M53="P",SUMPRODUCT((O$3:O$102&lt;&gt;"")*(P$3:P$102="")*(G$3:G$102=G53)*(I$3:I$102="P"))+SUMPRODUCT((P$3:P$102&lt;&gt;"")*(G$3:G$102=G53)*(I$3:I$102="P"))+SUMPRODUCT((N$3:N$102&lt;&gt;"")*(G$3:G$102=G53)*(I$3:I$102="P"))+SUMPRODUCT((P$3:P$102="")*(O$3:O$102="")*(N$3:N$102="")*(M$3:M$102="P")*(G$3:G$102=G53)*(J$3:J$102&gt;J53)*(I$3:I$102="P"))+IF(H53="L5",SUMPRODUCT((P$3:P$102="")*(O$3:O$102="")*(N$3:N$102="")*(M$3:M$102="P")*(G$3:G$102=G53)*(J$3:J$102&lt;J53)*(H$3:H$102&lt;&gt;H53)*(I$3:I$102="P")),-1*SUMPRODUCT((P$3:P$102="")*(O$3:O$102="")*(N$3:N$102="")*(M$3:M$102="P")*(G$3:G$102=G53)*(J$3:J$102&gt;J53)*(H$3:H$102="L5")*(I$3:I$102="P")))+1,"")))))</f>
        <v/>
      </c>
      <c r="B53" s="1" t="str" cm="1">
        <f t="array" ref="B53">IF(P53&lt;&gt;"",SUMPRODUCT((P$3:P$102&lt;&gt;"")*(G$3:G$102=G53)*(J$3:J$102&gt;J53))+1,IF(O53&lt;&gt;"",SUMPRODUCT((O$3:O$102&lt;&gt;"")*(P$3:P$102="")*(G$3:G$102=G53)*(J$3:J$102&gt;J53))+SUMPRODUCT((P$3:P$102&lt;&gt;"")*(G$3:G$102=G53))+1,IF(N53&lt;&gt;"",SUMPRODUCT((N$3:N$102&lt;&gt;"")*(G$3:G$102=G53)*(J$3:J$102&gt;J53))+1,IF(M53="P",SUMPRODUCT((O$3:O$102&lt;&gt;"")*(P$3:P$102="")*(G$3:G$102=G53))+SUMPRODUCT((P$3:P$102&lt;&gt;"")*(G$3:G$102=G53))+SUMPRODUCT((N$3:N$102&lt;&gt;"")*(G$3:G$102=G53))+SUMPRODUCT((P$3:P$102="")*(O$3:O$102="")*(N$3:N$102="")*(M$3:M$102="P")*(G$3:G$102=G53)*(J$3:J$102&gt;J53))+IF(H53="L5",SUMPRODUCT((P$3:P$102="")*(O$3:O$102="")*(N$3:N$102="")*(M$3:M$102="P")*(G$3:G$102=G53)*(J$3:J$102&lt;J53)*(H$3:H$102&lt;&gt;H53)),-1*SUMPRODUCT((P$3:P$102="")*(O$3:O$102="")*(N$3:N$102="")*(M$3:M$102="P")*(G$3:G$102=G53)*(J$3:J$102&gt;J53)*(H$3:H$102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IF(AND(B53&lt;5,I53="P"),IF(_xlfn.MAXIFS(B:B,G:G,G53)&gt;3,5-B53,_xlfn.MAXIFS(B:B,G:G,G53)+1-B53),"")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$102&lt;&gt;"")*(G$3:G$102=G54)*(J$3:J$102&gt;J54)*(I$3:I$102="P"))+1,IF(O54&lt;&gt;"",SUMPRODUCT((O$3:O$102&lt;&gt;"")*(P$3:P$102="")*(G$3:G$102=G54)*(J$3:J$102&gt;J54)*(I$3:I$102="P"))+SUMPRODUCT((P$3:P$102&lt;&gt;"")*(G$3:G$102=G54)*(I$3:I$102="P"))+1,IF(N54&lt;&gt;"",SUMPRODUCT((N$3:N$102&lt;&gt;"")*(G$3:G$102=G54)*(J$3:J$102&gt;J54)*(I$3:I$102="P"))+1,IF(M54="P",SUMPRODUCT((O$3:O$102&lt;&gt;"")*(P$3:P$102="")*(G$3:G$102=G54)*(I$3:I$102="P"))+SUMPRODUCT((P$3:P$102&lt;&gt;"")*(G$3:G$102=G54)*(I$3:I$102="P"))+SUMPRODUCT((N$3:N$102&lt;&gt;"")*(G$3:G$102=G54)*(I$3:I$102="P"))+SUMPRODUCT((P$3:P$102="")*(O$3:O$102="")*(N$3:N$102="")*(M$3:M$102="P")*(G$3:G$102=G54)*(J$3:J$102&gt;J54)*(I$3:I$102="P"))+IF(H54="L5",SUMPRODUCT((P$3:P$102="")*(O$3:O$102="")*(N$3:N$102="")*(M$3:M$102="P")*(G$3:G$102=G54)*(J$3:J$102&lt;J54)*(H$3:H$102&lt;&gt;H54)*(I$3:I$102="P")),-1*SUMPRODUCT((P$3:P$102="")*(O$3:O$102="")*(N$3:N$102="")*(M$3:M$102="P")*(G$3:G$102=G54)*(J$3:J$102&gt;J54)*(H$3:H$102="L5")*(I$3:I$102="P")))+1,"")))))</f>
        <v/>
      </c>
      <c r="B54" s="1" t="str" cm="1">
        <f t="array" ref="B54">IF(P54&lt;&gt;"",SUMPRODUCT((P$3:P$102&lt;&gt;"")*(G$3:G$102=G54)*(J$3:J$102&gt;J54))+1,IF(O54&lt;&gt;"",SUMPRODUCT((O$3:O$102&lt;&gt;"")*(P$3:P$102="")*(G$3:G$102=G54)*(J$3:J$102&gt;J54))+SUMPRODUCT((P$3:P$102&lt;&gt;"")*(G$3:G$102=G54))+1,IF(N54&lt;&gt;"",SUMPRODUCT((N$3:N$102&lt;&gt;"")*(G$3:G$102=G54)*(J$3:J$102&gt;J54))+1,IF(M54="P",SUMPRODUCT((O$3:O$102&lt;&gt;"")*(P$3:P$102="")*(G$3:G$102=G54))+SUMPRODUCT((P$3:P$102&lt;&gt;"")*(G$3:G$102=G54))+SUMPRODUCT((N$3:N$102&lt;&gt;"")*(G$3:G$102=G54))+SUMPRODUCT((P$3:P$102="")*(O$3:O$102="")*(N$3:N$102="")*(M$3:M$102="P")*(G$3:G$102=G54)*(J$3:J$102&gt;J54))+IF(H54="L5",SUMPRODUCT((P$3:P$102="")*(O$3:O$102="")*(N$3:N$102="")*(M$3:M$102="P")*(G$3:G$102=G54)*(J$3:J$102&lt;J54)*(H$3:H$102&lt;&gt;H54)),-1*SUMPRODUCT((P$3:P$102="")*(O$3:O$102="")*(N$3:N$102="")*(M$3:M$102="P")*(G$3:G$102=G54)*(J$3:J$102&gt;J54)*(H$3:H$102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IF(AND(B54&lt;5,I54="P"),IF(_xlfn.MAXIFS(B:B,G:G,G54)&gt;3,5-B54,_xlfn.MAXIFS(B:B,G:G,G54)+1-B54),"")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$102&lt;&gt;"")*(G$3:G$102=G55)*(J$3:J$102&gt;J55)*(I$3:I$102="P"))+1,IF(O55&lt;&gt;"",SUMPRODUCT((O$3:O$102&lt;&gt;"")*(P$3:P$102="")*(G$3:G$102=G55)*(J$3:J$102&gt;J55)*(I$3:I$102="P"))+SUMPRODUCT((P$3:P$102&lt;&gt;"")*(G$3:G$102=G55)*(I$3:I$102="P"))+1,IF(N55&lt;&gt;"",SUMPRODUCT((N$3:N$102&lt;&gt;"")*(G$3:G$102=G55)*(J$3:J$102&gt;J55)*(I$3:I$102="P"))+1,IF(M55="P",SUMPRODUCT((O$3:O$102&lt;&gt;"")*(P$3:P$102="")*(G$3:G$102=G55)*(I$3:I$102="P"))+SUMPRODUCT((P$3:P$102&lt;&gt;"")*(G$3:G$102=G55)*(I$3:I$102="P"))+SUMPRODUCT((N$3:N$102&lt;&gt;"")*(G$3:G$102=G55)*(I$3:I$102="P"))+SUMPRODUCT((P$3:P$102="")*(O$3:O$102="")*(N$3:N$102="")*(M$3:M$102="P")*(G$3:G$102=G55)*(J$3:J$102&gt;J55)*(I$3:I$102="P"))+IF(H55="L5",SUMPRODUCT((P$3:P$102="")*(O$3:O$102="")*(N$3:N$102="")*(M$3:M$102="P")*(G$3:G$102=G55)*(J$3:J$102&lt;J55)*(H$3:H$102&lt;&gt;H55)*(I$3:I$102="P")),-1*SUMPRODUCT((P$3:P$102="")*(O$3:O$102="")*(N$3:N$102="")*(M$3:M$102="P")*(G$3:G$102=G55)*(J$3:J$102&gt;J55)*(H$3:H$102="L5")*(I$3:I$102="P")))+1,"")))))</f>
        <v/>
      </c>
      <c r="B55" s="1" t="str" cm="1">
        <f t="array" ref="B55">IF(P55&lt;&gt;"",SUMPRODUCT((P$3:P$102&lt;&gt;"")*(G$3:G$102=G55)*(J$3:J$102&gt;J55))+1,IF(O55&lt;&gt;"",SUMPRODUCT((O$3:O$102&lt;&gt;"")*(P$3:P$102="")*(G$3:G$102=G55)*(J$3:J$102&gt;J55))+SUMPRODUCT((P$3:P$102&lt;&gt;"")*(G$3:G$102=G55))+1,IF(N55&lt;&gt;"",SUMPRODUCT((N$3:N$102&lt;&gt;"")*(G$3:G$102=G55)*(J$3:J$102&gt;J55))+1,IF(M55="P",SUMPRODUCT((O$3:O$102&lt;&gt;"")*(P$3:P$102="")*(G$3:G$102=G55))+SUMPRODUCT((P$3:P$102&lt;&gt;"")*(G$3:G$102=G55))+SUMPRODUCT((N$3:N$102&lt;&gt;"")*(G$3:G$102=G55))+SUMPRODUCT((P$3:P$102="")*(O$3:O$102="")*(N$3:N$102="")*(M$3:M$102="P")*(G$3:G$102=G55)*(J$3:J$102&gt;J55))+IF(H55="L5",SUMPRODUCT((P$3:P$102="")*(O$3:O$102="")*(N$3:N$102="")*(M$3:M$102="P")*(G$3:G$102=G55)*(J$3:J$102&lt;J55)*(H$3:H$102&lt;&gt;H55)),-1*SUMPRODUCT((P$3:P$102="")*(O$3:O$102="")*(N$3:N$102="")*(M$3:M$102="P")*(G$3:G$102=G55)*(J$3:J$102&gt;J55)*(H$3:H$102="L5")))+1,""))))</f>
        <v/>
      </c>
      <c r="C55" s="35" t="s">
        <v>425</v>
      </c>
      <c r="D55" t="str">
        <f>IF(E55="","",VLOOKUP(E55,'Coaching Points'!A:B,2,0))</f>
        <v>QC</v>
      </c>
      <c r="E55" s="35" t="s">
        <v>57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IF(AND(B55&lt;5,I55="P"),IF(_xlfn.MAXIFS(B:B,G:G,G55)&gt;3,5-B55,_xlfn.MAXIFS(B:B,G:G,G55)+1-B55),"")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$102&lt;&gt;"")*(G$3:G$102=G56)*(J$3:J$102&gt;J56)*(I$3:I$102="P"))+1,IF(O56&lt;&gt;"",SUMPRODUCT((O$3:O$102&lt;&gt;"")*(P$3:P$102="")*(G$3:G$102=G56)*(J$3:J$102&gt;J56)*(I$3:I$102="P"))+SUMPRODUCT((P$3:P$102&lt;&gt;"")*(G$3:G$102=G56)*(I$3:I$102="P"))+1,IF(N56&lt;&gt;"",SUMPRODUCT((N$3:N$102&lt;&gt;"")*(G$3:G$102=G56)*(J$3:J$102&gt;J56)*(I$3:I$102="P"))+1,IF(M56="P",SUMPRODUCT((O$3:O$102&lt;&gt;"")*(P$3:P$102="")*(G$3:G$102=G56)*(I$3:I$102="P"))+SUMPRODUCT((P$3:P$102&lt;&gt;"")*(G$3:G$102=G56)*(I$3:I$102="P"))+SUMPRODUCT((N$3:N$102&lt;&gt;"")*(G$3:G$102=G56)*(I$3:I$102="P"))+SUMPRODUCT((P$3:P$102="")*(O$3:O$102="")*(N$3:N$102="")*(M$3:M$102="P")*(G$3:G$102=G56)*(J$3:J$102&gt;J56)*(I$3:I$102="P"))+IF(H56="L5",SUMPRODUCT((P$3:P$102="")*(O$3:O$102="")*(N$3:N$102="")*(M$3:M$102="P")*(G$3:G$102=G56)*(J$3:J$102&lt;J56)*(H$3:H$102&lt;&gt;H56)*(I$3:I$102="P")),-1*SUMPRODUCT((P$3:P$102="")*(O$3:O$102="")*(N$3:N$102="")*(M$3:M$102="P")*(G$3:G$102=G56)*(J$3:J$102&gt;J56)*(H$3:H$102="L5")*(I$3:I$102="P")))+1,"")))))</f>
        <v/>
      </c>
      <c r="B56" s="1" t="str" cm="1">
        <f t="array" ref="B56">IF(P56&lt;&gt;"",SUMPRODUCT((P$3:P$102&lt;&gt;"")*(G$3:G$102=G56)*(J$3:J$102&gt;J56))+1,IF(O56&lt;&gt;"",SUMPRODUCT((O$3:O$102&lt;&gt;"")*(P$3:P$102="")*(G$3:G$102=G56)*(J$3:J$102&gt;J56))+SUMPRODUCT((P$3:P$102&lt;&gt;"")*(G$3:G$102=G56))+1,IF(N56&lt;&gt;"",SUMPRODUCT((N$3:N$102&lt;&gt;"")*(G$3:G$102=G56)*(J$3:J$102&gt;J56))+1,IF(M56="P",SUMPRODUCT((O$3:O$102&lt;&gt;"")*(P$3:P$102="")*(G$3:G$102=G56))+SUMPRODUCT((P$3:P$102&lt;&gt;"")*(G$3:G$102=G56))+SUMPRODUCT((N$3:N$102&lt;&gt;"")*(G$3:G$102=G56))+SUMPRODUCT((P$3:P$102="")*(O$3:O$102="")*(N$3:N$102="")*(M$3:M$102="P")*(G$3:G$102=G56)*(J$3:J$102&gt;J56))+IF(H56="L5",SUMPRODUCT((P$3:P$102="")*(O$3:O$102="")*(N$3:N$102="")*(M$3:M$102="P")*(G$3:G$102=G56)*(J$3:J$102&lt;J56)*(H$3:H$102&lt;&gt;H56)),-1*SUMPRODUCT((P$3:P$102="")*(O$3:O$102="")*(N$3:N$102="")*(M$3:M$102="P")*(G$3:G$102=G56)*(J$3:J$102&gt;J56)*(H$3:H$102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IF(AND(B56&lt;5,I56="P"),IF(_xlfn.MAXIFS(B:B,G:G,G56)&gt;3,5-B56,_xlfn.MAXIFS(B:B,G:G,G56)+1-B56),"")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$102&lt;&gt;"")*(G$3:G$102=G57)*(J$3:J$102&gt;J57)*(I$3:I$102="P"))+1,IF(O57&lt;&gt;"",SUMPRODUCT((O$3:O$102&lt;&gt;"")*(P$3:P$102="")*(G$3:G$102=G57)*(J$3:J$102&gt;J57)*(I$3:I$102="P"))+SUMPRODUCT((P$3:P$102&lt;&gt;"")*(G$3:G$102=G57)*(I$3:I$102="P"))+1,IF(N57&lt;&gt;"",SUMPRODUCT((N$3:N$102&lt;&gt;"")*(G$3:G$102=G57)*(J$3:J$102&gt;J57)*(I$3:I$102="P"))+1,IF(M57="P",SUMPRODUCT((O$3:O$102&lt;&gt;"")*(P$3:P$102="")*(G$3:G$102=G57)*(I$3:I$102="P"))+SUMPRODUCT((P$3:P$102&lt;&gt;"")*(G$3:G$102=G57)*(I$3:I$102="P"))+SUMPRODUCT((N$3:N$102&lt;&gt;"")*(G$3:G$102=G57)*(I$3:I$102="P"))+SUMPRODUCT((P$3:P$102="")*(O$3:O$102="")*(N$3:N$102="")*(M$3:M$102="P")*(G$3:G$102=G57)*(J$3:J$102&gt;J57)*(I$3:I$102="P"))+IF(H57="L5",SUMPRODUCT((P$3:P$102="")*(O$3:O$102="")*(N$3:N$102="")*(M$3:M$102="P")*(G$3:G$102=G57)*(J$3:J$102&lt;J57)*(H$3:H$102&lt;&gt;H57)*(I$3:I$102="P")),-1*SUMPRODUCT((P$3:P$102="")*(O$3:O$102="")*(N$3:N$102="")*(M$3:M$102="P")*(G$3:G$102=G57)*(J$3:J$102&gt;J57)*(H$3:H$102="L5")*(I$3:I$102="P")))+1,"")))))</f>
        <v/>
      </c>
      <c r="B57" s="1" t="str" cm="1">
        <f t="array" ref="B57">IF(P57&lt;&gt;"",SUMPRODUCT((P$3:P$102&lt;&gt;"")*(G$3:G$102=G57)*(J$3:J$102&gt;J57))+1,IF(O57&lt;&gt;"",SUMPRODUCT((O$3:O$102&lt;&gt;"")*(P$3:P$102="")*(G$3:G$102=G57)*(J$3:J$102&gt;J57))+SUMPRODUCT((P$3:P$102&lt;&gt;"")*(G$3:G$102=G57))+1,IF(N57&lt;&gt;"",SUMPRODUCT((N$3:N$102&lt;&gt;"")*(G$3:G$102=G57)*(J$3:J$102&gt;J57))+1,IF(M57="P",SUMPRODUCT((O$3:O$102&lt;&gt;"")*(P$3:P$102="")*(G$3:G$102=G57))+SUMPRODUCT((P$3:P$102&lt;&gt;"")*(G$3:G$102=G57))+SUMPRODUCT((N$3:N$102&lt;&gt;"")*(G$3:G$102=G57))+SUMPRODUCT((P$3:P$102="")*(O$3:O$102="")*(N$3:N$102="")*(M$3:M$102="P")*(G$3:G$102=G57)*(J$3:J$102&gt;J57))+IF(H57="L5",SUMPRODUCT((P$3:P$102="")*(O$3:O$102="")*(N$3:N$102="")*(M$3:M$102="P")*(G$3:G$102=G57)*(J$3:J$102&lt;J57)*(H$3:H$102&lt;&gt;H57)),-1*SUMPRODUCT((P$3:P$102="")*(O$3:O$102="")*(N$3:N$102="")*(M$3:M$102="P")*(G$3:G$102=G57)*(J$3:J$102&gt;J57)*(H$3:H$102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IF(AND(B57&lt;5,I57="P"),IF(_xlfn.MAXIFS(B:B,G:G,G57)&gt;3,5-B57,_xlfn.MAXIFS(B:B,G:G,G57)+1-B57),"")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$102&lt;&gt;"")*(G$3:G$102=G58)*(J$3:J$102&gt;J58)*(I$3:I$102="P"))+1,IF(O58&lt;&gt;"",SUMPRODUCT((O$3:O$102&lt;&gt;"")*(P$3:P$102="")*(G$3:G$102=G58)*(J$3:J$102&gt;J58)*(I$3:I$102="P"))+SUMPRODUCT((P$3:P$102&lt;&gt;"")*(G$3:G$102=G58)*(I$3:I$102="P"))+1,IF(N58&lt;&gt;"",SUMPRODUCT((N$3:N$102&lt;&gt;"")*(G$3:G$102=G58)*(J$3:J$102&gt;J58)*(I$3:I$102="P"))+1,IF(M58="P",SUMPRODUCT((O$3:O$102&lt;&gt;"")*(P$3:P$102="")*(G$3:G$102=G58)*(I$3:I$102="P"))+SUMPRODUCT((P$3:P$102&lt;&gt;"")*(G$3:G$102=G58)*(I$3:I$102="P"))+SUMPRODUCT((N$3:N$102&lt;&gt;"")*(G$3:G$102=G58)*(I$3:I$102="P"))+SUMPRODUCT((P$3:P$102="")*(O$3:O$102="")*(N$3:N$102="")*(M$3:M$102="P")*(G$3:G$102=G58)*(J$3:J$102&gt;J58)*(I$3:I$102="P"))+IF(H58="L5",SUMPRODUCT((P$3:P$102="")*(O$3:O$102="")*(N$3:N$102="")*(M$3:M$102="P")*(G$3:G$102=G58)*(J$3:J$102&lt;J58)*(H$3:H$102&lt;&gt;H58)*(I$3:I$102="P")),-1*SUMPRODUCT((P$3:P$102="")*(O$3:O$102="")*(N$3:N$102="")*(M$3:M$102="P")*(G$3:G$102=G58)*(J$3:J$102&gt;J58)*(H$3:H$102="L5")*(I$3:I$102="P")))+1,"")))))</f>
        <v/>
      </c>
      <c r="B58" s="1" t="str" cm="1">
        <f t="array" ref="B58">IF(P58&lt;&gt;"",SUMPRODUCT((P$3:P$102&lt;&gt;"")*(G$3:G$102=G58)*(J$3:J$102&gt;J58))+1,IF(O58&lt;&gt;"",SUMPRODUCT((O$3:O$102&lt;&gt;"")*(P$3:P$102="")*(G$3:G$102=G58)*(J$3:J$102&gt;J58))+SUMPRODUCT((P$3:P$102&lt;&gt;"")*(G$3:G$102=G58))+1,IF(N58&lt;&gt;"",SUMPRODUCT((N$3:N$102&lt;&gt;"")*(G$3:G$102=G58)*(J$3:J$102&gt;J58))+1,IF(M58="P",SUMPRODUCT((O$3:O$102&lt;&gt;"")*(P$3:P$102="")*(G$3:G$102=G58))+SUMPRODUCT((P$3:P$102&lt;&gt;"")*(G$3:G$102=G58))+SUMPRODUCT((N$3:N$102&lt;&gt;"")*(G$3:G$102=G58))+SUMPRODUCT((P$3:P$102="")*(O$3:O$102="")*(N$3:N$102="")*(M$3:M$102="P")*(G$3:G$102=G58)*(J$3:J$102&gt;J58))+IF(H58="L5",SUMPRODUCT((P$3:P$102="")*(O$3:O$102="")*(N$3:N$102="")*(M$3:M$102="P")*(G$3:G$102=G58)*(J$3:J$102&lt;J58)*(H$3:H$102&lt;&gt;H58)),-1*SUMPRODUCT((P$3:P$102="")*(O$3:O$102="")*(N$3:N$102="")*(M$3:M$102="P")*(G$3:G$102=G58)*(J$3:J$102&gt;J58)*(H$3:H$102="L5")))+1,""))))</f>
        <v/>
      </c>
      <c r="C58" s="35" t="s">
        <v>426</v>
      </c>
      <c r="D58" t="str">
        <f>IF(E58="","",VLOOKUP(E58,'Coaching Points'!A:B,2,0))</f>
        <v>ON</v>
      </c>
      <c r="E58" s="35" t="s">
        <v>126</v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IF(AND(B58&lt;5,I58="P"),IF(_xlfn.MAXIFS(B:B,G:G,G58)&gt;3,5-B58,_xlfn.MAXIFS(B:B,G:G,G58)+1-B58),"")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$102&lt;&gt;"")*(G$3:G$102=G59)*(J$3:J$102&gt;J59)*(I$3:I$102="P"))+1,IF(O59&lt;&gt;"",SUMPRODUCT((O$3:O$102&lt;&gt;"")*(P$3:P$102="")*(G$3:G$102=G59)*(J$3:J$102&gt;J59)*(I$3:I$102="P"))+SUMPRODUCT((P$3:P$102&lt;&gt;"")*(G$3:G$102=G59)*(I$3:I$102="P"))+1,IF(N59&lt;&gt;"",SUMPRODUCT((N$3:N$102&lt;&gt;"")*(G$3:G$102=G59)*(J$3:J$102&gt;J59)*(I$3:I$102="P"))+1,IF(M59="P",SUMPRODUCT((O$3:O$102&lt;&gt;"")*(P$3:P$102="")*(G$3:G$102=G59)*(I$3:I$102="P"))+SUMPRODUCT((P$3:P$102&lt;&gt;"")*(G$3:G$102=G59)*(I$3:I$102="P"))+SUMPRODUCT((N$3:N$102&lt;&gt;"")*(G$3:G$102=G59)*(I$3:I$102="P"))+SUMPRODUCT((P$3:P$102="")*(O$3:O$102="")*(N$3:N$102="")*(M$3:M$102="P")*(G$3:G$102=G59)*(J$3:J$102&gt;J59)*(I$3:I$102="P"))+IF(H59="L5",SUMPRODUCT((P$3:P$102="")*(O$3:O$102="")*(N$3:N$102="")*(M$3:M$102="P")*(G$3:G$102=G59)*(J$3:J$102&lt;J59)*(H$3:H$102&lt;&gt;H59)*(I$3:I$102="P")),-1*SUMPRODUCT((P$3:P$102="")*(O$3:O$102="")*(N$3:N$102="")*(M$3:M$102="P")*(G$3:G$102=G59)*(J$3:J$102&gt;J59)*(H$3:H$102="L5")*(I$3:I$102="P")))+1,"")))))</f>
        <v/>
      </c>
      <c r="B59" s="1" t="str" cm="1">
        <f t="array" ref="B59">IF(P59&lt;&gt;"",SUMPRODUCT((P$3:P$102&lt;&gt;"")*(G$3:G$102=G59)*(J$3:J$102&gt;J59))+1,IF(O59&lt;&gt;"",SUMPRODUCT((O$3:O$102&lt;&gt;"")*(P$3:P$102="")*(G$3:G$102=G59)*(J$3:J$102&gt;J59))+SUMPRODUCT((P$3:P$102&lt;&gt;"")*(G$3:G$102=G59))+1,IF(N59&lt;&gt;"",SUMPRODUCT((N$3:N$102&lt;&gt;"")*(G$3:G$102=G59)*(J$3:J$102&gt;J59))+1,IF(M59="P",SUMPRODUCT((O$3:O$102&lt;&gt;"")*(P$3:P$102="")*(G$3:G$102=G59))+SUMPRODUCT((P$3:P$102&lt;&gt;"")*(G$3:G$102=G59))+SUMPRODUCT((N$3:N$102&lt;&gt;"")*(G$3:G$102=G59))+SUMPRODUCT((P$3:P$102="")*(O$3:O$102="")*(N$3:N$102="")*(M$3:M$102="P")*(G$3:G$102=G59)*(J$3:J$102&gt;J59))+IF(H59="L5",SUMPRODUCT((P$3:P$102="")*(O$3:O$102="")*(N$3:N$102="")*(M$3:M$102="P")*(G$3:G$102=G59)*(J$3:J$102&lt;J59)*(H$3:H$102&lt;&gt;H59)),-1*SUMPRODUCT((P$3:P$102="")*(O$3:O$102="")*(N$3:N$102="")*(M$3:M$102="P")*(G$3:G$102=G59)*(J$3:J$102&gt;J59)*(H$3:H$102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IF(AND(B59&lt;5,I59="P"),IF(_xlfn.MAXIFS(B:B,G:G,G59)&gt;3,5-B59,_xlfn.MAXIFS(B:B,G:G,G59)+1-B59),"")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$102&lt;&gt;"")*(G$3:G$102=G60)*(J$3:J$102&gt;J60)*(I$3:I$102="P"))+1,IF(O60&lt;&gt;"",SUMPRODUCT((O$3:O$102&lt;&gt;"")*(P$3:P$102="")*(G$3:G$102=G60)*(J$3:J$102&gt;J60)*(I$3:I$102="P"))+SUMPRODUCT((P$3:P$102&lt;&gt;"")*(G$3:G$102=G60)*(I$3:I$102="P"))+1,IF(N60&lt;&gt;"",SUMPRODUCT((N$3:N$102&lt;&gt;"")*(G$3:G$102=G60)*(J$3:J$102&gt;J60)*(I$3:I$102="P"))+1,IF(M60="P",SUMPRODUCT((O$3:O$102&lt;&gt;"")*(P$3:P$102="")*(G$3:G$102=G60)*(I$3:I$102="P"))+SUMPRODUCT((P$3:P$102&lt;&gt;"")*(G$3:G$102=G60)*(I$3:I$102="P"))+SUMPRODUCT((N$3:N$102&lt;&gt;"")*(G$3:G$102=G60)*(I$3:I$102="P"))+SUMPRODUCT((P$3:P$102="")*(O$3:O$102="")*(N$3:N$102="")*(M$3:M$102="P")*(G$3:G$102=G60)*(J$3:J$102&gt;J60)*(I$3:I$102="P"))+IF(H60="L5",SUMPRODUCT((P$3:P$102="")*(O$3:O$102="")*(N$3:N$102="")*(M$3:M$102="P")*(G$3:G$102=G60)*(J$3:J$102&lt;J60)*(H$3:H$102&lt;&gt;H60)*(I$3:I$102="P")),-1*SUMPRODUCT((P$3:P$102="")*(O$3:O$102="")*(N$3:N$102="")*(M$3:M$102="P")*(G$3:G$102=G60)*(J$3:J$102&gt;J60)*(H$3:H$102="L5")*(I$3:I$102="P")))+1,"")))))</f>
        <v/>
      </c>
      <c r="B60" s="1" t="str" cm="1">
        <f t="array" ref="B60">IF(P60&lt;&gt;"",SUMPRODUCT((P$3:P$102&lt;&gt;"")*(G$3:G$102=G60)*(J$3:J$102&gt;J60))+1,IF(O60&lt;&gt;"",SUMPRODUCT((O$3:O$102&lt;&gt;"")*(P$3:P$102="")*(G$3:G$102=G60)*(J$3:J$102&gt;J60))+SUMPRODUCT((P$3:P$102&lt;&gt;"")*(G$3:G$102=G60))+1,IF(N60&lt;&gt;"",SUMPRODUCT((N$3:N$102&lt;&gt;"")*(G$3:G$102=G60)*(J$3:J$102&gt;J60))+1,IF(M60="P",SUMPRODUCT((O$3:O$102&lt;&gt;"")*(P$3:P$102="")*(G$3:G$102=G60))+SUMPRODUCT((P$3:P$102&lt;&gt;"")*(G$3:G$102=G60))+SUMPRODUCT((N$3:N$102&lt;&gt;"")*(G$3:G$102=G60))+SUMPRODUCT((P$3:P$102="")*(O$3:O$102="")*(N$3:N$102="")*(M$3:M$102="P")*(G$3:G$102=G60)*(J$3:J$102&gt;J60))+IF(H60="L5",SUMPRODUCT((P$3:P$102="")*(O$3:O$102="")*(N$3:N$102="")*(M$3:M$102="P")*(G$3:G$102=G60)*(J$3:J$102&lt;J60)*(H$3:H$102&lt;&gt;H60)),-1*SUMPRODUCT((P$3:P$102="")*(O$3:O$102="")*(N$3:N$102="")*(M$3:M$102="P")*(G$3:G$102=G60)*(J$3:J$102&gt;J60)*(H$3:H$102="L5")))+1,""))))</f>
        <v/>
      </c>
      <c r="C60" s="35" t="s">
        <v>427</v>
      </c>
      <c r="D60" t="str">
        <f>IF(E60="","",VLOOKUP(E60,'Coaching Points'!A:B,2,0))</f>
        <v>ON</v>
      </c>
      <c r="E60" s="35" t="s">
        <v>84</v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IF(AND(B60&lt;5,I60="P"),IF(_xlfn.MAXIFS(B:B,G:G,G60)&gt;3,5-B60,_xlfn.MAXIFS(B:B,G:G,G60)+1-B60),"")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$102&lt;&gt;"")*(G$3:G$102=G61)*(J$3:J$102&gt;J61)*(I$3:I$102="P"))+1,IF(O61&lt;&gt;"",SUMPRODUCT((O$3:O$102&lt;&gt;"")*(P$3:P$102="")*(G$3:G$102=G61)*(J$3:J$102&gt;J61)*(I$3:I$102="P"))+SUMPRODUCT((P$3:P$102&lt;&gt;"")*(G$3:G$102=G61)*(I$3:I$102="P"))+1,IF(N61&lt;&gt;"",SUMPRODUCT((N$3:N$102&lt;&gt;"")*(G$3:G$102=G61)*(J$3:J$102&gt;J61)*(I$3:I$102="P"))+1,IF(M61="P",SUMPRODUCT((O$3:O$102&lt;&gt;"")*(P$3:P$102="")*(G$3:G$102=G61)*(I$3:I$102="P"))+SUMPRODUCT((P$3:P$102&lt;&gt;"")*(G$3:G$102=G61)*(I$3:I$102="P"))+SUMPRODUCT((N$3:N$102&lt;&gt;"")*(G$3:G$102=G61)*(I$3:I$102="P"))+SUMPRODUCT((P$3:P$102="")*(O$3:O$102="")*(N$3:N$102="")*(M$3:M$102="P")*(G$3:G$102=G61)*(J$3:J$102&gt;J61)*(I$3:I$102="P"))+IF(H61="L5",SUMPRODUCT((P$3:P$102="")*(O$3:O$102="")*(N$3:N$102="")*(M$3:M$102="P")*(G$3:G$102=G61)*(J$3:J$102&lt;J61)*(H$3:H$102&lt;&gt;H61)*(I$3:I$102="P")),-1*SUMPRODUCT((P$3:P$102="")*(O$3:O$102="")*(N$3:N$102="")*(M$3:M$102="P")*(G$3:G$102=G61)*(J$3:J$102&gt;J61)*(H$3:H$102="L5")*(I$3:I$102="P")))+1,"")))))</f>
        <v/>
      </c>
      <c r="B61" s="1" t="str" cm="1">
        <f t="array" ref="B61">IF(P61&lt;&gt;"",SUMPRODUCT((P$3:P$102&lt;&gt;"")*(G$3:G$102=G61)*(J$3:J$102&gt;J61))+1,IF(O61&lt;&gt;"",SUMPRODUCT((O$3:O$102&lt;&gt;"")*(P$3:P$102="")*(G$3:G$102=G61)*(J$3:J$102&gt;J61))+SUMPRODUCT((P$3:P$102&lt;&gt;"")*(G$3:G$102=G61))+1,IF(N61&lt;&gt;"",SUMPRODUCT((N$3:N$102&lt;&gt;"")*(G$3:G$102=G61)*(J$3:J$102&gt;J61))+1,IF(M61="P",SUMPRODUCT((O$3:O$102&lt;&gt;"")*(P$3:P$102="")*(G$3:G$102=G61))+SUMPRODUCT((P$3:P$102&lt;&gt;"")*(G$3:G$102=G61))+SUMPRODUCT((N$3:N$102&lt;&gt;"")*(G$3:G$102=G61))+SUMPRODUCT((P$3:P$102="")*(O$3:O$102="")*(N$3:N$102="")*(M$3:M$102="P")*(G$3:G$102=G61)*(J$3:J$102&gt;J61))+IF(H61="L5",SUMPRODUCT((P$3:P$102="")*(O$3:O$102="")*(N$3:N$102="")*(M$3:M$102="P")*(G$3:G$102=G61)*(J$3:J$102&lt;J61)*(H$3:H$102&lt;&gt;H61)),-1*SUMPRODUCT((P$3:P$102="")*(O$3:O$102="")*(N$3:N$102="")*(M$3:M$102="P")*(G$3:G$102=G61)*(J$3:J$102&gt;J61)*(H$3:H$102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IF(AND(B61&lt;5,I61="P"),IF(_xlfn.MAXIFS(B:B,G:G,G61)&gt;3,5-B61,_xlfn.MAXIFS(B:B,G:G,G61)+1-B61),"")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$102&lt;&gt;"")*(G$3:G$102=G62)*(J$3:J$102&gt;J62)*(I$3:I$102="P"))+1,IF(O62&lt;&gt;"",SUMPRODUCT((O$3:O$102&lt;&gt;"")*(P$3:P$102="")*(G$3:G$102=G62)*(J$3:J$102&gt;J62)*(I$3:I$102="P"))+SUMPRODUCT((P$3:P$102&lt;&gt;"")*(G$3:G$102=G62)*(I$3:I$102="P"))+1,IF(N62&lt;&gt;"",SUMPRODUCT((N$3:N$102&lt;&gt;"")*(G$3:G$102=G62)*(J$3:J$102&gt;J62)*(I$3:I$102="P"))+1,IF(M62="P",SUMPRODUCT((O$3:O$102&lt;&gt;"")*(P$3:P$102="")*(G$3:G$102=G62)*(I$3:I$102="P"))+SUMPRODUCT((P$3:P$102&lt;&gt;"")*(G$3:G$102=G62)*(I$3:I$102="P"))+SUMPRODUCT((N$3:N$102&lt;&gt;"")*(G$3:G$102=G62)*(I$3:I$102="P"))+SUMPRODUCT((P$3:P$102="")*(O$3:O$102="")*(N$3:N$102="")*(M$3:M$102="P")*(G$3:G$102=G62)*(J$3:J$102&gt;J62)*(I$3:I$102="P"))+IF(H62="L5",SUMPRODUCT((P$3:P$102="")*(O$3:O$102="")*(N$3:N$102="")*(M$3:M$102="P")*(G$3:G$102=G62)*(J$3:J$102&lt;J62)*(H$3:H$102&lt;&gt;H62)*(I$3:I$102="P")),-1*SUMPRODUCT((P$3:P$102="")*(O$3:O$102="")*(N$3:N$102="")*(M$3:M$102="P")*(G$3:G$102=G62)*(J$3:J$102&gt;J62)*(H$3:H$102="L5")*(I$3:I$102="P")))+1,"")))))</f>
        <v/>
      </c>
      <c r="B62" s="1" t="str" cm="1">
        <f t="array" ref="B62">IF(P62&lt;&gt;"",SUMPRODUCT((P$3:P$102&lt;&gt;"")*(G$3:G$102=G62)*(J$3:J$102&gt;J62))+1,IF(O62&lt;&gt;"",SUMPRODUCT((O$3:O$102&lt;&gt;"")*(P$3:P$102="")*(G$3:G$102=G62)*(J$3:J$102&gt;J62))+SUMPRODUCT((P$3:P$102&lt;&gt;"")*(G$3:G$102=G62))+1,IF(N62&lt;&gt;"",SUMPRODUCT((N$3:N$102&lt;&gt;"")*(G$3:G$102=G62)*(J$3:J$102&gt;J62))+1,IF(M62="P",SUMPRODUCT((O$3:O$102&lt;&gt;"")*(P$3:P$102="")*(G$3:G$102=G62))+SUMPRODUCT((P$3:P$102&lt;&gt;"")*(G$3:G$102=G62))+SUMPRODUCT((N$3:N$102&lt;&gt;"")*(G$3:G$102=G62))+SUMPRODUCT((P$3:P$102="")*(O$3:O$102="")*(N$3:N$102="")*(M$3:M$102="P")*(G$3:G$102=G62)*(J$3:J$102&gt;J62))+IF(H62="L5",SUMPRODUCT((P$3:P$102="")*(O$3:O$102="")*(N$3:N$102="")*(M$3:M$102="P")*(G$3:G$102=G62)*(J$3:J$102&lt;J62)*(H$3:H$102&lt;&gt;H62)),-1*SUMPRODUCT((P$3:P$102="")*(O$3:O$102="")*(N$3:N$102="")*(M$3:M$102="P")*(G$3:G$102=G62)*(J$3:J$102&gt;J62)*(H$3:H$102="L5")))+1,""))))</f>
        <v/>
      </c>
      <c r="C62" s="35" t="s">
        <v>363</v>
      </c>
      <c r="D62" t="str">
        <f>IF(E62="","",VLOOKUP(E62,'Coaching Points'!A:B,2,0))</f>
        <v>BC</v>
      </c>
      <c r="E62" s="35" t="s">
        <v>44</v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IF(AND(B62&lt;5,I62="P"),IF(_xlfn.MAXIFS(B:B,G:G,G62)&gt;3,5-B62,_xlfn.MAXIFS(B:B,G:G,G62)+1-B62),"")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$102&lt;&gt;"")*(G$3:G$102=G63)*(J$3:J$102&gt;J63)*(I$3:I$102="P"))+1,IF(O63&lt;&gt;"",SUMPRODUCT((O$3:O$102&lt;&gt;"")*(P$3:P$102="")*(G$3:G$102=G63)*(J$3:J$102&gt;J63)*(I$3:I$102="P"))+SUMPRODUCT((P$3:P$102&lt;&gt;"")*(G$3:G$102=G63)*(I$3:I$102="P"))+1,IF(N63&lt;&gt;"",SUMPRODUCT((N$3:N$102&lt;&gt;"")*(G$3:G$102=G63)*(J$3:J$102&gt;J63)*(I$3:I$102="P"))+1,IF(M63="P",SUMPRODUCT((O$3:O$102&lt;&gt;"")*(P$3:P$102="")*(G$3:G$102=G63)*(I$3:I$102="P"))+SUMPRODUCT((P$3:P$102&lt;&gt;"")*(G$3:G$102=G63)*(I$3:I$102="P"))+SUMPRODUCT((N$3:N$102&lt;&gt;"")*(G$3:G$102=G63)*(I$3:I$102="P"))+SUMPRODUCT((P$3:P$102="")*(O$3:O$102="")*(N$3:N$102="")*(M$3:M$102="P")*(G$3:G$102=G63)*(J$3:J$102&gt;J63)*(I$3:I$102="P"))+IF(H63="L5",SUMPRODUCT((P$3:P$102="")*(O$3:O$102="")*(N$3:N$102="")*(M$3:M$102="P")*(G$3:G$102=G63)*(J$3:J$102&lt;J63)*(H$3:H$102&lt;&gt;H63)*(I$3:I$102="P")),-1*SUMPRODUCT((P$3:P$102="")*(O$3:O$102="")*(N$3:N$102="")*(M$3:M$102="P")*(G$3:G$102=G63)*(J$3:J$102&gt;J63)*(H$3:H$102="L5")*(I$3:I$102="P")))+1,"")))))</f>
        <v/>
      </c>
      <c r="B63" s="1" t="str" cm="1">
        <f t="array" ref="B63">IF(P63&lt;&gt;"",SUMPRODUCT((P$3:P$102&lt;&gt;"")*(G$3:G$102=G63)*(J$3:J$102&gt;J63))+1,IF(O63&lt;&gt;"",SUMPRODUCT((O$3:O$102&lt;&gt;"")*(P$3:P$102="")*(G$3:G$102=G63)*(J$3:J$102&gt;J63))+SUMPRODUCT((P$3:P$102&lt;&gt;"")*(G$3:G$102=G63))+1,IF(N63&lt;&gt;"",SUMPRODUCT((N$3:N$102&lt;&gt;"")*(G$3:G$102=G63)*(J$3:J$102&gt;J63))+1,IF(M63="P",SUMPRODUCT((O$3:O$102&lt;&gt;"")*(P$3:P$102="")*(G$3:G$102=G63))+SUMPRODUCT((P$3:P$102&lt;&gt;"")*(G$3:G$102=G63))+SUMPRODUCT((N$3:N$102&lt;&gt;"")*(G$3:G$102=G63))+SUMPRODUCT((P$3:P$102="")*(O$3:O$102="")*(N$3:N$102="")*(M$3:M$102="P")*(G$3:G$102=G63)*(J$3:J$102&gt;J63))+IF(H63="L5",SUMPRODUCT((P$3:P$102="")*(O$3:O$102="")*(N$3:N$102="")*(M$3:M$102="P")*(G$3:G$102=G63)*(J$3:J$102&lt;J63)*(H$3:H$102&lt;&gt;H63)),-1*SUMPRODUCT((P$3:P$102="")*(O$3:O$102="")*(N$3:N$102="")*(M$3:M$102="P")*(G$3:G$102=G63)*(J$3:J$102&gt;J63)*(H$3:H$102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IF(AND(B63&lt;5,I63="P"),IF(_xlfn.MAXIFS(B:B,G:G,G63)&gt;3,5-B63,_xlfn.MAXIFS(B:B,G:G,G63)+1-B63),"")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$102&lt;&gt;"")*(G$3:G$102=G64)*(J$3:J$102&gt;J64)*(I$3:I$102="P"))+1,IF(O64&lt;&gt;"",SUMPRODUCT((O$3:O$102&lt;&gt;"")*(P$3:P$102="")*(G$3:G$102=G64)*(J$3:J$102&gt;J64)*(I$3:I$102="P"))+SUMPRODUCT((P$3:P$102&lt;&gt;"")*(G$3:G$102=G64)*(I$3:I$102="P"))+1,IF(N64&lt;&gt;"",SUMPRODUCT((N$3:N$102&lt;&gt;"")*(G$3:G$102=G64)*(J$3:J$102&gt;J64)*(I$3:I$102="P"))+1,IF(M64="P",SUMPRODUCT((O$3:O$102&lt;&gt;"")*(P$3:P$102="")*(G$3:G$102=G64)*(I$3:I$102="P"))+SUMPRODUCT((P$3:P$102&lt;&gt;"")*(G$3:G$102=G64)*(I$3:I$102="P"))+SUMPRODUCT((N$3:N$102&lt;&gt;"")*(G$3:G$102=G64)*(I$3:I$102="P"))+SUMPRODUCT((P$3:P$102="")*(O$3:O$102="")*(N$3:N$102="")*(M$3:M$102="P")*(G$3:G$102=G64)*(J$3:J$102&gt;J64)*(I$3:I$102="P"))+IF(H64="L5",SUMPRODUCT((P$3:P$102="")*(O$3:O$102="")*(N$3:N$102="")*(M$3:M$102="P")*(G$3:G$102=G64)*(J$3:J$102&lt;J64)*(H$3:H$102&lt;&gt;H64)*(I$3:I$102="P")),-1*SUMPRODUCT((P$3:P$102="")*(O$3:O$102="")*(N$3:N$102="")*(M$3:M$102="P")*(G$3:G$102=G64)*(J$3:J$102&gt;J64)*(H$3:H$102="L5")*(I$3:I$102="P")))+1,"")))))</f>
        <v/>
      </c>
      <c r="B64" s="1" t="str" cm="1">
        <f t="array" ref="B64">IF(P64&lt;&gt;"",SUMPRODUCT((P$3:P$102&lt;&gt;"")*(G$3:G$102=G64)*(J$3:J$102&gt;J64))+1,IF(O64&lt;&gt;"",SUMPRODUCT((O$3:O$102&lt;&gt;"")*(P$3:P$102="")*(G$3:G$102=G64)*(J$3:J$102&gt;J64))+SUMPRODUCT((P$3:P$102&lt;&gt;"")*(G$3:G$102=G64))+1,IF(N64&lt;&gt;"",SUMPRODUCT((N$3:N$102&lt;&gt;"")*(G$3:G$102=G64)*(J$3:J$102&gt;J64))+1,IF(M64="P",SUMPRODUCT((O$3:O$102&lt;&gt;"")*(P$3:P$102="")*(G$3:G$102=G64))+SUMPRODUCT((P$3:P$102&lt;&gt;"")*(G$3:G$102=G64))+SUMPRODUCT((N$3:N$102&lt;&gt;"")*(G$3:G$102=G64))+SUMPRODUCT((P$3:P$102="")*(O$3:O$102="")*(N$3:N$102="")*(M$3:M$102="P")*(G$3:G$102=G64)*(J$3:J$102&gt;J64))+IF(H64="L5",SUMPRODUCT((P$3:P$102="")*(O$3:O$102="")*(N$3:N$102="")*(M$3:M$102="P")*(G$3:G$102=G64)*(J$3:J$102&lt;J64)*(H$3:H$102&lt;&gt;H64)),-1*SUMPRODUCT((P$3:P$102="")*(O$3:O$102="")*(N$3:N$102="")*(M$3:M$102="P")*(G$3:G$102=G64)*(J$3:J$102&gt;J64)*(H$3:H$102="L5")))+1,""))))</f>
        <v/>
      </c>
      <c r="C64" s="35" t="s">
        <v>428</v>
      </c>
      <c r="D64" t="str">
        <f>IF(E64="","",VLOOKUP(E64,'Coaching Points'!A:B,2,0))</f>
        <v>AB</v>
      </c>
      <c r="E64" s="35" t="s">
        <v>144</v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IF(AND(B64&lt;5,I64="P"),IF(_xlfn.MAXIFS(B:B,G:G,G64)&gt;3,5-B64,_xlfn.MAXIFS(B:B,G:G,G64)+1-B64),"")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$102&lt;&gt;"")*(G$3:G$102=G65)*(J$3:J$102&gt;J65)*(I$3:I$102="P"))+1,IF(O65&lt;&gt;"",SUMPRODUCT((O$3:O$102&lt;&gt;"")*(P$3:P$102="")*(G$3:G$102=G65)*(J$3:J$102&gt;J65)*(I$3:I$102="P"))+SUMPRODUCT((P$3:P$102&lt;&gt;"")*(G$3:G$102=G65)*(I$3:I$102="P"))+1,IF(N65&lt;&gt;"",SUMPRODUCT((N$3:N$102&lt;&gt;"")*(G$3:G$102=G65)*(J$3:J$102&gt;J65)*(I$3:I$102="P"))+1,IF(M65="P",SUMPRODUCT((O$3:O$102&lt;&gt;"")*(P$3:P$102="")*(G$3:G$102=G65)*(I$3:I$102="P"))+SUMPRODUCT((P$3:P$102&lt;&gt;"")*(G$3:G$102=G65)*(I$3:I$102="P"))+SUMPRODUCT((N$3:N$102&lt;&gt;"")*(G$3:G$102=G65)*(I$3:I$102="P"))+SUMPRODUCT((P$3:P$102="")*(O$3:O$102="")*(N$3:N$102="")*(M$3:M$102="P")*(G$3:G$102=G65)*(J$3:J$102&gt;J65)*(I$3:I$102="P"))+IF(H65="L5",SUMPRODUCT((P$3:P$102="")*(O$3:O$102="")*(N$3:N$102="")*(M$3:M$102="P")*(G$3:G$102=G65)*(J$3:J$102&lt;J65)*(H$3:H$102&lt;&gt;H65)*(I$3:I$102="P")),-1*SUMPRODUCT((P$3:P$102="")*(O$3:O$102="")*(N$3:N$102="")*(M$3:M$102="P")*(G$3:G$102=G65)*(J$3:J$102&gt;J65)*(H$3:H$102="L5")*(I$3:I$102="P")))+1,"")))))</f>
        <v/>
      </c>
      <c r="B65" s="1" t="str" cm="1">
        <f t="array" ref="B65">IF(P65&lt;&gt;"",SUMPRODUCT((P$3:P$102&lt;&gt;"")*(G$3:G$102=G65)*(J$3:J$102&gt;J65))+1,IF(O65&lt;&gt;"",SUMPRODUCT((O$3:O$102&lt;&gt;"")*(P$3:P$102="")*(G$3:G$102=G65)*(J$3:J$102&gt;J65))+SUMPRODUCT((P$3:P$102&lt;&gt;"")*(G$3:G$102=G65))+1,IF(N65&lt;&gt;"",SUMPRODUCT((N$3:N$102&lt;&gt;"")*(G$3:G$102=G65)*(J$3:J$102&gt;J65))+1,IF(M65="P",SUMPRODUCT((O$3:O$102&lt;&gt;"")*(P$3:P$102="")*(G$3:G$102=G65))+SUMPRODUCT((P$3:P$102&lt;&gt;"")*(G$3:G$102=G65))+SUMPRODUCT((N$3:N$102&lt;&gt;"")*(G$3:G$102=G65))+SUMPRODUCT((P$3:P$102="")*(O$3:O$102="")*(N$3:N$102="")*(M$3:M$102="P")*(G$3:G$102=G65)*(J$3:J$102&gt;J65))+IF(H65="L5",SUMPRODUCT((P$3:P$102="")*(O$3:O$102="")*(N$3:N$102="")*(M$3:M$102="P")*(G$3:G$102=G65)*(J$3:J$102&lt;J65)*(H$3:H$102&lt;&gt;H65)),-1*SUMPRODUCT((P$3:P$102="")*(O$3:O$102="")*(N$3:N$102="")*(M$3:M$102="P")*(G$3:G$102=G65)*(J$3:J$102&gt;J65)*(H$3:H$102="L5")))+1,""))))</f>
        <v/>
      </c>
      <c r="C65" s="35" t="s">
        <v>429</v>
      </c>
      <c r="D65" t="str">
        <f>IF(E65="","",VLOOKUP(E65,'Coaching Points'!A:B,2,0))</f>
        <v>QC</v>
      </c>
      <c r="E65" s="35" t="s">
        <v>57</v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IF(AND(B65&lt;5,I65="P"),IF(_xlfn.MAXIFS(B:B,G:G,G65)&gt;3,5-B65,_xlfn.MAXIFS(B:B,G:G,G65)+1-B65),"")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$102&lt;&gt;"")*(G$3:G$102=G66)*(J$3:J$102&gt;J66)*(I$3:I$102="P"))+1,IF(O66&lt;&gt;"",SUMPRODUCT((O$3:O$102&lt;&gt;"")*(P$3:P$102="")*(G$3:G$102=G66)*(J$3:J$102&gt;J66)*(I$3:I$102="P"))+SUMPRODUCT((P$3:P$102&lt;&gt;"")*(G$3:G$102=G66)*(I$3:I$102="P"))+1,IF(N66&lt;&gt;"",SUMPRODUCT((N$3:N$102&lt;&gt;"")*(G$3:G$102=G66)*(J$3:J$102&gt;J66)*(I$3:I$102="P"))+1,IF(M66="P",SUMPRODUCT((O$3:O$102&lt;&gt;"")*(P$3:P$102="")*(G$3:G$102=G66)*(I$3:I$102="P"))+SUMPRODUCT((P$3:P$102&lt;&gt;"")*(G$3:G$102=G66)*(I$3:I$102="P"))+SUMPRODUCT((N$3:N$102&lt;&gt;"")*(G$3:G$102=G66)*(I$3:I$102="P"))+SUMPRODUCT((P$3:P$102="")*(O$3:O$102="")*(N$3:N$102="")*(M$3:M$102="P")*(G$3:G$102=G66)*(J$3:J$102&gt;J66)*(I$3:I$102="P"))+IF(H66="L5",SUMPRODUCT((P$3:P$102="")*(O$3:O$102="")*(N$3:N$102="")*(M$3:M$102="P")*(G$3:G$102=G66)*(J$3:J$102&lt;J66)*(H$3:H$102&lt;&gt;H66)*(I$3:I$102="P")),-1*SUMPRODUCT((P$3:P$102="")*(O$3:O$102="")*(N$3:N$102="")*(M$3:M$102="P")*(G$3:G$102=G66)*(J$3:J$102&gt;J66)*(H$3:H$102="L5")*(I$3:I$102="P")))+1,"")))))</f>
        <v/>
      </c>
      <c r="B66" s="1" t="str" cm="1">
        <f t="array" ref="B66">IF(P66&lt;&gt;"",SUMPRODUCT((P$3:P$102&lt;&gt;"")*(G$3:G$102=G66)*(J$3:J$102&gt;J66))+1,IF(O66&lt;&gt;"",SUMPRODUCT((O$3:O$102&lt;&gt;"")*(P$3:P$102="")*(G$3:G$102=G66)*(J$3:J$102&gt;J66))+SUMPRODUCT((P$3:P$102&lt;&gt;"")*(G$3:G$102=G66))+1,IF(N66&lt;&gt;"",SUMPRODUCT((N$3:N$102&lt;&gt;"")*(G$3:G$102=G66)*(J$3:J$102&gt;J66))+1,IF(M66="P",SUMPRODUCT((O$3:O$102&lt;&gt;"")*(P$3:P$102="")*(G$3:G$102=G66))+SUMPRODUCT((P$3:P$102&lt;&gt;"")*(G$3:G$102=G66))+SUMPRODUCT((N$3:N$102&lt;&gt;"")*(G$3:G$102=G66))+SUMPRODUCT((P$3:P$102="")*(O$3:O$102="")*(N$3:N$102="")*(M$3:M$102="P")*(G$3:G$102=G66)*(J$3:J$102&gt;J66))+IF(H66="L5",SUMPRODUCT((P$3:P$102="")*(O$3:O$102="")*(N$3:N$102="")*(M$3:M$102="P")*(G$3:G$102=G66)*(J$3:J$102&lt;J66)*(H$3:H$102&lt;&gt;H66)),-1*SUMPRODUCT((P$3:P$102="")*(O$3:O$102="")*(N$3:N$102="")*(M$3:M$102="P")*(G$3:G$102=G66)*(J$3:J$102&gt;J66)*(H$3:H$102="L5")))+1,""))))</f>
        <v/>
      </c>
      <c r="C66" s="35" t="s">
        <v>430</v>
      </c>
      <c r="D66" t="str">
        <f>IF(E66="","",VLOOKUP(E66,'Coaching Points'!A:B,2,0))</f>
        <v>ON</v>
      </c>
      <c r="E66" s="35" t="s">
        <v>37</v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IF(AND(B66&lt;5,I66="P"),IF(_xlfn.MAXIFS(B:B,G:G,G66)&gt;3,5-B66,_xlfn.MAXIFS(B:B,G:G,G66)+1-B66),"")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$102&lt;&gt;"")*(G$3:G$102=G67)*(J$3:J$102&gt;J67)*(I$3:I$102="P"))+1,IF(O67&lt;&gt;"",SUMPRODUCT((O$3:O$102&lt;&gt;"")*(P$3:P$102="")*(G$3:G$102=G67)*(J$3:J$102&gt;J67)*(I$3:I$102="P"))+SUMPRODUCT((P$3:P$102&lt;&gt;"")*(G$3:G$102=G67)*(I$3:I$102="P"))+1,IF(N67&lt;&gt;"",SUMPRODUCT((N$3:N$102&lt;&gt;"")*(G$3:G$102=G67)*(J$3:J$102&gt;J67)*(I$3:I$102="P"))+1,IF(M67="P",SUMPRODUCT((O$3:O$102&lt;&gt;"")*(P$3:P$102="")*(G$3:G$102=G67)*(I$3:I$102="P"))+SUMPRODUCT((P$3:P$102&lt;&gt;"")*(G$3:G$102=G67)*(I$3:I$102="P"))+SUMPRODUCT((N$3:N$102&lt;&gt;"")*(G$3:G$102=G67)*(I$3:I$102="P"))+SUMPRODUCT((P$3:P$102="")*(O$3:O$102="")*(N$3:N$102="")*(M$3:M$102="P")*(G$3:G$102=G67)*(J$3:J$102&gt;J67)*(I$3:I$102="P"))+IF(H67="L5",SUMPRODUCT((P$3:P$102="")*(O$3:O$102="")*(N$3:N$102="")*(M$3:M$102="P")*(G$3:G$102=G67)*(J$3:J$102&lt;J67)*(H$3:H$102&lt;&gt;H67)*(I$3:I$102="P")),-1*SUMPRODUCT((P$3:P$102="")*(O$3:O$102="")*(N$3:N$102="")*(M$3:M$102="P")*(G$3:G$102=G67)*(J$3:J$102&gt;J67)*(H$3:H$102="L5")*(I$3:I$102="P")))+1,"")))))</f>
        <v/>
      </c>
      <c r="B67" s="1" t="str" cm="1">
        <f t="array" ref="B67">IF(P67&lt;&gt;"",SUMPRODUCT((P$3:P$102&lt;&gt;"")*(G$3:G$102=G67)*(J$3:J$102&gt;J67))+1,IF(O67&lt;&gt;"",SUMPRODUCT((O$3:O$102&lt;&gt;"")*(P$3:P$102="")*(G$3:G$102=G67)*(J$3:J$102&gt;J67))+SUMPRODUCT((P$3:P$102&lt;&gt;"")*(G$3:G$102=G67))+1,IF(N67&lt;&gt;"",SUMPRODUCT((N$3:N$102&lt;&gt;"")*(G$3:G$102=G67)*(J$3:J$102&gt;J67))+1,IF(M67="P",SUMPRODUCT((O$3:O$102&lt;&gt;"")*(P$3:P$102="")*(G$3:G$102=G67))+SUMPRODUCT((P$3:P$102&lt;&gt;"")*(G$3:G$102=G67))+SUMPRODUCT((N$3:N$102&lt;&gt;"")*(G$3:G$102=G67))+SUMPRODUCT((P$3:P$102="")*(O$3:O$102="")*(N$3:N$102="")*(M$3:M$102="P")*(G$3:G$102=G67)*(J$3:J$102&gt;J67))+IF(H67="L5",SUMPRODUCT((P$3:P$102="")*(O$3:O$102="")*(N$3:N$102="")*(M$3:M$102="P")*(G$3:G$102=G67)*(J$3:J$102&lt;J67)*(H$3:H$102&lt;&gt;H67)),-1*SUMPRODUCT((P$3:P$102="")*(O$3:O$102="")*(N$3:N$102="")*(M$3:M$102="P")*(G$3:G$102=G67)*(J$3:J$102&gt;J67)*(H$3:H$102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IF(AND(B67&lt;5,I67="P"),IF(_xlfn.MAXIFS(B:B,G:G,G67)&gt;3,5-B67,_xlfn.MAXIFS(B:B,G:G,G67)+1-B67),"")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$102&lt;&gt;"")*(G$3:G$102=G68)*(J$3:J$102&gt;J68)*(I$3:I$102="P"))+1,IF(O68&lt;&gt;"",SUMPRODUCT((O$3:O$102&lt;&gt;"")*(P$3:P$102="")*(G$3:G$102=G68)*(J$3:J$102&gt;J68)*(I$3:I$102="P"))+SUMPRODUCT((P$3:P$102&lt;&gt;"")*(G$3:G$102=G68)*(I$3:I$102="P"))+1,IF(N68&lt;&gt;"",SUMPRODUCT((N$3:N$102&lt;&gt;"")*(G$3:G$102=G68)*(J$3:J$102&gt;J68)*(I$3:I$102="P"))+1,IF(M68="P",SUMPRODUCT((O$3:O$102&lt;&gt;"")*(P$3:P$102="")*(G$3:G$102=G68)*(I$3:I$102="P"))+SUMPRODUCT((P$3:P$102&lt;&gt;"")*(G$3:G$102=G68)*(I$3:I$102="P"))+SUMPRODUCT((N$3:N$102&lt;&gt;"")*(G$3:G$102=G68)*(I$3:I$102="P"))+SUMPRODUCT((P$3:P$102="")*(O$3:O$102="")*(N$3:N$102="")*(M$3:M$102="P")*(G$3:G$102=G68)*(J$3:J$102&gt;J68)*(I$3:I$102="P"))+IF(H68="L5",SUMPRODUCT((P$3:P$102="")*(O$3:O$102="")*(N$3:N$102="")*(M$3:M$102="P")*(G$3:G$102=G68)*(J$3:J$102&lt;J68)*(H$3:H$102&lt;&gt;H68)*(I$3:I$102="P")),-1*SUMPRODUCT((P$3:P$102="")*(O$3:O$102="")*(N$3:N$102="")*(M$3:M$102="P")*(G$3:G$102=G68)*(J$3:J$102&gt;J68)*(H$3:H$102="L5")*(I$3:I$102="P")))+1,"")))))</f>
        <v/>
      </c>
      <c r="B68" s="1" t="str" cm="1">
        <f t="array" ref="B68">IF(P68&lt;&gt;"",SUMPRODUCT((P$3:P$102&lt;&gt;"")*(G$3:G$102=G68)*(J$3:J$102&gt;J68))+1,IF(O68&lt;&gt;"",SUMPRODUCT((O$3:O$102&lt;&gt;"")*(P$3:P$102="")*(G$3:G$102=G68)*(J$3:J$102&gt;J68))+SUMPRODUCT((P$3:P$102&lt;&gt;"")*(G$3:G$102=G68))+1,IF(N68&lt;&gt;"",SUMPRODUCT((N$3:N$102&lt;&gt;"")*(G$3:G$102=G68)*(J$3:J$102&gt;J68))+1,IF(M68="P",SUMPRODUCT((O$3:O$102&lt;&gt;"")*(P$3:P$102="")*(G$3:G$102=G68))+SUMPRODUCT((P$3:P$102&lt;&gt;"")*(G$3:G$102=G68))+SUMPRODUCT((N$3:N$102&lt;&gt;"")*(G$3:G$102=G68))+SUMPRODUCT((P$3:P$102="")*(O$3:O$102="")*(N$3:N$102="")*(M$3:M$102="P")*(G$3:G$102=G68)*(J$3:J$102&gt;J68))+IF(H68="L5",SUMPRODUCT((P$3:P$102="")*(O$3:O$102="")*(N$3:N$102="")*(M$3:M$102="P")*(G$3:G$102=G68)*(J$3:J$102&lt;J68)*(H$3:H$102&lt;&gt;H68)),-1*SUMPRODUCT((P$3:P$102="")*(O$3:O$102="")*(N$3:N$102="")*(M$3:M$102="P")*(G$3:G$102=G68)*(J$3:J$102&gt;J68)*(H$3:H$102="L5")))+1,""))))</f>
        <v/>
      </c>
      <c r="C68" s="35" t="s">
        <v>431</v>
      </c>
      <c r="D68" t="str">
        <f>IF(E68="","",VLOOKUP(E68,'Coaching Points'!A:B,2,0))</f>
        <v>QC</v>
      </c>
      <c r="E68" s="35" t="s">
        <v>72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IF(AND(B68&lt;5,I68="P"),IF(_xlfn.MAXIFS(B:B,G:G,G68)&gt;3,5-B68,_xlfn.MAXIFS(B:B,G:G,G68)+1-B68),"")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$102&lt;&gt;"")*(G$3:G$102=G69)*(J$3:J$102&gt;J69)*(I$3:I$102="P"))+1,IF(O69&lt;&gt;"",SUMPRODUCT((O$3:O$102&lt;&gt;"")*(P$3:P$102="")*(G$3:G$102=G69)*(J$3:J$102&gt;J69)*(I$3:I$102="P"))+SUMPRODUCT((P$3:P$102&lt;&gt;"")*(G$3:G$102=G69)*(I$3:I$102="P"))+1,IF(N69&lt;&gt;"",SUMPRODUCT((N$3:N$102&lt;&gt;"")*(G$3:G$102=G69)*(J$3:J$102&gt;J69)*(I$3:I$102="P"))+1,IF(M69="P",SUMPRODUCT((O$3:O$102&lt;&gt;"")*(P$3:P$102="")*(G$3:G$102=G69)*(I$3:I$102="P"))+SUMPRODUCT((P$3:P$102&lt;&gt;"")*(G$3:G$102=G69)*(I$3:I$102="P"))+SUMPRODUCT((N$3:N$102&lt;&gt;"")*(G$3:G$102=G69)*(I$3:I$102="P"))+SUMPRODUCT((P$3:P$102="")*(O$3:O$102="")*(N$3:N$102="")*(M$3:M$102="P")*(G$3:G$102=G69)*(J$3:J$102&gt;J69)*(I$3:I$102="P"))+IF(H69="L5",SUMPRODUCT((P$3:P$102="")*(O$3:O$102="")*(N$3:N$102="")*(M$3:M$102="P")*(G$3:G$102=G69)*(J$3:J$102&lt;J69)*(H$3:H$102&lt;&gt;H69)*(I$3:I$102="P")),-1*SUMPRODUCT((P$3:P$102="")*(O$3:O$102="")*(N$3:N$102="")*(M$3:M$102="P")*(G$3:G$102=G69)*(J$3:J$102&gt;J69)*(H$3:H$102="L5")*(I$3:I$102="P")))+1,"")))))</f>
        <v/>
      </c>
      <c r="B69" s="1" t="str" cm="1">
        <f t="array" ref="B69">IF(P69&lt;&gt;"",SUMPRODUCT((P$3:P$102&lt;&gt;"")*(G$3:G$102=G69)*(J$3:J$102&gt;J69))+1,IF(O69&lt;&gt;"",SUMPRODUCT((O$3:O$102&lt;&gt;"")*(P$3:P$102="")*(G$3:G$102=G69)*(J$3:J$102&gt;J69))+SUMPRODUCT((P$3:P$102&lt;&gt;"")*(G$3:G$102=G69))+1,IF(N69&lt;&gt;"",SUMPRODUCT((N$3:N$102&lt;&gt;"")*(G$3:G$102=G69)*(J$3:J$102&gt;J69))+1,IF(M69="P",SUMPRODUCT((O$3:O$102&lt;&gt;"")*(P$3:P$102="")*(G$3:G$102=G69))+SUMPRODUCT((P$3:P$102&lt;&gt;"")*(G$3:G$102=G69))+SUMPRODUCT((N$3:N$102&lt;&gt;"")*(G$3:G$102=G69))+SUMPRODUCT((P$3:P$102="")*(O$3:O$102="")*(N$3:N$102="")*(M$3:M$102="P")*(G$3:G$102=G69)*(J$3:J$102&gt;J69))+IF(H69="L5",SUMPRODUCT((P$3:P$102="")*(O$3:O$102="")*(N$3:N$102="")*(M$3:M$102="P")*(G$3:G$102=G69)*(J$3:J$102&lt;J69)*(H$3:H$102&lt;&gt;H69)),-1*SUMPRODUCT((P$3:P$102="")*(O$3:O$102="")*(N$3:N$102="")*(M$3:M$102="P")*(G$3:G$102=G69)*(J$3:J$102&gt;J69)*(H$3:H$102="L5")))+1,""))))</f>
        <v/>
      </c>
      <c r="C69" s="35" t="s">
        <v>432</v>
      </c>
      <c r="D69" t="str">
        <f>IF(E69="","",VLOOKUP(E69,'Coaching Points'!A:B,2,0))</f>
        <v>ON</v>
      </c>
      <c r="E69" s="35" t="s">
        <v>142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IF(AND(B69&lt;5,I69="P"),IF(_xlfn.MAXIFS(B:B,G:G,G69)&gt;3,5-B69,_xlfn.MAXIFS(B:B,G:G,G69)+1-B69),"")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$102&lt;&gt;"")*(G$3:G$102=G70)*(J$3:J$102&gt;J70)*(I$3:I$102="P"))+1,IF(O70&lt;&gt;"",SUMPRODUCT((O$3:O$102&lt;&gt;"")*(P$3:P$102="")*(G$3:G$102=G70)*(J$3:J$102&gt;J70)*(I$3:I$102="P"))+SUMPRODUCT((P$3:P$102&lt;&gt;"")*(G$3:G$102=G70)*(I$3:I$102="P"))+1,IF(N70&lt;&gt;"",SUMPRODUCT((N$3:N$102&lt;&gt;"")*(G$3:G$102=G70)*(J$3:J$102&gt;J70)*(I$3:I$102="P"))+1,IF(M70="P",SUMPRODUCT((O$3:O$102&lt;&gt;"")*(P$3:P$102="")*(G$3:G$102=G70)*(I$3:I$102="P"))+SUMPRODUCT((P$3:P$102&lt;&gt;"")*(G$3:G$102=G70)*(I$3:I$102="P"))+SUMPRODUCT((N$3:N$102&lt;&gt;"")*(G$3:G$102=G70)*(I$3:I$102="P"))+SUMPRODUCT((P$3:P$102="")*(O$3:O$102="")*(N$3:N$102="")*(M$3:M$102="P")*(G$3:G$102=G70)*(J$3:J$102&gt;J70)*(I$3:I$102="P"))+IF(H70="L5",SUMPRODUCT((P$3:P$102="")*(O$3:O$102="")*(N$3:N$102="")*(M$3:M$102="P")*(G$3:G$102=G70)*(J$3:J$102&lt;J70)*(H$3:H$102&lt;&gt;H70)*(I$3:I$102="P")),-1*SUMPRODUCT((P$3:P$102="")*(O$3:O$102="")*(N$3:N$102="")*(M$3:M$102="P")*(G$3:G$102=G70)*(J$3:J$102&gt;J70)*(H$3:H$102="L5")*(I$3:I$102="P")))+1,"")))))</f>
        <v/>
      </c>
      <c r="B70" s="1" t="str" cm="1">
        <f t="array" ref="B70">IF(P70&lt;&gt;"",SUMPRODUCT((P$3:P$102&lt;&gt;"")*(G$3:G$102=G70)*(J$3:J$102&gt;J70))+1,IF(O70&lt;&gt;"",SUMPRODUCT((O$3:O$102&lt;&gt;"")*(P$3:P$102="")*(G$3:G$102=G70)*(J$3:J$102&gt;J70))+SUMPRODUCT((P$3:P$102&lt;&gt;"")*(G$3:G$102=G70))+1,IF(N70&lt;&gt;"",SUMPRODUCT((N$3:N$102&lt;&gt;"")*(G$3:G$102=G70)*(J$3:J$102&gt;J70))+1,IF(M70="P",SUMPRODUCT((O$3:O$102&lt;&gt;"")*(P$3:P$102="")*(G$3:G$102=G70))+SUMPRODUCT((P$3:P$102&lt;&gt;"")*(G$3:G$102=G70))+SUMPRODUCT((N$3:N$102&lt;&gt;"")*(G$3:G$102=G70))+SUMPRODUCT((P$3:P$102="")*(O$3:O$102="")*(N$3:N$102="")*(M$3:M$102="P")*(G$3:G$102=G70)*(J$3:J$102&gt;J70))+IF(H70="L5",SUMPRODUCT((P$3:P$102="")*(O$3:O$102="")*(N$3:N$102="")*(M$3:M$102="P")*(G$3:G$102=G70)*(J$3:J$102&lt;J70)*(H$3:H$102&lt;&gt;H70)),-1*SUMPRODUCT((P$3:P$102="")*(O$3:O$102="")*(N$3:N$102="")*(M$3:M$102="P")*(G$3:G$102=G70)*(J$3:J$102&gt;J70)*(H$3:H$102="L5")))+1,""))))</f>
        <v/>
      </c>
      <c r="C70" s="35" t="s">
        <v>434</v>
      </c>
      <c r="D70" t="str">
        <f>IF(E70="","",VLOOKUP(E70,'Coaching Points'!A:B,2,0))</f>
        <v>ON</v>
      </c>
      <c r="E70" s="35" t="s">
        <v>45</v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IF(AND(B70&lt;5,I70="P"),IF(_xlfn.MAXIFS(B:B,G:G,G70)&gt;3,5-B70,_xlfn.MAXIFS(B:B,G:G,G70)+1-B70),"")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cm="1">
        <f t="array" ref="A71">IF(I71="","",IF(P71&lt;&gt;"",SUMPRODUCT((P$3:P$102&lt;&gt;"")*(G$3:G$102=G71)*(J$3:J$102&gt;J71)*(I$3:I$102="P"))+1,IF(O71&lt;&gt;"",SUMPRODUCT((O$3:O$102&lt;&gt;"")*(P$3:P$102="")*(G$3:G$102=G71)*(J$3:J$102&gt;J71)*(I$3:I$102="P"))+SUMPRODUCT((P$3:P$102&lt;&gt;"")*(G$3:G$102=G71)*(I$3:I$102="P"))+1,IF(N71&lt;&gt;"",SUMPRODUCT((N$3:N$102&lt;&gt;"")*(G$3:G$102=G71)*(J$3:J$102&gt;J71)*(I$3:I$102="P"))+1,IF(M71="P",SUMPRODUCT((O$3:O$102&lt;&gt;"")*(P$3:P$102="")*(G$3:G$102=G71)*(I$3:I$102="P"))+SUMPRODUCT((P$3:P$102&lt;&gt;"")*(G$3:G$102=G71)*(I$3:I$102="P"))+SUMPRODUCT((N$3:N$102&lt;&gt;"")*(G$3:G$102=G71)*(I$3:I$102="P"))+SUMPRODUCT((P$3:P$102="")*(O$3:O$102="")*(N$3:N$102="")*(M$3:M$102="P")*(G$3:G$102=G71)*(J$3:J$102&gt;J71)*(I$3:I$102="P"))+IF(H71="L5",SUMPRODUCT((P$3:P$102="")*(O$3:O$102="")*(N$3:N$102="")*(M$3:M$102="P")*(G$3:G$102=G71)*(J$3:J$102&lt;J71)*(H$3:H$102&lt;&gt;H71)*(I$3:I$102="P")),-1*SUMPRODUCT((P$3:P$102="")*(O$3:O$102="")*(N$3:N$102="")*(M$3:M$102="P")*(G$3:G$102=G71)*(J$3:J$102&gt;J71)*(H$3:H$102="L5")*(I$3:I$102="P")))+1,"")))))</f>
        <v>1</v>
      </c>
      <c r="B71" s="1" cm="1">
        <f t="array" ref="B71">IF(P71&lt;&gt;"",SUMPRODUCT((P$3:P$102&lt;&gt;"")*(G$3:G$102=G71)*(J$3:J$102&gt;J71))+1,IF(O71&lt;&gt;"",SUMPRODUCT((O$3:O$102&lt;&gt;"")*(P$3:P$102="")*(G$3:G$102=G71)*(J$3:J$102&gt;J71))+SUMPRODUCT((P$3:P$102&lt;&gt;"")*(G$3:G$102=G71))+1,IF(N71&lt;&gt;"",SUMPRODUCT((N$3:N$102&lt;&gt;"")*(G$3:G$102=G71)*(J$3:J$102&gt;J71))+1,IF(M71="P",SUMPRODUCT((O$3:O$102&lt;&gt;"")*(P$3:P$102="")*(G$3:G$102=G71))+SUMPRODUCT((P$3:P$102&lt;&gt;"")*(G$3:G$102=G71))+SUMPRODUCT((N$3:N$102&lt;&gt;"")*(G$3:G$102=G71))+SUMPRODUCT((P$3:P$102="")*(O$3:O$102="")*(N$3:N$102="")*(M$3:M$102="P")*(G$3:G$102=G71)*(J$3:J$102&gt;J71))+IF(H71="L5",SUMPRODUCT((P$3:P$102="")*(O$3:O$102="")*(N$3:N$102="")*(M$3:M$102="P")*(G$3:G$102=G71)*(J$3:J$102&lt;J71)*(H$3:H$102&lt;&gt;H71)),-1*SUMPRODUCT((P$3:P$102="")*(O$3:O$102="")*(N$3:N$102="")*(M$3:M$102="P")*(G$3:G$102=G71)*(J$3:J$102&gt;J71)*(H$3:H$102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 t="s">
        <v>507</v>
      </c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>
        <f>IF(AND(B71&lt;5,I71="P"),IF(_xlfn.MAXIFS(B:B,G:G,G71)&gt;3,5-B71,_xlfn.MAXIFS(B:B,G:G,G71)+1-B71),"")</f>
        <v>4</v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cm="1">
        <f t="array" ref="A72">IF(I72="","",IF(P72&lt;&gt;"",SUMPRODUCT((P$3:P$102&lt;&gt;"")*(G$3:G$102=G72)*(J$3:J$102&gt;J72)*(I$3:I$102="P"))+1,IF(O72&lt;&gt;"",SUMPRODUCT((O$3:O$102&lt;&gt;"")*(P$3:P$102="")*(G$3:G$102=G72)*(J$3:J$102&gt;J72)*(I$3:I$102="P"))+SUMPRODUCT((P$3:P$102&lt;&gt;"")*(G$3:G$102=G72)*(I$3:I$102="P"))+1,IF(N72&lt;&gt;"",SUMPRODUCT((N$3:N$102&lt;&gt;"")*(G$3:G$102=G72)*(J$3:J$102&gt;J72)*(I$3:I$102="P"))+1,IF(M72="P",SUMPRODUCT((O$3:O$102&lt;&gt;"")*(P$3:P$102="")*(G$3:G$102=G72)*(I$3:I$102="P"))+SUMPRODUCT((P$3:P$102&lt;&gt;"")*(G$3:G$102=G72)*(I$3:I$102="P"))+SUMPRODUCT((N$3:N$102&lt;&gt;"")*(G$3:G$102=G72)*(I$3:I$102="P"))+SUMPRODUCT((P$3:P$102="")*(O$3:O$102="")*(N$3:N$102="")*(M$3:M$102="P")*(G$3:G$102=G72)*(J$3:J$102&gt;J72)*(I$3:I$102="P"))+IF(H72="L5",SUMPRODUCT((P$3:P$102="")*(O$3:O$102="")*(N$3:N$102="")*(M$3:M$102="P")*(G$3:G$102=G72)*(J$3:J$102&lt;J72)*(H$3:H$102&lt;&gt;H72)*(I$3:I$102="P")),-1*SUMPRODUCT((P$3:P$102="")*(O$3:O$102="")*(N$3:N$102="")*(M$3:M$102="P")*(G$3:G$102=G72)*(J$3:J$102&gt;J72)*(H$3:H$102="L5")*(I$3:I$102="P")))+1,"")))))</f>
        <v>2</v>
      </c>
      <c r="B72" s="1" cm="1">
        <f t="array" ref="B72">IF(P72&lt;&gt;"",SUMPRODUCT((P$3:P$102&lt;&gt;"")*(G$3:G$102=G72)*(J$3:J$102&gt;J72))+1,IF(O72&lt;&gt;"",SUMPRODUCT((O$3:O$102&lt;&gt;"")*(P$3:P$102="")*(G$3:G$102=G72)*(J$3:J$102&gt;J72))+SUMPRODUCT((P$3:P$102&lt;&gt;"")*(G$3:G$102=G72))+1,IF(N72&lt;&gt;"",SUMPRODUCT((N$3:N$102&lt;&gt;"")*(G$3:G$102=G72)*(J$3:J$102&gt;J72))+1,IF(M72="P",SUMPRODUCT((O$3:O$102&lt;&gt;"")*(P$3:P$102="")*(G$3:G$102=G72))+SUMPRODUCT((P$3:P$102&lt;&gt;"")*(G$3:G$102=G72))+SUMPRODUCT((N$3:N$102&lt;&gt;"")*(G$3:G$102=G72))+SUMPRODUCT((P$3:P$102="")*(O$3:O$102="")*(N$3:N$102="")*(M$3:M$102="P")*(G$3:G$102=G72)*(J$3:J$102&gt;J72))+IF(H72="L5",SUMPRODUCT((P$3:P$102="")*(O$3:O$102="")*(N$3:N$102="")*(M$3:M$102="P")*(G$3:G$102=G72)*(J$3:J$102&lt;J72)*(H$3:H$102&lt;&gt;H72)),-1*SUMPRODUCT((P$3:P$102="")*(O$3:O$102="")*(N$3:N$102="")*(M$3:M$102="P")*(G$3:G$102=G72)*(J$3:J$102&gt;J72)*(H$3:H$102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 t="s">
        <v>507</v>
      </c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>
        <f>IF(AND(B72&lt;5,I72="P"),IF(_xlfn.MAXIFS(B:B,G:G,G72)&gt;3,5-B72,_xlfn.MAXIFS(B:B,G:G,G72)+1-B72),"")</f>
        <v>3</v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cm="1">
        <f t="array" ref="A73">IF(I73="","",IF(P73&lt;&gt;"",SUMPRODUCT((P$3:P$102&lt;&gt;"")*(G$3:G$102=G73)*(J$3:J$102&gt;J73)*(I$3:I$102="P"))+1,IF(O73&lt;&gt;"",SUMPRODUCT((O$3:O$102&lt;&gt;"")*(P$3:P$102="")*(G$3:G$102=G73)*(J$3:J$102&gt;J73)*(I$3:I$102="P"))+SUMPRODUCT((P$3:P$102&lt;&gt;"")*(G$3:G$102=G73)*(I$3:I$102="P"))+1,IF(N73&lt;&gt;"",SUMPRODUCT((N$3:N$102&lt;&gt;"")*(G$3:G$102=G73)*(J$3:J$102&gt;J73)*(I$3:I$102="P"))+1,IF(M73="P",SUMPRODUCT((O$3:O$102&lt;&gt;"")*(P$3:P$102="")*(G$3:G$102=G73)*(I$3:I$102="P"))+SUMPRODUCT((P$3:P$102&lt;&gt;"")*(G$3:G$102=G73)*(I$3:I$102="P"))+SUMPRODUCT((N$3:N$102&lt;&gt;"")*(G$3:G$102=G73)*(I$3:I$102="P"))+SUMPRODUCT((P$3:P$102="")*(O$3:O$102="")*(N$3:N$102="")*(M$3:M$102="P")*(G$3:G$102=G73)*(J$3:J$102&gt;J73)*(I$3:I$102="P"))+IF(H73="L5",SUMPRODUCT((P$3:P$102="")*(O$3:O$102="")*(N$3:N$102="")*(M$3:M$102="P")*(G$3:G$102=G73)*(J$3:J$102&lt;J73)*(H$3:H$102&lt;&gt;H73)*(I$3:I$102="P")),-1*SUMPRODUCT((P$3:P$102="")*(O$3:O$102="")*(N$3:N$102="")*(M$3:M$102="P")*(G$3:G$102=G73)*(J$3:J$102&gt;J73)*(H$3:H$102="L5")*(I$3:I$102="P")))+1,"")))))</f>
        <v>3</v>
      </c>
      <c r="B73" s="1" cm="1">
        <f t="array" ref="B73">IF(P73&lt;&gt;"",SUMPRODUCT((P$3:P$102&lt;&gt;"")*(G$3:G$102=G73)*(J$3:J$102&gt;J73))+1,IF(O73&lt;&gt;"",SUMPRODUCT((O$3:O$102&lt;&gt;"")*(P$3:P$102="")*(G$3:G$102=G73)*(J$3:J$102&gt;J73))+SUMPRODUCT((P$3:P$102&lt;&gt;"")*(G$3:G$102=G73))+1,IF(N73&lt;&gt;"",SUMPRODUCT((N$3:N$102&lt;&gt;"")*(G$3:G$102=G73)*(J$3:J$102&gt;J73))+1,IF(M73="P",SUMPRODUCT((O$3:O$102&lt;&gt;"")*(P$3:P$102="")*(G$3:G$102=G73))+SUMPRODUCT((P$3:P$102&lt;&gt;"")*(G$3:G$102=G73))+SUMPRODUCT((N$3:N$102&lt;&gt;"")*(G$3:G$102=G73))+SUMPRODUCT((P$3:P$102="")*(O$3:O$102="")*(N$3:N$102="")*(M$3:M$102="P")*(G$3:G$102=G73)*(J$3:J$102&gt;J73))+IF(H73="L5",SUMPRODUCT((P$3:P$102="")*(O$3:O$102="")*(N$3:N$102="")*(M$3:M$102="P")*(G$3:G$102=G73)*(J$3:J$102&lt;J73)*(H$3:H$102&lt;&gt;H73)),-1*SUMPRODUCT((P$3:P$102="")*(O$3:O$102="")*(N$3:N$102="")*(M$3:M$102="P")*(G$3:G$102=G73)*(J$3:J$102&gt;J73)*(H$3:H$102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 t="s">
        <v>507</v>
      </c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>
        <f>IF(AND(B73&lt;5,I73="P"),IF(_xlfn.MAXIFS(B:B,G:G,G73)&gt;3,5-B73,_xlfn.MAXIFS(B:B,G:G,G73)+1-B73),"")</f>
        <v>2</v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cm="1">
        <f t="array" ref="A74">IF(I74="","",IF(P74&lt;&gt;"",SUMPRODUCT((P$3:P$102&lt;&gt;"")*(G$3:G$102=G74)*(J$3:J$102&gt;J74)*(I$3:I$102="P"))+1,IF(O74&lt;&gt;"",SUMPRODUCT((O$3:O$102&lt;&gt;"")*(P$3:P$102="")*(G$3:G$102=G74)*(J$3:J$102&gt;J74)*(I$3:I$102="P"))+SUMPRODUCT((P$3:P$102&lt;&gt;"")*(G$3:G$102=G74)*(I$3:I$102="P"))+1,IF(N74&lt;&gt;"",SUMPRODUCT((N$3:N$102&lt;&gt;"")*(G$3:G$102=G74)*(J$3:J$102&gt;J74)*(I$3:I$102="P"))+1,IF(M74="P",SUMPRODUCT((O$3:O$102&lt;&gt;"")*(P$3:P$102="")*(G$3:G$102=G74)*(I$3:I$102="P"))+SUMPRODUCT((P$3:P$102&lt;&gt;"")*(G$3:G$102=G74)*(I$3:I$102="P"))+SUMPRODUCT((N$3:N$102&lt;&gt;"")*(G$3:G$102=G74)*(I$3:I$102="P"))+SUMPRODUCT((P$3:P$102="")*(O$3:O$102="")*(N$3:N$102="")*(M$3:M$102="P")*(G$3:G$102=G74)*(J$3:J$102&gt;J74)*(I$3:I$102="P"))+IF(H74="L5",SUMPRODUCT((P$3:P$102="")*(O$3:O$102="")*(N$3:N$102="")*(M$3:M$102="P")*(G$3:G$102=G74)*(J$3:J$102&lt;J74)*(H$3:H$102&lt;&gt;H74)*(I$3:I$102="P")),-1*SUMPRODUCT((P$3:P$102="")*(O$3:O$102="")*(N$3:N$102="")*(M$3:M$102="P")*(G$3:G$102=G74)*(J$3:J$102&gt;J74)*(H$3:H$102="L5")*(I$3:I$102="P")))+1,"")))))</f>
        <v>4</v>
      </c>
      <c r="B74" s="1" cm="1">
        <f t="array" ref="B74">IF(P74&lt;&gt;"",SUMPRODUCT((P$3:P$102&lt;&gt;"")*(G$3:G$102=G74)*(J$3:J$102&gt;J74))+1,IF(O74&lt;&gt;"",SUMPRODUCT((O$3:O$102&lt;&gt;"")*(P$3:P$102="")*(G$3:G$102=G74)*(J$3:J$102&gt;J74))+SUMPRODUCT((P$3:P$102&lt;&gt;"")*(G$3:G$102=G74))+1,IF(N74&lt;&gt;"",SUMPRODUCT((N$3:N$102&lt;&gt;"")*(G$3:G$102=G74)*(J$3:J$102&gt;J74))+1,IF(M74="P",SUMPRODUCT((O$3:O$102&lt;&gt;"")*(P$3:P$102="")*(G$3:G$102=G74))+SUMPRODUCT((P$3:P$102&lt;&gt;"")*(G$3:G$102=G74))+SUMPRODUCT((N$3:N$102&lt;&gt;"")*(G$3:G$102=G74))+SUMPRODUCT((P$3:P$102="")*(O$3:O$102="")*(N$3:N$102="")*(M$3:M$102="P")*(G$3:G$102=G74)*(J$3:J$102&gt;J74))+IF(H74="L5",SUMPRODUCT((P$3:P$102="")*(O$3:O$102="")*(N$3:N$102="")*(M$3:M$102="P")*(G$3:G$102=G74)*(J$3:J$102&lt;J74)*(H$3:H$102&lt;&gt;H74)),-1*SUMPRODUCT((P$3:P$102="")*(O$3:O$102="")*(N$3:N$102="")*(M$3:M$102="P")*(G$3:G$102=G74)*(J$3:J$102&gt;J74)*(H$3:H$102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 t="s">
        <v>507</v>
      </c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>
        <f>IF(AND(B74&lt;5,I74="P"),IF(_xlfn.MAXIFS(B:B,G:G,G74)&gt;3,5-B74,_xlfn.MAXIFS(B:B,G:G,G74)+1-B74),"")</f>
        <v>1</v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$102&lt;&gt;"")*(G$3:G$102=G75)*(J$3:J$102&gt;J75)*(I$3:I$102="P"))+1,IF(O75&lt;&gt;"",SUMPRODUCT((O$3:O$102&lt;&gt;"")*(P$3:P$102="")*(G$3:G$102=G75)*(J$3:J$102&gt;J75)*(I$3:I$102="P"))+SUMPRODUCT((P$3:P$102&lt;&gt;"")*(G$3:G$102=G75)*(I$3:I$102="P"))+1,IF(N75&lt;&gt;"",SUMPRODUCT((N$3:N$102&lt;&gt;"")*(G$3:G$102=G75)*(J$3:J$102&gt;J75)*(I$3:I$102="P"))+1,IF(M75="P",SUMPRODUCT((O$3:O$102&lt;&gt;"")*(P$3:P$102="")*(G$3:G$102=G75)*(I$3:I$102="P"))+SUMPRODUCT((P$3:P$102&lt;&gt;"")*(G$3:G$102=G75)*(I$3:I$102="P"))+SUMPRODUCT((N$3:N$102&lt;&gt;"")*(G$3:G$102=G75)*(I$3:I$102="P"))+SUMPRODUCT((P$3:P$102="")*(O$3:O$102="")*(N$3:N$102="")*(M$3:M$102="P")*(G$3:G$102=G75)*(J$3:J$102&gt;J75)*(I$3:I$102="P"))+IF(H75="L5",SUMPRODUCT((P$3:P$102="")*(O$3:O$102="")*(N$3:N$102="")*(M$3:M$102="P")*(G$3:G$102=G75)*(J$3:J$102&lt;J75)*(H$3:H$102&lt;&gt;H75)*(I$3:I$102="P")),-1*SUMPRODUCT((P$3:P$102="")*(O$3:O$102="")*(N$3:N$102="")*(M$3:M$102="P")*(G$3:G$102=G75)*(J$3:J$102&gt;J75)*(H$3:H$102="L5")*(I$3:I$102="P")))+1,"")))))</f>
        <v/>
      </c>
      <c r="B75" s="1" t="str" cm="1">
        <f t="array" ref="B75">IF(P75&lt;&gt;"",SUMPRODUCT((P$3:P$102&lt;&gt;"")*(G$3:G$102=G75)*(J$3:J$102&gt;J75))+1,IF(O75&lt;&gt;"",SUMPRODUCT((O$3:O$102&lt;&gt;"")*(P$3:P$102="")*(G$3:G$102=G75)*(J$3:J$102&gt;J75))+SUMPRODUCT((P$3:P$102&lt;&gt;"")*(G$3:G$102=G75))+1,IF(N75&lt;&gt;"",SUMPRODUCT((N$3:N$102&lt;&gt;"")*(G$3:G$102=G75)*(J$3:J$102&gt;J75))+1,IF(M75="P",SUMPRODUCT((O$3:O$102&lt;&gt;"")*(P$3:P$102="")*(G$3:G$102=G75))+SUMPRODUCT((P$3:P$102&lt;&gt;"")*(G$3:G$102=G75))+SUMPRODUCT((N$3:N$102&lt;&gt;"")*(G$3:G$102=G75))+SUMPRODUCT((P$3:P$102="")*(O$3:O$102="")*(N$3:N$102="")*(M$3:M$102="P")*(G$3:G$102=G75)*(J$3:J$102&gt;J75))+IF(H75="L5",SUMPRODUCT((P$3:P$102="")*(O$3:O$102="")*(N$3:N$102="")*(M$3:M$102="P")*(G$3:G$102=G75)*(J$3:J$102&lt;J75)*(H$3:H$102&lt;&gt;H75)),-1*SUMPRODUCT((P$3:P$102="")*(O$3:O$102="")*(N$3:N$102="")*(M$3:M$102="P")*(G$3:G$102=G75)*(J$3:J$102&gt;J75)*(H$3:H$102="L5")))+1,""))))</f>
        <v/>
      </c>
      <c r="C75" s="35" t="s">
        <v>435</v>
      </c>
      <c r="D75" t="str">
        <f>IF(E75="","",VLOOKUP(E75,'Coaching Points'!A:B,2,0))</f>
        <v>ON</v>
      </c>
      <c r="E75" s="35" t="s">
        <v>126</v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IF(AND(B75&lt;5,I75="P"),IF(_xlfn.MAXIFS(B:B,G:G,G75)&gt;3,5-B75,_xlfn.MAXIFS(B:B,G:G,G75)+1-B75),"")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$102&lt;&gt;"")*(G$3:G$102=G76)*(J$3:J$102&gt;J76)*(I$3:I$102="P"))+1,IF(O76&lt;&gt;"",SUMPRODUCT((O$3:O$102&lt;&gt;"")*(P$3:P$102="")*(G$3:G$102=G76)*(J$3:J$102&gt;J76)*(I$3:I$102="P"))+SUMPRODUCT((P$3:P$102&lt;&gt;"")*(G$3:G$102=G76)*(I$3:I$102="P"))+1,IF(N76&lt;&gt;"",SUMPRODUCT((N$3:N$102&lt;&gt;"")*(G$3:G$102=G76)*(J$3:J$102&gt;J76)*(I$3:I$102="P"))+1,IF(M76="P",SUMPRODUCT((O$3:O$102&lt;&gt;"")*(P$3:P$102="")*(G$3:G$102=G76)*(I$3:I$102="P"))+SUMPRODUCT((P$3:P$102&lt;&gt;"")*(G$3:G$102=G76)*(I$3:I$102="P"))+SUMPRODUCT((N$3:N$102&lt;&gt;"")*(G$3:G$102=G76)*(I$3:I$102="P"))+SUMPRODUCT((P$3:P$102="")*(O$3:O$102="")*(N$3:N$102="")*(M$3:M$102="P")*(G$3:G$102=G76)*(J$3:J$102&gt;J76)*(I$3:I$102="P"))+IF(H76="L5",SUMPRODUCT((P$3:P$102="")*(O$3:O$102="")*(N$3:N$102="")*(M$3:M$102="P")*(G$3:G$102=G76)*(J$3:J$102&lt;J76)*(H$3:H$102&lt;&gt;H76)*(I$3:I$102="P")),-1*SUMPRODUCT((P$3:P$102="")*(O$3:O$102="")*(N$3:N$102="")*(M$3:M$102="P")*(G$3:G$102=G76)*(J$3:J$102&gt;J76)*(H$3:H$102="L5")*(I$3:I$102="P")))+1,"")))))</f>
        <v/>
      </c>
      <c r="B76" s="1" t="str" cm="1">
        <f t="array" ref="B76">IF(P76&lt;&gt;"",SUMPRODUCT((P$3:P$102&lt;&gt;"")*(G$3:G$102=G76)*(J$3:J$102&gt;J76))+1,IF(O76&lt;&gt;"",SUMPRODUCT((O$3:O$102&lt;&gt;"")*(P$3:P$102="")*(G$3:G$102=G76)*(J$3:J$102&gt;J76))+SUMPRODUCT((P$3:P$102&lt;&gt;"")*(G$3:G$102=G76))+1,IF(N76&lt;&gt;"",SUMPRODUCT((N$3:N$102&lt;&gt;"")*(G$3:G$102=G76)*(J$3:J$102&gt;J76))+1,IF(M76="P",SUMPRODUCT((O$3:O$102&lt;&gt;"")*(P$3:P$102="")*(G$3:G$102=G76))+SUMPRODUCT((P$3:P$102&lt;&gt;"")*(G$3:G$102=G76))+SUMPRODUCT((N$3:N$102&lt;&gt;"")*(G$3:G$102=G76))+SUMPRODUCT((P$3:P$102="")*(O$3:O$102="")*(N$3:N$102="")*(M$3:M$102="P")*(G$3:G$102=G76)*(J$3:J$102&gt;J76))+IF(H76="L5",SUMPRODUCT((P$3:P$102="")*(O$3:O$102="")*(N$3:N$102="")*(M$3:M$102="P")*(G$3:G$102=G76)*(J$3:J$102&lt;J76)*(H$3:H$102&lt;&gt;H76)),-1*SUMPRODUCT((P$3:P$102="")*(O$3:O$102="")*(N$3:N$102="")*(M$3:M$102="P")*(G$3:G$102=G76)*(J$3:J$102&gt;J76)*(H$3:H$102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IF(AND(B76&lt;5,I76="P"),IF(_xlfn.MAXIFS(B:B,G:G,G76)&gt;3,5-B76,_xlfn.MAXIFS(B:B,G:G,G76)+1-B76),"")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$102&lt;&gt;"")*(G$3:G$102=G77)*(J$3:J$102&gt;J77)*(I$3:I$102="P"))+1,IF(O77&lt;&gt;"",SUMPRODUCT((O$3:O$102&lt;&gt;"")*(P$3:P$102="")*(G$3:G$102=G77)*(J$3:J$102&gt;J77)*(I$3:I$102="P"))+SUMPRODUCT((P$3:P$102&lt;&gt;"")*(G$3:G$102=G77)*(I$3:I$102="P"))+1,IF(N77&lt;&gt;"",SUMPRODUCT((N$3:N$102&lt;&gt;"")*(G$3:G$102=G77)*(J$3:J$102&gt;J77)*(I$3:I$102="P"))+1,IF(M77="P",SUMPRODUCT((O$3:O$102&lt;&gt;"")*(P$3:P$102="")*(G$3:G$102=G77)*(I$3:I$102="P"))+SUMPRODUCT((P$3:P$102&lt;&gt;"")*(G$3:G$102=G77)*(I$3:I$102="P"))+SUMPRODUCT((N$3:N$102&lt;&gt;"")*(G$3:G$102=G77)*(I$3:I$102="P"))+SUMPRODUCT((P$3:P$102="")*(O$3:O$102="")*(N$3:N$102="")*(M$3:M$102="P")*(G$3:G$102=G77)*(J$3:J$102&gt;J77)*(I$3:I$102="P"))+IF(H77="L5",SUMPRODUCT((P$3:P$102="")*(O$3:O$102="")*(N$3:N$102="")*(M$3:M$102="P")*(G$3:G$102=G77)*(J$3:J$102&lt;J77)*(H$3:H$102&lt;&gt;H77)*(I$3:I$102="P")),-1*SUMPRODUCT((P$3:P$102="")*(O$3:O$102="")*(N$3:N$102="")*(M$3:M$102="P")*(G$3:G$102=G77)*(J$3:J$102&gt;J77)*(H$3:H$102="L5")*(I$3:I$102="P")))+1,"")))))</f>
        <v/>
      </c>
      <c r="B77" s="1" t="str" cm="1">
        <f t="array" ref="B77">IF(P77&lt;&gt;"",SUMPRODUCT((P$3:P$102&lt;&gt;"")*(G$3:G$102=G77)*(J$3:J$102&gt;J77))+1,IF(O77&lt;&gt;"",SUMPRODUCT((O$3:O$102&lt;&gt;"")*(P$3:P$102="")*(G$3:G$102=G77)*(J$3:J$102&gt;J77))+SUMPRODUCT((P$3:P$102&lt;&gt;"")*(G$3:G$102=G77))+1,IF(N77&lt;&gt;"",SUMPRODUCT((N$3:N$102&lt;&gt;"")*(G$3:G$102=G77)*(J$3:J$102&gt;J77))+1,IF(M77="P",SUMPRODUCT((O$3:O$102&lt;&gt;"")*(P$3:P$102="")*(G$3:G$102=G77))+SUMPRODUCT((P$3:P$102&lt;&gt;"")*(G$3:G$102=G77))+SUMPRODUCT((N$3:N$102&lt;&gt;"")*(G$3:G$102=G77))+SUMPRODUCT((P$3:P$102="")*(O$3:O$102="")*(N$3:N$102="")*(M$3:M$102="P")*(G$3:G$102=G77)*(J$3:J$102&gt;J77))+IF(H77="L5",SUMPRODUCT((P$3:P$102="")*(O$3:O$102="")*(N$3:N$102="")*(M$3:M$102="P")*(G$3:G$102=G77)*(J$3:J$102&lt;J77)*(H$3:H$102&lt;&gt;H77)),-1*SUMPRODUCT((P$3:P$102="")*(O$3:O$102="")*(N$3:N$102="")*(M$3:M$102="P")*(G$3:G$102=G77)*(J$3:J$102&gt;J77)*(H$3:H$102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IF(AND(B77&lt;5,I77="P"),IF(_xlfn.MAXIFS(B:B,G:G,G77)&gt;3,5-B77,_xlfn.MAXIFS(B:B,G:G,G77)+1-B77),"")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$102&lt;&gt;"")*(G$3:G$102=G78)*(J$3:J$102&gt;J78)*(I$3:I$102="P"))+1,IF(O78&lt;&gt;"",SUMPRODUCT((O$3:O$102&lt;&gt;"")*(P$3:P$102="")*(G$3:G$102=G78)*(J$3:J$102&gt;J78)*(I$3:I$102="P"))+SUMPRODUCT((P$3:P$102&lt;&gt;"")*(G$3:G$102=G78)*(I$3:I$102="P"))+1,IF(N78&lt;&gt;"",SUMPRODUCT((N$3:N$102&lt;&gt;"")*(G$3:G$102=G78)*(J$3:J$102&gt;J78)*(I$3:I$102="P"))+1,IF(M78="P",SUMPRODUCT((O$3:O$102&lt;&gt;"")*(P$3:P$102="")*(G$3:G$102=G78)*(I$3:I$102="P"))+SUMPRODUCT((P$3:P$102&lt;&gt;"")*(G$3:G$102=G78)*(I$3:I$102="P"))+SUMPRODUCT((N$3:N$102&lt;&gt;"")*(G$3:G$102=G78)*(I$3:I$102="P"))+SUMPRODUCT((P$3:P$102="")*(O$3:O$102="")*(N$3:N$102="")*(M$3:M$102="P")*(G$3:G$102=G78)*(J$3:J$102&gt;J78)*(I$3:I$102="P"))+IF(H78="L5",SUMPRODUCT((P$3:P$102="")*(O$3:O$102="")*(N$3:N$102="")*(M$3:M$102="P")*(G$3:G$102=G78)*(J$3:J$102&lt;J78)*(H$3:H$102&lt;&gt;H78)*(I$3:I$102="P")),-1*SUMPRODUCT((P$3:P$102="")*(O$3:O$102="")*(N$3:N$102="")*(M$3:M$102="P")*(G$3:G$102=G78)*(J$3:J$102&gt;J78)*(H$3:H$102="L5")*(I$3:I$102="P")))+1,"")))))</f>
        <v/>
      </c>
      <c r="B78" s="1" t="str" cm="1">
        <f t="array" ref="B78">IF(P78&lt;&gt;"",SUMPRODUCT((P$3:P$102&lt;&gt;"")*(G$3:G$102=G78)*(J$3:J$102&gt;J78))+1,IF(O78&lt;&gt;"",SUMPRODUCT((O$3:O$102&lt;&gt;"")*(P$3:P$102="")*(G$3:G$102=G78)*(J$3:J$102&gt;J78))+SUMPRODUCT((P$3:P$102&lt;&gt;"")*(G$3:G$102=G78))+1,IF(N78&lt;&gt;"",SUMPRODUCT((N$3:N$102&lt;&gt;"")*(G$3:G$102=G78)*(J$3:J$102&gt;J78))+1,IF(M78="P",SUMPRODUCT((O$3:O$102&lt;&gt;"")*(P$3:P$102="")*(G$3:G$102=G78))+SUMPRODUCT((P$3:P$102&lt;&gt;"")*(G$3:G$102=G78))+SUMPRODUCT((N$3:N$102&lt;&gt;"")*(G$3:G$102=G78))+SUMPRODUCT((P$3:P$102="")*(O$3:O$102="")*(N$3:N$102="")*(M$3:M$102="P")*(G$3:G$102=G78)*(J$3:J$102&gt;J78))+IF(H78="L5",SUMPRODUCT((P$3:P$102="")*(O$3:O$102="")*(N$3:N$102="")*(M$3:M$102="P")*(G$3:G$102=G78)*(J$3:J$102&lt;J78)*(H$3:H$102&lt;&gt;H78)),-1*SUMPRODUCT((P$3:P$102="")*(O$3:O$102="")*(N$3:N$102="")*(M$3:M$102="P")*(G$3:G$102=G78)*(J$3:J$102&gt;J78)*(H$3:H$102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IF(AND(B78&lt;5,I78="P"),IF(_xlfn.MAXIFS(B:B,G:G,G78)&gt;3,5-B78,_xlfn.MAXIFS(B:B,G:G,G78)+1-B78),"")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$102&lt;&gt;"")*(G$3:G$102=G79)*(J$3:J$102&gt;J79)*(I$3:I$102="P"))+1,IF(O79&lt;&gt;"",SUMPRODUCT((O$3:O$102&lt;&gt;"")*(P$3:P$102="")*(G$3:G$102=G79)*(J$3:J$102&gt;J79)*(I$3:I$102="P"))+SUMPRODUCT((P$3:P$102&lt;&gt;"")*(G$3:G$102=G79)*(I$3:I$102="P"))+1,IF(N79&lt;&gt;"",SUMPRODUCT((N$3:N$102&lt;&gt;"")*(G$3:G$102=G79)*(J$3:J$102&gt;J79)*(I$3:I$102="P"))+1,IF(M79="P",SUMPRODUCT((O$3:O$102&lt;&gt;"")*(P$3:P$102="")*(G$3:G$102=G79)*(I$3:I$102="P"))+SUMPRODUCT((P$3:P$102&lt;&gt;"")*(G$3:G$102=G79)*(I$3:I$102="P"))+SUMPRODUCT((N$3:N$102&lt;&gt;"")*(G$3:G$102=G79)*(I$3:I$102="P"))+SUMPRODUCT((P$3:P$102="")*(O$3:O$102="")*(N$3:N$102="")*(M$3:M$102="P")*(G$3:G$102=G79)*(J$3:J$102&gt;J79)*(I$3:I$102="P"))+IF(H79="L5",SUMPRODUCT((P$3:P$102="")*(O$3:O$102="")*(N$3:N$102="")*(M$3:M$102="P")*(G$3:G$102=G79)*(J$3:J$102&lt;J79)*(H$3:H$102&lt;&gt;H79)*(I$3:I$102="P")),-1*SUMPRODUCT((P$3:P$102="")*(O$3:O$102="")*(N$3:N$102="")*(M$3:M$102="P")*(G$3:G$102=G79)*(J$3:J$102&gt;J79)*(H$3:H$102="L5")*(I$3:I$102="P")))+1,"")))))</f>
        <v/>
      </c>
      <c r="B79" s="1" t="str" cm="1">
        <f t="array" ref="B79">IF(P79&lt;&gt;"",SUMPRODUCT((P$3:P$102&lt;&gt;"")*(G$3:G$102=G79)*(J$3:J$102&gt;J79))+1,IF(O79&lt;&gt;"",SUMPRODUCT((O$3:O$102&lt;&gt;"")*(P$3:P$102="")*(G$3:G$102=G79)*(J$3:J$102&gt;J79))+SUMPRODUCT((P$3:P$102&lt;&gt;"")*(G$3:G$102=G79))+1,IF(N79&lt;&gt;"",SUMPRODUCT((N$3:N$102&lt;&gt;"")*(G$3:G$102=G79)*(J$3:J$102&gt;J79))+1,IF(M79="P",SUMPRODUCT((O$3:O$102&lt;&gt;"")*(P$3:P$102="")*(G$3:G$102=G79))+SUMPRODUCT((P$3:P$102&lt;&gt;"")*(G$3:G$102=G79))+SUMPRODUCT((N$3:N$102&lt;&gt;"")*(G$3:G$102=G79))+SUMPRODUCT((P$3:P$102="")*(O$3:O$102="")*(N$3:N$102="")*(M$3:M$102="P")*(G$3:G$102=G79)*(J$3:J$102&gt;J79))+IF(H79="L5",SUMPRODUCT((P$3:P$102="")*(O$3:O$102="")*(N$3:N$102="")*(M$3:M$102="P")*(G$3:G$102=G79)*(J$3:J$102&lt;J79)*(H$3:H$102&lt;&gt;H79)),-1*SUMPRODUCT((P$3:P$102="")*(O$3:O$102="")*(N$3:N$102="")*(M$3:M$102="P")*(G$3:G$102=G79)*(J$3:J$102&gt;J79)*(H$3:H$102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IF(AND(B79&lt;5,I79="P"),IF(_xlfn.MAXIFS(B:B,G:G,G79)&gt;3,5-B79,_xlfn.MAXIFS(B:B,G:G,G79)+1-B79),"")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$102&lt;&gt;"")*(G$3:G$102=G80)*(J$3:J$102&gt;J80)*(I$3:I$102="P"))+1,IF(O80&lt;&gt;"",SUMPRODUCT((O$3:O$102&lt;&gt;"")*(P$3:P$102="")*(G$3:G$102=G80)*(J$3:J$102&gt;J80)*(I$3:I$102="P"))+SUMPRODUCT((P$3:P$102&lt;&gt;"")*(G$3:G$102=G80)*(I$3:I$102="P"))+1,IF(N80&lt;&gt;"",SUMPRODUCT((N$3:N$102&lt;&gt;"")*(G$3:G$102=G80)*(J$3:J$102&gt;J80)*(I$3:I$102="P"))+1,IF(M80="P",SUMPRODUCT((O$3:O$102&lt;&gt;"")*(P$3:P$102="")*(G$3:G$102=G80)*(I$3:I$102="P"))+SUMPRODUCT((P$3:P$102&lt;&gt;"")*(G$3:G$102=G80)*(I$3:I$102="P"))+SUMPRODUCT((N$3:N$102&lt;&gt;"")*(G$3:G$102=G80)*(I$3:I$102="P"))+SUMPRODUCT((P$3:P$102="")*(O$3:O$102="")*(N$3:N$102="")*(M$3:M$102="P")*(G$3:G$102=G80)*(J$3:J$102&gt;J80)*(I$3:I$102="P"))+IF(H80="L5",SUMPRODUCT((P$3:P$102="")*(O$3:O$102="")*(N$3:N$102="")*(M$3:M$102="P")*(G$3:G$102=G80)*(J$3:J$102&lt;J80)*(H$3:H$102&lt;&gt;H80)*(I$3:I$102="P")),-1*SUMPRODUCT((P$3:P$102="")*(O$3:O$102="")*(N$3:N$102="")*(M$3:M$102="P")*(G$3:G$102=G80)*(J$3:J$102&gt;J80)*(H$3:H$102="L5")*(I$3:I$102="P")))+1,"")))))</f>
        <v/>
      </c>
      <c r="B80" s="1" t="str" cm="1">
        <f t="array" ref="B80">IF(P80&lt;&gt;"",SUMPRODUCT((P$3:P$102&lt;&gt;"")*(G$3:G$102=G80)*(J$3:J$102&gt;J80))+1,IF(O80&lt;&gt;"",SUMPRODUCT((O$3:O$102&lt;&gt;"")*(P$3:P$102="")*(G$3:G$102=G80)*(J$3:J$102&gt;J80))+SUMPRODUCT((P$3:P$102&lt;&gt;"")*(G$3:G$102=G80))+1,IF(N80&lt;&gt;"",SUMPRODUCT((N$3:N$102&lt;&gt;"")*(G$3:G$102=G80)*(J$3:J$102&gt;J80))+1,IF(M80="P",SUMPRODUCT((O$3:O$102&lt;&gt;"")*(P$3:P$102="")*(G$3:G$102=G80))+SUMPRODUCT((P$3:P$102&lt;&gt;"")*(G$3:G$102=G80))+SUMPRODUCT((N$3:N$102&lt;&gt;"")*(G$3:G$102=G80))+SUMPRODUCT((P$3:P$102="")*(O$3:O$102="")*(N$3:N$102="")*(M$3:M$102="P")*(G$3:G$102=G80)*(J$3:J$102&gt;J80))+IF(H80="L5",SUMPRODUCT((P$3:P$102="")*(O$3:O$102="")*(N$3:N$102="")*(M$3:M$102="P")*(G$3:G$102=G80)*(J$3:J$102&lt;J80)*(H$3:H$102&lt;&gt;H80)),-1*SUMPRODUCT((P$3:P$102="")*(O$3:O$102="")*(N$3:N$102="")*(M$3:M$102="P")*(G$3:G$102=G80)*(J$3:J$102&gt;J80)*(H$3:H$102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IF(AND(B80&lt;5,I80="P"),IF(_xlfn.MAXIFS(B:B,G:G,G80)&gt;3,5-B80,_xlfn.MAXIFS(B:B,G:G,G80)+1-B80),"")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$102&lt;&gt;"")*(G$3:G$102=G81)*(J$3:J$102&gt;J81)*(I$3:I$102="P"))+1,IF(O81&lt;&gt;"",SUMPRODUCT((O$3:O$102&lt;&gt;"")*(P$3:P$102="")*(G$3:G$102=G81)*(J$3:J$102&gt;J81)*(I$3:I$102="P"))+SUMPRODUCT((P$3:P$102&lt;&gt;"")*(G$3:G$102=G81)*(I$3:I$102="P"))+1,IF(N81&lt;&gt;"",SUMPRODUCT((N$3:N$102&lt;&gt;"")*(G$3:G$102=G81)*(J$3:J$102&gt;J81)*(I$3:I$102="P"))+1,IF(M81="P",SUMPRODUCT((O$3:O$102&lt;&gt;"")*(P$3:P$102="")*(G$3:G$102=G81)*(I$3:I$102="P"))+SUMPRODUCT((P$3:P$102&lt;&gt;"")*(G$3:G$102=G81)*(I$3:I$102="P"))+SUMPRODUCT((N$3:N$102&lt;&gt;"")*(G$3:G$102=G81)*(I$3:I$102="P"))+SUMPRODUCT((P$3:P$102="")*(O$3:O$102="")*(N$3:N$102="")*(M$3:M$102="P")*(G$3:G$102=G81)*(J$3:J$102&gt;J81)*(I$3:I$102="P"))+IF(H81="L5",SUMPRODUCT((P$3:P$102="")*(O$3:O$102="")*(N$3:N$102="")*(M$3:M$102="P")*(G$3:G$102=G81)*(J$3:J$102&lt;J81)*(H$3:H$102&lt;&gt;H81)*(I$3:I$102="P")),-1*SUMPRODUCT((P$3:P$102="")*(O$3:O$102="")*(N$3:N$102="")*(M$3:M$102="P")*(G$3:G$102=G81)*(J$3:J$102&gt;J81)*(H$3:H$102="L5")*(I$3:I$102="P")))+1,"")))))</f>
        <v/>
      </c>
      <c r="B81" s="1" t="str" cm="1">
        <f t="array" ref="B81">IF(P81&lt;&gt;"",SUMPRODUCT((P$3:P$102&lt;&gt;"")*(G$3:G$102=G81)*(J$3:J$102&gt;J81))+1,IF(O81&lt;&gt;"",SUMPRODUCT((O$3:O$102&lt;&gt;"")*(P$3:P$102="")*(G$3:G$102=G81)*(J$3:J$102&gt;J81))+SUMPRODUCT((P$3:P$102&lt;&gt;"")*(G$3:G$102=G81))+1,IF(N81&lt;&gt;"",SUMPRODUCT((N$3:N$102&lt;&gt;"")*(G$3:G$102=G81)*(J$3:J$102&gt;J81))+1,IF(M81="P",SUMPRODUCT((O$3:O$102&lt;&gt;"")*(P$3:P$102="")*(G$3:G$102=G81))+SUMPRODUCT((P$3:P$102&lt;&gt;"")*(G$3:G$102=G81))+SUMPRODUCT((N$3:N$102&lt;&gt;"")*(G$3:G$102=G81))+SUMPRODUCT((P$3:P$102="")*(O$3:O$102="")*(N$3:N$102="")*(M$3:M$102="P")*(G$3:G$102=G81)*(J$3:J$102&gt;J81))+IF(H81="L5",SUMPRODUCT((P$3:P$102="")*(O$3:O$102="")*(N$3:N$102="")*(M$3:M$102="P")*(G$3:G$102=G81)*(J$3:J$102&lt;J81)*(H$3:H$102&lt;&gt;H81)),-1*SUMPRODUCT((P$3:P$102="")*(O$3:O$102="")*(N$3:N$102="")*(M$3:M$102="P")*(G$3:G$102=G81)*(J$3:J$102&gt;J81)*(H$3:H$102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IF(AND(B81&lt;5,I81="P"),IF(_xlfn.MAXIFS(B:B,G:G,G81)&gt;3,5-B81,_xlfn.MAXIFS(B:B,G:G,G81)+1-B81),"")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$102&lt;&gt;"")*(G$3:G$102=G82)*(J$3:J$102&gt;J82)*(I$3:I$102="P"))+1,IF(O82&lt;&gt;"",SUMPRODUCT((O$3:O$102&lt;&gt;"")*(P$3:P$102="")*(G$3:G$102=G82)*(J$3:J$102&gt;J82)*(I$3:I$102="P"))+SUMPRODUCT((P$3:P$102&lt;&gt;"")*(G$3:G$102=G82)*(I$3:I$102="P"))+1,IF(N82&lt;&gt;"",SUMPRODUCT((N$3:N$102&lt;&gt;"")*(G$3:G$102=G82)*(J$3:J$102&gt;J82)*(I$3:I$102="P"))+1,IF(M82="P",SUMPRODUCT((O$3:O$102&lt;&gt;"")*(P$3:P$102="")*(G$3:G$102=G82)*(I$3:I$102="P"))+SUMPRODUCT((P$3:P$102&lt;&gt;"")*(G$3:G$102=G82)*(I$3:I$102="P"))+SUMPRODUCT((N$3:N$102&lt;&gt;"")*(G$3:G$102=G82)*(I$3:I$102="P"))+SUMPRODUCT((P$3:P$102="")*(O$3:O$102="")*(N$3:N$102="")*(M$3:M$102="P")*(G$3:G$102=G82)*(J$3:J$102&gt;J82)*(I$3:I$102="P"))+IF(H82="L5",SUMPRODUCT((P$3:P$102="")*(O$3:O$102="")*(N$3:N$102="")*(M$3:M$102="P")*(G$3:G$102=G82)*(J$3:J$102&lt;J82)*(H$3:H$102&lt;&gt;H82)*(I$3:I$102="P")),-1*SUMPRODUCT((P$3:P$102="")*(O$3:O$102="")*(N$3:N$102="")*(M$3:M$102="P")*(G$3:G$102=G82)*(J$3:J$102&gt;J82)*(H$3:H$102="L5")*(I$3:I$102="P")))+1,"")))))</f>
        <v/>
      </c>
      <c r="B82" s="1" t="str" cm="1">
        <f t="array" ref="B82">IF(P82&lt;&gt;"",SUMPRODUCT((P$3:P$102&lt;&gt;"")*(G$3:G$102=G82)*(J$3:J$102&gt;J82))+1,IF(O82&lt;&gt;"",SUMPRODUCT((O$3:O$102&lt;&gt;"")*(P$3:P$102="")*(G$3:G$102=G82)*(J$3:J$102&gt;J82))+SUMPRODUCT((P$3:P$102&lt;&gt;"")*(G$3:G$102=G82))+1,IF(N82&lt;&gt;"",SUMPRODUCT((N$3:N$102&lt;&gt;"")*(G$3:G$102=G82)*(J$3:J$102&gt;J82))+1,IF(M82="P",SUMPRODUCT((O$3:O$102&lt;&gt;"")*(P$3:P$102="")*(G$3:G$102=G82))+SUMPRODUCT((P$3:P$102&lt;&gt;"")*(G$3:G$102=G82))+SUMPRODUCT((N$3:N$102&lt;&gt;"")*(G$3:G$102=G82))+SUMPRODUCT((P$3:P$102="")*(O$3:O$102="")*(N$3:N$102="")*(M$3:M$102="P")*(G$3:G$102=G82)*(J$3:J$102&gt;J82))+IF(H82="L5",SUMPRODUCT((P$3:P$102="")*(O$3:O$102="")*(N$3:N$102="")*(M$3:M$102="P")*(G$3:G$102=G82)*(J$3:J$102&lt;J82)*(H$3:H$102&lt;&gt;H82)),-1*SUMPRODUCT((P$3:P$102="")*(O$3:O$102="")*(N$3:N$102="")*(M$3:M$102="P")*(G$3:G$102=G82)*(J$3:J$102&gt;J82)*(H$3:H$102="L5")))+1,""))))</f>
        <v/>
      </c>
      <c r="C82" s="35" t="s">
        <v>414</v>
      </c>
      <c r="D82" t="str">
        <f>IF(E82="","",VLOOKUP(E82,'Coaching Points'!A:B,2,0))</f>
        <v>QC</v>
      </c>
      <c r="E82" s="35" t="s">
        <v>99</v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IF(AND(B82&lt;5,I82="P"),IF(_xlfn.MAXIFS(B:B,G:G,G82)&gt;3,5-B82,_xlfn.MAXIFS(B:B,G:G,G82)+1-B82),"")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$102&lt;&gt;"")*(G$3:G$102=G83)*(J$3:J$102&gt;J83)*(I$3:I$102="P"))+1,IF(O83&lt;&gt;"",SUMPRODUCT((O$3:O$102&lt;&gt;"")*(P$3:P$102="")*(G$3:G$102=G83)*(J$3:J$102&gt;J83)*(I$3:I$102="P"))+SUMPRODUCT((P$3:P$102&lt;&gt;"")*(G$3:G$102=G83)*(I$3:I$102="P"))+1,IF(N83&lt;&gt;"",SUMPRODUCT((N$3:N$102&lt;&gt;"")*(G$3:G$102=G83)*(J$3:J$102&gt;J83)*(I$3:I$102="P"))+1,IF(M83="P",SUMPRODUCT((O$3:O$102&lt;&gt;"")*(P$3:P$102="")*(G$3:G$102=G83)*(I$3:I$102="P"))+SUMPRODUCT((P$3:P$102&lt;&gt;"")*(G$3:G$102=G83)*(I$3:I$102="P"))+SUMPRODUCT((N$3:N$102&lt;&gt;"")*(G$3:G$102=G83)*(I$3:I$102="P"))+SUMPRODUCT((P$3:P$102="")*(O$3:O$102="")*(N$3:N$102="")*(M$3:M$102="P")*(G$3:G$102=G83)*(J$3:J$102&gt;J83)*(I$3:I$102="P"))+IF(H83="L5",SUMPRODUCT((P$3:P$102="")*(O$3:O$102="")*(N$3:N$102="")*(M$3:M$102="P")*(G$3:G$102=G83)*(J$3:J$102&lt;J83)*(H$3:H$102&lt;&gt;H83)*(I$3:I$102="P")),-1*SUMPRODUCT((P$3:P$102="")*(O$3:O$102="")*(N$3:N$102="")*(M$3:M$102="P")*(G$3:G$102=G83)*(J$3:J$102&gt;J83)*(H$3:H$102="L5")*(I$3:I$102="P")))+1,"")))))</f>
        <v/>
      </c>
      <c r="B83" s="1" t="str" cm="1">
        <f t="array" ref="B83">IF(P83&lt;&gt;"",SUMPRODUCT((P$3:P$102&lt;&gt;"")*(G$3:G$102=G83)*(J$3:J$102&gt;J83))+1,IF(O83&lt;&gt;"",SUMPRODUCT((O$3:O$102&lt;&gt;"")*(P$3:P$102="")*(G$3:G$102=G83)*(J$3:J$102&gt;J83))+SUMPRODUCT((P$3:P$102&lt;&gt;"")*(G$3:G$102=G83))+1,IF(N83&lt;&gt;"",SUMPRODUCT((N$3:N$102&lt;&gt;"")*(G$3:G$102=G83)*(J$3:J$102&gt;J83))+1,IF(M83="P",SUMPRODUCT((O$3:O$102&lt;&gt;"")*(P$3:P$102="")*(G$3:G$102=G83))+SUMPRODUCT((P$3:P$102&lt;&gt;"")*(G$3:G$102=G83))+SUMPRODUCT((N$3:N$102&lt;&gt;"")*(G$3:G$102=G83))+SUMPRODUCT((P$3:P$102="")*(O$3:O$102="")*(N$3:N$102="")*(M$3:M$102="P")*(G$3:G$102=G83)*(J$3:J$102&gt;J83))+IF(H83="L5",SUMPRODUCT((P$3:P$102="")*(O$3:O$102="")*(N$3:N$102="")*(M$3:M$102="P")*(G$3:G$102=G83)*(J$3:J$102&lt;J83)*(H$3:H$102&lt;&gt;H83)),-1*SUMPRODUCT((P$3:P$102="")*(O$3:O$102="")*(N$3:N$102="")*(M$3:M$102="P")*(G$3:G$102=G83)*(J$3:J$102&gt;J83)*(H$3:H$102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IF(AND(B83&lt;5,I83="P"),IF(_xlfn.MAXIFS(B:B,G:G,G83)&gt;3,5-B83,_xlfn.MAXIFS(B:B,G:G,G83)+1-B83),"")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$102&lt;&gt;"")*(G$3:G$102=G84)*(J$3:J$102&gt;J84)*(I$3:I$102="P"))+1,IF(O84&lt;&gt;"",SUMPRODUCT((O$3:O$102&lt;&gt;"")*(P$3:P$102="")*(G$3:G$102=G84)*(J$3:J$102&gt;J84)*(I$3:I$102="P"))+SUMPRODUCT((P$3:P$102&lt;&gt;"")*(G$3:G$102=G84)*(I$3:I$102="P"))+1,IF(N84&lt;&gt;"",SUMPRODUCT((N$3:N$102&lt;&gt;"")*(G$3:G$102=G84)*(J$3:J$102&gt;J84)*(I$3:I$102="P"))+1,IF(M84="P",SUMPRODUCT((O$3:O$102&lt;&gt;"")*(P$3:P$102="")*(G$3:G$102=G84)*(I$3:I$102="P"))+SUMPRODUCT((P$3:P$102&lt;&gt;"")*(G$3:G$102=G84)*(I$3:I$102="P"))+SUMPRODUCT((N$3:N$102&lt;&gt;"")*(G$3:G$102=G84)*(I$3:I$102="P"))+SUMPRODUCT((P$3:P$102="")*(O$3:O$102="")*(N$3:N$102="")*(M$3:M$102="P")*(G$3:G$102=G84)*(J$3:J$102&gt;J84)*(I$3:I$102="P"))+IF(H84="L5",SUMPRODUCT((P$3:P$102="")*(O$3:O$102="")*(N$3:N$102="")*(M$3:M$102="P")*(G$3:G$102=G84)*(J$3:J$102&lt;J84)*(H$3:H$102&lt;&gt;H84)*(I$3:I$102="P")),-1*SUMPRODUCT((P$3:P$102="")*(O$3:O$102="")*(N$3:N$102="")*(M$3:M$102="P")*(G$3:G$102=G84)*(J$3:J$102&gt;J84)*(H$3:H$102="L5")*(I$3:I$102="P")))+1,"")))))</f>
        <v/>
      </c>
      <c r="B84" s="1" t="str" cm="1">
        <f t="array" ref="B84">IF(P84&lt;&gt;"",SUMPRODUCT((P$3:P$102&lt;&gt;"")*(G$3:G$102=G84)*(J$3:J$102&gt;J84))+1,IF(O84&lt;&gt;"",SUMPRODUCT((O$3:O$102&lt;&gt;"")*(P$3:P$102="")*(G$3:G$102=G84)*(J$3:J$102&gt;J84))+SUMPRODUCT((P$3:P$102&lt;&gt;"")*(G$3:G$102=G84))+1,IF(N84&lt;&gt;"",SUMPRODUCT((N$3:N$102&lt;&gt;"")*(G$3:G$102=G84)*(J$3:J$102&gt;J84))+1,IF(M84="P",SUMPRODUCT((O$3:O$102&lt;&gt;"")*(P$3:P$102="")*(G$3:G$102=G84))+SUMPRODUCT((P$3:P$102&lt;&gt;"")*(G$3:G$102=G84))+SUMPRODUCT((N$3:N$102&lt;&gt;"")*(G$3:G$102=G84))+SUMPRODUCT((P$3:P$102="")*(O$3:O$102="")*(N$3:N$102="")*(M$3:M$102="P")*(G$3:G$102=G84)*(J$3:J$102&gt;J84))+IF(H84="L5",SUMPRODUCT((P$3:P$102="")*(O$3:O$102="")*(N$3:N$102="")*(M$3:M$102="P")*(G$3:G$102=G84)*(J$3:J$102&lt;J84)*(H$3:H$102&lt;&gt;H84)),-1*SUMPRODUCT((P$3:P$102="")*(O$3:O$102="")*(N$3:N$102="")*(M$3:M$102="P")*(G$3:G$102=G84)*(J$3:J$102&gt;J84)*(H$3:H$102="L5")))+1,""))))</f>
        <v/>
      </c>
      <c r="C84" s="35" t="s">
        <v>415</v>
      </c>
      <c r="D84" t="str">
        <f>IF(E84="","",VLOOKUP(E84,'Coaching Points'!A:B,2,0))</f>
        <v>AB</v>
      </c>
      <c r="E84" s="35" t="s">
        <v>39</v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IF(AND(B84&lt;5,I84="P"),IF(_xlfn.MAXIFS(B:B,G:G,G84)&gt;3,5-B84,_xlfn.MAXIFS(B:B,G:G,G84)+1-B84),"")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$102&lt;&gt;"")*(G$3:G$102=G85)*(J$3:J$102&gt;J85)*(I$3:I$102="P"))+1,IF(O85&lt;&gt;"",SUMPRODUCT((O$3:O$102&lt;&gt;"")*(P$3:P$102="")*(G$3:G$102=G85)*(J$3:J$102&gt;J85)*(I$3:I$102="P"))+SUMPRODUCT((P$3:P$102&lt;&gt;"")*(G$3:G$102=G85)*(I$3:I$102="P"))+1,IF(N85&lt;&gt;"",SUMPRODUCT((N$3:N$102&lt;&gt;"")*(G$3:G$102=G85)*(J$3:J$102&gt;J85)*(I$3:I$102="P"))+1,IF(M85="P",SUMPRODUCT((O$3:O$102&lt;&gt;"")*(P$3:P$102="")*(G$3:G$102=G85)*(I$3:I$102="P"))+SUMPRODUCT((P$3:P$102&lt;&gt;"")*(G$3:G$102=G85)*(I$3:I$102="P"))+SUMPRODUCT((N$3:N$102&lt;&gt;"")*(G$3:G$102=G85)*(I$3:I$102="P"))+SUMPRODUCT((P$3:P$102="")*(O$3:O$102="")*(N$3:N$102="")*(M$3:M$102="P")*(G$3:G$102=G85)*(J$3:J$102&gt;J85)*(I$3:I$102="P"))+IF(H85="L5",SUMPRODUCT((P$3:P$102="")*(O$3:O$102="")*(N$3:N$102="")*(M$3:M$102="P")*(G$3:G$102=G85)*(J$3:J$102&lt;J85)*(H$3:H$102&lt;&gt;H85)*(I$3:I$102="P")),-1*SUMPRODUCT((P$3:P$102="")*(O$3:O$102="")*(N$3:N$102="")*(M$3:M$102="P")*(G$3:G$102=G85)*(J$3:J$102&gt;J85)*(H$3:H$102="L5")*(I$3:I$102="P")))+1,"")))))</f>
        <v/>
      </c>
      <c r="B85" s="1" t="str" cm="1">
        <f t="array" ref="B85">IF(P85&lt;&gt;"",SUMPRODUCT((P$3:P$102&lt;&gt;"")*(G$3:G$102=G85)*(J$3:J$102&gt;J85))+1,IF(O85&lt;&gt;"",SUMPRODUCT((O$3:O$102&lt;&gt;"")*(P$3:P$102="")*(G$3:G$102=G85)*(J$3:J$102&gt;J85))+SUMPRODUCT((P$3:P$102&lt;&gt;"")*(G$3:G$102=G85))+1,IF(N85&lt;&gt;"",SUMPRODUCT((N$3:N$102&lt;&gt;"")*(G$3:G$102=G85)*(J$3:J$102&gt;J85))+1,IF(M85="P",SUMPRODUCT((O$3:O$102&lt;&gt;"")*(P$3:P$102="")*(G$3:G$102=G85))+SUMPRODUCT((P$3:P$102&lt;&gt;"")*(G$3:G$102=G85))+SUMPRODUCT((N$3:N$102&lt;&gt;"")*(G$3:G$102=G85))+SUMPRODUCT((P$3:P$102="")*(O$3:O$102="")*(N$3:N$102="")*(M$3:M$102="P")*(G$3:G$102=G85)*(J$3:J$102&gt;J85))+IF(H85="L5",SUMPRODUCT((P$3:P$102="")*(O$3:O$102="")*(N$3:N$102="")*(M$3:M$102="P")*(G$3:G$102=G85)*(J$3:J$102&lt;J85)*(H$3:H$102&lt;&gt;H85)),-1*SUMPRODUCT((P$3:P$102="")*(O$3:O$102="")*(N$3:N$102="")*(M$3:M$102="P")*(G$3:G$102=G85)*(J$3:J$102&gt;J85)*(H$3:H$102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IF(AND(B85&lt;5,I85="P"),IF(_xlfn.MAXIFS(B:B,G:G,G85)&gt;3,5-B85,_xlfn.MAXIFS(B:B,G:G,G85)+1-B85),"")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$102&lt;&gt;"")*(G$3:G$102=G86)*(J$3:J$102&gt;J86)*(I$3:I$102="P"))+1,IF(O86&lt;&gt;"",SUMPRODUCT((O$3:O$102&lt;&gt;"")*(P$3:P$102="")*(G$3:G$102=G86)*(J$3:J$102&gt;J86)*(I$3:I$102="P"))+SUMPRODUCT((P$3:P$102&lt;&gt;"")*(G$3:G$102=G86)*(I$3:I$102="P"))+1,IF(N86&lt;&gt;"",SUMPRODUCT((N$3:N$102&lt;&gt;"")*(G$3:G$102=G86)*(J$3:J$102&gt;J86)*(I$3:I$102="P"))+1,IF(M86="P",SUMPRODUCT((O$3:O$102&lt;&gt;"")*(P$3:P$102="")*(G$3:G$102=G86)*(I$3:I$102="P"))+SUMPRODUCT((P$3:P$102&lt;&gt;"")*(G$3:G$102=G86)*(I$3:I$102="P"))+SUMPRODUCT((N$3:N$102&lt;&gt;"")*(G$3:G$102=G86)*(I$3:I$102="P"))+SUMPRODUCT((P$3:P$102="")*(O$3:O$102="")*(N$3:N$102="")*(M$3:M$102="P")*(G$3:G$102=G86)*(J$3:J$102&gt;J86)*(I$3:I$102="P"))+IF(H86="L5",SUMPRODUCT((P$3:P$102="")*(O$3:O$102="")*(N$3:N$102="")*(M$3:M$102="P")*(G$3:G$102=G86)*(J$3:J$102&lt;J86)*(H$3:H$102&lt;&gt;H86)*(I$3:I$102="P")),-1*SUMPRODUCT((P$3:P$102="")*(O$3:O$102="")*(N$3:N$102="")*(M$3:M$102="P")*(G$3:G$102=G86)*(J$3:J$102&gt;J86)*(H$3:H$102="L5")*(I$3:I$102="P")))+1,"")))))</f>
        <v/>
      </c>
      <c r="B86" s="1" t="str" cm="1">
        <f t="array" ref="B86">IF(P86&lt;&gt;"",SUMPRODUCT((P$3:P$102&lt;&gt;"")*(G$3:G$102=G86)*(J$3:J$102&gt;J86))+1,IF(O86&lt;&gt;"",SUMPRODUCT((O$3:O$102&lt;&gt;"")*(P$3:P$102="")*(G$3:G$102=G86)*(J$3:J$102&gt;J86))+SUMPRODUCT((P$3:P$102&lt;&gt;"")*(G$3:G$102=G86))+1,IF(N86&lt;&gt;"",SUMPRODUCT((N$3:N$102&lt;&gt;"")*(G$3:G$102=G86)*(J$3:J$102&gt;J86))+1,IF(M86="P",SUMPRODUCT((O$3:O$102&lt;&gt;"")*(P$3:P$102="")*(G$3:G$102=G86))+SUMPRODUCT((P$3:P$102&lt;&gt;"")*(G$3:G$102=G86))+SUMPRODUCT((N$3:N$102&lt;&gt;"")*(G$3:G$102=G86))+SUMPRODUCT((P$3:P$102="")*(O$3:O$102="")*(N$3:N$102="")*(M$3:M$102="P")*(G$3:G$102=G86)*(J$3:J$102&gt;J86))+IF(H86="L5",SUMPRODUCT((P$3:P$102="")*(O$3:O$102="")*(N$3:N$102="")*(M$3:M$102="P")*(G$3:G$102=G86)*(J$3:J$102&lt;J86)*(H$3:H$102&lt;&gt;H86)),-1*SUMPRODUCT((P$3:P$102="")*(O$3:O$102="")*(N$3:N$102="")*(M$3:M$102="P")*(G$3:G$102=G86)*(J$3:J$102&gt;J86)*(H$3:H$102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IF(AND(B86&lt;5,I86="P"),IF(_xlfn.MAXIFS(B:B,G:G,G86)&gt;3,5-B86,_xlfn.MAXIFS(B:B,G:G,G86)+1-B86),"")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$102&lt;&gt;"")*(G$3:G$102=G87)*(J$3:J$102&gt;J87)*(I$3:I$102="P"))+1,IF(O87&lt;&gt;"",SUMPRODUCT((O$3:O$102&lt;&gt;"")*(P$3:P$102="")*(G$3:G$102=G87)*(J$3:J$102&gt;J87)*(I$3:I$102="P"))+SUMPRODUCT((P$3:P$102&lt;&gt;"")*(G$3:G$102=G87)*(I$3:I$102="P"))+1,IF(N87&lt;&gt;"",SUMPRODUCT((N$3:N$102&lt;&gt;"")*(G$3:G$102=G87)*(J$3:J$102&gt;J87)*(I$3:I$102="P"))+1,IF(M87="P",SUMPRODUCT((O$3:O$102&lt;&gt;"")*(P$3:P$102="")*(G$3:G$102=G87)*(I$3:I$102="P"))+SUMPRODUCT((P$3:P$102&lt;&gt;"")*(G$3:G$102=G87)*(I$3:I$102="P"))+SUMPRODUCT((N$3:N$102&lt;&gt;"")*(G$3:G$102=G87)*(I$3:I$102="P"))+SUMPRODUCT((P$3:P$102="")*(O$3:O$102="")*(N$3:N$102="")*(M$3:M$102="P")*(G$3:G$102=G87)*(J$3:J$102&gt;J87)*(I$3:I$102="P"))+IF(H87="L5",SUMPRODUCT((P$3:P$102="")*(O$3:O$102="")*(N$3:N$102="")*(M$3:M$102="P")*(G$3:G$102=G87)*(J$3:J$102&lt;J87)*(H$3:H$102&lt;&gt;H87)*(I$3:I$102="P")),-1*SUMPRODUCT((P$3:P$102="")*(O$3:O$102="")*(N$3:N$102="")*(M$3:M$102="P")*(G$3:G$102=G87)*(J$3:J$102&gt;J87)*(H$3:H$102="L5")*(I$3:I$102="P")))+1,"")))))</f>
        <v/>
      </c>
      <c r="B87" s="1" t="str" cm="1">
        <f t="array" ref="B87">IF(P87&lt;&gt;"",SUMPRODUCT((P$3:P$102&lt;&gt;"")*(G$3:G$102=G87)*(J$3:J$102&gt;J87))+1,IF(O87&lt;&gt;"",SUMPRODUCT((O$3:O$102&lt;&gt;"")*(P$3:P$102="")*(G$3:G$102=G87)*(J$3:J$102&gt;J87))+SUMPRODUCT((P$3:P$102&lt;&gt;"")*(G$3:G$102=G87))+1,IF(N87&lt;&gt;"",SUMPRODUCT((N$3:N$102&lt;&gt;"")*(G$3:G$102=G87)*(J$3:J$102&gt;J87))+1,IF(M87="P",SUMPRODUCT((O$3:O$102&lt;&gt;"")*(P$3:P$102="")*(G$3:G$102=G87))+SUMPRODUCT((P$3:P$102&lt;&gt;"")*(G$3:G$102=G87))+SUMPRODUCT((N$3:N$102&lt;&gt;"")*(G$3:G$102=G87))+SUMPRODUCT((P$3:P$102="")*(O$3:O$102="")*(N$3:N$102="")*(M$3:M$102="P")*(G$3:G$102=G87)*(J$3:J$102&gt;J87))+IF(H87="L5",SUMPRODUCT((P$3:P$102="")*(O$3:O$102="")*(N$3:N$102="")*(M$3:M$102="P")*(G$3:G$102=G87)*(J$3:J$102&lt;J87)*(H$3:H$102&lt;&gt;H87)),-1*SUMPRODUCT((P$3:P$102="")*(O$3:O$102="")*(N$3:N$102="")*(M$3:M$102="P")*(G$3:G$102=G87)*(J$3:J$102&gt;J87)*(H$3:H$102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IF(AND(B87&lt;5,I87="P"),IF(_xlfn.MAXIFS(B:B,G:G,G87)&gt;3,5-B87,_xlfn.MAXIFS(B:B,G:G,G87)+1-B87),"")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$102&lt;&gt;"")*(G$3:G$102=G88)*(J$3:J$102&gt;J88)*(I$3:I$102="P"))+1,IF(O88&lt;&gt;"",SUMPRODUCT((O$3:O$102&lt;&gt;"")*(P$3:P$102="")*(G$3:G$102=G88)*(J$3:J$102&gt;J88)*(I$3:I$102="P"))+SUMPRODUCT((P$3:P$102&lt;&gt;"")*(G$3:G$102=G88)*(I$3:I$102="P"))+1,IF(N88&lt;&gt;"",SUMPRODUCT((N$3:N$102&lt;&gt;"")*(G$3:G$102=G88)*(J$3:J$102&gt;J88)*(I$3:I$102="P"))+1,IF(M88="P",SUMPRODUCT((O$3:O$102&lt;&gt;"")*(P$3:P$102="")*(G$3:G$102=G88)*(I$3:I$102="P"))+SUMPRODUCT((P$3:P$102&lt;&gt;"")*(G$3:G$102=G88)*(I$3:I$102="P"))+SUMPRODUCT((N$3:N$102&lt;&gt;"")*(G$3:G$102=G88)*(I$3:I$102="P"))+SUMPRODUCT((P$3:P$102="")*(O$3:O$102="")*(N$3:N$102="")*(M$3:M$102="P")*(G$3:G$102=G88)*(J$3:J$102&gt;J88)*(I$3:I$102="P"))+IF(H88="L5",SUMPRODUCT((P$3:P$102="")*(O$3:O$102="")*(N$3:N$102="")*(M$3:M$102="P")*(G$3:G$102=G88)*(J$3:J$102&lt;J88)*(H$3:H$102&lt;&gt;H88)*(I$3:I$102="P")),-1*SUMPRODUCT((P$3:P$102="")*(O$3:O$102="")*(N$3:N$102="")*(M$3:M$102="P")*(G$3:G$102=G88)*(J$3:J$102&gt;J88)*(H$3:H$102="L5")*(I$3:I$102="P")))+1,"")))))</f>
        <v/>
      </c>
      <c r="B88" s="1" t="str" cm="1">
        <f t="array" ref="B88">IF(P88&lt;&gt;"",SUMPRODUCT((P$3:P$102&lt;&gt;"")*(G$3:G$102=G88)*(J$3:J$102&gt;J88))+1,IF(O88&lt;&gt;"",SUMPRODUCT((O$3:O$102&lt;&gt;"")*(P$3:P$102="")*(G$3:G$102=G88)*(J$3:J$102&gt;J88))+SUMPRODUCT((P$3:P$102&lt;&gt;"")*(G$3:G$102=G88))+1,IF(N88&lt;&gt;"",SUMPRODUCT((N$3:N$102&lt;&gt;"")*(G$3:G$102=G88)*(J$3:J$102&gt;J88))+1,IF(M88="P",SUMPRODUCT((O$3:O$102&lt;&gt;"")*(P$3:P$102="")*(G$3:G$102=G88))+SUMPRODUCT((P$3:P$102&lt;&gt;"")*(G$3:G$102=G88))+SUMPRODUCT((N$3:N$102&lt;&gt;"")*(G$3:G$102=G88))+SUMPRODUCT((P$3:P$102="")*(O$3:O$102="")*(N$3:N$102="")*(M$3:M$102="P")*(G$3:G$102=G88)*(J$3:J$102&gt;J88))+IF(H88="L5",SUMPRODUCT((P$3:P$102="")*(O$3:O$102="")*(N$3:N$102="")*(M$3:M$102="P")*(G$3:G$102=G88)*(J$3:J$102&lt;J88)*(H$3:H$102&lt;&gt;H88)),-1*SUMPRODUCT((P$3:P$102="")*(O$3:O$102="")*(N$3:N$102="")*(M$3:M$102="P")*(G$3:G$102=G88)*(J$3:J$102&gt;J88)*(H$3:H$102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IF(AND(B88&lt;5,I88="P"),IF(_xlfn.MAXIFS(B:B,G:G,G88)&gt;3,5-B88,_xlfn.MAXIFS(B:B,G:G,G88)+1-B88),"")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$102&lt;&gt;"")*(G$3:G$102=G89)*(J$3:J$102&gt;J89)*(I$3:I$102="P"))+1,IF(O89&lt;&gt;"",SUMPRODUCT((O$3:O$102&lt;&gt;"")*(P$3:P$102="")*(G$3:G$102=G89)*(J$3:J$102&gt;J89)*(I$3:I$102="P"))+SUMPRODUCT((P$3:P$102&lt;&gt;"")*(G$3:G$102=G89)*(I$3:I$102="P"))+1,IF(N89&lt;&gt;"",SUMPRODUCT((N$3:N$102&lt;&gt;"")*(G$3:G$102=G89)*(J$3:J$102&gt;J89)*(I$3:I$102="P"))+1,IF(M89="P",SUMPRODUCT((O$3:O$102&lt;&gt;"")*(P$3:P$102="")*(G$3:G$102=G89)*(I$3:I$102="P"))+SUMPRODUCT((P$3:P$102&lt;&gt;"")*(G$3:G$102=G89)*(I$3:I$102="P"))+SUMPRODUCT((N$3:N$102&lt;&gt;"")*(G$3:G$102=G89)*(I$3:I$102="P"))+SUMPRODUCT((P$3:P$102="")*(O$3:O$102="")*(N$3:N$102="")*(M$3:M$102="P")*(G$3:G$102=G89)*(J$3:J$102&gt;J89)*(I$3:I$102="P"))+IF(H89="L5",SUMPRODUCT((P$3:P$102="")*(O$3:O$102="")*(N$3:N$102="")*(M$3:M$102="P")*(G$3:G$102=G89)*(J$3:J$102&lt;J89)*(H$3:H$102&lt;&gt;H89)*(I$3:I$102="P")),-1*SUMPRODUCT((P$3:P$102="")*(O$3:O$102="")*(N$3:N$102="")*(M$3:M$102="P")*(G$3:G$102=G89)*(J$3:J$102&gt;J89)*(H$3:H$102="L5")*(I$3:I$102="P")))+1,"")))))</f>
        <v/>
      </c>
      <c r="B89" s="1" t="str" cm="1">
        <f t="array" ref="B89">IF(P89&lt;&gt;"",SUMPRODUCT((P$3:P$102&lt;&gt;"")*(G$3:G$102=G89)*(J$3:J$102&gt;J89))+1,IF(O89&lt;&gt;"",SUMPRODUCT((O$3:O$102&lt;&gt;"")*(P$3:P$102="")*(G$3:G$102=G89)*(J$3:J$102&gt;J89))+SUMPRODUCT((P$3:P$102&lt;&gt;"")*(G$3:G$102=G89))+1,IF(N89&lt;&gt;"",SUMPRODUCT((N$3:N$102&lt;&gt;"")*(G$3:G$102=G89)*(J$3:J$102&gt;J89))+1,IF(M89="P",SUMPRODUCT((O$3:O$102&lt;&gt;"")*(P$3:P$102="")*(G$3:G$102=G89))+SUMPRODUCT((P$3:P$102&lt;&gt;"")*(G$3:G$102=G89))+SUMPRODUCT((N$3:N$102&lt;&gt;"")*(G$3:G$102=G89))+SUMPRODUCT((P$3:P$102="")*(O$3:O$102="")*(N$3:N$102="")*(M$3:M$102="P")*(G$3:G$102=G89)*(J$3:J$102&gt;J89))+IF(H89="L5",SUMPRODUCT((P$3:P$102="")*(O$3:O$102="")*(N$3:N$102="")*(M$3:M$102="P")*(G$3:G$102=G89)*(J$3:J$102&lt;J89)*(H$3:H$102&lt;&gt;H89)),-1*SUMPRODUCT((P$3:P$102="")*(O$3:O$102="")*(N$3:N$102="")*(M$3:M$102="P")*(G$3:G$102=G89)*(J$3:J$102&gt;J89)*(H$3:H$102="L5")))+1,""))))</f>
        <v/>
      </c>
      <c r="C89" s="35" t="s">
        <v>416</v>
      </c>
      <c r="D89" t="str">
        <f>IF(E89="","",VLOOKUP(E89,'Coaching Points'!A:B,2,0))</f>
        <v>QC</v>
      </c>
      <c r="E89" s="35" t="s">
        <v>125</v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IF(AND(B89&lt;5,I89="P"),IF(_xlfn.MAXIFS(B:B,G:G,G89)&gt;3,5-B89,_xlfn.MAXIFS(B:B,G:G,G89)+1-B89),"")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$102&lt;&gt;"")*(G$3:G$102=G90)*(J$3:J$102&gt;J90)*(I$3:I$102="P"))+1,IF(O90&lt;&gt;"",SUMPRODUCT((O$3:O$102&lt;&gt;"")*(P$3:P$102="")*(G$3:G$102=G90)*(J$3:J$102&gt;J90)*(I$3:I$102="P"))+SUMPRODUCT((P$3:P$102&lt;&gt;"")*(G$3:G$102=G90)*(I$3:I$102="P"))+1,IF(N90&lt;&gt;"",SUMPRODUCT((N$3:N$102&lt;&gt;"")*(G$3:G$102=G90)*(J$3:J$102&gt;J90)*(I$3:I$102="P"))+1,IF(M90="P",SUMPRODUCT((O$3:O$102&lt;&gt;"")*(P$3:P$102="")*(G$3:G$102=G90)*(I$3:I$102="P"))+SUMPRODUCT((P$3:P$102&lt;&gt;"")*(G$3:G$102=G90)*(I$3:I$102="P"))+SUMPRODUCT((N$3:N$102&lt;&gt;"")*(G$3:G$102=G90)*(I$3:I$102="P"))+SUMPRODUCT((P$3:P$102="")*(O$3:O$102="")*(N$3:N$102="")*(M$3:M$102="P")*(G$3:G$102=G90)*(J$3:J$102&gt;J90)*(I$3:I$102="P"))+IF(H90="L5",SUMPRODUCT((P$3:P$102="")*(O$3:O$102="")*(N$3:N$102="")*(M$3:M$102="P")*(G$3:G$102=G90)*(J$3:J$102&lt;J90)*(H$3:H$102&lt;&gt;H90)*(I$3:I$102="P")),-1*SUMPRODUCT((P$3:P$102="")*(O$3:O$102="")*(N$3:N$102="")*(M$3:M$102="P")*(G$3:G$102=G90)*(J$3:J$102&gt;J90)*(H$3:H$102="L5")*(I$3:I$102="P")))+1,"")))))</f>
        <v/>
      </c>
      <c r="B90" s="1" t="str" cm="1">
        <f t="array" ref="B90">IF(P90&lt;&gt;"",SUMPRODUCT((P$3:P$102&lt;&gt;"")*(G$3:G$102=G90)*(J$3:J$102&gt;J90))+1,IF(O90&lt;&gt;"",SUMPRODUCT((O$3:O$102&lt;&gt;"")*(P$3:P$102="")*(G$3:G$102=G90)*(J$3:J$102&gt;J90))+SUMPRODUCT((P$3:P$102&lt;&gt;"")*(G$3:G$102=G90))+1,IF(N90&lt;&gt;"",SUMPRODUCT((N$3:N$102&lt;&gt;"")*(G$3:G$102=G90)*(J$3:J$102&gt;J90))+1,IF(M90="P",SUMPRODUCT((O$3:O$102&lt;&gt;"")*(P$3:P$102="")*(G$3:G$102=G90))+SUMPRODUCT((P$3:P$102&lt;&gt;"")*(G$3:G$102=G90))+SUMPRODUCT((N$3:N$102&lt;&gt;"")*(G$3:G$102=G90))+SUMPRODUCT((P$3:P$102="")*(O$3:O$102="")*(N$3:N$102="")*(M$3:M$102="P")*(G$3:G$102=G90)*(J$3:J$102&gt;J90))+IF(H90="L5",SUMPRODUCT((P$3:P$102="")*(O$3:O$102="")*(N$3:N$102="")*(M$3:M$102="P")*(G$3:G$102=G90)*(J$3:J$102&lt;J90)*(H$3:H$102&lt;&gt;H90)),-1*SUMPRODUCT((P$3:P$102="")*(O$3:O$102="")*(N$3:N$102="")*(M$3:M$102="P")*(G$3:G$102=G90)*(J$3:J$102&gt;J90)*(H$3:H$102="L5")))+1,""))))</f>
        <v/>
      </c>
      <c r="C90" s="35" t="s">
        <v>417</v>
      </c>
      <c r="D90" t="str">
        <f>IF(E90="","",VLOOKUP(E90,'Coaching Points'!A:B,2,0))</f>
        <v>QC</v>
      </c>
      <c r="E90" s="35" t="s">
        <v>3</v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IF(AND(B90&lt;5,I90="P"),IF(_xlfn.MAXIFS(B:B,G:G,G90)&gt;3,5-B90,_xlfn.MAXIFS(B:B,G:G,G90)+1-B90),"")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$102&lt;&gt;"")*(G$3:G$102=G91)*(J$3:J$102&gt;J91)*(I$3:I$102="P"))+1,IF(O91&lt;&gt;"",SUMPRODUCT((O$3:O$102&lt;&gt;"")*(P$3:P$102="")*(G$3:G$102=G91)*(J$3:J$102&gt;J91)*(I$3:I$102="P"))+SUMPRODUCT((P$3:P$102&lt;&gt;"")*(G$3:G$102=G91)*(I$3:I$102="P"))+1,IF(N91&lt;&gt;"",SUMPRODUCT((N$3:N$102&lt;&gt;"")*(G$3:G$102=G91)*(J$3:J$102&gt;J91)*(I$3:I$102="P"))+1,IF(M91="P",SUMPRODUCT((O$3:O$102&lt;&gt;"")*(P$3:P$102="")*(G$3:G$102=G91)*(I$3:I$102="P"))+SUMPRODUCT((P$3:P$102&lt;&gt;"")*(G$3:G$102=G91)*(I$3:I$102="P"))+SUMPRODUCT((N$3:N$102&lt;&gt;"")*(G$3:G$102=G91)*(I$3:I$102="P"))+SUMPRODUCT((P$3:P$102="")*(O$3:O$102="")*(N$3:N$102="")*(M$3:M$102="P")*(G$3:G$102=G91)*(J$3:J$102&gt;J91)*(I$3:I$102="P"))+IF(H91="L5",SUMPRODUCT((P$3:P$102="")*(O$3:O$102="")*(N$3:N$102="")*(M$3:M$102="P")*(G$3:G$102=G91)*(J$3:J$102&lt;J91)*(H$3:H$102&lt;&gt;H91)*(I$3:I$102="P")),-1*SUMPRODUCT((P$3:P$102="")*(O$3:O$102="")*(N$3:N$102="")*(M$3:M$102="P")*(G$3:G$102=G91)*(J$3:J$102&gt;J91)*(H$3:H$102="L5")*(I$3:I$102="P")))+1,"")))))</f>
        <v/>
      </c>
      <c r="B91" s="1" t="str" cm="1">
        <f t="array" ref="B91">IF(P91&lt;&gt;"",SUMPRODUCT((P$3:P$102&lt;&gt;"")*(G$3:G$102=G91)*(J$3:J$102&gt;J91))+1,IF(O91&lt;&gt;"",SUMPRODUCT((O$3:O$102&lt;&gt;"")*(P$3:P$102="")*(G$3:G$102=G91)*(J$3:J$102&gt;J91))+SUMPRODUCT((P$3:P$102&lt;&gt;"")*(G$3:G$102=G91))+1,IF(N91&lt;&gt;"",SUMPRODUCT((N$3:N$102&lt;&gt;"")*(G$3:G$102=G91)*(J$3:J$102&gt;J91))+1,IF(M91="P",SUMPRODUCT((O$3:O$102&lt;&gt;"")*(P$3:P$102="")*(G$3:G$102=G91))+SUMPRODUCT((P$3:P$102&lt;&gt;"")*(G$3:G$102=G91))+SUMPRODUCT((N$3:N$102&lt;&gt;"")*(G$3:G$102=G91))+SUMPRODUCT((P$3:P$102="")*(O$3:O$102="")*(N$3:N$102="")*(M$3:M$102="P")*(G$3:G$102=G91)*(J$3:J$102&gt;J91))+IF(H91="L5",SUMPRODUCT((P$3:P$102="")*(O$3:O$102="")*(N$3:N$102="")*(M$3:M$102="P")*(G$3:G$102=G91)*(J$3:J$102&lt;J91)*(H$3:H$102&lt;&gt;H91)),-1*SUMPRODUCT((P$3:P$102="")*(O$3:O$102="")*(N$3:N$102="")*(M$3:M$102="P")*(G$3:G$102=G91)*(J$3:J$102&gt;J91)*(H$3:H$102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IF(AND(B91&lt;5,I91="P"),IF(_xlfn.MAXIFS(B:B,G:G,G91)&gt;3,5-B91,_xlfn.MAXIFS(B:B,G:G,G91)+1-B91),"")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$102&lt;&gt;"")*(G$3:G$102=G92)*(J$3:J$102&gt;J92)*(I$3:I$102="P"))+1,IF(O92&lt;&gt;"",SUMPRODUCT((O$3:O$102&lt;&gt;"")*(P$3:P$102="")*(G$3:G$102=G92)*(J$3:J$102&gt;J92)*(I$3:I$102="P"))+SUMPRODUCT((P$3:P$102&lt;&gt;"")*(G$3:G$102=G92)*(I$3:I$102="P"))+1,IF(N92&lt;&gt;"",SUMPRODUCT((N$3:N$102&lt;&gt;"")*(G$3:G$102=G92)*(J$3:J$102&gt;J92)*(I$3:I$102="P"))+1,IF(M92="P",SUMPRODUCT((O$3:O$102&lt;&gt;"")*(P$3:P$102="")*(G$3:G$102=G92)*(I$3:I$102="P"))+SUMPRODUCT((P$3:P$102&lt;&gt;"")*(G$3:G$102=G92)*(I$3:I$102="P"))+SUMPRODUCT((N$3:N$102&lt;&gt;"")*(G$3:G$102=G92)*(I$3:I$102="P"))+SUMPRODUCT((P$3:P$102="")*(O$3:O$102="")*(N$3:N$102="")*(M$3:M$102="P")*(G$3:G$102=G92)*(J$3:J$102&gt;J92)*(I$3:I$102="P"))+IF(H92="L5",SUMPRODUCT((P$3:P$102="")*(O$3:O$102="")*(N$3:N$102="")*(M$3:M$102="P")*(G$3:G$102=G92)*(J$3:J$102&lt;J92)*(H$3:H$102&lt;&gt;H92)*(I$3:I$102="P")),-1*SUMPRODUCT((P$3:P$102="")*(O$3:O$102="")*(N$3:N$102="")*(M$3:M$102="P")*(G$3:G$102=G92)*(J$3:J$102&gt;J92)*(H$3:H$102="L5")*(I$3:I$102="P")))+1,"")))))</f>
        <v/>
      </c>
      <c r="B92" s="1" t="str" cm="1">
        <f t="array" ref="B92">IF(P92&lt;&gt;"",SUMPRODUCT((P$3:P$102&lt;&gt;"")*(G$3:G$102=G92)*(J$3:J$102&gt;J92))+1,IF(O92&lt;&gt;"",SUMPRODUCT((O$3:O$102&lt;&gt;"")*(P$3:P$102="")*(G$3:G$102=G92)*(J$3:J$102&gt;J92))+SUMPRODUCT((P$3:P$102&lt;&gt;"")*(G$3:G$102=G92))+1,IF(N92&lt;&gt;"",SUMPRODUCT((N$3:N$102&lt;&gt;"")*(G$3:G$102=G92)*(J$3:J$102&gt;J92))+1,IF(M92="P",SUMPRODUCT((O$3:O$102&lt;&gt;"")*(P$3:P$102="")*(G$3:G$102=G92))+SUMPRODUCT((P$3:P$102&lt;&gt;"")*(G$3:G$102=G92))+SUMPRODUCT((N$3:N$102&lt;&gt;"")*(G$3:G$102=G92))+SUMPRODUCT((P$3:P$102="")*(O$3:O$102="")*(N$3:N$102="")*(M$3:M$102="P")*(G$3:G$102=G92)*(J$3:J$102&gt;J92))+IF(H92="L5",SUMPRODUCT((P$3:P$102="")*(O$3:O$102="")*(N$3:N$102="")*(M$3:M$102="P")*(G$3:G$102=G92)*(J$3:J$102&lt;J92)*(H$3:H$102&lt;&gt;H92)),-1*SUMPRODUCT((P$3:P$102="")*(O$3:O$102="")*(N$3:N$102="")*(M$3:M$102="P")*(G$3:G$102=G92)*(J$3:J$102&gt;J92)*(H$3:H$102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IF(AND(B92&lt;5,I92="P"),IF(_xlfn.MAXIFS(B:B,G:G,G92)&gt;3,5-B92,_xlfn.MAXIFS(B:B,G:G,G92)+1-B92),"")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cm="1">
        <f t="array" ref="A93">IF(I93="","",IF(P93&lt;&gt;"",SUMPRODUCT((P$3:P$102&lt;&gt;"")*(G$3:G$102=G93)*(J$3:J$102&gt;J93)*(I$3:I$102="P"))+1,IF(O93&lt;&gt;"",SUMPRODUCT((O$3:O$102&lt;&gt;"")*(P$3:P$102="")*(G$3:G$102=G93)*(J$3:J$102&gt;J93)*(I$3:I$102="P"))+SUMPRODUCT((P$3:P$102&lt;&gt;"")*(G$3:G$102=G93)*(I$3:I$102="P"))+1,IF(N93&lt;&gt;"",SUMPRODUCT((N$3:N$102&lt;&gt;"")*(G$3:G$102=G93)*(J$3:J$102&gt;J93)*(I$3:I$102="P"))+1,IF(M93="P",SUMPRODUCT((O$3:O$102&lt;&gt;"")*(P$3:P$102="")*(G$3:G$102=G93)*(I$3:I$102="P"))+SUMPRODUCT((P$3:P$102&lt;&gt;"")*(G$3:G$102=G93)*(I$3:I$102="P"))+SUMPRODUCT((N$3:N$102&lt;&gt;"")*(G$3:G$102=G93)*(I$3:I$102="P"))+SUMPRODUCT((P$3:P$102="")*(O$3:O$102="")*(N$3:N$102="")*(M$3:M$102="P")*(G$3:G$102=G93)*(J$3:J$102&gt;J93)*(I$3:I$102="P"))+IF(H93="L5",SUMPRODUCT((P$3:P$102="")*(O$3:O$102="")*(N$3:N$102="")*(M$3:M$102="P")*(G$3:G$102=G93)*(J$3:J$102&lt;J93)*(H$3:H$102&lt;&gt;H93)*(I$3:I$102="P")),-1*SUMPRODUCT((P$3:P$102="")*(O$3:O$102="")*(N$3:N$102="")*(M$3:M$102="P")*(G$3:G$102=G93)*(J$3:J$102&gt;J93)*(H$3:H$102="L5")*(I$3:I$102="P")))+1,"")))))</f>
        <v>1</v>
      </c>
      <c r="B93" s="1" cm="1">
        <f t="array" ref="B93">IF(P93&lt;&gt;"",SUMPRODUCT((P$3:P$102&lt;&gt;"")*(G$3:G$102=G93)*(J$3:J$102&gt;J93))+1,IF(O93&lt;&gt;"",SUMPRODUCT((O$3:O$102&lt;&gt;"")*(P$3:P$102="")*(G$3:G$102=G93)*(J$3:J$102&gt;J93))+SUMPRODUCT((P$3:P$102&lt;&gt;"")*(G$3:G$102=G93))+1,IF(N93&lt;&gt;"",SUMPRODUCT((N$3:N$102&lt;&gt;"")*(G$3:G$102=G93)*(J$3:J$102&gt;J93))+1,IF(M93="P",SUMPRODUCT((O$3:O$102&lt;&gt;"")*(P$3:P$102="")*(G$3:G$102=G93))+SUMPRODUCT((P$3:P$102&lt;&gt;"")*(G$3:G$102=G93))+SUMPRODUCT((N$3:N$102&lt;&gt;"")*(G$3:G$102=G93))+SUMPRODUCT((P$3:P$102="")*(O$3:O$102="")*(N$3:N$102="")*(M$3:M$102="P")*(G$3:G$102=G93)*(J$3:J$102&gt;J93))+IF(H93="L5",SUMPRODUCT((P$3:P$102="")*(O$3:O$102="")*(N$3:N$102="")*(M$3:M$102="P")*(G$3:G$102=G93)*(J$3:J$102&lt;J93)*(H$3:H$102&lt;&gt;H93)),-1*SUMPRODUCT((P$3:P$102="")*(O$3:O$102="")*(N$3:N$102="")*(M$3:M$102="P")*(G$3:G$102=G93)*(J$3:J$102&gt;J93)*(H$3:H$102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 t="s">
        <v>507</v>
      </c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>
        <f>IF(AND(B93&lt;5,I93="P"),IF(_xlfn.MAXIFS(B:B,G:G,G93)&gt;3,5-B93,_xlfn.MAXIFS(B:B,G:G,G93)+1-B93),"")</f>
        <v>1</v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$102&lt;&gt;"")*(G$3:G$102=G94)*(J$3:J$102&gt;J94)*(I$3:I$102="P"))+1,IF(O94&lt;&gt;"",SUMPRODUCT((O$3:O$102&lt;&gt;"")*(P$3:P$102="")*(G$3:G$102=G94)*(J$3:J$102&gt;J94)*(I$3:I$102="P"))+SUMPRODUCT((P$3:P$102&lt;&gt;"")*(G$3:G$102=G94)*(I$3:I$102="P"))+1,IF(N94&lt;&gt;"",SUMPRODUCT((N$3:N$102&lt;&gt;"")*(G$3:G$102=G94)*(J$3:J$102&gt;J94)*(I$3:I$102="P"))+1,IF(M94="P",SUMPRODUCT((O$3:O$102&lt;&gt;"")*(P$3:P$102="")*(G$3:G$102=G94)*(I$3:I$102="P"))+SUMPRODUCT((P$3:P$102&lt;&gt;"")*(G$3:G$102=G94)*(I$3:I$102="P"))+SUMPRODUCT((N$3:N$102&lt;&gt;"")*(G$3:G$102=G94)*(I$3:I$102="P"))+SUMPRODUCT((P$3:P$102="")*(O$3:O$102="")*(N$3:N$102="")*(M$3:M$102="P")*(G$3:G$102=G94)*(J$3:J$102&gt;J94)*(I$3:I$102="P"))+IF(H94="L5",SUMPRODUCT((P$3:P$102="")*(O$3:O$102="")*(N$3:N$102="")*(M$3:M$102="P")*(G$3:G$102=G94)*(J$3:J$102&lt;J94)*(H$3:H$102&lt;&gt;H94)*(I$3:I$102="P")),-1*SUMPRODUCT((P$3:P$102="")*(O$3:O$102="")*(N$3:N$102="")*(M$3:M$102="P")*(G$3:G$102=G94)*(J$3:J$102&gt;J94)*(H$3:H$102="L5")*(I$3:I$102="P")))+1,"")))))</f>
        <v/>
      </c>
      <c r="B94" s="1" t="str" cm="1">
        <f t="array" ref="B94">IF(P94&lt;&gt;"",SUMPRODUCT((P$3:P$102&lt;&gt;"")*(G$3:G$102=G94)*(J$3:J$102&gt;J94))+1,IF(O94&lt;&gt;"",SUMPRODUCT((O$3:O$102&lt;&gt;"")*(P$3:P$102="")*(G$3:G$102=G94)*(J$3:J$102&gt;J94))+SUMPRODUCT((P$3:P$102&lt;&gt;"")*(G$3:G$102=G94))+1,IF(N94&lt;&gt;"",SUMPRODUCT((N$3:N$102&lt;&gt;"")*(G$3:G$102=G94)*(J$3:J$102&gt;J94))+1,IF(M94="P",SUMPRODUCT((O$3:O$102&lt;&gt;"")*(P$3:P$102="")*(G$3:G$102=G94))+SUMPRODUCT((P$3:P$102&lt;&gt;"")*(G$3:G$102=G94))+SUMPRODUCT((N$3:N$102&lt;&gt;"")*(G$3:G$102=G94))+SUMPRODUCT((P$3:P$102="")*(O$3:O$102="")*(N$3:N$102="")*(M$3:M$102="P")*(G$3:G$102=G94)*(J$3:J$102&gt;J94))+IF(H94="L5",SUMPRODUCT((P$3:P$102="")*(O$3:O$102="")*(N$3:N$102="")*(M$3:M$102="P")*(G$3:G$102=G94)*(J$3:J$102&lt;J94)*(H$3:H$102&lt;&gt;H94)),-1*SUMPRODUCT((P$3:P$102="")*(O$3:O$102="")*(N$3:N$102="")*(M$3:M$102="P")*(G$3:G$102=G94)*(J$3:J$102&gt;J94)*(H$3:H$102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 t="s">
        <v>507</v>
      </c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IF(AND(B94&lt;5,I94="P"),IF(_xlfn.MAXIFS(B:B,G:G,G94)&gt;3,5-B94,_xlfn.MAXIFS(B:B,G:G,G94)+1-B94),"")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$102&lt;&gt;"")*(G$3:G$102=G95)*(J$3:J$102&gt;J95)*(I$3:I$102="P"))+1,IF(O95&lt;&gt;"",SUMPRODUCT((O$3:O$102&lt;&gt;"")*(P$3:P$102="")*(G$3:G$102=G95)*(J$3:J$102&gt;J95)*(I$3:I$102="P"))+SUMPRODUCT((P$3:P$102&lt;&gt;"")*(G$3:G$102=G95)*(I$3:I$102="P"))+1,IF(N95&lt;&gt;"",SUMPRODUCT((N$3:N$102&lt;&gt;"")*(G$3:G$102=G95)*(J$3:J$102&gt;J95)*(I$3:I$102="P"))+1,IF(M95="P",SUMPRODUCT((O$3:O$102&lt;&gt;"")*(P$3:P$102="")*(G$3:G$102=G95)*(I$3:I$102="P"))+SUMPRODUCT((P$3:P$102&lt;&gt;"")*(G$3:G$102=G95)*(I$3:I$102="P"))+SUMPRODUCT((N$3:N$102&lt;&gt;"")*(G$3:G$102=G95)*(I$3:I$102="P"))+SUMPRODUCT((P$3:P$102="")*(O$3:O$102="")*(N$3:N$102="")*(M$3:M$102="P")*(G$3:G$102=G95)*(J$3:J$102&gt;J95)*(I$3:I$102="P"))+IF(H95="L5",SUMPRODUCT((P$3:P$102="")*(O$3:O$102="")*(N$3:N$102="")*(M$3:M$102="P")*(G$3:G$102=G95)*(J$3:J$102&lt;J95)*(H$3:H$102&lt;&gt;H95)*(I$3:I$102="P")),-1*SUMPRODUCT((P$3:P$102="")*(O$3:O$102="")*(N$3:N$102="")*(M$3:M$102="P")*(G$3:G$102=G95)*(J$3:J$102&gt;J95)*(H$3:H$102="L5")*(I$3:I$102="P")))+1,"")))))</f>
        <v/>
      </c>
      <c r="B95" s="1" t="str" cm="1">
        <f t="array" ref="B95">IF(P95&lt;&gt;"",SUMPRODUCT((P$3:P$102&lt;&gt;"")*(G$3:G$102=G95)*(J$3:J$102&gt;J95))+1,IF(O95&lt;&gt;"",SUMPRODUCT((O$3:O$102&lt;&gt;"")*(P$3:P$102="")*(G$3:G$102=G95)*(J$3:J$102&gt;J95))+SUMPRODUCT((P$3:P$102&lt;&gt;"")*(G$3:G$102=G95))+1,IF(N95&lt;&gt;"",SUMPRODUCT((N$3:N$102&lt;&gt;"")*(G$3:G$102=G95)*(J$3:J$102&gt;J95))+1,IF(M95="P",SUMPRODUCT((O$3:O$102&lt;&gt;"")*(P$3:P$102="")*(G$3:G$102=G95))+SUMPRODUCT((P$3:P$102&lt;&gt;"")*(G$3:G$102=G95))+SUMPRODUCT((N$3:N$102&lt;&gt;"")*(G$3:G$102=G95))+SUMPRODUCT((P$3:P$102="")*(O$3:O$102="")*(N$3:N$102="")*(M$3:M$102="P")*(G$3:G$102=G95)*(J$3:J$102&gt;J95))+IF(H95="L5",SUMPRODUCT((P$3:P$102="")*(O$3:O$102="")*(N$3:N$102="")*(M$3:M$102="P")*(G$3:G$102=G95)*(J$3:J$102&lt;J95)*(H$3:H$102&lt;&gt;H95)),-1*SUMPRODUCT((P$3:P$102="")*(O$3:O$102="")*(N$3:N$102="")*(M$3:M$102="P")*(G$3:G$102=G95)*(J$3:J$102&gt;J95)*(H$3:H$102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 t="s">
        <v>507</v>
      </c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IF(AND(B95&lt;5,I95="P"),IF(_xlfn.MAXIFS(B:B,G:G,G95)&gt;3,5-B95,_xlfn.MAXIFS(B:B,G:G,G95)+1-B95),"")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$102&lt;&gt;"")*(G$3:G$102=G96)*(J$3:J$102&gt;J96)*(I$3:I$102="P"))+1,IF(O96&lt;&gt;"",SUMPRODUCT((O$3:O$102&lt;&gt;"")*(P$3:P$102="")*(G$3:G$102=G96)*(J$3:J$102&gt;J96)*(I$3:I$102="P"))+SUMPRODUCT((P$3:P$102&lt;&gt;"")*(G$3:G$102=G96)*(I$3:I$102="P"))+1,IF(N96&lt;&gt;"",SUMPRODUCT((N$3:N$102&lt;&gt;"")*(G$3:G$102=G96)*(J$3:J$102&gt;J96)*(I$3:I$102="P"))+1,IF(M96="P",SUMPRODUCT((O$3:O$102&lt;&gt;"")*(P$3:P$102="")*(G$3:G$102=G96)*(I$3:I$102="P"))+SUMPRODUCT((P$3:P$102&lt;&gt;"")*(G$3:G$102=G96)*(I$3:I$102="P"))+SUMPRODUCT((N$3:N$102&lt;&gt;"")*(G$3:G$102=G96)*(I$3:I$102="P"))+SUMPRODUCT((P$3:P$102="")*(O$3:O$102="")*(N$3:N$102="")*(M$3:M$102="P")*(G$3:G$102=G96)*(J$3:J$102&gt;J96)*(I$3:I$102="P"))+IF(H96="L5",SUMPRODUCT((P$3:P$102="")*(O$3:O$102="")*(N$3:N$102="")*(M$3:M$102="P")*(G$3:G$102=G96)*(J$3:J$102&lt;J96)*(H$3:H$102&lt;&gt;H96)*(I$3:I$102="P")),-1*SUMPRODUCT((P$3:P$102="")*(O$3:O$102="")*(N$3:N$102="")*(M$3:M$102="P")*(G$3:G$102=G96)*(J$3:J$102&gt;J96)*(H$3:H$102="L5")*(I$3:I$102="P")))+1,"")))))</f>
        <v/>
      </c>
      <c r="B96" s="1" t="str" cm="1">
        <f t="array" ref="B96">IF(P96&lt;&gt;"",SUMPRODUCT((P$3:P$102&lt;&gt;"")*(G$3:G$102=G96)*(J$3:J$102&gt;J96))+1,IF(O96&lt;&gt;"",SUMPRODUCT((O$3:O$102&lt;&gt;"")*(P$3:P$102="")*(G$3:G$102=G96)*(J$3:J$102&gt;J96))+SUMPRODUCT((P$3:P$102&lt;&gt;"")*(G$3:G$102=G96))+1,IF(N96&lt;&gt;"",SUMPRODUCT((N$3:N$102&lt;&gt;"")*(G$3:G$102=G96)*(J$3:J$102&gt;J96))+1,IF(M96="P",SUMPRODUCT((O$3:O$102&lt;&gt;"")*(P$3:P$102="")*(G$3:G$102=G96))+SUMPRODUCT((P$3:P$102&lt;&gt;"")*(G$3:G$102=G96))+SUMPRODUCT((N$3:N$102&lt;&gt;"")*(G$3:G$102=G96))+SUMPRODUCT((P$3:P$102="")*(O$3:O$102="")*(N$3:N$102="")*(M$3:M$102="P")*(G$3:G$102=G96)*(J$3:J$102&gt;J96))+IF(H96="L5",SUMPRODUCT((P$3:P$102="")*(O$3:O$102="")*(N$3:N$102="")*(M$3:M$102="P")*(G$3:G$102=G96)*(J$3:J$102&lt;J96)*(H$3:H$102&lt;&gt;H96)),-1*SUMPRODUCT((P$3:P$102="")*(O$3:O$102="")*(N$3:N$102="")*(M$3:M$102="P")*(G$3:G$102=G96)*(J$3:J$102&gt;J96)*(H$3:H$102="L5")))+1,""))))</f>
        <v/>
      </c>
      <c r="C96" s="35" t="s">
        <v>410</v>
      </c>
      <c r="D96" t="str">
        <f>IF(E96="","",VLOOKUP(E96,'Coaching Points'!A:B,2,0))</f>
        <v>ON</v>
      </c>
      <c r="E96" s="35" t="s">
        <v>76</v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 t="s">
        <v>507</v>
      </c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IF(AND(B96&lt;5,I96="P"),IF(_xlfn.MAXIFS(B:B,G:G,G96)&gt;3,5-B96,_xlfn.MAXIFS(B:B,G:G,G96)+1-B96),"")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$102&lt;&gt;"")*(G$3:G$102=G97)*(J$3:J$102&gt;J97)*(I$3:I$102="P"))+1,IF(O97&lt;&gt;"",SUMPRODUCT((O$3:O$102&lt;&gt;"")*(P$3:P$102="")*(G$3:G$102=G97)*(J$3:J$102&gt;J97)*(I$3:I$102="P"))+SUMPRODUCT((P$3:P$102&lt;&gt;"")*(G$3:G$102=G97)*(I$3:I$102="P"))+1,IF(N97&lt;&gt;"",SUMPRODUCT((N$3:N$102&lt;&gt;"")*(G$3:G$102=G97)*(J$3:J$102&gt;J97)*(I$3:I$102="P"))+1,IF(M97="P",SUMPRODUCT((O$3:O$102&lt;&gt;"")*(P$3:P$102="")*(G$3:G$102=G97)*(I$3:I$102="P"))+SUMPRODUCT((P$3:P$102&lt;&gt;"")*(G$3:G$102=G97)*(I$3:I$102="P"))+SUMPRODUCT((N$3:N$102&lt;&gt;"")*(G$3:G$102=G97)*(I$3:I$102="P"))+SUMPRODUCT((P$3:P$102="")*(O$3:O$102="")*(N$3:N$102="")*(M$3:M$102="P")*(G$3:G$102=G97)*(J$3:J$102&gt;J97)*(I$3:I$102="P"))+IF(H97="L5",SUMPRODUCT((P$3:P$102="")*(O$3:O$102="")*(N$3:N$102="")*(M$3:M$102="P")*(G$3:G$102=G97)*(J$3:J$102&lt;J97)*(H$3:H$102&lt;&gt;H97)*(I$3:I$102="P")),-1*SUMPRODUCT((P$3:P$102="")*(O$3:O$102="")*(N$3:N$102="")*(M$3:M$102="P")*(G$3:G$102=G97)*(J$3:J$102&gt;J97)*(H$3:H$102="L5")*(I$3:I$102="P")))+1,"")))))</f>
        <v/>
      </c>
      <c r="B97" s="1" t="str" cm="1">
        <f t="array" ref="B97">IF(P97&lt;&gt;"",SUMPRODUCT((P$3:P$102&lt;&gt;"")*(G$3:G$102=G97)*(J$3:J$102&gt;J97))+1,IF(O97&lt;&gt;"",SUMPRODUCT((O$3:O$102&lt;&gt;"")*(P$3:P$102="")*(G$3:G$102=G97)*(J$3:J$102&gt;J97))+SUMPRODUCT((P$3:P$102&lt;&gt;"")*(G$3:G$102=G97))+1,IF(N97&lt;&gt;"",SUMPRODUCT((N$3:N$102&lt;&gt;"")*(G$3:G$102=G97)*(J$3:J$102&gt;J97))+1,IF(M97="P",SUMPRODUCT((O$3:O$102&lt;&gt;"")*(P$3:P$102="")*(G$3:G$102=G97))+SUMPRODUCT((P$3:P$102&lt;&gt;"")*(G$3:G$102=G97))+SUMPRODUCT((N$3:N$102&lt;&gt;"")*(G$3:G$102=G97))+SUMPRODUCT((P$3:P$102="")*(O$3:O$102="")*(N$3:N$102="")*(M$3:M$102="P")*(G$3:G$102=G97)*(J$3:J$102&gt;J97))+IF(H97="L5",SUMPRODUCT((P$3:P$102="")*(O$3:O$102="")*(N$3:N$102="")*(M$3:M$102="P")*(G$3:G$102=G97)*(J$3:J$102&lt;J97)*(H$3:H$102&lt;&gt;H97)),-1*SUMPRODUCT((P$3:P$102="")*(O$3:O$102="")*(N$3:N$102="")*(M$3:M$102="P")*(G$3:G$102=G97)*(J$3:J$102&gt;J97)*(H$3:H$102="L5")))+1,""))))</f>
        <v/>
      </c>
      <c r="C97" s="35" t="s">
        <v>411</v>
      </c>
      <c r="D97" t="str">
        <f>IF(E97="","",VLOOKUP(E97,'Coaching Points'!A:B,2,0))</f>
        <v>ON</v>
      </c>
      <c r="E97" s="35" t="s">
        <v>126</v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IF(AND(B97&lt;5,I97="P"),IF(_xlfn.MAXIFS(B:B,G:G,G97)&gt;3,5-B97,_xlfn.MAXIFS(B:B,G:G,G97)+1-B97),"")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$102&lt;&gt;"")*(G$3:G$102=G98)*(J$3:J$102&gt;J98)*(I$3:I$102="P"))+1,IF(O98&lt;&gt;"",SUMPRODUCT((O$3:O$102&lt;&gt;"")*(P$3:P$102="")*(G$3:G$102=G98)*(J$3:J$102&gt;J98)*(I$3:I$102="P"))+SUMPRODUCT((P$3:P$102&lt;&gt;"")*(G$3:G$102=G98)*(I$3:I$102="P"))+1,IF(N98&lt;&gt;"",SUMPRODUCT((N$3:N$102&lt;&gt;"")*(G$3:G$102=G98)*(J$3:J$102&gt;J98)*(I$3:I$102="P"))+1,IF(M98="P",SUMPRODUCT((O$3:O$102&lt;&gt;"")*(P$3:P$102="")*(G$3:G$102=G98)*(I$3:I$102="P"))+SUMPRODUCT((P$3:P$102&lt;&gt;"")*(G$3:G$102=G98)*(I$3:I$102="P"))+SUMPRODUCT((N$3:N$102&lt;&gt;"")*(G$3:G$102=G98)*(I$3:I$102="P"))+SUMPRODUCT((P$3:P$102="")*(O$3:O$102="")*(N$3:N$102="")*(M$3:M$102="P")*(G$3:G$102=G98)*(J$3:J$102&gt;J98)*(I$3:I$102="P"))+IF(H98="L5",SUMPRODUCT((P$3:P$102="")*(O$3:O$102="")*(N$3:N$102="")*(M$3:M$102="P")*(G$3:G$102=G98)*(J$3:J$102&lt;J98)*(H$3:H$102&lt;&gt;H98)*(I$3:I$102="P")),-1*SUMPRODUCT((P$3:P$102="")*(O$3:O$102="")*(N$3:N$102="")*(M$3:M$102="P")*(G$3:G$102=G98)*(J$3:J$102&gt;J98)*(H$3:H$102="L5")*(I$3:I$102="P")))+1,"")))))</f>
        <v/>
      </c>
      <c r="B98" s="1" t="str" cm="1">
        <f t="array" ref="B98">IF(P98&lt;&gt;"",SUMPRODUCT((P$3:P$102&lt;&gt;"")*(G$3:G$102=G98)*(J$3:J$102&gt;J98))+1,IF(O98&lt;&gt;"",SUMPRODUCT((O$3:O$102&lt;&gt;"")*(P$3:P$102="")*(G$3:G$102=G98)*(J$3:J$102&gt;J98))+SUMPRODUCT((P$3:P$102&lt;&gt;"")*(G$3:G$102=G98))+1,IF(N98&lt;&gt;"",SUMPRODUCT((N$3:N$102&lt;&gt;"")*(G$3:G$102=G98)*(J$3:J$102&gt;J98))+1,IF(M98="P",SUMPRODUCT((O$3:O$102&lt;&gt;"")*(P$3:P$102="")*(G$3:G$102=G98))+SUMPRODUCT((P$3:P$102&lt;&gt;"")*(G$3:G$102=G98))+SUMPRODUCT((N$3:N$102&lt;&gt;"")*(G$3:G$102=G98))+SUMPRODUCT((P$3:P$102="")*(O$3:O$102="")*(N$3:N$102="")*(M$3:M$102="P")*(G$3:G$102=G98)*(J$3:J$102&gt;J98))+IF(H98="L5",SUMPRODUCT((P$3:P$102="")*(O$3:O$102="")*(N$3:N$102="")*(M$3:M$102="P")*(G$3:G$102=G98)*(J$3:J$102&lt;J98)*(H$3:H$102&lt;&gt;H98)),-1*SUMPRODUCT((P$3:P$102="")*(O$3:O$102="")*(N$3:N$102="")*(M$3:M$102="P")*(G$3:G$102=G98)*(J$3:J$102&gt;J98)*(H$3:H$102="L5")))+1,""))))</f>
        <v/>
      </c>
      <c r="C98" s="35" t="s">
        <v>412</v>
      </c>
      <c r="D98" t="str">
        <f>IF(E98="","",VLOOKUP(E98,'Coaching Points'!A:B,2,0))</f>
        <v>QC</v>
      </c>
      <c r="E98" s="35" t="s">
        <v>3</v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IF(AND(B98&lt;5,I98="P"),IF(_xlfn.MAXIFS(B:B,G:G,G98)&gt;3,5-B98,_xlfn.MAXIFS(B:B,G:G,G98)+1-B98),"")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$102&lt;&gt;"")*(G$3:G$102=G99)*(J$3:J$102&gt;J99)*(I$3:I$102="P"))+1,IF(O99&lt;&gt;"",SUMPRODUCT((O$3:O$102&lt;&gt;"")*(P$3:P$102="")*(G$3:G$102=G99)*(J$3:J$102&gt;J99)*(I$3:I$102="P"))+SUMPRODUCT((P$3:P$102&lt;&gt;"")*(G$3:G$102=G99)*(I$3:I$102="P"))+1,IF(N99&lt;&gt;"",SUMPRODUCT((N$3:N$102&lt;&gt;"")*(G$3:G$102=G99)*(J$3:J$102&gt;J99)*(I$3:I$102="P"))+1,IF(M99="P",SUMPRODUCT((O$3:O$102&lt;&gt;"")*(P$3:P$102="")*(G$3:G$102=G99)*(I$3:I$102="P"))+SUMPRODUCT((P$3:P$102&lt;&gt;"")*(G$3:G$102=G99)*(I$3:I$102="P"))+SUMPRODUCT((N$3:N$102&lt;&gt;"")*(G$3:G$102=G99)*(I$3:I$102="P"))+SUMPRODUCT((P$3:P$102="")*(O$3:O$102="")*(N$3:N$102="")*(M$3:M$102="P")*(G$3:G$102=G99)*(J$3:J$102&gt;J99)*(I$3:I$102="P"))+IF(H99="L5",SUMPRODUCT((P$3:P$102="")*(O$3:O$102="")*(N$3:N$102="")*(M$3:M$102="P")*(G$3:G$102=G99)*(J$3:J$102&lt;J99)*(H$3:H$102&lt;&gt;H99)*(I$3:I$102="P")),-1*SUMPRODUCT((P$3:P$102="")*(O$3:O$102="")*(N$3:N$102="")*(M$3:M$102="P")*(G$3:G$102=G99)*(J$3:J$102&gt;J99)*(H$3:H$102="L5")*(I$3:I$102="P")))+1,"")))))</f>
        <v/>
      </c>
      <c r="B99" s="1" t="str" cm="1">
        <f t="array" ref="B99">IF(P99&lt;&gt;"",SUMPRODUCT((P$3:P$102&lt;&gt;"")*(G$3:G$102=G99)*(J$3:J$102&gt;J99))+1,IF(O99&lt;&gt;"",SUMPRODUCT((O$3:O$102&lt;&gt;"")*(P$3:P$102="")*(G$3:G$102=G99)*(J$3:J$102&gt;J99))+SUMPRODUCT((P$3:P$102&lt;&gt;"")*(G$3:G$102=G99))+1,IF(N99&lt;&gt;"",SUMPRODUCT((N$3:N$102&lt;&gt;"")*(G$3:G$102=G99)*(J$3:J$102&gt;J99))+1,IF(M99="P",SUMPRODUCT((O$3:O$102&lt;&gt;"")*(P$3:P$102="")*(G$3:G$102=G99))+SUMPRODUCT((P$3:P$102&lt;&gt;"")*(G$3:G$102=G99))+SUMPRODUCT((N$3:N$102&lt;&gt;"")*(G$3:G$102=G99))+SUMPRODUCT((P$3:P$102="")*(O$3:O$102="")*(N$3:N$102="")*(M$3:M$102="P")*(G$3:G$102=G99)*(J$3:J$102&gt;J99))+IF(H99="L5",SUMPRODUCT((P$3:P$102="")*(O$3:O$102="")*(N$3:N$102="")*(M$3:M$102="P")*(G$3:G$102=G99)*(J$3:J$102&lt;J99)*(H$3:H$102&lt;&gt;H99)),-1*SUMPRODUCT((P$3:P$102="")*(O$3:O$102="")*(N$3:N$102="")*(M$3:M$102="P")*(G$3:G$102=G99)*(J$3:J$102&gt;J99)*(H$3:H$102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IF(AND(B99&lt;5,I99="P"),IF(_xlfn.MAXIFS(B:B,G:G,G99)&gt;3,5-B99,_xlfn.MAXIFS(B:B,G:G,G99)+1-B99),"")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$102&lt;&gt;"")*(G$3:G$102=G100)*(J$3:J$102&gt;J100)*(I$3:I$102="P"))+1,IF(O100&lt;&gt;"",SUMPRODUCT((O$3:O$102&lt;&gt;"")*(P$3:P$102="")*(G$3:G$102=G100)*(J$3:J$102&gt;J100)*(I$3:I$102="P"))+SUMPRODUCT((P$3:P$102&lt;&gt;"")*(G$3:G$102=G100)*(I$3:I$102="P"))+1,IF(N100&lt;&gt;"",SUMPRODUCT((N$3:N$102&lt;&gt;"")*(G$3:G$102=G100)*(J$3:J$102&gt;J100)*(I$3:I$102="P"))+1,IF(M100="P",SUMPRODUCT((O$3:O$102&lt;&gt;"")*(P$3:P$102="")*(G$3:G$102=G100)*(I$3:I$102="P"))+SUMPRODUCT((P$3:P$102&lt;&gt;"")*(G$3:G$102=G100)*(I$3:I$102="P"))+SUMPRODUCT((N$3:N$102&lt;&gt;"")*(G$3:G$102=G100)*(I$3:I$102="P"))+SUMPRODUCT((P$3:P$102="")*(O$3:O$102="")*(N$3:N$102="")*(M$3:M$102="P")*(G$3:G$102=G100)*(J$3:J$102&gt;J100)*(I$3:I$102="P"))+IF(H100="L5",SUMPRODUCT((P$3:P$102="")*(O$3:O$102="")*(N$3:N$102="")*(M$3:M$102="P")*(G$3:G$102=G100)*(J$3:J$102&lt;J100)*(H$3:H$102&lt;&gt;H100)*(I$3:I$102="P")),-1*SUMPRODUCT((P$3:P$102="")*(O$3:O$102="")*(N$3:N$102="")*(M$3:M$102="P")*(G$3:G$102=G100)*(J$3:J$102&gt;J100)*(H$3:H$102="L5")*(I$3:I$102="P")))+1,"")))))</f>
        <v/>
      </c>
      <c r="B100" s="1" t="str" cm="1">
        <f t="array" ref="B100">IF(P100&lt;&gt;"",SUMPRODUCT((P$3:P$102&lt;&gt;"")*(G$3:G$102=G100)*(J$3:J$102&gt;J100))+1,IF(O100&lt;&gt;"",SUMPRODUCT((O$3:O$102&lt;&gt;"")*(P$3:P$102="")*(G$3:G$102=G100)*(J$3:J$102&gt;J100))+SUMPRODUCT((P$3:P$102&lt;&gt;"")*(G$3:G$102=G100))+1,IF(N100&lt;&gt;"",SUMPRODUCT((N$3:N$102&lt;&gt;"")*(G$3:G$102=G100)*(J$3:J$102&gt;J100))+1,IF(M100="P",SUMPRODUCT((O$3:O$102&lt;&gt;"")*(P$3:P$102="")*(G$3:G$102=G100))+SUMPRODUCT((P$3:P$102&lt;&gt;"")*(G$3:G$102=G100))+SUMPRODUCT((N$3:N$102&lt;&gt;"")*(G$3:G$102=G100))+SUMPRODUCT((P$3:P$102="")*(O$3:O$102="")*(N$3:N$102="")*(M$3:M$102="P")*(G$3:G$102=G100)*(J$3:J$102&gt;J100))+IF(H100="L5",SUMPRODUCT((P$3:P$102="")*(O$3:O$102="")*(N$3:N$102="")*(M$3:M$102="P")*(G$3:G$102=G100)*(J$3:J$102&lt;J100)*(H$3:H$102&lt;&gt;H100)),-1*SUMPRODUCT((P$3:P$102="")*(O$3:O$102="")*(N$3:N$102="")*(M$3:M$102="P")*(G$3:G$102=G100)*(J$3:J$102&gt;J100)*(H$3:H$102="L5")))+1,""))))</f>
        <v/>
      </c>
      <c r="C100" s="35" t="s">
        <v>413</v>
      </c>
      <c r="D100" t="str">
        <f>IF(E100="","",VLOOKUP(E100,'Coaching Points'!A:B,2,0))</f>
        <v>QC</v>
      </c>
      <c r="E100" s="35" t="s">
        <v>72</v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IF(AND(B100&lt;5,I100="P"),IF(_xlfn.MAXIFS(B:B,G:G,G100)&gt;3,5-B100,_xlfn.MAXIFS(B:B,G:G,G100)+1-B100),"")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$102&lt;&gt;"")*(G$3:G$102=G101)*(J$3:J$102&gt;J101)*(I$3:I$102="P"))+1,IF(O101&lt;&gt;"",SUMPRODUCT((O$3:O$102&lt;&gt;"")*(P$3:P$102="")*(G$3:G$102=G101)*(J$3:J$102&gt;J101)*(I$3:I$102="P"))+SUMPRODUCT((P$3:P$102&lt;&gt;"")*(G$3:G$102=G101)*(I$3:I$102="P"))+1,IF(N101&lt;&gt;"",SUMPRODUCT((N$3:N$102&lt;&gt;"")*(G$3:G$102=G101)*(J$3:J$102&gt;J101)*(I$3:I$102="P"))+1,IF(M101="P",SUMPRODUCT((O$3:O$102&lt;&gt;"")*(P$3:P$102="")*(G$3:G$102=G101)*(I$3:I$102="P"))+SUMPRODUCT((P$3:P$102&lt;&gt;"")*(G$3:G$102=G101)*(I$3:I$102="P"))+SUMPRODUCT((N$3:N$102&lt;&gt;"")*(G$3:G$102=G101)*(I$3:I$102="P"))+SUMPRODUCT((P$3:P$102="")*(O$3:O$102="")*(N$3:N$102="")*(M$3:M$102="P")*(G$3:G$102=G101)*(J$3:J$102&gt;J101)*(I$3:I$102="P"))+IF(H101="L5",SUMPRODUCT((P$3:P$102="")*(O$3:O$102="")*(N$3:N$102="")*(M$3:M$102="P")*(G$3:G$102=G101)*(J$3:J$102&lt;J101)*(H$3:H$102&lt;&gt;H101)*(I$3:I$102="P")),-1*SUMPRODUCT((P$3:P$102="")*(O$3:O$102="")*(N$3:N$102="")*(M$3:M$102="P")*(G$3:G$102=G101)*(J$3:J$102&gt;J101)*(H$3:H$102="L5")*(I$3:I$102="P")))+1,"")))))</f>
        <v/>
      </c>
      <c r="B101" s="1" t="str" cm="1">
        <f t="array" ref="B101">IF(P101&lt;&gt;"",SUMPRODUCT((P$3:P$102&lt;&gt;"")*(G$3:G$102=G101)*(J$3:J$102&gt;J101))+1,IF(O101&lt;&gt;"",SUMPRODUCT((O$3:O$102&lt;&gt;"")*(P$3:P$102="")*(G$3:G$102=G101)*(J$3:J$102&gt;J101))+SUMPRODUCT((P$3:P$102&lt;&gt;"")*(G$3:G$102=G101))+1,IF(N101&lt;&gt;"",SUMPRODUCT((N$3:N$102&lt;&gt;"")*(G$3:G$102=G101)*(J$3:J$102&gt;J101))+1,IF(M101="P",SUMPRODUCT((O$3:O$102&lt;&gt;"")*(P$3:P$102="")*(G$3:G$102=G101))+SUMPRODUCT((P$3:P$102&lt;&gt;"")*(G$3:G$102=G101))+SUMPRODUCT((N$3:N$102&lt;&gt;"")*(G$3:G$102=G101))+SUMPRODUCT((P$3:P$102="")*(O$3:O$102="")*(N$3:N$102="")*(M$3:M$102="P")*(G$3:G$102=G101)*(J$3:J$102&gt;J101))+IF(H101="L5",SUMPRODUCT((P$3:P$102="")*(O$3:O$102="")*(N$3:N$102="")*(M$3:M$102="P")*(G$3:G$102=G101)*(J$3:J$102&lt;J101)*(H$3:H$102&lt;&gt;H101)),-1*SUMPRODUCT((P$3:P$102="")*(O$3:O$102="")*(N$3:N$102="")*(M$3:M$102="P")*(G$3:G$102=G101)*(J$3:J$102&gt;J101)*(H$3:H$102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IF(AND(B101&lt;5,I101="P"),IF(_xlfn.MAXIFS(B:B,G:G,G101)&gt;3,5-B101,_xlfn.MAXIFS(B:B,G:G,G101)+1-B101),"")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$102&lt;&gt;"")*(G$3:G$102=G102)*(J$3:J$102&gt;J102)*(I$3:I$102="P"))+1,IF(O102&lt;&gt;"",SUMPRODUCT((O$3:O$102&lt;&gt;"")*(P$3:P$102="")*(G$3:G$102=G102)*(J$3:J$102&gt;J102)*(I$3:I$102="P"))+SUMPRODUCT((P$3:P$102&lt;&gt;"")*(G$3:G$102=G102)*(I$3:I$102="P"))+1,IF(N102&lt;&gt;"",SUMPRODUCT((N$3:N$102&lt;&gt;"")*(G$3:G$102=G102)*(J$3:J$102&gt;J102)*(I$3:I$102="P"))+1,IF(M102="P",SUMPRODUCT((O$3:O$102&lt;&gt;"")*(P$3:P$102="")*(G$3:G$102=G102)*(I$3:I$102="P"))+SUMPRODUCT((P$3:P$102&lt;&gt;"")*(G$3:G$102=G102)*(I$3:I$102="P"))+SUMPRODUCT((N$3:N$102&lt;&gt;"")*(G$3:G$102=G102)*(I$3:I$102="P"))+SUMPRODUCT((P$3:P$102="")*(O$3:O$102="")*(N$3:N$102="")*(M$3:M$102="P")*(G$3:G$102=G102)*(J$3:J$102&gt;J102)*(I$3:I$102="P"))+IF(H102="L5",SUMPRODUCT((P$3:P$102="")*(O$3:O$102="")*(N$3:N$102="")*(M$3:M$102="P")*(G$3:G$102=G102)*(J$3:J$102&lt;J102)*(H$3:H$102&lt;&gt;H102)*(I$3:I$102="P")),-1*SUMPRODUCT((P$3:P$102="")*(O$3:O$102="")*(N$3:N$102="")*(M$3:M$102="P")*(G$3:G$102=G102)*(J$3:J$102&gt;J102)*(H$3:H$102="L5")*(I$3:I$102="P")))+1,"")))))</f>
        <v/>
      </c>
      <c r="B102" s="1" t="str" cm="1">
        <f t="array" ref="B102">IF(P102&lt;&gt;"",SUMPRODUCT((P$3:P$102&lt;&gt;"")*(G$3:G$102=G102)*(J$3:J$102&gt;J102))+1,IF(O102&lt;&gt;"",SUMPRODUCT((O$3:O$102&lt;&gt;"")*(P$3:P$102="")*(G$3:G$102=G102)*(J$3:J$102&gt;J102))+SUMPRODUCT((P$3:P$102&lt;&gt;"")*(G$3:G$102=G102))+1,IF(N102&lt;&gt;"",SUMPRODUCT((N$3:N$102&lt;&gt;"")*(G$3:G$102=G102)*(J$3:J$102&gt;J102))+1,IF(M102="P",SUMPRODUCT((O$3:O$102&lt;&gt;"")*(P$3:P$102="")*(G$3:G$102=G102))+SUMPRODUCT((P$3:P$102&lt;&gt;"")*(G$3:G$102=G102))+SUMPRODUCT((N$3:N$102&lt;&gt;"")*(G$3:G$102=G102))+SUMPRODUCT((P$3:P$102="")*(O$3:O$102="")*(N$3:N$102="")*(M$3:M$102="P")*(G$3:G$102=G102)*(J$3:J$102&gt;J102))+IF(H102="L5",SUMPRODUCT((P$3:P$102="")*(O$3:O$102="")*(N$3:N$102="")*(M$3:M$102="P")*(G$3:G$102=G102)*(J$3:J$102&lt;J102)*(H$3:H$102&lt;&gt;H102)),-1*SUMPRODUCT((P$3:P$102="")*(O$3:O$102="")*(N$3:N$102="")*(M$3:M$102="P")*(G$3:G$102=G102)*(J$3:J$102&gt;J102)*(H$3:H$102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IF(AND(B102&lt;5,I102="P"),IF(_xlfn.MAXIFS(B:B,G:G,G102)&gt;3,5-B102,_xlfn.MAXIFS(B:B,G:G,G102)+1-B102),"")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H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cm="1">
        <f t="array" ref="A3">IF(J3="","",IF(Q3&lt;&gt;"",SUMPRODUCT((Q$3:Q$14&lt;&gt;"")*(H$3:H$14=H3)*(K$3:K$14&gt;K3)*(J$3:J$14="P"))+1,IF(P3&lt;&gt;"",SUMPRODUCT((P$3:P$14&lt;&gt;"")*(Q$3:Q$14="")*(H$3:H$14=H3)*(K$3:K$14&gt;K3)*(J$3:J$14="P"))+SUMPRODUCT((Q$3:Q$14&lt;&gt;"")*(H$3:H$14=H3)*(J$3:J$14="P"))+1,IF(O3&lt;&gt;"",SUMPRODUCT((O$3:O$14&lt;&gt;"")*(H$3:H$14=H3)*(K$3:K$14&gt;K3)*(J$3:J$14="P"))+1,IF(N3="P",SUMPRODUCT((P$3:P$14&lt;&gt;"")*(Q$3:Q$14="")*(H$3:H$14=H3)*(J$3:J$14="P"))+SUMPRODUCT((Q$3:Q$14&lt;&gt;"")*(H$3:H$14=H3)*(J$3:J$14="P"))+SUMPRODUCT((O$3:O$14&lt;&gt;"")*(H$3:H$14=H3)*(J$3:J$14="P"))+SUMPRODUCT((Q$3:Q$14="")*(P$3:P$14="")*(O$3:O$14="")*(N$3:N$14="P")*(H$3:H$14=H3)*(K$3:K$14&gt;K3)*(J$3:J$14="P"))+IF(I3="L5",SUMPRODUCT((Q$3:Q$14="")*(P$3:P$14="")*(O$3:O$14="")*(N$3:N$14="P")*(H$3:H$14=H3)*(K$3:K$14&lt;K3)*(I$3:I$14&lt;&gt;I3)*(J$3:J$14="P")),-1*SUMPRODUCT((Q$3:Q$14="")*(P$3:P$14="")*(O$3:O$14="")*(N$3:N$14="P")*(H$3:H$14=H3)*(K$3:K$14&gt;K3)*(I$3:I$14="L5")*(J$3:J$14="P")))+1,"")))))</f>
        <v>1</v>
      </c>
      <c r="B3" s="1" cm="1">
        <f t="array" ref="B3">IF(Q3&lt;&gt;"",SUMPRODUCT((Q$3:Q$14&lt;&gt;"")*(H$3:H$14=H3)*(K$3:K$14&gt;K3))+1,IF(P3&lt;&gt;"",SUMPRODUCT((P$3:P$14&lt;&gt;"")*(Q$3:Q$14="")*(H$3:H$14=H3)*(K$3:K$14&gt;K3))+SUMPRODUCT((Q$3:Q$14&lt;&gt;"")*(H$3:H$14=H3))+1,IF(O3&lt;&gt;"",SUMPRODUCT((O$3:O$14&lt;&gt;"")*(H$3:H$14=H3)*(K$3:K$14&gt;K3))+1,IF(N3="P",SUMPRODUCT((P$3:P$14&lt;&gt;"")*(Q$3:Q$14="")*(H$3:H$14=H3))+SUMPRODUCT((Q$3:Q$14&lt;&gt;"")*(H$3:H$14=H3))+SUMPRODUCT((O$3:O$14&lt;&gt;"")*(H$3:H$14=H3))+SUMPRODUCT((Q$3:Q$14="")*(P$3:P$14="")*(O$3:O$14="")*(N$3:N$14="P")*(H$3:H$14=H3)*(K$3:K$14&gt;K3))+IF(I3="L5",SUMPRODUCT((Q$3:Q$14="")*(P$3:P$14="")*(O$3:O$14="")*(N$3:N$14="P")*(H$3:H$14=H3)*(K$3:K$14&lt;K3)*(I$3:I$14&lt;&gt;I3)),-1*SUMPRODUCT((Q$3:Q$14="")*(P$3:P$14="")*(O$3:O$14="")*(N$3:N$14="P")*(H$3:H$14=H3)*(K$3:K$14&gt;K3)*(I$3:I$14="L5")))+1,""))))</f>
        <v>1</v>
      </c>
      <c r="C3" s="35" t="s">
        <v>376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 t="s">
        <v>507</v>
      </c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IF(AND(B3&lt;5,J3="P"),IF(_xlfn.MAXIFS(B:B,H:H,H3)&gt;3,5-B3,_xlfn.MAXIFS(B:B,H:H,H3)+1-B3),"")</f>
        <v>1</v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$14&lt;&gt;"")*(H$3:H$14=H4)*(K$3:K$14&gt;K4)*(J$3:J$14="P"))+1,IF(P4&lt;&gt;"",SUMPRODUCT((P$3:P$14&lt;&gt;"")*(Q$3:Q$14="")*(H$3:H$14=H4)*(K$3:K$14&gt;K4)*(J$3:J$14="P"))+SUMPRODUCT((Q$3:Q$14&lt;&gt;"")*(H$3:H$14=H4)*(J$3:J$14="P"))+1,IF(O4&lt;&gt;"",SUMPRODUCT((O$3:O$14&lt;&gt;"")*(H$3:H$14=H4)*(K$3:K$14&gt;K4)*(J$3:J$14="P"))+1,IF(N4="P",SUMPRODUCT((P$3:P$14&lt;&gt;"")*(Q$3:Q$14="")*(H$3:H$14=H4)*(J$3:J$14="P"))+SUMPRODUCT((Q$3:Q$14&lt;&gt;"")*(H$3:H$14=H4)*(J$3:J$14="P"))+SUMPRODUCT((O$3:O$14&lt;&gt;"")*(H$3:H$14=H4)*(J$3:J$14="P"))+SUMPRODUCT((Q$3:Q$14="")*(P$3:P$14="")*(O$3:O$14="")*(N$3:N$14="P")*(H$3:H$14=H4)*(K$3:K$14&gt;K4)*(J$3:J$14="P"))+IF(I4="L5",SUMPRODUCT((Q$3:Q$14="")*(P$3:P$14="")*(O$3:O$14="")*(N$3:N$14="P")*(H$3:H$14=H4)*(K$3:K$14&lt;K4)*(I$3:I$14&lt;&gt;I4)*(J$3:J$14="P")),-1*SUMPRODUCT((Q$3:Q$14="")*(P$3:P$14="")*(O$3:O$14="")*(N$3:N$14="P")*(H$3:H$14=H4)*(K$3:K$14&gt;K4)*(I$3:I$14="L5")*(J$3:J$14="P")))+1,"")))))</f>
        <v/>
      </c>
      <c r="B4" s="1" t="str" cm="1">
        <f t="array" ref="B4">IF(Q4&lt;&gt;"",SUMPRODUCT((Q$3:Q$14&lt;&gt;"")*(H$3:H$14=H4)*(K$3:K$14&gt;K4))+1,IF(P4&lt;&gt;"",SUMPRODUCT((P$3:P$14&lt;&gt;"")*(Q$3:Q$14="")*(H$3:H$14=H4)*(K$3:K$14&gt;K4))+SUMPRODUCT((Q$3:Q$14&lt;&gt;"")*(H$3:H$14=H4))+1,IF(O4&lt;&gt;"",SUMPRODUCT((O$3:O$14&lt;&gt;"")*(H$3:H$14=H4)*(K$3:K$14&gt;K4))+1,IF(N4="P",SUMPRODUCT((P$3:P$14&lt;&gt;"")*(Q$3:Q$14="")*(H$3:H$14=H4))+SUMPRODUCT((Q$3:Q$14&lt;&gt;"")*(H$3:H$14=H4))+SUMPRODUCT((O$3:O$14&lt;&gt;"")*(H$3:H$14=H4))+SUMPRODUCT((Q$3:Q$14="")*(P$3:P$14="")*(O$3:O$14="")*(N$3:N$14="P")*(H$3:H$14=H4)*(K$3:K$14&gt;K4))+IF(I4="L5",SUMPRODUCT((Q$3:Q$14="")*(P$3:P$14="")*(O$3:O$14="")*(N$3:N$14="P")*(H$3:H$14=H4)*(K$3:K$14&lt;K4)*(I$3:I$14&lt;&gt;I4)),-1*SUMPRODUCT((Q$3:Q$14="")*(P$3:P$14="")*(O$3:O$14="")*(N$3:N$14="P")*(H$3:H$14=H4)*(K$3:K$14&gt;K4)*(I$3:I$14="L5")))+1,""))))</f>
        <v/>
      </c>
      <c r="C4" s="35" t="s">
        <v>373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IF(AND(B4&lt;5,J4="P"),IF(_xlfn.MAXIFS(B:B,H:H,H4)&gt;3,5-B4,_xlfn.MAXIFS(B:B,H:H,H4)+1-B4),"")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$14&lt;&gt;"")*(H$3:H$14=H5)*(K$3:K$14&gt;K5)*(J$3:J$14="P"))+1,IF(P5&lt;&gt;"",SUMPRODUCT((P$3:P$14&lt;&gt;"")*(Q$3:Q$14="")*(H$3:H$14=H5)*(K$3:K$14&gt;K5)*(J$3:J$14="P"))+SUMPRODUCT((Q$3:Q$14&lt;&gt;"")*(H$3:H$14=H5)*(J$3:J$14="P"))+1,IF(O5&lt;&gt;"",SUMPRODUCT((O$3:O$14&lt;&gt;"")*(H$3:H$14=H5)*(K$3:K$14&gt;K5)*(J$3:J$14="P"))+1,IF(N5="P",SUMPRODUCT((P$3:P$14&lt;&gt;"")*(Q$3:Q$14="")*(H$3:H$14=H5)*(J$3:J$14="P"))+SUMPRODUCT((Q$3:Q$14&lt;&gt;"")*(H$3:H$14=H5)*(J$3:J$14="P"))+SUMPRODUCT((O$3:O$14&lt;&gt;"")*(H$3:H$14=H5)*(J$3:J$14="P"))+SUMPRODUCT((Q$3:Q$14="")*(P$3:P$14="")*(O$3:O$14="")*(N$3:N$14="P")*(H$3:H$14=H5)*(K$3:K$14&gt;K5)*(J$3:J$14="P"))+IF(I5="L5",SUMPRODUCT((Q$3:Q$14="")*(P$3:P$14="")*(O$3:O$14="")*(N$3:N$14="P")*(H$3:H$14=H5)*(K$3:K$14&lt;K5)*(I$3:I$14&lt;&gt;I5)*(J$3:J$14="P")),-1*SUMPRODUCT((Q$3:Q$14="")*(P$3:P$14="")*(O$3:O$14="")*(N$3:N$14="P")*(H$3:H$14=H5)*(K$3:K$14&gt;K5)*(I$3:I$14="L5")*(J$3:J$14="P")))+1,"")))))</f>
        <v/>
      </c>
      <c r="B5" s="1" t="str" cm="1">
        <f t="array" ref="B5">IF(Q5&lt;&gt;"",SUMPRODUCT((Q$3:Q$14&lt;&gt;"")*(H$3:H$14=H5)*(K$3:K$14&gt;K5))+1,IF(P5&lt;&gt;"",SUMPRODUCT((P$3:P$14&lt;&gt;"")*(Q$3:Q$14="")*(H$3:H$14=H5)*(K$3:K$14&gt;K5))+SUMPRODUCT((Q$3:Q$14&lt;&gt;"")*(H$3:H$14=H5))+1,IF(O5&lt;&gt;"",SUMPRODUCT((O$3:O$14&lt;&gt;"")*(H$3:H$14=H5)*(K$3:K$14&gt;K5))+1,IF(N5="P",SUMPRODUCT((P$3:P$14&lt;&gt;"")*(Q$3:Q$14="")*(H$3:H$14=H5))+SUMPRODUCT((Q$3:Q$14&lt;&gt;"")*(H$3:H$14=H5))+SUMPRODUCT((O$3:O$14&lt;&gt;"")*(H$3:H$14=H5))+SUMPRODUCT((Q$3:Q$14="")*(P$3:P$14="")*(O$3:O$14="")*(N$3:N$14="P")*(H$3:H$14=H5)*(K$3:K$14&gt;K5))+IF(I5="L5",SUMPRODUCT((Q$3:Q$14="")*(P$3:P$14="")*(O$3:O$14="")*(N$3:N$14="P")*(H$3:H$14=H5)*(K$3:K$14&lt;K5)*(I$3:I$14&lt;&gt;I5)),-1*SUMPRODUCT((Q$3:Q$14="")*(P$3:P$14="")*(O$3:O$14="")*(N$3:N$14="P")*(H$3:H$14=H5)*(K$3:K$14&gt;K5)*(I$3:I$14="L5")))+1,""))))</f>
        <v/>
      </c>
      <c r="C5" s="35" t="s">
        <v>377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IF(AND(B5&lt;5,J5="P"),IF(_xlfn.MAXIFS(B:B,H:H,H5)&gt;3,5-B5,_xlfn.MAXIFS(B:B,H:H,H5)+1-B5),"")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$14&lt;&gt;"")*(H$3:H$14=H6)*(K$3:K$14&gt;K6)*(J$3:J$14="P"))+1,IF(P6&lt;&gt;"",SUMPRODUCT((P$3:P$14&lt;&gt;"")*(Q$3:Q$14="")*(H$3:H$14=H6)*(K$3:K$14&gt;K6)*(J$3:J$14="P"))+SUMPRODUCT((Q$3:Q$14&lt;&gt;"")*(H$3:H$14=H6)*(J$3:J$14="P"))+1,IF(O6&lt;&gt;"",SUMPRODUCT((O$3:O$14&lt;&gt;"")*(H$3:H$14=H6)*(K$3:K$14&gt;K6)*(J$3:J$14="P"))+1,IF(N6="P",SUMPRODUCT((P$3:P$14&lt;&gt;"")*(Q$3:Q$14="")*(H$3:H$14=H6)*(J$3:J$14="P"))+SUMPRODUCT((Q$3:Q$14&lt;&gt;"")*(H$3:H$14=H6)*(J$3:J$14="P"))+SUMPRODUCT((O$3:O$14&lt;&gt;"")*(H$3:H$14=H6)*(J$3:J$14="P"))+SUMPRODUCT((Q$3:Q$14="")*(P$3:P$14="")*(O$3:O$14="")*(N$3:N$14="P")*(H$3:H$14=H6)*(K$3:K$14&gt;K6)*(J$3:J$14="P"))+IF(I6="L5",SUMPRODUCT((Q$3:Q$14="")*(P$3:P$14="")*(O$3:O$14="")*(N$3:N$14="P")*(H$3:H$14=H6)*(K$3:K$14&lt;K6)*(I$3:I$14&lt;&gt;I6)*(J$3:J$14="P")),-1*SUMPRODUCT((Q$3:Q$14="")*(P$3:P$14="")*(O$3:O$14="")*(N$3:N$14="P")*(H$3:H$14=H6)*(K$3:K$14&gt;K6)*(I$3:I$14="L5")*(J$3:J$14="P")))+1,"")))))</f>
        <v/>
      </c>
      <c r="B6" s="1" t="str" cm="1">
        <f t="array" ref="B6">IF(Q6&lt;&gt;"",SUMPRODUCT((Q$3:Q$14&lt;&gt;"")*(H$3:H$14=H6)*(K$3:K$14&gt;K6))+1,IF(P6&lt;&gt;"",SUMPRODUCT((P$3:P$14&lt;&gt;"")*(Q$3:Q$14="")*(H$3:H$14=H6)*(K$3:K$14&gt;K6))+SUMPRODUCT((Q$3:Q$14&lt;&gt;"")*(H$3:H$14=H6))+1,IF(O6&lt;&gt;"",SUMPRODUCT((O$3:O$14&lt;&gt;"")*(H$3:H$14=H6)*(K$3:K$14&gt;K6))+1,IF(N6="P",SUMPRODUCT((P$3:P$14&lt;&gt;"")*(Q$3:Q$14="")*(H$3:H$14=H6))+SUMPRODUCT((Q$3:Q$14&lt;&gt;"")*(H$3:H$14=H6))+SUMPRODUCT((O$3:O$14&lt;&gt;"")*(H$3:H$14=H6))+SUMPRODUCT((Q$3:Q$14="")*(P$3:P$14="")*(O$3:O$14="")*(N$3:N$14="P")*(H$3:H$14=H6)*(K$3:K$14&gt;K6))+IF(I6="L5",SUMPRODUCT((Q$3:Q$14="")*(P$3:P$14="")*(O$3:O$14="")*(N$3:N$14="P")*(H$3:H$14=H6)*(K$3:K$14&lt;K6)*(I$3:I$14&lt;&gt;I6)),-1*SUMPRODUCT((Q$3:Q$14="")*(P$3:P$14="")*(O$3:O$14="")*(N$3:N$14="P")*(H$3:H$14=H6)*(K$3:K$14&gt;K6)*(I$3:I$14="L5")))+1,""))))</f>
        <v/>
      </c>
      <c r="C6" s="35" t="s">
        <v>378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IF(AND(B6&lt;5,J6="P"),IF(_xlfn.MAXIFS(B:B,H:H,H6)&gt;3,5-B6,_xlfn.MAXIFS(B:B,H:H,H6)+1-B6),"")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$14&lt;&gt;"")*(H$3:H$14=H7)*(K$3:K$14&gt;K7)*(J$3:J$14="P"))+1,IF(P7&lt;&gt;"",SUMPRODUCT((P$3:P$14&lt;&gt;"")*(Q$3:Q$14="")*(H$3:H$14=H7)*(K$3:K$14&gt;K7)*(J$3:J$14="P"))+SUMPRODUCT((Q$3:Q$14&lt;&gt;"")*(H$3:H$14=H7)*(J$3:J$14="P"))+1,IF(O7&lt;&gt;"",SUMPRODUCT((O$3:O$14&lt;&gt;"")*(H$3:H$14=H7)*(K$3:K$14&gt;K7)*(J$3:J$14="P"))+1,IF(N7="P",SUMPRODUCT((P$3:P$14&lt;&gt;"")*(Q$3:Q$14="")*(H$3:H$14=H7)*(J$3:J$14="P"))+SUMPRODUCT((Q$3:Q$14&lt;&gt;"")*(H$3:H$14=H7)*(J$3:J$14="P"))+SUMPRODUCT((O$3:O$14&lt;&gt;"")*(H$3:H$14=H7)*(J$3:J$14="P"))+SUMPRODUCT((Q$3:Q$14="")*(P$3:P$14="")*(O$3:O$14="")*(N$3:N$14="P")*(H$3:H$14=H7)*(K$3:K$14&gt;K7)*(J$3:J$14="P"))+IF(I7="L5",SUMPRODUCT((Q$3:Q$14="")*(P$3:P$14="")*(O$3:O$14="")*(N$3:N$14="P")*(H$3:H$14=H7)*(K$3:K$14&lt;K7)*(I$3:I$14&lt;&gt;I7)*(J$3:J$14="P")),-1*SUMPRODUCT((Q$3:Q$14="")*(P$3:P$14="")*(O$3:O$14="")*(N$3:N$14="P")*(H$3:H$14=H7)*(K$3:K$14&gt;K7)*(I$3:I$14="L5")*(J$3:J$14="P")))+1,"")))))</f>
        <v/>
      </c>
      <c r="B7" s="1" t="str" cm="1">
        <f t="array" ref="B7">IF(Q7&lt;&gt;"",SUMPRODUCT((Q$3:Q$14&lt;&gt;"")*(H$3:H$14=H7)*(K$3:K$14&gt;K7))+1,IF(P7&lt;&gt;"",SUMPRODUCT((P$3:P$14&lt;&gt;"")*(Q$3:Q$14="")*(H$3:H$14=H7)*(K$3:K$14&gt;K7))+SUMPRODUCT((Q$3:Q$14&lt;&gt;"")*(H$3:H$14=H7))+1,IF(O7&lt;&gt;"",SUMPRODUCT((O$3:O$14&lt;&gt;"")*(H$3:H$14=H7)*(K$3:K$14&gt;K7))+1,IF(N7="P",SUMPRODUCT((P$3:P$14&lt;&gt;"")*(Q$3:Q$14="")*(H$3:H$14=H7))+SUMPRODUCT((Q$3:Q$14&lt;&gt;"")*(H$3:H$14=H7))+SUMPRODUCT((O$3:O$14&lt;&gt;"")*(H$3:H$14=H7))+SUMPRODUCT((Q$3:Q$14="")*(P$3:P$14="")*(O$3:O$14="")*(N$3:N$14="P")*(H$3:H$14=H7)*(K$3:K$14&gt;K7))+IF(I7="L5",SUMPRODUCT((Q$3:Q$14="")*(P$3:P$14="")*(O$3:O$14="")*(N$3:N$14="P")*(H$3:H$14=H7)*(K$3:K$14&lt;K7)*(I$3:I$14&lt;&gt;I7)),-1*SUMPRODUCT((Q$3:Q$14="")*(P$3:P$14="")*(O$3:O$14="")*(N$3:N$14="P")*(H$3:H$14=H7)*(K$3:K$14&gt;K7)*(I$3:I$14="L5")))+1,""))))</f>
        <v/>
      </c>
      <c r="C7" s="35" t="s">
        <v>440</v>
      </c>
      <c r="D7" t="str">
        <f>IF(E7="","",VLOOKUP(E7,'Coaching Points'!A:B,2,0)&amp;"/"&amp;VLOOKUP(F7,'Coaching Points'!A:B,2,0))</f>
        <v>ON/ON</v>
      </c>
      <c r="E7" s="35" t="s">
        <v>37</v>
      </c>
      <c r="F7" s="35" t="s">
        <v>37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IF(AND(B7&lt;5,J7="P"),IF(_xlfn.MAXIFS(B:B,H:H,H7)&gt;3,5-B7,_xlfn.MAXIFS(B:B,H:H,H7)+1-B7),"")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$14&lt;&gt;"")*(H$3:H$14=H8)*(K$3:K$14&gt;K8)*(J$3:J$14="P"))+1,IF(P8&lt;&gt;"",SUMPRODUCT((P$3:P$14&lt;&gt;"")*(Q$3:Q$14="")*(H$3:H$14=H8)*(K$3:K$14&gt;K8)*(J$3:J$14="P"))+SUMPRODUCT((Q$3:Q$14&lt;&gt;"")*(H$3:H$14=H8)*(J$3:J$14="P"))+1,IF(O8&lt;&gt;"",SUMPRODUCT((O$3:O$14&lt;&gt;"")*(H$3:H$14=H8)*(K$3:K$14&gt;K8)*(J$3:J$14="P"))+1,IF(N8="P",SUMPRODUCT((P$3:P$14&lt;&gt;"")*(Q$3:Q$14="")*(H$3:H$14=H8)*(J$3:J$14="P"))+SUMPRODUCT((Q$3:Q$14&lt;&gt;"")*(H$3:H$14=H8)*(J$3:J$14="P"))+SUMPRODUCT((O$3:O$14&lt;&gt;"")*(H$3:H$14=H8)*(J$3:J$14="P"))+SUMPRODUCT((Q$3:Q$14="")*(P$3:P$14="")*(O$3:O$14="")*(N$3:N$14="P")*(H$3:H$14=H8)*(K$3:K$14&gt;K8)*(J$3:J$14="P"))+IF(I8="L5",SUMPRODUCT((Q$3:Q$14="")*(P$3:P$14="")*(O$3:O$14="")*(N$3:N$14="P")*(H$3:H$14=H8)*(K$3:K$14&lt;K8)*(I$3:I$14&lt;&gt;I8)*(J$3:J$14="P")),-1*SUMPRODUCT((Q$3:Q$14="")*(P$3:P$14="")*(O$3:O$14="")*(N$3:N$14="P")*(H$3:H$14=H8)*(K$3:K$14&gt;K8)*(I$3:I$14="L5")*(J$3:J$14="P")))+1,"")))))</f>
        <v/>
      </c>
      <c r="B8" s="1" t="str" cm="1">
        <f t="array" ref="B8">IF(Q8&lt;&gt;"",SUMPRODUCT((Q$3:Q$14&lt;&gt;"")*(H$3:H$14=H8)*(K$3:K$14&gt;K8))+1,IF(P8&lt;&gt;"",SUMPRODUCT((P$3:P$14&lt;&gt;"")*(Q$3:Q$14="")*(H$3:H$14=H8)*(K$3:K$14&gt;K8))+SUMPRODUCT((Q$3:Q$14&lt;&gt;"")*(H$3:H$14=H8))+1,IF(O8&lt;&gt;"",SUMPRODUCT((O$3:O$14&lt;&gt;"")*(H$3:H$14=H8)*(K$3:K$14&gt;K8))+1,IF(N8="P",SUMPRODUCT((P$3:P$14&lt;&gt;"")*(Q$3:Q$14="")*(H$3:H$14=H8))+SUMPRODUCT((Q$3:Q$14&lt;&gt;"")*(H$3:H$14=H8))+SUMPRODUCT((O$3:O$14&lt;&gt;"")*(H$3:H$14=H8))+SUMPRODUCT((Q$3:Q$14="")*(P$3:P$14="")*(O$3:O$14="")*(N$3:N$14="P")*(H$3:H$14=H8)*(K$3:K$14&gt;K8))+IF(I8="L5",SUMPRODUCT((Q$3:Q$14="")*(P$3:P$14="")*(O$3:O$14="")*(N$3:N$14="P")*(H$3:H$14=H8)*(K$3:K$14&lt;K8)*(I$3:I$14&lt;&gt;I8)),-1*SUMPRODUCT((Q$3:Q$14="")*(P$3:P$14="")*(O$3:O$14="")*(N$3:N$14="P")*(H$3:H$14=H8)*(K$3:K$14&gt;K8)*(I$3:I$14="L5")))+1,""))))</f>
        <v/>
      </c>
      <c r="C8" s="35" t="s">
        <v>375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IF(AND(B8&lt;5,J8="P"),IF(_xlfn.MAXIFS(B:B,H:H,H8)&gt;3,5-B8,_xlfn.MAXIFS(B:B,H:H,H8)+1-B8),"")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$14&lt;&gt;"")*(H$3:H$14=H9)*(K$3:K$14&gt;K9)*(J$3:J$14="P"))+1,IF(P9&lt;&gt;"",SUMPRODUCT((P$3:P$14&lt;&gt;"")*(Q$3:Q$14="")*(H$3:H$14=H9)*(K$3:K$14&gt;K9)*(J$3:J$14="P"))+SUMPRODUCT((Q$3:Q$14&lt;&gt;"")*(H$3:H$14=H9)*(J$3:J$14="P"))+1,IF(O9&lt;&gt;"",SUMPRODUCT((O$3:O$14&lt;&gt;"")*(H$3:H$14=H9)*(K$3:K$14&gt;K9)*(J$3:J$14="P"))+1,IF(N9="P",SUMPRODUCT((P$3:P$14&lt;&gt;"")*(Q$3:Q$14="")*(H$3:H$14=H9)*(J$3:J$14="P"))+SUMPRODUCT((Q$3:Q$14&lt;&gt;"")*(H$3:H$14=H9)*(J$3:J$14="P"))+SUMPRODUCT((O$3:O$14&lt;&gt;"")*(H$3:H$14=H9)*(J$3:J$14="P"))+SUMPRODUCT((Q$3:Q$14="")*(P$3:P$14="")*(O$3:O$14="")*(N$3:N$14="P")*(H$3:H$14=H9)*(K$3:K$14&gt;K9)*(J$3:J$14="P"))+IF(I9="L5",SUMPRODUCT((Q$3:Q$14="")*(P$3:P$14="")*(O$3:O$14="")*(N$3:N$14="P")*(H$3:H$14=H9)*(K$3:K$14&lt;K9)*(I$3:I$14&lt;&gt;I9)*(J$3:J$14="P")),-1*SUMPRODUCT((Q$3:Q$14="")*(P$3:P$14="")*(O$3:O$14="")*(N$3:N$14="P")*(H$3:H$14=H9)*(K$3:K$14&gt;K9)*(I$3:I$14="L5")*(J$3:J$14="P")))+1,"")))))</f>
        <v/>
      </c>
      <c r="B9" s="1" t="str" cm="1">
        <f t="array" ref="B9">IF(Q9&lt;&gt;"",SUMPRODUCT((Q$3:Q$14&lt;&gt;"")*(H$3:H$14=H9)*(K$3:K$14&gt;K9))+1,IF(P9&lt;&gt;"",SUMPRODUCT((P$3:P$14&lt;&gt;"")*(Q$3:Q$14="")*(H$3:H$14=H9)*(K$3:K$14&gt;K9))+SUMPRODUCT((Q$3:Q$14&lt;&gt;"")*(H$3:H$14=H9))+1,IF(O9&lt;&gt;"",SUMPRODUCT((O$3:O$14&lt;&gt;"")*(H$3:H$14=H9)*(K$3:K$14&gt;K9))+1,IF(N9="P",SUMPRODUCT((P$3:P$14&lt;&gt;"")*(Q$3:Q$14="")*(H$3:H$14=H9))+SUMPRODUCT((Q$3:Q$14&lt;&gt;"")*(H$3:H$14=H9))+SUMPRODUCT((O$3:O$14&lt;&gt;"")*(H$3:H$14=H9))+SUMPRODUCT((Q$3:Q$14="")*(P$3:P$14="")*(O$3:O$14="")*(N$3:N$14="P")*(H$3:H$14=H9)*(K$3:K$14&gt;K9))+IF(I9="L5",SUMPRODUCT((Q$3:Q$14="")*(P$3:P$14="")*(O$3:O$14="")*(N$3:N$14="P")*(H$3:H$14=H9)*(K$3:K$14&lt;K9)*(I$3:I$14&lt;&gt;I9)),-1*SUMPRODUCT((Q$3:Q$14="")*(P$3:P$14="")*(O$3:O$14="")*(N$3:N$14="P")*(H$3:H$14=H9)*(K$3:K$14&gt;K9)*(I$3:I$14="L5")))+1,""))))</f>
        <v/>
      </c>
      <c r="C9" s="35" t="s">
        <v>439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IF(AND(B9&lt;5,J9="P"),IF(_xlfn.MAXIFS(B:B,H:H,H9)&gt;3,5-B9,_xlfn.MAXIFS(B:B,H:H,H9)+1-B9),"")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$14&lt;&gt;"")*(H$3:H$14=H10)*(K$3:K$14&gt;K10)*(J$3:J$14="P"))+1,IF(P10&lt;&gt;"",SUMPRODUCT((P$3:P$14&lt;&gt;"")*(Q$3:Q$14="")*(H$3:H$14=H10)*(K$3:K$14&gt;K10)*(J$3:J$14="P"))+SUMPRODUCT((Q$3:Q$14&lt;&gt;"")*(H$3:H$14=H10)*(J$3:J$14="P"))+1,IF(O10&lt;&gt;"",SUMPRODUCT((O$3:O$14&lt;&gt;"")*(H$3:H$14=H10)*(K$3:K$14&gt;K10)*(J$3:J$14="P"))+1,IF(N10="P",SUMPRODUCT((P$3:P$14&lt;&gt;"")*(Q$3:Q$14="")*(H$3:H$14=H10)*(J$3:J$14="P"))+SUMPRODUCT((Q$3:Q$14&lt;&gt;"")*(H$3:H$14=H10)*(J$3:J$14="P"))+SUMPRODUCT((O$3:O$14&lt;&gt;"")*(H$3:H$14=H10)*(J$3:J$14="P"))+SUMPRODUCT((Q$3:Q$14="")*(P$3:P$14="")*(O$3:O$14="")*(N$3:N$14="P")*(H$3:H$14=H10)*(K$3:K$14&gt;K10)*(J$3:J$14="P"))+IF(I10="L5",SUMPRODUCT((Q$3:Q$14="")*(P$3:P$14="")*(O$3:O$14="")*(N$3:N$14="P")*(H$3:H$14=H10)*(K$3:K$14&lt;K10)*(I$3:I$14&lt;&gt;I10)*(J$3:J$14="P")),-1*SUMPRODUCT((Q$3:Q$14="")*(P$3:P$14="")*(O$3:O$14="")*(N$3:N$14="P")*(H$3:H$14=H10)*(K$3:K$14&gt;K10)*(I$3:I$14="L5")*(J$3:J$14="P")))+1,"")))))</f>
        <v/>
      </c>
      <c r="B10" s="1" t="str" cm="1">
        <f t="array" ref="B10">IF(Q10&lt;&gt;"",SUMPRODUCT((Q$3:Q$14&lt;&gt;"")*(H$3:H$14=H10)*(K$3:K$14&gt;K10))+1,IF(P10&lt;&gt;"",SUMPRODUCT((P$3:P$14&lt;&gt;"")*(Q$3:Q$14="")*(H$3:H$14=H10)*(K$3:K$14&gt;K10))+SUMPRODUCT((Q$3:Q$14&lt;&gt;"")*(H$3:H$14=H10))+1,IF(O10&lt;&gt;"",SUMPRODUCT((O$3:O$14&lt;&gt;"")*(H$3:H$14=H10)*(K$3:K$14&gt;K10))+1,IF(N10="P",SUMPRODUCT((P$3:P$14&lt;&gt;"")*(Q$3:Q$14="")*(H$3:H$14=H10))+SUMPRODUCT((Q$3:Q$14&lt;&gt;"")*(H$3:H$14=H10))+SUMPRODUCT((O$3:O$14&lt;&gt;"")*(H$3:H$14=H10))+SUMPRODUCT((Q$3:Q$14="")*(P$3:P$14="")*(O$3:O$14="")*(N$3:N$14="P")*(H$3:H$14=H10)*(K$3:K$14&gt;K10))+IF(I10="L5",SUMPRODUCT((Q$3:Q$14="")*(P$3:P$14="")*(O$3:O$14="")*(N$3:N$14="P")*(H$3:H$14=H10)*(K$3:K$14&lt;K10)*(I$3:I$14&lt;&gt;I10)),-1*SUMPRODUCT((Q$3:Q$14="")*(P$3:P$14="")*(O$3:O$14="")*(N$3:N$14="P")*(H$3:H$14=H10)*(K$3:K$14&gt;K10)*(I$3:I$14="L5")))+1,""))))</f>
        <v/>
      </c>
      <c r="C10" s="35" t="s">
        <v>372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IF(AND(B10&lt;5,J10="P"),IF(_xlfn.MAXIFS(B:B,H:H,H10)&gt;3,5-B10,_xlfn.MAXIFS(B:B,H:H,H10)+1-B10),"")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$14&lt;&gt;"")*(H$3:H$14=H11)*(K$3:K$14&gt;K11)*(J$3:J$14="P"))+1,IF(P11&lt;&gt;"",SUMPRODUCT((P$3:P$14&lt;&gt;"")*(Q$3:Q$14="")*(H$3:H$14=H11)*(K$3:K$14&gt;K11)*(J$3:J$14="P"))+SUMPRODUCT((Q$3:Q$14&lt;&gt;"")*(H$3:H$14=H11)*(J$3:J$14="P"))+1,IF(O11&lt;&gt;"",SUMPRODUCT((O$3:O$14&lt;&gt;"")*(H$3:H$14=H11)*(K$3:K$14&gt;K11)*(J$3:J$14="P"))+1,IF(N11="P",SUMPRODUCT((P$3:P$14&lt;&gt;"")*(Q$3:Q$14="")*(H$3:H$14=H11)*(J$3:J$14="P"))+SUMPRODUCT((Q$3:Q$14&lt;&gt;"")*(H$3:H$14=H11)*(J$3:J$14="P"))+SUMPRODUCT((O$3:O$14&lt;&gt;"")*(H$3:H$14=H11)*(J$3:J$14="P"))+SUMPRODUCT((Q$3:Q$14="")*(P$3:P$14="")*(O$3:O$14="")*(N$3:N$14="P")*(H$3:H$14=H11)*(K$3:K$14&gt;K11)*(J$3:J$14="P"))+IF(I11="L5",SUMPRODUCT((Q$3:Q$14="")*(P$3:P$14="")*(O$3:O$14="")*(N$3:N$14="P")*(H$3:H$14=H11)*(K$3:K$14&lt;K11)*(I$3:I$14&lt;&gt;I11)*(J$3:J$14="P")),-1*SUMPRODUCT((Q$3:Q$14="")*(P$3:P$14="")*(O$3:O$14="")*(N$3:N$14="P")*(H$3:H$14=H11)*(K$3:K$14&gt;K11)*(I$3:I$14="L5")*(J$3:J$14="P")))+1,"")))))</f>
        <v/>
      </c>
      <c r="B11" s="1" t="str" cm="1">
        <f t="array" ref="B11">IF(Q11&lt;&gt;"",SUMPRODUCT((Q$3:Q$14&lt;&gt;"")*(H$3:H$14=H11)*(K$3:K$14&gt;K11))+1,IF(P11&lt;&gt;"",SUMPRODUCT((P$3:P$14&lt;&gt;"")*(Q$3:Q$14="")*(H$3:H$14=H11)*(K$3:K$14&gt;K11))+SUMPRODUCT((Q$3:Q$14&lt;&gt;"")*(H$3:H$14=H11))+1,IF(O11&lt;&gt;"",SUMPRODUCT((O$3:O$14&lt;&gt;"")*(H$3:H$14=H11)*(K$3:K$14&gt;K11))+1,IF(N11="P",SUMPRODUCT((P$3:P$14&lt;&gt;"")*(Q$3:Q$14="")*(H$3:H$14=H11))+SUMPRODUCT((Q$3:Q$14&lt;&gt;"")*(H$3:H$14=H11))+SUMPRODUCT((O$3:O$14&lt;&gt;"")*(H$3:H$14=H11))+SUMPRODUCT((Q$3:Q$14="")*(P$3:P$14="")*(O$3:O$14="")*(N$3:N$14="P")*(H$3:H$14=H11)*(K$3:K$14&gt;K11))+IF(I11="L5",SUMPRODUCT((Q$3:Q$14="")*(P$3:P$14="")*(O$3:O$14="")*(N$3:N$14="P")*(H$3:H$14=H11)*(K$3:K$14&lt;K11)*(I$3:I$14&lt;&gt;I11)),-1*SUMPRODUCT((Q$3:Q$14="")*(P$3:P$14="")*(O$3:O$14="")*(N$3:N$14="P")*(H$3:H$14=H11)*(K$3:K$14&gt;K11)*(I$3:I$14="L5")))+1,""))))</f>
        <v/>
      </c>
      <c r="C11" s="35" t="s">
        <v>437</v>
      </c>
      <c r="D11" t="str">
        <f>IF(E11="","",VLOOKUP(E11,'Coaching Points'!A:B,2,0)&amp;"/"&amp;VLOOKUP(F11,'Coaching Points'!A:B,2,0))</f>
        <v>QC/QC</v>
      </c>
      <c r="E11" s="35" t="s">
        <v>125</v>
      </c>
      <c r="F11" s="35" t="s">
        <v>125</v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IF(AND(B11&lt;5,J11="P"),IF(_xlfn.MAXIFS(B:B,H:H,H11)&gt;3,5-B11,_xlfn.MAXIFS(B:B,H:H,H11)+1-B11),"")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$14&lt;&gt;"")*(H$3:H$14=H12)*(K$3:K$14&gt;K12)*(J$3:J$14="P"))+1,IF(P12&lt;&gt;"",SUMPRODUCT((P$3:P$14&lt;&gt;"")*(Q$3:Q$14="")*(H$3:H$14=H12)*(K$3:K$14&gt;K12)*(J$3:J$14="P"))+SUMPRODUCT((Q$3:Q$14&lt;&gt;"")*(H$3:H$14=H12)*(J$3:J$14="P"))+1,IF(O12&lt;&gt;"",SUMPRODUCT((O$3:O$14&lt;&gt;"")*(H$3:H$14=H12)*(K$3:K$14&gt;K12)*(J$3:J$14="P"))+1,IF(N12="P",SUMPRODUCT((P$3:P$14&lt;&gt;"")*(Q$3:Q$14="")*(H$3:H$14=H12)*(J$3:J$14="P"))+SUMPRODUCT((Q$3:Q$14&lt;&gt;"")*(H$3:H$14=H12)*(J$3:J$14="P"))+SUMPRODUCT((O$3:O$14&lt;&gt;"")*(H$3:H$14=H12)*(J$3:J$14="P"))+SUMPRODUCT((Q$3:Q$14="")*(P$3:P$14="")*(O$3:O$14="")*(N$3:N$14="P")*(H$3:H$14=H12)*(K$3:K$14&gt;K12)*(J$3:J$14="P"))+IF(I12="L5",SUMPRODUCT((Q$3:Q$14="")*(P$3:P$14="")*(O$3:O$14="")*(N$3:N$14="P")*(H$3:H$14=H12)*(K$3:K$14&lt;K12)*(I$3:I$14&lt;&gt;I12)*(J$3:J$14="P")),-1*SUMPRODUCT((Q$3:Q$14="")*(P$3:P$14="")*(O$3:O$14="")*(N$3:N$14="P")*(H$3:H$14=H12)*(K$3:K$14&gt;K12)*(I$3:I$14="L5")*(J$3:J$14="P")))+1,"")))))</f>
        <v/>
      </c>
      <c r="B12" s="1" t="str" cm="1">
        <f t="array" ref="B12">IF(Q12&lt;&gt;"",SUMPRODUCT((Q$3:Q$14&lt;&gt;"")*(H$3:H$14=H12)*(K$3:K$14&gt;K12))+1,IF(P12&lt;&gt;"",SUMPRODUCT((P$3:P$14&lt;&gt;"")*(Q$3:Q$14="")*(H$3:H$14=H12)*(K$3:K$14&gt;K12))+SUMPRODUCT((Q$3:Q$14&lt;&gt;"")*(H$3:H$14=H12))+1,IF(O12&lt;&gt;"",SUMPRODUCT((O$3:O$14&lt;&gt;"")*(H$3:H$14=H12)*(K$3:K$14&gt;K12))+1,IF(N12="P",SUMPRODUCT((P$3:P$14&lt;&gt;"")*(Q$3:Q$14="")*(H$3:H$14=H12))+SUMPRODUCT((Q$3:Q$14&lt;&gt;"")*(H$3:H$14=H12))+SUMPRODUCT((O$3:O$14&lt;&gt;"")*(H$3:H$14=H12))+SUMPRODUCT((Q$3:Q$14="")*(P$3:P$14="")*(O$3:O$14="")*(N$3:N$14="P")*(H$3:H$14=H12)*(K$3:K$14&gt;K12))+IF(I12="L5",SUMPRODUCT((Q$3:Q$14="")*(P$3:P$14="")*(O$3:O$14="")*(N$3:N$14="P")*(H$3:H$14=H12)*(K$3:K$14&lt;K12)*(I$3:I$14&lt;&gt;I12)),-1*SUMPRODUCT((Q$3:Q$14="")*(P$3:P$14="")*(O$3:O$14="")*(N$3:N$14="P")*(H$3:H$14=H12)*(K$3:K$14&gt;K12)*(I$3:I$14="L5")))+1,""))))</f>
        <v/>
      </c>
      <c r="C12" s="35" t="s">
        <v>374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IF(AND(B12&lt;5,J12="P"),IF(_xlfn.MAXIFS(B:B,H:H,H12)&gt;3,5-B12,_xlfn.MAXIFS(B:B,H:H,H12)+1-B12),"")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$14&lt;&gt;"")*(H$3:H$14=H13)*(K$3:K$14&gt;K13)*(J$3:J$14="P"))+1,IF(P13&lt;&gt;"",SUMPRODUCT((P$3:P$14&lt;&gt;"")*(Q$3:Q$14="")*(H$3:H$14=H13)*(K$3:K$14&gt;K13)*(J$3:J$14="P"))+SUMPRODUCT((Q$3:Q$14&lt;&gt;"")*(H$3:H$14=H13)*(J$3:J$14="P"))+1,IF(O13&lt;&gt;"",SUMPRODUCT((O$3:O$14&lt;&gt;"")*(H$3:H$14=H13)*(K$3:K$14&gt;K13)*(J$3:J$14="P"))+1,IF(N13="P",SUMPRODUCT((P$3:P$14&lt;&gt;"")*(Q$3:Q$14="")*(H$3:H$14=H13)*(J$3:J$14="P"))+SUMPRODUCT((Q$3:Q$14&lt;&gt;"")*(H$3:H$14=H13)*(J$3:J$14="P"))+SUMPRODUCT((O$3:O$14&lt;&gt;"")*(H$3:H$14=H13)*(J$3:J$14="P"))+SUMPRODUCT((Q$3:Q$14="")*(P$3:P$14="")*(O$3:O$14="")*(N$3:N$14="P")*(H$3:H$14=H13)*(K$3:K$14&gt;K13)*(J$3:J$14="P"))+IF(I13="L5",SUMPRODUCT((Q$3:Q$14="")*(P$3:P$14="")*(O$3:O$14="")*(N$3:N$14="P")*(H$3:H$14=H13)*(K$3:K$14&lt;K13)*(I$3:I$14&lt;&gt;I13)*(J$3:J$14="P")),-1*SUMPRODUCT((Q$3:Q$14="")*(P$3:P$14="")*(O$3:O$14="")*(N$3:N$14="P")*(H$3:H$14=H13)*(K$3:K$14&gt;K13)*(I$3:I$14="L5")*(J$3:J$14="P")))+1,"")))))</f>
        <v/>
      </c>
      <c r="B13" s="1" t="str" cm="1">
        <f t="array" ref="B13">IF(Q13&lt;&gt;"",SUMPRODUCT((Q$3:Q$14&lt;&gt;"")*(H$3:H$14=H13)*(K$3:K$14&gt;K13))+1,IF(P13&lt;&gt;"",SUMPRODUCT((P$3:P$14&lt;&gt;"")*(Q$3:Q$14="")*(H$3:H$14=H13)*(K$3:K$14&gt;K13))+SUMPRODUCT((Q$3:Q$14&lt;&gt;"")*(H$3:H$14=H13))+1,IF(O13&lt;&gt;"",SUMPRODUCT((O$3:O$14&lt;&gt;"")*(H$3:H$14=H13)*(K$3:K$14&gt;K13))+1,IF(N13="P",SUMPRODUCT((P$3:P$14&lt;&gt;"")*(Q$3:Q$14="")*(H$3:H$14=H13))+SUMPRODUCT((Q$3:Q$14&lt;&gt;"")*(H$3:H$14=H13))+SUMPRODUCT((O$3:O$14&lt;&gt;"")*(H$3:H$14=H13))+SUMPRODUCT((Q$3:Q$14="")*(P$3:P$14="")*(O$3:O$14="")*(N$3:N$14="P")*(H$3:H$14=H13)*(K$3:K$14&gt;K13))+IF(I13="L5",SUMPRODUCT((Q$3:Q$14="")*(P$3:P$14="")*(O$3:O$14="")*(N$3:N$14="P")*(H$3:H$14=H13)*(K$3:K$14&lt;K13)*(I$3:I$14&lt;&gt;I13)),-1*SUMPRODUCT((Q$3:Q$14="")*(P$3:P$14="")*(O$3:O$14="")*(N$3:N$14="P")*(H$3:H$14=H13)*(K$3:K$14&gt;K13)*(I$3:I$14="L5")))+1,""))))</f>
        <v/>
      </c>
      <c r="C13" s="35" t="s">
        <v>438</v>
      </c>
      <c r="D13" t="str">
        <f>IF(E13="","",VLOOKUP(E13,'Coaching Points'!A:B,2,0)&amp;"/"&amp;VLOOKUP(F13,'Coaching Points'!A:B,2,0))</f>
        <v>NS/NS</v>
      </c>
      <c r="E13" s="35" t="s">
        <v>86</v>
      </c>
      <c r="F13" s="35" t="s">
        <v>86</v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IF(AND(B13&lt;5,J13="P"),IF(_xlfn.MAXIFS(B:B,H:H,H13)&gt;3,5-B13,_xlfn.MAXIFS(B:B,H:H,H13)+1-B13),"")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$14&lt;&gt;"")*(H$3:H$14=H14)*(K$3:K$14&gt;K14)*(J$3:J$14="P"))+1,IF(P14&lt;&gt;"",SUMPRODUCT((P$3:P$14&lt;&gt;"")*(Q$3:Q$14="")*(H$3:H$14=H14)*(K$3:K$14&gt;K14)*(J$3:J$14="P"))+SUMPRODUCT((Q$3:Q$14&lt;&gt;"")*(H$3:H$14=H14)*(J$3:J$14="P"))+1,IF(O14&lt;&gt;"",SUMPRODUCT((O$3:O$14&lt;&gt;"")*(H$3:H$14=H14)*(K$3:K$14&gt;K14)*(J$3:J$14="P"))+1,IF(N14="P",SUMPRODUCT((P$3:P$14&lt;&gt;"")*(Q$3:Q$14="")*(H$3:H$14=H14)*(J$3:J$14="P"))+SUMPRODUCT((Q$3:Q$14&lt;&gt;"")*(H$3:H$14=H14)*(J$3:J$14="P"))+SUMPRODUCT((O$3:O$14&lt;&gt;"")*(H$3:H$14=H14)*(J$3:J$14="P"))+SUMPRODUCT((Q$3:Q$14="")*(P$3:P$14="")*(O$3:O$14="")*(N$3:N$14="P")*(H$3:H$14=H14)*(K$3:K$14&gt;K14)*(J$3:J$14="P"))+IF(I14="L5",SUMPRODUCT((Q$3:Q$14="")*(P$3:P$14="")*(O$3:O$14="")*(N$3:N$14="P")*(H$3:H$14=H14)*(K$3:K$14&lt;K14)*(I$3:I$14&lt;&gt;I14)*(J$3:J$14="P")),-1*SUMPRODUCT((Q$3:Q$14="")*(P$3:P$14="")*(O$3:O$14="")*(N$3:N$14="P")*(H$3:H$14=H14)*(K$3:K$14&gt;K14)*(I$3:I$14="L5")*(J$3:J$14="P")))+1,"")))))</f>
        <v/>
      </c>
      <c r="B14" s="1" t="str" cm="1">
        <f t="array" ref="B14">IF(Q14&lt;&gt;"",SUMPRODUCT((Q$3:Q$14&lt;&gt;"")*(H$3:H$14=H14)*(K$3:K$14&gt;K14))+1,IF(P14&lt;&gt;"",SUMPRODUCT((P$3:P$14&lt;&gt;"")*(Q$3:Q$14="")*(H$3:H$14=H14)*(K$3:K$14&gt;K14))+SUMPRODUCT((Q$3:Q$14&lt;&gt;"")*(H$3:H$14=H14))+1,IF(O14&lt;&gt;"",SUMPRODUCT((O$3:O$14&lt;&gt;"")*(H$3:H$14=H14)*(K$3:K$14&gt;K14))+1,IF(N14="P",SUMPRODUCT((P$3:P$14&lt;&gt;"")*(Q$3:Q$14="")*(H$3:H$14=H14))+SUMPRODUCT((Q$3:Q$14&lt;&gt;"")*(H$3:H$14=H14))+SUMPRODUCT((O$3:O$14&lt;&gt;"")*(H$3:H$14=H14))+SUMPRODUCT((Q$3:Q$14="")*(P$3:P$14="")*(O$3:O$14="")*(N$3:N$14="P")*(H$3:H$14=H14)*(K$3:K$14&gt;K14))+IF(I14="L5",SUMPRODUCT((Q$3:Q$14="")*(P$3:P$14="")*(O$3:O$14="")*(N$3:N$14="P")*(H$3:H$14=H14)*(K$3:K$14&lt;K14)*(I$3:I$14&lt;&gt;I14)),-1*SUMPRODUCT((Q$3:Q$14="")*(P$3:P$14="")*(O$3:O$14="")*(N$3:N$14="P")*(H$3:H$14=H14)*(K$3:K$14&gt;K14)*(I$3:I$14="L5")))+1,""))))</f>
        <v/>
      </c>
      <c r="C14" s="35" t="s">
        <v>371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IF(AND(B14&lt;5,J14="P"),IF(_xlfn.MAXIFS(B:B,H:H,H14)&gt;3,5-B14,_xlfn.MAXIFS(B:B,H:H,H14)+1-B14),"")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>1</v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389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 t="s">
        <v>507</v>
      </c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>
        <f>IF(AND(B3&lt;5,J3="P"),IF(_xlfn.MAXIFS(B:B,H:H,H3)&gt;3,5-B3,_xlfn.MAXIFS(B:B,H:H,H3)+1-B3),"")</f>
        <v>3</v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>2</v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390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 t="s">
        <v>507</v>
      </c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IF(AND(B4&lt;5,J4="P"),IF(_xlfn.MAXIFS(B:B,H:H,H4)&gt;3,5-B4,_xlfn.MAXIFS(B:B,H:H,H4)+1-B4),"")</f>
        <v>2</v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>3</v>
      </c>
      <c r="B5" s="1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>3</v>
      </c>
      <c r="C5" s="35" t="s">
        <v>446</v>
      </c>
      <c r="D5" t="str">
        <f>IF(E5="","",VLOOKUP(E5,'Coaching Points'!A:B,2,0)&amp;"/"&amp;VLOOKUP(F5,'Coaching Points'!A:B,2,0))</f>
        <v>ON/ON</v>
      </c>
      <c r="E5" s="35" t="s">
        <v>84</v>
      </c>
      <c r="F5" s="35" t="s">
        <v>84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 t="s">
        <v>507</v>
      </c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>
        <f>IF(AND(B5&lt;5,J5="P"),IF(_xlfn.MAXIFS(B:B,H:H,H5)&gt;3,5-B5,_xlfn.MAXIFS(B:B,H:H,H5)+1-B5),"")</f>
        <v>1</v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383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IF(AND(B6&lt;5,J6="P"),IF(_xlfn.MAXIFS(B:B,H:H,H6)&gt;3,5-B6,_xlfn.MAXIFS(B:B,H:H,H6)+1-B6),"")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384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IF(AND(B7&lt;5,J7="P"),IF(_xlfn.MAXIFS(B:B,H:H,H7)&gt;3,5-B7,_xlfn.MAXIFS(B:B,H:H,H7)+1-B7),"")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386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IF(AND(B8&lt;5,J8="P"),IF(_xlfn.MAXIFS(B:B,H:H,H8)&gt;3,5-B8,_xlfn.MAXIFS(B:B,H:H,H8)+1-B8),"")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380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IF(AND(B9&lt;5,J9="P"),IF(_xlfn.MAXIFS(B:B,H:H,H9)&gt;3,5-B9,_xlfn.MAXIFS(B:B,H:H,H9)+1-B9),"")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388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IF(AND(B10&lt;5,J10="P"),IF(_xlfn.MAXIFS(B:B,H:H,H10)&gt;3,5-B10,_xlfn.MAXIFS(B:B,H:H,H10)+1-B10),"")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441</v>
      </c>
      <c r="D11" t="str">
        <f>IF(E11="","",VLOOKUP(E11,'Coaching Points'!A:B,2,0)&amp;"/"&amp;VLOOKUP(F11,'Coaching Points'!A:B,2,0))</f>
        <v>NS/NS</v>
      </c>
      <c r="E11" s="35" t="s">
        <v>86</v>
      </c>
      <c r="F11" s="35" t="s">
        <v>86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IF(AND(B11&lt;5,J11="P"),IF(_xlfn.MAXIFS(B:B,H:H,H11)&gt;3,5-B11,_xlfn.MAXIFS(B:B,H:H,H11)+1-B11),"")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442</v>
      </c>
      <c r="D12" t="str">
        <f>IF(E12="","",VLOOKUP(E12,'Coaching Points'!A:B,2,0)&amp;"/"&amp;VLOOKUP(F12,'Coaching Points'!A:B,2,0))</f>
        <v>ON/ON</v>
      </c>
      <c r="E12" s="35" t="s">
        <v>37</v>
      </c>
      <c r="F12" s="35" t="s">
        <v>37</v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IF(AND(B12&lt;5,J12="P"),IF(_xlfn.MAXIFS(B:B,H:H,H12)&gt;3,5-B12,_xlfn.MAXIFS(B:B,H:H,H12)+1-B12),"")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443</v>
      </c>
      <c r="D13" t="str">
        <f>IF(E13="","",VLOOKUP(E13,'Coaching Points'!A:B,2,0)&amp;"/"&amp;VLOOKUP(F13,'Coaching Points'!A:B,2,0))</f>
        <v>ON/ON</v>
      </c>
      <c r="E13" s="35" t="s">
        <v>45</v>
      </c>
      <c r="F13" s="35" t="s">
        <v>45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IF(AND(B13&lt;5,J13="P"),IF(_xlfn.MAXIFS(B:B,H:H,H13)&gt;3,5-B13,_xlfn.MAXIFS(B:B,H:H,H13)+1-B13),"")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447</v>
      </c>
      <c r="D14" t="str">
        <f>IF(E14="","",VLOOKUP(E14,'Coaching Points'!A:B,2,0)&amp;"/"&amp;VLOOKUP(F14,'Coaching Points'!A:B,2,0))</f>
        <v>ON/ON</v>
      </c>
      <c r="E14" s="35" t="s">
        <v>45</v>
      </c>
      <c r="F14" s="35" t="s">
        <v>45</v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IF(AND(B14&lt;5,J14="P"),IF(_xlfn.MAXIFS(B:B,H:H,H14)&gt;3,5-B14,_xlfn.MAXIFS(B:B,H:H,H14)+1-B14),"")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381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IF(AND(B15&lt;5,J15="P"),IF(_xlfn.MAXIFS(B:B,H:H,H15)&gt;3,5-B15,_xlfn.MAXIFS(B:B,H:H,H15)+1-B15),"")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382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IF(AND(B16&lt;5,J16="P"),IF(_xlfn.MAXIFS(B:B,H:H,H16)&gt;3,5-B16,_xlfn.MAXIFS(B:B,H:H,H16)+1-B16),"")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387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IF(AND(B17&lt;5,J17="P"),IF(_xlfn.MAXIFS(B:B,H:H,H17)&gt;3,5-B17,_xlfn.MAXIFS(B:B,H:H,H17)+1-B17),"")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385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IF(AND(B18&lt;5,J18="P"),IF(_xlfn.MAXIFS(B:B,H:H,H18)&gt;3,5-B18,_xlfn.MAXIFS(B:B,H:H,H18)+1-B18),"")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444</v>
      </c>
      <c r="D19" t="str">
        <f>IF(E19="","",VLOOKUP(E19,'Coaching Points'!A:B,2,0)&amp;"/"&amp;VLOOKUP(F19,'Coaching Points'!A:B,2,0))</f>
        <v>BC/BC</v>
      </c>
      <c r="E19" s="35" t="s">
        <v>40</v>
      </c>
      <c r="F19" s="35" t="s">
        <v>40</v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IF(AND(B19&lt;5,J19="P"),IF(_xlfn.MAXIFS(B:B,H:H,H19)&gt;3,5-B19,_xlfn.MAXIFS(B:B,H:H,H19)+1-B19),"")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$21&lt;&gt;"")*(H$3:H$21=H20)*(K$3:K$21&gt;K20)*(J$3:J$21="P"))+1,IF(P20&lt;&gt;"",SUMPRODUCT((P$3:P$21&lt;&gt;"")*(Q$3:Q$21="")*(H$3:H$21=H20)*(K$3:K$21&gt;K20)*(J$3:J$21="P"))+SUMPRODUCT((Q$3:Q$21&lt;&gt;"")*(H$3:H$21=H20)*(J$3:J$21="P"))+1,IF(O20&lt;&gt;"",SUMPRODUCT((O$3:O$21&lt;&gt;"")*(H$3:H$21=H20)*(K$3:K$21&gt;K20)*(J$3:J$21="P"))+1,IF(N20="P",SUMPRODUCT((P$3:P$21&lt;&gt;"")*(Q$3:Q$21="")*(H$3:H$21=H20)*(J$3:J$21="P"))+SUMPRODUCT((Q$3:Q$21&lt;&gt;"")*(H$3:H$21=H20)*(J$3:J$21="P"))+SUMPRODUCT((O$3:O$21&lt;&gt;"")*(H$3:H$21=H20)*(J$3:J$21="P"))+SUMPRODUCT((Q$3:Q$21="")*(P$3:P$21="")*(O$3:O$21="")*(N$3:N$21="P")*(H$3:H$21=H20)*(K$3:K$21&gt;K20)*(J$3:J$21="P"))+IF(I20="L5",SUMPRODUCT((Q$3:Q$21="")*(P$3:P$21="")*(O$3:O$21="")*(N$3:N$21="P")*(H$3:H$21=H20)*(K$3:K$21&lt;K20)*(I$3:I$21&lt;&gt;I20)*(J$3:J$21="P")),-1*SUMPRODUCT((Q$3:Q$21="")*(P$3:P$21="")*(O$3:O$21="")*(N$3:N$21="P")*(H$3:H$21=H20)*(K$3:K$21&gt;K20)*(I$3:I$21="L5")*(J$3:J$21="P")))+1,"")))))</f>
        <v/>
      </c>
      <c r="B20" s="1" t="str" cm="1">
        <f t="array" ref="B20">IF(Q20&lt;&gt;"",SUMPRODUCT((Q$3:Q$21&lt;&gt;"")*(H$3:H$21=H20)*(K$3:K$21&gt;K20))+1,IF(P20&lt;&gt;"",SUMPRODUCT((P$3:P$21&lt;&gt;"")*(Q$3:Q$21="")*(H$3:H$21=H20)*(K$3:K$21&gt;K20))+SUMPRODUCT((Q$3:Q$21&lt;&gt;"")*(H$3:H$21=H20))+1,IF(O20&lt;&gt;"",SUMPRODUCT((O$3:O$21&lt;&gt;"")*(H$3:H$21=H20)*(K$3:K$21&gt;K20))+1,IF(N20="P",SUMPRODUCT((P$3:P$21&lt;&gt;"")*(Q$3:Q$21="")*(H$3:H$21=H20))+SUMPRODUCT((Q$3:Q$21&lt;&gt;"")*(H$3:H$21=H20))+SUMPRODUCT((O$3:O$21&lt;&gt;"")*(H$3:H$21=H20))+SUMPRODUCT((Q$3:Q$21="")*(P$3:P$21="")*(O$3:O$21="")*(N$3:N$21="P")*(H$3:H$21=H20)*(K$3:K$21&gt;K20))+IF(I20="L5",SUMPRODUCT((Q$3:Q$21="")*(P$3:P$21="")*(O$3:O$21="")*(N$3:N$21="P")*(H$3:H$21=H20)*(K$3:K$21&lt;K20)*(I$3:I$21&lt;&gt;I20)),-1*SUMPRODUCT((Q$3:Q$21="")*(P$3:P$21="")*(O$3:O$21="")*(N$3:N$21="P")*(H$3:H$21=H20)*(K$3:K$21&gt;K20)*(I$3:I$21="L5")))+1,""))))</f>
        <v/>
      </c>
      <c r="C20" s="35" t="s">
        <v>379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IF(AND(B20&lt;5,J20="P"),IF(_xlfn.MAXIFS(B:B,H:H,H20)&gt;3,5-B20,_xlfn.MAXIFS(B:B,H:H,H20)+1-B20),"")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$21&lt;&gt;"")*(H$3:H$21=H21)*(K$3:K$21&gt;K21)*(J$3:J$21="P"))+1,IF(P21&lt;&gt;"",SUMPRODUCT((P$3:P$21&lt;&gt;"")*(Q$3:Q$21="")*(H$3:H$21=H21)*(K$3:K$21&gt;K21)*(J$3:J$21="P"))+SUMPRODUCT((Q$3:Q$21&lt;&gt;"")*(H$3:H$21=H21)*(J$3:J$21="P"))+1,IF(O21&lt;&gt;"",SUMPRODUCT((O$3:O$21&lt;&gt;"")*(H$3:H$21=H21)*(K$3:K$21&gt;K21)*(J$3:J$21="P"))+1,IF(N21="P",SUMPRODUCT((P$3:P$21&lt;&gt;"")*(Q$3:Q$21="")*(H$3:H$21=H21)*(J$3:J$21="P"))+SUMPRODUCT((Q$3:Q$21&lt;&gt;"")*(H$3:H$21=H21)*(J$3:J$21="P"))+SUMPRODUCT((O$3:O$21&lt;&gt;"")*(H$3:H$21=H21)*(J$3:J$21="P"))+SUMPRODUCT((Q$3:Q$21="")*(P$3:P$21="")*(O$3:O$21="")*(N$3:N$21="P")*(H$3:H$21=H21)*(K$3:K$21&gt;K21)*(J$3:J$21="P"))+IF(I21="L5",SUMPRODUCT((Q$3:Q$21="")*(P$3:P$21="")*(O$3:O$21="")*(N$3:N$21="P")*(H$3:H$21=H21)*(K$3:K$21&lt;K21)*(I$3:I$21&lt;&gt;I21)*(J$3:J$21="P")),-1*SUMPRODUCT((Q$3:Q$21="")*(P$3:P$21="")*(O$3:O$21="")*(N$3:N$21="P")*(H$3:H$21=H21)*(K$3:K$21&gt;K21)*(I$3:I$21="L5")*(J$3:J$21="P")))+1,"")))))</f>
        <v/>
      </c>
      <c r="B21" s="1" t="str" cm="1">
        <f t="array" ref="B21">IF(Q21&lt;&gt;"",SUMPRODUCT((Q$3:Q$21&lt;&gt;"")*(H$3:H$21=H21)*(K$3:K$21&gt;K21))+1,IF(P21&lt;&gt;"",SUMPRODUCT((P$3:P$21&lt;&gt;"")*(Q$3:Q$21="")*(H$3:H$21=H21)*(K$3:K$21&gt;K21))+SUMPRODUCT((Q$3:Q$21&lt;&gt;"")*(H$3:H$21=H21))+1,IF(O21&lt;&gt;"",SUMPRODUCT((O$3:O$21&lt;&gt;"")*(H$3:H$21=H21)*(K$3:K$21&gt;K21))+1,IF(N21="P",SUMPRODUCT((P$3:P$21&lt;&gt;"")*(Q$3:Q$21="")*(H$3:H$21=H21))+SUMPRODUCT((Q$3:Q$21&lt;&gt;"")*(H$3:H$21=H21))+SUMPRODUCT((O$3:O$21&lt;&gt;"")*(H$3:H$21=H21))+SUMPRODUCT((Q$3:Q$21="")*(P$3:P$21="")*(O$3:O$21="")*(N$3:N$21="P")*(H$3:H$21=H21)*(K$3:K$21&gt;K21))+IF(I21="L5",SUMPRODUCT((Q$3:Q$21="")*(P$3:P$21="")*(O$3:O$21="")*(N$3:N$21="P")*(H$3:H$21=H21)*(K$3:K$21&lt;K21)*(I$3:I$21&lt;&gt;I21)),-1*SUMPRODUCT((Q$3:Q$21="")*(P$3:P$21="")*(O$3:O$21="")*(N$3:N$21="P")*(H$3:H$21=H21)*(K$3:K$21&gt;K21)*(I$3:I$21="L5")))+1,""))))</f>
        <v/>
      </c>
      <c r="C21" s="35" t="s">
        <v>445</v>
      </c>
      <c r="D21" t="str">
        <f>IF(E21="","",VLOOKUP(E21,'Coaching Points'!A:B,2,0)&amp;"/"&amp;VLOOKUP(F21,'Coaching Points'!A:B,2,0))</f>
        <v>ON/ON</v>
      </c>
      <c r="E21" s="35" t="s">
        <v>126</v>
      </c>
      <c r="F21" s="35" t="s">
        <v>76</v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IF(AND(B21&lt;5,J21="P"),IF(_xlfn.MAXIFS(B:B,H:H,H21)&gt;3,5-B21,_xlfn.MAXIFS(B:B,H:H,H21)+1-B21),"")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4"/>
  <sheetViews>
    <sheetView zoomScaleNormal="100" workbookViewId="0">
      <pane xSplit="5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>1</v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>
        <f>IF(AND(B3&lt;5,I3="P"),IF(_xlfn.MAXIFS(B:B,G:G,G3)&gt;3,5-B3,_xlfn.MAXIFS(B:B,G:G,G3)+1-B3),"")</f>
        <v>4</v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>2</v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3</v>
      </c>
      <c r="C4" s="35" t="s">
        <v>119</v>
      </c>
      <c r="D4" t="str">
        <f>IF(E4="","",VLOOKUP(E4,'Coaching Points'!A:B,2,0))</f>
        <v>AB</v>
      </c>
      <c r="E4" s="35" t="s">
        <v>62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105.80020531000002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7</v>
      </c>
      <c r="Q4" s="1">
        <f>IF(AND(B4&lt;5,I4="P"),IF(_xlfn.MAXIFS(B:B,G:G,G4)&gt;3,5-B4,_xlfn.MAXIFS(B:B,G:G,G4)+1-B4),"")</f>
        <v>2</v>
      </c>
      <c r="R4" s="4">
        <f>MAX(T4-IF(OR(H4="Senior"),V4,0),W4-IF(OR(H4="Senior"),Y4,0),Z4-IF(OR(H4="Senior"),AB4,0),AC4-IF(OR(H4="Senior"),AE4,0))</f>
        <v>53.1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52.7</v>
      </c>
      <c r="T4" s="32">
        <v>52.7</v>
      </c>
      <c r="U4" s="37">
        <v>16.100000000000001</v>
      </c>
      <c r="V4" s="37">
        <v>0</v>
      </c>
      <c r="W4" s="33">
        <v>52.1</v>
      </c>
      <c r="X4" s="37">
        <v>16.100000000000001</v>
      </c>
      <c r="Y4" s="37">
        <v>0</v>
      </c>
      <c r="Z4" s="32">
        <v>53.1</v>
      </c>
      <c r="AA4" s="37">
        <v>16.100000000000001</v>
      </c>
      <c r="AB4" s="37">
        <v>0</v>
      </c>
      <c r="AC4" s="33">
        <v>52.3</v>
      </c>
      <c r="AD4" s="37">
        <v>16.100000000000001</v>
      </c>
      <c r="AE4" s="37">
        <v>0</v>
      </c>
    </row>
    <row r="5" spans="1:32" x14ac:dyDescent="0.2">
      <c r="A5" s="1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>3</v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4</v>
      </c>
      <c r="C5" s="35" t="s">
        <v>82</v>
      </c>
      <c r="D5" t="str">
        <f>IF(E5="","",VLOOKUP(E5,'Coaching Points'!A:B,2,0))</f>
        <v>BC</v>
      </c>
      <c r="E5" s="35" t="s">
        <v>40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105.70020504000001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4</v>
      </c>
      <c r="Q5" s="1">
        <f>IF(AND(B5&lt;5,I5="P"),IF(_xlfn.MAXIFS(B:B,G:G,G5)&gt;3,5-B5,_xlfn.MAXIFS(B:B,G:G,G5)+1-B5),"")</f>
        <v>1</v>
      </c>
      <c r="R5" s="4">
        <f>MAX(T5-IF(OR(H5="Senior"),V5,0),W5-IF(OR(H5="Senior"),Y5,0),Z5-IF(OR(H5="Senior"),AB5,0),AC5-IF(OR(H5="Senior"),AE5,0))</f>
        <v>53.4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52.300000000000004</v>
      </c>
      <c r="T5" s="32">
        <v>52.6</v>
      </c>
      <c r="U5" s="37">
        <v>16.399999999999999</v>
      </c>
      <c r="V5" s="37">
        <v>0.3</v>
      </c>
      <c r="W5" s="33">
        <v>54</v>
      </c>
      <c r="X5" s="37">
        <v>17.3</v>
      </c>
      <c r="Y5" s="37">
        <v>0.6</v>
      </c>
      <c r="Z5" s="32">
        <v>50.4</v>
      </c>
      <c r="AA5" s="37">
        <v>14.9</v>
      </c>
      <c r="AB5" s="37">
        <v>0.3</v>
      </c>
      <c r="AC5" s="33">
        <v>25.7</v>
      </c>
      <c r="AD5" s="37">
        <v>7.6</v>
      </c>
      <c r="AE5" s="37">
        <v>0</v>
      </c>
    </row>
    <row r="6" spans="1:32" x14ac:dyDescent="0.2">
      <c r="A6" s="1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>4</v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5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103.20020448000001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8</v>
      </c>
      <c r="Q6" s="1" t="str">
        <f>IF(AND(B6&lt;5,I6="P"),IF(_xlfn.MAXIFS(B:B,G:G,G6)&gt;3,5-B6,_xlfn.MAXIFS(B:B,G:G,G6)+1-B6),"")</f>
        <v/>
      </c>
      <c r="R6" s="4">
        <f>MAX(T6-IF(OR(H6="Senior"),V6,0),W6-IF(OR(H6="Senior"),Y6,0),Z6-IF(OR(H6="Senior"),AB6,0),AC6-IF(OR(H6="Senior"),AE6,0))</f>
        <v>53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50.2</v>
      </c>
      <c r="T6" s="32">
        <v>53</v>
      </c>
      <c r="U6" s="37">
        <v>15.7</v>
      </c>
      <c r="V6" s="37">
        <v>0</v>
      </c>
      <c r="W6" s="33">
        <v>50.5</v>
      </c>
      <c r="X6" s="37">
        <v>15.6</v>
      </c>
      <c r="Y6" s="37">
        <v>0.3</v>
      </c>
      <c r="Z6" s="32">
        <v>44.8</v>
      </c>
      <c r="AA6" s="37">
        <v>12</v>
      </c>
      <c r="AB6" s="37">
        <v>0</v>
      </c>
      <c r="AC6" s="33"/>
      <c r="AD6" s="37"/>
      <c r="AE6" s="37"/>
    </row>
    <row r="7" spans="1:32" x14ac:dyDescent="0.2">
      <c r="A7" s="1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>5</v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6</v>
      </c>
      <c r="C7" s="35" t="s">
        <v>185</v>
      </c>
      <c r="D7" t="str">
        <f>IF(E7="","",VLOOKUP(E7,'Coaching Points'!A:B,2,0))</f>
        <v>ON</v>
      </c>
      <c r="E7" s="35" t="s">
        <v>45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 t="s">
        <v>507</v>
      </c>
      <c r="J7" s="4">
        <f>R7+S7+IF(OR(H7="Junior",H7="Senior"),0.0002,IF(OR(H7="L7",H7="L6"),0.0001,0))+MAX(Z7,AC7)*0.0000001</f>
        <v>102.60010513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O7" s="36">
        <v>3</v>
      </c>
      <c r="Q7" s="1" t="str">
        <f>IF(AND(B7&lt;5,I7="P"),IF(_xlfn.MAXIFS(B:B,G:G,G7)&gt;3,5-B7,_xlfn.MAXIFS(B:B,G:G,G7)+1-B7),"")</f>
        <v/>
      </c>
      <c r="R7" s="4">
        <f>MAX(T7-IF(OR(H7="Senior"),V7,0),W7-IF(OR(H7="Senior"),Y7,0),Z7-IF(OR(H7="Senior"),AB7,0),AC7-IF(OR(H7="Senior"),AE7,0))</f>
        <v>51.3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51.3</v>
      </c>
      <c r="T7" s="32">
        <v>50.7</v>
      </c>
      <c r="U7" s="37">
        <v>13.2</v>
      </c>
      <c r="V7" s="37">
        <v>0</v>
      </c>
      <c r="W7" s="33">
        <v>22.1</v>
      </c>
      <c r="X7" s="37">
        <v>6</v>
      </c>
      <c r="Y7" s="37">
        <v>0</v>
      </c>
      <c r="Z7" s="32">
        <v>51.3</v>
      </c>
      <c r="AA7" s="37">
        <v>14</v>
      </c>
      <c r="AB7" s="37">
        <v>0</v>
      </c>
      <c r="AC7" s="33">
        <v>51.3</v>
      </c>
      <c r="AD7" s="37">
        <v>14.8</v>
      </c>
      <c r="AE7" s="37">
        <v>0</v>
      </c>
    </row>
    <row r="8" spans="1:32" x14ac:dyDescent="0.2">
      <c r="A8" s="1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>6</v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7</v>
      </c>
      <c r="C8" s="35" t="s">
        <v>454</v>
      </c>
      <c r="D8" t="str">
        <f>IF(E8="","",VLOOKUP(E8,'Coaching Points'!A:B,2,0))</f>
        <v>AB</v>
      </c>
      <c r="E8" s="35" t="s">
        <v>28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 t="s">
        <v>507</v>
      </c>
      <c r="J8" s="4">
        <f>R8+S8+IF(OR(H8="Junior",H8="Senior"),0.0002,IF(OR(H8="L7",H8="L6"),0.0001,0))+MAX(Z8,AC8)*0.0000001</f>
        <v>101.10020522000002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1</v>
      </c>
      <c r="Q8" s="1" t="str">
        <f>IF(AND(B8&lt;5,I8="P"),IF(_xlfn.MAXIFS(B:B,G:G,G8)&gt;3,5-B8,_xlfn.MAXIFS(B:B,G:G,G8)+1-B8),"")</f>
        <v/>
      </c>
      <c r="R8" s="4">
        <f>MAX(T8-IF(OR(H8="Senior"),V8,0),W8-IF(OR(H8="Senior"),Y8,0),Z8-IF(OR(H8="Senior"),AB8,0),AC8-IF(OR(H8="Senior"),AE8,0))</f>
        <v>51.900000000000006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49.2</v>
      </c>
      <c r="T8" s="32"/>
      <c r="U8" s="37"/>
      <c r="V8" s="37"/>
      <c r="W8" s="33"/>
      <c r="X8" s="37"/>
      <c r="Y8" s="37"/>
      <c r="Z8" s="32">
        <v>52.2</v>
      </c>
      <c r="AA8" s="37">
        <v>16.5</v>
      </c>
      <c r="AB8" s="37">
        <v>0.3</v>
      </c>
      <c r="AC8" s="33">
        <v>49.5</v>
      </c>
      <c r="AD8" s="37">
        <v>15.7</v>
      </c>
      <c r="AE8" s="37">
        <v>0.3</v>
      </c>
    </row>
    <row r="9" spans="1:32" x14ac:dyDescent="0.2">
      <c r="A9" s="1" t="str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/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2</v>
      </c>
      <c r="C9" s="35" t="s">
        <v>80</v>
      </c>
      <c r="D9" t="str">
        <f>IF(E9="","",VLOOKUP(E9,'Coaching Points'!A:B,2,0))</f>
        <v>AB</v>
      </c>
      <c r="E9" s="35" t="s">
        <v>28</v>
      </c>
      <c r="F9" s="34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106.90020544000001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P9" s="36">
        <v>6</v>
      </c>
      <c r="Q9" s="1" t="str">
        <f>IF(AND(B9&lt;5,I9="P"),IF(_xlfn.MAXIFS(B:B,G:G,G9)&gt;3,5-B9,_xlfn.MAXIFS(B:B,G:G,G9)+1-B9),"")</f>
        <v/>
      </c>
      <c r="R9" s="4">
        <f>MAX(T9-IF(OR(H9="Senior"),V9,0),W9-IF(OR(H9="Senior"),Y9,0),Z9-IF(OR(H9="Senior"),AB9,0),AC9-IF(OR(H9="Senior"),AE9,0))</f>
        <v>54.1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52.800000000000004</v>
      </c>
      <c r="T9" s="32">
        <v>50.9</v>
      </c>
      <c r="U9" s="37">
        <v>15.7</v>
      </c>
      <c r="V9" s="37">
        <v>0</v>
      </c>
      <c r="W9" s="33">
        <v>49.5</v>
      </c>
      <c r="X9" s="37">
        <v>14.9</v>
      </c>
      <c r="Y9" s="37">
        <v>0</v>
      </c>
      <c r="Z9" s="32">
        <v>54.4</v>
      </c>
      <c r="AA9" s="37">
        <v>17.100000000000001</v>
      </c>
      <c r="AB9" s="37">
        <v>0.3</v>
      </c>
      <c r="AC9" s="33">
        <v>53.1</v>
      </c>
      <c r="AD9" s="37">
        <v>17.100000000000001</v>
      </c>
      <c r="AE9" s="37">
        <v>0.3</v>
      </c>
    </row>
    <row r="10" spans="1:32" x14ac:dyDescent="0.2">
      <c r="A10" s="1" t="str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/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IF(AND(B10&lt;5,I10="P"),IF(_xlfn.MAXIFS(B:B,G:G,G10)&gt;3,5-B10,_xlfn.MAXIFS(B:B,G:G,G10)+1-B10),"")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IF(AND(B11&lt;5,I11="P"),IF(_xlfn.MAXIFS(B:B,G:G,G11)&gt;3,5-B11,_xlfn.MAXIFS(B:B,G:G,G11)+1-B11),"")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IF(AND(B12&lt;5,I12="P"),IF(_xlfn.MAXIFS(B:B,G:G,G12)&gt;3,5-B12,_xlfn.MAXIFS(B:B,G:G,G12)+1-B12),"")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IF(AND(B13&lt;5,I13="P"),IF(_xlfn.MAXIFS(B:B,G:G,G13)&gt;3,5-B13,_xlfn.MAXIFS(B:B,G:G,G13)+1-B13),"")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IF(AND(B14&lt;5,I14="P"),IF(_xlfn.MAXIFS(B:B,G:G,G14)&gt;3,5-B14,_xlfn.MAXIFS(B:B,G:G,G14)+1-B14),"")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IF(AND(B15&lt;5,I15="P"),IF(_xlfn.MAXIFS(B:B,G:G,G15)&gt;3,5-B15,_xlfn.MAXIFS(B:B,G:G,G15)+1-B15),"")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IF(AND(B16&lt;5,I16="P"),IF(_xlfn.MAXIFS(B:B,G:G,G16)&gt;3,5-B16,_xlfn.MAXIFS(B:B,G:G,G16)+1-B16),"")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186</v>
      </c>
      <c r="D17" t="str">
        <f>IF(E17="","",VLOOKUP(E17,'Coaching Points'!A:B,2,0))</f>
        <v>BC</v>
      </c>
      <c r="E17" s="35" t="s">
        <v>122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IF(AND(B17&lt;5,I17="P"),IF(_xlfn.MAXIFS(B:B,G:G,G17)&gt;3,5-B17,_xlfn.MAXIFS(B:B,G:G,G17)+1-B17),"")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IF(AND(B18&lt;5,I18="P"),IF(_xlfn.MAXIFS(B:B,G:G,G18)&gt;3,5-B18,_xlfn.MAXIFS(B:B,G:G,G18)+1-B18),"")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IF(AND(B19&lt;5,I19="P"),IF(_xlfn.MAXIFS(B:B,G:G,G19)&gt;3,5-B19,_xlfn.MAXIFS(B:B,G:G,G19)+1-B19),"")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IF(AND(B20&lt;5,I20="P"),IF(_xlfn.MAXIFS(B:B,G:G,G20)&gt;3,5-B20,_xlfn.MAXIFS(B:B,G:G,G20)+1-B20),"")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347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IF(AND(B21&lt;5,I21="P"),IF(_xlfn.MAXIFS(B:B,G:G,G21)&gt;3,5-B21,_xlfn.MAXIFS(B:B,G:G,G21)+1-B21),"")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IF(AND(B22&lt;5,I22="P"),IF(_xlfn.MAXIFS(B:B,G:G,G22)&gt;3,5-B22,_xlfn.MAXIFS(B:B,G:G,G22)+1-B22),"")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IF(AND(B23&lt;5,I23="P"),IF(_xlfn.MAXIFS(B:B,G:G,G23)&gt;3,5-B23,_xlfn.MAXIFS(B:B,G:G,G23)+1-B23),"")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358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IF(AND(B24&lt;5,I24="P"),IF(_xlfn.MAXIFS(B:B,G:G,G24)&gt;3,5-B24,_xlfn.MAXIFS(B:B,G:G,G24)+1-B24),"")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403</v>
      </c>
      <c r="D25" t="str">
        <f>IF(E25="","",VLOOKUP(E25,'Coaching Points'!A:B,2,0))</f>
        <v>ON</v>
      </c>
      <c r="E25" s="35" t="s">
        <v>67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IF(AND(B25&lt;5,I25="P"),IF(_xlfn.MAXIFS(B:B,G:G,G25)&gt;3,5-B25,_xlfn.MAXIFS(B:B,G:G,G25)+1-B25),"")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IF(AND(B26&lt;5,I26="P"),IF(_xlfn.MAXIFS(B:B,G:G,G26)&gt;3,5-B26,_xlfn.MAXIFS(B:B,G:G,G26)+1-B26),"")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202</v>
      </c>
      <c r="D27" t="str">
        <f>IF(E27="","",VLOOKUP(E27,'Coaching Points'!A:B,2,0))</f>
        <v>NS</v>
      </c>
      <c r="E27" s="35" t="s">
        <v>86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IF(AND(B27&lt;5,I27="P"),IF(_xlfn.MAXIFS(B:B,G:G,G27)&gt;3,5-B27,_xlfn.MAXIFS(B:B,G:G,G27)+1-B27),"")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401</v>
      </c>
      <c r="D28" t="str">
        <f>IF(E28="","",VLOOKUP(E28,'Coaching Points'!A:B,2,0))</f>
        <v>ON</v>
      </c>
      <c r="E28" s="35" t="s">
        <v>45</v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IF(AND(B28&lt;5,I28="P"),IF(_xlfn.MAXIFS(B:B,G:G,G28)&gt;3,5-B28,_xlfn.MAXIFS(B:B,G:G,G28)+1-B28),"")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355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IF(AND(B29&lt;5,I29="P"),IF(_xlfn.MAXIFS(B:B,G:G,G29)&gt;3,5-B29,_xlfn.MAXIFS(B:B,G:G,G29)+1-B29),"")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356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IF(AND(B30&lt;5,I30="P"),IF(_xlfn.MAXIFS(B:B,G:G,G30)&gt;3,5-B30,_xlfn.MAXIFS(B:B,G:G,G30)+1-B30),"")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450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IF(AND(B31&lt;5,I31="P"),IF(_xlfn.MAXIFS(B:B,G:G,G31)&gt;3,5-B31,_xlfn.MAXIFS(B:B,G:G,G31)+1-B31),"")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IF(AND(B32&lt;5,I32="P"),IF(_xlfn.MAXIFS(B:B,G:G,G32)&gt;3,5-B32,_xlfn.MAXIFS(B:B,G:G,G32)+1-B32),"")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359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IF(AND(B33&lt;5,I33="P"),IF(_xlfn.MAXIFS(B:B,G:G,G33)&gt;3,5-B33,_xlfn.MAXIFS(B:B,G:G,G33)+1-B33),"")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482</v>
      </c>
      <c r="D34" t="str">
        <f>IF(E34="","",VLOOKUP(E34,'Coaching Points'!A:B,2,0))</f>
        <v>ON</v>
      </c>
      <c r="E34" s="35" t="s">
        <v>67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IF(AND(B34&lt;5,I34="P"),IF(_xlfn.MAXIFS(B:B,G:G,G34)&gt;3,5-B34,_xlfn.MAXIFS(B:B,G:G,G34)+1-B34),"")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IF(AND(B35&lt;5,I35="P"),IF(_xlfn.MAXIFS(B:B,G:G,G35)&gt;3,5-B35,_xlfn.MAXIFS(B:B,G:G,G35)+1-B35),"")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357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IF(AND(B36&lt;5,I36="P"),IF(_xlfn.MAXIFS(B:B,G:G,G36)&gt;3,5-B36,_xlfn.MAXIFS(B:B,G:G,G36)+1-B36),"")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IF(AND(B37&lt;5,I37="P"),IF(_xlfn.MAXIFS(B:B,G:G,G37)&gt;3,5-B37,_xlfn.MAXIFS(B:B,G:G,G37)+1-B37),"")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483</v>
      </c>
      <c r="D38" t="str">
        <f>IF(E38="","",VLOOKUP(E38,'Coaching Points'!A:B,2,0))</f>
        <v>QC</v>
      </c>
      <c r="E38" s="35" t="s">
        <v>124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IF(AND(B38&lt;5,I38="P"),IF(_xlfn.MAXIFS(B:B,G:G,G38)&gt;3,5-B38,_xlfn.MAXIFS(B:B,G:G,G38)+1-B38),"")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IF(AND(B39&lt;5,I39="P"),IF(_xlfn.MAXIFS(B:B,G:G,G39)&gt;3,5-B39,_xlfn.MAXIFS(B:B,G:G,G39)+1-B39),"")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IF(AND(B40&lt;5,I40="P"),IF(_xlfn.MAXIFS(B:B,G:G,G40)&gt;3,5-B40,_xlfn.MAXIFS(B:B,G:G,G40)+1-B40),"")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402</v>
      </c>
      <c r="D41" t="str">
        <f>IF(E41="","",VLOOKUP(E41,'Coaching Points'!A:B,2,0))</f>
        <v>QC</v>
      </c>
      <c r="E41" s="35" t="s">
        <v>99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IF(AND(B41&lt;5,I41="P"),IF(_xlfn.MAXIFS(B:B,G:G,G41)&gt;3,5-B41,_xlfn.MAXIFS(B:B,G:G,G41)+1-B41),"")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484</v>
      </c>
      <c r="D42" t="str">
        <f>IF(E42="","",VLOOKUP(E42,'Coaching Points'!A:B,2,0))</f>
        <v>ON</v>
      </c>
      <c r="E42" s="35" t="s">
        <v>45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IF(AND(B42&lt;5,I42="P"),IF(_xlfn.MAXIFS(B:B,G:G,G42)&gt;3,5-B42,_xlfn.MAXIFS(B:B,G:G,G42)+1-B42),"")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IF(AND(B43&lt;5,I43="P"),IF(_xlfn.MAXIFS(B:B,G:G,G43)&gt;3,5-B43,_xlfn.MAXIFS(B:B,G:G,G43)+1-B43),"")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IF(AND(B44&lt;5,I44="P"),IF(_xlfn.MAXIFS(B:B,G:G,G44)&gt;3,5-B44,_xlfn.MAXIFS(B:B,G:G,G44)+1-B44),"")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IF(AND(B45&lt;5,I45="P"),IF(_xlfn.MAXIFS(B:B,G:G,G45)&gt;3,5-B45,_xlfn.MAXIFS(B:B,G:G,G45)+1-B45),"")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IF(AND(B46&lt;5,I46="P"),IF(_xlfn.MAXIFS(B:B,G:G,G46)&gt;3,5-B46,_xlfn.MAXIFS(B:B,G:G,G46)+1-B46),"")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485</v>
      </c>
      <c r="D47" t="str">
        <f>IF(E47="","",VLOOKUP(E47,'Coaching Points'!A:B,2,0))</f>
        <v>NB</v>
      </c>
      <c r="E47" s="35" t="s">
        <v>504</v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IF(AND(B47&lt;5,I47="P"),IF(_xlfn.MAXIFS(B:B,G:G,G47)&gt;3,5-B47,_xlfn.MAXIFS(B:B,G:G,G47)+1-B47),"")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IF(AND(B48&lt;5,I48="P"),IF(_xlfn.MAXIFS(B:B,G:G,G48)&gt;3,5-B48,_xlfn.MAXIFS(B:B,G:G,G48)+1-B48),"")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>1</v>
      </c>
      <c r="B49" s="1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 t="s">
        <v>507</v>
      </c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>
        <f>IF(AND(B49&lt;5,I49="P"),IF(_xlfn.MAXIFS(B:B,G:G,G49)&gt;3,5-B49,_xlfn.MAXIFS(B:B,G:G,G49)+1-B49),"")</f>
        <v>4</v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>2</v>
      </c>
      <c r="B50" s="1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 t="s">
        <v>507</v>
      </c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>
        <f>IF(AND(B50&lt;5,I50="P"),IF(_xlfn.MAXIFS(B:B,G:G,G50)&gt;3,5-B50,_xlfn.MAXIFS(B:B,G:G,G50)+1-B50),"")</f>
        <v>3</v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>3</v>
      </c>
      <c r="B51" s="1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>3</v>
      </c>
      <c r="C51" s="35" t="s">
        <v>409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 t="s">
        <v>507</v>
      </c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>
        <f>IF(AND(B51&lt;5,I51="P"),IF(_xlfn.MAXIFS(B:B,G:G,G51)&gt;3,5-B51,_xlfn.MAXIFS(B:B,G:G,G51)+1-B51),"")</f>
        <v>2</v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>4</v>
      </c>
      <c r="B52" s="1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 t="s">
        <v>507</v>
      </c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>
        <f>IF(AND(B52&lt;5,I52="P"),IF(_xlfn.MAXIFS(B:B,G:G,G52)&gt;3,5-B52,_xlfn.MAXIFS(B:B,G:G,G52)+1-B52),"")</f>
        <v>1</v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IF(AND(B53&lt;5,I53="P"),IF(_xlfn.MAXIFS(B:B,G:G,G53)&gt;3,5-B53,_xlfn.MAXIFS(B:B,G:G,G53)+1-B53),"")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394</v>
      </c>
      <c r="D54" t="str">
        <f>IF(E54="","",VLOOKUP(E54,'Coaching Points'!A:B,2,0))</f>
        <v>ON</v>
      </c>
      <c r="E54" s="35" t="s">
        <v>84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IF(AND(B54&lt;5,I54="P"),IF(_xlfn.MAXIFS(B:B,G:G,G54)&gt;3,5-B54,_xlfn.MAXIFS(B:B,G:G,G54)+1-B54),"")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IF(AND(B55&lt;5,I55="P"),IF(_xlfn.MAXIFS(B:B,G:G,G55)&gt;3,5-B55,_xlfn.MAXIFS(B:B,G:G,G55)+1-B55),"")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/>
      </c>
      <c r="B56" s="1" t="str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IF(AND(B56&lt;5,I56="P"),IF(_xlfn.MAXIFS(B:B,G:G,G56)&gt;3,5-B56,_xlfn.MAXIFS(B:B,G:G,G56)+1-B56),"")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/>
      </c>
      <c r="B57" s="1" t="str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/>
      </c>
      <c r="C57" s="35" t="s">
        <v>473</v>
      </c>
      <c r="D57" t="str">
        <f>IF(E57="","",VLOOKUP(E57,'Coaching Points'!A:B,2,0))</f>
        <v>QC</v>
      </c>
      <c r="E57" s="35" t="s">
        <v>124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IF(AND(B57&lt;5,I57="P"),IF(_xlfn.MAXIFS(B:B,G:G,G57)&gt;3,5-B57,_xlfn.MAXIFS(B:B,G:G,G57)+1-B57),"")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/>
      </c>
      <c r="B58" s="1" t="str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/>
      </c>
      <c r="C58" s="35" t="s">
        <v>408</v>
      </c>
      <c r="D58" t="str">
        <f>IF(E58="","",VLOOKUP(E58,'Coaching Points'!A:B,2,0))</f>
        <v>QC</v>
      </c>
      <c r="E58" s="35" t="s">
        <v>125</v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IF(AND(B58&lt;5,I58="P"),IF(_xlfn.MAXIFS(B:B,G:G,G58)&gt;3,5-B58,_xlfn.MAXIFS(B:B,G:G,G58)+1-B58),"")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/>
      </c>
      <c r="B59" s="1" t="str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IF(AND(B59&lt;5,I59="P"),IF(_xlfn.MAXIFS(B:B,G:G,G59)&gt;3,5-B59,_xlfn.MAXIFS(B:B,G:G,G59)+1-B59),"")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/>
      </c>
      <c r="B60" s="1" t="str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IF(AND(B60&lt;5,I60="P"),IF(_xlfn.MAXIFS(B:B,G:G,G60)&gt;3,5-B60,_xlfn.MAXIFS(B:B,G:G,G60)+1-B60),"")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352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IF(AND(B61&lt;5,I61="P"),IF(_xlfn.MAXIFS(B:B,G:G,G61)&gt;3,5-B61,_xlfn.MAXIFS(B:B,G:G,G61)+1-B61),"")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474</v>
      </c>
      <c r="D62" t="str">
        <f>IF(E62="","",VLOOKUP(E62,'Coaching Points'!A:B,2,0))</f>
        <v>AB</v>
      </c>
      <c r="E62" s="35" t="s">
        <v>28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IF(AND(B62&lt;5,I62="P"),IF(_xlfn.MAXIFS(B:B,G:G,G62)&gt;3,5-B62,_xlfn.MAXIFS(B:B,G:G,G62)+1-B62),"")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IF(AND(B63&lt;5,I63="P"),IF(_xlfn.MAXIFS(B:B,G:G,G63)&gt;3,5-B63,_xlfn.MAXIFS(B:B,G:G,G63)+1-B63),"")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IF(AND(B64&lt;5,I64="P"),IF(_xlfn.MAXIFS(B:B,G:G,G64)&gt;3,5-B64,_xlfn.MAXIFS(B:B,G:G,G64)+1-B64),"")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IF(AND(B65&lt;5,I65="P"),IF(_xlfn.MAXIFS(B:B,G:G,G65)&gt;3,5-B65,_xlfn.MAXIFS(B:B,G:G,G65)+1-B65),"")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IF(AND(B66&lt;5,I66="P"),IF(_xlfn.MAXIFS(B:B,G:G,G66)&gt;3,5-B66,_xlfn.MAXIFS(B:B,G:G,G66)+1-B66),"")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IF(AND(B67&lt;5,I67="P"),IF(_xlfn.MAXIFS(B:B,G:G,G67)&gt;3,5-B67,_xlfn.MAXIFS(B:B,G:G,G67)+1-B67),"")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351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IF(AND(B68&lt;5,I68="P"),IF(_xlfn.MAXIFS(B:B,G:G,G68)&gt;3,5-B68,_xlfn.MAXIFS(B:B,G:G,G68)+1-B68),"")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475</v>
      </c>
      <c r="D69" t="str">
        <f>IF(E69="","",VLOOKUP(E69,'Coaching Points'!A:B,2,0))</f>
        <v>QC</v>
      </c>
      <c r="E69" s="35" t="s">
        <v>75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IF(AND(B69&lt;5,I69="P"),IF(_xlfn.MAXIFS(B:B,G:G,G69)&gt;3,5-B69,_xlfn.MAXIFS(B:B,G:G,G69)+1-B69),"")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395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IF(AND(B70&lt;5,I70="P"),IF(_xlfn.MAXIFS(B:B,G:G,G70)&gt;3,5-B70,_xlfn.MAXIFS(B:B,G:G,G70)+1-B70),"")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476</v>
      </c>
      <c r="D71" t="str">
        <f>IF(E71="","",VLOOKUP(E71,'Coaching Points'!A:B,2,0))</f>
        <v>QC</v>
      </c>
      <c r="E71" s="35" t="s">
        <v>174</v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IF(AND(B71&lt;5,I71="P"),IF(_xlfn.MAXIFS(B:B,G:G,G71)&gt;3,5-B71,_xlfn.MAXIFS(B:B,G:G,G71)+1-B71),"")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477</v>
      </c>
      <c r="D72" t="str">
        <f>IF(E72="","",VLOOKUP(E72,'Coaching Points'!A:B,2,0))</f>
        <v>AB</v>
      </c>
      <c r="E72" s="35" t="s">
        <v>39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IF(AND(B72&lt;5,I72="P"),IF(_xlfn.MAXIFS(B:B,G:G,G72)&gt;3,5-B72,_xlfn.MAXIFS(B:B,G:G,G72)+1-B72),"")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478</v>
      </c>
      <c r="D73" t="str">
        <f>IF(E73="","",VLOOKUP(E73,'Coaching Points'!A:B,2,0))</f>
        <v>QC</v>
      </c>
      <c r="E73" s="35" t="s">
        <v>3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IF(AND(B73&lt;5,I73="P"),IF(_xlfn.MAXIFS(B:B,G:G,G73)&gt;3,5-B73,_xlfn.MAXIFS(B:B,G:G,G73)+1-B73),"")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397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IF(AND(B74&lt;5,I74="P"),IF(_xlfn.MAXIFS(B:B,G:G,G74)&gt;3,5-B74,_xlfn.MAXIFS(B:B,G:G,G74)+1-B74),"")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479</v>
      </c>
      <c r="D75" t="str">
        <f>IF(E75="","",VLOOKUP(E75,'Coaching Points'!A:B,2,0))</f>
        <v>AB</v>
      </c>
      <c r="E75" s="35" t="s">
        <v>360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IF(AND(B75&lt;5,I75="P"),IF(_xlfn.MAXIFS(B:B,G:G,G75)&gt;3,5-B75,_xlfn.MAXIFS(B:B,G:G,G75)+1-B75),"")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480</v>
      </c>
      <c r="D76" t="str">
        <f>IF(E76="","",VLOOKUP(E76,'Coaching Points'!A:B,2,0))</f>
        <v>SK</v>
      </c>
      <c r="E76" s="35" t="s">
        <v>287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IF(AND(B76&lt;5,I76="P"),IF(_xlfn.MAXIFS(B:B,G:G,G76)&gt;3,5-B76,_xlfn.MAXIFS(B:B,G:G,G76)+1-B76),"")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481</v>
      </c>
      <c r="D77" t="str">
        <f>IF(E77="","",VLOOKUP(E77,'Coaching Points'!A:B,2,0))</f>
        <v>AB</v>
      </c>
      <c r="E77" s="35" t="s">
        <v>61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IF(AND(B77&lt;5,I77="P"),IF(_xlfn.MAXIFS(B:B,G:G,G77)&gt;3,5-B77,_xlfn.MAXIFS(B:B,G:G,G77)+1-B77),"")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353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IF(AND(B78&lt;5,I78="P"),IF(_xlfn.MAXIFS(B:B,G:G,G78)&gt;3,5-B78,_xlfn.MAXIFS(B:B,G:G,G78)+1-B78),"")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354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IF(AND(B79&lt;5,I79="P"),IF(_xlfn.MAXIFS(B:B,G:G,G79)&gt;3,5-B79,_xlfn.MAXIFS(B:B,G:G,G79)+1-B79),"")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>1</v>
      </c>
      <c r="B80" s="1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 t="s">
        <v>507</v>
      </c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>
        <f>IF(AND(B80&lt;5,I80="P"),IF(_xlfn.MAXIFS(B:B,G:G,G80)&gt;3,5-B80,_xlfn.MAXIFS(B:B,G:G,G80)+1-B80),"")</f>
        <v>4</v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>2</v>
      </c>
      <c r="B81" s="1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>2</v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 t="s">
        <v>507</v>
      </c>
      <c r="J81" s="4">
        <f>R81+S81+IF(OR(H81="Junior",H81="Senior"),0.0002,IF(OR(H81="L7",H81="L6"),0.0001,0))+MAX(Z81,AC81)*0.0000001</f>
        <v>95.10000475999999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>
        <f>IF(AND(B81&lt;5,I81="P"),IF(_xlfn.MAXIFS(B:B,G:G,G81)&gt;3,5-B81,_xlfn.MAXIFS(B:B,G:G,G81)+1-B81),"")</f>
        <v>3</v>
      </c>
      <c r="R81" s="4">
        <f>MAX(T81-IF(OR(H81="Senior"),V81,0),W81-IF(OR(H81="Senior"),Y81,0),Z81-IF(OR(H81="Senior"),AB81,0),AC81-IF(OR(H81="Senior"),AE81,0))</f>
        <v>47.6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47.5</v>
      </c>
      <c r="T81" s="32">
        <v>43.2</v>
      </c>
      <c r="U81" s="37">
        <v>7.2</v>
      </c>
      <c r="V81" s="37">
        <v>0</v>
      </c>
      <c r="W81" s="33">
        <v>44.5</v>
      </c>
      <c r="X81" s="37">
        <v>8.5</v>
      </c>
      <c r="Y81" s="37">
        <v>0</v>
      </c>
      <c r="Z81" s="32">
        <v>47.5</v>
      </c>
      <c r="AA81" s="37">
        <v>10.399999999999999</v>
      </c>
      <c r="AB81" s="37">
        <v>0</v>
      </c>
      <c r="AC81" s="33">
        <v>47.6</v>
      </c>
      <c r="AD81" s="37">
        <v>10.399999999999999</v>
      </c>
      <c r="AE81" s="37">
        <v>0</v>
      </c>
    </row>
    <row r="82" spans="1:31" x14ac:dyDescent="0.2">
      <c r="A82" s="1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>3</v>
      </c>
      <c r="B82" s="1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>3</v>
      </c>
      <c r="C82" s="35" t="s">
        <v>193</v>
      </c>
      <c r="D82" t="str">
        <f>IF(E82="","",VLOOKUP(E82,'Coaching Points'!A:B,2,0))</f>
        <v>ON</v>
      </c>
      <c r="E82" s="35" t="s">
        <v>208</v>
      </c>
      <c r="F82" s="34">
        <v>2011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 t="s">
        <v>507</v>
      </c>
      <c r="J82" s="4">
        <f>R82+S82+IF(OR(H82="Junior",H82="Senior"),0.0002,IF(OR(H82="L7",H82="L6"),0.0001,0))+MAX(Z82,AC82)*0.0000001</f>
        <v>92.300004660000013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>
        <f>IF(AND(B82&lt;5,I82="P"),IF(_xlfn.MAXIFS(B:B,G:G,G82)&gt;3,5-B82,_xlfn.MAXIFS(B:B,G:G,G82)+1-B82),"")</f>
        <v>2</v>
      </c>
      <c r="R82" s="4">
        <f>MAX(T82-IF(OR(H82="Senior"),V82,0),W82-IF(OR(H82="Senior"),Y82,0),Z82-IF(OR(H82="Senior"),AB82,0),AC82-IF(OR(H82="Senior"),AE82,0))</f>
        <v>46.6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45.7</v>
      </c>
      <c r="T82" s="32">
        <v>45.7</v>
      </c>
      <c r="U82" s="37">
        <v>7.9</v>
      </c>
      <c r="V82" s="37">
        <v>0</v>
      </c>
      <c r="W82" s="33">
        <v>44.3</v>
      </c>
      <c r="X82" s="37">
        <v>7.1</v>
      </c>
      <c r="Y82" s="37">
        <v>0</v>
      </c>
      <c r="Z82" s="32">
        <v>46.6</v>
      </c>
      <c r="AA82" s="37">
        <v>9.6</v>
      </c>
      <c r="AB82" s="37">
        <v>0</v>
      </c>
      <c r="AC82" s="33">
        <v>37.6</v>
      </c>
      <c r="AD82" s="37">
        <v>4.2</v>
      </c>
      <c r="AE82" s="37">
        <v>0</v>
      </c>
    </row>
    <row r="83" spans="1:31" x14ac:dyDescent="0.2">
      <c r="A83" s="1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>4</v>
      </c>
      <c r="B83" s="1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>4</v>
      </c>
      <c r="C83" s="35" t="s">
        <v>191</v>
      </c>
      <c r="D83" t="str">
        <f>IF(E83="","",VLOOKUP(E83,'Coaching Points'!A:B,2,0))</f>
        <v>BC</v>
      </c>
      <c r="E83" s="35" t="s">
        <v>40</v>
      </c>
      <c r="F83" s="34">
        <v>2012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 t="s">
        <v>507</v>
      </c>
      <c r="J83" s="4">
        <f>R83+S83+IF(OR(H83="Junior",H83="Senior"),0.0002,IF(OR(H83="L7",H83="L6"),0.0001,0))+MAX(Z83,AC83)*0.0000001</f>
        <v>90.600004569999996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>
        <f>IF(AND(B83&lt;5,I83="P"),IF(_xlfn.MAXIFS(B:B,G:G,G83)&gt;3,5-B83,_xlfn.MAXIFS(B:B,G:G,G83)+1-B83),"")</f>
        <v>1</v>
      </c>
      <c r="R83" s="4">
        <f>MAX(T83-IF(OR(H83="Senior"),V83,0),W83-IF(OR(H83="Senior"),Y83,0),Z83-IF(OR(H83="Senior"),AB83,0),AC83-IF(OR(H83="Senior"),AE83,0))</f>
        <v>45.7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44.9</v>
      </c>
      <c r="T83" s="32">
        <v>42.8</v>
      </c>
      <c r="U83" s="37">
        <v>6.5</v>
      </c>
      <c r="V83" s="37">
        <v>0</v>
      </c>
      <c r="W83" s="33">
        <v>44.9</v>
      </c>
      <c r="X83" s="37">
        <v>8.3000000000000007</v>
      </c>
      <c r="Y83" s="37">
        <v>0</v>
      </c>
      <c r="Z83" s="32">
        <v>41.1</v>
      </c>
      <c r="AA83" s="37">
        <v>8.4</v>
      </c>
      <c r="AB83" s="37">
        <v>0</v>
      </c>
      <c r="AC83" s="33">
        <v>45.7</v>
      </c>
      <c r="AD83" s="37">
        <v>10</v>
      </c>
      <c r="AE83" s="37">
        <v>0</v>
      </c>
    </row>
    <row r="84" spans="1:31" x14ac:dyDescent="0.2">
      <c r="A84" s="1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>5</v>
      </c>
      <c r="B84" s="1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>5</v>
      </c>
      <c r="C84" s="35" t="s">
        <v>348</v>
      </c>
      <c r="D84" t="str">
        <f>IF(E84="","",VLOOKUP(E84,'Coaching Points'!A:B,2,0))</f>
        <v>BC</v>
      </c>
      <c r="E84" s="35" t="s">
        <v>40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 t="s">
        <v>507</v>
      </c>
      <c r="J84" s="4">
        <f>R84+S84+IF(OR(H84="Junior",H84="Senior"),0.0002,IF(OR(H84="L7",H84="L6"),0.0001,0))+MAX(Z84,AC84)*0.0000001</f>
        <v>90.300004680000001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IF(AND(B84&lt;5,I84="P"),IF(_xlfn.MAXIFS(B:B,G:G,G84)&gt;3,5-B84,_xlfn.MAXIFS(B:B,G:G,G84)+1-B84),"")</f>
        <v/>
      </c>
      <c r="R84" s="4">
        <f>MAX(T84-IF(OR(H84="Senior"),V84,0),W84-IF(OR(H84="Senior"),Y84,0),Z84-IF(OR(H84="Senior"),AB84,0),AC84-IF(OR(H84="Senior"),AE84,0))</f>
        <v>46.8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43.5</v>
      </c>
      <c r="T84" s="32">
        <v>42.3</v>
      </c>
      <c r="U84" s="37">
        <v>6.3000000000000007</v>
      </c>
      <c r="V84" s="37">
        <v>0</v>
      </c>
      <c r="W84" s="33">
        <v>43.5</v>
      </c>
      <c r="X84" s="37">
        <v>6.3</v>
      </c>
      <c r="Y84" s="37">
        <v>0</v>
      </c>
      <c r="Z84" s="32">
        <v>46.8</v>
      </c>
      <c r="AA84" s="37">
        <v>9.6</v>
      </c>
      <c r="AB84" s="37">
        <v>0</v>
      </c>
      <c r="AC84" s="33">
        <v>43.5</v>
      </c>
      <c r="AD84" s="37">
        <v>7.2</v>
      </c>
      <c r="AE84" s="37">
        <v>0</v>
      </c>
    </row>
    <row r="85" spans="1:31" x14ac:dyDescent="0.2">
      <c r="A85" s="1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>6</v>
      </c>
      <c r="B85" s="1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>6</v>
      </c>
      <c r="C85" s="35" t="s">
        <v>188</v>
      </c>
      <c r="D85" t="str">
        <f>IF(E85="","",VLOOKUP(E85,'Coaching Points'!A:B,2,0))</f>
        <v>BC</v>
      </c>
      <c r="E85" s="35" t="s">
        <v>128</v>
      </c>
      <c r="F85" s="34">
        <v>2012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 t="s">
        <v>507</v>
      </c>
      <c r="J85" s="4">
        <f>R85+S85+IF(OR(H85="Junior",H85="Senior"),0.0002,IF(OR(H85="L7",H85="L6"),0.0001,0))+MAX(Z85,AC85)*0.0000001</f>
        <v>89.700004439999987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IF(AND(B85&lt;5,I85="P"),IF(_xlfn.MAXIFS(B:B,G:G,G85)&gt;3,5-B85,_xlfn.MAXIFS(B:B,G:G,G85)+1-B85),"")</f>
        <v/>
      </c>
      <c r="R85" s="4">
        <f>MAX(T85-IF(OR(H85="Senior"),V85,0),W85-IF(OR(H85="Senior"),Y85,0),Z85-IF(OR(H85="Senior"),AB85,0),AC85-IF(OR(H85="Senior"),AE85,0))</f>
        <v>45.3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44.4</v>
      </c>
      <c r="T85" s="32">
        <v>45.3</v>
      </c>
      <c r="U85" s="37">
        <v>8.3000000000000007</v>
      </c>
      <c r="V85" s="37">
        <v>0</v>
      </c>
      <c r="W85" s="33">
        <v>44.2</v>
      </c>
      <c r="X85" s="37">
        <v>8.3000000000000007</v>
      </c>
      <c r="Y85" s="37">
        <v>0</v>
      </c>
      <c r="Z85" s="32">
        <v>44.4</v>
      </c>
      <c r="AA85" s="37">
        <v>8.4</v>
      </c>
      <c r="AB85" s="37">
        <v>0</v>
      </c>
      <c r="AC85" s="33">
        <v>43.9</v>
      </c>
      <c r="AD85" s="37">
        <v>8.3000000000000007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136</v>
      </c>
      <c r="D86" t="str">
        <f>IF(E86="","",VLOOKUP(E86,'Coaching Points'!A:B,2,0))</f>
        <v>BC</v>
      </c>
      <c r="E86" s="35" t="s">
        <v>60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87.500004360000005</v>
      </c>
      <c r="K86" s="3" t="str">
        <f>IF(G86="Not Age Eligible","",IF(MAX(T86,W86,Z86,AC86)&gt;=LOOKUP(G86,'Qualifying Scores'!$A$4:$A$7,'Qualifying Scores'!$F$4:$F$7),"P",""))</f>
        <v/>
      </c>
      <c r="L86" s="3" t="str">
        <f>IF(G86="Not Age Eligible","",IF(MAX(U86,X86,AA86,AD86)&gt;=LOOKUP(G86,'Qualifying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/>
      </c>
      <c r="Q86" s="1" t="str">
        <f>IF(AND(B86&lt;5,I86="P"),IF(_xlfn.MAXIFS(B:B,G:G,G86)&gt;3,5-B86,_xlfn.MAXIFS(B:B,G:G,G86)+1-B86),"")</f>
        <v/>
      </c>
      <c r="R86" s="4">
        <f>MAX(T86-IF(OR(H86="Senior"),V86,0),W86-IF(OR(H86="Senior"),Y86,0),Z86-IF(OR(H86="Senior"),AB86,0),AC86-IF(OR(H86="Senior"),AE86,0))</f>
        <v>43.9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43.6</v>
      </c>
      <c r="T86" s="32">
        <v>43.9</v>
      </c>
      <c r="U86" s="37">
        <v>6.6</v>
      </c>
      <c r="V86" s="37">
        <v>0</v>
      </c>
      <c r="W86" s="33">
        <v>42.5</v>
      </c>
      <c r="X86" s="37">
        <v>6.6999999999999993</v>
      </c>
      <c r="Y86" s="37">
        <v>0</v>
      </c>
      <c r="Z86" s="32">
        <v>43.6</v>
      </c>
      <c r="AA86" s="37">
        <v>6.6</v>
      </c>
      <c r="AB86" s="37">
        <v>0</v>
      </c>
      <c r="AC86" s="33">
        <v>43.5</v>
      </c>
      <c r="AD86" s="37">
        <v>6.5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391</v>
      </c>
      <c r="D87" t="str">
        <f>IF(E87="","",VLOOKUP(E87,'Coaching Points'!A:B,2,0))</f>
        <v>QC</v>
      </c>
      <c r="E87" s="35" t="s">
        <v>3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86.100004319999996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IF(AND(B87&lt;5,I87="P"),IF(_xlfn.MAXIFS(B:B,G:G,G87)&gt;3,5-B87,_xlfn.MAXIFS(B:B,G:G,G87)+1-B87),"")</f>
        <v/>
      </c>
      <c r="R87" s="4">
        <f>MAX(T87-IF(OR(H87="Senior"),V87,0),W87-IF(OR(H87="Senior"),Y87,0),Z87-IF(OR(H87="Senior"),AB87,0),AC87-IF(OR(H87="Senior"),AE87,0))</f>
        <v>43.2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42.9</v>
      </c>
      <c r="T87" s="32"/>
      <c r="U87" s="37"/>
      <c r="V87" s="37"/>
      <c r="W87" s="33"/>
      <c r="X87" s="37"/>
      <c r="Y87" s="37"/>
      <c r="Z87" s="32">
        <v>42.9</v>
      </c>
      <c r="AA87" s="37">
        <v>6.4</v>
      </c>
      <c r="AB87" s="37">
        <v>0</v>
      </c>
      <c r="AC87" s="33">
        <v>43.2</v>
      </c>
      <c r="AD87" s="37">
        <v>6.2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350</v>
      </c>
      <c r="D88" t="str">
        <f>IF(E88="","",VLOOKUP(E88,'Coaching Points'!A:B,2,0))</f>
        <v>BC</v>
      </c>
      <c r="E88" s="35" t="s">
        <v>40</v>
      </c>
      <c r="F88" s="34">
        <v>2012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84.000004239999996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IF(AND(B88&lt;5,I88="P"),IF(_xlfn.MAXIFS(B:B,G:G,G88)&gt;3,5-B88,_xlfn.MAXIFS(B:B,G:G,G88)+1-B88),"")</f>
        <v/>
      </c>
      <c r="R88" s="4">
        <f>MAX(T88-IF(OR(H88="Senior"),V88,0),W88-IF(OR(H88="Senior"),Y88,0),Z88-IF(OR(H88="Senior"),AB88,0),AC88-IF(OR(H88="Senior"),AE88,0))</f>
        <v>42.4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41.6</v>
      </c>
      <c r="T88" s="32">
        <v>36.5</v>
      </c>
      <c r="U88" s="37">
        <v>3.4000000000000004</v>
      </c>
      <c r="V88" s="37">
        <v>0</v>
      </c>
      <c r="W88" s="33"/>
      <c r="X88" s="37"/>
      <c r="Y88" s="37"/>
      <c r="Z88" s="32">
        <v>42.4</v>
      </c>
      <c r="AA88" s="37">
        <v>5.8000000000000007</v>
      </c>
      <c r="AB88" s="37">
        <v>0</v>
      </c>
      <c r="AC88" s="33">
        <v>41.6</v>
      </c>
      <c r="AD88" s="37">
        <v>4.8000000000000007</v>
      </c>
      <c r="AE88" s="37">
        <v>0</v>
      </c>
    </row>
    <row r="89" spans="1:31" x14ac:dyDescent="0.2">
      <c r="A89" s="1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>1</v>
      </c>
      <c r="B89" s="1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>1</v>
      </c>
      <c r="C89" s="35" t="s">
        <v>187</v>
      </c>
      <c r="D89" t="str">
        <f>IF(E89="","",VLOOKUP(E89,'Coaching Points'!A:B,2,0))</f>
        <v>BC</v>
      </c>
      <c r="E89" s="35" t="s">
        <v>40</v>
      </c>
      <c r="F89" s="34">
        <v>2013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 t="s">
        <v>507</v>
      </c>
      <c r="J89" s="4">
        <f>R89+S89+IF(OR(H89="Junior",H89="Senior"),0.0002,IF(OR(H89="L7",H89="L6"),0.0001,0))+MAX(Z89,AC89)*0.0000001</f>
        <v>91.500004559999994</v>
      </c>
      <c r="K89" s="3" t="str">
        <f>IF(G89="Not Age Eligible","",IF(MAX(T89,W89,Z89,AC89)&gt;=LOOKUP(G89,'Qualifying Scores'!$A$4:$A$7,'Qualifying Scores'!$F$4:$F$7),"P",""))</f>
        <v>P</v>
      </c>
      <c r="L89" s="3" t="str">
        <f>IF(G89="Not Age Eligible","",IF(MAX(U89,X89,AA89,AD89)&gt;=LOOKUP(G89,'Qualifying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>P</v>
      </c>
      <c r="Q89" s="1">
        <f>IF(AND(B89&lt;5,I89="P"),IF(_xlfn.MAXIFS(B:B,G:G,G89)&gt;3,5-B89,_xlfn.MAXIFS(B:B,G:G,G89)+1-B89),"")</f>
        <v>1</v>
      </c>
      <c r="R89" s="4">
        <f>MAX(T89-IF(OR(H89="Senior"),V89,0),W89-IF(OR(H89="Senior"),Y89,0),Z89-IF(OR(H89="Senior"),AB89,0),AC89-IF(OR(H89="Senior"),AE89,0))</f>
        <v>45.9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45.6</v>
      </c>
      <c r="T89" s="32">
        <v>45.9</v>
      </c>
      <c r="U89" s="37">
        <v>9.6</v>
      </c>
      <c r="V89" s="37">
        <v>0</v>
      </c>
      <c r="W89" s="33">
        <v>42.5</v>
      </c>
      <c r="X89" s="37">
        <v>7.3000000000000007</v>
      </c>
      <c r="Y89" s="37">
        <v>0</v>
      </c>
      <c r="Z89" s="32">
        <v>45.6</v>
      </c>
      <c r="AA89" s="37">
        <v>9.6</v>
      </c>
      <c r="AB89" s="37">
        <v>0</v>
      </c>
      <c r="AC89" s="33">
        <v>43.4</v>
      </c>
      <c r="AD89" s="37">
        <v>7.3000000000000007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349</v>
      </c>
      <c r="D90" t="str">
        <f>IF(E90="","",VLOOKUP(E90,'Coaching Points'!A:B,2,0))</f>
        <v>AB</v>
      </c>
      <c r="E90" s="35" t="s">
        <v>360</v>
      </c>
      <c r="F90" s="34">
        <v>2014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86.800004340000001</v>
      </c>
      <c r="K90" s="3" t="str">
        <f>IF(G90="Not Age Eligible","",IF(MAX(T90,W90,Z90,AC90)&gt;=LOOKUP(G90,'Qualifying Scores'!$A$4:$A$7,'Qualifying Scores'!$F$4:$F$7),"P",""))</f>
        <v/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/>
      </c>
      <c r="Q90" s="1" t="str">
        <f>IF(AND(B90&lt;5,I90="P"),IF(_xlfn.MAXIFS(B:B,G:G,G90)&gt;3,5-B90,_xlfn.MAXIFS(B:B,G:G,G90)+1-B90),"")</f>
        <v/>
      </c>
      <c r="R90" s="4">
        <f>MAX(T90-IF(OR(H90="Senior"),V90,0),W90-IF(OR(H90="Senior"),Y90,0),Z90-IF(OR(H90="Senior"),AB90,0),AC90-IF(OR(H90="Senior"),AE90,0))</f>
        <v>43.4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43.4</v>
      </c>
      <c r="T90" s="32">
        <v>40.9</v>
      </c>
      <c r="U90" s="37">
        <v>5.8000000000000007</v>
      </c>
      <c r="V90" s="37">
        <v>0</v>
      </c>
      <c r="W90" s="33">
        <v>43.4</v>
      </c>
      <c r="X90" s="37">
        <v>7.3000000000000007</v>
      </c>
      <c r="Y90" s="37">
        <v>0</v>
      </c>
      <c r="Z90" s="32">
        <v>43.4</v>
      </c>
      <c r="AA90" s="37">
        <v>7.4</v>
      </c>
      <c r="AB90" s="37">
        <v>0</v>
      </c>
      <c r="AC90" s="33">
        <v>37.6</v>
      </c>
      <c r="AD90" s="37">
        <v>3.8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192</v>
      </c>
      <c r="D91" t="str">
        <f>IF(E91="","",VLOOKUP(E91,'Coaching Points'!A:B,2,0))</f>
        <v>BC</v>
      </c>
      <c r="E91" s="35" t="s">
        <v>44</v>
      </c>
      <c r="F91" s="34">
        <v>2013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86.300004340000001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IF(AND(B91&lt;5,I91="P"),IF(_xlfn.MAXIFS(B:B,G:G,G91)&gt;3,5-B91,_xlfn.MAXIFS(B:B,G:G,G91)+1-B91),"")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42.9</v>
      </c>
      <c r="T91" s="32">
        <v>37.4</v>
      </c>
      <c r="U91" s="37">
        <v>3.8</v>
      </c>
      <c r="V91" s="37">
        <v>0</v>
      </c>
      <c r="W91" s="33">
        <v>37</v>
      </c>
      <c r="X91" s="37">
        <v>4.0999999999999996</v>
      </c>
      <c r="Y91" s="37">
        <v>0</v>
      </c>
      <c r="Z91" s="32">
        <v>43.4</v>
      </c>
      <c r="AA91" s="37">
        <v>6.6</v>
      </c>
      <c r="AB91" s="37">
        <v>0</v>
      </c>
      <c r="AC91" s="33">
        <v>42.9</v>
      </c>
      <c r="AD91" s="37">
        <v>6.7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190</v>
      </c>
      <c r="D92" t="str">
        <f>IF(E92="","",VLOOKUP(E92,'Coaching Points'!A:B,2,0))</f>
        <v>QC</v>
      </c>
      <c r="E92" s="35" t="s">
        <v>3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85.900004280000005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IF(AND(B92&lt;5,I92="P"),IF(_xlfn.MAXIFS(B:B,G:G,G92)&gt;3,5-B92,_xlfn.MAXIFS(B:B,G:G,G92)+1-B92),"")</f>
        <v/>
      </c>
      <c r="R92" s="4">
        <f>MAX(T92-IF(OR(H92="Senior"),V92,0),W92-IF(OR(H92="Senior"),Y92,0),Z92-IF(OR(H92="Senior"),AB92,0),AC92-IF(OR(H92="Senior"),AE92,0))</f>
        <v>43.1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42.8</v>
      </c>
      <c r="T92" s="32">
        <v>43.1</v>
      </c>
      <c r="U92" s="37">
        <v>5.6</v>
      </c>
      <c r="V92" s="37">
        <v>0</v>
      </c>
      <c r="W92" s="33">
        <v>37</v>
      </c>
      <c r="X92" s="37">
        <v>3.4000000000000004</v>
      </c>
      <c r="Y92" s="37">
        <v>0</v>
      </c>
      <c r="Z92" s="32">
        <v>42.8</v>
      </c>
      <c r="AA92" s="37">
        <v>5.6</v>
      </c>
      <c r="AB92" s="37">
        <v>0</v>
      </c>
      <c r="AC92" s="33">
        <v>41.3</v>
      </c>
      <c r="AD92" s="37">
        <v>4.3000000000000007</v>
      </c>
      <c r="AE92" s="37">
        <v>0</v>
      </c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189</v>
      </c>
      <c r="D93" t="str">
        <f>IF(E93="","",VLOOKUP(E93,'Coaching Points'!A:B,2,0))</f>
        <v>BC</v>
      </c>
      <c r="E93" s="35" t="s">
        <v>149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63.50000421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IF(AND(B93&lt;5,I93="P"),IF(_xlfn.MAXIFS(B:B,G:G,G93)&gt;3,5-B93,_xlfn.MAXIFS(B:B,G:G,G93)+1-B93),"")</f>
        <v/>
      </c>
      <c r="R93" s="4">
        <f>MAX(T93-IF(OR(H93="Senior"),V93,0),W93-IF(OR(H93="Senior"),Y93,0),Z93-IF(OR(H93="Senior"),AB93,0),AC93-IF(OR(H93="Senior"),AE93,0))</f>
        <v>42.1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21.4</v>
      </c>
      <c r="T93" s="32">
        <v>21.4</v>
      </c>
      <c r="U93" s="37">
        <v>3.2</v>
      </c>
      <c r="V93" s="37">
        <v>0</v>
      </c>
      <c r="W93" s="33"/>
      <c r="X93" s="37"/>
      <c r="Y93" s="37"/>
      <c r="Z93" s="32">
        <v>42.1</v>
      </c>
      <c r="AA93" s="37">
        <v>6.7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472</v>
      </c>
      <c r="D94" t="str">
        <f>IF(E94="","",VLOOKUP(E94,'Coaching Points'!A:B,2,0))</f>
        <v>ON</v>
      </c>
      <c r="E94" s="35" t="s">
        <v>45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41.900004189999997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IF(AND(B94&lt;5,I94="P"),IF(_xlfn.MAXIFS(B:B,G:G,G94)&gt;3,5-B94,_xlfn.MAXIFS(B:B,G:G,G94)+1-B94),"")</f>
        <v/>
      </c>
      <c r="R94" s="4">
        <f>MAX(T94-IF(OR(H94="Senior"),V94,0),W94-IF(OR(H94="Senior"),Y94,0),Z94-IF(OR(H94="Senior"),AB94,0),AC94-IF(OR(H94="Senior"),AE94,0))</f>
        <v>41.9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0</v>
      </c>
      <c r="T94" s="32"/>
      <c r="U94" s="37"/>
      <c r="V94" s="37"/>
      <c r="W94" s="33"/>
      <c r="X94" s="37"/>
      <c r="Y94" s="37"/>
      <c r="Z94" s="32">
        <v>41.9</v>
      </c>
      <c r="AA94" s="37">
        <v>4.9000000000000004</v>
      </c>
      <c r="AB94" s="37">
        <v>0</v>
      </c>
      <c r="AC94" s="33"/>
      <c r="AD94" s="37"/>
      <c r="AE94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>1</v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226</v>
      </c>
      <c r="D3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101.80020517000001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>
        <f>IF(AND(B3&lt;5,I3="P"),IF(_xlfn.MAXIFS(B:B,G:G,G3)&gt;3,5-B3,_xlfn.MAXIFS(B:B,G:G,G3)+1-B3),"")</f>
        <v>4</v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50.1</v>
      </c>
      <c r="T3" s="32">
        <v>48.26</v>
      </c>
      <c r="U3" s="37">
        <v>11.6</v>
      </c>
      <c r="V3" s="37">
        <v>0.3</v>
      </c>
      <c r="W3" s="33">
        <v>50.1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>2</v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237</v>
      </c>
      <c r="D4" t="str">
        <f>IF(E4="","",VLOOKUP(E4,'Coaching Points'!A:B,2,0))</f>
        <v>BC</v>
      </c>
      <c r="E4" s="35" t="s">
        <v>44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100.80020513000001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4</v>
      </c>
      <c r="Q4" s="1">
        <f>IF(AND(B4&lt;5,I4="P"),IF(_xlfn.MAXIFS(B:B,G:G,G4)&gt;3,5-B4,_xlfn.MAXIFS(B:B,G:G,G4)+1-B4),"")</f>
        <v>3</v>
      </c>
      <c r="R4" s="4">
        <f>MAX(T4-IF(OR(H4="L6"),V4,0),W4-IF(OR(H4="L6"),Y4,0),Z4-IF(OR(H4="L6"),AB4,0),AC4-IF(OR(H4="L6"),AE4,0))</f>
        <v>51.3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49.5</v>
      </c>
      <c r="T4" s="32">
        <v>39.1</v>
      </c>
      <c r="U4" s="37">
        <v>5.2</v>
      </c>
      <c r="V4" s="37">
        <v>0</v>
      </c>
      <c r="W4" s="33"/>
      <c r="X4" s="37"/>
      <c r="Y4" s="37"/>
      <c r="Z4" s="32">
        <v>49.5</v>
      </c>
      <c r="AA4" s="37">
        <v>12.4</v>
      </c>
      <c r="AB4" s="37">
        <v>0.3</v>
      </c>
      <c r="AC4" s="33">
        <v>51.3</v>
      </c>
      <c r="AD4" s="37">
        <v>14</v>
      </c>
      <c r="AE4" s="37">
        <v>0.6</v>
      </c>
    </row>
    <row r="5" spans="1:32" x14ac:dyDescent="0.2">
      <c r="A5" s="1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>3</v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293</v>
      </c>
      <c r="D5" t="str">
        <f>IF(E5="","",VLOOKUP(E5,'Coaching Points'!A:B,2,0))</f>
        <v>AB</v>
      </c>
      <c r="E5" s="35" t="s">
        <v>61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99.200200000000009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5</v>
      </c>
      <c r="Q5" s="1">
        <f>IF(AND(B5&lt;5,I5="P"),IF(_xlfn.MAXIFS(B:B,G:G,G5)&gt;3,5-B5,_xlfn.MAXIFS(B:B,G:G,G5)+1-B5),"")</f>
        <v>2</v>
      </c>
      <c r="R5" s="4">
        <f>MAX(T5-IF(OR(H5="L6"),V5,0),W5-IF(OR(H5="L6"),Y5,0),Z5-IF(OR(H5="L6"),AB5,0),AC5-IF(OR(H5="L6"),AE5,0))</f>
        <v>50.5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48.7</v>
      </c>
      <c r="T5" s="32">
        <v>48.7</v>
      </c>
      <c r="U5" s="37">
        <v>12.4</v>
      </c>
      <c r="V5" s="37">
        <v>0.3</v>
      </c>
      <c r="W5" s="33">
        <v>50.5</v>
      </c>
      <c r="X5" s="37">
        <v>13.2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>4</v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292</v>
      </c>
      <c r="D6" t="str">
        <f>IF(E6="","",VLOOKUP(E6,'Coaching Points'!A:B,2,0))</f>
        <v>BC</v>
      </c>
      <c r="E6" s="35" t="s">
        <v>40</v>
      </c>
      <c r="F6" s="34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95.20020439000001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1</v>
      </c>
      <c r="Q6" s="1">
        <f>IF(AND(B6&lt;5,I6="P"),IF(_xlfn.MAXIFS(B:B,G:G,G6)&gt;3,5-B6,_xlfn.MAXIFS(B:B,G:G,G6)+1-B6),"")</f>
        <v>1</v>
      </c>
      <c r="R6" s="4">
        <f>MAX(T6-IF(OR(H6="L6"),V6,0),W6-IF(OR(H6="L6"),Y6,0),Z6-IF(OR(H6="L6"),AB6,0),AC6-IF(OR(H6="L6"),AE6,0))</f>
        <v>51.1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44.1</v>
      </c>
      <c r="T6" s="32">
        <v>51.1</v>
      </c>
      <c r="U6" s="37">
        <v>13.2</v>
      </c>
      <c r="V6" s="37">
        <v>0.3</v>
      </c>
      <c r="W6" s="33">
        <v>44.1</v>
      </c>
      <c r="X6" s="37">
        <v>9.6</v>
      </c>
      <c r="Y6" s="37">
        <v>0.3</v>
      </c>
      <c r="Z6" s="32">
        <v>43.9</v>
      </c>
      <c r="AA6" s="37">
        <v>9.6</v>
      </c>
      <c r="AB6" s="37">
        <v>0.3</v>
      </c>
      <c r="AC6" s="33"/>
      <c r="AD6" s="37"/>
      <c r="AE6" s="37"/>
    </row>
    <row r="7" spans="1:32" x14ac:dyDescent="0.2">
      <c r="A7" s="1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>5</v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231</v>
      </c>
      <c r="D7" t="str">
        <f>IF(E7="","",VLOOKUP(E7,'Coaching Points'!A:B,2,0))</f>
        <v>BC</v>
      </c>
      <c r="E7" s="35" t="s">
        <v>55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 t="s">
        <v>507</v>
      </c>
      <c r="J7" s="4">
        <f>R7+S7+IF(OR(H7="Junior",H7="Senior"),0.0002,IF(OR(H7="L7",H7="L6"),0.0001,0))+MAX(Z7,AC7)*0.0000001</f>
        <v>94.800204760000014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2</v>
      </c>
      <c r="Q7" s="1" t="str">
        <f>IF(AND(B7&lt;5,I7="P"),IF(_xlfn.MAXIFS(B:B,G:G,G7)&gt;3,5-B7,_xlfn.MAXIFS(B:B,G:G,G7)+1-B7),"")</f>
        <v/>
      </c>
      <c r="R7" s="4">
        <f>MAX(T7-IF(OR(H7="L6"),V7,0),W7-IF(OR(H7="L6"),Y7,0),Z7-IF(OR(H7="L6"),AB7,0),AC7-IF(OR(H7="L6"),AE7,0))</f>
        <v>47.6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47.2</v>
      </c>
      <c r="T7" s="32">
        <v>47.2</v>
      </c>
      <c r="U7" s="37">
        <v>10.4</v>
      </c>
      <c r="V7" s="37">
        <v>0</v>
      </c>
      <c r="W7" s="33"/>
      <c r="X7" s="37"/>
      <c r="Y7" s="37"/>
      <c r="Z7" s="32">
        <v>46.8</v>
      </c>
      <c r="AA7" s="37">
        <v>10.8</v>
      </c>
      <c r="AB7" s="37">
        <v>0</v>
      </c>
      <c r="AC7" s="33">
        <v>47.6</v>
      </c>
      <c r="AD7" s="37">
        <v>11.6</v>
      </c>
      <c r="AE7" s="37">
        <v>0</v>
      </c>
    </row>
    <row r="8" spans="1:32" x14ac:dyDescent="0.2">
      <c r="A8" s="1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>6</v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277</v>
      </c>
      <c r="D8" t="str">
        <f>IF(E8="","",VLOOKUP(E8,'Coaching Points'!A:B,2,0))</f>
        <v>SK</v>
      </c>
      <c r="E8" s="35" t="s">
        <v>287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R8+S8+IF(OR(H8="Junior",H8="Senior"),0.0002,IF(OR(H8="L7",H8="L6"),0.0001,0))+MAX(Z8,AC8)*0.0000001</f>
        <v>93.200104420000017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3</v>
      </c>
      <c r="Q8" s="1" t="str">
        <f>IF(AND(B8&lt;5,I8="P"),IF(_xlfn.MAXIFS(B:B,G:G,G8)&gt;3,5-B8,_xlfn.MAXIFS(B:B,G:G,G8)+1-B8),"")</f>
        <v/>
      </c>
      <c r="R8" s="4">
        <f>MAX(T8-IF(OR(H8="L6"),V8,0),W8-IF(OR(H8="L6"),Y8,0),Z8-IF(OR(H8="L6"),AB8,0),AC8-IF(OR(H8="L6"),AE8,0))</f>
        <v>46.800000000000004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46.400000000000006</v>
      </c>
      <c r="T8" s="32">
        <v>47.1</v>
      </c>
      <c r="U8" s="37">
        <v>10.8</v>
      </c>
      <c r="V8" s="37">
        <v>0.3</v>
      </c>
      <c r="W8" s="33">
        <v>46.7</v>
      </c>
      <c r="X8" s="37">
        <v>10.8</v>
      </c>
      <c r="Y8" s="37">
        <v>0.3</v>
      </c>
      <c r="Z8" s="32">
        <v>44.2</v>
      </c>
      <c r="AA8" s="37">
        <v>10.399999999999999</v>
      </c>
      <c r="AB8" s="37">
        <v>0</v>
      </c>
      <c r="AC8" s="33"/>
      <c r="AD8" s="37"/>
      <c r="AE8" s="37"/>
    </row>
    <row r="9" spans="1:32" x14ac:dyDescent="0.2">
      <c r="A9" s="1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>7</v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240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 t="s">
        <v>507</v>
      </c>
      <c r="J9" s="4">
        <f>R9+S9+IF(OR(H9="Junior",H9="Senior"),0.0002,IF(OR(H9="L7",H9="L6"),0.0001,0))+MAX(Z9,AC9)*0.0000001</f>
        <v>86.900203290000007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4</v>
      </c>
      <c r="Q9" s="1" t="str">
        <f>IF(AND(B9&lt;5,I9="P"),IF(_xlfn.MAXIFS(B:B,G:G,G9)&gt;3,5-B9,_xlfn.MAXIFS(B:B,G:G,G9)+1-B9),"")</f>
        <v/>
      </c>
      <c r="R9" s="4">
        <f>MAX(T9-IF(OR(H9="L6"),V9,0),W9-IF(OR(H9="L6"),Y9,0),Z9-IF(OR(H9="L6"),AB9,0),AC9-IF(OR(H9="L6"),AE9,0))</f>
        <v>48.5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38.4</v>
      </c>
      <c r="T9" s="32">
        <v>48.5</v>
      </c>
      <c r="U9" s="37">
        <v>11.2</v>
      </c>
      <c r="V9" s="37">
        <v>0</v>
      </c>
      <c r="W9" s="33">
        <v>38.4</v>
      </c>
      <c r="X9" s="37">
        <v>7.1999999999999993</v>
      </c>
      <c r="Y9" s="37">
        <v>0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>8</v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362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 t="s">
        <v>507</v>
      </c>
      <c r="J10" s="4">
        <f>R10+S10+IF(OR(H10="Junior",H10="Senior"),0.0002,IF(OR(H10="L7",H10="L6"),0.0001,0))+MAX(Z10,AC10)*0.0000001</f>
        <v>93.30010467000001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IF(AND(B10&lt;5,I10="P"),IF(_xlfn.MAXIFS(B:B,G:G,G10)&gt;3,5-B10,_xlfn.MAXIFS(B:B,G:G,G10)+1-B10),"")</f>
        <v/>
      </c>
      <c r="R10" s="4">
        <f>MAX(T10-IF(OR(H10="L6"),V10,0),W10-IF(OR(H10="L6"),Y10,0),Z10-IF(OR(H10="L6"),AB10,0),AC10-IF(OR(H10="L6"),AE10,0))</f>
        <v>46.7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46.6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>
        <v>46.6</v>
      </c>
      <c r="AA10" s="37">
        <v>10.4</v>
      </c>
      <c r="AB10" s="37">
        <v>0</v>
      </c>
      <c r="AC10" s="33">
        <v>46.7</v>
      </c>
      <c r="AD10" s="37">
        <v>10.4</v>
      </c>
      <c r="AE10" s="37">
        <v>0</v>
      </c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t="str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/>
      </c>
      <c r="C11" s="35" t="s">
        <v>433</v>
      </c>
      <c r="D11" t="str">
        <f>IF(E11="","",VLOOKUP(E11,'Coaching Points'!A:B,2,0))</f>
        <v>AB</v>
      </c>
      <c r="E11" s="35" t="s">
        <v>56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91.200104589999995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IF(AND(B11&lt;5,I11="P"),IF(_xlfn.MAXIFS(B:B,G:G,G11)&gt;3,5-B11,_xlfn.MAXIFS(B:B,G:G,G11)+1-B11),"")</f>
        <v/>
      </c>
      <c r="R11" s="4">
        <f>MAX(T11-IF(OR(H11="L6"),V11,0),W11-IF(OR(H11="L6"),Y11,0),Z11-IF(OR(H11="L6"),AB11,0),AC11-IF(OR(H11="L6"),AE11,0))</f>
        <v>45.9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45.3</v>
      </c>
      <c r="T11" s="32"/>
      <c r="U11" s="37"/>
      <c r="V11" s="37"/>
      <c r="W11" s="33"/>
      <c r="X11" s="37"/>
      <c r="Y11" s="37"/>
      <c r="Z11" s="32">
        <v>45.3</v>
      </c>
      <c r="AA11" s="37">
        <v>8.8000000000000007</v>
      </c>
      <c r="AB11" s="37">
        <v>0</v>
      </c>
      <c r="AC11" s="33">
        <v>45.9</v>
      </c>
      <c r="AD11" s="37">
        <v>9.1999999999999993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t="str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/>
      </c>
      <c r="C12" s="35" t="s">
        <v>261</v>
      </c>
      <c r="D12" t="str">
        <f>IF(E12="","",VLOOKUP(E12,'Coaching Points'!A:B,2,0))</f>
        <v>ON</v>
      </c>
      <c r="E12" s="35" t="s">
        <v>45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91.100104610000002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IF(AND(B12&lt;5,I12="P"),IF(_xlfn.MAXIFS(B:B,G:G,G12)&gt;3,5-B12,_xlfn.MAXIFS(B:B,G:G,G12)+1-B12),"")</f>
        <v/>
      </c>
      <c r="R12" s="4">
        <f>MAX(T12-IF(OR(H12="L6"),V12,0),W12-IF(OR(H12="L6"),Y12,0),Z12-IF(OR(H12="L6"),AB12,0),AC12-IF(OR(H12="L6"),AE12,0))</f>
        <v>46.1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</v>
      </c>
      <c r="T12" s="32">
        <v>16.600000000000001</v>
      </c>
      <c r="U12" s="37">
        <v>1.2</v>
      </c>
      <c r="V12" s="37">
        <v>0</v>
      </c>
      <c r="W12" s="33"/>
      <c r="X12" s="37"/>
      <c r="Y12" s="37"/>
      <c r="Z12" s="32">
        <v>46.1</v>
      </c>
      <c r="AA12" s="37">
        <v>8.8000000000000007</v>
      </c>
      <c r="AB12" s="37">
        <v>0</v>
      </c>
      <c r="AC12" s="33">
        <v>45</v>
      </c>
      <c r="AD12" s="37">
        <v>8.8000000000000007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t="str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/>
      </c>
      <c r="C13" s="35" t="s">
        <v>235</v>
      </c>
      <c r="D13" t="str">
        <f>IF(E13="","",VLOOKUP(E13,'Coaching Points'!A:B,2,0))</f>
        <v>AB</v>
      </c>
      <c r="E13" s="35" t="s">
        <v>28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90.800104600000012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IF(AND(B13&lt;5,I13="P"),IF(_xlfn.MAXIFS(B:B,G:G,G13)&gt;3,5-B13,_xlfn.MAXIFS(B:B,G:G,G13)+1-B13),"")</f>
        <v/>
      </c>
      <c r="R13" s="4">
        <f>MAX(T13-IF(OR(H13="L6"),V13,0),W13-IF(OR(H13="L6"),Y13,0),Z13-IF(OR(H13="L6"),AB13,0),AC13-IF(OR(H13="L6"),AE13,0))</f>
        <v>45.7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45.1</v>
      </c>
      <c r="T13" s="32">
        <v>43.3</v>
      </c>
      <c r="U13" s="37">
        <v>7.9</v>
      </c>
      <c r="V13" s="37">
        <v>0</v>
      </c>
      <c r="W13" s="33">
        <v>43.5</v>
      </c>
      <c r="X13" s="37">
        <v>7.9</v>
      </c>
      <c r="Y13" s="37">
        <v>0</v>
      </c>
      <c r="Z13" s="32">
        <v>45.4</v>
      </c>
      <c r="AA13" s="37">
        <v>9.1999999999999993</v>
      </c>
      <c r="AB13" s="37">
        <v>0.3</v>
      </c>
      <c r="AC13" s="33">
        <v>46</v>
      </c>
      <c r="AD13" s="37">
        <v>10</v>
      </c>
      <c r="AE13" s="37">
        <v>0.3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t="str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/>
      </c>
      <c r="C14" s="35" t="s">
        <v>299</v>
      </c>
      <c r="D14" t="str">
        <f>IF(E14="","",VLOOKUP(E14,'Coaching Points'!A:B,2,0))</f>
        <v>AB</v>
      </c>
      <c r="E14" s="35" t="s">
        <v>28</v>
      </c>
      <c r="F14" s="34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90.80010458000001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IF(AND(B14&lt;5,I14="P"),IF(_xlfn.MAXIFS(B:B,G:G,G14)&gt;3,5-B14,_xlfn.MAXIFS(B:B,G:G,G14)+1-B14),"")</f>
        <v/>
      </c>
      <c r="R14" s="4">
        <f>MAX(T14-IF(OR(H14="L6"),V14,0),W14-IF(OR(H14="L6"),Y14,0),Z14-IF(OR(H14="L6"),AB14,0),AC14-IF(OR(H14="L6"),AE14,0))</f>
        <v>45.5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45.300000000000004</v>
      </c>
      <c r="T14" s="32">
        <v>41.6</v>
      </c>
      <c r="U14" s="37">
        <v>8.3999999999999986</v>
      </c>
      <c r="V14" s="37">
        <v>0.3</v>
      </c>
      <c r="W14" s="33">
        <v>45.6</v>
      </c>
      <c r="X14" s="37">
        <v>10.8</v>
      </c>
      <c r="Y14" s="37">
        <v>0.3</v>
      </c>
      <c r="Z14" s="32">
        <v>45.8</v>
      </c>
      <c r="AA14" s="37">
        <v>10.399999999999999</v>
      </c>
      <c r="AB14" s="37">
        <v>0.3</v>
      </c>
      <c r="AC14" s="33">
        <v>42.6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t="str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89.900104440000007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IF(AND(B15&lt;5,I15="P"),IF(_xlfn.MAXIFS(B:B,G:G,G15)&gt;3,5-B15,_xlfn.MAXIFS(B:B,G:G,G15)+1-B15),"")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44.4</v>
      </c>
      <c r="AA15" s="37">
        <v>11.2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t="str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/>
      </c>
      <c r="C16" s="35" t="s">
        <v>267</v>
      </c>
      <c r="D16" t="str">
        <f>IF(E16="","",VLOOKUP(E16,'Coaching Points'!A:B,2,0))</f>
        <v>AB</v>
      </c>
      <c r="E16" s="35" t="s">
        <v>39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89.200104420000002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IF(AND(B16&lt;5,I16="P"),IF(_xlfn.MAXIFS(B:B,G:G,G16)&gt;3,5-B16,_xlfn.MAXIFS(B:B,G:G,G16)+1-B16),"")</f>
        <v/>
      </c>
      <c r="R16" s="4">
        <f>MAX(T16-IF(OR(H16="L6"),V16,0),W16-IF(OR(H16="L6"),Y16,0),Z16-IF(OR(H16="L6"),AB16,0),AC16-IF(OR(H16="L6"),AE16,0))</f>
        <v>45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44.2</v>
      </c>
      <c r="T16" s="32">
        <v>38</v>
      </c>
      <c r="U16" s="37">
        <v>5.5</v>
      </c>
      <c r="V16" s="37">
        <v>0</v>
      </c>
      <c r="W16" s="33">
        <v>45</v>
      </c>
      <c r="X16" s="37">
        <v>8.3000000000000007</v>
      </c>
      <c r="Y16" s="37">
        <v>0</v>
      </c>
      <c r="Z16" s="32">
        <v>44.1</v>
      </c>
      <c r="AA16" s="37">
        <v>7.9</v>
      </c>
      <c r="AB16" s="37">
        <v>0</v>
      </c>
      <c r="AC16" s="33">
        <v>44.2</v>
      </c>
      <c r="AD16" s="37">
        <v>7.9</v>
      </c>
      <c r="AE16" s="37">
        <v>0</v>
      </c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363</v>
      </c>
      <c r="D17" t="str">
        <f>IF(E17="","",VLOOKUP(E17,'Coaching Points'!A:B,2,0))</f>
        <v>BC</v>
      </c>
      <c r="E17" s="35" t="s">
        <v>44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88.800104439999998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IF(AND(B17&lt;5,I17="P"),IF(_xlfn.MAXIFS(B:B,G:G,G17)&gt;3,5-B17,_xlfn.MAXIFS(B:B,G:G,G17)+1-B17),"")</f>
        <v/>
      </c>
      <c r="R17" s="4">
        <f>MAX(T17-IF(OR(H17="L6"),V17,0),W17-IF(OR(H17="L6"),Y17,0),Z17-IF(OR(H17="L6"),AB17,0),AC17-IF(OR(H17="L6"),AE17,0))</f>
        <v>44.4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44.4</v>
      </c>
      <c r="T17" s="32">
        <v>39.700000000000003</v>
      </c>
      <c r="U17" s="37">
        <v>5.9</v>
      </c>
      <c r="V17" s="37">
        <v>0</v>
      </c>
      <c r="W17" s="33"/>
      <c r="X17" s="37"/>
      <c r="Y17" s="37"/>
      <c r="Z17" s="32">
        <v>44.4</v>
      </c>
      <c r="AA17" s="37">
        <v>8.6999999999999993</v>
      </c>
      <c r="AB17" s="37">
        <v>0</v>
      </c>
      <c r="AC17" s="33">
        <v>44.4</v>
      </c>
      <c r="AD17" s="37">
        <v>8.6999999999999993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323</v>
      </c>
      <c r="D18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88.60010389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IF(AND(B18&lt;5,I18="P"),IF(_xlfn.MAXIFS(B:B,G:G,G18)&gt;3,5-B18,_xlfn.MAXIFS(B:B,G:G,G18)+1-B18),"")</f>
        <v/>
      </c>
      <c r="R18" s="4">
        <f>MAX(T18-IF(OR(H18="L6"),V18,0),W18-IF(OR(H18="L6"),Y18,0),Z18-IF(OR(H18="L6"),AB18,0),AC18-IF(OR(H18="L6"),AE18,0))</f>
        <v>44.4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44.2</v>
      </c>
      <c r="U18" s="37">
        <v>7</v>
      </c>
      <c r="V18" s="37">
        <v>0</v>
      </c>
      <c r="W18" s="33">
        <v>44.4</v>
      </c>
      <c r="X18" s="37">
        <v>7</v>
      </c>
      <c r="Y18" s="37">
        <v>0</v>
      </c>
      <c r="Z18" s="32">
        <v>38.9</v>
      </c>
      <c r="AA18" s="37">
        <v>4.2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325</v>
      </c>
      <c r="D19" t="str">
        <f>IF(E19="","",VLOOKUP(E19,'Coaching Points'!A:B,2,0))</f>
        <v>MB</v>
      </c>
      <c r="E19" s="35" t="s">
        <v>63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88.200104329999988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IF(AND(B19&lt;5,I19="P"),IF(_xlfn.MAXIFS(B:B,G:G,G19)&gt;3,5-B19,_xlfn.MAXIFS(B:B,G:G,G19)+1-B19),"")</f>
        <v/>
      </c>
      <c r="R19" s="4">
        <f>MAX(T19-IF(OR(H19="L6"),V19,0),W19-IF(OR(H19="L6"),Y19,0),Z19-IF(OR(H19="L6"),AB19,0),AC19-IF(OR(H19="L6"),AE19,0))</f>
        <v>44.9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43.3</v>
      </c>
      <c r="T19" s="32">
        <v>44.9</v>
      </c>
      <c r="U19" s="37">
        <v>7.9</v>
      </c>
      <c r="V19" s="37">
        <v>0</v>
      </c>
      <c r="W19" s="33">
        <v>38.5</v>
      </c>
      <c r="X19" s="37">
        <v>5.1000000000000005</v>
      </c>
      <c r="Y19" s="37">
        <v>0</v>
      </c>
      <c r="Z19" s="32">
        <v>43.3</v>
      </c>
      <c r="AA19" s="37">
        <v>7.5</v>
      </c>
      <c r="AB19" s="37">
        <v>0</v>
      </c>
      <c r="AC19" s="33"/>
      <c r="AD19" s="37"/>
      <c r="AE19" s="37"/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284</v>
      </c>
      <c r="D20" t="str">
        <f>IF(E20="","",VLOOKUP(E20,'Coaching Points'!A:B,2,0))</f>
        <v>BC</v>
      </c>
      <c r="E20" s="35" t="s">
        <v>122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88.10000445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IF(AND(B20&lt;5,I20="P"),IF(_xlfn.MAXIFS(B:B,G:G,G20)&gt;3,5-B20,_xlfn.MAXIFS(B:B,G:G,G20)+1-B20),"")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43.6</v>
      </c>
      <c r="T20" s="32">
        <v>43.2</v>
      </c>
      <c r="U20" s="37">
        <v>6</v>
      </c>
      <c r="V20" s="37">
        <v>0</v>
      </c>
      <c r="W20" s="33">
        <v>43.6</v>
      </c>
      <c r="X20" s="37">
        <v>6.8</v>
      </c>
      <c r="Y20" s="37">
        <v>0</v>
      </c>
      <c r="Z20" s="32">
        <v>44.5</v>
      </c>
      <c r="AA20" s="37">
        <v>7.9</v>
      </c>
      <c r="AB20" s="37">
        <v>0</v>
      </c>
      <c r="AC20" s="33">
        <v>40.4</v>
      </c>
      <c r="AD20" s="37">
        <v>5.9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227</v>
      </c>
      <c r="D21" t="str">
        <f>IF(E21="","",VLOOKUP(E21,'Coaching Points'!A:B,2,0))</f>
        <v>QC</v>
      </c>
      <c r="E21" s="35" t="s">
        <v>75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88.000104399999998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IF(AND(B21&lt;5,I21="P"),IF(_xlfn.MAXIFS(B:B,G:G,G21)&gt;3,5-B21,_xlfn.MAXIFS(B:B,G:G,G21)+1-B21),"")</f>
        <v/>
      </c>
      <c r="R21" s="4">
        <f>MAX(T21-IF(OR(H21="L6"),V21,0),W21-IF(OR(H21="L6"),Y21,0),Z21-IF(OR(H21="L6"),AB21,0),AC21-IF(OR(H21="L6"),AE21,0))</f>
        <v>44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</v>
      </c>
      <c r="T21" s="32">
        <v>43.6</v>
      </c>
      <c r="U21" s="37">
        <v>7.1</v>
      </c>
      <c r="V21" s="37">
        <v>0</v>
      </c>
      <c r="W21" s="33">
        <v>44</v>
      </c>
      <c r="X21" s="37">
        <v>7.1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270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87.330004430000002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IF(AND(B22&lt;5,I22="P"),IF(_xlfn.MAXIFS(B:B,G:G,G22)&gt;3,5-B22,_xlfn.MAXIFS(B:B,G:G,G22)+1-B22),"")</f>
        <v/>
      </c>
      <c r="R22" s="4">
        <f>MAX(T22-IF(OR(H22="L6"),V22,0),W22-IF(OR(H22="L6"),Y22,0),Z22-IF(OR(H22="L6"),AB22,0),AC22-IF(OR(H22="L6"),AE22,0))</f>
        <v>44.3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43.03</v>
      </c>
      <c r="T22" s="32">
        <v>43.03</v>
      </c>
      <c r="U22" s="37">
        <v>7.1</v>
      </c>
      <c r="V22" s="37">
        <v>0</v>
      </c>
      <c r="W22" s="33">
        <v>41.5</v>
      </c>
      <c r="X22" s="37">
        <v>4.9000000000000004</v>
      </c>
      <c r="Y22" s="37">
        <v>0</v>
      </c>
      <c r="Z22" s="32">
        <v>44.3</v>
      </c>
      <c r="AA22" s="37">
        <v>7.1</v>
      </c>
      <c r="AB22" s="37">
        <v>0</v>
      </c>
      <c r="AC22" s="33">
        <v>42.2</v>
      </c>
      <c r="AD22" s="37">
        <v>4.9000000000000004</v>
      </c>
      <c r="AE22" s="37">
        <v>0</v>
      </c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318</v>
      </c>
      <c r="D23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87.200004270000008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IF(AND(B23&lt;5,I23="P"),IF(_xlfn.MAXIFS(B:B,G:G,G23)&gt;3,5-B23,_xlfn.MAXIFS(B:B,G:G,G23)+1-B23),"")</f>
        <v/>
      </c>
      <c r="R23" s="4">
        <f>MAX(T23-IF(OR(H23="L6"),V23,0),W23-IF(OR(H23="L6"),Y23,0),Z23-IF(OR(H23="L6"),AB23,0),AC23-IF(OR(H23="L6"),AE23,0))</f>
        <v>44.5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44.5</v>
      </c>
      <c r="U23" s="37">
        <v>7.1</v>
      </c>
      <c r="V23" s="37">
        <v>0</v>
      </c>
      <c r="W23" s="33">
        <v>42</v>
      </c>
      <c r="X23" s="37">
        <v>6.5</v>
      </c>
      <c r="Y23" s="37">
        <v>0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260</v>
      </c>
      <c r="D24" t="str">
        <f>IF(E24="","",VLOOKUP(E24,'Coaching Points'!A:B,2,0))</f>
        <v>BC</v>
      </c>
      <c r="E24" s="35" t="s">
        <v>36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86.800004389999998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IF(AND(B24&lt;5,I24="P"),IF(_xlfn.MAXIFS(B:B,G:G,G24)&gt;3,5-B24,_xlfn.MAXIFS(B:B,G:G,G24)+1-B24),"")</f>
        <v/>
      </c>
      <c r="R24" s="4">
        <f>MAX(T24-IF(OR(H24="L6"),V24,0),W24-IF(OR(H24="L6"),Y24,0),Z24-IF(OR(H24="L6"),AB24,0),AC24-IF(OR(H24="L6"),AE24,0))</f>
        <v>43.9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/>
      <c r="U24" s="37"/>
      <c r="V24" s="37"/>
      <c r="W24" s="33"/>
      <c r="X24" s="37"/>
      <c r="Y24" s="37"/>
      <c r="Z24" s="32">
        <v>43.9</v>
      </c>
      <c r="AA24" s="37">
        <v>6.3000000000000007</v>
      </c>
      <c r="AB24" s="37">
        <v>0</v>
      </c>
      <c r="AC24" s="33">
        <v>42.9</v>
      </c>
      <c r="AD24" s="37">
        <v>5.9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263</v>
      </c>
      <c r="D25" t="str">
        <f>IF(E25="","",VLOOKUP(E25,'Coaching Points'!A:B,2,0))</f>
        <v>QC</v>
      </c>
      <c r="E25" s="35" t="s">
        <v>174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IF(AND(B25&lt;5,I25="P"),IF(_xlfn.MAXIFS(B:B,G:G,G25)&gt;3,5-B25,_xlfn.MAXIFS(B:B,G:G,G25)+1-B25),"")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40.1</v>
      </c>
      <c r="U25" s="37">
        <v>5.8000000000000007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421</v>
      </c>
      <c r="D26" t="str">
        <f>IF(E26="","",VLOOKUP(E26,'Coaching Points'!A:B,2,0))</f>
        <v>ON</v>
      </c>
      <c r="E26" s="35" t="s">
        <v>502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IF(AND(B26&lt;5,I26="P"),IF(_xlfn.MAXIFS(B:B,G:G,G26)&gt;3,5-B26,_xlfn.MAXIFS(B:B,G:G,G26)+1-B26),"")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496</v>
      </c>
      <c r="D27" t="str">
        <f>IF(E27="","",VLOOKUP(E27,'Coaching Points'!A:B,2,0))</f>
        <v>AB</v>
      </c>
      <c r="E27" s="35" t="s">
        <v>56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IF(AND(B27&lt;5,I27="P"),IF(_xlfn.MAXIFS(B:B,G:G,G27)&gt;3,5-B27,_xlfn.MAXIFS(B:B,G:G,G27)+1-B27),"")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269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85.500004290000007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IF(AND(B28&lt;5,I28="P"),IF(_xlfn.MAXIFS(B:B,G:G,G28)&gt;3,5-B28,_xlfn.MAXIFS(B:B,G:G,G28)+1-B28),"")</f>
        <v/>
      </c>
      <c r="R28" s="4">
        <f>MAX(T28-IF(OR(H28="L6"),V28,0),W28-IF(OR(H28="L6"),Y28,0),Z28-IF(OR(H28="L6"),AB28,0),AC28-IF(OR(H28="L6"),AE28,0))</f>
        <v>42.9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42.6</v>
      </c>
      <c r="T28" s="32">
        <v>42.6</v>
      </c>
      <c r="U28" s="37">
        <v>6.3000000000000007</v>
      </c>
      <c r="V28" s="37">
        <v>0</v>
      </c>
      <c r="W28" s="33">
        <v>33.299999999999997</v>
      </c>
      <c r="X28" s="37">
        <v>2.6</v>
      </c>
      <c r="Y28" s="37">
        <v>0</v>
      </c>
      <c r="Z28" s="32">
        <v>42.9</v>
      </c>
      <c r="AA28" s="37">
        <v>6.3000000000000007</v>
      </c>
      <c r="AB28" s="37">
        <v>0</v>
      </c>
      <c r="AC28" s="33">
        <v>42.3</v>
      </c>
      <c r="AD28" s="37">
        <v>5.7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IF(AND(B29&lt;5,I29="P"),IF(_xlfn.MAXIFS(B:B,G:G,G29)&gt;3,5-B29,_xlfn.MAXIFS(B:B,G:G,G29)+1-B29),"")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6.4</v>
      </c>
      <c r="AB29" s="37">
        <v>0</v>
      </c>
      <c r="AC29" s="33">
        <v>37.200000000000003</v>
      </c>
      <c r="AD29" s="37">
        <v>4.0999999999999996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303</v>
      </c>
      <c r="D30" t="str">
        <f>IF(E30="","",VLOOKUP(E30,'Coaching Points'!A:B,2,0))</f>
        <v>AB</v>
      </c>
      <c r="E30" s="35" t="s">
        <v>61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84.700004110000009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IF(AND(B30&lt;5,I30="P"),IF(_xlfn.MAXIFS(B:B,G:G,G30)&gt;3,5-B30,_xlfn.MAXIFS(B:B,G:G,G30)+1-B30),"")</f>
        <v/>
      </c>
      <c r="R30" s="4">
        <f>MAX(T30-IF(OR(H30="L6"),V30,0),W30-IF(OR(H30="L6"),Y30,0),Z30-IF(OR(H30="L6"),AB30,0),AC30-IF(OR(H30="L6"),AE30,0))</f>
        <v>43.6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43.6</v>
      </c>
      <c r="U30" s="37">
        <v>6.5</v>
      </c>
      <c r="V30" s="37">
        <v>0</v>
      </c>
      <c r="W30" s="33">
        <v>36.700000000000003</v>
      </c>
      <c r="X30" s="37">
        <v>3.6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286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IF(AND(B31&lt;5,I31="P"),IF(_xlfn.MAXIFS(B:B,G:G,G31)&gt;3,5-B31,_xlfn.MAXIFS(B:B,G:G,G31)+1-B31),"")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274</v>
      </c>
      <c r="D32" t="str">
        <f>IF(E32="","",VLOOKUP(E32,'Coaching Points'!A:B,2,0))</f>
        <v>ON</v>
      </c>
      <c r="E32" s="35" t="s">
        <v>45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84.000004039999993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IF(AND(B32&lt;5,I32="P"),IF(_xlfn.MAXIFS(B:B,G:G,G32)&gt;3,5-B32,_xlfn.MAXIFS(B:B,G:G,G32)+1-B32),"")</f>
        <v/>
      </c>
      <c r="R32" s="4">
        <f>MAX(T32-IF(OR(H32="L6"),V32,0),W32-IF(OR(H32="L6"),Y32,0),Z32-IF(OR(H32="L6"),AB32,0),AC32-IF(OR(H32="L6"),AE32,0))</f>
        <v>42.7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41.3</v>
      </c>
      <c r="T32" s="32">
        <v>42.7</v>
      </c>
      <c r="U32" s="37">
        <v>4.8000000000000007</v>
      </c>
      <c r="V32" s="37">
        <v>0</v>
      </c>
      <c r="W32" s="33">
        <v>41.3</v>
      </c>
      <c r="X32" s="37">
        <v>4.3000000000000007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278</v>
      </c>
      <c r="D33" t="str">
        <f>IF(E33="","",VLOOKUP(E33,'Coaching Points'!A:B,2,0))</f>
        <v>AB</v>
      </c>
      <c r="E33" s="35" t="s">
        <v>62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83.900003960000006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IF(AND(B33&lt;5,I33="P"),IF(_xlfn.MAXIFS(B:B,G:G,G33)&gt;3,5-B33,_xlfn.MAXIFS(B:B,G:G,G33)+1-B33),"")</f>
        <v/>
      </c>
      <c r="R33" s="4">
        <f>MAX(T33-IF(OR(H33="L6"),V33,0),W33-IF(OR(H33="L6"),Y33,0),Z33-IF(OR(H33="L6"),AB33,0),AC33-IF(OR(H33="L6"),AE33,0))</f>
        <v>42.4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41.5</v>
      </c>
      <c r="T33" s="32">
        <v>42.4</v>
      </c>
      <c r="U33" s="37">
        <v>5.8000000000000007</v>
      </c>
      <c r="V33" s="37">
        <v>0</v>
      </c>
      <c r="W33" s="33">
        <v>41.5</v>
      </c>
      <c r="X33" s="37">
        <v>5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367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81.300000000000011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IF(AND(B34&lt;5,I34="P"),IF(_xlfn.MAXIFS(B:B,G:G,G34)&gt;3,5-B34,_xlfn.MAXIFS(B:B,G:G,G34)+1-B34),"")</f>
        <v/>
      </c>
      <c r="R34" s="4">
        <f>MAX(T34-IF(OR(H34="L6"),V34,0),W34-IF(OR(H34="L6"),Y34,0),Z34-IF(OR(H34="L6"),AB34,0),AC34-IF(OR(H34="L6"),AE34,0))</f>
        <v>43.7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37.6</v>
      </c>
      <c r="T34" s="32">
        <v>43.7</v>
      </c>
      <c r="U34" s="37">
        <v>6.6</v>
      </c>
      <c r="V34" s="37">
        <v>0</v>
      </c>
      <c r="W34" s="33">
        <v>37.6</v>
      </c>
      <c r="X34" s="37">
        <v>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232</v>
      </c>
      <c r="D35" t="str">
        <f>IF(E35="","",VLOOKUP(E35,'Coaching Points'!A:B,2,0))</f>
        <v>QC</v>
      </c>
      <c r="E35" s="35" t="s">
        <v>57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79.400004240000001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IF(AND(B35&lt;5,I35="P"),IF(_xlfn.MAXIFS(B:B,G:G,G35)&gt;3,5-B35,_xlfn.MAXIFS(B:B,G:G,G35)+1-B35),"")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</v>
      </c>
      <c r="T35" s="32">
        <v>37</v>
      </c>
      <c r="U35" s="37">
        <v>3.5999999999999996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321</v>
      </c>
      <c r="D36" t="str">
        <f>IF(E36="","",VLOOKUP(E36,'Coaching Points'!A:B,2,0))</f>
        <v>AB</v>
      </c>
      <c r="E36" s="35" t="s">
        <v>144</v>
      </c>
      <c r="F36" s="34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77.40000409000001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IF(AND(B36&lt;5,I36="P"),IF(_xlfn.MAXIFS(B:B,G:G,G36)&gt;3,5-B36,_xlfn.MAXIFS(B:B,G:G,G36)+1-B36),"")</f>
        <v/>
      </c>
      <c r="R36" s="4">
        <f>MAX(T36-IF(OR(H36="L6"),V36,0),W36-IF(OR(H36="L6"),Y36,0),Z36-IF(OR(H36="L6"),AB36,0),AC36-IF(OR(H36="L6"),AE36,0))</f>
        <v>40.9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36.5</v>
      </c>
      <c r="T36" s="32">
        <v>36.5</v>
      </c>
      <c r="U36" s="37">
        <v>3.9000000000000004</v>
      </c>
      <c r="V36" s="37">
        <v>0</v>
      </c>
      <c r="W36" s="33"/>
      <c r="X36" s="37"/>
      <c r="Y36" s="37"/>
      <c r="Z36" s="32">
        <v>40.9</v>
      </c>
      <c r="AA36" s="37">
        <v>5.8000000000000007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276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R37+S37+IF(OR(H37="Junior",H37="Senior"),0.0002,IF(OR(H37="L7",H37="L6"),0.0001,0))+MAX(Z37,AC37)*0.0000001</f>
        <v>77.100104379999991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IF(AND(B37&lt;5,I37="P"),IF(_xlfn.MAXIFS(B:B,G:G,G37)&gt;3,5-B37,_xlfn.MAXIFS(B:B,G:G,G37)+1-B37),"")</f>
        <v/>
      </c>
      <c r="R37" s="4">
        <f>MAX(T37-IF(OR(H37="L6"),V37,0),W37-IF(OR(H37="L6"),Y37,0),Z37-IF(OR(H37="L6"),AB37,0),AC37-IF(OR(H37="L6"),AE37,0))</f>
        <v>43.8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33.299999999999997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>
        <v>43.8</v>
      </c>
      <c r="AA37" s="37">
        <v>8.1000000000000014</v>
      </c>
      <c r="AB37" s="37">
        <v>0</v>
      </c>
      <c r="AC37" s="33">
        <v>17.100000000000001</v>
      </c>
      <c r="AD37" s="37">
        <v>2</v>
      </c>
      <c r="AE37" s="37">
        <v>0</v>
      </c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272</v>
      </c>
      <c r="D38" t="str">
        <f>IF(E38="","",VLOOKUP(E38,'Coaching Points'!A:B,2,0))</f>
        <v>BC</v>
      </c>
      <c r="E38" s="35" t="s">
        <v>40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210</v>
      </c>
      <c r="I38" s="40"/>
      <c r="J38" s="4">
        <f>R38+S38+IF(OR(H38="Junior",H38="Senior"),0.0002,IF(OR(H38="L7",H38="L6"),0.0001,0))+MAX(Z38,AC38)*0.0000001</f>
        <v>76.900204410000015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IF(AND(B38&lt;5,I38="P"),IF(_xlfn.MAXIFS(B:B,G:G,G38)&gt;3,5-B38,_xlfn.MAXIFS(B:B,G:G,G38)+1-B38),"")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32.799999999999997</v>
      </c>
      <c r="T38" s="32">
        <v>32.799999999999997</v>
      </c>
      <c r="U38" s="37">
        <v>2.4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238</v>
      </c>
      <c r="D39" t="str">
        <f>IF(E39="","",VLOOKUP(E39,'Coaching Points'!A:B,2,0))</f>
        <v>SK</v>
      </c>
      <c r="E39" s="35" t="s">
        <v>58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76.700104360000012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IF(AND(B39&lt;5,I39="P"),IF(_xlfn.MAXIFS(B:B,G:G,G39)&gt;3,5-B39,_xlfn.MAXIFS(B:B,G:G,G39)+1-B39),"")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33.1</v>
      </c>
      <c r="T39" s="32">
        <v>33.1</v>
      </c>
      <c r="U39" s="37">
        <v>2.1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369</v>
      </c>
      <c r="D40" t="str">
        <f>IF(E40="","",VLOOKUP(E40,'Coaching Points'!A:B,2,0))</f>
        <v>AB</v>
      </c>
      <c r="E40" s="35" t="s">
        <v>144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71.100003699999988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IF(AND(B40&lt;5,I40="P"),IF(_xlfn.MAXIFS(B:B,G:G,G40)&gt;3,5-B40,_xlfn.MAXIFS(B:B,G:G,G40)+1-B40),"")</f>
        <v/>
      </c>
      <c r="R40" s="4">
        <f>MAX(T40-IF(OR(H40="L6"),V40,0),W40-IF(OR(H40="L6"),Y40,0),Z40-IF(OR(H40="L6"),AB40,0),AC40-IF(OR(H40="L6"),AE40,0))</f>
        <v>37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34.1</v>
      </c>
      <c r="T40" s="32">
        <v>34.1</v>
      </c>
      <c r="U40" s="37">
        <v>3.4000000000000004</v>
      </c>
      <c r="V40" s="37">
        <v>0</v>
      </c>
      <c r="W40" s="33"/>
      <c r="X40" s="37"/>
      <c r="Y40" s="37"/>
      <c r="Z40" s="32">
        <v>37</v>
      </c>
      <c r="AA40" s="37">
        <v>3.8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364</v>
      </c>
      <c r="D41" t="str">
        <f>IF(E41="","",VLOOKUP(E41,'Coaching Points'!A:B,2,0))</f>
        <v>SK</v>
      </c>
      <c r="E41" s="35" t="s">
        <v>58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66.900103410000014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IF(AND(B41&lt;5,I41="P"),IF(_xlfn.MAXIFS(B:B,G:G,G41)&gt;3,5-B41,_xlfn.MAXIFS(B:B,G:G,G41)+1-B41),"")</f>
        <v/>
      </c>
      <c r="R41" s="4">
        <f>MAX(T41-IF(OR(H41="L6"),V41,0),W41-IF(OR(H41="L6"),Y41,0),Z41-IF(OR(H41="L6"),AB41,0),AC41-IF(OR(H41="L6"),AE41,0))</f>
        <v>34.1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32.799999999999997</v>
      </c>
      <c r="T41" s="32">
        <v>32.799999999999997</v>
      </c>
      <c r="U41" s="37">
        <v>1.9</v>
      </c>
      <c r="V41" s="37">
        <v>0</v>
      </c>
      <c r="W41" s="33"/>
      <c r="X41" s="37"/>
      <c r="Y41" s="37"/>
      <c r="Z41" s="32">
        <v>34.1</v>
      </c>
      <c r="AA41" s="37">
        <v>3.5999999999999996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370</v>
      </c>
      <c r="D42" t="str">
        <f>IF(E42="","",VLOOKUP(E42,'Coaching Points'!A:B,2,0))</f>
        <v>BC</v>
      </c>
      <c r="E42" s="35" t="s">
        <v>55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59.000003900000003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IF(AND(B42&lt;5,I42="P"),IF(_xlfn.MAXIFS(B:B,G:G,G42)&gt;3,5-B42,_xlfn.MAXIFS(B:B,G:G,G42)+1-B42),"")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20</v>
      </c>
      <c r="T42" s="32">
        <v>20</v>
      </c>
      <c r="U42" s="37">
        <v>3.4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428</v>
      </c>
      <c r="D43" t="str">
        <f>IF(E43="","",VLOOKUP(E43,'Coaching Points'!A:B,2,0))</f>
        <v>AB</v>
      </c>
      <c r="E43" s="35" t="s">
        <v>144</v>
      </c>
      <c r="F43" s="34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213</v>
      </c>
      <c r="I43" s="40"/>
      <c r="J43" s="4">
        <f>R43+S43+IF(OR(H43="Junior",H43="Senior"),0.0002,IF(OR(H43="L7",H43="L6"),0.0001,0))+MAX(Z43,AC43)*0.0000001</f>
        <v>43.500104350000001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IF(AND(B43&lt;5,I43="P"),IF(_xlfn.MAXIFS(B:B,G:G,G43)&gt;3,5-B43,_xlfn.MAXIFS(B:B,G:G,G43)+1-B43),"")</f>
        <v/>
      </c>
      <c r="R43" s="4">
        <f>MAX(T43-IF(OR(H43="L6"),V43,0),W43-IF(OR(H43="L6"),Y43,0),Z43-IF(OR(H43="L6"),AB43,0),AC43-IF(OR(H43="L6"),AE43,0))</f>
        <v>43.5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0</v>
      </c>
      <c r="T43" s="32"/>
      <c r="U43" s="37"/>
      <c r="V43" s="37"/>
      <c r="W43" s="33"/>
      <c r="X43" s="37"/>
      <c r="Y43" s="37"/>
      <c r="Z43" s="32">
        <v>43.5</v>
      </c>
      <c r="AA43" s="37">
        <v>8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500</v>
      </c>
      <c r="D44" t="str">
        <f>IF(E44="","",VLOOKUP(E44,'Coaching Points'!A:B,2,0))</f>
        <v>ON</v>
      </c>
      <c r="E44" s="35" t="s">
        <v>45</v>
      </c>
      <c r="F44" s="34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43.300104330000003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IF(AND(B44&lt;5,I44="P"),IF(_xlfn.MAXIFS(B:B,G:G,G44)&gt;3,5-B44,_xlfn.MAXIFS(B:B,G:G,G44)+1-B44),"")</f>
        <v/>
      </c>
      <c r="R44" s="4">
        <f>MAX(T44-IF(OR(H44="L6"),V44,0),W44-IF(OR(H44="L6"),Y44,0),Z44-IF(OR(H44="L6"),AB44,0),AC44-IF(OR(H44="L6"),AE44,0))</f>
        <v>43.3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43.3</v>
      </c>
      <c r="AA44" s="37">
        <v>6.3000000000000007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418</v>
      </c>
      <c r="D45" t="str">
        <f>IF(E45="","",VLOOKUP(E45,'Coaching Points'!A:B,2,0))</f>
        <v>QC</v>
      </c>
      <c r="E45" s="35" t="s">
        <v>3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R45+S45+IF(OR(H45="Junior",H45="Senior"),0.0002,IF(OR(H45="L7",H45="L6"),0.0001,0))+MAX(Z45,AC45)*0.0000001</f>
        <v>42.900004289999998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IF(AND(B45&lt;5,I45="P"),IF(_xlfn.MAXIFS(B:B,G:G,G45)&gt;3,5-B45,_xlfn.MAXIFS(B:B,G:G,G45)+1-B45),"")</f>
        <v/>
      </c>
      <c r="R45" s="4">
        <f>MAX(T45-IF(OR(H45="L6"),V45,0),W45-IF(OR(H45="L6"),Y45,0),Z45-IF(OR(H45="L6"),AB45,0),AC45-IF(OR(H45="L6"),AE45,0))</f>
        <v>42.9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42.9</v>
      </c>
      <c r="AA45" s="37">
        <v>5.6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262</v>
      </c>
      <c r="D46" t="str">
        <f>IF(E46="","",VLOOKUP(E46,'Coaching Points'!A:B,2,0))</f>
        <v>QC</v>
      </c>
      <c r="E46" s="35" t="s">
        <v>3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42.4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IF(AND(B46&lt;5,I46="P"),IF(_xlfn.MAXIFS(B:B,G:G,G46)&gt;3,5-B46,_xlfn.MAXIFS(B:B,G:G,G46)+1-B46),"")</f>
        <v/>
      </c>
      <c r="R46" s="4">
        <f>MAX(T46-IF(OR(H46="L6"),V46,0),W46-IF(OR(H46="L6"),Y46,0),Z46-IF(OR(H46="L6"),AB46,0),AC46-IF(OR(H46="L6"),AE46,0))</f>
        <v>42.4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>
        <v>42.4</v>
      </c>
      <c r="U46" s="37">
        <v>5.6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427</v>
      </c>
      <c r="D47" t="str">
        <f>IF(E47="","",VLOOKUP(E47,'Coaching Points'!A:B,2,0))</f>
        <v>ON</v>
      </c>
      <c r="E47" s="35" t="s">
        <v>84</v>
      </c>
      <c r="F47" s="34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IF(AND(B47&lt;5,I47="P"),IF(_xlfn.MAXIFS(B:B,G:G,G47)&gt;3,5-B47,_xlfn.MAXIFS(B:B,G:G,G47)+1-B47),"")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282</v>
      </c>
      <c r="D48" t="str">
        <f>IF(E48="","",VLOOKUP(E48,'Coaching Points'!A:B,2,0))</f>
        <v>BC</v>
      </c>
      <c r="E48" s="35" t="s">
        <v>36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IF(AND(B48&lt;5,I48="P"),IF(_xlfn.MAXIFS(B:B,G:G,G48)&gt;3,5-B48,_xlfn.MAXIFS(B:B,G:G,G48)+1-B48),"")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/>
      </c>
      <c r="B49" s="1" t="str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/>
      </c>
      <c r="C49" s="35" t="s">
        <v>281</v>
      </c>
      <c r="D49" t="str">
        <f>IF(E49="","",VLOOKUP(E49,'Coaching Points'!A:B,2,0))</f>
        <v>BC</v>
      </c>
      <c r="E49" s="35" t="s">
        <v>66</v>
      </c>
      <c r="F49" s="34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IF(AND(B49&lt;5,I49="P"),IF(_xlfn.MAXIFS(B:B,G:G,G49)&gt;3,5-B49,_xlfn.MAXIFS(B:B,G:G,G49)+1-B49),"")</f>
        <v/>
      </c>
      <c r="R49" s="4">
        <f>MAX(T49-IF(OR(H49="L6"),V49,0),W49-IF(OR(H49="L6"),Y49,0),Z49-IF(OR(H49="L6"),AB49,0),AC49-IF(OR(H49="L6"),AE49,0))</f>
        <v>40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</v>
      </c>
      <c r="U49" s="37">
        <v>5.6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/>
      </c>
      <c r="B50" s="1" t="str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/>
      </c>
      <c r="C50" s="35" t="s">
        <v>497</v>
      </c>
      <c r="D50" t="str">
        <f>IF(E50="","",VLOOKUP(E50,'Coaching Points'!A:B,2,0))</f>
        <v>QC</v>
      </c>
      <c r="E50" s="35" t="s">
        <v>99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IF(AND(B50&lt;5,I50="P"),IF(_xlfn.MAXIFS(B:B,G:G,G50)&gt;3,5-B50,_xlfn.MAXIFS(B:B,G:G,G50)+1-B50),"")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/>
      </c>
      <c r="B51" s="1" t="str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/>
      </c>
      <c r="C51" s="35" t="s">
        <v>498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IF(AND(B51&lt;5,I51="P"),IF(_xlfn.MAXIFS(B:B,G:G,G51)&gt;3,5-B51,_xlfn.MAXIFS(B:B,G:G,G51)+1-B51),"")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/>
      </c>
      <c r="B52" s="1" t="str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/>
      </c>
      <c r="C52" s="35" t="s">
        <v>368</v>
      </c>
      <c r="D52" t="str">
        <f>IF(E52="","",VLOOKUP(E52,'Coaching Points'!A:B,2,0))</f>
        <v>BC</v>
      </c>
      <c r="E52" s="35" t="s">
        <v>40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R52+S52+IF(OR(H52="Junior",H52="Senior"),0.0002,IF(OR(H52="L7",H52="L6"),0.0001,0))+MAX(Z52,AC52)*0.0000001</f>
        <v>37.700000000000003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IF(AND(B52&lt;5,I52="P"),IF(_xlfn.MAXIFS(B:B,G:G,G52)&gt;3,5-B52,_xlfn.MAXIFS(B:B,G:G,G52)+1-B52),"")</f>
        <v/>
      </c>
      <c r="R52" s="4">
        <f>MAX(T52-IF(OR(H52="L6"),V52,0),W52-IF(OR(H52="L6"),Y52,0),Z52-IF(OR(H52="L6"),AB52,0),AC52-IF(OR(H52="L6"),AE52,0))</f>
        <v>37.700000000000003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37.700000000000003</v>
      </c>
      <c r="U52" s="37">
        <v>4.3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499</v>
      </c>
      <c r="D53" t="str">
        <f>IF(E53="","",VLOOKUP(E53,'Coaching Points'!A:B,2,0))</f>
        <v>QC</v>
      </c>
      <c r="E53" s="35" t="s">
        <v>99</v>
      </c>
      <c r="F53" s="34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IF(AND(B53&lt;5,I53="P"),IF(_xlfn.MAXIFS(B:B,G:G,G53)&gt;3,5-B53,_xlfn.MAXIFS(B:B,G:G,G53)+1-B53),"")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317</v>
      </c>
      <c r="D54" t="str">
        <f>IF(E54="","",VLOOKUP(E54,'Coaching Points'!A:B,2,0))</f>
        <v>BC</v>
      </c>
      <c r="E54" s="35" t="s">
        <v>60</v>
      </c>
      <c r="F54" s="34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213</v>
      </c>
      <c r="I54" s="40"/>
      <c r="J54" s="4">
        <f>R54+S54+IF(OR(H54="Junior",H54="Senior"),0.0002,IF(OR(H54="L7",H54="L6"),0.0001,0))+MAX(Z54,AC54)*0.0000001</f>
        <v>36.3001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IF(AND(B54&lt;5,I54="P"),IF(_xlfn.MAXIFS(B:B,G:G,G54)&gt;3,5-B54,_xlfn.MAXIFS(B:B,G:G,G54)+1-B54),"")</f>
        <v/>
      </c>
      <c r="R54" s="4">
        <f>MAX(T54-IF(OR(H54="L6"),V54,0),W54-IF(OR(H54="L6"),Y54,0),Z54-IF(OR(H54="L6"),AB54,0),AC54-IF(OR(H54="L6"),AE54,0))</f>
        <v>36.299999999999997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36.299999999999997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501</v>
      </c>
      <c r="D55" t="str">
        <f>IF(E55="","",VLOOKUP(E55,'Coaching Points'!A:B,2,0))</f>
        <v>AB</v>
      </c>
      <c r="E55" s="35" t="s">
        <v>28</v>
      </c>
      <c r="F55" s="34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IF(AND(B55&lt;5,I55="P"),IF(_xlfn.MAXIFS(B:B,G:G,G55)&gt;3,5-B55,_xlfn.MAXIFS(B:B,G:G,G55)+1-B55),"")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>1</v>
      </c>
      <c r="B56" s="1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 t="s">
        <v>507</v>
      </c>
      <c r="J56" s="4">
        <f>R56+S56+IF(OR(H56="Junior",H56="Senior"),0.0002,IF(OR(H56="L7",H56="L6"),0.0001,0))+MAX(Z56,AC56)*0.0000001</f>
        <v>103.30020521000002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>
        <f>IF(AND(B56&lt;5,I56="P"),IF(_xlfn.MAXIFS(B:B,G:G,G56)&gt;3,5-B56,_xlfn.MAXIFS(B:B,G:G,G56)+1-B56),"")</f>
        <v>4</v>
      </c>
      <c r="R56" s="4">
        <f>MAX(T56-IF(OR(H56="L6"),V56,0),W56-IF(OR(H56="L6"),Y56,0),Z56-IF(OR(H56="L6"),AB56,0),AC56-IF(OR(H56="L6"),AE56,0))</f>
        <v>52.1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51.2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50.9</v>
      </c>
      <c r="AA56" s="37">
        <v>13.2</v>
      </c>
      <c r="AB56" s="37">
        <v>0</v>
      </c>
      <c r="AC56" s="33">
        <v>52.1</v>
      </c>
      <c r="AD56" s="37">
        <v>14.8</v>
      </c>
      <c r="AE56" s="37">
        <v>0</v>
      </c>
    </row>
    <row r="57" spans="1:31" x14ac:dyDescent="0.2">
      <c r="A57" s="1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>2</v>
      </c>
      <c r="B57" s="1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 t="s">
        <v>507</v>
      </c>
      <c r="J57" s="4">
        <f>R57+S57+IF(OR(H57="Junior",H57="Senior"),0.0002,IF(OR(H57="L7",H57="L6"),0.0001,0))+MAX(Z57,AC57)*0.0000001</f>
        <v>97.100204829999996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>
        <f>IF(AND(B57&lt;5,I57="P"),IF(_xlfn.MAXIFS(B:B,G:G,G57)&gt;3,5-B57,_xlfn.MAXIFS(B:B,G:G,G57)+1-B57),"")</f>
        <v>3</v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48.3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46.8</v>
      </c>
      <c r="AA57" s="37">
        <v>11.6</v>
      </c>
      <c r="AB57" s="37">
        <v>0</v>
      </c>
      <c r="AC57" s="33">
        <v>48.3</v>
      </c>
      <c r="AD57" s="37">
        <v>11.6</v>
      </c>
      <c r="AE57" s="37">
        <v>0</v>
      </c>
    </row>
    <row r="58" spans="1:31" x14ac:dyDescent="0.2">
      <c r="A58" s="1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>3</v>
      </c>
      <c r="B58" s="1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 t="s">
        <v>507</v>
      </c>
      <c r="J58" s="4">
        <f>R58+S58+IF(OR(H58="Junior",H58="Senior"),0.0002,IF(OR(H58="L7",H58="L6"),0.0001,0))+MAX(Z58,AC58)*0.0000001</f>
        <v>93.400204700000018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>
        <f>IF(AND(B58&lt;5,I58="P"),IF(_xlfn.MAXIFS(B:B,G:G,G58)&gt;3,5-B58,_xlfn.MAXIFS(B:B,G:G,G58)+1-B58),"")</f>
        <v>2</v>
      </c>
      <c r="R58" s="4">
        <f>MAX(T58-IF(OR(H58="L6"),V58,0),W58-IF(OR(H58="L6"),Y58,0),Z58-IF(OR(H58="L6"),AB58,0),AC58-IF(OR(H58="L6"),AE58,0))</f>
        <v>47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46.4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47</v>
      </c>
      <c r="AA58" s="37">
        <v>9.8999999999999986</v>
      </c>
      <c r="AB58" s="37">
        <v>0</v>
      </c>
      <c r="AC58" s="33">
        <v>46.4</v>
      </c>
      <c r="AD58" s="37">
        <v>9.5</v>
      </c>
      <c r="AE58" s="37">
        <v>0</v>
      </c>
    </row>
    <row r="59" spans="1:31" x14ac:dyDescent="0.2">
      <c r="A59" s="1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>4</v>
      </c>
      <c r="B59" s="1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>4</v>
      </c>
      <c r="C59" s="35" t="s">
        <v>361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 t="s">
        <v>507</v>
      </c>
      <c r="J59" s="4">
        <f>R59+S59+IF(OR(H59="Junior",H59="Senior"),0.0002,IF(OR(H59="L7",H59="L6"),0.0001,0))+MAX(Z59,AC59)*0.0000001</f>
        <v>91.100204469999994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>
        <f>IF(AND(B59&lt;5,I59="P"),IF(_xlfn.MAXIFS(B:B,G:G,G59)&gt;3,5-B59,_xlfn.MAXIFS(B:B,G:G,G59)+1-B59),"")</f>
        <v>1</v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44.7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>
        <v>44.7</v>
      </c>
      <c r="AA59" s="37">
        <v>10.4</v>
      </c>
      <c r="AB59" s="37">
        <v>0</v>
      </c>
      <c r="AC59" s="33">
        <v>41.2</v>
      </c>
      <c r="AD59" s="37">
        <v>7.6</v>
      </c>
      <c r="AE59" s="37">
        <v>0</v>
      </c>
    </row>
    <row r="60" spans="1:31" x14ac:dyDescent="0.2">
      <c r="A60" s="1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>5</v>
      </c>
      <c r="B60" s="1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 t="s">
        <v>507</v>
      </c>
      <c r="J60" s="4">
        <f>R60+S60+IF(OR(H60="Junior",H60="Senior"),0.0002,IF(OR(H60="L7",H60="L6"),0.0001,0))+MAX(Z60,AC60)*0.0000001</f>
        <v>86.700200000000009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IF(AND(B60&lt;5,I60="P"),IF(_xlfn.MAXIFS(B:B,G:G,G60)&gt;3,5-B60,_xlfn.MAXIFS(B:B,G:G,G60)+1-B60),"")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257</v>
      </c>
      <c r="D61" t="str">
        <f>IF(E61="","",VLOOKUP(E61,'Coaching Points'!A:B,2,0))</f>
        <v>AB</v>
      </c>
      <c r="E61" s="35" t="s">
        <v>28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IF(AND(B61&lt;5,I61="P"),IF(_xlfn.MAXIFS(B:B,G:G,G61)&gt;3,5-B61,_xlfn.MAXIFS(B:B,G:G,G61)+1-B61),"")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33.1</v>
      </c>
      <c r="U61" s="37">
        <v>1.9</v>
      </c>
      <c r="V61" s="37">
        <v>0</v>
      </c>
      <c r="W61" s="33"/>
      <c r="X61" s="37"/>
      <c r="Y61" s="37"/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414</v>
      </c>
      <c r="D62" t="str">
        <f>IF(E62="","",VLOOKUP(E62,'Coaching Points'!A:B,2,0))</f>
        <v>QC</v>
      </c>
      <c r="E62" s="35" t="s">
        <v>99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89.100204509999998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IF(AND(B62&lt;5,I62="P"),IF(_xlfn.MAXIFS(B:B,G:G,G62)&gt;3,5-B62,_xlfn.MAXIFS(B:B,G:G,G62)+1-B62),"")</f>
        <v/>
      </c>
      <c r="R62" s="4">
        <f>MAX(T62-IF(OR(H62="L6"),V62,0),W62-IF(OR(H62="L6"),Y62,0),Z62-IF(OR(H62="L6"),AB62,0),AC62-IF(OR(H62="L6"),AE62,0))</f>
        <v>45.1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</v>
      </c>
      <c r="T62" s="32"/>
      <c r="U62" s="37"/>
      <c r="V62" s="37"/>
      <c r="W62" s="33"/>
      <c r="X62" s="37"/>
      <c r="Y62" s="37"/>
      <c r="Z62" s="32">
        <v>45.1</v>
      </c>
      <c r="AA62" s="37">
        <v>7.2</v>
      </c>
      <c r="AB62" s="37">
        <v>0</v>
      </c>
      <c r="AC62" s="33">
        <v>44</v>
      </c>
      <c r="AD62" s="37">
        <v>7.2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224</v>
      </c>
      <c r="D63" t="str">
        <f>IF(E63="","",VLOOKUP(E63,'Coaching Points'!A:B,2,0))</f>
        <v>AB</v>
      </c>
      <c r="E63" s="35" t="s">
        <v>39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R63+S63+IF(OR(H63="Junior",H63="Senior"),0.0002,IF(OR(H63="L7",H63="L6"),0.0001,0))+MAX(Z63,AC63)*0.0000001</f>
        <v>88.600204469999994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IF(AND(B63&lt;5,I63="P"),IF(_xlfn.MAXIFS(B:B,G:G,G63)&gt;3,5-B63,_xlfn.MAXIFS(B:B,G:G,G63)+1-B63),"")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40.700000000000003</v>
      </c>
      <c r="U63" s="37">
        <v>7.9</v>
      </c>
      <c r="V63" s="37">
        <v>0</v>
      </c>
      <c r="W63" s="33">
        <v>38.6</v>
      </c>
      <c r="X63" s="37">
        <v>5.1000000000000005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249</v>
      </c>
      <c r="D64" t="str">
        <f>IF(E64="","",VLOOKUP(E64,'Coaching Points'!A:B,2,0))</f>
        <v>BC</v>
      </c>
      <c r="E64" s="35" t="s">
        <v>36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R64+S64+IF(OR(H64="Junior",H64="Senior"),0.0002,IF(OR(H64="L7",H64="L6"),0.0001,0))+MAX(Z64,AC64)*0.0000001</f>
        <v>88.500204450000012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IF(AND(B64&lt;5,I64="P"),IF(_xlfn.MAXIFS(B:B,G:G,G64)&gt;3,5-B64,_xlfn.MAXIFS(B:B,G:G,G64)+1-B64),"")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44</v>
      </c>
      <c r="T64" s="32">
        <v>38.1</v>
      </c>
      <c r="U64" s="37">
        <v>5.6000000000000005</v>
      </c>
      <c r="V64" s="37">
        <v>0</v>
      </c>
      <c r="W64" s="33">
        <v>44</v>
      </c>
      <c r="X64" s="37">
        <v>8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222</v>
      </c>
      <c r="D6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88.200203410000015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IF(AND(B65&lt;5,I65="P"),IF(_xlfn.MAXIFS(B:B,G:G,G65)&gt;3,5-B65,_xlfn.MAXIFS(B:B,G:G,G65)+1-B65),"")</f>
        <v/>
      </c>
      <c r="R65" s="4">
        <f>MAX(T65-IF(OR(H65="L6"),V65,0),W65-IF(OR(H65="L6"),Y65,0),Z65-IF(OR(H65="L6"),AB65,0),AC65-IF(OR(H65="L6"),AE65,0))</f>
        <v>44.5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43.7</v>
      </c>
      <c r="T65" s="32">
        <v>43.7</v>
      </c>
      <c r="U65" s="37">
        <v>7.9</v>
      </c>
      <c r="V65" s="37">
        <v>0</v>
      </c>
      <c r="W65" s="33">
        <v>44.5</v>
      </c>
      <c r="X65" s="37">
        <v>7.9</v>
      </c>
      <c r="Y65" s="37">
        <v>0</v>
      </c>
      <c r="Z65" s="32">
        <v>34.1</v>
      </c>
      <c r="AA65" s="37">
        <v>3.0999999999999996</v>
      </c>
      <c r="AB65" s="37">
        <v>0</v>
      </c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258</v>
      </c>
      <c r="D66" t="str">
        <f>IF(E66="","",VLOOKUP(E66,'Coaching Points'!A:B,2,0))</f>
        <v>BC</v>
      </c>
      <c r="E66" s="35" t="s">
        <v>40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88.000004419999996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IF(AND(B66&lt;5,I66="P"),IF(_xlfn.MAXIFS(B:B,G:G,G66)&gt;3,5-B66,_xlfn.MAXIFS(B:B,G:G,G66)+1-B66),"")</f>
        <v/>
      </c>
      <c r="R66" s="4">
        <f>MAX(T66-IF(OR(H66="L6"),V66,0),W66-IF(OR(H66="L6"),Y66,0),Z66-IF(OR(H66="L6"),AB66,0),AC66-IF(OR(H66="L6"),AE66,0))</f>
        <v>44.2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43.8</v>
      </c>
      <c r="T66" s="32">
        <v>43.8</v>
      </c>
      <c r="U66" s="37">
        <v>7.1</v>
      </c>
      <c r="V66" s="37">
        <v>0</v>
      </c>
      <c r="W66" s="33">
        <v>43.8</v>
      </c>
      <c r="X66" s="37">
        <v>7.4</v>
      </c>
      <c r="Y66" s="37">
        <v>0</v>
      </c>
      <c r="Z66" s="32">
        <v>41.7</v>
      </c>
      <c r="AA66" s="37">
        <v>7.9</v>
      </c>
      <c r="AB66" s="37">
        <v>0</v>
      </c>
      <c r="AC66" s="33">
        <v>44.2</v>
      </c>
      <c r="AD66" s="37">
        <v>8.3000000000000007</v>
      </c>
      <c r="AE66" s="37">
        <v>0</v>
      </c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366</v>
      </c>
      <c r="D67" t="str">
        <f>IF(E67="","",VLOOKUP(E67,'Coaching Points'!A:B,2,0))</f>
        <v>BC</v>
      </c>
      <c r="E67" s="35" t="s">
        <v>40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87.100004439999992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IF(AND(B67&lt;5,I67="P"),IF(_xlfn.MAXIFS(B:B,G:G,G67)&gt;3,5-B67,_xlfn.MAXIFS(B:B,G:G,G67)+1-B67),"")</f>
        <v/>
      </c>
      <c r="R67" s="4">
        <f>MAX(T67-IF(OR(H67="L6"),V67,0),W67-IF(OR(H67="L6"),Y67,0),Z67-IF(OR(H67="L6"),AB67,0),AC67-IF(OR(H67="L6"),AE67,0))</f>
        <v>44.4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42.7</v>
      </c>
      <c r="T67" s="32">
        <v>42.7</v>
      </c>
      <c r="U67" s="37">
        <v>6.5</v>
      </c>
      <c r="V67" s="37">
        <v>0</v>
      </c>
      <c r="W67" s="33">
        <v>37.799999999999997</v>
      </c>
      <c r="X67" s="37">
        <v>4.5999999999999996</v>
      </c>
      <c r="Y67" s="37">
        <v>0</v>
      </c>
      <c r="Z67" s="32">
        <v>44.4</v>
      </c>
      <c r="AA67" s="37">
        <v>7.9</v>
      </c>
      <c r="AB67" s="37">
        <v>0</v>
      </c>
      <c r="AC67" s="33">
        <v>33.700000000000003</v>
      </c>
      <c r="AD67" s="37">
        <v>3.0999999999999996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255</v>
      </c>
      <c r="D68" t="str">
        <f>IF(E68="","",VLOOKUP(E68,'Coaching Points'!A:B,2,0))</f>
        <v>AB</v>
      </c>
      <c r="E68" s="35" t="s">
        <v>28</v>
      </c>
      <c r="F68" s="34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86.400004330000002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IF(AND(B68&lt;5,I68="P"),IF(_xlfn.MAXIFS(B:B,G:G,G68)&gt;3,5-B68,_xlfn.MAXIFS(B:B,G:G,G68)+1-B68),"")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43.1</v>
      </c>
      <c r="T68" s="32">
        <v>43.1</v>
      </c>
      <c r="U68" s="37">
        <v>6.3000000000000007</v>
      </c>
      <c r="V68" s="37">
        <v>0</v>
      </c>
      <c r="W68" s="33">
        <v>41.6</v>
      </c>
      <c r="X68" s="37">
        <v>4.5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310</v>
      </c>
      <c r="D69" t="str">
        <f>IF(E69="","",VLOOKUP(E69,'Coaching Points'!A:B,2,0))</f>
        <v>BC</v>
      </c>
      <c r="E69" s="35" t="s">
        <v>59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85.900004300000006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IF(AND(B69&lt;5,I69="P"),IF(_xlfn.MAXIFS(B:B,G:G,G69)&gt;3,5-B69,_xlfn.MAXIFS(B:B,G:G,G69)+1-B69),"")</f>
        <v/>
      </c>
      <c r="R69" s="4">
        <f>MAX(T69-IF(OR(H69="L6"),V69,0),W69-IF(OR(H69="L6"),Y69,0),Z69-IF(OR(H69="L6"),AB69,0),AC69-IF(OR(H69="L6"),AE69,0))</f>
        <v>43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42.9</v>
      </c>
      <c r="T69" s="32">
        <v>39.200000000000003</v>
      </c>
      <c r="U69" s="37">
        <v>4.2</v>
      </c>
      <c r="V69" s="37">
        <v>0</v>
      </c>
      <c r="W69" s="33">
        <v>42.5</v>
      </c>
      <c r="X69" s="37">
        <v>4.9000000000000004</v>
      </c>
      <c r="Y69" s="37">
        <v>0</v>
      </c>
      <c r="Z69" s="32">
        <v>42.9</v>
      </c>
      <c r="AA69" s="37">
        <v>5.4</v>
      </c>
      <c r="AB69" s="37">
        <v>0</v>
      </c>
      <c r="AC69" s="33">
        <v>43</v>
      </c>
      <c r="AD69" s="37">
        <v>5.2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254</v>
      </c>
      <c r="D70" t="str">
        <f>IF(E70="","",VLOOKUP(E70,'Coaching Points'!A:B,2,0))</f>
        <v>SK</v>
      </c>
      <c r="E70" s="35" t="s">
        <v>58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85.900004240000001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IF(AND(B70&lt;5,I70="P"),IF(_xlfn.MAXIFS(B:B,G:G,G70)&gt;3,5-B70,_xlfn.MAXIFS(B:B,G:G,G70)+1-B70),"")</f>
        <v/>
      </c>
      <c r="R70" s="4">
        <f>MAX(T70-IF(OR(H70="L6"),V70,0),W70-IF(OR(H70="L6"),Y70,0),Z70-IF(OR(H70="L6"),AB70,0),AC70-IF(OR(H70="L6"),AE70,0))</f>
        <v>43.3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42.6</v>
      </c>
      <c r="T70" s="32">
        <v>43.3</v>
      </c>
      <c r="U70" s="37">
        <v>6.3000000000000007</v>
      </c>
      <c r="V70" s="37">
        <v>0</v>
      </c>
      <c r="W70" s="33">
        <v>42.6</v>
      </c>
      <c r="X70" s="37">
        <v>6</v>
      </c>
      <c r="Y70" s="37">
        <v>0</v>
      </c>
      <c r="Z70" s="32">
        <v>42.4</v>
      </c>
      <c r="AA70" s="37">
        <v>6.6</v>
      </c>
      <c r="AB70" s="37">
        <v>0</v>
      </c>
      <c r="AC70" s="33">
        <v>39.299999999999997</v>
      </c>
      <c r="AD70" s="37">
        <v>5.6999999999999993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416</v>
      </c>
      <c r="D71" t="str">
        <f>IF(E71="","",VLOOKUP(E71,'Coaching Points'!A:B,2,0))</f>
        <v>QC</v>
      </c>
      <c r="E71" s="35" t="s">
        <v>125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85.200004300000003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IF(AND(B71&lt;5,I71="P"),IF(_xlfn.MAXIFS(B:B,G:G,G71)&gt;3,5-B71,_xlfn.MAXIFS(B:B,G:G,G71)+1-B71),"")</f>
        <v/>
      </c>
      <c r="R71" s="4">
        <f>MAX(T71-IF(OR(H71="L6"),V71,0),W71-IF(OR(H71="L6"),Y71,0),Z71-IF(OR(H71="L6"),AB71,0),AC71-IF(OR(H71="L6"),AE71,0))</f>
        <v>43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42.2</v>
      </c>
      <c r="T71" s="32"/>
      <c r="U71" s="37"/>
      <c r="V71" s="37"/>
      <c r="W71" s="33"/>
      <c r="X71" s="37"/>
      <c r="Y71" s="37"/>
      <c r="Z71" s="32">
        <v>42.2</v>
      </c>
      <c r="AA71" s="37">
        <v>4.9000000000000004</v>
      </c>
      <c r="AB71" s="37">
        <v>0</v>
      </c>
      <c r="AC71" s="33">
        <v>43</v>
      </c>
      <c r="AD71" s="37">
        <v>5.0999999999999996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491</v>
      </c>
      <c r="D72" t="str">
        <f>IF(E72="","",VLOOKUP(E72,'Coaching Points'!A:B,2,0))</f>
        <v>ON</v>
      </c>
      <c r="E72" s="35" t="s">
        <v>76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84.600004309999989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IF(AND(B72&lt;5,I72="P"),IF(_xlfn.MAXIFS(B:B,G:G,G72)&gt;3,5-B72,_xlfn.MAXIFS(B:B,G:G,G72)+1-B72),"")</f>
        <v/>
      </c>
      <c r="R72" s="4">
        <f>MAX(T72-IF(OR(H72="L6"),V72,0),W72-IF(OR(H72="L6"),Y72,0),Z72-IF(OR(H72="L6"),AB72,0),AC72-IF(OR(H72="L6"),AE72,0))</f>
        <v>43.1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41.5</v>
      </c>
      <c r="T72" s="32"/>
      <c r="U72" s="37"/>
      <c r="V72" s="37"/>
      <c r="W72" s="33"/>
      <c r="X72" s="37"/>
      <c r="Y72" s="37"/>
      <c r="Z72" s="32">
        <v>43.1</v>
      </c>
      <c r="AA72" s="37">
        <v>5.8000000000000007</v>
      </c>
      <c r="AB72" s="37">
        <v>0</v>
      </c>
      <c r="AC72" s="33">
        <v>41.5</v>
      </c>
      <c r="AD72" s="37">
        <v>4.3000000000000007</v>
      </c>
      <c r="AE72" s="37">
        <v>0</v>
      </c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309</v>
      </c>
      <c r="D73" t="str">
        <f>IF(E73="","",VLOOKUP(E73,'Coaching Points'!A:B,2,0))</f>
        <v>ON</v>
      </c>
      <c r="E73" s="35" t="s">
        <v>45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84.200004239999984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IF(AND(B73&lt;5,I73="P"),IF(_xlfn.MAXIFS(B:B,G:G,G73)&gt;3,5-B73,_xlfn.MAXIFS(B:B,G:G,G73)+1-B73),"")</f>
        <v/>
      </c>
      <c r="R73" s="4">
        <f>MAX(T73-IF(OR(H73="L6"),V73,0),W73-IF(OR(H73="L6"),Y73,0),Z73-IF(OR(H73="L6"),AB73,0),AC73-IF(OR(H73="L6"),AE73,0))</f>
        <v>42.4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41.8</v>
      </c>
      <c r="T73" s="32">
        <v>40</v>
      </c>
      <c r="U73" s="37">
        <v>4.9000000000000004</v>
      </c>
      <c r="V73" s="37">
        <v>0</v>
      </c>
      <c r="W73" s="33">
        <v>41.4</v>
      </c>
      <c r="X73" s="37">
        <v>5.2</v>
      </c>
      <c r="Y73" s="37">
        <v>0</v>
      </c>
      <c r="Z73" s="32">
        <v>41.8</v>
      </c>
      <c r="AA73" s="37">
        <v>4.9000000000000004</v>
      </c>
      <c r="AB73" s="37">
        <v>0</v>
      </c>
      <c r="AC73" s="33">
        <v>42.4</v>
      </c>
      <c r="AD73" s="37">
        <v>5.2</v>
      </c>
      <c r="AE73" s="37">
        <v>0</v>
      </c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492</v>
      </c>
      <c r="D74" t="str">
        <f>IF(E74="","",VLOOKUP(E74,'Coaching Points'!A:B,2,0))</f>
        <v>AB</v>
      </c>
      <c r="E74" s="35" t="s">
        <v>39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82.000004259999997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IF(AND(B74&lt;5,I74="P"),IF(_xlfn.MAXIFS(B:B,G:G,G74)&gt;3,5-B74,_xlfn.MAXIFS(B:B,G:G,G74)+1-B74),"")</f>
        <v/>
      </c>
      <c r="R74" s="4">
        <f>MAX(T74-IF(OR(H74="L6"),V74,0),W74-IF(OR(H74="L6"),Y74,0),Z74-IF(OR(H74="L6"),AB74,0),AC74-IF(OR(H74="L6"),AE74,0))</f>
        <v>42.6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39.4</v>
      </c>
      <c r="T74" s="32"/>
      <c r="U74" s="37"/>
      <c r="V74" s="37"/>
      <c r="W74" s="33"/>
      <c r="X74" s="37"/>
      <c r="Y74" s="37"/>
      <c r="Z74" s="32">
        <v>42.6</v>
      </c>
      <c r="AA74" s="37">
        <v>5.8000000000000007</v>
      </c>
      <c r="AB74" s="37">
        <v>0</v>
      </c>
      <c r="AC74" s="33">
        <v>39.4</v>
      </c>
      <c r="AD74" s="37">
        <v>4.5</v>
      </c>
      <c r="AE74" s="37">
        <v>0</v>
      </c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313</v>
      </c>
      <c r="D75" t="str">
        <f>IF(E75="","",VLOOKUP(E75,'Coaching Points'!A:B,2,0))</f>
        <v>BC</v>
      </c>
      <c r="E75" s="35" t="s">
        <v>40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81.599999999999994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IF(AND(B75&lt;5,I75="P"),IF(_xlfn.MAXIFS(B:B,G:G,G75)&gt;3,5-B75,_xlfn.MAXIFS(B:B,G:G,G75)+1-B75),"")</f>
        <v/>
      </c>
      <c r="R75" s="4">
        <f>MAX(T75-IF(OR(H75="L6"),V75,0),W75-IF(OR(H75="L6"),Y75,0),Z75-IF(OR(H75="L6"),AB75,0),AC75-IF(OR(H75="L6"),AE75,0))</f>
        <v>42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39.6</v>
      </c>
      <c r="T75" s="32">
        <v>42</v>
      </c>
      <c r="U75" s="37">
        <v>5.7</v>
      </c>
      <c r="V75" s="37">
        <v>0</v>
      </c>
      <c r="W75" s="33">
        <v>39.6</v>
      </c>
      <c r="X75" s="37">
        <v>5.2</v>
      </c>
      <c r="Y75" s="37">
        <v>0</v>
      </c>
      <c r="Z75" s="32"/>
      <c r="AA75" s="37"/>
      <c r="AB75" s="37"/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81.400004370000005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IF(AND(B76&lt;5,I76="P"),IF(_xlfn.MAXIFS(B:B,G:G,G76)&gt;3,5-B76,_xlfn.MAXIFS(B:B,G:G,G76)+1-B76),"")</f>
        <v/>
      </c>
      <c r="R76" s="4">
        <f>MAX(T76-IF(OR(H76="L6"),V76,0),W76-IF(OR(H76="L6"),Y76,0),Z76-IF(OR(H76="L6"),AB76,0),AC76-IF(OR(H76="L6"),AE76,0))</f>
        <v>43.7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37.700000000000003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43.7</v>
      </c>
      <c r="AA76" s="37">
        <v>6.6</v>
      </c>
      <c r="AB76" s="37">
        <v>0</v>
      </c>
      <c r="AC76" s="33">
        <v>37.700000000000003</v>
      </c>
      <c r="AD76" s="37">
        <v>5.1000000000000005</v>
      </c>
      <c r="AE76" s="37">
        <v>0</v>
      </c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415</v>
      </c>
      <c r="D77" t="str">
        <f>IF(E77="","",VLOOKUP(E77,'Coaching Points'!A:B,2,0))</f>
        <v>AB</v>
      </c>
      <c r="E77" s="35" t="s">
        <v>39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80.700004309999997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IF(AND(B77&lt;5,I77="P"),IF(_xlfn.MAXIFS(B:B,G:G,G77)&gt;3,5-B77,_xlfn.MAXIFS(B:B,G:G,G77)+1-B77),"")</f>
        <v/>
      </c>
      <c r="R77" s="4">
        <f>MAX(T77-IF(OR(H77="L6"),V77,0),W77-IF(OR(H77="L6"),Y77,0),Z77-IF(OR(H77="L6"),AB77,0),AC77-IF(OR(H77="L6"),AE77,0))</f>
        <v>43.1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37.6</v>
      </c>
      <c r="T77" s="32"/>
      <c r="U77" s="37"/>
      <c r="V77" s="37"/>
      <c r="W77" s="33"/>
      <c r="X77" s="37"/>
      <c r="Y77" s="37"/>
      <c r="Z77" s="32">
        <v>43.1</v>
      </c>
      <c r="AA77" s="37">
        <v>6</v>
      </c>
      <c r="AB77" s="37">
        <v>0</v>
      </c>
      <c r="AC77" s="33">
        <v>37.6</v>
      </c>
      <c r="AD77" s="37">
        <v>3.3000000000000003</v>
      </c>
      <c r="AE77" s="37">
        <v>0</v>
      </c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252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41.800004179999995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IF(AND(B78&lt;5,I78="P"),IF(_xlfn.MAXIFS(B:B,G:G,G78)&gt;3,5-B78,_xlfn.MAXIFS(B:B,G:G,G78)+1-B78),"")</f>
        <v/>
      </c>
      <c r="R78" s="4">
        <f>MAX(T78-IF(OR(H78="L6"),V78,0),W78-IF(OR(H78="L6"),Y78,0),Z78-IF(OR(H78="L6"),AB78,0),AC78-IF(OR(H78="L6"),AE78,0))</f>
        <v>41.8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41.8</v>
      </c>
      <c r="AA78" s="37">
        <v>5.0999999999999996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493</v>
      </c>
      <c r="D79" t="str">
        <f>IF(E79="","",VLOOKUP(E79,'Coaching Points'!A:B,2,0))</f>
        <v>AB</v>
      </c>
      <c r="E79" s="35" t="s">
        <v>61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41.70000417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IF(AND(B79&lt;5,I79="P"),IF(_xlfn.MAXIFS(B:B,G:G,G79)&gt;3,5-B79,_xlfn.MAXIFS(B:B,G:G,G79)+1-B79),"")</f>
        <v/>
      </c>
      <c r="R79" s="4">
        <f>MAX(T79-IF(OR(H79="L6"),V79,0),W79-IF(OR(H79="L6"),Y79,0),Z79-IF(OR(H79="L6"),AB79,0),AC79-IF(OR(H79="L6"),AE79,0))</f>
        <v>41.7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41.7</v>
      </c>
      <c r="AA79" s="37">
        <v>5.8000000000000007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/>
      </c>
      <c r="B80" s="1" t="str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/>
      </c>
      <c r="C80" s="35" t="s">
        <v>494</v>
      </c>
      <c r="D80" t="str">
        <f>IF(E80="","",VLOOKUP(E80,'Coaching Points'!A:B,2,0))</f>
        <v>AB</v>
      </c>
      <c r="E80" s="35" t="s">
        <v>56</v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41.600004160000005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IF(AND(B80&lt;5,I80="P"),IF(_xlfn.MAXIFS(B:B,G:G,G80)&gt;3,5-B80,_xlfn.MAXIFS(B:B,G:G,G80)+1-B80),"")</f>
        <v/>
      </c>
      <c r="R80" s="4">
        <f>MAX(T80-IF(OR(H80="L6"),V80,0),W80-IF(OR(H80="L6"),Y80,0),Z80-IF(OR(H80="L6"),AB80,0),AC80-IF(OR(H80="L6"),AE80,0))</f>
        <v>41.6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41.6</v>
      </c>
      <c r="AA80" s="37">
        <v>5.4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/>
      </c>
      <c r="B81" s="1" t="str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/>
      </c>
      <c r="C81" s="35" t="s">
        <v>495</v>
      </c>
      <c r="D81" t="str">
        <f>IF(E81="","",VLOOKUP(E81,'Coaching Points'!A:B,2,0))</f>
        <v>BC</v>
      </c>
      <c r="E81" s="35" t="s">
        <v>60</v>
      </c>
      <c r="F81" s="34">
        <v>2010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R81+S81+IF(OR(H81="Junior",H81="Senior"),0.0002,IF(OR(H81="L7",H81="L6"),0.0001,0))+MAX(Z81,AC81)*0.0000001</f>
        <v>37.200003720000005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IF(AND(B81&lt;5,I81="P"),IF(_xlfn.MAXIFS(B:B,G:G,G81)&gt;3,5-B81,_xlfn.MAXIFS(B:B,G:G,G81)+1-B81),"")</f>
        <v/>
      </c>
      <c r="R81" s="4">
        <f>MAX(T81-IF(OR(H81="L6"),V81,0),W81-IF(OR(H81="L6"),Y81,0),Z81-IF(OR(H81="L6"),AB81,0),AC81-IF(OR(H81="L6"),AE81,0))</f>
        <v>37.200000000000003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>
        <v>37.200000000000003</v>
      </c>
      <c r="AA81" s="37">
        <v>3.5999999999999996</v>
      </c>
      <c r="AB81" s="37">
        <v>0</v>
      </c>
      <c r="AC81" s="33"/>
      <c r="AD81" s="37"/>
      <c r="AE81" s="37"/>
    </row>
    <row r="82" spans="1:31" x14ac:dyDescent="0.2">
      <c r="A82" s="1" t="str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/>
      </c>
      <c r="B82" s="1" t="str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/>
      </c>
      <c r="C82" s="35" t="s">
        <v>243</v>
      </c>
      <c r="D82" t="str">
        <f>IF(E82="","",VLOOKUP(E82,'Coaching Points'!A:B,2,0))</f>
        <v>AB</v>
      </c>
      <c r="E82" s="35" t="s">
        <v>56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 t="s">
        <v>507</v>
      </c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IF(AND(B82&lt;5,I82="P"),IF(_xlfn.MAXIFS(B:B,G:G,G82)&gt;3,5-B82,_xlfn.MAXIFS(B:B,G:G,G82)+1-B82),"")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42.8</v>
      </c>
      <c r="U82" s="37">
        <v>6</v>
      </c>
      <c r="V82" s="37">
        <v>0</v>
      </c>
      <c r="W82" s="33">
        <v>37.200000000000003</v>
      </c>
      <c r="X82" s="37">
        <v>4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/>
      </c>
      <c r="B83" s="1" t="str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/>
      </c>
      <c r="C83" s="35" t="s">
        <v>346</v>
      </c>
      <c r="D83" t="str">
        <f>IF(E83="","",VLOOKUP(E83,'Coaching Points'!A:B,2,0))</f>
        <v>AB</v>
      </c>
      <c r="E83" s="35" t="s">
        <v>56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 t="s">
        <v>507</v>
      </c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IF(AND(B83&lt;5,I83="P"),IF(_xlfn.MAXIFS(B:B,G:G,G83)&gt;3,5-B83,_xlfn.MAXIFS(B:B,G:G,G83)+1-B83),"")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41.5</v>
      </c>
      <c r="U83" s="37">
        <v>5.8000000000000007</v>
      </c>
      <c r="V83" s="37">
        <v>0</v>
      </c>
      <c r="W83" s="33">
        <v>42.2</v>
      </c>
      <c r="X83" s="37">
        <v>6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/>
      </c>
      <c r="B84" s="1" t="str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 t="s">
        <v>507</v>
      </c>
      <c r="J84" s="4">
        <f>R84+S84+IF(OR(H84="Junior",H84="Senior"),0.0002,IF(OR(H84="L7",H84="L6"),0.0001,0))+MAX(Z84,AC84)*0.0000001</f>
        <v>86.900003990000002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IF(AND(B84&lt;5,I84="P"),IF(_xlfn.MAXIFS(B:B,G:G,G84)&gt;3,5-B84,_xlfn.MAXIFS(B:B,G:G,G84)+1-B84),"")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39.9</v>
      </c>
      <c r="AA84" s="37">
        <v>5.9</v>
      </c>
      <c r="AB84" s="37">
        <v>0</v>
      </c>
      <c r="AC84" s="33"/>
      <c r="AD84" s="37"/>
      <c r="AE84" s="37"/>
    </row>
    <row r="85" spans="1:31" x14ac:dyDescent="0.2">
      <c r="A85" s="1" t="str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/>
      </c>
      <c r="B85" s="1" t="str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/>
      </c>
      <c r="C85" s="35" t="s">
        <v>410</v>
      </c>
      <c r="D85" t="str">
        <f>IF(E85="","",VLOOKUP(E85,'Coaching Points'!A:B,2,0))</f>
        <v>ON</v>
      </c>
      <c r="E85" s="35" t="s">
        <v>76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 t="s">
        <v>507</v>
      </c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IF(AND(B85&lt;5,I85="P"),IF(_xlfn.MAXIFS(B:B,G:G,G85)&gt;3,5-B85,_xlfn.MAXIFS(B:B,G:G,G85)+1-B85),"")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/>
      <c r="U85" s="37"/>
      <c r="V85" s="37"/>
      <c r="W85" s="33"/>
      <c r="X85" s="37"/>
      <c r="Y85" s="37"/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86.500003899999996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IF(AND(B86&lt;5,I86="P"),IF(_xlfn.MAXIFS(B:B,G:G,G86)&gt;3,5-B86,_xlfn.MAXIFS(B:B,G:G,G86)+1-B86),"")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39</v>
      </c>
      <c r="AA86" s="37">
        <v>4.9000000000000004</v>
      </c>
      <c r="AB86" s="37">
        <v>0</v>
      </c>
      <c r="AC86" s="33">
        <v>16.100000000000001</v>
      </c>
      <c r="AD86" s="37">
        <v>0.7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85.700003719999998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IF(AND(B87&lt;5,I87="P"),IF(_xlfn.MAXIFS(B:B,G:G,G87)&gt;3,5-B87,_xlfn.MAXIFS(B:B,G:G,G87)+1-B87),"")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37.200000000000003</v>
      </c>
      <c r="AA87" s="37">
        <v>3.6</v>
      </c>
      <c r="AB87" s="37">
        <v>0</v>
      </c>
      <c r="AC87" s="33">
        <v>33.5</v>
      </c>
      <c r="AD87" s="37">
        <v>3.0999999999999996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247</v>
      </c>
      <c r="D88" t="str">
        <f>IF(E88="","",VLOOKUP(E88,'Coaching Points'!A:B,2,0))</f>
        <v>AB</v>
      </c>
      <c r="E88" s="35" t="s">
        <v>28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85.200004200000009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>P</v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IF(AND(B88&lt;5,I88="P"),IF(_xlfn.MAXIFS(B:B,G:G,G88)&gt;3,5-B88,_xlfn.MAXIFS(B:B,G:G,G88)+1-B88),"")</f>
        <v/>
      </c>
      <c r="R88" s="4">
        <f>MAX(T88-IF(OR(H88="L6"),V88,0),W88-IF(OR(H88="L6"),Y88,0),Z88-IF(OR(H88="L6"),AB88,0),AC88-IF(OR(H88="L6"),AE88,0))</f>
        <v>43.2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</v>
      </c>
      <c r="T88" s="32">
        <v>40.6</v>
      </c>
      <c r="U88" s="37">
        <v>5.6</v>
      </c>
      <c r="V88" s="37">
        <v>0</v>
      </c>
      <c r="W88" s="33">
        <v>43.2</v>
      </c>
      <c r="X88" s="37">
        <v>7.1</v>
      </c>
      <c r="Y88" s="37">
        <v>0</v>
      </c>
      <c r="Z88" s="32">
        <v>37.799999999999997</v>
      </c>
      <c r="AA88" s="37">
        <v>4.3</v>
      </c>
      <c r="AB88" s="37">
        <v>0</v>
      </c>
      <c r="AC88" s="33">
        <v>42</v>
      </c>
      <c r="AD88" s="37">
        <v>6.8</v>
      </c>
      <c r="AE88" s="37">
        <v>0</v>
      </c>
    </row>
    <row r="89" spans="1:31" x14ac:dyDescent="0.2">
      <c r="A89" s="1" t="str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/>
      </c>
      <c r="B89" s="1" t="str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/>
      </c>
      <c r="C89" s="35" t="s">
        <v>486</v>
      </c>
      <c r="D89" t="str">
        <f>IF(E89="","",VLOOKUP(E89,'Coaching Points'!A:B,2,0))</f>
        <v>NS</v>
      </c>
      <c r="E89" s="35" t="s">
        <v>127</v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IF(AND(B89&lt;5,I89="P"),IF(_xlfn.MAXIFS(B:B,G:G,G89)&gt;3,5-B89,_xlfn.MAXIFS(B:B,G:G,G89)+1-B89),"")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487</v>
      </c>
      <c r="D90" t="str">
        <f>IF(E90="","",VLOOKUP(E90,'Coaching Points'!A:B,2,0))</f>
        <v>AB</v>
      </c>
      <c r="E90" s="35" t="s">
        <v>360</v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IF(AND(B90&lt;5,I90="P"),IF(_xlfn.MAXIFS(B:B,G:G,G90)&gt;3,5-B90,_xlfn.MAXIFS(B:B,G:G,G90)+1-B90),"")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488</v>
      </c>
      <c r="D91" t="str">
        <f>IF(E91="","",VLOOKUP(E91,'Coaching Points'!A:B,2,0))</f>
        <v>NS</v>
      </c>
      <c r="E91" s="35" t="s">
        <v>86</v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IF(AND(B91&lt;5,I91="P"),IF(_xlfn.MAXIFS(B:B,G:G,G91)&gt;3,5-B91,_xlfn.MAXIFS(B:B,G:G,G91)+1-B91),"")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365</v>
      </c>
      <c r="D92" t="str">
        <f>IF(E92="","",VLOOKUP(E92,'Coaching Points'!A:B,2,0))</f>
        <v>AB</v>
      </c>
      <c r="E92" s="35" t="s">
        <v>28</v>
      </c>
      <c r="F92" s="34">
        <v>2011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79.50000369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IF(AND(B92&lt;5,I92="P"),IF(_xlfn.MAXIFS(B:B,G:G,G92)&gt;3,5-B92,_xlfn.MAXIFS(B:B,G:G,G92)+1-B92),"")</f>
        <v/>
      </c>
      <c r="R92" s="4">
        <f>MAX(T92-IF(OR(H92="L6"),V92,0),W92-IF(OR(H92="L6"),Y92,0),Z92-IF(OR(H92="L6"),AB92,0),AC92-IF(OR(H92="L6"),AE92,0))</f>
        <v>42.6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36.9</v>
      </c>
      <c r="T92" s="32">
        <v>36.4</v>
      </c>
      <c r="U92" s="37">
        <v>2.5</v>
      </c>
      <c r="V92" s="37">
        <v>0</v>
      </c>
      <c r="W92" s="33">
        <v>42.6</v>
      </c>
      <c r="X92" s="37">
        <v>6.3000000000000007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490</v>
      </c>
      <c r="D93" t="str">
        <f>IF(E93="","",VLOOKUP(E93,'Coaching Points'!A:B,2,0))</f>
        <v>QC</v>
      </c>
      <c r="E93" s="35" t="s">
        <v>124</v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32.200003220000006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IF(AND(B93&lt;5,I93="P"),IF(_xlfn.MAXIFS(B:B,G:G,G93)&gt;3,5-B93,_xlfn.MAXIFS(B:B,G:G,G93)+1-B93),"")</f>
        <v/>
      </c>
      <c r="R93" s="4">
        <f>MAX(T93-IF(OR(H93="L6"),V93,0),W93-IF(OR(H93="L6"),Y93,0),Z93-IF(OR(H93="L6"),AB93,0),AC93-IF(OR(H93="L6"),AE93,0))</f>
        <v>32.200000000000003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0</v>
      </c>
      <c r="T93" s="32"/>
      <c r="U93" s="37"/>
      <c r="V93" s="37"/>
      <c r="W93" s="33"/>
      <c r="X93" s="37"/>
      <c r="Y93" s="37"/>
      <c r="Z93" s="32">
        <v>32.200000000000003</v>
      </c>
      <c r="AA93" s="37">
        <v>1.7999999999999998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489</v>
      </c>
      <c r="D94" t="str">
        <f>IF(E94="","",VLOOKUP(E94,'Coaching Points'!A:B,2,0))</f>
        <v>BC</v>
      </c>
      <c r="E94" s="35" t="s">
        <v>40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77.600004319999996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IF(AND(B94&lt;5,I94="P"),IF(_xlfn.MAXIFS(B:B,G:G,G94)&gt;3,5-B94,_xlfn.MAXIFS(B:B,G:G,G94)+1-B94),"")</f>
        <v/>
      </c>
      <c r="R94" s="4">
        <f>MAX(T94-IF(OR(H94="L6"),V94,0),W94-IF(OR(H94="L6"),Y94,0),Z94-IF(OR(H94="L6"),AB94,0),AC94-IF(OR(H94="L6"),AE94,0))</f>
        <v>43.2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34.4</v>
      </c>
      <c r="T94" s="32"/>
      <c r="U94" s="37"/>
      <c r="V94" s="37"/>
      <c r="W94" s="33"/>
      <c r="X94" s="37"/>
      <c r="Y94" s="37"/>
      <c r="Z94" s="32">
        <v>43.2</v>
      </c>
      <c r="AA94" s="37">
        <v>6.3000000000000007</v>
      </c>
      <c r="AB94" s="37">
        <v>0</v>
      </c>
      <c r="AC94" s="33">
        <v>34.4</v>
      </c>
      <c r="AD94" s="37">
        <v>3.4000000000000004</v>
      </c>
      <c r="AE94" s="37">
        <v>0</v>
      </c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5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$42&lt;&gt;"")*(G$3:G$42=G3)*(J$3:J$42&gt;J3)*(I$3:I$42="P"))+1,IF(O3&lt;&gt;"",SUMPRODUCT((O$3:O$42&lt;&gt;"")*(P$3:P$42="")*(G$3:G$42=G3)*(J$3:J$42&gt;J3)*(I$3:I$42="P"))+SUMPRODUCT((P$3:P$42&lt;&gt;"")*(G$3:G$42=G3)*(I$3:I$42="P"))+1,IF(N3&lt;&gt;"",SUMPRODUCT((N$3:N$42&lt;&gt;"")*(G$3:G$42=G3)*(J$3:J$42&gt;J3)*(I$3:I$42="P"))+1,IF(M3="P",SUMPRODUCT((O$3:O$42&lt;&gt;"")*(P$3:P$42="")*(G$3:G$42=G3)*(I$3:I$42="P"))+SUMPRODUCT((P$3:P$42&lt;&gt;"")*(G$3:G$42=G3)*(I$3:I$42="P"))+SUMPRODUCT((N$3:N$42&lt;&gt;"")*(G$3:G$42=G3)*(I$3:I$42="P"))+SUMPRODUCT((P$3:P$42="")*(O$3:O$42="")*(N$3:N$42="")*(M$3:M$42="P")*(G$3:G$42=G3)*(J$3:J$42&gt;J3)*(I$3:I$42="P"))+IF(H3="L5",SUMPRODUCT((P$3:P$42="")*(O$3:O$42="")*(N$3:N$42="")*(M$3:M$42="P")*(G$3:G$42=G3)*(J$3:J$42&lt;J3)*(H$3:H$42&lt;&gt;H3)*(I$3:I$42="P")),-1*SUMPRODUCT((P$3:P$42="")*(O$3:O$42="")*(N$3:N$42="")*(M$3:M$42="P")*(G$3:G$42=G3)*(J$3:J$42&gt;J3)*(H$3:H$42="L5")*(I$3:I$42="P")))+1,"")))))</f>
        <v>1</v>
      </c>
      <c r="B3" s="1" cm="1">
        <f t="array" ref="B3">IF(P3&lt;&gt;"",SUMPRODUCT((P$3:P$42&lt;&gt;"")*(G$3:G$42=G3)*(J$3:J$42&gt;J3))+1,IF(O3&lt;&gt;"",SUMPRODUCT((O$3:O$42&lt;&gt;"")*(P$3:P$42="")*(G$3:G$42=G3)*(J$3:J$42&gt;J3))+SUMPRODUCT((P$3:P$42&lt;&gt;"")*(G$3:G$42=G3))+1,IF(N3&lt;&gt;"",SUMPRODUCT((N$3:N$42&lt;&gt;"")*(G$3:G$42=G3)*(J$3:J$42&gt;J3))+1,IF(M3="P",SUMPRODUCT((O$3:O$42&lt;&gt;"")*(P$3:P$42="")*(G$3:G$42=G3))+SUMPRODUCT((P$3:P$42&lt;&gt;"")*(G$3:G$42=G3))+SUMPRODUCT((N$3:N$42&lt;&gt;"")*(G$3:G$42=G3))+SUMPRODUCT((P$3:P$42="")*(O$3:O$42="")*(N$3:N$42="")*(M$3:M$42="P")*(G$3:G$42=G3)*(J$3:J$42&gt;J3))+IF(H3="L5",SUMPRODUCT((P$3:P$42="")*(O$3:O$42="")*(N$3:N$42="")*(M$3:M$42="P")*(G$3:G$42=G3)*(J$3:J$42&lt;J3)*(H$3:H$42&lt;&gt;H3)),-1*SUMPRODUCT((P$3:P$42="")*(O$3:O$42="")*(N$3:N$42="")*(M$3:M$42="P")*(G$3:G$42=G3)*(J$3:J$42&gt;J3)*(H$3:H$42="L5")))+1,""))))</f>
        <v>2</v>
      </c>
      <c r="C3" s="35" t="s">
        <v>328</v>
      </c>
      <c r="D3" t="str">
        <f>IF(E3="","",VLOOKUP(E3,'Coaching Points'!A:B,2,0))</f>
        <v>QC</v>
      </c>
      <c r="E3" s="35" t="s">
        <v>3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105.10020516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2</v>
      </c>
      <c r="Q3" s="1">
        <f>IF(AND(B3&lt;5,I3="P"),IF(_xlfn.MAXIFS(B:B,G:G,G3)&gt;3,5-B3,_xlfn.MAXIFS(B:B,G:G,G3)+1-B3),"")</f>
        <v>3</v>
      </c>
      <c r="R3" s="4">
        <f>MAX(T3-IF(OR(H3="L6"),V3,0),W3-IF(OR(H3="L6"),Y3,0),Z3-IF(OR(H3="L6"),AB3,0),AC3-IF(OR(H3="L6"),AE3,0))</f>
        <v>53.5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51.6</v>
      </c>
      <c r="T3" s="32">
        <v>50.6</v>
      </c>
      <c r="U3" s="37">
        <v>14.600000000000001</v>
      </c>
      <c r="V3" s="37">
        <v>0</v>
      </c>
      <c r="W3" s="33">
        <v>53.5</v>
      </c>
      <c r="X3" s="37">
        <v>16.200000000000003</v>
      </c>
      <c r="Y3" s="37">
        <v>0</v>
      </c>
      <c r="Z3" s="32">
        <v>51.6</v>
      </c>
      <c r="AA3" s="37">
        <v>14.4</v>
      </c>
      <c r="AB3" s="37">
        <v>0</v>
      </c>
      <c r="AC3" s="33">
        <v>46.6</v>
      </c>
      <c r="AD3" s="37">
        <v>12.8</v>
      </c>
      <c r="AE3" s="37">
        <v>0</v>
      </c>
    </row>
    <row r="4" spans="1:32" x14ac:dyDescent="0.2">
      <c r="A4" s="1" cm="1">
        <f t="array" ref="A4">IF(I4="","",IF(P4&lt;&gt;"",SUMPRODUCT((P$3:P$42&lt;&gt;"")*(G$3:G$42=G4)*(J$3:J$42&gt;J4)*(I$3:I$42="P"))+1,IF(O4&lt;&gt;"",SUMPRODUCT((O$3:O$42&lt;&gt;"")*(P$3:P$42="")*(G$3:G$42=G4)*(J$3:J$42&gt;J4)*(I$3:I$42="P"))+SUMPRODUCT((P$3:P$42&lt;&gt;"")*(G$3:G$42=G4)*(I$3:I$42="P"))+1,IF(N4&lt;&gt;"",SUMPRODUCT((N$3:N$42&lt;&gt;"")*(G$3:G$42=G4)*(J$3:J$42&gt;J4)*(I$3:I$42="P"))+1,IF(M4="P",SUMPRODUCT((O$3:O$42&lt;&gt;"")*(P$3:P$42="")*(G$3:G$42=G4)*(I$3:I$42="P"))+SUMPRODUCT((P$3:P$42&lt;&gt;"")*(G$3:G$42=G4)*(I$3:I$42="P"))+SUMPRODUCT((N$3:N$42&lt;&gt;"")*(G$3:G$42=G4)*(I$3:I$42="P"))+SUMPRODUCT((P$3:P$42="")*(O$3:O$42="")*(N$3:N$42="")*(M$3:M$42="P")*(G$3:G$42=G4)*(J$3:J$42&gt;J4)*(I$3:I$42="P"))+IF(H4="L5",SUMPRODUCT((P$3:P$42="")*(O$3:O$42="")*(N$3:N$42="")*(M$3:M$42="P")*(G$3:G$42=G4)*(J$3:J$42&lt;J4)*(H$3:H$42&lt;&gt;H4)*(I$3:I$42="P")),-1*SUMPRODUCT((P$3:P$42="")*(O$3:O$42="")*(N$3:N$42="")*(M$3:M$42="P")*(G$3:G$42=G4)*(J$3:J$42&gt;J4)*(H$3:H$42="L5")*(I$3:I$42="P")))+1,"")))))</f>
        <v>2</v>
      </c>
      <c r="B4" s="1" cm="1">
        <f t="array" ref="B4">IF(P4&lt;&gt;"",SUMPRODUCT((P$3:P$42&lt;&gt;"")*(G$3:G$42=G4)*(J$3:J$42&gt;J4))+1,IF(O4&lt;&gt;"",SUMPRODUCT((O$3:O$42&lt;&gt;"")*(P$3:P$42="")*(G$3:G$42=G4)*(J$3:J$42&gt;J4))+SUMPRODUCT((P$3:P$42&lt;&gt;"")*(G$3:G$42=G4))+1,IF(N4&lt;&gt;"",SUMPRODUCT((N$3:N$42&lt;&gt;"")*(G$3:G$42=G4)*(J$3:J$42&gt;J4))+1,IF(M4="P",SUMPRODUCT((O$3:O$42&lt;&gt;"")*(P$3:P$42="")*(G$3:G$42=G4))+SUMPRODUCT((P$3:P$42&lt;&gt;"")*(G$3:G$42=G4))+SUMPRODUCT((N$3:N$42&lt;&gt;"")*(G$3:G$42=G4))+SUMPRODUCT((P$3:P$42="")*(O$3:O$42="")*(N$3:N$42="")*(M$3:M$42="P")*(G$3:G$42=G4)*(J$3:J$42&gt;J4))+IF(H4="L5",SUMPRODUCT((P$3:P$42="")*(O$3:O$42="")*(N$3:N$42="")*(M$3:M$42="P")*(G$3:G$42=G4)*(J$3:J$42&lt;J4)*(H$3:H$42&lt;&gt;H4)),-1*SUMPRODUCT((P$3:P$42="")*(O$3:O$42="")*(N$3:N$42="")*(M$3:M$42="P")*(G$3:G$42=G4)*(J$3:J$42&gt;J4)*(H$3:H$42="L5")))+1,""))))</f>
        <v>3</v>
      </c>
      <c r="C4" s="35" t="s">
        <v>330</v>
      </c>
      <c r="D4" t="str">
        <f>IF(E4="","",VLOOKUP(E4,'Coaching Points'!A:B,2,0))</f>
        <v>AB</v>
      </c>
      <c r="E4" s="35" t="s">
        <v>28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95.100204680000004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4</v>
      </c>
      <c r="Q4" s="1">
        <f>IF(AND(B4&lt;5,I4="P"),IF(_xlfn.MAXIFS(B:B,G:G,G4)&gt;3,5-B4,_xlfn.MAXIFS(B:B,G:G,G4)+1-B4),"")</f>
        <v>2</v>
      </c>
      <c r="R4" s="4">
        <f>MAX(T4-IF(OR(H4="L6"),V4,0),W4-IF(OR(H4="L6"),Y4,0),Z4-IF(OR(H4="L6"),AB4,0),AC4-IF(OR(H4="L6"),AE4,0))</f>
        <v>48.3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46.8</v>
      </c>
      <c r="T4" s="32">
        <v>48.3</v>
      </c>
      <c r="U4" s="37">
        <v>12</v>
      </c>
      <c r="V4" s="37">
        <v>0</v>
      </c>
      <c r="W4" s="33">
        <v>40.700000000000003</v>
      </c>
      <c r="X4" s="37">
        <v>9.3999999999999986</v>
      </c>
      <c r="Y4" s="37">
        <v>0</v>
      </c>
      <c r="Z4" s="32">
        <v>37.799999999999997</v>
      </c>
      <c r="AA4" s="37">
        <v>11.6</v>
      </c>
      <c r="AB4" s="37">
        <v>0</v>
      </c>
      <c r="AC4" s="33">
        <v>46.8</v>
      </c>
      <c r="AD4" s="37">
        <v>11.6</v>
      </c>
      <c r="AE4" s="37">
        <v>0</v>
      </c>
    </row>
    <row r="5" spans="1:32" x14ac:dyDescent="0.2">
      <c r="A5" s="1" cm="1">
        <f t="array" ref="A5">IF(I5="","",IF(P5&lt;&gt;"",SUMPRODUCT((P$3:P$42&lt;&gt;"")*(G$3:G$42=G5)*(J$3:J$42&gt;J5)*(I$3:I$42="P"))+1,IF(O5&lt;&gt;"",SUMPRODUCT((O$3:O$42&lt;&gt;"")*(P$3:P$42="")*(G$3:G$42=G5)*(J$3:J$42&gt;J5)*(I$3:I$42="P"))+SUMPRODUCT((P$3:P$42&lt;&gt;"")*(G$3:G$42=G5)*(I$3:I$42="P"))+1,IF(N5&lt;&gt;"",SUMPRODUCT((N$3:N$42&lt;&gt;"")*(G$3:G$42=G5)*(J$3:J$42&gt;J5)*(I$3:I$42="P"))+1,IF(M5="P",SUMPRODUCT((O$3:O$42&lt;&gt;"")*(P$3:P$42="")*(G$3:G$42=G5)*(I$3:I$42="P"))+SUMPRODUCT((P$3:P$42&lt;&gt;"")*(G$3:G$42=G5)*(I$3:I$42="P"))+SUMPRODUCT((N$3:N$42&lt;&gt;"")*(G$3:G$42=G5)*(I$3:I$42="P"))+SUMPRODUCT((P$3:P$42="")*(O$3:O$42="")*(N$3:N$42="")*(M$3:M$42="P")*(G$3:G$42=G5)*(J$3:J$42&gt;J5)*(I$3:I$42="P"))+IF(H5="L5",SUMPRODUCT((P$3:P$42="")*(O$3:O$42="")*(N$3:N$42="")*(M$3:M$42="P")*(G$3:G$42=G5)*(J$3:J$42&lt;J5)*(H$3:H$42&lt;&gt;H5)*(I$3:I$42="P")),-1*SUMPRODUCT((P$3:P$42="")*(O$3:O$42="")*(N$3:N$42="")*(M$3:M$42="P")*(G$3:G$42=G5)*(J$3:J$42&gt;J5)*(H$3:H$42="L5")*(I$3:I$42="P")))+1,"")))))</f>
        <v>3</v>
      </c>
      <c r="B5" s="1" cm="1">
        <f t="array" ref="B5">IF(P5&lt;&gt;"",SUMPRODUCT((P$3:P$42&lt;&gt;"")*(G$3:G$42=G5)*(J$3:J$42&gt;J5))+1,IF(O5&lt;&gt;"",SUMPRODUCT((O$3:O$42&lt;&gt;"")*(P$3:P$42="")*(G$3:G$42=G5)*(J$3:J$42&gt;J5))+SUMPRODUCT((P$3:P$42&lt;&gt;"")*(G$3:G$42=G5))+1,IF(N5&lt;&gt;"",SUMPRODUCT((N$3:N$42&lt;&gt;"")*(G$3:G$42=G5)*(J$3:J$42&gt;J5))+1,IF(M5="P",SUMPRODUCT((O$3:O$42&lt;&gt;"")*(P$3:P$42="")*(G$3:G$42=G5))+SUMPRODUCT((P$3:P$42&lt;&gt;"")*(G$3:G$42=G5))+SUMPRODUCT((N$3:N$42&lt;&gt;"")*(G$3:G$42=G5))+SUMPRODUCT((P$3:P$42="")*(O$3:O$42="")*(N$3:N$42="")*(M$3:M$42="P")*(G$3:G$42=G5)*(J$3:J$42&gt;J5))+IF(H5="L5",SUMPRODUCT((P$3:P$42="")*(O$3:O$42="")*(N$3:N$42="")*(M$3:M$42="P")*(G$3:G$42=G5)*(J$3:J$42&lt;J5)*(H$3:H$42&lt;&gt;H5)),-1*SUMPRODUCT((P$3:P$42="")*(O$3:O$42="")*(N$3:N$42="")*(M$3:M$42="P")*(G$3:G$42=G5)*(J$3:J$42&gt;J5)*(H$3:H$42="L5")))+1,""))))</f>
        <v>4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 t="s">
        <v>507</v>
      </c>
      <c r="J5" s="4">
        <f>R5+S5+IF(OR(H5="Junior",H5="Senior"),0.0002,IF(OR(H5="L7",H5="L6"),0.0001,0))+MAX(Z5,AC5)*0.0000001</f>
        <v>93.40020426000001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6</v>
      </c>
      <c r="Q5" s="1">
        <f>IF(AND(B5&lt;5,I5="P"),IF(_xlfn.MAXIFS(B:B,G:G,G5)&gt;3,5-B5,_xlfn.MAXIFS(B:B,G:G,G5)+1-B5),"")</f>
        <v>1</v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>
        <v>42.6</v>
      </c>
      <c r="AA5" s="37">
        <v>11.3</v>
      </c>
      <c r="AB5" s="37">
        <v>0</v>
      </c>
      <c r="AC5" s="33">
        <v>41.7</v>
      </c>
      <c r="AD5" s="37">
        <v>8.5</v>
      </c>
      <c r="AE5" s="37">
        <v>0</v>
      </c>
    </row>
    <row r="6" spans="1:32" x14ac:dyDescent="0.2">
      <c r="A6" s="1" cm="1">
        <f t="array" ref="A6">IF(I6="","",IF(P6&lt;&gt;"",SUMPRODUCT((P$3:P$42&lt;&gt;"")*(G$3:G$42=G6)*(J$3:J$42&gt;J6)*(I$3:I$42="P"))+1,IF(O6&lt;&gt;"",SUMPRODUCT((O$3:O$42&lt;&gt;"")*(P$3:P$42="")*(G$3:G$42=G6)*(J$3:J$42&gt;J6)*(I$3:I$42="P"))+SUMPRODUCT((P$3:P$42&lt;&gt;"")*(G$3:G$42=G6)*(I$3:I$42="P"))+1,IF(N6&lt;&gt;"",SUMPRODUCT((N$3:N$42&lt;&gt;"")*(G$3:G$42=G6)*(J$3:J$42&gt;J6)*(I$3:I$42="P"))+1,IF(M6="P",SUMPRODUCT((O$3:O$42&lt;&gt;"")*(P$3:P$42="")*(G$3:G$42=G6)*(I$3:I$42="P"))+SUMPRODUCT((P$3:P$42&lt;&gt;"")*(G$3:G$42=G6)*(I$3:I$42="P"))+SUMPRODUCT((N$3:N$42&lt;&gt;"")*(G$3:G$42=G6)*(I$3:I$42="P"))+SUMPRODUCT((P$3:P$42="")*(O$3:O$42="")*(N$3:N$42="")*(M$3:M$42="P")*(G$3:G$42=G6)*(J$3:J$42&gt;J6)*(I$3:I$42="P"))+IF(H6="L5",SUMPRODUCT((P$3:P$42="")*(O$3:O$42="")*(N$3:N$42="")*(M$3:M$42="P")*(G$3:G$42=G6)*(J$3:J$42&lt;J6)*(H$3:H$42&lt;&gt;H6)*(I$3:I$42="P")),-1*SUMPRODUCT((P$3:P$42="")*(O$3:O$42="")*(N$3:N$42="")*(M$3:M$42="P")*(G$3:G$42=G6)*(J$3:J$42&gt;J6)*(H$3:H$42="L5")*(I$3:I$42="P")))+1,"")))))</f>
        <v>4</v>
      </c>
      <c r="B6" s="1" cm="1">
        <f t="array" ref="B6">IF(P6&lt;&gt;"",SUMPRODUCT((P$3:P$42&lt;&gt;"")*(G$3:G$42=G6)*(J$3:J$42&gt;J6))+1,IF(O6&lt;&gt;"",SUMPRODUCT((O$3:O$42&lt;&gt;"")*(P$3:P$42="")*(G$3:G$42=G6)*(J$3:J$42&gt;J6))+SUMPRODUCT((P$3:P$42&lt;&gt;"")*(G$3:G$42=G6))+1,IF(N6&lt;&gt;"",SUMPRODUCT((N$3:N$42&lt;&gt;"")*(G$3:G$42=G6)*(J$3:J$42&gt;J6))+1,IF(M6="P",SUMPRODUCT((O$3:O$42&lt;&gt;"")*(P$3:P$42="")*(G$3:G$42=G6))+SUMPRODUCT((P$3:P$42&lt;&gt;"")*(G$3:G$42=G6))+SUMPRODUCT((N$3:N$42&lt;&gt;"")*(G$3:G$42=G6))+SUMPRODUCT((P$3:P$42="")*(O$3:O$42="")*(N$3:N$42="")*(M$3:M$42="P")*(G$3:G$42=G6)*(J$3:J$42&gt;J6))+IF(H6="L5",SUMPRODUCT((P$3:P$42="")*(O$3:O$42="")*(N$3:N$42="")*(M$3:M$42="P")*(G$3:G$42=G6)*(J$3:J$42&lt;J6)*(H$3:H$42&lt;&gt;H6)),-1*SUMPRODUCT((P$3:P$42="")*(O$3:O$42="")*(N$3:N$42="")*(M$3:M$42="P")*(G$3:G$42=G6)*(J$3:J$42&gt;J6)*(H$3:H$42="L5")))+1,""))))</f>
        <v>6</v>
      </c>
      <c r="C6" s="35" t="s">
        <v>329</v>
      </c>
      <c r="D6" t="str">
        <f>IF(E6="","",VLOOKUP(E6,'Coaching Points'!A:B,2,0))</f>
        <v>AB</v>
      </c>
      <c r="E6" s="35" t="s">
        <v>62</v>
      </c>
      <c r="F6" s="34">
        <v>2008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89.300204500000007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O6" s="36">
        <v>1</v>
      </c>
      <c r="Q6" s="1" t="str">
        <f>IF(AND(B6&lt;5,I6="P"),IF(_xlfn.MAXIFS(B:B,G:G,G6)&gt;3,5-B6,_xlfn.MAXIFS(B:B,G:G,G6)+1-B6),"")</f>
        <v/>
      </c>
      <c r="R6" s="4">
        <f>MAX(T6-IF(OR(H6="L6"),V6,0),W6-IF(OR(H6="L6"),Y6,0),Z6-IF(OR(H6="L6"),AB6,0),AC6-IF(OR(H6="L6"),AE6,0))</f>
        <v>45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44.3</v>
      </c>
      <c r="T6" s="32">
        <v>42.2</v>
      </c>
      <c r="U6" s="37">
        <v>12</v>
      </c>
      <c r="V6" s="37">
        <v>0</v>
      </c>
      <c r="W6" s="33">
        <v>41.4</v>
      </c>
      <c r="X6" s="37">
        <v>9.6999999999999993</v>
      </c>
      <c r="Y6" s="37">
        <v>0</v>
      </c>
      <c r="Z6" s="32">
        <v>44.3</v>
      </c>
      <c r="AA6" s="37">
        <v>12.3</v>
      </c>
      <c r="AB6" s="37">
        <v>0</v>
      </c>
      <c r="AC6" s="33">
        <v>45</v>
      </c>
      <c r="AD6" s="37">
        <v>12.5</v>
      </c>
      <c r="AE6" s="37">
        <v>0</v>
      </c>
    </row>
    <row r="7" spans="1:32" x14ac:dyDescent="0.2">
      <c r="A7" s="1" cm="1">
        <f t="array" ref="A7">IF(I7="","",IF(P7&lt;&gt;"",SUMPRODUCT((P$3:P$42&lt;&gt;"")*(G$3:G$42=G7)*(J$3:J$42&gt;J7)*(I$3:I$42="P"))+1,IF(O7&lt;&gt;"",SUMPRODUCT((O$3:O$42&lt;&gt;"")*(P$3:P$42="")*(G$3:G$42=G7)*(J$3:J$42&gt;J7)*(I$3:I$42="P"))+SUMPRODUCT((P$3:P$42&lt;&gt;"")*(G$3:G$42=G7)*(I$3:I$42="P"))+1,IF(N7&lt;&gt;"",SUMPRODUCT((N$3:N$42&lt;&gt;"")*(G$3:G$42=G7)*(J$3:J$42&gt;J7)*(I$3:I$42="P"))+1,IF(M7="P",SUMPRODUCT((O$3:O$42&lt;&gt;"")*(P$3:P$42="")*(G$3:G$42=G7)*(I$3:I$42="P"))+SUMPRODUCT((P$3:P$42&lt;&gt;"")*(G$3:G$42=G7)*(I$3:I$42="P"))+SUMPRODUCT((N$3:N$42&lt;&gt;"")*(G$3:G$42=G7)*(I$3:I$42="P"))+SUMPRODUCT((P$3:P$42="")*(O$3:O$42="")*(N$3:N$42="")*(M$3:M$42="P")*(G$3:G$42=G7)*(J$3:J$42&gt;J7)*(I$3:I$42="P"))+IF(H7="L5",SUMPRODUCT((P$3:P$42="")*(O$3:O$42="")*(N$3:N$42="")*(M$3:M$42="P")*(G$3:G$42=G7)*(J$3:J$42&lt;J7)*(H$3:H$42&lt;&gt;H7)*(I$3:I$42="P")),-1*SUMPRODUCT((P$3:P$42="")*(O$3:O$42="")*(N$3:N$42="")*(M$3:M$42="P")*(G$3:G$42=G7)*(J$3:J$42&gt;J7)*(H$3:H$42="L5")*(I$3:I$42="P")))+1,"")))))</f>
        <v>5</v>
      </c>
      <c r="B7" s="1" cm="1">
        <f t="array" ref="B7">IF(P7&lt;&gt;"",SUMPRODUCT((P$3:P$42&lt;&gt;"")*(G$3:G$42=G7)*(J$3:J$42&gt;J7))+1,IF(O7&lt;&gt;"",SUMPRODUCT((O$3:O$42&lt;&gt;"")*(P$3:P$42="")*(G$3:G$42=G7)*(J$3:J$42&gt;J7))+SUMPRODUCT((P$3:P$42&lt;&gt;"")*(G$3:G$42=G7))+1,IF(N7&lt;&gt;"",SUMPRODUCT((N$3:N$42&lt;&gt;"")*(G$3:G$42=G7)*(J$3:J$42&gt;J7))+1,IF(M7="P",SUMPRODUCT((O$3:O$42&lt;&gt;"")*(P$3:P$42="")*(G$3:G$42=G7))+SUMPRODUCT((P$3:P$42&lt;&gt;"")*(G$3:G$42=G7))+SUMPRODUCT((N$3:N$42&lt;&gt;"")*(G$3:G$42=G7))+SUMPRODUCT((P$3:P$42="")*(O$3:O$42="")*(N$3:N$42="")*(M$3:M$42="P")*(G$3:G$42=G7)*(J$3:J$42&gt;J7))+IF(H7="L5",SUMPRODUCT((P$3:P$42="")*(O$3:O$42="")*(N$3:N$42="")*(M$3:M$42="P")*(G$3:G$42=G7)*(J$3:J$42&lt;J7)*(H$3:H$42&lt;&gt;H7)),-1*SUMPRODUCT((P$3:P$42="")*(O$3:O$42="")*(N$3:N$42="")*(M$3:M$42="P")*(G$3:G$42=G7)*(J$3:J$42&gt;J7)*(H$3:H$42="L5")))+1,""))))</f>
        <v>7</v>
      </c>
      <c r="C7" s="35" t="s">
        <v>71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 t="s">
        <v>507</v>
      </c>
      <c r="J7" s="4">
        <f>R7+S7+IF(OR(H7="Junior",H7="Senior"),0.0002,IF(OR(H7="L7",H7="L6"),0.0001,0))+MAX(Z7,AC7)*0.0000001</f>
        <v>87.300104379999993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O7" s="36">
        <v>2</v>
      </c>
      <c r="Q7" s="1" t="str">
        <f>IF(AND(B7&lt;5,I7="P"),IF(_xlfn.MAXIFS(B:B,G:G,G7)&gt;3,5-B7,_xlfn.MAXIFS(B:B,G:G,G7)+1-B7),"")</f>
        <v/>
      </c>
      <c r="R7" s="4">
        <f>MAX(T7-IF(OR(H7="L6"),V7,0),W7-IF(OR(H7="L6"),Y7,0),Z7-IF(OR(H7="L6"),AB7,0),AC7-IF(OR(H7="L6"),AE7,0))</f>
        <v>43.8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43.5</v>
      </c>
      <c r="T7" s="32">
        <v>43.5</v>
      </c>
      <c r="U7" s="37">
        <v>11.7</v>
      </c>
      <c r="V7" s="37">
        <v>0</v>
      </c>
      <c r="W7" s="33">
        <v>42</v>
      </c>
      <c r="X7" s="37">
        <v>11.7</v>
      </c>
      <c r="Y7" s="37">
        <v>0</v>
      </c>
      <c r="Z7" s="32">
        <v>43.8</v>
      </c>
      <c r="AA7" s="37">
        <v>11.7</v>
      </c>
      <c r="AB7" s="37">
        <v>0</v>
      </c>
      <c r="AC7" s="33">
        <v>43.4</v>
      </c>
      <c r="AD7" s="37">
        <v>12.8</v>
      </c>
      <c r="AE7" s="37">
        <v>0.7</v>
      </c>
    </row>
    <row r="8" spans="1:32" x14ac:dyDescent="0.2">
      <c r="A8" s="1" cm="1">
        <f t="array" ref="A8">IF(I8="","",IF(P8&lt;&gt;"",SUMPRODUCT((P$3:P$42&lt;&gt;"")*(G$3:G$42=G8)*(J$3:J$42&gt;J8)*(I$3:I$42="P"))+1,IF(O8&lt;&gt;"",SUMPRODUCT((O$3:O$42&lt;&gt;"")*(P$3:P$42="")*(G$3:G$42=G8)*(J$3:J$42&gt;J8)*(I$3:I$42="P"))+SUMPRODUCT((P$3:P$42&lt;&gt;"")*(G$3:G$42=G8)*(I$3:I$42="P"))+1,IF(N8&lt;&gt;"",SUMPRODUCT((N$3:N$42&lt;&gt;"")*(G$3:G$42=G8)*(J$3:J$42&gt;J8)*(I$3:I$42="P"))+1,IF(M8="P",SUMPRODUCT((O$3:O$42&lt;&gt;"")*(P$3:P$42="")*(G$3:G$42=G8)*(I$3:I$42="P"))+SUMPRODUCT((P$3:P$42&lt;&gt;"")*(G$3:G$42=G8)*(I$3:I$42="P"))+SUMPRODUCT((N$3:N$42&lt;&gt;"")*(G$3:G$42=G8)*(I$3:I$42="P"))+SUMPRODUCT((P$3:P$42="")*(O$3:O$42="")*(N$3:N$42="")*(M$3:M$42="P")*(G$3:G$42=G8)*(J$3:J$42&gt;J8)*(I$3:I$42="P"))+IF(H8="L5",SUMPRODUCT((P$3:P$42="")*(O$3:O$42="")*(N$3:N$42="")*(M$3:M$42="P")*(G$3:G$42=G8)*(J$3:J$42&lt;J8)*(H$3:H$42&lt;&gt;H8)*(I$3:I$42="P")),-1*SUMPRODUCT((P$3:P$42="")*(O$3:O$42="")*(N$3:N$42="")*(M$3:M$42="P")*(G$3:G$42=G8)*(J$3:J$42&gt;J8)*(H$3:H$42="L5")*(I$3:I$42="P")))+1,"")))))</f>
        <v>6</v>
      </c>
      <c r="B8" s="1" cm="1">
        <f t="array" ref="B8">IF(P8&lt;&gt;"",SUMPRODUCT((P$3:P$42&lt;&gt;"")*(G$3:G$42=G8)*(J$3:J$42&gt;J8))+1,IF(O8&lt;&gt;"",SUMPRODUCT((O$3:O$42&lt;&gt;"")*(P$3:P$42="")*(G$3:G$42=G8)*(J$3:J$42&gt;J8))+SUMPRODUCT((P$3:P$42&lt;&gt;"")*(G$3:G$42=G8))+1,IF(N8&lt;&gt;"",SUMPRODUCT((N$3:N$42&lt;&gt;"")*(G$3:G$42=G8)*(J$3:J$42&gt;J8))+1,IF(M8="P",SUMPRODUCT((O$3:O$42&lt;&gt;"")*(P$3:P$42="")*(G$3:G$42=G8))+SUMPRODUCT((P$3:P$42&lt;&gt;"")*(G$3:G$42=G8))+SUMPRODUCT((N$3:N$42&lt;&gt;"")*(G$3:G$42=G8))+SUMPRODUCT((P$3:P$42="")*(O$3:O$42="")*(N$3:N$42="")*(M$3:M$42="P")*(G$3:G$42=G8)*(J$3:J$42&gt;J8))+IF(H8="L5",SUMPRODUCT((P$3:P$42="")*(O$3:O$42="")*(N$3:N$42="")*(M$3:M$42="P")*(G$3:G$42=G8)*(J$3:J$42&lt;J8)*(H$3:H$42&lt;&gt;H8)),-1*SUMPRODUCT((P$3:P$42="")*(O$3:O$42="")*(N$3:N$42="")*(M$3:M$42="P")*(G$3:G$42=G8)*(J$3:J$42&gt;J8)*(H$3:H$42="L5")))+1,""))))</f>
        <v>8</v>
      </c>
      <c r="C8" s="35" t="s">
        <v>454</v>
      </c>
      <c r="D8" t="str">
        <f>IF(E8="","",VLOOKUP(E8,'Coaching Points'!A:B,2,0))</f>
        <v>AB</v>
      </c>
      <c r="E8" s="35" t="s">
        <v>28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 t="s">
        <v>507</v>
      </c>
      <c r="J8" s="4">
        <f>R8+S8+IF(OR(H8="Junior",H8="Senior"),0.0002,IF(OR(H8="L7",H8="L6"),0.0001,0))+MAX(Z8,AC8)*0.0000001</f>
        <v>85.400104600000006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3</v>
      </c>
      <c r="Q8" s="1" t="str">
        <f>IF(AND(B8&lt;5,I8="P"),IF(_xlfn.MAXIFS(B:B,G:G,G8)&gt;3,5-B8,_xlfn.MAXIFS(B:B,G:G,G8)+1-B8),"")</f>
        <v/>
      </c>
      <c r="R8" s="4">
        <f>MAX(T8-IF(OR(H8="L6"),V8,0),W8-IF(OR(H8="L6"),Y8,0),Z8-IF(OR(H8="L6"),AB8,0),AC8-IF(OR(H8="L6"),AE8,0))</f>
        <v>44.6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40.800000000000004</v>
      </c>
      <c r="T8" s="32"/>
      <c r="U8" s="37"/>
      <c r="V8" s="37"/>
      <c r="W8" s="33"/>
      <c r="X8" s="37"/>
      <c r="Y8" s="37"/>
      <c r="Z8" s="32">
        <v>46</v>
      </c>
      <c r="AA8" s="37">
        <v>11</v>
      </c>
      <c r="AB8" s="37">
        <v>1.4</v>
      </c>
      <c r="AC8" s="33">
        <v>42.2</v>
      </c>
      <c r="AD8" s="37">
        <v>8.4</v>
      </c>
      <c r="AE8" s="37">
        <v>1.4</v>
      </c>
    </row>
    <row r="9" spans="1:32" x14ac:dyDescent="0.2">
      <c r="A9" s="1" t="str" cm="1">
        <f t="array" ref="A9">IF(I9="","",IF(P9&lt;&gt;"",SUMPRODUCT((P$3:P$42&lt;&gt;"")*(G$3:G$42=G9)*(J$3:J$42&gt;J9)*(I$3:I$42="P"))+1,IF(O9&lt;&gt;"",SUMPRODUCT((O$3:O$42&lt;&gt;"")*(P$3:P$42="")*(G$3:G$42=G9)*(J$3:J$42&gt;J9)*(I$3:I$42="P"))+SUMPRODUCT((P$3:P$42&lt;&gt;"")*(G$3:G$42=G9)*(I$3:I$42="P"))+1,IF(N9&lt;&gt;"",SUMPRODUCT((N$3:N$42&lt;&gt;"")*(G$3:G$42=G9)*(J$3:J$42&gt;J9)*(I$3:I$42="P"))+1,IF(M9="P",SUMPRODUCT((O$3:O$42&lt;&gt;"")*(P$3:P$42="")*(G$3:G$42=G9)*(I$3:I$42="P"))+SUMPRODUCT((P$3:P$42&lt;&gt;"")*(G$3:G$42=G9)*(I$3:I$42="P"))+SUMPRODUCT((N$3:N$42&lt;&gt;"")*(G$3:G$42=G9)*(I$3:I$42="P"))+SUMPRODUCT((P$3:P$42="")*(O$3:O$42="")*(N$3:N$42="")*(M$3:M$42="P")*(G$3:G$42=G9)*(J$3:J$42&gt;J9)*(I$3:I$42="P"))+IF(H9="L5",SUMPRODUCT((P$3:P$42="")*(O$3:O$42="")*(N$3:N$42="")*(M$3:M$42="P")*(G$3:G$42=G9)*(J$3:J$42&lt;J9)*(H$3:H$42&lt;&gt;H9)*(I$3:I$42="P")),-1*SUMPRODUCT((P$3:P$42="")*(O$3:O$42="")*(N$3:N$42="")*(M$3:M$42="P")*(G$3:G$42=G9)*(J$3:J$42&gt;J9)*(H$3:H$42="L5")*(I$3:I$42="P")))+1,"")))))</f>
        <v/>
      </c>
      <c r="B9" s="1" cm="1">
        <f t="array" ref="B9">IF(P9&lt;&gt;"",SUMPRODUCT((P$3:P$42&lt;&gt;"")*(G$3:G$42=G9)*(J$3:J$42&gt;J9))+1,IF(O9&lt;&gt;"",SUMPRODUCT((O$3:O$42&lt;&gt;"")*(P$3:P$42="")*(G$3:G$42=G9)*(J$3:J$42&gt;J9))+SUMPRODUCT((P$3:P$42&lt;&gt;"")*(G$3:G$42=G9))+1,IF(N9&lt;&gt;"",SUMPRODUCT((N$3:N$42&lt;&gt;"")*(G$3:G$42=G9)*(J$3:J$42&gt;J9))+1,IF(M9="P",SUMPRODUCT((O$3:O$42&lt;&gt;"")*(P$3:P$42="")*(G$3:G$42=G9))+SUMPRODUCT((P$3:P$42&lt;&gt;"")*(G$3:G$42=G9))+SUMPRODUCT((N$3:N$42&lt;&gt;"")*(G$3:G$42=G9))+SUMPRODUCT((P$3:P$42="")*(O$3:O$42="")*(N$3:N$42="")*(M$3:M$42="P")*(G$3:G$42=G9)*(J$3:J$42&gt;J9))+IF(H9="L5",SUMPRODUCT((P$3:P$42="")*(O$3:O$42="")*(N$3:N$42="")*(M$3:M$42="P")*(G$3:G$42=G9)*(J$3:J$42&lt;J9)*(H$3:H$42&lt;&gt;H9)),-1*SUMPRODUCT((P$3:P$42="")*(O$3:O$42="")*(N$3:N$42="")*(M$3:M$42="P")*(G$3:G$42=G9)*(J$3:J$42&gt;J9)*(H$3:H$42="L5")))+1,""))))</f>
        <v>1</v>
      </c>
      <c r="C9" s="35" t="s">
        <v>327</v>
      </c>
      <c r="D9" t="str">
        <f>IF(E9="","",VLOOKUP(E9,'Coaching Points'!A:B,2,0))</f>
        <v>ON</v>
      </c>
      <c r="E9" s="35" t="s">
        <v>87</v>
      </c>
      <c r="F9" s="34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109.40020548000001</v>
      </c>
      <c r="K9" s="3" t="str">
        <f>IF(G9="Not Age Eligible","",IF(MAX(T9,W9,Z9,AC9)&gt;=LOOKUP(G9,'Qualifying Scores'!$A$4:$A$7,'Qualifying Scores'!$H$4:$H$7),"P",""))</f>
        <v>P</v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>P</v>
      </c>
      <c r="P9" s="36">
        <v>1</v>
      </c>
      <c r="Q9" s="1" t="str">
        <f>IF(AND(B9&lt;5,I9="P"),IF(_xlfn.MAXIFS(B:B,G:G,G9)&gt;3,5-B9,_xlfn.MAXIFS(B:B,G:G,G9)+1-B9),"")</f>
        <v/>
      </c>
      <c r="R9" s="4">
        <f>MAX(T9-IF(OR(H9="L6"),V9,0),W9-IF(OR(H9="L6"),Y9,0),Z9-IF(OR(H9="L6"),AB9,0),AC9-IF(OR(H9="L6"),AE9,0))</f>
        <v>54.8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54.6</v>
      </c>
      <c r="T9" s="32">
        <v>53.4</v>
      </c>
      <c r="U9" s="37">
        <v>16.7</v>
      </c>
      <c r="V9" s="37">
        <v>0</v>
      </c>
      <c r="W9" s="33">
        <v>54.6</v>
      </c>
      <c r="X9" s="37">
        <v>17.3</v>
      </c>
      <c r="Y9" s="37">
        <v>0</v>
      </c>
      <c r="Z9" s="32">
        <v>50.5</v>
      </c>
      <c r="AA9" s="37">
        <v>14.2</v>
      </c>
      <c r="AB9" s="37">
        <v>0</v>
      </c>
      <c r="AC9" s="33">
        <v>54.8</v>
      </c>
      <c r="AD9" s="37">
        <v>18.100000000000001</v>
      </c>
      <c r="AE9" s="37">
        <v>0</v>
      </c>
    </row>
    <row r="10" spans="1:32" x14ac:dyDescent="0.2">
      <c r="A10" s="1" t="str" cm="1">
        <f t="array" ref="A10">IF(I10="","",IF(P10&lt;&gt;"",SUMPRODUCT((P$3:P$42&lt;&gt;"")*(G$3:G$42=G10)*(J$3:J$42&gt;J10)*(I$3:I$42="P"))+1,IF(O10&lt;&gt;"",SUMPRODUCT((O$3:O$42&lt;&gt;"")*(P$3:P$42="")*(G$3:G$42=G10)*(J$3:J$42&gt;J10)*(I$3:I$42="P"))+SUMPRODUCT((P$3:P$42&lt;&gt;"")*(G$3:G$42=G10)*(I$3:I$42="P"))+1,IF(N10&lt;&gt;"",SUMPRODUCT((N$3:N$42&lt;&gt;"")*(G$3:G$42=G10)*(J$3:J$42&gt;J10)*(I$3:I$42="P"))+1,IF(M10="P",SUMPRODUCT((O$3:O$42&lt;&gt;"")*(P$3:P$42="")*(G$3:G$42=G10)*(I$3:I$42="P"))+SUMPRODUCT((P$3:P$42&lt;&gt;"")*(G$3:G$42=G10)*(I$3:I$42="P"))+SUMPRODUCT((N$3:N$42&lt;&gt;"")*(G$3:G$42=G10)*(I$3:I$42="P"))+SUMPRODUCT((P$3:P$42="")*(O$3:O$42="")*(N$3:N$42="")*(M$3:M$42="P")*(G$3:G$42=G10)*(J$3:J$42&gt;J10)*(I$3:I$42="P"))+IF(H10="L5",SUMPRODUCT((P$3:P$42="")*(O$3:O$42="")*(N$3:N$42="")*(M$3:M$42="P")*(G$3:G$42=G10)*(J$3:J$42&lt;J10)*(H$3:H$42&lt;&gt;H10)*(I$3:I$42="P")),-1*SUMPRODUCT((P$3:P$42="")*(O$3:O$42="")*(N$3:N$42="")*(M$3:M$42="P")*(G$3:G$42=G10)*(J$3:J$42&gt;J10)*(H$3:H$42="L5")*(I$3:I$42="P")))+1,"")))))</f>
        <v/>
      </c>
      <c r="B10" s="1" cm="1">
        <f t="array" ref="B10">IF(P10&lt;&gt;"",SUMPRODUCT((P$3:P$42&lt;&gt;"")*(G$3:G$42=G10)*(J$3:J$42&gt;J10))+1,IF(O10&lt;&gt;"",SUMPRODUCT((O$3:O$42&lt;&gt;"")*(P$3:P$42="")*(G$3:G$42=G10)*(J$3:J$42&gt;J10))+SUMPRODUCT((P$3:P$42&lt;&gt;"")*(G$3:G$42=G10))+1,IF(N10&lt;&gt;"",SUMPRODUCT((N$3:N$42&lt;&gt;"")*(G$3:G$42=G10)*(J$3:J$42&gt;J10))+1,IF(M10="P",SUMPRODUCT((O$3:O$42&lt;&gt;"")*(P$3:P$42="")*(G$3:G$42=G10))+SUMPRODUCT((P$3:P$42&lt;&gt;"")*(G$3:G$42=G10))+SUMPRODUCT((N$3:N$42&lt;&gt;"")*(G$3:G$42=G10))+SUMPRODUCT((P$3:P$42="")*(O$3:O$42="")*(N$3:N$42="")*(M$3:M$42="P")*(G$3:G$42=G10)*(J$3:J$42&gt;J10))+IF(H10="L5",SUMPRODUCT((P$3:P$42="")*(O$3:O$42="")*(N$3:N$42="")*(M$3:M$42="P")*(G$3:G$42=G10)*(J$3:J$42&lt;J10)*(H$3:H$42&lt;&gt;H10)),-1*SUMPRODUCT((P$3:P$42="")*(O$3:O$42="")*(N$3:N$42="")*(M$3:M$42="P")*(G$3:G$42=G10)*(J$3:J$42&gt;J10)*(H$3:H$42="L5")))+1,""))))</f>
        <v>5</v>
      </c>
      <c r="C10" s="35" t="s">
        <v>332</v>
      </c>
      <c r="D10" t="str">
        <f>IF(E10="","",VLOOKUP(E10,'Coaching Points'!A:B,2,0))</f>
        <v>AB</v>
      </c>
      <c r="E10" s="35" t="s">
        <v>62</v>
      </c>
      <c r="F10" s="34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48.900199999999998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P10" s="36">
        <v>7</v>
      </c>
      <c r="Q10" s="1" t="str">
        <f>IF(AND(B10&lt;5,I10="P"),IF(_xlfn.MAXIFS(B:B,G:G,G10)&gt;3,5-B10,_xlfn.MAXIFS(B:B,G:G,G10)+1-B10),"")</f>
        <v/>
      </c>
      <c r="R10" s="4">
        <f>MAX(T10-IF(OR(H10="L6"),V10,0),W10-IF(OR(H10="L6"),Y10,0),Z10-IF(OR(H10="L6"),AB10,0),AC10-IF(OR(H10="L6"),AE10,0))</f>
        <v>48.9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0</v>
      </c>
      <c r="T10" s="32">
        <v>48.9</v>
      </c>
      <c r="U10" s="37">
        <v>13.8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$42&lt;&gt;"")*(G$3:G$42=G11)*(J$3:J$42&gt;J11)*(I$3:I$42="P"))+1,IF(O11&lt;&gt;"",SUMPRODUCT((O$3:O$42&lt;&gt;"")*(P$3:P$42="")*(G$3:G$42=G11)*(J$3:J$42&gt;J11)*(I$3:I$42="P"))+SUMPRODUCT((P$3:P$42&lt;&gt;"")*(G$3:G$42=G11)*(I$3:I$42="P"))+1,IF(N11&lt;&gt;"",SUMPRODUCT((N$3:N$42&lt;&gt;"")*(G$3:G$42=G11)*(J$3:J$42&gt;J11)*(I$3:I$42="P"))+1,IF(M11="P",SUMPRODUCT((O$3:O$42&lt;&gt;"")*(P$3:P$42="")*(G$3:G$42=G11)*(I$3:I$42="P"))+SUMPRODUCT((P$3:P$42&lt;&gt;"")*(G$3:G$42=G11)*(I$3:I$42="P"))+SUMPRODUCT((N$3:N$42&lt;&gt;"")*(G$3:G$42=G11)*(I$3:I$42="P"))+SUMPRODUCT((P$3:P$42="")*(O$3:O$42="")*(N$3:N$42="")*(M$3:M$42="P")*(G$3:G$42=G11)*(J$3:J$42&gt;J11)*(I$3:I$42="P"))+IF(H11="L5",SUMPRODUCT((P$3:P$42="")*(O$3:O$42="")*(N$3:N$42="")*(M$3:M$42="P")*(G$3:G$42=G11)*(J$3:J$42&lt;J11)*(H$3:H$42&lt;&gt;H11)*(I$3:I$42="P")),-1*SUMPRODUCT((P$3:P$42="")*(O$3:O$42="")*(N$3:N$42="")*(M$3:M$42="P")*(G$3:G$42=G11)*(J$3:J$42&gt;J11)*(H$3:H$42="L5")*(I$3:I$42="P")))+1,"")))))</f>
        <v/>
      </c>
      <c r="B11" s="1" cm="1">
        <f t="array" ref="B11">IF(P11&lt;&gt;"",SUMPRODUCT((P$3:P$42&lt;&gt;"")*(G$3:G$42=G11)*(J$3:J$42&gt;J11))+1,IF(O11&lt;&gt;"",SUMPRODUCT((O$3:O$42&lt;&gt;"")*(P$3:P$42="")*(G$3:G$42=G11)*(J$3:J$42&gt;J11))+SUMPRODUCT((P$3:P$42&lt;&gt;"")*(G$3:G$42=G11))+1,IF(N11&lt;&gt;"",SUMPRODUCT((N$3:N$42&lt;&gt;"")*(G$3:G$42=G11)*(J$3:J$42&gt;J11))+1,IF(M11="P",SUMPRODUCT((O$3:O$42&lt;&gt;"")*(P$3:P$42="")*(G$3:G$42=G11))+SUMPRODUCT((P$3:P$42&lt;&gt;"")*(G$3:G$42=G11))+SUMPRODUCT((N$3:N$42&lt;&gt;"")*(G$3:G$42=G11))+SUMPRODUCT((P$3:P$42="")*(O$3:O$42="")*(N$3:N$42="")*(M$3:M$42="P")*(G$3:G$42=G11)*(J$3:J$42&gt;J11))+IF(H11="L5",SUMPRODUCT((P$3:P$42="")*(O$3:O$42="")*(N$3:N$42="")*(M$3:M$42="P")*(G$3:G$42=G11)*(J$3:J$42&lt;J11)*(H$3:H$42&lt;&gt;H11)),-1*SUMPRODUCT((P$3:P$42="")*(O$3:O$42="")*(N$3:N$42="")*(M$3:M$42="P")*(G$3:G$42=G11)*(J$3:J$42&gt;J11)*(H$3:H$42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IF(AND(B11&lt;5,I11="P"),IF(_xlfn.MAXIFS(B:B,G:G,G11)&gt;3,5-B11,_xlfn.MAXIFS(B:B,G:G,G11)+1-B11),"")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$42&lt;&gt;"")*(G$3:G$42=G12)*(J$3:J$42&gt;J12)*(I$3:I$42="P"))+1,IF(O12&lt;&gt;"",SUMPRODUCT((O$3:O$42&lt;&gt;"")*(P$3:P$42="")*(G$3:G$42=G12)*(J$3:J$42&gt;J12)*(I$3:I$42="P"))+SUMPRODUCT((P$3:P$42&lt;&gt;"")*(G$3:G$42=G12)*(I$3:I$42="P"))+1,IF(N12&lt;&gt;"",SUMPRODUCT((N$3:N$42&lt;&gt;"")*(G$3:G$42=G12)*(J$3:J$42&gt;J12)*(I$3:I$42="P"))+1,IF(M12="P",SUMPRODUCT((O$3:O$42&lt;&gt;"")*(P$3:P$42="")*(G$3:G$42=G12)*(I$3:I$42="P"))+SUMPRODUCT((P$3:P$42&lt;&gt;"")*(G$3:G$42=G12)*(I$3:I$42="P"))+SUMPRODUCT((N$3:N$42&lt;&gt;"")*(G$3:G$42=G12)*(I$3:I$42="P"))+SUMPRODUCT((P$3:P$42="")*(O$3:O$42="")*(N$3:N$42="")*(M$3:M$42="P")*(G$3:G$42=G12)*(J$3:J$42&gt;J12)*(I$3:I$42="P"))+IF(H12="L5",SUMPRODUCT((P$3:P$42="")*(O$3:O$42="")*(N$3:N$42="")*(M$3:M$42="P")*(G$3:G$42=G12)*(J$3:J$42&lt;J12)*(H$3:H$42&lt;&gt;H12)*(I$3:I$42="P")),-1*SUMPRODUCT((P$3:P$42="")*(O$3:O$42="")*(N$3:N$42="")*(M$3:M$42="P")*(G$3:G$42=G12)*(J$3:J$42&gt;J12)*(H$3:H$42="L5")*(I$3:I$42="P")))+1,"")))))</f>
        <v/>
      </c>
      <c r="B12" s="1" t="str" cm="1">
        <f t="array" ref="B12">IF(P12&lt;&gt;"",SUMPRODUCT((P$3:P$42&lt;&gt;"")*(G$3:G$42=G12)*(J$3:J$42&gt;J12))+1,IF(O12&lt;&gt;"",SUMPRODUCT((O$3:O$42&lt;&gt;"")*(P$3:P$42="")*(G$3:G$42=G12)*(J$3:J$42&gt;J12))+SUMPRODUCT((P$3:P$42&lt;&gt;"")*(G$3:G$42=G12))+1,IF(N12&lt;&gt;"",SUMPRODUCT((N$3:N$42&lt;&gt;"")*(G$3:G$42=G12)*(J$3:J$42&gt;J12))+1,IF(M12="P",SUMPRODUCT((O$3:O$42&lt;&gt;"")*(P$3:P$42="")*(G$3:G$42=G12))+SUMPRODUCT((P$3:P$42&lt;&gt;"")*(G$3:G$42=G12))+SUMPRODUCT((N$3:N$42&lt;&gt;"")*(G$3:G$42=G12))+SUMPRODUCT((P$3:P$42="")*(O$3:O$42="")*(N$3:N$42="")*(M$3:M$42="P")*(G$3:G$42=G12)*(J$3:J$42&gt;J12))+IF(H12="L5",SUMPRODUCT((P$3:P$42="")*(O$3:O$42="")*(N$3:N$42="")*(M$3:M$42="P")*(G$3:G$42=G12)*(J$3:J$42&lt;J12)*(H$3:H$42&lt;&gt;H12)),-1*SUMPRODUCT((P$3:P$42="")*(O$3:O$42="")*(N$3:N$42="")*(M$3:M$42="P")*(G$3:G$42=G12)*(J$3:J$42&gt;J12)*(H$3:H$42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IF(AND(B12&lt;5,I12="P"),IF(_xlfn.MAXIFS(B:B,G:G,G12)&gt;3,5-B12,_xlfn.MAXIFS(B:B,G:G,G12)+1-B12),"")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$42&lt;&gt;"")*(G$3:G$42=G13)*(J$3:J$42&gt;J13)*(I$3:I$42="P"))+1,IF(O13&lt;&gt;"",SUMPRODUCT((O$3:O$42&lt;&gt;"")*(P$3:P$42="")*(G$3:G$42=G13)*(J$3:J$42&gt;J13)*(I$3:I$42="P"))+SUMPRODUCT((P$3:P$42&lt;&gt;"")*(G$3:G$42=G13)*(I$3:I$42="P"))+1,IF(N13&lt;&gt;"",SUMPRODUCT((N$3:N$42&lt;&gt;"")*(G$3:G$42=G13)*(J$3:J$42&gt;J13)*(I$3:I$42="P"))+1,IF(M13="P",SUMPRODUCT((O$3:O$42&lt;&gt;"")*(P$3:P$42="")*(G$3:G$42=G13)*(I$3:I$42="P"))+SUMPRODUCT((P$3:P$42&lt;&gt;"")*(G$3:G$42=G13)*(I$3:I$42="P"))+SUMPRODUCT((N$3:N$42&lt;&gt;"")*(G$3:G$42=G13)*(I$3:I$42="P"))+SUMPRODUCT((P$3:P$42="")*(O$3:O$42="")*(N$3:N$42="")*(M$3:M$42="P")*(G$3:G$42=G13)*(J$3:J$42&gt;J13)*(I$3:I$42="P"))+IF(H13="L5",SUMPRODUCT((P$3:P$42="")*(O$3:O$42="")*(N$3:N$42="")*(M$3:M$42="P")*(G$3:G$42=G13)*(J$3:J$42&lt;J13)*(H$3:H$42&lt;&gt;H13)*(I$3:I$42="P")),-1*SUMPRODUCT((P$3:P$42="")*(O$3:O$42="")*(N$3:N$42="")*(M$3:M$42="P")*(G$3:G$42=G13)*(J$3:J$42&gt;J13)*(H$3:H$42="L5")*(I$3:I$42="P")))+1,"")))))</f>
        <v/>
      </c>
      <c r="B13" s="1" t="str" cm="1">
        <f t="array" ref="B13">IF(P13&lt;&gt;"",SUMPRODUCT((P$3:P$42&lt;&gt;"")*(G$3:G$42=G13)*(J$3:J$42&gt;J13))+1,IF(O13&lt;&gt;"",SUMPRODUCT((O$3:O$42&lt;&gt;"")*(P$3:P$42="")*(G$3:G$42=G13)*(J$3:J$42&gt;J13))+SUMPRODUCT((P$3:P$42&lt;&gt;"")*(G$3:G$42=G13))+1,IF(N13&lt;&gt;"",SUMPRODUCT((N$3:N$42&lt;&gt;"")*(G$3:G$42=G13)*(J$3:J$42&gt;J13))+1,IF(M13="P",SUMPRODUCT((O$3:O$42&lt;&gt;"")*(P$3:P$42="")*(G$3:G$42=G13))+SUMPRODUCT((P$3:P$42&lt;&gt;"")*(G$3:G$42=G13))+SUMPRODUCT((N$3:N$42&lt;&gt;"")*(G$3:G$42=G13))+SUMPRODUCT((P$3:P$42="")*(O$3:O$42="")*(N$3:N$42="")*(M$3:M$42="P")*(G$3:G$42=G13)*(J$3:J$42&gt;J13))+IF(H13="L5",SUMPRODUCT((P$3:P$42="")*(O$3:O$42="")*(N$3:N$42="")*(M$3:M$42="P")*(G$3:G$42=G13)*(J$3:J$42&lt;J13)*(H$3:H$42&lt;&gt;H13)),-1*SUMPRODUCT((P$3:P$42="")*(O$3:O$42="")*(N$3:N$42="")*(M$3:M$42="P")*(G$3:G$42=G13)*(J$3:J$42&gt;J13)*(H$3:H$42="L5")))+1,""))))</f>
        <v/>
      </c>
      <c r="C13" s="35" t="s">
        <v>450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IF(AND(B13&lt;5,I13="P"),IF(_xlfn.MAXIFS(B:B,G:G,G13)&gt;3,5-B13,_xlfn.MAXIFS(B:B,G:G,G13)+1-B13),"")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$42&lt;&gt;"")*(G$3:G$42=G14)*(J$3:J$42&gt;J14)*(I$3:I$42="P"))+1,IF(O14&lt;&gt;"",SUMPRODUCT((O$3:O$42&lt;&gt;"")*(P$3:P$42="")*(G$3:G$42=G14)*(J$3:J$42&gt;J14)*(I$3:I$42="P"))+SUMPRODUCT((P$3:P$42&lt;&gt;"")*(G$3:G$42=G14)*(I$3:I$42="P"))+1,IF(N14&lt;&gt;"",SUMPRODUCT((N$3:N$42&lt;&gt;"")*(G$3:G$42=G14)*(J$3:J$42&gt;J14)*(I$3:I$42="P"))+1,IF(M14="P",SUMPRODUCT((O$3:O$42&lt;&gt;"")*(P$3:P$42="")*(G$3:G$42=G14)*(I$3:I$42="P"))+SUMPRODUCT((P$3:P$42&lt;&gt;"")*(G$3:G$42=G14)*(I$3:I$42="P"))+SUMPRODUCT((N$3:N$42&lt;&gt;"")*(G$3:G$42=G14)*(I$3:I$42="P"))+SUMPRODUCT((P$3:P$42="")*(O$3:O$42="")*(N$3:N$42="")*(M$3:M$42="P")*(G$3:G$42=G14)*(J$3:J$42&gt;J14)*(I$3:I$42="P"))+IF(H14="L5",SUMPRODUCT((P$3:P$42="")*(O$3:O$42="")*(N$3:N$42="")*(M$3:M$42="P")*(G$3:G$42=G14)*(J$3:J$42&lt;J14)*(H$3:H$42&lt;&gt;H14)*(I$3:I$42="P")),-1*SUMPRODUCT((P$3:P$42="")*(O$3:O$42="")*(N$3:N$42="")*(M$3:M$42="P")*(G$3:G$42=G14)*(J$3:J$42&gt;J14)*(H$3:H$42="L5")*(I$3:I$42="P")))+1,"")))))</f>
        <v/>
      </c>
      <c r="B14" s="1" t="str" cm="1">
        <f t="array" ref="B14">IF(P14&lt;&gt;"",SUMPRODUCT((P$3:P$42&lt;&gt;"")*(G$3:G$42=G14)*(J$3:J$42&gt;J14))+1,IF(O14&lt;&gt;"",SUMPRODUCT((O$3:O$42&lt;&gt;"")*(P$3:P$42="")*(G$3:G$42=G14)*(J$3:J$42&gt;J14))+SUMPRODUCT((P$3:P$42&lt;&gt;"")*(G$3:G$42=G14))+1,IF(N14&lt;&gt;"",SUMPRODUCT((N$3:N$42&lt;&gt;"")*(G$3:G$42=G14)*(J$3:J$42&gt;J14))+1,IF(M14="P",SUMPRODUCT((O$3:O$42&lt;&gt;"")*(P$3:P$42="")*(G$3:G$42=G14))+SUMPRODUCT((P$3:P$42&lt;&gt;"")*(G$3:G$42=G14))+SUMPRODUCT((N$3:N$42&lt;&gt;"")*(G$3:G$42=G14))+SUMPRODUCT((P$3:P$42="")*(O$3:O$42="")*(N$3:N$42="")*(M$3:M$42="P")*(G$3:G$42=G14)*(J$3:J$42&gt;J14))+IF(H14="L5",SUMPRODUCT((P$3:P$42="")*(O$3:O$42="")*(N$3:N$42="")*(M$3:M$42="P")*(G$3:G$42=G14)*(J$3:J$42&lt;J14)*(H$3:H$42&lt;&gt;H14)),-1*SUMPRODUCT((P$3:P$42="")*(O$3:O$42="")*(N$3:N$42="")*(M$3:M$42="P")*(G$3:G$42=G14)*(J$3:J$42&gt;J14)*(H$3:H$42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IF(AND(B14&lt;5,I14="P"),IF(_xlfn.MAXIFS(B:B,G:G,G14)&gt;3,5-B14,_xlfn.MAXIFS(B:B,G:G,G14)+1-B14),"")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$42&lt;&gt;"")*(G$3:G$42=G15)*(J$3:J$42&gt;J15)*(I$3:I$42="P"))+1,IF(O15&lt;&gt;"",SUMPRODUCT((O$3:O$42&lt;&gt;"")*(P$3:P$42="")*(G$3:G$42=G15)*(J$3:J$42&gt;J15)*(I$3:I$42="P"))+SUMPRODUCT((P$3:P$42&lt;&gt;"")*(G$3:G$42=G15)*(I$3:I$42="P"))+1,IF(N15&lt;&gt;"",SUMPRODUCT((N$3:N$42&lt;&gt;"")*(G$3:G$42=G15)*(J$3:J$42&gt;J15)*(I$3:I$42="P"))+1,IF(M15="P",SUMPRODUCT((O$3:O$42&lt;&gt;"")*(P$3:P$42="")*(G$3:G$42=G15)*(I$3:I$42="P"))+SUMPRODUCT((P$3:P$42&lt;&gt;"")*(G$3:G$42=G15)*(I$3:I$42="P"))+SUMPRODUCT((N$3:N$42&lt;&gt;"")*(G$3:G$42=G15)*(I$3:I$42="P"))+SUMPRODUCT((P$3:P$42="")*(O$3:O$42="")*(N$3:N$42="")*(M$3:M$42="P")*(G$3:G$42=G15)*(J$3:J$42&gt;J15)*(I$3:I$42="P"))+IF(H15="L5",SUMPRODUCT((P$3:P$42="")*(O$3:O$42="")*(N$3:N$42="")*(M$3:M$42="P")*(G$3:G$42=G15)*(J$3:J$42&lt;J15)*(H$3:H$42&lt;&gt;H15)*(I$3:I$42="P")),-1*SUMPRODUCT((P$3:P$42="")*(O$3:O$42="")*(N$3:N$42="")*(M$3:M$42="P")*(G$3:G$42=G15)*(J$3:J$42&gt;J15)*(H$3:H$42="L5")*(I$3:I$42="P")))+1,"")))))</f>
        <v/>
      </c>
      <c r="B15" s="1" t="str" cm="1">
        <f t="array" ref="B15">IF(P15&lt;&gt;"",SUMPRODUCT((P$3:P$42&lt;&gt;"")*(G$3:G$42=G15)*(J$3:J$42&gt;J15))+1,IF(O15&lt;&gt;"",SUMPRODUCT((O$3:O$42&lt;&gt;"")*(P$3:P$42="")*(G$3:G$42=G15)*(J$3:J$42&gt;J15))+SUMPRODUCT((P$3:P$42&lt;&gt;"")*(G$3:G$42=G15))+1,IF(N15&lt;&gt;"",SUMPRODUCT((N$3:N$42&lt;&gt;"")*(G$3:G$42=G15)*(J$3:J$42&gt;J15))+1,IF(M15="P",SUMPRODUCT((O$3:O$42&lt;&gt;"")*(P$3:P$42="")*(G$3:G$42=G15))+SUMPRODUCT((P$3:P$42&lt;&gt;"")*(G$3:G$42=G15))+SUMPRODUCT((N$3:N$42&lt;&gt;"")*(G$3:G$42=G15))+SUMPRODUCT((P$3:P$42="")*(O$3:O$42="")*(N$3:N$42="")*(M$3:M$42="P")*(G$3:G$42=G15)*(J$3:J$42&gt;J15))+IF(H15="L5",SUMPRODUCT((P$3:P$42="")*(O$3:O$42="")*(N$3:N$42="")*(M$3:M$42="P")*(G$3:G$42=G15)*(J$3:J$42&lt;J15)*(H$3:H$42&lt;&gt;H15)),-1*SUMPRODUCT((P$3:P$42="")*(O$3:O$42="")*(N$3:N$42="")*(M$3:M$42="P")*(G$3:G$42=G15)*(J$3:J$42&gt;J15)*(H$3:H$42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IF(AND(B15&lt;5,I15="P"),IF(_xlfn.MAXIFS(B:B,G:G,G15)&gt;3,5-B15,_xlfn.MAXIFS(B:B,G:G,G15)+1-B15),"")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$42&lt;&gt;"")*(G$3:G$42=G16)*(J$3:J$42&gt;J16)*(I$3:I$42="P"))+1,IF(O16&lt;&gt;"",SUMPRODUCT((O$3:O$42&lt;&gt;"")*(P$3:P$42="")*(G$3:G$42=G16)*(J$3:J$42&gt;J16)*(I$3:I$42="P"))+SUMPRODUCT((P$3:P$42&lt;&gt;"")*(G$3:G$42=G16)*(I$3:I$42="P"))+1,IF(N16&lt;&gt;"",SUMPRODUCT((N$3:N$42&lt;&gt;"")*(G$3:G$42=G16)*(J$3:J$42&gt;J16)*(I$3:I$42="P"))+1,IF(M16="P",SUMPRODUCT((O$3:O$42&lt;&gt;"")*(P$3:P$42="")*(G$3:G$42=G16)*(I$3:I$42="P"))+SUMPRODUCT((P$3:P$42&lt;&gt;"")*(G$3:G$42=G16)*(I$3:I$42="P"))+SUMPRODUCT((N$3:N$42&lt;&gt;"")*(G$3:G$42=G16)*(I$3:I$42="P"))+SUMPRODUCT((P$3:P$42="")*(O$3:O$42="")*(N$3:N$42="")*(M$3:M$42="P")*(G$3:G$42=G16)*(J$3:J$42&gt;J16)*(I$3:I$42="P"))+IF(H16="L5",SUMPRODUCT((P$3:P$42="")*(O$3:O$42="")*(N$3:N$42="")*(M$3:M$42="P")*(G$3:G$42=G16)*(J$3:J$42&lt;J16)*(H$3:H$42&lt;&gt;H16)*(I$3:I$42="P")),-1*SUMPRODUCT((P$3:P$42="")*(O$3:O$42="")*(N$3:N$42="")*(M$3:M$42="P")*(G$3:G$42=G16)*(J$3:J$42&gt;J16)*(H$3:H$42="L5")*(I$3:I$42="P")))+1,"")))))</f>
        <v/>
      </c>
      <c r="B16" s="1" t="str" cm="1">
        <f t="array" ref="B16">IF(P16&lt;&gt;"",SUMPRODUCT((P$3:P$42&lt;&gt;"")*(G$3:G$42=G16)*(J$3:J$42&gt;J16))+1,IF(O16&lt;&gt;"",SUMPRODUCT((O$3:O$42&lt;&gt;"")*(P$3:P$42="")*(G$3:G$42=G16)*(J$3:J$42&gt;J16))+SUMPRODUCT((P$3:P$42&lt;&gt;"")*(G$3:G$42=G16))+1,IF(N16&lt;&gt;"",SUMPRODUCT((N$3:N$42&lt;&gt;"")*(G$3:G$42=G16)*(J$3:J$42&gt;J16))+1,IF(M16="P",SUMPRODUCT((O$3:O$42&lt;&gt;"")*(P$3:P$42="")*(G$3:G$42=G16))+SUMPRODUCT((P$3:P$42&lt;&gt;"")*(G$3:G$42=G16))+SUMPRODUCT((N$3:N$42&lt;&gt;"")*(G$3:G$42=G16))+SUMPRODUCT((P$3:P$42="")*(O$3:O$42="")*(N$3:N$42="")*(M$3:M$42="P")*(G$3:G$42=G16)*(J$3:J$42&gt;J16))+IF(H16="L5",SUMPRODUCT((P$3:P$42="")*(O$3:O$42="")*(N$3:N$42="")*(M$3:M$42="P")*(G$3:G$42=G16)*(J$3:J$42&lt;J16)*(H$3:H$42&lt;&gt;H16)),-1*SUMPRODUCT((P$3:P$42="")*(O$3:O$42="")*(N$3:N$42="")*(M$3:M$42="P")*(G$3:G$42=G16)*(J$3:J$42&gt;J16)*(H$3:H$42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IF(AND(B16&lt;5,I16="P"),IF(_xlfn.MAXIFS(B:B,G:G,G16)&gt;3,5-B16,_xlfn.MAXIFS(B:B,G:G,G16)+1-B16),"")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$42&lt;&gt;"")*(G$3:G$42=G17)*(J$3:J$42&gt;J17)*(I$3:I$42="P"))+1,IF(O17&lt;&gt;"",SUMPRODUCT((O$3:O$42&lt;&gt;"")*(P$3:P$42="")*(G$3:G$42=G17)*(J$3:J$42&gt;J17)*(I$3:I$42="P"))+SUMPRODUCT((P$3:P$42&lt;&gt;"")*(G$3:G$42=G17)*(I$3:I$42="P"))+1,IF(N17&lt;&gt;"",SUMPRODUCT((N$3:N$42&lt;&gt;"")*(G$3:G$42=G17)*(J$3:J$42&gt;J17)*(I$3:I$42="P"))+1,IF(M17="P",SUMPRODUCT((O$3:O$42&lt;&gt;"")*(P$3:P$42="")*(G$3:G$42=G17)*(I$3:I$42="P"))+SUMPRODUCT((P$3:P$42&lt;&gt;"")*(G$3:G$42=G17)*(I$3:I$42="P"))+SUMPRODUCT((N$3:N$42&lt;&gt;"")*(G$3:G$42=G17)*(I$3:I$42="P"))+SUMPRODUCT((P$3:P$42="")*(O$3:O$42="")*(N$3:N$42="")*(M$3:M$42="P")*(G$3:G$42=G17)*(J$3:J$42&gt;J17)*(I$3:I$42="P"))+IF(H17="L5",SUMPRODUCT((P$3:P$42="")*(O$3:O$42="")*(N$3:N$42="")*(M$3:M$42="P")*(G$3:G$42=G17)*(J$3:J$42&lt;J17)*(H$3:H$42&lt;&gt;H17)*(I$3:I$42="P")),-1*SUMPRODUCT((P$3:P$42="")*(O$3:O$42="")*(N$3:N$42="")*(M$3:M$42="P")*(G$3:G$42=G17)*(J$3:J$42&gt;J17)*(H$3:H$42="L5")*(I$3:I$42="P")))+1,"")))))</f>
        <v/>
      </c>
      <c r="B17" s="1" t="str" cm="1">
        <f t="array" ref="B17">IF(P17&lt;&gt;"",SUMPRODUCT((P$3:P$42&lt;&gt;"")*(G$3:G$42=G17)*(J$3:J$42&gt;J17))+1,IF(O17&lt;&gt;"",SUMPRODUCT((O$3:O$42&lt;&gt;"")*(P$3:P$42="")*(G$3:G$42=G17)*(J$3:J$42&gt;J17))+SUMPRODUCT((P$3:P$42&lt;&gt;"")*(G$3:G$42=G17))+1,IF(N17&lt;&gt;"",SUMPRODUCT((N$3:N$42&lt;&gt;"")*(G$3:G$42=G17)*(J$3:J$42&gt;J17))+1,IF(M17="P",SUMPRODUCT((O$3:O$42&lt;&gt;"")*(P$3:P$42="")*(G$3:G$42=G17))+SUMPRODUCT((P$3:P$42&lt;&gt;"")*(G$3:G$42=G17))+SUMPRODUCT((N$3:N$42&lt;&gt;"")*(G$3:G$42=G17))+SUMPRODUCT((P$3:P$42="")*(O$3:O$42="")*(N$3:N$42="")*(M$3:M$42="P")*(G$3:G$42=G17)*(J$3:J$42&gt;J17))+IF(H17="L5",SUMPRODUCT((P$3:P$42="")*(O$3:O$42="")*(N$3:N$42="")*(M$3:M$42="P")*(G$3:G$42=G17)*(J$3:J$42&lt;J17)*(H$3:H$42&lt;&gt;H17)),-1*SUMPRODUCT((P$3:P$42="")*(O$3:O$42="")*(N$3:N$42="")*(M$3:M$42="P")*(G$3:G$42=G17)*(J$3:J$42&gt;J17)*(H$3:H$42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IF(AND(B17&lt;5,I17="P"),IF(_xlfn.MAXIFS(B:B,G:G,G17)&gt;3,5-B17,_xlfn.MAXIFS(B:B,G:G,G17)+1-B17),"")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$42&lt;&gt;"")*(G$3:G$42=G18)*(J$3:J$42&gt;J18)*(I$3:I$42="P"))+1,IF(O18&lt;&gt;"",SUMPRODUCT((O$3:O$42&lt;&gt;"")*(P$3:P$42="")*(G$3:G$42=G18)*(J$3:J$42&gt;J18)*(I$3:I$42="P"))+SUMPRODUCT((P$3:P$42&lt;&gt;"")*(G$3:G$42=G18)*(I$3:I$42="P"))+1,IF(N18&lt;&gt;"",SUMPRODUCT((N$3:N$42&lt;&gt;"")*(G$3:G$42=G18)*(J$3:J$42&gt;J18)*(I$3:I$42="P"))+1,IF(M18="P",SUMPRODUCT((O$3:O$42&lt;&gt;"")*(P$3:P$42="")*(G$3:G$42=G18)*(I$3:I$42="P"))+SUMPRODUCT((P$3:P$42&lt;&gt;"")*(G$3:G$42=G18)*(I$3:I$42="P"))+SUMPRODUCT((N$3:N$42&lt;&gt;"")*(G$3:G$42=G18)*(I$3:I$42="P"))+SUMPRODUCT((P$3:P$42="")*(O$3:O$42="")*(N$3:N$42="")*(M$3:M$42="P")*(G$3:G$42=G18)*(J$3:J$42&gt;J18)*(I$3:I$42="P"))+IF(H18="L5",SUMPRODUCT((P$3:P$42="")*(O$3:O$42="")*(N$3:N$42="")*(M$3:M$42="P")*(G$3:G$42=G18)*(J$3:J$42&lt;J18)*(H$3:H$42&lt;&gt;H18)*(I$3:I$42="P")),-1*SUMPRODUCT((P$3:P$42="")*(O$3:O$42="")*(N$3:N$42="")*(M$3:M$42="P")*(G$3:G$42=G18)*(J$3:J$42&gt;J18)*(H$3:H$42="L5")*(I$3:I$42="P")))+1,"")))))</f>
        <v/>
      </c>
      <c r="B18" s="1" t="str" cm="1">
        <f t="array" ref="B18">IF(P18&lt;&gt;"",SUMPRODUCT((P$3:P$42&lt;&gt;"")*(G$3:G$42=G18)*(J$3:J$42&gt;J18))+1,IF(O18&lt;&gt;"",SUMPRODUCT((O$3:O$42&lt;&gt;"")*(P$3:P$42="")*(G$3:G$42=G18)*(J$3:J$42&gt;J18))+SUMPRODUCT((P$3:P$42&lt;&gt;"")*(G$3:G$42=G18))+1,IF(N18&lt;&gt;"",SUMPRODUCT((N$3:N$42&lt;&gt;"")*(G$3:G$42=G18)*(J$3:J$42&gt;J18))+1,IF(M18="P",SUMPRODUCT((O$3:O$42&lt;&gt;"")*(P$3:P$42="")*(G$3:G$42=G18))+SUMPRODUCT((P$3:P$42&lt;&gt;"")*(G$3:G$42=G18))+SUMPRODUCT((N$3:N$42&lt;&gt;"")*(G$3:G$42=G18))+SUMPRODUCT((P$3:P$42="")*(O$3:O$42="")*(N$3:N$42="")*(M$3:M$42="P")*(G$3:G$42=G18)*(J$3:J$42&gt;J18))+IF(H18="L5",SUMPRODUCT((P$3:P$42="")*(O$3:O$42="")*(N$3:N$42="")*(M$3:M$42="P")*(G$3:G$42=G18)*(J$3:J$42&lt;J18)*(H$3:H$42&lt;&gt;H18)),-1*SUMPRODUCT((P$3:P$42="")*(O$3:O$42="")*(N$3:N$42="")*(M$3:M$42="P")*(G$3:G$42=G18)*(J$3:J$42&gt;J18)*(H$3:H$42="L5")))+1,""))))</f>
        <v/>
      </c>
      <c r="C18" s="35" t="s">
        <v>451</v>
      </c>
      <c r="D18" t="str">
        <f>IF(E18="","",VLOOKUP(E18,'Coaching Points'!A:B,2,0))</f>
        <v>QC</v>
      </c>
      <c r="E18" s="35" t="s">
        <v>3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IF(AND(B18&lt;5,I18="P"),IF(_xlfn.MAXIFS(B:B,G:G,G18)&gt;3,5-B18,_xlfn.MAXIFS(B:B,G:G,G18)+1-B18),"")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$42&lt;&gt;"")*(G$3:G$42=G19)*(J$3:J$42&gt;J19)*(I$3:I$42="P"))+1,IF(O19&lt;&gt;"",SUMPRODUCT((O$3:O$42&lt;&gt;"")*(P$3:P$42="")*(G$3:G$42=G19)*(J$3:J$42&gt;J19)*(I$3:I$42="P"))+SUMPRODUCT((P$3:P$42&lt;&gt;"")*(G$3:G$42=G19)*(I$3:I$42="P"))+1,IF(N19&lt;&gt;"",SUMPRODUCT((N$3:N$42&lt;&gt;"")*(G$3:G$42=G19)*(J$3:J$42&gt;J19)*(I$3:I$42="P"))+1,IF(M19="P",SUMPRODUCT((O$3:O$42&lt;&gt;"")*(P$3:P$42="")*(G$3:G$42=G19)*(I$3:I$42="P"))+SUMPRODUCT((P$3:P$42&lt;&gt;"")*(G$3:G$42=G19)*(I$3:I$42="P"))+SUMPRODUCT((N$3:N$42&lt;&gt;"")*(G$3:G$42=G19)*(I$3:I$42="P"))+SUMPRODUCT((P$3:P$42="")*(O$3:O$42="")*(N$3:N$42="")*(M$3:M$42="P")*(G$3:G$42=G19)*(J$3:J$42&gt;J19)*(I$3:I$42="P"))+IF(H19="L5",SUMPRODUCT((P$3:P$42="")*(O$3:O$42="")*(N$3:N$42="")*(M$3:M$42="P")*(G$3:G$42=G19)*(J$3:J$42&lt;J19)*(H$3:H$42&lt;&gt;H19)*(I$3:I$42="P")),-1*SUMPRODUCT((P$3:P$42="")*(O$3:O$42="")*(N$3:N$42="")*(M$3:M$42="P")*(G$3:G$42=G19)*(J$3:J$42&gt;J19)*(H$3:H$42="L5")*(I$3:I$42="P")))+1,"")))))</f>
        <v/>
      </c>
      <c r="B19" s="1" t="str" cm="1">
        <f t="array" ref="B19">IF(P19&lt;&gt;"",SUMPRODUCT((P$3:P$42&lt;&gt;"")*(G$3:G$42=G19)*(J$3:J$42&gt;J19))+1,IF(O19&lt;&gt;"",SUMPRODUCT((O$3:O$42&lt;&gt;"")*(P$3:P$42="")*(G$3:G$42=G19)*(J$3:J$42&gt;J19))+SUMPRODUCT((P$3:P$42&lt;&gt;"")*(G$3:G$42=G19))+1,IF(N19&lt;&gt;"",SUMPRODUCT((N$3:N$42&lt;&gt;"")*(G$3:G$42=G19)*(J$3:J$42&gt;J19))+1,IF(M19="P",SUMPRODUCT((O$3:O$42&lt;&gt;"")*(P$3:P$42="")*(G$3:G$42=G19))+SUMPRODUCT((P$3:P$42&lt;&gt;"")*(G$3:G$42=G19))+SUMPRODUCT((N$3:N$42&lt;&gt;"")*(G$3:G$42=G19))+SUMPRODUCT((P$3:P$42="")*(O$3:O$42="")*(N$3:N$42="")*(M$3:M$42="P")*(G$3:G$42=G19)*(J$3:J$42&gt;J19))+IF(H19="L5",SUMPRODUCT((P$3:P$42="")*(O$3:O$42="")*(N$3:N$42="")*(M$3:M$42="P")*(G$3:G$42=G19)*(J$3:J$42&lt;J19)*(H$3:H$42&lt;&gt;H19)),-1*SUMPRODUCT((P$3:P$42="")*(O$3:O$42="")*(N$3:N$42="")*(M$3:M$42="P")*(G$3:G$42=G19)*(J$3:J$42&gt;J19)*(H$3:H$42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IF(AND(B19&lt;5,I19="P"),IF(_xlfn.MAXIFS(B:B,G:G,G19)&gt;3,5-B19,_xlfn.MAXIFS(B:B,G:G,G19)+1-B19),"")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$42&lt;&gt;"")*(G$3:G$42=G20)*(J$3:J$42&gt;J20)*(I$3:I$42="P"))+1,IF(O20&lt;&gt;"",SUMPRODUCT((O$3:O$42&lt;&gt;"")*(P$3:P$42="")*(G$3:G$42=G20)*(J$3:J$42&gt;J20)*(I$3:I$42="P"))+SUMPRODUCT((P$3:P$42&lt;&gt;"")*(G$3:G$42=G20)*(I$3:I$42="P"))+1,IF(N20&lt;&gt;"",SUMPRODUCT((N$3:N$42&lt;&gt;"")*(G$3:G$42=G20)*(J$3:J$42&gt;J20)*(I$3:I$42="P"))+1,IF(M20="P",SUMPRODUCT((O$3:O$42&lt;&gt;"")*(P$3:P$42="")*(G$3:G$42=G20)*(I$3:I$42="P"))+SUMPRODUCT((P$3:P$42&lt;&gt;"")*(G$3:G$42=G20)*(I$3:I$42="P"))+SUMPRODUCT((N$3:N$42&lt;&gt;"")*(G$3:G$42=G20)*(I$3:I$42="P"))+SUMPRODUCT((P$3:P$42="")*(O$3:O$42="")*(N$3:N$42="")*(M$3:M$42="P")*(G$3:G$42=G20)*(J$3:J$42&gt;J20)*(I$3:I$42="P"))+IF(H20="L5",SUMPRODUCT((P$3:P$42="")*(O$3:O$42="")*(N$3:N$42="")*(M$3:M$42="P")*(G$3:G$42=G20)*(J$3:J$42&lt;J20)*(H$3:H$42&lt;&gt;H20)*(I$3:I$42="P")),-1*SUMPRODUCT((P$3:P$42="")*(O$3:O$42="")*(N$3:N$42="")*(M$3:M$42="P")*(G$3:G$42=G20)*(J$3:J$42&gt;J20)*(H$3:H$42="L5")*(I$3:I$42="P")))+1,"")))))</f>
        <v/>
      </c>
      <c r="B20" s="1" t="str" cm="1">
        <f t="array" ref="B20">IF(P20&lt;&gt;"",SUMPRODUCT((P$3:P$42&lt;&gt;"")*(G$3:G$42=G20)*(J$3:J$42&gt;J20))+1,IF(O20&lt;&gt;"",SUMPRODUCT((O$3:O$42&lt;&gt;"")*(P$3:P$42="")*(G$3:G$42=G20)*(J$3:J$42&gt;J20))+SUMPRODUCT((P$3:P$42&lt;&gt;"")*(G$3:G$42=G20))+1,IF(N20&lt;&gt;"",SUMPRODUCT((N$3:N$42&lt;&gt;"")*(G$3:G$42=G20)*(J$3:J$42&gt;J20))+1,IF(M20="P",SUMPRODUCT((O$3:O$42&lt;&gt;"")*(P$3:P$42="")*(G$3:G$42=G20))+SUMPRODUCT((P$3:P$42&lt;&gt;"")*(G$3:G$42=G20))+SUMPRODUCT((N$3:N$42&lt;&gt;"")*(G$3:G$42=G20))+SUMPRODUCT((P$3:P$42="")*(O$3:O$42="")*(N$3:N$42="")*(M$3:M$42="P")*(G$3:G$42=G20)*(J$3:J$42&gt;J20))+IF(H20="L5",SUMPRODUCT((P$3:P$42="")*(O$3:O$42="")*(N$3:N$42="")*(M$3:M$42="P")*(G$3:G$42=G20)*(J$3:J$42&lt;J20)*(H$3:H$42&lt;&gt;H20)),-1*SUMPRODUCT((P$3:P$42="")*(O$3:O$42="")*(N$3:N$42="")*(M$3:M$42="P")*(G$3:G$42=G20)*(J$3:J$42&gt;J20)*(H$3:H$42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IF(AND(B20&lt;5,I20="P"),IF(_xlfn.MAXIFS(B:B,G:G,G20)&gt;3,5-B20,_xlfn.MAXIFS(B:B,G:G,G20)+1-B20),"")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$42&lt;&gt;"")*(G$3:G$42=G21)*(J$3:J$42&gt;J21)*(I$3:I$42="P"))+1,IF(O21&lt;&gt;"",SUMPRODUCT((O$3:O$42&lt;&gt;"")*(P$3:P$42="")*(G$3:G$42=G21)*(J$3:J$42&gt;J21)*(I$3:I$42="P"))+SUMPRODUCT((P$3:P$42&lt;&gt;"")*(G$3:G$42=G21)*(I$3:I$42="P"))+1,IF(N21&lt;&gt;"",SUMPRODUCT((N$3:N$42&lt;&gt;"")*(G$3:G$42=G21)*(J$3:J$42&gt;J21)*(I$3:I$42="P"))+1,IF(M21="P",SUMPRODUCT((O$3:O$42&lt;&gt;"")*(P$3:P$42="")*(G$3:G$42=G21)*(I$3:I$42="P"))+SUMPRODUCT((P$3:P$42&lt;&gt;"")*(G$3:G$42=G21)*(I$3:I$42="P"))+SUMPRODUCT((N$3:N$42&lt;&gt;"")*(G$3:G$42=G21)*(I$3:I$42="P"))+SUMPRODUCT((P$3:P$42="")*(O$3:O$42="")*(N$3:N$42="")*(M$3:M$42="P")*(G$3:G$42=G21)*(J$3:J$42&gt;J21)*(I$3:I$42="P"))+IF(H21="L5",SUMPRODUCT((P$3:P$42="")*(O$3:O$42="")*(N$3:N$42="")*(M$3:M$42="P")*(G$3:G$42=G21)*(J$3:J$42&lt;J21)*(H$3:H$42&lt;&gt;H21)*(I$3:I$42="P")),-1*SUMPRODUCT((P$3:P$42="")*(O$3:O$42="")*(N$3:N$42="")*(M$3:M$42="P")*(G$3:G$42=G21)*(J$3:J$42&gt;J21)*(H$3:H$42="L5")*(I$3:I$42="P")))+1,"")))))</f>
        <v/>
      </c>
      <c r="B21" s="1" t="str" cm="1">
        <f t="array" ref="B21">IF(P21&lt;&gt;"",SUMPRODUCT((P$3:P$42&lt;&gt;"")*(G$3:G$42=G21)*(J$3:J$42&gt;J21))+1,IF(O21&lt;&gt;"",SUMPRODUCT((O$3:O$42&lt;&gt;"")*(P$3:P$42="")*(G$3:G$42=G21)*(J$3:J$42&gt;J21))+SUMPRODUCT((P$3:P$42&lt;&gt;"")*(G$3:G$42=G21))+1,IF(N21&lt;&gt;"",SUMPRODUCT((N$3:N$42&lt;&gt;"")*(G$3:G$42=G21)*(J$3:J$42&gt;J21))+1,IF(M21="P",SUMPRODUCT((O$3:O$42&lt;&gt;"")*(P$3:P$42="")*(G$3:G$42=G21))+SUMPRODUCT((P$3:P$42&lt;&gt;"")*(G$3:G$42=G21))+SUMPRODUCT((N$3:N$42&lt;&gt;"")*(G$3:G$42=G21))+SUMPRODUCT((P$3:P$42="")*(O$3:O$42="")*(N$3:N$42="")*(M$3:M$42="P")*(G$3:G$42=G21)*(J$3:J$42&gt;J21))+IF(H21="L5",SUMPRODUCT((P$3:P$42="")*(O$3:O$42="")*(N$3:N$42="")*(M$3:M$42="P")*(G$3:G$42=G21)*(J$3:J$42&lt;J21)*(H$3:H$42&lt;&gt;H21)),-1*SUMPRODUCT((P$3:P$42="")*(O$3:O$42="")*(N$3:N$42="")*(M$3:M$42="P")*(G$3:G$42=G21)*(J$3:J$42&gt;J21)*(H$3:H$42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IF(AND(B21&lt;5,I21="P"),IF(_xlfn.MAXIFS(B:B,G:G,G21)&gt;3,5-B21,_xlfn.MAXIFS(B:B,G:G,G21)+1-B21),"")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$42&lt;&gt;"")*(G$3:G$42=G22)*(J$3:J$42&gt;J22)*(I$3:I$42="P"))+1,IF(O22&lt;&gt;"",SUMPRODUCT((O$3:O$42&lt;&gt;"")*(P$3:P$42="")*(G$3:G$42=G22)*(J$3:J$42&gt;J22)*(I$3:I$42="P"))+SUMPRODUCT((P$3:P$42&lt;&gt;"")*(G$3:G$42=G22)*(I$3:I$42="P"))+1,IF(N22&lt;&gt;"",SUMPRODUCT((N$3:N$42&lt;&gt;"")*(G$3:G$42=G22)*(J$3:J$42&gt;J22)*(I$3:I$42="P"))+1,IF(M22="P",SUMPRODUCT((O$3:O$42&lt;&gt;"")*(P$3:P$42="")*(G$3:G$42=G22)*(I$3:I$42="P"))+SUMPRODUCT((P$3:P$42&lt;&gt;"")*(G$3:G$42=G22)*(I$3:I$42="P"))+SUMPRODUCT((N$3:N$42&lt;&gt;"")*(G$3:G$42=G22)*(I$3:I$42="P"))+SUMPRODUCT((P$3:P$42="")*(O$3:O$42="")*(N$3:N$42="")*(M$3:M$42="P")*(G$3:G$42=G22)*(J$3:J$42&gt;J22)*(I$3:I$42="P"))+IF(H22="L5",SUMPRODUCT((P$3:P$42="")*(O$3:O$42="")*(N$3:N$42="")*(M$3:M$42="P")*(G$3:G$42=G22)*(J$3:J$42&lt;J22)*(H$3:H$42&lt;&gt;H22)*(I$3:I$42="P")),-1*SUMPRODUCT((P$3:P$42="")*(O$3:O$42="")*(N$3:N$42="")*(M$3:M$42="P")*(G$3:G$42=G22)*(J$3:J$42&gt;J22)*(H$3:H$42="L5")*(I$3:I$42="P")))+1,"")))))</f>
        <v/>
      </c>
      <c r="B22" s="1" t="str" cm="1">
        <f t="array" ref="B22">IF(P22&lt;&gt;"",SUMPRODUCT((P$3:P$42&lt;&gt;"")*(G$3:G$42=G22)*(J$3:J$42&gt;J22))+1,IF(O22&lt;&gt;"",SUMPRODUCT((O$3:O$42&lt;&gt;"")*(P$3:P$42="")*(G$3:G$42=G22)*(J$3:J$42&gt;J22))+SUMPRODUCT((P$3:P$42&lt;&gt;"")*(G$3:G$42=G22))+1,IF(N22&lt;&gt;"",SUMPRODUCT((N$3:N$42&lt;&gt;"")*(G$3:G$42=G22)*(J$3:J$42&gt;J22))+1,IF(M22="P",SUMPRODUCT((O$3:O$42&lt;&gt;"")*(P$3:P$42="")*(G$3:G$42=G22))+SUMPRODUCT((P$3:P$42&lt;&gt;"")*(G$3:G$42=G22))+SUMPRODUCT((N$3:N$42&lt;&gt;"")*(G$3:G$42=G22))+SUMPRODUCT((P$3:P$42="")*(O$3:O$42="")*(N$3:N$42="")*(M$3:M$42="P")*(G$3:G$42=G22)*(J$3:J$42&gt;J22))+IF(H22="L5",SUMPRODUCT((P$3:P$42="")*(O$3:O$42="")*(N$3:N$42="")*(M$3:M$42="P")*(G$3:G$42=G22)*(J$3:J$42&lt;J22)*(H$3:H$42&lt;&gt;H22)),-1*SUMPRODUCT((P$3:P$42="")*(O$3:O$42="")*(N$3:N$42="")*(M$3:M$42="P")*(G$3:G$42=G22)*(J$3:J$42&gt;J22)*(H$3:H$42="L5")))+1,""))))</f>
        <v/>
      </c>
      <c r="C22" s="35" t="s">
        <v>455</v>
      </c>
      <c r="D22" t="str">
        <f>IF(E22="","",VLOOKUP(E22,'Coaching Points'!A:B,2,0))</f>
        <v>AB</v>
      </c>
      <c r="E22" s="35" t="s">
        <v>62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IF(AND(B22&lt;5,I22="P"),IF(_xlfn.MAXIFS(B:B,G:G,G22)&gt;3,5-B22,_xlfn.MAXIFS(B:B,G:G,G22)+1-B22),"")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$42&lt;&gt;"")*(G$3:G$42=G23)*(J$3:J$42&gt;J23)*(I$3:I$42="P"))+1,IF(O23&lt;&gt;"",SUMPRODUCT((O$3:O$42&lt;&gt;"")*(P$3:P$42="")*(G$3:G$42=G23)*(J$3:J$42&gt;J23)*(I$3:I$42="P"))+SUMPRODUCT((P$3:P$42&lt;&gt;"")*(G$3:G$42=G23)*(I$3:I$42="P"))+1,IF(N23&lt;&gt;"",SUMPRODUCT((N$3:N$42&lt;&gt;"")*(G$3:G$42=G23)*(J$3:J$42&gt;J23)*(I$3:I$42="P"))+1,IF(M23="P",SUMPRODUCT((O$3:O$42&lt;&gt;"")*(P$3:P$42="")*(G$3:G$42=G23)*(I$3:I$42="P"))+SUMPRODUCT((P$3:P$42&lt;&gt;"")*(G$3:G$42=G23)*(I$3:I$42="P"))+SUMPRODUCT((N$3:N$42&lt;&gt;"")*(G$3:G$42=G23)*(I$3:I$42="P"))+SUMPRODUCT((P$3:P$42="")*(O$3:O$42="")*(N$3:N$42="")*(M$3:M$42="P")*(G$3:G$42=G23)*(J$3:J$42&gt;J23)*(I$3:I$42="P"))+IF(H23="L5",SUMPRODUCT((P$3:P$42="")*(O$3:O$42="")*(N$3:N$42="")*(M$3:M$42="P")*(G$3:G$42=G23)*(J$3:J$42&lt;J23)*(H$3:H$42&lt;&gt;H23)*(I$3:I$42="P")),-1*SUMPRODUCT((P$3:P$42="")*(O$3:O$42="")*(N$3:N$42="")*(M$3:M$42="P")*(G$3:G$42=G23)*(J$3:J$42&gt;J23)*(H$3:H$42="L5")*(I$3:I$42="P")))+1,"")))))</f>
        <v/>
      </c>
      <c r="B23" s="1" t="str" cm="1">
        <f t="array" ref="B23">IF(P23&lt;&gt;"",SUMPRODUCT((P$3:P$42&lt;&gt;"")*(G$3:G$42=G23)*(J$3:J$42&gt;J23))+1,IF(O23&lt;&gt;"",SUMPRODUCT((O$3:O$42&lt;&gt;"")*(P$3:P$42="")*(G$3:G$42=G23)*(J$3:J$42&gt;J23))+SUMPRODUCT((P$3:P$42&lt;&gt;"")*(G$3:G$42=G23))+1,IF(N23&lt;&gt;"",SUMPRODUCT((N$3:N$42&lt;&gt;"")*(G$3:G$42=G23)*(J$3:J$42&gt;J23))+1,IF(M23="P",SUMPRODUCT((O$3:O$42&lt;&gt;"")*(P$3:P$42="")*(G$3:G$42=G23))+SUMPRODUCT((P$3:P$42&lt;&gt;"")*(G$3:G$42=G23))+SUMPRODUCT((N$3:N$42&lt;&gt;"")*(G$3:G$42=G23))+SUMPRODUCT((P$3:P$42="")*(O$3:O$42="")*(N$3:N$42="")*(M$3:M$42="P")*(G$3:G$42=G23)*(J$3:J$42&gt;J23))+IF(H23="L5",SUMPRODUCT((P$3:P$42="")*(O$3:O$42="")*(N$3:N$42="")*(M$3:M$42="P")*(G$3:G$42=G23)*(J$3:J$42&lt;J23)*(H$3:H$42&lt;&gt;H23)),-1*SUMPRODUCT((P$3:P$42="")*(O$3:O$42="")*(N$3:N$42="")*(M$3:M$42="P")*(G$3:G$42=G23)*(J$3:J$42&gt;J23)*(H$3:H$42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IF(AND(B23&lt;5,I23="P"),IF(_xlfn.MAXIFS(B:B,G:G,G23)&gt;3,5-B23,_xlfn.MAXIFS(B:B,G:G,G23)+1-B23),"")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$42&lt;&gt;"")*(G$3:G$42=G24)*(J$3:J$42&gt;J24)*(I$3:I$42="P"))+1,IF(O24&lt;&gt;"",SUMPRODUCT((O$3:O$42&lt;&gt;"")*(P$3:P$42="")*(G$3:G$42=G24)*(J$3:J$42&gt;J24)*(I$3:I$42="P"))+SUMPRODUCT((P$3:P$42&lt;&gt;"")*(G$3:G$42=G24)*(I$3:I$42="P"))+1,IF(N24&lt;&gt;"",SUMPRODUCT((N$3:N$42&lt;&gt;"")*(G$3:G$42=G24)*(J$3:J$42&gt;J24)*(I$3:I$42="P"))+1,IF(M24="P",SUMPRODUCT((O$3:O$42&lt;&gt;"")*(P$3:P$42="")*(G$3:G$42=G24)*(I$3:I$42="P"))+SUMPRODUCT((P$3:P$42&lt;&gt;"")*(G$3:G$42=G24)*(I$3:I$42="P"))+SUMPRODUCT((N$3:N$42&lt;&gt;"")*(G$3:G$42=G24)*(I$3:I$42="P"))+SUMPRODUCT((P$3:P$42="")*(O$3:O$42="")*(N$3:N$42="")*(M$3:M$42="P")*(G$3:G$42=G24)*(J$3:J$42&gt;J24)*(I$3:I$42="P"))+IF(H24="L5",SUMPRODUCT((P$3:P$42="")*(O$3:O$42="")*(N$3:N$42="")*(M$3:M$42="P")*(G$3:G$42=G24)*(J$3:J$42&lt;J24)*(H$3:H$42&lt;&gt;H24)*(I$3:I$42="P")),-1*SUMPRODUCT((P$3:P$42="")*(O$3:O$42="")*(N$3:N$42="")*(M$3:M$42="P")*(G$3:G$42=G24)*(J$3:J$42&gt;J24)*(H$3:H$42="L5")*(I$3:I$42="P")))+1,"")))))</f>
        <v/>
      </c>
      <c r="B24" s="1" t="str" cm="1">
        <f t="array" ref="B24">IF(P24&lt;&gt;"",SUMPRODUCT((P$3:P$42&lt;&gt;"")*(G$3:G$42=G24)*(J$3:J$42&gt;J24))+1,IF(O24&lt;&gt;"",SUMPRODUCT((O$3:O$42&lt;&gt;"")*(P$3:P$42="")*(G$3:G$42=G24)*(J$3:J$42&gt;J24))+SUMPRODUCT((P$3:P$42&lt;&gt;"")*(G$3:G$42=G24))+1,IF(N24&lt;&gt;"",SUMPRODUCT((N$3:N$42&lt;&gt;"")*(G$3:G$42=G24)*(J$3:J$42&gt;J24))+1,IF(M24="P",SUMPRODUCT((O$3:O$42&lt;&gt;"")*(P$3:P$42="")*(G$3:G$42=G24))+SUMPRODUCT((P$3:P$42&lt;&gt;"")*(G$3:G$42=G24))+SUMPRODUCT((N$3:N$42&lt;&gt;"")*(G$3:G$42=G24))+SUMPRODUCT((P$3:P$42="")*(O$3:O$42="")*(N$3:N$42="")*(M$3:M$42="P")*(G$3:G$42=G24)*(J$3:J$42&gt;J24))+IF(H24="L5",SUMPRODUCT((P$3:P$42="")*(O$3:O$42="")*(N$3:N$42="")*(M$3:M$42="P")*(G$3:G$42=G24)*(J$3:J$42&lt;J24)*(H$3:H$42&lt;&gt;H24)),-1*SUMPRODUCT((P$3:P$42="")*(O$3:O$42="")*(N$3:N$42="")*(M$3:M$42="P")*(G$3:G$42=G24)*(J$3:J$42&gt;J24)*(H$3:H$42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IF(AND(B24&lt;5,I24="P"),IF(_xlfn.MAXIFS(B:B,G:G,G24)&gt;3,5-B24,_xlfn.MAXIFS(B:B,G:G,G24)+1-B24),"")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$42&lt;&gt;"")*(G$3:G$42=G25)*(J$3:J$42&gt;J25)*(I$3:I$42="P"))+1,IF(O25&lt;&gt;"",SUMPRODUCT((O$3:O$42&lt;&gt;"")*(P$3:P$42="")*(G$3:G$42=G25)*(J$3:J$42&gt;J25)*(I$3:I$42="P"))+SUMPRODUCT((P$3:P$42&lt;&gt;"")*(G$3:G$42=G25)*(I$3:I$42="P"))+1,IF(N25&lt;&gt;"",SUMPRODUCT((N$3:N$42&lt;&gt;"")*(G$3:G$42=G25)*(J$3:J$42&gt;J25)*(I$3:I$42="P"))+1,IF(M25="P",SUMPRODUCT((O$3:O$42&lt;&gt;"")*(P$3:P$42="")*(G$3:G$42=G25)*(I$3:I$42="P"))+SUMPRODUCT((P$3:P$42&lt;&gt;"")*(G$3:G$42=G25)*(I$3:I$42="P"))+SUMPRODUCT((N$3:N$42&lt;&gt;"")*(G$3:G$42=G25)*(I$3:I$42="P"))+SUMPRODUCT((P$3:P$42="")*(O$3:O$42="")*(N$3:N$42="")*(M$3:M$42="P")*(G$3:G$42=G25)*(J$3:J$42&gt;J25)*(I$3:I$42="P"))+IF(H25="L5",SUMPRODUCT((P$3:P$42="")*(O$3:O$42="")*(N$3:N$42="")*(M$3:M$42="P")*(G$3:G$42=G25)*(J$3:J$42&lt;J25)*(H$3:H$42&lt;&gt;H25)*(I$3:I$42="P")),-1*SUMPRODUCT((P$3:P$42="")*(O$3:O$42="")*(N$3:N$42="")*(M$3:M$42="P")*(G$3:G$42=G25)*(J$3:J$42&gt;J25)*(H$3:H$42="L5")*(I$3:I$42="P")))+1,"")))))</f>
        <v/>
      </c>
      <c r="B25" s="1" t="str" cm="1">
        <f t="array" ref="B25">IF(P25&lt;&gt;"",SUMPRODUCT((P$3:P$42&lt;&gt;"")*(G$3:G$42=G25)*(J$3:J$42&gt;J25))+1,IF(O25&lt;&gt;"",SUMPRODUCT((O$3:O$42&lt;&gt;"")*(P$3:P$42="")*(G$3:G$42=G25)*(J$3:J$42&gt;J25))+SUMPRODUCT((P$3:P$42&lt;&gt;"")*(G$3:G$42=G25))+1,IF(N25&lt;&gt;"",SUMPRODUCT((N$3:N$42&lt;&gt;"")*(G$3:G$42=G25)*(J$3:J$42&gt;J25))+1,IF(M25="P",SUMPRODUCT((O$3:O$42&lt;&gt;"")*(P$3:P$42="")*(G$3:G$42=G25))+SUMPRODUCT((P$3:P$42&lt;&gt;"")*(G$3:G$42=G25))+SUMPRODUCT((N$3:N$42&lt;&gt;"")*(G$3:G$42=G25))+SUMPRODUCT((P$3:P$42="")*(O$3:O$42="")*(N$3:N$42="")*(M$3:M$42="P")*(G$3:G$42=G25)*(J$3:J$42&gt;J25))+IF(H25="L5",SUMPRODUCT((P$3:P$42="")*(O$3:O$42="")*(N$3:N$42="")*(M$3:M$42="P")*(G$3:G$42=G25)*(J$3:J$42&lt;J25)*(H$3:H$42&lt;&gt;H25)),-1*SUMPRODUCT((P$3:P$42="")*(O$3:O$42="")*(N$3:N$42="")*(M$3:M$42="P")*(G$3:G$42=G25)*(J$3:J$42&gt;J25)*(H$3:H$42="L5")))+1,""))))</f>
        <v/>
      </c>
      <c r="C25" s="35" t="s">
        <v>452</v>
      </c>
      <c r="D25" t="str">
        <f>IF(E25="","",VLOOKUP(E25,'Coaching Points'!A:B,2,0))</f>
        <v>ON</v>
      </c>
      <c r="E25" s="35" t="s">
        <v>150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IF(AND(B25&lt;5,I25="P"),IF(_xlfn.MAXIFS(B:B,G:G,G25)&gt;3,5-B25,_xlfn.MAXIFS(B:B,G:G,G25)+1-B25),"")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$42&lt;&gt;"")*(G$3:G$42=G26)*(J$3:J$42&gt;J26)*(I$3:I$42="P"))+1,IF(O26&lt;&gt;"",SUMPRODUCT((O$3:O$42&lt;&gt;"")*(P$3:P$42="")*(G$3:G$42=G26)*(J$3:J$42&gt;J26)*(I$3:I$42="P"))+SUMPRODUCT((P$3:P$42&lt;&gt;"")*(G$3:G$42=G26)*(I$3:I$42="P"))+1,IF(N26&lt;&gt;"",SUMPRODUCT((N$3:N$42&lt;&gt;"")*(G$3:G$42=G26)*(J$3:J$42&gt;J26)*(I$3:I$42="P"))+1,IF(M26="P",SUMPRODUCT((O$3:O$42&lt;&gt;"")*(P$3:P$42="")*(G$3:G$42=G26)*(I$3:I$42="P"))+SUMPRODUCT((P$3:P$42&lt;&gt;"")*(G$3:G$42=G26)*(I$3:I$42="P"))+SUMPRODUCT((N$3:N$42&lt;&gt;"")*(G$3:G$42=G26)*(I$3:I$42="P"))+SUMPRODUCT((P$3:P$42="")*(O$3:O$42="")*(N$3:N$42="")*(M$3:M$42="P")*(G$3:G$42=G26)*(J$3:J$42&gt;J26)*(I$3:I$42="P"))+IF(H26="L5",SUMPRODUCT((P$3:P$42="")*(O$3:O$42="")*(N$3:N$42="")*(M$3:M$42="P")*(G$3:G$42=G26)*(J$3:J$42&lt;J26)*(H$3:H$42&lt;&gt;H26)*(I$3:I$42="P")),-1*SUMPRODUCT((P$3:P$42="")*(O$3:O$42="")*(N$3:N$42="")*(M$3:M$42="P")*(G$3:G$42=G26)*(J$3:J$42&gt;J26)*(H$3:H$42="L5")*(I$3:I$42="P")))+1,"")))))</f>
        <v/>
      </c>
      <c r="B26" s="1" t="str" cm="1">
        <f t="array" ref="B26">IF(P26&lt;&gt;"",SUMPRODUCT((P$3:P$42&lt;&gt;"")*(G$3:G$42=G26)*(J$3:J$42&gt;J26))+1,IF(O26&lt;&gt;"",SUMPRODUCT((O$3:O$42&lt;&gt;"")*(P$3:P$42="")*(G$3:G$42=G26)*(J$3:J$42&gt;J26))+SUMPRODUCT((P$3:P$42&lt;&gt;"")*(G$3:G$42=G26))+1,IF(N26&lt;&gt;"",SUMPRODUCT((N$3:N$42&lt;&gt;"")*(G$3:G$42=G26)*(J$3:J$42&gt;J26))+1,IF(M26="P",SUMPRODUCT((O$3:O$42&lt;&gt;"")*(P$3:P$42="")*(G$3:G$42=G26))+SUMPRODUCT((P$3:P$42&lt;&gt;"")*(G$3:G$42=G26))+SUMPRODUCT((N$3:N$42&lt;&gt;"")*(G$3:G$42=G26))+SUMPRODUCT((P$3:P$42="")*(O$3:O$42="")*(N$3:N$42="")*(M$3:M$42="P")*(G$3:G$42=G26)*(J$3:J$42&gt;J26))+IF(H26="L5",SUMPRODUCT((P$3:P$42="")*(O$3:O$42="")*(N$3:N$42="")*(M$3:M$42="P")*(G$3:G$42=G26)*(J$3:J$42&lt;J26)*(H$3:H$42&lt;&gt;H26)),-1*SUMPRODUCT((P$3:P$42="")*(O$3:O$42="")*(N$3:N$42="")*(M$3:M$42="P")*(G$3:G$42=G26)*(J$3:J$42&gt;J26)*(H$3:H$42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IF(AND(B26&lt;5,I26="P"),IF(_xlfn.MAXIFS(B:B,G:G,G26)&gt;3,5-B26,_xlfn.MAXIFS(B:B,G:G,G26)+1-B26),"")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$42&lt;&gt;"")*(G$3:G$42=G27)*(J$3:J$42&gt;J27)*(I$3:I$42="P"))+1,IF(O27&lt;&gt;"",SUMPRODUCT((O$3:O$42&lt;&gt;"")*(P$3:P$42="")*(G$3:G$42=G27)*(J$3:J$42&gt;J27)*(I$3:I$42="P"))+SUMPRODUCT((P$3:P$42&lt;&gt;"")*(G$3:G$42=G27)*(I$3:I$42="P"))+1,IF(N27&lt;&gt;"",SUMPRODUCT((N$3:N$42&lt;&gt;"")*(G$3:G$42=G27)*(J$3:J$42&gt;J27)*(I$3:I$42="P"))+1,IF(M27="P",SUMPRODUCT((O$3:O$42&lt;&gt;"")*(P$3:P$42="")*(G$3:G$42=G27)*(I$3:I$42="P"))+SUMPRODUCT((P$3:P$42&lt;&gt;"")*(G$3:G$42=G27)*(I$3:I$42="P"))+SUMPRODUCT((N$3:N$42&lt;&gt;"")*(G$3:G$42=G27)*(I$3:I$42="P"))+SUMPRODUCT((P$3:P$42="")*(O$3:O$42="")*(N$3:N$42="")*(M$3:M$42="P")*(G$3:G$42=G27)*(J$3:J$42&gt;J27)*(I$3:I$42="P"))+IF(H27="L5",SUMPRODUCT((P$3:P$42="")*(O$3:O$42="")*(N$3:N$42="")*(M$3:M$42="P")*(G$3:G$42=G27)*(J$3:J$42&lt;J27)*(H$3:H$42&lt;&gt;H27)*(I$3:I$42="P")),-1*SUMPRODUCT((P$3:P$42="")*(O$3:O$42="")*(N$3:N$42="")*(M$3:M$42="P")*(G$3:G$42=G27)*(J$3:J$42&gt;J27)*(H$3:H$42="L5")*(I$3:I$42="P")))+1,"")))))</f>
        <v/>
      </c>
      <c r="B27" s="1" t="str" cm="1">
        <f t="array" ref="B27">IF(P27&lt;&gt;"",SUMPRODUCT((P$3:P$42&lt;&gt;"")*(G$3:G$42=G27)*(J$3:J$42&gt;J27))+1,IF(O27&lt;&gt;"",SUMPRODUCT((O$3:O$42&lt;&gt;"")*(P$3:P$42="")*(G$3:G$42=G27)*(J$3:J$42&gt;J27))+SUMPRODUCT((P$3:P$42&lt;&gt;"")*(G$3:G$42=G27))+1,IF(N27&lt;&gt;"",SUMPRODUCT((N$3:N$42&lt;&gt;"")*(G$3:G$42=G27)*(J$3:J$42&gt;J27))+1,IF(M27="P",SUMPRODUCT((O$3:O$42&lt;&gt;"")*(P$3:P$42="")*(G$3:G$42=G27))+SUMPRODUCT((P$3:P$42&lt;&gt;"")*(G$3:G$42=G27))+SUMPRODUCT((N$3:N$42&lt;&gt;"")*(G$3:G$42=G27))+SUMPRODUCT((P$3:P$42="")*(O$3:O$42="")*(N$3:N$42="")*(M$3:M$42="P")*(G$3:G$42=G27)*(J$3:J$42&gt;J27))+IF(H27="L5",SUMPRODUCT((P$3:P$42="")*(O$3:O$42="")*(N$3:N$42="")*(M$3:M$42="P")*(G$3:G$42=G27)*(J$3:J$42&lt;J27)*(H$3:H$42&lt;&gt;H27)),-1*SUMPRODUCT((P$3:P$42="")*(O$3:O$42="")*(N$3:N$42="")*(M$3:M$42="P")*(G$3:G$42=G27)*(J$3:J$42&gt;J27)*(H$3:H$42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IF(AND(B27&lt;5,I27="P"),IF(_xlfn.MAXIFS(B:B,G:G,G27)&gt;3,5-B27,_xlfn.MAXIFS(B:B,G:G,G27)+1-B27),"")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$42&lt;&gt;"")*(G$3:G$42=G28)*(J$3:J$42&gt;J28)*(I$3:I$42="P"))+1,IF(O28&lt;&gt;"",SUMPRODUCT((O$3:O$42&lt;&gt;"")*(P$3:P$42="")*(G$3:G$42=G28)*(J$3:J$42&gt;J28)*(I$3:I$42="P"))+SUMPRODUCT((P$3:P$42&lt;&gt;"")*(G$3:G$42=G28)*(I$3:I$42="P"))+1,IF(N28&lt;&gt;"",SUMPRODUCT((N$3:N$42&lt;&gt;"")*(G$3:G$42=G28)*(J$3:J$42&gt;J28)*(I$3:I$42="P"))+1,IF(M28="P",SUMPRODUCT((O$3:O$42&lt;&gt;"")*(P$3:P$42="")*(G$3:G$42=G28)*(I$3:I$42="P"))+SUMPRODUCT((P$3:P$42&lt;&gt;"")*(G$3:G$42=G28)*(I$3:I$42="P"))+SUMPRODUCT((N$3:N$42&lt;&gt;"")*(G$3:G$42=G28)*(I$3:I$42="P"))+SUMPRODUCT((P$3:P$42="")*(O$3:O$42="")*(N$3:N$42="")*(M$3:M$42="P")*(G$3:G$42=G28)*(J$3:J$42&gt;J28)*(I$3:I$42="P"))+IF(H28="L5",SUMPRODUCT((P$3:P$42="")*(O$3:O$42="")*(N$3:N$42="")*(M$3:M$42="P")*(G$3:G$42=G28)*(J$3:J$42&lt;J28)*(H$3:H$42&lt;&gt;H28)*(I$3:I$42="P")),-1*SUMPRODUCT((P$3:P$42="")*(O$3:O$42="")*(N$3:N$42="")*(M$3:M$42="P")*(G$3:G$42=G28)*(J$3:J$42&gt;J28)*(H$3:H$42="L5")*(I$3:I$42="P")))+1,"")))))</f>
        <v/>
      </c>
      <c r="B28" s="1" t="str" cm="1">
        <f t="array" ref="B28">IF(P28&lt;&gt;"",SUMPRODUCT((P$3:P$42&lt;&gt;"")*(G$3:G$42=G28)*(J$3:J$42&gt;J28))+1,IF(O28&lt;&gt;"",SUMPRODUCT((O$3:O$42&lt;&gt;"")*(P$3:P$42="")*(G$3:G$42=G28)*(J$3:J$42&gt;J28))+SUMPRODUCT((P$3:P$42&lt;&gt;"")*(G$3:G$42=G28))+1,IF(N28&lt;&gt;"",SUMPRODUCT((N$3:N$42&lt;&gt;"")*(G$3:G$42=G28)*(J$3:J$42&gt;J28))+1,IF(M28="P",SUMPRODUCT((O$3:O$42&lt;&gt;"")*(P$3:P$42="")*(G$3:G$42=G28))+SUMPRODUCT((P$3:P$42&lt;&gt;"")*(G$3:G$42=G28))+SUMPRODUCT((N$3:N$42&lt;&gt;"")*(G$3:G$42=G28))+SUMPRODUCT((P$3:P$42="")*(O$3:O$42="")*(N$3:N$42="")*(M$3:M$42="P")*(G$3:G$42=G28)*(J$3:J$42&gt;J28))+IF(H28="L5",SUMPRODUCT((P$3:P$42="")*(O$3:O$42="")*(N$3:N$42="")*(M$3:M$42="P")*(G$3:G$42=G28)*(J$3:J$42&lt;J28)*(H$3:H$42&lt;&gt;H28)),-1*SUMPRODUCT((P$3:P$42="")*(O$3:O$42="")*(N$3:N$42="")*(M$3:M$42="P")*(G$3:G$42=G28)*(J$3:J$42&gt;J28)*(H$3:H$42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IF(AND(B28&lt;5,I28="P"),IF(_xlfn.MAXIFS(B:B,G:G,G28)&gt;3,5-B28,_xlfn.MAXIFS(B:B,G:G,G28)+1-B28),"")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$42&lt;&gt;"")*(G$3:G$42=G29)*(J$3:J$42&gt;J29)*(I$3:I$42="P"))+1,IF(O29&lt;&gt;"",SUMPRODUCT((O$3:O$42&lt;&gt;"")*(P$3:P$42="")*(G$3:G$42=G29)*(J$3:J$42&gt;J29)*(I$3:I$42="P"))+SUMPRODUCT((P$3:P$42&lt;&gt;"")*(G$3:G$42=G29)*(I$3:I$42="P"))+1,IF(N29&lt;&gt;"",SUMPRODUCT((N$3:N$42&lt;&gt;"")*(G$3:G$42=G29)*(J$3:J$42&gt;J29)*(I$3:I$42="P"))+1,IF(M29="P",SUMPRODUCT((O$3:O$42&lt;&gt;"")*(P$3:P$42="")*(G$3:G$42=G29)*(I$3:I$42="P"))+SUMPRODUCT((P$3:P$42&lt;&gt;"")*(G$3:G$42=G29)*(I$3:I$42="P"))+SUMPRODUCT((N$3:N$42&lt;&gt;"")*(G$3:G$42=G29)*(I$3:I$42="P"))+SUMPRODUCT((P$3:P$42="")*(O$3:O$42="")*(N$3:N$42="")*(M$3:M$42="P")*(G$3:G$42=G29)*(J$3:J$42&gt;J29)*(I$3:I$42="P"))+IF(H29="L5",SUMPRODUCT((P$3:P$42="")*(O$3:O$42="")*(N$3:N$42="")*(M$3:M$42="P")*(G$3:G$42=G29)*(J$3:J$42&lt;J29)*(H$3:H$42&lt;&gt;H29)*(I$3:I$42="P")),-1*SUMPRODUCT((P$3:P$42="")*(O$3:O$42="")*(N$3:N$42="")*(M$3:M$42="P")*(G$3:G$42=G29)*(J$3:J$42&gt;J29)*(H$3:H$42="L5")*(I$3:I$42="P")))+1,"")))))</f>
        <v/>
      </c>
      <c r="B29" s="1" t="str" cm="1">
        <f t="array" ref="B29">IF(P29&lt;&gt;"",SUMPRODUCT((P$3:P$42&lt;&gt;"")*(G$3:G$42=G29)*(J$3:J$42&gt;J29))+1,IF(O29&lt;&gt;"",SUMPRODUCT((O$3:O$42&lt;&gt;"")*(P$3:P$42="")*(G$3:G$42=G29)*(J$3:J$42&gt;J29))+SUMPRODUCT((P$3:P$42&lt;&gt;"")*(G$3:G$42=G29))+1,IF(N29&lt;&gt;"",SUMPRODUCT((N$3:N$42&lt;&gt;"")*(G$3:G$42=G29)*(J$3:J$42&gt;J29))+1,IF(M29="P",SUMPRODUCT((O$3:O$42&lt;&gt;"")*(P$3:P$42="")*(G$3:G$42=G29))+SUMPRODUCT((P$3:P$42&lt;&gt;"")*(G$3:G$42=G29))+SUMPRODUCT((N$3:N$42&lt;&gt;"")*(G$3:G$42=G29))+SUMPRODUCT((P$3:P$42="")*(O$3:O$42="")*(N$3:N$42="")*(M$3:M$42="P")*(G$3:G$42=G29)*(J$3:J$42&gt;J29))+IF(H29="L5",SUMPRODUCT((P$3:P$42="")*(O$3:O$42="")*(N$3:N$42="")*(M$3:M$42="P")*(G$3:G$42=G29)*(J$3:J$42&lt;J29)*(H$3:H$42&lt;&gt;H29)),-1*SUMPRODUCT((P$3:P$42="")*(O$3:O$42="")*(N$3:N$42="")*(M$3:M$42="P")*(G$3:G$42=G29)*(J$3:J$42&gt;J29)*(H$3:H$42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IF(AND(B29&lt;5,I29="P"),IF(_xlfn.MAXIFS(B:B,G:G,G29)&gt;3,5-B29,_xlfn.MAXIFS(B:B,G:G,G29)+1-B29),"")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$42&lt;&gt;"")*(G$3:G$42=G30)*(J$3:J$42&gt;J30)*(I$3:I$42="P"))+1,IF(O30&lt;&gt;"",SUMPRODUCT((O$3:O$42&lt;&gt;"")*(P$3:P$42="")*(G$3:G$42=G30)*(J$3:J$42&gt;J30)*(I$3:I$42="P"))+SUMPRODUCT((P$3:P$42&lt;&gt;"")*(G$3:G$42=G30)*(I$3:I$42="P"))+1,IF(N30&lt;&gt;"",SUMPRODUCT((N$3:N$42&lt;&gt;"")*(G$3:G$42=G30)*(J$3:J$42&gt;J30)*(I$3:I$42="P"))+1,IF(M30="P",SUMPRODUCT((O$3:O$42&lt;&gt;"")*(P$3:P$42="")*(G$3:G$42=G30)*(I$3:I$42="P"))+SUMPRODUCT((P$3:P$42&lt;&gt;"")*(G$3:G$42=G30)*(I$3:I$42="P"))+SUMPRODUCT((N$3:N$42&lt;&gt;"")*(G$3:G$42=G30)*(I$3:I$42="P"))+SUMPRODUCT((P$3:P$42="")*(O$3:O$42="")*(N$3:N$42="")*(M$3:M$42="P")*(G$3:G$42=G30)*(J$3:J$42&gt;J30)*(I$3:I$42="P"))+IF(H30="L5",SUMPRODUCT((P$3:P$42="")*(O$3:O$42="")*(N$3:N$42="")*(M$3:M$42="P")*(G$3:G$42=G30)*(J$3:J$42&lt;J30)*(H$3:H$42&lt;&gt;H30)*(I$3:I$42="P")),-1*SUMPRODUCT((P$3:P$42="")*(O$3:O$42="")*(N$3:N$42="")*(M$3:M$42="P")*(G$3:G$42=G30)*(J$3:J$42&gt;J30)*(H$3:H$42="L5")*(I$3:I$42="P")))+1,"")))))</f>
        <v/>
      </c>
      <c r="B30" s="1" t="str" cm="1">
        <f t="array" ref="B30">IF(P30&lt;&gt;"",SUMPRODUCT((P$3:P$42&lt;&gt;"")*(G$3:G$42=G30)*(J$3:J$42&gt;J30))+1,IF(O30&lt;&gt;"",SUMPRODUCT((O$3:O$42&lt;&gt;"")*(P$3:P$42="")*(G$3:G$42=G30)*(J$3:J$42&gt;J30))+SUMPRODUCT((P$3:P$42&lt;&gt;"")*(G$3:G$42=G30))+1,IF(N30&lt;&gt;"",SUMPRODUCT((N$3:N$42&lt;&gt;"")*(G$3:G$42=G30)*(J$3:J$42&gt;J30))+1,IF(M30="P",SUMPRODUCT((O$3:O$42&lt;&gt;"")*(P$3:P$42="")*(G$3:G$42=G30))+SUMPRODUCT((P$3:P$42&lt;&gt;"")*(G$3:G$42=G30))+SUMPRODUCT((N$3:N$42&lt;&gt;"")*(G$3:G$42=G30))+SUMPRODUCT((P$3:P$42="")*(O$3:O$42="")*(N$3:N$42="")*(M$3:M$42="P")*(G$3:G$42=G30)*(J$3:J$42&gt;J30))+IF(H30="L5",SUMPRODUCT((P$3:P$42="")*(O$3:O$42="")*(N$3:N$42="")*(M$3:M$42="P")*(G$3:G$42=G30)*(J$3:J$42&lt;J30)*(H$3:H$42&lt;&gt;H30)),-1*SUMPRODUCT((P$3:P$42="")*(O$3:O$42="")*(N$3:N$42="")*(M$3:M$42="P")*(G$3:G$42=G30)*(J$3:J$42&gt;J30)*(H$3:H$42="L5")))+1,""))))</f>
        <v/>
      </c>
      <c r="C30" s="35" t="s">
        <v>453</v>
      </c>
      <c r="D30" t="str">
        <f>IF(E30="","",VLOOKUP(E30,'Coaching Points'!A:B,2,0))</f>
        <v>QC</v>
      </c>
      <c r="E30" s="35" t="s">
        <v>506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IF(AND(B30&lt;5,I30="P"),IF(_xlfn.MAXIFS(B:B,G:G,G30)&gt;3,5-B30,_xlfn.MAXIFS(B:B,G:G,G30)+1-B30),"")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$42&lt;&gt;"")*(G$3:G$42=G31)*(J$3:J$42&gt;J31)*(I$3:I$42="P"))+1,IF(O31&lt;&gt;"",SUMPRODUCT((O$3:O$42&lt;&gt;"")*(P$3:P$42="")*(G$3:G$42=G31)*(J$3:J$42&gt;J31)*(I$3:I$42="P"))+SUMPRODUCT((P$3:P$42&lt;&gt;"")*(G$3:G$42=G31)*(I$3:I$42="P"))+1,IF(N31&lt;&gt;"",SUMPRODUCT((N$3:N$42&lt;&gt;"")*(G$3:G$42=G31)*(J$3:J$42&gt;J31)*(I$3:I$42="P"))+1,IF(M31="P",SUMPRODUCT((O$3:O$42&lt;&gt;"")*(P$3:P$42="")*(G$3:G$42=G31)*(I$3:I$42="P"))+SUMPRODUCT((P$3:P$42&lt;&gt;"")*(G$3:G$42=G31)*(I$3:I$42="P"))+SUMPRODUCT((N$3:N$42&lt;&gt;"")*(G$3:G$42=G31)*(I$3:I$42="P"))+SUMPRODUCT((P$3:P$42="")*(O$3:O$42="")*(N$3:N$42="")*(M$3:M$42="P")*(G$3:G$42=G31)*(J$3:J$42&gt;J31)*(I$3:I$42="P"))+IF(H31="L5",SUMPRODUCT((P$3:P$42="")*(O$3:O$42="")*(N$3:N$42="")*(M$3:M$42="P")*(G$3:G$42=G31)*(J$3:J$42&lt;J31)*(H$3:H$42&lt;&gt;H31)*(I$3:I$42="P")),-1*SUMPRODUCT((P$3:P$42="")*(O$3:O$42="")*(N$3:N$42="")*(M$3:M$42="P")*(G$3:G$42=G31)*(J$3:J$42&gt;J31)*(H$3:H$42="L5")*(I$3:I$42="P")))+1,"")))))</f>
        <v/>
      </c>
      <c r="B31" s="1" t="str" cm="1">
        <f t="array" ref="B31">IF(P31&lt;&gt;"",SUMPRODUCT((P$3:P$42&lt;&gt;"")*(G$3:G$42=G31)*(J$3:J$42&gt;J31))+1,IF(O31&lt;&gt;"",SUMPRODUCT((O$3:O$42&lt;&gt;"")*(P$3:P$42="")*(G$3:G$42=G31)*(J$3:J$42&gt;J31))+SUMPRODUCT((P$3:P$42&lt;&gt;"")*(G$3:G$42=G31))+1,IF(N31&lt;&gt;"",SUMPRODUCT((N$3:N$42&lt;&gt;"")*(G$3:G$42=G31)*(J$3:J$42&gt;J31))+1,IF(M31="P",SUMPRODUCT((O$3:O$42&lt;&gt;"")*(P$3:P$42="")*(G$3:G$42=G31))+SUMPRODUCT((P$3:P$42&lt;&gt;"")*(G$3:G$42=G31))+SUMPRODUCT((N$3:N$42&lt;&gt;"")*(G$3:G$42=G31))+SUMPRODUCT((P$3:P$42="")*(O$3:O$42="")*(N$3:N$42="")*(M$3:M$42="P")*(G$3:G$42=G31)*(J$3:J$42&gt;J31))+IF(H31="L5",SUMPRODUCT((P$3:P$42="")*(O$3:O$42="")*(N$3:N$42="")*(M$3:M$42="P")*(G$3:G$42=G31)*(J$3:J$42&lt;J31)*(H$3:H$42&lt;&gt;H31)),-1*SUMPRODUCT((P$3:P$42="")*(O$3:O$42="")*(N$3:N$42="")*(M$3:M$42="P")*(G$3:G$42=G31)*(J$3:J$42&gt;J31)*(H$3:H$42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IF(AND(B31&lt;5,I31="P"),IF(_xlfn.MAXIFS(B:B,G:G,G31)&gt;3,5-B31,_xlfn.MAXIFS(B:B,G:G,G31)+1-B31),"")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$42&lt;&gt;"")*(G$3:G$42=G32)*(J$3:J$42&gt;J32)*(I$3:I$42="P"))+1,IF(O32&lt;&gt;"",SUMPRODUCT((O$3:O$42&lt;&gt;"")*(P$3:P$42="")*(G$3:G$42=G32)*(J$3:J$42&gt;J32)*(I$3:I$42="P"))+SUMPRODUCT((P$3:P$42&lt;&gt;"")*(G$3:G$42=G32)*(I$3:I$42="P"))+1,IF(N32&lt;&gt;"",SUMPRODUCT((N$3:N$42&lt;&gt;"")*(G$3:G$42=G32)*(J$3:J$42&gt;J32)*(I$3:I$42="P"))+1,IF(M32="P",SUMPRODUCT((O$3:O$42&lt;&gt;"")*(P$3:P$42="")*(G$3:G$42=G32)*(I$3:I$42="P"))+SUMPRODUCT((P$3:P$42&lt;&gt;"")*(G$3:G$42=G32)*(I$3:I$42="P"))+SUMPRODUCT((N$3:N$42&lt;&gt;"")*(G$3:G$42=G32)*(I$3:I$42="P"))+SUMPRODUCT((P$3:P$42="")*(O$3:O$42="")*(N$3:N$42="")*(M$3:M$42="P")*(G$3:G$42=G32)*(J$3:J$42&gt;J32)*(I$3:I$42="P"))+IF(H32="L5",SUMPRODUCT((P$3:P$42="")*(O$3:O$42="")*(N$3:N$42="")*(M$3:M$42="P")*(G$3:G$42=G32)*(J$3:J$42&lt;J32)*(H$3:H$42&lt;&gt;H32)*(I$3:I$42="P")),-1*SUMPRODUCT((P$3:P$42="")*(O$3:O$42="")*(N$3:N$42="")*(M$3:M$42="P")*(G$3:G$42=G32)*(J$3:J$42&gt;J32)*(H$3:H$42="L5")*(I$3:I$42="P")))+1,"")))))</f>
        <v/>
      </c>
      <c r="B32" s="1" t="str" cm="1">
        <f t="array" ref="B32">IF(P32&lt;&gt;"",SUMPRODUCT((P$3:P$42&lt;&gt;"")*(G$3:G$42=G32)*(J$3:J$42&gt;J32))+1,IF(O32&lt;&gt;"",SUMPRODUCT((O$3:O$42&lt;&gt;"")*(P$3:P$42="")*(G$3:G$42=G32)*(J$3:J$42&gt;J32))+SUMPRODUCT((P$3:P$42&lt;&gt;"")*(G$3:G$42=G32))+1,IF(N32&lt;&gt;"",SUMPRODUCT((N$3:N$42&lt;&gt;"")*(G$3:G$42=G32)*(J$3:J$42&gt;J32))+1,IF(M32="P",SUMPRODUCT((O$3:O$42&lt;&gt;"")*(P$3:P$42="")*(G$3:G$42=G32))+SUMPRODUCT((P$3:P$42&lt;&gt;"")*(G$3:G$42=G32))+SUMPRODUCT((N$3:N$42&lt;&gt;"")*(G$3:G$42=G32))+SUMPRODUCT((P$3:P$42="")*(O$3:O$42="")*(N$3:N$42="")*(M$3:M$42="P")*(G$3:G$42=G32)*(J$3:J$42&gt;J32))+IF(H32="L5",SUMPRODUCT((P$3:P$42="")*(O$3:O$42="")*(N$3:N$42="")*(M$3:M$42="P")*(G$3:G$42=G32)*(J$3:J$42&lt;J32)*(H$3:H$42&lt;&gt;H32)),-1*SUMPRODUCT((P$3:P$42="")*(O$3:O$42="")*(N$3:N$42="")*(M$3:M$42="P")*(G$3:G$42=G32)*(J$3:J$42&gt;J32)*(H$3:H$42="L5")))+1,""))))</f>
        <v/>
      </c>
      <c r="C32" s="35" t="s">
        <v>456</v>
      </c>
      <c r="D32" t="str">
        <f>IF(E32="","",VLOOKUP(E32,'Coaching Points'!A:B,2,0))</f>
        <v>ON</v>
      </c>
      <c r="E32" s="35" t="s">
        <v>87</v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 t="s">
        <v>507</v>
      </c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IF(AND(B32&lt;5,I32="P"),IF(_xlfn.MAXIFS(B:B,G:G,G32)&gt;3,5-B32,_xlfn.MAXIFS(B:B,G:G,G32)+1-B32),"")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$42&lt;&gt;"")*(G$3:G$42=G33)*(J$3:J$42&gt;J33)*(I$3:I$42="P"))+1,IF(O33&lt;&gt;"",SUMPRODUCT((O$3:O$42&lt;&gt;"")*(P$3:P$42="")*(G$3:G$42=G33)*(J$3:J$42&gt;J33)*(I$3:I$42="P"))+SUMPRODUCT((P$3:P$42&lt;&gt;"")*(G$3:G$42=G33)*(I$3:I$42="P"))+1,IF(N33&lt;&gt;"",SUMPRODUCT((N$3:N$42&lt;&gt;"")*(G$3:G$42=G33)*(J$3:J$42&gt;J33)*(I$3:I$42="P"))+1,IF(M33="P",SUMPRODUCT((O$3:O$42&lt;&gt;"")*(P$3:P$42="")*(G$3:G$42=G33)*(I$3:I$42="P"))+SUMPRODUCT((P$3:P$42&lt;&gt;"")*(G$3:G$42=G33)*(I$3:I$42="P"))+SUMPRODUCT((N$3:N$42&lt;&gt;"")*(G$3:G$42=G33)*(I$3:I$42="P"))+SUMPRODUCT((P$3:P$42="")*(O$3:O$42="")*(N$3:N$42="")*(M$3:M$42="P")*(G$3:G$42=G33)*(J$3:J$42&gt;J33)*(I$3:I$42="P"))+IF(H33="L5",SUMPRODUCT((P$3:P$42="")*(O$3:O$42="")*(N$3:N$42="")*(M$3:M$42="P")*(G$3:G$42=G33)*(J$3:J$42&lt;J33)*(H$3:H$42&lt;&gt;H33)*(I$3:I$42="P")),-1*SUMPRODUCT((P$3:P$42="")*(O$3:O$42="")*(N$3:N$42="")*(M$3:M$42="P")*(G$3:G$42=G33)*(J$3:J$42&gt;J33)*(H$3:H$42="L5")*(I$3:I$42="P")))+1,"")))))</f>
        <v/>
      </c>
      <c r="B33" s="1" t="str" cm="1">
        <f t="array" ref="B33">IF(P33&lt;&gt;"",SUMPRODUCT((P$3:P$42&lt;&gt;"")*(G$3:G$42=G33)*(J$3:J$42&gt;J33))+1,IF(O33&lt;&gt;"",SUMPRODUCT((O$3:O$42&lt;&gt;"")*(P$3:P$42="")*(G$3:G$42=G33)*(J$3:J$42&gt;J33))+SUMPRODUCT((P$3:P$42&lt;&gt;"")*(G$3:G$42=G33))+1,IF(N33&lt;&gt;"",SUMPRODUCT((N$3:N$42&lt;&gt;"")*(G$3:G$42=G33)*(J$3:J$42&gt;J33))+1,IF(M33="P",SUMPRODUCT((O$3:O$42&lt;&gt;"")*(P$3:P$42="")*(G$3:G$42=G33))+SUMPRODUCT((P$3:P$42&lt;&gt;"")*(G$3:G$42=G33))+SUMPRODUCT((N$3:N$42&lt;&gt;"")*(G$3:G$42=G33))+SUMPRODUCT((P$3:P$42="")*(O$3:O$42="")*(N$3:N$42="")*(M$3:M$42="P")*(G$3:G$42=G33)*(J$3:J$42&gt;J33))+IF(H33="L5",SUMPRODUCT((P$3:P$42="")*(O$3:O$42="")*(N$3:N$42="")*(M$3:M$42="P")*(G$3:G$42=G33)*(J$3:J$42&lt;J33)*(H$3:H$42&lt;&gt;H33)),-1*SUMPRODUCT((P$3:P$42="")*(O$3:O$42="")*(N$3:N$42="")*(M$3:M$42="P")*(G$3:G$42=G33)*(J$3:J$42&gt;J33)*(H$3:H$42="L5")))+1,""))))</f>
        <v/>
      </c>
      <c r="C33" s="35" t="s">
        <v>448</v>
      </c>
      <c r="D33" t="str">
        <f>IF(E33="","",VLOOKUP(E33,'Coaching Points'!A:B,2,0))</f>
        <v>QC</v>
      </c>
      <c r="E33" s="35" t="s">
        <v>134</v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IF(AND(B33&lt;5,I33="P"),IF(_xlfn.MAXIFS(B:B,G:G,G33)&gt;3,5-B33,_xlfn.MAXIFS(B:B,G:G,G33)+1-B33),"")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$42&lt;&gt;"")*(G$3:G$42=G34)*(J$3:J$42&gt;J34)*(I$3:I$42="P"))+1,IF(O34&lt;&gt;"",SUMPRODUCT((O$3:O$42&lt;&gt;"")*(P$3:P$42="")*(G$3:G$42=G34)*(J$3:J$42&gt;J34)*(I$3:I$42="P"))+SUMPRODUCT((P$3:P$42&lt;&gt;"")*(G$3:G$42=G34)*(I$3:I$42="P"))+1,IF(N34&lt;&gt;"",SUMPRODUCT((N$3:N$42&lt;&gt;"")*(G$3:G$42=G34)*(J$3:J$42&gt;J34)*(I$3:I$42="P"))+1,IF(M34="P",SUMPRODUCT((O$3:O$42&lt;&gt;"")*(P$3:P$42="")*(G$3:G$42=G34)*(I$3:I$42="P"))+SUMPRODUCT((P$3:P$42&lt;&gt;"")*(G$3:G$42=G34)*(I$3:I$42="P"))+SUMPRODUCT((N$3:N$42&lt;&gt;"")*(G$3:G$42=G34)*(I$3:I$42="P"))+SUMPRODUCT((P$3:P$42="")*(O$3:O$42="")*(N$3:N$42="")*(M$3:M$42="P")*(G$3:G$42=G34)*(J$3:J$42&gt;J34)*(I$3:I$42="P"))+IF(H34="L5",SUMPRODUCT((P$3:P$42="")*(O$3:O$42="")*(N$3:N$42="")*(M$3:M$42="P")*(G$3:G$42=G34)*(J$3:J$42&lt;J34)*(H$3:H$42&lt;&gt;H34)*(I$3:I$42="P")),-1*SUMPRODUCT((P$3:P$42="")*(O$3:O$42="")*(N$3:N$42="")*(M$3:M$42="P")*(G$3:G$42=G34)*(J$3:J$42&gt;J34)*(H$3:H$42="L5")*(I$3:I$42="P")))+1,"")))))</f>
        <v/>
      </c>
      <c r="B34" s="1" t="str" cm="1">
        <f t="array" ref="B34">IF(P34&lt;&gt;"",SUMPRODUCT((P$3:P$42&lt;&gt;"")*(G$3:G$42=G34)*(J$3:J$42&gt;J34))+1,IF(O34&lt;&gt;"",SUMPRODUCT((O$3:O$42&lt;&gt;"")*(P$3:P$42="")*(G$3:G$42=G34)*(J$3:J$42&gt;J34))+SUMPRODUCT((P$3:P$42&lt;&gt;"")*(G$3:G$42=G34))+1,IF(N34&lt;&gt;"",SUMPRODUCT((N$3:N$42&lt;&gt;"")*(G$3:G$42=G34)*(J$3:J$42&gt;J34))+1,IF(M34="P",SUMPRODUCT((O$3:O$42&lt;&gt;"")*(P$3:P$42="")*(G$3:G$42=G34))+SUMPRODUCT((P$3:P$42&lt;&gt;"")*(G$3:G$42=G34))+SUMPRODUCT((N$3:N$42&lt;&gt;"")*(G$3:G$42=G34))+SUMPRODUCT((P$3:P$42="")*(O$3:O$42="")*(N$3:N$42="")*(M$3:M$42="P")*(G$3:G$42=G34)*(J$3:J$42&gt;J34))+IF(H34="L5",SUMPRODUCT((P$3:P$42="")*(O$3:O$42="")*(N$3:N$42="")*(M$3:M$42="P")*(G$3:G$42=G34)*(J$3:J$42&lt;J34)*(H$3:H$42&lt;&gt;H34)),-1*SUMPRODUCT((P$3:P$42="")*(O$3:O$42="")*(N$3:N$42="")*(M$3:M$42="P")*(G$3:G$42=G34)*(J$3:J$42&gt;J34)*(H$3:H$42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IF(AND(B34&lt;5,I34="P"),IF(_xlfn.MAXIFS(B:B,G:G,G34)&gt;3,5-B34,_xlfn.MAXIFS(B:B,G:G,G34)+1-B34),"")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$42&lt;&gt;"")*(G$3:G$42=G35)*(J$3:J$42&gt;J35)*(I$3:I$42="P"))+1,IF(O35&lt;&gt;"",SUMPRODUCT((O$3:O$42&lt;&gt;"")*(P$3:P$42="")*(G$3:G$42=G35)*(J$3:J$42&gt;J35)*(I$3:I$42="P"))+SUMPRODUCT((P$3:P$42&lt;&gt;"")*(G$3:G$42=G35)*(I$3:I$42="P"))+1,IF(N35&lt;&gt;"",SUMPRODUCT((N$3:N$42&lt;&gt;"")*(G$3:G$42=G35)*(J$3:J$42&gt;J35)*(I$3:I$42="P"))+1,IF(M35="P",SUMPRODUCT((O$3:O$42&lt;&gt;"")*(P$3:P$42="")*(G$3:G$42=G35)*(I$3:I$42="P"))+SUMPRODUCT((P$3:P$42&lt;&gt;"")*(G$3:G$42=G35)*(I$3:I$42="P"))+SUMPRODUCT((N$3:N$42&lt;&gt;"")*(G$3:G$42=G35)*(I$3:I$42="P"))+SUMPRODUCT((P$3:P$42="")*(O$3:O$42="")*(N$3:N$42="")*(M$3:M$42="P")*(G$3:G$42=G35)*(J$3:J$42&gt;J35)*(I$3:I$42="P"))+IF(H35="L5",SUMPRODUCT((P$3:P$42="")*(O$3:O$42="")*(N$3:N$42="")*(M$3:M$42="P")*(G$3:G$42=G35)*(J$3:J$42&lt;J35)*(H$3:H$42&lt;&gt;H35)*(I$3:I$42="P")),-1*SUMPRODUCT((P$3:P$42="")*(O$3:O$42="")*(N$3:N$42="")*(M$3:M$42="P")*(G$3:G$42=G35)*(J$3:J$42&gt;J35)*(H$3:H$42="L5")*(I$3:I$42="P")))+1,"")))))</f>
        <v/>
      </c>
      <c r="B35" s="1" t="str" cm="1">
        <f t="array" ref="B35">IF(P35&lt;&gt;"",SUMPRODUCT((P$3:P$42&lt;&gt;"")*(G$3:G$42=G35)*(J$3:J$42&gt;J35))+1,IF(O35&lt;&gt;"",SUMPRODUCT((O$3:O$42&lt;&gt;"")*(P$3:P$42="")*(G$3:G$42=G35)*(J$3:J$42&gt;J35))+SUMPRODUCT((P$3:P$42&lt;&gt;"")*(G$3:G$42=G35))+1,IF(N35&lt;&gt;"",SUMPRODUCT((N$3:N$42&lt;&gt;"")*(G$3:G$42=G35)*(J$3:J$42&gt;J35))+1,IF(M35="P",SUMPRODUCT((O$3:O$42&lt;&gt;"")*(P$3:P$42="")*(G$3:G$42=G35))+SUMPRODUCT((P$3:P$42&lt;&gt;"")*(G$3:G$42=G35))+SUMPRODUCT((N$3:N$42&lt;&gt;"")*(G$3:G$42=G35))+SUMPRODUCT((P$3:P$42="")*(O$3:O$42="")*(N$3:N$42="")*(M$3:M$42="P")*(G$3:G$42=G35)*(J$3:J$42&gt;J35))+IF(H35="L5",SUMPRODUCT((P$3:P$42="")*(O$3:O$42="")*(N$3:N$42="")*(M$3:M$42="P")*(G$3:G$42=G35)*(J$3:J$42&lt;J35)*(H$3:H$42&lt;&gt;H35)),-1*SUMPRODUCT((P$3:P$42="")*(O$3:O$42="")*(N$3:N$42="")*(M$3:M$42="P")*(G$3:G$42=G35)*(J$3:J$42&gt;J35)*(H$3:H$42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IF(AND(B35&lt;5,I35="P"),IF(_xlfn.MAXIFS(B:B,G:G,G35)&gt;3,5-B35,_xlfn.MAXIFS(B:B,G:G,G35)+1-B35),"")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$42&lt;&gt;"")*(G$3:G$42=G36)*(J$3:J$42&gt;J36)*(I$3:I$42="P"))+1,IF(O36&lt;&gt;"",SUMPRODUCT((O$3:O$42&lt;&gt;"")*(P$3:P$42="")*(G$3:G$42=G36)*(J$3:J$42&gt;J36)*(I$3:I$42="P"))+SUMPRODUCT((P$3:P$42&lt;&gt;"")*(G$3:G$42=G36)*(I$3:I$42="P"))+1,IF(N36&lt;&gt;"",SUMPRODUCT((N$3:N$42&lt;&gt;"")*(G$3:G$42=G36)*(J$3:J$42&gt;J36)*(I$3:I$42="P"))+1,IF(M36="P",SUMPRODUCT((O$3:O$42&lt;&gt;"")*(P$3:P$42="")*(G$3:G$42=G36)*(I$3:I$42="P"))+SUMPRODUCT((P$3:P$42&lt;&gt;"")*(G$3:G$42=G36)*(I$3:I$42="P"))+SUMPRODUCT((N$3:N$42&lt;&gt;"")*(G$3:G$42=G36)*(I$3:I$42="P"))+SUMPRODUCT((P$3:P$42="")*(O$3:O$42="")*(N$3:N$42="")*(M$3:M$42="P")*(G$3:G$42=G36)*(J$3:J$42&gt;J36)*(I$3:I$42="P"))+IF(H36="L5",SUMPRODUCT((P$3:P$42="")*(O$3:O$42="")*(N$3:N$42="")*(M$3:M$42="P")*(G$3:G$42=G36)*(J$3:J$42&lt;J36)*(H$3:H$42&lt;&gt;H36)*(I$3:I$42="P")),-1*SUMPRODUCT((P$3:P$42="")*(O$3:O$42="")*(N$3:N$42="")*(M$3:M$42="P")*(G$3:G$42=G36)*(J$3:J$42&gt;J36)*(H$3:H$42="L5")*(I$3:I$42="P")))+1,"")))))</f>
        <v/>
      </c>
      <c r="B36" s="1" t="str" cm="1">
        <f t="array" ref="B36">IF(P36&lt;&gt;"",SUMPRODUCT((P$3:P$42&lt;&gt;"")*(G$3:G$42=G36)*(J$3:J$42&gt;J36))+1,IF(O36&lt;&gt;"",SUMPRODUCT((O$3:O$42&lt;&gt;"")*(P$3:P$42="")*(G$3:G$42=G36)*(J$3:J$42&gt;J36))+SUMPRODUCT((P$3:P$42&lt;&gt;"")*(G$3:G$42=G36))+1,IF(N36&lt;&gt;"",SUMPRODUCT((N$3:N$42&lt;&gt;"")*(G$3:G$42=G36)*(J$3:J$42&gt;J36))+1,IF(M36="P",SUMPRODUCT((O$3:O$42&lt;&gt;"")*(P$3:P$42="")*(G$3:G$42=G36))+SUMPRODUCT((P$3:P$42&lt;&gt;"")*(G$3:G$42=G36))+SUMPRODUCT((N$3:N$42&lt;&gt;"")*(G$3:G$42=G36))+SUMPRODUCT((P$3:P$42="")*(O$3:O$42="")*(N$3:N$42="")*(M$3:M$42="P")*(G$3:G$42=G36)*(J$3:J$42&gt;J36))+IF(H36="L5",SUMPRODUCT((P$3:P$42="")*(O$3:O$42="")*(N$3:N$42="")*(M$3:M$42="P")*(G$3:G$42=G36)*(J$3:J$42&lt;J36)*(H$3:H$42&lt;&gt;H36)),-1*SUMPRODUCT((P$3:P$42="")*(O$3:O$42="")*(N$3:N$42="")*(M$3:M$42="P")*(G$3:G$42=G36)*(J$3:J$42&gt;J36)*(H$3:H$42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IF(AND(B36&lt;5,I36="P"),IF(_xlfn.MAXIFS(B:B,G:G,G36)&gt;3,5-B36,_xlfn.MAXIFS(B:B,G:G,G36)+1-B36),"")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$42&lt;&gt;"")*(G$3:G$42=G37)*(J$3:J$42&gt;J37)*(I$3:I$42="P"))+1,IF(O37&lt;&gt;"",SUMPRODUCT((O$3:O$42&lt;&gt;"")*(P$3:P$42="")*(G$3:G$42=G37)*(J$3:J$42&gt;J37)*(I$3:I$42="P"))+SUMPRODUCT((P$3:P$42&lt;&gt;"")*(G$3:G$42=G37)*(I$3:I$42="P"))+1,IF(N37&lt;&gt;"",SUMPRODUCT((N$3:N$42&lt;&gt;"")*(G$3:G$42=G37)*(J$3:J$42&gt;J37)*(I$3:I$42="P"))+1,IF(M37="P",SUMPRODUCT((O$3:O$42&lt;&gt;"")*(P$3:P$42="")*(G$3:G$42=G37)*(I$3:I$42="P"))+SUMPRODUCT((P$3:P$42&lt;&gt;"")*(G$3:G$42=G37)*(I$3:I$42="P"))+SUMPRODUCT((N$3:N$42&lt;&gt;"")*(G$3:G$42=G37)*(I$3:I$42="P"))+SUMPRODUCT((P$3:P$42="")*(O$3:O$42="")*(N$3:N$42="")*(M$3:M$42="P")*(G$3:G$42=G37)*(J$3:J$42&gt;J37)*(I$3:I$42="P"))+IF(H37="L5",SUMPRODUCT((P$3:P$42="")*(O$3:O$42="")*(N$3:N$42="")*(M$3:M$42="P")*(G$3:G$42=G37)*(J$3:J$42&lt;J37)*(H$3:H$42&lt;&gt;H37)*(I$3:I$42="P")),-1*SUMPRODUCT((P$3:P$42="")*(O$3:O$42="")*(N$3:N$42="")*(M$3:M$42="P")*(G$3:G$42=G37)*(J$3:J$42&gt;J37)*(H$3:H$42="L5")*(I$3:I$42="P")))+1,"")))))</f>
        <v/>
      </c>
      <c r="B37" s="1" t="str" cm="1">
        <f t="array" ref="B37">IF(P37&lt;&gt;"",SUMPRODUCT((P$3:P$42&lt;&gt;"")*(G$3:G$42=G37)*(J$3:J$42&gt;J37))+1,IF(O37&lt;&gt;"",SUMPRODUCT((O$3:O$42&lt;&gt;"")*(P$3:P$42="")*(G$3:G$42=G37)*(J$3:J$42&gt;J37))+SUMPRODUCT((P$3:P$42&lt;&gt;"")*(G$3:G$42=G37))+1,IF(N37&lt;&gt;"",SUMPRODUCT((N$3:N$42&lt;&gt;"")*(G$3:G$42=G37)*(J$3:J$42&gt;J37))+1,IF(M37="P",SUMPRODUCT((O$3:O$42&lt;&gt;"")*(P$3:P$42="")*(G$3:G$42=G37))+SUMPRODUCT((P$3:P$42&lt;&gt;"")*(G$3:G$42=G37))+SUMPRODUCT((N$3:N$42&lt;&gt;"")*(G$3:G$42=G37))+SUMPRODUCT((P$3:P$42="")*(O$3:O$42="")*(N$3:N$42="")*(M$3:M$42="P")*(G$3:G$42=G37)*(J$3:J$42&gt;J37))+IF(H37="L5",SUMPRODUCT((P$3:P$42="")*(O$3:O$42="")*(N$3:N$42="")*(M$3:M$42="P")*(G$3:G$42=G37)*(J$3:J$42&lt;J37)*(H$3:H$42&lt;&gt;H37)),-1*SUMPRODUCT((P$3:P$42="")*(O$3:O$42="")*(N$3:N$42="")*(M$3:M$42="P")*(G$3:G$42=G37)*(J$3:J$42&gt;J37)*(H$3:H$42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IF(AND(B37&lt;5,I37="P"),IF(_xlfn.MAXIFS(B:B,G:G,G37)&gt;3,5-B37,_xlfn.MAXIFS(B:B,G:G,G37)+1-B37),"")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$42&lt;&gt;"")*(G$3:G$42=G38)*(J$3:J$42&gt;J38)*(I$3:I$42="P"))+1,IF(O38&lt;&gt;"",SUMPRODUCT((O$3:O$42&lt;&gt;"")*(P$3:P$42="")*(G$3:G$42=G38)*(J$3:J$42&gt;J38)*(I$3:I$42="P"))+SUMPRODUCT((P$3:P$42&lt;&gt;"")*(G$3:G$42=G38)*(I$3:I$42="P"))+1,IF(N38&lt;&gt;"",SUMPRODUCT((N$3:N$42&lt;&gt;"")*(G$3:G$42=G38)*(J$3:J$42&gt;J38)*(I$3:I$42="P"))+1,IF(M38="P",SUMPRODUCT((O$3:O$42&lt;&gt;"")*(P$3:P$42="")*(G$3:G$42=G38)*(I$3:I$42="P"))+SUMPRODUCT((P$3:P$42&lt;&gt;"")*(G$3:G$42=G38)*(I$3:I$42="P"))+SUMPRODUCT((N$3:N$42&lt;&gt;"")*(G$3:G$42=G38)*(I$3:I$42="P"))+SUMPRODUCT((P$3:P$42="")*(O$3:O$42="")*(N$3:N$42="")*(M$3:M$42="P")*(G$3:G$42=G38)*(J$3:J$42&gt;J38)*(I$3:I$42="P"))+IF(H38="L5",SUMPRODUCT((P$3:P$42="")*(O$3:O$42="")*(N$3:N$42="")*(M$3:M$42="P")*(G$3:G$42=G38)*(J$3:J$42&lt;J38)*(H$3:H$42&lt;&gt;H38)*(I$3:I$42="P")),-1*SUMPRODUCT((P$3:P$42="")*(O$3:O$42="")*(N$3:N$42="")*(M$3:M$42="P")*(G$3:G$42=G38)*(J$3:J$42&gt;J38)*(H$3:H$42="L5")*(I$3:I$42="P")))+1,"")))))</f>
        <v/>
      </c>
      <c r="B38" s="1" t="str" cm="1">
        <f t="array" ref="B38">IF(P38&lt;&gt;"",SUMPRODUCT((P$3:P$42&lt;&gt;"")*(G$3:G$42=G38)*(J$3:J$42&gt;J38))+1,IF(O38&lt;&gt;"",SUMPRODUCT((O$3:O$42&lt;&gt;"")*(P$3:P$42="")*(G$3:G$42=G38)*(J$3:J$42&gt;J38))+SUMPRODUCT((P$3:P$42&lt;&gt;"")*(G$3:G$42=G38))+1,IF(N38&lt;&gt;"",SUMPRODUCT((N$3:N$42&lt;&gt;"")*(G$3:G$42=G38)*(J$3:J$42&gt;J38))+1,IF(M38="P",SUMPRODUCT((O$3:O$42&lt;&gt;"")*(P$3:P$42="")*(G$3:G$42=G38))+SUMPRODUCT((P$3:P$42&lt;&gt;"")*(G$3:G$42=G38))+SUMPRODUCT((N$3:N$42&lt;&gt;"")*(G$3:G$42=G38))+SUMPRODUCT((P$3:P$42="")*(O$3:O$42="")*(N$3:N$42="")*(M$3:M$42="P")*(G$3:G$42=G38)*(J$3:J$42&gt;J38))+IF(H38="L5",SUMPRODUCT((P$3:P$42="")*(O$3:O$42="")*(N$3:N$42="")*(M$3:M$42="P")*(G$3:G$42=G38)*(J$3:J$42&lt;J38)*(H$3:H$42&lt;&gt;H38)),-1*SUMPRODUCT((P$3:P$42="")*(O$3:O$42="")*(N$3:N$42="")*(M$3:M$42="P")*(G$3:G$42=G38)*(J$3:J$42&gt;J38)*(H$3:H$42="L5")))+1,""))))</f>
        <v/>
      </c>
      <c r="C38" s="35" t="s">
        <v>449</v>
      </c>
      <c r="D38" t="str">
        <f>IF(E38="","",VLOOKUP(E38,'Coaching Points'!A:B,2,0))</f>
        <v>NS</v>
      </c>
      <c r="E38" s="35" t="s">
        <v>86</v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IF(AND(B38&lt;5,I38="P"),IF(_xlfn.MAXIFS(B:B,G:G,G38)&gt;3,5-B38,_xlfn.MAXIFS(B:B,G:G,G38)+1-B38),"")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cm="1">
        <f t="array" ref="A39">IF(I39="","",IF(P39&lt;&gt;"",SUMPRODUCT((P$3:P$42&lt;&gt;"")*(G$3:G$42=G39)*(J$3:J$42&gt;J39)*(I$3:I$42="P"))+1,IF(O39&lt;&gt;"",SUMPRODUCT((O$3:O$42&lt;&gt;"")*(P$3:P$42="")*(G$3:G$42=G39)*(J$3:J$42&gt;J39)*(I$3:I$42="P"))+SUMPRODUCT((P$3:P$42&lt;&gt;"")*(G$3:G$42=G39)*(I$3:I$42="P"))+1,IF(N39&lt;&gt;"",SUMPRODUCT((N$3:N$42&lt;&gt;"")*(G$3:G$42=G39)*(J$3:J$42&gt;J39)*(I$3:I$42="P"))+1,IF(M39="P",SUMPRODUCT((O$3:O$42&lt;&gt;"")*(P$3:P$42="")*(G$3:G$42=G39)*(I$3:I$42="P"))+SUMPRODUCT((P$3:P$42&lt;&gt;"")*(G$3:G$42=G39)*(I$3:I$42="P"))+SUMPRODUCT((N$3:N$42&lt;&gt;"")*(G$3:G$42=G39)*(I$3:I$42="P"))+SUMPRODUCT((P$3:P$42="")*(O$3:O$42="")*(N$3:N$42="")*(M$3:M$42="P")*(G$3:G$42=G39)*(J$3:J$42&gt;J39)*(I$3:I$42="P"))+IF(H39="L5",SUMPRODUCT((P$3:P$42="")*(O$3:O$42="")*(N$3:N$42="")*(M$3:M$42="P")*(G$3:G$42=G39)*(J$3:J$42&lt;J39)*(H$3:H$42&lt;&gt;H39)*(I$3:I$42="P")),-1*SUMPRODUCT((P$3:P$42="")*(O$3:O$42="")*(N$3:N$42="")*(M$3:M$42="P")*(G$3:G$42=G39)*(J$3:J$42&gt;J39)*(H$3:H$42="L5")*(I$3:I$42="P")))+1,"")))))</f>
        <v>1</v>
      </c>
      <c r="B39" s="1" cm="1">
        <f t="array" ref="B39">IF(P39&lt;&gt;"",SUMPRODUCT((P$3:P$42&lt;&gt;"")*(G$3:G$42=G39)*(J$3:J$42&gt;J39))+1,IF(O39&lt;&gt;"",SUMPRODUCT((O$3:O$42&lt;&gt;"")*(P$3:P$42="")*(G$3:G$42=G39)*(J$3:J$42&gt;J39))+SUMPRODUCT((P$3:P$42&lt;&gt;"")*(G$3:G$42=G39))+1,IF(N39&lt;&gt;"",SUMPRODUCT((N$3:N$42&lt;&gt;"")*(G$3:G$42=G39)*(J$3:J$42&gt;J39))+1,IF(M39="P",SUMPRODUCT((O$3:O$42&lt;&gt;"")*(P$3:P$42="")*(G$3:G$42=G39))+SUMPRODUCT((P$3:P$42&lt;&gt;"")*(G$3:G$42=G39))+SUMPRODUCT((N$3:N$42&lt;&gt;"")*(G$3:G$42=G39))+SUMPRODUCT((P$3:P$42="")*(O$3:O$42="")*(N$3:N$42="")*(M$3:M$42="P")*(G$3:G$42=G39)*(J$3:J$42&gt;J39))+IF(H39="L5",SUMPRODUCT((P$3:P$42="")*(O$3:O$42="")*(N$3:N$42="")*(M$3:M$42="P")*(G$3:G$42=G39)*(J$3:J$42&lt;J39)*(H$3:H$42&lt;&gt;H39)),-1*SUMPRODUCT((P$3:P$42="")*(O$3:O$42="")*(N$3:N$42="")*(M$3:M$42="P")*(G$3:G$42=G39)*(J$3:J$42&gt;J39)*(H$3:H$42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 t="s">
        <v>507</v>
      </c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>
        <f>IF(AND(B39&lt;5,I39="P"),IF(_xlfn.MAXIFS(B:B,G:G,G39)&gt;3,5-B39,_xlfn.MAXIFS(B:B,G:G,G39)+1-B39),"")</f>
        <v>1</v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$42&lt;&gt;"")*(G$3:G$42=G40)*(J$3:J$42&gt;J40)*(I$3:I$42="P"))+1,IF(O40&lt;&gt;"",SUMPRODUCT((O$3:O$42&lt;&gt;"")*(P$3:P$42="")*(G$3:G$42=G40)*(J$3:J$42&gt;J40)*(I$3:I$42="P"))+SUMPRODUCT((P$3:P$42&lt;&gt;"")*(G$3:G$42=G40)*(I$3:I$42="P"))+1,IF(N40&lt;&gt;"",SUMPRODUCT((N$3:N$42&lt;&gt;"")*(G$3:G$42=G40)*(J$3:J$42&gt;J40)*(I$3:I$42="P"))+1,IF(M40="P",SUMPRODUCT((O$3:O$42&lt;&gt;"")*(P$3:P$42="")*(G$3:G$42=G40)*(I$3:I$42="P"))+SUMPRODUCT((P$3:P$42&lt;&gt;"")*(G$3:G$42=G40)*(I$3:I$42="P"))+SUMPRODUCT((N$3:N$42&lt;&gt;"")*(G$3:G$42=G40)*(I$3:I$42="P"))+SUMPRODUCT((P$3:P$42="")*(O$3:O$42="")*(N$3:N$42="")*(M$3:M$42="P")*(G$3:G$42=G40)*(J$3:J$42&gt;J40)*(I$3:I$42="P"))+IF(H40="L5",SUMPRODUCT((P$3:P$42="")*(O$3:O$42="")*(N$3:N$42="")*(M$3:M$42="P")*(G$3:G$42=G40)*(J$3:J$42&lt;J40)*(H$3:H$42&lt;&gt;H40)*(I$3:I$42="P")),-1*SUMPRODUCT((P$3:P$42="")*(O$3:O$42="")*(N$3:N$42="")*(M$3:M$42="P")*(G$3:G$42=G40)*(J$3:J$42&gt;J40)*(H$3:H$42="L5")*(I$3:I$42="P")))+1,"")))))</f>
        <v/>
      </c>
      <c r="B40" s="1" t="str" cm="1">
        <f t="array" ref="B40">IF(P40&lt;&gt;"",SUMPRODUCT((P$3:P$42&lt;&gt;"")*(G$3:G$42=G40)*(J$3:J$42&gt;J40))+1,IF(O40&lt;&gt;"",SUMPRODUCT((O$3:O$42&lt;&gt;"")*(P$3:P$42="")*(G$3:G$42=G40)*(J$3:J$42&gt;J40))+SUMPRODUCT((P$3:P$42&lt;&gt;"")*(G$3:G$42=G40))+1,IF(N40&lt;&gt;"",SUMPRODUCT((N$3:N$42&lt;&gt;"")*(G$3:G$42=G40)*(J$3:J$42&gt;J40))+1,IF(M40="P",SUMPRODUCT((O$3:O$42&lt;&gt;"")*(P$3:P$42="")*(G$3:G$42=G40))+SUMPRODUCT((P$3:P$42&lt;&gt;"")*(G$3:G$42=G40))+SUMPRODUCT((N$3:N$42&lt;&gt;"")*(G$3:G$42=G40))+SUMPRODUCT((P$3:P$42="")*(O$3:O$42="")*(N$3:N$42="")*(M$3:M$42="P")*(G$3:G$42=G40)*(J$3:J$42&gt;J40))+IF(H40="L5",SUMPRODUCT((P$3:P$42="")*(O$3:O$42="")*(N$3:N$42="")*(M$3:M$42="P")*(G$3:G$42=G40)*(J$3:J$42&lt;J40)*(H$3:H$42&lt;&gt;H40)),-1*SUMPRODUCT((P$3:P$42="")*(O$3:O$42="")*(N$3:N$42="")*(M$3:M$42="P")*(G$3:G$42=G40)*(J$3:J$42&gt;J40)*(H$3:H$42="L5")))+1,""))))</f>
        <v/>
      </c>
      <c r="C40" s="35" t="s">
        <v>136</v>
      </c>
      <c r="D40" t="str">
        <f>IF(E40="","",VLOOKUP(E40,'Coaching Points'!A:B,2,0))</f>
        <v>BC</v>
      </c>
      <c r="E40" s="35" t="s">
        <v>60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76.300003660000016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IF(AND(B40&lt;5,I40="P"),IF(_xlfn.MAXIFS(B:B,G:G,G40)&gt;3,5-B40,_xlfn.MAXIFS(B:B,G:G,G40)+1-B40),"")</f>
        <v/>
      </c>
      <c r="R40" s="4">
        <f>MAX(T40-IF(OR(H40="L6"),V40,0),W40-IF(OR(H40="L6"),Y40,0),Z40-IF(OR(H40="L6"),AB40,0),AC40-IF(OR(H40="L6"),AE40,0))</f>
        <v>39.700000000000003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36.6</v>
      </c>
      <c r="T40" s="32">
        <v>36.299999999999997</v>
      </c>
      <c r="U40" s="37">
        <v>4.2</v>
      </c>
      <c r="V40" s="37">
        <v>0</v>
      </c>
      <c r="W40" s="33">
        <v>39.700000000000003</v>
      </c>
      <c r="X40" s="37">
        <v>5.7</v>
      </c>
      <c r="Y40" s="37">
        <v>0</v>
      </c>
      <c r="Z40" s="32">
        <v>34.799999999999997</v>
      </c>
      <c r="AA40" s="37">
        <v>4.7</v>
      </c>
      <c r="AB40" s="37">
        <v>0</v>
      </c>
      <c r="AC40" s="33">
        <v>36.6</v>
      </c>
      <c r="AD40" s="37">
        <v>4.4000000000000004</v>
      </c>
      <c r="AE40" s="37">
        <v>0</v>
      </c>
    </row>
    <row r="41" spans="1:31" x14ac:dyDescent="0.2">
      <c r="A41" s="1" t="str" cm="1">
        <f t="array" ref="A41">IF(I41="","",IF(P41&lt;&gt;"",SUMPRODUCT((P$3:P$42&lt;&gt;"")*(G$3:G$42=G41)*(J$3:J$42&gt;J41)*(I$3:I$42="P"))+1,IF(O41&lt;&gt;"",SUMPRODUCT((O$3:O$42&lt;&gt;"")*(P$3:P$42="")*(G$3:G$42=G41)*(J$3:J$42&gt;J41)*(I$3:I$42="P"))+SUMPRODUCT((P$3:P$42&lt;&gt;"")*(G$3:G$42=G41)*(I$3:I$42="P"))+1,IF(N41&lt;&gt;"",SUMPRODUCT((N$3:N$42&lt;&gt;"")*(G$3:G$42=G41)*(J$3:J$42&gt;J41)*(I$3:I$42="P"))+1,IF(M41="P",SUMPRODUCT((O$3:O$42&lt;&gt;"")*(P$3:P$42="")*(G$3:G$42=G41)*(I$3:I$42="P"))+SUMPRODUCT((P$3:P$42&lt;&gt;"")*(G$3:G$42=G41)*(I$3:I$42="P"))+SUMPRODUCT((N$3:N$42&lt;&gt;"")*(G$3:G$42=G41)*(I$3:I$42="P"))+SUMPRODUCT((P$3:P$42="")*(O$3:O$42="")*(N$3:N$42="")*(M$3:M$42="P")*(G$3:G$42=G41)*(J$3:J$42&gt;J41)*(I$3:I$42="P"))+IF(H41="L5",SUMPRODUCT((P$3:P$42="")*(O$3:O$42="")*(N$3:N$42="")*(M$3:M$42="P")*(G$3:G$42=G41)*(J$3:J$42&lt;J41)*(H$3:H$42&lt;&gt;H41)*(I$3:I$42="P")),-1*SUMPRODUCT((P$3:P$42="")*(O$3:O$42="")*(N$3:N$42="")*(M$3:M$42="P")*(G$3:G$42=G41)*(J$3:J$42&gt;J41)*(H$3:H$42="L5")*(I$3:I$42="P")))+1,"")))))</f>
        <v/>
      </c>
      <c r="B41" s="1" t="str" cm="1">
        <f t="array" ref="B41">IF(P41&lt;&gt;"",SUMPRODUCT((P$3:P$42&lt;&gt;"")*(G$3:G$42=G41)*(J$3:J$42&gt;J41))+1,IF(O41&lt;&gt;"",SUMPRODUCT((O$3:O$42&lt;&gt;"")*(P$3:P$42="")*(G$3:G$42=G41)*(J$3:J$42&gt;J41))+SUMPRODUCT((P$3:P$42&lt;&gt;"")*(G$3:G$42=G41))+1,IF(N41&lt;&gt;"",SUMPRODUCT((N$3:N$42&lt;&gt;"")*(G$3:G$42=G41)*(J$3:J$42&gt;J41))+1,IF(M41="P",SUMPRODUCT((O$3:O$42&lt;&gt;"")*(P$3:P$42="")*(G$3:G$42=G41))+SUMPRODUCT((P$3:P$42&lt;&gt;"")*(G$3:G$42=G41))+SUMPRODUCT((N$3:N$42&lt;&gt;"")*(G$3:G$42=G41))+SUMPRODUCT((P$3:P$42="")*(O$3:O$42="")*(N$3:N$42="")*(M$3:M$42="P")*(G$3:G$42=G41)*(J$3:J$42&gt;J41))+IF(H41="L5",SUMPRODUCT((P$3:P$42="")*(O$3:O$42="")*(N$3:N$42="")*(M$3:M$42="P")*(G$3:G$42=G41)*(J$3:J$42&lt;J41)*(H$3:H$42&lt;&gt;H41)),-1*SUMPRODUCT((P$3:P$42="")*(O$3:O$42="")*(N$3:N$42="")*(M$3:M$42="P")*(G$3:G$42=G41)*(J$3:J$42&gt;J41)*(H$3:H$42="L5")))+1,""))))</f>
        <v/>
      </c>
      <c r="C41" s="35" t="s">
        <v>247</v>
      </c>
      <c r="D41" t="str">
        <f>IF(E41="","",VLOOKUP(E41,'Coaching Points'!A:B,2,0))</f>
        <v>AB</v>
      </c>
      <c r="E41" s="35" t="s">
        <v>28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74.5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IF(AND(B41&lt;5,I41="P"),IF(_xlfn.MAXIFS(B:B,G:G,G41)&gt;3,5-B41,_xlfn.MAXIFS(B:B,G:G,G41)+1-B41),"")</f>
        <v/>
      </c>
      <c r="R41" s="4">
        <f>MAX(T41-IF(OR(H41="L6"),V41,0),W41-IF(OR(H41="L6"),Y41,0),Z41-IF(OR(H41="L6"),AB41,0),AC41-IF(OR(H41="L6"),AE41,0))</f>
        <v>37.6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36.9</v>
      </c>
      <c r="T41" s="32">
        <v>36.9</v>
      </c>
      <c r="U41" s="37">
        <v>4.3000000000000007</v>
      </c>
      <c r="V41" s="37">
        <v>0</v>
      </c>
      <c r="W41" s="33">
        <v>37.6</v>
      </c>
      <c r="X41" s="37">
        <v>4.3000000000000007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$42&lt;&gt;"")*(G$3:G$42=G42)*(J$3:J$42&gt;J42)*(I$3:I$42="P"))+1,IF(O42&lt;&gt;"",SUMPRODUCT((O$3:O$42&lt;&gt;"")*(P$3:P$42="")*(G$3:G$42=G42)*(J$3:J$42&gt;J42)*(I$3:I$42="P"))+SUMPRODUCT((P$3:P$42&lt;&gt;"")*(G$3:G$42=G42)*(I$3:I$42="P"))+1,IF(N42&lt;&gt;"",SUMPRODUCT((N$3:N$42&lt;&gt;"")*(G$3:G$42=G42)*(J$3:J$42&gt;J42)*(I$3:I$42="P"))+1,IF(M42="P",SUMPRODUCT((O$3:O$42&lt;&gt;"")*(P$3:P$42="")*(G$3:G$42=G42)*(I$3:I$42="P"))+SUMPRODUCT((P$3:P$42&lt;&gt;"")*(G$3:G$42=G42)*(I$3:I$42="P"))+SUMPRODUCT((N$3:N$42&lt;&gt;"")*(G$3:G$42=G42)*(I$3:I$42="P"))+SUMPRODUCT((P$3:P$42="")*(O$3:O$42="")*(N$3:N$42="")*(M$3:M$42="P")*(G$3:G$42=G42)*(J$3:J$42&gt;J42)*(I$3:I$42="P"))+IF(H42="L5",SUMPRODUCT((P$3:P$42="")*(O$3:O$42="")*(N$3:N$42="")*(M$3:M$42="P")*(G$3:G$42=G42)*(J$3:J$42&lt;J42)*(H$3:H$42&lt;&gt;H42)*(I$3:I$42="P")),-1*SUMPRODUCT((P$3:P$42="")*(O$3:O$42="")*(N$3:N$42="")*(M$3:M$42="P")*(G$3:G$42=G42)*(J$3:J$42&gt;J42)*(H$3:H$42="L5")*(I$3:I$42="P")))+1,"")))))</f>
        <v/>
      </c>
      <c r="B42" s="1" t="str" cm="1">
        <f t="array" ref="B42">IF(P42&lt;&gt;"",SUMPRODUCT((P$3:P$42&lt;&gt;"")*(G$3:G$42=G42)*(J$3:J$42&gt;J42))+1,IF(O42&lt;&gt;"",SUMPRODUCT((O$3:O$42&lt;&gt;"")*(P$3:P$42="")*(G$3:G$42=G42)*(J$3:J$42&gt;J42))+SUMPRODUCT((P$3:P$42&lt;&gt;"")*(G$3:G$42=G42))+1,IF(N42&lt;&gt;"",SUMPRODUCT((N$3:N$42&lt;&gt;"")*(G$3:G$42=G42)*(J$3:J$42&gt;J42))+1,IF(M42="P",SUMPRODUCT((O$3:O$42&lt;&gt;"")*(P$3:P$42="")*(G$3:G$42=G42))+SUMPRODUCT((P$3:P$42&lt;&gt;"")*(G$3:G$42=G42))+SUMPRODUCT((N$3:N$42&lt;&gt;"")*(G$3:G$42=G42))+SUMPRODUCT((P$3:P$42="")*(O$3:O$42="")*(N$3:N$42="")*(M$3:M$42="P")*(G$3:G$42=G42)*(J$3:J$42&gt;J42))+IF(H42="L5",SUMPRODUCT((P$3:P$42="")*(O$3:O$42="")*(N$3:N$42="")*(M$3:M$42="P")*(G$3:G$42=G42)*(J$3:J$42&lt;J42)*(H$3:H$42&lt;&gt;H42)),-1*SUMPRODUCT((P$3:P$42="")*(O$3:O$42="")*(N$3:N$42="")*(M$3:M$42="P")*(G$3:G$42=G42)*(J$3:J$42&gt;J42)*(H$3:H$42="L5")))+1,""))))</f>
        <v/>
      </c>
      <c r="C42" s="35" t="s">
        <v>187</v>
      </c>
      <c r="D42" t="str">
        <f>IF(E42="","",VLOOKUP(E42,'Coaching Points'!A:B,2,0))</f>
        <v>BC</v>
      </c>
      <c r="E42" s="35" t="s">
        <v>40</v>
      </c>
      <c r="F42" s="34">
        <v>2013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11-12</v>
      </c>
      <c r="H42" s="36" t="s">
        <v>214</v>
      </c>
      <c r="I42" s="40"/>
      <c r="J42" s="4">
        <f>R42+S42+IF(OR(H42="Junior",H42="Senior"),0.0002,IF(OR(H42="L7",H42="L6"),0.0001,0))+MAX(Z42,AC42)*0.0000001</f>
        <v>70.800003590000003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>P</v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IF(AND(B42&lt;5,I42="P"),IF(_xlfn.MAXIFS(B:B,G:G,G42)&gt;3,5-B42,_xlfn.MAXIFS(B:B,G:G,G42)+1-B42),"")</f>
        <v/>
      </c>
      <c r="R42" s="4">
        <f>MAX(T42-IF(OR(H42="L6"),V42,0),W42-IF(OR(H42="L6"),Y42,0),Z42-IF(OR(H42="L6"),AB42,0),AC42-IF(OR(H42="L6"),AE42,0))</f>
        <v>35.9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34.9</v>
      </c>
      <c r="T42" s="32"/>
      <c r="U42" s="37"/>
      <c r="V42" s="37"/>
      <c r="W42" s="33"/>
      <c r="X42" s="37"/>
      <c r="Y42" s="37"/>
      <c r="Z42" s="32">
        <v>35.9</v>
      </c>
      <c r="AA42" s="37">
        <v>5.8000000000000007</v>
      </c>
      <c r="AB42" s="37">
        <v>0</v>
      </c>
      <c r="AC42" s="33">
        <v>34.9</v>
      </c>
      <c r="AD42" s="37">
        <v>4.9000000000000004</v>
      </c>
      <c r="AE42" s="37">
        <v>0</v>
      </c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2">
      <sortCondition descending="1" ref="G1:G43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>1</v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2</v>
      </c>
      <c r="C3" s="35" t="s">
        <v>290</v>
      </c>
      <c r="D3" t="str">
        <f>IF(E3="","",VLOOKUP(E3,'Coaching Points'!A:B,2,0))</f>
        <v>ON</v>
      </c>
      <c r="E3" s="35" t="s">
        <v>88</v>
      </c>
      <c r="F3" s="34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 t="s">
        <v>507</v>
      </c>
      <c r="J3" s="4">
        <f>R3+S3+IF(OR(H3="Junior",H3="Senior"),0.0002,IF(OR(H3="L7",H3="L6"),0.0001,0))+MAX(Z3,AC3)*0.0000001</f>
        <v>88.500203950000014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6</v>
      </c>
      <c r="Q3" s="1">
        <f>IF(AND(B3&lt;5,I3="P"),IF(_xlfn.MAXIFS(B:B,G:G,G3)&gt;3,5-B3,_xlfn.MAXIFS(B:B,G:G,G3)+1-B3),"")</f>
        <v>3</v>
      </c>
      <c r="R3" s="4">
        <f>MAX(T3-IF(OR(H3="N/A"),V3,0),W3-IF(OR(H3="N/A"),Y3,0),Z3-IF(OR(H3="N/A"),AB3,0),AC3-IF(OR(H3="N/A"),AE3,0))</f>
        <v>44.5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44</v>
      </c>
      <c r="T3" s="32">
        <v>44</v>
      </c>
      <c r="U3" s="37">
        <v>8.8000000000000007</v>
      </c>
      <c r="V3" s="37">
        <v>1.4</v>
      </c>
      <c r="W3" s="33">
        <v>44.5</v>
      </c>
      <c r="X3" s="37">
        <v>8.8000000000000007</v>
      </c>
      <c r="Y3" s="37">
        <v>1.4</v>
      </c>
      <c r="Z3" s="32">
        <v>39</v>
      </c>
      <c r="AA3" s="37">
        <v>6.1999999999999993</v>
      </c>
      <c r="AB3" s="37">
        <v>0.7</v>
      </c>
      <c r="AC3" s="33">
        <v>39.5</v>
      </c>
      <c r="AD3" s="37">
        <v>5.5</v>
      </c>
      <c r="AE3" s="37">
        <v>0.7</v>
      </c>
    </row>
    <row r="4" spans="1:32" x14ac:dyDescent="0.2">
      <c r="A4" s="1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>2</v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3</v>
      </c>
      <c r="C4" s="35" t="s">
        <v>289</v>
      </c>
      <c r="D4" t="str">
        <f>IF(E4="","",VLOOKUP(E4,'Coaching Points'!A:B,2,0))</f>
        <v>AB</v>
      </c>
      <c r="E4" s="35" t="s">
        <v>56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 t="s">
        <v>507</v>
      </c>
      <c r="J4" s="4">
        <f>R4+S4+IF(OR(H4="Junior",H4="Senior"),0.0002,IF(OR(H4="L7",H4="L6"),0.0001,0))+MAX(Z4,AC4)*0.0000001</f>
        <v>86.500204100000005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8</v>
      </c>
      <c r="Q4" s="1">
        <f>IF(AND(B4&lt;5,I4="P"),IF(_xlfn.MAXIFS(B:B,G:G,G4)&gt;3,5-B4,_xlfn.MAXIFS(B:B,G:G,G4)+1-B4),"")</f>
        <v>2</v>
      </c>
      <c r="R4" s="4">
        <f>MAX(T4-IF(OR(H4="N/A"),V4,0),W4-IF(OR(H4="N/A"),Y4,0),Z4-IF(OR(H4="N/A"),AB4,0),AC4-IF(OR(H4="N/A"),AE4,0))</f>
        <v>45.5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41</v>
      </c>
      <c r="T4" s="32">
        <v>38.5</v>
      </c>
      <c r="U4" s="37">
        <v>7.5</v>
      </c>
      <c r="V4" s="37">
        <v>0.7</v>
      </c>
      <c r="W4" s="33">
        <v>45.5</v>
      </c>
      <c r="X4" s="37">
        <v>10.1</v>
      </c>
      <c r="Y4" s="37">
        <v>1.4</v>
      </c>
      <c r="Z4" s="32">
        <v>41</v>
      </c>
      <c r="AA4" s="37">
        <v>7.1999999999999993</v>
      </c>
      <c r="AB4" s="37">
        <v>1.4</v>
      </c>
      <c r="AC4" s="33">
        <v>38.9</v>
      </c>
      <c r="AD4" s="37">
        <v>7.3</v>
      </c>
      <c r="AE4" s="37">
        <v>0.7</v>
      </c>
    </row>
    <row r="5" spans="1:32" x14ac:dyDescent="0.2">
      <c r="A5" s="1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>3</v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5</v>
      </c>
      <c r="C5" s="35" t="s">
        <v>301</v>
      </c>
      <c r="D5" t="str">
        <f>IF(E5="","",VLOOKUP(E5,'Coaching Points'!A:B,2,0))</f>
        <v>ON</v>
      </c>
      <c r="E5" s="35" t="s">
        <v>45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 t="s">
        <v>507</v>
      </c>
      <c r="J5" s="4">
        <f>R5+S5+IF(OR(H5="Junior",H5="Senior"),0.0002,IF(OR(H5="L7",H5="L6"),0.0001,0))+MAX(Z5,AC5)*0.0000001</f>
        <v>81.700104239999987</v>
      </c>
      <c r="K5" s="3" t="str">
        <f>IF(G5="Not Age Eligible","",IF(MAX(T5,W5,Z5,AC5)&gt;=LOOKUP(G5,'Qualifying Scores'!$A$4:$A$7,'Qualifying Scores'!$I$4:$I$7),"P",""))</f>
        <v/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/>
      </c>
      <c r="O5" s="36">
        <v>1</v>
      </c>
      <c r="Q5" s="1" t="str">
        <f>IF(AND(B5&lt;5,I5="P"),IF(_xlfn.MAXIFS(B:B,G:G,G5)&gt;3,5-B5,_xlfn.MAXIFS(B:B,G:G,G5)+1-B5),"")</f>
        <v/>
      </c>
      <c r="R5" s="4">
        <f>MAX(T5-IF(OR(H5="N/A"),V5,0),W5-IF(OR(H5="N/A"),Y5,0),Z5-IF(OR(H5="N/A"),AB5,0),AC5-IF(OR(H5="N/A"),AE5,0))</f>
        <v>42.4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39.299999999999997</v>
      </c>
      <c r="T5" s="32">
        <v>38.6</v>
      </c>
      <c r="U5" s="37">
        <v>8</v>
      </c>
      <c r="V5" s="37">
        <v>0</v>
      </c>
      <c r="W5" s="33">
        <v>39.299999999999997</v>
      </c>
      <c r="X5" s="37">
        <v>8.6999999999999993</v>
      </c>
      <c r="Y5" s="37">
        <v>0</v>
      </c>
      <c r="Z5" s="32">
        <v>38.4</v>
      </c>
      <c r="AA5" s="37">
        <v>9.3999999999999986</v>
      </c>
      <c r="AB5" s="37">
        <v>0</v>
      </c>
      <c r="AC5" s="33">
        <v>42.4</v>
      </c>
      <c r="AD5" s="37">
        <v>9.3999999999999986</v>
      </c>
      <c r="AE5" s="37">
        <v>0</v>
      </c>
    </row>
    <row r="6" spans="1:32" x14ac:dyDescent="0.2">
      <c r="A6" s="1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>4</v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6</v>
      </c>
      <c r="C6" s="35" t="s">
        <v>293</v>
      </c>
      <c r="D6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 t="s">
        <v>507</v>
      </c>
      <c r="J6" s="4">
        <f>R6+S6+IF(OR(H6="Junior",H6="Senior"),0.0002,IF(OR(H6="L7",H6="L6"),0.0001,0))+MAX(Z6,AC6)*0.0000001</f>
        <v>33.800199999999997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/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O6" s="36">
        <v>2</v>
      </c>
      <c r="Q6" s="1" t="str">
        <f>IF(AND(B6&lt;5,I6="P"),IF(_xlfn.MAXIFS(B:B,G:G,G6)&gt;3,5-B6,_xlfn.MAXIFS(B:B,G:G,G6)+1-B6),"")</f>
        <v/>
      </c>
      <c r="R6" s="4">
        <f>MAX(T6-IF(OR(H6="N/A"),V6,0),W6-IF(OR(H6="N/A"),Y6,0),Z6-IF(OR(H6="N/A"),AB6,0),AC6-IF(OR(H6="N/A"),AE6,0))</f>
        <v>33.799999999999997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0</v>
      </c>
      <c r="T6" s="32">
        <v>33.799999999999997</v>
      </c>
      <c r="U6" s="37">
        <v>6.6</v>
      </c>
      <c r="V6" s="37">
        <v>0.7</v>
      </c>
      <c r="W6" s="33"/>
      <c r="X6" s="37"/>
      <c r="Y6" s="37"/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1</v>
      </c>
      <c r="C7" s="35" t="s">
        <v>288</v>
      </c>
      <c r="D7" t="str">
        <f>IF(E7="","",VLOOKUP(E7,'Coaching Points'!A:B,2,0))</f>
        <v>AB</v>
      </c>
      <c r="E7" s="35" t="s">
        <v>62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92.900204610000017</v>
      </c>
      <c r="K7" s="3" t="str">
        <f>IF(G7="Not Age Eligible","",IF(MAX(T7,W7,Z7,AC7)&gt;=LOOKUP(G7,'Qualifying Scores'!$A$4:$A$7,'Qualifying Scores'!$I$4:$I$7),"P",""))</f>
        <v>P</v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>P</v>
      </c>
      <c r="P7" s="36">
        <v>1</v>
      </c>
      <c r="Q7" s="1" t="str">
        <f>IF(AND(B7&lt;5,I7="P"),IF(_xlfn.MAXIFS(B:B,G:G,G7)&gt;3,5-B7,_xlfn.MAXIFS(B:B,G:G,G7)+1-B7),"")</f>
        <v/>
      </c>
      <c r="R7" s="4">
        <f>MAX(T7-IF(OR(H7="N/A"),V7,0),W7-IF(OR(H7="N/A"),Y7,0),Z7-IF(OR(H7="N/A"),AB7,0),AC7-IF(OR(H7="N/A"),AE7,0))</f>
        <v>46.8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46.1</v>
      </c>
      <c r="T7" s="32">
        <v>45</v>
      </c>
      <c r="U7" s="37">
        <v>10.399999999999999</v>
      </c>
      <c r="V7" s="37">
        <v>1.4</v>
      </c>
      <c r="W7" s="33">
        <v>46.8</v>
      </c>
      <c r="X7" s="37">
        <v>10.399999999999999</v>
      </c>
      <c r="Y7" s="37">
        <v>1.4</v>
      </c>
      <c r="Z7" s="32">
        <v>46.1</v>
      </c>
      <c r="AA7" s="37">
        <v>10.399999999999999</v>
      </c>
      <c r="AB7" s="37">
        <v>1.4</v>
      </c>
      <c r="AC7" s="33">
        <v>45.6</v>
      </c>
      <c r="AD7" s="37">
        <v>10.399999999999999</v>
      </c>
      <c r="AE7" s="37">
        <v>1.4</v>
      </c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4</v>
      </c>
      <c r="C8" s="35" t="s">
        <v>291</v>
      </c>
      <c r="D8" t="str">
        <f>IF(E8="","",VLOOKUP(E8,'Coaching Points'!A:B,2,0))</f>
        <v>ON</v>
      </c>
      <c r="E8" s="35" t="s">
        <v>87</v>
      </c>
      <c r="F8" s="34">
        <v>2007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83.600204189999999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P8" s="36">
        <v>7</v>
      </c>
      <c r="Q8" s="1" t="str">
        <f>IF(AND(B8&lt;5,I8="P"),IF(_xlfn.MAXIFS(B:B,G:G,G8)&gt;3,5-B8,_xlfn.MAXIFS(B:B,G:G,G8)+1-B8),"")</f>
        <v/>
      </c>
      <c r="R8" s="4">
        <f>MAX(T8-IF(OR(H8="N/A"),V8,0),W8-IF(OR(H8="N/A"),Y8,0),Z8-IF(OR(H8="N/A"),AB8,0),AC8-IF(OR(H8="N/A"),AE8,0))</f>
        <v>41.9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41.7</v>
      </c>
      <c r="T8" s="32">
        <v>40.1</v>
      </c>
      <c r="U8" s="37">
        <v>8.8000000000000007</v>
      </c>
      <c r="V8" s="37">
        <v>0.7</v>
      </c>
      <c r="W8" s="33">
        <v>41.6</v>
      </c>
      <c r="X8" s="37">
        <v>8.8999999999999986</v>
      </c>
      <c r="Y8" s="37">
        <v>0.7</v>
      </c>
      <c r="Z8" s="32">
        <v>41.9</v>
      </c>
      <c r="AA8" s="37">
        <v>8.8000000000000007</v>
      </c>
      <c r="AB8" s="37">
        <v>0.7</v>
      </c>
      <c r="AC8" s="33">
        <v>41.7</v>
      </c>
      <c r="AD8" s="37">
        <v>8.1</v>
      </c>
      <c r="AE8" s="37">
        <v>0.7</v>
      </c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>IF(AND(B9&lt;5,I9="P"),IF(_xlfn.MAXIFS(B:B,G:G,G9)&gt;3,5-B9,_xlfn.MAXIFS(B:B,G:G,G9)+1-B9),"")</f>
        <v/>
      </c>
      <c r="R9" s="4">
        <f>MAX(T9-IF(OR(H9="N/A"),V9,0),W9-IF(OR(H9="N/A"),Y9,0),Z9-IF(OR(H9="N/A"),AB9,0),AC9-IF(OR(H9="N/A"),AE9,0))</f>
        <v>42.4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IF(AND(B10&lt;5,I10="P"),IF(_xlfn.MAXIFS(B:B,G:G,G10)&gt;3,5-B10,_xlfn.MAXIFS(B:B,G:G,G10)+1-B10),"")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471</v>
      </c>
      <c r="D11" t="str">
        <f>IF(E11="","",VLOOKUP(E11,'Coaching Points'!A:B,2,0))</f>
        <v>AB</v>
      </c>
      <c r="E11" s="35" t="s">
        <v>56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IF(AND(B11&lt;5,I11="P"),IF(_xlfn.MAXIFS(B:B,G:G,G11)&gt;3,5-B11,_xlfn.MAXIFS(B:B,G:G,G11)+1-B11),"")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/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370</v>
      </c>
      <c r="D12" t="str">
        <f>IF(E12="","",VLOOKUP(E12,'Coaching Points'!A:B,2,0))</f>
        <v>BC</v>
      </c>
      <c r="E12" s="35" t="s">
        <v>55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IF(AND(B12&lt;5,I12="P"),IF(_xlfn.MAXIFS(B:B,G:G,G12)&gt;3,5-B12,_xlfn.MAXIFS(B:B,G:G,G12)+1-B12),"")</f>
        <v/>
      </c>
      <c r="R12" s="4">
        <f>MAX(T12-IF(OR(H12="N/A"),V12,0),W12-IF(OR(H12="N/A"),Y12,0),Z12-IF(OR(H12="N/A"),AB12,0),AC12-IF(OR(H12="N/A"),AE12,0))</f>
        <v>42.1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38.9</v>
      </c>
      <c r="T12" s="32"/>
      <c r="U12" s="37"/>
      <c r="V12" s="37"/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IF(AND(B13&lt;5,I13="P"),IF(_xlfn.MAXIFS(B:B,G:G,G13)&gt;3,5-B13,_xlfn.MAXIFS(B:B,G:G,G13)+1-B13),"")</f>
        <v/>
      </c>
      <c r="R13" s="4">
        <f>MAX(T13-IF(OR(H13="N/A"),V13,0),W13-IF(OR(H13="N/A"),Y13,0),Z13-IF(OR(H13="N/A"),AB13,0),AC13-IF(OR(H13="N/A"),AE13,0))</f>
        <v>40.6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IF(AND(B14&lt;5,I14="P"),IF(_xlfn.MAXIFS(B:B,G:G,G14)&gt;3,5-B14,_xlfn.MAXIFS(B:B,G:G,G14)+1-B14),"")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IF(AND(B15&lt;5,I15="P"),IF(_xlfn.MAXIFS(B:B,G:G,G15)&gt;3,5-B15,_xlfn.MAXIFS(B:B,G:G,G15)+1-B15),"")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IF(AND(B16&lt;5,I16="P"),IF(_xlfn.MAXIFS(B:B,G:G,G16)&gt;3,5-B16,_xlfn.MAXIFS(B:B,G:G,G16)+1-B16),"")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IF(AND(B17&lt;5,I17="P"),IF(_xlfn.MAXIFS(B:B,G:G,G17)&gt;3,5-B17,_xlfn.MAXIFS(B:B,G:G,G17)+1-B17),"")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IF(AND(B18&lt;5,I18="P"),IF(_xlfn.MAXIFS(B:B,G:G,G18)&gt;3,5-B18,_xlfn.MAXIFS(B:B,G:G,G18)+1-B18),"")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IF(AND(B19&lt;5,I19="P"),IF(_xlfn.MAXIFS(B:B,G:G,G19)&gt;3,5-B19,_xlfn.MAXIFS(B:B,G:G,G19)+1-B19),"")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IF(AND(B20&lt;5,I20="P"),IF(_xlfn.MAXIFS(B:B,G:G,G20)&gt;3,5-B20,_xlfn.MAXIFS(B:B,G:G,G20)+1-B20),"")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IF(AND(B21&lt;5,I21="P"),IF(_xlfn.MAXIFS(B:B,G:G,G21)&gt;3,5-B21,_xlfn.MAXIFS(B:B,G:G,G21)+1-B21),"")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IF(AND(B22&lt;5,I22="P"),IF(_xlfn.MAXIFS(B:B,G:G,G22)&gt;3,5-B22,_xlfn.MAXIFS(B:B,G:G,G22)+1-B22),"")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IF(AND(B23&lt;5,I23="P"),IF(_xlfn.MAXIFS(B:B,G:G,G23)&gt;3,5-B23,_xlfn.MAXIFS(B:B,G:G,G23)+1-B23),"")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IF(AND(B24&lt;5,I24="P"),IF(_xlfn.MAXIFS(B:B,G:G,G24)&gt;3,5-B24,_xlfn.MAXIFS(B:B,G:G,G24)+1-B24),"")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IF(AND(B25&lt;5,I25="P"),IF(_xlfn.MAXIFS(B:B,G:G,G25)&gt;3,5-B25,_xlfn.MAXIFS(B:B,G:G,G25)+1-B25),"")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463</v>
      </c>
      <c r="D26" t="str">
        <f>IF(E26="","",VLOOKUP(E26,'Coaching Points'!A:B,2,0))</f>
        <v>QC</v>
      </c>
      <c r="E26" s="35" t="s">
        <v>505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IF(AND(B26&lt;5,I26="P"),IF(_xlfn.MAXIFS(B:B,G:G,G26)&gt;3,5-B26,_xlfn.MAXIFS(B:B,G:G,G26)+1-B26),"")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/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IF(AND(B27&lt;5,I27="P"),IF(_xlfn.MAXIFS(B:B,G:G,G27)&gt;3,5-B27,_xlfn.MAXIFS(B:B,G:G,G27)+1-B27),"")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IF(AND(B28&lt;5,I28="P"),IF(_xlfn.MAXIFS(B:B,G:G,G28)&gt;3,5-B28,_xlfn.MAXIFS(B:B,G:G,G28)+1-B28),"")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IF(AND(B29&lt;5,I29="P"),IF(_xlfn.MAXIFS(B:B,G:G,G29)&gt;3,5-B29,_xlfn.MAXIFS(B:B,G:G,G29)+1-B29),"")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IF(AND(B30&lt;5,I30="P"),IF(_xlfn.MAXIFS(B:B,G:G,G30)&gt;3,5-B30,_xlfn.MAXIFS(B:B,G:G,G30)+1-B30),"")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IF(AND(B31&lt;5,I31="P"),IF(_xlfn.MAXIFS(B:B,G:G,G31)&gt;3,5-B31,_xlfn.MAXIFS(B:B,G:G,G31)+1-B31),"")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IF(AND(B32&lt;5,I32="P"),IF(_xlfn.MAXIFS(B:B,G:G,G32)&gt;3,5-B32,_xlfn.MAXIFS(B:B,G:G,G32)+1-B32),"")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IF(AND(B33&lt;5,I33="P"),IF(_xlfn.MAXIFS(B:B,G:G,G33)&gt;3,5-B33,_xlfn.MAXIFS(B:B,G:G,G33)+1-B33),"")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464</v>
      </c>
      <c r="D34" t="str">
        <f>IF(E34="","",VLOOKUP(E34,'Coaching Points'!A:B,2,0))</f>
        <v>AB</v>
      </c>
      <c r="E34" s="35" t="s">
        <v>56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IF(AND(B34&lt;5,I34="P"),IF(_xlfn.MAXIFS(B:B,G:G,G34)&gt;3,5-B34,_xlfn.MAXIFS(B:B,G:G,G34)+1-B34),"")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/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465</v>
      </c>
      <c r="D35" t="str">
        <f>IF(E35="","",VLOOKUP(E35,'Coaching Points'!A:B,2,0))</f>
        <v>ON</v>
      </c>
      <c r="E35" s="35" t="s">
        <v>503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IF(AND(B35&lt;5,I35="P"),IF(_xlfn.MAXIFS(B:B,G:G,G35)&gt;3,5-B35,_xlfn.MAXIFS(B:B,G:G,G35)+1-B35),"")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/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276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IF(AND(B36&lt;5,I36="P"),IF(_xlfn.MAXIFS(B:B,G:G,G36)&gt;3,5-B36,_xlfn.MAXIFS(B:B,G:G,G36)+1-B36),"")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/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466</v>
      </c>
      <c r="D37" t="str">
        <f>IF(E37="","",VLOOKUP(E37,'Coaching Points'!A:B,2,0))</f>
        <v>QC</v>
      </c>
      <c r="E37" s="35" t="s">
        <v>70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IF(AND(B37&lt;5,I37="P"),IF(_xlfn.MAXIFS(B:B,G:G,G37)&gt;3,5-B37,_xlfn.MAXIFS(B:B,G:G,G37)+1-B37),"")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/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467</v>
      </c>
      <c r="D38" t="str">
        <f>IF(E38="","",VLOOKUP(E38,'Coaching Points'!A:B,2,0))</f>
        <v>AB</v>
      </c>
      <c r="E38" s="35" t="s">
        <v>144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IF(AND(B38&lt;5,I38="P"),IF(_xlfn.MAXIFS(B:B,G:G,G38)&gt;3,5-B38,_xlfn.MAXIFS(B:B,G:G,G38)+1-B38),"")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/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468</v>
      </c>
      <c r="D39" t="str">
        <f>IF(E39="","",VLOOKUP(E39,'Coaching Points'!A:B,2,0))</f>
        <v>ON</v>
      </c>
      <c r="E39" s="35" t="s">
        <v>150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IF(AND(B39&lt;5,I39="P"),IF(_xlfn.MAXIFS(B:B,G:G,G39)&gt;3,5-B39,_xlfn.MAXIFS(B:B,G:G,G39)+1-B39),"")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/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469</v>
      </c>
      <c r="D40" t="str">
        <f>IF(E40="","",VLOOKUP(E40,'Coaching Points'!A:B,2,0))</f>
        <v>ON</v>
      </c>
      <c r="E40" s="35" t="s">
        <v>150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IF(AND(B40&lt;5,I40="P"),IF(_xlfn.MAXIFS(B:B,G:G,G40)&gt;3,5-B40,_xlfn.MAXIFS(B:B,G:G,G40)+1-B40),"")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/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470</v>
      </c>
      <c r="D41" t="str">
        <f>IF(E41="","",VLOOKUP(E41,'Coaching Points'!A:B,2,0))</f>
        <v>QC</v>
      </c>
      <c r="E41" s="35" t="s">
        <v>3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IF(AND(B41&lt;5,I41="P"),IF(_xlfn.MAXIFS(B:B,G:G,G41)&gt;3,5-B41,_xlfn.MAXIFS(B:B,G:G,G41)+1-B41),"")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/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IF(AND(B42&lt;5,I42="P"),IF(_xlfn.MAXIFS(B:B,G:G,G42)&gt;3,5-B42,_xlfn.MAXIFS(B:B,G:G,G42)+1-B42),"")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IF(AND(B43&lt;5,I43="P"),IF(_xlfn.MAXIFS(B:B,G:G,G43)&gt;3,5-B43,_xlfn.MAXIFS(B:B,G:G,G43)+1-B43),"")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286</v>
      </c>
      <c r="D44" t="str">
        <f>IF(E44="","",VLOOKUP(E44,'Coaching Points'!A:B,2,0))</f>
        <v>AB</v>
      </c>
      <c r="E44" s="35" t="s">
        <v>131</v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IF(AND(B44&lt;5,I44="P"),IF(_xlfn.MAXIFS(B:B,G:G,G44)&gt;3,5-B44,_xlfn.MAXIFS(B:B,G:G,G44)+1-B44),"")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/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>1</v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 t="s">
        <v>507</v>
      </c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>
        <f>IF(AND(B45&lt;5,I45="P"),IF(_xlfn.MAXIFS(B:B,G:G,G45)&gt;3,5-B45,_xlfn.MAXIFS(B:B,G:G,G45)+1-B45),"")</f>
        <v>1</v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t="str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IF(AND(B46&lt;5,I46="P"),IF(_xlfn.MAXIFS(B:B,G:G,G46)&gt;3,5-B46,_xlfn.MAXIFS(B:B,G:G,G46)+1-B46),"")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t="str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 t="s">
        <v>507</v>
      </c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IF(AND(B47&lt;5,I47="P"),IF(_xlfn.MAXIFS(B:B,G:G,G47)&gt;3,5-B47,_xlfn.MAXIFS(B:B,G:G,G47)+1-B47),"")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t="str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IF(AND(B48&lt;5,I48="P"),IF(_xlfn.MAXIFS(B:B,G:G,G48)&gt;3,5-B48,_xlfn.MAXIFS(B:B,G:G,G48)+1-B48),"")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361</v>
      </c>
      <c r="D49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IF(AND(B49&lt;5,I49="P"),IF(_xlfn.MAXIFS(B:B,G:G,G49)&gt;3,5-B49,_xlfn.MAXIFS(B:B,G:G,G49)+1-B49),"")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/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459</v>
      </c>
      <c r="D50" t="str">
        <f>IF(E50="","",VLOOKUP(E50,'Coaching Points'!A:B,2,0))</f>
        <v>ON</v>
      </c>
      <c r="E50" s="35" t="s">
        <v>89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IF(AND(B50&lt;5,I50="P"),IF(_xlfn.MAXIFS(B:B,G:G,G50)&gt;3,5-B50,_xlfn.MAXIFS(B:B,G:G,G50)+1-B50),"")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/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IF(AND(B51&lt;5,I51="P"),IF(_xlfn.MAXIFS(B:B,G:G,G51)&gt;3,5-B51,_xlfn.MAXIFS(B:B,G:G,G51)+1-B51),"")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460</v>
      </c>
      <c r="D52" t="str">
        <f>IF(E52="","",VLOOKUP(E52,'Coaching Points'!A:B,2,0))</f>
        <v>ON</v>
      </c>
      <c r="E52" s="35" t="s">
        <v>89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IF(AND(B52&lt;5,I52="P"),IF(_xlfn.MAXIFS(B:B,G:G,G52)&gt;3,5-B52,_xlfn.MAXIFS(B:B,G:G,G52)+1-B52),"")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/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IF(AND(B53&lt;5,I53="P"),IF(_xlfn.MAXIFS(B:B,G:G,G53)&gt;3,5-B53,_xlfn.MAXIFS(B:B,G:G,G53)+1-B53),"")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IF(AND(B54&lt;5,I54="P"),IF(_xlfn.MAXIFS(B:B,G:G,G54)&gt;3,5-B54,_xlfn.MAXIFS(B:B,G:G,G54)+1-B54),"")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257</v>
      </c>
      <c r="D55" t="str">
        <f>IF(E55="","",VLOOKUP(E55,'Coaching Points'!A:B,2,0))</f>
        <v>AB</v>
      </c>
      <c r="E55" s="35" t="s">
        <v>28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IF(AND(B55&lt;5,I55="P"),IF(_xlfn.MAXIFS(B:B,G:G,G55)&gt;3,5-B55,_xlfn.MAXIFS(B:B,G:G,G55)+1-B55),"")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/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IF(AND(B56&lt;5,I56="P"),IF(_xlfn.MAXIFS(B:B,G:G,G56)&gt;3,5-B56,_xlfn.MAXIFS(B:B,G:G,G56)+1-B56),"")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461</v>
      </c>
      <c r="D57" t="str">
        <f>IF(E57="","",VLOOKUP(E57,'Coaching Points'!A:B,2,0))</f>
        <v>ON</v>
      </c>
      <c r="E57" s="35" t="s">
        <v>87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IF(AND(B57&lt;5,I57="P"),IF(_xlfn.MAXIFS(B:B,G:G,G57)&gt;3,5-B57,_xlfn.MAXIFS(B:B,G:G,G57)+1-B57),"")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/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IF(AND(B58&lt;5,I58="P"),IF(_xlfn.MAXIFS(B:B,G:G,G58)&gt;3,5-B58,_xlfn.MAXIFS(B:B,G:G,G58)+1-B58),"")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IF(AND(B59&lt;5,I59="P"),IF(_xlfn.MAXIFS(B:B,G:G,G59)&gt;3,5-B59,_xlfn.MAXIFS(B:B,G:G,G59)+1-B59),"")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IF(AND(B60&lt;5,I60="P"),IF(_xlfn.MAXIFS(B:B,G:G,G60)&gt;3,5-B60,_xlfn.MAXIFS(B:B,G:G,G60)+1-B60),"")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t="str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IF(AND(B61&lt;5,I61="P"),IF(_xlfn.MAXIFS(B:B,G:G,G61)&gt;3,5-B61,_xlfn.MAXIFS(B:B,G:G,G61)+1-B61),"")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462</v>
      </c>
      <c r="D62" t="str">
        <f>IF(E62="","",VLOOKUP(E62,'Coaching Points'!A:B,2,0))</f>
        <v>ON</v>
      </c>
      <c r="E62" s="35" t="s">
        <v>150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IF(AND(B62&lt;5,I62="P"),IF(_xlfn.MAXIFS(B:B,G:G,G62)&gt;3,5-B62,_xlfn.MAXIFS(B:B,G:G,G62)+1-B62),"")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/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IF(AND(B63&lt;5,I63="P"),IF(_xlfn.MAXIFS(B:B,G:G,G63)&gt;3,5-B63,_xlfn.MAXIFS(B:B,G:G,G63)+1-B63),"")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>1</v>
      </c>
      <c r="B64" s="1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>1</v>
      </c>
      <c r="C64" s="35" t="s">
        <v>346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 t="s">
        <v>507</v>
      </c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>
        <f>IF(AND(B64&lt;5,I64="P"),IF(_xlfn.MAXIFS(B:B,G:G,G64)&gt;3,5-B64,_xlfn.MAXIFS(B:B,G:G,G64)+1-B64),"")</f>
        <v>1</v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>
        <v>38.200000000000003</v>
      </c>
      <c r="U64" s="37">
        <v>7.3</v>
      </c>
      <c r="V64" s="37">
        <v>2</v>
      </c>
      <c r="W64" s="33">
        <v>38.5</v>
      </c>
      <c r="X64" s="37">
        <v>6.8</v>
      </c>
      <c r="Y64" s="37">
        <v>2</v>
      </c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457</v>
      </c>
      <c r="D65" t="str">
        <f>IF(E65="","",VLOOKUP(E65,'Coaching Points'!A:B,2,0))</f>
        <v>NS</v>
      </c>
      <c r="E65" s="35" t="s">
        <v>86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IF(AND(B65&lt;5,I65="P"),IF(_xlfn.MAXIFS(B:B,G:G,G65)&gt;3,5-B65,_xlfn.MAXIFS(B:B,G:G,G65)+1-B65),"")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/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458</v>
      </c>
      <c r="D66" t="str">
        <f>IF(E66="","",VLOOKUP(E66,'Coaching Points'!A:B,2,0))</f>
        <v>ON</v>
      </c>
      <c r="E66" s="35" t="s">
        <v>45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IF(AND(B66&lt;5,I66="P"),IF(_xlfn.MAXIFS(B:B,G:G,G66)&gt;3,5-B66,_xlfn.MAXIFS(B:B,G:G,G66)+1-B66),"")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/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247</v>
      </c>
      <c r="D67" t="str">
        <f>IF(E67="","",VLOOKUP(E67,'Coaching Points'!A:B,2,0))</f>
        <v>AB</v>
      </c>
      <c r="E67" s="35" t="s">
        <v>28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IF(AND(B67&lt;5,I67="P"),IF(_xlfn.MAXIFS(B:B,G:G,G67)&gt;3,5-B67,_xlfn.MAXIFS(B:B,G:G,G67)+1-B67),"")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/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$68&lt;&gt;"")*(G$3:G$68=G68)*(J$3:J$68&gt;J68)*(I$3:I$68="P"))+1,IF(O68&lt;&gt;"",SUMPRODUCT((O$3:O$68&lt;&gt;"")*(P$3:P$68="")*(G$3:G$68=G68)*(J$3:J$68&gt;J68)*(I$3:I$68="P"))+SUMPRODUCT((P$3:P$68&lt;&gt;"")*(G$3:G$68=G68)*(I$3:I$68="P"))+1,IF(N68&lt;&gt;"",SUMPRODUCT((N$3:N$68&lt;&gt;"")*(G$3:G$68=G68)*(J$3:J$68&gt;J68)*(I$3:I$68="P"))+1,IF(M68="P",SUMPRODUCT((O$3:O$68&lt;&gt;"")*(P$3:P$68="")*(G$3:G$68=G68)*(I$3:I$68="P"))+SUMPRODUCT((P$3:P$68&lt;&gt;"")*(G$3:G$68=G68)*(I$3:I$68="P"))+SUMPRODUCT((N$3:N$68&lt;&gt;"")*(G$3:G$68=G68)*(I$3:I$68="P"))+SUMPRODUCT((P$3:P$68="")*(O$3:O$68="")*(N$3:N$68="")*(M$3:M$68="P")*(G$3:G$68=G68)*(J$3:J$68&gt;J68)*(I$3:I$68="P"))+IF(H68="L5",SUMPRODUCT((P$3:P$68="")*(O$3:O$68="")*(N$3:N$68="")*(M$3:M$68="P")*(G$3:G$68=G68)*(J$3:J$68&lt;J68)*(H$3:H$68&lt;&gt;H68)*(I$3:I$68="P")),-1*SUMPRODUCT((P$3:P$68="")*(O$3:O$68="")*(N$3:N$68="")*(M$3:M$68="P")*(G$3:G$68=G68)*(J$3:J$68&gt;J68)*(H$3:H$68="L5")*(I$3:I$68="P")))+1,"")))))</f>
        <v/>
      </c>
      <c r="B68" s="1" t="str" cm="1">
        <f t="array" ref="B68">IF(P68&lt;&gt;"",SUMPRODUCT((P$3:P$68&lt;&gt;"")*(G$3:G$68=G68)*(J$3:J$68&gt;J68))+1,IF(O68&lt;&gt;"",SUMPRODUCT((O$3:O$68&lt;&gt;"")*(P$3:P$68="")*(G$3:G$68=G68)*(J$3:J$68&gt;J68))+SUMPRODUCT((P$3:P$68&lt;&gt;"")*(G$3:G$68=G68))+1,IF(N68&lt;&gt;"",SUMPRODUCT((N$3:N$68&lt;&gt;"")*(G$3:G$68=G68)*(J$3:J$68&gt;J68))+1,IF(M68="P",SUMPRODUCT((O$3:O$68&lt;&gt;"")*(P$3:P$68="")*(G$3:G$68=G68))+SUMPRODUCT((P$3:P$68&lt;&gt;"")*(G$3:G$68=G68))+SUMPRODUCT((N$3:N$68&lt;&gt;"")*(G$3:G$68=G68))+SUMPRODUCT((P$3:P$68="")*(O$3:O$68="")*(N$3:N$68="")*(M$3:M$68="P")*(G$3:G$68=G68)*(J$3:J$68&gt;J68))+IF(H68="L5",SUMPRODUCT((P$3:P$68="")*(O$3:O$68="")*(N$3:N$68="")*(M$3:M$68="P")*(G$3:G$68=G68)*(J$3:J$68&lt;J68)*(H$3:H$68&lt;&gt;H68)),-1*SUMPRODUCT((P$3:P$68="")*(O$3:O$68="")*(N$3:N$68="")*(M$3:M$68="P")*(G$3:G$68=G68)*(J$3:J$68&gt;J68)*(H$3:H$68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IF(AND(B68&lt;5,I68="P"),IF(_xlfn.MAXIFS(B:B,G:G,G68)&gt;3,5-B68,_xlfn.MAXIFS(B:B,G:G,G68)+1-B68),"")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2025-07-14T23:15:05Z</dcterms:modified>
</cp:coreProperties>
</file>