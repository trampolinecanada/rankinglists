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1B80E29-C13C-E148-86C9-89E505C5D2C2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16" l="1"/>
  <c r="S11" i="16" s="1"/>
  <c r="R13" i="16"/>
  <c r="S13" i="16" s="1"/>
  <c r="J13" i="16" s="1"/>
  <c r="R14" i="16"/>
  <c r="S14" i="16" s="1"/>
  <c r="J14" i="16" s="1"/>
  <c r="R15" i="16"/>
  <c r="S15" i="16" s="1"/>
  <c r="J15" i="16" s="1"/>
  <c r="R17" i="16"/>
  <c r="S17" i="16" s="1"/>
  <c r="J17" i="16" s="1"/>
  <c r="R16" i="16"/>
  <c r="R18" i="16"/>
  <c r="S18" i="16" s="1"/>
  <c r="J18" i="16" s="1"/>
  <c r="R19" i="16"/>
  <c r="S19" i="16" s="1"/>
  <c r="R34" i="16"/>
  <c r="S34" i="16" s="1"/>
  <c r="R25" i="16"/>
  <c r="S25" i="16" s="1"/>
  <c r="J25" i="16" s="1"/>
  <c r="R28" i="16"/>
  <c r="S28" i="16" s="1"/>
  <c r="J28" i="16" s="1"/>
  <c r="R35" i="16"/>
  <c r="S35" i="16" s="1"/>
  <c r="J35" i="16" s="1"/>
  <c r="R32" i="16"/>
  <c r="S32" i="16" s="1"/>
  <c r="J32" i="16" s="1"/>
  <c r="R30" i="16"/>
  <c r="R33" i="16"/>
  <c r="S33" i="16" s="1"/>
  <c r="J33" i="16" s="1"/>
  <c r="R26" i="16"/>
  <c r="S26" i="16" s="1"/>
  <c r="R23" i="16"/>
  <c r="S23" i="16" s="1"/>
  <c r="R31" i="16"/>
  <c r="S31" i="16" s="1"/>
  <c r="R24" i="16"/>
  <c r="S24" i="16" s="1"/>
  <c r="J24" i="16" s="1"/>
  <c r="R22" i="16"/>
  <c r="S22" i="16" s="1"/>
  <c r="R27" i="16"/>
  <c r="S27" i="16" s="1"/>
  <c r="J27" i="16" s="1"/>
  <c r="R44" i="16"/>
  <c r="R36" i="16"/>
  <c r="S36" i="16" s="1"/>
  <c r="J36" i="16" s="1"/>
  <c r="R37" i="16"/>
  <c r="S37" i="16" s="1"/>
  <c r="R39" i="16"/>
  <c r="S39" i="16" s="1"/>
  <c r="R40" i="16"/>
  <c r="S40" i="16" s="1"/>
  <c r="R41" i="16"/>
  <c r="S41" i="16" s="1"/>
  <c r="J41" i="16" s="1"/>
  <c r="R42" i="16"/>
  <c r="S42" i="16" s="1"/>
  <c r="J42" i="16" s="1"/>
  <c r="R43" i="16"/>
  <c r="S43" i="16" s="1"/>
  <c r="J43" i="16" s="1"/>
  <c r="R38" i="16"/>
  <c r="R8" i="16"/>
  <c r="S8" i="16" s="1"/>
  <c r="J8" i="16" s="1"/>
  <c r="R6" i="16"/>
  <c r="S6" i="16" s="1"/>
  <c r="R10" i="16"/>
  <c r="S10" i="16" s="1"/>
  <c r="R12" i="16"/>
  <c r="S12" i="16" s="1"/>
  <c r="R20" i="16"/>
  <c r="S20" i="16" s="1"/>
  <c r="J20" i="16" s="1"/>
  <c r="R29" i="16"/>
  <c r="S29" i="16" s="1"/>
  <c r="J29" i="16" s="1"/>
  <c r="R7" i="16"/>
  <c r="S7" i="16" s="1"/>
  <c r="J7" i="16" s="1"/>
  <c r="R4" i="16"/>
  <c r="R9" i="16"/>
  <c r="S9" i="16" s="1"/>
  <c r="J9" i="16" s="1"/>
  <c r="R3" i="16"/>
  <c r="S3" i="16" s="1"/>
  <c r="R5" i="16"/>
  <c r="S5" i="16" s="1"/>
  <c r="R21" i="16"/>
  <c r="S21" i="16" s="1"/>
  <c r="J21" i="16" s="1"/>
  <c r="R15" i="15"/>
  <c r="S15" i="15" s="1"/>
  <c r="J15" i="15" s="1"/>
  <c r="R16" i="15"/>
  <c r="S16" i="15" s="1"/>
  <c r="R13" i="15"/>
  <c r="S13" i="15" s="1"/>
  <c r="J13" i="15" s="1"/>
  <c r="R18" i="15"/>
  <c r="S18" i="15" s="1"/>
  <c r="J18" i="15" s="1"/>
  <c r="R20" i="15"/>
  <c r="S20" i="15" s="1"/>
  <c r="J20" i="15" s="1"/>
  <c r="R19" i="15"/>
  <c r="S19" i="15" s="1"/>
  <c r="R17" i="15"/>
  <c r="S17" i="15" s="1"/>
  <c r="R10" i="15"/>
  <c r="S10" i="15" s="1"/>
  <c r="R26" i="15"/>
  <c r="S26" i="15" s="1"/>
  <c r="J26" i="15" s="1"/>
  <c r="R29" i="15"/>
  <c r="S29" i="15" s="1"/>
  <c r="J29" i="15" s="1"/>
  <c r="R28" i="15"/>
  <c r="S28" i="15" s="1"/>
  <c r="J28" i="15" s="1"/>
  <c r="R23" i="15"/>
  <c r="S23" i="15" s="1"/>
  <c r="J23" i="15" s="1"/>
  <c r="R24" i="15"/>
  <c r="R27" i="15"/>
  <c r="S27" i="15" s="1"/>
  <c r="R9" i="15"/>
  <c r="S9" i="15" s="1"/>
  <c r="R8" i="15"/>
  <c r="S8" i="15" s="1"/>
  <c r="R11" i="15"/>
  <c r="R12" i="15"/>
  <c r="S12" i="15" s="1"/>
  <c r="R21" i="15"/>
  <c r="S21" i="15" s="1"/>
  <c r="J21" i="15" s="1"/>
  <c r="R22" i="15"/>
  <c r="S22" i="15" s="1"/>
  <c r="J22" i="15" s="1"/>
  <c r="R25" i="15"/>
  <c r="S25" i="15" s="1"/>
  <c r="J25" i="15" s="1"/>
  <c r="R3" i="15"/>
  <c r="S3" i="15" s="1"/>
  <c r="R4" i="15"/>
  <c r="S4" i="15" s="1"/>
  <c r="R5" i="15"/>
  <c r="S5" i="15" s="1"/>
  <c r="R6" i="15"/>
  <c r="S6" i="15" s="1"/>
  <c r="J6" i="15" s="1"/>
  <c r="R7" i="15"/>
  <c r="S7" i="15" s="1"/>
  <c r="J7" i="15" s="1"/>
  <c r="R14" i="15"/>
  <c r="S14" i="15" s="1"/>
  <c r="R14" i="14"/>
  <c r="S14" i="14" s="1"/>
  <c r="J14" i="14" s="1"/>
  <c r="R17" i="14"/>
  <c r="S17" i="14" s="1"/>
  <c r="J17" i="14" s="1"/>
  <c r="R18" i="14"/>
  <c r="S18" i="14" s="1"/>
  <c r="J18" i="14" s="1"/>
  <c r="R19" i="14"/>
  <c r="S19" i="14" s="1"/>
  <c r="J19" i="14" s="1"/>
  <c r="R21" i="14"/>
  <c r="S21" i="14" s="1"/>
  <c r="J21" i="14" s="1"/>
  <c r="R20" i="14"/>
  <c r="R22" i="14"/>
  <c r="S22" i="14" s="1"/>
  <c r="J22" i="14" s="1"/>
  <c r="R23" i="14"/>
  <c r="S23" i="14" s="1"/>
  <c r="J23" i="14" s="1"/>
  <c r="R25" i="14"/>
  <c r="S25" i="14" s="1"/>
  <c r="J25" i="14" s="1"/>
  <c r="R26" i="14"/>
  <c r="S26" i="14" s="1"/>
  <c r="J26" i="14" s="1"/>
  <c r="R41" i="14"/>
  <c r="S41" i="14" s="1"/>
  <c r="R38" i="14"/>
  <c r="S38" i="14" s="1"/>
  <c r="J38" i="14" s="1"/>
  <c r="R39" i="14"/>
  <c r="S39" i="14" s="1"/>
  <c r="J39" i="14" s="1"/>
  <c r="R36" i="14"/>
  <c r="R37" i="14"/>
  <c r="S37" i="14" s="1"/>
  <c r="J37" i="14" s="1"/>
  <c r="R35" i="14"/>
  <c r="S35" i="14" s="1"/>
  <c r="J35" i="14" s="1"/>
  <c r="R33" i="14"/>
  <c r="S33" i="14" s="1"/>
  <c r="J33" i="14" s="1"/>
  <c r="R31" i="14"/>
  <c r="S31" i="14" s="1"/>
  <c r="J31" i="14" s="1"/>
  <c r="R32" i="14"/>
  <c r="S32" i="14" s="1"/>
  <c r="J32" i="14" s="1"/>
  <c r="R34" i="14"/>
  <c r="S34" i="14" s="1"/>
  <c r="J34" i="14" s="1"/>
  <c r="R45" i="14"/>
  <c r="R46" i="14"/>
  <c r="R47" i="14"/>
  <c r="S47" i="14" s="1"/>
  <c r="J47" i="14" s="1"/>
  <c r="R50" i="14"/>
  <c r="S50" i="14" s="1"/>
  <c r="R51" i="14"/>
  <c r="S51" i="14" s="1"/>
  <c r="R52" i="14"/>
  <c r="S52" i="14" s="1"/>
  <c r="J52" i="14" s="1"/>
  <c r="R53" i="14"/>
  <c r="S53" i="14" s="1"/>
  <c r="J53" i="14" s="1"/>
  <c r="R55" i="14"/>
  <c r="S55" i="14" s="1"/>
  <c r="J55" i="14" s="1"/>
  <c r="R54" i="14"/>
  <c r="S54" i="14" s="1"/>
  <c r="R56" i="14"/>
  <c r="R58" i="14"/>
  <c r="S58" i="14" s="1"/>
  <c r="J58" i="14" s="1"/>
  <c r="R57" i="14"/>
  <c r="S57" i="14" s="1"/>
  <c r="R61" i="14"/>
  <c r="S61" i="14" s="1"/>
  <c r="J61" i="14" s="1"/>
  <c r="R60" i="14"/>
  <c r="S60" i="14" s="1"/>
  <c r="J60" i="14" s="1"/>
  <c r="R59" i="14"/>
  <c r="S59" i="14" s="1"/>
  <c r="R68" i="14"/>
  <c r="S68" i="14" s="1"/>
  <c r="J68" i="14" s="1"/>
  <c r="R66" i="14"/>
  <c r="S66" i="14" s="1"/>
  <c r="R67" i="14"/>
  <c r="R65" i="14"/>
  <c r="R69" i="14"/>
  <c r="S69" i="14" s="1"/>
  <c r="R44" i="14"/>
  <c r="R48" i="14"/>
  <c r="S48" i="14" s="1"/>
  <c r="J48" i="14" s="1"/>
  <c r="R49" i="14"/>
  <c r="S49" i="14" s="1"/>
  <c r="R63" i="14"/>
  <c r="S63" i="14" s="1"/>
  <c r="J63" i="14" s="1"/>
  <c r="R64" i="14"/>
  <c r="S64" i="14" s="1"/>
  <c r="J64" i="14" s="1"/>
  <c r="R6" i="14"/>
  <c r="R12" i="14"/>
  <c r="S12" i="14" s="1"/>
  <c r="R9" i="14"/>
  <c r="R8" i="14"/>
  <c r="S8" i="14" s="1"/>
  <c r="R10" i="14"/>
  <c r="S10" i="14" s="1"/>
  <c r="J10" i="14" s="1"/>
  <c r="R11" i="14"/>
  <c r="S11" i="14" s="1"/>
  <c r="J11" i="14" s="1"/>
  <c r="R15" i="14"/>
  <c r="S15" i="14" s="1"/>
  <c r="J15" i="14" s="1"/>
  <c r="R16" i="14"/>
  <c r="S16" i="14" s="1"/>
  <c r="R24" i="14"/>
  <c r="R28" i="14"/>
  <c r="S28" i="14" s="1"/>
  <c r="R30" i="14"/>
  <c r="S30" i="14" s="1"/>
  <c r="R29" i="14"/>
  <c r="S29" i="14" s="1"/>
  <c r="R40" i="14"/>
  <c r="S40" i="14" s="1"/>
  <c r="J40" i="14" s="1"/>
  <c r="R42" i="14"/>
  <c r="S42" i="14" s="1"/>
  <c r="J42" i="14" s="1"/>
  <c r="R43" i="14"/>
  <c r="S43" i="14" s="1"/>
  <c r="J43" i="14" s="1"/>
  <c r="R62" i="14"/>
  <c r="S62" i="14" s="1"/>
  <c r="R3" i="14"/>
  <c r="R4" i="14"/>
  <c r="S4" i="14" s="1"/>
  <c r="R5" i="14"/>
  <c r="S5" i="14" s="1"/>
  <c r="R7" i="14"/>
  <c r="S7" i="14" s="1"/>
  <c r="R27" i="14"/>
  <c r="S27" i="14" s="1"/>
  <c r="J27" i="14" s="1"/>
  <c r="R13" i="14"/>
  <c r="S13" i="14" s="1"/>
  <c r="J13" i="14" s="1"/>
  <c r="R21" i="6"/>
  <c r="R19" i="6"/>
  <c r="S19" i="6" s="1"/>
  <c r="R22" i="6"/>
  <c r="R25" i="6"/>
  <c r="S25" i="6" s="1"/>
  <c r="R26" i="6"/>
  <c r="S26" i="6" s="1"/>
  <c r="R29" i="6"/>
  <c r="S29" i="6" s="1"/>
  <c r="R40" i="6"/>
  <c r="S40" i="6" s="1"/>
  <c r="R38" i="6"/>
  <c r="S38" i="6" s="1"/>
  <c r="R37" i="6"/>
  <c r="S37" i="6" s="1"/>
  <c r="R42" i="6"/>
  <c r="S42" i="6" s="1"/>
  <c r="R39" i="6"/>
  <c r="S39" i="6" s="1"/>
  <c r="R36" i="6"/>
  <c r="R34" i="6"/>
  <c r="S34" i="6" s="1"/>
  <c r="R35" i="6"/>
  <c r="S35" i="6" s="1"/>
  <c r="R62" i="6"/>
  <c r="R61" i="6"/>
  <c r="S61" i="6" s="1"/>
  <c r="R60" i="6"/>
  <c r="R63" i="6"/>
  <c r="S63" i="6" s="1"/>
  <c r="R65" i="6"/>
  <c r="S65" i="6" s="1"/>
  <c r="R64" i="6"/>
  <c r="S64" i="6" s="1"/>
  <c r="R51" i="6"/>
  <c r="S51" i="6" s="1"/>
  <c r="J51" i="6" s="1"/>
  <c r="R52" i="6"/>
  <c r="S52" i="6" s="1"/>
  <c r="R56" i="6"/>
  <c r="R53" i="6"/>
  <c r="R57" i="6"/>
  <c r="S57" i="6" s="1"/>
  <c r="R55" i="6"/>
  <c r="S55" i="6" s="1"/>
  <c r="R58" i="6"/>
  <c r="S58" i="6" s="1"/>
  <c r="R47" i="6"/>
  <c r="R49" i="6"/>
  <c r="S49" i="6" s="1"/>
  <c r="J49" i="6" s="1"/>
  <c r="R48" i="6"/>
  <c r="S48" i="6" s="1"/>
  <c r="R54" i="6"/>
  <c r="S54" i="6" s="1"/>
  <c r="R50" i="6"/>
  <c r="S50" i="6" s="1"/>
  <c r="R59" i="6"/>
  <c r="R10" i="6"/>
  <c r="S10" i="6" s="1"/>
  <c r="R11" i="6"/>
  <c r="R15" i="6"/>
  <c r="S15" i="6" s="1"/>
  <c r="R12" i="6"/>
  <c r="S12" i="6" s="1"/>
  <c r="R17" i="6"/>
  <c r="S17" i="6" s="1"/>
  <c r="R13" i="6"/>
  <c r="R23" i="6"/>
  <c r="S23" i="6" s="1"/>
  <c r="R18" i="6"/>
  <c r="S18" i="6" s="1"/>
  <c r="R24" i="6"/>
  <c r="S24" i="6" s="1"/>
  <c r="R30" i="6"/>
  <c r="S30" i="6" s="1"/>
  <c r="R33" i="6"/>
  <c r="R41" i="6"/>
  <c r="S41" i="6" s="1"/>
  <c r="R32" i="6"/>
  <c r="S32" i="6" s="1"/>
  <c r="R43" i="6"/>
  <c r="R44" i="6"/>
  <c r="S44" i="6" s="1"/>
  <c r="R45" i="6"/>
  <c r="S45" i="6" s="1"/>
  <c r="R46" i="6"/>
  <c r="S46" i="6" s="1"/>
  <c r="R3" i="6"/>
  <c r="S3" i="6" s="1"/>
  <c r="R6" i="6"/>
  <c r="S6" i="6" s="1"/>
  <c r="R5" i="6"/>
  <c r="S5" i="6" s="1"/>
  <c r="J5" i="6" s="1"/>
  <c r="R8" i="6"/>
  <c r="S8" i="6" s="1"/>
  <c r="R4" i="6"/>
  <c r="R9" i="6"/>
  <c r="R14" i="6"/>
  <c r="S14" i="6" s="1"/>
  <c r="R7" i="6"/>
  <c r="S7" i="6" s="1"/>
  <c r="R31" i="6"/>
  <c r="S31" i="6" s="1"/>
  <c r="R27" i="6"/>
  <c r="S27" i="6" s="1"/>
  <c r="R16" i="6"/>
  <c r="S16" i="6" s="1"/>
  <c r="J16" i="6" s="1"/>
  <c r="R28" i="6"/>
  <c r="S28" i="6" s="1"/>
  <c r="R20" i="6"/>
  <c r="S4" i="13"/>
  <c r="T4" i="13"/>
  <c r="S17" i="13"/>
  <c r="T17" i="13"/>
  <c r="S8" i="13"/>
  <c r="T8" i="13"/>
  <c r="S9" i="13"/>
  <c r="T9" i="13"/>
  <c r="S7" i="13"/>
  <c r="T7" i="13"/>
  <c r="S19" i="13"/>
  <c r="T19" i="13"/>
  <c r="S10" i="13"/>
  <c r="T10" i="13"/>
  <c r="S13" i="13"/>
  <c r="T13" i="13"/>
  <c r="S14" i="13"/>
  <c r="T14" i="13"/>
  <c r="S15" i="13"/>
  <c r="T15" i="13"/>
  <c r="S5" i="13"/>
  <c r="T5" i="13"/>
  <c r="S6" i="13"/>
  <c r="T6" i="13"/>
  <c r="S11" i="13"/>
  <c r="T11" i="13"/>
  <c r="S12" i="13"/>
  <c r="T12" i="13"/>
  <c r="S18" i="13"/>
  <c r="T18" i="13"/>
  <c r="S3" i="13"/>
  <c r="T3" i="13"/>
  <c r="T16" i="13"/>
  <c r="S16" i="13"/>
  <c r="S6" i="12"/>
  <c r="T6" i="12"/>
  <c r="S10" i="12"/>
  <c r="T10" i="12"/>
  <c r="S8" i="12"/>
  <c r="T8" i="12"/>
  <c r="S5" i="12"/>
  <c r="T5" i="12"/>
  <c r="S11" i="12"/>
  <c r="T11" i="12"/>
  <c r="S7" i="12"/>
  <c r="T7" i="12"/>
  <c r="S9" i="12"/>
  <c r="T9" i="12"/>
  <c r="S3" i="12"/>
  <c r="T3" i="12"/>
  <c r="T4" i="12"/>
  <c r="S4" i="12"/>
  <c r="A6" i="13" a="1"/>
  <c r="A6" i="13" s="1"/>
  <c r="A3" i="12" a="1"/>
  <c r="A3" i="12" s="1"/>
  <c r="A49" i="3" a="1"/>
  <c r="A49" i="3" s="1"/>
  <c r="A11" i="11" a="1"/>
  <c r="A11" i="11" s="1"/>
  <c r="A9" i="11" a="1"/>
  <c r="A9" i="11" s="1"/>
  <c r="A12" i="11" a="1"/>
  <c r="A12" i="11" s="1"/>
  <c r="A15" i="11" a="1"/>
  <c r="A15" i="11" s="1"/>
  <c r="A16" i="11" a="1"/>
  <c r="A16" i="11" s="1"/>
  <c r="A17" i="11" a="1"/>
  <c r="A17" i="11" s="1"/>
  <c r="A20" i="11" a="1"/>
  <c r="A20" i="11" s="1"/>
  <c r="A22" i="11" a="1"/>
  <c r="A22" i="11" s="1"/>
  <c r="A21" i="11" a="1"/>
  <c r="A21" i="11" s="1"/>
  <c r="A48" i="11" a="1"/>
  <c r="A48" i="11" s="1"/>
  <c r="A41" i="11" a="1"/>
  <c r="A41" i="11" s="1"/>
  <c r="A47" i="11" a="1"/>
  <c r="A47" i="11" s="1"/>
  <c r="A54" i="11" a="1"/>
  <c r="A54" i="11" s="1"/>
  <c r="A34" i="11" a="1"/>
  <c r="A34" i="11" s="1"/>
  <c r="A33" i="11" a="1"/>
  <c r="A33" i="11" s="1"/>
  <c r="A24" i="11" a="1"/>
  <c r="A24" i="11" s="1"/>
  <c r="A52" i="11" a="1"/>
  <c r="A52" i="11" s="1"/>
  <c r="A46" i="11" a="1"/>
  <c r="A46" i="11" s="1"/>
  <c r="A38" i="11" a="1"/>
  <c r="A38" i="11" s="1"/>
  <c r="A32" i="11" a="1"/>
  <c r="A32" i="11" s="1"/>
  <c r="A26" i="11" a="1"/>
  <c r="A26" i="11" s="1"/>
  <c r="A31" i="11" a="1"/>
  <c r="A31" i="11" s="1"/>
  <c r="A27" i="11" a="1"/>
  <c r="A27" i="11" s="1"/>
  <c r="A35" i="11" a="1"/>
  <c r="A35" i="11" s="1"/>
  <c r="A28" i="11" a="1"/>
  <c r="A28" i="11" s="1"/>
  <c r="A51" i="11" a="1"/>
  <c r="A51" i="11" s="1"/>
  <c r="A37" i="11" a="1"/>
  <c r="A37" i="11" s="1"/>
  <c r="A36" i="11" a="1"/>
  <c r="A36" i="11" s="1"/>
  <c r="A49" i="11" a="1"/>
  <c r="A49" i="11" s="1"/>
  <c r="A30" i="11" a="1"/>
  <c r="A30" i="11" s="1"/>
  <c r="A23" i="11" a="1"/>
  <c r="A23" i="11" s="1"/>
  <c r="A29" i="11" a="1"/>
  <c r="A29" i="11" s="1"/>
  <c r="A55" i="11" a="1"/>
  <c r="A55" i="11" s="1"/>
  <c r="A25" i="11" a="1"/>
  <c r="A25" i="11" s="1"/>
  <c r="A40" i="11" a="1"/>
  <c r="A40" i="11" s="1"/>
  <c r="A70" i="11" a="1"/>
  <c r="A70" i="11" s="1"/>
  <c r="A61" i="11" a="1"/>
  <c r="A61" i="11" s="1"/>
  <c r="A64" i="11" a="1"/>
  <c r="A64" i="11" s="1"/>
  <c r="A63" i="11" a="1"/>
  <c r="A63" i="11" s="1"/>
  <c r="A68" i="11" a="1"/>
  <c r="A68" i="11" s="1"/>
  <c r="A67" i="11" a="1"/>
  <c r="A67" i="11" s="1"/>
  <c r="A66" i="11" a="1"/>
  <c r="A66" i="11" s="1"/>
  <c r="A69" i="11" a="1"/>
  <c r="A69" i="11" s="1"/>
  <c r="A65" i="11" a="1"/>
  <c r="A65" i="11" s="1"/>
  <c r="A71" i="11" a="1"/>
  <c r="A71" i="11" s="1"/>
  <c r="A75" i="11" a="1"/>
  <c r="A75" i="11" s="1"/>
  <c r="A73" i="11" a="1"/>
  <c r="A73" i="11" s="1"/>
  <c r="A72" i="11" a="1"/>
  <c r="A72" i="11" s="1"/>
  <c r="A76" i="11" a="1"/>
  <c r="A76" i="11" s="1"/>
  <c r="A78" i="11" a="1"/>
  <c r="A78" i="11" s="1"/>
  <c r="A77" i="11" a="1"/>
  <c r="A77" i="11" s="1"/>
  <c r="A79" i="11" a="1"/>
  <c r="A79" i="11" s="1"/>
  <c r="A80" i="11" a="1"/>
  <c r="A80" i="11" s="1"/>
  <c r="A82" i="11" a="1"/>
  <c r="A82" i="11" s="1"/>
  <c r="A59" i="11" a="1"/>
  <c r="A59" i="11" s="1"/>
  <c r="A60" i="11" a="1"/>
  <c r="A60" i="11" s="1"/>
  <c r="A62" i="11" a="1"/>
  <c r="A62" i="11" s="1"/>
  <c r="A74" i="11" a="1"/>
  <c r="A74" i="11" s="1"/>
  <c r="A7" i="11" a="1"/>
  <c r="A7" i="11" s="1"/>
  <c r="A14" i="11" a="1"/>
  <c r="A14" i="11" s="1"/>
  <c r="A8" i="11" a="1"/>
  <c r="A8" i="11" s="1"/>
  <c r="A13" i="11" a="1"/>
  <c r="A13" i="11" s="1"/>
  <c r="A18" i="11" a="1"/>
  <c r="A18" i="11" s="1"/>
  <c r="A19" i="11" a="1"/>
  <c r="A19" i="11" s="1"/>
  <c r="A43" i="11" a="1"/>
  <c r="A43" i="11" s="1"/>
  <c r="A42" i="11" a="1"/>
  <c r="A42" i="11" s="1"/>
  <c r="A56" i="11" a="1"/>
  <c r="A56" i="11" s="1"/>
  <c r="A45" i="11" a="1"/>
  <c r="A45" i="11" s="1"/>
  <c r="A39" i="11" a="1"/>
  <c r="A39" i="11" s="1"/>
  <c r="A44" i="11" a="1"/>
  <c r="A44" i="11" s="1"/>
  <c r="A53" i="11" a="1"/>
  <c r="A53" i="11" s="1"/>
  <c r="A57" i="11" a="1"/>
  <c r="A57" i="11" s="1"/>
  <c r="A58" i="11" a="1"/>
  <c r="A58" i="11" s="1"/>
  <c r="Q58" i="11" s="1"/>
  <c r="A81" i="11" a="1"/>
  <c r="A81" i="11" s="1"/>
  <c r="Q81" i="11" s="1"/>
  <c r="A3" i="11" a="1"/>
  <c r="A3" i="11" s="1"/>
  <c r="Q3" i="11" s="1"/>
  <c r="A4" i="11" a="1"/>
  <c r="A4" i="11" s="1"/>
  <c r="A5" i="11" a="1"/>
  <c r="A5" i="11" s="1"/>
  <c r="A6" i="11" a="1"/>
  <c r="A6" i="11" s="1"/>
  <c r="Q6" i="11" s="1"/>
  <c r="A50" i="11" a="1"/>
  <c r="A50" i="11" s="1"/>
  <c r="Q50" i="11" s="1"/>
  <c r="A10" i="11" a="1"/>
  <c r="A10" i="11" s="1"/>
  <c r="D58" i="11"/>
  <c r="G58" i="11"/>
  <c r="L58" i="11" s="1"/>
  <c r="X58" i="11"/>
  <c r="AE58" i="11"/>
  <c r="D81" i="11"/>
  <c r="G81" i="11"/>
  <c r="L81" i="11" s="1"/>
  <c r="X81" i="11"/>
  <c r="AE8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6" i="11"/>
  <c r="G6" i="11"/>
  <c r="M6" i="11" s="1"/>
  <c r="X6" i="11"/>
  <c r="AE6" i="11"/>
  <c r="D50" i="11"/>
  <c r="G50" i="11"/>
  <c r="K50" i="11" s="1"/>
  <c r="X50" i="11"/>
  <c r="AE50" i="11"/>
  <c r="X28" i="3"/>
  <c r="A52" i="3" a="1"/>
  <c r="A52" i="3" s="1"/>
  <c r="A56" i="3" a="1"/>
  <c r="A56" i="3" s="1"/>
  <c r="A62" i="3" a="1"/>
  <c r="A62" i="3" s="1"/>
  <c r="A59" i="3" a="1"/>
  <c r="A59" i="3" s="1"/>
  <c r="A55" i="3" a="1"/>
  <c r="A55" i="3" s="1"/>
  <c r="A16" i="3" a="1"/>
  <c r="A16" i="3" s="1"/>
  <c r="A27" i="3" a="1"/>
  <c r="A27" i="3" s="1"/>
  <c r="A31" i="3" a="1"/>
  <c r="A31" i="3" s="1"/>
  <c r="A64" i="3" a="1"/>
  <c r="A64" i="3" s="1"/>
  <c r="A36" i="3" a="1"/>
  <c r="A36" i="3" s="1"/>
  <c r="A24" i="3" a="1"/>
  <c r="A24" i="3" s="1"/>
  <c r="A65" i="3" a="1"/>
  <c r="A65" i="3" s="1"/>
  <c r="A18" i="3" a="1"/>
  <c r="A18" i="3" s="1"/>
  <c r="A20" i="3" a="1"/>
  <c r="A20" i="3" s="1"/>
  <c r="A28" i="3" a="1"/>
  <c r="A28" i="3" s="1"/>
  <c r="A34" i="3" a="1"/>
  <c r="A34" i="3" s="1"/>
  <c r="A22" i="3" a="1"/>
  <c r="A22" i="3" s="1"/>
  <c r="A23" i="3" a="1"/>
  <c r="A23" i="3" s="1"/>
  <c r="A15" i="3" a="1"/>
  <c r="A15" i="3" s="1"/>
  <c r="A29" i="3" a="1"/>
  <c r="A29" i="3" s="1"/>
  <c r="A13" i="3" a="1"/>
  <c r="A13" i="3" s="1"/>
  <c r="A3" i="3" a="1"/>
  <c r="A3" i="3" s="1"/>
  <c r="A17" i="3" a="1"/>
  <c r="A17" i="3" s="1"/>
  <c r="A53" i="3" a="1"/>
  <c r="A53" i="3" s="1"/>
  <c r="A44" i="3" a="1"/>
  <c r="A44" i="3" s="1"/>
  <c r="A19" i="3" a="1"/>
  <c r="A19" i="3" s="1"/>
  <c r="A63" i="3" a="1"/>
  <c r="A63" i="3" s="1"/>
  <c r="A61" i="3" a="1"/>
  <c r="A61" i="3" s="1"/>
  <c r="A12" i="3" a="1"/>
  <c r="A12" i="3" s="1"/>
  <c r="A38" i="3" a="1"/>
  <c r="A38" i="3" s="1"/>
  <c r="A40" i="3" a="1"/>
  <c r="A40" i="3" s="1"/>
  <c r="A32" i="3" a="1"/>
  <c r="A32" i="3" s="1"/>
  <c r="A33" i="3" a="1"/>
  <c r="A33" i="3" s="1"/>
  <c r="A46" i="3" a="1"/>
  <c r="A46" i="3" s="1"/>
  <c r="A21" i="3" a="1"/>
  <c r="A21" i="3" s="1"/>
  <c r="A11" i="3" a="1"/>
  <c r="A11" i="3" s="1"/>
  <c r="A67" i="3" a="1"/>
  <c r="A67" i="3" s="1"/>
  <c r="A41" i="3" a="1"/>
  <c r="A41" i="3" s="1"/>
  <c r="A48" i="3" a="1"/>
  <c r="A48" i="3" s="1"/>
  <c r="A35" i="3" a="1"/>
  <c r="A35" i="3" s="1"/>
  <c r="A5" i="3" a="1"/>
  <c r="A5" i="3" s="1"/>
  <c r="A14" i="3" a="1"/>
  <c r="A14" i="3" s="1"/>
  <c r="A47" i="3" a="1"/>
  <c r="A47" i="3" s="1"/>
  <c r="A60" i="3" a="1"/>
  <c r="A60" i="3" s="1"/>
  <c r="A68" i="3" a="1"/>
  <c r="A68" i="3" s="1"/>
  <c r="A7" i="3" a="1"/>
  <c r="A7" i="3" s="1"/>
  <c r="A39" i="3" a="1"/>
  <c r="A39" i="3" s="1"/>
  <c r="A9" i="3" a="1"/>
  <c r="A9" i="3" s="1"/>
  <c r="A8" i="3" a="1"/>
  <c r="A8" i="3" s="1"/>
  <c r="A43" i="3" a="1"/>
  <c r="A43" i="3" s="1"/>
  <c r="A6" i="3" a="1"/>
  <c r="A6" i="3" s="1"/>
  <c r="A42" i="3" a="1"/>
  <c r="A42" i="3" s="1"/>
  <c r="A30" i="3" a="1"/>
  <c r="A30" i="3" s="1"/>
  <c r="A57" i="3" a="1"/>
  <c r="A57" i="3" s="1"/>
  <c r="A8" i="12" a="1"/>
  <c r="A8" i="12" s="1"/>
  <c r="A6" i="12" a="1"/>
  <c r="A6" i="12" s="1"/>
  <c r="A10" i="12" a="1"/>
  <c r="A10" i="12" s="1"/>
  <c r="A5" i="12" a="1"/>
  <c r="A5" i="12" s="1"/>
  <c r="A7" i="12" a="1"/>
  <c r="A7" i="12" s="1"/>
  <c r="A11" i="12" a="1"/>
  <c r="A11" i="12" s="1"/>
  <c r="A9" i="12" a="1"/>
  <c r="A9" i="12" s="1"/>
  <c r="A13" i="13" a="1"/>
  <c r="A13" i="13" s="1"/>
  <c r="A19" i="13" a="1"/>
  <c r="A19" i="13" s="1"/>
  <c r="A10" i="13" a="1"/>
  <c r="A10" i="13" s="1"/>
  <c r="A8" i="13" a="1"/>
  <c r="A8" i="13" s="1"/>
  <c r="A4" i="13" a="1"/>
  <c r="A4" i="13" s="1"/>
  <c r="A18" i="13" a="1"/>
  <c r="A18" i="13" s="1"/>
  <c r="A12" i="13" a="1"/>
  <c r="A12" i="13" s="1"/>
  <c r="A3" i="13" a="1"/>
  <c r="A3" i="13" s="1"/>
  <c r="A15" i="13" a="1"/>
  <c r="A15" i="13" s="1"/>
  <c r="A9" i="13" a="1"/>
  <c r="A9" i="13" s="1"/>
  <c r="A11" i="13" a="1"/>
  <c r="A11" i="13" s="1"/>
  <c r="A5" i="13" a="1"/>
  <c r="A5" i="13" s="1"/>
  <c r="A14" i="13" a="1"/>
  <c r="A14" i="13" s="1"/>
  <c r="A29" i="6" a="1"/>
  <c r="A29" i="6" s="1"/>
  <c r="A37" i="6" a="1"/>
  <c r="A37" i="6" s="1"/>
  <c r="A39" i="6" a="1"/>
  <c r="A39" i="6" s="1"/>
  <c r="A52" i="6" a="1"/>
  <c r="A52" i="6" s="1"/>
  <c r="A64" i="6" a="1"/>
  <c r="A64" i="6" s="1"/>
  <c r="A35" i="6" a="1"/>
  <c r="A35" i="6" s="1"/>
  <c r="A63" i="6" a="1"/>
  <c r="A63" i="6" s="1"/>
  <c r="A25" i="6" a="1"/>
  <c r="A25" i="6" s="1"/>
  <c r="A60" i="6" a="1"/>
  <c r="A60" i="6" s="1"/>
  <c r="A57" i="6" a="1"/>
  <c r="A57" i="6" s="1"/>
  <c r="A20" i="6" a="1"/>
  <c r="A20" i="6" s="1"/>
  <c r="A21" i="6" a="1"/>
  <c r="A21" i="6" s="1"/>
  <c r="A61" i="6" a="1"/>
  <c r="A61" i="6" s="1"/>
  <c r="A36" i="6" a="1"/>
  <c r="A36" i="6" s="1"/>
  <c r="A34" i="6" a="1"/>
  <c r="A34" i="6" s="1"/>
  <c r="A30" i="6" a="1"/>
  <c r="A30" i="6" s="1"/>
  <c r="A33" i="6" a="1"/>
  <c r="A33" i="6" s="1"/>
  <c r="A32" i="6" a="1"/>
  <c r="A32" i="6" s="1"/>
  <c r="A43" i="6" a="1"/>
  <c r="A43" i="6" s="1"/>
  <c r="A23" i="6" a="1"/>
  <c r="A23" i="6" s="1"/>
  <c r="A8" i="6" a="1"/>
  <c r="A8" i="6" s="1"/>
  <c r="A6" i="6" a="1"/>
  <c r="A6" i="6" s="1"/>
  <c r="A24" i="6" a="1"/>
  <c r="A24" i="6" s="1"/>
  <c r="A10" i="6" a="1"/>
  <c r="A10" i="6" s="1"/>
  <c r="A15" i="6" a="1"/>
  <c r="A15" i="6" s="1"/>
  <c r="A12" i="6" a="1"/>
  <c r="A12" i="6" s="1"/>
  <c r="A58" i="6" a="1"/>
  <c r="A58" i="6" s="1"/>
  <c r="A16" i="6" a="1"/>
  <c r="A16" i="6" s="1"/>
  <c r="A44" i="6" a="1"/>
  <c r="A44" i="6" s="1"/>
  <c r="A14" i="6" a="1"/>
  <c r="A14" i="6" s="1"/>
  <c r="A17" i="6" a="1"/>
  <c r="A17" i="6" s="1"/>
  <c r="A7" i="6" a="1"/>
  <c r="A7" i="6" s="1"/>
  <c r="A46" i="6" a="1"/>
  <c r="A46" i="6" s="1"/>
  <c r="A18" i="6" a="1"/>
  <c r="A18" i="6" s="1"/>
  <c r="A5" i="6" a="1"/>
  <c r="A5" i="6" s="1"/>
  <c r="A9" i="6" a="1"/>
  <c r="A9" i="6" s="1"/>
  <c r="A41" i="6" a="1"/>
  <c r="A41" i="6" s="1"/>
  <c r="A4" i="6" a="1"/>
  <c r="A4" i="6" s="1"/>
  <c r="A3" i="6" a="1"/>
  <c r="A3" i="6" s="1"/>
  <c r="A13" i="6" a="1"/>
  <c r="A13" i="6" s="1"/>
  <c r="A31" i="6" a="1"/>
  <c r="A31" i="6" s="1"/>
  <c r="A17" i="14" a="1"/>
  <c r="A17" i="14" s="1"/>
  <c r="A19" i="14" a="1"/>
  <c r="A19" i="14" s="1"/>
  <c r="A35" i="14" a="1"/>
  <c r="A35" i="14" s="1"/>
  <c r="A23" i="14" a="1"/>
  <c r="A23" i="14" s="1"/>
  <c r="A20" i="14" a="1"/>
  <c r="A20" i="14" s="1"/>
  <c r="A18" i="14" a="1"/>
  <c r="A18" i="14" s="1"/>
  <c r="A36" i="14" a="1"/>
  <c r="A36" i="14" s="1"/>
  <c r="A25" i="14" a="1"/>
  <c r="A25" i="14" s="1"/>
  <c r="A39" i="14" a="1"/>
  <c r="A39" i="14" s="1"/>
  <c r="A57" i="14" a="1"/>
  <c r="A57" i="14" s="1"/>
  <c r="A30" i="14" a="1"/>
  <c r="A30" i="14" s="1"/>
  <c r="A54" i="14" a="1"/>
  <c r="A54" i="14" s="1"/>
  <c r="A29" i="14" a="1"/>
  <c r="A29" i="14" s="1"/>
  <c r="A65" i="14" a="1"/>
  <c r="A65" i="14" s="1"/>
  <c r="A3" i="14" a="1"/>
  <c r="A3" i="14" s="1"/>
  <c r="A44" i="14" a="1"/>
  <c r="A44" i="14" s="1"/>
  <c r="A16" i="14" a="1"/>
  <c r="A16" i="14" s="1"/>
  <c r="A55" i="14" a="1"/>
  <c r="A55" i="14" s="1"/>
  <c r="A8" i="14" a="1"/>
  <c r="A8" i="14" s="1"/>
  <c r="A11" i="14" a="1"/>
  <c r="A11" i="14" s="1"/>
  <c r="A56" i="14" a="1"/>
  <c r="A56" i="14" s="1"/>
  <c r="A42" i="14" a="1"/>
  <c r="A42" i="14" s="1"/>
  <c r="A66" i="14" a="1"/>
  <c r="A66" i="14" s="1"/>
  <c r="A58" i="14" a="1"/>
  <c r="A58" i="14" s="1"/>
  <c r="A69" i="14" a="1"/>
  <c r="A69" i="14" s="1"/>
  <c r="A40" i="14" a="1"/>
  <c r="A40" i="14" s="1"/>
  <c r="A48" i="14" a="1"/>
  <c r="A48" i="14" s="1"/>
  <c r="A34" i="14" a="1"/>
  <c r="A34" i="14" s="1"/>
  <c r="A47" i="14" a="1"/>
  <c r="A47" i="14" s="1"/>
  <c r="A46" i="14" a="1"/>
  <c r="A46" i="14" s="1"/>
  <c r="A28" i="14" a="1"/>
  <c r="A28" i="14" s="1"/>
  <c r="A53" i="14" a="1"/>
  <c r="A53" i="14" s="1"/>
  <c r="A61" i="14" a="1"/>
  <c r="A61" i="14" s="1"/>
  <c r="A68" i="14" a="1"/>
  <c r="A68" i="14" s="1"/>
  <c r="A62" i="14" a="1"/>
  <c r="A62" i="14" s="1"/>
  <c r="A10" i="14" a="1"/>
  <c r="A10" i="14" s="1"/>
  <c r="A43" i="14" a="1"/>
  <c r="A43" i="14" s="1"/>
  <c r="A15" i="14" a="1"/>
  <c r="A15" i="14" s="1"/>
  <c r="A7" i="14" a="1"/>
  <c r="A7" i="14" s="1"/>
  <c r="A12" i="14" a="1"/>
  <c r="A12" i="14" s="1"/>
  <c r="A67" i="14" a="1"/>
  <c r="A67" i="14" s="1"/>
  <c r="A5" i="14" a="1"/>
  <c r="A5" i="14" s="1"/>
  <c r="A4" i="14" a="1"/>
  <c r="A4" i="14" s="1"/>
  <c r="A63" i="14" a="1"/>
  <c r="A63" i="14" s="1"/>
  <c r="A64" i="14" a="1"/>
  <c r="A64" i="14" s="1"/>
  <c r="A24" i="14" a="1"/>
  <c r="A24" i="14" s="1"/>
  <c r="A9" i="14" a="1"/>
  <c r="A9" i="14" s="1"/>
  <c r="A6" i="14" a="1"/>
  <c r="A6" i="14" s="1"/>
  <c r="A13" i="16" a="1"/>
  <c r="A13" i="16" s="1"/>
  <c r="A15" i="16" a="1"/>
  <c r="A15" i="16" s="1"/>
  <c r="A11" i="16" a="1"/>
  <c r="A11" i="16" s="1"/>
  <c r="A26" i="16" a="1"/>
  <c r="A26" i="16" s="1"/>
  <c r="A28" i="16" a="1"/>
  <c r="A28" i="16" s="1"/>
  <c r="A33" i="16" a="1"/>
  <c r="A33" i="16" s="1"/>
  <c r="A21" i="16" a="1"/>
  <c r="A21" i="16" s="1"/>
  <c r="A16" i="16" a="1"/>
  <c r="A16" i="16" s="1"/>
  <c r="A34" i="16" a="1"/>
  <c r="A34" i="16" s="1"/>
  <c r="A31" i="16" a="1"/>
  <c r="A31" i="16" s="1"/>
  <c r="A5" i="16" a="1"/>
  <c r="A5" i="16" s="1"/>
  <c r="A6" i="16" a="1"/>
  <c r="A6" i="16" s="1"/>
  <c r="A4" i="16" a="1"/>
  <c r="A4" i="16" s="1"/>
  <c r="A3" i="16" a="1"/>
  <c r="A3" i="16" s="1"/>
  <c r="A29" i="16" a="1"/>
  <c r="A29" i="16" s="1"/>
  <c r="A20" i="16" a="1"/>
  <c r="A20" i="16" s="1"/>
  <c r="A24" i="16" a="1"/>
  <c r="A24" i="16" s="1"/>
  <c r="A40" i="16" a="1"/>
  <c r="A40" i="16" s="1"/>
  <c r="A27" i="16" a="1"/>
  <c r="A27" i="16" s="1"/>
  <c r="A8" i="16" a="1"/>
  <c r="A8" i="16" s="1"/>
  <c r="A23" i="16" a="1"/>
  <c r="A23" i="16" s="1"/>
  <c r="A41" i="16" a="1"/>
  <c r="A41" i="16" s="1"/>
  <c r="A10" i="16" a="1"/>
  <c r="A10" i="16" s="1"/>
  <c r="A7" i="16" a="1"/>
  <c r="A7" i="16" s="1"/>
  <c r="A36" i="16" a="1"/>
  <c r="A36" i="16" s="1"/>
  <c r="A42" i="16" a="1"/>
  <c r="A42" i="16" s="1"/>
  <c r="A22" i="16" a="1"/>
  <c r="A22" i="16" s="1"/>
  <c r="A9" i="16" a="1"/>
  <c r="A9" i="16" s="1"/>
  <c r="A39" i="16" a="1"/>
  <c r="A39" i="16" s="1"/>
  <c r="A12" i="16" a="1"/>
  <c r="A12" i="16" s="1"/>
  <c r="A37" i="16" a="1"/>
  <c r="A37" i="16" s="1"/>
  <c r="A44" i="16" a="1"/>
  <c r="A44" i="16" s="1"/>
  <c r="A18" i="15" a="1"/>
  <c r="A18" i="15" s="1"/>
  <c r="A16" i="15" a="1"/>
  <c r="A16" i="15" s="1"/>
  <c r="A19" i="15" a="1"/>
  <c r="A19" i="15" s="1"/>
  <c r="A20" i="15" a="1"/>
  <c r="A20" i="15" s="1"/>
  <c r="A5" i="15" a="1"/>
  <c r="A5" i="15" s="1"/>
  <c r="A4" i="15" a="1"/>
  <c r="A4" i="15" s="1"/>
  <c r="A12" i="15" a="1"/>
  <c r="A12" i="15" s="1"/>
  <c r="A26" i="15" a="1"/>
  <c r="A26" i="15" s="1"/>
  <c r="A11" i="15" a="1"/>
  <c r="A11" i="15" s="1"/>
  <c r="A6" i="15" a="1"/>
  <c r="A6" i="15" s="1"/>
  <c r="A25" i="15" a="1"/>
  <c r="A25" i="15" s="1"/>
  <c r="A3" i="15" a="1"/>
  <c r="A3" i="15" s="1"/>
  <c r="A28" i="15" a="1"/>
  <c r="A28" i="15" s="1"/>
  <c r="A27" i="15" a="1"/>
  <c r="A27" i="15" s="1"/>
  <c r="A9" i="15" a="1"/>
  <c r="A9" i="15" s="1"/>
  <c r="A29" i="15" a="1"/>
  <c r="A29" i="15" s="1"/>
  <c r="A8" i="15" a="1"/>
  <c r="A8" i="15" s="1"/>
  <c r="A22" i="15" a="1"/>
  <c r="A22" i="15" s="1"/>
  <c r="K16" i="13" l="1"/>
  <c r="K11" i="13"/>
  <c r="K14" i="13"/>
  <c r="K7" i="13"/>
  <c r="K4" i="13"/>
  <c r="K17" i="13"/>
  <c r="K4" i="12"/>
  <c r="J16" i="14"/>
  <c r="J59" i="14"/>
  <c r="J54" i="14"/>
  <c r="J62" i="14"/>
  <c r="J66" i="14"/>
  <c r="S45" i="14"/>
  <c r="J45" i="14" s="1"/>
  <c r="J7" i="14"/>
  <c r="J41" i="14"/>
  <c r="J49" i="14"/>
  <c r="J30" i="14"/>
  <c r="J12" i="14"/>
  <c r="J50" i="14"/>
  <c r="S44" i="14"/>
  <c r="J44" i="14" s="1"/>
  <c r="J8" i="14"/>
  <c r="J5" i="14"/>
  <c r="J28" i="14"/>
  <c r="J57" i="14"/>
  <c r="J29" i="14"/>
  <c r="J51" i="14"/>
  <c r="J4" i="14"/>
  <c r="J69" i="14"/>
  <c r="S9" i="14"/>
  <c r="J9" i="14" s="1"/>
  <c r="S65" i="14"/>
  <c r="J65" i="14" s="1"/>
  <c r="J28" i="6"/>
  <c r="J12" i="6"/>
  <c r="J48" i="6"/>
  <c r="J30" i="6"/>
  <c r="J26" i="6"/>
  <c r="J39" i="6"/>
  <c r="J58" i="6"/>
  <c r="J61" i="6"/>
  <c r="J8" i="6"/>
  <c r="J52" i="6"/>
  <c r="J31" i="6"/>
  <c r="J44" i="6"/>
  <c r="J54" i="6"/>
  <c r="J64" i="6"/>
  <c r="J3" i="6"/>
  <c r="J35" i="6"/>
  <c r="J6" i="6"/>
  <c r="J25" i="6"/>
  <c r="J32" i="6"/>
  <c r="J29" i="6"/>
  <c r="J15" i="6"/>
  <c r="J57" i="6"/>
  <c r="J65" i="6"/>
  <c r="J38" i="6"/>
  <c r="J45" i="6"/>
  <c r="J14" i="6"/>
  <c r="J23" i="6"/>
  <c r="J34" i="6"/>
  <c r="J17" i="6"/>
  <c r="J27" i="6"/>
  <c r="J41" i="6"/>
  <c r="S13" i="6"/>
  <c r="J13" i="6" s="1"/>
  <c r="S47" i="6"/>
  <c r="J47" i="6" s="1"/>
  <c r="S60" i="6"/>
  <c r="J60" i="6" s="1"/>
  <c r="J40" i="6"/>
  <c r="S20" i="6"/>
  <c r="J20" i="6" s="1"/>
  <c r="S33" i="6"/>
  <c r="J33" i="6" s="1"/>
  <c r="S11" i="6"/>
  <c r="J11" i="6" s="1"/>
  <c r="S36" i="6"/>
  <c r="J36" i="6" s="1"/>
  <c r="S22" i="6"/>
  <c r="J22" i="6" s="1"/>
  <c r="J7" i="6"/>
  <c r="J46" i="6"/>
  <c r="J24" i="6"/>
  <c r="J10" i="6"/>
  <c r="J55" i="6"/>
  <c r="J63" i="6"/>
  <c r="J42" i="6"/>
  <c r="J19" i="6"/>
  <c r="S9" i="6"/>
  <c r="J9" i="6" s="1"/>
  <c r="S43" i="6"/>
  <c r="J43" i="6" s="1"/>
  <c r="S59" i="6"/>
  <c r="J59" i="6" s="1"/>
  <c r="S53" i="6"/>
  <c r="J53" i="6" s="1"/>
  <c r="S62" i="6"/>
  <c r="J62" i="6" s="1"/>
  <c r="S21" i="6"/>
  <c r="J21" i="6" s="1"/>
  <c r="J18" i="6"/>
  <c r="J37" i="6"/>
  <c r="J50" i="6"/>
  <c r="S4" i="6"/>
  <c r="J4" i="6" s="1"/>
  <c r="S56" i="6"/>
  <c r="J56" i="6" s="1"/>
  <c r="J37" i="16"/>
  <c r="J26" i="16"/>
  <c r="J22" i="16"/>
  <c r="J6" i="16"/>
  <c r="J3" i="16"/>
  <c r="J19" i="16"/>
  <c r="J16" i="15"/>
  <c r="J12" i="15"/>
  <c r="S11" i="15"/>
  <c r="J11" i="15" s="1"/>
  <c r="S24" i="15"/>
  <c r="J24" i="15" s="1"/>
  <c r="J27" i="15"/>
  <c r="J5" i="15"/>
  <c r="J8" i="15"/>
  <c r="J10" i="15"/>
  <c r="J3" i="15"/>
  <c r="J19" i="15"/>
  <c r="J4" i="15"/>
  <c r="J9" i="15"/>
  <c r="J17" i="15"/>
  <c r="K6" i="13"/>
  <c r="K9" i="13"/>
  <c r="K12" i="13"/>
  <c r="K19" i="13"/>
  <c r="K15" i="13"/>
  <c r="K5" i="13"/>
  <c r="K8" i="13"/>
  <c r="K3" i="13"/>
  <c r="K13" i="13"/>
  <c r="K18" i="13"/>
  <c r="K10" i="13"/>
  <c r="K7" i="12"/>
  <c r="K11" i="12"/>
  <c r="K6" i="12"/>
  <c r="K3" i="12"/>
  <c r="K5" i="12"/>
  <c r="K9" i="12"/>
  <c r="K8" i="12"/>
  <c r="K10" i="12"/>
  <c r="S6" i="11"/>
  <c r="L6" i="11"/>
  <c r="R6" i="11"/>
  <c r="R3" i="11"/>
  <c r="R81" i="11"/>
  <c r="R50" i="11"/>
  <c r="S5" i="11"/>
  <c r="R5" i="11"/>
  <c r="R58" i="11"/>
  <c r="K6" i="11"/>
  <c r="S4" i="11"/>
  <c r="R4" i="11"/>
  <c r="S50" i="11"/>
  <c r="S3" i="11"/>
  <c r="J12" i="16"/>
  <c r="J40" i="16"/>
  <c r="J31" i="16"/>
  <c r="J5" i="16"/>
  <c r="J10" i="16"/>
  <c r="J39" i="16"/>
  <c r="J23" i="16"/>
  <c r="J34" i="16"/>
  <c r="J11" i="16"/>
  <c r="S4" i="16"/>
  <c r="J4" i="16" s="1"/>
  <c r="S38" i="16"/>
  <c r="J38" i="16" s="1"/>
  <c r="S44" i="16"/>
  <c r="J44" i="16" s="1"/>
  <c r="S30" i="16"/>
  <c r="J30" i="16" s="1"/>
  <c r="S16" i="16"/>
  <c r="J16" i="16" s="1"/>
  <c r="J14" i="15"/>
  <c r="S3" i="14"/>
  <c r="J3" i="14" s="1"/>
  <c r="S24" i="14"/>
  <c r="J24" i="14" s="1"/>
  <c r="S6" i="14"/>
  <c r="J6" i="14" s="1"/>
  <c r="S67" i="14"/>
  <c r="J67" i="14" s="1"/>
  <c r="S56" i="14"/>
  <c r="J56" i="14" s="1"/>
  <c r="S46" i="14"/>
  <c r="J46" i="14" s="1"/>
  <c r="S36" i="14"/>
  <c r="J36" i="14" s="1"/>
  <c r="S20" i="14"/>
  <c r="J20" i="14" s="1"/>
  <c r="Q5" i="11"/>
  <c r="Q4" i="11"/>
  <c r="K3" i="11"/>
  <c r="M3" i="11"/>
  <c r="M81" i="11"/>
  <c r="B81" i="11" s="1" a="1"/>
  <c r="B81" i="11" s="1"/>
  <c r="K58" i="11"/>
  <c r="M50" i="11"/>
  <c r="B50" i="11" s="1" a="1"/>
  <c r="B50" i="11" s="1"/>
  <c r="L50" i="11"/>
  <c r="K81" i="11"/>
  <c r="M4" i="11"/>
  <c r="M5" i="11"/>
  <c r="L4" i="11"/>
  <c r="L5" i="11"/>
  <c r="M58" i="11"/>
  <c r="B58" i="11" s="1" a="1"/>
  <c r="B58" i="11" s="1"/>
  <c r="D25" i="15"/>
  <c r="Q25" i="15"/>
  <c r="G25" i="15"/>
  <c r="J3" i="11" l="1"/>
  <c r="J6" i="11"/>
  <c r="S81" i="11"/>
  <c r="J81" i="11" s="1"/>
  <c r="J5" i="11"/>
  <c r="S58" i="11"/>
  <c r="J58" i="11" s="1"/>
  <c r="J50" i="11"/>
  <c r="J4" i="11"/>
  <c r="L25" i="15"/>
  <c r="K25" i="15"/>
  <c r="M25" i="15"/>
  <c r="B25" i="15" s="1" a="1"/>
  <c r="B25" i="15" s="1"/>
  <c r="AE22" i="11" l="1"/>
  <c r="AE41" i="11"/>
  <c r="D23" i="16" l="1"/>
  <c r="D16" i="16"/>
  <c r="D18" i="16"/>
  <c r="D19" i="16"/>
  <c r="D34" i="16"/>
  <c r="D25" i="16"/>
  <c r="D28" i="16"/>
  <c r="D35" i="16"/>
  <c r="D32" i="16"/>
  <c r="D30" i="16"/>
  <c r="D33" i="16"/>
  <c r="D26" i="16"/>
  <c r="D21" i="16"/>
  <c r="D11" i="16"/>
  <c r="D13" i="16"/>
  <c r="D14" i="16"/>
  <c r="D15" i="16"/>
  <c r="D17" i="16"/>
  <c r="D26" i="15"/>
  <c r="D29" i="15"/>
  <c r="D28" i="15"/>
  <c r="D23" i="15"/>
  <c r="D24" i="15"/>
  <c r="D27" i="15"/>
  <c r="D9" i="15"/>
  <c r="D8" i="15"/>
  <c r="D11" i="15"/>
  <c r="D12" i="15"/>
  <c r="D21" i="15"/>
  <c r="D22" i="15"/>
  <c r="D3" i="15"/>
  <c r="D4" i="15"/>
  <c r="D5" i="15"/>
  <c r="D6" i="15"/>
  <c r="D7" i="15"/>
  <c r="D20" i="15"/>
  <c r="D19" i="15"/>
  <c r="D17" i="15"/>
  <c r="D10" i="15"/>
  <c r="D14" i="15"/>
  <c r="D15" i="15"/>
  <c r="D16" i="15"/>
  <c r="D13" i="15"/>
  <c r="D18" i="15"/>
  <c r="D48" i="14"/>
  <c r="D49" i="14"/>
  <c r="D63" i="14"/>
  <c r="D64" i="14"/>
  <c r="D6" i="14"/>
  <c r="D12" i="14"/>
  <c r="D9" i="14"/>
  <c r="D8" i="14"/>
  <c r="D10" i="14"/>
  <c r="D11" i="14"/>
  <c r="D15" i="14"/>
  <c r="D16" i="14"/>
  <c r="D24" i="14"/>
  <c r="D28" i="14"/>
  <c r="D30" i="14"/>
  <c r="D29" i="14"/>
  <c r="D40" i="14"/>
  <c r="D42" i="14"/>
  <c r="D43" i="14"/>
  <c r="D62" i="14"/>
  <c r="D3" i="14"/>
  <c r="D5" i="14"/>
  <c r="D7" i="14"/>
  <c r="D31" i="14"/>
  <c r="D32" i="14"/>
  <c r="D34" i="14"/>
  <c r="D45" i="14"/>
  <c r="D46" i="14"/>
  <c r="D47" i="14"/>
  <c r="D50" i="14"/>
  <c r="D51" i="14"/>
  <c r="D52" i="14"/>
  <c r="D20" i="14"/>
  <c r="D22" i="14"/>
  <c r="D23" i="14"/>
  <c r="D25" i="14"/>
  <c r="D26" i="14"/>
  <c r="D41" i="14"/>
  <c r="D38" i="14"/>
  <c r="D39" i="14"/>
  <c r="D36" i="14"/>
  <c r="D37" i="14"/>
  <c r="D35" i="14"/>
  <c r="D33" i="14"/>
  <c r="D13" i="14"/>
  <c r="D14" i="14"/>
  <c r="D17" i="14"/>
  <c r="D18" i="14"/>
  <c r="D19" i="14"/>
  <c r="D21" i="14"/>
  <c r="D67" i="14"/>
  <c r="D65" i="14"/>
  <c r="D69" i="14"/>
  <c r="D17" i="6"/>
  <c r="D13" i="6"/>
  <c r="D23" i="6"/>
  <c r="D18" i="6"/>
  <c r="D24" i="6"/>
  <c r="D30" i="6"/>
  <c r="D33" i="6"/>
  <c r="D41" i="6"/>
  <c r="D32" i="6"/>
  <c r="D43" i="6"/>
  <c r="D44" i="6"/>
  <c r="D45" i="6"/>
  <c r="D46" i="6"/>
  <c r="D3" i="6"/>
  <c r="D6" i="6"/>
  <c r="D5" i="6"/>
  <c r="D8" i="6"/>
  <c r="D4" i="6"/>
  <c r="D9" i="6"/>
  <c r="D14" i="6"/>
  <c r="D7" i="6"/>
  <c r="D31" i="6"/>
  <c r="D27" i="6"/>
  <c r="D16" i="6"/>
  <c r="D28" i="6"/>
  <c r="D58" i="6"/>
  <c r="D47" i="6"/>
  <c r="D49" i="6"/>
  <c r="D48" i="6"/>
  <c r="D54" i="6"/>
  <c r="D50" i="6"/>
  <c r="D59" i="6"/>
  <c r="D10" i="6"/>
  <c r="D11" i="6"/>
  <c r="D15" i="6"/>
  <c r="D12" i="6"/>
  <c r="D39" i="6"/>
  <c r="D36" i="6"/>
  <c r="D34" i="6"/>
  <c r="D35" i="6"/>
  <c r="D62" i="6"/>
  <c r="D61" i="6"/>
  <c r="D60" i="6"/>
  <c r="D63" i="6"/>
  <c r="D65" i="6"/>
  <c r="D64" i="6"/>
  <c r="D51" i="6"/>
  <c r="D52" i="6"/>
  <c r="D56" i="6"/>
  <c r="D53" i="6"/>
  <c r="D57" i="6"/>
  <c r="D55" i="6"/>
  <c r="D20" i="6"/>
  <c r="D21" i="6"/>
  <c r="D19" i="6"/>
  <c r="D22" i="6"/>
  <c r="D25" i="6"/>
  <c r="D26" i="6"/>
  <c r="D29" i="6"/>
  <c r="D40" i="6"/>
  <c r="D38" i="6"/>
  <c r="D37" i="6"/>
  <c r="D42" i="6"/>
  <c r="D15" i="13"/>
  <c r="D5" i="13"/>
  <c r="D6" i="13"/>
  <c r="D11" i="13"/>
  <c r="D12" i="13"/>
  <c r="D18" i="13"/>
  <c r="D3" i="13"/>
  <c r="D4" i="13"/>
  <c r="D17" i="13"/>
  <c r="D8" i="13"/>
  <c r="D9" i="13"/>
  <c r="D7" i="13"/>
  <c r="D19" i="13"/>
  <c r="D10" i="13"/>
  <c r="D13" i="13"/>
  <c r="D16" i="13"/>
  <c r="D14" i="13"/>
  <c r="D11" i="12"/>
  <c r="D7" i="12"/>
  <c r="D9" i="12"/>
  <c r="D3" i="12"/>
  <c r="D6" i="12"/>
  <c r="D10" i="12"/>
  <c r="D8" i="12"/>
  <c r="D5" i="12"/>
  <c r="D4" i="12"/>
  <c r="D51" i="11"/>
  <c r="D37" i="11"/>
  <c r="D36" i="11"/>
  <c r="D49" i="11"/>
  <c r="D16" i="11"/>
  <c r="D30" i="11"/>
  <c r="D23" i="11"/>
  <c r="D29" i="11"/>
  <c r="D55" i="11"/>
  <c r="D25" i="11"/>
  <c r="D40" i="11"/>
  <c r="D70" i="11"/>
  <c r="D61" i="11"/>
  <c r="D64" i="11"/>
  <c r="D63" i="11"/>
  <c r="D68" i="11"/>
  <c r="D67" i="11"/>
  <c r="D66" i="11"/>
  <c r="D69" i="11"/>
  <c r="D65" i="11"/>
  <c r="D71" i="11"/>
  <c r="D75" i="11"/>
  <c r="D73" i="11"/>
  <c r="D72" i="11"/>
  <c r="D76" i="11"/>
  <c r="D78" i="11"/>
  <c r="D77" i="11"/>
  <c r="D79" i="11"/>
  <c r="D80" i="11"/>
  <c r="D82" i="11"/>
  <c r="D59" i="11"/>
  <c r="D60" i="11"/>
  <c r="D62" i="11"/>
  <c r="D74" i="11"/>
  <c r="D7" i="11"/>
  <c r="D14" i="11"/>
  <c r="D8" i="11"/>
  <c r="D13" i="11"/>
  <c r="D18" i="11"/>
  <c r="D19" i="11"/>
  <c r="D43" i="11"/>
  <c r="D42" i="11"/>
  <c r="D56" i="11"/>
  <c r="D45" i="11"/>
  <c r="D39" i="11"/>
  <c r="D44" i="11"/>
  <c r="D53" i="11"/>
  <c r="D57" i="11"/>
  <c r="D31" i="11"/>
  <c r="D27" i="11"/>
  <c r="D35" i="11"/>
  <c r="D28" i="11"/>
  <c r="D15" i="11"/>
  <c r="D17" i="11"/>
  <c r="D20" i="11"/>
  <c r="D22" i="11"/>
  <c r="D21" i="11"/>
  <c r="D48" i="11"/>
  <c r="D41" i="11"/>
  <c r="D47" i="11"/>
  <c r="D34" i="11"/>
  <c r="D33" i="11"/>
  <c r="D24" i="11"/>
  <c r="D52" i="11"/>
  <c r="D46" i="11"/>
  <c r="D38" i="11"/>
  <c r="D32" i="11"/>
  <c r="D26" i="11"/>
  <c r="D10" i="11"/>
  <c r="D11" i="11"/>
  <c r="D54" i="11"/>
  <c r="D9" i="11"/>
  <c r="D12" i="11"/>
  <c r="D41" i="3"/>
  <c r="D35" i="3"/>
  <c r="D30" i="3"/>
  <c r="D43" i="3"/>
  <c r="D67" i="3"/>
  <c r="D68" i="3"/>
  <c r="D69" i="3"/>
  <c r="D70" i="3"/>
  <c r="D46" i="3"/>
  <c r="D57" i="3"/>
  <c r="D60" i="3"/>
  <c r="D61" i="3"/>
  <c r="D48" i="3"/>
  <c r="D53" i="3"/>
  <c r="D63" i="3"/>
  <c r="D66" i="3"/>
  <c r="D9" i="3"/>
  <c r="D10" i="3"/>
  <c r="D12" i="3"/>
  <c r="D11" i="3"/>
  <c r="D14" i="3"/>
  <c r="D13" i="3"/>
  <c r="D15" i="3"/>
  <c r="D17" i="3"/>
  <c r="D39" i="3"/>
  <c r="D38" i="3"/>
  <c r="D21" i="3"/>
  <c r="D44" i="3"/>
  <c r="D19" i="3"/>
  <c r="D29" i="3"/>
  <c r="D42" i="3"/>
  <c r="D47" i="3"/>
  <c r="D3" i="3"/>
  <c r="D6" i="3"/>
  <c r="D4" i="3"/>
  <c r="D7" i="3"/>
  <c r="D5" i="3"/>
  <c r="D8" i="3"/>
  <c r="D32" i="3"/>
  <c r="D37" i="3"/>
  <c r="D40" i="3"/>
  <c r="D33" i="3"/>
  <c r="D59" i="3"/>
  <c r="D55" i="3"/>
  <c r="D31" i="3"/>
  <c r="D62" i="3"/>
  <c r="D64" i="3"/>
  <c r="D65" i="3"/>
  <c r="D16" i="3"/>
  <c r="D18" i="3"/>
  <c r="D20" i="3"/>
  <c r="D24" i="3"/>
  <c r="D23" i="3"/>
  <c r="D22" i="3"/>
  <c r="D25" i="3"/>
  <c r="D27" i="3"/>
  <c r="D28" i="3"/>
  <c r="D26" i="3"/>
  <c r="D34" i="3"/>
  <c r="D36" i="3"/>
  <c r="D49" i="3"/>
  <c r="D50" i="3"/>
  <c r="D51" i="3"/>
  <c r="D54" i="3"/>
  <c r="D52" i="3"/>
  <c r="D56" i="3"/>
  <c r="D58" i="3"/>
  <c r="G51" i="17" l="1"/>
  <c r="H51" i="17" s="1"/>
  <c r="G52" i="17"/>
  <c r="H52" i="17" s="1"/>
  <c r="G4" i="17"/>
  <c r="H4" i="17" s="1"/>
  <c r="E7" i="17"/>
  <c r="F7" i="17" s="1"/>
  <c r="G7" i="17"/>
  <c r="H7" i="17" s="1"/>
  <c r="C15" i="17"/>
  <c r="D15" i="17" s="1"/>
  <c r="C19" i="17"/>
  <c r="D19" i="17" s="1"/>
  <c r="G23" i="17"/>
  <c r="H23" i="17" s="1"/>
  <c r="C30" i="17"/>
  <c r="D30" i="17" s="1"/>
  <c r="E30" i="17"/>
  <c r="F30" i="17" s="1"/>
  <c r="E35" i="17"/>
  <c r="F35" i="17" s="1"/>
  <c r="G35" i="17"/>
  <c r="H35" i="17" s="1"/>
  <c r="G41" i="17"/>
  <c r="H41" i="17" s="1"/>
  <c r="G13" i="15" l="1"/>
  <c r="Q16" i="15"/>
  <c r="G16" i="15"/>
  <c r="G14" i="15"/>
  <c r="G7" i="15"/>
  <c r="Q6" i="15"/>
  <c r="G6" i="15"/>
  <c r="Q5" i="15"/>
  <c r="G5" i="15"/>
  <c r="Q12" i="15"/>
  <c r="G12" i="15"/>
  <c r="Q19" i="15"/>
  <c r="G19" i="15"/>
  <c r="Q22" i="15"/>
  <c r="G22" i="15"/>
  <c r="Q28" i="15"/>
  <c r="G28" i="15"/>
  <c r="G21" i="15"/>
  <c r="Q11" i="16"/>
  <c r="G11" i="16"/>
  <c r="Q20" i="16"/>
  <c r="G18" i="17" s="1"/>
  <c r="H18" i="17" s="1"/>
  <c r="G20" i="16"/>
  <c r="Q8" i="16"/>
  <c r="G8" i="16"/>
  <c r="Q40" i="16"/>
  <c r="G40" i="16"/>
  <c r="Q29" i="16"/>
  <c r="G29" i="16"/>
  <c r="Q23" i="16"/>
  <c r="G23" i="16"/>
  <c r="G32" i="16"/>
  <c r="G25" i="16"/>
  <c r="G19" i="16"/>
  <c r="Q44" i="16"/>
  <c r="G44" i="16"/>
  <c r="Q12" i="16"/>
  <c r="G12" i="16"/>
  <c r="Q37" i="16"/>
  <c r="G37" i="16"/>
  <c r="Q22" i="16"/>
  <c r="G22" i="16"/>
  <c r="G43" i="16"/>
  <c r="Q10" i="16"/>
  <c r="G10" i="16"/>
  <c r="Q42" i="16"/>
  <c r="G42" i="16"/>
  <c r="Q31" i="16"/>
  <c r="G31" i="16"/>
  <c r="Q6" i="16"/>
  <c r="G6" i="16"/>
  <c r="Q69" i="14"/>
  <c r="G69" i="14"/>
  <c r="Q58" i="14"/>
  <c r="G58" i="14"/>
  <c r="Q54" i="14"/>
  <c r="G54" i="14"/>
  <c r="E37" i="17"/>
  <c r="F37" i="17" s="1"/>
  <c r="Q55" i="14"/>
  <c r="G55" i="14"/>
  <c r="Q56" i="14"/>
  <c r="G56" i="14"/>
  <c r="Q42" i="14"/>
  <c r="G42" i="14"/>
  <c r="Q46" i="14"/>
  <c r="G46" i="14"/>
  <c r="Q34" i="14"/>
  <c r="G34" i="14"/>
  <c r="Q39" i="14"/>
  <c r="G39" i="14"/>
  <c r="Q25" i="14"/>
  <c r="G25" i="14"/>
  <c r="E23" i="17"/>
  <c r="F23" i="17" s="1"/>
  <c r="Q7" i="14"/>
  <c r="G7" i="14"/>
  <c r="Q53" i="14"/>
  <c r="G53" i="14"/>
  <c r="G59" i="14"/>
  <c r="Q67" i="14"/>
  <c r="G67" i="14"/>
  <c r="G60" i="14"/>
  <c r="Q11" i="14"/>
  <c r="G11" i="14"/>
  <c r="Q48" i="14"/>
  <c r="G48" i="14"/>
  <c r="Q65" i="14"/>
  <c r="G65" i="14"/>
  <c r="Q66" i="14"/>
  <c r="G66" i="14"/>
  <c r="Q57" i="14"/>
  <c r="G57" i="14"/>
  <c r="Q9" i="14"/>
  <c r="G9" i="14"/>
  <c r="Q24" i="14"/>
  <c r="G24" i="14"/>
  <c r="Q64" i="14"/>
  <c r="G64" i="14"/>
  <c r="Q6" i="14"/>
  <c r="G6" i="14"/>
  <c r="Q63" i="14"/>
  <c r="G63" i="14"/>
  <c r="Q62" i="14"/>
  <c r="G62" i="14"/>
  <c r="Q5" i="14"/>
  <c r="G5" i="14"/>
  <c r="Q43" i="14"/>
  <c r="G43" i="14"/>
  <c r="Q10" i="14"/>
  <c r="G10" i="14"/>
  <c r="Q24" i="6"/>
  <c r="G24" i="6"/>
  <c r="Q30" i="6"/>
  <c r="G30" i="6"/>
  <c r="Q32" i="6"/>
  <c r="G32" i="6"/>
  <c r="Q58" i="6"/>
  <c r="G58" i="6"/>
  <c r="Q39" i="6"/>
  <c r="G39" i="6"/>
  <c r="Q61" i="6"/>
  <c r="G61" i="6"/>
  <c r="Q23" i="6"/>
  <c r="G23" i="6"/>
  <c r="Q33" i="6"/>
  <c r="G33" i="6"/>
  <c r="Q8" i="6"/>
  <c r="G8" i="6"/>
  <c r="Q3" i="6"/>
  <c r="G3" i="6"/>
  <c r="Q9" i="6"/>
  <c r="G9" i="6"/>
  <c r="Q13" i="6"/>
  <c r="G13" i="6"/>
  <c r="Q41" i="6"/>
  <c r="G41" i="6"/>
  <c r="Q16" i="6"/>
  <c r="G16" i="6"/>
  <c r="Q14" i="6"/>
  <c r="G14" i="6"/>
  <c r="G28" i="6"/>
  <c r="Q18" i="6"/>
  <c r="G18" i="6"/>
  <c r="Q7" i="6"/>
  <c r="G7" i="6"/>
  <c r="Q44" i="6"/>
  <c r="G44" i="6"/>
  <c r="Q46" i="6"/>
  <c r="G46" i="6"/>
  <c r="Q5" i="6"/>
  <c r="G5" i="6"/>
  <c r="Q6" i="6"/>
  <c r="G6" i="6"/>
  <c r="H16" i="13"/>
  <c r="Y16" i="13"/>
  <c r="AF16" i="13"/>
  <c r="R6" i="13"/>
  <c r="H6" i="13"/>
  <c r="Y6" i="13"/>
  <c r="AF6" i="13"/>
  <c r="R18" i="13"/>
  <c r="H18" i="13"/>
  <c r="Y18" i="13"/>
  <c r="AF18" i="13"/>
  <c r="R15" i="13"/>
  <c r="H15" i="13"/>
  <c r="Y15" i="13"/>
  <c r="AF15" i="13"/>
  <c r="R3" i="13"/>
  <c r="H3" i="13"/>
  <c r="Y3" i="13"/>
  <c r="AF3" i="13"/>
  <c r="R14" i="13"/>
  <c r="H14" i="13"/>
  <c r="Y14" i="13"/>
  <c r="AF14" i="13"/>
  <c r="R5" i="13"/>
  <c r="H5" i="13"/>
  <c r="Y5" i="13"/>
  <c r="AF5" i="13"/>
  <c r="H7" i="13"/>
  <c r="Y7" i="13"/>
  <c r="AF7" i="13"/>
  <c r="R11" i="13"/>
  <c r="H11" i="13"/>
  <c r="Y11" i="13"/>
  <c r="AF11" i="13"/>
  <c r="R12" i="13"/>
  <c r="H12" i="13"/>
  <c r="Y12" i="13"/>
  <c r="AF12" i="13"/>
  <c r="R10" i="13"/>
  <c r="H10" i="13"/>
  <c r="Y10" i="13"/>
  <c r="AF10" i="13"/>
  <c r="R19" i="13"/>
  <c r="H19" i="13"/>
  <c r="Y19" i="13"/>
  <c r="AF19" i="13"/>
  <c r="R9" i="13"/>
  <c r="H9" i="13"/>
  <c r="Y9" i="13"/>
  <c r="AF9" i="13"/>
  <c r="R13" i="13"/>
  <c r="H13" i="13"/>
  <c r="Y13" i="13"/>
  <c r="AF13" i="13"/>
  <c r="R8" i="13"/>
  <c r="H8" i="13"/>
  <c r="Y8" i="13"/>
  <c r="AF8" i="13"/>
  <c r="H17" i="13"/>
  <c r="Y17" i="13"/>
  <c r="AF17" i="13"/>
  <c r="R4" i="13"/>
  <c r="H4" i="13"/>
  <c r="Y4" i="13"/>
  <c r="AF4" i="13"/>
  <c r="R11" i="12"/>
  <c r="H11" i="12"/>
  <c r="Y11" i="12"/>
  <c r="AF11" i="12"/>
  <c r="R7" i="12"/>
  <c r="H7" i="12"/>
  <c r="Y7" i="12"/>
  <c r="AF7" i="12"/>
  <c r="R3" i="12"/>
  <c r="H3" i="12"/>
  <c r="Y3" i="12"/>
  <c r="AF3" i="12"/>
  <c r="R9" i="12"/>
  <c r="H9" i="12"/>
  <c r="Y9" i="12"/>
  <c r="AF9" i="12"/>
  <c r="R5" i="12"/>
  <c r="H5" i="12"/>
  <c r="L5" i="12" s="1"/>
  <c r="Y5" i="12"/>
  <c r="AF5" i="12"/>
  <c r="R6" i="12"/>
  <c r="H6" i="12"/>
  <c r="Y6" i="12"/>
  <c r="AF6" i="12"/>
  <c r="R8" i="12"/>
  <c r="H8" i="12"/>
  <c r="Y8" i="12"/>
  <c r="AF8" i="12"/>
  <c r="R10" i="12"/>
  <c r="H10" i="12"/>
  <c r="Y10" i="12"/>
  <c r="AF10" i="12"/>
  <c r="H4" i="12"/>
  <c r="Y4" i="12"/>
  <c r="AF4" i="12"/>
  <c r="Q54" i="11"/>
  <c r="G54" i="11"/>
  <c r="X54" i="11"/>
  <c r="AE54" i="11"/>
  <c r="G12" i="11"/>
  <c r="X12" i="11"/>
  <c r="AE12" i="11"/>
  <c r="G31" i="11"/>
  <c r="X31" i="11"/>
  <c r="AE31" i="11"/>
  <c r="Q32" i="11"/>
  <c r="G32" i="11"/>
  <c r="X32" i="11"/>
  <c r="AE32" i="11"/>
  <c r="Q26" i="11"/>
  <c r="G26" i="11"/>
  <c r="X26" i="11"/>
  <c r="AE26" i="11"/>
  <c r="G22" i="11"/>
  <c r="X22" i="11"/>
  <c r="Q65" i="11"/>
  <c r="G65" i="11"/>
  <c r="X65" i="11"/>
  <c r="AE65" i="11"/>
  <c r="Q67" i="11"/>
  <c r="G67" i="11"/>
  <c r="X67" i="11"/>
  <c r="AE67" i="11"/>
  <c r="Q72" i="11"/>
  <c r="G72" i="11"/>
  <c r="X72" i="11"/>
  <c r="AE72" i="11"/>
  <c r="Q82" i="11"/>
  <c r="G82" i="11"/>
  <c r="X82" i="11"/>
  <c r="AE82" i="11"/>
  <c r="Q44" i="11"/>
  <c r="G44" i="11"/>
  <c r="X44" i="11"/>
  <c r="AE44" i="11"/>
  <c r="Q61" i="11"/>
  <c r="G61" i="11"/>
  <c r="X61" i="11"/>
  <c r="AE61" i="11"/>
  <c r="Q51" i="11"/>
  <c r="G51" i="11"/>
  <c r="X51" i="11"/>
  <c r="AE51" i="11"/>
  <c r="Q18" i="11"/>
  <c r="G18" i="11"/>
  <c r="X18" i="11"/>
  <c r="AE18" i="11"/>
  <c r="Q45" i="11"/>
  <c r="G45" i="11"/>
  <c r="X45" i="11"/>
  <c r="AE45" i="11"/>
  <c r="Q49" i="11"/>
  <c r="G49" i="11"/>
  <c r="X49" i="11"/>
  <c r="AE49" i="11"/>
  <c r="Q60" i="11"/>
  <c r="G60" i="11"/>
  <c r="X60" i="11"/>
  <c r="AE60" i="11"/>
  <c r="Q7" i="11"/>
  <c r="G7" i="11"/>
  <c r="X7" i="11"/>
  <c r="AE7" i="11"/>
  <c r="Q8" i="11"/>
  <c r="G8" i="11"/>
  <c r="X8" i="11"/>
  <c r="AE8" i="11"/>
  <c r="Q74" i="11"/>
  <c r="G74" i="11"/>
  <c r="X74" i="11"/>
  <c r="AE74" i="11"/>
  <c r="Q78" i="11"/>
  <c r="G78" i="11"/>
  <c r="X78" i="11"/>
  <c r="AE78" i="11"/>
  <c r="Q40" i="11"/>
  <c r="G40" i="11"/>
  <c r="X40" i="11"/>
  <c r="AE40" i="11"/>
  <c r="Q59" i="11"/>
  <c r="G59" i="11"/>
  <c r="X59" i="11"/>
  <c r="AE59" i="11"/>
  <c r="Q55" i="11"/>
  <c r="G55" i="11"/>
  <c r="X55" i="11"/>
  <c r="AE55" i="11"/>
  <c r="Q37" i="11"/>
  <c r="G37" i="11"/>
  <c r="X37" i="11"/>
  <c r="AE37" i="11"/>
  <c r="Q39" i="11"/>
  <c r="G39" i="11"/>
  <c r="X39" i="11"/>
  <c r="AE39" i="11"/>
  <c r="Q62" i="11"/>
  <c r="G62" i="11"/>
  <c r="X62" i="11"/>
  <c r="AE62" i="11"/>
  <c r="Q66" i="11"/>
  <c r="G66" i="11"/>
  <c r="X66" i="11"/>
  <c r="AE66" i="11"/>
  <c r="G50" i="3"/>
  <c r="X50" i="3"/>
  <c r="AE50" i="3"/>
  <c r="Q13" i="3"/>
  <c r="G13" i="3"/>
  <c r="X13" i="3"/>
  <c r="AE13" i="3"/>
  <c r="C22" i="17"/>
  <c r="D22" i="17" s="1"/>
  <c r="Q19" i="3"/>
  <c r="G19" i="3"/>
  <c r="X19" i="3"/>
  <c r="AE19" i="3"/>
  <c r="Q12" i="3"/>
  <c r="G12" i="3"/>
  <c r="X12" i="3"/>
  <c r="AE12" i="3"/>
  <c r="Q61" i="3"/>
  <c r="G61" i="3"/>
  <c r="X61" i="3"/>
  <c r="AE61" i="3"/>
  <c r="Q64" i="3"/>
  <c r="G64" i="3"/>
  <c r="X64" i="3"/>
  <c r="AE64" i="3"/>
  <c r="Q20" i="3"/>
  <c r="G20" i="3"/>
  <c r="X20" i="3"/>
  <c r="AE20" i="3"/>
  <c r="Q16" i="3"/>
  <c r="G16" i="3"/>
  <c r="X16" i="3"/>
  <c r="AE16" i="3"/>
  <c r="Q59" i="3"/>
  <c r="G59" i="3"/>
  <c r="X59" i="3"/>
  <c r="AE59" i="3"/>
  <c r="G58" i="3"/>
  <c r="X58" i="3"/>
  <c r="AE58" i="3"/>
  <c r="Q48" i="3"/>
  <c r="G48" i="3"/>
  <c r="X48" i="3"/>
  <c r="AE48" i="3"/>
  <c r="Q8" i="3"/>
  <c r="G8" i="3"/>
  <c r="X8" i="3"/>
  <c r="AE8" i="3"/>
  <c r="Q5" i="3"/>
  <c r="G5" i="3"/>
  <c r="X5" i="3"/>
  <c r="AE5" i="3"/>
  <c r="Q14" i="3"/>
  <c r="G14" i="3"/>
  <c r="X14" i="3"/>
  <c r="AE14" i="3"/>
  <c r="Q7" i="3"/>
  <c r="G7" i="3"/>
  <c r="X7" i="3"/>
  <c r="AE7" i="3"/>
  <c r="C2" i="17"/>
  <c r="D2" i="17" s="1"/>
  <c r="Q29" i="3"/>
  <c r="G29" i="3"/>
  <c r="X29" i="3"/>
  <c r="AE29" i="3"/>
  <c r="Q53" i="3"/>
  <c r="G53" i="3"/>
  <c r="X53" i="3"/>
  <c r="AE53" i="3"/>
  <c r="Q17" i="3"/>
  <c r="G17" i="3"/>
  <c r="X17" i="3"/>
  <c r="AE17" i="3"/>
  <c r="Q57" i="3"/>
  <c r="G57" i="3"/>
  <c r="X57" i="3"/>
  <c r="AE57" i="3"/>
  <c r="G4" i="3"/>
  <c r="X4" i="3"/>
  <c r="AE4" i="3"/>
  <c r="Q9" i="3"/>
  <c r="G9" i="3"/>
  <c r="X9" i="3"/>
  <c r="AE9" i="3"/>
  <c r="Q39" i="3"/>
  <c r="G39" i="3"/>
  <c r="X39" i="3"/>
  <c r="AE39" i="3"/>
  <c r="Q67" i="3"/>
  <c r="G67" i="3"/>
  <c r="X67" i="3"/>
  <c r="AE67" i="3"/>
  <c r="Q60" i="3"/>
  <c r="G60" i="3"/>
  <c r="X60" i="3"/>
  <c r="AE60" i="3"/>
  <c r="Q68" i="3"/>
  <c r="G68" i="3"/>
  <c r="X68" i="3"/>
  <c r="AE68" i="3"/>
  <c r="Q35" i="3"/>
  <c r="G35" i="3"/>
  <c r="X35" i="3"/>
  <c r="AE35" i="3"/>
  <c r="R55" i="11" l="1"/>
  <c r="S55" i="11"/>
  <c r="S7" i="11"/>
  <c r="R7" i="11"/>
  <c r="R67" i="11"/>
  <c r="S67" i="11" s="1"/>
  <c r="R32" i="11"/>
  <c r="S32" i="11"/>
  <c r="R22" i="11"/>
  <c r="S22" i="11"/>
  <c r="R66" i="11"/>
  <c r="S66" i="11" s="1"/>
  <c r="R74" i="11"/>
  <c r="S74" i="11" s="1"/>
  <c r="S18" i="11"/>
  <c r="R18" i="11"/>
  <c r="R82" i="11"/>
  <c r="R26" i="11"/>
  <c r="S26" i="11"/>
  <c r="S12" i="11"/>
  <c r="R12" i="11"/>
  <c r="S40" i="11"/>
  <c r="R40" i="11"/>
  <c r="R61" i="11"/>
  <c r="S61" i="11" s="1"/>
  <c r="R54" i="11"/>
  <c r="S54" i="11"/>
  <c r="R39" i="11"/>
  <c r="S39" i="11"/>
  <c r="R49" i="11"/>
  <c r="S49" i="11"/>
  <c r="S31" i="11"/>
  <c r="R31" i="11"/>
  <c r="R62" i="11"/>
  <c r="S62" i="11" s="1"/>
  <c r="S37" i="11"/>
  <c r="R37" i="11"/>
  <c r="R59" i="11"/>
  <c r="S59" i="11" s="1"/>
  <c r="R78" i="11"/>
  <c r="S78" i="11" s="1"/>
  <c r="R8" i="11"/>
  <c r="S8" i="11"/>
  <c r="R60" i="11"/>
  <c r="S60" i="11" s="1"/>
  <c r="R45" i="11"/>
  <c r="S45" i="11"/>
  <c r="S51" i="11"/>
  <c r="R51" i="11"/>
  <c r="R44" i="11"/>
  <c r="S44" i="11"/>
  <c r="R72" i="11"/>
  <c r="S72" i="11" s="1"/>
  <c r="R65" i="11"/>
  <c r="S65" i="11" s="1"/>
  <c r="R67" i="3"/>
  <c r="S67" i="3" s="1"/>
  <c r="S5" i="3"/>
  <c r="R5" i="3"/>
  <c r="R50" i="3"/>
  <c r="S50" i="3" s="1"/>
  <c r="S12" i="3"/>
  <c r="R12" i="3"/>
  <c r="S35" i="3"/>
  <c r="R35" i="3"/>
  <c r="S13" i="3"/>
  <c r="R13" i="3"/>
  <c r="R7" i="3"/>
  <c r="S7" i="3"/>
  <c r="R68" i="3"/>
  <c r="S68" i="3" s="1"/>
  <c r="S9" i="3"/>
  <c r="R9" i="3"/>
  <c r="R48" i="3"/>
  <c r="S48" i="3" s="1"/>
  <c r="R17" i="3"/>
  <c r="S17" i="3"/>
  <c r="R64" i="3"/>
  <c r="S64" i="3" s="1"/>
  <c r="S39" i="3"/>
  <c r="R39" i="3"/>
  <c r="S8" i="3"/>
  <c r="R8" i="3"/>
  <c r="S29" i="3"/>
  <c r="R29" i="3"/>
  <c r="R16" i="3"/>
  <c r="S16" i="3"/>
  <c r="R60" i="3"/>
  <c r="S60" i="3" s="1"/>
  <c r="S4" i="3"/>
  <c r="R4" i="3"/>
  <c r="R14" i="3"/>
  <c r="S14" i="3"/>
  <c r="R58" i="3"/>
  <c r="R57" i="3"/>
  <c r="R53" i="3"/>
  <c r="S53" i="3" s="1"/>
  <c r="R59" i="3"/>
  <c r="R20" i="3"/>
  <c r="S20" i="3"/>
  <c r="R61" i="3"/>
  <c r="R19" i="3"/>
  <c r="S19" i="3"/>
  <c r="G42" i="17"/>
  <c r="H42" i="17" s="1"/>
  <c r="G11" i="17"/>
  <c r="H11" i="17" s="1"/>
  <c r="E15" i="17"/>
  <c r="F15" i="17" s="1"/>
  <c r="E11" i="17"/>
  <c r="F11" i="17" s="1"/>
  <c r="E49" i="17"/>
  <c r="F49" i="17" s="1"/>
  <c r="M10" i="14"/>
  <c r="B10" i="14" s="1" a="1"/>
  <c r="B10" i="14" s="1"/>
  <c r="M39" i="14"/>
  <c r="K54" i="14"/>
  <c r="K69" i="14"/>
  <c r="M63" i="14"/>
  <c r="K11" i="14"/>
  <c r="K43" i="14"/>
  <c r="M6" i="14"/>
  <c r="M9" i="14"/>
  <c r="B9" i="14" s="1" a="1"/>
  <c r="B9" i="14" s="1"/>
  <c r="M66" i="14"/>
  <c r="B66" i="14" s="1" a="1"/>
  <c r="B66" i="14" s="1"/>
  <c r="M60" i="14"/>
  <c r="A60" i="14" s="1" a="1"/>
  <c r="A60" i="14" s="1"/>
  <c r="K53" i="14"/>
  <c r="K34" i="14"/>
  <c r="K56" i="14"/>
  <c r="K58" i="14"/>
  <c r="M5" i="14"/>
  <c r="K64" i="14"/>
  <c r="K65" i="14"/>
  <c r="K67" i="14"/>
  <c r="M7" i="14"/>
  <c r="K46" i="14"/>
  <c r="K55" i="14"/>
  <c r="K62" i="14"/>
  <c r="M24" i="14"/>
  <c r="B24" i="14" s="1" a="1"/>
  <c r="B24" i="14" s="1"/>
  <c r="M57" i="14"/>
  <c r="M48" i="14"/>
  <c r="B48" i="14" s="1" a="1"/>
  <c r="B48" i="14" s="1"/>
  <c r="M59" i="14"/>
  <c r="A59" i="14" s="1" a="1"/>
  <c r="A59" i="14" s="1"/>
  <c r="K25" i="14"/>
  <c r="K42" i="14"/>
  <c r="M3" i="6"/>
  <c r="M23" i="6"/>
  <c r="B23" i="6" s="1" a="1"/>
  <c r="B23" i="6" s="1"/>
  <c r="M44" i="6"/>
  <c r="K41" i="6"/>
  <c r="K9" i="6"/>
  <c r="K39" i="6"/>
  <c r="K30" i="6"/>
  <c r="K7" i="6"/>
  <c r="M24" i="6"/>
  <c r="B24" i="6" s="1" a="1"/>
  <c r="B24" i="6" s="1"/>
  <c r="M5" i="6"/>
  <c r="K14" i="6"/>
  <c r="K8" i="6"/>
  <c r="K58" i="6"/>
  <c r="K6" i="6"/>
  <c r="M18" i="6"/>
  <c r="B18" i="6" s="1" a="1"/>
  <c r="B18" i="6" s="1"/>
  <c r="K13" i="6"/>
  <c r="K46" i="6"/>
  <c r="K28" i="6"/>
  <c r="M16" i="6"/>
  <c r="M33" i="6"/>
  <c r="B33" i="6" s="1" a="1"/>
  <c r="B33" i="6" s="1"/>
  <c r="M61" i="6"/>
  <c r="B61" i="6" s="1" a="1"/>
  <c r="B61" i="6" s="1"/>
  <c r="M32" i="6"/>
  <c r="M23" i="16"/>
  <c r="M40" i="16"/>
  <c r="B40" i="16" s="1" a="1"/>
  <c r="B40" i="16" s="1"/>
  <c r="M20" i="16"/>
  <c r="B20" i="16" s="1" a="1"/>
  <c r="B20" i="16" s="1"/>
  <c r="M42" i="16"/>
  <c r="B42" i="16" s="1" a="1"/>
  <c r="B42" i="16" s="1"/>
  <c r="K10" i="16"/>
  <c r="K22" i="16"/>
  <c r="M19" i="16"/>
  <c r="A19" i="16" s="1" a="1"/>
  <c r="A19" i="16" s="1"/>
  <c r="M11" i="16"/>
  <c r="M43" i="16"/>
  <c r="A43" i="16" s="1" a="1"/>
  <c r="A43" i="16" s="1"/>
  <c r="M37" i="16"/>
  <c r="B37" i="16" s="1" a="1"/>
  <c r="B37" i="16" s="1"/>
  <c r="M6" i="16"/>
  <c r="M12" i="16"/>
  <c r="B12" i="16" s="1" a="1"/>
  <c r="B12" i="16" s="1"/>
  <c r="M25" i="16"/>
  <c r="M29" i="16"/>
  <c r="L44" i="16"/>
  <c r="L32" i="16"/>
  <c r="K8" i="16"/>
  <c r="K12" i="15"/>
  <c r="K14" i="15"/>
  <c r="K22" i="15"/>
  <c r="L21" i="15"/>
  <c r="M5" i="15"/>
  <c r="K16" i="15"/>
  <c r="K28" i="15"/>
  <c r="K19" i="15"/>
  <c r="K6" i="15"/>
  <c r="K7" i="15"/>
  <c r="K13" i="15"/>
  <c r="L18" i="13"/>
  <c r="M16" i="13"/>
  <c r="L11" i="13"/>
  <c r="N19" i="13"/>
  <c r="L15" i="13"/>
  <c r="L17" i="13"/>
  <c r="L12" i="13"/>
  <c r="L5" i="13"/>
  <c r="N9" i="13"/>
  <c r="M10" i="13"/>
  <c r="M3" i="13"/>
  <c r="M8" i="13"/>
  <c r="M4" i="13"/>
  <c r="N13" i="13"/>
  <c r="M7" i="13"/>
  <c r="L14" i="13"/>
  <c r="N6" i="13"/>
  <c r="N9" i="12"/>
  <c r="N6" i="12"/>
  <c r="L7" i="12"/>
  <c r="L11" i="12"/>
  <c r="L3" i="12"/>
  <c r="M8" i="12"/>
  <c r="N4" i="12"/>
  <c r="L10" i="12"/>
  <c r="G34" i="17"/>
  <c r="H34" i="17" s="1"/>
  <c r="K31" i="16"/>
  <c r="C37" i="17"/>
  <c r="D37" i="17" s="1"/>
  <c r="M60" i="11"/>
  <c r="B60" i="11" s="1" a="1"/>
  <c r="B60" i="11" s="1"/>
  <c r="M49" i="11"/>
  <c r="B49" i="11" s="1" a="1"/>
  <c r="B49" i="11" s="1"/>
  <c r="M45" i="11"/>
  <c r="B45" i="11" s="1" a="1"/>
  <c r="B45" i="11" s="1"/>
  <c r="M18" i="11"/>
  <c r="B18" i="11" s="1" a="1"/>
  <c r="B18" i="11" s="1"/>
  <c r="M61" i="11"/>
  <c r="B61" i="11" s="1" a="1"/>
  <c r="B61" i="11" s="1"/>
  <c r="M82" i="11"/>
  <c r="B82" i="11" s="1" a="1"/>
  <c r="B82" i="11" s="1"/>
  <c r="K54" i="11"/>
  <c r="K66" i="11"/>
  <c r="M39" i="11"/>
  <c r="B39" i="11" s="1" a="1"/>
  <c r="B39" i="11" s="1"/>
  <c r="L7" i="11"/>
  <c r="K51" i="11"/>
  <c r="M44" i="11"/>
  <c r="B44" i="11" s="1" a="1"/>
  <c r="B44" i="11" s="1"/>
  <c r="K72" i="11"/>
  <c r="K65" i="11"/>
  <c r="K22" i="11"/>
  <c r="K32" i="11"/>
  <c r="L12" i="11"/>
  <c r="L68" i="3"/>
  <c r="K17" i="3"/>
  <c r="K29" i="3"/>
  <c r="L58" i="3"/>
  <c r="K59" i="3"/>
  <c r="M20" i="3"/>
  <c r="M50" i="3"/>
  <c r="L9" i="3"/>
  <c r="L57" i="3"/>
  <c r="M16" i="3"/>
  <c r="K64" i="3"/>
  <c r="M12" i="3"/>
  <c r="K19" i="3"/>
  <c r="M13" i="3"/>
  <c r="B13" i="3" s="1" a="1"/>
  <c r="B13" i="3" s="1"/>
  <c r="L66" i="14"/>
  <c r="K66" i="14"/>
  <c r="M11" i="14"/>
  <c r="B11" i="14" s="1" a="1"/>
  <c r="B11" i="14" s="1"/>
  <c r="E43" i="17"/>
  <c r="F43" i="17" s="1"/>
  <c r="G15" i="17"/>
  <c r="H15" i="17" s="1"/>
  <c r="C40" i="17"/>
  <c r="D40" i="17" s="1"/>
  <c r="C7" i="17"/>
  <c r="D7" i="17" s="1"/>
  <c r="L48" i="14"/>
  <c r="L39" i="14"/>
  <c r="K10" i="14"/>
  <c r="K39" i="14"/>
  <c r="L5" i="14"/>
  <c r="K44" i="6"/>
  <c r="L61" i="6"/>
  <c r="K3" i="6"/>
  <c r="L32" i="6"/>
  <c r="L5" i="6"/>
  <c r="L44" i="6"/>
  <c r="M14" i="15"/>
  <c r="L14" i="15"/>
  <c r="N8" i="13"/>
  <c r="M59" i="11"/>
  <c r="B59" i="11" s="1" a="1"/>
  <c r="B59" i="11" s="1"/>
  <c r="M78" i="11"/>
  <c r="B78" i="11" s="1" a="1"/>
  <c r="B78" i="11" s="1"/>
  <c r="K37" i="11"/>
  <c r="L44" i="11"/>
  <c r="K55" i="11"/>
  <c r="L60" i="11"/>
  <c r="K12" i="11"/>
  <c r="L20" i="3"/>
  <c r="M29" i="3"/>
  <c r="M13" i="15"/>
  <c r="L13" i="15"/>
  <c r="L6" i="15"/>
  <c r="M19" i="15"/>
  <c r="B19" i="15" s="1" a="1"/>
  <c r="B19" i="15" s="1"/>
  <c r="L19" i="15"/>
  <c r="M12" i="15"/>
  <c r="B12" i="15" s="1" a="1"/>
  <c r="B12" i="15" s="1"/>
  <c r="L12" i="15"/>
  <c r="L5" i="15"/>
  <c r="K5" i="15"/>
  <c r="M6" i="15"/>
  <c r="M16" i="15"/>
  <c r="L16" i="15"/>
  <c r="M7" i="15"/>
  <c r="A7" i="15" s="1" a="1"/>
  <c r="A7" i="15" s="1"/>
  <c r="L7" i="15"/>
  <c r="M22" i="15"/>
  <c r="L22" i="15"/>
  <c r="M28" i="15"/>
  <c r="B28" i="15" s="1" a="1"/>
  <c r="B28" i="15" s="1"/>
  <c r="L28" i="15"/>
  <c r="K21" i="15"/>
  <c r="M21" i="15"/>
  <c r="K23" i="16"/>
  <c r="L29" i="16"/>
  <c r="K29" i="16"/>
  <c r="L11" i="16"/>
  <c r="K11" i="16"/>
  <c r="L19" i="16"/>
  <c r="K19" i="16"/>
  <c r="L25" i="16"/>
  <c r="K25" i="16"/>
  <c r="M32" i="16"/>
  <c r="A32" i="16" s="1" a="1"/>
  <c r="A32" i="16" s="1"/>
  <c r="M10" i="16"/>
  <c r="B10" i="16" s="1" a="1"/>
  <c r="B10" i="16" s="1"/>
  <c r="K32" i="16"/>
  <c r="L20" i="16"/>
  <c r="K20" i="16"/>
  <c r="K44" i="16"/>
  <c r="L23" i="16"/>
  <c r="L40" i="16"/>
  <c r="K40" i="16"/>
  <c r="M8" i="16"/>
  <c r="M31" i="16"/>
  <c r="L8" i="16"/>
  <c r="M22" i="16"/>
  <c r="M44" i="16"/>
  <c r="B44" i="16" s="1" a="1"/>
  <c r="B44" i="16" s="1"/>
  <c r="L13" i="3"/>
  <c r="M17" i="3"/>
  <c r="B17" i="3" s="1" a="1"/>
  <c r="B17" i="3" s="1"/>
  <c r="M58" i="3"/>
  <c r="K13" i="3"/>
  <c r="L8" i="13"/>
  <c r="N5" i="13"/>
  <c r="B5" i="13" s="1" a="1"/>
  <c r="B5" i="13" s="1"/>
  <c r="L9" i="13"/>
  <c r="N11" i="13"/>
  <c r="L7" i="13"/>
  <c r="M14" i="13"/>
  <c r="L13" i="13"/>
  <c r="M11" i="13"/>
  <c r="L6" i="16"/>
  <c r="L42" i="16"/>
  <c r="L43" i="16"/>
  <c r="L37" i="16"/>
  <c r="L12" i="16"/>
  <c r="K6" i="16"/>
  <c r="K42" i="16"/>
  <c r="K43" i="16"/>
  <c r="K37" i="16"/>
  <c r="K12" i="16"/>
  <c r="L31" i="16"/>
  <c r="L10" i="16"/>
  <c r="L22" i="16"/>
  <c r="L7" i="14"/>
  <c r="M46" i="14"/>
  <c r="B46" i="14" s="1" a="1"/>
  <c r="B46" i="14" s="1"/>
  <c r="K7" i="14"/>
  <c r="L46" i="14"/>
  <c r="M69" i="14"/>
  <c r="B69" i="14" s="1" a="1"/>
  <c r="B69" i="14" s="1"/>
  <c r="L63" i="14"/>
  <c r="L60" i="14"/>
  <c r="M25" i="14"/>
  <c r="B25" i="14" s="1" a="1"/>
  <c r="B25" i="14" s="1"/>
  <c r="L25" i="14"/>
  <c r="M55" i="14"/>
  <c r="B55" i="14" s="1" a="1"/>
  <c r="B55" i="14" s="1"/>
  <c r="L55" i="14"/>
  <c r="M54" i="14"/>
  <c r="B54" i="14" s="1" a="1"/>
  <c r="B54" i="14" s="1"/>
  <c r="L54" i="14"/>
  <c r="L69" i="14"/>
  <c r="L57" i="14"/>
  <c r="K57" i="14"/>
  <c r="M65" i="14"/>
  <c r="K48" i="14"/>
  <c r="K60" i="14"/>
  <c r="M67" i="14"/>
  <c r="B67" i="14" s="1" a="1"/>
  <c r="B67" i="14" s="1"/>
  <c r="L59" i="14"/>
  <c r="K59" i="14"/>
  <c r="M53" i="14"/>
  <c r="B53" i="14" s="1" a="1"/>
  <c r="B53" i="14" s="1"/>
  <c r="L10" i="14"/>
  <c r="M43" i="14"/>
  <c r="K5" i="14"/>
  <c r="M62" i="14"/>
  <c r="M34" i="14"/>
  <c r="M42" i="14"/>
  <c r="M56" i="14"/>
  <c r="B56" i="14" s="1" a="1"/>
  <c r="B56" i="14" s="1"/>
  <c r="M58" i="14"/>
  <c r="L34" i="14"/>
  <c r="L42" i="14"/>
  <c r="L56" i="14"/>
  <c r="L58" i="14"/>
  <c r="L65" i="14"/>
  <c r="L11" i="14"/>
  <c r="L67" i="14"/>
  <c r="L53" i="14"/>
  <c r="K63" i="14"/>
  <c r="L6" i="14"/>
  <c r="K6" i="14"/>
  <c r="M64" i="14"/>
  <c r="L24" i="14"/>
  <c r="K24" i="14"/>
  <c r="L9" i="14"/>
  <c r="K9" i="14"/>
  <c r="L43" i="14"/>
  <c r="L62" i="14"/>
  <c r="L64" i="14"/>
  <c r="M46" i="6"/>
  <c r="L18" i="6"/>
  <c r="L30" i="6"/>
  <c r="K16" i="6"/>
  <c r="M13" i="6"/>
  <c r="L13" i="6"/>
  <c r="L3" i="6"/>
  <c r="M39" i="6"/>
  <c r="L39" i="6"/>
  <c r="M58" i="6"/>
  <c r="B58" i="6" s="1" a="1"/>
  <c r="B58" i="6" s="1"/>
  <c r="L58" i="6"/>
  <c r="L23" i="6"/>
  <c r="K23" i="6"/>
  <c r="L33" i="6"/>
  <c r="K33" i="6"/>
  <c r="M8" i="6"/>
  <c r="L24" i="6"/>
  <c r="M30" i="6"/>
  <c r="B30" i="6" s="1" a="1"/>
  <c r="B30" i="6" s="1"/>
  <c r="M6" i="6"/>
  <c r="K5" i="6"/>
  <c r="M7" i="6"/>
  <c r="K18" i="6"/>
  <c r="M28" i="6"/>
  <c r="A28" i="6" s="1" a="1"/>
  <c r="A28" i="6" s="1"/>
  <c r="M14" i="6"/>
  <c r="L16" i="6"/>
  <c r="K61" i="6"/>
  <c r="K32" i="6"/>
  <c r="K24" i="6"/>
  <c r="L8" i="6"/>
  <c r="M41" i="6"/>
  <c r="L41" i="6"/>
  <c r="M9" i="6"/>
  <c r="L9" i="6"/>
  <c r="L6" i="6"/>
  <c r="L46" i="6"/>
  <c r="L7" i="6"/>
  <c r="L28" i="6"/>
  <c r="L14" i="6"/>
  <c r="N18" i="13"/>
  <c r="M13" i="13"/>
  <c r="M9" i="13"/>
  <c r="M19" i="13"/>
  <c r="N12" i="13"/>
  <c r="L3" i="13"/>
  <c r="M18" i="13"/>
  <c r="L16" i="13"/>
  <c r="N16" i="13"/>
  <c r="L4" i="13"/>
  <c r="L10" i="13"/>
  <c r="N7" i="13"/>
  <c r="N14" i="13"/>
  <c r="B14" i="13" s="1" a="1"/>
  <c r="B14" i="13" s="1"/>
  <c r="M6" i="13"/>
  <c r="L19" i="13"/>
  <c r="L6" i="13"/>
  <c r="M12" i="13"/>
  <c r="M5" i="13"/>
  <c r="N17" i="13"/>
  <c r="N15" i="13"/>
  <c r="N4" i="13"/>
  <c r="M17" i="13"/>
  <c r="N10" i="13"/>
  <c r="B10" i="13" s="1" a="1"/>
  <c r="B10" i="13" s="1"/>
  <c r="N3" i="13"/>
  <c r="M15" i="13"/>
  <c r="L8" i="12"/>
  <c r="L4" i="12"/>
  <c r="N10" i="12"/>
  <c r="N8" i="12"/>
  <c r="L6" i="12"/>
  <c r="N5" i="12"/>
  <c r="M9" i="12"/>
  <c r="L9" i="12"/>
  <c r="N7" i="12"/>
  <c r="M7" i="12"/>
  <c r="N11" i="12"/>
  <c r="M11" i="12"/>
  <c r="M4" i="12"/>
  <c r="M6" i="12"/>
  <c r="M10" i="12"/>
  <c r="M5" i="12"/>
  <c r="N3" i="12"/>
  <c r="M3" i="12"/>
  <c r="K40" i="11"/>
  <c r="M31" i="11"/>
  <c r="B31" i="11" s="1" a="1"/>
  <c r="B31" i="11" s="1"/>
  <c r="L59" i="11"/>
  <c r="M8" i="11"/>
  <c r="B8" i="11" s="1" a="1"/>
  <c r="B8" i="11" s="1"/>
  <c r="M12" i="11"/>
  <c r="B12" i="11" s="1" a="1"/>
  <c r="B12" i="11" s="1"/>
  <c r="M54" i="11"/>
  <c r="B54" i="11" s="1" a="1"/>
  <c r="B54" i="11" s="1"/>
  <c r="L54" i="11"/>
  <c r="M32" i="11"/>
  <c r="B32" i="11" s="1" a="1"/>
  <c r="B32" i="11" s="1"/>
  <c r="L32" i="11"/>
  <c r="L31" i="11"/>
  <c r="K31" i="11"/>
  <c r="M26" i="11"/>
  <c r="B26" i="11" s="1" a="1"/>
  <c r="B26" i="11" s="1"/>
  <c r="L26" i="11"/>
  <c r="M22" i="11"/>
  <c r="B22" i="11" s="1" a="1"/>
  <c r="B22" i="11" s="1"/>
  <c r="K26" i="11"/>
  <c r="L22" i="11"/>
  <c r="K60" i="11"/>
  <c r="L45" i="11"/>
  <c r="K45" i="11"/>
  <c r="K44" i="11"/>
  <c r="L82" i="11"/>
  <c r="K82" i="11"/>
  <c r="M67" i="11"/>
  <c r="B67" i="11" s="1" a="1"/>
  <c r="B67" i="11" s="1"/>
  <c r="M65" i="11"/>
  <c r="B65" i="11" s="1" a="1"/>
  <c r="B65" i="11" s="1"/>
  <c r="L65" i="11"/>
  <c r="K62" i="11"/>
  <c r="L39" i="11"/>
  <c r="L49" i="11"/>
  <c r="L18" i="11"/>
  <c r="L61" i="11"/>
  <c r="L67" i="11"/>
  <c r="K49" i="11"/>
  <c r="K18" i="11"/>
  <c r="M51" i="11"/>
  <c r="B51" i="11" s="1" a="1"/>
  <c r="B51" i="11" s="1"/>
  <c r="K61" i="11"/>
  <c r="M72" i="11"/>
  <c r="B72" i="11" s="1" a="1"/>
  <c r="B72" i="11" s="1"/>
  <c r="K67" i="11"/>
  <c r="L51" i="11"/>
  <c r="L72" i="11"/>
  <c r="M37" i="11"/>
  <c r="B37" i="11" s="1" a="1"/>
  <c r="B37" i="11" s="1"/>
  <c r="M40" i="11"/>
  <c r="B40" i="11" s="1" a="1"/>
  <c r="B40" i="11" s="1"/>
  <c r="L78" i="11"/>
  <c r="M7" i="11"/>
  <c r="B7" i="11" s="1" a="1"/>
  <c r="B7" i="11" s="1"/>
  <c r="K7" i="11"/>
  <c r="M66" i="11"/>
  <c r="B66" i="11" s="1" a="1"/>
  <c r="B66" i="11" s="1"/>
  <c r="L8" i="11"/>
  <c r="M62" i="11"/>
  <c r="B62" i="11" s="1" a="1"/>
  <c r="B62" i="11" s="1"/>
  <c r="K39" i="11"/>
  <c r="M55" i="11"/>
  <c r="B55" i="11" s="1" a="1"/>
  <c r="B55" i="11" s="1"/>
  <c r="K59" i="11"/>
  <c r="K78" i="11"/>
  <c r="M74" i="11"/>
  <c r="B74" i="11" s="1" a="1"/>
  <c r="B74" i="11" s="1"/>
  <c r="K8" i="11"/>
  <c r="L62" i="11"/>
  <c r="L55" i="11"/>
  <c r="L74" i="11"/>
  <c r="K74" i="11"/>
  <c r="L66" i="11"/>
  <c r="L40" i="11"/>
  <c r="L37" i="11"/>
  <c r="M68" i="3"/>
  <c r="B68" i="3" s="1" a="1"/>
  <c r="B68" i="3" s="1"/>
  <c r="K9" i="3"/>
  <c r="K58" i="3"/>
  <c r="L17" i="3"/>
  <c r="L29" i="3"/>
  <c r="K20" i="3"/>
  <c r="K4" i="3"/>
  <c r="M9" i="3"/>
  <c r="B9" i="3" s="1" a="1"/>
  <c r="B9" i="3" s="1"/>
  <c r="M48" i="3"/>
  <c r="B48" i="3" s="1" a="1"/>
  <c r="B48" i="3" s="1"/>
  <c r="M60" i="3"/>
  <c r="B60" i="3" s="1" a="1"/>
  <c r="B60" i="3" s="1"/>
  <c r="L50" i="3"/>
  <c r="K50" i="3"/>
  <c r="L16" i="3"/>
  <c r="K16" i="3"/>
  <c r="M61" i="3"/>
  <c r="B61" i="3" s="1" a="1"/>
  <c r="B61" i="3" s="1"/>
  <c r="K61" i="3"/>
  <c r="L12" i="3"/>
  <c r="K12" i="3"/>
  <c r="L61" i="3"/>
  <c r="M59" i="3"/>
  <c r="B59" i="3" s="1" a="1"/>
  <c r="B59" i="3" s="1"/>
  <c r="M64" i="3"/>
  <c r="B64" i="3" s="1" a="1"/>
  <c r="B64" i="3" s="1"/>
  <c r="M19" i="3"/>
  <c r="L59" i="3"/>
  <c r="L64" i="3"/>
  <c r="L19" i="3"/>
  <c r="K14" i="3"/>
  <c r="L14" i="3"/>
  <c r="M14" i="3"/>
  <c r="K5" i="3"/>
  <c r="L48" i="3"/>
  <c r="M35" i="3"/>
  <c r="L60" i="3"/>
  <c r="K60" i="3"/>
  <c r="M67" i="3"/>
  <c r="B67" i="3" s="1" a="1"/>
  <c r="B67" i="3" s="1"/>
  <c r="K67" i="3"/>
  <c r="M39" i="3"/>
  <c r="L39" i="3"/>
  <c r="K39" i="3"/>
  <c r="K57" i="3"/>
  <c r="M57" i="3"/>
  <c r="B57" i="3" s="1" a="1"/>
  <c r="B57" i="3" s="1"/>
  <c r="M53" i="3"/>
  <c r="B53" i="3" s="1" a="1"/>
  <c r="B53" i="3" s="1"/>
  <c r="M7" i="3"/>
  <c r="M8" i="3"/>
  <c r="K48" i="3"/>
  <c r="L53" i="3"/>
  <c r="L7" i="3"/>
  <c r="L8" i="3"/>
  <c r="K53" i="3"/>
  <c r="K7" i="3"/>
  <c r="M5" i="3"/>
  <c r="K8" i="3"/>
  <c r="L5" i="3"/>
  <c r="K68" i="3"/>
  <c r="L35" i="3"/>
  <c r="L67" i="3"/>
  <c r="K35" i="3"/>
  <c r="M4" i="3"/>
  <c r="A4" i="3" s="1" a="1"/>
  <c r="A4" i="3" s="1"/>
  <c r="L4" i="3"/>
  <c r="G2" i="17"/>
  <c r="H2" i="17" s="1"/>
  <c r="D9" i="16"/>
  <c r="D39" i="16"/>
  <c r="D41" i="16"/>
  <c r="D38" i="16"/>
  <c r="D36" i="16"/>
  <c r="D7" i="16"/>
  <c r="D5" i="16"/>
  <c r="D24" i="16"/>
  <c r="D3" i="16"/>
  <c r="D27" i="16"/>
  <c r="D4" i="16"/>
  <c r="D4" i="14"/>
  <c r="D61" i="14"/>
  <c r="D68" i="14"/>
  <c r="D44" i="14"/>
  <c r="D27" i="14"/>
  <c r="D45" i="3"/>
  <c r="G3" i="16"/>
  <c r="G27" i="16"/>
  <c r="G4" i="16"/>
  <c r="G17" i="16"/>
  <c r="G14" i="16"/>
  <c r="G26" i="16"/>
  <c r="G28" i="16"/>
  <c r="G16" i="16"/>
  <c r="G30" i="16"/>
  <c r="G18" i="16"/>
  <c r="G21" i="16"/>
  <c r="G35" i="16"/>
  <c r="G34" i="16"/>
  <c r="G15" i="16"/>
  <c r="AE79" i="11"/>
  <c r="AE77" i="11"/>
  <c r="AE70" i="11"/>
  <c r="AE53" i="11"/>
  <c r="AE28" i="11"/>
  <c r="AE43" i="11"/>
  <c r="AE14" i="11"/>
  <c r="AE30" i="11"/>
  <c r="AE68" i="11"/>
  <c r="AE64" i="11"/>
  <c r="AE73" i="11"/>
  <c r="AE75" i="11"/>
  <c r="AE63" i="11"/>
  <c r="AE57" i="11"/>
  <c r="AE25" i="11"/>
  <c r="AE23" i="11"/>
  <c r="AE71" i="11"/>
  <c r="AE80" i="11"/>
  <c r="AE76" i="11"/>
  <c r="AE19" i="11"/>
  <c r="AE42" i="11"/>
  <c r="AE69" i="11"/>
  <c r="AE16" i="11"/>
  <c r="AE56" i="11"/>
  <c r="AE36" i="11"/>
  <c r="AE33" i="11"/>
  <c r="AE29" i="11"/>
  <c r="AE13" i="11"/>
  <c r="AE35" i="11"/>
  <c r="AE27" i="11"/>
  <c r="AE11" i="11"/>
  <c r="AE15" i="11"/>
  <c r="AE20" i="11"/>
  <c r="AE38" i="11"/>
  <c r="AE46" i="11"/>
  <c r="AE34" i="11"/>
  <c r="AE47" i="11"/>
  <c r="AE52" i="11"/>
  <c r="AE17" i="11"/>
  <c r="AE21" i="11"/>
  <c r="AE24" i="11"/>
  <c r="AE48" i="11"/>
  <c r="AE10" i="11"/>
  <c r="AE9" i="11"/>
  <c r="AE30" i="3"/>
  <c r="AE6" i="3"/>
  <c r="AE42" i="3"/>
  <c r="AE69" i="3"/>
  <c r="AE10" i="3"/>
  <c r="AE70" i="3"/>
  <c r="AE40" i="3"/>
  <c r="AE46" i="3"/>
  <c r="AE11" i="3"/>
  <c r="AE47" i="3"/>
  <c r="AE21" i="3"/>
  <c r="AE41" i="3"/>
  <c r="AE66" i="3"/>
  <c r="AE43" i="3"/>
  <c r="AE55" i="3"/>
  <c r="AE15" i="3"/>
  <c r="AE3" i="3"/>
  <c r="AE44" i="3"/>
  <c r="AE63" i="3"/>
  <c r="AE38" i="3"/>
  <c r="AE45" i="3"/>
  <c r="AE37" i="3"/>
  <c r="AE33" i="3"/>
  <c r="AE32" i="3"/>
  <c r="AE51" i="3"/>
  <c r="AE25" i="3"/>
  <c r="AE27" i="3"/>
  <c r="AE34" i="3"/>
  <c r="AE18" i="3"/>
  <c r="AE22" i="3"/>
  <c r="AE31" i="3"/>
  <c r="AE28" i="3"/>
  <c r="AE26" i="3"/>
  <c r="AE36" i="3"/>
  <c r="AE65" i="3"/>
  <c r="AE62" i="3"/>
  <c r="AE23" i="3"/>
  <c r="AE24" i="3"/>
  <c r="AE56" i="3"/>
  <c r="AE54" i="3"/>
  <c r="AE49" i="3"/>
  <c r="AE52" i="3"/>
  <c r="X30" i="3"/>
  <c r="X6" i="3"/>
  <c r="X42" i="3"/>
  <c r="X69" i="3"/>
  <c r="X10" i="3"/>
  <c r="X70" i="3"/>
  <c r="X40" i="3"/>
  <c r="X46" i="3"/>
  <c r="X11" i="3"/>
  <c r="X47" i="3"/>
  <c r="X21" i="3"/>
  <c r="X41" i="3"/>
  <c r="X66" i="3"/>
  <c r="X43" i="3"/>
  <c r="X55" i="3"/>
  <c r="X15" i="3"/>
  <c r="X3" i="3"/>
  <c r="X44" i="3"/>
  <c r="X63" i="3"/>
  <c r="X38" i="3"/>
  <c r="X45" i="3"/>
  <c r="X37" i="3"/>
  <c r="X33" i="3"/>
  <c r="X32" i="3"/>
  <c r="X51" i="3"/>
  <c r="X25" i="3"/>
  <c r="X27" i="3"/>
  <c r="X34" i="3"/>
  <c r="X18" i="3"/>
  <c r="X22" i="3"/>
  <c r="X31" i="3"/>
  <c r="X26" i="3"/>
  <c r="X36" i="3"/>
  <c r="X65" i="3"/>
  <c r="X62" i="3"/>
  <c r="X23" i="3"/>
  <c r="X24" i="3"/>
  <c r="X56" i="3"/>
  <c r="X54" i="3"/>
  <c r="X49" i="3"/>
  <c r="X52" i="3"/>
  <c r="X79" i="11"/>
  <c r="X77" i="11"/>
  <c r="X70" i="11"/>
  <c r="X53" i="11"/>
  <c r="X28" i="11"/>
  <c r="X43" i="11"/>
  <c r="X14" i="11"/>
  <c r="X30" i="11"/>
  <c r="X68" i="11"/>
  <c r="X64" i="11"/>
  <c r="X73" i="11"/>
  <c r="X75" i="11"/>
  <c r="X63" i="11"/>
  <c r="X57" i="11"/>
  <c r="X25" i="11"/>
  <c r="X23" i="11"/>
  <c r="X71" i="11"/>
  <c r="X80" i="11"/>
  <c r="X76" i="11"/>
  <c r="X19" i="11"/>
  <c r="X42" i="11"/>
  <c r="X69" i="11"/>
  <c r="X16" i="11"/>
  <c r="X56" i="11"/>
  <c r="X36" i="11"/>
  <c r="X33" i="11"/>
  <c r="X29" i="11"/>
  <c r="X13" i="11"/>
  <c r="X35" i="11"/>
  <c r="X27" i="11"/>
  <c r="X11" i="11"/>
  <c r="X15" i="11"/>
  <c r="X20" i="11"/>
  <c r="X38" i="11"/>
  <c r="X46" i="11"/>
  <c r="X41" i="11"/>
  <c r="X34" i="11"/>
  <c r="X47" i="11"/>
  <c r="X52" i="11"/>
  <c r="X17" i="11"/>
  <c r="X21" i="11"/>
  <c r="X24" i="11"/>
  <c r="X48" i="11"/>
  <c r="X10" i="11"/>
  <c r="X9" i="11"/>
  <c r="G75" i="11"/>
  <c r="G63" i="11"/>
  <c r="G57" i="11"/>
  <c r="G25" i="11"/>
  <c r="G23" i="11"/>
  <c r="G71" i="11"/>
  <c r="G80" i="11"/>
  <c r="G76" i="11"/>
  <c r="G19" i="11"/>
  <c r="G42" i="11"/>
  <c r="G69" i="11"/>
  <c r="G16" i="11"/>
  <c r="G56" i="11"/>
  <c r="G36" i="11"/>
  <c r="G33" i="11"/>
  <c r="G29" i="11"/>
  <c r="G13" i="11"/>
  <c r="G35" i="11"/>
  <c r="G26" i="3"/>
  <c r="G36" i="3"/>
  <c r="G65" i="3"/>
  <c r="G62" i="3"/>
  <c r="G23" i="3"/>
  <c r="G24" i="3"/>
  <c r="G56" i="3"/>
  <c r="G54" i="3"/>
  <c r="G49" i="3"/>
  <c r="G52" i="3"/>
  <c r="G6" i="3"/>
  <c r="G42" i="3"/>
  <c r="G69" i="3"/>
  <c r="G10" i="3"/>
  <c r="G70" i="3"/>
  <c r="G40" i="3"/>
  <c r="G46" i="3"/>
  <c r="G11" i="3"/>
  <c r="G47" i="3"/>
  <c r="G21" i="3"/>
  <c r="G41" i="3"/>
  <c r="G66" i="3"/>
  <c r="G43" i="3"/>
  <c r="G55" i="3"/>
  <c r="G15" i="3"/>
  <c r="G3" i="3"/>
  <c r="G44" i="3"/>
  <c r="G63" i="3"/>
  <c r="G38" i="3"/>
  <c r="G45" i="3"/>
  <c r="G37" i="3"/>
  <c r="G33" i="3"/>
  <c r="G32" i="3"/>
  <c r="G51" i="3"/>
  <c r="G25" i="3"/>
  <c r="G27" i="3"/>
  <c r="G34" i="3"/>
  <c r="G18" i="3"/>
  <c r="G22" i="3"/>
  <c r="G31" i="3"/>
  <c r="G28" i="3"/>
  <c r="G24" i="11"/>
  <c r="G48" i="11"/>
  <c r="G10" i="11"/>
  <c r="G9" i="11"/>
  <c r="G79" i="11"/>
  <c r="G77" i="11"/>
  <c r="G70" i="11"/>
  <c r="G53" i="11"/>
  <c r="G28" i="11"/>
  <c r="G43" i="11"/>
  <c r="G14" i="11"/>
  <c r="G30" i="11"/>
  <c r="G68" i="11"/>
  <c r="G64" i="11"/>
  <c r="G73" i="11"/>
  <c r="G27" i="11"/>
  <c r="G11" i="11"/>
  <c r="G15" i="11"/>
  <c r="G20" i="11"/>
  <c r="G38" i="11"/>
  <c r="G46" i="11"/>
  <c r="G41" i="11"/>
  <c r="G34" i="11"/>
  <c r="G47" i="11"/>
  <c r="G52" i="11"/>
  <c r="G17" i="11"/>
  <c r="G21" i="11"/>
  <c r="G9" i="16"/>
  <c r="G39" i="16"/>
  <c r="G41" i="16"/>
  <c r="G38" i="16"/>
  <c r="G36" i="16"/>
  <c r="G7" i="16"/>
  <c r="G5" i="16"/>
  <c r="G24" i="16"/>
  <c r="G33" i="16"/>
  <c r="G13" i="16"/>
  <c r="G8" i="15"/>
  <c r="G29" i="15"/>
  <c r="G24" i="15"/>
  <c r="G23" i="15"/>
  <c r="G9" i="15"/>
  <c r="G27" i="15"/>
  <c r="G4" i="15"/>
  <c r="G3" i="15"/>
  <c r="G26" i="15"/>
  <c r="G11" i="15"/>
  <c r="G15" i="15"/>
  <c r="G10" i="15"/>
  <c r="G17" i="15"/>
  <c r="G20" i="15"/>
  <c r="G18" i="15"/>
  <c r="G4" i="6"/>
  <c r="G27" i="6"/>
  <c r="G31" i="6"/>
  <c r="G45" i="6"/>
  <c r="G10" i="6"/>
  <c r="G12" i="6"/>
  <c r="G17" i="6"/>
  <c r="G11" i="6"/>
  <c r="G65" i="6"/>
  <c r="G34" i="6"/>
  <c r="G56" i="6"/>
  <c r="G43" i="6"/>
  <c r="G53" i="6"/>
  <c r="G47" i="6"/>
  <c r="G59" i="6"/>
  <c r="G50" i="6"/>
  <c r="G49" i="6"/>
  <c r="G15" i="6"/>
  <c r="G48" i="6"/>
  <c r="G26" i="6"/>
  <c r="G40" i="6"/>
  <c r="G52" i="6"/>
  <c r="G35" i="6"/>
  <c r="G60" i="6"/>
  <c r="G62" i="6"/>
  <c r="G64" i="6"/>
  <c r="G51" i="6"/>
  <c r="G36" i="6"/>
  <c r="G55" i="6"/>
  <c r="G57" i="6"/>
  <c r="G63" i="6"/>
  <c r="G29" i="6"/>
  <c r="G19" i="6"/>
  <c r="G22" i="6"/>
  <c r="G42" i="6"/>
  <c r="G20" i="6"/>
  <c r="G37" i="6"/>
  <c r="G38" i="6"/>
  <c r="G25" i="6"/>
  <c r="G21" i="6"/>
  <c r="G54" i="6"/>
  <c r="G22" i="14"/>
  <c r="G20" i="14"/>
  <c r="G26" i="14"/>
  <c r="G36" i="14"/>
  <c r="G21" i="14"/>
  <c r="G17" i="14"/>
  <c r="G14" i="14"/>
  <c r="G19" i="14"/>
  <c r="G13" i="14"/>
  <c r="G18" i="14"/>
  <c r="G4" i="14"/>
  <c r="G49" i="14"/>
  <c r="G50" i="14"/>
  <c r="G28" i="14"/>
  <c r="G12" i="14"/>
  <c r="G52" i="14"/>
  <c r="G61" i="14"/>
  <c r="G15" i="14"/>
  <c r="G68" i="14"/>
  <c r="G37" i="14"/>
  <c r="G40" i="14"/>
  <c r="G30" i="14"/>
  <c r="G8" i="14"/>
  <c r="G44" i="14"/>
  <c r="G23" i="14"/>
  <c r="G3" i="14"/>
  <c r="G16" i="14"/>
  <c r="G29" i="14"/>
  <c r="G38" i="14"/>
  <c r="G51" i="14"/>
  <c r="G32" i="14"/>
  <c r="G45" i="14"/>
  <c r="G31" i="14"/>
  <c r="G47" i="14"/>
  <c r="G33" i="14"/>
  <c r="G35" i="14"/>
  <c r="G41" i="14"/>
  <c r="G27" i="14"/>
  <c r="G30" i="3"/>
  <c r="B46" i="6" l="1" a="1"/>
  <c r="B46" i="6" s="1"/>
  <c r="B7" i="6" a="1"/>
  <c r="B7" i="6" s="1"/>
  <c r="B3" i="12" a="1"/>
  <c r="B3" i="12" s="1"/>
  <c r="J31" i="11"/>
  <c r="J40" i="11"/>
  <c r="J12" i="11"/>
  <c r="J37" i="11"/>
  <c r="J51" i="11"/>
  <c r="J18" i="11"/>
  <c r="R80" i="11"/>
  <c r="S80" i="11" s="1"/>
  <c r="J49" i="11"/>
  <c r="R71" i="11"/>
  <c r="S71" i="11" s="1"/>
  <c r="R43" i="11"/>
  <c r="S43" i="11"/>
  <c r="J72" i="11"/>
  <c r="J60" i="11"/>
  <c r="J39" i="11"/>
  <c r="J74" i="11"/>
  <c r="J67" i="11"/>
  <c r="R46" i="11"/>
  <c r="S46" i="11"/>
  <c r="R29" i="11"/>
  <c r="S29" i="11"/>
  <c r="J65" i="11"/>
  <c r="R16" i="11"/>
  <c r="S16" i="11"/>
  <c r="J7" i="11"/>
  <c r="R9" i="11"/>
  <c r="S9" i="11"/>
  <c r="S33" i="11"/>
  <c r="R33" i="11"/>
  <c r="S20" i="11"/>
  <c r="R20" i="11"/>
  <c r="R17" i="11"/>
  <c r="S17" i="11"/>
  <c r="S56" i="11"/>
  <c r="R56" i="11"/>
  <c r="J56" i="11" s="1"/>
  <c r="R11" i="11"/>
  <c r="S11" i="11"/>
  <c r="R25" i="11"/>
  <c r="S25" i="11"/>
  <c r="R47" i="11"/>
  <c r="S47" i="11"/>
  <c r="R69" i="11"/>
  <c r="J44" i="11"/>
  <c r="J8" i="11"/>
  <c r="J62" i="11"/>
  <c r="J54" i="11"/>
  <c r="J26" i="11"/>
  <c r="J66" i="11"/>
  <c r="R79" i="11"/>
  <c r="S79" i="11" s="1"/>
  <c r="J59" i="11"/>
  <c r="R30" i="11"/>
  <c r="S30" i="11"/>
  <c r="J45" i="11"/>
  <c r="J32" i="11"/>
  <c r="R21" i="11"/>
  <c r="S21" i="11"/>
  <c r="S10" i="11"/>
  <c r="R10" i="11"/>
  <c r="R15" i="11"/>
  <c r="S15" i="11"/>
  <c r="S23" i="11"/>
  <c r="R23" i="11"/>
  <c r="R28" i="11"/>
  <c r="S28" i="11"/>
  <c r="S53" i="11"/>
  <c r="R53" i="11"/>
  <c r="R73" i="11"/>
  <c r="S73" i="11" s="1"/>
  <c r="R35" i="11"/>
  <c r="S35" i="11"/>
  <c r="R68" i="11"/>
  <c r="S68" i="11" s="1"/>
  <c r="R76" i="11"/>
  <c r="S76" i="11" s="1"/>
  <c r="S38" i="11"/>
  <c r="R38" i="11"/>
  <c r="R14" i="11"/>
  <c r="S14" i="11"/>
  <c r="R36" i="11"/>
  <c r="S36" i="11"/>
  <c r="S48" i="11"/>
  <c r="R48" i="11"/>
  <c r="R52" i="11"/>
  <c r="S52" i="11"/>
  <c r="R24" i="11"/>
  <c r="S24" i="11"/>
  <c r="S27" i="11"/>
  <c r="R27" i="11"/>
  <c r="R57" i="11"/>
  <c r="S57" i="11" s="1"/>
  <c r="R34" i="11"/>
  <c r="S34" i="11"/>
  <c r="R70" i="11"/>
  <c r="S70" i="11" s="1"/>
  <c r="R42" i="11"/>
  <c r="S42" i="11"/>
  <c r="R63" i="11"/>
  <c r="S41" i="11"/>
  <c r="R41" i="11"/>
  <c r="R64" i="11"/>
  <c r="S64" i="11" s="1"/>
  <c r="R77" i="11"/>
  <c r="S77" i="11" s="1"/>
  <c r="R13" i="11"/>
  <c r="S13" i="11"/>
  <c r="R19" i="11"/>
  <c r="S19" i="11"/>
  <c r="R75" i="11"/>
  <c r="S75" i="11" s="1"/>
  <c r="J78" i="11"/>
  <c r="J61" i="11"/>
  <c r="S82" i="11"/>
  <c r="J82" i="11" s="1"/>
  <c r="J22" i="11"/>
  <c r="J55" i="11"/>
  <c r="J29" i="3"/>
  <c r="J12" i="3"/>
  <c r="J5" i="3"/>
  <c r="J4" i="3"/>
  <c r="J8" i="3"/>
  <c r="J13" i="3"/>
  <c r="R22" i="3"/>
  <c r="S22" i="3"/>
  <c r="R37" i="3"/>
  <c r="S37" i="3"/>
  <c r="R24" i="3"/>
  <c r="S24" i="3"/>
  <c r="J19" i="3"/>
  <c r="S58" i="3"/>
  <c r="J58" i="3" s="1"/>
  <c r="J16" i="3"/>
  <c r="J64" i="3"/>
  <c r="J68" i="3"/>
  <c r="R43" i="3"/>
  <c r="S43" i="3"/>
  <c r="R38" i="3"/>
  <c r="S38" i="3"/>
  <c r="S61" i="3"/>
  <c r="J61" i="3" s="1"/>
  <c r="R56" i="3"/>
  <c r="S10" i="3"/>
  <c r="R10" i="3"/>
  <c r="R23" i="3"/>
  <c r="S23" i="3"/>
  <c r="S27" i="3"/>
  <c r="R27" i="3"/>
  <c r="R42" i="3"/>
  <c r="S42" i="3"/>
  <c r="J14" i="3"/>
  <c r="J17" i="3"/>
  <c r="J7" i="3"/>
  <c r="J50" i="3"/>
  <c r="S45" i="3"/>
  <c r="R45" i="3"/>
  <c r="S30" i="3"/>
  <c r="R30" i="3"/>
  <c r="R41" i="3"/>
  <c r="S41" i="3"/>
  <c r="R63" i="3"/>
  <c r="S63" i="3" s="1"/>
  <c r="R25" i="3"/>
  <c r="S25" i="3"/>
  <c r="R44" i="3"/>
  <c r="S44" i="3"/>
  <c r="R47" i="3"/>
  <c r="S47" i="3" s="1"/>
  <c r="S6" i="3"/>
  <c r="R6" i="3"/>
  <c r="R65" i="3"/>
  <c r="S65" i="3" s="1"/>
  <c r="J20" i="3"/>
  <c r="S57" i="3"/>
  <c r="J57" i="3" s="1"/>
  <c r="R66" i="3"/>
  <c r="S66" i="3" s="1"/>
  <c r="R69" i="3"/>
  <c r="S21" i="3"/>
  <c r="R21" i="3"/>
  <c r="R51" i="3"/>
  <c r="R11" i="3"/>
  <c r="S11" i="3"/>
  <c r="R36" i="3"/>
  <c r="S36" i="3"/>
  <c r="S59" i="3"/>
  <c r="J59" i="3" s="1"/>
  <c r="J48" i="3"/>
  <c r="R70" i="3"/>
  <c r="S70" i="3" s="1"/>
  <c r="R34" i="3"/>
  <c r="S34" i="3"/>
  <c r="R62" i="3"/>
  <c r="S62" i="3" s="1"/>
  <c r="R3" i="3"/>
  <c r="S3" i="3"/>
  <c r="R52" i="3"/>
  <c r="S52" i="3" s="1"/>
  <c r="R28" i="3"/>
  <c r="S28" i="3"/>
  <c r="R32" i="3"/>
  <c r="S32" i="3"/>
  <c r="S15" i="3"/>
  <c r="R15" i="3"/>
  <c r="R46" i="3"/>
  <c r="S46" i="3" s="1"/>
  <c r="R49" i="3"/>
  <c r="S49" i="3" s="1"/>
  <c r="R26" i="3"/>
  <c r="S26" i="3"/>
  <c r="J53" i="3"/>
  <c r="J60" i="3"/>
  <c r="J39" i="3"/>
  <c r="J9" i="3"/>
  <c r="J35" i="3"/>
  <c r="R18" i="3"/>
  <c r="S18" i="3"/>
  <c r="R31" i="3"/>
  <c r="S31" i="3"/>
  <c r="R33" i="3"/>
  <c r="S33" i="3"/>
  <c r="R55" i="3"/>
  <c r="S40" i="3"/>
  <c r="R40" i="3"/>
  <c r="R54" i="3"/>
  <c r="S54" i="3" s="1"/>
  <c r="J67" i="3"/>
  <c r="B3" i="13" a="1"/>
  <c r="B3" i="13" s="1"/>
  <c r="B6" i="13" a="1"/>
  <c r="B6" i="13" s="1"/>
  <c r="B4" i="13" a="1"/>
  <c r="B4" i="13" s="1"/>
  <c r="B18" i="13" a="1"/>
  <c r="B18" i="13" s="1"/>
  <c r="B9" i="13" a="1"/>
  <c r="B9" i="13" s="1"/>
  <c r="B12" i="13" a="1"/>
  <c r="B12" i="13" s="1"/>
  <c r="B15" i="13" a="1"/>
  <c r="B15" i="13" s="1"/>
  <c r="B19" i="13" a="1"/>
  <c r="B19" i="13" s="1"/>
  <c r="B8" i="13" a="1"/>
  <c r="B8" i="13" s="1"/>
  <c r="B11" i="13" a="1"/>
  <c r="B11" i="13" s="1"/>
  <c r="B13" i="13" a="1"/>
  <c r="B13" i="13" s="1"/>
  <c r="M48" i="11"/>
  <c r="B48" i="11" s="1" a="1"/>
  <c r="B48" i="11" s="1"/>
  <c r="B17" i="13" a="1"/>
  <c r="B17" i="13" s="1"/>
  <c r="A17" i="13" a="1"/>
  <c r="A17" i="13" s="1"/>
  <c r="R17" i="13" s="1"/>
  <c r="Q22" i="11"/>
  <c r="B13" i="15" a="1"/>
  <c r="B13" i="15" s="1"/>
  <c r="A13" i="15" a="1"/>
  <c r="A13" i="15" s="1"/>
  <c r="Q13" i="15" s="1"/>
  <c r="B58" i="3" a="1"/>
  <c r="B58" i="3" s="1"/>
  <c r="A58" i="3" a="1"/>
  <c r="A58" i="3" s="1"/>
  <c r="Q58" i="3" s="1"/>
  <c r="B28" i="6" a="1"/>
  <c r="B28" i="6" s="1"/>
  <c r="Q28" i="6"/>
  <c r="Q32" i="16"/>
  <c r="Q43" i="16"/>
  <c r="B19" i="16" a="1"/>
  <c r="B19" i="16" s="1"/>
  <c r="Q19" i="16"/>
  <c r="Q7" i="15"/>
  <c r="Q31" i="11"/>
  <c r="Q4" i="3"/>
  <c r="Q60" i="14"/>
  <c r="Q59" i="14"/>
  <c r="K31" i="14"/>
  <c r="K23" i="14"/>
  <c r="K68" i="14"/>
  <c r="K50" i="14"/>
  <c r="M17" i="14"/>
  <c r="M22" i="14"/>
  <c r="A22" i="14" s="1" a="1"/>
  <c r="A22" i="14" s="1"/>
  <c r="M49" i="14"/>
  <c r="A49" i="14" s="1" a="1"/>
  <c r="A49" i="14" s="1"/>
  <c r="K37" i="14"/>
  <c r="M27" i="14"/>
  <c r="K32" i="14"/>
  <c r="K44" i="14"/>
  <c r="K61" i="14"/>
  <c r="K21" i="14"/>
  <c r="K51" i="14"/>
  <c r="K8" i="14"/>
  <c r="M18" i="14"/>
  <c r="B18" i="14" s="1" a="1"/>
  <c r="B18" i="14" s="1"/>
  <c r="K36" i="14"/>
  <c r="L14" i="14"/>
  <c r="M41" i="14"/>
  <c r="A41" i="14" s="1" a="1"/>
  <c r="A41" i="14" s="1"/>
  <c r="K52" i="14"/>
  <c r="K35" i="14"/>
  <c r="K38" i="14"/>
  <c r="K30" i="14"/>
  <c r="K12" i="14"/>
  <c r="K13" i="14"/>
  <c r="K26" i="14"/>
  <c r="K47" i="14"/>
  <c r="K20" i="14"/>
  <c r="M45" i="14"/>
  <c r="K29" i="14"/>
  <c r="K3" i="14"/>
  <c r="M15" i="14"/>
  <c r="B15" i="14" s="1" a="1"/>
  <c r="B15" i="14" s="1"/>
  <c r="M33" i="14"/>
  <c r="L16" i="14"/>
  <c r="L40" i="14"/>
  <c r="L28" i="14"/>
  <c r="K19" i="14"/>
  <c r="M63" i="6"/>
  <c r="L56" i="6"/>
  <c r="M38" i="6"/>
  <c r="L57" i="6"/>
  <c r="M35" i="6"/>
  <c r="M50" i="6"/>
  <c r="M34" i="6"/>
  <c r="B41" i="6" a="1"/>
  <c r="B41" i="6" s="1"/>
  <c r="M31" i="6"/>
  <c r="B31" i="6" s="1" a="1"/>
  <c r="B31" i="6" s="1"/>
  <c r="L52" i="6"/>
  <c r="L25" i="6"/>
  <c r="L59" i="6"/>
  <c r="L40" i="6"/>
  <c r="L45" i="6"/>
  <c r="M37" i="6"/>
  <c r="L4" i="6"/>
  <c r="M26" i="6"/>
  <c r="L65" i="6"/>
  <c r="L22" i="6"/>
  <c r="M64" i="6"/>
  <c r="K48" i="6"/>
  <c r="M53" i="6"/>
  <c r="A53" i="6" s="1" a="1"/>
  <c r="A53" i="6" s="1"/>
  <c r="M12" i="6"/>
  <c r="M55" i="6"/>
  <c r="L11" i="6"/>
  <c r="M42" i="6"/>
  <c r="L54" i="6"/>
  <c r="M19" i="6"/>
  <c r="M62" i="6"/>
  <c r="M15" i="6"/>
  <c r="M10" i="6"/>
  <c r="L27" i="6"/>
  <c r="L36" i="6"/>
  <c r="L47" i="6"/>
  <c r="M51" i="6"/>
  <c r="M21" i="6"/>
  <c r="B21" i="6" s="1" a="1"/>
  <c r="B21" i="6" s="1"/>
  <c r="M60" i="6"/>
  <c r="M49" i="6"/>
  <c r="M43" i="6"/>
  <c r="M18" i="16"/>
  <c r="M39" i="16"/>
  <c r="B39" i="16" s="1" a="1"/>
  <c r="B39" i="16" s="1"/>
  <c r="L16" i="16"/>
  <c r="L4" i="16"/>
  <c r="K21" i="16"/>
  <c r="M13" i="16"/>
  <c r="M33" i="16"/>
  <c r="K36" i="16"/>
  <c r="K28" i="16"/>
  <c r="K5" i="16"/>
  <c r="M7" i="16"/>
  <c r="K34" i="16"/>
  <c r="K26" i="16"/>
  <c r="K3" i="16"/>
  <c r="K9" i="16"/>
  <c r="K30" i="16"/>
  <c r="K38" i="16"/>
  <c r="K14" i="16"/>
  <c r="K17" i="16"/>
  <c r="K24" i="16"/>
  <c r="K41" i="16"/>
  <c r="K35" i="16"/>
  <c r="K27" i="16"/>
  <c r="K4" i="15"/>
  <c r="L3" i="15"/>
  <c r="K20" i="15"/>
  <c r="K17" i="15"/>
  <c r="K9" i="15"/>
  <c r="L23" i="15"/>
  <c r="L15" i="15"/>
  <c r="M24" i="15"/>
  <c r="A24" i="15" s="1" a="1"/>
  <c r="A24" i="15" s="1"/>
  <c r="K10" i="15"/>
  <c r="M11" i="15"/>
  <c r="B11" i="15" s="1" a="1"/>
  <c r="B11" i="15" s="1"/>
  <c r="M29" i="15"/>
  <c r="B29" i="15" s="1" a="1"/>
  <c r="B29" i="15" s="1"/>
  <c r="K27" i="15"/>
  <c r="K26" i="15"/>
  <c r="K8" i="15"/>
  <c r="B11" i="12" a="1"/>
  <c r="B11" i="12" s="1"/>
  <c r="K4" i="14"/>
  <c r="M17" i="6"/>
  <c r="L20" i="11"/>
  <c r="K33" i="11"/>
  <c r="L52" i="11"/>
  <c r="M9" i="11"/>
  <c r="B9" i="11" s="1" a="1"/>
  <c r="B9" i="11" s="1"/>
  <c r="K36" i="11"/>
  <c r="M19" i="11"/>
  <c r="B19" i="11" s="1" a="1"/>
  <c r="B19" i="11" s="1"/>
  <c r="M17" i="11"/>
  <c r="B17" i="11" s="1" a="1"/>
  <c r="B17" i="11" s="1"/>
  <c r="K42" i="11"/>
  <c r="M75" i="11"/>
  <c r="B75" i="11" s="1" a="1"/>
  <c r="B75" i="11" s="1"/>
  <c r="M11" i="11"/>
  <c r="B11" i="11" s="1" a="1"/>
  <c r="B11" i="11" s="1"/>
  <c r="K10" i="11"/>
  <c r="L16" i="11"/>
  <c r="L23" i="11"/>
  <c r="L76" i="11"/>
  <c r="M80" i="11"/>
  <c r="B80" i="11" s="1" a="1"/>
  <c r="B80" i="11" s="1"/>
  <c r="K41" i="11"/>
  <c r="L48" i="11"/>
  <c r="L46" i="11"/>
  <c r="L43" i="11"/>
  <c r="K24" i="11"/>
  <c r="K13" i="11"/>
  <c r="L25" i="11"/>
  <c r="M34" i="11"/>
  <c r="B34" i="11" s="1" a="1"/>
  <c r="B34" i="11" s="1"/>
  <c r="L21" i="11"/>
  <c r="K38" i="11"/>
  <c r="L29" i="11"/>
  <c r="K57" i="11"/>
  <c r="K22" i="3"/>
  <c r="L47" i="3"/>
  <c r="L15" i="3"/>
  <c r="L34" i="3"/>
  <c r="L55" i="3"/>
  <c r="L11" i="3"/>
  <c r="L24" i="3"/>
  <c r="L42" i="3"/>
  <c r="K23" i="3"/>
  <c r="K56" i="3"/>
  <c r="L62" i="3"/>
  <c r="K65" i="3"/>
  <c r="L37" i="3"/>
  <c r="L38" i="3"/>
  <c r="M52" i="3"/>
  <c r="B16" i="3" s="1" a="1"/>
  <c r="B16" i="3" s="1"/>
  <c r="K28" i="3"/>
  <c r="M36" i="3"/>
  <c r="K31" i="3"/>
  <c r="K54" i="3"/>
  <c r="M29" i="6"/>
  <c r="L15" i="16"/>
  <c r="K18" i="15"/>
  <c r="K27" i="11"/>
  <c r="L45" i="3"/>
  <c r="Q18" i="14"/>
  <c r="Q15" i="14"/>
  <c r="Q63" i="6"/>
  <c r="Q34" i="6"/>
  <c r="Q31" i="6"/>
  <c r="Q43" i="6"/>
  <c r="Q15" i="6"/>
  <c r="Q12" i="6"/>
  <c r="Q10" i="6"/>
  <c r="Q17" i="6"/>
  <c r="Q21" i="6"/>
  <c r="E19" i="17"/>
  <c r="F19" i="17" s="1"/>
  <c r="Q7" i="16"/>
  <c r="Q33" i="16"/>
  <c r="Q13" i="16"/>
  <c r="Q39" i="16"/>
  <c r="Q29" i="15"/>
  <c r="Q11" i="15"/>
  <c r="Q19" i="11"/>
  <c r="Q34" i="11"/>
  <c r="Q75" i="11"/>
  <c r="Q80" i="11"/>
  <c r="Q52" i="3"/>
  <c r="Q36" i="3"/>
  <c r="K28" i="11"/>
  <c r="M35" i="11"/>
  <c r="B35" i="11" s="1" a="1"/>
  <c r="B35" i="11" s="1"/>
  <c r="M68" i="11"/>
  <c r="B68" i="11" s="1" a="1"/>
  <c r="B68" i="11" s="1"/>
  <c r="K70" i="11"/>
  <c r="K73" i="11"/>
  <c r="K30" i="11"/>
  <c r="M79" i="11"/>
  <c r="B79" i="11" s="1" a="1"/>
  <c r="B79" i="11" s="1"/>
  <c r="M14" i="11"/>
  <c r="B14" i="11" s="1" a="1"/>
  <c r="B14" i="11" s="1"/>
  <c r="K32" i="3"/>
  <c r="K63" i="3"/>
  <c r="M66" i="3"/>
  <c r="A66" i="3" s="1" a="1"/>
  <c r="A66" i="3" s="1"/>
  <c r="K30" i="3"/>
  <c r="K70" i="3"/>
  <c r="M27" i="3"/>
  <c r="M30" i="14"/>
  <c r="B30" i="14" s="1" a="1"/>
  <c r="B30" i="14" s="1"/>
  <c r="M56" i="6"/>
  <c r="A56" i="6" s="1" a="1"/>
  <c r="A56" i="6" s="1"/>
  <c r="K54" i="6"/>
  <c r="L21" i="6"/>
  <c r="L34" i="6"/>
  <c r="L50" i="6"/>
  <c r="L7" i="16"/>
  <c r="M26" i="15"/>
  <c r="B26" i="15" s="1" a="1"/>
  <c r="B26" i="15" s="1"/>
  <c r="K11" i="15"/>
  <c r="K23" i="11"/>
  <c r="K43" i="11"/>
  <c r="L36" i="11"/>
  <c r="K25" i="11"/>
  <c r="M51" i="3"/>
  <c r="M43" i="3"/>
  <c r="M40" i="3"/>
  <c r="M36" i="11"/>
  <c r="B36" i="11" s="1" a="1"/>
  <c r="B36" i="11" s="1"/>
  <c r="K52" i="11"/>
  <c r="K17" i="11"/>
  <c r="L19" i="11"/>
  <c r="K19" i="11"/>
  <c r="K62" i="3"/>
  <c r="M18" i="3"/>
  <c r="M4" i="16"/>
  <c r="B4" i="16" s="1" a="1"/>
  <c r="B4" i="16" s="1"/>
  <c r="M15" i="16"/>
  <c r="M17" i="16"/>
  <c r="M3" i="16"/>
  <c r="L17" i="16"/>
  <c r="K4" i="16"/>
  <c r="K39" i="16"/>
  <c r="M34" i="16"/>
  <c r="M30" i="16"/>
  <c r="L26" i="15"/>
  <c r="K23" i="15"/>
  <c r="L11" i="15"/>
  <c r="K3" i="15"/>
  <c r="M17" i="15"/>
  <c r="L17" i="15"/>
  <c r="L24" i="15"/>
  <c r="K24" i="15"/>
  <c r="L37" i="14"/>
  <c r="L15" i="14"/>
  <c r="M32" i="14"/>
  <c r="M61" i="14"/>
  <c r="L18" i="14"/>
  <c r="M38" i="14"/>
  <c r="A38" i="14" s="1" a="1"/>
  <c r="A38" i="14" s="1"/>
  <c r="M12" i="14"/>
  <c r="B12" i="14" s="1" a="1"/>
  <c r="B12" i="14" s="1"/>
  <c r="K14" i="14"/>
  <c r="L3" i="14"/>
  <c r="L49" i="14"/>
  <c r="L17" i="14"/>
  <c r="M44" i="14"/>
  <c r="B44" i="14" s="1" a="1"/>
  <c r="B44" i="14" s="1"/>
  <c r="M4" i="14"/>
  <c r="K16" i="14"/>
  <c r="K28" i="14"/>
  <c r="K18" i="14"/>
  <c r="K17" i="14"/>
  <c r="L36" i="14"/>
  <c r="K22" i="14"/>
  <c r="L33" i="14"/>
  <c r="M47" i="14"/>
  <c r="B47" i="14" s="1" a="1"/>
  <c r="B47" i="14" s="1"/>
  <c r="K45" i="14"/>
  <c r="L38" i="14"/>
  <c r="M3" i="14"/>
  <c r="L30" i="14"/>
  <c r="M37" i="14"/>
  <c r="A37" i="14" s="1" a="1"/>
  <c r="A37" i="14" s="1"/>
  <c r="K15" i="14"/>
  <c r="L12" i="14"/>
  <c r="K49" i="14"/>
  <c r="L22" i="14"/>
  <c r="L45" i="14"/>
  <c r="K40" i="14"/>
  <c r="M13" i="14"/>
  <c r="L47" i="14"/>
  <c r="L13" i="14"/>
  <c r="M19" i="14"/>
  <c r="M26" i="14"/>
  <c r="L41" i="14"/>
  <c r="L32" i="14"/>
  <c r="M29" i="14"/>
  <c r="B29" i="14" s="1" a="1"/>
  <c r="B29" i="14" s="1"/>
  <c r="L44" i="14"/>
  <c r="L61" i="14"/>
  <c r="L4" i="14"/>
  <c r="K33" i="14"/>
  <c r="K27" i="14"/>
  <c r="L19" i="14"/>
  <c r="L26" i="14"/>
  <c r="M20" i="14"/>
  <c r="B20" i="14" s="1" a="1"/>
  <c r="B20" i="14" s="1"/>
  <c r="K41" i="14"/>
  <c r="M31" i="14"/>
  <c r="A31" i="14" s="1" a="1"/>
  <c r="A31" i="14" s="1"/>
  <c r="L29" i="14"/>
  <c r="M23" i="14"/>
  <c r="B23" i="14" s="1" a="1"/>
  <c r="B23" i="14" s="1"/>
  <c r="M68" i="14"/>
  <c r="B68" i="14" s="1" a="1"/>
  <c r="B68" i="14" s="1"/>
  <c r="M50" i="14"/>
  <c r="M36" i="14"/>
  <c r="L27" i="14"/>
  <c r="M21" i="14"/>
  <c r="A21" i="14" s="1" a="1"/>
  <c r="A21" i="14" s="1"/>
  <c r="L20" i="14"/>
  <c r="M35" i="14"/>
  <c r="B35" i="14" s="1" a="1"/>
  <c r="B35" i="14" s="1"/>
  <c r="L31" i="14"/>
  <c r="M51" i="14"/>
  <c r="L23" i="14"/>
  <c r="M8" i="14"/>
  <c r="B8" i="14" s="1" a="1"/>
  <c r="B8" i="14" s="1"/>
  <c r="L68" i="14"/>
  <c r="M52" i="14"/>
  <c r="A52" i="14" s="1" a="1"/>
  <c r="A52" i="14" s="1"/>
  <c r="L50" i="14"/>
  <c r="M14" i="14"/>
  <c r="L21" i="14"/>
  <c r="L35" i="14"/>
  <c r="L51" i="14"/>
  <c r="M16" i="14"/>
  <c r="B16" i="14" s="1" a="1"/>
  <c r="B16" i="14" s="1"/>
  <c r="L8" i="14"/>
  <c r="M40" i="14"/>
  <c r="L52" i="14"/>
  <c r="M28" i="14"/>
  <c r="B28" i="14" s="1" a="1"/>
  <c r="B28" i="14" s="1"/>
  <c r="L38" i="6"/>
  <c r="L42" i="6"/>
  <c r="K57" i="6"/>
  <c r="L19" i="6"/>
  <c r="L17" i="6"/>
  <c r="M45" i="6"/>
  <c r="A45" i="6" s="1" a="1"/>
  <c r="A45" i="6" s="1"/>
  <c r="L55" i="6"/>
  <c r="L31" i="6"/>
  <c r="L51" i="6"/>
  <c r="M54" i="6"/>
  <c r="K56" i="6"/>
  <c r="L35" i="6"/>
  <c r="K45" i="6"/>
  <c r="L26" i="6"/>
  <c r="M57" i="6"/>
  <c r="B57" i="6" s="1" a="1"/>
  <c r="B57" i="6" s="1"/>
  <c r="K21" i="6"/>
  <c r="K42" i="6"/>
  <c r="K55" i="6"/>
  <c r="K35" i="6"/>
  <c r="K50" i="6"/>
  <c r="K34" i="6"/>
  <c r="K31" i="6"/>
  <c r="L29" i="6"/>
  <c r="L64" i="6"/>
  <c r="L48" i="6"/>
  <c r="L53" i="6"/>
  <c r="L12" i="6"/>
  <c r="K22" i="6"/>
  <c r="K36" i="6"/>
  <c r="K52" i="6"/>
  <c r="K59" i="6"/>
  <c r="K65" i="6"/>
  <c r="K27" i="6"/>
  <c r="L37" i="6"/>
  <c r="L63" i="6"/>
  <c r="L62" i="6"/>
  <c r="L15" i="6"/>
  <c r="L10" i="6"/>
  <c r="M22" i="6"/>
  <c r="M36" i="6"/>
  <c r="M52" i="6"/>
  <c r="M59" i="6"/>
  <c r="A59" i="6" s="1" a="1"/>
  <c r="A59" i="6" s="1"/>
  <c r="M65" i="6"/>
  <c r="M27" i="6"/>
  <c r="A27" i="6" s="1" a="1"/>
  <c r="A27" i="6" s="1"/>
  <c r="K25" i="6"/>
  <c r="K40" i="6"/>
  <c r="K47" i="6"/>
  <c r="K11" i="6"/>
  <c r="K4" i="6"/>
  <c r="L20" i="6"/>
  <c r="L60" i="6"/>
  <c r="L49" i="6"/>
  <c r="L43" i="6"/>
  <c r="M25" i="6"/>
  <c r="M40" i="6"/>
  <c r="M47" i="6"/>
  <c r="M11" i="6"/>
  <c r="A11" i="6" s="1" a="1"/>
  <c r="A11" i="6" s="1"/>
  <c r="M4" i="6"/>
  <c r="K38" i="6"/>
  <c r="K19" i="6"/>
  <c r="K51" i="6"/>
  <c r="K26" i="6"/>
  <c r="K17" i="6"/>
  <c r="M48" i="6"/>
  <c r="K64" i="6"/>
  <c r="K53" i="6"/>
  <c r="K37" i="6"/>
  <c r="K63" i="6"/>
  <c r="K62" i="6"/>
  <c r="K15" i="6"/>
  <c r="K10" i="6"/>
  <c r="K29" i="6"/>
  <c r="K12" i="6"/>
  <c r="K20" i="6"/>
  <c r="K60" i="6"/>
  <c r="K49" i="6"/>
  <c r="K43" i="6"/>
  <c r="M20" i="6"/>
  <c r="B20" i="6" s="1" a="1"/>
  <c r="B20" i="6" s="1"/>
  <c r="M52" i="11"/>
  <c r="B52" i="11" s="1" a="1"/>
  <c r="B52" i="11" s="1"/>
  <c r="M38" i="11"/>
  <c r="B38" i="11" s="1" a="1"/>
  <c r="B38" i="11" s="1"/>
  <c r="K75" i="11"/>
  <c r="K20" i="11"/>
  <c r="K14" i="11"/>
  <c r="M28" i="11"/>
  <c r="B28" i="11" s="1" a="1"/>
  <c r="B28" i="11" s="1"/>
  <c r="L28" i="11"/>
  <c r="K46" i="11"/>
  <c r="L22" i="3"/>
  <c r="M6" i="3"/>
  <c r="K3" i="3"/>
  <c r="M21" i="3"/>
  <c r="L52" i="3"/>
  <c r="L63" i="3"/>
  <c r="K33" i="3"/>
  <c r="M37" i="3"/>
  <c r="A37" i="3" s="1" a="1"/>
  <c r="A37" i="3" s="1"/>
  <c r="K44" i="3"/>
  <c r="K41" i="3"/>
  <c r="K10" i="3"/>
  <c r="K24" i="3"/>
  <c r="K37" i="3"/>
  <c r="M11" i="3"/>
  <c r="L27" i="3"/>
  <c r="K11" i="3"/>
  <c r="K27" i="3"/>
  <c r="M3" i="3"/>
  <c r="L3" i="3"/>
  <c r="M55" i="3"/>
  <c r="B55" i="3" s="1" a="1"/>
  <c r="B55" i="3" s="1"/>
  <c r="K55" i="3"/>
  <c r="M62" i="3"/>
  <c r="B62" i="3" s="1" a="1"/>
  <c r="B62" i="3" s="1"/>
  <c r="M20" i="15"/>
  <c r="B20" i="15" s="1" a="1"/>
  <c r="B20" i="15" s="1"/>
  <c r="L20" i="15"/>
  <c r="L29" i="15"/>
  <c r="K7" i="16"/>
  <c r="K15" i="16"/>
  <c r="L30" i="16"/>
  <c r="L18" i="16"/>
  <c r="M21" i="16"/>
  <c r="K18" i="16"/>
  <c r="L3" i="16"/>
  <c r="M36" i="16"/>
  <c r="B36" i="16" s="1" a="1"/>
  <c r="B36" i="16" s="1"/>
  <c r="L21" i="16"/>
  <c r="M16" i="16"/>
  <c r="B16" i="16" s="1" a="1"/>
  <c r="B16" i="16" s="1"/>
  <c r="M26" i="16"/>
  <c r="L36" i="16"/>
  <c r="K16" i="16"/>
  <c r="M28" i="16"/>
  <c r="L28" i="16"/>
  <c r="L34" i="16"/>
  <c r="L26" i="16"/>
  <c r="M14" i="16"/>
  <c r="M35" i="16"/>
  <c r="A35" i="16" s="1" a="1"/>
  <c r="A35" i="16" s="1"/>
  <c r="L14" i="16"/>
  <c r="M27" i="16"/>
  <c r="L35" i="16"/>
  <c r="L27" i="16"/>
  <c r="L13" i="16"/>
  <c r="M27" i="11"/>
  <c r="B27" i="11" s="1" a="1"/>
  <c r="B27" i="11" s="1"/>
  <c r="M13" i="11"/>
  <c r="B13" i="11" s="1" a="1"/>
  <c r="B13" i="11" s="1"/>
  <c r="L27" i="11"/>
  <c r="L13" i="11"/>
  <c r="M29" i="11"/>
  <c r="B29" i="11" s="1" a="1"/>
  <c r="B29" i="11" s="1"/>
  <c r="K16" i="11"/>
  <c r="M46" i="11"/>
  <c r="B46" i="11" s="1" a="1"/>
  <c r="B46" i="11" s="1"/>
  <c r="K29" i="11"/>
  <c r="K76" i="11"/>
  <c r="M23" i="11"/>
  <c r="B23" i="11" s="1" a="1"/>
  <c r="B23" i="11" s="1"/>
  <c r="L75" i="11"/>
  <c r="K21" i="11"/>
  <c r="L68" i="11"/>
  <c r="K56" i="11"/>
  <c r="M25" i="11"/>
  <c r="B25" i="11" s="1" a="1"/>
  <c r="B25" i="11" s="1"/>
  <c r="L35" i="11"/>
  <c r="L80" i="11"/>
  <c r="K35" i="11"/>
  <c r="M56" i="11"/>
  <c r="B56" i="11" s="1" a="1"/>
  <c r="B56" i="11" s="1"/>
  <c r="K80" i="11"/>
  <c r="M63" i="11"/>
  <c r="B63" i="11" s="1" a="1"/>
  <c r="B63" i="11" s="1"/>
  <c r="L56" i="11"/>
  <c r="M69" i="11"/>
  <c r="B69" i="11" s="1" a="1"/>
  <c r="B69" i="11" s="1"/>
  <c r="M71" i="11"/>
  <c r="B71" i="11" s="1" a="1"/>
  <c r="B71" i="11" s="1"/>
  <c r="L63" i="11"/>
  <c r="M33" i="11"/>
  <c r="B33" i="11" s="1" a="1"/>
  <c r="B33" i="11" s="1"/>
  <c r="L69" i="11"/>
  <c r="M42" i="11"/>
  <c r="B42" i="11" s="1" a="1"/>
  <c r="B42" i="11" s="1"/>
  <c r="L71" i="11"/>
  <c r="M57" i="11"/>
  <c r="K63" i="11"/>
  <c r="L33" i="11"/>
  <c r="M16" i="11"/>
  <c r="B16" i="11" s="1" a="1"/>
  <c r="B16" i="11" s="1"/>
  <c r="K69" i="11"/>
  <c r="L42" i="11"/>
  <c r="M76" i="11"/>
  <c r="B76" i="11" s="1" a="1"/>
  <c r="B76" i="11" s="1"/>
  <c r="K71" i="11"/>
  <c r="L57" i="11"/>
  <c r="L11" i="11"/>
  <c r="L73" i="11"/>
  <c r="L79" i="11"/>
  <c r="K11" i="11"/>
  <c r="M53" i="11"/>
  <c r="B53" i="11" s="1" a="1"/>
  <c r="B53" i="11" s="1"/>
  <c r="K79" i="11"/>
  <c r="K68" i="11"/>
  <c r="M10" i="11"/>
  <c r="B10" i="11" s="1" a="1"/>
  <c r="B10" i="11" s="1"/>
  <c r="M24" i="11"/>
  <c r="B24" i="11" s="1" a="1"/>
  <c r="B24" i="11" s="1"/>
  <c r="M21" i="11"/>
  <c r="B21" i="11" s="1" a="1"/>
  <c r="B21" i="11" s="1"/>
  <c r="L34" i="11"/>
  <c r="M70" i="11"/>
  <c r="B70" i="11" s="1" a="1"/>
  <c r="B70" i="11" s="1"/>
  <c r="L10" i="11"/>
  <c r="L24" i="11"/>
  <c r="K34" i="11"/>
  <c r="L70" i="11"/>
  <c r="L9" i="11"/>
  <c r="K48" i="11"/>
  <c r="M73" i="11"/>
  <c r="B73" i="11" s="1" a="1"/>
  <c r="B73" i="11" s="1"/>
  <c r="M15" i="3"/>
  <c r="B15" i="3" s="1" a="1"/>
  <c r="B15" i="3" s="1"/>
  <c r="M47" i="3"/>
  <c r="B47" i="3" s="1" a="1"/>
  <c r="B47" i="3" s="1"/>
  <c r="L26" i="3"/>
  <c r="M28" i="3"/>
  <c r="M45" i="3"/>
  <c r="A45" i="3" s="1" a="1"/>
  <c r="A45" i="3" s="1"/>
  <c r="K26" i="3"/>
  <c r="L28" i="3"/>
  <c r="K21" i="3"/>
  <c r="M23" i="3"/>
  <c r="L23" i="3"/>
  <c r="K34" i="3"/>
  <c r="L36" i="3"/>
  <c r="K36" i="3"/>
  <c r="M26" i="3"/>
  <c r="A26" i="3" s="1" a="1"/>
  <c r="A26" i="3" s="1"/>
  <c r="M65" i="3"/>
  <c r="B65" i="3" s="1" a="1"/>
  <c r="B65" i="3" s="1"/>
  <c r="M24" i="3"/>
  <c r="L65" i="3"/>
  <c r="M22" i="3"/>
  <c r="L18" i="3"/>
  <c r="K51" i="3"/>
  <c r="K38" i="3"/>
  <c r="M63" i="3"/>
  <c r="B63" i="3" s="1" a="1"/>
  <c r="B63" i="3" s="1"/>
  <c r="L21" i="3"/>
  <c r="K40" i="3"/>
  <c r="L43" i="3"/>
  <c r="L66" i="3"/>
  <c r="K43" i="3"/>
  <c r="K66" i="3"/>
  <c r="M32" i="3"/>
  <c r="M38" i="3"/>
  <c r="M70" i="3"/>
  <c r="A70" i="3" s="1" a="1"/>
  <c r="A70" i="3" s="1"/>
  <c r="L6" i="3"/>
  <c r="M54" i="3"/>
  <c r="L51" i="3"/>
  <c r="L32" i="3"/>
  <c r="L40" i="3"/>
  <c r="L70" i="3"/>
  <c r="K42" i="3"/>
  <c r="K6" i="3"/>
  <c r="L54" i="3"/>
  <c r="K52" i="3"/>
  <c r="M49" i="3"/>
  <c r="B20" i="3" s="1" a="1"/>
  <c r="B20" i="3" s="1"/>
  <c r="L49" i="3"/>
  <c r="M56" i="3"/>
  <c r="B56" i="3" s="1" a="1"/>
  <c r="B56" i="3" s="1"/>
  <c r="K49" i="3"/>
  <c r="L56" i="3"/>
  <c r="M69" i="3"/>
  <c r="A69" i="3" s="1" a="1"/>
  <c r="A69" i="3" s="1"/>
  <c r="M25" i="3"/>
  <c r="A25" i="3" s="1" a="1"/>
  <c r="A25" i="3" s="1"/>
  <c r="M46" i="3"/>
  <c r="B46" i="3" s="1" a="1"/>
  <c r="B46" i="3" s="1"/>
  <c r="L69" i="3"/>
  <c r="M31" i="3"/>
  <c r="K18" i="3"/>
  <c r="L25" i="3"/>
  <c r="M33" i="3"/>
  <c r="K45" i="3"/>
  <c r="M44" i="3"/>
  <c r="K15" i="3"/>
  <c r="M41" i="3"/>
  <c r="K47" i="3"/>
  <c r="L46" i="3"/>
  <c r="M10" i="3"/>
  <c r="A10" i="3" s="1" a="1"/>
  <c r="A10" i="3" s="1"/>
  <c r="K69" i="3"/>
  <c r="L31" i="3"/>
  <c r="M34" i="3"/>
  <c r="K25" i="3"/>
  <c r="L33" i="3"/>
  <c r="L44" i="3"/>
  <c r="L41" i="3"/>
  <c r="K46" i="3"/>
  <c r="L10" i="3"/>
  <c r="M42" i="3"/>
  <c r="M30" i="3"/>
  <c r="L30" i="3"/>
  <c r="K9" i="11"/>
  <c r="L17" i="11"/>
  <c r="M47" i="11"/>
  <c r="B47" i="11" s="1" a="1"/>
  <c r="B47" i="11" s="1"/>
  <c r="L38" i="11"/>
  <c r="M15" i="11"/>
  <c r="B15" i="11" s="1" a="1"/>
  <c r="B15" i="11" s="1"/>
  <c r="M64" i="11"/>
  <c r="B64" i="11" s="1" a="1"/>
  <c r="B64" i="11" s="1"/>
  <c r="L14" i="11"/>
  <c r="L53" i="11"/>
  <c r="M77" i="11"/>
  <c r="B77" i="11" s="1" a="1"/>
  <c r="B77" i="11" s="1"/>
  <c r="L47" i="11"/>
  <c r="M41" i="11"/>
  <c r="B41" i="11" s="1" a="1"/>
  <c r="B41" i="11" s="1"/>
  <c r="L15" i="11"/>
  <c r="L64" i="11"/>
  <c r="M30" i="11"/>
  <c r="B30" i="11" s="1" a="1"/>
  <c r="B30" i="11" s="1"/>
  <c r="K53" i="11"/>
  <c r="L77" i="11"/>
  <c r="K47" i="11"/>
  <c r="L41" i="11"/>
  <c r="M20" i="11"/>
  <c r="B20" i="11" s="1" a="1"/>
  <c r="B20" i="11" s="1"/>
  <c r="K15" i="11"/>
  <c r="K64" i="11"/>
  <c r="L30" i="11"/>
  <c r="M43" i="11"/>
  <c r="B43" i="11" s="1" a="1"/>
  <c r="B43" i="11" s="1"/>
  <c r="K77" i="11"/>
  <c r="K13" i="16"/>
  <c r="M9" i="16"/>
  <c r="L33" i="16"/>
  <c r="L9" i="16"/>
  <c r="K33" i="16"/>
  <c r="L39" i="16"/>
  <c r="M24" i="16"/>
  <c r="B24" i="16" s="1" a="1"/>
  <c r="B24" i="16" s="1"/>
  <c r="M38" i="16"/>
  <c r="A38" i="16" s="1" a="1"/>
  <c r="A38" i="16" s="1"/>
  <c r="L24" i="16"/>
  <c r="M5" i="16"/>
  <c r="B5" i="16" s="1" a="1"/>
  <c r="B5" i="16" s="1"/>
  <c r="L38" i="16"/>
  <c r="M41" i="16"/>
  <c r="B41" i="16" s="1" a="1"/>
  <c r="B41" i="16" s="1"/>
  <c r="L5" i="16"/>
  <c r="L41" i="16"/>
  <c r="K29" i="15"/>
  <c r="M18" i="15"/>
  <c r="L18" i="15"/>
  <c r="M4" i="15"/>
  <c r="M8" i="15"/>
  <c r="K15" i="15"/>
  <c r="M3" i="15"/>
  <c r="L4" i="15"/>
  <c r="L8" i="15"/>
  <c r="M10" i="15"/>
  <c r="M27" i="15"/>
  <c r="B27" i="15" s="1" a="1"/>
  <c r="B27" i="15" s="1"/>
  <c r="L10" i="15"/>
  <c r="L27" i="15"/>
  <c r="M9" i="15"/>
  <c r="B9" i="15" s="1" a="1"/>
  <c r="B9" i="15" s="1"/>
  <c r="M15" i="15"/>
  <c r="L9" i="15"/>
  <c r="M23" i="15"/>
  <c r="A23" i="15" s="1" a="1"/>
  <c r="A23" i="15" s="1"/>
  <c r="J48" i="11" l="1"/>
  <c r="J21" i="3"/>
  <c r="A18" i="16" a="1"/>
  <c r="A18" i="16" s="1"/>
  <c r="B18" i="16" a="1"/>
  <c r="B18" i="16" s="1"/>
  <c r="B4" i="15" a="1"/>
  <c r="B4" i="15" s="1"/>
  <c r="B6" i="15" a="1"/>
  <c r="B6" i="15" s="1"/>
  <c r="J38" i="11"/>
  <c r="J53" i="11"/>
  <c r="J10" i="11"/>
  <c r="J27" i="11"/>
  <c r="J19" i="11"/>
  <c r="J33" i="11"/>
  <c r="J34" i="11"/>
  <c r="J15" i="11"/>
  <c r="J30" i="11"/>
  <c r="J42" i="11"/>
  <c r="J28" i="11"/>
  <c r="J21" i="11"/>
  <c r="J23" i="11"/>
  <c r="J20" i="11"/>
  <c r="J11" i="11"/>
  <c r="J64" i="11"/>
  <c r="J43" i="11"/>
  <c r="J41" i="11"/>
  <c r="J36" i="11"/>
  <c r="J68" i="11"/>
  <c r="J79" i="11"/>
  <c r="S69" i="11"/>
  <c r="J69" i="11" s="1"/>
  <c r="J9" i="11"/>
  <c r="J46" i="11"/>
  <c r="J71" i="11"/>
  <c r="J57" i="11"/>
  <c r="J76" i="11"/>
  <c r="J24" i="11"/>
  <c r="J14" i="11"/>
  <c r="J47" i="11"/>
  <c r="J17" i="11"/>
  <c r="J13" i="11"/>
  <c r="S63" i="11"/>
  <c r="J63" i="11" s="1"/>
  <c r="J35" i="11"/>
  <c r="J16" i="11"/>
  <c r="J75" i="11"/>
  <c r="J29" i="11"/>
  <c r="J70" i="11"/>
  <c r="J77" i="11"/>
  <c r="J52" i="11"/>
  <c r="J73" i="11"/>
  <c r="J25" i="11"/>
  <c r="J80" i="11"/>
  <c r="J30" i="3"/>
  <c r="J40" i="3"/>
  <c r="J10" i="3"/>
  <c r="J18" i="3"/>
  <c r="J6" i="3"/>
  <c r="J15" i="3"/>
  <c r="J26" i="3"/>
  <c r="J32" i="3"/>
  <c r="J36" i="3"/>
  <c r="J25" i="3"/>
  <c r="J49" i="3"/>
  <c r="S55" i="3"/>
  <c r="J55" i="3" s="1"/>
  <c r="J11" i="3"/>
  <c r="J66" i="3"/>
  <c r="J34" i="3"/>
  <c r="J63" i="3"/>
  <c r="J46" i="3"/>
  <c r="J52" i="3"/>
  <c r="J70" i="3"/>
  <c r="J47" i="3"/>
  <c r="J41" i="3"/>
  <c r="J43" i="3"/>
  <c r="J24" i="3"/>
  <c r="J28" i="3"/>
  <c r="J38" i="3"/>
  <c r="J33" i="3"/>
  <c r="S51" i="3"/>
  <c r="J51" i="3" s="1"/>
  <c r="J3" i="3"/>
  <c r="J44" i="3"/>
  <c r="J42" i="3"/>
  <c r="S56" i="3"/>
  <c r="J56" i="3" s="1"/>
  <c r="J37" i="3"/>
  <c r="J54" i="3"/>
  <c r="J31" i="3"/>
  <c r="J45" i="3"/>
  <c r="J27" i="3"/>
  <c r="J23" i="3"/>
  <c r="J62" i="3"/>
  <c r="S69" i="3"/>
  <c r="J69" i="3" s="1"/>
  <c r="J65" i="3"/>
  <c r="J22" i="3"/>
  <c r="B43" i="16" a="1"/>
  <c r="B43" i="16" s="1"/>
  <c r="B23" i="16" a="1"/>
  <c r="B23" i="16" s="1"/>
  <c r="B3" i="16" a="1"/>
  <c r="B3" i="16" s="1"/>
  <c r="B27" i="16" a="1"/>
  <c r="B27" i="16" s="1"/>
  <c r="B7" i="16" a="1"/>
  <c r="B7" i="16" s="1"/>
  <c r="B33" i="16" a="1"/>
  <c r="B33" i="16" s="1"/>
  <c r="B29" i="16" a="1"/>
  <c r="B29" i="16" s="1"/>
  <c r="B31" i="16" a="1"/>
  <c r="B31" i="16" s="1"/>
  <c r="B32" i="16" a="1"/>
  <c r="B32" i="16" s="1"/>
  <c r="B22" i="16" a="1"/>
  <c r="B22" i="16" s="1"/>
  <c r="B8" i="16" a="1"/>
  <c r="B8" i="16" s="1"/>
  <c r="B34" i="16" a="1"/>
  <c r="B34" i="16" s="1"/>
  <c r="B6" i="16" a="1"/>
  <c r="B6" i="16" s="1"/>
  <c r="B28" i="16" a="1"/>
  <c r="B28" i="16" s="1"/>
  <c r="B9" i="16" a="1"/>
  <c r="B9" i="16" s="1"/>
  <c r="B7" i="15" a="1"/>
  <c r="B7" i="15" s="1"/>
  <c r="B3" i="15" a="1"/>
  <c r="B3" i="15" s="1"/>
  <c r="B5" i="15" a="1"/>
  <c r="B5" i="15" s="1"/>
  <c r="B8" i="15" a="1"/>
  <c r="B8" i="15" s="1"/>
  <c r="B40" i="14" a="1"/>
  <c r="B40" i="14" s="1"/>
  <c r="B63" i="14" a="1"/>
  <c r="B63" i="14" s="1"/>
  <c r="B59" i="14" a="1"/>
  <c r="B59" i="14" s="1"/>
  <c r="B42" i="14" a="1"/>
  <c r="B42" i="14" s="1"/>
  <c r="B3" i="14" a="1"/>
  <c r="B3" i="14" s="1"/>
  <c r="B6" i="14" a="1"/>
  <c r="B6" i="14" s="1"/>
  <c r="B62" i="14" a="1"/>
  <c r="B62" i="14" s="1"/>
  <c r="B5" i="14" a="1"/>
  <c r="B5" i="14" s="1"/>
  <c r="B43" i="14" a="1"/>
  <c r="B43" i="14" s="1"/>
  <c r="B36" i="14" a="1"/>
  <c r="B36" i="14" s="1"/>
  <c r="B4" i="14" a="1"/>
  <c r="B4" i="14" s="1"/>
  <c r="B34" i="14" a="1"/>
  <c r="B34" i="14" s="1"/>
  <c r="B58" i="14" a="1"/>
  <c r="B58" i="14" s="1"/>
  <c r="B7" i="14" a="1"/>
  <c r="B7" i="14" s="1"/>
  <c r="B65" i="14" a="1"/>
  <c r="B65" i="14" s="1"/>
  <c r="B57" i="14" a="1"/>
  <c r="B57" i="14" s="1"/>
  <c r="B39" i="14" a="1"/>
  <c r="B39" i="14" s="1"/>
  <c r="B60" i="14" a="1"/>
  <c r="B60" i="14" s="1"/>
  <c r="B61" i="14" a="1"/>
  <c r="B61" i="14" s="1"/>
  <c r="B64" i="14" a="1"/>
  <c r="B64" i="14" s="1"/>
  <c r="B32" i="6" a="1"/>
  <c r="B32" i="6" s="1"/>
  <c r="B16" i="6" a="1"/>
  <c r="B16" i="6" s="1"/>
  <c r="B14" i="6" a="1"/>
  <c r="B14" i="6" s="1"/>
  <c r="B15" i="6" a="1"/>
  <c r="B15" i="6" s="1"/>
  <c r="B12" i="6" a="1"/>
  <c r="B12" i="6" s="1"/>
  <c r="B13" i="6" a="1"/>
  <c r="B13" i="6" s="1"/>
  <c r="B34" i="6" a="1"/>
  <c r="B34" i="6" s="1"/>
  <c r="B4" i="6" a="1"/>
  <c r="B4" i="6" s="1"/>
  <c r="B6" i="6" a="1"/>
  <c r="B6" i="6" s="1"/>
  <c r="B8" i="6" a="1"/>
  <c r="B8" i="6" s="1"/>
  <c r="B9" i="6" a="1"/>
  <c r="B9" i="6" s="1"/>
  <c r="B43" i="6" a="1"/>
  <c r="B43" i="6" s="1"/>
  <c r="B3" i="6" a="1"/>
  <c r="B3" i="6" s="1"/>
  <c r="B36" i="6" a="1"/>
  <c r="B36" i="6" s="1"/>
  <c r="B44" i="6" a="1"/>
  <c r="B44" i="6" s="1"/>
  <c r="B5" i="6" a="1"/>
  <c r="B5" i="6" s="1"/>
  <c r="B10" i="12" a="1"/>
  <c r="B10" i="12" s="1"/>
  <c r="B6" i="12" a="1"/>
  <c r="B6" i="12" s="1"/>
  <c r="B8" i="12" a="1"/>
  <c r="B8" i="12" s="1"/>
  <c r="B5" i="12" a="1"/>
  <c r="B5" i="12" s="1"/>
  <c r="B9" i="12" a="1"/>
  <c r="B9" i="12" s="1"/>
  <c r="B7" i="12" a="1"/>
  <c r="B7" i="12" s="1"/>
  <c r="B38" i="3" a="1"/>
  <c r="B38" i="3" s="1"/>
  <c r="B31" i="3" a="1"/>
  <c r="B31" i="3" s="1"/>
  <c r="B21" i="3" a="1"/>
  <c r="B21" i="3" s="1"/>
  <c r="B42" i="3" a="1"/>
  <c r="B42" i="3" s="1"/>
  <c r="B35" i="3" a="1"/>
  <c r="B35" i="3" s="1"/>
  <c r="B44" i="3" a="1"/>
  <c r="B44" i="3" s="1"/>
  <c r="B39" i="3" a="1"/>
  <c r="B39" i="3" s="1"/>
  <c r="B29" i="3" a="1"/>
  <c r="B29" i="3" s="1"/>
  <c r="B19" i="3" a="1"/>
  <c r="B19" i="3" s="1"/>
  <c r="B34" i="3" a="1"/>
  <c r="B34" i="3" s="1"/>
  <c r="B18" i="3" a="1"/>
  <c r="B18" i="3" s="1"/>
  <c r="B43" i="3" a="1"/>
  <c r="B43" i="3" s="1"/>
  <c r="B30" i="3" a="1"/>
  <c r="B30" i="3" s="1"/>
  <c r="B22" i="3" a="1"/>
  <c r="B22" i="3" s="1"/>
  <c r="B27" i="3" a="1"/>
  <c r="B27" i="3" s="1"/>
  <c r="B12" i="3" a="1"/>
  <c r="B12" i="3" s="1"/>
  <c r="B40" i="3" a="1"/>
  <c r="B40" i="3" s="1"/>
  <c r="B11" i="3" a="1"/>
  <c r="B11" i="3" s="1"/>
  <c r="B14" i="3" a="1"/>
  <c r="B14" i="3" s="1"/>
  <c r="B36" i="3" a="1"/>
  <c r="B36" i="3" s="1"/>
  <c r="B23" i="3" a="1"/>
  <c r="B23" i="3" s="1"/>
  <c r="B32" i="3" a="1"/>
  <c r="B32" i="3" s="1"/>
  <c r="B33" i="3" a="1"/>
  <c r="B33" i="3" s="1"/>
  <c r="B24" i="3" a="1"/>
  <c r="B24" i="3" s="1"/>
  <c r="B41" i="3" a="1"/>
  <c r="B41" i="3" s="1"/>
  <c r="B28" i="3" a="1"/>
  <c r="B28" i="3" s="1"/>
  <c r="A50" i="14" a="1"/>
  <c r="A50" i="14" s="1"/>
  <c r="A42" i="6" a="1"/>
  <c r="A42" i="6" s="1"/>
  <c r="A51" i="6" a="1"/>
  <c r="A51" i="6" s="1"/>
  <c r="Q51" i="6" s="1"/>
  <c r="A33" i="14" a="1"/>
  <c r="A33" i="14" s="1"/>
  <c r="B26" i="14" a="1"/>
  <c r="B26" i="14" s="1"/>
  <c r="A26" i="14" a="1"/>
  <c r="A26" i="14" s="1"/>
  <c r="Q26" i="14" s="1"/>
  <c r="E52" i="17" s="1"/>
  <c r="F52" i="17" s="1"/>
  <c r="A22" i="6" a="1"/>
  <c r="A22" i="6" s="1"/>
  <c r="B30" i="16" a="1"/>
  <c r="B30" i="16" s="1"/>
  <c r="A30" i="16" a="1"/>
  <c r="A30" i="16" s="1"/>
  <c r="Q30" i="16" s="1"/>
  <c r="Q46" i="11"/>
  <c r="A45" i="14" a="1"/>
  <c r="A45" i="14" s="1"/>
  <c r="A62" i="6" a="1"/>
  <c r="A62" i="6" s="1"/>
  <c r="Q62" i="6" s="1"/>
  <c r="B17" i="15" a="1"/>
  <c r="B17" i="15" s="1"/>
  <c r="A17" i="15" a="1"/>
  <c r="A17" i="15" s="1"/>
  <c r="Q17" i="15" s="1"/>
  <c r="B10" i="15" a="1"/>
  <c r="B10" i="15" s="1"/>
  <c r="A10" i="15" a="1"/>
  <c r="A10" i="15" s="1"/>
  <c r="Q10" i="15" s="1"/>
  <c r="A48" i="6" a="1"/>
  <c r="A48" i="6" s="1"/>
  <c r="A4" i="12" a="1"/>
  <c r="A4" i="12" s="1"/>
  <c r="A65" i="6" a="1"/>
  <c r="A65" i="6" s="1"/>
  <c r="Q65" i="6" s="1"/>
  <c r="A47" i="6" a="1"/>
  <c r="A47" i="6" s="1"/>
  <c r="A25" i="16" a="1"/>
  <c r="A25" i="16" s="1"/>
  <c r="A16" i="13" a="1"/>
  <c r="A16" i="13" s="1"/>
  <c r="Q47" i="11"/>
  <c r="A54" i="3" a="1"/>
  <c r="A54" i="3" s="1"/>
  <c r="A50" i="3" a="1"/>
  <c r="A50" i="3" s="1"/>
  <c r="A51" i="14" a="1"/>
  <c r="A51" i="14" s="1"/>
  <c r="A21" i="15" a="1"/>
  <c r="A21" i="15" s="1"/>
  <c r="Q21" i="15" s="1"/>
  <c r="A32" i="14" a="1"/>
  <c r="A32" i="14" s="1"/>
  <c r="A13" i="14" a="1"/>
  <c r="A13" i="14" s="1"/>
  <c r="A14" i="14" a="1"/>
  <c r="A14" i="14" s="1"/>
  <c r="A27" i="14" a="1"/>
  <c r="A27" i="14" s="1"/>
  <c r="A40" i="6" a="1"/>
  <c r="A40" i="6" s="1"/>
  <c r="A54" i="6" a="1"/>
  <c r="A54" i="6" s="1"/>
  <c r="Q54" i="6" s="1"/>
  <c r="A49" i="6" a="1"/>
  <c r="A49" i="6" s="1"/>
  <c r="A55" i="6" a="1"/>
  <c r="A55" i="6" s="1"/>
  <c r="Q55" i="6" s="1"/>
  <c r="A26" i="6" a="1"/>
  <c r="A26" i="6" s="1"/>
  <c r="A19" i="6" a="1"/>
  <c r="A19" i="6" s="1"/>
  <c r="B19" i="6" a="1"/>
  <c r="B19" i="6" s="1"/>
  <c r="A38" i="6" a="1"/>
  <c r="A38" i="6" s="1"/>
  <c r="A50" i="6" a="1"/>
  <c r="A50" i="6" s="1"/>
  <c r="A17" i="16" a="1"/>
  <c r="A17" i="16" s="1"/>
  <c r="A14" i="16" a="1"/>
  <c r="A14" i="16" s="1"/>
  <c r="A15" i="15" a="1"/>
  <c r="A15" i="15" s="1"/>
  <c r="A14" i="15" a="1"/>
  <c r="A14" i="15" s="1"/>
  <c r="A7" i="13" a="1"/>
  <c r="A7" i="13" s="1"/>
  <c r="A51" i="3" a="1"/>
  <c r="A51" i="3" s="1"/>
  <c r="B54" i="6" a="1"/>
  <c r="B54" i="6" s="1"/>
  <c r="B56" i="6" a="1"/>
  <c r="B56" i="6" s="1"/>
  <c r="B45" i="6" a="1"/>
  <c r="B45" i="6" s="1"/>
  <c r="B53" i="6" a="1"/>
  <c r="B53" i="6" s="1"/>
  <c r="Q53" i="6"/>
  <c r="B11" i="6" a="1"/>
  <c r="B11" i="6" s="1"/>
  <c r="B35" i="16" a="1"/>
  <c r="B35" i="16" s="1"/>
  <c r="B38" i="16" a="1"/>
  <c r="B38" i="16" s="1"/>
  <c r="Q38" i="16"/>
  <c r="Q18" i="16"/>
  <c r="B24" i="15" a="1"/>
  <c r="B24" i="15" s="1"/>
  <c r="Q24" i="15"/>
  <c r="B23" i="15" a="1"/>
  <c r="B23" i="15" s="1"/>
  <c r="B16" i="13" a="1"/>
  <c r="B16" i="13" s="1"/>
  <c r="B7" i="13" a="1"/>
  <c r="B7" i="13" s="1"/>
  <c r="Q17" i="11"/>
  <c r="B37" i="3" a="1"/>
  <c r="B37" i="3" s="1"/>
  <c r="B66" i="3" a="1"/>
  <c r="B66" i="3" s="1"/>
  <c r="B26" i="3" a="1"/>
  <c r="B26" i="3" s="1"/>
  <c r="Q26" i="3"/>
  <c r="B10" i="3" a="1"/>
  <c r="B10" i="3" s="1"/>
  <c r="B69" i="3" a="1"/>
  <c r="B69" i="3" s="1"/>
  <c r="Q69" i="3"/>
  <c r="B25" i="3" a="1"/>
  <c r="B25" i="3" s="1"/>
  <c r="B70" i="3" a="1"/>
  <c r="B70" i="3" s="1"/>
  <c r="B37" i="14" a="1"/>
  <c r="B37" i="14" s="1"/>
  <c r="B52" i="14" a="1"/>
  <c r="B52" i="14" s="1"/>
  <c r="B38" i="14" a="1"/>
  <c r="B38" i="14" s="1"/>
  <c r="B21" i="14" a="1"/>
  <c r="B21" i="14" s="1"/>
  <c r="B31" i="14" a="1"/>
  <c r="B31" i="14" s="1"/>
  <c r="B41" i="14" a="1"/>
  <c r="B41" i="14" s="1"/>
  <c r="Q41" i="14"/>
  <c r="B49" i="14" a="1"/>
  <c r="B49" i="14" s="1"/>
  <c r="Q49" i="14"/>
  <c r="B22" i="14" a="1"/>
  <c r="B22" i="14" s="1"/>
  <c r="Q22" i="14"/>
  <c r="B27" i="6" a="1"/>
  <c r="B27" i="6" s="1"/>
  <c r="B26" i="16" a="1"/>
  <c r="B26" i="16" s="1"/>
  <c r="B16" i="15" a="1"/>
  <c r="B16" i="15" s="1"/>
  <c r="B32" i="14" a="1"/>
  <c r="B32" i="14" s="1"/>
  <c r="B55" i="6" a="1"/>
  <c r="B55" i="6" s="1"/>
  <c r="B17" i="6" a="1"/>
  <c r="B17" i="6" s="1"/>
  <c r="B59" i="6" a="1"/>
  <c r="B59" i="6" s="1"/>
  <c r="B49" i="6" a="1"/>
  <c r="B49" i="6" s="1"/>
  <c r="B50" i="6" a="1"/>
  <c r="B50" i="6" s="1"/>
  <c r="B10" i="6" a="1"/>
  <c r="B10" i="6" s="1"/>
  <c r="B22" i="15" a="1"/>
  <c r="B22" i="15" s="1"/>
  <c r="B21" i="15" a="1"/>
  <c r="B21" i="15" s="1"/>
  <c r="B65" i="6" a="1"/>
  <c r="B65" i="6" s="1"/>
  <c r="B48" i="6" a="1"/>
  <c r="B48" i="6" s="1"/>
  <c r="B47" i="6" a="1"/>
  <c r="B47" i="6" s="1"/>
  <c r="B63" i="6" a="1"/>
  <c r="B63" i="6" s="1"/>
  <c r="B39" i="6" a="1"/>
  <c r="B39" i="6" s="1"/>
  <c r="B51" i="6" a="1"/>
  <c r="B51" i="6" s="1"/>
  <c r="B21" i="16" a="1"/>
  <c r="B21" i="16" s="1"/>
  <c r="B25" i="16" a="1"/>
  <c r="B25" i="16" s="1"/>
  <c r="B11" i="16" a="1"/>
  <c r="B11" i="16" s="1"/>
  <c r="B17" i="14" a="1"/>
  <c r="B17" i="14" s="1"/>
  <c r="B14" i="14" a="1"/>
  <c r="B14" i="14" s="1"/>
  <c r="B27" i="14" a="1"/>
  <c r="B27" i="14" s="1"/>
  <c r="B19" i="14" a="1"/>
  <c r="B19" i="14" s="1"/>
  <c r="B13" i="14" a="1"/>
  <c r="B13" i="14" s="1"/>
  <c r="B50" i="14" a="1"/>
  <c r="B50" i="14" s="1"/>
  <c r="B51" i="14" a="1"/>
  <c r="B51" i="14" s="1"/>
  <c r="B33" i="14" a="1"/>
  <c r="B33" i="14" s="1"/>
  <c r="B45" i="14" a="1"/>
  <c r="B45" i="14" s="1"/>
  <c r="B52" i="6" a="1"/>
  <c r="B52" i="6" s="1"/>
  <c r="B26" i="6" a="1"/>
  <c r="B26" i="6" s="1"/>
  <c r="B22" i="6" a="1"/>
  <c r="B22" i="6" s="1"/>
  <c r="B25" i="6" a="1"/>
  <c r="B25" i="6" s="1"/>
  <c r="B29" i="6" a="1"/>
  <c r="B29" i="6" s="1"/>
  <c r="B42" i="6" a="1"/>
  <c r="B42" i="6" s="1"/>
  <c r="B40" i="6" a="1"/>
  <c r="B40" i="6" s="1"/>
  <c r="B37" i="6" a="1"/>
  <c r="B37" i="6" s="1"/>
  <c r="B60" i="6" a="1"/>
  <c r="B60" i="6" s="1"/>
  <c r="B35" i="6" a="1"/>
  <c r="B35" i="6" s="1"/>
  <c r="B64" i="6" a="1"/>
  <c r="B64" i="6" s="1"/>
  <c r="B62" i="6" a="1"/>
  <c r="B62" i="6" s="1"/>
  <c r="B38" i="6" a="1"/>
  <c r="B38" i="6" s="1"/>
  <c r="B15" i="16" a="1"/>
  <c r="B15" i="16" s="1"/>
  <c r="B14" i="16" a="1"/>
  <c r="B14" i="16" s="1"/>
  <c r="B17" i="16" a="1"/>
  <c r="B17" i="16" s="1"/>
  <c r="B13" i="16" a="1"/>
  <c r="B13" i="16" s="1"/>
  <c r="B4" i="12" a="1"/>
  <c r="B4" i="12" s="1"/>
  <c r="B15" i="15" a="1"/>
  <c r="B15" i="15" s="1"/>
  <c r="B18" i="15" a="1"/>
  <c r="B18" i="15" s="1"/>
  <c r="B14" i="15" a="1"/>
  <c r="B14" i="15" s="1"/>
  <c r="B51" i="3" a="1"/>
  <c r="B51" i="3" s="1"/>
  <c r="B54" i="3" a="1"/>
  <c r="B54" i="3" s="1"/>
  <c r="B52" i="3" a="1"/>
  <c r="B52" i="3" s="1"/>
  <c r="B45" i="3" a="1"/>
  <c r="B45" i="3" s="1"/>
  <c r="B49" i="3" a="1"/>
  <c r="B49" i="3" s="1"/>
  <c r="B50" i="3" a="1"/>
  <c r="B50" i="3" s="1"/>
  <c r="Q52" i="6"/>
  <c r="Q25" i="6"/>
  <c r="Q40" i="14"/>
  <c r="Q68" i="14"/>
  <c r="Q47" i="14"/>
  <c r="Q30" i="14"/>
  <c r="Q35" i="14"/>
  <c r="Q29" i="14"/>
  <c r="Q28" i="14"/>
  <c r="Q16" i="14"/>
  <c r="Q23" i="14"/>
  <c r="Q37" i="14"/>
  <c r="Q4" i="14"/>
  <c r="Q12" i="14"/>
  <c r="Q44" i="14"/>
  <c r="Q38" i="14"/>
  <c r="Q31" i="14"/>
  <c r="Q20" i="14"/>
  <c r="Q52" i="14"/>
  <c r="Q21" i="14"/>
  <c r="Q8" i="14"/>
  <c r="Q36" i="14"/>
  <c r="Q3" i="14"/>
  <c r="Q61" i="14"/>
  <c r="Q64" i="6"/>
  <c r="Q36" i="6"/>
  <c r="Q37" i="6"/>
  <c r="Q4" i="6"/>
  <c r="Q45" i="6"/>
  <c r="Q35" i="6"/>
  <c r="Q20" i="6"/>
  <c r="Q57" i="6"/>
  <c r="E36" i="17" s="1"/>
  <c r="F36" i="17" s="1"/>
  <c r="Q60" i="6"/>
  <c r="Q11" i="6"/>
  <c r="Q27" i="6"/>
  <c r="Q56" i="6"/>
  <c r="Q24" i="16"/>
  <c r="Q9" i="16"/>
  <c r="Q21" i="16"/>
  <c r="G14" i="17"/>
  <c r="H14" i="17" s="1"/>
  <c r="Q35" i="16"/>
  <c r="Q41" i="16"/>
  <c r="Q26" i="16"/>
  <c r="G26" i="17"/>
  <c r="H26" i="17" s="1"/>
  <c r="Q16" i="16"/>
  <c r="Q4" i="16"/>
  <c r="Q5" i="16"/>
  <c r="Q36" i="16"/>
  <c r="Q27" i="16"/>
  <c r="Q28" i="16"/>
  <c r="Q34" i="16"/>
  <c r="Q3" i="16"/>
  <c r="Q3" i="15"/>
  <c r="Q9" i="15"/>
  <c r="G49" i="17" s="1"/>
  <c r="H49" i="17" s="1"/>
  <c r="Q8" i="15"/>
  <c r="G17" i="17" s="1"/>
  <c r="H17" i="17" s="1"/>
  <c r="Q20" i="15"/>
  <c r="Q26" i="15"/>
  <c r="G24" i="17" s="1"/>
  <c r="H24" i="17" s="1"/>
  <c r="Q27" i="15"/>
  <c r="Q23" i="15"/>
  <c r="Q4" i="15"/>
  <c r="G22" i="17" s="1"/>
  <c r="H22" i="17" s="1"/>
  <c r="Q77" i="11"/>
  <c r="Q52" i="11"/>
  <c r="Q36" i="11"/>
  <c r="Q20" i="11"/>
  <c r="Q30" i="11"/>
  <c r="Q42" i="11"/>
  <c r="Q14" i="11"/>
  <c r="C8" i="17" s="1"/>
  <c r="D8" i="17" s="1"/>
  <c r="Q41" i="11"/>
  <c r="Q43" i="11"/>
  <c r="Q48" i="11"/>
  <c r="Q70" i="11"/>
  <c r="Q16" i="11"/>
  <c r="Q29" i="11"/>
  <c r="Q27" i="11"/>
  <c r="Q35" i="11"/>
  <c r="Q53" i="11"/>
  <c r="C34" i="17" s="1"/>
  <c r="D34" i="17" s="1"/>
  <c r="Q33" i="11"/>
  <c r="Q79" i="11"/>
  <c r="Q73" i="11"/>
  <c r="Q64" i="11"/>
  <c r="Q63" i="11"/>
  <c r="Q28" i="11"/>
  <c r="Q68" i="11"/>
  <c r="Q24" i="11"/>
  <c r="Q71" i="11"/>
  <c r="Q23" i="11"/>
  <c r="Q13" i="11"/>
  <c r="Q21" i="11"/>
  <c r="Q76" i="11"/>
  <c r="Q57" i="11"/>
  <c r="Q69" i="11"/>
  <c r="Q56" i="11"/>
  <c r="Q25" i="11"/>
  <c r="Q38" i="11"/>
  <c r="Q25" i="3"/>
  <c r="Q21" i="3"/>
  <c r="Q62" i="3"/>
  <c r="Q6" i="3"/>
  <c r="Q40" i="3"/>
  <c r="Q23" i="3"/>
  <c r="Q27" i="3"/>
  <c r="Q66" i="3"/>
  <c r="Q22" i="3"/>
  <c r="Q34" i="3"/>
  <c r="Q56" i="3"/>
  <c r="Q24" i="3"/>
  <c r="Q65" i="3"/>
  <c r="Q44" i="3"/>
  <c r="Q46" i="3"/>
  <c r="Q15" i="3"/>
  <c r="Q37" i="3"/>
  <c r="Q11" i="3"/>
  <c r="Q70" i="3"/>
  <c r="Q63" i="3"/>
  <c r="Q10" i="3"/>
  <c r="Q38" i="3"/>
  <c r="Q47" i="3"/>
  <c r="Q30" i="3"/>
  <c r="Q42" i="3"/>
  <c r="Q33" i="3"/>
  <c r="Q32" i="3"/>
  <c r="Q41" i="3"/>
  <c r="Q3" i="3"/>
  <c r="Q43" i="3"/>
  <c r="B6" i="11" l="1" a="1"/>
  <c r="B6" i="11" s="1"/>
  <c r="B4" i="3" a="1"/>
  <c r="B4" i="3" s="1"/>
  <c r="D2" i="2" a="1"/>
  <c r="D2" i="2" s="1"/>
  <c r="B5" i="11" a="1"/>
  <c r="B5" i="11" s="1"/>
  <c r="B3" i="11" a="1"/>
  <c r="B3" i="11" s="1"/>
  <c r="B57" i="11" a="1"/>
  <c r="B57" i="11" s="1"/>
  <c r="B4" i="11" a="1"/>
  <c r="B4" i="11" s="1"/>
  <c r="B7" i="3" a="1"/>
  <c r="B7" i="3" s="1"/>
  <c r="B8" i="3" a="1"/>
  <c r="B8" i="3" s="1"/>
  <c r="B3" i="3" a="1"/>
  <c r="B3" i="3" s="1"/>
  <c r="B5" i="3" a="1"/>
  <c r="B5" i="3" s="1"/>
  <c r="B6" i="3" a="1"/>
  <c r="B6" i="3" s="1"/>
  <c r="G9" i="17"/>
  <c r="H9" i="17" s="1"/>
  <c r="G50" i="17"/>
  <c r="H50" i="17" s="1"/>
  <c r="G43" i="17"/>
  <c r="H43" i="17" s="1"/>
  <c r="G38" i="17"/>
  <c r="H38" i="17" s="1"/>
  <c r="G5" i="17"/>
  <c r="H5" i="17" s="1"/>
  <c r="G48" i="17"/>
  <c r="H48" i="17" s="1"/>
  <c r="G19" i="17"/>
  <c r="H19" i="17" s="1"/>
  <c r="G29" i="17"/>
  <c r="H29" i="17" s="1"/>
  <c r="G44" i="17"/>
  <c r="G37" i="17"/>
  <c r="H37" i="17" s="1"/>
  <c r="E16" i="17"/>
  <c r="F16" i="17" s="1"/>
  <c r="E44" i="17"/>
  <c r="F44" i="17" s="1"/>
  <c r="E42" i="17"/>
  <c r="F42" i="17" s="1"/>
  <c r="E29" i="17"/>
  <c r="F29" i="17" s="1"/>
  <c r="E34" i="17"/>
  <c r="F34" i="17" s="1"/>
  <c r="E2" i="17"/>
  <c r="F2" i="17" s="1"/>
  <c r="E22" i="17"/>
  <c r="F22" i="17" s="1"/>
  <c r="C36" i="17"/>
  <c r="D36" i="17" s="1"/>
  <c r="C28" i="17"/>
  <c r="D28" i="17" s="1"/>
  <c r="C4" i="17"/>
  <c r="D4" i="17" s="1"/>
  <c r="C47" i="17"/>
  <c r="D47" i="17" s="1"/>
  <c r="C16" i="17"/>
  <c r="D16" i="17" s="1"/>
  <c r="C20" i="17"/>
  <c r="C32" i="17"/>
  <c r="D32" i="17" s="1"/>
  <c r="C6" i="17"/>
  <c r="D6" i="17" s="1"/>
  <c r="C52" i="17"/>
  <c r="D52" i="17" s="1"/>
  <c r="Q33" i="14"/>
  <c r="E14" i="17" s="1"/>
  <c r="F14" i="17" s="1"/>
  <c r="Q26" i="6"/>
  <c r="E40" i="17" s="1"/>
  <c r="F40" i="17" s="1"/>
  <c r="E48" i="17"/>
  <c r="Q19" i="14"/>
  <c r="Q59" i="6"/>
  <c r="E17" i="17" s="1"/>
  <c r="Q42" i="6"/>
  <c r="E31" i="17"/>
  <c r="F31" i="17" s="1"/>
  <c r="Q48" i="6"/>
  <c r="R4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32" i="14"/>
  <c r="E39" i="17" s="1"/>
  <c r="F39" i="17" s="1"/>
  <c r="Q50" i="6"/>
  <c r="R16" i="13"/>
  <c r="C35" i="17" s="1"/>
  <c r="D20" i="2" a="1"/>
  <c r="D20" i="2" s="1"/>
  <c r="Q50" i="3"/>
  <c r="Q15" i="11"/>
  <c r="Q9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R7" i="13"/>
  <c r="C46" i="17" s="1"/>
  <c r="Q38" i="6"/>
  <c r="Q49" i="6"/>
  <c r="E26" i="17" s="1"/>
  <c r="F26" i="17" s="1"/>
  <c r="Q14" i="16"/>
  <c r="G8" i="17" s="1"/>
  <c r="H8" i="17" s="1"/>
  <c r="Q25" i="16"/>
  <c r="Q14" i="15"/>
  <c r="G39" i="17" s="1"/>
  <c r="Q12" i="11"/>
  <c r="C48" i="17" s="1"/>
  <c r="G20" i="17"/>
  <c r="H20" i="17" s="1"/>
  <c r="G12" i="17"/>
  <c r="H12" i="17" s="1"/>
  <c r="Q14" i="14"/>
  <c r="E12" i="17"/>
  <c r="F12" i="17" s="1"/>
  <c r="C17" i="17"/>
  <c r="D17" i="17" s="1"/>
  <c r="C29" i="17"/>
  <c r="G10" i="17"/>
  <c r="H10" i="17" s="1"/>
  <c r="G45" i="17"/>
  <c r="H45" i="17" s="1"/>
  <c r="C49" i="17"/>
  <c r="D49" i="17" s="1"/>
  <c r="C31" i="17"/>
  <c r="D31" i="17" s="1"/>
  <c r="E47" i="17"/>
  <c r="C12" i="17"/>
  <c r="D12" i="17" s="1"/>
  <c r="C13" i="17"/>
  <c r="D13" i="17" s="1"/>
  <c r="C27" i="17"/>
  <c r="D27" i="17" s="1"/>
  <c r="C33" i="17"/>
  <c r="D33" i="17" s="1"/>
  <c r="Q50" i="14"/>
  <c r="Q13" i="14"/>
  <c r="E50" i="17" s="1"/>
  <c r="F50" i="17" s="1"/>
  <c r="Q27" i="14"/>
  <c r="Q17" i="14"/>
  <c r="E45" i="17" s="1"/>
  <c r="F45" i="17" s="1"/>
  <c r="E32" i="17"/>
  <c r="Q45" i="14"/>
  <c r="Q51" i="14"/>
  <c r="E41" i="17" s="1"/>
  <c r="F41" i="17" s="1"/>
  <c r="Q29" i="6"/>
  <c r="Q22" i="6"/>
  <c r="Q47" i="6"/>
  <c r="Q19" i="6"/>
  <c r="Q40" i="6"/>
  <c r="E6" i="17" s="1"/>
  <c r="F6" i="17" s="1"/>
  <c r="Q17" i="16"/>
  <c r="G46" i="17"/>
  <c r="Q15" i="16"/>
  <c r="G16" i="17" s="1"/>
  <c r="H16" i="17" s="1"/>
  <c r="Q18" i="15"/>
  <c r="Q15" i="15"/>
  <c r="Q11" i="11"/>
  <c r="C45" i="17" s="1"/>
  <c r="D45" i="17" s="1"/>
  <c r="Q10" i="11"/>
  <c r="C43" i="17"/>
  <c r="D43" i="17" s="1"/>
  <c r="E3" i="17" l="1"/>
  <c r="G25" i="17"/>
  <c r="H25" i="17" s="1"/>
  <c r="G32" i="17"/>
  <c r="G27" i="17"/>
  <c r="H27" i="17" s="1"/>
  <c r="G28" i="17"/>
  <c r="H28" i="17" s="1"/>
  <c r="G21" i="17"/>
  <c r="H21" i="17" s="1"/>
  <c r="G31" i="17"/>
  <c r="H31" i="17" s="1"/>
  <c r="G47" i="17"/>
  <c r="G40" i="17"/>
  <c r="H40" i="17" s="1"/>
  <c r="G6" i="17"/>
  <c r="G3" i="17"/>
  <c r="H3" i="17" s="1"/>
  <c r="E20" i="17"/>
  <c r="F20" i="17" s="1"/>
  <c r="E21" i="17"/>
  <c r="F21" i="17" s="1"/>
  <c r="E27" i="17"/>
  <c r="E38" i="17"/>
  <c r="E24" i="17"/>
  <c r="F24" i="17" s="1"/>
  <c r="E8" i="17"/>
  <c r="F8" i="17" s="1"/>
  <c r="E5" i="17"/>
  <c r="F5" i="17" s="1"/>
  <c r="E4" i="17"/>
  <c r="F4" i="17" s="1"/>
  <c r="E28" i="17"/>
  <c r="F28" i="17" s="1"/>
  <c r="C9" i="17"/>
  <c r="D9" i="17" s="1"/>
  <c r="C24" i="17"/>
  <c r="D24" i="17" s="1"/>
  <c r="C39" i="17"/>
  <c r="D39" i="17" s="1"/>
  <c r="C50" i="17"/>
  <c r="D50" i="17" s="1"/>
  <c r="C38" i="17"/>
  <c r="D38" i="17" s="1"/>
  <c r="C51" i="17"/>
  <c r="D51" i="17" s="1"/>
  <c r="C44" i="17"/>
  <c r="D44" i="17" s="1"/>
  <c r="C25" i="17"/>
  <c r="E46" i="17"/>
  <c r="C23" i="17"/>
  <c r="G13" i="17"/>
  <c r="E2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47" i="17" l="1"/>
  <c r="F48" i="17"/>
  <c r="F17" i="17"/>
  <c r="F18" i="17"/>
  <c r="F38" i="17"/>
  <c r="H6" i="17"/>
  <c r="F27" i="17"/>
  <c r="F10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54" i="3" l="1"/>
  <c r="C26" i="17" s="1"/>
  <c r="D26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49" i="3" l="1"/>
  <c r="C42" i="17" s="1"/>
  <c r="Q51" i="3"/>
  <c r="Q31" i="3"/>
  <c r="Q28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3" i="17"/>
  <c r="Q18" i="3"/>
  <c r="Q55" i="3"/>
  <c r="Q45" i="3"/>
  <c r="C10" i="17" s="1"/>
  <c r="D10" i="17" s="1"/>
  <c r="C18" i="17" l="1"/>
  <c r="C11" i="17"/>
  <c r="C5" i="17"/>
  <c r="D5" i="17" s="1"/>
  <c r="D3" i="17"/>
  <c r="C14" i="17"/>
  <c r="C41" i="17"/>
  <c r="C21" i="17"/>
  <c r="D21" i="17" s="1"/>
  <c r="D20" i="17" l="1"/>
  <c r="D29" i="17"/>
  <c r="D18" i="17"/>
  <c r="D25" i="17"/>
  <c r="D14" i="17"/>
  <c r="D23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<sst xmlns="http://schemas.openxmlformats.org/spreadsheetml/2006/main" count="1807" uniqueCount="379">
  <si>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</si>
  <si>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</si>
  <si>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</si>
  <si>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</si>
  <si>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</si>
  <si>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</si>
  <si>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</si>
  <si>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</si>
  <si>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</si>
  <si>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</si>
  <si>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</si>
  <si>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</si>
  <si>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</si>
  <si>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</si>
  <si>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</si>
  <si>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</si>
  <si>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</si>
  <si>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</si>
  <si>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</si>
  <si>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</si>
  <si>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</si>
  <si>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</si>
  <si>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</si>
  <si>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</si>
  <si>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</si>
  <si>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</si>
  <si>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</si>
  <si>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</si>
  <si>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</si>
  <si>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</si>
  <si>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</si>
  <si>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</si>
  <si>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</si>
  <si>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</si>
  <si>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</si>
  <si>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</si>
  <si>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</si>
  <si>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</si>
  <si>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</si>
  <si>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</si>
  <si>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</si>
  <si>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</si>
  <si>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</si>
  <si>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</si>
  <si>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</si>
  <si>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</si>
  <si>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</si>
  <si>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</si>
  <si>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</si>
  <si>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</si>
  <si>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</si>
  <si>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</si>
  <si>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</si>
  <si>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</si>
  <si>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</si>
  <si>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</si>
  <si>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</si>
  <si>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</si>
  <si>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</si>
  <si>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</si>
  <si>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</si>
  <si>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</si>
  <si>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</si>
  <si>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</si>
  <si>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</si>
  <si>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</si>
  <si>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</si>
  <si>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</si>
  <si>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</si>
  <si>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</si>
  <si>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</si>
  <si>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</si>
  <si>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</si>
  <si>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</si>
  <si>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</si>
  <si>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</si>
  <si>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</si>
  <si>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</si>
  <si>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</si>
  <si>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</si>
  <si>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</si>
  <si>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</si>
  <si>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</si>
  <si>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</si>
  <si>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</si>
  <si>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</si>
  <si>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</si>
  <si>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</si>
  <si>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</si>
  <si>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</si>
  <si>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</si>
  <si>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</si>
  <si>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</si>
  <si>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</si>
  <si>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</si>
  <si>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</si>
  <si>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</si>
  <si>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</si>
  <si>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</si>
  <si>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</si>
  <si>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</si>
  <si>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</si>
  <si>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</si>
  <si>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</si>
  <si>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</si>
  <si>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</si>
  <si>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</si>
  <si>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</si>
  <si>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</si>
  <si>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</si>
  <si>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</si>
  <si>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</si>
  <si>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</si>
  <si>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</si>
  <si>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</si>
  <si>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</si>
  <si>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</si>
  <si>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</si>
  <si>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</si>
  <si>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</si>
  <si>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</si>
  <si>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</si>
  <si>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</si>
  <si>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</si>
  <si>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</si>
  <si>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</si>
  <si>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</si>
  <si>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</si>
  <si>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</si>
  <si>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</si>
  <si>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</si>
  <si>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</si>
  <si>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</si>
  <si>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</si>
  <si>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</si>
  <si>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</si>
  <si>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</si>
  <si>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</si>
  <si>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</si>
  <si>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</si>
  <si>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</si>
  <si>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</si>
  <si>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</si>
  <si>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</si>
  <si>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</si>
  <si>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</si>
  <si>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</si>
  <si>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</si>
  <si>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</si>
  <si>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</si>
  <si>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</si>
  <si>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</si>
  <si>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</si>
  <si>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</si>
  <si>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</si>
  <si>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</si>
  <si>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</si>
  <si>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</si>
  <si>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</si>
  <si>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</si>
  <si>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</si>
  <si>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</si>
  <si>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</si>
  <si>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</si>
  <si>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</si>
  <si>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</si>
  <si>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</si>
  <si>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</si>
  <si>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</si>
  <si>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</si>
  <si>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</si>
  <si>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</si>
  <si>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</si>
  <si>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</si>
  <si>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</si>
  <si>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</si>
  <si>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</si>
  <si>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</si>
  <si>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</si>
  <si>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</si>
  <si>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</si>
  <si>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</si>
  <si>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</si>
  <si>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</si>
  <si>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</si>
  <si>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</si>
  <si>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</si>
  <si>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</si>
  <si>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</si>
  <si>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</si>
  <si>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</si>
  <si>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</si>
  <si>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</si>
  <si>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</si>
  <si>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</si>
  <si>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</si>
  <si>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</si>
  <si>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</si>
  <si>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</si>
  <si>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</si>
  <si>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</si>
  <si>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</si>
  <si>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</si>
  <si>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</si>
  <si>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</si>
  <si>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</si>
  <si>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</si>
  <si>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</si>
  <si>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</si>
  <si>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</si>
  <si>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</si>
  <si>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</si>
  <si>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</si>
  <si>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</si>
  <si>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</si>
  <si>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</si>
  <si>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</si>
  <si>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</si>
  <si>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</si>
  <si>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</si>
  <si>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</si>
  <si>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</si>
  <si>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</si>
  <si>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</si>
  <si>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</si>
  <si>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</si>
  <si>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</si>
  <si>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</si>
  <si>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</si>
  <si>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</si>
  <si>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</si>
  <si>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</si>
  <si>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</si>
  <si>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</si>
  <si>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</si>
  <si>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</si>
  <si>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</si>
  <si>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</si>
  <si>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</si>
  <si>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</si>
  <si>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</si>
  <si>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</si>
  <si>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</si>
  <si>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</si>
  <si>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</si>
  <si>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</si>
  <si>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</si>
  <si>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</si>
  <si>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</si>
  <si>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</si>
  <si>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</si>
  <si>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</si>
  <si>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</si>
  <si>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</si>
  <si>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</si>
  <si>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</si>
  <si>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</si>
  <si>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</si>
  <si>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</si>
  <si>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</si>
  <si>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</si>
  <si>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</si>
  <si>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</si>
  <si>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</si>
  <si>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</si>
  <si>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</si>
  <si>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</si>
  <si>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</si>
  <si>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</si>
  <si>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</si>
  <si>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</si>
  <si>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</si>
  <si>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</si>
  <si>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</si>
  <si>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</si>
  <si>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</si>
  <si>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</si>
  <si>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</si>
  <si>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</si>
  <si>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</si>
  <si>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</si>
  <si>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</si>
  <si>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</si>
  <si>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</si>
  <si>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</si>
  <si>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Kelowna TNT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</si>
  <si>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</si>
  <si>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</si>
  <si>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</si>
  <si>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</si>
  <si>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</si>
  <si>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</si>
  <si>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</si>
  <si>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</si>
  <si>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</si>
  <si>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</si>
  <si>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2023 Elite Canada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</si>
  <si>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</si>
  <si>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</si>
  <si>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</si>
  <si>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</si>
  <si>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</si>
  <si>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</si>
  <si>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</si>
  <si>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</si>
  <si>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</si>
  <si>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</si>
  <si>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</si>
  <si>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</si>
  <si>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</si>
  <si>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</si>
  <si>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</si>
  <si>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</si>
  <si>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</si>
  <si>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</si>
  <si>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</si>
  <si>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</si>
  <si>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</si>
  <si>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</si>
  <si>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</si>
  <si>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</si>
  <si>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</si>
  <si>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</si>
  <si>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</si>
  <si>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</si>
  <si>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</si>
  <si>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</si>
  <si>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</si>
  <si>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</si>
  <si>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</si>
  <si>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</si>
  <si>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</si>
  <si>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TROYAN, Artur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</si>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</sst>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_xlfn.IFNA(INDEX('TRA-M'!C$3:C$70,MATCH(1,(C2='TRA-M'!A$3:A$70)*(B2='TRA-M'!G$3:G$70),0)),"")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_xlfn.IFNA(INDEX('TRA-M'!C$3:C$70,MATCH(1,(C3='TRA-M'!A$3:A$70)*(B3='TRA-M'!G$3:G$70),0)),"")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_xlfn.IFNA(INDEX('TRA-M'!C$3:C$70,MATCH(1,(C4='TRA-M'!A$3:A$70)*(B4='TRA-M'!G$3:G$70),0)),"")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_xlfn.IFNA(INDEX('TRA-M'!C$3:C$70,MATCH(1,(C5='TRA-M'!A$3:A$70)*(B5='TRA-M'!G$3:G$70),0)),"")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_xlfn.IFNA(INDEX('TRA-M'!C$3:C$70,MATCH(1,(C6='TRA-M'!A$3:A$70)*(B6='TRA-M'!G$3:G$70),0)),"")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_xlfn.IFNA(INDEX('TRA-M'!C$3:C$70,MATCH(1,(C7='TRA-M'!A$3:A$70)*(B7='TRA-M'!G$3:G$70),0)),"")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_xlfn.IFNA(INDEX('TRA-M'!C$3:C$70,MATCH(1,(C8='TRA-M'!A$3:A$70)*(B8='TRA-M'!G$3:G$70),0)),"")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_xlfn.IFNA(INDEX('TRA-M'!C$3:C$70,MATCH(1,(C9='TRA-M'!A$3:A$70)*(B9='TRA-M'!G$3:G$70),0)),"")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_xlfn.IFNA(INDEX('TRA-M'!C$3:C$70,MATCH(1,(C10='TRA-M'!A$3:A$70)*(B10='TRA-M'!G$3:G$70),0)),"")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_xlfn.IFNA(INDEX('TRA-M'!C$3:C$70,MATCH(1,(C11='TRA-M'!A$3:A$70)*(B11='TRA-M'!G$3:G$70),0)),"")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_xlfn.IFNA(INDEX('TRA-M'!C$3:C$70,MATCH(1,(C12='TRA-M'!A$3:A$70)*(B12='TRA-M'!G$3:G$70),0)),"")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_xlfn.IFNA(INDEX('TRA-M'!C$3:C$70,MATCH(1,(C13='TRA-M'!A$3:A$70)*(B13='TRA-M'!G$3:G$70),0)),"")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_xlfn.IFNA(INDEX('TRA-M'!C$3:C$70,MATCH(1,(C14='TRA-M'!A$3:A$70)*(B14='TRA-M'!G$3:G$70),0)),"")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_xlfn.IFNA(INDEX('TRA-M'!C$3:C$70,MATCH(1,(C15='TRA-M'!A$3:A$70)*(B15='TRA-M'!G$3:G$70),0)),"")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_xlfn.IFNA(INDEX('TRA-M'!C$3:C$70,MATCH(1,(C16='TRA-M'!A$3:A$70)*(B16='TRA-M'!G$3:G$70),0)),"")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_xlfn.IFNA(INDEX('TRA-M'!C$3:C$70,MATCH(1,(C17='TRA-M'!A$3:A$70)*(B17='TRA-M'!G$3:G$70),0)),"")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_xlfn.IFNA(INDEX('TRA-M'!C$3:C$70,MATCH(1,(C18='TRA-M'!A$3:A$70)*(B18='TRA-M'!G$3:G$70),0)),"")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_xlfn.IFNA(INDEX('TRA-M'!C$3:C$70,MATCH(1,(C19='TRA-M'!A$3:A$70)*(B19='TRA-M'!G$3:G$70),0)),"")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_xlfn.IFNA(INDEX('TRA-M'!C$3:C$70,MATCH(1,(C20='TRA-M'!A$3:A$70)*(B20='TRA-M'!G$3:G$70),0)),"")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_xlfn.IFNA(INDEX('TRA-M'!C$3:C$70,MATCH(1,(C21='TRA-M'!A$3:A$70)*(B21='TRA-M'!G$3:G$70),0)),"")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_xlfn.IFNA(INDEX('TRA-M'!C$3:C$70,MATCH(1,(C22='TRA-M'!A$3:A$70)*(B22='TRA-M'!G$3:G$70),0)),"")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_xlfn.IFNA(INDEX('TRA-M'!C$3:C$70,MATCH(1,(C23='TRA-M'!A$3:A$70)*(B23='TRA-M'!G$3:G$70),0)),"")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_xlfn.IFNA(INDEX('TRA-M'!C$3:C$70,MATCH(1,(C24='TRA-M'!A$3:A$70)*(B24='TRA-M'!G$3:G$70),0)),"")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_xlfn.IFNA(INDEX('TRA-M'!C$3:C$70,MATCH(1,(C25='TRA-M'!A$3:A$70)*(B25='TRA-M'!G$3:G$70),0)),"")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_xlfn.IFNA(INDEX('TRA-M'!C$3:C$70,MATCH(1,(C26='TRA-M'!A$3:A$70)*(B26='TRA-M'!G$3:G$70),0)),"")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_xlfn.IFNA(INDEX('TRA-M'!C$3:C$70,MATCH(1,(C27='TRA-M'!A$3:A$70)*(B27='TRA-M'!G$3:G$70),0)),"")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_xlfn.IFNA(INDEX('TRA-M'!C$3:C$70,MATCH(1,(C28='TRA-M'!A$3:A$70)*(B28='TRA-M'!G$3:G$70),0)),"")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_xlfn.IFNA(INDEX('TRA-M'!C$3:C$70,MATCH(1,(C29='TRA-M'!A$3:A$70)*(B29='TRA-M'!G$3:G$70),0)),"")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_xlfn.IFNA(INDEX('TRA-M'!C$3:C$70,MATCH(1,(C30='TRA-M'!A$3:A$70)*(B30='TRA-M'!G$3:G$70),0)),"")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_xlfn.IFNA(INDEX('TRA-M'!C$3:C$70,MATCH(1,(C31='TRA-M'!A$3:A$70)*(B31='TRA-M'!G$3:G$70),0)),"")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_xlfn.IFNA(INDEX('TRA-M'!C$3:C$70,MATCH(1,(C32='TRA-M'!A$3:A$70)*(B32='TRA-M'!G$3:G$70),0)),"")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_xlfn.IFNA(INDEX('TRA-M'!C$3:C$70,MATCH(1,(C33='TRA-M'!A$3:A$70)*(B33='TRA-M'!G$3:G$70),0)),"")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_xlfn.IFNA(INDEX('DMT-M'!C$3:C$65,MATCH(1,(C98='DMT-M'!A$3:A$65)*(B98='DMT-M'!G$3:G$65),0)),"")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_xlfn.IFNA(INDEX('DMT-M'!C$3:C$65,MATCH(1,(C99='DMT-M'!A$3:A$65)*(B99='DMT-M'!G$3:G$65),0)),"")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_xlfn.IFNA(INDEX('DMT-M'!C$3:C$65,MATCH(1,(C100='DMT-M'!A$3:A$65)*(B100='DMT-M'!G$3:G$65),0)),"")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_xlfn.IFNA(INDEX('DMT-M'!C$3:C$65,MATCH(1,(C101='DMT-M'!A$3:A$65)*(B101='DMT-M'!G$3:G$65),0)),"")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_xlfn.IFNA(INDEX('DMT-M'!C$3:C$65,MATCH(1,(C102='DMT-M'!A$3:A$65)*(B102='DMT-M'!G$3:G$65),0)),"")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_xlfn.IFNA(INDEX('DMT-M'!C$3:C$65,MATCH(1,(C103='DMT-M'!A$3:A$65)*(B103='DMT-M'!G$3:G$65),0)),"")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_xlfn.IFNA(INDEX('DMT-M'!C$3:C$65,MATCH(1,(C104='DMT-M'!A$3:A$65)*(B104='DMT-M'!G$3:G$65),0)),"")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_xlfn.IFNA(INDEX('DMT-M'!C$3:C$65,MATCH(1,(C105='DMT-M'!A$3:A$65)*(B105='DMT-M'!G$3:G$65),0)),"")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_xlfn.IFNA(INDEX('DMT-M'!C$3:C$65,MATCH(1,(C106='DMT-M'!A$3:A$65)*(B106='DMT-M'!G$3:G$65),0)),"")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_xlfn.IFNA(INDEX('DMT-M'!C$3:C$65,MATCH(1,(C107='DMT-M'!A$3:A$65)*(B107='DMT-M'!G$3:G$65),0)),"")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_xlfn.IFNA(INDEX('DMT-M'!C$3:C$65,MATCH(1,(C108='DMT-M'!A$3:A$65)*(B108='DMT-M'!G$3:G$65),0)),"")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_xlfn.IFNA(INDEX('DMT-M'!C$3:C$65,MATCH(1,(C109='DMT-M'!A$3:A$65)*(B109='DMT-M'!G$3:G$65),0)),"")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_xlfn.IFNA(INDEX('DMT-M'!C$3:C$65,MATCH(1,(C110='DMT-M'!A$3:A$65)*(B110='DMT-M'!G$3:G$65),0)),"")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_xlfn.IFNA(INDEX('DMT-M'!C$3:C$65,MATCH(1,(C111='DMT-M'!A$3:A$65)*(B111='DMT-M'!G$3:G$65),0)),"")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_xlfn.IFNA(INDEX('DMT-M'!C$3:C$65,MATCH(1,(C112='DMT-M'!A$3:A$65)*(B112='DMT-M'!G$3:G$65),0)),"")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_xlfn.IFNA(INDEX('DMT-M'!C$3:C$65,MATCH(1,(C113='DMT-M'!A$3:A$65)*(B113='DMT-M'!G$3:G$65),0)),"")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_xlfn.IFNA(INDEX('DMT-M'!C$3:C$65,MATCH(1,(C114='DMT-M'!A$3:A$65)*(B114='DMT-M'!G$3:G$65),0)),"")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_xlfn.IFNA(INDEX('DMT-M'!C$3:C$65,MATCH(1,(C115='DMT-M'!A$3:A$65)*(B115='DMT-M'!G$3:G$65),0)),"")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_xlfn.IFNA(INDEX('DMT-M'!C$3:C$65,MATCH(1,(C116='DMT-M'!A$3:A$65)*(B116='DMT-M'!G$3:G$65),0)),"")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_xlfn.IFNA(INDEX('DMT-M'!C$3:C$65,MATCH(1,(C117='DMT-M'!A$3:A$65)*(B117='DMT-M'!G$3:G$65),0)),"")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_xlfn.IFNA(INDEX('DMT-M'!C$3:C$65,MATCH(1,(C118='DMT-M'!A$3:A$65)*(B118='DMT-M'!G$3:G$65),0)),"")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_xlfn.IFNA(INDEX('DMT-M'!C$3:C$65,MATCH(1,(C119='DMT-M'!A$3:A$65)*(B119='DMT-M'!G$3:G$65),0)),"")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_xlfn.IFNA(INDEX('DMT-M'!C$3:C$65,MATCH(1,(C120='DMT-M'!A$3:A$65)*(B120='DMT-M'!G$3:G$65),0)),"")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_xlfn.IFNA(INDEX('DMT-M'!C$3:C$65,MATCH(1,(C121='DMT-M'!A$3:A$65)*(B121='DMT-M'!G$3:G$65),0)),"")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_xlfn.IFNA(INDEX('DMT-M'!C$3:C$65,MATCH(1,(C122='DMT-M'!A$3:A$65)*(B122='DMT-M'!G$3:G$65),0)),"")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_xlfn.IFNA(INDEX('DMT-M'!C$3:C$65,MATCH(1,(C123='DMT-M'!A$3:A$65)*(B123='DMT-M'!G$3:G$65),0)),"")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_xlfn.IFNA(INDEX('DMT-M'!C$3:C$65,MATCH(1,(C124='DMT-M'!A$3:A$65)*(B124='DMT-M'!G$3:G$65),0)),"")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_xlfn.IFNA(INDEX('DMT-M'!C$3:C$65,MATCH(1,(C125='DMT-M'!A$3:A$65)*(B125='DMT-M'!G$3:G$65),0)),"")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_xlfn.IFNA(INDEX('DMT-M'!C$3:C$65,MATCH(1,(C126='DMT-M'!A$3:A$65)*(B126='DMT-M'!G$3:G$65),0)),"")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_xlfn.IFNA(INDEX('DMT-M'!C$3:C$65,MATCH(1,(C127='DMT-M'!A$3:A$65)*(B127='DMT-M'!G$3:G$65),0)),"")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_xlfn.IFNA(INDEX('DMT-M'!C$3:C$65,MATCH(1,(C128='DMT-M'!A$3:A$65)*(B128='DMT-M'!G$3:G$65),0)),"")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_xlfn.IFNA(INDEX('DMT-M'!C$3:C$65,MATCH(1,(C129='DMT-M'!A$3:A$65)*(B129='DMT-M'!G$3:G$65),0)),"")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45031</v>
      </c>
      <c r="C231" s="63"/>
      <c r="D231" s="63"/>
    </row>
    <row r="232" spans="1:6" x14ac:dyDescent="0.2">
      <c r="A232" s="58"/>
      <c r="B232" s="65" t="s">
        <v>296</v>
      </c>
      <c r="C232" s="65"/>
      <c r="D232" s="65"/>
    </row>
    <row r="233" spans="1:6" x14ac:dyDescent="0.2">
      <c r="B233" s="55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52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19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19" ht="17" thickTop="1" x14ac:dyDescent="0.2">
      <c r="A2" s="61" t="s">
        <v>314</v>
      </c>
      <c r="B2" s="47" t="s">
        <v>196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IF(C2&gt;0,RANK(C2,C$2:C$52),"")</f>
        <v/>
      </c>
      <c r="E2" s="46">
        <f>SUMIF('DMT-M'!E:E,A2,'DMT-M'!Q:Q)+SUMIF('DMT-W'!E:E,A2,'DMT-W'!Q:Q)</f>
        <v>0</v>
      </c>
      <c r="F2" s="48" t="str">
        <f t="shared" ref="F2:F33" si="1">IF(E2&gt;0,RANK(E2,E$2:E$52),"")</f>
        <v/>
      </c>
      <c r="G2" s="46">
        <f>SUMIF('TUM-M'!E:E,A2,'TUM-M'!Q:Q)+SUMIF('TUM-W'!E:E,A2,'TUM-W'!Q:Q)</f>
        <v>0</v>
      </c>
      <c r="H2" s="48" t="str">
        <f t="shared" ref="H2:H33" si="2">IF(G2&gt;0,RANK(G2,G$2:G$52),"")</f>
        <v/>
      </c>
    </row>
    <row r="3" spans="1:19" x14ac:dyDescent="0.2">
      <c r="A3" s="62" t="s">
        <v>63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19" x14ac:dyDescent="0.2">
      <c r="A4" s="62" t="s">
        <v>71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19" x14ac:dyDescent="0.2">
      <c r="A5" s="62" t="s">
        <v>47</v>
      </c>
      <c r="B5" s="1" t="s">
        <v>194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19" x14ac:dyDescent="0.2">
      <c r="A6" s="62" t="s">
        <v>29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19" x14ac:dyDescent="0.2">
      <c r="A7" s="62" t="s">
        <v>104</v>
      </c>
      <c r="B7" s="1" t="s">
        <v>202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19" x14ac:dyDescent="0.2">
      <c r="A8" s="62" t="s">
        <v>60</v>
      </c>
      <c r="B8" s="1" t="s">
        <v>195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19" x14ac:dyDescent="0.2">
      <c r="A9" s="62" t="s">
        <v>41</v>
      </c>
      <c r="B9" s="1" t="s">
        <v>198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19" x14ac:dyDescent="0.2">
      <c r="A10" s="62" t="s">
        <v>3</v>
      </c>
      <c r="B10" s="1" t="s">
        <v>197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19" x14ac:dyDescent="0.2">
      <c r="A11" s="62" t="s">
        <v>293</v>
      </c>
      <c r="B11" s="1" t="s">
        <v>194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19" x14ac:dyDescent="0.2">
      <c r="A12" s="62" t="s">
        <v>315</v>
      </c>
      <c r="B12" s="1" t="s">
        <v>197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19" x14ac:dyDescent="0.2">
      <c r="A13" s="62" t="s">
        <v>70</v>
      </c>
      <c r="B13" s="1" t="s">
        <v>196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  <c r="N13" s="1"/>
      <c r="O13" s="1"/>
      <c r="P13" s="1"/>
      <c r="Q13" s="1"/>
      <c r="R13" s="1"/>
      <c r="S13" s="1"/>
    </row>
    <row r="14" spans="1:19" x14ac:dyDescent="0.2">
      <c r="A14" s="62" t="s">
        <v>46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19" x14ac:dyDescent="0.2">
      <c r="A15" s="62" t="s">
        <v>316</v>
      </c>
      <c r="B15" s="1" t="s">
        <v>194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19" x14ac:dyDescent="0.2">
      <c r="A16" s="62" t="s">
        <v>203</v>
      </c>
      <c r="B16" s="1" t="s">
        <v>197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8" x14ac:dyDescent="0.2">
      <c r="A17" s="62" t="s">
        <v>77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8" x14ac:dyDescent="0.2">
      <c r="A18" s="62" t="s">
        <v>113</v>
      </c>
      <c r="B18" s="1" t="s">
        <v>194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</row>
    <row r="19" spans="1:8" x14ac:dyDescent="0.2">
      <c r="A19" s="62" t="s">
        <v>285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8" x14ac:dyDescent="0.2">
      <c r="A20" s="62" t="s">
        <v>61</v>
      </c>
      <c r="B20" s="1" t="s">
        <v>198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8" x14ac:dyDescent="0.2">
      <c r="A21" s="62" t="s">
        <v>100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8" x14ac:dyDescent="0.2">
      <c r="A22" s="62" t="s">
        <v>48</v>
      </c>
      <c r="B22" s="1" t="s">
        <v>200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8" x14ac:dyDescent="0.2">
      <c r="A23" s="62" t="s">
        <v>317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8" x14ac:dyDescent="0.2">
      <c r="A24" s="62" t="s">
        <v>73</v>
      </c>
      <c r="B24" s="1" t="s">
        <v>194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8" x14ac:dyDescent="0.2">
      <c r="A25" s="62" t="s">
        <v>175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8" x14ac:dyDescent="0.2">
      <c r="A26" s="62" t="s">
        <v>62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8" x14ac:dyDescent="0.2">
      <c r="A27" s="62" t="s">
        <v>58</v>
      </c>
      <c r="B27" s="1" t="s">
        <v>196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8" x14ac:dyDescent="0.2">
      <c r="A28" s="62" t="s">
        <v>64</v>
      </c>
      <c r="B28" s="1" t="s">
        <v>196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8" x14ac:dyDescent="0.2">
      <c r="A29" s="62" t="s">
        <v>288</v>
      </c>
      <c r="B29" s="1" t="s">
        <v>197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8" x14ac:dyDescent="0.2">
      <c r="A30" s="62" t="s">
        <v>162</v>
      </c>
      <c r="B30" s="1" t="s">
        <v>194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8" x14ac:dyDescent="0.2">
      <c r="A31" s="62" t="s">
        <v>284</v>
      </c>
      <c r="B31" s="1" t="s">
        <v>198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8" x14ac:dyDescent="0.2">
      <c r="A32" s="62" t="s">
        <v>167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290</v>
      </c>
      <c r="B33" s="1" t="s">
        <v>199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37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52" si="3">IF(C34&gt;0,RANK(C34,C$2:C$52),"")</f>
        <v/>
      </c>
      <c r="E34" s="49">
        <f>SUMIF('DMT-M'!E:E,A34,'DMT-M'!Q:Q)+SUMIF('DMT-W'!E:E,A34,'DMT-W'!Q:Q)</f>
        <v>0</v>
      </c>
      <c r="F34" s="50" t="str">
        <f t="shared" ref="F34:F52" si="4">IF(E34&gt;0,RANK(E34,E$2:E$52),"")</f>
        <v/>
      </c>
      <c r="G34" s="49">
        <f>SUMIF('TUM-M'!E:E,A34,'TUM-M'!Q:Q)+SUMIF('TUM-W'!E:E,A34,'TUM-W'!Q:Q)</f>
        <v>0</v>
      </c>
      <c r="H34" s="50" t="str">
        <f t="shared" ref="H34:H52" si="5">IF(G34&gt;0,RANK(G34,G$2:G$52),"")</f>
        <v/>
      </c>
    </row>
    <row r="35" spans="1:8" x14ac:dyDescent="0.2">
      <c r="A35" s="62" t="s">
        <v>38</v>
      </c>
      <c r="B35" s="1" t="s">
        <v>194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0</v>
      </c>
      <c r="H35" s="50" t="str">
        <f t="shared" si="5"/>
        <v/>
      </c>
    </row>
    <row r="36" spans="1:8" x14ac:dyDescent="0.2">
      <c r="A36" s="62" t="s">
        <v>286</v>
      </c>
      <c r="B36" s="1" t="s">
        <v>194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0</v>
      </c>
      <c r="F36" s="50" t="str">
        <f t="shared" si="4"/>
        <v/>
      </c>
      <c r="G36" s="49">
        <f>SUMIF('TUM-M'!E:E,A36,'TUM-M'!Q:Q)+SUMIF('TUM-W'!E:E,A36,'TUM-W'!Q:Q)</f>
        <v>0</v>
      </c>
      <c r="H36" s="50" t="str">
        <f t="shared" si="5"/>
        <v/>
      </c>
    </row>
    <row r="37" spans="1:8" x14ac:dyDescent="0.2">
      <c r="A37" s="62" t="s">
        <v>294</v>
      </c>
      <c r="B37" s="1" t="s">
        <v>194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45</v>
      </c>
      <c r="B38" s="1" t="s">
        <v>195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57</v>
      </c>
      <c r="B39" s="1" t="s">
        <v>198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si="3"/>
        <v/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69</v>
      </c>
      <c r="B40" s="1" t="s">
        <v>201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0</v>
      </c>
      <c r="H40" s="50" t="str">
        <f t="shared" si="5"/>
        <v/>
      </c>
    </row>
    <row r="41" spans="1:8" x14ac:dyDescent="0.2">
      <c r="A41" s="62" t="s">
        <v>40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134</v>
      </c>
      <c r="B42" s="1" t="s">
        <v>199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50" t="s">
        <v>183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50" t="s">
        <v>59</v>
      </c>
      <c r="B44" s="1" t="s">
        <v>197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50" t="s">
        <v>318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50" t="s">
        <v>287</v>
      </c>
      <c r="B46" s="1" t="s">
        <v>197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si="3"/>
        <v/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50" t="s">
        <v>289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50" t="s">
        <v>96</v>
      </c>
      <c r="B48" s="1" t="s">
        <v>197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0</v>
      </c>
      <c r="H48" s="50" t="str">
        <f t="shared" si="5"/>
        <v/>
      </c>
    </row>
    <row r="49" spans="1:8" x14ac:dyDescent="0.2">
      <c r="A49" s="50" t="s">
        <v>72</v>
      </c>
      <c r="B49" s="1" t="s">
        <v>198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50" t="s">
        <v>84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0</v>
      </c>
      <c r="F50" s="50" t="str">
        <f t="shared" si="4"/>
        <v/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50" t="s">
        <v>291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53" t="s">
        <v>292</v>
      </c>
      <c r="B52" s="52" t="s">
        <v>197</v>
      </c>
      <c r="C52" s="51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3" t="str">
        <f t="shared" si="3"/>
        <v/>
      </c>
      <c r="E52" s="51">
        <f>SUMIF('DMT-M'!E:E,A52,'DMT-M'!Q:Q)+SUMIF('DMT-W'!E:E,A52,'DMT-W'!Q:Q)</f>
        <v>0</v>
      </c>
      <c r="F52" s="53" t="str">
        <f t="shared" si="4"/>
        <v/>
      </c>
      <c r="G52" s="51">
        <f>SUMIF('TUM-M'!E:E,A52,'TUM-M'!Q:Q)+SUMIF('TUM-W'!E:E,A52,'TUM-W'!Q:Q)</f>
        <v>0</v>
      </c>
      <c r="H52" s="53" t="str">
        <f t="shared" si="5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F1:F1048576 H1:H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374</v>
      </c>
      <c r="S1" s="67" t="s">
        <v>373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$70&lt;&gt;"")*(G$3:G$70=G3)*(J$3:J$70&gt;J3)*(I$3:I$70="P"))+1,IF(O3&lt;&gt;"",SUMPRODUCT((O$3:O$70&lt;&gt;"")*(P$3:P$70="")*(G$3:G$70=G3)*(J$3:J$70&gt;J3)*(I$3:I$70="P"))+SUMPRODUCT((P$3:P$70&lt;&gt;"")*(G$3:G$70=G3)*(I$3:I$70="P"))+1,IF(N3&lt;&gt;"",SUMPRODUCT((N$3:N$70&lt;&gt;"")*(G$3:G$70=G3)*(J$3:J$70&gt;J3)*(I$3:I$70="P"))+1,IF(M3="P",SUMPRODUCT((O$3:O$70&lt;&gt;"")*(P$3:P$70="")*(G$3:G$70=G3)*(I$3:I$70="P"))+SUMPRODUCT((P$3:P$70&lt;&gt;"")*(G$3:G$70=G3)*(I$3:I$70="P"))+SUMPRODUCT((N$3:N$70&lt;&gt;"")*(G$3:G$70=G3)*(I$3:I$70="P"))+SUMPRODUCT((P$3:P$70="")*(O$3:O$70="")*(N$3:N$70="")*(M$3:M$70="P")*(G$3:G$70=G3)*(J$3:J$70&gt;J3)*(I$3:I$70="P"))+IF(H3="L5",SUMPRODUCT((P$3:P$70="")*(O$3:O$70="")*(N$3:N$70="")*(M$3:M$70="P")*(G$3:G$70=G3)*(J$3:J$70&lt;J3)*(H$3:H$70&lt;&gt;H3)*(I$3:I$70="P")),-1*SUMPRODUCT((P$3:P$70="")*(O$3:O$70="")*(N$3:N$70="")*(M$3:M$70="P")*(G$3:G$70=G3)*(J$3:J$70&gt;J3)*(H$3:H$70="L5")*(I$3:I$70="P")))+1,"")))))</f>
        <v/>
      </c>
      <c r="B3" s="1" cm="1">
        <f t="array" ref="B3">IF(P3&lt;&gt;"",SUMPRODUCT((P$3:P$70&lt;&gt;"")*(G$3:G$70=G3)*(J$3:J$70&gt;J3))+1,IF(O3&lt;&gt;"",SUMPRODUCT((O$3:O$70&lt;&gt;"")*(P$3:P$70="")*(G$3:G$70=G3)*(J$3:J$70&gt;J3))+SUMPRODUCT((P$3:P$70&lt;&gt;"")*(G$3:G$70=G3))+1,IF(N3&lt;&gt;"",SUMPRODUCT((N$3:N$70&lt;&gt;"")*(G$3:G$70=G3)*(J$3:J$70&gt;J3))+1,IF(M3="P",SUMPRODUCT((O$3:O$70&lt;&gt;"")*(P$3:P$70="")*(G$3:G$70=G3))+SUMPRODUCT((P$3:P$70&lt;&gt;"")*(G$3:G$70=G3))+SUMPRODUCT((N$3:N$70&lt;&gt;"")*(G$3:G$70=G3))+SUMPRODUCT((P$3:P$70="")*(O$3:O$70="")*(N$3:N$70="")*(M$3:M$70="P")*(G$3:G$70=G3)*(J$3:J$70&gt;J3))+IF(H3="L5",SUMPRODUCT((P$3:P$70="")*(O$3:O$70="")*(N$3:N$70="")*(M$3:M$70="P")*(G$3:G$70=G3)*(J$3:J$70&lt;J3)*(H$3:H$70&lt;&gt;H3)),-1*SUMPRODUCT((P$3:P$70="")*(O$3:O$70="")*(N$3:N$70="")*(M$3:M$70="P")*(G$3:G$70=G3)*(J$3:J$70&gt;J3)*(H$3:H$70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>R3+S3+IF(OR(H3="Junior",H3="Senior"),0.0002,IF(OR(H3="L7",H3="L6"),0.0001,0))+IF(G3="17-21",MAX(AA3,AC3,AF3),AE3)*0.0000001</f>
        <v>109.86020000000001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>IF(A3&lt;5,IF(_xlfn.MAXIFS(A:A,G:G,G3)&gt;3,5-A3,_xlfn.MAXIFS(A:A,G:G,G3)+1-A3),"")</f>
        <v/>
      </c>
      <c r="R3" s="4">
        <f>IF(G3="17-21",MAX(T3,V3,Y3,AA3,AC3,AF3),MAX(X3,AE3))</f>
        <v>55.54</v>
      </c>
      <c r="S3" s="4">
        <f>IF(G3="17-21",LARGE(CHOOSE({1,2,3,4,5,6},T3,V3,Y3,AA3,AC3,AF3),2),IF(R3=X3,MAX(Y3,AA3,AC3,AF3),IF(R3=AE3,MAX(AF3,T3,V3,Y3),0)))</f>
        <v>54.32</v>
      </c>
      <c r="T3" s="33">
        <v>54.02</v>
      </c>
      <c r="U3" s="40">
        <v>14.8</v>
      </c>
      <c r="V3" s="34">
        <v>55.54</v>
      </c>
      <c r="W3" s="40">
        <v>15.8</v>
      </c>
      <c r="X3" s="4">
        <f>IF(H3="Senior",MAX(T3,V3),T3+V3)</f>
        <v>55.54</v>
      </c>
      <c r="Y3" s="34">
        <v>54.32</v>
      </c>
      <c r="Z3" s="40">
        <v>14.8</v>
      </c>
      <c r="AA3" s="33"/>
      <c r="AB3" s="40"/>
      <c r="AC3" s="34"/>
      <c r="AD3" s="40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$70&lt;&gt;"")*(G$3:G$70=G4)*(J$3:J$70&gt;J4)*(I$3:I$70="P"))+1,IF(O4&lt;&gt;"",SUMPRODUCT((O$3:O$70&lt;&gt;"")*(P$3:P$70="")*(G$3:G$70=G4)*(J$3:J$70&gt;J4)*(I$3:I$70="P"))+SUMPRODUCT((P$3:P$70&lt;&gt;"")*(G$3:G$70=G4)*(I$3:I$70="P"))+1,IF(N4&lt;&gt;"",SUMPRODUCT((N$3:N$70&lt;&gt;"")*(G$3:G$70=G4)*(J$3:J$70&gt;J4)*(I$3:I$70="P"))+1,IF(M4="P",SUMPRODUCT((O$3:O$70&lt;&gt;"")*(P$3:P$70="")*(G$3:G$70=G4)*(I$3:I$70="P"))+SUMPRODUCT((P$3:P$70&lt;&gt;"")*(G$3:G$70=G4)*(I$3:I$70="P"))+SUMPRODUCT((N$3:N$70&lt;&gt;"")*(G$3:G$70=G4)*(I$3:I$70="P"))+SUMPRODUCT((P$3:P$70="")*(O$3:O$70="")*(N$3:N$70="")*(M$3:M$70="P")*(G$3:G$70=G4)*(J$3:J$70&gt;J4)*(I$3:I$70="P"))+IF(H4="L5",SUMPRODUCT((P$3:P$70="")*(O$3:O$70="")*(N$3:N$70="")*(M$3:M$70="P")*(G$3:G$70=G4)*(J$3:J$70&lt;J4)*(H$3:H$70&lt;&gt;H4)*(I$3:I$70="P")),-1*SUMPRODUCT((P$3:P$70="")*(O$3:O$70="")*(N$3:N$70="")*(M$3:M$70="P")*(G$3:G$70=G4)*(J$3:J$70&gt;J4)*(H$3:H$70="L5")*(I$3:I$70="P")))+1,"")))))</f>
        <v/>
      </c>
      <c r="B4" s="1" cm="1">
        <f t="array" ref="B4">IF(P4&lt;&gt;"",SUMPRODUCT((P$3:P$70&lt;&gt;"")*(G$3:G$70=G4)*(J$3:J$70&gt;J4))+1,IF(O4&lt;&gt;"",SUMPRODUCT((O$3:O$70&lt;&gt;"")*(P$3:P$70="")*(G$3:G$70=G4)*(J$3:J$70&gt;J4))+SUMPRODUCT((P$3:P$70&lt;&gt;"")*(G$3:G$70=G4))+1,IF(N4&lt;&gt;"",SUMPRODUCT((N$3:N$70&lt;&gt;"")*(G$3:G$70=G4)*(J$3:J$70&gt;J4))+1,IF(M4="P",SUMPRODUCT((O$3:O$70&lt;&gt;"")*(P$3:P$70="")*(G$3:G$70=G4))+SUMPRODUCT((P$3:P$70&lt;&gt;"")*(G$3:G$70=G4))+SUMPRODUCT((N$3:N$70&lt;&gt;"")*(G$3:G$70=G4))+SUMPRODUCT((P$3:P$70="")*(O$3:O$70="")*(N$3:N$70="")*(M$3:M$70="P")*(G$3:G$70=G4)*(J$3:J$70&gt;J4))+IF(H4="L5",SUMPRODUCT((P$3:P$70="")*(O$3:O$70="")*(N$3:N$70="")*(M$3:M$70="P")*(G$3:G$70=G4)*(J$3:J$70&lt;J4)*(H$3:H$70&lt;&gt;H4)),-1*SUMPRODUCT((P$3:P$70="")*(O$3:O$70="")*(N$3:N$70="")*(M$3:M$70="P")*(G$3:G$70=G4)*(J$3:J$70&gt;J4)*(H$3:H$70="L5")))+1,""))))</f>
        <v>2</v>
      </c>
      <c r="C4" s="36" t="s">
        <v>103</v>
      </c>
      <c r="D4" s="36" t="str">
        <f>IF(E4="","",VLOOKUP(E4,'Coaching Points'!A:B,2,0))</f>
        <v>AB</v>
      </c>
      <c r="E4" s="36" t="s">
        <v>29</v>
      </c>
      <c r="F4" s="35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>R4+S4+IF(OR(H4="Junior",H4="Senior"),0.0002,IF(OR(H4="L7",H4="L6"),0.0001,0))+IF(G4="17-21",MAX(AA4,AC4,AF4),AE4)*0.0000001</f>
        <v>107.54020000000001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O4" s="39">
        <v>2</v>
      </c>
      <c r="Q4" s="1" t="str">
        <f>IF(A4&lt;5,IF(_xlfn.MAXIFS(A:A,G:G,G4)&gt;3,5-A4,_xlfn.MAXIFS(A:A,G:G,G4)+1-A4),"")</f>
        <v/>
      </c>
      <c r="R4" s="4">
        <f>IF(G4="17-21",MAX(T4,V4,Y4,AA4,AC4,AF4),MAX(X4,AE4))</f>
        <v>54.77</v>
      </c>
      <c r="S4" s="4">
        <f>IF(G4="17-21",LARGE(CHOOSE({1,2,3,4,5,6},T4,V4,Y4,AA4,AC4,AF4),2),IF(R4=X4,MAX(Y4,AA4,AC4,AF4),IF(R4=AE4,MAX(AF4,T4,V4,Y4),0)))</f>
        <v>52.77</v>
      </c>
      <c r="T4" s="33">
        <v>43.65</v>
      </c>
      <c r="U4" s="40">
        <v>10.7</v>
      </c>
      <c r="V4" s="34">
        <v>54.77</v>
      </c>
      <c r="W4" s="40">
        <v>13.4</v>
      </c>
      <c r="X4" s="4">
        <f>IF(H4="Senior",MAX(T4,V4),T4+V4)</f>
        <v>54.77</v>
      </c>
      <c r="Y4" s="34">
        <v>52.77</v>
      </c>
      <c r="Z4" s="40">
        <v>13.4</v>
      </c>
      <c r="AA4" s="33"/>
      <c r="AB4" s="40"/>
      <c r="AC4" s="34"/>
      <c r="AD4" s="40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$70&lt;&gt;"")*(G$3:G$70=G5)*(J$3:J$70&gt;J5)*(I$3:I$70="P"))+1,IF(O5&lt;&gt;"",SUMPRODUCT((O$3:O$70&lt;&gt;"")*(P$3:P$70="")*(G$3:G$70=G5)*(J$3:J$70&gt;J5)*(I$3:I$70="P"))+SUMPRODUCT((P$3:P$70&lt;&gt;"")*(G$3:G$70=G5)*(I$3:I$70="P"))+1,IF(N5&lt;&gt;"",SUMPRODUCT((N$3:N$70&lt;&gt;"")*(G$3:G$70=G5)*(J$3:J$70&gt;J5)*(I$3:I$70="P"))+1,IF(M5="P",SUMPRODUCT((O$3:O$70&lt;&gt;"")*(P$3:P$70="")*(G$3:G$70=G5)*(I$3:I$70="P"))+SUMPRODUCT((P$3:P$70&lt;&gt;"")*(G$3:G$70=G5)*(I$3:I$70="P"))+SUMPRODUCT((N$3:N$70&lt;&gt;"")*(G$3:G$70=G5)*(I$3:I$70="P"))+SUMPRODUCT((P$3:P$70="")*(O$3:O$70="")*(N$3:N$70="")*(M$3:M$70="P")*(G$3:G$70=G5)*(J$3:J$70&gt;J5)*(I$3:I$70="P"))+IF(H5="L5",SUMPRODUCT((P$3:P$70="")*(O$3:O$70="")*(N$3:N$70="")*(M$3:M$70="P")*(G$3:G$70=G5)*(J$3:J$70&lt;J5)*(H$3:H$70&lt;&gt;H5)*(I$3:I$70="P")),-1*SUMPRODUCT((P$3:P$70="")*(O$3:O$70="")*(N$3:N$70="")*(M$3:M$70="P")*(G$3:G$70=G5)*(J$3:J$70&gt;J5)*(H$3:H$70="L5")*(I$3:I$70="P")))+1,"")))))</f>
        <v/>
      </c>
      <c r="B5" s="1" cm="1">
        <f t="array" ref="B5">IF(P5&lt;&gt;"",SUMPRODUCT((P$3:P$70&lt;&gt;"")*(G$3:G$70=G5)*(J$3:J$70&gt;J5))+1,IF(O5&lt;&gt;"",SUMPRODUCT((O$3:O$70&lt;&gt;"")*(P$3:P$70="")*(G$3:G$70=G5)*(J$3:J$70&gt;J5))+SUMPRODUCT((P$3:P$70&lt;&gt;"")*(G$3:G$70=G5))+1,IF(N5&lt;&gt;"",SUMPRODUCT((N$3:N$70&lt;&gt;"")*(G$3:G$70=G5)*(J$3:J$70&gt;J5))+1,IF(M5="P",SUMPRODUCT((O$3:O$70&lt;&gt;"")*(P$3:P$70="")*(G$3:G$70=G5))+SUMPRODUCT((P$3:P$70&lt;&gt;"")*(G$3:G$70=G5))+SUMPRODUCT((N$3:N$70&lt;&gt;"")*(G$3:G$70=G5))+SUMPRODUCT((P$3:P$70="")*(O$3:O$70="")*(N$3:N$70="")*(M$3:M$70="P")*(G$3:G$70=G5)*(J$3:J$70&gt;J5))+IF(H5="L5",SUMPRODUCT((P$3:P$70="")*(O$3:O$70="")*(N$3:N$70="")*(M$3:M$70="P")*(G$3:G$70=G5)*(J$3:J$70&lt;J5)*(H$3:H$70&lt;&gt;H5)),-1*SUMPRODUCT((P$3:P$70="")*(O$3:O$70="")*(N$3:N$70="")*(M$3:M$70="P")*(G$3:G$70=G5)*(J$3:J$70&gt;J5)*(H$3:H$70="L5")))+1,""))))</f>
        <v>3</v>
      </c>
      <c r="C5" s="36" t="s">
        <v>114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>R5+S5+IF(OR(H5="Junior",H5="Senior"),0.0002,IF(OR(H5="L7",H5="L6"),0.0001,0))+IF(G5="17-21",MAX(AA5,AC5,AF5),AE5)*0.0000001</f>
        <v>107.1902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Q5" s="1" t="str">
        <f>IF(A5&lt;5,IF(_xlfn.MAXIFS(A:A,G:G,G5)&gt;3,5-A5,_xlfn.MAXIFS(A:A,G:G,G5)+1-A5),"")</f>
        <v/>
      </c>
      <c r="R5" s="4">
        <f>IF(G5="17-21",MAX(T5,V5,Y5,AA5,AC5,AF5),MAX(X5,AE5))</f>
        <v>53.98</v>
      </c>
      <c r="S5" s="4">
        <f>IF(G5="17-21",LARGE(CHOOSE({1,2,3,4,5,6},T5,V5,Y5,AA5,AC5,AF5),2),IF(R5=X5,MAX(Y5,AA5,AC5,AF5),IF(R5=AE5,MAX(AF5,T5,V5,Y5),0)))</f>
        <v>53.21</v>
      </c>
      <c r="T5" s="33">
        <v>53.98</v>
      </c>
      <c r="U5" s="40">
        <v>14.4</v>
      </c>
      <c r="V5" s="34">
        <v>53.21</v>
      </c>
      <c r="W5" s="40">
        <v>14.2</v>
      </c>
      <c r="X5" s="4">
        <f>IF(H5="Senior",MAX(T5,V5),T5+V5)</f>
        <v>53.98</v>
      </c>
      <c r="Y5" s="34">
        <v>22.56</v>
      </c>
      <c r="Z5" s="40">
        <v>6.1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$70&lt;&gt;"")*(G$3:G$70=G6)*(J$3:J$70&gt;J6)*(I$3:I$70="P"))+1,IF(O6&lt;&gt;"",SUMPRODUCT((O$3:O$70&lt;&gt;"")*(P$3:P$70="")*(G$3:G$70=G6)*(J$3:J$70&gt;J6)*(I$3:I$70="P"))+SUMPRODUCT((P$3:P$70&lt;&gt;"")*(G$3:G$70=G6)*(I$3:I$70="P"))+1,IF(N6&lt;&gt;"",SUMPRODUCT((N$3:N$70&lt;&gt;"")*(G$3:G$70=G6)*(J$3:J$70&gt;J6)*(I$3:I$70="P"))+1,IF(M6="P",SUMPRODUCT((O$3:O$70&lt;&gt;"")*(P$3:P$70="")*(G$3:G$70=G6)*(I$3:I$70="P"))+SUMPRODUCT((P$3:P$70&lt;&gt;"")*(G$3:G$70=G6)*(I$3:I$70="P"))+SUMPRODUCT((N$3:N$70&lt;&gt;"")*(G$3:G$70=G6)*(I$3:I$70="P"))+SUMPRODUCT((P$3:P$70="")*(O$3:O$70="")*(N$3:N$70="")*(M$3:M$70="P")*(G$3:G$70=G6)*(J$3:J$70&gt;J6)*(I$3:I$70="P"))+IF(H6="L5",SUMPRODUCT((P$3:P$70="")*(O$3:O$70="")*(N$3:N$70="")*(M$3:M$70="P")*(G$3:G$70=G6)*(J$3:J$70&lt;J6)*(H$3:H$70&lt;&gt;H6)*(I$3:I$70="P")),-1*SUMPRODUCT((P$3:P$70="")*(O$3:O$70="")*(N$3:N$70="")*(M$3:M$70="P")*(G$3:G$70=G6)*(J$3:J$70&gt;J6)*(H$3:H$70="L5")*(I$3:I$70="P")))+1,"")))))</f>
        <v/>
      </c>
      <c r="B6" s="1" cm="1">
        <f t="array" ref="B6">IF(P6&lt;&gt;"",SUMPRODUCT((P$3:P$70&lt;&gt;"")*(G$3:G$70=G6)*(J$3:J$70&gt;J6))+1,IF(O6&lt;&gt;"",SUMPRODUCT((O$3:O$70&lt;&gt;"")*(P$3:P$70="")*(G$3:G$70=G6)*(J$3:J$70&gt;J6))+SUMPRODUCT((P$3:P$70&lt;&gt;"")*(G$3:G$70=G6))+1,IF(N6&lt;&gt;"",SUMPRODUCT((N$3:N$70&lt;&gt;"")*(G$3:G$70=G6)*(J$3:J$70&gt;J6))+1,IF(M6="P",SUMPRODUCT((O$3:O$70&lt;&gt;"")*(P$3:P$70="")*(G$3:G$70=G6))+SUMPRODUCT((P$3:P$70&lt;&gt;"")*(G$3:G$70=G6))+SUMPRODUCT((N$3:N$70&lt;&gt;"")*(G$3:G$70=G6))+SUMPRODUCT((P$3:P$70="")*(O$3:O$70="")*(N$3:N$70="")*(M$3:M$70="P")*(G$3:G$70=G6)*(J$3:J$70&gt;J6))+IF(H6="L5",SUMPRODUCT((P$3:P$70="")*(O$3:O$70="")*(N$3:N$70="")*(M$3:M$70="P")*(G$3:G$70=G6)*(J$3:J$70&lt;J6)*(H$3:H$70&lt;&gt;H6)),-1*SUMPRODUCT((P$3:P$70="")*(O$3:O$70="")*(N$3:N$70="")*(M$3:M$70="P")*(G$3:G$70=G6)*(J$3:J$70&gt;J6)*(H$3:H$70="L5")))+1,""))))</f>
        <v>4</v>
      </c>
      <c r="C6" s="36" t="s">
        <v>112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>R6+S6+IF(OR(H6="Junior",H6="Senior"),0.0002,IF(OR(H6="L7",H6="L6"),0.0001,0))+IF(G6="17-21",MAX(AA6,AC6,AF6),AE6)*0.0000001</f>
        <v>106.4402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9">
        <v>4</v>
      </c>
      <c r="Q6" s="1" t="str">
        <f>IF(A6&lt;5,IF(_xlfn.MAXIFS(A:A,G:G,G6)&gt;3,5-A6,_xlfn.MAXIFS(A:A,G:G,G6)+1-A6),"")</f>
        <v/>
      </c>
      <c r="R6" s="4">
        <f>IF(G6="17-21",MAX(T6,V6,Y6,AA6,AC6,AF6),MAX(X6,AE6))</f>
        <v>53.84</v>
      </c>
      <c r="S6" s="4">
        <f>IF(G6="17-21",LARGE(CHOOSE({1,2,3,4,5,6},T6,V6,Y6,AA6,AC6,AF6),2),IF(R6=X6,MAX(Y6,AA6,AC6,AF6),IF(R6=AE6,MAX(AF6,T6,V6,Y6),0)))</f>
        <v>52.6</v>
      </c>
      <c r="T6" s="33">
        <v>16.79</v>
      </c>
      <c r="U6" s="40">
        <v>4.4000000000000004</v>
      </c>
      <c r="V6" s="34">
        <v>52.6</v>
      </c>
      <c r="W6" s="40">
        <v>13.5</v>
      </c>
      <c r="X6" s="4">
        <f>IF(H6="Senior",MAX(T6,V6),T6+V6)</f>
        <v>52.6</v>
      </c>
      <c r="Y6" s="34">
        <v>53.84</v>
      </c>
      <c r="Z6" s="40">
        <v>13.5</v>
      </c>
      <c r="AA6" s="33"/>
      <c r="AB6" s="40"/>
      <c r="AC6" s="34"/>
      <c r="AD6" s="40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$70&lt;&gt;"")*(G$3:G$70=G7)*(J$3:J$70&gt;J7)*(I$3:I$70="P"))+1,IF(O7&lt;&gt;"",SUMPRODUCT((O$3:O$70&lt;&gt;"")*(P$3:P$70="")*(G$3:G$70=G7)*(J$3:J$70&gt;J7)*(I$3:I$70="P"))+SUMPRODUCT((P$3:P$70&lt;&gt;"")*(G$3:G$70=G7)*(I$3:I$70="P"))+1,IF(N7&lt;&gt;"",SUMPRODUCT((N$3:N$70&lt;&gt;"")*(G$3:G$70=G7)*(J$3:J$70&gt;J7)*(I$3:I$70="P"))+1,IF(M7="P",SUMPRODUCT((O$3:O$70&lt;&gt;"")*(P$3:P$70="")*(G$3:G$70=G7)*(I$3:I$70="P"))+SUMPRODUCT((P$3:P$70&lt;&gt;"")*(G$3:G$70=G7)*(I$3:I$70="P"))+SUMPRODUCT((N$3:N$70&lt;&gt;"")*(G$3:G$70=G7)*(I$3:I$70="P"))+SUMPRODUCT((P$3:P$70="")*(O$3:O$70="")*(N$3:N$70="")*(M$3:M$70="P")*(G$3:G$70=G7)*(J$3:J$70&gt;J7)*(I$3:I$70="P"))+IF(H7="L5",SUMPRODUCT((P$3:P$70="")*(O$3:O$70="")*(N$3:N$70="")*(M$3:M$70="P")*(G$3:G$70=G7)*(J$3:J$70&lt;J7)*(H$3:H$70&lt;&gt;H7)*(I$3:I$70="P")),-1*SUMPRODUCT((P$3:P$70="")*(O$3:O$70="")*(N$3:N$70="")*(M$3:M$70="P")*(G$3:G$70=G7)*(J$3:J$70&gt;J7)*(H$3:H$70="L5")*(I$3:I$70="P")))+1,"")))))</f>
        <v/>
      </c>
      <c r="B7" s="1" cm="1">
        <f t="array" ref="B7">IF(P7&lt;&gt;"",SUMPRODUCT((P$3:P$70&lt;&gt;"")*(G$3:G$70=G7)*(J$3:J$70&gt;J7))+1,IF(O7&lt;&gt;"",SUMPRODUCT((O$3:O$70&lt;&gt;"")*(P$3:P$70="")*(G$3:G$70=G7)*(J$3:J$70&gt;J7))+SUMPRODUCT((P$3:P$70&lt;&gt;"")*(G$3:G$70=G7))+1,IF(N7&lt;&gt;"",SUMPRODUCT((N$3:N$70&lt;&gt;"")*(G$3:G$70=G7)*(J$3:J$70&gt;J7))+1,IF(M7="P",SUMPRODUCT((O$3:O$70&lt;&gt;"")*(P$3:P$70="")*(G$3:G$70=G7))+SUMPRODUCT((P$3:P$70&lt;&gt;"")*(G$3:G$70=G7))+SUMPRODUCT((N$3:N$70&lt;&gt;"")*(G$3:G$70=G7))+SUMPRODUCT((P$3:P$70="")*(O$3:O$70="")*(N$3:N$70="")*(M$3:M$70="P")*(G$3:G$70=G7)*(J$3:J$70&gt;J7))+IF(H7="L5",SUMPRODUCT((P$3:P$70="")*(O$3:O$70="")*(N$3:N$70="")*(M$3:M$70="P")*(G$3:G$70=G7)*(J$3:J$70&lt;J7)*(H$3:H$70&lt;&gt;H7)),-1*SUMPRODUCT((P$3:P$70="")*(O$3:O$70="")*(N$3:N$70="")*(M$3:M$70="P")*(G$3:G$70=G7)*(J$3:J$70&gt;J7)*(H$3:H$70="L5")))+1,""))))</f>
        <v>5</v>
      </c>
      <c r="C7" s="36" t="s">
        <v>170</v>
      </c>
      <c r="D7" s="36" t="str">
        <f>IF(E7="","",VLOOKUP(E7,'Coaching Points'!A:B,2,0))</f>
        <v>AB</v>
      </c>
      <c r="E7" s="36" t="s">
        <v>64</v>
      </c>
      <c r="F7" s="35">
        <v>2003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R7+S7+IF(OR(H7="Junior",H7="Senior"),0.0002,IF(OR(H7="L7",H7="L6"),0.0001,0))+IF(G7="17-21",MAX(AA7,AC7,AF7),AE7)*0.0000001</f>
        <v>102.99020000000002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52.14</v>
      </c>
      <c r="S7" s="4">
        <f>IF(G7="17-21",LARGE(CHOOSE({1,2,3,4,5,6},T7,V7,Y7,AA7,AC7,AF7),2),IF(R7=X7,MAX(Y7,AA7,AC7,AF7),IF(R7=AE7,MAX(AF7,T7,V7,Y7),0)))</f>
        <v>50.85</v>
      </c>
      <c r="T7" s="33">
        <v>50.39</v>
      </c>
      <c r="U7" s="40">
        <v>13.9</v>
      </c>
      <c r="V7" s="34">
        <v>50.85</v>
      </c>
      <c r="W7" s="40">
        <v>13.7</v>
      </c>
      <c r="X7" s="4">
        <f>IF(H7="Senior",MAX(T7,V7),T7+V7)</f>
        <v>50.85</v>
      </c>
      <c r="Y7" s="34">
        <v>52.14</v>
      </c>
      <c r="Z7" s="40">
        <v>13.7</v>
      </c>
      <c r="AA7" s="33"/>
      <c r="AB7" s="40"/>
      <c r="AC7" s="34"/>
      <c r="AD7" s="40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$70&lt;&gt;"")*(G$3:G$70=G8)*(J$3:J$70&gt;J8)*(I$3:I$70="P"))+1,IF(O8&lt;&gt;"",SUMPRODUCT((O$3:O$70&lt;&gt;"")*(P$3:P$70="")*(G$3:G$70=G8)*(J$3:J$70&gt;J8)*(I$3:I$70="P"))+SUMPRODUCT((P$3:P$70&lt;&gt;"")*(G$3:G$70=G8)*(I$3:I$70="P"))+1,IF(N8&lt;&gt;"",SUMPRODUCT((N$3:N$70&lt;&gt;"")*(G$3:G$70=G8)*(J$3:J$70&gt;J8)*(I$3:I$70="P"))+1,IF(M8="P",SUMPRODUCT((O$3:O$70&lt;&gt;"")*(P$3:P$70="")*(G$3:G$70=G8)*(I$3:I$70="P"))+SUMPRODUCT((P$3:P$70&lt;&gt;"")*(G$3:G$70=G8)*(I$3:I$70="P"))+SUMPRODUCT((N$3:N$70&lt;&gt;"")*(G$3:G$70=G8)*(I$3:I$70="P"))+SUMPRODUCT((P$3:P$70="")*(O$3:O$70="")*(N$3:N$70="")*(M$3:M$70="P")*(G$3:G$70=G8)*(J$3:J$70&gt;J8)*(I$3:I$70="P"))+IF(H8="L5",SUMPRODUCT((P$3:P$70="")*(O$3:O$70="")*(N$3:N$70="")*(M$3:M$70="P")*(G$3:G$70=G8)*(J$3:J$70&lt;J8)*(H$3:H$70&lt;&gt;H8)*(I$3:I$70="P")),-1*SUMPRODUCT((P$3:P$70="")*(O$3:O$70="")*(N$3:N$70="")*(M$3:M$70="P")*(G$3:G$70=G8)*(J$3:J$70&gt;J8)*(H$3:H$70="L5")*(I$3:I$70="P")))+1,"")))))</f>
        <v/>
      </c>
      <c r="B8" s="1" cm="1">
        <f t="array" ref="B8">IF(P8&lt;&gt;"",SUMPRODUCT((P$3:P$70&lt;&gt;"")*(G$3:G$70=G8)*(J$3:J$70&gt;J8))+1,IF(O8&lt;&gt;"",SUMPRODUCT((O$3:O$70&lt;&gt;"")*(P$3:P$70="")*(G$3:G$70=G8)*(J$3:J$70&gt;J8))+SUMPRODUCT((P$3:P$70&lt;&gt;"")*(G$3:G$70=G8))+1,IF(N8&lt;&gt;"",SUMPRODUCT((N$3:N$70&lt;&gt;"")*(G$3:G$70=G8)*(J$3:J$70&gt;J8))+1,IF(M8="P",SUMPRODUCT((O$3:O$70&lt;&gt;"")*(P$3:P$70="")*(G$3:G$70=G8))+SUMPRODUCT((P$3:P$70&lt;&gt;"")*(G$3:G$70=G8))+SUMPRODUCT((N$3:N$70&lt;&gt;"")*(G$3:G$70=G8))+SUMPRODUCT((P$3:P$70="")*(O$3:O$70="")*(N$3:N$70="")*(M$3:M$70="P")*(G$3:G$70=G8)*(J$3:J$70&gt;J8))+IF(H8="L5",SUMPRODUCT((P$3:P$70="")*(O$3:O$70="")*(N$3:N$70="")*(M$3:M$70="P")*(G$3:G$70=G8)*(J$3:J$70&lt;J8)*(H$3:H$70&lt;&gt;H8)),-1*SUMPRODUCT((P$3:P$70="")*(O$3:O$70="")*(N$3:N$70="")*(M$3:M$70="P")*(G$3:G$70=G8)*(J$3:J$70&gt;J8)*(H$3:H$70="L5")))+1,""))))</f>
        <v>6</v>
      </c>
      <c r="C8" s="36" t="s">
        <v>101</v>
      </c>
      <c r="D8" s="36" t="str">
        <f>IF(E8="","",VLOOKUP(E8,'Coaching Points'!A:B,2,0))</f>
        <v>QC</v>
      </c>
      <c r="E8" s="36" t="s">
        <v>84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>R8+S8+IF(OR(H8="Junior",H8="Senior"),0.0002,IF(OR(H8="L7",H8="L6"),0.0001,0))+IF(G8="17-21",MAX(AA8,AC8,AF8),AE8)*0.0000001</f>
        <v>75.770200000000003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54.68</v>
      </c>
      <c r="S8" s="4">
        <f>IF(G8="17-21",LARGE(CHOOSE({1,2,3,4,5,6},T8,V8,Y8,AA8,AC8,AF8),2),IF(R8=X8,MAX(Y8,AA8,AC8,AF8),IF(R8=AE8,MAX(AF8,T8,V8,Y8),0)))</f>
        <v>21.09</v>
      </c>
      <c r="T8" s="33">
        <v>21.09</v>
      </c>
      <c r="U8" s="40">
        <v>6.1</v>
      </c>
      <c r="V8" s="34">
        <v>54.68</v>
      </c>
      <c r="W8" s="40">
        <v>14.4</v>
      </c>
      <c r="X8" s="4">
        <f>IF(H8="Senior",MAX(T8,V8),T8+V8)</f>
        <v>54.68</v>
      </c>
      <c r="Y8" s="34">
        <v>11.07</v>
      </c>
      <c r="Z8" s="40">
        <v>3.2</v>
      </c>
      <c r="AA8" s="33"/>
      <c r="AB8" s="40"/>
      <c r="AC8" s="34"/>
      <c r="AD8" s="40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$70&lt;&gt;"")*(G$3:G$70=G9)*(J$3:J$70&gt;J9)*(I$3:I$70="P"))+1,IF(O9&lt;&gt;"",SUMPRODUCT((O$3:O$70&lt;&gt;"")*(P$3:P$70="")*(G$3:G$70=G9)*(J$3:J$70&gt;J9)*(I$3:I$70="P"))+SUMPRODUCT((P$3:P$70&lt;&gt;"")*(G$3:G$70=G9)*(I$3:I$70="P"))+1,IF(N9&lt;&gt;"",SUMPRODUCT((N$3:N$70&lt;&gt;"")*(G$3:G$70=G9)*(J$3:J$70&gt;J9)*(I$3:I$70="P"))+1,IF(M9="P",SUMPRODUCT((O$3:O$70&lt;&gt;"")*(P$3:P$70="")*(G$3:G$70=G9)*(I$3:I$70="P"))+SUMPRODUCT((P$3:P$70&lt;&gt;"")*(G$3:G$70=G9)*(I$3:I$70="P"))+SUMPRODUCT((N$3:N$70&lt;&gt;"")*(G$3:G$70=G9)*(I$3:I$70="P"))+SUMPRODUCT((P$3:P$70="")*(O$3:O$70="")*(N$3:N$70="")*(M$3:M$70="P")*(G$3:G$70=G9)*(J$3:J$70&gt;J9)*(I$3:I$70="P"))+IF(H9="L5",SUMPRODUCT((P$3:P$70="")*(O$3:O$70="")*(N$3:N$70="")*(M$3:M$70="P")*(G$3:G$70=G9)*(J$3:J$70&lt;J9)*(H$3:H$70&lt;&gt;H9)*(I$3:I$70="P")),-1*SUMPRODUCT((P$3:P$70="")*(O$3:O$70="")*(N$3:N$70="")*(M$3:M$70="P")*(G$3:G$70=G9)*(J$3:J$70&gt;J9)*(H$3:H$70="L5")*(I$3:I$70="P")))+1,"")))))</f>
        <v/>
      </c>
      <c r="B9" s="1" t="str" cm="1">
        <f t="array" ref="B9">IF(P9&lt;&gt;"",SUMPRODUCT((P$3:P$70&lt;&gt;"")*(G$3:G$70=G9)*(J$3:J$70&gt;J9))+1,IF(O9&lt;&gt;"",SUMPRODUCT((O$3:O$70&lt;&gt;"")*(P$3:P$70="")*(G$3:G$70=G9)*(J$3:J$70&gt;J9))+SUMPRODUCT((P$3:P$70&lt;&gt;"")*(G$3:G$70=G9))+1,IF(N9&lt;&gt;"",SUMPRODUCT((N$3:N$70&lt;&gt;"")*(G$3:G$70=G9)*(J$3:J$70&gt;J9))+1,IF(M9="P",SUMPRODUCT((O$3:O$70&lt;&gt;"")*(P$3:P$70="")*(G$3:G$70=G9))+SUMPRODUCT((P$3:P$70&lt;&gt;"")*(G$3:G$70=G9))+SUMPRODUCT((N$3:N$70&lt;&gt;"")*(G$3:G$70=G9))+SUMPRODUCT((P$3:P$70="")*(O$3:O$70="")*(N$3:N$70="")*(M$3:M$70="P")*(G$3:G$70=G9)*(J$3:J$70&gt;J9))+IF(H9="L5",SUMPRODUCT((P$3:P$70="")*(O$3:O$70="")*(N$3:N$70="")*(M$3:M$70="P")*(G$3:G$70=G9)*(J$3:J$70&lt;J9)*(H$3:H$70&lt;&gt;H9)),-1*SUMPRODUCT((P$3:P$70="")*(O$3:O$70="")*(N$3:N$70="")*(M$3:M$70="P")*(G$3:G$70=G9)*(J$3:J$70&gt;J9)*(H$3:H$70="L5")))+1,""))))</f>
        <v/>
      </c>
      <c r="C9" s="36" t="s">
        <v>83</v>
      </c>
      <c r="D9" s="36" t="str">
        <f>IF(E9="","",VLOOKUP(E9,'Coaching Points'!A:B,2,0))</f>
        <v>QC</v>
      </c>
      <c r="E9" s="36" t="s">
        <v>84</v>
      </c>
      <c r="F9" s="35">
        <v>2006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R9+S9+IF(OR(H9="Junior",H9="Senior"),0.0002,IF(OR(H9="L7",H9="L6"),0.0001,0))+IF(G9="17-21",MAX(AA9,AC9,AF9),AE9)*0.0000001</f>
        <v>101.92010000000001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51.15</v>
      </c>
      <c r="S9" s="4">
        <f>IF(G9="17-21",LARGE(CHOOSE({1,2,3,4,5,6},T9,V9,Y9,AA9,AC9,AF9),2),IF(R9=X9,MAX(Y9,AA9,AC9,AF9),IF(R9=AE9,MAX(AF9,T9,V9,Y9),0)))</f>
        <v>50.77</v>
      </c>
      <c r="T9" s="33">
        <v>44.79</v>
      </c>
      <c r="U9" s="40">
        <v>8.1</v>
      </c>
      <c r="V9" s="34">
        <v>50.77</v>
      </c>
      <c r="W9" s="40">
        <v>10.6</v>
      </c>
      <c r="X9" s="4">
        <f>IF(H9="Senior",MAX(T9,V9),T9+V9)</f>
        <v>95.56</v>
      </c>
      <c r="Y9" s="34">
        <v>51.15</v>
      </c>
      <c r="Z9" s="40">
        <v>10.6</v>
      </c>
      <c r="AA9" s="33"/>
      <c r="AB9" s="40"/>
      <c r="AC9" s="34"/>
      <c r="AD9" s="40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$70&lt;&gt;"")*(G$3:G$70=G10)*(J$3:J$70&gt;J10)*(I$3:I$70="P"))+1,IF(O10&lt;&gt;"",SUMPRODUCT((O$3:O$70&lt;&gt;"")*(P$3:P$70="")*(G$3:G$70=G10)*(J$3:J$70&gt;J10)*(I$3:I$70="P"))+SUMPRODUCT((P$3:P$70&lt;&gt;"")*(G$3:G$70=G10)*(I$3:I$70="P"))+1,IF(N10&lt;&gt;"",SUMPRODUCT((N$3:N$70&lt;&gt;"")*(G$3:G$70=G10)*(J$3:J$70&gt;J10)*(I$3:I$70="P"))+1,IF(M10="P",SUMPRODUCT((O$3:O$70&lt;&gt;"")*(P$3:P$70="")*(G$3:G$70=G10)*(I$3:I$70="P"))+SUMPRODUCT((P$3:P$70&lt;&gt;"")*(G$3:G$70=G10)*(I$3:I$70="P"))+SUMPRODUCT((N$3:N$70&lt;&gt;"")*(G$3:G$70=G10)*(I$3:I$70="P"))+SUMPRODUCT((P$3:P$70="")*(O$3:O$70="")*(N$3:N$70="")*(M$3:M$70="P")*(G$3:G$70=G10)*(J$3:J$70&gt;J10)*(I$3:I$70="P"))+IF(H10="L5",SUMPRODUCT((P$3:P$70="")*(O$3:O$70="")*(N$3:N$70="")*(M$3:M$70="P")*(G$3:G$70=G10)*(J$3:J$70&lt;J10)*(H$3:H$70&lt;&gt;H10)*(I$3:I$70="P")),-1*SUMPRODUCT((P$3:P$70="")*(O$3:O$70="")*(N$3:N$70="")*(M$3:M$70="P")*(G$3:G$70=G10)*(J$3:J$70&gt;J10)*(H$3:H$70="L5")*(I$3:I$70="P")))+1,"")))))</f>
        <v/>
      </c>
      <c r="B10" s="1" t="str" cm="1">
        <f t="array" ref="B10">IF(P10&lt;&gt;"",SUMPRODUCT((P$3:P$70&lt;&gt;"")*(G$3:G$70=G10)*(J$3:J$70&gt;J10))+1,IF(O10&lt;&gt;"",SUMPRODUCT((O$3:O$70&lt;&gt;"")*(P$3:P$70="")*(G$3:G$70=G10)*(J$3:J$70&gt;J10))+SUMPRODUCT((P$3:P$70&lt;&gt;"")*(G$3:G$70=G10))+1,IF(N10&lt;&gt;"",SUMPRODUCT((N$3:N$70&lt;&gt;"")*(G$3:G$70=G10)*(J$3:J$70&gt;J10))+1,IF(M10="P",SUMPRODUCT((O$3:O$70&lt;&gt;"")*(P$3:P$70="")*(G$3:G$70=G10))+SUMPRODUCT((P$3:P$70&lt;&gt;"")*(G$3:G$70=G10))+SUMPRODUCT((N$3:N$70&lt;&gt;"")*(G$3:G$70=G10))+SUMPRODUCT((P$3:P$70="")*(O$3:O$70="")*(N$3:N$70="")*(M$3:M$70="P")*(G$3:G$70=G10)*(J$3:J$70&gt;J10))+IF(H10="L5",SUMPRODUCT((P$3:P$70="")*(O$3:O$70="")*(N$3:N$70="")*(M$3:M$70="P")*(G$3:G$70=G10)*(J$3:J$70&lt;J10)*(H$3:H$70&lt;&gt;H10)),-1*SUMPRODUCT((P$3:P$70="")*(O$3:O$70="")*(N$3:N$70="")*(M$3:M$70="P")*(G$3:G$70=G10)*(J$3:J$70&gt;J10)*(H$3:H$70="L5")))+1,""))))</f>
        <v/>
      </c>
      <c r="C10" s="36" t="s">
        <v>107</v>
      </c>
      <c r="D10" s="36" t="str">
        <f>IF(E10="","",VLOOKUP(E10,'Coaching Points'!A:B,2,0))</f>
        <v>ON</v>
      </c>
      <c r="E10" s="36" t="s">
        <v>73</v>
      </c>
      <c r="F10" s="35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R10+S10+IF(OR(H10="Junior",H10="Senior"),0.0002,IF(OR(H10="L7",H10="L6"),0.0001,0))+IF(G10="17-21",MAX(AA10,AC10,AF10),AE10)*0.0000001</f>
        <v>100.34010000000001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51.02</v>
      </c>
      <c r="S10" s="4">
        <f>IF(G10="17-21",LARGE(CHOOSE({1,2,3,4,5,6},T10,V10,Y10,AA10,AC10,AF10),2),IF(R10=X10,MAX(Y10,AA10,AC10,AF10),IF(R10=AE10,MAX(AF10,T10,V10,Y10),0)))</f>
        <v>49.32</v>
      </c>
      <c r="T10" s="33">
        <v>49.32</v>
      </c>
      <c r="U10" s="40">
        <v>12.3</v>
      </c>
      <c r="V10" s="34">
        <v>43.42</v>
      </c>
      <c r="W10" s="40">
        <v>9.1999999999999993</v>
      </c>
      <c r="X10" s="4">
        <f>IF(H10="Senior",MAX(T10,V10),T10+V10)</f>
        <v>92.740000000000009</v>
      </c>
      <c r="Y10" s="34">
        <v>51.02</v>
      </c>
      <c r="Z10" s="40">
        <v>12.9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$70&lt;&gt;"")*(G$3:G$70=G11)*(J$3:J$70&gt;J11)*(I$3:I$70="P"))+1,IF(O11&lt;&gt;"",SUMPRODUCT((O$3:O$70&lt;&gt;"")*(P$3:P$70="")*(G$3:G$70=G11)*(J$3:J$70&gt;J11)*(I$3:I$70="P"))+SUMPRODUCT((P$3:P$70&lt;&gt;"")*(G$3:G$70=G11)*(I$3:I$70="P"))+1,IF(N11&lt;&gt;"",SUMPRODUCT((N$3:N$70&lt;&gt;"")*(G$3:G$70=G11)*(J$3:J$70&gt;J11)*(I$3:I$70="P"))+1,IF(M11="P",SUMPRODUCT((O$3:O$70&lt;&gt;"")*(P$3:P$70="")*(G$3:G$70=G11)*(I$3:I$70="P"))+SUMPRODUCT((P$3:P$70&lt;&gt;"")*(G$3:G$70=G11)*(I$3:I$70="P"))+SUMPRODUCT((N$3:N$70&lt;&gt;"")*(G$3:G$70=G11)*(I$3:I$70="P"))+SUMPRODUCT((P$3:P$70="")*(O$3:O$70="")*(N$3:N$70="")*(M$3:M$70="P")*(G$3:G$70=G11)*(J$3:J$70&gt;J11)*(I$3:I$70="P"))+IF(H11="L5",SUMPRODUCT((P$3:P$70="")*(O$3:O$70="")*(N$3:N$70="")*(M$3:M$70="P")*(G$3:G$70=G11)*(J$3:J$70&lt;J11)*(H$3:H$70&lt;&gt;H11)*(I$3:I$70="P")),-1*SUMPRODUCT((P$3:P$70="")*(O$3:O$70="")*(N$3:N$70="")*(M$3:M$70="P")*(G$3:G$70=G11)*(J$3:J$70&gt;J11)*(H$3:H$70="L5")*(I$3:I$70="P")))+1,"")))))</f>
        <v/>
      </c>
      <c r="B11" s="1" t="str" cm="1">
        <f t="array" ref="B11">IF(P11&lt;&gt;"",SUMPRODUCT((P$3:P$70&lt;&gt;"")*(G$3:G$70=G11)*(J$3:J$70&gt;J11))+1,IF(O11&lt;&gt;"",SUMPRODUCT((O$3:O$70&lt;&gt;"")*(P$3:P$70="")*(G$3:G$70=G11)*(J$3:J$70&gt;J11))+SUMPRODUCT((P$3:P$70&lt;&gt;"")*(G$3:G$70=G11))+1,IF(N11&lt;&gt;"",SUMPRODUCT((N$3:N$70&lt;&gt;"")*(G$3:G$70=G11)*(J$3:J$70&gt;J11))+1,IF(M11="P",SUMPRODUCT((O$3:O$70&lt;&gt;"")*(P$3:P$70="")*(G$3:G$70=G11))+SUMPRODUCT((P$3:P$70&lt;&gt;"")*(G$3:G$70=G11))+SUMPRODUCT((N$3:N$70&lt;&gt;"")*(G$3:G$70=G11))+SUMPRODUCT((P$3:P$70="")*(O$3:O$70="")*(N$3:N$70="")*(M$3:M$70="P")*(G$3:G$70=G11)*(J$3:J$70&gt;J11))+IF(H11="L5",SUMPRODUCT((P$3:P$70="")*(O$3:O$70="")*(N$3:N$70="")*(M$3:M$70="P")*(G$3:G$70=G11)*(J$3:J$70&lt;J11)*(H$3:H$70&lt;&gt;H11)),-1*SUMPRODUCT((P$3:P$70="")*(O$3:O$70="")*(N$3:N$70="")*(M$3:M$70="P")*(G$3:G$70=G11)*(J$3:J$70&gt;J11)*(H$3:H$70="L5")))+1,""))))</f>
        <v/>
      </c>
      <c r="C11" s="36" t="s">
        <v>331</v>
      </c>
      <c r="D11" s="36" t="str">
        <f>IF(E11="","",VLOOKUP(E11,'Coaching Points'!A:B,2,0))</f>
        <v>QC</v>
      </c>
      <c r="E11" s="36" t="s">
        <v>3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R11+S11+IF(OR(H11="Junior",H11="Senior"),0.0002,IF(OR(H11="L7",H11="L6"),0.0001,0))+IF(G11="17-21",MAX(AA11,AC11,AF11),AE11)*0.0000001</f>
        <v>100.2201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50.17</v>
      </c>
      <c r="S11" s="4">
        <f>IF(G11="17-21",LARGE(CHOOSE({1,2,3,4,5,6},T11,V11,Y11,AA11,AC11,AF11),2),IF(R11=X11,MAX(Y11,AA11,AC11,AF11),IF(R11=AE11,MAX(AF11,T11,V11,Y11),0)))</f>
        <v>50.05</v>
      </c>
      <c r="T11" s="33">
        <v>39.96</v>
      </c>
      <c r="U11" s="40">
        <v>8.5</v>
      </c>
      <c r="V11" s="34">
        <v>50.17</v>
      </c>
      <c r="W11" s="40">
        <v>11.2</v>
      </c>
      <c r="X11" s="4">
        <f>IF(H11="Senior",MAX(T11,V11),T11+V11)</f>
        <v>90.13</v>
      </c>
      <c r="Y11" s="34">
        <v>50.05</v>
      </c>
      <c r="Z11" s="40">
        <v>11.2</v>
      </c>
      <c r="AA11" s="33"/>
      <c r="AB11" s="40"/>
      <c r="AC11" s="34"/>
      <c r="AD11" s="40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$70&lt;&gt;"")*(G$3:G$70=G12)*(J$3:J$70&gt;J12)*(I$3:I$70="P"))+1,IF(O12&lt;&gt;"",SUMPRODUCT((O$3:O$70&lt;&gt;"")*(P$3:P$70="")*(G$3:G$70=G12)*(J$3:J$70&gt;J12)*(I$3:I$70="P"))+SUMPRODUCT((P$3:P$70&lt;&gt;"")*(G$3:G$70=G12)*(I$3:I$70="P"))+1,IF(N12&lt;&gt;"",SUMPRODUCT((N$3:N$70&lt;&gt;"")*(G$3:G$70=G12)*(J$3:J$70&gt;J12)*(I$3:I$70="P"))+1,IF(M12="P",SUMPRODUCT((O$3:O$70&lt;&gt;"")*(P$3:P$70="")*(G$3:G$70=G12)*(I$3:I$70="P"))+SUMPRODUCT((P$3:P$70&lt;&gt;"")*(G$3:G$70=G12)*(I$3:I$70="P"))+SUMPRODUCT((N$3:N$70&lt;&gt;"")*(G$3:G$70=G12)*(I$3:I$70="P"))+SUMPRODUCT((P$3:P$70="")*(O$3:O$70="")*(N$3:N$70="")*(M$3:M$70="P")*(G$3:G$70=G12)*(J$3:J$70&gt;J12)*(I$3:I$70="P"))+IF(H12="L5",SUMPRODUCT((P$3:P$70="")*(O$3:O$70="")*(N$3:N$70="")*(M$3:M$70="P")*(G$3:G$70=G12)*(J$3:J$70&lt;J12)*(H$3:H$70&lt;&gt;H12)*(I$3:I$70="P")),-1*SUMPRODUCT((P$3:P$70="")*(O$3:O$70="")*(N$3:N$70="")*(M$3:M$70="P")*(G$3:G$70=G12)*(J$3:J$70&gt;J12)*(H$3:H$70="L5")*(I$3:I$70="P")))+1,"")))))</f>
        <v/>
      </c>
      <c r="B12" s="1" t="str" cm="1">
        <f t="array" ref="B12">IF(P12&lt;&gt;"",SUMPRODUCT((P$3:P$70&lt;&gt;"")*(G$3:G$70=G12)*(J$3:J$70&gt;J12))+1,IF(O12&lt;&gt;"",SUMPRODUCT((O$3:O$70&lt;&gt;"")*(P$3:P$70="")*(G$3:G$70=G12)*(J$3:J$70&gt;J12))+SUMPRODUCT((P$3:P$70&lt;&gt;"")*(G$3:G$70=G12))+1,IF(N12&lt;&gt;"",SUMPRODUCT((N$3:N$70&lt;&gt;"")*(G$3:G$70=G12)*(J$3:J$70&gt;J12))+1,IF(M12="P",SUMPRODUCT((O$3:O$70&lt;&gt;"")*(P$3:P$70="")*(G$3:G$70=G12))+SUMPRODUCT((P$3:P$70&lt;&gt;"")*(G$3:G$70=G12))+SUMPRODUCT((N$3:N$70&lt;&gt;"")*(G$3:G$70=G12))+SUMPRODUCT((P$3:P$70="")*(O$3:O$70="")*(N$3:N$70="")*(M$3:M$70="P")*(G$3:G$70=G12)*(J$3:J$70&gt;J12))+IF(H12="L5",SUMPRODUCT((P$3:P$70="")*(O$3:O$70="")*(N$3:N$70="")*(M$3:M$70="P")*(G$3:G$70=G12)*(J$3:J$70&lt;J12)*(H$3:H$70&lt;&gt;H12)),-1*SUMPRODUCT((P$3:P$70="")*(O$3:O$70="")*(N$3:N$70="")*(M$3:M$70="P")*(G$3:G$70=G12)*(J$3:J$70&gt;J12)*(H$3:H$70="L5")))+1,""))))</f>
        <v/>
      </c>
      <c r="C12" s="36" t="s">
        <v>330</v>
      </c>
      <c r="D12" s="36" t="str">
        <f>IF(E12="","",VLOOKUP(E12,'Coaching Points'!A:B,2,0))</f>
        <v>ON</v>
      </c>
      <c r="E12" s="36" t="s">
        <v>38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99.390100000000004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50.45</v>
      </c>
      <c r="S12" s="4">
        <f>IF(G12="17-21",LARGE(CHOOSE({1,2,3,4,5,6},T12,V12,Y12,AA12,AC12,AF12),2),IF(R12=X12,MAX(Y12,AA12,AC12,AF12),IF(R12=AE12,MAX(AF12,T12,V12,Y12),0)))</f>
        <v>48.94</v>
      </c>
      <c r="T12" s="33">
        <v>47</v>
      </c>
      <c r="U12" s="40">
        <v>11</v>
      </c>
      <c r="V12" s="34">
        <v>48.94</v>
      </c>
      <c r="W12" s="40">
        <v>11</v>
      </c>
      <c r="X12" s="4">
        <f>IF(H12="Senior",MAX(T12,V12),T12+V12)</f>
        <v>95.94</v>
      </c>
      <c r="Y12" s="34">
        <v>50.45</v>
      </c>
      <c r="Z12" s="40">
        <v>12.4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$70&lt;&gt;"")*(G$3:G$70=G13)*(J$3:J$70&gt;J13)*(I$3:I$70="P"))+1,IF(O13&lt;&gt;"",SUMPRODUCT((O$3:O$70&lt;&gt;"")*(P$3:P$70="")*(G$3:G$70=G13)*(J$3:J$70&gt;J13)*(I$3:I$70="P"))+SUMPRODUCT((P$3:P$70&lt;&gt;"")*(G$3:G$70=G13)*(I$3:I$70="P"))+1,IF(N13&lt;&gt;"",SUMPRODUCT((N$3:N$70&lt;&gt;"")*(G$3:G$70=G13)*(J$3:J$70&gt;J13)*(I$3:I$70="P"))+1,IF(M13="P",SUMPRODUCT((O$3:O$70&lt;&gt;"")*(P$3:P$70="")*(G$3:G$70=G13)*(I$3:I$70="P"))+SUMPRODUCT((P$3:P$70&lt;&gt;"")*(G$3:G$70=G13)*(I$3:I$70="P"))+SUMPRODUCT((N$3:N$70&lt;&gt;"")*(G$3:G$70=G13)*(I$3:I$70="P"))+SUMPRODUCT((P$3:P$70="")*(O$3:O$70="")*(N$3:N$70="")*(M$3:M$70="P")*(G$3:G$70=G13)*(J$3:J$70&gt;J13)*(I$3:I$70="P"))+IF(H13="L5",SUMPRODUCT((P$3:P$70="")*(O$3:O$70="")*(N$3:N$70="")*(M$3:M$70="P")*(G$3:G$70=G13)*(J$3:J$70&lt;J13)*(H$3:H$70&lt;&gt;H13)*(I$3:I$70="P")),-1*SUMPRODUCT((P$3:P$70="")*(O$3:O$70="")*(N$3:N$70="")*(M$3:M$70="P")*(G$3:G$70=G13)*(J$3:J$70&gt;J13)*(H$3:H$70="L5")*(I$3:I$70="P")))+1,"")))))</f>
        <v/>
      </c>
      <c r="B13" s="1" t="str" cm="1">
        <f t="array" ref="B13">IF(P13&lt;&gt;"",SUMPRODUCT((P$3:P$70&lt;&gt;"")*(G$3:G$70=G13)*(J$3:J$70&gt;J13))+1,IF(O13&lt;&gt;"",SUMPRODUCT((O$3:O$70&lt;&gt;"")*(P$3:P$70="")*(G$3:G$70=G13)*(J$3:J$70&gt;J13))+SUMPRODUCT((P$3:P$70&lt;&gt;"")*(G$3:G$70=G13))+1,IF(N13&lt;&gt;"",SUMPRODUCT((N$3:N$70&lt;&gt;"")*(G$3:G$70=G13)*(J$3:J$70&gt;J13))+1,IF(M13="P",SUMPRODUCT((O$3:O$70&lt;&gt;"")*(P$3:P$70="")*(G$3:G$70=G13))+SUMPRODUCT((P$3:P$70&lt;&gt;"")*(G$3:G$70=G13))+SUMPRODUCT((N$3:N$70&lt;&gt;"")*(G$3:G$70=G13))+SUMPRODUCT((P$3:P$70="")*(O$3:O$70="")*(N$3:N$70="")*(M$3:M$70="P")*(G$3:G$70=G13)*(J$3:J$70&gt;J13))+IF(H13="L5",SUMPRODUCT((P$3:P$70="")*(O$3:O$70="")*(N$3:N$70="")*(M$3:M$70="P")*(G$3:G$70=G13)*(J$3:J$70&lt;J13)*(H$3:H$70&lt;&gt;H13)),-1*SUMPRODUCT((P$3:P$70="")*(O$3:O$70="")*(N$3:N$70="")*(M$3:M$70="P")*(G$3:G$70=G13)*(J$3:J$70&gt;J13)*(H$3:H$70="L5")))+1,""))))</f>
        <v/>
      </c>
      <c r="C13" s="36" t="s">
        <v>227</v>
      </c>
      <c r="D13" s="36" t="str">
        <f>IF(E13="","",VLOOKUP(E13,'Coaching Points'!A:B,2,0))</f>
        <v>QC</v>
      </c>
      <c r="E13" s="36" t="s">
        <v>59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99.230100000000007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49.81</v>
      </c>
      <c r="S13" s="4">
        <f>IF(G13="17-21",LARGE(CHOOSE({1,2,3,4,5,6},T13,V13,Y13,AA13,AC13,AF13),2),IF(R13=X13,MAX(Y13,AA13,AC13,AF13),IF(R13=AE13,MAX(AF13,T13,V13,Y13),0)))</f>
        <v>49.42</v>
      </c>
      <c r="T13" s="33">
        <v>48.64</v>
      </c>
      <c r="U13" s="40">
        <v>10.7</v>
      </c>
      <c r="V13" s="34">
        <v>49.81</v>
      </c>
      <c r="W13" s="40">
        <v>11.2</v>
      </c>
      <c r="X13" s="4">
        <f>IF(H13="Senior",MAX(T13,V13),T13+V13)</f>
        <v>98.45</v>
      </c>
      <c r="Y13" s="34">
        <v>49.42</v>
      </c>
      <c r="Z13" s="40">
        <v>12.2</v>
      </c>
      <c r="AA13" s="33"/>
      <c r="AB13" s="40"/>
      <c r="AC13" s="34"/>
      <c r="AD13" s="40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$70&lt;&gt;"")*(G$3:G$70=G14)*(J$3:J$70&gt;J14)*(I$3:I$70="P"))+1,IF(O14&lt;&gt;"",SUMPRODUCT((O$3:O$70&lt;&gt;"")*(P$3:P$70="")*(G$3:G$70=G14)*(J$3:J$70&gt;J14)*(I$3:I$70="P"))+SUMPRODUCT((P$3:P$70&lt;&gt;"")*(G$3:G$70=G14)*(I$3:I$70="P"))+1,IF(N14&lt;&gt;"",SUMPRODUCT((N$3:N$70&lt;&gt;"")*(G$3:G$70=G14)*(J$3:J$70&gt;J14)*(I$3:I$70="P"))+1,IF(M14="P",SUMPRODUCT((O$3:O$70&lt;&gt;"")*(P$3:P$70="")*(G$3:G$70=G14)*(I$3:I$70="P"))+SUMPRODUCT((P$3:P$70&lt;&gt;"")*(G$3:G$70=G14)*(I$3:I$70="P"))+SUMPRODUCT((N$3:N$70&lt;&gt;"")*(G$3:G$70=G14)*(I$3:I$70="P"))+SUMPRODUCT((P$3:P$70="")*(O$3:O$70="")*(N$3:N$70="")*(M$3:M$70="P")*(G$3:G$70=G14)*(J$3:J$70&gt;J14)*(I$3:I$70="P"))+IF(H14="L5",SUMPRODUCT((P$3:P$70="")*(O$3:O$70="")*(N$3:N$70="")*(M$3:M$70="P")*(G$3:G$70=G14)*(J$3:J$70&lt;J14)*(H$3:H$70&lt;&gt;H14)*(I$3:I$70="P")),-1*SUMPRODUCT((P$3:P$70="")*(O$3:O$70="")*(N$3:N$70="")*(M$3:M$70="P")*(G$3:G$70=G14)*(J$3:J$70&gt;J14)*(H$3:H$70="L5")*(I$3:I$70="P")))+1,"")))))</f>
        <v/>
      </c>
      <c r="B14" s="1" t="str" cm="1">
        <f t="array" ref="B14">IF(P14&lt;&gt;"",SUMPRODUCT((P$3:P$70&lt;&gt;"")*(G$3:G$70=G14)*(J$3:J$70&gt;J14))+1,IF(O14&lt;&gt;"",SUMPRODUCT((O$3:O$70&lt;&gt;"")*(P$3:P$70="")*(G$3:G$70=G14)*(J$3:J$70&gt;J14))+SUMPRODUCT((P$3:P$70&lt;&gt;"")*(G$3:G$70=G14))+1,IF(N14&lt;&gt;"",SUMPRODUCT((N$3:N$70&lt;&gt;"")*(G$3:G$70=G14)*(J$3:J$70&gt;J14))+1,IF(M14="P",SUMPRODUCT((O$3:O$70&lt;&gt;"")*(P$3:P$70="")*(G$3:G$70=G14))+SUMPRODUCT((P$3:P$70&lt;&gt;"")*(G$3:G$70=G14))+SUMPRODUCT((N$3:N$70&lt;&gt;"")*(G$3:G$70=G14))+SUMPRODUCT((P$3:P$70="")*(O$3:O$70="")*(N$3:N$70="")*(M$3:M$70="P")*(G$3:G$70=G14)*(J$3:J$70&gt;J14))+IF(H14="L5",SUMPRODUCT((P$3:P$70="")*(O$3:O$70="")*(N$3:N$70="")*(M$3:M$70="P")*(G$3:G$70=G14)*(J$3:J$70&lt;J14)*(H$3:H$70&lt;&gt;H14)),-1*SUMPRODUCT((P$3:P$70="")*(O$3:O$70="")*(N$3:N$70="")*(M$3:M$70="P")*(G$3:G$70=G14)*(J$3:J$70&gt;J14)*(H$3:H$70="L5")))+1,""))))</f>
        <v/>
      </c>
      <c r="C14" s="36" t="s">
        <v>226</v>
      </c>
      <c r="D14" s="36" t="str">
        <f>IF(E14="","",VLOOKUP(E14,'Coaching Points'!A:B,2,0))</f>
        <v>QC</v>
      </c>
      <c r="E14" s="36" t="s">
        <v>3</v>
      </c>
      <c r="F14" s="35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99.200099999999992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49.79</v>
      </c>
      <c r="S14" s="4">
        <f>IF(G14="17-21",LARGE(CHOOSE({1,2,3,4,5,6},T14,V14,Y14,AA14,AC14,AF14),2),IF(R14=X14,MAX(Y14,AA14,AC14,AF14),IF(R14=AE14,MAX(AF14,T14,V14,Y14),0)))</f>
        <v>49.41</v>
      </c>
      <c r="T14" s="33">
        <v>5.61</v>
      </c>
      <c r="U14" s="40">
        <v>1.5</v>
      </c>
      <c r="V14" s="34">
        <v>49.41</v>
      </c>
      <c r="W14" s="40">
        <v>12.3</v>
      </c>
      <c r="X14" s="4">
        <f>IF(H14="Senior",MAX(T14,V14),T14+V14)</f>
        <v>55.019999999999996</v>
      </c>
      <c r="Y14" s="34">
        <v>49.79</v>
      </c>
      <c r="Z14" s="40">
        <v>12.3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$70&lt;&gt;"")*(G$3:G$70=G15)*(J$3:J$70&gt;J15)*(I$3:I$70="P"))+1,IF(O15&lt;&gt;"",SUMPRODUCT((O$3:O$70&lt;&gt;"")*(P$3:P$70="")*(G$3:G$70=G15)*(J$3:J$70&gt;J15)*(I$3:I$70="P"))+SUMPRODUCT((P$3:P$70&lt;&gt;"")*(G$3:G$70=G15)*(I$3:I$70="P"))+1,IF(N15&lt;&gt;"",SUMPRODUCT((N$3:N$70&lt;&gt;"")*(G$3:G$70=G15)*(J$3:J$70&gt;J15)*(I$3:I$70="P"))+1,IF(M15="P",SUMPRODUCT((O$3:O$70&lt;&gt;"")*(P$3:P$70="")*(G$3:G$70=G15)*(I$3:I$70="P"))+SUMPRODUCT((P$3:P$70&lt;&gt;"")*(G$3:G$70=G15)*(I$3:I$70="P"))+SUMPRODUCT((N$3:N$70&lt;&gt;"")*(G$3:G$70=G15)*(I$3:I$70="P"))+SUMPRODUCT((P$3:P$70="")*(O$3:O$70="")*(N$3:N$70="")*(M$3:M$70="P")*(G$3:G$70=G15)*(J$3:J$70&gt;J15)*(I$3:I$70="P"))+IF(H15="L5",SUMPRODUCT((P$3:P$70="")*(O$3:O$70="")*(N$3:N$70="")*(M$3:M$70="P")*(G$3:G$70=G15)*(J$3:J$70&lt;J15)*(H$3:H$70&lt;&gt;H15)*(I$3:I$70="P")),-1*SUMPRODUCT((P$3:P$70="")*(O$3:O$70="")*(N$3:N$70="")*(M$3:M$70="P")*(G$3:G$70=G15)*(J$3:J$70&gt;J15)*(H$3:H$70="L5")*(I$3:I$70="P")))+1,"")))))</f>
        <v/>
      </c>
      <c r="B15" s="1" t="str" cm="1">
        <f t="array" ref="B15">IF(P15&lt;&gt;"",SUMPRODUCT((P$3:P$70&lt;&gt;"")*(G$3:G$70=G15)*(J$3:J$70&gt;J15))+1,IF(O15&lt;&gt;"",SUMPRODUCT((O$3:O$70&lt;&gt;"")*(P$3:P$70="")*(G$3:G$70=G15)*(J$3:J$70&gt;J15))+SUMPRODUCT((P$3:P$70&lt;&gt;"")*(G$3:G$70=G15))+1,IF(N15&lt;&gt;"",SUMPRODUCT((N$3:N$70&lt;&gt;"")*(G$3:G$70=G15)*(J$3:J$70&gt;J15))+1,IF(M15="P",SUMPRODUCT((O$3:O$70&lt;&gt;"")*(P$3:P$70="")*(G$3:G$70=G15))+SUMPRODUCT((P$3:P$70&lt;&gt;"")*(G$3:G$70=G15))+SUMPRODUCT((N$3:N$70&lt;&gt;"")*(G$3:G$70=G15))+SUMPRODUCT((P$3:P$70="")*(O$3:O$70="")*(N$3:N$70="")*(M$3:M$70="P")*(G$3:G$70=G15)*(J$3:J$70&gt;J15))+IF(H15="L5",SUMPRODUCT((P$3:P$70="")*(O$3:O$70="")*(N$3:N$70="")*(M$3:M$70="P")*(G$3:G$70=G15)*(J$3:J$70&lt;J15)*(H$3:H$70&lt;&gt;H15)),-1*SUMPRODUCT((P$3:P$70="")*(O$3:O$70="")*(N$3:N$70="")*(M$3:M$70="P")*(G$3:G$70=G15)*(J$3:J$70&gt;J15)*(H$3:H$70="L5")))+1,""))))</f>
        <v/>
      </c>
      <c r="C15" s="36" t="s">
        <v>110</v>
      </c>
      <c r="D15" s="36" t="str">
        <f>IF(E15="","",VLOOKUP(E15,'Coaching Points'!A:B,2,0))</f>
        <v>ON</v>
      </c>
      <c r="E15" s="36" t="s">
        <v>113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R15+S15+IF(OR(H15="Junior",H15="Senior"),0.0002,IF(OR(H15="L7",H15="L6"),0.0001,0))+IF(G15="17-21",MAX(AA15,AC15,AF15),AE15)*0.0000001</f>
        <v>97.980099999999993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49.25</v>
      </c>
      <c r="S15" s="4">
        <f>IF(G15="17-21",LARGE(CHOOSE({1,2,3,4,5,6},T15,V15,Y15,AA15,AC15,AF15),2),IF(R15=X15,MAX(Y15,AA15,AC15,AF15),IF(R15=AE15,MAX(AF15,T15,V15,Y15),0)))</f>
        <v>48.73</v>
      </c>
      <c r="T15" s="33">
        <v>33.67</v>
      </c>
      <c r="U15" s="40">
        <v>5.6</v>
      </c>
      <c r="V15" s="34">
        <v>49.25</v>
      </c>
      <c r="W15" s="40">
        <v>11.5</v>
      </c>
      <c r="X15" s="4">
        <f>IF(H15="Senior",MAX(T15,V15),T15+V15)</f>
        <v>82.92</v>
      </c>
      <c r="Y15" s="34">
        <v>48.73</v>
      </c>
      <c r="Z15" s="40">
        <v>12.7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$70&lt;&gt;"")*(G$3:G$70=G16)*(J$3:J$70&gt;J16)*(I$3:I$70="P"))+1,IF(O16&lt;&gt;"",SUMPRODUCT((O$3:O$70&lt;&gt;"")*(P$3:P$70="")*(G$3:G$70=G16)*(J$3:J$70&gt;J16)*(I$3:I$70="P"))+SUMPRODUCT((P$3:P$70&lt;&gt;"")*(G$3:G$70=G16)*(I$3:I$70="P"))+1,IF(N16&lt;&gt;"",SUMPRODUCT((N$3:N$70&lt;&gt;"")*(G$3:G$70=G16)*(J$3:J$70&gt;J16)*(I$3:I$70="P"))+1,IF(M16="P",SUMPRODUCT((O$3:O$70&lt;&gt;"")*(P$3:P$70="")*(G$3:G$70=G16)*(I$3:I$70="P"))+SUMPRODUCT((P$3:P$70&lt;&gt;"")*(G$3:G$70=G16)*(I$3:I$70="P"))+SUMPRODUCT((N$3:N$70&lt;&gt;"")*(G$3:G$70=G16)*(I$3:I$70="P"))+SUMPRODUCT((P$3:P$70="")*(O$3:O$70="")*(N$3:N$70="")*(M$3:M$70="P")*(G$3:G$70=G16)*(J$3:J$70&gt;J16)*(I$3:I$70="P"))+IF(H16="L5",SUMPRODUCT((P$3:P$70="")*(O$3:O$70="")*(N$3:N$70="")*(M$3:M$70="P")*(G$3:G$70=G16)*(J$3:J$70&lt;J16)*(H$3:H$70&lt;&gt;H16)*(I$3:I$70="P")),-1*SUMPRODUCT((P$3:P$70="")*(O$3:O$70="")*(N$3:N$70="")*(M$3:M$70="P")*(G$3:G$70=G16)*(J$3:J$70&gt;J16)*(H$3:H$70="L5")*(I$3:I$70="P")))+1,"")))))</f>
        <v/>
      </c>
      <c r="B16" s="1" t="str" cm="1">
        <f t="array" ref="B16">IF(P16&lt;&gt;"",SUMPRODUCT((P$3:P$70&lt;&gt;"")*(G$3:G$70=G16)*(J$3:J$70&gt;J16))+1,IF(O16&lt;&gt;"",SUMPRODUCT((O$3:O$70&lt;&gt;"")*(P$3:P$70="")*(G$3:G$70=G16)*(J$3:J$70&gt;J16))+SUMPRODUCT((P$3:P$70&lt;&gt;"")*(G$3:G$70=G16))+1,IF(N16&lt;&gt;"",SUMPRODUCT((N$3:N$70&lt;&gt;"")*(G$3:G$70=G16)*(J$3:J$70&gt;J16))+1,IF(M16="P",SUMPRODUCT((O$3:O$70&lt;&gt;"")*(P$3:P$70="")*(G$3:G$70=G16))+SUMPRODUCT((P$3:P$70&lt;&gt;"")*(G$3:G$70=G16))+SUMPRODUCT((N$3:N$70&lt;&gt;"")*(G$3:G$70=G16))+SUMPRODUCT((P$3:P$70="")*(O$3:O$70="")*(N$3:N$70="")*(M$3:M$70="P")*(G$3:G$70=G16)*(J$3:J$70&gt;J16))+IF(H16="L5",SUMPRODUCT((P$3:P$70="")*(O$3:O$70="")*(N$3:N$70="")*(M$3:M$70="P")*(G$3:G$70=G16)*(J$3:J$70&lt;J16)*(H$3:H$70&lt;&gt;H16)),-1*SUMPRODUCT((P$3:P$70="")*(O$3:O$70="")*(N$3:N$70="")*(M$3:M$70="P")*(G$3:G$70=G16)*(J$3:J$70&gt;J16)*(H$3:H$70="L5")))+1,""))))</f>
        <v/>
      </c>
      <c r="C16" s="36" t="s">
        <v>97</v>
      </c>
      <c r="D16" s="36" t="str">
        <f>IF(E16="","",VLOOKUP(E16,'Coaching Points'!A:B,2,0))</f>
        <v>BC</v>
      </c>
      <c r="E16" s="36" t="s">
        <v>57</v>
      </c>
      <c r="F16" s="35">
        <v>2005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R16+S16+IF(OR(H16="Junior",H16="Senior"),0.0002,IF(OR(H16="L7",H16="L6"),0.0001,0))+IF(G16="17-21",MAX(AA16,AC16,AF16),AE16)*0.0000001</f>
        <v>97.09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49.07</v>
      </c>
      <c r="S16" s="4">
        <f>IF(G16="17-21",LARGE(CHOOSE({1,2,3,4,5,6},T16,V16,Y16,AA16,AC16,AF16),2),IF(R16=X16,MAX(Y16,AA16,AC16,AF16),IF(R16=AE16,MAX(AF16,T16,V16,Y16),0)))</f>
        <v>48.02</v>
      </c>
      <c r="T16" s="33">
        <v>37.520000000000003</v>
      </c>
      <c r="U16" s="40">
        <v>0</v>
      </c>
      <c r="V16" s="34">
        <v>48.02</v>
      </c>
      <c r="W16" s="40">
        <v>10.199999999999999</v>
      </c>
      <c r="X16" s="4">
        <f>IF(H16="Senior",MAX(T16,V16),T16+V16)</f>
        <v>85.54</v>
      </c>
      <c r="Y16" s="34">
        <v>49.07</v>
      </c>
      <c r="Z16" s="40">
        <v>10.199999999999999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$70&lt;&gt;"")*(G$3:G$70=G17)*(J$3:J$70&gt;J17)*(I$3:I$70="P"))+1,IF(O17&lt;&gt;"",SUMPRODUCT((O$3:O$70&lt;&gt;"")*(P$3:P$70="")*(G$3:G$70=G17)*(J$3:J$70&gt;J17)*(I$3:I$70="P"))+SUMPRODUCT((P$3:P$70&lt;&gt;"")*(G$3:G$70=G17)*(I$3:I$70="P"))+1,IF(N17&lt;&gt;"",SUMPRODUCT((N$3:N$70&lt;&gt;"")*(G$3:G$70=G17)*(J$3:J$70&gt;J17)*(I$3:I$70="P"))+1,IF(M17="P",SUMPRODUCT((O$3:O$70&lt;&gt;"")*(P$3:P$70="")*(G$3:G$70=G17)*(I$3:I$70="P"))+SUMPRODUCT((P$3:P$70&lt;&gt;"")*(G$3:G$70=G17)*(I$3:I$70="P"))+SUMPRODUCT((N$3:N$70&lt;&gt;"")*(G$3:G$70=G17)*(I$3:I$70="P"))+SUMPRODUCT((P$3:P$70="")*(O$3:O$70="")*(N$3:N$70="")*(M$3:M$70="P")*(G$3:G$70=G17)*(J$3:J$70&gt;J17)*(I$3:I$70="P"))+IF(H17="L5",SUMPRODUCT((P$3:P$70="")*(O$3:O$70="")*(N$3:N$70="")*(M$3:M$70="P")*(G$3:G$70=G17)*(J$3:J$70&lt;J17)*(H$3:H$70&lt;&gt;H17)*(I$3:I$70="P")),-1*SUMPRODUCT((P$3:P$70="")*(O$3:O$70="")*(N$3:N$70="")*(M$3:M$70="P")*(G$3:G$70=G17)*(J$3:J$70&gt;J17)*(H$3:H$70="L5")*(I$3:I$70="P")))+1,"")))))</f>
        <v/>
      </c>
      <c r="B17" s="1" t="str" cm="1">
        <f t="array" ref="B17">IF(P17&lt;&gt;"",SUMPRODUCT((P$3:P$70&lt;&gt;"")*(G$3:G$70=G17)*(J$3:J$70&gt;J17))+1,IF(O17&lt;&gt;"",SUMPRODUCT((O$3:O$70&lt;&gt;"")*(P$3:P$70="")*(G$3:G$70=G17)*(J$3:J$70&gt;J17))+SUMPRODUCT((P$3:P$70&lt;&gt;"")*(G$3:G$70=G17))+1,IF(N17&lt;&gt;"",SUMPRODUCT((N$3:N$70&lt;&gt;"")*(G$3:G$70=G17)*(J$3:J$70&gt;J17))+1,IF(M17="P",SUMPRODUCT((O$3:O$70&lt;&gt;"")*(P$3:P$70="")*(G$3:G$70=G17))+SUMPRODUCT((P$3:P$70&lt;&gt;"")*(G$3:G$70=G17))+SUMPRODUCT((N$3:N$70&lt;&gt;"")*(G$3:G$70=G17))+SUMPRODUCT((P$3:P$70="")*(O$3:O$70="")*(N$3:N$70="")*(M$3:M$70="P")*(G$3:G$70=G17)*(J$3:J$70&gt;J17))+IF(H17="L5",SUMPRODUCT((P$3:P$70="")*(O$3:O$70="")*(N$3:N$70="")*(M$3:M$70="P")*(G$3:G$70=G17)*(J$3:J$70&lt;J17)*(H$3:H$70&lt;&gt;H17)),-1*SUMPRODUCT((P$3:P$70="")*(O$3:O$70="")*(N$3:N$70="")*(M$3:M$70="P")*(G$3:G$70=G17)*(J$3:J$70&gt;J17)*(H$3:H$70="L5")))+1,""))))</f>
        <v/>
      </c>
      <c r="C17" s="36" t="s">
        <v>106</v>
      </c>
      <c r="D17" s="36" t="str">
        <f>IF(E17="","",VLOOKUP(E17,'Coaching Points'!A:B,2,0))</f>
        <v>QC</v>
      </c>
      <c r="E17" s="36" t="s">
        <v>288</v>
      </c>
      <c r="F17" s="35">
        <v>2003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97.010100000000008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49.31</v>
      </c>
      <c r="S17" s="4">
        <f>IF(G17="17-21",LARGE(CHOOSE({1,2,3,4,5,6},T17,V17,Y17,AA17,AC17,AF17),2),IF(R17=X17,MAX(Y17,AA17,AC17,AF17),IF(R17=AE17,MAX(AF17,T17,V17,Y17),0)))</f>
        <v>47.7</v>
      </c>
      <c r="T17" s="33">
        <v>49.31</v>
      </c>
      <c r="U17" s="40">
        <v>11.4</v>
      </c>
      <c r="V17" s="34">
        <v>42.44</v>
      </c>
      <c r="W17" s="40">
        <v>8.9</v>
      </c>
      <c r="X17" s="4">
        <f>IF(H17="Senior",MAX(T17,V17),T17+V17)</f>
        <v>91.75</v>
      </c>
      <c r="Y17" s="34">
        <v>47.7</v>
      </c>
      <c r="Z17" s="40">
        <v>11.4</v>
      </c>
      <c r="AA17" s="33"/>
      <c r="AB17" s="40"/>
      <c r="AC17" s="34"/>
      <c r="AD17" s="40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$70&lt;&gt;"")*(G$3:G$70=G18)*(J$3:J$70&gt;J18)*(I$3:I$70="P"))+1,IF(O18&lt;&gt;"",SUMPRODUCT((O$3:O$70&lt;&gt;"")*(P$3:P$70="")*(G$3:G$70=G18)*(J$3:J$70&gt;J18)*(I$3:I$70="P"))+SUMPRODUCT((P$3:P$70&lt;&gt;"")*(G$3:G$70=G18)*(I$3:I$70="P"))+1,IF(N18&lt;&gt;"",SUMPRODUCT((N$3:N$70&lt;&gt;"")*(G$3:G$70=G18)*(J$3:J$70&gt;J18)*(I$3:I$70="P"))+1,IF(M18="P",SUMPRODUCT((O$3:O$70&lt;&gt;"")*(P$3:P$70="")*(G$3:G$70=G18)*(I$3:I$70="P"))+SUMPRODUCT((P$3:P$70&lt;&gt;"")*(G$3:G$70=G18)*(I$3:I$70="P"))+SUMPRODUCT((N$3:N$70&lt;&gt;"")*(G$3:G$70=G18)*(I$3:I$70="P"))+SUMPRODUCT((P$3:P$70="")*(O$3:O$70="")*(N$3:N$70="")*(M$3:M$70="P")*(G$3:G$70=G18)*(J$3:J$70&gt;J18)*(I$3:I$70="P"))+IF(H18="L5",SUMPRODUCT((P$3:P$70="")*(O$3:O$70="")*(N$3:N$70="")*(M$3:M$70="P")*(G$3:G$70=G18)*(J$3:J$70&lt;J18)*(H$3:H$70&lt;&gt;H18)*(I$3:I$70="P")),-1*SUMPRODUCT((P$3:P$70="")*(O$3:O$70="")*(N$3:N$70="")*(M$3:M$70="P")*(G$3:G$70=G18)*(J$3:J$70&gt;J18)*(H$3:H$70="L5")*(I$3:I$70="P")))+1,"")))))</f>
        <v/>
      </c>
      <c r="B18" s="1" t="str" cm="1">
        <f t="array" ref="B18">IF(P18&lt;&gt;"",SUMPRODUCT((P$3:P$70&lt;&gt;"")*(G$3:G$70=G18)*(J$3:J$70&gt;J18))+1,IF(O18&lt;&gt;"",SUMPRODUCT((O$3:O$70&lt;&gt;"")*(P$3:P$70="")*(G$3:G$70=G18)*(J$3:J$70&gt;J18))+SUMPRODUCT((P$3:P$70&lt;&gt;"")*(G$3:G$70=G18))+1,IF(N18&lt;&gt;"",SUMPRODUCT((N$3:N$70&lt;&gt;"")*(G$3:G$70=G18)*(J$3:J$70&gt;J18))+1,IF(M18="P",SUMPRODUCT((O$3:O$70&lt;&gt;"")*(P$3:P$70="")*(G$3:G$70=G18))+SUMPRODUCT((P$3:P$70&lt;&gt;"")*(G$3:G$70=G18))+SUMPRODUCT((N$3:N$70&lt;&gt;"")*(G$3:G$70=G18))+SUMPRODUCT((P$3:P$70="")*(O$3:O$70="")*(N$3:N$70="")*(M$3:M$70="P")*(G$3:G$70=G18)*(J$3:J$70&gt;J18))+IF(H18="L5",SUMPRODUCT((P$3:P$70="")*(O$3:O$70="")*(N$3:N$70="")*(M$3:M$70="P")*(G$3:G$70=G18)*(J$3:J$70&lt;J18)*(H$3:H$70&lt;&gt;H18)),-1*SUMPRODUCT((P$3:P$70="")*(O$3:O$70="")*(N$3:N$70="")*(M$3:M$70="P")*(G$3:G$70=G18)*(J$3:J$70&gt;J18)*(H$3:H$70="L5")))+1,""))))</f>
        <v/>
      </c>
      <c r="C18" s="36" t="s">
        <v>91</v>
      </c>
      <c r="D18" s="36" t="str">
        <f>IF(E18="","",VLOOKUP(E18,'Coaching Points'!A:B,2,0))</f>
        <v>ON</v>
      </c>
      <c r="E18" s="36" t="s">
        <v>47</v>
      </c>
      <c r="F18" s="35">
        <v>2006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R18+S18+IF(OR(H18="Junior",H18="Senior"),0.0002,IF(OR(H18="L7",H18="L6"),0.0001,0))+IF(G18="17-21",MAX(AA18,AC18,AF18),AE18)*0.0000001</f>
        <v>94.97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47.83</v>
      </c>
      <c r="S18" s="4">
        <f>IF(G18="17-21",LARGE(CHOOSE({1,2,3,4,5,6},T18,V18,Y18,AA18,AC18,AF18),2),IF(R18=X18,MAX(Y18,AA18,AC18,AF18),IF(R18=AE18,MAX(AF18,T18,V18,Y18),0)))</f>
        <v>47.14</v>
      </c>
      <c r="T18" s="33">
        <v>40.72</v>
      </c>
      <c r="U18" s="40">
        <v>0</v>
      </c>
      <c r="V18" s="34">
        <v>47.14</v>
      </c>
      <c r="W18" s="40">
        <v>9.1</v>
      </c>
      <c r="X18" s="4">
        <f>IF(H18="Senior",MAX(T18,V18),T18+V18)</f>
        <v>87.86</v>
      </c>
      <c r="Y18" s="34">
        <v>47.83</v>
      </c>
      <c r="Z18" s="40">
        <v>9.1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$70&lt;&gt;"")*(G$3:G$70=G19)*(J$3:J$70&gt;J19)*(I$3:I$70="P"))+1,IF(O19&lt;&gt;"",SUMPRODUCT((O$3:O$70&lt;&gt;"")*(P$3:P$70="")*(G$3:G$70=G19)*(J$3:J$70&gt;J19)*(I$3:I$70="P"))+SUMPRODUCT((P$3:P$70&lt;&gt;"")*(G$3:G$70=G19)*(I$3:I$70="P"))+1,IF(N19&lt;&gt;"",SUMPRODUCT((N$3:N$70&lt;&gt;"")*(G$3:G$70=G19)*(J$3:J$70&gt;J19)*(I$3:I$70="P"))+1,IF(M19="P",SUMPRODUCT((O$3:O$70&lt;&gt;"")*(P$3:P$70="")*(G$3:G$70=G19)*(I$3:I$70="P"))+SUMPRODUCT((P$3:P$70&lt;&gt;"")*(G$3:G$70=G19)*(I$3:I$70="P"))+SUMPRODUCT((N$3:N$70&lt;&gt;"")*(G$3:G$70=G19)*(I$3:I$70="P"))+SUMPRODUCT((P$3:P$70="")*(O$3:O$70="")*(N$3:N$70="")*(M$3:M$70="P")*(G$3:G$70=G19)*(J$3:J$70&gt;J19)*(I$3:I$70="P"))+IF(H19="L5",SUMPRODUCT((P$3:P$70="")*(O$3:O$70="")*(N$3:N$70="")*(M$3:M$70="P")*(G$3:G$70=G19)*(J$3:J$70&lt;J19)*(H$3:H$70&lt;&gt;H19)*(I$3:I$70="P")),-1*SUMPRODUCT((P$3:P$70="")*(O$3:O$70="")*(N$3:N$70="")*(M$3:M$70="P")*(G$3:G$70=G19)*(J$3:J$70&gt;J19)*(H$3:H$70="L5")*(I$3:I$70="P")))+1,"")))))</f>
        <v/>
      </c>
      <c r="B19" s="1" t="str" cm="1">
        <f t="array" ref="B19">IF(P19&lt;&gt;"",SUMPRODUCT((P$3:P$70&lt;&gt;"")*(G$3:G$70=G19)*(J$3:J$70&gt;J19))+1,IF(O19&lt;&gt;"",SUMPRODUCT((O$3:O$70&lt;&gt;"")*(P$3:P$70="")*(G$3:G$70=G19)*(J$3:J$70&gt;J19))+SUMPRODUCT((P$3:P$70&lt;&gt;"")*(G$3:G$70=G19))+1,IF(N19&lt;&gt;"",SUMPRODUCT((N$3:N$70&lt;&gt;"")*(G$3:G$70=G19)*(J$3:J$70&gt;J19))+1,IF(M19="P",SUMPRODUCT((O$3:O$70&lt;&gt;"")*(P$3:P$70="")*(G$3:G$70=G19))+SUMPRODUCT((P$3:P$70&lt;&gt;"")*(G$3:G$70=G19))+SUMPRODUCT((N$3:N$70&lt;&gt;"")*(G$3:G$70=G19))+SUMPRODUCT((P$3:P$70="")*(O$3:O$70="")*(N$3:N$70="")*(M$3:M$70="P")*(G$3:G$70=G19)*(J$3:J$70&gt;J19))+IF(H19="L5",SUMPRODUCT((P$3:P$70="")*(O$3:O$70="")*(N$3:N$70="")*(M$3:M$70="P")*(G$3:G$70=G19)*(J$3:J$70&lt;J19)*(H$3:H$70&lt;&gt;H19)),-1*SUMPRODUCT((P$3:P$70="")*(O$3:O$70="")*(N$3:N$70="")*(M$3:M$70="P")*(G$3:G$70=G19)*(J$3:J$70&gt;J19)*(H$3:H$70="L5")))+1,""))))</f>
        <v/>
      </c>
      <c r="C19" s="36" t="s">
        <v>232</v>
      </c>
      <c r="D19" s="36" t="str">
        <f>IF(E19="","",VLOOKUP(E19,'Coaching Points'!A:B,2,0))</f>
        <v>ON</v>
      </c>
      <c r="E19" s="36" t="s">
        <v>73</v>
      </c>
      <c r="F19" s="35">
        <v>2002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>R19+S19+IF(OR(H19="Junior",H19="Senior"),0.0002,IF(OR(H19="L7",H19="L6"),0.0001,0))+IF(G19="17-21",MAX(AA19,AC19,AF19),AE19)*0.0000001</f>
        <v>94.100099999999998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47.07</v>
      </c>
      <c r="S19" s="4">
        <f>IF(G19="17-21",LARGE(CHOOSE({1,2,3,4,5,6},T19,V19,Y19,AA19,AC19,AF19),2),IF(R19=X19,MAX(Y19,AA19,AC19,AF19),IF(R19=AE19,MAX(AF19,T19,V19,Y19),0)))</f>
        <v>47.03</v>
      </c>
      <c r="T19" s="33">
        <v>47.07</v>
      </c>
      <c r="U19" s="40">
        <v>9.3000000000000007</v>
      </c>
      <c r="V19" s="34">
        <v>47.03</v>
      </c>
      <c r="W19" s="40">
        <v>9.3000000000000007</v>
      </c>
      <c r="X19" s="4">
        <f>IF(H19="Senior",MAX(T19,V19),T19+V19)</f>
        <v>94.1</v>
      </c>
      <c r="Y19" s="34"/>
      <c r="Z19" s="40"/>
      <c r="AA19" s="33"/>
      <c r="AB19" s="40"/>
      <c r="AC19" s="34"/>
      <c r="AD19" s="40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$70&lt;&gt;"")*(G$3:G$70=G20)*(J$3:J$70&gt;J20)*(I$3:I$70="P"))+1,IF(O20&lt;&gt;"",SUMPRODUCT((O$3:O$70&lt;&gt;"")*(P$3:P$70="")*(G$3:G$70=G20)*(J$3:J$70&gt;J20)*(I$3:I$70="P"))+SUMPRODUCT((P$3:P$70&lt;&gt;"")*(G$3:G$70=G20)*(I$3:I$70="P"))+1,IF(N20&lt;&gt;"",SUMPRODUCT((N$3:N$70&lt;&gt;"")*(G$3:G$70=G20)*(J$3:J$70&gt;J20)*(I$3:I$70="P"))+1,IF(M20="P",SUMPRODUCT((O$3:O$70&lt;&gt;"")*(P$3:P$70="")*(G$3:G$70=G20)*(I$3:I$70="P"))+SUMPRODUCT((P$3:P$70&lt;&gt;"")*(G$3:G$70=G20)*(I$3:I$70="P"))+SUMPRODUCT((N$3:N$70&lt;&gt;"")*(G$3:G$70=G20)*(I$3:I$70="P"))+SUMPRODUCT((P$3:P$70="")*(O$3:O$70="")*(N$3:N$70="")*(M$3:M$70="P")*(G$3:G$70=G20)*(J$3:J$70&gt;J20)*(I$3:I$70="P"))+IF(H20="L5",SUMPRODUCT((P$3:P$70="")*(O$3:O$70="")*(N$3:N$70="")*(M$3:M$70="P")*(G$3:G$70=G20)*(J$3:J$70&lt;J20)*(H$3:H$70&lt;&gt;H20)*(I$3:I$70="P")),-1*SUMPRODUCT((P$3:P$70="")*(O$3:O$70="")*(N$3:N$70="")*(M$3:M$70="P")*(G$3:G$70=G20)*(J$3:J$70&gt;J20)*(H$3:H$70="L5")*(I$3:I$70="P")))+1,"")))))</f>
        <v/>
      </c>
      <c r="B20" s="1" t="str" cm="1">
        <f t="array" ref="B20">IF(P20&lt;&gt;"",SUMPRODUCT((P$3:P$70&lt;&gt;"")*(G$3:G$70=G20)*(J$3:J$70&gt;J20))+1,IF(O20&lt;&gt;"",SUMPRODUCT((O$3:O$70&lt;&gt;"")*(P$3:P$70="")*(G$3:G$70=G20)*(J$3:J$70&gt;J20))+SUMPRODUCT((P$3:P$70&lt;&gt;"")*(G$3:G$70=G20))+1,IF(N20&lt;&gt;"",SUMPRODUCT((N$3:N$70&lt;&gt;"")*(G$3:G$70=G20)*(J$3:J$70&gt;J20))+1,IF(M20="P",SUMPRODUCT((O$3:O$70&lt;&gt;"")*(P$3:P$70="")*(G$3:G$70=G20))+SUMPRODUCT((P$3:P$70&lt;&gt;"")*(G$3:G$70=G20))+SUMPRODUCT((N$3:N$70&lt;&gt;"")*(G$3:G$70=G20))+SUMPRODUCT((P$3:P$70="")*(O$3:O$70="")*(N$3:N$70="")*(M$3:M$70="P")*(G$3:G$70=G20)*(J$3:J$70&gt;J20))+IF(H20="L5",SUMPRODUCT((P$3:P$70="")*(O$3:O$70="")*(N$3:N$70="")*(M$3:M$70="P")*(G$3:G$70=G20)*(J$3:J$70&lt;J20)*(H$3:H$70&lt;&gt;H20)),-1*SUMPRODUCT((P$3:P$70="")*(O$3:O$70="")*(N$3:N$70="")*(M$3:M$70="P")*(G$3:G$70=G20)*(J$3:J$70&gt;J20)*(H$3:H$70="L5")))+1,""))))</f>
        <v/>
      </c>
      <c r="C20" s="36" t="s">
        <v>322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93.9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47.73</v>
      </c>
      <c r="S20" s="4">
        <f>IF(G20="17-21",LARGE(CHOOSE({1,2,3,4,5,6},T20,V20,Y20,AA20,AC20,AF20),2),IF(R20=X20,MAX(Y20,AA20,AC20,AF20),IF(R20=AE20,MAX(AF20,T20,V20,Y20),0)))</f>
        <v>46.17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>IF(H20="Senior",MAX(T20,V20),T20+V20)</f>
        <v>86.87</v>
      </c>
      <c r="Y20" s="34">
        <v>46.17</v>
      </c>
      <c r="Z20" s="40">
        <v>8.8000000000000007</v>
      </c>
      <c r="AA20" s="33"/>
      <c r="AB20" s="40"/>
      <c r="AC20" s="34"/>
      <c r="AD20" s="40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$70&lt;&gt;"")*(G$3:G$70=G21)*(J$3:J$70&gt;J21)*(I$3:I$70="P"))+1,IF(O21&lt;&gt;"",SUMPRODUCT((O$3:O$70&lt;&gt;"")*(P$3:P$70="")*(G$3:G$70=G21)*(J$3:J$70&gt;J21)*(I$3:I$70="P"))+SUMPRODUCT((P$3:P$70&lt;&gt;"")*(G$3:G$70=G21)*(I$3:I$70="P"))+1,IF(N21&lt;&gt;"",SUMPRODUCT((N$3:N$70&lt;&gt;"")*(G$3:G$70=G21)*(J$3:J$70&gt;J21)*(I$3:I$70="P"))+1,IF(M21="P",SUMPRODUCT((O$3:O$70&lt;&gt;"")*(P$3:P$70="")*(G$3:G$70=G21)*(I$3:I$70="P"))+SUMPRODUCT((P$3:P$70&lt;&gt;"")*(G$3:G$70=G21)*(I$3:I$70="P"))+SUMPRODUCT((N$3:N$70&lt;&gt;"")*(G$3:G$70=G21)*(I$3:I$70="P"))+SUMPRODUCT((P$3:P$70="")*(O$3:O$70="")*(N$3:N$70="")*(M$3:M$70="P")*(G$3:G$70=G21)*(J$3:J$70&gt;J21)*(I$3:I$70="P"))+IF(H21="L5",SUMPRODUCT((P$3:P$70="")*(O$3:O$70="")*(N$3:N$70="")*(M$3:M$70="P")*(G$3:G$70=G21)*(J$3:J$70&lt;J21)*(H$3:H$70&lt;&gt;H21)*(I$3:I$70="P")),-1*SUMPRODUCT((P$3:P$70="")*(O$3:O$70="")*(N$3:N$70="")*(M$3:M$70="P")*(G$3:G$70=G21)*(J$3:J$70&gt;J21)*(H$3:H$70="L5")*(I$3:I$70="P")))+1,"")))))</f>
        <v/>
      </c>
      <c r="B21" s="1" t="str" cm="1">
        <f t="array" ref="B21">IF(P21&lt;&gt;"",SUMPRODUCT((P$3:P$70&lt;&gt;"")*(G$3:G$70=G21)*(J$3:J$70&gt;J21))+1,IF(O21&lt;&gt;"",SUMPRODUCT((O$3:O$70&lt;&gt;"")*(P$3:P$70="")*(G$3:G$70=G21)*(J$3:J$70&gt;J21))+SUMPRODUCT((P$3:P$70&lt;&gt;"")*(G$3:G$70=G21))+1,IF(N21&lt;&gt;"",SUMPRODUCT((N$3:N$70&lt;&gt;"")*(G$3:G$70=G21)*(J$3:J$70&gt;J21))+1,IF(M21="P",SUMPRODUCT((O$3:O$70&lt;&gt;"")*(P$3:P$70="")*(G$3:G$70=G21))+SUMPRODUCT((P$3:P$70&lt;&gt;"")*(G$3:G$70=G21))+SUMPRODUCT((N$3:N$70&lt;&gt;"")*(G$3:G$70=G21))+SUMPRODUCT((P$3:P$70="")*(O$3:O$70="")*(N$3:N$70="")*(M$3:M$70="P")*(G$3:G$70=G21)*(J$3:J$70&gt;J21))+IF(H21="L5",SUMPRODUCT((P$3:P$70="")*(O$3:O$70="")*(N$3:N$70="")*(M$3:M$70="P")*(G$3:G$70=G21)*(J$3:J$70&lt;J21)*(H$3:H$70&lt;&gt;H21)),-1*SUMPRODUCT((P$3:P$70="")*(O$3:O$70="")*(N$3:N$70="")*(M$3:M$70="P")*(G$3:G$70=G21)*(J$3:J$70&gt;J21)*(H$3:H$70="L5")))+1,""))))</f>
        <v/>
      </c>
      <c r="C21" s="36" t="s">
        <v>75</v>
      </c>
      <c r="D21" s="36" t="str">
        <f>IF(E21="","",VLOOKUP(E21,'Coaching Points'!A:B,2,0))</f>
        <v>ON</v>
      </c>
      <c r="E21" s="36" t="s">
        <v>71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R21+S21+IF(OR(H21="Junior",H21="Senior"),0.0002,IF(OR(H21="L7",H21="L6"),0.0001,0))+IF(G21="17-21",MAX(AA21,AC21,AF21),AE21)*0.0000001</f>
        <v>92.750100000000003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48.07</v>
      </c>
      <c r="S21" s="4">
        <f>IF(G21="17-21",LARGE(CHOOSE({1,2,3,4,5,6},T21,V21,Y21,AA21,AC21,AF21),2),IF(R21=X21,MAX(Y21,AA21,AC21,AF21),IF(R21=AE21,MAX(AF21,T21,V21,Y21),0)))</f>
        <v>44.68</v>
      </c>
      <c r="T21" s="33">
        <v>44.68</v>
      </c>
      <c r="U21" s="40">
        <v>8.6999999999999993</v>
      </c>
      <c r="V21" s="34">
        <v>48.07</v>
      </c>
      <c r="W21" s="40">
        <v>9.6</v>
      </c>
      <c r="X21" s="4">
        <f>IF(H21="Senior",MAX(T21,V21),T21+V21)</f>
        <v>92.75</v>
      </c>
      <c r="Y21" s="34"/>
      <c r="Z21" s="40"/>
      <c r="AA21" s="33"/>
      <c r="AB21" s="40"/>
      <c r="AC21" s="34"/>
      <c r="AD21" s="40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$70&lt;&gt;"")*(G$3:G$70=G22)*(J$3:J$70&gt;J22)*(I$3:I$70="P"))+1,IF(O22&lt;&gt;"",SUMPRODUCT((O$3:O$70&lt;&gt;"")*(P$3:P$70="")*(G$3:G$70=G22)*(J$3:J$70&gt;J22)*(I$3:I$70="P"))+SUMPRODUCT((P$3:P$70&lt;&gt;"")*(G$3:G$70=G22)*(I$3:I$70="P"))+1,IF(N22&lt;&gt;"",SUMPRODUCT((N$3:N$70&lt;&gt;"")*(G$3:G$70=G22)*(J$3:J$70&gt;J22)*(I$3:I$70="P"))+1,IF(M22="P",SUMPRODUCT((O$3:O$70&lt;&gt;"")*(P$3:P$70="")*(G$3:G$70=G22)*(I$3:I$70="P"))+SUMPRODUCT((P$3:P$70&lt;&gt;"")*(G$3:G$70=G22)*(I$3:I$70="P"))+SUMPRODUCT((N$3:N$70&lt;&gt;"")*(G$3:G$70=G22)*(I$3:I$70="P"))+SUMPRODUCT((P$3:P$70="")*(O$3:O$70="")*(N$3:N$70="")*(M$3:M$70="P")*(G$3:G$70=G22)*(J$3:J$70&gt;J22)*(I$3:I$70="P"))+IF(H22="L5",SUMPRODUCT((P$3:P$70="")*(O$3:O$70="")*(N$3:N$70="")*(M$3:M$70="P")*(G$3:G$70=G22)*(J$3:J$70&lt;J22)*(H$3:H$70&lt;&gt;H22)*(I$3:I$70="P")),-1*SUMPRODUCT((P$3:P$70="")*(O$3:O$70="")*(N$3:N$70="")*(M$3:M$70="P")*(G$3:G$70=G22)*(J$3:J$70&gt;J22)*(H$3:H$70="L5")*(I$3:I$70="P")))+1,"")))))</f>
        <v/>
      </c>
      <c r="B22" s="1" t="str" cm="1">
        <f t="array" ref="B22">IF(P22&lt;&gt;"",SUMPRODUCT((P$3:P$70&lt;&gt;"")*(G$3:G$70=G22)*(J$3:J$70&gt;J22))+1,IF(O22&lt;&gt;"",SUMPRODUCT((O$3:O$70&lt;&gt;"")*(P$3:P$70="")*(G$3:G$70=G22)*(J$3:J$70&gt;J22))+SUMPRODUCT((P$3:P$70&lt;&gt;"")*(G$3:G$70=G22))+1,IF(N22&lt;&gt;"",SUMPRODUCT((N$3:N$70&lt;&gt;"")*(G$3:G$70=G22)*(J$3:J$70&gt;J22))+1,IF(M22="P",SUMPRODUCT((O$3:O$70&lt;&gt;"")*(P$3:P$70="")*(G$3:G$70=G22))+SUMPRODUCT((P$3:P$70&lt;&gt;"")*(G$3:G$70=G22))+SUMPRODUCT((N$3:N$70&lt;&gt;"")*(G$3:G$70=G22))+SUMPRODUCT((P$3:P$70="")*(O$3:O$70="")*(N$3:N$70="")*(M$3:M$70="P")*(G$3:G$70=G22)*(J$3:J$70&gt;J22))+IF(H22="L5",SUMPRODUCT((P$3:P$70="")*(O$3:O$70="")*(N$3:N$70="")*(M$3:M$70="P")*(G$3:G$70=G22)*(J$3:J$70&lt;J22)*(H$3:H$70&lt;&gt;H22)),-1*SUMPRODUCT((P$3:P$70="")*(O$3:O$70="")*(N$3:N$70="")*(M$3:M$70="P")*(G$3:G$70=G22)*(J$3:J$70&gt;J22)*(H$3:H$70="L5")))+1,""))))</f>
        <v/>
      </c>
      <c r="C22" s="36" t="s">
        <v>225</v>
      </c>
      <c r="D22" s="36" t="str">
        <f>IF(E22="","",VLOOKUP(E22,'Coaching Points'!A:B,2,0))</f>
        <v>ON</v>
      </c>
      <c r="E22" s="36" t="s">
        <v>286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90.63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46.17</v>
      </c>
      <c r="S22" s="4">
        <f>IF(G22="17-21",LARGE(CHOOSE({1,2,3,4,5,6},T22,V22,Y22,AA22,AC22,AF22),2),IF(R22=X22,MAX(Y22,AA22,AC22,AF22),IF(R22=AE22,MAX(AF22,T22,V22,Y22),0)))</f>
        <v>44.46</v>
      </c>
      <c r="T22" s="33">
        <v>39.79</v>
      </c>
      <c r="U22" s="40">
        <v>0</v>
      </c>
      <c r="V22" s="34">
        <v>46.17</v>
      </c>
      <c r="W22" s="40">
        <v>9.1</v>
      </c>
      <c r="X22" s="4">
        <f>IF(H22="Senior",MAX(T22,V22),T22+V22)</f>
        <v>85.960000000000008</v>
      </c>
      <c r="Y22" s="34">
        <v>44.46</v>
      </c>
      <c r="Z22" s="40">
        <v>9.1</v>
      </c>
      <c r="AA22" s="33"/>
      <c r="AB22" s="40"/>
      <c r="AC22" s="34"/>
      <c r="AD22" s="40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$70&lt;&gt;"")*(G$3:G$70=G23)*(J$3:J$70&gt;J23)*(I$3:I$70="P"))+1,IF(O23&lt;&gt;"",SUMPRODUCT((O$3:O$70&lt;&gt;"")*(P$3:P$70="")*(G$3:G$70=G23)*(J$3:J$70&gt;J23)*(I$3:I$70="P"))+SUMPRODUCT((P$3:P$70&lt;&gt;"")*(G$3:G$70=G23)*(I$3:I$70="P"))+1,IF(N23&lt;&gt;"",SUMPRODUCT((N$3:N$70&lt;&gt;"")*(G$3:G$70=G23)*(J$3:J$70&gt;J23)*(I$3:I$70="P"))+1,IF(M23="P",SUMPRODUCT((O$3:O$70&lt;&gt;"")*(P$3:P$70="")*(G$3:G$70=G23)*(I$3:I$70="P"))+SUMPRODUCT((P$3:P$70&lt;&gt;"")*(G$3:G$70=G23)*(I$3:I$70="P"))+SUMPRODUCT((N$3:N$70&lt;&gt;"")*(G$3:G$70=G23)*(I$3:I$70="P"))+SUMPRODUCT((P$3:P$70="")*(O$3:O$70="")*(N$3:N$70="")*(M$3:M$70="P")*(G$3:G$70=G23)*(J$3:J$70&gt;J23)*(I$3:I$70="P"))+IF(H23="L5",SUMPRODUCT((P$3:P$70="")*(O$3:O$70="")*(N$3:N$70="")*(M$3:M$70="P")*(G$3:G$70=G23)*(J$3:J$70&lt;J23)*(H$3:H$70&lt;&gt;H23)*(I$3:I$70="P")),-1*SUMPRODUCT((P$3:P$70="")*(O$3:O$70="")*(N$3:N$70="")*(M$3:M$70="P")*(G$3:G$70=G23)*(J$3:J$70&gt;J23)*(H$3:H$70="L5")*(I$3:I$70="P")))+1,"")))))</f>
        <v/>
      </c>
      <c r="B23" s="1" t="str" cm="1">
        <f t="array" ref="B23">IF(P23&lt;&gt;"",SUMPRODUCT((P$3:P$70&lt;&gt;"")*(G$3:G$70=G23)*(J$3:J$70&gt;J23))+1,IF(O23&lt;&gt;"",SUMPRODUCT((O$3:O$70&lt;&gt;"")*(P$3:P$70="")*(G$3:G$70=G23)*(J$3:J$70&gt;J23))+SUMPRODUCT((P$3:P$70&lt;&gt;"")*(G$3:G$70=G23))+1,IF(N23&lt;&gt;"",SUMPRODUCT((N$3:N$70&lt;&gt;"")*(G$3:G$70=G23)*(J$3:J$70&gt;J23))+1,IF(M23="P",SUMPRODUCT((O$3:O$70&lt;&gt;"")*(P$3:P$70="")*(G$3:G$70=G23))+SUMPRODUCT((P$3:P$70&lt;&gt;"")*(G$3:G$70=G23))+SUMPRODUCT((N$3:N$70&lt;&gt;"")*(G$3:G$70=G23))+SUMPRODUCT((P$3:P$70="")*(O$3:O$70="")*(N$3:N$70="")*(M$3:M$70="P")*(G$3:G$70=G23)*(J$3:J$70&gt;J23))+IF(H23="L5",SUMPRODUCT((P$3:P$70="")*(O$3:O$70="")*(N$3:N$70="")*(M$3:M$70="P")*(G$3:G$70=G23)*(J$3:J$70&lt;J23)*(H$3:H$70&lt;&gt;H23)),-1*SUMPRODUCT((P$3:P$70="")*(O$3:O$70="")*(N$3:N$70="")*(M$3:M$70="P")*(G$3:G$70=G23)*(J$3:J$70&gt;J23)*(H$3:H$70="L5")))+1,""))))</f>
        <v/>
      </c>
      <c r="C23" s="36" t="s">
        <v>323</v>
      </c>
      <c r="D23" s="36" t="str">
        <f>IF(E23="","",VLOOKUP(E23,'Coaching Points'!A:B,2,0))</f>
        <v>ON</v>
      </c>
      <c r="E23" s="36" t="s">
        <v>113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90.38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45.63</v>
      </c>
      <c r="S23" s="4">
        <f>IF(G23="17-21",LARGE(CHOOSE({1,2,3,4,5,6},T23,V23,Y23,AA23,AC23,AF23),2),IF(R23=X23,MAX(Y23,AA23,AC23,AF23),IF(R23=AE23,MAX(AF23,T23,V23,Y23),0)))</f>
        <v>44.75</v>
      </c>
      <c r="T23" s="33">
        <v>39.53</v>
      </c>
      <c r="U23" s="40">
        <v>0</v>
      </c>
      <c r="V23" s="34">
        <v>45.63</v>
      </c>
      <c r="W23" s="40">
        <v>8.5</v>
      </c>
      <c r="X23" s="4">
        <f>IF(H23="Senior",MAX(T23,V23),T23+V23)</f>
        <v>85.16</v>
      </c>
      <c r="Y23" s="34">
        <v>44.75</v>
      </c>
      <c r="Z23" s="40">
        <v>8.5</v>
      </c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$70&lt;&gt;"")*(G$3:G$70=G24)*(J$3:J$70&gt;J24)*(I$3:I$70="P"))+1,IF(O24&lt;&gt;"",SUMPRODUCT((O$3:O$70&lt;&gt;"")*(P$3:P$70="")*(G$3:G$70=G24)*(J$3:J$70&gt;J24)*(I$3:I$70="P"))+SUMPRODUCT((P$3:P$70&lt;&gt;"")*(G$3:G$70=G24)*(I$3:I$70="P"))+1,IF(N24&lt;&gt;"",SUMPRODUCT((N$3:N$70&lt;&gt;"")*(G$3:G$70=G24)*(J$3:J$70&gt;J24)*(I$3:I$70="P"))+1,IF(M24="P",SUMPRODUCT((O$3:O$70&lt;&gt;"")*(P$3:P$70="")*(G$3:G$70=G24)*(I$3:I$70="P"))+SUMPRODUCT((P$3:P$70&lt;&gt;"")*(G$3:G$70=G24)*(I$3:I$70="P"))+SUMPRODUCT((N$3:N$70&lt;&gt;"")*(G$3:G$70=G24)*(I$3:I$70="P"))+SUMPRODUCT((P$3:P$70="")*(O$3:O$70="")*(N$3:N$70="")*(M$3:M$70="P")*(G$3:G$70=G24)*(J$3:J$70&gt;J24)*(I$3:I$70="P"))+IF(H24="L5",SUMPRODUCT((P$3:P$70="")*(O$3:O$70="")*(N$3:N$70="")*(M$3:M$70="P")*(G$3:G$70=G24)*(J$3:J$70&lt;J24)*(H$3:H$70&lt;&gt;H24)*(I$3:I$70="P")),-1*SUMPRODUCT((P$3:P$70="")*(O$3:O$70="")*(N$3:N$70="")*(M$3:M$70="P")*(G$3:G$70=G24)*(J$3:J$70&gt;J24)*(H$3:H$70="L5")*(I$3:I$70="P")))+1,"")))))</f>
        <v/>
      </c>
      <c r="B24" s="1" t="str" cm="1">
        <f t="array" ref="B24">IF(P24&lt;&gt;"",SUMPRODUCT((P$3:P$70&lt;&gt;"")*(G$3:G$70=G24)*(J$3:J$70&gt;J24))+1,IF(O24&lt;&gt;"",SUMPRODUCT((O$3:O$70&lt;&gt;"")*(P$3:P$70="")*(G$3:G$70=G24)*(J$3:J$70&gt;J24))+SUMPRODUCT((P$3:P$70&lt;&gt;"")*(G$3:G$70=G24))+1,IF(N24&lt;&gt;"",SUMPRODUCT((N$3:N$70&lt;&gt;"")*(G$3:G$70=G24)*(J$3:J$70&gt;J24))+1,IF(M24="P",SUMPRODUCT((O$3:O$70&lt;&gt;"")*(P$3:P$70="")*(G$3:G$70=G24))+SUMPRODUCT((P$3:P$70&lt;&gt;"")*(G$3:G$70=G24))+SUMPRODUCT((N$3:N$70&lt;&gt;"")*(G$3:G$70=G24))+SUMPRODUCT((P$3:P$70="")*(O$3:O$70="")*(N$3:N$70="")*(M$3:M$70="P")*(G$3:G$70=G24)*(J$3:J$70&gt;J24))+IF(H24="L5",SUMPRODUCT((P$3:P$70="")*(O$3:O$70="")*(N$3:N$70="")*(M$3:M$70="P")*(G$3:G$70=G24)*(J$3:J$70&lt;J24)*(H$3:H$70&lt;&gt;H24)),-1*SUMPRODUCT((P$3:P$70="")*(O$3:O$70="")*(N$3:N$70="")*(M$3:M$70="P")*(G$3:G$70=G24)*(J$3:J$70&gt;J24)*(H$3:H$70="L5")))+1,""))))</f>
        <v/>
      </c>
      <c r="C24" s="36" t="s">
        <v>95</v>
      </c>
      <c r="D24" s="36" t="str">
        <f>IF(E24="","",VLOOKUP(E24,'Coaching Points'!A:B,2,0))</f>
        <v>QC</v>
      </c>
      <c r="E24" s="36" t="s">
        <v>96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R24+S24+IF(OR(H24="Junior",H24="Senior"),0.0002,IF(OR(H24="L7",H24="L6"),0.0001,0))+IF(G24="17-21",MAX(AA24,AC24,AF24),AE24)*0.0000001</f>
        <v>90.16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45.19</v>
      </c>
      <c r="S24" s="4">
        <f>IF(G24="17-21",LARGE(CHOOSE({1,2,3,4,5,6},T24,V24,Y24,AA24,AC24,AF24),2),IF(R24=X24,MAX(Y24,AA24,AC24,AF24),IF(R24=AE24,MAX(AF24,T24,V24,Y24),0)))</f>
        <v>44.97</v>
      </c>
      <c r="T24" s="33">
        <v>39.94</v>
      </c>
      <c r="U24" s="40">
        <v>0</v>
      </c>
      <c r="V24" s="34">
        <v>44.97</v>
      </c>
      <c r="W24" s="40">
        <v>9.1</v>
      </c>
      <c r="X24" s="4">
        <f>IF(H24="Senior",MAX(T24,V24),T24+V24)</f>
        <v>84.91</v>
      </c>
      <c r="Y24" s="34">
        <v>45.19</v>
      </c>
      <c r="Z24" s="40">
        <v>9.1</v>
      </c>
      <c r="AA24" s="33"/>
      <c r="AB24" s="40"/>
      <c r="AC24" s="34"/>
      <c r="AD24" s="40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$70&lt;&gt;"")*(G$3:G$70=G25)*(J$3:J$70&gt;J25)*(I$3:I$70="P"))+1,IF(O25&lt;&gt;"",SUMPRODUCT((O$3:O$70&lt;&gt;"")*(P$3:P$70="")*(G$3:G$70=G25)*(J$3:J$70&gt;J25)*(I$3:I$70="P"))+SUMPRODUCT((P$3:P$70&lt;&gt;"")*(G$3:G$70=G25)*(I$3:I$70="P"))+1,IF(N25&lt;&gt;"",SUMPRODUCT((N$3:N$70&lt;&gt;"")*(G$3:G$70=G25)*(J$3:J$70&gt;J25)*(I$3:I$70="P"))+1,IF(M25="P",SUMPRODUCT((O$3:O$70&lt;&gt;"")*(P$3:P$70="")*(G$3:G$70=G25)*(I$3:I$70="P"))+SUMPRODUCT((P$3:P$70&lt;&gt;"")*(G$3:G$70=G25)*(I$3:I$70="P"))+SUMPRODUCT((N$3:N$70&lt;&gt;"")*(G$3:G$70=G25)*(I$3:I$70="P"))+SUMPRODUCT((P$3:P$70="")*(O$3:O$70="")*(N$3:N$70="")*(M$3:M$70="P")*(G$3:G$70=G25)*(J$3:J$70&gt;J25)*(I$3:I$70="P"))+IF(H25="L5",SUMPRODUCT((P$3:P$70="")*(O$3:O$70="")*(N$3:N$70="")*(M$3:M$70="P")*(G$3:G$70=G25)*(J$3:J$70&lt;J25)*(H$3:H$70&lt;&gt;H25)*(I$3:I$70="P")),-1*SUMPRODUCT((P$3:P$70="")*(O$3:O$70="")*(N$3:N$70="")*(M$3:M$70="P")*(G$3:G$70=G25)*(J$3:J$70&gt;J25)*(H$3:H$70="L5")*(I$3:I$70="P")))+1,"")))))</f>
        <v/>
      </c>
      <c r="B25" s="1" t="str" cm="1">
        <f t="array" ref="B25">IF(P25&lt;&gt;"",SUMPRODUCT((P$3:P$70&lt;&gt;"")*(G$3:G$70=G25)*(J$3:J$70&gt;J25))+1,IF(O25&lt;&gt;"",SUMPRODUCT((O$3:O$70&lt;&gt;"")*(P$3:P$70="")*(G$3:G$70=G25)*(J$3:J$70&gt;J25))+SUMPRODUCT((P$3:P$70&lt;&gt;"")*(G$3:G$70=G25))+1,IF(N25&lt;&gt;"",SUMPRODUCT((N$3:N$70&lt;&gt;"")*(G$3:G$70=G25)*(J$3:J$70&gt;J25))+1,IF(M25="P",SUMPRODUCT((O$3:O$70&lt;&gt;"")*(P$3:P$70="")*(G$3:G$70=G25))+SUMPRODUCT((P$3:P$70&lt;&gt;"")*(G$3:G$70=G25))+SUMPRODUCT((N$3:N$70&lt;&gt;"")*(G$3:G$70=G25))+SUMPRODUCT((P$3:P$70="")*(O$3:O$70="")*(N$3:N$70="")*(M$3:M$70="P")*(G$3:G$70=G25)*(J$3:J$70&gt;J25))+IF(H25="L5",SUMPRODUCT((P$3:P$70="")*(O$3:O$70="")*(N$3:N$70="")*(M$3:M$70="P")*(G$3:G$70=G25)*(J$3:J$70&lt;J25)*(H$3:H$70&lt;&gt;H25)),-1*SUMPRODUCT((P$3:P$70="")*(O$3:O$70="")*(N$3:N$70="")*(M$3:M$70="P")*(G$3:G$70=G25)*(J$3:J$70&gt;J25)*(H$3:H$70="L5")))+1,""))))</f>
        <v/>
      </c>
      <c r="C25" s="36" t="s">
        <v>217</v>
      </c>
      <c r="D25" s="36" t="str">
        <f>IF(E25="","",VLOOKUP(E25,'Coaching Points'!A:B,2,0))</f>
        <v>BC</v>
      </c>
      <c r="E25" s="36" t="s">
        <v>284</v>
      </c>
      <c r="F25" s="35">
        <v>2006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R25+S25+IF(OR(H25="Junior",H25="Senior"),0.0002,IF(OR(H25="L7",H25="L6"),0.0001,0))+IF(G25="17-21",MAX(AA25,AC25,AF25),AE25)*0.0000001</f>
        <v>88.38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44.38</v>
      </c>
      <c r="S25" s="4">
        <f>IF(G25="17-21",LARGE(CHOOSE({1,2,3,4,5,6},T25,V25,Y25,AA25,AC25,AF25),2),IF(R25=X25,MAX(Y25,AA25,AC25,AF25),IF(R25=AE25,MAX(AF25,T25,V25,Y25),0)))</f>
        <v>44</v>
      </c>
      <c r="T25" s="33">
        <v>36.94</v>
      </c>
      <c r="U25" s="40">
        <v>0</v>
      </c>
      <c r="V25" s="34">
        <v>44.38</v>
      </c>
      <c r="W25" s="40">
        <v>9</v>
      </c>
      <c r="X25" s="4">
        <f>IF(H25="Senior",MAX(T25,V25),T25+V25)</f>
        <v>81.319999999999993</v>
      </c>
      <c r="Y25" s="34">
        <v>44</v>
      </c>
      <c r="Z25" s="40">
        <v>9.4</v>
      </c>
      <c r="AA25" s="33"/>
      <c r="AB25" s="40"/>
      <c r="AC25" s="34"/>
      <c r="AD25" s="40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$70&lt;&gt;"")*(G$3:G$70=G26)*(J$3:J$70&gt;J26)*(I$3:I$70="P"))+1,IF(O26&lt;&gt;"",SUMPRODUCT((O$3:O$70&lt;&gt;"")*(P$3:P$70="")*(G$3:G$70=G26)*(J$3:J$70&gt;J26)*(I$3:I$70="P"))+SUMPRODUCT((P$3:P$70&lt;&gt;"")*(G$3:G$70=G26)*(I$3:I$70="P"))+1,IF(N26&lt;&gt;"",SUMPRODUCT((N$3:N$70&lt;&gt;"")*(G$3:G$70=G26)*(J$3:J$70&gt;J26)*(I$3:I$70="P"))+1,IF(M26="P",SUMPRODUCT((O$3:O$70&lt;&gt;"")*(P$3:P$70="")*(G$3:G$70=G26)*(I$3:I$70="P"))+SUMPRODUCT((P$3:P$70&lt;&gt;"")*(G$3:G$70=G26)*(I$3:I$70="P"))+SUMPRODUCT((N$3:N$70&lt;&gt;"")*(G$3:G$70=G26)*(I$3:I$70="P"))+SUMPRODUCT((P$3:P$70="")*(O$3:O$70="")*(N$3:N$70="")*(M$3:M$70="P")*(G$3:G$70=G26)*(J$3:J$70&gt;J26)*(I$3:I$70="P"))+IF(H26="L5",SUMPRODUCT((P$3:P$70="")*(O$3:O$70="")*(N$3:N$70="")*(M$3:M$70="P")*(G$3:G$70=G26)*(J$3:J$70&lt;J26)*(H$3:H$70&lt;&gt;H26)*(I$3:I$70="P")),-1*SUMPRODUCT((P$3:P$70="")*(O$3:O$70="")*(N$3:N$70="")*(M$3:M$70="P")*(G$3:G$70=G26)*(J$3:J$70&gt;J26)*(H$3:H$70="L5")*(I$3:I$70="P")))+1,"")))))</f>
        <v/>
      </c>
      <c r="B26" s="1" t="str" cm="1">
        <f t="array" ref="B26">IF(P26&lt;&gt;"",SUMPRODUCT((P$3:P$70&lt;&gt;"")*(G$3:G$70=G26)*(J$3:J$70&gt;J26))+1,IF(O26&lt;&gt;"",SUMPRODUCT((O$3:O$70&lt;&gt;"")*(P$3:P$70="")*(G$3:G$70=G26)*(J$3:J$70&gt;J26))+SUMPRODUCT((P$3:P$70&lt;&gt;"")*(G$3:G$70=G26))+1,IF(N26&lt;&gt;"",SUMPRODUCT((N$3:N$70&lt;&gt;"")*(G$3:G$70=G26)*(J$3:J$70&gt;J26))+1,IF(M26="P",SUMPRODUCT((O$3:O$70&lt;&gt;"")*(P$3:P$70="")*(G$3:G$70=G26))+SUMPRODUCT((P$3:P$70&lt;&gt;"")*(G$3:G$70=G26))+SUMPRODUCT((N$3:N$70&lt;&gt;"")*(G$3:G$70=G26))+SUMPRODUCT((P$3:P$70="")*(O$3:O$70="")*(N$3:N$70="")*(M$3:M$70="P")*(G$3:G$70=G26)*(J$3:J$70&gt;J26))+IF(H26="L5",SUMPRODUCT((P$3:P$70="")*(O$3:O$70="")*(N$3:N$70="")*(M$3:M$70="P")*(G$3:G$70=G26)*(J$3:J$70&lt;J26)*(H$3:H$70&lt;&gt;H26)),-1*SUMPRODUCT((P$3:P$70="")*(O$3:O$70="")*(N$3:N$70="")*(M$3:M$70="P")*(G$3:G$70=G26)*(J$3:J$70&gt;J26)*(H$3:H$70="L5")))+1,""))))</f>
        <v/>
      </c>
      <c r="C26" s="36" t="s">
        <v>172</v>
      </c>
      <c r="D26" s="36" t="str">
        <f>IF(E26="","",VLOOKUP(E26,'Coaching Points'!A:B,2,0))</f>
        <v>AB</v>
      </c>
      <c r="E26" s="36" t="s">
        <v>29</v>
      </c>
      <c r="F26" s="35">
        <v>2005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R26+S26+IF(OR(H26="Junior",H26="Senior"),0.0002,IF(OR(H26="L7",H26="L6"),0.0001,0))+IF(G26="17-21",MAX(AA26,AC26,AF26),AE26)*0.0000001</f>
        <v>87.710000000000008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47.65</v>
      </c>
      <c r="S26" s="4">
        <f>IF(G26="17-21",LARGE(CHOOSE({1,2,3,4,5,6},T26,V26,Y26,AA26,AC26,AF26),2),IF(R26=X26,MAX(Y26,AA26,AC26,AF26),IF(R26=AE26,MAX(AF26,T26,V26,Y26),0)))</f>
        <v>40.06</v>
      </c>
      <c r="T26" s="33">
        <v>40.06</v>
      </c>
      <c r="U26" s="40">
        <v>0</v>
      </c>
      <c r="V26" s="34">
        <v>47.65</v>
      </c>
      <c r="W26" s="40">
        <v>9.8000000000000007</v>
      </c>
      <c r="X26" s="4">
        <f>IF(H26="Senior",MAX(T26,V26),T26+V26)</f>
        <v>87.710000000000008</v>
      </c>
      <c r="Y26" s="34">
        <v>5.18</v>
      </c>
      <c r="Z26" s="40">
        <v>1.5</v>
      </c>
      <c r="AA26" s="33"/>
      <c r="AB26" s="40"/>
      <c r="AC26" s="34"/>
      <c r="AD26" s="40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$70&lt;&gt;"")*(G$3:G$70=G27)*(J$3:J$70&gt;J27)*(I$3:I$70="P"))+1,IF(O27&lt;&gt;"",SUMPRODUCT((O$3:O$70&lt;&gt;"")*(P$3:P$70="")*(G$3:G$70=G27)*(J$3:J$70&gt;J27)*(I$3:I$70="P"))+SUMPRODUCT((P$3:P$70&lt;&gt;"")*(G$3:G$70=G27)*(I$3:I$70="P"))+1,IF(N27&lt;&gt;"",SUMPRODUCT((N$3:N$70&lt;&gt;"")*(G$3:G$70=G27)*(J$3:J$70&gt;J27)*(I$3:I$70="P"))+1,IF(M27="P",SUMPRODUCT((O$3:O$70&lt;&gt;"")*(P$3:P$70="")*(G$3:G$70=G27)*(I$3:I$70="P"))+SUMPRODUCT((P$3:P$70&lt;&gt;"")*(G$3:G$70=G27)*(I$3:I$70="P"))+SUMPRODUCT((N$3:N$70&lt;&gt;"")*(G$3:G$70=G27)*(I$3:I$70="P"))+SUMPRODUCT((P$3:P$70="")*(O$3:O$70="")*(N$3:N$70="")*(M$3:M$70="P")*(G$3:G$70=G27)*(J$3:J$70&gt;J27)*(I$3:I$70="P"))+IF(H27="L5",SUMPRODUCT((P$3:P$70="")*(O$3:O$70="")*(N$3:N$70="")*(M$3:M$70="P")*(G$3:G$70=G27)*(J$3:J$70&lt;J27)*(H$3:H$70&lt;&gt;H27)*(I$3:I$70="P")),-1*SUMPRODUCT((P$3:P$70="")*(O$3:O$70="")*(N$3:N$70="")*(M$3:M$70="P")*(G$3:G$70=G27)*(J$3:J$70&gt;J27)*(H$3:H$70="L5")*(I$3:I$70="P")))+1,"")))))</f>
        <v/>
      </c>
      <c r="B27" s="1" t="str" cm="1">
        <f t="array" ref="B27">IF(P27&lt;&gt;"",SUMPRODUCT((P$3:P$70&lt;&gt;"")*(G$3:G$70=G27)*(J$3:J$70&gt;J27))+1,IF(O27&lt;&gt;"",SUMPRODUCT((O$3:O$70&lt;&gt;"")*(P$3:P$70="")*(G$3:G$70=G27)*(J$3:J$70&gt;J27))+SUMPRODUCT((P$3:P$70&lt;&gt;"")*(G$3:G$70=G27))+1,IF(N27&lt;&gt;"",SUMPRODUCT((N$3:N$70&lt;&gt;"")*(G$3:G$70=G27)*(J$3:J$70&gt;J27))+1,IF(M27="P",SUMPRODUCT((O$3:O$70&lt;&gt;"")*(P$3:P$70="")*(G$3:G$70=G27))+SUMPRODUCT((P$3:P$70&lt;&gt;"")*(G$3:G$70=G27))+SUMPRODUCT((N$3:N$70&lt;&gt;"")*(G$3:G$70=G27))+SUMPRODUCT((P$3:P$70="")*(O$3:O$70="")*(N$3:N$70="")*(M$3:M$70="P")*(G$3:G$70=G27)*(J$3:J$70&gt;J27))+IF(H27="L5",SUMPRODUCT((P$3:P$70="")*(O$3:O$70="")*(N$3:N$70="")*(M$3:M$70="P")*(G$3:G$70=G27)*(J$3:J$70&lt;J27)*(H$3:H$70&lt;&gt;H27)),-1*SUMPRODUCT((P$3:P$70="")*(O$3:O$70="")*(N$3:N$70="")*(M$3:M$70="P")*(G$3:G$70=G27)*(J$3:J$70&gt;J27)*(H$3:H$70="L5")))+1,""))))</f>
        <v/>
      </c>
      <c r="C27" s="36" t="s">
        <v>220</v>
      </c>
      <c r="D27" s="36" t="str">
        <f>IF(E27="","",VLOOKUP(E27,'Coaching Points'!A:B,2,0))</f>
        <v>ON</v>
      </c>
      <c r="E27" s="36" t="s">
        <v>47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87.039999999999992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43.54</v>
      </c>
      <c r="S27" s="4">
        <f>IF(G27="17-21",LARGE(CHOOSE({1,2,3,4,5,6},T27,V27,Y27,AA27,AC27,AF27),2),IF(R27=X27,MAX(Y27,AA27,AC27,AF27),IF(R27=AE27,MAX(AF27,T27,V27,Y27),0)))</f>
        <v>43.5</v>
      </c>
      <c r="T27" s="33">
        <v>38.590000000000003</v>
      </c>
      <c r="U27" s="40">
        <v>0</v>
      </c>
      <c r="V27" s="34">
        <v>43.5</v>
      </c>
      <c r="W27" s="40">
        <v>7.9</v>
      </c>
      <c r="X27" s="4">
        <f>IF(H27="Senior",MAX(T27,V27),T27+V27)</f>
        <v>82.09</v>
      </c>
      <c r="Y27" s="34">
        <v>43.54</v>
      </c>
      <c r="Z27" s="40">
        <v>7.9</v>
      </c>
      <c r="AA27" s="33"/>
      <c r="AB27" s="40"/>
      <c r="AC27" s="34"/>
      <c r="AD27" s="40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$70&lt;&gt;"")*(G$3:G$70=G28)*(J$3:J$70&gt;J28)*(I$3:I$70="P"))+1,IF(O28&lt;&gt;"",SUMPRODUCT((O$3:O$70&lt;&gt;"")*(P$3:P$70="")*(G$3:G$70=G28)*(J$3:J$70&gt;J28)*(I$3:I$70="P"))+SUMPRODUCT((P$3:P$70&lt;&gt;"")*(G$3:G$70=G28)*(I$3:I$70="P"))+1,IF(N28&lt;&gt;"",SUMPRODUCT((N$3:N$70&lt;&gt;"")*(G$3:G$70=G28)*(J$3:J$70&gt;J28)*(I$3:I$70="P"))+1,IF(M28="P",SUMPRODUCT((O$3:O$70&lt;&gt;"")*(P$3:P$70="")*(G$3:G$70=G28)*(I$3:I$70="P"))+SUMPRODUCT((P$3:P$70&lt;&gt;"")*(G$3:G$70=G28)*(I$3:I$70="P"))+SUMPRODUCT((N$3:N$70&lt;&gt;"")*(G$3:G$70=G28)*(I$3:I$70="P"))+SUMPRODUCT((P$3:P$70="")*(O$3:O$70="")*(N$3:N$70="")*(M$3:M$70="P")*(G$3:G$70=G28)*(J$3:J$70&gt;J28)*(I$3:I$70="P"))+IF(H28="L5",SUMPRODUCT((P$3:P$70="")*(O$3:O$70="")*(N$3:N$70="")*(M$3:M$70="P")*(G$3:G$70=G28)*(J$3:J$70&lt;J28)*(H$3:H$70&lt;&gt;H28)*(I$3:I$70="P")),-1*SUMPRODUCT((P$3:P$70="")*(O$3:O$70="")*(N$3:N$70="")*(M$3:M$70="P")*(G$3:G$70=G28)*(J$3:J$70&gt;J28)*(H$3:H$70="L5")*(I$3:I$70="P")))+1,"")))))</f>
        <v/>
      </c>
      <c r="B28" s="1" t="str" cm="1">
        <f t="array" ref="B28">IF(P28&lt;&gt;"",SUMPRODUCT((P$3:P$70&lt;&gt;"")*(G$3:G$70=G28)*(J$3:J$70&gt;J28))+1,IF(O28&lt;&gt;"",SUMPRODUCT((O$3:O$70&lt;&gt;"")*(P$3:P$70="")*(G$3:G$70=G28)*(J$3:J$70&gt;J28))+SUMPRODUCT((P$3:P$70&lt;&gt;"")*(G$3:G$70=G28))+1,IF(N28&lt;&gt;"",SUMPRODUCT((N$3:N$70&lt;&gt;"")*(G$3:G$70=G28)*(J$3:J$70&gt;J28))+1,IF(M28="P",SUMPRODUCT((O$3:O$70&lt;&gt;"")*(P$3:P$70="")*(G$3:G$70=G28))+SUMPRODUCT((P$3:P$70&lt;&gt;"")*(G$3:G$70=G28))+SUMPRODUCT((N$3:N$70&lt;&gt;"")*(G$3:G$70=G28))+SUMPRODUCT((P$3:P$70="")*(O$3:O$70="")*(N$3:N$70="")*(M$3:M$70="P")*(G$3:G$70=G28)*(J$3:J$70&gt;J28))+IF(H28="L5",SUMPRODUCT((P$3:P$70="")*(O$3:O$70="")*(N$3:N$70="")*(M$3:M$70="P")*(G$3:G$70=G28)*(J$3:J$70&lt;J28)*(H$3:H$70&lt;&gt;H28)),-1*SUMPRODUCT((P$3:P$70="")*(O$3:O$70="")*(N$3:N$70="")*(M$3:M$70="P")*(G$3:G$70=G28)*(J$3:J$70&gt;J28)*(H$3:H$70="L5")))+1,""))))</f>
        <v/>
      </c>
      <c r="C28" s="36" t="s">
        <v>324</v>
      </c>
      <c r="D28" s="36" t="str">
        <f>IF(E28="","",VLOOKUP(E28,'Coaching Points'!A:B,2,0))</f>
        <v>ON</v>
      </c>
      <c r="E28" s="36" t="s">
        <v>113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86.72999999999999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43.54</v>
      </c>
      <c r="S28" s="4">
        <f>IF(G28="17-21",LARGE(CHOOSE({1,2,3,4,5,6},T28,V28,Y28,AA28,AC28,AF28),2),IF(R28=X28,MAX(Y28,AA28,AC28,AF28),IF(R28=AE28,MAX(AF28,T28,V28,Y28),0)))</f>
        <v>43.19</v>
      </c>
      <c r="T28" s="33">
        <v>38.299999999999997</v>
      </c>
      <c r="U28" s="40">
        <v>0</v>
      </c>
      <c r="V28" s="34">
        <v>43.19</v>
      </c>
      <c r="W28" s="40">
        <v>8.4</v>
      </c>
      <c r="X28" s="4">
        <f>IF(H28="Senior",MAX(T28,V28),T28+V28)</f>
        <v>81.489999999999995</v>
      </c>
      <c r="Y28" s="34">
        <v>43.54</v>
      </c>
      <c r="Z28" s="40">
        <v>8.4</v>
      </c>
      <c r="AA28" s="33"/>
      <c r="AB28" s="40"/>
      <c r="AC28" s="34"/>
      <c r="AD28" s="40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$70&lt;&gt;"")*(G$3:G$70=G29)*(J$3:J$70&gt;J29)*(I$3:I$70="P"))+1,IF(O29&lt;&gt;"",SUMPRODUCT((O$3:O$70&lt;&gt;"")*(P$3:P$70="")*(G$3:G$70=G29)*(J$3:J$70&gt;J29)*(I$3:I$70="P"))+SUMPRODUCT((P$3:P$70&lt;&gt;"")*(G$3:G$70=G29)*(I$3:I$70="P"))+1,IF(N29&lt;&gt;"",SUMPRODUCT((N$3:N$70&lt;&gt;"")*(G$3:G$70=G29)*(J$3:J$70&gt;J29)*(I$3:I$70="P"))+1,IF(M29="P",SUMPRODUCT((O$3:O$70&lt;&gt;"")*(P$3:P$70="")*(G$3:G$70=G29)*(I$3:I$70="P"))+SUMPRODUCT((P$3:P$70&lt;&gt;"")*(G$3:G$70=G29)*(I$3:I$70="P"))+SUMPRODUCT((N$3:N$70&lt;&gt;"")*(G$3:G$70=G29)*(I$3:I$70="P"))+SUMPRODUCT((P$3:P$70="")*(O$3:O$70="")*(N$3:N$70="")*(M$3:M$70="P")*(G$3:G$70=G29)*(J$3:J$70&gt;J29)*(I$3:I$70="P"))+IF(H29="L5",SUMPRODUCT((P$3:P$70="")*(O$3:O$70="")*(N$3:N$70="")*(M$3:M$70="P")*(G$3:G$70=G29)*(J$3:J$70&lt;J29)*(H$3:H$70&lt;&gt;H29)*(I$3:I$70="P")),-1*SUMPRODUCT((P$3:P$70="")*(O$3:O$70="")*(N$3:N$70="")*(M$3:M$70="P")*(G$3:G$70=G29)*(J$3:J$70&gt;J29)*(H$3:H$70="L5")*(I$3:I$70="P")))+1,"")))))</f>
        <v/>
      </c>
      <c r="B29" s="1" t="str" cm="1">
        <f t="array" ref="B29">IF(P29&lt;&gt;"",SUMPRODUCT((P$3:P$70&lt;&gt;"")*(G$3:G$70=G29)*(J$3:J$70&gt;J29))+1,IF(O29&lt;&gt;"",SUMPRODUCT((O$3:O$70&lt;&gt;"")*(P$3:P$70="")*(G$3:G$70=G29)*(J$3:J$70&gt;J29))+SUMPRODUCT((P$3:P$70&lt;&gt;"")*(G$3:G$70=G29))+1,IF(N29&lt;&gt;"",SUMPRODUCT((N$3:N$70&lt;&gt;"")*(G$3:G$70=G29)*(J$3:J$70&gt;J29))+1,IF(M29="P",SUMPRODUCT((O$3:O$70&lt;&gt;"")*(P$3:P$70="")*(G$3:G$70=G29))+SUMPRODUCT((P$3:P$70&lt;&gt;"")*(G$3:G$70=G29))+SUMPRODUCT((N$3:N$70&lt;&gt;"")*(G$3:G$70=G29))+SUMPRODUCT((P$3:P$70="")*(O$3:O$70="")*(N$3:N$70="")*(M$3:M$70="P")*(G$3:G$70=G29)*(J$3:J$70&gt;J29))+IF(H29="L5",SUMPRODUCT((P$3:P$70="")*(O$3:O$70="")*(N$3:N$70="")*(M$3:M$70="P")*(G$3:G$70=G29)*(J$3:J$70&lt;J29)*(H$3:H$70&lt;&gt;H29)),-1*SUMPRODUCT((P$3:P$70="")*(O$3:O$70="")*(N$3:N$70="")*(M$3:M$70="P")*(G$3:G$70=G29)*(J$3:J$70&gt;J29)*(H$3:H$70="L5")))+1,""))))</f>
        <v/>
      </c>
      <c r="C29" s="36" t="s">
        <v>109</v>
      </c>
      <c r="D29" s="36" t="str">
        <f>IF(E29="","",VLOOKUP(E29,'Coaching Points'!A:B,2,0))</f>
        <v>ON</v>
      </c>
      <c r="E29" s="36" t="s">
        <v>38</v>
      </c>
      <c r="F29" s="35">
        <v>2002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>R29+S29+IF(OR(H29="Junior",H29="Senior"),0.0002,IF(OR(H29="L7",H29="L6"),0.0001,0))+IF(G29="17-21",MAX(AA29,AC29,AF29),AE29)*0.0000001</f>
        <v>82.720100000000002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46.96</v>
      </c>
      <c r="S29" s="4">
        <f>IF(G29="17-21",LARGE(CHOOSE({1,2,3,4,5,6},T29,V29,Y29,AA29,AC29,AF29),2),IF(R29=X29,MAX(Y29,AA29,AC29,AF29),IF(R29=AE29,MAX(AF29,T29,V29,Y29),0)))</f>
        <v>35.76</v>
      </c>
      <c r="T29" s="33">
        <v>35.76</v>
      </c>
      <c r="U29" s="40">
        <v>8.6999999999999993</v>
      </c>
      <c r="V29" s="34">
        <v>46.96</v>
      </c>
      <c r="W29" s="40">
        <v>12.2</v>
      </c>
      <c r="X29" s="4">
        <f>IF(H29="Senior",MAX(T29,V29),T29+V29)</f>
        <v>82.72</v>
      </c>
      <c r="Y29" s="34"/>
      <c r="Z29" s="40"/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$70&lt;&gt;"")*(G$3:G$70=G30)*(J$3:J$70&gt;J30)*(I$3:I$70="P"))+1,IF(O30&lt;&gt;"",SUMPRODUCT((O$3:O$70&lt;&gt;"")*(P$3:P$70="")*(G$3:G$70=G30)*(J$3:J$70&gt;J30)*(I$3:I$70="P"))+SUMPRODUCT((P$3:P$70&lt;&gt;"")*(G$3:G$70=G30)*(I$3:I$70="P"))+1,IF(N30&lt;&gt;"",SUMPRODUCT((N$3:N$70&lt;&gt;"")*(G$3:G$70=G30)*(J$3:J$70&gt;J30)*(I$3:I$70="P"))+1,IF(M30="P",SUMPRODUCT((O$3:O$70&lt;&gt;"")*(P$3:P$70="")*(G$3:G$70=G30)*(I$3:I$70="P"))+SUMPRODUCT((P$3:P$70&lt;&gt;"")*(G$3:G$70=G30)*(I$3:I$70="P"))+SUMPRODUCT((N$3:N$70&lt;&gt;"")*(G$3:G$70=G30)*(I$3:I$70="P"))+SUMPRODUCT((P$3:P$70="")*(O$3:O$70="")*(N$3:N$70="")*(M$3:M$70="P")*(G$3:G$70=G30)*(J$3:J$70&gt;J30)*(I$3:I$70="P"))+IF(H30="L5",SUMPRODUCT((P$3:P$70="")*(O$3:O$70="")*(N$3:N$70="")*(M$3:M$70="P")*(G$3:G$70=G30)*(J$3:J$70&lt;J30)*(H$3:H$70&lt;&gt;H30)*(I$3:I$70="P")),-1*SUMPRODUCT((P$3:P$70="")*(O$3:O$70="")*(N$3:N$70="")*(M$3:M$70="P")*(G$3:G$70=G30)*(J$3:J$70&gt;J30)*(H$3:H$70="L5")*(I$3:I$70="P")))+1,"")))))</f>
        <v/>
      </c>
      <c r="B30" s="1" t="str" cm="1">
        <f t="array" ref="B30">IF(P30&lt;&gt;"",SUMPRODUCT((P$3:P$70&lt;&gt;"")*(G$3:G$70=G30)*(J$3:J$70&gt;J30))+1,IF(O30&lt;&gt;"",SUMPRODUCT((O$3:O$70&lt;&gt;"")*(P$3:P$70="")*(G$3:G$70=G30)*(J$3:J$70&gt;J30))+SUMPRODUCT((P$3:P$70&lt;&gt;"")*(G$3:G$70=G30))+1,IF(N30&lt;&gt;"",SUMPRODUCT((N$3:N$70&lt;&gt;"")*(G$3:G$70=G30)*(J$3:J$70&gt;J30))+1,IF(M30="P",SUMPRODUCT((O$3:O$70&lt;&gt;"")*(P$3:P$70="")*(G$3:G$70=G30))+SUMPRODUCT((P$3:P$70&lt;&gt;"")*(G$3:G$70=G30))+SUMPRODUCT((N$3:N$70&lt;&gt;"")*(G$3:G$70=G30))+SUMPRODUCT((P$3:P$70="")*(O$3:O$70="")*(N$3:N$70="")*(M$3:M$70="P")*(G$3:G$70=G30)*(J$3:J$70&gt;J30))+IF(H30="L5",SUMPRODUCT((P$3:P$70="")*(O$3:O$70="")*(N$3:N$70="")*(M$3:M$70="P")*(G$3:G$70=G30)*(J$3:J$70&lt;J30)*(H$3:H$70&lt;&gt;H30)),-1*SUMPRODUCT((P$3:P$70="")*(O$3:O$70="")*(N$3:N$70="")*(M$3:M$70="P")*(G$3:G$70=G30)*(J$3:J$70&gt;J30)*(H$3:H$70="L5")))+1,""))))</f>
        <v/>
      </c>
      <c r="C30" s="36" t="s">
        <v>326</v>
      </c>
      <c r="D30" s="36" t="str">
        <f>IF(E30="","",VLOOKUP(E30,'Coaching Points'!A:B,2,0))</f>
        <v>AB</v>
      </c>
      <c r="E30" s="36" t="s">
        <v>64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80.37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43.35</v>
      </c>
      <c r="S30" s="4">
        <f>IF(G30="17-21",LARGE(CHOOSE({1,2,3,4,5,6},T30,V30,Y30,AA30,AC30,AF30),2),IF(R30=X30,MAX(Y30,AA30,AC30,AF30),IF(R30=AE30,MAX(AF30,T30,V30,Y30),0)))</f>
        <v>37.020000000000003</v>
      </c>
      <c r="T30" s="33">
        <v>37.020000000000003</v>
      </c>
      <c r="U30" s="40">
        <v>0</v>
      </c>
      <c r="V30" s="34">
        <v>43.35</v>
      </c>
      <c r="W30" s="40">
        <v>6.8</v>
      </c>
      <c r="X30" s="4">
        <f>IF(H30="Senior",MAX(T30,V30),T30+V30)</f>
        <v>80.37</v>
      </c>
      <c r="Y30" s="34"/>
      <c r="Z30" s="40"/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$70&lt;&gt;"")*(G$3:G$70=G31)*(J$3:J$70&gt;J31)*(I$3:I$70="P"))+1,IF(O31&lt;&gt;"",SUMPRODUCT((O$3:O$70&lt;&gt;"")*(P$3:P$70="")*(G$3:G$70=G31)*(J$3:J$70&gt;J31)*(I$3:I$70="P"))+SUMPRODUCT((P$3:P$70&lt;&gt;"")*(G$3:G$70=G31)*(I$3:I$70="P"))+1,IF(N31&lt;&gt;"",SUMPRODUCT((N$3:N$70&lt;&gt;"")*(G$3:G$70=G31)*(J$3:J$70&gt;J31)*(I$3:I$70="P"))+1,IF(M31="P",SUMPRODUCT((O$3:O$70&lt;&gt;"")*(P$3:P$70="")*(G$3:G$70=G31)*(I$3:I$70="P"))+SUMPRODUCT((P$3:P$70&lt;&gt;"")*(G$3:G$70=G31)*(I$3:I$70="P"))+SUMPRODUCT((N$3:N$70&lt;&gt;"")*(G$3:G$70=G31)*(I$3:I$70="P"))+SUMPRODUCT((P$3:P$70="")*(O$3:O$70="")*(N$3:N$70="")*(M$3:M$70="P")*(G$3:G$70=G31)*(J$3:J$70&gt;J31)*(I$3:I$70="P"))+IF(H31="L5",SUMPRODUCT((P$3:P$70="")*(O$3:O$70="")*(N$3:N$70="")*(M$3:M$70="P")*(G$3:G$70=G31)*(J$3:J$70&lt;J31)*(H$3:H$70&lt;&gt;H31)*(I$3:I$70="P")),-1*SUMPRODUCT((P$3:P$70="")*(O$3:O$70="")*(N$3:N$70="")*(M$3:M$70="P")*(G$3:G$70=G31)*(J$3:J$70&gt;J31)*(H$3:H$70="L5")*(I$3:I$70="P")))+1,"")))))</f>
        <v/>
      </c>
      <c r="B31" s="1" t="str" cm="1">
        <f t="array" ref="B31">IF(P31&lt;&gt;"",SUMPRODUCT((P$3:P$70&lt;&gt;"")*(G$3:G$70=G31)*(J$3:J$70&gt;J31))+1,IF(O31&lt;&gt;"",SUMPRODUCT((O$3:O$70&lt;&gt;"")*(P$3:P$70="")*(G$3:G$70=G31)*(J$3:J$70&gt;J31))+SUMPRODUCT((P$3:P$70&lt;&gt;"")*(G$3:G$70=G31))+1,IF(N31&lt;&gt;"",SUMPRODUCT((N$3:N$70&lt;&gt;"")*(G$3:G$70=G31)*(J$3:J$70&gt;J31))+1,IF(M31="P",SUMPRODUCT((O$3:O$70&lt;&gt;"")*(P$3:P$70="")*(G$3:G$70=G31))+SUMPRODUCT((P$3:P$70&lt;&gt;"")*(G$3:G$70=G31))+SUMPRODUCT((N$3:N$70&lt;&gt;"")*(G$3:G$70=G31))+SUMPRODUCT((P$3:P$70="")*(O$3:O$70="")*(N$3:N$70="")*(M$3:M$70="P")*(G$3:G$70=G31)*(J$3:J$70&gt;J31))+IF(H31="L5",SUMPRODUCT((P$3:P$70="")*(O$3:O$70="")*(N$3:N$70="")*(M$3:M$70="P")*(G$3:G$70=G31)*(J$3:J$70&lt;J31)*(H$3:H$70&lt;&gt;H31)),-1*SUMPRODUCT((P$3:P$70="")*(O$3:O$70="")*(N$3:N$70="")*(M$3:M$70="P")*(G$3:G$70=G31)*(J$3:J$70&gt;J31)*(H$3:H$70="L5")))+1,""))))</f>
        <v/>
      </c>
      <c r="C31" s="36" t="s">
        <v>231</v>
      </c>
      <c r="D31" s="36" t="str">
        <f>IF(E31="","",VLOOKUP(E31,'Coaching Points'!A:B,2,0))</f>
        <v>ON</v>
      </c>
      <c r="E31" s="36" t="s">
        <v>113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79.81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44.48</v>
      </c>
      <c r="S31" s="4">
        <f>IF(G31="17-21",LARGE(CHOOSE({1,2,3,4,5,6},T31,V31,Y31,AA31,AC31,AF31),2),IF(R31=X31,MAX(Y31,AA31,AC31,AF31),IF(R31=AE31,MAX(AF31,T31,V31,Y31),0)))</f>
        <v>35.33</v>
      </c>
      <c r="T31" s="33">
        <v>35.33</v>
      </c>
      <c r="U31" s="40">
        <v>0</v>
      </c>
      <c r="V31" s="34">
        <v>44.48</v>
      </c>
      <c r="W31" s="40">
        <v>8</v>
      </c>
      <c r="X31" s="4">
        <f>IF(H31="Senior",MAX(T31,V31),T31+V31)</f>
        <v>79.81</v>
      </c>
      <c r="Y31" s="34"/>
      <c r="Z31" s="40"/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$70&lt;&gt;"")*(G$3:G$70=G32)*(J$3:J$70&gt;J32)*(I$3:I$70="P"))+1,IF(O32&lt;&gt;"",SUMPRODUCT((O$3:O$70&lt;&gt;"")*(P$3:P$70="")*(G$3:G$70=G32)*(J$3:J$70&gt;J32)*(I$3:I$70="P"))+SUMPRODUCT((P$3:P$70&lt;&gt;"")*(G$3:G$70=G32)*(I$3:I$70="P"))+1,IF(N32&lt;&gt;"",SUMPRODUCT((N$3:N$70&lt;&gt;"")*(G$3:G$70=G32)*(J$3:J$70&gt;J32)*(I$3:I$70="P"))+1,IF(M32="P",SUMPRODUCT((O$3:O$70&lt;&gt;"")*(P$3:P$70="")*(G$3:G$70=G32)*(I$3:I$70="P"))+SUMPRODUCT((P$3:P$70&lt;&gt;"")*(G$3:G$70=G32)*(I$3:I$70="P"))+SUMPRODUCT((N$3:N$70&lt;&gt;"")*(G$3:G$70=G32)*(I$3:I$70="P"))+SUMPRODUCT((P$3:P$70="")*(O$3:O$70="")*(N$3:N$70="")*(M$3:M$70="P")*(G$3:G$70=G32)*(J$3:J$70&gt;J32)*(I$3:I$70="P"))+IF(H32="L5",SUMPRODUCT((P$3:P$70="")*(O$3:O$70="")*(N$3:N$70="")*(M$3:M$70="P")*(G$3:G$70=G32)*(J$3:J$70&lt;J32)*(H$3:H$70&lt;&gt;H32)*(I$3:I$70="P")),-1*SUMPRODUCT((P$3:P$70="")*(O$3:O$70="")*(N$3:N$70="")*(M$3:M$70="P")*(G$3:G$70=G32)*(J$3:J$70&gt;J32)*(H$3:H$70="L5")*(I$3:I$70="P")))+1,"")))))</f>
        <v/>
      </c>
      <c r="B32" s="1" t="str" cm="1">
        <f t="array" ref="B32">IF(P32&lt;&gt;"",SUMPRODUCT((P$3:P$70&lt;&gt;"")*(G$3:G$70=G32)*(J$3:J$70&gt;J32))+1,IF(O32&lt;&gt;"",SUMPRODUCT((O$3:O$70&lt;&gt;"")*(P$3:P$70="")*(G$3:G$70=G32)*(J$3:J$70&gt;J32))+SUMPRODUCT((P$3:P$70&lt;&gt;"")*(G$3:G$70=G32))+1,IF(N32&lt;&gt;"",SUMPRODUCT((N$3:N$70&lt;&gt;"")*(G$3:G$70=G32)*(J$3:J$70&gt;J32))+1,IF(M32="P",SUMPRODUCT((O$3:O$70&lt;&gt;"")*(P$3:P$70="")*(G$3:G$70=G32))+SUMPRODUCT((P$3:P$70&lt;&gt;"")*(G$3:G$70=G32))+SUMPRODUCT((N$3:N$70&lt;&gt;"")*(G$3:G$70=G32))+SUMPRODUCT((P$3:P$70="")*(O$3:O$70="")*(N$3:N$70="")*(M$3:M$70="P")*(G$3:G$70=G32)*(J$3:J$70&gt;J32))+IF(H32="L5",SUMPRODUCT((P$3:P$70="")*(O$3:O$70="")*(N$3:N$70="")*(M$3:M$70="P")*(G$3:G$70=G32)*(J$3:J$70&lt;J32)*(H$3:H$70&lt;&gt;H32)),-1*SUMPRODUCT((P$3:P$70="")*(O$3:O$70="")*(N$3:N$70="")*(M$3:M$70="P")*(G$3:G$70=G32)*(J$3:J$70&gt;J32)*(H$3:H$70="L5")))+1,""))))</f>
        <v/>
      </c>
      <c r="C32" s="36" t="s">
        <v>93</v>
      </c>
      <c r="D32" s="36" t="str">
        <f>IF(E32="","",VLOOKUP(E32,'Coaching Points'!A:B,2,0))</f>
        <v>QC</v>
      </c>
      <c r="E32" s="36" t="s">
        <v>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79.430000000000007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41.25</v>
      </c>
      <c r="S32" s="4">
        <f>IF(G32="17-21",LARGE(CHOOSE({1,2,3,4,5,6},T32,V32,Y32,AA32,AC32,AF32),2),IF(R32=X32,MAX(Y32,AA32,AC32,AF32),IF(R32=AE32,MAX(AF32,T32,V32,Y32),0)))</f>
        <v>38.18</v>
      </c>
      <c r="T32" s="33">
        <v>38.18</v>
      </c>
      <c r="U32" s="40">
        <v>0</v>
      </c>
      <c r="V32" s="34">
        <v>41.25</v>
      </c>
      <c r="W32" s="40">
        <v>7.5</v>
      </c>
      <c r="X32" s="4">
        <f>IF(H32="Senior",MAX(T32,V32),T32+V32)</f>
        <v>79.430000000000007</v>
      </c>
      <c r="Y32" s="34"/>
      <c r="Z32" s="40"/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$70&lt;&gt;"")*(G$3:G$70=G33)*(J$3:J$70&gt;J33)*(I$3:I$70="P"))+1,IF(O33&lt;&gt;"",SUMPRODUCT((O$3:O$70&lt;&gt;"")*(P$3:P$70="")*(G$3:G$70=G33)*(J$3:J$70&gt;J33)*(I$3:I$70="P"))+SUMPRODUCT((P$3:P$70&lt;&gt;"")*(G$3:G$70=G33)*(I$3:I$70="P"))+1,IF(N33&lt;&gt;"",SUMPRODUCT((N$3:N$70&lt;&gt;"")*(G$3:G$70=G33)*(J$3:J$70&gt;J33)*(I$3:I$70="P"))+1,IF(M33="P",SUMPRODUCT((O$3:O$70&lt;&gt;"")*(P$3:P$70="")*(G$3:G$70=G33)*(I$3:I$70="P"))+SUMPRODUCT((P$3:P$70&lt;&gt;"")*(G$3:G$70=G33)*(I$3:I$70="P"))+SUMPRODUCT((N$3:N$70&lt;&gt;"")*(G$3:G$70=G33)*(I$3:I$70="P"))+SUMPRODUCT((P$3:P$70="")*(O$3:O$70="")*(N$3:N$70="")*(M$3:M$70="P")*(G$3:G$70=G33)*(J$3:J$70&gt;J33)*(I$3:I$70="P"))+IF(H33="L5",SUMPRODUCT((P$3:P$70="")*(O$3:O$70="")*(N$3:N$70="")*(M$3:M$70="P")*(G$3:G$70=G33)*(J$3:J$70&lt;J33)*(H$3:H$70&lt;&gt;H33)*(I$3:I$70="P")),-1*SUMPRODUCT((P$3:P$70="")*(O$3:O$70="")*(N$3:N$70="")*(M$3:M$70="P")*(G$3:G$70=G33)*(J$3:J$70&gt;J33)*(H$3:H$70="L5")*(I$3:I$70="P")))+1,"")))))</f>
        <v/>
      </c>
      <c r="B33" s="1" t="str" cm="1">
        <f t="array" ref="B33">IF(P33&lt;&gt;"",SUMPRODUCT((P$3:P$70&lt;&gt;"")*(G$3:G$70=G33)*(J$3:J$70&gt;J33))+1,IF(O33&lt;&gt;"",SUMPRODUCT((O$3:O$70&lt;&gt;"")*(P$3:P$70="")*(G$3:G$70=G33)*(J$3:J$70&gt;J33))+SUMPRODUCT((P$3:P$70&lt;&gt;"")*(G$3:G$70=G33))+1,IF(N33&lt;&gt;"",SUMPRODUCT((N$3:N$70&lt;&gt;"")*(G$3:G$70=G33)*(J$3:J$70&gt;J33))+1,IF(M33="P",SUMPRODUCT((O$3:O$70&lt;&gt;"")*(P$3:P$70="")*(G$3:G$70=G33))+SUMPRODUCT((P$3:P$70&lt;&gt;"")*(G$3:G$70=G33))+SUMPRODUCT((N$3:N$70&lt;&gt;"")*(G$3:G$70=G33))+SUMPRODUCT((P$3:P$70="")*(O$3:O$70="")*(N$3:N$70="")*(M$3:M$70="P")*(G$3:G$70=G33)*(J$3:J$70&gt;J33))+IF(H33="L5",SUMPRODUCT((P$3:P$70="")*(O$3:O$70="")*(N$3:N$70="")*(M$3:M$70="P")*(G$3:G$70=G33)*(J$3:J$70&lt;J33)*(H$3:H$70&lt;&gt;H33)),-1*SUMPRODUCT((P$3:P$70="")*(O$3:O$70="")*(N$3:N$70="")*(M$3:M$70="P")*(G$3:G$70=G33)*(J$3:J$70&gt;J33)*(H$3:H$70="L5")))+1,""))))</f>
        <v/>
      </c>
      <c r="C33" s="36" t="s">
        <v>92</v>
      </c>
      <c r="D33" s="36" t="str">
        <f>IF(E33="","",VLOOKUP(E33,'Coaching Points'!A:B,2,0))</f>
        <v>ON</v>
      </c>
      <c r="E33" s="36" t="s">
        <v>100</v>
      </c>
      <c r="F33" s="35">
        <v>2006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79.400000000000006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46.94</v>
      </c>
      <c r="S33" s="4">
        <f>IF(G33="17-21",LARGE(CHOOSE({1,2,3,4,5,6},T33,V33,Y33,AA33,AC33,AF33),2),IF(R33=X33,MAX(Y33,AA33,AC33,AF33),IF(R33=AE33,MAX(AF33,T33,V33,Y33),0)))</f>
        <v>32.46</v>
      </c>
      <c r="T33" s="33">
        <v>32.46</v>
      </c>
      <c r="U33" s="40">
        <v>0</v>
      </c>
      <c r="V33" s="34">
        <v>46.94</v>
      </c>
      <c r="W33" s="40">
        <v>9.6</v>
      </c>
      <c r="X33" s="4">
        <f>IF(H33="Senior",MAX(T33,V33),T33+V33)</f>
        <v>79.400000000000006</v>
      </c>
      <c r="Y33" s="34"/>
      <c r="Z33" s="40"/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$70&lt;&gt;"")*(G$3:G$70=G34)*(J$3:J$70&gt;J34)*(I$3:I$70="P"))+1,IF(O34&lt;&gt;"",SUMPRODUCT((O$3:O$70&lt;&gt;"")*(P$3:P$70="")*(G$3:G$70=G34)*(J$3:J$70&gt;J34)*(I$3:I$70="P"))+SUMPRODUCT((P$3:P$70&lt;&gt;"")*(G$3:G$70=G34)*(I$3:I$70="P"))+1,IF(N34&lt;&gt;"",SUMPRODUCT((N$3:N$70&lt;&gt;"")*(G$3:G$70=G34)*(J$3:J$70&gt;J34)*(I$3:I$70="P"))+1,IF(M34="P",SUMPRODUCT((O$3:O$70&lt;&gt;"")*(P$3:P$70="")*(G$3:G$70=G34)*(I$3:I$70="P"))+SUMPRODUCT((P$3:P$70&lt;&gt;"")*(G$3:G$70=G34)*(I$3:I$70="P"))+SUMPRODUCT((N$3:N$70&lt;&gt;"")*(G$3:G$70=G34)*(I$3:I$70="P"))+SUMPRODUCT((P$3:P$70="")*(O$3:O$70="")*(N$3:N$70="")*(M$3:M$70="P")*(G$3:G$70=G34)*(J$3:J$70&gt;J34)*(I$3:I$70="P"))+IF(H34="L5",SUMPRODUCT((P$3:P$70="")*(O$3:O$70="")*(N$3:N$70="")*(M$3:M$70="P")*(G$3:G$70=G34)*(J$3:J$70&lt;J34)*(H$3:H$70&lt;&gt;H34)*(I$3:I$70="P")),-1*SUMPRODUCT((P$3:P$70="")*(O$3:O$70="")*(N$3:N$70="")*(M$3:M$70="P")*(G$3:G$70=G34)*(J$3:J$70&gt;J34)*(H$3:H$70="L5")*(I$3:I$70="P")))+1,"")))))</f>
        <v/>
      </c>
      <c r="B34" s="1" t="str" cm="1">
        <f t="array" ref="B34">IF(P34&lt;&gt;"",SUMPRODUCT((P$3:P$70&lt;&gt;"")*(G$3:G$70=G34)*(J$3:J$70&gt;J34))+1,IF(O34&lt;&gt;"",SUMPRODUCT((O$3:O$70&lt;&gt;"")*(P$3:P$70="")*(G$3:G$70=G34)*(J$3:J$70&gt;J34))+SUMPRODUCT((P$3:P$70&lt;&gt;"")*(G$3:G$70=G34))+1,IF(N34&lt;&gt;"",SUMPRODUCT((N$3:N$70&lt;&gt;"")*(G$3:G$70=G34)*(J$3:J$70&gt;J34))+1,IF(M34="P",SUMPRODUCT((O$3:O$70&lt;&gt;"")*(P$3:P$70="")*(G$3:G$70=G34))+SUMPRODUCT((P$3:P$70&lt;&gt;"")*(G$3:G$70=G34))+SUMPRODUCT((N$3:N$70&lt;&gt;"")*(G$3:G$70=G34))+SUMPRODUCT((P$3:P$70="")*(O$3:O$70="")*(N$3:N$70="")*(M$3:M$70="P")*(G$3:G$70=G34)*(J$3:J$70&gt;J34))+IF(H34="L5",SUMPRODUCT((P$3:P$70="")*(O$3:O$70="")*(N$3:N$70="")*(M$3:M$70="P")*(G$3:G$70=G34)*(J$3:J$70&lt;J34)*(H$3:H$70&lt;&gt;H34)),-1*SUMPRODUCT((P$3:P$70="")*(O$3:O$70="")*(N$3:N$70="")*(M$3:M$70="P")*(G$3:G$70=G34)*(J$3:J$70&gt;J34)*(H$3:H$70="L5")))+1,""))))</f>
        <v/>
      </c>
      <c r="C34" s="36" t="s">
        <v>98</v>
      </c>
      <c r="D34" s="36" t="str">
        <f>IF(E34="","",VLOOKUP(E34,'Coaching Points'!A:B,2,0))</f>
        <v>BC</v>
      </c>
      <c r="E34" s="36" t="s">
        <v>62</v>
      </c>
      <c r="F34" s="35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79.33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43.29</v>
      </c>
      <c r="S34" s="4">
        <f>IF(G34="17-21",LARGE(CHOOSE({1,2,3,4,5,6},T34,V34,Y34,AA34,AC34,AF34),2),IF(R34=X34,MAX(Y34,AA34,AC34,AF34),IF(R34=AE34,MAX(AF34,T34,V34,Y34),0)))</f>
        <v>36.04</v>
      </c>
      <c r="T34" s="33">
        <v>36.04</v>
      </c>
      <c r="U34" s="40">
        <v>0</v>
      </c>
      <c r="V34" s="34">
        <v>43.29</v>
      </c>
      <c r="W34" s="40">
        <v>8.9</v>
      </c>
      <c r="X34" s="4">
        <f>IF(H34="Senior",MAX(T34,V34),T34+V34)</f>
        <v>79.33</v>
      </c>
      <c r="Y34" s="34"/>
      <c r="Z34" s="40"/>
      <c r="AA34" s="33"/>
      <c r="AB34" s="40"/>
      <c r="AC34" s="34"/>
      <c r="AD34" s="40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$70&lt;&gt;"")*(G$3:G$70=G35)*(J$3:J$70&gt;J35)*(I$3:I$70="P"))+1,IF(O35&lt;&gt;"",SUMPRODUCT((O$3:O$70&lt;&gt;"")*(P$3:P$70="")*(G$3:G$70=G35)*(J$3:J$70&gt;J35)*(I$3:I$70="P"))+SUMPRODUCT((P$3:P$70&lt;&gt;"")*(G$3:G$70=G35)*(I$3:I$70="P"))+1,IF(N35&lt;&gt;"",SUMPRODUCT((N$3:N$70&lt;&gt;"")*(G$3:G$70=G35)*(J$3:J$70&gt;J35)*(I$3:I$70="P"))+1,IF(M35="P",SUMPRODUCT((O$3:O$70&lt;&gt;"")*(P$3:P$70="")*(G$3:G$70=G35)*(I$3:I$70="P"))+SUMPRODUCT((P$3:P$70&lt;&gt;"")*(G$3:G$70=G35)*(I$3:I$70="P"))+SUMPRODUCT((N$3:N$70&lt;&gt;"")*(G$3:G$70=G35)*(I$3:I$70="P"))+SUMPRODUCT((P$3:P$70="")*(O$3:O$70="")*(N$3:N$70="")*(M$3:M$70="P")*(G$3:G$70=G35)*(J$3:J$70&gt;J35)*(I$3:I$70="P"))+IF(H35="L5",SUMPRODUCT((P$3:P$70="")*(O$3:O$70="")*(N$3:N$70="")*(M$3:M$70="P")*(G$3:G$70=G35)*(J$3:J$70&lt;J35)*(H$3:H$70&lt;&gt;H35)*(I$3:I$70="P")),-1*SUMPRODUCT((P$3:P$70="")*(O$3:O$70="")*(N$3:N$70="")*(M$3:M$70="P")*(G$3:G$70=G35)*(J$3:J$70&gt;J35)*(H$3:H$70="L5")*(I$3:I$70="P")))+1,"")))))</f>
        <v/>
      </c>
      <c r="B35" s="1" t="str" cm="1">
        <f t="array" ref="B35">IF(P35&lt;&gt;"",SUMPRODUCT((P$3:P$70&lt;&gt;"")*(G$3:G$70=G35)*(J$3:J$70&gt;J35))+1,IF(O35&lt;&gt;"",SUMPRODUCT((O$3:O$70&lt;&gt;"")*(P$3:P$70="")*(G$3:G$70=G35)*(J$3:J$70&gt;J35))+SUMPRODUCT((P$3:P$70&lt;&gt;"")*(G$3:G$70=G35))+1,IF(N35&lt;&gt;"",SUMPRODUCT((N$3:N$70&lt;&gt;"")*(G$3:G$70=G35)*(J$3:J$70&gt;J35))+1,IF(M35="P",SUMPRODUCT((O$3:O$70&lt;&gt;"")*(P$3:P$70="")*(G$3:G$70=G35))+SUMPRODUCT((P$3:P$70&lt;&gt;"")*(G$3:G$70=G35))+SUMPRODUCT((N$3:N$70&lt;&gt;"")*(G$3:G$70=G35))+SUMPRODUCT((P$3:P$70="")*(O$3:O$70="")*(N$3:N$70="")*(M$3:M$70="P")*(G$3:G$70=G35)*(J$3:J$70&gt;J35))+IF(H35="L5",SUMPRODUCT((P$3:P$70="")*(O$3:O$70="")*(N$3:N$70="")*(M$3:M$70="P")*(G$3:G$70=G35)*(J$3:J$70&lt;J35)*(H$3:H$70&lt;&gt;H35)),-1*SUMPRODUCT((P$3:P$70="")*(O$3:O$70="")*(N$3:N$70="")*(M$3:M$70="P")*(G$3:G$70=G35)*(J$3:J$70&gt;J35)*(H$3:H$70="L5")))+1,""))))</f>
        <v/>
      </c>
      <c r="C35" s="36" t="s">
        <v>224</v>
      </c>
      <c r="D35" s="36" t="str">
        <f>IF(E35="","",VLOOKUP(E35,'Coaching Points'!A:B,2,0))</f>
        <v>ON</v>
      </c>
      <c r="E35" s="36" t="s">
        <v>73</v>
      </c>
      <c r="F35" s="35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79.13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42.82</v>
      </c>
      <c r="S35" s="4">
        <f>IF(G35="17-21",LARGE(CHOOSE({1,2,3,4,5,6},T35,V35,Y35,AA35,AC35,AF35),2),IF(R35=X35,MAX(Y35,AA35,AC35,AF35),IF(R35=AE35,MAX(AF35,T35,V35,Y35),0)))</f>
        <v>36.31</v>
      </c>
      <c r="T35" s="33">
        <v>36.31</v>
      </c>
      <c r="U35" s="40">
        <v>0</v>
      </c>
      <c r="V35" s="34">
        <v>42.82</v>
      </c>
      <c r="W35" s="40">
        <v>7.8</v>
      </c>
      <c r="X35" s="4">
        <f>IF(H35="Senior",MAX(T35,V35),T35+V35)</f>
        <v>79.13</v>
      </c>
      <c r="Y35" s="34"/>
      <c r="Z35" s="40"/>
      <c r="AA35" s="33"/>
      <c r="AB35" s="40"/>
      <c r="AC35" s="34"/>
      <c r="AD35" s="40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$70&lt;&gt;"")*(G$3:G$70=G36)*(J$3:J$70&gt;J36)*(I$3:I$70="P"))+1,IF(O36&lt;&gt;"",SUMPRODUCT((O$3:O$70&lt;&gt;"")*(P$3:P$70="")*(G$3:G$70=G36)*(J$3:J$70&gt;J36)*(I$3:I$70="P"))+SUMPRODUCT((P$3:P$70&lt;&gt;"")*(G$3:G$70=G36)*(I$3:I$70="P"))+1,IF(N36&lt;&gt;"",SUMPRODUCT((N$3:N$70&lt;&gt;"")*(G$3:G$70=G36)*(J$3:J$70&gt;J36)*(I$3:I$70="P"))+1,IF(M36="P",SUMPRODUCT((O$3:O$70&lt;&gt;"")*(P$3:P$70="")*(G$3:G$70=G36)*(I$3:I$70="P"))+SUMPRODUCT((P$3:P$70&lt;&gt;"")*(G$3:G$70=G36)*(I$3:I$70="P"))+SUMPRODUCT((N$3:N$70&lt;&gt;"")*(G$3:G$70=G36)*(I$3:I$70="P"))+SUMPRODUCT((P$3:P$70="")*(O$3:O$70="")*(N$3:N$70="")*(M$3:M$70="P")*(G$3:G$70=G36)*(J$3:J$70&gt;J36)*(I$3:I$70="P"))+IF(H36="L5",SUMPRODUCT((P$3:P$70="")*(O$3:O$70="")*(N$3:N$70="")*(M$3:M$70="P")*(G$3:G$70=G36)*(J$3:J$70&lt;J36)*(H$3:H$70&lt;&gt;H36)*(I$3:I$70="P")),-1*SUMPRODUCT((P$3:P$70="")*(O$3:O$70="")*(N$3:N$70="")*(M$3:M$70="P")*(G$3:G$70=G36)*(J$3:J$70&gt;J36)*(H$3:H$70="L5")*(I$3:I$70="P")))+1,"")))))</f>
        <v/>
      </c>
      <c r="B36" s="1" t="str" cm="1">
        <f t="array" ref="B36">IF(P36&lt;&gt;"",SUMPRODUCT((P$3:P$70&lt;&gt;"")*(G$3:G$70=G36)*(J$3:J$70&gt;J36))+1,IF(O36&lt;&gt;"",SUMPRODUCT((O$3:O$70&lt;&gt;"")*(P$3:P$70="")*(G$3:G$70=G36)*(J$3:J$70&gt;J36))+SUMPRODUCT((P$3:P$70&lt;&gt;"")*(G$3:G$70=G36))+1,IF(N36&lt;&gt;"",SUMPRODUCT((N$3:N$70&lt;&gt;"")*(G$3:G$70=G36)*(J$3:J$70&gt;J36))+1,IF(M36="P",SUMPRODUCT((O$3:O$70&lt;&gt;"")*(P$3:P$70="")*(G$3:G$70=G36))+SUMPRODUCT((P$3:P$70&lt;&gt;"")*(G$3:G$70=G36))+SUMPRODUCT((N$3:N$70&lt;&gt;"")*(G$3:G$70=G36))+SUMPRODUCT((P$3:P$70="")*(O$3:O$70="")*(N$3:N$70="")*(M$3:M$70="P")*(G$3:G$70=G36)*(J$3:J$70&gt;J36))+IF(H36="L5",SUMPRODUCT((P$3:P$70="")*(O$3:O$70="")*(N$3:N$70="")*(M$3:M$70="P")*(G$3:G$70=G36)*(J$3:J$70&lt;J36)*(H$3:H$70&lt;&gt;H36)),-1*SUMPRODUCT((P$3:P$70="")*(O$3:O$70="")*(N$3:N$70="")*(M$3:M$70="P")*(G$3:G$70=G36)*(J$3:J$70&gt;J36)*(H$3:H$70="L5")))+1,""))))</f>
        <v/>
      </c>
      <c r="C36" s="36" t="s">
        <v>90</v>
      </c>
      <c r="D36" s="36" t="str">
        <f>IF(E36="","",VLOOKUP(E36,'Coaching Points'!A:B,2,0))</f>
        <v>ON</v>
      </c>
      <c r="E36" s="36" t="s">
        <v>47</v>
      </c>
      <c r="F36" s="35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79.099999999999994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43.08</v>
      </c>
      <c r="S36" s="4">
        <f>IF(G36="17-21",LARGE(CHOOSE({1,2,3,4,5,6},T36,V36,Y36,AA36,AC36,AF36),2),IF(R36=X36,MAX(Y36,AA36,AC36,AF36),IF(R36=AE36,MAX(AF36,T36,V36,Y36),0)))</f>
        <v>36.020000000000003</v>
      </c>
      <c r="T36" s="33">
        <v>36.020000000000003</v>
      </c>
      <c r="U36" s="40">
        <v>0</v>
      </c>
      <c r="V36" s="34">
        <v>43.08</v>
      </c>
      <c r="W36" s="40">
        <v>7.8</v>
      </c>
      <c r="X36" s="4">
        <f>IF(H36="Senior",MAX(T36,V36),T36+V36)</f>
        <v>79.099999999999994</v>
      </c>
      <c r="Y36" s="34"/>
      <c r="Z36" s="40"/>
      <c r="AA36" s="33"/>
      <c r="AB36" s="40"/>
      <c r="AC36" s="34"/>
      <c r="AD36" s="40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$70&lt;&gt;"")*(G$3:G$70=G37)*(J$3:J$70&gt;J37)*(I$3:I$70="P"))+1,IF(O37&lt;&gt;"",SUMPRODUCT((O$3:O$70&lt;&gt;"")*(P$3:P$70="")*(G$3:G$70=G37)*(J$3:J$70&gt;J37)*(I$3:I$70="P"))+SUMPRODUCT((P$3:P$70&lt;&gt;"")*(G$3:G$70=G37)*(I$3:I$70="P"))+1,IF(N37&lt;&gt;"",SUMPRODUCT((N$3:N$70&lt;&gt;"")*(G$3:G$70=G37)*(J$3:J$70&gt;J37)*(I$3:I$70="P"))+1,IF(M37="P",SUMPRODUCT((O$3:O$70&lt;&gt;"")*(P$3:P$70="")*(G$3:G$70=G37)*(I$3:I$70="P"))+SUMPRODUCT((P$3:P$70&lt;&gt;"")*(G$3:G$70=G37)*(I$3:I$70="P"))+SUMPRODUCT((N$3:N$70&lt;&gt;"")*(G$3:G$70=G37)*(I$3:I$70="P"))+SUMPRODUCT((P$3:P$70="")*(O$3:O$70="")*(N$3:N$70="")*(M$3:M$70="P")*(G$3:G$70=G37)*(J$3:J$70&gt;J37)*(I$3:I$70="P"))+IF(H37="L5",SUMPRODUCT((P$3:P$70="")*(O$3:O$70="")*(N$3:N$70="")*(M$3:M$70="P")*(G$3:G$70=G37)*(J$3:J$70&lt;J37)*(H$3:H$70&lt;&gt;H37)*(I$3:I$70="P")),-1*SUMPRODUCT((P$3:P$70="")*(O$3:O$70="")*(N$3:N$70="")*(M$3:M$70="P")*(G$3:G$70=G37)*(J$3:J$70&gt;J37)*(H$3:H$70="L5")*(I$3:I$70="P")))+1,"")))))</f>
        <v/>
      </c>
      <c r="B37" s="1" t="str" cm="1">
        <f t="array" ref="B37">IF(P37&lt;&gt;"",SUMPRODUCT((P$3:P$70&lt;&gt;"")*(G$3:G$70=G37)*(J$3:J$70&gt;J37))+1,IF(O37&lt;&gt;"",SUMPRODUCT((O$3:O$70&lt;&gt;"")*(P$3:P$70="")*(G$3:G$70=G37)*(J$3:J$70&gt;J37))+SUMPRODUCT((P$3:P$70&lt;&gt;"")*(G$3:G$70=G37))+1,IF(N37&lt;&gt;"",SUMPRODUCT((N$3:N$70&lt;&gt;"")*(G$3:G$70=G37)*(J$3:J$70&gt;J37))+1,IF(M37="P",SUMPRODUCT((O$3:O$70&lt;&gt;"")*(P$3:P$70="")*(G$3:G$70=G37))+SUMPRODUCT((P$3:P$70&lt;&gt;"")*(G$3:G$70=G37))+SUMPRODUCT((N$3:N$70&lt;&gt;"")*(G$3:G$70=G37))+SUMPRODUCT((P$3:P$70="")*(O$3:O$70="")*(N$3:N$70="")*(M$3:M$70="P")*(G$3:G$70=G37)*(J$3:J$70&gt;J37))+IF(H37="L5",SUMPRODUCT((P$3:P$70="")*(O$3:O$70="")*(N$3:N$70="")*(M$3:M$70="P")*(G$3:G$70=G37)*(J$3:J$70&lt;J37)*(H$3:H$70&lt;&gt;H37)),-1*SUMPRODUCT((P$3:P$70="")*(O$3:O$70="")*(N$3:N$70="")*(M$3:M$70="P")*(G$3:G$70=G37)*(J$3:J$70&gt;J37)*(H$3:H$70="L5")))+1,""))))</f>
        <v/>
      </c>
      <c r="C37" s="36" t="s">
        <v>216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78.050000000000011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39.49</v>
      </c>
      <c r="S37" s="4">
        <f>IF(G37="17-21",LARGE(CHOOSE({1,2,3,4,5,6},T37,V37,Y37,AA37,AC37,AF37),2),IF(R37=X37,MAX(Y37,AA37,AC37,AF37),IF(R37=AE37,MAX(AF37,T37,V37,Y37),0)))</f>
        <v>38.56</v>
      </c>
      <c r="T37" s="33">
        <v>38.56</v>
      </c>
      <c r="U37" s="40">
        <v>0</v>
      </c>
      <c r="V37" s="34">
        <v>39.49</v>
      </c>
      <c r="W37" s="40">
        <v>7.7</v>
      </c>
      <c r="X37" s="4">
        <f>IF(H37="Senior",MAX(T37,V37),T37+V37)</f>
        <v>78.050000000000011</v>
      </c>
      <c r="Y37" s="34"/>
      <c r="Z37" s="40"/>
      <c r="AA37" s="33"/>
      <c r="AB37" s="40"/>
      <c r="AC37" s="34"/>
      <c r="AD37" s="40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$70&lt;&gt;"")*(G$3:G$70=G38)*(J$3:J$70&gt;J38)*(I$3:I$70="P"))+1,IF(O38&lt;&gt;"",SUMPRODUCT((O$3:O$70&lt;&gt;"")*(P$3:P$70="")*(G$3:G$70=G38)*(J$3:J$70&gt;J38)*(I$3:I$70="P"))+SUMPRODUCT((P$3:P$70&lt;&gt;"")*(G$3:G$70=G38)*(I$3:I$70="P"))+1,IF(N38&lt;&gt;"",SUMPRODUCT((N$3:N$70&lt;&gt;"")*(G$3:G$70=G38)*(J$3:J$70&gt;J38)*(I$3:I$70="P"))+1,IF(M38="P",SUMPRODUCT((O$3:O$70&lt;&gt;"")*(P$3:P$70="")*(G$3:G$70=G38)*(I$3:I$70="P"))+SUMPRODUCT((P$3:P$70&lt;&gt;"")*(G$3:G$70=G38)*(I$3:I$70="P"))+SUMPRODUCT((N$3:N$70&lt;&gt;"")*(G$3:G$70=G38)*(I$3:I$70="P"))+SUMPRODUCT((P$3:P$70="")*(O$3:O$70="")*(N$3:N$70="")*(M$3:M$70="P")*(G$3:G$70=G38)*(J$3:J$70&gt;J38)*(I$3:I$70="P"))+IF(H38="L5",SUMPRODUCT((P$3:P$70="")*(O$3:O$70="")*(N$3:N$70="")*(M$3:M$70="P")*(G$3:G$70=G38)*(J$3:J$70&lt;J38)*(H$3:H$70&lt;&gt;H38)*(I$3:I$70="P")),-1*SUMPRODUCT((P$3:P$70="")*(O$3:O$70="")*(N$3:N$70="")*(M$3:M$70="P")*(G$3:G$70=G38)*(J$3:J$70&gt;J38)*(H$3:H$70="L5")*(I$3:I$70="P")))+1,"")))))</f>
        <v/>
      </c>
      <c r="B38" s="1" t="str" cm="1">
        <f t="array" ref="B38">IF(P38&lt;&gt;"",SUMPRODUCT((P$3:P$70&lt;&gt;"")*(G$3:G$70=G38)*(J$3:J$70&gt;J38))+1,IF(O38&lt;&gt;"",SUMPRODUCT((O$3:O$70&lt;&gt;"")*(P$3:P$70="")*(G$3:G$70=G38)*(J$3:J$70&gt;J38))+SUMPRODUCT((P$3:P$70&lt;&gt;"")*(G$3:G$70=G38))+1,IF(N38&lt;&gt;"",SUMPRODUCT((N$3:N$70&lt;&gt;"")*(G$3:G$70=G38)*(J$3:J$70&gt;J38))+1,IF(M38="P",SUMPRODUCT((O$3:O$70&lt;&gt;"")*(P$3:P$70="")*(G$3:G$70=G38))+SUMPRODUCT((P$3:P$70&lt;&gt;"")*(G$3:G$70=G38))+SUMPRODUCT((N$3:N$70&lt;&gt;"")*(G$3:G$70=G38))+SUMPRODUCT((P$3:P$70="")*(O$3:O$70="")*(N$3:N$70="")*(M$3:M$70="P")*(G$3:G$70=G38)*(J$3:J$70&gt;J38))+IF(H38="L5",SUMPRODUCT((P$3:P$70="")*(O$3:O$70="")*(N$3:N$70="")*(M$3:M$70="P")*(G$3:G$70=G38)*(J$3:J$70&lt;J38)*(H$3:H$70&lt;&gt;H38)),-1*SUMPRODUCT((P$3:P$70="")*(O$3:O$70="")*(N$3:N$70="")*(M$3:M$70="P")*(G$3:G$70=G38)*(J$3:J$70&gt;J38)*(H$3:H$70="L5")))+1,""))))</f>
        <v/>
      </c>
      <c r="C38" s="36" t="s">
        <v>108</v>
      </c>
      <c r="D38" s="36" t="str">
        <f>IF(E38="","",VLOOKUP(E38,'Coaching Points'!A:B,2,0))</f>
        <v>BC</v>
      </c>
      <c r="E38" s="36" t="s">
        <v>41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68</v>
      </c>
      <c r="I38" s="43"/>
      <c r="J38" s="4">
        <f>R38+S38+IF(OR(H38="Junior",H38="Senior"),0.0002,IF(OR(H38="L7",H38="L6"),0.0001,0))+IF(G38="17-21",MAX(AA38,AC38,AF38),AE38)*0.0000001</f>
        <v>72.340100000000007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>P</v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47.16</v>
      </c>
      <c r="S38" s="4">
        <f>IF(G38="17-21",LARGE(CHOOSE({1,2,3,4,5,6},T38,V38,Y38,AA38,AC38,AF38),2),IF(R38=X38,MAX(Y38,AA38,AC38,AF38),IF(R38=AE38,MAX(AF38,T38,V38,Y38),0)))</f>
        <v>25.18</v>
      </c>
      <c r="T38" s="33">
        <v>25.18</v>
      </c>
      <c r="U38" s="40">
        <v>7.3</v>
      </c>
      <c r="V38" s="34">
        <v>47.16</v>
      </c>
      <c r="W38" s="40">
        <v>13.5</v>
      </c>
      <c r="X38" s="4">
        <f>IF(H38="Senior",MAX(T38,V38),T38+V38)</f>
        <v>72.34</v>
      </c>
      <c r="Y38" s="34"/>
      <c r="Z38" s="40"/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$70&lt;&gt;"")*(G$3:G$70=G39)*(J$3:J$70&gt;J39)*(I$3:I$70="P"))+1,IF(O39&lt;&gt;"",SUMPRODUCT((O$3:O$70&lt;&gt;"")*(P$3:P$70="")*(G$3:G$70=G39)*(J$3:J$70&gt;J39)*(I$3:I$70="P"))+SUMPRODUCT((P$3:P$70&lt;&gt;"")*(G$3:G$70=G39)*(I$3:I$70="P"))+1,IF(N39&lt;&gt;"",SUMPRODUCT((N$3:N$70&lt;&gt;"")*(G$3:G$70=G39)*(J$3:J$70&gt;J39)*(I$3:I$70="P"))+1,IF(M39="P",SUMPRODUCT((O$3:O$70&lt;&gt;"")*(P$3:P$70="")*(G$3:G$70=G39)*(I$3:I$70="P"))+SUMPRODUCT((P$3:P$70&lt;&gt;"")*(G$3:G$70=G39)*(I$3:I$70="P"))+SUMPRODUCT((N$3:N$70&lt;&gt;"")*(G$3:G$70=G39)*(I$3:I$70="P"))+SUMPRODUCT((P$3:P$70="")*(O$3:O$70="")*(N$3:N$70="")*(M$3:M$70="P")*(G$3:G$70=G39)*(J$3:J$70&gt;J39)*(I$3:I$70="P"))+IF(H39="L5",SUMPRODUCT((P$3:P$70="")*(O$3:O$70="")*(N$3:N$70="")*(M$3:M$70="P")*(G$3:G$70=G39)*(J$3:J$70&lt;J39)*(H$3:H$70&lt;&gt;H39)*(I$3:I$70="P")),-1*SUMPRODUCT((P$3:P$70="")*(O$3:O$70="")*(N$3:N$70="")*(M$3:M$70="P")*(G$3:G$70=G39)*(J$3:J$70&gt;J39)*(H$3:H$70="L5")*(I$3:I$70="P")))+1,"")))))</f>
        <v/>
      </c>
      <c r="B39" s="1" t="str" cm="1">
        <f t="array" ref="B39">IF(P39&lt;&gt;"",SUMPRODUCT((P$3:P$70&lt;&gt;"")*(G$3:G$70=G39)*(J$3:J$70&gt;J39))+1,IF(O39&lt;&gt;"",SUMPRODUCT((O$3:O$70&lt;&gt;"")*(P$3:P$70="")*(G$3:G$70=G39)*(J$3:J$70&gt;J39))+SUMPRODUCT((P$3:P$70&lt;&gt;"")*(G$3:G$70=G39))+1,IF(N39&lt;&gt;"",SUMPRODUCT((N$3:N$70&lt;&gt;"")*(G$3:G$70=G39)*(J$3:J$70&gt;J39))+1,IF(M39="P",SUMPRODUCT((O$3:O$70&lt;&gt;"")*(P$3:P$70="")*(G$3:G$70=G39))+SUMPRODUCT((P$3:P$70&lt;&gt;"")*(G$3:G$70=G39))+SUMPRODUCT((N$3:N$70&lt;&gt;"")*(G$3:G$70=G39))+SUMPRODUCT((P$3:P$70="")*(O$3:O$70="")*(N$3:N$70="")*(M$3:M$70="P")*(G$3:G$70=G39)*(J$3:J$70&gt;J39))+IF(H39="L5",SUMPRODUCT((P$3:P$70="")*(O$3:O$70="")*(N$3:N$70="")*(M$3:M$70="P")*(G$3:G$70=G39)*(J$3:J$70&lt;J39)*(H$3:H$70&lt;&gt;H39)),-1*SUMPRODUCT((P$3:P$70="")*(O$3:O$70="")*(N$3:N$70="")*(M$3:M$70="P")*(G$3:G$70=G39)*(J$3:J$70&gt;J39)*(H$3:H$70="L5")))+1,""))))</f>
        <v/>
      </c>
      <c r="C39" s="36" t="s">
        <v>105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R39+S39+IF(OR(H39="Junior",H39="Senior"),0.0002,IF(OR(H39="L7",H39="L6"),0.0001,0))+IF(G39="17-21",MAX(AA39,AC39,AF39),AE39)*0.0000001</f>
        <v>65.920100000000005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44.63</v>
      </c>
      <c r="S39" s="4">
        <f>IF(G39="17-21",LARGE(CHOOSE({1,2,3,4,5,6},T39,V39,Y39,AA39,AC39,AF39),2),IF(R39=X39,MAX(Y39,AA39,AC39,AF39),IF(R39=AE39,MAX(AF39,T39,V39,Y39),0)))</f>
        <v>21.29</v>
      </c>
      <c r="T39" s="33">
        <v>21.29</v>
      </c>
      <c r="U39" s="40">
        <v>5.4</v>
      </c>
      <c r="V39" s="34">
        <v>44.63</v>
      </c>
      <c r="W39" s="40">
        <v>11.9</v>
      </c>
      <c r="X39" s="4">
        <f>IF(H39="Senior",MAX(T39,V39),T39+V39)</f>
        <v>65.92</v>
      </c>
      <c r="Y39" s="34"/>
      <c r="Z39" s="40"/>
      <c r="AA39" s="33"/>
      <c r="AB39" s="40"/>
      <c r="AC39" s="34"/>
      <c r="AD39" s="40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$70&lt;&gt;"")*(G$3:G$70=G40)*(J$3:J$70&gt;J40)*(I$3:I$70="P"))+1,IF(O40&lt;&gt;"",SUMPRODUCT((O$3:O$70&lt;&gt;"")*(P$3:P$70="")*(G$3:G$70=G40)*(J$3:J$70&gt;J40)*(I$3:I$70="P"))+SUMPRODUCT((P$3:P$70&lt;&gt;"")*(G$3:G$70=G40)*(I$3:I$70="P"))+1,IF(N40&lt;&gt;"",SUMPRODUCT((N$3:N$70&lt;&gt;"")*(G$3:G$70=G40)*(J$3:J$70&gt;J40)*(I$3:I$70="P"))+1,IF(M40="P",SUMPRODUCT((O$3:O$70&lt;&gt;"")*(P$3:P$70="")*(G$3:G$70=G40)*(I$3:I$70="P"))+SUMPRODUCT((P$3:P$70&lt;&gt;"")*(G$3:G$70=G40)*(I$3:I$70="P"))+SUMPRODUCT((N$3:N$70&lt;&gt;"")*(G$3:G$70=G40)*(I$3:I$70="P"))+SUMPRODUCT((P$3:P$70="")*(O$3:O$70="")*(N$3:N$70="")*(M$3:M$70="P")*(G$3:G$70=G40)*(J$3:J$70&gt;J40)*(I$3:I$70="P"))+IF(H40="L5",SUMPRODUCT((P$3:P$70="")*(O$3:O$70="")*(N$3:N$70="")*(M$3:M$70="P")*(G$3:G$70=G40)*(J$3:J$70&lt;J40)*(H$3:H$70&lt;&gt;H40)*(I$3:I$70="P")),-1*SUMPRODUCT((P$3:P$70="")*(O$3:O$70="")*(N$3:N$70="")*(M$3:M$70="P")*(G$3:G$70=G40)*(J$3:J$70&gt;J40)*(H$3:H$70="L5")*(I$3:I$70="P")))+1,"")))))</f>
        <v/>
      </c>
      <c r="B40" s="1" t="str" cm="1">
        <f t="array" ref="B40">IF(P40&lt;&gt;"",SUMPRODUCT((P$3:P$70&lt;&gt;"")*(G$3:G$70=G40)*(J$3:J$70&gt;J40))+1,IF(O40&lt;&gt;"",SUMPRODUCT((O$3:O$70&lt;&gt;"")*(P$3:P$70="")*(G$3:G$70=G40)*(J$3:J$70&gt;J40))+SUMPRODUCT((P$3:P$70&lt;&gt;"")*(G$3:G$70=G40))+1,IF(N40&lt;&gt;"",SUMPRODUCT((N$3:N$70&lt;&gt;"")*(G$3:G$70=G40)*(J$3:J$70&gt;J40))+1,IF(M40="P",SUMPRODUCT((O$3:O$70&lt;&gt;"")*(P$3:P$70="")*(G$3:G$70=G40))+SUMPRODUCT((P$3:P$70&lt;&gt;"")*(G$3:G$70=G40))+SUMPRODUCT((N$3:N$70&lt;&gt;"")*(G$3:G$70=G40))+SUMPRODUCT((P$3:P$70="")*(O$3:O$70="")*(N$3:N$70="")*(M$3:M$70="P")*(G$3:G$70=G40)*(J$3:J$70&gt;J40))+IF(H40="L5",SUMPRODUCT((P$3:P$70="")*(O$3:O$70="")*(N$3:N$70="")*(M$3:M$70="P")*(G$3:G$70=G40)*(J$3:J$70&lt;J40)*(H$3:H$70&lt;&gt;H40)),-1*SUMPRODUCT((P$3:P$70="")*(O$3:O$70="")*(N$3:N$70="")*(M$3:M$70="P")*(G$3:G$70=G40)*(J$3:J$70&gt;J40)*(H$3:H$70="L5")))+1,""))))</f>
        <v/>
      </c>
      <c r="C40" s="36" t="s">
        <v>325</v>
      </c>
      <c r="D40" s="36" t="str">
        <f>IF(E40="","",VLOOKUP(E40,'Coaching Points'!A:B,2,0))</f>
        <v>ON</v>
      </c>
      <c r="E40" s="36" t="s">
        <v>113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57.66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38.51</v>
      </c>
      <c r="S40" s="4">
        <f>IF(G40="17-21",LARGE(CHOOSE({1,2,3,4,5,6},T40,V40,Y40,AA40,AC40,AF40),2),IF(R40=X40,MAX(Y40,AA40,AC40,AF40),IF(R40=AE40,MAX(AF40,T40,V40,Y40),0)))</f>
        <v>19.149999999999999</v>
      </c>
      <c r="T40" s="33">
        <v>38.51</v>
      </c>
      <c r="U40" s="40">
        <v>0</v>
      </c>
      <c r="V40" s="34">
        <v>19.149999999999999</v>
      </c>
      <c r="W40" s="40">
        <v>4.4000000000000004</v>
      </c>
      <c r="X40" s="4">
        <f>IF(H40="Senior",MAX(T40,V40),T40+V40)</f>
        <v>57.66</v>
      </c>
      <c r="Y40" s="34"/>
      <c r="Z40" s="40"/>
      <c r="AA40" s="33"/>
      <c r="AB40" s="40"/>
      <c r="AC40" s="34"/>
      <c r="AD40" s="40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$70&lt;&gt;"")*(G$3:G$70=G41)*(J$3:J$70&gt;J41)*(I$3:I$70="P"))+1,IF(O41&lt;&gt;"",SUMPRODUCT((O$3:O$70&lt;&gt;"")*(P$3:P$70="")*(G$3:G$70=G41)*(J$3:J$70&gt;J41)*(I$3:I$70="P"))+SUMPRODUCT((P$3:P$70&lt;&gt;"")*(G$3:G$70=G41)*(I$3:I$70="P"))+1,IF(N41&lt;&gt;"",SUMPRODUCT((N$3:N$70&lt;&gt;"")*(G$3:G$70=G41)*(J$3:J$70&gt;J41)*(I$3:I$70="P"))+1,IF(M41="P",SUMPRODUCT((O$3:O$70&lt;&gt;"")*(P$3:P$70="")*(G$3:G$70=G41)*(I$3:I$70="P"))+SUMPRODUCT((P$3:P$70&lt;&gt;"")*(G$3:G$70=G41)*(I$3:I$70="P"))+SUMPRODUCT((N$3:N$70&lt;&gt;"")*(G$3:G$70=G41)*(I$3:I$70="P"))+SUMPRODUCT((P$3:P$70="")*(O$3:O$70="")*(N$3:N$70="")*(M$3:M$70="P")*(G$3:G$70=G41)*(J$3:J$70&gt;J41)*(I$3:I$70="P"))+IF(H41="L5",SUMPRODUCT((P$3:P$70="")*(O$3:O$70="")*(N$3:N$70="")*(M$3:M$70="P")*(G$3:G$70=G41)*(J$3:J$70&lt;J41)*(H$3:H$70&lt;&gt;H41)*(I$3:I$70="P")),-1*SUMPRODUCT((P$3:P$70="")*(O$3:O$70="")*(N$3:N$70="")*(M$3:M$70="P")*(G$3:G$70=G41)*(J$3:J$70&gt;J41)*(H$3:H$70="L5")*(I$3:I$70="P")))+1,"")))))</f>
        <v/>
      </c>
      <c r="B41" s="1" t="str" cm="1">
        <f t="array" ref="B41">IF(P41&lt;&gt;"",SUMPRODUCT((P$3:P$70&lt;&gt;"")*(G$3:G$70=G41)*(J$3:J$70&gt;J41))+1,IF(O41&lt;&gt;"",SUMPRODUCT((O$3:O$70&lt;&gt;"")*(P$3:P$70="")*(G$3:G$70=G41)*(J$3:J$70&gt;J41))+SUMPRODUCT((P$3:P$70&lt;&gt;"")*(G$3:G$70=G41))+1,IF(N41&lt;&gt;"",SUMPRODUCT((N$3:N$70&lt;&gt;"")*(G$3:G$70=G41)*(J$3:J$70&gt;J41))+1,IF(M41="P",SUMPRODUCT((O$3:O$70&lt;&gt;"")*(P$3:P$70="")*(G$3:G$70=G41))+SUMPRODUCT((P$3:P$70&lt;&gt;"")*(G$3:G$70=G41))+SUMPRODUCT((N$3:N$70&lt;&gt;"")*(G$3:G$70=G41))+SUMPRODUCT((P$3:P$70="")*(O$3:O$70="")*(N$3:N$70="")*(M$3:M$70="P")*(G$3:G$70=G41)*(J$3:J$70&gt;J41))+IF(H41="L5",SUMPRODUCT((P$3:P$70="")*(O$3:O$70="")*(N$3:N$70="")*(M$3:M$70="P")*(G$3:G$70=G41)*(J$3:J$70&lt;J41)*(H$3:H$70&lt;&gt;H41)),-1*SUMPRODUCT((P$3:P$70="")*(O$3:O$70="")*(N$3:N$70="")*(M$3:M$70="P")*(G$3:G$70=G41)*(J$3:J$70&gt;J41)*(H$3:H$70="L5")))+1,""))))</f>
        <v/>
      </c>
      <c r="C41" s="36" t="s">
        <v>221</v>
      </c>
      <c r="D41" s="36" t="str">
        <f>IF(E41="","",VLOOKUP(E41,'Coaching Points'!A:B,2,0))</f>
        <v>ON</v>
      </c>
      <c r="E41" s="36" t="s">
        <v>100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56.89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37.44</v>
      </c>
      <c r="S41" s="4">
        <f>IF(G41="17-21",LARGE(CHOOSE({1,2,3,4,5,6},T41,V41,Y41,AA41,AC41,AF41),2),IF(R41=X41,MAX(Y41,AA41,AC41,AF41),IF(R41=AE41,MAX(AF41,T41,V41,Y41),0)))</f>
        <v>19.45</v>
      </c>
      <c r="T41" s="33">
        <v>37.44</v>
      </c>
      <c r="U41" s="40">
        <v>0</v>
      </c>
      <c r="V41" s="34">
        <v>19.45</v>
      </c>
      <c r="W41" s="40">
        <v>4.4000000000000004</v>
      </c>
      <c r="X41" s="4">
        <f>IF(H41="Senior",MAX(T41,V41),T41+V41)</f>
        <v>56.89</v>
      </c>
      <c r="Y41" s="34"/>
      <c r="Z41" s="40"/>
      <c r="AA41" s="33"/>
      <c r="AB41" s="40"/>
      <c r="AC41" s="34"/>
      <c r="AD41" s="40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$70&lt;&gt;"")*(G$3:G$70=G42)*(J$3:J$70&gt;J42)*(I$3:I$70="P"))+1,IF(O42&lt;&gt;"",SUMPRODUCT((O$3:O$70&lt;&gt;"")*(P$3:P$70="")*(G$3:G$70=G42)*(J$3:J$70&gt;J42)*(I$3:I$70="P"))+SUMPRODUCT((P$3:P$70&lt;&gt;"")*(G$3:G$70=G42)*(I$3:I$70="P"))+1,IF(N42&lt;&gt;"",SUMPRODUCT((N$3:N$70&lt;&gt;"")*(G$3:G$70=G42)*(J$3:J$70&gt;J42)*(I$3:I$70="P"))+1,IF(M42="P",SUMPRODUCT((O$3:O$70&lt;&gt;"")*(P$3:P$70="")*(G$3:G$70=G42)*(I$3:I$70="P"))+SUMPRODUCT((P$3:P$70&lt;&gt;"")*(G$3:G$70=G42)*(I$3:I$70="P"))+SUMPRODUCT((N$3:N$70&lt;&gt;"")*(G$3:G$70=G42)*(I$3:I$70="P"))+SUMPRODUCT((P$3:P$70="")*(O$3:O$70="")*(N$3:N$70="")*(M$3:M$70="P")*(G$3:G$70=G42)*(J$3:J$70&gt;J42)*(I$3:I$70="P"))+IF(H42="L5",SUMPRODUCT((P$3:P$70="")*(O$3:O$70="")*(N$3:N$70="")*(M$3:M$70="P")*(G$3:G$70=G42)*(J$3:J$70&lt;J42)*(H$3:H$70&lt;&gt;H42)*(I$3:I$70="P")),-1*SUMPRODUCT((P$3:P$70="")*(O$3:O$70="")*(N$3:N$70="")*(M$3:M$70="P")*(G$3:G$70=G42)*(J$3:J$70&gt;J42)*(H$3:H$70="L5")*(I$3:I$70="P")))+1,"")))))</f>
        <v/>
      </c>
      <c r="B42" s="1" t="str" cm="1">
        <f t="array" ref="B42">IF(P42&lt;&gt;"",SUMPRODUCT((P$3:P$70&lt;&gt;"")*(G$3:G$70=G42)*(J$3:J$70&gt;J42))+1,IF(O42&lt;&gt;"",SUMPRODUCT((O$3:O$70&lt;&gt;"")*(P$3:P$70="")*(G$3:G$70=G42)*(J$3:J$70&gt;J42))+SUMPRODUCT((P$3:P$70&lt;&gt;"")*(G$3:G$70=G42))+1,IF(N42&lt;&gt;"",SUMPRODUCT((N$3:N$70&lt;&gt;"")*(G$3:G$70=G42)*(J$3:J$70&gt;J42))+1,IF(M42="P",SUMPRODUCT((O$3:O$70&lt;&gt;"")*(P$3:P$70="")*(G$3:G$70=G42))+SUMPRODUCT((P$3:P$70&lt;&gt;"")*(G$3:G$70=G42))+SUMPRODUCT((N$3:N$70&lt;&gt;"")*(G$3:G$70=G42))+SUMPRODUCT((P$3:P$70="")*(O$3:O$70="")*(N$3:N$70="")*(M$3:M$70="P")*(G$3:G$70=G42)*(J$3:J$70&gt;J42))+IF(H42="L5",SUMPRODUCT((P$3:P$70="")*(O$3:O$70="")*(N$3:N$70="")*(M$3:M$70="P")*(G$3:G$70=G42)*(J$3:J$70&lt;J42)*(H$3:H$70&lt;&gt;H42)),-1*SUMPRODUCT((P$3:P$70="")*(O$3:O$70="")*(N$3:N$70="")*(M$3:M$70="P")*(G$3:G$70=G42)*(J$3:J$70&gt;J42)*(H$3:H$70="L5")))+1,""))))</f>
        <v/>
      </c>
      <c r="C42" s="36" t="s">
        <v>94</v>
      </c>
      <c r="D42" s="36" t="str">
        <f>IF(E42="","",VLOOKUP(E42,'Coaching Points'!A:B,2,0))</f>
        <v>ON</v>
      </c>
      <c r="E42" s="36" t="s">
        <v>38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>R42+S42+IF(OR(H42="Junior",H42="Senior"),0.0002,IF(OR(H42="L7",H42="L6"),0.0001,0))+IF(G42="17-21",MAX(AA42,AC42,AF42),AE42)*0.0000001</f>
        <v>55.7301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45.4</v>
      </c>
      <c r="S42" s="4">
        <f>IF(G42="17-21",LARGE(CHOOSE({1,2,3,4,5,6},T42,V42,Y42,AA42,AC42,AF42),2),IF(R42=X42,MAX(Y42,AA42,AC42,AF42),IF(R42=AE42,MAX(AF42,T42,V42,Y42),0)))</f>
        <v>10.33</v>
      </c>
      <c r="T42" s="33">
        <v>45.4</v>
      </c>
      <c r="U42" s="40">
        <v>9.9</v>
      </c>
      <c r="V42" s="34">
        <v>10.33</v>
      </c>
      <c r="W42" s="40">
        <v>2.9</v>
      </c>
      <c r="X42" s="4">
        <f>IF(H42="Senior",MAX(T42,V42),T42+V42)</f>
        <v>55.73</v>
      </c>
      <c r="Y42" s="34"/>
      <c r="Z42" s="40"/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$70&lt;&gt;"")*(G$3:G$70=G43)*(J$3:J$70&gt;J43)*(I$3:I$70="P"))+1,IF(O43&lt;&gt;"",SUMPRODUCT((O$3:O$70&lt;&gt;"")*(P$3:P$70="")*(G$3:G$70=G43)*(J$3:J$70&gt;J43)*(I$3:I$70="P"))+SUMPRODUCT((P$3:P$70&lt;&gt;"")*(G$3:G$70=G43)*(I$3:I$70="P"))+1,IF(N43&lt;&gt;"",SUMPRODUCT((N$3:N$70&lt;&gt;"")*(G$3:G$70=G43)*(J$3:J$70&gt;J43)*(I$3:I$70="P"))+1,IF(M43="P",SUMPRODUCT((O$3:O$70&lt;&gt;"")*(P$3:P$70="")*(G$3:G$70=G43)*(I$3:I$70="P"))+SUMPRODUCT((P$3:P$70&lt;&gt;"")*(G$3:G$70=G43)*(I$3:I$70="P"))+SUMPRODUCT((N$3:N$70&lt;&gt;"")*(G$3:G$70=G43)*(I$3:I$70="P"))+SUMPRODUCT((P$3:P$70="")*(O$3:O$70="")*(N$3:N$70="")*(M$3:M$70="P")*(G$3:G$70=G43)*(J$3:J$70&gt;J43)*(I$3:I$70="P"))+IF(H43="L5",SUMPRODUCT((P$3:P$70="")*(O$3:O$70="")*(N$3:N$70="")*(M$3:M$70="P")*(G$3:G$70=G43)*(J$3:J$70&lt;J43)*(H$3:H$70&lt;&gt;H43)*(I$3:I$70="P")),-1*SUMPRODUCT((P$3:P$70="")*(O$3:O$70="")*(N$3:N$70="")*(M$3:M$70="P")*(G$3:G$70=G43)*(J$3:J$70&gt;J43)*(H$3:H$70="L5")*(I$3:I$70="P")))+1,"")))))</f>
        <v/>
      </c>
      <c r="B43" s="1" t="str" cm="1">
        <f t="array" ref="B43">IF(P43&lt;&gt;"",SUMPRODUCT((P$3:P$70&lt;&gt;"")*(G$3:G$70=G43)*(J$3:J$70&gt;J43))+1,IF(O43&lt;&gt;"",SUMPRODUCT((O$3:O$70&lt;&gt;"")*(P$3:P$70="")*(G$3:G$70=G43)*(J$3:J$70&gt;J43))+SUMPRODUCT((P$3:P$70&lt;&gt;"")*(G$3:G$70=G43))+1,IF(N43&lt;&gt;"",SUMPRODUCT((N$3:N$70&lt;&gt;"")*(G$3:G$70=G43)*(J$3:J$70&gt;J43))+1,IF(M43="P",SUMPRODUCT((O$3:O$70&lt;&gt;"")*(P$3:P$70="")*(G$3:G$70=G43))+SUMPRODUCT((P$3:P$70&lt;&gt;"")*(G$3:G$70=G43))+SUMPRODUCT((N$3:N$70&lt;&gt;"")*(G$3:G$70=G43))+SUMPRODUCT((P$3:P$70="")*(O$3:O$70="")*(N$3:N$70="")*(M$3:M$70="P")*(G$3:G$70=G43)*(J$3:J$70&gt;J43))+IF(H43="L5",SUMPRODUCT((P$3:P$70="")*(O$3:O$70="")*(N$3:N$70="")*(M$3:M$70="P")*(G$3:G$70=G43)*(J$3:J$70&lt;J43)*(H$3:H$70&lt;&gt;H43)),-1*SUMPRODUCT((P$3:P$70="")*(O$3:O$70="")*(N$3:N$70="")*(M$3:M$70="P")*(G$3:G$70=G43)*(J$3:J$70&gt;J43)*(H$3:H$70="L5")))+1,""))))</f>
        <v/>
      </c>
      <c r="C43" s="36" t="s">
        <v>230</v>
      </c>
      <c r="D43" s="36" t="str">
        <f>IF(E43="","",VLOOKUP(E43,'Coaching Points'!A:B,2,0))</f>
        <v>NS</v>
      </c>
      <c r="E43" s="36" t="s">
        <v>134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R43+S43+IF(OR(H43="Junior",H43="Senior"),0.0002,IF(OR(H43="L7",H43="L6"),0.0001,0))+IF(G43="17-21",MAX(AA43,AC43,AF43),AE43)*0.0000001</f>
        <v>52.72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44.85</v>
      </c>
      <c r="S43" s="4">
        <f>IF(G43="17-21",LARGE(CHOOSE({1,2,3,4,5,6},T43,V43,Y43,AA43,AC43,AF43),2),IF(R43=X43,MAX(Y43,AA43,AC43,AF43),IF(R43=AE43,MAX(AF43,T43,V43,Y43),0)))</f>
        <v>7.87</v>
      </c>
      <c r="T43" s="33">
        <v>7.87</v>
      </c>
      <c r="U43" s="40">
        <v>0</v>
      </c>
      <c r="V43" s="34">
        <v>44.85</v>
      </c>
      <c r="W43" s="40">
        <v>9.6</v>
      </c>
      <c r="X43" s="4">
        <f>IF(H43="Senior",MAX(T43,V43),T43+V43)</f>
        <v>52.72</v>
      </c>
      <c r="Y43" s="34"/>
      <c r="Z43" s="40"/>
      <c r="AA43" s="33"/>
      <c r="AB43" s="40"/>
      <c r="AC43" s="34"/>
      <c r="AD43" s="40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$70&lt;&gt;"")*(G$3:G$70=G44)*(J$3:J$70&gt;J44)*(I$3:I$70="P"))+1,IF(O44&lt;&gt;"",SUMPRODUCT((O$3:O$70&lt;&gt;"")*(P$3:P$70="")*(G$3:G$70=G44)*(J$3:J$70&gt;J44)*(I$3:I$70="P"))+SUMPRODUCT((P$3:P$70&lt;&gt;"")*(G$3:G$70=G44)*(I$3:I$70="P"))+1,IF(N44&lt;&gt;"",SUMPRODUCT((N$3:N$70&lt;&gt;"")*(G$3:G$70=G44)*(J$3:J$70&gt;J44)*(I$3:I$70="P"))+1,IF(M44="P",SUMPRODUCT((O$3:O$70&lt;&gt;"")*(P$3:P$70="")*(G$3:G$70=G44)*(I$3:I$70="P"))+SUMPRODUCT((P$3:P$70&lt;&gt;"")*(G$3:G$70=G44)*(I$3:I$70="P"))+SUMPRODUCT((N$3:N$70&lt;&gt;"")*(G$3:G$70=G44)*(I$3:I$70="P"))+SUMPRODUCT((P$3:P$70="")*(O$3:O$70="")*(N$3:N$70="")*(M$3:M$70="P")*(G$3:G$70=G44)*(J$3:J$70&gt;J44)*(I$3:I$70="P"))+IF(H44="L5",SUMPRODUCT((P$3:P$70="")*(O$3:O$70="")*(N$3:N$70="")*(M$3:M$70="P")*(G$3:G$70=G44)*(J$3:J$70&lt;J44)*(H$3:H$70&lt;&gt;H44)*(I$3:I$70="P")),-1*SUMPRODUCT((P$3:P$70="")*(O$3:O$70="")*(N$3:N$70="")*(M$3:M$70="P")*(G$3:G$70=G44)*(J$3:J$70&gt;J44)*(H$3:H$70="L5")*(I$3:I$70="P")))+1,"")))))</f>
        <v/>
      </c>
      <c r="B44" s="1" t="str" cm="1">
        <f t="array" ref="B44">IF(P44&lt;&gt;"",SUMPRODUCT((P$3:P$70&lt;&gt;"")*(G$3:G$70=G44)*(J$3:J$70&gt;J44))+1,IF(O44&lt;&gt;"",SUMPRODUCT((O$3:O$70&lt;&gt;"")*(P$3:P$70="")*(G$3:G$70=G44)*(J$3:J$70&gt;J44))+SUMPRODUCT((P$3:P$70&lt;&gt;"")*(G$3:G$70=G44))+1,IF(N44&lt;&gt;"",SUMPRODUCT((N$3:N$70&lt;&gt;"")*(G$3:G$70=G44)*(J$3:J$70&gt;J44))+1,IF(M44="P",SUMPRODUCT((O$3:O$70&lt;&gt;"")*(P$3:P$70="")*(G$3:G$70=G44))+SUMPRODUCT((P$3:P$70&lt;&gt;"")*(G$3:G$70=G44))+SUMPRODUCT((N$3:N$70&lt;&gt;"")*(G$3:G$70=G44))+SUMPRODUCT((P$3:P$70="")*(O$3:O$70="")*(N$3:N$70="")*(M$3:M$70="P")*(G$3:G$70=G44)*(J$3:J$70&gt;J44))+IF(H44="L5",SUMPRODUCT((P$3:P$70="")*(O$3:O$70="")*(N$3:N$70="")*(M$3:M$70="P")*(G$3:G$70=G44)*(J$3:J$70&lt;J44)*(H$3:H$70&lt;&gt;H44)),-1*SUMPRODUCT((P$3:P$70="")*(O$3:O$70="")*(N$3:N$70="")*(M$3:M$70="P")*(G$3:G$70=G44)*(J$3:J$70&gt;J44)*(H$3:H$70="L5")))+1,""))))</f>
        <v/>
      </c>
      <c r="C44" s="36" t="s">
        <v>99</v>
      </c>
      <c r="D44" s="36" t="str">
        <f>IF(E44="","",VLOOKUP(E44,'Coaching Points'!A:B,2,0))</f>
        <v>ON</v>
      </c>
      <c r="E44" s="36" t="s">
        <v>100</v>
      </c>
      <c r="F44" s="35">
        <v>2003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40.060100000000006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30.42</v>
      </c>
      <c r="S44" s="4">
        <f>IF(G44="17-21",LARGE(CHOOSE({1,2,3,4,5,6},T44,V44,Y44,AA44,AC44,AF44),2),IF(R44=X44,MAX(Y44,AA44,AC44,AF44),IF(R44=AE44,MAX(AF44,T44,V44,Y44),0)))</f>
        <v>9.64</v>
      </c>
      <c r="T44" s="33">
        <v>9.64</v>
      </c>
      <c r="U44" s="40">
        <v>2.1</v>
      </c>
      <c r="V44" s="34">
        <v>30.42</v>
      </c>
      <c r="W44" s="40">
        <v>3.4</v>
      </c>
      <c r="X44" s="4">
        <f>IF(H44="Senior",MAX(T44,V44),T44+V44)</f>
        <v>40.06</v>
      </c>
      <c r="Y44" s="34"/>
      <c r="Z44" s="40"/>
      <c r="AA44" s="33"/>
      <c r="AB44" s="40"/>
      <c r="AC44" s="34"/>
      <c r="AD44" s="40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$70&lt;&gt;"")*(G$3:G$70=G45)*(J$3:J$70&gt;J45)*(I$3:I$70="P"))+1,IF(O45&lt;&gt;"",SUMPRODUCT((O$3:O$70&lt;&gt;"")*(P$3:P$70="")*(G$3:G$70=G45)*(J$3:J$70&gt;J45)*(I$3:I$70="P"))+SUMPRODUCT((P$3:P$70&lt;&gt;"")*(G$3:G$70=G45)*(I$3:I$70="P"))+1,IF(N45&lt;&gt;"",SUMPRODUCT((N$3:N$70&lt;&gt;"")*(G$3:G$70=G45)*(J$3:J$70&gt;J45)*(I$3:I$70="P"))+1,IF(M45="P",SUMPRODUCT((O$3:O$70&lt;&gt;"")*(P$3:P$70="")*(G$3:G$70=G45)*(I$3:I$70="P"))+SUMPRODUCT((P$3:P$70&lt;&gt;"")*(G$3:G$70=G45)*(I$3:I$70="P"))+SUMPRODUCT((N$3:N$70&lt;&gt;"")*(G$3:G$70=G45)*(I$3:I$70="P"))+SUMPRODUCT((P$3:P$70="")*(O$3:O$70="")*(N$3:N$70="")*(M$3:M$70="P")*(G$3:G$70=G45)*(J$3:J$70&gt;J45)*(I$3:I$70="P"))+IF(H45="L5",SUMPRODUCT((P$3:P$70="")*(O$3:O$70="")*(N$3:N$70="")*(M$3:M$70="P")*(G$3:G$70=G45)*(J$3:J$70&lt;J45)*(H$3:H$70&lt;&gt;H45)*(I$3:I$70="P")),-1*SUMPRODUCT((P$3:P$70="")*(O$3:O$70="")*(N$3:N$70="")*(M$3:M$70="P")*(G$3:G$70=G45)*(J$3:J$70&gt;J45)*(H$3:H$70="L5")*(I$3:I$70="P")))+1,"")))))</f>
        <v/>
      </c>
      <c r="B45" s="1" t="str" cm="1">
        <f t="array" ref="B45">IF(P45&lt;&gt;"",SUMPRODUCT((P$3:P$70&lt;&gt;"")*(G$3:G$70=G45)*(J$3:J$70&gt;J45))+1,IF(O45&lt;&gt;"",SUMPRODUCT((O$3:O$70&lt;&gt;"")*(P$3:P$70="")*(G$3:G$70=G45)*(J$3:J$70&gt;J45))+SUMPRODUCT((P$3:P$70&lt;&gt;"")*(G$3:G$70=G45))+1,IF(N45&lt;&gt;"",SUMPRODUCT((N$3:N$70&lt;&gt;"")*(G$3:G$70=G45)*(J$3:J$70&gt;J45))+1,IF(M45="P",SUMPRODUCT((O$3:O$70&lt;&gt;"")*(P$3:P$70="")*(G$3:G$70=G45))+SUMPRODUCT((P$3:P$70&lt;&gt;"")*(G$3:G$70=G45))+SUMPRODUCT((N$3:N$70&lt;&gt;"")*(G$3:G$70=G45))+SUMPRODUCT((P$3:P$70="")*(O$3:O$70="")*(N$3:N$70="")*(M$3:M$70="P")*(G$3:G$70=G45)*(J$3:J$70&gt;J45))+IF(H45="L5",SUMPRODUCT((P$3:P$70="")*(O$3:O$70="")*(N$3:N$70="")*(M$3:M$70="P")*(G$3:G$70=G45)*(J$3:J$70&lt;J45)*(H$3:H$70&lt;&gt;H45)),-1*SUMPRODUCT((P$3:P$70="")*(O$3:O$70="")*(N$3:N$70="")*(M$3:M$70="P")*(G$3:G$70=G45)*(J$3:J$70&gt;J45)*(H$3:H$70="L5")))+1,""))))</f>
        <v/>
      </c>
      <c r="C45" s="36" t="s">
        <v>332</v>
      </c>
      <c r="D45" s="36" t="str">
        <f>IF(E45="","",VLOOKUP(E45,'Coaching Points'!A:B,2,0))</f>
        <v>QC</v>
      </c>
      <c r="E45" s="36" t="s">
        <v>3</v>
      </c>
      <c r="F45" s="35">
        <v>2003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74</v>
      </c>
      <c r="I45" s="43"/>
      <c r="J45" s="4">
        <f>R45+S45+IF(OR(H45="Junior",H45="Senior"),0.0002,IF(OR(H45="L7",H45="L6"),0.0001,0))+IF(G45="17-21",MAX(AA45,AC45,AF45),AE45)*0.0000001</f>
        <v>22.880199999999999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11.53</v>
      </c>
      <c r="S45" s="4">
        <f>IF(G45="17-21",LARGE(CHOOSE({1,2,3,4,5,6},T45,V45,Y45,AA45,AC45,AF45),2),IF(R45=X45,MAX(Y45,AA45,AC45,AF45),IF(R45=AE45,MAX(AF45,T45,V45,Y45),0)))</f>
        <v>11.35</v>
      </c>
      <c r="T45" s="33">
        <v>11.35</v>
      </c>
      <c r="U45" s="40">
        <v>2.5</v>
      </c>
      <c r="V45" s="34">
        <v>11.53</v>
      </c>
      <c r="W45" s="40">
        <v>3.2</v>
      </c>
      <c r="X45" s="4">
        <f>IF(H45="Senior",MAX(T45,V45),T45+V45)</f>
        <v>11.53</v>
      </c>
      <c r="Y45" s="34"/>
      <c r="Z45" s="40"/>
      <c r="AA45" s="33"/>
      <c r="AB45" s="40"/>
      <c r="AC45" s="34"/>
      <c r="AD45" s="40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$70&lt;&gt;"")*(G$3:G$70=G46)*(J$3:J$70&gt;J46)*(I$3:I$70="P"))+1,IF(O46&lt;&gt;"",SUMPRODUCT((O$3:O$70&lt;&gt;"")*(P$3:P$70="")*(G$3:G$70=G46)*(J$3:J$70&gt;J46)*(I$3:I$70="P"))+SUMPRODUCT((P$3:P$70&lt;&gt;"")*(G$3:G$70=G46)*(I$3:I$70="P"))+1,IF(N46&lt;&gt;"",SUMPRODUCT((N$3:N$70&lt;&gt;"")*(G$3:G$70=G46)*(J$3:J$70&gt;J46)*(I$3:I$70="P"))+1,IF(M46="P",SUMPRODUCT((O$3:O$70&lt;&gt;"")*(P$3:P$70="")*(G$3:G$70=G46)*(I$3:I$70="P"))+SUMPRODUCT((P$3:P$70&lt;&gt;"")*(G$3:G$70=G46)*(I$3:I$70="P"))+SUMPRODUCT((N$3:N$70&lt;&gt;"")*(G$3:G$70=G46)*(I$3:I$70="P"))+SUMPRODUCT((P$3:P$70="")*(O$3:O$70="")*(N$3:N$70="")*(M$3:M$70="P")*(G$3:G$70=G46)*(J$3:J$70&gt;J46)*(I$3:I$70="P"))+IF(H46="L5",SUMPRODUCT((P$3:P$70="")*(O$3:O$70="")*(N$3:N$70="")*(M$3:M$70="P")*(G$3:G$70=G46)*(J$3:J$70&lt;J46)*(H$3:H$70&lt;&gt;H46)*(I$3:I$70="P")),-1*SUMPRODUCT((P$3:P$70="")*(O$3:O$70="")*(N$3:N$70="")*(M$3:M$70="P")*(G$3:G$70=G46)*(J$3:J$70&gt;J46)*(H$3:H$70="L5")*(I$3:I$70="P")))+1,"")))))</f>
        <v/>
      </c>
      <c r="B46" s="1" t="str" cm="1">
        <f t="array" ref="B46">IF(P46&lt;&gt;"",SUMPRODUCT((P$3:P$70&lt;&gt;"")*(G$3:G$70=G46)*(J$3:J$70&gt;J46))+1,IF(O46&lt;&gt;"",SUMPRODUCT((O$3:O$70&lt;&gt;"")*(P$3:P$70="")*(G$3:G$70=G46)*(J$3:J$70&gt;J46))+SUMPRODUCT((P$3:P$70&lt;&gt;"")*(G$3:G$70=G46))+1,IF(N46&lt;&gt;"",SUMPRODUCT((N$3:N$70&lt;&gt;"")*(G$3:G$70=G46)*(J$3:J$70&gt;J46))+1,IF(M46="P",SUMPRODUCT((O$3:O$70&lt;&gt;"")*(P$3:P$70="")*(G$3:G$70=G46))+SUMPRODUCT((P$3:P$70&lt;&gt;"")*(G$3:G$70=G46))+SUMPRODUCT((N$3:N$70&lt;&gt;"")*(G$3:G$70=G46))+SUMPRODUCT((P$3:P$70="")*(O$3:O$70="")*(N$3:N$70="")*(M$3:M$70="P")*(G$3:G$70=G46)*(J$3:J$70&gt;J46))+IF(H46="L5",SUMPRODUCT((P$3:P$70="")*(O$3:O$70="")*(N$3:N$70="")*(M$3:M$70="P")*(G$3:G$70=G46)*(J$3:J$70&lt;J46)*(H$3:H$70&lt;&gt;H46)),-1*SUMPRODUCT((P$3:P$70="")*(O$3:O$70="")*(N$3:N$70="")*(M$3:M$70="P")*(G$3:G$70=G46)*(J$3:J$70&gt;J46)*(H$3:H$70="L5")))+1,""))))</f>
        <v/>
      </c>
      <c r="C46" s="36" t="s">
        <v>85</v>
      </c>
      <c r="D46" s="36" t="str">
        <f>IF(E46="","",VLOOKUP(E46,'Coaching Points'!A:B,2,0))</f>
        <v>QC</v>
      </c>
      <c r="E46" s="36" t="s">
        <v>84</v>
      </c>
      <c r="F46" s="35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67</v>
      </c>
      <c r="I46" s="43"/>
      <c r="J46" s="4">
        <f>R46+S46+IF(OR(H46="Junior",H46="Senior"),0.0002,IF(OR(H46="L7",H46="L6"),0.0001,0))+IF(G46="17-21",MAX(AA46,AC46,AF46),AE46)*0.0000001</f>
        <v>144.1901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>P</v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94.06</v>
      </c>
      <c r="S46" s="4">
        <f>IF(G46="17-21",LARGE(CHOOSE({1,2,3,4,5,6},T46,V46,Y46,AA46,AC46,AF46),2),IF(R46=X46,MAX(Y46,AA46,AC46,AF46),IF(R46=AE46,MAX(AF46,T46,V46,Y46),0)))</f>
        <v>50.13</v>
      </c>
      <c r="T46" s="33">
        <v>43.44</v>
      </c>
      <c r="U46" s="40">
        <v>0</v>
      </c>
      <c r="V46" s="34">
        <v>50.62</v>
      </c>
      <c r="W46" s="40">
        <v>9.6999999999999993</v>
      </c>
      <c r="X46" s="4">
        <f>IF(H46="Senior",MAX(T46,V46),T46+V46)</f>
        <v>94.06</v>
      </c>
      <c r="Y46" s="34">
        <v>50.13</v>
      </c>
      <c r="Z46" s="40">
        <v>9.6999999999999993</v>
      </c>
      <c r="AA46" s="33"/>
      <c r="AB46" s="40"/>
      <c r="AC46" s="34"/>
      <c r="AD46" s="40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$70&lt;&gt;"")*(G$3:G$70=G47)*(J$3:J$70&gt;J47)*(I$3:I$70="P"))+1,IF(O47&lt;&gt;"",SUMPRODUCT((O$3:O$70&lt;&gt;"")*(P$3:P$70="")*(G$3:G$70=G47)*(J$3:J$70&gt;J47)*(I$3:I$70="P"))+SUMPRODUCT((P$3:P$70&lt;&gt;"")*(G$3:G$70=G47)*(I$3:I$70="P"))+1,IF(N47&lt;&gt;"",SUMPRODUCT((N$3:N$70&lt;&gt;"")*(G$3:G$70=G47)*(J$3:J$70&gt;J47)*(I$3:I$70="P"))+1,IF(M47="P",SUMPRODUCT((O$3:O$70&lt;&gt;"")*(P$3:P$70="")*(G$3:G$70=G47)*(I$3:I$70="P"))+SUMPRODUCT((P$3:P$70&lt;&gt;"")*(G$3:G$70=G47)*(I$3:I$70="P"))+SUMPRODUCT((N$3:N$70&lt;&gt;"")*(G$3:G$70=G47)*(I$3:I$70="P"))+SUMPRODUCT((P$3:P$70="")*(O$3:O$70="")*(N$3:N$70="")*(M$3:M$70="P")*(G$3:G$70=G47)*(J$3:J$70&gt;J47)*(I$3:I$70="P"))+IF(H47="L5",SUMPRODUCT((P$3:P$70="")*(O$3:O$70="")*(N$3:N$70="")*(M$3:M$70="P")*(G$3:G$70=G47)*(J$3:J$70&lt;J47)*(H$3:H$70&lt;&gt;H47)*(I$3:I$70="P")),-1*SUMPRODUCT((P$3:P$70="")*(O$3:O$70="")*(N$3:N$70="")*(M$3:M$70="P")*(G$3:G$70=G47)*(J$3:J$70&gt;J47)*(H$3:H$70="L5")*(I$3:I$70="P")))+1,"")))))</f>
        <v/>
      </c>
      <c r="B47" s="1" t="str" cm="1">
        <f t="array" ref="B47">IF(P47&lt;&gt;"",SUMPRODUCT((P$3:P$70&lt;&gt;"")*(G$3:G$70=G47)*(J$3:J$70&gt;J47))+1,IF(O47&lt;&gt;"",SUMPRODUCT((O$3:O$70&lt;&gt;"")*(P$3:P$70="")*(G$3:G$70=G47)*(J$3:J$70&gt;J47))+SUMPRODUCT((P$3:P$70&lt;&gt;"")*(G$3:G$70=G47))+1,IF(N47&lt;&gt;"",SUMPRODUCT((N$3:N$70&lt;&gt;"")*(G$3:G$70=G47)*(J$3:J$70&gt;J47))+1,IF(M47="P",SUMPRODUCT((O$3:O$70&lt;&gt;"")*(P$3:P$70="")*(G$3:G$70=G47))+SUMPRODUCT((P$3:P$70&lt;&gt;"")*(G$3:G$70=G47))+SUMPRODUCT((N$3:N$70&lt;&gt;"")*(G$3:G$70=G47))+SUMPRODUCT((P$3:P$70="")*(O$3:O$70="")*(N$3:N$70="")*(M$3:M$70="P")*(G$3:G$70=G47)*(J$3:J$70&gt;J47))+IF(H47="L5",SUMPRODUCT((P$3:P$70="")*(O$3:O$70="")*(N$3:N$70="")*(M$3:M$70="P")*(G$3:G$70=G47)*(J$3:J$70&lt;J47)*(H$3:H$70&lt;&gt;H47)),-1*SUMPRODUCT((P$3:P$70="")*(O$3:O$70="")*(N$3:N$70="")*(M$3:M$70="P")*(G$3:G$70=G47)*(J$3:J$70&gt;J47)*(H$3:H$70="L5")))+1,""))))</f>
        <v/>
      </c>
      <c r="C47" s="36" t="s">
        <v>214</v>
      </c>
      <c r="D47" s="36" t="str">
        <f>IF(E47="","",VLOOKUP(E47,'Coaching Points'!A:B,2,0))</f>
        <v>ON</v>
      </c>
      <c r="E47" s="36" t="s">
        <v>40</v>
      </c>
      <c r="F47" s="35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65</v>
      </c>
      <c r="I47" s="43"/>
      <c r="J47" s="4">
        <f>R47+S47+IF(OR(H47="Junior",H47="Senior"),0.0002,IF(OR(H47="L7",H47="L6"),0.0001,0))+IF(G47="17-21",MAX(AA47,AC47,AF47),AE47)*0.0000001</f>
        <v>137.21020000000001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85.64</v>
      </c>
      <c r="S47" s="4">
        <f>IF(G47="17-21",LARGE(CHOOSE({1,2,3,4,5,6},T47,V47,Y47,AA47,AC47,AF47),2),IF(R47=X47,MAX(Y47,AA47,AC47,AF47),IF(R47=AE47,MAX(AF47,T47,V47,Y47),0)))</f>
        <v>51.57</v>
      </c>
      <c r="T47" s="33">
        <v>41.35</v>
      </c>
      <c r="U47" s="40">
        <v>0</v>
      </c>
      <c r="V47" s="34">
        <v>44.29</v>
      </c>
      <c r="W47" s="40">
        <v>7.9</v>
      </c>
      <c r="X47" s="4">
        <f>IF(H47="Senior",MAX(T47,V47),T47+V47)</f>
        <v>85.64</v>
      </c>
      <c r="Y47" s="34">
        <v>51.57</v>
      </c>
      <c r="Z47" s="40">
        <v>11.6</v>
      </c>
      <c r="AA47" s="33"/>
      <c r="AB47" s="40"/>
      <c r="AC47" s="34"/>
      <c r="AD47" s="40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$70&lt;&gt;"")*(G$3:G$70=G48)*(J$3:J$70&gt;J48)*(I$3:I$70="P"))+1,IF(O48&lt;&gt;"",SUMPRODUCT((O$3:O$70&lt;&gt;"")*(P$3:P$70="")*(G$3:G$70=G48)*(J$3:J$70&gt;J48)*(I$3:I$70="P"))+SUMPRODUCT((P$3:P$70&lt;&gt;"")*(G$3:G$70=G48)*(I$3:I$70="P"))+1,IF(N48&lt;&gt;"",SUMPRODUCT((N$3:N$70&lt;&gt;"")*(G$3:G$70=G48)*(J$3:J$70&gt;J48)*(I$3:I$70="P"))+1,IF(M48="P",SUMPRODUCT((O$3:O$70&lt;&gt;"")*(P$3:P$70="")*(G$3:G$70=G48)*(I$3:I$70="P"))+SUMPRODUCT((P$3:P$70&lt;&gt;"")*(G$3:G$70=G48)*(I$3:I$70="P"))+SUMPRODUCT((N$3:N$70&lt;&gt;"")*(G$3:G$70=G48)*(I$3:I$70="P"))+SUMPRODUCT((P$3:P$70="")*(O$3:O$70="")*(N$3:N$70="")*(M$3:M$70="P")*(G$3:G$70=G48)*(J$3:J$70&gt;J48)*(I$3:I$70="P"))+IF(H48="L5",SUMPRODUCT((P$3:P$70="")*(O$3:O$70="")*(N$3:N$70="")*(M$3:M$70="P")*(G$3:G$70=G48)*(J$3:J$70&lt;J48)*(H$3:H$70&lt;&gt;H48)*(I$3:I$70="P")),-1*SUMPRODUCT((P$3:P$70="")*(O$3:O$70="")*(N$3:N$70="")*(M$3:M$70="P")*(G$3:G$70=G48)*(J$3:J$70&gt;J48)*(H$3:H$70="L5")*(I$3:I$70="P")))+1,"")))))</f>
        <v/>
      </c>
      <c r="B48" s="1" t="str" cm="1">
        <f t="array" ref="B48">IF(P48&lt;&gt;"",SUMPRODUCT((P$3:P$70&lt;&gt;"")*(G$3:G$70=G48)*(J$3:J$70&gt;J48))+1,IF(O48&lt;&gt;"",SUMPRODUCT((O$3:O$70&lt;&gt;"")*(P$3:P$70="")*(G$3:G$70=G48)*(J$3:J$70&gt;J48))+SUMPRODUCT((P$3:P$70&lt;&gt;"")*(G$3:G$70=G48))+1,IF(N48&lt;&gt;"",SUMPRODUCT((N$3:N$70&lt;&gt;"")*(G$3:G$70=G48)*(J$3:J$70&gt;J48))+1,IF(M48="P",SUMPRODUCT((O$3:O$70&lt;&gt;"")*(P$3:P$70="")*(G$3:G$70=G48))+SUMPRODUCT((P$3:P$70&lt;&gt;"")*(G$3:G$70=G48))+SUMPRODUCT((N$3:N$70&lt;&gt;"")*(G$3:G$70=G48))+SUMPRODUCT((P$3:P$70="")*(O$3:O$70="")*(N$3:N$70="")*(M$3:M$70="P")*(G$3:G$70=G48)*(J$3:J$70&gt;J48))+IF(H48="L5",SUMPRODUCT((P$3:P$70="")*(O$3:O$70="")*(N$3:N$70="")*(M$3:M$70="P")*(G$3:G$70=G48)*(J$3:J$70&lt;J48)*(H$3:H$70&lt;&gt;H48)),-1*SUMPRODUCT((P$3:P$70="")*(O$3:O$70="")*(N$3:N$70="")*(M$3:M$70="P")*(G$3:G$70=G48)*(J$3:J$70&gt;J48)*(H$3:H$70="L5")))+1,""))))</f>
        <v/>
      </c>
      <c r="C48" s="36" t="s">
        <v>76</v>
      </c>
      <c r="D48" s="36" t="str">
        <f>IF(E48="","",VLOOKUP(E48,'Coaching Points'!A:B,2,0))</f>
        <v>QC</v>
      </c>
      <c r="E48" s="36" t="s">
        <v>203</v>
      </c>
      <c r="F48" s="35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67</v>
      </c>
      <c r="I48" s="43"/>
      <c r="J48" s="4">
        <f>R48+S48+IF(OR(H48="Junior",H48="Senior"),0.0002,IF(OR(H48="L7",H48="L6"),0.0001,0))+IF(G48="17-21",MAX(AA48,AC48,AF48),AE48)*0.0000001</f>
        <v>136.58009999999999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91.61</v>
      </c>
      <c r="S48" s="4">
        <f>IF(G48="17-21",LARGE(CHOOSE({1,2,3,4,5,6},T48,V48,Y48,AA48,AC48,AF48),2),IF(R48=X48,MAX(Y48,AA48,AC48,AF48),IF(R48=AE48,MAX(AF48,T48,V48,Y48),0)))</f>
        <v>44.97</v>
      </c>
      <c r="T48" s="33">
        <v>42.44</v>
      </c>
      <c r="U48" s="40">
        <v>0</v>
      </c>
      <c r="V48" s="34">
        <v>49.17</v>
      </c>
      <c r="W48" s="40">
        <v>10.3</v>
      </c>
      <c r="X48" s="4">
        <f>IF(H48="Senior",MAX(T48,V48),T48+V48)</f>
        <v>91.61</v>
      </c>
      <c r="Y48" s="34">
        <v>44.97</v>
      </c>
      <c r="Z48" s="40">
        <v>8.1</v>
      </c>
      <c r="AA48" s="33"/>
      <c r="AB48" s="40"/>
      <c r="AC48" s="34"/>
      <c r="AD48" s="40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$70&lt;&gt;"")*(G$3:G$70=G49)*(J$3:J$70&gt;J49)*(I$3:I$70="P"))+1,IF(O49&lt;&gt;"",SUMPRODUCT((O$3:O$70&lt;&gt;"")*(P$3:P$70="")*(G$3:G$70=G49)*(J$3:J$70&gt;J49)*(I$3:I$70="P"))+SUMPRODUCT((P$3:P$70&lt;&gt;"")*(G$3:G$70=G49)*(I$3:I$70="P"))+1,IF(N49&lt;&gt;"",SUMPRODUCT((N$3:N$70&lt;&gt;"")*(G$3:G$70=G49)*(J$3:J$70&gt;J49)*(I$3:I$70="P"))+1,IF(M49="P",SUMPRODUCT((O$3:O$70&lt;&gt;"")*(P$3:P$70="")*(G$3:G$70=G49)*(I$3:I$70="P"))+SUMPRODUCT((P$3:P$70&lt;&gt;"")*(G$3:G$70=G49)*(I$3:I$70="P"))+SUMPRODUCT((N$3:N$70&lt;&gt;"")*(G$3:G$70=G49)*(I$3:I$70="P"))+SUMPRODUCT((P$3:P$70="")*(O$3:O$70="")*(N$3:N$70="")*(M$3:M$70="P")*(G$3:G$70=G49)*(J$3:J$70&gt;J49)*(I$3:I$70="P"))+IF(H49="L5",SUMPRODUCT((P$3:P$70="")*(O$3:O$70="")*(N$3:N$70="")*(M$3:M$70="P")*(G$3:G$70=G49)*(J$3:J$70&lt;J49)*(H$3:H$70&lt;&gt;H49)*(I$3:I$70="P")),-1*SUMPRODUCT((P$3:P$70="")*(O$3:O$70="")*(N$3:N$70="")*(M$3:M$70="P")*(G$3:G$70=G49)*(J$3:J$70&gt;J49)*(H$3:H$70="L5")*(I$3:I$70="P")))+1,"")))))</f>
        <v/>
      </c>
      <c r="B49" s="1" t="str" cm="1">
        <f t="array" ref="B49">IF(P49&lt;&gt;"",SUMPRODUCT((P$3:P$70&lt;&gt;"")*(G$3:G$70=G49)*(J$3:J$70&gt;J49))+1,IF(O49&lt;&gt;"",SUMPRODUCT((O$3:O$70&lt;&gt;"")*(P$3:P$70="")*(G$3:G$70=G49)*(J$3:J$70&gt;J49))+SUMPRODUCT((P$3:P$70&lt;&gt;"")*(G$3:G$70=G49))+1,IF(N49&lt;&gt;"",SUMPRODUCT((N$3:N$70&lt;&gt;"")*(G$3:G$70=G49)*(J$3:J$70&gt;J49))+1,IF(M49="P",SUMPRODUCT((O$3:O$70&lt;&gt;"")*(P$3:P$70="")*(G$3:G$70=G49))+SUMPRODUCT((P$3:P$70&lt;&gt;"")*(G$3:G$70=G49))+SUMPRODUCT((N$3:N$70&lt;&gt;"")*(G$3:G$70=G49))+SUMPRODUCT((P$3:P$70="")*(O$3:O$70="")*(N$3:N$70="")*(M$3:M$70="P")*(G$3:G$70=G49)*(J$3:J$70&gt;J49))+IF(H49="L5",SUMPRODUCT((P$3:P$70="")*(O$3:O$70="")*(N$3:N$70="")*(M$3:M$70="P")*(G$3:G$70=G49)*(J$3:J$70&lt;J49)*(H$3:H$70&lt;&gt;H49)),-1*SUMPRODUCT((P$3:P$70="")*(O$3:O$70="")*(N$3:N$70="")*(M$3:M$70="P")*(G$3:G$70=G49)*(J$3:J$70&gt;J49)*(H$3:H$70="L5")))+1,""))))</f>
        <v/>
      </c>
      <c r="C49" s="36" t="s">
        <v>215</v>
      </c>
      <c r="D49" s="36" t="str">
        <f>IF(E49="","",VLOOKUP(E49,'Coaching Points'!A:B,2,0))</f>
        <v>NS</v>
      </c>
      <c r="E49" s="36" t="s">
        <v>134</v>
      </c>
      <c r="F49" s="35">
        <v>2008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134.9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87.44</v>
      </c>
      <c r="S49" s="4">
        <f>IF(G49="17-21",LARGE(CHOOSE({1,2,3,4,5,6},T49,V49,Y49,AA49,AC49,AF49),2),IF(R49=X49,MAX(Y49,AA49,AC49,AF49),IF(R49=AE49,MAX(AF49,T49,V49,Y49),0)))</f>
        <v>47.46</v>
      </c>
      <c r="T49" s="33">
        <v>40.31</v>
      </c>
      <c r="U49" s="40">
        <v>0</v>
      </c>
      <c r="V49" s="34">
        <v>47.13</v>
      </c>
      <c r="W49" s="40">
        <v>9</v>
      </c>
      <c r="X49" s="4">
        <f>IF(H49="Senior",MAX(T49,V49),T49+V49)</f>
        <v>87.44</v>
      </c>
      <c r="Y49" s="34">
        <v>47.46</v>
      </c>
      <c r="Z49" s="40">
        <v>9.5</v>
      </c>
      <c r="AA49" s="33"/>
      <c r="AB49" s="40"/>
      <c r="AC49" s="34"/>
      <c r="AD49" s="40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$70&lt;&gt;"")*(G$3:G$70=G50)*(J$3:J$70&gt;J50)*(I$3:I$70="P"))+1,IF(O50&lt;&gt;"",SUMPRODUCT((O$3:O$70&lt;&gt;"")*(P$3:P$70="")*(G$3:G$70=G50)*(J$3:J$70&gt;J50)*(I$3:I$70="P"))+SUMPRODUCT((P$3:P$70&lt;&gt;"")*(G$3:G$70=G50)*(I$3:I$70="P"))+1,IF(N50&lt;&gt;"",SUMPRODUCT((N$3:N$70&lt;&gt;"")*(G$3:G$70=G50)*(J$3:J$70&gt;J50)*(I$3:I$70="P"))+1,IF(M50="P",SUMPRODUCT((O$3:O$70&lt;&gt;"")*(P$3:P$70="")*(G$3:G$70=G50)*(I$3:I$70="P"))+SUMPRODUCT((P$3:P$70&lt;&gt;"")*(G$3:G$70=G50)*(I$3:I$70="P"))+SUMPRODUCT((N$3:N$70&lt;&gt;"")*(G$3:G$70=G50)*(I$3:I$70="P"))+SUMPRODUCT((P$3:P$70="")*(O$3:O$70="")*(N$3:N$70="")*(M$3:M$70="P")*(G$3:G$70=G50)*(J$3:J$70&gt;J50)*(I$3:I$70="P"))+IF(H50="L5",SUMPRODUCT((P$3:P$70="")*(O$3:O$70="")*(N$3:N$70="")*(M$3:M$70="P")*(G$3:G$70=G50)*(J$3:J$70&lt;J50)*(H$3:H$70&lt;&gt;H50)*(I$3:I$70="P")),-1*SUMPRODUCT((P$3:P$70="")*(O$3:O$70="")*(N$3:N$70="")*(M$3:M$70="P")*(G$3:G$70=G50)*(J$3:J$70&gt;J50)*(H$3:H$70="L5")*(I$3:I$70="P")))+1,"")))))</f>
        <v/>
      </c>
      <c r="B50" s="1" t="str" cm="1">
        <f t="array" ref="B50">IF(P50&lt;&gt;"",SUMPRODUCT((P$3:P$70&lt;&gt;"")*(G$3:G$70=G50)*(J$3:J$70&gt;J50))+1,IF(O50&lt;&gt;"",SUMPRODUCT((O$3:O$70&lt;&gt;"")*(P$3:P$70="")*(G$3:G$70=G50)*(J$3:J$70&gt;J50))+SUMPRODUCT((P$3:P$70&lt;&gt;"")*(G$3:G$70=G50))+1,IF(N50&lt;&gt;"",SUMPRODUCT((N$3:N$70&lt;&gt;"")*(G$3:G$70=G50)*(J$3:J$70&gt;J50))+1,IF(M50="P",SUMPRODUCT((O$3:O$70&lt;&gt;"")*(P$3:P$70="")*(G$3:G$70=G50))+SUMPRODUCT((P$3:P$70&lt;&gt;"")*(G$3:G$70=G50))+SUMPRODUCT((N$3:N$70&lt;&gt;"")*(G$3:G$70=G50))+SUMPRODUCT((P$3:P$70="")*(O$3:O$70="")*(N$3:N$70="")*(M$3:M$70="P")*(G$3:G$70=G50)*(J$3:J$70&gt;J50))+IF(H50="L5",SUMPRODUCT((P$3:P$70="")*(O$3:O$70="")*(N$3:N$70="")*(M$3:M$70="P")*(G$3:G$70=G50)*(J$3:J$70&lt;J50)*(H$3:H$70&lt;&gt;H50)),-1*SUMPRODUCT((P$3:P$70="")*(O$3:O$70="")*(N$3:N$70="")*(M$3:M$70="P")*(G$3:G$70=G50)*(J$3:J$70&gt;J50)*(H$3:H$70="L5")))+1,""))))</f>
        <v/>
      </c>
      <c r="C50" s="36" t="s">
        <v>81</v>
      </c>
      <c r="D50" s="36" t="str">
        <f>IF(E50="","",VLOOKUP(E50,'Coaching Points'!A:B,2,0))</f>
        <v>ON</v>
      </c>
      <c r="E50" s="36" t="s">
        <v>47</v>
      </c>
      <c r="F50" s="35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133.59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86.36</v>
      </c>
      <c r="S50" s="4">
        <f>IF(G50="17-21",LARGE(CHOOSE({1,2,3,4,5,6},T50,V50,Y50,AA50,AC50,AF50),2),IF(R50=X50,MAX(Y50,AA50,AC50,AF50),IF(R50=AE50,MAX(AF50,T50,V50,Y50),0)))</f>
        <v>47.23</v>
      </c>
      <c r="T50" s="33">
        <v>39.99</v>
      </c>
      <c r="U50" s="40">
        <v>0</v>
      </c>
      <c r="V50" s="34">
        <v>46.37</v>
      </c>
      <c r="W50" s="40">
        <v>9.1</v>
      </c>
      <c r="X50" s="4">
        <f>IF(H50="Senior",MAX(T50,V50),T50+V50)</f>
        <v>86.36</v>
      </c>
      <c r="Y50" s="34">
        <v>47.23</v>
      </c>
      <c r="Z50" s="40">
        <v>9.1</v>
      </c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$70&lt;&gt;"")*(G$3:G$70=G51)*(J$3:J$70&gt;J51)*(I$3:I$70="P"))+1,IF(O51&lt;&gt;"",SUMPRODUCT((O$3:O$70&lt;&gt;"")*(P$3:P$70="")*(G$3:G$70=G51)*(J$3:J$70&gt;J51)*(I$3:I$70="P"))+SUMPRODUCT((P$3:P$70&lt;&gt;"")*(G$3:G$70=G51)*(I$3:I$70="P"))+1,IF(N51&lt;&gt;"",SUMPRODUCT((N$3:N$70&lt;&gt;"")*(G$3:G$70=G51)*(J$3:J$70&gt;J51)*(I$3:I$70="P"))+1,IF(M51="P",SUMPRODUCT((O$3:O$70&lt;&gt;"")*(P$3:P$70="")*(G$3:G$70=G51)*(I$3:I$70="P"))+SUMPRODUCT((P$3:P$70&lt;&gt;"")*(G$3:G$70=G51)*(I$3:I$70="P"))+SUMPRODUCT((N$3:N$70&lt;&gt;"")*(G$3:G$70=G51)*(I$3:I$70="P"))+SUMPRODUCT((P$3:P$70="")*(O$3:O$70="")*(N$3:N$70="")*(M$3:M$70="P")*(G$3:G$70=G51)*(J$3:J$70&gt;J51)*(I$3:I$70="P"))+IF(H51="L5",SUMPRODUCT((P$3:P$70="")*(O$3:O$70="")*(N$3:N$70="")*(M$3:M$70="P")*(G$3:G$70=G51)*(J$3:J$70&lt;J51)*(H$3:H$70&lt;&gt;H51)*(I$3:I$70="P")),-1*SUMPRODUCT((P$3:P$70="")*(O$3:O$70="")*(N$3:N$70="")*(M$3:M$70="P")*(G$3:G$70=G51)*(J$3:J$70&gt;J51)*(H$3:H$70="L5")*(I$3:I$70="P")))+1,"")))))</f>
        <v/>
      </c>
      <c r="B51" s="1" t="str" cm="1">
        <f t="array" ref="B51">IF(P51&lt;&gt;"",SUMPRODUCT((P$3:P$70&lt;&gt;"")*(G$3:G$70=G51)*(J$3:J$70&gt;J51))+1,IF(O51&lt;&gt;"",SUMPRODUCT((O$3:O$70&lt;&gt;"")*(P$3:P$70="")*(G$3:G$70=G51)*(J$3:J$70&gt;J51))+SUMPRODUCT((P$3:P$70&lt;&gt;"")*(G$3:G$70=G51))+1,IF(N51&lt;&gt;"",SUMPRODUCT((N$3:N$70&lt;&gt;"")*(G$3:G$70=G51)*(J$3:J$70&gt;J51))+1,IF(M51="P",SUMPRODUCT((O$3:O$70&lt;&gt;"")*(P$3:P$70="")*(G$3:G$70=G51))+SUMPRODUCT((P$3:P$70&lt;&gt;"")*(G$3:G$70=G51))+SUMPRODUCT((N$3:N$70&lt;&gt;"")*(G$3:G$70=G51))+SUMPRODUCT((P$3:P$70="")*(O$3:O$70="")*(N$3:N$70="")*(M$3:M$70="P")*(G$3:G$70=G51)*(J$3:J$70&gt;J51))+IF(H51="L5",SUMPRODUCT((P$3:P$70="")*(O$3:O$70="")*(N$3:N$70="")*(M$3:M$70="P")*(G$3:G$70=G51)*(J$3:J$70&lt;J51)*(H$3:H$70&lt;&gt;H51)),-1*SUMPRODUCT((P$3:P$70="")*(O$3:O$70="")*(N$3:N$70="")*(M$3:M$70="P")*(G$3:G$70=G51)*(J$3:J$70&gt;J51)*(H$3:H$70="L5")))+1,""))))</f>
        <v/>
      </c>
      <c r="C51" s="36" t="s">
        <v>79</v>
      </c>
      <c r="D51" s="36" t="str">
        <f>IF(E51="","",VLOOKUP(E51,'Coaching Points'!A:B,2,0))</f>
        <v>ON</v>
      </c>
      <c r="E51" s="36" t="s">
        <v>47</v>
      </c>
      <c r="F51" s="35">
        <v>2008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132.65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85.52000000000001</v>
      </c>
      <c r="S51" s="4">
        <f>IF(G51="17-21",LARGE(CHOOSE({1,2,3,4,5,6},T51,V51,Y51,AA51,AC51,AF51),2),IF(R51=X51,MAX(Y51,AA51,AC51,AF51),IF(R51=AE51,MAX(AF51,T51,V51,Y51),0)))</f>
        <v>47.13</v>
      </c>
      <c r="T51" s="33">
        <v>38.99</v>
      </c>
      <c r="U51" s="40">
        <v>0</v>
      </c>
      <c r="V51" s="34">
        <v>46.53</v>
      </c>
      <c r="W51" s="40">
        <v>9</v>
      </c>
      <c r="X51" s="4">
        <f>IF(H51="Senior",MAX(T51,V51),T51+V51)</f>
        <v>85.52000000000001</v>
      </c>
      <c r="Y51" s="34">
        <v>47.13</v>
      </c>
      <c r="Z51" s="40">
        <v>9.1</v>
      </c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$70&lt;&gt;"")*(G$3:G$70=G52)*(J$3:J$70&gt;J52)*(I$3:I$70="P"))+1,IF(O52&lt;&gt;"",SUMPRODUCT((O$3:O$70&lt;&gt;"")*(P$3:P$70="")*(G$3:G$70=G52)*(J$3:J$70&gt;J52)*(I$3:I$70="P"))+SUMPRODUCT((P$3:P$70&lt;&gt;"")*(G$3:G$70=G52)*(I$3:I$70="P"))+1,IF(N52&lt;&gt;"",SUMPRODUCT((N$3:N$70&lt;&gt;"")*(G$3:G$70=G52)*(J$3:J$70&gt;J52)*(I$3:I$70="P"))+1,IF(M52="P",SUMPRODUCT((O$3:O$70&lt;&gt;"")*(P$3:P$70="")*(G$3:G$70=G52)*(I$3:I$70="P"))+SUMPRODUCT((P$3:P$70&lt;&gt;"")*(G$3:G$70=G52)*(I$3:I$70="P"))+SUMPRODUCT((N$3:N$70&lt;&gt;"")*(G$3:G$70=G52)*(I$3:I$70="P"))+SUMPRODUCT((P$3:P$70="")*(O$3:O$70="")*(N$3:N$70="")*(M$3:M$70="P")*(G$3:G$70=G52)*(J$3:J$70&gt;J52)*(I$3:I$70="P"))+IF(H52="L5",SUMPRODUCT((P$3:P$70="")*(O$3:O$70="")*(N$3:N$70="")*(M$3:M$70="P")*(G$3:G$70=G52)*(J$3:J$70&lt;J52)*(H$3:H$70&lt;&gt;H52)*(I$3:I$70="P")),-1*SUMPRODUCT((P$3:P$70="")*(O$3:O$70="")*(N$3:N$70="")*(M$3:M$70="P")*(G$3:G$70=G52)*(J$3:J$70&gt;J52)*(H$3:H$70="L5")*(I$3:I$70="P")))+1,"")))))</f>
        <v/>
      </c>
      <c r="B52" s="1" t="str" cm="1">
        <f t="array" ref="B52">IF(P52&lt;&gt;"",SUMPRODUCT((P$3:P$70&lt;&gt;"")*(G$3:G$70=G52)*(J$3:J$70&gt;J52))+1,IF(O52&lt;&gt;"",SUMPRODUCT((O$3:O$70&lt;&gt;"")*(P$3:P$70="")*(G$3:G$70=G52)*(J$3:J$70&gt;J52))+SUMPRODUCT((P$3:P$70&lt;&gt;"")*(G$3:G$70=G52))+1,IF(N52&lt;&gt;"",SUMPRODUCT((N$3:N$70&lt;&gt;"")*(G$3:G$70=G52)*(J$3:J$70&gt;J52))+1,IF(M52="P",SUMPRODUCT((O$3:O$70&lt;&gt;"")*(P$3:P$70="")*(G$3:G$70=G52))+SUMPRODUCT((P$3:P$70&lt;&gt;"")*(G$3:G$70=G52))+SUMPRODUCT((N$3:N$70&lt;&gt;"")*(G$3:G$70=G52))+SUMPRODUCT((P$3:P$70="")*(O$3:O$70="")*(N$3:N$70="")*(M$3:M$70="P")*(G$3:G$70=G52)*(J$3:J$70&gt;J52))+IF(H52="L5",SUMPRODUCT((P$3:P$70="")*(O$3:O$70="")*(N$3:N$70="")*(M$3:M$70="P")*(G$3:G$70=G52)*(J$3:J$70&lt;J52)*(H$3:H$70&lt;&gt;H52)),-1*SUMPRODUCT((P$3:P$70="")*(O$3:O$70="")*(N$3:N$70="")*(M$3:M$70="P")*(G$3:G$70=G52)*(J$3:J$70&gt;J52)*(H$3:H$70="L5")))+1,""))))</f>
        <v/>
      </c>
      <c r="C52" s="36" t="s">
        <v>219</v>
      </c>
      <c r="D52" s="36" t="str">
        <f>IF(E52="","",VLOOKUP(E52,'Coaching Points'!A:B,2,0))</f>
        <v>QC</v>
      </c>
      <c r="E52" s="36" t="s">
        <v>3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131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85.25</v>
      </c>
      <c r="S52" s="4">
        <f>IF(G52="17-21",LARGE(CHOOSE({1,2,3,4,5,6},T52,V52,Y52,AA52,AC52,AF52),2),IF(R52=X52,MAX(Y52,AA52,AC52,AF52),IF(R52=AE52,MAX(AF52,T52,V52,Y52),0)))</f>
        <v>45.75</v>
      </c>
      <c r="T52" s="33">
        <v>38.590000000000003</v>
      </c>
      <c r="U52" s="40">
        <v>0</v>
      </c>
      <c r="V52" s="34">
        <v>46.66</v>
      </c>
      <c r="W52" s="40">
        <v>7.6</v>
      </c>
      <c r="X52" s="4">
        <f>IF(H52="Senior",MAX(T52,V52),T52+V52)</f>
        <v>85.25</v>
      </c>
      <c r="Y52" s="34">
        <v>45.75</v>
      </c>
      <c r="Z52" s="40">
        <v>7.6</v>
      </c>
      <c r="AA52" s="33"/>
      <c r="AB52" s="40"/>
      <c r="AC52" s="34"/>
      <c r="AD52" s="40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$70&lt;&gt;"")*(G$3:G$70=G53)*(J$3:J$70&gt;J53)*(I$3:I$70="P"))+1,IF(O53&lt;&gt;"",SUMPRODUCT((O$3:O$70&lt;&gt;"")*(P$3:P$70="")*(G$3:G$70=G53)*(J$3:J$70&gt;J53)*(I$3:I$70="P"))+SUMPRODUCT((P$3:P$70&lt;&gt;"")*(G$3:G$70=G53)*(I$3:I$70="P"))+1,IF(N53&lt;&gt;"",SUMPRODUCT((N$3:N$70&lt;&gt;"")*(G$3:G$70=G53)*(J$3:J$70&gt;J53)*(I$3:I$70="P"))+1,IF(M53="P",SUMPRODUCT((O$3:O$70&lt;&gt;"")*(P$3:P$70="")*(G$3:G$70=G53)*(I$3:I$70="P"))+SUMPRODUCT((P$3:P$70&lt;&gt;"")*(G$3:G$70=G53)*(I$3:I$70="P"))+SUMPRODUCT((N$3:N$70&lt;&gt;"")*(G$3:G$70=G53)*(I$3:I$70="P"))+SUMPRODUCT((P$3:P$70="")*(O$3:O$70="")*(N$3:N$70="")*(M$3:M$70="P")*(G$3:G$70=G53)*(J$3:J$70&gt;J53)*(I$3:I$70="P"))+IF(H53="L5",SUMPRODUCT((P$3:P$70="")*(O$3:O$70="")*(N$3:N$70="")*(M$3:M$70="P")*(G$3:G$70=G53)*(J$3:J$70&lt;J53)*(H$3:H$70&lt;&gt;H53)*(I$3:I$70="P")),-1*SUMPRODUCT((P$3:P$70="")*(O$3:O$70="")*(N$3:N$70="")*(M$3:M$70="P")*(G$3:G$70=G53)*(J$3:J$70&gt;J53)*(H$3:H$70="L5")*(I$3:I$70="P")))+1,"")))))</f>
        <v/>
      </c>
      <c r="B53" s="1" t="str" cm="1">
        <f t="array" ref="B53">IF(P53&lt;&gt;"",SUMPRODUCT((P$3:P$70&lt;&gt;"")*(G$3:G$70=G53)*(J$3:J$70&gt;J53))+1,IF(O53&lt;&gt;"",SUMPRODUCT((O$3:O$70&lt;&gt;"")*(P$3:P$70="")*(G$3:G$70=G53)*(J$3:J$70&gt;J53))+SUMPRODUCT((P$3:P$70&lt;&gt;"")*(G$3:G$70=G53))+1,IF(N53&lt;&gt;"",SUMPRODUCT((N$3:N$70&lt;&gt;"")*(G$3:G$70=G53)*(J$3:J$70&gt;J53))+1,IF(M53="P",SUMPRODUCT((O$3:O$70&lt;&gt;"")*(P$3:P$70="")*(G$3:G$70=G53))+SUMPRODUCT((P$3:P$70&lt;&gt;"")*(G$3:G$70=G53))+SUMPRODUCT((N$3:N$70&lt;&gt;"")*(G$3:G$70=G53))+SUMPRODUCT((P$3:P$70="")*(O$3:O$70="")*(N$3:N$70="")*(M$3:M$70="P")*(G$3:G$70=G53)*(J$3:J$70&gt;J53))+IF(H53="L5",SUMPRODUCT((P$3:P$70="")*(O$3:O$70="")*(N$3:N$70="")*(M$3:M$70="P")*(G$3:G$70=G53)*(J$3:J$70&lt;J53)*(H$3:H$70&lt;&gt;H53)),-1*SUMPRODUCT((P$3:P$70="")*(O$3:O$70="")*(N$3:N$70="")*(M$3:M$70="P")*(G$3:G$70=G53)*(J$3:J$70&gt;J53)*(H$3:H$70="L5")))+1,""))))</f>
        <v/>
      </c>
      <c r="C53" s="36" t="s">
        <v>86</v>
      </c>
      <c r="D53" s="36" t="str">
        <f>IF(E53="","",VLOOKUP(E53,'Coaching Points'!A:B,2,0))</f>
        <v>QC</v>
      </c>
      <c r="E53" s="36" t="s">
        <v>96</v>
      </c>
      <c r="F53" s="35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>R53+S53+IF(OR(H53="Junior",H53="Senior"),0.0002,IF(OR(H53="L7",H53="L6"),0.0001,0))+IF(G53="17-21",MAX(AA53,AC53,AF53),AE53)*0.0000001</f>
        <v>129.27009999999999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84.3</v>
      </c>
      <c r="S53" s="4">
        <f>IF(G53="17-21",LARGE(CHOOSE({1,2,3,4,5,6},T53,V53,Y53,AA53,AC53,AF53),2),IF(R53=X53,MAX(Y53,AA53,AC53,AF53),IF(R53=AE53,MAX(AF53,T53,V53,Y53),0)))</f>
        <v>44.97</v>
      </c>
      <c r="T53" s="33">
        <v>39.94</v>
      </c>
      <c r="U53" s="40">
        <v>0</v>
      </c>
      <c r="V53" s="34">
        <v>44.36</v>
      </c>
      <c r="W53" s="40">
        <v>10.5</v>
      </c>
      <c r="X53" s="4">
        <f>IF(H53="Senior",MAX(T53,V53),T53+V53)</f>
        <v>84.3</v>
      </c>
      <c r="Y53" s="34">
        <v>44.97</v>
      </c>
      <c r="Z53" s="40">
        <v>10.5</v>
      </c>
      <c r="AA53" s="33"/>
      <c r="AB53" s="40"/>
      <c r="AC53" s="34"/>
      <c r="AD53" s="40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$70&lt;&gt;"")*(G$3:G$70=G54)*(J$3:J$70&gt;J54)*(I$3:I$70="P"))+1,IF(O54&lt;&gt;"",SUMPRODUCT((O$3:O$70&lt;&gt;"")*(P$3:P$70="")*(G$3:G$70=G54)*(J$3:J$70&gt;J54)*(I$3:I$70="P"))+SUMPRODUCT((P$3:P$70&lt;&gt;"")*(G$3:G$70=G54)*(I$3:I$70="P"))+1,IF(N54&lt;&gt;"",SUMPRODUCT((N$3:N$70&lt;&gt;"")*(G$3:G$70=G54)*(J$3:J$70&gt;J54)*(I$3:I$70="P"))+1,IF(M54="P",SUMPRODUCT((O$3:O$70&lt;&gt;"")*(P$3:P$70="")*(G$3:G$70=G54)*(I$3:I$70="P"))+SUMPRODUCT((P$3:P$70&lt;&gt;"")*(G$3:G$70=G54)*(I$3:I$70="P"))+SUMPRODUCT((N$3:N$70&lt;&gt;"")*(G$3:G$70=G54)*(I$3:I$70="P"))+SUMPRODUCT((P$3:P$70="")*(O$3:O$70="")*(N$3:N$70="")*(M$3:M$70="P")*(G$3:G$70=G54)*(J$3:J$70&gt;J54)*(I$3:I$70="P"))+IF(H54="L5",SUMPRODUCT((P$3:P$70="")*(O$3:O$70="")*(N$3:N$70="")*(M$3:M$70="P")*(G$3:G$70=G54)*(J$3:J$70&lt;J54)*(H$3:H$70&lt;&gt;H54)*(I$3:I$70="P")),-1*SUMPRODUCT((P$3:P$70="")*(O$3:O$70="")*(N$3:N$70="")*(M$3:M$70="P")*(G$3:G$70=G54)*(J$3:J$70&gt;J54)*(H$3:H$70="L5")*(I$3:I$70="P")))+1,"")))))</f>
        <v/>
      </c>
      <c r="B54" s="1" t="str" cm="1">
        <f t="array" ref="B54">IF(P54&lt;&gt;"",SUMPRODUCT((P$3:P$70&lt;&gt;"")*(G$3:G$70=G54)*(J$3:J$70&gt;J54))+1,IF(O54&lt;&gt;"",SUMPRODUCT((O$3:O$70&lt;&gt;"")*(P$3:P$70="")*(G$3:G$70=G54)*(J$3:J$70&gt;J54))+SUMPRODUCT((P$3:P$70&lt;&gt;"")*(G$3:G$70=G54))+1,IF(N54&lt;&gt;"",SUMPRODUCT((N$3:N$70&lt;&gt;"")*(G$3:G$70=G54)*(J$3:J$70&gt;J54))+1,IF(M54="P",SUMPRODUCT((O$3:O$70&lt;&gt;"")*(P$3:P$70="")*(G$3:G$70=G54))+SUMPRODUCT((P$3:P$70&lt;&gt;"")*(G$3:G$70=G54))+SUMPRODUCT((N$3:N$70&lt;&gt;"")*(G$3:G$70=G54))+SUMPRODUCT((P$3:P$70="")*(O$3:O$70="")*(N$3:N$70="")*(M$3:M$70="P")*(G$3:G$70=G54)*(J$3:J$70&gt;J54))+IF(H54="L5",SUMPRODUCT((P$3:P$70="")*(O$3:O$70="")*(N$3:N$70="")*(M$3:M$70="P")*(G$3:G$70=G54)*(J$3:J$70&lt;J54)*(H$3:H$70&lt;&gt;H54)),-1*SUMPRODUCT((P$3:P$70="")*(O$3:O$70="")*(N$3:N$70="")*(M$3:M$70="P")*(G$3:G$70=G54)*(J$3:J$70&gt;J54)*(H$3:H$70="L5")))+1,""))))</f>
        <v/>
      </c>
      <c r="C54" s="36" t="s">
        <v>89</v>
      </c>
      <c r="D54" s="36" t="str">
        <f>IF(E54="","",VLOOKUP(E54,'Coaching Points'!A:B,2,0))</f>
        <v>BC</v>
      </c>
      <c r="E54" s="36" t="s">
        <v>62</v>
      </c>
      <c r="F54" s="35">
        <v>2007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128.56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81.77</v>
      </c>
      <c r="S54" s="4">
        <f>IF(G54="17-21",LARGE(CHOOSE({1,2,3,4,5,6},T54,V54,Y54,AA54,AC54,AF54),2),IF(R54=X54,MAX(Y54,AA54,AC54,AF54),IF(R54=AE54,MAX(AF54,T54,V54,Y54),0)))</f>
        <v>46.79</v>
      </c>
      <c r="T54" s="33">
        <v>36.619999999999997</v>
      </c>
      <c r="U54" s="40">
        <v>0</v>
      </c>
      <c r="V54" s="34">
        <v>45.15</v>
      </c>
      <c r="W54" s="40">
        <v>10.1</v>
      </c>
      <c r="X54" s="4">
        <f>IF(H54="Senior",MAX(T54,V54),T54+V54)</f>
        <v>81.77</v>
      </c>
      <c r="Y54" s="34">
        <v>46.79</v>
      </c>
      <c r="Z54" s="40">
        <v>10.1</v>
      </c>
      <c r="AA54" s="33"/>
      <c r="AB54" s="40"/>
      <c r="AC54" s="34"/>
      <c r="AD54" s="40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$70&lt;&gt;"")*(G$3:G$70=G55)*(J$3:J$70&gt;J55)*(I$3:I$70="P"))+1,IF(O55&lt;&gt;"",SUMPRODUCT((O$3:O$70&lt;&gt;"")*(P$3:P$70="")*(G$3:G$70=G55)*(J$3:J$70&gt;J55)*(I$3:I$70="P"))+SUMPRODUCT((P$3:P$70&lt;&gt;"")*(G$3:G$70=G55)*(I$3:I$70="P"))+1,IF(N55&lt;&gt;"",SUMPRODUCT((N$3:N$70&lt;&gt;"")*(G$3:G$70=G55)*(J$3:J$70&gt;J55)*(I$3:I$70="P"))+1,IF(M55="P",SUMPRODUCT((O$3:O$70&lt;&gt;"")*(P$3:P$70="")*(G$3:G$70=G55)*(I$3:I$70="P"))+SUMPRODUCT((P$3:P$70&lt;&gt;"")*(G$3:G$70=G55)*(I$3:I$70="P"))+SUMPRODUCT((N$3:N$70&lt;&gt;"")*(G$3:G$70=G55)*(I$3:I$70="P"))+SUMPRODUCT((P$3:P$70="")*(O$3:O$70="")*(N$3:N$70="")*(M$3:M$70="P")*(G$3:G$70=G55)*(J$3:J$70&gt;J55)*(I$3:I$70="P"))+IF(H55="L5",SUMPRODUCT((P$3:P$70="")*(O$3:O$70="")*(N$3:N$70="")*(M$3:M$70="P")*(G$3:G$70=G55)*(J$3:J$70&lt;J55)*(H$3:H$70&lt;&gt;H55)*(I$3:I$70="P")),-1*SUMPRODUCT((P$3:P$70="")*(O$3:O$70="")*(N$3:N$70="")*(M$3:M$70="P")*(G$3:G$70=G55)*(J$3:J$70&gt;J55)*(H$3:H$70="L5")*(I$3:I$70="P")))+1,"")))))</f>
        <v/>
      </c>
      <c r="B55" s="1" t="str" cm="1">
        <f t="array" ref="B55">IF(P55&lt;&gt;"",SUMPRODUCT((P$3:P$70&lt;&gt;"")*(G$3:G$70=G55)*(J$3:J$70&gt;J55))+1,IF(O55&lt;&gt;"",SUMPRODUCT((O$3:O$70&lt;&gt;"")*(P$3:P$70="")*(G$3:G$70=G55)*(J$3:J$70&gt;J55))+SUMPRODUCT((P$3:P$70&lt;&gt;"")*(G$3:G$70=G55))+1,IF(N55&lt;&gt;"",SUMPRODUCT((N$3:N$70&lt;&gt;"")*(G$3:G$70=G55)*(J$3:J$70&gt;J55))+1,IF(M55="P",SUMPRODUCT((O$3:O$70&lt;&gt;"")*(P$3:P$70="")*(G$3:G$70=G55))+SUMPRODUCT((P$3:P$70&lt;&gt;"")*(G$3:G$70=G55))+SUMPRODUCT((N$3:N$70&lt;&gt;"")*(G$3:G$70=G55))+SUMPRODUCT((P$3:P$70="")*(O$3:O$70="")*(N$3:N$70="")*(M$3:M$70="P")*(G$3:G$70=G55)*(J$3:J$70&gt;J55))+IF(H55="L5",SUMPRODUCT((P$3:P$70="")*(O$3:O$70="")*(N$3:N$70="")*(M$3:M$70="P")*(G$3:G$70=G55)*(J$3:J$70&lt;J55)*(H$3:H$70&lt;&gt;H55)),-1*SUMPRODUCT((P$3:P$70="")*(O$3:O$70="")*(N$3:N$70="")*(M$3:M$70="P")*(G$3:G$70=G55)*(J$3:J$70&gt;J55)*(H$3:H$70="L5")))+1,""))))</f>
        <v/>
      </c>
      <c r="C55" s="36" t="s">
        <v>333</v>
      </c>
      <c r="D55" s="36" t="str">
        <f>IF(E55="","",VLOOKUP(E55,'Coaching Points'!A:B,2,0))</f>
        <v>ON</v>
      </c>
      <c r="E55" s="36" t="s">
        <v>113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127.67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84.17</v>
      </c>
      <c r="S55" s="4">
        <f>IF(G55="17-21",LARGE(CHOOSE({1,2,3,4,5,6},T55,V55,Y55,AA55,AC55,AF55),2),IF(R55=X55,MAX(Y55,AA55,AC55,AF55),IF(R55=AE55,MAX(AF55,T55,V55,Y55),0)))</f>
        <v>43.5</v>
      </c>
      <c r="T55" s="33">
        <v>39.11</v>
      </c>
      <c r="U55" s="40">
        <v>0</v>
      </c>
      <c r="V55" s="34">
        <v>45.06</v>
      </c>
      <c r="W55" s="40">
        <v>9.4</v>
      </c>
      <c r="X55" s="4">
        <f>IF(H55="Senior",MAX(T55,V55),T55+V55)</f>
        <v>84.17</v>
      </c>
      <c r="Y55" s="34">
        <v>43.5</v>
      </c>
      <c r="Z55" s="40">
        <v>9.4</v>
      </c>
      <c r="AA55" s="33"/>
      <c r="AB55" s="40"/>
      <c r="AC55" s="34"/>
      <c r="AD55" s="40"/>
      <c r="AE55" s="4">
        <f>IF(H55="Senior",MAX(AA55,AC55),AA55+AC55)</f>
        <v>0</v>
      </c>
      <c r="AF55" s="34"/>
      <c r="AG55" s="37"/>
    </row>
    <row r="56" spans="1:33" x14ac:dyDescent="0.2">
      <c r="A56" s="1" t="str" cm="1">
        <f t="array" ref="A56">IF(I56="","",IF(P56&lt;&gt;"",SUMPRODUCT((P$3:P$70&lt;&gt;"")*(G$3:G$70=G56)*(J$3:J$70&gt;J56)*(I$3:I$70="P"))+1,IF(O56&lt;&gt;"",SUMPRODUCT((O$3:O$70&lt;&gt;"")*(P$3:P$70="")*(G$3:G$70=G56)*(J$3:J$70&gt;J56)*(I$3:I$70="P"))+SUMPRODUCT((P$3:P$70&lt;&gt;"")*(G$3:G$70=G56)*(I$3:I$70="P"))+1,IF(N56&lt;&gt;"",SUMPRODUCT((N$3:N$70&lt;&gt;"")*(G$3:G$70=G56)*(J$3:J$70&gt;J56)*(I$3:I$70="P"))+1,IF(M56="P",SUMPRODUCT((O$3:O$70&lt;&gt;"")*(P$3:P$70="")*(G$3:G$70=G56)*(I$3:I$70="P"))+SUMPRODUCT((P$3:P$70&lt;&gt;"")*(G$3:G$70=G56)*(I$3:I$70="P"))+SUMPRODUCT((N$3:N$70&lt;&gt;"")*(G$3:G$70=G56)*(I$3:I$70="P"))+SUMPRODUCT((P$3:P$70="")*(O$3:O$70="")*(N$3:N$70="")*(M$3:M$70="P")*(G$3:G$70=G56)*(J$3:J$70&gt;J56)*(I$3:I$70="P"))+IF(H56="L5",SUMPRODUCT((P$3:P$70="")*(O$3:O$70="")*(N$3:N$70="")*(M$3:M$70="P")*(G$3:G$70=G56)*(J$3:J$70&lt;J56)*(H$3:H$70&lt;&gt;H56)*(I$3:I$70="P")),-1*SUMPRODUCT((P$3:P$70="")*(O$3:O$70="")*(N$3:N$70="")*(M$3:M$70="P")*(G$3:G$70=G56)*(J$3:J$70&gt;J56)*(H$3:H$70="L5")*(I$3:I$70="P")))+1,"")))))</f>
        <v/>
      </c>
      <c r="B56" s="1" t="str" cm="1">
        <f t="array" ref="B56">IF(P56&lt;&gt;"",SUMPRODUCT((P$3:P$70&lt;&gt;"")*(G$3:G$70=G56)*(J$3:J$70&gt;J56))+1,IF(O56&lt;&gt;"",SUMPRODUCT((O$3:O$70&lt;&gt;"")*(P$3:P$70="")*(G$3:G$70=G56)*(J$3:J$70&gt;J56))+SUMPRODUCT((P$3:P$70&lt;&gt;"")*(G$3:G$70=G56))+1,IF(N56&lt;&gt;"",SUMPRODUCT((N$3:N$70&lt;&gt;"")*(G$3:G$70=G56)*(J$3:J$70&gt;J56))+1,IF(M56="P",SUMPRODUCT((O$3:O$70&lt;&gt;"")*(P$3:P$70="")*(G$3:G$70=G56))+SUMPRODUCT((P$3:P$70&lt;&gt;"")*(G$3:G$70=G56))+SUMPRODUCT((N$3:N$70&lt;&gt;"")*(G$3:G$70=G56))+SUMPRODUCT((P$3:P$70="")*(O$3:O$70="")*(N$3:N$70="")*(M$3:M$70="P")*(G$3:G$70=G56)*(J$3:J$70&gt;J56))+IF(H56="L5",SUMPRODUCT((P$3:P$70="")*(O$3:O$70="")*(N$3:N$70="")*(M$3:M$70="P")*(G$3:G$70=G56)*(J$3:J$70&lt;J56)*(H$3:H$70&lt;&gt;H56)),-1*SUMPRODUCT((P$3:P$70="")*(O$3:O$70="")*(N$3:N$70="")*(M$3:M$70="P")*(G$3:G$70=G56)*(J$3:J$70&gt;J56)*(H$3:H$70="L5")))+1,""))))</f>
        <v/>
      </c>
      <c r="C56" s="36" t="s">
        <v>319</v>
      </c>
      <c r="D56" s="36" t="str">
        <f>IF(E56="","",VLOOKUP(E56,'Coaching Points'!A:B,2,0))</f>
        <v>ON</v>
      </c>
      <c r="E56" s="36" t="s">
        <v>38</v>
      </c>
      <c r="F56" s="35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124.65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79.77000000000001</v>
      </c>
      <c r="S56" s="4">
        <f>IF(G56="17-21",LARGE(CHOOSE({1,2,3,4,5,6},T56,V56,Y56,AA56,AC56,AF56),2),IF(R56=X56,MAX(Y56,AA56,AC56,AF56),IF(R56=AE56,MAX(AF56,T56,V56,Y56),0)))</f>
        <v>44.88</v>
      </c>
      <c r="T56" s="33">
        <v>36.93</v>
      </c>
      <c r="U56" s="40">
        <v>0</v>
      </c>
      <c r="V56" s="34">
        <v>42.84</v>
      </c>
      <c r="W56" s="40">
        <v>9.6999999999999993</v>
      </c>
      <c r="X56" s="4">
        <f>IF(H56="Senior",MAX(T56,V56),T56+V56)</f>
        <v>79.77000000000001</v>
      </c>
      <c r="Y56" s="34">
        <v>44.88</v>
      </c>
      <c r="Z56" s="40">
        <v>9.6</v>
      </c>
      <c r="AA56" s="33"/>
      <c r="AB56" s="40"/>
      <c r="AC56" s="34"/>
      <c r="AD56" s="40"/>
      <c r="AE56" s="4">
        <f>IF(H56="Senior",MAX(AA56,AC56),AA56+AC56)</f>
        <v>0</v>
      </c>
      <c r="AF56" s="34"/>
      <c r="AG56" s="37"/>
    </row>
    <row r="57" spans="1:33" x14ac:dyDescent="0.2">
      <c r="A57" s="1" t="str" cm="1">
        <f t="array" ref="A57">IF(I57="","",IF(P57&lt;&gt;"",SUMPRODUCT((P$3:P$70&lt;&gt;"")*(G$3:G$70=G57)*(J$3:J$70&gt;J57)*(I$3:I$70="P"))+1,IF(O57&lt;&gt;"",SUMPRODUCT((O$3:O$70&lt;&gt;"")*(P$3:P$70="")*(G$3:G$70=G57)*(J$3:J$70&gt;J57)*(I$3:I$70="P"))+SUMPRODUCT((P$3:P$70&lt;&gt;"")*(G$3:G$70=G57)*(I$3:I$70="P"))+1,IF(N57&lt;&gt;"",SUMPRODUCT((N$3:N$70&lt;&gt;"")*(G$3:G$70=G57)*(J$3:J$70&gt;J57)*(I$3:I$70="P"))+1,IF(M57="P",SUMPRODUCT((O$3:O$70&lt;&gt;"")*(P$3:P$70="")*(G$3:G$70=G57)*(I$3:I$70="P"))+SUMPRODUCT((P$3:P$70&lt;&gt;"")*(G$3:G$70=G57)*(I$3:I$70="P"))+SUMPRODUCT((N$3:N$70&lt;&gt;"")*(G$3:G$70=G57)*(I$3:I$70="P"))+SUMPRODUCT((P$3:P$70="")*(O$3:O$70="")*(N$3:N$70="")*(M$3:M$70="P")*(G$3:G$70=G57)*(J$3:J$70&gt;J57)*(I$3:I$70="P"))+IF(H57="L5",SUMPRODUCT((P$3:P$70="")*(O$3:O$70="")*(N$3:N$70="")*(M$3:M$70="P")*(G$3:G$70=G57)*(J$3:J$70&lt;J57)*(H$3:H$70&lt;&gt;H57)*(I$3:I$70="P")),-1*SUMPRODUCT((P$3:P$70="")*(O$3:O$70="")*(N$3:N$70="")*(M$3:M$70="P")*(G$3:G$70=G57)*(J$3:J$70&gt;J57)*(H$3:H$70="L5")*(I$3:I$70="P")))+1,"")))))</f>
        <v/>
      </c>
      <c r="B57" s="1" t="str" cm="1">
        <f t="array" ref="B57">IF(P57&lt;&gt;"",SUMPRODUCT((P$3:P$70&lt;&gt;"")*(G$3:G$70=G57)*(J$3:J$70&gt;J57))+1,IF(O57&lt;&gt;"",SUMPRODUCT((O$3:O$70&lt;&gt;"")*(P$3:P$70="")*(G$3:G$70=G57)*(J$3:J$70&gt;J57))+SUMPRODUCT((P$3:P$70&lt;&gt;"")*(G$3:G$70=G57))+1,IF(N57&lt;&gt;"",SUMPRODUCT((N$3:N$70&lt;&gt;"")*(G$3:G$70=G57)*(J$3:J$70&gt;J57))+1,IF(M57="P",SUMPRODUCT((O$3:O$70&lt;&gt;"")*(P$3:P$70="")*(G$3:G$70=G57))+SUMPRODUCT((P$3:P$70&lt;&gt;"")*(G$3:G$70=G57))+SUMPRODUCT((N$3:N$70&lt;&gt;"")*(G$3:G$70=G57))+SUMPRODUCT((P$3:P$70="")*(O$3:O$70="")*(N$3:N$70="")*(M$3:M$70="P")*(G$3:G$70=G57)*(J$3:J$70&gt;J57))+IF(H57="L5",SUMPRODUCT((P$3:P$70="")*(O$3:O$70="")*(N$3:N$70="")*(M$3:M$70="P")*(G$3:G$70=G57)*(J$3:J$70&lt;J57)*(H$3:H$70&lt;&gt;H57)),-1*SUMPRODUCT((P$3:P$70="")*(O$3:O$70="")*(N$3:N$70="")*(M$3:M$70="P")*(G$3:G$70=G57)*(J$3:J$70&gt;J57)*(H$3:H$70="L5")))+1,""))))</f>
        <v/>
      </c>
      <c r="C57" s="36" t="s">
        <v>82</v>
      </c>
      <c r="D57" s="36" t="str">
        <f>IF(E57="","",VLOOKUP(E57,'Coaching Points'!A:B,2,0))</f>
        <v>AB</v>
      </c>
      <c r="E57" s="36" t="s">
        <v>64</v>
      </c>
      <c r="F57" s="35">
        <v>2008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67</v>
      </c>
      <c r="I57" s="43"/>
      <c r="J57" s="4">
        <f>R57+S57+IF(OR(H57="Junior",H57="Senior"),0.0002,IF(OR(H57="L7",H57="L6"),0.0001,0))+IF(G57="17-21",MAX(AA57,AC57,AF57),AE57)*0.0000001</f>
        <v>124.3901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77.14</v>
      </c>
      <c r="S57" s="4">
        <f>IF(G57="17-21",LARGE(CHOOSE({1,2,3,4,5,6},T57,V57,Y57,AA57,AC57,AF57),2),IF(R57=X57,MAX(Y57,AA57,AC57,AF57),IF(R57=AE57,MAX(AF57,T57,V57,Y57),0)))</f>
        <v>47.25</v>
      </c>
      <c r="T57" s="33">
        <v>39.049999999999997</v>
      </c>
      <c r="U57" s="40">
        <v>0</v>
      </c>
      <c r="V57" s="34">
        <v>38.090000000000003</v>
      </c>
      <c r="W57" s="40">
        <v>10.199999999999999</v>
      </c>
      <c r="X57" s="4">
        <f>IF(H57="Senior",MAX(T57,V57),T57+V57)</f>
        <v>77.14</v>
      </c>
      <c r="Y57" s="34">
        <v>47.25</v>
      </c>
      <c r="Z57" s="40">
        <v>12.9</v>
      </c>
      <c r="AA57" s="33"/>
      <c r="AB57" s="40"/>
      <c r="AC57" s="34"/>
      <c r="AD57" s="40"/>
      <c r="AE57" s="4">
        <f>IF(H57="Senior",MAX(AA57,AC57),AA57+AC57)</f>
        <v>0</v>
      </c>
      <c r="AF57" s="34"/>
      <c r="AG57" s="37"/>
    </row>
    <row r="58" spans="1:33" x14ac:dyDescent="0.2">
      <c r="A58" s="1" t="str" cm="1">
        <f t="array" ref="A58">IF(I58="","",IF(P58&lt;&gt;"",SUMPRODUCT((P$3:P$70&lt;&gt;"")*(G$3:G$70=G58)*(J$3:J$70&gt;J58)*(I$3:I$70="P"))+1,IF(O58&lt;&gt;"",SUMPRODUCT((O$3:O$70&lt;&gt;"")*(P$3:P$70="")*(G$3:G$70=G58)*(J$3:J$70&gt;J58)*(I$3:I$70="P"))+SUMPRODUCT((P$3:P$70&lt;&gt;"")*(G$3:G$70=G58)*(I$3:I$70="P"))+1,IF(N58&lt;&gt;"",SUMPRODUCT((N$3:N$70&lt;&gt;"")*(G$3:G$70=G58)*(J$3:J$70&gt;J58)*(I$3:I$70="P"))+1,IF(M58="P",SUMPRODUCT((O$3:O$70&lt;&gt;"")*(P$3:P$70="")*(G$3:G$70=G58)*(I$3:I$70="P"))+SUMPRODUCT((P$3:P$70&lt;&gt;"")*(G$3:G$70=G58)*(I$3:I$70="P"))+SUMPRODUCT((N$3:N$70&lt;&gt;"")*(G$3:G$70=G58)*(I$3:I$70="P"))+SUMPRODUCT((P$3:P$70="")*(O$3:O$70="")*(N$3:N$70="")*(M$3:M$70="P")*(G$3:G$70=G58)*(J$3:J$70&gt;J58)*(I$3:I$70="P"))+IF(H58="L5",SUMPRODUCT((P$3:P$70="")*(O$3:O$70="")*(N$3:N$70="")*(M$3:M$70="P")*(G$3:G$70=G58)*(J$3:J$70&lt;J58)*(H$3:H$70&lt;&gt;H58)*(I$3:I$70="P")),-1*SUMPRODUCT((P$3:P$70="")*(O$3:O$70="")*(N$3:N$70="")*(M$3:M$70="P")*(G$3:G$70=G58)*(J$3:J$70&gt;J58)*(H$3:H$70="L5")*(I$3:I$70="P")))+1,"")))))</f>
        <v/>
      </c>
      <c r="B58" s="1" t="str" cm="1">
        <f t="array" ref="B58">IF(P58&lt;&gt;"",SUMPRODUCT((P$3:P$70&lt;&gt;"")*(G$3:G$70=G58)*(J$3:J$70&gt;J58))+1,IF(O58&lt;&gt;"",SUMPRODUCT((O$3:O$70&lt;&gt;"")*(P$3:P$70="")*(G$3:G$70=G58)*(J$3:J$70&gt;J58))+SUMPRODUCT((P$3:P$70&lt;&gt;"")*(G$3:G$70=G58))+1,IF(N58&lt;&gt;"",SUMPRODUCT((N$3:N$70&lt;&gt;"")*(G$3:G$70=G58)*(J$3:J$70&gt;J58))+1,IF(M58="P",SUMPRODUCT((O$3:O$70&lt;&gt;"")*(P$3:P$70="")*(G$3:G$70=G58))+SUMPRODUCT((P$3:P$70&lt;&gt;"")*(G$3:G$70=G58))+SUMPRODUCT((N$3:N$70&lt;&gt;"")*(G$3:G$70=G58))+SUMPRODUCT((P$3:P$70="")*(O$3:O$70="")*(N$3:N$70="")*(M$3:M$70="P")*(G$3:G$70=G58)*(J$3:J$70&gt;J58))+IF(H58="L5",SUMPRODUCT((P$3:P$70="")*(O$3:O$70="")*(N$3:N$70="")*(M$3:M$70="P")*(G$3:G$70=G58)*(J$3:J$70&lt;J58)*(H$3:H$70&lt;&gt;H58)),-1*SUMPRODUCT((P$3:P$70="")*(O$3:O$70="")*(N$3:N$70="")*(M$3:M$70="P")*(G$3:G$70=G58)*(J$3:J$70&gt;J58)*(H$3:H$70="L5")))+1,""))))</f>
        <v/>
      </c>
      <c r="C58" s="36" t="s">
        <v>278</v>
      </c>
      <c r="D58" s="36" t="str">
        <f>IF(E58="","",VLOOKUP(E58,'Coaching Points'!A:B,2,0))</f>
        <v>AB</v>
      </c>
      <c r="E58" s="36" t="s">
        <v>64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R58+S58+IF(OR(H58="Junior",H58="Senior"),0.0002,IF(OR(H58="L7",H58="L6"),0.0001,0))+IF(G58="17-21",MAX(AA58,AC58,AF58),AE58)*0.0000001</f>
        <v>124.25999999999999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79.569999999999993</v>
      </c>
      <c r="S58" s="4">
        <f>IF(G58="17-21",LARGE(CHOOSE({1,2,3,4,5,6},T58,V58,Y58,AA58,AC58,AF58),2),IF(R58=X58,MAX(Y58,AA58,AC58,AF58),IF(R58=AE58,MAX(AF58,T58,V58,Y58),0)))</f>
        <v>44.69</v>
      </c>
      <c r="T58" s="33">
        <v>37.08</v>
      </c>
      <c r="U58" s="40">
        <v>0</v>
      </c>
      <c r="V58" s="34">
        <v>42.49</v>
      </c>
      <c r="W58" s="40">
        <v>9.6</v>
      </c>
      <c r="X58" s="4">
        <f>IF(H58="Senior",MAX(T58,V58),T58+V58)</f>
        <v>79.569999999999993</v>
      </c>
      <c r="Y58" s="34">
        <v>44.69</v>
      </c>
      <c r="Z58" s="40">
        <v>9.6</v>
      </c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$70&lt;&gt;"")*(G$3:G$70=G59)*(J$3:J$70&gt;J59)*(I$3:I$70="P"))+1,IF(O59&lt;&gt;"",SUMPRODUCT((O$3:O$70&lt;&gt;"")*(P$3:P$70="")*(G$3:G$70=G59)*(J$3:J$70&gt;J59)*(I$3:I$70="P"))+SUMPRODUCT((P$3:P$70&lt;&gt;"")*(G$3:G$70=G59)*(I$3:I$70="P"))+1,IF(N59&lt;&gt;"",SUMPRODUCT((N$3:N$70&lt;&gt;"")*(G$3:G$70=G59)*(J$3:J$70&gt;J59)*(I$3:I$70="P"))+1,IF(M59="P",SUMPRODUCT((O$3:O$70&lt;&gt;"")*(P$3:P$70="")*(G$3:G$70=G59)*(I$3:I$70="P"))+SUMPRODUCT((P$3:P$70&lt;&gt;"")*(G$3:G$70=G59)*(I$3:I$70="P"))+SUMPRODUCT((N$3:N$70&lt;&gt;"")*(G$3:G$70=G59)*(I$3:I$70="P"))+SUMPRODUCT((P$3:P$70="")*(O$3:O$70="")*(N$3:N$70="")*(M$3:M$70="P")*(G$3:G$70=G59)*(J$3:J$70&gt;J59)*(I$3:I$70="P"))+IF(H59="L5",SUMPRODUCT((P$3:P$70="")*(O$3:O$70="")*(N$3:N$70="")*(M$3:M$70="P")*(G$3:G$70=G59)*(J$3:J$70&lt;J59)*(H$3:H$70&lt;&gt;H59)*(I$3:I$70="P")),-1*SUMPRODUCT((P$3:P$70="")*(O$3:O$70="")*(N$3:N$70="")*(M$3:M$70="P")*(G$3:G$70=G59)*(J$3:J$70&gt;J59)*(H$3:H$70="L5")*(I$3:I$70="P")))+1,"")))))</f>
        <v/>
      </c>
      <c r="B59" s="1" t="str" cm="1">
        <f t="array" ref="B59">IF(P59&lt;&gt;"",SUMPRODUCT((P$3:P$70&lt;&gt;"")*(G$3:G$70=G59)*(J$3:J$70&gt;J59))+1,IF(O59&lt;&gt;"",SUMPRODUCT((O$3:O$70&lt;&gt;"")*(P$3:P$70="")*(G$3:G$70=G59)*(J$3:J$70&gt;J59))+SUMPRODUCT((P$3:P$70&lt;&gt;"")*(G$3:G$70=G59))+1,IF(N59&lt;&gt;"",SUMPRODUCT((N$3:N$70&lt;&gt;"")*(G$3:G$70=G59)*(J$3:J$70&gt;J59))+1,IF(M59="P",SUMPRODUCT((O$3:O$70&lt;&gt;"")*(P$3:P$70="")*(G$3:G$70=G59))+SUMPRODUCT((P$3:P$70&lt;&gt;"")*(G$3:G$70=G59))+SUMPRODUCT((N$3:N$70&lt;&gt;"")*(G$3:G$70=G59))+SUMPRODUCT((P$3:P$70="")*(O$3:O$70="")*(N$3:N$70="")*(M$3:M$70="P")*(G$3:G$70=G59)*(J$3:J$70&gt;J59))+IF(H59="L5",SUMPRODUCT((P$3:P$70="")*(O$3:O$70="")*(N$3:N$70="")*(M$3:M$70="P")*(G$3:G$70=G59)*(J$3:J$70&lt;J59)*(H$3:H$70&lt;&gt;H59)),-1*SUMPRODUCT((P$3:P$70="")*(O$3:O$70="")*(N$3:N$70="")*(M$3:M$70="P")*(G$3:G$70=G59)*(J$3:J$70&gt;J59)*(H$3:H$70="L5")))+1,""))))</f>
        <v/>
      </c>
      <c r="C59" s="36" t="s">
        <v>163</v>
      </c>
      <c r="D59" s="36" t="str">
        <f>IF(E59="","",VLOOKUP(E59,'Coaching Points'!A:B,2,0))</f>
        <v>AB</v>
      </c>
      <c r="E59" s="36" t="s">
        <v>64</v>
      </c>
      <c r="F59" s="35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>R59+S59+IF(OR(H59="Junior",H59="Senior"),0.0002,IF(OR(H59="L7",H59="L6"),0.0001,0))+IF(G59="17-21",MAX(AA59,AC59,AF59),AE59)*0.0000001</f>
        <v>123.04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78.7</v>
      </c>
      <c r="S59" s="4">
        <f>IF(G59="17-21",LARGE(CHOOSE({1,2,3,4,5,6},T59,V59,Y59,AA59,AC59,AF59),2),IF(R59=X59,MAX(Y59,AA59,AC59,AF59),IF(R59=AE59,MAX(AF59,T59,V59,Y59),0)))</f>
        <v>44.34</v>
      </c>
      <c r="T59" s="33">
        <v>36.17</v>
      </c>
      <c r="U59" s="40">
        <v>0</v>
      </c>
      <c r="V59" s="34">
        <v>42.53</v>
      </c>
      <c r="W59" s="40">
        <v>7.7</v>
      </c>
      <c r="X59" s="4">
        <f>IF(H59="Senior",MAX(T59,V59),T59+V59)</f>
        <v>78.7</v>
      </c>
      <c r="Y59" s="34">
        <v>44.34</v>
      </c>
      <c r="Z59" s="40">
        <v>8.1</v>
      </c>
      <c r="AA59" s="33"/>
      <c r="AB59" s="40"/>
      <c r="AC59" s="34"/>
      <c r="AD59" s="40"/>
      <c r="AE59" s="4">
        <f>IF(H59="Senior",MAX(AA59,AC59),AA59+AC59)</f>
        <v>0</v>
      </c>
      <c r="AF59" s="34"/>
      <c r="AG59" s="37"/>
    </row>
    <row r="60" spans="1:33" x14ac:dyDescent="0.2">
      <c r="A60" s="1" t="str" cm="1">
        <f t="array" ref="A60">IF(I60="","",IF(P60&lt;&gt;"",SUMPRODUCT((P$3:P$70&lt;&gt;"")*(G$3:G$70=G60)*(J$3:J$70&gt;J60)*(I$3:I$70="P"))+1,IF(O60&lt;&gt;"",SUMPRODUCT((O$3:O$70&lt;&gt;"")*(P$3:P$70="")*(G$3:G$70=G60)*(J$3:J$70&gt;J60)*(I$3:I$70="P"))+SUMPRODUCT((P$3:P$70&lt;&gt;"")*(G$3:G$70=G60)*(I$3:I$70="P"))+1,IF(N60&lt;&gt;"",SUMPRODUCT((N$3:N$70&lt;&gt;"")*(G$3:G$70=G60)*(J$3:J$70&gt;J60)*(I$3:I$70="P"))+1,IF(M60="P",SUMPRODUCT((O$3:O$70&lt;&gt;"")*(P$3:P$70="")*(G$3:G$70=G60)*(I$3:I$70="P"))+SUMPRODUCT((P$3:P$70&lt;&gt;"")*(G$3:G$70=G60)*(I$3:I$70="P"))+SUMPRODUCT((N$3:N$70&lt;&gt;"")*(G$3:G$70=G60)*(I$3:I$70="P"))+SUMPRODUCT((P$3:P$70="")*(O$3:O$70="")*(N$3:N$70="")*(M$3:M$70="P")*(G$3:G$70=G60)*(J$3:J$70&gt;J60)*(I$3:I$70="P"))+IF(H60="L5",SUMPRODUCT((P$3:P$70="")*(O$3:O$70="")*(N$3:N$70="")*(M$3:M$70="P")*(G$3:G$70=G60)*(J$3:J$70&lt;J60)*(H$3:H$70&lt;&gt;H60)*(I$3:I$70="P")),-1*SUMPRODUCT((P$3:P$70="")*(O$3:O$70="")*(N$3:N$70="")*(M$3:M$70="P")*(G$3:G$70=G60)*(J$3:J$70&gt;J60)*(H$3:H$70="L5")*(I$3:I$70="P")))+1,"")))))</f>
        <v/>
      </c>
      <c r="B60" s="1" t="str" cm="1">
        <f t="array" ref="B60">IF(P60&lt;&gt;"",SUMPRODUCT((P$3:P$70&lt;&gt;"")*(G$3:G$70=G60)*(J$3:J$70&gt;J60))+1,IF(O60&lt;&gt;"",SUMPRODUCT((O$3:O$70&lt;&gt;"")*(P$3:P$70="")*(G$3:G$70=G60)*(J$3:J$70&gt;J60))+SUMPRODUCT((P$3:P$70&lt;&gt;"")*(G$3:G$70=G60))+1,IF(N60&lt;&gt;"",SUMPRODUCT((N$3:N$70&lt;&gt;"")*(G$3:G$70=G60)*(J$3:J$70&gt;J60))+1,IF(M60="P",SUMPRODUCT((O$3:O$70&lt;&gt;"")*(P$3:P$70="")*(G$3:G$70=G60))+SUMPRODUCT((P$3:P$70&lt;&gt;"")*(G$3:G$70=G60))+SUMPRODUCT((N$3:N$70&lt;&gt;"")*(G$3:G$70=G60))+SUMPRODUCT((P$3:P$70="")*(O$3:O$70="")*(N$3:N$70="")*(M$3:M$70="P")*(G$3:G$70=G60)*(J$3:J$70&gt;J60))+IF(H60="L5",SUMPRODUCT((P$3:P$70="")*(O$3:O$70="")*(N$3:N$70="")*(M$3:M$70="P")*(G$3:G$70=G60)*(J$3:J$70&lt;J60)*(H$3:H$70&lt;&gt;H60)),-1*SUMPRODUCT((P$3:P$70="")*(O$3:O$70="")*(N$3:N$70="")*(M$3:M$70="P")*(G$3:G$70=G60)*(J$3:J$70&gt;J60)*(H$3:H$70="L5")))+1,""))))</f>
        <v/>
      </c>
      <c r="C60" s="36" t="s">
        <v>218</v>
      </c>
      <c r="D60" s="36" t="str">
        <f>IF(E60="","",VLOOKUP(E60,'Coaching Points'!A:B,2,0))</f>
        <v>ON</v>
      </c>
      <c r="E60" s="36" t="s">
        <v>286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67</v>
      </c>
      <c r="I60" s="43"/>
      <c r="J60" s="4">
        <f>R60+S60+IF(OR(H60="Junior",H60="Senior"),0.0002,IF(OR(H60="L7",H60="L6"),0.0001,0))+IF(G60="17-21",MAX(AA60,AC60,AF60),AE60)*0.0000001</f>
        <v>100.87010000000001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54.82</v>
      </c>
      <c r="S60" s="4">
        <f>IF(G60="17-21",LARGE(CHOOSE({1,2,3,4,5,6},T60,V60,Y60,AA60,AC60,AF60),2),IF(R60=X60,MAX(Y60,AA60,AC60,AF60),IF(R60=AE60,MAX(AF60,T60,V60,Y60),0)))</f>
        <v>46.05</v>
      </c>
      <c r="T60" s="33">
        <v>41.36</v>
      </c>
      <c r="U60" s="40">
        <v>0</v>
      </c>
      <c r="V60" s="34">
        <v>13.46</v>
      </c>
      <c r="W60" s="40">
        <v>3.1</v>
      </c>
      <c r="X60" s="4">
        <f>IF(H60="Senior",MAX(T60,V60),T60+V60)</f>
        <v>54.82</v>
      </c>
      <c r="Y60" s="34">
        <v>46.05</v>
      </c>
      <c r="Z60" s="40">
        <v>10.5</v>
      </c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$70&lt;&gt;"")*(G$3:G$70=G61)*(J$3:J$70&gt;J61)*(I$3:I$70="P"))+1,IF(O61&lt;&gt;"",SUMPRODUCT((O$3:O$70&lt;&gt;"")*(P$3:P$70="")*(G$3:G$70=G61)*(J$3:J$70&gt;J61)*(I$3:I$70="P"))+SUMPRODUCT((P$3:P$70&lt;&gt;"")*(G$3:G$70=G61)*(I$3:I$70="P"))+1,IF(N61&lt;&gt;"",SUMPRODUCT((N$3:N$70&lt;&gt;"")*(G$3:G$70=G61)*(J$3:J$70&gt;J61)*(I$3:I$70="P"))+1,IF(M61="P",SUMPRODUCT((O$3:O$70&lt;&gt;"")*(P$3:P$70="")*(G$3:G$70=G61)*(I$3:I$70="P"))+SUMPRODUCT((P$3:P$70&lt;&gt;"")*(G$3:G$70=G61)*(I$3:I$70="P"))+SUMPRODUCT((N$3:N$70&lt;&gt;"")*(G$3:G$70=G61)*(I$3:I$70="P"))+SUMPRODUCT((P$3:P$70="")*(O$3:O$70="")*(N$3:N$70="")*(M$3:M$70="P")*(G$3:G$70=G61)*(J$3:J$70&gt;J61)*(I$3:I$70="P"))+IF(H61="L5",SUMPRODUCT((P$3:P$70="")*(O$3:O$70="")*(N$3:N$70="")*(M$3:M$70="P")*(G$3:G$70=G61)*(J$3:J$70&lt;J61)*(H$3:H$70&lt;&gt;H61)*(I$3:I$70="P")),-1*SUMPRODUCT((P$3:P$70="")*(O$3:O$70="")*(N$3:N$70="")*(M$3:M$70="P")*(G$3:G$70=G61)*(J$3:J$70&gt;J61)*(H$3:H$70="L5")*(I$3:I$70="P")))+1,"")))))</f>
        <v/>
      </c>
      <c r="B61" s="1" t="str" cm="1">
        <f t="array" ref="B61">IF(P61&lt;&gt;"",SUMPRODUCT((P$3:P$70&lt;&gt;"")*(G$3:G$70=G61)*(J$3:J$70&gt;J61))+1,IF(O61&lt;&gt;"",SUMPRODUCT((O$3:O$70&lt;&gt;"")*(P$3:P$70="")*(G$3:G$70=G61)*(J$3:J$70&gt;J61))+SUMPRODUCT((P$3:P$70&lt;&gt;"")*(G$3:G$70=G61))+1,IF(N61&lt;&gt;"",SUMPRODUCT((N$3:N$70&lt;&gt;"")*(G$3:G$70=G61)*(J$3:J$70&gt;J61))+1,IF(M61="P",SUMPRODUCT((O$3:O$70&lt;&gt;"")*(P$3:P$70="")*(G$3:G$70=G61))+SUMPRODUCT((P$3:P$70&lt;&gt;"")*(G$3:G$70=G61))+SUMPRODUCT((N$3:N$70&lt;&gt;"")*(G$3:G$70=G61))+SUMPRODUCT((P$3:P$70="")*(O$3:O$70="")*(N$3:N$70="")*(M$3:M$70="P")*(G$3:G$70=G61)*(J$3:J$70&gt;J61))+IF(H61="L5",SUMPRODUCT((P$3:P$70="")*(O$3:O$70="")*(N$3:N$70="")*(M$3:M$70="P")*(G$3:G$70=G61)*(J$3:J$70&lt;J61)*(H$3:H$70&lt;&gt;H61)),-1*SUMPRODUCT((P$3:P$70="")*(O$3:O$70="")*(N$3:N$70="")*(M$3:M$70="P")*(G$3:G$70=G61)*(J$3:J$70&gt;J61)*(H$3:H$70="L5")))+1,""))))</f>
        <v/>
      </c>
      <c r="C61" s="36" t="s">
        <v>87</v>
      </c>
      <c r="D61" s="36" t="str">
        <f>IF(E61="","",VLOOKUP(E61,'Coaching Points'!A:B,2,0))</f>
        <v>QC</v>
      </c>
      <c r="E61" s="36" t="s">
        <v>288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67</v>
      </c>
      <c r="I61" s="43"/>
      <c r="J61" s="4">
        <f>R61+S61+IF(OR(H61="Junior",H61="Senior"),0.0002,IF(OR(H61="L7",H61="L6"),0.0001,0))+IF(G61="17-21",MAX(AA61,AC61,AF61),AE61)*0.0000001</f>
        <v>99.850099999999998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54.25</v>
      </c>
      <c r="S61" s="4">
        <f>IF(G61="17-21",LARGE(CHOOSE({1,2,3,4,5,6},T61,V61,Y61,AA61,AC61,AF61),2),IF(R61=X61,MAX(Y61,AA61,AC61,AF61),IF(R61=AE61,MAX(AF61,T61,V61,Y61),0)))</f>
        <v>45.6</v>
      </c>
      <c r="T61" s="33">
        <v>39.19</v>
      </c>
      <c r="U61" s="40">
        <v>0</v>
      </c>
      <c r="V61" s="34">
        <v>15.06</v>
      </c>
      <c r="W61" s="40">
        <v>3.4</v>
      </c>
      <c r="X61" s="4">
        <f>IF(H61="Senior",MAX(T61,V61),T61+V61)</f>
        <v>54.25</v>
      </c>
      <c r="Y61" s="34">
        <v>45.6</v>
      </c>
      <c r="Z61" s="40">
        <v>8</v>
      </c>
      <c r="AA61" s="33"/>
      <c r="AB61" s="40"/>
      <c r="AC61" s="34"/>
      <c r="AD61" s="40"/>
      <c r="AE61" s="4">
        <f>IF(H61="Senior",MAX(AA61,AC61),AA61+AC61)</f>
        <v>0</v>
      </c>
      <c r="AF61" s="34"/>
      <c r="AG61" s="37"/>
    </row>
    <row r="62" spans="1:33" x14ac:dyDescent="0.2">
      <c r="A62" s="1" t="str" cm="1">
        <f t="array" ref="A62">IF(I62="","",IF(P62&lt;&gt;"",SUMPRODUCT((P$3:P$70&lt;&gt;"")*(G$3:G$70=G62)*(J$3:J$70&gt;J62)*(I$3:I$70="P"))+1,IF(O62&lt;&gt;"",SUMPRODUCT((O$3:O$70&lt;&gt;"")*(P$3:P$70="")*(G$3:G$70=G62)*(J$3:J$70&gt;J62)*(I$3:I$70="P"))+SUMPRODUCT((P$3:P$70&lt;&gt;"")*(G$3:G$70=G62)*(I$3:I$70="P"))+1,IF(N62&lt;&gt;"",SUMPRODUCT((N$3:N$70&lt;&gt;"")*(G$3:G$70=G62)*(J$3:J$70&gt;J62)*(I$3:I$70="P"))+1,IF(M62="P",SUMPRODUCT((O$3:O$70&lt;&gt;"")*(P$3:P$70="")*(G$3:G$70=G62)*(I$3:I$70="P"))+SUMPRODUCT((P$3:P$70&lt;&gt;"")*(G$3:G$70=G62)*(I$3:I$70="P"))+SUMPRODUCT((N$3:N$70&lt;&gt;"")*(G$3:G$70=G62)*(I$3:I$70="P"))+SUMPRODUCT((P$3:P$70="")*(O$3:O$70="")*(N$3:N$70="")*(M$3:M$70="P")*(G$3:G$70=G62)*(J$3:J$70&gt;J62)*(I$3:I$70="P"))+IF(H62="L5",SUMPRODUCT((P$3:P$70="")*(O$3:O$70="")*(N$3:N$70="")*(M$3:M$70="P")*(G$3:G$70=G62)*(J$3:J$70&lt;J62)*(H$3:H$70&lt;&gt;H62)*(I$3:I$70="P")),-1*SUMPRODUCT((P$3:P$70="")*(O$3:O$70="")*(N$3:N$70="")*(M$3:M$70="P")*(G$3:G$70=G62)*(J$3:J$70&gt;J62)*(H$3:H$70="L5")*(I$3:I$70="P")))+1,"")))))</f>
        <v/>
      </c>
      <c r="B62" s="1" t="str" cm="1">
        <f t="array" ref="B62">IF(P62&lt;&gt;"",SUMPRODUCT((P$3:P$70&lt;&gt;"")*(G$3:G$70=G62)*(J$3:J$70&gt;J62))+1,IF(O62&lt;&gt;"",SUMPRODUCT((O$3:O$70&lt;&gt;"")*(P$3:P$70="")*(G$3:G$70=G62)*(J$3:J$70&gt;J62))+SUMPRODUCT((P$3:P$70&lt;&gt;"")*(G$3:G$70=G62))+1,IF(N62&lt;&gt;"",SUMPRODUCT((N$3:N$70&lt;&gt;"")*(G$3:G$70=G62)*(J$3:J$70&gt;J62))+1,IF(M62="P",SUMPRODUCT((O$3:O$70&lt;&gt;"")*(P$3:P$70="")*(G$3:G$70=G62))+SUMPRODUCT((P$3:P$70&lt;&gt;"")*(G$3:G$70=G62))+SUMPRODUCT((N$3:N$70&lt;&gt;"")*(G$3:G$70=G62))+SUMPRODUCT((P$3:P$70="")*(O$3:O$70="")*(N$3:N$70="")*(M$3:M$70="P")*(G$3:G$70=G62)*(J$3:J$70&gt;J62))+IF(H62="L5",SUMPRODUCT((P$3:P$70="")*(O$3:O$70="")*(N$3:N$70="")*(M$3:M$70="P")*(G$3:G$70=G62)*(J$3:J$70&lt;J62)*(H$3:H$70&lt;&gt;H62)),-1*SUMPRODUCT((P$3:P$70="")*(O$3:O$70="")*(N$3:N$70="")*(M$3:M$70="P")*(G$3:G$70=G62)*(J$3:J$70&gt;J62)*(H$3:H$70="L5")))+1,""))))</f>
        <v/>
      </c>
      <c r="C62" s="36" t="s">
        <v>320</v>
      </c>
      <c r="D62" s="36" t="str">
        <f>IF(E62="","",VLOOKUP(E62,'Coaching Points'!A:B,2,0))</f>
        <v>BC</v>
      </c>
      <c r="E62" s="36" t="s">
        <v>284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83.16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83.16</v>
      </c>
      <c r="S62" s="4">
        <f>IF(G62="17-21",LARGE(CHOOSE({1,2,3,4,5,6},T62,V62,Y62,AA62,AC62,AF62),2),IF(R62=X62,MAX(Y62,AA62,AC62,AF62),IF(R62=AE62,MAX(AF62,T62,V62,Y62),0)))</f>
        <v>0</v>
      </c>
      <c r="T62" s="33">
        <v>38.96</v>
      </c>
      <c r="U62" s="40">
        <v>0</v>
      </c>
      <c r="V62" s="34">
        <v>44.2</v>
      </c>
      <c r="W62" s="40">
        <v>7.9</v>
      </c>
      <c r="X62" s="4">
        <f>IF(H62="Senior",MAX(T62,V62),T62+V62)</f>
        <v>83.16</v>
      </c>
      <c r="Y62" s="34"/>
      <c r="Z62" s="40"/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$70&lt;&gt;"")*(G$3:G$70=G63)*(J$3:J$70&gt;J63)*(I$3:I$70="P"))+1,IF(O63&lt;&gt;"",SUMPRODUCT((O$3:O$70&lt;&gt;"")*(P$3:P$70="")*(G$3:G$70=G63)*(J$3:J$70&gt;J63)*(I$3:I$70="P"))+SUMPRODUCT((P$3:P$70&lt;&gt;"")*(G$3:G$70=G63)*(I$3:I$70="P"))+1,IF(N63&lt;&gt;"",SUMPRODUCT((N$3:N$70&lt;&gt;"")*(G$3:G$70=G63)*(J$3:J$70&gt;J63)*(I$3:I$70="P"))+1,IF(M63="P",SUMPRODUCT((O$3:O$70&lt;&gt;"")*(P$3:P$70="")*(G$3:G$70=G63)*(I$3:I$70="P"))+SUMPRODUCT((P$3:P$70&lt;&gt;"")*(G$3:G$70=G63)*(I$3:I$70="P"))+SUMPRODUCT((N$3:N$70&lt;&gt;"")*(G$3:G$70=G63)*(I$3:I$70="P"))+SUMPRODUCT((P$3:P$70="")*(O$3:O$70="")*(N$3:N$70="")*(M$3:M$70="P")*(G$3:G$70=G63)*(J$3:J$70&gt;J63)*(I$3:I$70="P"))+IF(H63="L5",SUMPRODUCT((P$3:P$70="")*(O$3:O$70="")*(N$3:N$70="")*(M$3:M$70="P")*(G$3:G$70=G63)*(J$3:J$70&lt;J63)*(H$3:H$70&lt;&gt;H63)*(I$3:I$70="P")),-1*SUMPRODUCT((P$3:P$70="")*(O$3:O$70="")*(N$3:N$70="")*(M$3:M$70="P")*(G$3:G$70=G63)*(J$3:J$70&gt;J63)*(H$3:H$70="L5")*(I$3:I$70="P")))+1,"")))))</f>
        <v/>
      </c>
      <c r="B63" s="1" t="str" cm="1">
        <f t="array" ref="B63">IF(P63&lt;&gt;"",SUMPRODUCT((P$3:P$70&lt;&gt;"")*(G$3:G$70=G63)*(J$3:J$70&gt;J63))+1,IF(O63&lt;&gt;"",SUMPRODUCT((O$3:O$70&lt;&gt;"")*(P$3:P$70="")*(G$3:G$70=G63)*(J$3:J$70&gt;J63))+SUMPRODUCT((P$3:P$70&lt;&gt;"")*(G$3:G$70=G63))+1,IF(N63&lt;&gt;"",SUMPRODUCT((N$3:N$70&lt;&gt;"")*(G$3:G$70=G63)*(J$3:J$70&gt;J63))+1,IF(M63="P",SUMPRODUCT((O$3:O$70&lt;&gt;"")*(P$3:P$70="")*(G$3:G$70=G63))+SUMPRODUCT((P$3:P$70&lt;&gt;"")*(G$3:G$70=G63))+SUMPRODUCT((N$3:N$70&lt;&gt;"")*(G$3:G$70=G63))+SUMPRODUCT((P$3:P$70="")*(O$3:O$70="")*(N$3:N$70="")*(M$3:M$70="P")*(G$3:G$70=G63)*(J$3:J$70&gt;J63))+IF(H63="L5",SUMPRODUCT((P$3:P$70="")*(O$3:O$70="")*(N$3:N$70="")*(M$3:M$70="P")*(G$3:G$70=G63)*(J$3:J$70&lt;J63)*(H$3:H$70&lt;&gt;H63)),-1*SUMPRODUCT((P$3:P$70="")*(O$3:O$70="")*(N$3:N$70="")*(M$3:M$70="P")*(G$3:G$70=G63)*(J$3:J$70&gt;J63)*(H$3:H$70="L5")))+1,""))))</f>
        <v/>
      </c>
      <c r="C63" s="36" t="s">
        <v>102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>R63+S63+IF(OR(H63="Junior",H63="Senior"),0.0002,IF(OR(H63="L7",H63="L6"),0.0001,0))+IF(G63="17-21",MAX(AA63,AC63,AF63),AE63)*0.0000001</f>
        <v>83.140100000000004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57.45</v>
      </c>
      <c r="S63" s="4">
        <f>IF(G63="17-21",LARGE(CHOOSE({1,2,3,4,5,6},T63,V63,Y63,AA63,AC63,AF63),2),IF(R63=X63,MAX(Y63,AA63,AC63,AF63),IF(R63=AE63,MAX(AF63,T63,V63,Y63),0)))</f>
        <v>25.69</v>
      </c>
      <c r="T63" s="33">
        <v>42.4</v>
      </c>
      <c r="U63" s="40">
        <v>0</v>
      </c>
      <c r="V63" s="34">
        <v>15.05</v>
      </c>
      <c r="W63" s="40">
        <v>4.2</v>
      </c>
      <c r="X63" s="4">
        <f>IF(H63="Senior",MAX(T63,V63),T63+V63)</f>
        <v>57.45</v>
      </c>
      <c r="Y63" s="34">
        <v>25.69</v>
      </c>
      <c r="Z63" s="40">
        <v>6.2</v>
      </c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t="str" cm="1">
        <f t="array" ref="A64">IF(I64="","",IF(P64&lt;&gt;"",SUMPRODUCT((P$3:P$70&lt;&gt;"")*(G$3:G$70=G64)*(J$3:J$70&gt;J64)*(I$3:I$70="P"))+1,IF(O64&lt;&gt;"",SUMPRODUCT((O$3:O$70&lt;&gt;"")*(P$3:P$70="")*(G$3:G$70=G64)*(J$3:J$70&gt;J64)*(I$3:I$70="P"))+SUMPRODUCT((P$3:P$70&lt;&gt;"")*(G$3:G$70=G64)*(I$3:I$70="P"))+1,IF(N64&lt;&gt;"",SUMPRODUCT((N$3:N$70&lt;&gt;"")*(G$3:G$70=G64)*(J$3:J$70&gt;J64)*(I$3:I$70="P"))+1,IF(M64="P",SUMPRODUCT((O$3:O$70&lt;&gt;"")*(P$3:P$70="")*(G$3:G$70=G64)*(I$3:I$70="P"))+SUMPRODUCT((P$3:P$70&lt;&gt;"")*(G$3:G$70=G64)*(I$3:I$70="P"))+SUMPRODUCT((N$3:N$70&lt;&gt;"")*(G$3:G$70=G64)*(I$3:I$70="P"))+SUMPRODUCT((P$3:P$70="")*(O$3:O$70="")*(N$3:N$70="")*(M$3:M$70="P")*(G$3:G$70=G64)*(J$3:J$70&gt;J64)*(I$3:I$70="P"))+IF(H64="L5",SUMPRODUCT((P$3:P$70="")*(O$3:O$70="")*(N$3:N$70="")*(M$3:M$70="P")*(G$3:G$70=G64)*(J$3:J$70&lt;J64)*(H$3:H$70&lt;&gt;H64)*(I$3:I$70="P")),-1*SUMPRODUCT((P$3:P$70="")*(O$3:O$70="")*(N$3:N$70="")*(M$3:M$70="P")*(G$3:G$70=G64)*(J$3:J$70&gt;J64)*(H$3:H$70="L5")*(I$3:I$70="P")))+1,"")))))</f>
        <v/>
      </c>
      <c r="B64" s="1" t="str" cm="1">
        <f t="array" ref="B64">IF(P64&lt;&gt;"",SUMPRODUCT((P$3:P$70&lt;&gt;"")*(G$3:G$70=G64)*(J$3:J$70&gt;J64))+1,IF(O64&lt;&gt;"",SUMPRODUCT((O$3:O$70&lt;&gt;"")*(P$3:P$70="")*(G$3:G$70=G64)*(J$3:J$70&gt;J64))+SUMPRODUCT((P$3:P$70&lt;&gt;"")*(G$3:G$70=G64))+1,IF(N64&lt;&gt;"",SUMPRODUCT((N$3:N$70&lt;&gt;"")*(G$3:G$70=G64)*(J$3:J$70&gt;J64))+1,IF(M64="P",SUMPRODUCT((O$3:O$70&lt;&gt;"")*(P$3:P$70="")*(G$3:G$70=G64))+SUMPRODUCT((P$3:P$70&lt;&gt;"")*(G$3:G$70=G64))+SUMPRODUCT((N$3:N$70&lt;&gt;"")*(G$3:G$70=G64))+SUMPRODUCT((P$3:P$70="")*(O$3:O$70="")*(N$3:N$70="")*(M$3:M$70="P")*(G$3:G$70=G64)*(J$3:J$70&gt;J64))+IF(H64="L5",SUMPRODUCT((P$3:P$70="")*(O$3:O$70="")*(N$3:N$70="")*(M$3:M$70="P")*(G$3:G$70=G64)*(J$3:J$70&lt;J64)*(H$3:H$70&lt;&gt;H64)),-1*SUMPRODUCT((P$3:P$70="")*(O$3:O$70="")*(N$3:N$70="")*(M$3:M$70="P")*(G$3:G$70=G64)*(J$3:J$70&gt;J64)*(H$3:H$70="L5")))+1,""))))</f>
        <v/>
      </c>
      <c r="C64" s="36" t="s">
        <v>223</v>
      </c>
      <c r="D64" s="36" t="str">
        <f>IF(E64="","",VLOOKUP(E64,'Coaching Points'!A:B,2,0))</f>
        <v>SK</v>
      </c>
      <c r="E64" s="36" t="s">
        <v>60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76.23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76.23</v>
      </c>
      <c r="S64" s="4">
        <f>IF(G64="17-21",LARGE(CHOOSE({1,2,3,4,5,6},T64,V64,Y64,AA64,AC64,AF64),2),IF(R64=X64,MAX(Y64,AA64,AC64,AF64),IF(R64=AE64,MAX(AF64,T64,V64,Y64),0)))</f>
        <v>0</v>
      </c>
      <c r="T64" s="33">
        <v>32.85</v>
      </c>
      <c r="U64" s="40">
        <v>0</v>
      </c>
      <c r="V64" s="34">
        <v>43.38</v>
      </c>
      <c r="W64" s="40">
        <v>9.1</v>
      </c>
      <c r="X64" s="4">
        <f>IF(H64="Senior",MAX(T64,V64),T64+V64)</f>
        <v>76.23</v>
      </c>
      <c r="Y64" s="34"/>
      <c r="Z64" s="40"/>
      <c r="AA64" s="33"/>
      <c r="AB64" s="40"/>
      <c r="AC64" s="34"/>
      <c r="AD64" s="40"/>
      <c r="AE64" s="4">
        <f>IF(H64="Senior",MAX(AA64,AC64),AA64+AC64)</f>
        <v>0</v>
      </c>
      <c r="AF64" s="34"/>
      <c r="AG64" s="37"/>
    </row>
    <row r="65" spans="1:33" x14ac:dyDescent="0.2">
      <c r="A65" s="1" t="str" cm="1">
        <f t="array" ref="A65">IF(I65="","",IF(P65&lt;&gt;"",SUMPRODUCT((P$3:P$70&lt;&gt;"")*(G$3:G$70=G65)*(J$3:J$70&gt;J65)*(I$3:I$70="P"))+1,IF(O65&lt;&gt;"",SUMPRODUCT((O$3:O$70&lt;&gt;"")*(P$3:P$70="")*(G$3:G$70=G65)*(J$3:J$70&gt;J65)*(I$3:I$70="P"))+SUMPRODUCT((P$3:P$70&lt;&gt;"")*(G$3:G$70=G65)*(I$3:I$70="P"))+1,IF(N65&lt;&gt;"",SUMPRODUCT((N$3:N$70&lt;&gt;"")*(G$3:G$70=G65)*(J$3:J$70&gt;J65)*(I$3:I$70="P"))+1,IF(M65="P",SUMPRODUCT((O$3:O$70&lt;&gt;"")*(P$3:P$70="")*(G$3:G$70=G65)*(I$3:I$70="P"))+SUMPRODUCT((P$3:P$70&lt;&gt;"")*(G$3:G$70=G65)*(I$3:I$70="P"))+SUMPRODUCT((N$3:N$70&lt;&gt;"")*(G$3:G$70=G65)*(I$3:I$70="P"))+SUMPRODUCT((P$3:P$70="")*(O$3:O$70="")*(N$3:N$70="")*(M$3:M$70="P")*(G$3:G$70=G65)*(J$3:J$70&gt;J65)*(I$3:I$70="P"))+IF(H65="L5",SUMPRODUCT((P$3:P$70="")*(O$3:O$70="")*(N$3:N$70="")*(M$3:M$70="P")*(G$3:G$70=G65)*(J$3:J$70&lt;J65)*(H$3:H$70&lt;&gt;H65)*(I$3:I$70="P")),-1*SUMPRODUCT((P$3:P$70="")*(O$3:O$70="")*(N$3:N$70="")*(M$3:M$70="P")*(G$3:G$70=G65)*(J$3:J$70&gt;J65)*(H$3:H$70="L5")*(I$3:I$70="P")))+1,"")))))</f>
        <v/>
      </c>
      <c r="B65" s="1" t="str" cm="1">
        <f t="array" ref="B65">IF(P65&lt;&gt;"",SUMPRODUCT((P$3:P$70&lt;&gt;"")*(G$3:G$70=G65)*(J$3:J$70&gt;J65))+1,IF(O65&lt;&gt;"",SUMPRODUCT((O$3:O$70&lt;&gt;"")*(P$3:P$70="")*(G$3:G$70=G65)*(J$3:J$70&gt;J65))+SUMPRODUCT((P$3:P$70&lt;&gt;"")*(G$3:G$70=G65))+1,IF(N65&lt;&gt;"",SUMPRODUCT((N$3:N$70&lt;&gt;"")*(G$3:G$70=G65)*(J$3:J$70&gt;J65))+1,IF(M65="P",SUMPRODUCT((O$3:O$70&lt;&gt;"")*(P$3:P$70="")*(G$3:G$70=G65))+SUMPRODUCT((P$3:P$70&lt;&gt;"")*(G$3:G$70=G65))+SUMPRODUCT((N$3:N$70&lt;&gt;"")*(G$3:G$70=G65))+SUMPRODUCT((P$3:P$70="")*(O$3:O$70="")*(N$3:N$70="")*(M$3:M$70="P")*(G$3:G$70=G65)*(J$3:J$70&gt;J65))+IF(H65="L5",SUMPRODUCT((P$3:P$70="")*(O$3:O$70="")*(N$3:N$70="")*(M$3:M$70="P")*(G$3:G$70=G65)*(J$3:J$70&lt;J65)*(H$3:H$70&lt;&gt;H65)),-1*SUMPRODUCT((P$3:P$70="")*(O$3:O$70="")*(N$3:N$70="")*(M$3:M$70="P")*(G$3:G$70=G65)*(J$3:J$70&gt;J65)*(H$3:H$70="L5")))+1,""))))</f>
        <v/>
      </c>
      <c r="C65" s="36" t="s">
        <v>321</v>
      </c>
      <c r="D65" s="36" t="str">
        <f>IF(E65="","",VLOOKUP(E65,'Coaching Points'!A:B,2,0))</f>
        <v>QC</v>
      </c>
      <c r="E65" s="36" t="s">
        <v>203</v>
      </c>
      <c r="F65" s="35">
        <v>2008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62.59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62.59</v>
      </c>
      <c r="S65" s="4">
        <f>IF(G65="17-21",LARGE(CHOOSE({1,2,3,4,5,6},T65,V65,Y65,AA65,AC65,AF65),2),IF(R65=X65,MAX(Y65,AA65,AC65,AF65),IF(R65=AE65,MAX(AF65,T65,V65,Y65),0)))</f>
        <v>0</v>
      </c>
      <c r="T65" s="33">
        <v>39.67</v>
      </c>
      <c r="U65" s="40">
        <v>0</v>
      </c>
      <c r="V65" s="34">
        <v>22.92</v>
      </c>
      <c r="W65" s="40">
        <v>1.3</v>
      </c>
      <c r="X65" s="4">
        <f>IF(H65="Senior",MAX(T65,V65),T65+V65)</f>
        <v>62.59</v>
      </c>
      <c r="Y65" s="34"/>
      <c r="Z65" s="40"/>
      <c r="AA65" s="33"/>
      <c r="AB65" s="40"/>
      <c r="AC65" s="34"/>
      <c r="AD65" s="40"/>
      <c r="AE65" s="4">
        <f>IF(H65="Senior",MAX(AA65,AC65),AA65+AC65)</f>
        <v>0</v>
      </c>
      <c r="AF65" s="34"/>
      <c r="AG65" s="37"/>
    </row>
    <row r="66" spans="1:33" x14ac:dyDescent="0.2">
      <c r="A66" s="1" t="str" cm="1">
        <f t="array" ref="A66">IF(I66="","",IF(P66&lt;&gt;"",SUMPRODUCT((P$3:P$70&lt;&gt;"")*(G$3:G$70=G66)*(J$3:J$70&gt;J66)*(I$3:I$70="P"))+1,IF(O66&lt;&gt;"",SUMPRODUCT((O$3:O$70&lt;&gt;"")*(P$3:P$70="")*(G$3:G$70=G66)*(J$3:J$70&gt;J66)*(I$3:I$70="P"))+SUMPRODUCT((P$3:P$70&lt;&gt;"")*(G$3:G$70=G66)*(I$3:I$70="P"))+1,IF(N66&lt;&gt;"",SUMPRODUCT((N$3:N$70&lt;&gt;"")*(G$3:G$70=G66)*(J$3:J$70&gt;J66)*(I$3:I$70="P"))+1,IF(M66="P",SUMPRODUCT((O$3:O$70&lt;&gt;"")*(P$3:P$70="")*(G$3:G$70=G66)*(I$3:I$70="P"))+SUMPRODUCT((P$3:P$70&lt;&gt;"")*(G$3:G$70=G66)*(I$3:I$70="P"))+SUMPRODUCT((N$3:N$70&lt;&gt;"")*(G$3:G$70=G66)*(I$3:I$70="P"))+SUMPRODUCT((P$3:P$70="")*(O$3:O$70="")*(N$3:N$70="")*(M$3:M$70="P")*(G$3:G$70=G66)*(J$3:J$70&gt;J66)*(I$3:I$70="P"))+IF(H66="L5",SUMPRODUCT((P$3:P$70="")*(O$3:O$70="")*(N$3:N$70="")*(M$3:M$70="P")*(G$3:G$70=G66)*(J$3:J$70&lt;J66)*(H$3:H$70&lt;&gt;H66)*(I$3:I$70="P")),-1*SUMPRODUCT((P$3:P$70="")*(O$3:O$70="")*(N$3:N$70="")*(M$3:M$70="P")*(G$3:G$70=G66)*(J$3:J$70&gt;J66)*(H$3:H$70="L5")*(I$3:I$70="P")))+1,"")))))</f>
        <v/>
      </c>
      <c r="B66" s="1" t="str" cm="1">
        <f t="array" ref="B66">IF(P66&lt;&gt;"",SUMPRODUCT((P$3:P$70&lt;&gt;"")*(G$3:G$70=G66)*(J$3:J$70&gt;J66))+1,IF(O66&lt;&gt;"",SUMPRODUCT((O$3:O$70&lt;&gt;"")*(P$3:P$70="")*(G$3:G$70=G66)*(J$3:J$70&gt;J66))+SUMPRODUCT((P$3:P$70&lt;&gt;"")*(G$3:G$70=G66))+1,IF(N66&lt;&gt;"",SUMPRODUCT((N$3:N$70&lt;&gt;"")*(G$3:G$70=G66)*(J$3:J$70&gt;J66))+1,IF(M66="P",SUMPRODUCT((O$3:O$70&lt;&gt;"")*(P$3:P$70="")*(G$3:G$70=G66))+SUMPRODUCT((P$3:P$70&lt;&gt;"")*(G$3:G$70=G66))+SUMPRODUCT((N$3:N$70&lt;&gt;"")*(G$3:G$70=G66))+SUMPRODUCT((P$3:P$70="")*(O$3:O$70="")*(N$3:N$70="")*(M$3:M$70="P")*(G$3:G$70=G66)*(J$3:J$70&gt;J66))+IF(H66="L5",SUMPRODUCT((P$3:P$70="")*(O$3:O$70="")*(N$3:N$70="")*(M$3:M$70="P")*(G$3:G$70=G66)*(J$3:J$70&lt;J66)*(H$3:H$70&lt;&gt;H66)),-1*SUMPRODUCT((P$3:P$70="")*(O$3:O$70="")*(N$3:N$70="")*(M$3:M$70="P")*(G$3:G$70=G66)*(J$3:J$70&gt;J66)*(H$3:H$70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>R66+S66+IF(OR(H66="Junior",H66="Senior"),0.0002,IF(OR(H66="L7",H66="L6"),0.0001,0))+IF(G66="17-21",MAX(AA66,AC66,AF66),AE66)*0.0000001</f>
        <v>48.690100000000001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48.69</v>
      </c>
      <c r="S66" s="4">
        <f>IF(G66="17-21",LARGE(CHOOSE({1,2,3,4,5,6},T66,V66,Y66,AA66,AC66,AF66),2),IF(R66=X66,MAX(Y66,AA66,AC66,AF66),IF(R66=AE66,MAX(AF66,T66,V66,Y66),0)))</f>
        <v>0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>IF(H66="Senior",MAX(T66,V66),T66+V66)</f>
        <v>48.69</v>
      </c>
      <c r="Y66" s="34"/>
      <c r="Z66" s="40"/>
      <c r="AA66" s="33"/>
      <c r="AB66" s="40"/>
      <c r="AC66" s="34"/>
      <c r="AD66" s="40"/>
      <c r="AE66" s="4">
        <f>IF(H66="Senior",MAX(AA66,AC66),AA66+AC66)</f>
        <v>0</v>
      </c>
      <c r="AF66" s="34"/>
      <c r="AG66" s="37"/>
    </row>
    <row r="67" spans="1:33" x14ac:dyDescent="0.2">
      <c r="A67" s="1" t="str" cm="1">
        <f t="array" ref="A67">IF(I67="","",IF(P67&lt;&gt;"",SUMPRODUCT((P$3:P$70&lt;&gt;"")*(G$3:G$70=G67)*(J$3:J$70&gt;J67)*(I$3:I$70="P"))+1,IF(O67&lt;&gt;"",SUMPRODUCT((O$3:O$70&lt;&gt;"")*(P$3:P$70="")*(G$3:G$70=G67)*(J$3:J$70&gt;J67)*(I$3:I$70="P"))+SUMPRODUCT((P$3:P$70&lt;&gt;"")*(G$3:G$70=G67)*(I$3:I$70="P"))+1,IF(N67&lt;&gt;"",SUMPRODUCT((N$3:N$70&lt;&gt;"")*(G$3:G$70=G67)*(J$3:J$70&gt;J67)*(I$3:I$70="P"))+1,IF(M67="P",SUMPRODUCT((O$3:O$70&lt;&gt;"")*(P$3:P$70="")*(G$3:G$70=G67)*(I$3:I$70="P"))+SUMPRODUCT((P$3:P$70&lt;&gt;"")*(G$3:G$70=G67)*(I$3:I$70="P"))+SUMPRODUCT((N$3:N$70&lt;&gt;"")*(G$3:G$70=G67)*(I$3:I$70="P"))+SUMPRODUCT((P$3:P$70="")*(O$3:O$70="")*(N$3:N$70="")*(M$3:M$70="P")*(G$3:G$70=G67)*(J$3:J$70&gt;J67)*(I$3:I$70="P"))+IF(H67="L5",SUMPRODUCT((P$3:P$70="")*(O$3:O$70="")*(N$3:N$70="")*(M$3:M$70="P")*(G$3:G$70=G67)*(J$3:J$70&lt;J67)*(H$3:H$70&lt;&gt;H67)*(I$3:I$70="P")),-1*SUMPRODUCT((P$3:P$70="")*(O$3:O$70="")*(N$3:N$70="")*(M$3:M$70="P")*(G$3:G$70=G67)*(J$3:J$70&gt;J67)*(H$3:H$70="L5")*(I$3:I$70="P")))+1,"")))))</f>
        <v/>
      </c>
      <c r="B67" s="1" t="str" cm="1">
        <f t="array" ref="B67">IF(P67&lt;&gt;"",SUMPRODUCT((P$3:P$70&lt;&gt;"")*(G$3:G$70=G67)*(J$3:J$70&gt;J67))+1,IF(O67&lt;&gt;"",SUMPRODUCT((O$3:O$70&lt;&gt;"")*(P$3:P$70="")*(G$3:G$70=G67)*(J$3:J$70&gt;J67))+SUMPRODUCT((P$3:P$70&lt;&gt;"")*(G$3:G$70=G67))+1,IF(N67&lt;&gt;"",SUMPRODUCT((N$3:N$70&lt;&gt;"")*(G$3:G$70=G67)*(J$3:J$70&gt;J67))+1,IF(M67="P",SUMPRODUCT((O$3:O$70&lt;&gt;"")*(P$3:P$70="")*(G$3:G$70=G67))+SUMPRODUCT((P$3:P$70&lt;&gt;"")*(G$3:G$70=G67))+SUMPRODUCT((N$3:N$70&lt;&gt;"")*(G$3:G$70=G67))+SUMPRODUCT((P$3:P$70="")*(O$3:O$70="")*(N$3:N$70="")*(M$3:M$70="P")*(G$3:G$70=G67)*(J$3:J$70&gt;J67))+IF(H67="L5",SUMPRODUCT((P$3:P$70="")*(O$3:O$70="")*(N$3:N$70="")*(M$3:M$70="P")*(G$3:G$70=G67)*(J$3:J$70&lt;J67)*(H$3:H$70&lt;&gt;H67)),-1*SUMPRODUCT((P$3:P$70="")*(O$3:O$70="")*(N$3:N$70="")*(M$3:M$70="P")*(G$3:G$70=G67)*(J$3:J$70&gt;J67)*(H$3:H$70="L5")))+1,""))))</f>
        <v/>
      </c>
      <c r="C67" s="36" t="s">
        <v>78</v>
      </c>
      <c r="D67" s="36" t="str">
        <f>IF(E67="","",VLOOKUP(E67,'Coaching Points'!A:B,2,0))</f>
        <v>SK</v>
      </c>
      <c r="E67" s="36" t="s">
        <v>60</v>
      </c>
      <c r="F67" s="35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133.38999999999999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87.75</v>
      </c>
      <c r="S67" s="4">
        <f>IF(G67="17-21",LARGE(CHOOSE({1,2,3,4,5,6},T67,V67,Y67,AA67,AC67,AF67),2),IF(R67=X67,MAX(Y67,AA67,AC67,AF67),IF(R67=AE67,MAX(AF67,T67,V67,Y67),0)))</f>
        <v>45.64</v>
      </c>
      <c r="T67" s="33">
        <v>38.380000000000003</v>
      </c>
      <c r="U67" s="40">
        <v>0</v>
      </c>
      <c r="V67" s="34">
        <v>49.37</v>
      </c>
      <c r="W67" s="40">
        <v>9.4</v>
      </c>
      <c r="X67" s="4">
        <f>IF(H67="Senior",MAX(T67,V67),T67+V67)</f>
        <v>87.75</v>
      </c>
      <c r="Y67" s="34">
        <v>45.64</v>
      </c>
      <c r="Z67" s="40">
        <v>9.3000000000000007</v>
      </c>
      <c r="AA67" s="33"/>
      <c r="AB67" s="40"/>
      <c r="AC67" s="34"/>
      <c r="AD67" s="40"/>
      <c r="AE67" s="4">
        <f>IF(H67="Senior",MAX(AA67,AC67),AA67+AC67)</f>
        <v>0</v>
      </c>
      <c r="AF67" s="34"/>
      <c r="AG67" s="37"/>
    </row>
    <row r="68" spans="1:33" x14ac:dyDescent="0.2">
      <c r="A68" s="1" t="str" cm="1">
        <f t="array" ref="A68">IF(I68="","",IF(P68&lt;&gt;"",SUMPRODUCT((P$3:P$70&lt;&gt;"")*(G$3:G$70=G68)*(J$3:J$70&gt;J68)*(I$3:I$70="P"))+1,IF(O68&lt;&gt;"",SUMPRODUCT((O$3:O$70&lt;&gt;"")*(P$3:P$70="")*(G$3:G$70=G68)*(J$3:J$70&gt;J68)*(I$3:I$70="P"))+SUMPRODUCT((P$3:P$70&lt;&gt;"")*(G$3:G$70=G68)*(I$3:I$70="P"))+1,IF(N68&lt;&gt;"",SUMPRODUCT((N$3:N$70&lt;&gt;"")*(G$3:G$70=G68)*(J$3:J$70&gt;J68)*(I$3:I$70="P"))+1,IF(M68="P",SUMPRODUCT((O$3:O$70&lt;&gt;"")*(P$3:P$70="")*(G$3:G$70=G68)*(I$3:I$70="P"))+SUMPRODUCT((P$3:P$70&lt;&gt;"")*(G$3:G$70=G68)*(I$3:I$70="P"))+SUMPRODUCT((N$3:N$70&lt;&gt;"")*(G$3:G$70=G68)*(I$3:I$70="P"))+SUMPRODUCT((P$3:P$70="")*(O$3:O$70="")*(N$3:N$70="")*(M$3:M$70="P")*(G$3:G$70=G68)*(J$3:J$70&gt;J68)*(I$3:I$70="P"))+IF(H68="L5",SUMPRODUCT((P$3:P$70="")*(O$3:O$70="")*(N$3:N$70="")*(M$3:M$70="P")*(G$3:G$70=G68)*(J$3:J$70&lt;J68)*(H$3:H$70&lt;&gt;H68)*(I$3:I$70="P")),-1*SUMPRODUCT((P$3:P$70="")*(O$3:O$70="")*(N$3:N$70="")*(M$3:M$70="P")*(G$3:G$70=G68)*(J$3:J$70&gt;J68)*(H$3:H$70="L5")*(I$3:I$70="P")))+1,"")))))</f>
        <v/>
      </c>
      <c r="B68" s="1" t="str" cm="1">
        <f t="array" ref="B68">IF(P68&lt;&gt;"",SUMPRODUCT((P$3:P$70&lt;&gt;"")*(G$3:G$70=G68)*(J$3:J$70&gt;J68))+1,IF(O68&lt;&gt;"",SUMPRODUCT((O$3:O$70&lt;&gt;"")*(P$3:P$70="")*(G$3:G$70=G68)*(J$3:J$70&gt;J68))+SUMPRODUCT((P$3:P$70&lt;&gt;"")*(G$3:G$70=G68))+1,IF(N68&lt;&gt;"",SUMPRODUCT((N$3:N$70&lt;&gt;"")*(G$3:G$70=G68)*(J$3:J$70&gt;J68))+1,IF(M68="P",SUMPRODUCT((O$3:O$70&lt;&gt;"")*(P$3:P$70="")*(G$3:G$70=G68))+SUMPRODUCT((P$3:P$70&lt;&gt;"")*(G$3:G$70=G68))+SUMPRODUCT((N$3:N$70&lt;&gt;"")*(G$3:G$70=G68))+SUMPRODUCT((P$3:P$70="")*(O$3:O$70="")*(N$3:N$70="")*(M$3:M$70="P")*(G$3:G$70=G68)*(J$3:J$70&gt;J68))+IF(H68="L5",SUMPRODUCT((P$3:P$70="")*(O$3:O$70="")*(N$3:N$70="")*(M$3:M$70="P")*(G$3:G$70=G68)*(J$3:J$70&lt;J68)*(H$3:H$70&lt;&gt;H68)),-1*SUMPRODUCT((P$3:P$70="")*(O$3:O$70="")*(N$3:N$70="")*(M$3:M$70="P")*(G$3:G$70=G68)*(J$3:J$70&gt;J68)*(H$3:H$70="L5")))+1,""))))</f>
        <v/>
      </c>
      <c r="C68" s="36" t="s">
        <v>264</v>
      </c>
      <c r="D68" s="36" t="str">
        <f>IF(E68="","",VLOOKUP(E68,'Coaching Points'!A:B,2,0))</f>
        <v>BC</v>
      </c>
      <c r="E68" s="36" t="s">
        <v>41</v>
      </c>
      <c r="F68" s="35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128.59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83.68</v>
      </c>
      <c r="S68" s="4">
        <f>IF(G68="17-21",LARGE(CHOOSE({1,2,3,4,5,6},T68,V68,Y68,AA68,AC68,AF68),2),IF(R68=X68,MAX(Y68,AA68,AC68,AF68),IF(R68=AE68,MAX(AF68,T68,V68,Y68),0)))</f>
        <v>44.91</v>
      </c>
      <c r="T68" s="33">
        <v>38.24</v>
      </c>
      <c r="U68" s="40">
        <v>0</v>
      </c>
      <c r="V68" s="34">
        <v>45.44</v>
      </c>
      <c r="W68" s="40">
        <v>8.4</v>
      </c>
      <c r="X68" s="4">
        <f>IF(H68="Senior",MAX(T68,V68),T68+V68)</f>
        <v>83.68</v>
      </c>
      <c r="Y68" s="34">
        <v>44.91</v>
      </c>
      <c r="Z68" s="40">
        <v>8.4</v>
      </c>
      <c r="AA68" s="33"/>
      <c r="AB68" s="40"/>
      <c r="AC68" s="34"/>
      <c r="AD68" s="40"/>
      <c r="AE68" s="4">
        <f>IF(H68="Senior",MAX(AA68,AC68),AA68+AC68)</f>
        <v>0</v>
      </c>
      <c r="AF68" s="34"/>
      <c r="AG68" s="37"/>
    </row>
    <row r="69" spans="1:33" x14ac:dyDescent="0.2">
      <c r="A69" s="1" t="str" cm="1">
        <f t="array" ref="A69">IF(I69="","",IF(P69&lt;&gt;"",SUMPRODUCT((P$3:P$70&lt;&gt;"")*(G$3:G$70=G69)*(J$3:J$70&gt;J69)*(I$3:I$70="P"))+1,IF(O69&lt;&gt;"",SUMPRODUCT((O$3:O$70&lt;&gt;"")*(P$3:P$70="")*(G$3:G$70=G69)*(J$3:J$70&gt;J69)*(I$3:I$70="P"))+SUMPRODUCT((P$3:P$70&lt;&gt;"")*(G$3:G$70=G69)*(I$3:I$70="P"))+1,IF(N69&lt;&gt;"",SUMPRODUCT((N$3:N$70&lt;&gt;"")*(G$3:G$70=G69)*(J$3:J$70&gt;J69)*(I$3:I$70="P"))+1,IF(M69="P",SUMPRODUCT((O$3:O$70&lt;&gt;"")*(P$3:P$70="")*(G$3:G$70=G69)*(I$3:I$70="P"))+SUMPRODUCT((P$3:P$70&lt;&gt;"")*(G$3:G$70=G69)*(I$3:I$70="P"))+SUMPRODUCT((N$3:N$70&lt;&gt;"")*(G$3:G$70=G69)*(I$3:I$70="P"))+SUMPRODUCT((P$3:P$70="")*(O$3:O$70="")*(N$3:N$70="")*(M$3:M$70="P")*(G$3:G$70=G69)*(J$3:J$70&gt;J69)*(I$3:I$70="P"))+IF(H69="L5",SUMPRODUCT((P$3:P$70="")*(O$3:O$70="")*(N$3:N$70="")*(M$3:M$70="P")*(G$3:G$70=G69)*(J$3:J$70&lt;J69)*(H$3:H$70&lt;&gt;H69)*(I$3:I$70="P")),-1*SUMPRODUCT((P$3:P$70="")*(O$3:O$70="")*(N$3:N$70="")*(M$3:M$70="P")*(G$3:G$70=G69)*(J$3:J$70&gt;J69)*(H$3:H$70="L5")*(I$3:I$70="P")))+1,"")))))</f>
        <v/>
      </c>
      <c r="B69" s="1" t="str" cm="1">
        <f t="array" ref="B69">IF(P69&lt;&gt;"",SUMPRODUCT((P$3:P$70&lt;&gt;"")*(G$3:G$70=G69)*(J$3:J$70&gt;J69))+1,IF(O69&lt;&gt;"",SUMPRODUCT((O$3:O$70&lt;&gt;"")*(P$3:P$70="")*(G$3:G$70=G69)*(J$3:J$70&gt;J69))+SUMPRODUCT((P$3:P$70&lt;&gt;"")*(G$3:G$70=G69))+1,IF(N69&lt;&gt;"",SUMPRODUCT((N$3:N$70&lt;&gt;"")*(G$3:G$70=G69)*(J$3:J$70&gt;J69))+1,IF(M69="P",SUMPRODUCT((O$3:O$70&lt;&gt;"")*(P$3:P$70="")*(G$3:G$70=G69))+SUMPRODUCT((P$3:P$70&lt;&gt;"")*(G$3:G$70=G69))+SUMPRODUCT((N$3:N$70&lt;&gt;"")*(G$3:G$70=G69))+SUMPRODUCT((P$3:P$70="")*(O$3:O$70="")*(N$3:N$70="")*(M$3:M$70="P")*(G$3:G$70=G69)*(J$3:J$70&gt;J69))+IF(H69="L5",SUMPRODUCT((P$3:P$70="")*(O$3:O$70="")*(N$3:N$70="")*(M$3:M$70="P")*(G$3:G$70=G69)*(J$3:J$70&lt;J69)*(H$3:H$70&lt;&gt;H69)),-1*SUMPRODUCT((P$3:P$70="")*(O$3:O$70="")*(N$3:N$70="")*(M$3:M$70="P")*(G$3:G$70=G69)*(J$3:J$70&gt;J69)*(H$3:H$70="L5")))+1,""))))</f>
        <v/>
      </c>
      <c r="C69" s="36" t="s">
        <v>327</v>
      </c>
      <c r="D69" s="36" t="str">
        <f>IF(E69="","",VLOOKUP(E69,'Coaching Points'!A:B,2,0))</f>
        <v>NS</v>
      </c>
      <c r="E69" s="36" t="s">
        <v>134</v>
      </c>
      <c r="F69" s="35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>R69+S69+IF(OR(H69="Junior",H69="Senior"),0.0002,IF(OR(H69="L7",H69="L6"),0.0001,0))+IF(G69="17-21",MAX(AA69,AC69,AF69),AE69)*0.0000001</f>
        <v>121.47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77.53</v>
      </c>
      <c r="S69" s="4">
        <f>IF(G69="17-21",LARGE(CHOOSE({1,2,3,4,5,6},T69,V69,Y69,AA69,AC69,AF69),2),IF(R69=X69,MAX(Y69,AA69,AC69,AF69),IF(R69=AE69,MAX(AF69,T69,V69,Y69),0)))</f>
        <v>43.94</v>
      </c>
      <c r="T69" s="33">
        <v>37.53</v>
      </c>
      <c r="U69" s="40">
        <v>0</v>
      </c>
      <c r="V69" s="34">
        <v>40</v>
      </c>
      <c r="W69" s="40">
        <v>6.5</v>
      </c>
      <c r="X69" s="4">
        <f>IF(H69="Senior",MAX(T69,V69),T69+V69)</f>
        <v>77.53</v>
      </c>
      <c r="Y69" s="34">
        <v>43.94</v>
      </c>
      <c r="Z69" s="40">
        <v>8</v>
      </c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$70&lt;&gt;"")*(G$3:G$70=G70)*(J$3:J$70&gt;J70)*(I$3:I$70="P"))+1,IF(O70&lt;&gt;"",SUMPRODUCT((O$3:O$70&lt;&gt;"")*(P$3:P$70="")*(G$3:G$70=G70)*(J$3:J$70&gt;J70)*(I$3:I$70="P"))+SUMPRODUCT((P$3:P$70&lt;&gt;"")*(G$3:G$70=G70)*(I$3:I$70="P"))+1,IF(N70&lt;&gt;"",SUMPRODUCT((N$3:N$70&lt;&gt;"")*(G$3:G$70=G70)*(J$3:J$70&gt;J70)*(I$3:I$70="P"))+1,IF(M70="P",SUMPRODUCT((O$3:O$70&lt;&gt;"")*(P$3:P$70="")*(G$3:G$70=G70)*(I$3:I$70="P"))+SUMPRODUCT((P$3:P$70&lt;&gt;"")*(G$3:G$70=G70)*(I$3:I$70="P"))+SUMPRODUCT((N$3:N$70&lt;&gt;"")*(G$3:G$70=G70)*(I$3:I$70="P"))+SUMPRODUCT((P$3:P$70="")*(O$3:O$70="")*(N$3:N$70="")*(M$3:M$70="P")*(G$3:G$70=G70)*(J$3:J$70&gt;J70)*(I$3:I$70="P"))+IF(H70="L5",SUMPRODUCT((P$3:P$70="")*(O$3:O$70="")*(N$3:N$70="")*(M$3:M$70="P")*(G$3:G$70=G70)*(J$3:J$70&lt;J70)*(H$3:H$70&lt;&gt;H70)*(I$3:I$70="P")),-1*SUMPRODUCT((P$3:P$70="")*(O$3:O$70="")*(N$3:N$70="")*(M$3:M$70="P")*(G$3:G$70=G70)*(J$3:J$70&gt;J70)*(H$3:H$70="L5")*(I$3:I$70="P")))+1,"")))))</f>
        <v/>
      </c>
      <c r="B70" s="1" t="str" cm="1">
        <f t="array" ref="B70">IF(P70&lt;&gt;"",SUMPRODUCT((P$3:P$70&lt;&gt;"")*(G$3:G$70=G70)*(J$3:J$70&gt;J70))+1,IF(O70&lt;&gt;"",SUMPRODUCT((O$3:O$70&lt;&gt;"")*(P$3:P$70="")*(G$3:G$70=G70)*(J$3:J$70&gt;J70))+SUMPRODUCT((P$3:P$70&lt;&gt;"")*(G$3:G$70=G70))+1,IF(N70&lt;&gt;"",SUMPRODUCT((N$3:N$70&lt;&gt;"")*(G$3:G$70=G70)*(J$3:J$70&gt;J70))+1,IF(M70="P",SUMPRODUCT((O$3:O$70&lt;&gt;"")*(P$3:P$70="")*(G$3:G$70=G70))+SUMPRODUCT((P$3:P$70&lt;&gt;"")*(G$3:G$70=G70))+SUMPRODUCT((N$3:N$70&lt;&gt;"")*(G$3:G$70=G70))+SUMPRODUCT((P$3:P$70="")*(O$3:O$70="")*(N$3:N$70="")*(M$3:M$70="P")*(G$3:G$70=G70)*(J$3:J$70&gt;J70))+IF(H70="L5",SUMPRODUCT((P$3:P$70="")*(O$3:O$70="")*(N$3:N$70="")*(M$3:M$70="P")*(G$3:G$70=G70)*(J$3:J$70&lt;J70)*(H$3:H$70&lt;&gt;H70)),-1*SUMPRODUCT((P$3:P$70="")*(O$3:O$70="")*(N$3:N$70="")*(M$3:M$70="P")*(G$3:G$70=G70)*(J$3:J$70&gt;J70)*(H$3:H$70="L5")))+1,""))))</f>
        <v/>
      </c>
      <c r="C70" s="36" t="s">
        <v>328</v>
      </c>
      <c r="D70" s="36" t="str">
        <f>IF(E70="","",VLOOKUP(E70,'Coaching Points'!A:B,2,0))</f>
        <v>ON</v>
      </c>
      <c r="E70" s="36" t="s">
        <v>113</v>
      </c>
      <c r="F70" s="35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9" t="s">
        <v>66</v>
      </c>
      <c r="I70" s="43"/>
      <c r="J70" s="4">
        <f>R70+S70+IF(OR(H70="Junior",H70="Senior"),0.0002,IF(OR(H70="L7",H70="L6"),0.0001,0))+IF(G70="17-21",MAX(AA70,AC70,AF70),AE70)*0.0000001</f>
        <v>41.82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41.82</v>
      </c>
      <c r="S70" s="4">
        <f>IF(G70="17-21",LARGE(CHOOSE({1,2,3,4,5,6},T70,V70,Y70,AA70,AC70,AF70),2),IF(R70=X70,MAX(Y70,AA70,AC70,AF70),IF(R70=AE70,MAX(AF70,T70,V70,Y70),0)))</f>
        <v>0</v>
      </c>
      <c r="T70" s="33">
        <v>37.08</v>
      </c>
      <c r="U70" s="40">
        <v>0</v>
      </c>
      <c r="V70" s="34">
        <v>4.74</v>
      </c>
      <c r="W70" s="40">
        <v>1.3</v>
      </c>
      <c r="X70" s="4">
        <f>IF(H70="Senior",MAX(T70,V70),T70+V70)</f>
        <v>41.82</v>
      </c>
      <c r="Y70" s="34"/>
      <c r="Z70" s="40"/>
      <c r="AA70" s="33"/>
      <c r="AB70" s="40"/>
      <c r="AC70" s="34"/>
      <c r="AD70" s="40"/>
      <c r="AE70" s="4">
        <f>IF(H70="Senior",MAX(AA70,AC70),AA70+AC70)</f>
        <v>0</v>
      </c>
      <c r="AF70" s="34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0">
      <sortCondition descending="1" ref="G1:G7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8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374</v>
      </c>
      <c r="S1" s="67" t="s">
        <v>373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>R3+S3+IF(OR(H3="Junior",H3="Senior"),0.0002,IF(OR(H3="L7",H3="L6"),0.0001,0))+IF(G3="17-21",MAX(AA3,AC3,AF3),AE3)*0.0000001</f>
        <v>102.78020000000001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1" t="str">
        <f>IF(A3&lt;5,IF(_xlfn.MAXIFS(A:A,G:G,G3)&gt;3,5-A3,_xlfn.MAXIFS(A:A,G:G,G3)+1-A3),"")</f>
        <v/>
      </c>
      <c r="R3" s="4">
        <f>IF(G3="17-21",MAX(T3,V3,Y3,AA3,AC3,AF3),MAX(X3,AE3))</f>
        <v>51.63</v>
      </c>
      <c r="S3" s="4">
        <f>IF(G3="17-21",LARGE(CHOOSE({1,2,3,4,5,6},T3,V3,Y3,AA3,AC3,AF3),2),IF(R3=X3,MAX(Y3,AA3,AC3,AF3),IF(R3=AE3,MAX(AF3,T3,V3,Y3),0)))</f>
        <v>51.15</v>
      </c>
      <c r="T3" s="33">
        <v>46.05</v>
      </c>
      <c r="U3" s="40">
        <v>11.5</v>
      </c>
      <c r="V3" s="34">
        <v>51.15</v>
      </c>
      <c r="W3" s="40">
        <v>12.7</v>
      </c>
      <c r="X3" s="4">
        <f>IF(H3="Senior",MAX(T3,V3),T3+V3)</f>
        <v>51.15</v>
      </c>
      <c r="Y3" s="34">
        <v>51.63</v>
      </c>
      <c r="Z3" s="40">
        <v>12.7</v>
      </c>
      <c r="AA3" s="33"/>
      <c r="AB3" s="40"/>
      <c r="AC3" s="34"/>
      <c r="AD3" s="40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6" t="s">
        <v>116</v>
      </c>
      <c r="D4" s="36" t="str">
        <f>IF(E4="","",VLOOKUP(E4,'Coaching Points'!A:B,2,0))</f>
        <v>QC</v>
      </c>
      <c r="E4" s="36" t="s">
        <v>288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>R4+S4+IF(OR(H4="Junior",H4="Senior"),0.0002,IF(OR(H4="L7",H4="L6"),0.0001,0))+IF(G4="17-21",MAX(AA4,AC4,AF4),AE4)*0.0000001</f>
        <v>101.92020000000001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>IF(H4="Senior",MAX(T4,V4),T4+V4)</f>
        <v>50.75</v>
      </c>
      <c r="Y4" s="34">
        <v>51.17</v>
      </c>
      <c r="Z4" s="40">
        <v>11.2</v>
      </c>
      <c r="AA4" s="33"/>
      <c r="AB4" s="40"/>
      <c r="AC4" s="34"/>
      <c r="AD4" s="40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>R5+S5+IF(OR(H5="Junior",H5="Senior"),0.0002,IF(OR(H5="L7",H5="L6"),0.0001,0))+IF(G5="17-21",MAX(AA5,AC5,AF5),AE5)*0.0000001</f>
        <v>99.860200000000006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 t="str">
        <f>IF(A5&lt;5,IF(_xlfn.MAXIFS(A:A,G:G,G5)&gt;3,5-A5,_xlfn.MAXIFS(A:A,G:G,G5)+1-A5),"")</f>
        <v/>
      </c>
      <c r="R5" s="4">
        <f>IF(G5="17-21",MAX(T5,V5,Y5,AA5,AC5,AF5),MAX(X5,AE5))</f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>IF(H5="Senior",MAX(T5,V5),T5+V5)</f>
        <v>49.31</v>
      </c>
      <c r="Y5" s="34">
        <v>50.55</v>
      </c>
      <c r="Z5" s="40">
        <v>12.4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6" t="s">
        <v>14</v>
      </c>
      <c r="D6" s="36" t="str">
        <f>IF(E6="","",VLOOKUP(E6,'Coaching Points'!A:B,2,0))</f>
        <v>BC</v>
      </c>
      <c r="E6" s="36" t="s">
        <v>37</v>
      </c>
      <c r="F6" s="35">
        <v>2002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>R6+S6+IF(OR(H6="Junior",H6="Senior"),0.0002,IF(OR(H6="L7",H6="L6"),0.0001,0))+IF(G6="17-21",MAX(AA6,AC6,AF6),AE6)*0.0000001</f>
        <v>34.980200000000004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9">
        <v>2</v>
      </c>
      <c r="Q6" s="1" t="str">
        <f>IF(A6&lt;5,IF(_xlfn.MAXIFS(A:A,G:G,G6)&gt;3,5-A6,_xlfn.MAXIFS(A:A,G:G,G6)+1-A6),"")</f>
        <v/>
      </c>
      <c r="R6" s="4">
        <f>IF(G6="17-21",MAX(T6,V6,Y6,AA6,AC6,AF6),MAX(X6,AE6))</f>
        <v>29.89</v>
      </c>
      <c r="S6" s="4">
        <f>IF(G6="17-21",LARGE(CHOOSE({1,2,3,4,5,6},T6,V6,Y6,AA6,AC6,AF6),2),IF(R6=X6,MAX(Y6,AA6,AC6,AF6),IF(R6=AE6,MAX(AF6,T6,V6,Y6),0)))</f>
        <v>5.09</v>
      </c>
      <c r="T6" s="33">
        <v>29.89</v>
      </c>
      <c r="U6" s="40">
        <v>8.1</v>
      </c>
      <c r="V6" s="34">
        <v>5.09</v>
      </c>
      <c r="W6" s="40">
        <v>0.6</v>
      </c>
      <c r="X6" s="4">
        <f>IF(H6="Senior",MAX(T6,V6),T6+V6)</f>
        <v>29.89</v>
      </c>
      <c r="Y6" s="34"/>
      <c r="Z6" s="40"/>
      <c r="AA6" s="33"/>
      <c r="AB6" s="40"/>
      <c r="AC6" s="34"/>
      <c r="AD6" s="40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6" t="s">
        <v>156</v>
      </c>
      <c r="D7" s="36" t="str">
        <f>IF(E7="","",VLOOKUP(E7,'Coaching Points'!A:B,2,0))</f>
        <v>AB</v>
      </c>
      <c r="E7" s="36" t="s">
        <v>29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>R7+S7+IF(OR(H7="Junior",H7="Senior"),0.0002,IF(OR(H7="L7",H7="L6"),0.0001,0))+IF(G7="17-21",MAX(AA7,AC7,AF7),AE7)*0.0000001</f>
        <v>93.920100000000005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>IF(A7&lt;5,IF(_xlfn.MAXIFS(A:A,G:G,G7)&gt;3,5-A7,_xlfn.MAXIFS(A:A,G:G,G7)+1-A7),"")</f>
        <v/>
      </c>
      <c r="R7" s="4">
        <f>IF(G7="17-21",MAX(T7,V7,Y7,AA7,AC7,AF7),MAX(X7,AE7))</f>
        <v>47.24</v>
      </c>
      <c r="S7" s="4">
        <f>IF(G7="17-21",LARGE(CHOOSE({1,2,3,4,5,6},T7,V7,Y7,AA7,AC7,AF7),2),IF(R7=X7,MAX(Y7,AA7,AC7,AF7),IF(R7=AE7,MAX(AF7,T7,V7,Y7),0)))</f>
        <v>46.68</v>
      </c>
      <c r="T7" s="33">
        <v>46.68</v>
      </c>
      <c r="U7" s="40">
        <v>8.5</v>
      </c>
      <c r="V7" s="34">
        <v>18.739999999999998</v>
      </c>
      <c r="W7" s="40">
        <v>3.9</v>
      </c>
      <c r="X7" s="4">
        <f>IF(H7="Senior",MAX(T7,V7),T7+V7)</f>
        <v>65.42</v>
      </c>
      <c r="Y7" s="34">
        <v>47.24</v>
      </c>
      <c r="Z7" s="40">
        <v>8.5</v>
      </c>
      <c r="AA7" s="33"/>
      <c r="AB7" s="40"/>
      <c r="AC7" s="34"/>
      <c r="AD7" s="40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6" t="s">
        <v>135</v>
      </c>
      <c r="D8" s="36" t="str">
        <f>IF(E8="","",VLOOKUP(E8,'Coaching Points'!A:B,2,0))</f>
        <v>QC</v>
      </c>
      <c r="E8" s="36" t="s">
        <v>288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>R8+S8+IF(OR(H8="Junior",H8="Senior"),0.0002,IF(OR(H8="L7",H8="L6"),0.0001,0))+IF(G8="17-21",MAX(AA8,AC8,AF8),AE8)*0.0000001</f>
        <v>93.230100000000007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46.88</v>
      </c>
      <c r="S8" s="4">
        <f>IF(G8="17-21",LARGE(CHOOSE({1,2,3,4,5,6},T8,V8,Y8,AA8,AC8,AF8),2),IF(R8=X8,MAX(Y8,AA8,AC8,AF8),IF(R8=AE8,MAX(AF8,T8,V8,Y8),0)))</f>
        <v>46.35</v>
      </c>
      <c r="T8" s="33">
        <v>46.35</v>
      </c>
      <c r="U8" s="40">
        <v>8.8000000000000007</v>
      </c>
      <c r="V8" s="34">
        <v>45.34</v>
      </c>
      <c r="W8" s="40">
        <v>8.5</v>
      </c>
      <c r="X8" s="4">
        <f>IF(H8="Senior",MAX(T8,V8),T8+V8)</f>
        <v>91.69</v>
      </c>
      <c r="Y8" s="34">
        <v>46.88</v>
      </c>
      <c r="Z8" s="40">
        <v>8.8000000000000007</v>
      </c>
      <c r="AA8" s="33"/>
      <c r="AB8" s="40"/>
      <c r="AC8" s="34"/>
      <c r="AD8" s="40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6" t="s">
        <v>141</v>
      </c>
      <c r="D9" s="36" t="str">
        <f>IF(E9="","",VLOOKUP(E9,'Coaching Points'!A:B,2,0))</f>
        <v>QC</v>
      </c>
      <c r="E9" s="36" t="s">
        <v>84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66</v>
      </c>
      <c r="I9" s="43"/>
      <c r="J9" s="4">
        <f>R9+S9+IF(OR(H9="Junior",H9="Senior"),0.0002,IF(OR(H9="L7",H9="L6"),0.0001,0))+IF(G9="17-21",MAX(AA9,AC9,AF9),AE9)*0.0000001</f>
        <v>92.47999999999999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46.51</v>
      </c>
      <c r="S9" s="4">
        <f>IF(G9="17-21",LARGE(CHOOSE({1,2,3,4,5,6},T9,V9,Y9,AA9,AC9,AF9),2),IF(R9=X9,MAX(Y9,AA9,AC9,AF9),IF(R9=AE9,MAX(AF9,T9,V9,Y9),0)))</f>
        <v>45.97</v>
      </c>
      <c r="T9" s="33">
        <v>39.89</v>
      </c>
      <c r="U9" s="40">
        <v>0</v>
      </c>
      <c r="V9" s="34">
        <v>46.51</v>
      </c>
      <c r="W9" s="40">
        <v>7.8</v>
      </c>
      <c r="X9" s="4">
        <f>IF(H9="Senior",MAX(T9,V9),T9+V9)</f>
        <v>86.4</v>
      </c>
      <c r="Y9" s="34">
        <v>45.97</v>
      </c>
      <c r="Z9" s="40">
        <v>7.8</v>
      </c>
      <c r="AA9" s="33"/>
      <c r="AB9" s="40"/>
      <c r="AC9" s="34"/>
      <c r="AD9" s="40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6" t="s">
        <v>121</v>
      </c>
      <c r="D10" s="36" t="str">
        <f>IF(E10="","",VLOOKUP(E10,'Coaching Points'!A:B,2,0))</f>
        <v>QC</v>
      </c>
      <c r="E10" s="36" t="s">
        <v>59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R10+S10+IF(OR(H10="Junior",H10="Senior"),0.0002,IF(OR(H10="L7",H10="L6"),0.0001,0))+IF(G10="17-21",MAX(AA10,AC10,AF10),AE10)*0.0000001</f>
        <v>92.22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46.92</v>
      </c>
      <c r="S10" s="4">
        <f>IF(G10="17-21",LARGE(CHOOSE({1,2,3,4,5,6},T10,V10,Y10,AA10,AC10,AF10),2),IF(R10=X10,MAX(Y10,AA10,AC10,AF10),IF(R10=AE10,MAX(AF10,T10,V10,Y10),0)))</f>
        <v>45.3</v>
      </c>
      <c r="T10" s="33">
        <v>40.51</v>
      </c>
      <c r="U10" s="40">
        <v>0</v>
      </c>
      <c r="V10" s="34">
        <v>45.3</v>
      </c>
      <c r="W10" s="40">
        <v>8.8000000000000007</v>
      </c>
      <c r="X10" s="4">
        <f>IF(H10="Senior",MAX(T10,V10),T10+V10)</f>
        <v>85.81</v>
      </c>
      <c r="Y10" s="34">
        <v>46.92</v>
      </c>
      <c r="Z10" s="40">
        <v>7.7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6" t="s">
        <v>126</v>
      </c>
      <c r="D11" s="36" t="str">
        <f>IF(E11="","",VLOOKUP(E11,'Coaching Points'!A:B,2,0))</f>
        <v>SK</v>
      </c>
      <c r="E11" s="36" t="s">
        <v>45</v>
      </c>
      <c r="F11" s="35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66</v>
      </c>
      <c r="I11" s="43"/>
      <c r="J11" s="4">
        <f>R11+S11+IF(OR(H11="Junior",H11="Senior"),0.0002,IF(OR(H11="L7",H11="L6"),0.0001,0))+IF(G11="17-21",MAX(AA11,AC11,AF11),AE11)*0.0000001</f>
        <v>91.85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46.51</v>
      </c>
      <c r="S11" s="4">
        <f>IF(G11="17-21",LARGE(CHOOSE({1,2,3,4,5,6},T11,V11,Y11,AA11,AC11,AF11),2),IF(R11=X11,MAX(Y11,AA11,AC11,AF11),IF(R11=AE11,MAX(AF11,T11,V11,Y11),0)))</f>
        <v>45.34</v>
      </c>
      <c r="T11" s="33">
        <v>38.03</v>
      </c>
      <c r="U11" s="40">
        <v>0</v>
      </c>
      <c r="V11" s="34">
        <v>45.34</v>
      </c>
      <c r="W11" s="40">
        <v>9.1</v>
      </c>
      <c r="X11" s="4">
        <f>IF(H11="Senior",MAX(T11,V11),T11+V11)</f>
        <v>83.37</v>
      </c>
      <c r="Y11" s="34">
        <v>46.51</v>
      </c>
      <c r="Z11" s="40">
        <v>9.1</v>
      </c>
      <c r="AA11" s="33"/>
      <c r="AB11" s="40"/>
      <c r="AC11" s="34"/>
      <c r="AD11" s="40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6" t="s">
        <v>125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66</v>
      </c>
      <c r="I12" s="43"/>
      <c r="J12" s="4">
        <f>R12+S12+IF(OR(H12="Junior",H12="Senior"),0.0002,IF(OR(H12="L7",H12="L6"),0.0001,0))+IF(G12="17-21",MAX(AA12,AC12,AF12),AE12)*0.0000001</f>
        <v>91.71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46.05</v>
      </c>
      <c r="S12" s="4">
        <f>IF(G12="17-21",LARGE(CHOOSE({1,2,3,4,5,6},T12,V12,Y12,AA12,AC12,AF12),2),IF(R12=X12,MAX(Y12,AA12,AC12,AF12),IF(R12=AE12,MAX(AF12,T12,V12,Y12),0)))</f>
        <v>45.66</v>
      </c>
      <c r="T12" s="33">
        <v>39.869999999999997</v>
      </c>
      <c r="U12" s="40">
        <v>0</v>
      </c>
      <c r="V12" s="34">
        <v>46.05</v>
      </c>
      <c r="W12" s="40">
        <v>8.4</v>
      </c>
      <c r="X12" s="4">
        <f>IF(H12="Senior",MAX(T12,V12),T12+V12)</f>
        <v>85.919999999999987</v>
      </c>
      <c r="Y12" s="34">
        <v>45.66</v>
      </c>
      <c r="Z12" s="40">
        <v>8.4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6" t="s">
        <v>144</v>
      </c>
      <c r="D13" s="36" t="str">
        <f>IF(E13="","",VLOOKUP(E13,'Coaching Points'!A:B,2,0))</f>
        <v>AB</v>
      </c>
      <c r="E13" s="36" t="s">
        <v>29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91.230100000000007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46.34</v>
      </c>
      <c r="S13" s="4">
        <f>IF(G13="17-21",LARGE(CHOOSE({1,2,3,4,5,6},T13,V13,Y13,AA13,AC13,AF13),2),IF(R13=X13,MAX(Y13,AA13,AC13,AF13),IF(R13=AE13,MAX(AF13,T13,V13,Y13),0)))</f>
        <v>44.89</v>
      </c>
      <c r="T13" s="33">
        <v>41.92</v>
      </c>
      <c r="U13" s="40">
        <v>9.1999999999999993</v>
      </c>
      <c r="V13" s="34">
        <v>44.89</v>
      </c>
      <c r="W13" s="40">
        <v>9.1</v>
      </c>
      <c r="X13" s="4">
        <f>IF(H13="Senior",MAX(T13,V13),T13+V13)</f>
        <v>86.81</v>
      </c>
      <c r="Y13" s="34">
        <v>46.34</v>
      </c>
      <c r="Z13" s="40">
        <v>9.1999999999999993</v>
      </c>
      <c r="AA13" s="33"/>
      <c r="AB13" s="40"/>
      <c r="AC13" s="34"/>
      <c r="AD13" s="40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6" t="s">
        <v>151</v>
      </c>
      <c r="D14" s="36" t="str">
        <f>IF(E14="","",VLOOKUP(E14,'Coaching Points'!A:B,2,0))</f>
        <v>ON</v>
      </c>
      <c r="E14" s="36" t="s">
        <v>113</v>
      </c>
      <c r="F14" s="35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90.650100000000009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47.12</v>
      </c>
      <c r="S14" s="4">
        <f>IF(G14="17-21",LARGE(CHOOSE({1,2,3,4,5,6},T14,V14,Y14,AA14,AC14,AF14),2),IF(R14=X14,MAX(Y14,AA14,AC14,AF14),IF(R14=AE14,MAX(AF14,T14,V14,Y14),0)))</f>
        <v>43.53</v>
      </c>
      <c r="T14" s="33">
        <v>5.17</v>
      </c>
      <c r="U14" s="40">
        <v>1.5</v>
      </c>
      <c r="V14" s="34">
        <v>43.53</v>
      </c>
      <c r="W14" s="40">
        <v>9.8000000000000007</v>
      </c>
      <c r="X14" s="4">
        <f>IF(H14="Senior",MAX(T14,V14),T14+V14)</f>
        <v>48.7</v>
      </c>
      <c r="Y14" s="34">
        <v>47.12</v>
      </c>
      <c r="Z14" s="40">
        <v>10.5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6" t="s">
        <v>137</v>
      </c>
      <c r="D15" s="36" t="str">
        <f>IF(E15="","",VLOOKUP(E15,'Coaching Points'!A:B,2,0))</f>
        <v>BC</v>
      </c>
      <c r="E15" s="36" t="s">
        <v>46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>R15+S15+IF(OR(H15="Junior",H15="Senior"),0.0002,IF(OR(H15="L7",H15="L6"),0.0001,0))+IF(G15="17-21",MAX(AA15,AC15,AF15),AE15)*0.0000001</f>
        <v>90.580000000000013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45.31</v>
      </c>
      <c r="S15" s="4">
        <f>IF(G15="17-21",LARGE(CHOOSE({1,2,3,4,5,6},T15,V15,Y15,AA15,AC15,AF15),2),IF(R15=X15,MAX(Y15,AA15,AC15,AF15),IF(R15=AE15,MAX(AF15,T15,V15,Y15),0)))</f>
        <v>45.27</v>
      </c>
      <c r="T15" s="33">
        <v>38.68</v>
      </c>
      <c r="U15" s="40">
        <v>0</v>
      </c>
      <c r="V15" s="34">
        <v>45.27</v>
      </c>
      <c r="W15" s="40">
        <v>9.1</v>
      </c>
      <c r="X15" s="4">
        <f>IF(H15="Senior",MAX(T15,V15),T15+V15)</f>
        <v>83.95</v>
      </c>
      <c r="Y15" s="34">
        <v>45.31</v>
      </c>
      <c r="Z15" s="40">
        <v>8.5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6" t="s">
        <v>145</v>
      </c>
      <c r="D16" s="36" t="str">
        <f>IF(E16="","",VLOOKUP(E16,'Coaching Points'!A:B,2,0))</f>
        <v>ON</v>
      </c>
      <c r="E16" s="36" t="s">
        <v>73</v>
      </c>
      <c r="F16" s="35">
        <v>2005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R16+S16+IF(OR(H16="Junior",H16="Senior"),0.0002,IF(OR(H16="L7",H16="L6"),0.0001,0))+IF(G16="17-21",MAX(AA16,AC16,AF16),AE16)*0.0000001</f>
        <v>90.300000000000011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45.21</v>
      </c>
      <c r="S16" s="4">
        <f>IF(G16="17-21",LARGE(CHOOSE({1,2,3,4,5,6},T16,V16,Y16,AA16,AC16,AF16),2),IF(R16=X16,MAX(Y16,AA16,AC16,AF16),IF(R16=AE16,MAX(AF16,T16,V16,Y16),0)))</f>
        <v>45.09</v>
      </c>
      <c r="T16" s="33">
        <v>39.67</v>
      </c>
      <c r="U16" s="40">
        <v>0</v>
      </c>
      <c r="V16" s="34">
        <v>45.21</v>
      </c>
      <c r="W16" s="40">
        <v>7.8</v>
      </c>
      <c r="X16" s="4">
        <f>IF(H16="Senior",MAX(T16,V16),T16+V16)</f>
        <v>84.88</v>
      </c>
      <c r="Y16" s="34">
        <v>45.09</v>
      </c>
      <c r="Z16" s="40">
        <v>7.8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6" t="s">
        <v>136</v>
      </c>
      <c r="D17" s="36" t="str">
        <f>IF(E17="","",VLOOKUP(E17,'Coaching Points'!A:B,2,0))</f>
        <v>QC</v>
      </c>
      <c r="E17" s="36" t="s">
        <v>3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R17+S17+IF(OR(H17="Junior",H17="Senior"),0.0002,IF(OR(H17="L7",H17="L6"),0.0001,0))+IF(G17="17-21",MAX(AA17,AC17,AF17),AE17)*0.0000001</f>
        <v>90.1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45.16</v>
      </c>
      <c r="S17" s="4">
        <f>IF(G17="17-21",LARGE(CHOOSE({1,2,3,4,5,6},T17,V17,Y17,AA17,AC17,AF17),2),IF(R17=X17,MAX(Y17,AA17,AC17,AF17),IF(R17=AE17,MAX(AF17,T17,V17,Y17),0)))</f>
        <v>44.94</v>
      </c>
      <c r="T17" s="33">
        <v>38.5</v>
      </c>
      <c r="U17" s="40">
        <v>0</v>
      </c>
      <c r="V17" s="34">
        <v>45.16</v>
      </c>
      <c r="W17" s="40">
        <v>7.7</v>
      </c>
      <c r="X17" s="4">
        <f>IF(H17="Senior",MAX(T17,V17),T17+V17)</f>
        <v>83.66</v>
      </c>
      <c r="Y17" s="34">
        <v>44.94</v>
      </c>
      <c r="Z17" s="40">
        <v>7.7</v>
      </c>
      <c r="AA17" s="33"/>
      <c r="AB17" s="40"/>
      <c r="AC17" s="34"/>
      <c r="AD17" s="40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6" t="s">
        <v>252</v>
      </c>
      <c r="D18" s="36" t="str">
        <f>IF(E18="","",VLOOKUP(E18,'Coaching Points'!A:B,2,0))</f>
        <v>BC</v>
      </c>
      <c r="E18" s="36" t="s">
        <v>37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R18+S18+IF(OR(H18="Junior",H18="Senior"),0.0002,IF(OR(H18="L7",H18="L6"),0.0001,0))+IF(G18="17-21",MAX(AA18,AC18,AF18),AE18)*0.0000001</f>
        <v>88.690100000000001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44.78</v>
      </c>
      <c r="S18" s="4">
        <f>IF(G18="17-21",LARGE(CHOOSE({1,2,3,4,5,6},T18,V18,Y18,AA18,AC18,AF18),2),IF(R18=X18,MAX(Y18,AA18,AC18,AF18),IF(R18=AE18,MAX(AF18,T18,V18,Y18),0)))</f>
        <v>43.91</v>
      </c>
      <c r="T18" s="33">
        <v>44.78</v>
      </c>
      <c r="U18" s="40">
        <v>9.4</v>
      </c>
      <c r="V18" s="34">
        <v>41.61</v>
      </c>
      <c r="W18" s="40">
        <v>7.6</v>
      </c>
      <c r="X18" s="4">
        <f>IF(H18="Senior",MAX(T18,V18),T18+V18)</f>
        <v>86.39</v>
      </c>
      <c r="Y18" s="34">
        <v>43.91</v>
      </c>
      <c r="Z18" s="40">
        <v>8.1999999999999993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6" t="s">
        <v>123</v>
      </c>
      <c r="D19" s="36" t="str">
        <f>IF(E19="","",VLOOKUP(E19,'Coaching Points'!A:B,2,0))</f>
        <v>SK</v>
      </c>
      <c r="E19" s="36" t="s">
        <v>60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>R19+S19+IF(OR(H19="Junior",H19="Senior"),0.0002,IF(OR(H19="L7",H19="L6"),0.0001,0))+IF(G19="17-21",MAX(AA19,AC19,AF19),AE19)*0.0000001</f>
        <v>87.970100000000002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44.46</v>
      </c>
      <c r="S19" s="4">
        <f>IF(G19="17-21",LARGE(CHOOSE({1,2,3,4,5,6},T19,V19,Y19,AA19,AC19,AF19),2),IF(R19=X19,MAX(Y19,AA19,AC19,AF19),IF(R19=AE19,MAX(AF19,T19,V19,Y19),0)))</f>
        <v>43.51</v>
      </c>
      <c r="T19" s="33">
        <v>9.32</v>
      </c>
      <c r="U19" s="40">
        <v>2</v>
      </c>
      <c r="V19" s="34">
        <v>44.46</v>
      </c>
      <c r="W19" s="40">
        <v>9.1</v>
      </c>
      <c r="X19" s="4">
        <f>IF(H19="Senior",MAX(T19,V19),T19+V19)</f>
        <v>53.78</v>
      </c>
      <c r="Y19" s="34">
        <v>43.51</v>
      </c>
      <c r="Z19" s="40">
        <v>9.1</v>
      </c>
      <c r="AA19" s="33"/>
      <c r="AB19" s="40"/>
      <c r="AC19" s="34"/>
      <c r="AD19" s="40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6" t="s">
        <v>297</v>
      </c>
      <c r="D20" s="36" t="str">
        <f>IF(E20="","",VLOOKUP(E20,'Coaching Points'!A:B,2,0))</f>
        <v>QC</v>
      </c>
      <c r="E20" s="36" t="s">
        <v>84</v>
      </c>
      <c r="F20" s="35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87.28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44.89</v>
      </c>
      <c r="S20" s="4">
        <f>IF(G20="17-21",LARGE(CHOOSE({1,2,3,4,5,6},T20,V20,Y20,AA20,AC20,AF20),2),IF(R20=X20,MAX(Y20,AA20,AC20,AF20),IF(R20=AE20,MAX(AF20,T20,V20,Y20),0)))</f>
        <v>42.39</v>
      </c>
      <c r="T20" s="33">
        <v>38.619999999999997</v>
      </c>
      <c r="U20" s="40">
        <v>0</v>
      </c>
      <c r="V20" s="34">
        <v>44.89</v>
      </c>
      <c r="W20" s="40">
        <v>7.4</v>
      </c>
      <c r="X20" s="4">
        <f>IF(H20="Senior",MAX(T20,V20),T20+V20)</f>
        <v>83.509999999999991</v>
      </c>
      <c r="Y20" s="34">
        <v>42.39</v>
      </c>
      <c r="Z20" s="40">
        <v>7.8</v>
      </c>
      <c r="AA20" s="33"/>
      <c r="AB20" s="40"/>
      <c r="AC20" s="34"/>
      <c r="AD20" s="40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6" t="s">
        <v>299</v>
      </c>
      <c r="D21" s="36" t="str">
        <f>IF(E21="","",VLOOKUP(E21,'Coaching Points'!A:B,2,0))</f>
        <v>QC</v>
      </c>
      <c r="E21" s="36" t="s">
        <v>287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R21+S21+IF(OR(H21="Junior",H21="Senior"),0.0002,IF(OR(H21="L7",H21="L6"),0.0001,0))+IF(G21="17-21",MAX(AA21,AC21,AF21),AE21)*0.0000001</f>
        <v>86.47999999999999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46.44</v>
      </c>
      <c r="S21" s="4">
        <f>IF(G21="17-21",LARGE(CHOOSE({1,2,3,4,5,6},T21,V21,Y21,AA21,AC21,AF21),2),IF(R21=X21,MAX(Y21,AA21,AC21,AF21),IF(R21=AE21,MAX(AF21,T21,V21,Y21),0)))</f>
        <v>40.04</v>
      </c>
      <c r="T21" s="33">
        <v>40.04</v>
      </c>
      <c r="U21" s="40">
        <v>0</v>
      </c>
      <c r="V21" s="34">
        <v>46.44</v>
      </c>
      <c r="W21" s="40">
        <v>8.4</v>
      </c>
      <c r="X21" s="4">
        <f>IF(H21="Senior",MAX(T21,V21),T21+V21)</f>
        <v>86.47999999999999</v>
      </c>
      <c r="Y21" s="34">
        <v>19.649999999999999</v>
      </c>
      <c r="Z21" s="40">
        <v>3.9</v>
      </c>
      <c r="AA21" s="33"/>
      <c r="AB21" s="40"/>
      <c r="AC21" s="34"/>
      <c r="AD21" s="40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6" t="s">
        <v>298</v>
      </c>
      <c r="D22" s="36" t="str">
        <f>IF(E22="","",VLOOKUP(E22,'Coaching Points'!A:B,2,0))</f>
        <v>ON</v>
      </c>
      <c r="E22" s="36" t="s">
        <v>38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85.1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43.33</v>
      </c>
      <c r="S22" s="4">
        <f>IF(G22="17-21",LARGE(CHOOSE({1,2,3,4,5,6},T22,V22,Y22,AA22,AC22,AF22),2),IF(R22=X22,MAX(Y22,AA22,AC22,AF22),IF(R22=AE22,MAX(AF22,T22,V22,Y22),0)))</f>
        <v>41.77</v>
      </c>
      <c r="T22" s="33">
        <v>41.77</v>
      </c>
      <c r="U22" s="40">
        <v>0</v>
      </c>
      <c r="V22" s="34">
        <v>43.33</v>
      </c>
      <c r="W22" s="40">
        <v>7.2</v>
      </c>
      <c r="X22" s="4">
        <f>IF(H22="Senior",MAX(T22,V22),T22+V22)</f>
        <v>85.1</v>
      </c>
      <c r="Y22" s="34">
        <v>27.76</v>
      </c>
      <c r="Z22" s="40">
        <v>4.5</v>
      </c>
      <c r="AA22" s="33"/>
      <c r="AB22" s="40"/>
      <c r="AC22" s="34"/>
      <c r="AD22" s="40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6" t="s">
        <v>138</v>
      </c>
      <c r="D23" s="36" t="str">
        <f>IF(E23="","",VLOOKUP(E23,'Coaching Points'!A:B,2,0))</f>
        <v>NS</v>
      </c>
      <c r="E23" s="36" t="s">
        <v>134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83.18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44.72</v>
      </c>
      <c r="S23" s="4">
        <f>IF(G23="17-21",LARGE(CHOOSE({1,2,3,4,5,6},T23,V23,Y23,AA23,AC23,AF23),2),IF(R23=X23,MAX(Y23,AA23,AC23,AF23),IF(R23=AE23,MAX(AF23,T23,V23,Y23),0)))</f>
        <v>38.46</v>
      </c>
      <c r="T23" s="33">
        <v>38.46</v>
      </c>
      <c r="U23" s="40">
        <v>0</v>
      </c>
      <c r="V23" s="34">
        <v>44.72</v>
      </c>
      <c r="W23" s="40">
        <v>7.8</v>
      </c>
      <c r="X23" s="4">
        <f>IF(H23="Senior",MAX(T23,V23),T23+V23)</f>
        <v>83.18</v>
      </c>
      <c r="Y23" s="34"/>
      <c r="Z23" s="40"/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6" t="s">
        <v>139</v>
      </c>
      <c r="D24" s="36" t="str">
        <f>IF(E24="","",VLOOKUP(E24,'Coaching Points'!A:B,2,0))</f>
        <v>BC</v>
      </c>
      <c r="E24" s="36" t="s">
        <v>46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R24+S24+IF(OR(H24="Junior",H24="Senior"),0.0002,IF(OR(H24="L7",H24="L6"),0.0001,0))+IF(G24="17-21",MAX(AA24,AC24,AF24),AE24)*0.0000001</f>
        <v>83.080000000000013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44.59</v>
      </c>
      <c r="S24" s="4">
        <f>IF(G24="17-21",LARGE(CHOOSE({1,2,3,4,5,6},T24,V24,Y24,AA24,AC24,AF24),2),IF(R24=X24,MAX(Y24,AA24,AC24,AF24),IF(R24=AE24,MAX(AF24,T24,V24,Y24),0)))</f>
        <v>38.49</v>
      </c>
      <c r="T24" s="33">
        <v>38.49</v>
      </c>
      <c r="U24" s="40">
        <v>0</v>
      </c>
      <c r="V24" s="34">
        <v>44.59</v>
      </c>
      <c r="W24" s="40">
        <v>7.4</v>
      </c>
      <c r="X24" s="4">
        <f>IF(H24="Senior",MAX(T24,V24),T24+V24)</f>
        <v>83.080000000000013</v>
      </c>
      <c r="Y24" s="34"/>
      <c r="Z24" s="40"/>
      <c r="AA24" s="33"/>
      <c r="AB24" s="40"/>
      <c r="AC24" s="34"/>
      <c r="AD24" s="40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6" t="s">
        <v>142</v>
      </c>
      <c r="D25" s="36" t="str">
        <f>IF(E25="","",VLOOKUP(E25,'Coaching Points'!A:B,2,0))</f>
        <v>QC</v>
      </c>
      <c r="E25" s="36" t="s">
        <v>292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R25+S25+IF(OR(H25="Junior",H25="Senior"),0.0002,IF(OR(H25="L7",H25="L6"),0.0001,0))+IF(G25="17-21",MAX(AA25,AC25,AF25),AE25)*0.0000001</f>
        <v>82.509999999999991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43.82</v>
      </c>
      <c r="S25" s="4">
        <f>IF(G25="17-21",LARGE(CHOOSE({1,2,3,4,5,6},T25,V25,Y25,AA25,AC25,AF25),2),IF(R25=X25,MAX(Y25,AA25,AC25,AF25),IF(R25=AE25,MAX(AF25,T25,V25,Y25),0)))</f>
        <v>38.69</v>
      </c>
      <c r="T25" s="33">
        <v>38.69</v>
      </c>
      <c r="U25" s="40">
        <v>0</v>
      </c>
      <c r="V25" s="34">
        <v>43.82</v>
      </c>
      <c r="W25" s="40">
        <v>7.2</v>
      </c>
      <c r="X25" s="4">
        <f>IF(H25="Senior",MAX(T25,V25),T25+V25)</f>
        <v>82.509999999999991</v>
      </c>
      <c r="Y25" s="34"/>
      <c r="Z25" s="40"/>
      <c r="AA25" s="33"/>
      <c r="AB25" s="40"/>
      <c r="AC25" s="34"/>
      <c r="AD25" s="40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6" t="s">
        <v>244</v>
      </c>
      <c r="D26" s="36" t="str">
        <f>IF(E26="","",VLOOKUP(E26,'Coaching Points'!A:B,2,0))</f>
        <v>QC</v>
      </c>
      <c r="E26" s="36" t="s">
        <v>3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R26+S26+IF(OR(H26="Junior",H26="Senior"),0.0002,IF(OR(H26="L7",H26="L6"),0.0001,0))+IF(G26="17-21",MAX(AA26,AC26,AF26),AE26)*0.0000001</f>
        <v>82.49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43.01</v>
      </c>
      <c r="S26" s="4">
        <f>IF(G26="17-21",LARGE(CHOOSE({1,2,3,4,5,6},T26,V26,Y26,AA26,AC26,AF26),2),IF(R26=X26,MAX(Y26,AA26,AC26,AF26),IF(R26=AE26,MAX(AF26,T26,V26,Y26),0)))</f>
        <v>39.479999999999997</v>
      </c>
      <c r="T26" s="33">
        <v>39.479999999999997</v>
      </c>
      <c r="U26" s="40">
        <v>0</v>
      </c>
      <c r="V26" s="34">
        <v>43.01</v>
      </c>
      <c r="W26" s="40">
        <v>6.9</v>
      </c>
      <c r="X26" s="4">
        <f>IF(H26="Senior",MAX(T26,V26),T26+V26)</f>
        <v>82.49</v>
      </c>
      <c r="Y26" s="34"/>
      <c r="Z26" s="40"/>
      <c r="AA26" s="33"/>
      <c r="AB26" s="40"/>
      <c r="AC26" s="34"/>
      <c r="AD26" s="40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6" t="s">
        <v>249</v>
      </c>
      <c r="D27" s="36" t="str">
        <f>IF(E27="","",VLOOKUP(E27,'Coaching Points'!A:B,2,0))</f>
        <v>ON</v>
      </c>
      <c r="E27" s="36" t="s">
        <v>113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82.11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42.9</v>
      </c>
      <c r="S27" s="4">
        <f>IF(G27="17-21",LARGE(CHOOSE({1,2,3,4,5,6},T27,V27,Y27,AA27,AC27,AF27),2),IF(R27=X27,MAX(Y27,AA27,AC27,AF27),IF(R27=AE27,MAX(AF27,T27,V27,Y27),0)))</f>
        <v>39.21</v>
      </c>
      <c r="T27" s="33">
        <v>39.21</v>
      </c>
      <c r="U27" s="40">
        <v>0</v>
      </c>
      <c r="V27" s="34">
        <v>42.9</v>
      </c>
      <c r="W27" s="40">
        <v>8.5</v>
      </c>
      <c r="X27" s="4">
        <f>IF(H27="Senior",MAX(T27,V27),T27+V27)</f>
        <v>82.11</v>
      </c>
      <c r="Y27" s="34"/>
      <c r="Z27" s="40"/>
      <c r="AA27" s="33"/>
      <c r="AB27" s="40"/>
      <c r="AC27" s="34"/>
      <c r="AD27" s="40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6" t="s">
        <v>124</v>
      </c>
      <c r="D28" s="36" t="str">
        <f>IF(E28="","",VLOOKUP(E28,'Coaching Points'!A:B,2,0))</f>
        <v>ON</v>
      </c>
      <c r="E28" s="36" t="s">
        <v>73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81.86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43.57</v>
      </c>
      <c r="S28" s="4">
        <f>IF(G28="17-21",LARGE(CHOOSE({1,2,3,4,5,6},T28,V28,Y28,AA28,AC28,AF28),2),IF(R28=X28,MAX(Y28,AA28,AC28,AF28),IF(R28=AE28,MAX(AF28,T28,V28,Y28),0)))</f>
        <v>38.29</v>
      </c>
      <c r="T28" s="33">
        <v>38.29</v>
      </c>
      <c r="U28" s="40">
        <v>0</v>
      </c>
      <c r="V28" s="34">
        <v>43.57</v>
      </c>
      <c r="W28" s="40">
        <v>7.6</v>
      </c>
      <c r="X28" s="4">
        <f>IF(H28="Senior",MAX(T28,V28),T28+V28)</f>
        <v>81.86</v>
      </c>
      <c r="Y28" s="34"/>
      <c r="Z28" s="40"/>
      <c r="AA28" s="33"/>
      <c r="AB28" s="40"/>
      <c r="AC28" s="34"/>
      <c r="AD28" s="40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6" t="s">
        <v>140</v>
      </c>
      <c r="D29" s="36" t="str">
        <f>IF(E29="","",VLOOKUP(E29,'Coaching Points'!A:B,2,0))</f>
        <v>QC</v>
      </c>
      <c r="E29" s="36" t="s">
        <v>59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R29+S29+IF(OR(H29="Junior",H29="Senior"),0.0002,IF(OR(H29="L7",H29="L6"),0.0001,0))+IF(G29="17-21",MAX(AA29,AC29,AF29),AE29)*0.0000001</f>
        <v>81.84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43.45</v>
      </c>
      <c r="S29" s="4">
        <f>IF(G29="17-21",LARGE(CHOOSE({1,2,3,4,5,6},T29,V29,Y29,AA29,AC29,AF29),2),IF(R29=X29,MAX(Y29,AA29,AC29,AF29),IF(R29=AE29,MAX(AF29,T29,V29,Y29),0)))</f>
        <v>38.39</v>
      </c>
      <c r="T29" s="33">
        <v>38.39</v>
      </c>
      <c r="U29" s="40">
        <v>0</v>
      </c>
      <c r="V29" s="34">
        <v>43.45</v>
      </c>
      <c r="W29" s="40">
        <v>7.4</v>
      </c>
      <c r="X29" s="4">
        <f>IF(H29="Senior",MAX(T29,V29),T29+V29)</f>
        <v>81.84</v>
      </c>
      <c r="Y29" s="34"/>
      <c r="Z29" s="40"/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6" t="s">
        <v>133</v>
      </c>
      <c r="D30" s="36" t="str">
        <f>IF(E30="","",VLOOKUP(E30,'Coaching Points'!A:B,2,0))</f>
        <v>NS</v>
      </c>
      <c r="E30" s="36" t="s">
        <v>134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80.960000000000008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41.43</v>
      </c>
      <c r="S30" s="4">
        <f>IF(G30="17-21",LARGE(CHOOSE({1,2,3,4,5,6},T30,V30,Y30,AA30,AC30,AF30),2),IF(R30=X30,MAX(Y30,AA30,AC30,AF30),IF(R30=AE30,MAX(AF30,T30,V30,Y30),0)))</f>
        <v>39.53</v>
      </c>
      <c r="T30" s="33">
        <v>39.53</v>
      </c>
      <c r="U30" s="40">
        <v>0</v>
      </c>
      <c r="V30" s="34">
        <v>41.43</v>
      </c>
      <c r="W30" s="40">
        <v>7.2</v>
      </c>
      <c r="X30" s="4">
        <f>IF(H30="Senior",MAX(T30,V30),T30+V30)</f>
        <v>80.960000000000008</v>
      </c>
      <c r="Y30" s="34"/>
      <c r="Z30" s="40"/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6" t="s">
        <v>302</v>
      </c>
      <c r="D31" s="36" t="str">
        <f>IF(E31="","",VLOOKUP(E31,'Coaching Points'!A:B,2,0))</f>
        <v>QC</v>
      </c>
      <c r="E31" s="36" t="s">
        <v>203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80.87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45.34</v>
      </c>
      <c r="S31" s="4">
        <f>IF(G31="17-21",LARGE(CHOOSE({1,2,3,4,5,6},T31,V31,Y31,AA31,AC31,AF31),2),IF(R31=X31,MAX(Y31,AA31,AC31,AF31),IF(R31=AE31,MAX(AF31,T31,V31,Y31),0)))</f>
        <v>35.53</v>
      </c>
      <c r="T31" s="33">
        <v>35.53</v>
      </c>
      <c r="U31" s="40">
        <v>0</v>
      </c>
      <c r="V31" s="34">
        <v>45.34</v>
      </c>
      <c r="W31" s="40">
        <v>7.1</v>
      </c>
      <c r="X31" s="4">
        <f>IF(H31="Senior",MAX(T31,V31),T31+V31)</f>
        <v>80.87</v>
      </c>
      <c r="Y31" s="34"/>
      <c r="Z31" s="40"/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6" t="s">
        <v>129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80.67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42.78</v>
      </c>
      <c r="S32" s="4">
        <f>IF(G32="17-21",LARGE(CHOOSE({1,2,3,4,5,6},T32,V32,Y32,AA32,AC32,AF32),2),IF(R32=X32,MAX(Y32,AA32,AC32,AF32),IF(R32=AE32,MAX(AF32,T32,V32,Y32),0)))</f>
        <v>37.89</v>
      </c>
      <c r="T32" s="33">
        <v>37.89</v>
      </c>
      <c r="U32" s="40">
        <v>0</v>
      </c>
      <c r="V32" s="34">
        <v>42.78</v>
      </c>
      <c r="W32" s="40">
        <v>7.7</v>
      </c>
      <c r="X32" s="4">
        <f>IF(H32="Senior",MAX(T32,V32),T32+V32)</f>
        <v>80.67</v>
      </c>
      <c r="Y32" s="34"/>
      <c r="Z32" s="40"/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6" t="s">
        <v>301</v>
      </c>
      <c r="D33" s="36" t="str">
        <f>IF(E33="","",VLOOKUP(E33,'Coaching Points'!A:B,2,0))</f>
        <v>BC</v>
      </c>
      <c r="E33" s="36" t="s">
        <v>46</v>
      </c>
      <c r="F33" s="35">
        <v>2002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80.430000000000007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43.16</v>
      </c>
      <c r="S33" s="4">
        <f>IF(G33="17-21",LARGE(CHOOSE({1,2,3,4,5,6},T33,V33,Y33,AA33,AC33,AF33),2),IF(R33=X33,MAX(Y33,AA33,AC33,AF33),IF(R33=AE33,MAX(AF33,T33,V33,Y33),0)))</f>
        <v>37.270000000000003</v>
      </c>
      <c r="T33" s="33">
        <v>37.270000000000003</v>
      </c>
      <c r="U33" s="40">
        <v>0</v>
      </c>
      <c r="V33" s="34">
        <v>43.16</v>
      </c>
      <c r="W33" s="40">
        <v>7.8</v>
      </c>
      <c r="X33" s="4">
        <f>IF(H33="Senior",MAX(T33,V33),T33+V33)</f>
        <v>80.430000000000007</v>
      </c>
      <c r="Y33" s="34"/>
      <c r="Z33" s="40"/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6" t="s">
        <v>146</v>
      </c>
      <c r="D34" s="36" t="str">
        <f>IF(E34="","",VLOOKUP(E34,'Coaching Points'!A:B,2,0))</f>
        <v>BC</v>
      </c>
      <c r="E34" s="36" t="s">
        <v>46</v>
      </c>
      <c r="F34" s="35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79.75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42.7</v>
      </c>
      <c r="S34" s="4">
        <f>IF(G34="17-21",LARGE(CHOOSE({1,2,3,4,5,6},T34,V34,Y34,AA34,AC34,AF34),2),IF(R34=X34,MAX(Y34,AA34,AC34,AF34),IF(R34=AE34,MAX(AF34,T34,V34,Y34),0)))</f>
        <v>37.049999999999997</v>
      </c>
      <c r="T34" s="33">
        <v>37.049999999999997</v>
      </c>
      <c r="U34" s="40">
        <v>0</v>
      </c>
      <c r="V34" s="34">
        <v>42.7</v>
      </c>
      <c r="W34" s="40">
        <v>8.1</v>
      </c>
      <c r="X34" s="4">
        <f>IF(H34="Senior",MAX(T34,V34),T34+V34)</f>
        <v>79.75</v>
      </c>
      <c r="Y34" s="34"/>
      <c r="Z34" s="40"/>
      <c r="AA34" s="33"/>
      <c r="AB34" s="40"/>
      <c r="AC34" s="34"/>
      <c r="AD34" s="40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6" t="s">
        <v>143</v>
      </c>
      <c r="D35" s="36" t="str">
        <f>IF(E35="","",VLOOKUP(E35,'Coaching Points'!A:B,2,0))</f>
        <v>BC</v>
      </c>
      <c r="E35" s="36" t="s">
        <v>61</v>
      </c>
      <c r="F35" s="35">
        <v>2003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78.47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42.36</v>
      </c>
      <c r="S35" s="4">
        <f>IF(G35="17-21",LARGE(CHOOSE({1,2,3,4,5,6},T35,V35,Y35,AA35,AC35,AF35),2),IF(R35=X35,MAX(Y35,AA35,AC35,AF35),IF(R35=AE35,MAX(AF35,T35,V35,Y35),0)))</f>
        <v>36.11</v>
      </c>
      <c r="T35" s="33">
        <v>36.11</v>
      </c>
      <c r="U35" s="40">
        <v>0</v>
      </c>
      <c r="V35" s="34">
        <v>42.36</v>
      </c>
      <c r="W35" s="40">
        <v>7.8</v>
      </c>
      <c r="X35" s="4">
        <f>IF(H35="Senior",MAX(T35,V35),T35+V35)</f>
        <v>78.47</v>
      </c>
      <c r="Y35" s="34"/>
      <c r="Z35" s="40"/>
      <c r="AA35" s="33"/>
      <c r="AB35" s="40"/>
      <c r="AC35" s="34"/>
      <c r="AD35" s="40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6" t="s">
        <v>181</v>
      </c>
      <c r="D36" s="36" t="str">
        <f>IF(E36="","",VLOOKUP(E36,'Coaching Points'!A:B,2,0))</f>
        <v>SK</v>
      </c>
      <c r="E36" s="36" t="s">
        <v>45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78.259999999999991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42.32</v>
      </c>
      <c r="S36" s="4">
        <f>IF(G36="17-21",LARGE(CHOOSE({1,2,3,4,5,6},T36,V36,Y36,AA36,AC36,AF36),2),IF(R36=X36,MAX(Y36,AA36,AC36,AF36),IF(R36=AE36,MAX(AF36,T36,V36,Y36),0)))</f>
        <v>35.94</v>
      </c>
      <c r="T36" s="33">
        <v>35.94</v>
      </c>
      <c r="U36" s="40">
        <v>0</v>
      </c>
      <c r="V36" s="34">
        <v>42.32</v>
      </c>
      <c r="W36" s="40">
        <v>7.8</v>
      </c>
      <c r="X36" s="4">
        <f>IF(H36="Senior",MAX(T36,V36),T36+V36)</f>
        <v>78.259999999999991</v>
      </c>
      <c r="Y36" s="34"/>
      <c r="Z36" s="40"/>
      <c r="AA36" s="33"/>
      <c r="AB36" s="40"/>
      <c r="AC36" s="34"/>
      <c r="AD36" s="40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6" t="s">
        <v>248</v>
      </c>
      <c r="D37" s="36" t="str">
        <f>IF(E37="","",VLOOKUP(E37,'Coaching Points'!A:B,2,0))</f>
        <v>SK</v>
      </c>
      <c r="E37" s="36" t="s">
        <v>45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77.83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40.6</v>
      </c>
      <c r="S37" s="4">
        <f>IF(G37="17-21",LARGE(CHOOSE({1,2,3,4,5,6},T37,V37,Y37,AA37,AC37,AF37),2),IF(R37=X37,MAX(Y37,AA37,AC37,AF37),IF(R37=AE37,MAX(AF37,T37,V37,Y37),0)))</f>
        <v>37.229999999999997</v>
      </c>
      <c r="T37" s="33">
        <v>37.229999999999997</v>
      </c>
      <c r="U37" s="40">
        <v>0</v>
      </c>
      <c r="V37" s="34">
        <v>40.6</v>
      </c>
      <c r="W37" s="40">
        <v>6.5</v>
      </c>
      <c r="X37" s="4">
        <f>IF(H37="Senior",MAX(T37,V37),T37+V37)</f>
        <v>77.83</v>
      </c>
      <c r="Y37" s="34"/>
      <c r="Z37" s="40"/>
      <c r="AA37" s="33"/>
      <c r="AB37" s="40"/>
      <c r="AC37" s="34"/>
      <c r="AD37" s="40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6" t="s">
        <v>250</v>
      </c>
      <c r="D38" s="36" t="str">
        <f>IF(E38="","",VLOOKUP(E38,'Coaching Points'!A:B,2,0))</f>
        <v>AB</v>
      </c>
      <c r="E38" s="36" t="s">
        <v>63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77.58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41.05</v>
      </c>
      <c r="S38" s="4">
        <f>IF(G38="17-21",LARGE(CHOOSE({1,2,3,4,5,6},T38,V38,Y38,AA38,AC38,AF38),2),IF(R38=X38,MAX(Y38,AA38,AC38,AF38),IF(R38=AE38,MAX(AF38,T38,V38,Y38),0)))</f>
        <v>36.53</v>
      </c>
      <c r="T38" s="33">
        <v>36.53</v>
      </c>
      <c r="U38" s="40">
        <v>0</v>
      </c>
      <c r="V38" s="34">
        <v>41.05</v>
      </c>
      <c r="W38" s="40">
        <v>7.2</v>
      </c>
      <c r="X38" s="4">
        <f>IF(H38="Senior",MAX(T38,V38),T38+V38)</f>
        <v>77.58</v>
      </c>
      <c r="Y38" s="34"/>
      <c r="Z38" s="40"/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6" t="s">
        <v>158</v>
      </c>
      <c r="D39" s="36" t="str">
        <f>IF(E39="","",VLOOKUP(E39,'Coaching Points'!A:B,2,0))</f>
        <v>ON</v>
      </c>
      <c r="E39" s="36" t="s">
        <v>73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R39+S39+IF(OR(H39="Junior",H39="Senior"),0.0002,IF(OR(H39="L7",H39="L6"),0.0001,0))+IF(G39="17-21",MAX(AA39,AC39,AF39),AE39)*0.0000001</f>
        <v>74.980099999999993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38.299999999999997</v>
      </c>
      <c r="S39" s="4">
        <f>IF(G39="17-21",LARGE(CHOOSE({1,2,3,4,5,6},T39,V39,Y39,AA39,AC39,AF39),2),IF(R39=X39,MAX(Y39,AA39,AC39,AF39),IF(R39=AE39,MAX(AF39,T39,V39,Y39),0)))</f>
        <v>36.68</v>
      </c>
      <c r="T39" s="33">
        <v>38.299999999999997</v>
      </c>
      <c r="U39" s="40">
        <v>7.8</v>
      </c>
      <c r="V39" s="34">
        <v>36.68</v>
      </c>
      <c r="W39" s="40">
        <v>6.6</v>
      </c>
      <c r="X39" s="4">
        <f>IF(H39="Senior",MAX(T39,V39),T39+V39)</f>
        <v>74.97999999999999</v>
      </c>
      <c r="Y39" s="34"/>
      <c r="Z39" s="40"/>
      <c r="AA39" s="33"/>
      <c r="AB39" s="40"/>
      <c r="AC39" s="34"/>
      <c r="AD39" s="40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6" t="s">
        <v>304</v>
      </c>
      <c r="D40" s="36" t="str">
        <f>IF(E40="","",VLOOKUP(E40,'Coaching Points'!A:B,2,0))</f>
        <v>BC</v>
      </c>
      <c r="E40" s="36" t="s">
        <v>284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72.849999999999994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43.35</v>
      </c>
      <c r="S40" s="4">
        <f>IF(G40="17-21",LARGE(CHOOSE({1,2,3,4,5,6},T40,V40,Y40,AA40,AC40,AF40),2),IF(R40=X40,MAX(Y40,AA40,AC40,AF40),IF(R40=AE40,MAX(AF40,T40,V40,Y40),0)))</f>
        <v>29.5</v>
      </c>
      <c r="T40" s="33">
        <v>29.5</v>
      </c>
      <c r="U40" s="40">
        <v>0</v>
      </c>
      <c r="V40" s="34">
        <v>43.35</v>
      </c>
      <c r="W40" s="40">
        <v>7.4</v>
      </c>
      <c r="X40" s="4">
        <f>IF(H40="Senior",MAX(T40,V40),T40+V40)</f>
        <v>72.849999999999994</v>
      </c>
      <c r="Y40" s="34"/>
      <c r="Z40" s="40"/>
      <c r="AA40" s="33"/>
      <c r="AB40" s="40"/>
      <c r="AC40" s="34"/>
      <c r="AD40" s="40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6" t="s">
        <v>300</v>
      </c>
      <c r="D41" s="36" t="str">
        <f>IF(E41="","",VLOOKUP(E41,'Coaching Points'!A:B,2,0))</f>
        <v>AB</v>
      </c>
      <c r="E41" s="36" t="s">
        <v>58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71.12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38.15</v>
      </c>
      <c r="S41" s="4">
        <f>IF(G41="17-21",LARGE(CHOOSE({1,2,3,4,5,6},T41,V41,Y41,AA41,AC41,AF41),2),IF(R41=X41,MAX(Y41,AA41,AC41,AF41),IF(R41=AE41,MAX(AF41,T41,V41,Y41),0)))</f>
        <v>32.97</v>
      </c>
      <c r="T41" s="33">
        <v>38.15</v>
      </c>
      <c r="U41" s="40">
        <v>0</v>
      </c>
      <c r="V41" s="34">
        <v>32.97</v>
      </c>
      <c r="W41" s="40">
        <v>6.4</v>
      </c>
      <c r="X41" s="4">
        <f>IF(H41="Senior",MAX(T41,V41),T41+V41)</f>
        <v>71.12</v>
      </c>
      <c r="Y41" s="34"/>
      <c r="Z41" s="40"/>
      <c r="AA41" s="33"/>
      <c r="AB41" s="40"/>
      <c r="AC41" s="34"/>
      <c r="AD41" s="40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6" t="s">
        <v>235</v>
      </c>
      <c r="D42" s="36" t="str">
        <f>IF(E42="","",VLOOKUP(E42,'Coaching Points'!A:B,2,0))</f>
        <v>ON</v>
      </c>
      <c r="E42" s="36" t="s">
        <v>286</v>
      </c>
      <c r="F42" s="35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>R42+S42+IF(OR(H42="Junior",H42="Senior"),0.0002,IF(OR(H42="L7",H42="L6"),0.0001,0))+IF(G42="17-21",MAX(AA42,AC42,AF42),AE42)*0.0000001</f>
        <v>68.330100000000002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44.1</v>
      </c>
      <c r="S42" s="4">
        <f>IF(G42="17-21",LARGE(CHOOSE({1,2,3,4,5,6},T42,V42,Y42,AA42,AC42,AF42),2),IF(R42=X42,MAX(Y42,AA42,AC42,AF42),IF(R42=AE42,MAX(AF42,T42,V42,Y42),0)))</f>
        <v>24.23</v>
      </c>
      <c r="T42" s="33">
        <v>44.1</v>
      </c>
      <c r="U42" s="40">
        <v>9.3000000000000007</v>
      </c>
      <c r="V42" s="34">
        <v>24.23</v>
      </c>
      <c r="W42" s="40">
        <v>1.7</v>
      </c>
      <c r="X42" s="4">
        <f>IF(H42="Senior",MAX(T42,V42),T42+V42)</f>
        <v>68.33</v>
      </c>
      <c r="Y42" s="34">
        <v>5.51</v>
      </c>
      <c r="Z42" s="40">
        <v>1.5</v>
      </c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6" t="s">
        <v>251</v>
      </c>
      <c r="D43" s="36" t="str">
        <f>IF(E43="","",VLOOKUP(E43,'Coaching Points'!A:B,2,0))</f>
        <v>ON</v>
      </c>
      <c r="E43" s="36" t="s">
        <v>100</v>
      </c>
      <c r="F43" s="35">
        <v>2002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/>
      <c r="J43" s="4">
        <f>R43+S43+IF(OR(H43="Junior",H43="Senior"),0.0002,IF(OR(H43="L7",H43="L6"),0.0001,0))+IF(G43="17-21",MAX(AA43,AC43,AF43),AE43)*0.0000001</f>
        <v>63.670100000000005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45.34</v>
      </c>
      <c r="S43" s="4">
        <f>IF(G43="17-21",LARGE(CHOOSE({1,2,3,4,5,6},T43,V43,Y43,AA43,AC43,AF43),2),IF(R43=X43,MAX(Y43,AA43,AC43,AF43),IF(R43=AE43,MAX(AF43,T43,V43,Y43),0)))</f>
        <v>18.329999999999998</v>
      </c>
      <c r="T43" s="33">
        <v>45.34</v>
      </c>
      <c r="U43" s="40">
        <v>9.1999999999999993</v>
      </c>
      <c r="V43" s="34">
        <v>5.24</v>
      </c>
      <c r="W43" s="40">
        <v>1.5</v>
      </c>
      <c r="X43" s="4">
        <f>IF(H43="Senior",MAX(T43,V43),T43+V43)</f>
        <v>50.580000000000005</v>
      </c>
      <c r="Y43" s="34">
        <v>18.329999999999998</v>
      </c>
      <c r="Z43" s="40">
        <v>4.3</v>
      </c>
      <c r="AA43" s="33"/>
      <c r="AB43" s="40"/>
      <c r="AC43" s="34"/>
      <c r="AD43" s="40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6" t="s">
        <v>132</v>
      </c>
      <c r="D44" s="36" t="str">
        <f>IF(E44="","",VLOOKUP(E44,'Coaching Points'!A:B,2,0))</f>
        <v>QC</v>
      </c>
      <c r="E44" s="36" t="s">
        <v>84</v>
      </c>
      <c r="F44" s="35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62.04010000000001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43.52</v>
      </c>
      <c r="S44" s="4">
        <f>IF(G44="17-21",LARGE(CHOOSE({1,2,3,4,5,6},T44,V44,Y44,AA44,AC44,AF44),2),IF(R44=X44,MAX(Y44,AA44,AC44,AF44),IF(R44=AE44,MAX(AF44,T44,V44,Y44),0)))</f>
        <v>18.52</v>
      </c>
      <c r="T44" s="33">
        <v>43.52</v>
      </c>
      <c r="U44" s="40">
        <v>7.6</v>
      </c>
      <c r="V44" s="34">
        <v>18.52</v>
      </c>
      <c r="W44" s="40">
        <v>3.9</v>
      </c>
      <c r="X44" s="4">
        <f>IF(H44="Senior",MAX(T44,V44),T44+V44)</f>
        <v>62.040000000000006</v>
      </c>
      <c r="Y44" s="34"/>
      <c r="Z44" s="40"/>
      <c r="AA44" s="33"/>
      <c r="AB44" s="40"/>
      <c r="AC44" s="34"/>
      <c r="AD44" s="40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6" t="s">
        <v>157</v>
      </c>
      <c r="D45" s="36" t="str">
        <f>IF(E45="","",VLOOKUP(E45,'Coaching Points'!A:B,2,0))</f>
        <v>AB</v>
      </c>
      <c r="E45" s="36" t="s">
        <v>29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68</v>
      </c>
      <c r="I45" s="43"/>
      <c r="J45" s="4">
        <f>R45+S45+IF(OR(H45="Junior",H45="Senior"),0.0002,IF(OR(H45="L7",H45="L6"),0.0001,0))+IF(G45="17-21",MAX(AA45,AC45,AF45),AE45)*0.0000001</f>
        <v>58.840100000000007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39.92</v>
      </c>
      <c r="S45" s="4">
        <f>IF(G45="17-21",LARGE(CHOOSE({1,2,3,4,5,6},T45,V45,Y45,AA45,AC45,AF45),2),IF(R45=X45,MAX(Y45,AA45,AC45,AF45),IF(R45=AE45,MAX(AF45,T45,V45,Y45),0)))</f>
        <v>18.920000000000002</v>
      </c>
      <c r="T45" s="33">
        <v>39.92</v>
      </c>
      <c r="U45" s="40">
        <v>7.9</v>
      </c>
      <c r="V45" s="34">
        <v>18.920000000000002</v>
      </c>
      <c r="W45" s="40">
        <v>5</v>
      </c>
      <c r="X45" s="4">
        <f>IF(H45="Senior",MAX(T45,V45),T45+V45)</f>
        <v>58.84</v>
      </c>
      <c r="Y45" s="34"/>
      <c r="Z45" s="40"/>
      <c r="AA45" s="33"/>
      <c r="AB45" s="40"/>
      <c r="AC45" s="34"/>
      <c r="AD45" s="40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6" t="s">
        <v>242</v>
      </c>
      <c r="D46" s="36" t="str">
        <f>IF(E46="","",VLOOKUP(E46,'Coaching Points'!A:B,2,0))</f>
        <v>ON</v>
      </c>
      <c r="E46" s="36" t="s">
        <v>71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R46+S46+IF(OR(H46="Junior",H46="Senior"),0.0002,IF(OR(H46="L7",H46="L6"),0.0001,0))+IF(G46="17-21",MAX(AA46,AC46,AF46),AE46)*0.0000001</f>
        <v>57.989999999999995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37.619999999999997</v>
      </c>
      <c r="S46" s="4">
        <f>IF(G46="17-21",LARGE(CHOOSE({1,2,3,4,5,6},T46,V46,Y46,AA46,AC46,AF46),2),IF(R46=X46,MAX(Y46,AA46,AC46,AF46),IF(R46=AE46,MAX(AF46,T46,V46,Y46),0)))</f>
        <v>20.37</v>
      </c>
      <c r="T46" s="33">
        <v>37.619999999999997</v>
      </c>
      <c r="U46" s="40">
        <v>0</v>
      </c>
      <c r="V46" s="34">
        <v>20.37</v>
      </c>
      <c r="W46" s="40">
        <v>3.2</v>
      </c>
      <c r="X46" s="4">
        <f>IF(H46="Senior",MAX(T46,V46),T46+V46)</f>
        <v>57.989999999999995</v>
      </c>
      <c r="Y46" s="34"/>
      <c r="Z46" s="40"/>
      <c r="AA46" s="33"/>
      <c r="AB46" s="40"/>
      <c r="AC46" s="34"/>
      <c r="AD46" s="40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6" t="s">
        <v>128</v>
      </c>
      <c r="D47" s="36" t="str">
        <f>IF(E47="","",VLOOKUP(E47,'Coaching Points'!A:B,2,0))</f>
        <v>AB</v>
      </c>
      <c r="E47" s="36" t="s">
        <v>29</v>
      </c>
      <c r="F47" s="35">
        <v>2006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54.870000000000005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36.880000000000003</v>
      </c>
      <c r="S47" s="4">
        <f>IF(G47="17-21",LARGE(CHOOSE({1,2,3,4,5,6},T47,V47,Y47,AA47,AC47,AF47),2),IF(R47=X47,MAX(Y47,AA47,AC47,AF47),IF(R47=AE47,MAX(AF47,T47,V47,Y47),0)))</f>
        <v>17.989999999999998</v>
      </c>
      <c r="T47" s="33">
        <v>36.880000000000003</v>
      </c>
      <c r="U47" s="40">
        <v>0</v>
      </c>
      <c r="V47" s="34">
        <v>17.989999999999998</v>
      </c>
      <c r="W47" s="40">
        <v>2.7</v>
      </c>
      <c r="X47" s="4">
        <f>IF(H47="Senior",MAX(T47,V47),T47+V47)</f>
        <v>54.870000000000005</v>
      </c>
      <c r="Y47" s="34"/>
      <c r="Z47" s="40"/>
      <c r="AA47" s="33"/>
      <c r="AB47" s="40"/>
      <c r="AC47" s="34"/>
      <c r="AD47" s="40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6" t="s">
        <v>246</v>
      </c>
      <c r="D48" s="36" t="str">
        <f>IF(E48="","",VLOOKUP(E48,'Coaching Points'!A:B,2,0))</f>
        <v>AB</v>
      </c>
      <c r="E48" s="36" t="s">
        <v>63</v>
      </c>
      <c r="F48" s="35">
        <v>2003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53.820000000000007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36.270000000000003</v>
      </c>
      <c r="S48" s="4">
        <f>IF(G48="17-21",LARGE(CHOOSE({1,2,3,4,5,6},T48,V48,Y48,AA48,AC48,AF48),2),IF(R48=X48,MAX(Y48,AA48,AC48,AF48),IF(R48=AE48,MAX(AF48,T48,V48,Y48),0)))</f>
        <v>17.55</v>
      </c>
      <c r="T48" s="33">
        <v>36.270000000000003</v>
      </c>
      <c r="U48" s="40">
        <v>0</v>
      </c>
      <c r="V48" s="34">
        <v>17.55</v>
      </c>
      <c r="W48" s="40">
        <v>2.8</v>
      </c>
      <c r="X48" s="4">
        <f>IF(H48="Senior",MAX(T48,V48),T48+V48)</f>
        <v>53.820000000000007</v>
      </c>
      <c r="Y48" s="34"/>
      <c r="Z48" s="40"/>
      <c r="AA48" s="33"/>
      <c r="AB48" s="40"/>
      <c r="AC48" s="34"/>
      <c r="AD48" s="40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52.67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39.26</v>
      </c>
      <c r="S49" s="4">
        <f>IF(G49="17-21",LARGE(CHOOSE({1,2,3,4,5,6},T49,V49,Y49,AA49,AC49,AF49),2),IF(R49=X49,MAX(Y49,AA49,AC49,AF49),IF(R49=AE49,MAX(AF49,T49,V49,Y49),0)))</f>
        <v>13.41</v>
      </c>
      <c r="T49" s="33">
        <v>39.26</v>
      </c>
      <c r="U49" s="40">
        <v>0</v>
      </c>
      <c r="V49" s="34">
        <v>13.41</v>
      </c>
      <c r="W49" s="40">
        <v>3.1</v>
      </c>
      <c r="X49" s="4">
        <f>IF(H49="Senior",MAX(T49,V49),T49+V49)</f>
        <v>52.67</v>
      </c>
      <c r="Y49" s="34"/>
      <c r="Z49" s="40"/>
      <c r="AA49" s="33"/>
      <c r="AB49" s="40"/>
      <c r="AC49" s="34"/>
      <c r="AD49" s="40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6" t="s">
        <v>160</v>
      </c>
      <c r="D50" s="36" t="str">
        <f>IF(E50="","",VLOOKUP(E50,'Coaching Points'!A:B,2,0))</f>
        <v>ON</v>
      </c>
      <c r="E50" s="36" t="s">
        <v>38</v>
      </c>
      <c r="F50" s="35">
        <v>2002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74</v>
      </c>
      <c r="I50" s="43"/>
      <c r="J50" s="4">
        <f>R50+S50+IF(OR(H50="Junior",H50="Senior"),0.0002,IF(OR(H50="L7",H50="L6"),0.0001,0))+IF(G50="17-21",MAX(AA50,AC50,AF50),AE50)*0.0000001</f>
        <v>50.550200000000004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>P</v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45.2</v>
      </c>
      <c r="S50" s="4">
        <f>IF(G50="17-21",LARGE(CHOOSE({1,2,3,4,5,6},T50,V50,Y50,AA50,AC50,AF50),2),IF(R50=X50,MAX(Y50,AA50,AC50,AF50),IF(R50=AE50,MAX(AF50,T50,V50,Y50),0)))</f>
        <v>5.35</v>
      </c>
      <c r="T50" s="33">
        <v>45.2</v>
      </c>
      <c r="U50" s="40">
        <v>9.9</v>
      </c>
      <c r="V50" s="34">
        <v>5.35</v>
      </c>
      <c r="W50" s="40">
        <v>1.5</v>
      </c>
      <c r="X50" s="4">
        <f>IF(H50="Senior",MAX(T50,V50),T50+V50)</f>
        <v>45.2</v>
      </c>
      <c r="Y50" s="34"/>
      <c r="Z50" s="40"/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6" t="s">
        <v>131</v>
      </c>
      <c r="D51" s="36" t="str">
        <f>IF(E51="","",VLOOKUP(E51,'Coaching Points'!A:B,2,0))</f>
        <v>BC</v>
      </c>
      <c r="E51" s="36" t="s">
        <v>284</v>
      </c>
      <c r="F51" s="35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48.66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39.409999999999997</v>
      </c>
      <c r="S51" s="4">
        <f>IF(G51="17-21",LARGE(CHOOSE({1,2,3,4,5,6},T51,V51,Y51,AA51,AC51,AF51),2),IF(R51=X51,MAX(Y51,AA51,AC51,AF51),IF(R51=AE51,MAX(AF51,T51,V51,Y51),0)))</f>
        <v>9.25</v>
      </c>
      <c r="T51" s="33">
        <v>39.409999999999997</v>
      </c>
      <c r="U51" s="40">
        <v>0</v>
      </c>
      <c r="V51" s="34">
        <v>9.25</v>
      </c>
      <c r="W51" s="40">
        <v>1.9</v>
      </c>
      <c r="X51" s="4">
        <f>IF(H51="Senior",MAX(T51,V51),T51+V51)</f>
        <v>48.66</v>
      </c>
      <c r="Y51" s="34"/>
      <c r="Z51" s="40"/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6" t="s">
        <v>130</v>
      </c>
      <c r="D52" s="36" t="str">
        <f>IF(E52="","",VLOOKUP(E52,'Coaching Points'!A:B,2,0))</f>
        <v>BC</v>
      </c>
      <c r="E52" s="36" t="s">
        <v>57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48.64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39.159999999999997</v>
      </c>
      <c r="S52" s="4">
        <f>IF(G52="17-21",LARGE(CHOOSE({1,2,3,4,5,6},T52,V52,Y52,AA52,AC52,AF52),2),IF(R52=X52,MAX(Y52,AA52,AC52,AF52),IF(R52=AE52,MAX(AF52,T52,V52,Y52),0)))</f>
        <v>9.48</v>
      </c>
      <c r="T52" s="33">
        <v>39.159999999999997</v>
      </c>
      <c r="U52" s="40">
        <v>0</v>
      </c>
      <c r="V52" s="34">
        <v>9.48</v>
      </c>
      <c r="W52" s="40">
        <v>2.2999999999999998</v>
      </c>
      <c r="X52" s="4">
        <f>IF(H52="Senior",MAX(T52,V52),T52+V52)</f>
        <v>48.64</v>
      </c>
      <c r="Y52" s="34"/>
      <c r="Z52" s="40"/>
      <c r="AA52" s="33"/>
      <c r="AB52" s="40"/>
      <c r="AC52" s="34"/>
      <c r="AD52" s="40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t="str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/>
      </c>
      <c r="C53" s="36" t="s">
        <v>147</v>
      </c>
      <c r="D53" s="36" t="str">
        <f>IF(E53="","",VLOOKUP(E53,'Coaching Points'!A:B,2,0))</f>
        <v>SK</v>
      </c>
      <c r="E53" s="36" t="s">
        <v>45</v>
      </c>
      <c r="F53" s="35">
        <v>2003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68</v>
      </c>
      <c r="I53" s="43"/>
      <c r="J53" s="4">
        <f>R53+S53+IF(OR(H53="Junior",H53="Senior"),0.0002,IF(OR(H53="L7",H53="L6"),0.0001,0))+IF(G53="17-21",MAX(AA53,AC53,AF53),AE53)*0.0000001</f>
        <v>44.330100000000002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39.51</v>
      </c>
      <c r="S53" s="4">
        <f>IF(G53="17-21",LARGE(CHOOSE({1,2,3,4,5,6},T53,V53,Y53,AA53,AC53,AF53),2),IF(R53=X53,MAX(Y53,AA53,AC53,AF53),IF(R53=AE53,MAX(AF53,T53,V53,Y53),0)))</f>
        <v>4.82</v>
      </c>
      <c r="T53" s="33">
        <v>4.82</v>
      </c>
      <c r="U53" s="40">
        <v>1.5</v>
      </c>
      <c r="V53" s="34">
        <v>39.51</v>
      </c>
      <c r="W53" s="40">
        <v>8.5</v>
      </c>
      <c r="X53" s="4">
        <f>IF(H53="Senior",MAX(T53,V53),T53+V53)</f>
        <v>44.33</v>
      </c>
      <c r="Y53" s="34"/>
      <c r="Z53" s="40"/>
      <c r="AA53" s="33"/>
      <c r="AB53" s="40"/>
      <c r="AC53" s="34"/>
      <c r="AD53" s="40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6" t="s">
        <v>247</v>
      </c>
      <c r="D54" s="36" t="str">
        <f>IF(E54="","",VLOOKUP(E54,'Coaching Points'!A:B,2,0))</f>
        <v>BC</v>
      </c>
      <c r="E54" s="36" t="s">
        <v>41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40.299999999999997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27.46</v>
      </c>
      <c r="S54" s="4">
        <f>IF(G54="17-21",LARGE(CHOOSE({1,2,3,4,5,6},T54,V54,Y54,AA54,AC54,AF54),2),IF(R54=X54,MAX(Y54,AA54,AC54,AF54),IF(R54=AE54,MAX(AF54,T54,V54,Y54),0)))</f>
        <v>12.84</v>
      </c>
      <c r="T54" s="33">
        <v>27.46</v>
      </c>
      <c r="U54" s="40">
        <v>0</v>
      </c>
      <c r="V54" s="34">
        <v>12.84</v>
      </c>
      <c r="W54" s="40">
        <v>2.9</v>
      </c>
      <c r="X54" s="4">
        <f>IF(H54="Senior",MAX(T54,V54),T54+V54)</f>
        <v>40.299999999999997</v>
      </c>
      <c r="Y54" s="34"/>
      <c r="Z54" s="40"/>
      <c r="AA54" s="33"/>
      <c r="AB54" s="40"/>
      <c r="AC54" s="34"/>
      <c r="AD54" s="40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6" t="s">
        <v>303</v>
      </c>
      <c r="D55" s="36" t="str">
        <f>IF(E55="","",VLOOKUP(E55,'Coaching Points'!A:B,2,0))</f>
        <v>QC</v>
      </c>
      <c r="E55" s="36" t="s">
        <v>84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22.23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16.89</v>
      </c>
      <c r="S55" s="4">
        <f>IF(G55="17-21",LARGE(CHOOSE({1,2,3,4,5,6},T55,V55,Y55,AA55,AC55,AF55),2),IF(R55=X55,MAX(Y55,AA55,AC55,AF55),IF(R55=AE55,MAX(AF55,T55,V55,Y55),0)))</f>
        <v>5.34</v>
      </c>
      <c r="T55" s="33">
        <v>16.89</v>
      </c>
      <c r="U55" s="40">
        <v>0</v>
      </c>
      <c r="V55" s="34">
        <v>5.34</v>
      </c>
      <c r="W55" s="40">
        <v>1.3</v>
      </c>
      <c r="X55" s="4">
        <f>IF(H55="Senior",MAX(T55,V55),T55+V55)</f>
        <v>22.23</v>
      </c>
      <c r="Y55" s="34"/>
      <c r="Z55" s="40"/>
      <c r="AA55" s="33"/>
      <c r="AB55" s="40"/>
      <c r="AC55" s="34"/>
      <c r="AD55" s="40"/>
      <c r="AE55" s="4">
        <f>IF(H55="Senior",MAX(AA55,AC55),AA55+AC55)</f>
        <v>0</v>
      </c>
      <c r="AF55" s="34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6" t="s">
        <v>155</v>
      </c>
      <c r="D56" s="36" t="str">
        <f>IF(E56="","",VLOOKUP(E56,'Coaching Points'!A:B,2,0))</f>
        <v>AB</v>
      </c>
      <c r="E56" s="36" t="s">
        <v>29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>R56+S56+IF(OR(H56="Junior",H56="Senior"),0.0002,IF(OR(H56="L7",H56="L6"),0.0001,0))+IF(G56="17-21",MAX(AA56,AC56,AF56),AE56)*0.0000001</f>
        <v>10.4001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5.25</v>
      </c>
      <c r="S56" s="4">
        <f>IF(G56="17-21",LARGE(CHOOSE({1,2,3,4,5,6},T56,V56,Y56,AA56,AC56,AF56),2),IF(R56=X56,MAX(Y56,AA56,AC56,AF56),IF(R56=AE56,MAX(AF56,T56,V56,Y56),0)))</f>
        <v>5.15</v>
      </c>
      <c r="T56" s="33">
        <v>5.25</v>
      </c>
      <c r="U56" s="40">
        <v>1.5</v>
      </c>
      <c r="V56" s="34">
        <v>5.15</v>
      </c>
      <c r="W56" s="40">
        <v>1.5</v>
      </c>
      <c r="X56" s="4">
        <f>IF(H56="Senior",MAX(T56,V56),T56+V56)</f>
        <v>10.4</v>
      </c>
      <c r="Y56" s="34"/>
      <c r="Z56" s="40"/>
      <c r="AA56" s="33"/>
      <c r="AB56" s="40"/>
      <c r="AC56" s="34"/>
      <c r="AD56" s="40"/>
      <c r="AE56" s="4">
        <f>IF(H56="Senior",MAX(AA56,AC56),AA56+AC56)</f>
        <v>0</v>
      </c>
      <c r="AF56" s="34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>1</v>
      </c>
      <c r="C57" s="36" t="s">
        <v>150</v>
      </c>
      <c r="D57" s="36" t="str">
        <f>IF(E57="","",VLOOKUP(E57,'Coaching Points'!A:B,2,0))</f>
        <v>QC</v>
      </c>
      <c r="E57" s="36" t="s">
        <v>84</v>
      </c>
      <c r="F57" s="35">
        <v>2007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65</v>
      </c>
      <c r="I57" s="43"/>
      <c r="J57" s="4">
        <f>R57+S57+IF(OR(H57="Junior",H57="Senior"),0.0002,IF(OR(H57="L7",H57="L6"),0.0001,0))+IF(G57="17-21",MAX(AA57,AC57,AF57),AE57)*0.0000001</f>
        <v>139.77020000000002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>P</v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>P</v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89.92</v>
      </c>
      <c r="S57" s="4">
        <f>IF(G57="17-21",LARGE(CHOOSE({1,2,3,4,5,6},T57,V57,Y57,AA57,AC57,AF57),2),IF(R57=X57,MAX(Y57,AA57,AC57,AF57),IF(R57=AE57,MAX(AF57,T57,V57,Y57),0)))</f>
        <v>49.85</v>
      </c>
      <c r="T57" s="33">
        <v>40.86</v>
      </c>
      <c r="U57" s="40">
        <v>0</v>
      </c>
      <c r="V57" s="34">
        <v>49.06</v>
      </c>
      <c r="W57" s="40">
        <v>11.5</v>
      </c>
      <c r="X57" s="4">
        <f>IF(H57="Senior",MAX(T57,V57),T57+V57)</f>
        <v>89.92</v>
      </c>
      <c r="Y57" s="34">
        <v>49.85</v>
      </c>
      <c r="Z57" s="40">
        <v>11.5</v>
      </c>
      <c r="AA57" s="33"/>
      <c r="AB57" s="40"/>
      <c r="AC57" s="34"/>
      <c r="AD57" s="40"/>
      <c r="AE57" s="4">
        <f>IF(H57="Senior",MAX(AA57,AC57),AA57+AC57)</f>
        <v>0</v>
      </c>
      <c r="AF57" s="34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6" t="s">
        <v>153</v>
      </c>
      <c r="D58" s="36" t="str">
        <f>IF(E58="","",VLOOKUP(E58,'Coaching Points'!A:B,2,0))</f>
        <v>BC</v>
      </c>
      <c r="E58" s="36" t="s">
        <v>46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65</v>
      </c>
      <c r="I58" s="43"/>
      <c r="J58" s="4">
        <f>R58+S58+IF(OR(H58="Junior",H58="Senior"),0.0002,IF(OR(H58="L7",H58="L6"),0.0001,0))+IF(G58="17-21",MAX(AA58,AC58,AF58),AE58)*0.0000001</f>
        <v>137.72020000000001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>P</v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88.27</v>
      </c>
      <c r="S58" s="4">
        <f>IF(G58="17-21",LARGE(CHOOSE({1,2,3,4,5,6},T58,V58,Y58,AA58,AC58,AF58),2),IF(R58=X58,MAX(Y58,AA58,AC58,AF58),IF(R58=AE58,MAX(AF58,T58,V58,Y58),0)))</f>
        <v>49.45</v>
      </c>
      <c r="T58" s="33">
        <v>40.729999999999997</v>
      </c>
      <c r="U58" s="40">
        <v>0</v>
      </c>
      <c r="V58" s="34">
        <v>47.54</v>
      </c>
      <c r="W58" s="40">
        <v>10.9</v>
      </c>
      <c r="X58" s="4">
        <f>IF(H58="Senior",MAX(T58,V58),T58+V58)</f>
        <v>88.27</v>
      </c>
      <c r="Y58" s="34">
        <v>49.45</v>
      </c>
      <c r="Z58" s="40">
        <v>10.7</v>
      </c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6" t="s">
        <v>119</v>
      </c>
      <c r="D59" s="36" t="str">
        <f>IF(E59="","",VLOOKUP(E59,'Coaching Points'!A:B,2,0))</f>
        <v>BC</v>
      </c>
      <c r="E59" s="36" t="s">
        <v>46</v>
      </c>
      <c r="F59" s="35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67</v>
      </c>
      <c r="I59" s="43"/>
      <c r="J59" s="4">
        <f>R59+S59+IF(OR(H59="Junior",H59="Senior"),0.0002,IF(OR(H59="L7",H59="L6"),0.0001,0))+IF(G59="17-21",MAX(AA59,AC59,AF59),AE59)*0.0000001</f>
        <v>134.71010000000001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>P</v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87.240000000000009</v>
      </c>
      <c r="S59" s="4">
        <f>IF(G59="17-21",LARGE(CHOOSE({1,2,3,4,5,6},T59,V59,Y59,AA59,AC59,AF59),2),IF(R59=X59,MAX(Y59,AA59,AC59,AF59),IF(R59=AE59,MAX(AF59,T59,V59,Y59),0)))</f>
        <v>47.47</v>
      </c>
      <c r="T59" s="33">
        <v>40.25</v>
      </c>
      <c r="U59" s="40">
        <v>0</v>
      </c>
      <c r="V59" s="34">
        <v>46.99</v>
      </c>
      <c r="W59" s="40">
        <v>10</v>
      </c>
      <c r="X59" s="4">
        <f>IF(H59="Senior",MAX(T59,V59),T59+V59)</f>
        <v>87.240000000000009</v>
      </c>
      <c r="Y59" s="34">
        <v>47.47</v>
      </c>
      <c r="Z59" s="40">
        <v>10</v>
      </c>
      <c r="AA59" s="33"/>
      <c r="AB59" s="40"/>
      <c r="AC59" s="34"/>
      <c r="AD59" s="40"/>
      <c r="AE59" s="4">
        <f>IF(H59="Senior",MAX(AA59,AC59),AA59+AC59)</f>
        <v>0</v>
      </c>
      <c r="AF59" s="34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6" t="s">
        <v>149</v>
      </c>
      <c r="D60" s="36" t="str">
        <f>IF(E60="","",VLOOKUP(E60,'Coaching Points'!A:B,2,0))</f>
        <v>QC</v>
      </c>
      <c r="E60" s="36" t="s">
        <v>59</v>
      </c>
      <c r="F60" s="35">
        <v>2008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67</v>
      </c>
      <c r="I60" s="43"/>
      <c r="J60" s="4">
        <f>R60+S60+IF(OR(H60="Junior",H60="Senior"),0.0002,IF(OR(H60="L7",H60="L6"),0.0001,0))+IF(G60="17-21",MAX(AA60,AC60,AF60),AE60)*0.0000001</f>
        <v>131.2501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>P</v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84.68</v>
      </c>
      <c r="S60" s="4">
        <f>IF(G60="17-21",LARGE(CHOOSE({1,2,3,4,5,6},T60,V60,Y60,AA60,AC60,AF60),2),IF(R60=X60,MAX(Y60,AA60,AC60,AF60),IF(R60=AE60,MAX(AF60,T60,V60,Y60),0)))</f>
        <v>46.57</v>
      </c>
      <c r="T60" s="33">
        <v>39.54</v>
      </c>
      <c r="U60" s="40">
        <v>0</v>
      </c>
      <c r="V60" s="34">
        <v>45.14</v>
      </c>
      <c r="W60" s="40">
        <v>9.1</v>
      </c>
      <c r="X60" s="4">
        <f>IF(H60="Senior",MAX(T60,V60),T60+V60)</f>
        <v>84.68</v>
      </c>
      <c r="Y60" s="34">
        <v>46.57</v>
      </c>
      <c r="Z60" s="40">
        <v>9.1</v>
      </c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6" t="s">
        <v>306</v>
      </c>
      <c r="D61" s="36" t="str">
        <f>IF(E61="","",VLOOKUP(E61,'Coaching Points'!A:B,2,0))</f>
        <v>BC</v>
      </c>
      <c r="E61" s="36" t="s">
        <v>57</v>
      </c>
      <c r="F61" s="35">
        <v>2008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128.64999999999998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83.57</v>
      </c>
      <c r="S61" s="4">
        <f>IF(G61="17-21",LARGE(CHOOSE({1,2,3,4,5,6},T61,V61,Y61,AA61,AC61,AF61),2),IF(R61=X61,MAX(Y61,AA61,AC61,AF61),IF(R61=AE61,MAX(AF61,T61,V61,Y61),0)))</f>
        <v>45.08</v>
      </c>
      <c r="T61" s="33">
        <v>38.4</v>
      </c>
      <c r="U61" s="40">
        <v>0</v>
      </c>
      <c r="V61" s="34">
        <v>45.17</v>
      </c>
      <c r="W61" s="40">
        <v>7.8</v>
      </c>
      <c r="X61" s="4">
        <f>IF(H61="Senior",MAX(T61,V61),T61+V61)</f>
        <v>83.57</v>
      </c>
      <c r="Y61" s="34">
        <v>45.08</v>
      </c>
      <c r="Z61" s="40">
        <v>7.8</v>
      </c>
      <c r="AA61" s="33"/>
      <c r="AB61" s="40"/>
      <c r="AC61" s="34"/>
      <c r="AD61" s="40"/>
      <c r="AE61" s="4">
        <f>IF(H61="Senior",MAX(AA61,AC61),AA61+AC61)</f>
        <v>0</v>
      </c>
      <c r="AF61" s="34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6" t="s">
        <v>152</v>
      </c>
      <c r="D62" s="36" t="str">
        <f>IF(E62="","",VLOOKUP(E62,'Coaching Points'!A:B,2,0))</f>
        <v>SK</v>
      </c>
      <c r="E62" s="36" t="s">
        <v>45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/>
      <c r="J62" s="4">
        <f>R62+S62+IF(OR(H62="Junior",H62="Senior"),0.0002,IF(OR(H62="L7",H62="L6"),0.0001,0))+IF(G62="17-21",MAX(AA62,AC62,AF62),AE62)*0.0000001</f>
        <v>126.96010000000001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82.97</v>
      </c>
      <c r="S62" s="4">
        <f>IF(G62="17-21",LARGE(CHOOSE({1,2,3,4,5,6},T62,V62,Y62,AA62,AC62,AF62),2),IF(R62=X62,MAX(Y62,AA62,AC62,AF62),IF(R62=AE62,MAX(AF62,T62,V62,Y62),0)))</f>
        <v>43.99</v>
      </c>
      <c r="T62" s="33">
        <v>38.69</v>
      </c>
      <c r="U62" s="40">
        <v>0</v>
      </c>
      <c r="V62" s="34">
        <v>44.28</v>
      </c>
      <c r="W62" s="40">
        <v>8.4</v>
      </c>
      <c r="X62" s="4">
        <f>IF(H62="Senior",MAX(T62,V62),T62+V62)</f>
        <v>82.97</v>
      </c>
      <c r="Y62" s="34">
        <v>43.99</v>
      </c>
      <c r="Z62" s="40">
        <v>7.9</v>
      </c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6" t="s">
        <v>120</v>
      </c>
      <c r="D63" s="36" t="str">
        <f>IF(E63="","",VLOOKUP(E63,'Coaching Points'!A:B,2,0))</f>
        <v>AB</v>
      </c>
      <c r="E63" s="36" t="s">
        <v>29</v>
      </c>
      <c r="F63" s="35">
        <v>2007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125.95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81.31</v>
      </c>
      <c r="S63" s="4">
        <f>IF(G63="17-21",LARGE(CHOOSE({1,2,3,4,5,6},T63,V63,Y63,AA63,AC63,AF63),2),IF(R63=X63,MAX(Y63,AA63,AC63,AF63),IF(R63=AE63,MAX(AF63,T63,V63,Y63),0)))</f>
        <v>44.64</v>
      </c>
      <c r="T63" s="33">
        <v>36.47</v>
      </c>
      <c r="U63" s="40">
        <v>0</v>
      </c>
      <c r="V63" s="34">
        <v>44.84</v>
      </c>
      <c r="W63" s="40">
        <v>7.8</v>
      </c>
      <c r="X63" s="4">
        <f>IF(H63="Senior",MAX(T63,V63),T63+V63)</f>
        <v>81.31</v>
      </c>
      <c r="Y63" s="34">
        <v>44.64</v>
      </c>
      <c r="Z63" s="40">
        <v>7.8</v>
      </c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6" t="s">
        <v>243</v>
      </c>
      <c r="D64" s="36" t="str">
        <f>IF(E64="","",VLOOKUP(E64,'Coaching Points'!A:B,2,0))</f>
        <v>ON</v>
      </c>
      <c r="E64" s="36" t="s">
        <v>38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125.66999999999999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80.819999999999993</v>
      </c>
      <c r="S64" s="4">
        <f>IF(G64="17-21",LARGE(CHOOSE({1,2,3,4,5,6},T64,V64,Y64,AA64,AC64,AF64),2),IF(R64=X64,MAX(Y64,AA64,AC64,AF64),IF(R64=AE64,MAX(AF64,T64,V64,Y64),0)))</f>
        <v>44.85</v>
      </c>
      <c r="T64" s="33">
        <v>37.5</v>
      </c>
      <c r="U64" s="40">
        <v>0</v>
      </c>
      <c r="V64" s="34">
        <v>43.32</v>
      </c>
      <c r="W64" s="40">
        <v>7.6</v>
      </c>
      <c r="X64" s="4">
        <f>IF(H64="Senior",MAX(T64,V64),T64+V64)</f>
        <v>80.819999999999993</v>
      </c>
      <c r="Y64" s="34">
        <v>44.85</v>
      </c>
      <c r="Z64" s="40">
        <v>7.6</v>
      </c>
      <c r="AA64" s="33"/>
      <c r="AB64" s="40"/>
      <c r="AC64" s="34"/>
      <c r="AD64" s="40"/>
      <c r="AE64" s="4">
        <f>IF(H64="Senior",MAX(AA64,AC64),AA64+AC64)</f>
        <v>0</v>
      </c>
      <c r="AF64" s="34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6" t="s">
        <v>127</v>
      </c>
      <c r="D65" s="36" t="str">
        <f>IF(E65="","",VLOOKUP(E65,'Coaching Points'!A:B,2,0))</f>
        <v>ON</v>
      </c>
      <c r="E65" s="36" t="s">
        <v>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124.83999999999999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84.039999999999992</v>
      </c>
      <c r="S65" s="4">
        <f>IF(G65="17-21",LARGE(CHOOSE({1,2,3,4,5,6},T65,V65,Y65,AA65,AC65,AF65),2),IF(R65=X65,MAX(Y65,AA65,AC65,AF65),IF(R65=AE65,MAX(AF65,T65,V65,Y65),0)))</f>
        <v>40.799999999999997</v>
      </c>
      <c r="T65" s="33">
        <v>38.47</v>
      </c>
      <c r="U65" s="40">
        <v>0</v>
      </c>
      <c r="V65" s="34">
        <v>45.57</v>
      </c>
      <c r="W65" s="40">
        <v>8.1999999999999993</v>
      </c>
      <c r="X65" s="4">
        <f>IF(H65="Senior",MAX(T65,V65),T65+V65)</f>
        <v>84.039999999999992</v>
      </c>
      <c r="Y65" s="34">
        <v>40.799999999999997</v>
      </c>
      <c r="Z65" s="40">
        <v>6.4</v>
      </c>
      <c r="AA65" s="33"/>
      <c r="AB65" s="40"/>
      <c r="AC65" s="34"/>
      <c r="AD65" s="40"/>
      <c r="AE65" s="4">
        <f>IF(H65="Senior",MAX(AA65,AC65),AA65+AC65)</f>
        <v>0</v>
      </c>
      <c r="AF65" s="34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6" t="s">
        <v>307</v>
      </c>
      <c r="D66" s="36" t="str">
        <f>IF(E66="","",VLOOKUP(E66,'Coaching Points'!A:B,2,0))</f>
        <v>AB</v>
      </c>
      <c r="E66" s="36" t="s">
        <v>58</v>
      </c>
      <c r="F66" s="35">
        <v>2008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>R66+S66+IF(OR(H66="Junior",H66="Senior"),0.0002,IF(OR(H66="L7",H66="L6"),0.0001,0))+IF(G66="17-21",MAX(AA66,AC66,AF66),AE66)*0.0000001</f>
        <v>124.7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82.28</v>
      </c>
      <c r="S66" s="4">
        <f>IF(G66="17-21",LARGE(CHOOSE({1,2,3,4,5,6},T66,V66,Y66,AA66,AC66,AF66),2),IF(R66=X66,MAX(Y66,AA66,AC66,AF66),IF(R66=AE66,MAX(AF66,T66,V66,Y66),0)))</f>
        <v>42.42</v>
      </c>
      <c r="T66" s="33">
        <v>37.06</v>
      </c>
      <c r="U66" s="40">
        <v>0</v>
      </c>
      <c r="V66" s="34">
        <v>45.22</v>
      </c>
      <c r="W66" s="40">
        <v>8.4</v>
      </c>
      <c r="X66" s="4">
        <f>IF(H66="Senior",MAX(T66,V66),T66+V66)</f>
        <v>82.28</v>
      </c>
      <c r="Y66" s="34">
        <v>42.42</v>
      </c>
      <c r="Z66" s="40">
        <v>7.2</v>
      </c>
      <c r="AA66" s="33"/>
      <c r="AB66" s="40"/>
      <c r="AC66" s="34"/>
      <c r="AD66" s="40"/>
      <c r="AE66" s="4">
        <f>IF(H66="Senior",MAX(AA66,AC66),AA66+AC66)</f>
        <v>0</v>
      </c>
      <c r="AF66" s="34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6" t="s">
        <v>238</v>
      </c>
      <c r="D67" s="36" t="str">
        <f>IF(E67="","",VLOOKUP(E67,'Coaching Points'!A:B,2,0))</f>
        <v>AB</v>
      </c>
      <c r="E67" s="36" t="s">
        <v>58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122.56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79.84</v>
      </c>
      <c r="S67" s="4">
        <f>IF(G67="17-21",LARGE(CHOOSE({1,2,3,4,5,6},T67,V67,Y67,AA67,AC67,AF67),2),IF(R67=X67,MAX(Y67,AA67,AC67,AF67),IF(R67=AE67,MAX(AF67,T67,V67,Y67),0)))</f>
        <v>42.72</v>
      </c>
      <c r="T67" s="33">
        <v>36.200000000000003</v>
      </c>
      <c r="U67" s="40">
        <v>0</v>
      </c>
      <c r="V67" s="34">
        <v>43.64</v>
      </c>
      <c r="W67" s="40">
        <v>8.5</v>
      </c>
      <c r="X67" s="4">
        <f>IF(H67="Senior",MAX(T67,V67),T67+V67)</f>
        <v>79.84</v>
      </c>
      <c r="Y67" s="34">
        <v>42.72</v>
      </c>
      <c r="Z67" s="40">
        <v>8.5</v>
      </c>
      <c r="AA67" s="33"/>
      <c r="AB67" s="40"/>
      <c r="AC67" s="34"/>
      <c r="AD67" s="40"/>
      <c r="AE67" s="4">
        <f>IF(H67="Senior",MAX(AA67,AC67),AA67+AC67)</f>
        <v>0</v>
      </c>
      <c r="AF67" s="34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6" t="s">
        <v>236</v>
      </c>
      <c r="D68" s="36" t="str">
        <f>IF(E68="","",VLOOKUP(E68,'Coaching Points'!A:B,2,0))</f>
        <v>AB</v>
      </c>
      <c r="E68" s="36" t="s">
        <v>58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121.68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>P</v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78.34</v>
      </c>
      <c r="S68" s="4">
        <f>IF(G68="17-21",LARGE(CHOOSE({1,2,3,4,5,6},T68,V68,Y68,AA68,AC68,AF68),2),IF(R68=X68,MAX(Y68,AA68,AC68,AF68),IF(R68=AE68,MAX(AF68,T68,V68,Y68),0)))</f>
        <v>43.34</v>
      </c>
      <c r="T68" s="33">
        <v>35.020000000000003</v>
      </c>
      <c r="U68" s="40">
        <v>0</v>
      </c>
      <c r="V68" s="34">
        <v>43.32</v>
      </c>
      <c r="W68" s="40">
        <v>9.1</v>
      </c>
      <c r="X68" s="4">
        <f>IF(H68="Senior",MAX(T68,V68),T68+V68)</f>
        <v>78.34</v>
      </c>
      <c r="Y68" s="34">
        <v>43.34</v>
      </c>
      <c r="Z68" s="40">
        <v>9.1</v>
      </c>
      <c r="AA68" s="33"/>
      <c r="AB68" s="40"/>
      <c r="AC68" s="34"/>
      <c r="AD68" s="40"/>
      <c r="AE68" s="4">
        <f>IF(H68="Senior",MAX(AA68,AC68),AA68+AC68)</f>
        <v>0</v>
      </c>
      <c r="AF68" s="34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6" t="s">
        <v>241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>R69+S69+IF(OR(H69="Junior",H69="Senior"),0.0002,IF(OR(H69="L7",H69="L6"),0.0001,0))+IF(G69="17-21",MAX(AA69,AC69,AF69),AE69)*0.0000001</f>
        <v>119.82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77.56</v>
      </c>
      <c r="S69" s="4">
        <f>IF(G69="17-21",LARGE(CHOOSE({1,2,3,4,5,6},T69,V69,Y69,AA69,AC69,AF69),2),IF(R69=X69,MAX(Y69,AA69,AC69,AF69),IF(R69=AE69,MAX(AF69,T69,V69,Y69),0)))</f>
        <v>42.26</v>
      </c>
      <c r="T69" s="33">
        <v>35.58</v>
      </c>
      <c r="U69" s="40">
        <v>0</v>
      </c>
      <c r="V69" s="34">
        <v>41.98</v>
      </c>
      <c r="W69" s="40">
        <v>8.4</v>
      </c>
      <c r="X69" s="4">
        <f>IF(H69="Senior",MAX(T69,V69),T69+V69)</f>
        <v>77.56</v>
      </c>
      <c r="Y69" s="34">
        <v>42.26</v>
      </c>
      <c r="Z69" s="40">
        <v>7.1</v>
      </c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6" t="s">
        <v>305</v>
      </c>
      <c r="D70" s="36" t="str">
        <f>IF(E70="","",VLOOKUP(E70,'Coaching Points'!A:B,2,0))</f>
        <v>AB</v>
      </c>
      <c r="E70" s="36" t="s">
        <v>29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>R70+S70+IF(OR(H70="Junior",H70="Senior"),0.0002,IF(OR(H70="L7",H70="L6"),0.0001,0))+IF(G70="17-21",MAX(AA70,AC70,AF70),AE70)*0.0000001</f>
        <v>119.8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74.22</v>
      </c>
      <c r="S70" s="4">
        <f>IF(G70="17-21",LARGE(CHOOSE({1,2,3,4,5,6},T70,V70,Y70,AA70,AC70,AF70),2),IF(R70=X70,MAX(Y70,AA70,AC70,AF70),IF(R70=AE70,MAX(AF70,T70,V70,Y70),0)))</f>
        <v>45.58</v>
      </c>
      <c r="T70" s="33">
        <v>30.55</v>
      </c>
      <c r="U70" s="40">
        <v>0</v>
      </c>
      <c r="V70" s="34">
        <v>43.67</v>
      </c>
      <c r="W70" s="40">
        <v>8.1</v>
      </c>
      <c r="X70" s="4">
        <f>IF(H70="Senior",MAX(T70,V70),T70+V70)</f>
        <v>74.22</v>
      </c>
      <c r="Y70" s="34">
        <v>45.58</v>
      </c>
      <c r="Z70" s="40">
        <v>8.1</v>
      </c>
      <c r="AA70" s="33"/>
      <c r="AB70" s="40"/>
      <c r="AC70" s="34"/>
      <c r="AD70" s="40"/>
      <c r="AE70" s="4">
        <f>IF(H70="Senior",MAX(AA70,AC70),AA70+AC70)</f>
        <v>0</v>
      </c>
      <c r="AF70" s="34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6" t="s">
        <v>240</v>
      </c>
      <c r="D71" s="36" t="str">
        <f>IF(E71="","",VLOOKUP(E71,'Coaching Points'!A:B,2,0))</f>
        <v>BC</v>
      </c>
      <c r="E71" s="36" t="s">
        <v>291</v>
      </c>
      <c r="F71" s="35">
        <v>2007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>R71+S71+IF(OR(H71="Junior",H71="Senior"),0.0002,IF(OR(H71="L7",H71="L6"),0.0001,0))+IF(G71="17-21",MAX(AA71,AC71,AF71),AE71)*0.0000001</f>
        <v>85.02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76.17</v>
      </c>
      <c r="S71" s="4">
        <f>IF(G71="17-21",LARGE(CHOOSE({1,2,3,4,5,6},T71,V71,Y71,AA71,AC71,AF71),2),IF(R71=X71,MAX(Y71,AA71,AC71,AF71),IF(R71=AE71,MAX(AF71,T71,V71,Y71),0)))</f>
        <v>8.85</v>
      </c>
      <c r="T71" s="33">
        <v>38.17</v>
      </c>
      <c r="U71" s="40">
        <v>0</v>
      </c>
      <c r="V71" s="34">
        <v>38</v>
      </c>
      <c r="W71" s="40">
        <v>7</v>
      </c>
      <c r="X71" s="4">
        <f>IF(H71="Senior",MAX(T71,V71),T71+V71)</f>
        <v>76.17</v>
      </c>
      <c r="Y71" s="34">
        <v>8.85</v>
      </c>
      <c r="Z71" s="40">
        <v>1.8</v>
      </c>
      <c r="AA71" s="33"/>
      <c r="AB71" s="40"/>
      <c r="AC71" s="34"/>
      <c r="AD71" s="40"/>
      <c r="AE71" s="4">
        <f>IF(H71="Senior",MAX(AA71,AC71),AA71+AC71)</f>
        <v>0</v>
      </c>
      <c r="AF71" s="34"/>
      <c r="AG71" s="37"/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6" t="s">
        <v>309</v>
      </c>
      <c r="D72" s="36" t="str">
        <f>IF(E72="","",VLOOKUP(E72,'Coaching Points'!A:B,2,0))</f>
        <v>QC</v>
      </c>
      <c r="E72" s="36" t="s">
        <v>84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>R72+S72+IF(OR(H72="Junior",H72="Senior"),0.0002,IF(OR(H72="L7",H72="L6"),0.0001,0))+IF(G72="17-21",MAX(AA72,AC72,AF72),AE72)*0.0000001</f>
        <v>72.47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72.47</v>
      </c>
      <c r="S72" s="4">
        <f>IF(G72="17-21",LARGE(CHOOSE({1,2,3,4,5,6},T72,V72,Y72,AA72,AC72,AF72),2),IF(R72=X72,MAX(Y72,AA72,AC72,AF72),IF(R72=AE72,MAX(AF72,T72,V72,Y72),0)))</f>
        <v>0</v>
      </c>
      <c r="T72" s="33">
        <v>30.89</v>
      </c>
      <c r="U72" s="40">
        <v>0</v>
      </c>
      <c r="V72" s="34">
        <v>41.58</v>
      </c>
      <c r="W72" s="40">
        <v>7</v>
      </c>
      <c r="X72" s="4">
        <f>IF(H72="Senior",MAX(T72,V72),T72+V72)</f>
        <v>72.47</v>
      </c>
      <c r="Y72" s="34"/>
      <c r="Z72" s="40"/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6" t="s">
        <v>245</v>
      </c>
      <c r="D73" s="36" t="str">
        <f>IF(E73="","",VLOOKUP(E73,'Coaching Points'!A:B,2,0))</f>
        <v>NS</v>
      </c>
      <c r="E73" s="36" t="s">
        <v>134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R73+S73+IF(OR(H73="Junior",H73="Senior"),0.0002,IF(OR(H73="L7",H73="L6"),0.0001,0))+IF(G73="17-21",MAX(AA73,AC73,AF73),AE73)*0.0000001</f>
        <v>53.22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53.22</v>
      </c>
      <c r="S73" s="4">
        <f>IF(G73="17-21",LARGE(CHOOSE({1,2,3,4,5,6},T73,V73,Y73,AA73,AC73,AF73),2),IF(R73=X73,MAX(Y73,AA73,AC73,AF73),IF(R73=AE73,MAX(AF73,T73,V73,Y73),0)))</f>
        <v>0</v>
      </c>
      <c r="T73" s="33">
        <v>36.4</v>
      </c>
      <c r="U73" s="40">
        <v>0</v>
      </c>
      <c r="V73" s="34">
        <v>16.82</v>
      </c>
      <c r="W73" s="40">
        <v>2.6</v>
      </c>
      <c r="X73" s="4">
        <f>IF(H73="Senior",MAX(T73,V73),T73+V73)</f>
        <v>53.22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6" t="s">
        <v>117</v>
      </c>
      <c r="D74" s="36" t="str">
        <f>IF(E74="","",VLOOKUP(E74,'Coaching Points'!A:B,2,0))</f>
        <v>AB</v>
      </c>
      <c r="E74" s="36" t="s">
        <v>64</v>
      </c>
      <c r="F74" s="35">
        <v>2008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67</v>
      </c>
      <c r="I74" s="43"/>
      <c r="J74" s="4">
        <f>R74+S74+IF(OR(H74="Junior",H74="Senior"),0.0002,IF(OR(H74="L7",H74="L6"),0.0001,0))+IF(G74="17-21",MAX(AA74,AC74,AF74),AE74)*0.0000001</f>
        <v>47.530100000000004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47.53</v>
      </c>
      <c r="S74" s="4">
        <f>IF(G74="17-21",LARGE(CHOOSE({1,2,3,4,5,6},T74,V74,Y74,AA74,AC74,AF74),2),IF(R74=X74,MAX(Y74,AA74,AC74,AF74),IF(R74=AE74,MAX(AF74,T74,V74,Y74),0)))</f>
        <v>0</v>
      </c>
      <c r="T74" s="33">
        <v>38.69</v>
      </c>
      <c r="U74" s="40">
        <v>0</v>
      </c>
      <c r="V74" s="34">
        <v>8.84</v>
      </c>
      <c r="W74" s="40">
        <v>1.9</v>
      </c>
      <c r="X74" s="4">
        <f>IF(H74="Senior",MAX(T74,V74),T74+V74)</f>
        <v>47.53</v>
      </c>
      <c r="Y74" s="34" t="s">
        <v>313</v>
      </c>
      <c r="Z74" s="40" t="s">
        <v>313</v>
      </c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6" t="s">
        <v>308</v>
      </c>
      <c r="D75" s="36" t="str">
        <f>IF(E75="","",VLOOKUP(E75,'Coaching Points'!A:B,2,0))</f>
        <v>ON</v>
      </c>
      <c r="E75" s="36" t="s">
        <v>40</v>
      </c>
      <c r="F75" s="35">
        <v>2008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>R75+S75+IF(OR(H75="Junior",H75="Senior"),0.0002,IF(OR(H75="L7",H75="L6"),0.0001,0))+IF(G75="17-21",MAX(AA75,AC75,AF75),AE75)*0.0000001</f>
        <v>41.309999999999995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41.309999999999995</v>
      </c>
      <c r="S75" s="4">
        <f>IF(G75="17-21",LARGE(CHOOSE({1,2,3,4,5,6},T75,V75,Y75,AA75,AC75,AF75),2),IF(R75=X75,MAX(Y75,AA75,AC75,AF75),IF(R75=AE75,MAX(AF75,T75,V75,Y75),0)))</f>
        <v>0</v>
      </c>
      <c r="T75" s="33">
        <v>36.19</v>
      </c>
      <c r="U75" s="40">
        <v>0</v>
      </c>
      <c r="V75" s="34">
        <v>5.12</v>
      </c>
      <c r="W75" s="40">
        <v>1.3</v>
      </c>
      <c r="X75" s="4">
        <f>IF(H75="Senior",MAX(T75,V75),T75+V75)</f>
        <v>41.309999999999995</v>
      </c>
      <c r="Y75" s="34"/>
      <c r="Z75" s="40"/>
      <c r="AA75" s="33"/>
      <c r="AB75" s="40"/>
      <c r="AC75" s="34"/>
      <c r="AD75" s="40"/>
      <c r="AE75" s="4">
        <f>IF(H75="Senior",MAX(AA75,AC75),AA75+AC75)</f>
        <v>0</v>
      </c>
      <c r="AF75" s="34"/>
      <c r="AG75" s="37"/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6" t="s">
        <v>310</v>
      </c>
      <c r="D76" s="36" t="str">
        <f>IF(E76="","",VLOOKUP(E76,'Coaching Points'!A:B,2,0))</f>
        <v>AB</v>
      </c>
      <c r="E76" s="36" t="s">
        <v>29</v>
      </c>
      <c r="F76" s="35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126.45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81.39</v>
      </c>
      <c r="S76" s="4">
        <f>IF(G76="17-21",LARGE(CHOOSE({1,2,3,4,5,6},T76,V76,Y76,AA76,AC76,AF76),2),IF(R76=X76,MAX(Y76,AA76,AC76,AF76),IF(R76=AE76,MAX(AF76,T76,V76,Y76),0)))</f>
        <v>45.06</v>
      </c>
      <c r="T76" s="33">
        <v>37.880000000000003</v>
      </c>
      <c r="U76" s="40">
        <v>0</v>
      </c>
      <c r="V76" s="34">
        <v>43.51</v>
      </c>
      <c r="W76" s="40">
        <v>7.6</v>
      </c>
      <c r="X76" s="4">
        <f>IF(H76="Senior",MAX(T76,V76),T76+V76)</f>
        <v>81.39</v>
      </c>
      <c r="Y76" s="34">
        <v>45.06</v>
      </c>
      <c r="Z76" s="40">
        <v>7.6</v>
      </c>
      <c r="AA76" s="33"/>
      <c r="AB76" s="40"/>
      <c r="AC76" s="34"/>
      <c r="AD76" s="40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6" t="s">
        <v>311</v>
      </c>
      <c r="D77" s="36" t="str">
        <f>IF(E77="","",VLOOKUP(E77,'Coaching Points'!A:B,2,0))</f>
        <v>ON</v>
      </c>
      <c r="E77" s="36" t="s">
        <v>40</v>
      </c>
      <c r="F77" s="35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121.18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78.16</v>
      </c>
      <c r="S77" s="4">
        <f>IF(G77="17-21",LARGE(CHOOSE({1,2,3,4,5,6},T77,V77,Y77,AA77,AC77,AF77),2),IF(R77=X77,MAX(Y77,AA77,AC77,AF77),IF(R77=AE77,MAX(AF77,T77,V77,Y77),0)))</f>
        <v>43.02</v>
      </c>
      <c r="T77" s="33">
        <v>35.479999999999997</v>
      </c>
      <c r="U77" s="40">
        <v>0</v>
      </c>
      <c r="V77" s="34">
        <v>42.68</v>
      </c>
      <c r="W77" s="40">
        <v>8.1</v>
      </c>
      <c r="X77" s="4">
        <f>IF(H77="Senior",MAX(T77,V77),T77+V77)</f>
        <v>78.16</v>
      </c>
      <c r="Y77" s="34">
        <v>43.02</v>
      </c>
      <c r="Z77" s="40">
        <v>8.1</v>
      </c>
      <c r="AA77" s="33"/>
      <c r="AB77" s="40"/>
      <c r="AC77" s="34"/>
      <c r="AD77" s="40"/>
      <c r="AE77" s="4">
        <f>IF(H77="Senior",MAX(AA77,AC77),AA77+AC77)</f>
        <v>0</v>
      </c>
      <c r="AF77" s="34"/>
      <c r="AG77" s="37"/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6" t="s">
        <v>237</v>
      </c>
      <c r="D78" s="36" t="str">
        <f>IF(E78="","",VLOOKUP(E78,'Coaching Points'!A:B,2,0))</f>
        <v>BC</v>
      </c>
      <c r="E78" s="36" t="s">
        <v>41</v>
      </c>
      <c r="F78" s="35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66</v>
      </c>
      <c r="I78" s="43"/>
      <c r="J78" s="4">
        <f>R78+S78+IF(OR(H78="Junior",H78="Senior"),0.0002,IF(OR(H78="L7",H78="L6"),0.0001,0))+IF(G78="17-21",MAX(AA78,AC78,AF78),AE78)*0.0000001</f>
        <v>119.09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74.960000000000008</v>
      </c>
      <c r="S78" s="4">
        <f>IF(G78="17-21",LARGE(CHOOSE({1,2,3,4,5,6},T78,V78,Y78,AA78,AC78,AF78),2),IF(R78=X78,MAX(Y78,AA78,AC78,AF78),IF(R78=AE78,MAX(AF78,T78,V78,Y78),0)))</f>
        <v>44.13</v>
      </c>
      <c r="T78" s="33">
        <v>30.42</v>
      </c>
      <c r="U78" s="40">
        <v>0</v>
      </c>
      <c r="V78" s="34">
        <v>44.54</v>
      </c>
      <c r="W78" s="40">
        <v>9.1</v>
      </c>
      <c r="X78" s="4">
        <f>IF(H78="Senior",MAX(T78,V78),T78+V78)</f>
        <v>74.960000000000008</v>
      </c>
      <c r="Y78" s="34">
        <v>44.13</v>
      </c>
      <c r="Z78" s="40">
        <v>9.1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6" t="s">
        <v>312</v>
      </c>
      <c r="D79" s="36" t="str">
        <f>IF(E79="","",VLOOKUP(E79,'Coaching Points'!A:B,2,0))</f>
        <v>ON</v>
      </c>
      <c r="E79" s="36" t="s">
        <v>40</v>
      </c>
      <c r="F79" s="35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9" t="s">
        <v>66</v>
      </c>
      <c r="I79" s="43"/>
      <c r="J79" s="4">
        <f>R79+S79+IF(OR(H79="Junior",H79="Senior"),0.0002,IF(OR(H79="L7",H79="L6"),0.0001,0))+IF(G79="17-21",MAX(AA79,AC79,AF79),AE79)*0.0000001</f>
        <v>98.199999999999989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57.379999999999995</v>
      </c>
      <c r="S79" s="4">
        <f>IF(G79="17-21",LARGE(CHOOSE({1,2,3,4,5,6},T79,V79,Y79,AA79,AC79,AF79),2),IF(R79=X79,MAX(Y79,AA79,AC79,AF79),IF(R79=AE79,MAX(AF79,T79,V79,Y79),0)))</f>
        <v>40.82</v>
      </c>
      <c r="T79" s="33">
        <v>11.62</v>
      </c>
      <c r="U79" s="40">
        <v>0</v>
      </c>
      <c r="V79" s="34">
        <v>45.76</v>
      </c>
      <c r="W79" s="40">
        <v>8.1</v>
      </c>
      <c r="X79" s="4">
        <f>IF(H79="Senior",MAX(T79,V79),T79+V79)</f>
        <v>57.379999999999995</v>
      </c>
      <c r="Y79" s="34">
        <v>40.82</v>
      </c>
      <c r="Z79" s="40">
        <v>7.4</v>
      </c>
      <c r="AA79" s="33"/>
      <c r="AB79" s="40"/>
      <c r="AC79" s="34"/>
      <c r="AD79" s="40"/>
      <c r="AE79" s="4">
        <f>IF(H79="Senior",MAX(AA79,AC79),AA79+AC79)</f>
        <v>0</v>
      </c>
      <c r="AF79" s="34"/>
      <c r="AG79" s="37"/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6" t="s">
        <v>239</v>
      </c>
      <c r="D80" s="36" t="str">
        <f>IF(E80="","",VLOOKUP(E80,'Coaching Points'!A:B,2,0))</f>
        <v>QC</v>
      </c>
      <c r="E80" s="36" t="s">
        <v>96</v>
      </c>
      <c r="F80" s="35">
        <v>2009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9" t="s">
        <v>67</v>
      </c>
      <c r="I80" s="43"/>
      <c r="J80" s="4">
        <f>R80+S80+IF(OR(H80="Junior",H80="Senior"),0.0002,IF(OR(H80="L7",H80="L6"),0.0001,0))+IF(G80="17-21",MAX(AA80,AC80,AF80),AE80)*0.0000001</f>
        <v>96.980100000000007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86.92</v>
      </c>
      <c r="S80" s="4">
        <f>IF(G80="17-21",LARGE(CHOOSE({1,2,3,4,5,6},T80,V80,Y80,AA80,AC80,AF80),2),IF(R80=X80,MAX(Y80,AA80,AC80,AF80),IF(R80=AE80,MAX(AF80,T80,V80,Y80),0)))</f>
        <v>10.06</v>
      </c>
      <c r="T80" s="33">
        <v>40.090000000000003</v>
      </c>
      <c r="U80" s="40">
        <v>0</v>
      </c>
      <c r="V80" s="34">
        <v>46.83</v>
      </c>
      <c r="W80" s="40">
        <v>9.6</v>
      </c>
      <c r="X80" s="4">
        <f>IF(H80="Senior",MAX(T80,V80),T80+V80)</f>
        <v>86.92</v>
      </c>
      <c r="Y80" s="34">
        <v>10.06</v>
      </c>
      <c r="Z80" s="40">
        <v>2.2999999999999998</v>
      </c>
      <c r="AA80" s="33"/>
      <c r="AB80" s="40"/>
      <c r="AC80" s="34"/>
      <c r="AD80" s="40"/>
      <c r="AE80" s="4">
        <f>IF(H80="Senior",MAX(AA80,AC80),AA80+AC80)</f>
        <v>0</v>
      </c>
      <c r="AF80" s="34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6" t="s">
        <v>148</v>
      </c>
      <c r="D81" s="36" t="str">
        <f>IF(E81="","",VLOOKUP(E81,'Coaching Points'!A:B,2,0))</f>
        <v>BC</v>
      </c>
      <c r="E81" s="36" t="s">
        <v>41</v>
      </c>
      <c r="F81" s="35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9" t="s">
        <v>65</v>
      </c>
      <c r="I81" s="43"/>
      <c r="J81" s="4">
        <f>R81+S81+IF(OR(H81="Junior",H81="Senior"),0.0002,IF(OR(H81="L7",H81="L6"),0.0001,0))+IF(G81="17-21",MAX(AA81,AC81,AF81),AE81)*0.0000001</f>
        <v>83.810200000000009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83.81</v>
      </c>
      <c r="S81" s="4">
        <f>IF(G81="17-21",LARGE(CHOOSE({1,2,3,4,5,6},T81,V81,Y81,AA81,AC81,AF81),2),IF(R81=X81,MAX(Y81,AA81,AC81,AF81),IF(R81=AE81,MAX(AF81,T81,V81,Y81),0)))</f>
        <v>0</v>
      </c>
      <c r="T81" s="33">
        <v>39.47</v>
      </c>
      <c r="U81" s="40">
        <v>0</v>
      </c>
      <c r="V81" s="34">
        <v>44.34</v>
      </c>
      <c r="W81" s="40">
        <v>10</v>
      </c>
      <c r="X81" s="4">
        <f>IF(H81="Senior",MAX(T81,V81),T81+V81)</f>
        <v>83.81</v>
      </c>
      <c r="Y81" s="34"/>
      <c r="Z81" s="40"/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$82&lt;&gt;"")*(G$3:G$82=G82)*(J$3:J$82&gt;J82)*(I$3:I$82="P"))+1,IF(O82&lt;&gt;"",SUMPRODUCT((O$3:O$82&lt;&gt;"")*(P$3:P$82="")*(G$3:G$82=G82)*(J$3:J$82&gt;J82)*(I$3:I$82="P"))+SUMPRODUCT((P$3:P$82&lt;&gt;"")*(G$3:G$82=G82)*(I$3:I$82="P"))+1,IF(N82&lt;&gt;"",SUMPRODUCT((N$3:N$82&lt;&gt;"")*(G$3:G$82=G82)*(J$3:J$82&gt;J82)*(I$3:I$82="P"))+1,IF(M82="P",SUMPRODUCT((O$3:O$82&lt;&gt;"")*(P$3:P$82="")*(G$3:G$82=G82)*(I$3:I$82="P"))+SUMPRODUCT((P$3:P$82&lt;&gt;"")*(G$3:G$82=G82)*(I$3:I$82="P"))+SUMPRODUCT((N$3:N$82&lt;&gt;"")*(G$3:G$82=G82)*(I$3:I$82="P"))+SUMPRODUCT((P$3:P$82="")*(O$3:O$82="")*(N$3:N$82="")*(M$3:M$82="P")*(G$3:G$82=G82)*(J$3:J$82&gt;J82)*(I$3:I$82="P"))+IF(H82="L5",SUMPRODUCT((P$3:P$82="")*(O$3:O$82="")*(N$3:N$82="")*(M$3:M$82="P")*(G$3:G$82=G82)*(J$3:J$82&lt;J82)*(H$3:H$82&lt;&gt;H82)*(I$3:I$82="P")),-1*SUMPRODUCT((P$3:P$82="")*(O$3:O$82="")*(N$3:N$82="")*(M$3:M$82="P")*(G$3:G$82=G82)*(J$3:J$82&gt;J82)*(H$3:H$82="L5")*(I$3:I$82="P")))+1,"")))))</f>
        <v/>
      </c>
      <c r="B82" s="1" t="str" cm="1">
        <f t="array" ref="B82">IF(P82&lt;&gt;"",SUMPRODUCT((P$3:P$82&lt;&gt;"")*(G$3:G$82=G82)*(J$3:J$82&gt;J82))+1,IF(O82&lt;&gt;"",SUMPRODUCT((O$3:O$82&lt;&gt;"")*(P$3:P$82="")*(G$3:G$82=G82)*(J$3:J$82&gt;J82))+SUMPRODUCT((P$3:P$82&lt;&gt;"")*(G$3:G$82=G82))+1,IF(N82&lt;&gt;"",SUMPRODUCT((N$3:N$82&lt;&gt;"")*(G$3:G$82=G82)*(J$3:J$82&gt;J82))+1,IF(M82="P",SUMPRODUCT((O$3:O$82&lt;&gt;"")*(P$3:P$82="")*(G$3:G$82=G82))+SUMPRODUCT((P$3:P$82&lt;&gt;"")*(G$3:G$82=G82))+SUMPRODUCT((N$3:N$82&lt;&gt;"")*(G$3:G$82=G82))+SUMPRODUCT((P$3:P$82="")*(O$3:O$82="")*(N$3:N$82="")*(M$3:M$82="P")*(G$3:G$82=G82)*(J$3:J$82&gt;J82))+IF(H82="L5",SUMPRODUCT((P$3:P$82="")*(O$3:O$82="")*(N$3:N$82="")*(M$3:M$82="P")*(G$3:G$82=G82)*(J$3:J$82&lt;J82)*(H$3:H$82&lt;&gt;H82)),-1*SUMPRODUCT((P$3:P$82="")*(O$3:O$82="")*(N$3:N$82="")*(M$3:M$82="P")*(G$3:G$82=G82)*(J$3:J$82&gt;J82)*(H$3:H$82="L5")))+1,""))))</f>
        <v/>
      </c>
      <c r="C82" s="36" t="s">
        <v>118</v>
      </c>
      <c r="D82" s="36" t="str">
        <f>IF(E82="","",VLOOKUP(E82,'Coaching Points'!A:B,2,0))</f>
        <v>BC</v>
      </c>
      <c r="E82" s="36" t="s">
        <v>41</v>
      </c>
      <c r="F82" s="35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67</v>
      </c>
      <c r="I82" s="43"/>
      <c r="J82" s="4">
        <f>R82+S82+IF(OR(H82="Junior",H82="Senior"),0.0002,IF(OR(H82="L7",H82="L6"),0.0001,0))+IF(G82="17-21",MAX(AA82,AC82,AF82),AE82)*0.0000001</f>
        <v>45.750100000000003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45.75</v>
      </c>
      <c r="S82" s="4">
        <f>IF(G82="17-21",LARGE(CHOOSE({1,2,3,4,5,6},T82,V82,Y82,AA82,AC82,AF82),2),IF(R82=X82,MAX(Y82,AA82,AC82,AF82),IF(R82=AE82,MAX(AF82,T82,V82,Y82),0)))</f>
        <v>0</v>
      </c>
      <c r="T82" s="33">
        <v>40.17</v>
      </c>
      <c r="U82" s="40">
        <v>0</v>
      </c>
      <c r="V82" s="34">
        <v>5.58</v>
      </c>
      <c r="W82" s="40">
        <v>1.5</v>
      </c>
      <c r="X82" s="4">
        <f>IF(H82="Senior",MAX(T82,V82),T82+V82)</f>
        <v>45.75</v>
      </c>
      <c r="Y82" s="34" t="s">
        <v>313</v>
      </c>
      <c r="Z82" s="40" t="s">
        <v>313</v>
      </c>
      <c r="AA82" s="33"/>
      <c r="AB82" s="40"/>
      <c r="AC82" s="34"/>
      <c r="AD82" s="40"/>
      <c r="AE82" s="4">
        <f>IF(H82="Senior",MAX(AA82,AC82),AA82+AC82)</f>
        <v>0</v>
      </c>
      <c r="AF82" s="34"/>
      <c r="AG82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82">
      <sortCondition descending="1" ref="G1:G8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3">
      <formula>IF($G1="17-21",1,0)</formula>
    </cfRule>
    <cfRule type="expression" dxfId="46" priority="14">
      <formula>IF($G1="15-16",1,0)</formula>
    </cfRule>
    <cfRule type="expression" dxfId="45" priority="15">
      <formula>IF($G1="13-14",1,0)</formula>
    </cfRule>
    <cfRule type="expression" dxfId="44" priority="16">
      <formula>IF($G1="11-12",1,0)</formula>
    </cfRule>
  </conditionalFormatting>
  <conditionalFormatting sqref="R1:S1 S2">
    <cfRule type="expression" dxfId="43" priority="1">
      <formula>IF($G1="17-21",1,0)</formula>
    </cfRule>
    <cfRule type="expression" dxfId="42" priority="2">
      <formula>IF($G1="15-16",1,0)</formula>
    </cfRule>
    <cfRule type="expression" dxfId="41" priority="3">
      <formula>IF($G1="13-14",1,0)</formula>
    </cfRule>
    <cfRule type="expression" dxfId="4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11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282</v>
      </c>
      <c r="F1" s="69" t="s">
        <v>283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207</v>
      </c>
      <c r="S1" s="73" t="s">
        <v>375</v>
      </c>
      <c r="T1" s="67" t="s">
        <v>376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70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$11&lt;&gt;"")*(H$3:H$11=H3)*(K$3:K$11&gt;K3)*(J$3:J$11="P"))+1,IF(P3&lt;&gt;"",SUMPRODUCT((P$3:P$11&lt;&gt;"")*(Q$3:Q$11="")*(H$3:H$11=H3)*(K$3:K$11&gt;K3)*(J$3:J$11="P"))+SUMPRODUCT((Q$3:Q$11&lt;&gt;"")*(H$3:H$11=H3)*(J$3:J$11="P"))+1,IF(O3&lt;&gt;"",SUMPRODUCT((O$3:O$11&lt;&gt;"")*(H$3:H$11=H3)*(K$3:K$11&gt;K3)*(J$3:J$11="P"))+1,IF(N3="P",SUMPRODUCT((P$3:P$11&lt;&gt;"")*(Q$3:Q$11="")*(H$3:H$11=H3)*(J$3:J$11="P"))+SUMPRODUCT((Q$3:Q$11&lt;&gt;"")*(H$3:H$11=H3)*(J$3:J$11="P"))+SUMPRODUCT((O$3:O$11&lt;&gt;"")*(H$3:H$11=H3)*(J$3:J$11="P"))+SUMPRODUCT((Q$3:Q$11="")*(P$3:P$11="")*(O$3:O$11="")*(N$3:N$11="P")*(H$3:H$11=H3)*(K$3:K$11&gt;K3)*(J$3:J$11="P"))+IF(I3="L5",SUMPRODUCT((Q$3:Q$11="")*(P$3:P$11="")*(O$3:O$11="")*(N$3:N$11="P")*(H$3:H$11=H3)*(K$3:K$11&lt;K3)*(I$3:I$11&lt;&gt;I3)*(J$3:J$11="P")),-1*SUMPRODUCT((Q$3:Q$11="")*(P$3:P$11="")*(O$3:O$11="")*(N$3:N$11="P")*(H$3:H$11=H3)*(K$3:K$11&gt;K3)*(I$3:I$11="L5")*(J$3:J$11="P")))+1,"")))))</f>
        <v/>
      </c>
      <c r="B3" s="1" cm="1">
        <f t="array" ref="B3">IF(Q3&lt;&gt;"",SUMPRODUCT((Q$3:Q$11&lt;&gt;"")*(H$3:H$11=H3)*(K$3:K$11&gt;K3))+1,IF(P3&lt;&gt;"",SUMPRODUCT((P$3:P$11&lt;&gt;"")*(Q$3:Q$11="")*(H$3:H$11=H3)*(K$3:K$11&gt;K3))+SUMPRODUCT((Q$3:Q$11&lt;&gt;"")*(H$3:H$11=H3))+1,IF(O3&lt;&gt;"",SUMPRODUCT((O$3:O$11&lt;&gt;"")*(H$3:H$11=H3)*(K$3:K$11&gt;K3))+1,IF(N3="P",SUMPRODUCT((P$3:P$11&lt;&gt;"")*(Q$3:Q$11="")*(H$3:H$11=H3))+SUMPRODUCT((Q$3:Q$11&lt;&gt;"")*(H$3:H$11=H3))+SUMPRODUCT((O$3:O$11&lt;&gt;"")*(H$3:H$11=H3))+SUMPRODUCT((Q$3:Q$11="")*(P$3:P$11="")*(O$3:O$11="")*(N$3:N$11="P")*(H$3:H$11=H3)*(K$3:K$11&gt;K3))+IF(I3="L5",SUMPRODUCT((Q$3:Q$11="")*(P$3:P$11="")*(O$3:O$11="")*(N$3:N$11="P")*(H$3:H$11=H3)*(K$3:K$11&lt;K3)*(I$3:I$11&lt;&gt;I3)),-1*SUMPRODUCT((Q$3:Q$11="")*(P$3:P$11="")*(O$3:O$11="")*(N$3:N$11="P")*(H$3:H$11=H3)*(K$3:K$11&gt;K3)*(I$3:I$11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>S3+T3+IF(OR(I3="Junior",I3="Senior"),0.0002,IF(OR(I3="L7",I3="L6"),0.0001,0))+MAX(AB3,AD3,AG3)*0.0000001</f>
        <v>93.480199999999996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47.26</v>
      </c>
      <c r="T3" s="4">
        <f>LARGE(CHOOSE({1,2,3,4,5,6},U3,W3,Z3,AB3,AD3,AG3),2)</f>
        <v>46.22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>IF(I3="Senior",MAX(U3,W3),U3+W3)</f>
        <v>47.26</v>
      </c>
      <c r="Z3" s="34">
        <v>46.22</v>
      </c>
      <c r="AA3" s="40">
        <v>11.2</v>
      </c>
      <c r="AB3" s="33"/>
      <c r="AC3" s="40"/>
      <c r="AD3" s="34"/>
      <c r="AE3" s="40"/>
      <c r="AF3" s="4">
        <f>IF(I3="Senior",MAX(AB3,AD3),AB3+AD3)</f>
        <v>0</v>
      </c>
      <c r="AG3" s="34"/>
      <c r="AH3" s="37"/>
    </row>
    <row r="4" spans="1:34" x14ac:dyDescent="0.2">
      <c r="A4" s="1" t="str" cm="1">
        <f t="array" ref="A4">IF(J4="","",IF(Q4&lt;&gt;"",SUMPRODUCT((Q$3:Q$11&lt;&gt;"")*(H$3:H$11=H4)*(K$3:K$11&gt;K4)*(J$3:J$11="P"))+1,IF(P4&lt;&gt;"",SUMPRODUCT((P$3:P$11&lt;&gt;"")*(Q$3:Q$11="")*(H$3:H$11=H4)*(K$3:K$11&gt;K4)*(J$3:J$11="P"))+SUMPRODUCT((Q$3:Q$11&lt;&gt;"")*(H$3:H$11=H4)*(J$3:J$11="P"))+1,IF(O4&lt;&gt;"",SUMPRODUCT((O$3:O$11&lt;&gt;"")*(H$3:H$11=H4)*(K$3:K$11&gt;K4)*(J$3:J$11="P"))+1,IF(N4="P",SUMPRODUCT((P$3:P$11&lt;&gt;"")*(Q$3:Q$11="")*(H$3:H$11=H4)*(J$3:J$11="P"))+SUMPRODUCT((Q$3:Q$11&lt;&gt;"")*(H$3:H$11=H4)*(J$3:J$11="P"))+SUMPRODUCT((O$3:O$11&lt;&gt;"")*(H$3:H$11=H4)*(J$3:J$11="P"))+SUMPRODUCT((Q$3:Q$11="")*(P$3:P$11="")*(O$3:O$11="")*(N$3:N$11="P")*(H$3:H$11=H4)*(K$3:K$11&gt;K4)*(J$3:J$11="P"))+IF(I4="L5",SUMPRODUCT((Q$3:Q$11="")*(P$3:P$11="")*(O$3:O$11="")*(N$3:N$11="P")*(H$3:H$11=H4)*(K$3:K$11&lt;K4)*(I$3:I$11&lt;&gt;I4)*(J$3:J$11="P")),-1*SUMPRODUCT((Q$3:Q$11="")*(P$3:P$11="")*(O$3:O$11="")*(N$3:N$11="P")*(H$3:H$11=H4)*(K$3:K$11&gt;K4)*(I$3:I$11="L5")*(J$3:J$11="P")))+1,"")))))</f>
        <v/>
      </c>
      <c r="B4" s="1" t="str" cm="1">
        <f t="array" ref="B4">IF(Q4&lt;&gt;"",SUMPRODUCT((Q$3:Q$11&lt;&gt;"")*(H$3:H$11=H4)*(K$3:K$11&gt;K4))+1,IF(P4&lt;&gt;"",SUMPRODUCT((P$3:P$11&lt;&gt;"")*(Q$3:Q$11="")*(H$3:H$11=H4)*(K$3:K$11&gt;K4))+SUMPRODUCT((Q$3:Q$11&lt;&gt;"")*(H$3:H$11=H4))+1,IF(O4&lt;&gt;"",SUMPRODUCT((O$3:O$11&lt;&gt;"")*(H$3:H$11=H4)*(K$3:K$11&gt;K4))+1,IF(N4="P",SUMPRODUCT((P$3:P$11&lt;&gt;"")*(Q$3:Q$11="")*(H$3:H$11=H4))+SUMPRODUCT((Q$3:Q$11&lt;&gt;"")*(H$3:H$11=H4))+SUMPRODUCT((O$3:O$11&lt;&gt;"")*(H$3:H$11=H4))+SUMPRODUCT((Q$3:Q$11="")*(P$3:P$11="")*(O$3:O$11="")*(N$3:N$11="P")*(H$3:H$11=H4)*(K$3:K$11&gt;K4))+IF(I4="L5",SUMPRODUCT((Q$3:Q$11="")*(P$3:P$11="")*(O$3:O$11="")*(N$3:N$11="P")*(H$3:H$11=H4)*(K$3:K$11&lt;K4)*(I$3:I$11&lt;&gt;I4)),-1*SUMPRODUCT((Q$3:Q$11="")*(P$3:P$11="")*(O$3:O$11="")*(N$3:N$11="P")*(H$3:H$11=H4)*(K$3:K$11&gt;K4)*(I$3:I$11="L5")))+1,""))))</f>
        <v/>
      </c>
      <c r="C4" s="36" t="s">
        <v>334</v>
      </c>
      <c r="D4" s="36" t="str">
        <f>IF(E4="","",VLOOKUP(E4,'Coaching Points'!A:B,2,0)&amp;"/"&amp;VLOOKUP(F4,'Coaching Points'!A:B,2,0))</f>
        <v>NS/NS</v>
      </c>
      <c r="E4" s="36" t="s">
        <v>134</v>
      </c>
      <c r="F4" s="36" t="s">
        <v>134</v>
      </c>
      <c r="G4" s="35">
        <v>2005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66</v>
      </c>
      <c r="J4" s="43"/>
      <c r="K4" s="4">
        <f>S4+T4+IF(OR(I4="Junior",I4="Senior"),0.0002,IF(OR(I4="L7",I4="L6"),0.0001,0))+MAX(AB4,AD4,AG4)*0.0000001</f>
        <v>84.759999999999991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42.9</v>
      </c>
      <c r="T4" s="4">
        <f>LARGE(CHOOSE({1,2,3,4,5,6},U4,W4,Z4,AB4,AD4,AG4),2)</f>
        <v>41.86</v>
      </c>
      <c r="U4" s="33">
        <v>41.86</v>
      </c>
      <c r="V4" s="40">
        <v>7.6</v>
      </c>
      <c r="W4" s="34"/>
      <c r="X4" s="40"/>
      <c r="Y4" s="4">
        <f>IF(I4="Senior",MAX(U4,W4),U4+W4)</f>
        <v>41.86</v>
      </c>
      <c r="Z4" s="34">
        <v>42.9</v>
      </c>
      <c r="AA4" s="40">
        <v>7.6</v>
      </c>
      <c r="AB4" s="33"/>
      <c r="AC4" s="40"/>
      <c r="AD4" s="34"/>
      <c r="AE4" s="40"/>
      <c r="AF4" s="4">
        <f>IF(I4="Senior",MAX(AB4,AD4),AB4+AD4)</f>
        <v>0</v>
      </c>
      <c r="AG4" s="34"/>
      <c r="AH4" s="37"/>
    </row>
    <row r="5" spans="1:34" x14ac:dyDescent="0.2">
      <c r="A5" s="1" t="str" cm="1">
        <f t="array" ref="A5">IF(J5="","",IF(Q5&lt;&gt;"",SUMPRODUCT((Q$3:Q$11&lt;&gt;"")*(H$3:H$11=H5)*(K$3:K$11&gt;K5)*(J$3:J$11="P"))+1,IF(P5&lt;&gt;"",SUMPRODUCT((P$3:P$11&lt;&gt;"")*(Q$3:Q$11="")*(H$3:H$11=H5)*(K$3:K$11&gt;K5)*(J$3:J$11="P"))+SUMPRODUCT((Q$3:Q$11&lt;&gt;"")*(H$3:H$11=H5)*(J$3:J$11="P"))+1,IF(O5&lt;&gt;"",SUMPRODUCT((O$3:O$11&lt;&gt;"")*(H$3:H$11=H5)*(K$3:K$11&gt;K5)*(J$3:J$11="P"))+1,IF(N5="P",SUMPRODUCT((P$3:P$11&lt;&gt;"")*(Q$3:Q$11="")*(H$3:H$11=H5)*(J$3:J$11="P"))+SUMPRODUCT((Q$3:Q$11&lt;&gt;"")*(H$3:H$11=H5)*(J$3:J$11="P"))+SUMPRODUCT((O$3:O$11&lt;&gt;"")*(H$3:H$11=H5)*(J$3:J$11="P"))+SUMPRODUCT((Q$3:Q$11="")*(P$3:P$11="")*(O$3:O$11="")*(N$3:N$11="P")*(H$3:H$11=H5)*(K$3:K$11&gt;K5)*(J$3:J$11="P"))+IF(I5="L5",SUMPRODUCT((Q$3:Q$11="")*(P$3:P$11="")*(O$3:O$11="")*(N$3:N$11="P")*(H$3:H$11=H5)*(K$3:K$11&lt;K5)*(I$3:I$11&lt;&gt;I5)*(J$3:J$11="P")),-1*SUMPRODUCT((Q$3:Q$11="")*(P$3:P$11="")*(O$3:O$11="")*(N$3:N$11="P")*(H$3:H$11=H5)*(K$3:K$11&gt;K5)*(I$3:I$11="L5")*(J$3:J$11="P")))+1,"")))))</f>
        <v/>
      </c>
      <c r="B5" s="1" t="str" cm="1">
        <f t="array" ref="B5">IF(Q5&lt;&gt;"",SUMPRODUCT((Q$3:Q$11&lt;&gt;"")*(H$3:H$11=H5)*(K$3:K$11&gt;K5))+1,IF(P5&lt;&gt;"",SUMPRODUCT((P$3:P$11&lt;&gt;"")*(Q$3:Q$11="")*(H$3:H$11=H5)*(K$3:K$11&gt;K5))+SUMPRODUCT((Q$3:Q$11&lt;&gt;"")*(H$3:H$11=H5))+1,IF(O5&lt;&gt;"",SUMPRODUCT((O$3:O$11&lt;&gt;"")*(H$3:H$11=H5)*(K$3:K$11&gt;K5))+1,IF(N5="P",SUMPRODUCT((P$3:P$11&lt;&gt;"")*(Q$3:Q$11="")*(H$3:H$11=H5))+SUMPRODUCT((Q$3:Q$11&lt;&gt;"")*(H$3:H$11=H5))+SUMPRODUCT((O$3:O$11&lt;&gt;"")*(H$3:H$11=H5))+SUMPRODUCT((Q$3:Q$11="")*(P$3:P$11="")*(O$3:O$11="")*(N$3:N$11="P")*(H$3:H$11=H5)*(K$3:K$11&gt;K5))+IF(I5="L5",SUMPRODUCT((Q$3:Q$11="")*(P$3:P$11="")*(O$3:O$11="")*(N$3:N$11="P")*(H$3:H$11=H5)*(K$3:K$11&lt;K5)*(I$3:I$11&lt;&gt;I5)),-1*SUMPRODUCT((Q$3:Q$11="")*(P$3:P$11="")*(O$3:O$11="")*(N$3:N$11="P")*(H$3:H$11=H5)*(K$3:K$11&gt;K5)*(I$3:I$11="L5")))+1,""))))</f>
        <v/>
      </c>
      <c r="C5" s="36" t="s">
        <v>338</v>
      </c>
      <c r="D5" s="36" t="str">
        <f>IF(E5="","",VLOOKUP(E5,'Coaching Points'!A:B,2,0)&amp;"/"&amp;VLOOKUP(F5,'Coaching Points'!A:B,2,0))</f>
        <v>ON/ON</v>
      </c>
      <c r="E5" s="36" t="s">
        <v>73</v>
      </c>
      <c r="F5" s="36" t="s">
        <v>286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75.8001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40.32</v>
      </c>
      <c r="T5" s="4">
        <f>LARGE(CHOOSE({1,2,3,4,5,6},U5,W5,Z5,AB5,AD5,AG5),2)</f>
        <v>35.479999999999997</v>
      </c>
      <c r="U5" s="33">
        <v>35.479999999999997</v>
      </c>
      <c r="V5" s="40">
        <v>7.8</v>
      </c>
      <c r="W5" s="34"/>
      <c r="X5" s="40"/>
      <c r="Y5" s="4">
        <f>IF(I5="Senior",MAX(U5,W5),U5+W5)</f>
        <v>35.479999999999997</v>
      </c>
      <c r="Z5" s="34">
        <v>40.32</v>
      </c>
      <c r="AA5" s="40">
        <v>7.8</v>
      </c>
      <c r="AB5" s="33"/>
      <c r="AC5" s="40"/>
      <c r="AD5" s="34"/>
      <c r="AE5" s="40"/>
      <c r="AF5" s="4">
        <f>IF(I5="Senior",MAX(AB5,AD5),AB5+AD5)</f>
        <v>0</v>
      </c>
      <c r="AG5" s="34"/>
      <c r="AH5" s="37"/>
    </row>
    <row r="6" spans="1:34" x14ac:dyDescent="0.2">
      <c r="A6" s="1" t="str" cm="1">
        <f t="array" ref="A6">IF(J6="","",IF(Q6&lt;&gt;"",SUMPRODUCT((Q$3:Q$11&lt;&gt;"")*(H$3:H$11=H6)*(K$3:K$11&gt;K6)*(J$3:J$11="P"))+1,IF(P6&lt;&gt;"",SUMPRODUCT((P$3:P$11&lt;&gt;"")*(Q$3:Q$11="")*(H$3:H$11=H6)*(K$3:K$11&gt;K6)*(J$3:J$11="P"))+SUMPRODUCT((Q$3:Q$11&lt;&gt;"")*(H$3:H$11=H6)*(J$3:J$11="P"))+1,IF(O6&lt;&gt;"",SUMPRODUCT((O$3:O$11&lt;&gt;"")*(H$3:H$11=H6)*(K$3:K$11&gt;K6)*(J$3:J$11="P"))+1,IF(N6="P",SUMPRODUCT((P$3:P$11&lt;&gt;"")*(Q$3:Q$11="")*(H$3:H$11=H6)*(J$3:J$11="P"))+SUMPRODUCT((Q$3:Q$11&lt;&gt;"")*(H$3:H$11=H6)*(J$3:J$11="P"))+SUMPRODUCT((O$3:O$11&lt;&gt;"")*(H$3:H$11=H6)*(J$3:J$11="P"))+SUMPRODUCT((Q$3:Q$11="")*(P$3:P$11="")*(O$3:O$11="")*(N$3:N$11="P")*(H$3:H$11=H6)*(K$3:K$11&gt;K6)*(J$3:J$11="P"))+IF(I6="L5",SUMPRODUCT((Q$3:Q$11="")*(P$3:P$11="")*(O$3:O$11="")*(N$3:N$11="P")*(H$3:H$11=H6)*(K$3:K$11&lt;K6)*(I$3:I$11&lt;&gt;I6)*(J$3:J$11="P")),-1*SUMPRODUCT((Q$3:Q$11="")*(P$3:P$11="")*(O$3:O$11="")*(N$3:N$11="P")*(H$3:H$11=H6)*(K$3:K$11&gt;K6)*(I$3:I$11="L5")*(J$3:J$11="P")))+1,"")))))</f>
        <v/>
      </c>
      <c r="B6" s="1" t="str" cm="1">
        <f t="array" ref="B6">IF(Q6&lt;&gt;"",SUMPRODUCT((Q$3:Q$11&lt;&gt;"")*(H$3:H$11=H6)*(K$3:K$11&gt;K6))+1,IF(P6&lt;&gt;"",SUMPRODUCT((P$3:P$11&lt;&gt;"")*(Q$3:Q$11="")*(H$3:H$11=H6)*(K$3:K$11&gt;K6))+SUMPRODUCT((Q$3:Q$11&lt;&gt;"")*(H$3:H$11=H6))+1,IF(O6&lt;&gt;"",SUMPRODUCT((O$3:O$11&lt;&gt;"")*(H$3:H$11=H6)*(K$3:K$11&gt;K6))+1,IF(N6="P",SUMPRODUCT((P$3:P$11&lt;&gt;"")*(Q$3:Q$11="")*(H$3:H$11=H6))+SUMPRODUCT((Q$3:Q$11&lt;&gt;"")*(H$3:H$11=H6))+SUMPRODUCT((O$3:O$11&lt;&gt;"")*(H$3:H$11=H6))+SUMPRODUCT((Q$3:Q$11="")*(P$3:P$11="")*(O$3:O$11="")*(N$3:N$11="P")*(H$3:H$11=H6)*(K$3:K$11&gt;K6))+IF(I6="L5",SUMPRODUCT((Q$3:Q$11="")*(P$3:P$11="")*(O$3:O$11="")*(N$3:N$11="P")*(H$3:H$11=H6)*(K$3:K$11&lt;K6)*(I$3:I$11&lt;&gt;I6)),-1*SUMPRODUCT((Q$3:Q$11="")*(P$3:P$11="")*(O$3:O$11="")*(N$3:N$11="P")*(H$3:H$11=H6)*(K$3:K$11&gt;K6)*(I$3:I$11="L5")))+1,""))))</f>
        <v/>
      </c>
      <c r="C6" s="36" t="s">
        <v>335</v>
      </c>
      <c r="D6" s="36" t="str">
        <f>IF(E6="","",VLOOKUP(E6,'Coaching Points'!A:B,2,0)&amp;"/"&amp;VLOOKUP(F6,'Coaching Points'!A:B,2,0))</f>
        <v>ON/ON</v>
      </c>
      <c r="E6" s="36" t="s">
        <v>47</v>
      </c>
      <c r="F6" s="36" t="s">
        <v>47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50.94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30.48</v>
      </c>
      <c r="T6" s="4">
        <f>LARGE(CHOOSE({1,2,3,4,5,6},U6,W6,Z6,AB6,AD6,AG6),2)</f>
        <v>20.46</v>
      </c>
      <c r="U6" s="33">
        <v>30.48</v>
      </c>
      <c r="V6" s="40">
        <v>6.7</v>
      </c>
      <c r="W6" s="34"/>
      <c r="X6" s="40"/>
      <c r="Y6" s="4">
        <f>IF(I6="Senior",MAX(U6,W6),U6+W6)</f>
        <v>30.48</v>
      </c>
      <c r="Z6" s="34">
        <v>20.46</v>
      </c>
      <c r="AA6" s="40">
        <v>3.4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$11&lt;&gt;"")*(H$3:H$11=H7)*(K$3:K$11&gt;K7)*(J$3:J$11="P"))+1,IF(P7&lt;&gt;"",SUMPRODUCT((P$3:P$11&lt;&gt;"")*(Q$3:Q$11="")*(H$3:H$11=H7)*(K$3:K$11&gt;K7)*(J$3:J$11="P"))+SUMPRODUCT((Q$3:Q$11&lt;&gt;"")*(H$3:H$11=H7)*(J$3:J$11="P"))+1,IF(O7&lt;&gt;"",SUMPRODUCT((O$3:O$11&lt;&gt;"")*(H$3:H$11=H7)*(K$3:K$11&gt;K7)*(J$3:J$11="P"))+1,IF(N7="P",SUMPRODUCT((P$3:P$11&lt;&gt;"")*(Q$3:Q$11="")*(H$3:H$11=H7)*(J$3:J$11="P"))+SUMPRODUCT((Q$3:Q$11&lt;&gt;"")*(H$3:H$11=H7)*(J$3:J$11="P"))+SUMPRODUCT((O$3:O$11&lt;&gt;"")*(H$3:H$11=H7)*(J$3:J$11="P"))+SUMPRODUCT((Q$3:Q$11="")*(P$3:P$11="")*(O$3:O$11="")*(N$3:N$11="P")*(H$3:H$11=H7)*(K$3:K$11&gt;K7)*(J$3:J$11="P"))+IF(I7="L5",SUMPRODUCT((Q$3:Q$11="")*(P$3:P$11="")*(O$3:O$11="")*(N$3:N$11="P")*(H$3:H$11=H7)*(K$3:K$11&lt;K7)*(I$3:I$11&lt;&gt;I7)*(J$3:J$11="P")),-1*SUMPRODUCT((Q$3:Q$11="")*(P$3:P$11="")*(O$3:O$11="")*(N$3:N$11="P")*(H$3:H$11=H7)*(K$3:K$11&gt;K7)*(I$3:I$11="L5")*(J$3:J$11="P")))+1,"")))))</f>
        <v/>
      </c>
      <c r="B7" s="1" t="str" cm="1">
        <f t="array" ref="B7">IF(Q7&lt;&gt;"",SUMPRODUCT((Q$3:Q$11&lt;&gt;"")*(H$3:H$11=H7)*(K$3:K$11&gt;K7))+1,IF(P7&lt;&gt;"",SUMPRODUCT((P$3:P$11&lt;&gt;"")*(Q$3:Q$11="")*(H$3:H$11=H7)*(K$3:K$11&gt;K7))+SUMPRODUCT((Q$3:Q$11&lt;&gt;"")*(H$3:H$11=H7))+1,IF(O7&lt;&gt;"",SUMPRODUCT((O$3:O$11&lt;&gt;"")*(H$3:H$11=H7)*(K$3:K$11&gt;K7))+1,IF(N7="P",SUMPRODUCT((P$3:P$11&lt;&gt;"")*(Q$3:Q$11="")*(H$3:H$11=H7))+SUMPRODUCT((Q$3:Q$11&lt;&gt;"")*(H$3:H$11=H7))+SUMPRODUCT((O$3:O$11&lt;&gt;"")*(H$3:H$11=H7))+SUMPRODUCT((Q$3:Q$11="")*(P$3:P$11="")*(O$3:O$11="")*(N$3:N$11="P")*(H$3:H$11=H7)*(K$3:K$11&gt;K7))+IF(I7="L5",SUMPRODUCT((Q$3:Q$11="")*(P$3:P$11="")*(O$3:O$11="")*(N$3:N$11="P")*(H$3:H$11=H7)*(K$3:K$11&lt;K7)*(I$3:I$11&lt;&gt;I7)),-1*SUMPRODUCT((Q$3:Q$11="")*(P$3:P$11="")*(O$3:O$11="")*(N$3:N$11="P")*(H$3:H$11=H7)*(K$3:K$11&gt;K7)*(I$3:I$11="L5")))+1,""))))</f>
        <v/>
      </c>
      <c r="C7" s="36" t="s">
        <v>254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2004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>S7+T7+IF(OR(I7="Junior",I7="Senior"),0.0002,IF(OR(I7="L7",I7="L6"),0.0001,0))+MAX(AB7,AD7,AG7)*0.0000001</f>
        <v>9.4500999999999991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9.4499999999999993</v>
      </c>
      <c r="T7" s="4">
        <f>LARGE(CHOOSE({1,2,3,4,5,6},U7,W7,Z7,AB7,AD7,AG7),2)</f>
        <v>0</v>
      </c>
      <c r="U7" s="33">
        <v>9.4499999999999993</v>
      </c>
      <c r="V7" s="40">
        <v>2.5</v>
      </c>
      <c r="W7" s="34"/>
      <c r="X7" s="40"/>
      <c r="Y7" s="4">
        <f>IF(I7="Senior",MAX(U7,W7),U7+W7)</f>
        <v>9.4499999999999993</v>
      </c>
      <c r="Z7" s="34"/>
      <c r="AA7" s="40"/>
      <c r="AB7" s="33"/>
      <c r="AC7" s="40"/>
      <c r="AD7" s="34"/>
      <c r="AE7" s="40"/>
      <c r="AF7" s="4">
        <f>IF(I7="Senior",MAX(AB7,AD7),AB7+AD7)</f>
        <v>0</v>
      </c>
      <c r="AG7" s="34"/>
      <c r="AH7" s="37"/>
    </row>
    <row r="8" spans="1:34" x14ac:dyDescent="0.2">
      <c r="A8" s="1" t="str" cm="1">
        <f t="array" ref="A8">IF(J8="","",IF(Q8&lt;&gt;"",SUMPRODUCT((Q$3:Q$11&lt;&gt;"")*(H$3:H$11=H8)*(K$3:K$11&gt;K8)*(J$3:J$11="P"))+1,IF(P8&lt;&gt;"",SUMPRODUCT((P$3:P$11&lt;&gt;"")*(Q$3:Q$11="")*(H$3:H$11=H8)*(K$3:K$11&gt;K8)*(J$3:J$11="P"))+SUMPRODUCT((Q$3:Q$11&lt;&gt;"")*(H$3:H$11=H8)*(J$3:J$11="P"))+1,IF(O8&lt;&gt;"",SUMPRODUCT((O$3:O$11&lt;&gt;"")*(H$3:H$11=H8)*(K$3:K$11&gt;K8)*(J$3:J$11="P"))+1,IF(N8="P",SUMPRODUCT((P$3:P$11&lt;&gt;"")*(Q$3:Q$11="")*(H$3:H$11=H8)*(J$3:J$11="P"))+SUMPRODUCT((Q$3:Q$11&lt;&gt;"")*(H$3:H$11=H8)*(J$3:J$11="P"))+SUMPRODUCT((O$3:O$11&lt;&gt;"")*(H$3:H$11=H8)*(J$3:J$11="P"))+SUMPRODUCT((Q$3:Q$11="")*(P$3:P$11="")*(O$3:O$11="")*(N$3:N$11="P")*(H$3:H$11=H8)*(K$3:K$11&gt;K8)*(J$3:J$11="P"))+IF(I8="L5",SUMPRODUCT((Q$3:Q$11="")*(P$3:P$11="")*(O$3:O$11="")*(N$3:N$11="P")*(H$3:H$11=H8)*(K$3:K$11&lt;K8)*(I$3:I$11&lt;&gt;I8)*(J$3:J$11="P")),-1*SUMPRODUCT((Q$3:Q$11="")*(P$3:P$11="")*(O$3:O$11="")*(N$3:N$11="P")*(H$3:H$11=H8)*(K$3:K$11&gt;K8)*(I$3:I$11="L5")*(J$3:J$11="P")))+1,"")))))</f>
        <v/>
      </c>
      <c r="B8" s="1" t="str" cm="1">
        <f t="array" ref="B8">IF(Q8&lt;&gt;"",SUMPRODUCT((Q$3:Q$11&lt;&gt;"")*(H$3:H$11=H8)*(K$3:K$11&gt;K8))+1,IF(P8&lt;&gt;"",SUMPRODUCT((P$3:P$11&lt;&gt;"")*(Q$3:Q$11="")*(H$3:H$11=H8)*(K$3:K$11&gt;K8))+SUMPRODUCT((Q$3:Q$11&lt;&gt;"")*(H$3:H$11=H8))+1,IF(O8&lt;&gt;"",SUMPRODUCT((O$3:O$11&lt;&gt;"")*(H$3:H$11=H8)*(K$3:K$11&gt;K8))+1,IF(N8="P",SUMPRODUCT((P$3:P$11&lt;&gt;"")*(Q$3:Q$11="")*(H$3:H$11=H8))+SUMPRODUCT((Q$3:Q$11&lt;&gt;"")*(H$3:H$11=H8))+SUMPRODUCT((O$3:O$11&lt;&gt;"")*(H$3:H$11=H8))+SUMPRODUCT((Q$3:Q$11="")*(P$3:P$11="")*(O$3:O$11="")*(N$3:N$11="P")*(H$3:H$11=H8)*(K$3:K$11&gt;K8))+IF(I8="L5",SUMPRODUCT((Q$3:Q$11="")*(P$3:P$11="")*(O$3:O$11="")*(N$3:N$11="P")*(H$3:H$11=H8)*(K$3:K$11&lt;K8)*(I$3:I$11&lt;&gt;I8)),-1*SUMPRODUCT((Q$3:Q$11="")*(P$3:P$11="")*(O$3:O$11="")*(N$3:N$11="P")*(H$3:H$11=H8)*(K$3:K$11&gt;K8)*(I$3:I$11="L5")))+1,""))))</f>
        <v/>
      </c>
      <c r="C8" s="36" t="s">
        <v>337</v>
      </c>
      <c r="D8" s="36" t="str">
        <f>IF(E8="","",VLOOKUP(E8,'Coaching Points'!A:B,2,0)&amp;"/"&amp;VLOOKUP(F8,'Coaching Points'!A:B,2,0))</f>
        <v>ON/ON</v>
      </c>
      <c r="E8" s="36" t="s">
        <v>113</v>
      </c>
      <c r="F8" s="36" t="s">
        <v>113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8.15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8.15</v>
      </c>
      <c r="T8" s="4">
        <f>LARGE(CHOOSE({1,2,3,4,5,6},U8,W8,Z8,AB8,AD8,AG8),2)</f>
        <v>0</v>
      </c>
      <c r="U8" s="33">
        <v>8.15</v>
      </c>
      <c r="V8" s="40">
        <v>1.9</v>
      </c>
      <c r="W8" s="34"/>
      <c r="X8" s="40"/>
      <c r="Y8" s="4">
        <f>IF(I8="Senior",MAX(U8,W8),U8+W8)</f>
        <v>8.15</v>
      </c>
      <c r="Z8" s="34"/>
      <c r="AA8" s="40"/>
      <c r="AB8" s="33"/>
      <c r="AC8" s="40"/>
      <c r="AD8" s="34"/>
      <c r="AE8" s="40"/>
      <c r="AF8" s="4">
        <f>IF(I8="Senior",MAX(AB8,AD8),AB8+AD8)</f>
        <v>0</v>
      </c>
      <c r="AG8" s="34"/>
      <c r="AH8" s="37"/>
    </row>
    <row r="9" spans="1:34" x14ac:dyDescent="0.2">
      <c r="A9" s="1" t="str" cm="1">
        <f t="array" ref="A9">IF(J9="","",IF(Q9&lt;&gt;"",SUMPRODUCT((Q$3:Q$11&lt;&gt;"")*(H$3:H$11=H9)*(K$3:K$11&gt;K9)*(J$3:J$11="P"))+1,IF(P9&lt;&gt;"",SUMPRODUCT((P$3:P$11&lt;&gt;"")*(Q$3:Q$11="")*(H$3:H$11=H9)*(K$3:K$11&gt;K9)*(J$3:J$11="P"))+SUMPRODUCT((Q$3:Q$11&lt;&gt;"")*(H$3:H$11=H9)*(J$3:J$11="P"))+1,IF(O9&lt;&gt;"",SUMPRODUCT((O$3:O$11&lt;&gt;"")*(H$3:H$11=H9)*(K$3:K$11&gt;K9)*(J$3:J$11="P"))+1,IF(N9="P",SUMPRODUCT((P$3:P$11&lt;&gt;"")*(Q$3:Q$11="")*(H$3:H$11=H9)*(J$3:J$11="P"))+SUMPRODUCT((Q$3:Q$11&lt;&gt;"")*(H$3:H$11=H9)*(J$3:J$11="P"))+SUMPRODUCT((O$3:O$11&lt;&gt;"")*(H$3:H$11=H9)*(J$3:J$11="P"))+SUMPRODUCT((Q$3:Q$11="")*(P$3:P$11="")*(O$3:O$11="")*(N$3:N$11="P")*(H$3:H$11=H9)*(K$3:K$11&gt;K9)*(J$3:J$11="P"))+IF(I9="L5",SUMPRODUCT((Q$3:Q$11="")*(P$3:P$11="")*(O$3:O$11="")*(N$3:N$11="P")*(H$3:H$11=H9)*(K$3:K$11&lt;K9)*(I$3:I$11&lt;&gt;I9)*(J$3:J$11="P")),-1*SUMPRODUCT((Q$3:Q$11="")*(P$3:P$11="")*(O$3:O$11="")*(N$3:N$11="P")*(H$3:H$11=H9)*(K$3:K$11&gt;K9)*(I$3:I$11="L5")*(J$3:J$11="P")))+1,"")))))</f>
        <v/>
      </c>
      <c r="B9" s="1" t="str" cm="1">
        <f t="array" ref="B9">IF(Q9&lt;&gt;"",SUMPRODUCT((Q$3:Q$11&lt;&gt;"")*(H$3:H$11=H9)*(K$3:K$11&gt;K9))+1,IF(P9&lt;&gt;"",SUMPRODUCT((P$3:P$11&lt;&gt;"")*(Q$3:Q$11="")*(H$3:H$11=H9)*(K$3:K$11&gt;K9))+SUMPRODUCT((Q$3:Q$11&lt;&gt;"")*(H$3:H$11=H9))+1,IF(O9&lt;&gt;"",SUMPRODUCT((O$3:O$11&lt;&gt;"")*(H$3:H$11=H9)*(K$3:K$11&gt;K9))+1,IF(N9="P",SUMPRODUCT((P$3:P$11&lt;&gt;"")*(Q$3:Q$11="")*(H$3:H$11=H9))+SUMPRODUCT((Q$3:Q$11&lt;&gt;"")*(H$3:H$11=H9))+SUMPRODUCT((O$3:O$11&lt;&gt;"")*(H$3:H$11=H9))+SUMPRODUCT((Q$3:Q$11="")*(P$3:P$11="")*(O$3:O$11="")*(N$3:N$11="P")*(H$3:H$11=H9)*(K$3:K$11&gt;K9))+IF(I9="L5",SUMPRODUCT((Q$3:Q$11="")*(P$3:P$11="")*(O$3:O$11="")*(N$3:N$11="P")*(H$3:H$11=H9)*(K$3:K$11&lt;K9)*(I$3:I$11&lt;&gt;I9)),-1*SUMPRODUCT((Q$3:Q$11="")*(P$3:P$11="")*(O$3:O$11="")*(N$3:N$11="P")*(H$3:H$11=H9)*(K$3:K$11&gt;K9)*(I$3:I$11="L5")))+1,""))))</f>
        <v/>
      </c>
      <c r="C9" s="36" t="s">
        <v>339</v>
      </c>
      <c r="D9" s="36" t="str">
        <f>IF(E9="","",VLOOKUP(E9,'Coaching Points'!A:B,2,0)&amp;"/"&amp;VLOOKUP(F9,'Coaching Points'!A:B,2,0))</f>
        <v>QC/QC</v>
      </c>
      <c r="E9" s="36" t="s">
        <v>84</v>
      </c>
      <c r="F9" s="36" t="s">
        <v>84</v>
      </c>
      <c r="G9" s="35">
        <v>2006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67</v>
      </c>
      <c r="J9" s="43"/>
      <c r="K9" s="4">
        <f>S9+T9+IF(OR(I9="Junior",I9="Senior"),0.0002,IF(OR(I9="L7",I9="L6"),0.0001,0))+MAX(AB9,AD9,AG9)*0.0000001</f>
        <v>4.8900999999999994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4.8899999999999997</v>
      </c>
      <c r="T9" s="4">
        <f>LARGE(CHOOSE({1,2,3,4,5,6},U9,W9,Z9,AB9,AD9,AG9),2)</f>
        <v>0</v>
      </c>
      <c r="U9" s="33">
        <v>4.8899999999999997</v>
      </c>
      <c r="V9" s="40">
        <v>1.3</v>
      </c>
      <c r="W9" s="34"/>
      <c r="X9" s="40"/>
      <c r="Y9" s="4">
        <f>IF(I9="Senior",MAX(U9,W9),U9+W9)</f>
        <v>4.8899999999999997</v>
      </c>
      <c r="Z9" s="34"/>
      <c r="AA9" s="40"/>
      <c r="AB9" s="33"/>
      <c r="AC9" s="40"/>
      <c r="AD9" s="34"/>
      <c r="AE9" s="40"/>
      <c r="AF9" s="4">
        <f>IF(I9="Senior",MAX(AB9,AD9),AB9+AD9)</f>
        <v>0</v>
      </c>
      <c r="AG9" s="34"/>
      <c r="AH9" s="37"/>
    </row>
    <row r="10" spans="1:34" x14ac:dyDescent="0.2">
      <c r="A10" s="1" t="str" cm="1">
        <f t="array" ref="A10">IF(J10="","",IF(Q10&lt;&gt;"",SUMPRODUCT((Q$3:Q$11&lt;&gt;"")*(H$3:H$11=H10)*(K$3:K$11&gt;K10)*(J$3:J$11="P"))+1,IF(P10&lt;&gt;"",SUMPRODUCT((P$3:P$11&lt;&gt;"")*(Q$3:Q$11="")*(H$3:H$11=H10)*(K$3:K$11&gt;K10)*(J$3:J$11="P"))+SUMPRODUCT((Q$3:Q$11&lt;&gt;"")*(H$3:H$11=H10)*(J$3:J$11="P"))+1,IF(O10&lt;&gt;"",SUMPRODUCT((O$3:O$11&lt;&gt;"")*(H$3:H$11=H10)*(K$3:K$11&gt;K10)*(J$3:J$11="P"))+1,IF(N10="P",SUMPRODUCT((P$3:P$11&lt;&gt;"")*(Q$3:Q$11="")*(H$3:H$11=H10)*(J$3:J$11="P"))+SUMPRODUCT((Q$3:Q$11&lt;&gt;"")*(H$3:H$11=H10)*(J$3:J$11="P"))+SUMPRODUCT((O$3:O$11&lt;&gt;"")*(H$3:H$11=H10)*(J$3:J$11="P"))+SUMPRODUCT((Q$3:Q$11="")*(P$3:P$11="")*(O$3:O$11="")*(N$3:N$11="P")*(H$3:H$11=H10)*(K$3:K$11&gt;K10)*(J$3:J$11="P"))+IF(I10="L5",SUMPRODUCT((Q$3:Q$11="")*(P$3:P$11="")*(O$3:O$11="")*(N$3:N$11="P")*(H$3:H$11=H10)*(K$3:K$11&lt;K10)*(I$3:I$11&lt;&gt;I10)*(J$3:J$11="P")),-1*SUMPRODUCT((Q$3:Q$11="")*(P$3:P$11="")*(O$3:O$11="")*(N$3:N$11="P")*(H$3:H$11=H10)*(K$3:K$11&gt;K10)*(I$3:I$11="L5")*(J$3:J$11="P")))+1,"")))))</f>
        <v/>
      </c>
      <c r="B10" s="1" t="str" cm="1">
        <f t="array" ref="B10">IF(Q10&lt;&gt;"",SUMPRODUCT((Q$3:Q$11&lt;&gt;"")*(H$3:H$11=H10)*(K$3:K$11&gt;K10))+1,IF(P10&lt;&gt;"",SUMPRODUCT((P$3:P$11&lt;&gt;"")*(Q$3:Q$11="")*(H$3:H$11=H10)*(K$3:K$11&gt;K10))+SUMPRODUCT((Q$3:Q$11&lt;&gt;"")*(H$3:H$11=H10))+1,IF(O10&lt;&gt;"",SUMPRODUCT((O$3:O$11&lt;&gt;"")*(H$3:H$11=H10)*(K$3:K$11&gt;K10))+1,IF(N10="P",SUMPRODUCT((P$3:P$11&lt;&gt;"")*(Q$3:Q$11="")*(H$3:H$11=H10))+SUMPRODUCT((Q$3:Q$11&lt;&gt;"")*(H$3:H$11=H10))+SUMPRODUCT((O$3:O$11&lt;&gt;"")*(H$3:H$11=H10))+SUMPRODUCT((Q$3:Q$11="")*(P$3:P$11="")*(O$3:O$11="")*(N$3:N$11="P")*(H$3:H$11=H10)*(K$3:K$11&gt;K10))+IF(I10="L5",SUMPRODUCT((Q$3:Q$11="")*(P$3:P$11="")*(O$3:O$11="")*(N$3:N$11="P")*(H$3:H$11=H10)*(K$3:K$11&lt;K10)*(I$3:I$11&lt;&gt;I10)),-1*SUMPRODUCT((Q$3:Q$11="")*(P$3:P$11="")*(O$3:O$11="")*(N$3:N$11="P")*(H$3:H$11=H10)*(K$3:K$11&gt;K10)*(I$3:I$11="L5")))+1,""))))</f>
        <v/>
      </c>
      <c r="C10" s="36" t="s">
        <v>336</v>
      </c>
      <c r="D10" s="36" t="str">
        <f>IF(E10="","",VLOOKUP(E10,'Coaching Points'!A:B,2,0)&amp;"/"&amp;VLOOKUP(F10,'Coaching Points'!A:B,2,0))</f>
        <v>ON/ON</v>
      </c>
      <c r="E10" s="36" t="s">
        <v>47</v>
      </c>
      <c r="F10" s="36" t="s">
        <v>47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4.54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4.54</v>
      </c>
      <c r="T10" s="4">
        <f>LARGE(CHOOSE({1,2,3,4,5,6},U10,W10,Z10,AB10,AD10,AG10),2)</f>
        <v>0</v>
      </c>
      <c r="U10" s="33">
        <v>4.54</v>
      </c>
      <c r="V10" s="40">
        <v>1.3</v>
      </c>
      <c r="W10" s="34"/>
      <c r="X10" s="40"/>
      <c r="Y10" s="4">
        <f>IF(I10="Senior",MAX(U10,W10),U10+W10)</f>
        <v>4.54</v>
      </c>
      <c r="Z10" s="34"/>
      <c r="AA10" s="40"/>
      <c r="AB10" s="33"/>
      <c r="AC10" s="40"/>
      <c r="AD10" s="34"/>
      <c r="AE10" s="40"/>
      <c r="AF10" s="4">
        <f>IF(I10="Senior",MAX(AB10,AD10),AB10+AD10)</f>
        <v>0</v>
      </c>
      <c r="AG10" s="34"/>
      <c r="AH10" s="37"/>
    </row>
    <row r="11" spans="1:34" x14ac:dyDescent="0.2">
      <c r="A11" s="1" t="str" cm="1">
        <f t="array" ref="A11">IF(J11="","",IF(Q11&lt;&gt;"",SUMPRODUCT((Q$3:Q$11&lt;&gt;"")*(H$3:H$11=H11)*(K$3:K$11&gt;K11)*(J$3:J$11="P"))+1,IF(P11&lt;&gt;"",SUMPRODUCT((P$3:P$11&lt;&gt;"")*(Q$3:Q$11="")*(H$3:H$11=H11)*(K$3:K$11&gt;K11)*(J$3:J$11="P"))+SUMPRODUCT((Q$3:Q$11&lt;&gt;"")*(H$3:H$11=H11)*(J$3:J$11="P"))+1,IF(O11&lt;&gt;"",SUMPRODUCT((O$3:O$11&lt;&gt;"")*(H$3:H$11=H11)*(K$3:K$11&gt;K11)*(J$3:J$11="P"))+1,IF(N11="P",SUMPRODUCT((P$3:P$11&lt;&gt;"")*(Q$3:Q$11="")*(H$3:H$11=H11)*(J$3:J$11="P"))+SUMPRODUCT((Q$3:Q$11&lt;&gt;"")*(H$3:H$11=H11)*(J$3:J$11="P"))+SUMPRODUCT((O$3:O$11&lt;&gt;"")*(H$3:H$11=H11)*(J$3:J$11="P"))+SUMPRODUCT((Q$3:Q$11="")*(P$3:P$11="")*(O$3:O$11="")*(N$3:N$11="P")*(H$3:H$11=H11)*(K$3:K$11&gt;K11)*(J$3:J$11="P"))+IF(I11="L5",SUMPRODUCT((Q$3:Q$11="")*(P$3:P$11="")*(O$3:O$11="")*(N$3:N$11="P")*(H$3:H$11=H11)*(K$3:K$11&lt;K11)*(I$3:I$11&lt;&gt;I11)*(J$3:J$11="P")),-1*SUMPRODUCT((Q$3:Q$11="")*(P$3:P$11="")*(O$3:O$11="")*(N$3:N$11="P")*(H$3:H$11=H11)*(K$3:K$11&gt;K11)*(I$3:I$11="L5")*(J$3:J$11="P")))+1,"")))))</f>
        <v/>
      </c>
      <c r="B11" s="1" t="str" cm="1">
        <f t="array" ref="B11">IF(Q11&lt;&gt;"",SUMPRODUCT((Q$3:Q$11&lt;&gt;"")*(H$3:H$11=H11)*(K$3:K$11&gt;K11))+1,IF(P11&lt;&gt;"",SUMPRODUCT((P$3:P$11&lt;&gt;"")*(Q$3:Q$11="")*(H$3:H$11=H11)*(K$3:K$11&gt;K11))+SUMPRODUCT((Q$3:Q$11&lt;&gt;"")*(H$3:H$11=H11))+1,IF(O11&lt;&gt;"",SUMPRODUCT((O$3:O$11&lt;&gt;"")*(H$3:H$11=H11)*(K$3:K$11&gt;K11))+1,IF(N11="P",SUMPRODUCT((P$3:P$11&lt;&gt;"")*(Q$3:Q$11="")*(H$3:H$11=H11))+SUMPRODUCT((Q$3:Q$11&lt;&gt;"")*(H$3:H$11=H11))+SUMPRODUCT((O$3:O$11&lt;&gt;"")*(H$3:H$11=H11))+SUMPRODUCT((Q$3:Q$11="")*(P$3:P$11="")*(O$3:O$11="")*(N$3:N$11="P")*(H$3:H$11=H11)*(K$3:K$11&gt;K11))+IF(I11="L5",SUMPRODUCT((Q$3:Q$11="")*(P$3:P$11="")*(O$3:O$11="")*(N$3:N$11="P")*(H$3:H$11=H11)*(K$3:K$11&lt;K11)*(I$3:I$11&lt;&gt;I11)),-1*SUMPRODUCT((Q$3:Q$11="")*(P$3:P$11="")*(O$3:O$11="")*(N$3:N$11="P")*(H$3:H$11=H11)*(K$3:K$11&gt;K11)*(I$3:I$11="L5")))+1,""))))</f>
        <v/>
      </c>
      <c r="C11" s="36" t="s">
        <v>253</v>
      </c>
      <c r="D11" s="36" t="str">
        <f>IF(E11="","",VLOOKUP(E11,'Coaching Points'!A:B,2,0)&amp;"/"&amp;VLOOKUP(F11,'Coaching Points'!A:B,2,0))</f>
        <v>QC/QC</v>
      </c>
      <c r="E11" s="36" t="s">
        <v>203</v>
      </c>
      <c r="F11" s="36" t="s">
        <v>288</v>
      </c>
      <c r="G11" s="35">
        <v>2007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9" t="s">
        <v>67</v>
      </c>
      <c r="J11" s="43"/>
      <c r="K11" s="4">
        <f>S11+T11+IF(OR(I11="Junior",I11="Senior"),0.0002,IF(OR(I11="L7",I11="L6"),0.0001,0))+MAX(AB11,AD11,AG11)*0.0000001</f>
        <v>16.260100000000001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16.260000000000002</v>
      </c>
      <c r="T11" s="4">
        <f>LARGE(CHOOSE({1,2,3,4,5,6},U11,W11,Z11,AB11,AD11,AG11),2)</f>
        <v>0</v>
      </c>
      <c r="U11" s="33">
        <v>16.260000000000002</v>
      </c>
      <c r="V11" s="40">
        <v>4</v>
      </c>
      <c r="W11" s="34"/>
      <c r="X11" s="40"/>
      <c r="Y11" s="4">
        <f>IF(I11="Senior",MAX(U11,W11),U11+W11)</f>
        <v>16.260000000000002</v>
      </c>
      <c r="Z11" s="34"/>
      <c r="AA11" s="40"/>
      <c r="AB11" s="33"/>
      <c r="AC11" s="40"/>
      <c r="AD11" s="34"/>
      <c r="AE11" s="40"/>
      <c r="AF11" s="4">
        <f>IF(I11="Senior",MAX(AB11,AD11),AB11+AD11)</f>
        <v>0</v>
      </c>
      <c r="AG11" s="34"/>
      <c r="AH11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1">
      <sortCondition descending="1" ref="H1:H1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1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activeCell="S1" sqref="S1:T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282</v>
      </c>
      <c r="F1" s="69" t="s">
        <v>283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207</v>
      </c>
      <c r="S1" s="73" t="s">
        <v>375</v>
      </c>
      <c r="T1" s="67" t="s">
        <v>376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70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$19&lt;&gt;"")*(H$3:H$19=H3)*(K$3:K$19&gt;K3)*(J$3:J$19="P"))+1,IF(P3&lt;&gt;"",SUMPRODUCT((P$3:P$19&lt;&gt;"")*(Q$3:Q$19="")*(H$3:H$19=H3)*(K$3:K$19&gt;K3)*(J$3:J$19="P"))+SUMPRODUCT((Q$3:Q$19&lt;&gt;"")*(H$3:H$19=H3)*(J$3:J$19="P"))+1,IF(O3&lt;&gt;"",SUMPRODUCT((O$3:O$19&lt;&gt;"")*(H$3:H$19=H3)*(K$3:K$19&gt;K3)*(J$3:J$19="P"))+1,IF(N3="P",SUMPRODUCT((P$3:P$19&lt;&gt;"")*(Q$3:Q$19="")*(H$3:H$19=H3)*(J$3:J$19="P"))+SUMPRODUCT((Q$3:Q$19&lt;&gt;"")*(H$3:H$19=H3)*(J$3:J$19="P"))+SUMPRODUCT((O$3:O$19&lt;&gt;"")*(H$3:H$19=H3)*(J$3:J$19="P"))+SUMPRODUCT((Q$3:Q$19="")*(P$3:P$19="")*(O$3:O$19="")*(N$3:N$19="P")*(H$3:H$19=H3)*(K$3:K$19&gt;K3)*(J$3:J$19="P"))+IF(I3="L5",SUMPRODUCT((Q$3:Q$19="")*(P$3:P$19="")*(O$3:O$19="")*(N$3:N$19="P")*(H$3:H$19=H3)*(K$3:K$19&lt;K3)*(I$3:I$19&lt;&gt;I3)*(J$3:J$19="P")),-1*SUMPRODUCT((Q$3:Q$19="")*(P$3:P$19="")*(O$3:O$19="")*(N$3:N$19="P")*(H$3:H$19=H3)*(K$3:K$19&gt;K3)*(I$3:I$19="L5")*(J$3:J$19="P")))+1,"")))))</f>
        <v/>
      </c>
      <c r="B3" s="1" cm="1">
        <f t="array" ref="B3">IF(Q3&lt;&gt;"",SUMPRODUCT((Q$3:Q$19&lt;&gt;"")*(H$3:H$19=H3)*(K$3:K$19&gt;K3))+1,IF(P3&lt;&gt;"",SUMPRODUCT((P$3:P$19&lt;&gt;"")*(Q$3:Q$19="")*(H$3:H$19=H3)*(K$3:K$19&gt;K3))+SUMPRODUCT((Q$3:Q$19&lt;&gt;"")*(H$3:H$19=H3))+1,IF(O3&lt;&gt;"",SUMPRODUCT((O$3:O$19&lt;&gt;"")*(H$3:H$19=H3)*(K$3:K$19&gt;K3))+1,IF(N3="P",SUMPRODUCT((P$3:P$19&lt;&gt;"")*(Q$3:Q$19="")*(H$3:H$19=H3))+SUMPRODUCT((Q$3:Q$19&lt;&gt;"")*(H$3:H$19=H3))+SUMPRODUCT((O$3:O$19&lt;&gt;"")*(H$3:H$19=H3))+SUMPRODUCT((Q$3:Q$19="")*(P$3:P$19="")*(O$3:O$19="")*(N$3:N$19="P")*(H$3:H$19=H3)*(K$3:K$19&gt;K3))+IF(I3="L5",SUMPRODUCT((Q$3:Q$19="")*(P$3:P$19="")*(O$3:O$19="")*(N$3:N$19="P")*(H$3:H$19=H3)*(K$3:K$19&lt;K3)*(I$3:I$19&lt;&gt;I3)),-1*SUMPRODUCT((Q$3:Q$19="")*(P$3:P$19="")*(O$3:O$19="")*(N$3:N$19="P")*(H$3:H$19=H3)*(K$3:K$19&gt;K3)*(I$3:I$19="L5")))+1,""))))</f>
        <v>1</v>
      </c>
      <c r="C3" s="36" t="s">
        <v>349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>S3+T3+IF(OR(I3="Junior",I3="Senior"),0.0002,IF(OR(I3="L7",I3="L6"),0.0001,0))+MAX(AB3,AD3,AG3)*0.0000001</f>
        <v>70.430200000000013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>IF(A3&lt;5,IF(_xlfn.MAXIFS(A:A,H:H,H3)&gt;3,5-A3,_xlfn.MAXIFS(A:A,H:H,H3)+1-A3),"")</f>
        <v/>
      </c>
      <c r="S3" s="4">
        <f>MAX(U3,W3,Z3,AB3,AD3,AG3)</f>
        <v>43.26</v>
      </c>
      <c r="T3" s="4">
        <f>LARGE(CHOOSE({1,2,3,4,5,6},U3,W3,Z3,AB3,AD3,AG3),2)</f>
        <v>27.17</v>
      </c>
      <c r="U3" s="33">
        <v>43.26</v>
      </c>
      <c r="V3" s="40">
        <v>9.6</v>
      </c>
      <c r="W3" s="34">
        <v>8.93</v>
      </c>
      <c r="X3" s="40">
        <v>2.1</v>
      </c>
      <c r="Y3" s="4">
        <f>IF(I3="Senior",MAX(U3,W3),U3+W3)</f>
        <v>43.26</v>
      </c>
      <c r="Z3" s="34">
        <v>27.17</v>
      </c>
      <c r="AA3" s="40">
        <v>7.1</v>
      </c>
      <c r="AB3" s="33"/>
      <c r="AC3" s="40"/>
      <c r="AD3" s="34"/>
      <c r="AE3" s="40"/>
      <c r="AF3" s="4">
        <f>IF(I3="Senior",MAX(AB3,AD3),AB3+AD3)</f>
        <v>0</v>
      </c>
      <c r="AG3" s="34"/>
      <c r="AH3" s="37"/>
    </row>
    <row r="4" spans="1:34" x14ac:dyDescent="0.2">
      <c r="A4" s="1" t="str" cm="1">
        <f t="array" ref="A4">IF(J4="","",IF(Q4&lt;&gt;"",SUMPRODUCT((Q$3:Q$19&lt;&gt;"")*(H$3:H$19=H4)*(K$3:K$19&gt;K4)*(J$3:J$19="P"))+1,IF(P4&lt;&gt;"",SUMPRODUCT((P$3:P$19&lt;&gt;"")*(Q$3:Q$19="")*(H$3:H$19=H4)*(K$3:K$19&gt;K4)*(J$3:J$19="P"))+SUMPRODUCT((Q$3:Q$19&lt;&gt;"")*(H$3:H$19=H4)*(J$3:J$19="P"))+1,IF(O4&lt;&gt;"",SUMPRODUCT((O$3:O$19&lt;&gt;"")*(H$3:H$19=H4)*(K$3:K$19&gt;K4)*(J$3:J$19="P"))+1,IF(N4="P",SUMPRODUCT((P$3:P$19&lt;&gt;"")*(Q$3:Q$19="")*(H$3:H$19=H4)*(J$3:J$19="P"))+SUMPRODUCT((Q$3:Q$19&lt;&gt;"")*(H$3:H$19=H4)*(J$3:J$19="P"))+SUMPRODUCT((O$3:O$19&lt;&gt;"")*(H$3:H$19=H4)*(J$3:J$19="P"))+SUMPRODUCT((Q$3:Q$19="")*(P$3:P$19="")*(O$3:O$19="")*(N$3:N$19="P")*(H$3:H$19=H4)*(K$3:K$19&gt;K4)*(J$3:J$19="P"))+IF(I4="L5",SUMPRODUCT((Q$3:Q$19="")*(P$3:P$19="")*(O$3:O$19="")*(N$3:N$19="P")*(H$3:H$19=H4)*(K$3:K$19&lt;K4)*(I$3:I$19&lt;&gt;I4)*(J$3:J$19="P")),-1*SUMPRODUCT((Q$3:Q$19="")*(P$3:P$19="")*(O$3:O$19="")*(N$3:N$19="P")*(H$3:H$19=H4)*(K$3:K$19&gt;K4)*(I$3:I$19="L5")*(J$3:J$19="P")))+1,"")))))</f>
        <v/>
      </c>
      <c r="B4" s="1" t="str" cm="1">
        <f t="array" ref="B4">IF(Q4&lt;&gt;"",SUMPRODUCT((Q$3:Q$19&lt;&gt;"")*(H$3:H$19=H4)*(K$3:K$19&gt;K4))+1,IF(P4&lt;&gt;"",SUMPRODUCT((P$3:P$19&lt;&gt;"")*(Q$3:Q$19="")*(H$3:H$19=H4)*(K$3:K$19&gt;K4))+SUMPRODUCT((Q$3:Q$19&lt;&gt;"")*(H$3:H$19=H4))+1,IF(O4&lt;&gt;"",SUMPRODUCT((O$3:O$19&lt;&gt;"")*(H$3:H$19=H4)*(K$3:K$19&gt;K4))+1,IF(N4="P",SUMPRODUCT((P$3:P$19&lt;&gt;"")*(Q$3:Q$19="")*(H$3:H$19=H4))+SUMPRODUCT((Q$3:Q$19&lt;&gt;"")*(H$3:H$19=H4))+SUMPRODUCT((O$3:O$19&lt;&gt;"")*(H$3:H$19=H4))+SUMPRODUCT((Q$3:Q$19="")*(P$3:P$19="")*(O$3:O$19="")*(N$3:N$19="P")*(H$3:H$19=H4)*(K$3:K$19&gt;K4))+IF(I4="L5",SUMPRODUCT((Q$3:Q$19="")*(P$3:P$19="")*(O$3:O$19="")*(N$3:N$19="P")*(H$3:H$19=H4)*(K$3:K$19&lt;K4)*(I$3:I$19&lt;&gt;I4)),-1*SUMPRODUCT((Q$3:Q$19="")*(P$3:P$19="")*(O$3:O$19="")*(N$3:N$19="P")*(H$3:H$19=H4)*(K$3:K$19&gt;K4)*(I$3:I$19="L5")))+1,""))))</f>
        <v/>
      </c>
      <c r="C4" s="36" t="s">
        <v>340</v>
      </c>
      <c r="D4" s="36" t="str">
        <f>IF(E4="","",VLOOKUP(E4,'Coaching Points'!A:B,2,0)&amp;"/"&amp;VLOOKUP(F4,'Coaching Points'!A:B,2,0))</f>
        <v>QC/QC</v>
      </c>
      <c r="E4" s="36" t="s">
        <v>84</v>
      </c>
      <c r="F4" s="36" t="s">
        <v>84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66</v>
      </c>
      <c r="J4" s="43"/>
      <c r="K4" s="4">
        <f>S4+T4+IF(OR(I4="Junior",I4="Senior"),0.0002,IF(OR(I4="L7",I4="L6"),0.0001,0))+MAX(AB4,AD4,AG4)*0.0000001</f>
        <v>86.07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>IF(A4&lt;5,IF(_xlfn.MAXIFS(A:A,H:H,H4)&gt;3,5-A4,_xlfn.MAXIFS(A:A,H:H,H4)+1-A4),"")</f>
        <v/>
      </c>
      <c r="S4" s="4">
        <f>MAX(U4,W4,Z4,AB4,AD4,AG4)</f>
        <v>43.1</v>
      </c>
      <c r="T4" s="4">
        <f>LARGE(CHOOSE({1,2,3,4,5,6},U4,W4,Z4,AB4,AD4,AG4),2)</f>
        <v>42.97</v>
      </c>
      <c r="U4" s="33">
        <v>43.1</v>
      </c>
      <c r="V4" s="40">
        <v>7.1</v>
      </c>
      <c r="W4" s="34"/>
      <c r="X4" s="40"/>
      <c r="Y4" s="4">
        <f>IF(I4="Senior",MAX(U4,W4),U4+W4)</f>
        <v>43.1</v>
      </c>
      <c r="Z4" s="34">
        <v>42.97</v>
      </c>
      <c r="AA4" s="40">
        <v>7.1</v>
      </c>
      <c r="AB4" s="33"/>
      <c r="AC4" s="40"/>
      <c r="AD4" s="34"/>
      <c r="AE4" s="40"/>
      <c r="AF4" s="4">
        <f>IF(I4="Senior",MAX(AB4,AD4),AB4+AD4)</f>
        <v>0</v>
      </c>
      <c r="AG4" s="34"/>
      <c r="AH4" s="37"/>
    </row>
    <row r="5" spans="1:34" x14ac:dyDescent="0.2">
      <c r="A5" s="1" t="str" cm="1">
        <f t="array" ref="A5">IF(J5="","",IF(Q5&lt;&gt;"",SUMPRODUCT((Q$3:Q$19&lt;&gt;"")*(H$3:H$19=H5)*(K$3:K$19&gt;K5)*(J$3:J$19="P"))+1,IF(P5&lt;&gt;"",SUMPRODUCT((P$3:P$19&lt;&gt;"")*(Q$3:Q$19="")*(H$3:H$19=H5)*(K$3:K$19&gt;K5)*(J$3:J$19="P"))+SUMPRODUCT((Q$3:Q$19&lt;&gt;"")*(H$3:H$19=H5)*(J$3:J$19="P"))+1,IF(O5&lt;&gt;"",SUMPRODUCT((O$3:O$19&lt;&gt;"")*(H$3:H$19=H5)*(K$3:K$19&gt;K5)*(J$3:J$19="P"))+1,IF(N5="P",SUMPRODUCT((P$3:P$19&lt;&gt;"")*(Q$3:Q$19="")*(H$3:H$19=H5)*(J$3:J$19="P"))+SUMPRODUCT((Q$3:Q$19&lt;&gt;"")*(H$3:H$19=H5)*(J$3:J$19="P"))+SUMPRODUCT((O$3:O$19&lt;&gt;"")*(H$3:H$19=H5)*(J$3:J$19="P"))+SUMPRODUCT((Q$3:Q$19="")*(P$3:P$19="")*(O$3:O$19="")*(N$3:N$19="P")*(H$3:H$19=H5)*(K$3:K$19&gt;K5)*(J$3:J$19="P"))+IF(I5="L5",SUMPRODUCT((Q$3:Q$19="")*(P$3:P$19="")*(O$3:O$19="")*(N$3:N$19="P")*(H$3:H$19=H5)*(K$3:K$19&lt;K5)*(I$3:I$19&lt;&gt;I5)*(J$3:J$19="P")),-1*SUMPRODUCT((Q$3:Q$19="")*(P$3:P$19="")*(O$3:O$19="")*(N$3:N$19="P")*(H$3:H$19=H5)*(K$3:K$19&gt;K5)*(I$3:I$19="L5")*(J$3:J$19="P")))+1,"")))))</f>
        <v/>
      </c>
      <c r="B5" s="1" t="str" cm="1">
        <f t="array" ref="B5">IF(Q5&lt;&gt;"",SUMPRODUCT((Q$3:Q$19&lt;&gt;"")*(H$3:H$19=H5)*(K$3:K$19&gt;K5))+1,IF(P5&lt;&gt;"",SUMPRODUCT((P$3:P$19&lt;&gt;"")*(Q$3:Q$19="")*(H$3:H$19=H5)*(K$3:K$19&gt;K5))+SUMPRODUCT((Q$3:Q$19&lt;&gt;"")*(H$3:H$19=H5))+1,IF(O5&lt;&gt;"",SUMPRODUCT((O$3:O$19&lt;&gt;"")*(H$3:H$19=H5)*(K$3:K$19&gt;K5))+1,IF(N5="P",SUMPRODUCT((P$3:P$19&lt;&gt;"")*(Q$3:Q$19="")*(H$3:H$19=H5))+SUMPRODUCT((Q$3:Q$19&lt;&gt;"")*(H$3:H$19=H5))+SUMPRODUCT((O$3:O$19&lt;&gt;"")*(H$3:H$19=H5))+SUMPRODUCT((Q$3:Q$19="")*(P$3:P$19="")*(O$3:O$19="")*(N$3:N$19="P")*(H$3:H$19=H5)*(K$3:K$19&gt;K5))+IF(I5="L5",SUMPRODUCT((Q$3:Q$19="")*(P$3:P$19="")*(O$3:O$19="")*(N$3:N$19="P")*(H$3:H$19=H5)*(K$3:K$19&lt;K5)*(I$3:I$19&lt;&gt;I5)),-1*SUMPRODUCT((Q$3:Q$19="")*(P$3:P$19="")*(O$3:O$19="")*(N$3:N$19="P")*(H$3:H$19=H5)*(K$3:K$19&gt;K5)*(I$3:I$19="L5")))+1,""))))</f>
        <v/>
      </c>
      <c r="C5" s="36" t="s">
        <v>261</v>
      </c>
      <c r="D5" s="36" t="str">
        <f>IF(E5="","",VLOOKUP(E5,'Coaching Points'!A:B,2,0)&amp;"/"&amp;VLOOKUP(F5,'Coaching Points'!A:B,2,0))</f>
        <v>AB/AB</v>
      </c>
      <c r="E5" s="36" t="s">
        <v>29</v>
      </c>
      <c r="F5" s="36" t="s">
        <v>29</v>
      </c>
      <c r="G5" s="35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81.460100000000011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41.54</v>
      </c>
      <c r="T5" s="4">
        <f>LARGE(CHOOSE({1,2,3,4,5,6},U5,W5,Z5,AB5,AD5,AG5),2)</f>
        <v>39.92</v>
      </c>
      <c r="U5" s="33">
        <v>41.54</v>
      </c>
      <c r="V5" s="40">
        <v>8.5</v>
      </c>
      <c r="W5" s="34"/>
      <c r="X5" s="40"/>
      <c r="Y5" s="4">
        <f>IF(I5="Senior",MAX(U5,W5),U5+W5)</f>
        <v>41.54</v>
      </c>
      <c r="Z5" s="34">
        <v>39.92</v>
      </c>
      <c r="AA5" s="40">
        <v>8.5</v>
      </c>
      <c r="AB5" s="33"/>
      <c r="AC5" s="40"/>
      <c r="AD5" s="34"/>
      <c r="AE5" s="40"/>
      <c r="AF5" s="4">
        <f>IF(I5="Senior",MAX(AB5,AD5),AB5+AD5)</f>
        <v>0</v>
      </c>
      <c r="AG5" s="34"/>
      <c r="AH5" s="37"/>
    </row>
    <row r="6" spans="1:34" x14ac:dyDescent="0.2">
      <c r="A6" s="1" t="str" cm="1">
        <f t="array" ref="A6">IF(J6="","",IF(Q6&lt;&gt;"",SUMPRODUCT((Q$3:Q$19&lt;&gt;"")*(H$3:H$19=H6)*(K$3:K$19&gt;K6)*(J$3:J$19="P"))+1,IF(P6&lt;&gt;"",SUMPRODUCT((P$3:P$19&lt;&gt;"")*(Q$3:Q$19="")*(H$3:H$19=H6)*(K$3:K$19&gt;K6)*(J$3:J$19="P"))+SUMPRODUCT((Q$3:Q$19&lt;&gt;"")*(H$3:H$19=H6)*(J$3:J$19="P"))+1,IF(O6&lt;&gt;"",SUMPRODUCT((O$3:O$19&lt;&gt;"")*(H$3:H$19=H6)*(K$3:K$19&gt;K6)*(J$3:J$19="P"))+1,IF(N6="P",SUMPRODUCT((P$3:P$19&lt;&gt;"")*(Q$3:Q$19="")*(H$3:H$19=H6)*(J$3:J$19="P"))+SUMPRODUCT((Q$3:Q$19&lt;&gt;"")*(H$3:H$19=H6)*(J$3:J$19="P"))+SUMPRODUCT((O$3:O$19&lt;&gt;"")*(H$3:H$19=H6)*(J$3:J$19="P"))+SUMPRODUCT((Q$3:Q$19="")*(P$3:P$19="")*(O$3:O$19="")*(N$3:N$19="P")*(H$3:H$19=H6)*(K$3:K$19&gt;K6)*(J$3:J$19="P"))+IF(I6="L5",SUMPRODUCT((Q$3:Q$19="")*(P$3:P$19="")*(O$3:O$19="")*(N$3:N$19="P")*(H$3:H$19=H6)*(K$3:K$19&lt;K6)*(I$3:I$19&lt;&gt;I6)*(J$3:J$19="P")),-1*SUMPRODUCT((Q$3:Q$19="")*(P$3:P$19="")*(O$3:O$19="")*(N$3:N$19="P")*(H$3:H$19=H6)*(K$3:K$19&gt;K6)*(I$3:I$19="L5")*(J$3:J$19="P")))+1,"")))))</f>
        <v/>
      </c>
      <c r="B6" s="1" t="str" cm="1">
        <f t="array" ref="B6">IF(Q6&lt;&gt;"",SUMPRODUCT((Q$3:Q$19&lt;&gt;"")*(H$3:H$19=H6)*(K$3:K$19&gt;K6))+1,IF(P6&lt;&gt;"",SUMPRODUCT((P$3:P$19&lt;&gt;"")*(Q$3:Q$19="")*(H$3:H$19=H6)*(K$3:K$19&gt;K6))+SUMPRODUCT((Q$3:Q$19&lt;&gt;"")*(H$3:H$19=H6))+1,IF(O6&lt;&gt;"",SUMPRODUCT((O$3:O$19&lt;&gt;"")*(H$3:H$19=H6)*(K$3:K$19&gt;K6))+1,IF(N6="P",SUMPRODUCT((P$3:P$19&lt;&gt;"")*(Q$3:Q$19="")*(H$3:H$19=H6))+SUMPRODUCT((Q$3:Q$19&lt;&gt;"")*(H$3:H$19=H6))+SUMPRODUCT((O$3:O$19&lt;&gt;"")*(H$3:H$19=H6))+SUMPRODUCT((Q$3:Q$19="")*(P$3:P$19="")*(O$3:O$19="")*(N$3:N$19="P")*(H$3:H$19=H6)*(K$3:K$19&gt;K6))+IF(I6="L5",SUMPRODUCT((Q$3:Q$19="")*(P$3:P$19="")*(O$3:O$19="")*(N$3:N$19="P")*(H$3:H$19=H6)*(K$3:K$19&lt;K6)*(I$3:I$19&lt;&gt;I6)),-1*SUMPRODUCT((Q$3:Q$19="")*(P$3:P$19="")*(O$3:O$19="")*(N$3:N$19="P")*(H$3:H$19=H6)*(K$3:K$19&gt;K6)*(I$3:I$19="L5")))+1,""))))</f>
        <v/>
      </c>
      <c r="C6" s="36" t="s">
        <v>260</v>
      </c>
      <c r="D6" s="36" t="str">
        <f>IF(E6="","",VLOOKUP(E6,'Coaching Points'!A:B,2,0)&amp;"/"&amp;VLOOKUP(F6,'Coaching Points'!A:B,2,0))</f>
        <v>QC/QC</v>
      </c>
      <c r="E6" s="36" t="s">
        <v>292</v>
      </c>
      <c r="F6" s="36" t="s">
        <v>292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67</v>
      </c>
      <c r="J6" s="43"/>
      <c r="K6" s="4">
        <f>S6+T6+IF(OR(I6="Junior",I6="Senior"),0.0002,IF(OR(I6="L7",I6="L6"),0.0001,0))+MAX(AB6,AD6,AG6)*0.0000001</f>
        <v>77.490099999999998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39.869999999999997</v>
      </c>
      <c r="T6" s="4">
        <f>LARGE(CHOOSE({1,2,3,4,5,6},U6,W6,Z6,AB6,AD6,AG6),2)</f>
        <v>37.619999999999997</v>
      </c>
      <c r="U6" s="33">
        <v>37.619999999999997</v>
      </c>
      <c r="V6" s="40">
        <v>6.8</v>
      </c>
      <c r="W6" s="34"/>
      <c r="X6" s="40"/>
      <c r="Y6" s="4">
        <f>IF(I6="Senior",MAX(U6,W6),U6+W6)</f>
        <v>37.619999999999997</v>
      </c>
      <c r="Z6" s="34">
        <v>39.869999999999997</v>
      </c>
      <c r="AA6" s="40">
        <v>7.8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$19&lt;&gt;"")*(H$3:H$19=H7)*(K$3:K$19&gt;K7)*(J$3:J$19="P"))+1,IF(P7&lt;&gt;"",SUMPRODUCT((P$3:P$19&lt;&gt;"")*(Q$3:Q$19="")*(H$3:H$19=H7)*(K$3:K$19&gt;K7)*(J$3:J$19="P"))+SUMPRODUCT((Q$3:Q$19&lt;&gt;"")*(H$3:H$19=H7)*(J$3:J$19="P"))+1,IF(O7&lt;&gt;"",SUMPRODUCT((O$3:O$19&lt;&gt;"")*(H$3:H$19=H7)*(K$3:K$19&gt;K7)*(J$3:J$19="P"))+1,IF(N7="P",SUMPRODUCT((P$3:P$19&lt;&gt;"")*(Q$3:Q$19="")*(H$3:H$19=H7)*(J$3:J$19="P"))+SUMPRODUCT((Q$3:Q$19&lt;&gt;"")*(H$3:H$19=H7)*(J$3:J$19="P"))+SUMPRODUCT((O$3:O$19&lt;&gt;"")*(H$3:H$19=H7)*(J$3:J$19="P"))+SUMPRODUCT((Q$3:Q$19="")*(P$3:P$19="")*(O$3:O$19="")*(N$3:N$19="P")*(H$3:H$19=H7)*(K$3:K$19&gt;K7)*(J$3:J$19="P"))+IF(I7="L5",SUMPRODUCT((Q$3:Q$19="")*(P$3:P$19="")*(O$3:O$19="")*(N$3:N$19="P")*(H$3:H$19=H7)*(K$3:K$19&lt;K7)*(I$3:I$19&lt;&gt;I7)*(J$3:J$19="P")),-1*SUMPRODUCT((Q$3:Q$19="")*(P$3:P$19="")*(O$3:O$19="")*(N$3:N$19="P")*(H$3:H$19=H7)*(K$3:K$19&gt;K7)*(I$3:I$19="L5")*(J$3:J$19="P")))+1,"")))))</f>
        <v/>
      </c>
      <c r="B7" s="1" t="str" cm="1">
        <f t="array" ref="B7">IF(Q7&lt;&gt;"",SUMPRODUCT((Q$3:Q$19&lt;&gt;"")*(H$3:H$19=H7)*(K$3:K$19&gt;K7))+1,IF(P7&lt;&gt;"",SUMPRODUCT((P$3:P$19&lt;&gt;"")*(Q$3:Q$19="")*(H$3:H$19=H7)*(K$3:K$19&gt;K7))+SUMPRODUCT((Q$3:Q$19&lt;&gt;"")*(H$3:H$19=H7))+1,IF(O7&lt;&gt;"",SUMPRODUCT((O$3:O$19&lt;&gt;"")*(H$3:H$19=H7)*(K$3:K$19&gt;K7))+1,IF(N7="P",SUMPRODUCT((P$3:P$19&lt;&gt;"")*(Q$3:Q$19="")*(H$3:H$19=H7))+SUMPRODUCT((Q$3:Q$19&lt;&gt;"")*(H$3:H$19=H7))+SUMPRODUCT((O$3:O$19&lt;&gt;"")*(H$3:H$19=H7))+SUMPRODUCT((Q$3:Q$19="")*(P$3:P$19="")*(O$3:O$19="")*(N$3:N$19="P")*(H$3:H$19=H7)*(K$3:K$19&gt;K7))+IF(I7="L5",SUMPRODUCT((Q$3:Q$19="")*(P$3:P$19="")*(O$3:O$19="")*(N$3:N$19="P")*(H$3:H$19=H7)*(K$3:K$19&lt;K7)*(I$3:I$19&lt;&gt;I7)),-1*SUMPRODUCT((Q$3:Q$19="")*(P$3:P$19="")*(O$3:O$19="")*(N$3:N$19="P")*(H$3:H$19=H7)*(K$3:K$19&gt;K7)*(I$3:I$19="L5")))+1,""))))</f>
        <v/>
      </c>
      <c r="C7" s="36" t="s">
        <v>259</v>
      </c>
      <c r="D7" s="36" t="str">
        <f>IF(E7="","",VLOOKUP(E7,'Coaching Points'!A:B,2,0)&amp;"/"&amp;VLOOKUP(F7,'Coaching Points'!A:B,2,0))</f>
        <v>ON/ON</v>
      </c>
      <c r="E7" s="36" t="s">
        <v>73</v>
      </c>
      <c r="F7" s="36" t="s">
        <v>73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>S7+T7+IF(OR(I7="Junior",I7="Senior"),0.0002,IF(OR(I7="L7",I7="L6"),0.0001,0))+MAX(AB7,AD7,AG7)*0.0000001</f>
        <v>76.95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40.46</v>
      </c>
      <c r="T7" s="4">
        <f>LARGE(CHOOSE({1,2,3,4,5,6},U7,W7,Z7,AB7,AD7,AG7),2)</f>
        <v>36.49</v>
      </c>
      <c r="U7" s="33">
        <v>40.46</v>
      </c>
      <c r="V7" s="40">
        <v>7.7</v>
      </c>
      <c r="W7" s="34"/>
      <c r="X7" s="40"/>
      <c r="Y7" s="4">
        <f>IF(I7="Senior",MAX(U7,W7),U7+W7)</f>
        <v>40.46</v>
      </c>
      <c r="Z7" s="34">
        <v>36.49</v>
      </c>
      <c r="AA7" s="40">
        <v>7.7</v>
      </c>
      <c r="AB7" s="33"/>
      <c r="AC7" s="40"/>
      <c r="AD7" s="34"/>
      <c r="AE7" s="40"/>
      <c r="AF7" s="4">
        <f>IF(I7="Senior",MAX(AB7,AD7),AB7+AD7)</f>
        <v>0</v>
      </c>
      <c r="AG7" s="34"/>
      <c r="AH7" s="37"/>
    </row>
    <row r="8" spans="1:34" x14ac:dyDescent="0.2">
      <c r="A8" s="1" t="str" cm="1">
        <f t="array" ref="A8">IF(J8="","",IF(Q8&lt;&gt;"",SUMPRODUCT((Q$3:Q$19&lt;&gt;"")*(H$3:H$19=H8)*(K$3:K$19&gt;K8)*(J$3:J$19="P"))+1,IF(P8&lt;&gt;"",SUMPRODUCT((P$3:P$19&lt;&gt;"")*(Q$3:Q$19="")*(H$3:H$19=H8)*(K$3:K$19&gt;K8)*(J$3:J$19="P"))+SUMPRODUCT((Q$3:Q$19&lt;&gt;"")*(H$3:H$19=H8)*(J$3:J$19="P"))+1,IF(O8&lt;&gt;"",SUMPRODUCT((O$3:O$19&lt;&gt;"")*(H$3:H$19=H8)*(K$3:K$19&gt;K8)*(J$3:J$19="P"))+1,IF(N8="P",SUMPRODUCT((P$3:P$19&lt;&gt;"")*(Q$3:Q$19="")*(H$3:H$19=H8)*(J$3:J$19="P"))+SUMPRODUCT((Q$3:Q$19&lt;&gt;"")*(H$3:H$19=H8)*(J$3:J$19="P"))+SUMPRODUCT((O$3:O$19&lt;&gt;"")*(H$3:H$19=H8)*(J$3:J$19="P"))+SUMPRODUCT((Q$3:Q$19="")*(P$3:P$19="")*(O$3:O$19="")*(N$3:N$19="P")*(H$3:H$19=H8)*(K$3:K$19&gt;K8)*(J$3:J$19="P"))+IF(I8="L5",SUMPRODUCT((Q$3:Q$19="")*(P$3:P$19="")*(O$3:O$19="")*(N$3:N$19="P")*(H$3:H$19=H8)*(K$3:K$19&lt;K8)*(I$3:I$19&lt;&gt;I8)*(J$3:J$19="P")),-1*SUMPRODUCT((Q$3:Q$19="")*(P$3:P$19="")*(O$3:O$19="")*(N$3:N$19="P")*(H$3:H$19=H8)*(K$3:K$19&gt;K8)*(I$3:I$19="L5")*(J$3:J$19="P")))+1,"")))))</f>
        <v/>
      </c>
      <c r="B8" s="1" t="str" cm="1">
        <f t="array" ref="B8">IF(Q8&lt;&gt;"",SUMPRODUCT((Q$3:Q$19&lt;&gt;"")*(H$3:H$19=H8)*(K$3:K$19&gt;K8))+1,IF(P8&lt;&gt;"",SUMPRODUCT((P$3:P$19&lt;&gt;"")*(Q$3:Q$19="")*(H$3:H$19=H8)*(K$3:K$19&gt;K8))+SUMPRODUCT((Q$3:Q$19&lt;&gt;"")*(H$3:H$19=H8))+1,IF(O8&lt;&gt;"",SUMPRODUCT((O$3:O$19&lt;&gt;"")*(H$3:H$19=H8)*(K$3:K$19&gt;K8))+1,IF(N8="P",SUMPRODUCT((P$3:P$19&lt;&gt;"")*(Q$3:Q$19="")*(H$3:H$19=H8))+SUMPRODUCT((Q$3:Q$19&lt;&gt;"")*(H$3:H$19=H8))+SUMPRODUCT((O$3:O$19&lt;&gt;"")*(H$3:H$19=H8))+SUMPRODUCT((Q$3:Q$19="")*(P$3:P$19="")*(O$3:O$19="")*(N$3:N$19="P")*(H$3:H$19=H8)*(K$3:K$19&gt;K8))+IF(I8="L5",SUMPRODUCT((Q$3:Q$19="")*(P$3:P$19="")*(O$3:O$19="")*(N$3:N$19="P")*(H$3:H$19=H8)*(K$3:K$19&lt;K8)*(I$3:I$19&lt;&gt;I8)),-1*SUMPRODUCT((Q$3:Q$19="")*(P$3:P$19="")*(O$3:O$19="")*(N$3:N$19="P")*(H$3:H$19=H8)*(K$3:K$19&gt;K8)*(I$3:I$19="L5")))+1,""))))</f>
        <v/>
      </c>
      <c r="C8" s="36" t="s">
        <v>342</v>
      </c>
      <c r="D8" s="36" t="str">
        <f>IF(E8="","",VLOOKUP(E8,'Coaching Points'!A:B,2,0)&amp;"/"&amp;VLOOKUP(F8,'Coaching Points'!A:B,2,0))</f>
        <v>BC/BC</v>
      </c>
      <c r="E8" s="36" t="s">
        <v>46</v>
      </c>
      <c r="F8" s="36" t="s">
        <v>46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76.849999999999994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41.41</v>
      </c>
      <c r="T8" s="4">
        <f>LARGE(CHOOSE({1,2,3,4,5,6},U8,W8,Z8,AB8,AD8,AG8),2)</f>
        <v>35.44</v>
      </c>
      <c r="U8" s="33">
        <v>35.44</v>
      </c>
      <c r="V8" s="40">
        <v>6.3</v>
      </c>
      <c r="W8" s="34"/>
      <c r="X8" s="40"/>
      <c r="Y8" s="4">
        <f>IF(I8="Senior",MAX(U8,W8),U8+W8)</f>
        <v>35.44</v>
      </c>
      <c r="Z8" s="34">
        <v>41.41</v>
      </c>
      <c r="AA8" s="40">
        <v>6.3</v>
      </c>
      <c r="AB8" s="33"/>
      <c r="AC8" s="40"/>
      <c r="AD8" s="34"/>
      <c r="AE8" s="40"/>
      <c r="AF8" s="4">
        <f>IF(I8="Senior",MAX(AB8,AD8),AB8+AD8)</f>
        <v>0</v>
      </c>
      <c r="AG8" s="34"/>
      <c r="AH8" s="37"/>
    </row>
    <row r="9" spans="1:34" x14ac:dyDescent="0.2">
      <c r="A9" s="1" t="str" cm="1">
        <f t="array" ref="A9">IF(J9="","",IF(Q9&lt;&gt;"",SUMPRODUCT((Q$3:Q$19&lt;&gt;"")*(H$3:H$19=H9)*(K$3:K$19&gt;K9)*(J$3:J$19="P"))+1,IF(P9&lt;&gt;"",SUMPRODUCT((P$3:P$19&lt;&gt;"")*(Q$3:Q$19="")*(H$3:H$19=H9)*(K$3:K$19&gt;K9)*(J$3:J$19="P"))+SUMPRODUCT((Q$3:Q$19&lt;&gt;"")*(H$3:H$19=H9)*(J$3:J$19="P"))+1,IF(O9&lt;&gt;"",SUMPRODUCT((O$3:O$19&lt;&gt;"")*(H$3:H$19=H9)*(K$3:K$19&gt;K9)*(J$3:J$19="P"))+1,IF(N9="P",SUMPRODUCT((P$3:P$19&lt;&gt;"")*(Q$3:Q$19="")*(H$3:H$19=H9)*(J$3:J$19="P"))+SUMPRODUCT((Q$3:Q$19&lt;&gt;"")*(H$3:H$19=H9)*(J$3:J$19="P"))+SUMPRODUCT((O$3:O$19&lt;&gt;"")*(H$3:H$19=H9)*(J$3:J$19="P"))+SUMPRODUCT((Q$3:Q$19="")*(P$3:P$19="")*(O$3:O$19="")*(N$3:N$19="P")*(H$3:H$19=H9)*(K$3:K$19&gt;K9)*(J$3:J$19="P"))+IF(I9="L5",SUMPRODUCT((Q$3:Q$19="")*(P$3:P$19="")*(O$3:O$19="")*(N$3:N$19="P")*(H$3:H$19=H9)*(K$3:K$19&lt;K9)*(I$3:I$19&lt;&gt;I9)*(J$3:J$19="P")),-1*SUMPRODUCT((Q$3:Q$19="")*(P$3:P$19="")*(O$3:O$19="")*(N$3:N$19="P")*(H$3:H$19=H9)*(K$3:K$19&gt;K9)*(I$3:I$19="L5")*(J$3:J$19="P")))+1,"")))))</f>
        <v/>
      </c>
      <c r="B9" s="1" t="str" cm="1">
        <f t="array" ref="B9">IF(Q9&lt;&gt;"",SUMPRODUCT((Q$3:Q$19&lt;&gt;"")*(H$3:H$19=H9)*(K$3:K$19&gt;K9))+1,IF(P9&lt;&gt;"",SUMPRODUCT((P$3:P$19&lt;&gt;"")*(Q$3:Q$19="")*(H$3:H$19=H9)*(K$3:K$19&gt;K9))+SUMPRODUCT((Q$3:Q$19&lt;&gt;"")*(H$3:H$19=H9))+1,IF(O9&lt;&gt;"",SUMPRODUCT((O$3:O$19&lt;&gt;"")*(H$3:H$19=H9)*(K$3:K$19&gt;K9))+1,IF(N9="P",SUMPRODUCT((P$3:P$19&lt;&gt;"")*(Q$3:Q$19="")*(H$3:H$19=H9))+SUMPRODUCT((Q$3:Q$19&lt;&gt;"")*(H$3:H$19=H9))+SUMPRODUCT((O$3:O$19&lt;&gt;"")*(H$3:H$19=H9))+SUMPRODUCT((Q$3:Q$19="")*(P$3:P$19="")*(O$3:O$19="")*(N$3:N$19="P")*(H$3:H$19=H9)*(K$3:K$19&gt;K9))+IF(I9="L5",SUMPRODUCT((Q$3:Q$19="")*(P$3:P$19="")*(O$3:O$19="")*(N$3:N$19="P")*(H$3:H$19=H9)*(K$3:K$19&lt;K9)*(I$3:I$19&lt;&gt;I9)),-1*SUMPRODUCT((Q$3:Q$19="")*(P$3:P$19="")*(O$3:O$19="")*(N$3:N$19="P")*(H$3:H$19=H9)*(K$3:K$19&gt;K9)*(I$3:I$19="L5")))+1,""))))</f>
        <v/>
      </c>
      <c r="C9" s="36" t="s">
        <v>343</v>
      </c>
      <c r="D9" s="36" t="str">
        <f>IF(E9="","",VLOOKUP(E9,'Coaching Points'!A:B,2,0)&amp;"/"&amp;VLOOKUP(F9,'Coaching Points'!A:B,2,0))</f>
        <v>QC/QC</v>
      </c>
      <c r="E9" s="36" t="s">
        <v>59</v>
      </c>
      <c r="F9" s="36" t="s">
        <v>59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73.58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39.58</v>
      </c>
      <c r="T9" s="4">
        <f>LARGE(CHOOSE({1,2,3,4,5,6},U9,W9,Z9,AB9,AD9,AG9),2)</f>
        <v>34</v>
      </c>
      <c r="U9" s="33">
        <v>34</v>
      </c>
      <c r="V9" s="40">
        <v>5.4</v>
      </c>
      <c r="W9" s="34"/>
      <c r="X9" s="40"/>
      <c r="Y9" s="4">
        <f>IF(I9="Senior",MAX(U9,W9),U9+W9)</f>
        <v>34</v>
      </c>
      <c r="Z9" s="34">
        <v>39.58</v>
      </c>
      <c r="AA9" s="40">
        <v>6.9</v>
      </c>
      <c r="AB9" s="33"/>
      <c r="AC9" s="40"/>
      <c r="AD9" s="34"/>
      <c r="AE9" s="40"/>
      <c r="AF9" s="4">
        <f>IF(I9="Senior",MAX(AB9,AD9),AB9+AD9)</f>
        <v>0</v>
      </c>
      <c r="AG9" s="34"/>
      <c r="AH9" s="37"/>
    </row>
    <row r="10" spans="1:34" x14ac:dyDescent="0.2">
      <c r="A10" s="1" t="str" cm="1">
        <f t="array" ref="A10">IF(J10="","",IF(Q10&lt;&gt;"",SUMPRODUCT((Q$3:Q$19&lt;&gt;"")*(H$3:H$19=H10)*(K$3:K$19&gt;K10)*(J$3:J$19="P"))+1,IF(P10&lt;&gt;"",SUMPRODUCT((P$3:P$19&lt;&gt;"")*(Q$3:Q$19="")*(H$3:H$19=H10)*(K$3:K$19&gt;K10)*(J$3:J$19="P"))+SUMPRODUCT((Q$3:Q$19&lt;&gt;"")*(H$3:H$19=H10)*(J$3:J$19="P"))+1,IF(O10&lt;&gt;"",SUMPRODUCT((O$3:O$19&lt;&gt;"")*(H$3:H$19=H10)*(K$3:K$19&gt;K10)*(J$3:J$19="P"))+1,IF(N10="P",SUMPRODUCT((P$3:P$19&lt;&gt;"")*(Q$3:Q$19="")*(H$3:H$19=H10)*(J$3:J$19="P"))+SUMPRODUCT((Q$3:Q$19&lt;&gt;"")*(H$3:H$19=H10)*(J$3:J$19="P"))+SUMPRODUCT((O$3:O$19&lt;&gt;"")*(H$3:H$19=H10)*(J$3:J$19="P"))+SUMPRODUCT((Q$3:Q$19="")*(P$3:P$19="")*(O$3:O$19="")*(N$3:N$19="P")*(H$3:H$19=H10)*(K$3:K$19&gt;K10)*(J$3:J$19="P"))+IF(I10="L5",SUMPRODUCT((Q$3:Q$19="")*(P$3:P$19="")*(O$3:O$19="")*(N$3:N$19="P")*(H$3:H$19=H10)*(K$3:K$19&lt;K10)*(I$3:I$19&lt;&gt;I10)*(J$3:J$19="P")),-1*SUMPRODUCT((Q$3:Q$19="")*(P$3:P$19="")*(O$3:O$19="")*(N$3:N$19="P")*(H$3:H$19=H10)*(K$3:K$19&gt;K10)*(I$3:I$19="L5")*(J$3:J$19="P")))+1,"")))))</f>
        <v/>
      </c>
      <c r="B10" s="1" t="str" cm="1">
        <f t="array" ref="B10">IF(Q10&lt;&gt;"",SUMPRODUCT((Q$3:Q$19&lt;&gt;"")*(H$3:H$19=H10)*(K$3:K$19&gt;K10))+1,IF(P10&lt;&gt;"",SUMPRODUCT((P$3:P$19&lt;&gt;"")*(Q$3:Q$19="")*(H$3:H$19=H10)*(K$3:K$19&gt;K10))+SUMPRODUCT((Q$3:Q$19&lt;&gt;"")*(H$3:H$19=H10))+1,IF(O10&lt;&gt;"",SUMPRODUCT((O$3:O$19&lt;&gt;"")*(H$3:H$19=H10)*(K$3:K$19&gt;K10))+1,IF(N10="P",SUMPRODUCT((P$3:P$19&lt;&gt;"")*(Q$3:Q$19="")*(H$3:H$19=H10))+SUMPRODUCT((Q$3:Q$19&lt;&gt;"")*(H$3:H$19=H10))+SUMPRODUCT((O$3:O$19&lt;&gt;"")*(H$3:H$19=H10))+SUMPRODUCT((Q$3:Q$19="")*(P$3:P$19="")*(O$3:O$19="")*(N$3:N$19="P")*(H$3:H$19=H10)*(K$3:K$19&gt;K10))+IF(I10="L5",SUMPRODUCT((Q$3:Q$19="")*(P$3:P$19="")*(O$3:O$19="")*(N$3:N$19="P")*(H$3:H$19=H10)*(K$3:K$19&lt;K10)*(I$3:I$19&lt;&gt;I10)),-1*SUMPRODUCT((Q$3:Q$19="")*(P$3:P$19="")*(O$3:O$19="")*(N$3:N$19="P")*(H$3:H$19=H10)*(K$3:K$19&gt;K10)*(I$3:I$19="L5")))+1,""))))</f>
        <v/>
      </c>
      <c r="C10" s="36" t="s">
        <v>345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64.5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39.700000000000003</v>
      </c>
      <c r="T10" s="4">
        <f>LARGE(CHOOSE({1,2,3,4,5,6},U10,W10,Z10,AB10,AD10,AG10),2)</f>
        <v>24.8</v>
      </c>
      <c r="U10" s="33">
        <v>39.700000000000003</v>
      </c>
      <c r="V10" s="40">
        <v>7.2</v>
      </c>
      <c r="W10" s="34"/>
      <c r="X10" s="40"/>
      <c r="Y10" s="4">
        <f>IF(I10="Senior",MAX(U10,W10),U10+W10)</f>
        <v>39.700000000000003</v>
      </c>
      <c r="Z10" s="34">
        <v>24.8</v>
      </c>
      <c r="AA10" s="40">
        <v>4.0999999999999996</v>
      </c>
      <c r="AB10" s="33"/>
      <c r="AC10" s="40"/>
      <c r="AD10" s="34"/>
      <c r="AE10" s="40"/>
      <c r="AF10" s="4">
        <f>IF(I10="Senior",MAX(AB10,AD10),AB10+AD10)</f>
        <v>0</v>
      </c>
      <c r="AG10" s="34"/>
      <c r="AH10" s="37"/>
    </row>
    <row r="11" spans="1:34" x14ac:dyDescent="0.2">
      <c r="A11" s="1" t="str" cm="1">
        <f t="array" ref="A11">IF(J11="","",IF(Q11&lt;&gt;"",SUMPRODUCT((Q$3:Q$19&lt;&gt;"")*(H$3:H$19=H11)*(K$3:K$19&gt;K11)*(J$3:J$19="P"))+1,IF(P11&lt;&gt;"",SUMPRODUCT((P$3:P$19&lt;&gt;"")*(Q$3:Q$19="")*(H$3:H$19=H11)*(K$3:K$19&gt;K11)*(J$3:J$19="P"))+SUMPRODUCT((Q$3:Q$19&lt;&gt;"")*(H$3:H$19=H11)*(J$3:J$19="P"))+1,IF(O11&lt;&gt;"",SUMPRODUCT((O$3:O$19&lt;&gt;"")*(H$3:H$19=H11)*(K$3:K$19&gt;K11)*(J$3:J$19="P"))+1,IF(N11="P",SUMPRODUCT((P$3:P$19&lt;&gt;"")*(Q$3:Q$19="")*(H$3:H$19=H11)*(J$3:J$19="P"))+SUMPRODUCT((Q$3:Q$19&lt;&gt;"")*(H$3:H$19=H11)*(J$3:J$19="P"))+SUMPRODUCT((O$3:O$19&lt;&gt;"")*(H$3:H$19=H11)*(J$3:J$19="P"))+SUMPRODUCT((Q$3:Q$19="")*(P$3:P$19="")*(O$3:O$19="")*(N$3:N$19="P")*(H$3:H$19=H11)*(K$3:K$19&gt;K11)*(J$3:J$19="P"))+IF(I11="L5",SUMPRODUCT((Q$3:Q$19="")*(P$3:P$19="")*(O$3:O$19="")*(N$3:N$19="P")*(H$3:H$19=H11)*(K$3:K$19&lt;K11)*(I$3:I$19&lt;&gt;I11)*(J$3:J$19="P")),-1*SUMPRODUCT((Q$3:Q$19="")*(P$3:P$19="")*(O$3:O$19="")*(N$3:N$19="P")*(H$3:H$19=H11)*(K$3:K$19&gt;K11)*(I$3:I$19="L5")*(J$3:J$19="P")))+1,"")))))</f>
        <v/>
      </c>
      <c r="B11" s="1" t="str" cm="1">
        <f t="array" ref="B11">IF(Q11&lt;&gt;"",SUMPRODUCT((Q$3:Q$19&lt;&gt;"")*(H$3:H$19=H11)*(K$3:K$19&gt;K11))+1,IF(P11&lt;&gt;"",SUMPRODUCT((P$3:P$19&lt;&gt;"")*(Q$3:Q$19="")*(H$3:H$19=H11)*(K$3:K$19&gt;K11))+SUMPRODUCT((Q$3:Q$19&lt;&gt;"")*(H$3:H$19=H11))+1,IF(O11&lt;&gt;"",SUMPRODUCT((O$3:O$19&lt;&gt;"")*(H$3:H$19=H11)*(K$3:K$19&gt;K11))+1,IF(N11="P",SUMPRODUCT((P$3:P$19&lt;&gt;"")*(Q$3:Q$19="")*(H$3:H$19=H11))+SUMPRODUCT((Q$3:Q$19&lt;&gt;"")*(H$3:H$19=H11))+SUMPRODUCT((O$3:O$19&lt;&gt;"")*(H$3:H$19=H11))+SUMPRODUCT((Q$3:Q$19="")*(P$3:P$19="")*(O$3:O$19="")*(N$3:N$19="P")*(H$3:H$19=H11)*(K$3:K$19&gt;K11))+IF(I11="L5",SUMPRODUCT((Q$3:Q$19="")*(P$3:P$19="")*(O$3:O$19="")*(N$3:N$19="P")*(H$3:H$19=H11)*(K$3:K$19&lt;K11)*(I$3:I$19&lt;&gt;I11)),-1*SUMPRODUCT((Q$3:Q$19="")*(P$3:P$19="")*(O$3:O$19="")*(N$3:N$19="P")*(H$3:H$19=H11)*(K$3:K$19&gt;K11)*(I$3:I$19="L5")))+1,""))))</f>
        <v/>
      </c>
      <c r="C11" s="36" t="s">
        <v>347</v>
      </c>
      <c r="D11" s="36" t="str">
        <f>IF(E11="","",VLOOKUP(E11,'Coaching Points'!A:B,2,0)&amp;"/"&amp;VLOOKUP(F11,'Coaching Points'!A:B,2,0))</f>
        <v>QC/QC</v>
      </c>
      <c r="E11" s="36" t="s">
        <v>84</v>
      </c>
      <c r="F11" s="36" t="s">
        <v>84</v>
      </c>
      <c r="G11" s="35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>S11+T11+IF(OR(I11="Junior",I11="Senior"),0.0002,IF(OR(I11="L7",I11="L6"),0.0001,0))+MAX(AB11,AD11,AG11)*0.0000001</f>
        <v>49.270100000000006</v>
      </c>
      <c r="L11" s="3" t="str">
        <f>IF(H11="Not Age Eligible","",IF(MAX(U11,W11,Z11,AB11,AD11,AG11)&gt;=LOOKUP(H11,'Qualifying Scores'!$A$4:$A$7,'Qualifying Scores'!$E$4:$E$7),"P",""))</f>
        <v>P</v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44.31</v>
      </c>
      <c r="T11" s="4">
        <f>LARGE(CHOOSE({1,2,3,4,5,6},U11,W11,Z11,AB11,AD11,AG11),2)</f>
        <v>4.96</v>
      </c>
      <c r="U11" s="33">
        <v>44.31</v>
      </c>
      <c r="V11" s="40">
        <v>7.8</v>
      </c>
      <c r="W11" s="34"/>
      <c r="X11" s="40"/>
      <c r="Y11" s="4">
        <f>IF(I11="Senior",MAX(U11,W11),U11+W11)</f>
        <v>44.31</v>
      </c>
      <c r="Z11" s="34">
        <v>4.96</v>
      </c>
      <c r="AA11" s="40">
        <v>1.3</v>
      </c>
      <c r="AB11" s="33"/>
      <c r="AC11" s="40"/>
      <c r="AD11" s="34"/>
      <c r="AE11" s="40"/>
      <c r="AF11" s="4">
        <f>IF(I11="Senior",MAX(AB11,AD11),AB11+AD11)</f>
        <v>0</v>
      </c>
      <c r="AG11" s="34"/>
      <c r="AH11" s="37"/>
    </row>
    <row r="12" spans="1:34" x14ac:dyDescent="0.2">
      <c r="A12" s="1" t="str" cm="1">
        <f t="array" ref="A12">IF(J12="","",IF(Q12&lt;&gt;"",SUMPRODUCT((Q$3:Q$19&lt;&gt;"")*(H$3:H$19=H12)*(K$3:K$19&gt;K12)*(J$3:J$19="P"))+1,IF(P12&lt;&gt;"",SUMPRODUCT((P$3:P$19&lt;&gt;"")*(Q$3:Q$19="")*(H$3:H$19=H12)*(K$3:K$19&gt;K12)*(J$3:J$19="P"))+SUMPRODUCT((Q$3:Q$19&lt;&gt;"")*(H$3:H$19=H12)*(J$3:J$19="P"))+1,IF(O12&lt;&gt;"",SUMPRODUCT((O$3:O$19&lt;&gt;"")*(H$3:H$19=H12)*(K$3:K$19&gt;K12)*(J$3:J$19="P"))+1,IF(N12="P",SUMPRODUCT((P$3:P$19&lt;&gt;"")*(Q$3:Q$19="")*(H$3:H$19=H12)*(J$3:J$19="P"))+SUMPRODUCT((Q$3:Q$19&lt;&gt;"")*(H$3:H$19=H12)*(J$3:J$19="P"))+SUMPRODUCT((O$3:O$19&lt;&gt;"")*(H$3:H$19=H12)*(J$3:J$19="P"))+SUMPRODUCT((Q$3:Q$19="")*(P$3:P$19="")*(O$3:O$19="")*(N$3:N$19="P")*(H$3:H$19=H12)*(K$3:K$19&gt;K12)*(J$3:J$19="P"))+IF(I12="L5",SUMPRODUCT((Q$3:Q$19="")*(P$3:P$19="")*(O$3:O$19="")*(N$3:N$19="P")*(H$3:H$19=H12)*(K$3:K$19&lt;K12)*(I$3:I$19&lt;&gt;I12)*(J$3:J$19="P")),-1*SUMPRODUCT((Q$3:Q$19="")*(P$3:P$19="")*(O$3:O$19="")*(N$3:N$19="P")*(H$3:H$19=H12)*(K$3:K$19&gt;K12)*(I$3:I$19="L5")*(J$3:J$19="P")))+1,"")))))</f>
        <v/>
      </c>
      <c r="B12" s="1" t="str" cm="1">
        <f t="array" ref="B12">IF(Q12&lt;&gt;"",SUMPRODUCT((Q$3:Q$19&lt;&gt;"")*(H$3:H$19=H12)*(K$3:K$19&gt;K12))+1,IF(P12&lt;&gt;"",SUMPRODUCT((P$3:P$19&lt;&gt;"")*(Q$3:Q$19="")*(H$3:H$19=H12)*(K$3:K$19&gt;K12))+SUMPRODUCT((Q$3:Q$19&lt;&gt;"")*(H$3:H$19=H12))+1,IF(O12&lt;&gt;"",SUMPRODUCT((O$3:O$19&lt;&gt;"")*(H$3:H$19=H12)*(K$3:K$19&gt;K12))+1,IF(N12="P",SUMPRODUCT((P$3:P$19&lt;&gt;"")*(Q$3:Q$19="")*(H$3:H$19=H12))+SUMPRODUCT((Q$3:Q$19&lt;&gt;"")*(H$3:H$19=H12))+SUMPRODUCT((O$3:O$19&lt;&gt;"")*(H$3:H$19=H12))+SUMPRODUCT((Q$3:Q$19="")*(P$3:P$19="")*(O$3:O$19="")*(N$3:N$19="P")*(H$3:H$19=H12)*(K$3:K$19&gt;K12))+IF(I12="L5",SUMPRODUCT((Q$3:Q$19="")*(P$3:P$19="")*(O$3:O$19="")*(N$3:N$19="P")*(H$3:H$19=H12)*(K$3:K$19&lt;K12)*(I$3:I$19&lt;&gt;I12)),-1*SUMPRODUCT((Q$3:Q$19="")*(P$3:P$19="")*(O$3:O$19="")*(N$3:N$19="P")*(H$3:H$19=H12)*(K$3:K$19&gt;K12)*(I$3:I$19="L5")))+1,""))))</f>
        <v/>
      </c>
      <c r="C12" s="36" t="s">
        <v>262</v>
      </c>
      <c r="D12" s="36" t="str">
        <f>IF(E12="","",VLOOKUP(E12,'Coaching Points'!A:B,2,0)&amp;"/"&amp;VLOOKUP(F12,'Coaching Points'!A:B,2,0))</f>
        <v>AB/AB</v>
      </c>
      <c r="E12" s="36" t="s">
        <v>29</v>
      </c>
      <c r="F12" s="36" t="s">
        <v>29</v>
      </c>
      <c r="G12" s="35">
        <v>2004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>S12+T12+IF(OR(I12="Junior",I12="Senior"),0.0002,IF(OR(I12="L7",I12="L6"),0.0001,0))+MAX(AB12,AD12,AG12)*0.0000001</f>
        <v>45.430100000000003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40.729999999999997</v>
      </c>
      <c r="T12" s="4">
        <f>LARGE(CHOOSE({1,2,3,4,5,6},U12,W12,Z12,AB12,AD12,AG12),2)</f>
        <v>4.7</v>
      </c>
      <c r="U12" s="33">
        <v>40.729999999999997</v>
      </c>
      <c r="V12" s="40">
        <v>8.5</v>
      </c>
      <c r="W12" s="34"/>
      <c r="X12" s="40"/>
      <c r="Y12" s="4">
        <f>IF(I12="Senior",MAX(U12,W12),U12+W12)</f>
        <v>40.729999999999997</v>
      </c>
      <c r="Z12" s="34">
        <v>4.7</v>
      </c>
      <c r="AA12" s="40">
        <v>1.3</v>
      </c>
      <c r="AB12" s="33"/>
      <c r="AC12" s="40"/>
      <c r="AD12" s="34"/>
      <c r="AE12" s="40"/>
      <c r="AF12" s="4">
        <f>IF(I12="Senior",MAX(AB12,AD12),AB12+AD12)</f>
        <v>0</v>
      </c>
      <c r="AG12" s="34"/>
      <c r="AH12" s="37"/>
    </row>
    <row r="13" spans="1:34" x14ac:dyDescent="0.2">
      <c r="A13" s="1" t="str" cm="1">
        <f t="array" ref="A13">IF(J13="","",IF(Q13&lt;&gt;"",SUMPRODUCT((Q$3:Q$19&lt;&gt;"")*(H$3:H$19=H13)*(K$3:K$19&gt;K13)*(J$3:J$19="P"))+1,IF(P13&lt;&gt;"",SUMPRODUCT((P$3:P$19&lt;&gt;"")*(Q$3:Q$19="")*(H$3:H$19=H13)*(K$3:K$19&gt;K13)*(J$3:J$19="P"))+SUMPRODUCT((Q$3:Q$19&lt;&gt;"")*(H$3:H$19=H13)*(J$3:J$19="P"))+1,IF(O13&lt;&gt;"",SUMPRODUCT((O$3:O$19&lt;&gt;"")*(H$3:H$19=H13)*(K$3:K$19&gt;K13)*(J$3:J$19="P"))+1,IF(N13="P",SUMPRODUCT((P$3:P$19&lt;&gt;"")*(Q$3:Q$19="")*(H$3:H$19=H13)*(J$3:J$19="P"))+SUMPRODUCT((Q$3:Q$19&lt;&gt;"")*(H$3:H$19=H13)*(J$3:J$19="P"))+SUMPRODUCT((O$3:O$19&lt;&gt;"")*(H$3:H$19=H13)*(J$3:J$19="P"))+SUMPRODUCT((Q$3:Q$19="")*(P$3:P$19="")*(O$3:O$19="")*(N$3:N$19="P")*(H$3:H$19=H13)*(K$3:K$19&gt;K13)*(J$3:J$19="P"))+IF(I13="L5",SUMPRODUCT((Q$3:Q$19="")*(P$3:P$19="")*(O$3:O$19="")*(N$3:N$19="P")*(H$3:H$19=H13)*(K$3:K$19&lt;K13)*(I$3:I$19&lt;&gt;I13)*(J$3:J$19="P")),-1*SUMPRODUCT((Q$3:Q$19="")*(P$3:P$19="")*(O$3:O$19="")*(N$3:N$19="P")*(H$3:H$19=H13)*(K$3:K$19&gt;K13)*(I$3:I$19="L5")*(J$3:J$19="P")))+1,"")))))</f>
        <v/>
      </c>
      <c r="B13" s="1" t="str" cm="1">
        <f t="array" ref="B13">IF(Q13&lt;&gt;"",SUMPRODUCT((Q$3:Q$19&lt;&gt;"")*(H$3:H$19=H13)*(K$3:K$19&gt;K13))+1,IF(P13&lt;&gt;"",SUMPRODUCT((P$3:P$19&lt;&gt;"")*(Q$3:Q$19="")*(H$3:H$19=H13)*(K$3:K$19&gt;K13))+SUMPRODUCT((Q$3:Q$19&lt;&gt;"")*(H$3:H$19=H13))+1,IF(O13&lt;&gt;"",SUMPRODUCT((O$3:O$19&lt;&gt;"")*(H$3:H$19=H13)*(K$3:K$19&gt;K13))+1,IF(N13="P",SUMPRODUCT((P$3:P$19&lt;&gt;"")*(Q$3:Q$19="")*(H$3:H$19=H13))+SUMPRODUCT((Q$3:Q$19&lt;&gt;"")*(H$3:H$19=H13))+SUMPRODUCT((O$3:O$19&lt;&gt;"")*(H$3:H$19=H13))+SUMPRODUCT((Q$3:Q$19="")*(P$3:P$19="")*(O$3:O$19="")*(N$3:N$19="P")*(H$3:H$19=H13)*(K$3:K$19&gt;K13))+IF(I13="L5",SUMPRODUCT((Q$3:Q$19="")*(P$3:P$19="")*(O$3:O$19="")*(N$3:N$19="P")*(H$3:H$19=H13)*(K$3:K$19&lt;K13)*(I$3:I$19&lt;&gt;I13)),-1*SUMPRODUCT((Q$3:Q$19="")*(P$3:P$19="")*(O$3:O$19="")*(N$3:N$19="P")*(H$3:H$19=H13)*(K$3:K$19&gt;K13)*(I$3:I$19="L5")))+1,""))))</f>
        <v/>
      </c>
      <c r="C13" s="36" t="s">
        <v>256</v>
      </c>
      <c r="D13" s="36" t="str">
        <f>IF(E13="","",VLOOKUP(E13,'Coaching Points'!A:B,2,0)&amp;"/"&amp;VLOOKUP(F13,'Coaching Points'!A:B,2,0))</f>
        <v>BC/BC</v>
      </c>
      <c r="E13" s="36" t="s">
        <v>46</v>
      </c>
      <c r="F13" s="36" t="s">
        <v>46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>S13+T13+IF(OR(I13="Junior",I13="Senior"),0.0002,IF(OR(I13="L7",I13="L6"),0.0001,0))+MAX(AB13,AD13,AG13)*0.0000001</f>
        <v>33.770000000000003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33.770000000000003</v>
      </c>
      <c r="T13" s="4">
        <f>LARGE(CHOOSE({1,2,3,4,5,6},U13,W13,Z13,AB13,AD13,AG13),2)</f>
        <v>0</v>
      </c>
      <c r="U13" s="33">
        <v>33.770000000000003</v>
      </c>
      <c r="V13" s="40">
        <v>7.1</v>
      </c>
      <c r="W13" s="34"/>
      <c r="X13" s="40"/>
      <c r="Y13" s="4">
        <f>IF(I13="Senior",MAX(U13,W13),U13+W13)</f>
        <v>33.770000000000003</v>
      </c>
      <c r="Z13" s="34"/>
      <c r="AA13" s="40"/>
      <c r="AB13" s="33"/>
      <c r="AC13" s="40"/>
      <c r="AD13" s="34"/>
      <c r="AE13" s="40"/>
      <c r="AF13" s="4">
        <f>IF(I13="Senior",MAX(AB13,AD13),AB13+AD13)</f>
        <v>0</v>
      </c>
      <c r="AG13" s="34"/>
      <c r="AH13" s="37"/>
    </row>
    <row r="14" spans="1:34" x14ac:dyDescent="0.2">
      <c r="A14" s="1" t="str" cm="1">
        <f t="array" ref="A14">IF(J14="","",IF(Q14&lt;&gt;"",SUMPRODUCT((Q$3:Q$19&lt;&gt;"")*(H$3:H$19=H14)*(K$3:K$19&gt;K14)*(J$3:J$19="P"))+1,IF(P14&lt;&gt;"",SUMPRODUCT((P$3:P$19&lt;&gt;"")*(Q$3:Q$19="")*(H$3:H$19=H14)*(K$3:K$19&gt;K14)*(J$3:J$19="P"))+SUMPRODUCT((Q$3:Q$19&lt;&gt;"")*(H$3:H$19=H14)*(J$3:J$19="P"))+1,IF(O14&lt;&gt;"",SUMPRODUCT((O$3:O$19&lt;&gt;"")*(H$3:H$19=H14)*(K$3:K$19&gt;K14)*(J$3:J$19="P"))+1,IF(N14="P",SUMPRODUCT((P$3:P$19&lt;&gt;"")*(Q$3:Q$19="")*(H$3:H$19=H14)*(J$3:J$19="P"))+SUMPRODUCT((Q$3:Q$19&lt;&gt;"")*(H$3:H$19=H14)*(J$3:J$19="P"))+SUMPRODUCT((O$3:O$19&lt;&gt;"")*(H$3:H$19=H14)*(J$3:J$19="P"))+SUMPRODUCT((Q$3:Q$19="")*(P$3:P$19="")*(O$3:O$19="")*(N$3:N$19="P")*(H$3:H$19=H14)*(K$3:K$19&gt;K14)*(J$3:J$19="P"))+IF(I14="L5",SUMPRODUCT((Q$3:Q$19="")*(P$3:P$19="")*(O$3:O$19="")*(N$3:N$19="P")*(H$3:H$19=H14)*(K$3:K$19&lt;K14)*(I$3:I$19&lt;&gt;I14)*(J$3:J$19="P")),-1*SUMPRODUCT((Q$3:Q$19="")*(P$3:P$19="")*(O$3:O$19="")*(N$3:N$19="P")*(H$3:H$19=H14)*(K$3:K$19&gt;K14)*(I$3:I$19="L5")*(J$3:J$19="P")))+1,"")))))</f>
        <v/>
      </c>
      <c r="B14" s="1" t="str" cm="1">
        <f t="array" ref="B14">IF(Q14&lt;&gt;"",SUMPRODUCT((Q$3:Q$19&lt;&gt;"")*(H$3:H$19=H14)*(K$3:K$19&gt;K14))+1,IF(P14&lt;&gt;"",SUMPRODUCT((P$3:P$19&lt;&gt;"")*(Q$3:Q$19="")*(H$3:H$19=H14)*(K$3:K$19&gt;K14))+SUMPRODUCT((Q$3:Q$19&lt;&gt;"")*(H$3:H$19=H14))+1,IF(O14&lt;&gt;"",SUMPRODUCT((O$3:O$19&lt;&gt;"")*(H$3:H$19=H14)*(K$3:K$19&gt;K14))+1,IF(N14="P",SUMPRODUCT((P$3:P$19&lt;&gt;"")*(Q$3:Q$19="")*(H$3:H$19=H14))+SUMPRODUCT((Q$3:Q$19&lt;&gt;"")*(H$3:H$19=H14))+SUMPRODUCT((O$3:O$19&lt;&gt;"")*(H$3:H$19=H14))+SUMPRODUCT((Q$3:Q$19="")*(P$3:P$19="")*(O$3:O$19="")*(N$3:N$19="P")*(H$3:H$19=H14)*(K$3:K$19&gt;K14))+IF(I14="L5",SUMPRODUCT((Q$3:Q$19="")*(P$3:P$19="")*(O$3:O$19="")*(N$3:N$19="P")*(H$3:H$19=H14)*(K$3:K$19&lt;K14)*(I$3:I$19&lt;&gt;I14)),-1*SUMPRODUCT((Q$3:Q$19="")*(P$3:P$19="")*(O$3:O$19="")*(N$3:N$19="P")*(H$3:H$19=H14)*(K$3:K$19&gt;K14)*(I$3:I$19="L5")))+1,""))))</f>
        <v/>
      </c>
      <c r="C14" s="36" t="s">
        <v>346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>S14+T14+IF(OR(I14="Junior",I14="Senior"),0.0002,IF(OR(I14="L7",I14="L6"),0.0001,0))+MAX(AB14,AD14,AG14)*0.0000001</f>
        <v>17.79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17.79</v>
      </c>
      <c r="T14" s="4">
        <f>LARGE(CHOOSE({1,2,3,4,5,6},U14,W14,Z14,AB14,AD14,AG14),2)</f>
        <v>0</v>
      </c>
      <c r="U14" s="33">
        <v>17.79</v>
      </c>
      <c r="V14" s="40">
        <v>3.9</v>
      </c>
      <c r="W14" s="34"/>
      <c r="X14" s="40"/>
      <c r="Y14" s="4">
        <f>IF(I14="Senior",MAX(U14,W14),U14+W14)</f>
        <v>17.79</v>
      </c>
      <c r="Z14" s="34"/>
      <c r="AA14" s="40"/>
      <c r="AB14" s="33"/>
      <c r="AC14" s="40"/>
      <c r="AD14" s="34"/>
      <c r="AE14" s="40"/>
      <c r="AF14" s="4">
        <f>IF(I14="Senior",MAX(AB14,AD14),AB14+AD14)</f>
        <v>0</v>
      </c>
      <c r="AG14" s="34"/>
      <c r="AH14" s="37"/>
    </row>
    <row r="15" spans="1:34" x14ac:dyDescent="0.2">
      <c r="A15" s="1" t="str" cm="1">
        <f t="array" ref="A15">IF(J15="","",IF(Q15&lt;&gt;"",SUMPRODUCT((Q$3:Q$19&lt;&gt;"")*(H$3:H$19=H15)*(K$3:K$19&gt;K15)*(J$3:J$19="P"))+1,IF(P15&lt;&gt;"",SUMPRODUCT((P$3:P$19&lt;&gt;"")*(Q$3:Q$19="")*(H$3:H$19=H15)*(K$3:K$19&gt;K15)*(J$3:J$19="P"))+SUMPRODUCT((Q$3:Q$19&lt;&gt;"")*(H$3:H$19=H15)*(J$3:J$19="P"))+1,IF(O15&lt;&gt;"",SUMPRODUCT((O$3:O$19&lt;&gt;"")*(H$3:H$19=H15)*(K$3:K$19&gt;K15)*(J$3:J$19="P"))+1,IF(N15="P",SUMPRODUCT((P$3:P$19&lt;&gt;"")*(Q$3:Q$19="")*(H$3:H$19=H15)*(J$3:J$19="P"))+SUMPRODUCT((Q$3:Q$19&lt;&gt;"")*(H$3:H$19=H15)*(J$3:J$19="P"))+SUMPRODUCT((O$3:O$19&lt;&gt;"")*(H$3:H$19=H15)*(J$3:J$19="P"))+SUMPRODUCT((Q$3:Q$19="")*(P$3:P$19="")*(O$3:O$19="")*(N$3:N$19="P")*(H$3:H$19=H15)*(K$3:K$19&gt;K15)*(J$3:J$19="P"))+IF(I15="L5",SUMPRODUCT((Q$3:Q$19="")*(P$3:P$19="")*(O$3:O$19="")*(N$3:N$19="P")*(H$3:H$19=H15)*(K$3:K$19&lt;K15)*(I$3:I$19&lt;&gt;I15)*(J$3:J$19="P")),-1*SUMPRODUCT((Q$3:Q$19="")*(P$3:P$19="")*(O$3:O$19="")*(N$3:N$19="P")*(H$3:H$19=H15)*(K$3:K$19&gt;K15)*(I$3:I$19="L5")*(J$3:J$19="P")))+1,"")))))</f>
        <v/>
      </c>
      <c r="B15" s="1" t="str" cm="1">
        <f t="array" ref="B15">IF(Q15&lt;&gt;"",SUMPRODUCT((Q$3:Q$19&lt;&gt;"")*(H$3:H$19=H15)*(K$3:K$19&gt;K15))+1,IF(P15&lt;&gt;"",SUMPRODUCT((P$3:P$19&lt;&gt;"")*(Q$3:Q$19="")*(H$3:H$19=H15)*(K$3:K$19&gt;K15))+SUMPRODUCT((Q$3:Q$19&lt;&gt;"")*(H$3:H$19=H15))+1,IF(O15&lt;&gt;"",SUMPRODUCT((O$3:O$19&lt;&gt;"")*(H$3:H$19=H15)*(K$3:K$19&gt;K15))+1,IF(N15="P",SUMPRODUCT((P$3:P$19&lt;&gt;"")*(Q$3:Q$19="")*(H$3:H$19=H15))+SUMPRODUCT((Q$3:Q$19&lt;&gt;"")*(H$3:H$19=H15))+SUMPRODUCT((O$3:O$19&lt;&gt;"")*(H$3:H$19=H15))+SUMPRODUCT((Q$3:Q$19="")*(P$3:P$19="")*(O$3:O$19="")*(N$3:N$19="P")*(H$3:H$19=H15)*(K$3:K$19&gt;K15))+IF(I15="L5",SUMPRODUCT((Q$3:Q$19="")*(P$3:P$19="")*(O$3:O$19="")*(N$3:N$19="P")*(H$3:H$19=H15)*(K$3:K$19&lt;K15)*(I$3:I$19&lt;&gt;I15)),-1*SUMPRODUCT((Q$3:Q$19="")*(P$3:P$19="")*(O$3:O$19="")*(N$3:N$19="P")*(H$3:H$19=H15)*(K$3:K$19&gt;K15)*(I$3:I$19="L5")))+1,""))))</f>
        <v/>
      </c>
      <c r="C15" s="36" t="s">
        <v>257</v>
      </c>
      <c r="D15" s="36" t="str">
        <f>IF(E15="","",VLOOKUP(E15,'Coaching Points'!A:B,2,0)&amp;"/"&amp;VLOOKUP(F15,'Coaching Points'!A:B,2,0))</f>
        <v>NS/NS</v>
      </c>
      <c r="E15" s="36" t="s">
        <v>134</v>
      </c>
      <c r="F15" s="36" t="s">
        <v>134</v>
      </c>
      <c r="G15" s="35">
        <v>2003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>S15+T15+IF(OR(I15="Junior",I15="Senior"),0.0002,IF(OR(I15="L7",I15="L6"),0.0001,0))+MAX(AB15,AD15,AG15)*0.0000001</f>
        <v>4.8499999999999996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4.8499999999999996</v>
      </c>
      <c r="T15" s="4">
        <f>LARGE(CHOOSE({1,2,3,4,5,6},U15,W15,Z15,AB15,AD15,AG15),2)</f>
        <v>0</v>
      </c>
      <c r="U15" s="33">
        <v>4.8499999999999996</v>
      </c>
      <c r="V15" s="40">
        <v>1.3</v>
      </c>
      <c r="W15" s="34"/>
      <c r="X15" s="40"/>
      <c r="Y15" s="4">
        <f>IF(I15="Senior",MAX(U15,W15),U15+W15)</f>
        <v>4.8499999999999996</v>
      </c>
      <c r="Z15" s="34"/>
      <c r="AA15" s="40"/>
      <c r="AB15" s="33"/>
      <c r="AC15" s="40"/>
      <c r="AD15" s="34"/>
      <c r="AE15" s="40"/>
      <c r="AF15" s="4">
        <f>IF(I15="Senior",MAX(AB15,AD15),AB15+AD15)</f>
        <v>0</v>
      </c>
      <c r="AG15" s="34"/>
      <c r="AH15" s="37"/>
    </row>
    <row r="16" spans="1:34" x14ac:dyDescent="0.2">
      <c r="A16" s="1" t="str" cm="1">
        <f t="array" ref="A16">IF(J16="","",IF(Q16&lt;&gt;"",SUMPRODUCT((Q$3:Q$19&lt;&gt;"")*(H$3:H$19=H16)*(K$3:K$19&gt;K16)*(J$3:J$19="P"))+1,IF(P16&lt;&gt;"",SUMPRODUCT((P$3:P$19&lt;&gt;"")*(Q$3:Q$19="")*(H$3:H$19=H16)*(K$3:K$19&gt;K16)*(J$3:J$19="P"))+SUMPRODUCT((Q$3:Q$19&lt;&gt;"")*(H$3:H$19=H16)*(J$3:J$19="P"))+1,IF(O16&lt;&gt;"",SUMPRODUCT((O$3:O$19&lt;&gt;"")*(H$3:H$19=H16)*(K$3:K$19&gt;K16)*(J$3:J$19="P"))+1,IF(N16="P",SUMPRODUCT((P$3:P$19&lt;&gt;"")*(Q$3:Q$19="")*(H$3:H$19=H16)*(J$3:J$19="P"))+SUMPRODUCT((Q$3:Q$19&lt;&gt;"")*(H$3:H$19=H16)*(J$3:J$19="P"))+SUMPRODUCT((O$3:O$19&lt;&gt;"")*(H$3:H$19=H16)*(J$3:J$19="P"))+SUMPRODUCT((Q$3:Q$19="")*(P$3:P$19="")*(O$3:O$19="")*(N$3:N$19="P")*(H$3:H$19=H16)*(K$3:K$19&gt;K16)*(J$3:J$19="P"))+IF(I16="L5",SUMPRODUCT((Q$3:Q$19="")*(P$3:P$19="")*(O$3:O$19="")*(N$3:N$19="P")*(H$3:H$19=H16)*(K$3:K$19&lt;K16)*(I$3:I$19&lt;&gt;I16)*(J$3:J$19="P")),-1*SUMPRODUCT((Q$3:Q$19="")*(P$3:P$19="")*(O$3:O$19="")*(N$3:N$19="P")*(H$3:H$19=H16)*(K$3:K$19&gt;K16)*(I$3:I$19="L5")*(J$3:J$19="P")))+1,"")))))</f>
        <v/>
      </c>
      <c r="B16" s="1" cm="1">
        <f t="array" ref="B16">IF(Q16&lt;&gt;"",SUMPRODUCT((Q$3:Q$19&lt;&gt;"")*(H$3:H$19=H16)*(K$3:K$19&gt;K16))+1,IF(P16&lt;&gt;"",SUMPRODUCT((P$3:P$19&lt;&gt;"")*(Q$3:Q$19="")*(H$3:H$19=H16)*(K$3:K$19&gt;K16))+SUMPRODUCT((Q$3:Q$19&lt;&gt;"")*(H$3:H$19=H16))+1,IF(O16&lt;&gt;"",SUMPRODUCT((O$3:O$19&lt;&gt;"")*(H$3:H$19=H16)*(K$3:K$19&gt;K16))+1,IF(N16="P",SUMPRODUCT((P$3:P$19&lt;&gt;"")*(Q$3:Q$19="")*(H$3:H$19=H16))+SUMPRODUCT((Q$3:Q$19&lt;&gt;"")*(H$3:H$19=H16))+SUMPRODUCT((O$3:O$19&lt;&gt;"")*(H$3:H$19=H16))+SUMPRODUCT((Q$3:Q$19="")*(P$3:P$19="")*(O$3:O$19="")*(N$3:N$19="P")*(H$3:H$19=H16)*(K$3:K$19&gt;K16))+IF(I16="L5",SUMPRODUCT((Q$3:Q$19="")*(P$3:P$19="")*(O$3:O$19="")*(N$3:N$19="P")*(H$3:H$19=H16)*(K$3:K$19&lt;K16)*(I$3:I$19&lt;&gt;I16)),-1*SUMPRODUCT((Q$3:Q$19="")*(P$3:P$19="")*(O$3:O$19="")*(N$3:N$19="P")*(H$3:H$19=H16)*(K$3:K$19&gt;K16)*(I$3:I$19="L5")))+1,""))))</f>
        <v>1</v>
      </c>
      <c r="C16" s="36" t="s">
        <v>258</v>
      </c>
      <c r="D16" s="36" t="str">
        <f>IF(E16="","",VLOOKUP(E16,'Coaching Points'!A:B,2,0)&amp;"/"&amp;VLOOKUP(F16,'Coaching Points'!A:B,2,0))</f>
        <v>BC/BC</v>
      </c>
      <c r="E16" s="36" t="s">
        <v>41</v>
      </c>
      <c r="F16" s="36" t="s">
        <v>291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66</v>
      </c>
      <c r="J16" s="43"/>
      <c r="K16" s="4">
        <f>S16+T16+IF(OR(I16="Junior",I16="Senior"),0.0002,IF(OR(I16="L7",I16="L6"),0.0001,0))+MAX(AB16,AD16,AG16)*0.0000001</f>
        <v>73.11</v>
      </c>
      <c r="L16" s="3" t="str">
        <f>IF(H16="Not Age Eligible","",IF(MAX(U16,W16,Z16,AB16,AD16,AG16)&gt;=LOOKUP(H16,'Qualifying Scores'!$A$4:$A$7,'Qualifying Scores'!$E$4:$E$7),"P",""))</f>
        <v>P</v>
      </c>
      <c r="M16" s="3" t="str">
        <f>IF(H16="Not Age Eligible","",IF(MAX(V16,X16,AA16,AC16,AE16,AH16)&gt;=LOOKUP(H16,'Qualifying Scores'!$A$10:$A$13,'Qualifying Scores'!$E$10:$E$13),"P",""))</f>
        <v>P</v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>P</v>
      </c>
      <c r="R16" s="1" t="str">
        <f>IF(A16&lt;5,IF(_xlfn.MAXIFS(A:A,H:H,H16)&gt;3,5-A16,_xlfn.MAXIFS(A:A,H:H,H16)+1-A16),"")</f>
        <v/>
      </c>
      <c r="S16" s="4">
        <f>MAX(U16,W16,Z16,AB16,AD16,AG16)</f>
        <v>43.04</v>
      </c>
      <c r="T16" s="4">
        <f>LARGE(CHOOSE({1,2,3,4,5,6},U16,W16,Z16,AB16,AD16,AG16),2)</f>
        <v>30.07</v>
      </c>
      <c r="U16" s="33">
        <v>30.07</v>
      </c>
      <c r="V16" s="40">
        <v>5.8</v>
      </c>
      <c r="W16" s="34"/>
      <c r="X16" s="40"/>
      <c r="Y16" s="4">
        <f>IF(I16="Senior",MAX(U16,W16),U16+W16)</f>
        <v>30.07</v>
      </c>
      <c r="Z16" s="34">
        <v>43.04</v>
      </c>
      <c r="AA16" s="40">
        <v>8.1999999999999993</v>
      </c>
      <c r="AB16" s="33"/>
      <c r="AC16" s="40"/>
      <c r="AD16" s="34"/>
      <c r="AE16" s="40"/>
      <c r="AF16" s="4">
        <f>IF(I16="Senior",MAX(AB16,AD16),AB16+AD16)</f>
        <v>0</v>
      </c>
      <c r="AG16" s="34"/>
      <c r="AH16" s="37"/>
    </row>
    <row r="17" spans="1:34" x14ac:dyDescent="0.2">
      <c r="A17" s="1" t="str" cm="1">
        <f t="array" ref="A17">IF(J17="","",IF(Q17&lt;&gt;"",SUMPRODUCT((Q$3:Q$19&lt;&gt;"")*(H$3:H$19=H17)*(K$3:K$19&gt;K17)*(J$3:J$19="P"))+1,IF(P17&lt;&gt;"",SUMPRODUCT((P$3:P$19&lt;&gt;"")*(Q$3:Q$19="")*(H$3:H$19=H17)*(K$3:K$19&gt;K17)*(J$3:J$19="P"))+SUMPRODUCT((Q$3:Q$19&lt;&gt;"")*(H$3:H$19=H17)*(J$3:J$19="P"))+1,IF(O17&lt;&gt;"",SUMPRODUCT((O$3:O$19&lt;&gt;"")*(H$3:H$19=H17)*(K$3:K$19&gt;K17)*(J$3:J$19="P"))+1,IF(N17="P",SUMPRODUCT((P$3:P$19&lt;&gt;"")*(Q$3:Q$19="")*(H$3:H$19=H17)*(J$3:J$19="P"))+SUMPRODUCT((Q$3:Q$19&lt;&gt;"")*(H$3:H$19=H17)*(J$3:J$19="P"))+SUMPRODUCT((O$3:O$19&lt;&gt;"")*(H$3:H$19=H17)*(J$3:J$19="P"))+SUMPRODUCT((Q$3:Q$19="")*(P$3:P$19="")*(O$3:O$19="")*(N$3:N$19="P")*(H$3:H$19=H17)*(K$3:K$19&gt;K17)*(J$3:J$19="P"))+IF(I17="L5",SUMPRODUCT((Q$3:Q$19="")*(P$3:P$19="")*(O$3:O$19="")*(N$3:N$19="P")*(H$3:H$19=H17)*(K$3:K$19&lt;K17)*(I$3:I$19&lt;&gt;I17)*(J$3:J$19="P")),-1*SUMPRODUCT((Q$3:Q$19="")*(P$3:P$19="")*(O$3:O$19="")*(N$3:N$19="P")*(H$3:H$19=H17)*(K$3:K$19&gt;K17)*(I$3:I$19="L5")*(J$3:J$19="P")))+1,"")))))</f>
        <v/>
      </c>
      <c r="B17" s="1" t="str" cm="1">
        <f t="array" ref="B17">IF(Q17&lt;&gt;"",SUMPRODUCT((Q$3:Q$19&lt;&gt;"")*(H$3:H$19=H17)*(K$3:K$19&gt;K17))+1,IF(P17&lt;&gt;"",SUMPRODUCT((P$3:P$19&lt;&gt;"")*(Q$3:Q$19="")*(H$3:H$19=H17)*(K$3:K$19&gt;K17))+SUMPRODUCT((Q$3:Q$19&lt;&gt;"")*(H$3:H$19=H17))+1,IF(O17&lt;&gt;"",SUMPRODUCT((O$3:O$19&lt;&gt;"")*(H$3:H$19=H17)*(K$3:K$19&gt;K17))+1,IF(N17="P",SUMPRODUCT((P$3:P$19&lt;&gt;"")*(Q$3:Q$19="")*(H$3:H$19=H17))+SUMPRODUCT((Q$3:Q$19&lt;&gt;"")*(H$3:H$19=H17))+SUMPRODUCT((O$3:O$19&lt;&gt;"")*(H$3:H$19=H17))+SUMPRODUCT((Q$3:Q$19="")*(P$3:P$19="")*(O$3:O$19="")*(N$3:N$19="P")*(H$3:H$19=H17)*(K$3:K$19&gt;K17))+IF(I17="L5",SUMPRODUCT((Q$3:Q$19="")*(P$3:P$19="")*(O$3:O$19="")*(N$3:N$19="P")*(H$3:H$19=H17)*(K$3:K$19&lt;K17)*(I$3:I$19&lt;&gt;I17)),-1*SUMPRODUCT((Q$3:Q$19="")*(P$3:P$19="")*(O$3:O$19="")*(N$3:N$19="P")*(H$3:H$19=H17)*(K$3:K$19&gt;K17)*(I$3:I$19="L5")))+1,""))))</f>
        <v/>
      </c>
      <c r="C17" s="36" t="s">
        <v>341</v>
      </c>
      <c r="D17" s="36" t="str">
        <f>IF(E17="","",VLOOKUP(E17,'Coaching Points'!A:B,2,0)&amp;"/"&amp;VLOOKUP(F17,'Coaching Points'!A:B,2,0))</f>
        <v>AB/AB</v>
      </c>
      <c r="E17" s="36" t="s">
        <v>29</v>
      </c>
      <c r="F17" s="36" t="s">
        <v>29</v>
      </c>
      <c r="G17" s="35">
        <v>2007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66</v>
      </c>
      <c r="J17" s="43"/>
      <c r="K17" s="4">
        <f>S17+T17+IF(OR(I17="Junior",I17="Senior"),0.0002,IF(OR(I17="L7",I17="L6"),0.0001,0))+MAX(AB17,AD17,AG17)*0.0000001</f>
        <v>83.31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42.1</v>
      </c>
      <c r="T17" s="4">
        <f>LARGE(CHOOSE({1,2,3,4,5,6},U17,W17,Z17,AB17,AD17,AG17),2)</f>
        <v>41.21</v>
      </c>
      <c r="U17" s="33">
        <v>41.21</v>
      </c>
      <c r="V17" s="40">
        <v>7</v>
      </c>
      <c r="W17" s="34"/>
      <c r="X17" s="40"/>
      <c r="Y17" s="4">
        <f>IF(I17="Senior",MAX(U17,W17),U17+W17)</f>
        <v>41.21</v>
      </c>
      <c r="Z17" s="34">
        <v>42.1</v>
      </c>
      <c r="AA17" s="40">
        <v>7</v>
      </c>
      <c r="AB17" s="33"/>
      <c r="AC17" s="40"/>
      <c r="AD17" s="34"/>
      <c r="AE17" s="40"/>
      <c r="AF17" s="4">
        <f>IF(I17="Senior",MAX(AB17,AD17),AB17+AD17)</f>
        <v>0</v>
      </c>
      <c r="AG17" s="34"/>
      <c r="AH17" s="37"/>
    </row>
    <row r="18" spans="1:34" x14ac:dyDescent="0.2">
      <c r="A18" s="1" t="str" cm="1">
        <f t="array" ref="A18">IF(J18="","",IF(Q18&lt;&gt;"",SUMPRODUCT((Q$3:Q$19&lt;&gt;"")*(H$3:H$19=H18)*(K$3:K$19&gt;K18)*(J$3:J$19="P"))+1,IF(P18&lt;&gt;"",SUMPRODUCT((P$3:P$19&lt;&gt;"")*(Q$3:Q$19="")*(H$3:H$19=H18)*(K$3:K$19&gt;K18)*(J$3:J$19="P"))+SUMPRODUCT((Q$3:Q$19&lt;&gt;"")*(H$3:H$19=H18)*(J$3:J$19="P"))+1,IF(O18&lt;&gt;"",SUMPRODUCT((O$3:O$19&lt;&gt;"")*(H$3:H$19=H18)*(K$3:K$19&gt;K18)*(J$3:J$19="P"))+1,IF(N18="P",SUMPRODUCT((P$3:P$19&lt;&gt;"")*(Q$3:Q$19="")*(H$3:H$19=H18)*(J$3:J$19="P"))+SUMPRODUCT((Q$3:Q$19&lt;&gt;"")*(H$3:H$19=H18)*(J$3:J$19="P"))+SUMPRODUCT((O$3:O$19&lt;&gt;"")*(H$3:H$19=H18)*(J$3:J$19="P"))+SUMPRODUCT((Q$3:Q$19="")*(P$3:P$19="")*(O$3:O$19="")*(N$3:N$19="P")*(H$3:H$19=H18)*(K$3:K$19&gt;K18)*(J$3:J$19="P"))+IF(I18="L5",SUMPRODUCT((Q$3:Q$19="")*(P$3:P$19="")*(O$3:O$19="")*(N$3:N$19="P")*(H$3:H$19=H18)*(K$3:K$19&lt;K18)*(I$3:I$19&lt;&gt;I18)*(J$3:J$19="P")),-1*SUMPRODUCT((Q$3:Q$19="")*(P$3:P$19="")*(O$3:O$19="")*(N$3:N$19="P")*(H$3:H$19=H18)*(K$3:K$19&gt;K18)*(I$3:I$19="L5")*(J$3:J$19="P")))+1,"")))))</f>
        <v/>
      </c>
      <c r="B18" s="1" t="str" cm="1">
        <f t="array" ref="B18">IF(Q18&lt;&gt;"",SUMPRODUCT((Q$3:Q$19&lt;&gt;"")*(H$3:H$19=H18)*(K$3:K$19&gt;K18))+1,IF(P18&lt;&gt;"",SUMPRODUCT((P$3:P$19&lt;&gt;"")*(Q$3:Q$19="")*(H$3:H$19=H18)*(K$3:K$19&gt;K18))+SUMPRODUCT((Q$3:Q$19&lt;&gt;"")*(H$3:H$19=H18))+1,IF(O18&lt;&gt;"",SUMPRODUCT((O$3:O$19&lt;&gt;"")*(H$3:H$19=H18)*(K$3:K$19&gt;K18))+1,IF(N18="P",SUMPRODUCT((P$3:P$19&lt;&gt;"")*(Q$3:Q$19="")*(H$3:H$19=H18))+SUMPRODUCT((Q$3:Q$19&lt;&gt;"")*(H$3:H$19=H18))+SUMPRODUCT((O$3:O$19&lt;&gt;"")*(H$3:H$19=H18))+SUMPRODUCT((Q$3:Q$19="")*(P$3:P$19="")*(O$3:O$19="")*(N$3:N$19="P")*(H$3:H$19=H18)*(K$3:K$19&gt;K18))+IF(I18="L5",SUMPRODUCT((Q$3:Q$19="")*(P$3:P$19="")*(O$3:O$19="")*(N$3:N$19="P")*(H$3:H$19=H18)*(K$3:K$19&lt;K18)*(I$3:I$19&lt;&gt;I18)),-1*SUMPRODUCT((Q$3:Q$19="")*(P$3:P$19="")*(O$3:O$19="")*(N$3:N$19="P")*(H$3:H$19=H18)*(K$3:K$19&gt;K18)*(I$3:I$19="L5")))+1,""))))</f>
        <v/>
      </c>
      <c r="C18" s="36" t="s">
        <v>348</v>
      </c>
      <c r="D18" s="36" t="str">
        <f>IF(E18="","",VLOOKUP(E18,'Coaching Points'!A:B,2,0)&amp;"/"&amp;VLOOKUP(F18,'Coaching Points'!A:B,2,0))</f>
        <v>BC/BC</v>
      </c>
      <c r="E18" s="36" t="s">
        <v>46</v>
      </c>
      <c r="F18" s="36" t="s">
        <v>46</v>
      </c>
      <c r="G18" s="35">
        <v>2007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67</v>
      </c>
      <c r="J18" s="43"/>
      <c r="K18" s="4">
        <f>S18+T18+IF(OR(I18="Junior",I18="Senior"),0.0002,IF(OR(I18="L7",I18="L6"),0.0001,0))+MAX(AB18,AD18,AG18)*0.0000001</f>
        <v>21.0701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21.07</v>
      </c>
      <c r="T18" s="4">
        <f>LARGE(CHOOSE({1,2,3,4,5,6},U18,W18,Z18,AB18,AD18,AG18),2)</f>
        <v>0</v>
      </c>
      <c r="U18" s="33">
        <v>21.07</v>
      </c>
      <c r="V18" s="40">
        <v>3.4</v>
      </c>
      <c r="W18" s="34"/>
      <c r="X18" s="40"/>
      <c r="Y18" s="4">
        <f>IF(I18="Senior",MAX(U18,W18),U18+W18)</f>
        <v>21.07</v>
      </c>
      <c r="Z18" s="34"/>
      <c r="AA18" s="40"/>
      <c r="AB18" s="33"/>
      <c r="AC18" s="40"/>
      <c r="AD18" s="34"/>
      <c r="AE18" s="40"/>
      <c r="AF18" s="4">
        <f>IF(I18="Senior",MAX(AB18,AD18),AB18+AD18)</f>
        <v>0</v>
      </c>
      <c r="AG18" s="34"/>
      <c r="AH18" s="37"/>
    </row>
    <row r="19" spans="1:34" x14ac:dyDescent="0.2">
      <c r="A19" s="1" t="str" cm="1">
        <f t="array" ref="A19">IF(J19="","",IF(Q19&lt;&gt;"",SUMPRODUCT((Q$3:Q$19&lt;&gt;"")*(H$3:H$19=H19)*(K$3:K$19&gt;K19)*(J$3:J$19="P"))+1,IF(P19&lt;&gt;"",SUMPRODUCT((P$3:P$19&lt;&gt;"")*(Q$3:Q$19="")*(H$3:H$19=H19)*(K$3:K$19&gt;K19)*(J$3:J$19="P"))+SUMPRODUCT((Q$3:Q$19&lt;&gt;"")*(H$3:H$19=H19)*(J$3:J$19="P"))+1,IF(O19&lt;&gt;"",SUMPRODUCT((O$3:O$19&lt;&gt;"")*(H$3:H$19=H19)*(K$3:K$19&gt;K19)*(J$3:J$19="P"))+1,IF(N19="P",SUMPRODUCT((P$3:P$19&lt;&gt;"")*(Q$3:Q$19="")*(H$3:H$19=H19)*(J$3:J$19="P"))+SUMPRODUCT((Q$3:Q$19&lt;&gt;"")*(H$3:H$19=H19)*(J$3:J$19="P"))+SUMPRODUCT((O$3:O$19&lt;&gt;"")*(H$3:H$19=H19)*(J$3:J$19="P"))+SUMPRODUCT((Q$3:Q$19="")*(P$3:P$19="")*(O$3:O$19="")*(N$3:N$19="P")*(H$3:H$19=H19)*(K$3:K$19&gt;K19)*(J$3:J$19="P"))+IF(I19="L5",SUMPRODUCT((Q$3:Q$19="")*(P$3:P$19="")*(O$3:O$19="")*(N$3:N$19="P")*(H$3:H$19=H19)*(K$3:K$19&lt;K19)*(I$3:I$19&lt;&gt;I19)*(J$3:J$19="P")),-1*SUMPRODUCT((Q$3:Q$19="")*(P$3:P$19="")*(O$3:O$19="")*(N$3:N$19="P")*(H$3:H$19=H19)*(K$3:K$19&gt;K19)*(I$3:I$19="L5")*(J$3:J$19="P")))+1,"")))))</f>
        <v/>
      </c>
      <c r="B19" s="1" t="str" cm="1">
        <f t="array" ref="B19">IF(Q19&lt;&gt;"",SUMPRODUCT((Q$3:Q$19&lt;&gt;"")*(H$3:H$19=H19)*(K$3:K$19&gt;K19))+1,IF(P19&lt;&gt;"",SUMPRODUCT((P$3:P$19&lt;&gt;"")*(Q$3:Q$19="")*(H$3:H$19=H19)*(K$3:K$19&gt;K19))+SUMPRODUCT((Q$3:Q$19&lt;&gt;"")*(H$3:H$19=H19))+1,IF(O19&lt;&gt;"",SUMPRODUCT((O$3:O$19&lt;&gt;"")*(H$3:H$19=H19)*(K$3:K$19&gt;K19))+1,IF(N19="P",SUMPRODUCT((P$3:P$19&lt;&gt;"")*(Q$3:Q$19="")*(H$3:H$19=H19))+SUMPRODUCT((Q$3:Q$19&lt;&gt;"")*(H$3:H$19=H19))+SUMPRODUCT((O$3:O$19&lt;&gt;"")*(H$3:H$19=H19))+SUMPRODUCT((Q$3:Q$19="")*(P$3:P$19="")*(O$3:O$19="")*(N$3:N$19="P")*(H$3:H$19=H19)*(K$3:K$19&gt;K19))+IF(I19="L5",SUMPRODUCT((Q$3:Q$19="")*(P$3:P$19="")*(O$3:O$19="")*(N$3:N$19="P")*(H$3:H$19=H19)*(K$3:K$19&lt;K19)*(I$3:I$19&lt;&gt;I19)),-1*SUMPRODUCT((Q$3:Q$19="")*(P$3:P$19="")*(O$3:O$19="")*(N$3:N$19="P")*(H$3:H$19=H19)*(K$3:K$19&gt;K19)*(I$3:I$19="L5")))+1,""))))</f>
        <v/>
      </c>
      <c r="C19" s="36" t="s">
        <v>344</v>
      </c>
      <c r="D19" s="36" t="str">
        <f>IF(E19="","",VLOOKUP(E19,'Coaching Points'!A:B,2,0)&amp;"/"&amp;VLOOKUP(F19,'Coaching Points'!A:B,2,0))</f>
        <v>ON/ON</v>
      </c>
      <c r="E19" s="36" t="s">
        <v>40</v>
      </c>
      <c r="F19" s="36" t="s">
        <v>40</v>
      </c>
      <c r="G19" s="35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13-14</v>
      </c>
      <c r="I19" s="39" t="s">
        <v>66</v>
      </c>
      <c r="J19" s="43"/>
      <c r="K19" s="4">
        <f>S19+T19+IF(OR(I19="Junior",I19="Senior"),0.0002,IF(OR(I19="L7",I19="L6"),0.0001,0))+MAX(AB19,AD19,AG19)*0.0000001</f>
        <v>72.63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37.200000000000003</v>
      </c>
      <c r="T19" s="4">
        <f>LARGE(CHOOSE({1,2,3,4,5,6},U19,W19,Z19,AB19,AD19,AG19),2)</f>
        <v>35.43</v>
      </c>
      <c r="U19" s="33">
        <v>37.200000000000003</v>
      </c>
      <c r="V19" s="40">
        <v>6.9</v>
      </c>
      <c r="W19" s="34"/>
      <c r="X19" s="40"/>
      <c r="Y19" s="4">
        <f>IF(I19="Senior",MAX(U19,W19),U19+W19)</f>
        <v>37.200000000000003</v>
      </c>
      <c r="Z19" s="34">
        <v>35.43</v>
      </c>
      <c r="AA19" s="40">
        <v>6.9</v>
      </c>
      <c r="AB19" s="33"/>
      <c r="AC19" s="40"/>
      <c r="AD19" s="34"/>
      <c r="AE19" s="40"/>
      <c r="AF19" s="4">
        <f>IF(I19="Senior",MAX(AB19,AD19),AB19+AD19)</f>
        <v>0</v>
      </c>
      <c r="AG19" s="34"/>
      <c r="AH1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9">
      <sortCondition descending="1" ref="H1:H20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3:XFD1048576 A1:R2 U1:XFD2">
    <cfRule type="expression" dxfId="35" priority="9">
      <formula>IF($H1="17-21",1,0)</formula>
    </cfRule>
    <cfRule type="expression" dxfId="34" priority="10">
      <formula>IF($H1="15-16",1,0)</formula>
    </cfRule>
    <cfRule type="expression" dxfId="33" priority="11">
      <formula>IF($H1="13-14",1,0)</formula>
    </cfRule>
    <cfRule type="expression" dxfId="32" priority="12">
      <formula>IF($H1="11-12",1,0)</formula>
    </cfRule>
  </conditionalFormatting>
  <conditionalFormatting sqref="S1:T2">
    <cfRule type="expression" dxfId="31" priority="1">
      <formula>IF($H1="17-21",1,0)</formula>
    </cfRule>
    <cfRule type="expression" dxfId="30" priority="2">
      <formula>IF($H1="15-16",1,0)</formula>
    </cfRule>
    <cfRule type="expression" dxfId="29" priority="3">
      <formula>IF($H1="13-14",1,0)</formula>
    </cfRule>
    <cfRule type="expression" dxfId="28" priority="4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$65&lt;&gt;"")*(G$3:G$65=G3)*(J$3:J$65&gt;J3)*(I$3:I$65="P"))+1,IF(O3&lt;&gt;"",SUMPRODUCT((O$3:O$65&lt;&gt;"")*(P$3:P$65="")*(G$3:G$65=G3)*(J$3:J$65&gt;J3)*(I$3:I$65="P"))+SUMPRODUCT((P$3:P$65&lt;&gt;"")*(G$3:G$65=G3)*(I$3:I$65="P"))+1,IF(N3&lt;&gt;"",SUMPRODUCT((N$3:N$65&lt;&gt;"")*(G$3:G$65=G3)*(J$3:J$65&gt;J3)*(I$3:I$65="P"))+1,IF(M3="P",SUMPRODUCT((O$3:O$65&lt;&gt;"")*(P$3:P$65="")*(G$3:G$65=G3)*(I$3:I$65="P"))+SUMPRODUCT((P$3:P$65&lt;&gt;"")*(G$3:G$65=G3)*(I$3:I$65="P"))+SUMPRODUCT((N$3:N$65&lt;&gt;"")*(G$3:G$65=G3)*(I$3:I$65="P"))+SUMPRODUCT((P$3:P$65="")*(O$3:O$65="")*(N$3:N$65="")*(M$3:M$65="P")*(G$3:G$65=G3)*(J$3:J$65&gt;J3)*(I$3:I$65="P"))+IF(H3="L5",SUMPRODUCT((P$3:P$65="")*(O$3:O$65="")*(N$3:N$65="")*(M$3:M$65="P")*(G$3:G$65=G3)*(J$3:J$65&lt;J3)*(H$3:H$65&lt;&gt;H3)*(I$3:I$65="P")),-1*SUMPRODUCT((P$3:P$65="")*(O$3:O$65="")*(N$3:N$65="")*(M$3:M$65="P")*(G$3:G$65=G3)*(J$3:J$65&gt;J3)*(H$3:H$65="L5")*(I$3:I$65="P")))+1,"")))))</f>
        <v/>
      </c>
      <c r="B3" s="1" cm="1">
        <f t="array" ref="B3">IF(P3&lt;&gt;"",SUMPRODUCT((P$3:P$65&lt;&gt;"")*(G$3:G$65=G3)*(J$3:J$65&gt;J3))+1,IF(O3&lt;&gt;"",SUMPRODUCT((O$3:O$65&lt;&gt;"")*(P$3:P$65="")*(G$3:G$65=G3)*(J$3:J$65&gt;J3))+SUMPRODUCT((P$3:P$65&lt;&gt;"")*(G$3:G$65=G3))+1,IF(N3&lt;&gt;"",SUMPRODUCT((N$3:N$65&lt;&gt;"")*(G$3:G$65=G3)*(J$3:J$65&gt;J3))+1,IF(M3="P",SUMPRODUCT((O$3:O$65&lt;&gt;"")*(P$3:P$65="")*(G$3:G$65=G3))+SUMPRODUCT((P$3:P$65&lt;&gt;"")*(G$3:G$65=G3))+SUMPRODUCT((N$3:N$65&lt;&gt;"")*(G$3:G$65=G3))+SUMPRODUCT((P$3:P$65="")*(O$3:O$65="")*(N$3:N$65="")*(M$3:M$65="P")*(G$3:G$65=G3)*(J$3:J$65&gt;J3))+IF(H3="L5",SUMPRODUCT((P$3:P$65="")*(O$3:O$65="")*(N$3:N$65="")*(M$3:M$65="P")*(G$3:G$65=G3)*(J$3:J$65&lt;J3)*(H$3:H$65&lt;&gt;H3)),-1*SUMPRODUCT((P$3:P$65="")*(O$3:O$65="")*(N$3:N$65="")*(M$3:M$65="P")*(G$3:G$65=G3)*(J$3:J$65&gt;J3)*(H$3:H$65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>R3+S3+IF(OR(H3="Junior",H3="Senior"),0.0002,IF(OR(H3="L7",H3="L6"),0.0001,0))+MAX(X3,Z3)*0.0000001</f>
        <v>117.50020000000001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>IF(A3&lt;5,IF(_xlfn.MAXIFS(A:A,G:G,G3)&gt;3,5-A3,_xlfn.MAXIFS(A:A,G:G,G3)+1-A3),"")</f>
        <v/>
      </c>
      <c r="R3" s="4">
        <f>MAX(T3,X3)</f>
        <v>58.7</v>
      </c>
      <c r="S3" s="4">
        <f>IF(R3=T3,MAX(V3,X3,Z3),IF(R3=X3,MAX(T3,V3,Z3),0))</f>
        <v>58.8</v>
      </c>
      <c r="T3" s="33">
        <v>58.7</v>
      </c>
      <c r="U3" s="40">
        <v>20.8</v>
      </c>
      <c r="V3" s="34">
        <v>58.8</v>
      </c>
      <c r="W3" s="40">
        <v>20.8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$65&lt;&gt;"")*(G$3:G$65=G4)*(J$3:J$65&gt;J4)*(I$3:I$65="P"))+1,IF(O4&lt;&gt;"",SUMPRODUCT((O$3:O$65&lt;&gt;"")*(P$3:P$65="")*(G$3:G$65=G4)*(J$3:J$65&gt;J4)*(I$3:I$65="P"))+SUMPRODUCT((P$3:P$65&lt;&gt;"")*(G$3:G$65=G4)*(I$3:I$65="P"))+1,IF(N4&lt;&gt;"",SUMPRODUCT((N$3:N$65&lt;&gt;"")*(G$3:G$65=G4)*(J$3:J$65&gt;J4)*(I$3:I$65="P"))+1,IF(M4="P",SUMPRODUCT((O$3:O$65&lt;&gt;"")*(P$3:P$65="")*(G$3:G$65=G4)*(I$3:I$65="P"))+SUMPRODUCT((P$3:P$65&lt;&gt;"")*(G$3:G$65=G4)*(I$3:I$65="P"))+SUMPRODUCT((N$3:N$65&lt;&gt;"")*(G$3:G$65=G4)*(I$3:I$65="P"))+SUMPRODUCT((P$3:P$65="")*(O$3:O$65="")*(N$3:N$65="")*(M$3:M$65="P")*(G$3:G$65=G4)*(J$3:J$65&gt;J4)*(I$3:I$65="P"))+IF(H4="L5",SUMPRODUCT((P$3:P$65="")*(O$3:O$65="")*(N$3:N$65="")*(M$3:M$65="P")*(G$3:G$65=G4)*(J$3:J$65&lt;J4)*(H$3:H$65&lt;&gt;H4)*(I$3:I$65="P")),-1*SUMPRODUCT((P$3:P$65="")*(O$3:O$65="")*(N$3:N$65="")*(M$3:M$65="P")*(G$3:G$65=G4)*(J$3:J$65&gt;J4)*(H$3:H$65="L5")*(I$3:I$65="P")))+1,"")))))</f>
        <v/>
      </c>
      <c r="B4" s="1" cm="1">
        <f t="array" ref="B4">IF(P4&lt;&gt;"",SUMPRODUCT((P$3:P$65&lt;&gt;"")*(G$3:G$65=G4)*(J$3:J$65&gt;J4))+1,IF(O4&lt;&gt;"",SUMPRODUCT((O$3:O$65&lt;&gt;"")*(P$3:P$65="")*(G$3:G$65=G4)*(J$3:J$65&gt;J4))+SUMPRODUCT((P$3:P$65&lt;&gt;"")*(G$3:G$65=G4))+1,IF(N4&lt;&gt;"",SUMPRODUCT((N$3:N$65&lt;&gt;"")*(G$3:G$65=G4)*(J$3:J$65&gt;J4))+1,IF(M4="P",SUMPRODUCT((O$3:O$65&lt;&gt;"")*(P$3:P$65="")*(G$3:G$65=G4))+SUMPRODUCT((P$3:P$65&lt;&gt;"")*(G$3:G$65=G4))+SUMPRODUCT((N$3:N$65&lt;&gt;"")*(G$3:G$65=G4))+SUMPRODUCT((P$3:P$65="")*(O$3:O$65="")*(N$3:N$65="")*(M$3:M$65="P")*(G$3:G$65=G4)*(J$3:J$65&gt;J4))+IF(H4="L5",SUMPRODUCT((P$3:P$65="")*(O$3:O$65="")*(N$3:N$65="")*(M$3:M$65="P")*(G$3:G$65=G4)*(J$3:J$65&lt;J4)*(H$3:H$65&lt;&gt;H4)),-1*SUMPRODUCT((P$3:P$65="")*(O$3:O$65="")*(N$3:N$65="")*(M$3:M$65="P")*(G$3:G$65=G4)*(J$3:J$65&gt;J4)*(H$3:H$65="L5")))+1,""))))</f>
        <v>2</v>
      </c>
      <c r="C4" s="36" t="s">
        <v>233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>R4+S4+IF(OR(H4="Junior",H4="Senior"),0.0002,IF(OR(H4="L7",H4="L6"),0.0001,0))+MAX(X4,Z4)*0.0000001</f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6</v>
      </c>
      <c r="Q4" s="1" t="str">
        <f>IF(A4&lt;5,IF(_xlfn.MAXIFS(A:A,G:G,G4)&gt;3,5-A4,_xlfn.MAXIFS(A:A,G:G,G4)+1-A4),"")</f>
        <v/>
      </c>
      <c r="R4" s="4">
        <f>MAX(T4,X4)</f>
        <v>51.2</v>
      </c>
      <c r="S4" s="4">
        <f>IF(R4=T4,MAX(V4,X4,Z4),IF(R4=X4,MAX(T4,V4,Z4),0))</f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$65&lt;&gt;"")*(G$3:G$65=G5)*(J$3:J$65&gt;J5)*(I$3:I$65="P"))+1,IF(O5&lt;&gt;"",SUMPRODUCT((O$3:O$65&lt;&gt;"")*(P$3:P$65="")*(G$3:G$65=G5)*(J$3:J$65&gt;J5)*(I$3:I$65="P"))+SUMPRODUCT((P$3:P$65&lt;&gt;"")*(G$3:G$65=G5)*(I$3:I$65="P"))+1,IF(N5&lt;&gt;"",SUMPRODUCT((N$3:N$65&lt;&gt;"")*(G$3:G$65=G5)*(J$3:J$65&gt;J5)*(I$3:I$65="P"))+1,IF(M5="P",SUMPRODUCT((O$3:O$65&lt;&gt;"")*(P$3:P$65="")*(G$3:G$65=G5)*(I$3:I$65="P"))+SUMPRODUCT((P$3:P$65&lt;&gt;"")*(G$3:G$65=G5)*(I$3:I$65="P"))+SUMPRODUCT((N$3:N$65&lt;&gt;"")*(G$3:G$65=G5)*(I$3:I$65="P"))+SUMPRODUCT((P$3:P$65="")*(O$3:O$65="")*(N$3:N$65="")*(M$3:M$65="P")*(G$3:G$65=G5)*(J$3:J$65&gt;J5)*(I$3:I$65="P"))+IF(H5="L5",SUMPRODUCT((P$3:P$65="")*(O$3:O$65="")*(N$3:N$65="")*(M$3:M$65="P")*(G$3:G$65=G5)*(J$3:J$65&lt;J5)*(H$3:H$65&lt;&gt;H5)*(I$3:I$65="P")),-1*SUMPRODUCT((P$3:P$65="")*(O$3:O$65="")*(N$3:N$65="")*(M$3:M$65="P")*(G$3:G$65=G5)*(J$3:J$65&gt;J5)*(H$3:H$65="L5")*(I$3:I$65="P")))+1,"")))))</f>
        <v/>
      </c>
      <c r="B5" s="1" cm="1">
        <f t="array" ref="B5">IF(P5&lt;&gt;"",SUMPRODUCT((P$3:P$65&lt;&gt;"")*(G$3:G$65=G5)*(J$3:J$65&gt;J5))+1,IF(O5&lt;&gt;"",SUMPRODUCT((O$3:O$65&lt;&gt;"")*(P$3:P$65="")*(G$3:G$65=G5)*(J$3:J$65&gt;J5))+SUMPRODUCT((P$3:P$65&lt;&gt;"")*(G$3:G$65=G5))+1,IF(N5&lt;&gt;"",SUMPRODUCT((N$3:N$65&lt;&gt;"")*(G$3:G$65=G5)*(J$3:J$65&gt;J5))+1,IF(M5="P",SUMPRODUCT((O$3:O$65&lt;&gt;"")*(P$3:P$65="")*(G$3:G$65=G5))+SUMPRODUCT((P$3:P$65&lt;&gt;"")*(G$3:G$65=G5))+SUMPRODUCT((N$3:N$65&lt;&gt;"")*(G$3:G$65=G5))+SUMPRODUCT((P$3:P$65="")*(O$3:O$65="")*(N$3:N$65="")*(M$3:M$65="P")*(G$3:G$65=G5)*(J$3:J$65&gt;J5))+IF(H5="L5",SUMPRODUCT((P$3:P$65="")*(O$3:O$65="")*(N$3:N$65="")*(M$3:M$65="P")*(G$3:G$65=G5)*(J$3:J$65&lt;J5)*(H$3:H$65&lt;&gt;H5)),-1*SUMPRODUCT((P$3:P$65="")*(O$3:O$65="")*(N$3:N$65="")*(M$3:M$65="P")*(G$3:G$65=G5)*(J$3:J$65&gt;J5)*(H$3:H$65="L5")))+1,""))))</f>
        <v>3</v>
      </c>
      <c r="C5" s="36" t="s">
        <v>170</v>
      </c>
      <c r="D5" s="36" t="str">
        <f>IF(E5="","",VLOOKUP(E5,'Coaching Points'!A:B,2,0))</f>
        <v>AB</v>
      </c>
      <c r="E5" s="36" t="s">
        <v>64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>R5+S5+IF(OR(H5="Junior",H5="Senior"),0.0002,IF(OR(H5="L7",H5="L6"),0.0001,0))+MAX(X5,Z5)*0.0000001</f>
        <v>102.1002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3</v>
      </c>
      <c r="P5" s="39">
        <v>3</v>
      </c>
      <c r="Q5" s="1" t="str">
        <f>IF(A5&lt;5,IF(_xlfn.MAXIFS(A:A,G:G,G5)&gt;3,5-A5,_xlfn.MAXIFS(A:A,G:G,G5)+1-A5),"")</f>
        <v/>
      </c>
      <c r="R5" s="4">
        <f>MAX(T5,X5)</f>
        <v>50.8</v>
      </c>
      <c r="S5" s="4">
        <f>IF(R5=T5,MAX(V5,X5,Z5),IF(R5=X5,MAX(T5,V5,Z5),0))</f>
        <v>51.3</v>
      </c>
      <c r="T5" s="33">
        <v>50.8</v>
      </c>
      <c r="U5" s="40">
        <v>16</v>
      </c>
      <c r="V5" s="34">
        <v>51.3</v>
      </c>
      <c r="W5" s="40">
        <v>14.8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$65&lt;&gt;"")*(G$3:G$65=G6)*(J$3:J$65&gt;J6)*(I$3:I$65="P"))+1,IF(O6&lt;&gt;"",SUMPRODUCT((O$3:O$65&lt;&gt;"")*(P$3:P$65="")*(G$3:G$65=G6)*(J$3:J$65&gt;J6)*(I$3:I$65="P"))+SUMPRODUCT((P$3:P$65&lt;&gt;"")*(G$3:G$65=G6)*(I$3:I$65="P"))+1,IF(N6&lt;&gt;"",SUMPRODUCT((N$3:N$65&lt;&gt;"")*(G$3:G$65=G6)*(J$3:J$65&gt;J6)*(I$3:I$65="P"))+1,IF(M6="P",SUMPRODUCT((O$3:O$65&lt;&gt;"")*(P$3:P$65="")*(G$3:G$65=G6)*(I$3:I$65="P"))+SUMPRODUCT((P$3:P$65&lt;&gt;"")*(G$3:G$65=G6)*(I$3:I$65="P"))+SUMPRODUCT((N$3:N$65&lt;&gt;"")*(G$3:G$65=G6)*(I$3:I$65="P"))+SUMPRODUCT((P$3:P$65="")*(O$3:O$65="")*(N$3:N$65="")*(M$3:M$65="P")*(G$3:G$65=G6)*(J$3:J$65&gt;J6)*(I$3:I$65="P"))+IF(H6="L5",SUMPRODUCT((P$3:P$65="")*(O$3:O$65="")*(N$3:N$65="")*(M$3:M$65="P")*(G$3:G$65=G6)*(J$3:J$65&lt;J6)*(H$3:H$65&lt;&gt;H6)*(I$3:I$65="P")),-1*SUMPRODUCT((P$3:P$65="")*(O$3:O$65="")*(N$3:N$65="")*(M$3:M$65="P")*(G$3:G$65=G6)*(J$3:J$65&gt;J6)*(H$3:H$65="L5")*(I$3:I$65="P")))+1,"")))))</f>
        <v/>
      </c>
      <c r="B6" s="1" cm="1">
        <f t="array" ref="B6">IF(P6&lt;&gt;"",SUMPRODUCT((P$3:P$65&lt;&gt;"")*(G$3:G$65=G6)*(J$3:J$65&gt;J6))+1,IF(O6&lt;&gt;"",SUMPRODUCT((O$3:O$65&lt;&gt;"")*(P$3:P$65="")*(G$3:G$65=G6)*(J$3:J$65&gt;J6))+SUMPRODUCT((P$3:P$65&lt;&gt;"")*(G$3:G$65=G6))+1,IF(N6&lt;&gt;"",SUMPRODUCT((N$3:N$65&lt;&gt;"")*(G$3:G$65=G6)*(J$3:J$65&gt;J6))+1,IF(M6="P",SUMPRODUCT((O$3:O$65&lt;&gt;"")*(P$3:P$65="")*(G$3:G$65=G6))+SUMPRODUCT((P$3:P$65&lt;&gt;"")*(G$3:G$65=G6))+SUMPRODUCT((N$3:N$65&lt;&gt;"")*(G$3:G$65=G6))+SUMPRODUCT((P$3:P$65="")*(O$3:O$65="")*(N$3:N$65="")*(M$3:M$65="P")*(G$3:G$65=G6)*(J$3:J$65&gt;J6))+IF(H6="L5",SUMPRODUCT((P$3:P$65="")*(O$3:O$65="")*(N$3:N$65="")*(M$3:M$65="P")*(G$3:G$65=G6)*(J$3:J$65&lt;J6)*(H$3:H$65&lt;&gt;H6)),-1*SUMPRODUCT((P$3:P$65="")*(O$3:O$65="")*(N$3:N$65="")*(M$3:M$65="P")*(G$3:G$65=G6)*(J$3:J$65&gt;J6)*(H$3:H$65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>R6+S6+IF(OR(H6="Junior",H6="Senior"),0.0002,IF(OR(H6="L7",H6="L6"),0.0001,0))+MAX(X6,Z6)*0.0000001</f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7</v>
      </c>
      <c r="Q6" s="1" t="str">
        <f>IF(A6&lt;5,IF(_xlfn.MAXIFS(A:A,G:G,G6)&gt;3,5-A6,_xlfn.MAXIFS(A:A,G:G,G6)+1-A6),"")</f>
        <v/>
      </c>
      <c r="R6" s="4">
        <f>MAX(T6,X6)</f>
        <v>50</v>
      </c>
      <c r="S6" s="4">
        <f>IF(R6=T6,MAX(V6,X6,Z6),IF(R6=X6,MAX(T6,V6,Z6),0))</f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$65&lt;&gt;"")*(G$3:G$65=G7)*(J$3:J$65&gt;J7)*(I$3:I$65="P"))+1,IF(O7&lt;&gt;"",SUMPRODUCT((O$3:O$65&lt;&gt;"")*(P$3:P$65="")*(G$3:G$65=G7)*(J$3:J$65&gt;J7)*(I$3:I$65="P"))+SUMPRODUCT((P$3:P$65&lt;&gt;"")*(G$3:G$65=G7)*(I$3:I$65="P"))+1,IF(N7&lt;&gt;"",SUMPRODUCT((N$3:N$65&lt;&gt;"")*(G$3:G$65=G7)*(J$3:J$65&gt;J7)*(I$3:I$65="P"))+1,IF(M7="P",SUMPRODUCT((O$3:O$65&lt;&gt;"")*(P$3:P$65="")*(G$3:G$65=G7)*(I$3:I$65="P"))+SUMPRODUCT((P$3:P$65&lt;&gt;"")*(G$3:G$65=G7)*(I$3:I$65="P"))+SUMPRODUCT((N$3:N$65&lt;&gt;"")*(G$3:G$65=G7)*(I$3:I$65="P"))+SUMPRODUCT((P$3:P$65="")*(O$3:O$65="")*(N$3:N$65="")*(M$3:M$65="P")*(G$3:G$65=G7)*(J$3:J$65&gt;J7)*(I$3:I$65="P"))+IF(H7="L5",SUMPRODUCT((P$3:P$65="")*(O$3:O$65="")*(N$3:N$65="")*(M$3:M$65="P")*(G$3:G$65=G7)*(J$3:J$65&lt;J7)*(H$3:H$65&lt;&gt;H7)*(I$3:I$65="P")),-1*SUMPRODUCT((P$3:P$65="")*(O$3:O$65="")*(N$3:N$65="")*(M$3:M$65="P")*(G$3:G$65=G7)*(J$3:J$65&gt;J7)*(H$3:H$65="L5")*(I$3:I$65="P")))+1,"")))))</f>
        <v/>
      </c>
      <c r="B7" s="1" cm="1">
        <f t="array" ref="B7">IF(P7&lt;&gt;"",SUMPRODUCT((P$3:P$65&lt;&gt;"")*(G$3:G$65=G7)*(J$3:J$65&gt;J7))+1,IF(O7&lt;&gt;"",SUMPRODUCT((O$3:O$65&lt;&gt;"")*(P$3:P$65="")*(G$3:G$65=G7)*(J$3:J$65&gt;J7))+SUMPRODUCT((P$3:P$65&lt;&gt;"")*(G$3:G$65=G7))+1,IF(N7&lt;&gt;"",SUMPRODUCT((N$3:N$65&lt;&gt;"")*(G$3:G$65=G7)*(J$3:J$65&gt;J7))+1,IF(M7="P",SUMPRODUCT((O$3:O$65&lt;&gt;"")*(P$3:P$65="")*(G$3:G$65=G7))+SUMPRODUCT((P$3:P$65&lt;&gt;"")*(G$3:G$65=G7))+SUMPRODUCT((N$3:N$65&lt;&gt;"")*(G$3:G$65=G7))+SUMPRODUCT((P$3:P$65="")*(O$3:O$65="")*(N$3:N$65="")*(M$3:M$65="P")*(G$3:G$65=G7)*(J$3:J$65&gt;J7))+IF(H7="L5",SUMPRODUCT((P$3:P$65="")*(O$3:O$65="")*(N$3:N$65="")*(M$3:M$65="P")*(G$3:G$65=G7)*(J$3:J$65&lt;J7)*(H$3:H$65&lt;&gt;H7)),-1*SUMPRODUCT((P$3:P$65="")*(O$3:O$65="")*(N$3:N$65="")*(M$3:M$65="P")*(G$3:G$65=G7)*(J$3:J$65&gt;J7)*(H$3:H$65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R7+S7+IF(OR(H7="Junior",H7="Senior"),0.0002,IF(OR(H7="L7",H7="L6"),0.0001,0))+MAX(X7,Z7)*0.0000001</f>
        <v>51.0002</v>
      </c>
      <c r="K7" s="3" t="str">
        <f>IF(G7="Not Age Eligible","",IF(MAX(T7,V7,X7,Z7)&gt;=LOOKUP(G7,'Qualifying Scores'!$A$4:$A$7,'Qualifying Scores'!$F$4:$F$7),"P",""))</f>
        <v/>
      </c>
      <c r="L7" s="3" t="str">
        <f>IF(G7="Not Age Eligible","",IF(MAX(U7,W7,Y7,AA7)&gt;=LOOKUP(G7,'Qualifying Scores'!$A$10:$A$13,'Qualifying Scores'!$F$10:$F$13),"P",""))</f>
        <v/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/>
      </c>
      <c r="O7" s="39">
        <v>4</v>
      </c>
      <c r="P7" s="39">
        <v>5</v>
      </c>
      <c r="Q7" s="1" t="str">
        <f>IF(A7&lt;5,IF(_xlfn.MAXIFS(A:A,G:G,G7)&gt;3,5-A7,_xlfn.MAXIFS(A:A,G:G,G7)+1-A7),"")</f>
        <v/>
      </c>
      <c r="R7" s="4">
        <f>MAX(T7,X7)</f>
        <v>24.4</v>
      </c>
      <c r="S7" s="4">
        <f>IF(R7=T7,MAX(V7,X7,Z7),IF(R7=X7,MAX(T7,V7,Z7),0))</f>
        <v>26.6</v>
      </c>
      <c r="T7" s="33">
        <v>24.4</v>
      </c>
      <c r="U7" s="40">
        <v>6</v>
      </c>
      <c r="V7" s="34">
        <v>26.6</v>
      </c>
      <c r="W7" s="40"/>
      <c r="X7" s="33"/>
      <c r="Y7" s="40"/>
      <c r="Z7" s="34"/>
      <c r="AA7" s="37"/>
    </row>
    <row r="8" spans="1:27" x14ac:dyDescent="0.2">
      <c r="A8" s="1" t="str" cm="1">
        <f t="array" ref="A8">IF(I8="","",IF(P8&lt;&gt;"",SUMPRODUCT((P$3:P$65&lt;&gt;"")*(G$3:G$65=G8)*(J$3:J$65&gt;J8)*(I$3:I$65="P"))+1,IF(O8&lt;&gt;"",SUMPRODUCT((O$3:O$65&lt;&gt;"")*(P$3:P$65="")*(G$3:G$65=G8)*(J$3:J$65&gt;J8)*(I$3:I$65="P"))+SUMPRODUCT((P$3:P$65&lt;&gt;"")*(G$3:G$65=G8)*(I$3:I$65="P"))+1,IF(N8&lt;&gt;"",SUMPRODUCT((N$3:N$65&lt;&gt;"")*(G$3:G$65=G8)*(J$3:J$65&gt;J8)*(I$3:I$65="P"))+1,IF(M8="P",SUMPRODUCT((O$3:O$65&lt;&gt;"")*(P$3:P$65="")*(G$3:G$65=G8)*(I$3:I$65="P"))+SUMPRODUCT((P$3:P$65&lt;&gt;"")*(G$3:G$65=G8)*(I$3:I$65="P"))+SUMPRODUCT((N$3:N$65&lt;&gt;"")*(G$3:G$65=G8)*(I$3:I$65="P"))+SUMPRODUCT((P$3:P$65="")*(O$3:O$65="")*(N$3:N$65="")*(M$3:M$65="P")*(G$3:G$65=G8)*(J$3:J$65&gt;J8)*(I$3:I$65="P"))+IF(H8="L5",SUMPRODUCT((P$3:P$65="")*(O$3:O$65="")*(N$3:N$65="")*(M$3:M$65="P")*(G$3:G$65=G8)*(J$3:J$65&lt;J8)*(H$3:H$65&lt;&gt;H8)*(I$3:I$65="P")),-1*SUMPRODUCT((P$3:P$65="")*(O$3:O$65="")*(N$3:N$65="")*(M$3:M$65="P")*(G$3:G$65=G8)*(J$3:J$65&gt;J8)*(H$3:H$65="L5")*(I$3:I$65="P")))+1,"")))))</f>
        <v/>
      </c>
      <c r="B8" s="1" cm="1">
        <f t="array" ref="B8">IF(P8&lt;&gt;"",SUMPRODUCT((P$3:P$65&lt;&gt;"")*(G$3:G$65=G8)*(J$3:J$65&gt;J8))+1,IF(O8&lt;&gt;"",SUMPRODUCT((O$3:O$65&lt;&gt;"")*(P$3:P$65="")*(G$3:G$65=G8)*(J$3:J$65&gt;J8))+SUMPRODUCT((P$3:P$65&lt;&gt;"")*(G$3:G$65=G8))+1,IF(N8&lt;&gt;"",SUMPRODUCT((N$3:N$65&lt;&gt;"")*(G$3:G$65=G8)*(J$3:J$65&gt;J8))+1,IF(M8="P",SUMPRODUCT((O$3:O$65&lt;&gt;"")*(P$3:P$65="")*(G$3:G$65=G8))+SUMPRODUCT((P$3:P$65&lt;&gt;"")*(G$3:G$65=G8))+SUMPRODUCT((N$3:N$65&lt;&gt;"")*(G$3:G$65=G8))+SUMPRODUCT((P$3:P$65="")*(O$3:O$65="")*(N$3:N$65="")*(M$3:M$65="P")*(G$3:G$65=G8)*(J$3:J$65&gt;J8))+IF(H8="L5",SUMPRODUCT((P$3:P$65="")*(O$3:O$65="")*(N$3:N$65="")*(M$3:M$65="P")*(G$3:G$65=G8)*(J$3:J$65&lt;J8)*(H$3:H$65&lt;&gt;H8)),-1*SUMPRODUCT((P$3:P$65="")*(O$3:O$65="")*(N$3:N$65="")*(M$3:M$65="P")*(G$3:G$65=G8)*(J$3:J$65&gt;J8)*(H$3:H$65="L5")))+1,""))))</f>
        <v>6</v>
      </c>
      <c r="C8" s="36" t="s">
        <v>226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>R8+S8+IF(OR(H8="Junior",H8="Senior"),0.0002,IF(OR(H8="L7",H8="L6"),0.0001,0))+MAX(X8,Z8)*0.0000001</f>
        <v>102.00020000000001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>IF(A8&lt;5,IF(_xlfn.MAXIFS(A:A,G:G,G8)&gt;3,5-A8,_xlfn.MAXIFS(A:A,G:G,G8)+1-A8),"")</f>
        <v/>
      </c>
      <c r="R8" s="4">
        <f>MAX(T8,X8)</f>
        <v>51</v>
      </c>
      <c r="S8" s="4">
        <f>IF(R8=T8,MAX(V8,X8,Z8),IF(R8=X8,MAX(T8,V8,Z8),0))</f>
        <v>51</v>
      </c>
      <c r="T8" s="33">
        <v>51</v>
      </c>
      <c r="U8" s="40">
        <v>15.2</v>
      </c>
      <c r="V8" s="34">
        <v>51</v>
      </c>
      <c r="W8" s="40">
        <v>15.2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$65&lt;&gt;"")*(G$3:G$65=G9)*(J$3:J$65&gt;J9)*(I$3:I$65="P"))+1,IF(O9&lt;&gt;"",SUMPRODUCT((O$3:O$65&lt;&gt;"")*(P$3:P$65="")*(G$3:G$65=G9)*(J$3:J$65&gt;J9)*(I$3:I$65="P"))+SUMPRODUCT((P$3:P$65&lt;&gt;"")*(G$3:G$65=G9)*(I$3:I$65="P"))+1,IF(N9&lt;&gt;"",SUMPRODUCT((N$3:N$65&lt;&gt;"")*(G$3:G$65=G9)*(J$3:J$65&gt;J9)*(I$3:I$65="P"))+1,IF(M9="P",SUMPRODUCT((O$3:O$65&lt;&gt;"")*(P$3:P$65="")*(G$3:G$65=G9)*(I$3:I$65="P"))+SUMPRODUCT((P$3:P$65&lt;&gt;"")*(G$3:G$65=G9)*(I$3:I$65="P"))+SUMPRODUCT((N$3:N$65&lt;&gt;"")*(G$3:G$65=G9)*(I$3:I$65="P"))+SUMPRODUCT((P$3:P$65="")*(O$3:O$65="")*(N$3:N$65="")*(M$3:M$65="P")*(G$3:G$65=G9)*(J$3:J$65&gt;J9)*(I$3:I$65="P"))+IF(H9="L5",SUMPRODUCT((P$3:P$65="")*(O$3:O$65="")*(N$3:N$65="")*(M$3:M$65="P")*(G$3:G$65=G9)*(J$3:J$65&lt;J9)*(H$3:H$65&lt;&gt;H9)*(I$3:I$65="P")),-1*SUMPRODUCT((P$3:P$65="")*(O$3:O$65="")*(N$3:N$65="")*(M$3:M$65="P")*(G$3:G$65=G9)*(J$3:J$65&gt;J9)*(H$3:H$65="L5")*(I$3:I$65="P")))+1,"")))))</f>
        <v/>
      </c>
      <c r="B9" s="1" cm="1">
        <f t="array" ref="B9">IF(P9&lt;&gt;"",SUMPRODUCT((P$3:P$65&lt;&gt;"")*(G$3:G$65=G9)*(J$3:J$65&gt;J9))+1,IF(O9&lt;&gt;"",SUMPRODUCT((O$3:O$65&lt;&gt;"")*(P$3:P$65="")*(G$3:G$65=G9)*(J$3:J$65&gt;J9))+SUMPRODUCT((P$3:P$65&lt;&gt;"")*(G$3:G$65=G9))+1,IF(N9&lt;&gt;"",SUMPRODUCT((N$3:N$65&lt;&gt;"")*(G$3:G$65=G9)*(J$3:J$65&gt;J9))+1,IF(M9="P",SUMPRODUCT((O$3:O$65&lt;&gt;"")*(P$3:P$65="")*(G$3:G$65=G9))+SUMPRODUCT((P$3:P$65&lt;&gt;"")*(G$3:G$65=G9))+SUMPRODUCT((N$3:N$65&lt;&gt;"")*(G$3:G$65=G9))+SUMPRODUCT((P$3:P$65="")*(O$3:O$65="")*(N$3:N$65="")*(M$3:M$65="P")*(G$3:G$65=G9)*(J$3:J$65&gt;J9))+IF(H9="L5",SUMPRODUCT((P$3:P$65="")*(O$3:O$65="")*(N$3:N$65="")*(M$3:M$65="P")*(G$3:G$65=G9)*(J$3:J$65&lt;J9)*(H$3:H$65&lt;&gt;H9)),-1*SUMPRODUCT((P$3:P$65="")*(O$3:O$65="")*(N$3:N$65="")*(M$3:M$65="P")*(G$3:G$65=G9)*(J$3:J$65&gt;J9)*(H$3:H$65="L5")))+1,""))))</f>
        <v>7</v>
      </c>
      <c r="C9" s="36" t="s">
        <v>332</v>
      </c>
      <c r="D9" s="36" t="str">
        <f>IF(E9="","",VLOOKUP(E9,'Coaching Points'!A:B,2,0))</f>
        <v>QC</v>
      </c>
      <c r="E9" s="36" t="s">
        <v>3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100.2002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>MAX(T9,X9)</f>
        <v>53.3</v>
      </c>
      <c r="S9" s="4">
        <f>IF(R9=T9,MAX(V9,X9,Z9),IF(R9=X9,MAX(T9,V9,Z9),0))</f>
        <v>46.9</v>
      </c>
      <c r="T9" s="33">
        <v>53.3</v>
      </c>
      <c r="U9" s="40">
        <v>16.2</v>
      </c>
      <c r="V9" s="34">
        <v>46.9</v>
      </c>
      <c r="W9" s="40">
        <v>10.899999999999999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$65&lt;&gt;"")*(G$3:G$65=G10)*(J$3:J$65&gt;J10)*(I$3:I$65="P"))+1,IF(O10&lt;&gt;"",SUMPRODUCT((O$3:O$65&lt;&gt;"")*(P$3:P$65="")*(G$3:G$65=G10)*(J$3:J$65&gt;J10)*(I$3:I$65="P"))+SUMPRODUCT((P$3:P$65&lt;&gt;"")*(G$3:G$65=G10)*(I$3:I$65="P"))+1,IF(N10&lt;&gt;"",SUMPRODUCT((N$3:N$65&lt;&gt;"")*(G$3:G$65=G10)*(J$3:J$65&gt;J10)*(I$3:I$65="P"))+1,IF(M10="P",SUMPRODUCT((O$3:O$65&lt;&gt;"")*(P$3:P$65="")*(G$3:G$65=G10)*(I$3:I$65="P"))+SUMPRODUCT((P$3:P$65&lt;&gt;"")*(G$3:G$65=G10)*(I$3:I$65="P"))+SUMPRODUCT((N$3:N$65&lt;&gt;"")*(G$3:G$65=G10)*(I$3:I$65="P"))+SUMPRODUCT((P$3:P$65="")*(O$3:O$65="")*(N$3:N$65="")*(M$3:M$65="P")*(G$3:G$65=G10)*(J$3:J$65&gt;J10)*(I$3:I$65="P"))+IF(H10="L5",SUMPRODUCT((P$3:P$65="")*(O$3:O$65="")*(N$3:N$65="")*(M$3:M$65="P")*(G$3:G$65=G10)*(J$3:J$65&lt;J10)*(H$3:H$65&lt;&gt;H10)*(I$3:I$65="P")),-1*SUMPRODUCT((P$3:P$65="")*(O$3:O$65="")*(N$3:N$65="")*(M$3:M$65="P")*(G$3:G$65=G10)*(J$3:J$65&gt;J10)*(H$3:H$65="L5")*(I$3:I$65="P")))+1,"")))))</f>
        <v/>
      </c>
      <c r="B10" s="1" cm="1">
        <f t="array" ref="B10">IF(P10&lt;&gt;"",SUMPRODUCT((P$3:P$65&lt;&gt;"")*(G$3:G$65=G10)*(J$3:J$65&gt;J10))+1,IF(O10&lt;&gt;"",SUMPRODUCT((O$3:O$65&lt;&gt;"")*(P$3:P$65="")*(G$3:G$65=G10)*(J$3:J$65&gt;J10))+SUMPRODUCT((P$3:P$65&lt;&gt;"")*(G$3:G$65=G10))+1,IF(N10&lt;&gt;"",SUMPRODUCT((N$3:N$65&lt;&gt;"")*(G$3:G$65=G10)*(J$3:J$65&gt;J10))+1,IF(M10="P",SUMPRODUCT((O$3:O$65&lt;&gt;"")*(P$3:P$65="")*(G$3:G$65=G10))+SUMPRODUCT((P$3:P$65&lt;&gt;"")*(G$3:G$65=G10))+SUMPRODUCT((N$3:N$65&lt;&gt;"")*(G$3:G$65=G10))+SUMPRODUCT((P$3:P$65="")*(O$3:O$65="")*(N$3:N$65="")*(M$3:M$65="P")*(G$3:G$65=G10)*(J$3:J$65&gt;J10))+IF(H10="L5",SUMPRODUCT((P$3:P$65="")*(O$3:O$65="")*(N$3:N$65="")*(M$3:M$65="P")*(G$3:G$65=G10)*(J$3:J$65&lt;J10)*(H$3:H$65&lt;&gt;H10)),-1*SUMPRODUCT((P$3:P$65="")*(O$3:O$65="")*(N$3:N$65="")*(M$3:M$65="P")*(G$3:G$65=G10)*(J$3:J$65&gt;J10)*(H$3:H$65="L5")))+1,""))))</f>
        <v>8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>MAX(T10,X10)</f>
        <v>49.7</v>
      </c>
      <c r="S10" s="4">
        <f>IF(R10=T10,MAX(V10,X10,Z10),IF(R10=X10,MAX(T10,V10,Z10),0))</f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$65&lt;&gt;"")*(G$3:G$65=G11)*(J$3:J$65&gt;J11)*(I$3:I$65="P"))+1,IF(O11&lt;&gt;"",SUMPRODUCT((O$3:O$65&lt;&gt;"")*(P$3:P$65="")*(G$3:G$65=G11)*(J$3:J$65&gt;J11)*(I$3:I$65="P"))+SUMPRODUCT((P$3:P$65&lt;&gt;"")*(G$3:G$65=G11)*(I$3:I$65="P"))+1,IF(N11&lt;&gt;"",SUMPRODUCT((N$3:N$65&lt;&gt;"")*(G$3:G$65=G11)*(J$3:J$65&gt;J11)*(I$3:I$65="P"))+1,IF(M11="P",SUMPRODUCT((O$3:O$65&lt;&gt;"")*(P$3:P$65="")*(G$3:G$65=G11)*(I$3:I$65="P"))+SUMPRODUCT((P$3:P$65&lt;&gt;"")*(G$3:G$65=G11)*(I$3:I$65="P"))+SUMPRODUCT((N$3:N$65&lt;&gt;"")*(G$3:G$65=G11)*(I$3:I$65="P"))+SUMPRODUCT((P$3:P$65="")*(O$3:O$65="")*(N$3:N$65="")*(M$3:M$65="P")*(G$3:G$65=G11)*(J$3:J$65&gt;J11)*(I$3:I$65="P"))+IF(H11="L5",SUMPRODUCT((P$3:P$65="")*(O$3:O$65="")*(N$3:N$65="")*(M$3:M$65="P")*(G$3:G$65=G11)*(J$3:J$65&lt;J11)*(H$3:H$65&lt;&gt;H11)*(I$3:I$65="P")),-1*SUMPRODUCT((P$3:P$65="")*(O$3:O$65="")*(N$3:N$65="")*(M$3:M$65="P")*(G$3:G$65=G11)*(J$3:J$65&gt;J11)*(H$3:H$65="L5")*(I$3:I$65="P")))+1,"")))))</f>
        <v/>
      </c>
      <c r="B11" s="1" cm="1">
        <f t="array" ref="B11">IF(P11&lt;&gt;"",SUMPRODUCT((P$3:P$65&lt;&gt;"")*(G$3:G$65=G11)*(J$3:J$65&gt;J11))+1,IF(O11&lt;&gt;"",SUMPRODUCT((O$3:O$65&lt;&gt;"")*(P$3:P$65="")*(G$3:G$65=G11)*(J$3:J$65&gt;J11))+SUMPRODUCT((P$3:P$65&lt;&gt;"")*(G$3:G$65=G11))+1,IF(N11&lt;&gt;"",SUMPRODUCT((N$3:N$65&lt;&gt;"")*(G$3:G$65=G11)*(J$3:J$65&gt;J11))+1,IF(M11="P",SUMPRODUCT((O$3:O$65&lt;&gt;"")*(P$3:P$65="")*(G$3:G$65=G11))+SUMPRODUCT((P$3:P$65&lt;&gt;"")*(G$3:G$65=G11))+SUMPRODUCT((N$3:N$65&lt;&gt;"")*(G$3:G$65=G11))+SUMPRODUCT((P$3:P$65="")*(O$3:O$65="")*(N$3:N$65="")*(M$3:M$65="P")*(G$3:G$65=G11)*(J$3:J$65&gt;J11))+IF(H11="L5",SUMPRODUCT((P$3:P$65="")*(O$3:O$65="")*(N$3:N$65="")*(M$3:M$65="P")*(G$3:G$65=G11)*(J$3:J$65&lt;J11)*(H$3:H$65&lt;&gt;H11)),-1*SUMPRODUCT((P$3:P$65="")*(O$3:O$65="")*(N$3:N$65="")*(M$3:M$65="P")*(G$3:G$65=G11)*(J$3:J$65&gt;J11)*(H$3:H$65="L5")))+1,""))))</f>
        <v>9</v>
      </c>
      <c r="C11" s="36" t="s">
        <v>97</v>
      </c>
      <c r="D11" s="36" t="str">
        <f>IF(E11="","",VLOOKUP(E11,'Coaching Points'!A:B,2,0))</f>
        <v>BC</v>
      </c>
      <c r="E11" s="36" t="s">
        <v>57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98.200099999999992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>MAX(T11,X11)</f>
        <v>48.4</v>
      </c>
      <c r="S11" s="4">
        <f>IF(R11=T11,MAX(V11,X11,Z11),IF(R11=X11,MAX(T11,V11,Z11),0))</f>
        <v>49.8</v>
      </c>
      <c r="T11" s="33">
        <v>48.4</v>
      </c>
      <c r="U11" s="40">
        <v>12.4</v>
      </c>
      <c r="V11" s="34">
        <v>49.8</v>
      </c>
      <c r="W11" s="40">
        <v>13.2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$65&lt;&gt;"")*(G$3:G$65=G12)*(J$3:J$65&gt;J12)*(I$3:I$65="P"))+1,IF(O12&lt;&gt;"",SUMPRODUCT((O$3:O$65&lt;&gt;"")*(P$3:P$65="")*(G$3:G$65=G12)*(J$3:J$65&gt;J12)*(I$3:I$65="P"))+SUMPRODUCT((P$3:P$65&lt;&gt;"")*(G$3:G$65=G12)*(I$3:I$65="P"))+1,IF(N12&lt;&gt;"",SUMPRODUCT((N$3:N$65&lt;&gt;"")*(G$3:G$65=G12)*(J$3:J$65&gt;J12)*(I$3:I$65="P"))+1,IF(M12="P",SUMPRODUCT((O$3:O$65&lt;&gt;"")*(P$3:P$65="")*(G$3:G$65=G12)*(I$3:I$65="P"))+SUMPRODUCT((P$3:P$65&lt;&gt;"")*(G$3:G$65=G12)*(I$3:I$65="P"))+SUMPRODUCT((N$3:N$65&lt;&gt;"")*(G$3:G$65=G12)*(I$3:I$65="P"))+SUMPRODUCT((P$3:P$65="")*(O$3:O$65="")*(N$3:N$65="")*(M$3:M$65="P")*(G$3:G$65=G12)*(J$3:J$65&gt;J12)*(I$3:I$65="P"))+IF(H12="L5",SUMPRODUCT((P$3:P$65="")*(O$3:O$65="")*(N$3:N$65="")*(M$3:M$65="P")*(G$3:G$65=G12)*(J$3:J$65&lt;J12)*(H$3:H$65&lt;&gt;H12)*(I$3:I$65="P")),-1*SUMPRODUCT((P$3:P$65="")*(O$3:O$65="")*(N$3:N$65="")*(M$3:M$65="P")*(G$3:G$65=G12)*(J$3:J$65&gt;J12)*(H$3:H$65="L5")*(I$3:I$65="P")))+1,"")))))</f>
        <v/>
      </c>
      <c r="B12" s="1" cm="1">
        <f t="array" ref="B12">IF(P12&lt;&gt;"",SUMPRODUCT((P$3:P$65&lt;&gt;"")*(G$3:G$65=G12)*(J$3:J$65&gt;J12))+1,IF(O12&lt;&gt;"",SUMPRODUCT((O$3:O$65&lt;&gt;"")*(P$3:P$65="")*(G$3:G$65=G12)*(J$3:J$65&gt;J12))+SUMPRODUCT((P$3:P$65&lt;&gt;"")*(G$3:G$65=G12))+1,IF(N12&lt;&gt;"",SUMPRODUCT((N$3:N$65&lt;&gt;"")*(G$3:G$65=G12)*(J$3:J$65&gt;J12))+1,IF(M12="P",SUMPRODUCT((O$3:O$65&lt;&gt;"")*(P$3:P$65="")*(G$3:G$65=G12))+SUMPRODUCT((P$3:P$65&lt;&gt;"")*(G$3:G$65=G12))+SUMPRODUCT((N$3:N$65&lt;&gt;"")*(G$3:G$65=G12))+SUMPRODUCT((P$3:P$65="")*(O$3:O$65="")*(N$3:N$65="")*(M$3:M$65="P")*(G$3:G$65=G12)*(J$3:J$65&gt;J12))+IF(H12="L5",SUMPRODUCT((P$3:P$65="")*(O$3:O$65="")*(N$3:N$65="")*(M$3:M$65="P")*(G$3:G$65=G12)*(J$3:J$65&lt;J12)*(H$3:H$65&lt;&gt;H12)),-1*SUMPRODUCT((P$3:P$65="")*(O$3:O$65="")*(N$3:N$65="")*(M$3:M$65="P")*(G$3:G$65=G12)*(J$3:J$65&gt;J12)*(H$3:H$65="L5")))+1,""))))</f>
        <v>10</v>
      </c>
      <c r="C12" s="36" t="s">
        <v>172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97.8001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MAX(T12,X12)</f>
        <v>48.5</v>
      </c>
      <c r="S12" s="4">
        <f>IF(R12=T12,MAX(V12,X12,Z12),IF(R12=X12,MAX(T12,V12,Z12),0))</f>
        <v>49.3</v>
      </c>
      <c r="T12" s="33">
        <v>48.5</v>
      </c>
      <c r="U12" s="40">
        <v>13.3</v>
      </c>
      <c r="V12" s="34">
        <v>49.3</v>
      </c>
      <c r="W12" s="40">
        <v>13.3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$65&lt;&gt;"")*(G$3:G$65=G13)*(J$3:J$65&gt;J13)*(I$3:I$65="P"))+1,IF(O13&lt;&gt;"",SUMPRODUCT((O$3:O$65&lt;&gt;"")*(P$3:P$65="")*(G$3:G$65=G13)*(J$3:J$65&gt;J13)*(I$3:I$65="P"))+SUMPRODUCT((P$3:P$65&lt;&gt;"")*(G$3:G$65=G13)*(I$3:I$65="P"))+1,IF(N13&lt;&gt;"",SUMPRODUCT((N$3:N$65&lt;&gt;"")*(G$3:G$65=G13)*(J$3:J$65&gt;J13)*(I$3:I$65="P"))+1,IF(M13="P",SUMPRODUCT((O$3:O$65&lt;&gt;"")*(P$3:P$65="")*(G$3:G$65=G13)*(I$3:I$65="P"))+SUMPRODUCT((P$3:P$65&lt;&gt;"")*(G$3:G$65=G13)*(I$3:I$65="P"))+SUMPRODUCT((N$3:N$65&lt;&gt;"")*(G$3:G$65=G13)*(I$3:I$65="P"))+SUMPRODUCT((P$3:P$65="")*(O$3:O$65="")*(N$3:N$65="")*(M$3:M$65="P")*(G$3:G$65=G13)*(J$3:J$65&gt;J13)*(I$3:I$65="P"))+IF(H13="L5",SUMPRODUCT((P$3:P$65="")*(O$3:O$65="")*(N$3:N$65="")*(M$3:M$65="P")*(G$3:G$65=G13)*(J$3:J$65&lt;J13)*(H$3:H$65&lt;&gt;H13)*(I$3:I$65="P")),-1*SUMPRODUCT((P$3:P$65="")*(O$3:O$65="")*(N$3:N$65="")*(M$3:M$65="P")*(G$3:G$65=G13)*(J$3:J$65&gt;J13)*(H$3:H$65="L5")*(I$3:I$65="P")))+1,"")))))</f>
        <v/>
      </c>
      <c r="B13" s="1" cm="1">
        <f t="array" ref="B13">IF(P13&lt;&gt;"",SUMPRODUCT((P$3:P$65&lt;&gt;"")*(G$3:G$65=G13)*(J$3:J$65&gt;J13))+1,IF(O13&lt;&gt;"",SUMPRODUCT((O$3:O$65&lt;&gt;"")*(P$3:P$65="")*(G$3:G$65=G13)*(J$3:J$65&gt;J13))+SUMPRODUCT((P$3:P$65&lt;&gt;"")*(G$3:G$65=G13))+1,IF(N13&lt;&gt;"",SUMPRODUCT((N$3:N$65&lt;&gt;"")*(G$3:G$65=G13)*(J$3:J$65&gt;J13))+1,IF(M13="P",SUMPRODUCT((O$3:O$65&lt;&gt;"")*(P$3:P$65="")*(G$3:G$65=G13))+SUMPRODUCT((P$3:P$65&lt;&gt;"")*(G$3:G$65=G13))+SUMPRODUCT((N$3:N$65&lt;&gt;"")*(G$3:G$65=G13))+SUMPRODUCT((P$3:P$65="")*(O$3:O$65="")*(N$3:N$65="")*(M$3:M$65="P")*(G$3:G$65=G13)*(J$3:J$65&gt;J13))+IF(H13="L5",SUMPRODUCT((P$3:P$65="")*(O$3:O$65="")*(N$3:N$65="")*(M$3:M$65="P")*(G$3:G$65=G13)*(J$3:J$65&lt;J13)*(H$3:H$65&lt;&gt;H13)),-1*SUMPRODUCT((P$3:P$65="")*(O$3:O$65="")*(N$3:N$65="")*(M$3:M$65="P")*(G$3:G$65=G13)*(J$3:J$65&gt;J13)*(H$3:H$65="L5")))+1,""))))</f>
        <v>11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R13+S13+IF(OR(H13="Junior",H13="Senior"),0.0002,IF(OR(H13="L7",H13="L6"),0.0001,0))+MAX(X13,Z13)*0.0000001</f>
        <v>96.100099999999998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MAX(T13,X13)</f>
        <v>49</v>
      </c>
      <c r="S13" s="4">
        <f>IF(R13=T13,MAX(V13,X13,Z13),IF(R13=X13,MAX(T13,V13,Z13),0))</f>
        <v>47.1</v>
      </c>
      <c r="T13" s="33">
        <v>49</v>
      </c>
      <c r="U13" s="40">
        <v>12</v>
      </c>
      <c r="V13" s="34">
        <v>47.1</v>
      </c>
      <c r="W13" s="40">
        <v>11.6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$65&lt;&gt;"")*(G$3:G$65=G14)*(J$3:J$65&gt;J14)*(I$3:I$65="P"))+1,IF(O14&lt;&gt;"",SUMPRODUCT((O$3:O$65&lt;&gt;"")*(P$3:P$65="")*(G$3:G$65=G14)*(J$3:J$65&gt;J14)*(I$3:I$65="P"))+SUMPRODUCT((P$3:P$65&lt;&gt;"")*(G$3:G$65=G14)*(I$3:I$65="P"))+1,IF(N14&lt;&gt;"",SUMPRODUCT((N$3:N$65&lt;&gt;"")*(G$3:G$65=G14)*(J$3:J$65&gt;J14)*(I$3:I$65="P"))+1,IF(M14="P",SUMPRODUCT((O$3:O$65&lt;&gt;"")*(P$3:P$65="")*(G$3:G$65=G14)*(I$3:I$65="P"))+SUMPRODUCT((P$3:P$65&lt;&gt;"")*(G$3:G$65=G14)*(I$3:I$65="P"))+SUMPRODUCT((N$3:N$65&lt;&gt;"")*(G$3:G$65=G14)*(I$3:I$65="P"))+SUMPRODUCT((P$3:P$65="")*(O$3:O$65="")*(N$3:N$65="")*(M$3:M$65="P")*(G$3:G$65=G14)*(J$3:J$65&gt;J14)*(I$3:I$65="P"))+IF(H14="L5",SUMPRODUCT((P$3:P$65="")*(O$3:O$65="")*(N$3:N$65="")*(M$3:M$65="P")*(G$3:G$65=G14)*(J$3:J$65&lt;J14)*(H$3:H$65&lt;&gt;H14)*(I$3:I$65="P")),-1*SUMPRODUCT((P$3:P$65="")*(O$3:O$65="")*(N$3:N$65="")*(M$3:M$65="P")*(G$3:G$65=G14)*(J$3:J$65&gt;J14)*(H$3:H$65="L5")*(I$3:I$65="P")))+1,"")))))</f>
        <v/>
      </c>
      <c r="B14" s="1" cm="1">
        <f t="array" ref="B14">IF(P14&lt;&gt;"",SUMPRODUCT((P$3:P$65&lt;&gt;"")*(G$3:G$65=G14)*(J$3:J$65&gt;J14))+1,IF(O14&lt;&gt;"",SUMPRODUCT((O$3:O$65&lt;&gt;"")*(P$3:P$65="")*(G$3:G$65=G14)*(J$3:J$65&gt;J14))+SUMPRODUCT((P$3:P$65&lt;&gt;"")*(G$3:G$65=G14))+1,IF(N14&lt;&gt;"",SUMPRODUCT((N$3:N$65&lt;&gt;"")*(G$3:G$65=G14)*(J$3:J$65&gt;J14))+1,IF(M14="P",SUMPRODUCT((O$3:O$65&lt;&gt;"")*(P$3:P$65="")*(G$3:G$65=G14))+SUMPRODUCT((P$3:P$65&lt;&gt;"")*(G$3:G$65=G14))+SUMPRODUCT((N$3:N$65&lt;&gt;"")*(G$3:G$65=G14))+SUMPRODUCT((P$3:P$65="")*(O$3:O$65="")*(N$3:N$65="")*(M$3:M$65="P")*(G$3:G$65=G14)*(J$3:J$65&gt;J14))+IF(H14="L5",SUMPRODUCT((P$3:P$65="")*(O$3:O$65="")*(N$3:N$65="")*(M$3:M$65="P")*(G$3:G$65=G14)*(J$3:J$65&lt;J14)*(H$3:H$65&lt;&gt;H14)),-1*SUMPRODUCT((P$3:P$65="")*(O$3:O$65="")*(N$3:N$65="")*(M$3:M$65="P")*(G$3:G$65=G14)*(J$3:J$65&gt;J14)*(H$3:H$65="L5")))+1,""))))</f>
        <v>12</v>
      </c>
      <c r="C14" s="36" t="s">
        <v>114</v>
      </c>
      <c r="D14" s="36" t="str">
        <f>IF(E14="","",VLOOKUP(E14,'Coaching Points'!A:B,2,0))</f>
        <v>QC</v>
      </c>
      <c r="E14" s="36" t="s">
        <v>3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>R14+S14+IF(OR(H14="Junior",H14="Senior"),0.0002,IF(OR(H14="L7",H14="L6"),0.0001,0))+MAX(X14,Z14)*0.0000001</f>
        <v>95.400200000000012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MAX(T14,X14)</f>
        <v>49.5</v>
      </c>
      <c r="S14" s="4">
        <f>IF(R14=T14,MAX(V14,X14,Z14),IF(R14=X14,MAX(T14,V14,Z14),0))</f>
        <v>45.9</v>
      </c>
      <c r="T14" s="33">
        <v>49.5</v>
      </c>
      <c r="U14" s="40">
        <v>12.399999999999999</v>
      </c>
      <c r="V14" s="34">
        <v>45.9</v>
      </c>
      <c r="W14" s="40">
        <v>10.8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$65&lt;&gt;"")*(G$3:G$65=G15)*(J$3:J$65&gt;J15)*(I$3:I$65="P"))+1,IF(O15&lt;&gt;"",SUMPRODUCT((O$3:O$65&lt;&gt;"")*(P$3:P$65="")*(G$3:G$65=G15)*(J$3:J$65&gt;J15)*(I$3:I$65="P"))+SUMPRODUCT((P$3:P$65&lt;&gt;"")*(G$3:G$65=G15)*(I$3:I$65="P"))+1,IF(N15&lt;&gt;"",SUMPRODUCT((N$3:N$65&lt;&gt;"")*(G$3:G$65=G15)*(J$3:J$65&gt;J15)*(I$3:I$65="P"))+1,IF(M15="P",SUMPRODUCT((O$3:O$65&lt;&gt;"")*(P$3:P$65="")*(G$3:G$65=G15)*(I$3:I$65="P"))+SUMPRODUCT((P$3:P$65&lt;&gt;"")*(G$3:G$65=G15)*(I$3:I$65="P"))+SUMPRODUCT((N$3:N$65&lt;&gt;"")*(G$3:G$65=G15)*(I$3:I$65="P"))+SUMPRODUCT((P$3:P$65="")*(O$3:O$65="")*(N$3:N$65="")*(M$3:M$65="P")*(G$3:G$65=G15)*(J$3:J$65&gt;J15)*(I$3:I$65="P"))+IF(H15="L5",SUMPRODUCT((P$3:P$65="")*(O$3:O$65="")*(N$3:N$65="")*(M$3:M$65="P")*(G$3:G$65=G15)*(J$3:J$65&lt;J15)*(H$3:H$65&lt;&gt;H15)*(I$3:I$65="P")),-1*SUMPRODUCT((P$3:P$65="")*(O$3:O$65="")*(N$3:N$65="")*(M$3:M$65="P")*(G$3:G$65=G15)*(J$3:J$65&gt;J15)*(H$3:H$65="L5")*(I$3:I$65="P")))+1,"")))))</f>
        <v/>
      </c>
      <c r="B15" s="1" cm="1">
        <f t="array" ref="B15">IF(P15&lt;&gt;"",SUMPRODUCT((P$3:P$65&lt;&gt;"")*(G$3:G$65=G15)*(J$3:J$65&gt;J15))+1,IF(O15&lt;&gt;"",SUMPRODUCT((O$3:O$65&lt;&gt;"")*(P$3:P$65="")*(G$3:G$65=G15)*(J$3:J$65&gt;J15))+SUMPRODUCT((P$3:P$65&lt;&gt;"")*(G$3:G$65=G15))+1,IF(N15&lt;&gt;"",SUMPRODUCT((N$3:N$65&lt;&gt;"")*(G$3:G$65=G15)*(J$3:J$65&gt;J15))+1,IF(M15="P",SUMPRODUCT((O$3:O$65&lt;&gt;"")*(P$3:P$65="")*(G$3:G$65=G15))+SUMPRODUCT((P$3:P$65&lt;&gt;"")*(G$3:G$65=G15))+SUMPRODUCT((N$3:N$65&lt;&gt;"")*(G$3:G$65=G15))+SUMPRODUCT((P$3:P$65="")*(O$3:O$65="")*(N$3:N$65="")*(M$3:M$65="P")*(G$3:G$65=G15)*(J$3:J$65&gt;J15))+IF(H15="L5",SUMPRODUCT((P$3:P$65="")*(O$3:O$65="")*(N$3:N$65="")*(M$3:M$65="P")*(G$3:G$65=G15)*(J$3:J$65&lt;J15)*(H$3:H$65&lt;&gt;H15)),-1*SUMPRODUCT((P$3:P$65="")*(O$3:O$65="")*(N$3:N$65="")*(M$3:M$65="P")*(G$3:G$65=G15)*(J$3:J$65&gt;J15)*(H$3:H$65="L5")))+1,""))))</f>
        <v>13</v>
      </c>
      <c r="C15" s="36" t="s">
        <v>295</v>
      </c>
      <c r="D15" s="36" t="str">
        <f>IF(E15="","",VLOOKUP(E15,'Coaching Points'!A:B,2,0))</f>
        <v>QC</v>
      </c>
      <c r="E15" s="36" t="s">
        <v>203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R15+S15+IF(OR(H15="Junior",H15="Senior"),0.0002,IF(OR(H15="L7",H15="L6"),0.0001,0))+MAX(X15,Z15)*0.0000001</f>
        <v>92.900100000000009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MAX(T15,X15)</f>
        <v>43.3</v>
      </c>
      <c r="S15" s="4">
        <f>IF(R15=T15,MAX(V15,X15,Z15),IF(R15=X15,MAX(T15,V15,Z15),0))</f>
        <v>49.6</v>
      </c>
      <c r="T15" s="33">
        <v>43.3</v>
      </c>
      <c r="U15" s="40">
        <v>7.1999999999999993</v>
      </c>
      <c r="V15" s="34">
        <v>49.6</v>
      </c>
      <c r="W15" s="40">
        <v>11.6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$65&lt;&gt;"")*(G$3:G$65=G16)*(J$3:J$65&gt;J16)*(I$3:I$65="P"))+1,IF(O16&lt;&gt;"",SUMPRODUCT((O$3:O$65&lt;&gt;"")*(P$3:P$65="")*(G$3:G$65=G16)*(J$3:J$65&gt;J16)*(I$3:I$65="P"))+SUMPRODUCT((P$3:P$65&lt;&gt;"")*(G$3:G$65=G16)*(I$3:I$65="P"))+1,IF(N16&lt;&gt;"",SUMPRODUCT((N$3:N$65&lt;&gt;"")*(G$3:G$65=G16)*(J$3:J$65&gt;J16)*(I$3:I$65="P"))+1,IF(M16="P",SUMPRODUCT((O$3:O$65&lt;&gt;"")*(P$3:P$65="")*(G$3:G$65=G16)*(I$3:I$65="P"))+SUMPRODUCT((P$3:P$65&lt;&gt;"")*(G$3:G$65=G16)*(I$3:I$65="P"))+SUMPRODUCT((N$3:N$65&lt;&gt;"")*(G$3:G$65=G16)*(I$3:I$65="P"))+SUMPRODUCT((P$3:P$65="")*(O$3:O$65="")*(N$3:N$65="")*(M$3:M$65="P")*(G$3:G$65=G16)*(J$3:J$65&gt;J16)*(I$3:I$65="P"))+IF(H16="L5",SUMPRODUCT((P$3:P$65="")*(O$3:O$65="")*(N$3:N$65="")*(M$3:M$65="P")*(G$3:G$65=G16)*(J$3:J$65&lt;J16)*(H$3:H$65&lt;&gt;H16)*(I$3:I$65="P")),-1*SUMPRODUCT((P$3:P$65="")*(O$3:O$65="")*(N$3:N$65="")*(M$3:M$65="P")*(G$3:G$65=G16)*(J$3:J$65&gt;J16)*(H$3:H$65="L5")*(I$3:I$65="P")))+1,"")))))</f>
        <v/>
      </c>
      <c r="B16" s="1" cm="1">
        <f t="array" ref="B16">IF(P16&lt;&gt;"",SUMPRODUCT((P$3:P$65&lt;&gt;"")*(G$3:G$65=G16)*(J$3:J$65&gt;J16))+1,IF(O16&lt;&gt;"",SUMPRODUCT((O$3:O$65&lt;&gt;"")*(P$3:P$65="")*(G$3:G$65=G16)*(J$3:J$65&gt;J16))+SUMPRODUCT((P$3:P$65&lt;&gt;"")*(G$3:G$65=G16))+1,IF(N16&lt;&gt;"",SUMPRODUCT((N$3:N$65&lt;&gt;"")*(G$3:G$65=G16)*(J$3:J$65&gt;J16))+1,IF(M16="P",SUMPRODUCT((O$3:O$65&lt;&gt;"")*(P$3:P$65="")*(G$3:G$65=G16))+SUMPRODUCT((P$3:P$65&lt;&gt;"")*(G$3:G$65=G16))+SUMPRODUCT((N$3:N$65&lt;&gt;"")*(G$3:G$65=G16))+SUMPRODUCT((P$3:P$65="")*(O$3:O$65="")*(N$3:N$65="")*(M$3:M$65="P")*(G$3:G$65=G16)*(J$3:J$65&gt;J16))+IF(H16="L5",SUMPRODUCT((P$3:P$65="")*(O$3:O$65="")*(N$3:N$65="")*(M$3:M$65="P")*(G$3:G$65=G16)*(J$3:J$65&lt;J16)*(H$3:H$65&lt;&gt;H16)),-1*SUMPRODUCT((P$3:P$65="")*(O$3:O$65="")*(N$3:N$65="")*(M$3:M$65="P")*(G$3:G$65=G16)*(J$3:J$65&gt;J16)*(H$3:H$65="L5")))+1,""))))</f>
        <v>14</v>
      </c>
      <c r="C16" s="36" t="s">
        <v>108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74</v>
      </c>
      <c r="I16" s="43"/>
      <c r="J16" s="4">
        <f>R16+S16+IF(OR(H16="Junior",H16="Senior"),0.0002,IF(OR(H16="L7",H16="L6"),0.0001,0))+MAX(X16,Z16)*0.0000001</f>
        <v>70.500200000000007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MAX(T16,X16)</f>
        <v>49.7</v>
      </c>
      <c r="S16" s="4">
        <f>IF(R16=T16,MAX(V16,X16,Z16),IF(R16=X16,MAX(T16,V16,Z16),0))</f>
        <v>20.8</v>
      </c>
      <c r="T16" s="33">
        <v>49.7</v>
      </c>
      <c r="U16" s="40">
        <v>14</v>
      </c>
      <c r="V16" s="34">
        <v>20.8</v>
      </c>
      <c r="W16" s="40"/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$65&lt;&gt;"")*(G$3:G$65=G17)*(J$3:J$65&gt;J17)*(I$3:I$65="P"))+1,IF(O17&lt;&gt;"",SUMPRODUCT((O$3:O$65&lt;&gt;"")*(P$3:P$65="")*(G$3:G$65=G17)*(J$3:J$65&gt;J17)*(I$3:I$65="P"))+SUMPRODUCT((P$3:P$65&lt;&gt;"")*(G$3:G$65=G17)*(I$3:I$65="P"))+1,IF(N17&lt;&gt;"",SUMPRODUCT((N$3:N$65&lt;&gt;"")*(G$3:G$65=G17)*(J$3:J$65&gt;J17)*(I$3:I$65="P"))+1,IF(M17="P",SUMPRODUCT((O$3:O$65&lt;&gt;"")*(P$3:P$65="")*(G$3:G$65=G17)*(I$3:I$65="P"))+SUMPRODUCT((P$3:P$65&lt;&gt;"")*(G$3:G$65=G17)*(I$3:I$65="P"))+SUMPRODUCT((N$3:N$65&lt;&gt;"")*(G$3:G$65=G17)*(I$3:I$65="P"))+SUMPRODUCT((P$3:P$65="")*(O$3:O$65="")*(N$3:N$65="")*(M$3:M$65="P")*(G$3:G$65=G17)*(J$3:J$65&gt;J17)*(I$3:I$65="P"))+IF(H17="L5",SUMPRODUCT((P$3:P$65="")*(O$3:O$65="")*(N$3:N$65="")*(M$3:M$65="P")*(G$3:G$65=G17)*(J$3:J$65&lt;J17)*(H$3:H$65&lt;&gt;H17)*(I$3:I$65="P")),-1*SUMPRODUCT((P$3:P$65="")*(O$3:O$65="")*(N$3:N$65="")*(M$3:M$65="P")*(G$3:G$65=G17)*(J$3:J$65&gt;J17)*(H$3:H$65="L5")*(I$3:I$65="P")))+1,"")))))</f>
        <v/>
      </c>
      <c r="B17" s="1" t="str" cm="1">
        <f t="array" ref="B17">IF(P17&lt;&gt;"",SUMPRODUCT((P$3:P$65&lt;&gt;"")*(G$3:G$65=G17)*(J$3:J$65&gt;J17))+1,IF(O17&lt;&gt;"",SUMPRODUCT((O$3:O$65&lt;&gt;"")*(P$3:P$65="")*(G$3:G$65=G17)*(J$3:J$65&gt;J17))+SUMPRODUCT((P$3:P$65&lt;&gt;"")*(G$3:G$65=G17))+1,IF(N17&lt;&gt;"",SUMPRODUCT((N$3:N$65&lt;&gt;"")*(G$3:G$65=G17)*(J$3:J$65&gt;J17))+1,IF(M17="P",SUMPRODUCT((O$3:O$65&lt;&gt;"")*(P$3:P$65="")*(G$3:G$65=G17))+SUMPRODUCT((P$3:P$65&lt;&gt;"")*(G$3:G$65=G17))+SUMPRODUCT((N$3:N$65&lt;&gt;"")*(G$3:G$65=G17))+SUMPRODUCT((P$3:P$65="")*(O$3:O$65="")*(N$3:N$65="")*(M$3:M$65="P")*(G$3:G$65=G17)*(J$3:J$65&gt;J17))+IF(H17="L5",SUMPRODUCT((P$3:P$65="")*(O$3:O$65="")*(N$3:N$65="")*(M$3:M$65="P")*(G$3:G$65=G17)*(J$3:J$65&lt;J17)*(H$3:H$65&lt;&gt;H17)),-1*SUMPRODUCT((P$3:P$65="")*(O$3:O$65="")*(N$3:N$65="")*(M$3:M$65="P")*(G$3:G$65=G17)*(J$3:J$65&gt;J17)*(H$3:H$65="L5")))+1,""))))</f>
        <v/>
      </c>
      <c r="C17" s="36" t="s">
        <v>99</v>
      </c>
      <c r="D17" s="36" t="str">
        <f>IF(E17="","",VLOOKUP(E17,'Coaching Points'!A:B,2,0))</f>
        <v>ON</v>
      </c>
      <c r="E17" s="36" t="s">
        <v>100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R17+S17+IF(OR(H17="Junior",H17="Senior"),0.0002,IF(OR(H17="L7",H17="L6"),0.0001,0))+MAX(X17,Z17)*0.0000001</f>
        <v>94.600099999999998</v>
      </c>
      <c r="K17" s="3" t="str">
        <f>IF(G17="Not Age Eligible","",IF(MAX(T17,V17,X17,Z17)&gt;=LOOKUP(G17,'Qualifying Scores'!$A$4:$A$7,'Qualifying Scores'!$F$4:$F$7),"P",""))</f>
        <v/>
      </c>
      <c r="L17" s="3" t="str">
        <f>IF(G17="Not Age Eligible","",IF(MAX(U17,W17,Y17,AA17)&gt;=LOOKUP(G17,'Qualifying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MAX(T17,X17)</f>
        <v>47.1</v>
      </c>
      <c r="S17" s="4">
        <f>IF(R17=T17,MAX(V17,X17,Z17),IF(R17=X17,MAX(T17,V17,Z17),0))</f>
        <v>47.5</v>
      </c>
      <c r="T17" s="33">
        <v>47.1</v>
      </c>
      <c r="U17" s="40">
        <v>10.4</v>
      </c>
      <c r="V17" s="34">
        <v>47.5</v>
      </c>
      <c r="W17" s="40">
        <v>10.4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$65&lt;&gt;"")*(G$3:G$65=G18)*(J$3:J$65&gt;J18)*(I$3:I$65="P"))+1,IF(O18&lt;&gt;"",SUMPRODUCT((O$3:O$65&lt;&gt;"")*(P$3:P$65="")*(G$3:G$65=G18)*(J$3:J$65&gt;J18)*(I$3:I$65="P"))+SUMPRODUCT((P$3:P$65&lt;&gt;"")*(G$3:G$65=G18)*(I$3:I$65="P"))+1,IF(N18&lt;&gt;"",SUMPRODUCT((N$3:N$65&lt;&gt;"")*(G$3:G$65=G18)*(J$3:J$65&gt;J18)*(I$3:I$65="P"))+1,IF(M18="P",SUMPRODUCT((O$3:O$65&lt;&gt;"")*(P$3:P$65="")*(G$3:G$65=G18)*(I$3:I$65="P"))+SUMPRODUCT((P$3:P$65&lt;&gt;"")*(G$3:G$65=G18)*(I$3:I$65="P"))+SUMPRODUCT((N$3:N$65&lt;&gt;"")*(G$3:G$65=G18)*(I$3:I$65="P"))+SUMPRODUCT((P$3:P$65="")*(O$3:O$65="")*(N$3:N$65="")*(M$3:M$65="P")*(G$3:G$65=G18)*(J$3:J$65&gt;J18)*(I$3:I$65="P"))+IF(H18="L5",SUMPRODUCT((P$3:P$65="")*(O$3:O$65="")*(N$3:N$65="")*(M$3:M$65="P")*(G$3:G$65=G18)*(J$3:J$65&lt;J18)*(H$3:H$65&lt;&gt;H18)*(I$3:I$65="P")),-1*SUMPRODUCT((P$3:P$65="")*(O$3:O$65="")*(N$3:N$65="")*(M$3:M$65="P")*(G$3:G$65=G18)*(J$3:J$65&gt;J18)*(H$3:H$65="L5")*(I$3:I$65="P")))+1,"")))))</f>
        <v/>
      </c>
      <c r="B18" s="1" t="str" cm="1">
        <f t="array" ref="B18">IF(P18&lt;&gt;"",SUMPRODUCT((P$3:P$65&lt;&gt;"")*(G$3:G$65=G18)*(J$3:J$65&gt;J18))+1,IF(O18&lt;&gt;"",SUMPRODUCT((O$3:O$65&lt;&gt;"")*(P$3:P$65="")*(G$3:G$65=G18)*(J$3:J$65&gt;J18))+SUMPRODUCT((P$3:P$65&lt;&gt;"")*(G$3:G$65=G18))+1,IF(N18&lt;&gt;"",SUMPRODUCT((N$3:N$65&lt;&gt;"")*(G$3:G$65=G18)*(J$3:J$65&gt;J18))+1,IF(M18="P",SUMPRODUCT((O$3:O$65&lt;&gt;"")*(P$3:P$65="")*(G$3:G$65=G18))+SUMPRODUCT((P$3:P$65&lt;&gt;"")*(G$3:G$65=G18))+SUMPRODUCT((N$3:N$65&lt;&gt;"")*(G$3:G$65=G18))+SUMPRODUCT((P$3:P$65="")*(O$3:O$65="")*(N$3:N$65="")*(M$3:M$65="P")*(G$3:G$65=G18)*(J$3:J$65&gt;J18))+IF(H18="L5",SUMPRODUCT((P$3:P$65="")*(O$3:O$65="")*(N$3:N$65="")*(M$3:M$65="P")*(G$3:G$65=G18)*(J$3:J$65&lt;J18)*(H$3:H$65&lt;&gt;H18)),-1*SUMPRODUCT((P$3:P$65="")*(O$3:O$65="")*(N$3:N$65="")*(M$3:M$65="P")*(G$3:G$65=G18)*(J$3:J$65&gt;J18)*(H$3:H$65="L5")))+1,""))))</f>
        <v/>
      </c>
      <c r="C18" s="36" t="s">
        <v>98</v>
      </c>
      <c r="D18" s="36" t="str">
        <f>IF(E18="","",VLOOKUP(E18,'Coaching Points'!A:B,2,0))</f>
        <v>BC</v>
      </c>
      <c r="E18" s="36" t="s">
        <v>62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R18+S18+IF(OR(H18="Junior",H18="Senior"),0.0002,IF(OR(H18="L7",H18="L6"),0.0001,0))+MAX(X18,Z18)*0.0000001</f>
        <v>90.800100000000015</v>
      </c>
      <c r="K18" s="3" t="str">
        <f>IF(G18="Not Age Eligible","",IF(MAX(T18,V18,X18,Z18)&gt;=LOOKUP(G18,'Qualifying Scores'!$A$4:$A$7,'Qualifying Scores'!$F$4:$F$7),"P",""))</f>
        <v/>
      </c>
      <c r="L18" s="3" t="str">
        <f>IF(G18="Not Age Eligible","",IF(MAX(U18,W18,Y18,AA18)&gt;=LOOKUP(G18,'Qualifying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MAX(T18,X18)</f>
        <v>45.6</v>
      </c>
      <c r="S18" s="4">
        <f>IF(R18=T18,MAX(V18,X18,Z18),IF(R18=X18,MAX(T18,V18,Z18),0))</f>
        <v>45.2</v>
      </c>
      <c r="T18" s="33">
        <v>45.6</v>
      </c>
      <c r="U18" s="40">
        <v>10.4</v>
      </c>
      <c r="V18" s="34">
        <v>45.2</v>
      </c>
      <c r="W18" s="40">
        <v>10.4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$65&lt;&gt;"")*(G$3:G$65=G19)*(J$3:J$65&gt;J19)*(I$3:I$65="P"))+1,IF(O19&lt;&gt;"",SUMPRODUCT((O$3:O$65&lt;&gt;"")*(P$3:P$65="")*(G$3:G$65=G19)*(J$3:J$65&gt;J19)*(I$3:I$65="P"))+SUMPRODUCT((P$3:P$65&lt;&gt;"")*(G$3:G$65=G19)*(I$3:I$65="P"))+1,IF(N19&lt;&gt;"",SUMPRODUCT((N$3:N$65&lt;&gt;"")*(G$3:G$65=G19)*(J$3:J$65&gt;J19)*(I$3:I$65="P"))+1,IF(M19="P",SUMPRODUCT((O$3:O$65&lt;&gt;"")*(P$3:P$65="")*(G$3:G$65=G19)*(I$3:I$65="P"))+SUMPRODUCT((P$3:P$65&lt;&gt;"")*(G$3:G$65=G19)*(I$3:I$65="P"))+SUMPRODUCT((N$3:N$65&lt;&gt;"")*(G$3:G$65=G19)*(I$3:I$65="P"))+SUMPRODUCT((P$3:P$65="")*(O$3:O$65="")*(N$3:N$65="")*(M$3:M$65="P")*(G$3:G$65=G19)*(J$3:J$65&gt;J19)*(I$3:I$65="P"))+IF(H19="L5",SUMPRODUCT((P$3:P$65="")*(O$3:O$65="")*(N$3:N$65="")*(M$3:M$65="P")*(G$3:G$65=G19)*(J$3:J$65&lt;J19)*(H$3:H$65&lt;&gt;H19)*(I$3:I$65="P")),-1*SUMPRODUCT((P$3:P$65="")*(O$3:O$65="")*(N$3:N$65="")*(M$3:M$65="P")*(G$3:G$65=G19)*(J$3:J$65&gt;J19)*(H$3:H$65="L5")*(I$3:I$65="P")))+1,"")))))</f>
        <v/>
      </c>
      <c r="B19" s="1" t="str" cm="1">
        <f t="array" ref="B19">IF(P19&lt;&gt;"",SUMPRODUCT((P$3:P$65&lt;&gt;"")*(G$3:G$65=G19)*(J$3:J$65&gt;J19))+1,IF(O19&lt;&gt;"",SUMPRODUCT((O$3:O$65&lt;&gt;"")*(P$3:P$65="")*(G$3:G$65=G19)*(J$3:J$65&gt;J19))+SUMPRODUCT((P$3:P$65&lt;&gt;"")*(G$3:G$65=G19))+1,IF(N19&lt;&gt;"",SUMPRODUCT((N$3:N$65&lt;&gt;"")*(G$3:G$65=G19)*(J$3:J$65&gt;J19))+1,IF(M19="P",SUMPRODUCT((O$3:O$65&lt;&gt;"")*(P$3:P$65="")*(G$3:G$65=G19))+SUMPRODUCT((P$3:P$65&lt;&gt;"")*(G$3:G$65=G19))+SUMPRODUCT((N$3:N$65&lt;&gt;"")*(G$3:G$65=G19))+SUMPRODUCT((P$3:P$65="")*(O$3:O$65="")*(N$3:N$65="")*(M$3:M$65="P")*(G$3:G$65=G19)*(J$3:J$65&gt;J19))+IF(H19="L5",SUMPRODUCT((P$3:P$65="")*(O$3:O$65="")*(N$3:N$65="")*(M$3:M$65="P")*(G$3:G$65=G19)*(J$3:J$65&lt;J19)*(H$3:H$65&lt;&gt;H19)),-1*SUMPRODUCT((P$3:P$65="")*(O$3:O$65="")*(N$3:N$65="")*(M$3:M$65="P")*(G$3:G$65=G19)*(J$3:J$65&gt;J19)*(H$3:H$65="L5")))+1,""))))</f>
        <v/>
      </c>
      <c r="C19" s="36" t="s">
        <v>350</v>
      </c>
      <c r="D19" s="36" t="str">
        <f>IF(E19="","",VLOOKUP(E19,'Coaching Points'!A:B,2,0))</f>
        <v>BC</v>
      </c>
      <c r="E19" s="36" t="s">
        <v>41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89.7</v>
      </c>
      <c r="K19" s="3" t="str">
        <f>IF(G19="Not Age Eligible","",IF(MAX(T19,V19,X19,Z19)&gt;=LOOKUP(G19,'Qualifying Scores'!$A$4:$A$7,'Qualifying Scores'!$F$4:$F$7),"P",""))</f>
        <v/>
      </c>
      <c r="L19" s="3" t="str">
        <f>IF(G19="Not Age Eligible","",IF(MAX(U19,W19,Y19,AA19)&gt;=LOOKUP(G19,'Qualifying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MAX(T19,X19)</f>
        <v>45.7</v>
      </c>
      <c r="S19" s="4">
        <f>IF(R19=T19,MAX(V19,X19,Z19),IF(R19=X19,MAX(T19,V19,Z19),0))</f>
        <v>44</v>
      </c>
      <c r="T19" s="33">
        <v>45.7</v>
      </c>
      <c r="U19" s="40">
        <v>8.8000000000000007</v>
      </c>
      <c r="V19" s="34">
        <v>44</v>
      </c>
      <c r="W19" s="40">
        <v>6.9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$65&lt;&gt;"")*(G$3:G$65=G20)*(J$3:J$65&gt;J20)*(I$3:I$65="P"))+1,IF(O20&lt;&gt;"",SUMPRODUCT((O$3:O$65&lt;&gt;"")*(P$3:P$65="")*(G$3:G$65=G20)*(J$3:J$65&gt;J20)*(I$3:I$65="P"))+SUMPRODUCT((P$3:P$65&lt;&gt;"")*(G$3:G$65=G20)*(I$3:I$65="P"))+1,IF(N20&lt;&gt;"",SUMPRODUCT((N$3:N$65&lt;&gt;"")*(G$3:G$65=G20)*(J$3:J$65&gt;J20)*(I$3:I$65="P"))+1,IF(M20="P",SUMPRODUCT((O$3:O$65&lt;&gt;"")*(P$3:P$65="")*(G$3:G$65=G20)*(I$3:I$65="P"))+SUMPRODUCT((P$3:P$65&lt;&gt;"")*(G$3:G$65=G20)*(I$3:I$65="P"))+SUMPRODUCT((N$3:N$65&lt;&gt;"")*(G$3:G$65=G20)*(I$3:I$65="P"))+SUMPRODUCT((P$3:P$65="")*(O$3:O$65="")*(N$3:N$65="")*(M$3:M$65="P")*(G$3:G$65=G20)*(J$3:J$65&gt;J20)*(I$3:I$65="P"))+IF(H20="L5",SUMPRODUCT((P$3:P$65="")*(O$3:O$65="")*(N$3:N$65="")*(M$3:M$65="P")*(G$3:G$65=G20)*(J$3:J$65&lt;J20)*(H$3:H$65&lt;&gt;H20)*(I$3:I$65="P")),-1*SUMPRODUCT((P$3:P$65="")*(O$3:O$65="")*(N$3:N$65="")*(M$3:M$65="P")*(G$3:G$65=G20)*(J$3:J$65&gt;J20)*(H$3:H$65="L5")*(I$3:I$65="P")))+1,"")))))</f>
        <v/>
      </c>
      <c r="B20" s="1" t="str" cm="1">
        <f t="array" ref="B20">IF(P20&lt;&gt;"",SUMPRODUCT((P$3:P$65&lt;&gt;"")*(G$3:G$65=G20)*(J$3:J$65&gt;J20))+1,IF(O20&lt;&gt;"",SUMPRODUCT((O$3:O$65&lt;&gt;"")*(P$3:P$65="")*(G$3:G$65=G20)*(J$3:J$65&gt;J20))+SUMPRODUCT((P$3:P$65&lt;&gt;"")*(G$3:G$65=G20))+1,IF(N20&lt;&gt;"",SUMPRODUCT((N$3:N$65&lt;&gt;"")*(G$3:G$65=G20)*(J$3:J$65&gt;J20))+1,IF(M20="P",SUMPRODUCT((O$3:O$65&lt;&gt;"")*(P$3:P$65="")*(G$3:G$65=G20))+SUMPRODUCT((P$3:P$65&lt;&gt;"")*(G$3:G$65=G20))+SUMPRODUCT((N$3:N$65&lt;&gt;"")*(G$3:G$65=G20))+SUMPRODUCT((P$3:P$65="")*(O$3:O$65="")*(N$3:N$65="")*(M$3:M$65="P")*(G$3:G$65=G20)*(J$3:J$65&gt;J20))+IF(H20="L5",SUMPRODUCT((P$3:P$65="")*(O$3:O$65="")*(N$3:N$65="")*(M$3:M$65="P")*(G$3:G$65=G20)*(J$3:J$65&lt;J20)*(H$3:H$65&lt;&gt;H20)),-1*SUMPRODUCT((P$3:P$65="")*(O$3:O$65="")*(N$3:N$65="")*(M$3:M$65="P")*(G$3:G$65=G20)*(J$3:J$65&gt;J20)*(H$3:H$65="L5")))+1,""))))</f>
        <v/>
      </c>
      <c r="C20" s="36" t="s">
        <v>227</v>
      </c>
      <c r="D20" s="36" t="str">
        <f>IF(E20="","",VLOOKUP(E20,'Coaching Points'!A:B,2,0))</f>
        <v>QC</v>
      </c>
      <c r="E20" s="36" t="s">
        <v>59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88.800000000000011</v>
      </c>
      <c r="K20" s="3" t="str">
        <f>IF(G20="Not Age Eligible","",IF(MAX(T20,V20,X20,Z20)&gt;=LOOKUP(G20,'Qualifying Scores'!$A$4:$A$7,'Qualifying Scores'!$F$4:$F$7),"P",""))</f>
        <v/>
      </c>
      <c r="L20" s="3" t="str">
        <f>IF(G20="Not Age Eligible","",IF(MAX(U20,W20,Y20,AA20)&gt;=LOOKUP(G20,'Qualifying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MAX(T20,X20)</f>
        <v>44.1</v>
      </c>
      <c r="S20" s="4">
        <f>IF(R20=T20,MAX(V20,X20,Z20),IF(R20=X20,MAX(T20,V20,Z20),0))</f>
        <v>44.7</v>
      </c>
      <c r="T20" s="33">
        <v>44.1</v>
      </c>
      <c r="U20" s="40">
        <v>6.6</v>
      </c>
      <c r="V20" s="34">
        <v>44.7</v>
      </c>
      <c r="W20" s="40">
        <v>8.3000000000000007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$65&lt;&gt;"")*(G$3:G$65=G21)*(J$3:J$65&gt;J21)*(I$3:I$65="P"))+1,IF(O21&lt;&gt;"",SUMPRODUCT((O$3:O$65&lt;&gt;"")*(P$3:P$65="")*(G$3:G$65=G21)*(J$3:J$65&gt;J21)*(I$3:I$65="P"))+SUMPRODUCT((P$3:P$65&lt;&gt;"")*(G$3:G$65=G21)*(I$3:I$65="P"))+1,IF(N21&lt;&gt;"",SUMPRODUCT((N$3:N$65&lt;&gt;"")*(G$3:G$65=G21)*(J$3:J$65&gt;J21)*(I$3:I$65="P"))+1,IF(M21="P",SUMPRODUCT((O$3:O$65&lt;&gt;"")*(P$3:P$65="")*(G$3:G$65=G21)*(I$3:I$65="P"))+SUMPRODUCT((P$3:P$65&lt;&gt;"")*(G$3:G$65=G21)*(I$3:I$65="P"))+SUMPRODUCT((N$3:N$65&lt;&gt;"")*(G$3:G$65=G21)*(I$3:I$65="P"))+SUMPRODUCT((P$3:P$65="")*(O$3:O$65="")*(N$3:N$65="")*(M$3:M$65="P")*(G$3:G$65=G21)*(J$3:J$65&gt;J21)*(I$3:I$65="P"))+IF(H21="L5",SUMPRODUCT((P$3:P$65="")*(O$3:O$65="")*(N$3:N$65="")*(M$3:M$65="P")*(G$3:G$65=G21)*(J$3:J$65&lt;J21)*(H$3:H$65&lt;&gt;H21)*(I$3:I$65="P")),-1*SUMPRODUCT((P$3:P$65="")*(O$3:O$65="")*(N$3:N$65="")*(M$3:M$65="P")*(G$3:G$65=G21)*(J$3:J$65&gt;J21)*(H$3:H$65="L5")*(I$3:I$65="P")))+1,"")))))</f>
        <v/>
      </c>
      <c r="B21" s="1" t="str" cm="1">
        <f t="array" ref="B21">IF(P21&lt;&gt;"",SUMPRODUCT((P$3:P$65&lt;&gt;"")*(G$3:G$65=G21)*(J$3:J$65&gt;J21))+1,IF(O21&lt;&gt;"",SUMPRODUCT((O$3:O$65&lt;&gt;"")*(P$3:P$65="")*(G$3:G$65=G21)*(J$3:J$65&gt;J21))+SUMPRODUCT((P$3:P$65&lt;&gt;"")*(G$3:G$65=G21))+1,IF(N21&lt;&gt;"",SUMPRODUCT((N$3:N$65&lt;&gt;"")*(G$3:G$65=G21)*(J$3:J$65&gt;J21))+1,IF(M21="P",SUMPRODUCT((O$3:O$65&lt;&gt;"")*(P$3:P$65="")*(G$3:G$65=G21))+SUMPRODUCT((P$3:P$65&lt;&gt;"")*(G$3:G$65=G21))+SUMPRODUCT((N$3:N$65&lt;&gt;"")*(G$3:G$65=G21))+SUMPRODUCT((P$3:P$65="")*(O$3:O$65="")*(N$3:N$65="")*(M$3:M$65="P")*(G$3:G$65=G21)*(J$3:J$65&gt;J21))+IF(H21="L5",SUMPRODUCT((P$3:P$65="")*(O$3:O$65="")*(N$3:N$65="")*(M$3:M$65="P")*(G$3:G$65=G21)*(J$3:J$65&lt;J21)*(H$3:H$65&lt;&gt;H21)),-1*SUMPRODUCT((P$3:P$65="")*(O$3:O$65="")*(N$3:N$65="")*(M$3:M$65="P")*(G$3:G$65=G21)*(J$3:J$65&gt;J21)*(H$3:H$65="L5")))+1,""))))</f>
        <v/>
      </c>
      <c r="C21" s="36" t="s">
        <v>220</v>
      </c>
      <c r="D21" s="36" t="str">
        <f>IF(E21="","",VLOOKUP(E21,'Coaching Points'!A:B,2,0))</f>
        <v>ON</v>
      </c>
      <c r="E21" s="36" t="s">
        <v>47</v>
      </c>
      <c r="F21" s="35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88.2</v>
      </c>
      <c r="K21" s="3" t="str">
        <f>IF(G21="Not Age Eligible","",IF(MAX(T21,V21,X21,Z21)&gt;=LOOKUP(G21,'Qualifying Scores'!$A$4:$A$7,'Qualifying Scores'!$F$4:$F$7),"P",""))</f>
        <v/>
      </c>
      <c r="L21" s="3" t="str">
        <f>IF(G21="Not Age Eligible","",IF(MAX(U21,W21,Y21,AA21)&gt;=LOOKUP(G21,'Qualifying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MAX(T21,X21)</f>
        <v>44.1</v>
      </c>
      <c r="S21" s="4">
        <f>IF(R21=T21,MAX(V21,X21,Z21),IF(R21=X21,MAX(T21,V21,Z21),0))</f>
        <v>44.1</v>
      </c>
      <c r="T21" s="33">
        <v>44.1</v>
      </c>
      <c r="U21" s="40">
        <v>7.9</v>
      </c>
      <c r="V21" s="34">
        <v>44.1</v>
      </c>
      <c r="W21" s="40">
        <v>7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$65&lt;&gt;"")*(G$3:G$65=G22)*(J$3:J$65&gt;J22)*(I$3:I$65="P"))+1,IF(O22&lt;&gt;"",SUMPRODUCT((O$3:O$65&lt;&gt;"")*(P$3:P$65="")*(G$3:G$65=G22)*(J$3:J$65&gt;J22)*(I$3:I$65="P"))+SUMPRODUCT((P$3:P$65&lt;&gt;"")*(G$3:G$65=G22)*(I$3:I$65="P"))+1,IF(N22&lt;&gt;"",SUMPRODUCT((N$3:N$65&lt;&gt;"")*(G$3:G$65=G22)*(J$3:J$65&gt;J22)*(I$3:I$65="P"))+1,IF(M22="P",SUMPRODUCT((O$3:O$65&lt;&gt;"")*(P$3:P$65="")*(G$3:G$65=G22)*(I$3:I$65="P"))+SUMPRODUCT((P$3:P$65&lt;&gt;"")*(G$3:G$65=G22)*(I$3:I$65="P"))+SUMPRODUCT((N$3:N$65&lt;&gt;"")*(G$3:G$65=G22)*(I$3:I$65="P"))+SUMPRODUCT((P$3:P$65="")*(O$3:O$65="")*(N$3:N$65="")*(M$3:M$65="P")*(G$3:G$65=G22)*(J$3:J$65&gt;J22)*(I$3:I$65="P"))+IF(H22="L5",SUMPRODUCT((P$3:P$65="")*(O$3:O$65="")*(N$3:N$65="")*(M$3:M$65="P")*(G$3:G$65=G22)*(J$3:J$65&lt;J22)*(H$3:H$65&lt;&gt;H22)*(I$3:I$65="P")),-1*SUMPRODUCT((P$3:P$65="")*(O$3:O$65="")*(N$3:N$65="")*(M$3:M$65="P")*(G$3:G$65=G22)*(J$3:J$65&gt;J22)*(H$3:H$65="L5")*(I$3:I$65="P")))+1,"")))))</f>
        <v/>
      </c>
      <c r="B22" s="1" t="str" cm="1">
        <f t="array" ref="B22">IF(P22&lt;&gt;"",SUMPRODUCT((P$3:P$65&lt;&gt;"")*(G$3:G$65=G22)*(J$3:J$65&gt;J22))+1,IF(O22&lt;&gt;"",SUMPRODUCT((O$3:O$65&lt;&gt;"")*(P$3:P$65="")*(G$3:G$65=G22)*(J$3:J$65&gt;J22))+SUMPRODUCT((P$3:P$65&lt;&gt;"")*(G$3:G$65=G22))+1,IF(N22&lt;&gt;"",SUMPRODUCT((N$3:N$65&lt;&gt;"")*(G$3:G$65=G22)*(J$3:J$65&gt;J22))+1,IF(M22="P",SUMPRODUCT((O$3:O$65&lt;&gt;"")*(P$3:P$65="")*(G$3:G$65=G22))+SUMPRODUCT((P$3:P$65&lt;&gt;"")*(G$3:G$65=G22))+SUMPRODUCT((N$3:N$65&lt;&gt;"")*(G$3:G$65=G22))+SUMPRODUCT((P$3:P$65="")*(O$3:O$65="")*(N$3:N$65="")*(M$3:M$65="P")*(G$3:G$65=G22)*(J$3:J$65&gt;J22))+IF(H22="L5",SUMPRODUCT((P$3:P$65="")*(O$3:O$65="")*(N$3:N$65="")*(M$3:M$65="P")*(G$3:G$65=G22)*(J$3:J$65&lt;J22)*(H$3:H$65&lt;&gt;H22)),-1*SUMPRODUCT((P$3:P$65="")*(O$3:O$65="")*(N$3:N$65="")*(M$3:M$65="P")*(G$3:G$65=G22)*(J$3:J$65&gt;J22)*(H$3:H$65="L5")))+1,""))))</f>
        <v/>
      </c>
      <c r="C22" s="36" t="s">
        <v>91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87.5</v>
      </c>
      <c r="K22" s="3" t="str">
        <f>IF(G22="Not Age Eligible","",IF(MAX(T22,V22,X22,Z22)&gt;=LOOKUP(G22,'Qualifying Scores'!$A$4:$A$7,'Qualifying Scores'!$F$4:$F$7),"P",""))</f>
        <v/>
      </c>
      <c r="L22" s="3" t="str">
        <f>IF(G22="Not Age Eligible","",IF(MAX(U22,W22,Y22,AA22)&gt;=LOOKUP(G22,'Qualifying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MAX(T22,X22)</f>
        <v>44.1</v>
      </c>
      <c r="S22" s="4">
        <f>IF(R22=T22,MAX(V22,X22,Z22),IF(R22=X22,MAX(T22,V22,Z22),0))</f>
        <v>43.4</v>
      </c>
      <c r="T22" s="33">
        <v>44.1</v>
      </c>
      <c r="U22" s="40">
        <v>8</v>
      </c>
      <c r="V22" s="34">
        <v>43.4</v>
      </c>
      <c r="W22" s="40">
        <v>6.8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$65&lt;&gt;"")*(G$3:G$65=G23)*(J$3:J$65&gt;J23)*(I$3:I$65="P"))+1,IF(O23&lt;&gt;"",SUMPRODUCT((O$3:O$65&lt;&gt;"")*(P$3:P$65="")*(G$3:G$65=G23)*(J$3:J$65&gt;J23)*(I$3:I$65="P"))+SUMPRODUCT((P$3:P$65&lt;&gt;"")*(G$3:G$65=G23)*(I$3:I$65="P"))+1,IF(N23&lt;&gt;"",SUMPRODUCT((N$3:N$65&lt;&gt;"")*(G$3:G$65=G23)*(J$3:J$65&gt;J23)*(I$3:I$65="P"))+1,IF(M23="P",SUMPRODUCT((O$3:O$65&lt;&gt;"")*(P$3:P$65="")*(G$3:G$65=G23)*(I$3:I$65="P"))+SUMPRODUCT((P$3:P$65&lt;&gt;"")*(G$3:G$65=G23)*(I$3:I$65="P"))+SUMPRODUCT((N$3:N$65&lt;&gt;"")*(G$3:G$65=G23)*(I$3:I$65="P"))+SUMPRODUCT((P$3:P$65="")*(O$3:O$65="")*(N$3:N$65="")*(M$3:M$65="P")*(G$3:G$65=G23)*(J$3:J$65&gt;J23)*(I$3:I$65="P"))+IF(H23="L5",SUMPRODUCT((P$3:P$65="")*(O$3:O$65="")*(N$3:N$65="")*(M$3:M$65="P")*(G$3:G$65=G23)*(J$3:J$65&lt;J23)*(H$3:H$65&lt;&gt;H23)*(I$3:I$65="P")),-1*SUMPRODUCT((P$3:P$65="")*(O$3:O$65="")*(N$3:N$65="")*(M$3:M$65="P")*(G$3:G$65=G23)*(J$3:J$65&gt;J23)*(H$3:H$65="L5")*(I$3:I$65="P")))+1,"")))))</f>
        <v/>
      </c>
      <c r="B23" s="1" t="str" cm="1">
        <f t="array" ref="B23">IF(P23&lt;&gt;"",SUMPRODUCT((P$3:P$65&lt;&gt;"")*(G$3:G$65=G23)*(J$3:J$65&gt;J23))+1,IF(O23&lt;&gt;"",SUMPRODUCT((O$3:O$65&lt;&gt;"")*(P$3:P$65="")*(G$3:G$65=G23)*(J$3:J$65&gt;J23))+SUMPRODUCT((P$3:P$65&lt;&gt;"")*(G$3:G$65=G23))+1,IF(N23&lt;&gt;"",SUMPRODUCT((N$3:N$65&lt;&gt;"")*(G$3:G$65=G23)*(J$3:J$65&gt;J23))+1,IF(M23="P",SUMPRODUCT((O$3:O$65&lt;&gt;"")*(P$3:P$65="")*(G$3:G$65=G23))+SUMPRODUCT((P$3:P$65&lt;&gt;"")*(G$3:G$65=G23))+SUMPRODUCT((N$3:N$65&lt;&gt;"")*(G$3:G$65=G23))+SUMPRODUCT((P$3:P$65="")*(O$3:O$65="")*(N$3:N$65="")*(M$3:M$65="P")*(G$3:G$65=G23)*(J$3:J$65&gt;J23))+IF(H23="L5",SUMPRODUCT((P$3:P$65="")*(O$3:O$65="")*(N$3:N$65="")*(M$3:M$65="P")*(G$3:G$65=G23)*(J$3:J$65&lt;J23)*(H$3:H$65&lt;&gt;H23)),-1*SUMPRODUCT((P$3:P$65="")*(O$3:O$65="")*(N$3:N$65="")*(M$3:M$65="P")*(G$3:G$65=G23)*(J$3:J$65&gt;J23)*(H$3:H$65="L5")))+1,""))))</f>
        <v/>
      </c>
      <c r="C23" s="36" t="s">
        <v>75</v>
      </c>
      <c r="D23" s="36" t="str">
        <f>IF(E23="","",VLOOKUP(E23,'Coaching Points'!A:B,2,0))</f>
        <v>ON</v>
      </c>
      <c r="E23" s="36" t="s">
        <v>71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68</v>
      </c>
      <c r="I23" s="43"/>
      <c r="J23" s="4">
        <f>R23+S23+IF(OR(H23="Junior",H23="Senior"),0.0002,IF(OR(H23="L7",H23="L6"),0.0001,0))+MAX(X23,Z23)*0.0000001</f>
        <v>85.700100000000006</v>
      </c>
      <c r="K23" s="3" t="str">
        <f>IF(G23="Not Age Eligible","",IF(MAX(T23,V23,X23,Z23)&gt;=LOOKUP(G23,'Qualifying Scores'!$A$4:$A$7,'Qualifying Scores'!$F$4:$F$7),"P",""))</f>
        <v/>
      </c>
      <c r="L23" s="3" t="str">
        <f>IF(G23="Not Age Eligible","",IF(MAX(U23,W23,Y23,AA23)&gt;=LOOKUP(G23,'Qualifying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MAX(T23,X23)</f>
        <v>40.1</v>
      </c>
      <c r="S23" s="4">
        <f>IF(R23=T23,MAX(V23,X23,Z23),IF(R23=X23,MAX(T23,V23,Z23),0))</f>
        <v>45.6</v>
      </c>
      <c r="T23" s="33">
        <v>40.1</v>
      </c>
      <c r="U23" s="40">
        <v>3.5</v>
      </c>
      <c r="V23" s="34">
        <v>45.6</v>
      </c>
      <c r="W23" s="40">
        <v>9.6000000000000014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$65&lt;&gt;"")*(G$3:G$65=G24)*(J$3:J$65&gt;J24)*(I$3:I$65="P"))+1,IF(O24&lt;&gt;"",SUMPRODUCT((O$3:O$65&lt;&gt;"")*(P$3:P$65="")*(G$3:G$65=G24)*(J$3:J$65&gt;J24)*(I$3:I$65="P"))+SUMPRODUCT((P$3:P$65&lt;&gt;"")*(G$3:G$65=G24)*(I$3:I$65="P"))+1,IF(N24&lt;&gt;"",SUMPRODUCT((N$3:N$65&lt;&gt;"")*(G$3:G$65=G24)*(J$3:J$65&gt;J24)*(I$3:I$65="P"))+1,IF(M24="P",SUMPRODUCT((O$3:O$65&lt;&gt;"")*(P$3:P$65="")*(G$3:G$65=G24)*(I$3:I$65="P"))+SUMPRODUCT((P$3:P$65&lt;&gt;"")*(G$3:G$65=G24)*(I$3:I$65="P"))+SUMPRODUCT((N$3:N$65&lt;&gt;"")*(G$3:G$65=G24)*(I$3:I$65="P"))+SUMPRODUCT((P$3:P$65="")*(O$3:O$65="")*(N$3:N$65="")*(M$3:M$65="P")*(G$3:G$65=G24)*(J$3:J$65&gt;J24)*(I$3:I$65="P"))+IF(H24="L5",SUMPRODUCT((P$3:P$65="")*(O$3:O$65="")*(N$3:N$65="")*(M$3:M$65="P")*(G$3:G$65=G24)*(J$3:J$65&lt;J24)*(H$3:H$65&lt;&gt;H24)*(I$3:I$65="P")),-1*SUMPRODUCT((P$3:P$65="")*(O$3:O$65="")*(N$3:N$65="")*(M$3:M$65="P")*(G$3:G$65=G24)*(J$3:J$65&gt;J24)*(H$3:H$65="L5")*(I$3:I$65="P")))+1,"")))))</f>
        <v/>
      </c>
      <c r="B24" s="1" t="str" cm="1">
        <f t="array" ref="B24">IF(P24&lt;&gt;"",SUMPRODUCT((P$3:P$65&lt;&gt;"")*(G$3:G$65=G24)*(J$3:J$65&gt;J24))+1,IF(O24&lt;&gt;"",SUMPRODUCT((O$3:O$65&lt;&gt;"")*(P$3:P$65="")*(G$3:G$65=G24)*(J$3:J$65&gt;J24))+SUMPRODUCT((P$3:P$65&lt;&gt;"")*(G$3:G$65=G24))+1,IF(N24&lt;&gt;"",SUMPRODUCT((N$3:N$65&lt;&gt;"")*(G$3:G$65=G24)*(J$3:J$65&gt;J24))+1,IF(M24="P",SUMPRODUCT((O$3:O$65&lt;&gt;"")*(P$3:P$65="")*(G$3:G$65=G24))+SUMPRODUCT((P$3:P$65&lt;&gt;"")*(G$3:G$65=G24))+SUMPRODUCT((N$3:N$65&lt;&gt;"")*(G$3:G$65=G24))+SUMPRODUCT((P$3:P$65="")*(O$3:O$65="")*(N$3:N$65="")*(M$3:M$65="P")*(G$3:G$65=G24)*(J$3:J$65&gt;J24))+IF(H24="L5",SUMPRODUCT((P$3:P$65="")*(O$3:O$65="")*(N$3:N$65="")*(M$3:M$65="P")*(G$3:G$65=G24)*(J$3:J$65&lt;J24)*(H$3:H$65&lt;&gt;H24)),-1*SUMPRODUCT((P$3:P$65="")*(O$3:O$65="")*(N$3:N$65="")*(M$3:M$65="P")*(G$3:G$65=G24)*(J$3:J$65&gt;J24)*(H$3:H$65="L5")))+1,""))))</f>
        <v/>
      </c>
      <c r="C24" s="36" t="s">
        <v>217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84.900100000000009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MAX(T24,X24)</f>
        <v>44.1</v>
      </c>
      <c r="S24" s="4">
        <f>IF(R24=T24,MAX(V24,X24,Z24),IF(R24=X24,MAX(T24,V24,Z24),0))</f>
        <v>40.799999999999997</v>
      </c>
      <c r="T24" s="33">
        <v>44.1</v>
      </c>
      <c r="U24" s="40">
        <v>7.8</v>
      </c>
      <c r="V24" s="34">
        <v>40.799999999999997</v>
      </c>
      <c r="W24" s="40">
        <v>5.9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$65&lt;&gt;"")*(G$3:G$65=G25)*(J$3:J$65&gt;J25)*(I$3:I$65="P"))+1,IF(O25&lt;&gt;"",SUMPRODUCT((O$3:O$65&lt;&gt;"")*(P$3:P$65="")*(G$3:G$65=G25)*(J$3:J$65&gt;J25)*(I$3:I$65="P"))+SUMPRODUCT((P$3:P$65&lt;&gt;"")*(G$3:G$65=G25)*(I$3:I$65="P"))+1,IF(N25&lt;&gt;"",SUMPRODUCT((N$3:N$65&lt;&gt;"")*(G$3:G$65=G25)*(J$3:J$65&gt;J25)*(I$3:I$65="P"))+1,IF(M25="P",SUMPRODUCT((O$3:O$65&lt;&gt;"")*(P$3:P$65="")*(G$3:G$65=G25)*(I$3:I$65="P"))+SUMPRODUCT((P$3:P$65&lt;&gt;"")*(G$3:G$65=G25)*(I$3:I$65="P"))+SUMPRODUCT((N$3:N$65&lt;&gt;"")*(G$3:G$65=G25)*(I$3:I$65="P"))+SUMPRODUCT((P$3:P$65="")*(O$3:O$65="")*(N$3:N$65="")*(M$3:M$65="P")*(G$3:G$65=G25)*(J$3:J$65&gt;J25)*(I$3:I$65="P"))+IF(H25="L5",SUMPRODUCT((P$3:P$65="")*(O$3:O$65="")*(N$3:N$65="")*(M$3:M$65="P")*(G$3:G$65=G25)*(J$3:J$65&lt;J25)*(H$3:H$65&lt;&gt;H25)*(I$3:I$65="P")),-1*SUMPRODUCT((P$3:P$65="")*(O$3:O$65="")*(N$3:N$65="")*(M$3:M$65="P")*(G$3:G$65=G25)*(J$3:J$65&gt;J25)*(H$3:H$65="L5")*(I$3:I$65="P")))+1,"")))))</f>
        <v/>
      </c>
      <c r="B25" s="1" t="str" cm="1">
        <f t="array" ref="B25">IF(P25&lt;&gt;"",SUMPRODUCT((P$3:P$65&lt;&gt;"")*(G$3:G$65=G25)*(J$3:J$65&gt;J25))+1,IF(O25&lt;&gt;"",SUMPRODUCT((O$3:O$65&lt;&gt;"")*(P$3:P$65="")*(G$3:G$65=G25)*(J$3:J$65&gt;J25))+SUMPRODUCT((P$3:P$65&lt;&gt;"")*(G$3:G$65=G25))+1,IF(N25&lt;&gt;"",SUMPRODUCT((N$3:N$65&lt;&gt;"")*(G$3:G$65=G25)*(J$3:J$65&gt;J25))+1,IF(M25="P",SUMPRODUCT((O$3:O$65&lt;&gt;"")*(P$3:P$65="")*(G$3:G$65=G25))+SUMPRODUCT((P$3:P$65&lt;&gt;"")*(G$3:G$65=G25))+SUMPRODUCT((N$3:N$65&lt;&gt;"")*(G$3:G$65=G25))+SUMPRODUCT((P$3:P$65="")*(O$3:O$65="")*(N$3:N$65="")*(M$3:M$65="P")*(G$3:G$65=G25)*(J$3:J$65&gt;J25))+IF(H25="L5",SUMPRODUCT((P$3:P$65="")*(O$3:O$65="")*(N$3:N$65="")*(M$3:M$65="P")*(G$3:G$65=G25)*(J$3:J$65&lt;J25)*(H$3:H$65&lt;&gt;H25)),-1*SUMPRODUCT((P$3:P$65="")*(O$3:O$65="")*(N$3:N$65="")*(M$3:M$65="P")*(G$3:G$65=G25)*(J$3:J$65&gt;J25)*(H$3:H$65="L5")))+1,""))))</f>
        <v/>
      </c>
      <c r="C25" s="36" t="s">
        <v>323</v>
      </c>
      <c r="D25" s="36" t="str">
        <f>IF(E25="","",VLOOKUP(E25,'Coaching Points'!A:B,2,0))</f>
        <v>ON</v>
      </c>
      <c r="E25" s="36" t="s">
        <v>113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84.7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MAX(T25,X25)</f>
        <v>43</v>
      </c>
      <c r="S25" s="4">
        <f>IF(R25=T25,MAX(V25,X25,Z25),IF(R25=X25,MAX(T25,V25,Z25),0))</f>
        <v>41.7</v>
      </c>
      <c r="T25" s="33">
        <v>43</v>
      </c>
      <c r="U25" s="40">
        <v>5.8000000000000007</v>
      </c>
      <c r="V25" s="34">
        <v>41.7</v>
      </c>
      <c r="W25" s="40">
        <v>6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$65&lt;&gt;"")*(G$3:G$65=G26)*(J$3:J$65&gt;J26)*(I$3:I$65="P"))+1,IF(O26&lt;&gt;"",SUMPRODUCT((O$3:O$65&lt;&gt;"")*(P$3:P$65="")*(G$3:G$65=G26)*(J$3:J$65&gt;J26)*(I$3:I$65="P"))+SUMPRODUCT((P$3:P$65&lt;&gt;"")*(G$3:G$65=G26)*(I$3:I$65="P"))+1,IF(N26&lt;&gt;"",SUMPRODUCT((N$3:N$65&lt;&gt;"")*(G$3:G$65=G26)*(J$3:J$65&gt;J26)*(I$3:I$65="P"))+1,IF(M26="P",SUMPRODUCT((O$3:O$65&lt;&gt;"")*(P$3:P$65="")*(G$3:G$65=G26)*(I$3:I$65="P"))+SUMPRODUCT((P$3:P$65&lt;&gt;"")*(G$3:G$65=G26)*(I$3:I$65="P"))+SUMPRODUCT((N$3:N$65&lt;&gt;"")*(G$3:G$65=G26)*(I$3:I$65="P"))+SUMPRODUCT((P$3:P$65="")*(O$3:O$65="")*(N$3:N$65="")*(M$3:M$65="P")*(G$3:G$65=G26)*(J$3:J$65&gt;J26)*(I$3:I$65="P"))+IF(H26="L5",SUMPRODUCT((P$3:P$65="")*(O$3:O$65="")*(N$3:N$65="")*(M$3:M$65="P")*(G$3:G$65=G26)*(J$3:J$65&lt;J26)*(H$3:H$65&lt;&gt;H26)*(I$3:I$65="P")),-1*SUMPRODUCT((P$3:P$65="")*(O$3:O$65="")*(N$3:N$65="")*(M$3:M$65="P")*(G$3:G$65=G26)*(J$3:J$65&gt;J26)*(H$3:H$65="L5")*(I$3:I$65="P")))+1,"")))))</f>
        <v/>
      </c>
      <c r="B26" s="1" t="str" cm="1">
        <f t="array" ref="B26">IF(P26&lt;&gt;"",SUMPRODUCT((P$3:P$65&lt;&gt;"")*(G$3:G$65=G26)*(J$3:J$65&gt;J26))+1,IF(O26&lt;&gt;"",SUMPRODUCT((O$3:O$65&lt;&gt;"")*(P$3:P$65="")*(G$3:G$65=G26)*(J$3:J$65&gt;J26))+SUMPRODUCT((P$3:P$65&lt;&gt;"")*(G$3:G$65=G26))+1,IF(N26&lt;&gt;"",SUMPRODUCT((N$3:N$65&lt;&gt;"")*(G$3:G$65=G26)*(J$3:J$65&gt;J26))+1,IF(M26="P",SUMPRODUCT((O$3:O$65&lt;&gt;"")*(P$3:P$65="")*(G$3:G$65=G26))+SUMPRODUCT((P$3:P$65&lt;&gt;"")*(G$3:G$65=G26))+SUMPRODUCT((N$3:N$65&lt;&gt;"")*(G$3:G$65=G26))+SUMPRODUCT((P$3:P$65="")*(O$3:O$65="")*(N$3:N$65="")*(M$3:M$65="P")*(G$3:G$65=G26)*(J$3:J$65&gt;J26))+IF(H26="L5",SUMPRODUCT((P$3:P$65="")*(O$3:O$65="")*(N$3:N$65="")*(M$3:M$65="P")*(G$3:G$65=G26)*(J$3:J$65&lt;J26)*(H$3:H$65&lt;&gt;H26)),-1*SUMPRODUCT((P$3:P$65="")*(O$3:O$65="")*(N$3:N$65="")*(M$3:M$65="P")*(G$3:G$65=G26)*(J$3:J$65&gt;J26)*(H$3:H$65="L5")))+1,""))))</f>
        <v/>
      </c>
      <c r="C26" s="36" t="s">
        <v>224</v>
      </c>
      <c r="D26" s="36" t="str">
        <f>IF(E26="","",VLOOKUP(E26,'Coaching Points'!A:B,2,0))</f>
        <v>ON</v>
      </c>
      <c r="E26" s="36" t="s">
        <v>73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82.6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MAX(T26,X26)</f>
        <v>42.5</v>
      </c>
      <c r="S26" s="4">
        <f>IF(R26=T26,MAX(V26,X26,Z26),IF(R26=X26,MAX(T26,V26,Z26),0))</f>
        <v>40.1</v>
      </c>
      <c r="T26" s="33">
        <v>42.5</v>
      </c>
      <c r="U26" s="40">
        <v>6.2</v>
      </c>
      <c r="V26" s="34">
        <v>40.1</v>
      </c>
      <c r="W26" s="40">
        <v>4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$65&lt;&gt;"")*(G$3:G$65=G27)*(J$3:J$65&gt;J27)*(I$3:I$65="P"))+1,IF(O27&lt;&gt;"",SUMPRODUCT((O$3:O$65&lt;&gt;"")*(P$3:P$65="")*(G$3:G$65=G27)*(J$3:J$65&gt;J27)*(I$3:I$65="P"))+SUMPRODUCT((P$3:P$65&lt;&gt;"")*(G$3:G$65=G27)*(I$3:I$65="P"))+1,IF(N27&lt;&gt;"",SUMPRODUCT((N$3:N$65&lt;&gt;"")*(G$3:G$65=G27)*(J$3:J$65&gt;J27)*(I$3:I$65="P"))+1,IF(M27="P",SUMPRODUCT((O$3:O$65&lt;&gt;"")*(P$3:P$65="")*(G$3:G$65=G27)*(I$3:I$65="P"))+SUMPRODUCT((P$3:P$65&lt;&gt;"")*(G$3:G$65=G27)*(I$3:I$65="P"))+SUMPRODUCT((N$3:N$65&lt;&gt;"")*(G$3:G$65=G27)*(I$3:I$65="P"))+SUMPRODUCT((P$3:P$65="")*(O$3:O$65="")*(N$3:N$65="")*(M$3:M$65="P")*(G$3:G$65=G27)*(J$3:J$65&gt;J27)*(I$3:I$65="P"))+IF(H27="L5",SUMPRODUCT((P$3:P$65="")*(O$3:O$65="")*(N$3:N$65="")*(M$3:M$65="P")*(G$3:G$65=G27)*(J$3:J$65&lt;J27)*(H$3:H$65&lt;&gt;H27)*(I$3:I$65="P")),-1*SUMPRODUCT((P$3:P$65="")*(O$3:O$65="")*(N$3:N$65="")*(M$3:M$65="P")*(G$3:G$65=G27)*(J$3:J$65&gt;J27)*(H$3:H$65="L5")*(I$3:I$65="P")))+1,"")))))</f>
        <v/>
      </c>
      <c r="B27" s="1" t="str" cm="1">
        <f t="array" ref="B27">IF(P27&lt;&gt;"",SUMPRODUCT((P$3:P$65&lt;&gt;"")*(G$3:G$65=G27)*(J$3:J$65&gt;J27))+1,IF(O27&lt;&gt;"",SUMPRODUCT((O$3:O$65&lt;&gt;"")*(P$3:P$65="")*(G$3:G$65=G27)*(J$3:J$65&gt;J27))+SUMPRODUCT((P$3:P$65&lt;&gt;"")*(G$3:G$65=G27))+1,IF(N27&lt;&gt;"",SUMPRODUCT((N$3:N$65&lt;&gt;"")*(G$3:G$65=G27)*(J$3:J$65&gt;J27))+1,IF(M27="P",SUMPRODUCT((O$3:O$65&lt;&gt;"")*(P$3:P$65="")*(G$3:G$65=G27))+SUMPRODUCT((P$3:P$65&lt;&gt;"")*(G$3:G$65=G27))+SUMPRODUCT((N$3:N$65&lt;&gt;"")*(G$3:G$65=G27))+SUMPRODUCT((P$3:P$65="")*(O$3:O$65="")*(N$3:N$65="")*(M$3:M$65="P")*(G$3:G$65=G27)*(J$3:J$65&gt;J27))+IF(H27="L5",SUMPRODUCT((P$3:P$65="")*(O$3:O$65="")*(N$3:N$65="")*(M$3:M$65="P")*(G$3:G$65=G27)*(J$3:J$65&lt;J27)*(H$3:H$65&lt;&gt;H27)),-1*SUMPRODUCT((P$3:P$65="")*(O$3:O$65="")*(N$3:N$65="")*(M$3:M$65="P")*(G$3:G$65=G27)*(J$3:J$65&gt;J27)*(H$3:H$65="L5")))+1,""))))</f>
        <v/>
      </c>
      <c r="C27" s="36" t="s">
        <v>169</v>
      </c>
      <c r="D27" s="36" t="str">
        <f>IF(E27="","",VLOOKUP(E27,'Coaching Points'!A:B,2,0))</f>
        <v>AB</v>
      </c>
      <c r="E27" s="36" t="s">
        <v>64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74</v>
      </c>
      <c r="I27" s="43"/>
      <c r="J27" s="4">
        <f>R27+S27+IF(OR(H27="Junior",H27="Senior"),0.0002,IF(OR(H27="L7",H27="L6"),0.0001,0))+MAX(X27,Z27)*0.0000001</f>
        <v>72.000200000000007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MAX(T27,X27)</f>
        <v>46.4</v>
      </c>
      <c r="S27" s="4">
        <f>IF(R27=T27,MAX(V27,X27,Z27),IF(R27=X27,MAX(T27,V27,Z27),0))</f>
        <v>25.6</v>
      </c>
      <c r="T27" s="33">
        <v>46.4</v>
      </c>
      <c r="U27" s="40">
        <v>10.4</v>
      </c>
      <c r="V27" s="34">
        <v>25.6</v>
      </c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$65&lt;&gt;"")*(G$3:G$65=G28)*(J$3:J$65&gt;J28)*(I$3:I$65="P"))+1,IF(O28&lt;&gt;"",SUMPRODUCT((O$3:O$65&lt;&gt;"")*(P$3:P$65="")*(G$3:G$65=G28)*(J$3:J$65&gt;J28)*(I$3:I$65="P"))+SUMPRODUCT((P$3:P$65&lt;&gt;"")*(G$3:G$65=G28)*(I$3:I$65="P"))+1,IF(N28&lt;&gt;"",SUMPRODUCT((N$3:N$65&lt;&gt;"")*(G$3:G$65=G28)*(J$3:J$65&gt;J28)*(I$3:I$65="P"))+1,IF(M28="P",SUMPRODUCT((O$3:O$65&lt;&gt;"")*(P$3:P$65="")*(G$3:G$65=G28)*(I$3:I$65="P"))+SUMPRODUCT((P$3:P$65&lt;&gt;"")*(G$3:G$65=G28)*(I$3:I$65="P"))+SUMPRODUCT((N$3:N$65&lt;&gt;"")*(G$3:G$65=G28)*(I$3:I$65="P"))+SUMPRODUCT((P$3:P$65="")*(O$3:O$65="")*(N$3:N$65="")*(M$3:M$65="P")*(G$3:G$65=G28)*(J$3:J$65&gt;J28)*(I$3:I$65="P"))+IF(H28="L5",SUMPRODUCT((P$3:P$65="")*(O$3:O$65="")*(N$3:N$65="")*(M$3:M$65="P")*(G$3:G$65=G28)*(J$3:J$65&lt;J28)*(H$3:H$65&lt;&gt;H28)*(I$3:I$65="P")),-1*SUMPRODUCT((P$3:P$65="")*(O$3:O$65="")*(N$3:N$65="")*(M$3:M$65="P")*(G$3:G$65=G28)*(J$3:J$65&gt;J28)*(H$3:H$65="L5")*(I$3:I$65="P")))+1,"")))))</f>
        <v/>
      </c>
      <c r="B28" s="1" t="str" cm="1">
        <f t="array" ref="B28">IF(P28&lt;&gt;"",SUMPRODUCT((P$3:P$65&lt;&gt;"")*(G$3:G$65=G28)*(J$3:J$65&gt;J28))+1,IF(O28&lt;&gt;"",SUMPRODUCT((O$3:O$65&lt;&gt;"")*(P$3:P$65="")*(G$3:G$65=G28)*(J$3:J$65&gt;J28))+SUMPRODUCT((P$3:P$65&lt;&gt;"")*(G$3:G$65=G28))+1,IF(N28&lt;&gt;"",SUMPRODUCT((N$3:N$65&lt;&gt;"")*(G$3:G$65=G28)*(J$3:J$65&gt;J28))+1,IF(M28="P",SUMPRODUCT((O$3:O$65&lt;&gt;"")*(P$3:P$65="")*(G$3:G$65=G28))+SUMPRODUCT((P$3:P$65&lt;&gt;"")*(G$3:G$65=G28))+SUMPRODUCT((N$3:N$65&lt;&gt;"")*(G$3:G$65=G28))+SUMPRODUCT((P$3:P$65="")*(O$3:O$65="")*(N$3:N$65="")*(M$3:M$65="P")*(G$3:G$65=G28)*(J$3:J$65&gt;J28))+IF(H28="L5",SUMPRODUCT((P$3:P$65="")*(O$3:O$65="")*(N$3:N$65="")*(M$3:M$65="P")*(G$3:G$65=G28)*(J$3:J$65&lt;J28)*(H$3:H$65&lt;&gt;H28)),-1*SUMPRODUCT((P$3:P$65="")*(O$3:O$65="")*(N$3:N$65="")*(M$3:M$65="P")*(G$3:G$65=G28)*(J$3:J$65&gt;J28)*(H$3:H$65="L5")))+1,""))))</f>
        <v/>
      </c>
      <c r="C28" s="36" t="s">
        <v>354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74</v>
      </c>
      <c r="I28" s="43"/>
      <c r="J28" s="4">
        <f>R28+S28+IF(OR(H28="Junior",H28="Senior"),0.0002,IF(OR(H28="L7",H28="L6"),0.0001,0))+MAX(X28,Z28)*0.0000001</f>
        <v>65.300200000000004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MAX(T28,X28)</f>
        <v>45.5</v>
      </c>
      <c r="S28" s="4">
        <f>IF(R28=T28,MAX(V28,X28,Z28),IF(R28=X28,MAX(T28,V28,Z28),0))</f>
        <v>19.8</v>
      </c>
      <c r="T28" s="33">
        <v>45.5</v>
      </c>
      <c r="U28" s="40">
        <v>9.6999999999999993</v>
      </c>
      <c r="V28" s="34">
        <v>19.8</v>
      </c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$65&lt;&gt;"")*(G$3:G$65=G29)*(J$3:J$65&gt;J29)*(I$3:I$65="P"))+1,IF(O29&lt;&gt;"",SUMPRODUCT((O$3:O$65&lt;&gt;"")*(P$3:P$65="")*(G$3:G$65=G29)*(J$3:J$65&gt;J29)*(I$3:I$65="P"))+SUMPRODUCT((P$3:P$65&lt;&gt;"")*(G$3:G$65=G29)*(I$3:I$65="P"))+1,IF(N29&lt;&gt;"",SUMPRODUCT((N$3:N$65&lt;&gt;"")*(G$3:G$65=G29)*(J$3:J$65&gt;J29)*(I$3:I$65="P"))+1,IF(M29="P",SUMPRODUCT((O$3:O$65&lt;&gt;"")*(P$3:P$65="")*(G$3:G$65=G29)*(I$3:I$65="P"))+SUMPRODUCT((P$3:P$65&lt;&gt;"")*(G$3:G$65=G29)*(I$3:I$65="P"))+SUMPRODUCT((N$3:N$65&lt;&gt;"")*(G$3:G$65=G29)*(I$3:I$65="P"))+SUMPRODUCT((P$3:P$65="")*(O$3:O$65="")*(N$3:N$65="")*(M$3:M$65="P")*(G$3:G$65=G29)*(J$3:J$65&gt;J29)*(I$3:I$65="P"))+IF(H29="L5",SUMPRODUCT((P$3:P$65="")*(O$3:O$65="")*(N$3:N$65="")*(M$3:M$65="P")*(G$3:G$65=G29)*(J$3:J$65&lt;J29)*(H$3:H$65&lt;&gt;H29)*(I$3:I$65="P")),-1*SUMPRODUCT((P$3:P$65="")*(O$3:O$65="")*(N$3:N$65="")*(M$3:M$65="P")*(G$3:G$65=G29)*(J$3:J$65&gt;J29)*(H$3:H$65="L5")*(I$3:I$65="P")))+1,"")))))</f>
        <v/>
      </c>
      <c r="B29" s="1" t="str" cm="1">
        <f t="array" ref="B29">IF(P29&lt;&gt;"",SUMPRODUCT((P$3:P$65&lt;&gt;"")*(G$3:G$65=G29)*(J$3:J$65&gt;J29))+1,IF(O29&lt;&gt;"",SUMPRODUCT((O$3:O$65&lt;&gt;"")*(P$3:P$65="")*(G$3:G$65=G29)*(J$3:J$65&gt;J29))+SUMPRODUCT((P$3:P$65&lt;&gt;"")*(G$3:G$65=G29))+1,IF(N29&lt;&gt;"",SUMPRODUCT((N$3:N$65&lt;&gt;"")*(G$3:G$65=G29)*(J$3:J$65&gt;J29))+1,IF(M29="P",SUMPRODUCT((O$3:O$65&lt;&gt;"")*(P$3:P$65="")*(G$3:G$65=G29))+SUMPRODUCT((P$3:P$65&lt;&gt;"")*(G$3:G$65=G29))+SUMPRODUCT((N$3:N$65&lt;&gt;"")*(G$3:G$65=G29))+SUMPRODUCT((P$3:P$65="")*(O$3:O$65="")*(N$3:N$65="")*(M$3:M$65="P")*(G$3:G$65=G29)*(J$3:J$65&gt;J29))+IF(H29="L5",SUMPRODUCT((P$3:P$65="")*(O$3:O$65="")*(N$3:N$65="")*(M$3:M$65="P")*(G$3:G$65=G29)*(J$3:J$65&lt;J29)*(H$3:H$65&lt;&gt;H29)),-1*SUMPRODUCT((P$3:P$65="")*(O$3:O$65="")*(N$3:N$65="")*(M$3:M$65="P")*(G$3:G$65=G29)*(J$3:J$65&gt;J29)*(H$3:H$65="L5")))+1,""))))</f>
        <v/>
      </c>
      <c r="C29" s="36" t="s">
        <v>221</v>
      </c>
      <c r="D29" s="36" t="str">
        <f>IF(E29="","",VLOOKUP(E29,'Coaching Points'!A:B,2,0))</f>
        <v>ON</v>
      </c>
      <c r="E29" s="36" t="s">
        <v>100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64.900000000000006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MAX(T29,X29)</f>
        <v>42.7</v>
      </c>
      <c r="S29" s="4">
        <f>IF(R29=T29,MAX(V29,X29,Z29),IF(R29=X29,MAX(T29,V29,Z29),0))</f>
        <v>22.2</v>
      </c>
      <c r="T29" s="33">
        <v>42.7</v>
      </c>
      <c r="U29" s="40">
        <v>6.6</v>
      </c>
      <c r="V29" s="34">
        <v>22.2</v>
      </c>
      <c r="W29" s="40">
        <v>3.3</v>
      </c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$65&lt;&gt;"")*(G$3:G$65=G30)*(J$3:J$65&gt;J30)*(I$3:I$65="P"))+1,IF(O30&lt;&gt;"",SUMPRODUCT((O$3:O$65&lt;&gt;"")*(P$3:P$65="")*(G$3:G$65=G30)*(J$3:J$65&gt;J30)*(I$3:I$65="P"))+SUMPRODUCT((P$3:P$65&lt;&gt;"")*(G$3:G$65=G30)*(I$3:I$65="P"))+1,IF(N30&lt;&gt;"",SUMPRODUCT((N$3:N$65&lt;&gt;"")*(G$3:G$65=G30)*(J$3:J$65&gt;J30)*(I$3:I$65="P"))+1,IF(M30="P",SUMPRODUCT((O$3:O$65&lt;&gt;"")*(P$3:P$65="")*(G$3:G$65=G30)*(I$3:I$65="P"))+SUMPRODUCT((P$3:P$65&lt;&gt;"")*(G$3:G$65=G30)*(I$3:I$65="P"))+SUMPRODUCT((N$3:N$65&lt;&gt;"")*(G$3:G$65=G30)*(I$3:I$65="P"))+SUMPRODUCT((P$3:P$65="")*(O$3:O$65="")*(N$3:N$65="")*(M$3:M$65="P")*(G$3:G$65=G30)*(J$3:J$65&gt;J30)*(I$3:I$65="P"))+IF(H30="L5",SUMPRODUCT((P$3:P$65="")*(O$3:O$65="")*(N$3:N$65="")*(M$3:M$65="P")*(G$3:G$65=G30)*(J$3:J$65&lt;J30)*(H$3:H$65&lt;&gt;H30)*(I$3:I$65="P")),-1*SUMPRODUCT((P$3:P$65="")*(O$3:O$65="")*(N$3:N$65="")*(M$3:M$65="P")*(G$3:G$65=G30)*(J$3:J$65&gt;J30)*(H$3:H$65="L5")*(I$3:I$65="P")))+1,"")))))</f>
        <v/>
      </c>
      <c r="B30" s="1" t="str" cm="1">
        <f t="array" ref="B30">IF(P30&lt;&gt;"",SUMPRODUCT((P$3:P$65&lt;&gt;"")*(G$3:G$65=G30)*(J$3:J$65&gt;J30))+1,IF(O30&lt;&gt;"",SUMPRODUCT((O$3:O$65&lt;&gt;"")*(P$3:P$65="")*(G$3:G$65=G30)*(J$3:J$65&gt;J30))+SUMPRODUCT((P$3:P$65&lt;&gt;"")*(G$3:G$65=G30))+1,IF(N30&lt;&gt;"",SUMPRODUCT((N$3:N$65&lt;&gt;"")*(G$3:G$65=G30)*(J$3:J$65&gt;J30))+1,IF(M30="P",SUMPRODUCT((O$3:O$65&lt;&gt;"")*(P$3:P$65="")*(G$3:G$65=G30))+SUMPRODUCT((P$3:P$65&lt;&gt;"")*(G$3:G$65=G30))+SUMPRODUCT((N$3:N$65&lt;&gt;"")*(G$3:G$65=G30))+SUMPRODUCT((P$3:P$65="")*(O$3:O$65="")*(N$3:N$65="")*(M$3:M$65="P")*(G$3:G$65=G30)*(J$3:J$65&gt;J30))+IF(H30="L5",SUMPRODUCT((P$3:P$65="")*(O$3:O$65="")*(N$3:N$65="")*(M$3:M$65="P")*(G$3:G$65=G30)*(J$3:J$65&lt;J30)*(H$3:H$65&lt;&gt;H30)),-1*SUMPRODUCT((P$3:P$65="")*(O$3:O$65="")*(N$3:N$65="")*(M$3:M$65="P")*(G$3:G$65=G30)*(J$3:J$65&gt;J30)*(H$3:H$65="L5")))+1,""))))</f>
        <v/>
      </c>
      <c r="C30" s="36" t="s">
        <v>93</v>
      </c>
      <c r="D30" s="36" t="str">
        <f>IF(E30="","",VLOOKUP(E30,'Coaching Points'!A:B,2,0))</f>
        <v>QC</v>
      </c>
      <c r="E30" s="36" t="s">
        <v>3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59.3001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MAX(T30,X30)</f>
        <v>35.799999999999997</v>
      </c>
      <c r="S30" s="4">
        <f>IF(R30=T30,MAX(V30,X30,Z30),IF(R30=X30,MAX(T30,V30,Z30),0))</f>
        <v>23.5</v>
      </c>
      <c r="T30" s="33">
        <v>35.799999999999997</v>
      </c>
      <c r="U30" s="40">
        <v>6.1</v>
      </c>
      <c r="V30" s="34">
        <v>23.5</v>
      </c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$65&lt;&gt;"")*(G$3:G$65=G31)*(J$3:J$65&gt;J31)*(I$3:I$65="P"))+1,IF(O31&lt;&gt;"",SUMPRODUCT((O$3:O$65&lt;&gt;"")*(P$3:P$65="")*(G$3:G$65=G31)*(J$3:J$65&gt;J31)*(I$3:I$65="P"))+SUMPRODUCT((P$3:P$65&lt;&gt;"")*(G$3:G$65=G31)*(I$3:I$65="P"))+1,IF(N31&lt;&gt;"",SUMPRODUCT((N$3:N$65&lt;&gt;"")*(G$3:G$65=G31)*(J$3:J$65&gt;J31)*(I$3:I$65="P"))+1,IF(M31="P",SUMPRODUCT((O$3:O$65&lt;&gt;"")*(P$3:P$65="")*(G$3:G$65=G31)*(I$3:I$65="P"))+SUMPRODUCT((P$3:P$65&lt;&gt;"")*(G$3:G$65=G31)*(I$3:I$65="P"))+SUMPRODUCT((N$3:N$65&lt;&gt;"")*(G$3:G$65=G31)*(I$3:I$65="P"))+SUMPRODUCT((P$3:P$65="")*(O$3:O$65="")*(N$3:N$65="")*(M$3:M$65="P")*(G$3:G$65=G31)*(J$3:J$65&gt;J31)*(I$3:I$65="P"))+IF(H31="L5",SUMPRODUCT((P$3:P$65="")*(O$3:O$65="")*(N$3:N$65="")*(M$3:M$65="P")*(G$3:G$65=G31)*(J$3:J$65&lt;J31)*(H$3:H$65&lt;&gt;H31)*(I$3:I$65="P")),-1*SUMPRODUCT((P$3:P$65="")*(O$3:O$65="")*(N$3:N$65="")*(M$3:M$65="P")*(G$3:G$65=G31)*(J$3:J$65&gt;J31)*(H$3:H$65="L5")*(I$3:I$65="P")))+1,"")))))</f>
        <v/>
      </c>
      <c r="B31" s="1" t="str" cm="1">
        <f t="array" ref="B31">IF(P31&lt;&gt;"",SUMPRODUCT((P$3:P$65&lt;&gt;"")*(G$3:G$65=G31)*(J$3:J$65&gt;J31))+1,IF(O31&lt;&gt;"",SUMPRODUCT((O$3:O$65&lt;&gt;"")*(P$3:P$65="")*(G$3:G$65=G31)*(J$3:J$65&gt;J31))+SUMPRODUCT((P$3:P$65&lt;&gt;"")*(G$3:G$65=G31))+1,IF(N31&lt;&gt;"",SUMPRODUCT((N$3:N$65&lt;&gt;"")*(G$3:G$65=G31)*(J$3:J$65&gt;J31))+1,IF(M31="P",SUMPRODUCT((O$3:O$65&lt;&gt;"")*(P$3:P$65="")*(G$3:G$65=G31))+SUMPRODUCT((P$3:P$65&lt;&gt;"")*(G$3:G$65=G31))+SUMPRODUCT((N$3:N$65&lt;&gt;"")*(G$3:G$65=G31))+SUMPRODUCT((P$3:P$65="")*(O$3:O$65="")*(N$3:N$65="")*(M$3:M$65="P")*(G$3:G$65=G31)*(J$3:J$65&gt;J31))+IF(H31="L5",SUMPRODUCT((P$3:P$65="")*(O$3:O$65="")*(N$3:N$65="")*(M$3:M$65="P")*(G$3:G$65=G31)*(J$3:J$65&lt;J31)*(H$3:H$65&lt;&gt;H31)),-1*SUMPRODUCT((P$3:P$65="")*(O$3:O$65="")*(N$3:N$65="")*(M$3:M$65="P")*(G$3:G$65=G31)*(J$3:J$65&gt;J31)*(H$3:H$65="L5")))+1,""))))</f>
        <v/>
      </c>
      <c r="C31" s="36" t="s">
        <v>107</v>
      </c>
      <c r="D31" s="36" t="str">
        <f>IF(E31="","",VLOOKUP(E31,'Coaching Points'!A:B,2,0))</f>
        <v>ON</v>
      </c>
      <c r="E31" s="36" t="s">
        <v>73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74</v>
      </c>
      <c r="I31" s="43"/>
      <c r="J31" s="4">
        <f>R31+S31+IF(OR(H31="Junior",H31="Senior"),0.0002,IF(OR(H31="L7",H31="L6"),0.0001,0))+MAX(X31,Z31)*0.0000001</f>
        <v>49.900199999999998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MAX(T31,X31)</f>
        <v>24.2</v>
      </c>
      <c r="S31" s="4">
        <f>IF(R31=T31,MAX(V31,X31,Z31),IF(R31=X31,MAX(T31,V31,Z31),0))</f>
        <v>25.7</v>
      </c>
      <c r="T31" s="33">
        <v>24.2</v>
      </c>
      <c r="U31" s="40">
        <v>6</v>
      </c>
      <c r="V31" s="34">
        <v>25.7</v>
      </c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$65&lt;&gt;"")*(G$3:G$65=G32)*(J$3:J$65&gt;J32)*(I$3:I$65="P"))+1,IF(O32&lt;&gt;"",SUMPRODUCT((O$3:O$65&lt;&gt;"")*(P$3:P$65="")*(G$3:G$65=G32)*(J$3:J$65&gt;J32)*(I$3:I$65="P"))+SUMPRODUCT((P$3:P$65&lt;&gt;"")*(G$3:G$65=G32)*(I$3:I$65="P"))+1,IF(N32&lt;&gt;"",SUMPRODUCT((N$3:N$65&lt;&gt;"")*(G$3:G$65=G32)*(J$3:J$65&gt;J32)*(I$3:I$65="P"))+1,IF(M32="P",SUMPRODUCT((O$3:O$65&lt;&gt;"")*(P$3:P$65="")*(G$3:G$65=G32)*(I$3:I$65="P"))+SUMPRODUCT((P$3:P$65&lt;&gt;"")*(G$3:G$65=G32)*(I$3:I$65="P"))+SUMPRODUCT((N$3:N$65&lt;&gt;"")*(G$3:G$65=G32)*(I$3:I$65="P"))+SUMPRODUCT((P$3:P$65="")*(O$3:O$65="")*(N$3:N$65="")*(M$3:M$65="P")*(G$3:G$65=G32)*(J$3:J$65&gt;J32)*(I$3:I$65="P"))+IF(H32="L5",SUMPRODUCT((P$3:P$65="")*(O$3:O$65="")*(N$3:N$65="")*(M$3:M$65="P")*(G$3:G$65=G32)*(J$3:J$65&lt;J32)*(H$3:H$65&lt;&gt;H32)*(I$3:I$65="P")),-1*SUMPRODUCT((P$3:P$65="")*(O$3:O$65="")*(N$3:N$65="")*(M$3:M$65="P")*(G$3:G$65=G32)*(J$3:J$65&gt;J32)*(H$3:H$65="L5")*(I$3:I$65="P")))+1,"")))))</f>
        <v/>
      </c>
      <c r="B32" s="1" t="str" cm="1">
        <f t="array" ref="B32">IF(P32&lt;&gt;"",SUMPRODUCT((P$3:P$65&lt;&gt;"")*(G$3:G$65=G32)*(J$3:J$65&gt;J32))+1,IF(O32&lt;&gt;"",SUMPRODUCT((O$3:O$65&lt;&gt;"")*(P$3:P$65="")*(G$3:G$65=G32)*(J$3:J$65&gt;J32))+SUMPRODUCT((P$3:P$65&lt;&gt;"")*(G$3:G$65=G32))+1,IF(N32&lt;&gt;"",SUMPRODUCT((N$3:N$65&lt;&gt;"")*(G$3:G$65=G32)*(J$3:J$65&gt;J32))+1,IF(M32="P",SUMPRODUCT((O$3:O$65&lt;&gt;"")*(P$3:P$65="")*(G$3:G$65=G32))+SUMPRODUCT((P$3:P$65&lt;&gt;"")*(G$3:G$65=G32))+SUMPRODUCT((N$3:N$65&lt;&gt;"")*(G$3:G$65=G32))+SUMPRODUCT((P$3:P$65="")*(O$3:O$65="")*(N$3:N$65="")*(M$3:M$65="P")*(G$3:G$65=G32)*(J$3:J$65&gt;J32))+IF(H32="L5",SUMPRODUCT((P$3:P$65="")*(O$3:O$65="")*(N$3:N$65="")*(M$3:M$65="P")*(G$3:G$65=G32)*(J$3:J$65&lt;J32)*(H$3:H$65&lt;&gt;H32)),-1*SUMPRODUCT((P$3:P$65="")*(O$3:O$65="")*(N$3:N$65="")*(M$3:M$65="P")*(G$3:G$65=G32)*(J$3:J$65&gt;J32)*(H$3:H$65="L5")))+1,""))))</f>
        <v/>
      </c>
      <c r="C32" s="36" t="s">
        <v>228</v>
      </c>
      <c r="D32" s="36" t="str">
        <f>IF(E32="","",VLOOKUP(E32,'Coaching Points'!A:B,2,0))</f>
        <v>QC</v>
      </c>
      <c r="E32" s="36" t="s">
        <v>203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>R32+S32+IF(OR(H32="Junior",H32="Senior"),0.0002,IF(OR(H32="L7",H32="L6"),0.0001,0))+MAX(X32,Z32)*0.0000001</f>
        <v>47.400100000000002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MAX(T32,X32)</f>
        <v>47.4</v>
      </c>
      <c r="S32" s="4">
        <f>IF(R32=T32,MAX(V32,X32,Z32),IF(R32=X32,MAX(T32,V32,Z32),0))</f>
        <v>0</v>
      </c>
      <c r="T32" s="33">
        <v>47.4</v>
      </c>
      <c r="U32" s="40">
        <v>9.6000000000000014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$65&lt;&gt;"")*(G$3:G$65=G33)*(J$3:J$65&gt;J33)*(I$3:I$65="P"))+1,IF(O33&lt;&gt;"",SUMPRODUCT((O$3:O$65&lt;&gt;"")*(P$3:P$65="")*(G$3:G$65=G33)*(J$3:J$65&gt;J33)*(I$3:I$65="P"))+SUMPRODUCT((P$3:P$65&lt;&gt;"")*(G$3:G$65=G33)*(I$3:I$65="P"))+1,IF(N33&lt;&gt;"",SUMPRODUCT((N$3:N$65&lt;&gt;"")*(G$3:G$65=G33)*(J$3:J$65&gt;J33)*(I$3:I$65="P"))+1,IF(M33="P",SUMPRODUCT((O$3:O$65&lt;&gt;"")*(P$3:P$65="")*(G$3:G$65=G33)*(I$3:I$65="P"))+SUMPRODUCT((P$3:P$65&lt;&gt;"")*(G$3:G$65=G33)*(I$3:I$65="P"))+SUMPRODUCT((N$3:N$65&lt;&gt;"")*(G$3:G$65=G33)*(I$3:I$65="P"))+SUMPRODUCT((P$3:P$65="")*(O$3:O$65="")*(N$3:N$65="")*(M$3:M$65="P")*(G$3:G$65=G33)*(J$3:J$65&gt;J33)*(I$3:I$65="P"))+IF(H33="L5",SUMPRODUCT((P$3:P$65="")*(O$3:O$65="")*(N$3:N$65="")*(M$3:M$65="P")*(G$3:G$65=G33)*(J$3:J$65&lt;J33)*(H$3:H$65&lt;&gt;H33)*(I$3:I$65="P")),-1*SUMPRODUCT((P$3:P$65="")*(O$3:O$65="")*(N$3:N$65="")*(M$3:M$65="P")*(G$3:G$65=G33)*(J$3:J$65&gt;J33)*(H$3:H$65="L5")*(I$3:I$65="P")))+1,"")))))</f>
        <v/>
      </c>
      <c r="B33" s="1" t="str" cm="1">
        <f t="array" ref="B33">IF(P33&lt;&gt;"",SUMPRODUCT((P$3:P$65&lt;&gt;"")*(G$3:G$65=G33)*(J$3:J$65&gt;J33))+1,IF(O33&lt;&gt;"",SUMPRODUCT((O$3:O$65&lt;&gt;"")*(P$3:P$65="")*(G$3:G$65=G33)*(J$3:J$65&gt;J33))+SUMPRODUCT((P$3:P$65&lt;&gt;"")*(G$3:G$65=G33))+1,IF(N33&lt;&gt;"",SUMPRODUCT((N$3:N$65&lt;&gt;"")*(G$3:G$65=G33)*(J$3:J$65&gt;J33))+1,IF(M33="P",SUMPRODUCT((O$3:O$65&lt;&gt;"")*(P$3:P$65="")*(G$3:G$65=G33))+SUMPRODUCT((P$3:P$65&lt;&gt;"")*(G$3:G$65=G33))+SUMPRODUCT((N$3:N$65&lt;&gt;"")*(G$3:G$65=G33))+SUMPRODUCT((P$3:P$65="")*(O$3:O$65="")*(N$3:N$65="")*(M$3:M$65="P")*(G$3:G$65=G33)*(J$3:J$65&gt;J33))+IF(H33="L5",SUMPRODUCT((P$3:P$65="")*(O$3:O$65="")*(N$3:N$65="")*(M$3:M$65="P")*(G$3:G$65=G33)*(J$3:J$65&lt;J33)*(H$3:H$65&lt;&gt;H33)),-1*SUMPRODUCT((P$3:P$65="")*(O$3:O$65="")*(N$3:N$65="")*(M$3:M$65="P")*(G$3:G$65=G33)*(J$3:J$65&gt;J33)*(H$3:H$65="L5")))+1,""))))</f>
        <v/>
      </c>
      <c r="C33" s="36" t="s">
        <v>111</v>
      </c>
      <c r="D33" s="36" t="str">
        <f>IF(E33="","",VLOOKUP(E33,'Coaching Points'!A:B,2,0))</f>
        <v>BC</v>
      </c>
      <c r="E33" s="36" t="s">
        <v>46</v>
      </c>
      <c r="F33" s="35">
        <v>2005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>R33+S33+IF(OR(H33="Junior",H33="Senior"),0.0002,IF(OR(H33="L7",H33="L6"),0.0001,0))+MAX(X33,Z33)*0.0000001</f>
        <v>44.000100000000003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MAX(T33,X33)</f>
        <v>24</v>
      </c>
      <c r="S33" s="4">
        <f>IF(R33=T33,MAX(V33,X33,Z33),IF(R33=X33,MAX(T33,V33,Z33),0))</f>
        <v>20</v>
      </c>
      <c r="T33" s="33">
        <v>24</v>
      </c>
      <c r="U33" s="40">
        <v>6.8</v>
      </c>
      <c r="V33" s="34">
        <v>20</v>
      </c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$65&lt;&gt;"")*(G$3:G$65=G34)*(J$3:J$65&gt;J34)*(I$3:I$65="P"))+1,IF(O34&lt;&gt;"",SUMPRODUCT((O$3:O$65&lt;&gt;"")*(P$3:P$65="")*(G$3:G$65=G34)*(J$3:J$65&gt;J34)*(I$3:I$65="P"))+SUMPRODUCT((P$3:P$65&lt;&gt;"")*(G$3:G$65=G34)*(I$3:I$65="P"))+1,IF(N34&lt;&gt;"",SUMPRODUCT((N$3:N$65&lt;&gt;"")*(G$3:G$65=G34)*(J$3:J$65&gt;J34)*(I$3:I$65="P"))+1,IF(M34="P",SUMPRODUCT((O$3:O$65&lt;&gt;"")*(P$3:P$65="")*(G$3:G$65=G34)*(I$3:I$65="P"))+SUMPRODUCT((P$3:P$65&lt;&gt;"")*(G$3:G$65=G34)*(I$3:I$65="P"))+SUMPRODUCT((N$3:N$65&lt;&gt;"")*(G$3:G$65=G34)*(I$3:I$65="P"))+SUMPRODUCT((P$3:P$65="")*(O$3:O$65="")*(N$3:N$65="")*(M$3:M$65="P")*(G$3:G$65=G34)*(J$3:J$65&gt;J34)*(I$3:I$65="P"))+IF(H34="L5",SUMPRODUCT((P$3:P$65="")*(O$3:O$65="")*(N$3:N$65="")*(M$3:M$65="P")*(G$3:G$65=G34)*(J$3:J$65&lt;J34)*(H$3:H$65&lt;&gt;H34)*(I$3:I$65="P")),-1*SUMPRODUCT((P$3:P$65="")*(O$3:O$65="")*(N$3:N$65="")*(M$3:M$65="P")*(G$3:G$65=G34)*(J$3:J$65&gt;J34)*(H$3:H$65="L5")*(I$3:I$65="P")))+1,"")))))</f>
        <v/>
      </c>
      <c r="B34" s="1" t="str" cm="1">
        <f t="array" ref="B34">IF(P34&lt;&gt;"",SUMPRODUCT((P$3:P$65&lt;&gt;"")*(G$3:G$65=G34)*(J$3:J$65&gt;J34))+1,IF(O34&lt;&gt;"",SUMPRODUCT((O$3:O$65&lt;&gt;"")*(P$3:P$65="")*(G$3:G$65=G34)*(J$3:J$65&gt;J34))+SUMPRODUCT((P$3:P$65&lt;&gt;"")*(G$3:G$65=G34))+1,IF(N34&lt;&gt;"",SUMPRODUCT((N$3:N$65&lt;&gt;"")*(G$3:G$65=G34)*(J$3:J$65&gt;J34))+1,IF(M34="P",SUMPRODUCT((O$3:O$65&lt;&gt;"")*(P$3:P$65="")*(G$3:G$65=G34))+SUMPRODUCT((P$3:P$65&lt;&gt;"")*(G$3:G$65=G34))+SUMPRODUCT((N$3:N$65&lt;&gt;"")*(G$3:G$65=G34))+SUMPRODUCT((P$3:P$65="")*(O$3:O$65="")*(N$3:N$65="")*(M$3:M$65="P")*(G$3:G$65=G34)*(J$3:J$65&gt;J34))+IF(H34="L5",SUMPRODUCT((P$3:P$65="")*(O$3:O$65="")*(N$3:N$65="")*(M$3:M$65="P")*(G$3:G$65=G34)*(J$3:J$65&lt;J34)*(H$3:H$65&lt;&gt;H34)),-1*SUMPRODUCT((P$3:P$65="")*(O$3:O$65="")*(N$3:N$65="")*(M$3:M$65="P")*(G$3:G$65=G34)*(J$3:J$65&gt;J34)*(H$3:H$65="L5")))+1,""))))</f>
        <v/>
      </c>
      <c r="C34" s="36" t="s">
        <v>351</v>
      </c>
      <c r="D34" s="36" t="str">
        <f>IF(E34="","",VLOOKUP(E34,'Coaching Points'!A:B,2,0))</f>
        <v>QC</v>
      </c>
      <c r="E34" s="36" t="s">
        <v>96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43.6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MAX(T34,X34)</f>
        <v>43.6</v>
      </c>
      <c r="S34" s="4">
        <f>IF(R34=T34,MAX(V34,X34,Z34),IF(R34=X34,MAX(T34,V34,Z34),0))</f>
        <v>0</v>
      </c>
      <c r="T34" s="33">
        <v>43.6</v>
      </c>
      <c r="U34" s="40">
        <v>6.2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$65&lt;&gt;"")*(G$3:G$65=G35)*(J$3:J$65&gt;J35)*(I$3:I$65="P"))+1,IF(O35&lt;&gt;"",SUMPRODUCT((O$3:O$65&lt;&gt;"")*(P$3:P$65="")*(G$3:G$65=G35)*(J$3:J$65&gt;J35)*(I$3:I$65="P"))+SUMPRODUCT((P$3:P$65&lt;&gt;"")*(G$3:G$65=G35)*(I$3:I$65="P"))+1,IF(N35&lt;&gt;"",SUMPRODUCT((N$3:N$65&lt;&gt;"")*(G$3:G$65=G35)*(J$3:J$65&gt;J35)*(I$3:I$65="P"))+1,IF(M35="P",SUMPRODUCT((O$3:O$65&lt;&gt;"")*(P$3:P$65="")*(G$3:G$65=G35)*(I$3:I$65="P"))+SUMPRODUCT((P$3:P$65&lt;&gt;"")*(G$3:G$65=G35)*(I$3:I$65="P"))+SUMPRODUCT((N$3:N$65&lt;&gt;"")*(G$3:G$65=G35)*(I$3:I$65="P"))+SUMPRODUCT((P$3:P$65="")*(O$3:O$65="")*(N$3:N$65="")*(M$3:M$65="P")*(G$3:G$65=G35)*(J$3:J$65&gt;J35)*(I$3:I$65="P"))+IF(H35="L5",SUMPRODUCT((P$3:P$65="")*(O$3:O$65="")*(N$3:N$65="")*(M$3:M$65="P")*(G$3:G$65=G35)*(J$3:J$65&lt;J35)*(H$3:H$65&lt;&gt;H35)*(I$3:I$65="P")),-1*SUMPRODUCT((P$3:P$65="")*(O$3:O$65="")*(N$3:N$65="")*(M$3:M$65="P")*(G$3:G$65=G35)*(J$3:J$65&gt;J35)*(H$3:H$65="L5")*(I$3:I$65="P")))+1,"")))))</f>
        <v/>
      </c>
      <c r="B35" s="1" t="str" cm="1">
        <f t="array" ref="B35">IF(P35&lt;&gt;"",SUMPRODUCT((P$3:P$65&lt;&gt;"")*(G$3:G$65=G35)*(J$3:J$65&gt;J35))+1,IF(O35&lt;&gt;"",SUMPRODUCT((O$3:O$65&lt;&gt;"")*(P$3:P$65="")*(G$3:G$65=G35)*(J$3:J$65&gt;J35))+SUMPRODUCT((P$3:P$65&lt;&gt;"")*(G$3:G$65=G35))+1,IF(N35&lt;&gt;"",SUMPRODUCT((N$3:N$65&lt;&gt;"")*(G$3:G$65=G35)*(J$3:J$65&gt;J35))+1,IF(M35="P",SUMPRODUCT((O$3:O$65&lt;&gt;"")*(P$3:P$65="")*(G$3:G$65=G35))+SUMPRODUCT((P$3:P$65&lt;&gt;"")*(G$3:G$65=G35))+SUMPRODUCT((N$3:N$65&lt;&gt;"")*(G$3:G$65=G35))+SUMPRODUCT((P$3:P$65="")*(O$3:O$65="")*(N$3:N$65="")*(M$3:M$65="P")*(G$3:G$65=G35)*(J$3:J$65&gt;J35))+IF(H35="L5",SUMPRODUCT((P$3:P$65="")*(O$3:O$65="")*(N$3:N$65="")*(M$3:M$65="P")*(G$3:G$65=G35)*(J$3:J$65&lt;J35)*(H$3:H$65&lt;&gt;H35)),-1*SUMPRODUCT((P$3:P$65="")*(O$3:O$65="")*(N$3:N$65="")*(M$3:M$65="P")*(G$3:G$65=G35)*(J$3:J$65&gt;J35)*(H$3:H$65="L5")))+1,""))))</f>
        <v/>
      </c>
      <c r="C35" s="36" t="s">
        <v>95</v>
      </c>
      <c r="D35" s="36" t="str">
        <f>IF(E35="","",VLOOKUP(E35,'Coaching Points'!A:B,2,0))</f>
        <v>QC</v>
      </c>
      <c r="E35" s="36" t="s">
        <v>96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42.8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MAX(T35,X35)</f>
        <v>42.8</v>
      </c>
      <c r="S35" s="4">
        <f>IF(R35=T35,MAX(V35,X35,Z35),IF(R35=X35,MAX(T35,V35,Z35),0))</f>
        <v>0</v>
      </c>
      <c r="T35" s="33">
        <v>42.8</v>
      </c>
      <c r="U35" s="40">
        <v>5.4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$65&lt;&gt;"")*(G$3:G$65=G36)*(J$3:J$65&gt;J36)*(I$3:I$65="P"))+1,IF(O36&lt;&gt;"",SUMPRODUCT((O$3:O$65&lt;&gt;"")*(P$3:P$65="")*(G$3:G$65=G36)*(J$3:J$65&gt;J36)*(I$3:I$65="P"))+SUMPRODUCT((P$3:P$65&lt;&gt;"")*(G$3:G$65=G36)*(I$3:I$65="P"))+1,IF(N36&lt;&gt;"",SUMPRODUCT((N$3:N$65&lt;&gt;"")*(G$3:G$65=G36)*(J$3:J$65&gt;J36)*(I$3:I$65="P"))+1,IF(M36="P",SUMPRODUCT((O$3:O$65&lt;&gt;"")*(P$3:P$65="")*(G$3:G$65=G36)*(I$3:I$65="P"))+SUMPRODUCT((P$3:P$65&lt;&gt;"")*(G$3:G$65=G36)*(I$3:I$65="P"))+SUMPRODUCT((N$3:N$65&lt;&gt;"")*(G$3:G$65=G36)*(I$3:I$65="P"))+SUMPRODUCT((P$3:P$65="")*(O$3:O$65="")*(N$3:N$65="")*(M$3:M$65="P")*(G$3:G$65=G36)*(J$3:J$65&gt;J36)*(I$3:I$65="P"))+IF(H36="L5",SUMPRODUCT((P$3:P$65="")*(O$3:O$65="")*(N$3:N$65="")*(M$3:M$65="P")*(G$3:G$65=G36)*(J$3:J$65&lt;J36)*(H$3:H$65&lt;&gt;H36)*(I$3:I$65="P")),-1*SUMPRODUCT((P$3:P$65="")*(O$3:O$65="")*(N$3:N$65="")*(M$3:M$65="P")*(G$3:G$65=G36)*(J$3:J$65&gt;J36)*(H$3:H$65="L5")*(I$3:I$65="P")))+1,"")))))</f>
        <v/>
      </c>
      <c r="B36" s="1" t="str" cm="1">
        <f t="array" ref="B36">IF(P36&lt;&gt;"",SUMPRODUCT((P$3:P$65&lt;&gt;"")*(G$3:G$65=G36)*(J$3:J$65&gt;J36))+1,IF(O36&lt;&gt;"",SUMPRODUCT((O$3:O$65&lt;&gt;"")*(P$3:P$65="")*(G$3:G$65=G36)*(J$3:J$65&gt;J36))+SUMPRODUCT((P$3:P$65&lt;&gt;"")*(G$3:G$65=G36))+1,IF(N36&lt;&gt;"",SUMPRODUCT((N$3:N$65&lt;&gt;"")*(G$3:G$65=G36)*(J$3:J$65&gt;J36))+1,IF(M36="P",SUMPRODUCT((O$3:O$65&lt;&gt;"")*(P$3:P$65="")*(G$3:G$65=G36))+SUMPRODUCT((P$3:P$65&lt;&gt;"")*(G$3:G$65=G36))+SUMPRODUCT((N$3:N$65&lt;&gt;"")*(G$3:G$65=G36))+SUMPRODUCT((P$3:P$65="")*(O$3:O$65="")*(N$3:N$65="")*(M$3:M$65="P")*(G$3:G$65=G36)*(J$3:J$65&gt;J36))+IF(H36="L5",SUMPRODUCT((P$3:P$65="")*(O$3:O$65="")*(N$3:N$65="")*(M$3:M$65="P")*(G$3:G$65=G36)*(J$3:J$65&lt;J36)*(H$3:H$65&lt;&gt;H36)),-1*SUMPRODUCT((P$3:P$65="")*(O$3:O$65="")*(N$3:N$65="")*(M$3:M$65="P")*(G$3:G$65=G36)*(J$3:J$65&gt;J36)*(H$3:H$65="L5")))+1,""))))</f>
        <v/>
      </c>
      <c r="C36" s="36" t="s">
        <v>229</v>
      </c>
      <c r="D36" s="36" t="str">
        <f>IF(E36="","",VLOOKUP(E36,'Coaching Points'!A:B,2,0))</f>
        <v>QC</v>
      </c>
      <c r="E36" s="36" t="s">
        <v>96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42.6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MAX(T36,X36)</f>
        <v>42.6</v>
      </c>
      <c r="S36" s="4">
        <f>IF(R36=T36,MAX(V36,X36,Z36),IF(R36=X36,MAX(T36,V36,Z36),0))</f>
        <v>0</v>
      </c>
      <c r="T36" s="33">
        <v>42.6</v>
      </c>
      <c r="U36" s="40">
        <v>4.8000000000000007</v>
      </c>
      <c r="V36" s="34"/>
      <c r="W36" s="40"/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$65&lt;&gt;"")*(G$3:G$65=G37)*(J$3:J$65&gt;J37)*(I$3:I$65="P"))+1,IF(O37&lt;&gt;"",SUMPRODUCT((O$3:O$65&lt;&gt;"")*(P$3:P$65="")*(G$3:G$65=G37)*(J$3:J$65&gt;J37)*(I$3:I$65="P"))+SUMPRODUCT((P$3:P$65&lt;&gt;"")*(G$3:G$65=G37)*(I$3:I$65="P"))+1,IF(N37&lt;&gt;"",SUMPRODUCT((N$3:N$65&lt;&gt;"")*(G$3:G$65=G37)*(J$3:J$65&gt;J37)*(I$3:I$65="P"))+1,IF(M37="P",SUMPRODUCT((O$3:O$65&lt;&gt;"")*(P$3:P$65="")*(G$3:G$65=G37)*(I$3:I$65="P"))+SUMPRODUCT((P$3:P$65&lt;&gt;"")*(G$3:G$65=G37)*(I$3:I$65="P"))+SUMPRODUCT((N$3:N$65&lt;&gt;"")*(G$3:G$65=G37)*(I$3:I$65="P"))+SUMPRODUCT((P$3:P$65="")*(O$3:O$65="")*(N$3:N$65="")*(M$3:M$65="P")*(G$3:G$65=G37)*(J$3:J$65&gt;J37)*(I$3:I$65="P"))+IF(H37="L5",SUMPRODUCT((P$3:P$65="")*(O$3:O$65="")*(N$3:N$65="")*(M$3:M$65="P")*(G$3:G$65=G37)*(J$3:J$65&lt;J37)*(H$3:H$65&lt;&gt;H37)*(I$3:I$65="P")),-1*SUMPRODUCT((P$3:P$65="")*(O$3:O$65="")*(N$3:N$65="")*(M$3:M$65="P")*(G$3:G$65=G37)*(J$3:J$65&gt;J37)*(H$3:H$65="L5")*(I$3:I$65="P")))+1,"")))))</f>
        <v/>
      </c>
      <c r="B37" s="1" t="str" cm="1">
        <f t="array" ref="B37">IF(P37&lt;&gt;"",SUMPRODUCT((P$3:P$65&lt;&gt;"")*(G$3:G$65=G37)*(J$3:J$65&gt;J37))+1,IF(O37&lt;&gt;"",SUMPRODUCT((O$3:O$65&lt;&gt;"")*(P$3:P$65="")*(G$3:G$65=G37)*(J$3:J$65&gt;J37))+SUMPRODUCT((P$3:P$65&lt;&gt;"")*(G$3:G$65=G37))+1,IF(N37&lt;&gt;"",SUMPRODUCT((N$3:N$65&lt;&gt;"")*(G$3:G$65=G37)*(J$3:J$65&gt;J37))+1,IF(M37="P",SUMPRODUCT((O$3:O$65&lt;&gt;"")*(P$3:P$65="")*(G$3:G$65=G37))+SUMPRODUCT((P$3:P$65&lt;&gt;"")*(G$3:G$65=G37))+SUMPRODUCT((N$3:N$65&lt;&gt;"")*(G$3:G$65=G37))+SUMPRODUCT((P$3:P$65="")*(O$3:O$65="")*(N$3:N$65="")*(M$3:M$65="P")*(G$3:G$65=G37)*(J$3:J$65&gt;J37))+IF(H37="L5",SUMPRODUCT((P$3:P$65="")*(O$3:O$65="")*(N$3:N$65="")*(M$3:M$65="P")*(G$3:G$65=G37)*(J$3:J$65&lt;J37)*(H$3:H$65&lt;&gt;H37)),-1*SUMPRODUCT((P$3:P$65="")*(O$3:O$65="")*(N$3:N$65="")*(M$3:M$65="P")*(G$3:G$65=G37)*(J$3:J$65&gt;J37)*(H$3:H$65="L5")))+1,""))))</f>
        <v/>
      </c>
      <c r="C37" s="36" t="s">
        <v>326</v>
      </c>
      <c r="D37" s="36" t="str">
        <f>IF(E37="","",VLOOKUP(E37,'Coaching Points'!A:B,2,0))</f>
        <v>AB</v>
      </c>
      <c r="E37" s="36" t="s">
        <v>64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42.1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MAX(T37,X37)</f>
        <v>42.1</v>
      </c>
      <c r="S37" s="4">
        <f>IF(R37=T37,MAX(V37,X37,Z37),IF(R37=X37,MAX(T37,V37,Z37),0))</f>
        <v>0</v>
      </c>
      <c r="T37" s="33">
        <v>42.1</v>
      </c>
      <c r="U37" s="40">
        <v>6</v>
      </c>
      <c r="V37" s="34"/>
      <c r="W37" s="40"/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$65&lt;&gt;"")*(G$3:G$65=G38)*(J$3:J$65&gt;J38)*(I$3:I$65="P"))+1,IF(O38&lt;&gt;"",SUMPRODUCT((O$3:O$65&lt;&gt;"")*(P$3:P$65="")*(G$3:G$65=G38)*(J$3:J$65&gt;J38)*(I$3:I$65="P"))+SUMPRODUCT((P$3:P$65&lt;&gt;"")*(G$3:G$65=G38)*(I$3:I$65="P"))+1,IF(N38&lt;&gt;"",SUMPRODUCT((N$3:N$65&lt;&gt;"")*(G$3:G$65=G38)*(J$3:J$65&gt;J38)*(I$3:I$65="P"))+1,IF(M38="P",SUMPRODUCT((O$3:O$65&lt;&gt;"")*(P$3:P$65="")*(G$3:G$65=G38)*(I$3:I$65="P"))+SUMPRODUCT((P$3:P$65&lt;&gt;"")*(G$3:G$65=G38)*(I$3:I$65="P"))+SUMPRODUCT((N$3:N$65&lt;&gt;"")*(G$3:G$65=G38)*(I$3:I$65="P"))+SUMPRODUCT((P$3:P$65="")*(O$3:O$65="")*(N$3:N$65="")*(M$3:M$65="P")*(G$3:G$65=G38)*(J$3:J$65&gt;J38)*(I$3:I$65="P"))+IF(H38="L5",SUMPRODUCT((P$3:P$65="")*(O$3:O$65="")*(N$3:N$65="")*(M$3:M$65="P")*(G$3:G$65=G38)*(J$3:J$65&lt;J38)*(H$3:H$65&lt;&gt;H38)*(I$3:I$65="P")),-1*SUMPRODUCT((P$3:P$65="")*(O$3:O$65="")*(N$3:N$65="")*(M$3:M$65="P")*(G$3:G$65=G38)*(J$3:J$65&gt;J38)*(H$3:H$65="L5")*(I$3:I$65="P")))+1,"")))))</f>
        <v/>
      </c>
      <c r="B38" s="1" t="str" cm="1">
        <f t="array" ref="B38">IF(P38&lt;&gt;"",SUMPRODUCT((P$3:P$65&lt;&gt;"")*(G$3:G$65=G38)*(J$3:J$65&gt;J38))+1,IF(O38&lt;&gt;"",SUMPRODUCT((O$3:O$65&lt;&gt;"")*(P$3:P$65="")*(G$3:G$65=G38)*(J$3:J$65&gt;J38))+SUMPRODUCT((P$3:P$65&lt;&gt;"")*(G$3:G$65=G38))+1,IF(N38&lt;&gt;"",SUMPRODUCT((N$3:N$65&lt;&gt;"")*(G$3:G$65=G38)*(J$3:J$65&gt;J38))+1,IF(M38="P",SUMPRODUCT((O$3:O$65&lt;&gt;"")*(P$3:P$65="")*(G$3:G$65=G38))+SUMPRODUCT((P$3:P$65&lt;&gt;"")*(G$3:G$65=G38))+SUMPRODUCT((N$3:N$65&lt;&gt;"")*(G$3:G$65=G38))+SUMPRODUCT((P$3:P$65="")*(O$3:O$65="")*(N$3:N$65="")*(M$3:M$65="P")*(G$3:G$65=G38)*(J$3:J$65&gt;J38))+IF(H38="L5",SUMPRODUCT((P$3:P$65="")*(O$3:O$65="")*(N$3:N$65="")*(M$3:M$65="P")*(G$3:G$65=G38)*(J$3:J$65&lt;J38)*(H$3:H$65&lt;&gt;H38)),-1*SUMPRODUCT((P$3:P$65="")*(O$3:O$65="")*(N$3:N$65="")*(M$3:M$65="P")*(G$3:G$65=G38)*(J$3:J$65&gt;J38)*(H$3:H$65="L5")))+1,""))))</f>
        <v/>
      </c>
      <c r="C38" s="36" t="s">
        <v>231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40.700000000000003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MAX(T38,X38)</f>
        <v>40.700000000000003</v>
      </c>
      <c r="S38" s="4">
        <f>IF(R38=T38,MAX(V38,X38,Z38),IF(R38=X38,MAX(T38,V38,Z38),0))</f>
        <v>0</v>
      </c>
      <c r="T38" s="33">
        <v>40.700000000000003</v>
      </c>
      <c r="U38" s="40">
        <v>4.9000000000000004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$65&lt;&gt;"")*(G$3:G$65=G39)*(J$3:J$65&gt;J39)*(I$3:I$65="P"))+1,IF(O39&lt;&gt;"",SUMPRODUCT((O$3:O$65&lt;&gt;"")*(P$3:P$65="")*(G$3:G$65=G39)*(J$3:J$65&gt;J39)*(I$3:I$65="P"))+SUMPRODUCT((P$3:P$65&lt;&gt;"")*(G$3:G$65=G39)*(I$3:I$65="P"))+1,IF(N39&lt;&gt;"",SUMPRODUCT((N$3:N$65&lt;&gt;"")*(G$3:G$65=G39)*(J$3:J$65&gt;J39)*(I$3:I$65="P"))+1,IF(M39="P",SUMPRODUCT((O$3:O$65&lt;&gt;"")*(P$3:P$65="")*(G$3:G$65=G39)*(I$3:I$65="P"))+SUMPRODUCT((P$3:P$65&lt;&gt;"")*(G$3:G$65=G39)*(I$3:I$65="P"))+SUMPRODUCT((N$3:N$65&lt;&gt;"")*(G$3:G$65=G39)*(I$3:I$65="P"))+SUMPRODUCT((P$3:P$65="")*(O$3:O$65="")*(N$3:N$65="")*(M$3:M$65="P")*(G$3:G$65=G39)*(J$3:J$65&gt;J39)*(I$3:I$65="P"))+IF(H39="L5",SUMPRODUCT((P$3:P$65="")*(O$3:O$65="")*(N$3:N$65="")*(M$3:M$65="P")*(G$3:G$65=G39)*(J$3:J$65&lt;J39)*(H$3:H$65&lt;&gt;H39)*(I$3:I$65="P")),-1*SUMPRODUCT((P$3:P$65="")*(O$3:O$65="")*(N$3:N$65="")*(M$3:M$65="P")*(G$3:G$65=G39)*(J$3:J$65&gt;J39)*(H$3:H$65="L5")*(I$3:I$65="P")))+1,"")))))</f>
        <v/>
      </c>
      <c r="B39" s="1" t="str" cm="1">
        <f t="array" ref="B39">IF(P39&lt;&gt;"",SUMPRODUCT((P$3:P$65&lt;&gt;"")*(G$3:G$65=G39)*(J$3:J$65&gt;J39))+1,IF(O39&lt;&gt;"",SUMPRODUCT((O$3:O$65&lt;&gt;"")*(P$3:P$65="")*(G$3:G$65=G39)*(J$3:J$65&gt;J39))+SUMPRODUCT((P$3:P$65&lt;&gt;"")*(G$3:G$65=G39))+1,IF(N39&lt;&gt;"",SUMPRODUCT((N$3:N$65&lt;&gt;"")*(G$3:G$65=G39)*(J$3:J$65&gt;J39))+1,IF(M39="P",SUMPRODUCT((O$3:O$65&lt;&gt;"")*(P$3:P$65="")*(G$3:G$65=G39))+SUMPRODUCT((P$3:P$65&lt;&gt;"")*(G$3:G$65=G39))+SUMPRODUCT((N$3:N$65&lt;&gt;"")*(G$3:G$65=G39))+SUMPRODUCT((P$3:P$65="")*(O$3:O$65="")*(N$3:N$65="")*(M$3:M$65="P")*(G$3:G$65=G39)*(J$3:J$65&gt;J39))+IF(H39="L5",SUMPRODUCT((P$3:P$65="")*(O$3:O$65="")*(N$3:N$65="")*(M$3:M$65="P")*(G$3:G$65=G39)*(J$3:J$65&lt;J39)*(H$3:H$65&lt;&gt;H39)),-1*SUMPRODUCT((P$3:P$65="")*(O$3:O$65="")*(N$3:N$65="")*(M$3:M$65="P")*(G$3:G$65=G39)*(J$3:J$65&gt;J39)*(H$3:H$65="L5")))+1,""))))</f>
        <v/>
      </c>
      <c r="C39" s="36" t="s">
        <v>225</v>
      </c>
      <c r="D39" s="36" t="str">
        <f>IF(E39="","",VLOOKUP(E39,'Coaching Points'!A:B,2,0))</f>
        <v>ON</v>
      </c>
      <c r="E39" s="36" t="s">
        <v>286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40.700000000000003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MAX(T39,X39)</f>
        <v>40.700000000000003</v>
      </c>
      <c r="S39" s="4">
        <f>IF(R39=T39,MAX(V39,X39,Z39),IF(R39=X39,MAX(T39,V39,Z39),0))</f>
        <v>0</v>
      </c>
      <c r="T39" s="33">
        <v>40.700000000000003</v>
      </c>
      <c r="U39" s="40">
        <v>4.7</v>
      </c>
      <c r="V39" s="34"/>
      <c r="W39" s="40"/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$65&lt;&gt;"")*(G$3:G$65=G40)*(J$3:J$65&gt;J40)*(I$3:I$65="P"))+1,IF(O40&lt;&gt;"",SUMPRODUCT((O$3:O$65&lt;&gt;"")*(P$3:P$65="")*(G$3:G$65=G40)*(J$3:J$65&gt;J40)*(I$3:I$65="P"))+SUMPRODUCT((P$3:P$65&lt;&gt;"")*(G$3:G$65=G40)*(I$3:I$65="P"))+1,IF(N40&lt;&gt;"",SUMPRODUCT((N$3:N$65&lt;&gt;"")*(G$3:G$65=G40)*(J$3:J$65&gt;J40)*(I$3:I$65="P"))+1,IF(M40="P",SUMPRODUCT((O$3:O$65&lt;&gt;"")*(P$3:P$65="")*(G$3:G$65=G40)*(I$3:I$65="P"))+SUMPRODUCT((P$3:P$65&lt;&gt;"")*(G$3:G$65=G40)*(I$3:I$65="P"))+SUMPRODUCT((N$3:N$65&lt;&gt;"")*(G$3:G$65=G40)*(I$3:I$65="P"))+SUMPRODUCT((P$3:P$65="")*(O$3:O$65="")*(N$3:N$65="")*(M$3:M$65="P")*(G$3:G$65=G40)*(J$3:J$65&gt;J40)*(I$3:I$65="P"))+IF(H40="L5",SUMPRODUCT((P$3:P$65="")*(O$3:O$65="")*(N$3:N$65="")*(M$3:M$65="P")*(G$3:G$65=G40)*(J$3:J$65&lt;J40)*(H$3:H$65&lt;&gt;H40)*(I$3:I$65="P")),-1*SUMPRODUCT((P$3:P$65="")*(O$3:O$65="")*(N$3:N$65="")*(M$3:M$65="P")*(G$3:G$65=G40)*(J$3:J$65&gt;J40)*(H$3:H$65="L5")*(I$3:I$65="P")))+1,"")))))</f>
        <v/>
      </c>
      <c r="B40" s="1" t="str" cm="1">
        <f t="array" ref="B40">IF(P40&lt;&gt;"",SUMPRODUCT((P$3:P$65&lt;&gt;"")*(G$3:G$65=G40)*(J$3:J$65&gt;J40))+1,IF(O40&lt;&gt;"",SUMPRODUCT((O$3:O$65&lt;&gt;"")*(P$3:P$65="")*(G$3:G$65=G40)*(J$3:J$65&gt;J40))+SUMPRODUCT((P$3:P$65&lt;&gt;"")*(G$3:G$65=G40))+1,IF(N40&lt;&gt;"",SUMPRODUCT((N$3:N$65&lt;&gt;"")*(G$3:G$65=G40)*(J$3:J$65&gt;J40))+1,IF(M40="P",SUMPRODUCT((O$3:O$65&lt;&gt;"")*(P$3:P$65="")*(G$3:G$65=G40))+SUMPRODUCT((P$3:P$65&lt;&gt;"")*(G$3:G$65=G40))+SUMPRODUCT((N$3:N$65&lt;&gt;"")*(G$3:G$65=G40))+SUMPRODUCT((P$3:P$65="")*(O$3:O$65="")*(N$3:N$65="")*(M$3:M$65="P")*(G$3:G$65=G40)*(J$3:J$65&gt;J40))+IF(H40="L5",SUMPRODUCT((P$3:P$65="")*(O$3:O$65="")*(N$3:N$65="")*(M$3:M$65="P")*(G$3:G$65=G40)*(J$3:J$65&lt;J40)*(H$3:H$65&lt;&gt;H40)),-1*SUMPRODUCT((P$3:P$65="")*(O$3:O$65="")*(N$3:N$65="")*(M$3:M$65="P")*(G$3:G$65=G40)*(J$3:J$65&gt;J40)*(H$3:H$65="L5")))+1,""))))</f>
        <v/>
      </c>
      <c r="C40" s="36" t="s">
        <v>322</v>
      </c>
      <c r="D40" s="36" t="str">
        <f>IF(E40="","",VLOOKUP(E40,'Coaching Points'!A:B,2,0))</f>
        <v>AB</v>
      </c>
      <c r="E40" s="36" t="s">
        <v>29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22.2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MAX(T40,X40)</f>
        <v>22.2</v>
      </c>
      <c r="S40" s="4">
        <f>IF(R40=T40,MAX(V40,X40,Z40),IF(R40=X40,MAX(T40,V40,Z40),0))</f>
        <v>0</v>
      </c>
      <c r="T40" s="33">
        <v>22.2</v>
      </c>
      <c r="U40" s="40">
        <v>4.4000000000000004</v>
      </c>
      <c r="V40" s="34"/>
      <c r="W40" s="40"/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$65&lt;&gt;"")*(G$3:G$65=G41)*(J$3:J$65&gt;J41)*(I$3:I$65="P"))+1,IF(O41&lt;&gt;"",SUMPRODUCT((O$3:O$65&lt;&gt;"")*(P$3:P$65="")*(G$3:G$65=G41)*(J$3:J$65&gt;J41)*(I$3:I$65="P"))+SUMPRODUCT((P$3:P$65&lt;&gt;"")*(G$3:G$65=G41)*(I$3:I$65="P"))+1,IF(N41&lt;&gt;"",SUMPRODUCT((N$3:N$65&lt;&gt;"")*(G$3:G$65=G41)*(J$3:J$65&gt;J41)*(I$3:I$65="P"))+1,IF(M41="P",SUMPRODUCT((O$3:O$65&lt;&gt;"")*(P$3:P$65="")*(G$3:G$65=G41)*(I$3:I$65="P"))+SUMPRODUCT((P$3:P$65&lt;&gt;"")*(G$3:G$65=G41)*(I$3:I$65="P"))+SUMPRODUCT((N$3:N$65&lt;&gt;"")*(G$3:G$65=G41)*(I$3:I$65="P"))+SUMPRODUCT((P$3:P$65="")*(O$3:O$65="")*(N$3:N$65="")*(M$3:M$65="P")*(G$3:G$65=G41)*(J$3:J$65&gt;J41)*(I$3:I$65="P"))+IF(H41="L5",SUMPRODUCT((P$3:P$65="")*(O$3:O$65="")*(N$3:N$65="")*(M$3:M$65="P")*(G$3:G$65=G41)*(J$3:J$65&lt;J41)*(H$3:H$65&lt;&gt;H41)*(I$3:I$65="P")),-1*SUMPRODUCT((P$3:P$65="")*(O$3:O$65="")*(N$3:N$65="")*(M$3:M$65="P")*(G$3:G$65=G41)*(J$3:J$65&gt;J41)*(H$3:H$65="L5")*(I$3:I$65="P")))+1,"")))))</f>
        <v/>
      </c>
      <c r="B41" s="1" t="str" cm="1">
        <f t="array" ref="B41">IF(P41&lt;&gt;"",SUMPRODUCT((P$3:P$65&lt;&gt;"")*(G$3:G$65=G41)*(J$3:J$65&gt;J41))+1,IF(O41&lt;&gt;"",SUMPRODUCT((O$3:O$65&lt;&gt;"")*(P$3:P$65="")*(G$3:G$65=G41)*(J$3:J$65&gt;J41))+SUMPRODUCT((P$3:P$65&lt;&gt;"")*(G$3:G$65=G41))+1,IF(N41&lt;&gt;"",SUMPRODUCT((N$3:N$65&lt;&gt;"")*(G$3:G$65=G41)*(J$3:J$65&gt;J41))+1,IF(M41="P",SUMPRODUCT((O$3:O$65&lt;&gt;"")*(P$3:P$65="")*(G$3:G$65=G41))+SUMPRODUCT((P$3:P$65&lt;&gt;"")*(G$3:G$65=G41))+SUMPRODUCT((N$3:N$65&lt;&gt;"")*(G$3:G$65=G41))+SUMPRODUCT((P$3:P$65="")*(O$3:O$65="")*(N$3:N$65="")*(M$3:M$65="P")*(G$3:G$65=G41)*(J$3:J$65&gt;J41))+IF(H41="L5",SUMPRODUCT((P$3:P$65="")*(O$3:O$65="")*(N$3:N$65="")*(M$3:M$65="P")*(G$3:G$65=G41)*(J$3:J$65&lt;J41)*(H$3:H$65&lt;&gt;H41)),-1*SUMPRODUCT((P$3:P$65="")*(O$3:O$65="")*(N$3:N$65="")*(M$3:M$65="P")*(G$3:G$65=G41)*(J$3:J$65&gt;J41)*(H$3:H$65="L5")))+1,""))))</f>
        <v/>
      </c>
      <c r="C41" s="36" t="s">
        <v>222</v>
      </c>
      <c r="D41" s="36" t="str">
        <f>IF(E41="","",VLOOKUP(E41,'Coaching Points'!A:B,2,0))</f>
        <v>AB</v>
      </c>
      <c r="E41" s="36" t="s">
        <v>29</v>
      </c>
      <c r="F41" s="35">
        <v>2006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19.8001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MAX(T41,X41)</f>
        <v>19.8</v>
      </c>
      <c r="S41" s="4">
        <f>IF(R41=T41,MAX(V41,X41,Z41),IF(R41=X41,MAX(T41,V41,Z41),0))</f>
        <v>0</v>
      </c>
      <c r="T41" s="33">
        <v>19.8</v>
      </c>
      <c r="U41" s="40">
        <v>2.4</v>
      </c>
      <c r="V41" s="34"/>
      <c r="W41" s="40"/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$65&lt;&gt;"")*(G$3:G$65=G42)*(J$3:J$65&gt;J42)*(I$3:I$65="P"))+1,IF(O42&lt;&gt;"",SUMPRODUCT((O$3:O$65&lt;&gt;"")*(P$3:P$65="")*(G$3:G$65=G42)*(J$3:J$65&gt;J42)*(I$3:I$65="P"))+SUMPRODUCT((P$3:P$65&lt;&gt;"")*(G$3:G$65=G42)*(I$3:I$65="P"))+1,IF(N42&lt;&gt;"",SUMPRODUCT((N$3:N$65&lt;&gt;"")*(G$3:G$65=G42)*(J$3:J$65&gt;J42)*(I$3:I$65="P"))+1,IF(M42="P",SUMPRODUCT((O$3:O$65&lt;&gt;"")*(P$3:P$65="")*(G$3:G$65=G42)*(I$3:I$65="P"))+SUMPRODUCT((P$3:P$65&lt;&gt;"")*(G$3:G$65=G42)*(I$3:I$65="P"))+SUMPRODUCT((N$3:N$65&lt;&gt;"")*(G$3:G$65=G42)*(I$3:I$65="P"))+SUMPRODUCT((P$3:P$65="")*(O$3:O$65="")*(N$3:N$65="")*(M$3:M$65="P")*(G$3:G$65=G42)*(J$3:J$65&gt;J42)*(I$3:I$65="P"))+IF(H42="L5",SUMPRODUCT((P$3:P$65="")*(O$3:O$65="")*(N$3:N$65="")*(M$3:M$65="P")*(G$3:G$65=G42)*(J$3:J$65&lt;J42)*(H$3:H$65&lt;&gt;H42)*(I$3:I$65="P")),-1*SUMPRODUCT((P$3:P$65="")*(O$3:O$65="")*(N$3:N$65="")*(M$3:M$65="P")*(G$3:G$65=G42)*(J$3:J$65&gt;J42)*(H$3:H$65="L5")*(I$3:I$65="P")))+1,"")))))</f>
        <v/>
      </c>
      <c r="B42" s="1" t="str" cm="1">
        <f t="array" ref="B42">IF(P42&lt;&gt;"",SUMPRODUCT((P$3:P$65&lt;&gt;"")*(G$3:G$65=G42)*(J$3:J$65&gt;J42))+1,IF(O42&lt;&gt;"",SUMPRODUCT((O$3:O$65&lt;&gt;"")*(P$3:P$65="")*(G$3:G$65=G42)*(J$3:J$65&gt;J42))+SUMPRODUCT((P$3:P$65&lt;&gt;"")*(G$3:G$65=G42))+1,IF(N42&lt;&gt;"",SUMPRODUCT((N$3:N$65&lt;&gt;"")*(G$3:G$65=G42)*(J$3:J$65&gt;J42))+1,IF(M42="P",SUMPRODUCT((O$3:O$65&lt;&gt;"")*(P$3:P$65="")*(G$3:G$65=G42))+SUMPRODUCT((P$3:P$65&lt;&gt;"")*(G$3:G$65=G42))+SUMPRODUCT((N$3:N$65&lt;&gt;"")*(G$3:G$65=G42))+SUMPRODUCT((P$3:P$65="")*(O$3:O$65="")*(N$3:N$65="")*(M$3:M$65="P")*(G$3:G$65=G42)*(J$3:J$65&gt;J42))+IF(H42="L5",SUMPRODUCT((P$3:P$65="")*(O$3:O$65="")*(N$3:N$65="")*(M$3:M$65="P")*(G$3:G$65=G42)*(J$3:J$65&lt;J42)*(H$3:H$65&lt;&gt;H42)),-1*SUMPRODUCT((P$3:P$65="")*(O$3:O$65="")*(N$3:N$65="")*(M$3:M$65="P")*(G$3:G$65=G42)*(J$3:J$65&gt;J42)*(H$3:H$65="L5")))+1,""))))</f>
        <v/>
      </c>
      <c r="C42" s="36" t="s">
        <v>168</v>
      </c>
      <c r="D42" s="36" t="str">
        <f>IF(E42="","",VLOOKUP(E42,'Coaching Points'!A:B,2,0))</f>
        <v>AB</v>
      </c>
      <c r="E42" s="36" t="s">
        <v>64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R42+S42+IF(OR(H42="Junior",H42="Senior"),0.0002,IF(OR(H42="L7",H42="L6"),0.0001,0))+MAX(X42,Z42)*0.0000001</f>
        <v>19.8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MAX(T42,X42)</f>
        <v>19.8</v>
      </c>
      <c r="S42" s="4">
        <f>IF(R42=T42,MAX(V42,X42,Z42),IF(R42=X42,MAX(T42,V42,Z42),0))</f>
        <v>0</v>
      </c>
      <c r="T42" s="33">
        <v>19.8</v>
      </c>
      <c r="U42" s="40">
        <v>2.1</v>
      </c>
      <c r="V42" s="34"/>
      <c r="W42" s="40"/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$65&lt;&gt;"")*(G$3:G$65=G43)*(J$3:J$65&gt;J43)*(I$3:I$65="P"))+1,IF(O43&lt;&gt;"",SUMPRODUCT((O$3:O$65&lt;&gt;"")*(P$3:P$65="")*(G$3:G$65=G43)*(J$3:J$65&gt;J43)*(I$3:I$65="P"))+SUMPRODUCT((P$3:P$65&lt;&gt;"")*(G$3:G$65=G43)*(I$3:I$65="P"))+1,IF(N43&lt;&gt;"",SUMPRODUCT((N$3:N$65&lt;&gt;"")*(G$3:G$65=G43)*(J$3:J$65&gt;J43)*(I$3:I$65="P"))+1,IF(M43="P",SUMPRODUCT((O$3:O$65&lt;&gt;"")*(P$3:P$65="")*(G$3:G$65=G43)*(I$3:I$65="P"))+SUMPRODUCT((P$3:P$65&lt;&gt;"")*(G$3:G$65=G43)*(I$3:I$65="P"))+SUMPRODUCT((N$3:N$65&lt;&gt;"")*(G$3:G$65=G43)*(I$3:I$65="P"))+SUMPRODUCT((P$3:P$65="")*(O$3:O$65="")*(N$3:N$65="")*(M$3:M$65="P")*(G$3:G$65=G43)*(J$3:J$65&gt;J43)*(I$3:I$65="P"))+IF(H43="L5",SUMPRODUCT((P$3:P$65="")*(O$3:O$65="")*(N$3:N$65="")*(M$3:M$65="P")*(G$3:G$65=G43)*(J$3:J$65&lt;J43)*(H$3:H$65&lt;&gt;H43)*(I$3:I$65="P")),-1*SUMPRODUCT((P$3:P$65="")*(O$3:O$65="")*(N$3:N$65="")*(M$3:M$65="P")*(G$3:G$65=G43)*(J$3:J$65&gt;J43)*(H$3:H$65="L5")*(I$3:I$65="P")))+1,"")))))</f>
        <v/>
      </c>
      <c r="B43" s="1" cm="1">
        <f t="array" ref="B43">IF(P43&lt;&gt;"",SUMPRODUCT((P$3:P$65&lt;&gt;"")*(G$3:G$65=G43)*(J$3:J$65&gt;J43))+1,IF(O43&lt;&gt;"",SUMPRODUCT((O$3:O$65&lt;&gt;"")*(P$3:P$65="")*(G$3:G$65=G43)*(J$3:J$65&gt;J43))+SUMPRODUCT((P$3:P$65&lt;&gt;"")*(G$3:G$65=G43))+1,IF(N43&lt;&gt;"",SUMPRODUCT((N$3:N$65&lt;&gt;"")*(G$3:G$65=G43)*(J$3:J$65&gt;J43))+1,IF(M43="P",SUMPRODUCT((O$3:O$65&lt;&gt;"")*(P$3:P$65="")*(G$3:G$65=G43))+SUMPRODUCT((P$3:P$65&lt;&gt;"")*(G$3:G$65=G43))+SUMPRODUCT((N$3:N$65&lt;&gt;"")*(G$3:G$65=G43))+SUMPRODUCT((P$3:P$65="")*(O$3:O$65="")*(N$3:N$65="")*(M$3:M$65="P")*(G$3:G$65=G43)*(J$3:J$65&gt;J43))+IF(H43="L5",SUMPRODUCT((P$3:P$65="")*(O$3:O$65="")*(N$3:N$65="")*(M$3:M$65="P")*(G$3:G$65=G43)*(J$3:J$65&lt;J43)*(H$3:H$65&lt;&gt;H43)),-1*SUMPRODUCT((P$3:P$65="")*(O$3:O$65="")*(N$3:N$65="")*(M$3:M$65="P")*(G$3:G$65=G43)*(J$3:J$65&gt;J43)*(H$3:H$65="L5")))+1,""))))</f>
        <v>1</v>
      </c>
      <c r="C43" s="36" t="s">
        <v>82</v>
      </c>
      <c r="D43" s="36" t="str">
        <f>IF(E43="","",VLOOKUP(E43,'Coaching Points'!A:B,2,0))</f>
        <v>AB</v>
      </c>
      <c r="E43" s="36" t="s">
        <v>64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65</v>
      </c>
      <c r="I43" s="43"/>
      <c r="J43" s="4">
        <f>R43+S43+IF(OR(H43="Junior",H43="Senior"),0.0002,IF(OR(H43="L7",H43="L6"),0.0001,0))+MAX(X43,Z43)*0.0000001</f>
        <v>98.700199999999995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2</v>
      </c>
      <c r="Q43" s="1" t="str">
        <f>IF(A43&lt;5,IF(_xlfn.MAXIFS(A:A,G:G,G43)&gt;3,5-A43,_xlfn.MAXIFS(A:A,G:G,G43)+1-A43),"")</f>
        <v/>
      </c>
      <c r="R43" s="4">
        <f>MAX(T43,X43)</f>
        <v>49.4</v>
      </c>
      <c r="S43" s="4">
        <f>IF(R43=T43,MAX(V43,X43,Z43),IF(R43=X43,MAX(T43,V43,Z43),0))</f>
        <v>49.3</v>
      </c>
      <c r="T43" s="33">
        <v>49.4</v>
      </c>
      <c r="U43" s="40">
        <v>13.2</v>
      </c>
      <c r="V43" s="34">
        <v>49.3</v>
      </c>
      <c r="W43" s="40">
        <v>13.2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$65&lt;&gt;"")*(G$3:G$65=G44)*(J$3:J$65&gt;J44)*(I$3:I$65="P"))+1,IF(O44&lt;&gt;"",SUMPRODUCT((O$3:O$65&lt;&gt;"")*(P$3:P$65="")*(G$3:G$65=G44)*(J$3:J$65&gt;J44)*(I$3:I$65="P"))+SUMPRODUCT((P$3:P$65&lt;&gt;"")*(G$3:G$65=G44)*(I$3:I$65="P"))+1,IF(N44&lt;&gt;"",SUMPRODUCT((N$3:N$65&lt;&gt;"")*(G$3:G$65=G44)*(J$3:J$65&gt;J44)*(I$3:I$65="P"))+1,IF(M44="P",SUMPRODUCT((O$3:O$65&lt;&gt;"")*(P$3:P$65="")*(G$3:G$65=G44)*(I$3:I$65="P"))+SUMPRODUCT((P$3:P$65&lt;&gt;"")*(G$3:G$65=G44)*(I$3:I$65="P"))+SUMPRODUCT((N$3:N$65&lt;&gt;"")*(G$3:G$65=G44)*(I$3:I$65="P"))+SUMPRODUCT((P$3:P$65="")*(O$3:O$65="")*(N$3:N$65="")*(M$3:M$65="P")*(G$3:G$65=G44)*(J$3:J$65&gt;J44)*(I$3:I$65="P"))+IF(H44="L5",SUMPRODUCT((P$3:P$65="")*(O$3:O$65="")*(N$3:N$65="")*(M$3:M$65="P")*(G$3:G$65=G44)*(J$3:J$65&lt;J44)*(H$3:H$65&lt;&gt;H44)*(I$3:I$65="P")),-1*SUMPRODUCT((P$3:P$65="")*(O$3:O$65="")*(N$3:N$65="")*(M$3:M$65="P")*(G$3:G$65=G44)*(J$3:J$65&gt;J44)*(H$3:H$65="L5")*(I$3:I$65="P")))+1,"")))))</f>
        <v/>
      </c>
      <c r="B44" s="1" cm="1">
        <f t="array" ref="B44">IF(P44&lt;&gt;"",SUMPRODUCT((P$3:P$65&lt;&gt;"")*(G$3:G$65=G44)*(J$3:J$65&gt;J44))+1,IF(O44&lt;&gt;"",SUMPRODUCT((O$3:O$65&lt;&gt;"")*(P$3:P$65="")*(G$3:G$65=G44)*(J$3:J$65&gt;J44))+SUMPRODUCT((P$3:P$65&lt;&gt;"")*(G$3:G$65=G44))+1,IF(N44&lt;&gt;"",SUMPRODUCT((N$3:N$65&lt;&gt;"")*(G$3:G$65=G44)*(J$3:J$65&gt;J44))+1,IF(M44="P",SUMPRODUCT((O$3:O$65&lt;&gt;"")*(P$3:P$65="")*(G$3:G$65=G44))+SUMPRODUCT((P$3:P$65&lt;&gt;"")*(G$3:G$65=G44))+SUMPRODUCT((N$3:N$65&lt;&gt;"")*(G$3:G$65=G44))+SUMPRODUCT((P$3:P$65="")*(O$3:O$65="")*(N$3:N$65="")*(M$3:M$65="P")*(G$3:G$65=G44)*(J$3:J$65&gt;J44))+IF(H44="L5",SUMPRODUCT((P$3:P$65="")*(O$3:O$65="")*(N$3:N$65="")*(M$3:M$65="P")*(G$3:G$65=G44)*(J$3:J$65&lt;J44)*(H$3:H$65&lt;&gt;H44)),-1*SUMPRODUCT((P$3:P$65="")*(O$3:O$65="")*(N$3:N$65="")*(M$3:M$65="P")*(G$3:G$65=G44)*(J$3:J$65&gt;J44)*(H$3:H$65="L5")))+1,""))))</f>
        <v>2</v>
      </c>
      <c r="C44" s="36" t="s">
        <v>214</v>
      </c>
      <c r="D44" s="36" t="str">
        <f>IF(E44="","",VLOOKUP(E44,'Coaching Points'!A:B,2,0))</f>
        <v>ON</v>
      </c>
      <c r="E44" s="36" t="s">
        <v>40</v>
      </c>
      <c r="F44" s="35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65</v>
      </c>
      <c r="I44" s="43"/>
      <c r="J44" s="4">
        <f>R44+S44+IF(OR(H44="Junior",H44="Senior"),0.0002,IF(OR(H44="L7",H44="L6"),0.0001,0))+MAX(X44,Z44)*0.0000001</f>
        <v>98.200200000000009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N44" s="39">
        <v>3</v>
      </c>
      <c r="Q44" s="1" t="str">
        <f>IF(A44&lt;5,IF(_xlfn.MAXIFS(A:A,G:G,G44)&gt;3,5-A44,_xlfn.MAXIFS(A:A,G:G,G44)+1-A44),"")</f>
        <v/>
      </c>
      <c r="R44" s="4">
        <f>MAX(T44,X44)</f>
        <v>49.5</v>
      </c>
      <c r="S44" s="4">
        <f>IF(R44=T44,MAX(V44,X44,Z44),IF(R44=X44,MAX(T44,V44,Z44),0))</f>
        <v>48.7</v>
      </c>
      <c r="T44" s="33">
        <v>49.5</v>
      </c>
      <c r="U44" s="40">
        <v>12</v>
      </c>
      <c r="V44" s="34">
        <v>48.7</v>
      </c>
      <c r="W44" s="40">
        <v>12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$65&lt;&gt;"")*(G$3:G$65=G45)*(J$3:J$65&gt;J45)*(I$3:I$65="P"))+1,IF(O45&lt;&gt;"",SUMPRODUCT((O$3:O$65&lt;&gt;"")*(P$3:P$65="")*(G$3:G$65=G45)*(J$3:J$65&gt;J45)*(I$3:I$65="P"))+SUMPRODUCT((P$3:P$65&lt;&gt;"")*(G$3:G$65=G45)*(I$3:I$65="P"))+1,IF(N45&lt;&gt;"",SUMPRODUCT((N$3:N$65&lt;&gt;"")*(G$3:G$65=G45)*(J$3:J$65&gt;J45)*(I$3:I$65="P"))+1,IF(M45="P",SUMPRODUCT((O$3:O$65&lt;&gt;"")*(P$3:P$65="")*(G$3:G$65=G45)*(I$3:I$65="P"))+SUMPRODUCT((P$3:P$65&lt;&gt;"")*(G$3:G$65=G45)*(I$3:I$65="P"))+SUMPRODUCT((N$3:N$65&lt;&gt;"")*(G$3:G$65=G45)*(I$3:I$65="P"))+SUMPRODUCT((P$3:P$65="")*(O$3:O$65="")*(N$3:N$65="")*(M$3:M$65="P")*(G$3:G$65=G45)*(J$3:J$65&gt;J45)*(I$3:I$65="P"))+IF(H45="L5",SUMPRODUCT((P$3:P$65="")*(O$3:O$65="")*(N$3:N$65="")*(M$3:M$65="P")*(G$3:G$65=G45)*(J$3:J$65&lt;J45)*(H$3:H$65&lt;&gt;H45)*(I$3:I$65="P")),-1*SUMPRODUCT((P$3:P$65="")*(O$3:O$65="")*(N$3:N$65="")*(M$3:M$65="P")*(G$3:G$65=G45)*(J$3:J$65&gt;J45)*(H$3:H$65="L5")*(I$3:I$65="P")))+1,"")))))</f>
        <v/>
      </c>
      <c r="B45" s="1" cm="1">
        <f t="array" ref="B45">IF(P45&lt;&gt;"",SUMPRODUCT((P$3:P$65&lt;&gt;"")*(G$3:G$65=G45)*(J$3:J$65&gt;J45))+1,IF(O45&lt;&gt;"",SUMPRODUCT((O$3:O$65&lt;&gt;"")*(P$3:P$65="")*(G$3:G$65=G45)*(J$3:J$65&gt;J45))+SUMPRODUCT((P$3:P$65&lt;&gt;"")*(G$3:G$65=G45))+1,IF(N45&lt;&gt;"",SUMPRODUCT((N$3:N$65&lt;&gt;"")*(G$3:G$65=G45)*(J$3:J$65&gt;J45))+1,IF(M45="P",SUMPRODUCT((O$3:O$65&lt;&gt;"")*(P$3:P$65="")*(G$3:G$65=G45))+SUMPRODUCT((P$3:P$65&lt;&gt;"")*(G$3:G$65=G45))+SUMPRODUCT((N$3:N$65&lt;&gt;"")*(G$3:G$65=G45))+SUMPRODUCT((P$3:P$65="")*(O$3:O$65="")*(N$3:N$65="")*(M$3:M$65="P")*(G$3:G$65=G45)*(J$3:J$65&gt;J45))+IF(H45="L5",SUMPRODUCT((P$3:P$65="")*(O$3:O$65="")*(N$3:N$65="")*(M$3:M$65="P")*(G$3:G$65=G45)*(J$3:J$65&lt;J45)*(H$3:H$65&lt;&gt;H45)),-1*SUMPRODUCT((P$3:P$65="")*(O$3:O$65="")*(N$3:N$65="")*(M$3:M$65="P")*(G$3:G$65=G45)*(J$3:J$65&gt;J45)*(H$3:H$65="L5")))+1,""))))</f>
        <v>3</v>
      </c>
      <c r="C45" s="36" t="s">
        <v>102</v>
      </c>
      <c r="D45" s="36" t="str">
        <f>IF(E45="","",VLOOKUP(E45,'Coaching Points'!A:B,2,0))</f>
        <v>BC</v>
      </c>
      <c r="E45" s="36" t="s">
        <v>62</v>
      </c>
      <c r="F45" s="35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65</v>
      </c>
      <c r="I45" s="43"/>
      <c r="J45" s="4">
        <f>R45+S45+IF(OR(H45="Junior",H45="Senior"),0.0002,IF(OR(H45="L7",H45="L6"),0.0001,0))+MAX(X45,Z45)*0.0000001</f>
        <v>95.300200000000018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N45" s="39">
        <v>4</v>
      </c>
      <c r="Q45" s="1" t="str">
        <f>IF(A45&lt;5,IF(_xlfn.MAXIFS(A:A,G:G,G45)&gt;3,5-A45,_xlfn.MAXIFS(A:A,G:G,G45)+1-A45),"")</f>
        <v/>
      </c>
      <c r="R45" s="4">
        <f>MAX(T45,X45)</f>
        <v>48.2</v>
      </c>
      <c r="S45" s="4">
        <f>IF(R45=T45,MAX(V45,X45,Z45),IF(R45=X45,MAX(T45,V45,Z45),0))</f>
        <v>47.1</v>
      </c>
      <c r="T45" s="33">
        <v>48.2</v>
      </c>
      <c r="U45" s="40">
        <v>11.6</v>
      </c>
      <c r="V45" s="34">
        <v>47.1</v>
      </c>
      <c r="W45" s="40">
        <v>11.6</v>
      </c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$65&lt;&gt;"")*(G$3:G$65=G46)*(J$3:J$65&gt;J46)*(I$3:I$65="P"))+1,IF(O46&lt;&gt;"",SUMPRODUCT((O$3:O$65&lt;&gt;"")*(P$3:P$65="")*(G$3:G$65=G46)*(J$3:J$65&gt;J46)*(I$3:I$65="P"))+SUMPRODUCT((P$3:P$65&lt;&gt;"")*(G$3:G$65=G46)*(I$3:I$65="P"))+1,IF(N46&lt;&gt;"",SUMPRODUCT((N$3:N$65&lt;&gt;"")*(G$3:G$65=G46)*(J$3:J$65&gt;J46)*(I$3:I$65="P"))+1,IF(M46="P",SUMPRODUCT((O$3:O$65&lt;&gt;"")*(P$3:P$65="")*(G$3:G$65=G46)*(I$3:I$65="P"))+SUMPRODUCT((P$3:P$65&lt;&gt;"")*(G$3:G$65=G46)*(I$3:I$65="P"))+SUMPRODUCT((N$3:N$65&lt;&gt;"")*(G$3:G$65=G46)*(I$3:I$65="P"))+SUMPRODUCT((P$3:P$65="")*(O$3:O$65="")*(N$3:N$65="")*(M$3:M$65="P")*(G$3:G$65=G46)*(J$3:J$65&gt;J46)*(I$3:I$65="P"))+IF(H46="L5",SUMPRODUCT((P$3:P$65="")*(O$3:O$65="")*(N$3:N$65="")*(M$3:M$65="P")*(G$3:G$65=G46)*(J$3:J$65&lt;J46)*(H$3:H$65&lt;&gt;H46)*(I$3:I$65="P")),-1*SUMPRODUCT((P$3:P$65="")*(O$3:O$65="")*(N$3:N$65="")*(M$3:M$65="P")*(G$3:G$65=G46)*(J$3:J$65&gt;J46)*(H$3:H$65="L5")*(I$3:I$65="P")))+1,"")))))</f>
        <v/>
      </c>
      <c r="B46" s="1" cm="1">
        <f t="array" ref="B46">IF(P46&lt;&gt;"",SUMPRODUCT((P$3:P$65&lt;&gt;"")*(G$3:G$65=G46)*(J$3:J$65&gt;J46))+1,IF(O46&lt;&gt;"",SUMPRODUCT((O$3:O$65&lt;&gt;"")*(P$3:P$65="")*(G$3:G$65=G46)*(J$3:J$65&gt;J46))+SUMPRODUCT((P$3:P$65&lt;&gt;"")*(G$3:G$65=G46))+1,IF(N46&lt;&gt;"",SUMPRODUCT((N$3:N$65&lt;&gt;"")*(G$3:G$65=G46)*(J$3:J$65&gt;J46))+1,IF(M46="P",SUMPRODUCT((O$3:O$65&lt;&gt;"")*(P$3:P$65="")*(G$3:G$65=G46))+SUMPRODUCT((P$3:P$65&lt;&gt;"")*(G$3:G$65=G46))+SUMPRODUCT((N$3:N$65&lt;&gt;"")*(G$3:G$65=G46))+SUMPRODUCT((P$3:P$65="")*(O$3:O$65="")*(N$3:N$65="")*(M$3:M$65="P")*(G$3:G$65=G46)*(J$3:J$65&gt;J46))+IF(H46="L5",SUMPRODUCT((P$3:P$65="")*(O$3:O$65="")*(N$3:N$65="")*(M$3:M$65="P")*(G$3:G$65=G46)*(J$3:J$65&lt;J46)*(H$3:H$65&lt;&gt;H46)),-1*SUMPRODUCT((P$3:P$65="")*(O$3:O$65="")*(N$3:N$65="")*(M$3:M$65="P")*(G$3:G$65=G46)*(J$3:J$65&gt;J46)*(H$3:H$65="L5")))+1,""))))</f>
        <v>4</v>
      </c>
      <c r="C46" s="36" t="s">
        <v>86</v>
      </c>
      <c r="D46" s="36" t="str">
        <f>IF(E46="","",VLOOKUP(E46,'Coaching Points'!A:B,2,0))</f>
        <v>QC</v>
      </c>
      <c r="E46" s="36" t="s">
        <v>96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65</v>
      </c>
      <c r="I46" s="43"/>
      <c r="J46" s="4">
        <f>R46+S46+IF(OR(H46="Junior",H46="Senior"),0.0002,IF(OR(H46="L7",H46="L6"),0.0001,0))+MAX(X46,Z46)*0.0000001</f>
        <v>72.000200000000007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N46" s="39">
        <v>1</v>
      </c>
      <c r="Q46" s="1" t="str">
        <f>IF(A46&lt;5,IF(_xlfn.MAXIFS(A:A,G:G,G46)&gt;3,5-A46,_xlfn.MAXIFS(A:A,G:G,G46)+1-A46),"")</f>
        <v/>
      </c>
      <c r="R46" s="4">
        <f>MAX(T46,X46)</f>
        <v>26.2</v>
      </c>
      <c r="S46" s="4">
        <f>IF(R46=T46,MAX(V46,X46,Z46),IF(R46=X46,MAX(T46,V46,Z46),0))</f>
        <v>45.8</v>
      </c>
      <c r="T46" s="33">
        <v>26.2</v>
      </c>
      <c r="U46" s="40">
        <v>7.6</v>
      </c>
      <c r="V46" s="34">
        <v>45.8</v>
      </c>
      <c r="W46" s="40">
        <v>10.8</v>
      </c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$65&lt;&gt;"")*(G$3:G$65=G47)*(J$3:J$65&gt;J47)*(I$3:I$65="P"))+1,IF(O47&lt;&gt;"",SUMPRODUCT((O$3:O$65&lt;&gt;"")*(P$3:P$65="")*(G$3:G$65=G47)*(J$3:J$65&gt;J47)*(I$3:I$65="P"))+SUMPRODUCT((P$3:P$65&lt;&gt;"")*(G$3:G$65=G47)*(I$3:I$65="P"))+1,IF(N47&lt;&gt;"",SUMPRODUCT((N$3:N$65&lt;&gt;"")*(G$3:G$65=G47)*(J$3:J$65&gt;J47)*(I$3:I$65="P"))+1,IF(M47="P",SUMPRODUCT((O$3:O$65&lt;&gt;"")*(P$3:P$65="")*(G$3:G$65=G47)*(I$3:I$65="P"))+SUMPRODUCT((P$3:P$65&lt;&gt;"")*(G$3:G$65=G47)*(I$3:I$65="P"))+SUMPRODUCT((N$3:N$65&lt;&gt;"")*(G$3:G$65=G47)*(I$3:I$65="P"))+SUMPRODUCT((P$3:P$65="")*(O$3:O$65="")*(N$3:N$65="")*(M$3:M$65="P")*(G$3:G$65=G47)*(J$3:J$65&gt;J47)*(I$3:I$65="P"))+IF(H47="L5",SUMPRODUCT((P$3:P$65="")*(O$3:O$65="")*(N$3:N$65="")*(M$3:M$65="P")*(G$3:G$65=G47)*(J$3:J$65&lt;J47)*(H$3:H$65&lt;&gt;H47)*(I$3:I$65="P")),-1*SUMPRODUCT((P$3:P$65="")*(O$3:O$65="")*(N$3:N$65="")*(M$3:M$65="P")*(G$3:G$65=G47)*(J$3:J$65&gt;J47)*(H$3:H$65="L5")*(I$3:I$65="P")))+1,"")))))</f>
        <v/>
      </c>
      <c r="B47" s="1" cm="1">
        <f t="array" ref="B47">IF(P47&lt;&gt;"",SUMPRODUCT((P$3:P$65&lt;&gt;"")*(G$3:G$65=G47)*(J$3:J$65&gt;J47))+1,IF(O47&lt;&gt;"",SUMPRODUCT((O$3:O$65&lt;&gt;"")*(P$3:P$65="")*(G$3:G$65=G47)*(J$3:J$65&gt;J47))+SUMPRODUCT((P$3:P$65&lt;&gt;"")*(G$3:G$65=G47))+1,IF(N47&lt;&gt;"",SUMPRODUCT((N$3:N$65&lt;&gt;"")*(G$3:G$65=G47)*(J$3:J$65&gt;J47))+1,IF(M47="P",SUMPRODUCT((O$3:O$65&lt;&gt;"")*(P$3:P$65="")*(G$3:G$65=G47))+SUMPRODUCT((P$3:P$65&lt;&gt;"")*(G$3:G$65=G47))+SUMPRODUCT((N$3:N$65&lt;&gt;"")*(G$3:G$65=G47))+SUMPRODUCT((P$3:P$65="")*(O$3:O$65="")*(N$3:N$65="")*(M$3:M$65="P")*(G$3:G$65=G47)*(J$3:J$65&gt;J47))+IF(H47="L5",SUMPRODUCT((P$3:P$65="")*(O$3:O$65="")*(N$3:N$65="")*(M$3:M$65="P")*(G$3:G$65=G47)*(J$3:J$65&lt;J47)*(H$3:H$65&lt;&gt;H47)),-1*SUMPRODUCT((P$3:P$65="")*(O$3:O$65="")*(N$3:N$65="")*(M$3:M$65="P")*(G$3:G$65=G47)*(J$3:J$65&gt;J47)*(H$3:H$65="L5")))+1,""))))</f>
        <v>5</v>
      </c>
      <c r="C47" s="36" t="s">
        <v>278</v>
      </c>
      <c r="D47" s="36" t="str">
        <f>IF(E47="","",VLOOKUP(E47,'Coaching Points'!A:B,2,0))</f>
        <v>AB</v>
      </c>
      <c r="E47" s="36" t="s">
        <v>64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67</v>
      </c>
      <c r="I47" s="43"/>
      <c r="J47" s="4">
        <f>R47+S47+IF(OR(H47="Junior",H47="Senior"),0.0002,IF(OR(H47="L7",H47="L6"),0.0001,0))+MAX(X47,Z47)*0.0000001</f>
        <v>93.400100000000009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1" t="str">
        <f>IF(A47&lt;5,IF(_xlfn.MAXIFS(A:A,G:G,G47)&gt;3,5-A47,_xlfn.MAXIFS(A:A,G:G,G47)+1-A47),"")</f>
        <v/>
      </c>
      <c r="R47" s="4">
        <f>MAX(T47,X47)</f>
        <v>47.5</v>
      </c>
      <c r="S47" s="4">
        <f>IF(R47=T47,MAX(V47,X47,Z47),IF(R47=X47,MAX(T47,V47,Z47),0))</f>
        <v>45.9</v>
      </c>
      <c r="T47" s="33">
        <v>47.5</v>
      </c>
      <c r="U47" s="40">
        <v>10.4</v>
      </c>
      <c r="V47" s="34">
        <v>45.9</v>
      </c>
      <c r="W47" s="40">
        <v>9.5</v>
      </c>
      <c r="X47" s="33"/>
      <c r="Y47" s="40"/>
      <c r="Z47" s="34"/>
      <c r="AA47" s="37"/>
    </row>
    <row r="48" spans="1:27" x14ac:dyDescent="0.2">
      <c r="A48" s="1" t="str" cm="1">
        <f t="array" ref="A48">IF(I48="","",IF(P48&lt;&gt;"",SUMPRODUCT((P$3:P$65&lt;&gt;"")*(G$3:G$65=G48)*(J$3:J$65&gt;J48)*(I$3:I$65="P"))+1,IF(O48&lt;&gt;"",SUMPRODUCT((O$3:O$65&lt;&gt;"")*(P$3:P$65="")*(G$3:G$65=G48)*(J$3:J$65&gt;J48)*(I$3:I$65="P"))+SUMPRODUCT((P$3:P$65&lt;&gt;"")*(G$3:G$65=G48)*(I$3:I$65="P"))+1,IF(N48&lt;&gt;"",SUMPRODUCT((N$3:N$65&lt;&gt;"")*(G$3:G$65=G48)*(J$3:J$65&gt;J48)*(I$3:I$65="P"))+1,IF(M48="P",SUMPRODUCT((O$3:O$65&lt;&gt;"")*(P$3:P$65="")*(G$3:G$65=G48)*(I$3:I$65="P"))+SUMPRODUCT((P$3:P$65&lt;&gt;"")*(G$3:G$65=G48)*(I$3:I$65="P"))+SUMPRODUCT((N$3:N$65&lt;&gt;"")*(G$3:G$65=G48)*(I$3:I$65="P"))+SUMPRODUCT((P$3:P$65="")*(O$3:O$65="")*(N$3:N$65="")*(M$3:M$65="P")*(G$3:G$65=G48)*(J$3:J$65&gt;J48)*(I$3:I$65="P"))+IF(H48="L5",SUMPRODUCT((P$3:P$65="")*(O$3:O$65="")*(N$3:N$65="")*(M$3:M$65="P")*(G$3:G$65=G48)*(J$3:J$65&lt;J48)*(H$3:H$65&lt;&gt;H48)*(I$3:I$65="P")),-1*SUMPRODUCT((P$3:P$65="")*(O$3:O$65="")*(N$3:N$65="")*(M$3:M$65="P")*(G$3:G$65=G48)*(J$3:J$65&gt;J48)*(H$3:H$65="L5")*(I$3:I$65="P")))+1,"")))))</f>
        <v/>
      </c>
      <c r="B48" s="1" t="str" cm="1">
        <f t="array" ref="B48">IF(P48&lt;&gt;"",SUMPRODUCT((P$3:P$65&lt;&gt;"")*(G$3:G$65=G48)*(J$3:J$65&gt;J48))+1,IF(O48&lt;&gt;"",SUMPRODUCT((O$3:O$65&lt;&gt;"")*(P$3:P$65="")*(G$3:G$65=G48)*(J$3:J$65&gt;J48))+SUMPRODUCT((P$3:P$65&lt;&gt;"")*(G$3:G$65=G48))+1,IF(N48&lt;&gt;"",SUMPRODUCT((N$3:N$65&lt;&gt;"")*(G$3:G$65=G48)*(J$3:J$65&gt;J48))+1,IF(M48="P",SUMPRODUCT((O$3:O$65&lt;&gt;"")*(P$3:P$65="")*(G$3:G$65=G48))+SUMPRODUCT((P$3:P$65&lt;&gt;"")*(G$3:G$65=G48))+SUMPRODUCT((N$3:N$65&lt;&gt;"")*(G$3:G$65=G48))+SUMPRODUCT((P$3:P$65="")*(O$3:O$65="")*(N$3:N$65="")*(M$3:M$65="P")*(G$3:G$65=G48)*(J$3:J$65&gt;J48))+IF(H48="L5",SUMPRODUCT((P$3:P$65="")*(O$3:O$65="")*(N$3:N$65="")*(M$3:M$65="P")*(G$3:G$65=G48)*(J$3:J$65&lt;J48)*(H$3:H$65&lt;&gt;H48)),-1*SUMPRODUCT((P$3:P$65="")*(O$3:O$65="")*(N$3:N$65="")*(M$3:M$65="P")*(G$3:G$65=G48)*(J$3:J$65&gt;J48)*(H$3:H$65="L5")))+1,""))))</f>
        <v/>
      </c>
      <c r="C48" s="36" t="s">
        <v>80</v>
      </c>
      <c r="D48" s="36" t="str">
        <f>IF(E48="","",VLOOKUP(E48,'Coaching Points'!A:B,2,0))</f>
        <v>QC</v>
      </c>
      <c r="E48" s="36" t="s">
        <v>3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67</v>
      </c>
      <c r="I48" s="43"/>
      <c r="J48" s="4">
        <f>R48+S48+IF(OR(H48="Junior",H48="Senior"),0.0002,IF(OR(H48="L7",H48="L6"),0.0001,0))+MAX(X48,Z48)*0.0000001</f>
        <v>91.700099999999992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MAX(T48,X48)</f>
        <v>46.4</v>
      </c>
      <c r="S48" s="4">
        <f>IF(R48=T48,MAX(V48,X48,Z48),IF(R48=X48,MAX(T48,V48,Z48),0))</f>
        <v>45.3</v>
      </c>
      <c r="T48" s="33">
        <v>46.4</v>
      </c>
      <c r="U48" s="40">
        <v>9.5</v>
      </c>
      <c r="V48" s="34">
        <v>45.3</v>
      </c>
      <c r="W48" s="40">
        <v>8.6999999999999993</v>
      </c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$65&lt;&gt;"")*(G$3:G$65=G49)*(J$3:J$65&gt;J49)*(I$3:I$65="P"))+1,IF(O49&lt;&gt;"",SUMPRODUCT((O$3:O$65&lt;&gt;"")*(P$3:P$65="")*(G$3:G$65=G49)*(J$3:J$65&gt;J49)*(I$3:I$65="P"))+SUMPRODUCT((P$3:P$65&lt;&gt;"")*(G$3:G$65=G49)*(I$3:I$65="P"))+1,IF(N49&lt;&gt;"",SUMPRODUCT((N$3:N$65&lt;&gt;"")*(G$3:G$65=G49)*(J$3:J$65&gt;J49)*(I$3:I$65="P"))+1,IF(M49="P",SUMPRODUCT((O$3:O$65&lt;&gt;"")*(P$3:P$65="")*(G$3:G$65=G49)*(I$3:I$65="P"))+SUMPRODUCT((P$3:P$65&lt;&gt;"")*(G$3:G$65=G49)*(I$3:I$65="P"))+SUMPRODUCT((N$3:N$65&lt;&gt;"")*(G$3:G$65=G49)*(I$3:I$65="P"))+SUMPRODUCT((P$3:P$65="")*(O$3:O$65="")*(N$3:N$65="")*(M$3:M$65="P")*(G$3:G$65=G49)*(J$3:J$65&gt;J49)*(I$3:I$65="P"))+IF(H49="L5",SUMPRODUCT((P$3:P$65="")*(O$3:O$65="")*(N$3:N$65="")*(M$3:M$65="P")*(G$3:G$65=G49)*(J$3:J$65&lt;J49)*(H$3:H$65&lt;&gt;H49)*(I$3:I$65="P")),-1*SUMPRODUCT((P$3:P$65="")*(O$3:O$65="")*(N$3:N$65="")*(M$3:M$65="P")*(G$3:G$65=G49)*(J$3:J$65&gt;J49)*(H$3:H$65="L5")*(I$3:I$65="P")))+1,"")))))</f>
        <v/>
      </c>
      <c r="B49" s="1" t="str" cm="1">
        <f t="array" ref="B49">IF(P49&lt;&gt;"",SUMPRODUCT((P$3:P$65&lt;&gt;"")*(G$3:G$65=G49)*(J$3:J$65&gt;J49))+1,IF(O49&lt;&gt;"",SUMPRODUCT((O$3:O$65&lt;&gt;"")*(P$3:P$65="")*(G$3:G$65=G49)*(J$3:J$65&gt;J49))+SUMPRODUCT((P$3:P$65&lt;&gt;"")*(G$3:G$65=G49))+1,IF(N49&lt;&gt;"",SUMPRODUCT((N$3:N$65&lt;&gt;"")*(G$3:G$65=G49)*(J$3:J$65&gt;J49))+1,IF(M49="P",SUMPRODUCT((O$3:O$65&lt;&gt;"")*(P$3:P$65="")*(G$3:G$65=G49))+SUMPRODUCT((P$3:P$65&lt;&gt;"")*(G$3:G$65=G49))+SUMPRODUCT((N$3:N$65&lt;&gt;"")*(G$3:G$65=G49))+SUMPRODUCT((P$3:P$65="")*(O$3:O$65="")*(N$3:N$65="")*(M$3:M$65="P")*(G$3:G$65=G49)*(J$3:J$65&gt;J49))+IF(H49="L5",SUMPRODUCT((P$3:P$65="")*(O$3:O$65="")*(N$3:N$65="")*(M$3:M$65="P")*(G$3:G$65=G49)*(J$3:J$65&lt;J49)*(H$3:H$65&lt;&gt;H49)),-1*SUMPRODUCT((P$3:P$65="")*(O$3:O$65="")*(N$3:N$65="")*(M$3:M$65="P")*(G$3:G$65=G49)*(J$3:J$65&gt;J49)*(H$3:H$65="L5")))+1,""))))</f>
        <v/>
      </c>
      <c r="C49" s="36" t="s">
        <v>89</v>
      </c>
      <c r="D49" s="36" t="str">
        <f>IF(E49="","",VLOOKUP(E49,'Coaching Points'!A:B,2,0))</f>
        <v>BC</v>
      </c>
      <c r="E49" s="36" t="s">
        <v>62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67</v>
      </c>
      <c r="I49" s="43"/>
      <c r="J49" s="4">
        <f>R49+S49+IF(OR(H49="Junior",H49="Senior"),0.0002,IF(OR(H49="L7",H49="L6"),0.0001,0))+MAX(X49,Z49)*0.0000001</f>
        <v>91.400100000000009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MAX(T49,X49)</f>
        <v>45.7</v>
      </c>
      <c r="S49" s="4">
        <f>IF(R49=T49,MAX(V49,X49,Z49),IF(R49=X49,MAX(T49,V49,Z49),0))</f>
        <v>45.7</v>
      </c>
      <c r="T49" s="33">
        <v>45.7</v>
      </c>
      <c r="U49" s="40">
        <v>10</v>
      </c>
      <c r="V49" s="34">
        <v>45.7</v>
      </c>
      <c r="W49" s="40">
        <v>9.1</v>
      </c>
      <c r="X49" s="33"/>
      <c r="Y49" s="40"/>
      <c r="Z49" s="34"/>
      <c r="AA49" s="37"/>
    </row>
    <row r="50" spans="1:27" x14ac:dyDescent="0.2">
      <c r="A50" s="1" t="str" cm="1">
        <f t="array" ref="A50">IF(I50="","",IF(P50&lt;&gt;"",SUMPRODUCT((P$3:P$65&lt;&gt;"")*(G$3:G$65=G50)*(J$3:J$65&gt;J50)*(I$3:I$65="P"))+1,IF(O50&lt;&gt;"",SUMPRODUCT((O$3:O$65&lt;&gt;"")*(P$3:P$65="")*(G$3:G$65=G50)*(J$3:J$65&gt;J50)*(I$3:I$65="P"))+SUMPRODUCT((P$3:P$65&lt;&gt;"")*(G$3:G$65=G50)*(I$3:I$65="P"))+1,IF(N50&lt;&gt;"",SUMPRODUCT((N$3:N$65&lt;&gt;"")*(G$3:G$65=G50)*(J$3:J$65&gt;J50)*(I$3:I$65="P"))+1,IF(M50="P",SUMPRODUCT((O$3:O$65&lt;&gt;"")*(P$3:P$65="")*(G$3:G$65=G50)*(I$3:I$65="P"))+SUMPRODUCT((P$3:P$65&lt;&gt;"")*(G$3:G$65=G50)*(I$3:I$65="P"))+SUMPRODUCT((N$3:N$65&lt;&gt;"")*(G$3:G$65=G50)*(I$3:I$65="P"))+SUMPRODUCT((P$3:P$65="")*(O$3:O$65="")*(N$3:N$65="")*(M$3:M$65="P")*(G$3:G$65=G50)*(J$3:J$65&gt;J50)*(I$3:I$65="P"))+IF(H50="L5",SUMPRODUCT((P$3:P$65="")*(O$3:O$65="")*(N$3:N$65="")*(M$3:M$65="P")*(G$3:G$65=G50)*(J$3:J$65&lt;J50)*(H$3:H$65&lt;&gt;H50)*(I$3:I$65="P")),-1*SUMPRODUCT((P$3:P$65="")*(O$3:O$65="")*(N$3:N$65="")*(M$3:M$65="P")*(G$3:G$65=G50)*(J$3:J$65&gt;J50)*(H$3:H$65="L5")*(I$3:I$65="P")))+1,"")))))</f>
        <v/>
      </c>
      <c r="B50" s="1" t="str" cm="1">
        <f t="array" ref="B50">IF(P50&lt;&gt;"",SUMPRODUCT((P$3:P$65&lt;&gt;"")*(G$3:G$65=G50)*(J$3:J$65&gt;J50))+1,IF(O50&lt;&gt;"",SUMPRODUCT((O$3:O$65&lt;&gt;"")*(P$3:P$65="")*(G$3:G$65=G50)*(J$3:J$65&gt;J50))+SUMPRODUCT((P$3:P$65&lt;&gt;"")*(G$3:G$65=G50))+1,IF(N50&lt;&gt;"",SUMPRODUCT((N$3:N$65&lt;&gt;"")*(G$3:G$65=G50)*(J$3:J$65&gt;J50))+1,IF(M50="P",SUMPRODUCT((O$3:O$65&lt;&gt;"")*(P$3:P$65="")*(G$3:G$65=G50))+SUMPRODUCT((P$3:P$65&lt;&gt;"")*(G$3:G$65=G50))+SUMPRODUCT((N$3:N$65&lt;&gt;"")*(G$3:G$65=G50))+SUMPRODUCT((P$3:P$65="")*(O$3:O$65="")*(N$3:N$65="")*(M$3:M$65="P")*(G$3:G$65=G50)*(J$3:J$65&gt;J50))+IF(H50="L5",SUMPRODUCT((P$3:P$65="")*(O$3:O$65="")*(N$3:N$65="")*(M$3:M$65="P")*(G$3:G$65=G50)*(J$3:J$65&lt;J50)*(H$3:H$65&lt;&gt;H50)),-1*SUMPRODUCT((P$3:P$65="")*(O$3:O$65="")*(N$3:N$65="")*(M$3:M$65="P")*(G$3:G$65=G50)*(J$3:J$65&gt;J50)*(H$3:H$65="L5")))+1,""))))</f>
        <v/>
      </c>
      <c r="C50" s="36" t="s">
        <v>163</v>
      </c>
      <c r="D50" s="36" t="str">
        <f>IF(E50="","",VLOOKUP(E50,'Coaching Points'!A:B,2,0))</f>
        <v>AB</v>
      </c>
      <c r="E50" s="36" t="s">
        <v>64</v>
      </c>
      <c r="F50" s="35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67</v>
      </c>
      <c r="I50" s="43"/>
      <c r="J50" s="4">
        <f>R50+S50+IF(OR(H50="Junior",H50="Senior"),0.0002,IF(OR(H50="L7",H50="L6"),0.0001,0))+MAX(X50,Z50)*0.0000001</f>
        <v>89.400100000000009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MAX(T50,X50)</f>
        <v>46</v>
      </c>
      <c r="S50" s="4">
        <f>IF(R50=T50,MAX(V50,X50,Z50),IF(R50=X50,MAX(T50,V50,Z50),0))</f>
        <v>43.4</v>
      </c>
      <c r="T50" s="33">
        <v>46</v>
      </c>
      <c r="U50" s="40">
        <v>8.3000000000000007</v>
      </c>
      <c r="V50" s="34">
        <v>43.4</v>
      </c>
      <c r="W50" s="40">
        <v>7.4</v>
      </c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$65&lt;&gt;"")*(G$3:G$65=G51)*(J$3:J$65&gt;J51)*(I$3:I$65="P"))+1,IF(O51&lt;&gt;"",SUMPRODUCT((O$3:O$65&lt;&gt;"")*(P$3:P$65="")*(G$3:G$65=G51)*(J$3:J$65&gt;J51)*(I$3:I$65="P"))+SUMPRODUCT((P$3:P$65&lt;&gt;"")*(G$3:G$65=G51)*(I$3:I$65="P"))+1,IF(N51&lt;&gt;"",SUMPRODUCT((N$3:N$65&lt;&gt;"")*(G$3:G$65=G51)*(J$3:J$65&gt;J51)*(I$3:I$65="P"))+1,IF(M51="P",SUMPRODUCT((O$3:O$65&lt;&gt;"")*(P$3:P$65="")*(G$3:G$65=G51)*(I$3:I$65="P"))+SUMPRODUCT((P$3:P$65&lt;&gt;"")*(G$3:G$65=G51)*(I$3:I$65="P"))+SUMPRODUCT((N$3:N$65&lt;&gt;"")*(G$3:G$65=G51)*(I$3:I$65="P"))+SUMPRODUCT((P$3:P$65="")*(O$3:O$65="")*(N$3:N$65="")*(M$3:M$65="P")*(G$3:G$65=G51)*(J$3:J$65&gt;J51)*(I$3:I$65="P"))+IF(H51="L5",SUMPRODUCT((P$3:P$65="")*(O$3:O$65="")*(N$3:N$65="")*(M$3:M$65="P")*(G$3:G$65=G51)*(J$3:J$65&lt;J51)*(H$3:H$65&lt;&gt;H51)*(I$3:I$65="P")),-1*SUMPRODUCT((P$3:P$65="")*(O$3:O$65="")*(N$3:N$65="")*(M$3:M$65="P")*(G$3:G$65=G51)*(J$3:J$65&gt;J51)*(H$3:H$65="L5")*(I$3:I$65="P")))+1,"")))))</f>
        <v/>
      </c>
      <c r="B51" s="1" t="str" cm="1">
        <f t="array" ref="B51">IF(P51&lt;&gt;"",SUMPRODUCT((P$3:P$65&lt;&gt;"")*(G$3:G$65=G51)*(J$3:J$65&gt;J51))+1,IF(O51&lt;&gt;"",SUMPRODUCT((O$3:O$65&lt;&gt;"")*(P$3:P$65="")*(G$3:G$65=G51)*(J$3:J$65&gt;J51))+SUMPRODUCT((P$3:P$65&lt;&gt;"")*(G$3:G$65=G51))+1,IF(N51&lt;&gt;"",SUMPRODUCT((N$3:N$65&lt;&gt;"")*(G$3:G$65=G51)*(J$3:J$65&gt;J51))+1,IF(M51="P",SUMPRODUCT((O$3:O$65&lt;&gt;"")*(P$3:P$65="")*(G$3:G$65=G51))+SUMPRODUCT((P$3:P$65&lt;&gt;"")*(G$3:G$65=G51))+SUMPRODUCT((N$3:N$65&lt;&gt;"")*(G$3:G$65=G51))+SUMPRODUCT((P$3:P$65="")*(O$3:O$65="")*(N$3:N$65="")*(M$3:M$65="P")*(G$3:G$65=G51)*(J$3:J$65&gt;J51))+IF(H51="L5",SUMPRODUCT((P$3:P$65="")*(O$3:O$65="")*(N$3:N$65="")*(M$3:M$65="P")*(G$3:G$65=G51)*(J$3:J$65&lt;J51)*(H$3:H$65&lt;&gt;H51)),-1*SUMPRODUCT((P$3:P$65="")*(O$3:O$65="")*(N$3:N$65="")*(M$3:M$65="P")*(G$3:G$65=G51)*(J$3:J$65&gt;J51)*(H$3:H$65="L5")))+1,""))))</f>
        <v/>
      </c>
      <c r="C51" s="36" t="s">
        <v>81</v>
      </c>
      <c r="D51" s="36" t="str">
        <f>IF(E51="","",VLOOKUP(E51,'Coaching Points'!A:B,2,0))</f>
        <v>ON</v>
      </c>
      <c r="E51" s="36" t="s">
        <v>47</v>
      </c>
      <c r="F51" s="35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>R51+S51+IF(OR(H51="Junior",H51="Senior"),0.0002,IF(OR(H51="L7",H51="L6"),0.0001,0))+MAX(X51,Z51)*0.0000001</f>
        <v>89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MAX(T51,X51)</f>
        <v>44.8</v>
      </c>
      <c r="S51" s="4">
        <f>IF(R51=T51,MAX(V51,X51,Z51),IF(R51=X51,MAX(T51,V51,Z51),0))</f>
        <v>44.2</v>
      </c>
      <c r="T51" s="33">
        <v>44.8</v>
      </c>
      <c r="U51" s="40">
        <v>7.1</v>
      </c>
      <c r="V51" s="34">
        <v>44.2</v>
      </c>
      <c r="W51" s="40">
        <v>6.9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$65&lt;&gt;"")*(G$3:G$65=G52)*(J$3:J$65&gt;J52)*(I$3:I$65="P"))+1,IF(O52&lt;&gt;"",SUMPRODUCT((O$3:O$65&lt;&gt;"")*(P$3:P$65="")*(G$3:G$65=G52)*(J$3:J$65&gt;J52)*(I$3:I$65="P"))+SUMPRODUCT((P$3:P$65&lt;&gt;"")*(G$3:G$65=G52)*(I$3:I$65="P"))+1,IF(N52&lt;&gt;"",SUMPRODUCT((N$3:N$65&lt;&gt;"")*(G$3:G$65=G52)*(J$3:J$65&gt;J52)*(I$3:I$65="P"))+1,IF(M52="P",SUMPRODUCT((O$3:O$65&lt;&gt;"")*(P$3:P$65="")*(G$3:G$65=G52)*(I$3:I$65="P"))+SUMPRODUCT((P$3:P$65&lt;&gt;"")*(G$3:G$65=G52)*(I$3:I$65="P"))+SUMPRODUCT((N$3:N$65&lt;&gt;"")*(G$3:G$65=G52)*(I$3:I$65="P"))+SUMPRODUCT((P$3:P$65="")*(O$3:O$65="")*(N$3:N$65="")*(M$3:M$65="P")*(G$3:G$65=G52)*(J$3:J$65&gt;J52)*(I$3:I$65="P"))+IF(H52="L5",SUMPRODUCT((P$3:P$65="")*(O$3:O$65="")*(N$3:N$65="")*(M$3:M$65="P")*(G$3:G$65=G52)*(J$3:J$65&lt;J52)*(H$3:H$65&lt;&gt;H52)*(I$3:I$65="P")),-1*SUMPRODUCT((P$3:P$65="")*(O$3:O$65="")*(N$3:N$65="")*(M$3:M$65="P")*(G$3:G$65=G52)*(J$3:J$65&gt;J52)*(H$3:H$65="L5")*(I$3:I$65="P")))+1,"")))))</f>
        <v/>
      </c>
      <c r="B52" s="1" t="str" cm="1">
        <f t="array" ref="B52">IF(P52&lt;&gt;"",SUMPRODUCT((P$3:P$65&lt;&gt;"")*(G$3:G$65=G52)*(J$3:J$65&gt;J52))+1,IF(O52&lt;&gt;"",SUMPRODUCT((O$3:O$65&lt;&gt;"")*(P$3:P$65="")*(G$3:G$65=G52)*(J$3:J$65&gt;J52))+SUMPRODUCT((P$3:P$65&lt;&gt;"")*(G$3:G$65=G52))+1,IF(N52&lt;&gt;"",SUMPRODUCT((N$3:N$65&lt;&gt;"")*(G$3:G$65=G52)*(J$3:J$65&gt;J52))+1,IF(M52="P",SUMPRODUCT((O$3:O$65&lt;&gt;"")*(P$3:P$65="")*(G$3:G$65=G52))+SUMPRODUCT((P$3:P$65&lt;&gt;"")*(G$3:G$65=G52))+SUMPRODUCT((N$3:N$65&lt;&gt;"")*(G$3:G$65=G52))+SUMPRODUCT((P$3:P$65="")*(O$3:O$65="")*(N$3:N$65="")*(M$3:M$65="P")*(G$3:G$65=G52)*(J$3:J$65&gt;J52))+IF(H52="L5",SUMPRODUCT((P$3:P$65="")*(O$3:O$65="")*(N$3:N$65="")*(M$3:M$65="P")*(G$3:G$65=G52)*(J$3:J$65&lt;J52)*(H$3:H$65&lt;&gt;H52)),-1*SUMPRODUCT((P$3:P$65="")*(O$3:O$65="")*(N$3:N$65="")*(M$3:M$65="P")*(G$3:G$65=G52)*(J$3:J$65&gt;J52)*(H$3:H$65="L5")))+1,""))))</f>
        <v/>
      </c>
      <c r="C52" s="36" t="s">
        <v>265</v>
      </c>
      <c r="D52" s="36" t="str">
        <f>IF(E52="","",VLOOKUP(E52,'Coaching Points'!A:B,2,0))</f>
        <v>BC</v>
      </c>
      <c r="E52" s="36" t="s">
        <v>57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66</v>
      </c>
      <c r="I52" s="43"/>
      <c r="J52" s="4">
        <f>R52+S52+IF(OR(H52="Junior",H52="Senior"),0.0002,IF(OR(H52="L7",H52="L6"),0.0001,0))+MAX(X52,Z52)*0.0000001</f>
        <v>88.6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MAX(T52,X52)</f>
        <v>45</v>
      </c>
      <c r="S52" s="4">
        <f>IF(R52=T52,MAX(V52,X52,Z52),IF(R52=X52,MAX(T52,V52,Z52),0))</f>
        <v>43.6</v>
      </c>
      <c r="T52" s="33">
        <v>45</v>
      </c>
      <c r="U52" s="40">
        <v>8.1000000000000014</v>
      </c>
      <c r="V52" s="34">
        <v>43.6</v>
      </c>
      <c r="W52" s="40">
        <v>5.8000000000000007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$65&lt;&gt;"")*(G$3:G$65=G53)*(J$3:J$65&gt;J53)*(I$3:I$65="P"))+1,IF(O53&lt;&gt;"",SUMPRODUCT((O$3:O$65&lt;&gt;"")*(P$3:P$65="")*(G$3:G$65=G53)*(J$3:J$65&gt;J53)*(I$3:I$65="P"))+SUMPRODUCT((P$3:P$65&lt;&gt;"")*(G$3:G$65=G53)*(I$3:I$65="P"))+1,IF(N53&lt;&gt;"",SUMPRODUCT((N$3:N$65&lt;&gt;"")*(G$3:G$65=G53)*(J$3:J$65&gt;J53)*(I$3:I$65="P"))+1,IF(M53="P",SUMPRODUCT((O$3:O$65&lt;&gt;"")*(P$3:P$65="")*(G$3:G$65=G53)*(I$3:I$65="P"))+SUMPRODUCT((P$3:P$65&lt;&gt;"")*(G$3:G$65=G53)*(I$3:I$65="P"))+SUMPRODUCT((N$3:N$65&lt;&gt;"")*(G$3:G$65=G53)*(I$3:I$65="P"))+SUMPRODUCT((P$3:P$65="")*(O$3:O$65="")*(N$3:N$65="")*(M$3:M$65="P")*(G$3:G$65=G53)*(J$3:J$65&gt;J53)*(I$3:I$65="P"))+IF(H53="L5",SUMPRODUCT((P$3:P$65="")*(O$3:O$65="")*(N$3:N$65="")*(M$3:M$65="P")*(G$3:G$65=G53)*(J$3:J$65&lt;J53)*(H$3:H$65&lt;&gt;H53)*(I$3:I$65="P")),-1*SUMPRODUCT((P$3:P$65="")*(O$3:O$65="")*(N$3:N$65="")*(M$3:M$65="P")*(G$3:G$65=G53)*(J$3:J$65&gt;J53)*(H$3:H$65="L5")*(I$3:I$65="P")))+1,"")))))</f>
        <v/>
      </c>
      <c r="B53" s="1" t="str" cm="1">
        <f t="array" ref="B53">IF(P53&lt;&gt;"",SUMPRODUCT((P$3:P$65&lt;&gt;"")*(G$3:G$65=G53)*(J$3:J$65&gt;J53))+1,IF(O53&lt;&gt;"",SUMPRODUCT((O$3:O$65&lt;&gt;"")*(P$3:P$65="")*(G$3:G$65=G53)*(J$3:J$65&gt;J53))+SUMPRODUCT((P$3:P$65&lt;&gt;"")*(G$3:G$65=G53))+1,IF(N53&lt;&gt;"",SUMPRODUCT((N$3:N$65&lt;&gt;"")*(G$3:G$65=G53)*(J$3:J$65&gt;J53))+1,IF(M53="P",SUMPRODUCT((O$3:O$65&lt;&gt;"")*(P$3:P$65="")*(G$3:G$65=G53))+SUMPRODUCT((P$3:P$65&lt;&gt;"")*(G$3:G$65=G53))+SUMPRODUCT((N$3:N$65&lt;&gt;"")*(G$3:G$65=G53))+SUMPRODUCT((P$3:P$65="")*(O$3:O$65="")*(N$3:N$65="")*(M$3:M$65="P")*(G$3:G$65=G53)*(J$3:J$65&gt;J53))+IF(H53="L5",SUMPRODUCT((P$3:P$65="")*(O$3:O$65="")*(N$3:N$65="")*(M$3:M$65="P")*(G$3:G$65=G53)*(J$3:J$65&lt;J53)*(H$3:H$65&lt;&gt;H53)),-1*SUMPRODUCT((P$3:P$65="")*(O$3:O$65="")*(N$3:N$65="")*(M$3:M$65="P")*(G$3:G$65=G53)*(J$3:J$65&gt;J53)*(H$3:H$65="L5")))+1,""))))</f>
        <v/>
      </c>
      <c r="C53" s="36" t="s">
        <v>79</v>
      </c>
      <c r="D53" s="36" t="str">
        <f>IF(E53="","",VLOOKUP(E53,'Coaching Points'!A:B,2,0))</f>
        <v>ON</v>
      </c>
      <c r="E53" s="36" t="s">
        <v>47</v>
      </c>
      <c r="F53" s="35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66</v>
      </c>
      <c r="I53" s="43"/>
      <c r="J53" s="4">
        <f>R53+S53+IF(OR(H53="Junior",H53="Senior"),0.0002,IF(OR(H53="L7",H53="L6"),0.0001,0))+MAX(X53,Z53)*0.0000001</f>
        <v>88.5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MAX(T53,X53)</f>
        <v>45.6</v>
      </c>
      <c r="S53" s="4">
        <f>IF(R53=T53,MAX(V53,X53,Z53),IF(R53=X53,MAX(T53,V53,Z53),0))</f>
        <v>42.9</v>
      </c>
      <c r="T53" s="33">
        <v>45.6</v>
      </c>
      <c r="U53" s="40">
        <v>7.9</v>
      </c>
      <c r="V53" s="34">
        <v>42.9</v>
      </c>
      <c r="W53" s="40">
        <v>7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$65&lt;&gt;"")*(G$3:G$65=G54)*(J$3:J$65&gt;J54)*(I$3:I$65="P"))+1,IF(O54&lt;&gt;"",SUMPRODUCT((O$3:O$65&lt;&gt;"")*(P$3:P$65="")*(G$3:G$65=G54)*(J$3:J$65&gt;J54)*(I$3:I$65="P"))+SUMPRODUCT((P$3:P$65&lt;&gt;"")*(G$3:G$65=G54)*(I$3:I$65="P"))+1,IF(N54&lt;&gt;"",SUMPRODUCT((N$3:N$65&lt;&gt;"")*(G$3:G$65=G54)*(J$3:J$65&gt;J54)*(I$3:I$65="P"))+1,IF(M54="P",SUMPRODUCT((O$3:O$65&lt;&gt;"")*(P$3:P$65="")*(G$3:G$65=G54)*(I$3:I$65="P"))+SUMPRODUCT((P$3:P$65&lt;&gt;"")*(G$3:G$65=G54)*(I$3:I$65="P"))+SUMPRODUCT((N$3:N$65&lt;&gt;"")*(G$3:G$65=G54)*(I$3:I$65="P"))+SUMPRODUCT((P$3:P$65="")*(O$3:O$65="")*(N$3:N$65="")*(M$3:M$65="P")*(G$3:G$65=G54)*(J$3:J$65&gt;J54)*(I$3:I$65="P"))+IF(H54="L5",SUMPRODUCT((P$3:P$65="")*(O$3:O$65="")*(N$3:N$65="")*(M$3:M$65="P")*(G$3:G$65=G54)*(J$3:J$65&lt;J54)*(H$3:H$65&lt;&gt;H54)*(I$3:I$65="P")),-1*SUMPRODUCT((P$3:P$65="")*(O$3:O$65="")*(N$3:N$65="")*(M$3:M$65="P")*(G$3:G$65=G54)*(J$3:J$65&gt;J54)*(H$3:H$65="L5")*(I$3:I$65="P")))+1,"")))))</f>
        <v/>
      </c>
      <c r="B54" s="1" t="str" cm="1">
        <f t="array" ref="B54">IF(P54&lt;&gt;"",SUMPRODUCT((P$3:P$65&lt;&gt;"")*(G$3:G$65=G54)*(J$3:J$65&gt;J54))+1,IF(O54&lt;&gt;"",SUMPRODUCT((O$3:O$65&lt;&gt;"")*(P$3:P$65="")*(G$3:G$65=G54)*(J$3:J$65&gt;J54))+SUMPRODUCT((P$3:P$65&lt;&gt;"")*(G$3:G$65=G54))+1,IF(N54&lt;&gt;"",SUMPRODUCT((N$3:N$65&lt;&gt;"")*(G$3:G$65=G54)*(J$3:J$65&gt;J54))+1,IF(M54="P",SUMPRODUCT((O$3:O$65&lt;&gt;"")*(P$3:P$65="")*(G$3:G$65=G54))+SUMPRODUCT((P$3:P$65&lt;&gt;"")*(G$3:G$65=G54))+SUMPRODUCT((N$3:N$65&lt;&gt;"")*(G$3:G$65=G54))+SUMPRODUCT((P$3:P$65="")*(O$3:O$65="")*(N$3:N$65="")*(M$3:M$65="P")*(G$3:G$65=G54)*(J$3:J$65&gt;J54))+IF(H54="L5",SUMPRODUCT((P$3:P$65="")*(O$3:O$65="")*(N$3:N$65="")*(M$3:M$65="P")*(G$3:G$65=G54)*(J$3:J$65&lt;J54)*(H$3:H$65&lt;&gt;H54)),-1*SUMPRODUCT((P$3:P$65="")*(O$3:O$65="")*(N$3:N$65="")*(M$3:M$65="P")*(G$3:G$65=G54)*(J$3:J$65&gt;J54)*(H$3:H$65="L5")))+1,""))))</f>
        <v/>
      </c>
      <c r="C54" s="36" t="s">
        <v>223</v>
      </c>
      <c r="D54" s="36" t="str">
        <f>IF(E54="","",VLOOKUP(E54,'Coaching Points'!A:B,2,0))</f>
        <v>SK</v>
      </c>
      <c r="E54" s="36" t="s">
        <v>60</v>
      </c>
      <c r="F54" s="35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67</v>
      </c>
      <c r="I54" s="43"/>
      <c r="J54" s="4">
        <f>R54+S54+IF(OR(H54="Junior",H54="Senior"),0.0002,IF(OR(H54="L7",H54="L6"),0.0001,0))+MAX(X54,Z54)*0.0000001</f>
        <v>88.200100000000006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MAX(T54,X54)</f>
        <v>44</v>
      </c>
      <c r="S54" s="4">
        <f>IF(R54=T54,MAX(V54,X54,Z54),IF(R54=X54,MAX(T54,V54,Z54),0))</f>
        <v>44.2</v>
      </c>
      <c r="T54" s="33">
        <v>44</v>
      </c>
      <c r="U54" s="40">
        <v>7.1</v>
      </c>
      <c r="V54" s="34">
        <v>44.2</v>
      </c>
      <c r="W54" s="40">
        <v>7.2</v>
      </c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$65&lt;&gt;"")*(G$3:G$65=G55)*(J$3:J$65&gt;J55)*(I$3:I$65="P"))+1,IF(O55&lt;&gt;"",SUMPRODUCT((O$3:O$65&lt;&gt;"")*(P$3:P$65="")*(G$3:G$65=G55)*(J$3:J$65&gt;J55)*(I$3:I$65="P"))+SUMPRODUCT((P$3:P$65&lt;&gt;"")*(G$3:G$65=G55)*(I$3:I$65="P"))+1,IF(N55&lt;&gt;"",SUMPRODUCT((N$3:N$65&lt;&gt;"")*(G$3:G$65=G55)*(J$3:J$65&gt;J55)*(I$3:I$65="P"))+1,IF(M55="P",SUMPRODUCT((O$3:O$65&lt;&gt;"")*(P$3:P$65="")*(G$3:G$65=G55)*(I$3:I$65="P"))+SUMPRODUCT((P$3:P$65&lt;&gt;"")*(G$3:G$65=G55)*(I$3:I$65="P"))+SUMPRODUCT((N$3:N$65&lt;&gt;"")*(G$3:G$65=G55)*(I$3:I$65="P"))+SUMPRODUCT((P$3:P$65="")*(O$3:O$65="")*(N$3:N$65="")*(M$3:M$65="P")*(G$3:G$65=G55)*(J$3:J$65&gt;J55)*(I$3:I$65="P"))+IF(H55="L5",SUMPRODUCT((P$3:P$65="")*(O$3:O$65="")*(N$3:N$65="")*(M$3:M$65="P")*(G$3:G$65=G55)*(J$3:J$65&lt;J55)*(H$3:H$65&lt;&gt;H55)*(I$3:I$65="P")),-1*SUMPRODUCT((P$3:P$65="")*(O$3:O$65="")*(N$3:N$65="")*(M$3:M$65="P")*(G$3:G$65=G55)*(J$3:J$65&gt;J55)*(H$3:H$65="L5")*(I$3:I$65="P")))+1,"")))))</f>
        <v/>
      </c>
      <c r="B55" s="1" t="str" cm="1">
        <f t="array" ref="B55">IF(P55&lt;&gt;"",SUMPRODUCT((P$3:P$65&lt;&gt;"")*(G$3:G$65=G55)*(J$3:J$65&gt;J55))+1,IF(O55&lt;&gt;"",SUMPRODUCT((O$3:O$65&lt;&gt;"")*(P$3:P$65="")*(G$3:G$65=G55)*(J$3:J$65&gt;J55))+SUMPRODUCT((P$3:P$65&lt;&gt;"")*(G$3:G$65=G55))+1,IF(N55&lt;&gt;"",SUMPRODUCT((N$3:N$65&lt;&gt;"")*(G$3:G$65=G55)*(J$3:J$65&gt;J55))+1,IF(M55="P",SUMPRODUCT((O$3:O$65&lt;&gt;"")*(P$3:P$65="")*(G$3:G$65=G55))+SUMPRODUCT((P$3:P$65&lt;&gt;"")*(G$3:G$65=G55))+SUMPRODUCT((N$3:N$65&lt;&gt;"")*(G$3:G$65=G55))+SUMPRODUCT((P$3:P$65="")*(O$3:O$65="")*(N$3:N$65="")*(M$3:M$65="P")*(G$3:G$65=G55)*(J$3:J$65&gt;J55))+IF(H55="L5",SUMPRODUCT((P$3:P$65="")*(O$3:O$65="")*(N$3:N$65="")*(M$3:M$65="P")*(G$3:G$65=G55)*(J$3:J$65&lt;J55)*(H$3:H$65&lt;&gt;H55)),-1*SUMPRODUCT((P$3:P$65="")*(O$3:O$65="")*(N$3:N$65="")*(M$3:M$65="P")*(G$3:G$65=G55)*(J$3:J$65&gt;J55)*(H$3:H$65="L5")))+1,""))))</f>
        <v/>
      </c>
      <c r="C55" s="36" t="s">
        <v>263</v>
      </c>
      <c r="D55" s="36" t="str">
        <f>IF(E55="","",VLOOKUP(E55,'Coaching Points'!A:B,2,0))</f>
        <v>BC</v>
      </c>
      <c r="E55" s="36" t="s">
        <v>41</v>
      </c>
      <c r="F55" s="35">
        <v>2008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86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MAX(T55,X55)</f>
        <v>44</v>
      </c>
      <c r="S55" s="4">
        <f>IF(R55=T55,MAX(V55,X55,Z55),IF(R55=X55,MAX(T55,V55,Z55),0))</f>
        <v>42</v>
      </c>
      <c r="T55" s="33">
        <v>44</v>
      </c>
      <c r="U55" s="40">
        <v>7.9</v>
      </c>
      <c r="V55" s="34">
        <v>42</v>
      </c>
      <c r="W55" s="40">
        <v>6.6999999999999993</v>
      </c>
      <c r="X55" s="33"/>
      <c r="Y55" s="40"/>
      <c r="Z55" s="34"/>
      <c r="AA55" s="37"/>
    </row>
    <row r="56" spans="1:27" x14ac:dyDescent="0.2">
      <c r="A56" s="1" t="str" cm="1">
        <f t="array" ref="A56">IF(I56="","",IF(P56&lt;&gt;"",SUMPRODUCT((P$3:P$65&lt;&gt;"")*(G$3:G$65=G56)*(J$3:J$65&gt;J56)*(I$3:I$65="P"))+1,IF(O56&lt;&gt;"",SUMPRODUCT((O$3:O$65&lt;&gt;"")*(P$3:P$65="")*(G$3:G$65=G56)*(J$3:J$65&gt;J56)*(I$3:I$65="P"))+SUMPRODUCT((P$3:P$65&lt;&gt;"")*(G$3:G$65=G56)*(I$3:I$65="P"))+1,IF(N56&lt;&gt;"",SUMPRODUCT((N$3:N$65&lt;&gt;"")*(G$3:G$65=G56)*(J$3:J$65&gt;J56)*(I$3:I$65="P"))+1,IF(M56="P",SUMPRODUCT((O$3:O$65&lt;&gt;"")*(P$3:P$65="")*(G$3:G$65=G56)*(I$3:I$65="P"))+SUMPRODUCT((P$3:P$65&lt;&gt;"")*(G$3:G$65=G56)*(I$3:I$65="P"))+SUMPRODUCT((N$3:N$65&lt;&gt;"")*(G$3:G$65=G56)*(I$3:I$65="P"))+SUMPRODUCT((P$3:P$65="")*(O$3:O$65="")*(N$3:N$65="")*(M$3:M$65="P")*(G$3:G$65=G56)*(J$3:J$65&gt;J56)*(I$3:I$65="P"))+IF(H56="L5",SUMPRODUCT((P$3:P$65="")*(O$3:O$65="")*(N$3:N$65="")*(M$3:M$65="P")*(G$3:G$65=G56)*(J$3:J$65&lt;J56)*(H$3:H$65&lt;&gt;H56)*(I$3:I$65="P")),-1*SUMPRODUCT((P$3:P$65="")*(O$3:O$65="")*(N$3:N$65="")*(M$3:M$65="P")*(G$3:G$65=G56)*(J$3:J$65&gt;J56)*(H$3:H$65="L5")*(I$3:I$65="P")))+1,"")))))</f>
        <v/>
      </c>
      <c r="B56" s="1" t="str" cm="1">
        <f t="array" ref="B56">IF(P56&lt;&gt;"",SUMPRODUCT((P$3:P$65&lt;&gt;"")*(G$3:G$65=G56)*(J$3:J$65&gt;J56))+1,IF(O56&lt;&gt;"",SUMPRODUCT((O$3:O$65&lt;&gt;"")*(P$3:P$65="")*(G$3:G$65=G56)*(J$3:J$65&gt;J56))+SUMPRODUCT((P$3:P$65&lt;&gt;"")*(G$3:G$65=G56))+1,IF(N56&lt;&gt;"",SUMPRODUCT((N$3:N$65&lt;&gt;"")*(G$3:G$65=G56)*(J$3:J$65&gt;J56))+1,IF(M56="P",SUMPRODUCT((O$3:O$65&lt;&gt;"")*(P$3:P$65="")*(G$3:G$65=G56))+SUMPRODUCT((P$3:P$65&lt;&gt;"")*(G$3:G$65=G56))+SUMPRODUCT((N$3:N$65&lt;&gt;"")*(G$3:G$65=G56))+SUMPRODUCT((P$3:P$65="")*(O$3:O$65="")*(N$3:N$65="")*(M$3:M$65="P")*(G$3:G$65=G56)*(J$3:J$65&gt;J56))+IF(H56="L5",SUMPRODUCT((P$3:P$65="")*(O$3:O$65="")*(N$3:N$65="")*(M$3:M$65="P")*(G$3:G$65=G56)*(J$3:J$65&lt;J56)*(H$3:H$65&lt;&gt;H56)),-1*SUMPRODUCT((P$3:P$65="")*(O$3:O$65="")*(N$3:N$65="")*(M$3:M$65="P")*(G$3:G$65=G56)*(J$3:J$65&gt;J56)*(H$3:H$65="L5")))+1,""))))</f>
        <v/>
      </c>
      <c r="C56" s="36" t="s">
        <v>215</v>
      </c>
      <c r="D56" s="36" t="str">
        <f>IF(E56="","",VLOOKUP(E56,'Coaching Points'!A:B,2,0))</f>
        <v>NS</v>
      </c>
      <c r="E56" s="36" t="s">
        <v>134</v>
      </c>
      <c r="F56" s="35">
        <v>2008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>R56+S56+IF(OR(H56="Junior",H56="Senior"),0.0002,IF(OR(H56="L7",H56="L6"),0.0001,0))+MAX(X56,Z56)*0.0000001</f>
        <v>85.5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MAX(T56,X56)</f>
        <v>42.3</v>
      </c>
      <c r="S56" s="4">
        <f>IF(R56=T56,MAX(V56,X56,Z56),IF(R56=X56,MAX(T56,V56,Z56),0))</f>
        <v>43.2</v>
      </c>
      <c r="T56" s="33">
        <v>42.3</v>
      </c>
      <c r="U56" s="40">
        <v>7.1</v>
      </c>
      <c r="V56" s="34">
        <v>43.2</v>
      </c>
      <c r="W56" s="40">
        <v>7.5</v>
      </c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$65&lt;&gt;"")*(G$3:G$65=G57)*(J$3:J$65&gt;J57)*(I$3:I$65="P"))+1,IF(O57&lt;&gt;"",SUMPRODUCT((O$3:O$65&lt;&gt;"")*(P$3:P$65="")*(G$3:G$65=G57)*(J$3:J$65&gt;J57)*(I$3:I$65="P"))+SUMPRODUCT((P$3:P$65&lt;&gt;"")*(G$3:G$65=G57)*(I$3:I$65="P"))+1,IF(N57&lt;&gt;"",SUMPRODUCT((N$3:N$65&lt;&gt;"")*(G$3:G$65=G57)*(J$3:J$65&gt;J57)*(I$3:I$65="P"))+1,IF(M57="P",SUMPRODUCT((O$3:O$65&lt;&gt;"")*(P$3:P$65="")*(G$3:G$65=G57)*(I$3:I$65="P"))+SUMPRODUCT((P$3:P$65&lt;&gt;"")*(G$3:G$65=G57)*(I$3:I$65="P"))+SUMPRODUCT((N$3:N$65&lt;&gt;"")*(G$3:G$65=G57)*(I$3:I$65="P"))+SUMPRODUCT((P$3:P$65="")*(O$3:O$65="")*(N$3:N$65="")*(M$3:M$65="P")*(G$3:G$65=G57)*(J$3:J$65&gt;J57)*(I$3:I$65="P"))+IF(H57="L5",SUMPRODUCT((P$3:P$65="")*(O$3:O$65="")*(N$3:N$65="")*(M$3:M$65="P")*(G$3:G$65=G57)*(J$3:J$65&lt;J57)*(H$3:H$65&lt;&gt;H57)*(I$3:I$65="P")),-1*SUMPRODUCT((P$3:P$65="")*(O$3:O$65="")*(N$3:N$65="")*(M$3:M$65="P")*(G$3:G$65=G57)*(J$3:J$65&gt;J57)*(H$3:H$65="L5")*(I$3:I$65="P")))+1,"")))))</f>
        <v/>
      </c>
      <c r="B57" s="1" t="str" cm="1">
        <f t="array" ref="B57">IF(P57&lt;&gt;"",SUMPRODUCT((P$3:P$65&lt;&gt;"")*(G$3:G$65=G57)*(J$3:J$65&gt;J57))+1,IF(O57&lt;&gt;"",SUMPRODUCT((O$3:O$65&lt;&gt;"")*(P$3:P$65="")*(G$3:G$65=G57)*(J$3:J$65&gt;J57))+SUMPRODUCT((P$3:P$65&lt;&gt;"")*(G$3:G$65=G57))+1,IF(N57&lt;&gt;"",SUMPRODUCT((N$3:N$65&lt;&gt;"")*(G$3:G$65=G57)*(J$3:J$65&gt;J57))+1,IF(M57="P",SUMPRODUCT((O$3:O$65&lt;&gt;"")*(P$3:P$65="")*(G$3:G$65=G57))+SUMPRODUCT((P$3:P$65&lt;&gt;"")*(G$3:G$65=G57))+SUMPRODUCT((N$3:N$65&lt;&gt;"")*(G$3:G$65=G57))+SUMPRODUCT((P$3:P$65="")*(O$3:O$65="")*(N$3:N$65="")*(M$3:M$65="P")*(G$3:G$65=G57)*(J$3:J$65&gt;J57))+IF(H57="L5",SUMPRODUCT((P$3:P$65="")*(O$3:O$65="")*(N$3:N$65="")*(M$3:M$65="P")*(G$3:G$65=G57)*(J$3:J$65&lt;J57)*(H$3:H$65&lt;&gt;H57)),-1*SUMPRODUCT((P$3:P$65="")*(O$3:O$65="")*(N$3:N$65="")*(M$3:M$65="P")*(G$3:G$65=G57)*(J$3:J$65&gt;J57)*(H$3:H$65="L5")))+1,""))))</f>
        <v/>
      </c>
      <c r="C57" s="36" t="s">
        <v>218</v>
      </c>
      <c r="D57" s="36" t="str">
        <f>IF(E57="","",VLOOKUP(E57,'Coaching Points'!A:B,2,0))</f>
        <v>ON</v>
      </c>
      <c r="E57" s="36" t="s">
        <v>286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84.8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MAX(T57,X57)</f>
        <v>41.9</v>
      </c>
      <c r="S57" s="4">
        <f>IF(R57=T57,MAX(V57,X57,Z57),IF(R57=X57,MAX(T57,V57,Z57),0))</f>
        <v>42.9</v>
      </c>
      <c r="T57" s="33">
        <v>41.9</v>
      </c>
      <c r="U57" s="40">
        <v>6.4</v>
      </c>
      <c r="V57" s="34">
        <v>42.9</v>
      </c>
      <c r="W57" s="40">
        <v>6.1</v>
      </c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$65&lt;&gt;"")*(G$3:G$65=G58)*(J$3:J$65&gt;J58)*(I$3:I$65="P"))+1,IF(O58&lt;&gt;"",SUMPRODUCT((O$3:O$65&lt;&gt;"")*(P$3:P$65="")*(G$3:G$65=G58)*(J$3:J$65&gt;J58)*(I$3:I$65="P"))+SUMPRODUCT((P$3:P$65&lt;&gt;"")*(G$3:G$65=G58)*(I$3:I$65="P"))+1,IF(N58&lt;&gt;"",SUMPRODUCT((N$3:N$65&lt;&gt;"")*(G$3:G$65=G58)*(J$3:J$65&gt;J58)*(I$3:I$65="P"))+1,IF(M58="P",SUMPRODUCT((O$3:O$65&lt;&gt;"")*(P$3:P$65="")*(G$3:G$65=G58)*(I$3:I$65="P"))+SUMPRODUCT((P$3:P$65&lt;&gt;"")*(G$3:G$65=G58)*(I$3:I$65="P"))+SUMPRODUCT((N$3:N$65&lt;&gt;"")*(G$3:G$65=G58)*(I$3:I$65="P"))+SUMPRODUCT((P$3:P$65="")*(O$3:O$65="")*(N$3:N$65="")*(M$3:M$65="P")*(G$3:G$65=G58)*(J$3:J$65&gt;J58)*(I$3:I$65="P"))+IF(H58="L5",SUMPRODUCT((P$3:P$65="")*(O$3:O$65="")*(N$3:N$65="")*(M$3:M$65="P")*(G$3:G$65=G58)*(J$3:J$65&lt;J58)*(H$3:H$65&lt;&gt;H58)*(I$3:I$65="P")),-1*SUMPRODUCT((P$3:P$65="")*(O$3:O$65="")*(N$3:N$65="")*(M$3:M$65="P")*(G$3:G$65=G58)*(J$3:J$65&gt;J58)*(H$3:H$65="L5")*(I$3:I$65="P")))+1,"")))))</f>
        <v/>
      </c>
      <c r="B58" s="1" t="str" cm="1">
        <f t="array" ref="B58">IF(P58&lt;&gt;"",SUMPRODUCT((P$3:P$65&lt;&gt;"")*(G$3:G$65=G58)*(J$3:J$65&gt;J58))+1,IF(O58&lt;&gt;"",SUMPRODUCT((O$3:O$65&lt;&gt;"")*(P$3:P$65="")*(G$3:G$65=G58)*(J$3:J$65&gt;J58))+SUMPRODUCT((P$3:P$65&lt;&gt;"")*(G$3:G$65=G58))+1,IF(N58&lt;&gt;"",SUMPRODUCT((N$3:N$65&lt;&gt;"")*(G$3:G$65=G58)*(J$3:J$65&gt;J58))+1,IF(M58="P",SUMPRODUCT((O$3:O$65&lt;&gt;"")*(P$3:P$65="")*(G$3:G$65=G58))+SUMPRODUCT((P$3:P$65&lt;&gt;"")*(G$3:G$65=G58))+SUMPRODUCT((N$3:N$65&lt;&gt;"")*(G$3:G$65=G58))+SUMPRODUCT((P$3:P$65="")*(O$3:O$65="")*(N$3:N$65="")*(M$3:M$65="P")*(G$3:G$65=G58)*(J$3:J$65&gt;J58))+IF(H58="L5",SUMPRODUCT((P$3:P$65="")*(O$3:O$65="")*(N$3:N$65="")*(M$3:M$65="P")*(G$3:G$65=G58)*(J$3:J$65&lt;J58)*(H$3:H$65&lt;&gt;H58)),-1*SUMPRODUCT((P$3:P$65="")*(O$3:O$65="")*(N$3:N$65="")*(M$3:M$65="P")*(G$3:G$65=G58)*(J$3:J$65&gt;J58)*(H$3:H$65="L5")))+1,""))))</f>
        <v/>
      </c>
      <c r="C58" s="36" t="s">
        <v>320</v>
      </c>
      <c r="D58" s="36" t="str">
        <f>IF(E58="","",VLOOKUP(E58,'Coaching Points'!A:B,2,0))</f>
        <v>BC</v>
      </c>
      <c r="E58" s="36" t="s">
        <v>284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78.599999999999994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MAX(T58,X58)</f>
        <v>38.6</v>
      </c>
      <c r="S58" s="4">
        <f>IF(R58=T58,MAX(V58,X58,Z58),IF(R58=X58,MAX(T58,V58,Z58),0))</f>
        <v>40</v>
      </c>
      <c r="T58" s="33">
        <v>38.6</v>
      </c>
      <c r="U58" s="40">
        <v>3.3000000000000003</v>
      </c>
      <c r="V58" s="34">
        <v>40</v>
      </c>
      <c r="W58" s="40">
        <v>4.0999999999999996</v>
      </c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$65&lt;&gt;"")*(G$3:G$65=G59)*(J$3:J$65&gt;J59)*(I$3:I$65="P"))+1,IF(O59&lt;&gt;"",SUMPRODUCT((O$3:O$65&lt;&gt;"")*(P$3:P$65="")*(G$3:G$65=G59)*(J$3:J$65&gt;J59)*(I$3:I$65="P"))+SUMPRODUCT((P$3:P$65&lt;&gt;"")*(G$3:G$65=G59)*(I$3:I$65="P"))+1,IF(N59&lt;&gt;"",SUMPRODUCT((N$3:N$65&lt;&gt;"")*(G$3:G$65=G59)*(J$3:J$65&gt;J59)*(I$3:I$65="P"))+1,IF(M59="P",SUMPRODUCT((O$3:O$65&lt;&gt;"")*(P$3:P$65="")*(G$3:G$65=G59)*(I$3:I$65="P"))+SUMPRODUCT((P$3:P$65&lt;&gt;"")*(G$3:G$65=G59)*(I$3:I$65="P"))+SUMPRODUCT((N$3:N$65&lt;&gt;"")*(G$3:G$65=G59)*(I$3:I$65="P"))+SUMPRODUCT((P$3:P$65="")*(O$3:O$65="")*(N$3:N$65="")*(M$3:M$65="P")*(G$3:G$65=G59)*(J$3:J$65&gt;J59)*(I$3:I$65="P"))+IF(H59="L5",SUMPRODUCT((P$3:P$65="")*(O$3:O$65="")*(N$3:N$65="")*(M$3:M$65="P")*(G$3:G$65=G59)*(J$3:J$65&lt;J59)*(H$3:H$65&lt;&gt;H59)*(I$3:I$65="P")),-1*SUMPRODUCT((P$3:P$65="")*(O$3:O$65="")*(N$3:N$65="")*(M$3:M$65="P")*(G$3:G$65=G59)*(J$3:J$65&gt;J59)*(H$3:H$65="L5")*(I$3:I$65="P")))+1,"")))))</f>
        <v/>
      </c>
      <c r="B59" s="1" cm="1">
        <f t="array" ref="B59">IF(P59&lt;&gt;"",SUMPRODUCT((P$3:P$65&lt;&gt;"")*(G$3:G$65=G59)*(J$3:J$65&gt;J59))+1,IF(O59&lt;&gt;"",SUMPRODUCT((O$3:O$65&lt;&gt;"")*(P$3:P$65="")*(G$3:G$65=G59)*(J$3:J$65&gt;J59))+SUMPRODUCT((P$3:P$65&lt;&gt;"")*(G$3:G$65=G59))+1,IF(N59&lt;&gt;"",SUMPRODUCT((N$3:N$65&lt;&gt;"")*(G$3:G$65=G59)*(J$3:J$65&gt;J59))+1,IF(M59="P",SUMPRODUCT((O$3:O$65&lt;&gt;"")*(P$3:P$65="")*(G$3:G$65=G59))+SUMPRODUCT((P$3:P$65&lt;&gt;"")*(G$3:G$65=G59))+SUMPRODUCT((N$3:N$65&lt;&gt;"")*(G$3:G$65=G59))+SUMPRODUCT((P$3:P$65="")*(O$3:O$65="")*(N$3:N$65="")*(M$3:M$65="P")*(G$3:G$65=G59)*(J$3:J$65&gt;J59))+IF(H59="L5",SUMPRODUCT((P$3:P$65="")*(O$3:O$65="")*(N$3:N$65="")*(M$3:M$65="P")*(G$3:G$65=G59)*(J$3:J$65&lt;J59)*(H$3:H$65&lt;&gt;H59)),-1*SUMPRODUCT((P$3:P$65="")*(O$3:O$65="")*(N$3:N$65="")*(M$3:M$65="P")*(G$3:G$65=G59)*(J$3:J$65&gt;J59)*(H$3:H$65="L5")))+1,""))))</f>
        <v>1</v>
      </c>
      <c r="C59" s="36" t="s">
        <v>78</v>
      </c>
      <c r="D59" s="36" t="str">
        <f>IF(E59="","",VLOOKUP(E59,'Coaching Points'!A:B,2,0))</f>
        <v>SK</v>
      </c>
      <c r="E59" s="36" t="s">
        <v>60</v>
      </c>
      <c r="F59" s="35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9" t="s">
        <v>67</v>
      </c>
      <c r="I59" s="43"/>
      <c r="J59" s="4">
        <f>R59+S59+IF(OR(H59="Junior",H59="Senior"),0.0002,IF(OR(H59="L7",H59="L6"),0.0001,0))+MAX(X59,Z59)*0.0000001</f>
        <v>92.000100000000003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Q59" s="1" t="str">
        <f>IF(A59&lt;5,IF(_xlfn.MAXIFS(A:A,G:G,G59)&gt;3,5-A59,_xlfn.MAXIFS(A:A,G:G,G59)+1-A59),"")</f>
        <v/>
      </c>
      <c r="R59" s="4">
        <f>MAX(T59,X59)</f>
        <v>46.6</v>
      </c>
      <c r="S59" s="4">
        <f>IF(R59=T59,MAX(V59,X59,Z59),IF(R59=X59,MAX(T59,V59,Z59),0))</f>
        <v>45.4</v>
      </c>
      <c r="T59" s="33">
        <v>46.6</v>
      </c>
      <c r="U59" s="40">
        <v>10.4</v>
      </c>
      <c r="V59" s="34">
        <v>45.4</v>
      </c>
      <c r="W59" s="40">
        <v>9.1999999999999993</v>
      </c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$65&lt;&gt;"")*(G$3:G$65=G60)*(J$3:J$65&gt;J60)*(I$3:I$65="P"))+1,IF(O60&lt;&gt;"",SUMPRODUCT((O$3:O$65&lt;&gt;"")*(P$3:P$65="")*(G$3:G$65=G60)*(J$3:J$65&gt;J60)*(I$3:I$65="P"))+SUMPRODUCT((P$3:P$65&lt;&gt;"")*(G$3:G$65=G60)*(I$3:I$65="P"))+1,IF(N60&lt;&gt;"",SUMPRODUCT((N$3:N$65&lt;&gt;"")*(G$3:G$65=G60)*(J$3:J$65&gt;J60)*(I$3:I$65="P"))+1,IF(M60="P",SUMPRODUCT((O$3:O$65&lt;&gt;"")*(P$3:P$65="")*(G$3:G$65=G60)*(I$3:I$65="P"))+SUMPRODUCT((P$3:P$65&lt;&gt;"")*(G$3:G$65=G60)*(I$3:I$65="P"))+SUMPRODUCT((N$3:N$65&lt;&gt;"")*(G$3:G$65=G60)*(I$3:I$65="P"))+SUMPRODUCT((P$3:P$65="")*(O$3:O$65="")*(N$3:N$65="")*(M$3:M$65="P")*(G$3:G$65=G60)*(J$3:J$65&gt;J60)*(I$3:I$65="P"))+IF(H60="L5",SUMPRODUCT((P$3:P$65="")*(O$3:O$65="")*(N$3:N$65="")*(M$3:M$65="P")*(G$3:G$65=G60)*(J$3:J$65&lt;J60)*(H$3:H$65&lt;&gt;H60)*(I$3:I$65="P")),-1*SUMPRODUCT((P$3:P$65="")*(O$3:O$65="")*(N$3:N$65="")*(M$3:M$65="P")*(G$3:G$65=G60)*(J$3:J$65&gt;J60)*(H$3:H$65="L5")*(I$3:I$65="P")))+1,"")))))</f>
        <v/>
      </c>
      <c r="B60" s="1" t="str" cm="1">
        <f t="array" ref="B60">IF(P60&lt;&gt;"",SUMPRODUCT((P$3:P$65&lt;&gt;"")*(G$3:G$65=G60)*(J$3:J$65&gt;J60))+1,IF(O60&lt;&gt;"",SUMPRODUCT((O$3:O$65&lt;&gt;"")*(P$3:P$65="")*(G$3:G$65=G60)*(J$3:J$65&gt;J60))+SUMPRODUCT((P$3:P$65&lt;&gt;"")*(G$3:G$65=G60))+1,IF(N60&lt;&gt;"",SUMPRODUCT((N$3:N$65&lt;&gt;"")*(G$3:G$65=G60)*(J$3:J$65&gt;J60))+1,IF(M60="P",SUMPRODUCT((O$3:O$65&lt;&gt;"")*(P$3:P$65="")*(G$3:G$65=G60))+SUMPRODUCT((P$3:P$65&lt;&gt;"")*(G$3:G$65=G60))+SUMPRODUCT((N$3:N$65&lt;&gt;"")*(G$3:G$65=G60))+SUMPRODUCT((P$3:P$65="")*(O$3:O$65="")*(N$3:N$65="")*(M$3:M$65="P")*(G$3:G$65=G60)*(J$3:J$65&gt;J60))+IF(H60="L5",SUMPRODUCT((P$3:P$65="")*(O$3:O$65="")*(N$3:N$65="")*(M$3:M$65="P")*(G$3:G$65=G60)*(J$3:J$65&lt;J60)*(H$3:H$65&lt;&gt;H60)),-1*SUMPRODUCT((P$3:P$65="")*(O$3:O$65="")*(N$3:N$65="")*(M$3:M$65="P")*(G$3:G$65=G60)*(J$3:J$65&gt;J60)*(H$3:H$65="L5")))+1,""))))</f>
        <v/>
      </c>
      <c r="C60" s="36" t="s">
        <v>329</v>
      </c>
      <c r="D60" s="36" t="str">
        <f>IF(E60="","",VLOOKUP(E60,'Coaching Points'!A:B,2,0))</f>
        <v>BC</v>
      </c>
      <c r="E60" s="36" t="s">
        <v>284</v>
      </c>
      <c r="F60" s="35">
        <v>2009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9" t="s">
        <v>66</v>
      </c>
      <c r="I60" s="43"/>
      <c r="J60" s="4">
        <f>R60+S60+IF(OR(H60="Junior",H60="Senior"),0.0002,IF(OR(H60="L7",H60="L6"),0.0001,0))+MAX(X60,Z60)*0.0000001</f>
        <v>83.8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MAX(T60,X60)</f>
        <v>42.4</v>
      </c>
      <c r="S60" s="4">
        <f>IF(R60=T60,MAX(V60,X60,Z60),IF(R60=X60,MAX(T60,V60,Z60),0))</f>
        <v>41.4</v>
      </c>
      <c r="T60" s="33">
        <v>42.4</v>
      </c>
      <c r="U60" s="40">
        <v>6.1</v>
      </c>
      <c r="V60" s="34">
        <v>41.4</v>
      </c>
      <c r="W60" s="40">
        <v>7.8000000000000007</v>
      </c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$65&lt;&gt;"")*(G$3:G$65=G61)*(J$3:J$65&gt;J61)*(I$3:I$65="P"))+1,IF(O61&lt;&gt;"",SUMPRODUCT((O$3:O$65&lt;&gt;"")*(P$3:P$65="")*(G$3:G$65=G61)*(J$3:J$65&gt;J61)*(I$3:I$65="P"))+SUMPRODUCT((P$3:P$65&lt;&gt;"")*(G$3:G$65=G61)*(I$3:I$65="P"))+1,IF(N61&lt;&gt;"",SUMPRODUCT((N$3:N$65&lt;&gt;"")*(G$3:G$65=G61)*(J$3:J$65&gt;J61)*(I$3:I$65="P"))+1,IF(M61="P",SUMPRODUCT((O$3:O$65&lt;&gt;"")*(P$3:P$65="")*(G$3:G$65=G61)*(I$3:I$65="P"))+SUMPRODUCT((P$3:P$65&lt;&gt;"")*(G$3:G$65=G61)*(I$3:I$65="P"))+SUMPRODUCT((N$3:N$65&lt;&gt;"")*(G$3:G$65=G61)*(I$3:I$65="P"))+SUMPRODUCT((P$3:P$65="")*(O$3:O$65="")*(N$3:N$65="")*(M$3:M$65="P")*(G$3:G$65=G61)*(J$3:J$65&gt;J61)*(I$3:I$65="P"))+IF(H61="L5",SUMPRODUCT((P$3:P$65="")*(O$3:O$65="")*(N$3:N$65="")*(M$3:M$65="P")*(G$3:G$65=G61)*(J$3:J$65&lt;J61)*(H$3:H$65&lt;&gt;H61)*(I$3:I$65="P")),-1*SUMPRODUCT((P$3:P$65="")*(O$3:O$65="")*(N$3:N$65="")*(M$3:M$65="P")*(G$3:G$65=G61)*(J$3:J$65&gt;J61)*(H$3:H$65="L5")*(I$3:I$65="P")))+1,"")))))</f>
        <v/>
      </c>
      <c r="B61" s="1" t="str" cm="1">
        <f t="array" ref="B61">IF(P61&lt;&gt;"",SUMPRODUCT((P$3:P$65&lt;&gt;"")*(G$3:G$65=G61)*(J$3:J$65&gt;J61))+1,IF(O61&lt;&gt;"",SUMPRODUCT((O$3:O$65&lt;&gt;"")*(P$3:P$65="")*(G$3:G$65=G61)*(J$3:J$65&gt;J61))+SUMPRODUCT((P$3:P$65&lt;&gt;"")*(G$3:G$65=G61))+1,IF(N61&lt;&gt;"",SUMPRODUCT((N$3:N$65&lt;&gt;"")*(G$3:G$65=G61)*(J$3:J$65&gt;J61))+1,IF(M61="P",SUMPRODUCT((O$3:O$65&lt;&gt;"")*(P$3:P$65="")*(G$3:G$65=G61))+SUMPRODUCT((P$3:P$65&lt;&gt;"")*(G$3:G$65=G61))+SUMPRODUCT((N$3:N$65&lt;&gt;"")*(G$3:G$65=G61))+SUMPRODUCT((P$3:P$65="")*(O$3:O$65="")*(N$3:N$65="")*(M$3:M$65="P")*(G$3:G$65=G61)*(J$3:J$65&gt;J61))+IF(H61="L5",SUMPRODUCT((P$3:P$65="")*(O$3:O$65="")*(N$3:N$65="")*(M$3:M$65="P")*(G$3:G$65=G61)*(J$3:J$65&lt;J61)*(H$3:H$65&lt;&gt;H61)),-1*SUMPRODUCT((P$3:P$65="")*(O$3:O$65="")*(N$3:N$65="")*(M$3:M$65="P")*(G$3:G$65=G61)*(J$3:J$65&gt;J61)*(H$3:H$65="L5")))+1,""))))</f>
        <v/>
      </c>
      <c r="C61" s="36" t="s">
        <v>264</v>
      </c>
      <c r="D61" s="36" t="str">
        <f>IF(E61="","",VLOOKUP(E61,'Coaching Points'!A:B,2,0))</f>
        <v>BC</v>
      </c>
      <c r="E61" s="36" t="s">
        <v>41</v>
      </c>
      <c r="F61" s="35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9" t="s">
        <v>66</v>
      </c>
      <c r="I61" s="43"/>
      <c r="J61" s="4">
        <f>R61+S61+IF(OR(H61="Junior",H61="Senior"),0.0002,IF(OR(H61="L7",H61="L6"),0.0001,0))+MAX(X61,Z61)*0.0000001</f>
        <v>82.6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MAX(T61,X61)</f>
        <v>40.1</v>
      </c>
      <c r="S61" s="4">
        <f>IF(R61=T61,MAX(V61,X61,Z61),IF(R61=X61,MAX(T61,V61,Z61),0))</f>
        <v>42.5</v>
      </c>
      <c r="T61" s="33">
        <v>40.1</v>
      </c>
      <c r="U61" s="40">
        <v>4.7</v>
      </c>
      <c r="V61" s="34">
        <v>42.5</v>
      </c>
      <c r="W61" s="40">
        <v>5.0999999999999996</v>
      </c>
      <c r="X61" s="33"/>
      <c r="Y61" s="40"/>
      <c r="Z61" s="34"/>
      <c r="AA61" s="37"/>
    </row>
    <row r="62" spans="1:27" x14ac:dyDescent="0.2">
      <c r="A62" s="1" t="str" cm="1">
        <f t="array" ref="A62">IF(I62="","",IF(P62&lt;&gt;"",SUMPRODUCT((P$3:P$65&lt;&gt;"")*(G$3:G$65=G62)*(J$3:J$65&gt;J62)*(I$3:I$65="P"))+1,IF(O62&lt;&gt;"",SUMPRODUCT((O$3:O$65&lt;&gt;"")*(P$3:P$65="")*(G$3:G$65=G62)*(J$3:J$65&gt;J62)*(I$3:I$65="P"))+SUMPRODUCT((P$3:P$65&lt;&gt;"")*(G$3:G$65=G62)*(I$3:I$65="P"))+1,IF(N62&lt;&gt;"",SUMPRODUCT((N$3:N$65&lt;&gt;"")*(G$3:G$65=G62)*(J$3:J$65&gt;J62)*(I$3:I$65="P"))+1,IF(M62="P",SUMPRODUCT((O$3:O$65&lt;&gt;"")*(P$3:P$65="")*(G$3:G$65=G62)*(I$3:I$65="P"))+SUMPRODUCT((P$3:P$65&lt;&gt;"")*(G$3:G$65=G62)*(I$3:I$65="P"))+SUMPRODUCT((N$3:N$65&lt;&gt;"")*(G$3:G$65=G62)*(I$3:I$65="P"))+SUMPRODUCT((P$3:P$65="")*(O$3:O$65="")*(N$3:N$65="")*(M$3:M$65="P")*(G$3:G$65=G62)*(J$3:J$65&gt;J62)*(I$3:I$65="P"))+IF(H62="L5",SUMPRODUCT((P$3:P$65="")*(O$3:O$65="")*(N$3:N$65="")*(M$3:M$65="P")*(G$3:G$65=G62)*(J$3:J$65&lt;J62)*(H$3:H$65&lt;&gt;H62)*(I$3:I$65="P")),-1*SUMPRODUCT((P$3:P$65="")*(O$3:O$65="")*(N$3:N$65="")*(M$3:M$65="P")*(G$3:G$65=G62)*(J$3:J$65&gt;J62)*(H$3:H$65="L5")*(I$3:I$65="P")))+1,"")))))</f>
        <v/>
      </c>
      <c r="B62" s="1" t="str" cm="1">
        <f t="array" ref="B62">IF(P62&lt;&gt;"",SUMPRODUCT((P$3:P$65&lt;&gt;"")*(G$3:G$65=G62)*(J$3:J$65&gt;J62))+1,IF(O62&lt;&gt;"",SUMPRODUCT((O$3:O$65&lt;&gt;"")*(P$3:P$65="")*(G$3:G$65=G62)*(J$3:J$65&gt;J62))+SUMPRODUCT((P$3:P$65&lt;&gt;"")*(G$3:G$65=G62))+1,IF(N62&lt;&gt;"",SUMPRODUCT((N$3:N$65&lt;&gt;"")*(G$3:G$65=G62)*(J$3:J$65&gt;J62))+1,IF(M62="P",SUMPRODUCT((O$3:O$65&lt;&gt;"")*(P$3:P$65="")*(G$3:G$65=G62))+SUMPRODUCT((P$3:P$65&lt;&gt;"")*(G$3:G$65=G62))+SUMPRODUCT((N$3:N$65&lt;&gt;"")*(G$3:G$65=G62))+SUMPRODUCT((P$3:P$65="")*(O$3:O$65="")*(N$3:N$65="")*(M$3:M$65="P")*(G$3:G$65=G62)*(J$3:J$65&gt;J62))+IF(H62="L5",SUMPRODUCT((P$3:P$65="")*(O$3:O$65="")*(N$3:N$65="")*(M$3:M$65="P")*(G$3:G$65=G62)*(J$3:J$65&lt;J62)*(H$3:H$65&lt;&gt;H62)),-1*SUMPRODUCT((P$3:P$65="")*(O$3:O$65="")*(N$3:N$65="")*(M$3:M$65="P")*(G$3:G$65=G62)*(J$3:J$65&gt;J62)*(H$3:H$65="L5")))+1,""))))</f>
        <v/>
      </c>
      <c r="C62" s="36" t="s">
        <v>327</v>
      </c>
      <c r="D62" s="36" t="str">
        <f>IF(E62="","",VLOOKUP(E62,'Coaching Points'!A:B,2,0))</f>
        <v>NS</v>
      </c>
      <c r="E62" s="36" t="s">
        <v>134</v>
      </c>
      <c r="F62" s="35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9" t="s">
        <v>66</v>
      </c>
      <c r="I62" s="43"/>
      <c r="J62" s="4">
        <f>R62+S62+IF(OR(H62="Junior",H62="Senior"),0.0002,IF(OR(H62="L7",H62="L6"),0.0001,0))+MAX(X62,Z62)*0.0000001</f>
        <v>81.5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MAX(T62,X62)</f>
        <v>38.5</v>
      </c>
      <c r="S62" s="4">
        <f>IF(R62=T62,MAX(V62,X62,Z62),IF(R62=X62,MAX(T62,V62,Z62),0))</f>
        <v>43</v>
      </c>
      <c r="T62" s="33">
        <v>38.5</v>
      </c>
      <c r="U62" s="40">
        <v>3.4000000000000004</v>
      </c>
      <c r="V62" s="34">
        <v>43</v>
      </c>
      <c r="W62" s="40">
        <v>6.3</v>
      </c>
      <c r="X62" s="33"/>
      <c r="Y62" s="40"/>
      <c r="Z62" s="34"/>
      <c r="AA62" s="37"/>
    </row>
    <row r="63" spans="1:27" x14ac:dyDescent="0.2">
      <c r="A63" s="1" t="str" cm="1">
        <f t="array" ref="A63">IF(I63="","",IF(P63&lt;&gt;"",SUMPRODUCT((P$3:P$65&lt;&gt;"")*(G$3:G$65=G63)*(J$3:J$65&gt;J63)*(I$3:I$65="P"))+1,IF(O63&lt;&gt;"",SUMPRODUCT((O$3:O$65&lt;&gt;"")*(P$3:P$65="")*(G$3:G$65=G63)*(J$3:J$65&gt;J63)*(I$3:I$65="P"))+SUMPRODUCT((P$3:P$65&lt;&gt;"")*(G$3:G$65=G63)*(I$3:I$65="P"))+1,IF(N63&lt;&gt;"",SUMPRODUCT((N$3:N$65&lt;&gt;"")*(G$3:G$65=G63)*(J$3:J$65&gt;J63)*(I$3:I$65="P"))+1,IF(M63="P",SUMPRODUCT((O$3:O$65&lt;&gt;"")*(P$3:P$65="")*(G$3:G$65=G63)*(I$3:I$65="P"))+SUMPRODUCT((P$3:P$65&lt;&gt;"")*(G$3:G$65=G63)*(I$3:I$65="P"))+SUMPRODUCT((N$3:N$65&lt;&gt;"")*(G$3:G$65=G63)*(I$3:I$65="P"))+SUMPRODUCT((P$3:P$65="")*(O$3:O$65="")*(N$3:N$65="")*(M$3:M$65="P")*(G$3:G$65=G63)*(J$3:J$65&gt;J63)*(I$3:I$65="P"))+IF(H63="L5",SUMPRODUCT((P$3:P$65="")*(O$3:O$65="")*(N$3:N$65="")*(M$3:M$65="P")*(G$3:G$65=G63)*(J$3:J$65&lt;J63)*(H$3:H$65&lt;&gt;H63)*(I$3:I$65="P")),-1*SUMPRODUCT((P$3:P$65="")*(O$3:O$65="")*(N$3:N$65="")*(M$3:M$65="P")*(G$3:G$65=G63)*(J$3:J$65&gt;J63)*(H$3:H$65="L5")*(I$3:I$65="P")))+1,"")))))</f>
        <v/>
      </c>
      <c r="B63" s="1" t="str" cm="1">
        <f t="array" ref="B63">IF(P63&lt;&gt;"",SUMPRODUCT((P$3:P$65&lt;&gt;"")*(G$3:G$65=G63)*(J$3:J$65&gt;J63))+1,IF(O63&lt;&gt;"",SUMPRODUCT((O$3:O$65&lt;&gt;"")*(P$3:P$65="")*(G$3:G$65=G63)*(J$3:J$65&gt;J63))+SUMPRODUCT((P$3:P$65&lt;&gt;"")*(G$3:G$65=G63))+1,IF(N63&lt;&gt;"",SUMPRODUCT((N$3:N$65&lt;&gt;"")*(G$3:G$65=G63)*(J$3:J$65&gt;J63))+1,IF(M63="P",SUMPRODUCT((O$3:O$65&lt;&gt;"")*(P$3:P$65="")*(G$3:G$65=G63))+SUMPRODUCT((P$3:P$65&lt;&gt;"")*(G$3:G$65=G63))+SUMPRODUCT((N$3:N$65&lt;&gt;"")*(G$3:G$65=G63))+SUMPRODUCT((P$3:P$65="")*(O$3:O$65="")*(N$3:N$65="")*(M$3:M$65="P")*(G$3:G$65=G63)*(J$3:J$65&gt;J63))+IF(H63="L5",SUMPRODUCT((P$3:P$65="")*(O$3:O$65="")*(N$3:N$65="")*(M$3:M$65="P")*(G$3:G$65=G63)*(J$3:J$65&lt;J63)*(H$3:H$65&lt;&gt;H63)),-1*SUMPRODUCT((P$3:P$65="")*(O$3:O$65="")*(N$3:N$65="")*(M$3:M$65="P")*(G$3:G$65=G63)*(J$3:J$65&gt;J63)*(H$3:H$65="L5")))+1,""))))</f>
        <v/>
      </c>
      <c r="C63" s="36" t="s">
        <v>352</v>
      </c>
      <c r="D63" s="36" t="str">
        <f>IF(E63="","",VLOOKUP(E63,'Coaching Points'!A:B,2,0))</f>
        <v>BC</v>
      </c>
      <c r="E63" s="36" t="s">
        <v>41</v>
      </c>
      <c r="F63" s="35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9" t="s">
        <v>66</v>
      </c>
      <c r="I63" s="43"/>
      <c r="J63" s="4">
        <f>R63+S63+IF(OR(H63="Junior",H63="Senior"),0.0002,IF(OR(H63="L7",H63="L6"),0.0001,0))+MAX(X63,Z63)*0.0000001</f>
        <v>81.099999999999994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MAX(T63,X63)</f>
        <v>44.3</v>
      </c>
      <c r="S63" s="4">
        <f>IF(R63=T63,MAX(V63,X63,Z63),IF(R63=X63,MAX(T63,V63,Z63),0))</f>
        <v>36.799999999999997</v>
      </c>
      <c r="T63" s="33">
        <v>44.3</v>
      </c>
      <c r="U63" s="40">
        <v>7.1</v>
      </c>
      <c r="V63" s="34">
        <v>36.799999999999997</v>
      </c>
      <c r="W63" s="40">
        <v>3.9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$65&lt;&gt;"")*(G$3:G$65=G64)*(J$3:J$65&gt;J64)*(I$3:I$65="P"))+1,IF(O64&lt;&gt;"",SUMPRODUCT((O$3:O$65&lt;&gt;"")*(P$3:P$65="")*(G$3:G$65=G64)*(J$3:J$65&gt;J64)*(I$3:I$65="P"))+SUMPRODUCT((P$3:P$65&lt;&gt;"")*(G$3:G$65=G64)*(I$3:I$65="P"))+1,IF(N64&lt;&gt;"",SUMPRODUCT((N$3:N$65&lt;&gt;"")*(G$3:G$65=G64)*(J$3:J$65&gt;J64)*(I$3:I$65="P"))+1,IF(M64="P",SUMPRODUCT((O$3:O$65&lt;&gt;"")*(P$3:P$65="")*(G$3:G$65=G64)*(I$3:I$65="P"))+SUMPRODUCT((P$3:P$65&lt;&gt;"")*(G$3:G$65=G64)*(I$3:I$65="P"))+SUMPRODUCT((N$3:N$65&lt;&gt;"")*(G$3:G$65=G64)*(I$3:I$65="P"))+SUMPRODUCT((P$3:P$65="")*(O$3:O$65="")*(N$3:N$65="")*(M$3:M$65="P")*(G$3:G$65=G64)*(J$3:J$65&gt;J64)*(I$3:I$65="P"))+IF(H64="L5",SUMPRODUCT((P$3:P$65="")*(O$3:O$65="")*(N$3:N$65="")*(M$3:M$65="P")*(G$3:G$65=G64)*(J$3:J$65&lt;J64)*(H$3:H$65&lt;&gt;H64)*(I$3:I$65="P")),-1*SUMPRODUCT((P$3:P$65="")*(O$3:O$65="")*(N$3:N$65="")*(M$3:M$65="P")*(G$3:G$65=G64)*(J$3:J$65&gt;J64)*(H$3:H$65="L5")*(I$3:I$65="P")))+1,"")))))</f>
        <v/>
      </c>
      <c r="B64" s="1" t="str" cm="1">
        <f t="array" ref="B64">IF(P64&lt;&gt;"",SUMPRODUCT((P$3:P$65&lt;&gt;"")*(G$3:G$65=G64)*(J$3:J$65&gt;J64))+1,IF(O64&lt;&gt;"",SUMPRODUCT((O$3:O$65&lt;&gt;"")*(P$3:P$65="")*(G$3:G$65=G64)*(J$3:J$65&gt;J64))+SUMPRODUCT((P$3:P$65&lt;&gt;"")*(G$3:G$65=G64))+1,IF(N64&lt;&gt;"",SUMPRODUCT((N$3:N$65&lt;&gt;"")*(G$3:G$65=G64)*(J$3:J$65&gt;J64))+1,IF(M64="P",SUMPRODUCT((O$3:O$65&lt;&gt;"")*(P$3:P$65="")*(G$3:G$65=G64))+SUMPRODUCT((P$3:P$65&lt;&gt;"")*(G$3:G$65=G64))+SUMPRODUCT((N$3:N$65&lt;&gt;"")*(G$3:G$65=G64))+SUMPRODUCT((P$3:P$65="")*(O$3:O$65="")*(N$3:N$65="")*(M$3:M$65="P")*(G$3:G$65=G64)*(J$3:J$65&gt;J64))+IF(H64="L5",SUMPRODUCT((P$3:P$65="")*(O$3:O$65="")*(N$3:N$65="")*(M$3:M$65="P")*(G$3:G$65=G64)*(J$3:J$65&lt;J64)*(H$3:H$65&lt;&gt;H64)),-1*SUMPRODUCT((P$3:P$65="")*(O$3:O$65="")*(N$3:N$65="")*(M$3:M$65="P")*(G$3:G$65=G64)*(J$3:J$65&gt;J64)*(H$3:H$65="L5")))+1,""))))</f>
        <v/>
      </c>
      <c r="C64" s="36" t="s">
        <v>353</v>
      </c>
      <c r="D64" s="36" t="str">
        <f>IF(E64="","",VLOOKUP(E64,'Coaching Points'!A:B,2,0))</f>
        <v>BC</v>
      </c>
      <c r="E64" s="36" t="s">
        <v>41</v>
      </c>
      <c r="F64" s="35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9" t="s">
        <v>66</v>
      </c>
      <c r="I64" s="43"/>
      <c r="J64" s="4">
        <f>R64+S64+IF(OR(H64="Junior",H64="Senior"),0.0002,IF(OR(H64="L7",H64="L6"),0.0001,0))+MAX(X64,Z64)*0.0000001</f>
        <v>62.5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1" t="str">
        <f>IF(A64&lt;5,IF(_xlfn.MAXIFS(A:A,G:G,G64)&gt;3,5-A64,_xlfn.MAXIFS(A:A,G:G,G64)+1-A64),"")</f>
        <v/>
      </c>
      <c r="R64" s="4">
        <f>MAX(T64,X64)</f>
        <v>41.8</v>
      </c>
      <c r="S64" s="4">
        <f>IF(R64=T64,MAX(V64,X64,Z64),IF(R64=X64,MAX(T64,V64,Z64),0))</f>
        <v>20.7</v>
      </c>
      <c r="T64" s="33">
        <v>41.8</v>
      </c>
      <c r="U64" s="40">
        <v>7.1</v>
      </c>
      <c r="V64" s="34">
        <v>20.7</v>
      </c>
      <c r="W64" s="40">
        <v>2.7</v>
      </c>
      <c r="X64" s="33"/>
      <c r="Y64" s="40"/>
      <c r="Z64" s="34"/>
      <c r="AA64" s="37"/>
    </row>
    <row r="65" spans="1:27" x14ac:dyDescent="0.2">
      <c r="A65" s="1" t="str" cm="1">
        <f t="array" ref="A65">IF(I65="","",IF(P65&lt;&gt;"",SUMPRODUCT((P$3:P$65&lt;&gt;"")*(G$3:G$65=G65)*(J$3:J$65&gt;J65)*(I$3:I$65="P"))+1,IF(O65&lt;&gt;"",SUMPRODUCT((O$3:O$65&lt;&gt;"")*(P$3:P$65="")*(G$3:G$65=G65)*(J$3:J$65&gt;J65)*(I$3:I$65="P"))+SUMPRODUCT((P$3:P$65&lt;&gt;"")*(G$3:G$65=G65)*(I$3:I$65="P"))+1,IF(N65&lt;&gt;"",SUMPRODUCT((N$3:N$65&lt;&gt;"")*(G$3:G$65=G65)*(J$3:J$65&gt;J65)*(I$3:I$65="P"))+1,IF(M65="P",SUMPRODUCT((O$3:O$65&lt;&gt;"")*(P$3:P$65="")*(G$3:G$65=G65)*(I$3:I$65="P"))+SUMPRODUCT((P$3:P$65&lt;&gt;"")*(G$3:G$65=G65)*(I$3:I$65="P"))+SUMPRODUCT((N$3:N$65&lt;&gt;"")*(G$3:G$65=G65)*(I$3:I$65="P"))+SUMPRODUCT((P$3:P$65="")*(O$3:O$65="")*(N$3:N$65="")*(M$3:M$65="P")*(G$3:G$65=G65)*(J$3:J$65&gt;J65)*(I$3:I$65="P"))+IF(H65="L5",SUMPRODUCT((P$3:P$65="")*(O$3:O$65="")*(N$3:N$65="")*(M$3:M$65="P")*(G$3:G$65=G65)*(J$3:J$65&lt;J65)*(H$3:H$65&lt;&gt;H65)*(I$3:I$65="P")),-1*SUMPRODUCT((P$3:P$65="")*(O$3:O$65="")*(N$3:N$65="")*(M$3:M$65="P")*(G$3:G$65=G65)*(J$3:J$65&gt;J65)*(H$3:H$65="L5")*(I$3:I$65="P")))+1,"")))))</f>
        <v/>
      </c>
      <c r="B65" s="1" t="str" cm="1">
        <f t="array" ref="B65">IF(P65&lt;&gt;"",SUMPRODUCT((P$3:P$65&lt;&gt;"")*(G$3:G$65=G65)*(J$3:J$65&gt;J65))+1,IF(O65&lt;&gt;"",SUMPRODUCT((O$3:O$65&lt;&gt;"")*(P$3:P$65="")*(G$3:G$65=G65)*(J$3:J$65&gt;J65))+SUMPRODUCT((P$3:P$65&lt;&gt;"")*(G$3:G$65=G65))+1,IF(N65&lt;&gt;"",SUMPRODUCT((N$3:N$65&lt;&gt;"")*(G$3:G$65=G65)*(J$3:J$65&gt;J65))+1,IF(M65="P",SUMPRODUCT((O$3:O$65&lt;&gt;"")*(P$3:P$65="")*(G$3:G$65=G65))+SUMPRODUCT((P$3:P$65&lt;&gt;"")*(G$3:G$65=G65))+SUMPRODUCT((N$3:N$65&lt;&gt;"")*(G$3:G$65=G65))+SUMPRODUCT((P$3:P$65="")*(O$3:O$65="")*(N$3:N$65="")*(M$3:M$65="P")*(G$3:G$65=G65)*(J$3:J$65&gt;J65))+IF(H65="L5",SUMPRODUCT((P$3:P$65="")*(O$3:O$65="")*(N$3:N$65="")*(M$3:M$65="P")*(G$3:G$65=G65)*(J$3:J$65&lt;J65)*(H$3:H$65&lt;&gt;H65)),-1*SUMPRODUCT((P$3:P$65="")*(O$3:O$65="")*(N$3:N$65="")*(M$3:M$65="P")*(G$3:G$65=G65)*(J$3:J$65&gt;J65)*(H$3:H$65="L5")))+1,""))))</f>
        <v/>
      </c>
      <c r="C65" s="36" t="s">
        <v>328</v>
      </c>
      <c r="D65" s="36" t="str">
        <f>IF(E65="","",VLOOKUP(E65,'Coaching Points'!A:B,2,0))</f>
        <v>ON</v>
      </c>
      <c r="E65" s="36" t="s">
        <v>113</v>
      </c>
      <c r="F65" s="35">
        <v>2011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9" t="s">
        <v>66</v>
      </c>
      <c r="I65" s="43"/>
      <c r="J65" s="4">
        <f>R65+S65+IF(OR(H65="Junior",H65="Senior"),0.0002,IF(OR(H65="L7",H65="L6"),0.0001,0))+MAX(X65,Z65)*0.0000001</f>
        <v>78.400000000000006</v>
      </c>
      <c r="K65" s="3" t="str">
        <f>IF(G65="Not Age Eligible","",IF(MAX(T65,V65,X65,Z65)&gt;=LOOKUP(G65,'Qualifying Scores'!$A$4:$A$7,'Qualifying Scores'!$F$4:$F$7),"P",""))</f>
        <v/>
      </c>
      <c r="L65" s="3" t="str">
        <f>IF(G65="Not Age Eligible","",IF(MAX(U65,W65,Y65,AA65)&gt;=LOOKUP(G65,'Qualifying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MAX(T65,X65)</f>
        <v>42.1</v>
      </c>
      <c r="S65" s="4">
        <f>IF(R65=T65,MAX(V65,X65,Z65),IF(R65=X65,MAX(T65,V65,Z65),0))</f>
        <v>36.299999999999997</v>
      </c>
      <c r="T65" s="33">
        <v>42.1</v>
      </c>
      <c r="U65" s="40">
        <v>4.8000000000000007</v>
      </c>
      <c r="V65" s="34">
        <v>36.299999999999997</v>
      </c>
      <c r="W65" s="40">
        <v>4.2</v>
      </c>
      <c r="X65" s="33"/>
      <c r="Y65" s="40"/>
      <c r="Z65" s="34"/>
      <c r="AA65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65">
      <sortCondition descending="1" ref="G1:G66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27" priority="21">
      <formula>IF($G1="17-21",1,0)</formula>
    </cfRule>
    <cfRule type="expression" dxfId="26" priority="22">
      <formula>IF($G1="15-16",1,0)</formula>
    </cfRule>
    <cfRule type="expression" dxfId="25" priority="23">
      <formula>IF($G1="13-14",1,0)</formula>
    </cfRule>
    <cfRule type="expression" dxfId="24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69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$69&lt;&gt;"")*(G$3:G$69=G3)*(J$3:J$69&gt;J3)*(I$3:I$69="P"))+1,IF(O3&lt;&gt;"",SUMPRODUCT((O$3:O$69&lt;&gt;"")*(P$3:P$69="")*(G$3:G$69=G3)*(J$3:J$69&gt;J3)*(I$3:I$69="P"))+SUMPRODUCT((P$3:P$69&lt;&gt;"")*(G$3:G$69=G3)*(I$3:I$69="P"))+1,IF(N3&lt;&gt;"",SUMPRODUCT((N$3:N$69&lt;&gt;"")*(G$3:G$69=G3)*(J$3:J$69&gt;J3)*(I$3:I$69="P"))+1,IF(M3="P",SUMPRODUCT((O$3:O$69&lt;&gt;"")*(P$3:P$69="")*(G$3:G$69=G3)*(I$3:I$69="P"))+SUMPRODUCT((P$3:P$69&lt;&gt;"")*(G$3:G$69=G3)*(I$3:I$69="P"))+SUMPRODUCT((N$3:N$69&lt;&gt;"")*(G$3:G$69=G3)*(I$3:I$69="P"))+SUMPRODUCT((P$3:P$69="")*(O$3:O$69="")*(N$3:N$69="")*(M$3:M$69="P")*(G$3:G$69=G3)*(J$3:J$69&gt;J3)*(I$3:I$69="P"))+IF(H3="L5",SUMPRODUCT((P$3:P$69="")*(O$3:O$69="")*(N$3:N$69="")*(M$3:M$69="P")*(G$3:G$69=G3)*(J$3:J$69&lt;J3)*(H$3:H$69&lt;&gt;H3)*(I$3:I$69="P")),-1*SUMPRODUCT((P$3:P$69="")*(O$3:O$69="")*(N$3:N$69="")*(M$3:M$69="P")*(G$3:G$69=G3)*(J$3:J$69&gt;J3)*(H$3:H$69="L5")*(I$3:I$69="P")))+1,"")))))</f>
        <v/>
      </c>
      <c r="B3" s="1" cm="1">
        <f t="array" ref="B3">IF(P3&lt;&gt;"",SUMPRODUCT((P$3:P$69&lt;&gt;"")*(G$3:G$69=G3)*(J$3:J$69&gt;J3))+1,IF(O3&lt;&gt;"",SUMPRODUCT((O$3:O$69&lt;&gt;"")*(P$3:P$69="")*(G$3:G$69=G3)*(J$3:J$69&gt;J3))+SUMPRODUCT((P$3:P$69&lt;&gt;"")*(G$3:G$69=G3))+1,IF(N3&lt;&gt;"",SUMPRODUCT((N$3:N$69&lt;&gt;"")*(G$3:G$69=G3)*(J$3:J$69&gt;J3))+1,IF(M3="P",SUMPRODUCT((O$3:O$69&lt;&gt;"")*(P$3:P$69="")*(G$3:G$69=G3))+SUMPRODUCT((P$3:P$69&lt;&gt;"")*(G$3:G$69=G3))+SUMPRODUCT((N$3:N$69&lt;&gt;"")*(G$3:G$69=G3))+SUMPRODUCT((P$3:P$69="")*(O$3:O$69="")*(N$3:N$69="")*(M$3:M$69="P")*(G$3:G$69=G3)*(J$3:J$69&gt;J3))+IF(H3="L5",SUMPRODUCT((P$3:P$69="")*(O$3:O$69="")*(N$3:N$69="")*(M$3:M$69="P")*(G$3:G$69=G3)*(J$3:J$69&lt;J3)*(H$3:H$69&lt;&gt;H3)),-1*SUMPRODUCT((P$3:P$69="")*(O$3:O$69="")*(N$3:N$69="")*(M$3:M$69="P")*(G$3:G$69=G3)*(J$3:J$69&gt;J3)*(H$3:H$69="L5")))+1,""))))</f>
        <v>1</v>
      </c>
      <c r="C3" s="36" t="s">
        <v>364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74</v>
      </c>
      <c r="I3" s="43"/>
      <c r="J3" s="4">
        <f>R3+S3+IF(OR(H3="Junior",H3="Senior"),0.0002,IF(OR(H3="L7",H3="L6"),0.0001,0))+MAX(X3,Z3)*0.0000001</f>
        <v>100.50020000000001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>IF(A3&lt;5,IF(_xlfn.MAXIFS(A:A,G:G,G3)&gt;3,5-A3,_xlfn.MAXIFS(A:A,G:G,G3)+1-A3),"")</f>
        <v/>
      </c>
      <c r="R3" s="4">
        <f>MAX(T3,X3)</f>
        <v>50.5</v>
      </c>
      <c r="S3" s="4">
        <f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$69&lt;&gt;"")*(G$3:G$69=G4)*(J$3:J$69&gt;J4)*(I$3:I$69="P"))+1,IF(O4&lt;&gt;"",SUMPRODUCT((O$3:O$69&lt;&gt;"")*(P$3:P$69="")*(G$3:G$69=G4)*(J$3:J$69&gt;J4)*(I$3:I$69="P"))+SUMPRODUCT((P$3:P$69&lt;&gt;"")*(G$3:G$69=G4)*(I$3:I$69="P"))+1,IF(N4&lt;&gt;"",SUMPRODUCT((N$3:N$69&lt;&gt;"")*(G$3:G$69=G4)*(J$3:J$69&gt;J4)*(I$3:I$69="P"))+1,IF(M4="P",SUMPRODUCT((O$3:O$69&lt;&gt;"")*(P$3:P$69="")*(G$3:G$69=G4)*(I$3:I$69="P"))+SUMPRODUCT((P$3:P$69&lt;&gt;"")*(G$3:G$69=G4)*(I$3:I$69="P"))+SUMPRODUCT((N$3:N$69&lt;&gt;"")*(G$3:G$69=G4)*(I$3:I$69="P"))+SUMPRODUCT((P$3:P$69="")*(O$3:O$69="")*(N$3:N$69="")*(M$3:M$69="P")*(G$3:G$69=G4)*(J$3:J$69&gt;J4)*(I$3:I$69="P"))+IF(H4="L5",SUMPRODUCT((P$3:P$69="")*(O$3:O$69="")*(N$3:N$69="")*(M$3:M$69="P")*(G$3:G$69=G4)*(J$3:J$69&lt;J4)*(H$3:H$69&lt;&gt;H4)*(I$3:I$69="P")),-1*SUMPRODUCT((P$3:P$69="")*(O$3:O$69="")*(N$3:N$69="")*(M$3:M$69="P")*(G$3:G$69=G4)*(J$3:J$69&gt;J4)*(H$3:H$69="L5")*(I$3:I$69="P")))+1,"")))))</f>
        <v/>
      </c>
      <c r="B4" s="1" cm="1">
        <f t="array" ref="B4">IF(P4&lt;&gt;"",SUMPRODUCT((P$3:P$69&lt;&gt;"")*(G$3:G$69=G4)*(J$3:J$69&gt;J4))+1,IF(O4&lt;&gt;"",SUMPRODUCT((O$3:O$69&lt;&gt;"")*(P$3:P$69="")*(G$3:G$69=G4)*(J$3:J$69&gt;J4))+SUMPRODUCT((P$3:P$69&lt;&gt;"")*(G$3:G$69=G4))+1,IF(N4&lt;&gt;"",SUMPRODUCT((N$3:N$69&lt;&gt;"")*(G$3:G$69=G4)*(J$3:J$69&gt;J4))+1,IF(M4="P",SUMPRODUCT((O$3:O$69&lt;&gt;"")*(P$3:P$69="")*(G$3:G$69=G4))+SUMPRODUCT((P$3:P$69&lt;&gt;"")*(G$3:G$69=G4))+SUMPRODUCT((N$3:N$69&lt;&gt;"")*(G$3:G$69=G4))+SUMPRODUCT((P$3:P$69="")*(O$3:O$69="")*(N$3:N$69="")*(M$3:M$69="P")*(G$3:G$69=G4)*(J$3:J$69&gt;J4))+IF(H4="L5",SUMPRODUCT((P$3:P$69="")*(O$3:O$69="")*(N$3:N$69="")*(M$3:M$69="P")*(G$3:G$69=G4)*(J$3:J$69&lt;J4)*(H$3:H$69&lt;&gt;H4)),-1*SUMPRODUCT((P$3:P$69="")*(O$3:O$69="")*(N$3:N$69="")*(M$3:M$69="P")*(G$3:G$69=G4)*(J$3:J$69&gt;J4)*(H$3:H$69="L5")))+1,""))))</f>
        <v>2</v>
      </c>
      <c r="C4" s="36" t="s">
        <v>365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74</v>
      </c>
      <c r="I4" s="43"/>
      <c r="J4" s="4">
        <f>R4+S4+IF(OR(H4="Junior",H4="Senior"),0.0002,IF(OR(H4="L7",H4="L6"),0.0001,0))+MAX(X4,Z4)*0.0000001</f>
        <v>99.100200000000001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3</v>
      </c>
      <c r="Q4" s="1" t="str">
        <f>IF(A4&lt;5,IF(_xlfn.MAXIFS(A:A,G:G,G4)&gt;3,5-A4,_xlfn.MAXIFS(A:A,G:G,G4)+1-A4),"")</f>
        <v/>
      </c>
      <c r="R4" s="4">
        <f>MAX(T4,X4)</f>
        <v>49.9</v>
      </c>
      <c r="S4" s="4">
        <f>IF(R4=T4,MAX(V4,X4,Z4),IF(R4=X4,MAX(T4,V4,Z4),0))</f>
        <v>49.2</v>
      </c>
      <c r="T4" s="33">
        <v>49.9</v>
      </c>
      <c r="U4" s="40">
        <v>12.4</v>
      </c>
      <c r="V4" s="34">
        <v>49.2</v>
      </c>
      <c r="W4" s="40">
        <v>12.4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$69&lt;&gt;"")*(G$3:G$69=G5)*(J$3:J$69&gt;J5)*(I$3:I$69="P"))+1,IF(O5&lt;&gt;"",SUMPRODUCT((O$3:O$69&lt;&gt;"")*(P$3:P$69="")*(G$3:G$69=G5)*(J$3:J$69&gt;J5)*(I$3:I$69="P"))+SUMPRODUCT((P$3:P$69&lt;&gt;"")*(G$3:G$69=G5)*(I$3:I$69="P"))+1,IF(N5&lt;&gt;"",SUMPRODUCT((N$3:N$69&lt;&gt;"")*(G$3:G$69=G5)*(J$3:J$69&gt;J5)*(I$3:I$69="P"))+1,IF(M5="P",SUMPRODUCT((O$3:O$69&lt;&gt;"")*(P$3:P$69="")*(G$3:G$69=G5)*(I$3:I$69="P"))+SUMPRODUCT((P$3:P$69&lt;&gt;"")*(G$3:G$69=G5)*(I$3:I$69="P"))+SUMPRODUCT((N$3:N$69&lt;&gt;"")*(G$3:G$69=G5)*(I$3:I$69="P"))+SUMPRODUCT((P$3:P$69="")*(O$3:O$69="")*(N$3:N$69="")*(M$3:M$69="P")*(G$3:G$69=G5)*(J$3:J$69&gt;J5)*(I$3:I$69="P"))+IF(H5="L5",SUMPRODUCT((P$3:P$69="")*(O$3:O$69="")*(N$3:N$69="")*(M$3:M$69="P")*(G$3:G$69=G5)*(J$3:J$69&lt;J5)*(H$3:H$69&lt;&gt;H5)*(I$3:I$69="P")),-1*SUMPRODUCT((P$3:P$69="")*(O$3:O$69="")*(N$3:N$69="")*(M$3:M$69="P")*(G$3:G$69=G5)*(J$3:J$69&gt;J5)*(H$3:H$69="L5")*(I$3:I$69="P")))+1,"")))))</f>
        <v/>
      </c>
      <c r="B5" s="1" cm="1">
        <f t="array" ref="B5">IF(P5&lt;&gt;"",SUMPRODUCT((P$3:P$69&lt;&gt;"")*(G$3:G$69=G5)*(J$3:J$69&gt;J5))+1,IF(O5&lt;&gt;"",SUMPRODUCT((O$3:O$69&lt;&gt;"")*(P$3:P$69="")*(G$3:G$69=G5)*(J$3:J$69&gt;J5))+SUMPRODUCT((P$3:P$69&lt;&gt;"")*(G$3:G$69=G5))+1,IF(N5&lt;&gt;"",SUMPRODUCT((N$3:N$69&lt;&gt;"")*(G$3:G$69=G5)*(J$3:J$69&gt;J5))+1,IF(M5="P",SUMPRODUCT((O$3:O$69&lt;&gt;"")*(P$3:P$69="")*(G$3:G$69=G5))+SUMPRODUCT((P$3:P$69&lt;&gt;"")*(G$3:G$69=G5))+SUMPRODUCT((N$3:N$69&lt;&gt;"")*(G$3:G$69=G5))+SUMPRODUCT((P$3:P$69="")*(O$3:O$69="")*(N$3:N$69="")*(M$3:M$69="P")*(G$3:G$69=G5)*(J$3:J$69&gt;J5))+IF(H5="L5",SUMPRODUCT((P$3:P$69="")*(O$3:O$69="")*(N$3:N$69="")*(M$3:M$69="P")*(G$3:G$69=G5)*(J$3:J$69&lt;J5)*(H$3:H$69&lt;&gt;H5)),-1*SUMPRODUCT((P$3:P$69="")*(O$3:O$69="")*(N$3:N$69="")*(M$3:M$69="P")*(G$3:G$69=G5)*(J$3:J$69&gt;J5)*(H$3:H$69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74</v>
      </c>
      <c r="I5" s="43"/>
      <c r="J5" s="4">
        <f>R5+S5+IF(OR(H5="Junior",H5="Senior"),0.0002,IF(OR(H5="L7",H5="L6"),0.0001,0))+MAX(X5,Z5)*0.0000001</f>
        <v>95.700200000000009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5</v>
      </c>
      <c r="Q5" s="1" t="str">
        <f>IF(A5&lt;5,IF(_xlfn.MAXIFS(A:A,G:G,G5)&gt;3,5-A5,_xlfn.MAXIFS(A:A,G:G,G5)+1-A5),"")</f>
        <v/>
      </c>
      <c r="R5" s="4">
        <f>MAX(T5,X5)</f>
        <v>48.6</v>
      </c>
      <c r="S5" s="4">
        <f>IF(R5=T5,MAX(V5,X5,Z5),IF(R5=X5,MAX(T5,V5,Z5),0))</f>
        <v>47.1</v>
      </c>
      <c r="T5" s="33">
        <v>48.6</v>
      </c>
      <c r="U5" s="40">
        <v>11.6</v>
      </c>
      <c r="V5" s="34">
        <v>47.1</v>
      </c>
      <c r="W5" s="40">
        <v>11.2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$69&lt;&gt;"")*(G$3:G$69=G6)*(J$3:J$69&gt;J6)*(I$3:I$69="P"))+1,IF(O6&lt;&gt;"",SUMPRODUCT((O$3:O$69&lt;&gt;"")*(P$3:P$69="")*(G$3:G$69=G6)*(J$3:J$69&gt;J6)*(I$3:I$69="P"))+SUMPRODUCT((P$3:P$69&lt;&gt;"")*(G$3:G$69=G6)*(I$3:I$69="P"))+1,IF(N6&lt;&gt;"",SUMPRODUCT((N$3:N$69&lt;&gt;"")*(G$3:G$69=G6)*(J$3:J$69&gt;J6)*(I$3:I$69="P"))+1,IF(M6="P",SUMPRODUCT((O$3:O$69&lt;&gt;"")*(P$3:P$69="")*(G$3:G$69=G6)*(I$3:I$69="P"))+SUMPRODUCT((P$3:P$69&lt;&gt;"")*(G$3:G$69=G6)*(I$3:I$69="P"))+SUMPRODUCT((N$3:N$69&lt;&gt;"")*(G$3:G$69=G6)*(I$3:I$69="P"))+SUMPRODUCT((P$3:P$69="")*(O$3:O$69="")*(N$3:N$69="")*(M$3:M$69="P")*(G$3:G$69=G6)*(J$3:J$69&gt;J6)*(I$3:I$69="P"))+IF(H6="L5",SUMPRODUCT((P$3:P$69="")*(O$3:O$69="")*(N$3:N$69="")*(M$3:M$69="P")*(G$3:G$69=G6)*(J$3:J$69&lt;J6)*(H$3:H$69&lt;&gt;H6)*(I$3:I$69="P")),-1*SUMPRODUCT((P$3:P$69="")*(O$3:O$69="")*(N$3:N$69="")*(M$3:M$69="P")*(G$3:G$69=G6)*(J$3:J$69&gt;J6)*(H$3:H$69="L5")*(I$3:I$69="P")))+1,"")))))</f>
        <v/>
      </c>
      <c r="B6" s="1" cm="1">
        <f t="array" ref="B6">IF(P6&lt;&gt;"",SUMPRODUCT((P$3:P$69&lt;&gt;"")*(G$3:G$69=G6)*(J$3:J$69&gt;J6))+1,IF(O6&lt;&gt;"",SUMPRODUCT((O$3:O$69&lt;&gt;"")*(P$3:P$69="")*(G$3:G$69=G6)*(J$3:J$69&gt;J6))+SUMPRODUCT((P$3:P$69&lt;&gt;"")*(G$3:G$69=G6))+1,IF(N6&lt;&gt;"",SUMPRODUCT((N$3:N$69&lt;&gt;"")*(G$3:G$69=G6)*(J$3:J$69&gt;J6))+1,IF(M6="P",SUMPRODUCT((O$3:O$69&lt;&gt;"")*(P$3:P$69="")*(G$3:G$69=G6))+SUMPRODUCT((P$3:P$69&lt;&gt;"")*(G$3:G$69=G6))+SUMPRODUCT((N$3:N$69&lt;&gt;"")*(G$3:G$69=G6))+SUMPRODUCT((P$3:P$69="")*(O$3:O$69="")*(N$3:N$69="")*(M$3:M$69="P")*(G$3:G$69=G6)*(J$3:J$69&gt;J6))+IF(H6="L5",SUMPRODUCT((P$3:P$69="")*(O$3:O$69="")*(N$3:N$69="")*(M$3:M$69="P")*(G$3:G$69=G6)*(J$3:J$69&lt;J6)*(H$3:H$69&lt;&gt;H6)),-1*SUMPRODUCT((P$3:P$69="")*(O$3:O$69="")*(N$3:N$69="")*(M$3:M$69="P")*(G$3:G$69=G6)*(J$3:J$69&gt;J6)*(H$3:H$69="L5")))+1,""))))</f>
        <v>4</v>
      </c>
      <c r="C6" s="36" t="s">
        <v>362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68</v>
      </c>
      <c r="I6" s="43"/>
      <c r="J6" s="4">
        <f>R6+S6+IF(OR(H6="Junior",H6="Senior"),0.0002,IF(OR(H6="L7",H6="L6"),0.0001,0))+MAX(X6,Z6)*0.0000001</f>
        <v>93.100099999999998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 t="str">
        <f>IF(A6&lt;5,IF(_xlfn.MAXIFS(A:A,G:G,G6)&gt;3,5-A6,_xlfn.MAXIFS(A:A,G:G,G6)+1-A6),"")</f>
        <v/>
      </c>
      <c r="R6" s="4">
        <f>MAX(T6,X6)</f>
        <v>47</v>
      </c>
      <c r="S6" s="4">
        <f>IF(R6=T6,MAX(V6,X6,Z6),IF(R6=X6,MAX(T6,V6,Z6),0))</f>
        <v>46.1</v>
      </c>
      <c r="T6" s="33">
        <v>47</v>
      </c>
      <c r="U6" s="40">
        <v>10.4</v>
      </c>
      <c r="V6" s="34">
        <v>46.1</v>
      </c>
      <c r="W6" s="40">
        <v>10.4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$69&lt;&gt;"")*(G$3:G$69=G7)*(J$3:J$69&gt;J7)*(I$3:I$69="P"))+1,IF(O7&lt;&gt;"",SUMPRODUCT((O$3:O$69&lt;&gt;"")*(P$3:P$69="")*(G$3:G$69=G7)*(J$3:J$69&gt;J7)*(I$3:I$69="P"))+SUMPRODUCT((P$3:P$69&lt;&gt;"")*(G$3:G$69=G7)*(I$3:I$69="P"))+1,IF(N7&lt;&gt;"",SUMPRODUCT((N$3:N$69&lt;&gt;"")*(G$3:G$69=G7)*(J$3:J$69&gt;J7)*(I$3:I$69="P"))+1,IF(M7="P",SUMPRODUCT((O$3:O$69&lt;&gt;"")*(P$3:P$69="")*(G$3:G$69=G7)*(I$3:I$69="P"))+SUMPRODUCT((P$3:P$69&lt;&gt;"")*(G$3:G$69=G7)*(I$3:I$69="P"))+SUMPRODUCT((N$3:N$69&lt;&gt;"")*(G$3:G$69=G7)*(I$3:I$69="P"))+SUMPRODUCT((P$3:P$69="")*(O$3:O$69="")*(N$3:N$69="")*(M$3:M$69="P")*(G$3:G$69=G7)*(J$3:J$69&gt;J7)*(I$3:I$69="P"))+IF(H7="L5",SUMPRODUCT((P$3:P$69="")*(O$3:O$69="")*(N$3:N$69="")*(M$3:M$69="P")*(G$3:G$69=G7)*(J$3:J$69&lt;J7)*(H$3:H$69&lt;&gt;H7)*(I$3:I$69="P")),-1*SUMPRODUCT((P$3:P$69="")*(O$3:O$69="")*(N$3:N$69="")*(M$3:M$69="P")*(G$3:G$69=G7)*(J$3:J$69&gt;J7)*(H$3:H$69="L5")*(I$3:I$69="P")))+1,"")))))</f>
        <v/>
      </c>
      <c r="B7" s="1" cm="1">
        <f t="array" ref="B7">IF(P7&lt;&gt;"",SUMPRODUCT((P$3:P$69&lt;&gt;"")*(G$3:G$69=G7)*(J$3:J$69&gt;J7))+1,IF(O7&lt;&gt;"",SUMPRODUCT((O$3:O$69&lt;&gt;"")*(P$3:P$69="")*(G$3:G$69=G7)*(J$3:J$69&gt;J7))+SUMPRODUCT((P$3:P$69&lt;&gt;"")*(G$3:G$69=G7))+1,IF(N7&lt;&gt;"",SUMPRODUCT((N$3:N$69&lt;&gt;"")*(G$3:G$69=G7)*(J$3:J$69&gt;J7))+1,IF(M7="P",SUMPRODUCT((O$3:O$69&lt;&gt;"")*(P$3:P$69="")*(G$3:G$69=G7))+SUMPRODUCT((P$3:P$69&lt;&gt;"")*(G$3:G$69=G7))+SUMPRODUCT((N$3:N$69&lt;&gt;"")*(G$3:G$69=G7))+SUMPRODUCT((P$3:P$69="")*(O$3:O$69="")*(N$3:N$69="")*(M$3:M$69="P")*(G$3:G$69=G7)*(J$3:J$69&gt;J7))+IF(H7="L5",SUMPRODUCT((P$3:P$69="")*(O$3:O$69="")*(N$3:N$69="")*(M$3:M$69="P")*(G$3:G$69=G7)*(J$3:J$69&lt;J7)*(H$3:H$69&lt;&gt;H7)),-1*SUMPRODUCT((P$3:P$69="")*(O$3:O$69="")*(N$3:N$69="")*(M$3:M$69="P")*(G$3:G$69=G7)*(J$3:J$69&gt;J7)*(H$3:H$69="L5")))+1,""))))</f>
        <v>5</v>
      </c>
      <c r="C7" s="36" t="s">
        <v>366</v>
      </c>
      <c r="D7" s="36" t="str">
        <f>IF(E7="","",VLOOKUP(E7,'Coaching Points'!A:B,2,0))</f>
        <v>QC</v>
      </c>
      <c r="E7" s="36" t="s">
        <v>292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74</v>
      </c>
      <c r="I7" s="43"/>
      <c r="J7" s="4">
        <f>R7+S7+IF(OR(H7="Junior",H7="Senior"),0.0002,IF(OR(H7="L7",H7="L6"),0.0001,0))+MAX(X7,Z7)*0.0000001</f>
        <v>70.200200000000009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MAX(T7,X7)</f>
        <v>47</v>
      </c>
      <c r="S7" s="4">
        <f>IF(R7=T7,MAX(V7,X7,Z7),IF(R7=X7,MAX(T7,V7,Z7),0))</f>
        <v>23.2</v>
      </c>
      <c r="T7" s="33">
        <v>47</v>
      </c>
      <c r="U7" s="40">
        <v>10.8</v>
      </c>
      <c r="V7" s="34">
        <v>23.2</v>
      </c>
      <c r="W7" s="40">
        <v>5.2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$69&lt;&gt;"")*(G$3:G$69=G8)*(J$3:J$69&gt;J8)*(I$3:I$69="P"))+1,IF(O8&lt;&gt;"",SUMPRODUCT((O$3:O$69&lt;&gt;"")*(P$3:P$69="")*(G$3:G$69=G8)*(J$3:J$69&gt;J8)*(I$3:I$69="P"))+SUMPRODUCT((P$3:P$69&lt;&gt;"")*(G$3:G$69=G8)*(I$3:I$69="P"))+1,IF(N8&lt;&gt;"",SUMPRODUCT((N$3:N$69&lt;&gt;"")*(G$3:G$69=G8)*(J$3:J$69&gt;J8)*(I$3:I$69="P"))+1,IF(M8="P",SUMPRODUCT((O$3:O$69&lt;&gt;"")*(P$3:P$69="")*(G$3:G$69=G8)*(I$3:I$69="P"))+SUMPRODUCT((P$3:P$69&lt;&gt;"")*(G$3:G$69=G8)*(I$3:I$69="P"))+SUMPRODUCT((N$3:N$69&lt;&gt;"")*(G$3:G$69=G8)*(I$3:I$69="P"))+SUMPRODUCT((P$3:P$69="")*(O$3:O$69="")*(N$3:N$69="")*(M$3:M$69="P")*(G$3:G$69=G8)*(J$3:J$69&gt;J8)*(I$3:I$69="P"))+IF(H8="L5",SUMPRODUCT((P$3:P$69="")*(O$3:O$69="")*(N$3:N$69="")*(M$3:M$69="P")*(G$3:G$69=G8)*(J$3:J$69&lt;J8)*(H$3:H$69&lt;&gt;H8)*(I$3:I$69="P")),-1*SUMPRODUCT((P$3:P$69="")*(O$3:O$69="")*(N$3:N$69="")*(M$3:M$69="P")*(G$3:G$69=G8)*(J$3:J$69&gt;J8)*(H$3:H$69="L5")*(I$3:I$69="P")))+1,"")))))</f>
        <v/>
      </c>
      <c r="B8" s="1" t="str" cm="1">
        <f t="array" ref="B8">IF(P8&lt;&gt;"",SUMPRODUCT((P$3:P$69&lt;&gt;"")*(G$3:G$69=G8)*(J$3:J$69&gt;J8))+1,IF(O8&lt;&gt;"",SUMPRODUCT((O$3:O$69&lt;&gt;"")*(P$3:P$69="")*(G$3:G$69=G8)*(J$3:J$69&gt;J8))+SUMPRODUCT((P$3:P$69&lt;&gt;"")*(G$3:G$69=G8))+1,IF(N8&lt;&gt;"",SUMPRODUCT((N$3:N$69&lt;&gt;"")*(G$3:G$69=G8)*(J$3:J$69&gt;J8))+1,IF(M8="P",SUMPRODUCT((O$3:O$69&lt;&gt;"")*(P$3:P$69="")*(G$3:G$69=G8))+SUMPRODUCT((P$3:P$69&lt;&gt;"")*(G$3:G$69=G8))+SUMPRODUCT((N$3:N$69&lt;&gt;"")*(G$3:G$69=G8))+SUMPRODUCT((P$3:P$69="")*(O$3:O$69="")*(N$3:N$69="")*(M$3:M$69="P")*(G$3:G$69=G8)*(J$3:J$69&gt;J8))+IF(H8="L5",SUMPRODUCT((P$3:P$69="")*(O$3:O$69="")*(N$3:N$69="")*(M$3:M$69="P")*(G$3:G$69=G8)*(J$3:J$69&lt;J8)*(H$3:H$69&lt;&gt;H8)),-1*SUMPRODUCT((P$3:P$69="")*(O$3:O$69="")*(N$3:N$69="")*(M$3:M$69="P")*(G$3:G$69=G8)*(J$3:J$69&gt;J8)*(H$3:H$69="L5")))+1,""))))</f>
        <v/>
      </c>
      <c r="C8" s="36" t="s">
        <v>147</v>
      </c>
      <c r="D8" s="36" t="str">
        <f>IF(E8="","",VLOOKUP(E8,'Coaching Points'!A:B,2,0))</f>
        <v>SK</v>
      </c>
      <c r="E8" s="36" t="s">
        <v>45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68</v>
      </c>
      <c r="I8" s="43"/>
      <c r="J8" s="4">
        <f>R8+S8+IF(OR(H8="Junior",H8="Senior"),0.0002,IF(OR(H8="L7",H8="L6"),0.0001,0))+MAX(X8,Z8)*0.0000001</f>
        <v>89.900100000000009</v>
      </c>
      <c r="K8" s="3" t="str">
        <f>IF(G8="Not Age Eligible","",IF(MAX(T8,V8,X8,Z8)&gt;=LOOKUP(G8,'Qualifying Scores'!$A$4:$A$7,'Qualifying Scores'!$G$4:$G$7),"P",""))</f>
        <v/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/>
      </c>
      <c r="Q8" s="1" t="str">
        <f>IF(A8&lt;5,IF(_xlfn.MAXIFS(A:A,G:G,G8)&gt;3,5-A8,_xlfn.MAXIFS(A:A,G:G,G8)+1-A8),"")</f>
        <v/>
      </c>
      <c r="R8" s="4">
        <f>MAX(T8,X8)</f>
        <v>45.3</v>
      </c>
      <c r="S8" s="4">
        <f>IF(R8=T8,MAX(V8,X8,Z8),IF(R8=X8,MAX(T8,V8,Z8),0))</f>
        <v>44.6</v>
      </c>
      <c r="T8" s="33">
        <v>45.3</v>
      </c>
      <c r="U8" s="40">
        <v>10.4</v>
      </c>
      <c r="V8" s="34">
        <v>44.6</v>
      </c>
      <c r="W8" s="40">
        <v>10.4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$69&lt;&gt;"")*(G$3:G$69=G9)*(J$3:J$69&gt;J9)*(I$3:I$69="P"))+1,IF(O9&lt;&gt;"",SUMPRODUCT((O$3:O$69&lt;&gt;"")*(P$3:P$69="")*(G$3:G$69=G9)*(J$3:J$69&gt;J9)*(I$3:I$69="P"))+SUMPRODUCT((P$3:P$69&lt;&gt;"")*(G$3:G$69=G9)*(I$3:I$69="P"))+1,IF(N9&lt;&gt;"",SUMPRODUCT((N$3:N$69&lt;&gt;"")*(G$3:G$69=G9)*(J$3:J$69&gt;J9)*(I$3:I$69="P"))+1,IF(M9="P",SUMPRODUCT((O$3:O$69&lt;&gt;"")*(P$3:P$69="")*(G$3:G$69=G9)*(I$3:I$69="P"))+SUMPRODUCT((P$3:P$69&lt;&gt;"")*(G$3:G$69=G9)*(I$3:I$69="P"))+SUMPRODUCT((N$3:N$69&lt;&gt;"")*(G$3:G$69=G9)*(I$3:I$69="P"))+SUMPRODUCT((P$3:P$69="")*(O$3:O$69="")*(N$3:N$69="")*(M$3:M$69="P")*(G$3:G$69=G9)*(J$3:J$69&gt;J9)*(I$3:I$69="P"))+IF(H9="L5",SUMPRODUCT((P$3:P$69="")*(O$3:O$69="")*(N$3:N$69="")*(M$3:M$69="P")*(G$3:G$69=G9)*(J$3:J$69&lt;J9)*(H$3:H$69&lt;&gt;H9)*(I$3:I$69="P")),-1*SUMPRODUCT((P$3:P$69="")*(O$3:O$69="")*(N$3:N$69="")*(M$3:M$69="P")*(G$3:G$69=G9)*(J$3:J$69&gt;J9)*(H$3:H$69="L5")*(I$3:I$69="P")))+1,"")))))</f>
        <v/>
      </c>
      <c r="B9" s="1" t="str" cm="1">
        <f t="array" ref="B9">IF(P9&lt;&gt;"",SUMPRODUCT((P$3:P$69&lt;&gt;"")*(G$3:G$69=G9)*(J$3:J$69&gt;J9))+1,IF(O9&lt;&gt;"",SUMPRODUCT((O$3:O$69&lt;&gt;"")*(P$3:P$69="")*(G$3:G$69=G9)*(J$3:J$69&gt;J9))+SUMPRODUCT((P$3:P$69&lt;&gt;"")*(G$3:G$69=G9))+1,IF(N9&lt;&gt;"",SUMPRODUCT((N$3:N$69&lt;&gt;"")*(G$3:G$69=G9)*(J$3:J$69&gt;J9))+1,IF(M9="P",SUMPRODUCT((O$3:O$69&lt;&gt;"")*(P$3:P$69="")*(G$3:G$69=G9))+SUMPRODUCT((P$3:P$69&lt;&gt;"")*(G$3:G$69=G9))+SUMPRODUCT((N$3:N$69&lt;&gt;"")*(G$3:G$69=G9))+SUMPRODUCT((P$3:P$69="")*(O$3:O$69="")*(N$3:N$69="")*(M$3:M$69="P")*(G$3:G$69=G9)*(J$3:J$69&gt;J9))+IF(H9="L5",SUMPRODUCT((P$3:P$69="")*(O$3:O$69="")*(N$3:N$69="")*(M$3:M$69="P")*(G$3:G$69=G9)*(J$3:J$69&lt;J9)*(H$3:H$69&lt;&gt;H9)),-1*SUMPRODUCT((P$3:P$69="")*(O$3:O$69="")*(N$3:N$69="")*(M$3:M$69="P")*(G$3:G$69=G9)*(J$3:J$69&gt;J9)*(H$3:H$69="L5")))+1,""))))</f>
        <v/>
      </c>
      <c r="C9" s="36" t="s">
        <v>155</v>
      </c>
      <c r="D9" s="36" t="str">
        <f>IF(E9="","",VLOOKUP(E9,'Coaching Points'!A:B,2,0))</f>
        <v>AB</v>
      </c>
      <c r="E9" s="36" t="s">
        <v>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68</v>
      </c>
      <c r="I9" s="43"/>
      <c r="J9" s="4">
        <f>R9+S9+IF(OR(H9="Junior",H9="Senior"),0.0002,IF(OR(H9="L7",H9="L6"),0.0001,0))+MAX(X9,Z9)*0.0000001</f>
        <v>89.500100000000003</v>
      </c>
      <c r="K9" s="3" t="str">
        <f>IF(G9="Not Age Eligible","",IF(MAX(T9,V9,X9,Z9)&gt;=LOOKUP(G9,'Qualifying Scores'!$A$4:$A$7,'Qualifying Scores'!$G$4:$G$7),"P",""))</f>
        <v/>
      </c>
      <c r="L9" s="3" t="str">
        <f>IF(G9="Not Age Eligible","",IF(MAX(U9,W9,Y9,AA9)&gt;=LOOKUP(G9,'Qualifying Scores'!$A$10:$A$13,'Qualifying Scores'!$G$10:$G$13),"P",""))</f>
        <v/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/>
      </c>
      <c r="Q9" s="1" t="str">
        <f>IF(A9&lt;5,IF(_xlfn.MAXIFS(A:A,G:G,G9)&gt;3,5-A9,_xlfn.MAXIFS(A:A,G:G,G9)+1-A9),"")</f>
        <v/>
      </c>
      <c r="R9" s="4">
        <f>MAX(T9,X9)</f>
        <v>44.7</v>
      </c>
      <c r="S9" s="4">
        <f>IF(R9=T9,MAX(V9,X9,Z9),IF(R9=X9,MAX(T9,V9,Z9),0))</f>
        <v>44.8</v>
      </c>
      <c r="T9" s="33">
        <v>44.7</v>
      </c>
      <c r="U9" s="40">
        <v>8.3000000000000007</v>
      </c>
      <c r="V9" s="34">
        <v>44.8</v>
      </c>
      <c r="W9" s="40">
        <v>8.3000000000000007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$69&lt;&gt;"")*(G$3:G$69=G10)*(J$3:J$69&gt;J10)*(I$3:I$69="P"))+1,IF(O10&lt;&gt;"",SUMPRODUCT((O$3:O$69&lt;&gt;"")*(P$3:P$69="")*(G$3:G$69=G10)*(J$3:J$69&gt;J10)*(I$3:I$69="P"))+SUMPRODUCT((P$3:P$69&lt;&gt;"")*(G$3:G$69=G10)*(I$3:I$69="P"))+1,IF(N10&lt;&gt;"",SUMPRODUCT((N$3:N$69&lt;&gt;"")*(G$3:G$69=G10)*(J$3:J$69&gt;J10)*(I$3:I$69="P"))+1,IF(M10="P",SUMPRODUCT((O$3:O$69&lt;&gt;"")*(P$3:P$69="")*(G$3:G$69=G10)*(I$3:I$69="P"))+SUMPRODUCT((P$3:P$69&lt;&gt;"")*(G$3:G$69=G10)*(I$3:I$69="P"))+SUMPRODUCT((N$3:N$69&lt;&gt;"")*(G$3:G$69=G10)*(I$3:I$69="P"))+SUMPRODUCT((P$3:P$69="")*(O$3:O$69="")*(N$3:N$69="")*(M$3:M$69="P")*(G$3:G$69=G10)*(J$3:J$69&gt;J10)*(I$3:I$69="P"))+IF(H10="L5",SUMPRODUCT((P$3:P$69="")*(O$3:O$69="")*(N$3:N$69="")*(M$3:M$69="P")*(G$3:G$69=G10)*(J$3:J$69&lt;J10)*(H$3:H$69&lt;&gt;H10)*(I$3:I$69="P")),-1*SUMPRODUCT((P$3:P$69="")*(O$3:O$69="")*(N$3:N$69="")*(M$3:M$69="P")*(G$3:G$69=G10)*(J$3:J$69&gt;J10)*(H$3:H$69="L5")*(I$3:I$69="P")))+1,"")))))</f>
        <v/>
      </c>
      <c r="B10" s="1" t="str" cm="1">
        <f t="array" ref="B10">IF(P10&lt;&gt;"",SUMPRODUCT((P$3:P$69&lt;&gt;"")*(G$3:G$69=G10)*(J$3:J$69&gt;J10))+1,IF(O10&lt;&gt;"",SUMPRODUCT((O$3:O$69&lt;&gt;"")*(P$3:P$69="")*(G$3:G$69=G10)*(J$3:J$69&gt;J10))+SUMPRODUCT((P$3:P$69&lt;&gt;"")*(G$3:G$69=G10))+1,IF(N10&lt;&gt;"",SUMPRODUCT((N$3:N$69&lt;&gt;"")*(G$3:G$69=G10)*(J$3:J$69&gt;J10))+1,IF(M10="P",SUMPRODUCT((O$3:O$69&lt;&gt;"")*(P$3:P$69="")*(G$3:G$69=G10))+SUMPRODUCT((P$3:P$69&lt;&gt;"")*(G$3:G$69=G10))+SUMPRODUCT((N$3:N$69&lt;&gt;"")*(G$3:G$69=G10))+SUMPRODUCT((P$3:P$69="")*(O$3:O$69="")*(N$3:N$69="")*(M$3:M$69="P")*(G$3:G$69=G10)*(J$3:J$69&gt;J10))+IF(H10="L5",SUMPRODUCT((P$3:P$69="")*(O$3:O$69="")*(N$3:N$69="")*(M$3:M$69="P")*(G$3:G$69=G10)*(J$3:J$69&lt;J10)*(H$3:H$69&lt;&gt;H10)),-1*SUMPRODUCT((P$3:P$69="")*(O$3:O$69="")*(N$3:N$69="")*(M$3:M$69="P")*(G$3:G$69=G10)*(J$3:J$69&gt;J10)*(H$3:H$69="L5")))+1,""))))</f>
        <v/>
      </c>
      <c r="C10" s="36" t="s">
        <v>126</v>
      </c>
      <c r="D10" s="36" t="str">
        <f>IF(E10="","",VLOOKUP(E10,'Coaching Points'!A:B,2,0))</f>
        <v>SK</v>
      </c>
      <c r="E10" s="36" t="s">
        <v>45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87.600099999999998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MAX(T10,X10)</f>
        <v>43.3</v>
      </c>
      <c r="S10" s="4">
        <f>IF(R10=T10,MAX(V10,X10,Z10),IF(R10=X10,MAX(T10,V10,Z10),0))</f>
        <v>44.3</v>
      </c>
      <c r="T10" s="33">
        <v>43.3</v>
      </c>
      <c r="U10" s="40">
        <v>7.1</v>
      </c>
      <c r="V10" s="34">
        <v>44.3</v>
      </c>
      <c r="W10" s="40">
        <v>7.1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$69&lt;&gt;"")*(G$3:G$69=G11)*(J$3:J$69&gt;J11)*(I$3:I$69="P"))+1,IF(O11&lt;&gt;"",SUMPRODUCT((O$3:O$69&lt;&gt;"")*(P$3:P$69="")*(G$3:G$69=G11)*(J$3:J$69&gt;J11)*(I$3:I$69="P"))+SUMPRODUCT((P$3:P$69&lt;&gt;"")*(G$3:G$69=G11)*(I$3:I$69="P"))+1,IF(N11&lt;&gt;"",SUMPRODUCT((N$3:N$69&lt;&gt;"")*(G$3:G$69=G11)*(J$3:J$69&gt;J11)*(I$3:I$69="P"))+1,IF(M11="P",SUMPRODUCT((O$3:O$69&lt;&gt;"")*(P$3:P$69="")*(G$3:G$69=G11)*(I$3:I$69="P"))+SUMPRODUCT((P$3:P$69&lt;&gt;"")*(G$3:G$69=G11)*(I$3:I$69="P"))+SUMPRODUCT((N$3:N$69&lt;&gt;"")*(G$3:G$69=G11)*(I$3:I$69="P"))+SUMPRODUCT((P$3:P$69="")*(O$3:O$69="")*(N$3:N$69="")*(M$3:M$69="P")*(G$3:G$69=G11)*(J$3:J$69&gt;J11)*(I$3:I$69="P"))+IF(H11="L5",SUMPRODUCT((P$3:P$69="")*(O$3:O$69="")*(N$3:N$69="")*(M$3:M$69="P")*(G$3:G$69=G11)*(J$3:J$69&lt;J11)*(H$3:H$69&lt;&gt;H11)*(I$3:I$69="P")),-1*SUMPRODUCT((P$3:P$69="")*(O$3:O$69="")*(N$3:N$69="")*(M$3:M$69="P")*(G$3:G$69=G11)*(J$3:J$69&gt;J11)*(H$3:H$69="L5")*(I$3:I$69="P")))+1,"")))))</f>
        <v/>
      </c>
      <c r="B11" s="1" t="str" cm="1">
        <f t="array" ref="B11">IF(P11&lt;&gt;"",SUMPRODUCT((P$3:P$69&lt;&gt;"")*(G$3:G$69=G11)*(J$3:J$69&gt;J11))+1,IF(O11&lt;&gt;"",SUMPRODUCT((O$3:O$69&lt;&gt;"")*(P$3:P$69="")*(G$3:G$69=G11)*(J$3:J$69&gt;J11))+SUMPRODUCT((P$3:P$69&lt;&gt;"")*(G$3:G$69=G11))+1,IF(N11&lt;&gt;"",SUMPRODUCT((N$3:N$69&lt;&gt;"")*(G$3:G$69=G11)*(J$3:J$69&gt;J11))+1,IF(M11="P",SUMPRODUCT((O$3:O$69&lt;&gt;"")*(P$3:P$69="")*(G$3:G$69=G11))+SUMPRODUCT((P$3:P$69&lt;&gt;"")*(G$3:G$69=G11))+SUMPRODUCT((N$3:N$69&lt;&gt;"")*(G$3:G$69=G11))+SUMPRODUCT((P$3:P$69="")*(O$3:O$69="")*(N$3:N$69="")*(M$3:M$69="P")*(G$3:G$69=G11)*(J$3:J$69&gt;J11))+IF(H11="L5",SUMPRODUCT((P$3:P$69="")*(O$3:O$69="")*(N$3:N$69="")*(M$3:M$69="P")*(G$3:G$69=G11)*(J$3:J$69&lt;J11)*(H$3:H$69&lt;&gt;H11)),-1*SUMPRODUCT((P$3:P$69="")*(O$3:O$69="")*(N$3:N$69="")*(M$3:M$69="P")*(G$3:G$69=G11)*(J$3:J$69&gt;J11)*(H$3:H$69="L5")))+1,""))))</f>
        <v/>
      </c>
      <c r="C11" s="36" t="s">
        <v>301</v>
      </c>
      <c r="D11" s="36" t="str">
        <f>IF(E11="","",VLOOKUP(E11,'Coaching Points'!A:B,2,0))</f>
        <v>BC</v>
      </c>
      <c r="E11" s="36" t="s">
        <v>46</v>
      </c>
      <c r="F11" s="35">
        <v>2002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86.8001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MAX(T11,X11)</f>
        <v>43</v>
      </c>
      <c r="S11" s="4">
        <f>IF(R11=T11,MAX(V11,X11,Z11),IF(R11=X11,MAX(T11,V11,Z11),0))</f>
        <v>43.8</v>
      </c>
      <c r="T11" s="33">
        <v>43</v>
      </c>
      <c r="U11" s="40">
        <v>6.3000000000000007</v>
      </c>
      <c r="V11" s="34">
        <v>43.8</v>
      </c>
      <c r="W11" s="40">
        <v>6.3000000000000007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$69&lt;&gt;"")*(G$3:G$69=G12)*(J$3:J$69&gt;J12)*(I$3:I$69="P"))+1,IF(O12&lt;&gt;"",SUMPRODUCT((O$3:O$69&lt;&gt;"")*(P$3:P$69="")*(G$3:G$69=G12)*(J$3:J$69&gt;J12)*(I$3:I$69="P"))+SUMPRODUCT((P$3:P$69&lt;&gt;"")*(G$3:G$69=G12)*(I$3:I$69="P"))+1,IF(N12&lt;&gt;"",SUMPRODUCT((N$3:N$69&lt;&gt;"")*(G$3:G$69=G12)*(J$3:J$69&gt;J12)*(I$3:I$69="P"))+1,IF(M12="P",SUMPRODUCT((O$3:O$69&lt;&gt;"")*(P$3:P$69="")*(G$3:G$69=G12)*(I$3:I$69="P"))+SUMPRODUCT((P$3:P$69&lt;&gt;"")*(G$3:G$69=G12)*(I$3:I$69="P"))+SUMPRODUCT((N$3:N$69&lt;&gt;"")*(G$3:G$69=G12)*(I$3:I$69="P"))+SUMPRODUCT((P$3:P$69="")*(O$3:O$69="")*(N$3:N$69="")*(M$3:M$69="P")*(G$3:G$69=G12)*(J$3:J$69&gt;J12)*(I$3:I$69="P"))+IF(H12="L5",SUMPRODUCT((P$3:P$69="")*(O$3:O$69="")*(N$3:N$69="")*(M$3:M$69="P")*(G$3:G$69=G12)*(J$3:J$69&lt;J12)*(H$3:H$69&lt;&gt;H12)*(I$3:I$69="P")),-1*SUMPRODUCT((P$3:P$69="")*(O$3:O$69="")*(N$3:N$69="")*(M$3:M$69="P")*(G$3:G$69=G12)*(J$3:J$69&gt;J12)*(H$3:H$69="L5")*(I$3:I$69="P")))+1,"")))))</f>
        <v/>
      </c>
      <c r="B12" s="1" t="str" cm="1">
        <f t="array" ref="B12">IF(P12&lt;&gt;"",SUMPRODUCT((P$3:P$69&lt;&gt;"")*(G$3:G$69=G12)*(J$3:J$69&gt;J12))+1,IF(O12&lt;&gt;"",SUMPRODUCT((O$3:O$69&lt;&gt;"")*(P$3:P$69="")*(G$3:G$69=G12)*(J$3:J$69&gt;J12))+SUMPRODUCT((P$3:P$69&lt;&gt;"")*(G$3:G$69=G12))+1,IF(N12&lt;&gt;"",SUMPRODUCT((N$3:N$69&lt;&gt;"")*(G$3:G$69=G12)*(J$3:J$69&gt;J12))+1,IF(M12="P",SUMPRODUCT((O$3:O$69&lt;&gt;"")*(P$3:P$69="")*(G$3:G$69=G12))+SUMPRODUCT((P$3:P$69&lt;&gt;"")*(G$3:G$69=G12))+SUMPRODUCT((N$3:N$69&lt;&gt;"")*(G$3:G$69=G12))+SUMPRODUCT((P$3:P$69="")*(O$3:O$69="")*(N$3:N$69="")*(M$3:M$69="P")*(G$3:G$69=G12)*(J$3:J$69&gt;J12))+IF(H12="L5",SUMPRODUCT((P$3:P$69="")*(O$3:O$69="")*(N$3:N$69="")*(M$3:M$69="P")*(G$3:G$69=G12)*(J$3:J$69&lt;J12)*(H$3:H$69&lt;&gt;H12)),-1*SUMPRODUCT((P$3:P$69="")*(O$3:O$69="")*(N$3:N$69="")*(M$3:M$69="P")*(G$3:G$69=G12)*(J$3:J$69&gt;J12)*(H$3:H$69="L5")))+1,""))))</f>
        <v/>
      </c>
      <c r="C12" s="36" t="s">
        <v>181</v>
      </c>
      <c r="D12" s="36" t="str">
        <f>IF(E12="","",VLOOKUP(E12,'Coaching Points'!A:B,2,0))</f>
        <v>SK</v>
      </c>
      <c r="E12" s="36" t="s">
        <v>45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86.400100000000009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MAX(T12,X12)</f>
        <v>41.5</v>
      </c>
      <c r="S12" s="4">
        <f>IF(R12=T12,MAX(V12,X12,Z12),IF(R12=X12,MAX(T12,V12,Z12),0))</f>
        <v>44.9</v>
      </c>
      <c r="T12" s="33">
        <v>41.5</v>
      </c>
      <c r="U12" s="40">
        <v>8.4</v>
      </c>
      <c r="V12" s="34">
        <v>44.9</v>
      </c>
      <c r="W12" s="40">
        <v>8.4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$69&lt;&gt;"")*(G$3:G$69=G13)*(J$3:J$69&gt;J13)*(I$3:I$69="P"))+1,IF(O13&lt;&gt;"",SUMPRODUCT((O$3:O$69&lt;&gt;"")*(P$3:P$69="")*(G$3:G$69=G13)*(J$3:J$69&gt;J13)*(I$3:I$69="P"))+SUMPRODUCT((P$3:P$69&lt;&gt;"")*(G$3:G$69=G13)*(I$3:I$69="P"))+1,IF(N13&lt;&gt;"",SUMPRODUCT((N$3:N$69&lt;&gt;"")*(G$3:G$69=G13)*(J$3:J$69&gt;J13)*(I$3:I$69="P"))+1,IF(M13="P",SUMPRODUCT((O$3:O$69&lt;&gt;"")*(P$3:P$69="")*(G$3:G$69=G13)*(I$3:I$69="P"))+SUMPRODUCT((P$3:P$69&lt;&gt;"")*(G$3:G$69=G13)*(I$3:I$69="P"))+SUMPRODUCT((N$3:N$69&lt;&gt;"")*(G$3:G$69=G13)*(I$3:I$69="P"))+SUMPRODUCT((P$3:P$69="")*(O$3:O$69="")*(N$3:N$69="")*(M$3:M$69="P")*(G$3:G$69=G13)*(J$3:J$69&gt;J13)*(I$3:I$69="P"))+IF(H13="L5",SUMPRODUCT((P$3:P$69="")*(O$3:O$69="")*(N$3:N$69="")*(M$3:M$69="P")*(G$3:G$69=G13)*(J$3:J$69&lt;J13)*(H$3:H$69&lt;&gt;H13)*(I$3:I$69="P")),-1*SUMPRODUCT((P$3:P$69="")*(O$3:O$69="")*(N$3:N$69="")*(M$3:M$69="P")*(G$3:G$69=G13)*(J$3:J$69&gt;J13)*(H$3:H$69="L5")*(I$3:I$69="P")))+1,"")))))</f>
        <v/>
      </c>
      <c r="B13" s="1" t="str" cm="1">
        <f t="array" ref="B13">IF(P13&lt;&gt;"",SUMPRODUCT((P$3:P$69&lt;&gt;"")*(G$3:G$69=G13)*(J$3:J$69&gt;J13))+1,IF(O13&lt;&gt;"",SUMPRODUCT((O$3:O$69&lt;&gt;"")*(P$3:P$69="")*(G$3:G$69=G13)*(J$3:J$69&gt;J13))+SUMPRODUCT((P$3:P$69&lt;&gt;"")*(G$3:G$69=G13))+1,IF(N13&lt;&gt;"",SUMPRODUCT((N$3:N$69&lt;&gt;"")*(G$3:G$69=G13)*(J$3:J$69&gt;J13))+1,IF(M13="P",SUMPRODUCT((O$3:O$69&lt;&gt;"")*(P$3:P$69="")*(G$3:G$69=G13))+SUMPRODUCT((P$3:P$69&lt;&gt;"")*(G$3:G$69=G13))+SUMPRODUCT((N$3:N$69&lt;&gt;"")*(G$3:G$69=G13))+SUMPRODUCT((P$3:P$69="")*(O$3:O$69="")*(N$3:N$69="")*(M$3:M$69="P")*(G$3:G$69=G13)*(J$3:J$69&gt;J13))+IF(H13="L5",SUMPRODUCT((P$3:P$69="")*(O$3:O$69="")*(N$3:N$69="")*(M$3:M$69="P")*(G$3:G$69=G13)*(J$3:J$69&lt;J13)*(H$3:H$69&lt;&gt;H13)),-1*SUMPRODUCT((P$3:P$69="")*(O$3:O$69="")*(N$3:N$69="")*(M$3:M$69="P")*(G$3:G$69=G13)*(J$3:J$69&gt;J13)*(H$3:H$69="L5")))+1,""))))</f>
        <v/>
      </c>
      <c r="C13" s="36" t="s">
        <v>303</v>
      </c>
      <c r="D13" s="36" t="str">
        <f>IF(E13="","",VLOOKUP(E13,'Coaching Points'!A:B,2,0))</f>
        <v>QC</v>
      </c>
      <c r="E13" s="36" t="s">
        <v>84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66</v>
      </c>
      <c r="I13" s="43"/>
      <c r="J13" s="4">
        <f>R13+S13+IF(OR(H13="Junior",H13="Senior"),0.0002,IF(OR(H13="L7",H13="L6"),0.0001,0))+MAX(X13,Z13)*0.0000001</f>
        <v>86.2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MAX(T13,X13)</f>
        <v>42.6</v>
      </c>
      <c r="S13" s="4">
        <f>IF(R13=T13,MAX(V13,X13,Z13),IF(R13=X13,MAX(T13,V13,Z13),0))</f>
        <v>43.6</v>
      </c>
      <c r="T13" s="33">
        <v>42.6</v>
      </c>
      <c r="U13" s="40">
        <v>4.8000000000000007</v>
      </c>
      <c r="V13" s="34">
        <v>43.6</v>
      </c>
      <c r="W13" s="40">
        <v>6.3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$69&lt;&gt;"")*(G$3:G$69=G14)*(J$3:J$69&gt;J14)*(I$3:I$69="P"))+1,IF(O14&lt;&gt;"",SUMPRODUCT((O$3:O$69&lt;&gt;"")*(P$3:P$69="")*(G$3:G$69=G14)*(J$3:J$69&gt;J14)*(I$3:I$69="P"))+SUMPRODUCT((P$3:P$69&lt;&gt;"")*(G$3:G$69=G14)*(I$3:I$69="P"))+1,IF(N14&lt;&gt;"",SUMPRODUCT((N$3:N$69&lt;&gt;"")*(G$3:G$69=G14)*(J$3:J$69&gt;J14)*(I$3:I$69="P"))+1,IF(M14="P",SUMPRODUCT((O$3:O$69&lt;&gt;"")*(P$3:P$69="")*(G$3:G$69=G14)*(I$3:I$69="P"))+SUMPRODUCT((P$3:P$69&lt;&gt;"")*(G$3:G$69=G14)*(I$3:I$69="P"))+SUMPRODUCT((N$3:N$69&lt;&gt;"")*(G$3:G$69=G14)*(I$3:I$69="P"))+SUMPRODUCT((P$3:P$69="")*(O$3:O$69="")*(N$3:N$69="")*(M$3:M$69="P")*(G$3:G$69=G14)*(J$3:J$69&gt;J14)*(I$3:I$69="P"))+IF(H14="L5",SUMPRODUCT((P$3:P$69="")*(O$3:O$69="")*(N$3:N$69="")*(M$3:M$69="P")*(G$3:G$69=G14)*(J$3:J$69&lt;J14)*(H$3:H$69&lt;&gt;H14)*(I$3:I$69="P")),-1*SUMPRODUCT((P$3:P$69="")*(O$3:O$69="")*(N$3:N$69="")*(M$3:M$69="P")*(G$3:G$69=G14)*(J$3:J$69&gt;J14)*(H$3:H$69="L5")*(I$3:I$69="P")))+1,"")))))</f>
        <v/>
      </c>
      <c r="B14" s="1" t="str" cm="1">
        <f t="array" ref="B14">IF(P14&lt;&gt;"",SUMPRODUCT((P$3:P$69&lt;&gt;"")*(G$3:G$69=G14)*(J$3:J$69&gt;J14))+1,IF(O14&lt;&gt;"",SUMPRODUCT((O$3:O$69&lt;&gt;"")*(P$3:P$69="")*(G$3:G$69=G14)*(J$3:J$69&gt;J14))+SUMPRODUCT((P$3:P$69&lt;&gt;"")*(G$3:G$69=G14))+1,IF(N14&lt;&gt;"",SUMPRODUCT((N$3:N$69&lt;&gt;"")*(G$3:G$69=G14)*(J$3:J$69&gt;J14))+1,IF(M14="P",SUMPRODUCT((O$3:O$69&lt;&gt;"")*(P$3:P$69="")*(G$3:G$69=G14))+SUMPRODUCT((P$3:P$69&lt;&gt;"")*(G$3:G$69=G14))+SUMPRODUCT((N$3:N$69&lt;&gt;"")*(G$3:G$69=G14))+SUMPRODUCT((P$3:P$69="")*(O$3:O$69="")*(N$3:N$69="")*(M$3:M$69="P")*(G$3:G$69=G14)*(J$3:J$69&gt;J14))+IF(H14="L5",SUMPRODUCT((P$3:P$69="")*(O$3:O$69="")*(N$3:N$69="")*(M$3:M$69="P")*(G$3:G$69=G14)*(J$3:J$69&lt;J14)*(H$3:H$69&lt;&gt;H14)),-1*SUMPRODUCT((P$3:P$69="")*(O$3:O$69="")*(N$3:N$69="")*(M$3:M$69="P")*(G$3:G$69=G14)*(J$3:J$69&gt;J14)*(H$3:H$69="L5")))+1,""))))</f>
        <v/>
      </c>
      <c r="C14" s="36" t="s">
        <v>190</v>
      </c>
      <c r="D14" s="36" t="str">
        <f>IF(E14="","",VLOOKUP(E14,'Coaching Points'!A:B,2,0))</f>
        <v>SK</v>
      </c>
      <c r="E14" s="36" t="s">
        <v>60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84.9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MAX(T14,X14)</f>
        <v>42.3</v>
      </c>
      <c r="S14" s="4">
        <f>IF(R14=T14,MAX(V14,X14,Z14),IF(R14=X14,MAX(T14,V14,Z14),0))</f>
        <v>42.6</v>
      </c>
      <c r="T14" s="33">
        <v>42.3</v>
      </c>
      <c r="U14" s="40">
        <v>5.6</v>
      </c>
      <c r="V14" s="34">
        <v>42.6</v>
      </c>
      <c r="W14" s="40">
        <v>6.3000000000000007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$69&lt;&gt;"")*(G$3:G$69=G15)*(J$3:J$69&gt;J15)*(I$3:I$69="P"))+1,IF(O15&lt;&gt;"",SUMPRODUCT((O$3:O$69&lt;&gt;"")*(P$3:P$69="")*(G$3:G$69=G15)*(J$3:J$69&gt;J15)*(I$3:I$69="P"))+SUMPRODUCT((P$3:P$69&lt;&gt;"")*(G$3:G$69=G15)*(I$3:I$69="P"))+1,IF(N15&lt;&gt;"",SUMPRODUCT((N$3:N$69&lt;&gt;"")*(G$3:G$69=G15)*(J$3:J$69&gt;J15)*(I$3:I$69="P"))+1,IF(M15="P",SUMPRODUCT((O$3:O$69&lt;&gt;"")*(P$3:P$69="")*(G$3:G$69=G15)*(I$3:I$69="P"))+SUMPRODUCT((P$3:P$69&lt;&gt;"")*(G$3:G$69=G15)*(I$3:I$69="P"))+SUMPRODUCT((N$3:N$69&lt;&gt;"")*(G$3:G$69=G15)*(I$3:I$69="P"))+SUMPRODUCT((P$3:P$69="")*(O$3:O$69="")*(N$3:N$69="")*(M$3:M$69="P")*(G$3:G$69=G15)*(J$3:J$69&gt;J15)*(I$3:I$69="P"))+IF(H15="L5",SUMPRODUCT((P$3:P$69="")*(O$3:O$69="")*(N$3:N$69="")*(M$3:M$69="P")*(G$3:G$69=G15)*(J$3:J$69&lt;J15)*(H$3:H$69&lt;&gt;H15)*(I$3:I$69="P")),-1*SUMPRODUCT((P$3:P$69="")*(O$3:O$69="")*(N$3:N$69="")*(M$3:M$69="P")*(G$3:G$69=G15)*(J$3:J$69&gt;J15)*(H$3:H$69="L5")*(I$3:I$69="P")))+1,"")))))</f>
        <v/>
      </c>
      <c r="B15" s="1" t="str" cm="1">
        <f t="array" ref="B15">IF(P15&lt;&gt;"",SUMPRODUCT((P$3:P$69&lt;&gt;"")*(G$3:G$69=G15)*(J$3:J$69&gt;J15))+1,IF(O15&lt;&gt;"",SUMPRODUCT((O$3:O$69&lt;&gt;"")*(P$3:P$69="")*(G$3:G$69=G15)*(J$3:J$69&gt;J15))+SUMPRODUCT((P$3:P$69&lt;&gt;"")*(G$3:G$69=G15))+1,IF(N15&lt;&gt;"",SUMPRODUCT((N$3:N$69&lt;&gt;"")*(G$3:G$69=G15)*(J$3:J$69&gt;J15))+1,IF(M15="P",SUMPRODUCT((O$3:O$69&lt;&gt;"")*(P$3:P$69="")*(G$3:G$69=G15))+SUMPRODUCT((P$3:P$69&lt;&gt;"")*(G$3:G$69=G15))+SUMPRODUCT((N$3:N$69&lt;&gt;"")*(G$3:G$69=G15))+SUMPRODUCT((P$3:P$69="")*(O$3:O$69="")*(N$3:N$69="")*(M$3:M$69="P")*(G$3:G$69=G15)*(J$3:J$69&gt;J15))+IF(H15="L5",SUMPRODUCT((P$3:P$69="")*(O$3:O$69="")*(N$3:N$69="")*(M$3:M$69="P")*(G$3:G$69=G15)*(J$3:J$69&lt;J15)*(H$3:H$69&lt;&gt;H15)),-1*SUMPRODUCT((P$3:P$69="")*(O$3:O$69="")*(N$3:N$69="")*(M$3:M$69="P")*(G$3:G$69=G15)*(J$3:J$69&gt;J15)*(H$3:H$69="L5")))+1,""))))</f>
        <v/>
      </c>
      <c r="C15" s="36" t="s">
        <v>146</v>
      </c>
      <c r="D15" s="36" t="str">
        <f>IF(E15="","",VLOOKUP(E15,'Coaching Points'!A:B,2,0))</f>
        <v>BC</v>
      </c>
      <c r="E15" s="36" t="s">
        <v>46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68</v>
      </c>
      <c r="I15" s="43"/>
      <c r="J15" s="4">
        <f>R15+S15+IF(OR(H15="Junior",H15="Senior"),0.0002,IF(OR(H15="L7",H15="L6"),0.0001,0))+MAX(X15,Z15)*0.0000001</f>
        <v>84.300100000000015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MAX(T15,X15)</f>
        <v>41.6</v>
      </c>
      <c r="S15" s="4">
        <f>IF(R15=T15,MAX(V15,X15,Z15),IF(R15=X15,MAX(T15,V15,Z15),0))</f>
        <v>42.7</v>
      </c>
      <c r="T15" s="33">
        <v>41.6</v>
      </c>
      <c r="U15" s="40">
        <v>6</v>
      </c>
      <c r="V15" s="34">
        <v>42.7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$69&lt;&gt;"")*(G$3:G$69=G16)*(J$3:J$69&gt;J16)*(I$3:I$69="P"))+1,IF(O16&lt;&gt;"",SUMPRODUCT((O$3:O$69&lt;&gt;"")*(P$3:P$69="")*(G$3:G$69=G16)*(J$3:J$69&gt;J16)*(I$3:I$69="P"))+SUMPRODUCT((P$3:P$69&lt;&gt;"")*(G$3:G$69=G16)*(I$3:I$69="P"))+1,IF(N16&lt;&gt;"",SUMPRODUCT((N$3:N$69&lt;&gt;"")*(G$3:G$69=G16)*(J$3:J$69&gt;J16)*(I$3:I$69="P"))+1,IF(M16="P",SUMPRODUCT((O$3:O$69&lt;&gt;"")*(P$3:P$69="")*(G$3:G$69=G16)*(I$3:I$69="P"))+SUMPRODUCT((P$3:P$69&lt;&gt;"")*(G$3:G$69=G16)*(I$3:I$69="P"))+SUMPRODUCT((N$3:N$69&lt;&gt;"")*(G$3:G$69=G16)*(I$3:I$69="P"))+SUMPRODUCT((P$3:P$69="")*(O$3:O$69="")*(N$3:N$69="")*(M$3:M$69="P")*(G$3:G$69=G16)*(J$3:J$69&gt;J16)*(I$3:I$69="P"))+IF(H16="L5",SUMPRODUCT((P$3:P$69="")*(O$3:O$69="")*(N$3:N$69="")*(M$3:M$69="P")*(G$3:G$69=G16)*(J$3:J$69&lt;J16)*(H$3:H$69&lt;&gt;H16)*(I$3:I$69="P")),-1*SUMPRODUCT((P$3:P$69="")*(O$3:O$69="")*(N$3:N$69="")*(M$3:M$69="P")*(G$3:G$69=G16)*(J$3:J$69&gt;J16)*(H$3:H$69="L5")*(I$3:I$69="P")))+1,"")))))</f>
        <v/>
      </c>
      <c r="B16" s="1" t="str" cm="1">
        <f t="array" ref="B16">IF(P16&lt;&gt;"",SUMPRODUCT((P$3:P$69&lt;&gt;"")*(G$3:G$69=G16)*(J$3:J$69&gt;J16))+1,IF(O16&lt;&gt;"",SUMPRODUCT((O$3:O$69&lt;&gt;"")*(P$3:P$69="")*(G$3:G$69=G16)*(J$3:J$69&gt;J16))+SUMPRODUCT((P$3:P$69&lt;&gt;"")*(G$3:G$69=G16))+1,IF(N16&lt;&gt;"",SUMPRODUCT((N$3:N$69&lt;&gt;"")*(G$3:G$69=G16)*(J$3:J$69&gt;J16))+1,IF(M16="P",SUMPRODUCT((O$3:O$69&lt;&gt;"")*(P$3:P$69="")*(G$3:G$69=G16))+SUMPRODUCT((P$3:P$69&lt;&gt;"")*(G$3:G$69=G16))+SUMPRODUCT((N$3:N$69&lt;&gt;"")*(G$3:G$69=G16))+SUMPRODUCT((P$3:P$69="")*(O$3:O$69="")*(N$3:N$69="")*(M$3:M$69="P")*(G$3:G$69=G16)*(J$3:J$69&gt;J16))+IF(H16="L5",SUMPRODUCT((P$3:P$69="")*(O$3:O$69="")*(N$3:N$69="")*(M$3:M$69="P")*(G$3:G$69=G16)*(J$3:J$69&lt;J16)*(H$3:H$69&lt;&gt;H16)),-1*SUMPRODUCT((P$3:P$69="")*(O$3:O$69="")*(N$3:N$69="")*(M$3:M$69="P")*(G$3:G$69=G16)*(J$3:J$69&gt;J16)*(H$3:H$69="L5")))+1,""))))</f>
        <v/>
      </c>
      <c r="C16" s="36" t="s">
        <v>184</v>
      </c>
      <c r="D16" s="36" t="str">
        <f>IF(E16="","",VLOOKUP(E16,'Coaching Points'!A:B,2,0))</f>
        <v>AB</v>
      </c>
      <c r="E16" s="36" t="s">
        <v>63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68</v>
      </c>
      <c r="I16" s="43"/>
      <c r="J16" s="4">
        <f>R16+S16+IF(OR(H16="Junior",H16="Senior"),0.0002,IF(OR(H16="L7",H16="L6"),0.0001,0))+MAX(X16,Z16)*0.0000001</f>
        <v>84.200100000000006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MAX(T16,X16)</f>
        <v>42.5</v>
      </c>
      <c r="S16" s="4">
        <f>IF(R16=T16,MAX(V16,X16,Z16),IF(R16=X16,MAX(T16,V16,Z16),0))</f>
        <v>41.7</v>
      </c>
      <c r="T16" s="33">
        <v>42.5</v>
      </c>
      <c r="U16" s="40">
        <v>6.2</v>
      </c>
      <c r="V16" s="34">
        <v>41.7</v>
      </c>
      <c r="W16" s="40">
        <v>5.7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$69&lt;&gt;"")*(G$3:G$69=G17)*(J$3:J$69&gt;J17)*(I$3:I$69="P"))+1,IF(O17&lt;&gt;"",SUMPRODUCT((O$3:O$69&lt;&gt;"")*(P$3:P$69="")*(G$3:G$69=G17)*(J$3:J$69&gt;J17)*(I$3:I$69="P"))+SUMPRODUCT((P$3:P$69&lt;&gt;"")*(G$3:G$69=G17)*(I$3:I$69="P"))+1,IF(N17&lt;&gt;"",SUMPRODUCT((N$3:N$69&lt;&gt;"")*(G$3:G$69=G17)*(J$3:J$69&gt;J17)*(I$3:I$69="P"))+1,IF(M17="P",SUMPRODUCT((O$3:O$69&lt;&gt;"")*(P$3:P$69="")*(G$3:G$69=G17)*(I$3:I$69="P"))+SUMPRODUCT((P$3:P$69&lt;&gt;"")*(G$3:G$69=G17)*(I$3:I$69="P"))+SUMPRODUCT((N$3:N$69&lt;&gt;"")*(G$3:G$69=G17)*(I$3:I$69="P"))+SUMPRODUCT((P$3:P$69="")*(O$3:O$69="")*(N$3:N$69="")*(M$3:M$69="P")*(G$3:G$69=G17)*(J$3:J$69&gt;J17)*(I$3:I$69="P"))+IF(H17="L5",SUMPRODUCT((P$3:P$69="")*(O$3:O$69="")*(N$3:N$69="")*(M$3:M$69="P")*(G$3:G$69=G17)*(J$3:J$69&lt;J17)*(H$3:H$69&lt;&gt;H17)*(I$3:I$69="P")),-1*SUMPRODUCT((P$3:P$69="")*(O$3:O$69="")*(N$3:N$69="")*(M$3:M$69="P")*(G$3:G$69=G17)*(J$3:J$69&gt;J17)*(H$3:H$69="L5")*(I$3:I$69="P")))+1,"")))))</f>
        <v/>
      </c>
      <c r="B17" s="1" t="str" cm="1">
        <f t="array" ref="B17">IF(P17&lt;&gt;"",SUMPRODUCT((P$3:P$69&lt;&gt;"")*(G$3:G$69=G17)*(J$3:J$69&gt;J17))+1,IF(O17&lt;&gt;"",SUMPRODUCT((O$3:O$69&lt;&gt;"")*(P$3:P$69="")*(G$3:G$69=G17)*(J$3:J$69&gt;J17))+SUMPRODUCT((P$3:P$69&lt;&gt;"")*(G$3:G$69=G17))+1,IF(N17&lt;&gt;"",SUMPRODUCT((N$3:N$69&lt;&gt;"")*(G$3:G$69=G17)*(J$3:J$69&gt;J17))+1,IF(M17="P",SUMPRODUCT((O$3:O$69&lt;&gt;"")*(P$3:P$69="")*(G$3:G$69=G17))+SUMPRODUCT((P$3:P$69&lt;&gt;"")*(G$3:G$69=G17))+SUMPRODUCT((N$3:N$69&lt;&gt;"")*(G$3:G$69=G17))+SUMPRODUCT((P$3:P$69="")*(O$3:O$69="")*(N$3:N$69="")*(M$3:M$69="P")*(G$3:G$69=G17)*(J$3:J$69&gt;J17))+IF(H17="L5",SUMPRODUCT((P$3:P$69="")*(O$3:O$69="")*(N$3:N$69="")*(M$3:M$69="P")*(G$3:G$69=G17)*(J$3:J$69&lt;J17)*(H$3:H$69&lt;&gt;H17)),-1*SUMPRODUCT((P$3:P$69="")*(O$3:O$69="")*(N$3:N$69="")*(M$3:M$69="P")*(G$3:G$69=G17)*(J$3:J$69&gt;J17)*(H$3:H$69="L5")))+1,""))))</f>
        <v/>
      </c>
      <c r="C17" s="36" t="s">
        <v>143</v>
      </c>
      <c r="D17" s="36" t="str">
        <f>IF(E17="","",VLOOKUP(E17,'Coaching Points'!A:B,2,0))</f>
        <v>BC</v>
      </c>
      <c r="E17" s="36" t="s">
        <v>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84.2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MAX(T17,X17)</f>
        <v>42.6</v>
      </c>
      <c r="S17" s="4">
        <f>IF(R17=T17,MAX(V17,X17,Z17),IF(R17=X17,MAX(T17,V17,Z17),0))</f>
        <v>41.6</v>
      </c>
      <c r="T17" s="33">
        <v>42.6</v>
      </c>
      <c r="U17" s="40">
        <v>5.8000000000000007</v>
      </c>
      <c r="V17" s="34">
        <v>41.6</v>
      </c>
      <c r="W17" s="40">
        <v>5.6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$69&lt;&gt;"")*(G$3:G$69=G18)*(J$3:J$69&gt;J18)*(I$3:I$69="P"))+1,IF(O18&lt;&gt;"",SUMPRODUCT((O$3:O$69&lt;&gt;"")*(P$3:P$69="")*(G$3:G$69=G18)*(J$3:J$69&gt;J18)*(I$3:I$69="P"))+SUMPRODUCT((P$3:P$69&lt;&gt;"")*(G$3:G$69=G18)*(I$3:I$69="P"))+1,IF(N18&lt;&gt;"",SUMPRODUCT((N$3:N$69&lt;&gt;"")*(G$3:G$69=G18)*(J$3:J$69&gt;J18)*(I$3:I$69="P"))+1,IF(M18="P",SUMPRODUCT((O$3:O$69&lt;&gt;"")*(P$3:P$69="")*(G$3:G$69=G18)*(I$3:I$69="P"))+SUMPRODUCT((P$3:P$69&lt;&gt;"")*(G$3:G$69=G18)*(I$3:I$69="P"))+SUMPRODUCT((N$3:N$69&lt;&gt;"")*(G$3:G$69=G18)*(I$3:I$69="P"))+SUMPRODUCT((P$3:P$69="")*(O$3:O$69="")*(N$3:N$69="")*(M$3:M$69="P")*(G$3:G$69=G18)*(J$3:J$69&gt;J18)*(I$3:I$69="P"))+IF(H18="L5",SUMPRODUCT((P$3:P$69="")*(O$3:O$69="")*(N$3:N$69="")*(M$3:M$69="P")*(G$3:G$69=G18)*(J$3:J$69&lt;J18)*(H$3:H$69&lt;&gt;H18)*(I$3:I$69="P")),-1*SUMPRODUCT((P$3:P$69="")*(O$3:O$69="")*(N$3:N$69="")*(M$3:M$69="P")*(G$3:G$69=G18)*(J$3:J$69&gt;J18)*(H$3:H$69="L5")*(I$3:I$69="P")))+1,"")))))</f>
        <v/>
      </c>
      <c r="B18" s="1" t="str" cm="1">
        <f t="array" ref="B18">IF(P18&lt;&gt;"",SUMPRODUCT((P$3:P$69&lt;&gt;"")*(G$3:G$69=G18)*(J$3:J$69&gt;J18))+1,IF(O18&lt;&gt;"",SUMPRODUCT((O$3:O$69&lt;&gt;"")*(P$3:P$69="")*(G$3:G$69=G18)*(J$3:J$69&gt;J18))+SUMPRODUCT((P$3:P$69&lt;&gt;"")*(G$3:G$69=G18))+1,IF(N18&lt;&gt;"",SUMPRODUCT((N$3:N$69&lt;&gt;"")*(G$3:G$69=G18)*(J$3:J$69&gt;J18))+1,IF(M18="P",SUMPRODUCT((O$3:O$69&lt;&gt;"")*(P$3:P$69="")*(G$3:G$69=G18))+SUMPRODUCT((P$3:P$69&lt;&gt;"")*(G$3:G$69=G18))+SUMPRODUCT((N$3:N$69&lt;&gt;"")*(G$3:G$69=G18))+SUMPRODUCT((P$3:P$69="")*(O$3:O$69="")*(N$3:N$69="")*(M$3:M$69="P")*(G$3:G$69=G18)*(J$3:J$69&gt;J18))+IF(H18="L5",SUMPRODUCT((P$3:P$69="")*(O$3:O$69="")*(N$3:N$69="")*(M$3:M$69="P")*(G$3:G$69=G18)*(J$3:J$69&lt;J18)*(H$3:H$69&lt;&gt;H18)),-1*SUMPRODUCT((P$3:P$69="")*(O$3:O$69="")*(N$3:N$69="")*(M$3:M$69="P")*(G$3:G$69=G18)*(J$3:J$69&gt;J18)*(H$3:H$69="L5")))+1,""))))</f>
        <v/>
      </c>
      <c r="C18" s="36" t="s">
        <v>129</v>
      </c>
      <c r="D18" s="36" t="str">
        <f>IF(E18="","",VLOOKUP(E18,'Coaching Points'!A:B,2,0))</f>
        <v>ON</v>
      </c>
      <c r="E18" s="36" t="s">
        <v>47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83.699999999999989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MAX(T18,X18)</f>
        <v>42.3</v>
      </c>
      <c r="S18" s="4">
        <f>IF(R18=T18,MAX(V18,X18,Z18),IF(R18=X18,MAX(T18,V18,Z18),0))</f>
        <v>41.4</v>
      </c>
      <c r="T18" s="33">
        <v>42.3</v>
      </c>
      <c r="U18" s="40">
        <v>4.9000000000000004</v>
      </c>
      <c r="V18" s="34">
        <v>41.4</v>
      </c>
      <c r="W18" s="40">
        <v>4.2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$69&lt;&gt;"")*(G$3:G$69=G19)*(J$3:J$69&gt;J19)*(I$3:I$69="P"))+1,IF(O19&lt;&gt;"",SUMPRODUCT((O$3:O$69&lt;&gt;"")*(P$3:P$69="")*(G$3:G$69=G19)*(J$3:J$69&gt;J19)*(I$3:I$69="P"))+SUMPRODUCT((P$3:P$69&lt;&gt;"")*(G$3:G$69=G19)*(I$3:I$69="P"))+1,IF(N19&lt;&gt;"",SUMPRODUCT((N$3:N$69&lt;&gt;"")*(G$3:G$69=G19)*(J$3:J$69&gt;J19)*(I$3:I$69="P"))+1,IF(M19="P",SUMPRODUCT((O$3:O$69&lt;&gt;"")*(P$3:P$69="")*(G$3:G$69=G19)*(I$3:I$69="P"))+SUMPRODUCT((P$3:P$69&lt;&gt;"")*(G$3:G$69=G19)*(I$3:I$69="P"))+SUMPRODUCT((N$3:N$69&lt;&gt;"")*(G$3:G$69=G19)*(I$3:I$69="P"))+SUMPRODUCT((P$3:P$69="")*(O$3:O$69="")*(N$3:N$69="")*(M$3:M$69="P")*(G$3:G$69=G19)*(J$3:J$69&gt;J19)*(I$3:I$69="P"))+IF(H19="L5",SUMPRODUCT((P$3:P$69="")*(O$3:O$69="")*(N$3:N$69="")*(M$3:M$69="P")*(G$3:G$69=G19)*(J$3:J$69&lt;J19)*(H$3:H$69&lt;&gt;H19)*(I$3:I$69="P")),-1*SUMPRODUCT((P$3:P$69="")*(O$3:O$69="")*(N$3:N$69="")*(M$3:M$69="P")*(G$3:G$69=G19)*(J$3:J$69&gt;J19)*(H$3:H$69="L5")*(I$3:I$69="P")))+1,"")))))</f>
        <v/>
      </c>
      <c r="B19" s="1" t="str" cm="1">
        <f t="array" ref="B19">IF(P19&lt;&gt;"",SUMPRODUCT((P$3:P$69&lt;&gt;"")*(G$3:G$69=G19)*(J$3:J$69&gt;J19))+1,IF(O19&lt;&gt;"",SUMPRODUCT((O$3:O$69&lt;&gt;"")*(P$3:P$69="")*(G$3:G$69=G19)*(J$3:J$69&gt;J19))+SUMPRODUCT((P$3:P$69&lt;&gt;"")*(G$3:G$69=G19))+1,IF(N19&lt;&gt;"",SUMPRODUCT((N$3:N$69&lt;&gt;"")*(G$3:G$69=G19)*(J$3:J$69&gt;J19))+1,IF(M19="P",SUMPRODUCT((O$3:O$69&lt;&gt;"")*(P$3:P$69="")*(G$3:G$69=G19))+SUMPRODUCT((P$3:P$69&lt;&gt;"")*(G$3:G$69=G19))+SUMPRODUCT((N$3:N$69&lt;&gt;"")*(G$3:G$69=G19))+SUMPRODUCT((P$3:P$69="")*(O$3:O$69="")*(N$3:N$69="")*(M$3:M$69="P")*(G$3:G$69=G19)*(J$3:J$69&gt;J19))+IF(H19="L5",SUMPRODUCT((P$3:P$69="")*(O$3:O$69="")*(N$3:N$69="")*(M$3:M$69="P")*(G$3:G$69=G19)*(J$3:J$69&lt;J19)*(H$3:H$69&lt;&gt;H19)),-1*SUMPRODUCT((P$3:P$69="")*(O$3:O$69="")*(N$3:N$69="")*(M$3:M$69="P")*(G$3:G$69=G19)*(J$3:J$69&gt;J19)*(H$3:H$69="L5")))+1,""))))</f>
        <v/>
      </c>
      <c r="C19" s="36" t="s">
        <v>355</v>
      </c>
      <c r="D19" s="36" t="str">
        <f>IF(E19="","",VLOOKUP(E19,'Coaching Points'!A:B,2,0))</f>
        <v>AB</v>
      </c>
      <c r="E19" s="36" t="s">
        <v>63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83.5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MAX(T19,X19)</f>
        <v>42.2</v>
      </c>
      <c r="S19" s="4">
        <f>IF(R19=T19,MAX(V19,X19,Z19),IF(R19=X19,MAX(T19,V19,Z19),0))</f>
        <v>41.3</v>
      </c>
      <c r="T19" s="33">
        <v>42.2</v>
      </c>
      <c r="U19" s="40">
        <v>6</v>
      </c>
      <c r="V19" s="34">
        <v>41.3</v>
      </c>
      <c r="W19" s="40">
        <v>5.8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$69&lt;&gt;"")*(G$3:G$69=G20)*(J$3:J$69&gt;J20)*(I$3:I$69="P"))+1,IF(O20&lt;&gt;"",SUMPRODUCT((O$3:O$69&lt;&gt;"")*(P$3:P$69="")*(G$3:G$69=G20)*(J$3:J$69&gt;J20)*(I$3:I$69="P"))+SUMPRODUCT((P$3:P$69&lt;&gt;"")*(G$3:G$69=G20)*(I$3:I$69="P"))+1,IF(N20&lt;&gt;"",SUMPRODUCT((N$3:N$69&lt;&gt;"")*(G$3:G$69=G20)*(J$3:J$69&gt;J20)*(I$3:I$69="P"))+1,IF(M20="P",SUMPRODUCT((O$3:O$69&lt;&gt;"")*(P$3:P$69="")*(G$3:G$69=G20)*(I$3:I$69="P"))+SUMPRODUCT((P$3:P$69&lt;&gt;"")*(G$3:G$69=G20)*(I$3:I$69="P"))+SUMPRODUCT((N$3:N$69&lt;&gt;"")*(G$3:G$69=G20)*(I$3:I$69="P"))+SUMPRODUCT((P$3:P$69="")*(O$3:O$69="")*(N$3:N$69="")*(M$3:M$69="P")*(G$3:G$69=G20)*(J$3:J$69&gt;J20)*(I$3:I$69="P"))+IF(H20="L5",SUMPRODUCT((P$3:P$69="")*(O$3:O$69="")*(N$3:N$69="")*(M$3:M$69="P")*(G$3:G$69=G20)*(J$3:J$69&lt;J20)*(H$3:H$69&lt;&gt;H20)*(I$3:I$69="P")),-1*SUMPRODUCT((P$3:P$69="")*(O$3:O$69="")*(N$3:N$69="")*(M$3:M$69="P")*(G$3:G$69=G20)*(J$3:J$69&gt;J20)*(H$3:H$69="L5")*(I$3:I$69="P")))+1,"")))))</f>
        <v/>
      </c>
      <c r="B20" s="1" t="str" cm="1">
        <f t="array" ref="B20">IF(P20&lt;&gt;"",SUMPRODUCT((P$3:P$69&lt;&gt;"")*(G$3:G$69=G20)*(J$3:J$69&gt;J20))+1,IF(O20&lt;&gt;"",SUMPRODUCT((O$3:O$69&lt;&gt;"")*(P$3:P$69="")*(G$3:G$69=G20)*(J$3:J$69&gt;J20))+SUMPRODUCT((P$3:P$69&lt;&gt;"")*(G$3:G$69=G20))+1,IF(N20&lt;&gt;"",SUMPRODUCT((N$3:N$69&lt;&gt;"")*(G$3:G$69=G20)*(J$3:J$69&gt;J20))+1,IF(M20="P",SUMPRODUCT((O$3:O$69&lt;&gt;"")*(P$3:P$69="")*(G$3:G$69=G20))+SUMPRODUCT((P$3:P$69&lt;&gt;"")*(G$3:G$69=G20))+SUMPRODUCT((N$3:N$69&lt;&gt;"")*(G$3:G$69=G20))+SUMPRODUCT((P$3:P$69="")*(O$3:O$69="")*(N$3:N$69="")*(M$3:M$69="P")*(G$3:G$69=G20)*(J$3:J$69&gt;J20))+IF(H20="L5",SUMPRODUCT((P$3:P$69="")*(O$3:O$69="")*(N$3:N$69="")*(M$3:M$69="P")*(G$3:G$69=G20)*(J$3:J$69&lt;J20)*(H$3:H$69&lt;&gt;H20)),-1*SUMPRODUCT((P$3:P$69="")*(O$3:O$69="")*(N$3:N$69="")*(M$3:M$69="P")*(G$3:G$69=G20)*(J$3:J$69&gt;J20)*(H$3:H$69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83.4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MAX(T20,X20)</f>
        <v>43.3</v>
      </c>
      <c r="S20" s="4">
        <f>IF(R20=T20,MAX(V20,X20,Z20),IF(R20=X20,MAX(T20,V20,Z20),0))</f>
        <v>40.1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$69&lt;&gt;"")*(G$3:G$69=G21)*(J$3:J$69&gt;J21)*(I$3:I$69="P"))+1,IF(O21&lt;&gt;"",SUMPRODUCT((O$3:O$69&lt;&gt;"")*(P$3:P$69="")*(G$3:G$69=G21)*(J$3:J$69&gt;J21)*(I$3:I$69="P"))+SUMPRODUCT((P$3:P$69&lt;&gt;"")*(G$3:G$69=G21)*(I$3:I$69="P"))+1,IF(N21&lt;&gt;"",SUMPRODUCT((N$3:N$69&lt;&gt;"")*(G$3:G$69=G21)*(J$3:J$69&gt;J21)*(I$3:I$69="P"))+1,IF(M21="P",SUMPRODUCT((O$3:O$69&lt;&gt;"")*(P$3:P$69="")*(G$3:G$69=G21)*(I$3:I$69="P"))+SUMPRODUCT((P$3:P$69&lt;&gt;"")*(G$3:G$69=G21)*(I$3:I$69="P"))+SUMPRODUCT((N$3:N$69&lt;&gt;"")*(G$3:G$69=G21)*(I$3:I$69="P"))+SUMPRODUCT((P$3:P$69="")*(O$3:O$69="")*(N$3:N$69="")*(M$3:M$69="P")*(G$3:G$69=G21)*(J$3:J$69&gt;J21)*(I$3:I$69="P"))+IF(H21="L5",SUMPRODUCT((P$3:P$69="")*(O$3:O$69="")*(N$3:N$69="")*(M$3:M$69="P")*(G$3:G$69=G21)*(J$3:J$69&lt;J21)*(H$3:H$69&lt;&gt;H21)*(I$3:I$69="P")),-1*SUMPRODUCT((P$3:P$69="")*(O$3:O$69="")*(N$3:N$69="")*(M$3:M$69="P")*(G$3:G$69=G21)*(J$3:J$69&gt;J21)*(H$3:H$69="L5")*(I$3:I$69="P")))+1,"")))))</f>
        <v/>
      </c>
      <c r="B21" s="1" t="str" cm="1">
        <f t="array" ref="B21">IF(P21&lt;&gt;"",SUMPRODUCT((P$3:P$69&lt;&gt;"")*(G$3:G$69=G21)*(J$3:J$69&gt;J21))+1,IF(O21&lt;&gt;"",SUMPRODUCT((O$3:O$69&lt;&gt;"")*(P$3:P$69="")*(G$3:G$69=G21)*(J$3:J$69&gt;J21))+SUMPRODUCT((P$3:P$69&lt;&gt;"")*(G$3:G$69=G21))+1,IF(N21&lt;&gt;"",SUMPRODUCT((N$3:N$69&lt;&gt;"")*(G$3:G$69=G21)*(J$3:J$69&gt;J21))+1,IF(M21="P",SUMPRODUCT((O$3:O$69&lt;&gt;"")*(P$3:P$69="")*(G$3:G$69=G21))+SUMPRODUCT((P$3:P$69&lt;&gt;"")*(G$3:G$69=G21))+SUMPRODUCT((N$3:N$69&lt;&gt;"")*(G$3:G$69=G21))+SUMPRODUCT((P$3:P$69="")*(O$3:O$69="")*(N$3:N$69="")*(M$3:M$69="P")*(G$3:G$69=G21)*(J$3:J$69&gt;J21))+IF(H21="L5",SUMPRODUCT((P$3:P$69="")*(O$3:O$69="")*(N$3:N$69="")*(M$3:M$69="P")*(G$3:G$69=G21)*(J$3:J$69&lt;J21)*(H$3:H$69&lt;&gt;H21)),-1*SUMPRODUCT((P$3:P$69="")*(O$3:O$69="")*(N$3:N$69="")*(M$3:M$69="P")*(G$3:G$69=G21)*(J$3:J$69&gt;J21)*(H$3:H$69="L5")))+1,""))))</f>
        <v/>
      </c>
      <c r="C21" s="36" t="s">
        <v>272</v>
      </c>
      <c r="D21" s="36" t="str">
        <f>IF(E21="","",VLOOKUP(E21,'Coaching Points'!A:B,2,0))</f>
        <v>QC</v>
      </c>
      <c r="E21" s="36" t="s">
        <v>96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82.9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MAX(T21,X21)</f>
        <v>42.7</v>
      </c>
      <c r="S21" s="4">
        <f>IF(R21=T21,MAX(V21,X21,Z21),IF(R21=X21,MAX(T21,V21,Z21),0))</f>
        <v>40.200000000000003</v>
      </c>
      <c r="T21" s="33">
        <v>42.7</v>
      </c>
      <c r="U21" s="40">
        <v>6.1</v>
      </c>
      <c r="V21" s="34">
        <v>40.200000000000003</v>
      </c>
      <c r="W21" s="40">
        <v>6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$69&lt;&gt;"")*(G$3:G$69=G22)*(J$3:J$69&gt;J22)*(I$3:I$69="P"))+1,IF(O22&lt;&gt;"",SUMPRODUCT((O$3:O$69&lt;&gt;"")*(P$3:P$69="")*(G$3:G$69=G22)*(J$3:J$69&gt;J22)*(I$3:I$69="P"))+SUMPRODUCT((P$3:P$69&lt;&gt;"")*(G$3:G$69=G22)*(I$3:I$69="P"))+1,IF(N22&lt;&gt;"",SUMPRODUCT((N$3:N$69&lt;&gt;"")*(G$3:G$69=G22)*(J$3:J$69&gt;J22)*(I$3:I$69="P"))+1,IF(M22="P",SUMPRODUCT((O$3:O$69&lt;&gt;"")*(P$3:P$69="")*(G$3:G$69=G22)*(I$3:I$69="P"))+SUMPRODUCT((P$3:P$69&lt;&gt;"")*(G$3:G$69=G22)*(I$3:I$69="P"))+SUMPRODUCT((N$3:N$69&lt;&gt;"")*(G$3:G$69=G22)*(I$3:I$69="P"))+SUMPRODUCT((P$3:P$69="")*(O$3:O$69="")*(N$3:N$69="")*(M$3:M$69="P")*(G$3:G$69=G22)*(J$3:J$69&gt;J22)*(I$3:I$69="P"))+IF(H22="L5",SUMPRODUCT((P$3:P$69="")*(O$3:O$69="")*(N$3:N$69="")*(M$3:M$69="P")*(G$3:G$69=G22)*(J$3:J$69&lt;J22)*(H$3:H$69&lt;&gt;H22)*(I$3:I$69="P")),-1*SUMPRODUCT((P$3:P$69="")*(O$3:O$69="")*(N$3:N$69="")*(M$3:M$69="P")*(G$3:G$69=G22)*(J$3:J$69&gt;J22)*(H$3:H$69="L5")*(I$3:I$69="P")))+1,"")))))</f>
        <v/>
      </c>
      <c r="B22" s="1" t="str" cm="1">
        <f t="array" ref="B22">IF(P22&lt;&gt;"",SUMPRODUCT((P$3:P$69&lt;&gt;"")*(G$3:G$69=G22)*(J$3:J$69&gt;J22))+1,IF(O22&lt;&gt;"",SUMPRODUCT((O$3:O$69&lt;&gt;"")*(P$3:P$69="")*(G$3:G$69=G22)*(J$3:J$69&gt;J22))+SUMPRODUCT((P$3:P$69&lt;&gt;"")*(G$3:G$69=G22))+1,IF(N22&lt;&gt;"",SUMPRODUCT((N$3:N$69&lt;&gt;"")*(G$3:G$69=G22)*(J$3:J$69&gt;J22))+1,IF(M22="P",SUMPRODUCT((O$3:O$69&lt;&gt;"")*(P$3:P$69="")*(G$3:G$69=G22))+SUMPRODUCT((P$3:P$69&lt;&gt;"")*(G$3:G$69=G22))+SUMPRODUCT((N$3:N$69&lt;&gt;"")*(G$3:G$69=G22))+SUMPRODUCT((P$3:P$69="")*(O$3:O$69="")*(N$3:N$69="")*(M$3:M$69="P")*(G$3:G$69=G22)*(J$3:J$69&gt;J22))+IF(H22="L5",SUMPRODUCT((P$3:P$69="")*(O$3:O$69="")*(N$3:N$69="")*(M$3:M$69="P")*(G$3:G$69=G22)*(J$3:J$69&lt;J22)*(H$3:H$69&lt;&gt;H22)),-1*SUMPRODUCT((P$3:P$69="")*(O$3:O$69="")*(N$3:N$69="")*(M$3:M$69="P")*(G$3:G$69=G22)*(J$3:J$69&gt;J22)*(H$3:H$69="L5")))+1,""))))</f>
        <v/>
      </c>
      <c r="C22" s="36" t="s">
        <v>178</v>
      </c>
      <c r="D22" s="36" t="str">
        <f>IF(E22="","",VLOOKUP(E22,'Coaching Points'!A:B,2,0))</f>
        <v>AB</v>
      </c>
      <c r="E22" s="36" t="s">
        <v>29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82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MAX(T22,X22)</f>
        <v>42.7</v>
      </c>
      <c r="S22" s="4">
        <f>IF(R22=T22,MAX(V22,X22,Z22),IF(R22=X22,MAX(T22,V22,Z22),0))</f>
        <v>39.299999999999997</v>
      </c>
      <c r="T22" s="33">
        <v>42.7</v>
      </c>
      <c r="U22" s="40">
        <v>5.8000000000000007</v>
      </c>
      <c r="V22" s="34">
        <v>39.299999999999997</v>
      </c>
      <c r="W22" s="40">
        <v>3.4000000000000004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$69&lt;&gt;"")*(G$3:G$69=G23)*(J$3:J$69&gt;J23)*(I$3:I$69="P"))+1,IF(O23&lt;&gt;"",SUMPRODUCT((O$3:O$69&lt;&gt;"")*(P$3:P$69="")*(G$3:G$69=G23)*(J$3:J$69&gt;J23)*(I$3:I$69="P"))+SUMPRODUCT((P$3:P$69&lt;&gt;"")*(G$3:G$69=G23)*(I$3:I$69="P"))+1,IF(N23&lt;&gt;"",SUMPRODUCT((N$3:N$69&lt;&gt;"")*(G$3:G$69=G23)*(J$3:J$69&gt;J23)*(I$3:I$69="P"))+1,IF(M23="P",SUMPRODUCT((O$3:O$69&lt;&gt;"")*(P$3:P$69="")*(G$3:G$69=G23)*(I$3:I$69="P"))+SUMPRODUCT((P$3:P$69&lt;&gt;"")*(G$3:G$69=G23)*(I$3:I$69="P"))+SUMPRODUCT((N$3:N$69&lt;&gt;"")*(G$3:G$69=G23)*(I$3:I$69="P"))+SUMPRODUCT((P$3:P$69="")*(O$3:O$69="")*(N$3:N$69="")*(M$3:M$69="P")*(G$3:G$69=G23)*(J$3:J$69&gt;J23)*(I$3:I$69="P"))+IF(H23="L5",SUMPRODUCT((P$3:P$69="")*(O$3:O$69="")*(N$3:N$69="")*(M$3:M$69="P")*(G$3:G$69=G23)*(J$3:J$69&lt;J23)*(H$3:H$69&lt;&gt;H23)*(I$3:I$69="P")),-1*SUMPRODUCT((P$3:P$69="")*(O$3:O$69="")*(N$3:N$69="")*(M$3:M$69="P")*(G$3:G$69=G23)*(J$3:J$69&gt;J23)*(H$3:H$69="L5")*(I$3:I$69="P")))+1,"")))))</f>
        <v/>
      </c>
      <c r="B23" s="1" t="str" cm="1">
        <f t="array" ref="B23">IF(P23&lt;&gt;"",SUMPRODUCT((P$3:P$69&lt;&gt;"")*(G$3:G$69=G23)*(J$3:J$69&gt;J23))+1,IF(O23&lt;&gt;"",SUMPRODUCT((O$3:O$69&lt;&gt;"")*(P$3:P$69="")*(G$3:G$69=G23)*(J$3:J$69&gt;J23))+SUMPRODUCT((P$3:P$69&lt;&gt;"")*(G$3:G$69=G23))+1,IF(N23&lt;&gt;"",SUMPRODUCT((N$3:N$69&lt;&gt;"")*(G$3:G$69=G23)*(J$3:J$69&gt;J23))+1,IF(M23="P",SUMPRODUCT((O$3:O$69&lt;&gt;"")*(P$3:P$69="")*(G$3:G$69=G23))+SUMPRODUCT((P$3:P$69&lt;&gt;"")*(G$3:G$69=G23))+SUMPRODUCT((N$3:N$69&lt;&gt;"")*(G$3:G$69=G23))+SUMPRODUCT((P$3:P$69="")*(O$3:O$69="")*(N$3:N$69="")*(M$3:M$69="P")*(G$3:G$69=G23)*(J$3:J$69&gt;J23))+IF(H23="L5",SUMPRODUCT((P$3:P$69="")*(O$3:O$69="")*(N$3:N$69="")*(M$3:M$69="P")*(G$3:G$69=G23)*(J$3:J$69&lt;J23)*(H$3:H$69&lt;&gt;H23)),-1*SUMPRODUCT((P$3:P$69="")*(O$3:O$69="")*(N$3:N$69="")*(M$3:M$69="P")*(G$3:G$69=G23)*(J$3:J$69&gt;J23)*(H$3:H$69="L5")))+1,""))))</f>
        <v/>
      </c>
      <c r="C23" s="36" t="s">
        <v>128</v>
      </c>
      <c r="D23" s="36" t="str">
        <f>IF(E23="","",VLOOKUP(E23,'Coaching Points'!A:B,2,0))</f>
        <v>AB</v>
      </c>
      <c r="E23" s="36" t="s">
        <v>29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81.599999999999994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MAX(T23,X23)</f>
        <v>43.1</v>
      </c>
      <c r="S23" s="4">
        <f>IF(R23=T23,MAX(V23,X23,Z23),IF(R23=X23,MAX(T23,V23,Z23),0))</f>
        <v>38.5</v>
      </c>
      <c r="T23" s="33">
        <v>43.1</v>
      </c>
      <c r="U23" s="40">
        <v>6.6</v>
      </c>
      <c r="V23" s="34">
        <v>38.5</v>
      </c>
      <c r="W23" s="40">
        <v>3.9000000000000004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$69&lt;&gt;"")*(G$3:G$69=G24)*(J$3:J$69&gt;J24)*(I$3:I$69="P"))+1,IF(O24&lt;&gt;"",SUMPRODUCT((O$3:O$69&lt;&gt;"")*(P$3:P$69="")*(G$3:G$69=G24)*(J$3:J$69&gt;J24)*(I$3:I$69="P"))+SUMPRODUCT((P$3:P$69&lt;&gt;"")*(G$3:G$69=G24)*(I$3:I$69="P"))+1,IF(N24&lt;&gt;"",SUMPRODUCT((N$3:N$69&lt;&gt;"")*(G$3:G$69=G24)*(J$3:J$69&gt;J24)*(I$3:I$69="P"))+1,IF(M24="P",SUMPRODUCT((O$3:O$69&lt;&gt;"")*(P$3:P$69="")*(G$3:G$69=G24)*(I$3:I$69="P"))+SUMPRODUCT((P$3:P$69&lt;&gt;"")*(G$3:G$69=G24)*(I$3:I$69="P"))+SUMPRODUCT((N$3:N$69&lt;&gt;"")*(G$3:G$69=G24)*(I$3:I$69="P"))+SUMPRODUCT((P$3:P$69="")*(O$3:O$69="")*(N$3:N$69="")*(M$3:M$69="P")*(G$3:G$69=G24)*(J$3:J$69&gt;J24)*(I$3:I$69="P"))+IF(H24="L5",SUMPRODUCT((P$3:P$69="")*(O$3:O$69="")*(N$3:N$69="")*(M$3:M$69="P")*(G$3:G$69=G24)*(J$3:J$69&lt;J24)*(H$3:H$69&lt;&gt;H24)*(I$3:I$69="P")),-1*SUMPRODUCT((P$3:P$69="")*(O$3:O$69="")*(N$3:N$69="")*(M$3:M$69="P")*(G$3:G$69=G24)*(J$3:J$69&gt;J24)*(H$3:H$69="L5")*(I$3:I$69="P")))+1,"")))))</f>
        <v/>
      </c>
      <c r="B24" s="1" t="str" cm="1">
        <f t="array" ref="B24">IF(P24&lt;&gt;"",SUMPRODUCT((P$3:P$69&lt;&gt;"")*(G$3:G$69=G24)*(J$3:J$69&gt;J24))+1,IF(O24&lt;&gt;"",SUMPRODUCT((O$3:O$69&lt;&gt;"")*(P$3:P$69="")*(G$3:G$69=G24)*(J$3:J$69&gt;J24))+SUMPRODUCT((P$3:P$69&lt;&gt;"")*(G$3:G$69=G24))+1,IF(N24&lt;&gt;"",SUMPRODUCT((N$3:N$69&lt;&gt;"")*(G$3:G$69=G24)*(J$3:J$69&gt;J24))+1,IF(M24="P",SUMPRODUCT((O$3:O$69&lt;&gt;"")*(P$3:P$69="")*(G$3:G$69=G24))+SUMPRODUCT((P$3:P$69&lt;&gt;"")*(G$3:G$69=G24))+SUMPRODUCT((N$3:N$69&lt;&gt;"")*(G$3:G$69=G24))+SUMPRODUCT((P$3:P$69="")*(O$3:O$69="")*(N$3:N$69="")*(M$3:M$69="P")*(G$3:G$69=G24)*(J$3:J$69&gt;J24))+IF(H24="L5",SUMPRODUCT((P$3:P$69="")*(O$3:O$69="")*(N$3:N$69="")*(M$3:M$69="P")*(G$3:G$69=G24)*(J$3:J$69&lt;J24)*(H$3:H$69&lt;&gt;H24)),-1*SUMPRODUCT((P$3:P$69="")*(O$3:O$69="")*(N$3:N$69="")*(M$3:M$69="P")*(G$3:G$69=G24)*(J$3:J$69&gt;J24)*(H$3:H$69="L5")))+1,""))))</f>
        <v/>
      </c>
      <c r="C24" s="36" t="s">
        <v>157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80.900100000000009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MAX(T24,X24)</f>
        <v>39.700000000000003</v>
      </c>
      <c r="S24" s="4">
        <f>IF(R24=T24,MAX(V24,X24,Z24),IF(R24=X24,MAX(T24,V24,Z24),0))</f>
        <v>41.2</v>
      </c>
      <c r="T24" s="33">
        <v>39.700000000000003</v>
      </c>
      <c r="U24" s="40">
        <v>3.9000000000000004</v>
      </c>
      <c r="V24" s="34">
        <v>41.2</v>
      </c>
      <c r="W24" s="40">
        <v>6.3000000000000007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$69&lt;&gt;"")*(G$3:G$69=G25)*(J$3:J$69&gt;J25)*(I$3:I$69="P"))+1,IF(O25&lt;&gt;"",SUMPRODUCT((O$3:O$69&lt;&gt;"")*(P$3:P$69="")*(G$3:G$69=G25)*(J$3:J$69&gt;J25)*(I$3:I$69="P"))+SUMPRODUCT((P$3:P$69&lt;&gt;"")*(G$3:G$69=G25)*(I$3:I$69="P"))+1,IF(N25&lt;&gt;"",SUMPRODUCT((N$3:N$69&lt;&gt;"")*(G$3:G$69=G25)*(J$3:J$69&gt;J25)*(I$3:I$69="P"))+1,IF(M25="P",SUMPRODUCT((O$3:O$69&lt;&gt;"")*(P$3:P$69="")*(G$3:G$69=G25)*(I$3:I$69="P"))+SUMPRODUCT((P$3:P$69&lt;&gt;"")*(G$3:G$69=G25)*(I$3:I$69="P"))+SUMPRODUCT((N$3:N$69&lt;&gt;"")*(G$3:G$69=G25)*(I$3:I$69="P"))+SUMPRODUCT((P$3:P$69="")*(O$3:O$69="")*(N$3:N$69="")*(M$3:M$69="P")*(G$3:G$69=G25)*(J$3:J$69&gt;J25)*(I$3:I$69="P"))+IF(H25="L5",SUMPRODUCT((P$3:P$69="")*(O$3:O$69="")*(N$3:N$69="")*(M$3:M$69="P")*(G$3:G$69=G25)*(J$3:J$69&lt;J25)*(H$3:H$69&lt;&gt;H25)*(I$3:I$69="P")),-1*SUMPRODUCT((P$3:P$69="")*(O$3:O$69="")*(N$3:N$69="")*(M$3:M$69="P")*(G$3:G$69=G25)*(J$3:J$69&gt;J25)*(H$3:H$69="L5")*(I$3:I$69="P")))+1,"")))))</f>
        <v/>
      </c>
      <c r="B25" s="1" t="str" cm="1">
        <f t="array" ref="B25">IF(P25&lt;&gt;"",SUMPRODUCT((P$3:P$69&lt;&gt;"")*(G$3:G$69=G25)*(J$3:J$69&gt;J25))+1,IF(O25&lt;&gt;"",SUMPRODUCT((O$3:O$69&lt;&gt;"")*(P$3:P$69="")*(G$3:G$69=G25)*(J$3:J$69&gt;J25))+SUMPRODUCT((P$3:P$69&lt;&gt;"")*(G$3:G$69=G25))+1,IF(N25&lt;&gt;"",SUMPRODUCT((N$3:N$69&lt;&gt;"")*(G$3:G$69=G25)*(J$3:J$69&gt;J25))+1,IF(M25="P",SUMPRODUCT((O$3:O$69&lt;&gt;"")*(P$3:P$69="")*(G$3:G$69=G25))+SUMPRODUCT((P$3:P$69&lt;&gt;"")*(G$3:G$69=G25))+SUMPRODUCT((N$3:N$69&lt;&gt;"")*(G$3:G$69=G25))+SUMPRODUCT((P$3:P$69="")*(O$3:O$69="")*(N$3:N$69="")*(M$3:M$69="P")*(G$3:G$69=G25)*(J$3:J$69&gt;J25))+IF(H25="L5",SUMPRODUCT((P$3:P$69="")*(O$3:O$69="")*(N$3:N$69="")*(M$3:M$69="P")*(G$3:G$69=G25)*(J$3:J$69&lt;J25)*(H$3:H$69&lt;&gt;H25)),-1*SUMPRODUCT((P$3:P$69="")*(O$3:O$69="")*(N$3:N$69="")*(M$3:M$69="P")*(G$3:G$69=G25)*(J$3:J$69&gt;J25)*(H$3:H$69="L5")))+1,""))))</f>
        <v/>
      </c>
      <c r="C25" s="36" t="s">
        <v>248</v>
      </c>
      <c r="D25" s="36" t="str">
        <f>IF(E25="","",VLOOKUP(E25,'Coaching Points'!A:B,2,0))</f>
        <v>SK</v>
      </c>
      <c r="E25" s="36" t="s">
        <v>45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80.599999999999994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MAX(T25,X25)</f>
        <v>42.7</v>
      </c>
      <c r="S25" s="4">
        <f>IF(R25=T25,MAX(V25,X25,Z25),IF(R25=X25,MAX(T25,V25,Z25),0))</f>
        <v>37.9</v>
      </c>
      <c r="T25" s="33">
        <v>42.7</v>
      </c>
      <c r="U25" s="40">
        <v>5.8000000000000007</v>
      </c>
      <c r="V25" s="34">
        <v>37.9</v>
      </c>
      <c r="W25" s="40">
        <v>4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$69&lt;&gt;"")*(G$3:G$69=G26)*(J$3:J$69&gt;J26)*(I$3:I$69="P"))+1,IF(O26&lt;&gt;"",SUMPRODUCT((O$3:O$69&lt;&gt;"")*(P$3:P$69="")*(G$3:G$69=G26)*(J$3:J$69&gt;J26)*(I$3:I$69="P"))+SUMPRODUCT((P$3:P$69&lt;&gt;"")*(G$3:G$69=G26)*(I$3:I$69="P"))+1,IF(N26&lt;&gt;"",SUMPRODUCT((N$3:N$69&lt;&gt;"")*(G$3:G$69=G26)*(J$3:J$69&gt;J26)*(I$3:I$69="P"))+1,IF(M26="P",SUMPRODUCT((O$3:O$69&lt;&gt;"")*(P$3:P$69="")*(G$3:G$69=G26)*(I$3:I$69="P"))+SUMPRODUCT((P$3:P$69&lt;&gt;"")*(G$3:G$69=G26)*(I$3:I$69="P"))+SUMPRODUCT((N$3:N$69&lt;&gt;"")*(G$3:G$69=G26)*(I$3:I$69="P"))+SUMPRODUCT((P$3:P$69="")*(O$3:O$69="")*(N$3:N$69="")*(M$3:M$69="P")*(G$3:G$69=G26)*(J$3:J$69&gt;J26)*(I$3:I$69="P"))+IF(H26="L5",SUMPRODUCT((P$3:P$69="")*(O$3:O$69="")*(N$3:N$69="")*(M$3:M$69="P")*(G$3:G$69=G26)*(J$3:J$69&lt;J26)*(H$3:H$69&lt;&gt;H26)*(I$3:I$69="P")),-1*SUMPRODUCT((P$3:P$69="")*(O$3:O$69="")*(N$3:N$69="")*(M$3:M$69="P")*(G$3:G$69=G26)*(J$3:J$69&gt;J26)*(H$3:H$69="L5")*(I$3:I$69="P")))+1,"")))))</f>
        <v/>
      </c>
      <c r="B26" s="1" t="str" cm="1">
        <f t="array" ref="B26">IF(P26&lt;&gt;"",SUMPRODUCT((P$3:P$69&lt;&gt;"")*(G$3:G$69=G26)*(J$3:J$69&gt;J26))+1,IF(O26&lt;&gt;"",SUMPRODUCT((O$3:O$69&lt;&gt;"")*(P$3:P$69="")*(G$3:G$69=G26)*(J$3:J$69&gt;J26))+SUMPRODUCT((P$3:P$69&lt;&gt;"")*(G$3:G$69=G26))+1,IF(N26&lt;&gt;"",SUMPRODUCT((N$3:N$69&lt;&gt;"")*(G$3:G$69=G26)*(J$3:J$69&gt;J26))+1,IF(M26="P",SUMPRODUCT((O$3:O$69&lt;&gt;"")*(P$3:P$69="")*(G$3:G$69=G26))+SUMPRODUCT((P$3:P$69&lt;&gt;"")*(G$3:G$69=G26))+SUMPRODUCT((N$3:N$69&lt;&gt;"")*(G$3:G$69=G26))+SUMPRODUCT((P$3:P$69="")*(O$3:O$69="")*(N$3:N$69="")*(M$3:M$69="P")*(G$3:G$69=G26)*(J$3:J$69&gt;J26))+IF(H26="L5",SUMPRODUCT((P$3:P$69="")*(O$3:O$69="")*(N$3:N$69="")*(M$3:M$69="P")*(G$3:G$69=G26)*(J$3:J$69&lt;J26)*(H$3:H$69&lt;&gt;H26)),-1*SUMPRODUCT((P$3:P$69="")*(O$3:O$69="")*(N$3:N$69="")*(M$3:M$69="P")*(G$3:G$69=G26)*(J$3:J$69&gt;J26)*(H$3:H$69="L5")))+1,""))))</f>
        <v/>
      </c>
      <c r="C26" s="36" t="s">
        <v>302</v>
      </c>
      <c r="D26" s="36" t="str">
        <f>IF(E26="","",VLOOKUP(E26,'Coaching Points'!A:B,2,0))</f>
        <v>QC</v>
      </c>
      <c r="E26" s="36" t="s">
        <v>203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79.599999999999994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MAX(T26,X26)</f>
        <v>42.6</v>
      </c>
      <c r="S26" s="4">
        <f>IF(R26=T26,MAX(V26,X26,Z26),IF(R26=X26,MAX(T26,V26,Z26),0))</f>
        <v>37</v>
      </c>
      <c r="T26" s="33">
        <v>42.6</v>
      </c>
      <c r="U26" s="40">
        <v>5</v>
      </c>
      <c r="V26" s="34">
        <v>37</v>
      </c>
      <c r="W26" s="40">
        <v>4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$69&lt;&gt;"")*(G$3:G$69=G27)*(J$3:J$69&gt;J27)*(I$3:I$69="P"))+1,IF(O27&lt;&gt;"",SUMPRODUCT((O$3:O$69&lt;&gt;"")*(P$3:P$69="")*(G$3:G$69=G27)*(J$3:J$69&gt;J27)*(I$3:I$69="P"))+SUMPRODUCT((P$3:P$69&lt;&gt;"")*(G$3:G$69=G27)*(I$3:I$69="P"))+1,IF(N27&lt;&gt;"",SUMPRODUCT((N$3:N$69&lt;&gt;"")*(G$3:G$69=G27)*(J$3:J$69&gt;J27)*(I$3:I$69="P"))+1,IF(M27="P",SUMPRODUCT((O$3:O$69&lt;&gt;"")*(P$3:P$69="")*(G$3:G$69=G27)*(I$3:I$69="P"))+SUMPRODUCT((P$3:P$69&lt;&gt;"")*(G$3:G$69=G27)*(I$3:I$69="P"))+SUMPRODUCT((N$3:N$69&lt;&gt;"")*(G$3:G$69=G27)*(I$3:I$69="P"))+SUMPRODUCT((P$3:P$69="")*(O$3:O$69="")*(N$3:N$69="")*(M$3:M$69="P")*(G$3:G$69=G27)*(J$3:J$69&gt;J27)*(I$3:I$69="P"))+IF(H27="L5",SUMPRODUCT((P$3:P$69="")*(O$3:O$69="")*(N$3:N$69="")*(M$3:M$69="P")*(G$3:G$69=G27)*(J$3:J$69&lt;J27)*(H$3:H$69&lt;&gt;H27)*(I$3:I$69="P")),-1*SUMPRODUCT((P$3:P$69="")*(O$3:O$69="")*(N$3:N$69="")*(M$3:M$69="P")*(G$3:G$69=G27)*(J$3:J$69&gt;J27)*(H$3:H$69="L5")*(I$3:I$69="P")))+1,"")))))</f>
        <v/>
      </c>
      <c r="B27" s="1" t="str" cm="1">
        <f t="array" ref="B27">IF(P27&lt;&gt;"",SUMPRODUCT((P$3:P$69&lt;&gt;"")*(G$3:G$69=G27)*(J$3:J$69&gt;J27))+1,IF(O27&lt;&gt;"",SUMPRODUCT((O$3:O$69&lt;&gt;"")*(P$3:P$69="")*(G$3:G$69=G27)*(J$3:J$69&gt;J27))+SUMPRODUCT((P$3:P$69&lt;&gt;"")*(G$3:G$69=G27))+1,IF(N27&lt;&gt;"",SUMPRODUCT((N$3:N$69&lt;&gt;"")*(G$3:G$69=G27)*(J$3:J$69&gt;J27))+1,IF(M27="P",SUMPRODUCT((O$3:O$69&lt;&gt;"")*(P$3:P$69="")*(G$3:G$69=G27))+SUMPRODUCT((P$3:P$69&lt;&gt;"")*(G$3:G$69=G27))+SUMPRODUCT((N$3:N$69&lt;&gt;"")*(G$3:G$69=G27))+SUMPRODUCT((P$3:P$69="")*(O$3:O$69="")*(N$3:N$69="")*(M$3:M$69="P")*(G$3:G$69=G27)*(J$3:J$69&gt;J27))+IF(H27="L5",SUMPRODUCT((P$3:P$69="")*(O$3:O$69="")*(N$3:N$69="")*(M$3:M$69="P")*(G$3:G$69=G27)*(J$3:J$69&lt;J27)*(H$3:H$69&lt;&gt;H27)),-1*SUMPRODUCT((P$3:P$69="")*(O$3:O$69="")*(N$3:N$69="")*(M$3:M$69="P")*(G$3:G$69=G27)*(J$3:J$69&gt;J27)*(H$3:H$69="L5")))+1,""))))</f>
        <v/>
      </c>
      <c r="C27" s="36" t="s">
        <v>187</v>
      </c>
      <c r="D27" s="36" t="str">
        <f>IF(E27="","",VLOOKUP(E27,'Coaching Points'!A:B,2,0))</f>
        <v>BC</v>
      </c>
      <c r="E27" s="36" t="s">
        <v>41</v>
      </c>
      <c r="F27" s="35">
        <v>2003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74</v>
      </c>
      <c r="I27" s="43"/>
      <c r="J27" s="4">
        <f>R27+S27+IF(OR(H27="Junior",H27="Senior"),0.0002,IF(OR(H27="L7",H27="L6"),0.0001,0))+MAX(X27,Z27)*0.0000001</f>
        <v>62.700200000000002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MAX(T27,X27)</f>
        <v>42.9</v>
      </c>
      <c r="S27" s="4">
        <f>IF(R27=T27,MAX(V27,X27,Z27),IF(R27=X27,MAX(T27,V27,Z27),0))</f>
        <v>19.8</v>
      </c>
      <c r="T27" s="33">
        <v>42.9</v>
      </c>
      <c r="U27" s="40">
        <v>8.5</v>
      </c>
      <c r="V27" s="34">
        <v>19.8</v>
      </c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$69&lt;&gt;"")*(G$3:G$69=G28)*(J$3:J$69&gt;J28)*(I$3:I$69="P"))+1,IF(O28&lt;&gt;"",SUMPRODUCT((O$3:O$69&lt;&gt;"")*(P$3:P$69="")*(G$3:G$69=G28)*(J$3:J$69&gt;J28)*(I$3:I$69="P"))+SUMPRODUCT((P$3:P$69&lt;&gt;"")*(G$3:G$69=G28)*(I$3:I$69="P"))+1,IF(N28&lt;&gt;"",SUMPRODUCT((N$3:N$69&lt;&gt;"")*(G$3:G$69=G28)*(J$3:J$69&gt;J28)*(I$3:I$69="P"))+1,IF(M28="P",SUMPRODUCT((O$3:O$69&lt;&gt;"")*(P$3:P$69="")*(G$3:G$69=G28)*(I$3:I$69="P"))+SUMPRODUCT((P$3:P$69&lt;&gt;"")*(G$3:G$69=G28)*(I$3:I$69="P"))+SUMPRODUCT((N$3:N$69&lt;&gt;"")*(G$3:G$69=G28)*(I$3:I$69="P"))+SUMPRODUCT((P$3:P$69="")*(O$3:O$69="")*(N$3:N$69="")*(M$3:M$69="P")*(G$3:G$69=G28)*(J$3:J$69&gt;J28)*(I$3:I$69="P"))+IF(H28="L5",SUMPRODUCT((P$3:P$69="")*(O$3:O$69="")*(N$3:N$69="")*(M$3:M$69="P")*(G$3:G$69=G28)*(J$3:J$69&lt;J28)*(H$3:H$69&lt;&gt;H28)*(I$3:I$69="P")),-1*SUMPRODUCT((P$3:P$69="")*(O$3:O$69="")*(N$3:N$69="")*(M$3:M$69="P")*(G$3:G$69=G28)*(J$3:J$69&gt;J28)*(H$3:H$69="L5")*(I$3:I$69="P")))+1,"")))))</f>
        <v/>
      </c>
      <c r="B28" s="1" t="str" cm="1">
        <f t="array" ref="B28">IF(P28&lt;&gt;"",SUMPRODUCT((P$3:P$69&lt;&gt;"")*(G$3:G$69=G28)*(J$3:J$69&gt;J28))+1,IF(O28&lt;&gt;"",SUMPRODUCT((O$3:O$69&lt;&gt;"")*(P$3:P$69="")*(G$3:G$69=G28)*(J$3:J$69&gt;J28))+SUMPRODUCT((P$3:P$69&lt;&gt;"")*(G$3:G$69=G28))+1,IF(N28&lt;&gt;"",SUMPRODUCT((N$3:N$69&lt;&gt;"")*(G$3:G$69=G28)*(J$3:J$69&gt;J28))+1,IF(M28="P",SUMPRODUCT((O$3:O$69&lt;&gt;"")*(P$3:P$69="")*(G$3:G$69=G28))+SUMPRODUCT((P$3:P$69&lt;&gt;"")*(G$3:G$69=G28))+SUMPRODUCT((N$3:N$69&lt;&gt;"")*(G$3:G$69=G28))+SUMPRODUCT((P$3:P$69="")*(O$3:O$69="")*(N$3:N$69="")*(M$3:M$69="P")*(G$3:G$69=G28)*(J$3:J$69&gt;J28))+IF(H28="L5",SUMPRODUCT((P$3:P$69="")*(O$3:O$69="")*(N$3:N$69="")*(M$3:M$69="P")*(G$3:G$69=G28)*(J$3:J$69&lt;J28)*(H$3:H$69&lt;&gt;H28)),-1*SUMPRODUCT((P$3:P$69="")*(O$3:O$69="")*(N$3:N$69="")*(M$3:M$69="P")*(G$3:G$69=G28)*(J$3:J$69&gt;J28)*(H$3:H$69="L5")))+1,""))))</f>
        <v/>
      </c>
      <c r="C28" s="36" t="s">
        <v>137</v>
      </c>
      <c r="D28" s="36" t="str">
        <f>IF(E28="","",VLOOKUP(E28,'Coaching Points'!A:B,2,0))</f>
        <v>BC</v>
      </c>
      <c r="E28" s="36" t="s">
        <v>46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60.8001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MAX(T28,X28)</f>
        <v>39.4</v>
      </c>
      <c r="S28" s="4">
        <f>IF(R28=T28,MAX(V28,X28,Z28),IF(R28=X28,MAX(T28,V28,Z28),0))</f>
        <v>21.4</v>
      </c>
      <c r="T28" s="33">
        <v>39.4</v>
      </c>
      <c r="U28" s="40">
        <v>4.8</v>
      </c>
      <c r="V28" s="34">
        <v>21.4</v>
      </c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$69&lt;&gt;"")*(G$3:G$69=G29)*(J$3:J$69&gt;J29)*(I$3:I$69="P"))+1,IF(O29&lt;&gt;"",SUMPRODUCT((O$3:O$69&lt;&gt;"")*(P$3:P$69="")*(G$3:G$69=G29)*(J$3:J$69&gt;J29)*(I$3:I$69="P"))+SUMPRODUCT((P$3:P$69&lt;&gt;"")*(G$3:G$69=G29)*(I$3:I$69="P"))+1,IF(N29&lt;&gt;"",SUMPRODUCT((N$3:N$69&lt;&gt;"")*(G$3:G$69=G29)*(J$3:J$69&gt;J29)*(I$3:I$69="P"))+1,IF(M29="P",SUMPRODUCT((O$3:O$69&lt;&gt;"")*(P$3:P$69="")*(G$3:G$69=G29)*(I$3:I$69="P"))+SUMPRODUCT((P$3:P$69&lt;&gt;"")*(G$3:G$69=G29)*(I$3:I$69="P"))+SUMPRODUCT((N$3:N$69&lt;&gt;"")*(G$3:G$69=G29)*(I$3:I$69="P"))+SUMPRODUCT((P$3:P$69="")*(O$3:O$69="")*(N$3:N$69="")*(M$3:M$69="P")*(G$3:G$69=G29)*(J$3:J$69&gt;J29)*(I$3:I$69="P"))+IF(H29="L5",SUMPRODUCT((P$3:P$69="")*(O$3:O$69="")*(N$3:N$69="")*(M$3:M$69="P")*(G$3:G$69=G29)*(J$3:J$69&lt;J29)*(H$3:H$69&lt;&gt;H29)*(I$3:I$69="P")),-1*SUMPRODUCT((P$3:P$69="")*(O$3:O$69="")*(N$3:N$69="")*(M$3:M$69="P")*(G$3:G$69=G29)*(J$3:J$69&gt;J29)*(H$3:H$69="L5")*(I$3:I$69="P")))+1,"")))))</f>
        <v/>
      </c>
      <c r="B29" s="1" t="str" cm="1">
        <f t="array" ref="B29">IF(P29&lt;&gt;"",SUMPRODUCT((P$3:P$69&lt;&gt;"")*(G$3:G$69=G29)*(J$3:J$69&gt;J29))+1,IF(O29&lt;&gt;"",SUMPRODUCT((O$3:O$69&lt;&gt;"")*(P$3:P$69="")*(G$3:G$69=G29)*(J$3:J$69&gt;J29))+SUMPRODUCT((P$3:P$69&lt;&gt;"")*(G$3:G$69=G29))+1,IF(N29&lt;&gt;"",SUMPRODUCT((N$3:N$69&lt;&gt;"")*(G$3:G$69=G29)*(J$3:J$69&gt;J29))+1,IF(M29="P",SUMPRODUCT((O$3:O$69&lt;&gt;"")*(P$3:P$69="")*(G$3:G$69=G29))+SUMPRODUCT((P$3:P$69&lt;&gt;"")*(G$3:G$69=G29))+SUMPRODUCT((N$3:N$69&lt;&gt;"")*(G$3:G$69=G29))+SUMPRODUCT((P$3:P$69="")*(O$3:O$69="")*(N$3:N$69="")*(M$3:M$69="P")*(G$3:G$69=G29)*(J$3:J$69&gt;J29))+IF(H29="L5",SUMPRODUCT((P$3:P$69="")*(O$3:O$69="")*(N$3:N$69="")*(M$3:M$69="P")*(G$3:G$69=G29)*(J$3:J$69&lt;J29)*(H$3:H$69&lt;&gt;H29)),-1*SUMPRODUCT((P$3:P$69="")*(O$3:O$69="")*(N$3:N$69="")*(M$3:M$69="P")*(G$3:G$69=G29)*(J$3:J$69&gt;J29)*(H$3:H$69="L5")))+1,""))))</f>
        <v/>
      </c>
      <c r="C29" s="36" t="s">
        <v>250</v>
      </c>
      <c r="D29" s="36" t="str">
        <f>IF(E29="","",VLOOKUP(E29,'Coaching Points'!A:B,2,0))</f>
        <v>AB</v>
      </c>
      <c r="E29" s="36" t="s">
        <v>63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68</v>
      </c>
      <c r="I29" s="43"/>
      <c r="J29" s="4">
        <f>R29+S29+IF(OR(H29="Junior",H29="Senior"),0.0002,IF(OR(H29="L7",H29="L6"),0.0001,0))+MAX(X29,Z29)*0.0000001</f>
        <v>59.8001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MAX(T29,X29)</f>
        <v>41.9</v>
      </c>
      <c r="S29" s="4">
        <f>IF(R29=T29,MAX(V29,X29,Z29),IF(R29=X29,MAX(T29,V29,Z29),0))</f>
        <v>17.899999999999999</v>
      </c>
      <c r="T29" s="33">
        <v>41.9</v>
      </c>
      <c r="U29" s="40">
        <v>6.5</v>
      </c>
      <c r="V29" s="34">
        <v>17.899999999999999</v>
      </c>
      <c r="W29" s="40"/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$69&lt;&gt;"")*(G$3:G$69=G30)*(J$3:J$69&gt;J30)*(I$3:I$69="P"))+1,IF(O30&lt;&gt;"",SUMPRODUCT((O$3:O$69&lt;&gt;"")*(P$3:P$69="")*(G$3:G$69=G30)*(J$3:J$69&gt;J30)*(I$3:I$69="P"))+SUMPRODUCT((P$3:P$69&lt;&gt;"")*(G$3:G$69=G30)*(I$3:I$69="P"))+1,IF(N30&lt;&gt;"",SUMPRODUCT((N$3:N$69&lt;&gt;"")*(G$3:G$69=G30)*(J$3:J$69&gt;J30)*(I$3:I$69="P"))+1,IF(M30="P",SUMPRODUCT((O$3:O$69&lt;&gt;"")*(P$3:P$69="")*(G$3:G$69=G30)*(I$3:I$69="P"))+SUMPRODUCT((P$3:P$69&lt;&gt;"")*(G$3:G$69=G30)*(I$3:I$69="P"))+SUMPRODUCT((N$3:N$69&lt;&gt;"")*(G$3:G$69=G30)*(I$3:I$69="P"))+SUMPRODUCT((P$3:P$69="")*(O$3:O$69="")*(N$3:N$69="")*(M$3:M$69="P")*(G$3:G$69=G30)*(J$3:J$69&gt;J30)*(I$3:I$69="P"))+IF(H30="L5",SUMPRODUCT((P$3:P$69="")*(O$3:O$69="")*(N$3:N$69="")*(M$3:M$69="P")*(G$3:G$69=G30)*(J$3:J$69&lt;J30)*(H$3:H$69&lt;&gt;H30)*(I$3:I$69="P")),-1*SUMPRODUCT((P$3:P$69="")*(O$3:O$69="")*(N$3:N$69="")*(M$3:M$69="P")*(G$3:G$69=G30)*(J$3:J$69&gt;J30)*(H$3:H$69="L5")*(I$3:I$69="P")))+1,"")))))</f>
        <v/>
      </c>
      <c r="B30" s="1" t="str" cm="1">
        <f t="array" ref="B30">IF(P30&lt;&gt;"",SUMPRODUCT((P$3:P$69&lt;&gt;"")*(G$3:G$69=G30)*(J$3:J$69&gt;J30))+1,IF(O30&lt;&gt;"",SUMPRODUCT((O$3:O$69&lt;&gt;"")*(P$3:P$69="")*(G$3:G$69=G30)*(J$3:J$69&gt;J30))+SUMPRODUCT((P$3:P$69&lt;&gt;"")*(G$3:G$69=G30))+1,IF(N30&lt;&gt;"",SUMPRODUCT((N$3:N$69&lt;&gt;"")*(G$3:G$69=G30)*(J$3:J$69&gt;J30))+1,IF(M30="P",SUMPRODUCT((O$3:O$69&lt;&gt;"")*(P$3:P$69="")*(G$3:G$69=G30))+SUMPRODUCT((P$3:P$69&lt;&gt;"")*(G$3:G$69=G30))+SUMPRODUCT((N$3:N$69&lt;&gt;"")*(G$3:G$69=G30))+SUMPRODUCT((P$3:P$69="")*(O$3:O$69="")*(N$3:N$69="")*(M$3:M$69="P")*(G$3:G$69=G30)*(J$3:J$69&gt;J30))+IF(H30="L5",SUMPRODUCT((P$3:P$69="")*(O$3:O$69="")*(N$3:N$69="")*(M$3:M$69="P")*(G$3:G$69=G30)*(J$3:J$69&lt;J30)*(H$3:H$69&lt;&gt;H30)),-1*SUMPRODUCT((P$3:P$69="")*(O$3:O$69="")*(N$3:N$69="")*(M$3:M$69="P")*(G$3:G$69=G30)*(J$3:J$69&gt;J30)*(H$3:H$69="L5")))+1,""))))</f>
        <v/>
      </c>
      <c r="C30" s="36" t="s">
        <v>246</v>
      </c>
      <c r="D30" s="36" t="str">
        <f>IF(E30="","",VLOOKUP(E30,'Coaching Points'!A:B,2,0))</f>
        <v>AB</v>
      </c>
      <c r="E30" s="36" t="s">
        <v>63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58.600100000000005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MAX(T30,X30)</f>
        <v>37.700000000000003</v>
      </c>
      <c r="S30" s="4">
        <f>IF(R30=T30,MAX(V30,X30,Z30),IF(R30=X30,MAX(T30,V30,Z30),0))</f>
        <v>20.9</v>
      </c>
      <c r="T30" s="33">
        <v>37.700000000000003</v>
      </c>
      <c r="U30" s="40">
        <v>3.3000000000000003</v>
      </c>
      <c r="V30" s="34">
        <v>20.9</v>
      </c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$69&lt;&gt;"")*(G$3:G$69=G31)*(J$3:J$69&gt;J31)*(I$3:I$69="P"))+1,IF(O31&lt;&gt;"",SUMPRODUCT((O$3:O$69&lt;&gt;"")*(P$3:P$69="")*(G$3:G$69=G31)*(J$3:J$69&gt;J31)*(I$3:I$69="P"))+SUMPRODUCT((P$3:P$69&lt;&gt;"")*(G$3:G$69=G31)*(I$3:I$69="P"))+1,IF(N31&lt;&gt;"",SUMPRODUCT((N$3:N$69&lt;&gt;"")*(G$3:G$69=G31)*(J$3:J$69&gt;J31)*(I$3:I$69="P"))+1,IF(M31="P",SUMPRODUCT((O$3:O$69&lt;&gt;"")*(P$3:P$69="")*(G$3:G$69=G31)*(I$3:I$69="P"))+SUMPRODUCT((P$3:P$69&lt;&gt;"")*(G$3:G$69=G31)*(I$3:I$69="P"))+SUMPRODUCT((N$3:N$69&lt;&gt;"")*(G$3:G$69=G31)*(I$3:I$69="P"))+SUMPRODUCT((P$3:P$69="")*(O$3:O$69="")*(N$3:N$69="")*(M$3:M$69="P")*(G$3:G$69=G31)*(J$3:J$69&gt;J31)*(I$3:I$69="P"))+IF(H31="L5",SUMPRODUCT((P$3:P$69="")*(O$3:O$69="")*(N$3:N$69="")*(M$3:M$69="P")*(G$3:G$69=G31)*(J$3:J$69&lt;J31)*(H$3:H$69&lt;&gt;H31)*(I$3:I$69="P")),-1*SUMPRODUCT((P$3:P$69="")*(O$3:O$69="")*(N$3:N$69="")*(M$3:M$69="P")*(G$3:G$69=G31)*(J$3:J$69&gt;J31)*(H$3:H$69="L5")*(I$3:I$69="P")))+1,"")))))</f>
        <v/>
      </c>
      <c r="B31" s="1" t="str" cm="1">
        <f t="array" ref="B31">IF(P31&lt;&gt;"",SUMPRODUCT((P$3:P$69&lt;&gt;"")*(G$3:G$69=G31)*(J$3:J$69&gt;J31))+1,IF(O31&lt;&gt;"",SUMPRODUCT((O$3:O$69&lt;&gt;"")*(P$3:P$69="")*(G$3:G$69=G31)*(J$3:J$69&gt;J31))+SUMPRODUCT((P$3:P$69&lt;&gt;"")*(G$3:G$69=G31))+1,IF(N31&lt;&gt;"",SUMPRODUCT((N$3:N$69&lt;&gt;"")*(G$3:G$69=G31)*(J$3:J$69&gt;J31))+1,IF(M31="P",SUMPRODUCT((O$3:O$69&lt;&gt;"")*(P$3:P$69="")*(G$3:G$69=G31))+SUMPRODUCT((P$3:P$69&lt;&gt;"")*(G$3:G$69=G31))+SUMPRODUCT((N$3:N$69&lt;&gt;"")*(G$3:G$69=G31))+SUMPRODUCT((P$3:P$69="")*(O$3:O$69="")*(N$3:N$69="")*(M$3:M$69="P")*(G$3:G$69=G31)*(J$3:J$69&gt;J31))+IF(H31="L5",SUMPRODUCT((P$3:P$69="")*(O$3:O$69="")*(N$3:N$69="")*(M$3:M$69="P")*(G$3:G$69=G31)*(J$3:J$69&lt;J31)*(H$3:H$69&lt;&gt;H31)),-1*SUMPRODUCT((P$3:P$69="")*(O$3:O$69="")*(N$3:N$69="")*(M$3:M$69="P")*(G$3:G$69=G31)*(J$3:J$69&gt;J31)*(H$3:H$69="L5")))+1,""))))</f>
        <v/>
      </c>
      <c r="C31" s="36" t="s">
        <v>358</v>
      </c>
      <c r="D31" s="36" t="str">
        <f>IF(E31="","",VLOOKUP(E31,'Coaching Points'!A:B,2,0))</f>
        <v>ON</v>
      </c>
      <c r="E31" s="36" t="s">
        <v>47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41.8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MAX(T31,X31)</f>
        <v>41.8</v>
      </c>
      <c r="S31" s="4">
        <f>IF(R31=T31,MAX(V31,X31,Z31),IF(R31=X31,MAX(T31,V31,Z31),0))</f>
        <v>0</v>
      </c>
      <c r="T31" s="33">
        <v>41.8</v>
      </c>
      <c r="U31" s="40">
        <v>5.8000000000000007</v>
      </c>
      <c r="V31" s="34"/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$69&lt;&gt;"")*(G$3:G$69=G32)*(J$3:J$69&gt;J32)*(I$3:I$69="P"))+1,IF(O32&lt;&gt;"",SUMPRODUCT((O$3:O$69&lt;&gt;"")*(P$3:P$69="")*(G$3:G$69=G32)*(J$3:J$69&gt;J32)*(I$3:I$69="P"))+SUMPRODUCT((P$3:P$69&lt;&gt;"")*(G$3:G$69=G32)*(I$3:I$69="P"))+1,IF(N32&lt;&gt;"",SUMPRODUCT((N$3:N$69&lt;&gt;"")*(G$3:G$69=G32)*(J$3:J$69&gt;J32)*(I$3:I$69="P"))+1,IF(M32="P",SUMPRODUCT((O$3:O$69&lt;&gt;"")*(P$3:P$69="")*(G$3:G$69=G32)*(I$3:I$69="P"))+SUMPRODUCT((P$3:P$69&lt;&gt;"")*(G$3:G$69=G32)*(I$3:I$69="P"))+SUMPRODUCT((N$3:N$69&lt;&gt;"")*(G$3:G$69=G32)*(I$3:I$69="P"))+SUMPRODUCT((P$3:P$69="")*(O$3:O$69="")*(N$3:N$69="")*(M$3:M$69="P")*(G$3:G$69=G32)*(J$3:J$69&gt;J32)*(I$3:I$69="P"))+IF(H32="L5",SUMPRODUCT((P$3:P$69="")*(O$3:O$69="")*(N$3:N$69="")*(M$3:M$69="P")*(G$3:G$69=G32)*(J$3:J$69&lt;J32)*(H$3:H$69&lt;&gt;H32)*(I$3:I$69="P")),-1*SUMPRODUCT((P$3:P$69="")*(O$3:O$69="")*(N$3:N$69="")*(M$3:M$69="P")*(G$3:G$69=G32)*(J$3:J$69&gt;J32)*(H$3:H$69="L5")*(I$3:I$69="P")))+1,"")))))</f>
        <v/>
      </c>
      <c r="B32" s="1" t="str" cm="1">
        <f t="array" ref="B32">IF(P32&lt;&gt;"",SUMPRODUCT((P$3:P$69&lt;&gt;"")*(G$3:G$69=G32)*(J$3:J$69&gt;J32))+1,IF(O32&lt;&gt;"",SUMPRODUCT((O$3:O$69&lt;&gt;"")*(P$3:P$69="")*(G$3:G$69=G32)*(J$3:J$69&gt;J32))+SUMPRODUCT((P$3:P$69&lt;&gt;"")*(G$3:G$69=G32))+1,IF(N32&lt;&gt;"",SUMPRODUCT((N$3:N$69&lt;&gt;"")*(G$3:G$69=G32)*(J$3:J$69&gt;J32))+1,IF(M32="P",SUMPRODUCT((O$3:O$69&lt;&gt;"")*(P$3:P$69="")*(G$3:G$69=G32))+SUMPRODUCT((P$3:P$69&lt;&gt;"")*(G$3:G$69=G32))+SUMPRODUCT((N$3:N$69&lt;&gt;"")*(G$3:G$69=G32))+SUMPRODUCT((P$3:P$69="")*(O$3:O$69="")*(N$3:N$69="")*(M$3:M$69="P")*(G$3:G$69=G32)*(J$3:J$69&gt;J32))+IF(H32="L5",SUMPRODUCT((P$3:P$69="")*(O$3:O$69="")*(N$3:N$69="")*(M$3:M$69="P")*(G$3:G$69=G32)*(J$3:J$69&lt;J32)*(H$3:H$69&lt;&gt;H32)),-1*SUMPRODUCT((P$3:P$69="")*(O$3:O$69="")*(N$3:N$69="")*(M$3:M$69="P")*(G$3:G$69=G32)*(J$3:J$69&gt;J32)*(H$3:H$69="L5")))+1,""))))</f>
        <v/>
      </c>
      <c r="C32" s="36" t="s">
        <v>186</v>
      </c>
      <c r="D32" s="36" t="str">
        <f>IF(E32="","",VLOOKUP(E32,'Coaching Points'!A:B,2,0))</f>
        <v>SK</v>
      </c>
      <c r="E32" s="36" t="s">
        <v>60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66</v>
      </c>
      <c r="I32" s="43"/>
      <c r="J32" s="4">
        <f>R32+S32+IF(OR(H32="Junior",H32="Senior"),0.0002,IF(OR(H32="L7",H32="L6"),0.0001,0))+MAX(X32,Z32)*0.0000001</f>
        <v>41.7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MAX(T32,X32)</f>
        <v>41.7</v>
      </c>
      <c r="S32" s="4">
        <f>IF(R32=T32,MAX(V32,X32,Z32),IF(R32=X32,MAX(T32,V32,Z32),0))</f>
        <v>0</v>
      </c>
      <c r="T32" s="33">
        <v>41.7</v>
      </c>
      <c r="U32" s="40">
        <v>4.8000000000000007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$69&lt;&gt;"")*(G$3:G$69=G33)*(J$3:J$69&gt;J33)*(I$3:I$69="P"))+1,IF(O33&lt;&gt;"",SUMPRODUCT((O$3:O$69&lt;&gt;"")*(P$3:P$69="")*(G$3:G$69=G33)*(J$3:J$69&gt;J33)*(I$3:I$69="P"))+SUMPRODUCT((P$3:P$69&lt;&gt;"")*(G$3:G$69=G33)*(I$3:I$69="P"))+1,IF(N33&lt;&gt;"",SUMPRODUCT((N$3:N$69&lt;&gt;"")*(G$3:G$69=G33)*(J$3:J$69&gt;J33)*(I$3:I$69="P"))+1,IF(M33="P",SUMPRODUCT((O$3:O$69&lt;&gt;"")*(P$3:P$69="")*(G$3:G$69=G33)*(I$3:I$69="P"))+SUMPRODUCT((P$3:P$69&lt;&gt;"")*(G$3:G$69=G33)*(I$3:I$69="P"))+SUMPRODUCT((N$3:N$69&lt;&gt;"")*(G$3:G$69=G33)*(I$3:I$69="P"))+SUMPRODUCT((P$3:P$69="")*(O$3:O$69="")*(N$3:N$69="")*(M$3:M$69="P")*(G$3:G$69=G33)*(J$3:J$69&gt;J33)*(I$3:I$69="P"))+IF(H33="L5",SUMPRODUCT((P$3:P$69="")*(O$3:O$69="")*(N$3:N$69="")*(M$3:M$69="P")*(G$3:G$69=G33)*(J$3:J$69&lt;J33)*(H$3:H$69&lt;&gt;H33)*(I$3:I$69="P")),-1*SUMPRODUCT((P$3:P$69="")*(O$3:O$69="")*(N$3:N$69="")*(M$3:M$69="P")*(G$3:G$69=G33)*(J$3:J$69&gt;J33)*(H$3:H$69="L5")*(I$3:I$69="P")))+1,"")))))</f>
        <v/>
      </c>
      <c r="B33" s="1" t="str" cm="1">
        <f t="array" ref="B33">IF(P33&lt;&gt;"",SUMPRODUCT((P$3:P$69&lt;&gt;"")*(G$3:G$69=G33)*(J$3:J$69&gt;J33))+1,IF(O33&lt;&gt;"",SUMPRODUCT((O$3:O$69&lt;&gt;"")*(P$3:P$69="")*(G$3:G$69=G33)*(J$3:J$69&gt;J33))+SUMPRODUCT((P$3:P$69&lt;&gt;"")*(G$3:G$69=G33))+1,IF(N33&lt;&gt;"",SUMPRODUCT((N$3:N$69&lt;&gt;"")*(G$3:G$69=G33)*(J$3:J$69&gt;J33))+1,IF(M33="P",SUMPRODUCT((O$3:O$69&lt;&gt;"")*(P$3:P$69="")*(G$3:G$69=G33))+SUMPRODUCT((P$3:P$69&lt;&gt;"")*(G$3:G$69=G33))+SUMPRODUCT((N$3:N$69&lt;&gt;"")*(G$3:G$69=G33))+SUMPRODUCT((P$3:P$69="")*(O$3:O$69="")*(N$3:N$69="")*(M$3:M$69="P")*(G$3:G$69=G33)*(J$3:J$69&gt;J33))+IF(H33="L5",SUMPRODUCT((P$3:P$69="")*(O$3:O$69="")*(N$3:N$69="")*(M$3:M$69="P")*(G$3:G$69=G33)*(J$3:J$69&lt;J33)*(H$3:H$69&lt;&gt;H33)),-1*SUMPRODUCT((P$3:P$69="")*(O$3:O$69="")*(N$3:N$69="")*(M$3:M$69="P")*(G$3:G$69=G33)*(J$3:J$69&gt;J33)*(H$3:H$69="L5")))+1,""))))</f>
        <v/>
      </c>
      <c r="C33" s="36" t="s">
        <v>139</v>
      </c>
      <c r="D33" s="36" t="str">
        <f>IF(E33="","",VLOOKUP(E33,'Coaching Points'!A:B,2,0))</f>
        <v>BC</v>
      </c>
      <c r="E33" s="36" t="s">
        <v>46</v>
      </c>
      <c r="F33" s="35">
        <v>2005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41.4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MAX(T33,X33)</f>
        <v>41.4</v>
      </c>
      <c r="S33" s="4">
        <f>IF(R33=T33,MAX(V33,X33,Z33),IF(R33=X33,MAX(T33,V33,Z33),0))</f>
        <v>0</v>
      </c>
      <c r="T33" s="33">
        <v>41.4</v>
      </c>
      <c r="U33" s="40">
        <v>4.8000000000000007</v>
      </c>
      <c r="V33" s="34"/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$69&lt;&gt;"")*(G$3:G$69=G34)*(J$3:J$69&gt;J34)*(I$3:I$69="P"))+1,IF(O34&lt;&gt;"",SUMPRODUCT((O$3:O$69&lt;&gt;"")*(P$3:P$69="")*(G$3:G$69=G34)*(J$3:J$69&gt;J34)*(I$3:I$69="P"))+SUMPRODUCT((P$3:P$69&lt;&gt;"")*(G$3:G$69=G34)*(I$3:I$69="P"))+1,IF(N34&lt;&gt;"",SUMPRODUCT((N$3:N$69&lt;&gt;"")*(G$3:G$69=G34)*(J$3:J$69&gt;J34)*(I$3:I$69="P"))+1,IF(M34="P",SUMPRODUCT((O$3:O$69&lt;&gt;"")*(P$3:P$69="")*(G$3:G$69=G34)*(I$3:I$69="P"))+SUMPRODUCT((P$3:P$69&lt;&gt;"")*(G$3:G$69=G34)*(I$3:I$69="P"))+SUMPRODUCT((N$3:N$69&lt;&gt;"")*(G$3:G$69=G34)*(I$3:I$69="P"))+SUMPRODUCT((P$3:P$69="")*(O$3:O$69="")*(N$3:N$69="")*(M$3:M$69="P")*(G$3:G$69=G34)*(J$3:J$69&gt;J34)*(I$3:I$69="P"))+IF(H34="L5",SUMPRODUCT((P$3:P$69="")*(O$3:O$69="")*(N$3:N$69="")*(M$3:M$69="P")*(G$3:G$69=G34)*(J$3:J$69&lt;J34)*(H$3:H$69&lt;&gt;H34)*(I$3:I$69="P")),-1*SUMPRODUCT((P$3:P$69="")*(O$3:O$69="")*(N$3:N$69="")*(M$3:M$69="P")*(G$3:G$69=G34)*(J$3:J$69&gt;J34)*(H$3:H$69="L5")*(I$3:I$69="P")))+1,"")))))</f>
        <v/>
      </c>
      <c r="B34" s="1" t="str" cm="1">
        <f t="array" ref="B34">IF(P34&lt;&gt;"",SUMPRODUCT((P$3:P$69&lt;&gt;"")*(G$3:G$69=G34)*(J$3:J$69&gt;J34))+1,IF(O34&lt;&gt;"",SUMPRODUCT((O$3:O$69&lt;&gt;"")*(P$3:P$69="")*(G$3:G$69=G34)*(J$3:J$69&gt;J34))+SUMPRODUCT((P$3:P$69&lt;&gt;"")*(G$3:G$69=G34))+1,IF(N34&lt;&gt;"",SUMPRODUCT((N$3:N$69&lt;&gt;"")*(G$3:G$69=G34)*(J$3:J$69&gt;J34))+1,IF(M34="P",SUMPRODUCT((O$3:O$69&lt;&gt;"")*(P$3:P$69="")*(G$3:G$69=G34))+SUMPRODUCT((P$3:P$69&lt;&gt;"")*(G$3:G$69=G34))+SUMPRODUCT((N$3:N$69&lt;&gt;"")*(G$3:G$69=G34))+SUMPRODUCT((P$3:P$69="")*(O$3:O$69="")*(N$3:N$69="")*(M$3:M$69="P")*(G$3:G$69=G34)*(J$3:J$69&gt;J34))+IF(H34="L5",SUMPRODUCT((P$3:P$69="")*(O$3:O$69="")*(N$3:N$69="")*(M$3:M$69="P")*(G$3:G$69=G34)*(J$3:J$69&lt;J34)*(H$3:H$69&lt;&gt;H34)),-1*SUMPRODUCT((P$3:P$69="")*(O$3:O$69="")*(N$3:N$69="")*(M$3:M$69="P")*(G$3:G$69=G34)*(J$3:J$69&gt;J34)*(H$3:H$69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292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41.1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MAX(T34,X34)</f>
        <v>41.1</v>
      </c>
      <c r="S34" s="4">
        <f>IF(R34=T34,MAX(V34,X34,Z34),IF(R34=X34,MAX(T34,V34,Z34),0))</f>
        <v>0</v>
      </c>
      <c r="T34" s="33">
        <v>41.1</v>
      </c>
      <c r="U34" s="40">
        <v>4.9000000000000004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$69&lt;&gt;"")*(G$3:G$69=G35)*(J$3:J$69&gt;J35)*(I$3:I$69="P"))+1,IF(O35&lt;&gt;"",SUMPRODUCT((O$3:O$69&lt;&gt;"")*(P$3:P$69="")*(G$3:G$69=G35)*(J$3:J$69&gt;J35)*(I$3:I$69="P"))+SUMPRODUCT((P$3:P$69&lt;&gt;"")*(G$3:G$69=G35)*(I$3:I$69="P"))+1,IF(N35&lt;&gt;"",SUMPRODUCT((N$3:N$69&lt;&gt;"")*(G$3:G$69=G35)*(J$3:J$69&gt;J35)*(I$3:I$69="P"))+1,IF(M35="P",SUMPRODUCT((O$3:O$69&lt;&gt;"")*(P$3:P$69="")*(G$3:G$69=G35)*(I$3:I$69="P"))+SUMPRODUCT((P$3:P$69&lt;&gt;"")*(G$3:G$69=G35)*(I$3:I$69="P"))+SUMPRODUCT((N$3:N$69&lt;&gt;"")*(G$3:G$69=G35)*(I$3:I$69="P"))+SUMPRODUCT((P$3:P$69="")*(O$3:O$69="")*(N$3:N$69="")*(M$3:M$69="P")*(G$3:G$69=G35)*(J$3:J$69&gt;J35)*(I$3:I$69="P"))+IF(H35="L5",SUMPRODUCT((P$3:P$69="")*(O$3:O$69="")*(N$3:N$69="")*(M$3:M$69="P")*(G$3:G$69=G35)*(J$3:J$69&lt;J35)*(H$3:H$69&lt;&gt;H35)*(I$3:I$69="P")),-1*SUMPRODUCT((P$3:P$69="")*(O$3:O$69="")*(N$3:N$69="")*(M$3:M$69="P")*(G$3:G$69=G35)*(J$3:J$69&gt;J35)*(H$3:H$69="L5")*(I$3:I$69="P")))+1,"")))))</f>
        <v/>
      </c>
      <c r="B35" s="1" t="str" cm="1">
        <f t="array" ref="B35">IF(P35&lt;&gt;"",SUMPRODUCT((P$3:P$69&lt;&gt;"")*(G$3:G$69=G35)*(J$3:J$69&gt;J35))+1,IF(O35&lt;&gt;"",SUMPRODUCT((O$3:O$69&lt;&gt;"")*(P$3:P$69="")*(G$3:G$69=G35)*(J$3:J$69&gt;J35))+SUMPRODUCT((P$3:P$69&lt;&gt;"")*(G$3:G$69=G35))+1,IF(N35&lt;&gt;"",SUMPRODUCT((N$3:N$69&lt;&gt;"")*(G$3:G$69=G35)*(J$3:J$69&gt;J35))+1,IF(M35="P",SUMPRODUCT((O$3:O$69&lt;&gt;"")*(P$3:P$69="")*(G$3:G$69=G35))+SUMPRODUCT((P$3:P$69&lt;&gt;"")*(G$3:G$69=G35))+SUMPRODUCT((N$3:N$69&lt;&gt;"")*(G$3:G$69=G35))+SUMPRODUCT((P$3:P$69="")*(O$3:O$69="")*(N$3:N$69="")*(M$3:M$69="P")*(G$3:G$69=G35)*(J$3:J$69&gt;J35))+IF(H35="L5",SUMPRODUCT((P$3:P$69="")*(O$3:O$69="")*(N$3:N$69="")*(M$3:M$69="P")*(G$3:G$69=G35)*(J$3:J$69&lt;J35)*(H$3:H$69&lt;&gt;H35)),-1*SUMPRODUCT((P$3:P$69="")*(O$3:O$69="")*(N$3:N$69="")*(M$3:M$69="P")*(G$3:G$69=G35)*(J$3:J$69&gt;J35)*(H$3:H$69="L5")))+1,""))))</f>
        <v/>
      </c>
      <c r="C35" s="36" t="s">
        <v>357</v>
      </c>
      <c r="D35" s="36" t="str">
        <f>IF(E35="","",VLOOKUP(E35,'Coaching Points'!A:B,2,0))</f>
        <v>BC</v>
      </c>
      <c r="E35" s="36" t="s">
        <v>41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41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MAX(T35,X35)</f>
        <v>41</v>
      </c>
      <c r="S35" s="4">
        <f>IF(R35=T35,MAX(V35,X35,Z35),IF(R35=X35,MAX(T35,V35,Z35),0))</f>
        <v>0</v>
      </c>
      <c r="T35" s="33">
        <v>41</v>
      </c>
      <c r="U35" s="40">
        <v>5.8000000000000007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$69&lt;&gt;"")*(G$3:G$69=G36)*(J$3:J$69&gt;J36)*(I$3:I$69="P"))+1,IF(O36&lt;&gt;"",SUMPRODUCT((O$3:O$69&lt;&gt;"")*(P$3:P$69="")*(G$3:G$69=G36)*(J$3:J$69&gt;J36)*(I$3:I$69="P"))+SUMPRODUCT((P$3:P$69&lt;&gt;"")*(G$3:G$69=G36)*(I$3:I$69="P"))+1,IF(N36&lt;&gt;"",SUMPRODUCT((N$3:N$69&lt;&gt;"")*(G$3:G$69=G36)*(J$3:J$69&gt;J36)*(I$3:I$69="P"))+1,IF(M36="P",SUMPRODUCT((O$3:O$69&lt;&gt;"")*(P$3:P$69="")*(G$3:G$69=G36)*(I$3:I$69="P"))+SUMPRODUCT((P$3:P$69&lt;&gt;"")*(G$3:G$69=G36)*(I$3:I$69="P"))+SUMPRODUCT((N$3:N$69&lt;&gt;"")*(G$3:G$69=G36)*(I$3:I$69="P"))+SUMPRODUCT((P$3:P$69="")*(O$3:O$69="")*(N$3:N$69="")*(M$3:M$69="P")*(G$3:G$69=G36)*(J$3:J$69&gt;J36)*(I$3:I$69="P"))+IF(H36="L5",SUMPRODUCT((P$3:P$69="")*(O$3:O$69="")*(N$3:N$69="")*(M$3:M$69="P")*(G$3:G$69=G36)*(J$3:J$69&lt;J36)*(H$3:H$69&lt;&gt;H36)*(I$3:I$69="P")),-1*SUMPRODUCT((P$3:P$69="")*(O$3:O$69="")*(N$3:N$69="")*(M$3:M$69="P")*(G$3:G$69=G36)*(J$3:J$69&gt;J36)*(H$3:H$69="L5")*(I$3:I$69="P")))+1,"")))))</f>
        <v/>
      </c>
      <c r="B36" s="1" t="str" cm="1">
        <f t="array" ref="B36">IF(P36&lt;&gt;"",SUMPRODUCT((P$3:P$69&lt;&gt;"")*(G$3:G$69=G36)*(J$3:J$69&gt;J36))+1,IF(O36&lt;&gt;"",SUMPRODUCT((O$3:O$69&lt;&gt;"")*(P$3:P$69="")*(G$3:G$69=G36)*(J$3:J$69&gt;J36))+SUMPRODUCT((P$3:P$69&lt;&gt;"")*(G$3:G$69=G36))+1,IF(N36&lt;&gt;"",SUMPRODUCT((N$3:N$69&lt;&gt;"")*(G$3:G$69=G36)*(J$3:J$69&gt;J36))+1,IF(M36="P",SUMPRODUCT((O$3:O$69&lt;&gt;"")*(P$3:P$69="")*(G$3:G$69=G36))+SUMPRODUCT((P$3:P$69&lt;&gt;"")*(G$3:G$69=G36))+SUMPRODUCT((N$3:N$69&lt;&gt;"")*(G$3:G$69=G36))+SUMPRODUCT((P$3:P$69="")*(O$3:O$69="")*(N$3:N$69="")*(M$3:M$69="P")*(G$3:G$69=G36)*(J$3:J$69&gt;J36))+IF(H36="L5",SUMPRODUCT((P$3:P$69="")*(O$3:O$69="")*(N$3:N$69="")*(M$3:M$69="P")*(G$3:G$69=G36)*(J$3:J$69&lt;J36)*(H$3:H$69&lt;&gt;H36)),-1*SUMPRODUCT((P$3:P$69="")*(O$3:O$69="")*(N$3:N$69="")*(M$3:M$69="P")*(G$3:G$69=G36)*(J$3:J$69&gt;J36)*(H$3:H$69="L5")))+1,""))))</f>
        <v/>
      </c>
      <c r="C36" s="36" t="s">
        <v>356</v>
      </c>
      <c r="D36" s="36" t="str">
        <f>IF(E36="","",VLOOKUP(E36,'Coaching Points'!A:B,2,0))</f>
        <v>BC</v>
      </c>
      <c r="E36" s="36" t="s">
        <v>41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40.5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MAX(T36,X36)</f>
        <v>40.5</v>
      </c>
      <c r="S36" s="4">
        <f>IF(R36=T36,MAX(V36,X36,Z36),IF(R36=X36,MAX(T36,V36,Z36),0))</f>
        <v>0</v>
      </c>
      <c r="T36" s="33">
        <v>40.5</v>
      </c>
      <c r="U36" s="40">
        <v>5.1000000000000005</v>
      </c>
      <c r="V36" s="34"/>
      <c r="W36" s="40"/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$69&lt;&gt;"")*(G$3:G$69=G37)*(J$3:J$69&gt;J37)*(I$3:I$69="P"))+1,IF(O37&lt;&gt;"",SUMPRODUCT((O$3:O$69&lt;&gt;"")*(P$3:P$69="")*(G$3:G$69=G37)*(J$3:J$69&gt;J37)*(I$3:I$69="P"))+SUMPRODUCT((P$3:P$69&lt;&gt;"")*(G$3:G$69=G37)*(I$3:I$69="P"))+1,IF(N37&lt;&gt;"",SUMPRODUCT((N$3:N$69&lt;&gt;"")*(G$3:G$69=G37)*(J$3:J$69&gt;J37)*(I$3:I$69="P"))+1,IF(M37="P",SUMPRODUCT((O$3:O$69&lt;&gt;"")*(P$3:P$69="")*(G$3:G$69=G37)*(I$3:I$69="P"))+SUMPRODUCT((P$3:P$69&lt;&gt;"")*(G$3:G$69=G37)*(I$3:I$69="P"))+SUMPRODUCT((N$3:N$69&lt;&gt;"")*(G$3:G$69=G37)*(I$3:I$69="P"))+SUMPRODUCT((P$3:P$69="")*(O$3:O$69="")*(N$3:N$69="")*(M$3:M$69="P")*(G$3:G$69=G37)*(J$3:J$69&gt;J37)*(I$3:I$69="P"))+IF(H37="L5",SUMPRODUCT((P$3:P$69="")*(O$3:O$69="")*(N$3:N$69="")*(M$3:M$69="P")*(G$3:G$69=G37)*(J$3:J$69&lt;J37)*(H$3:H$69&lt;&gt;H37)*(I$3:I$69="P")),-1*SUMPRODUCT((P$3:P$69="")*(O$3:O$69="")*(N$3:N$69="")*(M$3:M$69="P")*(G$3:G$69=G37)*(J$3:J$69&gt;J37)*(H$3:H$69="L5")*(I$3:I$69="P")))+1,"")))))</f>
        <v/>
      </c>
      <c r="B37" s="1" t="str" cm="1">
        <f t="array" ref="B37">IF(P37&lt;&gt;"",SUMPRODUCT((P$3:P$69&lt;&gt;"")*(G$3:G$69=G37)*(J$3:J$69&gt;J37))+1,IF(O37&lt;&gt;"",SUMPRODUCT((O$3:O$69&lt;&gt;"")*(P$3:P$69="")*(G$3:G$69=G37)*(J$3:J$69&gt;J37))+SUMPRODUCT((P$3:P$69&lt;&gt;"")*(G$3:G$69=G37))+1,IF(N37&lt;&gt;"",SUMPRODUCT((N$3:N$69&lt;&gt;"")*(G$3:G$69=G37)*(J$3:J$69&gt;J37))+1,IF(M37="P",SUMPRODUCT((O$3:O$69&lt;&gt;"")*(P$3:P$69="")*(G$3:G$69=G37))+SUMPRODUCT((P$3:P$69&lt;&gt;"")*(G$3:G$69=G37))+SUMPRODUCT((N$3:N$69&lt;&gt;"")*(G$3:G$69=G37))+SUMPRODUCT((P$3:P$69="")*(O$3:O$69="")*(N$3:N$69="")*(M$3:M$69="P")*(G$3:G$69=G37)*(J$3:J$69&gt;J37))+IF(H37="L5",SUMPRODUCT((P$3:P$69="")*(O$3:O$69="")*(N$3:N$69="")*(M$3:M$69="P")*(G$3:G$69=G37)*(J$3:J$69&lt;J37)*(H$3:H$69&lt;&gt;H37)),-1*SUMPRODUCT((P$3:P$69="")*(O$3:O$69="")*(N$3:N$69="")*(M$3:M$69="P")*(G$3:G$69=G37)*(J$3:J$69&gt;J37)*(H$3:H$69="L5")))+1,""))))</f>
        <v/>
      </c>
      <c r="C37" s="36" t="s">
        <v>247</v>
      </c>
      <c r="D37" s="36" t="str">
        <f>IF(E37="","",VLOOKUP(E37,'Coaching Points'!A:B,2,0))</f>
        <v>BC</v>
      </c>
      <c r="E37" s="36" t="s">
        <v>41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39.200000000000003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MAX(T37,X37)</f>
        <v>39.200000000000003</v>
      </c>
      <c r="S37" s="4">
        <f>IF(R37=T37,MAX(V37,X37,Z37),IF(R37=X37,MAX(T37,V37,Z37),0))</f>
        <v>0</v>
      </c>
      <c r="T37" s="33">
        <v>39.200000000000003</v>
      </c>
      <c r="U37" s="40">
        <v>4.3000000000000007</v>
      </c>
      <c r="V37" s="34"/>
      <c r="W37" s="40"/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$69&lt;&gt;"")*(G$3:G$69=G38)*(J$3:J$69&gt;J38)*(I$3:I$69="P"))+1,IF(O38&lt;&gt;"",SUMPRODUCT((O$3:O$69&lt;&gt;"")*(P$3:P$69="")*(G$3:G$69=G38)*(J$3:J$69&gt;J38)*(I$3:I$69="P"))+SUMPRODUCT((P$3:P$69&lt;&gt;"")*(G$3:G$69=G38)*(I$3:I$69="P"))+1,IF(N38&lt;&gt;"",SUMPRODUCT((N$3:N$69&lt;&gt;"")*(G$3:G$69=G38)*(J$3:J$69&gt;J38)*(I$3:I$69="P"))+1,IF(M38="P",SUMPRODUCT((O$3:O$69&lt;&gt;"")*(P$3:P$69="")*(G$3:G$69=G38)*(I$3:I$69="P"))+SUMPRODUCT((P$3:P$69&lt;&gt;"")*(G$3:G$69=G38)*(I$3:I$69="P"))+SUMPRODUCT((N$3:N$69&lt;&gt;"")*(G$3:G$69=G38)*(I$3:I$69="P"))+SUMPRODUCT((P$3:P$69="")*(O$3:O$69="")*(N$3:N$69="")*(M$3:M$69="P")*(G$3:G$69=G38)*(J$3:J$69&gt;J38)*(I$3:I$69="P"))+IF(H38="L5",SUMPRODUCT((P$3:P$69="")*(O$3:O$69="")*(N$3:N$69="")*(M$3:M$69="P")*(G$3:G$69=G38)*(J$3:J$69&lt;J38)*(H$3:H$69&lt;&gt;H38)*(I$3:I$69="P")),-1*SUMPRODUCT((P$3:P$69="")*(O$3:O$69="")*(N$3:N$69="")*(M$3:M$69="P")*(G$3:G$69=G38)*(J$3:J$69&gt;J38)*(H$3:H$69="L5")*(I$3:I$69="P")))+1,"")))))</f>
        <v/>
      </c>
      <c r="B38" s="1" t="str" cm="1">
        <f t="array" ref="B38">IF(P38&lt;&gt;"",SUMPRODUCT((P$3:P$69&lt;&gt;"")*(G$3:G$69=G38)*(J$3:J$69&gt;J38))+1,IF(O38&lt;&gt;"",SUMPRODUCT((O$3:O$69&lt;&gt;"")*(P$3:P$69="")*(G$3:G$69=G38)*(J$3:J$69&gt;J38))+SUMPRODUCT((P$3:P$69&lt;&gt;"")*(G$3:G$69=G38))+1,IF(N38&lt;&gt;"",SUMPRODUCT((N$3:N$69&lt;&gt;"")*(G$3:G$69=G38)*(J$3:J$69&gt;J38))+1,IF(M38="P",SUMPRODUCT((O$3:O$69&lt;&gt;"")*(P$3:P$69="")*(G$3:G$69=G38))+SUMPRODUCT((P$3:P$69&lt;&gt;"")*(G$3:G$69=G38))+SUMPRODUCT((N$3:N$69&lt;&gt;"")*(G$3:G$69=G38))+SUMPRODUCT((P$3:P$69="")*(O$3:O$69="")*(N$3:N$69="")*(M$3:M$69="P")*(G$3:G$69=G38)*(J$3:J$69&gt;J38))+IF(H38="L5",SUMPRODUCT((P$3:P$69="")*(O$3:O$69="")*(N$3:N$69="")*(M$3:M$69="P")*(G$3:G$69=G38)*(J$3:J$69&lt;J38)*(H$3:H$69&lt;&gt;H38)),-1*SUMPRODUCT((P$3:P$69="")*(O$3:O$69="")*(N$3:N$69="")*(M$3:M$69="P")*(G$3:G$69=G38)*(J$3:J$69&gt;J38)*(H$3:H$69="L5")))+1,""))))</f>
        <v/>
      </c>
      <c r="C38" s="36" t="s">
        <v>269</v>
      </c>
      <c r="D38" s="36" t="str">
        <f>IF(E38="","",VLOOKUP(E38,'Coaching Points'!A:B,2,0))</f>
        <v>AB</v>
      </c>
      <c r="E38" s="36" t="s">
        <v>63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37.700000000000003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MAX(T38,X38)</f>
        <v>37.700000000000003</v>
      </c>
      <c r="S38" s="4">
        <f>IF(R38=T38,MAX(V38,X38,Z38),IF(R38=X38,MAX(T38,V38,Z38),0))</f>
        <v>0</v>
      </c>
      <c r="T38" s="33">
        <v>37.700000000000003</v>
      </c>
      <c r="U38" s="40">
        <v>3.9000000000000004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$69&lt;&gt;"")*(G$3:G$69=G39)*(J$3:J$69&gt;J39)*(I$3:I$69="P"))+1,IF(O39&lt;&gt;"",SUMPRODUCT((O$3:O$69&lt;&gt;"")*(P$3:P$69="")*(G$3:G$69=G39)*(J$3:J$69&gt;J39)*(I$3:I$69="P"))+SUMPRODUCT((P$3:P$69&lt;&gt;"")*(G$3:G$69=G39)*(I$3:I$69="P"))+1,IF(N39&lt;&gt;"",SUMPRODUCT((N$3:N$69&lt;&gt;"")*(G$3:G$69=G39)*(J$3:J$69&gt;J39)*(I$3:I$69="P"))+1,IF(M39="P",SUMPRODUCT((O$3:O$69&lt;&gt;"")*(P$3:P$69="")*(G$3:G$69=G39)*(I$3:I$69="P"))+SUMPRODUCT((P$3:P$69&lt;&gt;"")*(G$3:G$69=G39)*(I$3:I$69="P"))+SUMPRODUCT((N$3:N$69&lt;&gt;"")*(G$3:G$69=G39)*(I$3:I$69="P"))+SUMPRODUCT((P$3:P$69="")*(O$3:O$69="")*(N$3:N$69="")*(M$3:M$69="P")*(G$3:G$69=G39)*(J$3:J$69&gt;J39)*(I$3:I$69="P"))+IF(H39="L5",SUMPRODUCT((P$3:P$69="")*(O$3:O$69="")*(N$3:N$69="")*(M$3:M$69="P")*(G$3:G$69=G39)*(J$3:J$69&lt;J39)*(H$3:H$69&lt;&gt;H39)*(I$3:I$69="P")),-1*SUMPRODUCT((P$3:P$69="")*(O$3:O$69="")*(N$3:N$69="")*(M$3:M$69="P")*(G$3:G$69=G39)*(J$3:J$69&gt;J39)*(H$3:H$69="L5")*(I$3:I$69="P")))+1,"")))))</f>
        <v/>
      </c>
      <c r="B39" s="1" t="str" cm="1">
        <f t="array" ref="B39">IF(P39&lt;&gt;"",SUMPRODUCT((P$3:P$69&lt;&gt;"")*(G$3:G$69=G39)*(J$3:J$69&gt;J39))+1,IF(O39&lt;&gt;"",SUMPRODUCT((O$3:O$69&lt;&gt;"")*(P$3:P$69="")*(G$3:G$69=G39)*(J$3:J$69&gt;J39))+SUMPRODUCT((P$3:P$69&lt;&gt;"")*(G$3:G$69=G39))+1,IF(N39&lt;&gt;"",SUMPRODUCT((N$3:N$69&lt;&gt;"")*(G$3:G$69=G39)*(J$3:J$69&gt;J39))+1,IF(M39="P",SUMPRODUCT((O$3:O$69&lt;&gt;"")*(P$3:P$69="")*(G$3:G$69=G39))+SUMPRODUCT((P$3:P$69&lt;&gt;"")*(G$3:G$69=G39))+SUMPRODUCT((N$3:N$69&lt;&gt;"")*(G$3:G$69=G39))+SUMPRODUCT((P$3:P$69="")*(O$3:O$69="")*(N$3:N$69="")*(M$3:M$69="P")*(G$3:G$69=G39)*(J$3:J$69&gt;J39))+IF(H39="L5",SUMPRODUCT((P$3:P$69="")*(O$3:O$69="")*(N$3:N$69="")*(M$3:M$69="P")*(G$3:G$69=G39)*(J$3:J$69&lt;J39)*(H$3:H$69&lt;&gt;H39)),-1*SUMPRODUCT((P$3:P$69="")*(O$3:O$69="")*(N$3:N$69="")*(M$3:M$69="P")*(G$3:G$69=G39)*(J$3:J$69&gt;J39)*(H$3:H$69="L5")))+1,""))))</f>
        <v/>
      </c>
      <c r="C39" s="36" t="s">
        <v>300</v>
      </c>
      <c r="D39" s="36" t="str">
        <f>IF(E39="","",VLOOKUP(E39,'Coaching Points'!A:B,2,0))</f>
        <v>AB</v>
      </c>
      <c r="E39" s="36" t="s">
        <v>58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37.700000000000003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MAX(T39,X39)</f>
        <v>37.700000000000003</v>
      </c>
      <c r="S39" s="4">
        <f>IF(R39=T39,MAX(V39,X39,Z39),IF(R39=X39,MAX(T39,V39,Z39),0))</f>
        <v>0</v>
      </c>
      <c r="T39" s="33">
        <v>37.700000000000003</v>
      </c>
      <c r="U39" s="40">
        <v>3.7</v>
      </c>
      <c r="V39" s="34"/>
      <c r="W39" s="40"/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$69&lt;&gt;"")*(G$3:G$69=G40)*(J$3:J$69&gt;J40)*(I$3:I$69="P"))+1,IF(O40&lt;&gt;"",SUMPRODUCT((O$3:O$69&lt;&gt;"")*(P$3:P$69="")*(G$3:G$69=G40)*(J$3:J$69&gt;J40)*(I$3:I$69="P"))+SUMPRODUCT((P$3:P$69&lt;&gt;"")*(G$3:G$69=G40)*(I$3:I$69="P"))+1,IF(N40&lt;&gt;"",SUMPRODUCT((N$3:N$69&lt;&gt;"")*(G$3:G$69=G40)*(J$3:J$69&gt;J40)*(I$3:I$69="P"))+1,IF(M40="P",SUMPRODUCT((O$3:O$69&lt;&gt;"")*(P$3:P$69="")*(G$3:G$69=G40)*(I$3:I$69="P"))+SUMPRODUCT((P$3:P$69&lt;&gt;"")*(G$3:G$69=G40)*(I$3:I$69="P"))+SUMPRODUCT((N$3:N$69&lt;&gt;"")*(G$3:G$69=G40)*(I$3:I$69="P"))+SUMPRODUCT((P$3:P$69="")*(O$3:O$69="")*(N$3:N$69="")*(M$3:M$69="P")*(G$3:G$69=G40)*(J$3:J$69&gt;J40)*(I$3:I$69="P"))+IF(H40="L5",SUMPRODUCT((P$3:P$69="")*(O$3:O$69="")*(N$3:N$69="")*(M$3:M$69="P")*(G$3:G$69=G40)*(J$3:J$69&lt;J40)*(H$3:H$69&lt;&gt;H40)*(I$3:I$69="P")),-1*SUMPRODUCT((P$3:P$69="")*(O$3:O$69="")*(N$3:N$69="")*(M$3:M$69="P")*(G$3:G$69=G40)*(J$3:J$69&gt;J40)*(H$3:H$69="L5")*(I$3:I$69="P")))+1,"")))))</f>
        <v/>
      </c>
      <c r="B40" s="1" t="str" cm="1">
        <f t="array" ref="B40">IF(P40&lt;&gt;"",SUMPRODUCT((P$3:P$69&lt;&gt;"")*(G$3:G$69=G40)*(J$3:J$69&gt;J40))+1,IF(O40&lt;&gt;"",SUMPRODUCT((O$3:O$69&lt;&gt;"")*(P$3:P$69="")*(G$3:G$69=G40)*(J$3:J$69&gt;J40))+SUMPRODUCT((P$3:P$69&lt;&gt;"")*(G$3:G$69=G40))+1,IF(N40&lt;&gt;"",SUMPRODUCT((N$3:N$69&lt;&gt;"")*(G$3:G$69=G40)*(J$3:J$69&gt;J40))+1,IF(M40="P",SUMPRODUCT((O$3:O$69&lt;&gt;"")*(P$3:P$69="")*(G$3:G$69=G40))+SUMPRODUCT((P$3:P$69&lt;&gt;"")*(G$3:G$69=G40))+SUMPRODUCT((N$3:N$69&lt;&gt;"")*(G$3:G$69=G40))+SUMPRODUCT((P$3:P$69="")*(O$3:O$69="")*(N$3:N$69="")*(M$3:M$69="P")*(G$3:G$69=G40)*(J$3:J$69&gt;J40))+IF(H40="L5",SUMPRODUCT((P$3:P$69="")*(O$3:O$69="")*(N$3:N$69="")*(M$3:M$69="P")*(G$3:G$69=G40)*(J$3:J$69&lt;J40)*(H$3:H$69&lt;&gt;H40)),-1*SUMPRODUCT((P$3:P$69="")*(O$3:O$69="")*(N$3:N$69="")*(M$3:M$69="P")*(G$3:G$69=G40)*(J$3:J$69&gt;J40)*(H$3:H$69="L5")))+1,""))))</f>
        <v/>
      </c>
      <c r="C40" s="36" t="s">
        <v>363</v>
      </c>
      <c r="D40" s="36" t="str">
        <f>IF(E40="","",VLOOKUP(E40,'Coaching Points'!A:B,2,0))</f>
        <v>BC</v>
      </c>
      <c r="E40" s="36" t="s">
        <v>284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68</v>
      </c>
      <c r="I40" s="43"/>
      <c r="J40" s="4">
        <f>R40+S40+IF(OR(H40="Junior",H40="Senior"),0.0002,IF(OR(H40="L7",H40="L6"),0.0001,0))+MAX(X40,Z40)*0.0000001</f>
        <v>23.900099999999998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MAX(T40,X40)</f>
        <v>23.9</v>
      </c>
      <c r="S40" s="4">
        <f>IF(R40=T40,MAX(V40,X40,Z40),IF(R40=X40,MAX(T40,V40,Z40),0))</f>
        <v>0</v>
      </c>
      <c r="T40" s="33">
        <v>23.9</v>
      </c>
      <c r="U40" s="40">
        <v>5.2</v>
      </c>
      <c r="V40" s="34"/>
      <c r="W40" s="40"/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$69&lt;&gt;"")*(G$3:G$69=G41)*(J$3:J$69&gt;J41)*(I$3:I$69="P"))+1,IF(O41&lt;&gt;"",SUMPRODUCT((O$3:O$69&lt;&gt;"")*(P$3:P$69="")*(G$3:G$69=G41)*(J$3:J$69&gt;J41)*(I$3:I$69="P"))+SUMPRODUCT((P$3:P$69&lt;&gt;"")*(G$3:G$69=G41)*(I$3:I$69="P"))+1,IF(N41&lt;&gt;"",SUMPRODUCT((N$3:N$69&lt;&gt;"")*(G$3:G$69=G41)*(J$3:J$69&gt;J41)*(I$3:I$69="P"))+1,IF(M41="P",SUMPRODUCT((O$3:O$69&lt;&gt;"")*(P$3:P$69="")*(G$3:G$69=G41)*(I$3:I$69="P"))+SUMPRODUCT((P$3:P$69&lt;&gt;"")*(G$3:G$69=G41)*(I$3:I$69="P"))+SUMPRODUCT((N$3:N$69&lt;&gt;"")*(G$3:G$69=G41)*(I$3:I$69="P"))+SUMPRODUCT((P$3:P$69="")*(O$3:O$69="")*(N$3:N$69="")*(M$3:M$69="P")*(G$3:G$69=G41)*(J$3:J$69&gt;J41)*(I$3:I$69="P"))+IF(H41="L5",SUMPRODUCT((P$3:P$69="")*(O$3:O$69="")*(N$3:N$69="")*(M$3:M$69="P")*(G$3:G$69=G41)*(J$3:J$69&lt;J41)*(H$3:H$69&lt;&gt;H41)*(I$3:I$69="P")),-1*SUMPRODUCT((P$3:P$69="")*(O$3:O$69="")*(N$3:N$69="")*(M$3:M$69="P")*(G$3:G$69=G41)*(J$3:J$69&gt;J41)*(H$3:H$69="L5")*(I$3:I$69="P")))+1,"")))))</f>
        <v/>
      </c>
      <c r="B41" s="1" t="str" cm="1">
        <f t="array" ref="B41">IF(P41&lt;&gt;"",SUMPRODUCT((P$3:P$69&lt;&gt;"")*(G$3:G$69=G41)*(J$3:J$69&gt;J41))+1,IF(O41&lt;&gt;"",SUMPRODUCT((O$3:O$69&lt;&gt;"")*(P$3:P$69="")*(G$3:G$69=G41)*(J$3:J$69&gt;J41))+SUMPRODUCT((P$3:P$69&lt;&gt;"")*(G$3:G$69=G41))+1,IF(N41&lt;&gt;"",SUMPRODUCT((N$3:N$69&lt;&gt;"")*(G$3:G$69=G41)*(J$3:J$69&gt;J41))+1,IF(M41="P",SUMPRODUCT((O$3:O$69&lt;&gt;"")*(P$3:P$69="")*(G$3:G$69=G41))+SUMPRODUCT((P$3:P$69&lt;&gt;"")*(G$3:G$69=G41))+SUMPRODUCT((N$3:N$69&lt;&gt;"")*(G$3:G$69=G41))+SUMPRODUCT((P$3:P$69="")*(O$3:O$69="")*(N$3:N$69="")*(M$3:M$69="P")*(G$3:G$69=G41)*(J$3:J$69&gt;J41))+IF(H41="L5",SUMPRODUCT((P$3:P$69="")*(O$3:O$69="")*(N$3:N$69="")*(M$3:M$69="P")*(G$3:G$69=G41)*(J$3:J$69&lt;J41)*(H$3:H$69&lt;&gt;H41)),-1*SUMPRODUCT((P$3:P$69="")*(O$3:O$69="")*(N$3:N$69="")*(M$3:M$69="P")*(G$3:G$69=G41)*(J$3:J$69&gt;J41)*(H$3:H$69="L5")))+1,""))))</f>
        <v/>
      </c>
      <c r="C41" s="36" t="s">
        <v>268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66</v>
      </c>
      <c r="I41" s="43"/>
      <c r="J41" s="4">
        <f>R41+S41+IF(OR(H41="Junior",H41="Senior"),0.0002,IF(OR(H41="L7",H41="L6"),0.0001,0))+MAX(X41,Z41)*0.0000001</f>
        <v>20.3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MAX(T41,X41)</f>
        <v>20.3</v>
      </c>
      <c r="S41" s="4">
        <f>IF(R41=T41,MAX(V41,X41,Z41),IF(R41=X41,MAX(T41,V41,Z41),0))</f>
        <v>0</v>
      </c>
      <c r="T41" s="33">
        <v>20.3</v>
      </c>
      <c r="U41" s="40">
        <v>2.7</v>
      </c>
      <c r="V41" s="34"/>
      <c r="W41" s="40"/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$69&lt;&gt;"")*(G$3:G$69=G42)*(J$3:J$69&gt;J42)*(I$3:I$69="P"))+1,IF(O42&lt;&gt;"",SUMPRODUCT((O$3:O$69&lt;&gt;"")*(P$3:P$69="")*(G$3:G$69=G42)*(J$3:J$69&gt;J42)*(I$3:I$69="P"))+SUMPRODUCT((P$3:P$69&lt;&gt;"")*(G$3:G$69=G42)*(I$3:I$69="P"))+1,IF(N42&lt;&gt;"",SUMPRODUCT((N$3:N$69&lt;&gt;"")*(G$3:G$69=G42)*(J$3:J$69&gt;J42)*(I$3:I$69="P"))+1,IF(M42="P",SUMPRODUCT((O$3:O$69&lt;&gt;"")*(P$3:P$69="")*(G$3:G$69=G42)*(I$3:I$69="P"))+SUMPRODUCT((P$3:P$69&lt;&gt;"")*(G$3:G$69=G42)*(I$3:I$69="P"))+SUMPRODUCT((N$3:N$69&lt;&gt;"")*(G$3:G$69=G42)*(I$3:I$69="P"))+SUMPRODUCT((P$3:P$69="")*(O$3:O$69="")*(N$3:N$69="")*(M$3:M$69="P")*(G$3:G$69=G42)*(J$3:J$69&gt;J42)*(I$3:I$69="P"))+IF(H42="L5",SUMPRODUCT((P$3:P$69="")*(O$3:O$69="")*(N$3:N$69="")*(M$3:M$69="P")*(G$3:G$69=G42)*(J$3:J$69&lt;J42)*(H$3:H$69&lt;&gt;H42)*(I$3:I$69="P")),-1*SUMPRODUCT((P$3:P$69="")*(O$3:O$69="")*(N$3:N$69="")*(M$3:M$69="P")*(G$3:G$69=G42)*(J$3:J$69&gt;J42)*(H$3:H$69="L5")*(I$3:I$69="P")))+1,"")))))</f>
        <v/>
      </c>
      <c r="B42" s="1" cm="1">
        <f t="array" ref="B42">IF(P42&lt;&gt;"",SUMPRODUCT((P$3:P$69&lt;&gt;"")*(G$3:G$69=G42)*(J$3:J$69&gt;J42))+1,IF(O42&lt;&gt;"",SUMPRODUCT((O$3:O$69&lt;&gt;"")*(P$3:P$69="")*(G$3:G$69=G42)*(J$3:J$69&gt;J42))+SUMPRODUCT((P$3:P$69&lt;&gt;"")*(G$3:G$69=G42))+1,IF(N42&lt;&gt;"",SUMPRODUCT((N$3:N$69&lt;&gt;"")*(G$3:G$69=G42)*(J$3:J$69&gt;J42))+1,IF(M42="P",SUMPRODUCT((O$3:O$69&lt;&gt;"")*(P$3:P$69="")*(G$3:G$69=G42))+SUMPRODUCT((P$3:P$69&lt;&gt;"")*(G$3:G$69=G42))+SUMPRODUCT((N$3:N$69&lt;&gt;"")*(G$3:G$69=G42))+SUMPRODUCT((P$3:P$69="")*(O$3:O$69="")*(N$3:N$69="")*(M$3:M$69="P")*(G$3:G$69=G42)*(J$3:J$69&gt;J42))+IF(H42="L5",SUMPRODUCT((P$3:P$69="")*(O$3:O$69="")*(N$3:N$69="")*(M$3:M$69="P")*(G$3:G$69=G42)*(J$3:J$69&lt;J42)*(H$3:H$69&lt;&gt;H42)),-1*SUMPRODUCT((P$3:P$69="")*(O$3:O$69="")*(N$3:N$69="")*(M$3:M$69="P")*(G$3:G$69=G42)*(J$3:J$69&gt;J42)*(H$3:H$69="L5")))+1,""))))</f>
        <v>1</v>
      </c>
      <c r="C42" s="36" t="s">
        <v>153</v>
      </c>
      <c r="D42" s="36" t="str">
        <f>IF(E42="","",VLOOKUP(E42,'Coaching Points'!A:B,2,0))</f>
        <v>BC</v>
      </c>
      <c r="E42" s="36" t="s">
        <v>46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15-16</v>
      </c>
      <c r="H42" s="39" t="s">
        <v>65</v>
      </c>
      <c r="I42" s="43"/>
      <c r="J42" s="4">
        <f>R42+S42+IF(OR(H42="Junior",H42="Senior"),0.0002,IF(OR(H42="L7",H42="L6"),0.0001,0))+MAX(X42,Z42)*0.0000001</f>
        <v>96.000200000000007</v>
      </c>
      <c r="K42" s="3" t="str">
        <f>IF(G42="Not Age Eligible","",IF(MAX(T42,V42,X42,Z42)&gt;=LOOKUP(G42,'Qualifying Scores'!$A$4:$A$7,'Qualifying Scores'!$G$4:$G$7),"P",""))</f>
        <v>P</v>
      </c>
      <c r="L42" s="3" t="str">
        <f>IF(G42="Not Age Eligible","",IF(MAX(U42,W42,Y42,AA42)&gt;=LOOKUP(G42,'Qualifying Scores'!$A$10:$A$13,'Qualifying Scores'!$G$10:$G$13),"P",""))</f>
        <v>P</v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>P</v>
      </c>
      <c r="N42" s="39">
        <v>2</v>
      </c>
      <c r="Q42" s="1" t="str">
        <f>IF(A42&lt;5,IF(_xlfn.MAXIFS(A:A,G:G,G42)&gt;3,5-A42,_xlfn.MAXIFS(A:A,G:G,G42)+1-A42),"")</f>
        <v/>
      </c>
      <c r="R42" s="4">
        <f>MAX(T42,X42)</f>
        <v>48.2</v>
      </c>
      <c r="S42" s="4">
        <f>IF(R42=T42,MAX(V42,X42,Z42),IF(R42=X42,MAX(T42,V42,Z42),0))</f>
        <v>47.8</v>
      </c>
      <c r="T42" s="33">
        <v>48.2</v>
      </c>
      <c r="U42" s="40">
        <v>10.4</v>
      </c>
      <c r="V42" s="34">
        <v>47.8</v>
      </c>
      <c r="W42" s="40">
        <v>11.6</v>
      </c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$69&lt;&gt;"")*(G$3:G$69=G43)*(J$3:J$69&gt;J43)*(I$3:I$69="P"))+1,IF(O43&lt;&gt;"",SUMPRODUCT((O$3:O$69&lt;&gt;"")*(P$3:P$69="")*(G$3:G$69=G43)*(J$3:J$69&gt;J43)*(I$3:I$69="P"))+SUMPRODUCT((P$3:P$69&lt;&gt;"")*(G$3:G$69=G43)*(I$3:I$69="P"))+1,IF(N43&lt;&gt;"",SUMPRODUCT((N$3:N$69&lt;&gt;"")*(G$3:G$69=G43)*(J$3:J$69&gt;J43)*(I$3:I$69="P"))+1,IF(M43="P",SUMPRODUCT((O$3:O$69&lt;&gt;"")*(P$3:P$69="")*(G$3:G$69=G43)*(I$3:I$69="P"))+SUMPRODUCT((P$3:P$69&lt;&gt;"")*(G$3:G$69=G43)*(I$3:I$69="P"))+SUMPRODUCT((N$3:N$69&lt;&gt;"")*(G$3:G$69=G43)*(I$3:I$69="P"))+SUMPRODUCT((P$3:P$69="")*(O$3:O$69="")*(N$3:N$69="")*(M$3:M$69="P")*(G$3:G$69=G43)*(J$3:J$69&gt;J43)*(I$3:I$69="P"))+IF(H43="L5",SUMPRODUCT((P$3:P$69="")*(O$3:O$69="")*(N$3:N$69="")*(M$3:M$69="P")*(G$3:G$69=G43)*(J$3:J$69&lt;J43)*(H$3:H$69&lt;&gt;H43)*(I$3:I$69="P")),-1*SUMPRODUCT((P$3:P$69="")*(O$3:O$69="")*(N$3:N$69="")*(M$3:M$69="P")*(G$3:G$69=G43)*(J$3:J$69&gt;J43)*(H$3:H$69="L5")*(I$3:I$69="P")))+1,"")))))</f>
        <v/>
      </c>
      <c r="B43" s="1" cm="1">
        <f t="array" ref="B43">IF(P43&lt;&gt;"",SUMPRODUCT((P$3:P$69&lt;&gt;"")*(G$3:G$69=G43)*(J$3:J$69&gt;J43))+1,IF(O43&lt;&gt;"",SUMPRODUCT((O$3:O$69&lt;&gt;"")*(P$3:P$69="")*(G$3:G$69=G43)*(J$3:J$69&gt;J43))+SUMPRODUCT((P$3:P$69&lt;&gt;"")*(G$3:G$69=G43))+1,IF(N43&lt;&gt;"",SUMPRODUCT((N$3:N$69&lt;&gt;"")*(G$3:G$69=G43)*(J$3:J$69&gt;J43))+1,IF(M43="P",SUMPRODUCT((O$3:O$69&lt;&gt;"")*(P$3:P$69="")*(G$3:G$69=G43))+SUMPRODUCT((P$3:P$69&lt;&gt;"")*(G$3:G$69=G43))+SUMPRODUCT((N$3:N$69&lt;&gt;"")*(G$3:G$69=G43))+SUMPRODUCT((P$3:P$69="")*(O$3:O$69="")*(N$3:N$69="")*(M$3:M$69="P")*(G$3:G$69=G43)*(J$3:J$69&gt;J43))+IF(H43="L5",SUMPRODUCT((P$3:P$69="")*(O$3:O$69="")*(N$3:N$69="")*(M$3:M$69="P")*(G$3:G$69=G43)*(J$3:J$69&lt;J43)*(H$3:H$69&lt;&gt;H43)),-1*SUMPRODUCT((P$3:P$69="")*(O$3:O$69="")*(N$3:N$69="")*(M$3:M$69="P")*(G$3:G$69=G43)*(J$3:J$69&gt;J43)*(H$3:H$69="L5")))+1,""))))</f>
        <v>2</v>
      </c>
      <c r="C43" s="36" t="s">
        <v>119</v>
      </c>
      <c r="D43" s="36" t="str">
        <f>IF(E43="","",VLOOKUP(E43,'Coaching Points'!A:B,2,0))</f>
        <v>BC</v>
      </c>
      <c r="E43" s="36" t="s">
        <v>46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15-16</v>
      </c>
      <c r="H43" s="39" t="s">
        <v>65</v>
      </c>
      <c r="I43" s="43"/>
      <c r="J43" s="4">
        <f>R43+S43+IF(OR(H43="Junior",H43="Senior"),0.0002,IF(OR(H43="L7",H43="L6"),0.0001,0))+MAX(X43,Z43)*0.0000001</f>
        <v>93.400200000000012</v>
      </c>
      <c r="K43" s="3" t="str">
        <f>IF(G43="Not Age Eligible","",IF(MAX(T43,V43,X43,Z43)&gt;=LOOKUP(G43,'Qualifying Scores'!$A$4:$A$7,'Qualifying Scores'!$G$4:$G$7),"P",""))</f>
        <v>P</v>
      </c>
      <c r="L43" s="3" t="str">
        <f>IF(G43="Not Age Eligible","",IF(MAX(U43,W43,Y43,AA43)&gt;=LOOKUP(G43,'Qualifying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>P</v>
      </c>
      <c r="N43" s="39">
        <v>3</v>
      </c>
      <c r="Q43" s="1" t="str">
        <f>IF(A43&lt;5,IF(_xlfn.MAXIFS(A:A,G:G,G43)&gt;3,5-A43,_xlfn.MAXIFS(A:A,G:G,G43)+1-A43),"")</f>
        <v/>
      </c>
      <c r="R43" s="4">
        <f>MAX(T43,X43)</f>
        <v>47.1</v>
      </c>
      <c r="S43" s="4">
        <f>IF(R43=T43,MAX(V43,X43,Z43),IF(R43=X43,MAX(T43,V43,Z43),0))</f>
        <v>46.3</v>
      </c>
      <c r="T43" s="33">
        <v>47.1</v>
      </c>
      <c r="U43" s="40">
        <v>10.4</v>
      </c>
      <c r="V43" s="34">
        <v>46.3</v>
      </c>
      <c r="W43" s="40">
        <v>11.2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$69&lt;&gt;"")*(G$3:G$69=G44)*(J$3:J$69&gt;J44)*(I$3:I$69="P"))+1,IF(O44&lt;&gt;"",SUMPRODUCT((O$3:O$69&lt;&gt;"")*(P$3:P$69="")*(G$3:G$69=G44)*(J$3:J$69&gt;J44)*(I$3:I$69="P"))+SUMPRODUCT((P$3:P$69&lt;&gt;"")*(G$3:G$69=G44)*(I$3:I$69="P"))+1,IF(N44&lt;&gt;"",SUMPRODUCT((N$3:N$69&lt;&gt;"")*(G$3:G$69=G44)*(J$3:J$69&gt;J44)*(I$3:I$69="P"))+1,IF(M44="P",SUMPRODUCT((O$3:O$69&lt;&gt;"")*(P$3:P$69="")*(G$3:G$69=G44)*(I$3:I$69="P"))+SUMPRODUCT((P$3:P$69&lt;&gt;"")*(G$3:G$69=G44)*(I$3:I$69="P"))+SUMPRODUCT((N$3:N$69&lt;&gt;"")*(G$3:G$69=G44)*(I$3:I$69="P"))+SUMPRODUCT((P$3:P$69="")*(O$3:O$69="")*(N$3:N$69="")*(M$3:M$69="P")*(G$3:G$69=G44)*(J$3:J$69&gt;J44)*(I$3:I$69="P"))+IF(H44="L5",SUMPRODUCT((P$3:P$69="")*(O$3:O$69="")*(N$3:N$69="")*(M$3:M$69="P")*(G$3:G$69=G44)*(J$3:J$69&lt;J44)*(H$3:H$69&lt;&gt;H44)*(I$3:I$69="P")),-1*SUMPRODUCT((P$3:P$69="")*(O$3:O$69="")*(N$3:N$69="")*(M$3:M$69="P")*(G$3:G$69=G44)*(J$3:J$69&gt;J44)*(H$3:H$69="L5")*(I$3:I$69="P")))+1,"")))))</f>
        <v/>
      </c>
      <c r="B44" s="1" t="str" cm="1">
        <f t="array" ref="B44">IF(P44&lt;&gt;"",SUMPRODUCT((P$3:P$69&lt;&gt;"")*(G$3:G$69=G44)*(J$3:J$69&gt;J44))+1,IF(O44&lt;&gt;"",SUMPRODUCT((O$3:O$69&lt;&gt;"")*(P$3:P$69="")*(G$3:G$69=G44)*(J$3:J$69&gt;J44))+SUMPRODUCT((P$3:P$69&lt;&gt;"")*(G$3:G$69=G44))+1,IF(N44&lt;&gt;"",SUMPRODUCT((N$3:N$69&lt;&gt;"")*(G$3:G$69=G44)*(J$3:J$69&gt;J44))+1,IF(M44="P",SUMPRODUCT((O$3:O$69&lt;&gt;"")*(P$3:P$69="")*(G$3:G$69=G44))+SUMPRODUCT((P$3:P$69&lt;&gt;"")*(G$3:G$69=G44))+SUMPRODUCT((N$3:N$69&lt;&gt;"")*(G$3:G$69=G44))+SUMPRODUCT((P$3:P$69="")*(O$3:O$69="")*(N$3:N$69="")*(M$3:M$69="P")*(G$3:G$69=G44)*(J$3:J$69&gt;J44))+IF(H44="L5",SUMPRODUCT((P$3:P$69="")*(O$3:O$69="")*(N$3:N$69="")*(M$3:M$69="P")*(G$3:G$69=G44)*(J$3:J$69&lt;J44)*(H$3:H$69&lt;&gt;H44)),-1*SUMPRODUCT((P$3:P$69="")*(O$3:O$69="")*(N$3:N$69="")*(M$3:M$69="P")*(G$3:G$69=G44)*(J$3:J$69&gt;J44)*(H$3:H$69="L5")))+1,""))))</f>
        <v/>
      </c>
      <c r="C44" s="36" t="s">
        <v>120</v>
      </c>
      <c r="D44" s="36" t="str">
        <f>IF(E44="","",VLOOKUP(E44,'Coaching Points'!A:B,2,0))</f>
        <v>AB</v>
      </c>
      <c r="E44" s="36" t="s">
        <v>29</v>
      </c>
      <c r="F44" s="35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15-16</v>
      </c>
      <c r="H44" s="39" t="s">
        <v>67</v>
      </c>
      <c r="I44" s="43"/>
      <c r="J44" s="4">
        <f>R44+S44+IF(OR(H44="Junior",H44="Senior"),0.0002,IF(OR(H44="L7",H44="L6"),0.0001,0))+MAX(X44,Z44)*0.0000001</f>
        <v>88.300100000000015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MAX(T44,X44)</f>
        <v>44.1</v>
      </c>
      <c r="S44" s="4">
        <f>IF(R44=T44,MAX(V44,X44,Z44),IF(R44=X44,MAX(T44,V44,Z44),0))</f>
        <v>44.2</v>
      </c>
      <c r="T44" s="33">
        <v>44.1</v>
      </c>
      <c r="U44" s="40">
        <v>8.4</v>
      </c>
      <c r="V44" s="34">
        <v>44.2</v>
      </c>
      <c r="W44" s="40">
        <v>8.1000000000000014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$69&lt;&gt;"")*(G$3:G$69=G45)*(J$3:J$69&gt;J45)*(I$3:I$69="P"))+1,IF(O45&lt;&gt;"",SUMPRODUCT((O$3:O$69&lt;&gt;"")*(P$3:P$69="")*(G$3:G$69=G45)*(J$3:J$69&gt;J45)*(I$3:I$69="P"))+SUMPRODUCT((P$3:P$69&lt;&gt;"")*(G$3:G$69=G45)*(I$3:I$69="P"))+1,IF(N45&lt;&gt;"",SUMPRODUCT((N$3:N$69&lt;&gt;"")*(G$3:G$69=G45)*(J$3:J$69&gt;J45)*(I$3:I$69="P"))+1,IF(M45="P",SUMPRODUCT((O$3:O$69&lt;&gt;"")*(P$3:P$69="")*(G$3:G$69=G45)*(I$3:I$69="P"))+SUMPRODUCT((P$3:P$69&lt;&gt;"")*(G$3:G$69=G45)*(I$3:I$69="P"))+SUMPRODUCT((N$3:N$69&lt;&gt;"")*(G$3:G$69=G45)*(I$3:I$69="P"))+SUMPRODUCT((P$3:P$69="")*(O$3:O$69="")*(N$3:N$69="")*(M$3:M$69="P")*(G$3:G$69=G45)*(J$3:J$69&gt;J45)*(I$3:I$69="P"))+IF(H45="L5",SUMPRODUCT((P$3:P$69="")*(O$3:O$69="")*(N$3:N$69="")*(M$3:M$69="P")*(G$3:G$69=G45)*(J$3:J$69&lt;J45)*(H$3:H$69&lt;&gt;H45)*(I$3:I$69="P")),-1*SUMPRODUCT((P$3:P$69="")*(O$3:O$69="")*(N$3:N$69="")*(M$3:M$69="P")*(G$3:G$69=G45)*(J$3:J$69&gt;J45)*(H$3:H$69="L5")*(I$3:I$69="P")))+1,"")))))</f>
        <v/>
      </c>
      <c r="B45" s="1" t="str" cm="1">
        <f t="array" ref="B45">IF(P45&lt;&gt;"",SUMPRODUCT((P$3:P$69&lt;&gt;"")*(G$3:G$69=G45)*(J$3:J$69&gt;J45))+1,IF(O45&lt;&gt;"",SUMPRODUCT((O$3:O$69&lt;&gt;"")*(P$3:P$69="")*(G$3:G$69=G45)*(J$3:J$69&gt;J45))+SUMPRODUCT((P$3:P$69&lt;&gt;"")*(G$3:G$69=G45))+1,IF(N45&lt;&gt;"",SUMPRODUCT((N$3:N$69&lt;&gt;"")*(G$3:G$69=G45)*(J$3:J$69&gt;J45))+1,IF(M45="P",SUMPRODUCT((O$3:O$69&lt;&gt;"")*(P$3:P$69="")*(G$3:G$69=G45))+SUMPRODUCT((P$3:P$69&lt;&gt;"")*(G$3:G$69=G45))+SUMPRODUCT((N$3:N$69&lt;&gt;"")*(G$3:G$69=G45))+SUMPRODUCT((P$3:P$69="")*(O$3:O$69="")*(N$3:N$69="")*(M$3:M$69="P")*(G$3:G$69=G45)*(J$3:J$69&gt;J45))+IF(H45="L5",SUMPRODUCT((P$3:P$69="")*(O$3:O$69="")*(N$3:N$69="")*(M$3:M$69="P")*(G$3:G$69=G45)*(J$3:J$69&lt;J45)*(H$3:H$69&lt;&gt;H45)),-1*SUMPRODUCT((P$3:P$69="")*(O$3:O$69="")*(N$3:N$69="")*(M$3:M$69="P")*(G$3:G$69=G45)*(J$3:J$69&gt;J45)*(H$3:H$69="L5")))+1,""))))</f>
        <v/>
      </c>
      <c r="C45" s="36" t="s">
        <v>236</v>
      </c>
      <c r="D45" s="36" t="str">
        <f>IF(E45="","",VLOOKUP(E45,'Coaching Points'!A:B,2,0))</f>
        <v>AB</v>
      </c>
      <c r="E45" s="36" t="s">
        <v>58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15-16</v>
      </c>
      <c r="H45" s="39" t="s">
        <v>66</v>
      </c>
      <c r="I45" s="43"/>
      <c r="J45" s="4">
        <f>R45+S45+IF(OR(H45="Junior",H45="Senior"),0.0002,IF(OR(H45="L7",H45="L6"),0.0001,0))+MAX(X45,Z45)*0.0000001</f>
        <v>87.1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MAX(T45,X45)</f>
        <v>43.1</v>
      </c>
      <c r="S45" s="4">
        <f>IF(R45=T45,MAX(V45,X45,Z45),IF(R45=X45,MAX(T45,V45,Z45),0))</f>
        <v>44</v>
      </c>
      <c r="T45" s="33">
        <v>43.1</v>
      </c>
      <c r="U45" s="40">
        <v>6.8</v>
      </c>
      <c r="V45" s="34">
        <v>44</v>
      </c>
      <c r="W45" s="40">
        <v>6.6</v>
      </c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$69&lt;&gt;"")*(G$3:G$69=G46)*(J$3:J$69&gt;J46)*(I$3:I$69="P"))+1,IF(O46&lt;&gt;"",SUMPRODUCT((O$3:O$69&lt;&gt;"")*(P$3:P$69="")*(G$3:G$69=G46)*(J$3:J$69&gt;J46)*(I$3:I$69="P"))+SUMPRODUCT((P$3:P$69&lt;&gt;"")*(G$3:G$69=G46)*(I$3:I$69="P"))+1,IF(N46&lt;&gt;"",SUMPRODUCT((N$3:N$69&lt;&gt;"")*(G$3:G$69=G46)*(J$3:J$69&gt;J46)*(I$3:I$69="P"))+1,IF(M46="P",SUMPRODUCT((O$3:O$69&lt;&gt;"")*(P$3:P$69="")*(G$3:G$69=G46)*(I$3:I$69="P"))+SUMPRODUCT((P$3:P$69&lt;&gt;"")*(G$3:G$69=G46)*(I$3:I$69="P"))+SUMPRODUCT((N$3:N$69&lt;&gt;"")*(G$3:G$69=G46)*(I$3:I$69="P"))+SUMPRODUCT((P$3:P$69="")*(O$3:O$69="")*(N$3:N$69="")*(M$3:M$69="P")*(G$3:G$69=G46)*(J$3:J$69&gt;J46)*(I$3:I$69="P"))+IF(H46="L5",SUMPRODUCT((P$3:P$69="")*(O$3:O$69="")*(N$3:N$69="")*(M$3:M$69="P")*(G$3:G$69=G46)*(J$3:J$69&lt;J46)*(H$3:H$69&lt;&gt;H46)*(I$3:I$69="P")),-1*SUMPRODUCT((P$3:P$69="")*(O$3:O$69="")*(N$3:N$69="")*(M$3:M$69="P")*(G$3:G$69=G46)*(J$3:J$69&gt;J46)*(H$3:H$69="L5")*(I$3:I$69="P")))+1,"")))))</f>
        <v/>
      </c>
      <c r="B46" s="1" t="str" cm="1">
        <f t="array" ref="B46">IF(P46&lt;&gt;"",SUMPRODUCT((P$3:P$69&lt;&gt;"")*(G$3:G$69=G46)*(J$3:J$69&gt;J46))+1,IF(O46&lt;&gt;"",SUMPRODUCT((O$3:O$69&lt;&gt;"")*(P$3:P$69="")*(G$3:G$69=G46)*(J$3:J$69&gt;J46))+SUMPRODUCT((P$3:P$69&lt;&gt;"")*(G$3:G$69=G46))+1,IF(N46&lt;&gt;"",SUMPRODUCT((N$3:N$69&lt;&gt;"")*(G$3:G$69=G46)*(J$3:J$69&gt;J46))+1,IF(M46="P",SUMPRODUCT((O$3:O$69&lt;&gt;"")*(P$3:P$69="")*(G$3:G$69=G46))+SUMPRODUCT((P$3:P$69&lt;&gt;"")*(G$3:G$69=G46))+SUMPRODUCT((N$3:N$69&lt;&gt;"")*(G$3:G$69=G46))+SUMPRODUCT((P$3:P$69="")*(O$3:O$69="")*(N$3:N$69="")*(M$3:M$69="P")*(G$3:G$69=G46)*(J$3:J$69&gt;J46))+IF(H46="L5",SUMPRODUCT((P$3:P$69="")*(O$3:O$69="")*(N$3:N$69="")*(M$3:M$69="P")*(G$3:G$69=G46)*(J$3:J$69&lt;J46)*(H$3:H$69&lt;&gt;H46)),-1*SUMPRODUCT((P$3:P$69="")*(O$3:O$69="")*(N$3:N$69="")*(M$3:M$69="P")*(G$3:G$69=G46)*(J$3:J$69&gt;J46)*(H$3:H$69="L5")))+1,""))))</f>
        <v/>
      </c>
      <c r="C46" s="36" t="s">
        <v>270</v>
      </c>
      <c r="D46" s="36" t="str">
        <f>IF(E46="","",VLOOKUP(E46,'Coaching Points'!A:B,2,0))</f>
        <v>AB</v>
      </c>
      <c r="E46" s="36" t="s">
        <v>58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15-16</v>
      </c>
      <c r="H46" s="39" t="s">
        <v>66</v>
      </c>
      <c r="I46" s="43"/>
      <c r="J46" s="4">
        <f>R46+S46+IF(OR(H46="Junior",H46="Senior"),0.0002,IF(OR(H46="L7",H46="L6"),0.0001,0))+MAX(X46,Z46)*0.0000001</f>
        <v>86.6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MAX(T46,X46)</f>
        <v>43.4</v>
      </c>
      <c r="S46" s="4">
        <f>IF(R46=T46,MAX(V46,X46,Z46),IF(R46=X46,MAX(T46,V46,Z46),0))</f>
        <v>43.2</v>
      </c>
      <c r="T46" s="33">
        <v>43.4</v>
      </c>
      <c r="U46" s="40">
        <v>6.6</v>
      </c>
      <c r="V46" s="34">
        <v>43.2</v>
      </c>
      <c r="W46" s="40">
        <v>6.5</v>
      </c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$69&lt;&gt;"")*(G$3:G$69=G47)*(J$3:J$69&gt;J47)*(I$3:I$69="P"))+1,IF(O47&lt;&gt;"",SUMPRODUCT((O$3:O$69&lt;&gt;"")*(P$3:P$69="")*(G$3:G$69=G47)*(J$3:J$69&gt;J47)*(I$3:I$69="P"))+SUMPRODUCT((P$3:P$69&lt;&gt;"")*(G$3:G$69=G47)*(I$3:I$69="P"))+1,IF(N47&lt;&gt;"",SUMPRODUCT((N$3:N$69&lt;&gt;"")*(G$3:G$69=G47)*(J$3:J$69&gt;J47)*(I$3:I$69="P"))+1,IF(M47="P",SUMPRODUCT((O$3:O$69&lt;&gt;"")*(P$3:P$69="")*(G$3:G$69=G47)*(I$3:I$69="P"))+SUMPRODUCT((P$3:P$69&lt;&gt;"")*(G$3:G$69=G47)*(I$3:I$69="P"))+SUMPRODUCT((N$3:N$69&lt;&gt;"")*(G$3:G$69=G47)*(I$3:I$69="P"))+SUMPRODUCT((P$3:P$69="")*(O$3:O$69="")*(N$3:N$69="")*(M$3:M$69="P")*(G$3:G$69=G47)*(J$3:J$69&gt;J47)*(I$3:I$69="P"))+IF(H47="L5",SUMPRODUCT((P$3:P$69="")*(O$3:O$69="")*(N$3:N$69="")*(M$3:M$69="P")*(G$3:G$69=G47)*(J$3:J$69&lt;J47)*(H$3:H$69&lt;&gt;H47)*(I$3:I$69="P")),-1*SUMPRODUCT((P$3:P$69="")*(O$3:O$69="")*(N$3:N$69="")*(M$3:M$69="P")*(G$3:G$69=G47)*(J$3:J$69&gt;J47)*(H$3:H$69="L5")*(I$3:I$69="P")))+1,"")))))</f>
        <v/>
      </c>
      <c r="B47" s="1" t="str" cm="1">
        <f t="array" ref="B47">IF(P47&lt;&gt;"",SUMPRODUCT((P$3:P$69&lt;&gt;"")*(G$3:G$69=G47)*(J$3:J$69&gt;J47))+1,IF(O47&lt;&gt;"",SUMPRODUCT((O$3:O$69&lt;&gt;"")*(P$3:P$69="")*(G$3:G$69=G47)*(J$3:J$69&gt;J47))+SUMPRODUCT((P$3:P$69&lt;&gt;"")*(G$3:G$69=G47))+1,IF(N47&lt;&gt;"",SUMPRODUCT((N$3:N$69&lt;&gt;"")*(G$3:G$69=G47)*(J$3:J$69&gt;J47))+1,IF(M47="P",SUMPRODUCT((O$3:O$69&lt;&gt;"")*(P$3:P$69="")*(G$3:G$69=G47))+SUMPRODUCT((P$3:P$69&lt;&gt;"")*(G$3:G$69=G47))+SUMPRODUCT((N$3:N$69&lt;&gt;"")*(G$3:G$69=G47))+SUMPRODUCT((P$3:P$69="")*(O$3:O$69="")*(N$3:N$69="")*(M$3:M$69="P")*(G$3:G$69=G47)*(J$3:J$69&gt;J47))+IF(H47="L5",SUMPRODUCT((P$3:P$69="")*(O$3:O$69="")*(N$3:N$69="")*(M$3:M$69="P")*(G$3:G$69=G47)*(J$3:J$69&lt;J47)*(H$3:H$69&lt;&gt;H47)),-1*SUMPRODUCT((P$3:P$69="")*(O$3:O$69="")*(N$3:N$69="")*(M$3:M$69="P")*(G$3:G$69=G47)*(J$3:J$69&gt;J47)*(H$3:H$69="L5")))+1,""))))</f>
        <v/>
      </c>
      <c r="C47" s="36" t="s">
        <v>149</v>
      </c>
      <c r="D47" s="36" t="str">
        <f>IF(E47="","",VLOOKUP(E47,'Coaching Points'!A:B,2,0))</f>
        <v>QC</v>
      </c>
      <c r="E47" s="36" t="s">
        <v>59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15-16</v>
      </c>
      <c r="H47" s="39" t="s">
        <v>66</v>
      </c>
      <c r="I47" s="43"/>
      <c r="J47" s="4">
        <f>R47+S47+IF(OR(H47="Junior",H47="Senior"),0.0002,IF(OR(H47="L7",H47="L6"),0.0001,0))+MAX(X47,Z47)*0.0000001</f>
        <v>86.4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MAX(T47,X47)</f>
        <v>43.5</v>
      </c>
      <c r="S47" s="4">
        <f>IF(R47=T47,MAX(V47,X47,Z47),IF(R47=X47,MAX(T47,V47,Z47),0))</f>
        <v>42.9</v>
      </c>
      <c r="T47" s="33">
        <v>43.5</v>
      </c>
      <c r="U47" s="40">
        <v>6.4</v>
      </c>
      <c r="V47" s="34">
        <v>42.9</v>
      </c>
      <c r="W47" s="40">
        <v>5.4</v>
      </c>
      <c r="X47" s="33"/>
      <c r="Y47" s="40"/>
      <c r="Z47" s="34"/>
      <c r="AA47" s="37"/>
    </row>
    <row r="48" spans="1:27" x14ac:dyDescent="0.2">
      <c r="A48" s="1" t="str" cm="1">
        <f t="array" ref="A48">IF(I48="","",IF(P48&lt;&gt;"",SUMPRODUCT((P$3:P$69&lt;&gt;"")*(G$3:G$69=G48)*(J$3:J$69&gt;J48)*(I$3:I$69="P"))+1,IF(O48&lt;&gt;"",SUMPRODUCT((O$3:O$69&lt;&gt;"")*(P$3:P$69="")*(G$3:G$69=G48)*(J$3:J$69&gt;J48)*(I$3:I$69="P"))+SUMPRODUCT((P$3:P$69&lt;&gt;"")*(G$3:G$69=G48)*(I$3:I$69="P"))+1,IF(N48&lt;&gt;"",SUMPRODUCT((N$3:N$69&lt;&gt;"")*(G$3:G$69=G48)*(J$3:J$69&gt;J48)*(I$3:I$69="P"))+1,IF(M48="P",SUMPRODUCT((O$3:O$69&lt;&gt;"")*(P$3:P$69="")*(G$3:G$69=G48)*(I$3:I$69="P"))+SUMPRODUCT((P$3:P$69&lt;&gt;"")*(G$3:G$69=G48)*(I$3:I$69="P"))+SUMPRODUCT((N$3:N$69&lt;&gt;"")*(G$3:G$69=G48)*(I$3:I$69="P"))+SUMPRODUCT((P$3:P$69="")*(O$3:O$69="")*(N$3:N$69="")*(M$3:M$69="P")*(G$3:G$69=G48)*(J$3:J$69&gt;J48)*(I$3:I$69="P"))+IF(H48="L5",SUMPRODUCT((P$3:P$69="")*(O$3:O$69="")*(N$3:N$69="")*(M$3:M$69="P")*(G$3:G$69=G48)*(J$3:J$69&lt;J48)*(H$3:H$69&lt;&gt;H48)*(I$3:I$69="P")),-1*SUMPRODUCT((P$3:P$69="")*(O$3:O$69="")*(N$3:N$69="")*(M$3:M$69="P")*(G$3:G$69=G48)*(J$3:J$69&gt;J48)*(H$3:H$69="L5")*(I$3:I$69="P")))+1,"")))))</f>
        <v/>
      </c>
      <c r="B48" s="1" t="str" cm="1">
        <f t="array" ref="B48">IF(P48&lt;&gt;"",SUMPRODUCT((P$3:P$69&lt;&gt;"")*(G$3:G$69=G48)*(J$3:J$69&gt;J48))+1,IF(O48&lt;&gt;"",SUMPRODUCT((O$3:O$69&lt;&gt;"")*(P$3:P$69="")*(G$3:G$69=G48)*(J$3:J$69&gt;J48))+SUMPRODUCT((P$3:P$69&lt;&gt;"")*(G$3:G$69=G48))+1,IF(N48&lt;&gt;"",SUMPRODUCT((N$3:N$69&lt;&gt;"")*(G$3:G$69=G48)*(J$3:J$69&gt;J48))+1,IF(M48="P",SUMPRODUCT((O$3:O$69&lt;&gt;"")*(P$3:P$69="")*(G$3:G$69=G48))+SUMPRODUCT((P$3:P$69&lt;&gt;"")*(G$3:G$69=G48))+SUMPRODUCT((N$3:N$69&lt;&gt;"")*(G$3:G$69=G48))+SUMPRODUCT((P$3:P$69="")*(O$3:O$69="")*(N$3:N$69="")*(M$3:M$69="P")*(G$3:G$69=G48)*(J$3:J$69&gt;J48))+IF(H48="L5",SUMPRODUCT((P$3:P$69="")*(O$3:O$69="")*(N$3:N$69="")*(M$3:M$69="P")*(G$3:G$69=G48)*(J$3:J$69&lt;J48)*(H$3:H$69&lt;&gt;H48)),-1*SUMPRODUCT((P$3:P$69="")*(O$3:O$69="")*(N$3:N$69="")*(M$3:M$69="P")*(G$3:G$69=G48)*(J$3:J$69&gt;J48)*(H$3:H$69="L5")))+1,""))))</f>
        <v/>
      </c>
      <c r="C48" s="36" t="s">
        <v>306</v>
      </c>
      <c r="D48" s="36" t="str">
        <f>IF(E48="","",VLOOKUP(E48,'Coaching Points'!A:B,2,0))</f>
        <v>BC</v>
      </c>
      <c r="E48" s="36" t="s">
        <v>57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15-16</v>
      </c>
      <c r="H48" s="39" t="s">
        <v>67</v>
      </c>
      <c r="I48" s="43"/>
      <c r="J48" s="4">
        <f>R48+S48+IF(OR(H48="Junior",H48="Senior"),0.0002,IF(OR(H48="L7",H48="L6"),0.0001,0))+MAX(X48,Z48)*0.0000001</f>
        <v>86.200100000000006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MAX(T48,X48)</f>
        <v>43.5</v>
      </c>
      <c r="S48" s="4">
        <f>IF(R48=T48,MAX(V48,X48,Z48),IF(R48=X48,MAX(T48,V48,Z48),0))</f>
        <v>42.7</v>
      </c>
      <c r="T48" s="33">
        <v>43.5</v>
      </c>
      <c r="U48" s="40">
        <v>6.1</v>
      </c>
      <c r="V48" s="34">
        <v>42.7</v>
      </c>
      <c r="W48" s="40">
        <v>6.2</v>
      </c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$69&lt;&gt;"")*(G$3:G$69=G49)*(J$3:J$69&gt;J49)*(I$3:I$69="P"))+1,IF(O49&lt;&gt;"",SUMPRODUCT((O$3:O$69&lt;&gt;"")*(P$3:P$69="")*(G$3:G$69=G49)*(J$3:J$69&gt;J49)*(I$3:I$69="P"))+SUMPRODUCT((P$3:P$69&lt;&gt;"")*(G$3:G$69=G49)*(I$3:I$69="P"))+1,IF(N49&lt;&gt;"",SUMPRODUCT((N$3:N$69&lt;&gt;"")*(G$3:G$69=G49)*(J$3:J$69&gt;J49)*(I$3:I$69="P"))+1,IF(M49="P",SUMPRODUCT((O$3:O$69&lt;&gt;"")*(P$3:P$69="")*(G$3:G$69=G49)*(I$3:I$69="P"))+SUMPRODUCT((P$3:P$69&lt;&gt;"")*(G$3:G$69=G49)*(I$3:I$69="P"))+SUMPRODUCT((N$3:N$69&lt;&gt;"")*(G$3:G$69=G49)*(I$3:I$69="P"))+SUMPRODUCT((P$3:P$69="")*(O$3:O$69="")*(N$3:N$69="")*(M$3:M$69="P")*(G$3:G$69=G49)*(J$3:J$69&gt;J49)*(I$3:I$69="P"))+IF(H49="L5",SUMPRODUCT((P$3:P$69="")*(O$3:O$69="")*(N$3:N$69="")*(M$3:M$69="P")*(G$3:G$69=G49)*(J$3:J$69&lt;J49)*(H$3:H$69&lt;&gt;H49)*(I$3:I$69="P")),-1*SUMPRODUCT((P$3:P$69="")*(O$3:O$69="")*(N$3:N$69="")*(M$3:M$69="P")*(G$3:G$69=G49)*(J$3:J$69&gt;J49)*(H$3:H$69="L5")*(I$3:I$69="P")))+1,"")))))</f>
        <v/>
      </c>
      <c r="B49" s="1" t="str" cm="1">
        <f t="array" ref="B49">IF(P49&lt;&gt;"",SUMPRODUCT((P$3:P$69&lt;&gt;"")*(G$3:G$69=G49)*(J$3:J$69&gt;J49))+1,IF(O49&lt;&gt;"",SUMPRODUCT((O$3:O$69&lt;&gt;"")*(P$3:P$69="")*(G$3:G$69=G49)*(J$3:J$69&gt;J49))+SUMPRODUCT((P$3:P$69&lt;&gt;"")*(G$3:G$69=G49))+1,IF(N49&lt;&gt;"",SUMPRODUCT((N$3:N$69&lt;&gt;"")*(G$3:G$69=G49)*(J$3:J$69&gt;J49))+1,IF(M49="P",SUMPRODUCT((O$3:O$69&lt;&gt;"")*(P$3:P$69="")*(G$3:G$69=G49))+SUMPRODUCT((P$3:P$69&lt;&gt;"")*(G$3:G$69=G49))+SUMPRODUCT((N$3:N$69&lt;&gt;"")*(G$3:G$69=G49))+SUMPRODUCT((P$3:P$69="")*(O$3:O$69="")*(N$3:N$69="")*(M$3:M$69="P")*(G$3:G$69=G49)*(J$3:J$69&gt;J49))+IF(H49="L5",SUMPRODUCT((P$3:P$69="")*(O$3:O$69="")*(N$3:N$69="")*(M$3:M$69="P")*(G$3:G$69=G49)*(J$3:J$69&lt;J49)*(H$3:H$69&lt;&gt;H49)),-1*SUMPRODUCT((P$3:P$69="")*(O$3:O$69="")*(N$3:N$69="")*(M$3:M$69="P")*(G$3:G$69=G49)*(J$3:J$69&gt;J49)*(H$3:H$69="L5")))+1,""))))</f>
        <v/>
      </c>
      <c r="C49" s="36" t="s">
        <v>117</v>
      </c>
      <c r="D49" s="36" t="str">
        <f>IF(E49="","",VLOOKUP(E49,'Coaching Points'!A:B,2,0))</f>
        <v>AB</v>
      </c>
      <c r="E49" s="36" t="s">
        <v>64</v>
      </c>
      <c r="F49" s="35">
        <v>2008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15-16</v>
      </c>
      <c r="H49" s="39" t="s">
        <v>67</v>
      </c>
      <c r="I49" s="43"/>
      <c r="J49" s="4">
        <f>R49+S49+IF(OR(H49="Junior",H49="Senior"),0.0002,IF(OR(H49="L7",H49="L6"),0.0001,0))+MAX(X49,Z49)*0.0000001</f>
        <v>84.700100000000006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MAX(T49,X49)</f>
        <v>43.5</v>
      </c>
      <c r="S49" s="4">
        <f>IF(R49=T49,MAX(V49,X49,Z49),IF(R49=X49,MAX(T49,V49,Z49),0))</f>
        <v>41.2</v>
      </c>
      <c r="T49" s="33">
        <v>43.5</v>
      </c>
      <c r="U49" s="40">
        <v>6.4</v>
      </c>
      <c r="V49" s="34">
        <v>41.2</v>
      </c>
      <c r="W49" s="40">
        <v>4.7</v>
      </c>
      <c r="X49" s="33"/>
      <c r="Y49" s="40"/>
      <c r="Z49" s="34"/>
      <c r="AA49" s="37"/>
    </row>
    <row r="50" spans="1:27" x14ac:dyDescent="0.2">
      <c r="A50" s="1" t="str" cm="1">
        <f t="array" ref="A50">IF(I50="","",IF(P50&lt;&gt;"",SUMPRODUCT((P$3:P$69&lt;&gt;"")*(G$3:G$69=G50)*(J$3:J$69&gt;J50)*(I$3:I$69="P"))+1,IF(O50&lt;&gt;"",SUMPRODUCT((O$3:O$69&lt;&gt;"")*(P$3:P$69="")*(G$3:G$69=G50)*(J$3:J$69&gt;J50)*(I$3:I$69="P"))+SUMPRODUCT((P$3:P$69&lt;&gt;"")*(G$3:G$69=G50)*(I$3:I$69="P"))+1,IF(N50&lt;&gt;"",SUMPRODUCT((N$3:N$69&lt;&gt;"")*(G$3:G$69=G50)*(J$3:J$69&gt;J50)*(I$3:I$69="P"))+1,IF(M50="P",SUMPRODUCT((O$3:O$69&lt;&gt;"")*(P$3:P$69="")*(G$3:G$69=G50)*(I$3:I$69="P"))+SUMPRODUCT((P$3:P$69&lt;&gt;"")*(G$3:G$69=G50)*(I$3:I$69="P"))+SUMPRODUCT((N$3:N$69&lt;&gt;"")*(G$3:G$69=G50)*(I$3:I$69="P"))+SUMPRODUCT((P$3:P$69="")*(O$3:O$69="")*(N$3:N$69="")*(M$3:M$69="P")*(G$3:G$69=G50)*(J$3:J$69&gt;J50)*(I$3:I$69="P"))+IF(H50="L5",SUMPRODUCT((P$3:P$69="")*(O$3:O$69="")*(N$3:N$69="")*(M$3:M$69="P")*(G$3:G$69=G50)*(J$3:J$69&lt;J50)*(H$3:H$69&lt;&gt;H50)*(I$3:I$69="P")),-1*SUMPRODUCT((P$3:P$69="")*(O$3:O$69="")*(N$3:N$69="")*(M$3:M$69="P")*(G$3:G$69=G50)*(J$3:J$69&gt;J50)*(H$3:H$69="L5")*(I$3:I$69="P")))+1,"")))))</f>
        <v/>
      </c>
      <c r="B50" s="1" t="str" cm="1">
        <f t="array" ref="B50">IF(P50&lt;&gt;"",SUMPRODUCT((P$3:P$69&lt;&gt;"")*(G$3:G$69=G50)*(J$3:J$69&gt;J50))+1,IF(O50&lt;&gt;"",SUMPRODUCT((O$3:O$69&lt;&gt;"")*(P$3:P$69="")*(G$3:G$69=G50)*(J$3:J$69&gt;J50))+SUMPRODUCT((P$3:P$69&lt;&gt;"")*(G$3:G$69=G50))+1,IF(N50&lt;&gt;"",SUMPRODUCT((N$3:N$69&lt;&gt;"")*(G$3:G$69=G50)*(J$3:J$69&gt;J50))+1,IF(M50="P",SUMPRODUCT((O$3:O$69&lt;&gt;"")*(P$3:P$69="")*(G$3:G$69=G50))+SUMPRODUCT((P$3:P$69&lt;&gt;"")*(G$3:G$69=G50))+SUMPRODUCT((N$3:N$69&lt;&gt;"")*(G$3:G$69=G50))+SUMPRODUCT((P$3:P$69="")*(O$3:O$69="")*(N$3:N$69="")*(M$3:M$69="P")*(G$3:G$69=G50)*(J$3:J$69&gt;J50))+IF(H50="L5",SUMPRODUCT((P$3:P$69="")*(O$3:O$69="")*(N$3:N$69="")*(M$3:M$69="P")*(G$3:G$69=G50)*(J$3:J$69&lt;J50)*(H$3:H$69&lt;&gt;H50)),-1*SUMPRODUCT((P$3:P$69="")*(O$3:O$69="")*(N$3:N$69="")*(M$3:M$69="P")*(G$3:G$69=G50)*(J$3:J$69&gt;J50)*(H$3:H$69="L5")))+1,""))))</f>
        <v/>
      </c>
      <c r="C50" s="36" t="s">
        <v>359</v>
      </c>
      <c r="D50" s="36" t="str">
        <f>IF(E50="","",VLOOKUP(E50,'Coaching Points'!A:B,2,0))</f>
        <v>ON</v>
      </c>
      <c r="E50" s="36" t="s">
        <v>47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15-16</v>
      </c>
      <c r="H50" s="39" t="s">
        <v>66</v>
      </c>
      <c r="I50" s="43"/>
      <c r="J50" s="4">
        <f>R50+S50+IF(OR(H50="Junior",H50="Senior"),0.0002,IF(OR(H50="L7",H50="L6"),0.0001,0))+MAX(X50,Z50)*0.0000001</f>
        <v>83.8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MAX(T50,X50)</f>
        <v>42.3</v>
      </c>
      <c r="S50" s="4">
        <f>IF(R50=T50,MAX(V50,X50,Z50),IF(R50=X50,MAX(T50,V50,Z50),0))</f>
        <v>41.5</v>
      </c>
      <c r="T50" s="33">
        <v>42.3</v>
      </c>
      <c r="U50" s="40">
        <v>4.9000000000000004</v>
      </c>
      <c r="V50" s="34">
        <v>41.5</v>
      </c>
      <c r="W50" s="40">
        <v>4</v>
      </c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$69&lt;&gt;"")*(G$3:G$69=G51)*(J$3:J$69&gt;J51)*(I$3:I$69="P"))+1,IF(O51&lt;&gt;"",SUMPRODUCT((O$3:O$69&lt;&gt;"")*(P$3:P$69="")*(G$3:G$69=G51)*(J$3:J$69&gt;J51)*(I$3:I$69="P"))+SUMPRODUCT((P$3:P$69&lt;&gt;"")*(G$3:G$69=G51)*(I$3:I$69="P"))+1,IF(N51&lt;&gt;"",SUMPRODUCT((N$3:N$69&lt;&gt;"")*(G$3:G$69=G51)*(J$3:J$69&gt;J51)*(I$3:I$69="P"))+1,IF(M51="P",SUMPRODUCT((O$3:O$69&lt;&gt;"")*(P$3:P$69="")*(G$3:G$69=G51)*(I$3:I$69="P"))+SUMPRODUCT((P$3:P$69&lt;&gt;"")*(G$3:G$69=G51)*(I$3:I$69="P"))+SUMPRODUCT((N$3:N$69&lt;&gt;"")*(G$3:G$69=G51)*(I$3:I$69="P"))+SUMPRODUCT((P$3:P$69="")*(O$3:O$69="")*(N$3:N$69="")*(M$3:M$69="P")*(G$3:G$69=G51)*(J$3:J$69&gt;J51)*(I$3:I$69="P"))+IF(H51="L5",SUMPRODUCT((P$3:P$69="")*(O$3:O$69="")*(N$3:N$69="")*(M$3:M$69="P")*(G$3:G$69=G51)*(J$3:J$69&lt;J51)*(H$3:H$69&lt;&gt;H51)*(I$3:I$69="P")),-1*SUMPRODUCT((P$3:P$69="")*(O$3:O$69="")*(N$3:N$69="")*(M$3:M$69="P")*(G$3:G$69=G51)*(J$3:J$69&gt;J51)*(H$3:H$69="L5")*(I$3:I$69="P")))+1,"")))))</f>
        <v/>
      </c>
      <c r="B51" s="1" t="str" cm="1">
        <f t="array" ref="B51">IF(P51&lt;&gt;"",SUMPRODUCT((P$3:P$69&lt;&gt;"")*(G$3:G$69=G51)*(J$3:J$69&gt;J51))+1,IF(O51&lt;&gt;"",SUMPRODUCT((O$3:O$69&lt;&gt;"")*(P$3:P$69="")*(G$3:G$69=G51)*(J$3:J$69&gt;J51))+SUMPRODUCT((P$3:P$69&lt;&gt;"")*(G$3:G$69=G51))+1,IF(N51&lt;&gt;"",SUMPRODUCT((N$3:N$69&lt;&gt;"")*(G$3:G$69=G51)*(J$3:J$69&gt;J51))+1,IF(M51="P",SUMPRODUCT((O$3:O$69&lt;&gt;"")*(P$3:P$69="")*(G$3:G$69=G51))+SUMPRODUCT((P$3:P$69&lt;&gt;"")*(G$3:G$69=G51))+SUMPRODUCT((N$3:N$69&lt;&gt;"")*(G$3:G$69=G51))+SUMPRODUCT((P$3:P$69="")*(O$3:O$69="")*(N$3:N$69="")*(M$3:M$69="P")*(G$3:G$69=G51)*(J$3:J$69&gt;J51))+IF(H51="L5",SUMPRODUCT((P$3:P$69="")*(O$3:O$69="")*(N$3:N$69="")*(M$3:M$69="P")*(G$3:G$69=G51)*(J$3:J$69&lt;J51)*(H$3:H$69&lt;&gt;H51)),-1*SUMPRODUCT((P$3:P$69="")*(O$3:O$69="")*(N$3:N$69="")*(M$3:M$69="P")*(G$3:G$69=G51)*(J$3:J$69&gt;J51)*(H$3:H$69="L5")))+1,""))))</f>
        <v/>
      </c>
      <c r="C51" s="36" t="s">
        <v>308</v>
      </c>
      <c r="D51" s="36" t="str">
        <f>IF(E51="","",VLOOKUP(E51,'Coaching Points'!A:B,2,0))</f>
        <v>ON</v>
      </c>
      <c r="E51" s="36" t="s">
        <v>40</v>
      </c>
      <c r="F51" s="35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15-16</v>
      </c>
      <c r="H51" s="39" t="s">
        <v>66</v>
      </c>
      <c r="I51" s="43"/>
      <c r="J51" s="4">
        <f>R51+S51+IF(OR(H51="Junior",H51="Senior"),0.0002,IF(OR(H51="L7",H51="L6"),0.0001,0))+MAX(X51,Z51)*0.0000001</f>
        <v>82.6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MAX(T51,X51)</f>
        <v>41.6</v>
      </c>
      <c r="S51" s="4">
        <f>IF(R51=T51,MAX(V51,X51,Z51),IF(R51=X51,MAX(T51,V51,Z51),0))</f>
        <v>41</v>
      </c>
      <c r="T51" s="33">
        <v>41.6</v>
      </c>
      <c r="U51" s="40">
        <v>4.8000000000000007</v>
      </c>
      <c r="V51" s="34">
        <v>41</v>
      </c>
      <c r="W51" s="40">
        <v>5.6999999999999993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$69&lt;&gt;"")*(G$3:G$69=G52)*(J$3:J$69&gt;J52)*(I$3:I$69="P"))+1,IF(O52&lt;&gt;"",SUMPRODUCT((O$3:O$69&lt;&gt;"")*(P$3:P$69="")*(G$3:G$69=G52)*(J$3:J$69&gt;J52)*(I$3:I$69="P"))+SUMPRODUCT((P$3:P$69&lt;&gt;"")*(G$3:G$69=G52)*(I$3:I$69="P"))+1,IF(N52&lt;&gt;"",SUMPRODUCT((N$3:N$69&lt;&gt;"")*(G$3:G$69=G52)*(J$3:J$69&gt;J52)*(I$3:I$69="P"))+1,IF(M52="P",SUMPRODUCT((O$3:O$69&lt;&gt;"")*(P$3:P$69="")*(G$3:G$69=G52)*(I$3:I$69="P"))+SUMPRODUCT((P$3:P$69&lt;&gt;"")*(G$3:G$69=G52)*(I$3:I$69="P"))+SUMPRODUCT((N$3:N$69&lt;&gt;"")*(G$3:G$69=G52)*(I$3:I$69="P"))+SUMPRODUCT((P$3:P$69="")*(O$3:O$69="")*(N$3:N$69="")*(M$3:M$69="P")*(G$3:G$69=G52)*(J$3:J$69&gt;J52)*(I$3:I$69="P"))+IF(H52="L5",SUMPRODUCT((P$3:P$69="")*(O$3:O$69="")*(N$3:N$69="")*(M$3:M$69="P")*(G$3:G$69=G52)*(J$3:J$69&lt;J52)*(H$3:H$69&lt;&gt;H52)*(I$3:I$69="P")),-1*SUMPRODUCT((P$3:P$69="")*(O$3:O$69="")*(N$3:N$69="")*(M$3:M$69="P")*(G$3:G$69=G52)*(J$3:J$69&gt;J52)*(H$3:H$69="L5")*(I$3:I$69="P")))+1,"")))))</f>
        <v/>
      </c>
      <c r="B52" s="1" t="str" cm="1">
        <f t="array" ref="B52">IF(P52&lt;&gt;"",SUMPRODUCT((P$3:P$69&lt;&gt;"")*(G$3:G$69=G52)*(J$3:J$69&gt;J52))+1,IF(O52&lt;&gt;"",SUMPRODUCT((O$3:O$69&lt;&gt;"")*(P$3:P$69="")*(G$3:G$69=G52)*(J$3:J$69&gt;J52))+SUMPRODUCT((P$3:P$69&lt;&gt;"")*(G$3:G$69=G52))+1,IF(N52&lt;&gt;"",SUMPRODUCT((N$3:N$69&lt;&gt;"")*(G$3:G$69=G52)*(J$3:J$69&gt;J52))+1,IF(M52="P",SUMPRODUCT((O$3:O$69&lt;&gt;"")*(P$3:P$69="")*(G$3:G$69=G52))+SUMPRODUCT((P$3:P$69&lt;&gt;"")*(G$3:G$69=G52))+SUMPRODUCT((N$3:N$69&lt;&gt;"")*(G$3:G$69=G52))+SUMPRODUCT((P$3:P$69="")*(O$3:O$69="")*(N$3:N$69="")*(M$3:M$69="P")*(G$3:G$69=G52)*(J$3:J$69&gt;J52))+IF(H52="L5",SUMPRODUCT((P$3:P$69="")*(O$3:O$69="")*(N$3:N$69="")*(M$3:M$69="P")*(G$3:G$69=G52)*(J$3:J$69&lt;J52)*(H$3:H$69&lt;&gt;H52)),-1*SUMPRODUCT((P$3:P$69="")*(O$3:O$69="")*(N$3:N$69="")*(M$3:M$69="P")*(G$3:G$69=G52)*(J$3:J$69&gt;J52)*(H$3:H$69="L5")))+1,""))))</f>
        <v/>
      </c>
      <c r="C52" s="36" t="s">
        <v>305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66</v>
      </c>
      <c r="I52" s="43"/>
      <c r="J52" s="4">
        <f>R52+S52+IF(OR(H52="Junior",H52="Senior"),0.0002,IF(OR(H52="L7",H52="L6"),0.0001,0))+MAX(X52,Z52)*0.0000001</f>
        <v>81.5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MAX(T52,X52)</f>
        <v>41.8</v>
      </c>
      <c r="S52" s="4">
        <f>IF(R52=T52,MAX(V52,X52,Z52),IF(R52=X52,MAX(T52,V52,Z52),0))</f>
        <v>39.700000000000003</v>
      </c>
      <c r="T52" s="33">
        <v>41.8</v>
      </c>
      <c r="U52" s="40">
        <v>4.8000000000000007</v>
      </c>
      <c r="V52" s="34">
        <v>39.700000000000003</v>
      </c>
      <c r="W52" s="40">
        <v>5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$69&lt;&gt;"")*(G$3:G$69=G53)*(J$3:J$69&gt;J53)*(I$3:I$69="P"))+1,IF(O53&lt;&gt;"",SUMPRODUCT((O$3:O$69&lt;&gt;"")*(P$3:P$69="")*(G$3:G$69=G53)*(J$3:J$69&gt;J53)*(I$3:I$69="P"))+SUMPRODUCT((P$3:P$69&lt;&gt;"")*(G$3:G$69=G53)*(I$3:I$69="P"))+1,IF(N53&lt;&gt;"",SUMPRODUCT((N$3:N$69&lt;&gt;"")*(G$3:G$69=G53)*(J$3:J$69&gt;J53)*(I$3:I$69="P"))+1,IF(M53="P",SUMPRODUCT((O$3:O$69&lt;&gt;"")*(P$3:P$69="")*(G$3:G$69=G53)*(I$3:I$69="P"))+SUMPRODUCT((P$3:P$69&lt;&gt;"")*(G$3:G$69=G53)*(I$3:I$69="P"))+SUMPRODUCT((N$3:N$69&lt;&gt;"")*(G$3:G$69=G53)*(I$3:I$69="P"))+SUMPRODUCT((P$3:P$69="")*(O$3:O$69="")*(N$3:N$69="")*(M$3:M$69="P")*(G$3:G$69=G53)*(J$3:J$69&gt;J53)*(I$3:I$69="P"))+IF(H53="L5",SUMPRODUCT((P$3:P$69="")*(O$3:O$69="")*(N$3:N$69="")*(M$3:M$69="P")*(G$3:G$69=G53)*(J$3:J$69&lt;J53)*(H$3:H$69&lt;&gt;H53)*(I$3:I$69="P")),-1*SUMPRODUCT((P$3:P$69="")*(O$3:O$69="")*(N$3:N$69="")*(M$3:M$69="P")*(G$3:G$69=G53)*(J$3:J$69&gt;J53)*(H$3:H$69="L5")*(I$3:I$69="P")))+1,"")))))</f>
        <v/>
      </c>
      <c r="B53" s="1" t="str" cm="1">
        <f t="array" ref="B53">IF(P53&lt;&gt;"",SUMPRODUCT((P$3:P$69&lt;&gt;"")*(G$3:G$69=G53)*(J$3:J$69&gt;J53))+1,IF(O53&lt;&gt;"",SUMPRODUCT((O$3:O$69&lt;&gt;"")*(P$3:P$69="")*(G$3:G$69=G53)*(J$3:J$69&gt;J53))+SUMPRODUCT((P$3:P$69&lt;&gt;"")*(G$3:G$69=G53))+1,IF(N53&lt;&gt;"",SUMPRODUCT((N$3:N$69&lt;&gt;"")*(G$3:G$69=G53)*(J$3:J$69&gt;J53))+1,IF(M53="P",SUMPRODUCT((O$3:O$69&lt;&gt;"")*(P$3:P$69="")*(G$3:G$69=G53))+SUMPRODUCT((P$3:P$69&lt;&gt;"")*(G$3:G$69=G53))+SUMPRODUCT((N$3:N$69&lt;&gt;"")*(G$3:G$69=G53))+SUMPRODUCT((P$3:P$69="")*(O$3:O$69="")*(N$3:N$69="")*(M$3:M$69="P")*(G$3:G$69=G53)*(J$3:J$69&gt;J53))+IF(H53="L5",SUMPRODUCT((P$3:P$69="")*(O$3:O$69="")*(N$3:N$69="")*(M$3:M$69="P")*(G$3:G$69=G53)*(J$3:J$69&lt;J53)*(H$3:H$69&lt;&gt;H53)),-1*SUMPRODUCT((P$3:P$69="")*(O$3:O$69="")*(N$3:N$69="")*(M$3:M$69="P")*(G$3:G$69=G53)*(J$3:J$69&gt;J53)*(H$3:H$69="L5")))+1,""))))</f>
        <v/>
      </c>
      <c r="C53" s="36" t="s">
        <v>238</v>
      </c>
      <c r="D53" s="36" t="s">
        <v>197</v>
      </c>
      <c r="E53" s="36" t="s">
        <v>58</v>
      </c>
      <c r="F53" s="35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66</v>
      </c>
      <c r="I53" s="43"/>
      <c r="J53" s="4">
        <f>R53+S53+IF(OR(H53="Junior",H53="Senior"),0.0002,IF(OR(H53="L7",H53="L6"),0.0001,0))+MAX(X53,Z53)*0.0000001</f>
        <v>81.400000000000006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MAX(T53,X53)</f>
        <v>41.9</v>
      </c>
      <c r="S53" s="4">
        <f>IF(R53=T53,MAX(V53,X53,Z53),IF(R53=X53,MAX(T53,V53,Z53),0))</f>
        <v>39.5</v>
      </c>
      <c r="T53" s="33">
        <v>41.9</v>
      </c>
      <c r="U53" s="40">
        <v>6.5</v>
      </c>
      <c r="V53" s="34">
        <v>39.5</v>
      </c>
      <c r="W53" s="40">
        <v>3.8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$69&lt;&gt;"")*(G$3:G$69=G54)*(J$3:J$69&gt;J54)*(I$3:I$69="P"))+1,IF(O54&lt;&gt;"",SUMPRODUCT((O$3:O$69&lt;&gt;"")*(P$3:P$69="")*(G$3:G$69=G54)*(J$3:J$69&gt;J54)*(I$3:I$69="P"))+SUMPRODUCT((P$3:P$69&lt;&gt;"")*(G$3:G$69=G54)*(I$3:I$69="P"))+1,IF(N54&lt;&gt;"",SUMPRODUCT((N$3:N$69&lt;&gt;"")*(G$3:G$69=G54)*(J$3:J$69&gt;J54)*(I$3:I$69="P"))+1,IF(M54="P",SUMPRODUCT((O$3:O$69&lt;&gt;"")*(P$3:P$69="")*(G$3:G$69=G54)*(I$3:I$69="P"))+SUMPRODUCT((P$3:P$69&lt;&gt;"")*(G$3:G$69=G54)*(I$3:I$69="P"))+SUMPRODUCT((N$3:N$69&lt;&gt;"")*(G$3:G$69=G54)*(I$3:I$69="P"))+SUMPRODUCT((P$3:P$69="")*(O$3:O$69="")*(N$3:N$69="")*(M$3:M$69="P")*(G$3:G$69=G54)*(J$3:J$69&gt;J54)*(I$3:I$69="P"))+IF(H54="L5",SUMPRODUCT((P$3:P$69="")*(O$3:O$69="")*(N$3:N$69="")*(M$3:M$69="P")*(G$3:G$69=G54)*(J$3:J$69&lt;J54)*(H$3:H$69&lt;&gt;H54)*(I$3:I$69="P")),-1*SUMPRODUCT((P$3:P$69="")*(O$3:O$69="")*(N$3:N$69="")*(M$3:M$69="P")*(G$3:G$69=G54)*(J$3:J$69&gt;J54)*(H$3:H$69="L5")*(I$3:I$69="P")))+1,"")))))</f>
        <v/>
      </c>
      <c r="B54" s="1" t="str" cm="1">
        <f t="array" ref="B54">IF(P54&lt;&gt;"",SUMPRODUCT((P$3:P$69&lt;&gt;"")*(G$3:G$69=G54)*(J$3:J$69&gt;J54))+1,IF(O54&lt;&gt;"",SUMPRODUCT((O$3:O$69&lt;&gt;"")*(P$3:P$69="")*(G$3:G$69=G54)*(J$3:J$69&gt;J54))+SUMPRODUCT((P$3:P$69&lt;&gt;"")*(G$3:G$69=G54))+1,IF(N54&lt;&gt;"",SUMPRODUCT((N$3:N$69&lt;&gt;"")*(G$3:G$69=G54)*(J$3:J$69&gt;J54))+1,IF(M54="P",SUMPRODUCT((O$3:O$69&lt;&gt;"")*(P$3:P$69="")*(G$3:G$69=G54))+SUMPRODUCT((P$3:P$69&lt;&gt;"")*(G$3:G$69=G54))+SUMPRODUCT((N$3:N$69&lt;&gt;"")*(G$3:G$69=G54))+SUMPRODUCT((P$3:P$69="")*(O$3:O$69="")*(N$3:N$69="")*(M$3:M$69="P")*(G$3:G$69=G54)*(J$3:J$69&gt;J54))+IF(H54="L5",SUMPRODUCT((P$3:P$69="")*(O$3:O$69="")*(N$3:N$69="")*(M$3:M$69="P")*(G$3:G$69=G54)*(J$3:J$69&lt;J54)*(H$3:H$69&lt;&gt;H54)),-1*SUMPRODUCT((P$3:P$69="")*(O$3:O$69="")*(N$3:N$69="")*(M$3:M$69="P")*(G$3:G$69=G54)*(J$3:J$69&gt;J54)*(H$3:H$69="L5")))+1,""))))</f>
        <v/>
      </c>
      <c r="C54" s="36" t="s">
        <v>152</v>
      </c>
      <c r="D54" s="36" t="s">
        <v>196</v>
      </c>
      <c r="E54" s="36" t="s">
        <v>45</v>
      </c>
      <c r="F54" s="35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66</v>
      </c>
      <c r="I54" s="43"/>
      <c r="J54" s="4">
        <f>R54+S54+IF(OR(H54="Junior",H54="Senior"),0.0002,IF(OR(H54="L7",H54="L6"),0.0001,0))+MAX(X54,Z54)*0.0000001</f>
        <v>81.199999999999989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MAX(T54,X54)</f>
        <v>43.3</v>
      </c>
      <c r="S54" s="4">
        <f>IF(R54=T54,MAX(V54,X54,Z54),IF(R54=X54,MAX(T54,V54,Z54),0))</f>
        <v>37.9</v>
      </c>
      <c r="T54" s="33">
        <v>43.3</v>
      </c>
      <c r="U54" s="40">
        <v>6.3000000000000007</v>
      </c>
      <c r="V54" s="34">
        <v>37.9</v>
      </c>
      <c r="W54" s="40">
        <v>4</v>
      </c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$69&lt;&gt;"")*(G$3:G$69=G55)*(J$3:J$69&gt;J55)*(I$3:I$69="P"))+1,IF(O55&lt;&gt;"",SUMPRODUCT((O$3:O$69&lt;&gt;"")*(P$3:P$69="")*(G$3:G$69=G55)*(J$3:J$69&gt;J55)*(I$3:I$69="P"))+SUMPRODUCT((P$3:P$69&lt;&gt;"")*(G$3:G$69=G55)*(I$3:I$69="P"))+1,IF(N55&lt;&gt;"",SUMPRODUCT((N$3:N$69&lt;&gt;"")*(G$3:G$69=G55)*(J$3:J$69&gt;J55)*(I$3:I$69="P"))+1,IF(M55="P",SUMPRODUCT((O$3:O$69&lt;&gt;"")*(P$3:P$69="")*(G$3:G$69=G55)*(I$3:I$69="P"))+SUMPRODUCT((P$3:P$69&lt;&gt;"")*(G$3:G$69=G55)*(I$3:I$69="P"))+SUMPRODUCT((N$3:N$69&lt;&gt;"")*(G$3:G$69=G55)*(I$3:I$69="P"))+SUMPRODUCT((P$3:P$69="")*(O$3:O$69="")*(N$3:N$69="")*(M$3:M$69="P")*(G$3:G$69=G55)*(J$3:J$69&gt;J55)*(I$3:I$69="P"))+IF(H55="L5",SUMPRODUCT((P$3:P$69="")*(O$3:O$69="")*(N$3:N$69="")*(M$3:M$69="P")*(G$3:G$69=G55)*(J$3:J$69&lt;J55)*(H$3:H$69&lt;&gt;H55)*(I$3:I$69="P")),-1*SUMPRODUCT((P$3:P$69="")*(O$3:O$69="")*(N$3:N$69="")*(M$3:M$69="P")*(G$3:G$69=G55)*(J$3:J$69&gt;J55)*(H$3:H$69="L5")*(I$3:I$69="P")))+1,"")))))</f>
        <v/>
      </c>
      <c r="B55" s="1" t="str" cm="1">
        <f t="array" ref="B55">IF(P55&lt;&gt;"",SUMPRODUCT((P$3:P$69&lt;&gt;"")*(G$3:G$69=G55)*(J$3:J$69&gt;J55))+1,IF(O55&lt;&gt;"",SUMPRODUCT((O$3:O$69&lt;&gt;"")*(P$3:P$69="")*(G$3:G$69=G55)*(J$3:J$69&gt;J55))+SUMPRODUCT((P$3:P$69&lt;&gt;"")*(G$3:G$69=G55))+1,IF(N55&lt;&gt;"",SUMPRODUCT((N$3:N$69&lt;&gt;"")*(G$3:G$69=G55)*(J$3:J$69&gt;J55))+1,IF(M55="P",SUMPRODUCT((O$3:O$69&lt;&gt;"")*(P$3:P$69="")*(G$3:G$69=G55))+SUMPRODUCT((P$3:P$69&lt;&gt;"")*(G$3:G$69=G55))+SUMPRODUCT((N$3:N$69&lt;&gt;"")*(G$3:G$69=G55))+SUMPRODUCT((P$3:P$69="")*(O$3:O$69="")*(N$3:N$69="")*(M$3:M$69="P")*(G$3:G$69=G55)*(J$3:J$69&gt;J55))+IF(H55="L5",SUMPRODUCT((P$3:P$69="")*(O$3:O$69="")*(N$3:N$69="")*(M$3:M$69="P")*(G$3:G$69=G55)*(J$3:J$69&lt;J55)*(H$3:H$69&lt;&gt;H55)),-1*SUMPRODUCT((P$3:P$69="")*(O$3:O$69="")*(N$3:N$69="")*(M$3:M$69="P")*(G$3:G$69=G55)*(J$3:J$69&gt;J55)*(H$3:H$69="L5")))+1,""))))</f>
        <v/>
      </c>
      <c r="C55" s="36" t="s">
        <v>307</v>
      </c>
      <c r="D55" s="36" t="s">
        <v>198</v>
      </c>
      <c r="E55" s="36" t="s">
        <v>58</v>
      </c>
      <c r="F55" s="35">
        <v>2008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80.7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MAX(T55,X55)</f>
        <v>42.7</v>
      </c>
      <c r="S55" s="4">
        <f>IF(R55=T55,MAX(V55,X55,Z55),IF(R55=X55,MAX(T55,V55,Z55),0))</f>
        <v>38</v>
      </c>
      <c r="T55" s="33">
        <v>42.7</v>
      </c>
      <c r="U55" s="40">
        <v>6.3000000000000007</v>
      </c>
      <c r="V55" s="34">
        <v>38</v>
      </c>
      <c r="W55" s="40">
        <v>4</v>
      </c>
      <c r="X55" s="33"/>
      <c r="Y55" s="40"/>
      <c r="Z55" s="34"/>
      <c r="AA55" s="37"/>
    </row>
    <row r="56" spans="1:27" x14ac:dyDescent="0.2">
      <c r="A56" s="1" t="str" cm="1">
        <f t="array" ref="A56">IF(I56="","",IF(P56&lt;&gt;"",SUMPRODUCT((P$3:P$69&lt;&gt;"")*(G$3:G$69=G56)*(J$3:J$69&gt;J56)*(I$3:I$69="P"))+1,IF(O56&lt;&gt;"",SUMPRODUCT((O$3:O$69&lt;&gt;"")*(P$3:P$69="")*(G$3:G$69=G56)*(J$3:J$69&gt;J56)*(I$3:I$69="P"))+SUMPRODUCT((P$3:P$69&lt;&gt;"")*(G$3:G$69=G56)*(I$3:I$69="P"))+1,IF(N56&lt;&gt;"",SUMPRODUCT((N$3:N$69&lt;&gt;"")*(G$3:G$69=G56)*(J$3:J$69&gt;J56)*(I$3:I$69="P"))+1,IF(M56="P",SUMPRODUCT((O$3:O$69&lt;&gt;"")*(P$3:P$69="")*(G$3:G$69=G56)*(I$3:I$69="P"))+SUMPRODUCT((P$3:P$69&lt;&gt;"")*(G$3:G$69=G56)*(I$3:I$69="P"))+SUMPRODUCT((N$3:N$69&lt;&gt;"")*(G$3:G$69=G56)*(I$3:I$69="P"))+SUMPRODUCT((P$3:P$69="")*(O$3:O$69="")*(N$3:N$69="")*(M$3:M$69="P")*(G$3:G$69=G56)*(J$3:J$69&gt;J56)*(I$3:I$69="P"))+IF(H56="L5",SUMPRODUCT((P$3:P$69="")*(O$3:O$69="")*(N$3:N$69="")*(M$3:M$69="P")*(G$3:G$69=G56)*(J$3:J$69&lt;J56)*(H$3:H$69&lt;&gt;H56)*(I$3:I$69="P")),-1*SUMPRODUCT((P$3:P$69="")*(O$3:O$69="")*(N$3:N$69="")*(M$3:M$69="P")*(G$3:G$69=G56)*(J$3:J$69&gt;J56)*(H$3:H$69="L5")*(I$3:I$69="P")))+1,"")))))</f>
        <v/>
      </c>
      <c r="B56" s="1" t="str" cm="1">
        <f t="array" ref="B56">IF(P56&lt;&gt;"",SUMPRODUCT((P$3:P$69&lt;&gt;"")*(G$3:G$69=G56)*(J$3:J$69&gt;J56))+1,IF(O56&lt;&gt;"",SUMPRODUCT((O$3:O$69&lt;&gt;"")*(P$3:P$69="")*(G$3:G$69=G56)*(J$3:J$69&gt;J56))+SUMPRODUCT((P$3:P$69&lt;&gt;"")*(G$3:G$69=G56))+1,IF(N56&lt;&gt;"",SUMPRODUCT((N$3:N$69&lt;&gt;"")*(G$3:G$69=G56)*(J$3:J$69&gt;J56))+1,IF(M56="P",SUMPRODUCT((O$3:O$69&lt;&gt;"")*(P$3:P$69="")*(G$3:G$69=G56))+SUMPRODUCT((P$3:P$69&lt;&gt;"")*(G$3:G$69=G56))+SUMPRODUCT((N$3:N$69&lt;&gt;"")*(G$3:G$69=G56))+SUMPRODUCT((P$3:P$69="")*(O$3:O$69="")*(N$3:N$69="")*(M$3:M$69="P")*(G$3:G$69=G56)*(J$3:J$69&gt;J56))+IF(H56="L5",SUMPRODUCT((P$3:P$69="")*(O$3:O$69="")*(N$3:N$69="")*(M$3:M$69="P")*(G$3:G$69=G56)*(J$3:J$69&lt;J56)*(H$3:H$69&lt;&gt;H56)),-1*SUMPRODUCT((P$3:P$69="")*(O$3:O$69="")*(N$3:N$69="")*(M$3:M$69="P")*(G$3:G$69=G56)*(J$3:J$69&gt;J56)*(H$3:H$69="L5")))+1,""))))</f>
        <v/>
      </c>
      <c r="C56" s="36" t="s">
        <v>266</v>
      </c>
      <c r="D56" s="36" t="s">
        <v>194</v>
      </c>
      <c r="E56" s="36" t="s">
        <v>62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66</v>
      </c>
      <c r="I56" s="43"/>
      <c r="J56" s="4">
        <f>R56+S56+IF(OR(H56="Junior",H56="Senior"),0.0002,IF(OR(H56="L7",H56="L6"),0.0001,0))+MAX(X56,Z56)*0.0000001</f>
        <v>76.900000000000006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MAX(T56,X56)</f>
        <v>42</v>
      </c>
      <c r="S56" s="4">
        <f>IF(R56=T56,MAX(V56,X56,Z56),IF(R56=X56,MAX(T56,V56,Z56),0))</f>
        <v>34.9</v>
      </c>
      <c r="T56" s="33">
        <v>42</v>
      </c>
      <c r="U56" s="40">
        <v>5.8000000000000007</v>
      </c>
      <c r="V56" s="34">
        <v>34.9</v>
      </c>
      <c r="W56" s="40">
        <v>3.9000000000000004</v>
      </c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$69&lt;&gt;"")*(G$3:G$69=G57)*(J$3:J$69&gt;J57)*(I$3:I$69="P"))+1,IF(O57&lt;&gt;"",SUMPRODUCT((O$3:O$69&lt;&gt;"")*(P$3:P$69="")*(G$3:G$69=G57)*(J$3:J$69&gt;J57)*(I$3:I$69="P"))+SUMPRODUCT((P$3:P$69&lt;&gt;"")*(G$3:G$69=G57)*(I$3:I$69="P"))+1,IF(N57&lt;&gt;"",SUMPRODUCT((N$3:N$69&lt;&gt;"")*(G$3:G$69=G57)*(J$3:J$69&gt;J57)*(I$3:I$69="P"))+1,IF(M57="P",SUMPRODUCT((O$3:O$69&lt;&gt;"")*(P$3:P$69="")*(G$3:G$69=G57)*(I$3:I$69="P"))+SUMPRODUCT((P$3:P$69&lt;&gt;"")*(G$3:G$69=G57)*(I$3:I$69="P"))+SUMPRODUCT((N$3:N$69&lt;&gt;"")*(G$3:G$69=G57)*(I$3:I$69="P"))+SUMPRODUCT((P$3:P$69="")*(O$3:O$69="")*(N$3:N$69="")*(M$3:M$69="P")*(G$3:G$69=G57)*(J$3:J$69&gt;J57)*(I$3:I$69="P"))+IF(H57="L5",SUMPRODUCT((P$3:P$69="")*(O$3:O$69="")*(N$3:N$69="")*(M$3:M$69="P")*(G$3:G$69=G57)*(J$3:J$69&lt;J57)*(H$3:H$69&lt;&gt;H57)*(I$3:I$69="P")),-1*SUMPRODUCT((P$3:P$69="")*(O$3:O$69="")*(N$3:N$69="")*(M$3:M$69="P")*(G$3:G$69=G57)*(J$3:J$69&gt;J57)*(H$3:H$69="L5")*(I$3:I$69="P")))+1,"")))))</f>
        <v/>
      </c>
      <c r="B57" s="1" t="str" cm="1">
        <f t="array" ref="B57">IF(P57&lt;&gt;"",SUMPRODUCT((P$3:P$69&lt;&gt;"")*(G$3:G$69=G57)*(J$3:J$69&gt;J57))+1,IF(O57&lt;&gt;"",SUMPRODUCT((O$3:O$69&lt;&gt;"")*(P$3:P$69="")*(G$3:G$69=G57)*(J$3:J$69&gt;J57))+SUMPRODUCT((P$3:P$69&lt;&gt;"")*(G$3:G$69=G57))+1,IF(N57&lt;&gt;"",SUMPRODUCT((N$3:N$69&lt;&gt;"")*(G$3:G$69=G57)*(J$3:J$69&gt;J57))+1,IF(M57="P",SUMPRODUCT((O$3:O$69&lt;&gt;"")*(P$3:P$69="")*(G$3:G$69=G57))+SUMPRODUCT((P$3:P$69&lt;&gt;"")*(G$3:G$69=G57))+SUMPRODUCT((N$3:N$69&lt;&gt;"")*(G$3:G$69=G57))+SUMPRODUCT((P$3:P$69="")*(O$3:O$69="")*(N$3:N$69="")*(M$3:M$69="P")*(G$3:G$69=G57)*(J$3:J$69&gt;J57))+IF(H57="L5",SUMPRODUCT((P$3:P$69="")*(O$3:O$69="")*(N$3:N$69="")*(M$3:M$69="P")*(G$3:G$69=G57)*(J$3:J$69&lt;J57)*(H$3:H$69&lt;&gt;H57)),-1*SUMPRODUCT((P$3:P$69="")*(O$3:O$69="")*(N$3:N$69="")*(M$3:M$69="P")*(G$3:G$69=G57)*(J$3:J$69&gt;J57)*(H$3:H$69="L5")))+1,""))))</f>
        <v/>
      </c>
      <c r="C57" s="36" t="s">
        <v>177</v>
      </c>
      <c r="D57" s="36" t="s">
        <v>195</v>
      </c>
      <c r="E57" s="36" t="s">
        <v>57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40.799999999999997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MAX(T57,X57)</f>
        <v>40.799999999999997</v>
      </c>
      <c r="S57" s="4">
        <f>IF(R57=T57,MAX(V57,X57,Z57),IF(R57=X57,MAX(T57,V57,Z57),0))</f>
        <v>0</v>
      </c>
      <c r="T57" s="33">
        <v>40.799999999999997</v>
      </c>
      <c r="U57" s="40">
        <v>4.9000000000000004</v>
      </c>
      <c r="V57" s="34"/>
      <c r="W57" s="40"/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$69&lt;&gt;"")*(G$3:G$69=G58)*(J$3:J$69&gt;J58)*(I$3:I$69="P"))+1,IF(O58&lt;&gt;"",SUMPRODUCT((O$3:O$69&lt;&gt;"")*(P$3:P$69="")*(G$3:G$69=G58)*(J$3:J$69&gt;J58)*(I$3:I$69="P"))+SUMPRODUCT((P$3:P$69&lt;&gt;"")*(G$3:G$69=G58)*(I$3:I$69="P"))+1,IF(N58&lt;&gt;"",SUMPRODUCT((N$3:N$69&lt;&gt;"")*(G$3:G$69=G58)*(J$3:J$69&gt;J58)*(I$3:I$69="P"))+1,IF(M58="P",SUMPRODUCT((O$3:O$69&lt;&gt;"")*(P$3:P$69="")*(G$3:G$69=G58)*(I$3:I$69="P"))+SUMPRODUCT((P$3:P$69&lt;&gt;"")*(G$3:G$69=G58)*(I$3:I$69="P"))+SUMPRODUCT((N$3:N$69&lt;&gt;"")*(G$3:G$69=G58)*(I$3:I$69="P"))+SUMPRODUCT((P$3:P$69="")*(O$3:O$69="")*(N$3:N$69="")*(M$3:M$69="P")*(G$3:G$69=G58)*(J$3:J$69&gt;J58)*(I$3:I$69="P"))+IF(H58="L5",SUMPRODUCT((P$3:P$69="")*(O$3:O$69="")*(N$3:N$69="")*(M$3:M$69="P")*(G$3:G$69=G58)*(J$3:J$69&lt;J58)*(H$3:H$69&lt;&gt;H58)*(I$3:I$69="P")),-1*SUMPRODUCT((P$3:P$69="")*(O$3:O$69="")*(N$3:N$69="")*(M$3:M$69="P")*(G$3:G$69=G58)*(J$3:J$69&gt;J58)*(H$3:H$69="L5")*(I$3:I$69="P")))+1,"")))))</f>
        <v/>
      </c>
      <c r="B58" s="1" t="str" cm="1">
        <f t="array" ref="B58">IF(P58&lt;&gt;"",SUMPRODUCT((P$3:P$69&lt;&gt;"")*(G$3:G$69=G58)*(J$3:J$69&gt;J58))+1,IF(O58&lt;&gt;"",SUMPRODUCT((O$3:O$69&lt;&gt;"")*(P$3:P$69="")*(G$3:G$69=G58)*(J$3:J$69&gt;J58))+SUMPRODUCT((P$3:P$69&lt;&gt;"")*(G$3:G$69=G58))+1,IF(N58&lt;&gt;"",SUMPRODUCT((N$3:N$69&lt;&gt;"")*(G$3:G$69=G58)*(J$3:J$69&gt;J58))+1,IF(M58="P",SUMPRODUCT((O$3:O$69&lt;&gt;"")*(P$3:P$69="")*(G$3:G$69=G58))+SUMPRODUCT((P$3:P$69&lt;&gt;"")*(G$3:G$69=G58))+SUMPRODUCT((N$3:N$69&lt;&gt;"")*(G$3:G$69=G58))+SUMPRODUCT((P$3:P$69="")*(O$3:O$69="")*(N$3:N$69="")*(M$3:M$69="P")*(G$3:G$69=G58)*(J$3:J$69&gt;J58))+IF(H58="L5",SUMPRODUCT((P$3:P$69="")*(O$3:O$69="")*(N$3:N$69="")*(M$3:M$69="P")*(G$3:G$69=G58)*(J$3:J$69&lt;J58)*(H$3:H$69&lt;&gt;H58)),-1*SUMPRODUCT((P$3:P$69="")*(O$3:O$69="")*(N$3:N$69="")*(M$3:M$69="P")*(G$3:G$69=G58)*(J$3:J$69&gt;J58)*(H$3:H$69="L5")))+1,""))))</f>
        <v/>
      </c>
      <c r="C58" s="36" t="s">
        <v>241</v>
      </c>
      <c r="D58" s="36" t="s">
        <v>194</v>
      </c>
      <c r="E58" s="36" t="s">
        <v>62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40.700000000000003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MAX(T58,X58)</f>
        <v>40.700000000000003</v>
      </c>
      <c r="S58" s="4">
        <f>IF(R58=T58,MAX(V58,X58,Z58),IF(R58=X58,MAX(T58,V58,Z58),0))</f>
        <v>0</v>
      </c>
      <c r="T58" s="33">
        <v>40.700000000000003</v>
      </c>
      <c r="U58" s="40">
        <v>5.5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$69&lt;&gt;"")*(G$3:G$69=G59)*(J$3:J$69&gt;J59)*(I$3:I$69="P"))+1,IF(O59&lt;&gt;"",SUMPRODUCT((O$3:O$69&lt;&gt;"")*(P$3:P$69="")*(G$3:G$69=G59)*(J$3:J$69&gt;J59)*(I$3:I$69="P"))+SUMPRODUCT((P$3:P$69&lt;&gt;"")*(G$3:G$69=G59)*(I$3:I$69="P"))+1,IF(N59&lt;&gt;"",SUMPRODUCT((N$3:N$69&lt;&gt;"")*(G$3:G$69=G59)*(J$3:J$69&gt;J59)*(I$3:I$69="P"))+1,IF(M59="P",SUMPRODUCT((O$3:O$69&lt;&gt;"")*(P$3:P$69="")*(G$3:G$69=G59)*(I$3:I$69="P"))+SUMPRODUCT((P$3:P$69&lt;&gt;"")*(G$3:G$69=G59)*(I$3:I$69="P"))+SUMPRODUCT((N$3:N$69&lt;&gt;"")*(G$3:G$69=G59)*(I$3:I$69="P"))+SUMPRODUCT((P$3:P$69="")*(O$3:O$69="")*(N$3:N$69="")*(M$3:M$69="P")*(G$3:G$69=G59)*(J$3:J$69&gt;J59)*(I$3:I$69="P"))+IF(H59="L5",SUMPRODUCT((P$3:P$69="")*(O$3:O$69="")*(N$3:N$69="")*(M$3:M$69="P")*(G$3:G$69=G59)*(J$3:J$69&lt;J59)*(H$3:H$69&lt;&gt;H59)*(I$3:I$69="P")),-1*SUMPRODUCT((P$3:P$69="")*(O$3:O$69="")*(N$3:N$69="")*(M$3:M$69="P")*(G$3:G$69=G59)*(J$3:J$69&gt;J59)*(H$3:H$69="L5")*(I$3:I$69="P")))+1,"")))))</f>
        <v/>
      </c>
      <c r="B59" s="1" t="str" cm="1">
        <f t="array" ref="B59">IF(P59&lt;&gt;"",SUMPRODUCT((P$3:P$69&lt;&gt;"")*(G$3:G$69=G59)*(J$3:J$69&gt;J59))+1,IF(O59&lt;&gt;"",SUMPRODUCT((O$3:O$69&lt;&gt;"")*(P$3:P$69="")*(G$3:G$69=G59)*(J$3:J$69&gt;J59))+SUMPRODUCT((P$3:P$69&lt;&gt;"")*(G$3:G$69=G59))+1,IF(N59&lt;&gt;"",SUMPRODUCT((N$3:N$69&lt;&gt;"")*(G$3:G$69=G59)*(J$3:J$69&gt;J59))+1,IF(M59="P",SUMPRODUCT((O$3:O$69&lt;&gt;"")*(P$3:P$69="")*(G$3:G$69=G59))+SUMPRODUCT((P$3:P$69&lt;&gt;"")*(G$3:G$69=G59))+SUMPRODUCT((N$3:N$69&lt;&gt;"")*(G$3:G$69=G59))+SUMPRODUCT((P$3:P$69="")*(O$3:O$69="")*(N$3:N$69="")*(M$3:M$69="P")*(G$3:G$69=G59)*(J$3:J$69&gt;J59))+IF(H59="L5",SUMPRODUCT((P$3:P$69="")*(O$3:O$69="")*(N$3:N$69="")*(M$3:M$69="P")*(G$3:G$69=G59)*(J$3:J$69&lt;J59)*(H$3:H$69&lt;&gt;H59)),-1*SUMPRODUCT((P$3:P$69="")*(O$3:O$69="")*(N$3:N$69="")*(M$3:M$69="P")*(G$3:G$69=G59)*(J$3:J$69&gt;J59)*(H$3:H$69="L5")))+1,""))))</f>
        <v/>
      </c>
      <c r="C59" s="36" t="s">
        <v>240</v>
      </c>
      <c r="D59" s="36" t="s">
        <v>194</v>
      </c>
      <c r="E59" s="36" t="s">
        <v>291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66</v>
      </c>
      <c r="I59" s="43"/>
      <c r="J59" s="4">
        <f>R59+S59+IF(OR(H59="Junior",H59="Senior"),0.0002,IF(OR(H59="L7",H59="L6"),0.0001,0))+MAX(X59,Z59)*0.0000001</f>
        <v>40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MAX(T59,X59)</f>
        <v>40</v>
      </c>
      <c r="S59" s="4">
        <f>IF(R59=T59,MAX(V59,X59,Z59),IF(R59=X59,MAX(T59,V59,Z59),0))</f>
        <v>0</v>
      </c>
      <c r="T59" s="33">
        <v>40</v>
      </c>
      <c r="U59" s="40">
        <v>3.9000000000000004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$69&lt;&gt;"")*(G$3:G$69=G60)*(J$3:J$69&gt;J60)*(I$3:I$69="P"))+1,IF(O60&lt;&gt;"",SUMPRODUCT((O$3:O$69&lt;&gt;"")*(P$3:P$69="")*(G$3:G$69=G60)*(J$3:J$69&gt;J60)*(I$3:I$69="P"))+SUMPRODUCT((P$3:P$69&lt;&gt;"")*(G$3:G$69=G60)*(I$3:I$69="P"))+1,IF(N60&lt;&gt;"",SUMPRODUCT((N$3:N$69&lt;&gt;"")*(G$3:G$69=G60)*(J$3:J$69&gt;J60)*(I$3:I$69="P"))+1,IF(M60="P",SUMPRODUCT((O$3:O$69&lt;&gt;"")*(P$3:P$69="")*(G$3:G$69=G60)*(I$3:I$69="P"))+SUMPRODUCT((P$3:P$69&lt;&gt;"")*(G$3:G$69=G60)*(I$3:I$69="P"))+SUMPRODUCT((N$3:N$69&lt;&gt;"")*(G$3:G$69=G60)*(I$3:I$69="P"))+SUMPRODUCT((P$3:P$69="")*(O$3:O$69="")*(N$3:N$69="")*(M$3:M$69="P")*(G$3:G$69=G60)*(J$3:J$69&gt;J60)*(I$3:I$69="P"))+IF(H60="L5",SUMPRODUCT((P$3:P$69="")*(O$3:O$69="")*(N$3:N$69="")*(M$3:M$69="P")*(G$3:G$69=G60)*(J$3:J$69&lt;J60)*(H$3:H$69&lt;&gt;H60)*(I$3:I$69="P")),-1*SUMPRODUCT((P$3:P$69="")*(O$3:O$69="")*(N$3:N$69="")*(M$3:M$69="P")*(G$3:G$69=G60)*(J$3:J$69&gt;J60)*(H$3:H$69="L5")*(I$3:I$69="P")))+1,"")))))</f>
        <v/>
      </c>
      <c r="B60" s="1" t="str" cm="1">
        <f t="array" ref="B60">IF(P60&lt;&gt;"",SUMPRODUCT((P$3:P$69&lt;&gt;"")*(G$3:G$69=G60)*(J$3:J$69&gt;J60))+1,IF(O60&lt;&gt;"",SUMPRODUCT((O$3:O$69&lt;&gt;"")*(P$3:P$69="")*(G$3:G$69=G60)*(J$3:J$69&gt;J60))+SUMPRODUCT((P$3:P$69&lt;&gt;"")*(G$3:G$69=G60))+1,IF(N60&lt;&gt;"",SUMPRODUCT((N$3:N$69&lt;&gt;"")*(G$3:G$69=G60)*(J$3:J$69&gt;J60))+1,IF(M60="P",SUMPRODUCT((O$3:O$69&lt;&gt;"")*(P$3:P$69="")*(G$3:G$69=G60))+SUMPRODUCT((P$3:P$69&lt;&gt;"")*(G$3:G$69=G60))+SUMPRODUCT((N$3:N$69&lt;&gt;"")*(G$3:G$69=G60))+SUMPRODUCT((P$3:P$69="")*(O$3:O$69="")*(N$3:N$69="")*(M$3:M$69="P")*(G$3:G$69=G60)*(J$3:J$69&gt;J60))+IF(H60="L5",SUMPRODUCT((P$3:P$69="")*(O$3:O$69="")*(N$3:N$69="")*(M$3:M$69="P")*(G$3:G$69=G60)*(J$3:J$69&lt;J60)*(H$3:H$69&lt;&gt;H60)),-1*SUMPRODUCT((P$3:P$69="")*(O$3:O$69="")*(N$3:N$69="")*(M$3:M$69="P")*(G$3:G$69=G60)*(J$3:J$69&gt;J60)*(H$3:H$69="L5")))+1,""))))</f>
        <v/>
      </c>
      <c r="C60" s="36" t="s">
        <v>360</v>
      </c>
      <c r="D60" s="36" t="s">
        <v>194</v>
      </c>
      <c r="E60" s="36" t="s">
        <v>60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66</v>
      </c>
      <c r="I60" s="43"/>
      <c r="J60" s="4">
        <f>R60+S60+IF(OR(H60="Junior",H60="Senior"),0.0002,IF(OR(H60="L7",H60="L6"),0.0001,0))+MAX(X60,Z60)*0.0000001</f>
        <v>39.9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MAX(T60,X60)</f>
        <v>39.9</v>
      </c>
      <c r="S60" s="4">
        <f>IF(R60=T60,MAX(V60,X60,Z60),IF(R60=X60,MAX(T60,V60,Z60),0))</f>
        <v>0</v>
      </c>
      <c r="T60" s="33">
        <v>39.9</v>
      </c>
      <c r="U60" s="40">
        <v>3.9000000000000004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$69&lt;&gt;"")*(G$3:G$69=G61)*(J$3:J$69&gt;J61)*(I$3:I$69="P"))+1,IF(O61&lt;&gt;"",SUMPRODUCT((O$3:O$69&lt;&gt;"")*(P$3:P$69="")*(G$3:G$69=G61)*(J$3:J$69&gt;J61)*(I$3:I$69="P"))+SUMPRODUCT((P$3:P$69&lt;&gt;"")*(G$3:G$69=G61)*(I$3:I$69="P"))+1,IF(N61&lt;&gt;"",SUMPRODUCT((N$3:N$69&lt;&gt;"")*(G$3:G$69=G61)*(J$3:J$69&gt;J61)*(I$3:I$69="P"))+1,IF(M61="P",SUMPRODUCT((O$3:O$69&lt;&gt;"")*(P$3:P$69="")*(G$3:G$69=G61)*(I$3:I$69="P"))+SUMPRODUCT((P$3:P$69&lt;&gt;"")*(G$3:G$69=G61)*(I$3:I$69="P"))+SUMPRODUCT((N$3:N$69&lt;&gt;"")*(G$3:G$69=G61)*(I$3:I$69="P"))+SUMPRODUCT((P$3:P$69="")*(O$3:O$69="")*(N$3:N$69="")*(M$3:M$69="P")*(G$3:G$69=G61)*(J$3:J$69&gt;J61)*(I$3:I$69="P"))+IF(H61="L5",SUMPRODUCT((P$3:P$69="")*(O$3:O$69="")*(N$3:N$69="")*(M$3:M$69="P")*(G$3:G$69=G61)*(J$3:J$69&lt;J61)*(H$3:H$69&lt;&gt;H61)*(I$3:I$69="P")),-1*SUMPRODUCT((P$3:P$69="")*(O$3:O$69="")*(N$3:N$69="")*(M$3:M$69="P")*(G$3:G$69=G61)*(J$3:J$69&gt;J61)*(H$3:H$69="L5")*(I$3:I$69="P")))+1,"")))))</f>
        <v/>
      </c>
      <c r="B61" s="1" t="str" cm="1">
        <f t="array" ref="B61">IF(P61&lt;&gt;"",SUMPRODUCT((P$3:P$69&lt;&gt;"")*(G$3:G$69=G61)*(J$3:J$69&gt;J61))+1,IF(O61&lt;&gt;"",SUMPRODUCT((O$3:O$69&lt;&gt;"")*(P$3:P$69="")*(G$3:G$69=G61)*(J$3:J$69&gt;J61))+SUMPRODUCT((P$3:P$69&lt;&gt;"")*(G$3:G$69=G61))+1,IF(N61&lt;&gt;"",SUMPRODUCT((N$3:N$69&lt;&gt;"")*(G$3:G$69=G61)*(J$3:J$69&gt;J61))+1,IF(M61="P",SUMPRODUCT((O$3:O$69&lt;&gt;"")*(P$3:P$69="")*(G$3:G$69=G61))+SUMPRODUCT((P$3:P$69&lt;&gt;"")*(G$3:G$69=G61))+SUMPRODUCT((N$3:N$69&lt;&gt;"")*(G$3:G$69=G61))+SUMPRODUCT((P$3:P$69="")*(O$3:O$69="")*(N$3:N$69="")*(M$3:M$69="P")*(G$3:G$69=G61)*(J$3:J$69&gt;J61))+IF(H61="L5",SUMPRODUCT((P$3:P$69="")*(O$3:O$69="")*(N$3:N$69="")*(M$3:M$69="P")*(G$3:G$69=G61)*(J$3:J$69&lt;J61)*(H$3:H$69&lt;&gt;H61)),-1*SUMPRODUCT((P$3:P$69="")*(O$3:O$69="")*(N$3:N$69="")*(M$3:M$69="P")*(G$3:G$69=G61)*(J$3:J$69&gt;J61)*(H$3:H$69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66</v>
      </c>
      <c r="I61" s="43"/>
      <c r="J61" s="4">
        <f>R61+S61+IF(OR(H61="Junior",H61="Senior"),0.0002,IF(OR(H61="L7",H61="L6"),0.0001,0))+MAX(X61,Z61)*0.0000001</f>
        <v>38.9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MAX(T61,X61)</f>
        <v>38.9</v>
      </c>
      <c r="S61" s="4">
        <f>IF(R61=T61,MAX(V61,X61,Z61),IF(R61=X61,MAX(T61,V61,Z61),0))</f>
        <v>0</v>
      </c>
      <c r="T61" s="33">
        <v>38.9</v>
      </c>
      <c r="U61" s="40">
        <v>3.4000000000000004</v>
      </c>
      <c r="V61" s="34"/>
      <c r="W61" s="40"/>
      <c r="X61" s="33"/>
      <c r="Y61" s="40"/>
      <c r="Z61" s="34"/>
      <c r="AA61" s="37"/>
    </row>
    <row r="62" spans="1:27" x14ac:dyDescent="0.2">
      <c r="A62" s="1" t="str" cm="1">
        <f t="array" ref="A62">IF(I62="","",IF(P62&lt;&gt;"",SUMPRODUCT((P$3:P$69&lt;&gt;"")*(G$3:G$69=G62)*(J$3:J$69&gt;J62)*(I$3:I$69="P"))+1,IF(O62&lt;&gt;"",SUMPRODUCT((O$3:O$69&lt;&gt;"")*(P$3:P$69="")*(G$3:G$69=G62)*(J$3:J$69&gt;J62)*(I$3:I$69="P"))+SUMPRODUCT((P$3:P$69&lt;&gt;"")*(G$3:G$69=G62)*(I$3:I$69="P"))+1,IF(N62&lt;&gt;"",SUMPRODUCT((N$3:N$69&lt;&gt;"")*(G$3:G$69=G62)*(J$3:J$69&gt;J62)*(I$3:I$69="P"))+1,IF(M62="P",SUMPRODUCT((O$3:O$69&lt;&gt;"")*(P$3:P$69="")*(G$3:G$69=G62)*(I$3:I$69="P"))+SUMPRODUCT((P$3:P$69&lt;&gt;"")*(G$3:G$69=G62)*(I$3:I$69="P"))+SUMPRODUCT((N$3:N$69&lt;&gt;"")*(G$3:G$69=G62)*(I$3:I$69="P"))+SUMPRODUCT((P$3:P$69="")*(O$3:O$69="")*(N$3:N$69="")*(M$3:M$69="P")*(G$3:G$69=G62)*(J$3:J$69&gt;J62)*(I$3:I$69="P"))+IF(H62="L5",SUMPRODUCT((P$3:P$69="")*(O$3:O$69="")*(N$3:N$69="")*(M$3:M$69="P")*(G$3:G$69=G62)*(J$3:J$69&lt;J62)*(H$3:H$69&lt;&gt;H62)*(I$3:I$69="P")),-1*SUMPRODUCT((P$3:P$69="")*(O$3:O$69="")*(N$3:N$69="")*(M$3:M$69="P")*(G$3:G$69=G62)*(J$3:J$69&gt;J62)*(H$3:H$69="L5")*(I$3:I$69="P")))+1,"")))))</f>
        <v/>
      </c>
      <c r="B62" s="1" cm="1">
        <f t="array" ref="B62">IF(P62&lt;&gt;"",SUMPRODUCT((P$3:P$69&lt;&gt;"")*(G$3:G$69=G62)*(J$3:J$69&gt;J62))+1,IF(O62&lt;&gt;"",SUMPRODUCT((O$3:O$69&lt;&gt;"")*(P$3:P$69="")*(G$3:G$69=G62)*(J$3:J$69&gt;J62))+SUMPRODUCT((P$3:P$69&lt;&gt;"")*(G$3:G$69=G62))+1,IF(N62&lt;&gt;"",SUMPRODUCT((N$3:N$69&lt;&gt;"")*(G$3:G$69=G62)*(J$3:J$69&gt;J62))+1,IF(M62="P",SUMPRODUCT((O$3:O$69&lt;&gt;"")*(P$3:P$69="")*(G$3:G$69=G62))+SUMPRODUCT((P$3:P$69&lt;&gt;"")*(G$3:G$69=G62))+SUMPRODUCT((N$3:N$69&lt;&gt;"")*(G$3:G$69=G62))+SUMPRODUCT((P$3:P$69="")*(O$3:O$69="")*(N$3:N$69="")*(M$3:M$69="P")*(G$3:G$69=G62)*(J$3:J$69&gt;J62))+IF(H62="L5",SUMPRODUCT((P$3:P$69="")*(O$3:O$69="")*(N$3:N$69="")*(M$3:M$69="P")*(G$3:G$69=G62)*(J$3:J$69&lt;J62)*(H$3:H$69&lt;&gt;H62)),-1*SUMPRODUCT((P$3:P$69="")*(O$3:O$69="")*(N$3:N$69="")*(M$3:M$69="P")*(G$3:G$69=G62)*(J$3:J$69&gt;J62)*(H$3:H$69="L5")))+1,""))))</f>
        <v>1</v>
      </c>
      <c r="C62" s="36" t="s">
        <v>148</v>
      </c>
      <c r="D62" s="36" t="str">
        <f>IF(E62="","",VLOOKUP(E62,'Coaching Points'!A:B,2,0))</f>
        <v>BC</v>
      </c>
      <c r="E62" s="36" t="s">
        <v>41</v>
      </c>
      <c r="F62" s="35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13-14</v>
      </c>
      <c r="H62" s="39" t="s">
        <v>65</v>
      </c>
      <c r="I62" s="43"/>
      <c r="J62" s="4">
        <f>R62+S62+IF(OR(H62="Junior",H62="Senior"),0.0002,IF(OR(H62="L7",H62="L6"),0.0001,0))+MAX(X62,Z62)*0.0000001</f>
        <v>48.900199999999998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1</v>
      </c>
      <c r="Q62" s="1" t="str">
        <f>IF(A62&lt;5,IF(_xlfn.MAXIFS(A:A,G:G,G62)&gt;3,5-A62,_xlfn.MAXIFS(A:A,G:G,G62)+1-A62),"")</f>
        <v/>
      </c>
      <c r="R62" s="4">
        <f>MAX(T62,X62)</f>
        <v>48.9</v>
      </c>
      <c r="S62" s="4">
        <f>IF(R62=T62,MAX(V62,X62,Z62),IF(R62=X62,MAX(T62,V62,Z62),0))</f>
        <v>0</v>
      </c>
      <c r="T62" s="33">
        <v>48.9</v>
      </c>
      <c r="U62" s="40">
        <v>11.6</v>
      </c>
      <c r="V62" s="34"/>
      <c r="W62" s="40"/>
      <c r="X62" s="33"/>
      <c r="Y62" s="40"/>
      <c r="Z62" s="34"/>
      <c r="AA62" s="37"/>
    </row>
    <row r="63" spans="1:27" x14ac:dyDescent="0.2">
      <c r="A63" s="1" t="str" cm="1">
        <f t="array" ref="A63">IF(I63="","",IF(P63&lt;&gt;"",SUMPRODUCT((P$3:P$69&lt;&gt;"")*(G$3:G$69=G63)*(J$3:J$69&gt;J63)*(I$3:I$69="P"))+1,IF(O63&lt;&gt;"",SUMPRODUCT((O$3:O$69&lt;&gt;"")*(P$3:P$69="")*(G$3:G$69=G63)*(J$3:J$69&gt;J63)*(I$3:I$69="P"))+SUMPRODUCT((P$3:P$69&lt;&gt;"")*(G$3:G$69=G63)*(I$3:I$69="P"))+1,IF(N63&lt;&gt;"",SUMPRODUCT((N$3:N$69&lt;&gt;"")*(G$3:G$69=G63)*(J$3:J$69&gt;J63)*(I$3:I$69="P"))+1,IF(M63="P",SUMPRODUCT((O$3:O$69&lt;&gt;"")*(P$3:P$69="")*(G$3:G$69=G63)*(I$3:I$69="P"))+SUMPRODUCT((P$3:P$69&lt;&gt;"")*(G$3:G$69=G63)*(I$3:I$69="P"))+SUMPRODUCT((N$3:N$69&lt;&gt;"")*(G$3:G$69=G63)*(I$3:I$69="P"))+SUMPRODUCT((P$3:P$69="")*(O$3:O$69="")*(N$3:N$69="")*(M$3:M$69="P")*(G$3:G$69=G63)*(J$3:J$69&gt;J63)*(I$3:I$69="P"))+IF(H63="L5",SUMPRODUCT((P$3:P$69="")*(O$3:O$69="")*(N$3:N$69="")*(M$3:M$69="P")*(G$3:G$69=G63)*(J$3:J$69&lt;J63)*(H$3:H$69&lt;&gt;H63)*(I$3:I$69="P")),-1*SUMPRODUCT((P$3:P$69="")*(O$3:O$69="")*(N$3:N$69="")*(M$3:M$69="P")*(G$3:G$69=G63)*(J$3:J$69&gt;J63)*(H$3:H$69="L5")*(I$3:I$69="P")))+1,"")))))</f>
        <v/>
      </c>
      <c r="B63" s="1" cm="1">
        <f t="array" ref="B63">IF(P63&lt;&gt;"",SUMPRODUCT((P$3:P$69&lt;&gt;"")*(G$3:G$69=G63)*(J$3:J$69&gt;J63))+1,IF(O63&lt;&gt;"",SUMPRODUCT((O$3:O$69&lt;&gt;"")*(P$3:P$69="")*(G$3:G$69=G63)*(J$3:J$69&gt;J63))+SUMPRODUCT((P$3:P$69&lt;&gt;"")*(G$3:G$69=G63))+1,IF(N63&lt;&gt;"",SUMPRODUCT((N$3:N$69&lt;&gt;"")*(G$3:G$69=G63)*(J$3:J$69&gt;J63))+1,IF(M63="P",SUMPRODUCT((O$3:O$69&lt;&gt;"")*(P$3:P$69="")*(G$3:G$69=G63))+SUMPRODUCT((P$3:P$69&lt;&gt;"")*(G$3:G$69=G63))+SUMPRODUCT((N$3:N$69&lt;&gt;"")*(G$3:G$69=G63))+SUMPRODUCT((P$3:P$69="")*(O$3:O$69="")*(N$3:N$69="")*(M$3:M$69="P")*(G$3:G$69=G63)*(J$3:J$69&gt;J63))+IF(H63="L5",SUMPRODUCT((P$3:P$69="")*(O$3:O$69="")*(N$3:N$69="")*(M$3:M$69="P")*(G$3:G$69=G63)*(J$3:J$69&lt;J63)*(H$3:H$69&lt;&gt;H63)),-1*SUMPRODUCT((P$3:P$69="")*(O$3:O$69="")*(N$3:N$69="")*(M$3:M$69="P")*(G$3:G$69=G63)*(J$3:J$69&gt;J63)*(H$3:H$69="L5")))+1,""))))</f>
        <v>2</v>
      </c>
      <c r="C63" s="36" t="s">
        <v>118</v>
      </c>
      <c r="D63" s="36" t="str">
        <f>IF(E63="","",VLOOKUP(E63,'Coaching Points'!A:B,2,0))</f>
        <v>BC</v>
      </c>
      <c r="E63" s="36" t="s">
        <v>41</v>
      </c>
      <c r="F63" s="35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13-14</v>
      </c>
      <c r="H63" s="39" t="s">
        <v>67</v>
      </c>
      <c r="I63" s="43"/>
      <c r="J63" s="4">
        <f>R63+S63+IF(OR(H63="Junior",H63="Senior"),0.0002,IF(OR(H63="L7",H63="L6"),0.0001,0))+MAX(X63,Z63)*0.0000001</f>
        <v>90.700099999999992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>IF(A63&lt;5,IF(_xlfn.MAXIFS(A:A,G:G,G63)&gt;3,5-A63,_xlfn.MAXIFS(A:A,G:G,G63)+1-A63),"")</f>
        <v/>
      </c>
      <c r="R63" s="4">
        <f>MAX(T63,X63)</f>
        <v>45.4</v>
      </c>
      <c r="S63" s="4">
        <f>IF(R63=T63,MAX(V63,X63,Z63),IF(R63=X63,MAX(T63,V63,Z63),0))</f>
        <v>45.3</v>
      </c>
      <c r="T63" s="33">
        <v>45.4</v>
      </c>
      <c r="U63" s="40">
        <v>8.3000000000000007</v>
      </c>
      <c r="V63" s="34">
        <v>45.3</v>
      </c>
      <c r="W63" s="40">
        <v>8.1999999999999993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$69&lt;&gt;"")*(G$3:G$69=G64)*(J$3:J$69&gt;J64)*(I$3:I$69="P"))+1,IF(O64&lt;&gt;"",SUMPRODUCT((O$3:O$69&lt;&gt;"")*(P$3:P$69="")*(G$3:G$69=G64)*(J$3:J$69&gt;J64)*(I$3:I$69="P"))+SUMPRODUCT((P$3:P$69&lt;&gt;"")*(G$3:G$69=G64)*(I$3:I$69="P"))+1,IF(N64&lt;&gt;"",SUMPRODUCT((N$3:N$69&lt;&gt;"")*(G$3:G$69=G64)*(J$3:J$69&gt;J64)*(I$3:I$69="P"))+1,IF(M64="P",SUMPRODUCT((O$3:O$69&lt;&gt;"")*(P$3:P$69="")*(G$3:G$69=G64)*(I$3:I$69="P"))+SUMPRODUCT((P$3:P$69&lt;&gt;"")*(G$3:G$69=G64)*(I$3:I$69="P"))+SUMPRODUCT((N$3:N$69&lt;&gt;"")*(G$3:G$69=G64)*(I$3:I$69="P"))+SUMPRODUCT((P$3:P$69="")*(O$3:O$69="")*(N$3:N$69="")*(M$3:M$69="P")*(G$3:G$69=G64)*(J$3:J$69&gt;J64)*(I$3:I$69="P"))+IF(H64="L5",SUMPRODUCT((P$3:P$69="")*(O$3:O$69="")*(N$3:N$69="")*(M$3:M$69="P")*(G$3:G$69=G64)*(J$3:J$69&lt;J64)*(H$3:H$69&lt;&gt;H64)*(I$3:I$69="P")),-1*SUMPRODUCT((P$3:P$69="")*(O$3:O$69="")*(N$3:N$69="")*(M$3:M$69="P")*(G$3:G$69=G64)*(J$3:J$69&gt;J64)*(H$3:H$69="L5")*(I$3:I$69="P")))+1,"")))))</f>
        <v/>
      </c>
      <c r="B64" s="1" cm="1">
        <f t="array" ref="B64">IF(P64&lt;&gt;"",SUMPRODUCT((P$3:P$69&lt;&gt;"")*(G$3:G$69=G64)*(J$3:J$69&gt;J64))+1,IF(O64&lt;&gt;"",SUMPRODUCT((O$3:O$69&lt;&gt;"")*(P$3:P$69="")*(G$3:G$69=G64)*(J$3:J$69&gt;J64))+SUMPRODUCT((P$3:P$69&lt;&gt;"")*(G$3:G$69=G64))+1,IF(N64&lt;&gt;"",SUMPRODUCT((N$3:N$69&lt;&gt;"")*(G$3:G$69=G64)*(J$3:J$69&gt;J64))+1,IF(M64="P",SUMPRODUCT((O$3:O$69&lt;&gt;"")*(P$3:P$69="")*(G$3:G$69=G64))+SUMPRODUCT((P$3:P$69&lt;&gt;"")*(G$3:G$69=G64))+SUMPRODUCT((N$3:N$69&lt;&gt;"")*(G$3:G$69=G64))+SUMPRODUCT((P$3:P$69="")*(O$3:O$69="")*(N$3:N$69="")*(M$3:M$69="P")*(G$3:G$69=G64)*(J$3:J$69&gt;J64))+IF(H64="L5",SUMPRODUCT((P$3:P$69="")*(O$3:O$69="")*(N$3:N$69="")*(M$3:M$69="P")*(G$3:G$69=G64)*(J$3:J$69&lt;J64)*(H$3:H$69&lt;&gt;H64)),-1*SUMPRODUCT((P$3:P$69="")*(O$3:O$69="")*(N$3:N$69="")*(M$3:M$69="P")*(G$3:G$69=G64)*(J$3:J$69&gt;J64)*(H$3:H$69="L5")))+1,""))))</f>
        <v>3</v>
      </c>
      <c r="C64" s="36" t="s">
        <v>237</v>
      </c>
      <c r="D64" s="36" t="str">
        <f>IF(E64="","",VLOOKUP(E64,'Coaching Points'!A:B,2,0))</f>
        <v>BC</v>
      </c>
      <c r="E64" s="36" t="s">
        <v>41</v>
      </c>
      <c r="F64" s="35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13-14</v>
      </c>
      <c r="H64" s="39" t="s">
        <v>67</v>
      </c>
      <c r="I64" s="43"/>
      <c r="J64" s="4">
        <f>R64+S64+IF(OR(H64="Junior",H64="Senior"),0.0002,IF(OR(H64="L7",H64="L6"),0.0001,0))+MAX(X64,Z64)*0.0000001</f>
        <v>64.700099999999992</v>
      </c>
      <c r="K64" s="3" t="str">
        <f>IF(G64="Not Age Eligible","",IF(MAX(T64,V64,X64,Z64)&gt;=LOOKUP(G64,'Qualifying Scores'!$A$4:$A$7,'Qualifying Scores'!$G$4:$G$7),"P",""))</f>
        <v>P</v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>P</v>
      </c>
      <c r="Q64" s="1" t="str">
        <f>IF(A64&lt;5,IF(_xlfn.MAXIFS(A:A,G:G,G64)&gt;3,5-A64,_xlfn.MAXIFS(A:A,G:G,G64)+1-A64),"")</f>
        <v/>
      </c>
      <c r="R64" s="4">
        <f>MAX(T64,X64)</f>
        <v>43.8</v>
      </c>
      <c r="S64" s="4">
        <f>IF(R64=T64,MAX(V64,X64,Z64),IF(R64=X64,MAX(T64,V64,Z64),0))</f>
        <v>20.9</v>
      </c>
      <c r="T64" s="33">
        <v>43.8</v>
      </c>
      <c r="U64" s="40">
        <v>6.9</v>
      </c>
      <c r="V64" s="34">
        <v>20.9</v>
      </c>
      <c r="W64" s="40">
        <v>2.7</v>
      </c>
      <c r="X64" s="33"/>
      <c r="Y64" s="40"/>
      <c r="Z64" s="34"/>
      <c r="AA64" s="37"/>
    </row>
    <row r="65" spans="1:27" x14ac:dyDescent="0.2">
      <c r="A65" s="1" t="str" cm="1">
        <f t="array" ref="A65">IF(I65="","",IF(P65&lt;&gt;"",SUMPRODUCT((P$3:P$69&lt;&gt;"")*(G$3:G$69=G65)*(J$3:J$69&gt;J65)*(I$3:I$69="P"))+1,IF(O65&lt;&gt;"",SUMPRODUCT((O$3:O$69&lt;&gt;"")*(P$3:P$69="")*(G$3:G$69=G65)*(J$3:J$69&gt;J65)*(I$3:I$69="P"))+SUMPRODUCT((P$3:P$69&lt;&gt;"")*(G$3:G$69=G65)*(I$3:I$69="P"))+1,IF(N65&lt;&gt;"",SUMPRODUCT((N$3:N$69&lt;&gt;"")*(G$3:G$69=G65)*(J$3:J$69&gt;J65)*(I$3:I$69="P"))+1,IF(M65="P",SUMPRODUCT((O$3:O$69&lt;&gt;"")*(P$3:P$69="")*(G$3:G$69=G65)*(I$3:I$69="P"))+SUMPRODUCT((P$3:P$69&lt;&gt;"")*(G$3:G$69=G65)*(I$3:I$69="P"))+SUMPRODUCT((N$3:N$69&lt;&gt;"")*(G$3:G$69=G65)*(I$3:I$69="P"))+SUMPRODUCT((P$3:P$69="")*(O$3:O$69="")*(N$3:N$69="")*(M$3:M$69="P")*(G$3:G$69=G65)*(J$3:J$69&gt;J65)*(I$3:I$69="P"))+IF(H65="L5",SUMPRODUCT((P$3:P$69="")*(O$3:O$69="")*(N$3:N$69="")*(M$3:M$69="P")*(G$3:G$69=G65)*(J$3:J$69&lt;J65)*(H$3:H$69&lt;&gt;H65)*(I$3:I$69="P")),-1*SUMPRODUCT((P$3:P$69="")*(O$3:O$69="")*(N$3:N$69="")*(M$3:M$69="P")*(G$3:G$69=G65)*(J$3:J$69&gt;J65)*(H$3:H$69="L5")*(I$3:I$69="P")))+1,"")))))</f>
        <v/>
      </c>
      <c r="B65" s="1" cm="1">
        <f t="array" ref="B65">IF(P65&lt;&gt;"",SUMPRODUCT((P$3:P$69&lt;&gt;"")*(G$3:G$69=G65)*(J$3:J$69&gt;J65))+1,IF(O65&lt;&gt;"",SUMPRODUCT((O$3:O$69&lt;&gt;"")*(P$3:P$69="")*(G$3:G$69=G65)*(J$3:J$69&gt;J65))+SUMPRODUCT((P$3:P$69&lt;&gt;"")*(G$3:G$69=G65))+1,IF(N65&lt;&gt;"",SUMPRODUCT((N$3:N$69&lt;&gt;"")*(G$3:G$69=G65)*(J$3:J$69&gt;J65))+1,IF(M65="P",SUMPRODUCT((O$3:O$69&lt;&gt;"")*(P$3:P$69="")*(G$3:G$69=G65))+SUMPRODUCT((P$3:P$69&lt;&gt;"")*(G$3:G$69=G65))+SUMPRODUCT((N$3:N$69&lt;&gt;"")*(G$3:G$69=G65))+SUMPRODUCT((P$3:P$69="")*(O$3:O$69="")*(N$3:N$69="")*(M$3:M$69="P")*(G$3:G$69=G65)*(J$3:J$69&gt;J65))+IF(H65="L5",SUMPRODUCT((P$3:P$69="")*(O$3:O$69="")*(N$3:N$69="")*(M$3:M$69="P")*(G$3:G$69=G65)*(J$3:J$69&lt;J65)*(H$3:H$69&lt;&gt;H65)),-1*SUMPRODUCT((P$3:P$69="")*(O$3:O$69="")*(N$3:N$69="")*(M$3:M$69="P")*(G$3:G$69=G65)*(J$3:J$69&gt;J65)*(H$3:H$69="L5")))+1,""))))</f>
        <v>4</v>
      </c>
      <c r="C65" s="36" t="s">
        <v>310</v>
      </c>
      <c r="D65" s="36" t="str">
        <f>IF(E65="","",VLOOKUP(E65,'Coaching Points'!A:B,2,0))</f>
        <v>AB</v>
      </c>
      <c r="E65" s="36" t="s">
        <v>29</v>
      </c>
      <c r="F65" s="35">
        <v>2009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13-14</v>
      </c>
      <c r="H65" s="39" t="s">
        <v>66</v>
      </c>
      <c r="I65" s="43"/>
      <c r="J65" s="4">
        <f>R65+S65+IF(OR(H65="Junior",H65="Senior"),0.0002,IF(OR(H65="L7",H65="L6"),0.0001,0))+MAX(X65,Z65)*0.0000001</f>
        <v>85</v>
      </c>
      <c r="K65" s="3" t="str">
        <f>IF(G65="Not Age Eligible","",IF(MAX(T65,V65,X65,Z65)&gt;=LOOKUP(G65,'Qualifying Scores'!$A$4:$A$7,'Qualifying Scores'!$G$4:$G$7),"P",""))</f>
        <v>P</v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>P</v>
      </c>
      <c r="Q65" s="1" t="str">
        <f>IF(A65&lt;5,IF(_xlfn.MAXIFS(A:A,G:G,G65)&gt;3,5-A65,_xlfn.MAXIFS(A:A,G:G,G65)+1-A65),"")</f>
        <v/>
      </c>
      <c r="R65" s="4">
        <f>MAX(T65,X65)</f>
        <v>43.7</v>
      </c>
      <c r="S65" s="4">
        <f>IF(R65=T65,MAX(V65,X65,Z65),IF(R65=X65,MAX(T65,V65,Z65),0))</f>
        <v>41.3</v>
      </c>
      <c r="T65" s="33">
        <v>43.7</v>
      </c>
      <c r="U65" s="40">
        <v>6.3000000000000007</v>
      </c>
      <c r="V65" s="34">
        <v>41.3</v>
      </c>
      <c r="W65" s="40">
        <v>4.3000000000000007</v>
      </c>
      <c r="X65" s="33"/>
      <c r="Y65" s="40"/>
      <c r="Z65" s="34"/>
      <c r="AA65" s="37"/>
    </row>
    <row r="66" spans="1:27" x14ac:dyDescent="0.2">
      <c r="A66" s="1" t="str" cm="1">
        <f t="array" ref="A66">IF(I66="","",IF(P66&lt;&gt;"",SUMPRODUCT((P$3:P$69&lt;&gt;"")*(G$3:G$69=G66)*(J$3:J$69&gt;J66)*(I$3:I$69="P"))+1,IF(O66&lt;&gt;"",SUMPRODUCT((O$3:O$69&lt;&gt;"")*(P$3:P$69="")*(G$3:G$69=G66)*(J$3:J$69&gt;J66)*(I$3:I$69="P"))+SUMPRODUCT((P$3:P$69&lt;&gt;"")*(G$3:G$69=G66)*(I$3:I$69="P"))+1,IF(N66&lt;&gt;"",SUMPRODUCT((N$3:N$69&lt;&gt;"")*(G$3:G$69=G66)*(J$3:J$69&gt;J66)*(I$3:I$69="P"))+1,IF(M66="P",SUMPRODUCT((O$3:O$69&lt;&gt;"")*(P$3:P$69="")*(G$3:G$69=G66)*(I$3:I$69="P"))+SUMPRODUCT((P$3:P$69&lt;&gt;"")*(G$3:G$69=G66)*(I$3:I$69="P"))+SUMPRODUCT((N$3:N$69&lt;&gt;"")*(G$3:G$69=G66)*(I$3:I$69="P"))+SUMPRODUCT((P$3:P$69="")*(O$3:O$69="")*(N$3:N$69="")*(M$3:M$69="P")*(G$3:G$69=G66)*(J$3:J$69&gt;J66)*(I$3:I$69="P"))+IF(H66="L5",SUMPRODUCT((P$3:P$69="")*(O$3:O$69="")*(N$3:N$69="")*(M$3:M$69="P")*(G$3:G$69=G66)*(J$3:J$69&lt;J66)*(H$3:H$69&lt;&gt;H66)*(I$3:I$69="P")),-1*SUMPRODUCT((P$3:P$69="")*(O$3:O$69="")*(N$3:N$69="")*(M$3:M$69="P")*(G$3:G$69=G66)*(J$3:J$69&gt;J66)*(H$3:H$69="L5")*(I$3:I$69="P")))+1,"")))))</f>
        <v/>
      </c>
      <c r="B66" s="1" t="str" cm="1">
        <f t="array" ref="B66">IF(P66&lt;&gt;"",SUMPRODUCT((P$3:P$69&lt;&gt;"")*(G$3:G$69=G66)*(J$3:J$69&gt;J66))+1,IF(O66&lt;&gt;"",SUMPRODUCT((O$3:O$69&lt;&gt;"")*(P$3:P$69="")*(G$3:G$69=G66)*(J$3:J$69&gt;J66))+SUMPRODUCT((P$3:P$69&lt;&gt;"")*(G$3:G$69=G66))+1,IF(N66&lt;&gt;"",SUMPRODUCT((N$3:N$69&lt;&gt;"")*(G$3:G$69=G66)*(J$3:J$69&gt;J66))+1,IF(M66="P",SUMPRODUCT((O$3:O$69&lt;&gt;"")*(P$3:P$69="")*(G$3:G$69=G66))+SUMPRODUCT((P$3:P$69&lt;&gt;"")*(G$3:G$69=G66))+SUMPRODUCT((N$3:N$69&lt;&gt;"")*(G$3:G$69=G66))+SUMPRODUCT((P$3:P$69="")*(O$3:O$69="")*(N$3:N$69="")*(M$3:M$69="P")*(G$3:G$69=G66)*(J$3:J$69&gt;J66))+IF(H66="L5",SUMPRODUCT((P$3:P$69="")*(O$3:O$69="")*(N$3:N$69="")*(M$3:M$69="P")*(G$3:G$69=G66)*(J$3:J$69&lt;J66)*(H$3:H$69&lt;&gt;H66)),-1*SUMPRODUCT((P$3:P$69="")*(O$3:O$69="")*(N$3:N$69="")*(M$3:M$69="P")*(G$3:G$69=G66)*(J$3:J$69&gt;J66)*(H$3:H$69="L5")))+1,""))))</f>
        <v/>
      </c>
      <c r="C66" s="36" t="s">
        <v>239</v>
      </c>
      <c r="D66" s="36" t="s">
        <v>196</v>
      </c>
      <c r="E66" s="36" t="s">
        <v>96</v>
      </c>
      <c r="F66" s="35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13-14</v>
      </c>
      <c r="H66" s="39" t="s">
        <v>66</v>
      </c>
      <c r="I66" s="43"/>
      <c r="J66" s="4">
        <f>R66+S66+IF(OR(H66="Junior",H66="Senior"),0.0002,IF(OR(H66="L7",H66="L6"),0.0001,0))+MAX(X66,Z66)*0.0000001</f>
        <v>86.5</v>
      </c>
      <c r="K66" s="3" t="str">
        <f>IF(G66="Not Age Eligible","",IF(MAX(T66,V66,X66,Z66)&gt;=LOOKUP(G66,'Qualifying Scores'!$A$4:$A$7,'Qualifying Scores'!$G$4:$G$7),"P",""))</f>
        <v>P</v>
      </c>
      <c r="L66" s="3" t="str">
        <f>IF(G66="Not Age Eligible","",IF(MAX(U66,W66,Y66,AA66)&gt;=LOOKUP(G66,'Qualifying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MAX(T66,X66)</f>
        <v>43.8</v>
      </c>
      <c r="S66" s="4">
        <f>IF(R66=T66,MAX(V66,X66,Z66),IF(R66=X66,MAX(T66,V66,Z66),0))</f>
        <v>42.7</v>
      </c>
      <c r="T66" s="33">
        <v>43.8</v>
      </c>
      <c r="U66" s="40">
        <v>6.1</v>
      </c>
      <c r="V66" s="34">
        <v>42.7</v>
      </c>
      <c r="W66" s="40">
        <v>6.5</v>
      </c>
      <c r="X66" s="33"/>
      <c r="Y66" s="40"/>
      <c r="Z66" s="34"/>
      <c r="AA66" s="37"/>
    </row>
    <row r="67" spans="1:27" x14ac:dyDescent="0.2">
      <c r="A67" s="1" t="str" cm="1">
        <f t="array" ref="A67">IF(I67="","",IF(P67&lt;&gt;"",SUMPRODUCT((P$3:P$69&lt;&gt;"")*(G$3:G$69=G67)*(J$3:J$69&gt;J67)*(I$3:I$69="P"))+1,IF(O67&lt;&gt;"",SUMPRODUCT((O$3:O$69&lt;&gt;"")*(P$3:P$69="")*(G$3:G$69=G67)*(J$3:J$69&gt;J67)*(I$3:I$69="P"))+SUMPRODUCT((P$3:P$69&lt;&gt;"")*(G$3:G$69=G67)*(I$3:I$69="P"))+1,IF(N67&lt;&gt;"",SUMPRODUCT((N$3:N$69&lt;&gt;"")*(G$3:G$69=G67)*(J$3:J$69&gt;J67)*(I$3:I$69="P"))+1,IF(M67="P",SUMPRODUCT((O$3:O$69&lt;&gt;"")*(P$3:P$69="")*(G$3:G$69=G67)*(I$3:I$69="P"))+SUMPRODUCT((P$3:P$69&lt;&gt;"")*(G$3:G$69=G67)*(I$3:I$69="P"))+SUMPRODUCT((N$3:N$69&lt;&gt;"")*(G$3:G$69=G67)*(I$3:I$69="P"))+SUMPRODUCT((P$3:P$69="")*(O$3:O$69="")*(N$3:N$69="")*(M$3:M$69="P")*(G$3:G$69=G67)*(J$3:J$69&gt;J67)*(I$3:I$69="P"))+IF(H67="L5",SUMPRODUCT((P$3:P$69="")*(O$3:O$69="")*(N$3:N$69="")*(M$3:M$69="P")*(G$3:G$69=G67)*(J$3:J$69&lt;J67)*(H$3:H$69&lt;&gt;H67)*(I$3:I$69="P")),-1*SUMPRODUCT((P$3:P$69="")*(O$3:O$69="")*(N$3:N$69="")*(M$3:M$69="P")*(G$3:G$69=G67)*(J$3:J$69&gt;J67)*(H$3:H$69="L5")*(I$3:I$69="P")))+1,"")))))</f>
        <v/>
      </c>
      <c r="B67" s="1" t="str" cm="1">
        <f t="array" ref="B67">IF(P67&lt;&gt;"",SUMPRODUCT((P$3:P$69&lt;&gt;"")*(G$3:G$69=G67)*(J$3:J$69&gt;J67))+1,IF(O67&lt;&gt;"",SUMPRODUCT((O$3:O$69&lt;&gt;"")*(P$3:P$69="")*(G$3:G$69=G67)*(J$3:J$69&gt;J67))+SUMPRODUCT((P$3:P$69&lt;&gt;"")*(G$3:G$69=G67))+1,IF(N67&lt;&gt;"",SUMPRODUCT((N$3:N$69&lt;&gt;"")*(G$3:G$69=G67)*(J$3:J$69&gt;J67))+1,IF(M67="P",SUMPRODUCT((O$3:O$69&lt;&gt;"")*(P$3:P$69="")*(G$3:G$69=G67))+SUMPRODUCT((P$3:P$69&lt;&gt;"")*(G$3:G$69=G67))+SUMPRODUCT((N$3:N$69&lt;&gt;"")*(G$3:G$69=G67))+SUMPRODUCT((P$3:P$69="")*(O$3:O$69="")*(N$3:N$69="")*(M$3:M$69="P")*(G$3:G$69=G67)*(J$3:J$69&gt;J67))+IF(H67="L5",SUMPRODUCT((P$3:P$69="")*(O$3:O$69="")*(N$3:N$69="")*(M$3:M$69="P")*(G$3:G$69=G67)*(J$3:J$69&lt;J67)*(H$3:H$69&lt;&gt;H67)),-1*SUMPRODUCT((P$3:P$69="")*(O$3:O$69="")*(N$3:N$69="")*(M$3:M$69="P")*(G$3:G$69=G67)*(J$3:J$69&gt;J67)*(H$3:H$69="L5")))+1,""))))</f>
        <v/>
      </c>
      <c r="C67" s="36" t="s">
        <v>361</v>
      </c>
      <c r="D67" s="36" t="str">
        <f>IF(E67="","",VLOOKUP(E67,'Coaching Points'!A:B,2,0))</f>
        <v>AB</v>
      </c>
      <c r="E67" s="36" t="s">
        <v>29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13-14</v>
      </c>
      <c r="H67" s="39" t="s">
        <v>66</v>
      </c>
      <c r="I67" s="43"/>
      <c r="J67" s="4">
        <f>R67+S67+IF(OR(H67="Junior",H67="Senior"),0.0002,IF(OR(H67="L7",H67="L6"),0.0001,0))+MAX(X67,Z67)*0.0000001</f>
        <v>84.6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>P</v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MAX(T67,X67)</f>
        <v>43.2</v>
      </c>
      <c r="S67" s="4">
        <f>IF(R67=T67,MAX(V67,X67,Z67),IF(R67=X67,MAX(T67,V67,Z67),0))</f>
        <v>41.4</v>
      </c>
      <c r="T67" s="33">
        <v>43.2</v>
      </c>
      <c r="U67" s="40">
        <v>6.6</v>
      </c>
      <c r="V67" s="34">
        <v>41.4</v>
      </c>
      <c r="W67" s="40">
        <v>5.4</v>
      </c>
      <c r="X67" s="33"/>
      <c r="Y67" s="40"/>
      <c r="Z67" s="34"/>
      <c r="AA67" s="37"/>
    </row>
    <row r="68" spans="1:27" x14ac:dyDescent="0.2">
      <c r="A68" s="1" t="str" cm="1">
        <f t="array" ref="A68">IF(I68="","",IF(P68&lt;&gt;"",SUMPRODUCT((P$3:P$69&lt;&gt;"")*(G$3:G$69=G68)*(J$3:J$69&gt;J68)*(I$3:I$69="P"))+1,IF(O68&lt;&gt;"",SUMPRODUCT((O$3:O$69&lt;&gt;"")*(P$3:P$69="")*(G$3:G$69=G68)*(J$3:J$69&gt;J68)*(I$3:I$69="P"))+SUMPRODUCT((P$3:P$69&lt;&gt;"")*(G$3:G$69=G68)*(I$3:I$69="P"))+1,IF(N68&lt;&gt;"",SUMPRODUCT((N$3:N$69&lt;&gt;"")*(G$3:G$69=G68)*(J$3:J$69&gt;J68)*(I$3:I$69="P"))+1,IF(M68="P",SUMPRODUCT((O$3:O$69&lt;&gt;"")*(P$3:P$69="")*(G$3:G$69=G68)*(I$3:I$69="P"))+SUMPRODUCT((P$3:P$69&lt;&gt;"")*(G$3:G$69=G68)*(I$3:I$69="P"))+SUMPRODUCT((N$3:N$69&lt;&gt;"")*(G$3:G$69=G68)*(I$3:I$69="P"))+SUMPRODUCT((P$3:P$69="")*(O$3:O$69="")*(N$3:N$69="")*(M$3:M$69="P")*(G$3:G$69=G68)*(J$3:J$69&gt;J68)*(I$3:I$69="P"))+IF(H68="L5",SUMPRODUCT((P$3:P$69="")*(O$3:O$69="")*(N$3:N$69="")*(M$3:M$69="P")*(G$3:G$69=G68)*(J$3:J$69&lt;J68)*(H$3:H$69&lt;&gt;H68)*(I$3:I$69="P")),-1*SUMPRODUCT((P$3:P$69="")*(O$3:O$69="")*(N$3:N$69="")*(M$3:M$69="P")*(G$3:G$69=G68)*(J$3:J$69&gt;J68)*(H$3:H$69="L5")*(I$3:I$69="P")))+1,"")))))</f>
        <v/>
      </c>
      <c r="B68" s="1" t="str" cm="1">
        <f t="array" ref="B68">IF(P68&lt;&gt;"",SUMPRODUCT((P$3:P$69&lt;&gt;"")*(G$3:G$69=G68)*(J$3:J$69&gt;J68))+1,IF(O68&lt;&gt;"",SUMPRODUCT((O$3:O$69&lt;&gt;"")*(P$3:P$69="")*(G$3:G$69=G68)*(J$3:J$69&gt;J68))+SUMPRODUCT((P$3:P$69&lt;&gt;"")*(G$3:G$69=G68))+1,IF(N68&lt;&gt;"",SUMPRODUCT((N$3:N$69&lt;&gt;"")*(G$3:G$69=G68)*(J$3:J$69&gt;J68))+1,IF(M68="P",SUMPRODUCT((O$3:O$69&lt;&gt;"")*(P$3:P$69="")*(G$3:G$69=G68))+SUMPRODUCT((P$3:P$69&lt;&gt;"")*(G$3:G$69=G68))+SUMPRODUCT((N$3:N$69&lt;&gt;"")*(G$3:G$69=G68))+SUMPRODUCT((P$3:P$69="")*(O$3:O$69="")*(N$3:N$69="")*(M$3:M$69="P")*(G$3:G$69=G68)*(J$3:J$69&gt;J68))+IF(H68="L5",SUMPRODUCT((P$3:P$69="")*(O$3:O$69="")*(N$3:N$69="")*(M$3:M$69="P")*(G$3:G$69=G68)*(J$3:J$69&lt;J68)*(H$3:H$69&lt;&gt;H68)),-1*SUMPRODUCT((P$3:P$69="")*(O$3:O$69="")*(N$3:N$69="")*(M$3:M$69="P")*(G$3:G$69=G68)*(J$3:J$69&gt;J68)*(H$3:H$69="L5")))+1,""))))</f>
        <v/>
      </c>
      <c r="C68" s="36" t="s">
        <v>311</v>
      </c>
      <c r="D68" s="36" t="str">
        <f>IF(E68="","",VLOOKUP(E68,'Coaching Points'!A:B,2,0))</f>
        <v>ON</v>
      </c>
      <c r="E68" s="36" t="s">
        <v>40</v>
      </c>
      <c r="F68" s="35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13-14</v>
      </c>
      <c r="H68" s="39" t="s">
        <v>66</v>
      </c>
      <c r="I68" s="43"/>
      <c r="J68" s="4">
        <f>R68+S68+IF(OR(H68="Junior",H68="Senior"),0.0002,IF(OR(H68="L7",H68="L6"),0.0001,0))+MAX(X68,Z68)*0.0000001</f>
        <v>82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MAX(T68,X68)</f>
        <v>38.9</v>
      </c>
      <c r="S68" s="4">
        <f>IF(R68=T68,MAX(V68,X68,Z68),IF(R68=X68,MAX(T68,V68,Z68),0))</f>
        <v>43.1</v>
      </c>
      <c r="T68" s="33">
        <v>38.9</v>
      </c>
      <c r="U68" s="40">
        <v>3.2</v>
      </c>
      <c r="V68" s="34">
        <v>43.1</v>
      </c>
      <c r="W68" s="40">
        <v>6.1</v>
      </c>
      <c r="X68" s="33"/>
      <c r="Y68" s="40"/>
      <c r="Z68" s="34"/>
      <c r="AA68" s="37"/>
    </row>
    <row r="69" spans="1:27" x14ac:dyDescent="0.2">
      <c r="A69" s="1" t="str" cm="1">
        <f t="array" ref="A69">IF(I69="","",IF(P69&lt;&gt;"",SUMPRODUCT((P$3:P$69&lt;&gt;"")*(G$3:G$69=G69)*(J$3:J$69&gt;J69)*(I$3:I$69="P"))+1,IF(O69&lt;&gt;"",SUMPRODUCT((O$3:O$69&lt;&gt;"")*(P$3:P$69="")*(G$3:G$69=G69)*(J$3:J$69&gt;J69)*(I$3:I$69="P"))+SUMPRODUCT((P$3:P$69&lt;&gt;"")*(G$3:G$69=G69)*(I$3:I$69="P"))+1,IF(N69&lt;&gt;"",SUMPRODUCT((N$3:N$69&lt;&gt;"")*(G$3:G$69=G69)*(J$3:J$69&gt;J69)*(I$3:I$69="P"))+1,IF(M69="P",SUMPRODUCT((O$3:O$69&lt;&gt;"")*(P$3:P$69="")*(G$3:G$69=G69)*(I$3:I$69="P"))+SUMPRODUCT((P$3:P$69&lt;&gt;"")*(G$3:G$69=G69)*(I$3:I$69="P"))+SUMPRODUCT((N$3:N$69&lt;&gt;"")*(G$3:G$69=G69)*(I$3:I$69="P"))+SUMPRODUCT((P$3:P$69="")*(O$3:O$69="")*(N$3:N$69="")*(M$3:M$69="P")*(G$3:G$69=G69)*(J$3:J$69&gt;J69)*(I$3:I$69="P"))+IF(H69="L5",SUMPRODUCT((P$3:P$69="")*(O$3:O$69="")*(N$3:N$69="")*(M$3:M$69="P")*(G$3:G$69=G69)*(J$3:J$69&lt;J69)*(H$3:H$69&lt;&gt;H69)*(I$3:I$69="P")),-1*SUMPRODUCT((P$3:P$69="")*(O$3:O$69="")*(N$3:N$69="")*(M$3:M$69="P")*(G$3:G$69=G69)*(J$3:J$69&gt;J69)*(H$3:H$69="L5")*(I$3:I$69="P")))+1,"")))))</f>
        <v/>
      </c>
      <c r="B69" s="1" t="str" cm="1">
        <f t="array" ref="B69">IF(P69&lt;&gt;"",SUMPRODUCT((P$3:P$69&lt;&gt;"")*(G$3:G$69=G69)*(J$3:J$69&gt;J69))+1,IF(O69&lt;&gt;"",SUMPRODUCT((O$3:O$69&lt;&gt;"")*(P$3:P$69="")*(G$3:G$69=G69)*(J$3:J$69&gt;J69))+SUMPRODUCT((P$3:P$69&lt;&gt;"")*(G$3:G$69=G69))+1,IF(N69&lt;&gt;"",SUMPRODUCT((N$3:N$69&lt;&gt;"")*(G$3:G$69=G69)*(J$3:J$69&gt;J69))+1,IF(M69="P",SUMPRODUCT((O$3:O$69&lt;&gt;"")*(P$3:P$69="")*(G$3:G$69=G69))+SUMPRODUCT((P$3:P$69&lt;&gt;"")*(G$3:G$69=G69))+SUMPRODUCT((N$3:N$69&lt;&gt;"")*(G$3:G$69=G69))+SUMPRODUCT((P$3:P$69="")*(O$3:O$69="")*(N$3:N$69="")*(M$3:M$69="P")*(G$3:G$69=G69)*(J$3:J$69&gt;J69))+IF(H69="L5",SUMPRODUCT((P$3:P$69="")*(O$3:O$69="")*(N$3:N$69="")*(M$3:M$69="P")*(G$3:G$69=G69)*(J$3:J$69&lt;J69)*(H$3:H$69&lt;&gt;H69)),-1*SUMPRODUCT((P$3:P$69="")*(O$3:O$69="")*(N$3:N$69="")*(M$3:M$69="P")*(G$3:G$69=G69)*(J$3:J$69&gt;J69)*(H$3:H$69="L5")))+1,""))))</f>
        <v/>
      </c>
      <c r="C69" s="36" t="s">
        <v>312</v>
      </c>
      <c r="D69" s="36" t="str">
        <f>IF(E69="","",VLOOKUP(E69,'Coaching Points'!A:B,2,0))</f>
        <v>ON</v>
      </c>
      <c r="E69" s="36" t="s">
        <v>40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13-14</v>
      </c>
      <c r="H69" s="39" t="s">
        <v>66</v>
      </c>
      <c r="I69" s="43"/>
      <c r="J69" s="4">
        <f>R69+S69+IF(OR(H69="Junior",H69="Senior"),0.0002,IF(OR(H69="L7",H69="L6"),0.0001,0))+MAX(X69,Z69)*0.0000001</f>
        <v>77.7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MAX(T69,X69)</f>
        <v>39.1</v>
      </c>
      <c r="S69" s="4">
        <f>IF(R69=T69,MAX(V69,X69,Z69),IF(R69=X69,MAX(T69,V69,Z69),0))</f>
        <v>38.6</v>
      </c>
      <c r="T69" s="33">
        <v>39.1</v>
      </c>
      <c r="U69" s="40">
        <v>3.4000000000000004</v>
      </c>
      <c r="V69" s="34">
        <v>38.6</v>
      </c>
      <c r="W69" s="40">
        <v>4</v>
      </c>
      <c r="X69" s="33"/>
      <c r="Y69" s="40"/>
      <c r="Z69" s="34"/>
      <c r="AA69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69">
      <sortCondition descending="1" ref="G1:G7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23" priority="21">
      <formula>IF($G1="17-21",1,0)</formula>
    </cfRule>
    <cfRule type="expression" dxfId="22" priority="22">
      <formula>IF($G1="15-16",1,0)</formula>
    </cfRule>
    <cfRule type="expression" dxfId="21" priority="23">
      <formula>IF($G1="13-14",1,0)</formula>
    </cfRule>
    <cfRule type="expression" dxfId="20" priority="24">
      <formula>IF($G1="11-12",1,0)</formula>
    </cfRule>
  </conditionalFormatting>
  <conditionalFormatting sqref="R1:S2">
    <cfRule type="expression" dxfId="19" priority="1">
      <formula>IF($G1="17-21",1,0)</formula>
    </cfRule>
    <cfRule type="expression" dxfId="18" priority="2">
      <formula>IF($G1="15-16",1,0)</formula>
    </cfRule>
    <cfRule type="expression" dxfId="17" priority="3">
      <formula>IF($G1="13-14",1,0)</formula>
    </cfRule>
    <cfRule type="expression" dxfId="16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$29&lt;&gt;"")*(G$3:G$29=G3)*(J$3:J$29&gt;J3)*(I$3:I$29="P"))+1,IF(O3&lt;&gt;"",SUMPRODUCT((O$3:O$29&lt;&gt;"")*(P$3:P$29="")*(G$3:G$29=G3)*(J$3:J$29&gt;J3)*(I$3:I$29="P"))+SUMPRODUCT((P$3:P$29&lt;&gt;"")*(G$3:G$29=G3)*(I$3:I$29="P"))+1,IF(N3&lt;&gt;"",SUMPRODUCT((N$3:N$29&lt;&gt;"")*(G$3:G$29=G3)*(J$3:J$29&gt;J3)*(I$3:I$29="P"))+1,IF(M3="P",SUMPRODUCT((O$3:O$29&lt;&gt;"")*(P$3:P$29="")*(G$3:G$29=G3)*(I$3:I$29="P"))+SUMPRODUCT((P$3:P$29&lt;&gt;"")*(G$3:G$29=G3)*(I$3:I$29="P"))+SUMPRODUCT((N$3:N$29&lt;&gt;"")*(G$3:G$29=G3)*(I$3:I$29="P"))+SUMPRODUCT((P$3:P$29="")*(O$3:O$29="")*(N$3:N$29="")*(M$3:M$29="P")*(G$3:G$29=G3)*(J$3:J$29&gt;J3)*(I$3:I$29="P"))+IF(H3="L5",SUMPRODUCT((P$3:P$29="")*(O$3:O$29="")*(N$3:N$29="")*(M$3:M$29="P")*(G$3:G$29=G3)*(J$3:J$29&lt;J3)*(H$3:H$29&lt;&gt;H3)*(I$3:I$29="P")),-1*SUMPRODUCT((P$3:P$29="")*(O$3:O$29="")*(N$3:N$29="")*(M$3:M$29="P")*(G$3:G$29=G3)*(J$3:J$29&gt;J3)*(H$3:H$29="L5")*(I$3:I$29="P")))+1,"")))))</f>
        <v/>
      </c>
      <c r="B3" s="1" cm="1">
        <f t="array" ref="B3">IF(P3&lt;&gt;"",SUMPRODUCT((P$3:P$29&lt;&gt;"")*(G$3:G$29=G3)*(J$3:J$29&gt;J3))+1,IF(O3&lt;&gt;"",SUMPRODUCT((O$3:O$29&lt;&gt;"")*(P$3:P$29="")*(G$3:G$29=G3)*(J$3:J$29&gt;J3))+SUMPRODUCT((P$3:P$29&lt;&gt;"")*(G$3:G$29=G3))+1,IF(N3&lt;&gt;"",SUMPRODUCT((N$3:N$29&lt;&gt;"")*(G$3:G$29=G3)*(J$3:J$29&gt;J3))+1,IF(M3="P",SUMPRODUCT((O$3:O$29&lt;&gt;"")*(P$3:P$29="")*(G$3:G$29=G3))+SUMPRODUCT((P$3:P$29&lt;&gt;"")*(G$3:G$29=G3))+SUMPRODUCT((N$3:N$29&lt;&gt;"")*(G$3:G$29=G3))+SUMPRODUCT((P$3:P$29="")*(O$3:O$29="")*(N$3:N$29="")*(M$3:M$29="P")*(G$3:G$29=G3)*(J$3:J$29&gt;J3))+IF(H3="L5",SUMPRODUCT((P$3:P$29="")*(O$3:O$29="")*(N$3:N$29="")*(M$3:M$29="P")*(G$3:G$29=G3)*(J$3:J$29&lt;J3)*(H$3:H$29&lt;&gt;H3)),-1*SUMPRODUCT((P$3:P$29="")*(O$3:O$29="")*(N$3:N$29="")*(M$3:M$29="P")*(G$3:G$29=G3)*(J$3:J$29&gt;J3)*(H$3:H$29="L5")))+1,""))))</f>
        <v>1</v>
      </c>
      <c r="C3" s="36" t="s">
        <v>173</v>
      </c>
      <c r="D3" s="36" t="str">
        <f>IF(E3="","",VLOOKUP(E3,'Coaching Points'!A:B,2,0))</f>
        <v>QC</v>
      </c>
      <c r="E3" s="36" t="s">
        <v>288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>R3+S3+IF(OR(H3="Junior",H3="Senior"),0.0002,IF(OR(H3="L7",H3="L6"),0.0001,0))+MAX(X3,Z3)*0.0000001</f>
        <v>105.00020000000001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>IF(A3&lt;5,IF(_xlfn.MAXIFS(A:A,G:G,G3)&gt;3,5-A3,_xlfn.MAXIFS(A:A,G:G,G3)+1-A3),"")</f>
        <v/>
      </c>
      <c r="R3" s="4">
        <f>MAX(T3,X3)</f>
        <v>51.6</v>
      </c>
      <c r="S3" s="4">
        <f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$29&lt;&gt;"")*(G$3:G$29=G4)*(J$3:J$29&gt;J4)*(I$3:I$29="P"))+1,IF(O4&lt;&gt;"",SUMPRODUCT((O$3:O$29&lt;&gt;"")*(P$3:P$29="")*(G$3:G$29=G4)*(J$3:J$29&gt;J4)*(I$3:I$29="P"))+SUMPRODUCT((P$3:P$29&lt;&gt;"")*(G$3:G$29=G4)*(I$3:I$29="P"))+1,IF(N4&lt;&gt;"",SUMPRODUCT((N$3:N$29&lt;&gt;"")*(G$3:G$29=G4)*(J$3:J$29&gt;J4)*(I$3:I$29="P"))+1,IF(M4="P",SUMPRODUCT((O$3:O$29&lt;&gt;"")*(P$3:P$29="")*(G$3:G$29=G4)*(I$3:I$29="P"))+SUMPRODUCT((P$3:P$29&lt;&gt;"")*(G$3:G$29=G4)*(I$3:I$29="P"))+SUMPRODUCT((N$3:N$29&lt;&gt;"")*(G$3:G$29=G4)*(I$3:I$29="P"))+SUMPRODUCT((P$3:P$29="")*(O$3:O$29="")*(N$3:N$29="")*(M$3:M$29="P")*(G$3:G$29=G4)*(J$3:J$29&gt;J4)*(I$3:I$29="P"))+IF(H4="L5",SUMPRODUCT((P$3:P$29="")*(O$3:O$29="")*(N$3:N$29="")*(M$3:M$29="P")*(G$3:G$29=G4)*(J$3:J$29&lt;J4)*(H$3:H$29&lt;&gt;H4)*(I$3:I$29="P")),-1*SUMPRODUCT((P$3:P$29="")*(O$3:O$29="")*(N$3:N$29="")*(M$3:M$29="P")*(G$3:G$29=G4)*(J$3:J$29&gt;J4)*(H$3:H$29="L5")*(I$3:I$29="P")))+1,"")))))</f>
        <v/>
      </c>
      <c r="B4" s="1" cm="1">
        <f t="array" ref="B4">IF(P4&lt;&gt;"",SUMPRODUCT((P$3:P$29&lt;&gt;"")*(G$3:G$29=G4)*(J$3:J$29&gt;J4))+1,IF(O4&lt;&gt;"",SUMPRODUCT((O$3:O$29&lt;&gt;"")*(P$3:P$29="")*(G$3:G$29=G4)*(J$3:J$29&gt;J4))+SUMPRODUCT((P$3:P$29&lt;&gt;"")*(G$3:G$29=G4))+1,IF(N4&lt;&gt;"",SUMPRODUCT((N$3:N$29&lt;&gt;"")*(G$3:G$29=G4)*(J$3:J$29&gt;J4))+1,IF(M4="P",SUMPRODUCT((O$3:O$29&lt;&gt;"")*(P$3:P$29="")*(G$3:G$29=G4))+SUMPRODUCT((P$3:P$29&lt;&gt;"")*(G$3:G$29=G4))+SUMPRODUCT((N$3:N$29&lt;&gt;"")*(G$3:G$29=G4))+SUMPRODUCT((P$3:P$29="")*(O$3:O$29="")*(N$3:N$29="")*(M$3:M$29="P")*(G$3:G$29=G4)*(J$3:J$29&gt;J4))+IF(H4="L5",SUMPRODUCT((P$3:P$29="")*(O$3:O$29="")*(N$3:N$29="")*(M$3:M$29="P")*(G$3:G$29=G4)*(J$3:J$29&lt;J4)*(H$3:H$29&lt;&gt;H4)),-1*SUMPRODUCT((P$3:P$29="")*(O$3:O$29="")*(N$3:N$29="")*(M$3:M$29="P")*(G$3:G$29=G4)*(J$3:J$29&gt;J4)*(H$3:H$29="L5")))+1,""))))</f>
        <v>2</v>
      </c>
      <c r="C4" s="36" t="s">
        <v>161</v>
      </c>
      <c r="D4" s="36" t="str">
        <f>IF(E4="","",VLOOKUP(E4,'Coaching Points'!A:B,2,0))</f>
        <v>QC</v>
      </c>
      <c r="E4" s="36" t="s">
        <v>288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>R4+S4+IF(OR(H4="Junior",H4="Senior"),0.0002,IF(OR(H4="L7",H4="L6"),0.0001,0))+MAX(X4,Z4)*0.0000001</f>
        <v>96.300200000000018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>IF(A4&lt;5,IF(_xlfn.MAXIFS(A:A,G:G,G4)&gt;3,5-A4,_xlfn.MAXIFS(A:A,G:G,G4)+1-A4),"")</f>
        <v/>
      </c>
      <c r="R4" s="4">
        <f>MAX(T4,X4)</f>
        <v>45.6</v>
      </c>
      <c r="S4" s="4">
        <f>IF(R4=T4,MAX(V4,X4,Z4),IF(R4=X4,MAX(T4,V4,Z4),0))</f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$29&lt;&gt;"")*(G$3:G$29=G5)*(J$3:J$29&gt;J5)*(I$3:I$29="P"))+1,IF(O5&lt;&gt;"",SUMPRODUCT((O$3:O$29&lt;&gt;"")*(P$3:P$29="")*(G$3:G$29=G5)*(J$3:J$29&gt;J5)*(I$3:I$29="P"))+SUMPRODUCT((P$3:P$29&lt;&gt;"")*(G$3:G$29=G5)*(I$3:I$29="P"))+1,IF(N5&lt;&gt;"",SUMPRODUCT((N$3:N$29&lt;&gt;"")*(G$3:G$29=G5)*(J$3:J$29&gt;J5)*(I$3:I$29="P"))+1,IF(M5="P",SUMPRODUCT((O$3:O$29&lt;&gt;"")*(P$3:P$29="")*(G$3:G$29=G5)*(I$3:I$29="P"))+SUMPRODUCT((P$3:P$29&lt;&gt;"")*(G$3:G$29=G5)*(I$3:I$29="P"))+SUMPRODUCT((N$3:N$29&lt;&gt;"")*(G$3:G$29=G5)*(I$3:I$29="P"))+SUMPRODUCT((P$3:P$29="")*(O$3:O$29="")*(N$3:N$29="")*(M$3:M$29="P")*(G$3:G$29=G5)*(J$3:J$29&gt;J5)*(I$3:I$29="P"))+IF(H5="L5",SUMPRODUCT((P$3:P$29="")*(O$3:O$29="")*(N$3:N$29="")*(M$3:M$29="P")*(G$3:G$29=G5)*(J$3:J$29&lt;J5)*(H$3:H$29&lt;&gt;H5)*(I$3:I$29="P")),-1*SUMPRODUCT((P$3:P$29="")*(O$3:O$29="")*(N$3:N$29="")*(M$3:M$29="P")*(G$3:G$29=G5)*(J$3:J$29&gt;J5)*(H$3:H$29="L5")*(I$3:I$29="P")))+1,"")))))</f>
        <v/>
      </c>
      <c r="B5" s="1" cm="1">
        <f t="array" ref="B5">IF(P5&lt;&gt;"",SUMPRODUCT((P$3:P$29&lt;&gt;"")*(G$3:G$29=G5)*(J$3:J$29&gt;J5))+1,IF(O5&lt;&gt;"",SUMPRODUCT((O$3:O$29&lt;&gt;"")*(P$3:P$29="")*(G$3:G$29=G5)*(J$3:J$29&gt;J5))+SUMPRODUCT((P$3:P$29&lt;&gt;"")*(G$3:G$29=G5))+1,IF(N5&lt;&gt;"",SUMPRODUCT((N$3:N$29&lt;&gt;"")*(G$3:G$29=G5)*(J$3:J$29&gt;J5))+1,IF(M5="P",SUMPRODUCT((O$3:O$29&lt;&gt;"")*(P$3:P$29="")*(G$3:G$29=G5))+SUMPRODUCT((P$3:P$29&lt;&gt;"")*(G$3:G$29=G5))+SUMPRODUCT((N$3:N$29&lt;&gt;"")*(G$3:G$29=G5))+SUMPRODUCT((P$3:P$29="")*(O$3:O$29="")*(N$3:N$29="")*(M$3:M$29="P")*(G$3:G$29=G5)*(J$3:J$29&gt;J5))+IF(H5="L5",SUMPRODUCT((P$3:P$29="")*(O$3:O$29="")*(N$3:N$29="")*(M$3:M$29="P")*(G$3:G$29=G5)*(J$3:J$29&lt;J5)*(H$3:H$29&lt;&gt;H5)),-1*SUMPRODUCT((P$3:P$29="")*(O$3:O$29="")*(N$3:N$29="")*(M$3:M$29="P")*(G$3:G$29=G5)*(J$3:J$29&gt;J5)*(H$3:H$29="L5")))+1,""))))</f>
        <v>3</v>
      </c>
      <c r="C5" s="36" t="s">
        <v>280</v>
      </c>
      <c r="D5" s="36" t="str">
        <f>IF(E5="","",VLOOKUP(E5,'Coaching Points'!A:B,2,0))</f>
        <v>AB</v>
      </c>
      <c r="E5" s="36" t="s">
        <v>29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>R5+S5+IF(OR(H5="Junior",H5="Senior"),0.0002,IF(OR(H5="L7",H5="L6"),0.0001,0))+MAX(X5,Z5)*0.0000001</f>
        <v>90.500200000000007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3</v>
      </c>
      <c r="P5" s="39">
        <v>3</v>
      </c>
      <c r="Q5" s="1" t="str">
        <f>IF(A5&lt;5,IF(_xlfn.MAXIFS(A:A,G:G,G5)&gt;3,5-A5,_xlfn.MAXIFS(A:A,G:G,G5)+1-A5),"")</f>
        <v/>
      </c>
      <c r="R5" s="4">
        <f>MAX(T5,X5)</f>
        <v>45.9</v>
      </c>
      <c r="S5" s="4">
        <f>IF(R5=T5,MAX(V5,X5,Z5),IF(R5=X5,MAX(T5,V5,Z5),0))</f>
        <v>44.6</v>
      </c>
      <c r="T5" s="33">
        <v>45.9</v>
      </c>
      <c r="U5" s="40">
        <v>11.600000000000001</v>
      </c>
      <c r="V5" s="34">
        <v>44.6</v>
      </c>
      <c r="W5" s="40">
        <v>9.6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$29&lt;&gt;"")*(G$3:G$29=G6)*(J$3:J$29&gt;J6)*(I$3:I$29="P"))+1,IF(O6&lt;&gt;"",SUMPRODUCT((O$3:O$29&lt;&gt;"")*(P$3:P$29="")*(G$3:G$29=G6)*(J$3:J$29&gt;J6)*(I$3:I$29="P"))+SUMPRODUCT((P$3:P$29&lt;&gt;"")*(G$3:G$29=G6)*(I$3:I$29="P"))+1,IF(N6&lt;&gt;"",SUMPRODUCT((N$3:N$29&lt;&gt;"")*(G$3:G$29=G6)*(J$3:J$29&gt;J6)*(I$3:I$29="P"))+1,IF(M6="P",SUMPRODUCT((O$3:O$29&lt;&gt;"")*(P$3:P$29="")*(G$3:G$29=G6)*(I$3:I$29="P"))+SUMPRODUCT((P$3:P$29&lt;&gt;"")*(G$3:G$29=G6)*(I$3:I$29="P"))+SUMPRODUCT((N$3:N$29&lt;&gt;"")*(G$3:G$29=G6)*(I$3:I$29="P"))+SUMPRODUCT((P$3:P$29="")*(O$3:O$29="")*(N$3:N$29="")*(M$3:M$29="P")*(G$3:G$29=G6)*(J$3:J$29&gt;J6)*(I$3:I$29="P"))+IF(H6="L5",SUMPRODUCT((P$3:P$29="")*(O$3:O$29="")*(N$3:N$29="")*(M$3:M$29="P")*(G$3:G$29=G6)*(J$3:J$29&lt;J6)*(H$3:H$29&lt;&gt;H6)*(I$3:I$29="P")),-1*SUMPRODUCT((P$3:P$29="")*(O$3:O$29="")*(N$3:N$29="")*(M$3:M$29="P")*(G$3:G$29=G6)*(J$3:J$29&gt;J6)*(H$3:H$29="L5")*(I$3:I$29="P")))+1,"")))))</f>
        <v/>
      </c>
      <c r="B6" s="1" cm="1">
        <f t="array" ref="B6">IF(P6&lt;&gt;"",SUMPRODUCT((P$3:P$29&lt;&gt;"")*(G$3:G$29=G6)*(J$3:J$29&gt;J6))+1,IF(O6&lt;&gt;"",SUMPRODUCT((O$3:O$29&lt;&gt;"")*(P$3:P$29="")*(G$3:G$29=G6)*(J$3:J$29&gt;J6))+SUMPRODUCT((P$3:P$29&lt;&gt;"")*(G$3:G$29=G6))+1,IF(N6&lt;&gt;"",SUMPRODUCT((N$3:N$29&lt;&gt;"")*(G$3:G$29=G6)*(J$3:J$29&gt;J6))+1,IF(M6="P",SUMPRODUCT((O$3:O$29&lt;&gt;"")*(P$3:P$29="")*(G$3:G$29=G6))+SUMPRODUCT((P$3:P$29&lt;&gt;"")*(G$3:G$29=G6))+SUMPRODUCT((N$3:N$29&lt;&gt;"")*(G$3:G$29=G6))+SUMPRODUCT((P$3:P$29="")*(O$3:O$29="")*(N$3:N$29="")*(M$3:M$29="P")*(G$3:G$29=G6)*(J$3:J$29&gt;J6))+IF(H6="L5",SUMPRODUCT((P$3:P$29="")*(O$3:O$29="")*(N$3:N$29="")*(M$3:M$29="P")*(G$3:G$29=G6)*(J$3:J$29&lt;J6)*(H$3:H$29&lt;&gt;H6)),-1*SUMPRODUCT((P$3:P$29="")*(O$3:O$29="")*(N$3:N$29="")*(M$3:M$29="P")*(G$3:G$29=G6)*(J$3:J$29&gt;J6)*(H$3:H$29="L5")))+1,""))))</f>
        <v>4</v>
      </c>
      <c r="C6" s="36" t="s">
        <v>281</v>
      </c>
      <c r="D6" s="36" t="str">
        <f>IF(E6="","",VLOOKUP(E6,'Coaching Points'!A:B,2,0))</f>
        <v>QC</v>
      </c>
      <c r="E6" s="36" t="s">
        <v>288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>R6+S6+IF(OR(H6="Junior",H6="Senior"),0.0002,IF(OR(H6="L7",H6="L6"),0.0001,0))+MAX(X6,Z6)*0.0000001</f>
        <v>88.300200000000018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4</v>
      </c>
      <c r="Q6" s="1" t="str">
        <f>IF(A6&lt;5,IF(_xlfn.MAXIFS(A:A,G:G,G6)&gt;3,5-A6,_xlfn.MAXIFS(A:A,G:G,G6)+1-A6),"")</f>
        <v/>
      </c>
      <c r="R6" s="4">
        <f>MAX(T6,X6)</f>
        <v>45.7</v>
      </c>
      <c r="S6" s="4">
        <f>IF(R6=T6,MAX(V6,X6,Z6),IF(R6=X6,MAX(T6,V6,Z6),0))</f>
        <v>42.6</v>
      </c>
      <c r="T6" s="33">
        <v>45.7</v>
      </c>
      <c r="U6" s="40">
        <v>11.1</v>
      </c>
      <c r="V6" s="34">
        <v>42.6</v>
      </c>
      <c r="W6" s="40">
        <v>9.1999999999999993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$29&lt;&gt;"")*(G$3:G$29=G7)*(J$3:J$29&gt;J7)*(I$3:I$29="P"))+1,IF(O7&lt;&gt;"",SUMPRODUCT((O$3:O$29&lt;&gt;"")*(P$3:P$29="")*(G$3:G$29=G7)*(J$3:J$29&gt;J7)*(I$3:I$29="P"))+SUMPRODUCT((P$3:P$29&lt;&gt;"")*(G$3:G$29=G7)*(I$3:I$29="P"))+1,IF(N7&lt;&gt;"",SUMPRODUCT((N$3:N$29&lt;&gt;"")*(G$3:G$29=G7)*(J$3:J$29&gt;J7)*(I$3:I$29="P"))+1,IF(M7="P",SUMPRODUCT((O$3:O$29&lt;&gt;"")*(P$3:P$29="")*(G$3:G$29=G7)*(I$3:I$29="P"))+SUMPRODUCT((P$3:P$29&lt;&gt;"")*(G$3:G$29=G7)*(I$3:I$29="P"))+SUMPRODUCT((N$3:N$29&lt;&gt;"")*(G$3:G$29=G7)*(I$3:I$29="P"))+SUMPRODUCT((P$3:P$29="")*(O$3:O$29="")*(N$3:N$29="")*(M$3:M$29="P")*(G$3:G$29=G7)*(J$3:J$29&gt;J7)*(I$3:I$29="P"))+IF(H7="L5",SUMPRODUCT((P$3:P$29="")*(O$3:O$29="")*(N$3:N$29="")*(M$3:M$29="P")*(G$3:G$29=G7)*(J$3:J$29&lt;J7)*(H$3:H$29&lt;&gt;H7)*(I$3:I$29="P")),-1*SUMPRODUCT((P$3:P$29="")*(O$3:O$29="")*(N$3:N$29="")*(M$3:M$29="P")*(G$3:G$29=G7)*(J$3:J$29&gt;J7)*(H$3:H$29="L5")*(I$3:I$29="P")))+1,"")))))</f>
        <v/>
      </c>
      <c r="B7" s="1" cm="1">
        <f t="array" ref="B7">IF(P7&lt;&gt;"",SUMPRODUCT((P$3:P$29&lt;&gt;"")*(G$3:G$29=G7)*(J$3:J$29&gt;J7))+1,IF(O7&lt;&gt;"",SUMPRODUCT((O$3:O$29&lt;&gt;"")*(P$3:P$29="")*(G$3:G$29=G7)*(J$3:J$29&gt;J7))+SUMPRODUCT((P$3:P$29&lt;&gt;"")*(G$3:G$29=G7))+1,IF(N7&lt;&gt;"",SUMPRODUCT((N$3:N$29&lt;&gt;"")*(G$3:G$29=G7)*(J$3:J$29&gt;J7))+1,IF(M7="P",SUMPRODUCT((O$3:O$29&lt;&gt;"")*(P$3:P$29="")*(G$3:G$29=G7))+SUMPRODUCT((P$3:P$29&lt;&gt;"")*(G$3:G$29=G7))+SUMPRODUCT((N$3:N$29&lt;&gt;"")*(G$3:G$29=G7))+SUMPRODUCT((P$3:P$29="")*(O$3:O$29="")*(N$3:N$29="")*(M$3:M$29="P")*(G$3:G$29=G7)*(J$3:J$29&gt;J7))+IF(H7="L5",SUMPRODUCT((P$3:P$29="")*(O$3:O$29="")*(N$3:N$29="")*(M$3:M$29="P")*(G$3:G$29=G7)*(J$3:J$29&lt;J7)*(H$3:H$29&lt;&gt;H7)),-1*SUMPRODUCT((P$3:P$29="")*(O$3:O$29="")*(N$3:N$29="")*(M$3:M$29="P")*(G$3:G$29=G7)*(J$3:J$29&gt;J7)*(H$3:H$29="L5")))+1,""))))</f>
        <v>5</v>
      </c>
      <c r="C7" s="36" t="s">
        <v>169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R7+S7+IF(OR(H7="Junior",H7="Senior"),0.0002,IF(OR(H7="L7",H7="L6"),0.0001,0))+MAX(X7,Z7)*0.0000001</f>
        <v>83.500200000000007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4</v>
      </c>
      <c r="Q7" s="1" t="str">
        <f>IF(A7&lt;5,IF(_xlfn.MAXIFS(A:A,G:G,G7)&gt;3,5-A7,_xlfn.MAXIFS(A:A,G:G,G7)+1-A7),"")</f>
        <v/>
      </c>
      <c r="R7" s="4">
        <f>MAX(T7,X7)</f>
        <v>45.2</v>
      </c>
      <c r="S7" s="4">
        <f>IF(R7=T7,MAX(V7,X7,Z7),IF(R7=X7,MAX(T7,V7,Z7),0))</f>
        <v>38.299999999999997</v>
      </c>
      <c r="T7" s="33">
        <v>45.2</v>
      </c>
      <c r="U7" s="40">
        <v>12.3</v>
      </c>
      <c r="V7" s="34">
        <v>38.299999999999997</v>
      </c>
      <c r="W7" s="40">
        <v>9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$29&lt;&gt;"")*(G$3:G$29=G8)*(J$3:J$29&gt;J8)*(I$3:I$29="P"))+1,IF(O8&lt;&gt;"",SUMPRODUCT((O$3:O$29&lt;&gt;"")*(P$3:P$29="")*(G$3:G$29=G8)*(J$3:J$29&gt;J8)*(I$3:I$29="P"))+SUMPRODUCT((P$3:P$29&lt;&gt;"")*(G$3:G$29=G8)*(I$3:I$29="P"))+1,IF(N8&lt;&gt;"",SUMPRODUCT((N$3:N$29&lt;&gt;"")*(G$3:G$29=G8)*(J$3:J$29&gt;J8)*(I$3:I$29="P"))+1,IF(M8="P",SUMPRODUCT((O$3:O$29&lt;&gt;"")*(P$3:P$29="")*(G$3:G$29=G8)*(I$3:I$29="P"))+SUMPRODUCT((P$3:P$29&lt;&gt;"")*(G$3:G$29=G8)*(I$3:I$29="P"))+SUMPRODUCT((N$3:N$29&lt;&gt;"")*(G$3:G$29=G8)*(I$3:I$29="P"))+SUMPRODUCT((P$3:P$29="")*(O$3:O$29="")*(N$3:N$29="")*(M$3:M$29="P")*(G$3:G$29=G8)*(J$3:J$29&gt;J8)*(I$3:I$29="P"))+IF(H8="L5",SUMPRODUCT((P$3:P$29="")*(O$3:O$29="")*(N$3:N$29="")*(M$3:M$29="P")*(G$3:G$29=G8)*(J$3:J$29&lt;J8)*(H$3:H$29&lt;&gt;H8)*(I$3:I$29="P")),-1*SUMPRODUCT((P$3:P$29="")*(O$3:O$29="")*(N$3:N$29="")*(M$3:M$29="P")*(G$3:G$29=G8)*(J$3:J$29&gt;J8)*(H$3:H$29="L5")*(I$3:I$29="P")))+1,"")))))</f>
        <v/>
      </c>
      <c r="B8" s="1" cm="1">
        <f t="array" ref="B8">IF(P8&lt;&gt;"",SUMPRODUCT((P$3:P$29&lt;&gt;"")*(G$3:G$29=G8)*(J$3:J$29&gt;J8))+1,IF(O8&lt;&gt;"",SUMPRODUCT((O$3:O$29&lt;&gt;"")*(P$3:P$29="")*(G$3:G$29=G8)*(J$3:J$29&gt;J8))+SUMPRODUCT((P$3:P$29&lt;&gt;"")*(G$3:G$29=G8))+1,IF(N8&lt;&gt;"",SUMPRODUCT((N$3:N$29&lt;&gt;"")*(G$3:G$29=G8)*(J$3:J$29&gt;J8))+1,IF(M8="P",SUMPRODUCT((O$3:O$29&lt;&gt;"")*(P$3:P$29="")*(G$3:G$29=G8))+SUMPRODUCT((P$3:P$29&lt;&gt;"")*(G$3:G$29=G8))+SUMPRODUCT((N$3:N$29&lt;&gt;"")*(G$3:G$29=G8))+SUMPRODUCT((P$3:P$29="")*(O$3:O$29="")*(N$3:N$29="")*(M$3:M$29="P")*(G$3:G$29=G8)*(J$3:J$29&gt;J8))+IF(H8="L5",SUMPRODUCT((P$3:P$29="")*(O$3:O$29="")*(N$3:N$29="")*(M$3:M$29="P")*(G$3:G$29=G8)*(J$3:J$29&lt;J8)*(H$3:H$29&lt;&gt;H8)),-1*SUMPRODUCT((P$3:P$29="")*(O$3:O$29="")*(N$3:N$29="")*(M$3:M$29="P")*(G$3:G$29=G8)*(J$3:J$29&gt;J8)*(H$3:H$29="L5")))+1,""))))</f>
        <v>6</v>
      </c>
      <c r="C8" s="36" t="s">
        <v>171</v>
      </c>
      <c r="D8" s="36" t="str">
        <f>IF(E8="","",VLOOKUP(E8,'Coaching Points'!A:B,2,0))</f>
        <v>AB</v>
      </c>
      <c r="E8" s="36" t="s">
        <v>64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>R8+S8+IF(OR(H8="Junior",H8="Senior"),0.0002,IF(OR(H8="L7",H8="L6"),0.0001,0))+MAX(X8,Z8)*0.0000001</f>
        <v>85.3001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>MAX(T8,X8)</f>
        <v>41.4</v>
      </c>
      <c r="S8" s="4">
        <f>IF(R8=T8,MAX(V8,X8,Z8),IF(R8=X8,MAX(T8,V8,Z8),0))</f>
        <v>43.9</v>
      </c>
      <c r="T8" s="33">
        <v>41.4</v>
      </c>
      <c r="U8" s="40">
        <v>9.3999999999999986</v>
      </c>
      <c r="V8" s="34">
        <v>43.9</v>
      </c>
      <c r="W8" s="40">
        <v>10.1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$29&lt;&gt;"")*(G$3:G$29=G9)*(J$3:J$29&gt;J9)*(I$3:I$29="P"))+1,IF(O9&lt;&gt;"",SUMPRODUCT((O$3:O$29&lt;&gt;"")*(P$3:P$29="")*(G$3:G$29=G9)*(J$3:J$29&gt;J9)*(I$3:I$29="P"))+SUMPRODUCT((P$3:P$29&lt;&gt;"")*(G$3:G$29=G9)*(I$3:I$29="P"))+1,IF(N9&lt;&gt;"",SUMPRODUCT((N$3:N$29&lt;&gt;"")*(G$3:G$29=G9)*(J$3:J$29&gt;J9)*(I$3:I$29="P"))+1,IF(M9="P",SUMPRODUCT((O$3:O$29&lt;&gt;"")*(P$3:P$29="")*(G$3:G$29=G9)*(I$3:I$29="P"))+SUMPRODUCT((P$3:P$29&lt;&gt;"")*(G$3:G$29=G9)*(I$3:I$29="P"))+SUMPRODUCT((N$3:N$29&lt;&gt;"")*(G$3:G$29=G9)*(I$3:I$29="P"))+SUMPRODUCT((P$3:P$29="")*(O$3:O$29="")*(N$3:N$29="")*(M$3:M$29="P")*(G$3:G$29=G9)*(J$3:J$29&gt;J9)*(I$3:I$29="P"))+IF(H9="L5",SUMPRODUCT((P$3:P$29="")*(O$3:O$29="")*(N$3:N$29="")*(M$3:M$29="P")*(G$3:G$29=G9)*(J$3:J$29&lt;J9)*(H$3:H$29&lt;&gt;H9)*(I$3:I$29="P")),-1*SUMPRODUCT((P$3:P$29="")*(O$3:O$29="")*(N$3:N$29="")*(M$3:M$29="P")*(G$3:G$29=G9)*(J$3:J$29&gt;J9)*(H$3:H$29="L5")*(I$3:I$29="P")))+1,"")))))</f>
        <v/>
      </c>
      <c r="B9" s="1" cm="1">
        <f t="array" ref="B9">IF(P9&lt;&gt;"",SUMPRODUCT((P$3:P$29&lt;&gt;"")*(G$3:G$29=G9)*(J$3:J$29&gt;J9))+1,IF(O9&lt;&gt;"",SUMPRODUCT((O$3:O$29&lt;&gt;"")*(P$3:P$29="")*(G$3:G$29=G9)*(J$3:J$29&gt;J9))+SUMPRODUCT((P$3:P$29&lt;&gt;"")*(G$3:G$29=G9))+1,IF(N9&lt;&gt;"",SUMPRODUCT((N$3:N$29&lt;&gt;"")*(G$3:G$29=G9)*(J$3:J$29&gt;J9))+1,IF(M9="P",SUMPRODUCT((O$3:O$29&lt;&gt;"")*(P$3:P$29="")*(G$3:G$29=G9))+SUMPRODUCT((P$3:P$29&lt;&gt;"")*(G$3:G$29=G9))+SUMPRODUCT((N$3:N$29&lt;&gt;"")*(G$3:G$29=G9))+SUMPRODUCT((P$3:P$29="")*(O$3:O$29="")*(N$3:N$29="")*(M$3:M$29="P")*(G$3:G$29=G9)*(J$3:J$29&gt;J9))+IF(H9="L5",SUMPRODUCT((P$3:P$29="")*(O$3:O$29="")*(N$3:N$29="")*(M$3:M$29="P")*(G$3:G$29=G9)*(J$3:J$29&lt;J9)*(H$3:H$29&lt;&gt;H9)),-1*SUMPRODUCT((P$3:P$29="")*(O$3:O$29="")*(N$3:N$29="")*(M$3:M$29="P")*(G$3:G$29=G9)*(J$3:J$29&gt;J9)*(H$3:H$29="L5")))+1,""))))</f>
        <v>7</v>
      </c>
      <c r="C9" s="36" t="s">
        <v>226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R9+S9+IF(OR(H9="Junior",H9="Senior"),0.0002,IF(OR(H9="L7",H9="L6"),0.0001,0))+MAX(X9,Z9)*0.0000001</f>
        <v>85.100099999999998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>MAX(T9,X9)</f>
        <v>41</v>
      </c>
      <c r="S9" s="4">
        <f>IF(R9=T9,MAX(V9,X9,Z9),IF(R9=X9,MAX(T9,V9,Z9),0))</f>
        <v>44.1</v>
      </c>
      <c r="T9" s="33">
        <v>41</v>
      </c>
      <c r="U9" s="40">
        <v>8.5</v>
      </c>
      <c r="V9" s="34">
        <v>44.1</v>
      </c>
      <c r="W9" s="40">
        <v>10.1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$29&lt;&gt;"")*(G$3:G$29=G10)*(J$3:J$29&gt;J10)*(I$3:I$29="P"))+1,IF(O10&lt;&gt;"",SUMPRODUCT((O$3:O$29&lt;&gt;"")*(P$3:P$29="")*(G$3:G$29=G10)*(J$3:J$29&gt;J10)*(I$3:I$29="P"))+SUMPRODUCT((P$3:P$29&lt;&gt;"")*(G$3:G$29=G10)*(I$3:I$29="P"))+1,IF(N10&lt;&gt;"",SUMPRODUCT((N$3:N$29&lt;&gt;"")*(G$3:G$29=G10)*(J$3:J$29&gt;J10)*(I$3:I$29="P"))+1,IF(M10="P",SUMPRODUCT((O$3:O$29&lt;&gt;"")*(P$3:P$29="")*(G$3:G$29=G10)*(I$3:I$29="P"))+SUMPRODUCT((P$3:P$29&lt;&gt;"")*(G$3:G$29=G10)*(I$3:I$29="P"))+SUMPRODUCT((N$3:N$29&lt;&gt;"")*(G$3:G$29=G10)*(I$3:I$29="P"))+SUMPRODUCT((P$3:P$29="")*(O$3:O$29="")*(N$3:N$29="")*(M$3:M$29="P")*(G$3:G$29=G10)*(J$3:J$29&gt;J10)*(I$3:I$29="P"))+IF(H10="L5",SUMPRODUCT((P$3:P$29="")*(O$3:O$29="")*(N$3:N$29="")*(M$3:M$29="P")*(G$3:G$29=G10)*(J$3:J$29&lt;J10)*(H$3:H$29&lt;&gt;H10)*(I$3:I$29="P")),-1*SUMPRODUCT((P$3:P$29="")*(O$3:O$29="")*(N$3:N$29="")*(M$3:M$29="P")*(G$3:G$29=G10)*(J$3:J$29&gt;J10)*(H$3:H$29="L5")*(I$3:I$29="P")))+1,"")))))</f>
        <v/>
      </c>
      <c r="B10" s="1" cm="1">
        <f t="array" ref="B10">IF(P10&lt;&gt;"",SUMPRODUCT((P$3:P$29&lt;&gt;"")*(G$3:G$29=G10)*(J$3:J$29&gt;J10))+1,IF(O10&lt;&gt;"",SUMPRODUCT((O$3:O$29&lt;&gt;"")*(P$3:P$29="")*(G$3:G$29=G10)*(J$3:J$29&gt;J10))+SUMPRODUCT((P$3:P$29&lt;&gt;"")*(G$3:G$29=G10))+1,IF(N10&lt;&gt;"",SUMPRODUCT((N$3:N$29&lt;&gt;"")*(G$3:G$29=G10)*(J$3:J$29&gt;J10))+1,IF(M10="P",SUMPRODUCT((O$3:O$29&lt;&gt;"")*(P$3:P$29="")*(G$3:G$29=G10))+SUMPRODUCT((P$3:P$29&lt;&gt;"")*(G$3:G$29=G10))+SUMPRODUCT((N$3:N$29&lt;&gt;"")*(G$3:G$29=G10))+SUMPRODUCT((P$3:P$29="")*(O$3:O$29="")*(N$3:N$29="")*(M$3:M$29="P")*(G$3:G$29=G10)*(J$3:J$29&gt;J10))+IF(H10="L5",SUMPRODUCT((P$3:P$29="")*(O$3:O$29="")*(N$3:N$29="")*(M$3:M$29="P")*(G$3:G$29=G10)*(J$3:J$29&lt;J10)*(H$3:H$29&lt;&gt;H10)),-1*SUMPRODUCT((P$3:P$29="")*(O$3:O$29="")*(N$3:N$29="")*(M$3:M$29="P")*(G$3:G$29=G10)*(J$3:J$29&gt;J10)*(H$3:H$29="L5")))+1,""))))</f>
        <v>8</v>
      </c>
      <c r="C10" s="36" t="s">
        <v>326</v>
      </c>
      <c r="D10" s="36" t="str">
        <f>IF(E10="","",VLOOKUP(E10,'Coaching Points'!A:B,2,0))</f>
        <v>AB</v>
      </c>
      <c r="E10" s="36" t="s">
        <v>64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R10+S10+IF(OR(H10="Junior",H10="Senior"),0.0002,IF(OR(H10="L7",H10="L6"),0.0001,0))+MAX(X10,Z10)*0.0000001</f>
        <v>32.1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/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>IF(A10&lt;5,IF(_xlfn.MAXIFS(A:A,G:G,G10)&gt;3,5-A10,_xlfn.MAXIFS(A:A,G:G,G10)+1-A10),"")</f>
        <v/>
      </c>
      <c r="R10" s="4">
        <f>MAX(T10,X10)</f>
        <v>32.1</v>
      </c>
      <c r="S10" s="4">
        <f>IF(R10=T10,MAX(V10,X10,Z10),IF(R10=X10,MAX(T10,V10,Z10),0))</f>
        <v>0</v>
      </c>
      <c r="T10" s="33">
        <v>32.1</v>
      </c>
      <c r="U10" s="40">
        <v>3.9000000000000004</v>
      </c>
      <c r="V10" s="34" t="s">
        <v>313</v>
      </c>
      <c r="W10" s="40" t="s">
        <v>313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$29&lt;&gt;"")*(G$3:G$29=G11)*(J$3:J$29&gt;J11)*(I$3:I$29="P"))+1,IF(O11&lt;&gt;"",SUMPRODUCT((O$3:O$29&lt;&gt;"")*(P$3:P$29="")*(G$3:G$29=G11)*(J$3:J$29&gt;J11)*(I$3:I$29="P"))+SUMPRODUCT((P$3:P$29&lt;&gt;"")*(G$3:G$29=G11)*(I$3:I$29="P"))+1,IF(N11&lt;&gt;"",SUMPRODUCT((N$3:N$29&lt;&gt;"")*(G$3:G$29=G11)*(J$3:J$29&gt;J11)*(I$3:I$29="P"))+1,IF(M11="P",SUMPRODUCT((O$3:O$29&lt;&gt;"")*(P$3:P$29="")*(G$3:G$29=G11)*(I$3:I$29="P"))+SUMPRODUCT((P$3:P$29&lt;&gt;"")*(G$3:G$29=G11)*(I$3:I$29="P"))+SUMPRODUCT((N$3:N$29&lt;&gt;"")*(G$3:G$29=G11)*(I$3:I$29="P"))+SUMPRODUCT((P$3:P$29="")*(O$3:O$29="")*(N$3:N$29="")*(M$3:M$29="P")*(G$3:G$29=G11)*(J$3:J$29&gt;J11)*(I$3:I$29="P"))+IF(H11="L5",SUMPRODUCT((P$3:P$29="")*(O$3:O$29="")*(N$3:N$29="")*(M$3:M$29="P")*(G$3:G$29=G11)*(J$3:J$29&lt;J11)*(H$3:H$29&lt;&gt;H11)*(I$3:I$29="P")),-1*SUMPRODUCT((P$3:P$29="")*(O$3:O$29="")*(N$3:N$29="")*(M$3:M$29="P")*(G$3:G$29=G11)*(J$3:J$29&gt;J11)*(H$3:H$29="L5")*(I$3:I$29="P")))+1,"")))))</f>
        <v/>
      </c>
      <c r="B11" s="1" t="str" cm="1">
        <f t="array" ref="B11">IF(P11&lt;&gt;"",SUMPRODUCT((P$3:P$29&lt;&gt;"")*(G$3:G$29=G11)*(J$3:J$29&gt;J11))+1,IF(O11&lt;&gt;"",SUMPRODUCT((O$3:O$29&lt;&gt;"")*(P$3:P$29="")*(G$3:G$29=G11)*(J$3:J$29&gt;J11))+SUMPRODUCT((P$3:P$29&lt;&gt;"")*(G$3:G$29=G11))+1,IF(N11&lt;&gt;"",SUMPRODUCT((N$3:N$29&lt;&gt;"")*(G$3:G$29=G11)*(J$3:J$29&gt;J11))+1,IF(M11="P",SUMPRODUCT((O$3:O$29&lt;&gt;"")*(P$3:P$29="")*(G$3:G$29=G11))+SUMPRODUCT((P$3:P$29&lt;&gt;"")*(G$3:G$29=G11))+SUMPRODUCT((N$3:N$29&lt;&gt;"")*(G$3:G$29=G11))+SUMPRODUCT((P$3:P$29="")*(O$3:O$29="")*(N$3:N$29="")*(M$3:M$29="P")*(G$3:G$29=G11)*(J$3:J$29&gt;J11))+IF(H11="L5",SUMPRODUCT((P$3:P$29="")*(O$3:O$29="")*(N$3:N$29="")*(M$3:M$29="P")*(G$3:G$29=G11)*(J$3:J$29&lt;J11)*(H$3:H$29&lt;&gt;H11)),-1*SUMPRODUCT((P$3:P$29="")*(O$3:O$29="")*(N$3:N$29="")*(M$3:M$29="P")*(G$3:G$29=G11)*(J$3:J$29&gt;J11)*(H$3:H$29="L5")))+1,""))))</f>
        <v/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85.700100000000006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1" t="str">
        <f>IF(A11&lt;5,IF(_xlfn.MAXIFS(A:A,G:G,G11)&gt;3,5-A11,_xlfn.MAXIFS(A:A,G:G,G11)+1-A11),"")</f>
        <v/>
      </c>
      <c r="R11" s="4">
        <f>MAX(T11,X11)</f>
        <v>42.5</v>
      </c>
      <c r="S11" s="4">
        <f>IF(R11=T11,MAX(V11,X11,Z11),IF(R11=X11,MAX(T11,V11,Z11),0))</f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$29&lt;&gt;"")*(G$3:G$29=G12)*(J$3:J$29&gt;J12)*(I$3:I$29="P"))+1,IF(O12&lt;&gt;"",SUMPRODUCT((O$3:O$29&lt;&gt;"")*(P$3:P$29="")*(G$3:G$29=G12)*(J$3:J$29&gt;J12)*(I$3:I$29="P"))+SUMPRODUCT((P$3:P$29&lt;&gt;"")*(G$3:G$29=G12)*(I$3:I$29="P"))+1,IF(N12&lt;&gt;"",SUMPRODUCT((N$3:N$29&lt;&gt;"")*(G$3:G$29=G12)*(J$3:J$29&gt;J12)*(I$3:I$29="P"))+1,IF(M12="P",SUMPRODUCT((O$3:O$29&lt;&gt;"")*(P$3:P$29="")*(G$3:G$29=G12)*(I$3:I$29="P"))+SUMPRODUCT((P$3:P$29&lt;&gt;"")*(G$3:G$29=G12)*(I$3:I$29="P"))+SUMPRODUCT((N$3:N$29&lt;&gt;"")*(G$3:G$29=G12)*(I$3:I$29="P"))+SUMPRODUCT((P$3:P$29="")*(O$3:O$29="")*(N$3:N$29="")*(M$3:M$29="P")*(G$3:G$29=G12)*(J$3:J$29&gt;J12)*(I$3:I$29="P"))+IF(H12="L5",SUMPRODUCT((P$3:P$29="")*(O$3:O$29="")*(N$3:N$29="")*(M$3:M$29="P")*(G$3:G$29=G12)*(J$3:J$29&lt;J12)*(H$3:H$29&lt;&gt;H12)*(I$3:I$29="P")),-1*SUMPRODUCT((P$3:P$29="")*(O$3:O$29="")*(N$3:N$29="")*(M$3:M$29="P")*(G$3:G$29=G12)*(J$3:J$29&gt;J12)*(H$3:H$29="L5")*(I$3:I$29="P")))+1,"")))))</f>
        <v/>
      </c>
      <c r="B12" s="1" t="str" cm="1">
        <f t="array" ref="B12">IF(P12&lt;&gt;"",SUMPRODUCT((P$3:P$29&lt;&gt;"")*(G$3:G$29=G12)*(J$3:J$29&gt;J12))+1,IF(O12&lt;&gt;"",SUMPRODUCT((O$3:O$29&lt;&gt;"")*(P$3:P$29="")*(G$3:G$29=G12)*(J$3:J$29&gt;J12))+SUMPRODUCT((P$3:P$29&lt;&gt;"")*(G$3:G$29=G12))+1,IF(N12&lt;&gt;"",SUMPRODUCT((N$3:N$29&lt;&gt;"")*(G$3:G$29=G12)*(J$3:J$29&gt;J12))+1,IF(M12="P",SUMPRODUCT((O$3:O$29&lt;&gt;"")*(P$3:P$29="")*(G$3:G$29=G12))+SUMPRODUCT((P$3:P$29&lt;&gt;"")*(G$3:G$29=G12))+SUMPRODUCT((N$3:N$29&lt;&gt;"")*(G$3:G$29=G12))+SUMPRODUCT((P$3:P$29="")*(O$3:O$29="")*(N$3:N$29="")*(M$3:M$29="P")*(G$3:G$29=G12)*(J$3:J$29&gt;J12))+IF(H12="L5",SUMPRODUCT((P$3:P$29="")*(O$3:O$29="")*(N$3:N$29="")*(M$3:M$29="P")*(G$3:G$29=G12)*(J$3:J$29&lt;J12)*(H$3:H$29&lt;&gt;H12)),-1*SUMPRODUCT((P$3:P$29="")*(O$3:O$29="")*(N$3:N$29="")*(M$3:M$29="P")*(G$3:G$29=G12)*(J$3:J$29&gt;J12)*(H$3:H$29="L5")))+1,""))))</f>
        <v/>
      </c>
      <c r="C12" s="36" t="s">
        <v>97</v>
      </c>
      <c r="D12" s="36" t="str">
        <f>IF(E12="","",VLOOKUP(E12,'Coaching Points'!A:B,2,0))</f>
        <v>BC</v>
      </c>
      <c r="E12" s="36" t="s">
        <v>57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84.300100000000015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MAX(T12,X12)</f>
        <v>42.2</v>
      </c>
      <c r="S12" s="4">
        <f>IF(R12=T12,MAX(V12,X12,Z12),IF(R12=X12,MAX(T12,V12,Z12),0))</f>
        <v>42.1</v>
      </c>
      <c r="T12" s="33">
        <v>42.2</v>
      </c>
      <c r="U12" s="40">
        <v>7.8999999999999995</v>
      </c>
      <c r="V12" s="34">
        <v>42.1</v>
      </c>
      <c r="W12" s="40">
        <v>7.3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$29&lt;&gt;"")*(G$3:G$29=G13)*(J$3:J$29&gt;J13)*(I$3:I$29="P"))+1,IF(O13&lt;&gt;"",SUMPRODUCT((O$3:O$29&lt;&gt;"")*(P$3:P$29="")*(G$3:G$29=G13)*(J$3:J$29&gt;J13)*(I$3:I$29="P"))+SUMPRODUCT((P$3:P$29&lt;&gt;"")*(G$3:G$29=G13)*(I$3:I$29="P"))+1,IF(N13&lt;&gt;"",SUMPRODUCT((N$3:N$29&lt;&gt;"")*(G$3:G$29=G13)*(J$3:J$29&gt;J13)*(I$3:I$29="P"))+1,IF(M13="P",SUMPRODUCT((O$3:O$29&lt;&gt;"")*(P$3:P$29="")*(G$3:G$29=G13)*(I$3:I$29="P"))+SUMPRODUCT((P$3:P$29&lt;&gt;"")*(G$3:G$29=G13)*(I$3:I$29="P"))+SUMPRODUCT((N$3:N$29&lt;&gt;"")*(G$3:G$29=G13)*(I$3:I$29="P"))+SUMPRODUCT((P$3:P$29="")*(O$3:O$29="")*(N$3:N$29="")*(M$3:M$29="P")*(G$3:G$29=G13)*(J$3:J$29&gt;J13)*(I$3:I$29="P"))+IF(H13="L5",SUMPRODUCT((P$3:P$29="")*(O$3:O$29="")*(N$3:N$29="")*(M$3:M$29="P")*(G$3:G$29=G13)*(J$3:J$29&lt;J13)*(H$3:H$29&lt;&gt;H13)*(I$3:I$29="P")),-1*SUMPRODUCT((P$3:P$29="")*(O$3:O$29="")*(N$3:N$29="")*(M$3:M$29="P")*(G$3:G$29=G13)*(J$3:J$29&gt;J13)*(H$3:H$29="L5")*(I$3:I$29="P")))+1,"")))))</f>
        <v/>
      </c>
      <c r="B13" s="1" t="str" cm="1">
        <f t="array" ref="B13">IF(P13&lt;&gt;"",SUMPRODUCT((P$3:P$29&lt;&gt;"")*(G$3:G$29=G13)*(J$3:J$29&gt;J13))+1,IF(O13&lt;&gt;"",SUMPRODUCT((O$3:O$29&lt;&gt;"")*(P$3:P$29="")*(G$3:G$29=G13)*(J$3:J$29&gt;J13))+SUMPRODUCT((P$3:P$29&lt;&gt;"")*(G$3:G$29=G13))+1,IF(N13&lt;&gt;"",SUMPRODUCT((N$3:N$29&lt;&gt;"")*(G$3:G$29=G13)*(J$3:J$29&gt;J13))+1,IF(M13="P",SUMPRODUCT((O$3:O$29&lt;&gt;"")*(P$3:P$29="")*(G$3:G$29=G13))+SUMPRODUCT((P$3:P$29&lt;&gt;"")*(G$3:G$29=G13))+SUMPRODUCT((N$3:N$29&lt;&gt;"")*(G$3:G$29=G13))+SUMPRODUCT((P$3:P$29="")*(O$3:O$29="")*(N$3:N$29="")*(M$3:M$29="P")*(G$3:G$29=G13)*(J$3:J$29&gt;J13))+IF(H13="L5",SUMPRODUCT((P$3:P$29="")*(O$3:O$29="")*(N$3:N$29="")*(M$3:M$29="P")*(G$3:G$29=G13)*(J$3:J$29&lt;J13)*(H$3:H$29&lt;&gt;H13)),-1*SUMPRODUCT((P$3:P$29="")*(O$3:O$29="")*(N$3:N$29="")*(M$3:M$29="P")*(G$3:G$29=G13)*(J$3:J$29&gt;J13)*(H$3:H$29="L5")))+1,""))))</f>
        <v/>
      </c>
      <c r="C13" s="36" t="s">
        <v>164</v>
      </c>
      <c r="D13" s="36" t="str">
        <f>IF(E13="","",VLOOKUP(E13,'Coaching Points'!A:B,2,0))</f>
        <v>QC</v>
      </c>
      <c r="E13" s="36" t="s">
        <v>203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>R13+S13+IF(OR(H13="Junior",H13="Senior"),0.0002,IF(OR(H13="L7",H13="L6"),0.0001,0))+MAX(X13,Z13)*0.0000001</f>
        <v>82.9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MAX(T13,X13)</f>
        <v>40.799999999999997</v>
      </c>
      <c r="S13" s="4">
        <f>IF(R13=T13,MAX(V13,X13,Z13),IF(R13=X13,MAX(T13,V13,Z13),0))</f>
        <v>42.1</v>
      </c>
      <c r="T13" s="33">
        <v>40.799999999999997</v>
      </c>
      <c r="U13" s="40">
        <v>6</v>
      </c>
      <c r="V13" s="34">
        <v>42.1</v>
      </c>
      <c r="W13" s="40">
        <v>6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$29&lt;&gt;"")*(G$3:G$29=G14)*(J$3:J$29&gt;J14)*(I$3:I$29="P"))+1,IF(O14&lt;&gt;"",SUMPRODUCT((O$3:O$29&lt;&gt;"")*(P$3:P$29="")*(G$3:G$29=G14)*(J$3:J$29&gt;J14)*(I$3:I$29="P"))+SUMPRODUCT((P$3:P$29&lt;&gt;"")*(G$3:G$29=G14)*(I$3:I$29="P"))+1,IF(N14&lt;&gt;"",SUMPRODUCT((N$3:N$29&lt;&gt;"")*(G$3:G$29=G14)*(J$3:J$29&gt;J14)*(I$3:I$29="P"))+1,IF(M14="P",SUMPRODUCT((O$3:O$29&lt;&gt;"")*(P$3:P$29="")*(G$3:G$29=G14)*(I$3:I$29="P"))+SUMPRODUCT((P$3:P$29&lt;&gt;"")*(G$3:G$29=G14)*(I$3:I$29="P"))+SUMPRODUCT((N$3:N$29&lt;&gt;"")*(G$3:G$29=G14)*(I$3:I$29="P"))+SUMPRODUCT((P$3:P$29="")*(O$3:O$29="")*(N$3:N$29="")*(M$3:M$29="P")*(G$3:G$29=G14)*(J$3:J$29&gt;J14)*(I$3:I$29="P"))+IF(H14="L5",SUMPRODUCT((P$3:P$29="")*(O$3:O$29="")*(N$3:N$29="")*(M$3:M$29="P")*(G$3:G$29=G14)*(J$3:J$29&lt;J14)*(H$3:H$29&lt;&gt;H14)*(I$3:I$29="P")),-1*SUMPRODUCT((P$3:P$29="")*(O$3:O$29="")*(N$3:N$29="")*(M$3:M$29="P")*(G$3:G$29=G14)*(J$3:J$29&gt;J14)*(H$3:H$29="L5")*(I$3:I$29="P")))+1,"")))))</f>
        <v/>
      </c>
      <c r="B14" s="1" t="str" cm="1">
        <f t="array" ref="B14">IF(P14&lt;&gt;"",SUMPRODUCT((P$3:P$29&lt;&gt;"")*(G$3:G$29=G14)*(J$3:J$29&gt;J14))+1,IF(O14&lt;&gt;"",SUMPRODUCT((O$3:O$29&lt;&gt;"")*(P$3:P$29="")*(G$3:G$29=G14)*(J$3:J$29&gt;J14))+SUMPRODUCT((P$3:P$29&lt;&gt;"")*(G$3:G$29=G14))+1,IF(N14&lt;&gt;"",SUMPRODUCT((N$3:N$29&lt;&gt;"")*(G$3:G$29=G14)*(J$3:J$29&gt;J14))+1,IF(M14="P",SUMPRODUCT((O$3:O$29&lt;&gt;"")*(P$3:P$29="")*(G$3:G$29=G14))+SUMPRODUCT((P$3:P$29&lt;&gt;"")*(G$3:G$29=G14))+SUMPRODUCT((N$3:N$29&lt;&gt;"")*(G$3:G$29=G14))+SUMPRODUCT((P$3:P$29="")*(O$3:O$29="")*(N$3:N$29="")*(M$3:M$29="P")*(G$3:G$29=G14)*(J$3:J$29&gt;J14))+IF(H14="L5",SUMPRODUCT((P$3:P$29="")*(O$3:O$29="")*(N$3:N$29="")*(M$3:M$29="P")*(G$3:G$29=G14)*(J$3:J$29&lt;J14)*(H$3:H$29&lt;&gt;H14)),-1*SUMPRODUCT((P$3:P$29="")*(O$3:O$29="")*(N$3:N$29="")*(M$3:M$29="P")*(G$3:G$29=G14)*(J$3:J$29&gt;J14)*(H$3:H$29="L5")))+1,""))))</f>
        <v/>
      </c>
      <c r="C14" s="36" t="s">
        <v>166</v>
      </c>
      <c r="D14" s="36" t="str">
        <f>IF(E14="","",VLOOKUP(E14,'Coaching Points'!A:B,2,0))</f>
        <v>BC</v>
      </c>
      <c r="E14" s="36" t="s">
        <v>284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81.5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MAX(T14,X14)</f>
        <v>39.799999999999997</v>
      </c>
      <c r="S14" s="4">
        <f>IF(R14=T14,MAX(V14,X14,Z14),IF(R14=X14,MAX(T14,V14,Z14),0))</f>
        <v>41.7</v>
      </c>
      <c r="T14" s="33">
        <v>39.799999999999997</v>
      </c>
      <c r="U14" s="40">
        <v>5.3000000000000007</v>
      </c>
      <c r="V14" s="34">
        <v>41.7</v>
      </c>
      <c r="W14" s="40">
        <v>6.6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$29&lt;&gt;"")*(G$3:G$29=G15)*(J$3:J$29&gt;J15)*(I$3:I$29="P"))+1,IF(O15&lt;&gt;"",SUMPRODUCT((O$3:O$29&lt;&gt;"")*(P$3:P$29="")*(G$3:G$29=G15)*(J$3:J$29&gt;J15)*(I$3:I$29="P"))+SUMPRODUCT((P$3:P$29&lt;&gt;"")*(G$3:G$29=G15)*(I$3:I$29="P"))+1,IF(N15&lt;&gt;"",SUMPRODUCT((N$3:N$29&lt;&gt;"")*(G$3:G$29=G15)*(J$3:J$29&gt;J15)*(I$3:I$29="P"))+1,IF(M15="P",SUMPRODUCT((O$3:O$29&lt;&gt;"")*(P$3:P$29="")*(G$3:G$29=G15)*(I$3:I$29="P"))+SUMPRODUCT((P$3:P$29&lt;&gt;"")*(G$3:G$29=G15)*(I$3:I$29="P"))+SUMPRODUCT((N$3:N$29&lt;&gt;"")*(G$3:G$29=G15)*(I$3:I$29="P"))+SUMPRODUCT((P$3:P$29="")*(O$3:O$29="")*(N$3:N$29="")*(M$3:M$29="P")*(G$3:G$29=G15)*(J$3:J$29&gt;J15)*(I$3:I$29="P"))+IF(H15="L5",SUMPRODUCT((P$3:P$29="")*(O$3:O$29="")*(N$3:N$29="")*(M$3:M$29="P")*(G$3:G$29=G15)*(J$3:J$29&lt;J15)*(H$3:H$29&lt;&gt;H15)*(I$3:I$29="P")),-1*SUMPRODUCT((P$3:P$29="")*(O$3:O$29="")*(N$3:N$29="")*(M$3:M$29="P")*(G$3:G$29=G15)*(J$3:J$29&gt;J15)*(H$3:H$29="L5")*(I$3:I$29="P")))+1,"")))))</f>
        <v/>
      </c>
      <c r="B15" s="1" t="str" cm="1">
        <f t="array" ref="B15">IF(P15&lt;&gt;"",SUMPRODUCT((P$3:P$29&lt;&gt;"")*(G$3:G$29=G15)*(J$3:J$29&gt;J15))+1,IF(O15&lt;&gt;"",SUMPRODUCT((O$3:O$29&lt;&gt;"")*(P$3:P$29="")*(G$3:G$29=G15)*(J$3:J$29&gt;J15))+SUMPRODUCT((P$3:P$29&lt;&gt;"")*(G$3:G$29=G15))+1,IF(N15&lt;&gt;"",SUMPRODUCT((N$3:N$29&lt;&gt;"")*(G$3:G$29=G15)*(J$3:J$29&gt;J15))+1,IF(M15="P",SUMPRODUCT((O$3:O$29&lt;&gt;"")*(P$3:P$29="")*(G$3:G$29=G15))+SUMPRODUCT((P$3:P$29&lt;&gt;"")*(G$3:G$29=G15))+SUMPRODUCT((N$3:N$29&lt;&gt;"")*(G$3:G$29=G15))+SUMPRODUCT((P$3:P$29="")*(O$3:O$29="")*(N$3:N$29="")*(M$3:M$29="P")*(G$3:G$29=G15)*(J$3:J$29&gt;J15))+IF(H15="L5",SUMPRODUCT((P$3:P$29="")*(O$3:O$29="")*(N$3:N$29="")*(M$3:M$29="P")*(G$3:G$29=G15)*(J$3:J$29&lt;J15)*(H$3:H$29&lt;&gt;H15)),-1*SUMPRODUCT((P$3:P$29="")*(O$3:O$29="")*(N$3:N$29="")*(M$3:M$29="P")*(G$3:G$29=G15)*(J$3:J$29&gt;J15)*(H$3:H$29="L5")))+1,""))))</f>
        <v/>
      </c>
      <c r="C15" s="36" t="s">
        <v>165</v>
      </c>
      <c r="D15" s="36" t="str">
        <f>IF(E15="","",VLOOKUP(E15,'Coaching Points'!A:B,2,0))</f>
        <v>ON</v>
      </c>
      <c r="E15" s="36" t="s">
        <v>100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>R15+S15+IF(OR(H15="Junior",H15="Senior"),0.0002,IF(OR(H15="L7",H15="L6"),0.0001,0))+MAX(X15,Z15)*0.0000001</f>
        <v>79.300000000000011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MAX(T15,X15)</f>
        <v>38.700000000000003</v>
      </c>
      <c r="S15" s="4">
        <f>IF(R15=T15,MAX(V15,X15,Z15),IF(R15=X15,MAX(T15,V15,Z15),0))</f>
        <v>40.6</v>
      </c>
      <c r="T15" s="33">
        <v>38.700000000000003</v>
      </c>
      <c r="U15" s="40">
        <v>5.6999999999999993</v>
      </c>
      <c r="V15" s="34">
        <v>40.6</v>
      </c>
      <c r="W15" s="40">
        <v>6.4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$29&lt;&gt;"")*(G$3:G$29=G16)*(J$3:J$29&gt;J16)*(I$3:I$29="P"))+1,IF(O16&lt;&gt;"",SUMPRODUCT((O$3:O$29&lt;&gt;"")*(P$3:P$29="")*(G$3:G$29=G16)*(J$3:J$29&gt;J16)*(I$3:I$29="P"))+SUMPRODUCT((P$3:P$29&lt;&gt;"")*(G$3:G$29=G16)*(I$3:I$29="P"))+1,IF(N16&lt;&gt;"",SUMPRODUCT((N$3:N$29&lt;&gt;"")*(G$3:G$29=G16)*(J$3:J$29&gt;J16)*(I$3:I$29="P"))+1,IF(M16="P",SUMPRODUCT((O$3:O$29&lt;&gt;"")*(P$3:P$29="")*(G$3:G$29=G16)*(I$3:I$29="P"))+SUMPRODUCT((P$3:P$29&lt;&gt;"")*(G$3:G$29=G16)*(I$3:I$29="P"))+SUMPRODUCT((N$3:N$29&lt;&gt;"")*(G$3:G$29=G16)*(I$3:I$29="P"))+SUMPRODUCT((P$3:P$29="")*(O$3:O$29="")*(N$3:N$29="")*(M$3:M$29="P")*(G$3:G$29=G16)*(J$3:J$29&gt;J16)*(I$3:I$29="P"))+IF(H16="L5",SUMPRODUCT((P$3:P$29="")*(O$3:O$29="")*(N$3:N$29="")*(M$3:M$29="P")*(G$3:G$29=G16)*(J$3:J$29&lt;J16)*(H$3:H$29&lt;&gt;H16)*(I$3:I$29="P")),-1*SUMPRODUCT((P$3:P$29="")*(O$3:O$29="")*(N$3:N$29="")*(M$3:M$29="P")*(G$3:G$29=G16)*(J$3:J$29&gt;J16)*(H$3:H$29="L5")*(I$3:I$29="P")))+1,"")))))</f>
        <v/>
      </c>
      <c r="B16" s="1" t="str" cm="1">
        <f t="array" ref="B16">IF(P16&lt;&gt;"",SUMPRODUCT((P$3:P$29&lt;&gt;"")*(G$3:G$29=G16)*(J$3:J$29&gt;J16))+1,IF(O16&lt;&gt;"",SUMPRODUCT((O$3:O$29&lt;&gt;"")*(P$3:P$29="")*(G$3:G$29=G16)*(J$3:J$29&gt;J16))+SUMPRODUCT((P$3:P$29&lt;&gt;"")*(G$3:G$29=G16))+1,IF(N16&lt;&gt;"",SUMPRODUCT((N$3:N$29&lt;&gt;"")*(G$3:G$29=G16)*(J$3:J$29&gt;J16))+1,IF(M16="P",SUMPRODUCT((O$3:O$29&lt;&gt;"")*(P$3:P$29="")*(G$3:G$29=G16))+SUMPRODUCT((P$3:P$29&lt;&gt;"")*(G$3:G$29=G16))+SUMPRODUCT((N$3:N$29&lt;&gt;"")*(G$3:G$29=G16))+SUMPRODUCT((P$3:P$29="")*(O$3:O$29="")*(N$3:N$29="")*(M$3:M$29="P")*(G$3:G$29=G16)*(J$3:J$29&gt;J16))+IF(H16="L5",SUMPRODUCT((P$3:P$29="")*(O$3:O$29="")*(N$3:N$29="")*(M$3:M$29="P")*(G$3:G$29=G16)*(J$3:J$29&lt;J16)*(H$3:H$29&lt;&gt;H16)),-1*SUMPRODUCT((P$3:P$29="")*(O$3:O$29="")*(N$3:N$29="")*(M$3:M$29="P")*(G$3:G$29=G16)*(J$3:J$29&gt;J16)*(H$3:H$29="L5")))+1,""))))</f>
        <v/>
      </c>
      <c r="C16" s="36" t="s">
        <v>350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79.199999999999989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MAX(T16,X16)</f>
        <v>38.799999999999997</v>
      </c>
      <c r="S16" s="4">
        <f>IF(R16=T16,MAX(V16,X16,Z16),IF(R16=X16,MAX(T16,V16,Z16),0))</f>
        <v>40.4</v>
      </c>
      <c r="T16" s="33">
        <v>38.799999999999997</v>
      </c>
      <c r="U16" s="40">
        <v>7.3</v>
      </c>
      <c r="V16" s="34">
        <v>40.4</v>
      </c>
      <c r="W16" s="40">
        <v>7.5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$29&lt;&gt;"")*(G$3:G$29=G17)*(J$3:J$29&gt;J17)*(I$3:I$29="P"))+1,IF(O17&lt;&gt;"",SUMPRODUCT((O$3:O$29&lt;&gt;"")*(P$3:P$29="")*(G$3:G$29=G17)*(J$3:J$29&gt;J17)*(I$3:I$29="P"))+SUMPRODUCT((P$3:P$29&lt;&gt;"")*(G$3:G$29=G17)*(I$3:I$29="P"))+1,IF(N17&lt;&gt;"",SUMPRODUCT((N$3:N$29&lt;&gt;"")*(G$3:G$29=G17)*(J$3:J$29&gt;J17)*(I$3:I$29="P"))+1,IF(M17="P",SUMPRODUCT((O$3:O$29&lt;&gt;"")*(P$3:P$29="")*(G$3:G$29=G17)*(I$3:I$29="P"))+SUMPRODUCT((P$3:P$29&lt;&gt;"")*(G$3:G$29=G17)*(I$3:I$29="P"))+SUMPRODUCT((N$3:N$29&lt;&gt;"")*(G$3:G$29=G17)*(I$3:I$29="P"))+SUMPRODUCT((P$3:P$29="")*(O$3:O$29="")*(N$3:N$29="")*(M$3:M$29="P")*(G$3:G$29=G17)*(J$3:J$29&gt;J17)*(I$3:I$29="P"))+IF(H17="L5",SUMPRODUCT((P$3:P$29="")*(O$3:O$29="")*(N$3:N$29="")*(M$3:M$29="P")*(G$3:G$29=G17)*(J$3:J$29&lt;J17)*(H$3:H$29&lt;&gt;H17)*(I$3:I$29="P")),-1*SUMPRODUCT((P$3:P$29="")*(O$3:O$29="")*(N$3:N$29="")*(M$3:M$29="P")*(G$3:G$29=G17)*(J$3:J$29&gt;J17)*(H$3:H$29="L5")*(I$3:I$29="P")))+1,"")))))</f>
        <v/>
      </c>
      <c r="B17" s="1" t="str" cm="1">
        <f t="array" ref="B17">IF(P17&lt;&gt;"",SUMPRODUCT((P$3:P$29&lt;&gt;"")*(G$3:G$29=G17)*(J$3:J$29&gt;J17))+1,IF(O17&lt;&gt;"",SUMPRODUCT((O$3:O$29&lt;&gt;"")*(P$3:P$29="")*(G$3:G$29=G17)*(J$3:J$29&gt;J17))+SUMPRODUCT((P$3:P$29&lt;&gt;"")*(G$3:G$29=G17))+1,IF(N17&lt;&gt;"",SUMPRODUCT((N$3:N$29&lt;&gt;"")*(G$3:G$29=G17)*(J$3:J$29&gt;J17))+1,IF(M17="P",SUMPRODUCT((O$3:O$29&lt;&gt;"")*(P$3:P$29="")*(G$3:G$29=G17))+SUMPRODUCT((P$3:P$29&lt;&gt;"")*(G$3:G$29=G17))+SUMPRODUCT((N$3:N$29&lt;&gt;"")*(G$3:G$29=G17))+SUMPRODUCT((P$3:P$29="")*(O$3:O$29="")*(N$3:N$29="")*(M$3:M$29="P")*(G$3:G$29=G17)*(J$3:J$29&gt;J17))+IF(H17="L5",SUMPRODUCT((P$3:P$29="")*(O$3:O$29="")*(N$3:N$29="")*(M$3:M$29="P")*(G$3:G$29=G17)*(J$3:J$29&lt;J17)*(H$3:H$29&lt;&gt;H17)),-1*SUMPRODUCT((P$3:P$29="")*(O$3:O$29="")*(N$3:N$29="")*(M$3:M$29="P")*(G$3:G$29=G17)*(J$3:J$29&gt;J17)*(H$3:H$29="L5")))+1,""))))</f>
        <v/>
      </c>
      <c r="C17" s="36" t="s">
        <v>279</v>
      </c>
      <c r="D17" s="36" t="str">
        <f>IF(E17="","",VLOOKUP(E17,'Coaching Points'!A:B,2,0))</f>
        <v>QC</v>
      </c>
      <c r="E17" s="36" t="s">
        <v>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76.3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MAX(T17,X17)</f>
        <v>38.799999999999997</v>
      </c>
      <c r="S17" s="4">
        <f>IF(R17=T17,MAX(V17,X17,Z17),IF(R17=X17,MAX(T17,V17,Z17),0))</f>
        <v>37.5</v>
      </c>
      <c r="T17" s="33">
        <v>38.799999999999997</v>
      </c>
      <c r="U17" s="40">
        <v>5.5</v>
      </c>
      <c r="V17" s="34">
        <v>37.5</v>
      </c>
      <c r="W17" s="40">
        <v>6.7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$29&lt;&gt;"")*(G$3:G$29=G18)*(J$3:J$29&gt;J18)*(I$3:I$29="P"))+1,IF(O18&lt;&gt;"",SUMPRODUCT((O$3:O$29&lt;&gt;"")*(P$3:P$29="")*(G$3:G$29=G18)*(J$3:J$29&gt;J18)*(I$3:I$29="P"))+SUMPRODUCT((P$3:P$29&lt;&gt;"")*(G$3:G$29=G18)*(I$3:I$29="P"))+1,IF(N18&lt;&gt;"",SUMPRODUCT((N$3:N$29&lt;&gt;"")*(G$3:G$29=G18)*(J$3:J$29&gt;J18)*(I$3:I$29="P"))+1,IF(M18="P",SUMPRODUCT((O$3:O$29&lt;&gt;"")*(P$3:P$29="")*(G$3:G$29=G18)*(I$3:I$29="P"))+SUMPRODUCT((P$3:P$29&lt;&gt;"")*(G$3:G$29=G18)*(I$3:I$29="P"))+SUMPRODUCT((N$3:N$29&lt;&gt;"")*(G$3:G$29=G18)*(I$3:I$29="P"))+SUMPRODUCT((P$3:P$29="")*(O$3:O$29="")*(N$3:N$29="")*(M$3:M$29="P")*(G$3:G$29=G18)*(J$3:J$29&gt;J18)*(I$3:I$29="P"))+IF(H18="L5",SUMPRODUCT((P$3:P$29="")*(O$3:O$29="")*(N$3:N$29="")*(M$3:M$29="P")*(G$3:G$29=G18)*(J$3:J$29&lt;J18)*(H$3:H$29&lt;&gt;H18)*(I$3:I$29="P")),-1*SUMPRODUCT((P$3:P$29="")*(O$3:O$29="")*(N$3:N$29="")*(M$3:M$29="P")*(G$3:G$29=G18)*(J$3:J$29&gt;J18)*(H$3:H$29="L5")*(I$3:I$29="P")))+1,"")))))</f>
        <v/>
      </c>
      <c r="B18" s="1" t="str" cm="1">
        <f t="array" ref="B18">IF(P18&lt;&gt;"",SUMPRODUCT((P$3:P$29&lt;&gt;"")*(G$3:G$29=G18)*(J$3:J$29&gt;J18))+1,IF(O18&lt;&gt;"",SUMPRODUCT((O$3:O$29&lt;&gt;"")*(P$3:P$29="")*(G$3:G$29=G18)*(J$3:J$29&gt;J18))+SUMPRODUCT((P$3:P$29&lt;&gt;"")*(G$3:G$29=G18))+1,IF(N18&lt;&gt;"",SUMPRODUCT((N$3:N$29&lt;&gt;"")*(G$3:G$29=G18)*(J$3:J$29&gt;J18))+1,IF(M18="P",SUMPRODUCT((O$3:O$29&lt;&gt;"")*(P$3:P$29="")*(G$3:G$29=G18))+SUMPRODUCT((P$3:P$29&lt;&gt;"")*(G$3:G$29=G18))+SUMPRODUCT((N$3:N$29&lt;&gt;"")*(G$3:G$29=G18))+SUMPRODUCT((P$3:P$29="")*(O$3:O$29="")*(N$3:N$29="")*(M$3:M$29="P")*(G$3:G$29=G18)*(J$3:J$29&gt;J18))+IF(H18="L5",SUMPRODUCT((P$3:P$29="")*(O$3:O$29="")*(N$3:N$29="")*(M$3:M$29="P")*(G$3:G$29=G18)*(J$3:J$29&lt;J18)*(H$3:H$29&lt;&gt;H18)),-1*SUMPRODUCT((P$3:P$29="")*(O$3:O$29="")*(N$3:N$29="")*(M$3:M$29="P")*(G$3:G$29=G18)*(J$3:J$29&gt;J18)*(H$3:H$29="L5")))+1,""))))</f>
        <v/>
      </c>
      <c r="C18" s="36" t="s">
        <v>168</v>
      </c>
      <c r="D18" s="36" t="str">
        <f>IF(E18="","",VLOOKUP(E18,'Coaching Points'!A:B,2,0))</f>
        <v>AB</v>
      </c>
      <c r="E18" s="36" t="s">
        <v>64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75.699999999999989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MAX(T18,X18)</f>
        <v>35.799999999999997</v>
      </c>
      <c r="S18" s="4">
        <f>IF(R18=T18,MAX(V18,X18,Z18),IF(R18=X18,MAX(T18,V18,Z18),0))</f>
        <v>39.9</v>
      </c>
      <c r="T18" s="33">
        <v>35.799999999999997</v>
      </c>
      <c r="U18" s="40">
        <v>4.4000000000000004</v>
      </c>
      <c r="V18" s="34">
        <v>39.9</v>
      </c>
      <c r="W18" s="40">
        <v>6.4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$29&lt;&gt;"")*(G$3:G$29=G19)*(J$3:J$29&gt;J19)*(I$3:I$29="P"))+1,IF(O19&lt;&gt;"",SUMPRODUCT((O$3:O$29&lt;&gt;"")*(P$3:P$29="")*(G$3:G$29=G19)*(J$3:J$29&gt;J19)*(I$3:I$29="P"))+SUMPRODUCT((P$3:P$29&lt;&gt;"")*(G$3:G$29=G19)*(I$3:I$29="P"))+1,IF(N19&lt;&gt;"",SUMPRODUCT((N$3:N$29&lt;&gt;"")*(G$3:G$29=G19)*(J$3:J$29&gt;J19)*(I$3:I$29="P"))+1,IF(M19="P",SUMPRODUCT((O$3:O$29&lt;&gt;"")*(P$3:P$29="")*(G$3:G$29=G19)*(I$3:I$29="P"))+SUMPRODUCT((P$3:P$29&lt;&gt;"")*(G$3:G$29=G19)*(I$3:I$29="P"))+SUMPRODUCT((N$3:N$29&lt;&gt;"")*(G$3:G$29=G19)*(I$3:I$29="P"))+SUMPRODUCT((P$3:P$29="")*(O$3:O$29="")*(N$3:N$29="")*(M$3:M$29="P")*(G$3:G$29=G19)*(J$3:J$29&gt;J19)*(I$3:I$29="P"))+IF(H19="L5",SUMPRODUCT((P$3:P$29="")*(O$3:O$29="")*(N$3:N$29="")*(M$3:M$29="P")*(G$3:G$29=G19)*(J$3:J$29&lt;J19)*(H$3:H$29&lt;&gt;H19)*(I$3:I$29="P")),-1*SUMPRODUCT((P$3:P$29="")*(O$3:O$29="")*(N$3:N$29="")*(M$3:M$29="P")*(G$3:G$29=G19)*(J$3:J$29&gt;J19)*(H$3:H$29="L5")*(I$3:I$29="P")))+1,"")))))</f>
        <v/>
      </c>
      <c r="B19" s="1" t="str" cm="1">
        <f t="array" ref="B19">IF(P19&lt;&gt;"",SUMPRODUCT((P$3:P$29&lt;&gt;"")*(G$3:G$29=G19)*(J$3:J$29&gt;J19))+1,IF(O19&lt;&gt;"",SUMPRODUCT((O$3:O$29&lt;&gt;"")*(P$3:P$29="")*(G$3:G$29=G19)*(J$3:J$29&gt;J19))+SUMPRODUCT((P$3:P$29&lt;&gt;"")*(G$3:G$29=G19))+1,IF(N19&lt;&gt;"",SUMPRODUCT((N$3:N$29&lt;&gt;"")*(G$3:G$29=G19)*(J$3:J$29&gt;J19))+1,IF(M19="P",SUMPRODUCT((O$3:O$29&lt;&gt;"")*(P$3:P$29="")*(G$3:G$29=G19))+SUMPRODUCT((P$3:P$29&lt;&gt;"")*(G$3:G$29=G19))+SUMPRODUCT((N$3:N$29&lt;&gt;"")*(G$3:G$29=G19))+SUMPRODUCT((P$3:P$29="")*(O$3:O$29="")*(N$3:N$29="")*(M$3:M$29="P")*(G$3:G$29=G19)*(J$3:J$29&gt;J19))+IF(H19="L5",SUMPRODUCT((P$3:P$29="")*(O$3:O$29="")*(N$3:N$29="")*(M$3:M$29="P")*(G$3:G$29=G19)*(J$3:J$29&lt;J19)*(H$3:H$29&lt;&gt;H19)),-1*SUMPRODUCT((P$3:P$29="")*(O$3:O$29="")*(N$3:N$29="")*(M$3:M$29="P")*(G$3:G$29=G19)*(J$3:J$29&gt;J19)*(H$3:H$29="L5")))+1,""))))</f>
        <v/>
      </c>
      <c r="C19" s="36" t="s">
        <v>277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73.300000000000011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MAX(T19,X19)</f>
        <v>35.700000000000003</v>
      </c>
      <c r="S19" s="4">
        <f>IF(R19=T19,MAX(V19,X19,Z19),IF(R19=X19,MAX(T19,V19,Z19),0))</f>
        <v>37.6</v>
      </c>
      <c r="T19" s="33">
        <v>35.700000000000003</v>
      </c>
      <c r="U19" s="40">
        <v>7.8</v>
      </c>
      <c r="V19" s="34">
        <v>37.6</v>
      </c>
      <c r="W19" s="40">
        <v>5.8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$29&lt;&gt;"")*(G$3:G$29=G20)*(J$3:J$29&gt;J20)*(I$3:I$29="P"))+1,IF(O20&lt;&gt;"",SUMPRODUCT((O$3:O$29&lt;&gt;"")*(P$3:P$29="")*(G$3:G$29=G20)*(J$3:J$29&gt;J20)*(I$3:I$29="P"))+SUMPRODUCT((P$3:P$29&lt;&gt;"")*(G$3:G$29=G20)*(I$3:I$29="P"))+1,IF(N20&lt;&gt;"",SUMPRODUCT((N$3:N$29&lt;&gt;"")*(G$3:G$29=G20)*(J$3:J$29&gt;J20)*(I$3:I$29="P"))+1,IF(M20="P",SUMPRODUCT((O$3:O$29&lt;&gt;"")*(P$3:P$29="")*(G$3:G$29=G20)*(I$3:I$29="P"))+SUMPRODUCT((P$3:P$29&lt;&gt;"")*(G$3:G$29=G20)*(I$3:I$29="P"))+SUMPRODUCT((N$3:N$29&lt;&gt;"")*(G$3:G$29=G20)*(I$3:I$29="P"))+SUMPRODUCT((P$3:P$29="")*(O$3:O$29="")*(N$3:N$29="")*(M$3:M$29="P")*(G$3:G$29=G20)*(J$3:J$29&gt;J20)*(I$3:I$29="P"))+IF(H20="L5",SUMPRODUCT((P$3:P$29="")*(O$3:O$29="")*(N$3:N$29="")*(M$3:M$29="P")*(G$3:G$29=G20)*(J$3:J$29&lt;J20)*(H$3:H$29&lt;&gt;H20)*(I$3:I$29="P")),-1*SUMPRODUCT((P$3:P$29="")*(O$3:O$29="")*(N$3:N$29="")*(M$3:M$29="P")*(G$3:G$29=G20)*(J$3:J$29&gt;J20)*(H$3:H$29="L5")*(I$3:I$29="P")))+1,"")))))</f>
        <v/>
      </c>
      <c r="B20" s="1" t="str" cm="1">
        <f t="array" ref="B20">IF(P20&lt;&gt;"",SUMPRODUCT((P$3:P$29&lt;&gt;"")*(G$3:G$29=G20)*(J$3:J$29&gt;J20))+1,IF(O20&lt;&gt;"",SUMPRODUCT((O$3:O$29&lt;&gt;"")*(P$3:P$29="")*(G$3:G$29=G20)*(J$3:J$29&gt;J20))+SUMPRODUCT((P$3:P$29&lt;&gt;"")*(G$3:G$29=G20))+1,IF(N20&lt;&gt;"",SUMPRODUCT((N$3:N$29&lt;&gt;"")*(G$3:G$29=G20)*(J$3:J$29&gt;J20))+1,IF(M20="P",SUMPRODUCT((O$3:O$29&lt;&gt;"")*(P$3:P$29="")*(G$3:G$29=G20))+SUMPRODUCT((P$3:P$29&lt;&gt;"")*(G$3:G$29=G20))+SUMPRODUCT((N$3:N$29&lt;&gt;"")*(G$3:G$29=G20))+SUMPRODUCT((P$3:P$29="")*(O$3:O$29="")*(N$3:N$29="")*(M$3:M$29="P")*(G$3:G$29=G20)*(J$3:J$29&gt;J20))+IF(H20="L5",SUMPRODUCT((P$3:P$29="")*(O$3:O$29="")*(N$3:N$29="")*(M$3:M$29="P")*(G$3:G$29=G20)*(J$3:J$29&lt;J20)*(H$3:H$29&lt;&gt;H20)),-1*SUMPRODUCT((P$3:P$29="")*(O$3:O$29="")*(N$3:N$29="")*(M$3:M$29="P")*(G$3:G$29=G20)*(J$3:J$29&gt;J20)*(H$3:H$29="L5")))+1,""))))</f>
        <v/>
      </c>
      <c r="C20" s="36" t="s">
        <v>322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72.199999999999989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MAX(T20,X20)</f>
        <v>32.9</v>
      </c>
      <c r="S20" s="4">
        <f>IF(R20=T20,MAX(V20,X20,Z20),IF(R20=X20,MAX(T20,V20,Z20),0))</f>
        <v>39.299999999999997</v>
      </c>
      <c r="T20" s="33">
        <v>32.9</v>
      </c>
      <c r="U20" s="40">
        <v>6</v>
      </c>
      <c r="V20" s="34">
        <v>39.299999999999997</v>
      </c>
      <c r="W20" s="40">
        <v>7.1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$29&lt;&gt;"")*(G$3:G$29=G21)*(J$3:J$29&gt;J21)*(I$3:I$29="P"))+1,IF(O21&lt;&gt;"",SUMPRODUCT((O$3:O$29&lt;&gt;"")*(P$3:P$29="")*(G$3:G$29=G21)*(J$3:J$29&gt;J21)*(I$3:I$29="P"))+SUMPRODUCT((P$3:P$29&lt;&gt;"")*(G$3:G$29=G21)*(I$3:I$29="P"))+1,IF(N21&lt;&gt;"",SUMPRODUCT((N$3:N$29&lt;&gt;"")*(G$3:G$29=G21)*(J$3:J$29&gt;J21)*(I$3:I$29="P"))+1,IF(M21="P",SUMPRODUCT((O$3:O$29&lt;&gt;"")*(P$3:P$29="")*(G$3:G$29=G21)*(I$3:I$29="P"))+SUMPRODUCT((P$3:P$29&lt;&gt;"")*(G$3:G$29=G21)*(I$3:I$29="P"))+SUMPRODUCT((N$3:N$29&lt;&gt;"")*(G$3:G$29=G21)*(I$3:I$29="P"))+SUMPRODUCT((P$3:P$29="")*(O$3:O$29="")*(N$3:N$29="")*(M$3:M$29="P")*(G$3:G$29=G21)*(J$3:J$29&gt;J21)*(I$3:I$29="P"))+IF(H21="L5",SUMPRODUCT((P$3:P$29="")*(O$3:O$29="")*(N$3:N$29="")*(M$3:M$29="P")*(G$3:G$29=G21)*(J$3:J$29&lt;J21)*(H$3:H$29&lt;&gt;H21)*(I$3:I$29="P")),-1*SUMPRODUCT((P$3:P$29="")*(O$3:O$29="")*(N$3:N$29="")*(M$3:M$29="P")*(G$3:G$29=G21)*(J$3:J$29&gt;J21)*(H$3:H$29="L5")*(I$3:I$29="P")))+1,"")))))</f>
        <v/>
      </c>
      <c r="B21" s="1" t="str" cm="1">
        <f t="array" ref="B21">IF(P21&lt;&gt;"",SUMPRODUCT((P$3:P$29&lt;&gt;"")*(G$3:G$29=G21)*(J$3:J$29&gt;J21))+1,IF(O21&lt;&gt;"",SUMPRODUCT((O$3:O$29&lt;&gt;"")*(P$3:P$29="")*(G$3:G$29=G21)*(J$3:J$29&gt;J21))+SUMPRODUCT((P$3:P$29&lt;&gt;"")*(G$3:G$29=G21))+1,IF(N21&lt;&gt;"",SUMPRODUCT((N$3:N$29&lt;&gt;"")*(G$3:G$29=G21)*(J$3:J$29&gt;J21))+1,IF(M21="P",SUMPRODUCT((O$3:O$29&lt;&gt;"")*(P$3:P$29="")*(G$3:G$29=G21))+SUMPRODUCT((P$3:P$29&lt;&gt;"")*(G$3:G$29=G21))+SUMPRODUCT((N$3:N$29&lt;&gt;"")*(G$3:G$29=G21))+SUMPRODUCT((P$3:P$29="")*(O$3:O$29="")*(N$3:N$29="")*(M$3:M$29="P")*(G$3:G$29=G21)*(J$3:J$29&gt;J21))+IF(H21="L5",SUMPRODUCT((P$3:P$29="")*(O$3:O$29="")*(N$3:N$29="")*(M$3:M$29="P")*(G$3:G$29=G21)*(J$3:J$29&lt;J21)*(H$3:H$29&lt;&gt;H21)),-1*SUMPRODUCT((P$3:P$29="")*(O$3:O$29="")*(N$3:N$29="")*(M$3:M$29="P")*(G$3:G$29=G21)*(J$3:J$29&gt;J21)*(H$3:H$29="L5")))+1,""))))</f>
        <v/>
      </c>
      <c r="C21" s="36" t="s">
        <v>172</v>
      </c>
      <c r="D21" s="36" t="str">
        <f>IF(E21="","",VLOOKUP(E21,'Coaching Points'!A:B,2,0))</f>
        <v>AB</v>
      </c>
      <c r="E21" s="36" t="s">
        <v>29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R21+S21+IF(OR(H21="Junior",H21="Senior"),0.0002,IF(OR(H21="L7",H21="L6"),0.0001,0))+MAX(X21,Z21)*0.0000001</f>
        <v>71.8001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MAX(T21,X21)</f>
        <v>32.4</v>
      </c>
      <c r="S21" s="4">
        <f>IF(R21=T21,MAX(V21,X21,Z21),IF(R21=X21,MAX(T21,V21,Z21),0))</f>
        <v>39.4</v>
      </c>
      <c r="T21" s="33">
        <v>32.4</v>
      </c>
      <c r="U21" s="40">
        <v>5.4</v>
      </c>
      <c r="V21" s="34">
        <v>39.4</v>
      </c>
      <c r="W21" s="40">
        <v>8.1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$29&lt;&gt;"")*(G$3:G$29=G22)*(J$3:J$29&gt;J22)*(I$3:I$29="P"))+1,IF(O22&lt;&gt;"",SUMPRODUCT((O$3:O$29&lt;&gt;"")*(P$3:P$29="")*(G$3:G$29=G22)*(J$3:J$29&gt;J22)*(I$3:I$29="P"))+SUMPRODUCT((P$3:P$29&lt;&gt;"")*(G$3:G$29=G22)*(I$3:I$29="P"))+1,IF(N22&lt;&gt;"",SUMPRODUCT((N$3:N$29&lt;&gt;"")*(G$3:G$29=G22)*(J$3:J$29&gt;J22)*(I$3:I$29="P"))+1,IF(M22="P",SUMPRODUCT((O$3:O$29&lt;&gt;"")*(P$3:P$29="")*(G$3:G$29=G22)*(I$3:I$29="P"))+SUMPRODUCT((P$3:P$29&lt;&gt;"")*(G$3:G$29=G22)*(I$3:I$29="P"))+SUMPRODUCT((N$3:N$29&lt;&gt;"")*(G$3:G$29=G22)*(I$3:I$29="P"))+SUMPRODUCT((P$3:P$29="")*(O$3:O$29="")*(N$3:N$29="")*(M$3:M$29="P")*(G$3:G$29=G22)*(J$3:J$29&gt;J22)*(I$3:I$29="P"))+IF(H22="L5",SUMPRODUCT((P$3:P$29="")*(O$3:O$29="")*(N$3:N$29="")*(M$3:M$29="P")*(G$3:G$29=G22)*(J$3:J$29&lt;J22)*(H$3:H$29&lt;&gt;H22)*(I$3:I$29="P")),-1*SUMPRODUCT((P$3:P$29="")*(O$3:O$29="")*(N$3:N$29="")*(M$3:M$29="P")*(G$3:G$29=G22)*(J$3:J$29&gt;J22)*(H$3:H$29="L5")*(I$3:I$29="P")))+1,"")))))</f>
        <v/>
      </c>
      <c r="B22" s="1" cm="1">
        <f t="array" ref="B22">IF(P22&lt;&gt;"",SUMPRODUCT((P$3:P$29&lt;&gt;"")*(G$3:G$29=G22)*(J$3:J$29&gt;J22))+1,IF(O22&lt;&gt;"",SUMPRODUCT((O$3:O$29&lt;&gt;"")*(P$3:P$29="")*(G$3:G$29=G22)*(J$3:J$29&gt;J22))+SUMPRODUCT((P$3:P$29&lt;&gt;"")*(G$3:G$29=G22))+1,IF(N22&lt;&gt;"",SUMPRODUCT((N$3:N$29&lt;&gt;"")*(G$3:G$29=G22)*(J$3:J$29&gt;J22))+1,IF(M22="P",SUMPRODUCT((O$3:O$29&lt;&gt;"")*(P$3:P$29="")*(G$3:G$29=G22))+SUMPRODUCT((P$3:P$29&lt;&gt;"")*(G$3:G$29=G22))+SUMPRODUCT((N$3:N$29&lt;&gt;"")*(G$3:G$29=G22))+SUMPRODUCT((P$3:P$29="")*(O$3:O$29="")*(N$3:N$29="")*(M$3:M$29="P")*(G$3:G$29=G22)*(J$3:J$29&gt;J22))+IF(H22="L5",SUMPRODUCT((P$3:P$29="")*(O$3:O$29="")*(N$3:N$29="")*(M$3:M$29="P")*(G$3:G$29=G22)*(J$3:J$29&lt;J22)*(H$3:H$29&lt;&gt;H22)),-1*SUMPRODUCT((P$3:P$29="")*(O$3:O$29="")*(N$3:N$29="")*(M$3:M$29="P")*(G$3:G$29=G22)*(J$3:J$29&gt;J22)*(H$3:H$29="L5")))+1,""))))</f>
        <v>1</v>
      </c>
      <c r="C22" s="36" t="s">
        <v>276</v>
      </c>
      <c r="D22" s="36" t="str">
        <f>IF(E22="","",VLOOKUP(E22,'Coaching Points'!A:B,2,0))</f>
        <v>ON</v>
      </c>
      <c r="E22" s="36" t="s">
        <v>286</v>
      </c>
      <c r="F22" s="35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15-16</v>
      </c>
      <c r="H22" s="39" t="s">
        <v>65</v>
      </c>
      <c r="I22" s="43"/>
      <c r="J22" s="4">
        <f>R22+S22+IF(OR(H22="Junior",H22="Senior"),0.0002,IF(OR(H22="L7",H22="L6"),0.0001,0))+MAX(X22,Z22)*0.0000001</f>
        <v>87.600200000000001</v>
      </c>
      <c r="K22" s="3" t="str">
        <f>IF(G22="Not Age Eligible","",IF(MAX(T22,V22,X22,Z22)&gt;=LOOKUP(G22,'Qualifying Scores'!$A$4:$A$7,'Qualifying Scores'!$H$4:$H$7),"P",""))</f>
        <v>P</v>
      </c>
      <c r="L22" s="3" t="str">
        <f>IF(G22="Not Age Eligible","",IF(MAX(U22,W22,Y22,AA22)&gt;=LOOKUP(G22,'Qualifying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>P</v>
      </c>
      <c r="N22" s="39">
        <v>1</v>
      </c>
      <c r="Q22" s="1" t="str">
        <f>IF(A22&lt;5,IF(_xlfn.MAXIFS(A:A,G:G,G22)&gt;3,5-A22,_xlfn.MAXIFS(A:A,G:G,G22)+1-A22),"")</f>
        <v/>
      </c>
      <c r="R22" s="4">
        <f>MAX(T22,X22)</f>
        <v>43.2</v>
      </c>
      <c r="S22" s="4">
        <f>IF(R22=T22,MAX(V22,X22,Z22),IF(R22=X22,MAX(T22,V22,Z22),0))</f>
        <v>44.4</v>
      </c>
      <c r="T22" s="33">
        <v>43.2</v>
      </c>
      <c r="U22" s="40">
        <v>10.1</v>
      </c>
      <c r="V22" s="34">
        <v>44.4</v>
      </c>
      <c r="W22" s="40">
        <v>9.8000000000000007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$29&lt;&gt;"")*(G$3:G$29=G23)*(J$3:J$29&gt;J23)*(I$3:I$29="P"))+1,IF(O23&lt;&gt;"",SUMPRODUCT((O$3:O$29&lt;&gt;"")*(P$3:P$29="")*(G$3:G$29=G23)*(J$3:J$29&gt;J23)*(I$3:I$29="P"))+SUMPRODUCT((P$3:P$29&lt;&gt;"")*(G$3:G$29=G23)*(I$3:I$29="P"))+1,IF(N23&lt;&gt;"",SUMPRODUCT((N$3:N$29&lt;&gt;"")*(G$3:G$29=G23)*(J$3:J$29&gt;J23)*(I$3:I$29="P"))+1,IF(M23="P",SUMPRODUCT((O$3:O$29&lt;&gt;"")*(P$3:P$29="")*(G$3:G$29=G23)*(I$3:I$29="P"))+SUMPRODUCT((P$3:P$29&lt;&gt;"")*(G$3:G$29=G23)*(I$3:I$29="P"))+SUMPRODUCT((N$3:N$29&lt;&gt;"")*(G$3:G$29=G23)*(I$3:I$29="P"))+SUMPRODUCT((P$3:P$29="")*(O$3:O$29="")*(N$3:N$29="")*(M$3:M$29="P")*(G$3:G$29=G23)*(J$3:J$29&gt;J23)*(I$3:I$29="P"))+IF(H23="L5",SUMPRODUCT((P$3:P$29="")*(O$3:O$29="")*(N$3:N$29="")*(M$3:M$29="P")*(G$3:G$29=G23)*(J$3:J$29&lt;J23)*(H$3:H$29&lt;&gt;H23)*(I$3:I$29="P")),-1*SUMPRODUCT((P$3:P$29="")*(O$3:O$29="")*(N$3:N$29="")*(M$3:M$29="P")*(G$3:G$29=G23)*(J$3:J$29&gt;J23)*(H$3:H$29="L5")*(I$3:I$29="P")))+1,"")))))</f>
        <v/>
      </c>
      <c r="B23" s="1" cm="1">
        <f t="array" ref="B23">IF(P23&lt;&gt;"",SUMPRODUCT((P$3:P$29&lt;&gt;"")*(G$3:G$29=G23)*(J$3:J$29&gt;J23))+1,IF(O23&lt;&gt;"",SUMPRODUCT((O$3:O$29&lt;&gt;"")*(P$3:P$29="")*(G$3:G$29=G23)*(J$3:J$29&gt;J23))+SUMPRODUCT((P$3:P$29&lt;&gt;"")*(G$3:G$29=G23))+1,IF(N23&lt;&gt;"",SUMPRODUCT((N$3:N$29&lt;&gt;"")*(G$3:G$29=G23)*(J$3:J$29&gt;J23))+1,IF(M23="P",SUMPRODUCT((O$3:O$29&lt;&gt;"")*(P$3:P$29="")*(G$3:G$29=G23))+SUMPRODUCT((P$3:P$29&lt;&gt;"")*(G$3:G$29=G23))+SUMPRODUCT((N$3:N$29&lt;&gt;"")*(G$3:G$29=G23))+SUMPRODUCT((P$3:P$29="")*(O$3:O$29="")*(N$3:N$29="")*(M$3:M$29="P")*(G$3:G$29=G23)*(J$3:J$29&gt;J23))+IF(H23="L5",SUMPRODUCT((P$3:P$29="")*(O$3:O$29="")*(N$3:N$29="")*(M$3:M$29="P")*(G$3:G$29=G23)*(J$3:J$29&lt;J23)*(H$3:H$29&lt;&gt;H23)),-1*SUMPRODUCT((P$3:P$29="")*(O$3:O$29="")*(N$3:N$29="")*(M$3:M$29="P")*(G$3:G$29=G23)*(J$3:J$29&gt;J23)*(H$3:H$29="L5")))+1,""))))</f>
        <v>2</v>
      </c>
      <c r="C23" s="36" t="s">
        <v>81</v>
      </c>
      <c r="D23" s="36" t="str">
        <f>IF(E23="","",VLOOKUP(E23,'Coaching Points'!A:B,2,0))</f>
        <v>ON</v>
      </c>
      <c r="E23" s="36" t="s">
        <v>47</v>
      </c>
      <c r="F23" s="35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15-16</v>
      </c>
      <c r="H23" s="39" t="s">
        <v>67</v>
      </c>
      <c r="I23" s="43"/>
      <c r="J23" s="4">
        <f>R23+S23+IF(OR(H23="Junior",H23="Senior"),0.0002,IF(OR(H23="L7",H23="L6"),0.0001,0))+MAX(X23,Z23)*0.0000001</f>
        <v>85.100099999999998</v>
      </c>
      <c r="K23" s="3" t="str">
        <f>IF(G23="Not Age Eligible","",IF(MAX(T23,V23,X23,Z23)&gt;=LOOKUP(G23,'Qualifying Scores'!$A$4:$A$7,'Qualifying Scores'!$H$4:$H$7),"P",""))</f>
        <v>P</v>
      </c>
      <c r="L23" s="3" t="str">
        <f>IF(G23="Not Age Eligible","",IF(MAX(U23,W23,Y23,AA23)&gt;=LOOKUP(G23,'Qualifying Scores'!$A$10:$A$13,'Qualifying Scores'!$H$10:$H$13),"P",""))</f>
        <v>P</v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>P</v>
      </c>
      <c r="Q23" s="1" t="str">
        <f>IF(A23&lt;5,IF(_xlfn.MAXIFS(A:A,G:G,G23)&gt;3,5-A23,_xlfn.MAXIFS(A:A,G:G,G23)+1-A23),"")</f>
        <v/>
      </c>
      <c r="R23" s="4">
        <f>MAX(T23,X23)</f>
        <v>41.8</v>
      </c>
      <c r="S23" s="4">
        <f>IF(R23=T23,MAX(V23,X23,Z23),IF(R23=X23,MAX(T23,V23,Z23),0))</f>
        <v>43.3</v>
      </c>
      <c r="T23" s="33">
        <v>41.8</v>
      </c>
      <c r="U23" s="40">
        <v>8.6999999999999993</v>
      </c>
      <c r="V23" s="34">
        <v>43.3</v>
      </c>
      <c r="W23" s="40">
        <v>8.6999999999999993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$29&lt;&gt;"")*(G$3:G$29=G24)*(J$3:J$29&gt;J24)*(I$3:I$29="P"))+1,IF(O24&lt;&gt;"",SUMPRODUCT((O$3:O$29&lt;&gt;"")*(P$3:P$29="")*(G$3:G$29=G24)*(J$3:J$29&gt;J24)*(I$3:I$29="P"))+SUMPRODUCT((P$3:P$29&lt;&gt;"")*(G$3:G$29=G24)*(I$3:I$29="P"))+1,IF(N24&lt;&gt;"",SUMPRODUCT((N$3:N$29&lt;&gt;"")*(G$3:G$29=G24)*(J$3:J$29&gt;J24)*(I$3:I$29="P"))+1,IF(M24="P",SUMPRODUCT((O$3:O$29&lt;&gt;"")*(P$3:P$29="")*(G$3:G$29=G24)*(I$3:I$29="P"))+SUMPRODUCT((P$3:P$29&lt;&gt;"")*(G$3:G$29=G24)*(I$3:I$29="P"))+SUMPRODUCT((N$3:N$29&lt;&gt;"")*(G$3:G$29=G24)*(I$3:I$29="P"))+SUMPRODUCT((P$3:P$29="")*(O$3:O$29="")*(N$3:N$29="")*(M$3:M$29="P")*(G$3:G$29=G24)*(J$3:J$29&gt;J24)*(I$3:I$29="P"))+IF(H24="L5",SUMPRODUCT((P$3:P$29="")*(O$3:O$29="")*(N$3:N$29="")*(M$3:M$29="P")*(G$3:G$29=G24)*(J$3:J$29&lt;J24)*(H$3:H$29&lt;&gt;H24)*(I$3:I$29="P")),-1*SUMPRODUCT((P$3:P$29="")*(O$3:O$29="")*(N$3:N$29="")*(M$3:M$29="P")*(G$3:G$29=G24)*(J$3:J$29&gt;J24)*(H$3:H$29="L5")*(I$3:I$29="P")))+1,"")))))</f>
        <v/>
      </c>
      <c r="B24" s="1" t="str" cm="1">
        <f t="array" ref="B24">IF(P24&lt;&gt;"",SUMPRODUCT((P$3:P$29&lt;&gt;"")*(G$3:G$29=G24)*(J$3:J$29&gt;J24))+1,IF(O24&lt;&gt;"",SUMPRODUCT((O$3:O$29&lt;&gt;"")*(P$3:P$29="")*(G$3:G$29=G24)*(J$3:J$29&gt;J24))+SUMPRODUCT((P$3:P$29&lt;&gt;"")*(G$3:G$29=G24))+1,IF(N24&lt;&gt;"",SUMPRODUCT((N$3:N$29&lt;&gt;"")*(G$3:G$29=G24)*(J$3:J$29&gt;J24))+1,IF(M24="P",SUMPRODUCT((O$3:O$29&lt;&gt;"")*(P$3:P$29="")*(G$3:G$29=G24))+SUMPRODUCT((P$3:P$29&lt;&gt;"")*(G$3:G$29=G24))+SUMPRODUCT((N$3:N$29&lt;&gt;"")*(G$3:G$29=G24))+SUMPRODUCT((P$3:P$29="")*(O$3:O$29="")*(N$3:N$29="")*(M$3:M$29="P")*(G$3:G$29=G24)*(J$3:J$29&gt;J24))+IF(H24="L5",SUMPRODUCT((P$3:P$29="")*(O$3:O$29="")*(N$3:N$29="")*(M$3:M$29="P")*(G$3:G$29=G24)*(J$3:J$29&lt;J24)*(H$3:H$29&lt;&gt;H24)),-1*SUMPRODUCT((P$3:P$29="")*(O$3:O$29="")*(N$3:N$29="")*(M$3:M$29="P")*(G$3:G$29=G24)*(J$3:J$29&gt;J24)*(H$3:H$29="L5")))+1,""))))</f>
        <v/>
      </c>
      <c r="C24" s="36" t="s">
        <v>86</v>
      </c>
      <c r="D24" s="36" t="str">
        <f>IF(E24="","",VLOOKUP(E24,'Coaching Points'!A:B,2,0))</f>
        <v>QC</v>
      </c>
      <c r="E24" s="36" t="s">
        <v>96</v>
      </c>
      <c r="F24" s="35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15-16</v>
      </c>
      <c r="H24" s="39" t="s">
        <v>67</v>
      </c>
      <c r="I24" s="43"/>
      <c r="J24" s="4">
        <f>R24+S24+IF(OR(H24="Junior",H24="Senior"),0.0002,IF(OR(H24="L7",H24="L6"),0.0001,0))+MAX(X24,Z24)*0.0000001</f>
        <v>84.900100000000009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>P</v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MAX(T24,X24)</f>
        <v>41.9</v>
      </c>
      <c r="S24" s="4">
        <f>IF(R24=T24,MAX(V24,X24,Z24),IF(R24=X24,MAX(T24,V24,Z24),0))</f>
        <v>43</v>
      </c>
      <c r="T24" s="33">
        <v>41.9</v>
      </c>
      <c r="U24" s="40">
        <v>8.6999999999999993</v>
      </c>
      <c r="V24" s="34">
        <v>43</v>
      </c>
      <c r="W24" s="40">
        <v>8.6999999999999993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$29&lt;&gt;"")*(G$3:G$29=G25)*(J$3:J$29&gt;J25)*(I$3:I$29="P"))+1,IF(O25&lt;&gt;"",SUMPRODUCT((O$3:O$29&lt;&gt;"")*(P$3:P$29="")*(G$3:G$29=G25)*(J$3:J$29&gt;J25)*(I$3:I$29="P"))+SUMPRODUCT((P$3:P$29&lt;&gt;"")*(G$3:G$29=G25)*(I$3:I$29="P"))+1,IF(N25&lt;&gt;"",SUMPRODUCT((N$3:N$29&lt;&gt;"")*(G$3:G$29=G25)*(J$3:J$29&gt;J25)*(I$3:I$29="P"))+1,IF(M25="P",SUMPRODUCT((O$3:O$29&lt;&gt;"")*(P$3:P$29="")*(G$3:G$29=G25)*(I$3:I$29="P"))+SUMPRODUCT((P$3:P$29&lt;&gt;"")*(G$3:G$29=G25)*(I$3:I$29="P"))+SUMPRODUCT((N$3:N$29&lt;&gt;"")*(G$3:G$29=G25)*(I$3:I$29="P"))+SUMPRODUCT((P$3:P$29="")*(O$3:O$29="")*(N$3:N$29="")*(M$3:M$29="P")*(G$3:G$29=G25)*(J$3:J$29&gt;J25)*(I$3:I$29="P"))+IF(H25="L5",SUMPRODUCT((P$3:P$29="")*(O$3:O$29="")*(N$3:N$29="")*(M$3:M$29="P")*(G$3:G$29=G25)*(J$3:J$29&lt;J25)*(H$3:H$29&lt;&gt;H25)*(I$3:I$29="P")),-1*SUMPRODUCT((P$3:P$29="")*(O$3:O$29="")*(N$3:N$29="")*(M$3:M$29="P")*(G$3:G$29=G25)*(J$3:J$29&gt;J25)*(H$3:H$29="L5")*(I$3:I$29="P")))+1,"")))))</f>
        <v/>
      </c>
      <c r="B25" s="1" t="str" cm="1">
        <f t="array" ref="B25">IF(P25&lt;&gt;"",SUMPRODUCT((P$3:P$29&lt;&gt;"")*(G$3:G$29=G25)*(J$3:J$29&gt;J25))+1,IF(O25&lt;&gt;"",SUMPRODUCT((O$3:O$29&lt;&gt;"")*(P$3:P$29="")*(G$3:G$29=G25)*(J$3:J$29&gt;J25))+SUMPRODUCT((P$3:P$29&lt;&gt;"")*(G$3:G$29=G25))+1,IF(N25&lt;&gt;"",SUMPRODUCT((N$3:N$29&lt;&gt;"")*(G$3:G$29=G25)*(J$3:J$29&gt;J25))+1,IF(M25="P",SUMPRODUCT((O$3:O$29&lt;&gt;"")*(P$3:P$29="")*(G$3:G$29=G25))+SUMPRODUCT((P$3:P$29&lt;&gt;"")*(G$3:G$29=G25))+SUMPRODUCT((N$3:N$29&lt;&gt;"")*(G$3:G$29=G25))+SUMPRODUCT((P$3:P$29="")*(O$3:O$29="")*(N$3:N$29="")*(M$3:M$29="P")*(G$3:G$29=G25)*(J$3:J$29&gt;J25))+IF(H25="L5",SUMPRODUCT((P$3:P$29="")*(O$3:O$29="")*(N$3:N$29="")*(M$3:M$29="P")*(G$3:G$29=G25)*(J$3:J$29&lt;J25)*(H$3:H$29&lt;&gt;H25)),-1*SUMPRODUCT((P$3:P$29="")*(O$3:O$29="")*(N$3:N$29="")*(M$3:M$29="P")*(G$3:G$29=G25)*(J$3:J$29&gt;J25)*(H$3:H$29="L5")))+1,""))))</f>
        <v/>
      </c>
      <c r="C25" s="36" t="s">
        <v>163</v>
      </c>
      <c r="D25" s="36" t="str">
        <f>IF(E25="","",VLOOKUP(E25,'Coaching Points'!A:B,2,0))</f>
        <v>AB</v>
      </c>
      <c r="E25" s="36" t="s">
        <v>64</v>
      </c>
      <c r="F25" s="35">
        <v>2008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65</v>
      </c>
      <c r="I25" s="43"/>
      <c r="J25" s="4">
        <f>R25+S25+IF(OR(H25="Junior",H25="Senior"),0.0002,IF(OR(H25="L7",H25="L6"),0.0001,0))+MAX(X25,Z25)*0.0000001</f>
        <v>82.000200000000007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MAX(T25,X25)</f>
        <v>40.4</v>
      </c>
      <c r="S25" s="4">
        <f>IF(R25=T25,MAX(V25,X25,Z25),IF(R25=X25,MAX(T25,V25,Z25),0))</f>
        <v>41.6</v>
      </c>
      <c r="T25" s="33">
        <v>40.4</v>
      </c>
      <c r="U25" s="40">
        <v>10.1</v>
      </c>
      <c r="V25" s="34">
        <v>41.6</v>
      </c>
      <c r="W25" s="40">
        <v>9.1999999999999993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$29&lt;&gt;"")*(G$3:G$29=G26)*(J$3:J$29&gt;J26)*(I$3:I$29="P"))+1,IF(O26&lt;&gt;"",SUMPRODUCT((O$3:O$29&lt;&gt;"")*(P$3:P$29="")*(G$3:G$29=G26)*(J$3:J$29&gt;J26)*(I$3:I$29="P"))+SUMPRODUCT((P$3:P$29&lt;&gt;"")*(G$3:G$29=G26)*(I$3:I$29="P"))+1,IF(N26&lt;&gt;"",SUMPRODUCT((N$3:N$29&lt;&gt;"")*(G$3:G$29=G26)*(J$3:J$29&gt;J26)*(I$3:I$29="P"))+1,IF(M26="P",SUMPRODUCT((O$3:O$29&lt;&gt;"")*(P$3:P$29="")*(G$3:G$29=G26)*(I$3:I$29="P"))+SUMPRODUCT((P$3:P$29&lt;&gt;"")*(G$3:G$29=G26)*(I$3:I$29="P"))+SUMPRODUCT((N$3:N$29&lt;&gt;"")*(G$3:G$29=G26)*(I$3:I$29="P"))+SUMPRODUCT((P$3:P$29="")*(O$3:O$29="")*(N$3:N$29="")*(M$3:M$29="P")*(G$3:G$29=G26)*(J$3:J$29&gt;J26)*(I$3:I$29="P"))+IF(H26="L5",SUMPRODUCT((P$3:P$29="")*(O$3:O$29="")*(N$3:N$29="")*(M$3:M$29="P")*(G$3:G$29=G26)*(J$3:J$29&lt;J26)*(H$3:H$29&lt;&gt;H26)*(I$3:I$29="P")),-1*SUMPRODUCT((P$3:P$29="")*(O$3:O$29="")*(N$3:N$29="")*(M$3:M$29="P")*(G$3:G$29=G26)*(J$3:J$29&gt;J26)*(H$3:H$29="L5")*(I$3:I$29="P")))+1,"")))))</f>
        <v/>
      </c>
      <c r="B26" s="1" t="str" cm="1">
        <f t="array" ref="B26">IF(P26&lt;&gt;"",SUMPRODUCT((P$3:P$29&lt;&gt;"")*(G$3:G$29=G26)*(J$3:J$29&gt;J26))+1,IF(O26&lt;&gt;"",SUMPRODUCT((O$3:O$29&lt;&gt;"")*(P$3:P$29="")*(G$3:G$29=G26)*(J$3:J$29&gt;J26))+SUMPRODUCT((P$3:P$29&lt;&gt;"")*(G$3:G$29=G26))+1,IF(N26&lt;&gt;"",SUMPRODUCT((N$3:N$29&lt;&gt;"")*(G$3:G$29=G26)*(J$3:J$29&gt;J26))+1,IF(M26="P",SUMPRODUCT((O$3:O$29&lt;&gt;"")*(P$3:P$29="")*(G$3:G$29=G26))+SUMPRODUCT((P$3:P$29&lt;&gt;"")*(G$3:G$29=G26))+SUMPRODUCT((N$3:N$29&lt;&gt;"")*(G$3:G$29=G26))+SUMPRODUCT((P$3:P$29="")*(O$3:O$29="")*(N$3:N$29="")*(M$3:M$29="P")*(G$3:G$29=G26)*(J$3:J$29&gt;J26))+IF(H26="L5",SUMPRODUCT((P$3:P$29="")*(O$3:O$29="")*(N$3:N$29="")*(M$3:M$29="P")*(G$3:G$29=G26)*(J$3:J$29&lt;J26)*(H$3:H$29&lt;&gt;H26)),-1*SUMPRODUCT((P$3:P$29="")*(O$3:O$29="")*(N$3:N$29="")*(M$3:M$29="P")*(G$3:G$29=G26)*(J$3:J$29&gt;J26)*(H$3:H$29="L5")))+1,""))))</f>
        <v/>
      </c>
      <c r="C26" s="36" t="s">
        <v>367</v>
      </c>
      <c r="D26" s="36" t="str">
        <f>IF(E26="","",VLOOKUP(E26,'Coaching Points'!A:B,2,0))</f>
        <v>ON</v>
      </c>
      <c r="E26" s="36" t="s">
        <v>73</v>
      </c>
      <c r="F26" s="35">
        <v>2007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66</v>
      </c>
      <c r="I26" s="43"/>
      <c r="J26" s="4">
        <f>R26+S26+IF(OR(H26="Junior",H26="Senior"),0.0002,IF(OR(H26="L7",H26="L6"),0.0001,0))+MAX(X26,Z26)*0.0000001</f>
        <v>78.900000000000006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MAX(T26,X26)</f>
        <v>38.9</v>
      </c>
      <c r="S26" s="4">
        <f>IF(R26=T26,MAX(V26,X26,Z26),IF(R26=X26,MAX(T26,V26,Z26),0))</f>
        <v>40</v>
      </c>
      <c r="T26" s="33">
        <v>38.9</v>
      </c>
      <c r="U26" s="40">
        <v>6.6</v>
      </c>
      <c r="V26" s="34">
        <v>40</v>
      </c>
      <c r="W26" s="40">
        <v>6.6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$29&lt;&gt;"")*(G$3:G$29=G27)*(J$3:J$29&gt;J27)*(I$3:I$29="P"))+1,IF(O27&lt;&gt;"",SUMPRODUCT((O$3:O$29&lt;&gt;"")*(P$3:P$29="")*(G$3:G$29=G27)*(J$3:J$29&gt;J27)*(I$3:I$29="P"))+SUMPRODUCT((P$3:P$29&lt;&gt;"")*(G$3:G$29=G27)*(I$3:I$29="P"))+1,IF(N27&lt;&gt;"",SUMPRODUCT((N$3:N$29&lt;&gt;"")*(G$3:G$29=G27)*(J$3:J$29&gt;J27)*(I$3:I$29="P"))+1,IF(M27="P",SUMPRODUCT((O$3:O$29&lt;&gt;"")*(P$3:P$29="")*(G$3:G$29=G27)*(I$3:I$29="P"))+SUMPRODUCT((P$3:P$29&lt;&gt;"")*(G$3:G$29=G27)*(I$3:I$29="P"))+SUMPRODUCT((N$3:N$29&lt;&gt;"")*(G$3:G$29=G27)*(I$3:I$29="P"))+SUMPRODUCT((P$3:P$29="")*(O$3:O$29="")*(N$3:N$29="")*(M$3:M$29="P")*(G$3:G$29=G27)*(J$3:J$29&gt;J27)*(I$3:I$29="P"))+IF(H27="L5",SUMPRODUCT((P$3:P$29="")*(O$3:O$29="")*(N$3:N$29="")*(M$3:M$29="P")*(G$3:G$29=G27)*(J$3:J$29&lt;J27)*(H$3:H$29&lt;&gt;H27)*(I$3:I$29="P")),-1*SUMPRODUCT((P$3:P$29="")*(O$3:O$29="")*(N$3:N$29="")*(M$3:M$29="P")*(G$3:G$29=G27)*(J$3:J$29&gt;J27)*(H$3:H$29="L5")*(I$3:I$29="P")))+1,"")))))</f>
        <v/>
      </c>
      <c r="B27" s="1" t="str" cm="1">
        <f t="array" ref="B27">IF(P27&lt;&gt;"",SUMPRODUCT((P$3:P$29&lt;&gt;"")*(G$3:G$29=G27)*(J$3:J$29&gt;J27))+1,IF(O27&lt;&gt;"",SUMPRODUCT((O$3:O$29&lt;&gt;"")*(P$3:P$29="")*(G$3:G$29=G27)*(J$3:J$29&gt;J27))+SUMPRODUCT((P$3:P$29&lt;&gt;"")*(G$3:G$29=G27))+1,IF(N27&lt;&gt;"",SUMPRODUCT((N$3:N$29&lt;&gt;"")*(G$3:G$29=G27)*(J$3:J$29&gt;J27))+1,IF(M27="P",SUMPRODUCT((O$3:O$29&lt;&gt;"")*(P$3:P$29="")*(G$3:G$29=G27))+SUMPRODUCT((P$3:P$29&lt;&gt;"")*(G$3:G$29=G27))+SUMPRODUCT((N$3:N$29&lt;&gt;"")*(G$3:G$29=G27))+SUMPRODUCT((P$3:P$29="")*(O$3:O$29="")*(N$3:N$29="")*(M$3:M$29="P")*(G$3:G$29=G27)*(J$3:J$29&gt;J27))+IF(H27="L5",SUMPRODUCT((P$3:P$29="")*(O$3:O$29="")*(N$3:N$29="")*(M$3:M$29="P")*(G$3:G$29=G27)*(J$3:J$29&lt;J27)*(H$3:H$29&lt;&gt;H27)),-1*SUMPRODUCT((P$3:P$29="")*(O$3:O$29="")*(N$3:N$29="")*(M$3:M$29="P")*(G$3:G$29=G27)*(J$3:J$29&gt;J27)*(H$3:H$29="L5")))+1,""))))</f>
        <v/>
      </c>
      <c r="C27" s="36" t="s">
        <v>82</v>
      </c>
      <c r="D27" s="36" t="str">
        <f>IF(E27="","",VLOOKUP(E27,'Coaching Points'!A:B,2,0))</f>
        <v>AB</v>
      </c>
      <c r="E27" s="36" t="s">
        <v>64</v>
      </c>
      <c r="F27" s="35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67</v>
      </c>
      <c r="I27" s="43"/>
      <c r="J27" s="4">
        <f>R27+S27+IF(OR(H27="Junior",H27="Senior"),0.0002,IF(OR(H27="L7",H27="L6"),0.0001,0))+MAX(X27,Z27)*0.0000001</f>
        <v>74.100099999999998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MAX(T27,X27)</f>
        <v>36.299999999999997</v>
      </c>
      <c r="S27" s="4">
        <f>IF(R27=T27,MAX(V27,X27,Z27),IF(R27=X27,MAX(T27,V27,Z27),0))</f>
        <v>37.799999999999997</v>
      </c>
      <c r="T27" s="33">
        <v>36.299999999999997</v>
      </c>
      <c r="U27" s="40">
        <v>8.5</v>
      </c>
      <c r="V27" s="34">
        <v>37.799999999999997</v>
      </c>
      <c r="W27" s="40">
        <v>8.5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$29&lt;&gt;"")*(G$3:G$29=G28)*(J$3:J$29&gt;J28)*(I$3:I$29="P"))+1,IF(O28&lt;&gt;"",SUMPRODUCT((O$3:O$29&lt;&gt;"")*(P$3:P$29="")*(G$3:G$29=G28)*(J$3:J$29&gt;J28)*(I$3:I$29="P"))+SUMPRODUCT((P$3:P$29&lt;&gt;"")*(G$3:G$29=G28)*(I$3:I$29="P"))+1,IF(N28&lt;&gt;"",SUMPRODUCT((N$3:N$29&lt;&gt;"")*(G$3:G$29=G28)*(J$3:J$29&gt;J28)*(I$3:I$29="P"))+1,IF(M28="P",SUMPRODUCT((O$3:O$29&lt;&gt;"")*(P$3:P$29="")*(G$3:G$29=G28)*(I$3:I$29="P"))+SUMPRODUCT((P$3:P$29&lt;&gt;"")*(G$3:G$29=G28)*(I$3:I$29="P"))+SUMPRODUCT((N$3:N$29&lt;&gt;"")*(G$3:G$29=G28)*(I$3:I$29="P"))+SUMPRODUCT((P$3:P$29="")*(O$3:O$29="")*(N$3:N$29="")*(M$3:M$29="P")*(G$3:G$29=G28)*(J$3:J$29&gt;J28)*(I$3:I$29="P"))+IF(H28="L5",SUMPRODUCT((P$3:P$29="")*(O$3:O$29="")*(N$3:N$29="")*(M$3:M$29="P")*(G$3:G$29=G28)*(J$3:J$29&lt;J28)*(H$3:H$29&lt;&gt;H28)*(I$3:I$29="P")),-1*SUMPRODUCT((P$3:P$29="")*(O$3:O$29="")*(N$3:N$29="")*(M$3:M$29="P")*(G$3:G$29=G28)*(J$3:J$29&gt;J28)*(H$3:H$29="L5")*(I$3:I$29="P")))+1,"")))))</f>
        <v/>
      </c>
      <c r="B28" s="1" t="str" cm="1">
        <f t="array" ref="B28">IF(P28&lt;&gt;"",SUMPRODUCT((P$3:P$29&lt;&gt;"")*(G$3:G$29=G28)*(J$3:J$29&gt;J28))+1,IF(O28&lt;&gt;"",SUMPRODUCT((O$3:O$29&lt;&gt;"")*(P$3:P$29="")*(G$3:G$29=G28)*(J$3:J$29&gt;J28))+SUMPRODUCT((P$3:P$29&lt;&gt;"")*(G$3:G$29=G28))+1,IF(N28&lt;&gt;"",SUMPRODUCT((N$3:N$29&lt;&gt;"")*(G$3:G$29=G28)*(J$3:J$29&gt;J28))+1,IF(M28="P",SUMPRODUCT((O$3:O$29&lt;&gt;"")*(P$3:P$29="")*(G$3:G$29=G28))+SUMPRODUCT((P$3:P$29&lt;&gt;"")*(G$3:G$29=G28))+SUMPRODUCT((N$3:N$29&lt;&gt;"")*(G$3:G$29=G28))+SUMPRODUCT((P$3:P$29="")*(O$3:O$29="")*(N$3:N$29="")*(M$3:M$29="P")*(G$3:G$29=G28)*(J$3:J$29&gt;J28))+IF(H28="L5",SUMPRODUCT((P$3:P$29="")*(O$3:O$29="")*(N$3:N$29="")*(M$3:M$29="P")*(G$3:G$29=G28)*(J$3:J$29&lt;J28)*(H$3:H$29&lt;&gt;H28)),-1*SUMPRODUCT((P$3:P$29="")*(O$3:O$29="")*(N$3:N$29="")*(M$3:M$29="P")*(G$3:G$29=G28)*(J$3:J$29&gt;J28)*(H$3:H$29="L5")))+1,""))))</f>
        <v/>
      </c>
      <c r="C28" s="36" t="s">
        <v>278</v>
      </c>
      <c r="D28" s="36" t="str">
        <f>IF(E28="","",VLOOKUP(E28,'Coaching Points'!A:B,2,0))</f>
        <v>AB</v>
      </c>
      <c r="E28" s="36" t="s">
        <v>64</v>
      </c>
      <c r="F28" s="35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66</v>
      </c>
      <c r="I28" s="43"/>
      <c r="J28" s="4">
        <f>R28+S28+IF(OR(H28="Junior",H28="Senior"),0.0002,IF(OR(H28="L7",H28="L6"),0.0001,0))+MAX(X28,Z28)*0.0000001</f>
        <v>73.599999999999994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MAX(T28,X28)</f>
        <v>37.799999999999997</v>
      </c>
      <c r="S28" s="4">
        <f>IF(R28=T28,MAX(V28,X28,Z28),IF(R28=X28,MAX(T28,V28,Z28),0))</f>
        <v>35.799999999999997</v>
      </c>
      <c r="T28" s="33">
        <v>37.799999999999997</v>
      </c>
      <c r="U28" s="40">
        <v>6.5</v>
      </c>
      <c r="V28" s="34">
        <v>35.799999999999997</v>
      </c>
      <c r="W28" s="40">
        <v>4.5</v>
      </c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$29&lt;&gt;"")*(G$3:G$29=G29)*(J$3:J$29&gt;J29)*(I$3:I$29="P"))+1,IF(O29&lt;&gt;"",SUMPRODUCT((O$3:O$29&lt;&gt;"")*(P$3:P$29="")*(G$3:G$29=G29)*(J$3:J$29&gt;J29)*(I$3:I$29="P"))+SUMPRODUCT((P$3:P$29&lt;&gt;"")*(G$3:G$29=G29)*(I$3:I$29="P"))+1,IF(N29&lt;&gt;"",SUMPRODUCT((N$3:N$29&lt;&gt;"")*(G$3:G$29=G29)*(J$3:J$29&gt;J29)*(I$3:I$29="P"))+1,IF(M29="P",SUMPRODUCT((O$3:O$29&lt;&gt;"")*(P$3:P$29="")*(G$3:G$29=G29)*(I$3:I$29="P"))+SUMPRODUCT((P$3:P$29&lt;&gt;"")*(G$3:G$29=G29)*(I$3:I$29="P"))+SUMPRODUCT((N$3:N$29&lt;&gt;"")*(G$3:G$29=G29)*(I$3:I$29="P"))+SUMPRODUCT((P$3:P$29="")*(O$3:O$29="")*(N$3:N$29="")*(M$3:M$29="P")*(G$3:G$29=G29)*(J$3:J$29&gt;J29)*(I$3:I$29="P"))+IF(H29="L5",SUMPRODUCT((P$3:P$29="")*(O$3:O$29="")*(N$3:N$29="")*(M$3:M$29="P")*(G$3:G$29=G29)*(J$3:J$29&lt;J29)*(H$3:H$29&lt;&gt;H29)*(I$3:I$29="P")),-1*SUMPRODUCT((P$3:P$29="")*(O$3:O$29="")*(N$3:N$29="")*(M$3:M$29="P")*(G$3:G$29=G29)*(J$3:J$29&gt;J29)*(H$3:H$29="L5")*(I$3:I$29="P")))+1,"")))))</f>
        <v/>
      </c>
      <c r="B29" s="1" t="str" cm="1">
        <f t="array" ref="B29">IF(P29&lt;&gt;"",SUMPRODUCT((P$3:P$29&lt;&gt;"")*(G$3:G$29=G29)*(J$3:J$29&gt;J29))+1,IF(O29&lt;&gt;"",SUMPRODUCT((O$3:O$29&lt;&gt;"")*(P$3:P$29="")*(G$3:G$29=G29)*(J$3:J$29&gt;J29))+SUMPRODUCT((P$3:P$29&lt;&gt;"")*(G$3:G$29=G29))+1,IF(N29&lt;&gt;"",SUMPRODUCT((N$3:N$29&lt;&gt;"")*(G$3:G$29=G29)*(J$3:J$29&gt;J29))+1,IF(M29="P",SUMPRODUCT((O$3:O$29&lt;&gt;"")*(P$3:P$29="")*(G$3:G$29=G29))+SUMPRODUCT((P$3:P$29&lt;&gt;"")*(G$3:G$29=G29))+SUMPRODUCT((N$3:N$29&lt;&gt;"")*(G$3:G$29=G29))+SUMPRODUCT((P$3:P$29="")*(O$3:O$29="")*(N$3:N$29="")*(M$3:M$29="P")*(G$3:G$29=G29)*(J$3:J$29&gt;J29))+IF(H29="L5",SUMPRODUCT((P$3:P$29="")*(O$3:O$29="")*(N$3:N$29="")*(M$3:M$29="P")*(G$3:G$29=G29)*(J$3:J$29&lt;J29)*(H$3:H$29&lt;&gt;H29)),-1*SUMPRODUCT((P$3:P$29="")*(O$3:O$29="")*(N$3:N$29="")*(M$3:M$29="P")*(G$3:G$29=G29)*(J$3:J$29&gt;J29)*(H$3:H$29="L5")))+1,""))))</f>
        <v/>
      </c>
      <c r="C29" s="36" t="s">
        <v>80</v>
      </c>
      <c r="D29" s="36" t="str">
        <f>IF(E29="","",VLOOKUP(E29,'Coaching Points'!A:B,2,0))</f>
        <v>QC</v>
      </c>
      <c r="E29" s="36" t="s">
        <v>3</v>
      </c>
      <c r="F29" s="35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66</v>
      </c>
      <c r="I29" s="43"/>
      <c r="J29" s="4">
        <f>R29+S29+IF(OR(H29="Junior",H29="Senior"),0.0002,IF(OR(H29="L7",H29="L6"),0.0001,0))+MAX(X29,Z29)*0.0000001</f>
        <v>72.7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MAX(T29,X29)</f>
        <v>34.200000000000003</v>
      </c>
      <c r="S29" s="4">
        <f>IF(R29=T29,MAX(V29,X29,Z29),IF(R29=X29,MAX(T29,V29,Z29),0))</f>
        <v>38.5</v>
      </c>
      <c r="T29" s="33">
        <v>34.200000000000003</v>
      </c>
      <c r="U29" s="40">
        <v>5.9</v>
      </c>
      <c r="V29" s="34">
        <v>38.5</v>
      </c>
      <c r="W29" s="40">
        <v>5.9</v>
      </c>
      <c r="X29" s="33"/>
      <c r="Y29" s="40"/>
      <c r="Z29" s="34"/>
      <c r="AA29" s="37"/>
    </row>
    <row r="30" spans="1:27" x14ac:dyDescent="0.2">
      <c r="R30" s="4"/>
      <c r="S30" s="4"/>
      <c r="T30" s="33"/>
      <c r="U30" s="40"/>
      <c r="V30" s="34"/>
      <c r="W30" s="40"/>
      <c r="X30" s="33"/>
      <c r="Y30" s="40"/>
      <c r="Z30" s="34"/>
      <c r="AA30" s="37"/>
    </row>
    <row r="31" spans="1:27" x14ac:dyDescent="0.2">
      <c r="R31" s="4"/>
      <c r="S31" s="4"/>
      <c r="T31" s="33"/>
      <c r="U31" s="40"/>
      <c r="V31" s="34"/>
      <c r="W31" s="40"/>
      <c r="X31" s="33"/>
      <c r="Y31" s="40"/>
      <c r="Z31" s="34"/>
      <c r="AA31" s="37"/>
    </row>
    <row r="32" spans="1:27" x14ac:dyDescent="0.2">
      <c r="R32" s="4"/>
      <c r="S32" s="4"/>
      <c r="T32" s="33"/>
      <c r="U32" s="40"/>
      <c r="V32" s="34"/>
      <c r="W32" s="40"/>
      <c r="X32" s="33"/>
      <c r="Y32" s="40"/>
      <c r="Z32" s="34"/>
      <c r="AA32" s="37"/>
    </row>
    <row r="33" spans="18:27" x14ac:dyDescent="0.2">
      <c r="R33" s="4"/>
      <c r="S33" s="4"/>
      <c r="T33" s="33"/>
      <c r="U33" s="40"/>
      <c r="V33" s="34"/>
      <c r="W33" s="40"/>
      <c r="X33" s="33"/>
      <c r="Y33" s="40"/>
      <c r="Z33" s="34"/>
      <c r="AA33" s="37"/>
    </row>
    <row r="34" spans="18:27" x14ac:dyDescent="0.2">
      <c r="R34" s="4"/>
      <c r="S34" s="4"/>
      <c r="T34" s="33"/>
      <c r="U34" s="40"/>
      <c r="V34" s="34"/>
      <c r="W34" s="40"/>
      <c r="X34" s="33"/>
      <c r="Y34" s="40"/>
      <c r="Z34" s="34"/>
      <c r="AA34" s="37"/>
    </row>
    <row r="35" spans="18:27" x14ac:dyDescent="0.2">
      <c r="R35" s="4"/>
      <c r="S35" s="4"/>
      <c r="T35" s="33"/>
      <c r="U35" s="40"/>
      <c r="V35" s="34"/>
      <c r="W35" s="40"/>
      <c r="X35" s="33"/>
      <c r="Y35" s="40"/>
      <c r="Z35" s="34"/>
      <c r="AA35" s="37"/>
    </row>
    <row r="36" spans="18:27" x14ac:dyDescent="0.2">
      <c r="R36" s="4"/>
      <c r="S36" s="4"/>
      <c r="T36" s="33"/>
      <c r="U36" s="40"/>
      <c r="V36" s="34"/>
      <c r="W36" s="40"/>
      <c r="X36" s="33"/>
      <c r="Y36" s="40"/>
      <c r="Z36" s="34"/>
      <c r="AA36" s="37"/>
    </row>
    <row r="37" spans="18:27" x14ac:dyDescent="0.2">
      <c r="R37" s="4"/>
      <c r="S37" s="4"/>
      <c r="T37" s="33"/>
      <c r="U37" s="40"/>
      <c r="V37" s="34"/>
      <c r="W37" s="40"/>
      <c r="X37" s="33"/>
      <c r="Y37" s="40"/>
      <c r="Z37" s="34"/>
      <c r="AA37" s="37"/>
    </row>
    <row r="38" spans="18:27" x14ac:dyDescent="0.2">
      <c r="R38" s="4"/>
      <c r="S38" s="4"/>
      <c r="T38" s="33"/>
      <c r="U38" s="40"/>
      <c r="V38" s="34"/>
      <c r="W38" s="40"/>
      <c r="X38" s="33"/>
      <c r="Y38" s="40"/>
      <c r="Z38" s="34"/>
      <c r="AA38" s="37"/>
    </row>
    <row r="39" spans="18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8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8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8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8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8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8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8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8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8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29">
      <sortCondition descending="1" ref="G1:G3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conditionalFormatting sqref="R1:S2">
    <cfRule type="expression" dxfId="11" priority="1">
      <formula>IF($G1="17-21",1,0)</formula>
    </cfRule>
    <cfRule type="expression" dxfId="10" priority="2">
      <formula>IF($G1="15-16",1,0)</formula>
    </cfRule>
    <cfRule type="expression" dxfId="9" priority="3">
      <formula>IF($G1="13-14",1,0)</formula>
    </cfRule>
    <cfRule type="expression" dxfId="8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6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$44&lt;&gt;"")*(G$3:G$44=G3)*(J$3:J$44&gt;J3)*(I$3:I$44="P"))+1,IF(O3&lt;&gt;"",SUMPRODUCT((O$3:O$44&lt;&gt;"")*(P$3:P$44="")*(G$3:G$44=G3)*(J$3:J$44&gt;J3)*(I$3:I$44="P"))+SUMPRODUCT((P$3:P$44&lt;&gt;"")*(G$3:G$44=G3)*(I$3:I$44="P"))+1,IF(N3&lt;&gt;"",SUMPRODUCT((N$3:N$44&lt;&gt;"")*(G$3:G$44=G3)*(J$3:J$44&gt;J3)*(I$3:I$44="P"))+1,IF(M3="P",SUMPRODUCT((O$3:O$44&lt;&gt;"")*(P$3:P$44="")*(G$3:G$44=G3)*(I$3:I$44="P"))+SUMPRODUCT((P$3:P$44&lt;&gt;"")*(G$3:G$44=G3)*(I$3:I$44="P"))+SUMPRODUCT((N$3:N$44&lt;&gt;"")*(G$3:G$44=G3)*(I$3:I$44="P"))+SUMPRODUCT((P$3:P$44="")*(O$3:O$44="")*(N$3:N$44="")*(M$3:M$44="P")*(G$3:G$44=G3)*(J$3:J$44&gt;J3)*(I$3:I$44="P"))+IF(H3="L5",SUMPRODUCT((P$3:P$44="")*(O$3:O$44="")*(N$3:N$44="")*(M$3:M$44="P")*(G$3:G$44=G3)*(J$3:J$44&lt;J3)*(H$3:H$44&lt;&gt;H3)*(I$3:I$44="P")),-1*SUMPRODUCT((P$3:P$44="")*(O$3:O$44="")*(N$3:N$44="")*(M$3:M$44="P")*(G$3:G$44=G3)*(J$3:J$44&gt;J3)*(H$3:H$44="L5")*(I$3:I$44="P")))+1,"")))))</f>
        <v/>
      </c>
      <c r="B3" s="1" cm="1">
        <f t="array" ref="B3">IF(P3&lt;&gt;"",SUMPRODUCT((P$3:P$44&lt;&gt;"")*(G$3:G$44=G3)*(J$3:J$44&gt;J3))+1,IF(O3&lt;&gt;"",SUMPRODUCT((O$3:O$44&lt;&gt;"")*(P$3:P$44="")*(G$3:G$44=G3)*(J$3:J$44&gt;J3))+SUMPRODUCT((P$3:P$44&lt;&gt;"")*(G$3:G$44=G3))+1,IF(N3&lt;&gt;"",SUMPRODUCT((N$3:N$44&lt;&gt;"")*(G$3:G$44=G3)*(J$3:J$44&gt;J3))+1,IF(M3="P",SUMPRODUCT((O$3:O$44&lt;&gt;"")*(P$3:P$44="")*(G$3:G$44=G3))+SUMPRODUCT((P$3:P$44&lt;&gt;"")*(G$3:G$44=G3))+SUMPRODUCT((N$3:N$44&lt;&gt;"")*(G$3:G$44=G3))+SUMPRODUCT((P$3:P$44="")*(O$3:O$44="")*(N$3:N$44="")*(M$3:M$44="P")*(G$3:G$44=G3)*(J$3:J$44&gt;J3))+IF(H3="L5",SUMPRODUCT((P$3:P$44="")*(O$3:O$44="")*(N$3:N$44="")*(M$3:M$44="P")*(G$3:G$44=G3)*(J$3:J$44&lt;J3)*(H$3:H$44&lt;&gt;H3)),-1*SUMPRODUCT((P$3:P$44="")*(O$3:O$44="")*(N$3:N$44="")*(M$3:M$44="P")*(G$3:G$44=G3)*(J$3:J$44&gt;J3)*(H$3:H$44="L5")))+1,""))))</f>
        <v>1</v>
      </c>
      <c r="C3" s="36" t="s">
        <v>193</v>
      </c>
      <c r="D3" s="36" t="str">
        <f>IF(E3="","",VLOOKUP(E3,'Coaching Points'!A:B,2,0))</f>
        <v>QC</v>
      </c>
      <c r="E3" s="36" t="s">
        <v>96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>R3+S3+IF(OR(H3="Junior",H3="Senior"),0.0002,IF(OR(H3="L7",H3="L6"),0.0001,0))+MAX(X3,Z3)*0.0000001</f>
        <v>85.400200000000012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1</v>
      </c>
      <c r="Q3" s="1" t="str">
        <f>IF(A3&lt;5,IF(_xlfn.MAXIFS(A:A,G:G,G3)&gt;3,5-A3,_xlfn.MAXIFS(A:A,G:G,G3)+1-A3),"")</f>
        <v/>
      </c>
      <c r="R3" s="4">
        <f>MAX(T3,X3)</f>
        <v>43.4</v>
      </c>
      <c r="S3" s="4">
        <f>IF(R3=T3,MAX(V3,X3,Z3),IF(R3=X3,MAX(T3,V3,Z3),0))</f>
        <v>42</v>
      </c>
      <c r="T3" s="33">
        <v>43.4</v>
      </c>
      <c r="U3" s="40">
        <v>8.1999999999999993</v>
      </c>
      <c r="V3" s="34">
        <v>42</v>
      </c>
      <c r="W3" s="40">
        <v>9.1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$44&lt;&gt;"")*(G$3:G$44=G4)*(J$3:J$44&gt;J4)*(I$3:I$44="P"))+1,IF(O4&lt;&gt;"",SUMPRODUCT((O$3:O$44&lt;&gt;"")*(P$3:P$44="")*(G$3:G$44=G4)*(J$3:J$44&gt;J4)*(I$3:I$44="P"))+SUMPRODUCT((P$3:P$44&lt;&gt;"")*(G$3:G$44=G4)*(I$3:I$44="P"))+1,IF(N4&lt;&gt;"",SUMPRODUCT((N$3:N$44&lt;&gt;"")*(G$3:G$44=G4)*(J$3:J$44&gt;J4)*(I$3:I$44="P"))+1,IF(M4="P",SUMPRODUCT((O$3:O$44&lt;&gt;"")*(P$3:P$44="")*(G$3:G$44=G4)*(I$3:I$44="P"))+SUMPRODUCT((P$3:P$44&lt;&gt;"")*(G$3:G$44=G4)*(I$3:I$44="P"))+SUMPRODUCT((N$3:N$44&lt;&gt;"")*(G$3:G$44=G4)*(I$3:I$44="P"))+SUMPRODUCT((P$3:P$44="")*(O$3:O$44="")*(N$3:N$44="")*(M$3:M$44="P")*(G$3:G$44=G4)*(J$3:J$44&gt;J4)*(I$3:I$44="P"))+IF(H4="L5",SUMPRODUCT((P$3:P$44="")*(O$3:O$44="")*(N$3:N$44="")*(M$3:M$44="P")*(G$3:G$44=G4)*(J$3:J$44&lt;J4)*(H$3:H$44&lt;&gt;H4)*(I$3:I$44="P")),-1*SUMPRODUCT((P$3:P$44="")*(O$3:O$44="")*(N$3:N$44="")*(M$3:M$44="P")*(G$3:G$44=G4)*(J$3:J$44&gt;J4)*(H$3:H$44="L5")*(I$3:I$44="P")))+1,"")))))</f>
        <v/>
      </c>
      <c r="B4" s="1" cm="1">
        <f t="array" ref="B4">IF(P4&lt;&gt;"",SUMPRODUCT((P$3:P$44&lt;&gt;"")*(G$3:G$44=G4)*(J$3:J$44&gt;J4))+1,IF(O4&lt;&gt;"",SUMPRODUCT((O$3:O$44&lt;&gt;"")*(P$3:P$44="")*(G$3:G$44=G4)*(J$3:J$44&gt;J4))+SUMPRODUCT((P$3:P$44&lt;&gt;"")*(G$3:G$44=G4))+1,IF(N4&lt;&gt;"",SUMPRODUCT((N$3:N$44&lt;&gt;"")*(G$3:G$44=G4)*(J$3:J$44&gt;J4))+1,IF(M4="P",SUMPRODUCT((O$3:O$44&lt;&gt;"")*(P$3:P$44="")*(G$3:G$44=G4))+SUMPRODUCT((P$3:P$44&lt;&gt;"")*(G$3:G$44=G4))+SUMPRODUCT((N$3:N$44&lt;&gt;"")*(G$3:G$44=G4))+SUMPRODUCT((P$3:P$44="")*(O$3:O$44="")*(N$3:N$44="")*(M$3:M$44="P")*(G$3:G$44=G4)*(J$3:J$44&gt;J4))+IF(H4="L5",SUMPRODUCT((P$3:P$44="")*(O$3:O$44="")*(N$3:N$44="")*(M$3:M$44="P")*(G$3:G$44=G4)*(J$3:J$44&lt;J4)*(H$3:H$44&lt;&gt;H4)),-1*SUMPRODUCT((P$3:P$44="")*(O$3:O$44="")*(N$3:N$44="")*(M$3:M$44="P")*(G$3:G$44=G4)*(J$3:J$44&gt;J4)*(H$3:H$44="L5")))+1,""))))</f>
        <v>2</v>
      </c>
      <c r="C4" s="36" t="s">
        <v>275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>R4+S4+IF(OR(H4="Junior",H4="Senior"),0.0002,IF(OR(H4="L7",H4="L6"),0.0001,0))+MAX(X4,Z4)*0.0000001</f>
        <v>82.700199999999995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/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/>
      </c>
      <c r="O4" s="39">
        <v>3</v>
      </c>
      <c r="P4" s="39">
        <v>2</v>
      </c>
      <c r="Q4" s="1" t="str">
        <f>IF(A4&lt;5,IF(_xlfn.MAXIFS(A:A,G:G,G4)&gt;3,5-A4,_xlfn.MAXIFS(A:A,G:G,G4)+1-A4),"")</f>
        <v/>
      </c>
      <c r="R4" s="4">
        <f>MAX(T4,X4)</f>
        <v>39.9</v>
      </c>
      <c r="S4" s="4">
        <f>IF(R4=T4,MAX(V4,X4,Z4),IF(R4=X4,MAX(T4,V4,Z4),0))</f>
        <v>42.8</v>
      </c>
      <c r="T4" s="33">
        <v>39.9</v>
      </c>
      <c r="U4" s="40">
        <v>5.8</v>
      </c>
      <c r="V4" s="34">
        <v>42.8</v>
      </c>
      <c r="W4" s="40">
        <v>7.3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$44&lt;&gt;"")*(G$3:G$44=G5)*(J$3:J$44&gt;J5)*(I$3:I$44="P"))+1,IF(O5&lt;&gt;"",SUMPRODUCT((O$3:O$44&lt;&gt;"")*(P$3:P$44="")*(G$3:G$44=G5)*(J$3:J$44&gt;J5)*(I$3:I$44="P"))+SUMPRODUCT((P$3:P$44&lt;&gt;"")*(G$3:G$44=G5)*(I$3:I$44="P"))+1,IF(N5&lt;&gt;"",SUMPRODUCT((N$3:N$44&lt;&gt;"")*(G$3:G$44=G5)*(J$3:J$44&gt;J5)*(I$3:I$44="P"))+1,IF(M5="P",SUMPRODUCT((O$3:O$44&lt;&gt;"")*(P$3:P$44="")*(G$3:G$44=G5)*(I$3:I$44="P"))+SUMPRODUCT((P$3:P$44&lt;&gt;"")*(G$3:G$44=G5)*(I$3:I$44="P"))+SUMPRODUCT((N$3:N$44&lt;&gt;"")*(G$3:G$44=G5)*(I$3:I$44="P"))+SUMPRODUCT((P$3:P$44="")*(O$3:O$44="")*(N$3:N$44="")*(M$3:M$44="P")*(G$3:G$44=G5)*(J$3:J$44&gt;J5)*(I$3:I$44="P"))+IF(H5="L5",SUMPRODUCT((P$3:P$44="")*(O$3:O$44="")*(N$3:N$44="")*(M$3:M$44="P")*(G$3:G$44=G5)*(J$3:J$44&lt;J5)*(H$3:H$44&lt;&gt;H5)*(I$3:I$44="P")),-1*SUMPRODUCT((P$3:P$44="")*(O$3:O$44="")*(N$3:N$44="")*(M$3:M$44="P")*(G$3:G$44=G5)*(J$3:J$44&gt;J5)*(H$3:H$44="L5")*(I$3:I$44="P")))+1,"")))))</f>
        <v/>
      </c>
      <c r="B5" s="1" cm="1">
        <f t="array" ref="B5">IF(P5&lt;&gt;"",SUMPRODUCT((P$3:P$44&lt;&gt;"")*(G$3:G$44=G5)*(J$3:J$44&gt;J5))+1,IF(O5&lt;&gt;"",SUMPRODUCT((O$3:O$44&lt;&gt;"")*(P$3:P$44="")*(G$3:G$44=G5)*(J$3:J$44&gt;J5))+SUMPRODUCT((P$3:P$44&lt;&gt;"")*(G$3:G$44=G5))+1,IF(N5&lt;&gt;"",SUMPRODUCT((N$3:N$44&lt;&gt;"")*(G$3:G$44=G5)*(J$3:J$44&gt;J5))+1,IF(M5="P",SUMPRODUCT((O$3:O$44&lt;&gt;"")*(P$3:P$44="")*(G$3:G$44=G5))+SUMPRODUCT((P$3:P$44&lt;&gt;"")*(G$3:G$44=G5))+SUMPRODUCT((N$3:N$44&lt;&gt;"")*(G$3:G$44=G5))+SUMPRODUCT((P$3:P$44="")*(O$3:O$44="")*(N$3:N$44="")*(M$3:M$44="P")*(G$3:G$44=G5)*(J$3:J$44&gt;J5))+IF(H5="L5",SUMPRODUCT((P$3:P$44="")*(O$3:O$44="")*(N$3:N$44="")*(M$3:M$44="P")*(G$3:G$44=G5)*(J$3:J$44&lt;J5)*(H$3:H$44&lt;&gt;H5)),-1*SUMPRODUCT((P$3:P$44="")*(O$3:O$44="")*(N$3:N$44="")*(M$3:M$44="P")*(G$3:G$44=G5)*(J$3:J$44&gt;J5)*(H$3:H$44="L5")))+1,""))))</f>
        <v>3</v>
      </c>
      <c r="C5" s="36" t="s">
        <v>188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>R5+S5+IF(OR(H5="Junior",H5="Senior"),0.0002,IF(OR(H5="L7",H5="L6"),0.0001,0))+MAX(X5,Z5)*0.0000001</f>
        <v>80.400200000000012</v>
      </c>
      <c r="K5" s="3" t="str">
        <f>IF(G5="Not Age Eligible","",IF(MAX(T5,V5,X5,Z5)&gt;=LOOKUP(G5,'Qualifying Scores'!$A$4:$A$7,'Qualifying Scores'!$I$4:$I$7),"P",""))</f>
        <v/>
      </c>
      <c r="L5" s="3" t="str">
        <f>IF(G5="Not Age Eligible","",IF(MAX(U5,W5,Y5,AA5)&gt;=LOOKUP(G5,'Qualifying Scores'!$A$10:$A$13,'Qualifying Scores'!$I$10:$I$13),"P",""))</f>
        <v/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/>
      </c>
      <c r="O5" s="39">
        <v>4</v>
      </c>
      <c r="P5" s="39">
        <v>3</v>
      </c>
      <c r="Q5" s="1" t="str">
        <f>IF(A5&lt;5,IF(_xlfn.MAXIFS(A:A,G:G,G5)&gt;3,5-A5,_xlfn.MAXIFS(A:A,G:G,G5)+1-A5),"")</f>
        <v/>
      </c>
      <c r="R5" s="4">
        <f>MAX(T5,X5)</f>
        <v>40.799999999999997</v>
      </c>
      <c r="S5" s="4">
        <f>IF(R5=T5,MAX(V5,X5,Z5),IF(R5=X5,MAX(T5,V5,Z5),0))</f>
        <v>39.6</v>
      </c>
      <c r="T5" s="33">
        <v>40.799999999999997</v>
      </c>
      <c r="U5" s="40">
        <v>6.5</v>
      </c>
      <c r="V5" s="34">
        <v>39.6</v>
      </c>
      <c r="W5" s="40">
        <v>5.8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$44&lt;&gt;"")*(G$3:G$44=G6)*(J$3:J$44&gt;J6)*(I$3:I$44="P"))+1,IF(O6&lt;&gt;"",SUMPRODUCT((O$3:O$44&lt;&gt;"")*(P$3:P$44="")*(G$3:G$44=G6)*(J$3:J$44&gt;J6)*(I$3:I$44="P"))+SUMPRODUCT((P$3:P$44&lt;&gt;"")*(G$3:G$44=G6)*(I$3:I$44="P"))+1,IF(N6&lt;&gt;"",SUMPRODUCT((N$3:N$44&lt;&gt;"")*(G$3:G$44=G6)*(J$3:J$44&gt;J6)*(I$3:I$44="P"))+1,IF(M6="P",SUMPRODUCT((O$3:O$44&lt;&gt;"")*(P$3:P$44="")*(G$3:G$44=G6)*(I$3:I$44="P"))+SUMPRODUCT((P$3:P$44&lt;&gt;"")*(G$3:G$44=G6)*(I$3:I$44="P"))+SUMPRODUCT((N$3:N$44&lt;&gt;"")*(G$3:G$44=G6)*(I$3:I$44="P"))+SUMPRODUCT((P$3:P$44="")*(O$3:O$44="")*(N$3:N$44="")*(M$3:M$44="P")*(G$3:G$44=G6)*(J$3:J$44&gt;J6)*(I$3:I$44="P"))+IF(H6="L5",SUMPRODUCT((P$3:P$44="")*(O$3:O$44="")*(N$3:N$44="")*(M$3:M$44="P")*(G$3:G$44=G6)*(J$3:J$44&lt;J6)*(H$3:H$44&lt;&gt;H6)*(I$3:I$44="P")),-1*SUMPRODUCT((P$3:P$44="")*(O$3:O$44="")*(N$3:N$44="")*(M$3:M$44="P")*(G$3:G$44=G6)*(J$3:J$44&gt;J6)*(H$3:H$44="L5")*(I$3:I$44="P")))+1,"")))))</f>
        <v/>
      </c>
      <c r="B6" s="1" cm="1">
        <f t="array" ref="B6">IF(P6&lt;&gt;"",SUMPRODUCT((P$3:P$44&lt;&gt;"")*(G$3:G$44=G6)*(J$3:J$44&gt;J6))+1,IF(O6&lt;&gt;"",SUMPRODUCT((O$3:O$44&lt;&gt;"")*(P$3:P$44="")*(G$3:G$44=G6)*(J$3:J$44&gt;J6))+SUMPRODUCT((P$3:P$44&lt;&gt;"")*(G$3:G$44=G6))+1,IF(N6&lt;&gt;"",SUMPRODUCT((N$3:N$44&lt;&gt;"")*(G$3:G$44=G6)*(J$3:J$44&gt;J6))+1,IF(M6="P",SUMPRODUCT((O$3:O$44&lt;&gt;"")*(P$3:P$44="")*(G$3:G$44=G6))+SUMPRODUCT((P$3:P$44&lt;&gt;"")*(G$3:G$44=G6))+SUMPRODUCT((N$3:N$44&lt;&gt;"")*(G$3:G$44=G6))+SUMPRODUCT((P$3:P$44="")*(O$3:O$44="")*(N$3:N$44="")*(M$3:M$44="P")*(G$3:G$44=G6)*(J$3:J$44&gt;J6))+IF(H6="L5",SUMPRODUCT((P$3:P$44="")*(O$3:O$44="")*(N$3:N$44="")*(M$3:M$44="P")*(G$3:G$44=G6)*(J$3:J$44&lt;J6)*(H$3:H$44&lt;&gt;H6)),-1*SUMPRODUCT((P$3:P$44="")*(O$3:O$44="")*(N$3:N$44="")*(M$3:M$44="P")*(G$3:G$44=G6)*(J$3:J$44&gt;J6)*(H$3:H$44="L5")))+1,""))))</f>
        <v>4</v>
      </c>
      <c r="C6" s="36" t="s">
        <v>174</v>
      </c>
      <c r="D6" s="36" t="s">
        <v>196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/>
      <c r="J6" s="4">
        <f>R6+S6+IF(OR(H6="Junior",H6="Senior"),0.0002,IF(OR(H6="L7",H6="L6"),0.0001,0))+MAX(X6,Z6)*0.0000001</f>
        <v>86.700100000000006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1</v>
      </c>
      <c r="Q6" s="1" t="str">
        <f>IF(A6&lt;5,IF(_xlfn.MAXIFS(A:A,G:G,G6)&gt;3,5-A6,_xlfn.MAXIFS(A:A,G:G,G6)+1-A6),"")</f>
        <v/>
      </c>
      <c r="R6" s="4">
        <f>MAX(T6,X6)</f>
        <v>43.5</v>
      </c>
      <c r="S6" s="4">
        <f>IF(R6=T6,MAX(V6,X6,Z6),IF(R6=X6,MAX(T6,V6,Z6),0))</f>
        <v>43.2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$44&lt;&gt;"")*(G$3:G$44=G7)*(J$3:J$44&gt;J7)*(I$3:I$44="P"))+1,IF(O7&lt;&gt;"",SUMPRODUCT((O$3:O$44&lt;&gt;"")*(P$3:P$44="")*(G$3:G$44=G7)*(J$3:J$44&gt;J7)*(I$3:I$44="P"))+SUMPRODUCT((P$3:P$44&lt;&gt;"")*(G$3:G$44=G7)*(I$3:I$44="P"))+1,IF(N7&lt;&gt;"",SUMPRODUCT((N$3:N$44&lt;&gt;"")*(G$3:G$44=G7)*(J$3:J$44&gt;J7)*(I$3:I$44="P"))+1,IF(M7="P",SUMPRODUCT((O$3:O$44&lt;&gt;"")*(P$3:P$44="")*(G$3:G$44=G7)*(I$3:I$44="P"))+SUMPRODUCT((P$3:P$44&lt;&gt;"")*(G$3:G$44=G7)*(I$3:I$44="P"))+SUMPRODUCT((N$3:N$44&lt;&gt;"")*(G$3:G$44=G7)*(I$3:I$44="P"))+SUMPRODUCT((P$3:P$44="")*(O$3:O$44="")*(N$3:N$44="")*(M$3:M$44="P")*(G$3:G$44=G7)*(J$3:J$44&gt;J7)*(I$3:I$44="P"))+IF(H7="L5",SUMPRODUCT((P$3:P$44="")*(O$3:O$44="")*(N$3:N$44="")*(M$3:M$44="P")*(G$3:G$44=G7)*(J$3:J$44&lt;J7)*(H$3:H$44&lt;&gt;H7)*(I$3:I$44="P")),-1*SUMPRODUCT((P$3:P$44="")*(O$3:O$44="")*(N$3:N$44="")*(M$3:M$44="P")*(G$3:G$44=G7)*(J$3:J$44&gt;J7)*(H$3:H$44="L5")*(I$3:I$44="P")))+1,"")))))</f>
        <v/>
      </c>
      <c r="B7" s="1" cm="1">
        <f t="array" ref="B7">IF(P7&lt;&gt;"",SUMPRODUCT((P$3:P$44&lt;&gt;"")*(G$3:G$44=G7)*(J$3:J$44&gt;J7))+1,IF(O7&lt;&gt;"",SUMPRODUCT((O$3:O$44&lt;&gt;"")*(P$3:P$44="")*(G$3:G$44=G7)*(J$3:J$44&gt;J7))+SUMPRODUCT((P$3:P$44&lt;&gt;"")*(G$3:G$44=G7))+1,IF(N7&lt;&gt;"",SUMPRODUCT((N$3:N$44&lt;&gt;"")*(G$3:G$44=G7)*(J$3:J$44&gt;J7))+1,IF(M7="P",SUMPRODUCT((O$3:O$44&lt;&gt;"")*(P$3:P$44="")*(G$3:G$44=G7))+SUMPRODUCT((P$3:P$44&lt;&gt;"")*(G$3:G$44=G7))+SUMPRODUCT((N$3:N$44&lt;&gt;"")*(G$3:G$44=G7))+SUMPRODUCT((P$3:P$44="")*(O$3:O$44="")*(N$3:N$44="")*(M$3:M$44="P")*(G$3:G$44=G7)*(J$3:J$44&gt;J7))+IF(H7="L5",SUMPRODUCT((P$3:P$44="")*(O$3:O$44="")*(N$3:N$44="")*(M$3:M$44="P")*(G$3:G$44=G7)*(J$3:J$44&lt;J7)*(H$3:H$44&lt;&gt;H7)),-1*SUMPRODUCT((P$3:P$44="")*(O$3:O$44="")*(N$3:N$44="")*(M$3:M$44="P")*(G$3:G$44=G7)*(J$3:J$44&gt;J7)*(H$3:H$44="L5")))+1,""))))</f>
        <v>5</v>
      </c>
      <c r="C7" s="36" t="s">
        <v>191</v>
      </c>
      <c r="D7" s="36" t="str">
        <f>IF(E7="","",VLOOKUP(E7,'Coaching Points'!A:B,2,0))</f>
        <v>BC</v>
      </c>
      <c r="E7" s="36" t="s">
        <v>284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R7+S7+IF(OR(H7="Junior",H7="Senior"),0.0002,IF(OR(H7="L7",H7="L6"),0.0001,0))+MAX(X7,Z7)*0.0000001</f>
        <v>84.500200000000007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>IF(A7&lt;5,IF(_xlfn.MAXIFS(A:A,G:G,G7)&gt;3,5-A7,_xlfn.MAXIFS(A:A,G:G,G7)+1-A7),"")</f>
        <v/>
      </c>
      <c r="R7" s="4">
        <f>MAX(T7,X7)</f>
        <v>41.2</v>
      </c>
      <c r="S7" s="4">
        <f>IF(R7=T7,MAX(V7,X7,Z7),IF(R7=X7,MAX(T7,V7,Z7),0))</f>
        <v>43.3</v>
      </c>
      <c r="T7" s="33">
        <v>41.2</v>
      </c>
      <c r="U7" s="40">
        <v>7.6999999999999993</v>
      </c>
      <c r="V7" s="34">
        <v>43.3</v>
      </c>
      <c r="W7" s="40">
        <v>8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$44&lt;&gt;"")*(G$3:G$44=G8)*(J$3:J$44&gt;J8)*(I$3:I$44="P"))+1,IF(O8&lt;&gt;"",SUMPRODUCT((O$3:O$44&lt;&gt;"")*(P$3:P$44="")*(G$3:G$44=G8)*(J$3:J$44&gt;J8)*(I$3:I$44="P"))+SUMPRODUCT((P$3:P$44&lt;&gt;"")*(G$3:G$44=G8)*(I$3:I$44="P"))+1,IF(N8&lt;&gt;"",SUMPRODUCT((N$3:N$44&lt;&gt;"")*(G$3:G$44=G8)*(J$3:J$44&gt;J8)*(I$3:I$44="P"))+1,IF(M8="P",SUMPRODUCT((O$3:O$44&lt;&gt;"")*(P$3:P$44="")*(G$3:G$44=G8)*(I$3:I$44="P"))+SUMPRODUCT((P$3:P$44&lt;&gt;"")*(G$3:G$44=G8)*(I$3:I$44="P"))+SUMPRODUCT((N$3:N$44&lt;&gt;"")*(G$3:G$44=G8)*(I$3:I$44="P"))+SUMPRODUCT((P$3:P$44="")*(O$3:O$44="")*(N$3:N$44="")*(M$3:M$44="P")*(G$3:G$44=G8)*(J$3:J$44&gt;J8)*(I$3:I$44="P"))+IF(H8="L5",SUMPRODUCT((P$3:P$44="")*(O$3:O$44="")*(N$3:N$44="")*(M$3:M$44="P")*(G$3:G$44=G8)*(J$3:J$44&lt;J8)*(H$3:H$44&lt;&gt;H8)*(I$3:I$44="P")),-1*SUMPRODUCT((P$3:P$44="")*(O$3:O$44="")*(N$3:N$44="")*(M$3:M$44="P")*(G$3:G$44=G8)*(J$3:J$44&gt;J8)*(H$3:H$44="L5")*(I$3:I$44="P")))+1,"")))))</f>
        <v/>
      </c>
      <c r="B8" s="1" cm="1">
        <f t="array" ref="B8">IF(P8&lt;&gt;"",SUMPRODUCT((P$3:P$44&lt;&gt;"")*(G$3:G$44=G8)*(J$3:J$44&gt;J8))+1,IF(O8&lt;&gt;"",SUMPRODUCT((O$3:O$44&lt;&gt;"")*(P$3:P$44="")*(G$3:G$44=G8)*(J$3:J$44&gt;J8))+SUMPRODUCT((P$3:P$44&lt;&gt;"")*(G$3:G$44=G8))+1,IF(N8&lt;&gt;"",SUMPRODUCT((N$3:N$44&lt;&gt;"")*(G$3:G$44=G8)*(J$3:J$44&gt;J8))+1,IF(M8="P",SUMPRODUCT((O$3:O$44&lt;&gt;"")*(P$3:P$44="")*(G$3:G$44=G8))+SUMPRODUCT((P$3:P$44&lt;&gt;"")*(G$3:G$44=G8))+SUMPRODUCT((N$3:N$44&lt;&gt;"")*(G$3:G$44=G8))+SUMPRODUCT((P$3:P$44="")*(O$3:O$44="")*(N$3:N$44="")*(M$3:M$44="P")*(G$3:G$44=G8)*(J$3:J$44&gt;J8))+IF(H8="L5",SUMPRODUCT((P$3:P$44="")*(O$3:O$44="")*(N$3:N$44="")*(M$3:M$44="P")*(G$3:G$44=G8)*(J$3:J$44&lt;J8)*(H$3:H$44&lt;&gt;H8)),-1*SUMPRODUCT((P$3:P$44="")*(O$3:O$44="")*(N$3:N$44="")*(M$3:M$44="P")*(G$3:G$44=G8)*(J$3:J$44&gt;J8)*(H$3:H$44="L5")))+1,""))))</f>
        <v>6</v>
      </c>
      <c r="C8" s="36" t="s">
        <v>362</v>
      </c>
      <c r="D8" s="36" t="s">
        <v>196</v>
      </c>
      <c r="E8" s="36" t="s">
        <v>63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>R8+S8+IF(OR(H8="Junior",H8="Senior"),0.0002,IF(OR(H8="L7",H8="L6"),0.0001,0))+MAX(X8,Z8)*0.0000001</f>
        <v>84.200100000000006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>IF(A8&lt;5,IF(_xlfn.MAXIFS(A:A,G:G,G8)&gt;3,5-A8,_xlfn.MAXIFS(A:A,G:G,G8)+1-A8),"")</f>
        <v/>
      </c>
      <c r="R8" s="4">
        <f>MAX(T8,X8)</f>
        <v>31.8</v>
      </c>
      <c r="S8" s="4">
        <f>IF(R8=T8,MAX(V8,X8,Z8),IF(R8=X8,MAX(T8,V8,Z8),0))</f>
        <v>52.4</v>
      </c>
      <c r="T8" s="33">
        <v>31.8</v>
      </c>
      <c r="U8" s="40">
        <v>3.4000000000000004</v>
      </c>
      <c r="V8" s="34">
        <v>52.4</v>
      </c>
      <c r="W8" s="40">
        <v>8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$44&lt;&gt;"")*(G$3:G$44=G9)*(J$3:J$44&gt;J9)*(I$3:I$44="P"))+1,IF(O9&lt;&gt;"",SUMPRODUCT((O$3:O$44&lt;&gt;"")*(P$3:P$44="")*(G$3:G$44=G9)*(J$3:J$44&gt;J9)*(I$3:I$44="P"))+SUMPRODUCT((P$3:P$44&lt;&gt;"")*(G$3:G$44=G9)*(I$3:I$44="P"))+1,IF(N9&lt;&gt;"",SUMPRODUCT((N$3:N$44&lt;&gt;"")*(G$3:G$44=G9)*(J$3:J$44&gt;J9)*(I$3:I$44="P"))+1,IF(M9="P",SUMPRODUCT((O$3:O$44&lt;&gt;"")*(P$3:P$44="")*(G$3:G$44=G9)*(I$3:I$44="P"))+SUMPRODUCT((P$3:P$44&lt;&gt;"")*(G$3:G$44=G9)*(I$3:I$44="P"))+SUMPRODUCT((N$3:N$44&lt;&gt;"")*(G$3:G$44=G9)*(I$3:I$44="P"))+SUMPRODUCT((P$3:P$44="")*(O$3:O$44="")*(N$3:N$44="")*(M$3:M$44="P")*(G$3:G$44=G9)*(J$3:J$44&gt;J9)*(I$3:I$44="P"))+IF(H9="L5",SUMPRODUCT((P$3:P$44="")*(O$3:O$44="")*(N$3:N$44="")*(M$3:M$44="P")*(G$3:G$44=G9)*(J$3:J$44&lt;J9)*(H$3:H$44&lt;&gt;H9)*(I$3:I$44="P")),-1*SUMPRODUCT((P$3:P$44="")*(O$3:O$44="")*(N$3:N$44="")*(M$3:M$44="P")*(G$3:G$44=G9)*(J$3:J$44&gt;J9)*(H$3:H$44="L5")*(I$3:I$44="P")))+1,"")))))</f>
        <v/>
      </c>
      <c r="B9" s="1" cm="1">
        <f t="array" ref="B9">IF(P9&lt;&gt;"",SUMPRODUCT((P$3:P$44&lt;&gt;"")*(G$3:G$44=G9)*(J$3:J$44&gt;J9))+1,IF(O9&lt;&gt;"",SUMPRODUCT((O$3:O$44&lt;&gt;"")*(P$3:P$44="")*(G$3:G$44=G9)*(J$3:J$44&gt;J9))+SUMPRODUCT((P$3:P$44&lt;&gt;"")*(G$3:G$44=G9))+1,IF(N9&lt;&gt;"",SUMPRODUCT((N$3:N$44&lt;&gt;"")*(G$3:G$44=G9)*(J$3:J$44&gt;J9))+1,IF(M9="P",SUMPRODUCT((O$3:O$44&lt;&gt;"")*(P$3:P$44="")*(G$3:G$44=G9))+SUMPRODUCT((P$3:P$44&lt;&gt;"")*(G$3:G$44=G9))+SUMPRODUCT((N$3:N$44&lt;&gt;"")*(G$3:G$44=G9))+SUMPRODUCT((P$3:P$44="")*(O$3:O$44="")*(N$3:N$44="")*(M$3:M$44="P")*(G$3:G$44=G9)*(J$3:J$44&gt;J9))+IF(H9="L5",SUMPRODUCT((P$3:P$44="")*(O$3:O$44="")*(N$3:N$44="")*(M$3:M$44="P")*(G$3:G$44=G9)*(J$3:J$44&lt;J9)*(H$3:H$44&lt;&gt;H9)),-1*SUMPRODUCT((P$3:P$44="")*(O$3:O$44="")*(N$3:N$44="")*(M$3:M$44="P")*(G$3:G$44=G9)*(J$3:J$44&gt;J9)*(H$3:H$44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79.700200000000009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>IF(A9&lt;5,IF(_xlfn.MAXIFS(A:A,G:G,G9)&gt;3,5-A9,_xlfn.MAXIFS(A:A,G:G,G9)+1-A9),"")</f>
        <v/>
      </c>
      <c r="R9" s="4">
        <f>MAX(T9,X9)</f>
        <v>37.5</v>
      </c>
      <c r="S9" s="4">
        <f>IF(R9=T9,MAX(V9,X9,Z9),IF(R9=X9,MAX(T9,V9,Z9),0))</f>
        <v>42.2</v>
      </c>
      <c r="T9" s="33">
        <v>37.5</v>
      </c>
      <c r="U9" s="40">
        <v>8</v>
      </c>
      <c r="V9" s="34">
        <v>42.2</v>
      </c>
      <c r="W9" s="40">
        <v>8.3999999999999986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$44&lt;&gt;"")*(G$3:G$44=G10)*(J$3:J$44&gt;J10)*(I$3:I$44="P"))+1,IF(O10&lt;&gt;"",SUMPRODUCT((O$3:O$44&lt;&gt;"")*(P$3:P$44="")*(G$3:G$44=G10)*(J$3:J$44&gt;J10)*(I$3:I$44="P"))+SUMPRODUCT((P$3:P$44&lt;&gt;"")*(G$3:G$44=G10)*(I$3:I$44="P"))+1,IF(N10&lt;&gt;"",SUMPRODUCT((N$3:N$44&lt;&gt;"")*(G$3:G$44=G10)*(J$3:J$44&gt;J10)*(I$3:I$44="P"))+1,IF(M10="P",SUMPRODUCT((O$3:O$44&lt;&gt;"")*(P$3:P$44="")*(G$3:G$44=G10)*(I$3:I$44="P"))+SUMPRODUCT((P$3:P$44&lt;&gt;"")*(G$3:G$44=G10)*(I$3:I$44="P"))+SUMPRODUCT((N$3:N$44&lt;&gt;"")*(G$3:G$44=G10)*(I$3:I$44="P"))+SUMPRODUCT((P$3:P$44="")*(O$3:O$44="")*(N$3:N$44="")*(M$3:M$44="P")*(G$3:G$44=G10)*(J$3:J$44&gt;J10)*(I$3:I$44="P"))+IF(H10="L5",SUMPRODUCT((P$3:P$44="")*(O$3:O$44="")*(N$3:N$44="")*(M$3:M$44="P")*(G$3:G$44=G10)*(J$3:J$44&lt;J10)*(H$3:H$44&lt;&gt;H10)*(I$3:I$44="P")),-1*SUMPRODUCT((P$3:P$44="")*(O$3:O$44="")*(N$3:N$44="")*(M$3:M$44="P")*(G$3:G$44=G10)*(J$3:J$44&gt;J10)*(H$3:H$44="L5")*(I$3:I$44="P")))+1,"")))))</f>
        <v/>
      </c>
      <c r="B10" s="1" t="str" cm="1">
        <f t="array" ref="B10">IF(P10&lt;&gt;"",SUMPRODUCT((P$3:P$44&lt;&gt;"")*(G$3:G$44=G10)*(J$3:J$44&gt;J10))+1,IF(O10&lt;&gt;"",SUMPRODUCT((O$3:O$44&lt;&gt;"")*(P$3:P$44="")*(G$3:G$44=G10)*(J$3:J$44&gt;J10))+SUMPRODUCT((P$3:P$44&lt;&gt;"")*(G$3:G$44=G10))+1,IF(N10&lt;&gt;"",SUMPRODUCT((N$3:N$44&lt;&gt;"")*(G$3:G$44=G10)*(J$3:J$44&gt;J10))+1,IF(M10="P",SUMPRODUCT((O$3:O$44&lt;&gt;"")*(P$3:P$44="")*(G$3:G$44=G10))+SUMPRODUCT((P$3:P$44&lt;&gt;"")*(G$3:G$44=G10))+SUMPRODUCT((N$3:N$44&lt;&gt;"")*(G$3:G$44=G10))+SUMPRODUCT((P$3:P$44="")*(O$3:O$44="")*(N$3:N$44="")*(M$3:M$44="P")*(G$3:G$44=G10)*(J$3:J$44&gt;J10))+IF(H10="L5",SUMPRODUCT((P$3:P$44="")*(O$3:O$44="")*(N$3:N$44="")*(M$3:M$44="P")*(G$3:G$44=G10)*(J$3:J$44&lt;J10)*(H$3:H$44&lt;&gt;H10)),-1*SUMPRODUCT((P$3:P$44="")*(O$3:O$44="")*(N$3:N$44="")*(M$3:M$44="P")*(G$3:G$44=G10)*(J$3:J$44&gt;J10)*(H$3:H$44="L5")))+1,""))))</f>
        <v/>
      </c>
      <c r="C10" s="36" t="s">
        <v>192</v>
      </c>
      <c r="D10" s="36" t="s">
        <v>199</v>
      </c>
      <c r="E10" s="36" t="s">
        <v>47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81.500100000000003</v>
      </c>
      <c r="K10" s="3" t="str">
        <f>IF(G10="Not Age Eligible","",IF(MAX(T10,V10,X10,Z10)&gt;=LOOKUP(G10,'Qualifying Scores'!$A$4:$A$7,'Qualifying Scores'!$I$4:$I$7),"P",""))</f>
        <v/>
      </c>
      <c r="L10" s="3" t="str">
        <f>IF(G10="Not Age Eligible","",IF(MAX(U10,W10,Y10,AA10)&gt;=LOOKUP(G10,'Qualifying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MAX(T10,X10)</f>
        <v>40.299999999999997</v>
      </c>
      <c r="S10" s="4">
        <f>IF(R10=T10,MAX(V10,X10,Z10),IF(R10=X10,MAX(T10,V10,Z10),0))</f>
        <v>41.2</v>
      </c>
      <c r="T10" s="33">
        <v>40.299999999999997</v>
      </c>
      <c r="U10" s="40">
        <v>7.1</v>
      </c>
      <c r="V10" s="34">
        <v>41.2</v>
      </c>
      <c r="W10" s="40">
        <v>7.1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$44&lt;&gt;"")*(G$3:G$44=G11)*(J$3:J$44&gt;J11)*(I$3:I$44="P"))+1,IF(O11&lt;&gt;"",SUMPRODUCT((O$3:O$44&lt;&gt;"")*(P$3:P$44="")*(G$3:G$44=G11)*(J$3:J$44&gt;J11)*(I$3:I$44="P"))+SUMPRODUCT((P$3:P$44&lt;&gt;"")*(G$3:G$44=G11)*(I$3:I$44="P"))+1,IF(N11&lt;&gt;"",SUMPRODUCT((N$3:N$44&lt;&gt;"")*(G$3:G$44=G11)*(J$3:J$44&gt;J11)*(I$3:I$44="P"))+1,IF(M11="P",SUMPRODUCT((O$3:O$44&lt;&gt;"")*(P$3:P$44="")*(G$3:G$44=G11)*(I$3:I$44="P"))+SUMPRODUCT((P$3:P$44&lt;&gt;"")*(G$3:G$44=G11)*(I$3:I$44="P"))+SUMPRODUCT((N$3:N$44&lt;&gt;"")*(G$3:G$44=G11)*(I$3:I$44="P"))+SUMPRODUCT((P$3:P$44="")*(O$3:O$44="")*(N$3:N$44="")*(M$3:M$44="P")*(G$3:G$44=G11)*(J$3:J$44&gt;J11)*(I$3:I$44="P"))+IF(H11="L5",SUMPRODUCT((P$3:P$44="")*(O$3:O$44="")*(N$3:N$44="")*(M$3:M$44="P")*(G$3:G$44=G11)*(J$3:J$44&lt;J11)*(H$3:H$44&lt;&gt;H11)*(I$3:I$44="P")),-1*SUMPRODUCT((P$3:P$44="")*(O$3:O$44="")*(N$3:N$44="")*(M$3:M$44="P")*(G$3:G$44=G11)*(J$3:J$44&gt;J11)*(H$3:H$44="L5")*(I$3:I$44="P")))+1,"")))))</f>
        <v/>
      </c>
      <c r="B11" s="1" t="str" cm="1">
        <f t="array" ref="B11">IF(P11&lt;&gt;"",SUMPRODUCT((P$3:P$44&lt;&gt;"")*(G$3:G$44=G11)*(J$3:J$44&gt;J11))+1,IF(O11&lt;&gt;"",SUMPRODUCT((O$3:O$44&lt;&gt;"")*(P$3:P$44="")*(G$3:G$44=G11)*(J$3:J$44&gt;J11))+SUMPRODUCT((P$3:P$44&lt;&gt;"")*(G$3:G$44=G11))+1,IF(N11&lt;&gt;"",SUMPRODUCT((N$3:N$44&lt;&gt;"")*(G$3:G$44=G11)*(J$3:J$44&gt;J11))+1,IF(M11="P",SUMPRODUCT((O$3:O$44&lt;&gt;"")*(P$3:P$44="")*(G$3:G$44=G11))+SUMPRODUCT((P$3:P$44&lt;&gt;"")*(G$3:G$44=G11))+SUMPRODUCT((N$3:N$44&lt;&gt;"")*(G$3:G$44=G11))+SUMPRODUCT((P$3:P$44="")*(O$3:O$44="")*(N$3:N$44="")*(M$3:M$44="P")*(G$3:G$44=G11)*(J$3:J$44&gt;J11))+IF(H11="L5",SUMPRODUCT((P$3:P$44="")*(O$3:O$44="")*(N$3:N$44="")*(M$3:M$44="P")*(G$3:G$44=G11)*(J$3:J$44&lt;J11)*(H$3:H$44&lt;&gt;H11)),-1*SUMPRODUCT((P$3:P$44="")*(O$3:O$44="")*(N$3:N$44="")*(M$3:M$44="P")*(G$3:G$44=G11)*(J$3:J$44&gt;J11)*(H$3:H$44="L5")))+1,""))))</f>
        <v/>
      </c>
      <c r="C11" s="36" t="s">
        <v>182</v>
      </c>
      <c r="D11" s="36" t="str">
        <f>IF(E11="","",VLOOKUP(E11,'Coaching Points'!A:B,2,0))</f>
        <v>NS</v>
      </c>
      <c r="E11" s="36" t="s">
        <v>134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66</v>
      </c>
      <c r="I11" s="43"/>
      <c r="J11" s="4">
        <f>R11+S11+IF(OR(H11="Junior",H11="Senior"),0.0002,IF(OR(H11="L7",H11="L6"),0.0001,0))+MAX(X11,Z11)*0.0000001</f>
        <v>79.099999999999994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MAX(T11,X11)</f>
        <v>39.6</v>
      </c>
      <c r="S11" s="4">
        <f>IF(R11=T11,MAX(V11,X11,Z11),IF(R11=X11,MAX(T11,V11,Z11),0))</f>
        <v>39.5</v>
      </c>
      <c r="T11" s="33">
        <v>39.6</v>
      </c>
      <c r="U11" s="40">
        <v>6.6</v>
      </c>
      <c r="V11" s="34">
        <v>39.5</v>
      </c>
      <c r="W11" s="40">
        <v>6.6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$44&lt;&gt;"")*(G$3:G$44=G12)*(J$3:J$44&gt;J12)*(I$3:I$44="P"))+1,IF(O12&lt;&gt;"",SUMPRODUCT((O$3:O$44&lt;&gt;"")*(P$3:P$44="")*(G$3:G$44=G12)*(J$3:J$44&gt;J12)*(I$3:I$44="P"))+SUMPRODUCT((P$3:P$44&lt;&gt;"")*(G$3:G$44=G12)*(I$3:I$44="P"))+1,IF(N12&lt;&gt;"",SUMPRODUCT((N$3:N$44&lt;&gt;"")*(G$3:G$44=G12)*(J$3:J$44&gt;J12)*(I$3:I$44="P"))+1,IF(M12="P",SUMPRODUCT((O$3:O$44&lt;&gt;"")*(P$3:P$44="")*(G$3:G$44=G12)*(I$3:I$44="P"))+SUMPRODUCT((P$3:P$44&lt;&gt;"")*(G$3:G$44=G12)*(I$3:I$44="P"))+SUMPRODUCT((N$3:N$44&lt;&gt;"")*(G$3:G$44=G12)*(I$3:I$44="P"))+SUMPRODUCT((P$3:P$44="")*(O$3:O$44="")*(N$3:N$44="")*(M$3:M$44="P")*(G$3:G$44=G12)*(J$3:J$44&gt;J12)*(I$3:I$44="P"))+IF(H12="L5",SUMPRODUCT((P$3:P$44="")*(O$3:O$44="")*(N$3:N$44="")*(M$3:M$44="P")*(G$3:G$44=G12)*(J$3:J$44&lt;J12)*(H$3:H$44&lt;&gt;H12)*(I$3:I$44="P")),-1*SUMPRODUCT((P$3:P$44="")*(O$3:O$44="")*(N$3:N$44="")*(M$3:M$44="P")*(G$3:G$44=G12)*(J$3:J$44&gt;J12)*(H$3:H$44="L5")*(I$3:I$44="P")))+1,"")))))</f>
        <v/>
      </c>
      <c r="B12" s="1" t="str" cm="1">
        <f t="array" ref="B12">IF(P12&lt;&gt;"",SUMPRODUCT((P$3:P$44&lt;&gt;"")*(G$3:G$44=G12)*(J$3:J$44&gt;J12))+1,IF(O12&lt;&gt;"",SUMPRODUCT((O$3:O$44&lt;&gt;"")*(P$3:P$44="")*(G$3:G$44=G12)*(J$3:J$44&gt;J12))+SUMPRODUCT((P$3:P$44&lt;&gt;"")*(G$3:G$44=G12))+1,IF(N12&lt;&gt;"",SUMPRODUCT((N$3:N$44&lt;&gt;"")*(G$3:G$44=G12)*(J$3:J$44&gt;J12))+1,IF(M12="P",SUMPRODUCT((O$3:O$44&lt;&gt;"")*(P$3:P$44="")*(G$3:G$44=G12))+SUMPRODUCT((P$3:P$44&lt;&gt;"")*(G$3:G$44=G12))+SUMPRODUCT((N$3:N$44&lt;&gt;"")*(G$3:G$44=G12))+SUMPRODUCT((P$3:P$44="")*(O$3:O$44="")*(N$3:N$44="")*(M$3:M$44="P")*(G$3:G$44=G12)*(J$3:J$44&gt;J12))+IF(H12="L5",SUMPRODUCT((P$3:P$44="")*(O$3:O$44="")*(N$3:N$44="")*(M$3:M$44="P")*(G$3:G$44=G12)*(J$3:J$44&lt;J12)*(H$3:H$44&lt;&gt;H12)),-1*SUMPRODUCT((P$3:P$44="")*(O$3:O$44="")*(N$3:N$44="")*(M$3:M$44="P")*(G$3:G$44=G12)*(J$3:J$44&gt;J12)*(H$3:H$44="L5")))+1,""))))</f>
        <v/>
      </c>
      <c r="C12" s="36" t="s">
        <v>189</v>
      </c>
      <c r="D12" s="36" t="s">
        <v>194</v>
      </c>
      <c r="E12" s="36" t="s">
        <v>203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78.760099999999994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MAX(T12,X12)</f>
        <v>37.86</v>
      </c>
      <c r="S12" s="4">
        <f>IF(R12=T12,MAX(V12,X12,Z12),IF(R12=X12,MAX(T12,V12,Z12),0))</f>
        <v>40.9</v>
      </c>
      <c r="T12" s="33">
        <v>37.86</v>
      </c>
      <c r="U12" s="40">
        <v>4.4000000000000004</v>
      </c>
      <c r="V12" s="34">
        <v>40.9</v>
      </c>
      <c r="W12" s="40">
        <v>6.4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$44&lt;&gt;"")*(G$3:G$44=G13)*(J$3:J$44&gt;J13)*(I$3:I$44="P"))+1,IF(O13&lt;&gt;"",SUMPRODUCT((O$3:O$44&lt;&gt;"")*(P$3:P$44="")*(G$3:G$44=G13)*(J$3:J$44&gt;J13)*(I$3:I$44="P"))+SUMPRODUCT((P$3:P$44&lt;&gt;"")*(G$3:G$44=G13)*(I$3:I$44="P"))+1,IF(N13&lt;&gt;"",SUMPRODUCT((N$3:N$44&lt;&gt;"")*(G$3:G$44=G13)*(J$3:J$44&gt;J13)*(I$3:I$44="P"))+1,IF(M13="P",SUMPRODUCT((O$3:O$44&lt;&gt;"")*(P$3:P$44="")*(G$3:G$44=G13)*(I$3:I$44="P"))+SUMPRODUCT((P$3:P$44&lt;&gt;"")*(G$3:G$44=G13)*(I$3:I$44="P"))+SUMPRODUCT((N$3:N$44&lt;&gt;"")*(G$3:G$44=G13)*(I$3:I$44="P"))+SUMPRODUCT((P$3:P$44="")*(O$3:O$44="")*(N$3:N$44="")*(M$3:M$44="P")*(G$3:G$44=G13)*(J$3:J$44&gt;J13)*(I$3:I$44="P"))+IF(H13="L5",SUMPRODUCT((P$3:P$44="")*(O$3:O$44="")*(N$3:N$44="")*(M$3:M$44="P")*(G$3:G$44=G13)*(J$3:J$44&lt;J13)*(H$3:H$44&lt;&gt;H13)*(I$3:I$44="P")),-1*SUMPRODUCT((P$3:P$44="")*(O$3:O$44="")*(N$3:N$44="")*(M$3:M$44="P")*(G$3:G$44=G13)*(J$3:J$44&gt;J13)*(H$3:H$44="L5")*(I$3:I$44="P")))+1,"")))))</f>
        <v/>
      </c>
      <c r="B13" s="1" t="str" cm="1">
        <f t="array" ref="B13">IF(P13&lt;&gt;"",SUMPRODUCT((P$3:P$44&lt;&gt;"")*(G$3:G$44=G13)*(J$3:J$44&gt;J13))+1,IF(O13&lt;&gt;"",SUMPRODUCT((O$3:O$44&lt;&gt;"")*(P$3:P$44="")*(G$3:G$44=G13)*(J$3:J$44&gt;J13))+SUMPRODUCT((P$3:P$44&lt;&gt;"")*(G$3:G$44=G13))+1,IF(N13&lt;&gt;"",SUMPRODUCT((N$3:N$44&lt;&gt;"")*(G$3:G$44=G13)*(J$3:J$44&gt;J13))+1,IF(M13="P",SUMPRODUCT((O$3:O$44&lt;&gt;"")*(P$3:P$44="")*(G$3:G$44=G13))+SUMPRODUCT((P$3:P$44&lt;&gt;"")*(G$3:G$44=G13))+SUMPRODUCT((N$3:N$44&lt;&gt;"")*(G$3:G$44=G13))+SUMPRODUCT((P$3:P$44="")*(O$3:O$44="")*(N$3:N$44="")*(M$3:M$44="P")*(G$3:G$44=G13)*(J$3:J$44&gt;J13))+IF(H13="L5",SUMPRODUCT((P$3:P$44="")*(O$3:O$44="")*(N$3:N$44="")*(M$3:M$44="P")*(G$3:G$44=G13)*(J$3:J$44&lt;J13)*(H$3:H$44&lt;&gt;H13)),-1*SUMPRODUCT((P$3:P$44="")*(O$3:O$44="")*(N$3:N$44="")*(M$3:M$44="P")*(G$3:G$44=G13)*(J$3:J$44&gt;J13)*(H$3:H$44="L5")))+1,""))))</f>
        <v/>
      </c>
      <c r="C13" s="36" t="s">
        <v>368</v>
      </c>
      <c r="D13" s="36" t="str">
        <f>IF(E13="","",VLOOKUP(E13,'Coaching Points'!A:B,2,0))</f>
        <v>QC</v>
      </c>
      <c r="E13" s="36" t="s">
        <v>288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>R13+S13+IF(OR(H13="Junior",H13="Senior"),0.0002,IF(OR(H13="L7",H13="L6"),0.0001,0))+MAX(X13,Z13)*0.0000001</f>
        <v>78.099999999999994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MAX(T13,X13)</f>
        <v>39.1</v>
      </c>
      <c r="S13" s="4">
        <f>IF(R13=T13,MAX(V13,X13,Z13),IF(R13=X13,MAX(T13,V13,Z13),0))</f>
        <v>39</v>
      </c>
      <c r="T13" s="33">
        <v>39.1</v>
      </c>
      <c r="U13" s="40">
        <v>4.4000000000000004</v>
      </c>
      <c r="V13" s="34">
        <v>39</v>
      </c>
      <c r="W13" s="40">
        <v>4.4000000000000004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$44&lt;&gt;"")*(G$3:G$44=G14)*(J$3:J$44&gt;J14)*(I$3:I$44="P"))+1,IF(O14&lt;&gt;"",SUMPRODUCT((O$3:O$44&lt;&gt;"")*(P$3:P$44="")*(G$3:G$44=G14)*(J$3:J$44&gt;J14)*(I$3:I$44="P"))+SUMPRODUCT((P$3:P$44&lt;&gt;"")*(G$3:G$44=G14)*(I$3:I$44="P"))+1,IF(N14&lt;&gt;"",SUMPRODUCT((N$3:N$44&lt;&gt;"")*(G$3:G$44=G14)*(J$3:J$44&gt;J14)*(I$3:I$44="P"))+1,IF(M14="P",SUMPRODUCT((O$3:O$44&lt;&gt;"")*(P$3:P$44="")*(G$3:G$44=G14)*(I$3:I$44="P"))+SUMPRODUCT((P$3:P$44&lt;&gt;"")*(G$3:G$44=G14)*(I$3:I$44="P"))+SUMPRODUCT((N$3:N$44&lt;&gt;"")*(G$3:G$44=G14)*(I$3:I$44="P"))+SUMPRODUCT((P$3:P$44="")*(O$3:O$44="")*(N$3:N$44="")*(M$3:M$44="P")*(G$3:G$44=G14)*(J$3:J$44&gt;J14)*(I$3:I$44="P"))+IF(H14="L5",SUMPRODUCT((P$3:P$44="")*(O$3:O$44="")*(N$3:N$44="")*(M$3:M$44="P")*(G$3:G$44=G14)*(J$3:J$44&lt;J14)*(H$3:H$44&lt;&gt;H14)*(I$3:I$44="P")),-1*SUMPRODUCT((P$3:P$44="")*(O$3:O$44="")*(N$3:N$44="")*(M$3:M$44="P")*(G$3:G$44=G14)*(J$3:J$44&gt;J14)*(H$3:H$44="L5")*(I$3:I$44="P")))+1,"")))))</f>
        <v/>
      </c>
      <c r="B14" s="1" t="str" cm="1">
        <f t="array" ref="B14">IF(P14&lt;&gt;"",SUMPRODUCT((P$3:P$44&lt;&gt;"")*(G$3:G$44=G14)*(J$3:J$44&gt;J14))+1,IF(O14&lt;&gt;"",SUMPRODUCT((O$3:O$44&lt;&gt;"")*(P$3:P$44="")*(G$3:G$44=G14)*(J$3:J$44&gt;J14))+SUMPRODUCT((P$3:P$44&lt;&gt;"")*(G$3:G$44=G14))+1,IF(N14&lt;&gt;"",SUMPRODUCT((N$3:N$44&lt;&gt;"")*(G$3:G$44=G14)*(J$3:J$44&gt;J14))+1,IF(M14="P",SUMPRODUCT((O$3:O$44&lt;&gt;"")*(P$3:P$44="")*(G$3:G$44=G14))+SUMPRODUCT((P$3:P$44&lt;&gt;"")*(G$3:G$44=G14))+SUMPRODUCT((N$3:N$44&lt;&gt;"")*(G$3:G$44=G14))+SUMPRODUCT((P$3:P$44="")*(O$3:O$44="")*(N$3:N$44="")*(M$3:M$44="P")*(G$3:G$44=G14)*(J$3:J$44&gt;J14))+IF(H14="L5",SUMPRODUCT((P$3:P$44="")*(O$3:O$44="")*(N$3:N$44="")*(M$3:M$44="P")*(G$3:G$44=G14)*(J$3:J$44&lt;J14)*(H$3:H$44&lt;&gt;H14)),-1*SUMPRODUCT((P$3:P$44="")*(O$3:O$44="")*(N$3:N$44="")*(M$3:M$44="P")*(G$3:G$44=G14)*(J$3:J$44&gt;J14)*(H$3:H$44="L5")))+1,""))))</f>
        <v/>
      </c>
      <c r="C14" s="36" t="s">
        <v>180</v>
      </c>
      <c r="D14" s="36" t="str">
        <f>IF(E14="","",VLOOKUP(E14,'Coaching Points'!A:B,2,0))</f>
        <v>SK</v>
      </c>
      <c r="E14" s="36" t="s">
        <v>60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76.8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MAX(T14,X14)</f>
        <v>38.299999999999997</v>
      </c>
      <c r="S14" s="4">
        <f>IF(R14=T14,MAX(V14,X14,Z14),IF(R14=X14,MAX(T14,V14,Z14),0))</f>
        <v>38.5</v>
      </c>
      <c r="T14" s="33">
        <v>38.299999999999997</v>
      </c>
      <c r="U14" s="40">
        <v>5.3</v>
      </c>
      <c r="V14" s="34">
        <v>38.5</v>
      </c>
      <c r="W14" s="40">
        <v>5.3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$44&lt;&gt;"")*(G$3:G$44=G15)*(J$3:J$44&gt;J15)*(I$3:I$44="P"))+1,IF(O15&lt;&gt;"",SUMPRODUCT((O$3:O$44&lt;&gt;"")*(P$3:P$44="")*(G$3:G$44=G15)*(J$3:J$44&gt;J15)*(I$3:I$44="P"))+SUMPRODUCT((P$3:P$44&lt;&gt;"")*(G$3:G$44=G15)*(I$3:I$44="P"))+1,IF(N15&lt;&gt;"",SUMPRODUCT((N$3:N$44&lt;&gt;"")*(G$3:G$44=G15)*(J$3:J$44&gt;J15)*(I$3:I$44="P"))+1,IF(M15="P",SUMPRODUCT((O$3:O$44&lt;&gt;"")*(P$3:P$44="")*(G$3:G$44=G15)*(I$3:I$44="P"))+SUMPRODUCT((P$3:P$44&lt;&gt;"")*(G$3:G$44=G15)*(I$3:I$44="P"))+SUMPRODUCT((N$3:N$44&lt;&gt;"")*(G$3:G$44=G15)*(I$3:I$44="P"))+SUMPRODUCT((P$3:P$44="")*(O$3:O$44="")*(N$3:N$44="")*(M$3:M$44="P")*(G$3:G$44=G15)*(J$3:J$44&gt;J15)*(I$3:I$44="P"))+IF(H15="L5",SUMPRODUCT((P$3:P$44="")*(O$3:O$44="")*(N$3:N$44="")*(M$3:M$44="P")*(G$3:G$44=G15)*(J$3:J$44&lt;J15)*(H$3:H$44&lt;&gt;H15)*(I$3:I$44="P")),-1*SUMPRODUCT((P$3:P$44="")*(O$3:O$44="")*(N$3:N$44="")*(M$3:M$44="P")*(G$3:G$44=G15)*(J$3:J$44&gt;J15)*(H$3:H$44="L5")*(I$3:I$44="P")))+1,"")))))</f>
        <v/>
      </c>
      <c r="B15" s="1" t="str" cm="1">
        <f t="array" ref="B15">IF(P15&lt;&gt;"",SUMPRODUCT((P$3:P$44&lt;&gt;"")*(G$3:G$44=G15)*(J$3:J$44&gt;J15))+1,IF(O15&lt;&gt;"",SUMPRODUCT((O$3:O$44&lt;&gt;"")*(P$3:P$44="")*(G$3:G$44=G15)*(J$3:J$44&gt;J15))+SUMPRODUCT((P$3:P$44&lt;&gt;"")*(G$3:G$44=G15))+1,IF(N15&lt;&gt;"",SUMPRODUCT((N$3:N$44&lt;&gt;"")*(G$3:G$44=G15)*(J$3:J$44&gt;J15))+1,IF(M15="P",SUMPRODUCT((O$3:O$44&lt;&gt;"")*(P$3:P$44="")*(G$3:G$44=G15))+SUMPRODUCT((P$3:P$44&lt;&gt;"")*(G$3:G$44=G15))+SUMPRODUCT((N$3:N$44&lt;&gt;"")*(G$3:G$44=G15))+SUMPRODUCT((P$3:P$44="")*(O$3:O$44="")*(N$3:N$44="")*(M$3:M$44="P")*(G$3:G$44=G15)*(J$3:J$44&gt;J15))+IF(H15="L5",SUMPRODUCT((P$3:P$44="")*(O$3:O$44="")*(N$3:N$44="")*(M$3:M$44="P")*(G$3:G$44=G15)*(J$3:J$44&lt;J15)*(H$3:H$44&lt;&gt;H15)),-1*SUMPRODUCT((P$3:P$44="")*(O$3:O$44="")*(N$3:N$44="")*(M$3:M$44="P")*(G$3:G$44=G15)*(J$3:J$44&gt;J15)*(H$3:H$44="L5")))+1,""))))</f>
        <v/>
      </c>
      <c r="C15" s="36" t="s">
        <v>274</v>
      </c>
      <c r="D15" s="36" t="str">
        <f>IF(E15="","",VLOOKUP(E15,'Coaching Points'!A:B,2,0))</f>
        <v>QC</v>
      </c>
      <c r="E15" s="36" t="s">
        <v>203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>R15+S15+IF(OR(H15="Junior",H15="Senior"),0.0002,IF(OR(H15="L7",H15="L6"),0.0001,0))+MAX(X15,Z15)*0.0000001</f>
        <v>76.599999999999994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MAX(T15,X15)</f>
        <v>38.299999999999997</v>
      </c>
      <c r="S15" s="4">
        <f>IF(R15=T15,MAX(V15,X15,Z15),IF(R15=X15,MAX(T15,V15,Z15),0))</f>
        <v>38.299999999999997</v>
      </c>
      <c r="T15" s="33">
        <v>38.299999999999997</v>
      </c>
      <c r="U15" s="40">
        <v>4.4000000000000004</v>
      </c>
      <c r="V15" s="34">
        <v>38.299999999999997</v>
      </c>
      <c r="W15" s="40">
        <v>4.4000000000000004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$44&lt;&gt;"")*(G$3:G$44=G16)*(J$3:J$44&gt;J16)*(I$3:I$44="P"))+1,IF(O16&lt;&gt;"",SUMPRODUCT((O$3:O$44&lt;&gt;"")*(P$3:P$44="")*(G$3:G$44=G16)*(J$3:J$44&gt;J16)*(I$3:I$44="P"))+SUMPRODUCT((P$3:P$44&lt;&gt;"")*(G$3:G$44=G16)*(I$3:I$44="P"))+1,IF(N16&lt;&gt;"",SUMPRODUCT((N$3:N$44&lt;&gt;"")*(G$3:G$44=G16)*(J$3:J$44&gt;J16)*(I$3:I$44="P"))+1,IF(M16="P",SUMPRODUCT((O$3:O$44&lt;&gt;"")*(P$3:P$44="")*(G$3:G$44=G16)*(I$3:I$44="P"))+SUMPRODUCT((P$3:P$44&lt;&gt;"")*(G$3:G$44=G16)*(I$3:I$44="P"))+SUMPRODUCT((N$3:N$44&lt;&gt;"")*(G$3:G$44=G16)*(I$3:I$44="P"))+SUMPRODUCT((P$3:P$44="")*(O$3:O$44="")*(N$3:N$44="")*(M$3:M$44="P")*(G$3:G$44=G16)*(J$3:J$44&gt;J16)*(I$3:I$44="P"))+IF(H16="L5",SUMPRODUCT((P$3:P$44="")*(O$3:O$44="")*(N$3:N$44="")*(M$3:M$44="P")*(G$3:G$44=G16)*(J$3:J$44&lt;J16)*(H$3:H$44&lt;&gt;H16)*(I$3:I$44="P")),-1*SUMPRODUCT((P$3:P$44="")*(O$3:O$44="")*(N$3:N$44="")*(M$3:M$44="P")*(G$3:G$44=G16)*(J$3:J$44&gt;J16)*(H$3:H$44="L5")*(I$3:I$44="P")))+1,"")))))</f>
        <v/>
      </c>
      <c r="B16" s="1" t="str" cm="1">
        <f t="array" ref="B16">IF(P16&lt;&gt;"",SUMPRODUCT((P$3:P$44&lt;&gt;"")*(G$3:G$44=G16)*(J$3:J$44&gt;J16))+1,IF(O16&lt;&gt;"",SUMPRODUCT((O$3:O$44&lt;&gt;"")*(P$3:P$44="")*(G$3:G$44=G16)*(J$3:J$44&gt;J16))+SUMPRODUCT((P$3:P$44&lt;&gt;"")*(G$3:G$44=G16))+1,IF(N16&lt;&gt;"",SUMPRODUCT((N$3:N$44&lt;&gt;"")*(G$3:G$44=G16)*(J$3:J$44&gt;J16))+1,IF(M16="P",SUMPRODUCT((O$3:O$44&lt;&gt;"")*(P$3:P$44="")*(G$3:G$44=G16))+SUMPRODUCT((P$3:P$44&lt;&gt;"")*(G$3:G$44=G16))+SUMPRODUCT((N$3:N$44&lt;&gt;"")*(G$3:G$44=G16))+SUMPRODUCT((P$3:P$44="")*(O$3:O$44="")*(N$3:N$44="")*(M$3:M$44="P")*(G$3:G$44=G16)*(J$3:J$44&gt;J16))+IF(H16="L5",SUMPRODUCT((P$3:P$44="")*(O$3:O$44="")*(N$3:N$44="")*(M$3:M$44="P")*(G$3:G$44=G16)*(J$3:J$44&lt;J16)*(H$3:H$44&lt;&gt;H16)),-1*SUMPRODUCT((P$3:P$44="")*(O$3:O$44="")*(N$3:N$44="")*(M$3:M$44="P")*(G$3:G$44=G16)*(J$3:J$44&gt;J16)*(H$3:H$44="L5")))+1,""))))</f>
        <v/>
      </c>
      <c r="C16" s="36" t="s">
        <v>185</v>
      </c>
      <c r="D16" s="36" t="str">
        <f>IF(E16="","",VLOOKUP(E16,'Coaching Points'!A:B,2,0))</f>
        <v>ON</v>
      </c>
      <c r="E16" s="36" t="s">
        <v>47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75.8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MAX(T16,X16)</f>
        <v>38.799999999999997</v>
      </c>
      <c r="S16" s="4">
        <f>IF(R16=T16,MAX(V16,X16,Z16),IF(R16=X16,MAX(T16,V16,Z16),0))</f>
        <v>37</v>
      </c>
      <c r="T16" s="33">
        <v>38.799999999999997</v>
      </c>
      <c r="U16" s="40">
        <v>6.1999999999999993</v>
      </c>
      <c r="V16" s="34">
        <v>37</v>
      </c>
      <c r="W16" s="40">
        <v>6.1999999999999993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$44&lt;&gt;"")*(G$3:G$44=G17)*(J$3:J$44&gt;J17)*(I$3:I$44="P"))+1,IF(O17&lt;&gt;"",SUMPRODUCT((O$3:O$44&lt;&gt;"")*(P$3:P$44="")*(G$3:G$44=G17)*(J$3:J$44&gt;J17)*(I$3:I$44="P"))+SUMPRODUCT((P$3:P$44&lt;&gt;"")*(G$3:G$44=G17)*(I$3:I$44="P"))+1,IF(N17&lt;&gt;"",SUMPRODUCT((N$3:N$44&lt;&gt;"")*(G$3:G$44=G17)*(J$3:J$44&gt;J17)*(I$3:I$44="P"))+1,IF(M17="P",SUMPRODUCT((O$3:O$44&lt;&gt;"")*(P$3:P$44="")*(G$3:G$44=G17)*(I$3:I$44="P"))+SUMPRODUCT((P$3:P$44&lt;&gt;"")*(G$3:G$44=G17)*(I$3:I$44="P"))+SUMPRODUCT((N$3:N$44&lt;&gt;"")*(G$3:G$44=G17)*(I$3:I$44="P"))+SUMPRODUCT((P$3:P$44="")*(O$3:O$44="")*(N$3:N$44="")*(M$3:M$44="P")*(G$3:G$44=G17)*(J$3:J$44&gt;J17)*(I$3:I$44="P"))+IF(H17="L5",SUMPRODUCT((P$3:P$44="")*(O$3:O$44="")*(N$3:N$44="")*(M$3:M$44="P")*(G$3:G$44=G17)*(J$3:J$44&lt;J17)*(H$3:H$44&lt;&gt;H17)*(I$3:I$44="P")),-1*SUMPRODUCT((P$3:P$44="")*(O$3:O$44="")*(N$3:N$44="")*(M$3:M$44="P")*(G$3:G$44=G17)*(J$3:J$44&gt;J17)*(H$3:H$44="L5")*(I$3:I$44="P")))+1,"")))))</f>
        <v/>
      </c>
      <c r="B17" s="1" t="str" cm="1">
        <f t="array" ref="B17">IF(P17&lt;&gt;"",SUMPRODUCT((P$3:P$44&lt;&gt;"")*(G$3:G$44=G17)*(J$3:J$44&gt;J17))+1,IF(O17&lt;&gt;"",SUMPRODUCT((O$3:O$44&lt;&gt;"")*(P$3:P$44="")*(G$3:G$44=G17)*(J$3:J$44&gt;J17))+SUMPRODUCT((P$3:P$44&lt;&gt;"")*(G$3:G$44=G17))+1,IF(N17&lt;&gt;"",SUMPRODUCT((N$3:N$44&lt;&gt;"")*(G$3:G$44=G17)*(J$3:J$44&gt;J17))+1,IF(M17="P",SUMPRODUCT((O$3:O$44&lt;&gt;"")*(P$3:P$44="")*(G$3:G$44=G17))+SUMPRODUCT((P$3:P$44&lt;&gt;"")*(G$3:G$44=G17))+SUMPRODUCT((N$3:N$44&lt;&gt;"")*(G$3:G$44=G17))+SUMPRODUCT((P$3:P$44="")*(O$3:O$44="")*(N$3:N$44="")*(M$3:M$44="P")*(G$3:G$44=G17)*(J$3:J$44&gt;J17))+IF(H17="L5",SUMPRODUCT((P$3:P$44="")*(O$3:O$44="")*(N$3:N$44="")*(M$3:M$44="P")*(G$3:G$44=G17)*(J$3:J$44&lt;J17)*(H$3:H$44&lt;&gt;H17)),-1*SUMPRODUCT((P$3:P$44="")*(O$3:O$44="")*(N$3:N$44="")*(M$3:M$44="P")*(G$3:G$44=G17)*(J$3:J$44&gt;J17)*(H$3:H$44="L5")))+1,""))))</f>
        <v/>
      </c>
      <c r="C17" s="36" t="s">
        <v>369</v>
      </c>
      <c r="D17" s="36" t="str">
        <f>IF(E17="","",VLOOKUP(E17,'Coaching Points'!A:B,2,0))</f>
        <v>ON</v>
      </c>
      <c r="E17" s="36" t="s">
        <v>100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75.099999999999994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MAX(T17,X17)</f>
        <v>38</v>
      </c>
      <c r="S17" s="4">
        <f>IF(R17=T17,MAX(V17,X17,Z17),IF(R17=X17,MAX(T17,V17,Z17),0))</f>
        <v>37.1</v>
      </c>
      <c r="T17" s="33">
        <v>38</v>
      </c>
      <c r="U17" s="40">
        <v>6</v>
      </c>
      <c r="V17" s="34">
        <v>37.1</v>
      </c>
      <c r="W17" s="40">
        <v>6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$44&lt;&gt;"")*(G$3:G$44=G18)*(J$3:J$44&gt;J18)*(I$3:I$44="P"))+1,IF(O18&lt;&gt;"",SUMPRODUCT((O$3:O$44&lt;&gt;"")*(P$3:P$44="")*(G$3:G$44=G18)*(J$3:J$44&gt;J18)*(I$3:I$44="P"))+SUMPRODUCT((P$3:P$44&lt;&gt;"")*(G$3:G$44=G18)*(I$3:I$44="P"))+1,IF(N18&lt;&gt;"",SUMPRODUCT((N$3:N$44&lt;&gt;"")*(G$3:G$44=G18)*(J$3:J$44&gt;J18)*(I$3:I$44="P"))+1,IF(M18="P",SUMPRODUCT((O$3:O$44&lt;&gt;"")*(P$3:P$44="")*(G$3:G$44=G18)*(I$3:I$44="P"))+SUMPRODUCT((P$3:P$44&lt;&gt;"")*(G$3:G$44=G18)*(I$3:I$44="P"))+SUMPRODUCT((N$3:N$44&lt;&gt;"")*(G$3:G$44=G18)*(I$3:I$44="P"))+SUMPRODUCT((P$3:P$44="")*(O$3:O$44="")*(N$3:N$44="")*(M$3:M$44="P")*(G$3:G$44=G18)*(J$3:J$44&gt;J18)*(I$3:I$44="P"))+IF(H18="L5",SUMPRODUCT((P$3:P$44="")*(O$3:O$44="")*(N$3:N$44="")*(M$3:M$44="P")*(G$3:G$44=G18)*(J$3:J$44&lt;J18)*(H$3:H$44&lt;&gt;H18)*(I$3:I$44="P")),-1*SUMPRODUCT((P$3:P$44="")*(O$3:O$44="")*(N$3:N$44="")*(M$3:M$44="P")*(G$3:G$44=G18)*(J$3:J$44&gt;J18)*(H$3:H$44="L5")*(I$3:I$44="P")))+1,"")))))</f>
        <v/>
      </c>
      <c r="B18" s="1" t="str" cm="1">
        <f t="array" ref="B18">IF(P18&lt;&gt;"",SUMPRODUCT((P$3:P$44&lt;&gt;"")*(G$3:G$44=G18)*(J$3:J$44&gt;J18))+1,IF(O18&lt;&gt;"",SUMPRODUCT((O$3:O$44&lt;&gt;"")*(P$3:P$44="")*(G$3:G$44=G18)*(J$3:J$44&gt;J18))+SUMPRODUCT((P$3:P$44&lt;&gt;"")*(G$3:G$44=G18))+1,IF(N18&lt;&gt;"",SUMPRODUCT((N$3:N$44&lt;&gt;"")*(G$3:G$44=G18)*(J$3:J$44&gt;J18))+1,IF(M18="P",SUMPRODUCT((O$3:O$44&lt;&gt;"")*(P$3:P$44="")*(G$3:G$44=G18))+SUMPRODUCT((P$3:P$44&lt;&gt;"")*(G$3:G$44=G18))+SUMPRODUCT((N$3:N$44&lt;&gt;"")*(G$3:G$44=G18))+SUMPRODUCT((P$3:P$44="")*(O$3:O$44="")*(N$3:N$44="")*(M$3:M$44="P")*(G$3:G$44=G18)*(J$3:J$44&gt;J18))+IF(H18="L5",SUMPRODUCT((P$3:P$44="")*(O$3:O$44="")*(N$3:N$44="")*(M$3:M$44="P")*(G$3:G$44=G18)*(J$3:J$44&lt;J18)*(H$3:H$44&lt;&gt;H18)),-1*SUMPRODUCT((P$3:P$44="")*(O$3:O$44="")*(N$3:N$44="")*(M$3:M$44="P")*(G$3:G$44=G18)*(J$3:J$44&gt;J18)*(H$3:H$44="L5")))+1,""))))</f>
        <v/>
      </c>
      <c r="C18" s="36" t="s">
        <v>156</v>
      </c>
      <c r="D18" s="36" t="str">
        <f>IF(E18="","",VLOOKUP(E18,'Coaching Points'!A:B,2,0))</f>
        <v>AB</v>
      </c>
      <c r="E18" s="36" t="s">
        <v>29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75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MAX(T18,X18)</f>
        <v>37.299999999999997</v>
      </c>
      <c r="S18" s="4">
        <f>IF(R18=T18,MAX(V18,X18,Z18),IF(R18=X18,MAX(T18,V18,Z18),0))</f>
        <v>37.700000000000003</v>
      </c>
      <c r="T18" s="33">
        <v>37.299999999999997</v>
      </c>
      <c r="U18" s="40">
        <v>5.0999999999999996</v>
      </c>
      <c r="V18" s="34">
        <v>37.700000000000003</v>
      </c>
      <c r="W18" s="40">
        <v>5.0999999999999996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$44&lt;&gt;"")*(G$3:G$44=G19)*(J$3:J$44&gt;J19)*(I$3:I$44="P"))+1,IF(O19&lt;&gt;"",SUMPRODUCT((O$3:O$44&lt;&gt;"")*(P$3:P$44="")*(G$3:G$44=G19)*(J$3:J$44&gt;J19)*(I$3:I$44="P"))+SUMPRODUCT((P$3:P$44&lt;&gt;"")*(G$3:G$44=G19)*(I$3:I$44="P"))+1,IF(N19&lt;&gt;"",SUMPRODUCT((N$3:N$44&lt;&gt;"")*(G$3:G$44=G19)*(J$3:J$44&gt;J19)*(I$3:I$44="P"))+1,IF(M19="P",SUMPRODUCT((O$3:O$44&lt;&gt;"")*(P$3:P$44="")*(G$3:G$44=G19)*(I$3:I$44="P"))+SUMPRODUCT((P$3:P$44&lt;&gt;"")*(G$3:G$44=G19)*(I$3:I$44="P"))+SUMPRODUCT((N$3:N$44&lt;&gt;"")*(G$3:G$44=G19)*(I$3:I$44="P"))+SUMPRODUCT((P$3:P$44="")*(O$3:O$44="")*(N$3:N$44="")*(M$3:M$44="P")*(G$3:G$44=G19)*(J$3:J$44&gt;J19)*(I$3:I$44="P"))+IF(H19="L5",SUMPRODUCT((P$3:P$44="")*(O$3:O$44="")*(N$3:N$44="")*(M$3:M$44="P")*(G$3:G$44=G19)*(J$3:J$44&lt;J19)*(H$3:H$44&lt;&gt;H19)*(I$3:I$44="P")),-1*SUMPRODUCT((P$3:P$44="")*(O$3:O$44="")*(N$3:N$44="")*(M$3:M$44="P")*(G$3:G$44=G19)*(J$3:J$44&gt;J19)*(H$3:H$44="L5")*(I$3:I$44="P")))+1,"")))))</f>
        <v/>
      </c>
      <c r="B19" s="1" t="str" cm="1">
        <f t="array" ref="B19">IF(P19&lt;&gt;"",SUMPRODUCT((P$3:P$44&lt;&gt;"")*(G$3:G$44=G19)*(J$3:J$44&gt;J19))+1,IF(O19&lt;&gt;"",SUMPRODUCT((O$3:O$44&lt;&gt;"")*(P$3:P$44="")*(G$3:G$44=G19)*(J$3:J$44&gt;J19))+SUMPRODUCT((P$3:P$44&lt;&gt;"")*(G$3:G$44=G19))+1,IF(N19&lt;&gt;"",SUMPRODUCT((N$3:N$44&lt;&gt;"")*(G$3:G$44=G19)*(J$3:J$44&gt;J19))+1,IF(M19="P",SUMPRODUCT((O$3:O$44&lt;&gt;"")*(P$3:P$44="")*(G$3:G$44=G19))+SUMPRODUCT((P$3:P$44&lt;&gt;"")*(G$3:G$44=G19))+SUMPRODUCT((N$3:N$44&lt;&gt;"")*(G$3:G$44=G19))+SUMPRODUCT((P$3:P$44="")*(O$3:O$44="")*(N$3:N$44="")*(M$3:M$44="P")*(G$3:G$44=G19)*(J$3:J$44&gt;J19))+IF(H19="L5",SUMPRODUCT((P$3:P$44="")*(O$3:O$44="")*(N$3:N$44="")*(M$3:M$44="P")*(G$3:G$44=G19)*(J$3:J$44&lt;J19)*(H$3:H$44&lt;&gt;H19)),-1*SUMPRODUCT((P$3:P$44="")*(O$3:O$44="")*(N$3:N$44="")*(M$3:M$44="P")*(G$3:G$44=G19)*(J$3:J$44&gt;J19)*(H$3:H$44="L5")))+1,""))))</f>
        <v/>
      </c>
      <c r="C19" s="36" t="s">
        <v>181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74.099999999999994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MAX(T19,X19)</f>
        <v>37</v>
      </c>
      <c r="S19" s="4">
        <f>IF(R19=T19,MAX(V19,X19,Z19),IF(R19=X19,MAX(T19,V19,Z19),0))</f>
        <v>37.1</v>
      </c>
      <c r="T19" s="33">
        <v>37</v>
      </c>
      <c r="U19" s="40">
        <v>4.8</v>
      </c>
      <c r="V19" s="34">
        <v>37.1</v>
      </c>
      <c r="W19" s="40">
        <v>4.8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$44&lt;&gt;"")*(G$3:G$44=G20)*(J$3:J$44&gt;J20)*(I$3:I$44="P"))+1,IF(O20&lt;&gt;"",SUMPRODUCT((O$3:O$44&lt;&gt;"")*(P$3:P$44="")*(G$3:G$44=G20)*(J$3:J$44&gt;J20)*(I$3:I$44="P"))+SUMPRODUCT((P$3:P$44&lt;&gt;"")*(G$3:G$44=G20)*(I$3:I$44="P"))+1,IF(N20&lt;&gt;"",SUMPRODUCT((N$3:N$44&lt;&gt;"")*(G$3:G$44=G20)*(J$3:J$44&gt;J20)*(I$3:I$44="P"))+1,IF(M20="P",SUMPRODUCT((O$3:O$44&lt;&gt;"")*(P$3:P$44="")*(G$3:G$44=G20)*(I$3:I$44="P"))+SUMPRODUCT((P$3:P$44&lt;&gt;"")*(G$3:G$44=G20)*(I$3:I$44="P"))+SUMPRODUCT((N$3:N$44&lt;&gt;"")*(G$3:G$44=G20)*(I$3:I$44="P"))+SUMPRODUCT((P$3:P$44="")*(O$3:O$44="")*(N$3:N$44="")*(M$3:M$44="P")*(G$3:G$44=G20)*(J$3:J$44&gt;J20)*(I$3:I$44="P"))+IF(H20="L5",SUMPRODUCT((P$3:P$44="")*(O$3:O$44="")*(N$3:N$44="")*(M$3:M$44="P")*(G$3:G$44=G20)*(J$3:J$44&lt;J20)*(H$3:H$44&lt;&gt;H20)*(I$3:I$44="P")),-1*SUMPRODUCT((P$3:P$44="")*(O$3:O$44="")*(N$3:N$44="")*(M$3:M$44="P")*(G$3:G$44=G20)*(J$3:J$44&gt;J20)*(H$3:H$44="L5")*(I$3:I$44="P")))+1,"")))))</f>
        <v/>
      </c>
      <c r="B20" s="1" t="str" cm="1">
        <f t="array" ref="B20">IF(P20&lt;&gt;"",SUMPRODUCT((P$3:P$44&lt;&gt;"")*(G$3:G$44=G20)*(J$3:J$44&gt;J20))+1,IF(O20&lt;&gt;"",SUMPRODUCT((O$3:O$44&lt;&gt;"")*(P$3:P$44="")*(G$3:G$44=G20)*(J$3:J$44&gt;J20))+SUMPRODUCT((P$3:P$44&lt;&gt;"")*(G$3:G$44=G20))+1,IF(N20&lt;&gt;"",SUMPRODUCT((N$3:N$44&lt;&gt;"")*(G$3:G$44=G20)*(J$3:J$44&gt;J20))+1,IF(M20="P",SUMPRODUCT((O$3:O$44&lt;&gt;"")*(P$3:P$44="")*(G$3:G$44=G20))+SUMPRODUCT((P$3:P$44&lt;&gt;"")*(G$3:G$44=G20))+SUMPRODUCT((N$3:N$44&lt;&gt;"")*(G$3:G$44=G20))+SUMPRODUCT((P$3:P$44="")*(O$3:O$44="")*(N$3:N$44="")*(M$3:M$44="P")*(G$3:G$44=G20)*(J$3:J$44&gt;J20))+IF(H20="L5",SUMPRODUCT((P$3:P$44="")*(O$3:O$44="")*(N$3:N$44="")*(M$3:M$44="P")*(G$3:G$44=G20)*(J$3:J$44&lt;J20)*(H$3:H$44&lt;&gt;H20)),-1*SUMPRODUCT((P$3:P$44="")*(O$3:O$44="")*(N$3:N$44="")*(M$3:M$44="P")*(G$3:G$44=G20)*(J$3:J$44&gt;J20)*(H$3:H$44="L5")))+1,""))))</f>
        <v/>
      </c>
      <c r="C20" s="36" t="s">
        <v>155</v>
      </c>
      <c r="D20" s="36" t="s">
        <v>198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R20+S20+IF(OR(H20="Junior",H20="Senior"),0.0002,IF(OR(H20="L7",H20="L6"),0.0001,0))+MAX(X20,Z20)*0.0000001</f>
        <v>72.600099999999998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MAX(T20,X20)</f>
        <v>35.700000000000003</v>
      </c>
      <c r="S20" s="4">
        <f>IF(R20=T20,MAX(V20,X20,Z20),IF(R20=X20,MAX(T20,V20,Z20),0))</f>
        <v>36.9</v>
      </c>
      <c r="T20" s="33">
        <v>35.700000000000003</v>
      </c>
      <c r="U20" s="40">
        <v>4.4000000000000004</v>
      </c>
      <c r="V20" s="34">
        <v>36.9</v>
      </c>
      <c r="W20" s="40">
        <v>4.4000000000000004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$44&lt;&gt;"")*(G$3:G$44=G21)*(J$3:J$44&gt;J21)*(I$3:I$44="P"))+1,IF(O21&lt;&gt;"",SUMPRODUCT((O$3:O$44&lt;&gt;"")*(P$3:P$44="")*(G$3:G$44=G21)*(J$3:J$44&gt;J21)*(I$3:I$44="P"))+SUMPRODUCT((P$3:P$44&lt;&gt;"")*(G$3:G$44=G21)*(I$3:I$44="P"))+1,IF(N21&lt;&gt;"",SUMPRODUCT((N$3:N$44&lt;&gt;"")*(G$3:G$44=G21)*(J$3:J$44&gt;J21)*(I$3:I$44="P"))+1,IF(M21="P",SUMPRODUCT((O$3:O$44&lt;&gt;"")*(P$3:P$44="")*(G$3:G$44=G21)*(I$3:I$44="P"))+SUMPRODUCT((P$3:P$44&lt;&gt;"")*(G$3:G$44=G21)*(I$3:I$44="P"))+SUMPRODUCT((N$3:N$44&lt;&gt;"")*(G$3:G$44=G21)*(I$3:I$44="P"))+SUMPRODUCT((P$3:P$44="")*(O$3:O$44="")*(N$3:N$44="")*(M$3:M$44="P")*(G$3:G$44=G21)*(J$3:J$44&gt;J21)*(I$3:I$44="P"))+IF(H21="L5",SUMPRODUCT((P$3:P$44="")*(O$3:O$44="")*(N$3:N$44="")*(M$3:M$44="P")*(G$3:G$44=G21)*(J$3:J$44&lt;J21)*(H$3:H$44&lt;&gt;H21)*(I$3:I$44="P")),-1*SUMPRODUCT((P$3:P$44="")*(O$3:O$44="")*(N$3:N$44="")*(M$3:M$44="P")*(G$3:G$44=G21)*(J$3:J$44&gt;J21)*(H$3:H$44="L5")*(I$3:I$44="P")))+1,"")))))</f>
        <v/>
      </c>
      <c r="B21" s="1" t="str" cm="1">
        <f t="array" ref="B21">IF(P21&lt;&gt;"",SUMPRODUCT((P$3:P$44&lt;&gt;"")*(G$3:G$44=G21)*(J$3:J$44&gt;J21))+1,IF(O21&lt;&gt;"",SUMPRODUCT((O$3:O$44&lt;&gt;"")*(P$3:P$44="")*(G$3:G$44=G21)*(J$3:J$44&gt;J21))+SUMPRODUCT((P$3:P$44&lt;&gt;"")*(G$3:G$44=G21))+1,IF(N21&lt;&gt;"",SUMPRODUCT((N$3:N$44&lt;&gt;"")*(G$3:G$44=G21)*(J$3:J$44&gt;J21))+1,IF(M21="P",SUMPRODUCT((O$3:O$44&lt;&gt;"")*(P$3:P$44="")*(G$3:G$44=G21))+SUMPRODUCT((P$3:P$44&lt;&gt;"")*(G$3:G$44=G21))+SUMPRODUCT((N$3:N$44&lt;&gt;"")*(G$3:G$44=G21))+SUMPRODUCT((P$3:P$44="")*(O$3:O$44="")*(N$3:N$44="")*(M$3:M$44="P")*(G$3:G$44=G21)*(J$3:J$44&gt;J21))+IF(H21="L5",SUMPRODUCT((P$3:P$44="")*(O$3:O$44="")*(N$3:N$44="")*(M$3:M$44="P")*(G$3:G$44=G21)*(J$3:J$44&lt;J21)*(H$3:H$44&lt;&gt;H21)),-1*SUMPRODUCT((P$3:P$44="")*(O$3:O$44="")*(N$3:N$44="")*(M$3:M$44="P")*(G$3:G$44=G21)*(J$3:J$44&gt;J21)*(H$3:H$44="L5")))+1,""))))</f>
        <v/>
      </c>
      <c r="C21" s="36" t="s">
        <v>179</v>
      </c>
      <c r="D21" s="36" t="str">
        <f>IF(E21="","",VLOOKUP(E21,'Coaching Points'!A:B,2,0))</f>
        <v>QC</v>
      </c>
      <c r="E21" s="36" t="s">
        <v>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39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MAX(T21,X21)</f>
        <v>39</v>
      </c>
      <c r="S21" s="4">
        <f>IF(R21=T21,MAX(V21,X21,Z21),IF(R21=X21,MAX(T21,V21,Z21),0))</f>
        <v>0</v>
      </c>
      <c r="T21" s="33">
        <v>39</v>
      </c>
      <c r="U21" s="40">
        <v>6.6</v>
      </c>
      <c r="V21" s="34"/>
      <c r="W21" s="40"/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$44&lt;&gt;"")*(G$3:G$44=G22)*(J$3:J$44&gt;J22)*(I$3:I$44="P"))+1,IF(O22&lt;&gt;"",SUMPRODUCT((O$3:O$44&lt;&gt;"")*(P$3:P$44="")*(G$3:G$44=G22)*(J$3:J$44&gt;J22)*(I$3:I$44="P"))+SUMPRODUCT((P$3:P$44&lt;&gt;"")*(G$3:G$44=G22)*(I$3:I$44="P"))+1,IF(N22&lt;&gt;"",SUMPRODUCT((N$3:N$44&lt;&gt;"")*(G$3:G$44=G22)*(J$3:J$44&gt;J22)*(I$3:I$44="P"))+1,IF(M22="P",SUMPRODUCT((O$3:O$44&lt;&gt;"")*(P$3:P$44="")*(G$3:G$44=G22)*(I$3:I$44="P"))+SUMPRODUCT((P$3:P$44&lt;&gt;"")*(G$3:G$44=G22)*(I$3:I$44="P"))+SUMPRODUCT((N$3:N$44&lt;&gt;"")*(G$3:G$44=G22)*(I$3:I$44="P"))+SUMPRODUCT((P$3:P$44="")*(O$3:O$44="")*(N$3:N$44="")*(M$3:M$44="P")*(G$3:G$44=G22)*(J$3:J$44&gt;J22)*(I$3:I$44="P"))+IF(H22="L5",SUMPRODUCT((P$3:P$44="")*(O$3:O$44="")*(N$3:N$44="")*(M$3:M$44="P")*(G$3:G$44=G22)*(J$3:J$44&lt;J22)*(H$3:H$44&lt;&gt;H22)*(I$3:I$44="P")),-1*SUMPRODUCT((P$3:P$44="")*(O$3:O$44="")*(N$3:N$44="")*(M$3:M$44="P")*(G$3:G$44=G22)*(J$3:J$44&gt;J22)*(H$3:H$44="L5")*(I$3:I$44="P")))+1,"")))))</f>
        <v/>
      </c>
      <c r="B22" s="1" t="str" cm="1">
        <f t="array" ref="B22">IF(P22&lt;&gt;"",SUMPRODUCT((P$3:P$44&lt;&gt;"")*(G$3:G$44=G22)*(J$3:J$44&gt;J22))+1,IF(O22&lt;&gt;"",SUMPRODUCT((O$3:O$44&lt;&gt;"")*(P$3:P$44="")*(G$3:G$44=G22)*(J$3:J$44&gt;J22))+SUMPRODUCT((P$3:P$44&lt;&gt;"")*(G$3:G$44=G22))+1,IF(N22&lt;&gt;"",SUMPRODUCT((N$3:N$44&lt;&gt;"")*(G$3:G$44=G22)*(J$3:J$44&gt;J22))+1,IF(M22="P",SUMPRODUCT((O$3:O$44&lt;&gt;"")*(P$3:P$44="")*(G$3:G$44=G22))+SUMPRODUCT((P$3:P$44&lt;&gt;"")*(G$3:G$44=G22))+SUMPRODUCT((N$3:N$44&lt;&gt;"")*(G$3:G$44=G22))+SUMPRODUCT((P$3:P$44="")*(O$3:O$44="")*(N$3:N$44="")*(M$3:M$44="P")*(G$3:G$44=G22)*(J$3:J$44&gt;J22))+IF(H22="L5",SUMPRODUCT((P$3:P$44="")*(O$3:O$44="")*(N$3:N$44="")*(M$3:M$44="P")*(G$3:G$44=G22)*(J$3:J$44&lt;J22)*(H$3:H$44&lt;&gt;H22)),-1*SUMPRODUCT((P$3:P$44="")*(O$3:O$44="")*(N$3:N$44="")*(M$3:M$44="P")*(G$3:G$44=G22)*(J$3:J$44&gt;J22)*(H$3:H$44="L5")))+1,""))))</f>
        <v/>
      </c>
      <c r="C22" s="36" t="s">
        <v>271</v>
      </c>
      <c r="D22" s="36" t="s">
        <v>194</v>
      </c>
      <c r="E22" s="36" t="s">
        <v>134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36.799999999999997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MAX(T22,X22)</f>
        <v>36.799999999999997</v>
      </c>
      <c r="S22" s="4">
        <f>IF(R22=T22,MAX(V22,X22,Z22),IF(R22=X22,MAX(T22,V22,Z22),0))</f>
        <v>0</v>
      </c>
      <c r="T22" s="33">
        <v>36.799999999999997</v>
      </c>
      <c r="U22" s="40">
        <v>4.4000000000000004</v>
      </c>
      <c r="V22" s="34"/>
      <c r="W22" s="40"/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$44&lt;&gt;"")*(G$3:G$44=G23)*(J$3:J$44&gt;J23)*(I$3:I$44="P"))+1,IF(O23&lt;&gt;"",SUMPRODUCT((O$3:O$44&lt;&gt;"")*(P$3:P$44="")*(G$3:G$44=G23)*(J$3:J$44&gt;J23)*(I$3:I$44="P"))+SUMPRODUCT((P$3:P$44&lt;&gt;"")*(G$3:G$44=G23)*(I$3:I$44="P"))+1,IF(N23&lt;&gt;"",SUMPRODUCT((N$3:N$44&lt;&gt;"")*(G$3:G$44=G23)*(J$3:J$44&gt;J23)*(I$3:I$44="P"))+1,IF(M23="P",SUMPRODUCT((O$3:O$44&lt;&gt;"")*(P$3:P$44="")*(G$3:G$44=G23)*(I$3:I$44="P"))+SUMPRODUCT((P$3:P$44&lt;&gt;"")*(G$3:G$44=G23)*(I$3:I$44="P"))+SUMPRODUCT((N$3:N$44&lt;&gt;"")*(G$3:G$44=G23)*(I$3:I$44="P"))+SUMPRODUCT((P$3:P$44="")*(O$3:O$44="")*(N$3:N$44="")*(M$3:M$44="P")*(G$3:G$44=G23)*(J$3:J$44&gt;J23)*(I$3:I$44="P"))+IF(H23="L5",SUMPRODUCT((P$3:P$44="")*(O$3:O$44="")*(N$3:N$44="")*(M$3:M$44="P")*(G$3:G$44=G23)*(J$3:J$44&lt;J23)*(H$3:H$44&lt;&gt;H23)*(I$3:I$44="P")),-1*SUMPRODUCT((P$3:P$44="")*(O$3:O$44="")*(N$3:N$44="")*(M$3:M$44="P")*(G$3:G$44=G23)*(J$3:J$44&gt;J23)*(H$3:H$44="L5")*(I$3:I$44="P")))+1,"")))))</f>
        <v/>
      </c>
      <c r="B23" s="1" t="str" cm="1">
        <f t="array" ref="B23">IF(P23&lt;&gt;"",SUMPRODUCT((P$3:P$44&lt;&gt;"")*(G$3:G$44=G23)*(J$3:J$44&gt;J23))+1,IF(O23&lt;&gt;"",SUMPRODUCT((O$3:O$44&lt;&gt;"")*(P$3:P$44="")*(G$3:G$44=G23)*(J$3:J$44&gt;J23))+SUMPRODUCT((P$3:P$44&lt;&gt;"")*(G$3:G$44=G23))+1,IF(N23&lt;&gt;"",SUMPRODUCT((N$3:N$44&lt;&gt;"")*(G$3:G$44=G23)*(J$3:J$44&gt;J23))+1,IF(M23="P",SUMPRODUCT((O$3:O$44&lt;&gt;"")*(P$3:P$44="")*(G$3:G$44=G23))+SUMPRODUCT((P$3:P$44&lt;&gt;"")*(G$3:G$44=G23))+SUMPRODUCT((N$3:N$44&lt;&gt;"")*(G$3:G$44=G23))+SUMPRODUCT((P$3:P$44="")*(O$3:O$44="")*(N$3:N$44="")*(M$3:M$44="P")*(G$3:G$44=G23)*(J$3:J$44&gt;J23))+IF(H23="L5",SUMPRODUCT((P$3:P$44="")*(O$3:O$44="")*(N$3:N$44="")*(M$3:M$44="P")*(G$3:G$44=G23)*(J$3:J$44&lt;J23)*(H$3:H$44&lt;&gt;H23)),-1*SUMPRODUCT((P$3:P$44="")*(O$3:O$44="")*(N$3:N$44="")*(M$3:M$44="P")*(G$3:G$44=G23)*(J$3:J$44&gt;J23)*(H$3:H$44="L5")))+1,""))))</f>
        <v/>
      </c>
      <c r="C23" s="36" t="s">
        <v>144</v>
      </c>
      <c r="D23" s="36" t="str">
        <f>IF(E23="","",VLOOKUP(E23,'Coaching Points'!A:B,2,0))</f>
        <v>AB</v>
      </c>
      <c r="E23" s="36" t="s">
        <v>29</v>
      </c>
      <c r="F23" s="35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36.5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MAX(T23,X23)</f>
        <v>36.5</v>
      </c>
      <c r="S23" s="4">
        <f>IF(R23=T23,MAX(V23,X23,Z23),IF(R23=X23,MAX(T23,V23,Z23),0))</f>
        <v>0</v>
      </c>
      <c r="T23" s="33">
        <v>36.5</v>
      </c>
      <c r="U23" s="40">
        <v>5.3</v>
      </c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$44&lt;&gt;"")*(G$3:G$44=G24)*(J$3:J$44&gt;J24)*(I$3:I$44="P"))+1,IF(O24&lt;&gt;"",SUMPRODUCT((O$3:O$44&lt;&gt;"")*(P$3:P$44="")*(G$3:G$44=G24)*(J$3:J$44&gt;J24)*(I$3:I$44="P"))+SUMPRODUCT((P$3:P$44&lt;&gt;"")*(G$3:G$44=G24)*(I$3:I$44="P"))+1,IF(N24&lt;&gt;"",SUMPRODUCT((N$3:N$44&lt;&gt;"")*(G$3:G$44=G24)*(J$3:J$44&gt;J24)*(I$3:I$44="P"))+1,IF(M24="P",SUMPRODUCT((O$3:O$44&lt;&gt;"")*(P$3:P$44="")*(G$3:G$44=G24)*(I$3:I$44="P"))+SUMPRODUCT((P$3:P$44&lt;&gt;"")*(G$3:G$44=G24)*(I$3:I$44="P"))+SUMPRODUCT((N$3:N$44&lt;&gt;"")*(G$3:G$44=G24)*(I$3:I$44="P"))+SUMPRODUCT((P$3:P$44="")*(O$3:O$44="")*(N$3:N$44="")*(M$3:M$44="P")*(G$3:G$44=G24)*(J$3:J$44&gt;J24)*(I$3:I$44="P"))+IF(H24="L5",SUMPRODUCT((P$3:P$44="")*(O$3:O$44="")*(N$3:N$44="")*(M$3:M$44="P")*(G$3:G$44=G24)*(J$3:J$44&lt;J24)*(H$3:H$44&lt;&gt;H24)*(I$3:I$44="P")),-1*SUMPRODUCT((P$3:P$44="")*(O$3:O$44="")*(N$3:N$44="")*(M$3:M$44="P")*(G$3:G$44=G24)*(J$3:J$44&gt;J24)*(H$3:H$44="L5")*(I$3:I$44="P")))+1,"")))))</f>
        <v/>
      </c>
      <c r="B24" s="1" t="str" cm="1">
        <f t="array" ref="B24">IF(P24&lt;&gt;"",SUMPRODUCT((P$3:P$44&lt;&gt;"")*(G$3:G$44=G24)*(J$3:J$44&gt;J24))+1,IF(O24&lt;&gt;"",SUMPRODUCT((O$3:O$44&lt;&gt;"")*(P$3:P$44="")*(G$3:G$44=G24)*(J$3:J$44&gt;J24))+SUMPRODUCT((P$3:P$44&lt;&gt;"")*(G$3:G$44=G24))+1,IF(N24&lt;&gt;"",SUMPRODUCT((N$3:N$44&lt;&gt;"")*(G$3:G$44=G24)*(J$3:J$44&gt;J24))+1,IF(M24="P",SUMPRODUCT((O$3:O$44&lt;&gt;"")*(P$3:P$44="")*(G$3:G$44=G24))+SUMPRODUCT((P$3:P$44&lt;&gt;"")*(G$3:G$44=G24))+SUMPRODUCT((N$3:N$44&lt;&gt;"")*(G$3:G$44=G24))+SUMPRODUCT((P$3:P$44="")*(O$3:O$44="")*(N$3:N$44="")*(M$3:M$44="P")*(G$3:G$44=G24)*(J$3:J$44&gt;J24))+IF(H24="L5",SUMPRODUCT((P$3:P$44="")*(O$3:O$44="")*(N$3:N$44="")*(M$3:M$44="P")*(G$3:G$44=G24)*(J$3:J$44&lt;J24)*(H$3:H$44&lt;&gt;H24)),-1*SUMPRODUCT((P$3:P$44="")*(O$3:O$44="")*(N$3:N$44="")*(M$3:M$44="P")*(G$3:G$44=G24)*(J$3:J$44&gt;J24)*(H$3:H$44="L5")))+1,""))))</f>
        <v/>
      </c>
      <c r="C24" s="36" t="s">
        <v>186</v>
      </c>
      <c r="D24" s="36" t="str">
        <f>IF(E24="","",VLOOKUP(E24,'Coaching Points'!A:B,2,0))</f>
        <v>SK</v>
      </c>
      <c r="E24" s="36" t="s">
        <v>60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35.5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MAX(T24,X24)</f>
        <v>35.5</v>
      </c>
      <c r="S24" s="4">
        <f>IF(R24=T24,MAX(V24,X24,Z24),IF(R24=X24,MAX(T24,V24,Z24),0))</f>
        <v>0</v>
      </c>
      <c r="T24" s="33">
        <v>35.5</v>
      </c>
      <c r="U24" s="40">
        <v>4.4000000000000004</v>
      </c>
      <c r="V24" s="34"/>
      <c r="W24" s="40"/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$44&lt;&gt;"")*(G$3:G$44=G25)*(J$3:J$44&gt;J25)*(I$3:I$44="P"))+1,IF(O25&lt;&gt;"",SUMPRODUCT((O$3:O$44&lt;&gt;"")*(P$3:P$44="")*(G$3:G$44=G25)*(J$3:J$44&gt;J25)*(I$3:I$44="P"))+SUMPRODUCT((P$3:P$44&lt;&gt;"")*(G$3:G$44=G25)*(I$3:I$44="P"))+1,IF(N25&lt;&gt;"",SUMPRODUCT((N$3:N$44&lt;&gt;"")*(G$3:G$44=G25)*(J$3:J$44&gt;J25)*(I$3:I$44="P"))+1,IF(M25="P",SUMPRODUCT((O$3:O$44&lt;&gt;"")*(P$3:P$44="")*(G$3:G$44=G25)*(I$3:I$44="P"))+SUMPRODUCT((P$3:P$44&lt;&gt;"")*(G$3:G$44=G25)*(I$3:I$44="P"))+SUMPRODUCT((N$3:N$44&lt;&gt;"")*(G$3:G$44=G25)*(I$3:I$44="P"))+SUMPRODUCT((P$3:P$44="")*(O$3:O$44="")*(N$3:N$44="")*(M$3:M$44="P")*(G$3:G$44=G25)*(J$3:J$44&gt;J25)*(I$3:I$44="P"))+IF(H25="L5",SUMPRODUCT((P$3:P$44="")*(O$3:O$44="")*(N$3:N$44="")*(M$3:M$44="P")*(G$3:G$44=G25)*(J$3:J$44&lt;J25)*(H$3:H$44&lt;&gt;H25)*(I$3:I$44="P")),-1*SUMPRODUCT((P$3:P$44="")*(O$3:O$44="")*(N$3:N$44="")*(M$3:M$44="P")*(G$3:G$44=G25)*(J$3:J$44&gt;J25)*(H$3:H$44="L5")*(I$3:I$44="P")))+1,"")))))</f>
        <v/>
      </c>
      <c r="B25" s="1" t="str" cm="1">
        <f t="array" ref="B25">IF(P25&lt;&gt;"",SUMPRODUCT((P$3:P$44&lt;&gt;"")*(G$3:G$44=G25)*(J$3:J$44&gt;J25))+1,IF(O25&lt;&gt;"",SUMPRODUCT((O$3:O$44&lt;&gt;"")*(P$3:P$44="")*(G$3:G$44=G25)*(J$3:J$44&gt;J25))+SUMPRODUCT((P$3:P$44&lt;&gt;"")*(G$3:G$44=G25))+1,IF(N25&lt;&gt;"",SUMPRODUCT((N$3:N$44&lt;&gt;"")*(G$3:G$44=G25)*(J$3:J$44&gt;J25))+1,IF(M25="P",SUMPRODUCT((O$3:O$44&lt;&gt;"")*(P$3:P$44="")*(G$3:G$44=G25))+SUMPRODUCT((P$3:P$44&lt;&gt;"")*(G$3:G$44=G25))+SUMPRODUCT((N$3:N$44&lt;&gt;"")*(G$3:G$44=G25))+SUMPRODUCT((P$3:P$44="")*(O$3:O$44="")*(N$3:N$44="")*(M$3:M$44="P")*(G$3:G$44=G25)*(J$3:J$44&gt;J25))+IF(H25="L5",SUMPRODUCT((P$3:P$44="")*(O$3:O$44="")*(N$3:N$44="")*(M$3:M$44="P")*(G$3:G$44=G25)*(J$3:J$44&lt;J25)*(H$3:H$44&lt;&gt;H25)),-1*SUMPRODUCT((P$3:P$44="")*(O$3:O$44="")*(N$3:N$44="")*(M$3:M$44="P")*(G$3:G$44=G25)*(J$3:J$44&gt;J25)*(H$3:H$44="L5")))+1,""))))</f>
        <v/>
      </c>
      <c r="C25" s="36" t="s">
        <v>184</v>
      </c>
      <c r="D25" s="36" t="str">
        <f>IF(E25="","",VLOOKUP(E25,'Coaching Points'!A:B,2,0))</f>
        <v>AB</v>
      </c>
      <c r="E25" s="36" t="s">
        <v>63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34.799999999999997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MAX(T25,X25)</f>
        <v>34.799999999999997</v>
      </c>
      <c r="S25" s="4">
        <f>IF(R25=T25,MAX(V25,X25,Z25),IF(R25=X25,MAX(T25,V25,Z25),0))</f>
        <v>0</v>
      </c>
      <c r="T25" s="33">
        <v>34.799999999999997</v>
      </c>
      <c r="U25" s="40">
        <v>5.0999999999999996</v>
      </c>
      <c r="V25" s="34"/>
      <c r="W25" s="40"/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$44&lt;&gt;"")*(G$3:G$44=G26)*(J$3:J$44&gt;J26)*(I$3:I$44="P"))+1,IF(O26&lt;&gt;"",SUMPRODUCT((O$3:O$44&lt;&gt;"")*(P$3:P$44="")*(G$3:G$44=G26)*(J$3:J$44&gt;J26)*(I$3:I$44="P"))+SUMPRODUCT((P$3:P$44&lt;&gt;"")*(G$3:G$44=G26)*(I$3:I$44="P"))+1,IF(N26&lt;&gt;"",SUMPRODUCT((N$3:N$44&lt;&gt;"")*(G$3:G$44=G26)*(J$3:J$44&gt;J26)*(I$3:I$44="P"))+1,IF(M26="P",SUMPRODUCT((O$3:O$44&lt;&gt;"")*(P$3:P$44="")*(G$3:G$44=G26)*(I$3:I$44="P"))+SUMPRODUCT((P$3:P$44&lt;&gt;"")*(G$3:G$44=G26)*(I$3:I$44="P"))+SUMPRODUCT((N$3:N$44&lt;&gt;"")*(G$3:G$44=G26)*(I$3:I$44="P"))+SUMPRODUCT((P$3:P$44="")*(O$3:O$44="")*(N$3:N$44="")*(M$3:M$44="P")*(G$3:G$44=G26)*(J$3:J$44&gt;J26)*(I$3:I$44="P"))+IF(H26="L5",SUMPRODUCT((P$3:P$44="")*(O$3:O$44="")*(N$3:N$44="")*(M$3:M$44="P")*(G$3:G$44=G26)*(J$3:J$44&lt;J26)*(H$3:H$44&lt;&gt;H26)*(I$3:I$44="P")),-1*SUMPRODUCT((P$3:P$44="")*(O$3:O$44="")*(N$3:N$44="")*(M$3:M$44="P")*(G$3:G$44=G26)*(J$3:J$44&gt;J26)*(H$3:H$44="L5")*(I$3:I$44="P")))+1,"")))))</f>
        <v/>
      </c>
      <c r="B26" s="1" t="str" cm="1">
        <f t="array" ref="B26">IF(P26&lt;&gt;"",SUMPRODUCT((P$3:P$44&lt;&gt;"")*(G$3:G$44=G26)*(J$3:J$44&gt;J26))+1,IF(O26&lt;&gt;"",SUMPRODUCT((O$3:O$44&lt;&gt;"")*(P$3:P$44="")*(G$3:G$44=G26)*(J$3:J$44&gt;J26))+SUMPRODUCT((P$3:P$44&lt;&gt;"")*(G$3:G$44=G26))+1,IF(N26&lt;&gt;"",SUMPRODUCT((N$3:N$44&lt;&gt;"")*(G$3:G$44=G26)*(J$3:J$44&gt;J26))+1,IF(M26="P",SUMPRODUCT((O$3:O$44&lt;&gt;"")*(P$3:P$44="")*(G$3:G$44=G26))+SUMPRODUCT((P$3:P$44&lt;&gt;"")*(G$3:G$44=G26))+SUMPRODUCT((N$3:N$44&lt;&gt;"")*(G$3:G$44=G26))+SUMPRODUCT((P$3:P$44="")*(O$3:O$44="")*(N$3:N$44="")*(M$3:M$44="P")*(G$3:G$44=G26)*(J$3:J$44&gt;J26))+IF(H26="L5",SUMPRODUCT((P$3:P$44="")*(O$3:O$44="")*(N$3:N$44="")*(M$3:M$44="P")*(G$3:G$44=G26)*(J$3:J$44&lt;J26)*(H$3:H$44&lt;&gt;H26)),-1*SUMPRODUCT((P$3:P$44="")*(O$3:O$44="")*(N$3:N$44="")*(M$3:M$44="P")*(G$3:G$44=G26)*(J$3:J$44&gt;J26)*(H$3:H$44="L5")))+1,""))))</f>
        <v/>
      </c>
      <c r="C26" s="36" t="s">
        <v>157</v>
      </c>
      <c r="D26" s="36" t="str">
        <f>IF(E26="","",VLOOKUP(E26,'Coaching Points'!A:B,2,0))</f>
        <v>AB</v>
      </c>
      <c r="E26" s="36" t="s">
        <v>29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33.5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MAX(T26,X26)</f>
        <v>33.5</v>
      </c>
      <c r="S26" s="4">
        <f>IF(R26=T26,MAX(V26,X26,Z26),IF(R26=X26,MAX(T26,V26,Z26),0))</f>
        <v>0</v>
      </c>
      <c r="T26" s="33">
        <v>33.5</v>
      </c>
      <c r="U26" s="40">
        <v>3.3</v>
      </c>
      <c r="V26" s="34"/>
      <c r="W26" s="40"/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$44&lt;&gt;"")*(G$3:G$44=G27)*(J$3:J$44&gt;J27)*(I$3:I$44="P"))+1,IF(O27&lt;&gt;"",SUMPRODUCT((O$3:O$44&lt;&gt;"")*(P$3:P$44="")*(G$3:G$44=G27)*(J$3:J$44&gt;J27)*(I$3:I$44="P"))+SUMPRODUCT((P$3:P$44&lt;&gt;"")*(G$3:G$44=G27)*(I$3:I$44="P"))+1,IF(N27&lt;&gt;"",SUMPRODUCT((N$3:N$44&lt;&gt;"")*(G$3:G$44=G27)*(J$3:J$44&gt;J27)*(I$3:I$44="P"))+1,IF(M27="P",SUMPRODUCT((O$3:O$44&lt;&gt;"")*(P$3:P$44="")*(G$3:G$44=G27)*(I$3:I$44="P"))+SUMPRODUCT((P$3:P$44&lt;&gt;"")*(G$3:G$44=G27)*(I$3:I$44="P"))+SUMPRODUCT((N$3:N$44&lt;&gt;"")*(G$3:G$44=G27)*(I$3:I$44="P"))+SUMPRODUCT((P$3:P$44="")*(O$3:O$44="")*(N$3:N$44="")*(M$3:M$44="P")*(G$3:G$44=G27)*(J$3:J$44&gt;J27)*(I$3:I$44="P"))+IF(H27="L5",SUMPRODUCT((P$3:P$44="")*(O$3:O$44="")*(N$3:N$44="")*(M$3:M$44="P")*(G$3:G$44=G27)*(J$3:J$44&lt;J27)*(H$3:H$44&lt;&gt;H27)*(I$3:I$44="P")),-1*SUMPRODUCT((P$3:P$44="")*(O$3:O$44="")*(N$3:N$44="")*(M$3:M$44="P")*(G$3:G$44=G27)*(J$3:J$44&gt;J27)*(H$3:H$44="L5")*(I$3:I$44="P")))+1,"")))))</f>
        <v/>
      </c>
      <c r="B27" s="1" t="str" cm="1">
        <f t="array" ref="B27">IF(P27&lt;&gt;"",SUMPRODUCT((P$3:P$44&lt;&gt;"")*(G$3:G$44=G27)*(J$3:J$44&gt;J27))+1,IF(O27&lt;&gt;"",SUMPRODUCT((O$3:O$44&lt;&gt;"")*(P$3:P$44="")*(G$3:G$44=G27)*(J$3:J$44&gt;J27))+SUMPRODUCT((P$3:P$44&lt;&gt;"")*(G$3:G$44=G27))+1,IF(N27&lt;&gt;"",SUMPRODUCT((N$3:N$44&lt;&gt;"")*(G$3:G$44=G27)*(J$3:J$44&gt;J27))+1,IF(M27="P",SUMPRODUCT((O$3:O$44&lt;&gt;"")*(P$3:P$44="")*(G$3:G$44=G27))+SUMPRODUCT((P$3:P$44&lt;&gt;"")*(G$3:G$44=G27))+SUMPRODUCT((N$3:N$44&lt;&gt;"")*(G$3:G$44=G27))+SUMPRODUCT((P$3:P$44="")*(O$3:O$44="")*(N$3:N$44="")*(M$3:M$44="P")*(G$3:G$44=G27)*(J$3:J$44&gt;J27))+IF(H27="L5",SUMPRODUCT((P$3:P$44="")*(O$3:O$44="")*(N$3:N$44="")*(M$3:M$44="P")*(G$3:G$44=G27)*(J$3:J$44&lt;J27)*(H$3:H$44&lt;&gt;H27)),-1*SUMPRODUCT((P$3:P$44="")*(O$3:O$44="")*(N$3:N$44="")*(M$3:M$44="P")*(G$3:G$44=G27)*(J$3:J$44&gt;J27)*(H$3:H$44="L5")))+1,""))))</f>
        <v/>
      </c>
      <c r="C27" s="36" t="s">
        <v>272</v>
      </c>
      <c r="D27" s="36" t="str">
        <f>IF(E27="","",VLOOKUP(E27,'Coaching Points'!A:B,2,0))</f>
        <v>QC</v>
      </c>
      <c r="E27" s="36" t="s">
        <v>96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33.5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MAX(T27,X27)</f>
        <v>33.5</v>
      </c>
      <c r="S27" s="4">
        <f>IF(R27=T27,MAX(V27,X27,Z27),IF(R27=X27,MAX(T27,V27,Z27),0))</f>
        <v>0</v>
      </c>
      <c r="T27" s="33">
        <v>33.5</v>
      </c>
      <c r="U27" s="40">
        <v>3.3</v>
      </c>
      <c r="V27" s="34"/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$44&lt;&gt;"")*(G$3:G$44=G28)*(J$3:J$44&gt;J28)*(I$3:I$44="P"))+1,IF(O28&lt;&gt;"",SUMPRODUCT((O$3:O$44&lt;&gt;"")*(P$3:P$44="")*(G$3:G$44=G28)*(J$3:J$44&gt;J28)*(I$3:I$44="P"))+SUMPRODUCT((P$3:P$44&lt;&gt;"")*(G$3:G$44=G28)*(I$3:I$44="P"))+1,IF(N28&lt;&gt;"",SUMPRODUCT((N$3:N$44&lt;&gt;"")*(G$3:G$44=G28)*(J$3:J$44&gt;J28)*(I$3:I$44="P"))+1,IF(M28="P",SUMPRODUCT((O$3:O$44&lt;&gt;"")*(P$3:P$44="")*(G$3:G$44=G28)*(I$3:I$44="P"))+SUMPRODUCT((P$3:P$44&lt;&gt;"")*(G$3:G$44=G28)*(I$3:I$44="P"))+SUMPRODUCT((N$3:N$44&lt;&gt;"")*(G$3:G$44=G28)*(I$3:I$44="P"))+SUMPRODUCT((P$3:P$44="")*(O$3:O$44="")*(N$3:N$44="")*(M$3:M$44="P")*(G$3:G$44=G28)*(J$3:J$44&gt;J28)*(I$3:I$44="P"))+IF(H28="L5",SUMPRODUCT((P$3:P$44="")*(O$3:O$44="")*(N$3:N$44="")*(M$3:M$44="P")*(G$3:G$44=G28)*(J$3:J$44&lt;J28)*(H$3:H$44&lt;&gt;H28)*(I$3:I$44="P")),-1*SUMPRODUCT((P$3:P$44="")*(O$3:O$44="")*(N$3:N$44="")*(M$3:M$44="P")*(G$3:G$44=G28)*(J$3:J$44&gt;J28)*(H$3:H$44="L5")*(I$3:I$44="P")))+1,"")))))</f>
        <v/>
      </c>
      <c r="B28" s="1" t="str" cm="1">
        <f t="array" ref="B28">IF(P28&lt;&gt;"",SUMPRODUCT((P$3:P$44&lt;&gt;"")*(G$3:G$44=G28)*(J$3:J$44&gt;J28))+1,IF(O28&lt;&gt;"",SUMPRODUCT((O$3:O$44&lt;&gt;"")*(P$3:P$44="")*(G$3:G$44=G28)*(J$3:J$44&gt;J28))+SUMPRODUCT((P$3:P$44&lt;&gt;"")*(G$3:G$44=G28))+1,IF(N28&lt;&gt;"",SUMPRODUCT((N$3:N$44&lt;&gt;"")*(G$3:G$44=G28)*(J$3:J$44&gt;J28))+1,IF(M28="P",SUMPRODUCT((O$3:O$44&lt;&gt;"")*(P$3:P$44="")*(G$3:G$44=G28))+SUMPRODUCT((P$3:P$44&lt;&gt;"")*(G$3:G$44=G28))+SUMPRODUCT((N$3:N$44&lt;&gt;"")*(G$3:G$44=G28))+SUMPRODUCT((P$3:P$44="")*(O$3:O$44="")*(N$3:N$44="")*(M$3:M$44="P")*(G$3:G$44=G28)*(J$3:J$44&gt;J28))+IF(H28="L5",SUMPRODUCT((P$3:P$44="")*(O$3:O$44="")*(N$3:N$44="")*(M$3:M$44="P")*(G$3:G$44=G28)*(J$3:J$44&lt;J28)*(H$3:H$44&lt;&gt;H28)),-1*SUMPRODUCT((P$3:P$44="")*(O$3:O$44="")*(N$3:N$44="")*(M$3:M$44="P")*(G$3:G$44=G28)*(J$3:J$44&gt;J28)*(H$3:H$44="L5")))+1,""))))</f>
        <v/>
      </c>
      <c r="C28" s="36" t="s">
        <v>250</v>
      </c>
      <c r="D28" s="36" t="str">
        <f>IF(E28="","",VLOOKUP(E28,'Coaching Points'!A:B,2,0))</f>
        <v>AB</v>
      </c>
      <c r="E28" s="36" t="s">
        <v>63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32.299999999999997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MAX(T28,X28)</f>
        <v>32.299999999999997</v>
      </c>
      <c r="S28" s="4">
        <f>IF(R28=T28,MAX(V28,X28,Z28),IF(R28=X28,MAX(T28,V28,Z28),0))</f>
        <v>0</v>
      </c>
      <c r="T28" s="33">
        <v>32.299999999999997</v>
      </c>
      <c r="U28" s="40">
        <v>4</v>
      </c>
      <c r="V28" s="34"/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$44&lt;&gt;"")*(G$3:G$44=G29)*(J$3:J$44&gt;J29)*(I$3:I$44="P"))+1,IF(O29&lt;&gt;"",SUMPRODUCT((O$3:O$44&lt;&gt;"")*(P$3:P$44="")*(G$3:G$44=G29)*(J$3:J$44&gt;J29)*(I$3:I$44="P"))+SUMPRODUCT((P$3:P$44&lt;&gt;"")*(G$3:G$44=G29)*(I$3:I$44="P"))+1,IF(N29&lt;&gt;"",SUMPRODUCT((N$3:N$44&lt;&gt;"")*(G$3:G$44=G29)*(J$3:J$44&gt;J29)*(I$3:I$44="P"))+1,IF(M29="P",SUMPRODUCT((O$3:O$44&lt;&gt;"")*(P$3:P$44="")*(G$3:G$44=G29)*(I$3:I$44="P"))+SUMPRODUCT((P$3:P$44&lt;&gt;"")*(G$3:G$44=G29)*(I$3:I$44="P"))+SUMPRODUCT((N$3:N$44&lt;&gt;"")*(G$3:G$44=G29)*(I$3:I$44="P"))+SUMPRODUCT((P$3:P$44="")*(O$3:O$44="")*(N$3:N$44="")*(M$3:M$44="P")*(G$3:G$44=G29)*(J$3:J$44&gt;J29)*(I$3:I$44="P"))+IF(H29="L5",SUMPRODUCT((P$3:P$44="")*(O$3:O$44="")*(N$3:N$44="")*(M$3:M$44="P")*(G$3:G$44=G29)*(J$3:J$44&lt;J29)*(H$3:H$44&lt;&gt;H29)*(I$3:I$44="P")),-1*SUMPRODUCT((P$3:P$44="")*(O$3:O$44="")*(N$3:N$44="")*(M$3:M$44="P")*(G$3:G$44=G29)*(J$3:J$44&gt;J29)*(H$3:H$44="L5")*(I$3:I$44="P")))+1,"")))))</f>
        <v/>
      </c>
      <c r="B29" s="1" t="str" cm="1">
        <f t="array" ref="B29">IF(P29&lt;&gt;"",SUMPRODUCT((P$3:P$44&lt;&gt;"")*(G$3:G$44=G29)*(J$3:J$44&gt;J29))+1,IF(O29&lt;&gt;"",SUMPRODUCT((O$3:O$44&lt;&gt;"")*(P$3:P$44="")*(G$3:G$44=G29)*(J$3:J$44&gt;J29))+SUMPRODUCT((P$3:P$44&lt;&gt;"")*(G$3:G$44=G29))+1,IF(N29&lt;&gt;"",SUMPRODUCT((N$3:N$44&lt;&gt;"")*(G$3:G$44=G29)*(J$3:J$44&gt;J29))+1,IF(M29="P",SUMPRODUCT((O$3:O$44&lt;&gt;"")*(P$3:P$44="")*(G$3:G$44=G29))+SUMPRODUCT((P$3:P$44&lt;&gt;"")*(G$3:G$44=G29))+SUMPRODUCT((N$3:N$44&lt;&gt;"")*(G$3:G$44=G29))+SUMPRODUCT((P$3:P$44="")*(O$3:O$44="")*(N$3:N$44="")*(M$3:M$44="P")*(G$3:G$44=G29)*(J$3:J$44&gt;J29))+IF(H29="L5",SUMPRODUCT((P$3:P$44="")*(O$3:O$44="")*(N$3:N$44="")*(M$3:M$44="P")*(G$3:G$44=G29)*(J$3:J$44&lt;J29)*(H$3:H$44&lt;&gt;H29)),-1*SUMPRODUCT((P$3:P$44="")*(O$3:O$44="")*(N$3:N$44="")*(M$3:M$44="P")*(G$3:G$44=G29)*(J$3:J$44&gt;J29)*(H$3:H$44="L5")))+1,""))))</f>
        <v/>
      </c>
      <c r="C29" s="36" t="s">
        <v>187</v>
      </c>
      <c r="D29" s="36" t="s">
        <v>194</v>
      </c>
      <c r="E29" s="36" t="s">
        <v>41</v>
      </c>
      <c r="F29" s="35">
        <v>2003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>R29+S29+IF(OR(H29="Junior",H29="Senior"),0.0002,IF(OR(H29="L7",H29="L6"),0.0001,0))+MAX(X29,Z29)*0.0000001</f>
        <v>32.100100000000005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MAX(T29,X29)</f>
        <v>32.1</v>
      </c>
      <c r="S29" s="4">
        <f>IF(R29=T29,MAX(V29,X29,Z29),IF(R29=X29,MAX(T29,V29,Z29),0))</f>
        <v>0</v>
      </c>
      <c r="T29" s="33">
        <v>32.1</v>
      </c>
      <c r="U29" s="40">
        <v>3.7</v>
      </c>
      <c r="V29" s="34"/>
      <c r="W29" s="40"/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$44&lt;&gt;"")*(G$3:G$44=G30)*(J$3:J$44&gt;J30)*(I$3:I$44="P"))+1,IF(O30&lt;&gt;"",SUMPRODUCT((O$3:O$44&lt;&gt;"")*(P$3:P$44="")*(G$3:G$44=G30)*(J$3:J$44&gt;J30)*(I$3:I$44="P"))+SUMPRODUCT((P$3:P$44&lt;&gt;"")*(G$3:G$44=G30)*(I$3:I$44="P"))+1,IF(N30&lt;&gt;"",SUMPRODUCT((N$3:N$44&lt;&gt;"")*(G$3:G$44=G30)*(J$3:J$44&gt;J30)*(I$3:I$44="P"))+1,IF(M30="P",SUMPRODUCT((O$3:O$44&lt;&gt;"")*(P$3:P$44="")*(G$3:G$44=G30)*(I$3:I$44="P"))+SUMPRODUCT((P$3:P$44&lt;&gt;"")*(G$3:G$44=G30)*(I$3:I$44="P"))+SUMPRODUCT((N$3:N$44&lt;&gt;"")*(G$3:G$44=G30)*(I$3:I$44="P"))+SUMPRODUCT((P$3:P$44="")*(O$3:O$44="")*(N$3:N$44="")*(M$3:M$44="P")*(G$3:G$44=G30)*(J$3:J$44&gt;J30)*(I$3:I$44="P"))+IF(H30="L5",SUMPRODUCT((P$3:P$44="")*(O$3:O$44="")*(N$3:N$44="")*(M$3:M$44="P")*(G$3:G$44=G30)*(J$3:J$44&lt;J30)*(H$3:H$44&lt;&gt;H30)*(I$3:I$44="P")),-1*SUMPRODUCT((P$3:P$44="")*(O$3:O$44="")*(N$3:N$44="")*(M$3:M$44="P")*(G$3:G$44=G30)*(J$3:J$44&gt;J30)*(H$3:H$44="L5")*(I$3:I$44="P")))+1,"")))))</f>
        <v/>
      </c>
      <c r="B30" s="1" t="str" cm="1">
        <f t="array" ref="B30">IF(P30&lt;&gt;"",SUMPRODUCT((P$3:P$44&lt;&gt;"")*(G$3:G$44=G30)*(J$3:J$44&gt;J30))+1,IF(O30&lt;&gt;"",SUMPRODUCT((O$3:O$44&lt;&gt;"")*(P$3:P$44="")*(G$3:G$44=G30)*(J$3:J$44&gt;J30))+SUMPRODUCT((P$3:P$44&lt;&gt;"")*(G$3:G$44=G30))+1,IF(N30&lt;&gt;"",SUMPRODUCT((N$3:N$44&lt;&gt;"")*(G$3:G$44=G30)*(J$3:J$44&gt;J30))+1,IF(M30="P",SUMPRODUCT((O$3:O$44&lt;&gt;"")*(P$3:P$44="")*(G$3:G$44=G30))+SUMPRODUCT((P$3:P$44&lt;&gt;"")*(G$3:G$44=G30))+SUMPRODUCT((N$3:N$44&lt;&gt;"")*(G$3:G$44=G30))+SUMPRODUCT((P$3:P$44="")*(O$3:O$44="")*(N$3:N$44="")*(M$3:M$44="P")*(G$3:G$44=G30)*(J$3:J$44&gt;J30))+IF(H30="L5",SUMPRODUCT((P$3:P$44="")*(O$3:O$44="")*(N$3:N$44="")*(M$3:M$44="P")*(G$3:G$44=G30)*(J$3:J$44&lt;J30)*(H$3:H$44&lt;&gt;H30)),-1*SUMPRODUCT((P$3:P$44="")*(O$3:O$44="")*(N$3:N$44="")*(M$3:M$44="P")*(G$3:G$44=G30)*(J$3:J$44&gt;J30)*(H$3:H$44="L5")))+1,""))))</f>
        <v/>
      </c>
      <c r="C30" s="36" t="s">
        <v>178</v>
      </c>
      <c r="D30" s="36" t="str">
        <f>IF(E30="","",VLOOKUP(E30,'Coaching Points'!A:B,2,0))</f>
        <v>AB</v>
      </c>
      <c r="E30" s="36" t="s">
        <v>29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30.5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MAX(T30,X30)</f>
        <v>30.5</v>
      </c>
      <c r="S30" s="4">
        <f>IF(R30=T30,MAX(V30,X30,Z30),IF(R30=X30,MAX(T30,V30,Z30),0))</f>
        <v>0</v>
      </c>
      <c r="T30" s="33">
        <v>30.5</v>
      </c>
      <c r="U30" s="40">
        <v>3.8</v>
      </c>
      <c r="V30" s="34"/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$44&lt;&gt;"")*(G$3:G$44=G31)*(J$3:J$44&gt;J31)*(I$3:I$44="P"))+1,IF(O31&lt;&gt;"",SUMPRODUCT((O$3:O$44&lt;&gt;"")*(P$3:P$44="")*(G$3:G$44=G31)*(J$3:J$44&gt;J31)*(I$3:I$44="P"))+SUMPRODUCT((P$3:P$44&lt;&gt;"")*(G$3:G$44=G31)*(I$3:I$44="P"))+1,IF(N31&lt;&gt;"",SUMPRODUCT((N$3:N$44&lt;&gt;"")*(G$3:G$44=G31)*(J$3:J$44&gt;J31)*(I$3:I$44="P"))+1,IF(M31="P",SUMPRODUCT((O$3:O$44&lt;&gt;"")*(P$3:P$44="")*(G$3:G$44=G31)*(I$3:I$44="P"))+SUMPRODUCT((P$3:P$44&lt;&gt;"")*(G$3:G$44=G31)*(I$3:I$44="P"))+SUMPRODUCT((N$3:N$44&lt;&gt;"")*(G$3:G$44=G31)*(I$3:I$44="P"))+SUMPRODUCT((P$3:P$44="")*(O$3:O$44="")*(N$3:N$44="")*(M$3:M$44="P")*(G$3:G$44=G31)*(J$3:J$44&gt;J31)*(I$3:I$44="P"))+IF(H31="L5",SUMPRODUCT((P$3:P$44="")*(O$3:O$44="")*(N$3:N$44="")*(M$3:M$44="P")*(G$3:G$44=G31)*(J$3:J$44&lt;J31)*(H$3:H$44&lt;&gt;H31)*(I$3:I$44="P")),-1*SUMPRODUCT((P$3:P$44="")*(O$3:O$44="")*(N$3:N$44="")*(M$3:M$44="P")*(G$3:G$44=G31)*(J$3:J$44&gt;J31)*(H$3:H$44="L5")*(I$3:I$44="P")))+1,"")))))</f>
        <v/>
      </c>
      <c r="B31" s="1" t="str" cm="1">
        <f t="array" ref="B31">IF(P31&lt;&gt;"",SUMPRODUCT((P$3:P$44&lt;&gt;"")*(G$3:G$44=G31)*(J$3:J$44&gt;J31))+1,IF(O31&lt;&gt;"",SUMPRODUCT((O$3:O$44&lt;&gt;"")*(P$3:P$44="")*(G$3:G$44=G31)*(J$3:J$44&gt;J31))+SUMPRODUCT((P$3:P$44&lt;&gt;"")*(G$3:G$44=G31))+1,IF(N31&lt;&gt;"",SUMPRODUCT((N$3:N$44&lt;&gt;"")*(G$3:G$44=G31)*(J$3:J$44&gt;J31))+1,IF(M31="P",SUMPRODUCT((O$3:O$44&lt;&gt;"")*(P$3:P$44="")*(G$3:G$44=G31))+SUMPRODUCT((P$3:P$44&lt;&gt;"")*(G$3:G$44=G31))+SUMPRODUCT((N$3:N$44&lt;&gt;"")*(G$3:G$44=G31))+SUMPRODUCT((P$3:P$44="")*(O$3:O$44="")*(N$3:N$44="")*(M$3:M$44="P")*(G$3:G$44=G31)*(J$3:J$44&gt;J31))+IF(H31="L5",SUMPRODUCT((P$3:P$44="")*(O$3:O$44="")*(N$3:N$44="")*(M$3:M$44="P")*(G$3:G$44=G31)*(J$3:J$44&lt;J31)*(H$3:H$44&lt;&gt;H31)),-1*SUMPRODUCT((P$3:P$44="")*(O$3:O$44="")*(N$3:N$44="")*(M$3:M$44="P")*(G$3:G$44=G31)*(J$3:J$44&gt;J31)*(H$3:H$44="L5")))+1,""))))</f>
        <v/>
      </c>
      <c r="C31" s="36" t="s">
        <v>137</v>
      </c>
      <c r="D31" s="36" t="s">
        <v>196</v>
      </c>
      <c r="E31" s="36" t="s">
        <v>46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30.2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MAX(T31,X31)</f>
        <v>30.2</v>
      </c>
      <c r="S31" s="4">
        <f>IF(R31=T31,MAX(V31,X31,Z31),IF(R31=X31,MAX(T31,V31,Z31),0))</f>
        <v>0</v>
      </c>
      <c r="T31" s="33">
        <v>30.2</v>
      </c>
      <c r="U31" s="40">
        <v>3.8</v>
      </c>
      <c r="V31" s="34"/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$44&lt;&gt;"")*(G$3:G$44=G32)*(J$3:J$44&gt;J32)*(I$3:I$44="P"))+1,IF(O32&lt;&gt;"",SUMPRODUCT((O$3:O$44&lt;&gt;"")*(P$3:P$44="")*(G$3:G$44=G32)*(J$3:J$44&gt;J32)*(I$3:I$44="P"))+SUMPRODUCT((P$3:P$44&lt;&gt;"")*(G$3:G$44=G32)*(I$3:I$44="P"))+1,IF(N32&lt;&gt;"",SUMPRODUCT((N$3:N$44&lt;&gt;"")*(G$3:G$44=G32)*(J$3:J$44&gt;J32)*(I$3:I$44="P"))+1,IF(M32="P",SUMPRODUCT((O$3:O$44&lt;&gt;"")*(P$3:P$44="")*(G$3:G$44=G32)*(I$3:I$44="P"))+SUMPRODUCT((P$3:P$44&lt;&gt;"")*(G$3:G$44=G32)*(I$3:I$44="P"))+SUMPRODUCT((N$3:N$44&lt;&gt;"")*(G$3:G$44=G32)*(I$3:I$44="P"))+SUMPRODUCT((P$3:P$44="")*(O$3:O$44="")*(N$3:N$44="")*(M$3:M$44="P")*(G$3:G$44=G32)*(J$3:J$44&gt;J32)*(I$3:I$44="P"))+IF(H32="L5",SUMPRODUCT((P$3:P$44="")*(O$3:O$44="")*(N$3:N$44="")*(M$3:M$44="P")*(G$3:G$44=G32)*(J$3:J$44&lt;J32)*(H$3:H$44&lt;&gt;H32)*(I$3:I$44="P")),-1*SUMPRODUCT((P$3:P$44="")*(O$3:O$44="")*(N$3:N$44="")*(M$3:M$44="P")*(G$3:G$44=G32)*(J$3:J$44&gt;J32)*(H$3:H$44="L5")*(I$3:I$44="P")))+1,"")))))</f>
        <v/>
      </c>
      <c r="B32" s="1" t="str" cm="1">
        <f t="array" ref="B32">IF(P32&lt;&gt;"",SUMPRODUCT((P$3:P$44&lt;&gt;"")*(G$3:G$44=G32)*(J$3:J$44&gt;J32))+1,IF(O32&lt;&gt;"",SUMPRODUCT((O$3:O$44&lt;&gt;"")*(P$3:P$44="")*(G$3:G$44=G32)*(J$3:J$44&gt;J32))+SUMPRODUCT((P$3:P$44&lt;&gt;"")*(G$3:G$44=G32))+1,IF(N32&lt;&gt;"",SUMPRODUCT((N$3:N$44&lt;&gt;"")*(G$3:G$44=G32)*(J$3:J$44&gt;J32))+1,IF(M32="P",SUMPRODUCT((O$3:O$44&lt;&gt;"")*(P$3:P$44="")*(G$3:G$44=G32))+SUMPRODUCT((P$3:P$44&lt;&gt;"")*(G$3:G$44=G32))+SUMPRODUCT((N$3:N$44&lt;&gt;"")*(G$3:G$44=G32))+SUMPRODUCT((P$3:P$44="")*(O$3:O$44="")*(N$3:N$44="")*(M$3:M$44="P")*(G$3:G$44=G32)*(J$3:J$44&gt;J32))+IF(H32="L5",SUMPRODUCT((P$3:P$44="")*(O$3:O$44="")*(N$3:N$44="")*(M$3:M$44="P")*(G$3:G$44=G32)*(J$3:J$44&lt;J32)*(H$3:H$44&lt;&gt;H32)),-1*SUMPRODUCT((P$3:P$44="")*(O$3:O$44="")*(N$3:N$44="")*(M$3:M$44="P")*(G$3:G$44=G32)*(J$3:J$44&gt;J32)*(H$3:H$44="L5")))+1,""))))</f>
        <v/>
      </c>
      <c r="C32" s="36" t="s">
        <v>370</v>
      </c>
      <c r="D32" s="36" t="str">
        <f>IF(E32="","",VLOOKUP(E32,'Coaching Points'!A:B,2,0))</f>
        <v>AB</v>
      </c>
      <c r="E32" s="36" t="s">
        <v>58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R32+S32+IF(OR(H32="Junior",H32="Senior"),0.0002,IF(OR(H32="L7",H32="L6"),0.0001,0))+MAX(X32,Z32)*0.0000001</f>
        <v>28.1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MAX(T32,X32)</f>
        <v>28.1</v>
      </c>
      <c r="S32" s="4">
        <f>IF(R32=T32,MAX(V32,X32,Z32),IF(R32=X32,MAX(T32,V32,Z32),0))</f>
        <v>0</v>
      </c>
      <c r="T32" s="33">
        <v>28.1</v>
      </c>
      <c r="U32" s="40">
        <v>3.6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$44&lt;&gt;"")*(G$3:G$44=G33)*(J$3:J$44&gt;J33)*(I$3:I$44="P"))+1,IF(O33&lt;&gt;"",SUMPRODUCT((O$3:O$44&lt;&gt;"")*(P$3:P$44="")*(G$3:G$44=G33)*(J$3:J$44&gt;J33)*(I$3:I$44="P"))+SUMPRODUCT((P$3:P$44&lt;&gt;"")*(G$3:G$44=G33)*(I$3:I$44="P"))+1,IF(N33&lt;&gt;"",SUMPRODUCT((N$3:N$44&lt;&gt;"")*(G$3:G$44=G33)*(J$3:J$44&gt;J33)*(I$3:I$44="P"))+1,IF(M33="P",SUMPRODUCT((O$3:O$44&lt;&gt;"")*(P$3:P$44="")*(G$3:G$44=G33)*(I$3:I$44="P"))+SUMPRODUCT((P$3:P$44&lt;&gt;"")*(G$3:G$44=G33)*(I$3:I$44="P"))+SUMPRODUCT((N$3:N$44&lt;&gt;"")*(G$3:G$44=G33)*(I$3:I$44="P"))+SUMPRODUCT((P$3:P$44="")*(O$3:O$44="")*(N$3:N$44="")*(M$3:M$44="P")*(G$3:G$44=G33)*(J$3:J$44&gt;J33)*(I$3:I$44="P"))+IF(H33="L5",SUMPRODUCT((P$3:P$44="")*(O$3:O$44="")*(N$3:N$44="")*(M$3:M$44="P")*(G$3:G$44=G33)*(J$3:J$44&lt;J33)*(H$3:H$44&lt;&gt;H33)*(I$3:I$44="P")),-1*SUMPRODUCT((P$3:P$44="")*(O$3:O$44="")*(N$3:N$44="")*(M$3:M$44="P")*(G$3:G$44=G33)*(J$3:J$44&gt;J33)*(H$3:H$44="L5")*(I$3:I$44="P")))+1,"")))))</f>
        <v/>
      </c>
      <c r="B33" s="1" t="str" cm="1">
        <f t="array" ref="B33">IF(P33&lt;&gt;"",SUMPRODUCT((P$3:P$44&lt;&gt;"")*(G$3:G$44=G33)*(J$3:J$44&gt;J33))+1,IF(O33&lt;&gt;"",SUMPRODUCT((O$3:O$44&lt;&gt;"")*(P$3:P$44="")*(G$3:G$44=G33)*(J$3:J$44&gt;J33))+SUMPRODUCT((P$3:P$44&lt;&gt;"")*(G$3:G$44=G33))+1,IF(N33&lt;&gt;"",SUMPRODUCT((N$3:N$44&lt;&gt;"")*(G$3:G$44=G33)*(J$3:J$44&gt;J33))+1,IF(M33="P",SUMPRODUCT((O$3:O$44&lt;&gt;"")*(P$3:P$44="")*(G$3:G$44=G33))+SUMPRODUCT((P$3:P$44&lt;&gt;"")*(G$3:G$44=G33))+SUMPRODUCT((N$3:N$44&lt;&gt;"")*(G$3:G$44=G33))+SUMPRODUCT((P$3:P$44="")*(O$3:O$44="")*(N$3:N$44="")*(M$3:M$44="P")*(G$3:G$44=G33)*(J$3:J$44&gt;J33))+IF(H33="L5",SUMPRODUCT((P$3:P$44="")*(O$3:O$44="")*(N$3:N$44="")*(M$3:M$44="P")*(G$3:G$44=G33)*(J$3:J$44&lt;J33)*(H$3:H$44&lt;&gt;H33)),-1*SUMPRODUCT((P$3:P$44="")*(O$3:O$44="")*(N$3:N$44="")*(M$3:M$44="P")*(G$3:G$44=G33)*(J$3:J$44&gt;J33)*(H$3:H$44="L5")))+1,""))))</f>
        <v/>
      </c>
      <c r="C33" s="36" t="s">
        <v>128</v>
      </c>
      <c r="D33" s="36" t="str">
        <f>IF(E33="","",VLOOKUP(E33,'Coaching Points'!A:B,2,0))</f>
        <v>AB</v>
      </c>
      <c r="E33" s="36" t="s">
        <v>29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28.1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MAX(T33,X33)</f>
        <v>28.1</v>
      </c>
      <c r="S33" s="4">
        <f>IF(R33=T33,MAX(V33,X33,Z33),IF(R33=X33,MAX(T33,V33,Z33),0))</f>
        <v>0</v>
      </c>
      <c r="T33" s="33">
        <v>28.1</v>
      </c>
      <c r="U33" s="40">
        <v>2.9000000000000004</v>
      </c>
      <c r="V33" s="34"/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$44&lt;&gt;"")*(G$3:G$44=G34)*(J$3:J$44&gt;J34)*(I$3:I$44="P"))+1,IF(O34&lt;&gt;"",SUMPRODUCT((O$3:O$44&lt;&gt;"")*(P$3:P$44="")*(G$3:G$44=G34)*(J$3:J$44&gt;J34)*(I$3:I$44="P"))+SUMPRODUCT((P$3:P$44&lt;&gt;"")*(G$3:G$44=G34)*(I$3:I$44="P"))+1,IF(N34&lt;&gt;"",SUMPRODUCT((N$3:N$44&lt;&gt;"")*(G$3:G$44=G34)*(J$3:J$44&gt;J34)*(I$3:I$44="P"))+1,IF(M34="P",SUMPRODUCT((O$3:O$44&lt;&gt;"")*(P$3:P$44="")*(G$3:G$44=G34)*(I$3:I$44="P"))+SUMPRODUCT((P$3:P$44&lt;&gt;"")*(G$3:G$44=G34)*(I$3:I$44="P"))+SUMPRODUCT((N$3:N$44&lt;&gt;"")*(G$3:G$44=G34)*(I$3:I$44="P"))+SUMPRODUCT((P$3:P$44="")*(O$3:O$44="")*(N$3:N$44="")*(M$3:M$44="P")*(G$3:G$44=G34)*(J$3:J$44&gt;J34)*(I$3:I$44="P"))+IF(H34="L5",SUMPRODUCT((P$3:P$44="")*(O$3:O$44="")*(N$3:N$44="")*(M$3:M$44="P")*(G$3:G$44=G34)*(J$3:J$44&lt;J34)*(H$3:H$44&lt;&gt;H34)*(I$3:I$44="P")),-1*SUMPRODUCT((P$3:P$44="")*(O$3:O$44="")*(N$3:N$44="")*(M$3:M$44="P")*(G$3:G$44=G34)*(J$3:J$44&gt;J34)*(H$3:H$44="L5")*(I$3:I$44="P")))+1,"")))))</f>
        <v/>
      </c>
      <c r="B34" s="1" t="str" cm="1">
        <f t="array" ref="B34">IF(P34&lt;&gt;"",SUMPRODUCT((P$3:P$44&lt;&gt;"")*(G$3:G$44=G34)*(J$3:J$44&gt;J34))+1,IF(O34&lt;&gt;"",SUMPRODUCT((O$3:O$44&lt;&gt;"")*(P$3:P$44="")*(G$3:G$44=G34)*(J$3:J$44&gt;J34))+SUMPRODUCT((P$3:P$44&lt;&gt;"")*(G$3:G$44=G34))+1,IF(N34&lt;&gt;"",SUMPRODUCT((N$3:N$44&lt;&gt;"")*(G$3:G$44=G34)*(J$3:J$44&gt;J34))+1,IF(M34="P",SUMPRODUCT((O$3:O$44&lt;&gt;"")*(P$3:P$44="")*(G$3:G$44=G34))+SUMPRODUCT((P$3:P$44&lt;&gt;"")*(G$3:G$44=G34))+SUMPRODUCT((N$3:N$44&lt;&gt;"")*(G$3:G$44=G34))+SUMPRODUCT((P$3:P$44="")*(O$3:O$44="")*(N$3:N$44="")*(M$3:M$44="P")*(G$3:G$44=G34)*(J$3:J$44&gt;J34))+IF(H34="L5",SUMPRODUCT((P$3:P$44="")*(O$3:O$44="")*(N$3:N$44="")*(M$3:M$44="P")*(G$3:G$44=G34)*(J$3:J$44&lt;J34)*(H$3:H$44&lt;&gt;H34)),-1*SUMPRODUCT((P$3:P$44="")*(O$3:O$44="")*(N$3:N$44="")*(M$3:M$44="P")*(G$3:G$44=G34)*(J$3:J$44&gt;J34)*(H$3:H$44="L5")))+1,""))))</f>
        <v/>
      </c>
      <c r="C34" s="36" t="s">
        <v>269</v>
      </c>
      <c r="D34" s="36" t="str">
        <f>IF(E34="","",VLOOKUP(E34,'Coaching Points'!A:B,2,0))</f>
        <v>AB</v>
      </c>
      <c r="E34" s="36" t="s">
        <v>63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27.8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MAX(T34,X34)</f>
        <v>27.8</v>
      </c>
      <c r="S34" s="4">
        <f>IF(R34=T34,MAX(V34,X34,Z34),IF(R34=X34,MAX(T34,V34,Z34),0))</f>
        <v>0</v>
      </c>
      <c r="T34" s="33">
        <v>27.8</v>
      </c>
      <c r="U34" s="40">
        <v>2.7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$44&lt;&gt;"")*(G$3:G$44=G35)*(J$3:J$44&gt;J35)*(I$3:I$44="P"))+1,IF(O35&lt;&gt;"",SUMPRODUCT((O$3:O$44&lt;&gt;"")*(P$3:P$44="")*(G$3:G$44=G35)*(J$3:J$44&gt;J35)*(I$3:I$44="P"))+SUMPRODUCT((P$3:P$44&lt;&gt;"")*(G$3:G$44=G35)*(I$3:I$44="P"))+1,IF(N35&lt;&gt;"",SUMPRODUCT((N$3:N$44&lt;&gt;"")*(G$3:G$44=G35)*(J$3:J$44&gt;J35)*(I$3:I$44="P"))+1,IF(M35="P",SUMPRODUCT((O$3:O$44&lt;&gt;"")*(P$3:P$44="")*(G$3:G$44=G35)*(I$3:I$44="P"))+SUMPRODUCT((P$3:P$44&lt;&gt;"")*(G$3:G$44=G35)*(I$3:I$44="P"))+SUMPRODUCT((N$3:N$44&lt;&gt;"")*(G$3:G$44=G35)*(I$3:I$44="P"))+SUMPRODUCT((P$3:P$44="")*(O$3:O$44="")*(N$3:N$44="")*(M$3:M$44="P")*(G$3:G$44=G35)*(J$3:J$44&gt;J35)*(I$3:I$44="P"))+IF(H35="L5",SUMPRODUCT((P$3:P$44="")*(O$3:O$44="")*(N$3:N$44="")*(M$3:M$44="P")*(G$3:G$44=G35)*(J$3:J$44&lt;J35)*(H$3:H$44&lt;&gt;H35)*(I$3:I$44="P")),-1*SUMPRODUCT((P$3:P$44="")*(O$3:O$44="")*(N$3:N$44="")*(M$3:M$44="P")*(G$3:G$44=G35)*(J$3:J$44&gt;J35)*(H$3:H$44="L5")*(I$3:I$44="P")))+1,"")))))</f>
        <v/>
      </c>
      <c r="B35" s="1" t="str" cm="1">
        <f t="array" ref="B35">IF(P35&lt;&gt;"",SUMPRODUCT((P$3:P$44&lt;&gt;"")*(G$3:G$44=G35)*(J$3:J$44&gt;J35))+1,IF(O35&lt;&gt;"",SUMPRODUCT((O$3:O$44&lt;&gt;"")*(P$3:P$44="")*(G$3:G$44=G35)*(J$3:J$44&gt;J35))+SUMPRODUCT((P$3:P$44&lt;&gt;"")*(G$3:G$44=G35))+1,IF(N35&lt;&gt;"",SUMPRODUCT((N$3:N$44&lt;&gt;"")*(G$3:G$44=G35)*(J$3:J$44&gt;J35))+1,IF(M35="P",SUMPRODUCT((O$3:O$44&lt;&gt;"")*(P$3:P$44="")*(G$3:G$44=G35))+SUMPRODUCT((P$3:P$44&lt;&gt;"")*(G$3:G$44=G35))+SUMPRODUCT((N$3:N$44&lt;&gt;"")*(G$3:G$44=G35))+SUMPRODUCT((P$3:P$44="")*(O$3:O$44="")*(N$3:N$44="")*(M$3:M$44="P")*(G$3:G$44=G35)*(J$3:J$44&gt;J35))+IF(H35="L5",SUMPRODUCT((P$3:P$44="")*(O$3:O$44="")*(N$3:N$44="")*(M$3:M$44="P")*(G$3:G$44=G35)*(J$3:J$44&lt;J35)*(H$3:H$44&lt;&gt;H35)),-1*SUMPRODUCT((P$3:P$44="")*(O$3:O$44="")*(N$3:N$44="")*(M$3:M$44="P")*(G$3:G$44=G35)*(J$3:J$44&gt;J35)*(H$3:H$44="L5")))+1,""))))</f>
        <v/>
      </c>
      <c r="C35" s="36" t="s">
        <v>273</v>
      </c>
      <c r="D35" s="36" t="str">
        <f>IF(E35="","",VLOOKUP(E35,'Coaching Points'!A:B,2,0))</f>
        <v>AB</v>
      </c>
      <c r="E35" s="36" t="s">
        <v>58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16.2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MAX(T35,X35)</f>
        <v>16.2</v>
      </c>
      <c r="S35" s="4">
        <f>IF(R35=T35,MAX(V35,X35,Z35),IF(R35=X35,MAX(T35,V35,Z35),0))</f>
        <v>0</v>
      </c>
      <c r="T35" s="33">
        <v>16.2</v>
      </c>
      <c r="U35" s="40">
        <v>1.2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$44&lt;&gt;"")*(G$3:G$44=G36)*(J$3:J$44&gt;J36)*(I$3:I$44="P"))+1,IF(O36&lt;&gt;"",SUMPRODUCT((O$3:O$44&lt;&gt;"")*(P$3:P$44="")*(G$3:G$44=G36)*(J$3:J$44&gt;J36)*(I$3:I$44="P"))+SUMPRODUCT((P$3:P$44&lt;&gt;"")*(G$3:G$44=G36)*(I$3:I$44="P"))+1,IF(N36&lt;&gt;"",SUMPRODUCT((N$3:N$44&lt;&gt;"")*(G$3:G$44=G36)*(J$3:J$44&gt;J36)*(I$3:I$44="P"))+1,IF(M36="P",SUMPRODUCT((O$3:O$44&lt;&gt;"")*(P$3:P$44="")*(G$3:G$44=G36)*(I$3:I$44="P"))+SUMPRODUCT((P$3:P$44&lt;&gt;"")*(G$3:G$44=G36)*(I$3:I$44="P"))+SUMPRODUCT((N$3:N$44&lt;&gt;"")*(G$3:G$44=G36)*(I$3:I$44="P"))+SUMPRODUCT((P$3:P$44="")*(O$3:O$44="")*(N$3:N$44="")*(M$3:M$44="P")*(G$3:G$44=G36)*(J$3:J$44&gt;J36)*(I$3:I$44="P"))+IF(H36="L5",SUMPRODUCT((P$3:P$44="")*(O$3:O$44="")*(N$3:N$44="")*(M$3:M$44="P")*(G$3:G$44=G36)*(J$3:J$44&lt;J36)*(H$3:H$44&lt;&gt;H36)*(I$3:I$44="P")),-1*SUMPRODUCT((P$3:P$44="")*(O$3:O$44="")*(N$3:N$44="")*(M$3:M$44="P")*(G$3:G$44=G36)*(J$3:J$44&gt;J36)*(H$3:H$44="L5")*(I$3:I$44="P")))+1,"")))))</f>
        <v/>
      </c>
      <c r="B36" s="1" t="str" cm="1">
        <f t="array" ref="B36">IF(P36&lt;&gt;"",SUMPRODUCT((P$3:P$44&lt;&gt;"")*(G$3:G$44=G36)*(J$3:J$44&gt;J36))+1,IF(O36&lt;&gt;"",SUMPRODUCT((O$3:O$44&lt;&gt;"")*(P$3:P$44="")*(G$3:G$44=G36)*(J$3:J$44&gt;J36))+SUMPRODUCT((P$3:P$44&lt;&gt;"")*(G$3:G$44=G36))+1,IF(N36&lt;&gt;"",SUMPRODUCT((N$3:N$44&lt;&gt;"")*(G$3:G$44=G36)*(J$3:J$44&gt;J36))+1,IF(M36="P",SUMPRODUCT((O$3:O$44&lt;&gt;"")*(P$3:P$44="")*(G$3:G$44=G36))+SUMPRODUCT((P$3:P$44&lt;&gt;"")*(G$3:G$44=G36))+SUMPRODUCT((N$3:N$44&lt;&gt;"")*(G$3:G$44=G36))+SUMPRODUCT((P$3:P$44="")*(O$3:O$44="")*(N$3:N$44="")*(M$3:M$44="P")*(G$3:G$44=G36)*(J$3:J$44&gt;J36))+IF(H36="L5",SUMPRODUCT((P$3:P$44="")*(O$3:O$44="")*(N$3:N$44="")*(M$3:M$44="P")*(G$3:G$44=G36)*(J$3:J$44&lt;J36)*(H$3:H$44&lt;&gt;H36)),-1*SUMPRODUCT((P$3:P$44="")*(O$3:O$44="")*(N$3:N$44="")*(M$3:M$44="P")*(G$3:G$44=G36)*(J$3:J$44&gt;J36)*(H$3:H$44="L5")))+1,""))))</f>
        <v/>
      </c>
      <c r="C36" s="36" t="s">
        <v>372</v>
      </c>
      <c r="D36" s="36" t="str">
        <f>IF(E36="","",VLOOKUP(E36,'Coaching Points'!A:B,2,0))</f>
        <v>QC</v>
      </c>
      <c r="E36" s="36" t="s">
        <v>288</v>
      </c>
      <c r="F36" s="35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66</v>
      </c>
      <c r="I36" s="43"/>
      <c r="J36" s="4">
        <f>R36+S36+IF(OR(H36="Junior",H36="Senior"),0.0002,IF(OR(H36="L7",H36="L6"),0.0001,0))+MAX(X36,Z36)*0.0000001</f>
        <v>79.5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MAX(T36,X36)</f>
        <v>39.6</v>
      </c>
      <c r="S36" s="4">
        <f>IF(R36=T36,MAX(V36,X36,Z36),IF(R36=X36,MAX(T36,V36,Z36),0))</f>
        <v>39.9</v>
      </c>
      <c r="T36" s="33">
        <v>39.6</v>
      </c>
      <c r="U36" s="40">
        <v>6.6</v>
      </c>
      <c r="V36" s="34">
        <v>39.9</v>
      </c>
      <c r="W36" s="40">
        <v>6.6</v>
      </c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$44&lt;&gt;"")*(G$3:G$44=G37)*(J$3:J$44&gt;J37)*(I$3:I$44="P"))+1,IF(O37&lt;&gt;"",SUMPRODUCT((O$3:O$44&lt;&gt;"")*(P$3:P$44="")*(G$3:G$44=G37)*(J$3:J$44&gt;J37)*(I$3:I$44="P"))+SUMPRODUCT((P$3:P$44&lt;&gt;"")*(G$3:G$44=G37)*(I$3:I$44="P"))+1,IF(N37&lt;&gt;"",SUMPRODUCT((N$3:N$44&lt;&gt;"")*(G$3:G$44=G37)*(J$3:J$44&gt;J37)*(I$3:I$44="P"))+1,IF(M37="P",SUMPRODUCT((O$3:O$44&lt;&gt;"")*(P$3:P$44="")*(G$3:G$44=G37)*(I$3:I$44="P"))+SUMPRODUCT((P$3:P$44&lt;&gt;"")*(G$3:G$44=G37)*(I$3:I$44="P"))+SUMPRODUCT((N$3:N$44&lt;&gt;"")*(G$3:G$44=G37)*(I$3:I$44="P"))+SUMPRODUCT((P$3:P$44="")*(O$3:O$44="")*(N$3:N$44="")*(M$3:M$44="P")*(G$3:G$44=G37)*(J$3:J$44&gt;J37)*(I$3:I$44="P"))+IF(H37="L5",SUMPRODUCT((P$3:P$44="")*(O$3:O$44="")*(N$3:N$44="")*(M$3:M$44="P")*(G$3:G$44=G37)*(J$3:J$44&lt;J37)*(H$3:H$44&lt;&gt;H37)*(I$3:I$44="P")),-1*SUMPRODUCT((P$3:P$44="")*(O$3:O$44="")*(N$3:N$44="")*(M$3:M$44="P")*(G$3:G$44=G37)*(J$3:J$44&gt;J37)*(H$3:H$44="L5")*(I$3:I$44="P")))+1,"")))))</f>
        <v/>
      </c>
      <c r="B37" s="1" t="str" cm="1">
        <f t="array" ref="B37">IF(P37&lt;&gt;"",SUMPRODUCT((P$3:P$44&lt;&gt;"")*(G$3:G$44=G37)*(J$3:J$44&gt;J37))+1,IF(O37&lt;&gt;"",SUMPRODUCT((O$3:O$44&lt;&gt;"")*(P$3:P$44="")*(G$3:G$44=G37)*(J$3:J$44&gt;J37))+SUMPRODUCT((P$3:P$44&lt;&gt;"")*(G$3:G$44=G37))+1,IF(N37&lt;&gt;"",SUMPRODUCT((N$3:N$44&lt;&gt;"")*(G$3:G$44=G37)*(J$3:J$44&gt;J37))+1,IF(M37="P",SUMPRODUCT((O$3:O$44&lt;&gt;"")*(P$3:P$44="")*(G$3:G$44=G37))+SUMPRODUCT((P$3:P$44&lt;&gt;"")*(G$3:G$44=G37))+SUMPRODUCT((N$3:N$44&lt;&gt;"")*(G$3:G$44=G37))+SUMPRODUCT((P$3:P$44="")*(O$3:O$44="")*(N$3:N$44="")*(M$3:M$44="P")*(G$3:G$44=G37)*(J$3:J$44&gt;J37))+IF(H37="L5",SUMPRODUCT((P$3:P$44="")*(O$3:O$44="")*(N$3:N$44="")*(M$3:M$44="P")*(G$3:G$44=G37)*(J$3:J$44&lt;J37)*(H$3:H$44&lt;&gt;H37)),-1*SUMPRODUCT((P$3:P$44="")*(O$3:O$44="")*(N$3:N$44="")*(M$3:M$44="P")*(G$3:G$44=G37)*(J$3:J$44&gt;J37)*(H$3:H$44="L5")))+1,""))))</f>
        <v/>
      </c>
      <c r="C37" s="36" t="s">
        <v>176</v>
      </c>
      <c r="D37" s="36" t="s">
        <v>194</v>
      </c>
      <c r="E37" s="36" t="s">
        <v>47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>R37+S37+IF(OR(H37="Junior",H37="Senior"),0.0002,IF(OR(H37="L7",H37="L6"),0.0001,0))+MAX(X37,Z37)*0.0000001</f>
        <v>77.699999999999989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MAX(T37,X37)</f>
        <v>38.799999999999997</v>
      </c>
      <c r="S37" s="4">
        <f>IF(R37=T37,MAX(V37,X37,Z37),IF(R37=X37,MAX(T37,V37,Z37),0))</f>
        <v>38.9</v>
      </c>
      <c r="T37" s="33">
        <v>38.799999999999997</v>
      </c>
      <c r="U37" s="40">
        <v>5.8</v>
      </c>
      <c r="V37" s="34">
        <v>38.9</v>
      </c>
      <c r="W37" s="40">
        <v>5.8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$44&lt;&gt;"")*(G$3:G$44=G38)*(J$3:J$44&gt;J38)*(I$3:I$44="P"))+1,IF(O38&lt;&gt;"",SUMPRODUCT((O$3:O$44&lt;&gt;"")*(P$3:P$44="")*(G$3:G$44=G38)*(J$3:J$44&gt;J38)*(I$3:I$44="P"))+SUMPRODUCT((P$3:P$44&lt;&gt;"")*(G$3:G$44=G38)*(I$3:I$44="P"))+1,IF(N38&lt;&gt;"",SUMPRODUCT((N$3:N$44&lt;&gt;"")*(G$3:G$44=G38)*(J$3:J$44&gt;J38)*(I$3:I$44="P"))+1,IF(M38="P",SUMPRODUCT((O$3:O$44&lt;&gt;"")*(P$3:P$44="")*(G$3:G$44=G38)*(I$3:I$44="P"))+SUMPRODUCT((P$3:P$44&lt;&gt;"")*(G$3:G$44=G38)*(I$3:I$44="P"))+SUMPRODUCT((N$3:N$44&lt;&gt;"")*(G$3:G$44=G38)*(I$3:I$44="P"))+SUMPRODUCT((P$3:P$44="")*(O$3:O$44="")*(N$3:N$44="")*(M$3:M$44="P")*(G$3:G$44=G38)*(J$3:J$44&gt;J38)*(I$3:I$44="P"))+IF(H38="L5",SUMPRODUCT((P$3:P$44="")*(O$3:O$44="")*(N$3:N$44="")*(M$3:M$44="P")*(G$3:G$44=G38)*(J$3:J$44&lt;J38)*(H$3:H$44&lt;&gt;H38)*(I$3:I$44="P")),-1*SUMPRODUCT((P$3:P$44="")*(O$3:O$44="")*(N$3:N$44="")*(M$3:M$44="P")*(G$3:G$44=G38)*(J$3:J$44&gt;J38)*(H$3:H$44="L5")*(I$3:I$44="P")))+1,"")))))</f>
        <v/>
      </c>
      <c r="B38" s="1" t="str" cm="1">
        <f t="array" ref="B38">IF(P38&lt;&gt;"",SUMPRODUCT((P$3:P$44&lt;&gt;"")*(G$3:G$44=G38)*(J$3:J$44&gt;J38))+1,IF(O38&lt;&gt;"",SUMPRODUCT((O$3:O$44&lt;&gt;"")*(P$3:P$44="")*(G$3:G$44=G38)*(J$3:J$44&gt;J38))+SUMPRODUCT((P$3:P$44&lt;&gt;"")*(G$3:G$44=G38))+1,IF(N38&lt;&gt;"",SUMPRODUCT((N$3:N$44&lt;&gt;"")*(G$3:G$44=G38)*(J$3:J$44&gt;J38))+1,IF(M38="P",SUMPRODUCT((O$3:O$44&lt;&gt;"")*(P$3:P$44="")*(G$3:G$44=G38))+SUMPRODUCT((P$3:P$44&lt;&gt;"")*(G$3:G$44=G38))+SUMPRODUCT((N$3:N$44&lt;&gt;"")*(G$3:G$44=G38))+SUMPRODUCT((P$3:P$44="")*(O$3:O$44="")*(N$3:N$44="")*(M$3:M$44="P")*(G$3:G$44=G38)*(J$3:J$44&gt;J38))+IF(H38="L5",SUMPRODUCT((P$3:P$44="")*(O$3:O$44="")*(N$3:N$44="")*(M$3:M$44="P")*(G$3:G$44=G38)*(J$3:J$44&lt;J38)*(H$3:H$44&lt;&gt;H38)),-1*SUMPRODUCT((P$3:P$44="")*(O$3:O$44="")*(N$3:N$44="")*(M$3:M$44="P")*(G$3:G$44=G38)*(J$3:J$44&gt;J38)*(H$3:H$44="L5")))+1,""))))</f>
        <v/>
      </c>
      <c r="C38" s="36" t="s">
        <v>270</v>
      </c>
      <c r="D38" s="36" t="str">
        <f>IF(E38="","",VLOOKUP(E38,'Coaching Points'!A:B,2,0))</f>
        <v>AB</v>
      </c>
      <c r="E38" s="36" t="s">
        <v>58</v>
      </c>
      <c r="F38" s="35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67</v>
      </c>
      <c r="I38" s="43"/>
      <c r="J38" s="4">
        <f>R38+S38+IF(OR(H38="Junior",H38="Senior"),0.0002,IF(OR(H38="L7",H38="L6"),0.0001,0))+MAX(X38,Z38)*0.0000001</f>
        <v>75.8001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>P</v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MAX(T38,X38)</f>
        <v>39.5</v>
      </c>
      <c r="S38" s="4">
        <f>IF(R38=T38,MAX(V38,X38,Z38),IF(R38=X38,MAX(T38,V38,Z38),0))</f>
        <v>36.299999999999997</v>
      </c>
      <c r="T38" s="33">
        <v>39.5</v>
      </c>
      <c r="U38" s="40">
        <v>7.3</v>
      </c>
      <c r="V38" s="34">
        <v>36.299999999999997</v>
      </c>
      <c r="W38" s="40">
        <v>6.1999999999999993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$44&lt;&gt;"")*(G$3:G$44=G39)*(J$3:J$44&gt;J39)*(I$3:I$44="P"))+1,IF(O39&lt;&gt;"",SUMPRODUCT((O$3:O$44&lt;&gt;"")*(P$3:P$44="")*(G$3:G$44=G39)*(J$3:J$44&gt;J39)*(I$3:I$44="P"))+SUMPRODUCT((P$3:P$44&lt;&gt;"")*(G$3:G$44=G39)*(I$3:I$44="P"))+1,IF(N39&lt;&gt;"",SUMPRODUCT((N$3:N$44&lt;&gt;"")*(G$3:G$44=G39)*(J$3:J$44&gt;J39)*(I$3:I$44="P"))+1,IF(M39="P",SUMPRODUCT((O$3:O$44&lt;&gt;"")*(P$3:P$44="")*(G$3:G$44=G39)*(I$3:I$44="P"))+SUMPRODUCT((P$3:P$44&lt;&gt;"")*(G$3:G$44=G39)*(I$3:I$44="P"))+SUMPRODUCT((N$3:N$44&lt;&gt;"")*(G$3:G$44=G39)*(I$3:I$44="P"))+SUMPRODUCT((P$3:P$44="")*(O$3:O$44="")*(N$3:N$44="")*(M$3:M$44="P")*(G$3:G$44=G39)*(J$3:J$44&gt;J39)*(I$3:I$44="P"))+IF(H39="L5",SUMPRODUCT((P$3:P$44="")*(O$3:O$44="")*(N$3:N$44="")*(M$3:M$44="P")*(G$3:G$44=G39)*(J$3:J$44&lt;J39)*(H$3:H$44&lt;&gt;H39)*(I$3:I$44="P")),-1*SUMPRODUCT((P$3:P$44="")*(O$3:O$44="")*(N$3:N$44="")*(M$3:M$44="P")*(G$3:G$44=G39)*(J$3:J$44&gt;J39)*(H$3:H$44="L5")*(I$3:I$44="P")))+1,"")))))</f>
        <v/>
      </c>
      <c r="B39" s="1" t="str" cm="1">
        <f t="array" ref="B39">IF(P39&lt;&gt;"",SUMPRODUCT((P$3:P$44&lt;&gt;"")*(G$3:G$44=G39)*(J$3:J$44&gt;J39))+1,IF(O39&lt;&gt;"",SUMPRODUCT((O$3:O$44&lt;&gt;"")*(P$3:P$44="")*(G$3:G$44=G39)*(J$3:J$44&gt;J39))+SUMPRODUCT((P$3:P$44&lt;&gt;"")*(G$3:G$44=G39))+1,IF(N39&lt;&gt;"",SUMPRODUCT((N$3:N$44&lt;&gt;"")*(G$3:G$44=G39)*(J$3:J$44&gt;J39))+1,IF(M39="P",SUMPRODUCT((O$3:O$44&lt;&gt;"")*(P$3:P$44="")*(G$3:G$44=G39))+SUMPRODUCT((P$3:P$44&lt;&gt;"")*(G$3:G$44=G39))+SUMPRODUCT((N$3:N$44&lt;&gt;"")*(G$3:G$44=G39))+SUMPRODUCT((P$3:P$44="")*(O$3:O$44="")*(N$3:N$44="")*(M$3:M$44="P")*(G$3:G$44=G39)*(J$3:J$44&gt;J39))+IF(H39="L5",SUMPRODUCT((P$3:P$44="")*(O$3:O$44="")*(N$3:N$44="")*(M$3:M$44="P")*(G$3:G$44=G39)*(J$3:J$44&lt;J39)*(H$3:H$44&lt;&gt;H39)),-1*SUMPRODUCT((P$3:P$44="")*(O$3:O$44="")*(N$3:N$44="")*(M$3:M$44="P")*(G$3:G$44=G39)*(J$3:J$44&gt;J39)*(H$3:H$44="L5")))+1,""))))</f>
        <v/>
      </c>
      <c r="C39" s="36" t="s">
        <v>177</v>
      </c>
      <c r="D39" s="36" t="str">
        <f>IF(E39="","",VLOOKUP(E39,'Coaching Points'!A:B,2,0))</f>
        <v>BC</v>
      </c>
      <c r="E39" s="36" t="s">
        <v>57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>R39+S39+IF(OR(H39="Junior",H39="Senior"),0.0002,IF(OR(H39="L7",H39="L6"),0.0001,0))+MAX(X39,Z39)*0.0000001</f>
        <v>75.199999999999989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MAX(T39,X39)</f>
        <v>37.4</v>
      </c>
      <c r="S39" s="4">
        <f>IF(R39=T39,MAX(V39,X39,Z39),IF(R39=X39,MAX(T39,V39,Z39),0))</f>
        <v>37.799999999999997</v>
      </c>
      <c r="T39" s="33">
        <v>37.4</v>
      </c>
      <c r="U39" s="40">
        <v>5</v>
      </c>
      <c r="V39" s="34">
        <v>37.799999999999997</v>
      </c>
      <c r="W39" s="40">
        <v>5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$44&lt;&gt;"")*(G$3:G$44=G40)*(J$3:J$44&gt;J40)*(I$3:I$44="P"))+1,IF(O40&lt;&gt;"",SUMPRODUCT((O$3:O$44&lt;&gt;"")*(P$3:P$44="")*(G$3:G$44=G40)*(J$3:J$44&gt;J40)*(I$3:I$44="P"))+SUMPRODUCT((P$3:P$44&lt;&gt;"")*(G$3:G$44=G40)*(I$3:I$44="P"))+1,IF(N40&lt;&gt;"",SUMPRODUCT((N$3:N$44&lt;&gt;"")*(G$3:G$44=G40)*(J$3:J$44&gt;J40)*(I$3:I$44="P"))+1,IF(M40="P",SUMPRODUCT((O$3:O$44&lt;&gt;"")*(P$3:P$44="")*(G$3:G$44=G40)*(I$3:I$44="P"))+SUMPRODUCT((P$3:P$44&lt;&gt;"")*(G$3:G$44=G40)*(I$3:I$44="P"))+SUMPRODUCT((N$3:N$44&lt;&gt;"")*(G$3:G$44=G40)*(I$3:I$44="P"))+SUMPRODUCT((P$3:P$44="")*(O$3:O$44="")*(N$3:N$44="")*(M$3:M$44="P")*(G$3:G$44=G40)*(J$3:J$44&gt;J40)*(I$3:I$44="P"))+IF(H40="L5",SUMPRODUCT((P$3:P$44="")*(O$3:O$44="")*(N$3:N$44="")*(M$3:M$44="P")*(G$3:G$44=G40)*(J$3:J$44&lt;J40)*(H$3:H$44&lt;&gt;H40)*(I$3:I$44="P")),-1*SUMPRODUCT((P$3:P$44="")*(O$3:O$44="")*(N$3:N$44="")*(M$3:M$44="P")*(G$3:G$44=G40)*(J$3:J$44&gt;J40)*(H$3:H$44="L5")*(I$3:I$44="P")))+1,"")))))</f>
        <v/>
      </c>
      <c r="B40" s="1" t="str" cm="1">
        <f t="array" ref="B40">IF(P40&lt;&gt;"",SUMPRODUCT((P$3:P$44&lt;&gt;"")*(G$3:G$44=G40)*(J$3:J$44&gt;J40))+1,IF(O40&lt;&gt;"",SUMPRODUCT((O$3:O$44&lt;&gt;"")*(P$3:P$44="")*(G$3:G$44=G40)*(J$3:J$44&gt;J40))+SUMPRODUCT((P$3:P$44&lt;&gt;"")*(G$3:G$44=G40))+1,IF(N40&lt;&gt;"",SUMPRODUCT((N$3:N$44&lt;&gt;"")*(G$3:G$44=G40)*(J$3:J$44&gt;J40))+1,IF(M40="P",SUMPRODUCT((O$3:O$44&lt;&gt;"")*(P$3:P$44="")*(G$3:G$44=G40))+SUMPRODUCT((P$3:P$44&lt;&gt;"")*(G$3:G$44=G40))+SUMPRODUCT((N$3:N$44&lt;&gt;"")*(G$3:G$44=G40))+SUMPRODUCT((P$3:P$44="")*(O$3:O$44="")*(N$3:N$44="")*(M$3:M$44="P")*(G$3:G$44=G40)*(J$3:J$44&gt;J40))+IF(H40="L5",SUMPRODUCT((P$3:P$44="")*(O$3:O$44="")*(N$3:N$44="")*(M$3:M$44="P")*(G$3:G$44=G40)*(J$3:J$44&lt;J40)*(H$3:H$44&lt;&gt;H40)),-1*SUMPRODUCT((P$3:P$44="")*(O$3:O$44="")*(N$3:N$44="")*(M$3:M$44="P")*(G$3:G$44=G40)*(J$3:J$44&gt;J40)*(H$3:H$44="L5")))+1,""))))</f>
        <v/>
      </c>
      <c r="C40" s="36" t="s">
        <v>360</v>
      </c>
      <c r="D40" s="36" t="s">
        <v>196</v>
      </c>
      <c r="E40" s="36" t="s">
        <v>60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>R40+S40+IF(OR(H40="Junior",H40="Senior"),0.0002,IF(OR(H40="L7",H40="L6"),0.0001,0))+MAX(X40,Z40)*0.0000001</f>
        <v>72.099999999999994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MAX(T40,X40)</f>
        <v>36.700000000000003</v>
      </c>
      <c r="S40" s="4">
        <f>IF(R40=T40,MAX(V40,X40,Z40),IF(R40=X40,MAX(T40,V40,Z40),0))</f>
        <v>35.4</v>
      </c>
      <c r="T40" s="33">
        <v>36.700000000000003</v>
      </c>
      <c r="U40" s="40">
        <v>4.8</v>
      </c>
      <c r="V40" s="34">
        <v>35.4</v>
      </c>
      <c r="W40" s="40">
        <v>3.6999999999999997</v>
      </c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$44&lt;&gt;"")*(G$3:G$44=G41)*(J$3:J$44&gt;J41)*(I$3:I$44="P"))+1,IF(O41&lt;&gt;"",SUMPRODUCT((O$3:O$44&lt;&gt;"")*(P$3:P$44="")*(G$3:G$44=G41)*(J$3:J$44&gt;J41)*(I$3:I$44="P"))+SUMPRODUCT((P$3:P$44&lt;&gt;"")*(G$3:G$44=G41)*(I$3:I$44="P"))+1,IF(N41&lt;&gt;"",SUMPRODUCT((N$3:N$44&lt;&gt;"")*(G$3:G$44=G41)*(J$3:J$44&gt;J41)*(I$3:I$44="P"))+1,IF(M41="P",SUMPRODUCT((O$3:O$44&lt;&gt;"")*(P$3:P$44="")*(G$3:G$44=G41)*(I$3:I$44="P"))+SUMPRODUCT((P$3:P$44&lt;&gt;"")*(G$3:G$44=G41)*(I$3:I$44="P"))+SUMPRODUCT((N$3:N$44&lt;&gt;"")*(G$3:G$44=G41)*(I$3:I$44="P"))+SUMPRODUCT((P$3:P$44="")*(O$3:O$44="")*(N$3:N$44="")*(M$3:M$44="P")*(G$3:G$44=G41)*(J$3:J$44&gt;J41)*(I$3:I$44="P"))+IF(H41="L5",SUMPRODUCT((P$3:P$44="")*(O$3:O$44="")*(N$3:N$44="")*(M$3:M$44="P")*(G$3:G$44=G41)*(J$3:J$44&lt;J41)*(H$3:H$44&lt;&gt;H41)*(I$3:I$44="P")),-1*SUMPRODUCT((P$3:P$44="")*(O$3:O$44="")*(N$3:N$44="")*(M$3:M$44="P")*(G$3:G$44=G41)*(J$3:J$44&gt;J41)*(H$3:H$44="L5")*(I$3:I$44="P")))+1,"")))))</f>
        <v/>
      </c>
      <c r="B41" s="1" t="str" cm="1">
        <f t="array" ref="B41">IF(P41&lt;&gt;"",SUMPRODUCT((P$3:P$44&lt;&gt;"")*(G$3:G$44=G41)*(J$3:J$44&gt;J41))+1,IF(O41&lt;&gt;"",SUMPRODUCT((O$3:O$44&lt;&gt;"")*(P$3:P$44="")*(G$3:G$44=G41)*(J$3:J$44&gt;J41))+SUMPRODUCT((P$3:P$44&lt;&gt;"")*(G$3:G$44=G41))+1,IF(N41&lt;&gt;"",SUMPRODUCT((N$3:N$44&lt;&gt;"")*(G$3:G$44=G41)*(J$3:J$44&gt;J41))+1,IF(M41="P",SUMPRODUCT((O$3:O$44&lt;&gt;"")*(P$3:P$44="")*(G$3:G$44=G41))+SUMPRODUCT((P$3:P$44&lt;&gt;"")*(G$3:G$44=G41))+SUMPRODUCT((N$3:N$44&lt;&gt;"")*(G$3:G$44=G41))+SUMPRODUCT((P$3:P$44="")*(O$3:O$44="")*(N$3:N$44="")*(M$3:M$44="P")*(G$3:G$44=G41)*(J$3:J$44&gt;J41))+IF(H41="L5",SUMPRODUCT((P$3:P$44="")*(O$3:O$44="")*(N$3:N$44="")*(M$3:M$44="P")*(G$3:G$44=G41)*(J$3:J$44&lt;J41)*(H$3:H$44&lt;&gt;H41)),-1*SUMPRODUCT((P$3:P$44="")*(O$3:O$44="")*(N$3:N$44="")*(M$3:M$44="P")*(G$3:G$44=G41)*(J$3:J$44&gt;J41)*(H$3:H$44="L5")))+1,""))))</f>
        <v/>
      </c>
      <c r="C41" s="36" t="s">
        <v>267</v>
      </c>
      <c r="D41" s="36" t="str">
        <f>IF(E41="","",VLOOKUP(E41,'Coaching Points'!A:B,2,0))</f>
        <v>ON</v>
      </c>
      <c r="E41" s="36" t="s">
        <v>47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>R41+S41+IF(OR(H41="Junior",H41="Senior"),0.0002,IF(OR(H41="L7",H41="L6"),0.0001,0))+MAX(X41,Z41)*0.0000001</f>
        <v>71.599999999999994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MAX(T41,X41)</f>
        <v>37.5</v>
      </c>
      <c r="S41" s="4">
        <f>IF(R41=T41,MAX(V41,X41,Z41),IF(R41=X41,MAX(T41,V41,Z41),0))</f>
        <v>34.1</v>
      </c>
      <c r="T41" s="33">
        <v>37.5</v>
      </c>
      <c r="U41" s="40">
        <v>4.4000000000000004</v>
      </c>
      <c r="V41" s="34">
        <v>34.1</v>
      </c>
      <c r="W41" s="40">
        <v>4.2</v>
      </c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$44&lt;&gt;"")*(G$3:G$44=G42)*(J$3:J$44&gt;J42)*(I$3:I$44="P"))+1,IF(O42&lt;&gt;"",SUMPRODUCT((O$3:O$44&lt;&gt;"")*(P$3:P$44="")*(G$3:G$44=G42)*(J$3:J$44&gt;J42)*(I$3:I$44="P"))+SUMPRODUCT((P$3:P$44&lt;&gt;"")*(G$3:G$44=G42)*(I$3:I$44="P"))+1,IF(N42&lt;&gt;"",SUMPRODUCT((N$3:N$44&lt;&gt;"")*(G$3:G$44=G42)*(J$3:J$44&gt;J42)*(I$3:I$44="P"))+1,IF(M42="P",SUMPRODUCT((O$3:O$44&lt;&gt;"")*(P$3:P$44="")*(G$3:G$44=G42)*(I$3:I$44="P"))+SUMPRODUCT((P$3:P$44&lt;&gt;"")*(G$3:G$44=G42)*(I$3:I$44="P"))+SUMPRODUCT((N$3:N$44&lt;&gt;"")*(G$3:G$44=G42)*(I$3:I$44="P"))+SUMPRODUCT((P$3:P$44="")*(O$3:O$44="")*(N$3:N$44="")*(M$3:M$44="P")*(G$3:G$44=G42)*(J$3:J$44&gt;J42)*(I$3:I$44="P"))+IF(H42="L5",SUMPRODUCT((P$3:P$44="")*(O$3:O$44="")*(N$3:N$44="")*(M$3:M$44="P")*(G$3:G$44=G42)*(J$3:J$44&lt;J42)*(H$3:H$44&lt;&gt;H42)*(I$3:I$44="P")),-1*SUMPRODUCT((P$3:P$44="")*(O$3:O$44="")*(N$3:N$44="")*(M$3:M$44="P")*(G$3:G$44=G42)*(J$3:J$44&gt;J42)*(H$3:H$44="L5")*(I$3:I$44="P")))+1,"")))))</f>
        <v/>
      </c>
      <c r="B42" s="1" t="str" cm="1">
        <f t="array" ref="B42">IF(P42&lt;&gt;"",SUMPRODUCT((P$3:P$44&lt;&gt;"")*(G$3:G$44=G42)*(J$3:J$44&gt;J42))+1,IF(O42&lt;&gt;"",SUMPRODUCT((O$3:O$44&lt;&gt;"")*(P$3:P$44="")*(G$3:G$44=G42)*(J$3:J$44&gt;J42))+SUMPRODUCT((P$3:P$44&lt;&gt;"")*(G$3:G$44=G42))+1,IF(N42&lt;&gt;"",SUMPRODUCT((N$3:N$44&lt;&gt;"")*(G$3:G$44=G42)*(J$3:J$44&gt;J42))+1,IF(M42="P",SUMPRODUCT((O$3:O$44&lt;&gt;"")*(P$3:P$44="")*(G$3:G$44=G42))+SUMPRODUCT((P$3:P$44&lt;&gt;"")*(G$3:G$44=G42))+SUMPRODUCT((N$3:N$44&lt;&gt;"")*(G$3:G$44=G42))+SUMPRODUCT((P$3:P$44="")*(O$3:O$44="")*(N$3:N$44="")*(M$3:M$44="P")*(G$3:G$44=G42)*(J$3:J$44&gt;J42))+IF(H42="L5",SUMPRODUCT((P$3:P$44="")*(O$3:O$44="")*(N$3:N$44="")*(M$3:M$44="P")*(G$3:G$44=G42)*(J$3:J$44&lt;J42)*(H$3:H$44&lt;&gt;H42)),-1*SUMPRODUCT((P$3:P$44="")*(O$3:O$44="")*(N$3:N$44="")*(M$3:M$44="P")*(G$3:G$44=G42)*(J$3:J$44&gt;J42)*(H$3:H$44="L5")))+1,""))))</f>
        <v/>
      </c>
      <c r="C42" s="36" t="s">
        <v>266</v>
      </c>
      <c r="D42" s="36" t="s">
        <v>194</v>
      </c>
      <c r="E42" s="36" t="s">
        <v>62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>R42+S42+IF(OR(H42="Junior",H42="Senior"),0.0002,IF(OR(H42="L7",H42="L6"),0.0001,0))+MAX(X42,Z42)*0.0000001</f>
        <v>64.699999999999989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MAX(T42,X42)</f>
        <v>34.799999999999997</v>
      </c>
      <c r="S42" s="4">
        <f>IF(R42=T42,MAX(V42,X42,Z42),IF(R42=X42,MAX(T42,V42,Z42),0))</f>
        <v>29.9</v>
      </c>
      <c r="T42" s="33">
        <v>34.799999999999997</v>
      </c>
      <c r="U42" s="40">
        <v>3.9000000000000004</v>
      </c>
      <c r="V42" s="34">
        <v>29.9</v>
      </c>
      <c r="W42" s="40">
        <v>3.0999999999999996</v>
      </c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$44&lt;&gt;"")*(G$3:G$44=G43)*(J$3:J$44&gt;J43)*(I$3:I$44="P"))+1,IF(O43&lt;&gt;"",SUMPRODUCT((O$3:O$44&lt;&gt;"")*(P$3:P$44="")*(G$3:G$44=G43)*(J$3:J$44&gt;J43)*(I$3:I$44="P"))+SUMPRODUCT((P$3:P$44&lt;&gt;"")*(G$3:G$44=G43)*(I$3:I$44="P"))+1,IF(N43&lt;&gt;"",SUMPRODUCT((N$3:N$44&lt;&gt;"")*(G$3:G$44=G43)*(J$3:J$44&gt;J43)*(I$3:I$44="P"))+1,IF(M43="P",SUMPRODUCT((O$3:O$44&lt;&gt;"")*(P$3:P$44="")*(G$3:G$44=G43)*(I$3:I$44="P"))+SUMPRODUCT((P$3:P$44&lt;&gt;"")*(G$3:G$44=G43)*(I$3:I$44="P"))+SUMPRODUCT((N$3:N$44&lt;&gt;"")*(G$3:G$44=G43)*(I$3:I$44="P"))+SUMPRODUCT((P$3:P$44="")*(O$3:O$44="")*(N$3:N$44="")*(M$3:M$44="P")*(G$3:G$44=G43)*(J$3:J$44&gt;J43)*(I$3:I$44="P"))+IF(H43="L5",SUMPRODUCT((P$3:P$44="")*(O$3:O$44="")*(N$3:N$44="")*(M$3:M$44="P")*(G$3:G$44=G43)*(J$3:J$44&lt;J43)*(H$3:H$44&lt;&gt;H43)*(I$3:I$44="P")),-1*SUMPRODUCT((P$3:P$44="")*(O$3:O$44="")*(N$3:N$44="")*(M$3:M$44="P")*(G$3:G$44=G43)*(J$3:J$44&gt;J43)*(H$3:H$44="L5")*(I$3:I$44="P")))+1,"")))))</f>
        <v/>
      </c>
      <c r="B43" s="1" t="str" cm="1">
        <f t="array" ref="B43">IF(P43&lt;&gt;"",SUMPRODUCT((P$3:P$44&lt;&gt;"")*(G$3:G$44=G43)*(J$3:J$44&gt;J43))+1,IF(O43&lt;&gt;"",SUMPRODUCT((O$3:O$44&lt;&gt;"")*(P$3:P$44="")*(G$3:G$44=G43)*(J$3:J$44&gt;J43))+SUMPRODUCT((P$3:P$44&lt;&gt;"")*(G$3:G$44=G43))+1,IF(N43&lt;&gt;"",SUMPRODUCT((N$3:N$44&lt;&gt;"")*(G$3:G$44=G43)*(J$3:J$44&gt;J43))+1,IF(M43="P",SUMPRODUCT((O$3:O$44&lt;&gt;"")*(P$3:P$44="")*(G$3:G$44=G43))+SUMPRODUCT((P$3:P$44&lt;&gt;"")*(G$3:G$44=G43))+SUMPRODUCT((N$3:N$44&lt;&gt;"")*(G$3:G$44=G43))+SUMPRODUCT((P$3:P$44="")*(O$3:O$44="")*(N$3:N$44="")*(M$3:M$44="P")*(G$3:G$44=G43)*(J$3:J$44&gt;J43))+IF(H43="L5",SUMPRODUCT((P$3:P$44="")*(O$3:O$44="")*(N$3:N$44="")*(M$3:M$44="P")*(G$3:G$44=G43)*(J$3:J$44&lt;J43)*(H$3:H$44&lt;&gt;H43)),-1*SUMPRODUCT((P$3:P$44="")*(O$3:O$44="")*(N$3:N$44="")*(M$3:M$44="P")*(G$3:G$44=G43)*(J$3:J$44&gt;J43)*(H$3:H$44="L5")))+1,""))))</f>
        <v/>
      </c>
      <c r="C43" s="36" t="s">
        <v>120</v>
      </c>
      <c r="D43" s="36" t="s">
        <v>194</v>
      </c>
      <c r="E43" s="36" t="s">
        <v>29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>R43+S43+IF(OR(H43="Junior",H43="Senior"),0.0002,IF(OR(H43="L7",H43="L6"),0.0001,0))+MAX(X43,Z43)*0.0000001</f>
        <v>28.8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MAX(T43,X43)</f>
        <v>28.8</v>
      </c>
      <c r="S43" s="4">
        <f>IF(R43=T43,MAX(V43,X43,Z43),IF(R43=X43,MAX(T43,V43,Z43),0))</f>
        <v>0</v>
      </c>
      <c r="T43" s="33">
        <v>28.8</v>
      </c>
      <c r="U43" s="40">
        <v>2.8</v>
      </c>
      <c r="V43" s="34"/>
      <c r="W43" s="40"/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$44&lt;&gt;"")*(G$3:G$44=G44)*(J$3:J$44&gt;J44)*(I$3:I$44="P"))+1,IF(O44&lt;&gt;"",SUMPRODUCT((O$3:O$44&lt;&gt;"")*(P$3:P$44="")*(G$3:G$44=G44)*(J$3:J$44&gt;J44)*(I$3:I$44="P"))+SUMPRODUCT((P$3:P$44&lt;&gt;"")*(G$3:G$44=G44)*(I$3:I$44="P"))+1,IF(N44&lt;&gt;"",SUMPRODUCT((N$3:N$44&lt;&gt;"")*(G$3:G$44=G44)*(J$3:J$44&gt;J44)*(I$3:I$44="P"))+1,IF(M44="P",SUMPRODUCT((O$3:O$44&lt;&gt;"")*(P$3:P$44="")*(G$3:G$44=G44)*(I$3:I$44="P"))+SUMPRODUCT((P$3:P$44&lt;&gt;"")*(G$3:G$44=G44)*(I$3:I$44="P"))+SUMPRODUCT((N$3:N$44&lt;&gt;"")*(G$3:G$44=G44)*(I$3:I$44="P"))+SUMPRODUCT((P$3:P$44="")*(O$3:O$44="")*(N$3:N$44="")*(M$3:M$44="P")*(G$3:G$44=G44)*(J$3:J$44&gt;J44)*(I$3:I$44="P"))+IF(H44="L5",SUMPRODUCT((P$3:P$44="")*(O$3:O$44="")*(N$3:N$44="")*(M$3:M$44="P")*(G$3:G$44=G44)*(J$3:J$44&lt;J44)*(H$3:H$44&lt;&gt;H44)*(I$3:I$44="P")),-1*SUMPRODUCT((P$3:P$44="")*(O$3:O$44="")*(N$3:N$44="")*(M$3:M$44="P")*(G$3:G$44=G44)*(J$3:J$44&gt;J44)*(H$3:H$44="L5")*(I$3:I$44="P")))+1,"")))))</f>
        <v/>
      </c>
      <c r="B44" s="1" t="str" cm="1">
        <f t="array" ref="B44">IF(P44&lt;&gt;"",SUMPRODUCT((P$3:P$44&lt;&gt;"")*(G$3:G$44=G44)*(J$3:J$44&gt;J44))+1,IF(O44&lt;&gt;"",SUMPRODUCT((O$3:O$44&lt;&gt;"")*(P$3:P$44="")*(G$3:G$44=G44)*(J$3:J$44&gt;J44))+SUMPRODUCT((P$3:P$44&lt;&gt;"")*(G$3:G$44=G44))+1,IF(N44&lt;&gt;"",SUMPRODUCT((N$3:N$44&lt;&gt;"")*(G$3:G$44=G44)*(J$3:J$44&gt;J44))+1,IF(M44="P",SUMPRODUCT((O$3:O$44&lt;&gt;"")*(P$3:P$44="")*(G$3:G$44=G44))+SUMPRODUCT((P$3:P$44&lt;&gt;"")*(G$3:G$44=G44))+SUMPRODUCT((N$3:N$44&lt;&gt;"")*(G$3:G$44=G44))+SUMPRODUCT((P$3:P$44="")*(O$3:O$44="")*(N$3:N$44="")*(M$3:M$44="P")*(G$3:G$44=G44)*(J$3:J$44&gt;J44))+IF(H44="L5",SUMPRODUCT((P$3:P$44="")*(O$3:O$44="")*(N$3:N$44="")*(M$3:M$44="P")*(G$3:G$44=G44)*(J$3:J$44&lt;J44)*(H$3:H$44&lt;&gt;H44)),-1*SUMPRODUCT((P$3:P$44="")*(O$3:O$44="")*(N$3:N$44="")*(M$3:M$44="P")*(G$3:G$44=G44)*(J$3:J$44&gt;J44)*(H$3:H$44="L5")))+1,""))))</f>
        <v/>
      </c>
      <c r="C44" s="36" t="s">
        <v>371</v>
      </c>
      <c r="D44" s="36" t="s">
        <v>194</v>
      </c>
      <c r="E44" s="36" t="s">
        <v>47</v>
      </c>
      <c r="F44" s="35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39" t="s">
        <v>66</v>
      </c>
      <c r="I44" s="43"/>
      <c r="J44" s="4">
        <f>R44+S44+IF(OR(H44="Junior",H44="Senior"),0.0002,IF(OR(H44="L7",H44="L6"),0.0001,0))+MAX(X44,Z44)*0.0000001</f>
        <v>75.800000000000011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MAX(T44,X44)</f>
        <v>37.700000000000003</v>
      </c>
      <c r="S44" s="4">
        <f>IF(R44=T44,MAX(V44,X44,Z44),IF(R44=X44,MAX(T44,V44,Z44),0))</f>
        <v>38.1</v>
      </c>
      <c r="T44" s="33">
        <v>37.700000000000003</v>
      </c>
      <c r="U44" s="40">
        <v>4.3000000000000007</v>
      </c>
      <c r="V44" s="34">
        <v>38.1</v>
      </c>
      <c r="W44" s="40">
        <v>4.6999999999999993</v>
      </c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4">
      <sortCondition descending="1" ref="G1:G4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R1:S2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2023-04-15T17:45:45Z</dcterms:modified>
</cp:coreProperties>
</file>